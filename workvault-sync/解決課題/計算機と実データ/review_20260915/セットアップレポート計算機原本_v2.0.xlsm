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k365-my.sharepoint.com/personal/ss80751_ad_nkc_co_jp/Documents/デスクトップ/00_WIP/"/>
    </mc:Choice>
  </mc:AlternateContent>
  <xr:revisionPtr revIDLastSave="7" documentId="8_{248CCE2D-9CA1-4090-A777-7884788578C9}" xr6:coauthVersionLast="47" xr6:coauthVersionMax="47" xr10:uidLastSave="{AD8EAA00-E4AF-4A47-AE32-7604083E2684}"/>
  <bookViews>
    <workbookView xWindow="-108" yWindow="-108" windowWidth="23256" windowHeight="13896" tabRatio="823" activeTab="7" xr2:uid="{C2FAF492-9182-4C49-9F90-DC0BBFC93EA2}"/>
  </bookViews>
  <sheets>
    <sheet name="計算結果" sheetId="3" r:id="rId1"/>
    <sheet name="計算結果_整形" sheetId="10" r:id="rId2"/>
    <sheet name="セットアップレポート_紐づけ用" sheetId="6" state="hidden" r:id="rId3"/>
    <sheet name="セットアップレポート" sheetId="1" r:id="rId4"/>
    <sheet name="配列" sheetId="4" r:id="rId5"/>
    <sheet name="EGPro" sheetId="7" r:id="rId6"/>
    <sheet name="対応表" sheetId="2" r:id="rId7"/>
    <sheet name="マクロ実行" sheetId="13" r:id="rId8"/>
    <sheet name="印刷入力" sheetId="11" r:id="rId9"/>
    <sheet name="印刷" sheetId="12" r:id="rId10"/>
    <sheet name="現場部品リスト" sheetId="15" r:id="rId11"/>
    <sheet name="所在不明リール" sheetId="14" r:id="rId12"/>
  </sheets>
  <definedNames>
    <definedName name="_xlnm._FilterDatabase" localSheetId="5" hidden="1">EGPro!$A$1:$I$31393</definedName>
    <definedName name="_xlnm._FilterDatabase" localSheetId="3" hidden="1">セットアップレポート!$A$1:$AG$488</definedName>
    <definedName name="_xlnm._FilterDatabase" localSheetId="8" hidden="1">印刷入力!$A$1:$A$18</definedName>
    <definedName name="_xlnm._FilterDatabase" localSheetId="0" hidden="1">計算結果!$A$1:$Q$1000</definedName>
    <definedName name="_xlnm._FilterDatabase" localSheetId="1" hidden="1">計算結果_整形!$A$1:$T$1000</definedName>
    <definedName name="_xlnm._FilterDatabase" localSheetId="11" hidden="1">所在不明リール!$A$2:$H$8431</definedName>
    <definedName name="_xlnm.Print_Titles" localSheetId="1">計算結果_整形!$1:$1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 a="1"/>
  <c r="I2" i="2" s="1"/>
  <c r="J2" i="2" a="1"/>
  <c r="J2" i="2" s="1"/>
  <c r="L1" i="10" l="1"/>
  <c r="H589" i="10"/>
  <c r="J589" i="10"/>
  <c r="H590" i="10"/>
  <c r="J590" i="10"/>
  <c r="H591" i="10"/>
  <c r="J591" i="10"/>
  <c r="H592" i="10"/>
  <c r="J592" i="10"/>
  <c r="H593" i="10"/>
  <c r="J593" i="10"/>
  <c r="H594" i="10"/>
  <c r="J594" i="10"/>
  <c r="H595" i="10"/>
  <c r="J595" i="10"/>
  <c r="H596" i="10"/>
  <c r="J596" i="10"/>
  <c r="H597" i="10"/>
  <c r="J597" i="10"/>
  <c r="H598" i="10"/>
  <c r="J598" i="10"/>
  <c r="H599" i="10"/>
  <c r="J599" i="10"/>
  <c r="H600" i="10"/>
  <c r="J600" i="10"/>
  <c r="H601" i="10"/>
  <c r="J601" i="10"/>
  <c r="H602" i="10"/>
  <c r="J602" i="10"/>
  <c r="H603" i="10"/>
  <c r="J603" i="10"/>
  <c r="H604" i="10"/>
  <c r="J604" i="10"/>
  <c r="H605" i="10"/>
  <c r="J605" i="10"/>
  <c r="H606" i="10"/>
  <c r="J606" i="10"/>
  <c r="H607" i="10"/>
  <c r="J607" i="10"/>
  <c r="H608" i="10"/>
  <c r="J608" i="10"/>
  <c r="H609" i="10"/>
  <c r="J609" i="10"/>
  <c r="H610" i="10"/>
  <c r="J610" i="10"/>
  <c r="H611" i="10"/>
  <c r="J611" i="10"/>
  <c r="H612" i="10"/>
  <c r="J612" i="10"/>
  <c r="H613" i="10"/>
  <c r="J613" i="10"/>
  <c r="H614" i="10"/>
  <c r="J614" i="10"/>
  <c r="H615" i="10"/>
  <c r="J615" i="10"/>
  <c r="H616" i="10"/>
  <c r="J616" i="10"/>
  <c r="H617" i="10"/>
  <c r="J617" i="10"/>
  <c r="H618" i="10"/>
  <c r="J618" i="10"/>
  <c r="H619" i="10"/>
  <c r="J619" i="10"/>
  <c r="H620" i="10"/>
  <c r="J620" i="10"/>
  <c r="H621" i="10"/>
  <c r="J621" i="10"/>
  <c r="H622" i="10"/>
  <c r="J622" i="10"/>
  <c r="H623" i="10"/>
  <c r="J623" i="10"/>
  <c r="H624" i="10"/>
  <c r="J624" i="10"/>
  <c r="H625" i="10"/>
  <c r="J625" i="10"/>
  <c r="H626" i="10"/>
  <c r="J626" i="10"/>
  <c r="H627" i="10"/>
  <c r="J627" i="10"/>
  <c r="H628" i="10"/>
  <c r="J628" i="10"/>
  <c r="H629" i="10"/>
  <c r="J629" i="10"/>
  <c r="H630" i="10"/>
  <c r="J630" i="10"/>
  <c r="H631" i="10"/>
  <c r="J631" i="10"/>
  <c r="H632" i="10"/>
  <c r="J632" i="10"/>
  <c r="H633" i="10"/>
  <c r="J633" i="10"/>
  <c r="H634" i="10"/>
  <c r="J634" i="10"/>
  <c r="H635" i="10"/>
  <c r="J635" i="10"/>
  <c r="H636" i="10"/>
  <c r="J636" i="10"/>
  <c r="H637" i="10"/>
  <c r="J637" i="10"/>
  <c r="H638" i="10"/>
  <c r="J638" i="10"/>
  <c r="H639" i="10"/>
  <c r="J639" i="10"/>
  <c r="H640" i="10"/>
  <c r="J640" i="10"/>
  <c r="H641" i="10"/>
  <c r="J641" i="10"/>
  <c r="H642" i="10"/>
  <c r="J642" i="10"/>
  <c r="H643" i="10"/>
  <c r="J643" i="10"/>
  <c r="H644" i="10"/>
  <c r="J644" i="10"/>
  <c r="H645" i="10"/>
  <c r="J645" i="10"/>
  <c r="H646" i="10"/>
  <c r="J646" i="10"/>
  <c r="H647" i="10"/>
  <c r="J647" i="10"/>
  <c r="H648" i="10"/>
  <c r="J648" i="10"/>
  <c r="H649" i="10"/>
  <c r="J649" i="10"/>
  <c r="H650" i="10"/>
  <c r="J650" i="10"/>
  <c r="H651" i="10"/>
  <c r="J651" i="10"/>
  <c r="H652" i="10"/>
  <c r="J652" i="10"/>
  <c r="H653" i="10"/>
  <c r="J653" i="10"/>
  <c r="H654" i="10"/>
  <c r="J654" i="10"/>
  <c r="H655" i="10"/>
  <c r="J655" i="10"/>
  <c r="H656" i="10"/>
  <c r="J656" i="10"/>
  <c r="H657" i="10"/>
  <c r="J657" i="10"/>
  <c r="H658" i="10"/>
  <c r="J658" i="10"/>
  <c r="H659" i="10"/>
  <c r="J659" i="10"/>
  <c r="H660" i="10"/>
  <c r="J660" i="10"/>
  <c r="H661" i="10"/>
  <c r="J661" i="10"/>
  <c r="H662" i="10"/>
  <c r="J662" i="10"/>
  <c r="H663" i="10"/>
  <c r="J663" i="10"/>
  <c r="H664" i="10"/>
  <c r="J664" i="10"/>
  <c r="H665" i="10"/>
  <c r="J665" i="10"/>
  <c r="H666" i="10"/>
  <c r="J666" i="10"/>
  <c r="H667" i="10"/>
  <c r="J667" i="10"/>
  <c r="H668" i="10"/>
  <c r="J668" i="10"/>
  <c r="H669" i="10"/>
  <c r="J669" i="10"/>
  <c r="H670" i="10"/>
  <c r="J670" i="10"/>
  <c r="H671" i="10"/>
  <c r="J671" i="10"/>
  <c r="H672" i="10"/>
  <c r="J672" i="10"/>
  <c r="H673" i="10"/>
  <c r="J673" i="10"/>
  <c r="H674" i="10"/>
  <c r="J674" i="10"/>
  <c r="H675" i="10"/>
  <c r="J675" i="10"/>
  <c r="H676" i="10"/>
  <c r="J676" i="10"/>
  <c r="H677" i="10"/>
  <c r="J677" i="10"/>
  <c r="H678" i="10"/>
  <c r="J678" i="10"/>
  <c r="H679" i="10"/>
  <c r="J679" i="10"/>
  <c r="H680" i="10"/>
  <c r="J680" i="10"/>
  <c r="H681" i="10"/>
  <c r="J681" i="10"/>
  <c r="H682" i="10"/>
  <c r="J682" i="10"/>
  <c r="H683" i="10"/>
  <c r="J683" i="10"/>
  <c r="H684" i="10"/>
  <c r="J684" i="10"/>
  <c r="H685" i="10"/>
  <c r="J685" i="10"/>
  <c r="H686" i="10"/>
  <c r="J686" i="10"/>
  <c r="H687" i="10"/>
  <c r="J687" i="10"/>
  <c r="H688" i="10"/>
  <c r="J688" i="10"/>
  <c r="H689" i="10"/>
  <c r="J689" i="10"/>
  <c r="H690" i="10"/>
  <c r="J690" i="10"/>
  <c r="H691" i="10"/>
  <c r="J691" i="10"/>
  <c r="H692" i="10"/>
  <c r="J692" i="10"/>
  <c r="H693" i="10"/>
  <c r="J693" i="10"/>
  <c r="H694" i="10"/>
  <c r="J694" i="10"/>
  <c r="H695" i="10"/>
  <c r="J695" i="10"/>
  <c r="H696" i="10"/>
  <c r="J696" i="10"/>
  <c r="H697" i="10"/>
  <c r="J697" i="10"/>
  <c r="H698" i="10"/>
  <c r="J698" i="10"/>
  <c r="H699" i="10"/>
  <c r="J699" i="10"/>
  <c r="H700" i="10"/>
  <c r="J700" i="10"/>
  <c r="H701" i="10"/>
  <c r="J701" i="10"/>
  <c r="H702" i="10"/>
  <c r="J702" i="10"/>
  <c r="H703" i="10"/>
  <c r="J703" i="10"/>
  <c r="H704" i="10"/>
  <c r="J704" i="10"/>
  <c r="H705" i="10"/>
  <c r="J705" i="10"/>
  <c r="H706" i="10"/>
  <c r="J706" i="10"/>
  <c r="H707" i="10"/>
  <c r="J707" i="10"/>
  <c r="H708" i="10"/>
  <c r="J708" i="10"/>
  <c r="H709" i="10"/>
  <c r="J709" i="10"/>
  <c r="H710" i="10"/>
  <c r="J710" i="10"/>
  <c r="H711" i="10"/>
  <c r="J711" i="10"/>
  <c r="H712" i="10"/>
  <c r="J712" i="10"/>
  <c r="H713" i="10"/>
  <c r="J713" i="10"/>
  <c r="H714" i="10"/>
  <c r="J714" i="10"/>
  <c r="H715" i="10"/>
  <c r="J715" i="10"/>
  <c r="H716" i="10"/>
  <c r="J716" i="10"/>
  <c r="H717" i="10"/>
  <c r="J717" i="10"/>
  <c r="H718" i="10"/>
  <c r="J718" i="10"/>
  <c r="H719" i="10"/>
  <c r="J719" i="10"/>
  <c r="H720" i="10"/>
  <c r="J720" i="10"/>
  <c r="H721" i="10"/>
  <c r="J721" i="10"/>
  <c r="H722" i="10"/>
  <c r="J722" i="10"/>
  <c r="H723" i="10"/>
  <c r="J723" i="10"/>
  <c r="H724" i="10"/>
  <c r="J724" i="10"/>
  <c r="H725" i="10"/>
  <c r="J725" i="10"/>
  <c r="H726" i="10"/>
  <c r="J726" i="10"/>
  <c r="H727" i="10"/>
  <c r="J727" i="10"/>
  <c r="H728" i="10"/>
  <c r="J728" i="10"/>
  <c r="H729" i="10"/>
  <c r="J729" i="10"/>
  <c r="H730" i="10"/>
  <c r="J730" i="10"/>
  <c r="H731" i="10"/>
  <c r="J731" i="10"/>
  <c r="H732" i="10"/>
  <c r="J732" i="10"/>
  <c r="H733" i="10"/>
  <c r="J733" i="10"/>
  <c r="H734" i="10"/>
  <c r="J734" i="10"/>
  <c r="H735" i="10"/>
  <c r="J735" i="10"/>
  <c r="H736" i="10"/>
  <c r="J736" i="10"/>
  <c r="H737" i="10"/>
  <c r="J737" i="10"/>
  <c r="H738" i="10"/>
  <c r="J738" i="10"/>
  <c r="H739" i="10"/>
  <c r="J739" i="10"/>
  <c r="H740" i="10"/>
  <c r="J740" i="10"/>
  <c r="H741" i="10"/>
  <c r="J741" i="10"/>
  <c r="H742" i="10"/>
  <c r="J742" i="10"/>
  <c r="H743" i="10"/>
  <c r="J743" i="10"/>
  <c r="H744" i="10"/>
  <c r="J744" i="10"/>
  <c r="H745" i="10"/>
  <c r="J745" i="10"/>
  <c r="H746" i="10"/>
  <c r="J746" i="10"/>
  <c r="H747" i="10"/>
  <c r="J747" i="10"/>
  <c r="H748" i="10"/>
  <c r="J748" i="10"/>
  <c r="H749" i="10"/>
  <c r="J749" i="10"/>
  <c r="H750" i="10"/>
  <c r="J750" i="10"/>
  <c r="H751" i="10"/>
  <c r="J751" i="10"/>
  <c r="H752" i="10"/>
  <c r="J752" i="10"/>
  <c r="H753" i="10"/>
  <c r="J753" i="10"/>
  <c r="H754" i="10"/>
  <c r="J754" i="10"/>
  <c r="H755" i="10"/>
  <c r="J755" i="10"/>
  <c r="H756" i="10"/>
  <c r="J756" i="10"/>
  <c r="H757" i="10"/>
  <c r="J757" i="10"/>
  <c r="H758" i="10"/>
  <c r="J758" i="10"/>
  <c r="H759" i="10"/>
  <c r="J759" i="10"/>
  <c r="H760" i="10"/>
  <c r="J760" i="10"/>
  <c r="H761" i="10"/>
  <c r="J761" i="10"/>
  <c r="H762" i="10"/>
  <c r="J762" i="10"/>
  <c r="H763" i="10"/>
  <c r="J763" i="10"/>
  <c r="H764" i="10"/>
  <c r="J764" i="10"/>
  <c r="H765" i="10"/>
  <c r="J765" i="10"/>
  <c r="H766" i="10"/>
  <c r="J766" i="10"/>
  <c r="H767" i="10"/>
  <c r="J767" i="10"/>
  <c r="H768" i="10"/>
  <c r="J768" i="10"/>
  <c r="H769" i="10"/>
  <c r="J769" i="10"/>
  <c r="H770" i="10"/>
  <c r="J770" i="10"/>
  <c r="H771" i="10"/>
  <c r="J771" i="10"/>
  <c r="H772" i="10"/>
  <c r="J772" i="10"/>
  <c r="H773" i="10"/>
  <c r="J773" i="10"/>
  <c r="H774" i="10"/>
  <c r="J774" i="10"/>
  <c r="H775" i="10"/>
  <c r="J775" i="10"/>
  <c r="H776" i="10"/>
  <c r="J776" i="10"/>
  <c r="H777" i="10"/>
  <c r="J777" i="10"/>
  <c r="H778" i="10"/>
  <c r="J778" i="10"/>
  <c r="H779" i="10"/>
  <c r="J779" i="10"/>
  <c r="H780" i="10"/>
  <c r="J780" i="10"/>
  <c r="H781" i="10"/>
  <c r="J781" i="10"/>
  <c r="H782" i="10"/>
  <c r="J782" i="10"/>
  <c r="H783" i="10"/>
  <c r="J783" i="10"/>
  <c r="H784" i="10"/>
  <c r="J784" i="10"/>
  <c r="H785" i="10"/>
  <c r="J785" i="10"/>
  <c r="H786" i="10"/>
  <c r="J786" i="10"/>
  <c r="H787" i="10"/>
  <c r="J787" i="10"/>
  <c r="H788" i="10"/>
  <c r="J788" i="10"/>
  <c r="H789" i="10"/>
  <c r="J789" i="10"/>
  <c r="H790" i="10"/>
  <c r="J790" i="10"/>
  <c r="H791" i="10"/>
  <c r="J791" i="10"/>
  <c r="H792" i="10"/>
  <c r="J792" i="10"/>
  <c r="H793" i="10"/>
  <c r="J793" i="10"/>
  <c r="H794" i="10"/>
  <c r="J794" i="10"/>
  <c r="H795" i="10"/>
  <c r="J795" i="10"/>
  <c r="H796" i="10"/>
  <c r="J796" i="10"/>
  <c r="H797" i="10"/>
  <c r="J797" i="10"/>
  <c r="H798" i="10"/>
  <c r="J798" i="10"/>
  <c r="H799" i="10"/>
  <c r="J799" i="10"/>
  <c r="H800" i="10"/>
  <c r="J800" i="10"/>
  <c r="H801" i="10"/>
  <c r="J801" i="10"/>
  <c r="H802" i="10"/>
  <c r="J802" i="10"/>
  <c r="H803" i="10"/>
  <c r="J803" i="10"/>
  <c r="H804" i="10"/>
  <c r="J804" i="10"/>
  <c r="H805" i="10"/>
  <c r="J805" i="10"/>
  <c r="H806" i="10"/>
  <c r="J806" i="10"/>
  <c r="H807" i="10"/>
  <c r="J807" i="10"/>
  <c r="H808" i="10"/>
  <c r="J808" i="10"/>
  <c r="H809" i="10"/>
  <c r="J809" i="10"/>
  <c r="H810" i="10"/>
  <c r="J810" i="10"/>
  <c r="H811" i="10"/>
  <c r="J811" i="10"/>
  <c r="H812" i="10"/>
  <c r="J812" i="10"/>
  <c r="H813" i="10"/>
  <c r="J813" i="10"/>
  <c r="H814" i="10"/>
  <c r="J814" i="10"/>
  <c r="H815" i="10"/>
  <c r="J815" i="10"/>
  <c r="H816" i="10"/>
  <c r="J816" i="10"/>
  <c r="H817" i="10"/>
  <c r="J817" i="10"/>
  <c r="H818" i="10"/>
  <c r="J818" i="10"/>
  <c r="H819" i="10"/>
  <c r="J819" i="10"/>
  <c r="H820" i="10"/>
  <c r="J820" i="10"/>
  <c r="H821" i="10"/>
  <c r="J821" i="10"/>
  <c r="H822" i="10"/>
  <c r="J822" i="10"/>
  <c r="H823" i="10"/>
  <c r="J823" i="10"/>
  <c r="H824" i="10"/>
  <c r="J824" i="10"/>
  <c r="H825" i="10"/>
  <c r="J825" i="10"/>
  <c r="H826" i="10"/>
  <c r="J826" i="10"/>
  <c r="H827" i="10"/>
  <c r="J827" i="10"/>
  <c r="H828" i="10"/>
  <c r="J828" i="10"/>
  <c r="H829" i="10"/>
  <c r="J829" i="10"/>
  <c r="H830" i="10"/>
  <c r="J830" i="10"/>
  <c r="H831" i="10"/>
  <c r="J831" i="10"/>
  <c r="H832" i="10"/>
  <c r="J832" i="10"/>
  <c r="H833" i="10"/>
  <c r="J833" i="10"/>
  <c r="H834" i="10"/>
  <c r="J834" i="10"/>
  <c r="H835" i="10"/>
  <c r="J835" i="10"/>
  <c r="H836" i="10"/>
  <c r="J836" i="10"/>
  <c r="H837" i="10"/>
  <c r="J837" i="10"/>
  <c r="H838" i="10"/>
  <c r="J838" i="10"/>
  <c r="H839" i="10"/>
  <c r="J839" i="10"/>
  <c r="H840" i="10"/>
  <c r="J840" i="10"/>
  <c r="H841" i="10"/>
  <c r="J841" i="10"/>
  <c r="H842" i="10"/>
  <c r="J842" i="10"/>
  <c r="H843" i="10"/>
  <c r="J843" i="10"/>
  <c r="H844" i="10"/>
  <c r="J844" i="10"/>
  <c r="H845" i="10"/>
  <c r="J845" i="10"/>
  <c r="H846" i="10"/>
  <c r="J846" i="10"/>
  <c r="H847" i="10"/>
  <c r="J847" i="10"/>
  <c r="H848" i="10"/>
  <c r="J848" i="10"/>
  <c r="H849" i="10"/>
  <c r="J849" i="10"/>
  <c r="H850" i="10"/>
  <c r="J850" i="10"/>
  <c r="H851" i="10"/>
  <c r="J851" i="10"/>
  <c r="H852" i="10"/>
  <c r="J852" i="10"/>
  <c r="H853" i="10"/>
  <c r="J853" i="10"/>
  <c r="H854" i="10"/>
  <c r="J854" i="10"/>
  <c r="H855" i="10"/>
  <c r="J855" i="10"/>
  <c r="H856" i="10"/>
  <c r="J856" i="10"/>
  <c r="H857" i="10"/>
  <c r="J857" i="10"/>
  <c r="H858" i="10"/>
  <c r="J858" i="10"/>
  <c r="H859" i="10"/>
  <c r="J859" i="10"/>
  <c r="H860" i="10"/>
  <c r="J860" i="10"/>
  <c r="H861" i="10"/>
  <c r="J861" i="10"/>
  <c r="H862" i="10"/>
  <c r="J862" i="10"/>
  <c r="H863" i="10"/>
  <c r="J863" i="10"/>
  <c r="H864" i="10"/>
  <c r="J864" i="10"/>
  <c r="H865" i="10"/>
  <c r="J865" i="10"/>
  <c r="H866" i="10"/>
  <c r="J866" i="10"/>
  <c r="H867" i="10"/>
  <c r="J867" i="10"/>
  <c r="H868" i="10"/>
  <c r="J868" i="10"/>
  <c r="H869" i="10"/>
  <c r="J869" i="10"/>
  <c r="H870" i="10"/>
  <c r="J870" i="10"/>
  <c r="H871" i="10"/>
  <c r="J871" i="10"/>
  <c r="H872" i="10"/>
  <c r="J872" i="10"/>
  <c r="H873" i="10"/>
  <c r="J873" i="10"/>
  <c r="H874" i="10"/>
  <c r="J874" i="10"/>
  <c r="H875" i="10"/>
  <c r="J875" i="10"/>
  <c r="H876" i="10"/>
  <c r="J876" i="10"/>
  <c r="H877" i="10"/>
  <c r="J877" i="10"/>
  <c r="H878" i="10"/>
  <c r="J878" i="10"/>
  <c r="H879" i="10"/>
  <c r="J879" i="10"/>
  <c r="H880" i="10"/>
  <c r="J880" i="10"/>
  <c r="H881" i="10"/>
  <c r="J881" i="10"/>
  <c r="H882" i="10"/>
  <c r="J882" i="10"/>
  <c r="H883" i="10"/>
  <c r="J883" i="10"/>
  <c r="H884" i="10"/>
  <c r="J884" i="10"/>
  <c r="H885" i="10"/>
  <c r="J885" i="10"/>
  <c r="H886" i="10"/>
  <c r="J886" i="10"/>
  <c r="H887" i="10"/>
  <c r="J887" i="10"/>
  <c r="H888" i="10"/>
  <c r="J888" i="10"/>
  <c r="H889" i="10"/>
  <c r="J889" i="10"/>
  <c r="H890" i="10"/>
  <c r="J890" i="10"/>
  <c r="H891" i="10"/>
  <c r="J891" i="10"/>
  <c r="H892" i="10"/>
  <c r="J892" i="10"/>
  <c r="H893" i="10"/>
  <c r="J893" i="10"/>
  <c r="H894" i="10"/>
  <c r="J894" i="10"/>
  <c r="H895" i="10"/>
  <c r="J895" i="10"/>
  <c r="H896" i="10"/>
  <c r="J896" i="10"/>
  <c r="H897" i="10"/>
  <c r="J897" i="10"/>
  <c r="H898" i="10"/>
  <c r="J898" i="10"/>
  <c r="H899" i="10"/>
  <c r="J899" i="10"/>
  <c r="H900" i="10"/>
  <c r="J900" i="10"/>
  <c r="H901" i="10"/>
  <c r="J901" i="10"/>
  <c r="H902" i="10"/>
  <c r="J902" i="10"/>
  <c r="H903" i="10"/>
  <c r="J903" i="10"/>
  <c r="H904" i="10"/>
  <c r="J904" i="10"/>
  <c r="H905" i="10"/>
  <c r="J905" i="10"/>
  <c r="H906" i="10"/>
  <c r="J906" i="10"/>
  <c r="H907" i="10"/>
  <c r="J907" i="10"/>
  <c r="H908" i="10"/>
  <c r="J908" i="10"/>
  <c r="H909" i="10"/>
  <c r="J909" i="10"/>
  <c r="H910" i="10"/>
  <c r="J910" i="10"/>
  <c r="H911" i="10"/>
  <c r="J911" i="10"/>
  <c r="H912" i="10"/>
  <c r="J912" i="10"/>
  <c r="H913" i="10"/>
  <c r="J913" i="10"/>
  <c r="H914" i="10"/>
  <c r="J914" i="10"/>
  <c r="H915" i="10"/>
  <c r="J915" i="10"/>
  <c r="H916" i="10"/>
  <c r="J916" i="10"/>
  <c r="H917" i="10"/>
  <c r="J917" i="10"/>
  <c r="H918" i="10"/>
  <c r="J918" i="10"/>
  <c r="H919" i="10"/>
  <c r="J919" i="10"/>
  <c r="H920" i="10"/>
  <c r="J920" i="10"/>
  <c r="H921" i="10"/>
  <c r="J921" i="10"/>
  <c r="H922" i="10"/>
  <c r="J922" i="10"/>
  <c r="H923" i="10"/>
  <c r="J923" i="10"/>
  <c r="H924" i="10"/>
  <c r="J924" i="10"/>
  <c r="H925" i="10"/>
  <c r="J925" i="10"/>
  <c r="H926" i="10"/>
  <c r="J926" i="10"/>
  <c r="H927" i="10"/>
  <c r="J927" i="10"/>
  <c r="H928" i="10"/>
  <c r="J928" i="10"/>
  <c r="H929" i="10"/>
  <c r="J929" i="10"/>
  <c r="H930" i="10"/>
  <c r="J930" i="10"/>
  <c r="H931" i="10"/>
  <c r="J931" i="10"/>
  <c r="H932" i="10"/>
  <c r="J932" i="10"/>
  <c r="H933" i="10"/>
  <c r="J933" i="10"/>
  <c r="H934" i="10"/>
  <c r="J934" i="10"/>
  <c r="H935" i="10"/>
  <c r="J935" i="10"/>
  <c r="H936" i="10"/>
  <c r="J936" i="10"/>
  <c r="H937" i="10"/>
  <c r="J937" i="10"/>
  <c r="H938" i="10"/>
  <c r="J938" i="10"/>
  <c r="H939" i="10"/>
  <c r="J939" i="10"/>
  <c r="H940" i="10"/>
  <c r="J940" i="10"/>
  <c r="H941" i="10"/>
  <c r="J941" i="10"/>
  <c r="H942" i="10"/>
  <c r="J942" i="10"/>
  <c r="H943" i="10"/>
  <c r="J943" i="10"/>
  <c r="H944" i="10"/>
  <c r="J944" i="10"/>
  <c r="H945" i="10"/>
  <c r="J945" i="10"/>
  <c r="H946" i="10"/>
  <c r="J946" i="10"/>
  <c r="H947" i="10"/>
  <c r="J947" i="10"/>
  <c r="H948" i="10"/>
  <c r="J948" i="10"/>
  <c r="H949" i="10"/>
  <c r="J949" i="10"/>
  <c r="H950" i="10"/>
  <c r="J950" i="10"/>
  <c r="H951" i="10"/>
  <c r="J951" i="10"/>
  <c r="H952" i="10"/>
  <c r="J952" i="10"/>
  <c r="H953" i="10"/>
  <c r="J953" i="10"/>
  <c r="H954" i="10"/>
  <c r="J954" i="10"/>
  <c r="H955" i="10"/>
  <c r="J955" i="10"/>
  <c r="H956" i="10"/>
  <c r="J956" i="10"/>
  <c r="H957" i="10"/>
  <c r="J957" i="10"/>
  <c r="H958" i="10"/>
  <c r="J958" i="10"/>
  <c r="H959" i="10"/>
  <c r="J959" i="10"/>
  <c r="H960" i="10"/>
  <c r="J960" i="10"/>
  <c r="H961" i="10"/>
  <c r="J961" i="10"/>
  <c r="H962" i="10"/>
  <c r="J962" i="10"/>
  <c r="H963" i="10"/>
  <c r="J963" i="10"/>
  <c r="H964" i="10"/>
  <c r="J964" i="10"/>
  <c r="H965" i="10"/>
  <c r="J965" i="10"/>
  <c r="H966" i="10"/>
  <c r="J966" i="10"/>
  <c r="H967" i="10"/>
  <c r="J967" i="10"/>
  <c r="H968" i="10"/>
  <c r="J968" i="10"/>
  <c r="H969" i="10"/>
  <c r="J969" i="10"/>
  <c r="H970" i="10"/>
  <c r="J970" i="10"/>
  <c r="H971" i="10"/>
  <c r="J971" i="10"/>
  <c r="H972" i="10"/>
  <c r="J972" i="10"/>
  <c r="H973" i="10"/>
  <c r="J973" i="10"/>
  <c r="H974" i="10"/>
  <c r="J974" i="10"/>
  <c r="H975" i="10"/>
  <c r="J975" i="10"/>
  <c r="H976" i="10"/>
  <c r="J976" i="10"/>
  <c r="H977" i="10"/>
  <c r="J977" i="10"/>
  <c r="H978" i="10"/>
  <c r="J978" i="10"/>
  <c r="H979" i="10"/>
  <c r="J979" i="10"/>
  <c r="H980" i="10"/>
  <c r="J980" i="10"/>
  <c r="H981" i="10"/>
  <c r="J981" i="10"/>
  <c r="H982" i="10"/>
  <c r="J982" i="10"/>
  <c r="H983" i="10"/>
  <c r="J983" i="10"/>
  <c r="H984" i="10"/>
  <c r="J984" i="10"/>
  <c r="H985" i="10"/>
  <c r="J985" i="10"/>
  <c r="H986" i="10"/>
  <c r="J986" i="10"/>
  <c r="H987" i="10"/>
  <c r="J987" i="10"/>
  <c r="H988" i="10"/>
  <c r="J988" i="10"/>
  <c r="H989" i="10"/>
  <c r="J989" i="10"/>
  <c r="H990" i="10"/>
  <c r="J990" i="10"/>
  <c r="H991" i="10"/>
  <c r="J991" i="10"/>
  <c r="H992" i="10"/>
  <c r="J992" i="10"/>
  <c r="H993" i="10"/>
  <c r="J993" i="10"/>
  <c r="H994" i="10"/>
  <c r="J994" i="10"/>
  <c r="H995" i="10"/>
  <c r="J995" i="10"/>
  <c r="H996" i="10"/>
  <c r="J996" i="10"/>
  <c r="H997" i="10"/>
  <c r="J997" i="10"/>
  <c r="H998" i="10"/>
  <c r="J998" i="10"/>
  <c r="H999" i="10"/>
  <c r="J999" i="10"/>
  <c r="H1000" i="10"/>
  <c r="J1000" i="10"/>
  <c r="J1" i="10"/>
  <c r="K1" i="10"/>
  <c r="M1" i="10"/>
  <c r="N1" i="10"/>
  <c r="O1" i="10"/>
  <c r="P1" i="10"/>
  <c r="Q1" i="10"/>
  <c r="B1" i="10"/>
  <c r="C1" i="10"/>
  <c r="D1" i="10"/>
  <c r="E1" i="10"/>
  <c r="F1" i="10"/>
  <c r="G1" i="10"/>
  <c r="H1" i="10"/>
  <c r="D2" i="3"/>
  <c r="D2" i="10" s="1"/>
  <c r="D3" i="3"/>
  <c r="D3" i="10" s="1"/>
  <c r="D4" i="3"/>
  <c r="D4" i="10" s="1"/>
  <c r="D5" i="3"/>
  <c r="D5" i="10" s="1"/>
  <c r="D6" i="3"/>
  <c r="D6" i="10" s="1"/>
  <c r="D7" i="3"/>
  <c r="D7" i="10" s="1"/>
  <c r="D8" i="3"/>
  <c r="D8" i="10" s="1"/>
  <c r="D9" i="3"/>
  <c r="D9" i="10" s="1"/>
  <c r="D10" i="3"/>
  <c r="D10" i="10" s="1"/>
  <c r="D11" i="3"/>
  <c r="D11" i="10" s="1"/>
  <c r="D12" i="3"/>
  <c r="D12" i="10" s="1"/>
  <c r="D13" i="3"/>
  <c r="D13" i="10" s="1"/>
  <c r="D14" i="3"/>
  <c r="D14" i="10" s="1"/>
  <c r="D15" i="3"/>
  <c r="D15" i="10" s="1"/>
  <c r="D16" i="3"/>
  <c r="D16" i="10" s="1"/>
  <c r="D17" i="3"/>
  <c r="D17" i="10" s="1"/>
  <c r="D18" i="3"/>
  <c r="D18" i="10" s="1"/>
  <c r="D19" i="3"/>
  <c r="D19" i="10" s="1"/>
  <c r="D20" i="3"/>
  <c r="D20" i="10" s="1"/>
  <c r="D21" i="3"/>
  <c r="D21" i="10" s="1"/>
  <c r="D22" i="3"/>
  <c r="D22" i="10" s="1"/>
  <c r="D23" i="3"/>
  <c r="D23" i="10" s="1"/>
  <c r="D24" i="3"/>
  <c r="D24" i="10" s="1"/>
  <c r="D25" i="3"/>
  <c r="D25" i="10" s="1"/>
  <c r="D26" i="3"/>
  <c r="D26" i="10" s="1"/>
  <c r="D27" i="3"/>
  <c r="D27" i="10" s="1"/>
  <c r="D28" i="3"/>
  <c r="D28" i="10" s="1"/>
  <c r="D29" i="3"/>
  <c r="D29" i="10" s="1"/>
  <c r="D30" i="3"/>
  <c r="D30" i="10" s="1"/>
  <c r="D31" i="3"/>
  <c r="D31" i="10" s="1"/>
  <c r="D32" i="3"/>
  <c r="D32" i="10" s="1"/>
  <c r="D33" i="3"/>
  <c r="D33" i="10" s="1"/>
  <c r="D34" i="3"/>
  <c r="D34" i="10" s="1"/>
  <c r="D35" i="3"/>
  <c r="D35" i="10" s="1"/>
  <c r="D36" i="3"/>
  <c r="D36" i="10" s="1"/>
  <c r="D37" i="3"/>
  <c r="D37" i="10" s="1"/>
  <c r="D38" i="3"/>
  <c r="D38" i="10" s="1"/>
  <c r="D39" i="3"/>
  <c r="D39" i="10" s="1"/>
  <c r="D40" i="3"/>
  <c r="D40" i="10" s="1"/>
  <c r="D41" i="3"/>
  <c r="D41" i="10" s="1"/>
  <c r="D42" i="3"/>
  <c r="D42" i="10" s="1"/>
  <c r="D43" i="3"/>
  <c r="D43" i="10" s="1"/>
  <c r="D44" i="3"/>
  <c r="D44" i="10" s="1"/>
  <c r="D45" i="3"/>
  <c r="D45" i="10" s="1"/>
  <c r="D46" i="3"/>
  <c r="D46" i="10" s="1"/>
  <c r="D47" i="3"/>
  <c r="D47" i="10" s="1"/>
  <c r="D48" i="3"/>
  <c r="D48" i="10" s="1"/>
  <c r="D49" i="3"/>
  <c r="D49" i="10" s="1"/>
  <c r="D50" i="3"/>
  <c r="D50" i="10" s="1"/>
  <c r="D51" i="3"/>
  <c r="D51" i="10" s="1"/>
  <c r="D52" i="3"/>
  <c r="D52" i="10" s="1"/>
  <c r="D53" i="3"/>
  <c r="D53" i="10" s="1"/>
  <c r="D54" i="3"/>
  <c r="D54" i="10" s="1"/>
  <c r="D55" i="3"/>
  <c r="D55" i="10" s="1"/>
  <c r="D56" i="3"/>
  <c r="D56" i="10" s="1"/>
  <c r="D57" i="3"/>
  <c r="D57" i="10" s="1"/>
  <c r="D58" i="3"/>
  <c r="D58" i="10" s="1"/>
  <c r="D59" i="3"/>
  <c r="D59" i="10" s="1"/>
  <c r="D60" i="3"/>
  <c r="D60" i="10" s="1"/>
  <c r="D61" i="3"/>
  <c r="D61" i="10" s="1"/>
  <c r="D62" i="3"/>
  <c r="D62" i="10" s="1"/>
  <c r="D63" i="3"/>
  <c r="D63" i="10" s="1"/>
  <c r="D64" i="3"/>
  <c r="D64" i="10" s="1"/>
  <c r="D65" i="3"/>
  <c r="D65" i="10" s="1"/>
  <c r="D66" i="3"/>
  <c r="D66" i="10" s="1"/>
  <c r="D67" i="3"/>
  <c r="D67" i="10" s="1"/>
  <c r="D68" i="3"/>
  <c r="D68" i="10" s="1"/>
  <c r="D69" i="3"/>
  <c r="D69" i="10" s="1"/>
  <c r="D70" i="3"/>
  <c r="D70" i="10" s="1"/>
  <c r="D71" i="3"/>
  <c r="D71" i="10" s="1"/>
  <c r="D72" i="3"/>
  <c r="D72" i="10" s="1"/>
  <c r="D73" i="3"/>
  <c r="D73" i="10" s="1"/>
  <c r="D74" i="3"/>
  <c r="D74" i="10" s="1"/>
  <c r="D75" i="3"/>
  <c r="D75" i="10" s="1"/>
  <c r="D76" i="3"/>
  <c r="D76" i="10" s="1"/>
  <c r="D77" i="3"/>
  <c r="D77" i="10" s="1"/>
  <c r="D78" i="3"/>
  <c r="D78" i="10" s="1"/>
  <c r="D79" i="3"/>
  <c r="D79" i="10" s="1"/>
  <c r="D80" i="3"/>
  <c r="D80" i="10" s="1"/>
  <c r="D81" i="3"/>
  <c r="D81" i="10" s="1"/>
  <c r="D82" i="3"/>
  <c r="D82" i="10" s="1"/>
  <c r="D83" i="3"/>
  <c r="D83" i="10" s="1"/>
  <c r="D84" i="3"/>
  <c r="D84" i="10" s="1"/>
  <c r="D85" i="3"/>
  <c r="D85" i="10" s="1"/>
  <c r="D86" i="3"/>
  <c r="D86" i="10" s="1"/>
  <c r="D87" i="3"/>
  <c r="D87" i="10" s="1"/>
  <c r="D88" i="3"/>
  <c r="D88" i="10" s="1"/>
  <c r="D89" i="3"/>
  <c r="D89" i="10" s="1"/>
  <c r="D90" i="3"/>
  <c r="D90" i="10" s="1"/>
  <c r="D91" i="3"/>
  <c r="D91" i="10" s="1"/>
  <c r="D92" i="3"/>
  <c r="D92" i="10" s="1"/>
  <c r="D93" i="3"/>
  <c r="D93" i="10" s="1"/>
  <c r="D94" i="3"/>
  <c r="D94" i="10" s="1"/>
  <c r="D95" i="3"/>
  <c r="D95" i="10" s="1"/>
  <c r="D96" i="3"/>
  <c r="D96" i="10" s="1"/>
  <c r="D97" i="3"/>
  <c r="D97" i="10" s="1"/>
  <c r="D98" i="3"/>
  <c r="D98" i="10" s="1"/>
  <c r="D99" i="3"/>
  <c r="D99" i="10" s="1"/>
  <c r="D100" i="3"/>
  <c r="D100" i="10" s="1"/>
  <c r="D101" i="3"/>
  <c r="D101" i="10" s="1"/>
  <c r="D102" i="3"/>
  <c r="D102" i="10" s="1"/>
  <c r="D103" i="3"/>
  <c r="D103" i="10" s="1"/>
  <c r="D104" i="3"/>
  <c r="D104" i="10" s="1"/>
  <c r="D105" i="3"/>
  <c r="D105" i="10" s="1"/>
  <c r="D106" i="3"/>
  <c r="D106" i="10" s="1"/>
  <c r="D107" i="3"/>
  <c r="D107" i="10" s="1"/>
  <c r="D108" i="3"/>
  <c r="D108" i="10" s="1"/>
  <c r="D109" i="3"/>
  <c r="D109" i="10" s="1"/>
  <c r="D110" i="3"/>
  <c r="D110" i="10" s="1"/>
  <c r="D111" i="3"/>
  <c r="D111" i="10" s="1"/>
  <c r="D112" i="3"/>
  <c r="D112" i="10" s="1"/>
  <c r="D113" i="3"/>
  <c r="D113" i="10" s="1"/>
  <c r="D114" i="3"/>
  <c r="D114" i="10" s="1"/>
  <c r="D115" i="3"/>
  <c r="D115" i="10" s="1"/>
  <c r="D116" i="3"/>
  <c r="D116" i="10" s="1"/>
  <c r="D117" i="3"/>
  <c r="D117" i="10" s="1"/>
  <c r="D118" i="3"/>
  <c r="D118" i="10" s="1"/>
  <c r="D119" i="3"/>
  <c r="D119" i="10" s="1"/>
  <c r="D120" i="3"/>
  <c r="D120" i="10" s="1"/>
  <c r="D121" i="3"/>
  <c r="D121" i="10" s="1"/>
  <c r="D122" i="3"/>
  <c r="D122" i="10" s="1"/>
  <c r="D123" i="3"/>
  <c r="D123" i="10" s="1"/>
  <c r="D124" i="3"/>
  <c r="D124" i="10" s="1"/>
  <c r="D125" i="3"/>
  <c r="D125" i="10" s="1"/>
  <c r="D126" i="3"/>
  <c r="D126" i="10" s="1"/>
  <c r="D127" i="3"/>
  <c r="D127" i="10" s="1"/>
  <c r="D128" i="3"/>
  <c r="D128" i="10" s="1"/>
  <c r="D129" i="3"/>
  <c r="D129" i="10" s="1"/>
  <c r="D130" i="3"/>
  <c r="D130" i="10" s="1"/>
  <c r="D131" i="3"/>
  <c r="D131" i="10" s="1"/>
  <c r="D132" i="3"/>
  <c r="D132" i="10" s="1"/>
  <c r="D133" i="3"/>
  <c r="D133" i="10" s="1"/>
  <c r="D134" i="3"/>
  <c r="D134" i="10" s="1"/>
  <c r="D135" i="3"/>
  <c r="D135" i="10" s="1"/>
  <c r="D136" i="3"/>
  <c r="D136" i="10" s="1"/>
  <c r="D137" i="3"/>
  <c r="D137" i="10" s="1"/>
  <c r="D138" i="3"/>
  <c r="D138" i="10" s="1"/>
  <c r="D139" i="3"/>
  <c r="D139" i="10" s="1"/>
  <c r="D140" i="3"/>
  <c r="D140" i="10" s="1"/>
  <c r="D141" i="3"/>
  <c r="D141" i="10" s="1"/>
  <c r="D142" i="3"/>
  <c r="D142" i="10" s="1"/>
  <c r="D143" i="3"/>
  <c r="D143" i="10" s="1"/>
  <c r="D144" i="3"/>
  <c r="D144" i="10" s="1"/>
  <c r="D145" i="3"/>
  <c r="D145" i="10" s="1"/>
  <c r="D146" i="3"/>
  <c r="D146" i="10" s="1"/>
  <c r="D147" i="3"/>
  <c r="D147" i="10" s="1"/>
  <c r="D148" i="3"/>
  <c r="D148" i="10" s="1"/>
  <c r="D149" i="3"/>
  <c r="D149" i="10" s="1"/>
  <c r="D150" i="3"/>
  <c r="D150" i="10" s="1"/>
  <c r="D151" i="3"/>
  <c r="D151" i="10" s="1"/>
  <c r="D152" i="3"/>
  <c r="D152" i="10" s="1"/>
  <c r="D153" i="3"/>
  <c r="D153" i="10" s="1"/>
  <c r="D154" i="3"/>
  <c r="D154" i="10" s="1"/>
  <c r="D155" i="3"/>
  <c r="D155" i="10" s="1"/>
  <c r="D156" i="3"/>
  <c r="D156" i="10" s="1"/>
  <c r="D157" i="3"/>
  <c r="D157" i="10" s="1"/>
  <c r="D158" i="3"/>
  <c r="D158" i="10" s="1"/>
  <c r="D159" i="3"/>
  <c r="D159" i="10" s="1"/>
  <c r="D160" i="3"/>
  <c r="D160" i="10" s="1"/>
  <c r="D161" i="3"/>
  <c r="D161" i="10" s="1"/>
  <c r="D162" i="3"/>
  <c r="D162" i="10" s="1"/>
  <c r="D163" i="3"/>
  <c r="D163" i="10" s="1"/>
  <c r="D164" i="3"/>
  <c r="D164" i="10" s="1"/>
  <c r="D165" i="3"/>
  <c r="D165" i="10" s="1"/>
  <c r="D166" i="3"/>
  <c r="D166" i="10" s="1"/>
  <c r="D167" i="3"/>
  <c r="D167" i="10" s="1"/>
  <c r="D168" i="3"/>
  <c r="D168" i="10" s="1"/>
  <c r="D169" i="3"/>
  <c r="D169" i="10" s="1"/>
  <c r="D170" i="3"/>
  <c r="D170" i="10" s="1"/>
  <c r="D171" i="3"/>
  <c r="D171" i="10" s="1"/>
  <c r="D172" i="3"/>
  <c r="D172" i="10" s="1"/>
  <c r="D173" i="3"/>
  <c r="D173" i="10" s="1"/>
  <c r="D174" i="3"/>
  <c r="D174" i="10" s="1"/>
  <c r="D175" i="3"/>
  <c r="D175" i="10" s="1"/>
  <c r="D176" i="3"/>
  <c r="D176" i="10" s="1"/>
  <c r="D177" i="3"/>
  <c r="D177" i="10" s="1"/>
  <c r="D178" i="3"/>
  <c r="D178" i="10" s="1"/>
  <c r="D179" i="3"/>
  <c r="D179" i="10" s="1"/>
  <c r="D180" i="3"/>
  <c r="D180" i="10" s="1"/>
  <c r="D181" i="3"/>
  <c r="D181" i="10" s="1"/>
  <c r="D182" i="3"/>
  <c r="D182" i="10" s="1"/>
  <c r="D183" i="3"/>
  <c r="D183" i="10" s="1"/>
  <c r="D184" i="3"/>
  <c r="D184" i="10" s="1"/>
  <c r="D185" i="3"/>
  <c r="D185" i="10" s="1"/>
  <c r="D186" i="3"/>
  <c r="D186" i="10" s="1"/>
  <c r="D187" i="3"/>
  <c r="D187" i="10" s="1"/>
  <c r="D188" i="3"/>
  <c r="D188" i="10" s="1"/>
  <c r="D189" i="3"/>
  <c r="D189" i="10" s="1"/>
  <c r="D190" i="3"/>
  <c r="D190" i="10" s="1"/>
  <c r="D191" i="3"/>
  <c r="D191" i="10" s="1"/>
  <c r="D192" i="3"/>
  <c r="D192" i="10" s="1"/>
  <c r="D193" i="3"/>
  <c r="D193" i="10" s="1"/>
  <c r="D194" i="3"/>
  <c r="D194" i="10" s="1"/>
  <c r="D195" i="3"/>
  <c r="D195" i="10" s="1"/>
  <c r="D196" i="3"/>
  <c r="D196" i="10" s="1"/>
  <c r="D197" i="3"/>
  <c r="D197" i="10" s="1"/>
  <c r="D198" i="3"/>
  <c r="D198" i="10" s="1"/>
  <c r="D199" i="3"/>
  <c r="D199" i="10" s="1"/>
  <c r="D200" i="3"/>
  <c r="D200" i="10" s="1"/>
  <c r="D201" i="3"/>
  <c r="D201" i="10" s="1"/>
  <c r="D202" i="3"/>
  <c r="D202" i="10" s="1"/>
  <c r="D203" i="3"/>
  <c r="D203" i="10" s="1"/>
  <c r="D204" i="3"/>
  <c r="D204" i="10" s="1"/>
  <c r="D205" i="3"/>
  <c r="D205" i="10" s="1"/>
  <c r="D206" i="3"/>
  <c r="D206" i="10" s="1"/>
  <c r="D207" i="3"/>
  <c r="D207" i="10" s="1"/>
  <c r="D208" i="3"/>
  <c r="D208" i="10" s="1"/>
  <c r="D209" i="3"/>
  <c r="D209" i="10" s="1"/>
  <c r="D210" i="3"/>
  <c r="D210" i="10" s="1"/>
  <c r="D211" i="3"/>
  <c r="D211" i="10" s="1"/>
  <c r="D212" i="3"/>
  <c r="D212" i="10" s="1"/>
  <c r="D213" i="3"/>
  <c r="D213" i="10" s="1"/>
  <c r="D214" i="3"/>
  <c r="D214" i="10" s="1"/>
  <c r="D215" i="3"/>
  <c r="D215" i="10" s="1"/>
  <c r="D216" i="3"/>
  <c r="D216" i="10" s="1"/>
  <c r="D217" i="3"/>
  <c r="D217" i="10" s="1"/>
  <c r="D218" i="3"/>
  <c r="D218" i="10" s="1"/>
  <c r="D219" i="3"/>
  <c r="D219" i="10" s="1"/>
  <c r="D220" i="3"/>
  <c r="D220" i="10" s="1"/>
  <c r="D221" i="3"/>
  <c r="D221" i="10" s="1"/>
  <c r="D222" i="3"/>
  <c r="D222" i="10" s="1"/>
  <c r="D223" i="3"/>
  <c r="D223" i="10" s="1"/>
  <c r="D224" i="3"/>
  <c r="D224" i="10" s="1"/>
  <c r="D225" i="3"/>
  <c r="D225" i="10" s="1"/>
  <c r="D226" i="3"/>
  <c r="D226" i="10" s="1"/>
  <c r="D227" i="3"/>
  <c r="D227" i="10" s="1"/>
  <c r="D228" i="3"/>
  <c r="D228" i="10" s="1"/>
  <c r="D229" i="3"/>
  <c r="D229" i="10" s="1"/>
  <c r="D230" i="3"/>
  <c r="D230" i="10" s="1"/>
  <c r="D231" i="3"/>
  <c r="D231" i="10" s="1"/>
  <c r="D232" i="3"/>
  <c r="D232" i="10" s="1"/>
  <c r="D233" i="3"/>
  <c r="D233" i="10" s="1"/>
  <c r="D234" i="3"/>
  <c r="D234" i="10" s="1"/>
  <c r="D235" i="3"/>
  <c r="D235" i="10" s="1"/>
  <c r="D236" i="3"/>
  <c r="D236" i="10" s="1"/>
  <c r="D237" i="3"/>
  <c r="D237" i="10" s="1"/>
  <c r="D238" i="3"/>
  <c r="D238" i="10" s="1"/>
  <c r="D239" i="3"/>
  <c r="D239" i="10" s="1"/>
  <c r="D240" i="3"/>
  <c r="D240" i="10" s="1"/>
  <c r="D241" i="3"/>
  <c r="D241" i="10" s="1"/>
  <c r="D242" i="3"/>
  <c r="D242" i="10" s="1"/>
  <c r="D243" i="3"/>
  <c r="D243" i="10" s="1"/>
  <c r="D244" i="3"/>
  <c r="D244" i="10" s="1"/>
  <c r="D245" i="3"/>
  <c r="D245" i="10" s="1"/>
  <c r="D246" i="3"/>
  <c r="D246" i="10" s="1"/>
  <c r="D247" i="3"/>
  <c r="D247" i="10" s="1"/>
  <c r="D248" i="3"/>
  <c r="D248" i="10" s="1"/>
  <c r="D249" i="3"/>
  <c r="D249" i="10" s="1"/>
  <c r="D250" i="3"/>
  <c r="D250" i="10" s="1"/>
  <c r="D251" i="3"/>
  <c r="D251" i="10" s="1"/>
  <c r="D252" i="3"/>
  <c r="D252" i="10" s="1"/>
  <c r="D253" i="3"/>
  <c r="D253" i="10" s="1"/>
  <c r="D254" i="3"/>
  <c r="D254" i="10" s="1"/>
  <c r="D255" i="3"/>
  <c r="D255" i="10" s="1"/>
  <c r="D256" i="3"/>
  <c r="D256" i="10" s="1"/>
  <c r="D257" i="3"/>
  <c r="D257" i="10" s="1"/>
  <c r="D258" i="3"/>
  <c r="D258" i="10" s="1"/>
  <c r="D259" i="3"/>
  <c r="D259" i="10" s="1"/>
  <c r="D260" i="3"/>
  <c r="D260" i="10" s="1"/>
  <c r="D261" i="3"/>
  <c r="D261" i="10" s="1"/>
  <c r="D262" i="3"/>
  <c r="D262" i="10" s="1"/>
  <c r="D263" i="3"/>
  <c r="D263" i="10" s="1"/>
  <c r="D264" i="3"/>
  <c r="D264" i="10" s="1"/>
  <c r="D265" i="3"/>
  <c r="D265" i="10" s="1"/>
  <c r="D266" i="3"/>
  <c r="D266" i="10" s="1"/>
  <c r="D267" i="3"/>
  <c r="D267" i="10" s="1"/>
  <c r="D268" i="3"/>
  <c r="D268" i="10" s="1"/>
  <c r="D269" i="3"/>
  <c r="D269" i="10" s="1"/>
  <c r="D270" i="3"/>
  <c r="D270" i="10" s="1"/>
  <c r="D271" i="3"/>
  <c r="D271" i="10" s="1"/>
  <c r="D272" i="3"/>
  <c r="D272" i="10" s="1"/>
  <c r="D273" i="3"/>
  <c r="D273" i="10" s="1"/>
  <c r="D274" i="3"/>
  <c r="D274" i="10" s="1"/>
  <c r="D275" i="3"/>
  <c r="D275" i="10" s="1"/>
  <c r="D276" i="3"/>
  <c r="D276" i="10" s="1"/>
  <c r="D277" i="3"/>
  <c r="D277" i="10" s="1"/>
  <c r="D278" i="3"/>
  <c r="D278" i="10" s="1"/>
  <c r="D279" i="3"/>
  <c r="D279" i="10" s="1"/>
  <c r="D280" i="3"/>
  <c r="D280" i="10" s="1"/>
  <c r="D281" i="3"/>
  <c r="D281" i="10" s="1"/>
  <c r="D282" i="3"/>
  <c r="D282" i="10" s="1"/>
  <c r="D283" i="3"/>
  <c r="D283" i="10" s="1"/>
  <c r="D284" i="3"/>
  <c r="D284" i="10" s="1"/>
  <c r="D285" i="3"/>
  <c r="D285" i="10" s="1"/>
  <c r="D286" i="3"/>
  <c r="D286" i="10" s="1"/>
  <c r="D287" i="3"/>
  <c r="D287" i="10" s="1"/>
  <c r="D288" i="3"/>
  <c r="D288" i="10" s="1"/>
  <c r="D289" i="3"/>
  <c r="D289" i="10" s="1"/>
  <c r="D290" i="3"/>
  <c r="D290" i="10" s="1"/>
  <c r="D291" i="3"/>
  <c r="D291" i="10" s="1"/>
  <c r="D292" i="3"/>
  <c r="D292" i="10" s="1"/>
  <c r="D293" i="3"/>
  <c r="D293" i="10" s="1"/>
  <c r="D294" i="3"/>
  <c r="D294" i="10" s="1"/>
  <c r="D295" i="3"/>
  <c r="D295" i="10" s="1"/>
  <c r="D296" i="3"/>
  <c r="D296" i="10" s="1"/>
  <c r="D297" i="3"/>
  <c r="D297" i="10" s="1"/>
  <c r="D298" i="3"/>
  <c r="D298" i="10" s="1"/>
  <c r="D299" i="3"/>
  <c r="D299" i="10" s="1"/>
  <c r="D300" i="3"/>
  <c r="D300" i="10" s="1"/>
  <c r="D301" i="3"/>
  <c r="D301" i="10" s="1"/>
  <c r="D302" i="3"/>
  <c r="D302" i="10" s="1"/>
  <c r="D303" i="3"/>
  <c r="D303" i="10" s="1"/>
  <c r="D304" i="3"/>
  <c r="D304" i="10" s="1"/>
  <c r="D305" i="3"/>
  <c r="D305" i="10" s="1"/>
  <c r="D306" i="3"/>
  <c r="D306" i="10" s="1"/>
  <c r="D307" i="3"/>
  <c r="D307" i="10" s="1"/>
  <c r="D308" i="3"/>
  <c r="D308" i="10" s="1"/>
  <c r="D309" i="3"/>
  <c r="D309" i="10" s="1"/>
  <c r="D310" i="3"/>
  <c r="D310" i="10" s="1"/>
  <c r="D311" i="3"/>
  <c r="D311" i="10" s="1"/>
  <c r="D312" i="3"/>
  <c r="D312" i="10" s="1"/>
  <c r="D313" i="3"/>
  <c r="D313" i="10" s="1"/>
  <c r="D314" i="3"/>
  <c r="D314" i="10" s="1"/>
  <c r="D315" i="3"/>
  <c r="D315" i="10" s="1"/>
  <c r="D316" i="3"/>
  <c r="D316" i="10" s="1"/>
  <c r="D317" i="3"/>
  <c r="D317" i="10" s="1"/>
  <c r="D318" i="3"/>
  <c r="D318" i="10" s="1"/>
  <c r="D319" i="3"/>
  <c r="D319" i="10" s="1"/>
  <c r="D320" i="3"/>
  <c r="D320" i="10" s="1"/>
  <c r="D321" i="3"/>
  <c r="D321" i="10" s="1"/>
  <c r="D322" i="3"/>
  <c r="D322" i="10" s="1"/>
  <c r="D323" i="3"/>
  <c r="D323" i="10" s="1"/>
  <c r="D324" i="3"/>
  <c r="D324" i="10" s="1"/>
  <c r="D325" i="3"/>
  <c r="D325" i="10" s="1"/>
  <c r="D326" i="3"/>
  <c r="D326" i="10" s="1"/>
  <c r="D327" i="3"/>
  <c r="D327" i="10" s="1"/>
  <c r="D328" i="3"/>
  <c r="D328" i="10" s="1"/>
  <c r="D329" i="3"/>
  <c r="D329" i="10" s="1"/>
  <c r="D330" i="3"/>
  <c r="D330" i="10" s="1"/>
  <c r="D331" i="3"/>
  <c r="D331" i="10" s="1"/>
  <c r="D332" i="3"/>
  <c r="D332" i="10" s="1"/>
  <c r="D333" i="3"/>
  <c r="D333" i="10" s="1"/>
  <c r="D334" i="3"/>
  <c r="D334" i="10" s="1"/>
  <c r="D335" i="3"/>
  <c r="D335" i="10" s="1"/>
  <c r="D336" i="3"/>
  <c r="D336" i="10" s="1"/>
  <c r="D337" i="3"/>
  <c r="D337" i="10" s="1"/>
  <c r="D338" i="3"/>
  <c r="D338" i="10" s="1"/>
  <c r="D339" i="3"/>
  <c r="D339" i="10" s="1"/>
  <c r="D340" i="3"/>
  <c r="D340" i="10" s="1"/>
  <c r="D341" i="3"/>
  <c r="D341" i="10" s="1"/>
  <c r="D342" i="3"/>
  <c r="D342" i="10" s="1"/>
  <c r="D343" i="3"/>
  <c r="D343" i="10" s="1"/>
  <c r="D344" i="3"/>
  <c r="D344" i="10" s="1"/>
  <c r="D345" i="3"/>
  <c r="D345" i="10" s="1"/>
  <c r="D346" i="3"/>
  <c r="D346" i="10" s="1"/>
  <c r="D347" i="3"/>
  <c r="D347" i="10" s="1"/>
  <c r="D348" i="3"/>
  <c r="D348" i="10" s="1"/>
  <c r="D349" i="3"/>
  <c r="D349" i="10" s="1"/>
  <c r="D350" i="3"/>
  <c r="D350" i="10" s="1"/>
  <c r="D351" i="3"/>
  <c r="D351" i="10" s="1"/>
  <c r="D352" i="3"/>
  <c r="D352" i="10" s="1"/>
  <c r="D353" i="3"/>
  <c r="D353" i="10" s="1"/>
  <c r="D354" i="3"/>
  <c r="D354" i="10" s="1"/>
  <c r="D355" i="3"/>
  <c r="D355" i="10" s="1"/>
  <c r="D356" i="3"/>
  <c r="D356" i="10" s="1"/>
  <c r="D357" i="3"/>
  <c r="D357" i="10" s="1"/>
  <c r="D358" i="3"/>
  <c r="D358" i="10" s="1"/>
  <c r="D359" i="3"/>
  <c r="D359" i="10" s="1"/>
  <c r="D360" i="3"/>
  <c r="D360" i="10" s="1"/>
  <c r="D361" i="3"/>
  <c r="D361" i="10" s="1"/>
  <c r="D362" i="3"/>
  <c r="D362" i="10" s="1"/>
  <c r="D363" i="3"/>
  <c r="D363" i="10" s="1"/>
  <c r="D364" i="3"/>
  <c r="D364" i="10" s="1"/>
  <c r="D365" i="3"/>
  <c r="D365" i="10" s="1"/>
  <c r="D366" i="3"/>
  <c r="D366" i="10" s="1"/>
  <c r="D367" i="3"/>
  <c r="D367" i="10" s="1"/>
  <c r="D368" i="3"/>
  <c r="D368" i="10" s="1"/>
  <c r="D369" i="3"/>
  <c r="D369" i="10" s="1"/>
  <c r="D370" i="3"/>
  <c r="D370" i="10" s="1"/>
  <c r="D371" i="3"/>
  <c r="D371" i="10" s="1"/>
  <c r="D372" i="3"/>
  <c r="D372" i="10" s="1"/>
  <c r="D373" i="3"/>
  <c r="D373" i="10" s="1"/>
  <c r="D374" i="3"/>
  <c r="D374" i="10" s="1"/>
  <c r="D375" i="3"/>
  <c r="D375" i="10" s="1"/>
  <c r="D376" i="3"/>
  <c r="D376" i="10" s="1"/>
  <c r="D377" i="3"/>
  <c r="D377" i="10" s="1"/>
  <c r="D378" i="3"/>
  <c r="D378" i="10" s="1"/>
  <c r="D379" i="3"/>
  <c r="D379" i="10" s="1"/>
  <c r="D380" i="3"/>
  <c r="D380" i="10" s="1"/>
  <c r="D381" i="3"/>
  <c r="D381" i="10" s="1"/>
  <c r="D382" i="3"/>
  <c r="D382" i="10" s="1"/>
  <c r="D383" i="3"/>
  <c r="D383" i="10" s="1"/>
  <c r="D384" i="3"/>
  <c r="D384" i="10" s="1"/>
  <c r="D385" i="3"/>
  <c r="D385" i="10" s="1"/>
  <c r="D386" i="3"/>
  <c r="D386" i="10" s="1"/>
  <c r="D387" i="3"/>
  <c r="D387" i="10" s="1"/>
  <c r="D388" i="3"/>
  <c r="D388" i="10" s="1"/>
  <c r="D389" i="3"/>
  <c r="D389" i="10" s="1"/>
  <c r="D390" i="3"/>
  <c r="D390" i="10" s="1"/>
  <c r="D391" i="3"/>
  <c r="D391" i="10" s="1"/>
  <c r="D392" i="3"/>
  <c r="D392" i="10" s="1"/>
  <c r="D393" i="3"/>
  <c r="D393" i="10" s="1"/>
  <c r="D394" i="3"/>
  <c r="D394" i="10" s="1"/>
  <c r="D395" i="3"/>
  <c r="D395" i="10" s="1"/>
  <c r="D396" i="3"/>
  <c r="D396" i="10" s="1"/>
  <c r="D397" i="3"/>
  <c r="D397" i="10" s="1"/>
  <c r="D398" i="3"/>
  <c r="D398" i="10" s="1"/>
  <c r="D399" i="3"/>
  <c r="D399" i="10" s="1"/>
  <c r="D400" i="3"/>
  <c r="D400" i="10" s="1"/>
  <c r="D401" i="3"/>
  <c r="D401" i="10" s="1"/>
  <c r="D402" i="3"/>
  <c r="D402" i="10" s="1"/>
  <c r="D403" i="3"/>
  <c r="D403" i="10" s="1"/>
  <c r="D404" i="3"/>
  <c r="D404" i="10" s="1"/>
  <c r="D405" i="3"/>
  <c r="D405" i="10" s="1"/>
  <c r="D406" i="3"/>
  <c r="D406" i="10" s="1"/>
  <c r="D407" i="3"/>
  <c r="D407" i="10" s="1"/>
  <c r="D408" i="3"/>
  <c r="D408" i="10" s="1"/>
  <c r="D409" i="3"/>
  <c r="D409" i="10" s="1"/>
  <c r="D410" i="3"/>
  <c r="D410" i="10" s="1"/>
  <c r="D411" i="3"/>
  <c r="D411" i="10" s="1"/>
  <c r="D412" i="3"/>
  <c r="D412" i="10" s="1"/>
  <c r="D413" i="3"/>
  <c r="D413" i="10" s="1"/>
  <c r="D414" i="3"/>
  <c r="D414" i="10" s="1"/>
  <c r="D415" i="3"/>
  <c r="D415" i="10" s="1"/>
  <c r="D416" i="3"/>
  <c r="D416" i="10" s="1"/>
  <c r="D417" i="3"/>
  <c r="D417" i="10" s="1"/>
  <c r="D418" i="3"/>
  <c r="D418" i="10" s="1"/>
  <c r="D419" i="3"/>
  <c r="D419" i="10" s="1"/>
  <c r="D420" i="3"/>
  <c r="D420" i="10" s="1"/>
  <c r="D421" i="3"/>
  <c r="D421" i="10" s="1"/>
  <c r="D422" i="3"/>
  <c r="D422" i="10" s="1"/>
  <c r="D423" i="3"/>
  <c r="D423" i="10" s="1"/>
  <c r="D424" i="3"/>
  <c r="D424" i="10" s="1"/>
  <c r="D425" i="3"/>
  <c r="D425" i="10" s="1"/>
  <c r="D426" i="3"/>
  <c r="D426" i="10" s="1"/>
  <c r="D427" i="3"/>
  <c r="D427" i="10" s="1"/>
  <c r="D428" i="3"/>
  <c r="D428" i="10" s="1"/>
  <c r="D429" i="3"/>
  <c r="D429" i="10" s="1"/>
  <c r="D430" i="3"/>
  <c r="D430" i="10" s="1"/>
  <c r="D431" i="3"/>
  <c r="D431" i="10" s="1"/>
  <c r="D432" i="3"/>
  <c r="D432" i="10" s="1"/>
  <c r="D433" i="3"/>
  <c r="D433" i="10" s="1"/>
  <c r="D434" i="3"/>
  <c r="D434" i="10" s="1"/>
  <c r="D435" i="3"/>
  <c r="D435" i="10" s="1"/>
  <c r="D436" i="3"/>
  <c r="D436" i="10" s="1"/>
  <c r="D437" i="3"/>
  <c r="D437" i="10" s="1"/>
  <c r="D438" i="3"/>
  <c r="D438" i="10" s="1"/>
  <c r="D439" i="3"/>
  <c r="D439" i="10" s="1"/>
  <c r="D440" i="3"/>
  <c r="D440" i="10" s="1"/>
  <c r="D441" i="3"/>
  <c r="D441" i="10" s="1"/>
  <c r="D442" i="3"/>
  <c r="D442" i="10" s="1"/>
  <c r="D443" i="3"/>
  <c r="D443" i="10" s="1"/>
  <c r="D444" i="3"/>
  <c r="D444" i="10" s="1"/>
  <c r="D445" i="3"/>
  <c r="D445" i="10" s="1"/>
  <c r="D446" i="3"/>
  <c r="D446" i="10" s="1"/>
  <c r="D447" i="3"/>
  <c r="D447" i="10" s="1"/>
  <c r="D448" i="3"/>
  <c r="D448" i="10" s="1"/>
  <c r="D449" i="3"/>
  <c r="D449" i="10" s="1"/>
  <c r="D450" i="3"/>
  <c r="D450" i="10" s="1"/>
  <c r="D451" i="3"/>
  <c r="D451" i="10" s="1"/>
  <c r="D452" i="3"/>
  <c r="D452" i="10" s="1"/>
  <c r="D453" i="3"/>
  <c r="D453" i="10" s="1"/>
  <c r="D454" i="3"/>
  <c r="D454" i="10" s="1"/>
  <c r="D455" i="3"/>
  <c r="D455" i="10" s="1"/>
  <c r="D456" i="3"/>
  <c r="D456" i="10" s="1"/>
  <c r="D457" i="3"/>
  <c r="D457" i="10" s="1"/>
  <c r="D458" i="3"/>
  <c r="D458" i="10" s="1"/>
  <c r="D459" i="3"/>
  <c r="D459" i="10" s="1"/>
  <c r="D460" i="3"/>
  <c r="D460" i="10" s="1"/>
  <c r="D461" i="3"/>
  <c r="D461" i="10" s="1"/>
  <c r="D462" i="3"/>
  <c r="D462" i="10" s="1"/>
  <c r="D463" i="3"/>
  <c r="D463" i="10" s="1"/>
  <c r="D464" i="3"/>
  <c r="D464" i="10" s="1"/>
  <c r="D465" i="3"/>
  <c r="D465" i="10" s="1"/>
  <c r="D466" i="3"/>
  <c r="D466" i="10" s="1"/>
  <c r="D467" i="3"/>
  <c r="D467" i="10" s="1"/>
  <c r="D468" i="3"/>
  <c r="D468" i="10" s="1"/>
  <c r="D469" i="3"/>
  <c r="D469" i="10" s="1"/>
  <c r="D470" i="3"/>
  <c r="D470" i="10" s="1"/>
  <c r="D471" i="3"/>
  <c r="D471" i="10" s="1"/>
  <c r="D472" i="3"/>
  <c r="D472" i="10" s="1"/>
  <c r="D473" i="3"/>
  <c r="D473" i="10" s="1"/>
  <c r="D474" i="3"/>
  <c r="D474" i="10" s="1"/>
  <c r="D475" i="3"/>
  <c r="D475" i="10" s="1"/>
  <c r="D476" i="3"/>
  <c r="D476" i="10" s="1"/>
  <c r="D477" i="3"/>
  <c r="D477" i="10" s="1"/>
  <c r="D478" i="3"/>
  <c r="D478" i="10" s="1"/>
  <c r="D479" i="3"/>
  <c r="D479" i="10" s="1"/>
  <c r="D480" i="3"/>
  <c r="D480" i="10" s="1"/>
  <c r="D481" i="3"/>
  <c r="D481" i="10" s="1"/>
  <c r="D482" i="3"/>
  <c r="D482" i="10" s="1"/>
  <c r="D483" i="3"/>
  <c r="D483" i="10" s="1"/>
  <c r="D484" i="3"/>
  <c r="D484" i="10" s="1"/>
  <c r="D485" i="3"/>
  <c r="D485" i="10" s="1"/>
  <c r="D486" i="3"/>
  <c r="D486" i="10" s="1"/>
  <c r="D487" i="3"/>
  <c r="D487" i="10" s="1"/>
  <c r="D488" i="3"/>
  <c r="D488" i="10" s="1"/>
  <c r="D489" i="3"/>
  <c r="D489" i="10" s="1"/>
  <c r="D490" i="3"/>
  <c r="D490" i="10" s="1"/>
  <c r="D491" i="3"/>
  <c r="D491" i="10" s="1"/>
  <c r="D492" i="3"/>
  <c r="D492" i="10" s="1"/>
  <c r="D493" i="3"/>
  <c r="D493" i="10" s="1"/>
  <c r="D494" i="3"/>
  <c r="D494" i="10" s="1"/>
  <c r="D495" i="3"/>
  <c r="D495" i="10" s="1"/>
  <c r="D496" i="3"/>
  <c r="D496" i="10" s="1"/>
  <c r="D497" i="3"/>
  <c r="D497" i="10" s="1"/>
  <c r="D498" i="3"/>
  <c r="D498" i="10" s="1"/>
  <c r="D499" i="3"/>
  <c r="D499" i="10" s="1"/>
  <c r="D500" i="3"/>
  <c r="D500" i="10" s="1"/>
  <c r="D501" i="3"/>
  <c r="D501" i="10" s="1"/>
  <c r="D502" i="3"/>
  <c r="D502" i="10" s="1"/>
  <c r="D503" i="3"/>
  <c r="D503" i="10" s="1"/>
  <c r="D504" i="3"/>
  <c r="D504" i="10" s="1"/>
  <c r="D505" i="3"/>
  <c r="D505" i="10" s="1"/>
  <c r="D506" i="3"/>
  <c r="D506" i="10" s="1"/>
  <c r="D507" i="3"/>
  <c r="D507" i="10" s="1"/>
  <c r="D508" i="3"/>
  <c r="D508" i="10" s="1"/>
  <c r="D509" i="3"/>
  <c r="D509" i="10" s="1"/>
  <c r="D510" i="3"/>
  <c r="D510" i="10" s="1"/>
  <c r="D511" i="3"/>
  <c r="D511" i="10" s="1"/>
  <c r="D512" i="3"/>
  <c r="D512" i="10" s="1"/>
  <c r="D513" i="3"/>
  <c r="D513" i="10" s="1"/>
  <c r="D514" i="3"/>
  <c r="D514" i="10" s="1"/>
  <c r="D515" i="3"/>
  <c r="D515" i="10" s="1"/>
  <c r="D516" i="3"/>
  <c r="D516" i="10" s="1"/>
  <c r="D517" i="3"/>
  <c r="D517" i="10" s="1"/>
  <c r="D518" i="3"/>
  <c r="D518" i="10" s="1"/>
  <c r="D519" i="3"/>
  <c r="D519" i="10" s="1"/>
  <c r="D520" i="3"/>
  <c r="D520" i="10" s="1"/>
  <c r="D521" i="3"/>
  <c r="D521" i="10" s="1"/>
  <c r="D522" i="3"/>
  <c r="D522" i="10" s="1"/>
  <c r="D523" i="3"/>
  <c r="D523" i="10" s="1"/>
  <c r="D524" i="3"/>
  <c r="D524" i="10" s="1"/>
  <c r="D525" i="3"/>
  <c r="D525" i="10" s="1"/>
  <c r="D526" i="3"/>
  <c r="D526" i="10" s="1"/>
  <c r="D527" i="3"/>
  <c r="D527" i="10" s="1"/>
  <c r="D528" i="3"/>
  <c r="D528" i="10" s="1"/>
  <c r="D529" i="3"/>
  <c r="D529" i="10" s="1"/>
  <c r="D530" i="3"/>
  <c r="D530" i="10" s="1"/>
  <c r="D531" i="3"/>
  <c r="D531" i="10" s="1"/>
  <c r="D532" i="3"/>
  <c r="D532" i="10" s="1"/>
  <c r="D533" i="3"/>
  <c r="D533" i="10" s="1"/>
  <c r="D534" i="3"/>
  <c r="D534" i="10" s="1"/>
  <c r="D535" i="3"/>
  <c r="D535" i="10" s="1"/>
  <c r="D536" i="3"/>
  <c r="D536" i="10" s="1"/>
  <c r="D537" i="3"/>
  <c r="D537" i="10" s="1"/>
  <c r="D538" i="3"/>
  <c r="D538" i="10" s="1"/>
  <c r="D539" i="3"/>
  <c r="D539" i="10" s="1"/>
  <c r="D540" i="3"/>
  <c r="D540" i="10" s="1"/>
  <c r="D541" i="3"/>
  <c r="D541" i="10" s="1"/>
  <c r="D542" i="3"/>
  <c r="D542" i="10" s="1"/>
  <c r="D543" i="3"/>
  <c r="D543" i="10" s="1"/>
  <c r="D544" i="3"/>
  <c r="D544" i="10" s="1"/>
  <c r="D545" i="3"/>
  <c r="D545" i="10" s="1"/>
  <c r="D546" i="3"/>
  <c r="D546" i="10" s="1"/>
  <c r="D547" i="3"/>
  <c r="D547" i="10" s="1"/>
  <c r="D548" i="3"/>
  <c r="D548" i="10" s="1"/>
  <c r="D549" i="3"/>
  <c r="D549" i="10" s="1"/>
  <c r="D550" i="3"/>
  <c r="D550" i="10" s="1"/>
  <c r="D551" i="3"/>
  <c r="D551" i="10" s="1"/>
  <c r="D552" i="3"/>
  <c r="D552" i="10" s="1"/>
  <c r="D553" i="3"/>
  <c r="D553" i="10" s="1"/>
  <c r="D554" i="3"/>
  <c r="D554" i="10" s="1"/>
  <c r="D555" i="3"/>
  <c r="D555" i="10" s="1"/>
  <c r="D556" i="3"/>
  <c r="D556" i="10" s="1"/>
  <c r="D557" i="3"/>
  <c r="D557" i="10" s="1"/>
  <c r="D558" i="3"/>
  <c r="D558" i="10" s="1"/>
  <c r="D559" i="3"/>
  <c r="D559" i="10" s="1"/>
  <c r="D560" i="3"/>
  <c r="D560" i="10" s="1"/>
  <c r="D561" i="3"/>
  <c r="D561" i="10" s="1"/>
  <c r="D562" i="3"/>
  <c r="D562" i="10" s="1"/>
  <c r="D563" i="3"/>
  <c r="D563" i="10" s="1"/>
  <c r="D564" i="3"/>
  <c r="D564" i="10" s="1"/>
  <c r="D565" i="3"/>
  <c r="D565" i="10" s="1"/>
  <c r="D566" i="3"/>
  <c r="D566" i="10" s="1"/>
  <c r="D567" i="3"/>
  <c r="D567" i="10" s="1"/>
  <c r="D568" i="3"/>
  <c r="D568" i="10" s="1"/>
  <c r="D569" i="3"/>
  <c r="D569" i="10" s="1"/>
  <c r="D570" i="3"/>
  <c r="D570" i="10" s="1"/>
  <c r="D571" i="3"/>
  <c r="D571" i="10" s="1"/>
  <c r="D572" i="3"/>
  <c r="D572" i="10" s="1"/>
  <c r="D573" i="3"/>
  <c r="D573" i="10" s="1"/>
  <c r="D574" i="3"/>
  <c r="D574" i="10" s="1"/>
  <c r="D575" i="3"/>
  <c r="D575" i="10" s="1"/>
  <c r="D576" i="3"/>
  <c r="D576" i="10" s="1"/>
  <c r="D577" i="3"/>
  <c r="D577" i="10" s="1"/>
  <c r="D578" i="3"/>
  <c r="D578" i="10" s="1"/>
  <c r="D579" i="3"/>
  <c r="D579" i="10" s="1"/>
  <c r="D580" i="3"/>
  <c r="D580" i="10" s="1"/>
  <c r="D581" i="3"/>
  <c r="D581" i="10" s="1"/>
  <c r="D582" i="3"/>
  <c r="D582" i="10" s="1"/>
  <c r="D583" i="3"/>
  <c r="D583" i="10" s="1"/>
  <c r="D584" i="3"/>
  <c r="D584" i="10" s="1"/>
  <c r="D585" i="3"/>
  <c r="D585" i="10" s="1"/>
  <c r="D586" i="3"/>
  <c r="D586" i="10" s="1"/>
  <c r="D587" i="3"/>
  <c r="D587" i="10" s="1"/>
  <c r="D588" i="3"/>
  <c r="D588" i="10" s="1"/>
  <c r="D589" i="3"/>
  <c r="D589" i="10" s="1"/>
  <c r="D590" i="3"/>
  <c r="D590" i="10" s="1"/>
  <c r="D591" i="3"/>
  <c r="D591" i="10" s="1"/>
  <c r="D592" i="3"/>
  <c r="D592" i="10" s="1"/>
  <c r="D593" i="3"/>
  <c r="D593" i="10" s="1"/>
  <c r="D594" i="3"/>
  <c r="D594" i="10" s="1"/>
  <c r="D595" i="3"/>
  <c r="D595" i="10" s="1"/>
  <c r="D596" i="3"/>
  <c r="D596" i="10" s="1"/>
  <c r="D597" i="3"/>
  <c r="D597" i="10" s="1"/>
  <c r="D598" i="3"/>
  <c r="D598" i="10" s="1"/>
  <c r="D599" i="3"/>
  <c r="D599" i="10" s="1"/>
  <c r="D600" i="3"/>
  <c r="D600" i="10" s="1"/>
  <c r="D601" i="3"/>
  <c r="D601" i="10" s="1"/>
  <c r="D602" i="3"/>
  <c r="D602" i="10" s="1"/>
  <c r="D603" i="3"/>
  <c r="D603" i="10" s="1"/>
  <c r="D604" i="3"/>
  <c r="D604" i="10" s="1"/>
  <c r="D605" i="3"/>
  <c r="D605" i="10" s="1"/>
  <c r="D606" i="3"/>
  <c r="D606" i="10" s="1"/>
  <c r="D607" i="3"/>
  <c r="D607" i="10" s="1"/>
  <c r="D608" i="3"/>
  <c r="D608" i="10" s="1"/>
  <c r="D609" i="3"/>
  <c r="D609" i="10" s="1"/>
  <c r="D610" i="3"/>
  <c r="D610" i="10" s="1"/>
  <c r="D611" i="3"/>
  <c r="D611" i="10" s="1"/>
  <c r="D612" i="3"/>
  <c r="D612" i="10" s="1"/>
  <c r="D613" i="3"/>
  <c r="D613" i="10" s="1"/>
  <c r="D614" i="3"/>
  <c r="D614" i="10" s="1"/>
  <c r="D615" i="3"/>
  <c r="D615" i="10" s="1"/>
  <c r="D616" i="3"/>
  <c r="D616" i="10" s="1"/>
  <c r="D617" i="3"/>
  <c r="D617" i="10" s="1"/>
  <c r="D618" i="3"/>
  <c r="D618" i="10" s="1"/>
  <c r="D619" i="3"/>
  <c r="D619" i="10" s="1"/>
  <c r="D620" i="3"/>
  <c r="D620" i="10" s="1"/>
  <c r="D621" i="3"/>
  <c r="D621" i="10" s="1"/>
  <c r="D622" i="3"/>
  <c r="D622" i="10" s="1"/>
  <c r="D623" i="3"/>
  <c r="D623" i="10" s="1"/>
  <c r="D624" i="3"/>
  <c r="D624" i="10" s="1"/>
  <c r="D625" i="3"/>
  <c r="D625" i="10" s="1"/>
  <c r="D626" i="3"/>
  <c r="D626" i="10" s="1"/>
  <c r="D627" i="3"/>
  <c r="D627" i="10" s="1"/>
  <c r="D628" i="3"/>
  <c r="D628" i="10" s="1"/>
  <c r="D629" i="3"/>
  <c r="D629" i="10" s="1"/>
  <c r="D630" i="3"/>
  <c r="D630" i="10" s="1"/>
  <c r="D631" i="3"/>
  <c r="D631" i="10" s="1"/>
  <c r="D632" i="3"/>
  <c r="D632" i="10" s="1"/>
  <c r="D633" i="3"/>
  <c r="D633" i="10" s="1"/>
  <c r="D634" i="3"/>
  <c r="D634" i="10" s="1"/>
  <c r="D635" i="3"/>
  <c r="D635" i="10" s="1"/>
  <c r="D636" i="3"/>
  <c r="D636" i="10" s="1"/>
  <c r="D637" i="3"/>
  <c r="D637" i="10" s="1"/>
  <c r="D638" i="3"/>
  <c r="D638" i="10" s="1"/>
  <c r="D639" i="3"/>
  <c r="D639" i="10" s="1"/>
  <c r="D640" i="3"/>
  <c r="D640" i="10" s="1"/>
  <c r="D641" i="3"/>
  <c r="D641" i="10" s="1"/>
  <c r="D642" i="3"/>
  <c r="D642" i="10" s="1"/>
  <c r="D643" i="3"/>
  <c r="D643" i="10" s="1"/>
  <c r="D644" i="3"/>
  <c r="D644" i="10" s="1"/>
  <c r="D645" i="3"/>
  <c r="D645" i="10" s="1"/>
  <c r="D646" i="3"/>
  <c r="D646" i="10" s="1"/>
  <c r="D647" i="3"/>
  <c r="D647" i="10" s="1"/>
  <c r="D648" i="3"/>
  <c r="D648" i="10" s="1"/>
  <c r="D649" i="3"/>
  <c r="D649" i="10" s="1"/>
  <c r="D650" i="3"/>
  <c r="D650" i="10" s="1"/>
  <c r="D651" i="3"/>
  <c r="D651" i="10" s="1"/>
  <c r="D652" i="3"/>
  <c r="D652" i="10" s="1"/>
  <c r="D653" i="3"/>
  <c r="D653" i="10" s="1"/>
  <c r="D654" i="3"/>
  <c r="D654" i="10" s="1"/>
  <c r="D655" i="3"/>
  <c r="D655" i="10" s="1"/>
  <c r="D656" i="3"/>
  <c r="D656" i="10" s="1"/>
  <c r="D657" i="3"/>
  <c r="D657" i="10" s="1"/>
  <c r="D658" i="3"/>
  <c r="D658" i="10" s="1"/>
  <c r="D659" i="3"/>
  <c r="D659" i="10" s="1"/>
  <c r="D660" i="3"/>
  <c r="D660" i="10" s="1"/>
  <c r="D661" i="3"/>
  <c r="D661" i="10" s="1"/>
  <c r="D662" i="3"/>
  <c r="D662" i="10" s="1"/>
  <c r="D663" i="3"/>
  <c r="D663" i="10" s="1"/>
  <c r="D664" i="3"/>
  <c r="D664" i="10" s="1"/>
  <c r="D665" i="3"/>
  <c r="D665" i="10" s="1"/>
  <c r="D666" i="3"/>
  <c r="D666" i="10" s="1"/>
  <c r="D667" i="3"/>
  <c r="D667" i="10" s="1"/>
  <c r="D668" i="3"/>
  <c r="D668" i="10" s="1"/>
  <c r="D669" i="3"/>
  <c r="D669" i="10" s="1"/>
  <c r="D670" i="3"/>
  <c r="D670" i="10" s="1"/>
  <c r="D671" i="3"/>
  <c r="D671" i="10" s="1"/>
  <c r="D672" i="3"/>
  <c r="D672" i="10" s="1"/>
  <c r="D673" i="3"/>
  <c r="D673" i="10" s="1"/>
  <c r="D674" i="3"/>
  <c r="D674" i="10" s="1"/>
  <c r="D675" i="3"/>
  <c r="D675" i="10" s="1"/>
  <c r="D676" i="3"/>
  <c r="D676" i="10" s="1"/>
  <c r="D677" i="3"/>
  <c r="D677" i="10" s="1"/>
  <c r="D678" i="3"/>
  <c r="D678" i="10" s="1"/>
  <c r="D679" i="3"/>
  <c r="D679" i="10" s="1"/>
  <c r="D680" i="3"/>
  <c r="D680" i="10" s="1"/>
  <c r="D681" i="3"/>
  <c r="D681" i="10" s="1"/>
  <c r="D682" i="3"/>
  <c r="D682" i="10" s="1"/>
  <c r="D683" i="3"/>
  <c r="D683" i="10" s="1"/>
  <c r="D684" i="3"/>
  <c r="D684" i="10" s="1"/>
  <c r="D685" i="3"/>
  <c r="D685" i="10" s="1"/>
  <c r="D686" i="3"/>
  <c r="D686" i="10" s="1"/>
  <c r="D687" i="3"/>
  <c r="D687" i="10" s="1"/>
  <c r="D688" i="3"/>
  <c r="D688" i="10" s="1"/>
  <c r="D689" i="3"/>
  <c r="D689" i="10" s="1"/>
  <c r="D690" i="3"/>
  <c r="D690" i="10" s="1"/>
  <c r="D691" i="3"/>
  <c r="D691" i="10" s="1"/>
  <c r="D692" i="3"/>
  <c r="D692" i="10" s="1"/>
  <c r="D693" i="3"/>
  <c r="D693" i="10" s="1"/>
  <c r="D694" i="3"/>
  <c r="D694" i="10" s="1"/>
  <c r="D695" i="3"/>
  <c r="D695" i="10" s="1"/>
  <c r="D696" i="3"/>
  <c r="D696" i="10" s="1"/>
  <c r="D697" i="3"/>
  <c r="D697" i="10" s="1"/>
  <c r="D698" i="3"/>
  <c r="D698" i="10" s="1"/>
  <c r="D699" i="3"/>
  <c r="D699" i="10" s="1"/>
  <c r="D700" i="3"/>
  <c r="D700" i="10" s="1"/>
  <c r="D701" i="3"/>
  <c r="D701" i="10" s="1"/>
  <c r="D702" i="3"/>
  <c r="D702" i="10" s="1"/>
  <c r="D703" i="3"/>
  <c r="D703" i="10" s="1"/>
  <c r="D704" i="3"/>
  <c r="D704" i="10" s="1"/>
  <c r="D705" i="3"/>
  <c r="D705" i="10" s="1"/>
  <c r="D706" i="3"/>
  <c r="D706" i="10" s="1"/>
  <c r="D707" i="3"/>
  <c r="D707" i="10" s="1"/>
  <c r="D708" i="3"/>
  <c r="D708" i="10" s="1"/>
  <c r="D709" i="3"/>
  <c r="D709" i="10" s="1"/>
  <c r="D710" i="3"/>
  <c r="D710" i="10" s="1"/>
  <c r="D711" i="3"/>
  <c r="D711" i="10" s="1"/>
  <c r="D712" i="3"/>
  <c r="D712" i="10" s="1"/>
  <c r="D713" i="3"/>
  <c r="D713" i="10" s="1"/>
  <c r="D714" i="3"/>
  <c r="D714" i="10" s="1"/>
  <c r="D715" i="3"/>
  <c r="D715" i="10" s="1"/>
  <c r="D716" i="3"/>
  <c r="D716" i="10" s="1"/>
  <c r="D717" i="3"/>
  <c r="D717" i="10" s="1"/>
  <c r="D718" i="3"/>
  <c r="D718" i="10" s="1"/>
  <c r="D719" i="3"/>
  <c r="D719" i="10" s="1"/>
  <c r="D720" i="3"/>
  <c r="D720" i="10" s="1"/>
  <c r="D721" i="3"/>
  <c r="D721" i="10" s="1"/>
  <c r="D722" i="3"/>
  <c r="D722" i="10" s="1"/>
  <c r="D723" i="3"/>
  <c r="D723" i="10" s="1"/>
  <c r="D724" i="3"/>
  <c r="D724" i="10" s="1"/>
  <c r="D725" i="3"/>
  <c r="D725" i="10" s="1"/>
  <c r="D726" i="3"/>
  <c r="D726" i="10" s="1"/>
  <c r="D727" i="3"/>
  <c r="D727" i="10" s="1"/>
  <c r="D728" i="3"/>
  <c r="D728" i="10" s="1"/>
  <c r="D729" i="3"/>
  <c r="D729" i="10" s="1"/>
  <c r="D730" i="3"/>
  <c r="D730" i="10" s="1"/>
  <c r="D731" i="3"/>
  <c r="D731" i="10" s="1"/>
  <c r="D732" i="3"/>
  <c r="D732" i="10" s="1"/>
  <c r="D733" i="3"/>
  <c r="D733" i="10" s="1"/>
  <c r="D734" i="3"/>
  <c r="D734" i="10" s="1"/>
  <c r="D735" i="3"/>
  <c r="D735" i="10" s="1"/>
  <c r="D736" i="3"/>
  <c r="D736" i="10" s="1"/>
  <c r="D737" i="3"/>
  <c r="D737" i="10" s="1"/>
  <c r="D738" i="3"/>
  <c r="D738" i="10" s="1"/>
  <c r="D739" i="3"/>
  <c r="D739" i="10" s="1"/>
  <c r="D740" i="3"/>
  <c r="D740" i="10" s="1"/>
  <c r="D741" i="3"/>
  <c r="D741" i="10" s="1"/>
  <c r="D742" i="3"/>
  <c r="D742" i="10" s="1"/>
  <c r="D743" i="3"/>
  <c r="D743" i="10" s="1"/>
  <c r="D744" i="3"/>
  <c r="D744" i="10" s="1"/>
  <c r="D745" i="3"/>
  <c r="D745" i="10" s="1"/>
  <c r="D746" i="3"/>
  <c r="D746" i="10" s="1"/>
  <c r="D747" i="3"/>
  <c r="D747" i="10" s="1"/>
  <c r="D748" i="3"/>
  <c r="D748" i="10" s="1"/>
  <c r="D749" i="3"/>
  <c r="D749" i="10" s="1"/>
  <c r="D750" i="3"/>
  <c r="D750" i="10" s="1"/>
  <c r="D751" i="3"/>
  <c r="D751" i="10" s="1"/>
  <c r="D752" i="3"/>
  <c r="D752" i="10" s="1"/>
  <c r="D753" i="3"/>
  <c r="D753" i="10" s="1"/>
  <c r="D754" i="3"/>
  <c r="D754" i="10" s="1"/>
  <c r="D755" i="3"/>
  <c r="D755" i="10" s="1"/>
  <c r="D756" i="3"/>
  <c r="D756" i="10" s="1"/>
  <c r="D757" i="3"/>
  <c r="D757" i="10" s="1"/>
  <c r="D758" i="3"/>
  <c r="D758" i="10" s="1"/>
  <c r="D759" i="3"/>
  <c r="D759" i="10" s="1"/>
  <c r="D760" i="3"/>
  <c r="D760" i="10" s="1"/>
  <c r="D761" i="3"/>
  <c r="D761" i="10" s="1"/>
  <c r="D762" i="3"/>
  <c r="D762" i="10" s="1"/>
  <c r="D763" i="3"/>
  <c r="D763" i="10" s="1"/>
  <c r="D764" i="3"/>
  <c r="D764" i="10" s="1"/>
  <c r="D765" i="3"/>
  <c r="D765" i="10" s="1"/>
  <c r="D766" i="3"/>
  <c r="D766" i="10" s="1"/>
  <c r="D767" i="3"/>
  <c r="D767" i="10" s="1"/>
  <c r="D768" i="3"/>
  <c r="D768" i="10" s="1"/>
  <c r="D769" i="3"/>
  <c r="D769" i="10" s="1"/>
  <c r="D770" i="3"/>
  <c r="D770" i="10" s="1"/>
  <c r="D771" i="3"/>
  <c r="D771" i="10" s="1"/>
  <c r="D772" i="3"/>
  <c r="D772" i="10" s="1"/>
  <c r="D773" i="3"/>
  <c r="D773" i="10" s="1"/>
  <c r="D774" i="3"/>
  <c r="D774" i="10" s="1"/>
  <c r="D775" i="3"/>
  <c r="D775" i="10" s="1"/>
  <c r="D776" i="3"/>
  <c r="D776" i="10" s="1"/>
  <c r="D777" i="3"/>
  <c r="D777" i="10" s="1"/>
  <c r="D778" i="3"/>
  <c r="D778" i="10" s="1"/>
  <c r="D779" i="3"/>
  <c r="D779" i="10" s="1"/>
  <c r="D780" i="3"/>
  <c r="D780" i="10" s="1"/>
  <c r="D781" i="3"/>
  <c r="D781" i="10" s="1"/>
  <c r="D782" i="3"/>
  <c r="D782" i="10" s="1"/>
  <c r="D783" i="3"/>
  <c r="D783" i="10" s="1"/>
  <c r="D784" i="3"/>
  <c r="D784" i="10" s="1"/>
  <c r="D785" i="3"/>
  <c r="D785" i="10" s="1"/>
  <c r="D786" i="3"/>
  <c r="D786" i="10" s="1"/>
  <c r="D787" i="3"/>
  <c r="D787" i="10" s="1"/>
  <c r="D788" i="3"/>
  <c r="D788" i="10" s="1"/>
  <c r="D789" i="3"/>
  <c r="D789" i="10" s="1"/>
  <c r="D790" i="3"/>
  <c r="D790" i="10" s="1"/>
  <c r="D791" i="3"/>
  <c r="D791" i="10" s="1"/>
  <c r="D792" i="3"/>
  <c r="D792" i="10" s="1"/>
  <c r="D793" i="3"/>
  <c r="D793" i="10" s="1"/>
  <c r="D794" i="3"/>
  <c r="D794" i="10" s="1"/>
  <c r="D795" i="3"/>
  <c r="D795" i="10" s="1"/>
  <c r="D796" i="3"/>
  <c r="D796" i="10" s="1"/>
  <c r="D797" i="3"/>
  <c r="D797" i="10" s="1"/>
  <c r="D798" i="3"/>
  <c r="D798" i="10" s="1"/>
  <c r="D799" i="3"/>
  <c r="D799" i="10" s="1"/>
  <c r="D800" i="3"/>
  <c r="D800" i="10" s="1"/>
  <c r="D801" i="3"/>
  <c r="D801" i="10" s="1"/>
  <c r="D802" i="3"/>
  <c r="D802" i="10" s="1"/>
  <c r="D803" i="3"/>
  <c r="D803" i="10" s="1"/>
  <c r="D804" i="3"/>
  <c r="D804" i="10" s="1"/>
  <c r="D805" i="3"/>
  <c r="D805" i="10" s="1"/>
  <c r="D806" i="3"/>
  <c r="D806" i="10" s="1"/>
  <c r="D807" i="3"/>
  <c r="D807" i="10" s="1"/>
  <c r="D808" i="3"/>
  <c r="D808" i="10" s="1"/>
  <c r="D809" i="3"/>
  <c r="D809" i="10" s="1"/>
  <c r="D810" i="3"/>
  <c r="D810" i="10" s="1"/>
  <c r="D811" i="3"/>
  <c r="D811" i="10" s="1"/>
  <c r="D812" i="3"/>
  <c r="D812" i="10" s="1"/>
  <c r="D813" i="3"/>
  <c r="D813" i="10" s="1"/>
  <c r="D814" i="3"/>
  <c r="D814" i="10" s="1"/>
  <c r="D815" i="3"/>
  <c r="D815" i="10" s="1"/>
  <c r="D816" i="3"/>
  <c r="D816" i="10" s="1"/>
  <c r="D817" i="3"/>
  <c r="D817" i="10" s="1"/>
  <c r="D818" i="3"/>
  <c r="D818" i="10" s="1"/>
  <c r="D819" i="3"/>
  <c r="D819" i="10" s="1"/>
  <c r="D820" i="3"/>
  <c r="D820" i="10" s="1"/>
  <c r="D821" i="3"/>
  <c r="D821" i="10" s="1"/>
  <c r="D822" i="3"/>
  <c r="D822" i="10" s="1"/>
  <c r="D823" i="3"/>
  <c r="D823" i="10" s="1"/>
  <c r="D824" i="3"/>
  <c r="D824" i="10" s="1"/>
  <c r="D825" i="3"/>
  <c r="D825" i="10" s="1"/>
  <c r="D826" i="3"/>
  <c r="D826" i="10" s="1"/>
  <c r="D827" i="3"/>
  <c r="D827" i="10" s="1"/>
  <c r="D828" i="3"/>
  <c r="D828" i="10" s="1"/>
  <c r="D829" i="3"/>
  <c r="D829" i="10" s="1"/>
  <c r="D830" i="3"/>
  <c r="D830" i="10" s="1"/>
  <c r="D831" i="3"/>
  <c r="D831" i="10" s="1"/>
  <c r="D832" i="3"/>
  <c r="D832" i="10" s="1"/>
  <c r="D833" i="3"/>
  <c r="D833" i="10" s="1"/>
  <c r="D834" i="3"/>
  <c r="D834" i="10" s="1"/>
  <c r="D835" i="3"/>
  <c r="D835" i="10" s="1"/>
  <c r="D836" i="3"/>
  <c r="D836" i="10" s="1"/>
  <c r="D837" i="3"/>
  <c r="D837" i="10" s="1"/>
  <c r="D838" i="3"/>
  <c r="D838" i="10" s="1"/>
  <c r="D839" i="3"/>
  <c r="D839" i="10" s="1"/>
  <c r="D840" i="3"/>
  <c r="D840" i="10" s="1"/>
  <c r="D841" i="3"/>
  <c r="D841" i="10" s="1"/>
  <c r="D842" i="3"/>
  <c r="D842" i="10" s="1"/>
  <c r="D843" i="3"/>
  <c r="D843" i="10" s="1"/>
  <c r="D844" i="3"/>
  <c r="D844" i="10" s="1"/>
  <c r="D845" i="3"/>
  <c r="D845" i="10" s="1"/>
  <c r="D846" i="3"/>
  <c r="D846" i="10" s="1"/>
  <c r="D847" i="3"/>
  <c r="D847" i="10" s="1"/>
  <c r="D848" i="3"/>
  <c r="D848" i="10" s="1"/>
  <c r="D849" i="3"/>
  <c r="D849" i="10" s="1"/>
  <c r="D850" i="3"/>
  <c r="D850" i="10" s="1"/>
  <c r="D851" i="3"/>
  <c r="D851" i="10" s="1"/>
  <c r="D852" i="3"/>
  <c r="D852" i="10" s="1"/>
  <c r="D853" i="3"/>
  <c r="D853" i="10" s="1"/>
  <c r="D854" i="3"/>
  <c r="D854" i="10" s="1"/>
  <c r="D855" i="3"/>
  <c r="D855" i="10" s="1"/>
  <c r="D856" i="3"/>
  <c r="D856" i="10" s="1"/>
  <c r="D857" i="3"/>
  <c r="D857" i="10" s="1"/>
  <c r="D858" i="3"/>
  <c r="D858" i="10" s="1"/>
  <c r="D859" i="3"/>
  <c r="D859" i="10" s="1"/>
  <c r="D860" i="3"/>
  <c r="D860" i="10" s="1"/>
  <c r="D861" i="3"/>
  <c r="D861" i="10" s="1"/>
  <c r="D862" i="3"/>
  <c r="D862" i="10" s="1"/>
  <c r="D863" i="3"/>
  <c r="D863" i="10" s="1"/>
  <c r="D864" i="3"/>
  <c r="D864" i="10" s="1"/>
  <c r="D865" i="3"/>
  <c r="D865" i="10" s="1"/>
  <c r="D866" i="3"/>
  <c r="D866" i="10" s="1"/>
  <c r="D867" i="3"/>
  <c r="D867" i="10" s="1"/>
  <c r="D868" i="3"/>
  <c r="D868" i="10" s="1"/>
  <c r="D869" i="3"/>
  <c r="D869" i="10" s="1"/>
  <c r="D870" i="3"/>
  <c r="D870" i="10" s="1"/>
  <c r="D871" i="3"/>
  <c r="D871" i="10" s="1"/>
  <c r="D872" i="3"/>
  <c r="D872" i="10" s="1"/>
  <c r="D873" i="3"/>
  <c r="D873" i="10" s="1"/>
  <c r="D874" i="3"/>
  <c r="D874" i="10" s="1"/>
  <c r="D875" i="3"/>
  <c r="D875" i="10" s="1"/>
  <c r="D876" i="3"/>
  <c r="D876" i="10" s="1"/>
  <c r="D877" i="3"/>
  <c r="D877" i="10" s="1"/>
  <c r="D878" i="3"/>
  <c r="D878" i="10" s="1"/>
  <c r="D879" i="3"/>
  <c r="D879" i="10" s="1"/>
  <c r="D880" i="3"/>
  <c r="D880" i="10" s="1"/>
  <c r="D881" i="3"/>
  <c r="D881" i="10" s="1"/>
  <c r="D882" i="3"/>
  <c r="D882" i="10" s="1"/>
  <c r="D883" i="3"/>
  <c r="D883" i="10" s="1"/>
  <c r="D884" i="3"/>
  <c r="D884" i="10" s="1"/>
  <c r="D885" i="3"/>
  <c r="D885" i="10" s="1"/>
  <c r="D886" i="3"/>
  <c r="D886" i="10" s="1"/>
  <c r="D887" i="3"/>
  <c r="D887" i="10" s="1"/>
  <c r="D888" i="3"/>
  <c r="D888" i="10" s="1"/>
  <c r="D889" i="3"/>
  <c r="D889" i="10" s="1"/>
  <c r="D890" i="3"/>
  <c r="D890" i="10" s="1"/>
  <c r="D891" i="3"/>
  <c r="D891" i="10" s="1"/>
  <c r="D892" i="3"/>
  <c r="D892" i="10" s="1"/>
  <c r="D893" i="3"/>
  <c r="D893" i="10" s="1"/>
  <c r="D894" i="3"/>
  <c r="D894" i="10" s="1"/>
  <c r="D895" i="3"/>
  <c r="D895" i="10" s="1"/>
  <c r="D896" i="3"/>
  <c r="D896" i="10" s="1"/>
  <c r="D897" i="3"/>
  <c r="D897" i="10" s="1"/>
  <c r="D898" i="3"/>
  <c r="D898" i="10" s="1"/>
  <c r="D899" i="3"/>
  <c r="D899" i="10" s="1"/>
  <c r="D900" i="3"/>
  <c r="D900" i="10" s="1"/>
  <c r="D901" i="3"/>
  <c r="D901" i="10" s="1"/>
  <c r="D902" i="3"/>
  <c r="D902" i="10" s="1"/>
  <c r="D903" i="3"/>
  <c r="D903" i="10" s="1"/>
  <c r="D904" i="3"/>
  <c r="D904" i="10" s="1"/>
  <c r="D905" i="3"/>
  <c r="D905" i="10" s="1"/>
  <c r="D906" i="3"/>
  <c r="D906" i="10" s="1"/>
  <c r="D907" i="3"/>
  <c r="D907" i="10" s="1"/>
  <c r="D908" i="3"/>
  <c r="D908" i="10" s="1"/>
  <c r="D909" i="3"/>
  <c r="D909" i="10" s="1"/>
  <c r="D910" i="3"/>
  <c r="D910" i="10" s="1"/>
  <c r="D911" i="3"/>
  <c r="D911" i="10" s="1"/>
  <c r="D912" i="3"/>
  <c r="D912" i="10" s="1"/>
  <c r="D913" i="3"/>
  <c r="D913" i="10" s="1"/>
  <c r="D914" i="3"/>
  <c r="D914" i="10" s="1"/>
  <c r="D915" i="3"/>
  <c r="D915" i="10" s="1"/>
  <c r="D916" i="3"/>
  <c r="D916" i="10" s="1"/>
  <c r="D917" i="3"/>
  <c r="D917" i="10" s="1"/>
  <c r="D918" i="3"/>
  <c r="D918" i="10" s="1"/>
  <c r="D919" i="3"/>
  <c r="D919" i="10" s="1"/>
  <c r="D920" i="3"/>
  <c r="D920" i="10" s="1"/>
  <c r="D921" i="3"/>
  <c r="D921" i="10" s="1"/>
  <c r="D922" i="3"/>
  <c r="D922" i="10" s="1"/>
  <c r="D923" i="3"/>
  <c r="D923" i="10" s="1"/>
  <c r="D924" i="3"/>
  <c r="D924" i="10" s="1"/>
  <c r="D925" i="3"/>
  <c r="D925" i="10" s="1"/>
  <c r="D926" i="3"/>
  <c r="D926" i="10" s="1"/>
  <c r="D927" i="3"/>
  <c r="D927" i="10" s="1"/>
  <c r="D928" i="3"/>
  <c r="D928" i="10" s="1"/>
  <c r="D929" i="3"/>
  <c r="D929" i="10" s="1"/>
  <c r="D930" i="3"/>
  <c r="D930" i="10" s="1"/>
  <c r="D931" i="3"/>
  <c r="D931" i="10" s="1"/>
  <c r="D932" i="3"/>
  <c r="D932" i="10" s="1"/>
  <c r="D933" i="3"/>
  <c r="D933" i="10" s="1"/>
  <c r="D934" i="3"/>
  <c r="D934" i="10" s="1"/>
  <c r="D935" i="3"/>
  <c r="D935" i="10" s="1"/>
  <c r="D936" i="3"/>
  <c r="D936" i="10" s="1"/>
  <c r="D937" i="3"/>
  <c r="D937" i="10" s="1"/>
  <c r="D938" i="3"/>
  <c r="D938" i="10" s="1"/>
  <c r="D939" i="3"/>
  <c r="D939" i="10" s="1"/>
  <c r="D940" i="3"/>
  <c r="D940" i="10" s="1"/>
  <c r="D941" i="3"/>
  <c r="D941" i="10" s="1"/>
  <c r="D942" i="3"/>
  <c r="D942" i="10" s="1"/>
  <c r="D943" i="3"/>
  <c r="D943" i="10" s="1"/>
  <c r="D944" i="3"/>
  <c r="D944" i="10" s="1"/>
  <c r="D945" i="3"/>
  <c r="D945" i="10" s="1"/>
  <c r="D946" i="3"/>
  <c r="D946" i="10" s="1"/>
  <c r="D947" i="3"/>
  <c r="D947" i="10" s="1"/>
  <c r="D948" i="3"/>
  <c r="D948" i="10" s="1"/>
  <c r="D949" i="3"/>
  <c r="D949" i="10" s="1"/>
  <c r="D950" i="3"/>
  <c r="D950" i="10" s="1"/>
  <c r="D951" i="3"/>
  <c r="D951" i="10" s="1"/>
  <c r="D952" i="3"/>
  <c r="D952" i="10" s="1"/>
  <c r="D953" i="3"/>
  <c r="D953" i="10" s="1"/>
  <c r="D954" i="3"/>
  <c r="D954" i="10" s="1"/>
  <c r="D955" i="3"/>
  <c r="D955" i="10" s="1"/>
  <c r="D956" i="3"/>
  <c r="D956" i="10" s="1"/>
  <c r="D957" i="3"/>
  <c r="D957" i="10" s="1"/>
  <c r="D958" i="3"/>
  <c r="D958" i="10" s="1"/>
  <c r="D959" i="3"/>
  <c r="D959" i="10" s="1"/>
  <c r="D960" i="3"/>
  <c r="D960" i="10" s="1"/>
  <c r="D961" i="3"/>
  <c r="D961" i="10" s="1"/>
  <c r="D962" i="3"/>
  <c r="D962" i="10" s="1"/>
  <c r="D963" i="3"/>
  <c r="D963" i="10" s="1"/>
  <c r="D964" i="3"/>
  <c r="D964" i="10" s="1"/>
  <c r="D965" i="3"/>
  <c r="D965" i="10" s="1"/>
  <c r="D966" i="3"/>
  <c r="D966" i="10" s="1"/>
  <c r="D967" i="3"/>
  <c r="D967" i="10" s="1"/>
  <c r="D968" i="3"/>
  <c r="D968" i="10" s="1"/>
  <c r="D969" i="3"/>
  <c r="D969" i="10" s="1"/>
  <c r="D970" i="3"/>
  <c r="D970" i="10" s="1"/>
  <c r="D971" i="3"/>
  <c r="D971" i="10" s="1"/>
  <c r="D972" i="3"/>
  <c r="D972" i="10" s="1"/>
  <c r="D973" i="3"/>
  <c r="D973" i="10" s="1"/>
  <c r="D974" i="3"/>
  <c r="D974" i="10" s="1"/>
  <c r="D975" i="3"/>
  <c r="D975" i="10" s="1"/>
  <c r="D976" i="3"/>
  <c r="D976" i="10" s="1"/>
  <c r="D977" i="3"/>
  <c r="D977" i="10" s="1"/>
  <c r="D978" i="3"/>
  <c r="D978" i="10" s="1"/>
  <c r="D979" i="3"/>
  <c r="D979" i="10" s="1"/>
  <c r="D980" i="3"/>
  <c r="D980" i="10" s="1"/>
  <c r="D981" i="3"/>
  <c r="D981" i="10" s="1"/>
  <c r="D982" i="3"/>
  <c r="D982" i="10" s="1"/>
  <c r="D983" i="3"/>
  <c r="D983" i="10" s="1"/>
  <c r="D984" i="3"/>
  <c r="D984" i="10" s="1"/>
  <c r="D985" i="3"/>
  <c r="D985" i="10" s="1"/>
  <c r="D986" i="3"/>
  <c r="D986" i="10" s="1"/>
  <c r="D987" i="3"/>
  <c r="D987" i="10" s="1"/>
  <c r="D988" i="3"/>
  <c r="D988" i="10" s="1"/>
  <c r="D989" i="3"/>
  <c r="D989" i="10" s="1"/>
  <c r="D990" i="3"/>
  <c r="D990" i="10" s="1"/>
  <c r="D991" i="3"/>
  <c r="D991" i="10" s="1"/>
  <c r="D992" i="3"/>
  <c r="D992" i="10" s="1"/>
  <c r="D993" i="3"/>
  <c r="D993" i="10" s="1"/>
  <c r="D994" i="3"/>
  <c r="D994" i="10" s="1"/>
  <c r="D995" i="3"/>
  <c r="D995" i="10" s="1"/>
  <c r="D996" i="3"/>
  <c r="D996" i="10" s="1"/>
  <c r="D997" i="3"/>
  <c r="D997" i="10" s="1"/>
  <c r="D998" i="3"/>
  <c r="D998" i="10" s="1"/>
  <c r="D999" i="3"/>
  <c r="D999" i="10" s="1"/>
  <c r="D1000" i="3"/>
  <c r="D1000" i="10" s="1"/>
  <c r="A1" i="10" l="1"/>
  <c r="C638" i="3"/>
  <c r="C638" i="10" s="1"/>
  <c r="A638" i="3"/>
  <c r="J638" i="3"/>
  <c r="C637" i="3"/>
  <c r="C637" i="10" s="1"/>
  <c r="A637" i="3"/>
  <c r="A637" i="10" s="1"/>
  <c r="J637" i="3"/>
  <c r="C636" i="3"/>
  <c r="C636" i="10" s="1"/>
  <c r="A636" i="3"/>
  <c r="A636" i="10" s="1"/>
  <c r="J636" i="3"/>
  <c r="C635" i="3"/>
  <c r="C635" i="10" s="1"/>
  <c r="A635" i="3"/>
  <c r="A635" i="10" s="1"/>
  <c r="J635" i="3"/>
  <c r="C634" i="3"/>
  <c r="C634" i="10" s="1"/>
  <c r="A634" i="3"/>
  <c r="A634" i="10" s="1"/>
  <c r="J634" i="3"/>
  <c r="C633" i="3"/>
  <c r="C633" i="10" s="1"/>
  <c r="A633" i="3"/>
  <c r="A633" i="10" s="1"/>
  <c r="J633" i="3"/>
  <c r="C632" i="3"/>
  <c r="C632" i="10" s="1"/>
  <c r="A632" i="3"/>
  <c r="A632" i="10" s="1"/>
  <c r="J632" i="3"/>
  <c r="C631" i="3"/>
  <c r="C631" i="10" s="1"/>
  <c r="A631" i="3"/>
  <c r="A631" i="10" s="1"/>
  <c r="J631" i="3"/>
  <c r="C630" i="3"/>
  <c r="C630" i="10" s="1"/>
  <c r="A630" i="3"/>
  <c r="A630" i="10" s="1"/>
  <c r="J630" i="3"/>
  <c r="C629" i="3"/>
  <c r="C629" i="10" s="1"/>
  <c r="A629" i="3"/>
  <c r="A629" i="10" s="1"/>
  <c r="J629" i="3"/>
  <c r="C628" i="3"/>
  <c r="C628" i="10" s="1"/>
  <c r="A628" i="3"/>
  <c r="A628" i="10" s="1"/>
  <c r="J628" i="3"/>
  <c r="C627" i="3"/>
  <c r="C627" i="10" s="1"/>
  <c r="A627" i="3"/>
  <c r="A627" i="10" s="1"/>
  <c r="J627" i="3"/>
  <c r="C626" i="3"/>
  <c r="C626" i="10" s="1"/>
  <c r="A626" i="3"/>
  <c r="A626" i="10" s="1"/>
  <c r="J626" i="3"/>
  <c r="C625" i="3"/>
  <c r="C625" i="10" s="1"/>
  <c r="A625" i="3"/>
  <c r="A625" i="10" s="1"/>
  <c r="J625" i="3"/>
  <c r="C624" i="3"/>
  <c r="C624" i="10" s="1"/>
  <c r="A624" i="3"/>
  <c r="A624" i="10" s="1"/>
  <c r="J624" i="3"/>
  <c r="C623" i="3"/>
  <c r="C623" i="10" s="1"/>
  <c r="A623" i="3"/>
  <c r="A623" i="10" s="1"/>
  <c r="J623" i="3"/>
  <c r="C622" i="3"/>
  <c r="C622" i="10" s="1"/>
  <c r="A622" i="3"/>
  <c r="A622" i="10" s="1"/>
  <c r="J622" i="3"/>
  <c r="C621" i="3"/>
  <c r="C621" i="10" s="1"/>
  <c r="A621" i="3"/>
  <c r="A621" i="10" s="1"/>
  <c r="J621" i="3"/>
  <c r="C620" i="3"/>
  <c r="C620" i="10" s="1"/>
  <c r="A620" i="3"/>
  <c r="A620" i="10" s="1"/>
  <c r="J620" i="3"/>
  <c r="C619" i="3"/>
  <c r="C619" i="10" s="1"/>
  <c r="A619" i="3"/>
  <c r="A619" i="10" s="1"/>
  <c r="J619" i="3"/>
  <c r="C618" i="3"/>
  <c r="C618" i="10" s="1"/>
  <c r="A618" i="3"/>
  <c r="A618" i="10" s="1"/>
  <c r="J618" i="3"/>
  <c r="C617" i="3"/>
  <c r="C617" i="10" s="1"/>
  <c r="A617" i="3"/>
  <c r="A617" i="10" s="1"/>
  <c r="J617" i="3"/>
  <c r="C616" i="3"/>
  <c r="C616" i="10" s="1"/>
  <c r="A616" i="3"/>
  <c r="A616" i="10" s="1"/>
  <c r="J616" i="3"/>
  <c r="C615" i="3"/>
  <c r="C615" i="10" s="1"/>
  <c r="A615" i="3"/>
  <c r="A615" i="10" s="1"/>
  <c r="J615" i="3"/>
  <c r="C614" i="3"/>
  <c r="C614" i="10" s="1"/>
  <c r="A614" i="3"/>
  <c r="A614" i="10" s="1"/>
  <c r="J614" i="3"/>
  <c r="C613" i="3"/>
  <c r="C613" i="10" s="1"/>
  <c r="A613" i="3"/>
  <c r="A613" i="10" s="1"/>
  <c r="J613" i="3"/>
  <c r="C612" i="3"/>
  <c r="C612" i="10" s="1"/>
  <c r="A612" i="3"/>
  <c r="A612" i="10" s="1"/>
  <c r="J612" i="3"/>
  <c r="C611" i="3"/>
  <c r="C611" i="10" s="1"/>
  <c r="A611" i="3"/>
  <c r="A611" i="10" s="1"/>
  <c r="J611" i="3"/>
  <c r="C610" i="3"/>
  <c r="C610" i="10" s="1"/>
  <c r="A610" i="3"/>
  <c r="A610" i="10" s="1"/>
  <c r="J610" i="3"/>
  <c r="C609" i="3"/>
  <c r="C609" i="10" s="1"/>
  <c r="A609" i="3"/>
  <c r="A609" i="10" s="1"/>
  <c r="J609" i="3"/>
  <c r="C608" i="3"/>
  <c r="C608" i="10" s="1"/>
  <c r="A608" i="3"/>
  <c r="A608" i="10" s="1"/>
  <c r="J608" i="3"/>
  <c r="C607" i="3"/>
  <c r="C607" i="10" s="1"/>
  <c r="A607" i="3"/>
  <c r="A607" i="10" s="1"/>
  <c r="J607" i="3"/>
  <c r="C606" i="3"/>
  <c r="C606" i="10" s="1"/>
  <c r="A606" i="3"/>
  <c r="A606" i="10" s="1"/>
  <c r="J606" i="3"/>
  <c r="C605" i="3"/>
  <c r="C605" i="10" s="1"/>
  <c r="A605" i="3"/>
  <c r="A605" i="10" s="1"/>
  <c r="J605" i="3"/>
  <c r="C604" i="3"/>
  <c r="C604" i="10" s="1"/>
  <c r="A604" i="3"/>
  <c r="A604" i="10" s="1"/>
  <c r="J604" i="3"/>
  <c r="C603" i="3"/>
  <c r="C603" i="10" s="1"/>
  <c r="A603" i="3"/>
  <c r="A603" i="10" s="1"/>
  <c r="J603" i="3"/>
  <c r="C602" i="3"/>
  <c r="C602" i="10" s="1"/>
  <c r="A602" i="3"/>
  <c r="A602" i="10" s="1"/>
  <c r="J602" i="3"/>
  <c r="C601" i="3"/>
  <c r="C601" i="10" s="1"/>
  <c r="A601" i="3"/>
  <c r="A601" i="10" s="1"/>
  <c r="J601" i="3"/>
  <c r="C600" i="3"/>
  <c r="C600" i="10" s="1"/>
  <c r="A600" i="3"/>
  <c r="A600" i="10" s="1"/>
  <c r="J600" i="3"/>
  <c r="C599" i="3"/>
  <c r="C599" i="10" s="1"/>
  <c r="A599" i="3"/>
  <c r="A599" i="10" s="1"/>
  <c r="J599" i="3"/>
  <c r="C598" i="3"/>
  <c r="C598" i="10" s="1"/>
  <c r="A598" i="3"/>
  <c r="A598" i="10" s="1"/>
  <c r="J598" i="3"/>
  <c r="C597" i="3"/>
  <c r="C597" i="10" s="1"/>
  <c r="A597" i="3"/>
  <c r="A597" i="10" s="1"/>
  <c r="J597" i="3"/>
  <c r="C596" i="3"/>
  <c r="C596" i="10" s="1"/>
  <c r="A596" i="3"/>
  <c r="A596" i="10" s="1"/>
  <c r="J596" i="3"/>
  <c r="C595" i="3"/>
  <c r="C595" i="10" s="1"/>
  <c r="A595" i="3"/>
  <c r="A595" i="10" s="1"/>
  <c r="J595" i="3"/>
  <c r="C594" i="3"/>
  <c r="C594" i="10" s="1"/>
  <c r="A594" i="3"/>
  <c r="A594" i="10" s="1"/>
  <c r="J594" i="3"/>
  <c r="C593" i="3"/>
  <c r="C593" i="10" s="1"/>
  <c r="A593" i="3"/>
  <c r="A593" i="10" s="1"/>
  <c r="J593" i="3"/>
  <c r="C592" i="3"/>
  <c r="C592" i="10" s="1"/>
  <c r="A592" i="3"/>
  <c r="A592" i="10" s="1"/>
  <c r="J592" i="3"/>
  <c r="C591" i="3"/>
  <c r="C591" i="10" s="1"/>
  <c r="A591" i="3"/>
  <c r="A591" i="10" s="1"/>
  <c r="J591" i="3"/>
  <c r="C590" i="3"/>
  <c r="C590" i="10" s="1"/>
  <c r="A590" i="3"/>
  <c r="A590" i="10" s="1"/>
  <c r="J590" i="3"/>
  <c r="C589" i="3"/>
  <c r="C589" i="10" s="1"/>
  <c r="A589" i="3"/>
  <c r="A589" i="10" s="1"/>
  <c r="J589" i="3"/>
  <c r="C588" i="3"/>
  <c r="C588" i="10" s="1"/>
  <c r="A588" i="3"/>
  <c r="A588" i="10" s="1"/>
  <c r="J588" i="3"/>
  <c r="J588" i="10" s="1"/>
  <c r="C587" i="3"/>
  <c r="C587" i="10" s="1"/>
  <c r="A587" i="3"/>
  <c r="A587" i="10" s="1"/>
  <c r="J587" i="3"/>
  <c r="J587" i="10" s="1"/>
  <c r="C586" i="3"/>
  <c r="C586" i="10" s="1"/>
  <c r="A586" i="3"/>
  <c r="A586" i="10" s="1"/>
  <c r="J586" i="3"/>
  <c r="J586" i="10" s="1"/>
  <c r="C585" i="3"/>
  <c r="C585" i="10" s="1"/>
  <c r="A585" i="3"/>
  <c r="A585" i="10" s="1"/>
  <c r="J585" i="3"/>
  <c r="J585" i="10" s="1"/>
  <c r="C584" i="3"/>
  <c r="C584" i="10" s="1"/>
  <c r="A584" i="3"/>
  <c r="A584" i="10" s="1"/>
  <c r="J584" i="3"/>
  <c r="J584" i="10" s="1"/>
  <c r="C583" i="3"/>
  <c r="C583" i="10" s="1"/>
  <c r="A583" i="3"/>
  <c r="A583" i="10" s="1"/>
  <c r="J583" i="3"/>
  <c r="J583" i="10" s="1"/>
  <c r="C582" i="3"/>
  <c r="C582" i="10" s="1"/>
  <c r="A582" i="3"/>
  <c r="A582" i="10" s="1"/>
  <c r="J582" i="3"/>
  <c r="J582" i="10" s="1"/>
  <c r="C581" i="3"/>
  <c r="C581" i="10" s="1"/>
  <c r="A581" i="3"/>
  <c r="A581" i="10" s="1"/>
  <c r="J581" i="3"/>
  <c r="J581" i="10" s="1"/>
  <c r="C580" i="3"/>
  <c r="C580" i="10" s="1"/>
  <c r="A580" i="3"/>
  <c r="A580" i="10" s="1"/>
  <c r="J580" i="3"/>
  <c r="J580" i="10" s="1"/>
  <c r="C579" i="3"/>
  <c r="C579" i="10" s="1"/>
  <c r="A579" i="3"/>
  <c r="A579" i="10" s="1"/>
  <c r="J579" i="3"/>
  <c r="J579" i="10" s="1"/>
  <c r="C578" i="3"/>
  <c r="C578" i="10" s="1"/>
  <c r="A578" i="3"/>
  <c r="A578" i="10" s="1"/>
  <c r="J578" i="3"/>
  <c r="J578" i="10" s="1"/>
  <c r="C577" i="3"/>
  <c r="C577" i="10" s="1"/>
  <c r="A577" i="3"/>
  <c r="A577" i="10" s="1"/>
  <c r="J577" i="3"/>
  <c r="J577" i="10" s="1"/>
  <c r="C576" i="3"/>
  <c r="C576" i="10" s="1"/>
  <c r="A576" i="3"/>
  <c r="A576" i="10" s="1"/>
  <c r="J576" i="3"/>
  <c r="J576" i="10" s="1"/>
  <c r="C575" i="3"/>
  <c r="C575" i="10" s="1"/>
  <c r="A575" i="3"/>
  <c r="A575" i="10" s="1"/>
  <c r="J575" i="3"/>
  <c r="J575" i="10" s="1"/>
  <c r="C574" i="3"/>
  <c r="C574" i="10" s="1"/>
  <c r="A574" i="3"/>
  <c r="A574" i="10" s="1"/>
  <c r="J574" i="3"/>
  <c r="J574" i="10" s="1"/>
  <c r="C573" i="3"/>
  <c r="C573" i="10" s="1"/>
  <c r="A573" i="3"/>
  <c r="A573" i="10" s="1"/>
  <c r="J573" i="3"/>
  <c r="J573" i="10" s="1"/>
  <c r="C572" i="3"/>
  <c r="C572" i="10" s="1"/>
  <c r="A572" i="3"/>
  <c r="A572" i="10" s="1"/>
  <c r="J572" i="3"/>
  <c r="J572" i="10" s="1"/>
  <c r="C571" i="3"/>
  <c r="C571" i="10" s="1"/>
  <c r="A571" i="3"/>
  <c r="A571" i="10" s="1"/>
  <c r="J571" i="3"/>
  <c r="J571" i="10" s="1"/>
  <c r="C570" i="3"/>
  <c r="C570" i="10" s="1"/>
  <c r="A570" i="3"/>
  <c r="A570" i="10" s="1"/>
  <c r="J570" i="3"/>
  <c r="J570" i="10" s="1"/>
  <c r="C569" i="3"/>
  <c r="C569" i="10" s="1"/>
  <c r="A569" i="3"/>
  <c r="A569" i="10" s="1"/>
  <c r="J569" i="3"/>
  <c r="J569" i="10" s="1"/>
  <c r="C568" i="3"/>
  <c r="C568" i="10" s="1"/>
  <c r="A568" i="3"/>
  <c r="A568" i="10" s="1"/>
  <c r="J568" i="3"/>
  <c r="J568" i="10" s="1"/>
  <c r="C567" i="3"/>
  <c r="C567" i="10" s="1"/>
  <c r="A567" i="3"/>
  <c r="A567" i="10" s="1"/>
  <c r="J567" i="3"/>
  <c r="J567" i="10" s="1"/>
  <c r="C566" i="3"/>
  <c r="C566" i="10" s="1"/>
  <c r="A566" i="3"/>
  <c r="A566" i="10" s="1"/>
  <c r="J566" i="3"/>
  <c r="J566" i="10" s="1"/>
  <c r="C565" i="3"/>
  <c r="C565" i="10" s="1"/>
  <c r="A565" i="3"/>
  <c r="A565" i="10" s="1"/>
  <c r="J565" i="3"/>
  <c r="J565" i="10" s="1"/>
  <c r="C564" i="3"/>
  <c r="C564" i="10" s="1"/>
  <c r="A564" i="3"/>
  <c r="A564" i="10" s="1"/>
  <c r="J564" i="3"/>
  <c r="J564" i="10" s="1"/>
  <c r="C563" i="3"/>
  <c r="C563" i="10" s="1"/>
  <c r="A563" i="3"/>
  <c r="A563" i="10" s="1"/>
  <c r="J563" i="3"/>
  <c r="J563" i="10" s="1"/>
  <c r="C562" i="3"/>
  <c r="C562" i="10" s="1"/>
  <c r="A562" i="3"/>
  <c r="A562" i="10" s="1"/>
  <c r="J562" i="3"/>
  <c r="J562" i="10" s="1"/>
  <c r="C561" i="3"/>
  <c r="C561" i="10" s="1"/>
  <c r="A561" i="3"/>
  <c r="A561" i="10" s="1"/>
  <c r="J561" i="3"/>
  <c r="J561" i="10" s="1"/>
  <c r="C560" i="3"/>
  <c r="C560" i="10" s="1"/>
  <c r="A560" i="3"/>
  <c r="A560" i="10" s="1"/>
  <c r="J560" i="3"/>
  <c r="J560" i="10" s="1"/>
  <c r="C559" i="3"/>
  <c r="C559" i="10" s="1"/>
  <c r="A559" i="3"/>
  <c r="A559" i="10" s="1"/>
  <c r="J559" i="3"/>
  <c r="J559" i="10" s="1"/>
  <c r="C558" i="3"/>
  <c r="C558" i="10" s="1"/>
  <c r="A558" i="3"/>
  <c r="A558" i="10" s="1"/>
  <c r="J558" i="3"/>
  <c r="J558" i="10" s="1"/>
  <c r="C557" i="3"/>
  <c r="C557" i="10" s="1"/>
  <c r="A557" i="3"/>
  <c r="A557" i="10" s="1"/>
  <c r="J557" i="3"/>
  <c r="J557" i="10" s="1"/>
  <c r="C556" i="3"/>
  <c r="C556" i="10" s="1"/>
  <c r="A556" i="3"/>
  <c r="A556" i="10" s="1"/>
  <c r="J556" i="3"/>
  <c r="J556" i="10" s="1"/>
  <c r="C555" i="3"/>
  <c r="C555" i="10" s="1"/>
  <c r="A555" i="3"/>
  <c r="A555" i="10" s="1"/>
  <c r="J555" i="3"/>
  <c r="J555" i="10" s="1"/>
  <c r="C554" i="3"/>
  <c r="C554" i="10" s="1"/>
  <c r="A554" i="3"/>
  <c r="A554" i="10" s="1"/>
  <c r="J554" i="3"/>
  <c r="J554" i="10" s="1"/>
  <c r="C553" i="3"/>
  <c r="C553" i="10" s="1"/>
  <c r="A553" i="3"/>
  <c r="A553" i="10" s="1"/>
  <c r="J553" i="3"/>
  <c r="J553" i="10" s="1"/>
  <c r="C552" i="3"/>
  <c r="C552" i="10" s="1"/>
  <c r="A552" i="3"/>
  <c r="A552" i="10" s="1"/>
  <c r="J552" i="3"/>
  <c r="J552" i="10" s="1"/>
  <c r="C551" i="3"/>
  <c r="C551" i="10" s="1"/>
  <c r="A551" i="3"/>
  <c r="A551" i="10" s="1"/>
  <c r="J551" i="3"/>
  <c r="J551" i="10" s="1"/>
  <c r="C550" i="3"/>
  <c r="C550" i="10" s="1"/>
  <c r="A550" i="3"/>
  <c r="A550" i="10" s="1"/>
  <c r="J550" i="3"/>
  <c r="J550" i="10" s="1"/>
  <c r="C549" i="3"/>
  <c r="C549" i="10" s="1"/>
  <c r="A549" i="3"/>
  <c r="A549" i="10" s="1"/>
  <c r="J549" i="3"/>
  <c r="J549" i="10" s="1"/>
  <c r="C548" i="3"/>
  <c r="C548" i="10" s="1"/>
  <c r="A548" i="3"/>
  <c r="A548" i="10" s="1"/>
  <c r="J548" i="3"/>
  <c r="J548" i="10" s="1"/>
  <c r="C547" i="3"/>
  <c r="C547" i="10" s="1"/>
  <c r="A547" i="3"/>
  <c r="A547" i="10" s="1"/>
  <c r="J547" i="3"/>
  <c r="J547" i="10" s="1"/>
  <c r="C546" i="3"/>
  <c r="C546" i="10" s="1"/>
  <c r="A546" i="3"/>
  <c r="A546" i="10" s="1"/>
  <c r="J546" i="3"/>
  <c r="J546" i="10" s="1"/>
  <c r="C545" i="3"/>
  <c r="C545" i="10" s="1"/>
  <c r="A545" i="3"/>
  <c r="A545" i="10" s="1"/>
  <c r="J545" i="3"/>
  <c r="J545" i="10" s="1"/>
  <c r="C544" i="3"/>
  <c r="C544" i="10" s="1"/>
  <c r="A544" i="3"/>
  <c r="A544" i="10" s="1"/>
  <c r="J544" i="3"/>
  <c r="J544" i="10" s="1"/>
  <c r="C543" i="3"/>
  <c r="C543" i="10" s="1"/>
  <c r="A543" i="3"/>
  <c r="A543" i="10" s="1"/>
  <c r="J543" i="3"/>
  <c r="J543" i="10" s="1"/>
  <c r="J639" i="3"/>
  <c r="A639" i="3"/>
  <c r="C639" i="3"/>
  <c r="C639" i="10" s="1"/>
  <c r="J640" i="3"/>
  <c r="A640" i="3"/>
  <c r="C640" i="3"/>
  <c r="C640" i="10" s="1"/>
  <c r="J641" i="3"/>
  <c r="A641" i="3"/>
  <c r="A641" i="10" s="1"/>
  <c r="C641" i="3"/>
  <c r="C641" i="10" s="1"/>
  <c r="J642" i="3"/>
  <c r="A642" i="3"/>
  <c r="C642" i="3"/>
  <c r="C642" i="10" s="1"/>
  <c r="E642" i="3"/>
  <c r="E642" i="10" s="1"/>
  <c r="J643" i="3"/>
  <c r="A643" i="3"/>
  <c r="C643" i="3"/>
  <c r="C643" i="10" s="1"/>
  <c r="J644" i="3"/>
  <c r="A644" i="3"/>
  <c r="C644" i="3"/>
  <c r="C644" i="10" s="1"/>
  <c r="J645" i="3"/>
  <c r="A645" i="3"/>
  <c r="A645" i="10" s="1"/>
  <c r="C645" i="3"/>
  <c r="C645" i="10" s="1"/>
  <c r="J646" i="3"/>
  <c r="A646" i="3"/>
  <c r="C646" i="3"/>
  <c r="C646" i="10" s="1"/>
  <c r="J647" i="3"/>
  <c r="A647" i="3"/>
  <c r="A647" i="10" s="1"/>
  <c r="C647" i="3"/>
  <c r="C647" i="10" s="1"/>
  <c r="J648" i="3"/>
  <c r="A648" i="3"/>
  <c r="A648" i="10" s="1"/>
  <c r="C648" i="3"/>
  <c r="C648" i="10" s="1"/>
  <c r="J649" i="3"/>
  <c r="A649" i="3"/>
  <c r="A649" i="10" s="1"/>
  <c r="C649" i="3"/>
  <c r="C649" i="10" s="1"/>
  <c r="J650" i="3"/>
  <c r="A650" i="3"/>
  <c r="A650" i="10" s="1"/>
  <c r="C650" i="3"/>
  <c r="C650" i="10" s="1"/>
  <c r="E650" i="3"/>
  <c r="E650" i="10" s="1"/>
  <c r="J651" i="3"/>
  <c r="A651" i="3"/>
  <c r="A651" i="10" s="1"/>
  <c r="C651" i="3"/>
  <c r="C651" i="10" s="1"/>
  <c r="J652" i="3"/>
  <c r="A652" i="3"/>
  <c r="A652" i="10" s="1"/>
  <c r="C652" i="3"/>
  <c r="C652" i="10" s="1"/>
  <c r="J653" i="3"/>
  <c r="A653" i="3"/>
  <c r="C653" i="3"/>
  <c r="C653" i="10" s="1"/>
  <c r="J654" i="3"/>
  <c r="A654" i="3"/>
  <c r="C654" i="3"/>
  <c r="C654" i="10" s="1"/>
  <c r="E654" i="3"/>
  <c r="E654" i="10" s="1"/>
  <c r="J655" i="3"/>
  <c r="A655" i="3"/>
  <c r="C655" i="3"/>
  <c r="C655" i="10" s="1"/>
  <c r="J656" i="3"/>
  <c r="A656" i="3"/>
  <c r="C656" i="3"/>
  <c r="C656" i="10" s="1"/>
  <c r="J657" i="3"/>
  <c r="A657" i="3"/>
  <c r="A657" i="10" s="1"/>
  <c r="C657" i="3"/>
  <c r="C657" i="10" s="1"/>
  <c r="J658" i="3"/>
  <c r="A658" i="3"/>
  <c r="A658" i="10" s="1"/>
  <c r="C658" i="3"/>
  <c r="C658" i="10" s="1"/>
  <c r="E658" i="3"/>
  <c r="E658" i="10" s="1"/>
  <c r="J659" i="3"/>
  <c r="A659" i="3"/>
  <c r="A659" i="10" s="1"/>
  <c r="C659" i="3"/>
  <c r="C659" i="10" s="1"/>
  <c r="J660" i="3"/>
  <c r="A660" i="3"/>
  <c r="A660" i="10" s="1"/>
  <c r="C660" i="3"/>
  <c r="C660" i="10" s="1"/>
  <c r="J661" i="3"/>
  <c r="A661" i="3"/>
  <c r="C661" i="3"/>
  <c r="C661" i="10" s="1"/>
  <c r="J662" i="3"/>
  <c r="A662" i="3"/>
  <c r="C662" i="3"/>
  <c r="C662" i="10" s="1"/>
  <c r="E662" i="3"/>
  <c r="E662" i="10" s="1"/>
  <c r="J663" i="3"/>
  <c r="A663" i="3"/>
  <c r="C663" i="3"/>
  <c r="C663" i="10" s="1"/>
  <c r="J664" i="3"/>
  <c r="A664" i="3"/>
  <c r="C664" i="3"/>
  <c r="C664" i="10" s="1"/>
  <c r="J665" i="3"/>
  <c r="A665" i="3"/>
  <c r="C665" i="3"/>
  <c r="C665" i="10" s="1"/>
  <c r="J666" i="3"/>
  <c r="A666" i="3"/>
  <c r="C666" i="3"/>
  <c r="C666" i="10" s="1"/>
  <c r="J667" i="3"/>
  <c r="A667" i="3"/>
  <c r="A667" i="10" s="1"/>
  <c r="C667" i="3"/>
  <c r="C667" i="10" s="1"/>
  <c r="J668" i="3"/>
  <c r="A668" i="3"/>
  <c r="A668" i="10" s="1"/>
  <c r="C668" i="3"/>
  <c r="C668" i="10" s="1"/>
  <c r="E668" i="3"/>
  <c r="E668" i="10" s="1"/>
  <c r="J669" i="3"/>
  <c r="A669" i="3"/>
  <c r="A669" i="10" s="1"/>
  <c r="C669" i="3"/>
  <c r="C669" i="10" s="1"/>
  <c r="J670" i="3"/>
  <c r="A670" i="3"/>
  <c r="A670" i="10" s="1"/>
  <c r="C670" i="3"/>
  <c r="C670" i="10" s="1"/>
  <c r="J671" i="3"/>
  <c r="A671" i="3"/>
  <c r="C671" i="3"/>
  <c r="C671" i="10" s="1"/>
  <c r="J672" i="3"/>
  <c r="A672" i="3"/>
  <c r="C672" i="3"/>
  <c r="C672" i="10" s="1"/>
  <c r="E672" i="3"/>
  <c r="E672" i="10" s="1"/>
  <c r="J673" i="3"/>
  <c r="A673" i="3"/>
  <c r="C673" i="3"/>
  <c r="C673" i="10" s="1"/>
  <c r="J674" i="3"/>
  <c r="A674" i="3"/>
  <c r="C674" i="3"/>
  <c r="C674" i="10" s="1"/>
  <c r="E674" i="3"/>
  <c r="E674" i="10" s="1"/>
  <c r="J675" i="3"/>
  <c r="A675" i="3"/>
  <c r="A675" i="10" s="1"/>
  <c r="C675" i="3"/>
  <c r="C675" i="10" s="1"/>
  <c r="J676" i="3"/>
  <c r="A676" i="3"/>
  <c r="A676" i="10" s="1"/>
  <c r="C676" i="3"/>
  <c r="C676" i="10" s="1"/>
  <c r="E676" i="3"/>
  <c r="E676" i="10" s="1"/>
  <c r="J677" i="3"/>
  <c r="A677" i="3"/>
  <c r="A677" i="10" s="1"/>
  <c r="C677" i="3"/>
  <c r="C677" i="10" s="1"/>
  <c r="J678" i="3"/>
  <c r="A678" i="3"/>
  <c r="A678" i="10" s="1"/>
  <c r="C678" i="3"/>
  <c r="C678" i="10" s="1"/>
  <c r="J679" i="3"/>
  <c r="A679" i="3"/>
  <c r="C679" i="3"/>
  <c r="C679" i="10" s="1"/>
  <c r="J680" i="3"/>
  <c r="A680" i="3"/>
  <c r="C680" i="3"/>
  <c r="C680" i="10" s="1"/>
  <c r="E680" i="3"/>
  <c r="E680" i="10" s="1"/>
  <c r="J681" i="3"/>
  <c r="A681" i="3"/>
  <c r="A681" i="10" s="1"/>
  <c r="C681" i="3"/>
  <c r="C681" i="10" s="1"/>
  <c r="J682" i="3"/>
  <c r="A682" i="3"/>
  <c r="C682" i="3"/>
  <c r="C682" i="10" s="1"/>
  <c r="E682" i="3"/>
  <c r="E682" i="10" s="1"/>
  <c r="J683" i="3"/>
  <c r="A683" i="3"/>
  <c r="A683" i="10" s="1"/>
  <c r="C683" i="3"/>
  <c r="C683" i="10" s="1"/>
  <c r="J684" i="3"/>
  <c r="A684" i="3"/>
  <c r="A684" i="10" s="1"/>
  <c r="C684" i="3"/>
  <c r="C684" i="10" s="1"/>
  <c r="J685" i="3"/>
  <c r="A685" i="3"/>
  <c r="A685" i="10" s="1"/>
  <c r="C685" i="3"/>
  <c r="C685" i="10" s="1"/>
  <c r="J686" i="3"/>
  <c r="A686" i="3"/>
  <c r="A686" i="10" s="1"/>
  <c r="C686" i="3"/>
  <c r="C686" i="10" s="1"/>
  <c r="E686" i="3"/>
  <c r="E686" i="10" s="1"/>
  <c r="J687" i="3"/>
  <c r="A687" i="3"/>
  <c r="A687" i="10" s="1"/>
  <c r="C687" i="3"/>
  <c r="C687" i="10" s="1"/>
  <c r="J688" i="3"/>
  <c r="A688" i="3"/>
  <c r="A688" i="10" s="1"/>
  <c r="C688" i="3"/>
  <c r="C688" i="10" s="1"/>
  <c r="J689" i="3"/>
  <c r="A689" i="3"/>
  <c r="A689" i="10" s="1"/>
  <c r="C689" i="3"/>
  <c r="C689" i="10" s="1"/>
  <c r="J690" i="3"/>
  <c r="A690" i="3"/>
  <c r="A690" i="10" s="1"/>
  <c r="C690" i="3"/>
  <c r="C690" i="10" s="1"/>
  <c r="J691" i="3"/>
  <c r="A691" i="3"/>
  <c r="C691" i="3"/>
  <c r="C691" i="10" s="1"/>
  <c r="J692" i="3"/>
  <c r="A692" i="3"/>
  <c r="A692" i="10" s="1"/>
  <c r="C692" i="3"/>
  <c r="C692" i="10" s="1"/>
  <c r="J693" i="3"/>
  <c r="A693" i="3"/>
  <c r="C693" i="3"/>
  <c r="C693" i="10" s="1"/>
  <c r="J694" i="3"/>
  <c r="A694" i="3"/>
  <c r="C694" i="3"/>
  <c r="C694" i="10" s="1"/>
  <c r="E694" i="3"/>
  <c r="E694" i="10" s="1"/>
  <c r="J695" i="3"/>
  <c r="A695" i="3"/>
  <c r="C695" i="3"/>
  <c r="C695" i="10" s="1"/>
  <c r="J696" i="3"/>
  <c r="A696" i="3"/>
  <c r="C696" i="3"/>
  <c r="C696" i="10" s="1"/>
  <c r="J697" i="3"/>
  <c r="A697" i="3"/>
  <c r="A697" i="10" s="1"/>
  <c r="C697" i="3"/>
  <c r="C697" i="10" s="1"/>
  <c r="J698" i="3"/>
  <c r="A698" i="3"/>
  <c r="A698" i="10" s="1"/>
  <c r="C698" i="3"/>
  <c r="C698" i="10" s="1"/>
  <c r="E698" i="3"/>
  <c r="E698" i="10" s="1"/>
  <c r="J699" i="3"/>
  <c r="A699" i="3"/>
  <c r="A699" i="10" s="1"/>
  <c r="C699" i="3"/>
  <c r="C699" i="10" s="1"/>
  <c r="J700" i="3"/>
  <c r="A700" i="3"/>
  <c r="A700" i="10" s="1"/>
  <c r="C700" i="3"/>
  <c r="C700" i="10" s="1"/>
  <c r="J701" i="3"/>
  <c r="A701" i="3"/>
  <c r="A701" i="10" s="1"/>
  <c r="C701" i="3"/>
  <c r="C701" i="10" s="1"/>
  <c r="J702" i="3"/>
  <c r="A702" i="3"/>
  <c r="A702" i="10" s="1"/>
  <c r="C702" i="3"/>
  <c r="C702" i="10" s="1"/>
  <c r="J703" i="3"/>
  <c r="A703" i="3"/>
  <c r="C703" i="3"/>
  <c r="C703" i="10" s="1"/>
  <c r="J704" i="3"/>
  <c r="A704" i="3"/>
  <c r="C704" i="3"/>
  <c r="C704" i="10" s="1"/>
  <c r="J705" i="3"/>
  <c r="A705" i="3"/>
  <c r="A705" i="10" s="1"/>
  <c r="C705" i="3"/>
  <c r="C705" i="10" s="1"/>
  <c r="J706" i="3"/>
  <c r="A706" i="3"/>
  <c r="C706" i="3"/>
  <c r="C706" i="10" s="1"/>
  <c r="E706" i="3"/>
  <c r="E706" i="10" s="1"/>
  <c r="J707" i="3"/>
  <c r="A707" i="3"/>
  <c r="C707" i="3"/>
  <c r="C707" i="10" s="1"/>
  <c r="J708" i="3"/>
  <c r="A708" i="3"/>
  <c r="C708" i="3"/>
  <c r="C708" i="10" s="1"/>
  <c r="J709" i="3"/>
  <c r="A709" i="3"/>
  <c r="C709" i="3"/>
  <c r="C709" i="10" s="1"/>
  <c r="J710" i="3"/>
  <c r="A710" i="3"/>
  <c r="C710" i="3"/>
  <c r="C710" i="10" s="1"/>
  <c r="J711" i="3"/>
  <c r="A711" i="3"/>
  <c r="A711" i="10" s="1"/>
  <c r="C711" i="3"/>
  <c r="C711" i="10" s="1"/>
  <c r="J712" i="3"/>
  <c r="A712" i="3"/>
  <c r="A712" i="10" s="1"/>
  <c r="C712" i="3"/>
  <c r="C712" i="10" s="1"/>
  <c r="E712" i="3"/>
  <c r="E712" i="10" s="1"/>
  <c r="J713" i="3"/>
  <c r="A713" i="3"/>
  <c r="A713" i="10" s="1"/>
  <c r="C713" i="3"/>
  <c r="C713" i="10" s="1"/>
  <c r="J714" i="3"/>
  <c r="A714" i="3"/>
  <c r="A714" i="10" s="1"/>
  <c r="C714" i="3"/>
  <c r="C714" i="10" s="1"/>
  <c r="J715" i="3"/>
  <c r="A715" i="3"/>
  <c r="C715" i="3"/>
  <c r="C715" i="10" s="1"/>
  <c r="J716" i="3"/>
  <c r="A716" i="3"/>
  <c r="C716" i="3"/>
  <c r="C716" i="10" s="1"/>
  <c r="J717" i="3"/>
  <c r="A717" i="3"/>
  <c r="C717" i="3"/>
  <c r="C717" i="10" s="1"/>
  <c r="J718" i="3"/>
  <c r="A718" i="3"/>
  <c r="C718" i="3"/>
  <c r="C718" i="10" s="1"/>
  <c r="E718" i="3"/>
  <c r="E718" i="10" s="1"/>
  <c r="J719" i="3"/>
  <c r="A719" i="3"/>
  <c r="C719" i="3"/>
  <c r="C719" i="10" s="1"/>
  <c r="J720" i="3"/>
  <c r="A720" i="3"/>
  <c r="C720" i="3"/>
  <c r="C720" i="10" s="1"/>
  <c r="J721" i="3"/>
  <c r="A721" i="3"/>
  <c r="A721" i="10" s="1"/>
  <c r="C721" i="3"/>
  <c r="C721" i="10" s="1"/>
  <c r="J722" i="3"/>
  <c r="A722" i="3"/>
  <c r="A722" i="10" s="1"/>
  <c r="C722" i="3"/>
  <c r="C722" i="10" s="1"/>
  <c r="E722" i="3"/>
  <c r="E722" i="10" s="1"/>
  <c r="J723" i="3"/>
  <c r="A723" i="3"/>
  <c r="A723" i="10" s="1"/>
  <c r="C723" i="3"/>
  <c r="C723" i="10" s="1"/>
  <c r="J724" i="3"/>
  <c r="A724" i="3"/>
  <c r="A724" i="10" s="1"/>
  <c r="C724" i="3"/>
  <c r="C724" i="10" s="1"/>
  <c r="J725" i="3"/>
  <c r="A725" i="3"/>
  <c r="A725" i="10" s="1"/>
  <c r="C725" i="3"/>
  <c r="C725" i="10" s="1"/>
  <c r="J726" i="3"/>
  <c r="A726" i="3"/>
  <c r="A726" i="10" s="1"/>
  <c r="C726" i="3"/>
  <c r="C726" i="10" s="1"/>
  <c r="J727" i="3"/>
  <c r="A727" i="3"/>
  <c r="C727" i="3"/>
  <c r="C727" i="10" s="1"/>
  <c r="J728" i="3"/>
  <c r="A728" i="3"/>
  <c r="C728" i="3"/>
  <c r="C728" i="10" s="1"/>
  <c r="E728" i="3"/>
  <c r="E728" i="10" s="1"/>
  <c r="J729" i="3"/>
  <c r="A729" i="3"/>
  <c r="C729" i="3"/>
  <c r="C729" i="10" s="1"/>
  <c r="J730" i="3"/>
  <c r="A730" i="3"/>
  <c r="C730" i="3"/>
  <c r="C730" i="10" s="1"/>
  <c r="J731" i="3"/>
  <c r="A731" i="3"/>
  <c r="A731" i="10" s="1"/>
  <c r="C731" i="3"/>
  <c r="C731" i="10" s="1"/>
  <c r="J732" i="3"/>
  <c r="A732" i="3"/>
  <c r="A732" i="10" s="1"/>
  <c r="C732" i="3"/>
  <c r="C732" i="10" s="1"/>
  <c r="E732" i="3"/>
  <c r="E732" i="10" s="1"/>
  <c r="J733" i="3"/>
  <c r="A733" i="3"/>
  <c r="A733" i="10" s="1"/>
  <c r="C733" i="3"/>
  <c r="C733" i="10" s="1"/>
  <c r="J734" i="3"/>
  <c r="A734" i="3"/>
  <c r="A734" i="10" s="1"/>
  <c r="C734" i="3"/>
  <c r="C734" i="10" s="1"/>
  <c r="J735" i="3"/>
  <c r="A735" i="3"/>
  <c r="C735" i="3"/>
  <c r="C735" i="10" s="1"/>
  <c r="J736" i="3"/>
  <c r="A736" i="3"/>
  <c r="C736" i="3"/>
  <c r="C736" i="10" s="1"/>
  <c r="J737" i="3"/>
  <c r="A737" i="3"/>
  <c r="A737" i="10" s="1"/>
  <c r="C737" i="3"/>
  <c r="C737" i="10" s="1"/>
  <c r="J738" i="3"/>
  <c r="A738" i="3"/>
  <c r="C738" i="3"/>
  <c r="C738" i="10" s="1"/>
  <c r="E738" i="3"/>
  <c r="E738" i="10" s="1"/>
  <c r="J739" i="3"/>
  <c r="A739" i="3"/>
  <c r="C739" i="3"/>
  <c r="C739" i="10" s="1"/>
  <c r="J740" i="3"/>
  <c r="A740" i="3"/>
  <c r="C740" i="3"/>
  <c r="C740" i="10" s="1"/>
  <c r="J741" i="3"/>
  <c r="A741" i="3"/>
  <c r="A741" i="10" s="1"/>
  <c r="C741" i="3"/>
  <c r="C741" i="10" s="1"/>
  <c r="J742" i="3"/>
  <c r="A742" i="3"/>
  <c r="A742" i="10" s="1"/>
  <c r="C742" i="3"/>
  <c r="C742" i="10" s="1"/>
  <c r="E742" i="3"/>
  <c r="E742" i="10" s="1"/>
  <c r="J743" i="3"/>
  <c r="A743" i="3"/>
  <c r="A743" i="10" s="1"/>
  <c r="C743" i="3"/>
  <c r="C743" i="10" s="1"/>
  <c r="J744" i="3"/>
  <c r="A744" i="3"/>
  <c r="A744" i="10" s="1"/>
  <c r="C744" i="3"/>
  <c r="C744" i="10" s="1"/>
  <c r="J745" i="3"/>
  <c r="A745" i="3"/>
  <c r="C745" i="3"/>
  <c r="C745" i="10" s="1"/>
  <c r="J746" i="3"/>
  <c r="A746" i="3"/>
  <c r="C746" i="3"/>
  <c r="C746" i="10" s="1"/>
  <c r="E746" i="3"/>
  <c r="E746" i="10" s="1"/>
  <c r="J747" i="3"/>
  <c r="A747" i="3"/>
  <c r="C747" i="3"/>
  <c r="C747" i="10" s="1"/>
  <c r="J748" i="3"/>
  <c r="A748" i="3"/>
  <c r="C748" i="3"/>
  <c r="C748" i="10" s="1"/>
  <c r="J749" i="3"/>
  <c r="A749" i="3"/>
  <c r="A749" i="10" s="1"/>
  <c r="C749" i="3"/>
  <c r="C749" i="10" s="1"/>
  <c r="J750" i="3"/>
  <c r="A750" i="3"/>
  <c r="A750" i="10" s="1"/>
  <c r="C750" i="3"/>
  <c r="C750" i="10" s="1"/>
  <c r="E750" i="3"/>
  <c r="E750" i="10" s="1"/>
  <c r="J751" i="3"/>
  <c r="A751" i="3"/>
  <c r="A751" i="10" s="1"/>
  <c r="C751" i="3"/>
  <c r="C751" i="10" s="1"/>
  <c r="J752" i="3"/>
  <c r="A752" i="3"/>
  <c r="A752" i="10" s="1"/>
  <c r="C752" i="3"/>
  <c r="C752" i="10" s="1"/>
  <c r="J753" i="3"/>
  <c r="A753" i="3"/>
  <c r="A753" i="10" s="1"/>
  <c r="C753" i="3"/>
  <c r="C753" i="10" s="1"/>
  <c r="J754" i="3"/>
  <c r="A754" i="3"/>
  <c r="A754" i="10" s="1"/>
  <c r="C754" i="3"/>
  <c r="C754" i="10" s="1"/>
  <c r="J755" i="3"/>
  <c r="A755" i="3"/>
  <c r="C755" i="3"/>
  <c r="C755" i="10" s="1"/>
  <c r="J756" i="3"/>
  <c r="A756" i="3"/>
  <c r="C756" i="3"/>
  <c r="C756" i="10" s="1"/>
  <c r="J757" i="3"/>
  <c r="A757" i="3"/>
  <c r="C757" i="3"/>
  <c r="C757" i="10" s="1"/>
  <c r="J758" i="3"/>
  <c r="A758" i="3"/>
  <c r="C758" i="3"/>
  <c r="C758" i="10" s="1"/>
  <c r="E758" i="3"/>
  <c r="E758" i="10" s="1"/>
  <c r="J759" i="3"/>
  <c r="A759" i="3"/>
  <c r="C759" i="3"/>
  <c r="C759" i="10" s="1"/>
  <c r="J760" i="3"/>
  <c r="A760" i="3"/>
  <c r="C760" i="3"/>
  <c r="C760" i="10" s="1"/>
  <c r="J761" i="3"/>
  <c r="A761" i="3"/>
  <c r="A761" i="10" s="1"/>
  <c r="C761" i="3"/>
  <c r="C761" i="10" s="1"/>
  <c r="J762" i="3"/>
  <c r="A762" i="3"/>
  <c r="A762" i="10" s="1"/>
  <c r="C762" i="3"/>
  <c r="C762" i="10" s="1"/>
  <c r="E762" i="3"/>
  <c r="E762" i="10" s="1"/>
  <c r="J763" i="3"/>
  <c r="A763" i="3"/>
  <c r="A763" i="10" s="1"/>
  <c r="C763" i="3"/>
  <c r="C763" i="10" s="1"/>
  <c r="J764" i="3"/>
  <c r="A764" i="3"/>
  <c r="A764" i="10" s="1"/>
  <c r="C764" i="3"/>
  <c r="C764" i="10" s="1"/>
  <c r="J765" i="3"/>
  <c r="A765" i="3"/>
  <c r="C765" i="3"/>
  <c r="C765" i="10" s="1"/>
  <c r="J766" i="3"/>
  <c r="A766" i="3"/>
  <c r="C766" i="3"/>
  <c r="C766" i="10" s="1"/>
  <c r="E766" i="3"/>
  <c r="E766" i="10" s="1"/>
  <c r="J767" i="3"/>
  <c r="A767" i="3"/>
  <c r="C767" i="3"/>
  <c r="C767" i="10" s="1"/>
  <c r="J768" i="3"/>
  <c r="A768" i="3"/>
  <c r="C768" i="3"/>
  <c r="C768" i="10" s="1"/>
  <c r="J769" i="3"/>
  <c r="A769" i="3"/>
  <c r="A769" i="10" s="1"/>
  <c r="C769" i="3"/>
  <c r="C769" i="10" s="1"/>
  <c r="J770" i="3"/>
  <c r="A770" i="3"/>
  <c r="C770" i="3"/>
  <c r="C770" i="10" s="1"/>
  <c r="E770" i="3"/>
  <c r="E770" i="10" s="1"/>
  <c r="J771" i="3"/>
  <c r="A771" i="3"/>
  <c r="A771" i="10" s="1"/>
  <c r="C771" i="3"/>
  <c r="C771" i="10" s="1"/>
  <c r="J772" i="3"/>
  <c r="A772" i="3"/>
  <c r="A772" i="10" s="1"/>
  <c r="C772" i="3"/>
  <c r="C772" i="10" s="1"/>
  <c r="J773" i="3"/>
  <c r="A773" i="3"/>
  <c r="A773" i="10" s="1"/>
  <c r="C773" i="3"/>
  <c r="C773" i="10" s="1"/>
  <c r="J774" i="3"/>
  <c r="A774" i="3"/>
  <c r="A774" i="10" s="1"/>
  <c r="C774" i="3"/>
  <c r="C774" i="10" s="1"/>
  <c r="E774" i="3"/>
  <c r="E774" i="10" s="1"/>
  <c r="J775" i="3"/>
  <c r="A775" i="3"/>
  <c r="A775" i="10" s="1"/>
  <c r="C775" i="3"/>
  <c r="C775" i="10" s="1"/>
  <c r="J776" i="3"/>
  <c r="A776" i="3"/>
  <c r="A776" i="10" s="1"/>
  <c r="C776" i="3"/>
  <c r="C776" i="10" s="1"/>
  <c r="J777" i="3"/>
  <c r="A777" i="3"/>
  <c r="A777" i="10" s="1"/>
  <c r="C777" i="3"/>
  <c r="C777" i="10" s="1"/>
  <c r="J778" i="3"/>
  <c r="A778" i="3"/>
  <c r="A778" i="10" s="1"/>
  <c r="C778" i="3"/>
  <c r="C778" i="10" s="1"/>
  <c r="J779" i="3"/>
  <c r="A779" i="3"/>
  <c r="A779" i="10" s="1"/>
  <c r="C779" i="3"/>
  <c r="C779" i="10" s="1"/>
  <c r="J780" i="3"/>
  <c r="A780" i="3"/>
  <c r="C780" i="3"/>
  <c r="C780" i="10" s="1"/>
  <c r="E780" i="3"/>
  <c r="E780" i="10" s="1"/>
  <c r="J781" i="3"/>
  <c r="A781" i="3"/>
  <c r="C781" i="3"/>
  <c r="C781" i="10" s="1"/>
  <c r="J782" i="3"/>
  <c r="A782" i="3"/>
  <c r="C782" i="3"/>
  <c r="C782" i="10" s="1"/>
  <c r="E782" i="3"/>
  <c r="E782" i="10" s="1"/>
  <c r="J783" i="3"/>
  <c r="A783" i="3"/>
  <c r="A783" i="10" s="1"/>
  <c r="C783" i="3"/>
  <c r="C783" i="10" s="1"/>
  <c r="J784" i="3"/>
  <c r="A784" i="3"/>
  <c r="A784" i="10" s="1"/>
  <c r="C784" i="3"/>
  <c r="C784" i="10" s="1"/>
  <c r="J785" i="3"/>
  <c r="A785" i="3"/>
  <c r="A785" i="10" s="1"/>
  <c r="C785" i="3"/>
  <c r="C785" i="10" s="1"/>
  <c r="J786" i="3"/>
  <c r="A786" i="3"/>
  <c r="A786" i="10" s="1"/>
  <c r="C786" i="3"/>
  <c r="C786" i="10" s="1"/>
  <c r="E786" i="3"/>
  <c r="E786" i="10" s="1"/>
  <c r="J787" i="3"/>
  <c r="A787" i="3"/>
  <c r="A787" i="10" s="1"/>
  <c r="C787" i="3"/>
  <c r="C787" i="10" s="1"/>
  <c r="J788" i="3"/>
  <c r="A788" i="3"/>
  <c r="A788" i="10" s="1"/>
  <c r="C788" i="3"/>
  <c r="C788" i="10" s="1"/>
  <c r="E788" i="3"/>
  <c r="E788" i="10" s="1"/>
  <c r="J789" i="3"/>
  <c r="A789" i="3"/>
  <c r="C789" i="3"/>
  <c r="C789" i="10" s="1"/>
  <c r="J790" i="3"/>
  <c r="A790" i="3"/>
  <c r="C790" i="3"/>
  <c r="C790" i="10" s="1"/>
  <c r="J791" i="3"/>
  <c r="A791" i="3"/>
  <c r="C791" i="3"/>
  <c r="C791" i="10" s="1"/>
  <c r="J792" i="3"/>
  <c r="A792" i="3"/>
  <c r="C792" i="3"/>
  <c r="C792" i="10" s="1"/>
  <c r="J793" i="3"/>
  <c r="A793" i="3"/>
  <c r="C793" i="3"/>
  <c r="C793" i="10" s="1"/>
  <c r="J794" i="3"/>
  <c r="A794" i="3"/>
  <c r="C794" i="3"/>
  <c r="C794" i="10" s="1"/>
  <c r="J795" i="3"/>
  <c r="A795" i="3"/>
  <c r="C795" i="3"/>
  <c r="C795" i="10" s="1"/>
  <c r="E795" i="3"/>
  <c r="E795" i="10" s="1"/>
  <c r="J796" i="3"/>
  <c r="A796" i="3"/>
  <c r="A796" i="10" s="1"/>
  <c r="C796" i="3"/>
  <c r="C796" i="10" s="1"/>
  <c r="J797" i="3"/>
  <c r="A797" i="3"/>
  <c r="A797" i="10" s="1"/>
  <c r="C797" i="3"/>
  <c r="C797" i="10" s="1"/>
  <c r="J798" i="3"/>
  <c r="A798" i="3"/>
  <c r="A798" i="10" s="1"/>
  <c r="C798" i="3"/>
  <c r="C798" i="10" s="1"/>
  <c r="J799" i="3"/>
  <c r="A799" i="3"/>
  <c r="A799" i="10" s="1"/>
  <c r="C799" i="3"/>
  <c r="C799" i="10" s="1"/>
  <c r="E799" i="3"/>
  <c r="E799" i="10" s="1"/>
  <c r="J800" i="3"/>
  <c r="A800" i="3"/>
  <c r="C800" i="3"/>
  <c r="C800" i="10" s="1"/>
  <c r="J801" i="3"/>
  <c r="A801" i="3"/>
  <c r="A801" i="10" s="1"/>
  <c r="C801" i="3"/>
  <c r="C801" i="10" s="1"/>
  <c r="E801" i="3"/>
  <c r="E801" i="10" s="1"/>
  <c r="J802" i="3"/>
  <c r="A802" i="3"/>
  <c r="C802" i="3"/>
  <c r="C802" i="10" s="1"/>
  <c r="J803" i="3"/>
  <c r="A803" i="3"/>
  <c r="C803" i="3"/>
  <c r="C803" i="10" s="1"/>
  <c r="E803" i="3"/>
  <c r="E803" i="10" s="1"/>
  <c r="J804" i="3"/>
  <c r="A804" i="3"/>
  <c r="A804" i="10" s="1"/>
  <c r="C804" i="3"/>
  <c r="C804" i="10" s="1"/>
  <c r="J805" i="3"/>
  <c r="A805" i="3"/>
  <c r="A805" i="10" s="1"/>
  <c r="C805" i="3"/>
  <c r="C805" i="10" s="1"/>
  <c r="J806" i="3"/>
  <c r="A806" i="3"/>
  <c r="A806" i="10" s="1"/>
  <c r="C806" i="3"/>
  <c r="C806" i="10" s="1"/>
  <c r="J807" i="3"/>
  <c r="A807" i="3"/>
  <c r="A807" i="10" s="1"/>
  <c r="C807" i="3"/>
  <c r="C807" i="10" s="1"/>
  <c r="E807" i="3"/>
  <c r="E807" i="10" s="1"/>
  <c r="J808" i="3"/>
  <c r="A808" i="3"/>
  <c r="A808" i="10" s="1"/>
  <c r="C808" i="3"/>
  <c r="C808" i="10" s="1"/>
  <c r="J809" i="3"/>
  <c r="A809" i="3"/>
  <c r="A809" i="10" s="1"/>
  <c r="C809" i="3"/>
  <c r="C809" i="10" s="1"/>
  <c r="E809" i="3"/>
  <c r="E809" i="10" s="1"/>
  <c r="J810" i="3"/>
  <c r="A810" i="3"/>
  <c r="C810" i="3"/>
  <c r="C810" i="10" s="1"/>
  <c r="J811" i="3"/>
  <c r="A811" i="3"/>
  <c r="C811" i="3"/>
  <c r="C811" i="10" s="1"/>
  <c r="J812" i="3"/>
  <c r="A812" i="3"/>
  <c r="A812" i="10" s="1"/>
  <c r="C812" i="3"/>
  <c r="C812" i="10" s="1"/>
  <c r="J813" i="3"/>
  <c r="A813" i="3"/>
  <c r="C813" i="3"/>
  <c r="C813" i="10" s="1"/>
  <c r="E813" i="3"/>
  <c r="E813" i="10" s="1"/>
  <c r="J814" i="3"/>
  <c r="A814" i="3"/>
  <c r="A814" i="10" s="1"/>
  <c r="C814" i="3"/>
  <c r="C814" i="10" s="1"/>
  <c r="J815" i="3"/>
  <c r="A815" i="3"/>
  <c r="A815" i="10" s="1"/>
  <c r="C815" i="3"/>
  <c r="C815" i="10" s="1"/>
  <c r="E815" i="3"/>
  <c r="E815" i="10" s="1"/>
  <c r="J816" i="3"/>
  <c r="A816" i="3"/>
  <c r="A816" i="10" s="1"/>
  <c r="C816" i="3"/>
  <c r="C816" i="10" s="1"/>
  <c r="J817" i="3"/>
  <c r="A817" i="3"/>
  <c r="A817" i="10" s="1"/>
  <c r="C817" i="3"/>
  <c r="C817" i="10" s="1"/>
  <c r="E817" i="3"/>
  <c r="E817" i="10" s="1"/>
  <c r="J818" i="3"/>
  <c r="A818" i="3"/>
  <c r="C818" i="3"/>
  <c r="C818" i="10" s="1"/>
  <c r="J819" i="3"/>
  <c r="A819" i="3"/>
  <c r="C819" i="3"/>
  <c r="C819" i="10" s="1"/>
  <c r="J820" i="3"/>
  <c r="A820" i="3"/>
  <c r="C820" i="3"/>
  <c r="C820" i="10" s="1"/>
  <c r="J821" i="3"/>
  <c r="A821" i="3"/>
  <c r="C821" i="3"/>
  <c r="C821" i="10" s="1"/>
  <c r="E821" i="3"/>
  <c r="E821" i="10" s="1"/>
  <c r="J822" i="3"/>
  <c r="A822" i="3"/>
  <c r="A822" i="10" s="1"/>
  <c r="C822" i="3"/>
  <c r="C822" i="10" s="1"/>
  <c r="J823" i="3"/>
  <c r="A823" i="3"/>
  <c r="A823" i="10" s="1"/>
  <c r="C823" i="3"/>
  <c r="C823" i="10" s="1"/>
  <c r="E823" i="3"/>
  <c r="E823" i="10" s="1"/>
  <c r="J824" i="3"/>
  <c r="A824" i="3"/>
  <c r="A824" i="10" s="1"/>
  <c r="C824" i="3"/>
  <c r="C824" i="10" s="1"/>
  <c r="J825" i="3"/>
  <c r="A825" i="3"/>
  <c r="A825" i="10" s="1"/>
  <c r="C825" i="3"/>
  <c r="C825" i="10" s="1"/>
  <c r="E825" i="3"/>
  <c r="E825" i="10" s="1"/>
  <c r="J826" i="3"/>
  <c r="A826" i="3"/>
  <c r="C826" i="3"/>
  <c r="C826" i="10" s="1"/>
  <c r="J827" i="3"/>
  <c r="A827" i="3"/>
  <c r="C827" i="3"/>
  <c r="C827" i="10" s="1"/>
  <c r="J828" i="3"/>
  <c r="A828" i="3"/>
  <c r="C828" i="3"/>
  <c r="C828" i="10" s="1"/>
  <c r="J829" i="3"/>
  <c r="A829" i="3"/>
  <c r="C829" i="3"/>
  <c r="C829" i="10" s="1"/>
  <c r="E829" i="3"/>
  <c r="E829" i="10" s="1"/>
  <c r="J830" i="3"/>
  <c r="A830" i="3"/>
  <c r="A830" i="10" s="1"/>
  <c r="C830" i="3"/>
  <c r="C830" i="10" s="1"/>
  <c r="J831" i="3"/>
  <c r="A831" i="3"/>
  <c r="A831" i="10" s="1"/>
  <c r="C831" i="3"/>
  <c r="C831" i="10" s="1"/>
  <c r="E831" i="3"/>
  <c r="E831" i="10" s="1"/>
  <c r="J832" i="3"/>
  <c r="A832" i="3"/>
  <c r="A832" i="10" s="1"/>
  <c r="C832" i="3"/>
  <c r="C832" i="10" s="1"/>
  <c r="J833" i="3"/>
  <c r="A833" i="3"/>
  <c r="A833" i="10" s="1"/>
  <c r="C833" i="3"/>
  <c r="C833" i="10" s="1"/>
  <c r="E833" i="3"/>
  <c r="E833" i="10" s="1"/>
  <c r="J834" i="3"/>
  <c r="A834" i="3"/>
  <c r="C834" i="3"/>
  <c r="C834" i="10" s="1"/>
  <c r="J835" i="3"/>
  <c r="A835" i="3"/>
  <c r="C835" i="3"/>
  <c r="C835" i="10" s="1"/>
  <c r="J836" i="3"/>
  <c r="A836" i="3"/>
  <c r="C836" i="3"/>
  <c r="C836" i="10" s="1"/>
  <c r="J837" i="3"/>
  <c r="A837" i="3"/>
  <c r="C837" i="3"/>
  <c r="C837" i="10" s="1"/>
  <c r="E837" i="3"/>
  <c r="E837" i="10" s="1"/>
  <c r="J838" i="3"/>
  <c r="A838" i="3"/>
  <c r="A838" i="10" s="1"/>
  <c r="C838" i="3"/>
  <c r="C838" i="10" s="1"/>
  <c r="J839" i="3"/>
  <c r="A839" i="3"/>
  <c r="A839" i="10" s="1"/>
  <c r="C839" i="3"/>
  <c r="C839" i="10" s="1"/>
  <c r="E839" i="3"/>
  <c r="E839" i="10" s="1"/>
  <c r="J840" i="3"/>
  <c r="A840" i="3"/>
  <c r="A840" i="10" s="1"/>
  <c r="C840" i="3"/>
  <c r="C840" i="10" s="1"/>
  <c r="J841" i="3"/>
  <c r="A841" i="3"/>
  <c r="A841" i="10" s="1"/>
  <c r="C841" i="3"/>
  <c r="C841" i="10" s="1"/>
  <c r="E841" i="3"/>
  <c r="E841" i="10" s="1"/>
  <c r="J842" i="3"/>
  <c r="A842" i="3"/>
  <c r="C842" i="3"/>
  <c r="C842" i="10" s="1"/>
  <c r="J843" i="3"/>
  <c r="A843" i="3"/>
  <c r="C843" i="3"/>
  <c r="C843" i="10" s="1"/>
  <c r="J844" i="3"/>
  <c r="A844" i="3"/>
  <c r="C844" i="3"/>
  <c r="C844" i="10" s="1"/>
  <c r="J845" i="3"/>
  <c r="A845" i="3"/>
  <c r="C845" i="3"/>
  <c r="C845" i="10" s="1"/>
  <c r="E845" i="3"/>
  <c r="E845" i="10" s="1"/>
  <c r="J846" i="3"/>
  <c r="A846" i="3"/>
  <c r="A846" i="10" s="1"/>
  <c r="C846" i="3"/>
  <c r="C846" i="10" s="1"/>
  <c r="J847" i="3"/>
  <c r="A847" i="3"/>
  <c r="A847" i="10" s="1"/>
  <c r="C847" i="3"/>
  <c r="C847" i="10" s="1"/>
  <c r="E847" i="3"/>
  <c r="E847" i="10" s="1"/>
  <c r="J848" i="3"/>
  <c r="A848" i="3"/>
  <c r="A848" i="10" s="1"/>
  <c r="C848" i="3"/>
  <c r="C848" i="10" s="1"/>
  <c r="J849" i="3"/>
  <c r="A849" i="3"/>
  <c r="A849" i="10" s="1"/>
  <c r="C849" i="3"/>
  <c r="C849" i="10" s="1"/>
  <c r="E849" i="3"/>
  <c r="E849" i="10" s="1"/>
  <c r="J850" i="3"/>
  <c r="A850" i="3"/>
  <c r="C850" i="3"/>
  <c r="C850" i="10" s="1"/>
  <c r="J851" i="3"/>
  <c r="A851" i="3"/>
  <c r="C851" i="3"/>
  <c r="C851" i="10" s="1"/>
  <c r="J852" i="3"/>
  <c r="A852" i="3"/>
  <c r="C852" i="3"/>
  <c r="C852" i="10" s="1"/>
  <c r="J853" i="3"/>
  <c r="A853" i="3"/>
  <c r="C853" i="3"/>
  <c r="C853" i="10" s="1"/>
  <c r="E853" i="3"/>
  <c r="E853" i="10" s="1"/>
  <c r="J854" i="3"/>
  <c r="A854" i="3"/>
  <c r="A854" i="10" s="1"/>
  <c r="C854" i="3"/>
  <c r="C854" i="10" s="1"/>
  <c r="J855" i="3"/>
  <c r="A855" i="3"/>
  <c r="A855" i="10" s="1"/>
  <c r="C855" i="3"/>
  <c r="C855" i="10" s="1"/>
  <c r="E855" i="3"/>
  <c r="E855" i="10" s="1"/>
  <c r="J856" i="3"/>
  <c r="A856" i="3"/>
  <c r="A856" i="10" s="1"/>
  <c r="C856" i="3"/>
  <c r="C856" i="10" s="1"/>
  <c r="J857" i="3"/>
  <c r="A857" i="3"/>
  <c r="A857" i="10" s="1"/>
  <c r="C857" i="3"/>
  <c r="C857" i="10" s="1"/>
  <c r="E857" i="3"/>
  <c r="E857" i="10" s="1"/>
  <c r="J858" i="3"/>
  <c r="A858" i="3"/>
  <c r="C858" i="3"/>
  <c r="C858" i="10" s="1"/>
  <c r="J859" i="3"/>
  <c r="A859" i="3"/>
  <c r="C859" i="3"/>
  <c r="C859" i="10" s="1"/>
  <c r="J860" i="3"/>
  <c r="A860" i="3"/>
  <c r="C860" i="3"/>
  <c r="C860" i="10" s="1"/>
  <c r="J861" i="3"/>
  <c r="A861" i="3"/>
  <c r="C861" i="3"/>
  <c r="C861" i="10" s="1"/>
  <c r="E861" i="3"/>
  <c r="E861" i="10" s="1"/>
  <c r="J862" i="3"/>
  <c r="A862" i="3"/>
  <c r="A862" i="10" s="1"/>
  <c r="C862" i="3"/>
  <c r="C862" i="10" s="1"/>
  <c r="J863" i="3"/>
  <c r="A863" i="3"/>
  <c r="A863" i="10" s="1"/>
  <c r="C863" i="3"/>
  <c r="C863" i="10" s="1"/>
  <c r="E863" i="3"/>
  <c r="E863" i="10" s="1"/>
  <c r="J864" i="3"/>
  <c r="A864" i="3"/>
  <c r="A864" i="10" s="1"/>
  <c r="C864" i="3"/>
  <c r="C864" i="10" s="1"/>
  <c r="J865" i="3"/>
  <c r="A865" i="3"/>
  <c r="A865" i="10" s="1"/>
  <c r="C865" i="3"/>
  <c r="C865" i="10" s="1"/>
  <c r="E865" i="3"/>
  <c r="E865" i="10" s="1"/>
  <c r="J866" i="3"/>
  <c r="A866" i="3"/>
  <c r="C866" i="3"/>
  <c r="C866" i="10" s="1"/>
  <c r="J867" i="3"/>
  <c r="A867" i="3"/>
  <c r="C867" i="3"/>
  <c r="C867" i="10" s="1"/>
  <c r="J868" i="3"/>
  <c r="A868" i="3"/>
  <c r="C868" i="3"/>
  <c r="C868" i="10" s="1"/>
  <c r="J869" i="3"/>
  <c r="A869" i="3"/>
  <c r="C869" i="3"/>
  <c r="C869" i="10" s="1"/>
  <c r="E869" i="3"/>
  <c r="E869" i="10" s="1"/>
  <c r="J870" i="3"/>
  <c r="A870" i="3"/>
  <c r="A870" i="10" s="1"/>
  <c r="C870" i="3"/>
  <c r="C870" i="10" s="1"/>
  <c r="J871" i="3"/>
  <c r="A871" i="3"/>
  <c r="A871" i="10" s="1"/>
  <c r="C871" i="3"/>
  <c r="C871" i="10" s="1"/>
  <c r="E871" i="3"/>
  <c r="E871" i="10" s="1"/>
  <c r="J872" i="3"/>
  <c r="A872" i="3"/>
  <c r="A872" i="10" s="1"/>
  <c r="C872" i="3"/>
  <c r="C872" i="10" s="1"/>
  <c r="J873" i="3"/>
  <c r="A873" i="3"/>
  <c r="A873" i="10" s="1"/>
  <c r="C873" i="3"/>
  <c r="C873" i="10" s="1"/>
  <c r="E873" i="3"/>
  <c r="E873" i="10" s="1"/>
  <c r="J874" i="3"/>
  <c r="A874" i="3"/>
  <c r="C874" i="3"/>
  <c r="C874" i="10" s="1"/>
  <c r="J875" i="3"/>
  <c r="A875" i="3"/>
  <c r="C875" i="3"/>
  <c r="C875" i="10" s="1"/>
  <c r="J876" i="3"/>
  <c r="A876" i="3"/>
  <c r="C876" i="3"/>
  <c r="C876" i="10" s="1"/>
  <c r="J877" i="3"/>
  <c r="A877" i="3"/>
  <c r="C877" i="3"/>
  <c r="C877" i="10" s="1"/>
  <c r="E877" i="3"/>
  <c r="E877" i="10" s="1"/>
  <c r="J878" i="3"/>
  <c r="A878" i="3"/>
  <c r="A878" i="10" s="1"/>
  <c r="C878" i="3"/>
  <c r="C878" i="10" s="1"/>
  <c r="J879" i="3"/>
  <c r="A879" i="3"/>
  <c r="A879" i="10" s="1"/>
  <c r="C879" i="3"/>
  <c r="C879" i="10" s="1"/>
  <c r="J880" i="3"/>
  <c r="A880" i="3"/>
  <c r="A880" i="10" s="1"/>
  <c r="C880" i="3"/>
  <c r="C880" i="10" s="1"/>
  <c r="J881" i="3"/>
  <c r="A881" i="3"/>
  <c r="A881" i="10" s="1"/>
  <c r="C881" i="3"/>
  <c r="C881" i="10" s="1"/>
  <c r="E881" i="3"/>
  <c r="E881" i="10" s="1"/>
  <c r="J882" i="3"/>
  <c r="A882" i="3"/>
  <c r="C882" i="3"/>
  <c r="C882" i="10" s="1"/>
  <c r="J883" i="3"/>
  <c r="A883" i="3"/>
  <c r="C883" i="3"/>
  <c r="C883" i="10" s="1"/>
  <c r="J884" i="3"/>
  <c r="A884" i="3"/>
  <c r="A884" i="10" s="1"/>
  <c r="C884" i="3"/>
  <c r="C884" i="10" s="1"/>
  <c r="J885" i="3"/>
  <c r="A885" i="3"/>
  <c r="C885" i="3"/>
  <c r="C885" i="10" s="1"/>
  <c r="E885" i="3"/>
  <c r="E885" i="10" s="1"/>
  <c r="J886" i="3"/>
  <c r="A886" i="3"/>
  <c r="A886" i="10" s="1"/>
  <c r="C886" i="3"/>
  <c r="C886" i="10" s="1"/>
  <c r="J887" i="3"/>
  <c r="A887" i="3"/>
  <c r="A887" i="10" s="1"/>
  <c r="C887" i="3"/>
  <c r="C887" i="10" s="1"/>
  <c r="J888" i="3"/>
  <c r="A888" i="3"/>
  <c r="A888" i="10" s="1"/>
  <c r="C888" i="3"/>
  <c r="C888" i="10" s="1"/>
  <c r="J889" i="3"/>
  <c r="A889" i="3"/>
  <c r="A889" i="10" s="1"/>
  <c r="C889" i="3"/>
  <c r="C889" i="10" s="1"/>
  <c r="E889" i="3"/>
  <c r="E889" i="10" s="1"/>
  <c r="J890" i="3"/>
  <c r="A890" i="3"/>
  <c r="C890" i="3"/>
  <c r="C890" i="10" s="1"/>
  <c r="J891" i="3"/>
  <c r="A891" i="3"/>
  <c r="C891" i="3"/>
  <c r="C891" i="10" s="1"/>
  <c r="J892" i="3"/>
  <c r="A892" i="3"/>
  <c r="C892" i="3"/>
  <c r="C892" i="10" s="1"/>
  <c r="J893" i="3"/>
  <c r="A893" i="3"/>
  <c r="C893" i="3"/>
  <c r="C893" i="10" s="1"/>
  <c r="E893" i="3"/>
  <c r="E893" i="10" s="1"/>
  <c r="J894" i="3"/>
  <c r="A894" i="3"/>
  <c r="A894" i="10" s="1"/>
  <c r="C894" i="3"/>
  <c r="C894" i="10" s="1"/>
  <c r="J895" i="3"/>
  <c r="A895" i="3"/>
  <c r="A895" i="10" s="1"/>
  <c r="C895" i="3"/>
  <c r="C895" i="10" s="1"/>
  <c r="J896" i="3"/>
  <c r="A896" i="3"/>
  <c r="A896" i="10" s="1"/>
  <c r="C896" i="3"/>
  <c r="C896" i="10" s="1"/>
  <c r="J897" i="3"/>
  <c r="A897" i="3"/>
  <c r="A897" i="10" s="1"/>
  <c r="C897" i="3"/>
  <c r="C897" i="10" s="1"/>
  <c r="E897" i="3"/>
  <c r="E897" i="10" s="1"/>
  <c r="J898" i="3"/>
  <c r="A898" i="3"/>
  <c r="C898" i="3"/>
  <c r="C898" i="10" s="1"/>
  <c r="J899" i="3"/>
  <c r="A899" i="3"/>
  <c r="C899" i="3"/>
  <c r="C899" i="10" s="1"/>
  <c r="J900" i="3"/>
  <c r="A900" i="3"/>
  <c r="C900" i="3"/>
  <c r="C900" i="10" s="1"/>
  <c r="J901" i="3"/>
  <c r="A901" i="3"/>
  <c r="C901" i="3"/>
  <c r="C901" i="10" s="1"/>
  <c r="E901" i="3"/>
  <c r="E901" i="10" s="1"/>
  <c r="J902" i="3"/>
  <c r="A902" i="3"/>
  <c r="A902" i="10" s="1"/>
  <c r="C902" i="3"/>
  <c r="C902" i="10" s="1"/>
  <c r="J903" i="3"/>
  <c r="A903" i="3"/>
  <c r="A903" i="10" s="1"/>
  <c r="C903" i="3"/>
  <c r="C903" i="10" s="1"/>
  <c r="J904" i="3"/>
  <c r="A904" i="3"/>
  <c r="A904" i="10" s="1"/>
  <c r="C904" i="3"/>
  <c r="C904" i="10" s="1"/>
  <c r="J905" i="3"/>
  <c r="A905" i="3"/>
  <c r="A905" i="10" s="1"/>
  <c r="C905" i="3"/>
  <c r="C905" i="10" s="1"/>
  <c r="E905" i="3"/>
  <c r="E905" i="10" s="1"/>
  <c r="J906" i="3"/>
  <c r="A906" i="3"/>
  <c r="C906" i="3"/>
  <c r="C906" i="10" s="1"/>
  <c r="J907" i="3"/>
  <c r="A907" i="3"/>
  <c r="C907" i="3"/>
  <c r="C907" i="10" s="1"/>
  <c r="J908" i="3"/>
  <c r="A908" i="3"/>
  <c r="C908" i="3"/>
  <c r="C908" i="10" s="1"/>
  <c r="J909" i="3"/>
  <c r="A909" i="3"/>
  <c r="C909" i="3"/>
  <c r="C909" i="10" s="1"/>
  <c r="J910" i="3"/>
  <c r="A910" i="3"/>
  <c r="C910" i="3"/>
  <c r="C910" i="10" s="1"/>
  <c r="J911" i="3"/>
  <c r="A911" i="3"/>
  <c r="C911" i="3"/>
  <c r="C911" i="10" s="1"/>
  <c r="J912" i="3"/>
  <c r="A912" i="3"/>
  <c r="C912" i="3"/>
  <c r="C912" i="10" s="1"/>
  <c r="J913" i="3"/>
  <c r="A913" i="3"/>
  <c r="A913" i="10" s="1"/>
  <c r="C913" i="3"/>
  <c r="C913" i="10" s="1"/>
  <c r="J914" i="3"/>
  <c r="A914" i="3"/>
  <c r="C914" i="3"/>
  <c r="C914" i="10" s="1"/>
  <c r="J915" i="3"/>
  <c r="A915" i="3"/>
  <c r="C915" i="3"/>
  <c r="C915" i="10" s="1"/>
  <c r="J916" i="3"/>
  <c r="A916" i="3"/>
  <c r="C916" i="3"/>
  <c r="C916" i="10" s="1"/>
  <c r="J917" i="3"/>
  <c r="A917" i="3"/>
  <c r="C917" i="3"/>
  <c r="C917" i="10" s="1"/>
  <c r="J918" i="3"/>
  <c r="A918" i="3"/>
  <c r="C918" i="3"/>
  <c r="C918" i="10" s="1"/>
  <c r="J919" i="3"/>
  <c r="A919" i="3"/>
  <c r="C919" i="3"/>
  <c r="C919" i="10" s="1"/>
  <c r="J920" i="3"/>
  <c r="A920" i="3"/>
  <c r="C920" i="3"/>
  <c r="C920" i="10" s="1"/>
  <c r="J921" i="3"/>
  <c r="A921" i="3"/>
  <c r="A921" i="10" s="1"/>
  <c r="C921" i="3"/>
  <c r="C921" i="10" s="1"/>
  <c r="J922" i="3"/>
  <c r="A922" i="3"/>
  <c r="C922" i="3"/>
  <c r="C922" i="10" s="1"/>
  <c r="J923" i="3"/>
  <c r="A923" i="3"/>
  <c r="C923" i="3"/>
  <c r="C923" i="10" s="1"/>
  <c r="J924" i="3"/>
  <c r="A924" i="3"/>
  <c r="A924" i="10" s="1"/>
  <c r="C924" i="3"/>
  <c r="C924" i="10" s="1"/>
  <c r="J925" i="3"/>
  <c r="A925" i="3"/>
  <c r="C925" i="3"/>
  <c r="C925" i="10" s="1"/>
  <c r="J926" i="3"/>
  <c r="A926" i="3"/>
  <c r="A926" i="10" s="1"/>
  <c r="C926" i="3"/>
  <c r="C926" i="10" s="1"/>
  <c r="J927" i="3"/>
  <c r="A927" i="3"/>
  <c r="C927" i="3"/>
  <c r="C927" i="10" s="1"/>
  <c r="J928" i="3"/>
  <c r="A928" i="3"/>
  <c r="A928" i="10" s="1"/>
  <c r="C928" i="3"/>
  <c r="C928" i="10" s="1"/>
  <c r="J929" i="3"/>
  <c r="A929" i="3"/>
  <c r="C929" i="3"/>
  <c r="C929" i="10" s="1"/>
  <c r="J930" i="3"/>
  <c r="A930" i="3"/>
  <c r="C930" i="3"/>
  <c r="C930" i="10" s="1"/>
  <c r="J931" i="3"/>
  <c r="A931" i="3"/>
  <c r="C931" i="3"/>
  <c r="C931" i="10" s="1"/>
  <c r="J932" i="3"/>
  <c r="A932" i="3"/>
  <c r="A932" i="10" s="1"/>
  <c r="C932" i="3"/>
  <c r="C932" i="10" s="1"/>
  <c r="J933" i="3"/>
  <c r="A933" i="3"/>
  <c r="C933" i="3"/>
  <c r="C933" i="10" s="1"/>
  <c r="J934" i="3"/>
  <c r="A934" i="3"/>
  <c r="C934" i="3"/>
  <c r="C934" i="10" s="1"/>
  <c r="J935" i="3"/>
  <c r="A935" i="3"/>
  <c r="C935" i="3"/>
  <c r="C935" i="10" s="1"/>
  <c r="J936" i="3"/>
  <c r="A936" i="3"/>
  <c r="A936" i="10" s="1"/>
  <c r="C936" i="3"/>
  <c r="C936" i="10" s="1"/>
  <c r="J937" i="3"/>
  <c r="A937" i="3"/>
  <c r="C937" i="3"/>
  <c r="C937" i="10" s="1"/>
  <c r="J938" i="3"/>
  <c r="A938" i="3"/>
  <c r="C938" i="3"/>
  <c r="C938" i="10" s="1"/>
  <c r="J939" i="3"/>
  <c r="A939" i="3"/>
  <c r="C939" i="3"/>
  <c r="C939" i="10" s="1"/>
  <c r="J940" i="3"/>
  <c r="A940" i="3"/>
  <c r="A940" i="10" s="1"/>
  <c r="C940" i="3"/>
  <c r="C940" i="10" s="1"/>
  <c r="J941" i="3"/>
  <c r="A941" i="3"/>
  <c r="C941" i="3"/>
  <c r="C941" i="10" s="1"/>
  <c r="J942" i="3"/>
  <c r="A942" i="3"/>
  <c r="C942" i="3"/>
  <c r="C942" i="10" s="1"/>
  <c r="J943" i="3"/>
  <c r="A943" i="3"/>
  <c r="C943" i="3"/>
  <c r="C943" i="10" s="1"/>
  <c r="J944" i="3"/>
  <c r="A944" i="3"/>
  <c r="A944" i="10" s="1"/>
  <c r="C944" i="3"/>
  <c r="C944" i="10" s="1"/>
  <c r="J945" i="3"/>
  <c r="A945" i="3"/>
  <c r="C945" i="3"/>
  <c r="C945" i="10" s="1"/>
  <c r="J946" i="3"/>
  <c r="A946" i="3"/>
  <c r="C946" i="3"/>
  <c r="C946" i="10" s="1"/>
  <c r="J947" i="3"/>
  <c r="A947" i="3"/>
  <c r="C947" i="3"/>
  <c r="C947" i="10" s="1"/>
  <c r="J948" i="3"/>
  <c r="A948" i="3"/>
  <c r="A948" i="10" s="1"/>
  <c r="C948" i="3"/>
  <c r="C948" i="10" s="1"/>
  <c r="J949" i="3"/>
  <c r="A949" i="3"/>
  <c r="C949" i="3"/>
  <c r="C949" i="10" s="1"/>
  <c r="J950" i="3"/>
  <c r="A950" i="3"/>
  <c r="C950" i="3"/>
  <c r="C950" i="10" s="1"/>
  <c r="J951" i="3"/>
  <c r="A951" i="3"/>
  <c r="A951" i="10" s="1"/>
  <c r="C951" i="3"/>
  <c r="C951" i="10" s="1"/>
  <c r="J952" i="3"/>
  <c r="A952" i="3"/>
  <c r="A952" i="10" s="1"/>
  <c r="C952" i="3"/>
  <c r="C952" i="10" s="1"/>
  <c r="J953" i="3"/>
  <c r="A953" i="3"/>
  <c r="A953" i="10" s="1"/>
  <c r="C953" i="3"/>
  <c r="C953" i="10" s="1"/>
  <c r="J954" i="3"/>
  <c r="A954" i="3"/>
  <c r="A954" i="10" s="1"/>
  <c r="C954" i="3"/>
  <c r="C954" i="10" s="1"/>
  <c r="J955" i="3"/>
  <c r="A955" i="3"/>
  <c r="A955" i="10" s="1"/>
  <c r="C955" i="3"/>
  <c r="C955" i="10" s="1"/>
  <c r="J956" i="3"/>
  <c r="A956" i="3"/>
  <c r="A956" i="10" s="1"/>
  <c r="C956" i="3"/>
  <c r="C956" i="10" s="1"/>
  <c r="J957" i="3"/>
  <c r="A957" i="3"/>
  <c r="A957" i="10" s="1"/>
  <c r="C957" i="3"/>
  <c r="C957" i="10" s="1"/>
  <c r="J958" i="3"/>
  <c r="A958" i="3"/>
  <c r="A958" i="10" s="1"/>
  <c r="C958" i="3"/>
  <c r="C958" i="10" s="1"/>
  <c r="J959" i="3"/>
  <c r="A959" i="3"/>
  <c r="A959" i="10" s="1"/>
  <c r="C959" i="3"/>
  <c r="C959" i="10" s="1"/>
  <c r="J960" i="3"/>
  <c r="A960" i="3"/>
  <c r="A960" i="10" s="1"/>
  <c r="C960" i="3"/>
  <c r="C960" i="10" s="1"/>
  <c r="J961" i="3"/>
  <c r="A961" i="3"/>
  <c r="A961" i="10" s="1"/>
  <c r="C961" i="3"/>
  <c r="C961" i="10" s="1"/>
  <c r="J962" i="3"/>
  <c r="A962" i="3"/>
  <c r="A962" i="10" s="1"/>
  <c r="C962" i="3"/>
  <c r="C962" i="10" s="1"/>
  <c r="J963" i="3"/>
  <c r="A963" i="3"/>
  <c r="A963" i="10" s="1"/>
  <c r="C963" i="3"/>
  <c r="C963" i="10" s="1"/>
  <c r="J964" i="3"/>
  <c r="A964" i="3"/>
  <c r="A964" i="10" s="1"/>
  <c r="C964" i="3"/>
  <c r="C964" i="10" s="1"/>
  <c r="J965" i="3"/>
  <c r="A965" i="3"/>
  <c r="A965" i="10" s="1"/>
  <c r="C965" i="3"/>
  <c r="C965" i="10" s="1"/>
  <c r="J966" i="3"/>
  <c r="A966" i="3"/>
  <c r="A966" i="10" s="1"/>
  <c r="C966" i="3"/>
  <c r="C966" i="10" s="1"/>
  <c r="J967" i="3"/>
  <c r="A967" i="3"/>
  <c r="A967" i="10" s="1"/>
  <c r="C967" i="3"/>
  <c r="C967" i="10" s="1"/>
  <c r="J968" i="3"/>
  <c r="A968" i="3"/>
  <c r="A968" i="10" s="1"/>
  <c r="C968" i="3"/>
  <c r="C968" i="10" s="1"/>
  <c r="J969" i="3"/>
  <c r="A969" i="3"/>
  <c r="A969" i="10" s="1"/>
  <c r="C969" i="3"/>
  <c r="C969" i="10" s="1"/>
  <c r="J970" i="3"/>
  <c r="A970" i="3"/>
  <c r="A970" i="10" s="1"/>
  <c r="C970" i="3"/>
  <c r="C970" i="10" s="1"/>
  <c r="J971" i="3"/>
  <c r="A971" i="3"/>
  <c r="A971" i="10" s="1"/>
  <c r="C971" i="3"/>
  <c r="C971" i="10" s="1"/>
  <c r="J972" i="3"/>
  <c r="A972" i="3"/>
  <c r="A972" i="10" s="1"/>
  <c r="C972" i="3"/>
  <c r="C972" i="10" s="1"/>
  <c r="J973" i="3"/>
  <c r="A973" i="3"/>
  <c r="A973" i="10" s="1"/>
  <c r="C973" i="3"/>
  <c r="C973" i="10" s="1"/>
  <c r="J974" i="3"/>
  <c r="A974" i="3"/>
  <c r="A974" i="10" s="1"/>
  <c r="C974" i="3"/>
  <c r="C974" i="10" s="1"/>
  <c r="J975" i="3"/>
  <c r="A975" i="3"/>
  <c r="A975" i="10" s="1"/>
  <c r="C975" i="3"/>
  <c r="C975" i="10" s="1"/>
  <c r="J976" i="3"/>
  <c r="A976" i="3"/>
  <c r="A976" i="10" s="1"/>
  <c r="C976" i="3"/>
  <c r="C976" i="10" s="1"/>
  <c r="J977" i="3"/>
  <c r="A977" i="3"/>
  <c r="A977" i="10" s="1"/>
  <c r="C977" i="3"/>
  <c r="C977" i="10" s="1"/>
  <c r="J978" i="3"/>
  <c r="A978" i="3"/>
  <c r="A978" i="10" s="1"/>
  <c r="C978" i="3"/>
  <c r="C978" i="10" s="1"/>
  <c r="J979" i="3"/>
  <c r="A979" i="3"/>
  <c r="A979" i="10" s="1"/>
  <c r="C979" i="3"/>
  <c r="C979" i="10" s="1"/>
  <c r="J980" i="3"/>
  <c r="A980" i="3"/>
  <c r="A980" i="10" s="1"/>
  <c r="C980" i="3"/>
  <c r="C980" i="10" s="1"/>
  <c r="J981" i="3"/>
  <c r="A981" i="3"/>
  <c r="A981" i="10" s="1"/>
  <c r="C981" i="3"/>
  <c r="C981" i="10" s="1"/>
  <c r="J982" i="3"/>
  <c r="A982" i="3"/>
  <c r="A982" i="10" s="1"/>
  <c r="C982" i="3"/>
  <c r="C982" i="10" s="1"/>
  <c r="J983" i="3"/>
  <c r="A983" i="3"/>
  <c r="A983" i="10" s="1"/>
  <c r="C983" i="3"/>
  <c r="C983" i="10" s="1"/>
  <c r="J984" i="3"/>
  <c r="A984" i="3"/>
  <c r="A984" i="10" s="1"/>
  <c r="C984" i="3"/>
  <c r="C984" i="10" s="1"/>
  <c r="J985" i="3"/>
  <c r="A985" i="3"/>
  <c r="A985" i="10" s="1"/>
  <c r="C985" i="3"/>
  <c r="C985" i="10" s="1"/>
  <c r="J986" i="3"/>
  <c r="A986" i="3"/>
  <c r="A986" i="10" s="1"/>
  <c r="C986" i="3"/>
  <c r="C986" i="10" s="1"/>
  <c r="J987" i="3"/>
  <c r="A987" i="3"/>
  <c r="A987" i="10" s="1"/>
  <c r="C987" i="3"/>
  <c r="C987" i="10" s="1"/>
  <c r="J988" i="3"/>
  <c r="A988" i="3"/>
  <c r="A988" i="10" s="1"/>
  <c r="C988" i="3"/>
  <c r="C988" i="10" s="1"/>
  <c r="J989" i="3"/>
  <c r="A989" i="3"/>
  <c r="A989" i="10" s="1"/>
  <c r="C989" i="3"/>
  <c r="C989" i="10" s="1"/>
  <c r="J990" i="3"/>
  <c r="A990" i="3"/>
  <c r="A990" i="10" s="1"/>
  <c r="C990" i="3"/>
  <c r="C990" i="10" s="1"/>
  <c r="J991" i="3"/>
  <c r="A991" i="3"/>
  <c r="A991" i="10" s="1"/>
  <c r="C991" i="3"/>
  <c r="C991" i="10" s="1"/>
  <c r="J992" i="3"/>
  <c r="A992" i="3"/>
  <c r="A992" i="10" s="1"/>
  <c r="C992" i="3"/>
  <c r="C992" i="10" s="1"/>
  <c r="J993" i="3"/>
  <c r="A993" i="3"/>
  <c r="A993" i="10" s="1"/>
  <c r="C993" i="3"/>
  <c r="C993" i="10" s="1"/>
  <c r="J994" i="3"/>
  <c r="A994" i="3"/>
  <c r="A994" i="10" s="1"/>
  <c r="C994" i="3"/>
  <c r="C994" i="10" s="1"/>
  <c r="J995" i="3"/>
  <c r="A995" i="3"/>
  <c r="A995" i="10" s="1"/>
  <c r="C995" i="3"/>
  <c r="C995" i="10" s="1"/>
  <c r="J996" i="3"/>
  <c r="A996" i="3"/>
  <c r="A996" i="10" s="1"/>
  <c r="C996" i="3"/>
  <c r="C996" i="10" s="1"/>
  <c r="J997" i="3"/>
  <c r="A997" i="3"/>
  <c r="A997" i="10" s="1"/>
  <c r="C997" i="3"/>
  <c r="C997" i="10" s="1"/>
  <c r="J998" i="3"/>
  <c r="A998" i="3"/>
  <c r="A998" i="10" s="1"/>
  <c r="C998" i="3"/>
  <c r="C998" i="10" s="1"/>
  <c r="J999" i="3"/>
  <c r="A999" i="3"/>
  <c r="A999" i="10" s="1"/>
  <c r="C999" i="3"/>
  <c r="C999" i="10" s="1"/>
  <c r="J1000" i="3"/>
  <c r="A1000" i="3"/>
  <c r="A1000" i="10" s="1"/>
  <c r="C1000" i="3"/>
  <c r="C1000" i="10" s="1"/>
  <c r="I955" i="3" l="1"/>
  <c r="I955" i="10" s="1"/>
  <c r="I951" i="3"/>
  <c r="I951" i="10" s="1"/>
  <c r="I947" i="3"/>
  <c r="I947" i="10" s="1"/>
  <c r="I943" i="3"/>
  <c r="I943" i="10" s="1"/>
  <c r="I939" i="3"/>
  <c r="I939" i="10" s="1"/>
  <c r="I927" i="3"/>
  <c r="I927" i="10" s="1"/>
  <c r="I919" i="3"/>
  <c r="I919" i="10" s="1"/>
  <c r="H916" i="3"/>
  <c r="A916" i="10"/>
  <c r="I915" i="3"/>
  <c r="I915" i="10" s="1"/>
  <c r="H908" i="3"/>
  <c r="A908" i="10"/>
  <c r="I899" i="3"/>
  <c r="I899" i="10" s="1"/>
  <c r="I973" i="3"/>
  <c r="I973" i="10" s="1"/>
  <c r="I953" i="3"/>
  <c r="I953" i="10" s="1"/>
  <c r="H946" i="3"/>
  <c r="A946" i="10"/>
  <c r="I945" i="3"/>
  <c r="I945" i="10" s="1"/>
  <c r="I941" i="3"/>
  <c r="I941" i="10" s="1"/>
  <c r="I933" i="3"/>
  <c r="I933" i="10" s="1"/>
  <c r="H930" i="3"/>
  <c r="A930" i="10"/>
  <c r="I929" i="3"/>
  <c r="I929" i="10" s="1"/>
  <c r="I925" i="3"/>
  <c r="I925" i="10" s="1"/>
  <c r="I921" i="3"/>
  <c r="I921" i="10" s="1"/>
  <c r="I917" i="3"/>
  <c r="I917" i="10" s="1"/>
  <c r="H914" i="3"/>
  <c r="A914" i="10"/>
  <c r="I913" i="3"/>
  <c r="I913" i="10" s="1"/>
  <c r="H910" i="3"/>
  <c r="A910" i="10"/>
  <c r="I909" i="3"/>
  <c r="I909" i="10" s="1"/>
  <c r="H906" i="3"/>
  <c r="A906" i="10"/>
  <c r="I904" i="3"/>
  <c r="I904" i="10" s="1"/>
  <c r="I903" i="3"/>
  <c r="I903" i="10" s="1"/>
  <c r="H898" i="3"/>
  <c r="A898" i="10"/>
  <c r="I896" i="3"/>
  <c r="I896" i="10" s="1"/>
  <c r="I895" i="3"/>
  <c r="I895" i="10" s="1"/>
  <c r="H890" i="3"/>
  <c r="A890" i="10"/>
  <c r="I888" i="3"/>
  <c r="I888" i="10" s="1"/>
  <c r="I887" i="3"/>
  <c r="I887" i="10" s="1"/>
  <c r="H882" i="3"/>
  <c r="A882" i="10"/>
  <c r="I880" i="3"/>
  <c r="I880" i="10" s="1"/>
  <c r="I879" i="3"/>
  <c r="I879" i="10" s="1"/>
  <c r="H874" i="3"/>
  <c r="A874" i="10"/>
  <c r="I872" i="3"/>
  <c r="I872" i="10" s="1"/>
  <c r="I871" i="3"/>
  <c r="I871" i="10" s="1"/>
  <c r="H866" i="3"/>
  <c r="A866" i="10"/>
  <c r="I864" i="3"/>
  <c r="I864" i="10" s="1"/>
  <c r="I863" i="3"/>
  <c r="I863" i="10" s="1"/>
  <c r="H858" i="3"/>
  <c r="A858" i="10"/>
  <c r="I856" i="3"/>
  <c r="I856" i="10" s="1"/>
  <c r="I855" i="3"/>
  <c r="I855" i="10" s="1"/>
  <c r="H850" i="3"/>
  <c r="A850" i="10"/>
  <c r="I848" i="3"/>
  <c r="I848" i="10" s="1"/>
  <c r="I847" i="3"/>
  <c r="I847" i="10" s="1"/>
  <c r="H842" i="3"/>
  <c r="A842" i="10"/>
  <c r="I840" i="3"/>
  <c r="I840" i="10" s="1"/>
  <c r="I839" i="3"/>
  <c r="I839" i="10" s="1"/>
  <c r="H834" i="3"/>
  <c r="A834" i="10"/>
  <c r="I832" i="3"/>
  <c r="I832" i="10" s="1"/>
  <c r="I831" i="3"/>
  <c r="I831" i="10" s="1"/>
  <c r="H826" i="3"/>
  <c r="A826" i="10"/>
  <c r="I824" i="3"/>
  <c r="I824" i="10" s="1"/>
  <c r="I823" i="3"/>
  <c r="I823" i="10" s="1"/>
  <c r="H818" i="3"/>
  <c r="A818" i="10"/>
  <c r="I816" i="3"/>
  <c r="I816" i="10" s="1"/>
  <c r="I815" i="3"/>
  <c r="I815" i="10" s="1"/>
  <c r="H810" i="3"/>
  <c r="A810" i="10"/>
  <c r="I808" i="3"/>
  <c r="I808" i="10" s="1"/>
  <c r="I807" i="3"/>
  <c r="I807" i="10" s="1"/>
  <c r="H803" i="3"/>
  <c r="A803" i="10"/>
  <c r="I802" i="3"/>
  <c r="I802" i="10" s="1"/>
  <c r="I801" i="3"/>
  <c r="I801" i="10" s="1"/>
  <c r="H795" i="3"/>
  <c r="A795" i="10"/>
  <c r="I794" i="3"/>
  <c r="I794" i="10" s="1"/>
  <c r="H790" i="3"/>
  <c r="A790" i="10"/>
  <c r="I789" i="3"/>
  <c r="I789" i="10" s="1"/>
  <c r="I788" i="3"/>
  <c r="I788" i="10" s="1"/>
  <c r="I783" i="3"/>
  <c r="I783" i="10" s="1"/>
  <c r="I782" i="3"/>
  <c r="I782" i="10" s="1"/>
  <c r="I776" i="3"/>
  <c r="I776" i="10" s="1"/>
  <c r="I771" i="3"/>
  <c r="I771" i="10" s="1"/>
  <c r="I770" i="3"/>
  <c r="I770" i="10" s="1"/>
  <c r="H767" i="3"/>
  <c r="A767" i="10"/>
  <c r="H766" i="3"/>
  <c r="A766" i="10"/>
  <c r="I765" i="3"/>
  <c r="I765" i="10" s="1"/>
  <c r="I764" i="3"/>
  <c r="I764" i="10" s="1"/>
  <c r="H759" i="3"/>
  <c r="A759" i="10"/>
  <c r="H758" i="3"/>
  <c r="A758" i="10"/>
  <c r="I757" i="3"/>
  <c r="I757" i="10" s="1"/>
  <c r="I752" i="3"/>
  <c r="I752" i="10" s="1"/>
  <c r="H747" i="3"/>
  <c r="A747" i="10"/>
  <c r="H746" i="3"/>
  <c r="A746" i="10"/>
  <c r="I745" i="3"/>
  <c r="I745" i="10" s="1"/>
  <c r="I744" i="3"/>
  <c r="I744" i="10" s="1"/>
  <c r="H739" i="3"/>
  <c r="A739" i="10"/>
  <c r="H738" i="3"/>
  <c r="A738" i="10"/>
  <c r="I737" i="3"/>
  <c r="I737" i="10" s="1"/>
  <c r="I731" i="3"/>
  <c r="I731" i="10" s="1"/>
  <c r="I730" i="3"/>
  <c r="I730" i="10" s="1"/>
  <c r="I724" i="3"/>
  <c r="I724" i="10" s="1"/>
  <c r="H719" i="3"/>
  <c r="A719" i="10"/>
  <c r="H718" i="3"/>
  <c r="A718" i="10"/>
  <c r="I717" i="3"/>
  <c r="I717" i="10" s="1"/>
  <c r="I711" i="3"/>
  <c r="I711" i="10" s="1"/>
  <c r="I710" i="3"/>
  <c r="I710" i="10" s="1"/>
  <c r="H707" i="3"/>
  <c r="A707" i="10"/>
  <c r="H706" i="3"/>
  <c r="A706" i="10"/>
  <c r="I705" i="3"/>
  <c r="I705" i="10" s="1"/>
  <c r="I700" i="3"/>
  <c r="I700" i="10" s="1"/>
  <c r="H695" i="3"/>
  <c r="A695" i="10"/>
  <c r="H694" i="3"/>
  <c r="A694" i="10"/>
  <c r="I693" i="3"/>
  <c r="I693" i="10" s="1"/>
  <c r="I688" i="3"/>
  <c r="I688" i="10" s="1"/>
  <c r="I683" i="3"/>
  <c r="I683" i="10" s="1"/>
  <c r="I682" i="3"/>
  <c r="I682" i="10" s="1"/>
  <c r="I675" i="3"/>
  <c r="I675" i="10" s="1"/>
  <c r="I674" i="3"/>
  <c r="I674" i="10" s="1"/>
  <c r="I667" i="3"/>
  <c r="I667" i="10" s="1"/>
  <c r="I666" i="3"/>
  <c r="I666" i="10" s="1"/>
  <c r="H663" i="3"/>
  <c r="A663" i="10"/>
  <c r="H662" i="3"/>
  <c r="A662" i="10"/>
  <c r="I661" i="3"/>
  <c r="I661" i="10" s="1"/>
  <c r="I660" i="3"/>
  <c r="I660" i="10" s="1"/>
  <c r="H655" i="3"/>
  <c r="A655" i="10"/>
  <c r="H654" i="3"/>
  <c r="A654" i="10"/>
  <c r="I653" i="3"/>
  <c r="I653" i="10" s="1"/>
  <c r="I652" i="3"/>
  <c r="I652" i="10" s="1"/>
  <c r="I647" i="3"/>
  <c r="I647" i="10" s="1"/>
  <c r="I646" i="3"/>
  <c r="I646" i="10" s="1"/>
  <c r="H643" i="3"/>
  <c r="A643" i="10"/>
  <c r="H642" i="3"/>
  <c r="A642" i="10"/>
  <c r="I641" i="3"/>
  <c r="I641" i="10" s="1"/>
  <c r="I562" i="3"/>
  <c r="I562" i="10" s="1"/>
  <c r="I578" i="3"/>
  <c r="I578" i="10" s="1"/>
  <c r="I582" i="3"/>
  <c r="I582" i="10" s="1"/>
  <c r="I586" i="3"/>
  <c r="I586" i="10" s="1"/>
  <c r="I590" i="3"/>
  <c r="I590" i="10" s="1"/>
  <c r="I594" i="3"/>
  <c r="I594" i="10" s="1"/>
  <c r="I598" i="3"/>
  <c r="I598" i="10" s="1"/>
  <c r="I602" i="3"/>
  <c r="I602" i="10" s="1"/>
  <c r="I606" i="3"/>
  <c r="I606" i="10" s="1"/>
  <c r="I610" i="3"/>
  <c r="I610" i="10" s="1"/>
  <c r="I614" i="3"/>
  <c r="I614" i="10" s="1"/>
  <c r="I618" i="3"/>
  <c r="I618" i="10" s="1"/>
  <c r="I622" i="3"/>
  <c r="I622" i="10" s="1"/>
  <c r="I626" i="3"/>
  <c r="I626" i="10" s="1"/>
  <c r="I630" i="3"/>
  <c r="I630" i="10" s="1"/>
  <c r="I634" i="3"/>
  <c r="I634" i="10" s="1"/>
  <c r="I638" i="3"/>
  <c r="I638" i="10" s="1"/>
  <c r="I971" i="3"/>
  <c r="I971" i="10" s="1"/>
  <c r="I923" i="3"/>
  <c r="I923" i="10" s="1"/>
  <c r="H920" i="3"/>
  <c r="A920" i="10"/>
  <c r="I911" i="3"/>
  <c r="I911" i="10" s="1"/>
  <c r="I891" i="3"/>
  <c r="I891" i="10" s="1"/>
  <c r="I997" i="3"/>
  <c r="I997" i="10" s="1"/>
  <c r="I993" i="3"/>
  <c r="I993" i="10" s="1"/>
  <c r="I989" i="3"/>
  <c r="I989" i="10" s="1"/>
  <c r="I985" i="3"/>
  <c r="I985" i="10" s="1"/>
  <c r="I981" i="3"/>
  <c r="I981" i="10" s="1"/>
  <c r="I977" i="3"/>
  <c r="I977" i="10" s="1"/>
  <c r="I969" i="3"/>
  <c r="I969" i="10" s="1"/>
  <c r="I965" i="3"/>
  <c r="I965" i="10" s="1"/>
  <c r="I961" i="3"/>
  <c r="I961" i="10" s="1"/>
  <c r="I957" i="3"/>
  <c r="I957" i="10" s="1"/>
  <c r="H950" i="3"/>
  <c r="A950" i="10"/>
  <c r="I949" i="3"/>
  <c r="I949" i="10" s="1"/>
  <c r="H942" i="3"/>
  <c r="A942" i="10"/>
  <c r="H938" i="3"/>
  <c r="A938" i="10"/>
  <c r="I937" i="3"/>
  <c r="I937" i="10" s="1"/>
  <c r="H934" i="3"/>
  <c r="A934" i="10"/>
  <c r="H922" i="3"/>
  <c r="A922" i="10"/>
  <c r="H918" i="3"/>
  <c r="A918" i="10"/>
  <c r="I998" i="3"/>
  <c r="I998" i="10" s="1"/>
  <c r="I994" i="3"/>
  <c r="I994" i="10" s="1"/>
  <c r="I990" i="3"/>
  <c r="I990" i="10" s="1"/>
  <c r="I986" i="3"/>
  <c r="I986" i="10" s="1"/>
  <c r="I982" i="3"/>
  <c r="I982" i="10" s="1"/>
  <c r="I978" i="3"/>
  <c r="I978" i="10" s="1"/>
  <c r="I974" i="3"/>
  <c r="I974" i="10" s="1"/>
  <c r="I970" i="3"/>
  <c r="I970" i="10" s="1"/>
  <c r="I966" i="3"/>
  <c r="I966" i="10" s="1"/>
  <c r="I962" i="3"/>
  <c r="I962" i="10" s="1"/>
  <c r="I958" i="3"/>
  <c r="I958" i="10" s="1"/>
  <c r="I954" i="3"/>
  <c r="I954" i="10" s="1"/>
  <c r="I950" i="3"/>
  <c r="I950" i="10" s="1"/>
  <c r="H947" i="3"/>
  <c r="A947" i="10"/>
  <c r="I946" i="3"/>
  <c r="I946" i="10" s="1"/>
  <c r="H943" i="3"/>
  <c r="A943" i="10"/>
  <c r="I942" i="3"/>
  <c r="I942" i="10" s="1"/>
  <c r="H939" i="3"/>
  <c r="A939" i="10"/>
  <c r="I938" i="3"/>
  <c r="I938" i="10" s="1"/>
  <c r="H935" i="3"/>
  <c r="A935" i="10"/>
  <c r="I934" i="3"/>
  <c r="I934" i="10" s="1"/>
  <c r="H931" i="3"/>
  <c r="A931" i="10"/>
  <c r="I930" i="3"/>
  <c r="I930" i="10" s="1"/>
  <c r="H927" i="3"/>
  <c r="A927" i="10"/>
  <c r="I926" i="3"/>
  <c r="I926" i="10" s="1"/>
  <c r="H923" i="3"/>
  <c r="A923" i="10"/>
  <c r="I922" i="3"/>
  <c r="I922" i="10" s="1"/>
  <c r="H919" i="3"/>
  <c r="A919" i="10"/>
  <c r="I918" i="3"/>
  <c r="I918" i="10" s="1"/>
  <c r="H915" i="3"/>
  <c r="A915" i="10"/>
  <c r="I914" i="3"/>
  <c r="I914" i="10" s="1"/>
  <c r="H911" i="3"/>
  <c r="A911" i="10"/>
  <c r="I910" i="3"/>
  <c r="I910" i="10" s="1"/>
  <c r="H907" i="3"/>
  <c r="A907" i="10"/>
  <c r="I906" i="3"/>
  <c r="I906" i="10" s="1"/>
  <c r="I905" i="3"/>
  <c r="I905" i="10" s="1"/>
  <c r="E903" i="3"/>
  <c r="E903" i="10" s="1"/>
  <c r="H900" i="3"/>
  <c r="A900" i="10"/>
  <c r="H899" i="3"/>
  <c r="A899" i="10"/>
  <c r="I898" i="3"/>
  <c r="I898" i="10" s="1"/>
  <c r="I897" i="3"/>
  <c r="I897" i="10" s="1"/>
  <c r="E895" i="3"/>
  <c r="E895" i="10" s="1"/>
  <c r="H892" i="3"/>
  <c r="A892" i="10"/>
  <c r="H891" i="3"/>
  <c r="A891" i="10"/>
  <c r="I890" i="3"/>
  <c r="I890" i="10" s="1"/>
  <c r="I889" i="3"/>
  <c r="I889" i="10" s="1"/>
  <c r="E887" i="3"/>
  <c r="E887" i="10" s="1"/>
  <c r="H883" i="3"/>
  <c r="A883" i="10"/>
  <c r="I882" i="3"/>
  <c r="I882" i="10" s="1"/>
  <c r="I881" i="3"/>
  <c r="I881" i="10" s="1"/>
  <c r="E879" i="3"/>
  <c r="E879" i="10" s="1"/>
  <c r="H876" i="3"/>
  <c r="A876" i="10"/>
  <c r="H875" i="3"/>
  <c r="A875" i="10"/>
  <c r="I874" i="3"/>
  <c r="I874" i="10" s="1"/>
  <c r="I873" i="3"/>
  <c r="I873" i="10" s="1"/>
  <c r="H868" i="3"/>
  <c r="A868" i="10"/>
  <c r="H867" i="3"/>
  <c r="A867" i="10"/>
  <c r="I866" i="3"/>
  <c r="I866" i="10" s="1"/>
  <c r="I865" i="3"/>
  <c r="I865" i="10" s="1"/>
  <c r="H860" i="3"/>
  <c r="A860" i="10"/>
  <c r="H859" i="3"/>
  <c r="A859" i="10"/>
  <c r="I858" i="3"/>
  <c r="I858" i="10" s="1"/>
  <c r="I857" i="3"/>
  <c r="I857" i="10" s="1"/>
  <c r="H852" i="3"/>
  <c r="A852" i="10"/>
  <c r="H851" i="3"/>
  <c r="A851" i="10"/>
  <c r="I850" i="3"/>
  <c r="I850" i="10" s="1"/>
  <c r="I849" i="3"/>
  <c r="I849" i="10" s="1"/>
  <c r="H844" i="3"/>
  <c r="A844" i="10"/>
  <c r="H843" i="3"/>
  <c r="A843" i="10"/>
  <c r="I842" i="3"/>
  <c r="I842" i="10" s="1"/>
  <c r="I841" i="3"/>
  <c r="I841" i="10" s="1"/>
  <c r="H836" i="3"/>
  <c r="A836" i="10"/>
  <c r="H835" i="3"/>
  <c r="A835" i="10"/>
  <c r="I834" i="3"/>
  <c r="I834" i="10" s="1"/>
  <c r="I833" i="3"/>
  <c r="I833" i="10" s="1"/>
  <c r="H828" i="3"/>
  <c r="A828" i="10"/>
  <c r="H827" i="3"/>
  <c r="A827" i="10"/>
  <c r="I826" i="3"/>
  <c r="I826" i="10" s="1"/>
  <c r="I825" i="3"/>
  <c r="I825" i="10" s="1"/>
  <c r="H820" i="3"/>
  <c r="A820" i="10"/>
  <c r="H819" i="3"/>
  <c r="A819" i="10"/>
  <c r="I818" i="3"/>
  <c r="I818" i="10" s="1"/>
  <c r="I817" i="3"/>
  <c r="I817" i="10" s="1"/>
  <c r="H811" i="3"/>
  <c r="A811" i="10"/>
  <c r="I810" i="3"/>
  <c r="I810" i="10" s="1"/>
  <c r="I809" i="3"/>
  <c r="I809" i="10" s="1"/>
  <c r="I804" i="3"/>
  <c r="I804" i="10" s="1"/>
  <c r="I803" i="3"/>
  <c r="I803" i="10" s="1"/>
  <c r="I796" i="3"/>
  <c r="I796" i="10" s="1"/>
  <c r="I795" i="3"/>
  <c r="I795" i="10" s="1"/>
  <c r="H792" i="3"/>
  <c r="A792" i="10"/>
  <c r="H791" i="3"/>
  <c r="A791" i="10"/>
  <c r="I790" i="3"/>
  <c r="I790" i="10" s="1"/>
  <c r="I784" i="3"/>
  <c r="I784" i="10" s="1"/>
  <c r="I777" i="3"/>
  <c r="I777" i="10" s="1"/>
  <c r="I772" i="3"/>
  <c r="I772" i="10" s="1"/>
  <c r="H768" i="3"/>
  <c r="A768" i="10"/>
  <c r="I767" i="3"/>
  <c r="I767" i="10" s="1"/>
  <c r="I766" i="3"/>
  <c r="I766" i="10" s="1"/>
  <c r="E764" i="3"/>
  <c r="E764" i="10" s="1"/>
  <c r="H760" i="3"/>
  <c r="A760" i="10"/>
  <c r="I759" i="3"/>
  <c r="I759" i="10" s="1"/>
  <c r="I758" i="3"/>
  <c r="I758" i="10" s="1"/>
  <c r="H755" i="3"/>
  <c r="A755" i="10"/>
  <c r="I753" i="3"/>
  <c r="I753" i="10" s="1"/>
  <c r="H748" i="3"/>
  <c r="A748" i="10"/>
  <c r="I747" i="3"/>
  <c r="I747" i="10" s="1"/>
  <c r="I746" i="3"/>
  <c r="I746" i="10" s="1"/>
  <c r="E744" i="3"/>
  <c r="E744" i="10" s="1"/>
  <c r="H740" i="3"/>
  <c r="A740" i="10"/>
  <c r="I739" i="3"/>
  <c r="I739" i="10" s="1"/>
  <c r="I738" i="3"/>
  <c r="I738" i="10" s="1"/>
  <c r="H735" i="3"/>
  <c r="A735" i="10"/>
  <c r="I733" i="3"/>
  <c r="I733" i="10" s="1"/>
  <c r="I732" i="3"/>
  <c r="I732" i="10" s="1"/>
  <c r="E730" i="3"/>
  <c r="E730" i="10" s="1"/>
  <c r="H727" i="3"/>
  <c r="A727" i="10"/>
  <c r="I725" i="3"/>
  <c r="I725" i="10" s="1"/>
  <c r="H720" i="3"/>
  <c r="A720" i="10"/>
  <c r="I719" i="3"/>
  <c r="I719" i="10" s="1"/>
  <c r="I718" i="3"/>
  <c r="I718" i="10" s="1"/>
  <c r="H715" i="3"/>
  <c r="A715" i="10"/>
  <c r="I713" i="3"/>
  <c r="I713" i="10" s="1"/>
  <c r="I712" i="3"/>
  <c r="I712" i="10" s="1"/>
  <c r="E710" i="3"/>
  <c r="E710" i="10" s="1"/>
  <c r="H708" i="3"/>
  <c r="A708" i="10"/>
  <c r="I707" i="3"/>
  <c r="I707" i="10" s="1"/>
  <c r="I706" i="3"/>
  <c r="I706" i="10" s="1"/>
  <c r="H703" i="3"/>
  <c r="A703" i="10"/>
  <c r="I701" i="3"/>
  <c r="I701" i="10" s="1"/>
  <c r="H696" i="3"/>
  <c r="A696" i="10"/>
  <c r="I695" i="3"/>
  <c r="I695" i="10" s="1"/>
  <c r="I694" i="3"/>
  <c r="I694" i="10" s="1"/>
  <c r="H691" i="3"/>
  <c r="A691" i="10"/>
  <c r="I689" i="3"/>
  <c r="I689" i="10" s="1"/>
  <c r="I684" i="3"/>
  <c r="I684" i="10" s="1"/>
  <c r="H679" i="3"/>
  <c r="A679" i="10"/>
  <c r="I677" i="3"/>
  <c r="I677" i="10" s="1"/>
  <c r="I676" i="3"/>
  <c r="I676" i="10" s="1"/>
  <c r="H671" i="3"/>
  <c r="A671" i="10"/>
  <c r="I669" i="3"/>
  <c r="I669" i="10" s="1"/>
  <c r="I668" i="3"/>
  <c r="I668" i="10" s="1"/>
  <c r="E666" i="3"/>
  <c r="E666" i="10" s="1"/>
  <c r="H664" i="3"/>
  <c r="A664" i="10"/>
  <c r="I663" i="3"/>
  <c r="I663" i="10" s="1"/>
  <c r="I662" i="3"/>
  <c r="I662" i="10" s="1"/>
  <c r="E660" i="3"/>
  <c r="E660" i="10" s="1"/>
  <c r="H656" i="3"/>
  <c r="A656" i="10"/>
  <c r="I655" i="3"/>
  <c r="I655" i="10" s="1"/>
  <c r="I654" i="3"/>
  <c r="I654" i="10" s="1"/>
  <c r="E652" i="3"/>
  <c r="E652" i="10" s="1"/>
  <c r="I648" i="3"/>
  <c r="I648" i="10" s="1"/>
  <c r="E646" i="3"/>
  <c r="E646" i="10" s="1"/>
  <c r="H644" i="3"/>
  <c r="A644" i="10"/>
  <c r="I643" i="3"/>
  <c r="I643" i="10" s="1"/>
  <c r="I642" i="3"/>
  <c r="I642" i="10" s="1"/>
  <c r="H639" i="3"/>
  <c r="A639" i="10"/>
  <c r="I581" i="3"/>
  <c r="I581" i="10" s="1"/>
  <c r="I585" i="3"/>
  <c r="I585" i="10" s="1"/>
  <c r="I589" i="3"/>
  <c r="I589" i="10" s="1"/>
  <c r="I593" i="3"/>
  <c r="I593" i="10" s="1"/>
  <c r="I597" i="3"/>
  <c r="I597" i="10" s="1"/>
  <c r="I601" i="3"/>
  <c r="I601" i="10" s="1"/>
  <c r="I605" i="3"/>
  <c r="I605" i="10" s="1"/>
  <c r="I609" i="3"/>
  <c r="I609" i="10" s="1"/>
  <c r="I613" i="3"/>
  <c r="I613" i="10" s="1"/>
  <c r="I617" i="3"/>
  <c r="I617" i="10" s="1"/>
  <c r="I621" i="3"/>
  <c r="I621" i="10" s="1"/>
  <c r="I625" i="3"/>
  <c r="I625" i="10" s="1"/>
  <c r="I629" i="3"/>
  <c r="I629" i="10" s="1"/>
  <c r="I633" i="3"/>
  <c r="I633" i="10" s="1"/>
  <c r="I637" i="3"/>
  <c r="I637" i="10" s="1"/>
  <c r="H638" i="3"/>
  <c r="A638" i="10"/>
  <c r="I995" i="3"/>
  <c r="I995" i="10" s="1"/>
  <c r="I967" i="3"/>
  <c r="I967" i="10" s="1"/>
  <c r="I959" i="3"/>
  <c r="I959" i="10" s="1"/>
  <c r="I935" i="3"/>
  <c r="I935" i="10" s="1"/>
  <c r="I931" i="3"/>
  <c r="I931" i="10" s="1"/>
  <c r="H912" i="3"/>
  <c r="A912" i="10"/>
  <c r="I907" i="3"/>
  <c r="I907" i="10" s="1"/>
  <c r="H901" i="3"/>
  <c r="A901" i="10"/>
  <c r="I900" i="3"/>
  <c r="I900" i="10" s="1"/>
  <c r="H893" i="3"/>
  <c r="A893" i="10"/>
  <c r="I876" i="3"/>
  <c r="I876" i="10" s="1"/>
  <c r="H853" i="3"/>
  <c r="A853" i="10"/>
  <c r="I852" i="3"/>
  <c r="I852" i="10" s="1"/>
  <c r="I851" i="3"/>
  <c r="I851" i="10" s="1"/>
  <c r="H845" i="3"/>
  <c r="A845" i="10"/>
  <c r="I844" i="3"/>
  <c r="I844" i="10" s="1"/>
  <c r="I843" i="3"/>
  <c r="I843" i="10" s="1"/>
  <c r="H837" i="3"/>
  <c r="A837" i="10"/>
  <c r="I836" i="3"/>
  <c r="I836" i="10" s="1"/>
  <c r="I835" i="3"/>
  <c r="I835" i="10" s="1"/>
  <c r="H829" i="3"/>
  <c r="A829" i="10"/>
  <c r="I828" i="3"/>
  <c r="I828" i="10" s="1"/>
  <c r="I827" i="3"/>
  <c r="I827" i="10" s="1"/>
  <c r="H821" i="3"/>
  <c r="A821" i="10"/>
  <c r="I820" i="3"/>
  <c r="I820" i="10" s="1"/>
  <c r="I819" i="3"/>
  <c r="I819" i="10" s="1"/>
  <c r="H813" i="3"/>
  <c r="A813" i="10"/>
  <c r="I812" i="3"/>
  <c r="I812" i="10" s="1"/>
  <c r="I811" i="3"/>
  <c r="I811" i="10" s="1"/>
  <c r="I805" i="3"/>
  <c r="I805" i="10" s="1"/>
  <c r="H800" i="3"/>
  <c r="A800" i="10"/>
  <c r="I798" i="3"/>
  <c r="I798" i="10" s="1"/>
  <c r="I797" i="3"/>
  <c r="I797" i="10" s="1"/>
  <c r="H793" i="3"/>
  <c r="A793" i="10"/>
  <c r="I792" i="3"/>
  <c r="I792" i="10" s="1"/>
  <c r="I791" i="3"/>
  <c r="I791" i="10" s="1"/>
  <c r="I785" i="3"/>
  <c r="I785" i="10" s="1"/>
  <c r="H781" i="3"/>
  <c r="A781" i="10"/>
  <c r="H780" i="3"/>
  <c r="A780" i="10"/>
  <c r="I779" i="3"/>
  <c r="I779" i="10" s="1"/>
  <c r="I778" i="3"/>
  <c r="I778" i="10" s="1"/>
  <c r="I773" i="3"/>
  <c r="I773" i="10" s="1"/>
  <c r="I768" i="3"/>
  <c r="I768" i="10" s="1"/>
  <c r="I761" i="3"/>
  <c r="I761" i="10" s="1"/>
  <c r="I760" i="3"/>
  <c r="I760" i="10" s="1"/>
  <c r="H756" i="3"/>
  <c r="A756" i="10"/>
  <c r="I755" i="3"/>
  <c r="I755" i="10" s="1"/>
  <c r="I754" i="3"/>
  <c r="I754" i="10" s="1"/>
  <c r="I749" i="3"/>
  <c r="I749" i="10" s="1"/>
  <c r="I748" i="3"/>
  <c r="I748" i="10" s="1"/>
  <c r="I741" i="3"/>
  <c r="I741" i="10" s="1"/>
  <c r="I740" i="3"/>
  <c r="I740" i="10" s="1"/>
  <c r="H736" i="3"/>
  <c r="A736" i="10"/>
  <c r="I735" i="3"/>
  <c r="I735" i="10" s="1"/>
  <c r="I734" i="3"/>
  <c r="I734" i="10" s="1"/>
  <c r="H729" i="3"/>
  <c r="A729" i="10"/>
  <c r="H728" i="3"/>
  <c r="A728" i="10"/>
  <c r="I727" i="3"/>
  <c r="I727" i="10" s="1"/>
  <c r="I726" i="3"/>
  <c r="I726" i="10" s="1"/>
  <c r="I721" i="3"/>
  <c r="I721" i="10" s="1"/>
  <c r="I720" i="3"/>
  <c r="I720" i="10" s="1"/>
  <c r="H716" i="3"/>
  <c r="A716" i="10"/>
  <c r="I715" i="3"/>
  <c r="I715" i="10" s="1"/>
  <c r="I714" i="3"/>
  <c r="I714" i="10" s="1"/>
  <c r="H709" i="3"/>
  <c r="A709" i="10"/>
  <c r="I708" i="3"/>
  <c r="I708" i="10" s="1"/>
  <c r="H704" i="3"/>
  <c r="A704" i="10"/>
  <c r="I703" i="3"/>
  <c r="I703" i="10" s="1"/>
  <c r="I702" i="3"/>
  <c r="I702" i="10" s="1"/>
  <c r="I697" i="3"/>
  <c r="I697" i="10" s="1"/>
  <c r="I696" i="3"/>
  <c r="I696" i="10" s="1"/>
  <c r="I691" i="3"/>
  <c r="I691" i="10" s="1"/>
  <c r="I690" i="3"/>
  <c r="I690" i="10" s="1"/>
  <c r="I685" i="3"/>
  <c r="I685" i="10" s="1"/>
  <c r="H680" i="3"/>
  <c r="A680" i="10"/>
  <c r="I679" i="3"/>
  <c r="I679" i="10" s="1"/>
  <c r="I678" i="3"/>
  <c r="I678" i="10" s="1"/>
  <c r="H673" i="3"/>
  <c r="A673" i="10"/>
  <c r="H672" i="3"/>
  <c r="A672" i="10"/>
  <c r="I671" i="3"/>
  <c r="I671" i="10" s="1"/>
  <c r="I670" i="3"/>
  <c r="I670" i="10" s="1"/>
  <c r="H665" i="3"/>
  <c r="A665" i="10"/>
  <c r="I664" i="3"/>
  <c r="I664" i="10" s="1"/>
  <c r="I657" i="3"/>
  <c r="I657" i="10" s="1"/>
  <c r="I656" i="3"/>
  <c r="I656" i="10" s="1"/>
  <c r="I649" i="3"/>
  <c r="I649" i="10" s="1"/>
  <c r="I644" i="3"/>
  <c r="I644" i="10" s="1"/>
  <c r="H640" i="3"/>
  <c r="A640" i="10"/>
  <c r="I639" i="3"/>
  <c r="I639" i="10" s="1"/>
  <c r="I572" i="3"/>
  <c r="I572" i="10" s="1"/>
  <c r="I580" i="3"/>
  <c r="I580" i="10" s="1"/>
  <c r="I584" i="3"/>
  <c r="I584" i="10" s="1"/>
  <c r="I592" i="3"/>
  <c r="I592" i="10" s="1"/>
  <c r="I596" i="3"/>
  <c r="I596" i="10" s="1"/>
  <c r="I600" i="3"/>
  <c r="I600" i="10" s="1"/>
  <c r="I604" i="3"/>
  <c r="I604" i="10" s="1"/>
  <c r="I608" i="3"/>
  <c r="I608" i="10" s="1"/>
  <c r="I612" i="3"/>
  <c r="I612" i="10" s="1"/>
  <c r="I616" i="3"/>
  <c r="I616" i="10" s="1"/>
  <c r="I620" i="3"/>
  <c r="I620" i="10" s="1"/>
  <c r="I624" i="3"/>
  <c r="I624" i="10" s="1"/>
  <c r="I628" i="3"/>
  <c r="I628" i="10" s="1"/>
  <c r="I632" i="3"/>
  <c r="I632" i="10" s="1"/>
  <c r="I636" i="3"/>
  <c r="I636" i="10" s="1"/>
  <c r="I999" i="3"/>
  <c r="I999" i="10" s="1"/>
  <c r="I991" i="3"/>
  <c r="I991" i="10" s="1"/>
  <c r="I987" i="3"/>
  <c r="I987" i="10" s="1"/>
  <c r="I983" i="3"/>
  <c r="I983" i="10" s="1"/>
  <c r="I979" i="3"/>
  <c r="I979" i="10" s="1"/>
  <c r="I975" i="3"/>
  <c r="I975" i="10" s="1"/>
  <c r="I963" i="3"/>
  <c r="I963" i="10" s="1"/>
  <c r="I892" i="3"/>
  <c r="I892" i="10" s="1"/>
  <c r="H885" i="3"/>
  <c r="A885" i="10"/>
  <c r="I884" i="3"/>
  <c r="I884" i="10" s="1"/>
  <c r="I883" i="3"/>
  <c r="I883" i="10" s="1"/>
  <c r="H877" i="3"/>
  <c r="A877" i="10"/>
  <c r="I875" i="3"/>
  <c r="I875" i="10" s="1"/>
  <c r="H869" i="3"/>
  <c r="A869" i="10"/>
  <c r="I868" i="3"/>
  <c r="I868" i="10" s="1"/>
  <c r="I867" i="3"/>
  <c r="I867" i="10" s="1"/>
  <c r="H861" i="3"/>
  <c r="A861" i="10"/>
  <c r="I860" i="3"/>
  <c r="I860" i="10" s="1"/>
  <c r="I859" i="3"/>
  <c r="I859" i="10" s="1"/>
  <c r="I1000" i="3"/>
  <c r="I1000" i="10" s="1"/>
  <c r="I996" i="3"/>
  <c r="I996" i="10" s="1"/>
  <c r="I992" i="3"/>
  <c r="I992" i="10" s="1"/>
  <c r="I988" i="3"/>
  <c r="I988" i="10" s="1"/>
  <c r="I984" i="3"/>
  <c r="I984" i="10" s="1"/>
  <c r="I980" i="3"/>
  <c r="I980" i="10" s="1"/>
  <c r="I976" i="3"/>
  <c r="I976" i="10" s="1"/>
  <c r="I972" i="3"/>
  <c r="I972" i="10" s="1"/>
  <c r="I968" i="3"/>
  <c r="I968" i="10" s="1"/>
  <c r="I964" i="3"/>
  <c r="I964" i="10" s="1"/>
  <c r="I960" i="3"/>
  <c r="I960" i="10" s="1"/>
  <c r="I956" i="3"/>
  <c r="I956" i="10" s="1"/>
  <c r="I952" i="3"/>
  <c r="I952" i="10" s="1"/>
  <c r="H949" i="3"/>
  <c r="A949" i="10"/>
  <c r="I948" i="3"/>
  <c r="I948" i="10" s="1"/>
  <c r="H945" i="3"/>
  <c r="A945" i="10"/>
  <c r="I944" i="3"/>
  <c r="I944" i="10" s="1"/>
  <c r="H941" i="3"/>
  <c r="A941" i="10"/>
  <c r="I940" i="3"/>
  <c r="I940" i="10" s="1"/>
  <c r="H937" i="3"/>
  <c r="A937" i="10"/>
  <c r="I936" i="3"/>
  <c r="I936" i="10" s="1"/>
  <c r="H933" i="3"/>
  <c r="A933" i="10"/>
  <c r="I932" i="3"/>
  <c r="I932" i="10" s="1"/>
  <c r="H929" i="3"/>
  <c r="A929" i="10"/>
  <c r="I928" i="3"/>
  <c r="I928" i="10" s="1"/>
  <c r="H925" i="3"/>
  <c r="A925" i="10"/>
  <c r="I924" i="3"/>
  <c r="I924" i="10" s="1"/>
  <c r="I920" i="3"/>
  <c r="I920" i="10" s="1"/>
  <c r="H917" i="3"/>
  <c r="A917" i="10"/>
  <c r="I916" i="3"/>
  <c r="I916" i="10" s="1"/>
  <c r="I912" i="3"/>
  <c r="I912" i="10" s="1"/>
  <c r="H909" i="3"/>
  <c r="A909" i="10"/>
  <c r="I908" i="3"/>
  <c r="I908" i="10" s="1"/>
  <c r="I902" i="3"/>
  <c r="I902" i="10" s="1"/>
  <c r="I901" i="3"/>
  <c r="I901" i="10" s="1"/>
  <c r="E899" i="3"/>
  <c r="E899" i="10" s="1"/>
  <c r="I894" i="3"/>
  <c r="I894" i="10" s="1"/>
  <c r="I893" i="3"/>
  <c r="I893" i="10" s="1"/>
  <c r="E891" i="3"/>
  <c r="E891" i="10" s="1"/>
  <c r="I886" i="3"/>
  <c r="I886" i="10" s="1"/>
  <c r="I885" i="3"/>
  <c r="I885" i="10" s="1"/>
  <c r="E883" i="3"/>
  <c r="E883" i="10" s="1"/>
  <c r="I878" i="3"/>
  <c r="I878" i="10" s="1"/>
  <c r="I877" i="3"/>
  <c r="I877" i="10" s="1"/>
  <c r="E875" i="3"/>
  <c r="E875" i="10" s="1"/>
  <c r="I870" i="3"/>
  <c r="I870" i="10" s="1"/>
  <c r="I869" i="3"/>
  <c r="I869" i="10" s="1"/>
  <c r="E867" i="3"/>
  <c r="E867" i="10" s="1"/>
  <c r="I862" i="3"/>
  <c r="I862" i="10" s="1"/>
  <c r="I861" i="3"/>
  <c r="I861" i="10" s="1"/>
  <c r="E859" i="3"/>
  <c r="E859" i="10" s="1"/>
  <c r="I854" i="3"/>
  <c r="I854" i="10" s="1"/>
  <c r="I853" i="3"/>
  <c r="I853" i="10" s="1"/>
  <c r="E851" i="3"/>
  <c r="E851" i="10" s="1"/>
  <c r="I846" i="3"/>
  <c r="I846" i="10" s="1"/>
  <c r="I845" i="3"/>
  <c r="I845" i="10" s="1"/>
  <c r="E843" i="3"/>
  <c r="E843" i="10" s="1"/>
  <c r="I838" i="3"/>
  <c r="I838" i="10" s="1"/>
  <c r="I837" i="3"/>
  <c r="I837" i="10" s="1"/>
  <c r="E835" i="3"/>
  <c r="E835" i="10" s="1"/>
  <c r="I830" i="3"/>
  <c r="I830" i="10" s="1"/>
  <c r="I829" i="3"/>
  <c r="I829" i="10" s="1"/>
  <c r="E827" i="3"/>
  <c r="E827" i="10" s="1"/>
  <c r="I822" i="3"/>
  <c r="I822" i="10" s="1"/>
  <c r="I821" i="3"/>
  <c r="I821" i="10" s="1"/>
  <c r="E819" i="3"/>
  <c r="E819" i="10" s="1"/>
  <c r="I814" i="3"/>
  <c r="I814" i="10" s="1"/>
  <c r="I813" i="3"/>
  <c r="I813" i="10" s="1"/>
  <c r="E811" i="3"/>
  <c r="E811" i="10" s="1"/>
  <c r="I806" i="3"/>
  <c r="I806" i="10" s="1"/>
  <c r="H802" i="3"/>
  <c r="A802" i="10"/>
  <c r="I800" i="3"/>
  <c r="I800" i="10" s="1"/>
  <c r="I799" i="3"/>
  <c r="I799" i="10" s="1"/>
  <c r="E797" i="3"/>
  <c r="E797" i="10" s="1"/>
  <c r="H794" i="3"/>
  <c r="A794" i="10"/>
  <c r="I793" i="3"/>
  <c r="I793" i="10" s="1"/>
  <c r="E791" i="3"/>
  <c r="E791" i="10" s="1"/>
  <c r="H789" i="3"/>
  <c r="A789" i="10"/>
  <c r="I787" i="3"/>
  <c r="I787" i="10" s="1"/>
  <c r="I786" i="3"/>
  <c r="I786" i="10" s="1"/>
  <c r="H782" i="3"/>
  <c r="A782" i="10"/>
  <c r="I781" i="3"/>
  <c r="I781" i="10" s="1"/>
  <c r="I780" i="3"/>
  <c r="I780" i="10" s="1"/>
  <c r="E778" i="3"/>
  <c r="E778" i="10" s="1"/>
  <c r="I775" i="3"/>
  <c r="I775" i="10" s="1"/>
  <c r="I774" i="3"/>
  <c r="I774" i="10" s="1"/>
  <c r="H770" i="3"/>
  <c r="A770" i="10"/>
  <c r="I769" i="3"/>
  <c r="I769" i="10" s="1"/>
  <c r="H765" i="3"/>
  <c r="A765" i="10"/>
  <c r="I763" i="3"/>
  <c r="I763" i="10" s="1"/>
  <c r="I762" i="3"/>
  <c r="I762" i="10" s="1"/>
  <c r="E760" i="3"/>
  <c r="E760" i="10" s="1"/>
  <c r="H757" i="3"/>
  <c r="A757" i="10"/>
  <c r="I756" i="3"/>
  <c r="I756" i="10" s="1"/>
  <c r="E754" i="3"/>
  <c r="E754" i="10" s="1"/>
  <c r="I751" i="3"/>
  <c r="I751" i="10" s="1"/>
  <c r="I750" i="3"/>
  <c r="I750" i="10" s="1"/>
  <c r="E748" i="3"/>
  <c r="E748" i="10" s="1"/>
  <c r="H745" i="3"/>
  <c r="A745" i="10"/>
  <c r="I743" i="3"/>
  <c r="I743" i="10" s="1"/>
  <c r="I742" i="3"/>
  <c r="I742" i="10" s="1"/>
  <c r="E740" i="3"/>
  <c r="E740" i="10" s="1"/>
  <c r="I736" i="3"/>
  <c r="I736" i="10" s="1"/>
  <c r="E734" i="3"/>
  <c r="E734" i="10" s="1"/>
  <c r="H730" i="3"/>
  <c r="A730" i="10"/>
  <c r="I729" i="3"/>
  <c r="I729" i="10" s="1"/>
  <c r="I728" i="3"/>
  <c r="I728" i="10" s="1"/>
  <c r="E726" i="3"/>
  <c r="E726" i="10" s="1"/>
  <c r="I723" i="3"/>
  <c r="I723" i="10" s="1"/>
  <c r="I722" i="3"/>
  <c r="I722" i="10" s="1"/>
  <c r="E720" i="3"/>
  <c r="E720" i="10" s="1"/>
  <c r="H717" i="3"/>
  <c r="A717" i="10"/>
  <c r="I716" i="3"/>
  <c r="I716" i="10" s="1"/>
  <c r="E714" i="3"/>
  <c r="E714" i="10" s="1"/>
  <c r="H710" i="3"/>
  <c r="A710" i="10"/>
  <c r="I709" i="3"/>
  <c r="I709" i="10" s="1"/>
  <c r="I704" i="3"/>
  <c r="I704" i="10" s="1"/>
  <c r="E702" i="3"/>
  <c r="E702" i="10" s="1"/>
  <c r="I699" i="3"/>
  <c r="I699" i="10" s="1"/>
  <c r="I698" i="3"/>
  <c r="I698" i="10" s="1"/>
  <c r="E696" i="3"/>
  <c r="E696" i="10" s="1"/>
  <c r="H693" i="3"/>
  <c r="A693" i="10"/>
  <c r="I692" i="3"/>
  <c r="I692" i="10" s="1"/>
  <c r="E690" i="3"/>
  <c r="E690" i="10" s="1"/>
  <c r="I687" i="3"/>
  <c r="I687" i="10" s="1"/>
  <c r="I686" i="3"/>
  <c r="I686" i="10" s="1"/>
  <c r="H682" i="3"/>
  <c r="A682" i="10"/>
  <c r="I681" i="3"/>
  <c r="I681" i="10" s="1"/>
  <c r="I680" i="3"/>
  <c r="I680" i="10" s="1"/>
  <c r="E678" i="3"/>
  <c r="E678" i="10" s="1"/>
  <c r="H674" i="3"/>
  <c r="A674" i="10"/>
  <c r="I673" i="3"/>
  <c r="I673" i="10" s="1"/>
  <c r="I672" i="3"/>
  <c r="I672" i="10" s="1"/>
  <c r="E670" i="3"/>
  <c r="E670" i="10" s="1"/>
  <c r="H666" i="3"/>
  <c r="A666" i="10"/>
  <c r="I665" i="3"/>
  <c r="I665" i="10" s="1"/>
  <c r="H661" i="3"/>
  <c r="A661" i="10"/>
  <c r="I659" i="3"/>
  <c r="I659" i="10" s="1"/>
  <c r="I658" i="3"/>
  <c r="I658" i="10" s="1"/>
  <c r="E656" i="3"/>
  <c r="E656" i="10" s="1"/>
  <c r="H653" i="3"/>
  <c r="A653" i="10"/>
  <c r="I651" i="3"/>
  <c r="I651" i="10" s="1"/>
  <c r="I650" i="3"/>
  <c r="I650" i="10" s="1"/>
  <c r="H646" i="3"/>
  <c r="A646" i="10"/>
  <c r="I645" i="3"/>
  <c r="I645" i="10" s="1"/>
  <c r="I640" i="3"/>
  <c r="I640" i="10" s="1"/>
  <c r="I563" i="3"/>
  <c r="I563" i="10" s="1"/>
  <c r="I583" i="3"/>
  <c r="I583" i="10" s="1"/>
  <c r="I587" i="3"/>
  <c r="I587" i="10" s="1"/>
  <c r="I591" i="3"/>
  <c r="I591" i="10" s="1"/>
  <c r="I595" i="3"/>
  <c r="I595" i="10" s="1"/>
  <c r="I599" i="3"/>
  <c r="I599" i="10" s="1"/>
  <c r="I603" i="3"/>
  <c r="I603" i="10" s="1"/>
  <c r="I607" i="3"/>
  <c r="I607" i="10" s="1"/>
  <c r="I611" i="3"/>
  <c r="I611" i="10" s="1"/>
  <c r="I615" i="3"/>
  <c r="I615" i="10" s="1"/>
  <c r="I619" i="3"/>
  <c r="I619" i="10" s="1"/>
  <c r="I623" i="3"/>
  <c r="I623" i="10" s="1"/>
  <c r="I627" i="3"/>
  <c r="I627" i="10" s="1"/>
  <c r="I631" i="3"/>
  <c r="I631" i="10" s="1"/>
  <c r="I635" i="3"/>
  <c r="I635" i="10" s="1"/>
  <c r="H884" i="3"/>
  <c r="H812" i="3"/>
  <c r="B769" i="3"/>
  <c r="B769" i="10" s="1"/>
  <c r="H769" i="3"/>
  <c r="H681" i="3"/>
  <c r="B645" i="3"/>
  <c r="B645" i="10" s="1"/>
  <c r="H645" i="3"/>
  <c r="H543" i="3"/>
  <c r="H543" i="10" s="1"/>
  <c r="H544" i="3"/>
  <c r="H544" i="10" s="1"/>
  <c r="H545" i="3"/>
  <c r="H545" i="10" s="1"/>
  <c r="H546" i="3"/>
  <c r="H546" i="10" s="1"/>
  <c r="H547" i="3"/>
  <c r="H547" i="10" s="1"/>
  <c r="H548" i="3"/>
  <c r="H548" i="10" s="1"/>
  <c r="H549" i="3"/>
  <c r="H549" i="10" s="1"/>
  <c r="H550" i="3"/>
  <c r="H550" i="10" s="1"/>
  <c r="H551" i="3"/>
  <c r="H551" i="10" s="1"/>
  <c r="H552" i="3"/>
  <c r="H552" i="10" s="1"/>
  <c r="H553" i="3"/>
  <c r="H553" i="10" s="1"/>
  <c r="H554" i="3"/>
  <c r="H554" i="10" s="1"/>
  <c r="H555" i="3"/>
  <c r="H555" i="10" s="1"/>
  <c r="H556" i="3"/>
  <c r="H556" i="10" s="1"/>
  <c r="H557" i="3"/>
  <c r="H557" i="10" s="1"/>
  <c r="H558" i="3"/>
  <c r="H558" i="10" s="1"/>
  <c r="H559" i="3"/>
  <c r="H559" i="10" s="1"/>
  <c r="H560" i="3"/>
  <c r="H560" i="10" s="1"/>
  <c r="H561" i="3"/>
  <c r="H561" i="10" s="1"/>
  <c r="H562" i="3"/>
  <c r="H562" i="10" s="1"/>
  <c r="H563" i="3"/>
  <c r="H563" i="10" s="1"/>
  <c r="H564" i="3"/>
  <c r="H564" i="10" s="1"/>
  <c r="H565" i="3"/>
  <c r="H565" i="10" s="1"/>
  <c r="H566" i="3"/>
  <c r="H566" i="10" s="1"/>
  <c r="H567" i="3"/>
  <c r="H567" i="10" s="1"/>
  <c r="H568" i="3"/>
  <c r="H568" i="10" s="1"/>
  <c r="H569" i="3"/>
  <c r="H569" i="10" s="1"/>
  <c r="H570" i="3"/>
  <c r="H570" i="10" s="1"/>
  <c r="H571" i="3"/>
  <c r="H571" i="10" s="1"/>
  <c r="H572" i="3"/>
  <c r="H572" i="10" s="1"/>
  <c r="H573" i="3"/>
  <c r="H573" i="10" s="1"/>
  <c r="H574" i="3"/>
  <c r="H574" i="10" s="1"/>
  <c r="H575" i="3"/>
  <c r="H575" i="10" s="1"/>
  <c r="H576" i="3"/>
  <c r="H576" i="10" s="1"/>
  <c r="H577" i="3"/>
  <c r="H577" i="10" s="1"/>
  <c r="H578" i="3"/>
  <c r="H578" i="10" s="1"/>
  <c r="H579" i="3"/>
  <c r="H579" i="10" s="1"/>
  <c r="H580" i="3"/>
  <c r="H580" i="10" s="1"/>
  <c r="H581" i="3"/>
  <c r="H581" i="10" s="1"/>
  <c r="H582" i="3"/>
  <c r="H582" i="10" s="1"/>
  <c r="H583" i="3"/>
  <c r="H583" i="10" s="1"/>
  <c r="H584" i="3"/>
  <c r="H584" i="10" s="1"/>
  <c r="H585" i="3"/>
  <c r="H585" i="10" s="1"/>
  <c r="H586" i="3"/>
  <c r="H586" i="10" s="1"/>
  <c r="H587" i="3"/>
  <c r="H587" i="10" s="1"/>
  <c r="H588" i="3"/>
  <c r="H588" i="10" s="1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B637" i="3"/>
  <c r="B637" i="10" s="1"/>
  <c r="H637" i="3"/>
  <c r="H1000" i="3"/>
  <c r="H995" i="3"/>
  <c r="H991" i="3"/>
  <c r="H987" i="3"/>
  <c r="H983" i="3"/>
  <c r="H979" i="3"/>
  <c r="H975" i="3"/>
  <c r="H971" i="3"/>
  <c r="H967" i="3"/>
  <c r="H963" i="3"/>
  <c r="H961" i="3"/>
  <c r="H958" i="3"/>
  <c r="B956" i="3"/>
  <c r="B956" i="10" s="1"/>
  <c r="H956" i="3"/>
  <c r="H953" i="3"/>
  <c r="B952" i="3"/>
  <c r="B952" i="10" s="1"/>
  <c r="H952" i="3"/>
  <c r="B944" i="3"/>
  <c r="B944" i="10" s="1"/>
  <c r="H944" i="3"/>
  <c r="H940" i="3"/>
  <c r="B936" i="3"/>
  <c r="B936" i="10" s="1"/>
  <c r="H936" i="3"/>
  <c r="B932" i="3"/>
  <c r="B932" i="10" s="1"/>
  <c r="H932" i="3"/>
  <c r="B928" i="3"/>
  <c r="B928" i="10" s="1"/>
  <c r="H928" i="3"/>
  <c r="H926" i="3"/>
  <c r="B924" i="3"/>
  <c r="B924" i="10" s="1"/>
  <c r="H924" i="3"/>
  <c r="B921" i="3"/>
  <c r="B921" i="10" s="1"/>
  <c r="H921" i="3"/>
  <c r="B913" i="3"/>
  <c r="B913" i="10" s="1"/>
  <c r="H913" i="3"/>
  <c r="B801" i="3"/>
  <c r="B801" i="10" s="1"/>
  <c r="H801" i="3"/>
  <c r="H779" i="3"/>
  <c r="B737" i="3"/>
  <c r="B737" i="10" s="1"/>
  <c r="H737" i="3"/>
  <c r="B705" i="3"/>
  <c r="B705" i="10" s="1"/>
  <c r="H705" i="3"/>
  <c r="H692" i="3"/>
  <c r="B641" i="3"/>
  <c r="B641" i="10" s="1"/>
  <c r="H641" i="3"/>
  <c r="H997" i="3"/>
  <c r="H994" i="3"/>
  <c r="B992" i="3"/>
  <c r="B992" i="10" s="1"/>
  <c r="H992" i="3"/>
  <c r="H989" i="3"/>
  <c r="H986" i="3"/>
  <c r="B984" i="3"/>
  <c r="B984" i="10" s="1"/>
  <c r="H984" i="3"/>
  <c r="H982" i="3"/>
  <c r="B980" i="3"/>
  <c r="B980" i="10" s="1"/>
  <c r="H980" i="3"/>
  <c r="H977" i="3"/>
  <c r="H973" i="3"/>
  <c r="B972" i="3"/>
  <c r="B972" i="10" s="1"/>
  <c r="H972" i="3"/>
  <c r="H969" i="3"/>
  <c r="B968" i="3"/>
  <c r="B968" i="10" s="1"/>
  <c r="H968" i="3"/>
  <c r="H965" i="3"/>
  <c r="B964" i="3"/>
  <c r="B964" i="10" s="1"/>
  <c r="H964" i="3"/>
  <c r="H962" i="3"/>
  <c r="H959" i="3"/>
  <c r="H957" i="3"/>
  <c r="H955" i="3"/>
  <c r="H954" i="3"/>
  <c r="H951" i="3"/>
  <c r="B948" i="3"/>
  <c r="B948" i="10" s="1"/>
  <c r="H948" i="3"/>
  <c r="B905" i="3"/>
  <c r="B905" i="10" s="1"/>
  <c r="H905" i="3"/>
  <c r="H904" i="3"/>
  <c r="B897" i="3"/>
  <c r="B897" i="10" s="1"/>
  <c r="H897" i="3"/>
  <c r="H896" i="3"/>
  <c r="H889" i="3"/>
  <c r="H888" i="3"/>
  <c r="B881" i="3"/>
  <c r="B881" i="10" s="1"/>
  <c r="H881" i="3"/>
  <c r="H880" i="3"/>
  <c r="H873" i="3"/>
  <c r="H872" i="3"/>
  <c r="B865" i="3"/>
  <c r="B865" i="10" s="1"/>
  <c r="H865" i="3"/>
  <c r="H864" i="3"/>
  <c r="H857" i="3"/>
  <c r="H856" i="3"/>
  <c r="B849" i="3"/>
  <c r="B849" i="10" s="1"/>
  <c r="H849" i="3"/>
  <c r="H848" i="3"/>
  <c r="H841" i="3"/>
  <c r="H840" i="3"/>
  <c r="B833" i="3"/>
  <c r="B833" i="10" s="1"/>
  <c r="H833" i="3"/>
  <c r="H832" i="3"/>
  <c r="H825" i="3"/>
  <c r="H824" i="3"/>
  <c r="B817" i="3"/>
  <c r="B817" i="10" s="1"/>
  <c r="H817" i="3"/>
  <c r="H816" i="3"/>
  <c r="H809" i="3"/>
  <c r="H808" i="3"/>
  <c r="H799" i="3"/>
  <c r="H798" i="3"/>
  <c r="H788" i="3"/>
  <c r="H787" i="3"/>
  <c r="H778" i="3"/>
  <c r="H777" i="3"/>
  <c r="H776" i="3"/>
  <c r="H775" i="3"/>
  <c r="H764" i="3"/>
  <c r="H763" i="3"/>
  <c r="H754" i="3"/>
  <c r="B753" i="3"/>
  <c r="B753" i="10" s="1"/>
  <c r="H753" i="3"/>
  <c r="H752" i="3"/>
  <c r="H751" i="3"/>
  <c r="H744" i="3"/>
  <c r="H743" i="3"/>
  <c r="H734" i="3"/>
  <c r="H733" i="3"/>
  <c r="H726" i="3"/>
  <c r="H725" i="3"/>
  <c r="H724" i="3"/>
  <c r="H723" i="3"/>
  <c r="H714" i="3"/>
  <c r="H713" i="3"/>
  <c r="H702" i="3"/>
  <c r="H701" i="3"/>
  <c r="H700" i="3"/>
  <c r="H699" i="3"/>
  <c r="H690" i="3"/>
  <c r="B689" i="3"/>
  <c r="B689" i="10" s="1"/>
  <c r="H689" i="3"/>
  <c r="H688" i="3"/>
  <c r="H687" i="3"/>
  <c r="H678" i="3"/>
  <c r="H677" i="3"/>
  <c r="H670" i="3"/>
  <c r="H669" i="3"/>
  <c r="H660" i="3"/>
  <c r="H659" i="3"/>
  <c r="H652" i="3"/>
  <c r="H651" i="3"/>
  <c r="H999" i="3"/>
  <c r="H998" i="3"/>
  <c r="B996" i="3"/>
  <c r="B996" i="10" s="1"/>
  <c r="H996" i="3"/>
  <c r="H993" i="3"/>
  <c r="H990" i="3"/>
  <c r="B988" i="3"/>
  <c r="B988" i="10" s="1"/>
  <c r="H988" i="3"/>
  <c r="H985" i="3"/>
  <c r="H981" i="3"/>
  <c r="H978" i="3"/>
  <c r="B976" i="3"/>
  <c r="B976" i="10" s="1"/>
  <c r="H976" i="3"/>
  <c r="H974" i="3"/>
  <c r="H970" i="3"/>
  <c r="H966" i="3"/>
  <c r="H960" i="3"/>
  <c r="H903" i="3"/>
  <c r="H902" i="3"/>
  <c r="H895" i="3"/>
  <c r="H894" i="3"/>
  <c r="H887" i="3"/>
  <c r="H886" i="3"/>
  <c r="H879" i="3"/>
  <c r="H878" i="3"/>
  <c r="H871" i="3"/>
  <c r="H870" i="3"/>
  <c r="H863" i="3"/>
  <c r="H862" i="3"/>
  <c r="H855" i="3"/>
  <c r="H854" i="3"/>
  <c r="H847" i="3"/>
  <c r="H846" i="3"/>
  <c r="H839" i="3"/>
  <c r="H838" i="3"/>
  <c r="H831" i="3"/>
  <c r="H830" i="3"/>
  <c r="H823" i="3"/>
  <c r="H822" i="3"/>
  <c r="H815" i="3"/>
  <c r="H814" i="3"/>
  <c r="H807" i="3"/>
  <c r="H806" i="3"/>
  <c r="H805" i="3"/>
  <c r="H804" i="3"/>
  <c r="H797" i="3"/>
  <c r="H796" i="3"/>
  <c r="H786" i="3"/>
  <c r="B785" i="3"/>
  <c r="B785" i="10" s="1"/>
  <c r="H785" i="3"/>
  <c r="H784" i="3"/>
  <c r="H783" i="3"/>
  <c r="H774" i="3"/>
  <c r="H773" i="3"/>
  <c r="H772" i="3"/>
  <c r="H771" i="3"/>
  <c r="H762" i="3"/>
  <c r="H761" i="3"/>
  <c r="H750" i="3"/>
  <c r="H749" i="3"/>
  <c r="H742" i="3"/>
  <c r="H741" i="3"/>
  <c r="H732" i="3"/>
  <c r="H731" i="3"/>
  <c r="H722" i="3"/>
  <c r="B721" i="3"/>
  <c r="B721" i="10" s="1"/>
  <c r="H721" i="3"/>
  <c r="H712" i="3"/>
  <c r="H711" i="3"/>
  <c r="H698" i="3"/>
  <c r="H697" i="3"/>
  <c r="H686" i="3"/>
  <c r="H685" i="3"/>
  <c r="H684" i="3"/>
  <c r="H683" i="3"/>
  <c r="H676" i="3"/>
  <c r="H675" i="3"/>
  <c r="H668" i="3"/>
  <c r="H667" i="3"/>
  <c r="H658" i="3"/>
  <c r="H657" i="3"/>
  <c r="H650" i="3"/>
  <c r="H649" i="3"/>
  <c r="H648" i="3"/>
  <c r="H647" i="3"/>
  <c r="I543" i="3"/>
  <c r="I543" i="10" s="1"/>
  <c r="I544" i="3"/>
  <c r="I544" i="10" s="1"/>
  <c r="I545" i="3"/>
  <c r="I545" i="10" s="1"/>
  <c r="I546" i="3"/>
  <c r="I546" i="10" s="1"/>
  <c r="I547" i="3"/>
  <c r="I547" i="10" s="1"/>
  <c r="I548" i="3"/>
  <c r="I548" i="10" s="1"/>
  <c r="I549" i="3"/>
  <c r="I549" i="10" s="1"/>
  <c r="I550" i="3"/>
  <c r="I550" i="10" s="1"/>
  <c r="I551" i="3"/>
  <c r="I551" i="10" s="1"/>
  <c r="I552" i="3"/>
  <c r="I552" i="10" s="1"/>
  <c r="I553" i="3"/>
  <c r="I553" i="10" s="1"/>
  <c r="B926" i="3"/>
  <c r="B926" i="10" s="1"/>
  <c r="B692" i="3"/>
  <c r="B692" i="10" s="1"/>
  <c r="B681" i="3"/>
  <c r="B681" i="10" s="1"/>
  <c r="B812" i="3"/>
  <c r="B812" i="10" s="1"/>
  <c r="B805" i="3"/>
  <c r="B805" i="10" s="1"/>
  <c r="B1000" i="3"/>
  <c r="B1000" i="10" s="1"/>
  <c r="B896" i="3"/>
  <c r="B896" i="10" s="1"/>
  <c r="B960" i="3"/>
  <c r="B960" i="10" s="1"/>
  <c r="B669" i="3"/>
  <c r="B669" i="10" s="1"/>
  <c r="B974" i="3"/>
  <c r="B974" i="10" s="1"/>
  <c r="B884" i="3"/>
  <c r="B884" i="10" s="1"/>
  <c r="B779" i="3"/>
  <c r="B779" i="10" s="1"/>
  <c r="B940" i="3"/>
  <c r="B940" i="10" s="1"/>
  <c r="E1000" i="3"/>
  <c r="E1000" i="10" s="1"/>
  <c r="B999" i="3"/>
  <c r="B999" i="10" s="1"/>
  <c r="E999" i="3"/>
  <c r="E999" i="10" s="1"/>
  <c r="B998" i="3"/>
  <c r="B998" i="10" s="1"/>
  <c r="E998" i="3"/>
  <c r="E998" i="10" s="1"/>
  <c r="B997" i="3"/>
  <c r="B997" i="10" s="1"/>
  <c r="E997" i="3"/>
  <c r="E997" i="10" s="1"/>
  <c r="E996" i="3"/>
  <c r="E996" i="10" s="1"/>
  <c r="B995" i="3"/>
  <c r="B995" i="10" s="1"/>
  <c r="E995" i="3"/>
  <c r="E995" i="10" s="1"/>
  <c r="B994" i="3"/>
  <c r="B994" i="10" s="1"/>
  <c r="E994" i="3"/>
  <c r="E994" i="10" s="1"/>
  <c r="B993" i="3"/>
  <c r="B993" i="10" s="1"/>
  <c r="E993" i="3"/>
  <c r="E993" i="10" s="1"/>
  <c r="E992" i="3"/>
  <c r="E992" i="10" s="1"/>
  <c r="B991" i="3"/>
  <c r="B991" i="10" s="1"/>
  <c r="E991" i="3"/>
  <c r="E991" i="10" s="1"/>
  <c r="B990" i="3"/>
  <c r="B990" i="10" s="1"/>
  <c r="E990" i="3"/>
  <c r="E990" i="10" s="1"/>
  <c r="B989" i="3"/>
  <c r="B989" i="10" s="1"/>
  <c r="E989" i="3"/>
  <c r="E989" i="10" s="1"/>
  <c r="E988" i="3"/>
  <c r="E988" i="10" s="1"/>
  <c r="B987" i="3"/>
  <c r="B987" i="10" s="1"/>
  <c r="E987" i="3"/>
  <c r="E987" i="10" s="1"/>
  <c r="B986" i="3"/>
  <c r="B986" i="10" s="1"/>
  <c r="E986" i="3"/>
  <c r="E986" i="10" s="1"/>
  <c r="B985" i="3"/>
  <c r="B985" i="10" s="1"/>
  <c r="E985" i="3"/>
  <c r="E985" i="10" s="1"/>
  <c r="E984" i="3"/>
  <c r="E984" i="10" s="1"/>
  <c r="B983" i="3"/>
  <c r="B983" i="10" s="1"/>
  <c r="E983" i="3"/>
  <c r="E983" i="10" s="1"/>
  <c r="B982" i="3"/>
  <c r="B982" i="10" s="1"/>
  <c r="E982" i="3"/>
  <c r="E982" i="10" s="1"/>
  <c r="B981" i="3"/>
  <c r="B981" i="10" s="1"/>
  <c r="E981" i="3"/>
  <c r="E981" i="10" s="1"/>
  <c r="E980" i="3"/>
  <c r="E980" i="10" s="1"/>
  <c r="B979" i="3"/>
  <c r="B979" i="10" s="1"/>
  <c r="E979" i="3"/>
  <c r="E979" i="10" s="1"/>
  <c r="B978" i="3"/>
  <c r="B978" i="10" s="1"/>
  <c r="E978" i="3"/>
  <c r="E978" i="10" s="1"/>
  <c r="B977" i="3"/>
  <c r="B977" i="10" s="1"/>
  <c r="E977" i="3"/>
  <c r="E977" i="10" s="1"/>
  <c r="E976" i="3"/>
  <c r="E976" i="10" s="1"/>
  <c r="B975" i="3"/>
  <c r="B975" i="10" s="1"/>
  <c r="E975" i="3"/>
  <c r="E975" i="10" s="1"/>
  <c r="E974" i="3"/>
  <c r="E974" i="10" s="1"/>
  <c r="B973" i="3"/>
  <c r="B973" i="10" s="1"/>
  <c r="E973" i="3"/>
  <c r="E973" i="10" s="1"/>
  <c r="E972" i="3"/>
  <c r="E972" i="10" s="1"/>
  <c r="B971" i="3"/>
  <c r="B971" i="10" s="1"/>
  <c r="E971" i="3"/>
  <c r="E971" i="10" s="1"/>
  <c r="B970" i="3"/>
  <c r="B970" i="10" s="1"/>
  <c r="E970" i="3"/>
  <c r="E970" i="10" s="1"/>
  <c r="B969" i="3"/>
  <c r="B969" i="10" s="1"/>
  <c r="E969" i="3"/>
  <c r="E969" i="10" s="1"/>
  <c r="E968" i="3"/>
  <c r="E968" i="10" s="1"/>
  <c r="B967" i="3"/>
  <c r="B967" i="10" s="1"/>
  <c r="E967" i="3"/>
  <c r="E967" i="10" s="1"/>
  <c r="B966" i="3"/>
  <c r="B966" i="10" s="1"/>
  <c r="E966" i="3"/>
  <c r="E966" i="10" s="1"/>
  <c r="B965" i="3"/>
  <c r="B965" i="10" s="1"/>
  <c r="E965" i="3"/>
  <c r="E965" i="10" s="1"/>
  <c r="E964" i="3"/>
  <c r="E964" i="10" s="1"/>
  <c r="B963" i="3"/>
  <c r="B963" i="10" s="1"/>
  <c r="E963" i="3"/>
  <c r="E963" i="10" s="1"/>
  <c r="B962" i="3"/>
  <c r="B962" i="10" s="1"/>
  <c r="E962" i="3"/>
  <c r="E962" i="10" s="1"/>
  <c r="B961" i="3"/>
  <c r="B961" i="10" s="1"/>
  <c r="E961" i="3"/>
  <c r="E961" i="10" s="1"/>
  <c r="E960" i="3"/>
  <c r="E960" i="10" s="1"/>
  <c r="B959" i="3"/>
  <c r="B959" i="10" s="1"/>
  <c r="E959" i="3"/>
  <c r="E959" i="10" s="1"/>
  <c r="B958" i="3"/>
  <c r="B958" i="10" s="1"/>
  <c r="E958" i="3"/>
  <c r="E958" i="10" s="1"/>
  <c r="B957" i="3"/>
  <c r="B957" i="10" s="1"/>
  <c r="E957" i="3"/>
  <c r="E957" i="10" s="1"/>
  <c r="E956" i="3"/>
  <c r="E956" i="10" s="1"/>
  <c r="B955" i="3"/>
  <c r="B955" i="10" s="1"/>
  <c r="E955" i="3"/>
  <c r="E955" i="10" s="1"/>
  <c r="B954" i="3"/>
  <c r="B954" i="10" s="1"/>
  <c r="E954" i="3"/>
  <c r="E954" i="10" s="1"/>
  <c r="B953" i="3"/>
  <c r="B953" i="10" s="1"/>
  <c r="E953" i="3"/>
  <c r="E953" i="10" s="1"/>
  <c r="E952" i="3"/>
  <c r="E952" i="10" s="1"/>
  <c r="B951" i="3"/>
  <c r="B951" i="10" s="1"/>
  <c r="E951" i="3"/>
  <c r="E951" i="10" s="1"/>
  <c r="B950" i="3"/>
  <c r="B950" i="10" s="1"/>
  <c r="E950" i="3"/>
  <c r="E950" i="10" s="1"/>
  <c r="B949" i="3"/>
  <c r="B949" i="10" s="1"/>
  <c r="E949" i="3"/>
  <c r="E949" i="10" s="1"/>
  <c r="E948" i="3"/>
  <c r="E948" i="10" s="1"/>
  <c r="B947" i="3"/>
  <c r="B947" i="10" s="1"/>
  <c r="E947" i="3"/>
  <c r="E947" i="10" s="1"/>
  <c r="B946" i="3"/>
  <c r="B946" i="10" s="1"/>
  <c r="E946" i="3"/>
  <c r="E946" i="10" s="1"/>
  <c r="B945" i="3"/>
  <c r="B945" i="10" s="1"/>
  <c r="E945" i="3"/>
  <c r="E945" i="10" s="1"/>
  <c r="E944" i="3"/>
  <c r="E944" i="10" s="1"/>
  <c r="B943" i="3"/>
  <c r="B943" i="10" s="1"/>
  <c r="E943" i="3"/>
  <c r="E943" i="10" s="1"/>
  <c r="B942" i="3"/>
  <c r="B942" i="10" s="1"/>
  <c r="E942" i="3"/>
  <c r="E942" i="10" s="1"/>
  <c r="B941" i="3"/>
  <c r="B941" i="10" s="1"/>
  <c r="E941" i="3"/>
  <c r="E941" i="10" s="1"/>
  <c r="E940" i="3"/>
  <c r="E940" i="10" s="1"/>
  <c r="B939" i="3"/>
  <c r="B939" i="10" s="1"/>
  <c r="E939" i="3"/>
  <c r="E939" i="10" s="1"/>
  <c r="B938" i="3"/>
  <c r="B938" i="10" s="1"/>
  <c r="E938" i="3"/>
  <c r="E938" i="10" s="1"/>
  <c r="B937" i="3"/>
  <c r="B937" i="10" s="1"/>
  <c r="E937" i="3"/>
  <c r="E937" i="10" s="1"/>
  <c r="E936" i="3"/>
  <c r="E936" i="10" s="1"/>
  <c r="B935" i="3"/>
  <c r="B935" i="10" s="1"/>
  <c r="E935" i="3"/>
  <c r="E935" i="10" s="1"/>
  <c r="B934" i="3"/>
  <c r="B934" i="10" s="1"/>
  <c r="E934" i="3"/>
  <c r="E934" i="10" s="1"/>
  <c r="B933" i="3"/>
  <c r="B933" i="10" s="1"/>
  <c r="E933" i="3"/>
  <c r="E933" i="10" s="1"/>
  <c r="E932" i="3"/>
  <c r="E932" i="10" s="1"/>
  <c r="B931" i="3"/>
  <c r="B931" i="10" s="1"/>
  <c r="E931" i="3"/>
  <c r="E931" i="10" s="1"/>
  <c r="B930" i="3"/>
  <c r="B930" i="10" s="1"/>
  <c r="E930" i="3"/>
  <c r="E930" i="10" s="1"/>
  <c r="B929" i="3"/>
  <c r="B929" i="10" s="1"/>
  <c r="E929" i="3"/>
  <c r="E929" i="10" s="1"/>
  <c r="E928" i="3"/>
  <c r="E928" i="10" s="1"/>
  <c r="B927" i="3"/>
  <c r="B927" i="10" s="1"/>
  <c r="E927" i="3"/>
  <c r="E927" i="10" s="1"/>
  <c r="E926" i="3"/>
  <c r="E926" i="10" s="1"/>
  <c r="B925" i="3"/>
  <c r="B925" i="10" s="1"/>
  <c r="E925" i="3"/>
  <c r="E925" i="10" s="1"/>
  <c r="E924" i="3"/>
  <c r="E924" i="10" s="1"/>
  <c r="B923" i="3"/>
  <c r="B923" i="10" s="1"/>
  <c r="E923" i="3"/>
  <c r="E923" i="10" s="1"/>
  <c r="B922" i="3"/>
  <c r="B922" i="10" s="1"/>
  <c r="E922" i="3"/>
  <c r="E922" i="10" s="1"/>
  <c r="E921" i="3"/>
  <c r="E921" i="10" s="1"/>
  <c r="B920" i="3"/>
  <c r="B920" i="10" s="1"/>
  <c r="E920" i="3"/>
  <c r="E920" i="10" s="1"/>
  <c r="B919" i="3"/>
  <c r="B919" i="10" s="1"/>
  <c r="E919" i="3"/>
  <c r="E919" i="10" s="1"/>
  <c r="B918" i="3"/>
  <c r="B918" i="10" s="1"/>
  <c r="E918" i="3"/>
  <c r="E918" i="10" s="1"/>
  <c r="B917" i="3"/>
  <c r="B917" i="10" s="1"/>
  <c r="E917" i="3"/>
  <c r="E917" i="10" s="1"/>
  <c r="B916" i="3"/>
  <c r="B916" i="10" s="1"/>
  <c r="E916" i="3"/>
  <c r="E916" i="10" s="1"/>
  <c r="B915" i="3"/>
  <c r="B915" i="10" s="1"/>
  <c r="E915" i="3"/>
  <c r="E915" i="10" s="1"/>
  <c r="B914" i="3"/>
  <c r="B914" i="10" s="1"/>
  <c r="E914" i="3"/>
  <c r="E914" i="10" s="1"/>
  <c r="E913" i="3"/>
  <c r="E913" i="10" s="1"/>
  <c r="B912" i="3"/>
  <c r="B912" i="10" s="1"/>
  <c r="E912" i="3"/>
  <c r="E912" i="10" s="1"/>
  <c r="B911" i="3"/>
  <c r="B911" i="10" s="1"/>
  <c r="E911" i="3"/>
  <c r="E911" i="10" s="1"/>
  <c r="B910" i="3"/>
  <c r="B910" i="10" s="1"/>
  <c r="E910" i="3"/>
  <c r="E910" i="10" s="1"/>
  <c r="B909" i="3"/>
  <c r="B909" i="10" s="1"/>
  <c r="E909" i="3"/>
  <c r="E909" i="10" s="1"/>
  <c r="B908" i="3"/>
  <c r="B908" i="10" s="1"/>
  <c r="E908" i="3"/>
  <c r="E908" i="10" s="1"/>
  <c r="B907" i="3"/>
  <c r="B907" i="10" s="1"/>
  <c r="E907" i="3"/>
  <c r="E907" i="10" s="1"/>
  <c r="B906" i="3"/>
  <c r="B906" i="10" s="1"/>
  <c r="E906" i="3"/>
  <c r="E906" i="10" s="1"/>
  <c r="B904" i="3"/>
  <c r="B904" i="10" s="1"/>
  <c r="E904" i="3"/>
  <c r="E904" i="10" s="1"/>
  <c r="B903" i="3"/>
  <c r="B903" i="10" s="1"/>
  <c r="B902" i="3"/>
  <c r="B902" i="10" s="1"/>
  <c r="E902" i="3"/>
  <c r="E902" i="10" s="1"/>
  <c r="B901" i="3"/>
  <c r="B901" i="10" s="1"/>
  <c r="B900" i="3"/>
  <c r="B900" i="10" s="1"/>
  <c r="E900" i="3"/>
  <c r="E900" i="10" s="1"/>
  <c r="B899" i="3"/>
  <c r="B899" i="10" s="1"/>
  <c r="B898" i="3"/>
  <c r="B898" i="10" s="1"/>
  <c r="E898" i="3"/>
  <c r="E898" i="10" s="1"/>
  <c r="E896" i="3"/>
  <c r="E896" i="10" s="1"/>
  <c r="B895" i="3"/>
  <c r="B895" i="10" s="1"/>
  <c r="B894" i="3"/>
  <c r="B894" i="10" s="1"/>
  <c r="E894" i="3"/>
  <c r="E894" i="10" s="1"/>
  <c r="B893" i="3"/>
  <c r="B893" i="10" s="1"/>
  <c r="B892" i="3"/>
  <c r="B892" i="10" s="1"/>
  <c r="E892" i="3"/>
  <c r="E892" i="10" s="1"/>
  <c r="B891" i="3"/>
  <c r="B891" i="10" s="1"/>
  <c r="B890" i="3"/>
  <c r="B890" i="10" s="1"/>
  <c r="E890" i="3"/>
  <c r="E890" i="10" s="1"/>
  <c r="B889" i="3"/>
  <c r="B889" i="10" s="1"/>
  <c r="B888" i="3"/>
  <c r="B888" i="10" s="1"/>
  <c r="E888" i="3"/>
  <c r="E888" i="10" s="1"/>
  <c r="B887" i="3"/>
  <c r="B887" i="10" s="1"/>
  <c r="B886" i="3"/>
  <c r="B886" i="10" s="1"/>
  <c r="E886" i="3"/>
  <c r="E886" i="10" s="1"/>
  <c r="B885" i="3"/>
  <c r="B885" i="10" s="1"/>
  <c r="E884" i="3"/>
  <c r="E884" i="10" s="1"/>
  <c r="B883" i="3"/>
  <c r="B883" i="10" s="1"/>
  <c r="B882" i="3"/>
  <c r="B882" i="10" s="1"/>
  <c r="E882" i="3"/>
  <c r="E882" i="10" s="1"/>
  <c r="B880" i="3"/>
  <c r="B880" i="10" s="1"/>
  <c r="E880" i="3"/>
  <c r="E880" i="10" s="1"/>
  <c r="B879" i="3"/>
  <c r="B879" i="10" s="1"/>
  <c r="B878" i="3"/>
  <c r="B878" i="10" s="1"/>
  <c r="E878" i="3"/>
  <c r="E878" i="10" s="1"/>
  <c r="B877" i="3"/>
  <c r="B877" i="10" s="1"/>
  <c r="B876" i="3"/>
  <c r="B876" i="10" s="1"/>
  <c r="E876" i="3"/>
  <c r="E876" i="10" s="1"/>
  <c r="B875" i="3"/>
  <c r="B875" i="10" s="1"/>
  <c r="B874" i="3"/>
  <c r="B874" i="10" s="1"/>
  <c r="E874" i="3"/>
  <c r="E874" i="10" s="1"/>
  <c r="B873" i="3"/>
  <c r="B873" i="10" s="1"/>
  <c r="B872" i="3"/>
  <c r="B872" i="10" s="1"/>
  <c r="E872" i="3"/>
  <c r="E872" i="10" s="1"/>
  <c r="B871" i="3"/>
  <c r="B871" i="10" s="1"/>
  <c r="B870" i="3"/>
  <c r="B870" i="10" s="1"/>
  <c r="E870" i="3"/>
  <c r="E870" i="10" s="1"/>
  <c r="B869" i="3"/>
  <c r="B869" i="10" s="1"/>
  <c r="B868" i="3"/>
  <c r="B868" i="10" s="1"/>
  <c r="E868" i="3"/>
  <c r="E868" i="10" s="1"/>
  <c r="B867" i="3"/>
  <c r="B867" i="10" s="1"/>
  <c r="B866" i="3"/>
  <c r="B866" i="10" s="1"/>
  <c r="E866" i="3"/>
  <c r="E866" i="10" s="1"/>
  <c r="B864" i="3"/>
  <c r="B864" i="10" s="1"/>
  <c r="E864" i="3"/>
  <c r="E864" i="10" s="1"/>
  <c r="B863" i="3"/>
  <c r="B863" i="10" s="1"/>
  <c r="B862" i="3"/>
  <c r="B862" i="10" s="1"/>
  <c r="E862" i="3"/>
  <c r="E862" i="10" s="1"/>
  <c r="B861" i="3"/>
  <c r="B861" i="10" s="1"/>
  <c r="B860" i="3"/>
  <c r="B860" i="10" s="1"/>
  <c r="E860" i="3"/>
  <c r="E860" i="10" s="1"/>
  <c r="B859" i="3"/>
  <c r="B859" i="10" s="1"/>
  <c r="B858" i="3"/>
  <c r="B858" i="10" s="1"/>
  <c r="E858" i="3"/>
  <c r="E858" i="10" s="1"/>
  <c r="B857" i="3"/>
  <c r="B857" i="10" s="1"/>
  <c r="B856" i="3"/>
  <c r="B856" i="10" s="1"/>
  <c r="E856" i="3"/>
  <c r="E856" i="10" s="1"/>
  <c r="B855" i="3"/>
  <c r="B855" i="10" s="1"/>
  <c r="B854" i="3"/>
  <c r="B854" i="10" s="1"/>
  <c r="E854" i="3"/>
  <c r="E854" i="10" s="1"/>
  <c r="B853" i="3"/>
  <c r="B853" i="10" s="1"/>
  <c r="B852" i="3"/>
  <c r="B852" i="10" s="1"/>
  <c r="E852" i="3"/>
  <c r="E852" i="10" s="1"/>
  <c r="B851" i="3"/>
  <c r="B851" i="10" s="1"/>
  <c r="B850" i="3"/>
  <c r="B850" i="10" s="1"/>
  <c r="E850" i="3"/>
  <c r="E850" i="10" s="1"/>
  <c r="B848" i="3"/>
  <c r="B848" i="10" s="1"/>
  <c r="E848" i="3"/>
  <c r="E848" i="10" s="1"/>
  <c r="B847" i="3"/>
  <c r="B847" i="10" s="1"/>
  <c r="B846" i="3"/>
  <c r="B846" i="10" s="1"/>
  <c r="E846" i="3"/>
  <c r="E846" i="10" s="1"/>
  <c r="B845" i="3"/>
  <c r="B845" i="10" s="1"/>
  <c r="B844" i="3"/>
  <c r="B844" i="10" s="1"/>
  <c r="E844" i="3"/>
  <c r="E844" i="10" s="1"/>
  <c r="B843" i="3"/>
  <c r="B843" i="10" s="1"/>
  <c r="B842" i="3"/>
  <c r="B842" i="10" s="1"/>
  <c r="E842" i="3"/>
  <c r="E842" i="10" s="1"/>
  <c r="B841" i="3"/>
  <c r="B841" i="10" s="1"/>
  <c r="B840" i="3"/>
  <c r="B840" i="10" s="1"/>
  <c r="E840" i="3"/>
  <c r="E840" i="10" s="1"/>
  <c r="B839" i="3"/>
  <c r="B839" i="10" s="1"/>
  <c r="B838" i="3"/>
  <c r="B838" i="10" s="1"/>
  <c r="E838" i="3"/>
  <c r="E838" i="10" s="1"/>
  <c r="B837" i="3"/>
  <c r="B837" i="10" s="1"/>
  <c r="B836" i="3"/>
  <c r="B836" i="10" s="1"/>
  <c r="E836" i="3"/>
  <c r="E836" i="10" s="1"/>
  <c r="B835" i="3"/>
  <c r="B835" i="10" s="1"/>
  <c r="B834" i="3"/>
  <c r="B834" i="10" s="1"/>
  <c r="E834" i="3"/>
  <c r="E834" i="10" s="1"/>
  <c r="B832" i="3"/>
  <c r="B832" i="10" s="1"/>
  <c r="E832" i="3"/>
  <c r="E832" i="10" s="1"/>
  <c r="B831" i="3"/>
  <c r="B831" i="10" s="1"/>
  <c r="B830" i="3"/>
  <c r="B830" i="10" s="1"/>
  <c r="E830" i="3"/>
  <c r="E830" i="10" s="1"/>
  <c r="B829" i="3"/>
  <c r="B829" i="10" s="1"/>
  <c r="B828" i="3"/>
  <c r="B828" i="10" s="1"/>
  <c r="E828" i="3"/>
  <c r="E828" i="10" s="1"/>
  <c r="B827" i="3"/>
  <c r="B827" i="10" s="1"/>
  <c r="B826" i="3"/>
  <c r="B826" i="10" s="1"/>
  <c r="E826" i="3"/>
  <c r="E826" i="10" s="1"/>
  <c r="B825" i="3"/>
  <c r="B825" i="10" s="1"/>
  <c r="B824" i="3"/>
  <c r="B824" i="10" s="1"/>
  <c r="E824" i="3"/>
  <c r="E824" i="10" s="1"/>
  <c r="B823" i="3"/>
  <c r="B823" i="10" s="1"/>
  <c r="B822" i="3"/>
  <c r="B822" i="10" s="1"/>
  <c r="E822" i="3"/>
  <c r="E822" i="10" s="1"/>
  <c r="B821" i="3"/>
  <c r="B821" i="10" s="1"/>
  <c r="B820" i="3"/>
  <c r="B820" i="10" s="1"/>
  <c r="E820" i="3"/>
  <c r="E820" i="10" s="1"/>
  <c r="B819" i="3"/>
  <c r="B819" i="10" s="1"/>
  <c r="B818" i="3"/>
  <c r="B818" i="10" s="1"/>
  <c r="E818" i="3"/>
  <c r="E818" i="10" s="1"/>
  <c r="B816" i="3"/>
  <c r="B816" i="10" s="1"/>
  <c r="E816" i="3"/>
  <c r="E816" i="10" s="1"/>
  <c r="B815" i="3"/>
  <c r="B815" i="10" s="1"/>
  <c r="B814" i="3"/>
  <c r="B814" i="10" s="1"/>
  <c r="E814" i="3"/>
  <c r="E814" i="10" s="1"/>
  <c r="B813" i="3"/>
  <c r="B813" i="10" s="1"/>
  <c r="E812" i="3"/>
  <c r="E812" i="10" s="1"/>
  <c r="B811" i="3"/>
  <c r="B811" i="10" s="1"/>
  <c r="B810" i="3"/>
  <c r="B810" i="10" s="1"/>
  <c r="E810" i="3"/>
  <c r="E810" i="10" s="1"/>
  <c r="B809" i="3"/>
  <c r="B809" i="10" s="1"/>
  <c r="B808" i="3"/>
  <c r="B808" i="10" s="1"/>
  <c r="E808" i="3"/>
  <c r="E808" i="10" s="1"/>
  <c r="B807" i="3"/>
  <c r="B807" i="10" s="1"/>
  <c r="B806" i="3"/>
  <c r="B806" i="10" s="1"/>
  <c r="E806" i="3"/>
  <c r="E806" i="10" s="1"/>
  <c r="E805" i="3"/>
  <c r="E805" i="10" s="1"/>
  <c r="B804" i="3"/>
  <c r="B804" i="10" s="1"/>
  <c r="E804" i="3"/>
  <c r="E804" i="10" s="1"/>
  <c r="B803" i="3"/>
  <c r="B803" i="10" s="1"/>
  <c r="B802" i="3"/>
  <c r="B802" i="10" s="1"/>
  <c r="E802" i="3"/>
  <c r="E802" i="10" s="1"/>
  <c r="B800" i="3"/>
  <c r="B800" i="10" s="1"/>
  <c r="E800" i="3"/>
  <c r="E800" i="10" s="1"/>
  <c r="B799" i="3"/>
  <c r="B799" i="10" s="1"/>
  <c r="B798" i="3"/>
  <c r="B798" i="10" s="1"/>
  <c r="E798" i="3"/>
  <c r="E798" i="10" s="1"/>
  <c r="B797" i="3"/>
  <c r="B797" i="10" s="1"/>
  <c r="B796" i="3"/>
  <c r="B796" i="10" s="1"/>
  <c r="E796" i="3"/>
  <c r="E796" i="10" s="1"/>
  <c r="B795" i="3"/>
  <c r="B795" i="10" s="1"/>
  <c r="B794" i="3"/>
  <c r="B794" i="10" s="1"/>
  <c r="E794" i="3"/>
  <c r="E794" i="10" s="1"/>
  <c r="B793" i="3"/>
  <c r="B793" i="10" s="1"/>
  <c r="E793" i="3"/>
  <c r="E793" i="10" s="1"/>
  <c r="B792" i="3"/>
  <c r="B792" i="10" s="1"/>
  <c r="E792" i="3"/>
  <c r="E792" i="10" s="1"/>
  <c r="B791" i="3"/>
  <c r="B791" i="10" s="1"/>
  <c r="B790" i="3"/>
  <c r="B790" i="10" s="1"/>
  <c r="E790" i="3"/>
  <c r="E790" i="10" s="1"/>
  <c r="B789" i="3"/>
  <c r="B789" i="10" s="1"/>
  <c r="E789" i="3"/>
  <c r="E789" i="10" s="1"/>
  <c r="B788" i="3"/>
  <c r="B788" i="10" s="1"/>
  <c r="B787" i="3"/>
  <c r="B787" i="10" s="1"/>
  <c r="E787" i="3"/>
  <c r="E787" i="10" s="1"/>
  <c r="B786" i="3"/>
  <c r="B786" i="10" s="1"/>
  <c r="E785" i="3"/>
  <c r="E785" i="10" s="1"/>
  <c r="B784" i="3"/>
  <c r="B784" i="10" s="1"/>
  <c r="E784" i="3"/>
  <c r="E784" i="10" s="1"/>
  <c r="B783" i="3"/>
  <c r="B783" i="10" s="1"/>
  <c r="E783" i="3"/>
  <c r="E783" i="10" s="1"/>
  <c r="B782" i="3"/>
  <c r="B782" i="10" s="1"/>
  <c r="B781" i="3"/>
  <c r="B781" i="10" s="1"/>
  <c r="E781" i="3"/>
  <c r="E781" i="10" s="1"/>
  <c r="B780" i="3"/>
  <c r="B780" i="10" s="1"/>
  <c r="E779" i="3"/>
  <c r="E779" i="10" s="1"/>
  <c r="B778" i="3"/>
  <c r="B778" i="10" s="1"/>
  <c r="B777" i="3"/>
  <c r="B777" i="10" s="1"/>
  <c r="E777" i="3"/>
  <c r="E777" i="10" s="1"/>
  <c r="B776" i="3"/>
  <c r="B776" i="10" s="1"/>
  <c r="E776" i="3"/>
  <c r="E776" i="10" s="1"/>
  <c r="B775" i="3"/>
  <c r="B775" i="10" s="1"/>
  <c r="E775" i="3"/>
  <c r="E775" i="10" s="1"/>
  <c r="B774" i="3"/>
  <c r="B774" i="10" s="1"/>
  <c r="B773" i="3"/>
  <c r="B773" i="10" s="1"/>
  <c r="E773" i="3"/>
  <c r="E773" i="10" s="1"/>
  <c r="B772" i="3"/>
  <c r="B772" i="10" s="1"/>
  <c r="E772" i="3"/>
  <c r="E772" i="10" s="1"/>
  <c r="B771" i="3"/>
  <c r="B771" i="10" s="1"/>
  <c r="E771" i="3"/>
  <c r="E771" i="10" s="1"/>
  <c r="B770" i="3"/>
  <c r="B770" i="10" s="1"/>
  <c r="E769" i="3"/>
  <c r="E769" i="10" s="1"/>
  <c r="B768" i="3"/>
  <c r="B768" i="10" s="1"/>
  <c r="E768" i="3"/>
  <c r="E768" i="10" s="1"/>
  <c r="B767" i="3"/>
  <c r="B767" i="10" s="1"/>
  <c r="E767" i="3"/>
  <c r="E767" i="10" s="1"/>
  <c r="B766" i="3"/>
  <c r="B766" i="10" s="1"/>
  <c r="B765" i="3"/>
  <c r="B765" i="10" s="1"/>
  <c r="E765" i="3"/>
  <c r="E765" i="10" s="1"/>
  <c r="B764" i="3"/>
  <c r="B764" i="10" s="1"/>
  <c r="B763" i="3"/>
  <c r="B763" i="10" s="1"/>
  <c r="E763" i="3"/>
  <c r="E763" i="10" s="1"/>
  <c r="B762" i="3"/>
  <c r="B762" i="10" s="1"/>
  <c r="B761" i="3"/>
  <c r="B761" i="10" s="1"/>
  <c r="E761" i="3"/>
  <c r="E761" i="10" s="1"/>
  <c r="B760" i="3"/>
  <c r="B760" i="10" s="1"/>
  <c r="B759" i="3"/>
  <c r="B759" i="10" s="1"/>
  <c r="E759" i="3"/>
  <c r="E759" i="10" s="1"/>
  <c r="B758" i="3"/>
  <c r="B758" i="10" s="1"/>
  <c r="B757" i="3"/>
  <c r="B757" i="10" s="1"/>
  <c r="E757" i="3"/>
  <c r="E757" i="10" s="1"/>
  <c r="B756" i="3"/>
  <c r="B756" i="10" s="1"/>
  <c r="E756" i="3"/>
  <c r="E756" i="10" s="1"/>
  <c r="B755" i="3"/>
  <c r="B755" i="10" s="1"/>
  <c r="E755" i="3"/>
  <c r="E755" i="10" s="1"/>
  <c r="B754" i="3"/>
  <c r="B754" i="10" s="1"/>
  <c r="E753" i="3"/>
  <c r="E753" i="10" s="1"/>
  <c r="B752" i="3"/>
  <c r="B752" i="10" s="1"/>
  <c r="E752" i="3"/>
  <c r="E752" i="10" s="1"/>
  <c r="B751" i="3"/>
  <c r="B751" i="10" s="1"/>
  <c r="E751" i="3"/>
  <c r="E751" i="10" s="1"/>
  <c r="B750" i="3"/>
  <c r="B750" i="10" s="1"/>
  <c r="B749" i="3"/>
  <c r="B749" i="10" s="1"/>
  <c r="E749" i="3"/>
  <c r="E749" i="10" s="1"/>
  <c r="B748" i="3"/>
  <c r="B748" i="10" s="1"/>
  <c r="B747" i="3"/>
  <c r="B747" i="10" s="1"/>
  <c r="E747" i="3"/>
  <c r="E747" i="10" s="1"/>
  <c r="B746" i="3"/>
  <c r="B746" i="10" s="1"/>
  <c r="B745" i="3"/>
  <c r="B745" i="10" s="1"/>
  <c r="E745" i="3"/>
  <c r="E745" i="10" s="1"/>
  <c r="B744" i="3"/>
  <c r="B744" i="10" s="1"/>
  <c r="B743" i="3"/>
  <c r="B743" i="10" s="1"/>
  <c r="E743" i="3"/>
  <c r="E743" i="10" s="1"/>
  <c r="B742" i="3"/>
  <c r="B742" i="10" s="1"/>
  <c r="B741" i="3"/>
  <c r="B741" i="10" s="1"/>
  <c r="E741" i="3"/>
  <c r="E741" i="10" s="1"/>
  <c r="B740" i="3"/>
  <c r="B740" i="10" s="1"/>
  <c r="B739" i="3"/>
  <c r="B739" i="10" s="1"/>
  <c r="E739" i="3"/>
  <c r="E739" i="10" s="1"/>
  <c r="B738" i="3"/>
  <c r="B738" i="10" s="1"/>
  <c r="E737" i="3"/>
  <c r="E737" i="10" s="1"/>
  <c r="B736" i="3"/>
  <c r="B736" i="10" s="1"/>
  <c r="E736" i="3"/>
  <c r="E736" i="10" s="1"/>
  <c r="B735" i="3"/>
  <c r="B735" i="10" s="1"/>
  <c r="E735" i="3"/>
  <c r="E735" i="10" s="1"/>
  <c r="B734" i="3"/>
  <c r="B734" i="10" s="1"/>
  <c r="B733" i="3"/>
  <c r="B733" i="10" s="1"/>
  <c r="E733" i="3"/>
  <c r="E733" i="10" s="1"/>
  <c r="B732" i="3"/>
  <c r="B732" i="10" s="1"/>
  <c r="B731" i="3"/>
  <c r="B731" i="10" s="1"/>
  <c r="E731" i="3"/>
  <c r="E731" i="10" s="1"/>
  <c r="B730" i="3"/>
  <c r="B730" i="10" s="1"/>
  <c r="B729" i="3"/>
  <c r="B729" i="10" s="1"/>
  <c r="E729" i="3"/>
  <c r="E729" i="10" s="1"/>
  <c r="B728" i="3"/>
  <c r="B728" i="10" s="1"/>
  <c r="B727" i="3"/>
  <c r="B727" i="10" s="1"/>
  <c r="E727" i="3"/>
  <c r="E727" i="10" s="1"/>
  <c r="B726" i="3"/>
  <c r="B726" i="10" s="1"/>
  <c r="B725" i="3"/>
  <c r="B725" i="10" s="1"/>
  <c r="E725" i="3"/>
  <c r="E725" i="10" s="1"/>
  <c r="B724" i="3"/>
  <c r="B724" i="10" s="1"/>
  <c r="E724" i="3"/>
  <c r="E724" i="10" s="1"/>
  <c r="B723" i="3"/>
  <c r="B723" i="10" s="1"/>
  <c r="E723" i="3"/>
  <c r="E723" i="10" s="1"/>
  <c r="B722" i="3"/>
  <c r="B722" i="10" s="1"/>
  <c r="E721" i="3"/>
  <c r="E721" i="10" s="1"/>
  <c r="B720" i="3"/>
  <c r="B720" i="10" s="1"/>
  <c r="B719" i="3"/>
  <c r="B719" i="10" s="1"/>
  <c r="E719" i="3"/>
  <c r="E719" i="10" s="1"/>
  <c r="B718" i="3"/>
  <c r="B718" i="10" s="1"/>
  <c r="B717" i="3"/>
  <c r="B717" i="10" s="1"/>
  <c r="E717" i="3"/>
  <c r="E717" i="10" s="1"/>
  <c r="B716" i="3"/>
  <c r="B716" i="10" s="1"/>
  <c r="E716" i="3"/>
  <c r="E716" i="10" s="1"/>
  <c r="B715" i="3"/>
  <c r="B715" i="10" s="1"/>
  <c r="E715" i="3"/>
  <c r="E715" i="10" s="1"/>
  <c r="B714" i="3"/>
  <c r="B714" i="10" s="1"/>
  <c r="B713" i="3"/>
  <c r="B713" i="10" s="1"/>
  <c r="E713" i="3"/>
  <c r="E713" i="10" s="1"/>
  <c r="B712" i="3"/>
  <c r="B712" i="10" s="1"/>
  <c r="B711" i="3"/>
  <c r="B711" i="10" s="1"/>
  <c r="E711" i="3"/>
  <c r="E711" i="10" s="1"/>
  <c r="B710" i="3"/>
  <c r="B710" i="10" s="1"/>
  <c r="B709" i="3"/>
  <c r="B709" i="10" s="1"/>
  <c r="E709" i="3"/>
  <c r="E709" i="10" s="1"/>
  <c r="B708" i="3"/>
  <c r="B708" i="10" s="1"/>
  <c r="E708" i="3"/>
  <c r="E708" i="10" s="1"/>
  <c r="B707" i="3"/>
  <c r="B707" i="10" s="1"/>
  <c r="E707" i="3"/>
  <c r="E707" i="10" s="1"/>
  <c r="B706" i="3"/>
  <c r="B706" i="10" s="1"/>
  <c r="E705" i="3"/>
  <c r="E705" i="10" s="1"/>
  <c r="B704" i="3"/>
  <c r="B704" i="10" s="1"/>
  <c r="E704" i="3"/>
  <c r="E704" i="10" s="1"/>
  <c r="B703" i="3"/>
  <c r="B703" i="10" s="1"/>
  <c r="E703" i="3"/>
  <c r="E703" i="10" s="1"/>
  <c r="B702" i="3"/>
  <c r="B702" i="10" s="1"/>
  <c r="B701" i="3"/>
  <c r="B701" i="10" s="1"/>
  <c r="E701" i="3"/>
  <c r="E701" i="10" s="1"/>
  <c r="B700" i="3"/>
  <c r="B700" i="10" s="1"/>
  <c r="E700" i="3"/>
  <c r="E700" i="10" s="1"/>
  <c r="B699" i="3"/>
  <c r="B699" i="10" s="1"/>
  <c r="E699" i="3"/>
  <c r="E699" i="10" s="1"/>
  <c r="B698" i="3"/>
  <c r="B698" i="10" s="1"/>
  <c r="B697" i="3"/>
  <c r="B697" i="10" s="1"/>
  <c r="E697" i="3"/>
  <c r="E697" i="10" s="1"/>
  <c r="B696" i="3"/>
  <c r="B696" i="10" s="1"/>
  <c r="B695" i="3"/>
  <c r="B695" i="10" s="1"/>
  <c r="E695" i="3"/>
  <c r="E695" i="10" s="1"/>
  <c r="B694" i="3"/>
  <c r="B694" i="10" s="1"/>
  <c r="B693" i="3"/>
  <c r="B693" i="10" s="1"/>
  <c r="E693" i="3"/>
  <c r="E693" i="10" s="1"/>
  <c r="E692" i="3"/>
  <c r="E692" i="10" s="1"/>
  <c r="B691" i="3"/>
  <c r="B691" i="10" s="1"/>
  <c r="E691" i="3"/>
  <c r="E691" i="10" s="1"/>
  <c r="B690" i="3"/>
  <c r="B690" i="10" s="1"/>
  <c r="E689" i="3"/>
  <c r="E689" i="10" s="1"/>
  <c r="B688" i="3"/>
  <c r="B688" i="10" s="1"/>
  <c r="E688" i="3"/>
  <c r="E688" i="10" s="1"/>
  <c r="B687" i="3"/>
  <c r="B687" i="10" s="1"/>
  <c r="E687" i="3"/>
  <c r="E687" i="10" s="1"/>
  <c r="B686" i="3"/>
  <c r="B686" i="10" s="1"/>
  <c r="B685" i="3"/>
  <c r="B685" i="10" s="1"/>
  <c r="E685" i="3"/>
  <c r="E685" i="10" s="1"/>
  <c r="B684" i="3"/>
  <c r="B684" i="10" s="1"/>
  <c r="E684" i="3"/>
  <c r="E684" i="10" s="1"/>
  <c r="B683" i="3"/>
  <c r="B683" i="10" s="1"/>
  <c r="E683" i="3"/>
  <c r="E683" i="10" s="1"/>
  <c r="B682" i="3"/>
  <c r="B682" i="10" s="1"/>
  <c r="E681" i="3"/>
  <c r="E681" i="10" s="1"/>
  <c r="B680" i="3"/>
  <c r="B680" i="10" s="1"/>
  <c r="B679" i="3"/>
  <c r="B679" i="10" s="1"/>
  <c r="E679" i="3"/>
  <c r="E679" i="10" s="1"/>
  <c r="B678" i="3"/>
  <c r="B678" i="10" s="1"/>
  <c r="B677" i="3"/>
  <c r="B677" i="10" s="1"/>
  <c r="E677" i="3"/>
  <c r="E677" i="10" s="1"/>
  <c r="B676" i="3"/>
  <c r="B676" i="10" s="1"/>
  <c r="B675" i="3"/>
  <c r="B675" i="10" s="1"/>
  <c r="E675" i="3"/>
  <c r="E675" i="10" s="1"/>
  <c r="B674" i="3"/>
  <c r="B674" i="10" s="1"/>
  <c r="B673" i="3"/>
  <c r="B673" i="10" s="1"/>
  <c r="E673" i="3"/>
  <c r="E673" i="10" s="1"/>
  <c r="B672" i="3"/>
  <c r="B672" i="10" s="1"/>
  <c r="B671" i="3"/>
  <c r="B671" i="10" s="1"/>
  <c r="E671" i="3"/>
  <c r="E671" i="10" s="1"/>
  <c r="B670" i="3"/>
  <c r="B670" i="10" s="1"/>
  <c r="E669" i="3"/>
  <c r="E669" i="10" s="1"/>
  <c r="B668" i="3"/>
  <c r="B668" i="10" s="1"/>
  <c r="B667" i="3"/>
  <c r="B667" i="10" s="1"/>
  <c r="E667" i="3"/>
  <c r="E667" i="10" s="1"/>
  <c r="B666" i="3"/>
  <c r="B666" i="10" s="1"/>
  <c r="B665" i="3"/>
  <c r="B665" i="10" s="1"/>
  <c r="E665" i="3"/>
  <c r="E665" i="10" s="1"/>
  <c r="B664" i="3"/>
  <c r="B664" i="10" s="1"/>
  <c r="E664" i="3"/>
  <c r="E664" i="10" s="1"/>
  <c r="B663" i="3"/>
  <c r="B663" i="10" s="1"/>
  <c r="E663" i="3"/>
  <c r="E663" i="10" s="1"/>
  <c r="B662" i="3"/>
  <c r="B662" i="10" s="1"/>
  <c r="B661" i="3"/>
  <c r="B661" i="10" s="1"/>
  <c r="E661" i="3"/>
  <c r="E661" i="10" s="1"/>
  <c r="B660" i="3"/>
  <c r="B660" i="10" s="1"/>
  <c r="B659" i="3"/>
  <c r="B659" i="10" s="1"/>
  <c r="E659" i="3"/>
  <c r="E659" i="10" s="1"/>
  <c r="B658" i="3"/>
  <c r="B658" i="10" s="1"/>
  <c r="B657" i="3"/>
  <c r="B657" i="10" s="1"/>
  <c r="E657" i="3"/>
  <c r="E657" i="10" s="1"/>
  <c r="B656" i="3"/>
  <c r="B656" i="10" s="1"/>
  <c r="B655" i="3"/>
  <c r="B655" i="10" s="1"/>
  <c r="E655" i="3"/>
  <c r="E655" i="10" s="1"/>
  <c r="B654" i="3"/>
  <c r="B654" i="10" s="1"/>
  <c r="B653" i="3"/>
  <c r="B653" i="10" s="1"/>
  <c r="E653" i="3"/>
  <c r="E653" i="10" s="1"/>
  <c r="B652" i="3"/>
  <c r="B652" i="10" s="1"/>
  <c r="B651" i="3"/>
  <c r="B651" i="10" s="1"/>
  <c r="E651" i="3"/>
  <c r="E651" i="10" s="1"/>
  <c r="B650" i="3"/>
  <c r="B650" i="10" s="1"/>
  <c r="B649" i="3"/>
  <c r="B649" i="10" s="1"/>
  <c r="E649" i="3"/>
  <c r="E649" i="10" s="1"/>
  <c r="B648" i="3"/>
  <c r="B648" i="10" s="1"/>
  <c r="E648" i="3"/>
  <c r="E648" i="10" s="1"/>
  <c r="B647" i="3"/>
  <c r="B647" i="10" s="1"/>
  <c r="E647" i="3"/>
  <c r="E647" i="10" s="1"/>
  <c r="B646" i="3"/>
  <c r="B646" i="10" s="1"/>
  <c r="E645" i="3"/>
  <c r="E645" i="10" s="1"/>
  <c r="B644" i="3"/>
  <c r="B644" i="10" s="1"/>
  <c r="B643" i="3"/>
  <c r="B643" i="10" s="1"/>
  <c r="E643" i="3"/>
  <c r="E643" i="10" s="1"/>
  <c r="B642" i="3"/>
  <c r="B642" i="10" s="1"/>
  <c r="E641" i="3"/>
  <c r="E641" i="10" s="1"/>
  <c r="E640" i="3"/>
  <c r="E640" i="10" s="1"/>
  <c r="E639" i="3"/>
  <c r="E639" i="10" s="1"/>
  <c r="B543" i="3"/>
  <c r="B543" i="10" s="1"/>
  <c r="B544" i="3"/>
  <c r="B544" i="10" s="1"/>
  <c r="B545" i="3"/>
  <c r="B545" i="10" s="1"/>
  <c r="B546" i="3"/>
  <c r="B546" i="10" s="1"/>
  <c r="B547" i="3"/>
  <c r="B547" i="10" s="1"/>
  <c r="B548" i="3"/>
  <c r="B548" i="10" s="1"/>
  <c r="B549" i="3"/>
  <c r="B549" i="10" s="1"/>
  <c r="B550" i="3"/>
  <c r="B550" i="10" s="1"/>
  <c r="B551" i="3"/>
  <c r="B551" i="10" s="1"/>
  <c r="B552" i="3"/>
  <c r="B552" i="10" s="1"/>
  <c r="B553" i="3"/>
  <c r="B553" i="10" s="1"/>
  <c r="B554" i="3"/>
  <c r="B554" i="10" s="1"/>
  <c r="B555" i="3"/>
  <c r="B555" i="10" s="1"/>
  <c r="B556" i="3"/>
  <c r="B556" i="10" s="1"/>
  <c r="B557" i="3"/>
  <c r="B557" i="10" s="1"/>
  <c r="B558" i="3"/>
  <c r="B558" i="10" s="1"/>
  <c r="B559" i="3"/>
  <c r="B559" i="10" s="1"/>
  <c r="B560" i="3"/>
  <c r="B560" i="10" s="1"/>
  <c r="B561" i="3"/>
  <c r="B561" i="10" s="1"/>
  <c r="B562" i="3"/>
  <c r="B562" i="10" s="1"/>
  <c r="B563" i="3"/>
  <c r="B563" i="10" s="1"/>
  <c r="B564" i="3"/>
  <c r="B564" i="10" s="1"/>
  <c r="B565" i="3"/>
  <c r="B565" i="10" s="1"/>
  <c r="B566" i="3"/>
  <c r="B566" i="10" s="1"/>
  <c r="B567" i="3"/>
  <c r="B567" i="10" s="1"/>
  <c r="B568" i="3"/>
  <c r="B568" i="10" s="1"/>
  <c r="B569" i="3"/>
  <c r="B569" i="10" s="1"/>
  <c r="B570" i="3"/>
  <c r="B570" i="10" s="1"/>
  <c r="B571" i="3"/>
  <c r="B571" i="10" s="1"/>
  <c r="B572" i="3"/>
  <c r="B572" i="10" s="1"/>
  <c r="B573" i="3"/>
  <c r="B573" i="10" s="1"/>
  <c r="B574" i="3"/>
  <c r="B574" i="10" s="1"/>
  <c r="B575" i="3"/>
  <c r="B575" i="10" s="1"/>
  <c r="B576" i="3"/>
  <c r="B576" i="10" s="1"/>
  <c r="B577" i="3"/>
  <c r="B577" i="10" s="1"/>
  <c r="B578" i="3"/>
  <c r="B578" i="10" s="1"/>
  <c r="B579" i="3"/>
  <c r="B579" i="10" s="1"/>
  <c r="B580" i="3"/>
  <c r="B580" i="10" s="1"/>
  <c r="B581" i="3"/>
  <c r="B581" i="10" s="1"/>
  <c r="B582" i="3"/>
  <c r="B582" i="10" s="1"/>
  <c r="B583" i="3"/>
  <c r="B583" i="10" s="1"/>
  <c r="B584" i="3"/>
  <c r="B584" i="10" s="1"/>
  <c r="B585" i="3"/>
  <c r="B585" i="10" s="1"/>
  <c r="B586" i="3"/>
  <c r="B586" i="10" s="1"/>
  <c r="B587" i="3"/>
  <c r="B587" i="10" s="1"/>
  <c r="B588" i="3"/>
  <c r="B588" i="10" s="1"/>
  <c r="B589" i="3"/>
  <c r="B589" i="10" s="1"/>
  <c r="B590" i="3"/>
  <c r="B590" i="10" s="1"/>
  <c r="B591" i="3"/>
  <c r="B591" i="10" s="1"/>
  <c r="B592" i="3"/>
  <c r="B592" i="10" s="1"/>
  <c r="B593" i="3"/>
  <c r="B593" i="10" s="1"/>
  <c r="B594" i="3"/>
  <c r="B594" i="10" s="1"/>
  <c r="B595" i="3"/>
  <c r="B595" i="10" s="1"/>
  <c r="B596" i="3"/>
  <c r="B596" i="10" s="1"/>
  <c r="B597" i="3"/>
  <c r="B597" i="10" s="1"/>
  <c r="B598" i="3"/>
  <c r="B598" i="10" s="1"/>
  <c r="B599" i="3"/>
  <c r="B599" i="10" s="1"/>
  <c r="B600" i="3"/>
  <c r="B600" i="10" s="1"/>
  <c r="B601" i="3"/>
  <c r="B601" i="10" s="1"/>
  <c r="B602" i="3"/>
  <c r="B602" i="10" s="1"/>
  <c r="B603" i="3"/>
  <c r="B603" i="10" s="1"/>
  <c r="B604" i="3"/>
  <c r="B604" i="10" s="1"/>
  <c r="B605" i="3"/>
  <c r="B605" i="10" s="1"/>
  <c r="B606" i="3"/>
  <c r="B606" i="10" s="1"/>
  <c r="B607" i="3"/>
  <c r="B607" i="10" s="1"/>
  <c r="B608" i="3"/>
  <c r="B608" i="10" s="1"/>
  <c r="B609" i="3"/>
  <c r="B609" i="10" s="1"/>
  <c r="B610" i="3"/>
  <c r="B610" i="10" s="1"/>
  <c r="B611" i="3"/>
  <c r="B611" i="10" s="1"/>
  <c r="B612" i="3"/>
  <c r="B612" i="10" s="1"/>
  <c r="B613" i="3"/>
  <c r="B613" i="10" s="1"/>
  <c r="B614" i="3"/>
  <c r="B614" i="10" s="1"/>
  <c r="B615" i="3"/>
  <c r="B615" i="10" s="1"/>
  <c r="B616" i="3"/>
  <c r="B616" i="10" s="1"/>
  <c r="B617" i="3"/>
  <c r="B617" i="10" s="1"/>
  <c r="B618" i="3"/>
  <c r="B618" i="10" s="1"/>
  <c r="B619" i="3"/>
  <c r="B619" i="10" s="1"/>
  <c r="B620" i="3"/>
  <c r="B620" i="10" s="1"/>
  <c r="B621" i="3"/>
  <c r="B621" i="10" s="1"/>
  <c r="B622" i="3"/>
  <c r="B622" i="10" s="1"/>
  <c r="B623" i="3"/>
  <c r="B623" i="10" s="1"/>
  <c r="B624" i="3"/>
  <c r="B624" i="10" s="1"/>
  <c r="B625" i="3"/>
  <c r="B625" i="10" s="1"/>
  <c r="B626" i="3"/>
  <c r="B626" i="10" s="1"/>
  <c r="B627" i="3"/>
  <c r="B627" i="10" s="1"/>
  <c r="B628" i="3"/>
  <c r="B628" i="10" s="1"/>
  <c r="B629" i="3"/>
  <c r="B629" i="10" s="1"/>
  <c r="B630" i="3"/>
  <c r="B630" i="10" s="1"/>
  <c r="B631" i="3"/>
  <c r="B631" i="10" s="1"/>
  <c r="B632" i="3"/>
  <c r="B632" i="10" s="1"/>
  <c r="B633" i="3"/>
  <c r="B633" i="10" s="1"/>
  <c r="B634" i="3"/>
  <c r="B634" i="10" s="1"/>
  <c r="B635" i="3"/>
  <c r="B635" i="10" s="1"/>
  <c r="B636" i="3"/>
  <c r="B636" i="10" s="1"/>
  <c r="E549" i="3"/>
  <c r="E549" i="10" s="1"/>
  <c r="E557" i="3"/>
  <c r="E557" i="10" s="1"/>
  <c r="E562" i="3"/>
  <c r="E562" i="10" s="1"/>
  <c r="E563" i="3"/>
  <c r="E563" i="10" s="1"/>
  <c r="E564" i="3"/>
  <c r="E564" i="10" s="1"/>
  <c r="E565" i="3"/>
  <c r="E565" i="10" s="1"/>
  <c r="E567" i="3"/>
  <c r="E567" i="10" s="1"/>
  <c r="E572" i="3"/>
  <c r="E572" i="10" s="1"/>
  <c r="E573" i="3"/>
  <c r="E573" i="10" s="1"/>
  <c r="E574" i="3"/>
  <c r="E574" i="10" s="1"/>
  <c r="E575" i="3"/>
  <c r="E575" i="10" s="1"/>
  <c r="E578" i="3"/>
  <c r="E578" i="10" s="1"/>
  <c r="E580" i="3"/>
  <c r="E580" i="10" s="1"/>
  <c r="E581" i="3"/>
  <c r="E581" i="10" s="1"/>
  <c r="E582" i="3"/>
  <c r="E582" i="10" s="1"/>
  <c r="E583" i="3"/>
  <c r="E583" i="10" s="1"/>
  <c r="E584" i="3"/>
  <c r="E584" i="10" s="1"/>
  <c r="E585" i="3"/>
  <c r="E585" i="10" s="1"/>
  <c r="E586" i="3"/>
  <c r="E586" i="10" s="1"/>
  <c r="E587" i="3"/>
  <c r="E587" i="10" s="1"/>
  <c r="E589" i="3"/>
  <c r="E589" i="10" s="1"/>
  <c r="E590" i="3"/>
  <c r="E590" i="10" s="1"/>
  <c r="E591" i="3"/>
  <c r="E591" i="10" s="1"/>
  <c r="E592" i="3"/>
  <c r="E592" i="10" s="1"/>
  <c r="E593" i="3"/>
  <c r="E593" i="10" s="1"/>
  <c r="E594" i="3"/>
  <c r="E594" i="10" s="1"/>
  <c r="E595" i="3"/>
  <c r="E595" i="10" s="1"/>
  <c r="E596" i="3"/>
  <c r="E596" i="10" s="1"/>
  <c r="E597" i="3"/>
  <c r="E597" i="10" s="1"/>
  <c r="E598" i="3"/>
  <c r="E598" i="10" s="1"/>
  <c r="E599" i="3"/>
  <c r="E599" i="10" s="1"/>
  <c r="E600" i="3"/>
  <c r="E600" i="10" s="1"/>
  <c r="E601" i="3"/>
  <c r="E601" i="10" s="1"/>
  <c r="E602" i="3"/>
  <c r="E602" i="10" s="1"/>
  <c r="E603" i="3"/>
  <c r="E603" i="10" s="1"/>
  <c r="E604" i="3"/>
  <c r="E604" i="10" s="1"/>
  <c r="E605" i="3"/>
  <c r="E605" i="10" s="1"/>
  <c r="E606" i="3"/>
  <c r="E606" i="10" s="1"/>
  <c r="E607" i="3"/>
  <c r="E607" i="10" s="1"/>
  <c r="E608" i="3"/>
  <c r="E608" i="10" s="1"/>
  <c r="E609" i="3"/>
  <c r="E609" i="10" s="1"/>
  <c r="E610" i="3"/>
  <c r="E610" i="10" s="1"/>
  <c r="E611" i="3"/>
  <c r="E611" i="10" s="1"/>
  <c r="E612" i="3"/>
  <c r="E612" i="10" s="1"/>
  <c r="E613" i="3"/>
  <c r="E613" i="10" s="1"/>
  <c r="E614" i="3"/>
  <c r="E614" i="10" s="1"/>
  <c r="E615" i="3"/>
  <c r="E615" i="10" s="1"/>
  <c r="E616" i="3"/>
  <c r="E616" i="10" s="1"/>
  <c r="E617" i="3"/>
  <c r="E617" i="10" s="1"/>
  <c r="E618" i="3"/>
  <c r="E618" i="10" s="1"/>
  <c r="E619" i="3"/>
  <c r="E619" i="10" s="1"/>
  <c r="E620" i="3"/>
  <c r="E620" i="10" s="1"/>
  <c r="E621" i="3"/>
  <c r="E621" i="10" s="1"/>
  <c r="E622" i="3"/>
  <c r="E622" i="10" s="1"/>
  <c r="E623" i="3"/>
  <c r="E623" i="10" s="1"/>
  <c r="E624" i="3"/>
  <c r="E624" i="10" s="1"/>
  <c r="E625" i="3"/>
  <c r="E625" i="10" s="1"/>
  <c r="E626" i="3"/>
  <c r="E626" i="10" s="1"/>
  <c r="E627" i="3"/>
  <c r="E627" i="10" s="1"/>
  <c r="E628" i="3"/>
  <c r="E628" i="10" s="1"/>
  <c r="E629" i="3"/>
  <c r="E629" i="10" s="1"/>
  <c r="E630" i="3"/>
  <c r="E630" i="10" s="1"/>
  <c r="E631" i="3"/>
  <c r="E631" i="10" s="1"/>
  <c r="E632" i="3"/>
  <c r="E632" i="10" s="1"/>
  <c r="E633" i="3"/>
  <c r="E633" i="10" s="1"/>
  <c r="E634" i="3"/>
  <c r="E634" i="10" s="1"/>
  <c r="E635" i="3"/>
  <c r="E635" i="10" s="1"/>
  <c r="E636" i="3"/>
  <c r="E636" i="10" s="1"/>
  <c r="E637" i="3"/>
  <c r="E637" i="10" s="1"/>
  <c r="E638" i="3"/>
  <c r="E638" i="10" s="1"/>
  <c r="B638" i="3"/>
  <c r="B638" i="10" s="1"/>
  <c r="B640" i="3"/>
  <c r="B640" i="10" s="1"/>
  <c r="B639" i="3"/>
  <c r="B639" i="10" s="1"/>
  <c r="C3" i="3"/>
  <c r="C3" i="10" s="1"/>
  <c r="C4" i="3"/>
  <c r="C4" i="10" s="1"/>
  <c r="C5" i="3"/>
  <c r="C5" i="10" s="1"/>
  <c r="C6" i="3"/>
  <c r="C6" i="10" s="1"/>
  <c r="C7" i="3"/>
  <c r="C7" i="10" s="1"/>
  <c r="C8" i="3"/>
  <c r="C8" i="10" s="1"/>
  <c r="C9" i="3"/>
  <c r="C9" i="10" s="1"/>
  <c r="C10" i="3"/>
  <c r="C10" i="10" s="1"/>
  <c r="C11" i="3"/>
  <c r="C11" i="10" s="1"/>
  <c r="C12" i="3"/>
  <c r="C12" i="10" s="1"/>
  <c r="C13" i="3"/>
  <c r="C13" i="10" s="1"/>
  <c r="C14" i="3"/>
  <c r="C14" i="10" s="1"/>
  <c r="C15" i="3"/>
  <c r="C15" i="10" s="1"/>
  <c r="C16" i="3"/>
  <c r="C16" i="10" s="1"/>
  <c r="C17" i="3"/>
  <c r="C17" i="10" s="1"/>
  <c r="C18" i="3"/>
  <c r="C18" i="10" s="1"/>
  <c r="C19" i="3"/>
  <c r="C19" i="10" s="1"/>
  <c r="C20" i="3"/>
  <c r="C20" i="10" s="1"/>
  <c r="C21" i="3"/>
  <c r="C21" i="10" s="1"/>
  <c r="C22" i="3"/>
  <c r="C22" i="10" s="1"/>
  <c r="C23" i="3"/>
  <c r="C23" i="10" s="1"/>
  <c r="C24" i="3"/>
  <c r="C24" i="10" s="1"/>
  <c r="C25" i="3"/>
  <c r="C25" i="10" s="1"/>
  <c r="C26" i="3"/>
  <c r="C26" i="10" s="1"/>
  <c r="C27" i="3"/>
  <c r="C27" i="10" s="1"/>
  <c r="C28" i="3"/>
  <c r="C28" i="10" s="1"/>
  <c r="C29" i="3"/>
  <c r="C29" i="10" s="1"/>
  <c r="C30" i="3"/>
  <c r="C30" i="10" s="1"/>
  <c r="C31" i="3"/>
  <c r="C31" i="10" s="1"/>
  <c r="C32" i="3"/>
  <c r="C32" i="10" s="1"/>
  <c r="C33" i="3"/>
  <c r="C33" i="10" s="1"/>
  <c r="C34" i="3"/>
  <c r="C34" i="10" s="1"/>
  <c r="C35" i="3"/>
  <c r="C35" i="10" s="1"/>
  <c r="C36" i="3"/>
  <c r="C36" i="10" s="1"/>
  <c r="C37" i="3"/>
  <c r="C37" i="10" s="1"/>
  <c r="C38" i="3"/>
  <c r="C38" i="10" s="1"/>
  <c r="C39" i="3"/>
  <c r="C39" i="10" s="1"/>
  <c r="C40" i="3"/>
  <c r="C40" i="10" s="1"/>
  <c r="C41" i="3"/>
  <c r="C41" i="10" s="1"/>
  <c r="C42" i="3"/>
  <c r="C42" i="10" s="1"/>
  <c r="C43" i="3"/>
  <c r="C43" i="10" s="1"/>
  <c r="C44" i="3"/>
  <c r="C44" i="10" s="1"/>
  <c r="C45" i="3"/>
  <c r="C45" i="10" s="1"/>
  <c r="C46" i="3"/>
  <c r="C46" i="10" s="1"/>
  <c r="C47" i="3"/>
  <c r="C47" i="10" s="1"/>
  <c r="C48" i="3"/>
  <c r="C48" i="10" s="1"/>
  <c r="C49" i="3"/>
  <c r="C49" i="10" s="1"/>
  <c r="C50" i="3"/>
  <c r="C50" i="10" s="1"/>
  <c r="C51" i="3"/>
  <c r="C51" i="10" s="1"/>
  <c r="C52" i="3"/>
  <c r="C52" i="10" s="1"/>
  <c r="C53" i="3"/>
  <c r="C53" i="10" s="1"/>
  <c r="C54" i="3"/>
  <c r="C54" i="10" s="1"/>
  <c r="C55" i="3"/>
  <c r="C55" i="10" s="1"/>
  <c r="C56" i="3"/>
  <c r="C56" i="10" s="1"/>
  <c r="C57" i="3"/>
  <c r="C57" i="10" s="1"/>
  <c r="C58" i="3"/>
  <c r="C58" i="10" s="1"/>
  <c r="C59" i="3"/>
  <c r="C59" i="10" s="1"/>
  <c r="C60" i="3"/>
  <c r="C60" i="10" s="1"/>
  <c r="C61" i="3"/>
  <c r="C61" i="10" s="1"/>
  <c r="C62" i="3"/>
  <c r="C62" i="10" s="1"/>
  <c r="C63" i="3"/>
  <c r="C63" i="10" s="1"/>
  <c r="C64" i="3"/>
  <c r="C64" i="10" s="1"/>
  <c r="C65" i="3"/>
  <c r="C65" i="10" s="1"/>
  <c r="C66" i="3"/>
  <c r="C66" i="10" s="1"/>
  <c r="C67" i="3"/>
  <c r="C67" i="10" s="1"/>
  <c r="C68" i="3"/>
  <c r="C68" i="10" s="1"/>
  <c r="C69" i="3"/>
  <c r="C69" i="10" s="1"/>
  <c r="C70" i="3"/>
  <c r="C70" i="10" s="1"/>
  <c r="C71" i="3"/>
  <c r="C71" i="10" s="1"/>
  <c r="C72" i="3"/>
  <c r="C72" i="10" s="1"/>
  <c r="C73" i="3"/>
  <c r="C73" i="10" s="1"/>
  <c r="C74" i="3"/>
  <c r="C74" i="10" s="1"/>
  <c r="C75" i="3"/>
  <c r="C75" i="10" s="1"/>
  <c r="C76" i="3"/>
  <c r="C76" i="10" s="1"/>
  <c r="C77" i="3"/>
  <c r="C77" i="10" s="1"/>
  <c r="C78" i="3"/>
  <c r="C78" i="10" s="1"/>
  <c r="C79" i="3"/>
  <c r="C79" i="10" s="1"/>
  <c r="C80" i="3"/>
  <c r="C80" i="10" s="1"/>
  <c r="C81" i="3"/>
  <c r="C81" i="10" s="1"/>
  <c r="C82" i="3"/>
  <c r="C82" i="10" s="1"/>
  <c r="C83" i="3"/>
  <c r="C83" i="10" s="1"/>
  <c r="C84" i="3"/>
  <c r="C84" i="10" s="1"/>
  <c r="C85" i="3"/>
  <c r="C85" i="10" s="1"/>
  <c r="C86" i="3"/>
  <c r="C86" i="10" s="1"/>
  <c r="C87" i="3"/>
  <c r="C87" i="10" s="1"/>
  <c r="C88" i="3"/>
  <c r="C88" i="10" s="1"/>
  <c r="C89" i="3"/>
  <c r="C89" i="10" s="1"/>
  <c r="C90" i="3"/>
  <c r="C90" i="10" s="1"/>
  <c r="C91" i="3"/>
  <c r="C91" i="10" s="1"/>
  <c r="C92" i="3"/>
  <c r="C92" i="10" s="1"/>
  <c r="C93" i="3"/>
  <c r="C93" i="10" s="1"/>
  <c r="C94" i="3"/>
  <c r="C94" i="10" s="1"/>
  <c r="C95" i="3"/>
  <c r="C95" i="10" s="1"/>
  <c r="C96" i="3"/>
  <c r="C96" i="10" s="1"/>
  <c r="C97" i="3"/>
  <c r="C97" i="10" s="1"/>
  <c r="C98" i="3"/>
  <c r="C98" i="10" s="1"/>
  <c r="C99" i="3"/>
  <c r="C99" i="10" s="1"/>
  <c r="C100" i="3"/>
  <c r="C100" i="10" s="1"/>
  <c r="C101" i="3"/>
  <c r="C101" i="10" s="1"/>
  <c r="C102" i="3"/>
  <c r="C102" i="10" s="1"/>
  <c r="C103" i="3"/>
  <c r="C103" i="10" s="1"/>
  <c r="C104" i="3"/>
  <c r="C104" i="10" s="1"/>
  <c r="C105" i="3"/>
  <c r="C105" i="10" s="1"/>
  <c r="C106" i="3"/>
  <c r="C106" i="10" s="1"/>
  <c r="C107" i="3"/>
  <c r="C107" i="10" s="1"/>
  <c r="C108" i="3"/>
  <c r="C108" i="10" s="1"/>
  <c r="C109" i="3"/>
  <c r="C109" i="10" s="1"/>
  <c r="C110" i="3"/>
  <c r="C110" i="10" s="1"/>
  <c r="C111" i="3"/>
  <c r="C111" i="10" s="1"/>
  <c r="C112" i="3"/>
  <c r="C112" i="10" s="1"/>
  <c r="C113" i="3"/>
  <c r="C113" i="10" s="1"/>
  <c r="C114" i="3"/>
  <c r="C114" i="10" s="1"/>
  <c r="C115" i="3"/>
  <c r="C115" i="10" s="1"/>
  <c r="C116" i="3"/>
  <c r="C116" i="10" s="1"/>
  <c r="C117" i="3"/>
  <c r="C117" i="10" s="1"/>
  <c r="C118" i="3"/>
  <c r="C118" i="10" s="1"/>
  <c r="C119" i="3"/>
  <c r="C119" i="10" s="1"/>
  <c r="C120" i="3"/>
  <c r="C120" i="10" s="1"/>
  <c r="C121" i="3"/>
  <c r="C121" i="10" s="1"/>
  <c r="C122" i="3"/>
  <c r="C122" i="10" s="1"/>
  <c r="C123" i="3"/>
  <c r="C123" i="10" s="1"/>
  <c r="C124" i="3"/>
  <c r="C124" i="10" s="1"/>
  <c r="C125" i="3"/>
  <c r="C125" i="10" s="1"/>
  <c r="C126" i="3"/>
  <c r="C126" i="10" s="1"/>
  <c r="C127" i="3"/>
  <c r="C127" i="10" s="1"/>
  <c r="C128" i="3"/>
  <c r="C128" i="10" s="1"/>
  <c r="C129" i="3"/>
  <c r="C129" i="10" s="1"/>
  <c r="C130" i="3"/>
  <c r="C130" i="10" s="1"/>
  <c r="C131" i="3"/>
  <c r="C131" i="10" s="1"/>
  <c r="C132" i="3"/>
  <c r="C132" i="10" s="1"/>
  <c r="C133" i="3"/>
  <c r="C133" i="10" s="1"/>
  <c r="C134" i="3"/>
  <c r="C134" i="10" s="1"/>
  <c r="C135" i="3"/>
  <c r="C135" i="10" s="1"/>
  <c r="C136" i="3"/>
  <c r="C136" i="10" s="1"/>
  <c r="C137" i="3"/>
  <c r="C137" i="10" s="1"/>
  <c r="C138" i="3"/>
  <c r="C138" i="10" s="1"/>
  <c r="C139" i="3"/>
  <c r="C139" i="10" s="1"/>
  <c r="C140" i="3"/>
  <c r="C140" i="10" s="1"/>
  <c r="C141" i="3"/>
  <c r="C141" i="10" s="1"/>
  <c r="C142" i="3"/>
  <c r="C142" i="10" s="1"/>
  <c r="C143" i="3"/>
  <c r="C143" i="10" s="1"/>
  <c r="C144" i="3"/>
  <c r="C144" i="10" s="1"/>
  <c r="C145" i="3"/>
  <c r="C145" i="10" s="1"/>
  <c r="C146" i="3"/>
  <c r="C146" i="10" s="1"/>
  <c r="C147" i="3"/>
  <c r="C147" i="10" s="1"/>
  <c r="C148" i="3"/>
  <c r="C148" i="10" s="1"/>
  <c r="C149" i="3"/>
  <c r="C149" i="10" s="1"/>
  <c r="C150" i="3"/>
  <c r="C150" i="10" s="1"/>
  <c r="C151" i="3"/>
  <c r="C151" i="10" s="1"/>
  <c r="C152" i="3"/>
  <c r="C152" i="10" s="1"/>
  <c r="C153" i="3"/>
  <c r="C153" i="10" s="1"/>
  <c r="C154" i="3"/>
  <c r="C154" i="10" s="1"/>
  <c r="C155" i="3"/>
  <c r="C155" i="10" s="1"/>
  <c r="C156" i="3"/>
  <c r="C156" i="10" s="1"/>
  <c r="C157" i="3"/>
  <c r="C157" i="10" s="1"/>
  <c r="C158" i="3"/>
  <c r="C158" i="10" s="1"/>
  <c r="C159" i="3"/>
  <c r="C159" i="10" s="1"/>
  <c r="C160" i="3"/>
  <c r="C160" i="10" s="1"/>
  <c r="C161" i="3"/>
  <c r="C161" i="10" s="1"/>
  <c r="C162" i="3"/>
  <c r="C162" i="10" s="1"/>
  <c r="C163" i="3"/>
  <c r="C163" i="10" s="1"/>
  <c r="C164" i="3"/>
  <c r="C164" i="10" s="1"/>
  <c r="C165" i="3"/>
  <c r="C165" i="10" s="1"/>
  <c r="C166" i="3"/>
  <c r="C166" i="10" s="1"/>
  <c r="C167" i="3"/>
  <c r="C167" i="10" s="1"/>
  <c r="C168" i="3"/>
  <c r="C168" i="10" s="1"/>
  <c r="C169" i="3"/>
  <c r="C169" i="10" s="1"/>
  <c r="C170" i="3"/>
  <c r="C170" i="10" s="1"/>
  <c r="C171" i="3"/>
  <c r="C171" i="10" s="1"/>
  <c r="C172" i="3"/>
  <c r="C172" i="10" s="1"/>
  <c r="C173" i="3"/>
  <c r="C173" i="10" s="1"/>
  <c r="C174" i="3"/>
  <c r="C174" i="10" s="1"/>
  <c r="C175" i="3"/>
  <c r="C175" i="10" s="1"/>
  <c r="C176" i="3"/>
  <c r="C176" i="10" s="1"/>
  <c r="C177" i="3"/>
  <c r="C177" i="10" s="1"/>
  <c r="C178" i="3"/>
  <c r="C178" i="10" s="1"/>
  <c r="C179" i="3"/>
  <c r="C179" i="10" s="1"/>
  <c r="C180" i="3"/>
  <c r="C180" i="10" s="1"/>
  <c r="C181" i="3"/>
  <c r="C181" i="10" s="1"/>
  <c r="C182" i="3"/>
  <c r="C182" i="10" s="1"/>
  <c r="C183" i="3"/>
  <c r="C183" i="10" s="1"/>
  <c r="C184" i="3"/>
  <c r="C184" i="10" s="1"/>
  <c r="C185" i="3"/>
  <c r="C185" i="10" s="1"/>
  <c r="C186" i="3"/>
  <c r="C186" i="10" s="1"/>
  <c r="C187" i="3"/>
  <c r="C187" i="10" s="1"/>
  <c r="C188" i="3"/>
  <c r="C188" i="10" s="1"/>
  <c r="C189" i="3"/>
  <c r="C189" i="10" s="1"/>
  <c r="C190" i="3"/>
  <c r="C190" i="10" s="1"/>
  <c r="C191" i="3"/>
  <c r="C191" i="10" s="1"/>
  <c r="C192" i="3"/>
  <c r="C192" i="10" s="1"/>
  <c r="C193" i="3"/>
  <c r="C193" i="10" s="1"/>
  <c r="C194" i="3"/>
  <c r="C194" i="10" s="1"/>
  <c r="C195" i="3"/>
  <c r="C195" i="10" s="1"/>
  <c r="C196" i="3"/>
  <c r="C196" i="10" s="1"/>
  <c r="C197" i="3"/>
  <c r="C197" i="10" s="1"/>
  <c r="C198" i="3"/>
  <c r="C198" i="10" s="1"/>
  <c r="C199" i="3"/>
  <c r="C199" i="10" s="1"/>
  <c r="C200" i="3"/>
  <c r="C200" i="10" s="1"/>
  <c r="C201" i="3"/>
  <c r="C201" i="10" s="1"/>
  <c r="C202" i="3"/>
  <c r="C202" i="10" s="1"/>
  <c r="C203" i="3"/>
  <c r="C203" i="10" s="1"/>
  <c r="C204" i="3"/>
  <c r="C204" i="10" s="1"/>
  <c r="C205" i="3"/>
  <c r="C205" i="10" s="1"/>
  <c r="C206" i="3"/>
  <c r="C206" i="10" s="1"/>
  <c r="C207" i="3"/>
  <c r="C207" i="10" s="1"/>
  <c r="C208" i="3"/>
  <c r="C208" i="10" s="1"/>
  <c r="C209" i="3"/>
  <c r="C209" i="10" s="1"/>
  <c r="C210" i="3"/>
  <c r="C210" i="10" s="1"/>
  <c r="C211" i="3"/>
  <c r="C211" i="10" s="1"/>
  <c r="C212" i="3"/>
  <c r="C212" i="10" s="1"/>
  <c r="C213" i="3"/>
  <c r="C213" i="10" s="1"/>
  <c r="C214" i="3"/>
  <c r="C214" i="10" s="1"/>
  <c r="C215" i="3"/>
  <c r="C215" i="10" s="1"/>
  <c r="C216" i="3"/>
  <c r="C216" i="10" s="1"/>
  <c r="C217" i="3"/>
  <c r="C217" i="10" s="1"/>
  <c r="C218" i="3"/>
  <c r="C218" i="10" s="1"/>
  <c r="C219" i="3"/>
  <c r="C219" i="10" s="1"/>
  <c r="C220" i="3"/>
  <c r="C220" i="10" s="1"/>
  <c r="C221" i="3"/>
  <c r="C221" i="10" s="1"/>
  <c r="C222" i="3"/>
  <c r="C222" i="10" s="1"/>
  <c r="C223" i="3"/>
  <c r="C223" i="10" s="1"/>
  <c r="C224" i="3"/>
  <c r="C224" i="10" s="1"/>
  <c r="C225" i="3"/>
  <c r="C225" i="10" s="1"/>
  <c r="C226" i="3"/>
  <c r="C226" i="10" s="1"/>
  <c r="C227" i="3"/>
  <c r="C227" i="10" s="1"/>
  <c r="C228" i="3"/>
  <c r="C228" i="10" s="1"/>
  <c r="C229" i="3"/>
  <c r="C229" i="10" s="1"/>
  <c r="C230" i="3"/>
  <c r="C230" i="10" s="1"/>
  <c r="C231" i="3"/>
  <c r="C231" i="10" s="1"/>
  <c r="C232" i="3"/>
  <c r="C232" i="10" s="1"/>
  <c r="C233" i="3"/>
  <c r="C233" i="10" s="1"/>
  <c r="C234" i="3"/>
  <c r="C234" i="10" s="1"/>
  <c r="C235" i="3"/>
  <c r="C235" i="10" s="1"/>
  <c r="C236" i="3"/>
  <c r="C236" i="10" s="1"/>
  <c r="C237" i="3"/>
  <c r="C237" i="10" s="1"/>
  <c r="C238" i="3"/>
  <c r="C238" i="10" s="1"/>
  <c r="C239" i="3"/>
  <c r="C239" i="10" s="1"/>
  <c r="C240" i="3"/>
  <c r="C240" i="10" s="1"/>
  <c r="C241" i="3"/>
  <c r="C241" i="10" s="1"/>
  <c r="C242" i="3"/>
  <c r="C242" i="10" s="1"/>
  <c r="C243" i="3"/>
  <c r="C243" i="10" s="1"/>
  <c r="C244" i="3"/>
  <c r="C244" i="10" s="1"/>
  <c r="C245" i="3"/>
  <c r="C245" i="10" s="1"/>
  <c r="C246" i="3"/>
  <c r="C246" i="10" s="1"/>
  <c r="C247" i="3"/>
  <c r="C247" i="10" s="1"/>
  <c r="C248" i="3"/>
  <c r="C248" i="10" s="1"/>
  <c r="C249" i="3"/>
  <c r="C249" i="10" s="1"/>
  <c r="C250" i="3"/>
  <c r="C250" i="10" s="1"/>
  <c r="C251" i="3"/>
  <c r="C251" i="10" s="1"/>
  <c r="C252" i="3"/>
  <c r="C252" i="10" s="1"/>
  <c r="C253" i="3"/>
  <c r="C253" i="10" s="1"/>
  <c r="C254" i="3"/>
  <c r="C254" i="10" s="1"/>
  <c r="C255" i="3"/>
  <c r="C255" i="10" s="1"/>
  <c r="C256" i="3"/>
  <c r="C256" i="10" s="1"/>
  <c r="C257" i="3"/>
  <c r="C257" i="10" s="1"/>
  <c r="C258" i="3"/>
  <c r="C258" i="10" s="1"/>
  <c r="C259" i="3"/>
  <c r="C259" i="10" s="1"/>
  <c r="C260" i="3"/>
  <c r="C260" i="10" s="1"/>
  <c r="C261" i="3"/>
  <c r="C261" i="10" s="1"/>
  <c r="C262" i="3"/>
  <c r="C262" i="10" s="1"/>
  <c r="C263" i="3"/>
  <c r="C263" i="10" s="1"/>
  <c r="C264" i="3"/>
  <c r="C264" i="10" s="1"/>
  <c r="C265" i="3"/>
  <c r="C265" i="10" s="1"/>
  <c r="C266" i="3"/>
  <c r="C266" i="10" s="1"/>
  <c r="C267" i="3"/>
  <c r="C267" i="10" s="1"/>
  <c r="C268" i="3"/>
  <c r="C268" i="10" s="1"/>
  <c r="C269" i="3"/>
  <c r="C269" i="10" s="1"/>
  <c r="C270" i="3"/>
  <c r="C270" i="10" s="1"/>
  <c r="C271" i="3"/>
  <c r="C271" i="10" s="1"/>
  <c r="C272" i="3"/>
  <c r="C272" i="10" s="1"/>
  <c r="C273" i="3"/>
  <c r="C273" i="10" s="1"/>
  <c r="C274" i="3"/>
  <c r="C274" i="10" s="1"/>
  <c r="C275" i="3"/>
  <c r="C275" i="10" s="1"/>
  <c r="C276" i="3"/>
  <c r="C276" i="10" s="1"/>
  <c r="C277" i="3"/>
  <c r="C277" i="10" s="1"/>
  <c r="C278" i="3"/>
  <c r="C278" i="10" s="1"/>
  <c r="C279" i="3"/>
  <c r="C279" i="10" s="1"/>
  <c r="C280" i="3"/>
  <c r="C280" i="10" s="1"/>
  <c r="C281" i="3"/>
  <c r="C281" i="10" s="1"/>
  <c r="C282" i="3"/>
  <c r="C282" i="10" s="1"/>
  <c r="C283" i="3"/>
  <c r="C283" i="10" s="1"/>
  <c r="C284" i="3"/>
  <c r="C284" i="10" s="1"/>
  <c r="C285" i="3"/>
  <c r="C285" i="10" s="1"/>
  <c r="C286" i="3"/>
  <c r="C286" i="10" s="1"/>
  <c r="C287" i="3"/>
  <c r="C287" i="10" s="1"/>
  <c r="C288" i="3"/>
  <c r="C288" i="10" s="1"/>
  <c r="C289" i="3"/>
  <c r="C289" i="10" s="1"/>
  <c r="C290" i="3"/>
  <c r="C290" i="10" s="1"/>
  <c r="C291" i="3"/>
  <c r="C291" i="10" s="1"/>
  <c r="C292" i="3"/>
  <c r="C292" i="10" s="1"/>
  <c r="C293" i="3"/>
  <c r="C293" i="10" s="1"/>
  <c r="C294" i="3"/>
  <c r="C294" i="10" s="1"/>
  <c r="C295" i="3"/>
  <c r="C295" i="10" s="1"/>
  <c r="C296" i="3"/>
  <c r="C296" i="10" s="1"/>
  <c r="C297" i="3"/>
  <c r="C297" i="10" s="1"/>
  <c r="C298" i="3"/>
  <c r="C298" i="10" s="1"/>
  <c r="C299" i="3"/>
  <c r="C299" i="10" s="1"/>
  <c r="C300" i="3"/>
  <c r="C300" i="10" s="1"/>
  <c r="C301" i="3"/>
  <c r="C301" i="10" s="1"/>
  <c r="C302" i="3"/>
  <c r="C302" i="10" s="1"/>
  <c r="C303" i="3"/>
  <c r="C303" i="10" s="1"/>
  <c r="C304" i="3"/>
  <c r="C304" i="10" s="1"/>
  <c r="C305" i="3"/>
  <c r="C305" i="10" s="1"/>
  <c r="C306" i="3"/>
  <c r="C306" i="10" s="1"/>
  <c r="C307" i="3"/>
  <c r="C307" i="10" s="1"/>
  <c r="C308" i="3"/>
  <c r="C308" i="10" s="1"/>
  <c r="C309" i="3"/>
  <c r="C309" i="10" s="1"/>
  <c r="C310" i="3"/>
  <c r="C310" i="10" s="1"/>
  <c r="C311" i="3"/>
  <c r="C311" i="10" s="1"/>
  <c r="C312" i="3"/>
  <c r="C312" i="10" s="1"/>
  <c r="C313" i="3"/>
  <c r="C313" i="10" s="1"/>
  <c r="C314" i="3"/>
  <c r="C314" i="10" s="1"/>
  <c r="C315" i="3"/>
  <c r="C315" i="10" s="1"/>
  <c r="C316" i="3"/>
  <c r="C316" i="10" s="1"/>
  <c r="C317" i="3"/>
  <c r="C317" i="10" s="1"/>
  <c r="C318" i="3"/>
  <c r="C318" i="10" s="1"/>
  <c r="C319" i="3"/>
  <c r="C319" i="10" s="1"/>
  <c r="C320" i="3"/>
  <c r="C320" i="10" s="1"/>
  <c r="C321" i="3"/>
  <c r="C321" i="10" s="1"/>
  <c r="C322" i="3"/>
  <c r="C322" i="10" s="1"/>
  <c r="C323" i="3"/>
  <c r="C323" i="10" s="1"/>
  <c r="C324" i="3"/>
  <c r="C324" i="10" s="1"/>
  <c r="C325" i="3"/>
  <c r="C325" i="10" s="1"/>
  <c r="C326" i="3"/>
  <c r="C326" i="10" s="1"/>
  <c r="C327" i="3"/>
  <c r="C327" i="10" s="1"/>
  <c r="C328" i="3"/>
  <c r="C328" i="10" s="1"/>
  <c r="C329" i="3"/>
  <c r="C329" i="10" s="1"/>
  <c r="C330" i="3"/>
  <c r="C330" i="10" s="1"/>
  <c r="C331" i="3"/>
  <c r="C331" i="10" s="1"/>
  <c r="C332" i="3"/>
  <c r="C332" i="10" s="1"/>
  <c r="C333" i="3"/>
  <c r="C333" i="10" s="1"/>
  <c r="C334" i="3"/>
  <c r="C334" i="10" s="1"/>
  <c r="C335" i="3"/>
  <c r="C335" i="10" s="1"/>
  <c r="C336" i="3"/>
  <c r="C336" i="10" s="1"/>
  <c r="C337" i="3"/>
  <c r="C337" i="10" s="1"/>
  <c r="C338" i="3"/>
  <c r="C338" i="10" s="1"/>
  <c r="C339" i="3"/>
  <c r="C339" i="10" s="1"/>
  <c r="C340" i="3"/>
  <c r="C340" i="10" s="1"/>
  <c r="C341" i="3"/>
  <c r="C341" i="10" s="1"/>
  <c r="C342" i="3"/>
  <c r="C342" i="10" s="1"/>
  <c r="C343" i="3"/>
  <c r="C343" i="10" s="1"/>
  <c r="C344" i="3"/>
  <c r="C344" i="10" s="1"/>
  <c r="C345" i="3"/>
  <c r="C345" i="10" s="1"/>
  <c r="C346" i="3"/>
  <c r="C346" i="10" s="1"/>
  <c r="C347" i="3"/>
  <c r="C347" i="10" s="1"/>
  <c r="C348" i="3"/>
  <c r="C348" i="10" s="1"/>
  <c r="C349" i="3"/>
  <c r="C349" i="10" s="1"/>
  <c r="C350" i="3"/>
  <c r="C350" i="10" s="1"/>
  <c r="C351" i="3"/>
  <c r="C351" i="10" s="1"/>
  <c r="C352" i="3"/>
  <c r="C352" i="10" s="1"/>
  <c r="C353" i="3"/>
  <c r="C353" i="10" s="1"/>
  <c r="C354" i="3"/>
  <c r="C354" i="10" s="1"/>
  <c r="C355" i="3"/>
  <c r="C355" i="10" s="1"/>
  <c r="C356" i="3"/>
  <c r="C356" i="10" s="1"/>
  <c r="C357" i="3"/>
  <c r="C357" i="10" s="1"/>
  <c r="C358" i="3"/>
  <c r="C358" i="10" s="1"/>
  <c r="C359" i="3"/>
  <c r="C359" i="10" s="1"/>
  <c r="C360" i="3"/>
  <c r="C360" i="10" s="1"/>
  <c r="C361" i="3"/>
  <c r="C361" i="10" s="1"/>
  <c r="C362" i="3"/>
  <c r="C362" i="10" s="1"/>
  <c r="C363" i="3"/>
  <c r="C363" i="10" s="1"/>
  <c r="C364" i="3"/>
  <c r="C364" i="10" s="1"/>
  <c r="C365" i="3"/>
  <c r="C365" i="10" s="1"/>
  <c r="C366" i="3"/>
  <c r="C366" i="10" s="1"/>
  <c r="C367" i="3"/>
  <c r="C367" i="10" s="1"/>
  <c r="C368" i="3"/>
  <c r="C368" i="10" s="1"/>
  <c r="C369" i="3"/>
  <c r="C369" i="10" s="1"/>
  <c r="C370" i="3"/>
  <c r="C370" i="10" s="1"/>
  <c r="C371" i="3"/>
  <c r="C371" i="10" s="1"/>
  <c r="C372" i="3"/>
  <c r="C372" i="10" s="1"/>
  <c r="C373" i="3"/>
  <c r="C373" i="10" s="1"/>
  <c r="C374" i="3"/>
  <c r="C374" i="10" s="1"/>
  <c r="C375" i="3"/>
  <c r="C375" i="10" s="1"/>
  <c r="C376" i="3"/>
  <c r="C376" i="10" s="1"/>
  <c r="C377" i="3"/>
  <c r="C377" i="10" s="1"/>
  <c r="C378" i="3"/>
  <c r="C378" i="10" s="1"/>
  <c r="C379" i="3"/>
  <c r="C379" i="10" s="1"/>
  <c r="C380" i="3"/>
  <c r="C380" i="10" s="1"/>
  <c r="C381" i="3"/>
  <c r="C381" i="10" s="1"/>
  <c r="C382" i="3"/>
  <c r="C382" i="10" s="1"/>
  <c r="C383" i="3"/>
  <c r="C383" i="10" s="1"/>
  <c r="C384" i="3"/>
  <c r="C384" i="10" s="1"/>
  <c r="C385" i="3"/>
  <c r="C385" i="10" s="1"/>
  <c r="C386" i="3"/>
  <c r="C386" i="10" s="1"/>
  <c r="C387" i="3"/>
  <c r="C387" i="10" s="1"/>
  <c r="C388" i="3"/>
  <c r="C388" i="10" s="1"/>
  <c r="C389" i="3"/>
  <c r="C389" i="10" s="1"/>
  <c r="C390" i="3"/>
  <c r="C390" i="10" s="1"/>
  <c r="C391" i="3"/>
  <c r="C391" i="10" s="1"/>
  <c r="C392" i="3"/>
  <c r="C392" i="10" s="1"/>
  <c r="C393" i="3"/>
  <c r="C393" i="10" s="1"/>
  <c r="C394" i="3"/>
  <c r="C394" i="10" s="1"/>
  <c r="C395" i="3"/>
  <c r="C395" i="10" s="1"/>
  <c r="C396" i="3"/>
  <c r="C396" i="10" s="1"/>
  <c r="C397" i="3"/>
  <c r="C397" i="10" s="1"/>
  <c r="C398" i="3"/>
  <c r="C398" i="10" s="1"/>
  <c r="C399" i="3"/>
  <c r="C399" i="10" s="1"/>
  <c r="C400" i="3"/>
  <c r="C400" i="10" s="1"/>
  <c r="C401" i="3"/>
  <c r="C401" i="10" s="1"/>
  <c r="C402" i="3"/>
  <c r="C402" i="10" s="1"/>
  <c r="C403" i="3"/>
  <c r="C403" i="10" s="1"/>
  <c r="C404" i="3"/>
  <c r="C404" i="10" s="1"/>
  <c r="C405" i="3"/>
  <c r="C405" i="10" s="1"/>
  <c r="C406" i="3"/>
  <c r="C406" i="10" s="1"/>
  <c r="C407" i="3"/>
  <c r="C407" i="10" s="1"/>
  <c r="C408" i="3"/>
  <c r="C408" i="10" s="1"/>
  <c r="C409" i="3"/>
  <c r="C409" i="10" s="1"/>
  <c r="C410" i="3"/>
  <c r="C410" i="10" s="1"/>
  <c r="C411" i="3"/>
  <c r="C411" i="10" s="1"/>
  <c r="C412" i="3"/>
  <c r="C412" i="10" s="1"/>
  <c r="C413" i="3"/>
  <c r="C413" i="10" s="1"/>
  <c r="C414" i="3"/>
  <c r="C414" i="10" s="1"/>
  <c r="C415" i="3"/>
  <c r="C415" i="10" s="1"/>
  <c r="C416" i="3"/>
  <c r="C416" i="10" s="1"/>
  <c r="C417" i="3"/>
  <c r="C417" i="10" s="1"/>
  <c r="C418" i="3"/>
  <c r="C418" i="10" s="1"/>
  <c r="C419" i="3"/>
  <c r="C419" i="10" s="1"/>
  <c r="C420" i="3"/>
  <c r="C420" i="10" s="1"/>
  <c r="C421" i="3"/>
  <c r="C421" i="10" s="1"/>
  <c r="C422" i="3"/>
  <c r="C422" i="10" s="1"/>
  <c r="C423" i="3"/>
  <c r="C423" i="10" s="1"/>
  <c r="C424" i="3"/>
  <c r="C424" i="10" s="1"/>
  <c r="C425" i="3"/>
  <c r="C425" i="10" s="1"/>
  <c r="C426" i="3"/>
  <c r="C426" i="10" s="1"/>
  <c r="C427" i="3"/>
  <c r="C427" i="10" s="1"/>
  <c r="C428" i="3"/>
  <c r="C428" i="10" s="1"/>
  <c r="C429" i="3"/>
  <c r="C429" i="10" s="1"/>
  <c r="C430" i="3"/>
  <c r="C430" i="10" s="1"/>
  <c r="C431" i="3"/>
  <c r="C431" i="10" s="1"/>
  <c r="C432" i="3"/>
  <c r="C432" i="10" s="1"/>
  <c r="C433" i="3"/>
  <c r="C433" i="10" s="1"/>
  <c r="C434" i="3"/>
  <c r="C434" i="10" s="1"/>
  <c r="C435" i="3"/>
  <c r="C435" i="10" s="1"/>
  <c r="C436" i="3"/>
  <c r="C436" i="10" s="1"/>
  <c r="C437" i="3"/>
  <c r="C437" i="10" s="1"/>
  <c r="C438" i="3"/>
  <c r="C438" i="10" s="1"/>
  <c r="C439" i="3"/>
  <c r="C439" i="10" s="1"/>
  <c r="C440" i="3"/>
  <c r="C440" i="10" s="1"/>
  <c r="C441" i="3"/>
  <c r="C441" i="10" s="1"/>
  <c r="C442" i="3"/>
  <c r="C442" i="10" s="1"/>
  <c r="C443" i="3"/>
  <c r="C443" i="10" s="1"/>
  <c r="C444" i="3"/>
  <c r="C444" i="10" s="1"/>
  <c r="C445" i="3"/>
  <c r="C445" i="10" s="1"/>
  <c r="C446" i="3"/>
  <c r="C446" i="10" s="1"/>
  <c r="C447" i="3"/>
  <c r="C447" i="10" s="1"/>
  <c r="C448" i="3"/>
  <c r="C448" i="10" s="1"/>
  <c r="C449" i="3"/>
  <c r="C449" i="10" s="1"/>
  <c r="C450" i="3"/>
  <c r="C450" i="10" s="1"/>
  <c r="C451" i="3"/>
  <c r="C451" i="10" s="1"/>
  <c r="C452" i="3"/>
  <c r="C452" i="10" s="1"/>
  <c r="C453" i="3"/>
  <c r="C453" i="10" s="1"/>
  <c r="C454" i="3"/>
  <c r="C454" i="10" s="1"/>
  <c r="C455" i="3"/>
  <c r="C455" i="10" s="1"/>
  <c r="C456" i="3"/>
  <c r="C456" i="10" s="1"/>
  <c r="C457" i="3"/>
  <c r="C457" i="10" s="1"/>
  <c r="C458" i="3"/>
  <c r="C458" i="10" s="1"/>
  <c r="C459" i="3"/>
  <c r="C459" i="10" s="1"/>
  <c r="C460" i="3"/>
  <c r="C460" i="10" s="1"/>
  <c r="C461" i="3"/>
  <c r="C461" i="10" s="1"/>
  <c r="C462" i="3"/>
  <c r="C462" i="10" s="1"/>
  <c r="C463" i="3"/>
  <c r="C463" i="10" s="1"/>
  <c r="C464" i="3"/>
  <c r="C464" i="10" s="1"/>
  <c r="C465" i="3"/>
  <c r="C465" i="10" s="1"/>
  <c r="C466" i="3"/>
  <c r="C466" i="10" s="1"/>
  <c r="C467" i="3"/>
  <c r="C467" i="10" s="1"/>
  <c r="C468" i="3"/>
  <c r="C468" i="10" s="1"/>
  <c r="C469" i="3"/>
  <c r="C469" i="10" s="1"/>
  <c r="C470" i="3"/>
  <c r="C470" i="10" s="1"/>
  <c r="C471" i="3"/>
  <c r="C471" i="10" s="1"/>
  <c r="C472" i="3"/>
  <c r="C472" i="10" s="1"/>
  <c r="C473" i="3"/>
  <c r="C473" i="10" s="1"/>
  <c r="C474" i="3"/>
  <c r="C474" i="10" s="1"/>
  <c r="C475" i="3"/>
  <c r="C475" i="10" s="1"/>
  <c r="C476" i="3"/>
  <c r="C476" i="10" s="1"/>
  <c r="C477" i="3"/>
  <c r="C477" i="10" s="1"/>
  <c r="C478" i="3"/>
  <c r="C478" i="10" s="1"/>
  <c r="C479" i="3"/>
  <c r="C479" i="10" s="1"/>
  <c r="C480" i="3"/>
  <c r="C480" i="10" s="1"/>
  <c r="C481" i="3"/>
  <c r="C481" i="10" s="1"/>
  <c r="C482" i="3"/>
  <c r="C482" i="10" s="1"/>
  <c r="C483" i="3"/>
  <c r="C483" i="10" s="1"/>
  <c r="C484" i="3"/>
  <c r="C484" i="10" s="1"/>
  <c r="C485" i="3"/>
  <c r="C485" i="10" s="1"/>
  <c r="C486" i="3"/>
  <c r="C486" i="10" s="1"/>
  <c r="C487" i="3"/>
  <c r="C487" i="10" s="1"/>
  <c r="C488" i="3"/>
  <c r="C488" i="10" s="1"/>
  <c r="C489" i="3"/>
  <c r="C489" i="10" s="1"/>
  <c r="C490" i="3"/>
  <c r="C490" i="10" s="1"/>
  <c r="C491" i="3"/>
  <c r="C491" i="10" s="1"/>
  <c r="C492" i="3"/>
  <c r="C492" i="10" s="1"/>
  <c r="C493" i="3"/>
  <c r="C493" i="10" s="1"/>
  <c r="C494" i="3"/>
  <c r="C494" i="10" s="1"/>
  <c r="C495" i="3"/>
  <c r="C495" i="10" s="1"/>
  <c r="C496" i="3"/>
  <c r="C496" i="10" s="1"/>
  <c r="C497" i="3"/>
  <c r="C497" i="10" s="1"/>
  <c r="C498" i="3"/>
  <c r="C498" i="10" s="1"/>
  <c r="C499" i="3"/>
  <c r="C499" i="10" s="1"/>
  <c r="C500" i="3"/>
  <c r="C500" i="10" s="1"/>
  <c r="C501" i="3"/>
  <c r="C501" i="10" s="1"/>
  <c r="C502" i="3"/>
  <c r="C502" i="10" s="1"/>
  <c r="C503" i="3"/>
  <c r="C503" i="10" s="1"/>
  <c r="C504" i="3"/>
  <c r="C504" i="10" s="1"/>
  <c r="C505" i="3"/>
  <c r="C505" i="10" s="1"/>
  <c r="C506" i="3"/>
  <c r="C506" i="10" s="1"/>
  <c r="C507" i="3"/>
  <c r="C507" i="10" s="1"/>
  <c r="C508" i="3"/>
  <c r="C508" i="10" s="1"/>
  <c r="C509" i="3"/>
  <c r="C509" i="10" s="1"/>
  <c r="C510" i="3"/>
  <c r="C510" i="10" s="1"/>
  <c r="C511" i="3"/>
  <c r="C511" i="10" s="1"/>
  <c r="C512" i="3"/>
  <c r="C512" i="10" s="1"/>
  <c r="C513" i="3"/>
  <c r="C513" i="10" s="1"/>
  <c r="C514" i="3"/>
  <c r="C514" i="10" s="1"/>
  <c r="C515" i="3"/>
  <c r="C515" i="10" s="1"/>
  <c r="C516" i="3"/>
  <c r="C516" i="10" s="1"/>
  <c r="C517" i="3"/>
  <c r="C517" i="10" s="1"/>
  <c r="C518" i="3"/>
  <c r="C518" i="10" s="1"/>
  <c r="C519" i="3"/>
  <c r="C519" i="10" s="1"/>
  <c r="C520" i="3"/>
  <c r="C520" i="10" s="1"/>
  <c r="C521" i="3"/>
  <c r="C521" i="10" s="1"/>
  <c r="C522" i="3"/>
  <c r="C522" i="10" s="1"/>
  <c r="C523" i="3"/>
  <c r="C523" i="10" s="1"/>
  <c r="C524" i="3"/>
  <c r="C524" i="10" s="1"/>
  <c r="C525" i="3"/>
  <c r="C525" i="10" s="1"/>
  <c r="C526" i="3"/>
  <c r="C526" i="10" s="1"/>
  <c r="C527" i="3"/>
  <c r="C527" i="10" s="1"/>
  <c r="C528" i="3"/>
  <c r="C528" i="10" s="1"/>
  <c r="C529" i="3"/>
  <c r="C529" i="10" s="1"/>
  <c r="C530" i="3"/>
  <c r="C530" i="10" s="1"/>
  <c r="C531" i="3"/>
  <c r="C531" i="10" s="1"/>
  <c r="C532" i="3"/>
  <c r="C532" i="10" s="1"/>
  <c r="C533" i="3"/>
  <c r="C533" i="10" s="1"/>
  <c r="C534" i="3"/>
  <c r="C534" i="10" s="1"/>
  <c r="C535" i="3"/>
  <c r="C535" i="10" s="1"/>
  <c r="C536" i="3"/>
  <c r="C536" i="10" s="1"/>
  <c r="C537" i="3"/>
  <c r="C537" i="10" s="1"/>
  <c r="C538" i="3"/>
  <c r="C538" i="10" s="1"/>
  <c r="C539" i="3"/>
  <c r="C539" i="10" s="1"/>
  <c r="C540" i="3"/>
  <c r="C540" i="10" s="1"/>
  <c r="C541" i="3"/>
  <c r="C541" i="10" s="1"/>
  <c r="C542" i="3"/>
  <c r="C542" i="10" s="1"/>
  <c r="C2" i="3"/>
  <c r="C2" i="10" s="1"/>
  <c r="E571" i="3" l="1"/>
  <c r="E571" i="10" s="1"/>
  <c r="E570" i="3"/>
  <c r="E570" i="10" s="1"/>
  <c r="E579" i="3"/>
  <c r="E579" i="10" s="1"/>
  <c r="E569" i="3"/>
  <c r="E569" i="10" s="1"/>
  <c r="E568" i="3"/>
  <c r="E568" i="10" s="1"/>
  <c r="E548" i="3"/>
  <c r="E548" i="10" s="1"/>
  <c r="E576" i="3"/>
  <c r="E576" i="10" s="1"/>
  <c r="I573" i="3"/>
  <c r="I573" i="10" s="1"/>
  <c r="E577" i="3"/>
  <c r="E577" i="10" s="1"/>
  <c r="I588" i="3"/>
  <c r="I588" i="10" s="1"/>
  <c r="I577" i="3"/>
  <c r="I577" i="10" s="1"/>
  <c r="I576" i="3"/>
  <c r="I576" i="10" s="1"/>
  <c r="I574" i="3"/>
  <c r="I574" i="10" s="1"/>
  <c r="E588" i="3"/>
  <c r="E588" i="10" s="1"/>
  <c r="I579" i="3"/>
  <c r="I579" i="10" s="1"/>
  <c r="I570" i="3"/>
  <c r="I570" i="10" s="1"/>
  <c r="I575" i="3"/>
  <c r="I575" i="10" s="1"/>
  <c r="I571" i="3"/>
  <c r="I571" i="10" s="1"/>
  <c r="E566" i="3"/>
  <c r="E566" i="10" s="1"/>
  <c r="E553" i="3"/>
  <c r="E553" i="10" s="1"/>
  <c r="E545" i="3"/>
  <c r="E545" i="10" s="1"/>
  <c r="E544" i="3"/>
  <c r="E544" i="10" s="1"/>
  <c r="I568" i="3"/>
  <c r="I568" i="10" s="1"/>
  <c r="I565" i="3"/>
  <c r="I565" i="10" s="1"/>
  <c r="I566" i="3"/>
  <c r="I566" i="10" s="1"/>
  <c r="I567" i="3"/>
  <c r="I567" i="10" s="1"/>
  <c r="I564" i="3"/>
  <c r="I564" i="10" s="1"/>
  <c r="I569" i="3"/>
  <c r="I569" i="10" s="1"/>
  <c r="E556" i="3"/>
  <c r="E556" i="10" s="1"/>
  <c r="E555" i="3"/>
  <c r="E555" i="10" s="1"/>
  <c r="E560" i="3"/>
  <c r="E560" i="10" s="1"/>
  <c r="E552" i="3"/>
  <c r="E552" i="10" s="1"/>
  <c r="E559" i="3"/>
  <c r="E559" i="10" s="1"/>
  <c r="E561" i="3"/>
  <c r="E561" i="10" s="1"/>
  <c r="E558" i="3"/>
  <c r="E558" i="10" s="1"/>
  <c r="E554" i="3"/>
  <c r="E554" i="10" s="1"/>
  <c r="I555" i="3"/>
  <c r="I555" i="10" s="1"/>
  <c r="I560" i="3"/>
  <c r="I560" i="10" s="1"/>
  <c r="I558" i="3"/>
  <c r="I558" i="10" s="1"/>
  <c r="I556" i="3"/>
  <c r="I556" i="10" s="1"/>
  <c r="I561" i="3"/>
  <c r="I561" i="10" s="1"/>
  <c r="I554" i="3"/>
  <c r="I554" i="10" s="1"/>
  <c r="I557" i="3"/>
  <c r="I557" i="10" s="1"/>
  <c r="I559" i="3"/>
  <c r="I559" i="10" s="1"/>
  <c r="E551" i="3"/>
  <c r="E551" i="10" s="1"/>
  <c r="E547" i="3"/>
  <c r="E547" i="10" s="1"/>
  <c r="E543" i="3"/>
  <c r="E543" i="10" s="1"/>
  <c r="E550" i="3"/>
  <c r="E550" i="10" s="1"/>
  <c r="E546" i="3"/>
  <c r="E546" i="10" s="1"/>
  <c r="E644" i="3"/>
  <c r="E644" i="10" s="1"/>
  <c r="AH1000" i="6"/>
  <c r="AG1000" i="6"/>
  <c r="AF1000" i="6"/>
  <c r="AE1000" i="6"/>
  <c r="AD1000" i="6"/>
  <c r="AC1000" i="6"/>
  <c r="AB1000" i="6"/>
  <c r="AA1000" i="6"/>
  <c r="Z1000" i="6"/>
  <c r="Y1000" i="6"/>
  <c r="X1000" i="6"/>
  <c r="W1000" i="6"/>
  <c r="V1000" i="6"/>
  <c r="U1000" i="6"/>
  <c r="T1000" i="6"/>
  <c r="S1000" i="6"/>
  <c r="R1000" i="6"/>
  <c r="Q1000" i="6"/>
  <c r="P1000" i="6"/>
  <c r="O1000" i="6"/>
  <c r="N1000" i="6"/>
  <c r="M1000" i="6"/>
  <c r="L1000" i="6"/>
  <c r="K1000" i="6"/>
  <c r="J1000" i="6"/>
  <c r="I1000" i="6"/>
  <c r="H1000" i="6"/>
  <c r="G1000" i="6"/>
  <c r="F1000" i="6"/>
  <c r="E1000" i="6"/>
  <c r="D1000" i="6"/>
  <c r="C1000" i="6"/>
  <c r="B1000" i="6"/>
  <c r="A1000" i="6"/>
  <c r="AH999" i="6"/>
  <c r="AG999" i="6"/>
  <c r="AF999" i="6"/>
  <c r="AE999" i="6"/>
  <c r="AD999" i="6"/>
  <c r="AC999" i="6"/>
  <c r="AB999" i="6"/>
  <c r="AA999" i="6"/>
  <c r="Z999" i="6"/>
  <c r="Y999" i="6"/>
  <c r="X999" i="6"/>
  <c r="W999" i="6"/>
  <c r="V999" i="6"/>
  <c r="U999" i="6"/>
  <c r="T999" i="6"/>
  <c r="S999" i="6"/>
  <c r="R999" i="6"/>
  <c r="Q999" i="6"/>
  <c r="P999" i="6"/>
  <c r="O999" i="6"/>
  <c r="N999" i="6"/>
  <c r="M999" i="6"/>
  <c r="L999" i="6"/>
  <c r="K999" i="6"/>
  <c r="J999" i="6"/>
  <c r="I999" i="6"/>
  <c r="H999" i="6"/>
  <c r="G999" i="6"/>
  <c r="F999" i="6"/>
  <c r="E999" i="6"/>
  <c r="D999" i="6"/>
  <c r="C999" i="6"/>
  <c r="B999" i="6"/>
  <c r="A999" i="6"/>
  <c r="AH998" i="6"/>
  <c r="AG998" i="6"/>
  <c r="AF998" i="6"/>
  <c r="AE998" i="6"/>
  <c r="AD998" i="6"/>
  <c r="AC998" i="6"/>
  <c r="AB998" i="6"/>
  <c r="AA998" i="6"/>
  <c r="Z998" i="6"/>
  <c r="Y998" i="6"/>
  <c r="X998" i="6"/>
  <c r="W998" i="6"/>
  <c r="V998" i="6"/>
  <c r="U998" i="6"/>
  <c r="T998" i="6"/>
  <c r="S998" i="6"/>
  <c r="R998" i="6"/>
  <c r="Q998" i="6"/>
  <c r="P998" i="6"/>
  <c r="O998" i="6"/>
  <c r="N998" i="6"/>
  <c r="M998" i="6"/>
  <c r="L998" i="6"/>
  <c r="K998" i="6"/>
  <c r="J998" i="6"/>
  <c r="I998" i="6"/>
  <c r="H998" i="6"/>
  <c r="G998" i="6"/>
  <c r="F998" i="6"/>
  <c r="E998" i="6"/>
  <c r="D998" i="6"/>
  <c r="C998" i="6"/>
  <c r="B998" i="6"/>
  <c r="A998" i="6"/>
  <c r="AH997" i="6"/>
  <c r="AG997" i="6"/>
  <c r="AF997" i="6"/>
  <c r="AE997" i="6"/>
  <c r="AD997" i="6"/>
  <c r="AC997" i="6"/>
  <c r="AB997" i="6"/>
  <c r="AA997" i="6"/>
  <c r="Z997" i="6"/>
  <c r="Y997" i="6"/>
  <c r="X997" i="6"/>
  <c r="W997" i="6"/>
  <c r="V997" i="6"/>
  <c r="U997" i="6"/>
  <c r="T997" i="6"/>
  <c r="S997" i="6"/>
  <c r="R997" i="6"/>
  <c r="Q997" i="6"/>
  <c r="P997" i="6"/>
  <c r="O997" i="6"/>
  <c r="N997" i="6"/>
  <c r="M997" i="6"/>
  <c r="L997" i="6"/>
  <c r="K997" i="6"/>
  <c r="J997" i="6"/>
  <c r="I997" i="6"/>
  <c r="H997" i="6"/>
  <c r="G997" i="6"/>
  <c r="F997" i="6"/>
  <c r="E997" i="6"/>
  <c r="D997" i="6"/>
  <c r="C997" i="6"/>
  <c r="B997" i="6"/>
  <c r="A997" i="6"/>
  <c r="AH996" i="6"/>
  <c r="AG996" i="6"/>
  <c r="AF996" i="6"/>
  <c r="AE996" i="6"/>
  <c r="AD996" i="6"/>
  <c r="AC996" i="6"/>
  <c r="AB996" i="6"/>
  <c r="AA996" i="6"/>
  <c r="Z996" i="6"/>
  <c r="Y996" i="6"/>
  <c r="X996" i="6"/>
  <c r="W996" i="6"/>
  <c r="V996" i="6"/>
  <c r="U996" i="6"/>
  <c r="T996" i="6"/>
  <c r="S996" i="6"/>
  <c r="R996" i="6"/>
  <c r="Q996" i="6"/>
  <c r="P996" i="6"/>
  <c r="O996" i="6"/>
  <c r="N996" i="6"/>
  <c r="M996" i="6"/>
  <c r="L996" i="6"/>
  <c r="K996" i="6"/>
  <c r="J996" i="6"/>
  <c r="I996" i="6"/>
  <c r="H996" i="6"/>
  <c r="G996" i="6"/>
  <c r="F996" i="6"/>
  <c r="E996" i="6"/>
  <c r="D996" i="6"/>
  <c r="C996" i="6"/>
  <c r="B996" i="6"/>
  <c r="A996" i="6"/>
  <c r="AH995" i="6"/>
  <c r="AG995" i="6"/>
  <c r="AF995" i="6"/>
  <c r="AE995" i="6"/>
  <c r="AD995" i="6"/>
  <c r="AC995" i="6"/>
  <c r="AB995" i="6"/>
  <c r="AA995" i="6"/>
  <c r="Z995" i="6"/>
  <c r="Y995" i="6"/>
  <c r="X995" i="6"/>
  <c r="W995" i="6"/>
  <c r="V995" i="6"/>
  <c r="U995" i="6"/>
  <c r="T995" i="6"/>
  <c r="S995" i="6"/>
  <c r="R995" i="6"/>
  <c r="Q995" i="6"/>
  <c r="P995" i="6"/>
  <c r="O995" i="6"/>
  <c r="N995" i="6"/>
  <c r="M995" i="6"/>
  <c r="L995" i="6"/>
  <c r="K995" i="6"/>
  <c r="J995" i="6"/>
  <c r="I995" i="6"/>
  <c r="H995" i="6"/>
  <c r="G995" i="6"/>
  <c r="F995" i="6"/>
  <c r="E995" i="6"/>
  <c r="D995" i="6"/>
  <c r="C995" i="6"/>
  <c r="B995" i="6"/>
  <c r="A995" i="6"/>
  <c r="AH994" i="6"/>
  <c r="AG994" i="6"/>
  <c r="AF994" i="6"/>
  <c r="AE994" i="6"/>
  <c r="AD994" i="6"/>
  <c r="AC994" i="6"/>
  <c r="AB994" i="6"/>
  <c r="AA994" i="6"/>
  <c r="Z994" i="6"/>
  <c r="Y994" i="6"/>
  <c r="X994" i="6"/>
  <c r="W994" i="6"/>
  <c r="V994" i="6"/>
  <c r="U994" i="6"/>
  <c r="T994" i="6"/>
  <c r="S994" i="6"/>
  <c r="R994" i="6"/>
  <c r="Q994" i="6"/>
  <c r="P994" i="6"/>
  <c r="O994" i="6"/>
  <c r="N994" i="6"/>
  <c r="M994" i="6"/>
  <c r="L994" i="6"/>
  <c r="K994" i="6"/>
  <c r="J994" i="6"/>
  <c r="I994" i="6"/>
  <c r="H994" i="6"/>
  <c r="G994" i="6"/>
  <c r="F994" i="6"/>
  <c r="E994" i="6"/>
  <c r="D994" i="6"/>
  <c r="C994" i="6"/>
  <c r="B994" i="6"/>
  <c r="A994" i="6"/>
  <c r="AH993" i="6"/>
  <c r="AG993" i="6"/>
  <c r="AF993" i="6"/>
  <c r="AE993" i="6"/>
  <c r="AD993" i="6"/>
  <c r="AC993" i="6"/>
  <c r="AB993" i="6"/>
  <c r="AA993" i="6"/>
  <c r="Z993" i="6"/>
  <c r="Y993" i="6"/>
  <c r="X993" i="6"/>
  <c r="W993" i="6"/>
  <c r="V993" i="6"/>
  <c r="U993" i="6"/>
  <c r="T993" i="6"/>
  <c r="S993" i="6"/>
  <c r="R993" i="6"/>
  <c r="Q993" i="6"/>
  <c r="P993" i="6"/>
  <c r="O993" i="6"/>
  <c r="N993" i="6"/>
  <c r="M993" i="6"/>
  <c r="L993" i="6"/>
  <c r="K993" i="6"/>
  <c r="J993" i="6"/>
  <c r="I993" i="6"/>
  <c r="H993" i="6"/>
  <c r="G993" i="6"/>
  <c r="F993" i="6"/>
  <c r="E993" i="6"/>
  <c r="D993" i="6"/>
  <c r="C993" i="6"/>
  <c r="B993" i="6"/>
  <c r="A993" i="6"/>
  <c r="AH992" i="6"/>
  <c r="AG992" i="6"/>
  <c r="AF992" i="6"/>
  <c r="AE992" i="6"/>
  <c r="AD992" i="6"/>
  <c r="AC992" i="6"/>
  <c r="AB992" i="6"/>
  <c r="AA992" i="6"/>
  <c r="Z992" i="6"/>
  <c r="Y992" i="6"/>
  <c r="X992" i="6"/>
  <c r="W992" i="6"/>
  <c r="V992" i="6"/>
  <c r="U992" i="6"/>
  <c r="T992" i="6"/>
  <c r="S992" i="6"/>
  <c r="R992" i="6"/>
  <c r="Q992" i="6"/>
  <c r="P992" i="6"/>
  <c r="O992" i="6"/>
  <c r="N992" i="6"/>
  <c r="M992" i="6"/>
  <c r="L992" i="6"/>
  <c r="K992" i="6"/>
  <c r="J992" i="6"/>
  <c r="I992" i="6"/>
  <c r="H992" i="6"/>
  <c r="G992" i="6"/>
  <c r="F992" i="6"/>
  <c r="E992" i="6"/>
  <c r="D992" i="6"/>
  <c r="C992" i="6"/>
  <c r="B992" i="6"/>
  <c r="A992" i="6"/>
  <c r="AH991" i="6"/>
  <c r="AG991" i="6"/>
  <c r="AF991" i="6"/>
  <c r="AE991" i="6"/>
  <c r="AD991" i="6"/>
  <c r="AC991" i="6"/>
  <c r="AB991" i="6"/>
  <c r="AA991" i="6"/>
  <c r="Z991" i="6"/>
  <c r="Y991" i="6"/>
  <c r="X991" i="6"/>
  <c r="W991" i="6"/>
  <c r="V991" i="6"/>
  <c r="U991" i="6"/>
  <c r="T991" i="6"/>
  <c r="S991" i="6"/>
  <c r="R991" i="6"/>
  <c r="Q991" i="6"/>
  <c r="P991" i="6"/>
  <c r="O991" i="6"/>
  <c r="N991" i="6"/>
  <c r="M991" i="6"/>
  <c r="L991" i="6"/>
  <c r="K991" i="6"/>
  <c r="J991" i="6"/>
  <c r="I991" i="6"/>
  <c r="H991" i="6"/>
  <c r="G991" i="6"/>
  <c r="F991" i="6"/>
  <c r="E991" i="6"/>
  <c r="D991" i="6"/>
  <c r="C991" i="6"/>
  <c r="B991" i="6"/>
  <c r="A991" i="6"/>
  <c r="AH990" i="6"/>
  <c r="AG990" i="6"/>
  <c r="AF990" i="6"/>
  <c r="AE990" i="6"/>
  <c r="AD990" i="6"/>
  <c r="AC990" i="6"/>
  <c r="AB990" i="6"/>
  <c r="AA990" i="6"/>
  <c r="Z990" i="6"/>
  <c r="Y990" i="6"/>
  <c r="X990" i="6"/>
  <c r="W990" i="6"/>
  <c r="V990" i="6"/>
  <c r="U990" i="6"/>
  <c r="T990" i="6"/>
  <c r="S990" i="6"/>
  <c r="R990" i="6"/>
  <c r="Q990" i="6"/>
  <c r="P990" i="6"/>
  <c r="O990" i="6"/>
  <c r="N990" i="6"/>
  <c r="M990" i="6"/>
  <c r="L990" i="6"/>
  <c r="K990" i="6"/>
  <c r="J990" i="6"/>
  <c r="I990" i="6"/>
  <c r="H990" i="6"/>
  <c r="G990" i="6"/>
  <c r="F990" i="6"/>
  <c r="E990" i="6"/>
  <c r="D990" i="6"/>
  <c r="C990" i="6"/>
  <c r="B990" i="6"/>
  <c r="A990" i="6"/>
  <c r="AH989" i="6"/>
  <c r="AG989" i="6"/>
  <c r="AF989" i="6"/>
  <c r="AE989" i="6"/>
  <c r="AD989" i="6"/>
  <c r="AC989" i="6"/>
  <c r="AB989" i="6"/>
  <c r="AA989" i="6"/>
  <c r="Z989" i="6"/>
  <c r="Y989" i="6"/>
  <c r="X989" i="6"/>
  <c r="W989" i="6"/>
  <c r="V989" i="6"/>
  <c r="U989" i="6"/>
  <c r="T989" i="6"/>
  <c r="S989" i="6"/>
  <c r="R989" i="6"/>
  <c r="Q989" i="6"/>
  <c r="P989" i="6"/>
  <c r="O989" i="6"/>
  <c r="N989" i="6"/>
  <c r="M989" i="6"/>
  <c r="L989" i="6"/>
  <c r="K989" i="6"/>
  <c r="J989" i="6"/>
  <c r="I989" i="6"/>
  <c r="H989" i="6"/>
  <c r="G989" i="6"/>
  <c r="F989" i="6"/>
  <c r="E989" i="6"/>
  <c r="D989" i="6"/>
  <c r="C989" i="6"/>
  <c r="B989" i="6"/>
  <c r="A989" i="6"/>
  <c r="AH988" i="6"/>
  <c r="AG988" i="6"/>
  <c r="AF988" i="6"/>
  <c r="AE988" i="6"/>
  <c r="AD988" i="6"/>
  <c r="AC988" i="6"/>
  <c r="AB988" i="6"/>
  <c r="AA988" i="6"/>
  <c r="Z988" i="6"/>
  <c r="Y988" i="6"/>
  <c r="X988" i="6"/>
  <c r="W988" i="6"/>
  <c r="V988" i="6"/>
  <c r="U988" i="6"/>
  <c r="T988" i="6"/>
  <c r="S988" i="6"/>
  <c r="R988" i="6"/>
  <c r="Q988" i="6"/>
  <c r="P988" i="6"/>
  <c r="O988" i="6"/>
  <c r="N988" i="6"/>
  <c r="M988" i="6"/>
  <c r="L988" i="6"/>
  <c r="K988" i="6"/>
  <c r="J988" i="6"/>
  <c r="I988" i="6"/>
  <c r="H988" i="6"/>
  <c r="G988" i="6"/>
  <c r="F988" i="6"/>
  <c r="E988" i="6"/>
  <c r="D988" i="6"/>
  <c r="C988" i="6"/>
  <c r="B988" i="6"/>
  <c r="A988" i="6"/>
  <c r="AH987" i="6"/>
  <c r="AG987" i="6"/>
  <c r="AF987" i="6"/>
  <c r="AE987" i="6"/>
  <c r="AD987" i="6"/>
  <c r="AC987" i="6"/>
  <c r="AB987" i="6"/>
  <c r="AA987" i="6"/>
  <c r="Z987" i="6"/>
  <c r="Y987" i="6"/>
  <c r="X987" i="6"/>
  <c r="W987" i="6"/>
  <c r="V987" i="6"/>
  <c r="U987" i="6"/>
  <c r="T987" i="6"/>
  <c r="S987" i="6"/>
  <c r="R987" i="6"/>
  <c r="Q987" i="6"/>
  <c r="P987" i="6"/>
  <c r="O987" i="6"/>
  <c r="N987" i="6"/>
  <c r="M987" i="6"/>
  <c r="L987" i="6"/>
  <c r="K987" i="6"/>
  <c r="J987" i="6"/>
  <c r="I987" i="6"/>
  <c r="H987" i="6"/>
  <c r="G987" i="6"/>
  <c r="F987" i="6"/>
  <c r="E987" i="6"/>
  <c r="D987" i="6"/>
  <c r="C987" i="6"/>
  <c r="B987" i="6"/>
  <c r="A987" i="6"/>
  <c r="AH986" i="6"/>
  <c r="AG986" i="6"/>
  <c r="AF986" i="6"/>
  <c r="AE986" i="6"/>
  <c r="AD986" i="6"/>
  <c r="AC986" i="6"/>
  <c r="AB986" i="6"/>
  <c r="AA986" i="6"/>
  <c r="Z986" i="6"/>
  <c r="Y986" i="6"/>
  <c r="X986" i="6"/>
  <c r="W986" i="6"/>
  <c r="V986" i="6"/>
  <c r="U986" i="6"/>
  <c r="T986" i="6"/>
  <c r="S986" i="6"/>
  <c r="R986" i="6"/>
  <c r="Q986" i="6"/>
  <c r="P986" i="6"/>
  <c r="O986" i="6"/>
  <c r="N986" i="6"/>
  <c r="M986" i="6"/>
  <c r="L986" i="6"/>
  <c r="K986" i="6"/>
  <c r="J986" i="6"/>
  <c r="I986" i="6"/>
  <c r="H986" i="6"/>
  <c r="G986" i="6"/>
  <c r="F986" i="6"/>
  <c r="E986" i="6"/>
  <c r="D986" i="6"/>
  <c r="C986" i="6"/>
  <c r="B986" i="6"/>
  <c r="A986" i="6"/>
  <c r="AH985" i="6"/>
  <c r="AG985" i="6"/>
  <c r="AF985" i="6"/>
  <c r="AE985" i="6"/>
  <c r="AD985" i="6"/>
  <c r="AC985" i="6"/>
  <c r="AB985" i="6"/>
  <c r="AA985" i="6"/>
  <c r="Z985" i="6"/>
  <c r="Y985" i="6"/>
  <c r="X985" i="6"/>
  <c r="W985" i="6"/>
  <c r="V985" i="6"/>
  <c r="U985" i="6"/>
  <c r="T985" i="6"/>
  <c r="S985" i="6"/>
  <c r="R985" i="6"/>
  <c r="Q985" i="6"/>
  <c r="P985" i="6"/>
  <c r="O985" i="6"/>
  <c r="N985" i="6"/>
  <c r="M985" i="6"/>
  <c r="L985" i="6"/>
  <c r="K985" i="6"/>
  <c r="J985" i="6"/>
  <c r="I985" i="6"/>
  <c r="H985" i="6"/>
  <c r="G985" i="6"/>
  <c r="F985" i="6"/>
  <c r="E985" i="6"/>
  <c r="D985" i="6"/>
  <c r="C985" i="6"/>
  <c r="B985" i="6"/>
  <c r="A985" i="6"/>
  <c r="AH984" i="6"/>
  <c r="AG984" i="6"/>
  <c r="AF984" i="6"/>
  <c r="AE984" i="6"/>
  <c r="AD984" i="6"/>
  <c r="AC984" i="6"/>
  <c r="AB984" i="6"/>
  <c r="AA984" i="6"/>
  <c r="Z984" i="6"/>
  <c r="Y984" i="6"/>
  <c r="X984" i="6"/>
  <c r="W984" i="6"/>
  <c r="V984" i="6"/>
  <c r="U984" i="6"/>
  <c r="T984" i="6"/>
  <c r="S984" i="6"/>
  <c r="R984" i="6"/>
  <c r="Q984" i="6"/>
  <c r="P984" i="6"/>
  <c r="O984" i="6"/>
  <c r="N984" i="6"/>
  <c r="M984" i="6"/>
  <c r="L984" i="6"/>
  <c r="K984" i="6"/>
  <c r="J984" i="6"/>
  <c r="I984" i="6"/>
  <c r="H984" i="6"/>
  <c r="G984" i="6"/>
  <c r="F984" i="6"/>
  <c r="E984" i="6"/>
  <c r="D984" i="6"/>
  <c r="C984" i="6"/>
  <c r="B984" i="6"/>
  <c r="A984" i="6"/>
  <c r="AH983" i="6"/>
  <c r="AG983" i="6"/>
  <c r="AF983" i="6"/>
  <c r="AE983" i="6"/>
  <c r="AD983" i="6"/>
  <c r="AC983" i="6"/>
  <c r="AB983" i="6"/>
  <c r="AA983" i="6"/>
  <c r="Z983" i="6"/>
  <c r="Y983" i="6"/>
  <c r="X983" i="6"/>
  <c r="W983" i="6"/>
  <c r="V983" i="6"/>
  <c r="U983" i="6"/>
  <c r="T983" i="6"/>
  <c r="S983" i="6"/>
  <c r="R983" i="6"/>
  <c r="Q983" i="6"/>
  <c r="P983" i="6"/>
  <c r="O983" i="6"/>
  <c r="N983" i="6"/>
  <c r="M983" i="6"/>
  <c r="L983" i="6"/>
  <c r="K983" i="6"/>
  <c r="J983" i="6"/>
  <c r="I983" i="6"/>
  <c r="H983" i="6"/>
  <c r="G983" i="6"/>
  <c r="F983" i="6"/>
  <c r="E983" i="6"/>
  <c r="D983" i="6"/>
  <c r="C983" i="6"/>
  <c r="B983" i="6"/>
  <c r="A983" i="6"/>
  <c r="AH982" i="6"/>
  <c r="AG982" i="6"/>
  <c r="AF982" i="6"/>
  <c r="AE982" i="6"/>
  <c r="AD982" i="6"/>
  <c r="AC982" i="6"/>
  <c r="AB982" i="6"/>
  <c r="AA982" i="6"/>
  <c r="Z982" i="6"/>
  <c r="Y982" i="6"/>
  <c r="X982" i="6"/>
  <c r="W982" i="6"/>
  <c r="V982" i="6"/>
  <c r="U982" i="6"/>
  <c r="T982" i="6"/>
  <c r="S982" i="6"/>
  <c r="R982" i="6"/>
  <c r="Q982" i="6"/>
  <c r="P982" i="6"/>
  <c r="O982" i="6"/>
  <c r="N982" i="6"/>
  <c r="M982" i="6"/>
  <c r="L982" i="6"/>
  <c r="K982" i="6"/>
  <c r="J982" i="6"/>
  <c r="I982" i="6"/>
  <c r="H982" i="6"/>
  <c r="G982" i="6"/>
  <c r="F982" i="6"/>
  <c r="E982" i="6"/>
  <c r="D982" i="6"/>
  <c r="C982" i="6"/>
  <c r="B982" i="6"/>
  <c r="A982" i="6"/>
  <c r="AH981" i="6"/>
  <c r="AG981" i="6"/>
  <c r="AF981" i="6"/>
  <c r="AE981" i="6"/>
  <c r="AD981" i="6"/>
  <c r="AC981" i="6"/>
  <c r="AB981" i="6"/>
  <c r="AA981" i="6"/>
  <c r="Z981" i="6"/>
  <c r="Y981" i="6"/>
  <c r="X981" i="6"/>
  <c r="W981" i="6"/>
  <c r="V981" i="6"/>
  <c r="U981" i="6"/>
  <c r="T981" i="6"/>
  <c r="S981" i="6"/>
  <c r="R981" i="6"/>
  <c r="Q981" i="6"/>
  <c r="P981" i="6"/>
  <c r="O981" i="6"/>
  <c r="N981" i="6"/>
  <c r="M981" i="6"/>
  <c r="L981" i="6"/>
  <c r="K981" i="6"/>
  <c r="J981" i="6"/>
  <c r="I981" i="6"/>
  <c r="H981" i="6"/>
  <c r="G981" i="6"/>
  <c r="F981" i="6"/>
  <c r="E981" i="6"/>
  <c r="D981" i="6"/>
  <c r="C981" i="6"/>
  <c r="B981" i="6"/>
  <c r="A981" i="6"/>
  <c r="AH980" i="6"/>
  <c r="AG980" i="6"/>
  <c r="AF980" i="6"/>
  <c r="AE980" i="6"/>
  <c r="AD980" i="6"/>
  <c r="AC980" i="6"/>
  <c r="AB980" i="6"/>
  <c r="AA980" i="6"/>
  <c r="Z980" i="6"/>
  <c r="Y980" i="6"/>
  <c r="X980" i="6"/>
  <c r="W980" i="6"/>
  <c r="V980" i="6"/>
  <c r="U980" i="6"/>
  <c r="T980" i="6"/>
  <c r="S980" i="6"/>
  <c r="R980" i="6"/>
  <c r="Q980" i="6"/>
  <c r="P980" i="6"/>
  <c r="O980" i="6"/>
  <c r="N980" i="6"/>
  <c r="M980" i="6"/>
  <c r="L980" i="6"/>
  <c r="K980" i="6"/>
  <c r="J980" i="6"/>
  <c r="I980" i="6"/>
  <c r="H980" i="6"/>
  <c r="G980" i="6"/>
  <c r="F980" i="6"/>
  <c r="E980" i="6"/>
  <c r="D980" i="6"/>
  <c r="C980" i="6"/>
  <c r="B980" i="6"/>
  <c r="A980" i="6"/>
  <c r="AH979" i="6"/>
  <c r="AG979" i="6"/>
  <c r="AF979" i="6"/>
  <c r="AE979" i="6"/>
  <c r="AD979" i="6"/>
  <c r="AC979" i="6"/>
  <c r="AB979" i="6"/>
  <c r="AA979" i="6"/>
  <c r="Z979" i="6"/>
  <c r="Y979" i="6"/>
  <c r="X979" i="6"/>
  <c r="W979" i="6"/>
  <c r="V979" i="6"/>
  <c r="U979" i="6"/>
  <c r="T979" i="6"/>
  <c r="S979" i="6"/>
  <c r="R979" i="6"/>
  <c r="Q979" i="6"/>
  <c r="P979" i="6"/>
  <c r="O979" i="6"/>
  <c r="N979" i="6"/>
  <c r="M979" i="6"/>
  <c r="L979" i="6"/>
  <c r="K979" i="6"/>
  <c r="J979" i="6"/>
  <c r="I979" i="6"/>
  <c r="H979" i="6"/>
  <c r="G979" i="6"/>
  <c r="F979" i="6"/>
  <c r="E979" i="6"/>
  <c r="D979" i="6"/>
  <c r="C979" i="6"/>
  <c r="B979" i="6"/>
  <c r="A979" i="6"/>
  <c r="AH978" i="6"/>
  <c r="AG978" i="6"/>
  <c r="AF978" i="6"/>
  <c r="AE978" i="6"/>
  <c r="AD978" i="6"/>
  <c r="AC978" i="6"/>
  <c r="AB978" i="6"/>
  <c r="AA978" i="6"/>
  <c r="Z978" i="6"/>
  <c r="Y978" i="6"/>
  <c r="X978" i="6"/>
  <c r="W978" i="6"/>
  <c r="V978" i="6"/>
  <c r="U978" i="6"/>
  <c r="T978" i="6"/>
  <c r="S978" i="6"/>
  <c r="R978" i="6"/>
  <c r="Q978" i="6"/>
  <c r="P978" i="6"/>
  <c r="O978" i="6"/>
  <c r="N978" i="6"/>
  <c r="M978" i="6"/>
  <c r="L978" i="6"/>
  <c r="K978" i="6"/>
  <c r="J978" i="6"/>
  <c r="I978" i="6"/>
  <c r="H978" i="6"/>
  <c r="G978" i="6"/>
  <c r="F978" i="6"/>
  <c r="E978" i="6"/>
  <c r="D978" i="6"/>
  <c r="C978" i="6"/>
  <c r="B978" i="6"/>
  <c r="A978" i="6"/>
  <c r="AH977" i="6"/>
  <c r="AG977" i="6"/>
  <c r="AF977" i="6"/>
  <c r="AE977" i="6"/>
  <c r="AD977" i="6"/>
  <c r="AC977" i="6"/>
  <c r="AB977" i="6"/>
  <c r="AA977" i="6"/>
  <c r="Z977" i="6"/>
  <c r="Y977" i="6"/>
  <c r="X977" i="6"/>
  <c r="W977" i="6"/>
  <c r="V977" i="6"/>
  <c r="U977" i="6"/>
  <c r="T977" i="6"/>
  <c r="S977" i="6"/>
  <c r="R977" i="6"/>
  <c r="Q977" i="6"/>
  <c r="P977" i="6"/>
  <c r="O977" i="6"/>
  <c r="N977" i="6"/>
  <c r="M977" i="6"/>
  <c r="L977" i="6"/>
  <c r="K977" i="6"/>
  <c r="J977" i="6"/>
  <c r="I977" i="6"/>
  <c r="H977" i="6"/>
  <c r="G977" i="6"/>
  <c r="F977" i="6"/>
  <c r="E977" i="6"/>
  <c r="D977" i="6"/>
  <c r="C977" i="6"/>
  <c r="B977" i="6"/>
  <c r="A977" i="6"/>
  <c r="AH976" i="6"/>
  <c r="AG976" i="6"/>
  <c r="AF976" i="6"/>
  <c r="AE976" i="6"/>
  <c r="AD976" i="6"/>
  <c r="AC976" i="6"/>
  <c r="AB976" i="6"/>
  <c r="AA976" i="6"/>
  <c r="Z976" i="6"/>
  <c r="Y976" i="6"/>
  <c r="X976" i="6"/>
  <c r="W976" i="6"/>
  <c r="V976" i="6"/>
  <c r="U976" i="6"/>
  <c r="T976" i="6"/>
  <c r="S976" i="6"/>
  <c r="R976" i="6"/>
  <c r="Q976" i="6"/>
  <c r="P976" i="6"/>
  <c r="O976" i="6"/>
  <c r="N976" i="6"/>
  <c r="M976" i="6"/>
  <c r="L976" i="6"/>
  <c r="K976" i="6"/>
  <c r="J976" i="6"/>
  <c r="I976" i="6"/>
  <c r="H976" i="6"/>
  <c r="G976" i="6"/>
  <c r="F976" i="6"/>
  <c r="E976" i="6"/>
  <c r="D976" i="6"/>
  <c r="C976" i="6"/>
  <c r="B976" i="6"/>
  <c r="A976" i="6"/>
  <c r="AH975" i="6"/>
  <c r="AG975" i="6"/>
  <c r="AF975" i="6"/>
  <c r="AE975" i="6"/>
  <c r="AD975" i="6"/>
  <c r="AC975" i="6"/>
  <c r="AB975" i="6"/>
  <c r="AA975" i="6"/>
  <c r="Z975" i="6"/>
  <c r="Y975" i="6"/>
  <c r="X975" i="6"/>
  <c r="W975" i="6"/>
  <c r="V975" i="6"/>
  <c r="U975" i="6"/>
  <c r="T975" i="6"/>
  <c r="S975" i="6"/>
  <c r="R975" i="6"/>
  <c r="Q975" i="6"/>
  <c r="P975" i="6"/>
  <c r="O975" i="6"/>
  <c r="N975" i="6"/>
  <c r="M975" i="6"/>
  <c r="L975" i="6"/>
  <c r="K975" i="6"/>
  <c r="J975" i="6"/>
  <c r="I975" i="6"/>
  <c r="H975" i="6"/>
  <c r="G975" i="6"/>
  <c r="F975" i="6"/>
  <c r="E975" i="6"/>
  <c r="D975" i="6"/>
  <c r="C975" i="6"/>
  <c r="B975" i="6"/>
  <c r="A975" i="6"/>
  <c r="AH974" i="6"/>
  <c r="AG974" i="6"/>
  <c r="AF974" i="6"/>
  <c r="AE974" i="6"/>
  <c r="AD974" i="6"/>
  <c r="AC974" i="6"/>
  <c r="AB974" i="6"/>
  <c r="AA974" i="6"/>
  <c r="Z974" i="6"/>
  <c r="Y974" i="6"/>
  <c r="X974" i="6"/>
  <c r="W974" i="6"/>
  <c r="V974" i="6"/>
  <c r="U974" i="6"/>
  <c r="T974" i="6"/>
  <c r="S974" i="6"/>
  <c r="R974" i="6"/>
  <c r="Q974" i="6"/>
  <c r="P974" i="6"/>
  <c r="O974" i="6"/>
  <c r="N974" i="6"/>
  <c r="M974" i="6"/>
  <c r="L974" i="6"/>
  <c r="K974" i="6"/>
  <c r="J974" i="6"/>
  <c r="I974" i="6"/>
  <c r="H974" i="6"/>
  <c r="G974" i="6"/>
  <c r="F974" i="6"/>
  <c r="E974" i="6"/>
  <c r="D974" i="6"/>
  <c r="C974" i="6"/>
  <c r="B974" i="6"/>
  <c r="A974" i="6"/>
  <c r="AH973" i="6"/>
  <c r="AG973" i="6"/>
  <c r="AF973" i="6"/>
  <c r="AE973" i="6"/>
  <c r="AD973" i="6"/>
  <c r="AC973" i="6"/>
  <c r="AB973" i="6"/>
  <c r="AA973" i="6"/>
  <c r="Z973" i="6"/>
  <c r="Y973" i="6"/>
  <c r="X973" i="6"/>
  <c r="W973" i="6"/>
  <c r="V973" i="6"/>
  <c r="U973" i="6"/>
  <c r="T973" i="6"/>
  <c r="S973" i="6"/>
  <c r="R973" i="6"/>
  <c r="Q973" i="6"/>
  <c r="P973" i="6"/>
  <c r="O973" i="6"/>
  <c r="N973" i="6"/>
  <c r="M973" i="6"/>
  <c r="L973" i="6"/>
  <c r="K973" i="6"/>
  <c r="J973" i="6"/>
  <c r="I973" i="6"/>
  <c r="H973" i="6"/>
  <c r="G973" i="6"/>
  <c r="F973" i="6"/>
  <c r="E973" i="6"/>
  <c r="D973" i="6"/>
  <c r="C973" i="6"/>
  <c r="B973" i="6"/>
  <c r="A973" i="6"/>
  <c r="AH972" i="6"/>
  <c r="AG972" i="6"/>
  <c r="AF972" i="6"/>
  <c r="AE972" i="6"/>
  <c r="AD972" i="6"/>
  <c r="AC972" i="6"/>
  <c r="AB972" i="6"/>
  <c r="AA972" i="6"/>
  <c r="Z972" i="6"/>
  <c r="Y972" i="6"/>
  <c r="X972" i="6"/>
  <c r="W972" i="6"/>
  <c r="V972" i="6"/>
  <c r="U972" i="6"/>
  <c r="T972" i="6"/>
  <c r="S972" i="6"/>
  <c r="R972" i="6"/>
  <c r="Q972" i="6"/>
  <c r="P972" i="6"/>
  <c r="O972" i="6"/>
  <c r="N972" i="6"/>
  <c r="M972" i="6"/>
  <c r="L972" i="6"/>
  <c r="K972" i="6"/>
  <c r="J972" i="6"/>
  <c r="I972" i="6"/>
  <c r="H972" i="6"/>
  <c r="G972" i="6"/>
  <c r="F972" i="6"/>
  <c r="E972" i="6"/>
  <c r="D972" i="6"/>
  <c r="C972" i="6"/>
  <c r="B972" i="6"/>
  <c r="A972" i="6"/>
  <c r="AH971" i="6"/>
  <c r="AG971" i="6"/>
  <c r="AF971" i="6"/>
  <c r="AE971" i="6"/>
  <c r="AD971" i="6"/>
  <c r="AC971" i="6"/>
  <c r="AB971" i="6"/>
  <c r="AA971" i="6"/>
  <c r="Z971" i="6"/>
  <c r="Y971" i="6"/>
  <c r="X971" i="6"/>
  <c r="W971" i="6"/>
  <c r="V971" i="6"/>
  <c r="U971" i="6"/>
  <c r="T971" i="6"/>
  <c r="S971" i="6"/>
  <c r="R971" i="6"/>
  <c r="Q971" i="6"/>
  <c r="P971" i="6"/>
  <c r="O971" i="6"/>
  <c r="N971" i="6"/>
  <c r="M971" i="6"/>
  <c r="L971" i="6"/>
  <c r="K971" i="6"/>
  <c r="J971" i="6"/>
  <c r="I971" i="6"/>
  <c r="H971" i="6"/>
  <c r="G971" i="6"/>
  <c r="F971" i="6"/>
  <c r="E971" i="6"/>
  <c r="D971" i="6"/>
  <c r="C971" i="6"/>
  <c r="B971" i="6"/>
  <c r="A971" i="6"/>
  <c r="AH970" i="6"/>
  <c r="AG970" i="6"/>
  <c r="AF970" i="6"/>
  <c r="AE970" i="6"/>
  <c r="AD970" i="6"/>
  <c r="AC970" i="6"/>
  <c r="AB970" i="6"/>
  <c r="AA970" i="6"/>
  <c r="Z970" i="6"/>
  <c r="Y970" i="6"/>
  <c r="X970" i="6"/>
  <c r="W970" i="6"/>
  <c r="V970" i="6"/>
  <c r="U970" i="6"/>
  <c r="T970" i="6"/>
  <c r="S970" i="6"/>
  <c r="R970" i="6"/>
  <c r="Q970" i="6"/>
  <c r="P970" i="6"/>
  <c r="O970" i="6"/>
  <c r="N970" i="6"/>
  <c r="M970" i="6"/>
  <c r="L970" i="6"/>
  <c r="K970" i="6"/>
  <c r="J970" i="6"/>
  <c r="I970" i="6"/>
  <c r="H970" i="6"/>
  <c r="G970" i="6"/>
  <c r="F970" i="6"/>
  <c r="E970" i="6"/>
  <c r="D970" i="6"/>
  <c r="C970" i="6"/>
  <c r="B970" i="6"/>
  <c r="A970" i="6"/>
  <c r="AH969" i="6"/>
  <c r="AG969" i="6"/>
  <c r="AF969" i="6"/>
  <c r="AE969" i="6"/>
  <c r="AD969" i="6"/>
  <c r="AC969" i="6"/>
  <c r="AB969" i="6"/>
  <c r="AA969" i="6"/>
  <c r="Z969" i="6"/>
  <c r="Y969" i="6"/>
  <c r="X969" i="6"/>
  <c r="W969" i="6"/>
  <c r="V969" i="6"/>
  <c r="U969" i="6"/>
  <c r="T969" i="6"/>
  <c r="S969" i="6"/>
  <c r="R969" i="6"/>
  <c r="Q969" i="6"/>
  <c r="P969" i="6"/>
  <c r="O969" i="6"/>
  <c r="N969" i="6"/>
  <c r="M969" i="6"/>
  <c r="L969" i="6"/>
  <c r="K969" i="6"/>
  <c r="J969" i="6"/>
  <c r="I969" i="6"/>
  <c r="H969" i="6"/>
  <c r="G969" i="6"/>
  <c r="F969" i="6"/>
  <c r="E969" i="6"/>
  <c r="D969" i="6"/>
  <c r="C969" i="6"/>
  <c r="B969" i="6"/>
  <c r="A969" i="6"/>
  <c r="AH968" i="6"/>
  <c r="AG968" i="6"/>
  <c r="AF968" i="6"/>
  <c r="AE968" i="6"/>
  <c r="AD968" i="6"/>
  <c r="AC968" i="6"/>
  <c r="AB968" i="6"/>
  <c r="AA968" i="6"/>
  <c r="Z968" i="6"/>
  <c r="Y968" i="6"/>
  <c r="X968" i="6"/>
  <c r="W968" i="6"/>
  <c r="V968" i="6"/>
  <c r="U968" i="6"/>
  <c r="T968" i="6"/>
  <c r="S968" i="6"/>
  <c r="R968" i="6"/>
  <c r="Q968" i="6"/>
  <c r="P968" i="6"/>
  <c r="O968" i="6"/>
  <c r="N968" i="6"/>
  <c r="M968" i="6"/>
  <c r="L968" i="6"/>
  <c r="K968" i="6"/>
  <c r="J968" i="6"/>
  <c r="I968" i="6"/>
  <c r="H968" i="6"/>
  <c r="G968" i="6"/>
  <c r="F968" i="6"/>
  <c r="E968" i="6"/>
  <c r="D968" i="6"/>
  <c r="C968" i="6"/>
  <c r="B968" i="6"/>
  <c r="A968" i="6"/>
  <c r="AH967" i="6"/>
  <c r="AG967" i="6"/>
  <c r="AF967" i="6"/>
  <c r="AE967" i="6"/>
  <c r="AD967" i="6"/>
  <c r="AC967" i="6"/>
  <c r="AB967" i="6"/>
  <c r="AA967" i="6"/>
  <c r="Z967" i="6"/>
  <c r="Y967" i="6"/>
  <c r="X967" i="6"/>
  <c r="W967" i="6"/>
  <c r="V967" i="6"/>
  <c r="U967" i="6"/>
  <c r="T967" i="6"/>
  <c r="S967" i="6"/>
  <c r="R967" i="6"/>
  <c r="Q967" i="6"/>
  <c r="P967" i="6"/>
  <c r="O967" i="6"/>
  <c r="N967" i="6"/>
  <c r="M967" i="6"/>
  <c r="L967" i="6"/>
  <c r="K967" i="6"/>
  <c r="J967" i="6"/>
  <c r="I967" i="6"/>
  <c r="H967" i="6"/>
  <c r="G967" i="6"/>
  <c r="F967" i="6"/>
  <c r="E967" i="6"/>
  <c r="D967" i="6"/>
  <c r="C967" i="6"/>
  <c r="B967" i="6"/>
  <c r="A967" i="6"/>
  <c r="AH966" i="6"/>
  <c r="AG966" i="6"/>
  <c r="AF966" i="6"/>
  <c r="AE966" i="6"/>
  <c r="AD966" i="6"/>
  <c r="AC966" i="6"/>
  <c r="AB966" i="6"/>
  <c r="AA966" i="6"/>
  <c r="Z966" i="6"/>
  <c r="Y966" i="6"/>
  <c r="X966" i="6"/>
  <c r="W966" i="6"/>
  <c r="V966" i="6"/>
  <c r="U966" i="6"/>
  <c r="T966" i="6"/>
  <c r="S966" i="6"/>
  <c r="R966" i="6"/>
  <c r="Q966" i="6"/>
  <c r="P966" i="6"/>
  <c r="O966" i="6"/>
  <c r="N966" i="6"/>
  <c r="M966" i="6"/>
  <c r="L966" i="6"/>
  <c r="K966" i="6"/>
  <c r="J966" i="6"/>
  <c r="I966" i="6"/>
  <c r="H966" i="6"/>
  <c r="G966" i="6"/>
  <c r="F966" i="6"/>
  <c r="E966" i="6"/>
  <c r="D966" i="6"/>
  <c r="C966" i="6"/>
  <c r="B966" i="6"/>
  <c r="A966" i="6"/>
  <c r="AH965" i="6"/>
  <c r="AG965" i="6"/>
  <c r="AF965" i="6"/>
  <c r="AE965" i="6"/>
  <c r="AD965" i="6"/>
  <c r="AC965" i="6"/>
  <c r="AB965" i="6"/>
  <c r="AA965" i="6"/>
  <c r="Z965" i="6"/>
  <c r="Y965" i="6"/>
  <c r="X965" i="6"/>
  <c r="W965" i="6"/>
  <c r="V965" i="6"/>
  <c r="U965" i="6"/>
  <c r="T965" i="6"/>
  <c r="S965" i="6"/>
  <c r="R965" i="6"/>
  <c r="Q965" i="6"/>
  <c r="P965" i="6"/>
  <c r="O965" i="6"/>
  <c r="N965" i="6"/>
  <c r="M965" i="6"/>
  <c r="L965" i="6"/>
  <c r="K965" i="6"/>
  <c r="J965" i="6"/>
  <c r="I965" i="6"/>
  <c r="H965" i="6"/>
  <c r="G965" i="6"/>
  <c r="F965" i="6"/>
  <c r="E965" i="6"/>
  <c r="D965" i="6"/>
  <c r="C965" i="6"/>
  <c r="B965" i="6"/>
  <c r="A965" i="6"/>
  <c r="AH964" i="6"/>
  <c r="AG964" i="6"/>
  <c r="AF964" i="6"/>
  <c r="AE964" i="6"/>
  <c r="AD964" i="6"/>
  <c r="AC964" i="6"/>
  <c r="AB964" i="6"/>
  <c r="AA964" i="6"/>
  <c r="Z964" i="6"/>
  <c r="Y964" i="6"/>
  <c r="X964" i="6"/>
  <c r="W964" i="6"/>
  <c r="V964" i="6"/>
  <c r="U964" i="6"/>
  <c r="T964" i="6"/>
  <c r="S964" i="6"/>
  <c r="R964" i="6"/>
  <c r="Q964" i="6"/>
  <c r="P964" i="6"/>
  <c r="O964" i="6"/>
  <c r="N964" i="6"/>
  <c r="M964" i="6"/>
  <c r="L964" i="6"/>
  <c r="K964" i="6"/>
  <c r="J964" i="6"/>
  <c r="I964" i="6"/>
  <c r="H964" i="6"/>
  <c r="G964" i="6"/>
  <c r="F964" i="6"/>
  <c r="E964" i="6"/>
  <c r="D964" i="6"/>
  <c r="C964" i="6"/>
  <c r="B964" i="6"/>
  <c r="A964" i="6"/>
  <c r="AH963" i="6"/>
  <c r="AG963" i="6"/>
  <c r="AF963" i="6"/>
  <c r="AE963" i="6"/>
  <c r="AD963" i="6"/>
  <c r="AC963" i="6"/>
  <c r="AB963" i="6"/>
  <c r="AA963" i="6"/>
  <c r="Z963" i="6"/>
  <c r="Y963" i="6"/>
  <c r="X963" i="6"/>
  <c r="W963" i="6"/>
  <c r="V963" i="6"/>
  <c r="U963" i="6"/>
  <c r="T963" i="6"/>
  <c r="S963" i="6"/>
  <c r="R963" i="6"/>
  <c r="Q963" i="6"/>
  <c r="P963" i="6"/>
  <c r="O963" i="6"/>
  <c r="N963" i="6"/>
  <c r="M963" i="6"/>
  <c r="L963" i="6"/>
  <c r="K963" i="6"/>
  <c r="J963" i="6"/>
  <c r="I963" i="6"/>
  <c r="H963" i="6"/>
  <c r="G963" i="6"/>
  <c r="F963" i="6"/>
  <c r="E963" i="6"/>
  <c r="D963" i="6"/>
  <c r="C963" i="6"/>
  <c r="B963" i="6"/>
  <c r="A963" i="6"/>
  <c r="AH962" i="6"/>
  <c r="AG962" i="6"/>
  <c r="AF962" i="6"/>
  <c r="AE962" i="6"/>
  <c r="AD962" i="6"/>
  <c r="AC962" i="6"/>
  <c r="AB962" i="6"/>
  <c r="AA962" i="6"/>
  <c r="Z962" i="6"/>
  <c r="Y962" i="6"/>
  <c r="X962" i="6"/>
  <c r="W962" i="6"/>
  <c r="V962" i="6"/>
  <c r="U962" i="6"/>
  <c r="T962" i="6"/>
  <c r="S962" i="6"/>
  <c r="R962" i="6"/>
  <c r="Q962" i="6"/>
  <c r="P962" i="6"/>
  <c r="O962" i="6"/>
  <c r="N962" i="6"/>
  <c r="M962" i="6"/>
  <c r="L962" i="6"/>
  <c r="K962" i="6"/>
  <c r="J962" i="6"/>
  <c r="I962" i="6"/>
  <c r="H962" i="6"/>
  <c r="G962" i="6"/>
  <c r="F962" i="6"/>
  <c r="E962" i="6"/>
  <c r="D962" i="6"/>
  <c r="C962" i="6"/>
  <c r="B962" i="6"/>
  <c r="A962" i="6"/>
  <c r="AH961" i="6"/>
  <c r="AG961" i="6"/>
  <c r="AF961" i="6"/>
  <c r="AE961" i="6"/>
  <c r="AD961" i="6"/>
  <c r="AC961" i="6"/>
  <c r="AB961" i="6"/>
  <c r="AA961" i="6"/>
  <c r="Z961" i="6"/>
  <c r="Y961" i="6"/>
  <c r="X961" i="6"/>
  <c r="W961" i="6"/>
  <c r="V961" i="6"/>
  <c r="U961" i="6"/>
  <c r="T961" i="6"/>
  <c r="S961" i="6"/>
  <c r="R961" i="6"/>
  <c r="Q961" i="6"/>
  <c r="P961" i="6"/>
  <c r="O961" i="6"/>
  <c r="N961" i="6"/>
  <c r="M961" i="6"/>
  <c r="L961" i="6"/>
  <c r="K961" i="6"/>
  <c r="J961" i="6"/>
  <c r="I961" i="6"/>
  <c r="H961" i="6"/>
  <c r="G961" i="6"/>
  <c r="F961" i="6"/>
  <c r="E961" i="6"/>
  <c r="D961" i="6"/>
  <c r="C961" i="6"/>
  <c r="B961" i="6"/>
  <c r="A961" i="6"/>
  <c r="AH960" i="6"/>
  <c r="AG960" i="6"/>
  <c r="AF960" i="6"/>
  <c r="AE960" i="6"/>
  <c r="AD960" i="6"/>
  <c r="AC960" i="6"/>
  <c r="AB960" i="6"/>
  <c r="AA960" i="6"/>
  <c r="Z960" i="6"/>
  <c r="Y960" i="6"/>
  <c r="X960" i="6"/>
  <c r="W960" i="6"/>
  <c r="V960" i="6"/>
  <c r="U960" i="6"/>
  <c r="T960" i="6"/>
  <c r="S960" i="6"/>
  <c r="R960" i="6"/>
  <c r="Q960" i="6"/>
  <c r="P960" i="6"/>
  <c r="O960" i="6"/>
  <c r="N960" i="6"/>
  <c r="M960" i="6"/>
  <c r="L960" i="6"/>
  <c r="K960" i="6"/>
  <c r="J960" i="6"/>
  <c r="I960" i="6"/>
  <c r="H960" i="6"/>
  <c r="G960" i="6"/>
  <c r="F960" i="6"/>
  <c r="E960" i="6"/>
  <c r="D960" i="6"/>
  <c r="C960" i="6"/>
  <c r="B960" i="6"/>
  <c r="A960" i="6"/>
  <c r="AH959" i="6"/>
  <c r="AG959" i="6"/>
  <c r="AF959" i="6"/>
  <c r="AE959" i="6"/>
  <c r="AD959" i="6"/>
  <c r="AC959" i="6"/>
  <c r="AB959" i="6"/>
  <c r="AA959" i="6"/>
  <c r="Z959" i="6"/>
  <c r="Y959" i="6"/>
  <c r="X959" i="6"/>
  <c r="W959" i="6"/>
  <c r="V959" i="6"/>
  <c r="U959" i="6"/>
  <c r="T959" i="6"/>
  <c r="S959" i="6"/>
  <c r="R959" i="6"/>
  <c r="Q959" i="6"/>
  <c r="P959" i="6"/>
  <c r="O959" i="6"/>
  <c r="N959" i="6"/>
  <c r="M959" i="6"/>
  <c r="L959" i="6"/>
  <c r="K959" i="6"/>
  <c r="J959" i="6"/>
  <c r="I959" i="6"/>
  <c r="H959" i="6"/>
  <c r="G959" i="6"/>
  <c r="F959" i="6"/>
  <c r="E959" i="6"/>
  <c r="D959" i="6"/>
  <c r="C959" i="6"/>
  <c r="B959" i="6"/>
  <c r="A959" i="6"/>
  <c r="AH958" i="6"/>
  <c r="AG958" i="6"/>
  <c r="AF958" i="6"/>
  <c r="AE958" i="6"/>
  <c r="AD958" i="6"/>
  <c r="AC958" i="6"/>
  <c r="AB958" i="6"/>
  <c r="AA958" i="6"/>
  <c r="Z958" i="6"/>
  <c r="Y958" i="6"/>
  <c r="X958" i="6"/>
  <c r="W958" i="6"/>
  <c r="V958" i="6"/>
  <c r="U958" i="6"/>
  <c r="T958" i="6"/>
  <c r="S958" i="6"/>
  <c r="R958" i="6"/>
  <c r="Q958" i="6"/>
  <c r="P958" i="6"/>
  <c r="O958" i="6"/>
  <c r="N958" i="6"/>
  <c r="M958" i="6"/>
  <c r="L958" i="6"/>
  <c r="K958" i="6"/>
  <c r="J958" i="6"/>
  <c r="I958" i="6"/>
  <c r="H958" i="6"/>
  <c r="G958" i="6"/>
  <c r="F958" i="6"/>
  <c r="E958" i="6"/>
  <c r="D958" i="6"/>
  <c r="C958" i="6"/>
  <c r="B958" i="6"/>
  <c r="A958" i="6"/>
  <c r="AH957" i="6"/>
  <c r="AG957" i="6"/>
  <c r="AF957" i="6"/>
  <c r="AE957" i="6"/>
  <c r="AD957" i="6"/>
  <c r="AC957" i="6"/>
  <c r="AB957" i="6"/>
  <c r="AA957" i="6"/>
  <c r="Z957" i="6"/>
  <c r="Y957" i="6"/>
  <c r="X957" i="6"/>
  <c r="W957" i="6"/>
  <c r="V957" i="6"/>
  <c r="U957" i="6"/>
  <c r="T957" i="6"/>
  <c r="S957" i="6"/>
  <c r="R957" i="6"/>
  <c r="Q957" i="6"/>
  <c r="P957" i="6"/>
  <c r="O957" i="6"/>
  <c r="N957" i="6"/>
  <c r="M957" i="6"/>
  <c r="L957" i="6"/>
  <c r="K957" i="6"/>
  <c r="J957" i="6"/>
  <c r="I957" i="6"/>
  <c r="H957" i="6"/>
  <c r="G957" i="6"/>
  <c r="F957" i="6"/>
  <c r="E957" i="6"/>
  <c r="D957" i="6"/>
  <c r="C957" i="6"/>
  <c r="B957" i="6"/>
  <c r="A957" i="6"/>
  <c r="AH956" i="6"/>
  <c r="AG956" i="6"/>
  <c r="AF956" i="6"/>
  <c r="AE956" i="6"/>
  <c r="AD956" i="6"/>
  <c r="AC956" i="6"/>
  <c r="AB956" i="6"/>
  <c r="AA956" i="6"/>
  <c r="Z956" i="6"/>
  <c r="Y956" i="6"/>
  <c r="X956" i="6"/>
  <c r="W956" i="6"/>
  <c r="V956" i="6"/>
  <c r="U956" i="6"/>
  <c r="T956" i="6"/>
  <c r="S956" i="6"/>
  <c r="R956" i="6"/>
  <c r="Q956" i="6"/>
  <c r="P956" i="6"/>
  <c r="O956" i="6"/>
  <c r="N956" i="6"/>
  <c r="M956" i="6"/>
  <c r="L956" i="6"/>
  <c r="K956" i="6"/>
  <c r="J956" i="6"/>
  <c r="I956" i="6"/>
  <c r="H956" i="6"/>
  <c r="G956" i="6"/>
  <c r="F956" i="6"/>
  <c r="E956" i="6"/>
  <c r="D956" i="6"/>
  <c r="C956" i="6"/>
  <c r="B956" i="6"/>
  <c r="A956" i="6"/>
  <c r="AH955" i="6"/>
  <c r="AG955" i="6"/>
  <c r="AF955" i="6"/>
  <c r="AE955" i="6"/>
  <c r="AD955" i="6"/>
  <c r="AC955" i="6"/>
  <c r="AB955" i="6"/>
  <c r="AA955" i="6"/>
  <c r="Z955" i="6"/>
  <c r="Y955" i="6"/>
  <c r="X955" i="6"/>
  <c r="W955" i="6"/>
  <c r="V955" i="6"/>
  <c r="U955" i="6"/>
  <c r="T955" i="6"/>
  <c r="S955" i="6"/>
  <c r="R955" i="6"/>
  <c r="Q955" i="6"/>
  <c r="P955" i="6"/>
  <c r="O955" i="6"/>
  <c r="N955" i="6"/>
  <c r="M955" i="6"/>
  <c r="L955" i="6"/>
  <c r="K955" i="6"/>
  <c r="J955" i="6"/>
  <c r="I955" i="6"/>
  <c r="H955" i="6"/>
  <c r="G955" i="6"/>
  <c r="F955" i="6"/>
  <c r="E955" i="6"/>
  <c r="D955" i="6"/>
  <c r="C955" i="6"/>
  <c r="B955" i="6"/>
  <c r="A955" i="6"/>
  <c r="AH954" i="6"/>
  <c r="AG954" i="6"/>
  <c r="AF954" i="6"/>
  <c r="AE954" i="6"/>
  <c r="AD954" i="6"/>
  <c r="AC954" i="6"/>
  <c r="AB954" i="6"/>
  <c r="AA954" i="6"/>
  <c r="Z954" i="6"/>
  <c r="Y954" i="6"/>
  <c r="X954" i="6"/>
  <c r="W954" i="6"/>
  <c r="V954" i="6"/>
  <c r="U954" i="6"/>
  <c r="T954" i="6"/>
  <c r="S954" i="6"/>
  <c r="R954" i="6"/>
  <c r="Q954" i="6"/>
  <c r="P954" i="6"/>
  <c r="O954" i="6"/>
  <c r="N954" i="6"/>
  <c r="M954" i="6"/>
  <c r="L954" i="6"/>
  <c r="K954" i="6"/>
  <c r="J954" i="6"/>
  <c r="I954" i="6"/>
  <c r="H954" i="6"/>
  <c r="G954" i="6"/>
  <c r="F954" i="6"/>
  <c r="E954" i="6"/>
  <c r="D954" i="6"/>
  <c r="C954" i="6"/>
  <c r="B954" i="6"/>
  <c r="A954" i="6"/>
  <c r="AH953" i="6"/>
  <c r="AG953" i="6"/>
  <c r="AF953" i="6"/>
  <c r="AE953" i="6"/>
  <c r="AD953" i="6"/>
  <c r="AC953" i="6"/>
  <c r="AB953" i="6"/>
  <c r="AA953" i="6"/>
  <c r="Z953" i="6"/>
  <c r="Y953" i="6"/>
  <c r="X953" i="6"/>
  <c r="W953" i="6"/>
  <c r="V953" i="6"/>
  <c r="U953" i="6"/>
  <c r="T953" i="6"/>
  <c r="S953" i="6"/>
  <c r="R953" i="6"/>
  <c r="Q953" i="6"/>
  <c r="P953" i="6"/>
  <c r="O953" i="6"/>
  <c r="N953" i="6"/>
  <c r="M953" i="6"/>
  <c r="L953" i="6"/>
  <c r="K953" i="6"/>
  <c r="J953" i="6"/>
  <c r="I953" i="6"/>
  <c r="H953" i="6"/>
  <c r="G953" i="6"/>
  <c r="F953" i="6"/>
  <c r="E953" i="6"/>
  <c r="D953" i="6"/>
  <c r="C953" i="6"/>
  <c r="B953" i="6"/>
  <c r="A953" i="6"/>
  <c r="AH952" i="6"/>
  <c r="AG952" i="6"/>
  <c r="AF952" i="6"/>
  <c r="AE952" i="6"/>
  <c r="AD952" i="6"/>
  <c r="AC952" i="6"/>
  <c r="AB952" i="6"/>
  <c r="AA952" i="6"/>
  <c r="Z952" i="6"/>
  <c r="Y952" i="6"/>
  <c r="X952" i="6"/>
  <c r="W952" i="6"/>
  <c r="V952" i="6"/>
  <c r="U952" i="6"/>
  <c r="T952" i="6"/>
  <c r="S952" i="6"/>
  <c r="R952" i="6"/>
  <c r="Q952" i="6"/>
  <c r="P952" i="6"/>
  <c r="O952" i="6"/>
  <c r="N952" i="6"/>
  <c r="M952" i="6"/>
  <c r="L952" i="6"/>
  <c r="K952" i="6"/>
  <c r="J952" i="6"/>
  <c r="I952" i="6"/>
  <c r="H952" i="6"/>
  <c r="G952" i="6"/>
  <c r="F952" i="6"/>
  <c r="E952" i="6"/>
  <c r="D952" i="6"/>
  <c r="C952" i="6"/>
  <c r="B952" i="6"/>
  <c r="A952" i="6"/>
  <c r="AH951" i="6"/>
  <c r="AG951" i="6"/>
  <c r="AF951" i="6"/>
  <c r="AE951" i="6"/>
  <c r="AD951" i="6"/>
  <c r="AC951" i="6"/>
  <c r="AB951" i="6"/>
  <c r="AA951" i="6"/>
  <c r="Z951" i="6"/>
  <c r="Y951" i="6"/>
  <c r="X951" i="6"/>
  <c r="W951" i="6"/>
  <c r="V951" i="6"/>
  <c r="U951" i="6"/>
  <c r="T951" i="6"/>
  <c r="S951" i="6"/>
  <c r="R951" i="6"/>
  <c r="Q951" i="6"/>
  <c r="P951" i="6"/>
  <c r="O951" i="6"/>
  <c r="N951" i="6"/>
  <c r="M951" i="6"/>
  <c r="L951" i="6"/>
  <c r="K951" i="6"/>
  <c r="J951" i="6"/>
  <c r="I951" i="6"/>
  <c r="H951" i="6"/>
  <c r="G951" i="6"/>
  <c r="F951" i="6"/>
  <c r="E951" i="6"/>
  <c r="D951" i="6"/>
  <c r="C951" i="6"/>
  <c r="B951" i="6"/>
  <c r="A951" i="6"/>
  <c r="AH950" i="6"/>
  <c r="AG950" i="6"/>
  <c r="AF950" i="6"/>
  <c r="AE950" i="6"/>
  <c r="AD950" i="6"/>
  <c r="AC950" i="6"/>
  <c r="AB950" i="6"/>
  <c r="AA950" i="6"/>
  <c r="Z950" i="6"/>
  <c r="Y950" i="6"/>
  <c r="X950" i="6"/>
  <c r="W950" i="6"/>
  <c r="V950" i="6"/>
  <c r="U950" i="6"/>
  <c r="T950" i="6"/>
  <c r="S950" i="6"/>
  <c r="R950" i="6"/>
  <c r="Q950" i="6"/>
  <c r="P950" i="6"/>
  <c r="O950" i="6"/>
  <c r="N950" i="6"/>
  <c r="M950" i="6"/>
  <c r="L950" i="6"/>
  <c r="K950" i="6"/>
  <c r="J950" i="6"/>
  <c r="I950" i="6"/>
  <c r="H950" i="6"/>
  <c r="G950" i="6"/>
  <c r="F950" i="6"/>
  <c r="E950" i="6"/>
  <c r="D950" i="6"/>
  <c r="C950" i="6"/>
  <c r="B950" i="6"/>
  <c r="A950" i="6"/>
  <c r="AH949" i="6"/>
  <c r="AG949" i="6"/>
  <c r="AF949" i="6"/>
  <c r="AE949" i="6"/>
  <c r="AD949" i="6"/>
  <c r="AC949" i="6"/>
  <c r="AB949" i="6"/>
  <c r="AA949" i="6"/>
  <c r="Z949" i="6"/>
  <c r="Y949" i="6"/>
  <c r="X949" i="6"/>
  <c r="W949" i="6"/>
  <c r="V949" i="6"/>
  <c r="U949" i="6"/>
  <c r="T949" i="6"/>
  <c r="S949" i="6"/>
  <c r="R949" i="6"/>
  <c r="Q949" i="6"/>
  <c r="P949" i="6"/>
  <c r="O949" i="6"/>
  <c r="N949" i="6"/>
  <c r="M949" i="6"/>
  <c r="L949" i="6"/>
  <c r="K949" i="6"/>
  <c r="J949" i="6"/>
  <c r="I949" i="6"/>
  <c r="H949" i="6"/>
  <c r="G949" i="6"/>
  <c r="F949" i="6"/>
  <c r="E949" i="6"/>
  <c r="D949" i="6"/>
  <c r="C949" i="6"/>
  <c r="B949" i="6"/>
  <c r="A949" i="6"/>
  <c r="AH948" i="6"/>
  <c r="AG948" i="6"/>
  <c r="AF948" i="6"/>
  <c r="AE948" i="6"/>
  <c r="AD948" i="6"/>
  <c r="AC948" i="6"/>
  <c r="AB948" i="6"/>
  <c r="AA948" i="6"/>
  <c r="Z948" i="6"/>
  <c r="Y948" i="6"/>
  <c r="X948" i="6"/>
  <c r="W948" i="6"/>
  <c r="V948" i="6"/>
  <c r="U948" i="6"/>
  <c r="T948" i="6"/>
  <c r="S948" i="6"/>
  <c r="R948" i="6"/>
  <c r="Q948" i="6"/>
  <c r="P948" i="6"/>
  <c r="O948" i="6"/>
  <c r="N948" i="6"/>
  <c r="M948" i="6"/>
  <c r="L948" i="6"/>
  <c r="K948" i="6"/>
  <c r="J948" i="6"/>
  <c r="I948" i="6"/>
  <c r="H948" i="6"/>
  <c r="G948" i="6"/>
  <c r="F948" i="6"/>
  <c r="E948" i="6"/>
  <c r="D948" i="6"/>
  <c r="C948" i="6"/>
  <c r="B948" i="6"/>
  <c r="A948" i="6"/>
  <c r="AH947" i="6"/>
  <c r="AG947" i="6"/>
  <c r="AF947" i="6"/>
  <c r="AE947" i="6"/>
  <c r="AD947" i="6"/>
  <c r="AC947" i="6"/>
  <c r="AB947" i="6"/>
  <c r="AA947" i="6"/>
  <c r="Z947" i="6"/>
  <c r="Y947" i="6"/>
  <c r="X947" i="6"/>
  <c r="W947" i="6"/>
  <c r="V947" i="6"/>
  <c r="U947" i="6"/>
  <c r="T947" i="6"/>
  <c r="S947" i="6"/>
  <c r="R947" i="6"/>
  <c r="Q947" i="6"/>
  <c r="P947" i="6"/>
  <c r="O947" i="6"/>
  <c r="N947" i="6"/>
  <c r="M947" i="6"/>
  <c r="L947" i="6"/>
  <c r="K947" i="6"/>
  <c r="J947" i="6"/>
  <c r="I947" i="6"/>
  <c r="H947" i="6"/>
  <c r="G947" i="6"/>
  <c r="F947" i="6"/>
  <c r="E947" i="6"/>
  <c r="D947" i="6"/>
  <c r="C947" i="6"/>
  <c r="B947" i="6"/>
  <c r="A947" i="6"/>
  <c r="AH946" i="6"/>
  <c r="AG946" i="6"/>
  <c r="AF946" i="6"/>
  <c r="AE946" i="6"/>
  <c r="AD946" i="6"/>
  <c r="AC946" i="6"/>
  <c r="AB946" i="6"/>
  <c r="AA946" i="6"/>
  <c r="Z946" i="6"/>
  <c r="Y946" i="6"/>
  <c r="X946" i="6"/>
  <c r="W946" i="6"/>
  <c r="V946" i="6"/>
  <c r="U946" i="6"/>
  <c r="T946" i="6"/>
  <c r="S946" i="6"/>
  <c r="R946" i="6"/>
  <c r="Q946" i="6"/>
  <c r="P946" i="6"/>
  <c r="O946" i="6"/>
  <c r="N946" i="6"/>
  <c r="M946" i="6"/>
  <c r="L946" i="6"/>
  <c r="K946" i="6"/>
  <c r="J946" i="6"/>
  <c r="I946" i="6"/>
  <c r="H946" i="6"/>
  <c r="G946" i="6"/>
  <c r="F946" i="6"/>
  <c r="E946" i="6"/>
  <c r="D946" i="6"/>
  <c r="C946" i="6"/>
  <c r="B946" i="6"/>
  <c r="A946" i="6"/>
  <c r="AH945" i="6"/>
  <c r="AG945" i="6"/>
  <c r="AF945" i="6"/>
  <c r="AE945" i="6"/>
  <c r="AD945" i="6"/>
  <c r="AC945" i="6"/>
  <c r="AB945" i="6"/>
  <c r="AA945" i="6"/>
  <c r="Z945" i="6"/>
  <c r="Y945" i="6"/>
  <c r="X945" i="6"/>
  <c r="W945" i="6"/>
  <c r="V945" i="6"/>
  <c r="U945" i="6"/>
  <c r="T945" i="6"/>
  <c r="S945" i="6"/>
  <c r="R945" i="6"/>
  <c r="Q945" i="6"/>
  <c r="P945" i="6"/>
  <c r="O945" i="6"/>
  <c r="N945" i="6"/>
  <c r="M945" i="6"/>
  <c r="L945" i="6"/>
  <c r="K945" i="6"/>
  <c r="J945" i="6"/>
  <c r="I945" i="6"/>
  <c r="H945" i="6"/>
  <c r="G945" i="6"/>
  <c r="F945" i="6"/>
  <c r="E945" i="6"/>
  <c r="D945" i="6"/>
  <c r="C945" i="6"/>
  <c r="B945" i="6"/>
  <c r="A945" i="6"/>
  <c r="AH944" i="6"/>
  <c r="AG944" i="6"/>
  <c r="AF944" i="6"/>
  <c r="AE944" i="6"/>
  <c r="AD944" i="6"/>
  <c r="AC944" i="6"/>
  <c r="AB944" i="6"/>
  <c r="AA944" i="6"/>
  <c r="Z944" i="6"/>
  <c r="Y944" i="6"/>
  <c r="X944" i="6"/>
  <c r="W944" i="6"/>
  <c r="V944" i="6"/>
  <c r="U944" i="6"/>
  <c r="T944" i="6"/>
  <c r="S944" i="6"/>
  <c r="R944" i="6"/>
  <c r="Q944" i="6"/>
  <c r="P944" i="6"/>
  <c r="O944" i="6"/>
  <c r="N944" i="6"/>
  <c r="M944" i="6"/>
  <c r="L944" i="6"/>
  <c r="K944" i="6"/>
  <c r="J944" i="6"/>
  <c r="I944" i="6"/>
  <c r="H944" i="6"/>
  <c r="G944" i="6"/>
  <c r="F944" i="6"/>
  <c r="E944" i="6"/>
  <c r="D944" i="6"/>
  <c r="C944" i="6"/>
  <c r="B944" i="6"/>
  <c r="A944" i="6"/>
  <c r="AH943" i="6"/>
  <c r="AG943" i="6"/>
  <c r="AF943" i="6"/>
  <c r="AE943" i="6"/>
  <c r="AD943" i="6"/>
  <c r="AC943" i="6"/>
  <c r="AB943" i="6"/>
  <c r="AA943" i="6"/>
  <c r="Z943" i="6"/>
  <c r="Y943" i="6"/>
  <c r="X943" i="6"/>
  <c r="W943" i="6"/>
  <c r="V943" i="6"/>
  <c r="U943" i="6"/>
  <c r="T943" i="6"/>
  <c r="S943" i="6"/>
  <c r="R943" i="6"/>
  <c r="Q943" i="6"/>
  <c r="P943" i="6"/>
  <c r="O943" i="6"/>
  <c r="N943" i="6"/>
  <c r="M943" i="6"/>
  <c r="L943" i="6"/>
  <c r="K943" i="6"/>
  <c r="J943" i="6"/>
  <c r="I943" i="6"/>
  <c r="H943" i="6"/>
  <c r="G943" i="6"/>
  <c r="F943" i="6"/>
  <c r="E943" i="6"/>
  <c r="D943" i="6"/>
  <c r="C943" i="6"/>
  <c r="B943" i="6"/>
  <c r="A943" i="6"/>
  <c r="AH942" i="6"/>
  <c r="AG942" i="6"/>
  <c r="AF942" i="6"/>
  <c r="AE942" i="6"/>
  <c r="AD942" i="6"/>
  <c r="AC942" i="6"/>
  <c r="AB942" i="6"/>
  <c r="AA942" i="6"/>
  <c r="Z942" i="6"/>
  <c r="Y942" i="6"/>
  <c r="X942" i="6"/>
  <c r="W942" i="6"/>
  <c r="V942" i="6"/>
  <c r="U942" i="6"/>
  <c r="T942" i="6"/>
  <c r="S942" i="6"/>
  <c r="R942" i="6"/>
  <c r="Q942" i="6"/>
  <c r="P942" i="6"/>
  <c r="O942" i="6"/>
  <c r="N942" i="6"/>
  <c r="M942" i="6"/>
  <c r="L942" i="6"/>
  <c r="K942" i="6"/>
  <c r="J942" i="6"/>
  <c r="I942" i="6"/>
  <c r="H942" i="6"/>
  <c r="G942" i="6"/>
  <c r="F942" i="6"/>
  <c r="E942" i="6"/>
  <c r="D942" i="6"/>
  <c r="C942" i="6"/>
  <c r="B942" i="6"/>
  <c r="A942" i="6"/>
  <c r="AH941" i="6"/>
  <c r="AG941" i="6"/>
  <c r="AF941" i="6"/>
  <c r="AE941" i="6"/>
  <c r="AD941" i="6"/>
  <c r="AC941" i="6"/>
  <c r="AB941" i="6"/>
  <c r="AA941" i="6"/>
  <c r="Z941" i="6"/>
  <c r="Y941" i="6"/>
  <c r="X941" i="6"/>
  <c r="W941" i="6"/>
  <c r="V941" i="6"/>
  <c r="U941" i="6"/>
  <c r="T941" i="6"/>
  <c r="S941" i="6"/>
  <c r="R941" i="6"/>
  <c r="Q941" i="6"/>
  <c r="P941" i="6"/>
  <c r="O941" i="6"/>
  <c r="N941" i="6"/>
  <c r="M941" i="6"/>
  <c r="L941" i="6"/>
  <c r="K941" i="6"/>
  <c r="J941" i="6"/>
  <c r="I941" i="6"/>
  <c r="H941" i="6"/>
  <c r="G941" i="6"/>
  <c r="F941" i="6"/>
  <c r="E941" i="6"/>
  <c r="D941" i="6"/>
  <c r="C941" i="6"/>
  <c r="B941" i="6"/>
  <c r="A941" i="6"/>
  <c r="AH940" i="6"/>
  <c r="AG940" i="6"/>
  <c r="AF940" i="6"/>
  <c r="AE940" i="6"/>
  <c r="AD940" i="6"/>
  <c r="AC940" i="6"/>
  <c r="AB940" i="6"/>
  <c r="AA940" i="6"/>
  <c r="Z940" i="6"/>
  <c r="Y940" i="6"/>
  <c r="X940" i="6"/>
  <c r="W940" i="6"/>
  <c r="V940" i="6"/>
  <c r="U940" i="6"/>
  <c r="T940" i="6"/>
  <c r="S940" i="6"/>
  <c r="R940" i="6"/>
  <c r="Q940" i="6"/>
  <c r="P940" i="6"/>
  <c r="O940" i="6"/>
  <c r="N940" i="6"/>
  <c r="M940" i="6"/>
  <c r="L940" i="6"/>
  <c r="K940" i="6"/>
  <c r="J940" i="6"/>
  <c r="I940" i="6"/>
  <c r="H940" i="6"/>
  <c r="G940" i="6"/>
  <c r="F940" i="6"/>
  <c r="E940" i="6"/>
  <c r="D940" i="6"/>
  <c r="C940" i="6"/>
  <c r="B940" i="6"/>
  <c r="A940" i="6"/>
  <c r="AH939" i="6"/>
  <c r="AG939" i="6"/>
  <c r="AF939" i="6"/>
  <c r="AE939" i="6"/>
  <c r="AD939" i="6"/>
  <c r="AC939" i="6"/>
  <c r="AB939" i="6"/>
  <c r="AA939" i="6"/>
  <c r="Z939" i="6"/>
  <c r="Y939" i="6"/>
  <c r="X939" i="6"/>
  <c r="W939" i="6"/>
  <c r="V939" i="6"/>
  <c r="U939" i="6"/>
  <c r="T939" i="6"/>
  <c r="S939" i="6"/>
  <c r="R939" i="6"/>
  <c r="Q939" i="6"/>
  <c r="P939" i="6"/>
  <c r="O939" i="6"/>
  <c r="N939" i="6"/>
  <c r="M939" i="6"/>
  <c r="L939" i="6"/>
  <c r="K939" i="6"/>
  <c r="J939" i="6"/>
  <c r="I939" i="6"/>
  <c r="H939" i="6"/>
  <c r="G939" i="6"/>
  <c r="F939" i="6"/>
  <c r="E939" i="6"/>
  <c r="D939" i="6"/>
  <c r="C939" i="6"/>
  <c r="B939" i="6"/>
  <c r="A939" i="6"/>
  <c r="AH938" i="6"/>
  <c r="AG938" i="6"/>
  <c r="AF938" i="6"/>
  <c r="AE938" i="6"/>
  <c r="AD938" i="6"/>
  <c r="AC938" i="6"/>
  <c r="AB938" i="6"/>
  <c r="AA938" i="6"/>
  <c r="Z938" i="6"/>
  <c r="Y938" i="6"/>
  <c r="X938" i="6"/>
  <c r="W938" i="6"/>
  <c r="V938" i="6"/>
  <c r="U938" i="6"/>
  <c r="T938" i="6"/>
  <c r="S938" i="6"/>
  <c r="R938" i="6"/>
  <c r="Q938" i="6"/>
  <c r="P938" i="6"/>
  <c r="O938" i="6"/>
  <c r="N938" i="6"/>
  <c r="M938" i="6"/>
  <c r="L938" i="6"/>
  <c r="K938" i="6"/>
  <c r="J938" i="6"/>
  <c r="I938" i="6"/>
  <c r="H938" i="6"/>
  <c r="G938" i="6"/>
  <c r="F938" i="6"/>
  <c r="E938" i="6"/>
  <c r="D938" i="6"/>
  <c r="C938" i="6"/>
  <c r="B938" i="6"/>
  <c r="A938" i="6"/>
  <c r="AH937" i="6"/>
  <c r="AG937" i="6"/>
  <c r="AF937" i="6"/>
  <c r="AE937" i="6"/>
  <c r="AD937" i="6"/>
  <c r="AC937" i="6"/>
  <c r="AB937" i="6"/>
  <c r="AA937" i="6"/>
  <c r="Z937" i="6"/>
  <c r="Y937" i="6"/>
  <c r="X937" i="6"/>
  <c r="W937" i="6"/>
  <c r="V937" i="6"/>
  <c r="U937" i="6"/>
  <c r="T937" i="6"/>
  <c r="S937" i="6"/>
  <c r="R937" i="6"/>
  <c r="Q937" i="6"/>
  <c r="P937" i="6"/>
  <c r="O937" i="6"/>
  <c r="N937" i="6"/>
  <c r="M937" i="6"/>
  <c r="L937" i="6"/>
  <c r="K937" i="6"/>
  <c r="J937" i="6"/>
  <c r="I937" i="6"/>
  <c r="H937" i="6"/>
  <c r="G937" i="6"/>
  <c r="F937" i="6"/>
  <c r="E937" i="6"/>
  <c r="D937" i="6"/>
  <c r="C937" i="6"/>
  <c r="B937" i="6"/>
  <c r="A937" i="6"/>
  <c r="AH936" i="6"/>
  <c r="AG936" i="6"/>
  <c r="AF936" i="6"/>
  <c r="AE936" i="6"/>
  <c r="AD936" i="6"/>
  <c r="AC936" i="6"/>
  <c r="AB936" i="6"/>
  <c r="AA936" i="6"/>
  <c r="Z936" i="6"/>
  <c r="Y936" i="6"/>
  <c r="X936" i="6"/>
  <c r="W936" i="6"/>
  <c r="V936" i="6"/>
  <c r="U936" i="6"/>
  <c r="T936" i="6"/>
  <c r="S936" i="6"/>
  <c r="R936" i="6"/>
  <c r="Q936" i="6"/>
  <c r="P936" i="6"/>
  <c r="O936" i="6"/>
  <c r="N936" i="6"/>
  <c r="M936" i="6"/>
  <c r="L936" i="6"/>
  <c r="K936" i="6"/>
  <c r="J936" i="6"/>
  <c r="I936" i="6"/>
  <c r="H936" i="6"/>
  <c r="G936" i="6"/>
  <c r="F936" i="6"/>
  <c r="E936" i="6"/>
  <c r="D936" i="6"/>
  <c r="C936" i="6"/>
  <c r="B936" i="6"/>
  <c r="A936" i="6"/>
  <c r="AH935" i="6"/>
  <c r="AG935" i="6"/>
  <c r="AF935" i="6"/>
  <c r="AE935" i="6"/>
  <c r="AD935" i="6"/>
  <c r="AC935" i="6"/>
  <c r="AB935" i="6"/>
  <c r="AA935" i="6"/>
  <c r="Z935" i="6"/>
  <c r="Y935" i="6"/>
  <c r="X935" i="6"/>
  <c r="W935" i="6"/>
  <c r="V935" i="6"/>
  <c r="U935" i="6"/>
  <c r="T935" i="6"/>
  <c r="S935" i="6"/>
  <c r="R935" i="6"/>
  <c r="Q935" i="6"/>
  <c r="P935" i="6"/>
  <c r="O935" i="6"/>
  <c r="N935" i="6"/>
  <c r="M935" i="6"/>
  <c r="L935" i="6"/>
  <c r="K935" i="6"/>
  <c r="J935" i="6"/>
  <c r="I935" i="6"/>
  <c r="H935" i="6"/>
  <c r="G935" i="6"/>
  <c r="F935" i="6"/>
  <c r="E935" i="6"/>
  <c r="D935" i="6"/>
  <c r="C935" i="6"/>
  <c r="B935" i="6"/>
  <c r="A935" i="6"/>
  <c r="AH934" i="6"/>
  <c r="AG934" i="6"/>
  <c r="AF934" i="6"/>
  <c r="AE934" i="6"/>
  <c r="AD934" i="6"/>
  <c r="AC934" i="6"/>
  <c r="AB934" i="6"/>
  <c r="AA934" i="6"/>
  <c r="Z934" i="6"/>
  <c r="Y934" i="6"/>
  <c r="X934" i="6"/>
  <c r="W934" i="6"/>
  <c r="V934" i="6"/>
  <c r="U934" i="6"/>
  <c r="T934" i="6"/>
  <c r="S934" i="6"/>
  <c r="R934" i="6"/>
  <c r="Q934" i="6"/>
  <c r="P934" i="6"/>
  <c r="O934" i="6"/>
  <c r="N934" i="6"/>
  <c r="M934" i="6"/>
  <c r="L934" i="6"/>
  <c r="K934" i="6"/>
  <c r="J934" i="6"/>
  <c r="I934" i="6"/>
  <c r="H934" i="6"/>
  <c r="G934" i="6"/>
  <c r="F934" i="6"/>
  <c r="E934" i="6"/>
  <c r="D934" i="6"/>
  <c r="C934" i="6"/>
  <c r="B934" i="6"/>
  <c r="A934" i="6"/>
  <c r="AH933" i="6"/>
  <c r="AG933" i="6"/>
  <c r="AF933" i="6"/>
  <c r="AE933" i="6"/>
  <c r="AD933" i="6"/>
  <c r="AC933" i="6"/>
  <c r="AB933" i="6"/>
  <c r="AA933" i="6"/>
  <c r="Z933" i="6"/>
  <c r="Y933" i="6"/>
  <c r="X933" i="6"/>
  <c r="W933" i="6"/>
  <c r="V933" i="6"/>
  <c r="U933" i="6"/>
  <c r="T933" i="6"/>
  <c r="S933" i="6"/>
  <c r="R933" i="6"/>
  <c r="Q933" i="6"/>
  <c r="P933" i="6"/>
  <c r="O933" i="6"/>
  <c r="N933" i="6"/>
  <c r="M933" i="6"/>
  <c r="L933" i="6"/>
  <c r="K933" i="6"/>
  <c r="J933" i="6"/>
  <c r="I933" i="6"/>
  <c r="H933" i="6"/>
  <c r="G933" i="6"/>
  <c r="F933" i="6"/>
  <c r="E933" i="6"/>
  <c r="D933" i="6"/>
  <c r="C933" i="6"/>
  <c r="B933" i="6"/>
  <c r="A933" i="6"/>
  <c r="AH932" i="6"/>
  <c r="AG932" i="6"/>
  <c r="AF932" i="6"/>
  <c r="AE932" i="6"/>
  <c r="AD932" i="6"/>
  <c r="AC932" i="6"/>
  <c r="AB932" i="6"/>
  <c r="AA932" i="6"/>
  <c r="Z932" i="6"/>
  <c r="Y932" i="6"/>
  <c r="X932" i="6"/>
  <c r="W932" i="6"/>
  <c r="V932" i="6"/>
  <c r="U932" i="6"/>
  <c r="T932" i="6"/>
  <c r="S932" i="6"/>
  <c r="R932" i="6"/>
  <c r="Q932" i="6"/>
  <c r="P932" i="6"/>
  <c r="O932" i="6"/>
  <c r="N932" i="6"/>
  <c r="M932" i="6"/>
  <c r="L932" i="6"/>
  <c r="K932" i="6"/>
  <c r="J932" i="6"/>
  <c r="I932" i="6"/>
  <c r="H932" i="6"/>
  <c r="G932" i="6"/>
  <c r="F932" i="6"/>
  <c r="E932" i="6"/>
  <c r="D932" i="6"/>
  <c r="C932" i="6"/>
  <c r="B932" i="6"/>
  <c r="A932" i="6"/>
  <c r="AH931" i="6"/>
  <c r="AG931" i="6"/>
  <c r="AF931" i="6"/>
  <c r="AE931" i="6"/>
  <c r="AD931" i="6"/>
  <c r="AC931" i="6"/>
  <c r="AB931" i="6"/>
  <c r="AA931" i="6"/>
  <c r="Z931" i="6"/>
  <c r="Y931" i="6"/>
  <c r="X931" i="6"/>
  <c r="W931" i="6"/>
  <c r="V931" i="6"/>
  <c r="U931" i="6"/>
  <c r="T931" i="6"/>
  <c r="S931" i="6"/>
  <c r="R931" i="6"/>
  <c r="Q931" i="6"/>
  <c r="P931" i="6"/>
  <c r="O931" i="6"/>
  <c r="N931" i="6"/>
  <c r="M931" i="6"/>
  <c r="L931" i="6"/>
  <c r="K931" i="6"/>
  <c r="J931" i="6"/>
  <c r="I931" i="6"/>
  <c r="H931" i="6"/>
  <c r="G931" i="6"/>
  <c r="F931" i="6"/>
  <c r="E931" i="6"/>
  <c r="D931" i="6"/>
  <c r="C931" i="6"/>
  <c r="B931" i="6"/>
  <c r="A931" i="6"/>
  <c r="AH930" i="6"/>
  <c r="AG930" i="6"/>
  <c r="AF930" i="6"/>
  <c r="AE930" i="6"/>
  <c r="AD930" i="6"/>
  <c r="AC930" i="6"/>
  <c r="AB930" i="6"/>
  <c r="AA930" i="6"/>
  <c r="Z930" i="6"/>
  <c r="Y930" i="6"/>
  <c r="X930" i="6"/>
  <c r="W930" i="6"/>
  <c r="V930" i="6"/>
  <c r="U930" i="6"/>
  <c r="T930" i="6"/>
  <c r="S930" i="6"/>
  <c r="R930" i="6"/>
  <c r="Q930" i="6"/>
  <c r="P930" i="6"/>
  <c r="O930" i="6"/>
  <c r="N930" i="6"/>
  <c r="M930" i="6"/>
  <c r="L930" i="6"/>
  <c r="K930" i="6"/>
  <c r="J930" i="6"/>
  <c r="I930" i="6"/>
  <c r="H930" i="6"/>
  <c r="G930" i="6"/>
  <c r="F930" i="6"/>
  <c r="E930" i="6"/>
  <c r="D930" i="6"/>
  <c r="C930" i="6"/>
  <c r="B930" i="6"/>
  <c r="A930" i="6"/>
  <c r="AH929" i="6"/>
  <c r="AG929" i="6"/>
  <c r="AF929" i="6"/>
  <c r="AE929" i="6"/>
  <c r="AD929" i="6"/>
  <c r="AC929" i="6"/>
  <c r="AB929" i="6"/>
  <c r="AA929" i="6"/>
  <c r="Z929" i="6"/>
  <c r="Y929" i="6"/>
  <c r="X929" i="6"/>
  <c r="W929" i="6"/>
  <c r="V929" i="6"/>
  <c r="U929" i="6"/>
  <c r="T929" i="6"/>
  <c r="S929" i="6"/>
  <c r="R929" i="6"/>
  <c r="Q929" i="6"/>
  <c r="P929" i="6"/>
  <c r="O929" i="6"/>
  <c r="N929" i="6"/>
  <c r="M929" i="6"/>
  <c r="L929" i="6"/>
  <c r="K929" i="6"/>
  <c r="J929" i="6"/>
  <c r="I929" i="6"/>
  <c r="H929" i="6"/>
  <c r="G929" i="6"/>
  <c r="F929" i="6"/>
  <c r="E929" i="6"/>
  <c r="D929" i="6"/>
  <c r="C929" i="6"/>
  <c r="B929" i="6"/>
  <c r="A929" i="6"/>
  <c r="AH928" i="6"/>
  <c r="AG928" i="6"/>
  <c r="AF928" i="6"/>
  <c r="AE928" i="6"/>
  <c r="AD928" i="6"/>
  <c r="AC928" i="6"/>
  <c r="AB928" i="6"/>
  <c r="AA928" i="6"/>
  <c r="Z928" i="6"/>
  <c r="Y928" i="6"/>
  <c r="X928" i="6"/>
  <c r="W928" i="6"/>
  <c r="V928" i="6"/>
  <c r="U928" i="6"/>
  <c r="T928" i="6"/>
  <c r="S928" i="6"/>
  <c r="R928" i="6"/>
  <c r="Q928" i="6"/>
  <c r="P928" i="6"/>
  <c r="O928" i="6"/>
  <c r="N928" i="6"/>
  <c r="M928" i="6"/>
  <c r="L928" i="6"/>
  <c r="K928" i="6"/>
  <c r="J928" i="6"/>
  <c r="I928" i="6"/>
  <c r="H928" i="6"/>
  <c r="G928" i="6"/>
  <c r="F928" i="6"/>
  <c r="E928" i="6"/>
  <c r="D928" i="6"/>
  <c r="C928" i="6"/>
  <c r="B928" i="6"/>
  <c r="A928" i="6"/>
  <c r="AH927" i="6"/>
  <c r="AG927" i="6"/>
  <c r="AF927" i="6"/>
  <c r="AE927" i="6"/>
  <c r="AD927" i="6"/>
  <c r="AC927" i="6"/>
  <c r="AB927" i="6"/>
  <c r="AA927" i="6"/>
  <c r="Z927" i="6"/>
  <c r="Y927" i="6"/>
  <c r="X927" i="6"/>
  <c r="W927" i="6"/>
  <c r="V927" i="6"/>
  <c r="U927" i="6"/>
  <c r="T927" i="6"/>
  <c r="S927" i="6"/>
  <c r="R927" i="6"/>
  <c r="Q927" i="6"/>
  <c r="P927" i="6"/>
  <c r="O927" i="6"/>
  <c r="N927" i="6"/>
  <c r="M927" i="6"/>
  <c r="L927" i="6"/>
  <c r="K927" i="6"/>
  <c r="J927" i="6"/>
  <c r="I927" i="6"/>
  <c r="H927" i="6"/>
  <c r="G927" i="6"/>
  <c r="F927" i="6"/>
  <c r="E927" i="6"/>
  <c r="D927" i="6"/>
  <c r="C927" i="6"/>
  <c r="B927" i="6"/>
  <c r="A927" i="6"/>
  <c r="AH926" i="6"/>
  <c r="AG926" i="6"/>
  <c r="AF926" i="6"/>
  <c r="AE926" i="6"/>
  <c r="AD926" i="6"/>
  <c r="AC926" i="6"/>
  <c r="AB926" i="6"/>
  <c r="AA926" i="6"/>
  <c r="Z926" i="6"/>
  <c r="Y926" i="6"/>
  <c r="X926" i="6"/>
  <c r="W926" i="6"/>
  <c r="V926" i="6"/>
  <c r="U926" i="6"/>
  <c r="T926" i="6"/>
  <c r="S926" i="6"/>
  <c r="R926" i="6"/>
  <c r="Q926" i="6"/>
  <c r="P926" i="6"/>
  <c r="O926" i="6"/>
  <c r="N926" i="6"/>
  <c r="M926" i="6"/>
  <c r="L926" i="6"/>
  <c r="K926" i="6"/>
  <c r="J926" i="6"/>
  <c r="I926" i="6"/>
  <c r="H926" i="6"/>
  <c r="G926" i="6"/>
  <c r="F926" i="6"/>
  <c r="E926" i="6"/>
  <c r="D926" i="6"/>
  <c r="C926" i="6"/>
  <c r="B926" i="6"/>
  <c r="A926" i="6"/>
  <c r="AH925" i="6"/>
  <c r="AG925" i="6"/>
  <c r="AF925" i="6"/>
  <c r="AE925" i="6"/>
  <c r="AD925" i="6"/>
  <c r="AC925" i="6"/>
  <c r="AB925" i="6"/>
  <c r="AA925" i="6"/>
  <c r="Z925" i="6"/>
  <c r="Y925" i="6"/>
  <c r="X925" i="6"/>
  <c r="W925" i="6"/>
  <c r="V925" i="6"/>
  <c r="U925" i="6"/>
  <c r="T925" i="6"/>
  <c r="S925" i="6"/>
  <c r="R925" i="6"/>
  <c r="Q925" i="6"/>
  <c r="P925" i="6"/>
  <c r="O925" i="6"/>
  <c r="N925" i="6"/>
  <c r="M925" i="6"/>
  <c r="L925" i="6"/>
  <c r="K925" i="6"/>
  <c r="J925" i="6"/>
  <c r="I925" i="6"/>
  <c r="H925" i="6"/>
  <c r="G925" i="6"/>
  <c r="F925" i="6"/>
  <c r="E925" i="6"/>
  <c r="D925" i="6"/>
  <c r="C925" i="6"/>
  <c r="B925" i="6"/>
  <c r="A925" i="6"/>
  <c r="AH924" i="6"/>
  <c r="AG924" i="6"/>
  <c r="AF924" i="6"/>
  <c r="AE924" i="6"/>
  <c r="AD924" i="6"/>
  <c r="AC924" i="6"/>
  <c r="AB924" i="6"/>
  <c r="AA924" i="6"/>
  <c r="Z924" i="6"/>
  <c r="Y924" i="6"/>
  <c r="X924" i="6"/>
  <c r="W924" i="6"/>
  <c r="V924" i="6"/>
  <c r="U924" i="6"/>
  <c r="T924" i="6"/>
  <c r="S924" i="6"/>
  <c r="R924" i="6"/>
  <c r="Q924" i="6"/>
  <c r="P924" i="6"/>
  <c r="O924" i="6"/>
  <c r="N924" i="6"/>
  <c r="M924" i="6"/>
  <c r="L924" i="6"/>
  <c r="K924" i="6"/>
  <c r="J924" i="6"/>
  <c r="I924" i="6"/>
  <c r="H924" i="6"/>
  <c r="G924" i="6"/>
  <c r="F924" i="6"/>
  <c r="E924" i="6"/>
  <c r="D924" i="6"/>
  <c r="C924" i="6"/>
  <c r="B924" i="6"/>
  <c r="A924" i="6"/>
  <c r="AH923" i="6"/>
  <c r="AG923" i="6"/>
  <c r="AF923" i="6"/>
  <c r="AE923" i="6"/>
  <c r="AD923" i="6"/>
  <c r="AC923" i="6"/>
  <c r="AB923" i="6"/>
  <c r="AA923" i="6"/>
  <c r="Z923" i="6"/>
  <c r="Y923" i="6"/>
  <c r="X923" i="6"/>
  <c r="W923" i="6"/>
  <c r="V923" i="6"/>
  <c r="U923" i="6"/>
  <c r="T923" i="6"/>
  <c r="S923" i="6"/>
  <c r="R923" i="6"/>
  <c r="Q923" i="6"/>
  <c r="P923" i="6"/>
  <c r="O923" i="6"/>
  <c r="N923" i="6"/>
  <c r="M923" i="6"/>
  <c r="L923" i="6"/>
  <c r="K923" i="6"/>
  <c r="J923" i="6"/>
  <c r="I923" i="6"/>
  <c r="H923" i="6"/>
  <c r="G923" i="6"/>
  <c r="F923" i="6"/>
  <c r="E923" i="6"/>
  <c r="D923" i="6"/>
  <c r="C923" i="6"/>
  <c r="B923" i="6"/>
  <c r="A923" i="6"/>
  <c r="AH922" i="6"/>
  <c r="AG922" i="6"/>
  <c r="AF922" i="6"/>
  <c r="AE922" i="6"/>
  <c r="AD922" i="6"/>
  <c r="AC922" i="6"/>
  <c r="AB922" i="6"/>
  <c r="AA922" i="6"/>
  <c r="Z922" i="6"/>
  <c r="Y922" i="6"/>
  <c r="X922" i="6"/>
  <c r="W922" i="6"/>
  <c r="V922" i="6"/>
  <c r="U922" i="6"/>
  <c r="T922" i="6"/>
  <c r="S922" i="6"/>
  <c r="R922" i="6"/>
  <c r="Q922" i="6"/>
  <c r="P922" i="6"/>
  <c r="O922" i="6"/>
  <c r="N922" i="6"/>
  <c r="M922" i="6"/>
  <c r="L922" i="6"/>
  <c r="K922" i="6"/>
  <c r="J922" i="6"/>
  <c r="I922" i="6"/>
  <c r="H922" i="6"/>
  <c r="G922" i="6"/>
  <c r="F922" i="6"/>
  <c r="E922" i="6"/>
  <c r="D922" i="6"/>
  <c r="C922" i="6"/>
  <c r="B922" i="6"/>
  <c r="A922" i="6"/>
  <c r="AH921" i="6"/>
  <c r="AG921" i="6"/>
  <c r="AF921" i="6"/>
  <c r="AE921" i="6"/>
  <c r="AD921" i="6"/>
  <c r="AC921" i="6"/>
  <c r="AB921" i="6"/>
  <c r="AA921" i="6"/>
  <c r="Z921" i="6"/>
  <c r="Y921" i="6"/>
  <c r="X921" i="6"/>
  <c r="W921" i="6"/>
  <c r="V921" i="6"/>
  <c r="U921" i="6"/>
  <c r="T921" i="6"/>
  <c r="S921" i="6"/>
  <c r="R921" i="6"/>
  <c r="Q921" i="6"/>
  <c r="P921" i="6"/>
  <c r="O921" i="6"/>
  <c r="N921" i="6"/>
  <c r="M921" i="6"/>
  <c r="L921" i="6"/>
  <c r="K921" i="6"/>
  <c r="J921" i="6"/>
  <c r="I921" i="6"/>
  <c r="H921" i="6"/>
  <c r="G921" i="6"/>
  <c r="F921" i="6"/>
  <c r="E921" i="6"/>
  <c r="D921" i="6"/>
  <c r="C921" i="6"/>
  <c r="B921" i="6"/>
  <c r="A921" i="6"/>
  <c r="AH920" i="6"/>
  <c r="AG920" i="6"/>
  <c r="AF920" i="6"/>
  <c r="AE920" i="6"/>
  <c r="AD920" i="6"/>
  <c r="AC920" i="6"/>
  <c r="AB920" i="6"/>
  <c r="AA920" i="6"/>
  <c r="Z920" i="6"/>
  <c r="Y920" i="6"/>
  <c r="X920" i="6"/>
  <c r="W920" i="6"/>
  <c r="V920" i="6"/>
  <c r="U920" i="6"/>
  <c r="T920" i="6"/>
  <c r="S920" i="6"/>
  <c r="R920" i="6"/>
  <c r="Q920" i="6"/>
  <c r="P920" i="6"/>
  <c r="O920" i="6"/>
  <c r="N920" i="6"/>
  <c r="M920" i="6"/>
  <c r="L920" i="6"/>
  <c r="K920" i="6"/>
  <c r="J920" i="6"/>
  <c r="I920" i="6"/>
  <c r="H920" i="6"/>
  <c r="G920" i="6"/>
  <c r="F920" i="6"/>
  <c r="E920" i="6"/>
  <c r="D920" i="6"/>
  <c r="C920" i="6"/>
  <c r="B920" i="6"/>
  <c r="A920" i="6"/>
  <c r="AH919" i="6"/>
  <c r="AG919" i="6"/>
  <c r="AF919" i="6"/>
  <c r="AE919" i="6"/>
  <c r="AD919" i="6"/>
  <c r="AC919" i="6"/>
  <c r="AB919" i="6"/>
  <c r="AA919" i="6"/>
  <c r="Z919" i="6"/>
  <c r="Y919" i="6"/>
  <c r="X919" i="6"/>
  <c r="W919" i="6"/>
  <c r="V919" i="6"/>
  <c r="U919" i="6"/>
  <c r="T919" i="6"/>
  <c r="S919" i="6"/>
  <c r="R919" i="6"/>
  <c r="Q919" i="6"/>
  <c r="P919" i="6"/>
  <c r="O919" i="6"/>
  <c r="N919" i="6"/>
  <c r="M919" i="6"/>
  <c r="L919" i="6"/>
  <c r="K919" i="6"/>
  <c r="J919" i="6"/>
  <c r="I919" i="6"/>
  <c r="H919" i="6"/>
  <c r="G919" i="6"/>
  <c r="F919" i="6"/>
  <c r="E919" i="6"/>
  <c r="D919" i="6"/>
  <c r="C919" i="6"/>
  <c r="B919" i="6"/>
  <c r="A919" i="6"/>
  <c r="AH918" i="6"/>
  <c r="AG918" i="6"/>
  <c r="AF918" i="6"/>
  <c r="AE918" i="6"/>
  <c r="AD918" i="6"/>
  <c r="AC918" i="6"/>
  <c r="AB918" i="6"/>
  <c r="AA918" i="6"/>
  <c r="Z918" i="6"/>
  <c r="Y918" i="6"/>
  <c r="X918" i="6"/>
  <c r="W918" i="6"/>
  <c r="V918" i="6"/>
  <c r="U918" i="6"/>
  <c r="T918" i="6"/>
  <c r="S918" i="6"/>
  <c r="R918" i="6"/>
  <c r="Q918" i="6"/>
  <c r="P918" i="6"/>
  <c r="O918" i="6"/>
  <c r="N918" i="6"/>
  <c r="M918" i="6"/>
  <c r="L918" i="6"/>
  <c r="K918" i="6"/>
  <c r="J918" i="6"/>
  <c r="I918" i="6"/>
  <c r="H918" i="6"/>
  <c r="G918" i="6"/>
  <c r="F918" i="6"/>
  <c r="E918" i="6"/>
  <c r="D918" i="6"/>
  <c r="C918" i="6"/>
  <c r="B918" i="6"/>
  <c r="A918" i="6"/>
  <c r="AH917" i="6"/>
  <c r="AG917" i="6"/>
  <c r="AF917" i="6"/>
  <c r="AE917" i="6"/>
  <c r="AD917" i="6"/>
  <c r="AC917" i="6"/>
  <c r="AB917" i="6"/>
  <c r="AA917" i="6"/>
  <c r="Z917" i="6"/>
  <c r="Y917" i="6"/>
  <c r="X917" i="6"/>
  <c r="W917" i="6"/>
  <c r="V917" i="6"/>
  <c r="U917" i="6"/>
  <c r="T917" i="6"/>
  <c r="S917" i="6"/>
  <c r="R917" i="6"/>
  <c r="Q917" i="6"/>
  <c r="P917" i="6"/>
  <c r="O917" i="6"/>
  <c r="N917" i="6"/>
  <c r="M917" i="6"/>
  <c r="L917" i="6"/>
  <c r="K917" i="6"/>
  <c r="J917" i="6"/>
  <c r="I917" i="6"/>
  <c r="H917" i="6"/>
  <c r="G917" i="6"/>
  <c r="F917" i="6"/>
  <c r="E917" i="6"/>
  <c r="D917" i="6"/>
  <c r="C917" i="6"/>
  <c r="B917" i="6"/>
  <c r="A917" i="6"/>
  <c r="AH916" i="6"/>
  <c r="AG916" i="6"/>
  <c r="AF916" i="6"/>
  <c r="AE916" i="6"/>
  <c r="AD916" i="6"/>
  <c r="AC916" i="6"/>
  <c r="AB916" i="6"/>
  <c r="AA916" i="6"/>
  <c r="Z916" i="6"/>
  <c r="Y916" i="6"/>
  <c r="X916" i="6"/>
  <c r="W916" i="6"/>
  <c r="V916" i="6"/>
  <c r="U916" i="6"/>
  <c r="T916" i="6"/>
  <c r="S916" i="6"/>
  <c r="R916" i="6"/>
  <c r="Q916" i="6"/>
  <c r="P916" i="6"/>
  <c r="O916" i="6"/>
  <c r="N916" i="6"/>
  <c r="M916" i="6"/>
  <c r="L916" i="6"/>
  <c r="K916" i="6"/>
  <c r="J916" i="6"/>
  <c r="I916" i="6"/>
  <c r="H916" i="6"/>
  <c r="G916" i="6"/>
  <c r="F916" i="6"/>
  <c r="E916" i="6"/>
  <c r="D916" i="6"/>
  <c r="C916" i="6"/>
  <c r="B916" i="6"/>
  <c r="A916" i="6"/>
  <c r="AH915" i="6"/>
  <c r="AG915" i="6"/>
  <c r="AF915" i="6"/>
  <c r="AE915" i="6"/>
  <c r="AD915" i="6"/>
  <c r="AC915" i="6"/>
  <c r="AB915" i="6"/>
  <c r="AA915" i="6"/>
  <c r="Z915" i="6"/>
  <c r="Y915" i="6"/>
  <c r="X915" i="6"/>
  <c r="W915" i="6"/>
  <c r="V915" i="6"/>
  <c r="U915" i="6"/>
  <c r="T915" i="6"/>
  <c r="S915" i="6"/>
  <c r="R915" i="6"/>
  <c r="Q915" i="6"/>
  <c r="P915" i="6"/>
  <c r="O915" i="6"/>
  <c r="N915" i="6"/>
  <c r="M915" i="6"/>
  <c r="L915" i="6"/>
  <c r="K915" i="6"/>
  <c r="J915" i="6"/>
  <c r="I915" i="6"/>
  <c r="H915" i="6"/>
  <c r="G915" i="6"/>
  <c r="F915" i="6"/>
  <c r="E915" i="6"/>
  <c r="D915" i="6"/>
  <c r="C915" i="6"/>
  <c r="B915" i="6"/>
  <c r="A915" i="6"/>
  <c r="AH914" i="6"/>
  <c r="AG914" i="6"/>
  <c r="AF914" i="6"/>
  <c r="AE914" i="6"/>
  <c r="AD914" i="6"/>
  <c r="AC914" i="6"/>
  <c r="AB914" i="6"/>
  <c r="AA914" i="6"/>
  <c r="Z914" i="6"/>
  <c r="Y914" i="6"/>
  <c r="X914" i="6"/>
  <c r="W914" i="6"/>
  <c r="V914" i="6"/>
  <c r="U914" i="6"/>
  <c r="T914" i="6"/>
  <c r="S914" i="6"/>
  <c r="R914" i="6"/>
  <c r="Q914" i="6"/>
  <c r="P914" i="6"/>
  <c r="O914" i="6"/>
  <c r="N914" i="6"/>
  <c r="M914" i="6"/>
  <c r="L914" i="6"/>
  <c r="K914" i="6"/>
  <c r="J914" i="6"/>
  <c r="I914" i="6"/>
  <c r="H914" i="6"/>
  <c r="G914" i="6"/>
  <c r="F914" i="6"/>
  <c r="E914" i="6"/>
  <c r="D914" i="6"/>
  <c r="C914" i="6"/>
  <c r="B914" i="6"/>
  <c r="A914" i="6"/>
  <c r="AH913" i="6"/>
  <c r="AG913" i="6"/>
  <c r="AF913" i="6"/>
  <c r="AE913" i="6"/>
  <c r="AD913" i="6"/>
  <c r="AC913" i="6"/>
  <c r="AB913" i="6"/>
  <c r="AA913" i="6"/>
  <c r="Z913" i="6"/>
  <c r="Y913" i="6"/>
  <c r="X913" i="6"/>
  <c r="W913" i="6"/>
  <c r="V913" i="6"/>
  <c r="U913" i="6"/>
  <c r="T913" i="6"/>
  <c r="S913" i="6"/>
  <c r="R913" i="6"/>
  <c r="Q913" i="6"/>
  <c r="P913" i="6"/>
  <c r="O913" i="6"/>
  <c r="N913" i="6"/>
  <c r="M913" i="6"/>
  <c r="L913" i="6"/>
  <c r="K913" i="6"/>
  <c r="J913" i="6"/>
  <c r="I913" i="6"/>
  <c r="H913" i="6"/>
  <c r="G913" i="6"/>
  <c r="F913" i="6"/>
  <c r="E913" i="6"/>
  <c r="D913" i="6"/>
  <c r="C913" i="6"/>
  <c r="B913" i="6"/>
  <c r="A913" i="6"/>
  <c r="AH912" i="6"/>
  <c r="AG912" i="6"/>
  <c r="AF912" i="6"/>
  <c r="AE912" i="6"/>
  <c r="AD912" i="6"/>
  <c r="AC912" i="6"/>
  <c r="AB912" i="6"/>
  <c r="AA912" i="6"/>
  <c r="Z912" i="6"/>
  <c r="Y912" i="6"/>
  <c r="X912" i="6"/>
  <c r="W912" i="6"/>
  <c r="V912" i="6"/>
  <c r="U912" i="6"/>
  <c r="T912" i="6"/>
  <c r="S912" i="6"/>
  <c r="R912" i="6"/>
  <c r="Q912" i="6"/>
  <c r="P912" i="6"/>
  <c r="O912" i="6"/>
  <c r="N912" i="6"/>
  <c r="M912" i="6"/>
  <c r="L912" i="6"/>
  <c r="K912" i="6"/>
  <c r="J912" i="6"/>
  <c r="I912" i="6"/>
  <c r="H912" i="6"/>
  <c r="G912" i="6"/>
  <c r="F912" i="6"/>
  <c r="E912" i="6"/>
  <c r="D912" i="6"/>
  <c r="C912" i="6"/>
  <c r="B912" i="6"/>
  <c r="A912" i="6"/>
  <c r="AH911" i="6"/>
  <c r="AG911" i="6"/>
  <c r="AF911" i="6"/>
  <c r="AE911" i="6"/>
  <c r="AD911" i="6"/>
  <c r="AC911" i="6"/>
  <c r="AB911" i="6"/>
  <c r="AA911" i="6"/>
  <c r="Z911" i="6"/>
  <c r="Y911" i="6"/>
  <c r="X911" i="6"/>
  <c r="W911" i="6"/>
  <c r="V911" i="6"/>
  <c r="U911" i="6"/>
  <c r="T911" i="6"/>
  <c r="S911" i="6"/>
  <c r="R911" i="6"/>
  <c r="Q911" i="6"/>
  <c r="P911" i="6"/>
  <c r="O911" i="6"/>
  <c r="N911" i="6"/>
  <c r="M911" i="6"/>
  <c r="L911" i="6"/>
  <c r="K911" i="6"/>
  <c r="J911" i="6"/>
  <c r="I911" i="6"/>
  <c r="H911" i="6"/>
  <c r="G911" i="6"/>
  <c r="F911" i="6"/>
  <c r="E911" i="6"/>
  <c r="D911" i="6"/>
  <c r="C911" i="6"/>
  <c r="B911" i="6"/>
  <c r="A911" i="6"/>
  <c r="AH910" i="6"/>
  <c r="AG910" i="6"/>
  <c r="AF910" i="6"/>
  <c r="AE910" i="6"/>
  <c r="AD910" i="6"/>
  <c r="AC910" i="6"/>
  <c r="AB910" i="6"/>
  <c r="AA910" i="6"/>
  <c r="Z910" i="6"/>
  <c r="Y910" i="6"/>
  <c r="X910" i="6"/>
  <c r="W910" i="6"/>
  <c r="V910" i="6"/>
  <c r="U910" i="6"/>
  <c r="T910" i="6"/>
  <c r="S910" i="6"/>
  <c r="R910" i="6"/>
  <c r="Q910" i="6"/>
  <c r="P910" i="6"/>
  <c r="O910" i="6"/>
  <c r="N910" i="6"/>
  <c r="M910" i="6"/>
  <c r="L910" i="6"/>
  <c r="K910" i="6"/>
  <c r="J910" i="6"/>
  <c r="I910" i="6"/>
  <c r="H910" i="6"/>
  <c r="G910" i="6"/>
  <c r="F910" i="6"/>
  <c r="E910" i="6"/>
  <c r="D910" i="6"/>
  <c r="C910" i="6"/>
  <c r="B910" i="6"/>
  <c r="A910" i="6"/>
  <c r="AH909" i="6"/>
  <c r="AG909" i="6"/>
  <c r="AF909" i="6"/>
  <c r="AE909" i="6"/>
  <c r="AD909" i="6"/>
  <c r="AC909" i="6"/>
  <c r="AB909" i="6"/>
  <c r="AA909" i="6"/>
  <c r="Z909" i="6"/>
  <c r="Y909" i="6"/>
  <c r="X909" i="6"/>
  <c r="W909" i="6"/>
  <c r="V909" i="6"/>
  <c r="U909" i="6"/>
  <c r="T909" i="6"/>
  <c r="S909" i="6"/>
  <c r="R909" i="6"/>
  <c r="Q909" i="6"/>
  <c r="P909" i="6"/>
  <c r="O909" i="6"/>
  <c r="N909" i="6"/>
  <c r="M909" i="6"/>
  <c r="L909" i="6"/>
  <c r="K909" i="6"/>
  <c r="J909" i="6"/>
  <c r="I909" i="6"/>
  <c r="H909" i="6"/>
  <c r="G909" i="6"/>
  <c r="F909" i="6"/>
  <c r="E909" i="6"/>
  <c r="D909" i="6"/>
  <c r="C909" i="6"/>
  <c r="B909" i="6"/>
  <c r="A909" i="6"/>
  <c r="AH908" i="6"/>
  <c r="AG908" i="6"/>
  <c r="AF908" i="6"/>
  <c r="AE908" i="6"/>
  <c r="AD908" i="6"/>
  <c r="AC908" i="6"/>
  <c r="AB908" i="6"/>
  <c r="AA908" i="6"/>
  <c r="Z908" i="6"/>
  <c r="Y908" i="6"/>
  <c r="X908" i="6"/>
  <c r="W908" i="6"/>
  <c r="V908" i="6"/>
  <c r="U908" i="6"/>
  <c r="T908" i="6"/>
  <c r="S908" i="6"/>
  <c r="R908" i="6"/>
  <c r="Q908" i="6"/>
  <c r="P908" i="6"/>
  <c r="O908" i="6"/>
  <c r="N908" i="6"/>
  <c r="M908" i="6"/>
  <c r="L908" i="6"/>
  <c r="K908" i="6"/>
  <c r="J908" i="6"/>
  <c r="I908" i="6"/>
  <c r="H908" i="6"/>
  <c r="G908" i="6"/>
  <c r="F908" i="6"/>
  <c r="E908" i="6"/>
  <c r="D908" i="6"/>
  <c r="C908" i="6"/>
  <c r="B908" i="6"/>
  <c r="A908" i="6"/>
  <c r="AH907" i="6"/>
  <c r="AG907" i="6"/>
  <c r="AF907" i="6"/>
  <c r="AE907" i="6"/>
  <c r="AD907" i="6"/>
  <c r="AC907" i="6"/>
  <c r="AB907" i="6"/>
  <c r="AA907" i="6"/>
  <c r="Z907" i="6"/>
  <c r="Y907" i="6"/>
  <c r="X907" i="6"/>
  <c r="W907" i="6"/>
  <c r="V907" i="6"/>
  <c r="U907" i="6"/>
  <c r="T907" i="6"/>
  <c r="S907" i="6"/>
  <c r="R907" i="6"/>
  <c r="Q907" i="6"/>
  <c r="P907" i="6"/>
  <c r="O907" i="6"/>
  <c r="N907" i="6"/>
  <c r="M907" i="6"/>
  <c r="L907" i="6"/>
  <c r="K907" i="6"/>
  <c r="J907" i="6"/>
  <c r="I907" i="6"/>
  <c r="H907" i="6"/>
  <c r="G907" i="6"/>
  <c r="F907" i="6"/>
  <c r="E907" i="6"/>
  <c r="D907" i="6"/>
  <c r="C907" i="6"/>
  <c r="B907" i="6"/>
  <c r="A907" i="6"/>
  <c r="AH906" i="6"/>
  <c r="AG906" i="6"/>
  <c r="AF906" i="6"/>
  <c r="AE906" i="6"/>
  <c r="AD906" i="6"/>
  <c r="AC906" i="6"/>
  <c r="AB906" i="6"/>
  <c r="AA906" i="6"/>
  <c r="Z906" i="6"/>
  <c r="Y906" i="6"/>
  <c r="X906" i="6"/>
  <c r="W906" i="6"/>
  <c r="V906" i="6"/>
  <c r="U906" i="6"/>
  <c r="T906" i="6"/>
  <c r="S906" i="6"/>
  <c r="R906" i="6"/>
  <c r="Q906" i="6"/>
  <c r="P906" i="6"/>
  <c r="O906" i="6"/>
  <c r="N906" i="6"/>
  <c r="M906" i="6"/>
  <c r="L906" i="6"/>
  <c r="K906" i="6"/>
  <c r="J906" i="6"/>
  <c r="I906" i="6"/>
  <c r="H906" i="6"/>
  <c r="G906" i="6"/>
  <c r="F906" i="6"/>
  <c r="E906" i="6"/>
  <c r="D906" i="6"/>
  <c r="C906" i="6"/>
  <c r="B906" i="6"/>
  <c r="A906" i="6"/>
  <c r="AH905" i="6"/>
  <c r="AG905" i="6"/>
  <c r="AF905" i="6"/>
  <c r="AE905" i="6"/>
  <c r="AD905" i="6"/>
  <c r="AC905" i="6"/>
  <c r="AB905" i="6"/>
  <c r="AA905" i="6"/>
  <c r="Z905" i="6"/>
  <c r="Y905" i="6"/>
  <c r="X905" i="6"/>
  <c r="W905" i="6"/>
  <c r="V905" i="6"/>
  <c r="U905" i="6"/>
  <c r="T905" i="6"/>
  <c r="S905" i="6"/>
  <c r="R905" i="6"/>
  <c r="Q905" i="6"/>
  <c r="P905" i="6"/>
  <c r="O905" i="6"/>
  <c r="N905" i="6"/>
  <c r="M905" i="6"/>
  <c r="L905" i="6"/>
  <c r="K905" i="6"/>
  <c r="J905" i="6"/>
  <c r="I905" i="6"/>
  <c r="H905" i="6"/>
  <c r="G905" i="6"/>
  <c r="F905" i="6"/>
  <c r="E905" i="6"/>
  <c r="D905" i="6"/>
  <c r="C905" i="6"/>
  <c r="B905" i="6"/>
  <c r="A905" i="6"/>
  <c r="AH904" i="6"/>
  <c r="AG904" i="6"/>
  <c r="AF904" i="6"/>
  <c r="AE904" i="6"/>
  <c r="AD904" i="6"/>
  <c r="AC904" i="6"/>
  <c r="AB904" i="6"/>
  <c r="AA904" i="6"/>
  <c r="Z904" i="6"/>
  <c r="Y904" i="6"/>
  <c r="X904" i="6"/>
  <c r="W904" i="6"/>
  <c r="V904" i="6"/>
  <c r="U904" i="6"/>
  <c r="T904" i="6"/>
  <c r="S904" i="6"/>
  <c r="R904" i="6"/>
  <c r="Q904" i="6"/>
  <c r="P904" i="6"/>
  <c r="O904" i="6"/>
  <c r="N904" i="6"/>
  <c r="M904" i="6"/>
  <c r="L904" i="6"/>
  <c r="K904" i="6"/>
  <c r="J904" i="6"/>
  <c r="I904" i="6"/>
  <c r="H904" i="6"/>
  <c r="G904" i="6"/>
  <c r="F904" i="6"/>
  <c r="E904" i="6"/>
  <c r="D904" i="6"/>
  <c r="C904" i="6"/>
  <c r="B904" i="6"/>
  <c r="A904" i="6"/>
  <c r="AH903" i="6"/>
  <c r="AG903" i="6"/>
  <c r="AF903" i="6"/>
  <c r="AE903" i="6"/>
  <c r="AD903" i="6"/>
  <c r="AC903" i="6"/>
  <c r="AB903" i="6"/>
  <c r="AA903" i="6"/>
  <c r="Z903" i="6"/>
  <c r="Y903" i="6"/>
  <c r="X903" i="6"/>
  <c r="W903" i="6"/>
  <c r="V903" i="6"/>
  <c r="U903" i="6"/>
  <c r="T903" i="6"/>
  <c r="S903" i="6"/>
  <c r="R903" i="6"/>
  <c r="Q903" i="6"/>
  <c r="P903" i="6"/>
  <c r="O903" i="6"/>
  <c r="N903" i="6"/>
  <c r="M903" i="6"/>
  <c r="L903" i="6"/>
  <c r="K903" i="6"/>
  <c r="J903" i="6"/>
  <c r="I903" i="6"/>
  <c r="H903" i="6"/>
  <c r="G903" i="6"/>
  <c r="F903" i="6"/>
  <c r="E903" i="6"/>
  <c r="D903" i="6"/>
  <c r="C903" i="6"/>
  <c r="B903" i="6"/>
  <c r="A903" i="6"/>
  <c r="AH902" i="6"/>
  <c r="AG902" i="6"/>
  <c r="AF902" i="6"/>
  <c r="AE902" i="6"/>
  <c r="AD902" i="6"/>
  <c r="AC902" i="6"/>
  <c r="AB902" i="6"/>
  <c r="AA902" i="6"/>
  <c r="Z902" i="6"/>
  <c r="Y902" i="6"/>
  <c r="X902" i="6"/>
  <c r="W902" i="6"/>
  <c r="V902" i="6"/>
  <c r="U902" i="6"/>
  <c r="T902" i="6"/>
  <c r="S902" i="6"/>
  <c r="R902" i="6"/>
  <c r="Q902" i="6"/>
  <c r="P902" i="6"/>
  <c r="O902" i="6"/>
  <c r="N902" i="6"/>
  <c r="M902" i="6"/>
  <c r="L902" i="6"/>
  <c r="K902" i="6"/>
  <c r="J902" i="6"/>
  <c r="I902" i="6"/>
  <c r="H902" i="6"/>
  <c r="G902" i="6"/>
  <c r="F902" i="6"/>
  <c r="E902" i="6"/>
  <c r="D902" i="6"/>
  <c r="C902" i="6"/>
  <c r="B902" i="6"/>
  <c r="A902" i="6"/>
  <c r="AH901" i="6"/>
  <c r="AG901" i="6"/>
  <c r="AF901" i="6"/>
  <c r="AE901" i="6"/>
  <c r="AD901" i="6"/>
  <c r="AC901" i="6"/>
  <c r="AB901" i="6"/>
  <c r="AA901" i="6"/>
  <c r="Z901" i="6"/>
  <c r="Y901" i="6"/>
  <c r="X901" i="6"/>
  <c r="W901" i="6"/>
  <c r="V901" i="6"/>
  <c r="U901" i="6"/>
  <c r="T901" i="6"/>
  <c r="S901" i="6"/>
  <c r="R901" i="6"/>
  <c r="Q901" i="6"/>
  <c r="P901" i="6"/>
  <c r="O901" i="6"/>
  <c r="N901" i="6"/>
  <c r="M901" i="6"/>
  <c r="L901" i="6"/>
  <c r="K901" i="6"/>
  <c r="J901" i="6"/>
  <c r="I901" i="6"/>
  <c r="H901" i="6"/>
  <c r="G901" i="6"/>
  <c r="F901" i="6"/>
  <c r="E901" i="6"/>
  <c r="D901" i="6"/>
  <c r="C901" i="6"/>
  <c r="B901" i="6"/>
  <c r="A901" i="6"/>
  <c r="AH900" i="6"/>
  <c r="AG900" i="6"/>
  <c r="AF900" i="6"/>
  <c r="AE900" i="6"/>
  <c r="AD900" i="6"/>
  <c r="AC900" i="6"/>
  <c r="AB900" i="6"/>
  <c r="AA900" i="6"/>
  <c r="Z900" i="6"/>
  <c r="Y900" i="6"/>
  <c r="X900" i="6"/>
  <c r="W900" i="6"/>
  <c r="V900" i="6"/>
  <c r="U900" i="6"/>
  <c r="T900" i="6"/>
  <c r="S900" i="6"/>
  <c r="R900" i="6"/>
  <c r="Q900" i="6"/>
  <c r="P900" i="6"/>
  <c r="O900" i="6"/>
  <c r="N900" i="6"/>
  <c r="M900" i="6"/>
  <c r="L900" i="6"/>
  <c r="K900" i="6"/>
  <c r="J900" i="6"/>
  <c r="I900" i="6"/>
  <c r="H900" i="6"/>
  <c r="G900" i="6"/>
  <c r="F900" i="6"/>
  <c r="E900" i="6"/>
  <c r="D900" i="6"/>
  <c r="C900" i="6"/>
  <c r="B900" i="6"/>
  <c r="A900" i="6"/>
  <c r="AH899" i="6"/>
  <c r="AG899" i="6"/>
  <c r="AF899" i="6"/>
  <c r="AE899" i="6"/>
  <c r="AD899" i="6"/>
  <c r="AC899" i="6"/>
  <c r="AB899" i="6"/>
  <c r="AA899" i="6"/>
  <c r="Z899" i="6"/>
  <c r="Y899" i="6"/>
  <c r="X899" i="6"/>
  <c r="W899" i="6"/>
  <c r="V899" i="6"/>
  <c r="U899" i="6"/>
  <c r="T899" i="6"/>
  <c r="S899" i="6"/>
  <c r="R899" i="6"/>
  <c r="Q899" i="6"/>
  <c r="P899" i="6"/>
  <c r="O899" i="6"/>
  <c r="N899" i="6"/>
  <c r="M899" i="6"/>
  <c r="L899" i="6"/>
  <c r="K899" i="6"/>
  <c r="J899" i="6"/>
  <c r="I899" i="6"/>
  <c r="H899" i="6"/>
  <c r="G899" i="6"/>
  <c r="F899" i="6"/>
  <c r="E899" i="6"/>
  <c r="D899" i="6"/>
  <c r="C899" i="6"/>
  <c r="B899" i="6"/>
  <c r="A899" i="6"/>
  <c r="AH898" i="6"/>
  <c r="AG898" i="6"/>
  <c r="AF898" i="6"/>
  <c r="AE898" i="6"/>
  <c r="AD898" i="6"/>
  <c r="AC898" i="6"/>
  <c r="AB898" i="6"/>
  <c r="AA898" i="6"/>
  <c r="Z898" i="6"/>
  <c r="Y898" i="6"/>
  <c r="X898" i="6"/>
  <c r="W898" i="6"/>
  <c r="V898" i="6"/>
  <c r="U898" i="6"/>
  <c r="T898" i="6"/>
  <c r="S898" i="6"/>
  <c r="R898" i="6"/>
  <c r="Q898" i="6"/>
  <c r="P898" i="6"/>
  <c r="O898" i="6"/>
  <c r="N898" i="6"/>
  <c r="M898" i="6"/>
  <c r="L898" i="6"/>
  <c r="K898" i="6"/>
  <c r="J898" i="6"/>
  <c r="I898" i="6"/>
  <c r="H898" i="6"/>
  <c r="G898" i="6"/>
  <c r="F898" i="6"/>
  <c r="E898" i="6"/>
  <c r="D898" i="6"/>
  <c r="C898" i="6"/>
  <c r="B898" i="6"/>
  <c r="A898" i="6"/>
  <c r="AH897" i="6"/>
  <c r="AG897" i="6"/>
  <c r="AF897" i="6"/>
  <c r="AE897" i="6"/>
  <c r="AD897" i="6"/>
  <c r="AC897" i="6"/>
  <c r="AB897" i="6"/>
  <c r="AA897" i="6"/>
  <c r="Z897" i="6"/>
  <c r="Y897" i="6"/>
  <c r="X897" i="6"/>
  <c r="W897" i="6"/>
  <c r="V897" i="6"/>
  <c r="U897" i="6"/>
  <c r="T897" i="6"/>
  <c r="S897" i="6"/>
  <c r="R897" i="6"/>
  <c r="Q897" i="6"/>
  <c r="P897" i="6"/>
  <c r="O897" i="6"/>
  <c r="N897" i="6"/>
  <c r="M897" i="6"/>
  <c r="L897" i="6"/>
  <c r="K897" i="6"/>
  <c r="J897" i="6"/>
  <c r="I897" i="6"/>
  <c r="H897" i="6"/>
  <c r="G897" i="6"/>
  <c r="F897" i="6"/>
  <c r="E897" i="6"/>
  <c r="D897" i="6"/>
  <c r="C897" i="6"/>
  <c r="B897" i="6"/>
  <c r="A897" i="6"/>
  <c r="AH896" i="6"/>
  <c r="AG896" i="6"/>
  <c r="AF896" i="6"/>
  <c r="AE896" i="6"/>
  <c r="AD896" i="6"/>
  <c r="AC896" i="6"/>
  <c r="AB896" i="6"/>
  <c r="AA896" i="6"/>
  <c r="Z896" i="6"/>
  <c r="Y896" i="6"/>
  <c r="X896" i="6"/>
  <c r="W896" i="6"/>
  <c r="V896" i="6"/>
  <c r="U896" i="6"/>
  <c r="T896" i="6"/>
  <c r="S896" i="6"/>
  <c r="R896" i="6"/>
  <c r="Q896" i="6"/>
  <c r="P896" i="6"/>
  <c r="O896" i="6"/>
  <c r="N896" i="6"/>
  <c r="M896" i="6"/>
  <c r="L896" i="6"/>
  <c r="K896" i="6"/>
  <c r="J896" i="6"/>
  <c r="I896" i="6"/>
  <c r="H896" i="6"/>
  <c r="G896" i="6"/>
  <c r="F896" i="6"/>
  <c r="E896" i="6"/>
  <c r="D896" i="6"/>
  <c r="C896" i="6"/>
  <c r="B896" i="6"/>
  <c r="A896" i="6"/>
  <c r="AH895" i="6"/>
  <c r="AG895" i="6"/>
  <c r="AF895" i="6"/>
  <c r="AE895" i="6"/>
  <c r="AD895" i="6"/>
  <c r="AC895" i="6"/>
  <c r="AB895" i="6"/>
  <c r="AA895" i="6"/>
  <c r="Z895" i="6"/>
  <c r="Y895" i="6"/>
  <c r="X895" i="6"/>
  <c r="W895" i="6"/>
  <c r="V895" i="6"/>
  <c r="U895" i="6"/>
  <c r="T895" i="6"/>
  <c r="S895" i="6"/>
  <c r="R895" i="6"/>
  <c r="Q895" i="6"/>
  <c r="P895" i="6"/>
  <c r="O895" i="6"/>
  <c r="N895" i="6"/>
  <c r="M895" i="6"/>
  <c r="L895" i="6"/>
  <c r="K895" i="6"/>
  <c r="J895" i="6"/>
  <c r="I895" i="6"/>
  <c r="H895" i="6"/>
  <c r="G895" i="6"/>
  <c r="F895" i="6"/>
  <c r="E895" i="6"/>
  <c r="D895" i="6"/>
  <c r="C895" i="6"/>
  <c r="B895" i="6"/>
  <c r="A895" i="6"/>
  <c r="AH894" i="6"/>
  <c r="AG894" i="6"/>
  <c r="AF894" i="6"/>
  <c r="AE894" i="6"/>
  <c r="AD894" i="6"/>
  <c r="AC894" i="6"/>
  <c r="AB894" i="6"/>
  <c r="AA894" i="6"/>
  <c r="Z894" i="6"/>
  <c r="Y894" i="6"/>
  <c r="X894" i="6"/>
  <c r="W894" i="6"/>
  <c r="V894" i="6"/>
  <c r="U894" i="6"/>
  <c r="T894" i="6"/>
  <c r="S894" i="6"/>
  <c r="R894" i="6"/>
  <c r="Q894" i="6"/>
  <c r="P894" i="6"/>
  <c r="O894" i="6"/>
  <c r="N894" i="6"/>
  <c r="M894" i="6"/>
  <c r="L894" i="6"/>
  <c r="K894" i="6"/>
  <c r="J894" i="6"/>
  <c r="I894" i="6"/>
  <c r="H894" i="6"/>
  <c r="G894" i="6"/>
  <c r="F894" i="6"/>
  <c r="E894" i="6"/>
  <c r="D894" i="6"/>
  <c r="C894" i="6"/>
  <c r="B894" i="6"/>
  <c r="A894" i="6"/>
  <c r="AH893" i="6"/>
  <c r="AG893" i="6"/>
  <c r="AF893" i="6"/>
  <c r="AE893" i="6"/>
  <c r="AD893" i="6"/>
  <c r="AC893" i="6"/>
  <c r="AB893" i="6"/>
  <c r="AA893" i="6"/>
  <c r="Z893" i="6"/>
  <c r="Y893" i="6"/>
  <c r="X893" i="6"/>
  <c r="W893" i="6"/>
  <c r="V893" i="6"/>
  <c r="U893" i="6"/>
  <c r="T893" i="6"/>
  <c r="S893" i="6"/>
  <c r="R893" i="6"/>
  <c r="Q893" i="6"/>
  <c r="P893" i="6"/>
  <c r="O893" i="6"/>
  <c r="N893" i="6"/>
  <c r="M893" i="6"/>
  <c r="L893" i="6"/>
  <c r="K893" i="6"/>
  <c r="J893" i="6"/>
  <c r="I893" i="6"/>
  <c r="H893" i="6"/>
  <c r="G893" i="6"/>
  <c r="F893" i="6"/>
  <c r="E893" i="6"/>
  <c r="D893" i="6"/>
  <c r="C893" i="6"/>
  <c r="B893" i="6"/>
  <c r="A893" i="6"/>
  <c r="AH892" i="6"/>
  <c r="AG892" i="6"/>
  <c r="AF892" i="6"/>
  <c r="AE892" i="6"/>
  <c r="AD892" i="6"/>
  <c r="AC892" i="6"/>
  <c r="AB892" i="6"/>
  <c r="AA892" i="6"/>
  <c r="Z892" i="6"/>
  <c r="Y892" i="6"/>
  <c r="X892" i="6"/>
  <c r="W892" i="6"/>
  <c r="V892" i="6"/>
  <c r="U892" i="6"/>
  <c r="T892" i="6"/>
  <c r="S892" i="6"/>
  <c r="R892" i="6"/>
  <c r="Q892" i="6"/>
  <c r="P892" i="6"/>
  <c r="O892" i="6"/>
  <c r="N892" i="6"/>
  <c r="M892" i="6"/>
  <c r="L892" i="6"/>
  <c r="K892" i="6"/>
  <c r="J892" i="6"/>
  <c r="I892" i="6"/>
  <c r="H892" i="6"/>
  <c r="G892" i="6"/>
  <c r="F892" i="6"/>
  <c r="E892" i="6"/>
  <c r="D892" i="6"/>
  <c r="C892" i="6"/>
  <c r="B892" i="6"/>
  <c r="A892" i="6"/>
  <c r="AH891" i="6"/>
  <c r="AG891" i="6"/>
  <c r="AF891" i="6"/>
  <c r="AE891" i="6"/>
  <c r="AD891" i="6"/>
  <c r="AC891" i="6"/>
  <c r="AB891" i="6"/>
  <c r="AA891" i="6"/>
  <c r="Z891" i="6"/>
  <c r="Y891" i="6"/>
  <c r="X891" i="6"/>
  <c r="W891" i="6"/>
  <c r="V891" i="6"/>
  <c r="U891" i="6"/>
  <c r="T891" i="6"/>
  <c r="S891" i="6"/>
  <c r="R891" i="6"/>
  <c r="Q891" i="6"/>
  <c r="P891" i="6"/>
  <c r="O891" i="6"/>
  <c r="N891" i="6"/>
  <c r="M891" i="6"/>
  <c r="L891" i="6"/>
  <c r="K891" i="6"/>
  <c r="J891" i="6"/>
  <c r="I891" i="6"/>
  <c r="H891" i="6"/>
  <c r="G891" i="6"/>
  <c r="F891" i="6"/>
  <c r="E891" i="6"/>
  <c r="D891" i="6"/>
  <c r="C891" i="6"/>
  <c r="B891" i="6"/>
  <c r="A891" i="6"/>
  <c r="AH890" i="6"/>
  <c r="AG890" i="6"/>
  <c r="AF890" i="6"/>
  <c r="AE890" i="6"/>
  <c r="AD890" i="6"/>
  <c r="AC890" i="6"/>
  <c r="AB890" i="6"/>
  <c r="AA890" i="6"/>
  <c r="Z890" i="6"/>
  <c r="Y890" i="6"/>
  <c r="X890" i="6"/>
  <c r="W890" i="6"/>
  <c r="V890" i="6"/>
  <c r="U890" i="6"/>
  <c r="T890" i="6"/>
  <c r="S890" i="6"/>
  <c r="R890" i="6"/>
  <c r="Q890" i="6"/>
  <c r="P890" i="6"/>
  <c r="O890" i="6"/>
  <c r="N890" i="6"/>
  <c r="M890" i="6"/>
  <c r="L890" i="6"/>
  <c r="K890" i="6"/>
  <c r="J890" i="6"/>
  <c r="I890" i="6"/>
  <c r="H890" i="6"/>
  <c r="G890" i="6"/>
  <c r="F890" i="6"/>
  <c r="E890" i="6"/>
  <c r="D890" i="6"/>
  <c r="C890" i="6"/>
  <c r="B890" i="6"/>
  <c r="A890" i="6"/>
  <c r="AH889" i="6"/>
  <c r="AG889" i="6"/>
  <c r="AF889" i="6"/>
  <c r="AE889" i="6"/>
  <c r="AD889" i="6"/>
  <c r="AC889" i="6"/>
  <c r="AB889" i="6"/>
  <c r="AA889" i="6"/>
  <c r="Z889" i="6"/>
  <c r="Y889" i="6"/>
  <c r="X889" i="6"/>
  <c r="W889" i="6"/>
  <c r="V889" i="6"/>
  <c r="U889" i="6"/>
  <c r="T889" i="6"/>
  <c r="S889" i="6"/>
  <c r="R889" i="6"/>
  <c r="Q889" i="6"/>
  <c r="P889" i="6"/>
  <c r="O889" i="6"/>
  <c r="N889" i="6"/>
  <c r="M889" i="6"/>
  <c r="L889" i="6"/>
  <c r="K889" i="6"/>
  <c r="J889" i="6"/>
  <c r="I889" i="6"/>
  <c r="H889" i="6"/>
  <c r="G889" i="6"/>
  <c r="F889" i="6"/>
  <c r="E889" i="6"/>
  <c r="D889" i="6"/>
  <c r="C889" i="6"/>
  <c r="B889" i="6"/>
  <c r="A889" i="6"/>
  <c r="AH888" i="6"/>
  <c r="AG888" i="6"/>
  <c r="AF888" i="6"/>
  <c r="AE888" i="6"/>
  <c r="AD888" i="6"/>
  <c r="AC888" i="6"/>
  <c r="AB888" i="6"/>
  <c r="AA888" i="6"/>
  <c r="Z888" i="6"/>
  <c r="Y888" i="6"/>
  <c r="X888" i="6"/>
  <c r="W888" i="6"/>
  <c r="V888" i="6"/>
  <c r="U888" i="6"/>
  <c r="T888" i="6"/>
  <c r="S888" i="6"/>
  <c r="R888" i="6"/>
  <c r="Q888" i="6"/>
  <c r="P888" i="6"/>
  <c r="O888" i="6"/>
  <c r="N888" i="6"/>
  <c r="M888" i="6"/>
  <c r="L888" i="6"/>
  <c r="K888" i="6"/>
  <c r="J888" i="6"/>
  <c r="I888" i="6"/>
  <c r="H888" i="6"/>
  <c r="G888" i="6"/>
  <c r="F888" i="6"/>
  <c r="E888" i="6"/>
  <c r="D888" i="6"/>
  <c r="C888" i="6"/>
  <c r="B888" i="6"/>
  <c r="A888" i="6"/>
  <c r="AH887" i="6"/>
  <c r="AG887" i="6"/>
  <c r="AF887" i="6"/>
  <c r="AE887" i="6"/>
  <c r="AD887" i="6"/>
  <c r="AC887" i="6"/>
  <c r="AB887" i="6"/>
  <c r="AA887" i="6"/>
  <c r="Z887" i="6"/>
  <c r="Y887" i="6"/>
  <c r="X887" i="6"/>
  <c r="W887" i="6"/>
  <c r="V887" i="6"/>
  <c r="U887" i="6"/>
  <c r="T887" i="6"/>
  <c r="S887" i="6"/>
  <c r="R887" i="6"/>
  <c r="Q887" i="6"/>
  <c r="P887" i="6"/>
  <c r="O887" i="6"/>
  <c r="N887" i="6"/>
  <c r="M887" i="6"/>
  <c r="L887" i="6"/>
  <c r="K887" i="6"/>
  <c r="J887" i="6"/>
  <c r="I887" i="6"/>
  <c r="H887" i="6"/>
  <c r="G887" i="6"/>
  <c r="F887" i="6"/>
  <c r="E887" i="6"/>
  <c r="D887" i="6"/>
  <c r="C887" i="6"/>
  <c r="B887" i="6"/>
  <c r="A887" i="6"/>
  <c r="AH886" i="6"/>
  <c r="AG886" i="6"/>
  <c r="AF886" i="6"/>
  <c r="AE886" i="6"/>
  <c r="AD886" i="6"/>
  <c r="AC886" i="6"/>
  <c r="AB886" i="6"/>
  <c r="AA886" i="6"/>
  <c r="Z886" i="6"/>
  <c r="Y886" i="6"/>
  <c r="X886" i="6"/>
  <c r="W886" i="6"/>
  <c r="V886" i="6"/>
  <c r="U886" i="6"/>
  <c r="T886" i="6"/>
  <c r="S886" i="6"/>
  <c r="R886" i="6"/>
  <c r="Q886" i="6"/>
  <c r="P886" i="6"/>
  <c r="O886" i="6"/>
  <c r="N886" i="6"/>
  <c r="M886" i="6"/>
  <c r="L886" i="6"/>
  <c r="K886" i="6"/>
  <c r="J886" i="6"/>
  <c r="I886" i="6"/>
  <c r="H886" i="6"/>
  <c r="G886" i="6"/>
  <c r="F886" i="6"/>
  <c r="E886" i="6"/>
  <c r="D886" i="6"/>
  <c r="C886" i="6"/>
  <c r="B886" i="6"/>
  <c r="A886" i="6"/>
  <c r="AH885" i="6"/>
  <c r="AG885" i="6"/>
  <c r="AF885" i="6"/>
  <c r="AE885" i="6"/>
  <c r="AD885" i="6"/>
  <c r="AC885" i="6"/>
  <c r="AB885" i="6"/>
  <c r="AA885" i="6"/>
  <c r="Z885" i="6"/>
  <c r="Y885" i="6"/>
  <c r="X885" i="6"/>
  <c r="W885" i="6"/>
  <c r="V885" i="6"/>
  <c r="U885" i="6"/>
  <c r="T885" i="6"/>
  <c r="S885" i="6"/>
  <c r="R885" i="6"/>
  <c r="Q885" i="6"/>
  <c r="P885" i="6"/>
  <c r="O885" i="6"/>
  <c r="N885" i="6"/>
  <c r="M885" i="6"/>
  <c r="L885" i="6"/>
  <c r="K885" i="6"/>
  <c r="J885" i="6"/>
  <c r="I885" i="6"/>
  <c r="H885" i="6"/>
  <c r="G885" i="6"/>
  <c r="F885" i="6"/>
  <c r="E885" i="6"/>
  <c r="D885" i="6"/>
  <c r="C885" i="6"/>
  <c r="B885" i="6"/>
  <c r="A885" i="6"/>
  <c r="AH884" i="6"/>
  <c r="AG884" i="6"/>
  <c r="AF884" i="6"/>
  <c r="AE884" i="6"/>
  <c r="AD884" i="6"/>
  <c r="AC884" i="6"/>
  <c r="AB884" i="6"/>
  <c r="AA884" i="6"/>
  <c r="Z884" i="6"/>
  <c r="Y884" i="6"/>
  <c r="X884" i="6"/>
  <c r="W884" i="6"/>
  <c r="V884" i="6"/>
  <c r="U884" i="6"/>
  <c r="T884" i="6"/>
  <c r="S884" i="6"/>
  <c r="R884" i="6"/>
  <c r="Q884" i="6"/>
  <c r="P884" i="6"/>
  <c r="O884" i="6"/>
  <c r="N884" i="6"/>
  <c r="M884" i="6"/>
  <c r="L884" i="6"/>
  <c r="K884" i="6"/>
  <c r="J884" i="6"/>
  <c r="I884" i="6"/>
  <c r="H884" i="6"/>
  <c r="G884" i="6"/>
  <c r="F884" i="6"/>
  <c r="E884" i="6"/>
  <c r="D884" i="6"/>
  <c r="C884" i="6"/>
  <c r="B884" i="6"/>
  <c r="A884" i="6"/>
  <c r="AH883" i="6"/>
  <c r="AG883" i="6"/>
  <c r="AF883" i="6"/>
  <c r="AE883" i="6"/>
  <c r="AD883" i="6"/>
  <c r="AC883" i="6"/>
  <c r="AB883" i="6"/>
  <c r="AA883" i="6"/>
  <c r="Z883" i="6"/>
  <c r="Y883" i="6"/>
  <c r="X883" i="6"/>
  <c r="W883" i="6"/>
  <c r="V883" i="6"/>
  <c r="U883" i="6"/>
  <c r="T883" i="6"/>
  <c r="S883" i="6"/>
  <c r="R883" i="6"/>
  <c r="Q883" i="6"/>
  <c r="P883" i="6"/>
  <c r="O883" i="6"/>
  <c r="N883" i="6"/>
  <c r="M883" i="6"/>
  <c r="L883" i="6"/>
  <c r="K883" i="6"/>
  <c r="J883" i="6"/>
  <c r="I883" i="6"/>
  <c r="H883" i="6"/>
  <c r="G883" i="6"/>
  <c r="F883" i="6"/>
  <c r="E883" i="6"/>
  <c r="D883" i="6"/>
  <c r="C883" i="6"/>
  <c r="B883" i="6"/>
  <c r="A883" i="6"/>
  <c r="AH882" i="6"/>
  <c r="AG882" i="6"/>
  <c r="AF882" i="6"/>
  <c r="AE882" i="6"/>
  <c r="AD882" i="6"/>
  <c r="AC882" i="6"/>
  <c r="AB882" i="6"/>
  <c r="AA882" i="6"/>
  <c r="Z882" i="6"/>
  <c r="Y882" i="6"/>
  <c r="X882" i="6"/>
  <c r="W882" i="6"/>
  <c r="V882" i="6"/>
  <c r="U882" i="6"/>
  <c r="T882" i="6"/>
  <c r="S882" i="6"/>
  <c r="R882" i="6"/>
  <c r="Q882" i="6"/>
  <c r="P882" i="6"/>
  <c r="O882" i="6"/>
  <c r="N882" i="6"/>
  <c r="M882" i="6"/>
  <c r="L882" i="6"/>
  <c r="K882" i="6"/>
  <c r="J882" i="6"/>
  <c r="I882" i="6"/>
  <c r="H882" i="6"/>
  <c r="G882" i="6"/>
  <c r="F882" i="6"/>
  <c r="E882" i="6"/>
  <c r="D882" i="6"/>
  <c r="C882" i="6"/>
  <c r="B882" i="6"/>
  <c r="A882" i="6"/>
  <c r="AH881" i="6"/>
  <c r="AG881" i="6"/>
  <c r="AF881" i="6"/>
  <c r="AE881" i="6"/>
  <c r="AD881" i="6"/>
  <c r="AC881" i="6"/>
  <c r="AB881" i="6"/>
  <c r="AA881" i="6"/>
  <c r="Z881" i="6"/>
  <c r="Y881" i="6"/>
  <c r="X881" i="6"/>
  <c r="W881" i="6"/>
  <c r="V881" i="6"/>
  <c r="U881" i="6"/>
  <c r="T881" i="6"/>
  <c r="S881" i="6"/>
  <c r="R881" i="6"/>
  <c r="Q881" i="6"/>
  <c r="P881" i="6"/>
  <c r="O881" i="6"/>
  <c r="N881" i="6"/>
  <c r="M881" i="6"/>
  <c r="L881" i="6"/>
  <c r="K881" i="6"/>
  <c r="J881" i="6"/>
  <c r="I881" i="6"/>
  <c r="H881" i="6"/>
  <c r="G881" i="6"/>
  <c r="F881" i="6"/>
  <c r="E881" i="6"/>
  <c r="D881" i="6"/>
  <c r="C881" i="6"/>
  <c r="B881" i="6"/>
  <c r="A881" i="6"/>
  <c r="AH880" i="6"/>
  <c r="AG880" i="6"/>
  <c r="AF880" i="6"/>
  <c r="AE880" i="6"/>
  <c r="AD880" i="6"/>
  <c r="AC880" i="6"/>
  <c r="AB880" i="6"/>
  <c r="AA880" i="6"/>
  <c r="Z880" i="6"/>
  <c r="Y880" i="6"/>
  <c r="X880" i="6"/>
  <c r="W880" i="6"/>
  <c r="V880" i="6"/>
  <c r="U880" i="6"/>
  <c r="T880" i="6"/>
  <c r="S880" i="6"/>
  <c r="R880" i="6"/>
  <c r="Q880" i="6"/>
  <c r="P880" i="6"/>
  <c r="O880" i="6"/>
  <c r="N880" i="6"/>
  <c r="M880" i="6"/>
  <c r="L880" i="6"/>
  <c r="K880" i="6"/>
  <c r="J880" i="6"/>
  <c r="I880" i="6"/>
  <c r="H880" i="6"/>
  <c r="G880" i="6"/>
  <c r="F880" i="6"/>
  <c r="E880" i="6"/>
  <c r="D880" i="6"/>
  <c r="C880" i="6"/>
  <c r="B880" i="6"/>
  <c r="A880" i="6"/>
  <c r="AH879" i="6"/>
  <c r="AG879" i="6"/>
  <c r="AF879" i="6"/>
  <c r="AE879" i="6"/>
  <c r="AD879" i="6"/>
  <c r="AC879" i="6"/>
  <c r="AB879" i="6"/>
  <c r="AA879" i="6"/>
  <c r="Z879" i="6"/>
  <c r="Y879" i="6"/>
  <c r="X879" i="6"/>
  <c r="W879" i="6"/>
  <c r="V879" i="6"/>
  <c r="U879" i="6"/>
  <c r="T879" i="6"/>
  <c r="S879" i="6"/>
  <c r="R879" i="6"/>
  <c r="Q879" i="6"/>
  <c r="P879" i="6"/>
  <c r="O879" i="6"/>
  <c r="N879" i="6"/>
  <c r="M879" i="6"/>
  <c r="L879" i="6"/>
  <c r="K879" i="6"/>
  <c r="J879" i="6"/>
  <c r="I879" i="6"/>
  <c r="H879" i="6"/>
  <c r="G879" i="6"/>
  <c r="F879" i="6"/>
  <c r="E879" i="6"/>
  <c r="D879" i="6"/>
  <c r="C879" i="6"/>
  <c r="B879" i="6"/>
  <c r="A879" i="6"/>
  <c r="AH878" i="6"/>
  <c r="AG878" i="6"/>
  <c r="AF878" i="6"/>
  <c r="AE878" i="6"/>
  <c r="AD878" i="6"/>
  <c r="AC878" i="6"/>
  <c r="AB878" i="6"/>
  <c r="AA878" i="6"/>
  <c r="Z878" i="6"/>
  <c r="Y878" i="6"/>
  <c r="X878" i="6"/>
  <c r="W878" i="6"/>
  <c r="V878" i="6"/>
  <c r="U878" i="6"/>
  <c r="T878" i="6"/>
  <c r="S878" i="6"/>
  <c r="R878" i="6"/>
  <c r="Q878" i="6"/>
  <c r="P878" i="6"/>
  <c r="O878" i="6"/>
  <c r="N878" i="6"/>
  <c r="M878" i="6"/>
  <c r="L878" i="6"/>
  <c r="K878" i="6"/>
  <c r="J878" i="6"/>
  <c r="I878" i="6"/>
  <c r="H878" i="6"/>
  <c r="G878" i="6"/>
  <c r="F878" i="6"/>
  <c r="E878" i="6"/>
  <c r="D878" i="6"/>
  <c r="C878" i="6"/>
  <c r="B878" i="6"/>
  <c r="A878" i="6"/>
  <c r="AH877" i="6"/>
  <c r="AG877" i="6"/>
  <c r="AF877" i="6"/>
  <c r="AE877" i="6"/>
  <c r="AD877" i="6"/>
  <c r="AC877" i="6"/>
  <c r="AB877" i="6"/>
  <c r="AA877" i="6"/>
  <c r="Z877" i="6"/>
  <c r="Y877" i="6"/>
  <c r="X877" i="6"/>
  <c r="W877" i="6"/>
  <c r="V877" i="6"/>
  <c r="U877" i="6"/>
  <c r="T877" i="6"/>
  <c r="S877" i="6"/>
  <c r="R877" i="6"/>
  <c r="Q877" i="6"/>
  <c r="P877" i="6"/>
  <c r="O877" i="6"/>
  <c r="N877" i="6"/>
  <c r="M877" i="6"/>
  <c r="L877" i="6"/>
  <c r="K877" i="6"/>
  <c r="J877" i="6"/>
  <c r="I877" i="6"/>
  <c r="H877" i="6"/>
  <c r="G877" i="6"/>
  <c r="F877" i="6"/>
  <c r="E877" i="6"/>
  <c r="D877" i="6"/>
  <c r="C877" i="6"/>
  <c r="B877" i="6"/>
  <c r="A877" i="6"/>
  <c r="AH876" i="6"/>
  <c r="AG876" i="6"/>
  <c r="AF876" i="6"/>
  <c r="AE876" i="6"/>
  <c r="AD876" i="6"/>
  <c r="AC876" i="6"/>
  <c r="AB876" i="6"/>
  <c r="AA876" i="6"/>
  <c r="Z876" i="6"/>
  <c r="Y876" i="6"/>
  <c r="X876" i="6"/>
  <c r="W876" i="6"/>
  <c r="V876" i="6"/>
  <c r="U876" i="6"/>
  <c r="T876" i="6"/>
  <c r="S876" i="6"/>
  <c r="R876" i="6"/>
  <c r="Q876" i="6"/>
  <c r="P876" i="6"/>
  <c r="O876" i="6"/>
  <c r="N876" i="6"/>
  <c r="M876" i="6"/>
  <c r="L876" i="6"/>
  <c r="K876" i="6"/>
  <c r="J876" i="6"/>
  <c r="I876" i="6"/>
  <c r="H876" i="6"/>
  <c r="G876" i="6"/>
  <c r="F876" i="6"/>
  <c r="E876" i="6"/>
  <c r="D876" i="6"/>
  <c r="C876" i="6"/>
  <c r="B876" i="6"/>
  <c r="A876" i="6"/>
  <c r="AH875" i="6"/>
  <c r="AG875" i="6"/>
  <c r="AF875" i="6"/>
  <c r="AE875" i="6"/>
  <c r="AD875" i="6"/>
  <c r="AC875" i="6"/>
  <c r="AB875" i="6"/>
  <c r="AA875" i="6"/>
  <c r="Z875" i="6"/>
  <c r="Y875" i="6"/>
  <c r="X875" i="6"/>
  <c r="W875" i="6"/>
  <c r="V875" i="6"/>
  <c r="U875" i="6"/>
  <c r="T875" i="6"/>
  <c r="S875" i="6"/>
  <c r="R875" i="6"/>
  <c r="Q875" i="6"/>
  <c r="P875" i="6"/>
  <c r="O875" i="6"/>
  <c r="N875" i="6"/>
  <c r="M875" i="6"/>
  <c r="L875" i="6"/>
  <c r="K875" i="6"/>
  <c r="J875" i="6"/>
  <c r="I875" i="6"/>
  <c r="H875" i="6"/>
  <c r="G875" i="6"/>
  <c r="F875" i="6"/>
  <c r="E875" i="6"/>
  <c r="D875" i="6"/>
  <c r="C875" i="6"/>
  <c r="B875" i="6"/>
  <c r="A875" i="6"/>
  <c r="AH874" i="6"/>
  <c r="AG874" i="6"/>
  <c r="AF874" i="6"/>
  <c r="AE874" i="6"/>
  <c r="AD874" i="6"/>
  <c r="AC874" i="6"/>
  <c r="AB874" i="6"/>
  <c r="AA874" i="6"/>
  <c r="Z874" i="6"/>
  <c r="Y874" i="6"/>
  <c r="X874" i="6"/>
  <c r="W874" i="6"/>
  <c r="V874" i="6"/>
  <c r="U874" i="6"/>
  <c r="T874" i="6"/>
  <c r="S874" i="6"/>
  <c r="R874" i="6"/>
  <c r="Q874" i="6"/>
  <c r="P874" i="6"/>
  <c r="O874" i="6"/>
  <c r="N874" i="6"/>
  <c r="M874" i="6"/>
  <c r="L874" i="6"/>
  <c r="K874" i="6"/>
  <c r="J874" i="6"/>
  <c r="I874" i="6"/>
  <c r="H874" i="6"/>
  <c r="G874" i="6"/>
  <c r="F874" i="6"/>
  <c r="E874" i="6"/>
  <c r="D874" i="6"/>
  <c r="C874" i="6"/>
  <c r="B874" i="6"/>
  <c r="A874" i="6"/>
  <c r="AH873" i="6"/>
  <c r="AG873" i="6"/>
  <c r="AF873" i="6"/>
  <c r="AE873" i="6"/>
  <c r="AD873" i="6"/>
  <c r="AC873" i="6"/>
  <c r="AB873" i="6"/>
  <c r="AA873" i="6"/>
  <c r="Z873" i="6"/>
  <c r="Y873" i="6"/>
  <c r="X873" i="6"/>
  <c r="W873" i="6"/>
  <c r="V873" i="6"/>
  <c r="U873" i="6"/>
  <c r="T873" i="6"/>
  <c r="S873" i="6"/>
  <c r="R873" i="6"/>
  <c r="Q873" i="6"/>
  <c r="P873" i="6"/>
  <c r="O873" i="6"/>
  <c r="N873" i="6"/>
  <c r="M873" i="6"/>
  <c r="L873" i="6"/>
  <c r="K873" i="6"/>
  <c r="J873" i="6"/>
  <c r="I873" i="6"/>
  <c r="H873" i="6"/>
  <c r="G873" i="6"/>
  <c r="F873" i="6"/>
  <c r="E873" i="6"/>
  <c r="D873" i="6"/>
  <c r="C873" i="6"/>
  <c r="B873" i="6"/>
  <c r="A873" i="6"/>
  <c r="AH872" i="6"/>
  <c r="AG872" i="6"/>
  <c r="AF872" i="6"/>
  <c r="AE872" i="6"/>
  <c r="AD872" i="6"/>
  <c r="AC872" i="6"/>
  <c r="AB872" i="6"/>
  <c r="AA872" i="6"/>
  <c r="Z872" i="6"/>
  <c r="Y872" i="6"/>
  <c r="X872" i="6"/>
  <c r="W872" i="6"/>
  <c r="V872" i="6"/>
  <c r="U872" i="6"/>
  <c r="T872" i="6"/>
  <c r="S872" i="6"/>
  <c r="R872" i="6"/>
  <c r="Q872" i="6"/>
  <c r="P872" i="6"/>
  <c r="O872" i="6"/>
  <c r="N872" i="6"/>
  <c r="M872" i="6"/>
  <c r="L872" i="6"/>
  <c r="K872" i="6"/>
  <c r="J872" i="6"/>
  <c r="I872" i="6"/>
  <c r="H872" i="6"/>
  <c r="G872" i="6"/>
  <c r="F872" i="6"/>
  <c r="E872" i="6"/>
  <c r="D872" i="6"/>
  <c r="C872" i="6"/>
  <c r="B872" i="6"/>
  <c r="A872" i="6"/>
  <c r="AH871" i="6"/>
  <c r="AG871" i="6"/>
  <c r="AF871" i="6"/>
  <c r="AE871" i="6"/>
  <c r="AD871" i="6"/>
  <c r="AC871" i="6"/>
  <c r="AB871" i="6"/>
  <c r="AA871" i="6"/>
  <c r="Z871" i="6"/>
  <c r="Y871" i="6"/>
  <c r="X871" i="6"/>
  <c r="W871" i="6"/>
  <c r="V871" i="6"/>
  <c r="U871" i="6"/>
  <c r="T871" i="6"/>
  <c r="S871" i="6"/>
  <c r="R871" i="6"/>
  <c r="Q871" i="6"/>
  <c r="P871" i="6"/>
  <c r="O871" i="6"/>
  <c r="N871" i="6"/>
  <c r="M871" i="6"/>
  <c r="L871" i="6"/>
  <c r="K871" i="6"/>
  <c r="J871" i="6"/>
  <c r="I871" i="6"/>
  <c r="H871" i="6"/>
  <c r="G871" i="6"/>
  <c r="F871" i="6"/>
  <c r="E871" i="6"/>
  <c r="D871" i="6"/>
  <c r="C871" i="6"/>
  <c r="B871" i="6"/>
  <c r="A871" i="6"/>
  <c r="AH870" i="6"/>
  <c r="AG870" i="6"/>
  <c r="AF870" i="6"/>
  <c r="AE870" i="6"/>
  <c r="AD870" i="6"/>
  <c r="AC870" i="6"/>
  <c r="AB870" i="6"/>
  <c r="AA870" i="6"/>
  <c r="Z870" i="6"/>
  <c r="Y870" i="6"/>
  <c r="X870" i="6"/>
  <c r="W870" i="6"/>
  <c r="V870" i="6"/>
  <c r="U870" i="6"/>
  <c r="T870" i="6"/>
  <c r="S870" i="6"/>
  <c r="R870" i="6"/>
  <c r="Q870" i="6"/>
  <c r="P870" i="6"/>
  <c r="O870" i="6"/>
  <c r="N870" i="6"/>
  <c r="M870" i="6"/>
  <c r="L870" i="6"/>
  <c r="K870" i="6"/>
  <c r="J870" i="6"/>
  <c r="I870" i="6"/>
  <c r="H870" i="6"/>
  <c r="G870" i="6"/>
  <c r="F870" i="6"/>
  <c r="E870" i="6"/>
  <c r="D870" i="6"/>
  <c r="C870" i="6"/>
  <c r="B870" i="6"/>
  <c r="A870" i="6"/>
  <c r="AH869" i="6"/>
  <c r="AG869" i="6"/>
  <c r="AF869" i="6"/>
  <c r="AE869" i="6"/>
  <c r="AD869" i="6"/>
  <c r="AC869" i="6"/>
  <c r="AB869" i="6"/>
  <c r="AA869" i="6"/>
  <c r="Z869" i="6"/>
  <c r="Y869" i="6"/>
  <c r="X869" i="6"/>
  <c r="W869" i="6"/>
  <c r="V869" i="6"/>
  <c r="U869" i="6"/>
  <c r="T869" i="6"/>
  <c r="S869" i="6"/>
  <c r="R869" i="6"/>
  <c r="Q869" i="6"/>
  <c r="P869" i="6"/>
  <c r="O869" i="6"/>
  <c r="N869" i="6"/>
  <c r="M869" i="6"/>
  <c r="L869" i="6"/>
  <c r="K869" i="6"/>
  <c r="J869" i="6"/>
  <c r="I869" i="6"/>
  <c r="H869" i="6"/>
  <c r="G869" i="6"/>
  <c r="F869" i="6"/>
  <c r="E869" i="6"/>
  <c r="D869" i="6"/>
  <c r="C869" i="6"/>
  <c r="B869" i="6"/>
  <c r="A869" i="6"/>
  <c r="AH868" i="6"/>
  <c r="AG868" i="6"/>
  <c r="AF868" i="6"/>
  <c r="AE868" i="6"/>
  <c r="AD868" i="6"/>
  <c r="AC868" i="6"/>
  <c r="AB868" i="6"/>
  <c r="AA868" i="6"/>
  <c r="Z868" i="6"/>
  <c r="Y868" i="6"/>
  <c r="X868" i="6"/>
  <c r="W868" i="6"/>
  <c r="V868" i="6"/>
  <c r="U868" i="6"/>
  <c r="T868" i="6"/>
  <c r="S868" i="6"/>
  <c r="R868" i="6"/>
  <c r="Q868" i="6"/>
  <c r="P868" i="6"/>
  <c r="O868" i="6"/>
  <c r="N868" i="6"/>
  <c r="M868" i="6"/>
  <c r="L868" i="6"/>
  <c r="K868" i="6"/>
  <c r="J868" i="6"/>
  <c r="I868" i="6"/>
  <c r="H868" i="6"/>
  <c r="G868" i="6"/>
  <c r="F868" i="6"/>
  <c r="E868" i="6"/>
  <c r="D868" i="6"/>
  <c r="C868" i="6"/>
  <c r="B868" i="6"/>
  <c r="A868" i="6"/>
  <c r="AH867" i="6"/>
  <c r="AG867" i="6"/>
  <c r="AF867" i="6"/>
  <c r="AE867" i="6"/>
  <c r="AD867" i="6"/>
  <c r="AC867" i="6"/>
  <c r="AB867" i="6"/>
  <c r="AA867" i="6"/>
  <c r="Z867" i="6"/>
  <c r="Y867" i="6"/>
  <c r="X867" i="6"/>
  <c r="W867" i="6"/>
  <c r="V867" i="6"/>
  <c r="U867" i="6"/>
  <c r="T867" i="6"/>
  <c r="S867" i="6"/>
  <c r="R867" i="6"/>
  <c r="Q867" i="6"/>
  <c r="P867" i="6"/>
  <c r="O867" i="6"/>
  <c r="N867" i="6"/>
  <c r="M867" i="6"/>
  <c r="L867" i="6"/>
  <c r="K867" i="6"/>
  <c r="J867" i="6"/>
  <c r="I867" i="6"/>
  <c r="H867" i="6"/>
  <c r="G867" i="6"/>
  <c r="F867" i="6"/>
  <c r="E867" i="6"/>
  <c r="D867" i="6"/>
  <c r="C867" i="6"/>
  <c r="B867" i="6"/>
  <c r="A867" i="6"/>
  <c r="AH866" i="6"/>
  <c r="AG866" i="6"/>
  <c r="AF866" i="6"/>
  <c r="AE866" i="6"/>
  <c r="AD866" i="6"/>
  <c r="AC866" i="6"/>
  <c r="AB866" i="6"/>
  <c r="AA866" i="6"/>
  <c r="Z866" i="6"/>
  <c r="Y866" i="6"/>
  <c r="X866" i="6"/>
  <c r="W866" i="6"/>
  <c r="V866" i="6"/>
  <c r="U866" i="6"/>
  <c r="T866" i="6"/>
  <c r="S866" i="6"/>
  <c r="R866" i="6"/>
  <c r="Q866" i="6"/>
  <c r="P866" i="6"/>
  <c r="O866" i="6"/>
  <c r="N866" i="6"/>
  <c r="M866" i="6"/>
  <c r="L866" i="6"/>
  <c r="K866" i="6"/>
  <c r="J866" i="6"/>
  <c r="I866" i="6"/>
  <c r="H866" i="6"/>
  <c r="G866" i="6"/>
  <c r="F866" i="6"/>
  <c r="E866" i="6"/>
  <c r="D866" i="6"/>
  <c r="C866" i="6"/>
  <c r="B866" i="6"/>
  <c r="A866" i="6"/>
  <c r="AH865" i="6"/>
  <c r="AG865" i="6"/>
  <c r="AF865" i="6"/>
  <c r="AE865" i="6"/>
  <c r="AD865" i="6"/>
  <c r="AC865" i="6"/>
  <c r="AB865" i="6"/>
  <c r="AA865" i="6"/>
  <c r="Z865" i="6"/>
  <c r="Y865" i="6"/>
  <c r="X865" i="6"/>
  <c r="W865" i="6"/>
  <c r="V865" i="6"/>
  <c r="U865" i="6"/>
  <c r="T865" i="6"/>
  <c r="S865" i="6"/>
  <c r="R865" i="6"/>
  <c r="Q865" i="6"/>
  <c r="P865" i="6"/>
  <c r="O865" i="6"/>
  <c r="N865" i="6"/>
  <c r="M865" i="6"/>
  <c r="L865" i="6"/>
  <c r="K865" i="6"/>
  <c r="J865" i="6"/>
  <c r="I865" i="6"/>
  <c r="H865" i="6"/>
  <c r="G865" i="6"/>
  <c r="F865" i="6"/>
  <c r="E865" i="6"/>
  <c r="D865" i="6"/>
  <c r="C865" i="6"/>
  <c r="B865" i="6"/>
  <c r="A865" i="6"/>
  <c r="AH864" i="6"/>
  <c r="AG864" i="6"/>
  <c r="AF864" i="6"/>
  <c r="AE864" i="6"/>
  <c r="AD864" i="6"/>
  <c r="AC864" i="6"/>
  <c r="AB864" i="6"/>
  <c r="AA864" i="6"/>
  <c r="Z864" i="6"/>
  <c r="Y864" i="6"/>
  <c r="X864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K864" i="6"/>
  <c r="J864" i="6"/>
  <c r="I864" i="6"/>
  <c r="H864" i="6"/>
  <c r="G864" i="6"/>
  <c r="F864" i="6"/>
  <c r="E864" i="6"/>
  <c r="D864" i="6"/>
  <c r="C864" i="6"/>
  <c r="B864" i="6"/>
  <c r="A864" i="6"/>
  <c r="AH863" i="6"/>
  <c r="AG863" i="6"/>
  <c r="AF863" i="6"/>
  <c r="AE863" i="6"/>
  <c r="AD863" i="6"/>
  <c r="AC863" i="6"/>
  <c r="AB863" i="6"/>
  <c r="AA863" i="6"/>
  <c r="Z863" i="6"/>
  <c r="Y863" i="6"/>
  <c r="X863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K863" i="6"/>
  <c r="J863" i="6"/>
  <c r="I863" i="6"/>
  <c r="H863" i="6"/>
  <c r="G863" i="6"/>
  <c r="F863" i="6"/>
  <c r="E863" i="6"/>
  <c r="D863" i="6"/>
  <c r="C863" i="6"/>
  <c r="B863" i="6"/>
  <c r="A863" i="6"/>
  <c r="AH862" i="6"/>
  <c r="AG862" i="6"/>
  <c r="AF862" i="6"/>
  <c r="AE862" i="6"/>
  <c r="AD862" i="6"/>
  <c r="AC862" i="6"/>
  <c r="AB862" i="6"/>
  <c r="AA862" i="6"/>
  <c r="Z862" i="6"/>
  <c r="Y862" i="6"/>
  <c r="X862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K862" i="6"/>
  <c r="J862" i="6"/>
  <c r="I862" i="6"/>
  <c r="H862" i="6"/>
  <c r="G862" i="6"/>
  <c r="F862" i="6"/>
  <c r="E862" i="6"/>
  <c r="D862" i="6"/>
  <c r="C862" i="6"/>
  <c r="B862" i="6"/>
  <c r="A862" i="6"/>
  <c r="AH861" i="6"/>
  <c r="AG861" i="6"/>
  <c r="AF861" i="6"/>
  <c r="AE861" i="6"/>
  <c r="AD861" i="6"/>
  <c r="AC861" i="6"/>
  <c r="AB861" i="6"/>
  <c r="AA861" i="6"/>
  <c r="Z861" i="6"/>
  <c r="Y861" i="6"/>
  <c r="X861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K861" i="6"/>
  <c r="J861" i="6"/>
  <c r="I861" i="6"/>
  <c r="H861" i="6"/>
  <c r="G861" i="6"/>
  <c r="F861" i="6"/>
  <c r="E861" i="6"/>
  <c r="D861" i="6"/>
  <c r="C861" i="6"/>
  <c r="B861" i="6"/>
  <c r="A861" i="6"/>
  <c r="AH860" i="6"/>
  <c r="AG860" i="6"/>
  <c r="AF860" i="6"/>
  <c r="AE860" i="6"/>
  <c r="AD860" i="6"/>
  <c r="AC860" i="6"/>
  <c r="AB860" i="6"/>
  <c r="AA860" i="6"/>
  <c r="Z860" i="6"/>
  <c r="Y860" i="6"/>
  <c r="X860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K860" i="6"/>
  <c r="J860" i="6"/>
  <c r="I860" i="6"/>
  <c r="H860" i="6"/>
  <c r="G860" i="6"/>
  <c r="F860" i="6"/>
  <c r="E860" i="6"/>
  <c r="D860" i="6"/>
  <c r="C860" i="6"/>
  <c r="B860" i="6"/>
  <c r="A860" i="6"/>
  <c r="AH859" i="6"/>
  <c r="AG859" i="6"/>
  <c r="AF859" i="6"/>
  <c r="AE859" i="6"/>
  <c r="AD859" i="6"/>
  <c r="AC859" i="6"/>
  <c r="AB859" i="6"/>
  <c r="AA859" i="6"/>
  <c r="Z859" i="6"/>
  <c r="Y859" i="6"/>
  <c r="X859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K859" i="6"/>
  <c r="J859" i="6"/>
  <c r="I859" i="6"/>
  <c r="H859" i="6"/>
  <c r="G859" i="6"/>
  <c r="F859" i="6"/>
  <c r="E859" i="6"/>
  <c r="D859" i="6"/>
  <c r="C859" i="6"/>
  <c r="B859" i="6"/>
  <c r="A859" i="6"/>
  <c r="AH858" i="6"/>
  <c r="AG858" i="6"/>
  <c r="AF858" i="6"/>
  <c r="AE858" i="6"/>
  <c r="AD858" i="6"/>
  <c r="AC858" i="6"/>
  <c r="AB858" i="6"/>
  <c r="AA858" i="6"/>
  <c r="Z858" i="6"/>
  <c r="Y858" i="6"/>
  <c r="X858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K858" i="6"/>
  <c r="J858" i="6"/>
  <c r="I858" i="6"/>
  <c r="H858" i="6"/>
  <c r="G858" i="6"/>
  <c r="F858" i="6"/>
  <c r="E858" i="6"/>
  <c r="D858" i="6"/>
  <c r="C858" i="6"/>
  <c r="B858" i="6"/>
  <c r="A858" i="6"/>
  <c r="AH857" i="6"/>
  <c r="AG857" i="6"/>
  <c r="AF857" i="6"/>
  <c r="AE857" i="6"/>
  <c r="AD857" i="6"/>
  <c r="AC857" i="6"/>
  <c r="AB857" i="6"/>
  <c r="AA857" i="6"/>
  <c r="Z857" i="6"/>
  <c r="Y857" i="6"/>
  <c r="X857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K857" i="6"/>
  <c r="J857" i="6"/>
  <c r="I857" i="6"/>
  <c r="H857" i="6"/>
  <c r="G857" i="6"/>
  <c r="F857" i="6"/>
  <c r="E857" i="6"/>
  <c r="D857" i="6"/>
  <c r="C857" i="6"/>
  <c r="B857" i="6"/>
  <c r="A857" i="6"/>
  <c r="AH856" i="6"/>
  <c r="AG856" i="6"/>
  <c r="AF856" i="6"/>
  <c r="AE856" i="6"/>
  <c r="AD856" i="6"/>
  <c r="AC856" i="6"/>
  <c r="AB856" i="6"/>
  <c r="AA856" i="6"/>
  <c r="Z856" i="6"/>
  <c r="Y856" i="6"/>
  <c r="X856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K856" i="6"/>
  <c r="J856" i="6"/>
  <c r="I856" i="6"/>
  <c r="H856" i="6"/>
  <c r="G856" i="6"/>
  <c r="F856" i="6"/>
  <c r="E856" i="6"/>
  <c r="D856" i="6"/>
  <c r="C856" i="6"/>
  <c r="B856" i="6"/>
  <c r="A856" i="6"/>
  <c r="AH855" i="6"/>
  <c r="AG855" i="6"/>
  <c r="AF855" i="6"/>
  <c r="AE855" i="6"/>
  <c r="AD855" i="6"/>
  <c r="AC855" i="6"/>
  <c r="AB855" i="6"/>
  <c r="AA855" i="6"/>
  <c r="Z855" i="6"/>
  <c r="Y855" i="6"/>
  <c r="X855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K855" i="6"/>
  <c r="J855" i="6"/>
  <c r="I855" i="6"/>
  <c r="H855" i="6"/>
  <c r="G855" i="6"/>
  <c r="F855" i="6"/>
  <c r="E855" i="6"/>
  <c r="D855" i="6"/>
  <c r="C855" i="6"/>
  <c r="B855" i="6"/>
  <c r="A855" i="6"/>
  <c r="AH854" i="6"/>
  <c r="AG854" i="6"/>
  <c r="AF854" i="6"/>
  <c r="AE854" i="6"/>
  <c r="AD854" i="6"/>
  <c r="AC854" i="6"/>
  <c r="AB854" i="6"/>
  <c r="AA854" i="6"/>
  <c r="Z854" i="6"/>
  <c r="Y854" i="6"/>
  <c r="X854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K854" i="6"/>
  <c r="J854" i="6"/>
  <c r="I854" i="6"/>
  <c r="H854" i="6"/>
  <c r="G854" i="6"/>
  <c r="F854" i="6"/>
  <c r="E854" i="6"/>
  <c r="D854" i="6"/>
  <c r="C854" i="6"/>
  <c r="B854" i="6"/>
  <c r="A854" i="6"/>
  <c r="AH853" i="6"/>
  <c r="AG853" i="6"/>
  <c r="AF853" i="6"/>
  <c r="AE853" i="6"/>
  <c r="AD853" i="6"/>
  <c r="AC853" i="6"/>
  <c r="AB853" i="6"/>
  <c r="AA853" i="6"/>
  <c r="Z853" i="6"/>
  <c r="Y853" i="6"/>
  <c r="X853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K853" i="6"/>
  <c r="J853" i="6"/>
  <c r="I853" i="6"/>
  <c r="H853" i="6"/>
  <c r="G853" i="6"/>
  <c r="F853" i="6"/>
  <c r="E853" i="6"/>
  <c r="D853" i="6"/>
  <c r="C853" i="6"/>
  <c r="B853" i="6"/>
  <c r="A853" i="6"/>
  <c r="AH852" i="6"/>
  <c r="AG852" i="6"/>
  <c r="AF852" i="6"/>
  <c r="AE852" i="6"/>
  <c r="AD852" i="6"/>
  <c r="AC852" i="6"/>
  <c r="AB852" i="6"/>
  <c r="AA852" i="6"/>
  <c r="Z852" i="6"/>
  <c r="Y852" i="6"/>
  <c r="X852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K852" i="6"/>
  <c r="J852" i="6"/>
  <c r="I852" i="6"/>
  <c r="H852" i="6"/>
  <c r="G852" i="6"/>
  <c r="F852" i="6"/>
  <c r="E852" i="6"/>
  <c r="D852" i="6"/>
  <c r="C852" i="6"/>
  <c r="B852" i="6"/>
  <c r="A852" i="6"/>
  <c r="AH851" i="6"/>
  <c r="AG851" i="6"/>
  <c r="AF851" i="6"/>
  <c r="AE851" i="6"/>
  <c r="AD851" i="6"/>
  <c r="AC851" i="6"/>
  <c r="AB851" i="6"/>
  <c r="AA851" i="6"/>
  <c r="Z851" i="6"/>
  <c r="Y851" i="6"/>
  <c r="X851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K851" i="6"/>
  <c r="J851" i="6"/>
  <c r="I851" i="6"/>
  <c r="H851" i="6"/>
  <c r="G851" i="6"/>
  <c r="F851" i="6"/>
  <c r="E851" i="6"/>
  <c r="D851" i="6"/>
  <c r="C851" i="6"/>
  <c r="B851" i="6"/>
  <c r="A851" i="6"/>
  <c r="AH850" i="6"/>
  <c r="AG850" i="6"/>
  <c r="AF850" i="6"/>
  <c r="AE850" i="6"/>
  <c r="AD850" i="6"/>
  <c r="AC850" i="6"/>
  <c r="AB850" i="6"/>
  <c r="AA850" i="6"/>
  <c r="Z850" i="6"/>
  <c r="Y850" i="6"/>
  <c r="X850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K850" i="6"/>
  <c r="J850" i="6"/>
  <c r="I850" i="6"/>
  <c r="H850" i="6"/>
  <c r="G850" i="6"/>
  <c r="F850" i="6"/>
  <c r="E850" i="6"/>
  <c r="D850" i="6"/>
  <c r="C850" i="6"/>
  <c r="B850" i="6"/>
  <c r="A850" i="6"/>
  <c r="AH849" i="6"/>
  <c r="AG849" i="6"/>
  <c r="AF849" i="6"/>
  <c r="AE849" i="6"/>
  <c r="AD849" i="6"/>
  <c r="AC849" i="6"/>
  <c r="AB849" i="6"/>
  <c r="AA849" i="6"/>
  <c r="Z849" i="6"/>
  <c r="Y849" i="6"/>
  <c r="X849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K849" i="6"/>
  <c r="J849" i="6"/>
  <c r="I849" i="6"/>
  <c r="H849" i="6"/>
  <c r="G849" i="6"/>
  <c r="F849" i="6"/>
  <c r="E849" i="6"/>
  <c r="D849" i="6"/>
  <c r="C849" i="6"/>
  <c r="B849" i="6"/>
  <c r="A849" i="6"/>
  <c r="AH848" i="6"/>
  <c r="AG848" i="6"/>
  <c r="AF848" i="6"/>
  <c r="AE848" i="6"/>
  <c r="AD848" i="6"/>
  <c r="AC848" i="6"/>
  <c r="AB848" i="6"/>
  <c r="AA848" i="6"/>
  <c r="Z848" i="6"/>
  <c r="Y848" i="6"/>
  <c r="X848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K848" i="6"/>
  <c r="J848" i="6"/>
  <c r="I848" i="6"/>
  <c r="H848" i="6"/>
  <c r="G848" i="6"/>
  <c r="F848" i="6"/>
  <c r="E848" i="6"/>
  <c r="D848" i="6"/>
  <c r="C848" i="6"/>
  <c r="B848" i="6"/>
  <c r="A848" i="6"/>
  <c r="AH847" i="6"/>
  <c r="AG847" i="6"/>
  <c r="AF847" i="6"/>
  <c r="AE847" i="6"/>
  <c r="AD847" i="6"/>
  <c r="AC847" i="6"/>
  <c r="AB847" i="6"/>
  <c r="AA847" i="6"/>
  <c r="Z847" i="6"/>
  <c r="Y847" i="6"/>
  <c r="X847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K847" i="6"/>
  <c r="J847" i="6"/>
  <c r="I847" i="6"/>
  <c r="H847" i="6"/>
  <c r="G847" i="6"/>
  <c r="F847" i="6"/>
  <c r="E847" i="6"/>
  <c r="D847" i="6"/>
  <c r="C847" i="6"/>
  <c r="B847" i="6"/>
  <c r="A847" i="6"/>
  <c r="AH846" i="6"/>
  <c r="AG846" i="6"/>
  <c r="AF846" i="6"/>
  <c r="AE846" i="6"/>
  <c r="AD846" i="6"/>
  <c r="AC846" i="6"/>
  <c r="AB846" i="6"/>
  <c r="AA846" i="6"/>
  <c r="Z846" i="6"/>
  <c r="Y846" i="6"/>
  <c r="X846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K846" i="6"/>
  <c r="J846" i="6"/>
  <c r="I846" i="6"/>
  <c r="H846" i="6"/>
  <c r="G846" i="6"/>
  <c r="F846" i="6"/>
  <c r="E846" i="6"/>
  <c r="D846" i="6"/>
  <c r="C846" i="6"/>
  <c r="B846" i="6"/>
  <c r="A846" i="6"/>
  <c r="AH845" i="6"/>
  <c r="AG845" i="6"/>
  <c r="AF845" i="6"/>
  <c r="AE845" i="6"/>
  <c r="AD845" i="6"/>
  <c r="AC845" i="6"/>
  <c r="AB845" i="6"/>
  <c r="AA845" i="6"/>
  <c r="Z845" i="6"/>
  <c r="Y845" i="6"/>
  <c r="X845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K845" i="6"/>
  <c r="J845" i="6"/>
  <c r="I845" i="6"/>
  <c r="H845" i="6"/>
  <c r="G845" i="6"/>
  <c r="F845" i="6"/>
  <c r="E845" i="6"/>
  <c r="D845" i="6"/>
  <c r="C845" i="6"/>
  <c r="B845" i="6"/>
  <c r="A845" i="6"/>
  <c r="AH844" i="6"/>
  <c r="AG844" i="6"/>
  <c r="AF844" i="6"/>
  <c r="AE844" i="6"/>
  <c r="AD844" i="6"/>
  <c r="AC844" i="6"/>
  <c r="AB844" i="6"/>
  <c r="AA844" i="6"/>
  <c r="Z844" i="6"/>
  <c r="Y844" i="6"/>
  <c r="X844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K844" i="6"/>
  <c r="J844" i="6"/>
  <c r="I844" i="6"/>
  <c r="H844" i="6"/>
  <c r="G844" i="6"/>
  <c r="F844" i="6"/>
  <c r="E844" i="6"/>
  <c r="D844" i="6"/>
  <c r="C844" i="6"/>
  <c r="B844" i="6"/>
  <c r="A844" i="6"/>
  <c r="AH843" i="6"/>
  <c r="AG843" i="6"/>
  <c r="AF843" i="6"/>
  <c r="AE843" i="6"/>
  <c r="AD843" i="6"/>
  <c r="AC843" i="6"/>
  <c r="AB843" i="6"/>
  <c r="AA843" i="6"/>
  <c r="Z843" i="6"/>
  <c r="Y843" i="6"/>
  <c r="X843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K843" i="6"/>
  <c r="J843" i="6"/>
  <c r="I843" i="6"/>
  <c r="H843" i="6"/>
  <c r="G843" i="6"/>
  <c r="F843" i="6"/>
  <c r="E843" i="6"/>
  <c r="D843" i="6"/>
  <c r="C843" i="6"/>
  <c r="B843" i="6"/>
  <c r="A843" i="6"/>
  <c r="AH842" i="6"/>
  <c r="AG842" i="6"/>
  <c r="AF842" i="6"/>
  <c r="AE842" i="6"/>
  <c r="AD842" i="6"/>
  <c r="AC842" i="6"/>
  <c r="AB842" i="6"/>
  <c r="AA842" i="6"/>
  <c r="Z842" i="6"/>
  <c r="Y842" i="6"/>
  <c r="X842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K842" i="6"/>
  <c r="J842" i="6"/>
  <c r="I842" i="6"/>
  <c r="H842" i="6"/>
  <c r="G842" i="6"/>
  <c r="F842" i="6"/>
  <c r="E842" i="6"/>
  <c r="D842" i="6"/>
  <c r="C842" i="6"/>
  <c r="B842" i="6"/>
  <c r="A842" i="6"/>
  <c r="AH841" i="6"/>
  <c r="AG841" i="6"/>
  <c r="AF841" i="6"/>
  <c r="AE841" i="6"/>
  <c r="AD841" i="6"/>
  <c r="AC841" i="6"/>
  <c r="AB841" i="6"/>
  <c r="AA841" i="6"/>
  <c r="Z841" i="6"/>
  <c r="Y841" i="6"/>
  <c r="X841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K841" i="6"/>
  <c r="J841" i="6"/>
  <c r="I841" i="6"/>
  <c r="H841" i="6"/>
  <c r="G841" i="6"/>
  <c r="F841" i="6"/>
  <c r="E841" i="6"/>
  <c r="D841" i="6"/>
  <c r="C841" i="6"/>
  <c r="B841" i="6"/>
  <c r="A841" i="6"/>
  <c r="AH840" i="6"/>
  <c r="AG840" i="6"/>
  <c r="AF840" i="6"/>
  <c r="AE840" i="6"/>
  <c r="AD840" i="6"/>
  <c r="AC840" i="6"/>
  <c r="AB840" i="6"/>
  <c r="AA840" i="6"/>
  <c r="Z840" i="6"/>
  <c r="Y840" i="6"/>
  <c r="X840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K840" i="6"/>
  <c r="J840" i="6"/>
  <c r="I840" i="6"/>
  <c r="H840" i="6"/>
  <c r="G840" i="6"/>
  <c r="F840" i="6"/>
  <c r="E840" i="6"/>
  <c r="D840" i="6"/>
  <c r="C840" i="6"/>
  <c r="B840" i="6"/>
  <c r="A840" i="6"/>
  <c r="AH839" i="6"/>
  <c r="AG839" i="6"/>
  <c r="AF839" i="6"/>
  <c r="AE839" i="6"/>
  <c r="AD839" i="6"/>
  <c r="AC839" i="6"/>
  <c r="AB839" i="6"/>
  <c r="AA839" i="6"/>
  <c r="Z839" i="6"/>
  <c r="Y839" i="6"/>
  <c r="X839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K839" i="6"/>
  <c r="J839" i="6"/>
  <c r="I839" i="6"/>
  <c r="H839" i="6"/>
  <c r="G839" i="6"/>
  <c r="F839" i="6"/>
  <c r="E839" i="6"/>
  <c r="D839" i="6"/>
  <c r="C839" i="6"/>
  <c r="B839" i="6"/>
  <c r="A839" i="6"/>
  <c r="AH838" i="6"/>
  <c r="AG838" i="6"/>
  <c r="AF838" i="6"/>
  <c r="AE838" i="6"/>
  <c r="AD838" i="6"/>
  <c r="AC838" i="6"/>
  <c r="AB838" i="6"/>
  <c r="AA838" i="6"/>
  <c r="Z838" i="6"/>
  <c r="Y838" i="6"/>
  <c r="X838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K838" i="6"/>
  <c r="J838" i="6"/>
  <c r="I838" i="6"/>
  <c r="H838" i="6"/>
  <c r="G838" i="6"/>
  <c r="F838" i="6"/>
  <c r="E838" i="6"/>
  <c r="D838" i="6"/>
  <c r="C838" i="6"/>
  <c r="B838" i="6"/>
  <c r="A838" i="6"/>
  <c r="AH837" i="6"/>
  <c r="AG837" i="6"/>
  <c r="AF837" i="6"/>
  <c r="AE837" i="6"/>
  <c r="AD837" i="6"/>
  <c r="AC837" i="6"/>
  <c r="AB837" i="6"/>
  <c r="AA837" i="6"/>
  <c r="Z837" i="6"/>
  <c r="Y837" i="6"/>
  <c r="X837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K837" i="6"/>
  <c r="J837" i="6"/>
  <c r="I837" i="6"/>
  <c r="H837" i="6"/>
  <c r="G837" i="6"/>
  <c r="F837" i="6"/>
  <c r="E837" i="6"/>
  <c r="D837" i="6"/>
  <c r="C837" i="6"/>
  <c r="B837" i="6"/>
  <c r="A837" i="6"/>
  <c r="AH836" i="6"/>
  <c r="AG836" i="6"/>
  <c r="AF836" i="6"/>
  <c r="AE836" i="6"/>
  <c r="AD836" i="6"/>
  <c r="AC836" i="6"/>
  <c r="AB836" i="6"/>
  <c r="AA836" i="6"/>
  <c r="Z836" i="6"/>
  <c r="Y836" i="6"/>
  <c r="X836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K836" i="6"/>
  <c r="J836" i="6"/>
  <c r="I836" i="6"/>
  <c r="H836" i="6"/>
  <c r="G836" i="6"/>
  <c r="F836" i="6"/>
  <c r="E836" i="6"/>
  <c r="D836" i="6"/>
  <c r="C836" i="6"/>
  <c r="B836" i="6"/>
  <c r="A836" i="6"/>
  <c r="AH835" i="6"/>
  <c r="AG835" i="6"/>
  <c r="AF835" i="6"/>
  <c r="AE835" i="6"/>
  <c r="AD835" i="6"/>
  <c r="AC835" i="6"/>
  <c r="AB835" i="6"/>
  <c r="AA835" i="6"/>
  <c r="Z835" i="6"/>
  <c r="Y835" i="6"/>
  <c r="X835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K835" i="6"/>
  <c r="J835" i="6"/>
  <c r="I835" i="6"/>
  <c r="H835" i="6"/>
  <c r="G835" i="6"/>
  <c r="F835" i="6"/>
  <c r="E835" i="6"/>
  <c r="D835" i="6"/>
  <c r="C835" i="6"/>
  <c r="B835" i="6"/>
  <c r="A835" i="6"/>
  <c r="AH834" i="6"/>
  <c r="AG834" i="6"/>
  <c r="AF834" i="6"/>
  <c r="AE834" i="6"/>
  <c r="AD834" i="6"/>
  <c r="AC834" i="6"/>
  <c r="AB834" i="6"/>
  <c r="AA834" i="6"/>
  <c r="Z834" i="6"/>
  <c r="Y834" i="6"/>
  <c r="X834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K834" i="6"/>
  <c r="J834" i="6"/>
  <c r="I834" i="6"/>
  <c r="H834" i="6"/>
  <c r="G834" i="6"/>
  <c r="F834" i="6"/>
  <c r="E834" i="6"/>
  <c r="D834" i="6"/>
  <c r="C834" i="6"/>
  <c r="B834" i="6"/>
  <c r="A834" i="6"/>
  <c r="AH833" i="6"/>
  <c r="AG833" i="6"/>
  <c r="AF833" i="6"/>
  <c r="AE833" i="6"/>
  <c r="AD833" i="6"/>
  <c r="AC833" i="6"/>
  <c r="AB833" i="6"/>
  <c r="AA833" i="6"/>
  <c r="Z833" i="6"/>
  <c r="Y833" i="6"/>
  <c r="X833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K833" i="6"/>
  <c r="J833" i="6"/>
  <c r="I833" i="6"/>
  <c r="H833" i="6"/>
  <c r="G833" i="6"/>
  <c r="F833" i="6"/>
  <c r="E833" i="6"/>
  <c r="D833" i="6"/>
  <c r="C833" i="6"/>
  <c r="B833" i="6"/>
  <c r="A833" i="6"/>
  <c r="AH832" i="6"/>
  <c r="AG832" i="6"/>
  <c r="AF832" i="6"/>
  <c r="AE832" i="6"/>
  <c r="AD832" i="6"/>
  <c r="AC832" i="6"/>
  <c r="AB832" i="6"/>
  <c r="AA832" i="6"/>
  <c r="Z832" i="6"/>
  <c r="Y832" i="6"/>
  <c r="X832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K832" i="6"/>
  <c r="J832" i="6"/>
  <c r="I832" i="6"/>
  <c r="H832" i="6"/>
  <c r="G832" i="6"/>
  <c r="F832" i="6"/>
  <c r="E832" i="6"/>
  <c r="D832" i="6"/>
  <c r="C832" i="6"/>
  <c r="B832" i="6"/>
  <c r="A832" i="6"/>
  <c r="AH831" i="6"/>
  <c r="AG831" i="6"/>
  <c r="AF831" i="6"/>
  <c r="AE831" i="6"/>
  <c r="AD831" i="6"/>
  <c r="AC831" i="6"/>
  <c r="AB831" i="6"/>
  <c r="AA831" i="6"/>
  <c r="Z831" i="6"/>
  <c r="Y831" i="6"/>
  <c r="X831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K831" i="6"/>
  <c r="J831" i="6"/>
  <c r="I831" i="6"/>
  <c r="H831" i="6"/>
  <c r="G831" i="6"/>
  <c r="F831" i="6"/>
  <c r="E831" i="6"/>
  <c r="D831" i="6"/>
  <c r="C831" i="6"/>
  <c r="B831" i="6"/>
  <c r="A831" i="6"/>
  <c r="AH830" i="6"/>
  <c r="AG830" i="6"/>
  <c r="AF830" i="6"/>
  <c r="AE830" i="6"/>
  <c r="AD830" i="6"/>
  <c r="AC830" i="6"/>
  <c r="AB830" i="6"/>
  <c r="AA830" i="6"/>
  <c r="Z830" i="6"/>
  <c r="Y830" i="6"/>
  <c r="X830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K830" i="6"/>
  <c r="J830" i="6"/>
  <c r="I830" i="6"/>
  <c r="H830" i="6"/>
  <c r="G830" i="6"/>
  <c r="F830" i="6"/>
  <c r="E830" i="6"/>
  <c r="D830" i="6"/>
  <c r="C830" i="6"/>
  <c r="B830" i="6"/>
  <c r="A830" i="6"/>
  <c r="AH829" i="6"/>
  <c r="AG829" i="6"/>
  <c r="AF829" i="6"/>
  <c r="AE829" i="6"/>
  <c r="AD829" i="6"/>
  <c r="AC829" i="6"/>
  <c r="AB829" i="6"/>
  <c r="AA829" i="6"/>
  <c r="Z829" i="6"/>
  <c r="Y829" i="6"/>
  <c r="X829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K829" i="6"/>
  <c r="J829" i="6"/>
  <c r="I829" i="6"/>
  <c r="H829" i="6"/>
  <c r="G829" i="6"/>
  <c r="F829" i="6"/>
  <c r="E829" i="6"/>
  <c r="D829" i="6"/>
  <c r="C829" i="6"/>
  <c r="B829" i="6"/>
  <c r="A829" i="6"/>
  <c r="AH828" i="6"/>
  <c r="AG828" i="6"/>
  <c r="AF828" i="6"/>
  <c r="AE828" i="6"/>
  <c r="AD828" i="6"/>
  <c r="AC828" i="6"/>
  <c r="AB828" i="6"/>
  <c r="AA828" i="6"/>
  <c r="Z828" i="6"/>
  <c r="Y828" i="6"/>
  <c r="X828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K828" i="6"/>
  <c r="J828" i="6"/>
  <c r="I828" i="6"/>
  <c r="H828" i="6"/>
  <c r="G828" i="6"/>
  <c r="F828" i="6"/>
  <c r="E828" i="6"/>
  <c r="D828" i="6"/>
  <c r="C828" i="6"/>
  <c r="B828" i="6"/>
  <c r="A828" i="6"/>
  <c r="AH827" i="6"/>
  <c r="AG827" i="6"/>
  <c r="AF827" i="6"/>
  <c r="AE827" i="6"/>
  <c r="AD827" i="6"/>
  <c r="AC827" i="6"/>
  <c r="AB827" i="6"/>
  <c r="AA827" i="6"/>
  <c r="Z827" i="6"/>
  <c r="Y827" i="6"/>
  <c r="X827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K827" i="6"/>
  <c r="J827" i="6"/>
  <c r="I827" i="6"/>
  <c r="H827" i="6"/>
  <c r="G827" i="6"/>
  <c r="F827" i="6"/>
  <c r="E827" i="6"/>
  <c r="D827" i="6"/>
  <c r="C827" i="6"/>
  <c r="B827" i="6"/>
  <c r="A827" i="6"/>
  <c r="AH826" i="6"/>
  <c r="AG826" i="6"/>
  <c r="AF826" i="6"/>
  <c r="AE826" i="6"/>
  <c r="AD826" i="6"/>
  <c r="AC826" i="6"/>
  <c r="AB826" i="6"/>
  <c r="AA826" i="6"/>
  <c r="Z826" i="6"/>
  <c r="Y826" i="6"/>
  <c r="X826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K826" i="6"/>
  <c r="J826" i="6"/>
  <c r="I826" i="6"/>
  <c r="H826" i="6"/>
  <c r="G826" i="6"/>
  <c r="F826" i="6"/>
  <c r="E826" i="6"/>
  <c r="D826" i="6"/>
  <c r="C826" i="6"/>
  <c r="B826" i="6"/>
  <c r="A826" i="6"/>
  <c r="AH825" i="6"/>
  <c r="AG825" i="6"/>
  <c r="AF825" i="6"/>
  <c r="AE825" i="6"/>
  <c r="AD825" i="6"/>
  <c r="AC825" i="6"/>
  <c r="AB825" i="6"/>
  <c r="AA825" i="6"/>
  <c r="Z825" i="6"/>
  <c r="Y825" i="6"/>
  <c r="X825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K825" i="6"/>
  <c r="J825" i="6"/>
  <c r="I825" i="6"/>
  <c r="H825" i="6"/>
  <c r="G825" i="6"/>
  <c r="F825" i="6"/>
  <c r="E825" i="6"/>
  <c r="D825" i="6"/>
  <c r="C825" i="6"/>
  <c r="B825" i="6"/>
  <c r="A825" i="6"/>
  <c r="AH824" i="6"/>
  <c r="AG824" i="6"/>
  <c r="AF824" i="6"/>
  <c r="AE824" i="6"/>
  <c r="AD824" i="6"/>
  <c r="AC824" i="6"/>
  <c r="AB824" i="6"/>
  <c r="AA824" i="6"/>
  <c r="Z824" i="6"/>
  <c r="Y824" i="6"/>
  <c r="X824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K824" i="6"/>
  <c r="J824" i="6"/>
  <c r="I824" i="6"/>
  <c r="H824" i="6"/>
  <c r="G824" i="6"/>
  <c r="F824" i="6"/>
  <c r="E824" i="6"/>
  <c r="D824" i="6"/>
  <c r="C824" i="6"/>
  <c r="B824" i="6"/>
  <c r="A824" i="6"/>
  <c r="AH823" i="6"/>
  <c r="AG823" i="6"/>
  <c r="AF823" i="6"/>
  <c r="AE823" i="6"/>
  <c r="AD823" i="6"/>
  <c r="AC823" i="6"/>
  <c r="AB823" i="6"/>
  <c r="AA823" i="6"/>
  <c r="Z823" i="6"/>
  <c r="Y823" i="6"/>
  <c r="X823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K823" i="6"/>
  <c r="J823" i="6"/>
  <c r="I823" i="6"/>
  <c r="H823" i="6"/>
  <c r="G823" i="6"/>
  <c r="F823" i="6"/>
  <c r="E823" i="6"/>
  <c r="D823" i="6"/>
  <c r="C823" i="6"/>
  <c r="B823" i="6"/>
  <c r="A823" i="6"/>
  <c r="AH822" i="6"/>
  <c r="AG822" i="6"/>
  <c r="AF822" i="6"/>
  <c r="AE822" i="6"/>
  <c r="AD822" i="6"/>
  <c r="AC822" i="6"/>
  <c r="AB822" i="6"/>
  <c r="AA822" i="6"/>
  <c r="Z822" i="6"/>
  <c r="Y822" i="6"/>
  <c r="X822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K822" i="6"/>
  <c r="J822" i="6"/>
  <c r="I822" i="6"/>
  <c r="H822" i="6"/>
  <c r="G822" i="6"/>
  <c r="F822" i="6"/>
  <c r="E822" i="6"/>
  <c r="D822" i="6"/>
  <c r="C822" i="6"/>
  <c r="B822" i="6"/>
  <c r="A822" i="6"/>
  <c r="AH821" i="6"/>
  <c r="AG821" i="6"/>
  <c r="AF821" i="6"/>
  <c r="AE821" i="6"/>
  <c r="AD821" i="6"/>
  <c r="AC821" i="6"/>
  <c r="AB821" i="6"/>
  <c r="AA821" i="6"/>
  <c r="Z821" i="6"/>
  <c r="Y821" i="6"/>
  <c r="X821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K821" i="6"/>
  <c r="J821" i="6"/>
  <c r="I821" i="6"/>
  <c r="H821" i="6"/>
  <c r="G821" i="6"/>
  <c r="F821" i="6"/>
  <c r="E821" i="6"/>
  <c r="D821" i="6"/>
  <c r="C821" i="6"/>
  <c r="B821" i="6"/>
  <c r="A821" i="6"/>
  <c r="AH820" i="6"/>
  <c r="AG820" i="6"/>
  <c r="AF820" i="6"/>
  <c r="AE820" i="6"/>
  <c r="AD820" i="6"/>
  <c r="AC820" i="6"/>
  <c r="AB820" i="6"/>
  <c r="AA820" i="6"/>
  <c r="Z820" i="6"/>
  <c r="Y820" i="6"/>
  <c r="X820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K820" i="6"/>
  <c r="J820" i="6"/>
  <c r="I820" i="6"/>
  <c r="H820" i="6"/>
  <c r="G820" i="6"/>
  <c r="F820" i="6"/>
  <c r="E820" i="6"/>
  <c r="D820" i="6"/>
  <c r="C820" i="6"/>
  <c r="B820" i="6"/>
  <c r="A820" i="6"/>
  <c r="AH819" i="6"/>
  <c r="AG819" i="6"/>
  <c r="AF819" i="6"/>
  <c r="AE819" i="6"/>
  <c r="AD819" i="6"/>
  <c r="AC819" i="6"/>
  <c r="AB819" i="6"/>
  <c r="AA819" i="6"/>
  <c r="Z819" i="6"/>
  <c r="Y819" i="6"/>
  <c r="X819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K819" i="6"/>
  <c r="J819" i="6"/>
  <c r="I819" i="6"/>
  <c r="H819" i="6"/>
  <c r="G819" i="6"/>
  <c r="F819" i="6"/>
  <c r="E819" i="6"/>
  <c r="D819" i="6"/>
  <c r="C819" i="6"/>
  <c r="B819" i="6"/>
  <c r="A819" i="6"/>
  <c r="AH818" i="6"/>
  <c r="AG818" i="6"/>
  <c r="AF818" i="6"/>
  <c r="AE818" i="6"/>
  <c r="AD818" i="6"/>
  <c r="AC818" i="6"/>
  <c r="AB818" i="6"/>
  <c r="AA818" i="6"/>
  <c r="Z818" i="6"/>
  <c r="Y818" i="6"/>
  <c r="X818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K818" i="6"/>
  <c r="J818" i="6"/>
  <c r="I818" i="6"/>
  <c r="H818" i="6"/>
  <c r="G818" i="6"/>
  <c r="F818" i="6"/>
  <c r="E818" i="6"/>
  <c r="D818" i="6"/>
  <c r="C818" i="6"/>
  <c r="B818" i="6"/>
  <c r="A818" i="6"/>
  <c r="AH817" i="6"/>
  <c r="AG817" i="6"/>
  <c r="AF817" i="6"/>
  <c r="AE817" i="6"/>
  <c r="AD817" i="6"/>
  <c r="AC817" i="6"/>
  <c r="AB817" i="6"/>
  <c r="AA817" i="6"/>
  <c r="Z817" i="6"/>
  <c r="Y817" i="6"/>
  <c r="X817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K817" i="6"/>
  <c r="J817" i="6"/>
  <c r="I817" i="6"/>
  <c r="H817" i="6"/>
  <c r="G817" i="6"/>
  <c r="F817" i="6"/>
  <c r="E817" i="6"/>
  <c r="D817" i="6"/>
  <c r="C817" i="6"/>
  <c r="B817" i="6"/>
  <c r="A817" i="6"/>
  <c r="AH816" i="6"/>
  <c r="AG816" i="6"/>
  <c r="AF816" i="6"/>
  <c r="AE816" i="6"/>
  <c r="AD816" i="6"/>
  <c r="AC816" i="6"/>
  <c r="AB816" i="6"/>
  <c r="AA816" i="6"/>
  <c r="Z816" i="6"/>
  <c r="Y816" i="6"/>
  <c r="X816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K816" i="6"/>
  <c r="J816" i="6"/>
  <c r="I816" i="6"/>
  <c r="H816" i="6"/>
  <c r="G816" i="6"/>
  <c r="F816" i="6"/>
  <c r="E816" i="6"/>
  <c r="D816" i="6"/>
  <c r="C816" i="6"/>
  <c r="B816" i="6"/>
  <c r="A816" i="6"/>
  <c r="AH815" i="6"/>
  <c r="AG815" i="6"/>
  <c r="AF815" i="6"/>
  <c r="AE815" i="6"/>
  <c r="AD815" i="6"/>
  <c r="AC815" i="6"/>
  <c r="AB815" i="6"/>
  <c r="AA815" i="6"/>
  <c r="Z815" i="6"/>
  <c r="Y815" i="6"/>
  <c r="X815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K815" i="6"/>
  <c r="J815" i="6"/>
  <c r="I815" i="6"/>
  <c r="H815" i="6"/>
  <c r="G815" i="6"/>
  <c r="F815" i="6"/>
  <c r="E815" i="6"/>
  <c r="D815" i="6"/>
  <c r="C815" i="6"/>
  <c r="B815" i="6"/>
  <c r="A815" i="6"/>
  <c r="AH814" i="6"/>
  <c r="AG814" i="6"/>
  <c r="AF814" i="6"/>
  <c r="AE814" i="6"/>
  <c r="AD814" i="6"/>
  <c r="AC814" i="6"/>
  <c r="AB814" i="6"/>
  <c r="AA814" i="6"/>
  <c r="Z814" i="6"/>
  <c r="Y814" i="6"/>
  <c r="X814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K814" i="6"/>
  <c r="J814" i="6"/>
  <c r="I814" i="6"/>
  <c r="H814" i="6"/>
  <c r="G814" i="6"/>
  <c r="F814" i="6"/>
  <c r="E814" i="6"/>
  <c r="D814" i="6"/>
  <c r="C814" i="6"/>
  <c r="B814" i="6"/>
  <c r="A814" i="6"/>
  <c r="AH813" i="6"/>
  <c r="AG813" i="6"/>
  <c r="AF813" i="6"/>
  <c r="AE813" i="6"/>
  <c r="AD813" i="6"/>
  <c r="AC813" i="6"/>
  <c r="AB813" i="6"/>
  <c r="AA813" i="6"/>
  <c r="Z813" i="6"/>
  <c r="Y813" i="6"/>
  <c r="X813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K813" i="6"/>
  <c r="J813" i="6"/>
  <c r="I813" i="6"/>
  <c r="H813" i="6"/>
  <c r="G813" i="6"/>
  <c r="F813" i="6"/>
  <c r="E813" i="6"/>
  <c r="D813" i="6"/>
  <c r="C813" i="6"/>
  <c r="B813" i="6"/>
  <c r="A813" i="6"/>
  <c r="AH812" i="6"/>
  <c r="AG812" i="6"/>
  <c r="AF812" i="6"/>
  <c r="AE812" i="6"/>
  <c r="AD812" i="6"/>
  <c r="AC812" i="6"/>
  <c r="AB812" i="6"/>
  <c r="AA812" i="6"/>
  <c r="Z812" i="6"/>
  <c r="Y812" i="6"/>
  <c r="X812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K812" i="6"/>
  <c r="J812" i="6"/>
  <c r="I812" i="6"/>
  <c r="H812" i="6"/>
  <c r="G812" i="6"/>
  <c r="F812" i="6"/>
  <c r="E812" i="6"/>
  <c r="D812" i="6"/>
  <c r="C812" i="6"/>
  <c r="B812" i="6"/>
  <c r="A812" i="6"/>
  <c r="AH811" i="6"/>
  <c r="AG811" i="6"/>
  <c r="AF811" i="6"/>
  <c r="AE811" i="6"/>
  <c r="AD811" i="6"/>
  <c r="AC811" i="6"/>
  <c r="AB811" i="6"/>
  <c r="AA811" i="6"/>
  <c r="Z811" i="6"/>
  <c r="Y811" i="6"/>
  <c r="X811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K811" i="6"/>
  <c r="J811" i="6"/>
  <c r="I811" i="6"/>
  <c r="H811" i="6"/>
  <c r="G811" i="6"/>
  <c r="F811" i="6"/>
  <c r="E811" i="6"/>
  <c r="D811" i="6"/>
  <c r="C811" i="6"/>
  <c r="B811" i="6"/>
  <c r="A811" i="6"/>
  <c r="AH810" i="6"/>
  <c r="AG810" i="6"/>
  <c r="AF810" i="6"/>
  <c r="AE810" i="6"/>
  <c r="AD810" i="6"/>
  <c r="AC810" i="6"/>
  <c r="AB810" i="6"/>
  <c r="AA810" i="6"/>
  <c r="Z810" i="6"/>
  <c r="Y810" i="6"/>
  <c r="X810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K810" i="6"/>
  <c r="J810" i="6"/>
  <c r="I810" i="6"/>
  <c r="H810" i="6"/>
  <c r="G810" i="6"/>
  <c r="F810" i="6"/>
  <c r="E810" i="6"/>
  <c r="D810" i="6"/>
  <c r="C810" i="6"/>
  <c r="B810" i="6"/>
  <c r="A810" i="6"/>
  <c r="AH809" i="6"/>
  <c r="AG809" i="6"/>
  <c r="AF809" i="6"/>
  <c r="AE809" i="6"/>
  <c r="AD809" i="6"/>
  <c r="AC809" i="6"/>
  <c r="AB809" i="6"/>
  <c r="AA809" i="6"/>
  <c r="Z809" i="6"/>
  <c r="Y809" i="6"/>
  <c r="X809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K809" i="6"/>
  <c r="J809" i="6"/>
  <c r="I809" i="6"/>
  <c r="H809" i="6"/>
  <c r="G809" i="6"/>
  <c r="F809" i="6"/>
  <c r="E809" i="6"/>
  <c r="D809" i="6"/>
  <c r="C809" i="6"/>
  <c r="B809" i="6"/>
  <c r="A809" i="6"/>
  <c r="AH808" i="6"/>
  <c r="AG808" i="6"/>
  <c r="AF808" i="6"/>
  <c r="AE808" i="6"/>
  <c r="AD808" i="6"/>
  <c r="AC808" i="6"/>
  <c r="AB808" i="6"/>
  <c r="AA808" i="6"/>
  <c r="Z808" i="6"/>
  <c r="Y808" i="6"/>
  <c r="X808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K808" i="6"/>
  <c r="J808" i="6"/>
  <c r="I808" i="6"/>
  <c r="H808" i="6"/>
  <c r="G808" i="6"/>
  <c r="F808" i="6"/>
  <c r="E808" i="6"/>
  <c r="D808" i="6"/>
  <c r="C808" i="6"/>
  <c r="B808" i="6"/>
  <c r="A808" i="6"/>
  <c r="AH807" i="6"/>
  <c r="AG807" i="6"/>
  <c r="AF807" i="6"/>
  <c r="AE807" i="6"/>
  <c r="AD807" i="6"/>
  <c r="AC807" i="6"/>
  <c r="AB807" i="6"/>
  <c r="AA807" i="6"/>
  <c r="Z807" i="6"/>
  <c r="Y807" i="6"/>
  <c r="X807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K807" i="6"/>
  <c r="J807" i="6"/>
  <c r="I807" i="6"/>
  <c r="H807" i="6"/>
  <c r="G807" i="6"/>
  <c r="F807" i="6"/>
  <c r="E807" i="6"/>
  <c r="D807" i="6"/>
  <c r="C807" i="6"/>
  <c r="B807" i="6"/>
  <c r="A807" i="6"/>
  <c r="AH806" i="6"/>
  <c r="AG806" i="6"/>
  <c r="AF806" i="6"/>
  <c r="AE806" i="6"/>
  <c r="AD806" i="6"/>
  <c r="AC806" i="6"/>
  <c r="AB806" i="6"/>
  <c r="AA806" i="6"/>
  <c r="Z806" i="6"/>
  <c r="Y806" i="6"/>
  <c r="X806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K806" i="6"/>
  <c r="J806" i="6"/>
  <c r="I806" i="6"/>
  <c r="H806" i="6"/>
  <c r="G806" i="6"/>
  <c r="F806" i="6"/>
  <c r="E806" i="6"/>
  <c r="D806" i="6"/>
  <c r="C806" i="6"/>
  <c r="B806" i="6"/>
  <c r="A806" i="6"/>
  <c r="AH805" i="6"/>
  <c r="AG805" i="6"/>
  <c r="AF805" i="6"/>
  <c r="AE805" i="6"/>
  <c r="AD805" i="6"/>
  <c r="AC805" i="6"/>
  <c r="AB805" i="6"/>
  <c r="AA805" i="6"/>
  <c r="Z805" i="6"/>
  <c r="Y805" i="6"/>
  <c r="X805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K805" i="6"/>
  <c r="J805" i="6"/>
  <c r="I805" i="6"/>
  <c r="H805" i="6"/>
  <c r="G805" i="6"/>
  <c r="F805" i="6"/>
  <c r="E805" i="6"/>
  <c r="D805" i="6"/>
  <c r="C805" i="6"/>
  <c r="B805" i="6"/>
  <c r="A805" i="6"/>
  <c r="AH804" i="6"/>
  <c r="AG804" i="6"/>
  <c r="AF804" i="6"/>
  <c r="AE804" i="6"/>
  <c r="AD804" i="6"/>
  <c r="AC804" i="6"/>
  <c r="AB804" i="6"/>
  <c r="AA804" i="6"/>
  <c r="Z804" i="6"/>
  <c r="Y804" i="6"/>
  <c r="X804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K804" i="6"/>
  <c r="J804" i="6"/>
  <c r="I804" i="6"/>
  <c r="H804" i="6"/>
  <c r="G804" i="6"/>
  <c r="F804" i="6"/>
  <c r="E804" i="6"/>
  <c r="D804" i="6"/>
  <c r="C804" i="6"/>
  <c r="B804" i="6"/>
  <c r="A804" i="6"/>
  <c r="AH803" i="6"/>
  <c r="AG803" i="6"/>
  <c r="AF803" i="6"/>
  <c r="AE803" i="6"/>
  <c r="AD803" i="6"/>
  <c r="AC803" i="6"/>
  <c r="AB803" i="6"/>
  <c r="AA803" i="6"/>
  <c r="Z803" i="6"/>
  <c r="Y803" i="6"/>
  <c r="X803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K803" i="6"/>
  <c r="J803" i="6"/>
  <c r="I803" i="6"/>
  <c r="H803" i="6"/>
  <c r="G803" i="6"/>
  <c r="F803" i="6"/>
  <c r="E803" i="6"/>
  <c r="D803" i="6"/>
  <c r="C803" i="6"/>
  <c r="B803" i="6"/>
  <c r="A803" i="6"/>
  <c r="AH802" i="6"/>
  <c r="AG802" i="6"/>
  <c r="AF802" i="6"/>
  <c r="AE802" i="6"/>
  <c r="AD802" i="6"/>
  <c r="AC802" i="6"/>
  <c r="AB802" i="6"/>
  <c r="AA802" i="6"/>
  <c r="Z802" i="6"/>
  <c r="Y802" i="6"/>
  <c r="X802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K802" i="6"/>
  <c r="J802" i="6"/>
  <c r="I802" i="6"/>
  <c r="H802" i="6"/>
  <c r="G802" i="6"/>
  <c r="F802" i="6"/>
  <c r="E802" i="6"/>
  <c r="D802" i="6"/>
  <c r="C802" i="6"/>
  <c r="B802" i="6"/>
  <c r="A802" i="6"/>
  <c r="AH801" i="6"/>
  <c r="AG801" i="6"/>
  <c r="AF801" i="6"/>
  <c r="AE801" i="6"/>
  <c r="AD801" i="6"/>
  <c r="AC801" i="6"/>
  <c r="AB801" i="6"/>
  <c r="AA801" i="6"/>
  <c r="Z801" i="6"/>
  <c r="Y801" i="6"/>
  <c r="X801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K801" i="6"/>
  <c r="J801" i="6"/>
  <c r="I801" i="6"/>
  <c r="H801" i="6"/>
  <c r="G801" i="6"/>
  <c r="F801" i="6"/>
  <c r="E801" i="6"/>
  <c r="D801" i="6"/>
  <c r="C801" i="6"/>
  <c r="B801" i="6"/>
  <c r="A801" i="6"/>
  <c r="AH800" i="6"/>
  <c r="AG800" i="6"/>
  <c r="AF800" i="6"/>
  <c r="AE800" i="6"/>
  <c r="AD800" i="6"/>
  <c r="AC800" i="6"/>
  <c r="AB800" i="6"/>
  <c r="AA800" i="6"/>
  <c r="Z800" i="6"/>
  <c r="Y800" i="6"/>
  <c r="X800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K800" i="6"/>
  <c r="J800" i="6"/>
  <c r="I800" i="6"/>
  <c r="H800" i="6"/>
  <c r="G800" i="6"/>
  <c r="F800" i="6"/>
  <c r="E800" i="6"/>
  <c r="D800" i="6"/>
  <c r="C800" i="6"/>
  <c r="B800" i="6"/>
  <c r="A800" i="6"/>
  <c r="AH799" i="6"/>
  <c r="AG799" i="6"/>
  <c r="AF799" i="6"/>
  <c r="AE799" i="6"/>
  <c r="AD799" i="6"/>
  <c r="AC799" i="6"/>
  <c r="AB799" i="6"/>
  <c r="AA799" i="6"/>
  <c r="Z799" i="6"/>
  <c r="Y799" i="6"/>
  <c r="X799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K799" i="6"/>
  <c r="J799" i="6"/>
  <c r="I799" i="6"/>
  <c r="H799" i="6"/>
  <c r="G799" i="6"/>
  <c r="F799" i="6"/>
  <c r="E799" i="6"/>
  <c r="D799" i="6"/>
  <c r="C799" i="6"/>
  <c r="B799" i="6"/>
  <c r="A799" i="6"/>
  <c r="AH798" i="6"/>
  <c r="AG798" i="6"/>
  <c r="AF798" i="6"/>
  <c r="AE798" i="6"/>
  <c r="AD798" i="6"/>
  <c r="AC798" i="6"/>
  <c r="AB798" i="6"/>
  <c r="AA798" i="6"/>
  <c r="Z798" i="6"/>
  <c r="Y798" i="6"/>
  <c r="X798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K798" i="6"/>
  <c r="J798" i="6"/>
  <c r="I798" i="6"/>
  <c r="H798" i="6"/>
  <c r="G798" i="6"/>
  <c r="F798" i="6"/>
  <c r="E798" i="6"/>
  <c r="D798" i="6"/>
  <c r="C798" i="6"/>
  <c r="B798" i="6"/>
  <c r="A798" i="6"/>
  <c r="AH797" i="6"/>
  <c r="AG797" i="6"/>
  <c r="AF797" i="6"/>
  <c r="AE797" i="6"/>
  <c r="AD797" i="6"/>
  <c r="AC797" i="6"/>
  <c r="AB797" i="6"/>
  <c r="AA797" i="6"/>
  <c r="Z797" i="6"/>
  <c r="Y797" i="6"/>
  <c r="X797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K797" i="6"/>
  <c r="J797" i="6"/>
  <c r="I797" i="6"/>
  <c r="H797" i="6"/>
  <c r="G797" i="6"/>
  <c r="F797" i="6"/>
  <c r="E797" i="6"/>
  <c r="D797" i="6"/>
  <c r="C797" i="6"/>
  <c r="B797" i="6"/>
  <c r="A797" i="6"/>
  <c r="AH796" i="6"/>
  <c r="AG796" i="6"/>
  <c r="AF796" i="6"/>
  <c r="AE796" i="6"/>
  <c r="AD796" i="6"/>
  <c r="AC796" i="6"/>
  <c r="AB796" i="6"/>
  <c r="AA796" i="6"/>
  <c r="Z796" i="6"/>
  <c r="Y796" i="6"/>
  <c r="X796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K796" i="6"/>
  <c r="J796" i="6"/>
  <c r="I796" i="6"/>
  <c r="H796" i="6"/>
  <c r="G796" i="6"/>
  <c r="F796" i="6"/>
  <c r="E796" i="6"/>
  <c r="D796" i="6"/>
  <c r="C796" i="6"/>
  <c r="B796" i="6"/>
  <c r="A796" i="6"/>
  <c r="AH795" i="6"/>
  <c r="AG795" i="6"/>
  <c r="AF795" i="6"/>
  <c r="AE795" i="6"/>
  <c r="AD795" i="6"/>
  <c r="AC795" i="6"/>
  <c r="AB795" i="6"/>
  <c r="AA795" i="6"/>
  <c r="Z795" i="6"/>
  <c r="Y795" i="6"/>
  <c r="X795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K795" i="6"/>
  <c r="J795" i="6"/>
  <c r="I795" i="6"/>
  <c r="H795" i="6"/>
  <c r="G795" i="6"/>
  <c r="F795" i="6"/>
  <c r="E795" i="6"/>
  <c r="D795" i="6"/>
  <c r="C795" i="6"/>
  <c r="B795" i="6"/>
  <c r="A795" i="6"/>
  <c r="AH794" i="6"/>
  <c r="AG794" i="6"/>
  <c r="AF794" i="6"/>
  <c r="AE794" i="6"/>
  <c r="AD794" i="6"/>
  <c r="AC794" i="6"/>
  <c r="AB794" i="6"/>
  <c r="AA794" i="6"/>
  <c r="Z794" i="6"/>
  <c r="Y794" i="6"/>
  <c r="X794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K794" i="6"/>
  <c r="J794" i="6"/>
  <c r="I794" i="6"/>
  <c r="H794" i="6"/>
  <c r="G794" i="6"/>
  <c r="F794" i="6"/>
  <c r="E794" i="6"/>
  <c r="D794" i="6"/>
  <c r="C794" i="6"/>
  <c r="B794" i="6"/>
  <c r="A794" i="6"/>
  <c r="AH793" i="6"/>
  <c r="AG793" i="6"/>
  <c r="AF793" i="6"/>
  <c r="AE793" i="6"/>
  <c r="AD793" i="6"/>
  <c r="AC793" i="6"/>
  <c r="AB793" i="6"/>
  <c r="AA793" i="6"/>
  <c r="Z793" i="6"/>
  <c r="Y793" i="6"/>
  <c r="X793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K793" i="6"/>
  <c r="J793" i="6"/>
  <c r="I793" i="6"/>
  <c r="H793" i="6"/>
  <c r="G793" i="6"/>
  <c r="F793" i="6"/>
  <c r="E793" i="6"/>
  <c r="D793" i="6"/>
  <c r="C793" i="6"/>
  <c r="B793" i="6"/>
  <c r="A793" i="6"/>
  <c r="AH792" i="6"/>
  <c r="AG792" i="6"/>
  <c r="AF792" i="6"/>
  <c r="AE792" i="6"/>
  <c r="AD792" i="6"/>
  <c r="AC792" i="6"/>
  <c r="AB792" i="6"/>
  <c r="AA792" i="6"/>
  <c r="Z792" i="6"/>
  <c r="Y792" i="6"/>
  <c r="X792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K792" i="6"/>
  <c r="J792" i="6"/>
  <c r="I792" i="6"/>
  <c r="H792" i="6"/>
  <c r="G792" i="6"/>
  <c r="F792" i="6"/>
  <c r="E792" i="6"/>
  <c r="D792" i="6"/>
  <c r="C792" i="6"/>
  <c r="B792" i="6"/>
  <c r="A792" i="6"/>
  <c r="AH791" i="6"/>
  <c r="AG791" i="6"/>
  <c r="AF791" i="6"/>
  <c r="AE791" i="6"/>
  <c r="AD791" i="6"/>
  <c r="AC791" i="6"/>
  <c r="AB791" i="6"/>
  <c r="AA791" i="6"/>
  <c r="Z791" i="6"/>
  <c r="Y791" i="6"/>
  <c r="X791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K791" i="6"/>
  <c r="J791" i="6"/>
  <c r="I791" i="6"/>
  <c r="H791" i="6"/>
  <c r="G791" i="6"/>
  <c r="F791" i="6"/>
  <c r="E791" i="6"/>
  <c r="D791" i="6"/>
  <c r="C791" i="6"/>
  <c r="B791" i="6"/>
  <c r="A791" i="6"/>
  <c r="AH790" i="6"/>
  <c r="AG790" i="6"/>
  <c r="AF790" i="6"/>
  <c r="AE790" i="6"/>
  <c r="AD790" i="6"/>
  <c r="AC790" i="6"/>
  <c r="AB790" i="6"/>
  <c r="AA790" i="6"/>
  <c r="Z790" i="6"/>
  <c r="Y790" i="6"/>
  <c r="X790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K790" i="6"/>
  <c r="J790" i="6"/>
  <c r="I790" i="6"/>
  <c r="H790" i="6"/>
  <c r="G790" i="6"/>
  <c r="F790" i="6"/>
  <c r="E790" i="6"/>
  <c r="D790" i="6"/>
  <c r="C790" i="6"/>
  <c r="B790" i="6"/>
  <c r="A790" i="6"/>
  <c r="AH789" i="6"/>
  <c r="AG789" i="6"/>
  <c r="AF789" i="6"/>
  <c r="AE789" i="6"/>
  <c r="AD789" i="6"/>
  <c r="AC789" i="6"/>
  <c r="AB789" i="6"/>
  <c r="AA789" i="6"/>
  <c r="Z789" i="6"/>
  <c r="Y789" i="6"/>
  <c r="X789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K789" i="6"/>
  <c r="J789" i="6"/>
  <c r="I789" i="6"/>
  <c r="H789" i="6"/>
  <c r="G789" i="6"/>
  <c r="F789" i="6"/>
  <c r="E789" i="6"/>
  <c r="D789" i="6"/>
  <c r="C789" i="6"/>
  <c r="B789" i="6"/>
  <c r="A789" i="6"/>
  <c r="AH788" i="6"/>
  <c r="AG788" i="6"/>
  <c r="AF788" i="6"/>
  <c r="AE788" i="6"/>
  <c r="AD788" i="6"/>
  <c r="AC788" i="6"/>
  <c r="AB788" i="6"/>
  <c r="AA788" i="6"/>
  <c r="Z788" i="6"/>
  <c r="Y788" i="6"/>
  <c r="X788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K788" i="6"/>
  <c r="J788" i="6"/>
  <c r="I788" i="6"/>
  <c r="H788" i="6"/>
  <c r="G788" i="6"/>
  <c r="F788" i="6"/>
  <c r="E788" i="6"/>
  <c r="D788" i="6"/>
  <c r="C788" i="6"/>
  <c r="B788" i="6"/>
  <c r="A788" i="6"/>
  <c r="AH787" i="6"/>
  <c r="AG787" i="6"/>
  <c r="AF787" i="6"/>
  <c r="AE787" i="6"/>
  <c r="AD787" i="6"/>
  <c r="AC787" i="6"/>
  <c r="AB787" i="6"/>
  <c r="AA787" i="6"/>
  <c r="Z787" i="6"/>
  <c r="Y787" i="6"/>
  <c r="X787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K787" i="6"/>
  <c r="J787" i="6"/>
  <c r="I787" i="6"/>
  <c r="H787" i="6"/>
  <c r="G787" i="6"/>
  <c r="F787" i="6"/>
  <c r="E787" i="6"/>
  <c r="D787" i="6"/>
  <c r="C787" i="6"/>
  <c r="B787" i="6"/>
  <c r="A787" i="6"/>
  <c r="AH786" i="6"/>
  <c r="AG786" i="6"/>
  <c r="AF786" i="6"/>
  <c r="AE786" i="6"/>
  <c r="AD786" i="6"/>
  <c r="AC786" i="6"/>
  <c r="AB786" i="6"/>
  <c r="AA786" i="6"/>
  <c r="Z786" i="6"/>
  <c r="Y786" i="6"/>
  <c r="X786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K786" i="6"/>
  <c r="J786" i="6"/>
  <c r="I786" i="6"/>
  <c r="H786" i="6"/>
  <c r="G786" i="6"/>
  <c r="F786" i="6"/>
  <c r="E786" i="6"/>
  <c r="D786" i="6"/>
  <c r="C786" i="6"/>
  <c r="B786" i="6"/>
  <c r="A786" i="6"/>
  <c r="AH785" i="6"/>
  <c r="AG785" i="6"/>
  <c r="AF785" i="6"/>
  <c r="AE785" i="6"/>
  <c r="AD785" i="6"/>
  <c r="AC785" i="6"/>
  <c r="AB785" i="6"/>
  <c r="AA785" i="6"/>
  <c r="Z785" i="6"/>
  <c r="Y785" i="6"/>
  <c r="X785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K785" i="6"/>
  <c r="J785" i="6"/>
  <c r="I785" i="6"/>
  <c r="H785" i="6"/>
  <c r="G785" i="6"/>
  <c r="F785" i="6"/>
  <c r="E785" i="6"/>
  <c r="D785" i="6"/>
  <c r="C785" i="6"/>
  <c r="B785" i="6"/>
  <c r="A785" i="6"/>
  <c r="AH784" i="6"/>
  <c r="AG784" i="6"/>
  <c r="AF784" i="6"/>
  <c r="AE784" i="6"/>
  <c r="AD784" i="6"/>
  <c r="AC784" i="6"/>
  <c r="AB784" i="6"/>
  <c r="AA784" i="6"/>
  <c r="Z784" i="6"/>
  <c r="Y784" i="6"/>
  <c r="X784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K784" i="6"/>
  <c r="J784" i="6"/>
  <c r="I784" i="6"/>
  <c r="H784" i="6"/>
  <c r="G784" i="6"/>
  <c r="F784" i="6"/>
  <c r="E784" i="6"/>
  <c r="D784" i="6"/>
  <c r="C784" i="6"/>
  <c r="B784" i="6"/>
  <c r="A784" i="6"/>
  <c r="AH783" i="6"/>
  <c r="AG783" i="6"/>
  <c r="AF783" i="6"/>
  <c r="AE783" i="6"/>
  <c r="AD783" i="6"/>
  <c r="AC783" i="6"/>
  <c r="AB783" i="6"/>
  <c r="AA783" i="6"/>
  <c r="Z783" i="6"/>
  <c r="Y783" i="6"/>
  <c r="X783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K783" i="6"/>
  <c r="J783" i="6"/>
  <c r="I783" i="6"/>
  <c r="H783" i="6"/>
  <c r="G783" i="6"/>
  <c r="F783" i="6"/>
  <c r="E783" i="6"/>
  <c r="D783" i="6"/>
  <c r="C783" i="6"/>
  <c r="B783" i="6"/>
  <c r="A783" i="6"/>
  <c r="AH782" i="6"/>
  <c r="AG782" i="6"/>
  <c r="AF782" i="6"/>
  <c r="AE782" i="6"/>
  <c r="AD782" i="6"/>
  <c r="AC782" i="6"/>
  <c r="AB782" i="6"/>
  <c r="AA782" i="6"/>
  <c r="Z782" i="6"/>
  <c r="Y782" i="6"/>
  <c r="X782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K782" i="6"/>
  <c r="J782" i="6"/>
  <c r="I782" i="6"/>
  <c r="H782" i="6"/>
  <c r="G782" i="6"/>
  <c r="F782" i="6"/>
  <c r="E782" i="6"/>
  <c r="D782" i="6"/>
  <c r="C782" i="6"/>
  <c r="B782" i="6"/>
  <c r="A782" i="6"/>
  <c r="AH781" i="6"/>
  <c r="AG781" i="6"/>
  <c r="AF781" i="6"/>
  <c r="AE781" i="6"/>
  <c r="AD781" i="6"/>
  <c r="AC781" i="6"/>
  <c r="AB781" i="6"/>
  <c r="AA781" i="6"/>
  <c r="Z781" i="6"/>
  <c r="Y781" i="6"/>
  <c r="X781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K781" i="6"/>
  <c r="J781" i="6"/>
  <c r="I781" i="6"/>
  <c r="H781" i="6"/>
  <c r="G781" i="6"/>
  <c r="F781" i="6"/>
  <c r="E781" i="6"/>
  <c r="D781" i="6"/>
  <c r="C781" i="6"/>
  <c r="B781" i="6"/>
  <c r="A781" i="6"/>
  <c r="AH780" i="6"/>
  <c r="AG780" i="6"/>
  <c r="AF780" i="6"/>
  <c r="AE780" i="6"/>
  <c r="AD780" i="6"/>
  <c r="AC780" i="6"/>
  <c r="AB780" i="6"/>
  <c r="AA780" i="6"/>
  <c r="Z780" i="6"/>
  <c r="Y780" i="6"/>
  <c r="X780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K780" i="6"/>
  <c r="J780" i="6"/>
  <c r="I780" i="6"/>
  <c r="H780" i="6"/>
  <c r="G780" i="6"/>
  <c r="F780" i="6"/>
  <c r="E780" i="6"/>
  <c r="D780" i="6"/>
  <c r="C780" i="6"/>
  <c r="B780" i="6"/>
  <c r="A780" i="6"/>
  <c r="AH779" i="6"/>
  <c r="AG779" i="6"/>
  <c r="AF779" i="6"/>
  <c r="AE779" i="6"/>
  <c r="AD779" i="6"/>
  <c r="AC779" i="6"/>
  <c r="AB779" i="6"/>
  <c r="AA779" i="6"/>
  <c r="Z779" i="6"/>
  <c r="Y779" i="6"/>
  <c r="X779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K779" i="6"/>
  <c r="J779" i="6"/>
  <c r="I779" i="6"/>
  <c r="H779" i="6"/>
  <c r="G779" i="6"/>
  <c r="F779" i="6"/>
  <c r="E779" i="6"/>
  <c r="D779" i="6"/>
  <c r="C779" i="6"/>
  <c r="B779" i="6"/>
  <c r="A779" i="6"/>
  <c r="AH778" i="6"/>
  <c r="AG778" i="6"/>
  <c r="AF778" i="6"/>
  <c r="AE778" i="6"/>
  <c r="AD778" i="6"/>
  <c r="AC778" i="6"/>
  <c r="AB778" i="6"/>
  <c r="AA778" i="6"/>
  <c r="Z778" i="6"/>
  <c r="Y778" i="6"/>
  <c r="X778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K778" i="6"/>
  <c r="J778" i="6"/>
  <c r="I778" i="6"/>
  <c r="H778" i="6"/>
  <c r="G778" i="6"/>
  <c r="F778" i="6"/>
  <c r="E778" i="6"/>
  <c r="D778" i="6"/>
  <c r="C778" i="6"/>
  <c r="B778" i="6"/>
  <c r="A778" i="6"/>
  <c r="AH777" i="6"/>
  <c r="AG777" i="6"/>
  <c r="AF777" i="6"/>
  <c r="AE777" i="6"/>
  <c r="AD777" i="6"/>
  <c r="AC777" i="6"/>
  <c r="AB777" i="6"/>
  <c r="AA777" i="6"/>
  <c r="Z777" i="6"/>
  <c r="Y777" i="6"/>
  <c r="X777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K777" i="6"/>
  <c r="J777" i="6"/>
  <c r="I777" i="6"/>
  <c r="H777" i="6"/>
  <c r="G777" i="6"/>
  <c r="F777" i="6"/>
  <c r="E777" i="6"/>
  <c r="D777" i="6"/>
  <c r="C777" i="6"/>
  <c r="B777" i="6"/>
  <c r="A777" i="6"/>
  <c r="AH776" i="6"/>
  <c r="AG776" i="6"/>
  <c r="AF776" i="6"/>
  <c r="AE776" i="6"/>
  <c r="AD776" i="6"/>
  <c r="AC776" i="6"/>
  <c r="AB776" i="6"/>
  <c r="AA776" i="6"/>
  <c r="Z776" i="6"/>
  <c r="Y776" i="6"/>
  <c r="X776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K776" i="6"/>
  <c r="J776" i="6"/>
  <c r="I776" i="6"/>
  <c r="H776" i="6"/>
  <c r="G776" i="6"/>
  <c r="F776" i="6"/>
  <c r="E776" i="6"/>
  <c r="D776" i="6"/>
  <c r="C776" i="6"/>
  <c r="B776" i="6"/>
  <c r="A776" i="6"/>
  <c r="AH775" i="6"/>
  <c r="AG775" i="6"/>
  <c r="AF775" i="6"/>
  <c r="AE775" i="6"/>
  <c r="AD775" i="6"/>
  <c r="AC775" i="6"/>
  <c r="AB775" i="6"/>
  <c r="AA775" i="6"/>
  <c r="Z775" i="6"/>
  <c r="Y775" i="6"/>
  <c r="X775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K775" i="6"/>
  <c r="J775" i="6"/>
  <c r="I775" i="6"/>
  <c r="H775" i="6"/>
  <c r="G775" i="6"/>
  <c r="F775" i="6"/>
  <c r="E775" i="6"/>
  <c r="D775" i="6"/>
  <c r="C775" i="6"/>
  <c r="B775" i="6"/>
  <c r="A775" i="6"/>
  <c r="AH774" i="6"/>
  <c r="AG774" i="6"/>
  <c r="AF774" i="6"/>
  <c r="AE774" i="6"/>
  <c r="AD774" i="6"/>
  <c r="AC774" i="6"/>
  <c r="AB774" i="6"/>
  <c r="AA774" i="6"/>
  <c r="Z774" i="6"/>
  <c r="Y774" i="6"/>
  <c r="X774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K774" i="6"/>
  <c r="J774" i="6"/>
  <c r="I774" i="6"/>
  <c r="H774" i="6"/>
  <c r="G774" i="6"/>
  <c r="F774" i="6"/>
  <c r="E774" i="6"/>
  <c r="D774" i="6"/>
  <c r="C774" i="6"/>
  <c r="B774" i="6"/>
  <c r="A774" i="6"/>
  <c r="AH773" i="6"/>
  <c r="AG773" i="6"/>
  <c r="AF773" i="6"/>
  <c r="AE773" i="6"/>
  <c r="AD773" i="6"/>
  <c r="AC773" i="6"/>
  <c r="AB773" i="6"/>
  <c r="AA773" i="6"/>
  <c r="Z773" i="6"/>
  <c r="Y773" i="6"/>
  <c r="X773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K773" i="6"/>
  <c r="J773" i="6"/>
  <c r="I773" i="6"/>
  <c r="H773" i="6"/>
  <c r="G773" i="6"/>
  <c r="F773" i="6"/>
  <c r="E773" i="6"/>
  <c r="D773" i="6"/>
  <c r="C773" i="6"/>
  <c r="B773" i="6"/>
  <c r="A773" i="6"/>
  <c r="AH772" i="6"/>
  <c r="AG772" i="6"/>
  <c r="AF772" i="6"/>
  <c r="AE772" i="6"/>
  <c r="AD772" i="6"/>
  <c r="AC772" i="6"/>
  <c r="AB772" i="6"/>
  <c r="AA772" i="6"/>
  <c r="Z772" i="6"/>
  <c r="Y772" i="6"/>
  <c r="X772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K772" i="6"/>
  <c r="J772" i="6"/>
  <c r="I772" i="6"/>
  <c r="H772" i="6"/>
  <c r="G772" i="6"/>
  <c r="F772" i="6"/>
  <c r="E772" i="6"/>
  <c r="D772" i="6"/>
  <c r="C772" i="6"/>
  <c r="B772" i="6"/>
  <c r="A772" i="6"/>
  <c r="AH771" i="6"/>
  <c r="AG771" i="6"/>
  <c r="AF771" i="6"/>
  <c r="AE771" i="6"/>
  <c r="AD771" i="6"/>
  <c r="AC771" i="6"/>
  <c r="AB771" i="6"/>
  <c r="AA771" i="6"/>
  <c r="Z771" i="6"/>
  <c r="Y771" i="6"/>
  <c r="X771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K771" i="6"/>
  <c r="J771" i="6"/>
  <c r="I771" i="6"/>
  <c r="H771" i="6"/>
  <c r="G771" i="6"/>
  <c r="F771" i="6"/>
  <c r="E771" i="6"/>
  <c r="D771" i="6"/>
  <c r="C771" i="6"/>
  <c r="B771" i="6"/>
  <c r="A771" i="6"/>
  <c r="AH770" i="6"/>
  <c r="AG770" i="6"/>
  <c r="AF770" i="6"/>
  <c r="AE770" i="6"/>
  <c r="AD770" i="6"/>
  <c r="AC770" i="6"/>
  <c r="AB770" i="6"/>
  <c r="AA770" i="6"/>
  <c r="Z770" i="6"/>
  <c r="Y770" i="6"/>
  <c r="X770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K770" i="6"/>
  <c r="J770" i="6"/>
  <c r="I770" i="6"/>
  <c r="H770" i="6"/>
  <c r="G770" i="6"/>
  <c r="F770" i="6"/>
  <c r="E770" i="6"/>
  <c r="D770" i="6"/>
  <c r="C770" i="6"/>
  <c r="B770" i="6"/>
  <c r="A770" i="6"/>
  <c r="AH769" i="6"/>
  <c r="AG769" i="6"/>
  <c r="AF769" i="6"/>
  <c r="AE769" i="6"/>
  <c r="AD769" i="6"/>
  <c r="AC769" i="6"/>
  <c r="AB769" i="6"/>
  <c r="AA769" i="6"/>
  <c r="Z769" i="6"/>
  <c r="Y769" i="6"/>
  <c r="X769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K769" i="6"/>
  <c r="J769" i="6"/>
  <c r="I769" i="6"/>
  <c r="H769" i="6"/>
  <c r="G769" i="6"/>
  <c r="F769" i="6"/>
  <c r="E769" i="6"/>
  <c r="D769" i="6"/>
  <c r="C769" i="6"/>
  <c r="B769" i="6"/>
  <c r="A769" i="6"/>
  <c r="AH768" i="6"/>
  <c r="AG768" i="6"/>
  <c r="AF768" i="6"/>
  <c r="AE768" i="6"/>
  <c r="AD768" i="6"/>
  <c r="AC768" i="6"/>
  <c r="AB768" i="6"/>
  <c r="AA768" i="6"/>
  <c r="Z768" i="6"/>
  <c r="Y768" i="6"/>
  <c r="X768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K768" i="6"/>
  <c r="J768" i="6"/>
  <c r="I768" i="6"/>
  <c r="H768" i="6"/>
  <c r="G768" i="6"/>
  <c r="F768" i="6"/>
  <c r="E768" i="6"/>
  <c r="D768" i="6"/>
  <c r="C768" i="6"/>
  <c r="B768" i="6"/>
  <c r="A768" i="6"/>
  <c r="AH767" i="6"/>
  <c r="AG767" i="6"/>
  <c r="AF767" i="6"/>
  <c r="AE767" i="6"/>
  <c r="AD767" i="6"/>
  <c r="AC767" i="6"/>
  <c r="AB767" i="6"/>
  <c r="AA767" i="6"/>
  <c r="Z767" i="6"/>
  <c r="Y767" i="6"/>
  <c r="X767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K767" i="6"/>
  <c r="J767" i="6"/>
  <c r="I767" i="6"/>
  <c r="H767" i="6"/>
  <c r="G767" i="6"/>
  <c r="F767" i="6"/>
  <c r="E767" i="6"/>
  <c r="D767" i="6"/>
  <c r="C767" i="6"/>
  <c r="B767" i="6"/>
  <c r="A767" i="6"/>
  <c r="AH766" i="6"/>
  <c r="AG766" i="6"/>
  <c r="AF766" i="6"/>
  <c r="AE766" i="6"/>
  <c r="AD766" i="6"/>
  <c r="AC766" i="6"/>
  <c r="AB766" i="6"/>
  <c r="AA766" i="6"/>
  <c r="Z766" i="6"/>
  <c r="Y766" i="6"/>
  <c r="X766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K766" i="6"/>
  <c r="J766" i="6"/>
  <c r="I766" i="6"/>
  <c r="H766" i="6"/>
  <c r="G766" i="6"/>
  <c r="F766" i="6"/>
  <c r="E766" i="6"/>
  <c r="D766" i="6"/>
  <c r="C766" i="6"/>
  <c r="B766" i="6"/>
  <c r="A766" i="6"/>
  <c r="AH765" i="6"/>
  <c r="AG765" i="6"/>
  <c r="AF765" i="6"/>
  <c r="AE765" i="6"/>
  <c r="AD765" i="6"/>
  <c r="AC765" i="6"/>
  <c r="AB765" i="6"/>
  <c r="AA765" i="6"/>
  <c r="Z765" i="6"/>
  <c r="Y765" i="6"/>
  <c r="X765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K765" i="6"/>
  <c r="J765" i="6"/>
  <c r="I765" i="6"/>
  <c r="H765" i="6"/>
  <c r="G765" i="6"/>
  <c r="F765" i="6"/>
  <c r="E765" i="6"/>
  <c r="D765" i="6"/>
  <c r="C765" i="6"/>
  <c r="B765" i="6"/>
  <c r="A765" i="6"/>
  <c r="AH764" i="6"/>
  <c r="AG764" i="6"/>
  <c r="AF764" i="6"/>
  <c r="AE764" i="6"/>
  <c r="AD764" i="6"/>
  <c r="AC764" i="6"/>
  <c r="AB764" i="6"/>
  <c r="AA764" i="6"/>
  <c r="Z764" i="6"/>
  <c r="Y764" i="6"/>
  <c r="X764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K764" i="6"/>
  <c r="J764" i="6"/>
  <c r="I764" i="6"/>
  <c r="H764" i="6"/>
  <c r="G764" i="6"/>
  <c r="F764" i="6"/>
  <c r="E764" i="6"/>
  <c r="D764" i="6"/>
  <c r="C764" i="6"/>
  <c r="B764" i="6"/>
  <c r="A764" i="6"/>
  <c r="AH763" i="6"/>
  <c r="AG763" i="6"/>
  <c r="AF763" i="6"/>
  <c r="AE763" i="6"/>
  <c r="AD763" i="6"/>
  <c r="AC763" i="6"/>
  <c r="AB763" i="6"/>
  <c r="AA763" i="6"/>
  <c r="Z763" i="6"/>
  <c r="Y763" i="6"/>
  <c r="X763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K763" i="6"/>
  <c r="J763" i="6"/>
  <c r="I763" i="6"/>
  <c r="H763" i="6"/>
  <c r="G763" i="6"/>
  <c r="F763" i="6"/>
  <c r="E763" i="6"/>
  <c r="D763" i="6"/>
  <c r="C763" i="6"/>
  <c r="B763" i="6"/>
  <c r="A763" i="6"/>
  <c r="AH762" i="6"/>
  <c r="AG762" i="6"/>
  <c r="AF762" i="6"/>
  <c r="AE762" i="6"/>
  <c r="AD762" i="6"/>
  <c r="AC762" i="6"/>
  <c r="AB762" i="6"/>
  <c r="AA762" i="6"/>
  <c r="Z762" i="6"/>
  <c r="Y762" i="6"/>
  <c r="X762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K762" i="6"/>
  <c r="J762" i="6"/>
  <c r="I762" i="6"/>
  <c r="H762" i="6"/>
  <c r="G762" i="6"/>
  <c r="F762" i="6"/>
  <c r="E762" i="6"/>
  <c r="D762" i="6"/>
  <c r="C762" i="6"/>
  <c r="B762" i="6"/>
  <c r="A762" i="6"/>
  <c r="AH761" i="6"/>
  <c r="AG761" i="6"/>
  <c r="AF761" i="6"/>
  <c r="AE761" i="6"/>
  <c r="AD761" i="6"/>
  <c r="AC761" i="6"/>
  <c r="AB761" i="6"/>
  <c r="AA761" i="6"/>
  <c r="Z761" i="6"/>
  <c r="Y761" i="6"/>
  <c r="X761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K761" i="6"/>
  <c r="J761" i="6"/>
  <c r="I761" i="6"/>
  <c r="H761" i="6"/>
  <c r="G761" i="6"/>
  <c r="F761" i="6"/>
  <c r="E761" i="6"/>
  <c r="D761" i="6"/>
  <c r="C761" i="6"/>
  <c r="B761" i="6"/>
  <c r="A761" i="6"/>
  <c r="AH760" i="6"/>
  <c r="AG760" i="6"/>
  <c r="AF760" i="6"/>
  <c r="AE760" i="6"/>
  <c r="AD760" i="6"/>
  <c r="AC760" i="6"/>
  <c r="AB760" i="6"/>
  <c r="AA760" i="6"/>
  <c r="Z760" i="6"/>
  <c r="Y760" i="6"/>
  <c r="X760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K760" i="6"/>
  <c r="J760" i="6"/>
  <c r="I760" i="6"/>
  <c r="H760" i="6"/>
  <c r="G760" i="6"/>
  <c r="F760" i="6"/>
  <c r="E760" i="6"/>
  <c r="D760" i="6"/>
  <c r="C760" i="6"/>
  <c r="B760" i="6"/>
  <c r="A760" i="6"/>
  <c r="AH759" i="6"/>
  <c r="AG759" i="6"/>
  <c r="AF759" i="6"/>
  <c r="AE759" i="6"/>
  <c r="AD759" i="6"/>
  <c r="AC759" i="6"/>
  <c r="AB759" i="6"/>
  <c r="AA759" i="6"/>
  <c r="Z759" i="6"/>
  <c r="Y759" i="6"/>
  <c r="X759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K759" i="6"/>
  <c r="J759" i="6"/>
  <c r="I759" i="6"/>
  <c r="H759" i="6"/>
  <c r="G759" i="6"/>
  <c r="F759" i="6"/>
  <c r="E759" i="6"/>
  <c r="D759" i="6"/>
  <c r="C759" i="6"/>
  <c r="B759" i="6"/>
  <c r="A759" i="6"/>
  <c r="AH758" i="6"/>
  <c r="AG758" i="6"/>
  <c r="AF758" i="6"/>
  <c r="AE758" i="6"/>
  <c r="AD758" i="6"/>
  <c r="AC758" i="6"/>
  <c r="AB758" i="6"/>
  <c r="AA758" i="6"/>
  <c r="Z758" i="6"/>
  <c r="Y758" i="6"/>
  <c r="X758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K758" i="6"/>
  <c r="J758" i="6"/>
  <c r="I758" i="6"/>
  <c r="H758" i="6"/>
  <c r="G758" i="6"/>
  <c r="F758" i="6"/>
  <c r="E758" i="6"/>
  <c r="D758" i="6"/>
  <c r="C758" i="6"/>
  <c r="B758" i="6"/>
  <c r="A758" i="6"/>
  <c r="AH757" i="6"/>
  <c r="AG757" i="6"/>
  <c r="AF757" i="6"/>
  <c r="AE757" i="6"/>
  <c r="AD757" i="6"/>
  <c r="AC757" i="6"/>
  <c r="AB757" i="6"/>
  <c r="AA757" i="6"/>
  <c r="Z757" i="6"/>
  <c r="Y757" i="6"/>
  <c r="X757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K757" i="6"/>
  <c r="J757" i="6"/>
  <c r="I757" i="6"/>
  <c r="H757" i="6"/>
  <c r="G757" i="6"/>
  <c r="F757" i="6"/>
  <c r="E757" i="6"/>
  <c r="D757" i="6"/>
  <c r="C757" i="6"/>
  <c r="B757" i="6"/>
  <c r="A757" i="6"/>
  <c r="AH756" i="6"/>
  <c r="AG756" i="6"/>
  <c r="AF756" i="6"/>
  <c r="AE756" i="6"/>
  <c r="AD756" i="6"/>
  <c r="AC756" i="6"/>
  <c r="AB756" i="6"/>
  <c r="AA756" i="6"/>
  <c r="Z756" i="6"/>
  <c r="Y756" i="6"/>
  <c r="X756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K756" i="6"/>
  <c r="J756" i="6"/>
  <c r="I756" i="6"/>
  <c r="H756" i="6"/>
  <c r="G756" i="6"/>
  <c r="F756" i="6"/>
  <c r="E756" i="6"/>
  <c r="D756" i="6"/>
  <c r="C756" i="6"/>
  <c r="B756" i="6"/>
  <c r="A756" i="6"/>
  <c r="AH755" i="6"/>
  <c r="AG755" i="6"/>
  <c r="AF755" i="6"/>
  <c r="AE755" i="6"/>
  <c r="AD755" i="6"/>
  <c r="AC755" i="6"/>
  <c r="AB755" i="6"/>
  <c r="AA755" i="6"/>
  <c r="Z755" i="6"/>
  <c r="Y755" i="6"/>
  <c r="X755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K755" i="6"/>
  <c r="J755" i="6"/>
  <c r="I755" i="6"/>
  <c r="H755" i="6"/>
  <c r="G755" i="6"/>
  <c r="F755" i="6"/>
  <c r="E755" i="6"/>
  <c r="D755" i="6"/>
  <c r="C755" i="6"/>
  <c r="B755" i="6"/>
  <c r="A755" i="6"/>
  <c r="AH754" i="6"/>
  <c r="AG754" i="6"/>
  <c r="AF754" i="6"/>
  <c r="AE754" i="6"/>
  <c r="AD754" i="6"/>
  <c r="AC754" i="6"/>
  <c r="AB754" i="6"/>
  <c r="AA754" i="6"/>
  <c r="Z754" i="6"/>
  <c r="Y754" i="6"/>
  <c r="X754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K754" i="6"/>
  <c r="J754" i="6"/>
  <c r="I754" i="6"/>
  <c r="H754" i="6"/>
  <c r="G754" i="6"/>
  <c r="F754" i="6"/>
  <c r="E754" i="6"/>
  <c r="D754" i="6"/>
  <c r="C754" i="6"/>
  <c r="B754" i="6"/>
  <c r="A754" i="6"/>
  <c r="AH753" i="6"/>
  <c r="AG753" i="6"/>
  <c r="AF753" i="6"/>
  <c r="AE753" i="6"/>
  <c r="AD753" i="6"/>
  <c r="AC753" i="6"/>
  <c r="AB753" i="6"/>
  <c r="AA753" i="6"/>
  <c r="Z753" i="6"/>
  <c r="Y753" i="6"/>
  <c r="X753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K753" i="6"/>
  <c r="J753" i="6"/>
  <c r="I753" i="6"/>
  <c r="H753" i="6"/>
  <c r="G753" i="6"/>
  <c r="F753" i="6"/>
  <c r="E753" i="6"/>
  <c r="D753" i="6"/>
  <c r="C753" i="6"/>
  <c r="B753" i="6"/>
  <c r="A753" i="6"/>
  <c r="AH752" i="6"/>
  <c r="AG752" i="6"/>
  <c r="AF752" i="6"/>
  <c r="AE752" i="6"/>
  <c r="AD752" i="6"/>
  <c r="AC752" i="6"/>
  <c r="AB752" i="6"/>
  <c r="AA752" i="6"/>
  <c r="Z752" i="6"/>
  <c r="Y752" i="6"/>
  <c r="X752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K752" i="6"/>
  <c r="J752" i="6"/>
  <c r="I752" i="6"/>
  <c r="H752" i="6"/>
  <c r="G752" i="6"/>
  <c r="F752" i="6"/>
  <c r="E752" i="6"/>
  <c r="D752" i="6"/>
  <c r="C752" i="6"/>
  <c r="B752" i="6"/>
  <c r="A752" i="6"/>
  <c r="AH751" i="6"/>
  <c r="AG751" i="6"/>
  <c r="AF751" i="6"/>
  <c r="AE751" i="6"/>
  <c r="AD751" i="6"/>
  <c r="AC751" i="6"/>
  <c r="AB751" i="6"/>
  <c r="AA751" i="6"/>
  <c r="Z751" i="6"/>
  <c r="Y751" i="6"/>
  <c r="X751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K751" i="6"/>
  <c r="J751" i="6"/>
  <c r="I751" i="6"/>
  <c r="H751" i="6"/>
  <c r="G751" i="6"/>
  <c r="F751" i="6"/>
  <c r="E751" i="6"/>
  <c r="D751" i="6"/>
  <c r="C751" i="6"/>
  <c r="B751" i="6"/>
  <c r="A751" i="6"/>
  <c r="AH750" i="6"/>
  <c r="AG750" i="6"/>
  <c r="AF750" i="6"/>
  <c r="AE750" i="6"/>
  <c r="AD750" i="6"/>
  <c r="AC750" i="6"/>
  <c r="AB750" i="6"/>
  <c r="AA750" i="6"/>
  <c r="Z750" i="6"/>
  <c r="Y750" i="6"/>
  <c r="X750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K750" i="6"/>
  <c r="J750" i="6"/>
  <c r="I750" i="6"/>
  <c r="H750" i="6"/>
  <c r="G750" i="6"/>
  <c r="F750" i="6"/>
  <c r="E750" i="6"/>
  <c r="D750" i="6"/>
  <c r="C750" i="6"/>
  <c r="B750" i="6"/>
  <c r="A750" i="6"/>
  <c r="AH749" i="6"/>
  <c r="AG749" i="6"/>
  <c r="AF749" i="6"/>
  <c r="AE749" i="6"/>
  <c r="AD749" i="6"/>
  <c r="AC749" i="6"/>
  <c r="AB749" i="6"/>
  <c r="AA749" i="6"/>
  <c r="Z749" i="6"/>
  <c r="Y749" i="6"/>
  <c r="X749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K749" i="6"/>
  <c r="J749" i="6"/>
  <c r="I749" i="6"/>
  <c r="H749" i="6"/>
  <c r="G749" i="6"/>
  <c r="F749" i="6"/>
  <c r="E749" i="6"/>
  <c r="D749" i="6"/>
  <c r="C749" i="6"/>
  <c r="B749" i="6"/>
  <c r="A749" i="6"/>
  <c r="AH748" i="6"/>
  <c r="AG748" i="6"/>
  <c r="AF748" i="6"/>
  <c r="AE748" i="6"/>
  <c r="AD748" i="6"/>
  <c r="AC748" i="6"/>
  <c r="AB748" i="6"/>
  <c r="AA748" i="6"/>
  <c r="Z748" i="6"/>
  <c r="Y748" i="6"/>
  <c r="X748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K748" i="6"/>
  <c r="J748" i="6"/>
  <c r="I748" i="6"/>
  <c r="H748" i="6"/>
  <c r="G748" i="6"/>
  <c r="F748" i="6"/>
  <c r="E748" i="6"/>
  <c r="D748" i="6"/>
  <c r="C748" i="6"/>
  <c r="B748" i="6"/>
  <c r="A748" i="6"/>
  <c r="AH747" i="6"/>
  <c r="AG747" i="6"/>
  <c r="AF747" i="6"/>
  <c r="AE747" i="6"/>
  <c r="AD747" i="6"/>
  <c r="AC747" i="6"/>
  <c r="AB747" i="6"/>
  <c r="AA747" i="6"/>
  <c r="Z747" i="6"/>
  <c r="Y747" i="6"/>
  <c r="X747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K747" i="6"/>
  <c r="J747" i="6"/>
  <c r="I747" i="6"/>
  <c r="H747" i="6"/>
  <c r="G747" i="6"/>
  <c r="F747" i="6"/>
  <c r="E747" i="6"/>
  <c r="D747" i="6"/>
  <c r="C747" i="6"/>
  <c r="B747" i="6"/>
  <c r="A747" i="6"/>
  <c r="AH746" i="6"/>
  <c r="AG746" i="6"/>
  <c r="AF746" i="6"/>
  <c r="AE746" i="6"/>
  <c r="AD746" i="6"/>
  <c r="AC746" i="6"/>
  <c r="AB746" i="6"/>
  <c r="AA746" i="6"/>
  <c r="Z746" i="6"/>
  <c r="Y746" i="6"/>
  <c r="X746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K746" i="6"/>
  <c r="J746" i="6"/>
  <c r="I746" i="6"/>
  <c r="H746" i="6"/>
  <c r="G746" i="6"/>
  <c r="F746" i="6"/>
  <c r="E746" i="6"/>
  <c r="D746" i="6"/>
  <c r="C746" i="6"/>
  <c r="B746" i="6"/>
  <c r="A746" i="6"/>
  <c r="AH745" i="6"/>
  <c r="AG745" i="6"/>
  <c r="AF745" i="6"/>
  <c r="AE745" i="6"/>
  <c r="AD745" i="6"/>
  <c r="AC745" i="6"/>
  <c r="AB745" i="6"/>
  <c r="AA745" i="6"/>
  <c r="Z745" i="6"/>
  <c r="Y745" i="6"/>
  <c r="X745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K745" i="6"/>
  <c r="J745" i="6"/>
  <c r="I745" i="6"/>
  <c r="H745" i="6"/>
  <c r="G745" i="6"/>
  <c r="F745" i="6"/>
  <c r="E745" i="6"/>
  <c r="D745" i="6"/>
  <c r="C745" i="6"/>
  <c r="B745" i="6"/>
  <c r="A745" i="6"/>
  <c r="AH744" i="6"/>
  <c r="AG744" i="6"/>
  <c r="AF744" i="6"/>
  <c r="AE744" i="6"/>
  <c r="AD744" i="6"/>
  <c r="AC744" i="6"/>
  <c r="AB744" i="6"/>
  <c r="AA744" i="6"/>
  <c r="Z744" i="6"/>
  <c r="Y744" i="6"/>
  <c r="X744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K744" i="6"/>
  <c r="J744" i="6"/>
  <c r="I744" i="6"/>
  <c r="H744" i="6"/>
  <c r="G744" i="6"/>
  <c r="F744" i="6"/>
  <c r="E744" i="6"/>
  <c r="D744" i="6"/>
  <c r="C744" i="6"/>
  <c r="B744" i="6"/>
  <c r="A744" i="6"/>
  <c r="AH743" i="6"/>
  <c r="AG743" i="6"/>
  <c r="AF743" i="6"/>
  <c r="AE743" i="6"/>
  <c r="AD743" i="6"/>
  <c r="AC743" i="6"/>
  <c r="AB743" i="6"/>
  <c r="AA743" i="6"/>
  <c r="Z743" i="6"/>
  <c r="Y743" i="6"/>
  <c r="X743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K743" i="6"/>
  <c r="J743" i="6"/>
  <c r="I743" i="6"/>
  <c r="H743" i="6"/>
  <c r="G743" i="6"/>
  <c r="F743" i="6"/>
  <c r="E743" i="6"/>
  <c r="D743" i="6"/>
  <c r="C743" i="6"/>
  <c r="B743" i="6"/>
  <c r="A743" i="6"/>
  <c r="AH742" i="6"/>
  <c r="AG742" i="6"/>
  <c r="AF742" i="6"/>
  <c r="AE742" i="6"/>
  <c r="AD742" i="6"/>
  <c r="AC742" i="6"/>
  <c r="AB742" i="6"/>
  <c r="AA742" i="6"/>
  <c r="Z742" i="6"/>
  <c r="Y742" i="6"/>
  <c r="X742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K742" i="6"/>
  <c r="J742" i="6"/>
  <c r="I742" i="6"/>
  <c r="H742" i="6"/>
  <c r="G742" i="6"/>
  <c r="F742" i="6"/>
  <c r="E742" i="6"/>
  <c r="D742" i="6"/>
  <c r="C742" i="6"/>
  <c r="B742" i="6"/>
  <c r="A742" i="6"/>
  <c r="AH741" i="6"/>
  <c r="AG741" i="6"/>
  <c r="AF741" i="6"/>
  <c r="AE741" i="6"/>
  <c r="AD741" i="6"/>
  <c r="AC741" i="6"/>
  <c r="AB741" i="6"/>
  <c r="AA741" i="6"/>
  <c r="Z741" i="6"/>
  <c r="Y741" i="6"/>
  <c r="X741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K741" i="6"/>
  <c r="J741" i="6"/>
  <c r="I741" i="6"/>
  <c r="H741" i="6"/>
  <c r="G741" i="6"/>
  <c r="F741" i="6"/>
  <c r="E741" i="6"/>
  <c r="D741" i="6"/>
  <c r="C741" i="6"/>
  <c r="B741" i="6"/>
  <c r="A741" i="6"/>
  <c r="AH740" i="6"/>
  <c r="AG740" i="6"/>
  <c r="AF740" i="6"/>
  <c r="AE740" i="6"/>
  <c r="AD740" i="6"/>
  <c r="AC740" i="6"/>
  <c r="AB740" i="6"/>
  <c r="AA740" i="6"/>
  <c r="Z740" i="6"/>
  <c r="Y740" i="6"/>
  <c r="X740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K740" i="6"/>
  <c r="J740" i="6"/>
  <c r="I740" i="6"/>
  <c r="H740" i="6"/>
  <c r="G740" i="6"/>
  <c r="F740" i="6"/>
  <c r="E740" i="6"/>
  <c r="D740" i="6"/>
  <c r="C740" i="6"/>
  <c r="B740" i="6"/>
  <c r="A740" i="6"/>
  <c r="AH739" i="6"/>
  <c r="AG739" i="6"/>
  <c r="AF739" i="6"/>
  <c r="AE739" i="6"/>
  <c r="AD739" i="6"/>
  <c r="AC739" i="6"/>
  <c r="AB739" i="6"/>
  <c r="AA739" i="6"/>
  <c r="Z739" i="6"/>
  <c r="Y739" i="6"/>
  <c r="X739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K739" i="6"/>
  <c r="J739" i="6"/>
  <c r="I739" i="6"/>
  <c r="H739" i="6"/>
  <c r="G739" i="6"/>
  <c r="F739" i="6"/>
  <c r="E739" i="6"/>
  <c r="D739" i="6"/>
  <c r="C739" i="6"/>
  <c r="B739" i="6"/>
  <c r="A739" i="6"/>
  <c r="AH738" i="6"/>
  <c r="AG738" i="6"/>
  <c r="AF738" i="6"/>
  <c r="AE738" i="6"/>
  <c r="AD738" i="6"/>
  <c r="AC738" i="6"/>
  <c r="AB738" i="6"/>
  <c r="AA738" i="6"/>
  <c r="Z738" i="6"/>
  <c r="Y738" i="6"/>
  <c r="X738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K738" i="6"/>
  <c r="J738" i="6"/>
  <c r="I738" i="6"/>
  <c r="H738" i="6"/>
  <c r="G738" i="6"/>
  <c r="F738" i="6"/>
  <c r="E738" i="6"/>
  <c r="D738" i="6"/>
  <c r="C738" i="6"/>
  <c r="B738" i="6"/>
  <c r="A738" i="6"/>
  <c r="AH737" i="6"/>
  <c r="AG737" i="6"/>
  <c r="AF737" i="6"/>
  <c r="AE737" i="6"/>
  <c r="AD737" i="6"/>
  <c r="AC737" i="6"/>
  <c r="AB737" i="6"/>
  <c r="AA737" i="6"/>
  <c r="Z737" i="6"/>
  <c r="Y737" i="6"/>
  <c r="X737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K737" i="6"/>
  <c r="J737" i="6"/>
  <c r="I737" i="6"/>
  <c r="H737" i="6"/>
  <c r="G737" i="6"/>
  <c r="F737" i="6"/>
  <c r="E737" i="6"/>
  <c r="D737" i="6"/>
  <c r="C737" i="6"/>
  <c r="B737" i="6"/>
  <c r="A737" i="6"/>
  <c r="AH736" i="6"/>
  <c r="AG736" i="6"/>
  <c r="AF736" i="6"/>
  <c r="AE736" i="6"/>
  <c r="AD736" i="6"/>
  <c r="AC736" i="6"/>
  <c r="AB736" i="6"/>
  <c r="AA736" i="6"/>
  <c r="Z736" i="6"/>
  <c r="Y736" i="6"/>
  <c r="X736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K736" i="6"/>
  <c r="J736" i="6"/>
  <c r="I736" i="6"/>
  <c r="H736" i="6"/>
  <c r="G736" i="6"/>
  <c r="F736" i="6"/>
  <c r="E736" i="6"/>
  <c r="D736" i="6"/>
  <c r="C736" i="6"/>
  <c r="B736" i="6"/>
  <c r="A736" i="6"/>
  <c r="AH735" i="6"/>
  <c r="AG735" i="6"/>
  <c r="AF735" i="6"/>
  <c r="AE735" i="6"/>
  <c r="AD735" i="6"/>
  <c r="AC735" i="6"/>
  <c r="AB735" i="6"/>
  <c r="AA735" i="6"/>
  <c r="Z735" i="6"/>
  <c r="Y735" i="6"/>
  <c r="X735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K735" i="6"/>
  <c r="J735" i="6"/>
  <c r="I735" i="6"/>
  <c r="H735" i="6"/>
  <c r="G735" i="6"/>
  <c r="F735" i="6"/>
  <c r="E735" i="6"/>
  <c r="D735" i="6"/>
  <c r="C735" i="6"/>
  <c r="B735" i="6"/>
  <c r="A735" i="6"/>
  <c r="AH734" i="6"/>
  <c r="AG734" i="6"/>
  <c r="AF734" i="6"/>
  <c r="AE734" i="6"/>
  <c r="AD734" i="6"/>
  <c r="AC734" i="6"/>
  <c r="AB734" i="6"/>
  <c r="AA734" i="6"/>
  <c r="Z734" i="6"/>
  <c r="Y734" i="6"/>
  <c r="X734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K734" i="6"/>
  <c r="J734" i="6"/>
  <c r="I734" i="6"/>
  <c r="H734" i="6"/>
  <c r="G734" i="6"/>
  <c r="F734" i="6"/>
  <c r="E734" i="6"/>
  <c r="D734" i="6"/>
  <c r="C734" i="6"/>
  <c r="B734" i="6"/>
  <c r="A734" i="6"/>
  <c r="AH733" i="6"/>
  <c r="AG733" i="6"/>
  <c r="AF733" i="6"/>
  <c r="AE733" i="6"/>
  <c r="AD733" i="6"/>
  <c r="AC733" i="6"/>
  <c r="AB733" i="6"/>
  <c r="AA733" i="6"/>
  <c r="Z733" i="6"/>
  <c r="Y733" i="6"/>
  <c r="X733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K733" i="6"/>
  <c r="J733" i="6"/>
  <c r="I733" i="6"/>
  <c r="H733" i="6"/>
  <c r="G733" i="6"/>
  <c r="F733" i="6"/>
  <c r="E733" i="6"/>
  <c r="D733" i="6"/>
  <c r="C733" i="6"/>
  <c r="B733" i="6"/>
  <c r="A733" i="6"/>
  <c r="AH732" i="6"/>
  <c r="AG732" i="6"/>
  <c r="AF732" i="6"/>
  <c r="AE732" i="6"/>
  <c r="AD732" i="6"/>
  <c r="AC732" i="6"/>
  <c r="AB732" i="6"/>
  <c r="AA732" i="6"/>
  <c r="Z732" i="6"/>
  <c r="Y732" i="6"/>
  <c r="X732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K732" i="6"/>
  <c r="J732" i="6"/>
  <c r="I732" i="6"/>
  <c r="H732" i="6"/>
  <c r="G732" i="6"/>
  <c r="F732" i="6"/>
  <c r="E732" i="6"/>
  <c r="D732" i="6"/>
  <c r="C732" i="6"/>
  <c r="B732" i="6"/>
  <c r="A732" i="6"/>
  <c r="AH731" i="6"/>
  <c r="AG731" i="6"/>
  <c r="AF731" i="6"/>
  <c r="AE731" i="6"/>
  <c r="AD731" i="6"/>
  <c r="AC731" i="6"/>
  <c r="AB731" i="6"/>
  <c r="AA731" i="6"/>
  <c r="Z731" i="6"/>
  <c r="Y731" i="6"/>
  <c r="X731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K731" i="6"/>
  <c r="J731" i="6"/>
  <c r="I731" i="6"/>
  <c r="H731" i="6"/>
  <c r="G731" i="6"/>
  <c r="F731" i="6"/>
  <c r="E731" i="6"/>
  <c r="D731" i="6"/>
  <c r="C731" i="6"/>
  <c r="B731" i="6"/>
  <c r="A731" i="6"/>
  <c r="AH730" i="6"/>
  <c r="AG730" i="6"/>
  <c r="AF730" i="6"/>
  <c r="AE730" i="6"/>
  <c r="AD730" i="6"/>
  <c r="AC730" i="6"/>
  <c r="AB730" i="6"/>
  <c r="AA730" i="6"/>
  <c r="Z730" i="6"/>
  <c r="Y730" i="6"/>
  <c r="X730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K730" i="6"/>
  <c r="J730" i="6"/>
  <c r="I730" i="6"/>
  <c r="H730" i="6"/>
  <c r="G730" i="6"/>
  <c r="F730" i="6"/>
  <c r="E730" i="6"/>
  <c r="D730" i="6"/>
  <c r="C730" i="6"/>
  <c r="B730" i="6"/>
  <c r="A730" i="6"/>
  <c r="AH729" i="6"/>
  <c r="AG729" i="6"/>
  <c r="AF729" i="6"/>
  <c r="AE729" i="6"/>
  <c r="AD729" i="6"/>
  <c r="AC729" i="6"/>
  <c r="AB729" i="6"/>
  <c r="AA729" i="6"/>
  <c r="Z729" i="6"/>
  <c r="Y729" i="6"/>
  <c r="X729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K729" i="6"/>
  <c r="J729" i="6"/>
  <c r="I729" i="6"/>
  <c r="H729" i="6"/>
  <c r="G729" i="6"/>
  <c r="F729" i="6"/>
  <c r="E729" i="6"/>
  <c r="D729" i="6"/>
  <c r="C729" i="6"/>
  <c r="B729" i="6"/>
  <c r="A729" i="6"/>
  <c r="AH728" i="6"/>
  <c r="AG728" i="6"/>
  <c r="AF728" i="6"/>
  <c r="AE728" i="6"/>
  <c r="AD728" i="6"/>
  <c r="AC728" i="6"/>
  <c r="AB728" i="6"/>
  <c r="AA728" i="6"/>
  <c r="Z728" i="6"/>
  <c r="Y728" i="6"/>
  <c r="X728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K728" i="6"/>
  <c r="J728" i="6"/>
  <c r="I728" i="6"/>
  <c r="H728" i="6"/>
  <c r="G728" i="6"/>
  <c r="F728" i="6"/>
  <c r="E728" i="6"/>
  <c r="D728" i="6"/>
  <c r="C728" i="6"/>
  <c r="B728" i="6"/>
  <c r="A728" i="6"/>
  <c r="AH727" i="6"/>
  <c r="AG727" i="6"/>
  <c r="AF727" i="6"/>
  <c r="AE727" i="6"/>
  <c r="AD727" i="6"/>
  <c r="AC727" i="6"/>
  <c r="AB727" i="6"/>
  <c r="AA727" i="6"/>
  <c r="Z727" i="6"/>
  <c r="Y727" i="6"/>
  <c r="X727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K727" i="6"/>
  <c r="J727" i="6"/>
  <c r="I727" i="6"/>
  <c r="H727" i="6"/>
  <c r="G727" i="6"/>
  <c r="F727" i="6"/>
  <c r="E727" i="6"/>
  <c r="D727" i="6"/>
  <c r="C727" i="6"/>
  <c r="B727" i="6"/>
  <c r="A727" i="6"/>
  <c r="AH726" i="6"/>
  <c r="AG726" i="6"/>
  <c r="AF726" i="6"/>
  <c r="AE726" i="6"/>
  <c r="AD726" i="6"/>
  <c r="AC726" i="6"/>
  <c r="AB726" i="6"/>
  <c r="AA726" i="6"/>
  <c r="Z726" i="6"/>
  <c r="Y726" i="6"/>
  <c r="X726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K726" i="6"/>
  <c r="J726" i="6"/>
  <c r="I726" i="6"/>
  <c r="H726" i="6"/>
  <c r="G726" i="6"/>
  <c r="F726" i="6"/>
  <c r="E726" i="6"/>
  <c r="D726" i="6"/>
  <c r="C726" i="6"/>
  <c r="B726" i="6"/>
  <c r="A726" i="6"/>
  <c r="AH725" i="6"/>
  <c r="AG725" i="6"/>
  <c r="AF725" i="6"/>
  <c r="AE725" i="6"/>
  <c r="AD725" i="6"/>
  <c r="AC725" i="6"/>
  <c r="AB725" i="6"/>
  <c r="AA725" i="6"/>
  <c r="Z725" i="6"/>
  <c r="Y725" i="6"/>
  <c r="X725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K725" i="6"/>
  <c r="J725" i="6"/>
  <c r="I725" i="6"/>
  <c r="H725" i="6"/>
  <c r="G725" i="6"/>
  <c r="F725" i="6"/>
  <c r="E725" i="6"/>
  <c r="D725" i="6"/>
  <c r="C725" i="6"/>
  <c r="B725" i="6"/>
  <c r="A725" i="6"/>
  <c r="AH724" i="6"/>
  <c r="AG724" i="6"/>
  <c r="AF724" i="6"/>
  <c r="AE724" i="6"/>
  <c r="AD724" i="6"/>
  <c r="AC724" i="6"/>
  <c r="AB724" i="6"/>
  <c r="AA724" i="6"/>
  <c r="Z724" i="6"/>
  <c r="Y724" i="6"/>
  <c r="X724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K724" i="6"/>
  <c r="J724" i="6"/>
  <c r="I724" i="6"/>
  <c r="H724" i="6"/>
  <c r="G724" i="6"/>
  <c r="F724" i="6"/>
  <c r="E724" i="6"/>
  <c r="D724" i="6"/>
  <c r="C724" i="6"/>
  <c r="B724" i="6"/>
  <c r="A724" i="6"/>
  <c r="AH723" i="6"/>
  <c r="AG723" i="6"/>
  <c r="AF723" i="6"/>
  <c r="AE723" i="6"/>
  <c r="AD723" i="6"/>
  <c r="AC723" i="6"/>
  <c r="AB723" i="6"/>
  <c r="AA723" i="6"/>
  <c r="Z723" i="6"/>
  <c r="Y723" i="6"/>
  <c r="X723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K723" i="6"/>
  <c r="J723" i="6"/>
  <c r="I723" i="6"/>
  <c r="H723" i="6"/>
  <c r="G723" i="6"/>
  <c r="F723" i="6"/>
  <c r="E723" i="6"/>
  <c r="D723" i="6"/>
  <c r="C723" i="6"/>
  <c r="B723" i="6"/>
  <c r="A723" i="6"/>
  <c r="AH722" i="6"/>
  <c r="AG722" i="6"/>
  <c r="AF722" i="6"/>
  <c r="AE722" i="6"/>
  <c r="AD722" i="6"/>
  <c r="AC722" i="6"/>
  <c r="AB722" i="6"/>
  <c r="AA722" i="6"/>
  <c r="Z722" i="6"/>
  <c r="Y722" i="6"/>
  <c r="X722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K722" i="6"/>
  <c r="J722" i="6"/>
  <c r="I722" i="6"/>
  <c r="H722" i="6"/>
  <c r="G722" i="6"/>
  <c r="F722" i="6"/>
  <c r="E722" i="6"/>
  <c r="D722" i="6"/>
  <c r="C722" i="6"/>
  <c r="B722" i="6"/>
  <c r="A722" i="6"/>
  <c r="AH721" i="6"/>
  <c r="AG721" i="6"/>
  <c r="AF721" i="6"/>
  <c r="AE721" i="6"/>
  <c r="AD721" i="6"/>
  <c r="AC721" i="6"/>
  <c r="AB721" i="6"/>
  <c r="AA721" i="6"/>
  <c r="Z721" i="6"/>
  <c r="Y721" i="6"/>
  <c r="X721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K721" i="6"/>
  <c r="J721" i="6"/>
  <c r="I721" i="6"/>
  <c r="H721" i="6"/>
  <c r="G721" i="6"/>
  <c r="F721" i="6"/>
  <c r="E721" i="6"/>
  <c r="D721" i="6"/>
  <c r="C721" i="6"/>
  <c r="B721" i="6"/>
  <c r="A721" i="6"/>
  <c r="AH720" i="6"/>
  <c r="AG720" i="6"/>
  <c r="AF720" i="6"/>
  <c r="AE720" i="6"/>
  <c r="AD720" i="6"/>
  <c r="AC720" i="6"/>
  <c r="AB720" i="6"/>
  <c r="AA720" i="6"/>
  <c r="Z720" i="6"/>
  <c r="Y720" i="6"/>
  <c r="X720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K720" i="6"/>
  <c r="J720" i="6"/>
  <c r="I720" i="6"/>
  <c r="H720" i="6"/>
  <c r="G720" i="6"/>
  <c r="F720" i="6"/>
  <c r="E720" i="6"/>
  <c r="D720" i="6"/>
  <c r="C720" i="6"/>
  <c r="B720" i="6"/>
  <c r="A720" i="6"/>
  <c r="AH719" i="6"/>
  <c r="AG719" i="6"/>
  <c r="AF719" i="6"/>
  <c r="AE719" i="6"/>
  <c r="AD719" i="6"/>
  <c r="AC719" i="6"/>
  <c r="AB719" i="6"/>
  <c r="AA719" i="6"/>
  <c r="Z719" i="6"/>
  <c r="Y719" i="6"/>
  <c r="X719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K719" i="6"/>
  <c r="J719" i="6"/>
  <c r="I719" i="6"/>
  <c r="H719" i="6"/>
  <c r="G719" i="6"/>
  <c r="F719" i="6"/>
  <c r="E719" i="6"/>
  <c r="D719" i="6"/>
  <c r="C719" i="6"/>
  <c r="B719" i="6"/>
  <c r="A719" i="6"/>
  <c r="AH718" i="6"/>
  <c r="AG718" i="6"/>
  <c r="AF718" i="6"/>
  <c r="AE718" i="6"/>
  <c r="AD718" i="6"/>
  <c r="AC718" i="6"/>
  <c r="AB718" i="6"/>
  <c r="AA718" i="6"/>
  <c r="Z718" i="6"/>
  <c r="Y718" i="6"/>
  <c r="X718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K718" i="6"/>
  <c r="J718" i="6"/>
  <c r="I718" i="6"/>
  <c r="H718" i="6"/>
  <c r="G718" i="6"/>
  <c r="F718" i="6"/>
  <c r="E718" i="6"/>
  <c r="D718" i="6"/>
  <c r="C718" i="6"/>
  <c r="B718" i="6"/>
  <c r="A718" i="6"/>
  <c r="AH717" i="6"/>
  <c r="AG717" i="6"/>
  <c r="AF717" i="6"/>
  <c r="AE717" i="6"/>
  <c r="AD717" i="6"/>
  <c r="AC717" i="6"/>
  <c r="AB717" i="6"/>
  <c r="AA717" i="6"/>
  <c r="Z717" i="6"/>
  <c r="Y717" i="6"/>
  <c r="X717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K717" i="6"/>
  <c r="J717" i="6"/>
  <c r="I717" i="6"/>
  <c r="H717" i="6"/>
  <c r="G717" i="6"/>
  <c r="F717" i="6"/>
  <c r="E717" i="6"/>
  <c r="D717" i="6"/>
  <c r="C717" i="6"/>
  <c r="B717" i="6"/>
  <c r="A717" i="6"/>
  <c r="AH716" i="6"/>
  <c r="AG716" i="6"/>
  <c r="AF716" i="6"/>
  <c r="AE716" i="6"/>
  <c r="AD716" i="6"/>
  <c r="AC716" i="6"/>
  <c r="AB716" i="6"/>
  <c r="AA716" i="6"/>
  <c r="Z716" i="6"/>
  <c r="Y716" i="6"/>
  <c r="X716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K716" i="6"/>
  <c r="J716" i="6"/>
  <c r="I716" i="6"/>
  <c r="H716" i="6"/>
  <c r="G716" i="6"/>
  <c r="F716" i="6"/>
  <c r="E716" i="6"/>
  <c r="D716" i="6"/>
  <c r="C716" i="6"/>
  <c r="B716" i="6"/>
  <c r="A716" i="6"/>
  <c r="AH715" i="6"/>
  <c r="AG715" i="6"/>
  <c r="AF715" i="6"/>
  <c r="AE715" i="6"/>
  <c r="AD715" i="6"/>
  <c r="AC715" i="6"/>
  <c r="AB715" i="6"/>
  <c r="AA715" i="6"/>
  <c r="Z715" i="6"/>
  <c r="Y715" i="6"/>
  <c r="X715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K715" i="6"/>
  <c r="J715" i="6"/>
  <c r="I715" i="6"/>
  <c r="H715" i="6"/>
  <c r="G715" i="6"/>
  <c r="F715" i="6"/>
  <c r="E715" i="6"/>
  <c r="D715" i="6"/>
  <c r="C715" i="6"/>
  <c r="B715" i="6"/>
  <c r="A715" i="6"/>
  <c r="AH714" i="6"/>
  <c r="AG714" i="6"/>
  <c r="AF714" i="6"/>
  <c r="AE714" i="6"/>
  <c r="AD714" i="6"/>
  <c r="AC714" i="6"/>
  <c r="AB714" i="6"/>
  <c r="AA714" i="6"/>
  <c r="Z714" i="6"/>
  <c r="Y714" i="6"/>
  <c r="X714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K714" i="6"/>
  <c r="J714" i="6"/>
  <c r="I714" i="6"/>
  <c r="H714" i="6"/>
  <c r="G714" i="6"/>
  <c r="F714" i="6"/>
  <c r="E714" i="6"/>
  <c r="D714" i="6"/>
  <c r="C714" i="6"/>
  <c r="B714" i="6"/>
  <c r="A714" i="6"/>
  <c r="AH713" i="6"/>
  <c r="AG713" i="6"/>
  <c r="AF713" i="6"/>
  <c r="AE713" i="6"/>
  <c r="AD713" i="6"/>
  <c r="AC713" i="6"/>
  <c r="AB713" i="6"/>
  <c r="AA713" i="6"/>
  <c r="Z713" i="6"/>
  <c r="Y713" i="6"/>
  <c r="X713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K713" i="6"/>
  <c r="J713" i="6"/>
  <c r="I713" i="6"/>
  <c r="H713" i="6"/>
  <c r="G713" i="6"/>
  <c r="F713" i="6"/>
  <c r="E713" i="6"/>
  <c r="D713" i="6"/>
  <c r="C713" i="6"/>
  <c r="B713" i="6"/>
  <c r="A713" i="6"/>
  <c r="AH712" i="6"/>
  <c r="AG712" i="6"/>
  <c r="AF712" i="6"/>
  <c r="AE712" i="6"/>
  <c r="AD712" i="6"/>
  <c r="AC712" i="6"/>
  <c r="AB712" i="6"/>
  <c r="AA712" i="6"/>
  <c r="Z712" i="6"/>
  <c r="Y712" i="6"/>
  <c r="X712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K712" i="6"/>
  <c r="J712" i="6"/>
  <c r="I712" i="6"/>
  <c r="H712" i="6"/>
  <c r="G712" i="6"/>
  <c r="F712" i="6"/>
  <c r="E712" i="6"/>
  <c r="D712" i="6"/>
  <c r="C712" i="6"/>
  <c r="B712" i="6"/>
  <c r="A712" i="6"/>
  <c r="AH711" i="6"/>
  <c r="AG711" i="6"/>
  <c r="AF711" i="6"/>
  <c r="AE711" i="6"/>
  <c r="AD711" i="6"/>
  <c r="AC711" i="6"/>
  <c r="AB711" i="6"/>
  <c r="AA711" i="6"/>
  <c r="Z711" i="6"/>
  <c r="Y711" i="6"/>
  <c r="X711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K711" i="6"/>
  <c r="J711" i="6"/>
  <c r="I711" i="6"/>
  <c r="H711" i="6"/>
  <c r="G711" i="6"/>
  <c r="F711" i="6"/>
  <c r="E711" i="6"/>
  <c r="D711" i="6"/>
  <c r="C711" i="6"/>
  <c r="B711" i="6"/>
  <c r="A711" i="6"/>
  <c r="AH710" i="6"/>
  <c r="AG710" i="6"/>
  <c r="AF710" i="6"/>
  <c r="AE710" i="6"/>
  <c r="AD710" i="6"/>
  <c r="AC710" i="6"/>
  <c r="AB710" i="6"/>
  <c r="AA710" i="6"/>
  <c r="Z710" i="6"/>
  <c r="Y710" i="6"/>
  <c r="X710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K710" i="6"/>
  <c r="J710" i="6"/>
  <c r="I710" i="6"/>
  <c r="H710" i="6"/>
  <c r="G710" i="6"/>
  <c r="F710" i="6"/>
  <c r="E710" i="6"/>
  <c r="D710" i="6"/>
  <c r="C710" i="6"/>
  <c r="B710" i="6"/>
  <c r="A710" i="6"/>
  <c r="AH709" i="6"/>
  <c r="AG709" i="6"/>
  <c r="AF709" i="6"/>
  <c r="AE709" i="6"/>
  <c r="AD709" i="6"/>
  <c r="AC709" i="6"/>
  <c r="AB709" i="6"/>
  <c r="AA709" i="6"/>
  <c r="Z709" i="6"/>
  <c r="Y709" i="6"/>
  <c r="X709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K709" i="6"/>
  <c r="J709" i="6"/>
  <c r="I709" i="6"/>
  <c r="H709" i="6"/>
  <c r="G709" i="6"/>
  <c r="F709" i="6"/>
  <c r="E709" i="6"/>
  <c r="D709" i="6"/>
  <c r="C709" i="6"/>
  <c r="B709" i="6"/>
  <c r="A709" i="6"/>
  <c r="AH708" i="6"/>
  <c r="AG708" i="6"/>
  <c r="AF708" i="6"/>
  <c r="AE708" i="6"/>
  <c r="AD708" i="6"/>
  <c r="AC708" i="6"/>
  <c r="AB708" i="6"/>
  <c r="AA708" i="6"/>
  <c r="Z708" i="6"/>
  <c r="Y708" i="6"/>
  <c r="X708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K708" i="6"/>
  <c r="J708" i="6"/>
  <c r="I708" i="6"/>
  <c r="H708" i="6"/>
  <c r="G708" i="6"/>
  <c r="F708" i="6"/>
  <c r="E708" i="6"/>
  <c r="D708" i="6"/>
  <c r="C708" i="6"/>
  <c r="B708" i="6"/>
  <c r="A708" i="6"/>
  <c r="AH707" i="6"/>
  <c r="AG707" i="6"/>
  <c r="AF707" i="6"/>
  <c r="AE707" i="6"/>
  <c r="AD707" i="6"/>
  <c r="AC707" i="6"/>
  <c r="AB707" i="6"/>
  <c r="AA707" i="6"/>
  <c r="Z707" i="6"/>
  <c r="Y707" i="6"/>
  <c r="X707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K707" i="6"/>
  <c r="J707" i="6"/>
  <c r="I707" i="6"/>
  <c r="H707" i="6"/>
  <c r="G707" i="6"/>
  <c r="F707" i="6"/>
  <c r="E707" i="6"/>
  <c r="D707" i="6"/>
  <c r="C707" i="6"/>
  <c r="B707" i="6"/>
  <c r="A707" i="6"/>
  <c r="AH706" i="6"/>
  <c r="AG706" i="6"/>
  <c r="AF706" i="6"/>
  <c r="AE706" i="6"/>
  <c r="AD706" i="6"/>
  <c r="AC706" i="6"/>
  <c r="AB706" i="6"/>
  <c r="AA706" i="6"/>
  <c r="Z706" i="6"/>
  <c r="Y706" i="6"/>
  <c r="X706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K706" i="6"/>
  <c r="J706" i="6"/>
  <c r="I706" i="6"/>
  <c r="H706" i="6"/>
  <c r="G706" i="6"/>
  <c r="F706" i="6"/>
  <c r="E706" i="6"/>
  <c r="D706" i="6"/>
  <c r="C706" i="6"/>
  <c r="B706" i="6"/>
  <c r="A706" i="6"/>
  <c r="AH705" i="6"/>
  <c r="AG705" i="6"/>
  <c r="AF705" i="6"/>
  <c r="AE705" i="6"/>
  <c r="AD705" i="6"/>
  <c r="AC705" i="6"/>
  <c r="AB705" i="6"/>
  <c r="AA705" i="6"/>
  <c r="Z705" i="6"/>
  <c r="Y705" i="6"/>
  <c r="X705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K705" i="6"/>
  <c r="J705" i="6"/>
  <c r="I705" i="6"/>
  <c r="H705" i="6"/>
  <c r="G705" i="6"/>
  <c r="F705" i="6"/>
  <c r="E705" i="6"/>
  <c r="D705" i="6"/>
  <c r="C705" i="6"/>
  <c r="B705" i="6"/>
  <c r="A705" i="6"/>
  <c r="AH704" i="6"/>
  <c r="AG704" i="6"/>
  <c r="AF704" i="6"/>
  <c r="AE704" i="6"/>
  <c r="AD704" i="6"/>
  <c r="AC704" i="6"/>
  <c r="AB704" i="6"/>
  <c r="AA704" i="6"/>
  <c r="Z704" i="6"/>
  <c r="Y704" i="6"/>
  <c r="X704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K704" i="6"/>
  <c r="J704" i="6"/>
  <c r="I704" i="6"/>
  <c r="H704" i="6"/>
  <c r="G704" i="6"/>
  <c r="F704" i="6"/>
  <c r="E704" i="6"/>
  <c r="D704" i="6"/>
  <c r="C704" i="6"/>
  <c r="B704" i="6"/>
  <c r="A704" i="6"/>
  <c r="AH703" i="6"/>
  <c r="AG703" i="6"/>
  <c r="AF703" i="6"/>
  <c r="AE703" i="6"/>
  <c r="AD703" i="6"/>
  <c r="AC703" i="6"/>
  <c r="AB703" i="6"/>
  <c r="AA703" i="6"/>
  <c r="Z703" i="6"/>
  <c r="Y703" i="6"/>
  <c r="X703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K703" i="6"/>
  <c r="J703" i="6"/>
  <c r="I703" i="6"/>
  <c r="H703" i="6"/>
  <c r="G703" i="6"/>
  <c r="F703" i="6"/>
  <c r="E703" i="6"/>
  <c r="D703" i="6"/>
  <c r="C703" i="6"/>
  <c r="B703" i="6"/>
  <c r="A703" i="6"/>
  <c r="AH702" i="6"/>
  <c r="AG702" i="6"/>
  <c r="AF702" i="6"/>
  <c r="AE702" i="6"/>
  <c r="AD702" i="6"/>
  <c r="AC702" i="6"/>
  <c r="AB702" i="6"/>
  <c r="AA702" i="6"/>
  <c r="Z702" i="6"/>
  <c r="Y702" i="6"/>
  <c r="X702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K702" i="6"/>
  <c r="J702" i="6"/>
  <c r="I702" i="6"/>
  <c r="H702" i="6"/>
  <c r="G702" i="6"/>
  <c r="F702" i="6"/>
  <c r="E702" i="6"/>
  <c r="D702" i="6"/>
  <c r="C702" i="6"/>
  <c r="B702" i="6"/>
  <c r="A702" i="6"/>
  <c r="AH701" i="6"/>
  <c r="AG701" i="6"/>
  <c r="AF701" i="6"/>
  <c r="AE701" i="6"/>
  <c r="AD701" i="6"/>
  <c r="AC701" i="6"/>
  <c r="AB701" i="6"/>
  <c r="AA701" i="6"/>
  <c r="Z701" i="6"/>
  <c r="Y701" i="6"/>
  <c r="X701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K701" i="6"/>
  <c r="J701" i="6"/>
  <c r="I701" i="6"/>
  <c r="H701" i="6"/>
  <c r="G701" i="6"/>
  <c r="F701" i="6"/>
  <c r="E701" i="6"/>
  <c r="D701" i="6"/>
  <c r="C701" i="6"/>
  <c r="B701" i="6"/>
  <c r="A701" i="6"/>
  <c r="AH700" i="6"/>
  <c r="AG700" i="6"/>
  <c r="AF700" i="6"/>
  <c r="AE700" i="6"/>
  <c r="AD700" i="6"/>
  <c r="AC700" i="6"/>
  <c r="AB700" i="6"/>
  <c r="AA700" i="6"/>
  <c r="Z700" i="6"/>
  <c r="Y700" i="6"/>
  <c r="X700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K700" i="6"/>
  <c r="J700" i="6"/>
  <c r="I700" i="6"/>
  <c r="H700" i="6"/>
  <c r="G700" i="6"/>
  <c r="F700" i="6"/>
  <c r="E700" i="6"/>
  <c r="D700" i="6"/>
  <c r="C700" i="6"/>
  <c r="B700" i="6"/>
  <c r="A700" i="6"/>
  <c r="AH699" i="6"/>
  <c r="AG699" i="6"/>
  <c r="AF699" i="6"/>
  <c r="AE699" i="6"/>
  <c r="AD699" i="6"/>
  <c r="AC699" i="6"/>
  <c r="AB699" i="6"/>
  <c r="AA699" i="6"/>
  <c r="Z699" i="6"/>
  <c r="Y699" i="6"/>
  <c r="X699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K699" i="6"/>
  <c r="J699" i="6"/>
  <c r="I699" i="6"/>
  <c r="H699" i="6"/>
  <c r="G699" i="6"/>
  <c r="F699" i="6"/>
  <c r="E699" i="6"/>
  <c r="D699" i="6"/>
  <c r="C699" i="6"/>
  <c r="B699" i="6"/>
  <c r="A699" i="6"/>
  <c r="AH698" i="6"/>
  <c r="AG698" i="6"/>
  <c r="AF698" i="6"/>
  <c r="AE698" i="6"/>
  <c r="AD698" i="6"/>
  <c r="AC698" i="6"/>
  <c r="AB698" i="6"/>
  <c r="AA698" i="6"/>
  <c r="Z698" i="6"/>
  <c r="Y698" i="6"/>
  <c r="X698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K698" i="6"/>
  <c r="J698" i="6"/>
  <c r="I698" i="6"/>
  <c r="H698" i="6"/>
  <c r="G698" i="6"/>
  <c r="F698" i="6"/>
  <c r="E698" i="6"/>
  <c r="D698" i="6"/>
  <c r="C698" i="6"/>
  <c r="B698" i="6"/>
  <c r="A698" i="6"/>
  <c r="AH697" i="6"/>
  <c r="AG697" i="6"/>
  <c r="AF697" i="6"/>
  <c r="AE697" i="6"/>
  <c r="AD697" i="6"/>
  <c r="AC697" i="6"/>
  <c r="AB697" i="6"/>
  <c r="AA697" i="6"/>
  <c r="Z697" i="6"/>
  <c r="Y697" i="6"/>
  <c r="X697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K697" i="6"/>
  <c r="J697" i="6"/>
  <c r="I697" i="6"/>
  <c r="H697" i="6"/>
  <c r="G697" i="6"/>
  <c r="F697" i="6"/>
  <c r="E697" i="6"/>
  <c r="D697" i="6"/>
  <c r="C697" i="6"/>
  <c r="B697" i="6"/>
  <c r="A697" i="6"/>
  <c r="AH696" i="6"/>
  <c r="AG696" i="6"/>
  <c r="AF696" i="6"/>
  <c r="AE696" i="6"/>
  <c r="AD696" i="6"/>
  <c r="AC696" i="6"/>
  <c r="AB696" i="6"/>
  <c r="AA696" i="6"/>
  <c r="Z696" i="6"/>
  <c r="Y696" i="6"/>
  <c r="X696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K696" i="6"/>
  <c r="J696" i="6"/>
  <c r="I696" i="6"/>
  <c r="H696" i="6"/>
  <c r="G696" i="6"/>
  <c r="F696" i="6"/>
  <c r="E696" i="6"/>
  <c r="D696" i="6"/>
  <c r="C696" i="6"/>
  <c r="B696" i="6"/>
  <c r="A696" i="6"/>
  <c r="AH695" i="6"/>
  <c r="AG695" i="6"/>
  <c r="AF695" i="6"/>
  <c r="AE695" i="6"/>
  <c r="AD695" i="6"/>
  <c r="AC695" i="6"/>
  <c r="AB695" i="6"/>
  <c r="AA695" i="6"/>
  <c r="Z695" i="6"/>
  <c r="Y695" i="6"/>
  <c r="X695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K695" i="6"/>
  <c r="J695" i="6"/>
  <c r="I695" i="6"/>
  <c r="H695" i="6"/>
  <c r="G695" i="6"/>
  <c r="F695" i="6"/>
  <c r="E695" i="6"/>
  <c r="D695" i="6"/>
  <c r="C695" i="6"/>
  <c r="B695" i="6"/>
  <c r="A695" i="6"/>
  <c r="AH694" i="6"/>
  <c r="AG694" i="6"/>
  <c r="AF694" i="6"/>
  <c r="AE694" i="6"/>
  <c r="AD694" i="6"/>
  <c r="AC694" i="6"/>
  <c r="AB694" i="6"/>
  <c r="AA694" i="6"/>
  <c r="Z694" i="6"/>
  <c r="Y694" i="6"/>
  <c r="X694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K694" i="6"/>
  <c r="J694" i="6"/>
  <c r="I694" i="6"/>
  <c r="H694" i="6"/>
  <c r="G694" i="6"/>
  <c r="F694" i="6"/>
  <c r="E694" i="6"/>
  <c r="D694" i="6"/>
  <c r="C694" i="6"/>
  <c r="B694" i="6"/>
  <c r="A694" i="6"/>
  <c r="AH693" i="6"/>
  <c r="AG693" i="6"/>
  <c r="AF693" i="6"/>
  <c r="AE693" i="6"/>
  <c r="AD693" i="6"/>
  <c r="AC693" i="6"/>
  <c r="AB693" i="6"/>
  <c r="AA693" i="6"/>
  <c r="Z693" i="6"/>
  <c r="Y693" i="6"/>
  <c r="X693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K693" i="6"/>
  <c r="J693" i="6"/>
  <c r="I693" i="6"/>
  <c r="H693" i="6"/>
  <c r="G693" i="6"/>
  <c r="F693" i="6"/>
  <c r="E693" i="6"/>
  <c r="D693" i="6"/>
  <c r="C693" i="6"/>
  <c r="B693" i="6"/>
  <c r="A693" i="6"/>
  <c r="AH692" i="6"/>
  <c r="AG692" i="6"/>
  <c r="AF692" i="6"/>
  <c r="AE692" i="6"/>
  <c r="AD692" i="6"/>
  <c r="AC692" i="6"/>
  <c r="AB692" i="6"/>
  <c r="AA692" i="6"/>
  <c r="Z692" i="6"/>
  <c r="Y692" i="6"/>
  <c r="X692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K692" i="6"/>
  <c r="J692" i="6"/>
  <c r="I692" i="6"/>
  <c r="H692" i="6"/>
  <c r="G692" i="6"/>
  <c r="F692" i="6"/>
  <c r="E692" i="6"/>
  <c r="D692" i="6"/>
  <c r="C692" i="6"/>
  <c r="B692" i="6"/>
  <c r="A692" i="6"/>
  <c r="AH691" i="6"/>
  <c r="AG691" i="6"/>
  <c r="AF691" i="6"/>
  <c r="AE691" i="6"/>
  <c r="AD691" i="6"/>
  <c r="AC691" i="6"/>
  <c r="AB691" i="6"/>
  <c r="AA691" i="6"/>
  <c r="Z691" i="6"/>
  <c r="Y691" i="6"/>
  <c r="X691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K691" i="6"/>
  <c r="J691" i="6"/>
  <c r="I691" i="6"/>
  <c r="H691" i="6"/>
  <c r="G691" i="6"/>
  <c r="F691" i="6"/>
  <c r="E691" i="6"/>
  <c r="D691" i="6"/>
  <c r="C691" i="6"/>
  <c r="B691" i="6"/>
  <c r="A691" i="6"/>
  <c r="AH690" i="6"/>
  <c r="AG690" i="6"/>
  <c r="AF690" i="6"/>
  <c r="AE690" i="6"/>
  <c r="AD690" i="6"/>
  <c r="AC690" i="6"/>
  <c r="AB690" i="6"/>
  <c r="AA690" i="6"/>
  <c r="Z690" i="6"/>
  <c r="Y690" i="6"/>
  <c r="X690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K690" i="6"/>
  <c r="J690" i="6"/>
  <c r="I690" i="6"/>
  <c r="H690" i="6"/>
  <c r="G690" i="6"/>
  <c r="F690" i="6"/>
  <c r="E690" i="6"/>
  <c r="D690" i="6"/>
  <c r="C690" i="6"/>
  <c r="B690" i="6"/>
  <c r="A690" i="6"/>
  <c r="AH689" i="6"/>
  <c r="AG689" i="6"/>
  <c r="AF689" i="6"/>
  <c r="AE689" i="6"/>
  <c r="AD689" i="6"/>
  <c r="AC689" i="6"/>
  <c r="AB689" i="6"/>
  <c r="AA689" i="6"/>
  <c r="Z689" i="6"/>
  <c r="Y689" i="6"/>
  <c r="X689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K689" i="6"/>
  <c r="J689" i="6"/>
  <c r="I689" i="6"/>
  <c r="H689" i="6"/>
  <c r="G689" i="6"/>
  <c r="F689" i="6"/>
  <c r="E689" i="6"/>
  <c r="D689" i="6"/>
  <c r="C689" i="6"/>
  <c r="B689" i="6"/>
  <c r="A689" i="6"/>
  <c r="AH688" i="6"/>
  <c r="AG688" i="6"/>
  <c r="AF688" i="6"/>
  <c r="AE688" i="6"/>
  <c r="AD688" i="6"/>
  <c r="AC688" i="6"/>
  <c r="AB688" i="6"/>
  <c r="AA688" i="6"/>
  <c r="Z688" i="6"/>
  <c r="Y688" i="6"/>
  <c r="X688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K688" i="6"/>
  <c r="J688" i="6"/>
  <c r="I688" i="6"/>
  <c r="H688" i="6"/>
  <c r="G688" i="6"/>
  <c r="F688" i="6"/>
  <c r="E688" i="6"/>
  <c r="D688" i="6"/>
  <c r="C688" i="6"/>
  <c r="B688" i="6"/>
  <c r="A688" i="6"/>
  <c r="AH687" i="6"/>
  <c r="AG687" i="6"/>
  <c r="AF687" i="6"/>
  <c r="AE687" i="6"/>
  <c r="AD687" i="6"/>
  <c r="AC687" i="6"/>
  <c r="AB687" i="6"/>
  <c r="AA687" i="6"/>
  <c r="Z687" i="6"/>
  <c r="Y687" i="6"/>
  <c r="X687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K687" i="6"/>
  <c r="J687" i="6"/>
  <c r="I687" i="6"/>
  <c r="H687" i="6"/>
  <c r="G687" i="6"/>
  <c r="F687" i="6"/>
  <c r="E687" i="6"/>
  <c r="D687" i="6"/>
  <c r="C687" i="6"/>
  <c r="B687" i="6"/>
  <c r="A687" i="6"/>
  <c r="AH686" i="6"/>
  <c r="AG686" i="6"/>
  <c r="AF686" i="6"/>
  <c r="AE686" i="6"/>
  <c r="AD686" i="6"/>
  <c r="AC686" i="6"/>
  <c r="AB686" i="6"/>
  <c r="AA686" i="6"/>
  <c r="Z686" i="6"/>
  <c r="Y686" i="6"/>
  <c r="X686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K686" i="6"/>
  <c r="J686" i="6"/>
  <c r="I686" i="6"/>
  <c r="H686" i="6"/>
  <c r="G686" i="6"/>
  <c r="F686" i="6"/>
  <c r="E686" i="6"/>
  <c r="D686" i="6"/>
  <c r="C686" i="6"/>
  <c r="B686" i="6"/>
  <c r="A686" i="6"/>
  <c r="AH685" i="6"/>
  <c r="AG685" i="6"/>
  <c r="AF685" i="6"/>
  <c r="AE685" i="6"/>
  <c r="AD685" i="6"/>
  <c r="AC685" i="6"/>
  <c r="AB685" i="6"/>
  <c r="AA685" i="6"/>
  <c r="Z685" i="6"/>
  <c r="Y685" i="6"/>
  <c r="X685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K685" i="6"/>
  <c r="J685" i="6"/>
  <c r="I685" i="6"/>
  <c r="H685" i="6"/>
  <c r="G685" i="6"/>
  <c r="F685" i="6"/>
  <c r="E685" i="6"/>
  <c r="D685" i="6"/>
  <c r="C685" i="6"/>
  <c r="B685" i="6"/>
  <c r="A685" i="6"/>
  <c r="AH684" i="6"/>
  <c r="AG684" i="6"/>
  <c r="AF684" i="6"/>
  <c r="AE684" i="6"/>
  <c r="AD684" i="6"/>
  <c r="AC684" i="6"/>
  <c r="AB684" i="6"/>
  <c r="AA684" i="6"/>
  <c r="Z684" i="6"/>
  <c r="Y684" i="6"/>
  <c r="X684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K684" i="6"/>
  <c r="J684" i="6"/>
  <c r="I684" i="6"/>
  <c r="H684" i="6"/>
  <c r="G684" i="6"/>
  <c r="F684" i="6"/>
  <c r="E684" i="6"/>
  <c r="D684" i="6"/>
  <c r="C684" i="6"/>
  <c r="B684" i="6"/>
  <c r="A684" i="6"/>
  <c r="AH683" i="6"/>
  <c r="AG683" i="6"/>
  <c r="AF683" i="6"/>
  <c r="AE683" i="6"/>
  <c r="AD683" i="6"/>
  <c r="AC683" i="6"/>
  <c r="AB683" i="6"/>
  <c r="AA683" i="6"/>
  <c r="Z683" i="6"/>
  <c r="Y683" i="6"/>
  <c r="X683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K683" i="6"/>
  <c r="J683" i="6"/>
  <c r="I683" i="6"/>
  <c r="H683" i="6"/>
  <c r="G683" i="6"/>
  <c r="F683" i="6"/>
  <c r="E683" i="6"/>
  <c r="D683" i="6"/>
  <c r="C683" i="6"/>
  <c r="B683" i="6"/>
  <c r="A683" i="6"/>
  <c r="AH682" i="6"/>
  <c r="AG682" i="6"/>
  <c r="AF682" i="6"/>
  <c r="AE682" i="6"/>
  <c r="AD682" i="6"/>
  <c r="AC682" i="6"/>
  <c r="AB682" i="6"/>
  <c r="AA682" i="6"/>
  <c r="Z682" i="6"/>
  <c r="Y682" i="6"/>
  <c r="X682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K682" i="6"/>
  <c r="J682" i="6"/>
  <c r="I682" i="6"/>
  <c r="H682" i="6"/>
  <c r="G682" i="6"/>
  <c r="F682" i="6"/>
  <c r="E682" i="6"/>
  <c r="D682" i="6"/>
  <c r="C682" i="6"/>
  <c r="B682" i="6"/>
  <c r="A682" i="6"/>
  <c r="AH681" i="6"/>
  <c r="AG681" i="6"/>
  <c r="AF681" i="6"/>
  <c r="AE681" i="6"/>
  <c r="AD681" i="6"/>
  <c r="AC681" i="6"/>
  <c r="AB681" i="6"/>
  <c r="AA681" i="6"/>
  <c r="Z681" i="6"/>
  <c r="Y681" i="6"/>
  <c r="X681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K681" i="6"/>
  <c r="J681" i="6"/>
  <c r="I681" i="6"/>
  <c r="H681" i="6"/>
  <c r="G681" i="6"/>
  <c r="F681" i="6"/>
  <c r="E681" i="6"/>
  <c r="D681" i="6"/>
  <c r="C681" i="6"/>
  <c r="B681" i="6"/>
  <c r="A681" i="6"/>
  <c r="AH680" i="6"/>
  <c r="AG680" i="6"/>
  <c r="AF680" i="6"/>
  <c r="AE680" i="6"/>
  <c r="AD680" i="6"/>
  <c r="AC680" i="6"/>
  <c r="AB680" i="6"/>
  <c r="AA680" i="6"/>
  <c r="Z680" i="6"/>
  <c r="Y680" i="6"/>
  <c r="X680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K680" i="6"/>
  <c r="J680" i="6"/>
  <c r="I680" i="6"/>
  <c r="H680" i="6"/>
  <c r="G680" i="6"/>
  <c r="F680" i="6"/>
  <c r="E680" i="6"/>
  <c r="D680" i="6"/>
  <c r="C680" i="6"/>
  <c r="B680" i="6"/>
  <c r="A680" i="6"/>
  <c r="AH679" i="6"/>
  <c r="AG679" i="6"/>
  <c r="AF679" i="6"/>
  <c r="AE679" i="6"/>
  <c r="AD679" i="6"/>
  <c r="AC679" i="6"/>
  <c r="AB679" i="6"/>
  <c r="AA679" i="6"/>
  <c r="Z679" i="6"/>
  <c r="Y679" i="6"/>
  <c r="X679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K679" i="6"/>
  <c r="J679" i="6"/>
  <c r="I679" i="6"/>
  <c r="H679" i="6"/>
  <c r="G679" i="6"/>
  <c r="F679" i="6"/>
  <c r="E679" i="6"/>
  <c r="D679" i="6"/>
  <c r="C679" i="6"/>
  <c r="B679" i="6"/>
  <c r="A679" i="6"/>
  <c r="AH678" i="6"/>
  <c r="AG678" i="6"/>
  <c r="AF678" i="6"/>
  <c r="AE678" i="6"/>
  <c r="AD678" i="6"/>
  <c r="AC678" i="6"/>
  <c r="AB678" i="6"/>
  <c r="AA678" i="6"/>
  <c r="Z678" i="6"/>
  <c r="Y678" i="6"/>
  <c r="X678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K678" i="6"/>
  <c r="J678" i="6"/>
  <c r="I678" i="6"/>
  <c r="H678" i="6"/>
  <c r="G678" i="6"/>
  <c r="F678" i="6"/>
  <c r="E678" i="6"/>
  <c r="D678" i="6"/>
  <c r="C678" i="6"/>
  <c r="B678" i="6"/>
  <c r="A678" i="6"/>
  <c r="AH677" i="6"/>
  <c r="AG677" i="6"/>
  <c r="AF677" i="6"/>
  <c r="AE677" i="6"/>
  <c r="AD677" i="6"/>
  <c r="AC677" i="6"/>
  <c r="AB677" i="6"/>
  <c r="AA677" i="6"/>
  <c r="Z677" i="6"/>
  <c r="Y677" i="6"/>
  <c r="X677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K677" i="6"/>
  <c r="J677" i="6"/>
  <c r="I677" i="6"/>
  <c r="H677" i="6"/>
  <c r="G677" i="6"/>
  <c r="F677" i="6"/>
  <c r="E677" i="6"/>
  <c r="D677" i="6"/>
  <c r="C677" i="6"/>
  <c r="B677" i="6"/>
  <c r="A677" i="6"/>
  <c r="AH676" i="6"/>
  <c r="AG676" i="6"/>
  <c r="AF676" i="6"/>
  <c r="AE676" i="6"/>
  <c r="AD676" i="6"/>
  <c r="AC676" i="6"/>
  <c r="AB676" i="6"/>
  <c r="AA676" i="6"/>
  <c r="Z676" i="6"/>
  <c r="Y676" i="6"/>
  <c r="X676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K676" i="6"/>
  <c r="J676" i="6"/>
  <c r="I676" i="6"/>
  <c r="H676" i="6"/>
  <c r="G676" i="6"/>
  <c r="F676" i="6"/>
  <c r="E676" i="6"/>
  <c r="D676" i="6"/>
  <c r="C676" i="6"/>
  <c r="B676" i="6"/>
  <c r="A676" i="6"/>
  <c r="AH675" i="6"/>
  <c r="AG675" i="6"/>
  <c r="AF675" i="6"/>
  <c r="AE675" i="6"/>
  <c r="AD675" i="6"/>
  <c r="AC675" i="6"/>
  <c r="AB675" i="6"/>
  <c r="AA675" i="6"/>
  <c r="Z675" i="6"/>
  <c r="Y675" i="6"/>
  <c r="X675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K675" i="6"/>
  <c r="J675" i="6"/>
  <c r="I675" i="6"/>
  <c r="H675" i="6"/>
  <c r="G675" i="6"/>
  <c r="F675" i="6"/>
  <c r="E675" i="6"/>
  <c r="D675" i="6"/>
  <c r="C675" i="6"/>
  <c r="B675" i="6"/>
  <c r="A675" i="6"/>
  <c r="AH674" i="6"/>
  <c r="AG674" i="6"/>
  <c r="AF674" i="6"/>
  <c r="AE674" i="6"/>
  <c r="AD674" i="6"/>
  <c r="AC674" i="6"/>
  <c r="AB674" i="6"/>
  <c r="AA674" i="6"/>
  <c r="Z674" i="6"/>
  <c r="Y674" i="6"/>
  <c r="X674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K674" i="6"/>
  <c r="J674" i="6"/>
  <c r="I674" i="6"/>
  <c r="H674" i="6"/>
  <c r="G674" i="6"/>
  <c r="F674" i="6"/>
  <c r="E674" i="6"/>
  <c r="D674" i="6"/>
  <c r="C674" i="6"/>
  <c r="B674" i="6"/>
  <c r="A674" i="6"/>
  <c r="AH673" i="6"/>
  <c r="AG673" i="6"/>
  <c r="AF673" i="6"/>
  <c r="AE673" i="6"/>
  <c r="AD673" i="6"/>
  <c r="AC673" i="6"/>
  <c r="AB673" i="6"/>
  <c r="AA673" i="6"/>
  <c r="Z673" i="6"/>
  <c r="Y673" i="6"/>
  <c r="X673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K673" i="6"/>
  <c r="J673" i="6"/>
  <c r="I673" i="6"/>
  <c r="H673" i="6"/>
  <c r="G673" i="6"/>
  <c r="F673" i="6"/>
  <c r="E673" i="6"/>
  <c r="D673" i="6"/>
  <c r="C673" i="6"/>
  <c r="B673" i="6"/>
  <c r="A673" i="6"/>
  <c r="AH672" i="6"/>
  <c r="AG672" i="6"/>
  <c r="AF672" i="6"/>
  <c r="AE672" i="6"/>
  <c r="AD672" i="6"/>
  <c r="AC672" i="6"/>
  <c r="AB672" i="6"/>
  <c r="AA672" i="6"/>
  <c r="Z672" i="6"/>
  <c r="Y672" i="6"/>
  <c r="X672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K672" i="6"/>
  <c r="J672" i="6"/>
  <c r="I672" i="6"/>
  <c r="H672" i="6"/>
  <c r="G672" i="6"/>
  <c r="F672" i="6"/>
  <c r="E672" i="6"/>
  <c r="D672" i="6"/>
  <c r="C672" i="6"/>
  <c r="B672" i="6"/>
  <c r="A672" i="6"/>
  <c r="AH671" i="6"/>
  <c r="AG671" i="6"/>
  <c r="AF671" i="6"/>
  <c r="AE671" i="6"/>
  <c r="AD671" i="6"/>
  <c r="AC671" i="6"/>
  <c r="AB671" i="6"/>
  <c r="AA671" i="6"/>
  <c r="Z671" i="6"/>
  <c r="Y671" i="6"/>
  <c r="X671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K671" i="6"/>
  <c r="J671" i="6"/>
  <c r="I671" i="6"/>
  <c r="H671" i="6"/>
  <c r="G671" i="6"/>
  <c r="F671" i="6"/>
  <c r="E671" i="6"/>
  <c r="D671" i="6"/>
  <c r="C671" i="6"/>
  <c r="B671" i="6"/>
  <c r="A671" i="6"/>
  <c r="AH670" i="6"/>
  <c r="AG670" i="6"/>
  <c r="AF670" i="6"/>
  <c r="AE670" i="6"/>
  <c r="AD670" i="6"/>
  <c r="AC670" i="6"/>
  <c r="AB670" i="6"/>
  <c r="AA670" i="6"/>
  <c r="Z670" i="6"/>
  <c r="Y670" i="6"/>
  <c r="X670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K670" i="6"/>
  <c r="J670" i="6"/>
  <c r="I670" i="6"/>
  <c r="H670" i="6"/>
  <c r="G670" i="6"/>
  <c r="F670" i="6"/>
  <c r="E670" i="6"/>
  <c r="D670" i="6"/>
  <c r="C670" i="6"/>
  <c r="B670" i="6"/>
  <c r="A670" i="6"/>
  <c r="AH669" i="6"/>
  <c r="AG669" i="6"/>
  <c r="AF669" i="6"/>
  <c r="AE669" i="6"/>
  <c r="AD669" i="6"/>
  <c r="AC669" i="6"/>
  <c r="AB669" i="6"/>
  <c r="AA669" i="6"/>
  <c r="Z669" i="6"/>
  <c r="Y669" i="6"/>
  <c r="X669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K669" i="6"/>
  <c r="J669" i="6"/>
  <c r="I669" i="6"/>
  <c r="H669" i="6"/>
  <c r="G669" i="6"/>
  <c r="F669" i="6"/>
  <c r="E669" i="6"/>
  <c r="D669" i="6"/>
  <c r="C669" i="6"/>
  <c r="B669" i="6"/>
  <c r="A669" i="6"/>
  <c r="AH668" i="6"/>
  <c r="AG668" i="6"/>
  <c r="AF668" i="6"/>
  <c r="AE668" i="6"/>
  <c r="AD668" i="6"/>
  <c r="AC668" i="6"/>
  <c r="AB668" i="6"/>
  <c r="AA668" i="6"/>
  <c r="Z668" i="6"/>
  <c r="Y668" i="6"/>
  <c r="X668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K668" i="6"/>
  <c r="J668" i="6"/>
  <c r="I668" i="6"/>
  <c r="H668" i="6"/>
  <c r="G668" i="6"/>
  <c r="F668" i="6"/>
  <c r="E668" i="6"/>
  <c r="D668" i="6"/>
  <c r="C668" i="6"/>
  <c r="B668" i="6"/>
  <c r="A668" i="6"/>
  <c r="AH667" i="6"/>
  <c r="AG667" i="6"/>
  <c r="AF667" i="6"/>
  <c r="AE667" i="6"/>
  <c r="AD667" i="6"/>
  <c r="AC667" i="6"/>
  <c r="AB667" i="6"/>
  <c r="AA667" i="6"/>
  <c r="Z667" i="6"/>
  <c r="Y667" i="6"/>
  <c r="X667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K667" i="6"/>
  <c r="J667" i="6"/>
  <c r="I667" i="6"/>
  <c r="H667" i="6"/>
  <c r="G667" i="6"/>
  <c r="F667" i="6"/>
  <c r="E667" i="6"/>
  <c r="D667" i="6"/>
  <c r="C667" i="6"/>
  <c r="B667" i="6"/>
  <c r="A667" i="6"/>
  <c r="AH666" i="6"/>
  <c r="AG666" i="6"/>
  <c r="AF666" i="6"/>
  <c r="AE666" i="6"/>
  <c r="AD666" i="6"/>
  <c r="AC666" i="6"/>
  <c r="AB666" i="6"/>
  <c r="AA666" i="6"/>
  <c r="Z666" i="6"/>
  <c r="Y666" i="6"/>
  <c r="X666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K666" i="6"/>
  <c r="J666" i="6"/>
  <c r="I666" i="6"/>
  <c r="H666" i="6"/>
  <c r="G666" i="6"/>
  <c r="F666" i="6"/>
  <c r="E666" i="6"/>
  <c r="D666" i="6"/>
  <c r="C666" i="6"/>
  <c r="B666" i="6"/>
  <c r="A666" i="6"/>
  <c r="AH665" i="6"/>
  <c r="AG665" i="6"/>
  <c r="AF665" i="6"/>
  <c r="AE665" i="6"/>
  <c r="AD665" i="6"/>
  <c r="AC665" i="6"/>
  <c r="AB665" i="6"/>
  <c r="AA665" i="6"/>
  <c r="Z665" i="6"/>
  <c r="Y665" i="6"/>
  <c r="X665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K665" i="6"/>
  <c r="J665" i="6"/>
  <c r="I665" i="6"/>
  <c r="H665" i="6"/>
  <c r="G665" i="6"/>
  <c r="F665" i="6"/>
  <c r="E665" i="6"/>
  <c r="D665" i="6"/>
  <c r="C665" i="6"/>
  <c r="B665" i="6"/>
  <c r="A665" i="6"/>
  <c r="AH664" i="6"/>
  <c r="AG664" i="6"/>
  <c r="AF664" i="6"/>
  <c r="AE664" i="6"/>
  <c r="AD664" i="6"/>
  <c r="AC664" i="6"/>
  <c r="AB664" i="6"/>
  <c r="AA664" i="6"/>
  <c r="Z664" i="6"/>
  <c r="Y664" i="6"/>
  <c r="X664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K664" i="6"/>
  <c r="J664" i="6"/>
  <c r="I664" i="6"/>
  <c r="H664" i="6"/>
  <c r="G664" i="6"/>
  <c r="F664" i="6"/>
  <c r="E664" i="6"/>
  <c r="D664" i="6"/>
  <c r="C664" i="6"/>
  <c r="B664" i="6"/>
  <c r="A664" i="6"/>
  <c r="AH663" i="6"/>
  <c r="AG663" i="6"/>
  <c r="AF663" i="6"/>
  <c r="AE663" i="6"/>
  <c r="AD663" i="6"/>
  <c r="AC663" i="6"/>
  <c r="AB663" i="6"/>
  <c r="AA663" i="6"/>
  <c r="Z663" i="6"/>
  <c r="Y663" i="6"/>
  <c r="X663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K663" i="6"/>
  <c r="J663" i="6"/>
  <c r="I663" i="6"/>
  <c r="H663" i="6"/>
  <c r="G663" i="6"/>
  <c r="F663" i="6"/>
  <c r="E663" i="6"/>
  <c r="D663" i="6"/>
  <c r="C663" i="6"/>
  <c r="B663" i="6"/>
  <c r="A663" i="6"/>
  <c r="AH662" i="6"/>
  <c r="AG662" i="6"/>
  <c r="AF662" i="6"/>
  <c r="AE662" i="6"/>
  <c r="AD662" i="6"/>
  <c r="AC662" i="6"/>
  <c r="AB662" i="6"/>
  <c r="AA662" i="6"/>
  <c r="Z662" i="6"/>
  <c r="Y662" i="6"/>
  <c r="X662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K662" i="6"/>
  <c r="J662" i="6"/>
  <c r="I662" i="6"/>
  <c r="H662" i="6"/>
  <c r="G662" i="6"/>
  <c r="F662" i="6"/>
  <c r="E662" i="6"/>
  <c r="D662" i="6"/>
  <c r="C662" i="6"/>
  <c r="B662" i="6"/>
  <c r="A662" i="6"/>
  <c r="AH661" i="6"/>
  <c r="AG661" i="6"/>
  <c r="AF661" i="6"/>
  <c r="AE661" i="6"/>
  <c r="AD661" i="6"/>
  <c r="AC661" i="6"/>
  <c r="AB661" i="6"/>
  <c r="AA661" i="6"/>
  <c r="Z661" i="6"/>
  <c r="Y661" i="6"/>
  <c r="X661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K661" i="6"/>
  <c r="J661" i="6"/>
  <c r="I661" i="6"/>
  <c r="H661" i="6"/>
  <c r="G661" i="6"/>
  <c r="F661" i="6"/>
  <c r="E661" i="6"/>
  <c r="D661" i="6"/>
  <c r="C661" i="6"/>
  <c r="B661" i="6"/>
  <c r="A661" i="6"/>
  <c r="AH660" i="6"/>
  <c r="AG660" i="6"/>
  <c r="AF660" i="6"/>
  <c r="AE660" i="6"/>
  <c r="AD660" i="6"/>
  <c r="AC660" i="6"/>
  <c r="AB660" i="6"/>
  <c r="AA660" i="6"/>
  <c r="Z660" i="6"/>
  <c r="Y660" i="6"/>
  <c r="X660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K660" i="6"/>
  <c r="J660" i="6"/>
  <c r="I660" i="6"/>
  <c r="H660" i="6"/>
  <c r="G660" i="6"/>
  <c r="F660" i="6"/>
  <c r="E660" i="6"/>
  <c r="D660" i="6"/>
  <c r="C660" i="6"/>
  <c r="B660" i="6"/>
  <c r="A660" i="6"/>
  <c r="AH659" i="6"/>
  <c r="AG659" i="6"/>
  <c r="AF659" i="6"/>
  <c r="AE659" i="6"/>
  <c r="AD659" i="6"/>
  <c r="AC659" i="6"/>
  <c r="AB659" i="6"/>
  <c r="AA659" i="6"/>
  <c r="Z659" i="6"/>
  <c r="Y659" i="6"/>
  <c r="X659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K659" i="6"/>
  <c r="J659" i="6"/>
  <c r="I659" i="6"/>
  <c r="H659" i="6"/>
  <c r="G659" i="6"/>
  <c r="F659" i="6"/>
  <c r="E659" i="6"/>
  <c r="D659" i="6"/>
  <c r="C659" i="6"/>
  <c r="B659" i="6"/>
  <c r="A659" i="6"/>
  <c r="AH658" i="6"/>
  <c r="AG658" i="6"/>
  <c r="AF658" i="6"/>
  <c r="AE658" i="6"/>
  <c r="AD658" i="6"/>
  <c r="AC658" i="6"/>
  <c r="AB658" i="6"/>
  <c r="AA658" i="6"/>
  <c r="Z658" i="6"/>
  <c r="Y658" i="6"/>
  <c r="X658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K658" i="6"/>
  <c r="J658" i="6"/>
  <c r="I658" i="6"/>
  <c r="H658" i="6"/>
  <c r="G658" i="6"/>
  <c r="F658" i="6"/>
  <c r="E658" i="6"/>
  <c r="D658" i="6"/>
  <c r="C658" i="6"/>
  <c r="B658" i="6"/>
  <c r="A658" i="6"/>
  <c r="AH657" i="6"/>
  <c r="AG657" i="6"/>
  <c r="AF657" i="6"/>
  <c r="AE657" i="6"/>
  <c r="AD657" i="6"/>
  <c r="AC657" i="6"/>
  <c r="AB657" i="6"/>
  <c r="AA657" i="6"/>
  <c r="Z657" i="6"/>
  <c r="Y657" i="6"/>
  <c r="X657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K657" i="6"/>
  <c r="J657" i="6"/>
  <c r="I657" i="6"/>
  <c r="H657" i="6"/>
  <c r="G657" i="6"/>
  <c r="F657" i="6"/>
  <c r="E657" i="6"/>
  <c r="D657" i="6"/>
  <c r="C657" i="6"/>
  <c r="B657" i="6"/>
  <c r="A657" i="6"/>
  <c r="AH656" i="6"/>
  <c r="AG656" i="6"/>
  <c r="AF656" i="6"/>
  <c r="AE656" i="6"/>
  <c r="AD656" i="6"/>
  <c r="AC656" i="6"/>
  <c r="AB656" i="6"/>
  <c r="AA656" i="6"/>
  <c r="Z656" i="6"/>
  <c r="Y656" i="6"/>
  <c r="X656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K656" i="6"/>
  <c r="J656" i="6"/>
  <c r="I656" i="6"/>
  <c r="H656" i="6"/>
  <c r="G656" i="6"/>
  <c r="F656" i="6"/>
  <c r="E656" i="6"/>
  <c r="D656" i="6"/>
  <c r="C656" i="6"/>
  <c r="B656" i="6"/>
  <c r="A656" i="6"/>
  <c r="AH655" i="6"/>
  <c r="AG655" i="6"/>
  <c r="AF655" i="6"/>
  <c r="AE655" i="6"/>
  <c r="AD655" i="6"/>
  <c r="AC655" i="6"/>
  <c r="AB655" i="6"/>
  <c r="AA655" i="6"/>
  <c r="Z655" i="6"/>
  <c r="Y655" i="6"/>
  <c r="X655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K655" i="6"/>
  <c r="J655" i="6"/>
  <c r="I655" i="6"/>
  <c r="H655" i="6"/>
  <c r="G655" i="6"/>
  <c r="F655" i="6"/>
  <c r="E655" i="6"/>
  <c r="D655" i="6"/>
  <c r="C655" i="6"/>
  <c r="B655" i="6"/>
  <c r="A655" i="6"/>
  <c r="AH654" i="6"/>
  <c r="AG654" i="6"/>
  <c r="AF654" i="6"/>
  <c r="AE654" i="6"/>
  <c r="AD654" i="6"/>
  <c r="AC654" i="6"/>
  <c r="AB654" i="6"/>
  <c r="AA654" i="6"/>
  <c r="Z654" i="6"/>
  <c r="Y654" i="6"/>
  <c r="X654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K654" i="6"/>
  <c r="J654" i="6"/>
  <c r="I654" i="6"/>
  <c r="H654" i="6"/>
  <c r="G654" i="6"/>
  <c r="F654" i="6"/>
  <c r="E654" i="6"/>
  <c r="D654" i="6"/>
  <c r="C654" i="6"/>
  <c r="B654" i="6"/>
  <c r="A654" i="6"/>
  <c r="AH653" i="6"/>
  <c r="AG653" i="6"/>
  <c r="AF653" i="6"/>
  <c r="AE653" i="6"/>
  <c r="AD653" i="6"/>
  <c r="AC653" i="6"/>
  <c r="AB653" i="6"/>
  <c r="AA653" i="6"/>
  <c r="Z653" i="6"/>
  <c r="Y653" i="6"/>
  <c r="X653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K653" i="6"/>
  <c r="J653" i="6"/>
  <c r="I653" i="6"/>
  <c r="H653" i="6"/>
  <c r="G653" i="6"/>
  <c r="F653" i="6"/>
  <c r="E653" i="6"/>
  <c r="D653" i="6"/>
  <c r="C653" i="6"/>
  <c r="B653" i="6"/>
  <c r="A653" i="6"/>
  <c r="AH652" i="6"/>
  <c r="AG652" i="6"/>
  <c r="AF652" i="6"/>
  <c r="AE652" i="6"/>
  <c r="AD652" i="6"/>
  <c r="AC652" i="6"/>
  <c r="AB652" i="6"/>
  <c r="AA652" i="6"/>
  <c r="Z652" i="6"/>
  <c r="Y652" i="6"/>
  <c r="X652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K652" i="6"/>
  <c r="J652" i="6"/>
  <c r="I652" i="6"/>
  <c r="H652" i="6"/>
  <c r="G652" i="6"/>
  <c r="F652" i="6"/>
  <c r="E652" i="6"/>
  <c r="D652" i="6"/>
  <c r="C652" i="6"/>
  <c r="B652" i="6"/>
  <c r="A652" i="6"/>
  <c r="AH651" i="6"/>
  <c r="AG651" i="6"/>
  <c r="AF651" i="6"/>
  <c r="AE651" i="6"/>
  <c r="AD651" i="6"/>
  <c r="AC651" i="6"/>
  <c r="AB651" i="6"/>
  <c r="AA651" i="6"/>
  <c r="Z651" i="6"/>
  <c r="Y651" i="6"/>
  <c r="X651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K651" i="6"/>
  <c r="J651" i="6"/>
  <c r="I651" i="6"/>
  <c r="H651" i="6"/>
  <c r="G651" i="6"/>
  <c r="F651" i="6"/>
  <c r="E651" i="6"/>
  <c r="D651" i="6"/>
  <c r="C651" i="6"/>
  <c r="B651" i="6"/>
  <c r="A651" i="6"/>
  <c r="AH650" i="6"/>
  <c r="AG650" i="6"/>
  <c r="AF650" i="6"/>
  <c r="AE650" i="6"/>
  <c r="AD650" i="6"/>
  <c r="AC650" i="6"/>
  <c r="AB650" i="6"/>
  <c r="AA650" i="6"/>
  <c r="Z650" i="6"/>
  <c r="Y650" i="6"/>
  <c r="X650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K650" i="6"/>
  <c r="J650" i="6"/>
  <c r="I650" i="6"/>
  <c r="H650" i="6"/>
  <c r="G650" i="6"/>
  <c r="F650" i="6"/>
  <c r="E650" i="6"/>
  <c r="D650" i="6"/>
  <c r="C650" i="6"/>
  <c r="B650" i="6"/>
  <c r="A650" i="6"/>
  <c r="AH649" i="6"/>
  <c r="AG649" i="6"/>
  <c r="AF649" i="6"/>
  <c r="AE649" i="6"/>
  <c r="AD649" i="6"/>
  <c r="AC649" i="6"/>
  <c r="AB649" i="6"/>
  <c r="AA649" i="6"/>
  <c r="Z649" i="6"/>
  <c r="Y649" i="6"/>
  <c r="X649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K649" i="6"/>
  <c r="J649" i="6"/>
  <c r="I649" i="6"/>
  <c r="H649" i="6"/>
  <c r="G649" i="6"/>
  <c r="F649" i="6"/>
  <c r="E649" i="6"/>
  <c r="D649" i="6"/>
  <c r="C649" i="6"/>
  <c r="B649" i="6"/>
  <c r="A649" i="6"/>
  <c r="AH648" i="6"/>
  <c r="AG648" i="6"/>
  <c r="AF648" i="6"/>
  <c r="AE648" i="6"/>
  <c r="AD648" i="6"/>
  <c r="AC648" i="6"/>
  <c r="AB648" i="6"/>
  <c r="AA648" i="6"/>
  <c r="Z648" i="6"/>
  <c r="Y648" i="6"/>
  <c r="X648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K648" i="6"/>
  <c r="J648" i="6"/>
  <c r="I648" i="6"/>
  <c r="H648" i="6"/>
  <c r="G648" i="6"/>
  <c r="F648" i="6"/>
  <c r="E648" i="6"/>
  <c r="D648" i="6"/>
  <c r="C648" i="6"/>
  <c r="B648" i="6"/>
  <c r="A648" i="6"/>
  <c r="AH647" i="6"/>
  <c r="AG647" i="6"/>
  <c r="AF647" i="6"/>
  <c r="AE647" i="6"/>
  <c r="AD647" i="6"/>
  <c r="AC647" i="6"/>
  <c r="AB647" i="6"/>
  <c r="AA647" i="6"/>
  <c r="Z647" i="6"/>
  <c r="Y647" i="6"/>
  <c r="X647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K647" i="6"/>
  <c r="J647" i="6"/>
  <c r="I647" i="6"/>
  <c r="H647" i="6"/>
  <c r="G647" i="6"/>
  <c r="F647" i="6"/>
  <c r="E647" i="6"/>
  <c r="D647" i="6"/>
  <c r="C647" i="6"/>
  <c r="B647" i="6"/>
  <c r="A647" i="6"/>
  <c r="AH646" i="6"/>
  <c r="AG646" i="6"/>
  <c r="AF646" i="6"/>
  <c r="AE646" i="6"/>
  <c r="AD646" i="6"/>
  <c r="AC646" i="6"/>
  <c r="AB646" i="6"/>
  <c r="AA646" i="6"/>
  <c r="Z646" i="6"/>
  <c r="Y646" i="6"/>
  <c r="X646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K646" i="6"/>
  <c r="J646" i="6"/>
  <c r="I646" i="6"/>
  <c r="H646" i="6"/>
  <c r="G646" i="6"/>
  <c r="F646" i="6"/>
  <c r="E646" i="6"/>
  <c r="D646" i="6"/>
  <c r="C646" i="6"/>
  <c r="B646" i="6"/>
  <c r="A646" i="6"/>
  <c r="AH645" i="6"/>
  <c r="AG645" i="6"/>
  <c r="AF645" i="6"/>
  <c r="AE645" i="6"/>
  <c r="AD645" i="6"/>
  <c r="AC645" i="6"/>
  <c r="AB645" i="6"/>
  <c r="AA645" i="6"/>
  <c r="Z645" i="6"/>
  <c r="Y645" i="6"/>
  <c r="X645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K645" i="6"/>
  <c r="J645" i="6"/>
  <c r="I645" i="6"/>
  <c r="H645" i="6"/>
  <c r="G645" i="6"/>
  <c r="F645" i="6"/>
  <c r="E645" i="6"/>
  <c r="D645" i="6"/>
  <c r="C645" i="6"/>
  <c r="B645" i="6"/>
  <c r="A645" i="6"/>
  <c r="AH644" i="6"/>
  <c r="AG644" i="6"/>
  <c r="AF644" i="6"/>
  <c r="AE644" i="6"/>
  <c r="AD644" i="6"/>
  <c r="AC644" i="6"/>
  <c r="AB644" i="6"/>
  <c r="AA644" i="6"/>
  <c r="Z644" i="6"/>
  <c r="Y644" i="6"/>
  <c r="X644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K644" i="6"/>
  <c r="J644" i="6"/>
  <c r="I644" i="6"/>
  <c r="H644" i="6"/>
  <c r="G644" i="6"/>
  <c r="F644" i="6"/>
  <c r="E644" i="6"/>
  <c r="D644" i="6"/>
  <c r="C644" i="6"/>
  <c r="B644" i="6"/>
  <c r="A644" i="6"/>
  <c r="AH643" i="6"/>
  <c r="AG643" i="6"/>
  <c r="AF643" i="6"/>
  <c r="AE643" i="6"/>
  <c r="AD643" i="6"/>
  <c r="AC643" i="6"/>
  <c r="AB643" i="6"/>
  <c r="AA643" i="6"/>
  <c r="Z643" i="6"/>
  <c r="Y643" i="6"/>
  <c r="X643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K643" i="6"/>
  <c r="J643" i="6"/>
  <c r="I643" i="6"/>
  <c r="H643" i="6"/>
  <c r="G643" i="6"/>
  <c r="F643" i="6"/>
  <c r="E643" i="6"/>
  <c r="D643" i="6"/>
  <c r="C643" i="6"/>
  <c r="B643" i="6"/>
  <c r="A643" i="6"/>
  <c r="AH642" i="6"/>
  <c r="AG642" i="6"/>
  <c r="AF642" i="6"/>
  <c r="AE642" i="6"/>
  <c r="AD642" i="6"/>
  <c r="AC642" i="6"/>
  <c r="AB642" i="6"/>
  <c r="AA642" i="6"/>
  <c r="Z642" i="6"/>
  <c r="Y642" i="6"/>
  <c r="X642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K642" i="6"/>
  <c r="J642" i="6"/>
  <c r="I642" i="6"/>
  <c r="H642" i="6"/>
  <c r="G642" i="6"/>
  <c r="F642" i="6"/>
  <c r="E642" i="6"/>
  <c r="D642" i="6"/>
  <c r="C642" i="6"/>
  <c r="B642" i="6"/>
  <c r="A642" i="6"/>
  <c r="AH641" i="6"/>
  <c r="AG641" i="6"/>
  <c r="AF641" i="6"/>
  <c r="AE641" i="6"/>
  <c r="AD641" i="6"/>
  <c r="AC641" i="6"/>
  <c r="AB641" i="6"/>
  <c r="AA641" i="6"/>
  <c r="Z641" i="6"/>
  <c r="Y641" i="6"/>
  <c r="X641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K641" i="6"/>
  <c r="J641" i="6"/>
  <c r="I641" i="6"/>
  <c r="H641" i="6"/>
  <c r="G641" i="6"/>
  <c r="F641" i="6"/>
  <c r="E641" i="6"/>
  <c r="D641" i="6"/>
  <c r="C641" i="6"/>
  <c r="B641" i="6"/>
  <c r="A641" i="6"/>
  <c r="AH640" i="6"/>
  <c r="AG640" i="6"/>
  <c r="AF640" i="6"/>
  <c r="AE640" i="6"/>
  <c r="AD640" i="6"/>
  <c r="AC640" i="6"/>
  <c r="AB640" i="6"/>
  <c r="AA640" i="6"/>
  <c r="Z640" i="6"/>
  <c r="Y640" i="6"/>
  <c r="X640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K640" i="6"/>
  <c r="J640" i="6"/>
  <c r="I640" i="6"/>
  <c r="H640" i="6"/>
  <c r="G640" i="6"/>
  <c r="F640" i="6"/>
  <c r="E640" i="6"/>
  <c r="D640" i="6"/>
  <c r="C640" i="6"/>
  <c r="B640" i="6"/>
  <c r="A640" i="6"/>
  <c r="AH639" i="6"/>
  <c r="AG639" i="6"/>
  <c r="AF639" i="6"/>
  <c r="AE639" i="6"/>
  <c r="AD639" i="6"/>
  <c r="AC639" i="6"/>
  <c r="AB639" i="6"/>
  <c r="AA639" i="6"/>
  <c r="Z639" i="6"/>
  <c r="Y639" i="6"/>
  <c r="X639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K639" i="6"/>
  <c r="J639" i="6"/>
  <c r="I639" i="6"/>
  <c r="H639" i="6"/>
  <c r="G639" i="6"/>
  <c r="F639" i="6"/>
  <c r="E639" i="6"/>
  <c r="D639" i="6"/>
  <c r="C639" i="6"/>
  <c r="B639" i="6"/>
  <c r="A639" i="6"/>
  <c r="AH638" i="6"/>
  <c r="AG638" i="6"/>
  <c r="AF638" i="6"/>
  <c r="AE638" i="6"/>
  <c r="AD638" i="6"/>
  <c r="AC638" i="6"/>
  <c r="AB638" i="6"/>
  <c r="AA638" i="6"/>
  <c r="Z638" i="6"/>
  <c r="Y638" i="6"/>
  <c r="X638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K638" i="6"/>
  <c r="J638" i="6"/>
  <c r="I638" i="6"/>
  <c r="H638" i="6"/>
  <c r="G638" i="6"/>
  <c r="F638" i="6"/>
  <c r="E638" i="6"/>
  <c r="D638" i="6"/>
  <c r="C638" i="6"/>
  <c r="B638" i="6"/>
  <c r="A638" i="6"/>
  <c r="AH637" i="6"/>
  <c r="AG637" i="6"/>
  <c r="AF637" i="6"/>
  <c r="AE637" i="6"/>
  <c r="AD637" i="6"/>
  <c r="AC637" i="6"/>
  <c r="AB637" i="6"/>
  <c r="AA637" i="6"/>
  <c r="Z637" i="6"/>
  <c r="Y637" i="6"/>
  <c r="X637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K637" i="6"/>
  <c r="J637" i="6"/>
  <c r="I637" i="6"/>
  <c r="H637" i="6"/>
  <c r="G637" i="6"/>
  <c r="F637" i="6"/>
  <c r="E637" i="6"/>
  <c r="D637" i="6"/>
  <c r="C637" i="6"/>
  <c r="B637" i="6"/>
  <c r="A637" i="6"/>
  <c r="AH636" i="6"/>
  <c r="AG636" i="6"/>
  <c r="AF636" i="6"/>
  <c r="AE636" i="6"/>
  <c r="AD636" i="6"/>
  <c r="AC636" i="6"/>
  <c r="AB636" i="6"/>
  <c r="AA636" i="6"/>
  <c r="Z636" i="6"/>
  <c r="Y636" i="6"/>
  <c r="X636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K636" i="6"/>
  <c r="J636" i="6"/>
  <c r="I636" i="6"/>
  <c r="H636" i="6"/>
  <c r="G636" i="6"/>
  <c r="F636" i="6"/>
  <c r="E636" i="6"/>
  <c r="D636" i="6"/>
  <c r="C636" i="6"/>
  <c r="B636" i="6"/>
  <c r="A636" i="6"/>
  <c r="AH635" i="6"/>
  <c r="AG635" i="6"/>
  <c r="AF635" i="6"/>
  <c r="AE635" i="6"/>
  <c r="AD635" i="6"/>
  <c r="AC635" i="6"/>
  <c r="AB635" i="6"/>
  <c r="AA635" i="6"/>
  <c r="Z635" i="6"/>
  <c r="Y635" i="6"/>
  <c r="X635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K635" i="6"/>
  <c r="J635" i="6"/>
  <c r="I635" i="6"/>
  <c r="H635" i="6"/>
  <c r="G635" i="6"/>
  <c r="F635" i="6"/>
  <c r="E635" i="6"/>
  <c r="D635" i="6"/>
  <c r="C635" i="6"/>
  <c r="B635" i="6"/>
  <c r="A635" i="6"/>
  <c r="AH634" i="6"/>
  <c r="AG634" i="6"/>
  <c r="AF634" i="6"/>
  <c r="AE634" i="6"/>
  <c r="AD634" i="6"/>
  <c r="AC634" i="6"/>
  <c r="AB634" i="6"/>
  <c r="AA634" i="6"/>
  <c r="Z634" i="6"/>
  <c r="Y634" i="6"/>
  <c r="X634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K634" i="6"/>
  <c r="J634" i="6"/>
  <c r="I634" i="6"/>
  <c r="H634" i="6"/>
  <c r="G634" i="6"/>
  <c r="F634" i="6"/>
  <c r="E634" i="6"/>
  <c r="D634" i="6"/>
  <c r="C634" i="6"/>
  <c r="B634" i="6"/>
  <c r="A634" i="6"/>
  <c r="AH633" i="6"/>
  <c r="AG633" i="6"/>
  <c r="AF633" i="6"/>
  <c r="AE633" i="6"/>
  <c r="AD633" i="6"/>
  <c r="AC633" i="6"/>
  <c r="AB633" i="6"/>
  <c r="AA633" i="6"/>
  <c r="Z633" i="6"/>
  <c r="Y633" i="6"/>
  <c r="X633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K633" i="6"/>
  <c r="J633" i="6"/>
  <c r="I633" i="6"/>
  <c r="H633" i="6"/>
  <c r="G633" i="6"/>
  <c r="F633" i="6"/>
  <c r="E633" i="6"/>
  <c r="D633" i="6"/>
  <c r="C633" i="6"/>
  <c r="B633" i="6"/>
  <c r="A633" i="6"/>
  <c r="AH632" i="6"/>
  <c r="AG632" i="6"/>
  <c r="AF632" i="6"/>
  <c r="AE632" i="6"/>
  <c r="AD632" i="6"/>
  <c r="AC632" i="6"/>
  <c r="AB632" i="6"/>
  <c r="AA632" i="6"/>
  <c r="Z632" i="6"/>
  <c r="Y632" i="6"/>
  <c r="X632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K632" i="6"/>
  <c r="J632" i="6"/>
  <c r="I632" i="6"/>
  <c r="H632" i="6"/>
  <c r="G632" i="6"/>
  <c r="F632" i="6"/>
  <c r="E632" i="6"/>
  <c r="D632" i="6"/>
  <c r="C632" i="6"/>
  <c r="B632" i="6"/>
  <c r="A632" i="6"/>
  <c r="AH631" i="6"/>
  <c r="AG631" i="6"/>
  <c r="AF631" i="6"/>
  <c r="AE631" i="6"/>
  <c r="AD631" i="6"/>
  <c r="AC631" i="6"/>
  <c r="AB631" i="6"/>
  <c r="AA631" i="6"/>
  <c r="Z631" i="6"/>
  <c r="Y631" i="6"/>
  <c r="X631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K631" i="6"/>
  <c r="J631" i="6"/>
  <c r="I631" i="6"/>
  <c r="H631" i="6"/>
  <c r="G631" i="6"/>
  <c r="F631" i="6"/>
  <c r="E631" i="6"/>
  <c r="D631" i="6"/>
  <c r="C631" i="6"/>
  <c r="B631" i="6"/>
  <c r="A631" i="6"/>
  <c r="AH630" i="6"/>
  <c r="AG630" i="6"/>
  <c r="AF630" i="6"/>
  <c r="AE630" i="6"/>
  <c r="AD630" i="6"/>
  <c r="AC630" i="6"/>
  <c r="AB630" i="6"/>
  <c r="AA630" i="6"/>
  <c r="Z630" i="6"/>
  <c r="Y630" i="6"/>
  <c r="X630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K630" i="6"/>
  <c r="J630" i="6"/>
  <c r="I630" i="6"/>
  <c r="H630" i="6"/>
  <c r="G630" i="6"/>
  <c r="F630" i="6"/>
  <c r="E630" i="6"/>
  <c r="D630" i="6"/>
  <c r="C630" i="6"/>
  <c r="B630" i="6"/>
  <c r="A630" i="6"/>
  <c r="AH629" i="6"/>
  <c r="AG629" i="6"/>
  <c r="AF629" i="6"/>
  <c r="AE629" i="6"/>
  <c r="AD629" i="6"/>
  <c r="AC629" i="6"/>
  <c r="AB629" i="6"/>
  <c r="AA629" i="6"/>
  <c r="Z629" i="6"/>
  <c r="Y629" i="6"/>
  <c r="X629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K629" i="6"/>
  <c r="J629" i="6"/>
  <c r="I629" i="6"/>
  <c r="H629" i="6"/>
  <c r="G629" i="6"/>
  <c r="F629" i="6"/>
  <c r="E629" i="6"/>
  <c r="D629" i="6"/>
  <c r="C629" i="6"/>
  <c r="B629" i="6"/>
  <c r="A629" i="6"/>
  <c r="AH628" i="6"/>
  <c r="AG628" i="6"/>
  <c r="AF628" i="6"/>
  <c r="AE628" i="6"/>
  <c r="AD628" i="6"/>
  <c r="AC628" i="6"/>
  <c r="AB628" i="6"/>
  <c r="AA628" i="6"/>
  <c r="Z628" i="6"/>
  <c r="Y628" i="6"/>
  <c r="X628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K628" i="6"/>
  <c r="J628" i="6"/>
  <c r="I628" i="6"/>
  <c r="H628" i="6"/>
  <c r="G628" i="6"/>
  <c r="F628" i="6"/>
  <c r="E628" i="6"/>
  <c r="D628" i="6"/>
  <c r="C628" i="6"/>
  <c r="B628" i="6"/>
  <c r="A628" i="6"/>
  <c r="AH627" i="6"/>
  <c r="AG627" i="6"/>
  <c r="AF627" i="6"/>
  <c r="AE627" i="6"/>
  <c r="AD627" i="6"/>
  <c r="AC627" i="6"/>
  <c r="AB627" i="6"/>
  <c r="AA627" i="6"/>
  <c r="Z627" i="6"/>
  <c r="Y627" i="6"/>
  <c r="X627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K627" i="6"/>
  <c r="J627" i="6"/>
  <c r="I627" i="6"/>
  <c r="H627" i="6"/>
  <c r="G627" i="6"/>
  <c r="F627" i="6"/>
  <c r="E627" i="6"/>
  <c r="D627" i="6"/>
  <c r="C627" i="6"/>
  <c r="B627" i="6"/>
  <c r="A627" i="6"/>
  <c r="AH626" i="6"/>
  <c r="AG626" i="6"/>
  <c r="AF626" i="6"/>
  <c r="AE626" i="6"/>
  <c r="AD626" i="6"/>
  <c r="AC626" i="6"/>
  <c r="AB626" i="6"/>
  <c r="AA626" i="6"/>
  <c r="Z626" i="6"/>
  <c r="Y626" i="6"/>
  <c r="X626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K626" i="6"/>
  <c r="J626" i="6"/>
  <c r="I626" i="6"/>
  <c r="H626" i="6"/>
  <c r="G626" i="6"/>
  <c r="F626" i="6"/>
  <c r="E626" i="6"/>
  <c r="D626" i="6"/>
  <c r="C626" i="6"/>
  <c r="B626" i="6"/>
  <c r="A626" i="6"/>
  <c r="AH625" i="6"/>
  <c r="AG625" i="6"/>
  <c r="AF625" i="6"/>
  <c r="AE625" i="6"/>
  <c r="AD625" i="6"/>
  <c r="AC625" i="6"/>
  <c r="AB625" i="6"/>
  <c r="AA625" i="6"/>
  <c r="Z625" i="6"/>
  <c r="Y625" i="6"/>
  <c r="X625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K625" i="6"/>
  <c r="J625" i="6"/>
  <c r="I625" i="6"/>
  <c r="H625" i="6"/>
  <c r="G625" i="6"/>
  <c r="F625" i="6"/>
  <c r="E625" i="6"/>
  <c r="D625" i="6"/>
  <c r="C625" i="6"/>
  <c r="B625" i="6"/>
  <c r="A625" i="6"/>
  <c r="AH624" i="6"/>
  <c r="AG624" i="6"/>
  <c r="AF624" i="6"/>
  <c r="AE624" i="6"/>
  <c r="AD624" i="6"/>
  <c r="AC624" i="6"/>
  <c r="AB624" i="6"/>
  <c r="AA624" i="6"/>
  <c r="Z624" i="6"/>
  <c r="Y624" i="6"/>
  <c r="X624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K624" i="6"/>
  <c r="J624" i="6"/>
  <c r="I624" i="6"/>
  <c r="H624" i="6"/>
  <c r="G624" i="6"/>
  <c r="F624" i="6"/>
  <c r="E624" i="6"/>
  <c r="D624" i="6"/>
  <c r="C624" i="6"/>
  <c r="B624" i="6"/>
  <c r="A624" i="6"/>
  <c r="AH623" i="6"/>
  <c r="AG623" i="6"/>
  <c r="AF623" i="6"/>
  <c r="AE623" i="6"/>
  <c r="AD623" i="6"/>
  <c r="AC623" i="6"/>
  <c r="AB623" i="6"/>
  <c r="AA623" i="6"/>
  <c r="Z623" i="6"/>
  <c r="Y623" i="6"/>
  <c r="X623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K623" i="6"/>
  <c r="J623" i="6"/>
  <c r="I623" i="6"/>
  <c r="H623" i="6"/>
  <c r="G623" i="6"/>
  <c r="F623" i="6"/>
  <c r="E623" i="6"/>
  <c r="D623" i="6"/>
  <c r="C623" i="6"/>
  <c r="B623" i="6"/>
  <c r="A623" i="6"/>
  <c r="AH622" i="6"/>
  <c r="AG622" i="6"/>
  <c r="AF622" i="6"/>
  <c r="AE622" i="6"/>
  <c r="AD622" i="6"/>
  <c r="AC622" i="6"/>
  <c r="AB622" i="6"/>
  <c r="AA622" i="6"/>
  <c r="Z622" i="6"/>
  <c r="Y622" i="6"/>
  <c r="X622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K622" i="6"/>
  <c r="J622" i="6"/>
  <c r="I622" i="6"/>
  <c r="H622" i="6"/>
  <c r="G622" i="6"/>
  <c r="F622" i="6"/>
  <c r="E622" i="6"/>
  <c r="D622" i="6"/>
  <c r="C622" i="6"/>
  <c r="B622" i="6"/>
  <c r="A622" i="6"/>
  <c r="AH621" i="6"/>
  <c r="AG621" i="6"/>
  <c r="AF621" i="6"/>
  <c r="AE621" i="6"/>
  <c r="AD621" i="6"/>
  <c r="AC621" i="6"/>
  <c r="AB621" i="6"/>
  <c r="AA621" i="6"/>
  <c r="Z621" i="6"/>
  <c r="Y621" i="6"/>
  <c r="X621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K621" i="6"/>
  <c r="J621" i="6"/>
  <c r="I621" i="6"/>
  <c r="H621" i="6"/>
  <c r="G621" i="6"/>
  <c r="F621" i="6"/>
  <c r="E621" i="6"/>
  <c r="D621" i="6"/>
  <c r="C621" i="6"/>
  <c r="B621" i="6"/>
  <c r="A621" i="6"/>
  <c r="AH620" i="6"/>
  <c r="AG620" i="6"/>
  <c r="AF620" i="6"/>
  <c r="AE620" i="6"/>
  <c r="AD620" i="6"/>
  <c r="AC620" i="6"/>
  <c r="AB620" i="6"/>
  <c r="AA620" i="6"/>
  <c r="Z620" i="6"/>
  <c r="Y620" i="6"/>
  <c r="X620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K620" i="6"/>
  <c r="J620" i="6"/>
  <c r="I620" i="6"/>
  <c r="H620" i="6"/>
  <c r="G620" i="6"/>
  <c r="F620" i="6"/>
  <c r="E620" i="6"/>
  <c r="D620" i="6"/>
  <c r="C620" i="6"/>
  <c r="B620" i="6"/>
  <c r="A620" i="6"/>
  <c r="AH619" i="6"/>
  <c r="AG619" i="6"/>
  <c r="AF619" i="6"/>
  <c r="AE619" i="6"/>
  <c r="AD619" i="6"/>
  <c r="AC619" i="6"/>
  <c r="AB619" i="6"/>
  <c r="AA619" i="6"/>
  <c r="Z619" i="6"/>
  <c r="Y619" i="6"/>
  <c r="X619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K619" i="6"/>
  <c r="J619" i="6"/>
  <c r="I619" i="6"/>
  <c r="H619" i="6"/>
  <c r="G619" i="6"/>
  <c r="F619" i="6"/>
  <c r="E619" i="6"/>
  <c r="D619" i="6"/>
  <c r="C619" i="6"/>
  <c r="B619" i="6"/>
  <c r="A619" i="6"/>
  <c r="AH618" i="6"/>
  <c r="AG618" i="6"/>
  <c r="AF618" i="6"/>
  <c r="AE618" i="6"/>
  <c r="AD618" i="6"/>
  <c r="AC618" i="6"/>
  <c r="AB618" i="6"/>
  <c r="AA618" i="6"/>
  <c r="Z618" i="6"/>
  <c r="Y618" i="6"/>
  <c r="X618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K618" i="6"/>
  <c r="J618" i="6"/>
  <c r="I618" i="6"/>
  <c r="H618" i="6"/>
  <c r="G618" i="6"/>
  <c r="F618" i="6"/>
  <c r="E618" i="6"/>
  <c r="D618" i="6"/>
  <c r="C618" i="6"/>
  <c r="B618" i="6"/>
  <c r="A618" i="6"/>
  <c r="AH617" i="6"/>
  <c r="AG617" i="6"/>
  <c r="AF617" i="6"/>
  <c r="AE617" i="6"/>
  <c r="AD617" i="6"/>
  <c r="AC617" i="6"/>
  <c r="AB617" i="6"/>
  <c r="AA617" i="6"/>
  <c r="Z617" i="6"/>
  <c r="Y617" i="6"/>
  <c r="X617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K617" i="6"/>
  <c r="J617" i="6"/>
  <c r="I617" i="6"/>
  <c r="H617" i="6"/>
  <c r="G617" i="6"/>
  <c r="F617" i="6"/>
  <c r="E617" i="6"/>
  <c r="D617" i="6"/>
  <c r="C617" i="6"/>
  <c r="B617" i="6"/>
  <c r="A617" i="6"/>
  <c r="AH616" i="6"/>
  <c r="AG616" i="6"/>
  <c r="AF616" i="6"/>
  <c r="AE616" i="6"/>
  <c r="AD616" i="6"/>
  <c r="AC616" i="6"/>
  <c r="AB616" i="6"/>
  <c r="AA616" i="6"/>
  <c r="Z616" i="6"/>
  <c r="Y616" i="6"/>
  <c r="X616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K616" i="6"/>
  <c r="J616" i="6"/>
  <c r="I616" i="6"/>
  <c r="H616" i="6"/>
  <c r="G616" i="6"/>
  <c r="F616" i="6"/>
  <c r="E616" i="6"/>
  <c r="D616" i="6"/>
  <c r="C616" i="6"/>
  <c r="B616" i="6"/>
  <c r="A616" i="6"/>
  <c r="AH615" i="6"/>
  <c r="AG615" i="6"/>
  <c r="AF615" i="6"/>
  <c r="AE615" i="6"/>
  <c r="AD615" i="6"/>
  <c r="AC615" i="6"/>
  <c r="AB615" i="6"/>
  <c r="AA615" i="6"/>
  <c r="Z615" i="6"/>
  <c r="Y615" i="6"/>
  <c r="X615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K615" i="6"/>
  <c r="J615" i="6"/>
  <c r="I615" i="6"/>
  <c r="H615" i="6"/>
  <c r="G615" i="6"/>
  <c r="F615" i="6"/>
  <c r="E615" i="6"/>
  <c r="D615" i="6"/>
  <c r="C615" i="6"/>
  <c r="B615" i="6"/>
  <c r="A615" i="6"/>
  <c r="AH614" i="6"/>
  <c r="AG614" i="6"/>
  <c r="AF614" i="6"/>
  <c r="AE614" i="6"/>
  <c r="AD614" i="6"/>
  <c r="AC614" i="6"/>
  <c r="AB614" i="6"/>
  <c r="AA614" i="6"/>
  <c r="Z614" i="6"/>
  <c r="Y614" i="6"/>
  <c r="X614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K614" i="6"/>
  <c r="J614" i="6"/>
  <c r="I614" i="6"/>
  <c r="H614" i="6"/>
  <c r="G614" i="6"/>
  <c r="F614" i="6"/>
  <c r="E614" i="6"/>
  <c r="D614" i="6"/>
  <c r="C614" i="6"/>
  <c r="B614" i="6"/>
  <c r="A614" i="6"/>
  <c r="AH613" i="6"/>
  <c r="AG613" i="6"/>
  <c r="AF613" i="6"/>
  <c r="AE613" i="6"/>
  <c r="AD613" i="6"/>
  <c r="AC613" i="6"/>
  <c r="AB613" i="6"/>
  <c r="AA613" i="6"/>
  <c r="Z613" i="6"/>
  <c r="Y613" i="6"/>
  <c r="X613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K613" i="6"/>
  <c r="J613" i="6"/>
  <c r="I613" i="6"/>
  <c r="H613" i="6"/>
  <c r="G613" i="6"/>
  <c r="F613" i="6"/>
  <c r="E613" i="6"/>
  <c r="D613" i="6"/>
  <c r="C613" i="6"/>
  <c r="B613" i="6"/>
  <c r="A613" i="6"/>
  <c r="AH612" i="6"/>
  <c r="AG612" i="6"/>
  <c r="AF612" i="6"/>
  <c r="AE612" i="6"/>
  <c r="AD612" i="6"/>
  <c r="AC612" i="6"/>
  <c r="AB612" i="6"/>
  <c r="AA612" i="6"/>
  <c r="Z612" i="6"/>
  <c r="Y612" i="6"/>
  <c r="X612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K612" i="6"/>
  <c r="J612" i="6"/>
  <c r="I612" i="6"/>
  <c r="H612" i="6"/>
  <c r="G612" i="6"/>
  <c r="F612" i="6"/>
  <c r="E612" i="6"/>
  <c r="D612" i="6"/>
  <c r="C612" i="6"/>
  <c r="B612" i="6"/>
  <c r="A612" i="6"/>
  <c r="AH611" i="6"/>
  <c r="AG611" i="6"/>
  <c r="AF611" i="6"/>
  <c r="AE611" i="6"/>
  <c r="AD611" i="6"/>
  <c r="AC611" i="6"/>
  <c r="AB611" i="6"/>
  <c r="AA611" i="6"/>
  <c r="Z611" i="6"/>
  <c r="Y611" i="6"/>
  <c r="X611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K611" i="6"/>
  <c r="J611" i="6"/>
  <c r="I611" i="6"/>
  <c r="H611" i="6"/>
  <c r="G611" i="6"/>
  <c r="F611" i="6"/>
  <c r="E611" i="6"/>
  <c r="D611" i="6"/>
  <c r="C611" i="6"/>
  <c r="B611" i="6"/>
  <c r="A611" i="6"/>
  <c r="AH610" i="6"/>
  <c r="AG610" i="6"/>
  <c r="AF610" i="6"/>
  <c r="AE610" i="6"/>
  <c r="AD610" i="6"/>
  <c r="AC610" i="6"/>
  <c r="AB610" i="6"/>
  <c r="AA610" i="6"/>
  <c r="Z610" i="6"/>
  <c r="Y610" i="6"/>
  <c r="X610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K610" i="6"/>
  <c r="J610" i="6"/>
  <c r="I610" i="6"/>
  <c r="H610" i="6"/>
  <c r="G610" i="6"/>
  <c r="F610" i="6"/>
  <c r="E610" i="6"/>
  <c r="D610" i="6"/>
  <c r="C610" i="6"/>
  <c r="B610" i="6"/>
  <c r="A610" i="6"/>
  <c r="AH609" i="6"/>
  <c r="AG609" i="6"/>
  <c r="AF609" i="6"/>
  <c r="AE609" i="6"/>
  <c r="AD609" i="6"/>
  <c r="AC609" i="6"/>
  <c r="AB609" i="6"/>
  <c r="AA609" i="6"/>
  <c r="Z609" i="6"/>
  <c r="Y609" i="6"/>
  <c r="X609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K609" i="6"/>
  <c r="J609" i="6"/>
  <c r="I609" i="6"/>
  <c r="H609" i="6"/>
  <c r="G609" i="6"/>
  <c r="F609" i="6"/>
  <c r="E609" i="6"/>
  <c r="D609" i="6"/>
  <c r="C609" i="6"/>
  <c r="B609" i="6"/>
  <c r="A609" i="6"/>
  <c r="AH608" i="6"/>
  <c r="AG608" i="6"/>
  <c r="AF608" i="6"/>
  <c r="AE608" i="6"/>
  <c r="AD608" i="6"/>
  <c r="AC608" i="6"/>
  <c r="AB608" i="6"/>
  <c r="AA608" i="6"/>
  <c r="Z608" i="6"/>
  <c r="Y608" i="6"/>
  <c r="X608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K608" i="6"/>
  <c r="J608" i="6"/>
  <c r="I608" i="6"/>
  <c r="H608" i="6"/>
  <c r="G608" i="6"/>
  <c r="F608" i="6"/>
  <c r="E608" i="6"/>
  <c r="D608" i="6"/>
  <c r="C608" i="6"/>
  <c r="B608" i="6"/>
  <c r="A608" i="6"/>
  <c r="AH607" i="6"/>
  <c r="AG607" i="6"/>
  <c r="AF607" i="6"/>
  <c r="AE607" i="6"/>
  <c r="AD607" i="6"/>
  <c r="AC607" i="6"/>
  <c r="AB607" i="6"/>
  <c r="AA607" i="6"/>
  <c r="Z607" i="6"/>
  <c r="Y607" i="6"/>
  <c r="X607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K607" i="6"/>
  <c r="J607" i="6"/>
  <c r="I607" i="6"/>
  <c r="H607" i="6"/>
  <c r="G607" i="6"/>
  <c r="F607" i="6"/>
  <c r="E607" i="6"/>
  <c r="D607" i="6"/>
  <c r="C607" i="6"/>
  <c r="B607" i="6"/>
  <c r="A607" i="6"/>
  <c r="AH606" i="6"/>
  <c r="AG606" i="6"/>
  <c r="AF606" i="6"/>
  <c r="AE606" i="6"/>
  <c r="AD606" i="6"/>
  <c r="AC606" i="6"/>
  <c r="AB606" i="6"/>
  <c r="AA606" i="6"/>
  <c r="Z606" i="6"/>
  <c r="Y606" i="6"/>
  <c r="X606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A606" i="6" s="1"/>
  <c r="B606" i="6"/>
  <c r="AH605" i="6"/>
  <c r="AG605" i="6"/>
  <c r="AF605" i="6"/>
  <c r="AE605" i="6"/>
  <c r="AD605" i="6"/>
  <c r="AC605" i="6"/>
  <c r="AB605" i="6"/>
  <c r="AA605" i="6"/>
  <c r="Z605" i="6"/>
  <c r="Y605" i="6"/>
  <c r="X605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A605" i="6" s="1"/>
  <c r="B605" i="6"/>
  <c r="AH604" i="6"/>
  <c r="AG604" i="6"/>
  <c r="AF604" i="6"/>
  <c r="AE604" i="6"/>
  <c r="AD604" i="6"/>
  <c r="AC604" i="6"/>
  <c r="AB604" i="6"/>
  <c r="AA604" i="6"/>
  <c r="Z604" i="6"/>
  <c r="Y604" i="6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A604" i="6" s="1"/>
  <c r="B604" i="6"/>
  <c r="AH603" i="6"/>
  <c r="AG603" i="6"/>
  <c r="AF603" i="6"/>
  <c r="AE603" i="6"/>
  <c r="AD603" i="6"/>
  <c r="AC603" i="6"/>
  <c r="AB603" i="6"/>
  <c r="AA603" i="6"/>
  <c r="Z603" i="6"/>
  <c r="Y603" i="6"/>
  <c r="X603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A603" i="6" s="1"/>
  <c r="B603" i="6"/>
  <c r="AH602" i="6"/>
  <c r="AG602" i="6"/>
  <c r="AF602" i="6"/>
  <c r="AE602" i="6"/>
  <c r="AD602" i="6"/>
  <c r="AC602" i="6"/>
  <c r="AB602" i="6"/>
  <c r="AA602" i="6"/>
  <c r="Z602" i="6"/>
  <c r="Y602" i="6"/>
  <c r="X602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A602" i="6" s="1"/>
  <c r="B602" i="6"/>
  <c r="AH601" i="6"/>
  <c r="AG601" i="6"/>
  <c r="AF601" i="6"/>
  <c r="AE601" i="6"/>
  <c r="AD601" i="6"/>
  <c r="AC601" i="6"/>
  <c r="AB601" i="6"/>
  <c r="AA601" i="6"/>
  <c r="Z601" i="6"/>
  <c r="Y601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A601" i="6"/>
  <c r="AH600" i="6"/>
  <c r="AG600" i="6"/>
  <c r="AF600" i="6"/>
  <c r="AE600" i="6"/>
  <c r="AD600" i="6"/>
  <c r="AC600" i="6"/>
  <c r="AB600" i="6"/>
  <c r="AA600" i="6"/>
  <c r="Z600" i="6"/>
  <c r="Y600" i="6"/>
  <c r="X600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A600" i="6" s="1"/>
  <c r="B600" i="6"/>
  <c r="AH599" i="6"/>
  <c r="AG599" i="6"/>
  <c r="AF599" i="6"/>
  <c r="AE599" i="6"/>
  <c r="AD599" i="6"/>
  <c r="AC599" i="6"/>
  <c r="AB599" i="6"/>
  <c r="AA599" i="6"/>
  <c r="Z599" i="6"/>
  <c r="Y599" i="6"/>
  <c r="X599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A599" i="6"/>
  <c r="AH598" i="6"/>
  <c r="AG598" i="6"/>
  <c r="AF598" i="6"/>
  <c r="AE598" i="6"/>
  <c r="AD598" i="6"/>
  <c r="AC598" i="6"/>
  <c r="AB598" i="6"/>
  <c r="AA598" i="6"/>
  <c r="Z598" i="6"/>
  <c r="Y598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A598" i="6" s="1"/>
  <c r="B598" i="6"/>
  <c r="AH597" i="6"/>
  <c r="AG597" i="6"/>
  <c r="AF597" i="6"/>
  <c r="AE597" i="6"/>
  <c r="AD597" i="6"/>
  <c r="AC597" i="6"/>
  <c r="AB597" i="6"/>
  <c r="AA597" i="6"/>
  <c r="Z597" i="6"/>
  <c r="Y597" i="6"/>
  <c r="X597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A597" i="6" s="1"/>
  <c r="B597" i="6"/>
  <c r="AH596" i="6"/>
  <c r="AG596" i="6"/>
  <c r="AF596" i="6"/>
  <c r="AE596" i="6"/>
  <c r="AD596" i="6"/>
  <c r="AC596" i="6"/>
  <c r="AB596" i="6"/>
  <c r="AA596" i="6"/>
  <c r="Z596" i="6"/>
  <c r="Y596" i="6"/>
  <c r="X596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A596" i="6" s="1"/>
  <c r="B596" i="6"/>
  <c r="AH595" i="6"/>
  <c r="AG595" i="6"/>
  <c r="AF595" i="6"/>
  <c r="AE595" i="6"/>
  <c r="AD595" i="6"/>
  <c r="AC595" i="6"/>
  <c r="AB595" i="6"/>
  <c r="AA595" i="6"/>
  <c r="Z595" i="6"/>
  <c r="Y595" i="6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A595" i="6" s="1"/>
  <c r="B595" i="6"/>
  <c r="AH594" i="6"/>
  <c r="AG594" i="6"/>
  <c r="AF594" i="6"/>
  <c r="AE594" i="6"/>
  <c r="AD594" i="6"/>
  <c r="AC594" i="6"/>
  <c r="AB594" i="6"/>
  <c r="AA594" i="6"/>
  <c r="Z594" i="6"/>
  <c r="Y594" i="6"/>
  <c r="X594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A594" i="6" s="1"/>
  <c r="B594" i="6"/>
  <c r="AH593" i="6"/>
  <c r="AG593" i="6"/>
  <c r="AF593" i="6"/>
  <c r="AE593" i="6"/>
  <c r="AD593" i="6"/>
  <c r="AC593" i="6"/>
  <c r="AB593" i="6"/>
  <c r="AA593" i="6"/>
  <c r="Z593" i="6"/>
  <c r="Y593" i="6"/>
  <c r="X593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A593" i="6"/>
  <c r="AH592" i="6"/>
  <c r="AG592" i="6"/>
  <c r="AF592" i="6"/>
  <c r="AE592" i="6"/>
  <c r="AD592" i="6"/>
  <c r="AC592" i="6"/>
  <c r="AB592" i="6"/>
  <c r="AA592" i="6"/>
  <c r="Z592" i="6"/>
  <c r="Y592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A592" i="6" s="1"/>
  <c r="B592" i="6"/>
  <c r="AH591" i="6"/>
  <c r="AG591" i="6"/>
  <c r="AF591" i="6"/>
  <c r="AE591" i="6"/>
  <c r="AD591" i="6"/>
  <c r="AC591" i="6"/>
  <c r="AB591" i="6"/>
  <c r="AA591" i="6"/>
  <c r="Z591" i="6"/>
  <c r="Y591" i="6"/>
  <c r="X591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A591" i="6"/>
  <c r="AH590" i="6"/>
  <c r="AG590" i="6"/>
  <c r="AF590" i="6"/>
  <c r="AE590" i="6"/>
  <c r="AD590" i="6"/>
  <c r="AC590" i="6"/>
  <c r="AB590" i="6"/>
  <c r="AA590" i="6"/>
  <c r="Z590" i="6"/>
  <c r="Y590" i="6"/>
  <c r="X590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A590" i="6" s="1"/>
  <c r="B590" i="6"/>
  <c r="AH589" i="6"/>
  <c r="AG589" i="6"/>
  <c r="AF589" i="6"/>
  <c r="AE589" i="6"/>
  <c r="AD589" i="6"/>
  <c r="AC589" i="6"/>
  <c r="AB589" i="6"/>
  <c r="AA589" i="6"/>
  <c r="Z589" i="6"/>
  <c r="Y589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A589" i="6" s="1"/>
  <c r="B589" i="6"/>
  <c r="AH588" i="6"/>
  <c r="AG588" i="6"/>
  <c r="AF588" i="6"/>
  <c r="AE588" i="6"/>
  <c r="AD588" i="6"/>
  <c r="AC588" i="6"/>
  <c r="AB588" i="6"/>
  <c r="AA588" i="6"/>
  <c r="Z588" i="6"/>
  <c r="Y588" i="6"/>
  <c r="X588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A588" i="6" s="1"/>
  <c r="B588" i="6"/>
  <c r="AH587" i="6"/>
  <c r="AG587" i="6"/>
  <c r="AF587" i="6"/>
  <c r="AE587" i="6"/>
  <c r="AD587" i="6"/>
  <c r="AC587" i="6"/>
  <c r="AB587" i="6"/>
  <c r="AA587" i="6"/>
  <c r="Z587" i="6"/>
  <c r="Y587" i="6"/>
  <c r="X587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A587" i="6" s="1"/>
  <c r="B587" i="6"/>
  <c r="AH586" i="6"/>
  <c r="AG586" i="6"/>
  <c r="AF586" i="6"/>
  <c r="AE586" i="6"/>
  <c r="AD586" i="6"/>
  <c r="AC586" i="6"/>
  <c r="AB586" i="6"/>
  <c r="AA586" i="6"/>
  <c r="Z586" i="6"/>
  <c r="Y586" i="6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A586" i="6" s="1"/>
  <c r="B586" i="6"/>
  <c r="AH585" i="6"/>
  <c r="AG585" i="6"/>
  <c r="AF585" i="6"/>
  <c r="AE585" i="6"/>
  <c r="AD585" i="6"/>
  <c r="AC585" i="6"/>
  <c r="AB585" i="6"/>
  <c r="AA585" i="6"/>
  <c r="Z585" i="6"/>
  <c r="Y585" i="6"/>
  <c r="X585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A585" i="6" s="1"/>
  <c r="B585" i="6"/>
  <c r="AH584" i="6"/>
  <c r="AG584" i="6"/>
  <c r="AF584" i="6"/>
  <c r="AE584" i="6"/>
  <c r="AD584" i="6"/>
  <c r="AC584" i="6"/>
  <c r="AB584" i="6"/>
  <c r="AA584" i="6"/>
  <c r="Z584" i="6"/>
  <c r="Y584" i="6"/>
  <c r="X584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A584" i="6" s="1"/>
  <c r="B584" i="6"/>
  <c r="AH583" i="6"/>
  <c r="AG583" i="6"/>
  <c r="AF583" i="6"/>
  <c r="AE583" i="6"/>
  <c r="AD583" i="6"/>
  <c r="AC583" i="6"/>
  <c r="AB583" i="6"/>
  <c r="AA583" i="6"/>
  <c r="Z583" i="6"/>
  <c r="Y583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A583" i="6"/>
  <c r="AH582" i="6"/>
  <c r="AG582" i="6"/>
  <c r="AF582" i="6"/>
  <c r="AE582" i="6"/>
  <c r="AD582" i="6"/>
  <c r="AC582" i="6"/>
  <c r="AB582" i="6"/>
  <c r="AA582" i="6"/>
  <c r="Z582" i="6"/>
  <c r="Y582" i="6"/>
  <c r="X582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A582" i="6" s="1"/>
  <c r="B582" i="6"/>
  <c r="AH581" i="6"/>
  <c r="AG581" i="6"/>
  <c r="AF581" i="6"/>
  <c r="AE581" i="6"/>
  <c r="AD581" i="6"/>
  <c r="AC581" i="6"/>
  <c r="AB581" i="6"/>
  <c r="AA581" i="6"/>
  <c r="Z581" i="6"/>
  <c r="Y581" i="6"/>
  <c r="X581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581" i="6"/>
  <c r="A581" i="6"/>
  <c r="AH580" i="6"/>
  <c r="AG580" i="6"/>
  <c r="AF580" i="6"/>
  <c r="AE580" i="6"/>
  <c r="AD580" i="6"/>
  <c r="AC580" i="6"/>
  <c r="AB580" i="6"/>
  <c r="AA580" i="6"/>
  <c r="Z580" i="6"/>
  <c r="Y580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A580" i="6" s="1"/>
  <c r="B580" i="6"/>
  <c r="AH579" i="6"/>
  <c r="AG579" i="6"/>
  <c r="AF579" i="6"/>
  <c r="AE579" i="6"/>
  <c r="AD579" i="6"/>
  <c r="AC579" i="6"/>
  <c r="AB579" i="6"/>
  <c r="AA579" i="6"/>
  <c r="Z579" i="6"/>
  <c r="Y579" i="6"/>
  <c r="X579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A579" i="6" s="1"/>
  <c r="B579" i="6"/>
  <c r="AH578" i="6"/>
  <c r="AG578" i="6"/>
  <c r="AF578" i="6"/>
  <c r="AE578" i="6"/>
  <c r="AD578" i="6"/>
  <c r="AC578" i="6"/>
  <c r="AB578" i="6"/>
  <c r="AA578" i="6"/>
  <c r="Z578" i="6"/>
  <c r="Y578" i="6"/>
  <c r="X578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A578" i="6" s="1"/>
  <c r="B578" i="6"/>
  <c r="AH577" i="6"/>
  <c r="AG577" i="6"/>
  <c r="AF577" i="6"/>
  <c r="AE577" i="6"/>
  <c r="AD577" i="6"/>
  <c r="AC577" i="6"/>
  <c r="AB577" i="6"/>
  <c r="AA577" i="6"/>
  <c r="Z577" i="6"/>
  <c r="Y577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A577" i="6" s="1"/>
  <c r="B577" i="6"/>
  <c r="AH576" i="6"/>
  <c r="AG576" i="6"/>
  <c r="AF576" i="6"/>
  <c r="AE576" i="6"/>
  <c r="AD576" i="6"/>
  <c r="AC576" i="6"/>
  <c r="AB576" i="6"/>
  <c r="AA576" i="6"/>
  <c r="Z576" i="6"/>
  <c r="Y576" i="6"/>
  <c r="X576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A576" i="6" s="1"/>
  <c r="B576" i="6"/>
  <c r="AH575" i="6"/>
  <c r="AG575" i="6"/>
  <c r="AF575" i="6"/>
  <c r="AE575" i="6"/>
  <c r="AD575" i="6"/>
  <c r="AC575" i="6"/>
  <c r="AB575" i="6"/>
  <c r="AA575" i="6"/>
  <c r="Z575" i="6"/>
  <c r="Y575" i="6"/>
  <c r="X575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A575" i="6" s="1"/>
  <c r="B575" i="6"/>
  <c r="AH574" i="6"/>
  <c r="AG574" i="6"/>
  <c r="AF574" i="6"/>
  <c r="AE574" i="6"/>
  <c r="AD574" i="6"/>
  <c r="AC574" i="6"/>
  <c r="AB574" i="6"/>
  <c r="AA574" i="6"/>
  <c r="Z574" i="6"/>
  <c r="Y574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A574" i="6" s="1"/>
  <c r="B574" i="6"/>
  <c r="AH573" i="6"/>
  <c r="AG573" i="6"/>
  <c r="AF573" i="6"/>
  <c r="AE573" i="6"/>
  <c r="AD573" i="6"/>
  <c r="AC573" i="6"/>
  <c r="AB573" i="6"/>
  <c r="AA573" i="6"/>
  <c r="Z573" i="6"/>
  <c r="Y573" i="6"/>
  <c r="X573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A573" i="6" s="1"/>
  <c r="B573" i="6"/>
  <c r="AH572" i="6"/>
  <c r="AG572" i="6"/>
  <c r="AF572" i="6"/>
  <c r="AE572" i="6"/>
  <c r="AD572" i="6"/>
  <c r="AC572" i="6"/>
  <c r="AB572" i="6"/>
  <c r="AA572" i="6"/>
  <c r="Z572" i="6"/>
  <c r="Y572" i="6"/>
  <c r="X572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A572" i="6" s="1"/>
  <c r="B572" i="6"/>
  <c r="AH571" i="6"/>
  <c r="AG571" i="6"/>
  <c r="AF571" i="6"/>
  <c r="AE571" i="6"/>
  <c r="AD571" i="6"/>
  <c r="AC571" i="6"/>
  <c r="AB571" i="6"/>
  <c r="AA571" i="6"/>
  <c r="Z571" i="6"/>
  <c r="Y571" i="6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A571" i="6" s="1"/>
  <c r="B571" i="6"/>
  <c r="AH570" i="6"/>
  <c r="AG570" i="6"/>
  <c r="AF570" i="6"/>
  <c r="AE570" i="6"/>
  <c r="AD570" i="6"/>
  <c r="AC570" i="6"/>
  <c r="AB570" i="6"/>
  <c r="AA570" i="6"/>
  <c r="Z570" i="6"/>
  <c r="Y570" i="6"/>
  <c r="X570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A570" i="6" s="1"/>
  <c r="B570" i="6"/>
  <c r="AH569" i="6"/>
  <c r="AG569" i="6"/>
  <c r="AF569" i="6"/>
  <c r="AE569" i="6"/>
  <c r="AD569" i="6"/>
  <c r="AC569" i="6"/>
  <c r="AB569" i="6"/>
  <c r="AA569" i="6"/>
  <c r="Z569" i="6"/>
  <c r="Y569" i="6"/>
  <c r="X569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A569" i="6" s="1"/>
  <c r="B569" i="6"/>
  <c r="AH568" i="6"/>
  <c r="AG568" i="6"/>
  <c r="AF568" i="6"/>
  <c r="AE568" i="6"/>
  <c r="AD568" i="6"/>
  <c r="AC568" i="6"/>
  <c r="AB568" i="6"/>
  <c r="AA568" i="6"/>
  <c r="Z568" i="6"/>
  <c r="Y568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A568" i="6" s="1"/>
  <c r="B568" i="6"/>
  <c r="AH567" i="6"/>
  <c r="AG567" i="6"/>
  <c r="AF567" i="6"/>
  <c r="AE567" i="6"/>
  <c r="AD567" i="6"/>
  <c r="AC567" i="6"/>
  <c r="AB567" i="6"/>
  <c r="AA567" i="6"/>
  <c r="Z567" i="6"/>
  <c r="Y567" i="6"/>
  <c r="X567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A567" i="6" s="1"/>
  <c r="B567" i="6"/>
  <c r="AH566" i="6"/>
  <c r="AG566" i="6"/>
  <c r="AF566" i="6"/>
  <c r="AE566" i="6"/>
  <c r="AD566" i="6"/>
  <c r="AC566" i="6"/>
  <c r="AB566" i="6"/>
  <c r="AA566" i="6"/>
  <c r="Z566" i="6"/>
  <c r="Y566" i="6"/>
  <c r="X566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A566" i="6" s="1"/>
  <c r="B566" i="6"/>
  <c r="AH565" i="6"/>
  <c r="AG565" i="6"/>
  <c r="AF565" i="6"/>
  <c r="AE565" i="6"/>
  <c r="AD565" i="6"/>
  <c r="AC565" i="6"/>
  <c r="AB565" i="6"/>
  <c r="AA565" i="6"/>
  <c r="Z565" i="6"/>
  <c r="Y565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565" i="6"/>
  <c r="A565" i="6"/>
  <c r="AH564" i="6"/>
  <c r="AG564" i="6"/>
  <c r="AF564" i="6"/>
  <c r="AE564" i="6"/>
  <c r="AD564" i="6"/>
  <c r="AC564" i="6"/>
  <c r="AB564" i="6"/>
  <c r="AA564" i="6"/>
  <c r="Z564" i="6"/>
  <c r="Y564" i="6"/>
  <c r="X564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A564" i="6" s="1"/>
  <c r="B564" i="6"/>
  <c r="AH563" i="6"/>
  <c r="AG563" i="6"/>
  <c r="AF563" i="6"/>
  <c r="AE563" i="6"/>
  <c r="AD563" i="6"/>
  <c r="AC563" i="6"/>
  <c r="AB563" i="6"/>
  <c r="AA563" i="6"/>
  <c r="Z563" i="6"/>
  <c r="Y563" i="6"/>
  <c r="X563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A563" i="6" s="1"/>
  <c r="B563" i="6"/>
  <c r="AH562" i="6"/>
  <c r="AG562" i="6"/>
  <c r="AF562" i="6"/>
  <c r="AE562" i="6"/>
  <c r="AD562" i="6"/>
  <c r="AC562" i="6"/>
  <c r="AB562" i="6"/>
  <c r="AA562" i="6"/>
  <c r="Z562" i="6"/>
  <c r="Y562" i="6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A562" i="6" s="1"/>
  <c r="B562" i="6"/>
  <c r="AH561" i="6"/>
  <c r="AG561" i="6"/>
  <c r="AF561" i="6"/>
  <c r="AE561" i="6"/>
  <c r="AD561" i="6"/>
  <c r="AC561" i="6"/>
  <c r="AB561" i="6"/>
  <c r="AA561" i="6"/>
  <c r="Z561" i="6"/>
  <c r="Y561" i="6"/>
  <c r="X561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A561" i="6" s="1"/>
  <c r="B561" i="6"/>
  <c r="AH560" i="6"/>
  <c r="AG560" i="6"/>
  <c r="AF560" i="6"/>
  <c r="AE560" i="6"/>
  <c r="AD560" i="6"/>
  <c r="AC560" i="6"/>
  <c r="AB560" i="6"/>
  <c r="AA560" i="6"/>
  <c r="Z560" i="6"/>
  <c r="Y560" i="6"/>
  <c r="X560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A560" i="6" s="1"/>
  <c r="B560" i="6"/>
  <c r="AH559" i="6"/>
  <c r="AG559" i="6"/>
  <c r="AF559" i="6"/>
  <c r="AE559" i="6"/>
  <c r="AD559" i="6"/>
  <c r="AC559" i="6"/>
  <c r="AB559" i="6"/>
  <c r="AA559" i="6"/>
  <c r="Z559" i="6"/>
  <c r="Y559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A559" i="6"/>
  <c r="AH558" i="6"/>
  <c r="AG558" i="6"/>
  <c r="AF558" i="6"/>
  <c r="AE558" i="6"/>
  <c r="AD558" i="6"/>
  <c r="AC558" i="6"/>
  <c r="AB558" i="6"/>
  <c r="AA558" i="6"/>
  <c r="Z558" i="6"/>
  <c r="Y558" i="6"/>
  <c r="X558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A558" i="6" s="1"/>
  <c r="B558" i="6"/>
  <c r="AH557" i="6"/>
  <c r="AG557" i="6"/>
  <c r="AF557" i="6"/>
  <c r="AE557" i="6"/>
  <c r="AD557" i="6"/>
  <c r="AC557" i="6"/>
  <c r="AB557" i="6"/>
  <c r="AA557" i="6"/>
  <c r="Z557" i="6"/>
  <c r="Y557" i="6"/>
  <c r="X557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A557" i="6" s="1"/>
  <c r="B557" i="6"/>
  <c r="AH556" i="6"/>
  <c r="AG556" i="6"/>
  <c r="AF556" i="6"/>
  <c r="AE556" i="6"/>
  <c r="AD556" i="6"/>
  <c r="AC556" i="6"/>
  <c r="AB556" i="6"/>
  <c r="AA556" i="6"/>
  <c r="Z556" i="6"/>
  <c r="Y556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A556" i="6" s="1"/>
  <c r="B556" i="6"/>
  <c r="AH555" i="6"/>
  <c r="AG555" i="6"/>
  <c r="AF555" i="6"/>
  <c r="AE555" i="6"/>
  <c r="AD555" i="6"/>
  <c r="AC555" i="6"/>
  <c r="AB555" i="6"/>
  <c r="AA555" i="6"/>
  <c r="Z555" i="6"/>
  <c r="Y555" i="6"/>
  <c r="X555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A555" i="6" s="1"/>
  <c r="B555" i="6"/>
  <c r="AH554" i="6"/>
  <c r="AG554" i="6"/>
  <c r="AF554" i="6"/>
  <c r="AE554" i="6"/>
  <c r="AD554" i="6"/>
  <c r="AC554" i="6"/>
  <c r="AB554" i="6"/>
  <c r="AA554" i="6"/>
  <c r="Z554" i="6"/>
  <c r="Y554" i="6"/>
  <c r="X554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A554" i="6" s="1"/>
  <c r="B554" i="6"/>
  <c r="AH553" i="6"/>
  <c r="AG553" i="6"/>
  <c r="AF553" i="6"/>
  <c r="AE553" i="6"/>
  <c r="AD553" i="6"/>
  <c r="AC553" i="6"/>
  <c r="AB553" i="6"/>
  <c r="AA553" i="6"/>
  <c r="Z553" i="6"/>
  <c r="Y553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A553" i="6" s="1"/>
  <c r="B553" i="6"/>
  <c r="AH552" i="6"/>
  <c r="AG552" i="6"/>
  <c r="AF552" i="6"/>
  <c r="AE552" i="6"/>
  <c r="AD552" i="6"/>
  <c r="AC552" i="6"/>
  <c r="AB552" i="6"/>
  <c r="AA552" i="6"/>
  <c r="Z552" i="6"/>
  <c r="Y552" i="6"/>
  <c r="X552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A552" i="6" s="1"/>
  <c r="B552" i="6"/>
  <c r="AH551" i="6"/>
  <c r="AG551" i="6"/>
  <c r="AF551" i="6"/>
  <c r="AE551" i="6"/>
  <c r="AD551" i="6"/>
  <c r="AC551" i="6"/>
  <c r="AB551" i="6"/>
  <c r="AA551" i="6"/>
  <c r="Z551" i="6"/>
  <c r="Y551" i="6"/>
  <c r="X551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A551" i="6"/>
  <c r="AH550" i="6"/>
  <c r="AG550" i="6"/>
  <c r="AF550" i="6"/>
  <c r="AE550" i="6"/>
  <c r="AD550" i="6"/>
  <c r="AC550" i="6"/>
  <c r="AB550" i="6"/>
  <c r="AA550" i="6"/>
  <c r="Z550" i="6"/>
  <c r="Y550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A550" i="6" s="1"/>
  <c r="B550" i="6"/>
  <c r="AH549" i="6"/>
  <c r="AG549" i="6"/>
  <c r="AF549" i="6"/>
  <c r="AE549" i="6"/>
  <c r="AD549" i="6"/>
  <c r="AC549" i="6"/>
  <c r="AB549" i="6"/>
  <c r="AA549" i="6"/>
  <c r="Z549" i="6"/>
  <c r="Y549" i="6"/>
  <c r="X549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549" i="6"/>
  <c r="A549" i="6"/>
  <c r="AH548" i="6"/>
  <c r="AG548" i="6"/>
  <c r="AF548" i="6"/>
  <c r="AE548" i="6"/>
  <c r="AD548" i="6"/>
  <c r="AC548" i="6"/>
  <c r="AB548" i="6"/>
  <c r="AA548" i="6"/>
  <c r="Z548" i="6"/>
  <c r="Y548" i="6"/>
  <c r="X548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A548" i="6" s="1"/>
  <c r="B548" i="6"/>
  <c r="AH547" i="6"/>
  <c r="AG547" i="6"/>
  <c r="AF547" i="6"/>
  <c r="AE547" i="6"/>
  <c r="AD547" i="6"/>
  <c r="AC547" i="6"/>
  <c r="AB547" i="6"/>
  <c r="AA547" i="6"/>
  <c r="Z547" i="6"/>
  <c r="Y547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A547" i="6" s="1"/>
  <c r="B547" i="6"/>
  <c r="AH546" i="6"/>
  <c r="AG546" i="6"/>
  <c r="AF546" i="6"/>
  <c r="AE546" i="6"/>
  <c r="AD546" i="6"/>
  <c r="AC546" i="6"/>
  <c r="AB546" i="6"/>
  <c r="AA546" i="6"/>
  <c r="Z546" i="6"/>
  <c r="Y546" i="6"/>
  <c r="X546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A546" i="6" s="1"/>
  <c r="B546" i="6"/>
  <c r="AH545" i="6"/>
  <c r="AG545" i="6"/>
  <c r="AF545" i="6"/>
  <c r="AE545" i="6"/>
  <c r="AD545" i="6"/>
  <c r="AC545" i="6"/>
  <c r="AB545" i="6"/>
  <c r="AA545" i="6"/>
  <c r="Z545" i="6"/>
  <c r="Y545" i="6"/>
  <c r="X545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A545" i="6" s="1"/>
  <c r="B545" i="6"/>
  <c r="AH544" i="6"/>
  <c r="AG544" i="6"/>
  <c r="AF544" i="6"/>
  <c r="AE544" i="6"/>
  <c r="AD544" i="6"/>
  <c r="AC544" i="6"/>
  <c r="AB544" i="6"/>
  <c r="AA544" i="6"/>
  <c r="Z544" i="6"/>
  <c r="Y544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A544" i="6" s="1"/>
  <c r="B544" i="6"/>
  <c r="AH543" i="6"/>
  <c r="AG543" i="6"/>
  <c r="AF543" i="6"/>
  <c r="AE543" i="6"/>
  <c r="AD543" i="6"/>
  <c r="AC543" i="6"/>
  <c r="AB543" i="6"/>
  <c r="AA543" i="6"/>
  <c r="Z543" i="6"/>
  <c r="Y543" i="6"/>
  <c r="X543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A543" i="6"/>
  <c r="AH542" i="6"/>
  <c r="AG542" i="6"/>
  <c r="AF542" i="6"/>
  <c r="AE542" i="6"/>
  <c r="AD542" i="6"/>
  <c r="AC542" i="6"/>
  <c r="AB542" i="6"/>
  <c r="AA542" i="6"/>
  <c r="Z542" i="6"/>
  <c r="Y542" i="6"/>
  <c r="X542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A542" i="6" s="1"/>
  <c r="B542" i="6"/>
  <c r="AH541" i="6"/>
  <c r="AG541" i="6"/>
  <c r="AF541" i="6"/>
  <c r="AE541" i="6"/>
  <c r="AD541" i="6"/>
  <c r="AC541" i="6"/>
  <c r="AB541" i="6"/>
  <c r="AA541" i="6"/>
  <c r="Z541" i="6"/>
  <c r="Y541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A541" i="6" s="1"/>
  <c r="B541" i="6"/>
  <c r="AH540" i="6"/>
  <c r="AG540" i="6"/>
  <c r="AF540" i="6"/>
  <c r="AE540" i="6"/>
  <c r="AD540" i="6"/>
  <c r="AC540" i="6"/>
  <c r="AB540" i="6"/>
  <c r="AA540" i="6"/>
  <c r="Z540" i="6"/>
  <c r="Y540" i="6"/>
  <c r="X540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A540" i="6" s="1"/>
  <c r="B540" i="6"/>
  <c r="AH539" i="6"/>
  <c r="AG539" i="6"/>
  <c r="AF539" i="6"/>
  <c r="AE539" i="6"/>
  <c r="AD539" i="6"/>
  <c r="AC539" i="6"/>
  <c r="AB539" i="6"/>
  <c r="AA539" i="6"/>
  <c r="Z539" i="6"/>
  <c r="Y539" i="6"/>
  <c r="X539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A539" i="6" s="1"/>
  <c r="B539" i="6"/>
  <c r="AH538" i="6"/>
  <c r="AG538" i="6"/>
  <c r="AF538" i="6"/>
  <c r="AE538" i="6"/>
  <c r="AD538" i="6"/>
  <c r="AC538" i="6"/>
  <c r="AB538" i="6"/>
  <c r="AA538" i="6"/>
  <c r="Z538" i="6"/>
  <c r="Y538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A538" i="6" s="1"/>
  <c r="B538" i="6"/>
  <c r="AH537" i="6"/>
  <c r="AG537" i="6"/>
  <c r="AF537" i="6"/>
  <c r="AE537" i="6"/>
  <c r="AD537" i="6"/>
  <c r="AC537" i="6"/>
  <c r="AB537" i="6"/>
  <c r="AA537" i="6"/>
  <c r="Z537" i="6"/>
  <c r="Y537" i="6"/>
  <c r="X537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A537" i="6" s="1"/>
  <c r="B537" i="6"/>
  <c r="AH536" i="6"/>
  <c r="AG536" i="6"/>
  <c r="AF536" i="6"/>
  <c r="AE536" i="6"/>
  <c r="AD536" i="6"/>
  <c r="AC536" i="6"/>
  <c r="AB536" i="6"/>
  <c r="AA536" i="6"/>
  <c r="Z536" i="6"/>
  <c r="Y536" i="6"/>
  <c r="X536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A536" i="6" s="1"/>
  <c r="B536" i="6"/>
  <c r="AH535" i="6"/>
  <c r="AG535" i="6"/>
  <c r="AF535" i="6"/>
  <c r="AE535" i="6"/>
  <c r="AD535" i="6"/>
  <c r="AC535" i="6"/>
  <c r="AB535" i="6"/>
  <c r="AA535" i="6"/>
  <c r="Z535" i="6"/>
  <c r="Y535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A535" i="6" s="1"/>
  <c r="B535" i="6"/>
  <c r="AH534" i="6"/>
  <c r="AG534" i="6"/>
  <c r="AF534" i="6"/>
  <c r="AE534" i="6"/>
  <c r="AD534" i="6"/>
  <c r="AC534" i="6"/>
  <c r="AB534" i="6"/>
  <c r="AA534" i="6"/>
  <c r="Z534" i="6"/>
  <c r="Y534" i="6"/>
  <c r="X534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A534" i="6" s="1"/>
  <c r="B534" i="6"/>
  <c r="AH533" i="6"/>
  <c r="AG533" i="6"/>
  <c r="AF533" i="6"/>
  <c r="AE533" i="6"/>
  <c r="AD533" i="6"/>
  <c r="AC533" i="6"/>
  <c r="AB533" i="6"/>
  <c r="AA533" i="6"/>
  <c r="Z533" i="6"/>
  <c r="Y533" i="6"/>
  <c r="X533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A533" i="6" s="1"/>
  <c r="B533" i="6"/>
  <c r="AH532" i="6"/>
  <c r="AG532" i="6"/>
  <c r="AF532" i="6"/>
  <c r="AE532" i="6"/>
  <c r="AD532" i="6"/>
  <c r="AC532" i="6"/>
  <c r="AB532" i="6"/>
  <c r="AA532" i="6"/>
  <c r="Z532" i="6"/>
  <c r="Y532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A532" i="6" s="1"/>
  <c r="B532" i="6"/>
  <c r="AH531" i="6"/>
  <c r="AG531" i="6"/>
  <c r="AF531" i="6"/>
  <c r="AE531" i="6"/>
  <c r="AD531" i="6"/>
  <c r="AC531" i="6"/>
  <c r="AB531" i="6"/>
  <c r="AA531" i="6"/>
  <c r="Z531" i="6"/>
  <c r="Y531" i="6"/>
  <c r="X531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A531" i="6" s="1"/>
  <c r="B531" i="6"/>
  <c r="AH530" i="6"/>
  <c r="AG530" i="6"/>
  <c r="AF530" i="6"/>
  <c r="AE530" i="6"/>
  <c r="AD530" i="6"/>
  <c r="AC530" i="6"/>
  <c r="AB530" i="6"/>
  <c r="AA530" i="6"/>
  <c r="Z530" i="6"/>
  <c r="Y530" i="6"/>
  <c r="X530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A530" i="6" s="1"/>
  <c r="B530" i="6"/>
  <c r="AH529" i="6"/>
  <c r="AG529" i="6"/>
  <c r="AF529" i="6"/>
  <c r="AE529" i="6"/>
  <c r="AD529" i="6"/>
  <c r="AC529" i="6"/>
  <c r="AB529" i="6"/>
  <c r="AA529" i="6"/>
  <c r="Z529" i="6"/>
  <c r="Y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A529" i="6" s="1"/>
  <c r="B529" i="6"/>
  <c r="AH528" i="6"/>
  <c r="AG528" i="6"/>
  <c r="AF528" i="6"/>
  <c r="AE528" i="6"/>
  <c r="AD528" i="6"/>
  <c r="AC528" i="6"/>
  <c r="AB528" i="6"/>
  <c r="AA528" i="6"/>
  <c r="Z528" i="6"/>
  <c r="Y528" i="6"/>
  <c r="X528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A528" i="6" s="1"/>
  <c r="B528" i="6"/>
  <c r="AH527" i="6"/>
  <c r="AG527" i="6"/>
  <c r="AF527" i="6"/>
  <c r="AE527" i="6"/>
  <c r="AD527" i="6"/>
  <c r="AC527" i="6"/>
  <c r="AB527" i="6"/>
  <c r="AA527" i="6"/>
  <c r="Z527" i="6"/>
  <c r="Y527" i="6"/>
  <c r="X527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A527" i="6" s="1"/>
  <c r="B527" i="6"/>
  <c r="AH526" i="6"/>
  <c r="AG526" i="6"/>
  <c r="AF526" i="6"/>
  <c r="AE526" i="6"/>
  <c r="AD526" i="6"/>
  <c r="AC526" i="6"/>
  <c r="AB526" i="6"/>
  <c r="AA526" i="6"/>
  <c r="Z526" i="6"/>
  <c r="Y526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A526" i="6" s="1"/>
  <c r="B526" i="6"/>
  <c r="AH525" i="6"/>
  <c r="AG525" i="6"/>
  <c r="AF525" i="6"/>
  <c r="AE525" i="6"/>
  <c r="AD525" i="6"/>
  <c r="AC525" i="6"/>
  <c r="AB525" i="6"/>
  <c r="AA525" i="6"/>
  <c r="Z525" i="6"/>
  <c r="Y525" i="6"/>
  <c r="X525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A525" i="6" s="1"/>
  <c r="B525" i="6"/>
  <c r="AH524" i="6"/>
  <c r="AG524" i="6"/>
  <c r="AF524" i="6"/>
  <c r="AE524" i="6"/>
  <c r="AD524" i="6"/>
  <c r="AC524" i="6"/>
  <c r="AB524" i="6"/>
  <c r="AA524" i="6"/>
  <c r="Z524" i="6"/>
  <c r="Y524" i="6"/>
  <c r="X524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524" i="6"/>
  <c r="AH523" i="6"/>
  <c r="AG523" i="6"/>
  <c r="AF523" i="6"/>
  <c r="AE523" i="6"/>
  <c r="AD523" i="6"/>
  <c r="AC523" i="6"/>
  <c r="AB523" i="6"/>
  <c r="AA523" i="6"/>
  <c r="Z523" i="6"/>
  <c r="Y523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523" i="6"/>
  <c r="AH522" i="6"/>
  <c r="AG522" i="6"/>
  <c r="AF522" i="6"/>
  <c r="AE522" i="6"/>
  <c r="AD522" i="6"/>
  <c r="AC522" i="6"/>
  <c r="AB522" i="6"/>
  <c r="AA522" i="6"/>
  <c r="Z522" i="6"/>
  <c r="Y522" i="6"/>
  <c r="X522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522" i="6"/>
  <c r="AH521" i="6"/>
  <c r="AG521" i="6"/>
  <c r="AF521" i="6"/>
  <c r="AE521" i="6"/>
  <c r="AD521" i="6"/>
  <c r="AC521" i="6"/>
  <c r="AB521" i="6"/>
  <c r="AA521" i="6"/>
  <c r="Z521" i="6"/>
  <c r="Y521" i="6"/>
  <c r="X521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521" i="6"/>
  <c r="AH520" i="6"/>
  <c r="AG520" i="6"/>
  <c r="AF520" i="6"/>
  <c r="AE520" i="6"/>
  <c r="AD520" i="6"/>
  <c r="AC520" i="6"/>
  <c r="AB520" i="6"/>
  <c r="AA520" i="6"/>
  <c r="Z520" i="6"/>
  <c r="Y520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520" i="6"/>
  <c r="AH519" i="6"/>
  <c r="AG519" i="6"/>
  <c r="AF519" i="6"/>
  <c r="AE519" i="6"/>
  <c r="AD519" i="6"/>
  <c r="AC519" i="6"/>
  <c r="AB519" i="6"/>
  <c r="AA519" i="6"/>
  <c r="Z519" i="6"/>
  <c r="Y519" i="6"/>
  <c r="X519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519" i="6"/>
  <c r="AH518" i="6"/>
  <c r="AG518" i="6"/>
  <c r="AF518" i="6"/>
  <c r="AE518" i="6"/>
  <c r="AD518" i="6"/>
  <c r="AC518" i="6"/>
  <c r="AB518" i="6"/>
  <c r="AA518" i="6"/>
  <c r="Z518" i="6"/>
  <c r="Y518" i="6"/>
  <c r="X518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518" i="6"/>
  <c r="AH517" i="6"/>
  <c r="AG517" i="6"/>
  <c r="AF517" i="6"/>
  <c r="AE517" i="6"/>
  <c r="AD517" i="6"/>
  <c r="AC517" i="6"/>
  <c r="AB517" i="6"/>
  <c r="AA517" i="6"/>
  <c r="Z517" i="6"/>
  <c r="Y517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A517" i="6" s="1"/>
  <c r="B517" i="6"/>
  <c r="AH516" i="6"/>
  <c r="AG516" i="6"/>
  <c r="AF516" i="6"/>
  <c r="AE516" i="6"/>
  <c r="AD516" i="6"/>
  <c r="AC516" i="6"/>
  <c r="AB516" i="6"/>
  <c r="AA516" i="6"/>
  <c r="Z516" i="6"/>
  <c r="Y516" i="6"/>
  <c r="X516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B516" i="6"/>
  <c r="AH515" i="6"/>
  <c r="AG515" i="6"/>
  <c r="AF515" i="6"/>
  <c r="AE515" i="6"/>
  <c r="AD515" i="6"/>
  <c r="AC515" i="6"/>
  <c r="AB515" i="6"/>
  <c r="AA515" i="6"/>
  <c r="Z515" i="6"/>
  <c r="Y515" i="6"/>
  <c r="X515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515" i="6"/>
  <c r="AH514" i="6"/>
  <c r="AG514" i="6"/>
  <c r="AF514" i="6"/>
  <c r="AE514" i="6"/>
  <c r="AD514" i="6"/>
  <c r="AC514" i="6"/>
  <c r="AB514" i="6"/>
  <c r="AA514" i="6"/>
  <c r="Z514" i="6"/>
  <c r="Y514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514" i="6"/>
  <c r="AH513" i="6"/>
  <c r="AG513" i="6"/>
  <c r="AF513" i="6"/>
  <c r="AE513" i="6"/>
  <c r="AD513" i="6"/>
  <c r="AC513" i="6"/>
  <c r="AB513" i="6"/>
  <c r="AA513" i="6"/>
  <c r="Z513" i="6"/>
  <c r="Y513" i="6"/>
  <c r="X513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513" i="6"/>
  <c r="AH512" i="6"/>
  <c r="AG512" i="6"/>
  <c r="AF512" i="6"/>
  <c r="AE512" i="6"/>
  <c r="AD512" i="6"/>
  <c r="AC512" i="6"/>
  <c r="AB512" i="6"/>
  <c r="AA512" i="6"/>
  <c r="Z512" i="6"/>
  <c r="Y512" i="6"/>
  <c r="X512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512" i="6"/>
  <c r="AH511" i="6"/>
  <c r="AG511" i="6"/>
  <c r="AF511" i="6"/>
  <c r="AE511" i="6"/>
  <c r="AD511" i="6"/>
  <c r="AC511" i="6"/>
  <c r="AB511" i="6"/>
  <c r="AA511" i="6"/>
  <c r="Z511" i="6"/>
  <c r="Y511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511" i="6"/>
  <c r="AH510" i="6"/>
  <c r="AG510" i="6"/>
  <c r="AF510" i="6"/>
  <c r="AE510" i="6"/>
  <c r="AD510" i="6"/>
  <c r="AC510" i="6"/>
  <c r="AB510" i="6"/>
  <c r="AA510" i="6"/>
  <c r="Z510" i="6"/>
  <c r="Y510" i="6"/>
  <c r="X510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A510" i="6" s="1"/>
  <c r="B510" i="6"/>
  <c r="AH509" i="6"/>
  <c r="AG509" i="6"/>
  <c r="AF509" i="6"/>
  <c r="AE509" i="6"/>
  <c r="AD509" i="6"/>
  <c r="AC509" i="6"/>
  <c r="AB509" i="6"/>
  <c r="AA509" i="6"/>
  <c r="Z509" i="6"/>
  <c r="Y509" i="6"/>
  <c r="X509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A509" i="6" s="1"/>
  <c r="B509" i="6"/>
  <c r="AH508" i="6"/>
  <c r="AG508" i="6"/>
  <c r="AF508" i="6"/>
  <c r="AE508" i="6"/>
  <c r="AD508" i="6"/>
  <c r="AC508" i="6"/>
  <c r="AB508" i="6"/>
  <c r="AA508" i="6"/>
  <c r="Z508" i="6"/>
  <c r="Y508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508" i="6"/>
  <c r="AH507" i="6"/>
  <c r="AG507" i="6"/>
  <c r="AF507" i="6"/>
  <c r="AE507" i="6"/>
  <c r="AD507" i="6"/>
  <c r="AC507" i="6"/>
  <c r="AB507" i="6"/>
  <c r="AA507" i="6"/>
  <c r="Z507" i="6"/>
  <c r="Y507" i="6"/>
  <c r="X507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507" i="6"/>
  <c r="AH506" i="6"/>
  <c r="AG506" i="6"/>
  <c r="AF506" i="6"/>
  <c r="AE506" i="6"/>
  <c r="AD506" i="6"/>
  <c r="AC506" i="6"/>
  <c r="AB506" i="6"/>
  <c r="AA506" i="6"/>
  <c r="Z506" i="6"/>
  <c r="Y506" i="6"/>
  <c r="X506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K506" i="6"/>
  <c r="J506" i="6"/>
  <c r="I506" i="6"/>
  <c r="H506" i="6"/>
  <c r="G506" i="6"/>
  <c r="F506" i="6"/>
  <c r="E506" i="6"/>
  <c r="D506" i="6"/>
  <c r="C506" i="6"/>
  <c r="B506" i="6"/>
  <c r="AH505" i="6"/>
  <c r="AG505" i="6"/>
  <c r="AF505" i="6"/>
  <c r="AE505" i="6"/>
  <c r="AD505" i="6"/>
  <c r="AC505" i="6"/>
  <c r="AB505" i="6"/>
  <c r="AA505" i="6"/>
  <c r="Z505" i="6"/>
  <c r="Y505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505" i="6"/>
  <c r="AH504" i="6"/>
  <c r="AG504" i="6"/>
  <c r="AF504" i="6"/>
  <c r="AE504" i="6"/>
  <c r="AD504" i="6"/>
  <c r="AC504" i="6"/>
  <c r="AB504" i="6"/>
  <c r="AA504" i="6"/>
  <c r="Z504" i="6"/>
  <c r="Y504" i="6"/>
  <c r="X504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504" i="6"/>
  <c r="AH503" i="6"/>
  <c r="AG503" i="6"/>
  <c r="AF503" i="6"/>
  <c r="AE503" i="6"/>
  <c r="AD503" i="6"/>
  <c r="AC503" i="6"/>
  <c r="AB503" i="6"/>
  <c r="AA503" i="6"/>
  <c r="Z503" i="6"/>
  <c r="Y503" i="6"/>
  <c r="X503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503" i="6"/>
  <c r="AH502" i="6"/>
  <c r="AG502" i="6"/>
  <c r="AF502" i="6"/>
  <c r="AE502" i="6"/>
  <c r="AD502" i="6"/>
  <c r="AC502" i="6"/>
  <c r="AB502" i="6"/>
  <c r="AA502" i="6"/>
  <c r="Z502" i="6"/>
  <c r="Y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A502" i="6" s="1"/>
  <c r="B502" i="6"/>
  <c r="AH501" i="6"/>
  <c r="AG501" i="6"/>
  <c r="AF501" i="6"/>
  <c r="AE501" i="6"/>
  <c r="AD501" i="6"/>
  <c r="AC501" i="6"/>
  <c r="AB501" i="6"/>
  <c r="AA501" i="6"/>
  <c r="Z501" i="6"/>
  <c r="Y501" i="6"/>
  <c r="X501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A501" i="6" s="1"/>
  <c r="B501" i="6"/>
  <c r="AH500" i="6"/>
  <c r="AG500" i="6"/>
  <c r="AF500" i="6"/>
  <c r="AE500" i="6"/>
  <c r="AD500" i="6"/>
  <c r="AC500" i="6"/>
  <c r="AB500" i="6"/>
  <c r="AA500" i="6"/>
  <c r="Z500" i="6"/>
  <c r="Y500" i="6"/>
  <c r="X500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500" i="6"/>
  <c r="AH499" i="6"/>
  <c r="AG499" i="6"/>
  <c r="AF499" i="6"/>
  <c r="AE499" i="6"/>
  <c r="AD499" i="6"/>
  <c r="AC499" i="6"/>
  <c r="AB499" i="6"/>
  <c r="AA499" i="6"/>
  <c r="Z499" i="6"/>
  <c r="Y499" i="6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499" i="6"/>
  <c r="AH498" i="6"/>
  <c r="AG498" i="6"/>
  <c r="AF498" i="6"/>
  <c r="AE498" i="6"/>
  <c r="AD498" i="6"/>
  <c r="AC498" i="6"/>
  <c r="AB498" i="6"/>
  <c r="AA498" i="6"/>
  <c r="Z498" i="6"/>
  <c r="Y498" i="6"/>
  <c r="X498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498" i="6"/>
  <c r="AH497" i="6"/>
  <c r="AG497" i="6"/>
  <c r="AF497" i="6"/>
  <c r="AE497" i="6"/>
  <c r="AD497" i="6"/>
  <c r="AC497" i="6"/>
  <c r="AB497" i="6"/>
  <c r="AA497" i="6"/>
  <c r="Z497" i="6"/>
  <c r="Y497" i="6"/>
  <c r="X497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497" i="6"/>
  <c r="AH496" i="6"/>
  <c r="AG496" i="6"/>
  <c r="AF496" i="6"/>
  <c r="AE496" i="6"/>
  <c r="AD496" i="6"/>
  <c r="AC496" i="6"/>
  <c r="AB496" i="6"/>
  <c r="AA496" i="6"/>
  <c r="Z496" i="6"/>
  <c r="Y496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496" i="6"/>
  <c r="AH495" i="6"/>
  <c r="AG495" i="6"/>
  <c r="AF495" i="6"/>
  <c r="AE495" i="6"/>
  <c r="AD495" i="6"/>
  <c r="AC495" i="6"/>
  <c r="AB495" i="6"/>
  <c r="AA495" i="6"/>
  <c r="Z495" i="6"/>
  <c r="Y495" i="6"/>
  <c r="X495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495" i="6"/>
  <c r="AH494" i="6"/>
  <c r="AG494" i="6"/>
  <c r="AF494" i="6"/>
  <c r="AE494" i="6"/>
  <c r="AD494" i="6"/>
  <c r="AC494" i="6"/>
  <c r="AB494" i="6"/>
  <c r="AA494" i="6"/>
  <c r="Z494" i="6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B494" i="6"/>
  <c r="AH493" i="6"/>
  <c r="AG493" i="6"/>
  <c r="AF493" i="6"/>
  <c r="AE493" i="6"/>
  <c r="AD493" i="6"/>
  <c r="AC493" i="6"/>
  <c r="AB493" i="6"/>
  <c r="AA493" i="6"/>
  <c r="Z493" i="6"/>
  <c r="Y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493" i="6"/>
  <c r="AH492" i="6"/>
  <c r="AG492" i="6"/>
  <c r="AF492" i="6"/>
  <c r="AE492" i="6"/>
  <c r="AD492" i="6"/>
  <c r="AC492" i="6"/>
  <c r="AB492" i="6"/>
  <c r="AA492" i="6"/>
  <c r="Z492" i="6"/>
  <c r="Y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492" i="6"/>
  <c r="AH491" i="6"/>
  <c r="AG491" i="6"/>
  <c r="AF491" i="6"/>
  <c r="AE491" i="6"/>
  <c r="AD491" i="6"/>
  <c r="AC491" i="6"/>
  <c r="AB491" i="6"/>
  <c r="AA491" i="6"/>
  <c r="Z491" i="6"/>
  <c r="Y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491" i="6"/>
  <c r="AH490" i="6"/>
  <c r="AG490" i="6"/>
  <c r="AF490" i="6"/>
  <c r="AE490" i="6"/>
  <c r="AD490" i="6"/>
  <c r="AC490" i="6"/>
  <c r="AB490" i="6"/>
  <c r="AA490" i="6"/>
  <c r="Z490" i="6"/>
  <c r="Y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490" i="6"/>
  <c r="AH489" i="6"/>
  <c r="AG489" i="6"/>
  <c r="AF489" i="6"/>
  <c r="AE489" i="6"/>
  <c r="AD489" i="6"/>
  <c r="AC489" i="6"/>
  <c r="AB489" i="6"/>
  <c r="AA489" i="6"/>
  <c r="Z489" i="6"/>
  <c r="Y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AH488" i="6"/>
  <c r="AG488" i="6"/>
  <c r="AF488" i="6"/>
  <c r="AE488" i="6"/>
  <c r="AD488" i="6"/>
  <c r="AC488" i="6"/>
  <c r="AB488" i="6"/>
  <c r="AA488" i="6"/>
  <c r="Z488" i="6"/>
  <c r="Y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488" i="6"/>
  <c r="AH487" i="6"/>
  <c r="AG487" i="6"/>
  <c r="AF487" i="6"/>
  <c r="AE487" i="6"/>
  <c r="AD487" i="6"/>
  <c r="AC487" i="6"/>
  <c r="AB487" i="6"/>
  <c r="AA487" i="6"/>
  <c r="Z487" i="6"/>
  <c r="Y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AH486" i="6"/>
  <c r="AG486" i="6"/>
  <c r="AF486" i="6"/>
  <c r="AE486" i="6"/>
  <c r="AD486" i="6"/>
  <c r="AC486" i="6"/>
  <c r="AB486" i="6"/>
  <c r="AA486" i="6"/>
  <c r="Z486" i="6"/>
  <c r="Y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486" i="6"/>
  <c r="AH485" i="6"/>
  <c r="AG485" i="6"/>
  <c r="AF485" i="6"/>
  <c r="AE485" i="6"/>
  <c r="AD485" i="6"/>
  <c r="AC485" i="6"/>
  <c r="AB485" i="6"/>
  <c r="AA485" i="6"/>
  <c r="Z485" i="6"/>
  <c r="Y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485" i="6"/>
  <c r="AH484" i="6"/>
  <c r="AG484" i="6"/>
  <c r="AF484" i="6"/>
  <c r="AE484" i="6"/>
  <c r="AD484" i="6"/>
  <c r="AC484" i="6"/>
  <c r="AB484" i="6"/>
  <c r="AA484" i="6"/>
  <c r="Z484" i="6"/>
  <c r="Y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484" i="6"/>
  <c r="AH483" i="6"/>
  <c r="AG483" i="6"/>
  <c r="AF483" i="6"/>
  <c r="AE483" i="6"/>
  <c r="AD483" i="6"/>
  <c r="AC483" i="6"/>
  <c r="AB483" i="6"/>
  <c r="AA483" i="6"/>
  <c r="Z483" i="6"/>
  <c r="Y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483" i="6"/>
  <c r="AH482" i="6"/>
  <c r="AG482" i="6"/>
  <c r="AF482" i="6"/>
  <c r="AE482" i="6"/>
  <c r="AD482" i="6"/>
  <c r="AC482" i="6"/>
  <c r="AB482" i="6"/>
  <c r="AA482" i="6"/>
  <c r="Z482" i="6"/>
  <c r="Y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482" i="6"/>
  <c r="AH481" i="6"/>
  <c r="AG481" i="6"/>
  <c r="AF481" i="6"/>
  <c r="AE481" i="6"/>
  <c r="AD481" i="6"/>
  <c r="AC481" i="6"/>
  <c r="AB481" i="6"/>
  <c r="AA481" i="6"/>
  <c r="Z481" i="6"/>
  <c r="Y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481" i="6"/>
  <c r="AH480" i="6"/>
  <c r="AG480" i="6"/>
  <c r="AF480" i="6"/>
  <c r="AE480" i="6"/>
  <c r="AD480" i="6"/>
  <c r="AC480" i="6"/>
  <c r="AB480" i="6"/>
  <c r="AA480" i="6"/>
  <c r="Z480" i="6"/>
  <c r="Y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480" i="6"/>
  <c r="AH479" i="6"/>
  <c r="AG479" i="6"/>
  <c r="AF479" i="6"/>
  <c r="AE479" i="6"/>
  <c r="AD479" i="6"/>
  <c r="AC479" i="6"/>
  <c r="AB479" i="6"/>
  <c r="AA479" i="6"/>
  <c r="Z479" i="6"/>
  <c r="Y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479" i="6"/>
  <c r="AH478" i="6"/>
  <c r="AG478" i="6"/>
  <c r="AF478" i="6"/>
  <c r="AE478" i="6"/>
  <c r="AD478" i="6"/>
  <c r="AC478" i="6"/>
  <c r="AB478" i="6"/>
  <c r="AA478" i="6"/>
  <c r="Z478" i="6"/>
  <c r="Y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478" i="6"/>
  <c r="AH477" i="6"/>
  <c r="AG477" i="6"/>
  <c r="AF477" i="6"/>
  <c r="AE477" i="6"/>
  <c r="AD477" i="6"/>
  <c r="AC477" i="6"/>
  <c r="AB477" i="6"/>
  <c r="AA477" i="6"/>
  <c r="Z477" i="6"/>
  <c r="Y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477" i="6"/>
  <c r="AH476" i="6"/>
  <c r="AG476" i="6"/>
  <c r="AF476" i="6"/>
  <c r="AE476" i="6"/>
  <c r="AD476" i="6"/>
  <c r="AC476" i="6"/>
  <c r="AB476" i="6"/>
  <c r="AA476" i="6"/>
  <c r="Z476" i="6"/>
  <c r="Y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476" i="6"/>
  <c r="AH475" i="6"/>
  <c r="AG475" i="6"/>
  <c r="AF475" i="6"/>
  <c r="AE475" i="6"/>
  <c r="AD475" i="6"/>
  <c r="AC475" i="6"/>
  <c r="AB475" i="6"/>
  <c r="AA475" i="6"/>
  <c r="Z475" i="6"/>
  <c r="Y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475" i="6"/>
  <c r="AH474" i="6"/>
  <c r="AG474" i="6"/>
  <c r="AF474" i="6"/>
  <c r="AE474" i="6"/>
  <c r="AD474" i="6"/>
  <c r="AC474" i="6"/>
  <c r="AB474" i="6"/>
  <c r="AA474" i="6"/>
  <c r="Z474" i="6"/>
  <c r="Y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474" i="6"/>
  <c r="AH473" i="6"/>
  <c r="AG473" i="6"/>
  <c r="AF473" i="6"/>
  <c r="AE473" i="6"/>
  <c r="AD473" i="6"/>
  <c r="AC473" i="6"/>
  <c r="AB473" i="6"/>
  <c r="AA473" i="6"/>
  <c r="Z473" i="6"/>
  <c r="Y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473" i="6"/>
  <c r="AH472" i="6"/>
  <c r="AG472" i="6"/>
  <c r="AF472" i="6"/>
  <c r="AE472" i="6"/>
  <c r="AD472" i="6"/>
  <c r="AC472" i="6"/>
  <c r="AB472" i="6"/>
  <c r="AA472" i="6"/>
  <c r="Z472" i="6"/>
  <c r="Y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AH471" i="6"/>
  <c r="AG471" i="6"/>
  <c r="AF471" i="6"/>
  <c r="AE471" i="6"/>
  <c r="AD471" i="6"/>
  <c r="AC471" i="6"/>
  <c r="AB471" i="6"/>
  <c r="AA471" i="6"/>
  <c r="Z471" i="6"/>
  <c r="Y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AH470" i="6"/>
  <c r="AG470" i="6"/>
  <c r="AF470" i="6"/>
  <c r="AE470" i="6"/>
  <c r="AD470" i="6"/>
  <c r="AC470" i="6"/>
  <c r="AB470" i="6"/>
  <c r="AA470" i="6"/>
  <c r="Z470" i="6"/>
  <c r="Y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470" i="6"/>
  <c r="AH469" i="6"/>
  <c r="AG469" i="6"/>
  <c r="AF469" i="6"/>
  <c r="AE469" i="6"/>
  <c r="AD469" i="6"/>
  <c r="AC469" i="6"/>
  <c r="AB469" i="6"/>
  <c r="AA469" i="6"/>
  <c r="Z469" i="6"/>
  <c r="Y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469" i="6"/>
  <c r="AH468" i="6"/>
  <c r="AG468" i="6"/>
  <c r="AF468" i="6"/>
  <c r="AE468" i="6"/>
  <c r="AD468" i="6"/>
  <c r="AC468" i="6"/>
  <c r="AB468" i="6"/>
  <c r="AA468" i="6"/>
  <c r="Z468" i="6"/>
  <c r="Y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AH467" i="6"/>
  <c r="AG467" i="6"/>
  <c r="AF467" i="6"/>
  <c r="AE467" i="6"/>
  <c r="AD467" i="6"/>
  <c r="AC467" i="6"/>
  <c r="AB467" i="6"/>
  <c r="AA467" i="6"/>
  <c r="Z467" i="6"/>
  <c r="Y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467" i="6"/>
  <c r="AH466" i="6"/>
  <c r="AG466" i="6"/>
  <c r="AF466" i="6"/>
  <c r="AE466" i="6"/>
  <c r="AD466" i="6"/>
  <c r="AC466" i="6"/>
  <c r="AB466" i="6"/>
  <c r="AA466" i="6"/>
  <c r="Z466" i="6"/>
  <c r="Y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466" i="6"/>
  <c r="AH465" i="6"/>
  <c r="AG465" i="6"/>
  <c r="AF465" i="6"/>
  <c r="AE465" i="6"/>
  <c r="AD465" i="6"/>
  <c r="AC465" i="6"/>
  <c r="AB465" i="6"/>
  <c r="AA465" i="6"/>
  <c r="Z465" i="6"/>
  <c r="Y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465" i="6"/>
  <c r="AH464" i="6"/>
  <c r="AG464" i="6"/>
  <c r="AF464" i="6"/>
  <c r="AE464" i="6"/>
  <c r="AD464" i="6"/>
  <c r="AC464" i="6"/>
  <c r="AB464" i="6"/>
  <c r="AA464" i="6"/>
  <c r="Z464" i="6"/>
  <c r="Y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464" i="6"/>
  <c r="AH463" i="6"/>
  <c r="AG463" i="6"/>
  <c r="AF463" i="6"/>
  <c r="AE463" i="6"/>
  <c r="AD463" i="6"/>
  <c r="AC463" i="6"/>
  <c r="AB463" i="6"/>
  <c r="AA463" i="6"/>
  <c r="Z463" i="6"/>
  <c r="Y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463" i="6"/>
  <c r="AH462" i="6"/>
  <c r="AG462" i="6"/>
  <c r="AF462" i="6"/>
  <c r="AE462" i="6"/>
  <c r="AD462" i="6"/>
  <c r="AC462" i="6"/>
  <c r="AB462" i="6"/>
  <c r="AA462" i="6"/>
  <c r="Z462" i="6"/>
  <c r="Y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462" i="6"/>
  <c r="AH461" i="6"/>
  <c r="AG461" i="6"/>
  <c r="AF461" i="6"/>
  <c r="AE461" i="6"/>
  <c r="AD461" i="6"/>
  <c r="AC461" i="6"/>
  <c r="AB461" i="6"/>
  <c r="AA461" i="6"/>
  <c r="Z461" i="6"/>
  <c r="Y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AH460" i="6"/>
  <c r="AG460" i="6"/>
  <c r="AF460" i="6"/>
  <c r="AE460" i="6"/>
  <c r="AD460" i="6"/>
  <c r="AC460" i="6"/>
  <c r="AB460" i="6"/>
  <c r="AA460" i="6"/>
  <c r="Z460" i="6"/>
  <c r="Y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460" i="6"/>
  <c r="AH459" i="6"/>
  <c r="AG459" i="6"/>
  <c r="AF459" i="6"/>
  <c r="AE459" i="6"/>
  <c r="AD459" i="6"/>
  <c r="AC459" i="6"/>
  <c r="AB459" i="6"/>
  <c r="AA459" i="6"/>
  <c r="Z459" i="6"/>
  <c r="Y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459" i="6"/>
  <c r="AH458" i="6"/>
  <c r="AG458" i="6"/>
  <c r="AF458" i="6"/>
  <c r="AE458" i="6"/>
  <c r="AD458" i="6"/>
  <c r="AC458" i="6"/>
  <c r="AB458" i="6"/>
  <c r="AA458" i="6"/>
  <c r="Z458" i="6"/>
  <c r="Y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458" i="6"/>
  <c r="AH457" i="6"/>
  <c r="AG457" i="6"/>
  <c r="AF457" i="6"/>
  <c r="AE457" i="6"/>
  <c r="AD457" i="6"/>
  <c r="AC457" i="6"/>
  <c r="AB457" i="6"/>
  <c r="AA457" i="6"/>
  <c r="Z457" i="6"/>
  <c r="Y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457" i="6"/>
  <c r="AH456" i="6"/>
  <c r="AG456" i="6"/>
  <c r="AF456" i="6"/>
  <c r="AE456" i="6"/>
  <c r="AD456" i="6"/>
  <c r="AC456" i="6"/>
  <c r="AB456" i="6"/>
  <c r="AA456" i="6"/>
  <c r="Z456" i="6"/>
  <c r="Y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AH455" i="6"/>
  <c r="AG455" i="6"/>
  <c r="AF455" i="6"/>
  <c r="AE455" i="6"/>
  <c r="AD455" i="6"/>
  <c r="AC455" i="6"/>
  <c r="AB455" i="6"/>
  <c r="AA455" i="6"/>
  <c r="Z455" i="6"/>
  <c r="Y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AH454" i="6"/>
  <c r="AG454" i="6"/>
  <c r="AF454" i="6"/>
  <c r="AE454" i="6"/>
  <c r="AD454" i="6"/>
  <c r="AC454" i="6"/>
  <c r="AB454" i="6"/>
  <c r="AA454" i="6"/>
  <c r="Z454" i="6"/>
  <c r="Y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454" i="6"/>
  <c r="AH453" i="6"/>
  <c r="AG453" i="6"/>
  <c r="AF453" i="6"/>
  <c r="AE453" i="6"/>
  <c r="AD453" i="6"/>
  <c r="AC453" i="6"/>
  <c r="AB453" i="6"/>
  <c r="AA453" i="6"/>
  <c r="Z453" i="6"/>
  <c r="Y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AH452" i="6"/>
  <c r="AG452" i="6"/>
  <c r="AF452" i="6"/>
  <c r="AE452" i="6"/>
  <c r="AD452" i="6"/>
  <c r="AC452" i="6"/>
  <c r="AB452" i="6"/>
  <c r="AA452" i="6"/>
  <c r="Z452" i="6"/>
  <c r="Y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452" i="6"/>
  <c r="AH451" i="6"/>
  <c r="AG451" i="6"/>
  <c r="AF451" i="6"/>
  <c r="AE451" i="6"/>
  <c r="AD451" i="6"/>
  <c r="AC451" i="6"/>
  <c r="AB451" i="6"/>
  <c r="AA451" i="6"/>
  <c r="Z451" i="6"/>
  <c r="Y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451" i="6"/>
  <c r="AH450" i="6"/>
  <c r="AG450" i="6"/>
  <c r="AF450" i="6"/>
  <c r="AE450" i="6"/>
  <c r="AD450" i="6"/>
  <c r="AC450" i="6"/>
  <c r="AB450" i="6"/>
  <c r="AA450" i="6"/>
  <c r="Z450" i="6"/>
  <c r="Y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450" i="6"/>
  <c r="AH449" i="6"/>
  <c r="AG449" i="6"/>
  <c r="AF449" i="6"/>
  <c r="AE449" i="6"/>
  <c r="AD449" i="6"/>
  <c r="AC449" i="6"/>
  <c r="AB449" i="6"/>
  <c r="AA449" i="6"/>
  <c r="Z449" i="6"/>
  <c r="Y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449" i="6"/>
  <c r="AH448" i="6"/>
  <c r="AG448" i="6"/>
  <c r="AF448" i="6"/>
  <c r="AE448" i="6"/>
  <c r="AD448" i="6"/>
  <c r="AC448" i="6"/>
  <c r="AB448" i="6"/>
  <c r="AA448" i="6"/>
  <c r="Z448" i="6"/>
  <c r="Y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448" i="6"/>
  <c r="AH447" i="6"/>
  <c r="AG447" i="6"/>
  <c r="AF447" i="6"/>
  <c r="AE447" i="6"/>
  <c r="AD447" i="6"/>
  <c r="AC447" i="6"/>
  <c r="AB447" i="6"/>
  <c r="AA447" i="6"/>
  <c r="Z447" i="6"/>
  <c r="Y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AH446" i="6"/>
  <c r="AG446" i="6"/>
  <c r="AF446" i="6"/>
  <c r="AE446" i="6"/>
  <c r="AD446" i="6"/>
  <c r="AC446" i="6"/>
  <c r="AB446" i="6"/>
  <c r="AA446" i="6"/>
  <c r="Z446" i="6"/>
  <c r="Y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446" i="6"/>
  <c r="AH445" i="6"/>
  <c r="AG445" i="6"/>
  <c r="AF445" i="6"/>
  <c r="AE445" i="6"/>
  <c r="AD445" i="6"/>
  <c r="AC445" i="6"/>
  <c r="AB445" i="6"/>
  <c r="AA445" i="6"/>
  <c r="Z445" i="6"/>
  <c r="Y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445" i="6"/>
  <c r="AH444" i="6"/>
  <c r="AG444" i="6"/>
  <c r="AF444" i="6"/>
  <c r="AE444" i="6"/>
  <c r="AD444" i="6"/>
  <c r="AC444" i="6"/>
  <c r="AB444" i="6"/>
  <c r="AA444" i="6"/>
  <c r="Z444" i="6"/>
  <c r="Y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444" i="6"/>
  <c r="AH443" i="6"/>
  <c r="AG443" i="6"/>
  <c r="AF443" i="6"/>
  <c r="AE443" i="6"/>
  <c r="AD443" i="6"/>
  <c r="AC443" i="6"/>
  <c r="AB443" i="6"/>
  <c r="AA443" i="6"/>
  <c r="Z443" i="6"/>
  <c r="Y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443" i="6"/>
  <c r="AH442" i="6"/>
  <c r="AG442" i="6"/>
  <c r="AF442" i="6"/>
  <c r="AE442" i="6"/>
  <c r="AD442" i="6"/>
  <c r="AC442" i="6"/>
  <c r="AB442" i="6"/>
  <c r="AA442" i="6"/>
  <c r="Z442" i="6"/>
  <c r="Y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442" i="6"/>
  <c r="AH441" i="6"/>
  <c r="AG441" i="6"/>
  <c r="AF441" i="6"/>
  <c r="AE441" i="6"/>
  <c r="AD441" i="6"/>
  <c r="AC441" i="6"/>
  <c r="AB441" i="6"/>
  <c r="AA441" i="6"/>
  <c r="Z441" i="6"/>
  <c r="Y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441" i="6"/>
  <c r="AH440" i="6"/>
  <c r="AG440" i="6"/>
  <c r="AF440" i="6"/>
  <c r="AE440" i="6"/>
  <c r="AD440" i="6"/>
  <c r="AC440" i="6"/>
  <c r="AB440" i="6"/>
  <c r="AA440" i="6"/>
  <c r="Z440" i="6"/>
  <c r="Y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440" i="6"/>
  <c r="AH439" i="6"/>
  <c r="AG439" i="6"/>
  <c r="AF439" i="6"/>
  <c r="AE439" i="6"/>
  <c r="AD439" i="6"/>
  <c r="AC439" i="6"/>
  <c r="AB439" i="6"/>
  <c r="AA439" i="6"/>
  <c r="Z439" i="6"/>
  <c r="Y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AH438" i="6"/>
  <c r="AG438" i="6"/>
  <c r="AF438" i="6"/>
  <c r="AE438" i="6"/>
  <c r="AD438" i="6"/>
  <c r="AC438" i="6"/>
  <c r="AB438" i="6"/>
  <c r="AA438" i="6"/>
  <c r="Z438" i="6"/>
  <c r="Y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438" i="6"/>
  <c r="AH437" i="6"/>
  <c r="AG437" i="6"/>
  <c r="AF437" i="6"/>
  <c r="AE437" i="6"/>
  <c r="AD437" i="6"/>
  <c r="AC437" i="6"/>
  <c r="AB437" i="6"/>
  <c r="AA437" i="6"/>
  <c r="Z437" i="6"/>
  <c r="Y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437" i="6"/>
  <c r="AH436" i="6"/>
  <c r="AG436" i="6"/>
  <c r="AF436" i="6"/>
  <c r="AE436" i="6"/>
  <c r="AD436" i="6"/>
  <c r="AC436" i="6"/>
  <c r="AB436" i="6"/>
  <c r="AA436" i="6"/>
  <c r="Z436" i="6"/>
  <c r="Y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AH435" i="6"/>
  <c r="AG435" i="6"/>
  <c r="AF435" i="6"/>
  <c r="AE435" i="6"/>
  <c r="AD435" i="6"/>
  <c r="AC435" i="6"/>
  <c r="AB435" i="6"/>
  <c r="AA435" i="6"/>
  <c r="Z435" i="6"/>
  <c r="Y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435" i="6"/>
  <c r="AH434" i="6"/>
  <c r="AG434" i="6"/>
  <c r="AF434" i="6"/>
  <c r="AE434" i="6"/>
  <c r="AD434" i="6"/>
  <c r="AC434" i="6"/>
  <c r="AB434" i="6"/>
  <c r="AA434" i="6"/>
  <c r="Z434" i="6"/>
  <c r="Y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B434" i="6"/>
  <c r="AH433" i="6"/>
  <c r="AG433" i="6"/>
  <c r="AF433" i="6"/>
  <c r="AE433" i="6"/>
  <c r="AD433" i="6"/>
  <c r="AC433" i="6"/>
  <c r="AB433" i="6"/>
  <c r="AA433" i="6"/>
  <c r="Z433" i="6"/>
  <c r="Y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433" i="6"/>
  <c r="AH432" i="6"/>
  <c r="AG432" i="6"/>
  <c r="AF432" i="6"/>
  <c r="AE432" i="6"/>
  <c r="AD432" i="6"/>
  <c r="AC432" i="6"/>
  <c r="AB432" i="6"/>
  <c r="AA432" i="6"/>
  <c r="Z432" i="6"/>
  <c r="Y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432" i="6"/>
  <c r="AH431" i="6"/>
  <c r="AG431" i="6"/>
  <c r="AF431" i="6"/>
  <c r="AE431" i="6"/>
  <c r="AD431" i="6"/>
  <c r="AC431" i="6"/>
  <c r="AB431" i="6"/>
  <c r="AA431" i="6"/>
  <c r="Z431" i="6"/>
  <c r="Y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431" i="6"/>
  <c r="AH430" i="6"/>
  <c r="AG430" i="6"/>
  <c r="AF430" i="6"/>
  <c r="AE430" i="6"/>
  <c r="AD430" i="6"/>
  <c r="AC430" i="6"/>
  <c r="AB430" i="6"/>
  <c r="AA430" i="6"/>
  <c r="Z430" i="6"/>
  <c r="Y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430" i="6"/>
  <c r="AH429" i="6"/>
  <c r="AG429" i="6"/>
  <c r="AF429" i="6"/>
  <c r="AE429" i="6"/>
  <c r="AD429" i="6"/>
  <c r="AC429" i="6"/>
  <c r="AB429" i="6"/>
  <c r="AA429" i="6"/>
  <c r="Z429" i="6"/>
  <c r="Y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429" i="6"/>
  <c r="AH428" i="6"/>
  <c r="AG428" i="6"/>
  <c r="AF428" i="6"/>
  <c r="AE428" i="6"/>
  <c r="AD428" i="6"/>
  <c r="AC428" i="6"/>
  <c r="AB428" i="6"/>
  <c r="AA428" i="6"/>
  <c r="Z428" i="6"/>
  <c r="Y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AH427" i="6"/>
  <c r="AG427" i="6"/>
  <c r="AF427" i="6"/>
  <c r="AE427" i="6"/>
  <c r="AD427" i="6"/>
  <c r="AC427" i="6"/>
  <c r="AB427" i="6"/>
  <c r="AA427" i="6"/>
  <c r="Z427" i="6"/>
  <c r="Y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427" i="6"/>
  <c r="AH426" i="6"/>
  <c r="AG426" i="6"/>
  <c r="AF426" i="6"/>
  <c r="AE426" i="6"/>
  <c r="AD426" i="6"/>
  <c r="AC426" i="6"/>
  <c r="AB426" i="6"/>
  <c r="AA426" i="6"/>
  <c r="Z426" i="6"/>
  <c r="Y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B426" i="6"/>
  <c r="AH425" i="6"/>
  <c r="AG425" i="6"/>
  <c r="AF425" i="6"/>
  <c r="AE425" i="6"/>
  <c r="AD425" i="6"/>
  <c r="AC425" i="6"/>
  <c r="AB425" i="6"/>
  <c r="AA425" i="6"/>
  <c r="Z425" i="6"/>
  <c r="Y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425" i="6"/>
  <c r="AH424" i="6"/>
  <c r="AG424" i="6"/>
  <c r="AF424" i="6"/>
  <c r="AE424" i="6"/>
  <c r="AD424" i="6"/>
  <c r="AC424" i="6"/>
  <c r="AB424" i="6"/>
  <c r="AA424" i="6"/>
  <c r="Z424" i="6"/>
  <c r="Y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424" i="6"/>
  <c r="AH423" i="6"/>
  <c r="AG423" i="6"/>
  <c r="AF423" i="6"/>
  <c r="AE423" i="6"/>
  <c r="AD423" i="6"/>
  <c r="AC423" i="6"/>
  <c r="AB423" i="6"/>
  <c r="AA423" i="6"/>
  <c r="Z423" i="6"/>
  <c r="Y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423" i="6"/>
  <c r="AH422" i="6"/>
  <c r="AG422" i="6"/>
  <c r="AF422" i="6"/>
  <c r="AE422" i="6"/>
  <c r="AD422" i="6"/>
  <c r="AC422" i="6"/>
  <c r="AB422" i="6"/>
  <c r="AA422" i="6"/>
  <c r="Z422" i="6"/>
  <c r="Y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422" i="6"/>
  <c r="AH421" i="6"/>
  <c r="AG421" i="6"/>
  <c r="AF421" i="6"/>
  <c r="AE421" i="6"/>
  <c r="AD421" i="6"/>
  <c r="AC421" i="6"/>
  <c r="AB421" i="6"/>
  <c r="AA421" i="6"/>
  <c r="Z421" i="6"/>
  <c r="Y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421" i="6"/>
  <c r="AH420" i="6"/>
  <c r="AG420" i="6"/>
  <c r="AF420" i="6"/>
  <c r="AE420" i="6"/>
  <c r="AD420" i="6"/>
  <c r="AC420" i="6"/>
  <c r="AB420" i="6"/>
  <c r="AA420" i="6"/>
  <c r="Z420" i="6"/>
  <c r="Y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420" i="6"/>
  <c r="AH419" i="6"/>
  <c r="AG419" i="6"/>
  <c r="AF419" i="6"/>
  <c r="AE419" i="6"/>
  <c r="AD419" i="6"/>
  <c r="AC419" i="6"/>
  <c r="AB419" i="6"/>
  <c r="AA419" i="6"/>
  <c r="Z419" i="6"/>
  <c r="Y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419" i="6"/>
  <c r="AH418" i="6"/>
  <c r="AG418" i="6"/>
  <c r="AF418" i="6"/>
  <c r="AE418" i="6"/>
  <c r="AD418" i="6"/>
  <c r="AC418" i="6"/>
  <c r="AB418" i="6"/>
  <c r="AA418" i="6"/>
  <c r="Z418" i="6"/>
  <c r="Y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418" i="6"/>
  <c r="AH417" i="6"/>
  <c r="AG417" i="6"/>
  <c r="AF417" i="6"/>
  <c r="AE417" i="6"/>
  <c r="AD417" i="6"/>
  <c r="AC417" i="6"/>
  <c r="AB417" i="6"/>
  <c r="AA417" i="6"/>
  <c r="Z417" i="6"/>
  <c r="Y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417" i="6"/>
  <c r="AH416" i="6"/>
  <c r="AG416" i="6"/>
  <c r="AF416" i="6"/>
  <c r="AE416" i="6"/>
  <c r="AD416" i="6"/>
  <c r="AC416" i="6"/>
  <c r="AB416" i="6"/>
  <c r="AA416" i="6"/>
  <c r="Z416" i="6"/>
  <c r="Y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416" i="6"/>
  <c r="AH415" i="6"/>
  <c r="AG415" i="6"/>
  <c r="AF415" i="6"/>
  <c r="AE415" i="6"/>
  <c r="AD415" i="6"/>
  <c r="AC415" i="6"/>
  <c r="AB415" i="6"/>
  <c r="AA415" i="6"/>
  <c r="Z415" i="6"/>
  <c r="Y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415" i="6"/>
  <c r="AH414" i="6"/>
  <c r="AG414" i="6"/>
  <c r="AF414" i="6"/>
  <c r="AE414" i="6"/>
  <c r="AD414" i="6"/>
  <c r="AC414" i="6"/>
  <c r="AB414" i="6"/>
  <c r="AA414" i="6"/>
  <c r="Z414" i="6"/>
  <c r="Y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414" i="6"/>
  <c r="AH413" i="6"/>
  <c r="AG413" i="6"/>
  <c r="AF413" i="6"/>
  <c r="AE413" i="6"/>
  <c r="AD413" i="6"/>
  <c r="AC413" i="6"/>
  <c r="AB413" i="6"/>
  <c r="AA413" i="6"/>
  <c r="Z413" i="6"/>
  <c r="Y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413" i="6"/>
  <c r="AH412" i="6"/>
  <c r="AG412" i="6"/>
  <c r="AF412" i="6"/>
  <c r="AE412" i="6"/>
  <c r="AD412" i="6"/>
  <c r="AC412" i="6"/>
  <c r="AB412" i="6"/>
  <c r="AA412" i="6"/>
  <c r="Z412" i="6"/>
  <c r="Y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412" i="6"/>
  <c r="AH411" i="6"/>
  <c r="AG411" i="6"/>
  <c r="AF411" i="6"/>
  <c r="AE411" i="6"/>
  <c r="AD411" i="6"/>
  <c r="AC411" i="6"/>
  <c r="AB411" i="6"/>
  <c r="AA411" i="6"/>
  <c r="Z411" i="6"/>
  <c r="Y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411" i="6"/>
  <c r="AH410" i="6"/>
  <c r="AG410" i="6"/>
  <c r="AF410" i="6"/>
  <c r="AE410" i="6"/>
  <c r="AD410" i="6"/>
  <c r="AC410" i="6"/>
  <c r="AB410" i="6"/>
  <c r="AA410" i="6"/>
  <c r="Z410" i="6"/>
  <c r="Y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410" i="6"/>
  <c r="AH409" i="6"/>
  <c r="AG409" i="6"/>
  <c r="AF409" i="6"/>
  <c r="AE409" i="6"/>
  <c r="AD409" i="6"/>
  <c r="AC409" i="6"/>
  <c r="AB409" i="6"/>
  <c r="AA409" i="6"/>
  <c r="Z409" i="6"/>
  <c r="Y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409" i="6"/>
  <c r="AH408" i="6"/>
  <c r="AG408" i="6"/>
  <c r="AF408" i="6"/>
  <c r="AE408" i="6"/>
  <c r="AD408" i="6"/>
  <c r="AC408" i="6"/>
  <c r="AB408" i="6"/>
  <c r="AA408" i="6"/>
  <c r="Z408" i="6"/>
  <c r="Y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408" i="6"/>
  <c r="AH407" i="6"/>
  <c r="AG407" i="6"/>
  <c r="AF407" i="6"/>
  <c r="AE407" i="6"/>
  <c r="AD407" i="6"/>
  <c r="AC407" i="6"/>
  <c r="AB407" i="6"/>
  <c r="AA407" i="6"/>
  <c r="Z407" i="6"/>
  <c r="Y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407" i="6"/>
  <c r="AH406" i="6"/>
  <c r="AG406" i="6"/>
  <c r="AF406" i="6"/>
  <c r="AE406" i="6"/>
  <c r="AD406" i="6"/>
  <c r="AC406" i="6"/>
  <c r="AB406" i="6"/>
  <c r="AA406" i="6"/>
  <c r="Z406" i="6"/>
  <c r="Y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406" i="6"/>
  <c r="AH405" i="6"/>
  <c r="AG405" i="6"/>
  <c r="AF405" i="6"/>
  <c r="AE405" i="6"/>
  <c r="AD405" i="6"/>
  <c r="AC405" i="6"/>
  <c r="AB405" i="6"/>
  <c r="AA405" i="6"/>
  <c r="Z405" i="6"/>
  <c r="Y405" i="6"/>
  <c r="X405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K405" i="6"/>
  <c r="J405" i="6"/>
  <c r="I405" i="6"/>
  <c r="H405" i="6"/>
  <c r="G405" i="6"/>
  <c r="F405" i="6"/>
  <c r="E405" i="6"/>
  <c r="D405" i="6"/>
  <c r="C405" i="6"/>
  <c r="B405" i="6"/>
  <c r="AH404" i="6"/>
  <c r="AG404" i="6"/>
  <c r="AF404" i="6"/>
  <c r="AE404" i="6"/>
  <c r="AD404" i="6"/>
  <c r="AC404" i="6"/>
  <c r="AB404" i="6"/>
  <c r="AA404" i="6"/>
  <c r="Z404" i="6"/>
  <c r="Y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404" i="6"/>
  <c r="AH403" i="6"/>
  <c r="AG403" i="6"/>
  <c r="AF403" i="6"/>
  <c r="AE403" i="6"/>
  <c r="AD403" i="6"/>
  <c r="AC403" i="6"/>
  <c r="AB403" i="6"/>
  <c r="AA403" i="6"/>
  <c r="Z403" i="6"/>
  <c r="Y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403" i="6"/>
  <c r="AH402" i="6"/>
  <c r="AG402" i="6"/>
  <c r="AF402" i="6"/>
  <c r="AE402" i="6"/>
  <c r="AD402" i="6"/>
  <c r="AC402" i="6"/>
  <c r="AB402" i="6"/>
  <c r="AA402" i="6"/>
  <c r="Z402" i="6"/>
  <c r="Y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402" i="6"/>
  <c r="AH401" i="6"/>
  <c r="AG401" i="6"/>
  <c r="AF401" i="6"/>
  <c r="AE401" i="6"/>
  <c r="AD401" i="6"/>
  <c r="AC401" i="6"/>
  <c r="AB401" i="6"/>
  <c r="AA401" i="6"/>
  <c r="Z401" i="6"/>
  <c r="Y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AH400" i="6"/>
  <c r="AG400" i="6"/>
  <c r="AF400" i="6"/>
  <c r="AE400" i="6"/>
  <c r="AD400" i="6"/>
  <c r="AC400" i="6"/>
  <c r="AB400" i="6"/>
  <c r="AA400" i="6"/>
  <c r="Z400" i="6"/>
  <c r="Y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400" i="6"/>
  <c r="AH399" i="6"/>
  <c r="AG399" i="6"/>
  <c r="AF399" i="6"/>
  <c r="AE399" i="6"/>
  <c r="AD399" i="6"/>
  <c r="AC399" i="6"/>
  <c r="AB399" i="6"/>
  <c r="AA399" i="6"/>
  <c r="Z399" i="6"/>
  <c r="Y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AH398" i="6"/>
  <c r="AG398" i="6"/>
  <c r="AF398" i="6"/>
  <c r="AE398" i="6"/>
  <c r="AD398" i="6"/>
  <c r="AC398" i="6"/>
  <c r="AB398" i="6"/>
  <c r="AA398" i="6"/>
  <c r="Z398" i="6"/>
  <c r="Y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398" i="6"/>
  <c r="AH397" i="6"/>
  <c r="AG397" i="6"/>
  <c r="AF397" i="6"/>
  <c r="AE397" i="6"/>
  <c r="AD397" i="6"/>
  <c r="AC397" i="6"/>
  <c r="AB397" i="6"/>
  <c r="AA397" i="6"/>
  <c r="Z397" i="6"/>
  <c r="Y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397" i="6"/>
  <c r="AH396" i="6"/>
  <c r="AG396" i="6"/>
  <c r="AF396" i="6"/>
  <c r="AE396" i="6"/>
  <c r="AD396" i="6"/>
  <c r="AC396" i="6"/>
  <c r="AB396" i="6"/>
  <c r="AA396" i="6"/>
  <c r="Z396" i="6"/>
  <c r="Y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396" i="6"/>
  <c r="AH395" i="6"/>
  <c r="AG395" i="6"/>
  <c r="AF395" i="6"/>
  <c r="AE395" i="6"/>
  <c r="AD395" i="6"/>
  <c r="AC395" i="6"/>
  <c r="AB395" i="6"/>
  <c r="AA395" i="6"/>
  <c r="Z395" i="6"/>
  <c r="Y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395" i="6"/>
  <c r="AH394" i="6"/>
  <c r="AG394" i="6"/>
  <c r="AF394" i="6"/>
  <c r="AE394" i="6"/>
  <c r="AD394" i="6"/>
  <c r="AC394" i="6"/>
  <c r="AB394" i="6"/>
  <c r="AA394" i="6"/>
  <c r="Z394" i="6"/>
  <c r="Y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394" i="6"/>
  <c r="AH393" i="6"/>
  <c r="AG393" i="6"/>
  <c r="AF393" i="6"/>
  <c r="AE393" i="6"/>
  <c r="AD393" i="6"/>
  <c r="AC393" i="6"/>
  <c r="AB393" i="6"/>
  <c r="AA393" i="6"/>
  <c r="Z393" i="6"/>
  <c r="Y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AH392" i="6"/>
  <c r="AG392" i="6"/>
  <c r="AF392" i="6"/>
  <c r="AE392" i="6"/>
  <c r="AD392" i="6"/>
  <c r="AC392" i="6"/>
  <c r="AB392" i="6"/>
  <c r="AA392" i="6"/>
  <c r="Z392" i="6"/>
  <c r="Y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392" i="6"/>
  <c r="AH391" i="6"/>
  <c r="AG391" i="6"/>
  <c r="AF391" i="6"/>
  <c r="AE391" i="6"/>
  <c r="AD391" i="6"/>
  <c r="AC391" i="6"/>
  <c r="AB391" i="6"/>
  <c r="AA391" i="6"/>
  <c r="Z391" i="6"/>
  <c r="Y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391" i="6"/>
  <c r="AH390" i="6"/>
  <c r="AG390" i="6"/>
  <c r="AF390" i="6"/>
  <c r="AE390" i="6"/>
  <c r="AD390" i="6"/>
  <c r="AC390" i="6"/>
  <c r="AB390" i="6"/>
  <c r="AA390" i="6"/>
  <c r="Z390" i="6"/>
  <c r="Y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390" i="6"/>
  <c r="AH389" i="6"/>
  <c r="AG389" i="6"/>
  <c r="AF389" i="6"/>
  <c r="AE389" i="6"/>
  <c r="AD389" i="6"/>
  <c r="AC389" i="6"/>
  <c r="AB389" i="6"/>
  <c r="AA389" i="6"/>
  <c r="Z389" i="6"/>
  <c r="Y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389" i="6"/>
  <c r="AH388" i="6"/>
  <c r="AG388" i="6"/>
  <c r="AF388" i="6"/>
  <c r="AE388" i="6"/>
  <c r="AD388" i="6"/>
  <c r="AC388" i="6"/>
  <c r="AB388" i="6"/>
  <c r="AA388" i="6"/>
  <c r="Z388" i="6"/>
  <c r="Y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AH387" i="6"/>
  <c r="AG387" i="6"/>
  <c r="AF387" i="6"/>
  <c r="AE387" i="6"/>
  <c r="AD387" i="6"/>
  <c r="AC387" i="6"/>
  <c r="AB387" i="6"/>
  <c r="AA387" i="6"/>
  <c r="Z387" i="6"/>
  <c r="Y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387" i="6"/>
  <c r="AH386" i="6"/>
  <c r="AG386" i="6"/>
  <c r="AF386" i="6"/>
  <c r="AE386" i="6"/>
  <c r="AD386" i="6"/>
  <c r="AC386" i="6"/>
  <c r="AB386" i="6"/>
  <c r="AA386" i="6"/>
  <c r="Z386" i="6"/>
  <c r="Y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AH385" i="6"/>
  <c r="AG385" i="6"/>
  <c r="AF385" i="6"/>
  <c r="AE385" i="6"/>
  <c r="AD385" i="6"/>
  <c r="AC385" i="6"/>
  <c r="AB385" i="6"/>
  <c r="AA385" i="6"/>
  <c r="Z385" i="6"/>
  <c r="Y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385" i="6"/>
  <c r="AH384" i="6"/>
  <c r="AG384" i="6"/>
  <c r="AF384" i="6"/>
  <c r="AE384" i="6"/>
  <c r="AD384" i="6"/>
  <c r="AC384" i="6"/>
  <c r="AB384" i="6"/>
  <c r="AA384" i="6"/>
  <c r="Z384" i="6"/>
  <c r="Y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384" i="6"/>
  <c r="AH383" i="6"/>
  <c r="AG383" i="6"/>
  <c r="AF383" i="6"/>
  <c r="AE383" i="6"/>
  <c r="AD383" i="6"/>
  <c r="AC383" i="6"/>
  <c r="AB383" i="6"/>
  <c r="AA383" i="6"/>
  <c r="Z383" i="6"/>
  <c r="Y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383" i="6"/>
  <c r="AH382" i="6"/>
  <c r="AG382" i="6"/>
  <c r="AF382" i="6"/>
  <c r="AE382" i="6"/>
  <c r="AD382" i="6"/>
  <c r="AC382" i="6"/>
  <c r="AB382" i="6"/>
  <c r="AA382" i="6"/>
  <c r="Z382" i="6"/>
  <c r="Y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AH381" i="6"/>
  <c r="AG381" i="6"/>
  <c r="AF381" i="6"/>
  <c r="AE381" i="6"/>
  <c r="AD381" i="6"/>
  <c r="AC381" i="6"/>
  <c r="AB381" i="6"/>
  <c r="AA381" i="6"/>
  <c r="Z381" i="6"/>
  <c r="Y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381" i="6"/>
  <c r="AH380" i="6"/>
  <c r="AG380" i="6"/>
  <c r="AF380" i="6"/>
  <c r="AE380" i="6"/>
  <c r="AD380" i="6"/>
  <c r="AC380" i="6"/>
  <c r="AB380" i="6"/>
  <c r="AA380" i="6"/>
  <c r="Z380" i="6"/>
  <c r="Y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380" i="6"/>
  <c r="AH379" i="6"/>
  <c r="AG379" i="6"/>
  <c r="AF379" i="6"/>
  <c r="AE379" i="6"/>
  <c r="AD379" i="6"/>
  <c r="AC379" i="6"/>
  <c r="AB379" i="6"/>
  <c r="AA379" i="6"/>
  <c r="Z379" i="6"/>
  <c r="Y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379" i="6"/>
  <c r="AH378" i="6"/>
  <c r="AG378" i="6"/>
  <c r="AF378" i="6"/>
  <c r="AE378" i="6"/>
  <c r="AD378" i="6"/>
  <c r="AC378" i="6"/>
  <c r="AB378" i="6"/>
  <c r="AA378" i="6"/>
  <c r="Z378" i="6"/>
  <c r="Y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378" i="6"/>
  <c r="AH377" i="6"/>
  <c r="AG377" i="6"/>
  <c r="AF377" i="6"/>
  <c r="AE377" i="6"/>
  <c r="AD377" i="6"/>
  <c r="AC377" i="6"/>
  <c r="AB377" i="6"/>
  <c r="AA377" i="6"/>
  <c r="Z377" i="6"/>
  <c r="Y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H376" i="6"/>
  <c r="AG376" i="6"/>
  <c r="AF376" i="6"/>
  <c r="AE376" i="6"/>
  <c r="AD376" i="6"/>
  <c r="AC376" i="6"/>
  <c r="AB376" i="6"/>
  <c r="AA376" i="6"/>
  <c r="Z376" i="6"/>
  <c r="Y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AH375" i="6"/>
  <c r="AG375" i="6"/>
  <c r="AF375" i="6"/>
  <c r="AE375" i="6"/>
  <c r="AD375" i="6"/>
  <c r="AC375" i="6"/>
  <c r="AB375" i="6"/>
  <c r="AA375" i="6"/>
  <c r="Z375" i="6"/>
  <c r="Y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AH374" i="6"/>
  <c r="AG374" i="6"/>
  <c r="AF374" i="6"/>
  <c r="AE374" i="6"/>
  <c r="AD374" i="6"/>
  <c r="AC374" i="6"/>
  <c r="AB374" i="6"/>
  <c r="AA374" i="6"/>
  <c r="Z374" i="6"/>
  <c r="Y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AH373" i="6"/>
  <c r="AG373" i="6"/>
  <c r="AF373" i="6"/>
  <c r="AE373" i="6"/>
  <c r="AD373" i="6"/>
  <c r="AC373" i="6"/>
  <c r="AB373" i="6"/>
  <c r="AA373" i="6"/>
  <c r="Z373" i="6"/>
  <c r="Y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AH372" i="6"/>
  <c r="AG372" i="6"/>
  <c r="AF372" i="6"/>
  <c r="AE372" i="6"/>
  <c r="AD372" i="6"/>
  <c r="AC372" i="6"/>
  <c r="AB372" i="6"/>
  <c r="AA372" i="6"/>
  <c r="Z372" i="6"/>
  <c r="Y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AH371" i="6"/>
  <c r="AG371" i="6"/>
  <c r="AF371" i="6"/>
  <c r="AE371" i="6"/>
  <c r="AD371" i="6"/>
  <c r="AC371" i="6"/>
  <c r="AB371" i="6"/>
  <c r="AA371" i="6"/>
  <c r="Z371" i="6"/>
  <c r="Y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AH370" i="6"/>
  <c r="AG370" i="6"/>
  <c r="AF370" i="6"/>
  <c r="AE370" i="6"/>
  <c r="AD370" i="6"/>
  <c r="AC370" i="6"/>
  <c r="AB370" i="6"/>
  <c r="AA370" i="6"/>
  <c r="Z370" i="6"/>
  <c r="Y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AH369" i="6"/>
  <c r="AG369" i="6"/>
  <c r="AF369" i="6"/>
  <c r="AE369" i="6"/>
  <c r="AD369" i="6"/>
  <c r="AC369" i="6"/>
  <c r="AB369" i="6"/>
  <c r="AA369" i="6"/>
  <c r="Z369" i="6"/>
  <c r="Y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AH368" i="6"/>
  <c r="AG368" i="6"/>
  <c r="AF368" i="6"/>
  <c r="AE368" i="6"/>
  <c r="AD368" i="6"/>
  <c r="AC368" i="6"/>
  <c r="AB368" i="6"/>
  <c r="AA368" i="6"/>
  <c r="Z368" i="6"/>
  <c r="Y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368" i="6"/>
  <c r="AH367" i="6"/>
  <c r="AG367" i="6"/>
  <c r="AF367" i="6"/>
  <c r="AE367" i="6"/>
  <c r="AD367" i="6"/>
  <c r="AC367" i="6"/>
  <c r="AB367" i="6"/>
  <c r="AA367" i="6"/>
  <c r="Z367" i="6"/>
  <c r="Y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AH366" i="6"/>
  <c r="AG366" i="6"/>
  <c r="AF366" i="6"/>
  <c r="AE366" i="6"/>
  <c r="AD366" i="6"/>
  <c r="AC366" i="6"/>
  <c r="AB366" i="6"/>
  <c r="AA366" i="6"/>
  <c r="Z366" i="6"/>
  <c r="Y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AH365" i="6"/>
  <c r="AG365" i="6"/>
  <c r="AF365" i="6"/>
  <c r="AE365" i="6"/>
  <c r="AD365" i="6"/>
  <c r="AC365" i="6"/>
  <c r="AB365" i="6"/>
  <c r="AA365" i="6"/>
  <c r="Z365" i="6"/>
  <c r="Y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AH364" i="6"/>
  <c r="AG364" i="6"/>
  <c r="AF364" i="6"/>
  <c r="AE364" i="6"/>
  <c r="AD364" i="6"/>
  <c r="AC364" i="6"/>
  <c r="AB364" i="6"/>
  <c r="AA364" i="6"/>
  <c r="Z364" i="6"/>
  <c r="Y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AH363" i="6"/>
  <c r="AG363" i="6"/>
  <c r="AF363" i="6"/>
  <c r="AE363" i="6"/>
  <c r="AD363" i="6"/>
  <c r="AC363" i="6"/>
  <c r="AB363" i="6"/>
  <c r="AA363" i="6"/>
  <c r="Z363" i="6"/>
  <c r="Y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AH362" i="6"/>
  <c r="AG362" i="6"/>
  <c r="AF362" i="6"/>
  <c r="AE362" i="6"/>
  <c r="AD362" i="6"/>
  <c r="AC362" i="6"/>
  <c r="AB362" i="6"/>
  <c r="AA362" i="6"/>
  <c r="Z362" i="6"/>
  <c r="Y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AH361" i="6"/>
  <c r="AG361" i="6"/>
  <c r="AF361" i="6"/>
  <c r="AE361" i="6"/>
  <c r="AD361" i="6"/>
  <c r="AC361" i="6"/>
  <c r="AB361" i="6"/>
  <c r="AA361" i="6"/>
  <c r="Z361" i="6"/>
  <c r="Y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AH360" i="6"/>
  <c r="AG360" i="6"/>
  <c r="AF360" i="6"/>
  <c r="AE360" i="6"/>
  <c r="AD360" i="6"/>
  <c r="AC360" i="6"/>
  <c r="AB360" i="6"/>
  <c r="AA360" i="6"/>
  <c r="Z360" i="6"/>
  <c r="Y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AH359" i="6"/>
  <c r="AG359" i="6"/>
  <c r="AF359" i="6"/>
  <c r="AE359" i="6"/>
  <c r="AD359" i="6"/>
  <c r="AC359" i="6"/>
  <c r="AB359" i="6"/>
  <c r="AA359" i="6"/>
  <c r="Z359" i="6"/>
  <c r="Y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H358" i="6"/>
  <c r="AG358" i="6"/>
  <c r="AF358" i="6"/>
  <c r="AE358" i="6"/>
  <c r="AD358" i="6"/>
  <c r="AC358" i="6"/>
  <c r="AB358" i="6"/>
  <c r="AA358" i="6"/>
  <c r="Z358" i="6"/>
  <c r="Y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H357" i="6"/>
  <c r="AG357" i="6"/>
  <c r="AF357" i="6"/>
  <c r="AE357" i="6"/>
  <c r="AD357" i="6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AH356" i="6"/>
  <c r="AG356" i="6"/>
  <c r="AF356" i="6"/>
  <c r="AE356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AH355" i="6"/>
  <c r="AG355" i="6"/>
  <c r="AF355" i="6"/>
  <c r="AE355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AH354" i="6"/>
  <c r="AG354" i="6"/>
  <c r="AF354" i="6"/>
  <c r="AE354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AH353" i="6"/>
  <c r="AG353" i="6"/>
  <c r="AF353" i="6"/>
  <c r="AE353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AH352" i="6"/>
  <c r="AG352" i="6"/>
  <c r="AF352" i="6"/>
  <c r="AE352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H351" i="6"/>
  <c r="AG351" i="6"/>
  <c r="AF351" i="6"/>
  <c r="AE351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AH350" i="6"/>
  <c r="AG350" i="6"/>
  <c r="AF350" i="6"/>
  <c r="AE350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AH349" i="6"/>
  <c r="AG349" i="6"/>
  <c r="AF349" i="6"/>
  <c r="AE349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AH348" i="6"/>
  <c r="AG348" i="6"/>
  <c r="AF348" i="6"/>
  <c r="AE348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AH347" i="6"/>
  <c r="AG347" i="6"/>
  <c r="AF347" i="6"/>
  <c r="AE347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AH346" i="6"/>
  <c r="AG346" i="6"/>
  <c r="AF346" i="6"/>
  <c r="AE346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AH345" i="6"/>
  <c r="AG345" i="6"/>
  <c r="AF345" i="6"/>
  <c r="AE345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AH344" i="6"/>
  <c r="AG344" i="6"/>
  <c r="AF344" i="6"/>
  <c r="AE344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AH343" i="6"/>
  <c r="AG343" i="6"/>
  <c r="AF343" i="6"/>
  <c r="AE343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H342" i="6"/>
  <c r="AG342" i="6"/>
  <c r="AF342" i="6"/>
  <c r="AE342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AH341" i="6"/>
  <c r="AG341" i="6"/>
  <c r="AF341" i="6"/>
  <c r="AE341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AH340" i="6"/>
  <c r="AG340" i="6"/>
  <c r="AF340" i="6"/>
  <c r="AE340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AH339" i="6"/>
  <c r="AG339" i="6"/>
  <c r="AF339" i="6"/>
  <c r="AE339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AH338" i="6"/>
  <c r="AG338" i="6"/>
  <c r="AF338" i="6"/>
  <c r="AE338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AH337" i="6"/>
  <c r="AG337" i="6"/>
  <c r="AF337" i="6"/>
  <c r="AE337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AH336" i="6"/>
  <c r="AG336" i="6"/>
  <c r="AF336" i="6"/>
  <c r="AE336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AH335" i="6"/>
  <c r="AG335" i="6"/>
  <c r="AF335" i="6"/>
  <c r="AE335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AH334" i="6"/>
  <c r="AG334" i="6"/>
  <c r="AF334" i="6"/>
  <c r="AE334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AH333" i="6"/>
  <c r="AG333" i="6"/>
  <c r="AF333" i="6"/>
  <c r="AE333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AH332" i="6"/>
  <c r="AG332" i="6"/>
  <c r="AF332" i="6"/>
  <c r="AE332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AH331" i="6"/>
  <c r="AG331" i="6"/>
  <c r="AF331" i="6"/>
  <c r="AE331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AH330" i="6"/>
  <c r="AG330" i="6"/>
  <c r="AF330" i="6"/>
  <c r="AE330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330" i="6"/>
  <c r="AH329" i="6"/>
  <c r="AG329" i="6"/>
  <c r="AF329" i="6"/>
  <c r="AE329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AH328" i="6"/>
  <c r="AG328" i="6"/>
  <c r="AF328" i="6"/>
  <c r="AE328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AH327" i="6"/>
  <c r="AG327" i="6"/>
  <c r="AF327" i="6"/>
  <c r="AE327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AH326" i="6"/>
  <c r="AG326" i="6"/>
  <c r="AF326" i="6"/>
  <c r="AE326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AH325" i="6"/>
  <c r="AG325" i="6"/>
  <c r="AF325" i="6"/>
  <c r="AE325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AH324" i="6"/>
  <c r="AG324" i="6"/>
  <c r="AF324" i="6"/>
  <c r="AE324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AH323" i="6"/>
  <c r="AG323" i="6"/>
  <c r="AF323" i="6"/>
  <c r="AE323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AH322" i="6"/>
  <c r="AG322" i="6"/>
  <c r="AF322" i="6"/>
  <c r="AE322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AH321" i="6"/>
  <c r="AG321" i="6"/>
  <c r="AF321" i="6"/>
  <c r="AE321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AH320" i="6"/>
  <c r="AG320" i="6"/>
  <c r="AF320" i="6"/>
  <c r="AE320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AH319" i="6"/>
  <c r="AG319" i="6"/>
  <c r="AF319" i="6"/>
  <c r="AE319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AH318" i="6"/>
  <c r="AG318" i="6"/>
  <c r="AF318" i="6"/>
  <c r="AE318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AH317" i="6"/>
  <c r="AG317" i="6"/>
  <c r="AF317" i="6"/>
  <c r="AE317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AH316" i="6"/>
  <c r="AG316" i="6"/>
  <c r="AF316" i="6"/>
  <c r="AE316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AH315" i="6"/>
  <c r="AG315" i="6"/>
  <c r="AF315" i="6"/>
  <c r="AE315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AH314" i="6"/>
  <c r="AG314" i="6"/>
  <c r="AF314" i="6"/>
  <c r="AE314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AH313" i="6"/>
  <c r="AG313" i="6"/>
  <c r="AF313" i="6"/>
  <c r="AE313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AH312" i="6"/>
  <c r="AG312" i="6"/>
  <c r="AF312" i="6"/>
  <c r="AE312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AH311" i="6"/>
  <c r="AG311" i="6"/>
  <c r="AF311" i="6"/>
  <c r="AE311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AH310" i="6"/>
  <c r="AG310" i="6"/>
  <c r="AF310" i="6"/>
  <c r="AE310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AH309" i="6"/>
  <c r="AG309" i="6"/>
  <c r="AF309" i="6"/>
  <c r="AE309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AH308" i="6"/>
  <c r="AG308" i="6"/>
  <c r="AF308" i="6"/>
  <c r="AE308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AH307" i="6"/>
  <c r="AG307" i="6"/>
  <c r="AF307" i="6"/>
  <c r="AE307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306" i="6"/>
  <c r="AH305" i="6"/>
  <c r="AG305" i="6"/>
  <c r="AF305" i="6"/>
  <c r="AE305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305" i="6"/>
  <c r="AH304" i="6"/>
  <c r="AG304" i="6"/>
  <c r="AF304" i="6"/>
  <c r="AE304" i="6"/>
  <c r="AD304" i="6"/>
  <c r="AC304" i="6"/>
  <c r="AB304" i="6"/>
  <c r="AA304" i="6"/>
  <c r="Z304" i="6"/>
  <c r="Y304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C304" i="6"/>
  <c r="B304" i="6"/>
  <c r="AH303" i="6"/>
  <c r="AG303" i="6"/>
  <c r="AF303" i="6"/>
  <c r="AE303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303" i="6"/>
  <c r="AH302" i="6"/>
  <c r="AG302" i="6"/>
  <c r="AF302" i="6"/>
  <c r="AE302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AH301" i="6"/>
  <c r="AG301" i="6"/>
  <c r="AF301" i="6"/>
  <c r="AE301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AH300" i="6"/>
  <c r="AG300" i="6"/>
  <c r="AF300" i="6"/>
  <c r="AE300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AH299" i="6"/>
  <c r="AG299" i="6"/>
  <c r="AF299" i="6"/>
  <c r="AE299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AH298" i="6"/>
  <c r="AG298" i="6"/>
  <c r="AF298" i="6"/>
  <c r="AE298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AH297" i="6"/>
  <c r="AG297" i="6"/>
  <c r="AF297" i="6"/>
  <c r="AE297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AH296" i="6"/>
  <c r="AG296" i="6"/>
  <c r="AF296" i="6"/>
  <c r="AE296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H295" i="6"/>
  <c r="AG295" i="6"/>
  <c r="AF295" i="6"/>
  <c r="AE295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H294" i="6"/>
  <c r="AG294" i="6"/>
  <c r="AF294" i="6"/>
  <c r="AE294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H293" i="6"/>
  <c r="AG293" i="6"/>
  <c r="AF293" i="6"/>
  <c r="AE293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H292" i="6"/>
  <c r="AG292" i="6"/>
  <c r="AF292" i="6"/>
  <c r="AE292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H291" i="6"/>
  <c r="AG291" i="6"/>
  <c r="AF291" i="6"/>
  <c r="AE291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H290" i="6"/>
  <c r="AG290" i="6"/>
  <c r="AF290" i="6"/>
  <c r="AE290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H289" i="6"/>
  <c r="AG289" i="6"/>
  <c r="AF289" i="6"/>
  <c r="AE289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H288" i="6"/>
  <c r="AG288" i="6"/>
  <c r="AF288" i="6"/>
  <c r="AE288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H287" i="6"/>
  <c r="AG287" i="6"/>
  <c r="AF287" i="6"/>
  <c r="AE287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H286" i="6"/>
  <c r="AG286" i="6"/>
  <c r="AF286" i="6"/>
  <c r="AE286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H285" i="6"/>
  <c r="AG285" i="6"/>
  <c r="AF285" i="6"/>
  <c r="AE285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H284" i="6"/>
  <c r="AG284" i="6"/>
  <c r="AF284" i="6"/>
  <c r="AE284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H271" i="6"/>
  <c r="AG271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H208" i="6"/>
  <c r="AG208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H203" i="6"/>
  <c r="AG203" i="6"/>
  <c r="AF203" i="6"/>
  <c r="AE203" i="6"/>
  <c r="AD203" i="6"/>
  <c r="AC203" i="6"/>
  <c r="AB203" i="6"/>
  <c r="AA203" i="6"/>
  <c r="Z203" i="6"/>
  <c r="Y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542" i="3"/>
  <c r="J542" i="3"/>
  <c r="J542" i="10" s="1"/>
  <c r="A541" i="3"/>
  <c r="J541" i="3"/>
  <c r="J541" i="10" s="1"/>
  <c r="A540" i="3"/>
  <c r="J540" i="3"/>
  <c r="J540" i="10" s="1"/>
  <c r="A539" i="3"/>
  <c r="J539" i="3"/>
  <c r="J539" i="10" s="1"/>
  <c r="A538" i="3"/>
  <c r="J538" i="3"/>
  <c r="J538" i="10" s="1"/>
  <c r="A537" i="3"/>
  <c r="J537" i="3"/>
  <c r="J537" i="10" s="1"/>
  <c r="A536" i="3"/>
  <c r="J536" i="3"/>
  <c r="J536" i="10" s="1"/>
  <c r="A535" i="3"/>
  <c r="J535" i="3"/>
  <c r="J535" i="10" s="1"/>
  <c r="A534" i="3"/>
  <c r="J534" i="3"/>
  <c r="J534" i="10" s="1"/>
  <c r="A533" i="3"/>
  <c r="J533" i="3"/>
  <c r="J533" i="10" s="1"/>
  <c r="A532" i="3"/>
  <c r="J532" i="3"/>
  <c r="J532" i="10" s="1"/>
  <c r="A531" i="3"/>
  <c r="J531" i="3"/>
  <c r="J531" i="10" s="1"/>
  <c r="A530" i="3"/>
  <c r="J530" i="3"/>
  <c r="J530" i="10" s="1"/>
  <c r="A529" i="3"/>
  <c r="J529" i="3"/>
  <c r="J529" i="10" s="1"/>
  <c r="A528" i="3"/>
  <c r="J528" i="3"/>
  <c r="J528" i="10" s="1"/>
  <c r="A527" i="3"/>
  <c r="J527" i="3"/>
  <c r="J527" i="10" s="1"/>
  <c r="A526" i="3"/>
  <c r="J526" i="3"/>
  <c r="J526" i="10" s="1"/>
  <c r="A525" i="3"/>
  <c r="J525" i="3"/>
  <c r="J525" i="10" s="1"/>
  <c r="A524" i="3"/>
  <c r="J524" i="3"/>
  <c r="J524" i="10" s="1"/>
  <c r="A523" i="3"/>
  <c r="J523" i="3"/>
  <c r="J523" i="10" s="1"/>
  <c r="A522" i="3"/>
  <c r="J522" i="3"/>
  <c r="J522" i="10" s="1"/>
  <c r="A521" i="3"/>
  <c r="J521" i="3"/>
  <c r="J521" i="10" s="1"/>
  <c r="A520" i="3"/>
  <c r="J520" i="3"/>
  <c r="J520" i="10" s="1"/>
  <c r="A519" i="3"/>
  <c r="J519" i="3"/>
  <c r="J519" i="10" s="1"/>
  <c r="A518" i="3"/>
  <c r="J518" i="3"/>
  <c r="J518" i="10" s="1"/>
  <c r="A517" i="3"/>
  <c r="J517" i="3"/>
  <c r="J517" i="10" s="1"/>
  <c r="A516" i="3"/>
  <c r="J516" i="3"/>
  <c r="J516" i="10" s="1"/>
  <c r="A515" i="3"/>
  <c r="J515" i="3"/>
  <c r="J515" i="10" s="1"/>
  <c r="A514" i="3"/>
  <c r="J514" i="3"/>
  <c r="J514" i="10" s="1"/>
  <c r="A513" i="3"/>
  <c r="J513" i="3"/>
  <c r="J513" i="10" s="1"/>
  <c r="A512" i="3"/>
  <c r="J512" i="3"/>
  <c r="J512" i="10" s="1"/>
  <c r="A511" i="3"/>
  <c r="J511" i="3"/>
  <c r="J511" i="10" s="1"/>
  <c r="A510" i="3"/>
  <c r="J510" i="3"/>
  <c r="J510" i="10" s="1"/>
  <c r="A509" i="3"/>
  <c r="J509" i="3"/>
  <c r="J509" i="10" s="1"/>
  <c r="A508" i="3"/>
  <c r="J508" i="3"/>
  <c r="J508" i="10" s="1"/>
  <c r="A507" i="3"/>
  <c r="J507" i="3"/>
  <c r="J507" i="10" s="1"/>
  <c r="A506" i="3"/>
  <c r="J506" i="3"/>
  <c r="J506" i="10" s="1"/>
  <c r="A505" i="3"/>
  <c r="J505" i="3"/>
  <c r="J505" i="10" s="1"/>
  <c r="A504" i="3"/>
  <c r="J504" i="3"/>
  <c r="J504" i="10" s="1"/>
  <c r="A503" i="3"/>
  <c r="J503" i="3"/>
  <c r="J503" i="10" s="1"/>
  <c r="A502" i="3"/>
  <c r="J502" i="3"/>
  <c r="J502" i="10" s="1"/>
  <c r="A501" i="3"/>
  <c r="J501" i="3"/>
  <c r="J501" i="10" s="1"/>
  <c r="A500" i="3"/>
  <c r="J500" i="3"/>
  <c r="J500" i="10" s="1"/>
  <c r="A499" i="3"/>
  <c r="J499" i="3"/>
  <c r="J499" i="10" s="1"/>
  <c r="A498" i="3"/>
  <c r="J498" i="3"/>
  <c r="J498" i="10" s="1"/>
  <c r="A497" i="3"/>
  <c r="J497" i="3"/>
  <c r="J497" i="10" s="1"/>
  <c r="A496" i="3"/>
  <c r="J496" i="3"/>
  <c r="J496" i="10" s="1"/>
  <c r="A495" i="3"/>
  <c r="J495" i="3"/>
  <c r="J495" i="10" s="1"/>
  <c r="A494" i="3"/>
  <c r="J494" i="3"/>
  <c r="J494" i="10" s="1"/>
  <c r="A493" i="3"/>
  <c r="J493" i="3"/>
  <c r="J493" i="10" s="1"/>
  <c r="A492" i="3"/>
  <c r="J492" i="3"/>
  <c r="J492" i="10" s="1"/>
  <c r="A491" i="3"/>
  <c r="J491" i="3"/>
  <c r="J491" i="10" s="1"/>
  <c r="A490" i="3"/>
  <c r="J490" i="3"/>
  <c r="J490" i="10" s="1"/>
  <c r="A489" i="3"/>
  <c r="J489" i="3"/>
  <c r="J489" i="10" s="1"/>
  <c r="A488" i="3"/>
  <c r="J488" i="3"/>
  <c r="J488" i="10" s="1"/>
  <c r="A487" i="3"/>
  <c r="J487" i="3"/>
  <c r="J487" i="10" s="1"/>
  <c r="A486" i="3"/>
  <c r="J486" i="3"/>
  <c r="J486" i="10" s="1"/>
  <c r="A485" i="3"/>
  <c r="J485" i="3"/>
  <c r="J485" i="10" s="1"/>
  <c r="A484" i="3"/>
  <c r="J484" i="3"/>
  <c r="J484" i="10" s="1"/>
  <c r="A483" i="3"/>
  <c r="J483" i="3"/>
  <c r="J483" i="10" s="1"/>
  <c r="A482" i="3"/>
  <c r="J482" i="3"/>
  <c r="J482" i="10" s="1"/>
  <c r="A481" i="3"/>
  <c r="J481" i="3"/>
  <c r="J481" i="10" s="1"/>
  <c r="A480" i="3"/>
  <c r="J480" i="3"/>
  <c r="J480" i="10" s="1"/>
  <c r="A479" i="3"/>
  <c r="J479" i="3"/>
  <c r="J479" i="10" s="1"/>
  <c r="A478" i="3"/>
  <c r="J478" i="3"/>
  <c r="J478" i="10" s="1"/>
  <c r="A477" i="3"/>
  <c r="J477" i="3"/>
  <c r="J477" i="10" s="1"/>
  <c r="A476" i="3"/>
  <c r="J476" i="3"/>
  <c r="J476" i="10" s="1"/>
  <c r="A475" i="3"/>
  <c r="J475" i="3"/>
  <c r="J475" i="10" s="1"/>
  <c r="A474" i="3"/>
  <c r="J474" i="3"/>
  <c r="J474" i="10" s="1"/>
  <c r="A473" i="3"/>
  <c r="J473" i="3"/>
  <c r="J473" i="10" s="1"/>
  <c r="A472" i="3"/>
  <c r="J472" i="3"/>
  <c r="J472" i="10" s="1"/>
  <c r="A471" i="3"/>
  <c r="J471" i="3"/>
  <c r="J471" i="10" s="1"/>
  <c r="A470" i="3"/>
  <c r="J470" i="3"/>
  <c r="J470" i="10" s="1"/>
  <c r="A469" i="3"/>
  <c r="J469" i="3"/>
  <c r="J469" i="10" s="1"/>
  <c r="A468" i="3"/>
  <c r="J468" i="3"/>
  <c r="J468" i="10" s="1"/>
  <c r="A467" i="3"/>
  <c r="J467" i="3"/>
  <c r="J467" i="10" s="1"/>
  <c r="A466" i="3"/>
  <c r="J466" i="3"/>
  <c r="J466" i="10" s="1"/>
  <c r="A465" i="3"/>
  <c r="J465" i="3"/>
  <c r="J465" i="10" s="1"/>
  <c r="A464" i="3"/>
  <c r="J464" i="3"/>
  <c r="J464" i="10" s="1"/>
  <c r="A463" i="3"/>
  <c r="J463" i="3"/>
  <c r="J463" i="10" s="1"/>
  <c r="A462" i="3"/>
  <c r="J462" i="3"/>
  <c r="J462" i="10" s="1"/>
  <c r="A461" i="3"/>
  <c r="J461" i="3"/>
  <c r="J461" i="10" s="1"/>
  <c r="A460" i="3"/>
  <c r="J460" i="3"/>
  <c r="J460" i="10" s="1"/>
  <c r="A459" i="3"/>
  <c r="J459" i="3"/>
  <c r="J459" i="10" s="1"/>
  <c r="A458" i="3"/>
  <c r="J458" i="3"/>
  <c r="J458" i="10" s="1"/>
  <c r="A457" i="3"/>
  <c r="J457" i="3"/>
  <c r="J457" i="10" s="1"/>
  <c r="A456" i="3"/>
  <c r="J456" i="3"/>
  <c r="J456" i="10" s="1"/>
  <c r="A455" i="3"/>
  <c r="J455" i="3"/>
  <c r="J455" i="10" s="1"/>
  <c r="A454" i="3"/>
  <c r="J454" i="3"/>
  <c r="J454" i="10" s="1"/>
  <c r="A453" i="3"/>
  <c r="J453" i="3"/>
  <c r="J453" i="10" s="1"/>
  <c r="A452" i="3"/>
  <c r="J452" i="3"/>
  <c r="J452" i="10" s="1"/>
  <c r="A451" i="3"/>
  <c r="J451" i="3"/>
  <c r="J451" i="10" s="1"/>
  <c r="A450" i="3"/>
  <c r="J450" i="3"/>
  <c r="J450" i="10" s="1"/>
  <c r="A449" i="3"/>
  <c r="J449" i="3"/>
  <c r="J449" i="10" s="1"/>
  <c r="A448" i="3"/>
  <c r="J448" i="3"/>
  <c r="J448" i="10" s="1"/>
  <c r="A447" i="3"/>
  <c r="J447" i="3"/>
  <c r="J447" i="10" s="1"/>
  <c r="A446" i="3"/>
  <c r="J446" i="3"/>
  <c r="J446" i="10" s="1"/>
  <c r="A445" i="3"/>
  <c r="J445" i="3"/>
  <c r="J445" i="10" s="1"/>
  <c r="A444" i="3"/>
  <c r="J444" i="3"/>
  <c r="J444" i="10" s="1"/>
  <c r="A443" i="3"/>
  <c r="J443" i="3"/>
  <c r="J443" i="10" s="1"/>
  <c r="A442" i="3"/>
  <c r="J442" i="3"/>
  <c r="J442" i="10" s="1"/>
  <c r="A441" i="3"/>
  <c r="J441" i="3"/>
  <c r="J441" i="10" s="1"/>
  <c r="A440" i="3"/>
  <c r="J440" i="3"/>
  <c r="J440" i="10" s="1"/>
  <c r="A439" i="3"/>
  <c r="J439" i="3"/>
  <c r="J439" i="10" s="1"/>
  <c r="A438" i="3"/>
  <c r="J438" i="3"/>
  <c r="J438" i="10" s="1"/>
  <c r="A437" i="3"/>
  <c r="J437" i="3"/>
  <c r="J437" i="10" s="1"/>
  <c r="A436" i="3"/>
  <c r="J436" i="3"/>
  <c r="J436" i="10" s="1"/>
  <c r="A435" i="3"/>
  <c r="J435" i="3"/>
  <c r="J435" i="10" s="1"/>
  <c r="A434" i="3"/>
  <c r="J434" i="3"/>
  <c r="J434" i="10" s="1"/>
  <c r="A433" i="3"/>
  <c r="J433" i="3"/>
  <c r="J433" i="10" s="1"/>
  <c r="A432" i="3"/>
  <c r="J432" i="3"/>
  <c r="J432" i="10" s="1"/>
  <c r="A431" i="3"/>
  <c r="J431" i="3"/>
  <c r="J431" i="10" s="1"/>
  <c r="A430" i="3"/>
  <c r="J430" i="3"/>
  <c r="J430" i="10" s="1"/>
  <c r="A429" i="3"/>
  <c r="J429" i="3"/>
  <c r="J429" i="10" s="1"/>
  <c r="A428" i="3"/>
  <c r="J428" i="3"/>
  <c r="J428" i="10" s="1"/>
  <c r="A427" i="3"/>
  <c r="J427" i="3"/>
  <c r="J427" i="10" s="1"/>
  <c r="A426" i="3"/>
  <c r="J426" i="3"/>
  <c r="J426" i="10" s="1"/>
  <c r="A425" i="3"/>
  <c r="J425" i="3"/>
  <c r="J425" i="10" s="1"/>
  <c r="A424" i="3"/>
  <c r="J424" i="3"/>
  <c r="J424" i="10" s="1"/>
  <c r="A423" i="3"/>
  <c r="J423" i="3"/>
  <c r="J423" i="10" s="1"/>
  <c r="A422" i="3"/>
  <c r="J422" i="3"/>
  <c r="J422" i="10" s="1"/>
  <c r="A421" i="3"/>
  <c r="J421" i="3"/>
  <c r="J421" i="10" s="1"/>
  <c r="A420" i="3"/>
  <c r="J420" i="3"/>
  <c r="J420" i="10" s="1"/>
  <c r="A419" i="3"/>
  <c r="J419" i="3"/>
  <c r="J419" i="10" s="1"/>
  <c r="A418" i="3"/>
  <c r="J418" i="3"/>
  <c r="J418" i="10" s="1"/>
  <c r="A417" i="3"/>
  <c r="J417" i="3"/>
  <c r="J417" i="10" s="1"/>
  <c r="A416" i="3"/>
  <c r="J416" i="3"/>
  <c r="J416" i="10" s="1"/>
  <c r="A415" i="3"/>
  <c r="J415" i="3"/>
  <c r="J415" i="10" s="1"/>
  <c r="A414" i="3"/>
  <c r="J414" i="3"/>
  <c r="J414" i="10" s="1"/>
  <c r="A413" i="3"/>
  <c r="J413" i="3"/>
  <c r="J413" i="10" s="1"/>
  <c r="A412" i="3"/>
  <c r="J412" i="3"/>
  <c r="J412" i="10" s="1"/>
  <c r="A411" i="3"/>
  <c r="J411" i="3"/>
  <c r="J411" i="10" s="1"/>
  <c r="A410" i="3"/>
  <c r="J410" i="3"/>
  <c r="J410" i="10" s="1"/>
  <c r="A409" i="3"/>
  <c r="J409" i="3"/>
  <c r="J409" i="10" s="1"/>
  <c r="A408" i="3"/>
  <c r="J408" i="3"/>
  <c r="J408" i="10" s="1"/>
  <c r="A407" i="3"/>
  <c r="J407" i="3"/>
  <c r="J407" i="10" s="1"/>
  <c r="A406" i="3"/>
  <c r="J406" i="3"/>
  <c r="J406" i="10" s="1"/>
  <c r="A405" i="3"/>
  <c r="J405" i="3"/>
  <c r="J405" i="10" s="1"/>
  <c r="A404" i="3"/>
  <c r="J404" i="3"/>
  <c r="J404" i="10" s="1"/>
  <c r="A403" i="3"/>
  <c r="J403" i="3"/>
  <c r="J403" i="10" s="1"/>
  <c r="A402" i="3"/>
  <c r="J402" i="3"/>
  <c r="J402" i="10" s="1"/>
  <c r="A401" i="3"/>
  <c r="J401" i="3"/>
  <c r="J401" i="10" s="1"/>
  <c r="A400" i="3"/>
  <c r="J400" i="3"/>
  <c r="J400" i="10" s="1"/>
  <c r="A399" i="3"/>
  <c r="J399" i="3"/>
  <c r="J399" i="10" s="1"/>
  <c r="A398" i="3"/>
  <c r="J398" i="3"/>
  <c r="J398" i="10" s="1"/>
  <c r="A397" i="3"/>
  <c r="J397" i="3"/>
  <c r="J397" i="10" s="1"/>
  <c r="A396" i="3"/>
  <c r="J396" i="3"/>
  <c r="J396" i="10" s="1"/>
  <c r="A395" i="3"/>
  <c r="J395" i="3"/>
  <c r="J395" i="10" s="1"/>
  <c r="A394" i="3"/>
  <c r="J394" i="3"/>
  <c r="J394" i="10" s="1"/>
  <c r="A393" i="3"/>
  <c r="J393" i="3"/>
  <c r="J393" i="10" s="1"/>
  <c r="A392" i="3"/>
  <c r="J392" i="3"/>
  <c r="J392" i="10" s="1"/>
  <c r="A391" i="3"/>
  <c r="J391" i="3"/>
  <c r="J391" i="10" s="1"/>
  <c r="A390" i="3"/>
  <c r="J390" i="3"/>
  <c r="J390" i="10" s="1"/>
  <c r="A389" i="3"/>
  <c r="J389" i="3"/>
  <c r="J389" i="10" s="1"/>
  <c r="A388" i="3"/>
  <c r="J388" i="3"/>
  <c r="J388" i="10" s="1"/>
  <c r="A387" i="3"/>
  <c r="J387" i="3"/>
  <c r="J387" i="10" s="1"/>
  <c r="A386" i="3"/>
  <c r="J386" i="3"/>
  <c r="J386" i="10" s="1"/>
  <c r="A385" i="3"/>
  <c r="J385" i="3"/>
  <c r="J385" i="10" s="1"/>
  <c r="A384" i="3"/>
  <c r="J384" i="3"/>
  <c r="J384" i="10" s="1"/>
  <c r="A383" i="3"/>
  <c r="J383" i="3"/>
  <c r="J383" i="10" s="1"/>
  <c r="A382" i="3"/>
  <c r="J382" i="3"/>
  <c r="J382" i="10" s="1"/>
  <c r="A381" i="3"/>
  <c r="J381" i="3"/>
  <c r="J381" i="10" s="1"/>
  <c r="A380" i="3"/>
  <c r="J380" i="3"/>
  <c r="J380" i="10" s="1"/>
  <c r="A379" i="3"/>
  <c r="J379" i="3"/>
  <c r="J379" i="10" s="1"/>
  <c r="A378" i="3"/>
  <c r="J378" i="3"/>
  <c r="J378" i="10" s="1"/>
  <c r="A377" i="3"/>
  <c r="J377" i="3"/>
  <c r="J377" i="10" s="1"/>
  <c r="A376" i="3"/>
  <c r="J376" i="3"/>
  <c r="J376" i="10" s="1"/>
  <c r="A375" i="3"/>
  <c r="J375" i="3"/>
  <c r="J375" i="10" s="1"/>
  <c r="A374" i="3"/>
  <c r="J374" i="3"/>
  <c r="J374" i="10" s="1"/>
  <c r="A373" i="3"/>
  <c r="J373" i="3"/>
  <c r="J373" i="10" s="1"/>
  <c r="A372" i="3"/>
  <c r="J372" i="3"/>
  <c r="J372" i="10" s="1"/>
  <c r="A371" i="3"/>
  <c r="J371" i="3"/>
  <c r="J371" i="10" s="1"/>
  <c r="A370" i="3"/>
  <c r="J370" i="3"/>
  <c r="J370" i="10" s="1"/>
  <c r="A369" i="3"/>
  <c r="J369" i="3"/>
  <c r="J369" i="10" s="1"/>
  <c r="A368" i="3"/>
  <c r="J368" i="3"/>
  <c r="J368" i="10" s="1"/>
  <c r="A367" i="3"/>
  <c r="J367" i="3"/>
  <c r="J367" i="10" s="1"/>
  <c r="A366" i="3"/>
  <c r="J366" i="3"/>
  <c r="J366" i="10" s="1"/>
  <c r="A365" i="3"/>
  <c r="J365" i="3"/>
  <c r="J365" i="10" s="1"/>
  <c r="A364" i="3"/>
  <c r="J364" i="3"/>
  <c r="J364" i="10" s="1"/>
  <c r="A363" i="3"/>
  <c r="J363" i="3"/>
  <c r="J363" i="10" s="1"/>
  <c r="A362" i="3"/>
  <c r="J362" i="3"/>
  <c r="J362" i="10" s="1"/>
  <c r="A361" i="3"/>
  <c r="J361" i="3"/>
  <c r="J361" i="10" s="1"/>
  <c r="A360" i="3"/>
  <c r="J360" i="3"/>
  <c r="J360" i="10" s="1"/>
  <c r="A359" i="3"/>
  <c r="J359" i="3"/>
  <c r="J359" i="10" s="1"/>
  <c r="A358" i="3"/>
  <c r="J358" i="3"/>
  <c r="J358" i="10" s="1"/>
  <c r="A357" i="3"/>
  <c r="J357" i="3"/>
  <c r="J357" i="10" s="1"/>
  <c r="A356" i="3"/>
  <c r="J356" i="3"/>
  <c r="J356" i="10" s="1"/>
  <c r="A355" i="3"/>
  <c r="J355" i="3"/>
  <c r="J355" i="10" s="1"/>
  <c r="A354" i="3"/>
  <c r="J354" i="3"/>
  <c r="J354" i="10" s="1"/>
  <c r="A353" i="3"/>
  <c r="J353" i="3"/>
  <c r="J353" i="10" s="1"/>
  <c r="A352" i="3"/>
  <c r="J352" i="3"/>
  <c r="J352" i="10" s="1"/>
  <c r="A351" i="3"/>
  <c r="J351" i="3"/>
  <c r="J351" i="10" s="1"/>
  <c r="A350" i="3"/>
  <c r="J350" i="3"/>
  <c r="J350" i="10" s="1"/>
  <c r="A349" i="3"/>
  <c r="J349" i="3"/>
  <c r="J349" i="10" s="1"/>
  <c r="A348" i="3"/>
  <c r="J348" i="3"/>
  <c r="J348" i="10" s="1"/>
  <c r="A347" i="3"/>
  <c r="J347" i="3"/>
  <c r="J347" i="10" s="1"/>
  <c r="A346" i="3"/>
  <c r="J346" i="3"/>
  <c r="J346" i="10" s="1"/>
  <c r="A345" i="3"/>
  <c r="J345" i="3"/>
  <c r="J345" i="10" s="1"/>
  <c r="A344" i="3"/>
  <c r="J344" i="3"/>
  <c r="J344" i="10" s="1"/>
  <c r="A343" i="3"/>
  <c r="J343" i="3"/>
  <c r="J343" i="10" s="1"/>
  <c r="A342" i="3"/>
  <c r="J342" i="3"/>
  <c r="J342" i="10" s="1"/>
  <c r="A341" i="3"/>
  <c r="J341" i="3"/>
  <c r="J341" i="10" s="1"/>
  <c r="A340" i="3"/>
  <c r="J340" i="3"/>
  <c r="J340" i="10" s="1"/>
  <c r="A339" i="3"/>
  <c r="J339" i="3"/>
  <c r="J339" i="10" s="1"/>
  <c r="A338" i="3"/>
  <c r="J338" i="3"/>
  <c r="J338" i="10" s="1"/>
  <c r="A337" i="3"/>
  <c r="J337" i="3"/>
  <c r="J337" i="10" s="1"/>
  <c r="A336" i="3"/>
  <c r="J336" i="3"/>
  <c r="J336" i="10" s="1"/>
  <c r="A335" i="3"/>
  <c r="J335" i="3"/>
  <c r="J335" i="10" s="1"/>
  <c r="A334" i="3"/>
  <c r="J334" i="3"/>
  <c r="J334" i="10" s="1"/>
  <c r="A333" i="3"/>
  <c r="J333" i="3"/>
  <c r="J333" i="10" s="1"/>
  <c r="A332" i="3"/>
  <c r="J332" i="3"/>
  <c r="J332" i="10" s="1"/>
  <c r="A331" i="3"/>
  <c r="J331" i="3"/>
  <c r="J331" i="10" s="1"/>
  <c r="A330" i="3"/>
  <c r="J330" i="3"/>
  <c r="J330" i="10" s="1"/>
  <c r="A329" i="3"/>
  <c r="J329" i="3"/>
  <c r="J329" i="10" s="1"/>
  <c r="A328" i="3"/>
  <c r="J328" i="3"/>
  <c r="J328" i="10" s="1"/>
  <c r="A327" i="3"/>
  <c r="J327" i="3"/>
  <c r="J327" i="10" s="1"/>
  <c r="A326" i="3"/>
  <c r="J326" i="3"/>
  <c r="J326" i="10" s="1"/>
  <c r="A325" i="3"/>
  <c r="J325" i="3"/>
  <c r="J325" i="10" s="1"/>
  <c r="A324" i="3"/>
  <c r="J324" i="3"/>
  <c r="J324" i="10" s="1"/>
  <c r="A323" i="3"/>
  <c r="J323" i="3"/>
  <c r="J323" i="10" s="1"/>
  <c r="A322" i="3"/>
  <c r="J322" i="3"/>
  <c r="J322" i="10" s="1"/>
  <c r="A321" i="3"/>
  <c r="J321" i="3"/>
  <c r="J321" i="10" s="1"/>
  <c r="A320" i="3"/>
  <c r="J320" i="3"/>
  <c r="J320" i="10" s="1"/>
  <c r="A319" i="3"/>
  <c r="J319" i="3"/>
  <c r="J319" i="10" s="1"/>
  <c r="A318" i="3"/>
  <c r="J318" i="3"/>
  <c r="J318" i="10" s="1"/>
  <c r="A317" i="3"/>
  <c r="J317" i="3"/>
  <c r="J317" i="10" s="1"/>
  <c r="A316" i="3"/>
  <c r="J316" i="3"/>
  <c r="J316" i="10" s="1"/>
  <c r="A315" i="3"/>
  <c r="J315" i="3"/>
  <c r="J315" i="10" s="1"/>
  <c r="A314" i="3"/>
  <c r="J314" i="3"/>
  <c r="J314" i="10" s="1"/>
  <c r="A313" i="3"/>
  <c r="J313" i="3"/>
  <c r="J313" i="10" s="1"/>
  <c r="A312" i="3"/>
  <c r="J312" i="3"/>
  <c r="J312" i="10" s="1"/>
  <c r="A311" i="3"/>
  <c r="J311" i="3"/>
  <c r="J311" i="10" s="1"/>
  <c r="A310" i="3"/>
  <c r="J310" i="3"/>
  <c r="J310" i="10" s="1"/>
  <c r="A309" i="3"/>
  <c r="J309" i="3"/>
  <c r="J309" i="10" s="1"/>
  <c r="A308" i="3"/>
  <c r="J308" i="3"/>
  <c r="J308" i="10" s="1"/>
  <c r="A307" i="3"/>
  <c r="J307" i="3"/>
  <c r="J307" i="10" s="1"/>
  <c r="A306" i="3"/>
  <c r="J306" i="3"/>
  <c r="J306" i="10" s="1"/>
  <c r="A305" i="3"/>
  <c r="J305" i="3"/>
  <c r="J305" i="10" s="1"/>
  <c r="A304" i="3"/>
  <c r="J304" i="3"/>
  <c r="J304" i="10" s="1"/>
  <c r="A303" i="3"/>
  <c r="J303" i="3"/>
  <c r="J303" i="10" s="1"/>
  <c r="A302" i="3"/>
  <c r="J302" i="3"/>
  <c r="J302" i="10" s="1"/>
  <c r="A301" i="3"/>
  <c r="J301" i="3"/>
  <c r="J301" i="10" s="1"/>
  <c r="A300" i="3"/>
  <c r="J300" i="3"/>
  <c r="J300" i="10" s="1"/>
  <c r="A299" i="3"/>
  <c r="J299" i="3"/>
  <c r="J299" i="10" s="1"/>
  <c r="A298" i="3"/>
  <c r="J298" i="3"/>
  <c r="J298" i="10" s="1"/>
  <c r="A297" i="3"/>
  <c r="J297" i="3"/>
  <c r="J297" i="10" s="1"/>
  <c r="A296" i="3"/>
  <c r="J296" i="3"/>
  <c r="J296" i="10" s="1"/>
  <c r="A295" i="3"/>
  <c r="J295" i="3"/>
  <c r="J295" i="10" s="1"/>
  <c r="A294" i="3"/>
  <c r="J294" i="3"/>
  <c r="J294" i="10" s="1"/>
  <c r="A293" i="3"/>
  <c r="J293" i="3"/>
  <c r="J293" i="10" s="1"/>
  <c r="A292" i="3"/>
  <c r="J292" i="3"/>
  <c r="J292" i="10" s="1"/>
  <c r="A291" i="3"/>
  <c r="J291" i="3"/>
  <c r="J291" i="10" s="1"/>
  <c r="A290" i="3"/>
  <c r="J290" i="3"/>
  <c r="J290" i="10" s="1"/>
  <c r="A289" i="3"/>
  <c r="J289" i="3"/>
  <c r="J289" i="10" s="1"/>
  <c r="A288" i="3"/>
  <c r="J288" i="3"/>
  <c r="J288" i="10" s="1"/>
  <c r="A287" i="3"/>
  <c r="J287" i="3"/>
  <c r="J287" i="10" s="1"/>
  <c r="A286" i="3"/>
  <c r="J286" i="3"/>
  <c r="J286" i="10" s="1"/>
  <c r="A285" i="3"/>
  <c r="J285" i="3"/>
  <c r="J285" i="10" s="1"/>
  <c r="A284" i="3"/>
  <c r="J284" i="3"/>
  <c r="J284" i="10" s="1"/>
  <c r="A283" i="3"/>
  <c r="J283" i="3"/>
  <c r="J283" i="10" s="1"/>
  <c r="A282" i="3"/>
  <c r="J282" i="3"/>
  <c r="J282" i="10" s="1"/>
  <c r="A281" i="3"/>
  <c r="J281" i="3"/>
  <c r="J281" i="10" s="1"/>
  <c r="A280" i="3"/>
  <c r="J280" i="3"/>
  <c r="J280" i="10" s="1"/>
  <c r="A279" i="3"/>
  <c r="J279" i="3"/>
  <c r="J279" i="10" s="1"/>
  <c r="A278" i="3"/>
  <c r="J278" i="3"/>
  <c r="J278" i="10" s="1"/>
  <c r="A277" i="3"/>
  <c r="J277" i="3"/>
  <c r="J277" i="10" s="1"/>
  <c r="A276" i="3"/>
  <c r="J276" i="3"/>
  <c r="J276" i="10" s="1"/>
  <c r="A275" i="3"/>
  <c r="J275" i="3"/>
  <c r="J275" i="10" s="1"/>
  <c r="A274" i="3"/>
  <c r="J274" i="3"/>
  <c r="J274" i="10" s="1"/>
  <c r="A273" i="3"/>
  <c r="J273" i="3"/>
  <c r="J273" i="10" s="1"/>
  <c r="A272" i="3"/>
  <c r="J272" i="3"/>
  <c r="J272" i="10" s="1"/>
  <c r="A271" i="3"/>
  <c r="J271" i="3"/>
  <c r="J271" i="10" s="1"/>
  <c r="A270" i="3"/>
  <c r="J270" i="3"/>
  <c r="J270" i="10" s="1"/>
  <c r="A269" i="3"/>
  <c r="J269" i="3"/>
  <c r="J269" i="10" s="1"/>
  <c r="A268" i="3"/>
  <c r="J268" i="3"/>
  <c r="J268" i="10" s="1"/>
  <c r="A267" i="3"/>
  <c r="J267" i="3"/>
  <c r="J267" i="10" s="1"/>
  <c r="A266" i="3"/>
  <c r="J266" i="3"/>
  <c r="J266" i="10" s="1"/>
  <c r="A265" i="3"/>
  <c r="J265" i="3"/>
  <c r="J265" i="10" s="1"/>
  <c r="A264" i="3"/>
  <c r="J264" i="3"/>
  <c r="J264" i="10" s="1"/>
  <c r="A263" i="3"/>
  <c r="J263" i="3"/>
  <c r="J263" i="10" s="1"/>
  <c r="A262" i="3"/>
  <c r="J262" i="3"/>
  <c r="J262" i="10" s="1"/>
  <c r="A261" i="3"/>
  <c r="J261" i="3"/>
  <c r="J261" i="10" s="1"/>
  <c r="A260" i="3"/>
  <c r="J260" i="3"/>
  <c r="J260" i="10" s="1"/>
  <c r="A259" i="3"/>
  <c r="J259" i="3"/>
  <c r="J259" i="10" s="1"/>
  <c r="A258" i="3"/>
  <c r="J258" i="3"/>
  <c r="J258" i="10" s="1"/>
  <c r="A257" i="3"/>
  <c r="J257" i="3"/>
  <c r="J257" i="10" s="1"/>
  <c r="A256" i="3"/>
  <c r="J256" i="3"/>
  <c r="J256" i="10" s="1"/>
  <c r="A255" i="3"/>
  <c r="J255" i="3"/>
  <c r="J255" i="10" s="1"/>
  <c r="A254" i="3"/>
  <c r="J254" i="3"/>
  <c r="J254" i="10" s="1"/>
  <c r="A253" i="3"/>
  <c r="J253" i="3"/>
  <c r="J253" i="10" s="1"/>
  <c r="A252" i="3"/>
  <c r="J252" i="3"/>
  <c r="J252" i="10" s="1"/>
  <c r="A251" i="3"/>
  <c r="J251" i="3"/>
  <c r="J251" i="10" s="1"/>
  <c r="A250" i="3"/>
  <c r="J250" i="3"/>
  <c r="J250" i="10" s="1"/>
  <c r="A249" i="3"/>
  <c r="J249" i="3"/>
  <c r="J249" i="10" s="1"/>
  <c r="A248" i="3"/>
  <c r="J248" i="3"/>
  <c r="J248" i="10" s="1"/>
  <c r="A247" i="3"/>
  <c r="J247" i="3"/>
  <c r="J247" i="10" s="1"/>
  <c r="A246" i="3"/>
  <c r="J246" i="3"/>
  <c r="J246" i="10" s="1"/>
  <c r="A245" i="3"/>
  <c r="J245" i="3"/>
  <c r="J245" i="10" s="1"/>
  <c r="A244" i="3"/>
  <c r="J244" i="3"/>
  <c r="J244" i="10" s="1"/>
  <c r="A243" i="3"/>
  <c r="J243" i="3"/>
  <c r="J243" i="10" s="1"/>
  <c r="A242" i="3"/>
  <c r="J242" i="3"/>
  <c r="J242" i="10" s="1"/>
  <c r="A241" i="3"/>
  <c r="J241" i="3"/>
  <c r="J241" i="10" s="1"/>
  <c r="A240" i="3"/>
  <c r="J240" i="3"/>
  <c r="J240" i="10" s="1"/>
  <c r="A239" i="3"/>
  <c r="J239" i="3"/>
  <c r="J239" i="10" s="1"/>
  <c r="A238" i="3"/>
  <c r="J238" i="3"/>
  <c r="J238" i="10" s="1"/>
  <c r="A237" i="3"/>
  <c r="J237" i="3"/>
  <c r="J237" i="10" s="1"/>
  <c r="A236" i="3"/>
  <c r="J236" i="3"/>
  <c r="J236" i="10" s="1"/>
  <c r="A235" i="3"/>
  <c r="J235" i="3"/>
  <c r="J235" i="10" s="1"/>
  <c r="A234" i="3"/>
  <c r="J234" i="3"/>
  <c r="J234" i="10" s="1"/>
  <c r="A233" i="3"/>
  <c r="J233" i="3"/>
  <c r="J233" i="10" s="1"/>
  <c r="A232" i="3"/>
  <c r="J232" i="3"/>
  <c r="J232" i="10" s="1"/>
  <c r="A231" i="3"/>
  <c r="J231" i="3"/>
  <c r="J231" i="10" s="1"/>
  <c r="A230" i="3"/>
  <c r="J230" i="3"/>
  <c r="J230" i="10" s="1"/>
  <c r="A229" i="3"/>
  <c r="J229" i="3"/>
  <c r="J229" i="10" s="1"/>
  <c r="A228" i="3"/>
  <c r="J228" i="3"/>
  <c r="J228" i="10" s="1"/>
  <c r="A227" i="3"/>
  <c r="J227" i="3"/>
  <c r="J227" i="10" s="1"/>
  <c r="A226" i="3"/>
  <c r="J226" i="3"/>
  <c r="J226" i="10" s="1"/>
  <c r="A225" i="3"/>
  <c r="J225" i="3"/>
  <c r="J225" i="10" s="1"/>
  <c r="A224" i="3"/>
  <c r="J224" i="3"/>
  <c r="J224" i="10" s="1"/>
  <c r="A223" i="3"/>
  <c r="J223" i="3"/>
  <c r="J223" i="10" s="1"/>
  <c r="A222" i="3"/>
  <c r="J222" i="3"/>
  <c r="J222" i="10" s="1"/>
  <c r="A221" i="3"/>
  <c r="J221" i="3"/>
  <c r="J221" i="10" s="1"/>
  <c r="A220" i="3"/>
  <c r="J220" i="3"/>
  <c r="J220" i="10" s="1"/>
  <c r="A219" i="3"/>
  <c r="J219" i="3"/>
  <c r="J219" i="10" s="1"/>
  <c r="A218" i="3"/>
  <c r="J218" i="3"/>
  <c r="J218" i="10" s="1"/>
  <c r="A217" i="3"/>
  <c r="J217" i="3"/>
  <c r="J217" i="10" s="1"/>
  <c r="A216" i="3"/>
  <c r="J216" i="3"/>
  <c r="J216" i="10" s="1"/>
  <c r="A215" i="3"/>
  <c r="J215" i="3"/>
  <c r="J215" i="10" s="1"/>
  <c r="A214" i="3"/>
  <c r="J214" i="3"/>
  <c r="J214" i="10" s="1"/>
  <c r="A213" i="3"/>
  <c r="J213" i="3"/>
  <c r="J213" i="10" s="1"/>
  <c r="A212" i="3"/>
  <c r="J212" i="3"/>
  <c r="J212" i="10" s="1"/>
  <c r="A211" i="3"/>
  <c r="J211" i="3"/>
  <c r="J211" i="10" s="1"/>
  <c r="A210" i="3"/>
  <c r="J210" i="3"/>
  <c r="J210" i="10" s="1"/>
  <c r="A209" i="3"/>
  <c r="J209" i="3"/>
  <c r="J209" i="10" s="1"/>
  <c r="A208" i="3"/>
  <c r="J208" i="3"/>
  <c r="J208" i="10" s="1"/>
  <c r="A207" i="3"/>
  <c r="J207" i="3"/>
  <c r="J207" i="10" s="1"/>
  <c r="A206" i="3"/>
  <c r="J206" i="3"/>
  <c r="J206" i="10" s="1"/>
  <c r="A205" i="3"/>
  <c r="J205" i="3"/>
  <c r="J205" i="10" s="1"/>
  <c r="A204" i="3"/>
  <c r="J204" i="3"/>
  <c r="J204" i="10" s="1"/>
  <c r="A203" i="3"/>
  <c r="J203" i="3"/>
  <c r="J203" i="10" s="1"/>
  <c r="A202" i="3"/>
  <c r="J202" i="3"/>
  <c r="J202" i="10" s="1"/>
  <c r="A201" i="3"/>
  <c r="J201" i="3"/>
  <c r="J201" i="10" s="1"/>
  <c r="A200" i="3"/>
  <c r="J200" i="3"/>
  <c r="J200" i="10" s="1"/>
  <c r="A199" i="3"/>
  <c r="J199" i="3"/>
  <c r="J199" i="10" s="1"/>
  <c r="A198" i="3"/>
  <c r="J198" i="3"/>
  <c r="J198" i="10" s="1"/>
  <c r="A197" i="3"/>
  <c r="J197" i="3"/>
  <c r="J197" i="10" s="1"/>
  <c r="A196" i="3"/>
  <c r="J196" i="3"/>
  <c r="J196" i="10" s="1"/>
  <c r="A195" i="3"/>
  <c r="J195" i="3"/>
  <c r="J195" i="10" s="1"/>
  <c r="A194" i="3"/>
  <c r="J194" i="3"/>
  <c r="J194" i="10" s="1"/>
  <c r="A193" i="3"/>
  <c r="J193" i="3"/>
  <c r="J193" i="10" s="1"/>
  <c r="A192" i="3"/>
  <c r="J192" i="3"/>
  <c r="J192" i="10" s="1"/>
  <c r="A191" i="3"/>
  <c r="J191" i="3"/>
  <c r="J191" i="10" s="1"/>
  <c r="A190" i="3"/>
  <c r="J190" i="3"/>
  <c r="J190" i="10" s="1"/>
  <c r="A189" i="3"/>
  <c r="J189" i="3"/>
  <c r="J189" i="10" s="1"/>
  <c r="A188" i="3"/>
  <c r="J188" i="3"/>
  <c r="J188" i="10" s="1"/>
  <c r="A187" i="3"/>
  <c r="J187" i="3"/>
  <c r="J187" i="10" s="1"/>
  <c r="A186" i="3"/>
  <c r="J186" i="3"/>
  <c r="J186" i="10" s="1"/>
  <c r="A185" i="3"/>
  <c r="J185" i="3"/>
  <c r="J185" i="10" s="1"/>
  <c r="A184" i="3"/>
  <c r="J184" i="3"/>
  <c r="J184" i="10" s="1"/>
  <c r="A183" i="3"/>
  <c r="J183" i="3"/>
  <c r="J183" i="10" s="1"/>
  <c r="A182" i="3"/>
  <c r="J182" i="3"/>
  <c r="J182" i="10" s="1"/>
  <c r="A181" i="3"/>
  <c r="J181" i="3"/>
  <c r="J181" i="10" s="1"/>
  <c r="A180" i="3"/>
  <c r="J180" i="3"/>
  <c r="J180" i="10" s="1"/>
  <c r="A179" i="3"/>
  <c r="J179" i="3"/>
  <c r="J179" i="10" s="1"/>
  <c r="A178" i="3"/>
  <c r="J178" i="3"/>
  <c r="J178" i="10" s="1"/>
  <c r="A177" i="3"/>
  <c r="J177" i="3"/>
  <c r="J177" i="10" s="1"/>
  <c r="A176" i="3"/>
  <c r="J176" i="3"/>
  <c r="J176" i="10" s="1"/>
  <c r="A175" i="3"/>
  <c r="J175" i="3"/>
  <c r="J175" i="10" s="1"/>
  <c r="A174" i="3"/>
  <c r="J174" i="3"/>
  <c r="J174" i="10" s="1"/>
  <c r="A173" i="3"/>
  <c r="J173" i="3"/>
  <c r="J173" i="10" s="1"/>
  <c r="A172" i="3"/>
  <c r="J172" i="3"/>
  <c r="J172" i="10" s="1"/>
  <c r="A171" i="3"/>
  <c r="J171" i="3"/>
  <c r="J171" i="10" s="1"/>
  <c r="A170" i="3"/>
  <c r="J170" i="3"/>
  <c r="J170" i="10" s="1"/>
  <c r="A169" i="3"/>
  <c r="J169" i="3"/>
  <c r="J169" i="10" s="1"/>
  <c r="A168" i="3"/>
  <c r="J168" i="3"/>
  <c r="J168" i="10" s="1"/>
  <c r="A167" i="3"/>
  <c r="J167" i="3"/>
  <c r="J167" i="10" s="1"/>
  <c r="A166" i="3"/>
  <c r="J166" i="3"/>
  <c r="J166" i="10" s="1"/>
  <c r="A165" i="3"/>
  <c r="J165" i="3"/>
  <c r="J165" i="10" s="1"/>
  <c r="A164" i="3"/>
  <c r="J164" i="3"/>
  <c r="J164" i="10" s="1"/>
  <c r="A163" i="3"/>
  <c r="J163" i="3"/>
  <c r="J163" i="10" s="1"/>
  <c r="A162" i="3"/>
  <c r="J162" i="3"/>
  <c r="J162" i="10" s="1"/>
  <c r="A161" i="3"/>
  <c r="J161" i="3"/>
  <c r="J161" i="10" s="1"/>
  <c r="A160" i="3"/>
  <c r="J160" i="3"/>
  <c r="J160" i="10" s="1"/>
  <c r="A159" i="3"/>
  <c r="J159" i="3"/>
  <c r="J159" i="10" s="1"/>
  <c r="A158" i="3"/>
  <c r="J158" i="3"/>
  <c r="J158" i="10" s="1"/>
  <c r="A157" i="3"/>
  <c r="J157" i="3"/>
  <c r="J157" i="10" s="1"/>
  <c r="A156" i="3"/>
  <c r="J156" i="3"/>
  <c r="J156" i="10" s="1"/>
  <c r="A155" i="3"/>
  <c r="J155" i="3"/>
  <c r="J155" i="10" s="1"/>
  <c r="A154" i="3"/>
  <c r="J154" i="3"/>
  <c r="J154" i="10" s="1"/>
  <c r="A153" i="3"/>
  <c r="J153" i="3"/>
  <c r="J153" i="10" s="1"/>
  <c r="A152" i="3"/>
  <c r="J152" i="3"/>
  <c r="J152" i="10" s="1"/>
  <c r="A151" i="3"/>
  <c r="J151" i="3"/>
  <c r="J151" i="10" s="1"/>
  <c r="A150" i="3"/>
  <c r="J150" i="3"/>
  <c r="J150" i="10" s="1"/>
  <c r="A149" i="3"/>
  <c r="J149" i="3"/>
  <c r="J149" i="10" s="1"/>
  <c r="A148" i="3"/>
  <c r="J148" i="3"/>
  <c r="J148" i="10" s="1"/>
  <c r="A147" i="3"/>
  <c r="J147" i="3"/>
  <c r="J147" i="10" s="1"/>
  <c r="A146" i="3"/>
  <c r="J146" i="3"/>
  <c r="J146" i="10" s="1"/>
  <c r="A145" i="3"/>
  <c r="J145" i="3"/>
  <c r="J145" i="10" s="1"/>
  <c r="A144" i="3"/>
  <c r="J144" i="3"/>
  <c r="J144" i="10" s="1"/>
  <c r="A143" i="3"/>
  <c r="J143" i="3"/>
  <c r="J143" i="10" s="1"/>
  <c r="A142" i="3"/>
  <c r="J142" i="3"/>
  <c r="J142" i="10" s="1"/>
  <c r="A141" i="3"/>
  <c r="J141" i="3"/>
  <c r="J141" i="10" s="1"/>
  <c r="A140" i="3"/>
  <c r="J140" i="3"/>
  <c r="J140" i="10" s="1"/>
  <c r="A139" i="3"/>
  <c r="J139" i="3"/>
  <c r="J139" i="10" s="1"/>
  <c r="A138" i="3"/>
  <c r="J138" i="3"/>
  <c r="J138" i="10" s="1"/>
  <c r="A137" i="3"/>
  <c r="J137" i="3"/>
  <c r="J137" i="10" s="1"/>
  <c r="A136" i="3"/>
  <c r="J136" i="3"/>
  <c r="J136" i="10" s="1"/>
  <c r="A135" i="3"/>
  <c r="J135" i="3"/>
  <c r="J135" i="10" s="1"/>
  <c r="A134" i="3"/>
  <c r="J134" i="3"/>
  <c r="J134" i="10" s="1"/>
  <c r="A133" i="3"/>
  <c r="J133" i="3"/>
  <c r="J133" i="10" s="1"/>
  <c r="A132" i="3"/>
  <c r="J132" i="3"/>
  <c r="J132" i="10" s="1"/>
  <c r="A131" i="3"/>
  <c r="J131" i="3"/>
  <c r="J131" i="10" s="1"/>
  <c r="A130" i="3"/>
  <c r="J130" i="3"/>
  <c r="J130" i="10" s="1"/>
  <c r="A129" i="3"/>
  <c r="J129" i="3"/>
  <c r="J129" i="10" s="1"/>
  <c r="A128" i="3"/>
  <c r="J128" i="3"/>
  <c r="J128" i="10" s="1"/>
  <c r="A127" i="3"/>
  <c r="J127" i="3"/>
  <c r="J127" i="10" s="1"/>
  <c r="A126" i="3"/>
  <c r="J126" i="3"/>
  <c r="J126" i="10" s="1"/>
  <c r="A125" i="3"/>
  <c r="J125" i="3"/>
  <c r="J125" i="10" s="1"/>
  <c r="A124" i="3"/>
  <c r="J124" i="3"/>
  <c r="J124" i="10" s="1"/>
  <c r="A123" i="3"/>
  <c r="J123" i="3"/>
  <c r="J123" i="10" s="1"/>
  <c r="A122" i="3"/>
  <c r="J122" i="3"/>
  <c r="J122" i="10" s="1"/>
  <c r="A121" i="3"/>
  <c r="J121" i="3"/>
  <c r="J121" i="10" s="1"/>
  <c r="A120" i="3"/>
  <c r="J120" i="3"/>
  <c r="J120" i="10" s="1"/>
  <c r="A119" i="3"/>
  <c r="J119" i="3"/>
  <c r="J119" i="10" s="1"/>
  <c r="A118" i="3"/>
  <c r="J118" i="3"/>
  <c r="J118" i="10" s="1"/>
  <c r="A117" i="3"/>
  <c r="J117" i="3"/>
  <c r="J117" i="10" s="1"/>
  <c r="A116" i="3"/>
  <c r="J116" i="3"/>
  <c r="J116" i="10" s="1"/>
  <c r="A115" i="3"/>
  <c r="J115" i="3"/>
  <c r="J115" i="10" s="1"/>
  <c r="A114" i="3"/>
  <c r="J114" i="3"/>
  <c r="J114" i="10" s="1"/>
  <c r="A113" i="3"/>
  <c r="J113" i="3"/>
  <c r="J113" i="10" s="1"/>
  <c r="A112" i="3"/>
  <c r="J112" i="3"/>
  <c r="J112" i="10" s="1"/>
  <c r="A111" i="3"/>
  <c r="J111" i="3"/>
  <c r="J111" i="10" s="1"/>
  <c r="A110" i="3"/>
  <c r="J110" i="3"/>
  <c r="J110" i="10" s="1"/>
  <c r="A109" i="3"/>
  <c r="J109" i="3"/>
  <c r="J109" i="10" s="1"/>
  <c r="A108" i="3"/>
  <c r="J108" i="3"/>
  <c r="J108" i="10" s="1"/>
  <c r="A107" i="3"/>
  <c r="J107" i="3"/>
  <c r="J107" i="10" s="1"/>
  <c r="A106" i="3"/>
  <c r="J106" i="3"/>
  <c r="J106" i="10" s="1"/>
  <c r="A105" i="3"/>
  <c r="J105" i="3"/>
  <c r="J105" i="10" s="1"/>
  <c r="A104" i="3"/>
  <c r="J104" i="3"/>
  <c r="J104" i="10" s="1"/>
  <c r="A103" i="3"/>
  <c r="J103" i="3"/>
  <c r="J103" i="10" s="1"/>
  <c r="A102" i="3"/>
  <c r="J102" i="3"/>
  <c r="J102" i="10" s="1"/>
  <c r="A101" i="3"/>
  <c r="J101" i="3"/>
  <c r="J101" i="10" s="1"/>
  <c r="A100" i="3"/>
  <c r="J100" i="3"/>
  <c r="J100" i="10" s="1"/>
  <c r="A99" i="3"/>
  <c r="J99" i="3"/>
  <c r="J99" i="10" s="1"/>
  <c r="A98" i="3"/>
  <c r="J98" i="3"/>
  <c r="J98" i="10" s="1"/>
  <c r="A97" i="3"/>
  <c r="J97" i="3"/>
  <c r="J97" i="10" s="1"/>
  <c r="A96" i="3"/>
  <c r="J96" i="3"/>
  <c r="J96" i="10" s="1"/>
  <c r="A95" i="3"/>
  <c r="J95" i="3"/>
  <c r="J95" i="10" s="1"/>
  <c r="A94" i="3"/>
  <c r="J94" i="3"/>
  <c r="J94" i="10" s="1"/>
  <c r="A93" i="3"/>
  <c r="J93" i="3"/>
  <c r="J93" i="10" s="1"/>
  <c r="A92" i="3"/>
  <c r="J92" i="3"/>
  <c r="J92" i="10" s="1"/>
  <c r="A91" i="3"/>
  <c r="J91" i="3"/>
  <c r="J91" i="10" s="1"/>
  <c r="A90" i="3"/>
  <c r="J90" i="3"/>
  <c r="J90" i="10" s="1"/>
  <c r="A89" i="3"/>
  <c r="J89" i="3"/>
  <c r="J89" i="10" s="1"/>
  <c r="A88" i="3"/>
  <c r="J88" i="3"/>
  <c r="J88" i="10" s="1"/>
  <c r="A87" i="3"/>
  <c r="J87" i="3"/>
  <c r="J87" i="10" s="1"/>
  <c r="A86" i="3"/>
  <c r="J86" i="3"/>
  <c r="J86" i="10" s="1"/>
  <c r="A85" i="3"/>
  <c r="J85" i="3"/>
  <c r="J85" i="10" s="1"/>
  <c r="A84" i="3"/>
  <c r="J84" i="3"/>
  <c r="J84" i="10" s="1"/>
  <c r="A83" i="3"/>
  <c r="J83" i="3"/>
  <c r="J83" i="10" s="1"/>
  <c r="A82" i="3"/>
  <c r="J82" i="3"/>
  <c r="J82" i="10" s="1"/>
  <c r="A81" i="3"/>
  <c r="J81" i="3"/>
  <c r="J81" i="10" s="1"/>
  <c r="A80" i="3"/>
  <c r="J80" i="3"/>
  <c r="J80" i="10" s="1"/>
  <c r="A79" i="3"/>
  <c r="J79" i="3"/>
  <c r="J79" i="10" s="1"/>
  <c r="A78" i="3"/>
  <c r="J78" i="3"/>
  <c r="J78" i="10" s="1"/>
  <c r="A77" i="3"/>
  <c r="J77" i="3"/>
  <c r="J77" i="10" s="1"/>
  <c r="A76" i="3"/>
  <c r="J76" i="3"/>
  <c r="J76" i="10" s="1"/>
  <c r="A75" i="3"/>
  <c r="J75" i="3"/>
  <c r="J75" i="10" s="1"/>
  <c r="A74" i="3"/>
  <c r="J74" i="3"/>
  <c r="J74" i="10" s="1"/>
  <c r="A73" i="3"/>
  <c r="J73" i="3"/>
  <c r="J73" i="10" s="1"/>
  <c r="A72" i="3"/>
  <c r="J72" i="3"/>
  <c r="J72" i="10" s="1"/>
  <c r="A71" i="3"/>
  <c r="J71" i="3"/>
  <c r="J71" i="10" s="1"/>
  <c r="A70" i="3"/>
  <c r="J70" i="3"/>
  <c r="J70" i="10" s="1"/>
  <c r="A69" i="3"/>
  <c r="J69" i="3"/>
  <c r="J69" i="10" s="1"/>
  <c r="A68" i="3"/>
  <c r="J68" i="3"/>
  <c r="J68" i="10" s="1"/>
  <c r="A67" i="3"/>
  <c r="J67" i="3"/>
  <c r="J67" i="10" s="1"/>
  <c r="A66" i="3"/>
  <c r="J66" i="3"/>
  <c r="J66" i="10" s="1"/>
  <c r="A65" i="3"/>
  <c r="J65" i="3"/>
  <c r="J65" i="10" s="1"/>
  <c r="A64" i="3"/>
  <c r="J64" i="3"/>
  <c r="J64" i="10" s="1"/>
  <c r="A63" i="3"/>
  <c r="J63" i="3"/>
  <c r="J63" i="10" s="1"/>
  <c r="A62" i="3"/>
  <c r="J62" i="3"/>
  <c r="J62" i="10" s="1"/>
  <c r="A61" i="3"/>
  <c r="J61" i="3"/>
  <c r="J61" i="10" s="1"/>
  <c r="A60" i="3"/>
  <c r="J60" i="3"/>
  <c r="J60" i="10" s="1"/>
  <c r="A59" i="3"/>
  <c r="J59" i="3"/>
  <c r="J59" i="10" s="1"/>
  <c r="A58" i="3"/>
  <c r="J58" i="3"/>
  <c r="J58" i="10" s="1"/>
  <c r="A57" i="3"/>
  <c r="J57" i="3"/>
  <c r="J57" i="10" s="1"/>
  <c r="A56" i="3"/>
  <c r="J56" i="3"/>
  <c r="J56" i="10" s="1"/>
  <c r="A55" i="3"/>
  <c r="J55" i="3"/>
  <c r="J55" i="10" s="1"/>
  <c r="A54" i="3"/>
  <c r="J54" i="3"/>
  <c r="J54" i="10" s="1"/>
  <c r="A53" i="3"/>
  <c r="J53" i="3"/>
  <c r="J53" i="10" s="1"/>
  <c r="A52" i="3"/>
  <c r="J52" i="3"/>
  <c r="J52" i="10" s="1"/>
  <c r="A51" i="3"/>
  <c r="J51" i="3"/>
  <c r="J51" i="10" s="1"/>
  <c r="A50" i="3"/>
  <c r="J50" i="3"/>
  <c r="J50" i="10" s="1"/>
  <c r="A49" i="3"/>
  <c r="J49" i="3"/>
  <c r="J49" i="10" s="1"/>
  <c r="A48" i="3"/>
  <c r="J48" i="3"/>
  <c r="J48" i="10" s="1"/>
  <c r="A47" i="3"/>
  <c r="J47" i="3"/>
  <c r="J47" i="10" s="1"/>
  <c r="A46" i="3"/>
  <c r="J46" i="3"/>
  <c r="J46" i="10" s="1"/>
  <c r="A45" i="3"/>
  <c r="J45" i="3"/>
  <c r="J45" i="10" s="1"/>
  <c r="A44" i="3"/>
  <c r="J44" i="3"/>
  <c r="J44" i="10" s="1"/>
  <c r="A43" i="3"/>
  <c r="J43" i="3"/>
  <c r="J43" i="10" s="1"/>
  <c r="A42" i="3"/>
  <c r="J42" i="3"/>
  <c r="J42" i="10" s="1"/>
  <c r="A41" i="3"/>
  <c r="J41" i="3"/>
  <c r="J41" i="10" s="1"/>
  <c r="A40" i="3"/>
  <c r="J40" i="3"/>
  <c r="J40" i="10" s="1"/>
  <c r="A39" i="3"/>
  <c r="J39" i="3"/>
  <c r="J39" i="10" s="1"/>
  <c r="A38" i="3"/>
  <c r="J38" i="3"/>
  <c r="J38" i="10" s="1"/>
  <c r="A37" i="3"/>
  <c r="J37" i="3"/>
  <c r="J37" i="10" s="1"/>
  <c r="A36" i="3"/>
  <c r="J36" i="3"/>
  <c r="J36" i="10" s="1"/>
  <c r="A35" i="3"/>
  <c r="J35" i="3"/>
  <c r="J35" i="10" s="1"/>
  <c r="A34" i="3"/>
  <c r="J34" i="3"/>
  <c r="J34" i="10" s="1"/>
  <c r="A33" i="3"/>
  <c r="J33" i="3"/>
  <c r="J33" i="10" s="1"/>
  <c r="A32" i="3"/>
  <c r="J32" i="3"/>
  <c r="J32" i="10" s="1"/>
  <c r="A31" i="3"/>
  <c r="J31" i="3"/>
  <c r="J31" i="10" s="1"/>
  <c r="A30" i="3"/>
  <c r="J30" i="3"/>
  <c r="J30" i="10" s="1"/>
  <c r="A29" i="3"/>
  <c r="J29" i="3"/>
  <c r="J29" i="10" s="1"/>
  <c r="A28" i="3"/>
  <c r="J28" i="3"/>
  <c r="J28" i="10" s="1"/>
  <c r="A27" i="3"/>
  <c r="J27" i="3"/>
  <c r="J27" i="10" s="1"/>
  <c r="A26" i="3"/>
  <c r="J26" i="3"/>
  <c r="J26" i="10" s="1"/>
  <c r="A25" i="3"/>
  <c r="J25" i="3"/>
  <c r="J25" i="10" s="1"/>
  <c r="A24" i="3"/>
  <c r="J24" i="3"/>
  <c r="J24" i="10" s="1"/>
  <c r="A23" i="3"/>
  <c r="J23" i="3"/>
  <c r="J23" i="10" s="1"/>
  <c r="A22" i="3"/>
  <c r="J22" i="3"/>
  <c r="J22" i="10" s="1"/>
  <c r="A21" i="3"/>
  <c r="J21" i="3"/>
  <c r="J21" i="10" s="1"/>
  <c r="A20" i="3"/>
  <c r="J20" i="3"/>
  <c r="J20" i="10" s="1"/>
  <c r="A19" i="3"/>
  <c r="J19" i="3"/>
  <c r="J19" i="10" s="1"/>
  <c r="A18" i="3"/>
  <c r="J18" i="3"/>
  <c r="J18" i="10" s="1"/>
  <c r="A17" i="3"/>
  <c r="J17" i="3"/>
  <c r="J17" i="10" s="1"/>
  <c r="A16" i="3"/>
  <c r="J16" i="3"/>
  <c r="J16" i="10" s="1"/>
  <c r="A15" i="3"/>
  <c r="J15" i="3"/>
  <c r="J15" i="10" s="1"/>
  <c r="A14" i="3"/>
  <c r="J14" i="3"/>
  <c r="J14" i="10" s="1"/>
  <c r="A13" i="3"/>
  <c r="J13" i="3"/>
  <c r="J13" i="10" s="1"/>
  <c r="A12" i="3"/>
  <c r="J12" i="3"/>
  <c r="J12" i="10" s="1"/>
  <c r="A11" i="3"/>
  <c r="J11" i="3"/>
  <c r="J11" i="10" s="1"/>
  <c r="A10" i="3"/>
  <c r="J10" i="3"/>
  <c r="J10" i="10" s="1"/>
  <c r="A9" i="3"/>
  <c r="J9" i="3"/>
  <c r="J9" i="10" s="1"/>
  <c r="A8" i="3"/>
  <c r="J8" i="3"/>
  <c r="J8" i="10" s="1"/>
  <c r="A7" i="3"/>
  <c r="J7" i="3"/>
  <c r="J7" i="10" s="1"/>
  <c r="A6" i="3"/>
  <c r="J6" i="3"/>
  <c r="J6" i="10" s="1"/>
  <c r="A5" i="3"/>
  <c r="J5" i="3"/>
  <c r="J5" i="10" s="1"/>
  <c r="A4" i="3"/>
  <c r="J4" i="3"/>
  <c r="J4" i="10" s="1"/>
  <c r="A3" i="3"/>
  <c r="J3" i="3"/>
  <c r="J3" i="10" s="1"/>
  <c r="A2" i="3"/>
  <c r="J2" i="3"/>
  <c r="J2" i="10" s="1"/>
  <c r="A507" i="6" l="1"/>
  <c r="A515" i="6"/>
  <c r="A523" i="6"/>
  <c r="A118" i="6"/>
  <c r="A182" i="6"/>
  <c r="A190" i="6"/>
  <c r="A206" i="6"/>
  <c r="A214" i="6"/>
  <c r="A222" i="6"/>
  <c r="A230" i="6"/>
  <c r="A238" i="6"/>
  <c r="A246" i="6"/>
  <c r="A254" i="6"/>
  <c r="A262" i="6"/>
  <c r="A270" i="6"/>
  <c r="A518" i="6"/>
  <c r="A3" i="6"/>
  <c r="A11" i="6"/>
  <c r="A19" i="6"/>
  <c r="A35" i="6"/>
  <c r="A163" i="6"/>
  <c r="A171" i="6"/>
  <c r="A187" i="6"/>
  <c r="A195" i="6"/>
  <c r="A203" i="6"/>
  <c r="A211" i="6"/>
  <c r="A219" i="6"/>
  <c r="A227" i="6"/>
  <c r="A235" i="6"/>
  <c r="A243" i="6"/>
  <c r="A251" i="6"/>
  <c r="A267" i="6"/>
  <c r="A275" i="6"/>
  <c r="A283" i="6"/>
  <c r="A291" i="6"/>
  <c r="A299" i="6"/>
  <c r="A307" i="6"/>
  <c r="A315" i="6"/>
  <c r="A323" i="6"/>
  <c r="A331" i="6"/>
  <c r="A339" i="6"/>
  <c r="A347" i="6"/>
  <c r="A355" i="6"/>
  <c r="A363" i="6"/>
  <c r="A371" i="6"/>
  <c r="A21" i="6"/>
  <c r="A29" i="6"/>
  <c r="A37" i="6"/>
  <c r="A45" i="6"/>
  <c r="A53" i="6"/>
  <c r="A61" i="6"/>
  <c r="A69" i="6"/>
  <c r="A77" i="6"/>
  <c r="A85" i="6"/>
  <c r="A133" i="6"/>
  <c r="A157" i="6"/>
  <c r="A213" i="6"/>
  <c r="A221" i="6"/>
  <c r="A229" i="6"/>
  <c r="A405" i="6"/>
  <c r="A413" i="6"/>
  <c r="A421" i="6"/>
  <c r="A67" i="6"/>
  <c r="A75" i="6"/>
  <c r="A83" i="6"/>
  <c r="A115" i="6"/>
  <c r="A123" i="6"/>
  <c r="A131" i="6"/>
  <c r="A139" i="6"/>
  <c r="A147" i="6"/>
  <c r="A379" i="6"/>
  <c r="A4" i="6"/>
  <c r="A12" i="6"/>
  <c r="A500" i="6"/>
  <c r="A508" i="6"/>
  <c r="A516" i="6"/>
  <c r="A524" i="6"/>
  <c r="A237" i="6"/>
  <c r="A245" i="6"/>
  <c r="A253" i="6"/>
  <c r="A269" i="6"/>
  <c r="A429" i="6"/>
  <c r="A126" i="6"/>
  <c r="A134" i="6"/>
  <c r="A142" i="6"/>
  <c r="A150" i="6"/>
  <c r="A158" i="6"/>
  <c r="A166" i="6"/>
  <c r="A174" i="6"/>
  <c r="A278" i="6"/>
  <c r="A93" i="6"/>
  <c r="A101" i="6"/>
  <c r="A109" i="6"/>
  <c r="A117" i="6"/>
  <c r="A125" i="6"/>
  <c r="A503" i="6"/>
  <c r="A511" i="6"/>
  <c r="A519" i="6"/>
  <c r="A504" i="6"/>
  <c r="A512" i="6"/>
  <c r="A520" i="6"/>
  <c r="A505" i="6"/>
  <c r="A513" i="6"/>
  <c r="A521" i="6"/>
  <c r="A58" i="6"/>
  <c r="A66" i="6"/>
  <c r="A74" i="6"/>
  <c r="A314" i="6"/>
  <c r="A322" i="6"/>
  <c r="A330" i="6"/>
  <c r="A338" i="6"/>
  <c r="A346" i="6"/>
  <c r="A354" i="6"/>
  <c r="A370" i="6"/>
  <c r="A378" i="6"/>
  <c r="A386" i="6"/>
  <c r="A474" i="6"/>
  <c r="A482" i="6"/>
  <c r="A490" i="6"/>
  <c r="A498" i="6"/>
  <c r="A506" i="6"/>
  <c r="A514" i="6"/>
  <c r="A522" i="6"/>
  <c r="A141" i="6"/>
  <c r="A497" i="6"/>
  <c r="A43" i="6"/>
  <c r="A51" i="6"/>
  <c r="A59" i="6"/>
  <c r="A387" i="6"/>
  <c r="A403" i="6"/>
  <c r="A411" i="6"/>
  <c r="A419" i="6"/>
  <c r="A427" i="6"/>
  <c r="A435" i="6"/>
  <c r="A443" i="6"/>
  <c r="A451" i="6"/>
  <c r="A459" i="6"/>
  <c r="A467" i="6"/>
  <c r="A475" i="6"/>
  <c r="A483" i="6"/>
  <c r="A491" i="6"/>
  <c r="A499" i="6"/>
  <c r="A395" i="6"/>
  <c r="A277" i="6"/>
  <c r="A285" i="6"/>
  <c r="A293" i="6"/>
  <c r="A317" i="6"/>
  <c r="A333" i="6"/>
  <c r="A341" i="6"/>
  <c r="A349" i="6"/>
  <c r="A357" i="6"/>
  <c r="A365" i="6"/>
  <c r="A373" i="6"/>
  <c r="A381" i="6"/>
  <c r="A389" i="6"/>
  <c r="A397" i="6"/>
  <c r="A286" i="6"/>
  <c r="A294" i="6"/>
  <c r="A2" i="6"/>
  <c r="A10" i="6"/>
  <c r="A18" i="6"/>
  <c r="A26" i="6"/>
  <c r="A90" i="6"/>
  <c r="A98" i="6"/>
  <c r="A106" i="6"/>
  <c r="A394" i="6"/>
  <c r="A99" i="6"/>
  <c r="A5" i="6"/>
  <c r="A13" i="6"/>
  <c r="A165" i="6"/>
  <c r="A173" i="6"/>
  <c r="A181" i="6"/>
  <c r="A189" i="6"/>
  <c r="A197" i="6"/>
  <c r="A301" i="6"/>
  <c r="A437" i="6"/>
  <c r="A445" i="6"/>
  <c r="A453" i="6"/>
  <c r="A461" i="6"/>
  <c r="A469" i="6"/>
  <c r="A477" i="6"/>
  <c r="A485" i="6"/>
  <c r="A302" i="6"/>
  <c r="A310" i="6"/>
  <c r="A326" i="6"/>
  <c r="A342" i="6"/>
  <c r="A350" i="6"/>
  <c r="A366" i="6"/>
  <c r="A374" i="6"/>
  <c r="A382" i="6"/>
  <c r="A390" i="6"/>
  <c r="A398" i="6"/>
  <c r="A406" i="6"/>
  <c r="A414" i="6"/>
  <c r="A422" i="6"/>
  <c r="A430" i="6"/>
  <c r="A438" i="6"/>
  <c r="A446" i="6"/>
  <c r="A454" i="6"/>
  <c r="A462" i="6"/>
  <c r="A470" i="6"/>
  <c r="A16" i="6"/>
  <c r="A24" i="6"/>
  <c r="A32" i="6"/>
  <c r="A40" i="6"/>
  <c r="A64" i="6"/>
  <c r="A72" i="6"/>
  <c r="A80" i="6"/>
  <c r="A96" i="6"/>
  <c r="A112" i="6"/>
  <c r="A120" i="6"/>
  <c r="A128" i="6"/>
  <c r="A136" i="6"/>
  <c r="A144" i="6"/>
  <c r="A152" i="6"/>
  <c r="A160" i="6"/>
  <c r="A168" i="6"/>
  <c r="A184" i="6"/>
  <c r="A192" i="6"/>
  <c r="A200" i="6"/>
  <c r="A208" i="6"/>
  <c r="A232" i="6"/>
  <c r="A240" i="6"/>
  <c r="A256" i="6"/>
  <c r="A264" i="6"/>
  <c r="A272" i="6"/>
  <c r="A280" i="6"/>
  <c r="A296" i="6"/>
  <c r="A312" i="6"/>
  <c r="A320" i="6"/>
  <c r="A328" i="6"/>
  <c r="A336" i="6"/>
  <c r="A344" i="6"/>
  <c r="A360" i="6"/>
  <c r="A368" i="6"/>
  <c r="A376" i="6"/>
  <c r="A384" i="6"/>
  <c r="A392" i="6"/>
  <c r="A400" i="6"/>
  <c r="A408" i="6"/>
  <c r="A416" i="6"/>
  <c r="A424" i="6"/>
  <c r="A432" i="6"/>
  <c r="A440" i="6"/>
  <c r="A448" i="6"/>
  <c r="A456" i="6"/>
  <c r="A464" i="6"/>
  <c r="A472" i="6"/>
  <c r="A480" i="6"/>
  <c r="A488" i="6"/>
  <c r="A496" i="6"/>
  <c r="A34" i="6"/>
  <c r="A114" i="6"/>
  <c r="A154" i="6"/>
  <c r="A20" i="6"/>
  <c r="A28" i="6"/>
  <c r="A36" i="6"/>
  <c r="A60" i="6"/>
  <c r="A68" i="6"/>
  <c r="A92" i="6"/>
  <c r="A100" i="6"/>
  <c r="A108" i="6"/>
  <c r="A116" i="6"/>
  <c r="A132" i="6"/>
  <c r="A140" i="6"/>
  <c r="A148" i="6"/>
  <c r="A164" i="6"/>
  <c r="A172" i="6"/>
  <c r="A196" i="6"/>
  <c r="A204" i="6"/>
  <c r="A212" i="6"/>
  <c r="A220" i="6"/>
  <c r="A228" i="6"/>
  <c r="A236" i="6"/>
  <c r="A244" i="6"/>
  <c r="A252" i="6"/>
  <c r="A268" i="6"/>
  <c r="A276" i="6"/>
  <c r="A284" i="6"/>
  <c r="A292" i="6"/>
  <c r="A300" i="6"/>
  <c r="A308" i="6"/>
  <c r="A316" i="6"/>
  <c r="A324" i="6"/>
  <c r="A332" i="6"/>
  <c r="A340" i="6"/>
  <c r="A348" i="6"/>
  <c r="A356" i="6"/>
  <c r="A364" i="6"/>
  <c r="A372" i="6"/>
  <c r="A380" i="6"/>
  <c r="A388" i="6"/>
  <c r="A396" i="6"/>
  <c r="A404" i="6"/>
  <c r="A412" i="6"/>
  <c r="A420" i="6"/>
  <c r="A428" i="6"/>
  <c r="A436" i="6"/>
  <c r="A444" i="6"/>
  <c r="A452" i="6"/>
  <c r="A460" i="6"/>
  <c r="A468" i="6"/>
  <c r="A476" i="6"/>
  <c r="A484" i="6"/>
  <c r="A492" i="6"/>
  <c r="A493" i="6"/>
  <c r="A6" i="6"/>
  <c r="A14" i="6"/>
  <c r="A22" i="6"/>
  <c r="A30" i="6"/>
  <c r="A38" i="6"/>
  <c r="A46" i="6"/>
  <c r="A78" i="6"/>
  <c r="A94" i="6"/>
  <c r="A102" i="6"/>
  <c r="A110" i="6"/>
  <c r="A318" i="6"/>
  <c r="A334" i="6"/>
  <c r="A478" i="6"/>
  <c r="A486" i="6"/>
  <c r="A494" i="6"/>
  <c r="A7" i="6"/>
  <c r="A15" i="6"/>
  <c r="A23" i="6"/>
  <c r="A31" i="6"/>
  <c r="A39" i="6"/>
  <c r="A47" i="6"/>
  <c r="A55" i="6"/>
  <c r="A63" i="6"/>
  <c r="A71" i="6"/>
  <c r="A79" i="6"/>
  <c r="A87" i="6"/>
  <c r="A103" i="6"/>
  <c r="A119" i="6"/>
  <c r="A135" i="6"/>
  <c r="A143" i="6"/>
  <c r="A151" i="6"/>
  <c r="A159" i="6"/>
  <c r="A167" i="6"/>
  <c r="A175" i="6"/>
  <c r="A183" i="6"/>
  <c r="A191" i="6"/>
  <c r="A199" i="6"/>
  <c r="A207" i="6"/>
  <c r="A215" i="6"/>
  <c r="A223" i="6"/>
  <c r="A231" i="6"/>
  <c r="A239" i="6"/>
  <c r="A247" i="6"/>
  <c r="A255" i="6"/>
  <c r="A263" i="6"/>
  <c r="A271" i="6"/>
  <c r="A279" i="6"/>
  <c r="A287" i="6"/>
  <c r="A303" i="6"/>
  <c r="A311" i="6"/>
  <c r="A319" i="6"/>
  <c r="A327" i="6"/>
  <c r="A335" i="6"/>
  <c r="A351" i="6"/>
  <c r="A359" i="6"/>
  <c r="A367" i="6"/>
  <c r="A375" i="6"/>
  <c r="A383" i="6"/>
  <c r="A391" i="6"/>
  <c r="A399" i="6"/>
  <c r="A407" i="6"/>
  <c r="A415" i="6"/>
  <c r="A423" i="6"/>
  <c r="A431" i="6"/>
  <c r="A439" i="6"/>
  <c r="A447" i="6"/>
  <c r="A463" i="6"/>
  <c r="A471" i="6"/>
  <c r="A479" i="6"/>
  <c r="A487" i="6"/>
  <c r="A495" i="6"/>
  <c r="A8" i="6"/>
  <c r="A17" i="6"/>
  <c r="A25" i="6"/>
  <c r="A33" i="6"/>
  <c r="A41" i="6"/>
  <c r="A49" i="6"/>
  <c r="A57" i="6"/>
  <c r="A65" i="6"/>
  <c r="A73" i="6"/>
  <c r="A81" i="6"/>
  <c r="A97" i="6"/>
  <c r="A105" i="6"/>
  <c r="A113" i="6"/>
  <c r="A121" i="6"/>
  <c r="A137" i="6"/>
  <c r="A169" i="6"/>
  <c r="A177" i="6"/>
  <c r="A185" i="6"/>
  <c r="A193" i="6"/>
  <c r="A201" i="6"/>
  <c r="A217" i="6"/>
  <c r="A233" i="6"/>
  <c r="A241" i="6"/>
  <c r="A249" i="6"/>
  <c r="A257" i="6"/>
  <c r="A265" i="6"/>
  <c r="A273" i="6"/>
  <c r="A281" i="6"/>
  <c r="A289" i="6"/>
  <c r="A297" i="6"/>
  <c r="A305" i="6"/>
  <c r="A313" i="6"/>
  <c r="A321" i="6"/>
  <c r="A337" i="6"/>
  <c r="A345" i="6"/>
  <c r="A353" i="6"/>
  <c r="A361" i="6"/>
  <c r="A369" i="6"/>
  <c r="A385" i="6"/>
  <c r="A393" i="6"/>
  <c r="A409" i="6"/>
  <c r="A425" i="6"/>
  <c r="A433" i="6"/>
  <c r="A441" i="6"/>
  <c r="A449" i="6"/>
  <c r="A457" i="6"/>
  <c r="A465" i="6"/>
  <c r="A473" i="6"/>
  <c r="A481" i="6"/>
  <c r="A489" i="6"/>
  <c r="A122" i="6"/>
  <c r="A130" i="6"/>
  <c r="A162" i="6"/>
  <c r="A170" i="6"/>
  <c r="A178" i="6"/>
  <c r="A186" i="6"/>
  <c r="A194" i="6"/>
  <c r="A202" i="6"/>
  <c r="A210" i="6"/>
  <c r="A218" i="6"/>
  <c r="A226" i="6"/>
  <c r="A242" i="6"/>
  <c r="A250" i="6"/>
  <c r="A258" i="6"/>
  <c r="A266" i="6"/>
  <c r="A274" i="6"/>
  <c r="A282" i="6"/>
  <c r="A290" i="6"/>
  <c r="A298" i="6"/>
  <c r="A306" i="6"/>
  <c r="A362" i="6"/>
  <c r="A402" i="6"/>
  <c r="A410" i="6"/>
  <c r="A418" i="6"/>
  <c r="A426" i="6"/>
  <c r="A434" i="6"/>
  <c r="A442" i="6"/>
  <c r="A450" i="6"/>
  <c r="A458" i="6"/>
  <c r="A466" i="6"/>
  <c r="H2" i="3"/>
  <c r="H2" i="10" s="1"/>
  <c r="A2" i="10"/>
  <c r="H4" i="3"/>
  <c r="H4" i="10" s="1"/>
  <c r="A4" i="10"/>
  <c r="H6" i="3"/>
  <c r="H6" i="10" s="1"/>
  <c r="A6" i="10"/>
  <c r="H8" i="3"/>
  <c r="H8" i="10" s="1"/>
  <c r="A8" i="10"/>
  <c r="H10" i="3"/>
  <c r="H10" i="10" s="1"/>
  <c r="A10" i="10"/>
  <c r="H12" i="3"/>
  <c r="H12" i="10" s="1"/>
  <c r="A12" i="10"/>
  <c r="H14" i="3"/>
  <c r="H14" i="10" s="1"/>
  <c r="A14" i="10"/>
  <c r="H16" i="3"/>
  <c r="H16" i="10" s="1"/>
  <c r="A16" i="10"/>
  <c r="H18" i="3"/>
  <c r="H18" i="10" s="1"/>
  <c r="A18" i="10"/>
  <c r="H20" i="3"/>
  <c r="H20" i="10" s="1"/>
  <c r="A20" i="10"/>
  <c r="H22" i="3"/>
  <c r="H22" i="10" s="1"/>
  <c r="A22" i="10"/>
  <c r="H24" i="3"/>
  <c r="H24" i="10" s="1"/>
  <c r="A24" i="10"/>
  <c r="H26" i="3"/>
  <c r="H26" i="10" s="1"/>
  <c r="A26" i="10"/>
  <c r="H28" i="3"/>
  <c r="H28" i="10" s="1"/>
  <c r="A28" i="10"/>
  <c r="H30" i="3"/>
  <c r="H30" i="10" s="1"/>
  <c r="A30" i="10"/>
  <c r="H32" i="3"/>
  <c r="H32" i="10" s="1"/>
  <c r="A32" i="10"/>
  <c r="H34" i="3"/>
  <c r="H34" i="10" s="1"/>
  <c r="A34" i="10"/>
  <c r="H36" i="3"/>
  <c r="H36" i="10" s="1"/>
  <c r="A36" i="10"/>
  <c r="H38" i="3"/>
  <c r="H38" i="10" s="1"/>
  <c r="A38" i="10"/>
  <c r="H40" i="3"/>
  <c r="H40" i="10" s="1"/>
  <c r="A40" i="10"/>
  <c r="H42" i="3"/>
  <c r="H42" i="10" s="1"/>
  <c r="A42" i="10"/>
  <c r="H44" i="3"/>
  <c r="H44" i="10" s="1"/>
  <c r="A44" i="10"/>
  <c r="H46" i="3"/>
  <c r="H46" i="10" s="1"/>
  <c r="A46" i="10"/>
  <c r="H48" i="3"/>
  <c r="H48" i="10" s="1"/>
  <c r="A48" i="10"/>
  <c r="H50" i="3"/>
  <c r="H50" i="10" s="1"/>
  <c r="A50" i="10"/>
  <c r="H52" i="3"/>
  <c r="H52" i="10" s="1"/>
  <c r="A52" i="10"/>
  <c r="H54" i="3"/>
  <c r="H54" i="10" s="1"/>
  <c r="A54" i="10"/>
  <c r="H56" i="3"/>
  <c r="H56" i="10" s="1"/>
  <c r="A56" i="10"/>
  <c r="H58" i="3"/>
  <c r="H58" i="10" s="1"/>
  <c r="A58" i="10"/>
  <c r="H60" i="3"/>
  <c r="H60" i="10" s="1"/>
  <c r="A60" i="10"/>
  <c r="H62" i="3"/>
  <c r="H62" i="10" s="1"/>
  <c r="A62" i="10"/>
  <c r="H64" i="3"/>
  <c r="H64" i="10" s="1"/>
  <c r="A64" i="10"/>
  <c r="H66" i="3"/>
  <c r="H66" i="10" s="1"/>
  <c r="A66" i="10"/>
  <c r="H68" i="3"/>
  <c r="H68" i="10" s="1"/>
  <c r="A68" i="10"/>
  <c r="H70" i="3"/>
  <c r="H70" i="10" s="1"/>
  <c r="A70" i="10"/>
  <c r="H72" i="3"/>
  <c r="H72" i="10" s="1"/>
  <c r="A72" i="10"/>
  <c r="H74" i="3"/>
  <c r="H74" i="10" s="1"/>
  <c r="A74" i="10"/>
  <c r="H76" i="3"/>
  <c r="H76" i="10" s="1"/>
  <c r="A76" i="10"/>
  <c r="H78" i="3"/>
  <c r="H78" i="10" s="1"/>
  <c r="A78" i="10"/>
  <c r="H80" i="3"/>
  <c r="H80" i="10" s="1"/>
  <c r="A80" i="10"/>
  <c r="H82" i="3"/>
  <c r="H82" i="10" s="1"/>
  <c r="A82" i="10"/>
  <c r="H84" i="3"/>
  <c r="H84" i="10" s="1"/>
  <c r="A84" i="10"/>
  <c r="H86" i="3"/>
  <c r="H86" i="10" s="1"/>
  <c r="A86" i="10"/>
  <c r="H88" i="3"/>
  <c r="H88" i="10" s="1"/>
  <c r="A88" i="10"/>
  <c r="H90" i="3"/>
  <c r="H90" i="10" s="1"/>
  <c r="A90" i="10"/>
  <c r="H92" i="3"/>
  <c r="H92" i="10" s="1"/>
  <c r="A92" i="10"/>
  <c r="H94" i="3"/>
  <c r="H94" i="10" s="1"/>
  <c r="A94" i="10"/>
  <c r="H96" i="3"/>
  <c r="H96" i="10" s="1"/>
  <c r="A96" i="10"/>
  <c r="H98" i="3"/>
  <c r="H98" i="10" s="1"/>
  <c r="A98" i="10"/>
  <c r="H100" i="3"/>
  <c r="H100" i="10" s="1"/>
  <c r="A100" i="10"/>
  <c r="H102" i="3"/>
  <c r="H102" i="10" s="1"/>
  <c r="A102" i="10"/>
  <c r="H104" i="3"/>
  <c r="H104" i="10" s="1"/>
  <c r="A104" i="10"/>
  <c r="H106" i="3"/>
  <c r="H106" i="10" s="1"/>
  <c r="A106" i="10"/>
  <c r="H108" i="3"/>
  <c r="H108" i="10" s="1"/>
  <c r="A108" i="10"/>
  <c r="H110" i="3"/>
  <c r="H110" i="10" s="1"/>
  <c r="A110" i="10"/>
  <c r="H112" i="3"/>
  <c r="H112" i="10" s="1"/>
  <c r="A112" i="10"/>
  <c r="H114" i="3"/>
  <c r="H114" i="10" s="1"/>
  <c r="A114" i="10"/>
  <c r="H116" i="3"/>
  <c r="H116" i="10" s="1"/>
  <c r="A116" i="10"/>
  <c r="H118" i="3"/>
  <c r="H118" i="10" s="1"/>
  <c r="A118" i="10"/>
  <c r="H120" i="3"/>
  <c r="H120" i="10" s="1"/>
  <c r="A120" i="10"/>
  <c r="H122" i="3"/>
  <c r="H122" i="10" s="1"/>
  <c r="A122" i="10"/>
  <c r="H124" i="3"/>
  <c r="H124" i="10" s="1"/>
  <c r="A124" i="10"/>
  <c r="H126" i="3"/>
  <c r="H126" i="10" s="1"/>
  <c r="A126" i="10"/>
  <c r="H128" i="3"/>
  <c r="H128" i="10" s="1"/>
  <c r="A128" i="10"/>
  <c r="H130" i="3"/>
  <c r="H130" i="10" s="1"/>
  <c r="A130" i="10"/>
  <c r="H132" i="3"/>
  <c r="H132" i="10" s="1"/>
  <c r="A132" i="10"/>
  <c r="H134" i="3"/>
  <c r="H134" i="10" s="1"/>
  <c r="A134" i="10"/>
  <c r="H136" i="3"/>
  <c r="H136" i="10" s="1"/>
  <c r="A136" i="10"/>
  <c r="H138" i="3"/>
  <c r="H138" i="10" s="1"/>
  <c r="A138" i="10"/>
  <c r="H140" i="3"/>
  <c r="H140" i="10" s="1"/>
  <c r="A140" i="10"/>
  <c r="H142" i="3"/>
  <c r="H142" i="10" s="1"/>
  <c r="A142" i="10"/>
  <c r="H144" i="3"/>
  <c r="H144" i="10" s="1"/>
  <c r="A144" i="10"/>
  <c r="H146" i="3"/>
  <c r="H146" i="10" s="1"/>
  <c r="A146" i="10"/>
  <c r="H148" i="3"/>
  <c r="H148" i="10" s="1"/>
  <c r="A148" i="10"/>
  <c r="H150" i="3"/>
  <c r="H150" i="10" s="1"/>
  <c r="A150" i="10"/>
  <c r="H152" i="3"/>
  <c r="H152" i="10" s="1"/>
  <c r="A152" i="10"/>
  <c r="H154" i="3"/>
  <c r="H154" i="10" s="1"/>
  <c r="A154" i="10"/>
  <c r="H156" i="3"/>
  <c r="H156" i="10" s="1"/>
  <c r="A156" i="10"/>
  <c r="H158" i="3"/>
  <c r="H158" i="10" s="1"/>
  <c r="A158" i="10"/>
  <c r="H160" i="3"/>
  <c r="H160" i="10" s="1"/>
  <c r="A160" i="10"/>
  <c r="H162" i="3"/>
  <c r="H162" i="10" s="1"/>
  <c r="A162" i="10"/>
  <c r="H164" i="3"/>
  <c r="H164" i="10" s="1"/>
  <c r="A164" i="10"/>
  <c r="H166" i="3"/>
  <c r="H166" i="10" s="1"/>
  <c r="A166" i="10"/>
  <c r="H168" i="3"/>
  <c r="H168" i="10" s="1"/>
  <c r="A168" i="10"/>
  <c r="H170" i="3"/>
  <c r="H170" i="10" s="1"/>
  <c r="A170" i="10"/>
  <c r="H172" i="3"/>
  <c r="H172" i="10" s="1"/>
  <c r="A172" i="10"/>
  <c r="H174" i="3"/>
  <c r="H174" i="10" s="1"/>
  <c r="A174" i="10"/>
  <c r="H176" i="3"/>
  <c r="H176" i="10" s="1"/>
  <c r="A176" i="10"/>
  <c r="H178" i="3"/>
  <c r="H178" i="10" s="1"/>
  <c r="A178" i="10"/>
  <c r="H180" i="3"/>
  <c r="H180" i="10" s="1"/>
  <c r="A180" i="10"/>
  <c r="H182" i="3"/>
  <c r="H182" i="10" s="1"/>
  <c r="A182" i="10"/>
  <c r="H184" i="3"/>
  <c r="H184" i="10" s="1"/>
  <c r="A184" i="10"/>
  <c r="H186" i="3"/>
  <c r="H186" i="10" s="1"/>
  <c r="A186" i="10"/>
  <c r="H188" i="3"/>
  <c r="H188" i="10" s="1"/>
  <c r="A188" i="10"/>
  <c r="H190" i="3"/>
  <c r="H190" i="10" s="1"/>
  <c r="A190" i="10"/>
  <c r="H192" i="3"/>
  <c r="H192" i="10" s="1"/>
  <c r="A192" i="10"/>
  <c r="H194" i="3"/>
  <c r="H194" i="10" s="1"/>
  <c r="A194" i="10"/>
  <c r="H196" i="3"/>
  <c r="H196" i="10" s="1"/>
  <c r="A196" i="10"/>
  <c r="H198" i="3"/>
  <c r="H198" i="10" s="1"/>
  <c r="A198" i="10"/>
  <c r="H200" i="3"/>
  <c r="H200" i="10" s="1"/>
  <c r="A200" i="10"/>
  <c r="H202" i="3"/>
  <c r="H202" i="10" s="1"/>
  <c r="A202" i="10"/>
  <c r="H204" i="3"/>
  <c r="H204" i="10" s="1"/>
  <c r="A204" i="10"/>
  <c r="H206" i="3"/>
  <c r="H206" i="10" s="1"/>
  <c r="A206" i="10"/>
  <c r="H208" i="3"/>
  <c r="H208" i="10" s="1"/>
  <c r="A208" i="10"/>
  <c r="H210" i="3"/>
  <c r="H210" i="10" s="1"/>
  <c r="A210" i="10"/>
  <c r="H212" i="3"/>
  <c r="H212" i="10" s="1"/>
  <c r="A212" i="10"/>
  <c r="H214" i="3"/>
  <c r="H214" i="10" s="1"/>
  <c r="A214" i="10"/>
  <c r="H216" i="3"/>
  <c r="H216" i="10" s="1"/>
  <c r="A216" i="10"/>
  <c r="H218" i="3"/>
  <c r="H218" i="10" s="1"/>
  <c r="A218" i="10"/>
  <c r="H220" i="3"/>
  <c r="H220" i="10" s="1"/>
  <c r="A220" i="10"/>
  <c r="H222" i="3"/>
  <c r="H222" i="10" s="1"/>
  <c r="A222" i="10"/>
  <c r="H224" i="3"/>
  <c r="H224" i="10" s="1"/>
  <c r="A224" i="10"/>
  <c r="H226" i="3"/>
  <c r="H226" i="10" s="1"/>
  <c r="A226" i="10"/>
  <c r="H228" i="3"/>
  <c r="H228" i="10" s="1"/>
  <c r="A228" i="10"/>
  <c r="H230" i="3"/>
  <c r="H230" i="10" s="1"/>
  <c r="A230" i="10"/>
  <c r="H232" i="3"/>
  <c r="H232" i="10" s="1"/>
  <c r="A232" i="10"/>
  <c r="H234" i="3"/>
  <c r="H234" i="10" s="1"/>
  <c r="A234" i="10"/>
  <c r="H236" i="3"/>
  <c r="H236" i="10" s="1"/>
  <c r="A236" i="10"/>
  <c r="H238" i="3"/>
  <c r="H238" i="10" s="1"/>
  <c r="A238" i="10"/>
  <c r="H240" i="3"/>
  <c r="H240" i="10" s="1"/>
  <c r="A240" i="10"/>
  <c r="H242" i="3"/>
  <c r="H242" i="10" s="1"/>
  <c r="A242" i="10"/>
  <c r="H244" i="3"/>
  <c r="H244" i="10" s="1"/>
  <c r="A244" i="10"/>
  <c r="H246" i="3"/>
  <c r="H246" i="10" s="1"/>
  <c r="A246" i="10"/>
  <c r="H248" i="3"/>
  <c r="H248" i="10" s="1"/>
  <c r="A248" i="10"/>
  <c r="H250" i="3"/>
  <c r="H250" i="10" s="1"/>
  <c r="A250" i="10"/>
  <c r="H252" i="3"/>
  <c r="H252" i="10" s="1"/>
  <c r="A252" i="10"/>
  <c r="H254" i="3"/>
  <c r="H254" i="10" s="1"/>
  <c r="A254" i="10"/>
  <c r="H256" i="3"/>
  <c r="H256" i="10" s="1"/>
  <c r="A256" i="10"/>
  <c r="H258" i="3"/>
  <c r="H258" i="10" s="1"/>
  <c r="A258" i="10"/>
  <c r="H260" i="3"/>
  <c r="H260" i="10" s="1"/>
  <c r="A260" i="10"/>
  <c r="H262" i="3"/>
  <c r="H262" i="10" s="1"/>
  <c r="A262" i="10"/>
  <c r="H264" i="3"/>
  <c r="H264" i="10" s="1"/>
  <c r="A264" i="10"/>
  <c r="H266" i="3"/>
  <c r="H266" i="10" s="1"/>
  <c r="A266" i="10"/>
  <c r="H268" i="3"/>
  <c r="H268" i="10" s="1"/>
  <c r="A268" i="10"/>
  <c r="H270" i="3"/>
  <c r="H270" i="10" s="1"/>
  <c r="A270" i="10"/>
  <c r="H272" i="3"/>
  <c r="H272" i="10" s="1"/>
  <c r="A272" i="10"/>
  <c r="H274" i="3"/>
  <c r="H274" i="10" s="1"/>
  <c r="A274" i="10"/>
  <c r="H276" i="3"/>
  <c r="H276" i="10" s="1"/>
  <c r="A276" i="10"/>
  <c r="H278" i="3"/>
  <c r="H278" i="10" s="1"/>
  <c r="A278" i="10"/>
  <c r="H280" i="3"/>
  <c r="H280" i="10" s="1"/>
  <c r="A280" i="10"/>
  <c r="H282" i="3"/>
  <c r="H282" i="10" s="1"/>
  <c r="A282" i="10"/>
  <c r="H284" i="3"/>
  <c r="H284" i="10" s="1"/>
  <c r="A284" i="10"/>
  <c r="H286" i="3"/>
  <c r="H286" i="10" s="1"/>
  <c r="A286" i="10"/>
  <c r="H288" i="3"/>
  <c r="H288" i="10" s="1"/>
  <c r="A288" i="10"/>
  <c r="H290" i="3"/>
  <c r="H290" i="10" s="1"/>
  <c r="A290" i="10"/>
  <c r="H292" i="3"/>
  <c r="H292" i="10" s="1"/>
  <c r="A292" i="10"/>
  <c r="H294" i="3"/>
  <c r="H294" i="10" s="1"/>
  <c r="A294" i="10"/>
  <c r="H296" i="3"/>
  <c r="H296" i="10" s="1"/>
  <c r="A296" i="10"/>
  <c r="H298" i="3"/>
  <c r="H298" i="10" s="1"/>
  <c r="A298" i="10"/>
  <c r="H300" i="3"/>
  <c r="H300" i="10" s="1"/>
  <c r="A300" i="10"/>
  <c r="H302" i="3"/>
  <c r="H302" i="10" s="1"/>
  <c r="A302" i="10"/>
  <c r="H304" i="3"/>
  <c r="H304" i="10" s="1"/>
  <c r="A304" i="10"/>
  <c r="H306" i="3"/>
  <c r="H306" i="10" s="1"/>
  <c r="A306" i="10"/>
  <c r="H308" i="3"/>
  <c r="H308" i="10" s="1"/>
  <c r="A308" i="10"/>
  <c r="H310" i="3"/>
  <c r="H310" i="10" s="1"/>
  <c r="A310" i="10"/>
  <c r="H312" i="3"/>
  <c r="H312" i="10" s="1"/>
  <c r="A312" i="10"/>
  <c r="H314" i="3"/>
  <c r="H314" i="10" s="1"/>
  <c r="A314" i="10"/>
  <c r="H316" i="3"/>
  <c r="H316" i="10" s="1"/>
  <c r="A316" i="10"/>
  <c r="H318" i="3"/>
  <c r="H318" i="10" s="1"/>
  <c r="A318" i="10"/>
  <c r="H320" i="3"/>
  <c r="H320" i="10" s="1"/>
  <c r="A320" i="10"/>
  <c r="H322" i="3"/>
  <c r="H322" i="10" s="1"/>
  <c r="A322" i="10"/>
  <c r="H324" i="3"/>
  <c r="H324" i="10" s="1"/>
  <c r="A324" i="10"/>
  <c r="H326" i="3"/>
  <c r="H326" i="10" s="1"/>
  <c r="A326" i="10"/>
  <c r="H328" i="3"/>
  <c r="H328" i="10" s="1"/>
  <c r="A328" i="10"/>
  <c r="H330" i="3"/>
  <c r="H330" i="10" s="1"/>
  <c r="A330" i="10"/>
  <c r="H332" i="3"/>
  <c r="H332" i="10" s="1"/>
  <c r="A332" i="10"/>
  <c r="H334" i="3"/>
  <c r="H334" i="10" s="1"/>
  <c r="A334" i="10"/>
  <c r="H336" i="3"/>
  <c r="H336" i="10" s="1"/>
  <c r="A336" i="10"/>
  <c r="H338" i="3"/>
  <c r="H338" i="10" s="1"/>
  <c r="A338" i="10"/>
  <c r="H340" i="3"/>
  <c r="H340" i="10" s="1"/>
  <c r="A340" i="10"/>
  <c r="H342" i="3"/>
  <c r="H342" i="10" s="1"/>
  <c r="A342" i="10"/>
  <c r="H344" i="3"/>
  <c r="H344" i="10" s="1"/>
  <c r="A344" i="10"/>
  <c r="H346" i="3"/>
  <c r="H346" i="10" s="1"/>
  <c r="A346" i="10"/>
  <c r="H348" i="3"/>
  <c r="H348" i="10" s="1"/>
  <c r="A348" i="10"/>
  <c r="H350" i="3"/>
  <c r="H350" i="10" s="1"/>
  <c r="A350" i="10"/>
  <c r="H352" i="3"/>
  <c r="H352" i="10" s="1"/>
  <c r="A352" i="10"/>
  <c r="H354" i="3"/>
  <c r="H354" i="10" s="1"/>
  <c r="A354" i="10"/>
  <c r="H356" i="3"/>
  <c r="H356" i="10" s="1"/>
  <c r="A356" i="10"/>
  <c r="H358" i="3"/>
  <c r="H358" i="10" s="1"/>
  <c r="A358" i="10"/>
  <c r="H360" i="3"/>
  <c r="H360" i="10" s="1"/>
  <c r="A360" i="10"/>
  <c r="H362" i="3"/>
  <c r="H362" i="10" s="1"/>
  <c r="A362" i="10"/>
  <c r="H364" i="3"/>
  <c r="H364" i="10" s="1"/>
  <c r="A364" i="10"/>
  <c r="H366" i="3"/>
  <c r="H366" i="10" s="1"/>
  <c r="A366" i="10"/>
  <c r="H368" i="3"/>
  <c r="H368" i="10" s="1"/>
  <c r="A368" i="10"/>
  <c r="H370" i="3"/>
  <c r="H370" i="10" s="1"/>
  <c r="A370" i="10"/>
  <c r="H372" i="3"/>
  <c r="H372" i="10" s="1"/>
  <c r="A372" i="10"/>
  <c r="H374" i="3"/>
  <c r="H374" i="10" s="1"/>
  <c r="A374" i="10"/>
  <c r="H376" i="3"/>
  <c r="H376" i="10" s="1"/>
  <c r="A376" i="10"/>
  <c r="H378" i="3"/>
  <c r="H378" i="10" s="1"/>
  <c r="A378" i="10"/>
  <c r="H380" i="3"/>
  <c r="H380" i="10" s="1"/>
  <c r="A380" i="10"/>
  <c r="H382" i="3"/>
  <c r="H382" i="10" s="1"/>
  <c r="A382" i="10"/>
  <c r="H384" i="3"/>
  <c r="H384" i="10" s="1"/>
  <c r="A384" i="10"/>
  <c r="H386" i="3"/>
  <c r="H386" i="10" s="1"/>
  <c r="A386" i="10"/>
  <c r="H388" i="3"/>
  <c r="H388" i="10" s="1"/>
  <c r="A388" i="10"/>
  <c r="H390" i="3"/>
  <c r="H390" i="10" s="1"/>
  <c r="A390" i="10"/>
  <c r="H392" i="3"/>
  <c r="H392" i="10" s="1"/>
  <c r="A392" i="10"/>
  <c r="H394" i="3"/>
  <c r="H394" i="10" s="1"/>
  <c r="A394" i="10"/>
  <c r="H396" i="3"/>
  <c r="H396" i="10" s="1"/>
  <c r="A396" i="10"/>
  <c r="H398" i="3"/>
  <c r="H398" i="10" s="1"/>
  <c r="A398" i="10"/>
  <c r="H400" i="3"/>
  <c r="H400" i="10" s="1"/>
  <c r="A400" i="10"/>
  <c r="H402" i="3"/>
  <c r="H402" i="10" s="1"/>
  <c r="A402" i="10"/>
  <c r="H404" i="3"/>
  <c r="H404" i="10" s="1"/>
  <c r="A404" i="10"/>
  <c r="H406" i="3"/>
  <c r="H406" i="10" s="1"/>
  <c r="A406" i="10"/>
  <c r="H408" i="3"/>
  <c r="H408" i="10" s="1"/>
  <c r="A408" i="10"/>
  <c r="H410" i="3"/>
  <c r="H410" i="10" s="1"/>
  <c r="A410" i="10"/>
  <c r="H412" i="3"/>
  <c r="H412" i="10" s="1"/>
  <c r="A412" i="10"/>
  <c r="H414" i="3"/>
  <c r="H414" i="10" s="1"/>
  <c r="A414" i="10"/>
  <c r="H416" i="3"/>
  <c r="H416" i="10" s="1"/>
  <c r="A416" i="10"/>
  <c r="H418" i="3"/>
  <c r="H418" i="10" s="1"/>
  <c r="A418" i="10"/>
  <c r="H420" i="3"/>
  <c r="H420" i="10" s="1"/>
  <c r="A420" i="10"/>
  <c r="H422" i="3"/>
  <c r="H422" i="10" s="1"/>
  <c r="A422" i="10"/>
  <c r="H424" i="3"/>
  <c r="H424" i="10" s="1"/>
  <c r="A424" i="10"/>
  <c r="H426" i="3"/>
  <c r="H426" i="10" s="1"/>
  <c r="A426" i="10"/>
  <c r="H428" i="3"/>
  <c r="H428" i="10" s="1"/>
  <c r="A428" i="10"/>
  <c r="H430" i="3"/>
  <c r="H430" i="10" s="1"/>
  <c r="A430" i="10"/>
  <c r="H432" i="3"/>
  <c r="H432" i="10" s="1"/>
  <c r="A432" i="10"/>
  <c r="H434" i="3"/>
  <c r="H434" i="10" s="1"/>
  <c r="A434" i="10"/>
  <c r="H436" i="3"/>
  <c r="H436" i="10" s="1"/>
  <c r="A436" i="10"/>
  <c r="H438" i="3"/>
  <c r="H438" i="10" s="1"/>
  <c r="A438" i="10"/>
  <c r="H440" i="3"/>
  <c r="H440" i="10" s="1"/>
  <c r="A440" i="10"/>
  <c r="H442" i="3"/>
  <c r="H442" i="10" s="1"/>
  <c r="A442" i="10"/>
  <c r="H444" i="3"/>
  <c r="H444" i="10" s="1"/>
  <c r="A444" i="10"/>
  <c r="H446" i="3"/>
  <c r="H446" i="10" s="1"/>
  <c r="A446" i="10"/>
  <c r="H448" i="3"/>
  <c r="H448" i="10" s="1"/>
  <c r="A448" i="10"/>
  <c r="H450" i="3"/>
  <c r="H450" i="10" s="1"/>
  <c r="A450" i="10"/>
  <c r="H452" i="3"/>
  <c r="H452" i="10" s="1"/>
  <c r="A452" i="10"/>
  <c r="H454" i="3"/>
  <c r="H454" i="10" s="1"/>
  <c r="A454" i="10"/>
  <c r="H456" i="3"/>
  <c r="H456" i="10" s="1"/>
  <c r="A456" i="10"/>
  <c r="H458" i="3"/>
  <c r="H458" i="10" s="1"/>
  <c r="A458" i="10"/>
  <c r="H460" i="3"/>
  <c r="H460" i="10" s="1"/>
  <c r="A460" i="10"/>
  <c r="H462" i="3"/>
  <c r="H462" i="10" s="1"/>
  <c r="A462" i="10"/>
  <c r="H464" i="3"/>
  <c r="H464" i="10" s="1"/>
  <c r="A464" i="10"/>
  <c r="H466" i="3"/>
  <c r="H466" i="10" s="1"/>
  <c r="A466" i="10"/>
  <c r="H468" i="3"/>
  <c r="H468" i="10" s="1"/>
  <c r="A468" i="10"/>
  <c r="H470" i="3"/>
  <c r="H470" i="10" s="1"/>
  <c r="A470" i="10"/>
  <c r="H472" i="3"/>
  <c r="H472" i="10" s="1"/>
  <c r="A472" i="10"/>
  <c r="H474" i="3"/>
  <c r="H474" i="10" s="1"/>
  <c r="A474" i="10"/>
  <c r="H476" i="3"/>
  <c r="H476" i="10" s="1"/>
  <c r="A476" i="10"/>
  <c r="H478" i="3"/>
  <c r="H478" i="10" s="1"/>
  <c r="A478" i="10"/>
  <c r="H480" i="3"/>
  <c r="H480" i="10" s="1"/>
  <c r="A480" i="10"/>
  <c r="H482" i="3"/>
  <c r="H482" i="10" s="1"/>
  <c r="A482" i="10"/>
  <c r="H484" i="3"/>
  <c r="H484" i="10" s="1"/>
  <c r="A484" i="10"/>
  <c r="H486" i="3"/>
  <c r="H486" i="10" s="1"/>
  <c r="A486" i="10"/>
  <c r="H488" i="3"/>
  <c r="H488" i="10" s="1"/>
  <c r="A488" i="10"/>
  <c r="H490" i="3"/>
  <c r="H490" i="10" s="1"/>
  <c r="A490" i="10"/>
  <c r="H492" i="3"/>
  <c r="H492" i="10" s="1"/>
  <c r="A492" i="10"/>
  <c r="H494" i="3"/>
  <c r="H494" i="10" s="1"/>
  <c r="A494" i="10"/>
  <c r="H496" i="3"/>
  <c r="H496" i="10" s="1"/>
  <c r="A496" i="10"/>
  <c r="H498" i="3"/>
  <c r="H498" i="10" s="1"/>
  <c r="A498" i="10"/>
  <c r="H500" i="3"/>
  <c r="H500" i="10" s="1"/>
  <c r="A500" i="10"/>
  <c r="H502" i="3"/>
  <c r="H502" i="10" s="1"/>
  <c r="A502" i="10"/>
  <c r="H504" i="3"/>
  <c r="H504" i="10" s="1"/>
  <c r="A504" i="10"/>
  <c r="H506" i="3"/>
  <c r="H506" i="10" s="1"/>
  <c r="A506" i="10"/>
  <c r="H508" i="3"/>
  <c r="H508" i="10" s="1"/>
  <c r="A508" i="10"/>
  <c r="H510" i="3"/>
  <c r="H510" i="10" s="1"/>
  <c r="A510" i="10"/>
  <c r="H512" i="3"/>
  <c r="H512" i="10" s="1"/>
  <c r="A512" i="10"/>
  <c r="H514" i="3"/>
  <c r="H514" i="10" s="1"/>
  <c r="A514" i="10"/>
  <c r="H516" i="3"/>
  <c r="H516" i="10" s="1"/>
  <c r="A516" i="10"/>
  <c r="H518" i="3"/>
  <c r="H518" i="10" s="1"/>
  <c r="A518" i="10"/>
  <c r="H520" i="3"/>
  <c r="H520" i="10" s="1"/>
  <c r="A520" i="10"/>
  <c r="H522" i="3"/>
  <c r="H522" i="10" s="1"/>
  <c r="A522" i="10"/>
  <c r="H524" i="3"/>
  <c r="H524" i="10" s="1"/>
  <c r="A524" i="10"/>
  <c r="H526" i="3"/>
  <c r="H526" i="10" s="1"/>
  <c r="A526" i="10"/>
  <c r="H528" i="3"/>
  <c r="H528" i="10" s="1"/>
  <c r="A528" i="10"/>
  <c r="H530" i="3"/>
  <c r="H530" i="10" s="1"/>
  <c r="A530" i="10"/>
  <c r="H532" i="3"/>
  <c r="H532" i="10" s="1"/>
  <c r="A532" i="10"/>
  <c r="H534" i="3"/>
  <c r="H534" i="10" s="1"/>
  <c r="A534" i="10"/>
  <c r="H536" i="3"/>
  <c r="H536" i="10" s="1"/>
  <c r="A536" i="10"/>
  <c r="H538" i="3"/>
  <c r="H538" i="10" s="1"/>
  <c r="A538" i="10"/>
  <c r="H540" i="3"/>
  <c r="H540" i="10" s="1"/>
  <c r="A540" i="10"/>
  <c r="H542" i="3"/>
  <c r="H542" i="10" s="1"/>
  <c r="A542" i="10"/>
  <c r="I41" i="3"/>
  <c r="I41" i="10" s="1"/>
  <c r="I497" i="3"/>
  <c r="I497" i="10" s="1"/>
  <c r="I519" i="3"/>
  <c r="I519" i="10" s="1"/>
  <c r="I537" i="3"/>
  <c r="I537" i="10" s="1"/>
  <c r="I37" i="3"/>
  <c r="I37" i="10" s="1"/>
  <c r="I45" i="3"/>
  <c r="I45" i="10" s="1"/>
  <c r="H3" i="3"/>
  <c r="H3" i="10" s="1"/>
  <c r="A3" i="10"/>
  <c r="H5" i="3"/>
  <c r="H5" i="10" s="1"/>
  <c r="A5" i="10"/>
  <c r="H7" i="3"/>
  <c r="H7" i="10" s="1"/>
  <c r="A7" i="10"/>
  <c r="H9" i="3"/>
  <c r="H9" i="10" s="1"/>
  <c r="A9" i="10"/>
  <c r="H11" i="3"/>
  <c r="H11" i="10" s="1"/>
  <c r="A11" i="10"/>
  <c r="H13" i="3"/>
  <c r="H13" i="10" s="1"/>
  <c r="A13" i="10"/>
  <c r="H15" i="3"/>
  <c r="H15" i="10" s="1"/>
  <c r="A15" i="10"/>
  <c r="H17" i="3"/>
  <c r="H17" i="10" s="1"/>
  <c r="A17" i="10"/>
  <c r="H19" i="3"/>
  <c r="H19" i="10" s="1"/>
  <c r="A19" i="10"/>
  <c r="H21" i="3"/>
  <c r="H21" i="10" s="1"/>
  <c r="A21" i="10"/>
  <c r="H23" i="3"/>
  <c r="H23" i="10" s="1"/>
  <c r="A23" i="10"/>
  <c r="H25" i="3"/>
  <c r="H25" i="10" s="1"/>
  <c r="A25" i="10"/>
  <c r="H27" i="3"/>
  <c r="H27" i="10" s="1"/>
  <c r="A27" i="10"/>
  <c r="H29" i="3"/>
  <c r="H29" i="10" s="1"/>
  <c r="A29" i="10"/>
  <c r="H31" i="3"/>
  <c r="H31" i="10" s="1"/>
  <c r="A31" i="10"/>
  <c r="H33" i="3"/>
  <c r="H33" i="10" s="1"/>
  <c r="A33" i="10"/>
  <c r="H35" i="3"/>
  <c r="H35" i="10" s="1"/>
  <c r="A35" i="10"/>
  <c r="H37" i="3"/>
  <c r="H37" i="10" s="1"/>
  <c r="A37" i="10"/>
  <c r="H39" i="3"/>
  <c r="H39" i="10" s="1"/>
  <c r="A39" i="10"/>
  <c r="H41" i="3"/>
  <c r="H41" i="10" s="1"/>
  <c r="A41" i="10"/>
  <c r="H43" i="3"/>
  <c r="H43" i="10" s="1"/>
  <c r="A43" i="10"/>
  <c r="H45" i="3"/>
  <c r="H45" i="10" s="1"/>
  <c r="A45" i="10"/>
  <c r="H47" i="3"/>
  <c r="H47" i="10" s="1"/>
  <c r="A47" i="10"/>
  <c r="H49" i="3"/>
  <c r="H49" i="10" s="1"/>
  <c r="A49" i="10"/>
  <c r="H51" i="3"/>
  <c r="H51" i="10" s="1"/>
  <c r="A51" i="10"/>
  <c r="H53" i="3"/>
  <c r="H53" i="10" s="1"/>
  <c r="A53" i="10"/>
  <c r="H55" i="3"/>
  <c r="H55" i="10" s="1"/>
  <c r="A55" i="10"/>
  <c r="H57" i="3"/>
  <c r="H57" i="10" s="1"/>
  <c r="A57" i="10"/>
  <c r="H59" i="3"/>
  <c r="H59" i="10" s="1"/>
  <c r="A59" i="10"/>
  <c r="H61" i="3"/>
  <c r="H61" i="10" s="1"/>
  <c r="A61" i="10"/>
  <c r="H63" i="3"/>
  <c r="H63" i="10" s="1"/>
  <c r="A63" i="10"/>
  <c r="H65" i="3"/>
  <c r="H65" i="10" s="1"/>
  <c r="A65" i="10"/>
  <c r="H67" i="3"/>
  <c r="H67" i="10" s="1"/>
  <c r="A67" i="10"/>
  <c r="H69" i="3"/>
  <c r="H69" i="10" s="1"/>
  <c r="A69" i="10"/>
  <c r="H71" i="3"/>
  <c r="H71" i="10" s="1"/>
  <c r="A71" i="10"/>
  <c r="H73" i="3"/>
  <c r="H73" i="10" s="1"/>
  <c r="A73" i="10"/>
  <c r="H75" i="3"/>
  <c r="H75" i="10" s="1"/>
  <c r="A75" i="10"/>
  <c r="H77" i="3"/>
  <c r="H77" i="10" s="1"/>
  <c r="A77" i="10"/>
  <c r="H79" i="3"/>
  <c r="H79" i="10" s="1"/>
  <c r="A79" i="10"/>
  <c r="H81" i="3"/>
  <c r="H81" i="10" s="1"/>
  <c r="A81" i="10"/>
  <c r="H83" i="3"/>
  <c r="H83" i="10" s="1"/>
  <c r="A83" i="10"/>
  <c r="H85" i="3"/>
  <c r="H85" i="10" s="1"/>
  <c r="A85" i="10"/>
  <c r="H87" i="3"/>
  <c r="H87" i="10" s="1"/>
  <c r="A87" i="10"/>
  <c r="H89" i="3"/>
  <c r="H89" i="10" s="1"/>
  <c r="A89" i="10"/>
  <c r="H91" i="3"/>
  <c r="H91" i="10" s="1"/>
  <c r="A91" i="10"/>
  <c r="H93" i="3"/>
  <c r="H93" i="10" s="1"/>
  <c r="A93" i="10"/>
  <c r="H95" i="3"/>
  <c r="H95" i="10" s="1"/>
  <c r="A95" i="10"/>
  <c r="H97" i="3"/>
  <c r="H97" i="10" s="1"/>
  <c r="A97" i="10"/>
  <c r="H99" i="3"/>
  <c r="H99" i="10" s="1"/>
  <c r="A99" i="10"/>
  <c r="H101" i="3"/>
  <c r="H101" i="10" s="1"/>
  <c r="A101" i="10"/>
  <c r="H103" i="3"/>
  <c r="H103" i="10" s="1"/>
  <c r="A103" i="10"/>
  <c r="H105" i="3"/>
  <c r="H105" i="10" s="1"/>
  <c r="A105" i="10"/>
  <c r="H107" i="3"/>
  <c r="H107" i="10" s="1"/>
  <c r="A107" i="10"/>
  <c r="H109" i="3"/>
  <c r="H109" i="10" s="1"/>
  <c r="A109" i="10"/>
  <c r="H111" i="3"/>
  <c r="H111" i="10" s="1"/>
  <c r="A111" i="10"/>
  <c r="H113" i="3"/>
  <c r="H113" i="10" s="1"/>
  <c r="A113" i="10"/>
  <c r="H115" i="3"/>
  <c r="H115" i="10" s="1"/>
  <c r="A115" i="10"/>
  <c r="H117" i="3"/>
  <c r="H117" i="10" s="1"/>
  <c r="A117" i="10"/>
  <c r="H119" i="3"/>
  <c r="H119" i="10" s="1"/>
  <c r="A119" i="10"/>
  <c r="H121" i="3"/>
  <c r="H121" i="10" s="1"/>
  <c r="A121" i="10"/>
  <c r="H123" i="3"/>
  <c r="H123" i="10" s="1"/>
  <c r="A123" i="10"/>
  <c r="H125" i="3"/>
  <c r="H125" i="10" s="1"/>
  <c r="A125" i="10"/>
  <c r="H127" i="3"/>
  <c r="H127" i="10" s="1"/>
  <c r="A127" i="10"/>
  <c r="H129" i="3"/>
  <c r="H129" i="10" s="1"/>
  <c r="A129" i="10"/>
  <c r="H131" i="3"/>
  <c r="H131" i="10" s="1"/>
  <c r="A131" i="10"/>
  <c r="H133" i="3"/>
  <c r="H133" i="10" s="1"/>
  <c r="A133" i="10"/>
  <c r="H135" i="3"/>
  <c r="H135" i="10" s="1"/>
  <c r="A135" i="10"/>
  <c r="H137" i="3"/>
  <c r="H137" i="10" s="1"/>
  <c r="A137" i="10"/>
  <c r="H139" i="3"/>
  <c r="H139" i="10" s="1"/>
  <c r="A139" i="10"/>
  <c r="H141" i="3"/>
  <c r="H141" i="10" s="1"/>
  <c r="A141" i="10"/>
  <c r="H143" i="3"/>
  <c r="H143" i="10" s="1"/>
  <c r="A143" i="10"/>
  <c r="H145" i="3"/>
  <c r="H145" i="10" s="1"/>
  <c r="A145" i="10"/>
  <c r="H147" i="3"/>
  <c r="H147" i="10" s="1"/>
  <c r="A147" i="10"/>
  <c r="H149" i="3"/>
  <c r="H149" i="10" s="1"/>
  <c r="A149" i="10"/>
  <c r="H151" i="3"/>
  <c r="H151" i="10" s="1"/>
  <c r="A151" i="10"/>
  <c r="H153" i="3"/>
  <c r="H153" i="10" s="1"/>
  <c r="A153" i="10"/>
  <c r="H155" i="3"/>
  <c r="H155" i="10" s="1"/>
  <c r="A155" i="10"/>
  <c r="H157" i="3"/>
  <c r="H157" i="10" s="1"/>
  <c r="A157" i="10"/>
  <c r="H159" i="3"/>
  <c r="H159" i="10" s="1"/>
  <c r="A159" i="10"/>
  <c r="H161" i="3"/>
  <c r="H161" i="10" s="1"/>
  <c r="A161" i="10"/>
  <c r="H163" i="3"/>
  <c r="H163" i="10" s="1"/>
  <c r="A163" i="10"/>
  <c r="H165" i="3"/>
  <c r="H165" i="10" s="1"/>
  <c r="A165" i="10"/>
  <c r="H167" i="3"/>
  <c r="H167" i="10" s="1"/>
  <c r="A167" i="10"/>
  <c r="H169" i="3"/>
  <c r="H169" i="10" s="1"/>
  <c r="A169" i="10"/>
  <c r="H171" i="3"/>
  <c r="H171" i="10" s="1"/>
  <c r="A171" i="10"/>
  <c r="H173" i="3"/>
  <c r="H173" i="10" s="1"/>
  <c r="A173" i="10"/>
  <c r="H175" i="3"/>
  <c r="H175" i="10" s="1"/>
  <c r="A175" i="10"/>
  <c r="H177" i="3"/>
  <c r="H177" i="10" s="1"/>
  <c r="A177" i="10"/>
  <c r="H179" i="3"/>
  <c r="H179" i="10" s="1"/>
  <c r="A179" i="10"/>
  <c r="H181" i="3"/>
  <c r="H181" i="10" s="1"/>
  <c r="A181" i="10"/>
  <c r="H183" i="3"/>
  <c r="H183" i="10" s="1"/>
  <c r="A183" i="10"/>
  <c r="H185" i="3"/>
  <c r="H185" i="10" s="1"/>
  <c r="A185" i="10"/>
  <c r="H187" i="3"/>
  <c r="H187" i="10" s="1"/>
  <c r="A187" i="10"/>
  <c r="H189" i="3"/>
  <c r="H189" i="10" s="1"/>
  <c r="A189" i="10"/>
  <c r="H191" i="3"/>
  <c r="H191" i="10" s="1"/>
  <c r="A191" i="10"/>
  <c r="H193" i="3"/>
  <c r="H193" i="10" s="1"/>
  <c r="A193" i="10"/>
  <c r="H195" i="3"/>
  <c r="H195" i="10" s="1"/>
  <c r="A195" i="10"/>
  <c r="H197" i="3"/>
  <c r="H197" i="10" s="1"/>
  <c r="A197" i="10"/>
  <c r="H199" i="3"/>
  <c r="H199" i="10" s="1"/>
  <c r="A199" i="10"/>
  <c r="H201" i="3"/>
  <c r="H201" i="10" s="1"/>
  <c r="A201" i="10"/>
  <c r="H203" i="3"/>
  <c r="H203" i="10" s="1"/>
  <c r="A203" i="10"/>
  <c r="H205" i="3"/>
  <c r="H205" i="10" s="1"/>
  <c r="A205" i="10"/>
  <c r="H207" i="3"/>
  <c r="H207" i="10" s="1"/>
  <c r="A207" i="10"/>
  <c r="H209" i="3"/>
  <c r="H209" i="10" s="1"/>
  <c r="A209" i="10"/>
  <c r="H211" i="3"/>
  <c r="H211" i="10" s="1"/>
  <c r="A211" i="10"/>
  <c r="H213" i="3"/>
  <c r="H213" i="10" s="1"/>
  <c r="A213" i="10"/>
  <c r="H215" i="3"/>
  <c r="H215" i="10" s="1"/>
  <c r="A215" i="10"/>
  <c r="H217" i="3"/>
  <c r="H217" i="10" s="1"/>
  <c r="A217" i="10"/>
  <c r="H219" i="3"/>
  <c r="H219" i="10" s="1"/>
  <c r="A219" i="10"/>
  <c r="H221" i="3"/>
  <c r="H221" i="10" s="1"/>
  <c r="A221" i="10"/>
  <c r="H223" i="3"/>
  <c r="H223" i="10" s="1"/>
  <c r="A223" i="10"/>
  <c r="H225" i="3"/>
  <c r="H225" i="10" s="1"/>
  <c r="A225" i="10"/>
  <c r="H227" i="3"/>
  <c r="H227" i="10" s="1"/>
  <c r="A227" i="10"/>
  <c r="H229" i="3"/>
  <c r="H229" i="10" s="1"/>
  <c r="A229" i="10"/>
  <c r="H231" i="3"/>
  <c r="H231" i="10" s="1"/>
  <c r="A231" i="10"/>
  <c r="H233" i="3"/>
  <c r="H233" i="10" s="1"/>
  <c r="A233" i="10"/>
  <c r="H235" i="3"/>
  <c r="H235" i="10" s="1"/>
  <c r="A235" i="10"/>
  <c r="H237" i="3"/>
  <c r="H237" i="10" s="1"/>
  <c r="A237" i="10"/>
  <c r="H239" i="3"/>
  <c r="H239" i="10" s="1"/>
  <c r="A239" i="10"/>
  <c r="H241" i="3"/>
  <c r="H241" i="10" s="1"/>
  <c r="A241" i="10"/>
  <c r="H243" i="3"/>
  <c r="H243" i="10" s="1"/>
  <c r="A243" i="10"/>
  <c r="H245" i="3"/>
  <c r="H245" i="10" s="1"/>
  <c r="A245" i="10"/>
  <c r="H247" i="3"/>
  <c r="H247" i="10" s="1"/>
  <c r="A247" i="10"/>
  <c r="H249" i="3"/>
  <c r="H249" i="10" s="1"/>
  <c r="A249" i="10"/>
  <c r="H251" i="3"/>
  <c r="H251" i="10" s="1"/>
  <c r="A251" i="10"/>
  <c r="H253" i="3"/>
  <c r="H253" i="10" s="1"/>
  <c r="A253" i="10"/>
  <c r="H255" i="3"/>
  <c r="H255" i="10" s="1"/>
  <c r="A255" i="10"/>
  <c r="H257" i="3"/>
  <c r="H257" i="10" s="1"/>
  <c r="A257" i="10"/>
  <c r="H259" i="3"/>
  <c r="H259" i="10" s="1"/>
  <c r="A259" i="10"/>
  <c r="H261" i="3"/>
  <c r="H261" i="10" s="1"/>
  <c r="A261" i="10"/>
  <c r="H263" i="3"/>
  <c r="H263" i="10" s="1"/>
  <c r="A263" i="10"/>
  <c r="H265" i="3"/>
  <c r="H265" i="10" s="1"/>
  <c r="A265" i="10"/>
  <c r="H267" i="3"/>
  <c r="H267" i="10" s="1"/>
  <c r="A267" i="10"/>
  <c r="H269" i="3"/>
  <c r="H269" i="10" s="1"/>
  <c r="A269" i="10"/>
  <c r="H271" i="3"/>
  <c r="H271" i="10" s="1"/>
  <c r="A271" i="10"/>
  <c r="H273" i="3"/>
  <c r="H273" i="10" s="1"/>
  <c r="A273" i="10"/>
  <c r="H275" i="3"/>
  <c r="H275" i="10" s="1"/>
  <c r="A275" i="10"/>
  <c r="H277" i="3"/>
  <c r="H277" i="10" s="1"/>
  <c r="A277" i="10"/>
  <c r="H279" i="3"/>
  <c r="H279" i="10" s="1"/>
  <c r="A279" i="10"/>
  <c r="H281" i="3"/>
  <c r="H281" i="10" s="1"/>
  <c r="A281" i="10"/>
  <c r="H283" i="3"/>
  <c r="H283" i="10" s="1"/>
  <c r="A283" i="10"/>
  <c r="H285" i="3"/>
  <c r="H285" i="10" s="1"/>
  <c r="A285" i="10"/>
  <c r="H287" i="3"/>
  <c r="H287" i="10" s="1"/>
  <c r="A287" i="10"/>
  <c r="H289" i="3"/>
  <c r="H289" i="10" s="1"/>
  <c r="A289" i="10"/>
  <c r="H291" i="3"/>
  <c r="H291" i="10" s="1"/>
  <c r="A291" i="10"/>
  <c r="H293" i="3"/>
  <c r="H293" i="10" s="1"/>
  <c r="A293" i="10"/>
  <c r="H295" i="3"/>
  <c r="H295" i="10" s="1"/>
  <c r="A295" i="10"/>
  <c r="H297" i="3"/>
  <c r="H297" i="10" s="1"/>
  <c r="A297" i="10"/>
  <c r="H299" i="3"/>
  <c r="H299" i="10" s="1"/>
  <c r="A299" i="10"/>
  <c r="H301" i="3"/>
  <c r="H301" i="10" s="1"/>
  <c r="A301" i="10"/>
  <c r="H303" i="3"/>
  <c r="H303" i="10" s="1"/>
  <c r="A303" i="10"/>
  <c r="H305" i="3"/>
  <c r="H305" i="10" s="1"/>
  <c r="A305" i="10"/>
  <c r="H307" i="3"/>
  <c r="H307" i="10" s="1"/>
  <c r="A307" i="10"/>
  <c r="H309" i="3"/>
  <c r="H309" i="10" s="1"/>
  <c r="A309" i="10"/>
  <c r="H311" i="3"/>
  <c r="H311" i="10" s="1"/>
  <c r="A311" i="10"/>
  <c r="H313" i="3"/>
  <c r="H313" i="10" s="1"/>
  <c r="A313" i="10"/>
  <c r="H315" i="3"/>
  <c r="H315" i="10" s="1"/>
  <c r="A315" i="10"/>
  <c r="H317" i="3"/>
  <c r="H317" i="10" s="1"/>
  <c r="A317" i="10"/>
  <c r="H319" i="3"/>
  <c r="H319" i="10" s="1"/>
  <c r="A319" i="10"/>
  <c r="H321" i="3"/>
  <c r="H321" i="10" s="1"/>
  <c r="A321" i="10"/>
  <c r="H323" i="3"/>
  <c r="H323" i="10" s="1"/>
  <c r="A323" i="10"/>
  <c r="H325" i="3"/>
  <c r="H325" i="10" s="1"/>
  <c r="A325" i="10"/>
  <c r="H327" i="3"/>
  <c r="H327" i="10" s="1"/>
  <c r="A327" i="10"/>
  <c r="H329" i="3"/>
  <c r="H329" i="10" s="1"/>
  <c r="A329" i="10"/>
  <c r="H331" i="3"/>
  <c r="H331" i="10" s="1"/>
  <c r="A331" i="10"/>
  <c r="H333" i="3"/>
  <c r="H333" i="10" s="1"/>
  <c r="A333" i="10"/>
  <c r="H335" i="3"/>
  <c r="H335" i="10" s="1"/>
  <c r="A335" i="10"/>
  <c r="H337" i="3"/>
  <c r="H337" i="10" s="1"/>
  <c r="A337" i="10"/>
  <c r="H339" i="3"/>
  <c r="H339" i="10" s="1"/>
  <c r="A339" i="10"/>
  <c r="H341" i="3"/>
  <c r="H341" i="10" s="1"/>
  <c r="A341" i="10"/>
  <c r="H343" i="3"/>
  <c r="H343" i="10" s="1"/>
  <c r="A343" i="10"/>
  <c r="H345" i="3"/>
  <c r="H345" i="10" s="1"/>
  <c r="A345" i="10"/>
  <c r="H347" i="3"/>
  <c r="H347" i="10" s="1"/>
  <c r="A347" i="10"/>
  <c r="H349" i="3"/>
  <c r="H349" i="10" s="1"/>
  <c r="A349" i="10"/>
  <c r="H351" i="3"/>
  <c r="H351" i="10" s="1"/>
  <c r="A351" i="10"/>
  <c r="H353" i="3"/>
  <c r="H353" i="10" s="1"/>
  <c r="A353" i="10"/>
  <c r="H355" i="3"/>
  <c r="H355" i="10" s="1"/>
  <c r="A355" i="10"/>
  <c r="H357" i="3"/>
  <c r="H357" i="10" s="1"/>
  <c r="A357" i="10"/>
  <c r="H359" i="3"/>
  <c r="H359" i="10" s="1"/>
  <c r="A359" i="10"/>
  <c r="H361" i="3"/>
  <c r="H361" i="10" s="1"/>
  <c r="A361" i="10"/>
  <c r="H363" i="3"/>
  <c r="H363" i="10" s="1"/>
  <c r="A363" i="10"/>
  <c r="H365" i="3"/>
  <c r="H365" i="10" s="1"/>
  <c r="A365" i="10"/>
  <c r="H367" i="3"/>
  <c r="H367" i="10" s="1"/>
  <c r="A367" i="10"/>
  <c r="H369" i="3"/>
  <c r="H369" i="10" s="1"/>
  <c r="A369" i="10"/>
  <c r="H371" i="3"/>
  <c r="H371" i="10" s="1"/>
  <c r="A371" i="10"/>
  <c r="H373" i="3"/>
  <c r="H373" i="10" s="1"/>
  <c r="A373" i="10"/>
  <c r="H375" i="3"/>
  <c r="H375" i="10" s="1"/>
  <c r="A375" i="10"/>
  <c r="H377" i="3"/>
  <c r="H377" i="10" s="1"/>
  <c r="A377" i="10"/>
  <c r="H379" i="3"/>
  <c r="H379" i="10" s="1"/>
  <c r="A379" i="10"/>
  <c r="H381" i="3"/>
  <c r="H381" i="10" s="1"/>
  <c r="A381" i="10"/>
  <c r="H383" i="3"/>
  <c r="H383" i="10" s="1"/>
  <c r="A383" i="10"/>
  <c r="H385" i="3"/>
  <c r="H385" i="10" s="1"/>
  <c r="A385" i="10"/>
  <c r="H387" i="3"/>
  <c r="H387" i="10" s="1"/>
  <c r="A387" i="10"/>
  <c r="H389" i="3"/>
  <c r="H389" i="10" s="1"/>
  <c r="A389" i="10"/>
  <c r="H391" i="3"/>
  <c r="H391" i="10" s="1"/>
  <c r="A391" i="10"/>
  <c r="H393" i="3"/>
  <c r="H393" i="10" s="1"/>
  <c r="A393" i="10"/>
  <c r="H395" i="3"/>
  <c r="H395" i="10" s="1"/>
  <c r="A395" i="10"/>
  <c r="H397" i="3"/>
  <c r="H397" i="10" s="1"/>
  <c r="A397" i="10"/>
  <c r="H399" i="3"/>
  <c r="H399" i="10" s="1"/>
  <c r="A399" i="10"/>
  <c r="H401" i="3"/>
  <c r="H401" i="10" s="1"/>
  <c r="A401" i="10"/>
  <c r="H403" i="3"/>
  <c r="H403" i="10" s="1"/>
  <c r="A403" i="10"/>
  <c r="H405" i="3"/>
  <c r="H405" i="10" s="1"/>
  <c r="A405" i="10"/>
  <c r="H407" i="3"/>
  <c r="H407" i="10" s="1"/>
  <c r="A407" i="10"/>
  <c r="H409" i="3"/>
  <c r="H409" i="10" s="1"/>
  <c r="A409" i="10"/>
  <c r="H411" i="3"/>
  <c r="H411" i="10" s="1"/>
  <c r="A411" i="10"/>
  <c r="H413" i="3"/>
  <c r="H413" i="10" s="1"/>
  <c r="A413" i="10"/>
  <c r="H415" i="3"/>
  <c r="H415" i="10" s="1"/>
  <c r="A415" i="10"/>
  <c r="H417" i="3"/>
  <c r="H417" i="10" s="1"/>
  <c r="A417" i="10"/>
  <c r="H419" i="3"/>
  <c r="H419" i="10" s="1"/>
  <c r="A419" i="10"/>
  <c r="H421" i="3"/>
  <c r="H421" i="10" s="1"/>
  <c r="A421" i="10"/>
  <c r="H423" i="3"/>
  <c r="H423" i="10" s="1"/>
  <c r="A423" i="10"/>
  <c r="H425" i="3"/>
  <c r="H425" i="10" s="1"/>
  <c r="A425" i="10"/>
  <c r="H427" i="3"/>
  <c r="H427" i="10" s="1"/>
  <c r="A427" i="10"/>
  <c r="H429" i="3"/>
  <c r="H429" i="10" s="1"/>
  <c r="A429" i="10"/>
  <c r="H431" i="3"/>
  <c r="H431" i="10" s="1"/>
  <c r="A431" i="10"/>
  <c r="H433" i="3"/>
  <c r="H433" i="10" s="1"/>
  <c r="A433" i="10"/>
  <c r="H435" i="3"/>
  <c r="H435" i="10" s="1"/>
  <c r="A435" i="10"/>
  <c r="H437" i="3"/>
  <c r="H437" i="10" s="1"/>
  <c r="A437" i="10"/>
  <c r="H439" i="3"/>
  <c r="H439" i="10" s="1"/>
  <c r="A439" i="10"/>
  <c r="H441" i="3"/>
  <c r="H441" i="10" s="1"/>
  <c r="A441" i="10"/>
  <c r="H443" i="3"/>
  <c r="H443" i="10" s="1"/>
  <c r="A443" i="10"/>
  <c r="H445" i="3"/>
  <c r="H445" i="10" s="1"/>
  <c r="A445" i="10"/>
  <c r="H447" i="3"/>
  <c r="H447" i="10" s="1"/>
  <c r="A447" i="10"/>
  <c r="H449" i="3"/>
  <c r="H449" i="10" s="1"/>
  <c r="A449" i="10"/>
  <c r="H451" i="3"/>
  <c r="H451" i="10" s="1"/>
  <c r="A451" i="10"/>
  <c r="H453" i="3"/>
  <c r="H453" i="10" s="1"/>
  <c r="A453" i="10"/>
  <c r="H455" i="3"/>
  <c r="H455" i="10" s="1"/>
  <c r="A455" i="10"/>
  <c r="H457" i="3"/>
  <c r="H457" i="10" s="1"/>
  <c r="A457" i="10"/>
  <c r="H459" i="3"/>
  <c r="H459" i="10" s="1"/>
  <c r="A459" i="10"/>
  <c r="H461" i="3"/>
  <c r="H461" i="10" s="1"/>
  <c r="A461" i="10"/>
  <c r="H463" i="3"/>
  <c r="H463" i="10" s="1"/>
  <c r="A463" i="10"/>
  <c r="H465" i="3"/>
  <c r="H465" i="10" s="1"/>
  <c r="A465" i="10"/>
  <c r="H467" i="3"/>
  <c r="H467" i="10" s="1"/>
  <c r="A467" i="10"/>
  <c r="H469" i="3"/>
  <c r="H469" i="10" s="1"/>
  <c r="A469" i="10"/>
  <c r="H471" i="3"/>
  <c r="H471" i="10" s="1"/>
  <c r="A471" i="10"/>
  <c r="H473" i="3"/>
  <c r="H473" i="10" s="1"/>
  <c r="A473" i="10"/>
  <c r="H475" i="3"/>
  <c r="H475" i="10" s="1"/>
  <c r="A475" i="10"/>
  <c r="H477" i="3"/>
  <c r="H477" i="10" s="1"/>
  <c r="A477" i="10"/>
  <c r="H479" i="3"/>
  <c r="H479" i="10" s="1"/>
  <c r="A479" i="10"/>
  <c r="H481" i="3"/>
  <c r="H481" i="10" s="1"/>
  <c r="A481" i="10"/>
  <c r="H483" i="3"/>
  <c r="H483" i="10" s="1"/>
  <c r="A483" i="10"/>
  <c r="H485" i="3"/>
  <c r="H485" i="10" s="1"/>
  <c r="A485" i="10"/>
  <c r="H487" i="3"/>
  <c r="H487" i="10" s="1"/>
  <c r="A487" i="10"/>
  <c r="H489" i="3"/>
  <c r="H489" i="10" s="1"/>
  <c r="A489" i="10"/>
  <c r="H491" i="3"/>
  <c r="H491" i="10" s="1"/>
  <c r="A491" i="10"/>
  <c r="H493" i="3"/>
  <c r="H493" i="10" s="1"/>
  <c r="A493" i="10"/>
  <c r="H495" i="3"/>
  <c r="H495" i="10" s="1"/>
  <c r="A495" i="10"/>
  <c r="H497" i="3"/>
  <c r="H497" i="10" s="1"/>
  <c r="A497" i="10"/>
  <c r="H499" i="3"/>
  <c r="H499" i="10" s="1"/>
  <c r="A499" i="10"/>
  <c r="H501" i="3"/>
  <c r="H501" i="10" s="1"/>
  <c r="A501" i="10"/>
  <c r="H503" i="3"/>
  <c r="H503" i="10" s="1"/>
  <c r="A503" i="10"/>
  <c r="H505" i="3"/>
  <c r="H505" i="10" s="1"/>
  <c r="A505" i="10"/>
  <c r="H507" i="3"/>
  <c r="H507" i="10" s="1"/>
  <c r="A507" i="10"/>
  <c r="H509" i="3"/>
  <c r="H509" i="10" s="1"/>
  <c r="A509" i="10"/>
  <c r="H511" i="3"/>
  <c r="H511" i="10" s="1"/>
  <c r="A511" i="10"/>
  <c r="H513" i="3"/>
  <c r="H513" i="10" s="1"/>
  <c r="A513" i="10"/>
  <c r="H515" i="3"/>
  <c r="H515" i="10" s="1"/>
  <c r="A515" i="10"/>
  <c r="H517" i="3"/>
  <c r="H517" i="10" s="1"/>
  <c r="A517" i="10"/>
  <c r="H519" i="3"/>
  <c r="H519" i="10" s="1"/>
  <c r="A519" i="10"/>
  <c r="H521" i="3"/>
  <c r="H521" i="10" s="1"/>
  <c r="A521" i="10"/>
  <c r="H523" i="3"/>
  <c r="H523" i="10" s="1"/>
  <c r="A523" i="10"/>
  <c r="H525" i="3"/>
  <c r="H525" i="10" s="1"/>
  <c r="A525" i="10"/>
  <c r="H527" i="3"/>
  <c r="H527" i="10" s="1"/>
  <c r="A527" i="10"/>
  <c r="H529" i="3"/>
  <c r="H529" i="10" s="1"/>
  <c r="A529" i="10"/>
  <c r="H531" i="3"/>
  <c r="H531" i="10" s="1"/>
  <c r="A531" i="10"/>
  <c r="H533" i="3"/>
  <c r="H533" i="10" s="1"/>
  <c r="A533" i="10"/>
  <c r="H535" i="3"/>
  <c r="H535" i="10" s="1"/>
  <c r="A535" i="10"/>
  <c r="H537" i="3"/>
  <c r="H537" i="10" s="1"/>
  <c r="A537" i="10"/>
  <c r="H539" i="3"/>
  <c r="H539" i="10" s="1"/>
  <c r="A539" i="10"/>
  <c r="H541" i="3"/>
  <c r="H541" i="10" s="1"/>
  <c r="A541" i="10"/>
  <c r="I35" i="3"/>
  <c r="I35" i="10" s="1"/>
  <c r="I39" i="3"/>
  <c r="I39" i="10" s="1"/>
  <c r="I69" i="3"/>
  <c r="I69" i="10" s="1"/>
  <c r="I77" i="3"/>
  <c r="I77" i="10" s="1"/>
  <c r="I153" i="3"/>
  <c r="I153" i="10" s="1"/>
  <c r="I157" i="3"/>
  <c r="I157" i="10" s="1"/>
  <c r="I165" i="3"/>
  <c r="I165" i="10" s="1"/>
  <c r="I4" i="3"/>
  <c r="I4" i="10" s="1"/>
  <c r="I8" i="3"/>
  <c r="I8" i="10" s="1"/>
  <c r="I12" i="3"/>
  <c r="I12" i="10" s="1"/>
  <c r="I16" i="3"/>
  <c r="I16" i="10" s="1"/>
  <c r="I20" i="3"/>
  <c r="I20" i="10" s="1"/>
  <c r="I22" i="3"/>
  <c r="I22" i="10" s="1"/>
  <c r="I24" i="3"/>
  <c r="I24" i="10" s="1"/>
  <c r="I28" i="3"/>
  <c r="I28" i="10" s="1"/>
  <c r="I30" i="3"/>
  <c r="I30" i="10" s="1"/>
  <c r="I32" i="3"/>
  <c r="I32" i="10" s="1"/>
  <c r="I36" i="3"/>
  <c r="I36" i="10" s="1"/>
  <c r="I38" i="3"/>
  <c r="I38" i="10" s="1"/>
  <c r="I40" i="3"/>
  <c r="I40" i="10" s="1"/>
  <c r="I44" i="3"/>
  <c r="I44" i="10" s="1"/>
  <c r="I48" i="3"/>
  <c r="I48" i="10" s="1"/>
  <c r="I52" i="3"/>
  <c r="I52" i="10" s="1"/>
  <c r="I56" i="3"/>
  <c r="I56" i="10" s="1"/>
  <c r="I60" i="3"/>
  <c r="I60" i="10" s="1"/>
  <c r="I64" i="3"/>
  <c r="I64" i="10" s="1"/>
  <c r="I68" i="3"/>
  <c r="I68" i="10" s="1"/>
  <c r="I72" i="3"/>
  <c r="I72" i="10" s="1"/>
  <c r="I76" i="3"/>
  <c r="I76" i="10" s="1"/>
  <c r="I80" i="3"/>
  <c r="I80" i="10" s="1"/>
  <c r="I82" i="3"/>
  <c r="I82" i="10" s="1"/>
  <c r="I84" i="3"/>
  <c r="I84" i="10" s="1"/>
  <c r="I86" i="3"/>
  <c r="I86" i="10" s="1"/>
  <c r="I88" i="3"/>
  <c r="I88" i="10" s="1"/>
  <c r="I90" i="3"/>
  <c r="I90" i="10" s="1"/>
  <c r="I92" i="3"/>
  <c r="I92" i="10" s="1"/>
  <c r="I96" i="3"/>
  <c r="I96" i="10" s="1"/>
  <c r="I100" i="3"/>
  <c r="I100" i="10" s="1"/>
  <c r="I104" i="3"/>
  <c r="I104" i="10" s="1"/>
  <c r="I108" i="3"/>
  <c r="I108" i="10" s="1"/>
  <c r="I112" i="3"/>
  <c r="I112" i="10" s="1"/>
  <c r="I116" i="3"/>
  <c r="I116" i="10" s="1"/>
  <c r="I120" i="3"/>
  <c r="I120" i="10" s="1"/>
  <c r="I124" i="3"/>
  <c r="I124" i="10" s="1"/>
  <c r="I128" i="3"/>
  <c r="I128" i="10" s="1"/>
  <c r="I132" i="3"/>
  <c r="I132" i="10" s="1"/>
  <c r="I136" i="3"/>
  <c r="I136" i="10" s="1"/>
  <c r="I140" i="3"/>
  <c r="I140" i="10" s="1"/>
  <c r="I142" i="3"/>
  <c r="I142" i="10" s="1"/>
  <c r="I144" i="3"/>
  <c r="I144" i="10" s="1"/>
  <c r="I146" i="3"/>
  <c r="I146" i="10" s="1"/>
  <c r="I148" i="3"/>
  <c r="I148" i="10" s="1"/>
  <c r="I152" i="3"/>
  <c r="I152" i="10" s="1"/>
  <c r="I156" i="3"/>
  <c r="I156" i="10" s="1"/>
  <c r="I160" i="3"/>
  <c r="I160" i="10" s="1"/>
  <c r="I164" i="3"/>
  <c r="I164" i="10" s="1"/>
  <c r="I168" i="3"/>
  <c r="I168" i="10" s="1"/>
  <c r="I172" i="3"/>
  <c r="I172" i="10" s="1"/>
  <c r="I176" i="3"/>
  <c r="I176" i="10" s="1"/>
  <c r="I180" i="3"/>
  <c r="I180" i="10" s="1"/>
  <c r="I184" i="3"/>
  <c r="I184" i="10" s="1"/>
  <c r="I188" i="3"/>
  <c r="I188" i="10" s="1"/>
  <c r="I192" i="3"/>
  <c r="I192" i="10" s="1"/>
  <c r="I196" i="3"/>
  <c r="I196" i="10" s="1"/>
  <c r="I200" i="3"/>
  <c r="I200" i="10" s="1"/>
  <c r="I204" i="3"/>
  <c r="I204" i="10" s="1"/>
  <c r="I208" i="3"/>
  <c r="I208" i="10" s="1"/>
  <c r="I212" i="3"/>
  <c r="I212" i="10" s="1"/>
  <c r="I216" i="3"/>
  <c r="I216" i="10" s="1"/>
  <c r="I220" i="3"/>
  <c r="I220" i="10" s="1"/>
  <c r="I224" i="3"/>
  <c r="I224" i="10" s="1"/>
  <c r="I228" i="3"/>
  <c r="I228" i="10" s="1"/>
  <c r="I232" i="3"/>
  <c r="I232" i="10" s="1"/>
  <c r="I236" i="3"/>
  <c r="I236" i="10" s="1"/>
  <c r="I238" i="3"/>
  <c r="I238" i="10" s="1"/>
  <c r="I240" i="3"/>
  <c r="I240" i="10" s="1"/>
  <c r="I244" i="3"/>
  <c r="I244" i="10" s="1"/>
  <c r="I246" i="3"/>
  <c r="I246" i="10" s="1"/>
  <c r="I248" i="3"/>
  <c r="I248" i="10" s="1"/>
  <c r="I252" i="3"/>
  <c r="I252" i="10" s="1"/>
  <c r="I256" i="3"/>
  <c r="I256" i="10" s="1"/>
  <c r="I260" i="3"/>
  <c r="I260" i="10" s="1"/>
  <c r="I264" i="3"/>
  <c r="I264" i="10" s="1"/>
  <c r="I268" i="3"/>
  <c r="I268" i="10" s="1"/>
  <c r="I272" i="3"/>
  <c r="I272" i="10" s="1"/>
  <c r="I276" i="3"/>
  <c r="I276" i="10" s="1"/>
  <c r="I280" i="3"/>
  <c r="I280" i="10" s="1"/>
  <c r="I284" i="3"/>
  <c r="I284" i="10" s="1"/>
  <c r="I288" i="3"/>
  <c r="I288" i="10" s="1"/>
  <c r="I292" i="3"/>
  <c r="I292" i="10" s="1"/>
  <c r="I296" i="3"/>
  <c r="I296" i="10" s="1"/>
  <c r="I300" i="3"/>
  <c r="I300" i="10" s="1"/>
  <c r="I304" i="3"/>
  <c r="I304" i="10" s="1"/>
  <c r="I308" i="3"/>
  <c r="I308" i="10" s="1"/>
  <c r="I312" i="3"/>
  <c r="I312" i="10" s="1"/>
  <c r="I316" i="3"/>
  <c r="I316" i="10" s="1"/>
  <c r="I320" i="3"/>
  <c r="I320" i="10" s="1"/>
  <c r="I322" i="3"/>
  <c r="I322" i="10" s="1"/>
  <c r="I324" i="3"/>
  <c r="I324" i="10" s="1"/>
  <c r="I326" i="3"/>
  <c r="I326" i="10" s="1"/>
  <c r="I328" i="3"/>
  <c r="I328" i="10" s="1"/>
  <c r="I332" i="3"/>
  <c r="I332" i="10" s="1"/>
  <c r="I336" i="3"/>
  <c r="I336" i="10" s="1"/>
  <c r="I340" i="3"/>
  <c r="I340" i="10" s="1"/>
  <c r="I344" i="3"/>
  <c r="I344" i="10" s="1"/>
  <c r="I348" i="3"/>
  <c r="I348" i="10" s="1"/>
  <c r="I352" i="3"/>
  <c r="I352" i="10" s="1"/>
  <c r="I356" i="3"/>
  <c r="I356" i="10" s="1"/>
  <c r="I360" i="3"/>
  <c r="I360" i="10" s="1"/>
  <c r="I364" i="3"/>
  <c r="I364" i="10" s="1"/>
  <c r="I368" i="3"/>
  <c r="I368" i="10" s="1"/>
  <c r="I372" i="3"/>
  <c r="I372" i="10" s="1"/>
  <c r="I376" i="3"/>
  <c r="I376" i="10" s="1"/>
  <c r="I380" i="3"/>
  <c r="I380" i="10" s="1"/>
  <c r="I384" i="3"/>
  <c r="I384" i="10" s="1"/>
  <c r="I388" i="3"/>
  <c r="I388" i="10" s="1"/>
  <c r="I392" i="3"/>
  <c r="I392" i="10" s="1"/>
  <c r="I396" i="3"/>
  <c r="I396" i="10" s="1"/>
  <c r="I400" i="3"/>
  <c r="I400" i="10" s="1"/>
  <c r="I404" i="3"/>
  <c r="I404" i="10" s="1"/>
  <c r="I408" i="3"/>
  <c r="I408" i="10" s="1"/>
  <c r="I412" i="3"/>
  <c r="I412" i="10" s="1"/>
  <c r="I416" i="3"/>
  <c r="I416" i="10" s="1"/>
  <c r="I420" i="3"/>
  <c r="I420" i="10" s="1"/>
  <c r="I424" i="3"/>
  <c r="I424" i="10" s="1"/>
  <c r="I428" i="3"/>
  <c r="I428" i="10" s="1"/>
  <c r="I432" i="3"/>
  <c r="I432" i="10" s="1"/>
  <c r="I436" i="3"/>
  <c r="I436" i="10" s="1"/>
  <c r="I440" i="3"/>
  <c r="I440" i="10" s="1"/>
  <c r="I444" i="3"/>
  <c r="I444" i="10" s="1"/>
  <c r="I446" i="3"/>
  <c r="I446" i="10" s="1"/>
  <c r="I448" i="3"/>
  <c r="I448" i="10" s="1"/>
  <c r="I450" i="3"/>
  <c r="I450" i="10" s="1"/>
  <c r="I452" i="3"/>
  <c r="I452" i="10" s="1"/>
  <c r="I454" i="3"/>
  <c r="I454" i="10" s="1"/>
  <c r="I456" i="3"/>
  <c r="I456" i="10" s="1"/>
  <c r="I458" i="3"/>
  <c r="I458" i="10" s="1"/>
  <c r="I460" i="3"/>
  <c r="I460" i="10" s="1"/>
  <c r="I462" i="3"/>
  <c r="I462" i="10" s="1"/>
  <c r="I464" i="3"/>
  <c r="I464" i="10" s="1"/>
  <c r="I468" i="3"/>
  <c r="I468" i="10" s="1"/>
  <c r="I472" i="3"/>
  <c r="I472" i="10" s="1"/>
  <c r="I476" i="3"/>
  <c r="I476" i="10" s="1"/>
  <c r="I478" i="3"/>
  <c r="I478" i="10" s="1"/>
  <c r="I480" i="3"/>
  <c r="I480" i="10" s="1"/>
  <c r="I482" i="3"/>
  <c r="I482" i="10" s="1"/>
  <c r="I484" i="3"/>
  <c r="I484" i="10" s="1"/>
  <c r="I486" i="3"/>
  <c r="I486" i="10" s="1"/>
  <c r="I488" i="3"/>
  <c r="I488" i="10" s="1"/>
  <c r="I490" i="3"/>
  <c r="I490" i="10" s="1"/>
  <c r="I492" i="3"/>
  <c r="I492" i="10" s="1"/>
  <c r="I494" i="3"/>
  <c r="I494" i="10" s="1"/>
  <c r="I496" i="3"/>
  <c r="I496" i="10" s="1"/>
  <c r="I500" i="3"/>
  <c r="I500" i="10" s="1"/>
  <c r="I504" i="3"/>
  <c r="I504" i="10" s="1"/>
  <c r="I508" i="3"/>
  <c r="I508" i="10" s="1"/>
  <c r="I510" i="3"/>
  <c r="I510" i="10" s="1"/>
  <c r="I512" i="3"/>
  <c r="I512" i="10" s="1"/>
  <c r="I516" i="3"/>
  <c r="I516" i="10" s="1"/>
  <c r="I518" i="3"/>
  <c r="I518" i="10" s="1"/>
  <c r="I520" i="3"/>
  <c r="I520" i="10" s="1"/>
  <c r="I524" i="3"/>
  <c r="I524" i="10" s="1"/>
  <c r="I528" i="3"/>
  <c r="I528" i="10" s="1"/>
  <c r="I532" i="3"/>
  <c r="I532" i="10" s="1"/>
  <c r="I536" i="3"/>
  <c r="I536" i="10" s="1"/>
  <c r="I538" i="3"/>
  <c r="I538" i="10" s="1"/>
  <c r="I540" i="3"/>
  <c r="I540" i="10" s="1"/>
  <c r="I542" i="3"/>
  <c r="I542" i="10" s="1"/>
  <c r="I3" i="3"/>
  <c r="I3" i="10" s="1"/>
  <c r="I27" i="3"/>
  <c r="I27" i="10" s="1"/>
  <c r="I51" i="3"/>
  <c r="I51" i="10" s="1"/>
  <c r="I203" i="3"/>
  <c r="I203" i="10" s="1"/>
  <c r="I239" i="3"/>
  <c r="I239" i="10" s="1"/>
  <c r="I271" i="3"/>
  <c r="I271" i="10" s="1"/>
  <c r="I506" i="3"/>
  <c r="I506" i="10" s="1"/>
  <c r="I530" i="3"/>
  <c r="I530" i="10" s="1"/>
  <c r="I49" i="3"/>
  <c r="I49" i="10" s="1"/>
  <c r="I93" i="3"/>
  <c r="I93" i="10" s="1"/>
  <c r="I101" i="3"/>
  <c r="I101" i="10" s="1"/>
  <c r="I109" i="3"/>
  <c r="I109" i="10" s="1"/>
  <c r="I173" i="3"/>
  <c r="I173" i="10" s="1"/>
  <c r="I181" i="3"/>
  <c r="I181" i="10" s="1"/>
  <c r="I189" i="3"/>
  <c r="I189" i="10" s="1"/>
  <c r="I197" i="3"/>
  <c r="I197" i="10" s="1"/>
  <c r="I205" i="3"/>
  <c r="I205" i="10" s="1"/>
  <c r="I221" i="3"/>
  <c r="I221" i="10" s="1"/>
  <c r="I229" i="3"/>
  <c r="I229" i="10" s="1"/>
  <c r="I237" i="3"/>
  <c r="I237" i="10" s="1"/>
  <c r="I341" i="3"/>
  <c r="I341" i="10" s="1"/>
  <c r="I361" i="3"/>
  <c r="I361" i="10" s="1"/>
  <c r="A209" i="6"/>
  <c r="A325" i="6"/>
  <c r="A27" i="6"/>
  <c r="A127" i="6"/>
  <c r="A179" i="6"/>
  <c r="A84" i="6"/>
  <c r="A124" i="6"/>
  <c r="A180" i="6"/>
  <c r="A188" i="6"/>
  <c r="A417" i="6"/>
  <c r="A9" i="6"/>
  <c r="A309" i="6"/>
  <c r="A89" i="6"/>
  <c r="A153" i="6"/>
  <c r="A146" i="6"/>
  <c r="A50" i="6"/>
  <c r="A82" i="6"/>
  <c r="A86" i="6"/>
  <c r="A198" i="6"/>
  <c r="A42" i="6"/>
  <c r="A138" i="6"/>
  <c r="B2" i="3"/>
  <c r="B2" i="10" s="1"/>
  <c r="B3" i="3"/>
  <c r="B3" i="10" s="1"/>
  <c r="B4" i="3"/>
  <c r="B4" i="10" s="1"/>
  <c r="B5" i="3"/>
  <c r="B5" i="10" s="1"/>
  <c r="B6" i="3"/>
  <c r="B6" i="10" s="1"/>
  <c r="B7" i="3"/>
  <c r="B7" i="10" s="1"/>
  <c r="B8" i="3"/>
  <c r="B8" i="10" s="1"/>
  <c r="B9" i="3"/>
  <c r="B9" i="10" s="1"/>
  <c r="B10" i="3"/>
  <c r="B10" i="10" s="1"/>
  <c r="B11" i="3"/>
  <c r="B11" i="10" s="1"/>
  <c r="B12" i="3"/>
  <c r="B12" i="10" s="1"/>
  <c r="B13" i="3"/>
  <c r="B13" i="10" s="1"/>
  <c r="B14" i="3"/>
  <c r="B14" i="10" s="1"/>
  <c r="B15" i="3"/>
  <c r="B15" i="10" s="1"/>
  <c r="B16" i="3"/>
  <c r="B16" i="10" s="1"/>
  <c r="B17" i="3"/>
  <c r="B17" i="10" s="1"/>
  <c r="B18" i="3"/>
  <c r="B18" i="10" s="1"/>
  <c r="B19" i="3"/>
  <c r="B19" i="10" s="1"/>
  <c r="B20" i="3"/>
  <c r="B20" i="10" s="1"/>
  <c r="B21" i="3"/>
  <c r="B21" i="10" s="1"/>
  <c r="B22" i="3"/>
  <c r="B22" i="10" s="1"/>
  <c r="B23" i="3"/>
  <c r="B23" i="10" s="1"/>
  <c r="B24" i="3"/>
  <c r="B24" i="10" s="1"/>
  <c r="B25" i="3"/>
  <c r="B25" i="10" s="1"/>
  <c r="B26" i="3"/>
  <c r="B26" i="10" s="1"/>
  <c r="B27" i="3"/>
  <c r="B27" i="10" s="1"/>
  <c r="B28" i="3"/>
  <c r="B28" i="10" s="1"/>
  <c r="B29" i="3"/>
  <c r="B29" i="10" s="1"/>
  <c r="B30" i="3"/>
  <c r="B30" i="10" s="1"/>
  <c r="B31" i="3"/>
  <c r="B31" i="10" s="1"/>
  <c r="B32" i="3"/>
  <c r="B32" i="10" s="1"/>
  <c r="B33" i="3"/>
  <c r="B33" i="10" s="1"/>
  <c r="B34" i="3"/>
  <c r="B34" i="10" s="1"/>
  <c r="B35" i="3"/>
  <c r="B35" i="10" s="1"/>
  <c r="B36" i="3"/>
  <c r="B36" i="10" s="1"/>
  <c r="B37" i="3"/>
  <c r="B37" i="10" s="1"/>
  <c r="E38" i="3"/>
  <c r="E38" i="10" s="1"/>
  <c r="B38" i="3"/>
  <c r="B38" i="10" s="1"/>
  <c r="E39" i="3"/>
  <c r="E39" i="10" s="1"/>
  <c r="B39" i="3"/>
  <c r="B39" i="10" s="1"/>
  <c r="E40" i="3"/>
  <c r="E40" i="10" s="1"/>
  <c r="B40" i="3"/>
  <c r="B40" i="10" s="1"/>
  <c r="B41" i="3"/>
  <c r="B41" i="10" s="1"/>
  <c r="B42" i="3"/>
  <c r="B42" i="10" s="1"/>
  <c r="B43" i="3"/>
  <c r="B43" i="10" s="1"/>
  <c r="B44" i="3"/>
  <c r="B44" i="10" s="1"/>
  <c r="B45" i="3"/>
  <c r="B45" i="10" s="1"/>
  <c r="B46" i="3"/>
  <c r="B46" i="10" s="1"/>
  <c r="B47" i="3"/>
  <c r="B47" i="10" s="1"/>
  <c r="B48" i="3"/>
  <c r="B48" i="10" s="1"/>
  <c r="B49" i="3"/>
  <c r="B49" i="10" s="1"/>
  <c r="B50" i="3"/>
  <c r="B50" i="10" s="1"/>
  <c r="B51" i="3"/>
  <c r="B51" i="10" s="1"/>
  <c r="B52" i="3"/>
  <c r="B52" i="10" s="1"/>
  <c r="B53" i="3"/>
  <c r="B53" i="10" s="1"/>
  <c r="B54" i="3"/>
  <c r="B54" i="10" s="1"/>
  <c r="B55" i="3"/>
  <c r="B55" i="10" s="1"/>
  <c r="B56" i="3"/>
  <c r="B56" i="10" s="1"/>
  <c r="B57" i="3"/>
  <c r="B57" i="10" s="1"/>
  <c r="B58" i="3"/>
  <c r="B58" i="10" s="1"/>
  <c r="B59" i="3"/>
  <c r="B59" i="10" s="1"/>
  <c r="B60" i="3"/>
  <c r="B60" i="10" s="1"/>
  <c r="B61" i="3"/>
  <c r="B61" i="10" s="1"/>
  <c r="B62" i="3"/>
  <c r="B62" i="10" s="1"/>
  <c r="B63" i="3"/>
  <c r="B63" i="10" s="1"/>
  <c r="B64" i="3"/>
  <c r="B64" i="10" s="1"/>
  <c r="B65" i="3"/>
  <c r="B65" i="10" s="1"/>
  <c r="B66" i="3"/>
  <c r="B66" i="10" s="1"/>
  <c r="B67" i="3"/>
  <c r="B67" i="10" s="1"/>
  <c r="B68" i="3"/>
  <c r="B68" i="10" s="1"/>
  <c r="B69" i="3"/>
  <c r="B69" i="10" s="1"/>
  <c r="B70" i="3"/>
  <c r="B70" i="10" s="1"/>
  <c r="B71" i="3"/>
  <c r="B71" i="10" s="1"/>
  <c r="B72" i="3"/>
  <c r="B72" i="10" s="1"/>
  <c r="B73" i="3"/>
  <c r="B73" i="10" s="1"/>
  <c r="B74" i="3"/>
  <c r="B74" i="10" s="1"/>
  <c r="B75" i="3"/>
  <c r="B75" i="10" s="1"/>
  <c r="B76" i="3"/>
  <c r="B76" i="10" s="1"/>
  <c r="B77" i="3"/>
  <c r="B77" i="10" s="1"/>
  <c r="B78" i="3"/>
  <c r="B78" i="10" s="1"/>
  <c r="B79" i="3"/>
  <c r="B79" i="10" s="1"/>
  <c r="B80" i="3"/>
  <c r="B80" i="10" s="1"/>
  <c r="B81" i="3"/>
  <c r="B81" i="10" s="1"/>
  <c r="B82" i="3"/>
  <c r="B82" i="10" s="1"/>
  <c r="B83" i="3"/>
  <c r="B83" i="10" s="1"/>
  <c r="B84" i="3"/>
  <c r="B84" i="10" s="1"/>
  <c r="B85" i="3"/>
  <c r="B85" i="10" s="1"/>
  <c r="B86" i="3"/>
  <c r="B86" i="10" s="1"/>
  <c r="B87" i="3"/>
  <c r="B87" i="10" s="1"/>
  <c r="B88" i="3"/>
  <c r="B88" i="10" s="1"/>
  <c r="B89" i="3"/>
  <c r="B89" i="10" s="1"/>
  <c r="B90" i="3"/>
  <c r="B90" i="10" s="1"/>
  <c r="B91" i="3"/>
  <c r="B91" i="10" s="1"/>
  <c r="B92" i="3"/>
  <c r="B92" i="10" s="1"/>
  <c r="B93" i="3"/>
  <c r="B93" i="10" s="1"/>
  <c r="B94" i="3"/>
  <c r="B94" i="10" s="1"/>
  <c r="B95" i="3"/>
  <c r="B95" i="10" s="1"/>
  <c r="B96" i="3"/>
  <c r="B96" i="10" s="1"/>
  <c r="B97" i="3"/>
  <c r="B97" i="10" s="1"/>
  <c r="B98" i="3"/>
  <c r="B98" i="10" s="1"/>
  <c r="B99" i="3"/>
  <c r="B99" i="10" s="1"/>
  <c r="B100" i="3"/>
  <c r="B100" i="10" s="1"/>
  <c r="B101" i="3"/>
  <c r="B101" i="10" s="1"/>
  <c r="B102" i="3"/>
  <c r="B102" i="10" s="1"/>
  <c r="B103" i="3"/>
  <c r="B103" i="10" s="1"/>
  <c r="B104" i="3"/>
  <c r="B104" i="10" s="1"/>
  <c r="B105" i="3"/>
  <c r="B105" i="10" s="1"/>
  <c r="B106" i="3"/>
  <c r="B106" i="10" s="1"/>
  <c r="B107" i="3"/>
  <c r="B107" i="10" s="1"/>
  <c r="B108" i="3"/>
  <c r="B108" i="10" s="1"/>
  <c r="B109" i="3"/>
  <c r="B109" i="10" s="1"/>
  <c r="B110" i="3"/>
  <c r="B110" i="10" s="1"/>
  <c r="B111" i="3"/>
  <c r="B111" i="10" s="1"/>
  <c r="B112" i="3"/>
  <c r="B112" i="10" s="1"/>
  <c r="B113" i="3"/>
  <c r="B113" i="10" s="1"/>
  <c r="B114" i="3"/>
  <c r="B114" i="10" s="1"/>
  <c r="B115" i="3"/>
  <c r="B115" i="10" s="1"/>
  <c r="B116" i="3"/>
  <c r="B116" i="10" s="1"/>
  <c r="B117" i="3"/>
  <c r="B117" i="10" s="1"/>
  <c r="B118" i="3"/>
  <c r="B118" i="10" s="1"/>
  <c r="B119" i="3"/>
  <c r="B119" i="10" s="1"/>
  <c r="B120" i="3"/>
  <c r="B120" i="10" s="1"/>
  <c r="B121" i="3"/>
  <c r="B121" i="10" s="1"/>
  <c r="B122" i="3"/>
  <c r="B122" i="10" s="1"/>
  <c r="B123" i="3"/>
  <c r="B123" i="10" s="1"/>
  <c r="B124" i="3"/>
  <c r="B124" i="10" s="1"/>
  <c r="B125" i="3"/>
  <c r="B125" i="10" s="1"/>
  <c r="B126" i="3"/>
  <c r="B126" i="10" s="1"/>
  <c r="B127" i="3"/>
  <c r="B127" i="10" s="1"/>
  <c r="B128" i="3"/>
  <c r="B128" i="10" s="1"/>
  <c r="B129" i="3"/>
  <c r="B129" i="10" s="1"/>
  <c r="B130" i="3"/>
  <c r="B130" i="10" s="1"/>
  <c r="B131" i="3"/>
  <c r="B131" i="10" s="1"/>
  <c r="B132" i="3"/>
  <c r="B132" i="10" s="1"/>
  <c r="B133" i="3"/>
  <c r="B133" i="10" s="1"/>
  <c r="B134" i="3"/>
  <c r="B134" i="10" s="1"/>
  <c r="B135" i="3"/>
  <c r="B135" i="10" s="1"/>
  <c r="B136" i="3"/>
  <c r="B136" i="10" s="1"/>
  <c r="B137" i="3"/>
  <c r="B137" i="10" s="1"/>
  <c r="B138" i="3"/>
  <c r="B138" i="10" s="1"/>
  <c r="B139" i="3"/>
  <c r="B139" i="10" s="1"/>
  <c r="B140" i="3"/>
  <c r="B140" i="10" s="1"/>
  <c r="B141" i="3"/>
  <c r="B141" i="10" s="1"/>
  <c r="B142" i="3"/>
  <c r="B142" i="10" s="1"/>
  <c r="B143" i="3"/>
  <c r="B143" i="10" s="1"/>
  <c r="B144" i="3"/>
  <c r="B144" i="10" s="1"/>
  <c r="B145" i="3"/>
  <c r="B145" i="10" s="1"/>
  <c r="B146" i="3"/>
  <c r="B146" i="10" s="1"/>
  <c r="B147" i="3"/>
  <c r="B147" i="10" s="1"/>
  <c r="B148" i="3"/>
  <c r="B148" i="10" s="1"/>
  <c r="B149" i="3"/>
  <c r="B149" i="10" s="1"/>
  <c r="B150" i="3"/>
  <c r="B150" i="10" s="1"/>
  <c r="B151" i="3"/>
  <c r="B151" i="10" s="1"/>
  <c r="B152" i="3"/>
  <c r="B152" i="10" s="1"/>
  <c r="B153" i="3"/>
  <c r="B153" i="10" s="1"/>
  <c r="B154" i="3"/>
  <c r="B154" i="10" s="1"/>
  <c r="B155" i="3"/>
  <c r="B155" i="10" s="1"/>
  <c r="B156" i="3"/>
  <c r="B156" i="10" s="1"/>
  <c r="B157" i="3"/>
  <c r="B157" i="10" s="1"/>
  <c r="B158" i="3"/>
  <c r="B158" i="10" s="1"/>
  <c r="B159" i="3"/>
  <c r="B159" i="10" s="1"/>
  <c r="B160" i="3"/>
  <c r="B160" i="10" s="1"/>
  <c r="B161" i="3"/>
  <c r="B161" i="10" s="1"/>
  <c r="B162" i="3"/>
  <c r="B162" i="10" s="1"/>
  <c r="B163" i="3"/>
  <c r="B163" i="10" s="1"/>
  <c r="B164" i="3"/>
  <c r="B164" i="10" s="1"/>
  <c r="B165" i="3"/>
  <c r="B165" i="10" s="1"/>
  <c r="B166" i="3"/>
  <c r="B166" i="10" s="1"/>
  <c r="B167" i="3"/>
  <c r="B167" i="10" s="1"/>
  <c r="B168" i="3"/>
  <c r="B168" i="10" s="1"/>
  <c r="B169" i="3"/>
  <c r="B169" i="10" s="1"/>
  <c r="B170" i="3"/>
  <c r="B170" i="10" s="1"/>
  <c r="B171" i="3"/>
  <c r="B171" i="10" s="1"/>
  <c r="B172" i="3"/>
  <c r="B172" i="10" s="1"/>
  <c r="B173" i="3"/>
  <c r="B173" i="10" s="1"/>
  <c r="B174" i="3"/>
  <c r="B174" i="10" s="1"/>
  <c r="B175" i="3"/>
  <c r="B175" i="10" s="1"/>
  <c r="B176" i="3"/>
  <c r="B176" i="10" s="1"/>
  <c r="B177" i="3"/>
  <c r="B177" i="10" s="1"/>
  <c r="B178" i="3"/>
  <c r="B178" i="10" s="1"/>
  <c r="B179" i="3"/>
  <c r="B179" i="10" s="1"/>
  <c r="B180" i="3"/>
  <c r="B180" i="10" s="1"/>
  <c r="B181" i="3"/>
  <c r="B181" i="10" s="1"/>
  <c r="B182" i="3"/>
  <c r="B182" i="10" s="1"/>
  <c r="B183" i="3"/>
  <c r="B183" i="10" s="1"/>
  <c r="B184" i="3"/>
  <c r="B184" i="10" s="1"/>
  <c r="B185" i="3"/>
  <c r="B185" i="10" s="1"/>
  <c r="B186" i="3"/>
  <c r="B186" i="10" s="1"/>
  <c r="B187" i="3"/>
  <c r="B187" i="10" s="1"/>
  <c r="B188" i="3"/>
  <c r="B188" i="10" s="1"/>
  <c r="B189" i="3"/>
  <c r="B189" i="10" s="1"/>
  <c r="B190" i="3"/>
  <c r="B190" i="10" s="1"/>
  <c r="B191" i="3"/>
  <c r="B191" i="10" s="1"/>
  <c r="B192" i="3"/>
  <c r="B192" i="10" s="1"/>
  <c r="B193" i="3"/>
  <c r="B193" i="10" s="1"/>
  <c r="B194" i="3"/>
  <c r="B194" i="10" s="1"/>
  <c r="B195" i="3"/>
  <c r="B195" i="10" s="1"/>
  <c r="B196" i="3"/>
  <c r="B196" i="10" s="1"/>
  <c r="B197" i="3"/>
  <c r="B197" i="10" s="1"/>
  <c r="B198" i="3"/>
  <c r="B198" i="10" s="1"/>
  <c r="B199" i="3"/>
  <c r="B199" i="10" s="1"/>
  <c r="B200" i="3"/>
  <c r="B200" i="10" s="1"/>
  <c r="B201" i="3"/>
  <c r="B201" i="10" s="1"/>
  <c r="B202" i="3"/>
  <c r="B202" i="10" s="1"/>
  <c r="B203" i="3"/>
  <c r="B203" i="10" s="1"/>
  <c r="B204" i="3"/>
  <c r="B204" i="10" s="1"/>
  <c r="B205" i="3"/>
  <c r="B205" i="10" s="1"/>
  <c r="B206" i="3"/>
  <c r="B206" i="10" s="1"/>
  <c r="B207" i="3"/>
  <c r="B207" i="10" s="1"/>
  <c r="B208" i="3"/>
  <c r="B208" i="10" s="1"/>
  <c r="B209" i="3"/>
  <c r="B209" i="10" s="1"/>
  <c r="B210" i="3"/>
  <c r="B210" i="10" s="1"/>
  <c r="B211" i="3"/>
  <c r="B211" i="10" s="1"/>
  <c r="B212" i="3"/>
  <c r="B212" i="10" s="1"/>
  <c r="B213" i="3"/>
  <c r="B213" i="10" s="1"/>
  <c r="B214" i="3"/>
  <c r="B214" i="10" s="1"/>
  <c r="B215" i="3"/>
  <c r="B215" i="10" s="1"/>
  <c r="B216" i="3"/>
  <c r="B216" i="10" s="1"/>
  <c r="B217" i="3"/>
  <c r="B217" i="10" s="1"/>
  <c r="B218" i="3"/>
  <c r="B218" i="10" s="1"/>
  <c r="B219" i="3"/>
  <c r="B219" i="10" s="1"/>
  <c r="B220" i="3"/>
  <c r="B220" i="10" s="1"/>
  <c r="B221" i="3"/>
  <c r="B221" i="10" s="1"/>
  <c r="B222" i="3"/>
  <c r="B222" i="10" s="1"/>
  <c r="B223" i="3"/>
  <c r="B223" i="10" s="1"/>
  <c r="B224" i="3"/>
  <c r="B224" i="10" s="1"/>
  <c r="B225" i="3"/>
  <c r="B225" i="10" s="1"/>
  <c r="B226" i="3"/>
  <c r="B226" i="10" s="1"/>
  <c r="B227" i="3"/>
  <c r="B227" i="10" s="1"/>
  <c r="B228" i="3"/>
  <c r="B228" i="10" s="1"/>
  <c r="B229" i="3"/>
  <c r="B229" i="10" s="1"/>
  <c r="B230" i="3"/>
  <c r="B230" i="10" s="1"/>
  <c r="B231" i="3"/>
  <c r="B231" i="10" s="1"/>
  <c r="B232" i="3"/>
  <c r="B232" i="10" s="1"/>
  <c r="B233" i="3"/>
  <c r="B233" i="10" s="1"/>
  <c r="B234" i="3"/>
  <c r="B234" i="10" s="1"/>
  <c r="B235" i="3"/>
  <c r="B235" i="10" s="1"/>
  <c r="B236" i="3"/>
  <c r="B236" i="10" s="1"/>
  <c r="B237" i="3"/>
  <c r="B237" i="10" s="1"/>
  <c r="B238" i="3"/>
  <c r="B238" i="10" s="1"/>
  <c r="B239" i="3"/>
  <c r="B239" i="10" s="1"/>
  <c r="B240" i="3"/>
  <c r="B240" i="10" s="1"/>
  <c r="B241" i="3"/>
  <c r="B241" i="10" s="1"/>
  <c r="B242" i="3"/>
  <c r="B242" i="10" s="1"/>
  <c r="B243" i="3"/>
  <c r="B243" i="10" s="1"/>
  <c r="B244" i="3"/>
  <c r="B244" i="10" s="1"/>
  <c r="B245" i="3"/>
  <c r="B245" i="10" s="1"/>
  <c r="B246" i="3"/>
  <c r="B246" i="10" s="1"/>
  <c r="B247" i="3"/>
  <c r="B247" i="10" s="1"/>
  <c r="B248" i="3"/>
  <c r="B248" i="10" s="1"/>
  <c r="B249" i="3"/>
  <c r="B249" i="10" s="1"/>
  <c r="B250" i="3"/>
  <c r="B250" i="10" s="1"/>
  <c r="B251" i="3"/>
  <c r="B251" i="10" s="1"/>
  <c r="B252" i="3"/>
  <c r="B252" i="10" s="1"/>
  <c r="B253" i="3"/>
  <c r="B253" i="10" s="1"/>
  <c r="B254" i="3"/>
  <c r="B254" i="10" s="1"/>
  <c r="B255" i="3"/>
  <c r="B255" i="10" s="1"/>
  <c r="B256" i="3"/>
  <c r="B256" i="10" s="1"/>
  <c r="B257" i="3"/>
  <c r="B257" i="10" s="1"/>
  <c r="B258" i="3"/>
  <c r="B258" i="10" s="1"/>
  <c r="B259" i="3"/>
  <c r="B259" i="10" s="1"/>
  <c r="B260" i="3"/>
  <c r="B260" i="10" s="1"/>
  <c r="B261" i="3"/>
  <c r="B261" i="10" s="1"/>
  <c r="B262" i="3"/>
  <c r="B262" i="10" s="1"/>
  <c r="B263" i="3"/>
  <c r="B263" i="10" s="1"/>
  <c r="B264" i="3"/>
  <c r="B264" i="10" s="1"/>
  <c r="B265" i="3"/>
  <c r="B265" i="10" s="1"/>
  <c r="B266" i="3"/>
  <c r="B266" i="10" s="1"/>
  <c r="B267" i="3"/>
  <c r="B267" i="10" s="1"/>
  <c r="B268" i="3"/>
  <c r="B268" i="10" s="1"/>
  <c r="B269" i="3"/>
  <c r="B269" i="10" s="1"/>
  <c r="B270" i="3"/>
  <c r="B270" i="10" s="1"/>
  <c r="B271" i="3"/>
  <c r="B271" i="10" s="1"/>
  <c r="B272" i="3"/>
  <c r="B272" i="10" s="1"/>
  <c r="B273" i="3"/>
  <c r="B273" i="10" s="1"/>
  <c r="B274" i="3"/>
  <c r="B274" i="10" s="1"/>
  <c r="B275" i="3"/>
  <c r="B275" i="10" s="1"/>
  <c r="B276" i="3"/>
  <c r="B276" i="10" s="1"/>
  <c r="B277" i="3"/>
  <c r="B277" i="10" s="1"/>
  <c r="B278" i="3"/>
  <c r="B278" i="10" s="1"/>
  <c r="B279" i="3"/>
  <c r="B279" i="10" s="1"/>
  <c r="B280" i="3"/>
  <c r="B280" i="10" s="1"/>
  <c r="B281" i="3"/>
  <c r="B281" i="10" s="1"/>
  <c r="B282" i="3"/>
  <c r="B282" i="10" s="1"/>
  <c r="B283" i="3"/>
  <c r="B283" i="10" s="1"/>
  <c r="B284" i="3"/>
  <c r="B284" i="10" s="1"/>
  <c r="B285" i="3"/>
  <c r="B285" i="10" s="1"/>
  <c r="B286" i="3"/>
  <c r="B286" i="10" s="1"/>
  <c r="B287" i="3"/>
  <c r="B287" i="10" s="1"/>
  <c r="B288" i="3"/>
  <c r="B288" i="10" s="1"/>
  <c r="B289" i="3"/>
  <c r="B289" i="10" s="1"/>
  <c r="B290" i="3"/>
  <c r="B290" i="10" s="1"/>
  <c r="B291" i="3"/>
  <c r="B291" i="10" s="1"/>
  <c r="B292" i="3"/>
  <c r="B292" i="10" s="1"/>
  <c r="B293" i="3"/>
  <c r="B293" i="10" s="1"/>
  <c r="B294" i="3"/>
  <c r="B294" i="10" s="1"/>
  <c r="B295" i="3"/>
  <c r="B295" i="10" s="1"/>
  <c r="B296" i="3"/>
  <c r="B296" i="10" s="1"/>
  <c r="B297" i="3"/>
  <c r="B297" i="10" s="1"/>
  <c r="B298" i="3"/>
  <c r="B298" i="10" s="1"/>
  <c r="B299" i="3"/>
  <c r="B299" i="10" s="1"/>
  <c r="B300" i="3"/>
  <c r="B300" i="10" s="1"/>
  <c r="B301" i="3"/>
  <c r="B301" i="10" s="1"/>
  <c r="B302" i="3"/>
  <c r="B302" i="10" s="1"/>
  <c r="B303" i="3"/>
  <c r="B303" i="10" s="1"/>
  <c r="B304" i="3"/>
  <c r="B304" i="10" s="1"/>
  <c r="B305" i="3"/>
  <c r="B305" i="10" s="1"/>
  <c r="B306" i="3"/>
  <c r="B306" i="10" s="1"/>
  <c r="B307" i="3"/>
  <c r="B307" i="10" s="1"/>
  <c r="B308" i="3"/>
  <c r="B308" i="10" s="1"/>
  <c r="B309" i="3"/>
  <c r="B309" i="10" s="1"/>
  <c r="B310" i="3"/>
  <c r="B310" i="10" s="1"/>
  <c r="B311" i="3"/>
  <c r="B311" i="10" s="1"/>
  <c r="B312" i="3"/>
  <c r="B312" i="10" s="1"/>
  <c r="B313" i="3"/>
  <c r="B313" i="10" s="1"/>
  <c r="B314" i="3"/>
  <c r="B314" i="10" s="1"/>
  <c r="B315" i="3"/>
  <c r="B315" i="10" s="1"/>
  <c r="B316" i="3"/>
  <c r="B316" i="10" s="1"/>
  <c r="B317" i="3"/>
  <c r="B317" i="10" s="1"/>
  <c r="B318" i="3"/>
  <c r="B318" i="10" s="1"/>
  <c r="B319" i="3"/>
  <c r="B319" i="10" s="1"/>
  <c r="B320" i="3"/>
  <c r="B320" i="10" s="1"/>
  <c r="B321" i="3"/>
  <c r="B321" i="10" s="1"/>
  <c r="B322" i="3"/>
  <c r="B322" i="10" s="1"/>
  <c r="B323" i="3"/>
  <c r="B323" i="10" s="1"/>
  <c r="B324" i="3"/>
  <c r="B324" i="10" s="1"/>
  <c r="B325" i="3"/>
  <c r="B325" i="10" s="1"/>
  <c r="B326" i="3"/>
  <c r="B326" i="10" s="1"/>
  <c r="B327" i="3"/>
  <c r="B327" i="10" s="1"/>
  <c r="B328" i="3"/>
  <c r="B328" i="10" s="1"/>
  <c r="B329" i="3"/>
  <c r="B329" i="10" s="1"/>
  <c r="B330" i="3"/>
  <c r="B330" i="10" s="1"/>
  <c r="B331" i="3"/>
  <c r="B331" i="10" s="1"/>
  <c r="B332" i="3"/>
  <c r="B332" i="10" s="1"/>
  <c r="B333" i="3"/>
  <c r="B333" i="10" s="1"/>
  <c r="B334" i="3"/>
  <c r="B334" i="10" s="1"/>
  <c r="B335" i="3"/>
  <c r="B335" i="10" s="1"/>
  <c r="B336" i="3"/>
  <c r="B336" i="10" s="1"/>
  <c r="B337" i="3"/>
  <c r="B337" i="10" s="1"/>
  <c r="B338" i="3"/>
  <c r="B338" i="10" s="1"/>
  <c r="B339" i="3"/>
  <c r="B339" i="10" s="1"/>
  <c r="B340" i="3"/>
  <c r="B340" i="10" s="1"/>
  <c r="B341" i="3"/>
  <c r="B341" i="10" s="1"/>
  <c r="B342" i="3"/>
  <c r="B342" i="10" s="1"/>
  <c r="B343" i="3"/>
  <c r="B343" i="10" s="1"/>
  <c r="B344" i="3"/>
  <c r="B344" i="10" s="1"/>
  <c r="B345" i="3"/>
  <c r="B345" i="10" s="1"/>
  <c r="B346" i="3"/>
  <c r="B346" i="10" s="1"/>
  <c r="B347" i="3"/>
  <c r="B347" i="10" s="1"/>
  <c r="B348" i="3"/>
  <c r="B348" i="10" s="1"/>
  <c r="B349" i="3"/>
  <c r="B349" i="10" s="1"/>
  <c r="B350" i="3"/>
  <c r="B350" i="10" s="1"/>
  <c r="B351" i="3"/>
  <c r="B351" i="10" s="1"/>
  <c r="B352" i="3"/>
  <c r="B352" i="10" s="1"/>
  <c r="B353" i="3"/>
  <c r="B353" i="10" s="1"/>
  <c r="B354" i="3"/>
  <c r="B354" i="10" s="1"/>
  <c r="B355" i="3"/>
  <c r="B355" i="10" s="1"/>
  <c r="B356" i="3"/>
  <c r="B356" i="10" s="1"/>
  <c r="B357" i="3"/>
  <c r="B357" i="10" s="1"/>
  <c r="B358" i="3"/>
  <c r="B358" i="10" s="1"/>
  <c r="B359" i="3"/>
  <c r="B359" i="10" s="1"/>
  <c r="B360" i="3"/>
  <c r="B360" i="10" s="1"/>
  <c r="B361" i="3"/>
  <c r="B361" i="10" s="1"/>
  <c r="B362" i="3"/>
  <c r="B362" i="10" s="1"/>
  <c r="B363" i="3"/>
  <c r="B363" i="10" s="1"/>
  <c r="B364" i="3"/>
  <c r="B364" i="10" s="1"/>
  <c r="B365" i="3"/>
  <c r="B365" i="10" s="1"/>
  <c r="B366" i="3"/>
  <c r="B366" i="10" s="1"/>
  <c r="B367" i="3"/>
  <c r="B367" i="10" s="1"/>
  <c r="B368" i="3"/>
  <c r="B368" i="10" s="1"/>
  <c r="B369" i="3"/>
  <c r="B369" i="10" s="1"/>
  <c r="B370" i="3"/>
  <c r="B370" i="10" s="1"/>
  <c r="B371" i="3"/>
  <c r="B371" i="10" s="1"/>
  <c r="B372" i="3"/>
  <c r="B372" i="10" s="1"/>
  <c r="B373" i="3"/>
  <c r="B373" i="10" s="1"/>
  <c r="B374" i="3"/>
  <c r="B374" i="10" s="1"/>
  <c r="B375" i="3"/>
  <c r="B375" i="10" s="1"/>
  <c r="B376" i="3"/>
  <c r="B376" i="10" s="1"/>
  <c r="B377" i="3"/>
  <c r="B377" i="10" s="1"/>
  <c r="B378" i="3"/>
  <c r="B378" i="10" s="1"/>
  <c r="B379" i="3"/>
  <c r="B379" i="10" s="1"/>
  <c r="B380" i="3"/>
  <c r="B380" i="10" s="1"/>
  <c r="B381" i="3"/>
  <c r="B381" i="10" s="1"/>
  <c r="B382" i="3"/>
  <c r="B382" i="10" s="1"/>
  <c r="B383" i="3"/>
  <c r="B383" i="10" s="1"/>
  <c r="B384" i="3"/>
  <c r="B384" i="10" s="1"/>
  <c r="B385" i="3"/>
  <c r="B385" i="10" s="1"/>
  <c r="B386" i="3"/>
  <c r="B386" i="10" s="1"/>
  <c r="B387" i="3"/>
  <c r="B387" i="10" s="1"/>
  <c r="B388" i="3"/>
  <c r="B388" i="10" s="1"/>
  <c r="B389" i="3"/>
  <c r="B389" i="10" s="1"/>
  <c r="B390" i="3"/>
  <c r="B390" i="10" s="1"/>
  <c r="B391" i="3"/>
  <c r="B391" i="10" s="1"/>
  <c r="B392" i="3"/>
  <c r="B392" i="10" s="1"/>
  <c r="B393" i="3"/>
  <c r="B393" i="10" s="1"/>
  <c r="B394" i="3"/>
  <c r="B394" i="10" s="1"/>
  <c r="B395" i="3"/>
  <c r="B395" i="10" s="1"/>
  <c r="B396" i="3"/>
  <c r="B396" i="10" s="1"/>
  <c r="B397" i="3"/>
  <c r="B397" i="10" s="1"/>
  <c r="B398" i="3"/>
  <c r="B398" i="10" s="1"/>
  <c r="B399" i="3"/>
  <c r="B399" i="10" s="1"/>
  <c r="B400" i="3"/>
  <c r="B400" i="10" s="1"/>
  <c r="B401" i="3"/>
  <c r="B401" i="10" s="1"/>
  <c r="B402" i="3"/>
  <c r="B402" i="10" s="1"/>
  <c r="B403" i="3"/>
  <c r="B403" i="10" s="1"/>
  <c r="B404" i="3"/>
  <c r="B404" i="10" s="1"/>
  <c r="B405" i="3"/>
  <c r="B405" i="10" s="1"/>
  <c r="B406" i="3"/>
  <c r="B406" i="10" s="1"/>
  <c r="B407" i="3"/>
  <c r="B407" i="10" s="1"/>
  <c r="B408" i="3"/>
  <c r="B408" i="10" s="1"/>
  <c r="B409" i="3"/>
  <c r="B409" i="10" s="1"/>
  <c r="B410" i="3"/>
  <c r="B410" i="10" s="1"/>
  <c r="B411" i="3"/>
  <c r="B411" i="10" s="1"/>
  <c r="B412" i="3"/>
  <c r="B412" i="10" s="1"/>
  <c r="B413" i="3"/>
  <c r="B413" i="10" s="1"/>
  <c r="B414" i="3"/>
  <c r="B414" i="10" s="1"/>
  <c r="B415" i="3"/>
  <c r="B415" i="10" s="1"/>
  <c r="B416" i="3"/>
  <c r="B416" i="10" s="1"/>
  <c r="B417" i="3"/>
  <c r="B417" i="10" s="1"/>
  <c r="B418" i="3"/>
  <c r="B418" i="10" s="1"/>
  <c r="B419" i="3"/>
  <c r="B419" i="10" s="1"/>
  <c r="B420" i="3"/>
  <c r="B420" i="10" s="1"/>
  <c r="B421" i="3"/>
  <c r="B421" i="10" s="1"/>
  <c r="B422" i="3"/>
  <c r="B422" i="10" s="1"/>
  <c r="B423" i="3"/>
  <c r="B423" i="10" s="1"/>
  <c r="B424" i="3"/>
  <c r="B424" i="10" s="1"/>
  <c r="B425" i="3"/>
  <c r="B425" i="10" s="1"/>
  <c r="B426" i="3"/>
  <c r="B426" i="10" s="1"/>
  <c r="B427" i="3"/>
  <c r="B427" i="10" s="1"/>
  <c r="B428" i="3"/>
  <c r="B428" i="10" s="1"/>
  <c r="B429" i="3"/>
  <c r="B429" i="10" s="1"/>
  <c r="B430" i="3"/>
  <c r="B430" i="10" s="1"/>
  <c r="B431" i="3"/>
  <c r="B431" i="10" s="1"/>
  <c r="B432" i="3"/>
  <c r="B432" i="10" s="1"/>
  <c r="B433" i="3"/>
  <c r="B433" i="10" s="1"/>
  <c r="B434" i="3"/>
  <c r="B434" i="10" s="1"/>
  <c r="B435" i="3"/>
  <c r="B435" i="10" s="1"/>
  <c r="B436" i="3"/>
  <c r="B436" i="10" s="1"/>
  <c r="B437" i="3"/>
  <c r="B437" i="10" s="1"/>
  <c r="B438" i="3"/>
  <c r="B438" i="10" s="1"/>
  <c r="B439" i="3"/>
  <c r="B439" i="10" s="1"/>
  <c r="B440" i="3"/>
  <c r="B440" i="10" s="1"/>
  <c r="B441" i="3"/>
  <c r="B441" i="10" s="1"/>
  <c r="B442" i="3"/>
  <c r="B442" i="10" s="1"/>
  <c r="B443" i="3"/>
  <c r="B443" i="10" s="1"/>
  <c r="B444" i="3"/>
  <c r="B444" i="10" s="1"/>
  <c r="B445" i="3"/>
  <c r="B445" i="10" s="1"/>
  <c r="B446" i="3"/>
  <c r="B446" i="10" s="1"/>
  <c r="B447" i="3"/>
  <c r="B447" i="10" s="1"/>
  <c r="B448" i="3"/>
  <c r="B448" i="10" s="1"/>
  <c r="B449" i="3"/>
  <c r="B449" i="10" s="1"/>
  <c r="B450" i="3"/>
  <c r="B450" i="10" s="1"/>
  <c r="B451" i="3"/>
  <c r="B451" i="10" s="1"/>
  <c r="B452" i="3"/>
  <c r="B452" i="10" s="1"/>
  <c r="B453" i="3"/>
  <c r="B453" i="10" s="1"/>
  <c r="B454" i="3"/>
  <c r="B454" i="10" s="1"/>
  <c r="B455" i="3"/>
  <c r="B455" i="10" s="1"/>
  <c r="B456" i="3"/>
  <c r="B456" i="10" s="1"/>
  <c r="B457" i="3"/>
  <c r="B457" i="10" s="1"/>
  <c r="B458" i="3"/>
  <c r="B458" i="10" s="1"/>
  <c r="B459" i="3"/>
  <c r="B459" i="10" s="1"/>
  <c r="B460" i="3"/>
  <c r="B460" i="10" s="1"/>
  <c r="B461" i="3"/>
  <c r="B461" i="10" s="1"/>
  <c r="B462" i="3"/>
  <c r="B462" i="10" s="1"/>
  <c r="B463" i="3"/>
  <c r="B463" i="10" s="1"/>
  <c r="B464" i="3"/>
  <c r="B464" i="10" s="1"/>
  <c r="B465" i="3"/>
  <c r="B465" i="10" s="1"/>
  <c r="B466" i="3"/>
  <c r="B466" i="10" s="1"/>
  <c r="B467" i="3"/>
  <c r="B467" i="10" s="1"/>
  <c r="B468" i="3"/>
  <c r="B468" i="10" s="1"/>
  <c r="B469" i="3"/>
  <c r="B469" i="10" s="1"/>
  <c r="B470" i="3"/>
  <c r="B470" i="10" s="1"/>
  <c r="B471" i="3"/>
  <c r="B471" i="10" s="1"/>
  <c r="B472" i="3"/>
  <c r="B472" i="10" s="1"/>
  <c r="B473" i="3"/>
  <c r="B473" i="10" s="1"/>
  <c r="B474" i="3"/>
  <c r="B474" i="10" s="1"/>
  <c r="B475" i="3"/>
  <c r="B475" i="10" s="1"/>
  <c r="B476" i="3"/>
  <c r="B476" i="10" s="1"/>
  <c r="B477" i="3"/>
  <c r="B477" i="10" s="1"/>
  <c r="B478" i="3"/>
  <c r="B478" i="10" s="1"/>
  <c r="B479" i="3"/>
  <c r="B479" i="10" s="1"/>
  <c r="B480" i="3"/>
  <c r="B480" i="10" s="1"/>
  <c r="B481" i="3"/>
  <c r="B481" i="10" s="1"/>
  <c r="B482" i="3"/>
  <c r="B482" i="10" s="1"/>
  <c r="B483" i="3"/>
  <c r="B483" i="10" s="1"/>
  <c r="B484" i="3"/>
  <c r="B484" i="10" s="1"/>
  <c r="B485" i="3"/>
  <c r="B485" i="10" s="1"/>
  <c r="B486" i="3"/>
  <c r="B486" i="10" s="1"/>
  <c r="B487" i="3"/>
  <c r="B487" i="10" s="1"/>
  <c r="B488" i="3"/>
  <c r="B488" i="10" s="1"/>
  <c r="B489" i="3"/>
  <c r="B489" i="10" s="1"/>
  <c r="B490" i="3"/>
  <c r="B490" i="10" s="1"/>
  <c r="B491" i="3"/>
  <c r="B491" i="10" s="1"/>
  <c r="B492" i="3"/>
  <c r="B492" i="10" s="1"/>
  <c r="B493" i="3"/>
  <c r="B493" i="10" s="1"/>
  <c r="B494" i="3"/>
  <c r="B494" i="10" s="1"/>
  <c r="B495" i="3"/>
  <c r="B495" i="10" s="1"/>
  <c r="B496" i="3"/>
  <c r="B496" i="10" s="1"/>
  <c r="B497" i="3"/>
  <c r="B497" i="10" s="1"/>
  <c r="B498" i="3"/>
  <c r="B498" i="10" s="1"/>
  <c r="B499" i="3"/>
  <c r="B499" i="10" s="1"/>
  <c r="B500" i="3"/>
  <c r="B500" i="10" s="1"/>
  <c r="B501" i="3"/>
  <c r="B501" i="10" s="1"/>
  <c r="B502" i="3"/>
  <c r="B502" i="10" s="1"/>
  <c r="B503" i="3"/>
  <c r="B503" i="10" s="1"/>
  <c r="B504" i="3"/>
  <c r="B504" i="10" s="1"/>
  <c r="B505" i="3"/>
  <c r="B505" i="10" s="1"/>
  <c r="B506" i="3"/>
  <c r="B506" i="10" s="1"/>
  <c r="B507" i="3"/>
  <c r="B507" i="10" s="1"/>
  <c r="B508" i="3"/>
  <c r="B508" i="10" s="1"/>
  <c r="B509" i="3"/>
  <c r="B509" i="10" s="1"/>
  <c r="B510" i="3"/>
  <c r="B510" i="10" s="1"/>
  <c r="B511" i="3"/>
  <c r="B511" i="10" s="1"/>
  <c r="B512" i="3"/>
  <c r="B512" i="10" s="1"/>
  <c r="B513" i="3"/>
  <c r="B513" i="10" s="1"/>
  <c r="B514" i="3"/>
  <c r="B514" i="10" s="1"/>
  <c r="B515" i="3"/>
  <c r="B515" i="10" s="1"/>
  <c r="B516" i="3"/>
  <c r="B516" i="10" s="1"/>
  <c r="B517" i="3"/>
  <c r="B517" i="10" s="1"/>
  <c r="B518" i="3"/>
  <c r="B518" i="10" s="1"/>
  <c r="B519" i="3"/>
  <c r="B519" i="10" s="1"/>
  <c r="B520" i="3"/>
  <c r="B520" i="10" s="1"/>
  <c r="B521" i="3"/>
  <c r="B521" i="10" s="1"/>
  <c r="B522" i="3"/>
  <c r="B522" i="10" s="1"/>
  <c r="B523" i="3"/>
  <c r="B523" i="10" s="1"/>
  <c r="B524" i="3"/>
  <c r="B524" i="10" s="1"/>
  <c r="B525" i="3"/>
  <c r="B525" i="10" s="1"/>
  <c r="B526" i="3"/>
  <c r="B526" i="10" s="1"/>
  <c r="B527" i="3"/>
  <c r="B527" i="10" s="1"/>
  <c r="B528" i="3"/>
  <c r="B528" i="10" s="1"/>
  <c r="B529" i="3"/>
  <c r="B529" i="10" s="1"/>
  <c r="B530" i="3"/>
  <c r="B530" i="10" s="1"/>
  <c r="B531" i="3"/>
  <c r="B531" i="10" s="1"/>
  <c r="B532" i="3"/>
  <c r="B532" i="10" s="1"/>
  <c r="B533" i="3"/>
  <c r="B533" i="10" s="1"/>
  <c r="B534" i="3"/>
  <c r="B534" i="10" s="1"/>
  <c r="B535" i="3"/>
  <c r="B535" i="10" s="1"/>
  <c r="B536" i="3"/>
  <c r="B536" i="10" s="1"/>
  <c r="B537" i="3"/>
  <c r="B537" i="10" s="1"/>
  <c r="B538" i="3"/>
  <c r="B538" i="10" s="1"/>
  <c r="B539" i="3"/>
  <c r="B539" i="10" s="1"/>
  <c r="B540" i="3"/>
  <c r="B540" i="10" s="1"/>
  <c r="B541" i="3"/>
  <c r="B541" i="10" s="1"/>
  <c r="B542" i="3"/>
  <c r="B542" i="10" s="1"/>
  <c r="A107" i="6"/>
  <c r="A455" i="6"/>
  <c r="A44" i="6"/>
  <c r="A48" i="6"/>
  <c r="A56" i="6"/>
  <c r="A76" i="6"/>
  <c r="A216" i="6"/>
  <c r="A155" i="6"/>
  <c r="A295" i="6"/>
  <c r="A176" i="6"/>
  <c r="A288" i="6"/>
  <c r="A88" i="6"/>
  <c r="A224" i="6"/>
  <c r="A52" i="6"/>
  <c r="A377" i="6"/>
  <c r="A62" i="6"/>
  <c r="A145" i="6"/>
  <c r="A149" i="6"/>
  <c r="A161" i="6"/>
  <c r="A343" i="6"/>
  <c r="A352" i="6"/>
  <c r="A260" i="6"/>
  <c r="A358" i="6"/>
  <c r="A261" i="6"/>
  <c r="A70" i="6"/>
  <c r="A234" i="6"/>
  <c r="E28" i="3"/>
  <c r="E28" i="10" s="1"/>
  <c r="A205" i="6"/>
  <c r="A259" i="6"/>
  <c r="A225" i="6"/>
  <c r="A95" i="6"/>
  <c r="A248" i="6"/>
  <c r="E26" i="3"/>
  <c r="E26" i="10" s="1"/>
  <c r="E31" i="3"/>
  <c r="E31" i="10" s="1"/>
  <c r="A304" i="6"/>
  <c r="A401" i="6"/>
  <c r="A91" i="6"/>
  <c r="A329" i="6"/>
  <c r="A129" i="6"/>
  <c r="A156" i="6"/>
  <c r="A111" i="6"/>
  <c r="A104" i="6"/>
  <c r="A54" i="6"/>
  <c r="E501" i="3" l="1"/>
  <c r="E501" i="10" s="1"/>
  <c r="I425" i="3"/>
  <c r="I425" i="10" s="1"/>
  <c r="I213" i="3"/>
  <c r="I213" i="10" s="1"/>
  <c r="I171" i="3"/>
  <c r="I171" i="10" s="1"/>
  <c r="I85" i="3"/>
  <c r="I85" i="10" s="1"/>
  <c r="I349" i="3"/>
  <c r="I349" i="10" s="1"/>
  <c r="I73" i="3"/>
  <c r="I73" i="10" s="1"/>
  <c r="I325" i="3"/>
  <c r="I325" i="10" s="1"/>
  <c r="I351" i="3"/>
  <c r="I351" i="10" s="1"/>
  <c r="E84" i="3"/>
  <c r="E84" i="10" s="1"/>
  <c r="I255" i="3"/>
  <c r="I255" i="10" s="1"/>
  <c r="I81" i="3"/>
  <c r="I81" i="10" s="1"/>
  <c r="I503" i="3"/>
  <c r="I503" i="10" s="1"/>
  <c r="I87" i="3"/>
  <c r="I87" i="10" s="1"/>
  <c r="I83" i="3"/>
  <c r="I83" i="10" s="1"/>
  <c r="I499" i="3"/>
  <c r="I499" i="10" s="1"/>
  <c r="E86" i="3"/>
  <c r="E86" i="10" s="1"/>
  <c r="E88" i="3"/>
  <c r="E88" i="10" s="1"/>
  <c r="E85" i="3"/>
  <c r="E85" i="10" s="1"/>
  <c r="E521" i="3"/>
  <c r="E521" i="10" s="1"/>
  <c r="E87" i="3"/>
  <c r="E87" i="10" s="1"/>
  <c r="E83" i="3"/>
  <c r="E83" i="10" s="1"/>
  <c r="I333" i="3"/>
  <c r="I333" i="10" s="1"/>
  <c r="I161" i="3"/>
  <c r="I161" i="10" s="1"/>
  <c r="I493" i="3"/>
  <c r="I493" i="10" s="1"/>
  <c r="I525" i="3"/>
  <c r="I525" i="10" s="1"/>
  <c r="I273" i="3"/>
  <c r="I273" i="10" s="1"/>
  <c r="I387" i="3"/>
  <c r="I387" i="10" s="1"/>
  <c r="I103" i="3"/>
  <c r="I103" i="10" s="1"/>
  <c r="I521" i="3"/>
  <c r="I521" i="10" s="1"/>
  <c r="I487" i="3"/>
  <c r="I487" i="10" s="1"/>
  <c r="I463" i="3"/>
  <c r="I463" i="10" s="1"/>
  <c r="I401" i="3"/>
  <c r="I401" i="10" s="1"/>
  <c r="I307" i="3"/>
  <c r="I307" i="10" s="1"/>
  <c r="I79" i="3"/>
  <c r="I79" i="10" s="1"/>
  <c r="I517" i="3"/>
  <c r="I517" i="10" s="1"/>
  <c r="I455" i="3"/>
  <c r="I455" i="10" s="1"/>
  <c r="I515" i="3"/>
  <c r="I515" i="10" s="1"/>
  <c r="I125" i="3"/>
  <c r="I125" i="10" s="1"/>
  <c r="E34" i="3"/>
  <c r="E34" i="10" s="1"/>
  <c r="I281" i="3"/>
  <c r="I281" i="10" s="1"/>
  <c r="I9" i="3"/>
  <c r="I9" i="10" s="1"/>
  <c r="I442" i="3"/>
  <c r="I442" i="10" s="1"/>
  <c r="I242" i="3"/>
  <c r="I242" i="10" s="1"/>
  <c r="I26" i="3"/>
  <c r="I26" i="10" s="1"/>
  <c r="I223" i="3"/>
  <c r="I223" i="10" s="1"/>
  <c r="I417" i="3"/>
  <c r="I417" i="10" s="1"/>
  <c r="I265" i="3"/>
  <c r="I265" i="10" s="1"/>
  <c r="I113" i="3"/>
  <c r="I113" i="10" s="1"/>
  <c r="E37" i="3"/>
  <c r="E37" i="10" s="1"/>
  <c r="E33" i="3"/>
  <c r="E33" i="10" s="1"/>
  <c r="I409" i="3"/>
  <c r="I409" i="10" s="1"/>
  <c r="I257" i="3"/>
  <c r="I257" i="10" s="1"/>
  <c r="I65" i="3"/>
  <c r="I65" i="10" s="1"/>
  <c r="I498" i="3"/>
  <c r="I498" i="10" s="1"/>
  <c r="I370" i="3"/>
  <c r="I370" i="10" s="1"/>
  <c r="I33" i="3"/>
  <c r="I33" i="10" s="1"/>
  <c r="I249" i="3"/>
  <c r="I249" i="10" s="1"/>
  <c r="I57" i="3"/>
  <c r="I57" i="10" s="1"/>
  <c r="I439" i="3"/>
  <c r="I439" i="10" s="1"/>
  <c r="I34" i="3"/>
  <c r="I34" i="10" s="1"/>
  <c r="E36" i="3"/>
  <c r="E36" i="10" s="1"/>
  <c r="I385" i="3"/>
  <c r="I385" i="10" s="1"/>
  <c r="I305" i="3"/>
  <c r="I305" i="10" s="1"/>
  <c r="I377" i="3"/>
  <c r="I377" i="10" s="1"/>
  <c r="I297" i="3"/>
  <c r="I297" i="10" s="1"/>
  <c r="I145" i="3"/>
  <c r="I145" i="10" s="1"/>
  <c r="I25" i="3"/>
  <c r="I25" i="10" s="1"/>
  <c r="I330" i="3"/>
  <c r="I330" i="10" s="1"/>
  <c r="I471" i="3"/>
  <c r="I471" i="10" s="1"/>
  <c r="E35" i="3"/>
  <c r="E35" i="10" s="1"/>
  <c r="I369" i="3"/>
  <c r="I369" i="10" s="1"/>
  <c r="I289" i="3"/>
  <c r="I289" i="10" s="1"/>
  <c r="I137" i="3"/>
  <c r="I137" i="10" s="1"/>
  <c r="I17" i="3"/>
  <c r="I17" i="10" s="1"/>
  <c r="I419" i="3"/>
  <c r="I419" i="10" s="1"/>
  <c r="I379" i="3"/>
  <c r="I379" i="10" s="1"/>
  <c r="I343" i="3"/>
  <c r="I343" i="10" s="1"/>
  <c r="I299" i="3"/>
  <c r="I299" i="10" s="1"/>
  <c r="I263" i="3"/>
  <c r="I263" i="10" s="1"/>
  <c r="I231" i="3"/>
  <c r="I231" i="10" s="1"/>
  <c r="I195" i="3"/>
  <c r="I195" i="10" s="1"/>
  <c r="I143" i="3"/>
  <c r="I143" i="10" s="1"/>
  <c r="I95" i="3"/>
  <c r="I95" i="10" s="1"/>
  <c r="I127" i="3"/>
  <c r="I127" i="10" s="1"/>
  <c r="I167" i="3"/>
  <c r="I167" i="10" s="1"/>
  <c r="I535" i="3"/>
  <c r="I535" i="10" s="1"/>
  <c r="I501" i="3"/>
  <c r="I501" i="10" s="1"/>
  <c r="I393" i="3"/>
  <c r="I393" i="10" s="1"/>
  <c r="I411" i="3"/>
  <c r="I411" i="10" s="1"/>
  <c r="I371" i="3"/>
  <c r="I371" i="10" s="1"/>
  <c r="I335" i="3"/>
  <c r="I335" i="10" s="1"/>
  <c r="I291" i="3"/>
  <c r="I291" i="10" s="1"/>
  <c r="I219" i="3"/>
  <c r="I219" i="10" s="1"/>
  <c r="I187" i="3"/>
  <c r="I187" i="10" s="1"/>
  <c r="I135" i="3"/>
  <c r="I135" i="10" s="1"/>
  <c r="I67" i="3"/>
  <c r="I67" i="10" s="1"/>
  <c r="I19" i="3"/>
  <c r="I19" i="10" s="1"/>
  <c r="I119" i="3"/>
  <c r="I119" i="10" s="1"/>
  <c r="I47" i="3"/>
  <c r="I47" i="10" s="1"/>
  <c r="I159" i="3"/>
  <c r="I159" i="10" s="1"/>
  <c r="I513" i="3"/>
  <c r="I513" i="10" s="1"/>
  <c r="I479" i="3"/>
  <c r="I479" i="10" s="1"/>
  <c r="I447" i="3"/>
  <c r="I447" i="10" s="1"/>
  <c r="I317" i="3"/>
  <c r="I317" i="10" s="1"/>
  <c r="I121" i="3"/>
  <c r="I121" i="10" s="1"/>
  <c r="I403" i="3"/>
  <c r="I403" i="10" s="1"/>
  <c r="I363" i="3"/>
  <c r="I363" i="10" s="1"/>
  <c r="I327" i="3"/>
  <c r="I327" i="10" s="1"/>
  <c r="I283" i="3"/>
  <c r="I283" i="10" s="1"/>
  <c r="I247" i="3"/>
  <c r="I247" i="10" s="1"/>
  <c r="I211" i="3"/>
  <c r="I211" i="10" s="1"/>
  <c r="I179" i="3"/>
  <c r="I179" i="10" s="1"/>
  <c r="I111" i="3"/>
  <c r="I111" i="10" s="1"/>
  <c r="I59" i="3"/>
  <c r="I59" i="10" s="1"/>
  <c r="I11" i="3"/>
  <c r="I11" i="10" s="1"/>
  <c r="I115" i="3"/>
  <c r="I115" i="10" s="1"/>
  <c r="I75" i="3"/>
  <c r="I75" i="10" s="1"/>
  <c r="I151" i="3"/>
  <c r="I151" i="10" s="1"/>
  <c r="I509" i="3"/>
  <c r="I509" i="10" s="1"/>
  <c r="I435" i="3"/>
  <c r="I435" i="10" s="1"/>
  <c r="I309" i="3"/>
  <c r="I309" i="10" s="1"/>
  <c r="I427" i="3"/>
  <c r="I427" i="10" s="1"/>
  <c r="I241" i="3"/>
  <c r="I241" i="10" s="1"/>
  <c r="I526" i="3"/>
  <c r="I526" i="10" s="1"/>
  <c r="I474" i="3"/>
  <c r="I474" i="10" s="1"/>
  <c r="I470" i="3"/>
  <c r="I470" i="10" s="1"/>
  <c r="I438" i="3"/>
  <c r="I438" i="10" s="1"/>
  <c r="I430" i="3"/>
  <c r="I430" i="10" s="1"/>
  <c r="I422" i="3"/>
  <c r="I422" i="10" s="1"/>
  <c r="I414" i="3"/>
  <c r="I414" i="10" s="1"/>
  <c r="I406" i="3"/>
  <c r="I406" i="10" s="1"/>
  <c r="I398" i="3"/>
  <c r="I398" i="10" s="1"/>
  <c r="I390" i="3"/>
  <c r="I390" i="10" s="1"/>
  <c r="I382" i="3"/>
  <c r="I382" i="10" s="1"/>
  <c r="I374" i="3"/>
  <c r="I374" i="10" s="1"/>
  <c r="I366" i="3"/>
  <c r="I366" i="10" s="1"/>
  <c r="I358" i="3"/>
  <c r="I358" i="10" s="1"/>
  <c r="I350" i="3"/>
  <c r="I350" i="10" s="1"/>
  <c r="I342" i="3"/>
  <c r="I342" i="10" s="1"/>
  <c r="I334" i="3"/>
  <c r="I334" i="10" s="1"/>
  <c r="I318" i="3"/>
  <c r="I318" i="10" s="1"/>
  <c r="I310" i="3"/>
  <c r="I310" i="10" s="1"/>
  <c r="I302" i="3"/>
  <c r="I302" i="10" s="1"/>
  <c r="I294" i="3"/>
  <c r="I294" i="10" s="1"/>
  <c r="I286" i="3"/>
  <c r="I286" i="10" s="1"/>
  <c r="I278" i="3"/>
  <c r="I278" i="10" s="1"/>
  <c r="I270" i="3"/>
  <c r="I270" i="10" s="1"/>
  <c r="I262" i="3"/>
  <c r="I262" i="10" s="1"/>
  <c r="I254" i="3"/>
  <c r="I254" i="10" s="1"/>
  <c r="I230" i="3"/>
  <c r="I230" i="10" s="1"/>
  <c r="I222" i="3"/>
  <c r="I222" i="10" s="1"/>
  <c r="I214" i="3"/>
  <c r="I214" i="10" s="1"/>
  <c r="I206" i="3"/>
  <c r="I206" i="10" s="1"/>
  <c r="I198" i="3"/>
  <c r="I198" i="10" s="1"/>
  <c r="I190" i="3"/>
  <c r="I190" i="10" s="1"/>
  <c r="I182" i="3"/>
  <c r="I182" i="10" s="1"/>
  <c r="I174" i="3"/>
  <c r="I174" i="10" s="1"/>
  <c r="I166" i="3"/>
  <c r="I166" i="10" s="1"/>
  <c r="I158" i="3"/>
  <c r="I158" i="10" s="1"/>
  <c r="I150" i="3"/>
  <c r="I150" i="10" s="1"/>
  <c r="I134" i="3"/>
  <c r="I134" i="10" s="1"/>
  <c r="I126" i="3"/>
  <c r="I126" i="10" s="1"/>
  <c r="I118" i="3"/>
  <c r="I118" i="10" s="1"/>
  <c r="I110" i="3"/>
  <c r="I110" i="10" s="1"/>
  <c r="I102" i="3"/>
  <c r="I102" i="10" s="1"/>
  <c r="I94" i="3"/>
  <c r="I94" i="10" s="1"/>
  <c r="I78" i="3"/>
  <c r="I78" i="10" s="1"/>
  <c r="I70" i="3"/>
  <c r="I70" i="10" s="1"/>
  <c r="I62" i="3"/>
  <c r="I62" i="10" s="1"/>
  <c r="I54" i="3"/>
  <c r="I54" i="10" s="1"/>
  <c r="I46" i="3"/>
  <c r="I46" i="10" s="1"/>
  <c r="I14" i="3"/>
  <c r="I14" i="10" s="1"/>
  <c r="I6" i="3"/>
  <c r="I6" i="10" s="1"/>
  <c r="I163" i="3"/>
  <c r="I163" i="10" s="1"/>
  <c r="I505" i="3"/>
  <c r="I505" i="10" s="1"/>
  <c r="I485" i="3"/>
  <c r="I485" i="10" s="1"/>
  <c r="I477" i="3"/>
  <c r="I477" i="10" s="1"/>
  <c r="I469" i="3"/>
  <c r="I469" i="10" s="1"/>
  <c r="I461" i="3"/>
  <c r="I461" i="10" s="1"/>
  <c r="I453" i="3"/>
  <c r="I453" i="10" s="1"/>
  <c r="I445" i="3"/>
  <c r="I445" i="10" s="1"/>
  <c r="I433" i="3"/>
  <c r="I433" i="10" s="1"/>
  <c r="I399" i="3"/>
  <c r="I399" i="10" s="1"/>
  <c r="I359" i="3"/>
  <c r="I359" i="10" s="1"/>
  <c r="I315" i="3"/>
  <c r="I315" i="10" s="1"/>
  <c r="I275" i="3"/>
  <c r="I275" i="10" s="1"/>
  <c r="I123" i="3"/>
  <c r="I123" i="10" s="1"/>
  <c r="I149" i="3"/>
  <c r="I149" i="10" s="1"/>
  <c r="I541" i="3"/>
  <c r="I541" i="10" s="1"/>
  <c r="I483" i="3"/>
  <c r="I483" i="10" s="1"/>
  <c r="I475" i="3"/>
  <c r="I475" i="10" s="1"/>
  <c r="I467" i="3"/>
  <c r="I467" i="10" s="1"/>
  <c r="I459" i="3"/>
  <c r="I459" i="10" s="1"/>
  <c r="I451" i="3"/>
  <c r="I451" i="10" s="1"/>
  <c r="I443" i="3"/>
  <c r="I443" i="10" s="1"/>
  <c r="I431" i="3"/>
  <c r="I431" i="10" s="1"/>
  <c r="I397" i="3"/>
  <c r="I397" i="10" s="1"/>
  <c r="I357" i="3"/>
  <c r="I357" i="10" s="1"/>
  <c r="I313" i="3"/>
  <c r="I313" i="10" s="1"/>
  <c r="E489" i="3"/>
  <c r="E489" i="10" s="1"/>
  <c r="E42" i="3"/>
  <c r="E42" i="10" s="1"/>
  <c r="E41" i="3"/>
  <c r="E41" i="10" s="1"/>
  <c r="E125" i="3"/>
  <c r="E125" i="10" s="1"/>
  <c r="I2" i="3"/>
  <c r="I2" i="10" s="1"/>
  <c r="I502" i="3"/>
  <c r="I502" i="10" s="1"/>
  <c r="I534" i="3"/>
  <c r="I534" i="10" s="1"/>
  <c r="I522" i="3"/>
  <c r="I522" i="10" s="1"/>
  <c r="I514" i="3"/>
  <c r="I514" i="10" s="1"/>
  <c r="I466" i="3"/>
  <c r="I466" i="10" s="1"/>
  <c r="I434" i="3"/>
  <c r="I434" i="10" s="1"/>
  <c r="I426" i="3"/>
  <c r="I426" i="10" s="1"/>
  <c r="I418" i="3"/>
  <c r="I418" i="10" s="1"/>
  <c r="I410" i="3"/>
  <c r="I410" i="10" s="1"/>
  <c r="I402" i="3"/>
  <c r="I402" i="10" s="1"/>
  <c r="I394" i="3"/>
  <c r="I394" i="10" s="1"/>
  <c r="I386" i="3"/>
  <c r="I386" i="10" s="1"/>
  <c r="I378" i="3"/>
  <c r="I378" i="10" s="1"/>
  <c r="I362" i="3"/>
  <c r="I362" i="10" s="1"/>
  <c r="I354" i="3"/>
  <c r="I354" i="10" s="1"/>
  <c r="I346" i="3"/>
  <c r="I346" i="10" s="1"/>
  <c r="I338" i="3"/>
  <c r="I338" i="10" s="1"/>
  <c r="I314" i="3"/>
  <c r="I314" i="10" s="1"/>
  <c r="I306" i="3"/>
  <c r="I306" i="10" s="1"/>
  <c r="I298" i="3"/>
  <c r="I298" i="10" s="1"/>
  <c r="I290" i="3"/>
  <c r="I290" i="10" s="1"/>
  <c r="I282" i="3"/>
  <c r="I282" i="10" s="1"/>
  <c r="I274" i="3"/>
  <c r="I274" i="10" s="1"/>
  <c r="I266" i="3"/>
  <c r="I266" i="10" s="1"/>
  <c r="I258" i="3"/>
  <c r="I258" i="10" s="1"/>
  <c r="I250" i="3"/>
  <c r="I250" i="10" s="1"/>
  <c r="I234" i="3"/>
  <c r="I234" i="10" s="1"/>
  <c r="I226" i="3"/>
  <c r="I226" i="10" s="1"/>
  <c r="I218" i="3"/>
  <c r="I218" i="10" s="1"/>
  <c r="I210" i="3"/>
  <c r="I210" i="10" s="1"/>
  <c r="I202" i="3"/>
  <c r="I202" i="10" s="1"/>
  <c r="I194" i="3"/>
  <c r="I194" i="10" s="1"/>
  <c r="I186" i="3"/>
  <c r="I186" i="10" s="1"/>
  <c r="I178" i="3"/>
  <c r="I178" i="10" s="1"/>
  <c r="I170" i="3"/>
  <c r="I170" i="10" s="1"/>
  <c r="I162" i="3"/>
  <c r="I162" i="10" s="1"/>
  <c r="I154" i="3"/>
  <c r="I154" i="10" s="1"/>
  <c r="I138" i="3"/>
  <c r="I138" i="10" s="1"/>
  <c r="I130" i="3"/>
  <c r="I130" i="10" s="1"/>
  <c r="I122" i="3"/>
  <c r="I122" i="10" s="1"/>
  <c r="I114" i="3"/>
  <c r="I114" i="10" s="1"/>
  <c r="I106" i="3"/>
  <c r="I106" i="10" s="1"/>
  <c r="I98" i="3"/>
  <c r="I98" i="10" s="1"/>
  <c r="I74" i="3"/>
  <c r="I74" i="10" s="1"/>
  <c r="I66" i="3"/>
  <c r="I66" i="10" s="1"/>
  <c r="I58" i="3"/>
  <c r="I58" i="10" s="1"/>
  <c r="I50" i="3"/>
  <c r="I50" i="10" s="1"/>
  <c r="I42" i="3"/>
  <c r="I42" i="10" s="1"/>
  <c r="I18" i="3"/>
  <c r="I18" i="10" s="1"/>
  <c r="I10" i="3"/>
  <c r="I10" i="10" s="1"/>
  <c r="I155" i="3"/>
  <c r="I155" i="10" s="1"/>
  <c r="I43" i="3"/>
  <c r="I43" i="10" s="1"/>
  <c r="I539" i="3"/>
  <c r="I539" i="10" s="1"/>
  <c r="I511" i="3"/>
  <c r="I511" i="10" s="1"/>
  <c r="I489" i="3"/>
  <c r="I489" i="10" s="1"/>
  <c r="I481" i="3"/>
  <c r="I481" i="10" s="1"/>
  <c r="I473" i="3"/>
  <c r="I473" i="10" s="1"/>
  <c r="I465" i="3"/>
  <c r="I465" i="10" s="1"/>
  <c r="I457" i="3"/>
  <c r="I457" i="10" s="1"/>
  <c r="I449" i="3"/>
  <c r="I449" i="10" s="1"/>
  <c r="I437" i="3"/>
  <c r="I437" i="10" s="1"/>
  <c r="I429" i="3"/>
  <c r="I429" i="10" s="1"/>
  <c r="I395" i="3"/>
  <c r="I395" i="10" s="1"/>
  <c r="I319" i="3"/>
  <c r="I319" i="10" s="1"/>
  <c r="I311" i="3"/>
  <c r="I311" i="10" s="1"/>
  <c r="I129" i="3"/>
  <c r="I129" i="10" s="1"/>
  <c r="I117" i="3"/>
  <c r="I117" i="10" s="1"/>
  <c r="I71" i="3"/>
  <c r="I71" i="10" s="1"/>
  <c r="E500" i="3"/>
  <c r="E500" i="10" s="1"/>
  <c r="I529" i="3"/>
  <c r="I529" i="10" s="1"/>
  <c r="I421" i="3"/>
  <c r="I421" i="10" s="1"/>
  <c r="I405" i="3"/>
  <c r="I405" i="10" s="1"/>
  <c r="I381" i="3"/>
  <c r="I381" i="10" s="1"/>
  <c r="I365" i="3"/>
  <c r="I365" i="10" s="1"/>
  <c r="I345" i="3"/>
  <c r="I345" i="10" s="1"/>
  <c r="I329" i="3"/>
  <c r="I329" i="10" s="1"/>
  <c r="I301" i="3"/>
  <c r="I301" i="10" s="1"/>
  <c r="I285" i="3"/>
  <c r="I285" i="10" s="1"/>
  <c r="I269" i="3"/>
  <c r="I269" i="10" s="1"/>
  <c r="I253" i="3"/>
  <c r="I253" i="10" s="1"/>
  <c r="I233" i="3"/>
  <c r="I233" i="10" s="1"/>
  <c r="I217" i="3"/>
  <c r="I217" i="10" s="1"/>
  <c r="I201" i="3"/>
  <c r="I201" i="10" s="1"/>
  <c r="I185" i="3"/>
  <c r="I185" i="10" s="1"/>
  <c r="I169" i="3"/>
  <c r="I169" i="10" s="1"/>
  <c r="I133" i="3"/>
  <c r="I133" i="10" s="1"/>
  <c r="I97" i="3"/>
  <c r="I97" i="10" s="1"/>
  <c r="I61" i="3"/>
  <c r="I61" i="10" s="1"/>
  <c r="I29" i="3"/>
  <c r="I29" i="10" s="1"/>
  <c r="I13" i="3"/>
  <c r="I13" i="10" s="1"/>
  <c r="I423" i="3"/>
  <c r="I423" i="10" s="1"/>
  <c r="I407" i="3"/>
  <c r="I407" i="10" s="1"/>
  <c r="I383" i="3"/>
  <c r="I383" i="10" s="1"/>
  <c r="I367" i="3"/>
  <c r="I367" i="10" s="1"/>
  <c r="I347" i="3"/>
  <c r="I347" i="10" s="1"/>
  <c r="I331" i="3"/>
  <c r="I331" i="10" s="1"/>
  <c r="I303" i="3"/>
  <c r="I303" i="10" s="1"/>
  <c r="I287" i="3"/>
  <c r="I287" i="10" s="1"/>
  <c r="I267" i="3"/>
  <c r="I267" i="10" s="1"/>
  <c r="I251" i="3"/>
  <c r="I251" i="10" s="1"/>
  <c r="I235" i="3"/>
  <c r="I235" i="10" s="1"/>
  <c r="I215" i="3"/>
  <c r="I215" i="10" s="1"/>
  <c r="I199" i="3"/>
  <c r="I199" i="10" s="1"/>
  <c r="I183" i="3"/>
  <c r="I183" i="10" s="1"/>
  <c r="I147" i="3"/>
  <c r="I147" i="10" s="1"/>
  <c r="I131" i="3"/>
  <c r="I131" i="10" s="1"/>
  <c r="I99" i="3"/>
  <c r="I99" i="10" s="1"/>
  <c r="I63" i="3"/>
  <c r="I63" i="10" s="1"/>
  <c r="I31" i="3"/>
  <c r="I31" i="10" s="1"/>
  <c r="I15" i="3"/>
  <c r="I15" i="10" s="1"/>
  <c r="I531" i="3"/>
  <c r="I531" i="10" s="1"/>
  <c r="I523" i="3"/>
  <c r="I523" i="10" s="1"/>
  <c r="I507" i="3"/>
  <c r="I507" i="10" s="1"/>
  <c r="I441" i="3"/>
  <c r="I441" i="10" s="1"/>
  <c r="I413" i="3"/>
  <c r="I413" i="10" s="1"/>
  <c r="I389" i="3"/>
  <c r="I389" i="10" s="1"/>
  <c r="I373" i="3"/>
  <c r="I373" i="10" s="1"/>
  <c r="I353" i="3"/>
  <c r="I353" i="10" s="1"/>
  <c r="I337" i="3"/>
  <c r="I337" i="10" s="1"/>
  <c r="I321" i="3"/>
  <c r="I321" i="10" s="1"/>
  <c r="I293" i="3"/>
  <c r="I293" i="10" s="1"/>
  <c r="I277" i="3"/>
  <c r="I277" i="10" s="1"/>
  <c r="I261" i="3"/>
  <c r="I261" i="10" s="1"/>
  <c r="I245" i="3"/>
  <c r="I245" i="10" s="1"/>
  <c r="I225" i="3"/>
  <c r="I225" i="10" s="1"/>
  <c r="I209" i="3"/>
  <c r="I209" i="10" s="1"/>
  <c r="I193" i="3"/>
  <c r="I193" i="10" s="1"/>
  <c r="I177" i="3"/>
  <c r="I177" i="10" s="1"/>
  <c r="I141" i="3"/>
  <c r="I141" i="10" s="1"/>
  <c r="I105" i="3"/>
  <c r="I105" i="10" s="1"/>
  <c r="I89" i="3"/>
  <c r="I89" i="10" s="1"/>
  <c r="I53" i="3"/>
  <c r="I53" i="10" s="1"/>
  <c r="I21" i="3"/>
  <c r="I21" i="10" s="1"/>
  <c r="I5" i="3"/>
  <c r="I5" i="10" s="1"/>
  <c r="I495" i="3"/>
  <c r="I495" i="10" s="1"/>
  <c r="I415" i="3"/>
  <c r="I415" i="10" s="1"/>
  <c r="I391" i="3"/>
  <c r="I391" i="10" s="1"/>
  <c r="I375" i="3"/>
  <c r="I375" i="10" s="1"/>
  <c r="I355" i="3"/>
  <c r="I355" i="10" s="1"/>
  <c r="I339" i="3"/>
  <c r="I339" i="10" s="1"/>
  <c r="I323" i="3"/>
  <c r="I323" i="10" s="1"/>
  <c r="I295" i="3"/>
  <c r="I295" i="10" s="1"/>
  <c r="I279" i="3"/>
  <c r="I279" i="10" s="1"/>
  <c r="I259" i="3"/>
  <c r="I259" i="10" s="1"/>
  <c r="I243" i="3"/>
  <c r="I243" i="10" s="1"/>
  <c r="I227" i="3"/>
  <c r="I227" i="10" s="1"/>
  <c r="I207" i="3"/>
  <c r="I207" i="10" s="1"/>
  <c r="I191" i="3"/>
  <c r="I191" i="10" s="1"/>
  <c r="I175" i="3"/>
  <c r="I175" i="10" s="1"/>
  <c r="I139" i="3"/>
  <c r="I139" i="10" s="1"/>
  <c r="I107" i="3"/>
  <c r="I107" i="10" s="1"/>
  <c r="I91" i="3"/>
  <c r="I91" i="10" s="1"/>
  <c r="I55" i="3"/>
  <c r="I55" i="10" s="1"/>
  <c r="I23" i="3"/>
  <c r="I23" i="10" s="1"/>
  <c r="I7" i="3"/>
  <c r="I7" i="10" s="1"/>
  <c r="I533" i="3"/>
  <c r="I533" i="10" s="1"/>
  <c r="I527" i="3"/>
  <c r="I527" i="10" s="1"/>
  <c r="I491" i="3"/>
  <c r="I491" i="10" s="1"/>
  <c r="E24" i="3"/>
  <c r="E24" i="10" s="1"/>
  <c r="E30" i="3"/>
  <c r="E30" i="10" s="1"/>
  <c r="E32" i="3"/>
  <c r="E32" i="10" s="1"/>
  <c r="E527" i="3"/>
  <c r="E527" i="10" s="1"/>
  <c r="E2" i="3"/>
  <c r="E2" i="10" s="1"/>
  <c r="E123" i="3"/>
  <c r="E123" i="10" s="1"/>
  <c r="E135" i="3"/>
  <c r="E135" i="10" s="1"/>
  <c r="E133" i="3"/>
  <c r="E133" i="10" s="1"/>
  <c r="E27" i="3"/>
  <c r="E27" i="10" s="1"/>
  <c r="E29" i="3"/>
  <c r="E29" i="10" s="1"/>
  <c r="E25" i="3"/>
  <c r="E25" i="10" s="1"/>
  <c r="E131" i="3"/>
  <c r="E131" i="10" s="1"/>
  <c r="E185" i="3"/>
  <c r="E185" i="10" s="1"/>
  <c r="E92" i="3"/>
  <c r="E92" i="10" s="1"/>
  <c r="E525" i="3"/>
  <c r="E525" i="10" s="1"/>
  <c r="E528" i="3"/>
  <c r="E528" i="10" s="1"/>
  <c r="E127" i="3"/>
  <c r="E127" i="10" s="1"/>
  <c r="E66" i="3"/>
  <c r="E66" i="10" s="1"/>
  <c r="E187" i="3"/>
  <c r="E187" i="10" s="1"/>
  <c r="E511" i="3"/>
  <c r="E511" i="10" s="1"/>
  <c r="E494" i="3"/>
  <c r="E494" i="10" s="1"/>
  <c r="E345" i="3"/>
  <c r="E345" i="10" s="1"/>
  <c r="E492" i="3"/>
  <c r="E492" i="10" s="1"/>
  <c r="E242" i="3"/>
  <c r="E242" i="10" s="1"/>
  <c r="E498" i="3"/>
  <c r="E498" i="10" s="1"/>
  <c r="E476" i="3"/>
  <c r="E476" i="10" s="1"/>
  <c r="E523" i="3"/>
  <c r="E523" i="10" s="1"/>
  <c r="E488" i="3"/>
  <c r="E488" i="10" s="1"/>
  <c r="E529" i="3"/>
  <c r="E529" i="10" s="1"/>
  <c r="E496" i="3"/>
  <c r="E496" i="10" s="1"/>
  <c r="E531" i="3"/>
  <c r="E531" i="10" s="1"/>
  <c r="E520" i="3"/>
  <c r="E520" i="10" s="1"/>
  <c r="E526" i="3"/>
  <c r="E526" i="10" s="1"/>
  <c r="E237" i="3"/>
  <c r="E237" i="10" s="1"/>
  <c r="E239" i="3"/>
  <c r="E239" i="10" s="1"/>
  <c r="E490" i="3"/>
  <c r="E490" i="10" s="1"/>
  <c r="E486" i="3"/>
  <c r="E486" i="10" s="1"/>
  <c r="E517" i="3"/>
  <c r="E517" i="10" s="1"/>
  <c r="E537" i="3"/>
  <c r="E537" i="10" s="1"/>
  <c r="E16" i="3"/>
  <c r="E16" i="10" s="1"/>
  <c r="E6" i="3"/>
  <c r="E6" i="10" s="1"/>
  <c r="E381" i="3"/>
  <c r="E381" i="10" s="1"/>
  <c r="E293" i="3"/>
  <c r="E293" i="10" s="1"/>
  <c r="E446" i="3"/>
  <c r="E446" i="10" s="1"/>
  <c r="E64" i="3"/>
  <c r="E64" i="10" s="1"/>
  <c r="E8" i="3"/>
  <c r="E8" i="10" s="1"/>
  <c r="E58" i="3"/>
  <c r="E58" i="10" s="1"/>
  <c r="E22" i="3"/>
  <c r="E22" i="10" s="1"/>
  <c r="E4" i="3"/>
  <c r="E4" i="10" s="1"/>
  <c r="E52" i="3"/>
  <c r="E52" i="10" s="1"/>
  <c r="E14" i="3"/>
  <c r="E14" i="10" s="1"/>
  <c r="E505" i="3"/>
  <c r="E505" i="10" s="1"/>
  <c r="E74" i="3"/>
  <c r="E74" i="10" s="1"/>
  <c r="E10" i="3"/>
  <c r="E10" i="10" s="1"/>
  <c r="E5" i="3"/>
  <c r="E5" i="10" s="1"/>
  <c r="E151" i="3"/>
  <c r="E151" i="10" s="1"/>
  <c r="E279" i="3"/>
  <c r="E279" i="10" s="1"/>
  <c r="E111" i="3"/>
  <c r="E111" i="10" s="1"/>
  <c r="E68" i="3"/>
  <c r="E68" i="10" s="1"/>
  <c r="E174" i="3"/>
  <c r="E174" i="10" s="1"/>
  <c r="E327" i="3"/>
  <c r="E327" i="10" s="1"/>
  <c r="E344" i="3"/>
  <c r="E344" i="10" s="1"/>
  <c r="E157" i="3"/>
  <c r="E157" i="10" s="1"/>
  <c r="E53" i="3"/>
  <c r="E53" i="10" s="1"/>
  <c r="E23" i="3"/>
  <c r="E23" i="10" s="1"/>
  <c r="E19" i="3"/>
  <c r="E19" i="10" s="1"/>
  <c r="E507" i="3"/>
  <c r="E507" i="10" s="1"/>
  <c r="E81" i="3"/>
  <c r="E81" i="10" s="1"/>
  <c r="E57" i="3"/>
  <c r="E57" i="10" s="1"/>
  <c r="E7" i="3"/>
  <c r="E7" i="10" s="1"/>
  <c r="E533" i="3"/>
  <c r="E533" i="10" s="1"/>
  <c r="E117" i="3"/>
  <c r="E117" i="10" s="1"/>
  <c r="E539" i="3"/>
  <c r="E539" i="10" s="1"/>
  <c r="E107" i="3"/>
  <c r="E107" i="10" s="1"/>
  <c r="E209" i="3"/>
  <c r="E209" i="10" s="1"/>
  <c r="E506" i="3"/>
  <c r="E506" i="10" s="1"/>
  <c r="E3" i="3"/>
  <c r="E3" i="10" s="1"/>
  <c r="E370" i="3"/>
  <c r="E370" i="10" s="1"/>
  <c r="E79" i="3"/>
  <c r="E79" i="10" s="1"/>
  <c r="E164" i="3"/>
  <c r="E164" i="10" s="1"/>
  <c r="E49" i="3"/>
  <c r="E49" i="10" s="1"/>
  <c r="E15" i="3"/>
  <c r="E15" i="10" s="1"/>
  <c r="E21" i="3"/>
  <c r="E21" i="10" s="1"/>
  <c r="E17" i="3"/>
  <c r="E17" i="10" s="1"/>
  <c r="E458" i="3"/>
  <c r="E458" i="10" s="1"/>
  <c r="E504" i="3"/>
  <c r="E504" i="10" s="1"/>
  <c r="E368" i="3"/>
  <c r="E368" i="10" s="1"/>
  <c r="E98" i="3"/>
  <c r="E98" i="10" s="1"/>
  <c r="E77" i="3"/>
  <c r="E77" i="10" s="1"/>
  <c r="E11" i="3"/>
  <c r="E11" i="10" s="1"/>
  <c r="E13" i="3"/>
  <c r="E13" i="10" s="1"/>
  <c r="E9" i="3"/>
  <c r="E9" i="10" s="1"/>
  <c r="E59" i="3"/>
  <c r="E59" i="10" s="1"/>
  <c r="E451" i="3"/>
  <c r="E451" i="10" s="1"/>
  <c r="E309" i="3"/>
  <c r="E309" i="10" s="1"/>
  <c r="E251" i="3"/>
  <c r="E251" i="10" s="1"/>
  <c r="E468" i="3"/>
  <c r="E468" i="10" s="1"/>
  <c r="E109" i="3"/>
  <c r="E109" i="10" s="1"/>
  <c r="E289" i="3"/>
  <c r="E289" i="10" s="1"/>
  <c r="E94" i="3"/>
  <c r="E94" i="10" s="1"/>
  <c r="E80" i="3"/>
  <c r="E80" i="10" s="1"/>
  <c r="E76" i="3"/>
  <c r="E76" i="10" s="1"/>
  <c r="E270" i="3"/>
  <c r="E270" i="10" s="1"/>
  <c r="E142" i="3"/>
  <c r="E142" i="10" s="1"/>
  <c r="E541" i="3"/>
  <c r="E541" i="10" s="1"/>
  <c r="E423" i="3"/>
  <c r="E423" i="10" s="1"/>
  <c r="E403" i="3"/>
  <c r="E403" i="10" s="1"/>
  <c r="E260" i="3"/>
  <c r="E260" i="10" s="1"/>
  <c r="E115" i="3"/>
  <c r="E115" i="10" s="1"/>
  <c r="E103" i="3"/>
  <c r="E103" i="10" s="1"/>
  <c r="E100" i="3"/>
  <c r="E100" i="10" s="1"/>
  <c r="E82" i="3"/>
  <c r="E82" i="10" s="1"/>
  <c r="E78" i="3"/>
  <c r="E78" i="10" s="1"/>
  <c r="E72" i="3"/>
  <c r="E72" i="10" s="1"/>
  <c r="E535" i="3"/>
  <c r="E535" i="10" s="1"/>
  <c r="E540" i="3"/>
  <c r="E540" i="10" s="1"/>
  <c r="E214" i="3"/>
  <c r="E214" i="10" s="1"/>
  <c r="E204" i="3"/>
  <c r="E204" i="10" s="1"/>
  <c r="E60" i="3"/>
  <c r="E60" i="10" s="1"/>
  <c r="E54" i="3"/>
  <c r="E54" i="10" s="1"/>
  <c r="E55" i="3"/>
  <c r="E55" i="10" s="1"/>
  <c r="E455" i="3"/>
  <c r="E455" i="10" s="1"/>
  <c r="E263" i="3"/>
  <c r="E263" i="10" s="1"/>
  <c r="E460" i="3"/>
  <c r="E460" i="10" s="1"/>
  <c r="E472" i="3"/>
  <c r="E472" i="10" s="1"/>
  <c r="E284" i="3"/>
  <c r="E284" i="10" s="1"/>
  <c r="E361" i="3"/>
  <c r="E361" i="10" s="1"/>
  <c r="E150" i="3"/>
  <c r="E150" i="10" s="1"/>
  <c r="E195" i="3"/>
  <c r="E195" i="10" s="1"/>
  <c r="E207" i="3"/>
  <c r="E207" i="10" s="1"/>
  <c r="E180" i="3"/>
  <c r="E180" i="10" s="1"/>
  <c r="E518" i="3"/>
  <c r="E518" i="10" s="1"/>
  <c r="E417" i="3"/>
  <c r="E417" i="10" s="1"/>
  <c r="E355" i="3"/>
  <c r="E355" i="10" s="1"/>
  <c r="E378" i="3"/>
  <c r="E378" i="10" s="1"/>
  <c r="E139" i="3"/>
  <c r="E139" i="10" s="1"/>
  <c r="E387" i="3"/>
  <c r="E387" i="10" s="1"/>
  <c r="E464" i="3"/>
  <c r="E464" i="10" s="1"/>
  <c r="E244" i="3"/>
  <c r="E244" i="10" s="1"/>
  <c r="E257" i="3"/>
  <c r="E257" i="10" s="1"/>
  <c r="E304" i="3"/>
  <c r="E304" i="10" s="1"/>
  <c r="E198" i="3"/>
  <c r="E198" i="10" s="1"/>
  <c r="E159" i="3"/>
  <c r="E159" i="10" s="1"/>
  <c r="E228" i="3"/>
  <c r="E228" i="10" s="1"/>
  <c r="E326" i="3"/>
  <c r="E326" i="10" s="1"/>
  <c r="E456" i="3"/>
  <c r="E456" i="10" s="1"/>
  <c r="E449" i="3"/>
  <c r="E449" i="10" s="1"/>
  <c r="E317" i="3"/>
  <c r="E317" i="10" s="1"/>
  <c r="E398" i="3"/>
  <c r="E398" i="10" s="1"/>
  <c r="E271" i="3"/>
  <c r="E271" i="10" s="1"/>
  <c r="E143" i="3"/>
  <c r="E143" i="10" s="1"/>
  <c r="E444" i="3"/>
  <c r="E444" i="10" s="1"/>
  <c r="E385" i="3"/>
  <c r="E385" i="10" s="1"/>
  <c r="E470" i="3"/>
  <c r="E470" i="10" s="1"/>
  <c r="E462" i="3"/>
  <c r="E462" i="10" s="1"/>
  <c r="E276" i="3"/>
  <c r="E276" i="10" s="1"/>
  <c r="E338" i="3"/>
  <c r="E338" i="10" s="1"/>
  <c r="E249" i="3"/>
  <c r="E249" i="10" s="1"/>
  <c r="E422" i="3"/>
  <c r="E422" i="10" s="1"/>
  <c r="E250" i="3"/>
  <c r="E250" i="10" s="1"/>
  <c r="E206" i="3"/>
  <c r="E206" i="10" s="1"/>
  <c r="E166" i="3"/>
  <c r="E166" i="10" s="1"/>
  <c r="E167" i="3"/>
  <c r="E167" i="10" s="1"/>
  <c r="E321" i="3"/>
  <c r="E321" i="10" s="1"/>
  <c r="E212" i="3"/>
  <c r="E212" i="10" s="1"/>
  <c r="E172" i="3"/>
  <c r="E172" i="10" s="1"/>
  <c r="E193" i="3"/>
  <c r="E193" i="10" s="1"/>
  <c r="E362" i="3"/>
  <c r="E362" i="10" s="1"/>
  <c r="E459" i="3"/>
  <c r="E459" i="10" s="1"/>
  <c r="E454" i="3"/>
  <c r="E454" i="10" s="1"/>
  <c r="E474" i="3"/>
  <c r="E474" i="10" s="1"/>
  <c r="E380" i="3"/>
  <c r="E380" i="10" s="1"/>
  <c r="E283" i="3"/>
  <c r="E283" i="10" s="1"/>
  <c r="E255" i="3"/>
  <c r="E255" i="10" s="1"/>
  <c r="E393" i="3"/>
  <c r="E393" i="10" s="1"/>
  <c r="E145" i="3"/>
  <c r="E145" i="10" s="1"/>
  <c r="E466" i="3"/>
  <c r="E466" i="10" s="1"/>
  <c r="E314" i="3"/>
  <c r="E314" i="10" s="1"/>
  <c r="E252" i="3"/>
  <c r="E252" i="10" s="1"/>
  <c r="E119" i="3"/>
  <c r="E119" i="10" s="1"/>
  <c r="E430" i="3"/>
  <c r="E430" i="10" s="1"/>
  <c r="E265" i="3"/>
  <c r="E265" i="10" s="1"/>
  <c r="E286" i="3"/>
  <c r="E286" i="10" s="1"/>
  <c r="E230" i="3"/>
  <c r="E230" i="10" s="1"/>
  <c r="E182" i="3"/>
  <c r="E182" i="10" s="1"/>
  <c r="E146" i="3"/>
  <c r="E146" i="10" s="1"/>
  <c r="E223" i="3"/>
  <c r="E223" i="10" s="1"/>
  <c r="E424" i="3"/>
  <c r="E424" i="10" s="1"/>
  <c r="E215" i="3"/>
  <c r="E215" i="10" s="1"/>
  <c r="E147" i="3"/>
  <c r="E147" i="10" s="1"/>
  <c r="E291" i="3"/>
  <c r="E291" i="10" s="1"/>
  <c r="E196" i="3"/>
  <c r="E196" i="10" s="1"/>
  <c r="E144" i="3"/>
  <c r="E144" i="10" s="1"/>
  <c r="E221" i="3"/>
  <c r="E221" i="10" s="1"/>
  <c r="E177" i="3"/>
  <c r="E177" i="10" s="1"/>
  <c r="E149" i="3"/>
  <c r="E149" i="10" s="1"/>
  <c r="E480" i="3"/>
  <c r="E480" i="10" s="1"/>
  <c r="E298" i="3"/>
  <c r="E298" i="10" s="1"/>
  <c r="E512" i="3"/>
  <c r="E512" i="10" s="1"/>
  <c r="E491" i="3"/>
  <c r="E491" i="10" s="1"/>
  <c r="E481" i="3"/>
  <c r="E481" i="10" s="1"/>
  <c r="E441" i="3"/>
  <c r="E441" i="10" s="1"/>
  <c r="E411" i="3"/>
  <c r="E411" i="10" s="1"/>
  <c r="E389" i="3"/>
  <c r="E389" i="10" s="1"/>
  <c r="E482" i="3"/>
  <c r="E482" i="10" s="1"/>
  <c r="E400" i="3"/>
  <c r="E400" i="10" s="1"/>
  <c r="E360" i="3"/>
  <c r="E360" i="10" s="1"/>
  <c r="E340" i="3"/>
  <c r="E340" i="10" s="1"/>
  <c r="E312" i="3"/>
  <c r="E312" i="10" s="1"/>
  <c r="E288" i="3"/>
  <c r="E288" i="10" s="1"/>
  <c r="E280" i="3"/>
  <c r="E280" i="10" s="1"/>
  <c r="E272" i="3"/>
  <c r="E272" i="10" s="1"/>
  <c r="E264" i="3"/>
  <c r="E264" i="10" s="1"/>
  <c r="E256" i="3"/>
  <c r="E256" i="10" s="1"/>
  <c r="E248" i="3"/>
  <c r="E248" i="10" s="1"/>
  <c r="E240" i="3"/>
  <c r="E240" i="10" s="1"/>
  <c r="E238" i="3"/>
  <c r="E238" i="10" s="1"/>
  <c r="E234" i="3"/>
  <c r="E234" i="10" s="1"/>
  <c r="E224" i="3"/>
  <c r="E224" i="10" s="1"/>
  <c r="E216" i="3"/>
  <c r="E216" i="10" s="1"/>
  <c r="E208" i="3"/>
  <c r="E208" i="10" s="1"/>
  <c r="E200" i="3"/>
  <c r="E200" i="10" s="1"/>
  <c r="E192" i="3"/>
  <c r="E192" i="10" s="1"/>
  <c r="E184" i="3"/>
  <c r="E184" i="10" s="1"/>
  <c r="E176" i="3"/>
  <c r="E176" i="10" s="1"/>
  <c r="E168" i="3"/>
  <c r="E168" i="10" s="1"/>
  <c r="E160" i="3"/>
  <c r="E160" i="10" s="1"/>
  <c r="E140" i="3"/>
  <c r="E140" i="10" s="1"/>
  <c r="E136" i="3"/>
  <c r="E136" i="10" s="1"/>
  <c r="E134" i="3"/>
  <c r="E134" i="10" s="1"/>
  <c r="E132" i="3"/>
  <c r="E132" i="10" s="1"/>
  <c r="E130" i="3"/>
  <c r="E130" i="10" s="1"/>
  <c r="E128" i="3"/>
  <c r="E128" i="10" s="1"/>
  <c r="E126" i="3"/>
  <c r="E126" i="10" s="1"/>
  <c r="E124" i="3"/>
  <c r="E124" i="10" s="1"/>
  <c r="E122" i="3"/>
  <c r="E122" i="10" s="1"/>
  <c r="E120" i="3"/>
  <c r="E120" i="10" s="1"/>
  <c r="E118" i="3"/>
  <c r="E118" i="10" s="1"/>
  <c r="E116" i="3"/>
  <c r="E116" i="10" s="1"/>
  <c r="E114" i="3"/>
  <c r="E114" i="10" s="1"/>
  <c r="E112" i="3"/>
  <c r="E112" i="10" s="1"/>
  <c r="E110" i="3"/>
  <c r="E110" i="10" s="1"/>
  <c r="E108" i="3"/>
  <c r="E108" i="10" s="1"/>
  <c r="E104" i="3"/>
  <c r="E104" i="10" s="1"/>
  <c r="E102" i="3"/>
  <c r="E102" i="10" s="1"/>
  <c r="E90" i="3"/>
  <c r="E90" i="10" s="1"/>
  <c r="E75" i="3"/>
  <c r="E75" i="10" s="1"/>
  <c r="E73" i="3"/>
  <c r="E73" i="10" s="1"/>
  <c r="E71" i="3"/>
  <c r="E71" i="10" s="1"/>
  <c r="E69" i="3"/>
  <c r="E69" i="10" s="1"/>
  <c r="E67" i="3"/>
  <c r="E67" i="10" s="1"/>
  <c r="E65" i="3"/>
  <c r="E65" i="10" s="1"/>
  <c r="E63" i="3"/>
  <c r="E63" i="10" s="1"/>
  <c r="E61" i="3"/>
  <c r="E61" i="10" s="1"/>
  <c r="E51" i="3"/>
  <c r="E51" i="10" s="1"/>
  <c r="E47" i="3"/>
  <c r="E47" i="10" s="1"/>
  <c r="E45" i="3"/>
  <c r="E45" i="10" s="1"/>
  <c r="E43" i="3"/>
  <c r="E43" i="10" s="1"/>
  <c r="E514" i="3"/>
  <c r="E514" i="10" s="1"/>
  <c r="E502" i="3"/>
  <c r="E502" i="10" s="1"/>
  <c r="E439" i="3"/>
  <c r="E439" i="10" s="1"/>
  <c r="E431" i="3"/>
  <c r="E431" i="10" s="1"/>
  <c r="E513" i="3"/>
  <c r="E513" i="10" s="1"/>
  <c r="E497" i="3"/>
  <c r="E497" i="10" s="1"/>
  <c r="E485" i="3"/>
  <c r="E485" i="10" s="1"/>
  <c r="E484" i="3"/>
  <c r="E484" i="10" s="1"/>
  <c r="E478" i="3"/>
  <c r="E478" i="10" s="1"/>
  <c r="E438" i="3"/>
  <c r="E438" i="10" s="1"/>
  <c r="E416" i="3"/>
  <c r="E416" i="10" s="1"/>
  <c r="E354" i="3"/>
  <c r="E354" i="10" s="1"/>
  <c r="E334" i="3"/>
  <c r="E334" i="10" s="1"/>
  <c r="E328" i="3"/>
  <c r="E328" i="10" s="1"/>
  <c r="E306" i="3"/>
  <c r="E306" i="10" s="1"/>
  <c r="E296" i="3"/>
  <c r="E296" i="10" s="1"/>
  <c r="E278" i="3"/>
  <c r="E278" i="10" s="1"/>
  <c r="E262" i="3"/>
  <c r="E262" i="10" s="1"/>
  <c r="E254" i="3"/>
  <c r="E254" i="10" s="1"/>
  <c r="E246" i="3"/>
  <c r="E246" i="10" s="1"/>
  <c r="E232" i="3"/>
  <c r="E232" i="10" s="1"/>
  <c r="E226" i="3"/>
  <c r="E226" i="10" s="1"/>
  <c r="E218" i="3"/>
  <c r="E218" i="10" s="1"/>
  <c r="E210" i="3"/>
  <c r="E210" i="10" s="1"/>
  <c r="E202" i="3"/>
  <c r="E202" i="10" s="1"/>
  <c r="E194" i="3"/>
  <c r="E194" i="10" s="1"/>
  <c r="E186" i="3"/>
  <c r="E186" i="10" s="1"/>
  <c r="E178" i="3"/>
  <c r="E178" i="10" s="1"/>
  <c r="E170" i="3"/>
  <c r="E170" i="10" s="1"/>
  <c r="E162" i="3"/>
  <c r="E162" i="10" s="1"/>
  <c r="E154" i="3"/>
  <c r="E154" i="10" s="1"/>
  <c r="E152" i="3"/>
  <c r="E152" i="10" s="1"/>
  <c r="E148" i="3"/>
  <c r="E148" i="10" s="1"/>
  <c r="E138" i="3"/>
  <c r="E138" i="10" s="1"/>
  <c r="E106" i="3"/>
  <c r="E106" i="10" s="1"/>
  <c r="E457" i="3"/>
  <c r="E457" i="10" s="1"/>
  <c r="E453" i="3"/>
  <c r="E453" i="10" s="1"/>
  <c r="E436" i="3"/>
  <c r="E436" i="10" s="1"/>
  <c r="E530" i="3"/>
  <c r="E530" i="10" s="1"/>
  <c r="E372" i="3"/>
  <c r="E372" i="10" s="1"/>
  <c r="E287" i="3"/>
  <c r="E287" i="10" s="1"/>
  <c r="E267" i="3"/>
  <c r="E267" i="10" s="1"/>
  <c r="E247" i="3"/>
  <c r="E247" i="10" s="1"/>
  <c r="E495" i="3"/>
  <c r="E495" i="10" s="1"/>
  <c r="E407" i="3"/>
  <c r="E407" i="10" s="1"/>
  <c r="E515" i="3"/>
  <c r="E515" i="10" s="1"/>
  <c r="E352" i="3"/>
  <c r="E352" i="10" s="1"/>
  <c r="E268" i="3"/>
  <c r="E268" i="10" s="1"/>
  <c r="E137" i="3"/>
  <c r="E137" i="10" s="1"/>
  <c r="E129" i="3"/>
  <c r="E129" i="10" s="1"/>
  <c r="E121" i="3"/>
  <c r="E121" i="10" s="1"/>
  <c r="E113" i="3"/>
  <c r="E113" i="10" s="1"/>
  <c r="E105" i="3"/>
  <c r="E105" i="10" s="1"/>
  <c r="E379" i="3"/>
  <c r="E379" i="10" s="1"/>
  <c r="E273" i="3"/>
  <c r="E273" i="10" s="1"/>
  <c r="E236" i="3"/>
  <c r="E236" i="10" s="1"/>
  <c r="E96" i="3"/>
  <c r="E96" i="10" s="1"/>
  <c r="E70" i="3"/>
  <c r="E70" i="10" s="1"/>
  <c r="E542" i="3"/>
  <c r="E542" i="10" s="1"/>
  <c r="E320" i="3"/>
  <c r="E320" i="10" s="1"/>
  <c r="E258" i="3"/>
  <c r="E258" i="10" s="1"/>
  <c r="E222" i="3"/>
  <c r="E222" i="10" s="1"/>
  <c r="E190" i="3"/>
  <c r="E190" i="10" s="1"/>
  <c r="E158" i="3"/>
  <c r="E158" i="10" s="1"/>
  <c r="E203" i="3"/>
  <c r="E203" i="10" s="1"/>
  <c r="E231" i="3"/>
  <c r="E231" i="10" s="1"/>
  <c r="E175" i="3"/>
  <c r="E175" i="10" s="1"/>
  <c r="E220" i="3"/>
  <c r="E220" i="10" s="1"/>
  <c r="E188" i="3"/>
  <c r="E188" i="10" s="1"/>
  <c r="E156" i="3"/>
  <c r="E156" i="10" s="1"/>
  <c r="E461" i="3"/>
  <c r="E461" i="10" s="1"/>
  <c r="E201" i="3"/>
  <c r="E201" i="10" s="1"/>
  <c r="E169" i="3"/>
  <c r="E169" i="10" s="1"/>
  <c r="E295" i="3"/>
  <c r="E295" i="10" s="1"/>
  <c r="E499" i="3"/>
  <c r="E499" i="10" s="1"/>
  <c r="E524" i="3"/>
  <c r="E524" i="10" s="1"/>
  <c r="E346" i="3"/>
  <c r="E346" i="10" s="1"/>
  <c r="E44" i="3"/>
  <c r="E44" i="10" s="1"/>
  <c r="E538" i="3"/>
  <c r="E538" i="10" s="1"/>
  <c r="E447" i="3"/>
  <c r="E447" i="10" s="1"/>
  <c r="E433" i="3"/>
  <c r="E433" i="10" s="1"/>
  <c r="E425" i="3"/>
  <c r="E425" i="10" s="1"/>
  <c r="E419" i="3"/>
  <c r="E419" i="10" s="1"/>
  <c r="E409" i="3"/>
  <c r="E409" i="10" s="1"/>
  <c r="E405" i="3"/>
  <c r="E405" i="10" s="1"/>
  <c r="E401" i="3"/>
  <c r="E401" i="10" s="1"/>
  <c r="E399" i="3"/>
  <c r="E399" i="10" s="1"/>
  <c r="E391" i="3"/>
  <c r="E391" i="10" s="1"/>
  <c r="E383" i="3"/>
  <c r="E383" i="10" s="1"/>
  <c r="E373" i="3"/>
  <c r="E373" i="10" s="1"/>
  <c r="E371" i="3"/>
  <c r="E371" i="10" s="1"/>
  <c r="E367" i="3"/>
  <c r="E367" i="10" s="1"/>
  <c r="E353" i="3"/>
  <c r="E353" i="10" s="1"/>
  <c r="E343" i="3"/>
  <c r="E343" i="10" s="1"/>
  <c r="E337" i="3"/>
  <c r="E337" i="10" s="1"/>
  <c r="E335" i="3"/>
  <c r="E335" i="10" s="1"/>
  <c r="E329" i="3"/>
  <c r="E329" i="10" s="1"/>
  <c r="E315" i="3"/>
  <c r="E315" i="10" s="1"/>
  <c r="E303" i="3"/>
  <c r="E303" i="10" s="1"/>
  <c r="E301" i="3"/>
  <c r="E301" i="10" s="1"/>
  <c r="E281" i="3"/>
  <c r="E281" i="10" s="1"/>
  <c r="E275" i="3"/>
  <c r="E275" i="10" s="1"/>
  <c r="E269" i="3"/>
  <c r="E269" i="10" s="1"/>
  <c r="E261" i="3"/>
  <c r="E261" i="10" s="1"/>
  <c r="E259" i="3"/>
  <c r="E259" i="10" s="1"/>
  <c r="E253" i="3"/>
  <c r="E253" i="10" s="1"/>
  <c r="E245" i="3"/>
  <c r="E245" i="10" s="1"/>
  <c r="E243" i="3"/>
  <c r="E243" i="10" s="1"/>
  <c r="E235" i="3"/>
  <c r="E235" i="10" s="1"/>
  <c r="E229" i="3"/>
  <c r="E229" i="10" s="1"/>
  <c r="E227" i="3"/>
  <c r="E227" i="10" s="1"/>
  <c r="E219" i="3"/>
  <c r="E219" i="10" s="1"/>
  <c r="E213" i="3"/>
  <c r="E213" i="10" s="1"/>
  <c r="E211" i="3"/>
  <c r="E211" i="10" s="1"/>
  <c r="E205" i="3"/>
  <c r="E205" i="10" s="1"/>
  <c r="E199" i="3"/>
  <c r="E199" i="10" s="1"/>
  <c r="E197" i="3"/>
  <c r="E197" i="10" s="1"/>
  <c r="E191" i="3"/>
  <c r="E191" i="10" s="1"/>
  <c r="E189" i="3"/>
  <c r="E189" i="10" s="1"/>
  <c r="E183" i="3"/>
  <c r="E183" i="10" s="1"/>
  <c r="E181" i="3"/>
  <c r="E181" i="10" s="1"/>
  <c r="E179" i="3"/>
  <c r="E179" i="10" s="1"/>
  <c r="E173" i="3"/>
  <c r="E173" i="10" s="1"/>
  <c r="E171" i="3"/>
  <c r="E171" i="10" s="1"/>
  <c r="E165" i="3"/>
  <c r="E165" i="10" s="1"/>
  <c r="E163" i="3"/>
  <c r="E163" i="10" s="1"/>
  <c r="E161" i="3"/>
  <c r="E161" i="10" s="1"/>
  <c r="E155" i="3"/>
  <c r="E155" i="10" s="1"/>
  <c r="E153" i="3"/>
  <c r="E153" i="10" s="1"/>
  <c r="E141" i="3"/>
  <c r="E141" i="10" s="1"/>
  <c r="E101" i="3"/>
  <c r="E101" i="10" s="1"/>
  <c r="E99" i="3"/>
  <c r="E99" i="10" s="1"/>
  <c r="E97" i="3"/>
  <c r="E97" i="10" s="1"/>
  <c r="E95" i="3"/>
  <c r="E95" i="10" s="1"/>
  <c r="E93" i="3"/>
  <c r="E93" i="10" s="1"/>
  <c r="E91" i="3"/>
  <c r="E91" i="10" s="1"/>
  <c r="E89" i="3"/>
  <c r="E89" i="10" s="1"/>
  <c r="E62" i="3"/>
  <c r="E62" i="10" s="1"/>
  <c r="E56" i="3"/>
  <c r="E56" i="10" s="1"/>
  <c r="E50" i="3"/>
  <c r="E50" i="10" s="1"/>
  <c r="E48" i="3"/>
  <c r="E48" i="10" s="1"/>
  <c r="E46" i="3"/>
  <c r="E46" i="10" s="1"/>
  <c r="E20" i="3"/>
  <c r="E20" i="10" s="1"/>
  <c r="E18" i="3"/>
  <c r="E18" i="10" s="1"/>
  <c r="E12" i="3"/>
  <c r="E12" i="10" s="1"/>
  <c r="E450" i="3"/>
  <c r="E450" i="10" s="1"/>
  <c r="E440" i="3"/>
  <c r="E440" i="10" s="1"/>
  <c r="E421" i="3"/>
  <c r="E421" i="10" s="1"/>
  <c r="E477" i="3"/>
  <c r="E477" i="10" s="1"/>
  <c r="E415" i="3"/>
  <c r="E415" i="10" s="1"/>
  <c r="E376" i="3"/>
  <c r="E376" i="10" s="1"/>
  <c r="E351" i="3"/>
  <c r="E351" i="10" s="1"/>
  <c r="E313" i="3"/>
  <c r="E313" i="10" s="1"/>
  <c r="E437" i="3"/>
  <c r="E437" i="10" s="1"/>
  <c r="E413" i="3"/>
  <c r="E413" i="10" s="1"/>
  <c r="E374" i="3"/>
  <c r="E374" i="10" s="1"/>
  <c r="E509" i="3"/>
  <c r="E509" i="10" s="1"/>
  <c r="E428" i="3"/>
  <c r="E428" i="10" s="1"/>
  <c r="E410" i="3"/>
  <c r="E410" i="10" s="1"/>
  <c r="E406" i="3"/>
  <c r="E406" i="10" s="1"/>
  <c r="E402" i="3"/>
  <c r="E402" i="10" s="1"/>
  <c r="E392" i="3"/>
  <c r="E392" i="10" s="1"/>
  <c r="E388" i="3"/>
  <c r="E388" i="10" s="1"/>
  <c r="E384" i="3"/>
  <c r="E384" i="10" s="1"/>
  <c r="E377" i="3"/>
  <c r="E377" i="10" s="1"/>
  <c r="E471" i="3"/>
  <c r="E471" i="10" s="1"/>
  <c r="E467" i="3"/>
  <c r="E467" i="10" s="1"/>
  <c r="E463" i="3"/>
  <c r="E463" i="10" s="1"/>
  <c r="E364" i="3"/>
  <c r="E364" i="10" s="1"/>
  <c r="E341" i="3"/>
  <c r="E341" i="10" s="1"/>
  <c r="E310" i="3"/>
  <c r="E310" i="10" s="1"/>
  <c r="E442" i="3"/>
  <c r="E442" i="10" s="1"/>
  <c r="E418" i="3"/>
  <c r="E418" i="10" s="1"/>
  <c r="E375" i="3"/>
  <c r="E375" i="10" s="1"/>
  <c r="E357" i="3"/>
  <c r="E357" i="10" s="1"/>
  <c r="E319" i="3"/>
  <c r="E319" i="10" s="1"/>
  <c r="E285" i="3"/>
  <c r="E285" i="10" s="1"/>
  <c r="E369" i="3"/>
  <c r="E369" i="10" s="1"/>
  <c r="E534" i="3"/>
  <c r="E534" i="10" s="1"/>
  <c r="E426" i="3"/>
  <c r="E426" i="10" s="1"/>
  <c r="E339" i="3"/>
  <c r="E339" i="10" s="1"/>
  <c r="E308" i="3"/>
  <c r="E308" i="10" s="1"/>
  <c r="E290" i="3"/>
  <c r="E290" i="10" s="1"/>
  <c r="E274" i="3"/>
  <c r="E274" i="10" s="1"/>
  <c r="E443" i="3"/>
  <c r="E443" i="10" s="1"/>
  <c r="E333" i="3"/>
  <c r="E333" i="10" s="1"/>
  <c r="E503" i="3"/>
  <c r="E503" i="10" s="1"/>
  <c r="E323" i="3"/>
  <c r="E323" i="10" s="1"/>
  <c r="E332" i="3"/>
  <c r="E332" i="10" s="1"/>
  <c r="E297" i="3"/>
  <c r="E297" i="10" s="1"/>
  <c r="E225" i="3"/>
  <c r="E225" i="10" s="1"/>
  <c r="E522" i="3"/>
  <c r="E522" i="10" s="1"/>
  <c r="E307" i="3"/>
  <c r="E307" i="10" s="1"/>
  <c r="E241" i="3"/>
  <c r="E241" i="10" s="1"/>
  <c r="E519" i="3"/>
  <c r="E519" i="10" s="1"/>
  <c r="E510" i="3"/>
  <c r="E510" i="10" s="1"/>
  <c r="E358" i="3"/>
  <c r="E358" i="10" s="1"/>
  <c r="E342" i="3"/>
  <c r="E342" i="10" s="1"/>
  <c r="E322" i="3"/>
  <c r="E322" i="10" s="1"/>
  <c r="E294" i="3"/>
  <c r="E294" i="10" s="1"/>
  <c r="E532" i="3"/>
  <c r="E532" i="10" s="1"/>
  <c r="E452" i="3"/>
  <c r="E452" i="10" s="1"/>
  <c r="E445" i="3"/>
  <c r="E445" i="10" s="1"/>
  <c r="E432" i="3"/>
  <c r="E432" i="10" s="1"/>
  <c r="E414" i="3"/>
  <c r="E414" i="10" s="1"/>
  <c r="E483" i="3"/>
  <c r="E483" i="10" s="1"/>
  <c r="E487" i="3"/>
  <c r="E487" i="10" s="1"/>
  <c r="E396" i="3"/>
  <c r="E396" i="10" s="1"/>
  <c r="E359" i="3"/>
  <c r="E359" i="10" s="1"/>
  <c r="E336" i="3"/>
  <c r="E336" i="10" s="1"/>
  <c r="E516" i="3"/>
  <c r="E516" i="10" s="1"/>
  <c r="E427" i="3"/>
  <c r="E427" i="10" s="1"/>
  <c r="E394" i="3"/>
  <c r="E394" i="10" s="1"/>
  <c r="E363" i="3"/>
  <c r="E363" i="10" s="1"/>
  <c r="E448" i="3"/>
  <c r="E448" i="10" s="1"/>
  <c r="E412" i="3"/>
  <c r="E412" i="10" s="1"/>
  <c r="E408" i="3"/>
  <c r="E408" i="10" s="1"/>
  <c r="E404" i="3"/>
  <c r="E404" i="10" s="1"/>
  <c r="E397" i="3"/>
  <c r="E397" i="10" s="1"/>
  <c r="E390" i="3"/>
  <c r="E390" i="10" s="1"/>
  <c r="E386" i="3"/>
  <c r="E386" i="10" s="1"/>
  <c r="E382" i="3"/>
  <c r="E382" i="10" s="1"/>
  <c r="E473" i="3"/>
  <c r="E473" i="10" s="1"/>
  <c r="E469" i="3"/>
  <c r="E469" i="10" s="1"/>
  <c r="E465" i="3"/>
  <c r="E465" i="10" s="1"/>
  <c r="E429" i="3"/>
  <c r="E429" i="10" s="1"/>
  <c r="E356" i="3"/>
  <c r="E356" i="10" s="1"/>
  <c r="E318" i="3"/>
  <c r="E318" i="10" s="1"/>
  <c r="E479" i="3"/>
  <c r="E479" i="10" s="1"/>
  <c r="E434" i="3"/>
  <c r="E434" i="10" s="1"/>
  <c r="E395" i="3"/>
  <c r="E395" i="10" s="1"/>
  <c r="E365" i="3"/>
  <c r="E365" i="10" s="1"/>
  <c r="E349" i="3"/>
  <c r="E349" i="10" s="1"/>
  <c r="E311" i="3"/>
  <c r="E311" i="10" s="1"/>
  <c r="E277" i="3"/>
  <c r="E277" i="10" s="1"/>
  <c r="E536" i="3"/>
  <c r="E536" i="10" s="1"/>
  <c r="E347" i="3"/>
  <c r="E347" i="10" s="1"/>
  <c r="E316" i="3"/>
  <c r="E316" i="10" s="1"/>
  <c r="E300" i="3"/>
  <c r="E300" i="10" s="1"/>
  <c r="E282" i="3"/>
  <c r="E282" i="10" s="1"/>
  <c r="E266" i="3"/>
  <c r="E266" i="10" s="1"/>
  <c r="E435" i="3"/>
  <c r="E435" i="10" s="1"/>
  <c r="E420" i="3"/>
  <c r="E420" i="10" s="1"/>
  <c r="E325" i="3"/>
  <c r="E325" i="10" s="1"/>
  <c r="E331" i="3"/>
  <c r="E331" i="10" s="1"/>
  <c r="E348" i="3"/>
  <c r="E348" i="10" s="1"/>
  <c r="E324" i="3"/>
  <c r="E324" i="10" s="1"/>
  <c r="E305" i="3"/>
  <c r="E305" i="10" s="1"/>
  <c r="E233" i="3"/>
  <c r="E233" i="10" s="1"/>
  <c r="E217" i="3"/>
  <c r="E217" i="10" s="1"/>
  <c r="E508" i="3"/>
  <c r="E508" i="10" s="1"/>
  <c r="E475" i="3"/>
  <c r="E475" i="10" s="1"/>
  <c r="E299" i="3"/>
  <c r="E299" i="10" s="1"/>
  <c r="E292" i="3"/>
  <c r="E292" i="10" s="1"/>
  <c r="E493" i="3"/>
  <c r="E493" i="10" s="1"/>
  <c r="E366" i="3"/>
  <c r="E366" i="10" s="1"/>
  <c r="E350" i="3"/>
  <c r="E350" i="10" s="1"/>
  <c r="E330" i="3"/>
  <c r="E330" i="10" s="1"/>
  <c r="E302" i="3"/>
  <c r="E302" i="10" s="1"/>
  <c r="K10" i="3"/>
  <c r="K10" i="10" s="1"/>
  <c r="F546" i="3"/>
  <c r="G608" i="3"/>
  <c r="G608" i="10" s="1"/>
  <c r="F605" i="3"/>
  <c r="F605" i="10" s="1"/>
  <c r="K587" i="3"/>
  <c r="K587" i="10" s="1"/>
  <c r="F545" i="3"/>
  <c r="F545" i="10" s="1"/>
  <c r="G555" i="3"/>
  <c r="G555" i="10" s="1"/>
  <c r="G552" i="3"/>
  <c r="G552" i="10" s="1"/>
  <c r="F628" i="3"/>
  <c r="F628" i="10" s="1"/>
  <c r="F566" i="3"/>
  <c r="F566" i="10" s="1"/>
  <c r="G589" i="3"/>
  <c r="G589" i="10" s="1"/>
  <c r="F594" i="3"/>
  <c r="F594" i="10" s="1"/>
  <c r="K590" i="3"/>
  <c r="K590" i="10" s="1"/>
  <c r="K553" i="3"/>
  <c r="K553" i="10" s="1"/>
  <c r="F556" i="3"/>
  <c r="F556" i="10" s="1"/>
  <c r="G544" i="3"/>
  <c r="G544" i="10" s="1"/>
  <c r="F631" i="3"/>
  <c r="F631" i="10" s="1"/>
  <c r="F570" i="3"/>
  <c r="F570" i="10" s="1"/>
  <c r="G633" i="3"/>
  <c r="G633" i="10" s="1"/>
  <c r="F615" i="3"/>
  <c r="F615" i="10" s="1"/>
  <c r="K589" i="3"/>
  <c r="K589" i="10" s="1"/>
  <c r="F553" i="3"/>
  <c r="F553" i="10" s="1"/>
  <c r="K556" i="3"/>
  <c r="K556" i="10" s="1"/>
  <c r="G548" i="3"/>
  <c r="G548" i="10" s="1"/>
  <c r="G618" i="3"/>
  <c r="G618" i="10" s="1"/>
  <c r="F611" i="3"/>
  <c r="F611" i="10" s="1"/>
  <c r="F569" i="3"/>
  <c r="F569" i="10" s="1"/>
  <c r="K600" i="3"/>
  <c r="K600" i="10" s="1"/>
  <c r="G551" i="3"/>
  <c r="G551" i="10" s="1"/>
  <c r="F600" i="3"/>
  <c r="F600" i="10" s="1"/>
  <c r="F550" i="3"/>
  <c r="F550" i="10" s="1"/>
  <c r="K623" i="3"/>
  <c r="K623" i="10" s="1"/>
  <c r="F589" i="3"/>
  <c r="F589" i="10" s="1"/>
  <c r="K615" i="3"/>
  <c r="K615" i="10" s="1"/>
  <c r="K599" i="3"/>
  <c r="K599" i="10" s="1"/>
  <c r="K583" i="3"/>
  <c r="K583" i="10" s="1"/>
  <c r="K567" i="3"/>
  <c r="K567" i="10" s="1"/>
  <c r="K543" i="3"/>
  <c r="K543" i="10" s="1"/>
  <c r="K638" i="3"/>
  <c r="K638" i="10" s="1"/>
  <c r="G616" i="3"/>
  <c r="G616" i="10" s="1"/>
  <c r="F576" i="3"/>
  <c r="F576" i="10" s="1"/>
  <c r="G612" i="3"/>
  <c r="G612" i="10" s="1"/>
  <c r="F572" i="3"/>
  <c r="F572" i="10" s="1"/>
  <c r="G590" i="3"/>
  <c r="G590" i="10" s="1"/>
  <c r="G571" i="3"/>
  <c r="G571" i="10" s="1"/>
  <c r="G591" i="3"/>
  <c r="G591" i="10" s="1"/>
  <c r="G603" i="3"/>
  <c r="G603" i="10" s="1"/>
  <c r="F624" i="3"/>
  <c r="F624" i="10" s="1"/>
  <c r="F603" i="3"/>
  <c r="F603" i="10" s="1"/>
  <c r="F582" i="3"/>
  <c r="F582" i="10" s="1"/>
  <c r="F561" i="3"/>
  <c r="F561" i="10" s="1"/>
  <c r="K596" i="3"/>
  <c r="K596" i="10" s="1"/>
  <c r="K547" i="3"/>
  <c r="K547" i="10" s="1"/>
  <c r="K552" i="3"/>
  <c r="K552" i="10" s="1"/>
  <c r="F544" i="3"/>
  <c r="F544" i="10" s="1"/>
  <c r="F633" i="3"/>
  <c r="F633" i="10" s="1"/>
  <c r="F578" i="3"/>
  <c r="F578" i="10" s="1"/>
  <c r="K618" i="3"/>
  <c r="K618" i="10" s="1"/>
  <c r="K602" i="3"/>
  <c r="K602" i="10" s="1"/>
  <c r="K586" i="3"/>
  <c r="K586" i="10" s="1"/>
  <c r="K570" i="3"/>
  <c r="K570" i="10" s="1"/>
  <c r="K551" i="3"/>
  <c r="K551" i="10" s="1"/>
  <c r="K545" i="3"/>
  <c r="K545" i="10" s="1"/>
  <c r="G623" i="3"/>
  <c r="G623" i="10" s="1"/>
  <c r="F584" i="3"/>
  <c r="F584" i="10" s="1"/>
  <c r="G620" i="3"/>
  <c r="G620" i="10" s="1"/>
  <c r="F580" i="3"/>
  <c r="F580" i="10" s="1"/>
  <c r="K635" i="3"/>
  <c r="K635" i="10" s="1"/>
  <c r="F552" i="3"/>
  <c r="F552" i="10" s="1"/>
  <c r="G606" i="3"/>
  <c r="G606" i="10" s="1"/>
  <c r="G579" i="3"/>
  <c r="G579" i="10" s="1"/>
  <c r="F627" i="3"/>
  <c r="F627" i="10" s="1"/>
  <c r="F607" i="3"/>
  <c r="F607" i="10" s="1"/>
  <c r="F586" i="3"/>
  <c r="F586" i="10" s="1"/>
  <c r="F565" i="3"/>
  <c r="F565" i="10" s="1"/>
  <c r="K616" i="3"/>
  <c r="K616" i="10" s="1"/>
  <c r="K568" i="3"/>
  <c r="K568" i="10" s="1"/>
  <c r="G621" i="3"/>
  <c r="G621" i="10" s="1"/>
  <c r="G572" i="3"/>
  <c r="G572" i="10" s="1"/>
  <c r="K631" i="3"/>
  <c r="K631" i="10" s="1"/>
  <c r="F599" i="3"/>
  <c r="F599" i="10" s="1"/>
  <c r="K617" i="3"/>
  <c r="K617" i="10" s="1"/>
  <c r="K601" i="3"/>
  <c r="K601" i="10" s="1"/>
  <c r="K585" i="3"/>
  <c r="K585" i="10" s="1"/>
  <c r="K569" i="3"/>
  <c r="K569" i="10" s="1"/>
  <c r="F551" i="3"/>
  <c r="F551" i="10" s="1"/>
  <c r="G545" i="3"/>
  <c r="G545" i="10" s="1"/>
  <c r="G622" i="3"/>
  <c r="G622" i="10" s="1"/>
  <c r="G581" i="3"/>
  <c r="G581" i="10" s="1"/>
  <c r="F620" i="3"/>
  <c r="F620" i="10" s="1"/>
  <c r="G577" i="3"/>
  <c r="G577" i="10" s="1"/>
  <c r="K636" i="3"/>
  <c r="K636" i="10" s="1"/>
  <c r="F558" i="3"/>
  <c r="F558" i="10" s="1"/>
  <c r="G602" i="3"/>
  <c r="G602" i="10" s="1"/>
  <c r="G619" i="3"/>
  <c r="G619" i="10" s="1"/>
  <c r="F626" i="3"/>
  <c r="F626" i="10" s="1"/>
  <c r="F606" i="3"/>
  <c r="F606" i="10" s="1"/>
  <c r="F585" i="3"/>
  <c r="F585" i="10" s="1"/>
  <c r="F563" i="3"/>
  <c r="F563" i="10" s="1"/>
  <c r="K564" i="3"/>
  <c r="K564" i="10" s="1"/>
  <c r="G614" i="3"/>
  <c r="G614" i="10" s="1"/>
  <c r="K603" i="3"/>
  <c r="K603" i="10" s="1"/>
  <c r="G556" i="3"/>
  <c r="G556" i="10" s="1"/>
  <c r="G584" i="3"/>
  <c r="G584" i="10" s="1"/>
  <c r="F548" i="3"/>
  <c r="F548" i="10" s="1"/>
  <c r="G599" i="3"/>
  <c r="G599" i="10" s="1"/>
  <c r="F587" i="3"/>
  <c r="F587" i="10" s="1"/>
  <c r="G561" i="3"/>
  <c r="G561" i="10" s="1"/>
  <c r="G607" i="3"/>
  <c r="G607" i="10" s="1"/>
  <c r="K606" i="3"/>
  <c r="K606" i="10" s="1"/>
  <c r="K561" i="3"/>
  <c r="K561" i="10" s="1"/>
  <c r="G592" i="3"/>
  <c r="G592" i="10" s="1"/>
  <c r="F559" i="3"/>
  <c r="F559" i="10" s="1"/>
  <c r="G575" i="3"/>
  <c r="G575" i="10" s="1"/>
  <c r="F591" i="3"/>
  <c r="F591" i="10" s="1"/>
  <c r="K580" i="3"/>
  <c r="K580" i="10" s="1"/>
  <c r="K624" i="3"/>
  <c r="K624" i="10" s="1"/>
  <c r="K605" i="3"/>
  <c r="K605" i="10" s="1"/>
  <c r="G560" i="3"/>
  <c r="G560" i="10" s="1"/>
  <c r="F592" i="3"/>
  <c r="F592" i="10" s="1"/>
  <c r="F588" i="3"/>
  <c r="F588" i="10" s="1"/>
  <c r="K544" i="3"/>
  <c r="K544" i="10" s="1"/>
  <c r="F630" i="3"/>
  <c r="F630" i="10" s="1"/>
  <c r="F590" i="3"/>
  <c r="F590" i="10" s="1"/>
  <c r="K49" i="3"/>
  <c r="K49" i="10" s="1"/>
  <c r="K588" i="3"/>
  <c r="K588" i="10" s="1"/>
  <c r="G553" i="3"/>
  <c r="G553" i="10" s="1"/>
  <c r="F568" i="3"/>
  <c r="F568" i="10" s="1"/>
  <c r="G562" i="3"/>
  <c r="G562" i="10" s="1"/>
  <c r="G637" i="3"/>
  <c r="G637" i="10" s="1"/>
  <c r="F557" i="3"/>
  <c r="F557" i="10" s="1"/>
  <c r="K611" i="3"/>
  <c r="K611" i="10" s="1"/>
  <c r="K595" i="3"/>
  <c r="K595" i="10" s="1"/>
  <c r="K579" i="3"/>
  <c r="K579" i="10" s="1"/>
  <c r="K563" i="3"/>
  <c r="K563" i="10" s="1"/>
  <c r="F547" i="3"/>
  <c r="F547" i="10" s="1"/>
  <c r="G632" i="3"/>
  <c r="G632" i="10" s="1"/>
  <c r="F608" i="3"/>
  <c r="F608" i="10" s="1"/>
  <c r="G565" i="3"/>
  <c r="G565" i="10" s="1"/>
  <c r="F604" i="3"/>
  <c r="F604" i="10" s="1"/>
  <c r="F554" i="3"/>
  <c r="F554" i="10" s="1"/>
  <c r="G578" i="3"/>
  <c r="G578" i="10" s="1"/>
  <c r="K630" i="3"/>
  <c r="K630" i="10" s="1"/>
  <c r="K629" i="3"/>
  <c r="K629" i="10" s="1"/>
  <c r="G636" i="3"/>
  <c r="G636" i="10" s="1"/>
  <c r="F619" i="3"/>
  <c r="F619" i="10" s="1"/>
  <c r="F598" i="3"/>
  <c r="F598" i="10" s="1"/>
  <c r="F577" i="3"/>
  <c r="F577" i="10" s="1"/>
  <c r="F555" i="3"/>
  <c r="F555" i="10" s="1"/>
  <c r="K584" i="3"/>
  <c r="K584" i="10" s="1"/>
  <c r="F636" i="3"/>
  <c r="F636" i="10" s="1"/>
  <c r="G604" i="3"/>
  <c r="G604" i="10" s="1"/>
  <c r="K632" i="3"/>
  <c r="K632" i="10" s="1"/>
  <c r="F621" i="3"/>
  <c r="F621" i="10" s="1"/>
  <c r="F573" i="3"/>
  <c r="F573" i="10" s="1"/>
  <c r="K614" i="3"/>
  <c r="K614" i="10" s="1"/>
  <c r="K598" i="3"/>
  <c r="K598" i="10" s="1"/>
  <c r="K582" i="3"/>
  <c r="K582" i="10" s="1"/>
  <c r="K566" i="3"/>
  <c r="K566" i="10" s="1"/>
  <c r="F543" i="3"/>
  <c r="F543" i="10" s="1"/>
  <c r="G635" i="3"/>
  <c r="G635" i="10" s="1"/>
  <c r="F616" i="3"/>
  <c r="F616" i="10" s="1"/>
  <c r="G573" i="3"/>
  <c r="G573" i="10" s="1"/>
  <c r="F612" i="3"/>
  <c r="F612" i="10" s="1"/>
  <c r="G569" i="3"/>
  <c r="G569" i="10" s="1"/>
  <c r="G586" i="3"/>
  <c r="G586" i="10" s="1"/>
  <c r="F560" i="3"/>
  <c r="F560" i="10" s="1"/>
  <c r="G567" i="3"/>
  <c r="G567" i="10" s="1"/>
  <c r="G595" i="3"/>
  <c r="G595" i="10" s="1"/>
  <c r="F623" i="3"/>
  <c r="F623" i="10" s="1"/>
  <c r="F602" i="3"/>
  <c r="F602" i="10" s="1"/>
  <c r="F581" i="3"/>
  <c r="F581" i="10" s="1"/>
  <c r="K560" i="3"/>
  <c r="K560" i="10" s="1"/>
  <c r="K604" i="3"/>
  <c r="K604" i="10" s="1"/>
  <c r="K557" i="3"/>
  <c r="K557" i="10" s="1"/>
  <c r="G576" i="3"/>
  <c r="G576" i="10" s="1"/>
  <c r="K548" i="3"/>
  <c r="K548" i="10" s="1"/>
  <c r="G611" i="3"/>
  <c r="G611" i="10" s="1"/>
  <c r="F583" i="3"/>
  <c r="F583" i="10" s="1"/>
  <c r="K613" i="3"/>
  <c r="K613" i="10" s="1"/>
  <c r="K597" i="3"/>
  <c r="K597" i="10" s="1"/>
  <c r="K581" i="3"/>
  <c r="K581" i="10" s="1"/>
  <c r="K565" i="3"/>
  <c r="K565" i="10" s="1"/>
  <c r="G543" i="3"/>
  <c r="G543" i="10" s="1"/>
  <c r="G634" i="3"/>
  <c r="G634" i="10" s="1"/>
  <c r="G613" i="3"/>
  <c r="G613" i="10" s="1"/>
  <c r="G568" i="3"/>
  <c r="G568" i="10" s="1"/>
  <c r="G609" i="3"/>
  <c r="G609" i="10" s="1"/>
  <c r="G564" i="3"/>
  <c r="G564" i="10" s="1"/>
  <c r="G582" i="3"/>
  <c r="G582" i="10" s="1"/>
  <c r="K634" i="3"/>
  <c r="K634" i="10" s="1"/>
  <c r="K633" i="3"/>
  <c r="K633" i="10" s="1"/>
  <c r="K546" i="3"/>
  <c r="K546" i="10" s="1"/>
  <c r="F622" i="3"/>
  <c r="F622" i="10" s="1"/>
  <c r="F601" i="3"/>
  <c r="F601" i="10" s="1"/>
  <c r="F579" i="3"/>
  <c r="F579" i="10" s="1"/>
  <c r="G558" i="3"/>
  <c r="G558" i="10" s="1"/>
  <c r="K612" i="3"/>
  <c r="K612" i="10" s="1"/>
  <c r="G585" i="3"/>
  <c r="G585" i="10" s="1"/>
  <c r="K619" i="3"/>
  <c r="K619" i="10" s="1"/>
  <c r="K571" i="3"/>
  <c r="K571" i="10" s="1"/>
  <c r="G624" i="3"/>
  <c r="G624" i="10" s="1"/>
  <c r="G580" i="3"/>
  <c r="G580" i="10" s="1"/>
  <c r="G610" i="3"/>
  <c r="G610" i="10" s="1"/>
  <c r="F609" i="3"/>
  <c r="F609" i="10" s="1"/>
  <c r="K608" i="3"/>
  <c r="K608" i="10" s="1"/>
  <c r="G594" i="3"/>
  <c r="G594" i="10" s="1"/>
  <c r="K637" i="3"/>
  <c r="K637" i="10" s="1"/>
  <c r="K574" i="3"/>
  <c r="K574" i="10" s="1"/>
  <c r="G627" i="3"/>
  <c r="G627" i="10" s="1"/>
  <c r="G588" i="3"/>
  <c r="G588" i="10" s="1"/>
  <c r="G583" i="3"/>
  <c r="G583" i="10" s="1"/>
  <c r="F613" i="3"/>
  <c r="F613" i="10" s="1"/>
  <c r="F638" i="3"/>
  <c r="F638" i="10" s="1"/>
  <c r="F596" i="3"/>
  <c r="F596" i="10" s="1"/>
  <c r="F637" i="3"/>
  <c r="F637" i="10" s="1"/>
  <c r="K573" i="3"/>
  <c r="K573" i="10" s="1"/>
  <c r="G626" i="3"/>
  <c r="G626" i="10" s="1"/>
  <c r="G615" i="3"/>
  <c r="G615" i="10" s="1"/>
  <c r="K576" i="3"/>
  <c r="K576" i="10" s="1"/>
  <c r="G629" i="3"/>
  <c r="G629" i="10" s="1"/>
  <c r="G617" i="3"/>
  <c r="G617" i="10" s="1"/>
  <c r="G587" i="3"/>
  <c r="G587" i="10" s="1"/>
  <c r="F625" i="3"/>
  <c r="F625" i="10" s="1"/>
  <c r="G638" i="3"/>
  <c r="G638" i="10" s="1"/>
  <c r="K607" i="3"/>
  <c r="K607" i="10" s="1"/>
  <c r="K591" i="3"/>
  <c r="K591" i="10" s="1"/>
  <c r="K575" i="3"/>
  <c r="K575" i="10" s="1"/>
  <c r="G557" i="3"/>
  <c r="G557" i="10" s="1"/>
  <c r="G549" i="3"/>
  <c r="G549" i="10" s="1"/>
  <c r="G628" i="3"/>
  <c r="G628" i="10" s="1"/>
  <c r="G597" i="3"/>
  <c r="G597" i="10" s="1"/>
  <c r="G546" i="3"/>
  <c r="G546" i="10" s="1"/>
  <c r="G593" i="3"/>
  <c r="G593" i="10" s="1"/>
  <c r="G559" i="3"/>
  <c r="G559" i="10" s="1"/>
  <c r="F562" i="3"/>
  <c r="F562" i="10" s="1"/>
  <c r="K622" i="3"/>
  <c r="K622" i="10" s="1"/>
  <c r="K621" i="3"/>
  <c r="K621" i="10" s="1"/>
  <c r="F632" i="3"/>
  <c r="F632" i="10" s="1"/>
  <c r="F614" i="3"/>
  <c r="F614" i="10" s="1"/>
  <c r="F593" i="3"/>
  <c r="F593" i="10" s="1"/>
  <c r="F571" i="3"/>
  <c r="F571" i="10" s="1"/>
  <c r="K620" i="3"/>
  <c r="K620" i="10" s="1"/>
  <c r="K572" i="3"/>
  <c r="K572" i="10" s="1"/>
  <c r="G625" i="3"/>
  <c r="G625" i="10" s="1"/>
  <c r="F564" i="3"/>
  <c r="F564" i="10" s="1"/>
  <c r="G598" i="3"/>
  <c r="G598" i="10" s="1"/>
  <c r="F610" i="3"/>
  <c r="F610" i="10" s="1"/>
  <c r="F567" i="3"/>
  <c r="F567" i="10" s="1"/>
  <c r="K610" i="3"/>
  <c r="K610" i="10" s="1"/>
  <c r="K594" i="3"/>
  <c r="K594" i="10" s="1"/>
  <c r="K578" i="3"/>
  <c r="K578" i="10" s="1"/>
  <c r="K559" i="3"/>
  <c r="K559" i="10" s="1"/>
  <c r="G547" i="3"/>
  <c r="G547" i="10" s="1"/>
  <c r="G631" i="3"/>
  <c r="G631" i="10" s="1"/>
  <c r="G605" i="3"/>
  <c r="G605" i="10" s="1"/>
  <c r="G563" i="3"/>
  <c r="G563" i="10" s="1"/>
  <c r="G601" i="3"/>
  <c r="G601" i="10" s="1"/>
  <c r="K550" i="3"/>
  <c r="K550" i="10" s="1"/>
  <c r="G574" i="3"/>
  <c r="G574" i="10" s="1"/>
  <c r="K628" i="3"/>
  <c r="K628" i="10" s="1"/>
  <c r="K627" i="3"/>
  <c r="K627" i="10" s="1"/>
  <c r="F635" i="3"/>
  <c r="F635" i="10" s="1"/>
  <c r="F618" i="3"/>
  <c r="F618" i="10" s="1"/>
  <c r="F597" i="3"/>
  <c r="F597" i="10" s="1"/>
  <c r="F575" i="3"/>
  <c r="F575" i="10" s="1"/>
  <c r="K554" i="3"/>
  <c r="K554" i="10" s="1"/>
  <c r="K592" i="3"/>
  <c r="K592" i="10" s="1"/>
  <c r="F549" i="3"/>
  <c r="F549" i="10" s="1"/>
  <c r="G554" i="3"/>
  <c r="G554" i="10" s="1"/>
  <c r="G566" i="3"/>
  <c r="G566" i="10" s="1"/>
  <c r="F629" i="3"/>
  <c r="F629" i="10" s="1"/>
  <c r="K562" i="3"/>
  <c r="K562" i="10" s="1"/>
  <c r="K609" i="3"/>
  <c r="K609" i="10" s="1"/>
  <c r="K593" i="3"/>
  <c r="K593" i="10" s="1"/>
  <c r="K577" i="3"/>
  <c r="K577" i="10" s="1"/>
  <c r="K555" i="3"/>
  <c r="K555" i="10" s="1"/>
  <c r="K549" i="3"/>
  <c r="K549" i="10" s="1"/>
  <c r="G630" i="3"/>
  <c r="G630" i="10" s="1"/>
  <c r="G600" i="3"/>
  <c r="G600" i="10" s="1"/>
  <c r="K558" i="3"/>
  <c r="K558" i="10" s="1"/>
  <c r="G596" i="3"/>
  <c r="G596" i="10" s="1"/>
  <c r="G550" i="3"/>
  <c r="G550" i="10" s="1"/>
  <c r="G570" i="3"/>
  <c r="G570" i="10" s="1"/>
  <c r="K626" i="3"/>
  <c r="K626" i="10" s="1"/>
  <c r="K625" i="3"/>
  <c r="K625" i="10" s="1"/>
  <c r="F634" i="3"/>
  <c r="F634" i="10" s="1"/>
  <c r="F617" i="3"/>
  <c r="F617" i="10" s="1"/>
  <c r="F595" i="3"/>
  <c r="F595" i="10" s="1"/>
  <c r="F574" i="3"/>
  <c r="F574" i="10" s="1"/>
  <c r="G28" i="3"/>
  <c r="G28" i="10" s="1"/>
  <c r="G243" i="3"/>
  <c r="G243" i="10" s="1"/>
  <c r="G390" i="3"/>
  <c r="G390" i="10" s="1"/>
  <c r="G58" i="3"/>
  <c r="G58" i="10" s="1"/>
  <c r="G262" i="3"/>
  <c r="G262" i="10" s="1"/>
  <c r="G9" i="3"/>
  <c r="G9" i="10" s="1"/>
  <c r="F650" i="3"/>
  <c r="F650" i="10" s="1"/>
  <c r="F679" i="3"/>
  <c r="F679" i="10" s="1"/>
  <c r="G868" i="3"/>
  <c r="G868" i="10" s="1"/>
  <c r="K662" i="3"/>
  <c r="K662" i="10" s="1"/>
  <c r="K719" i="3"/>
  <c r="K719" i="10" s="1"/>
  <c r="G937" i="3"/>
  <c r="G937" i="10" s="1"/>
  <c r="G810" i="3"/>
  <c r="G810" i="10" s="1"/>
  <c r="F766" i="3"/>
  <c r="F766" i="10" s="1"/>
  <c r="K803" i="3"/>
  <c r="K803" i="10" s="1"/>
  <c r="G884" i="3"/>
  <c r="G884" i="10" s="1"/>
  <c r="G913" i="3"/>
  <c r="G913" i="10" s="1"/>
  <c r="F801" i="3"/>
  <c r="F801" i="10" s="1"/>
  <c r="F682" i="3"/>
  <c r="F682" i="10" s="1"/>
  <c r="K842" i="3"/>
  <c r="K842" i="10" s="1"/>
  <c r="G645" i="3"/>
  <c r="G645" i="10" s="1"/>
  <c r="F821" i="3"/>
  <c r="F821" i="10" s="1"/>
  <c r="F809" i="3"/>
  <c r="F809" i="10" s="1"/>
  <c r="K690" i="3"/>
  <c r="K690" i="10" s="1"/>
  <c r="F823" i="3"/>
  <c r="F823" i="10" s="1"/>
  <c r="K838" i="3"/>
  <c r="K838" i="10" s="1"/>
  <c r="G991" i="3"/>
  <c r="G991" i="10" s="1"/>
  <c r="G769" i="3"/>
  <c r="G769" i="10" s="1"/>
  <c r="F847" i="3"/>
  <c r="F847" i="10" s="1"/>
  <c r="G691" i="3"/>
  <c r="G691" i="10" s="1"/>
  <c r="G994" i="3"/>
  <c r="G994" i="10" s="1"/>
  <c r="F772" i="3"/>
  <c r="F772" i="10" s="1"/>
  <c r="G938" i="3"/>
  <c r="G938" i="10" s="1"/>
  <c r="F950" i="3"/>
  <c r="F950" i="10" s="1"/>
  <c r="K709" i="3"/>
  <c r="K709" i="10" s="1"/>
  <c r="G926" i="3"/>
  <c r="G926" i="10" s="1"/>
  <c r="K645" i="3"/>
  <c r="K645" i="10" s="1"/>
  <c r="K311" i="3"/>
  <c r="K311" i="10" s="1"/>
  <c r="F345" i="3"/>
  <c r="F345" i="10" s="1"/>
  <c r="K197" i="3"/>
  <c r="K197" i="10" s="1"/>
  <c r="G54" i="3"/>
  <c r="G54" i="10" s="1"/>
  <c r="G24" i="3"/>
  <c r="G24" i="10" s="1"/>
  <c r="K186" i="3"/>
  <c r="K186" i="10" s="1"/>
  <c r="K351" i="3"/>
  <c r="K351" i="10" s="1"/>
  <c r="G384" i="3"/>
  <c r="G384" i="10" s="1"/>
  <c r="F418" i="3"/>
  <c r="F418" i="10" s="1"/>
  <c r="F641" i="3"/>
  <c r="F641" i="10" s="1"/>
  <c r="G650" i="3"/>
  <c r="G650" i="10" s="1"/>
  <c r="G646" i="3"/>
  <c r="G646" i="10" s="1"/>
  <c r="K656" i="3"/>
  <c r="K656" i="10" s="1"/>
  <c r="K660" i="3"/>
  <c r="K660" i="10" s="1"/>
  <c r="K685" i="3"/>
  <c r="K685" i="10" s="1"/>
  <c r="G695" i="3"/>
  <c r="G695" i="10" s="1"/>
  <c r="G708" i="3"/>
  <c r="G708" i="10" s="1"/>
  <c r="G718" i="3"/>
  <c r="G718" i="10" s="1"/>
  <c r="K728" i="3"/>
  <c r="K728" i="10" s="1"/>
  <c r="F741" i="3"/>
  <c r="F741" i="10" s="1"/>
  <c r="G752" i="3"/>
  <c r="G752" i="10" s="1"/>
  <c r="K761" i="3"/>
  <c r="K761" i="10" s="1"/>
  <c r="K780" i="3"/>
  <c r="K780" i="10" s="1"/>
  <c r="F785" i="3"/>
  <c r="F785" i="10" s="1"/>
  <c r="K806" i="3"/>
  <c r="K806" i="10" s="1"/>
  <c r="G663" i="3"/>
  <c r="G663" i="10" s="1"/>
  <c r="G671" i="3"/>
  <c r="G671" i="10" s="1"/>
  <c r="G684" i="3"/>
  <c r="G684" i="10" s="1"/>
  <c r="G694" i="3"/>
  <c r="G694" i="10" s="1"/>
  <c r="K704" i="3"/>
  <c r="K704" i="10" s="1"/>
  <c r="F717" i="3"/>
  <c r="F717" i="10" s="1"/>
  <c r="G728" i="3"/>
  <c r="G728" i="10" s="1"/>
  <c r="K737" i="3"/>
  <c r="K737" i="10" s="1"/>
  <c r="K756" i="3"/>
  <c r="K756" i="10" s="1"/>
  <c r="F761" i="3"/>
  <c r="F761" i="10" s="1"/>
  <c r="G770" i="3"/>
  <c r="G770" i="10" s="1"/>
  <c r="G792" i="3"/>
  <c r="G792" i="10" s="1"/>
  <c r="G805" i="3"/>
  <c r="G805" i="10" s="1"/>
  <c r="G815" i="3"/>
  <c r="G815" i="10" s="1"/>
  <c r="K653" i="3"/>
  <c r="K653" i="10" s="1"/>
  <c r="F669" i="3"/>
  <c r="F669" i="10" s="1"/>
  <c r="F693" i="3"/>
  <c r="F693" i="10" s="1"/>
  <c r="G732" i="3"/>
  <c r="G732" i="10" s="1"/>
  <c r="K753" i="3"/>
  <c r="K753" i="10" s="1"/>
  <c r="F777" i="3"/>
  <c r="F777" i="10" s="1"/>
  <c r="K797" i="3"/>
  <c r="K797" i="10" s="1"/>
  <c r="G829" i="3"/>
  <c r="G829" i="10" s="1"/>
  <c r="G861" i="3"/>
  <c r="G861" i="10" s="1"/>
  <c r="F900" i="3"/>
  <c r="F900" i="10" s="1"/>
  <c r="K918" i="3"/>
  <c r="K918" i="10" s="1"/>
  <c r="F930" i="3"/>
  <c r="F930" i="10" s="1"/>
  <c r="G942" i="3"/>
  <c r="G942" i="10" s="1"/>
  <c r="K956" i="3"/>
  <c r="K956" i="10" s="1"/>
  <c r="G968" i="3"/>
  <c r="G968" i="10" s="1"/>
  <c r="F769" i="3"/>
  <c r="F769" i="10" s="1"/>
  <c r="G813" i="3"/>
  <c r="G813" i="10" s="1"/>
  <c r="G841" i="3"/>
  <c r="G841" i="10" s="1"/>
  <c r="G881" i="3"/>
  <c r="G881" i="10" s="1"/>
  <c r="F922" i="3"/>
  <c r="F922" i="10" s="1"/>
  <c r="G944" i="3"/>
  <c r="G944" i="10" s="1"/>
  <c r="G670" i="3"/>
  <c r="G670" i="10" s="1"/>
  <c r="G647" i="3"/>
  <c r="G647" i="10" s="1"/>
  <c r="G660" i="3"/>
  <c r="G660" i="10" s="1"/>
  <c r="G648" i="3"/>
  <c r="G648" i="10" s="1"/>
  <c r="K657" i="3"/>
  <c r="K657" i="10" s="1"/>
  <c r="G652" i="3"/>
  <c r="G652" i="10" s="1"/>
  <c r="G676" i="3"/>
  <c r="G676" i="10" s="1"/>
  <c r="G686" i="3"/>
  <c r="G686" i="10" s="1"/>
  <c r="K696" i="3"/>
  <c r="K696" i="10" s="1"/>
  <c r="F709" i="3"/>
  <c r="F709" i="10" s="1"/>
  <c r="G720" i="3"/>
  <c r="G720" i="10" s="1"/>
  <c r="K729" i="3"/>
  <c r="K729" i="10" s="1"/>
  <c r="K748" i="3"/>
  <c r="K748" i="10" s="1"/>
  <c r="F753" i="3"/>
  <c r="F753" i="10" s="1"/>
  <c r="G762" i="3"/>
  <c r="G762" i="10" s="1"/>
  <c r="K781" i="3"/>
  <c r="K781" i="10" s="1"/>
  <c r="G797" i="3"/>
  <c r="G797" i="10" s="1"/>
  <c r="G807" i="3"/>
  <c r="G807" i="10" s="1"/>
  <c r="K664" i="3"/>
  <c r="K664" i="10" s="1"/>
  <c r="K672" i="3"/>
  <c r="K672" i="10" s="1"/>
  <c r="F685" i="3"/>
  <c r="F685" i="10" s="1"/>
  <c r="G696" i="3"/>
  <c r="G696" i="10" s="1"/>
  <c r="K705" i="3"/>
  <c r="K705" i="10" s="1"/>
  <c r="K724" i="3"/>
  <c r="K724" i="10" s="1"/>
  <c r="F729" i="3"/>
  <c r="F729" i="10" s="1"/>
  <c r="G738" i="3"/>
  <c r="G738" i="10" s="1"/>
  <c r="K757" i="3"/>
  <c r="K757" i="10" s="1"/>
  <c r="G767" i="3"/>
  <c r="G767" i="10" s="1"/>
  <c r="G780" i="3"/>
  <c r="G780" i="10" s="1"/>
  <c r="K793" i="3"/>
  <c r="K793" i="10" s="1"/>
  <c r="F806" i="3"/>
  <c r="F806" i="10" s="1"/>
  <c r="G817" i="3"/>
  <c r="G817" i="10" s="1"/>
  <c r="K661" i="3"/>
  <c r="K661" i="10" s="1"/>
  <c r="F673" i="3"/>
  <c r="F673" i="10" s="1"/>
  <c r="G710" i="3"/>
  <c r="G710" i="10" s="1"/>
  <c r="F733" i="3"/>
  <c r="F733" i="10" s="1"/>
  <c r="F757" i="3"/>
  <c r="F757" i="10" s="1"/>
  <c r="G789" i="3"/>
  <c r="G789" i="10" s="1"/>
  <c r="K810" i="3"/>
  <c r="K810" i="10" s="1"/>
  <c r="G837" i="3"/>
  <c r="G837" i="10" s="1"/>
  <c r="G869" i="3"/>
  <c r="G869" i="10" s="1"/>
  <c r="K908" i="3"/>
  <c r="K908" i="10" s="1"/>
  <c r="G920" i="3"/>
  <c r="G920" i="10" s="1"/>
  <c r="K934" i="3"/>
  <c r="K934" i="10" s="1"/>
  <c r="F946" i="3"/>
  <c r="F946" i="10" s="1"/>
  <c r="G958" i="3"/>
  <c r="G958" i="10" s="1"/>
  <c r="K721" i="3"/>
  <c r="K721" i="10" s="1"/>
  <c r="K785" i="3"/>
  <c r="K785" i="10" s="1"/>
  <c r="K817" i="3"/>
  <c r="K817" i="10" s="1"/>
  <c r="G857" i="3"/>
  <c r="G857" i="10" s="1"/>
  <c r="F904" i="3"/>
  <c r="F904" i="10" s="1"/>
  <c r="G928" i="3"/>
  <c r="G928" i="10" s="1"/>
  <c r="G950" i="3"/>
  <c r="G950" i="10" s="1"/>
  <c r="K677" i="3"/>
  <c r="K677" i="10" s="1"/>
  <c r="K648" i="3"/>
  <c r="K648" i="10" s="1"/>
  <c r="F661" i="3"/>
  <c r="F661" i="10" s="1"/>
  <c r="K644" i="3"/>
  <c r="K644" i="10" s="1"/>
  <c r="F649" i="3"/>
  <c r="F649" i="10" s="1"/>
  <c r="G658" i="3"/>
  <c r="G658" i="10" s="1"/>
  <c r="F653" i="3"/>
  <c r="F653" i="10" s="1"/>
  <c r="F677" i="3"/>
  <c r="F677" i="10" s="1"/>
  <c r="G688" i="3"/>
  <c r="G688" i="10" s="1"/>
  <c r="K697" i="3"/>
  <c r="K697" i="10" s="1"/>
  <c r="K716" i="3"/>
  <c r="K716" i="10" s="1"/>
  <c r="F721" i="3"/>
  <c r="F721" i="10" s="1"/>
  <c r="G730" i="3"/>
  <c r="G730" i="10" s="1"/>
  <c r="K749" i="3"/>
  <c r="K749" i="10" s="1"/>
  <c r="G759" i="3"/>
  <c r="G759" i="10" s="1"/>
  <c r="G772" i="3"/>
  <c r="G772" i="10" s="1"/>
  <c r="G782" i="3"/>
  <c r="G782" i="10" s="1"/>
  <c r="F798" i="3"/>
  <c r="F798" i="10" s="1"/>
  <c r="G809" i="3"/>
  <c r="G809" i="10" s="1"/>
  <c r="G642" i="3"/>
  <c r="G642" i="10" s="1"/>
  <c r="K665" i="3"/>
  <c r="K665" i="10" s="1"/>
  <c r="K673" i="3"/>
  <c r="K673" i="10" s="1"/>
  <c r="K692" i="3"/>
  <c r="K692" i="10" s="1"/>
  <c r="F697" i="3"/>
  <c r="F697" i="10" s="1"/>
  <c r="G706" i="3"/>
  <c r="G706" i="10" s="1"/>
  <c r="K725" i="3"/>
  <c r="K725" i="10" s="1"/>
  <c r="G735" i="3"/>
  <c r="G735" i="10" s="1"/>
  <c r="G748" i="3"/>
  <c r="G748" i="10" s="1"/>
  <c r="G758" i="3"/>
  <c r="G758" i="10" s="1"/>
  <c r="K768" i="3"/>
  <c r="K768" i="10" s="1"/>
  <c r="F781" i="3"/>
  <c r="F781" i="10" s="1"/>
  <c r="K794" i="3"/>
  <c r="K794" i="10" s="1"/>
  <c r="K813" i="3"/>
  <c r="K813" i="10" s="1"/>
  <c r="F818" i="3"/>
  <c r="F818" i="10" s="1"/>
  <c r="F665" i="3"/>
  <c r="F665" i="10" s="1"/>
  <c r="K676" i="3"/>
  <c r="K676" i="10" s="1"/>
  <c r="G712" i="3"/>
  <c r="G712" i="10" s="1"/>
  <c r="F737" i="3"/>
  <c r="F737" i="10" s="1"/>
  <c r="G774" i="3"/>
  <c r="G774" i="10" s="1"/>
  <c r="F790" i="3"/>
  <c r="F790" i="10" s="1"/>
  <c r="G811" i="3"/>
  <c r="G811" i="10" s="1"/>
  <c r="G845" i="3"/>
  <c r="G845" i="10" s="1"/>
  <c r="G877" i="3"/>
  <c r="G877" i="10" s="1"/>
  <c r="G910" i="3"/>
  <c r="G910" i="10" s="1"/>
  <c r="K924" i="3"/>
  <c r="K924" i="10" s="1"/>
  <c r="G936" i="3"/>
  <c r="G936" i="10" s="1"/>
  <c r="K950" i="3"/>
  <c r="K950" i="10" s="1"/>
  <c r="F962" i="3"/>
  <c r="F962" i="10" s="1"/>
  <c r="F745" i="3"/>
  <c r="F745" i="10" s="1"/>
  <c r="G799" i="3"/>
  <c r="G799" i="10" s="1"/>
  <c r="G825" i="3"/>
  <c r="G825" i="10" s="1"/>
  <c r="G865" i="3"/>
  <c r="G865" i="10" s="1"/>
  <c r="G912" i="3"/>
  <c r="G912" i="10" s="1"/>
  <c r="G934" i="3"/>
  <c r="G934" i="10" s="1"/>
  <c r="K958" i="3"/>
  <c r="K958" i="10" s="1"/>
  <c r="K649" i="3"/>
  <c r="K649" i="10" s="1"/>
  <c r="G655" i="3"/>
  <c r="G655" i="10" s="1"/>
  <c r="F657" i="3"/>
  <c r="F657" i="10" s="1"/>
  <c r="K717" i="3"/>
  <c r="K717" i="10" s="1"/>
  <c r="K760" i="3"/>
  <c r="K760" i="10" s="1"/>
  <c r="G666" i="3"/>
  <c r="G666" i="10" s="1"/>
  <c r="G716" i="3"/>
  <c r="G716" i="10" s="1"/>
  <c r="G760" i="3"/>
  <c r="G760" i="10" s="1"/>
  <c r="K814" i="3"/>
  <c r="K814" i="10" s="1"/>
  <c r="F645" i="3"/>
  <c r="F645" i="10" s="1"/>
  <c r="K740" i="3"/>
  <c r="K740" i="10" s="1"/>
  <c r="G853" i="3"/>
  <c r="G853" i="10" s="1"/>
  <c r="K940" i="3"/>
  <c r="K940" i="10" s="1"/>
  <c r="F802" i="3"/>
  <c r="F802" i="10" s="1"/>
  <c r="F938" i="3"/>
  <c r="F938" i="10" s="1"/>
  <c r="K712" i="3"/>
  <c r="K712" i="10" s="1"/>
  <c r="K732" i="3"/>
  <c r="K732" i="10" s="1"/>
  <c r="G775" i="3"/>
  <c r="G775" i="10" s="1"/>
  <c r="K641" i="3"/>
  <c r="K641" i="10" s="1"/>
  <c r="G672" i="3"/>
  <c r="G672" i="10" s="1"/>
  <c r="G682" i="3"/>
  <c r="G682" i="10" s="1"/>
  <c r="K700" i="3"/>
  <c r="K700" i="10" s="1"/>
  <c r="G722" i="3"/>
  <c r="G722" i="10" s="1"/>
  <c r="K745" i="3"/>
  <c r="K745" i="10" s="1"/>
  <c r="G756" i="3"/>
  <c r="G756" i="10" s="1"/>
  <c r="K773" i="3"/>
  <c r="K773" i="10" s="1"/>
  <c r="K801" i="3"/>
  <c r="K801" i="10" s="1"/>
  <c r="K809" i="3"/>
  <c r="K809" i="10" s="1"/>
  <c r="G823" i="3"/>
  <c r="G823" i="10" s="1"/>
  <c r="G855" i="3"/>
  <c r="G855" i="10" s="1"/>
  <c r="G887" i="3"/>
  <c r="G887" i="10" s="1"/>
  <c r="G914" i="3"/>
  <c r="G914" i="10" s="1"/>
  <c r="K928" i="3"/>
  <c r="K928" i="10" s="1"/>
  <c r="G940" i="3"/>
  <c r="G940" i="10" s="1"/>
  <c r="K954" i="3"/>
  <c r="K954" i="10" s="1"/>
  <c r="F966" i="3"/>
  <c r="F966" i="10" s="1"/>
  <c r="G678" i="3"/>
  <c r="G678" i="10" s="1"/>
  <c r="F701" i="3"/>
  <c r="F701" i="10" s="1"/>
  <c r="G742" i="3"/>
  <c r="G742" i="10" s="1"/>
  <c r="G801" i="3"/>
  <c r="G801" i="10" s="1"/>
  <c r="F896" i="3"/>
  <c r="F896" i="10" s="1"/>
  <c r="K932" i="3"/>
  <c r="K932" i="10" s="1"/>
  <c r="G960" i="3"/>
  <c r="G960" i="10" s="1"/>
  <c r="G662" i="3"/>
  <c r="G662" i="10" s="1"/>
  <c r="K720" i="3"/>
  <c r="K720" i="10" s="1"/>
  <c r="G875" i="3"/>
  <c r="G875" i="10" s="1"/>
  <c r="K952" i="3"/>
  <c r="K952" i="10" s="1"/>
  <c r="K777" i="3"/>
  <c r="K777" i="10" s="1"/>
  <c r="G932" i="3"/>
  <c r="G932" i="10" s="1"/>
  <c r="G867" i="3"/>
  <c r="G867" i="10" s="1"/>
  <c r="G783" i="3"/>
  <c r="G783" i="10" s="1"/>
  <c r="G883" i="3"/>
  <c r="G883" i="10" s="1"/>
  <c r="F942" i="3"/>
  <c r="F942" i="10" s="1"/>
  <c r="K920" i="3"/>
  <c r="K920" i="10" s="1"/>
  <c r="G922" i="3"/>
  <c r="G922" i="10" s="1"/>
  <c r="K900" i="3"/>
  <c r="K900" i="10" s="1"/>
  <c r="F878" i="3"/>
  <c r="F878" i="10" s="1"/>
  <c r="F948" i="3"/>
  <c r="F948" i="10" s="1"/>
  <c r="F708" i="3"/>
  <c r="F708" i="10" s="1"/>
  <c r="F846" i="3"/>
  <c r="F846" i="10" s="1"/>
  <c r="G818" i="3"/>
  <c r="G818" i="10" s="1"/>
  <c r="G733" i="3"/>
  <c r="G733" i="10" s="1"/>
  <c r="F692" i="3"/>
  <c r="F692" i="10" s="1"/>
  <c r="G989" i="3"/>
  <c r="G989" i="10" s="1"/>
  <c r="K965" i="3"/>
  <c r="K965" i="10" s="1"/>
  <c r="K990" i="3"/>
  <c r="K990" i="10" s="1"/>
  <c r="K980" i="3"/>
  <c r="K980" i="10" s="1"/>
  <c r="F970" i="3"/>
  <c r="F970" i="10" s="1"/>
  <c r="F929" i="3"/>
  <c r="F929" i="10" s="1"/>
  <c r="K947" i="3"/>
  <c r="K947" i="10" s="1"/>
  <c r="K909" i="3"/>
  <c r="K909" i="10" s="1"/>
  <c r="F971" i="3"/>
  <c r="F971" i="10" s="1"/>
  <c r="K911" i="3"/>
  <c r="K911" i="10" s="1"/>
  <c r="K969" i="3"/>
  <c r="K969" i="10" s="1"/>
  <c r="F917" i="3"/>
  <c r="F917" i="10" s="1"/>
  <c r="K872" i="3"/>
  <c r="K872" i="10" s="1"/>
  <c r="F804" i="3"/>
  <c r="F804" i="10" s="1"/>
  <c r="F889" i="3"/>
  <c r="F889" i="10" s="1"/>
  <c r="F857" i="3"/>
  <c r="F857" i="10" s="1"/>
  <c r="F825" i="3"/>
  <c r="F825" i="10" s="1"/>
  <c r="G715" i="3"/>
  <c r="G715" i="10" s="1"/>
  <c r="F894" i="3"/>
  <c r="F894" i="10" s="1"/>
  <c r="G850" i="3"/>
  <c r="G850" i="10" s="1"/>
  <c r="F812" i="3"/>
  <c r="F812" i="10" s="1"/>
  <c r="F643" i="3"/>
  <c r="F643" i="10" s="1"/>
  <c r="K844" i="3"/>
  <c r="K844" i="10" s="1"/>
  <c r="K905" i="3"/>
  <c r="K905" i="10" s="1"/>
  <c r="F884" i="3"/>
  <c r="F884" i="10" s="1"/>
  <c r="F863" i="3"/>
  <c r="F863" i="10" s="1"/>
  <c r="K843" i="3"/>
  <c r="K843" i="10" s="1"/>
  <c r="F820" i="3"/>
  <c r="F820" i="10" s="1"/>
  <c r="F667" i="3"/>
  <c r="F667" i="10" s="1"/>
  <c r="F791" i="3"/>
  <c r="F791" i="10" s="1"/>
  <c r="F740" i="3"/>
  <c r="F740" i="10" s="1"/>
  <c r="F784" i="3"/>
  <c r="F784" i="10" s="1"/>
  <c r="F817" i="3"/>
  <c r="F817" i="10" s="1"/>
  <c r="F874" i="3"/>
  <c r="F874" i="10" s="1"/>
  <c r="F716" i="3"/>
  <c r="F716" i="10" s="1"/>
  <c r="F789" i="3"/>
  <c r="F789" i="10" s="1"/>
  <c r="F648" i="3"/>
  <c r="F648" i="10" s="1"/>
  <c r="G737" i="3"/>
  <c r="G737" i="10" s="1"/>
  <c r="F999" i="3"/>
  <c r="F999" i="10" s="1"/>
  <c r="K943" i="3"/>
  <c r="K943" i="10" s="1"/>
  <c r="F996" i="3"/>
  <c r="F996" i="10" s="1"/>
  <c r="K984" i="3"/>
  <c r="K984" i="10" s="1"/>
  <c r="G974" i="3"/>
  <c r="G974" i="10" s="1"/>
  <c r="G951" i="3"/>
  <c r="G951" i="10" s="1"/>
  <c r="F963" i="3"/>
  <c r="F963" i="10" s="1"/>
  <c r="G925" i="3"/>
  <c r="G925" i="10" s="1"/>
  <c r="K985" i="3"/>
  <c r="K985" i="10" s="1"/>
  <c r="F937" i="3"/>
  <c r="F937" i="10" s="1"/>
  <c r="G979" i="3"/>
  <c r="G979" i="10" s="1"/>
  <c r="G939" i="3"/>
  <c r="G939" i="10" s="1"/>
  <c r="F899" i="3"/>
  <c r="F899" i="10" s="1"/>
  <c r="G828" i="3"/>
  <c r="G828" i="10" s="1"/>
  <c r="G723" i="3"/>
  <c r="G723" i="10" s="1"/>
  <c r="K873" i="3"/>
  <c r="K873" i="10" s="1"/>
  <c r="K841" i="3"/>
  <c r="K841" i="10" s="1"/>
  <c r="F779" i="3"/>
  <c r="F779" i="10" s="1"/>
  <c r="G880" i="3"/>
  <c r="G880" i="10" s="1"/>
  <c r="K862" i="3"/>
  <c r="K862" i="10" s="1"/>
  <c r="K830" i="3"/>
  <c r="K830" i="10" s="1"/>
  <c r="K707" i="3"/>
  <c r="K707" i="10" s="1"/>
  <c r="G892" i="3"/>
  <c r="G892" i="10" s="1"/>
  <c r="K890" i="3"/>
  <c r="K890" i="10" s="1"/>
  <c r="K893" i="3"/>
  <c r="K893" i="10" s="1"/>
  <c r="F872" i="3"/>
  <c r="F872" i="10" s="1"/>
  <c r="F851" i="3"/>
  <c r="F851" i="10" s="1"/>
  <c r="K831" i="3"/>
  <c r="K831" i="10" s="1"/>
  <c r="F940" i="3"/>
  <c r="F940" i="10" s="1"/>
  <c r="F897" i="3"/>
  <c r="F897" i="10" s="1"/>
  <c r="F912" i="3"/>
  <c r="F912" i="10" s="1"/>
  <c r="G802" i="3"/>
  <c r="G802" i="10" s="1"/>
  <c r="F768" i="3"/>
  <c r="F768" i="10" s="1"/>
  <c r="F998" i="3"/>
  <c r="F998" i="10" s="1"/>
  <c r="G976" i="3"/>
  <c r="G976" i="10" s="1"/>
  <c r="F913" i="3"/>
  <c r="F913" i="10" s="1"/>
  <c r="K991" i="3"/>
  <c r="K991" i="10" s="1"/>
  <c r="K983" i="3"/>
  <c r="K983" i="10" s="1"/>
  <c r="G755" i="3"/>
  <c r="G755" i="10" s="1"/>
  <c r="F845" i="3"/>
  <c r="F845" i="10" s="1"/>
  <c r="G651" i="3"/>
  <c r="G651" i="10" s="1"/>
  <c r="G838" i="3"/>
  <c r="G838" i="10" s="1"/>
  <c r="K903" i="3"/>
  <c r="K903" i="10" s="1"/>
  <c r="K897" i="3"/>
  <c r="K897" i="10" s="1"/>
  <c r="F855" i="3"/>
  <c r="F855" i="10" s="1"/>
  <c r="F800" i="3"/>
  <c r="F800" i="10" s="1"/>
  <c r="F803" i="3"/>
  <c r="F803" i="10" s="1"/>
  <c r="K703" i="3"/>
  <c r="K703" i="10" s="1"/>
  <c r="K727" i="3"/>
  <c r="K727" i="10" s="1"/>
  <c r="K770" i="3"/>
  <c r="K770" i="10" s="1"/>
  <c r="K738" i="3"/>
  <c r="K738" i="10" s="1"/>
  <c r="K706" i="3"/>
  <c r="K706" i="10" s="1"/>
  <c r="K674" i="3"/>
  <c r="K674" i="10" s="1"/>
  <c r="K642" i="3"/>
  <c r="K642" i="10" s="1"/>
  <c r="G729" i="3"/>
  <c r="G729" i="10" s="1"/>
  <c r="G713" i="3"/>
  <c r="G713" i="10" s="1"/>
  <c r="G990" i="3"/>
  <c r="G990" i="10" s="1"/>
  <c r="F941" i="3"/>
  <c r="F941" i="10" s="1"/>
  <c r="K955" i="3"/>
  <c r="K955" i="10" s="1"/>
  <c r="F885" i="3"/>
  <c r="F885" i="10" s="1"/>
  <c r="G886" i="3"/>
  <c r="G886" i="10" s="1"/>
  <c r="K836" i="3"/>
  <c r="K836" i="10" s="1"/>
  <c r="F839" i="3"/>
  <c r="F839" i="10" s="1"/>
  <c r="K783" i="3"/>
  <c r="K783" i="10" s="1"/>
  <c r="F854" i="3"/>
  <c r="F854" i="10" s="1"/>
  <c r="G649" i="3"/>
  <c r="G649" i="10" s="1"/>
  <c r="G806" i="3"/>
  <c r="G806" i="10" s="1"/>
  <c r="F712" i="3"/>
  <c r="F712" i="10" s="1"/>
  <c r="G665" i="3"/>
  <c r="G665" i="10" s="1"/>
  <c r="F927" i="3"/>
  <c r="F927" i="10" s="1"/>
  <c r="G984" i="3"/>
  <c r="G984" i="10" s="1"/>
  <c r="G945" i="3"/>
  <c r="G945" i="10" s="1"/>
  <c r="F915" i="3"/>
  <c r="F915" i="10" s="1"/>
  <c r="F973" i="3"/>
  <c r="F973" i="10" s="1"/>
  <c r="G787" i="3"/>
  <c r="G787" i="10" s="1"/>
  <c r="G683" i="3"/>
  <c r="G683" i="10" s="1"/>
  <c r="K871" i="3"/>
  <c r="K871" i="10" s="1"/>
  <c r="K819" i="3"/>
  <c r="K819" i="10" s="1"/>
  <c r="F743" i="3"/>
  <c r="F743" i="10" s="1"/>
  <c r="F778" i="3"/>
  <c r="F778" i="10" s="1"/>
  <c r="F714" i="3"/>
  <c r="F714" i="10" s="1"/>
  <c r="F642" i="3"/>
  <c r="F642" i="10" s="1"/>
  <c r="F805" i="3"/>
  <c r="F805" i="10" s="1"/>
  <c r="F752" i="3"/>
  <c r="F752" i="10" s="1"/>
  <c r="F680" i="3"/>
  <c r="F680" i="10" s="1"/>
  <c r="G977" i="3"/>
  <c r="G977" i="10" s="1"/>
  <c r="G986" i="3"/>
  <c r="G986" i="10" s="1"/>
  <c r="F951" i="3"/>
  <c r="F951" i="10" s="1"/>
  <c r="G931" i="3"/>
  <c r="G931" i="10" s="1"/>
  <c r="G953" i="3"/>
  <c r="G953" i="10" s="1"/>
  <c r="F939" i="3"/>
  <c r="F939" i="10" s="1"/>
  <c r="G832" i="3"/>
  <c r="G832" i="10" s="1"/>
  <c r="K877" i="3"/>
  <c r="K877" i="10" s="1"/>
  <c r="F792" i="3"/>
  <c r="F792" i="10" s="1"/>
  <c r="K866" i="3"/>
  <c r="K866" i="10" s="1"/>
  <c r="F739" i="3"/>
  <c r="F739" i="10" s="1"/>
  <c r="G897" i="3"/>
  <c r="G897" i="10" s="1"/>
  <c r="F875" i="3"/>
  <c r="F875" i="10" s="1"/>
  <c r="F832" i="3"/>
  <c r="F832" i="10" s="1"/>
  <c r="G667" i="3"/>
  <c r="G667" i="10" s="1"/>
  <c r="F767" i="3"/>
  <c r="F767" i="10" s="1"/>
  <c r="F639" i="3"/>
  <c r="F639" i="10" s="1"/>
  <c r="F663" i="3"/>
  <c r="F663" i="10" s="1"/>
  <c r="F782" i="3"/>
  <c r="F782" i="10" s="1"/>
  <c r="F750" i="3"/>
  <c r="F750" i="10" s="1"/>
  <c r="F718" i="3"/>
  <c r="F718" i="10" s="1"/>
  <c r="F686" i="3"/>
  <c r="F686" i="10" s="1"/>
  <c r="F654" i="3"/>
  <c r="F654" i="10" s="1"/>
  <c r="F748" i="3"/>
  <c r="F748" i="10" s="1"/>
  <c r="G641" i="3"/>
  <c r="G641" i="10" s="1"/>
  <c r="F984" i="3"/>
  <c r="F984" i="10" s="1"/>
  <c r="K925" i="3"/>
  <c r="K925" i="10" s="1"/>
  <c r="F933" i="3"/>
  <c r="F933" i="10" s="1"/>
  <c r="F869" i="3"/>
  <c r="F869" i="10" s="1"/>
  <c r="G862" i="3"/>
  <c r="G862" i="10" s="1"/>
  <c r="G890" i="3"/>
  <c r="G890" i="10" s="1"/>
  <c r="F828" i="3"/>
  <c r="F828" i="10" s="1"/>
  <c r="K751" i="3"/>
  <c r="K751" i="10" s="1"/>
  <c r="K775" i="3"/>
  <c r="K775" i="10" s="1"/>
  <c r="K647" i="3"/>
  <c r="K647" i="10" s="1"/>
  <c r="K782" i="3"/>
  <c r="K782" i="10" s="1"/>
  <c r="K750" i="3"/>
  <c r="K750" i="10" s="1"/>
  <c r="K718" i="3"/>
  <c r="K718" i="10" s="1"/>
  <c r="K686" i="3"/>
  <c r="K686" i="10" s="1"/>
  <c r="K654" i="3"/>
  <c r="K654" i="10" s="1"/>
  <c r="G933" i="3"/>
  <c r="G933" i="10" s="1"/>
  <c r="K869" i="3"/>
  <c r="K869" i="10" s="1"/>
  <c r="K858" i="3"/>
  <c r="K858" i="10" s="1"/>
  <c r="K882" i="3"/>
  <c r="K882" i="10" s="1"/>
  <c r="G804" i="3"/>
  <c r="G804" i="10" s="1"/>
  <c r="F751" i="3"/>
  <c r="F751" i="10" s="1"/>
  <c r="F738" i="3"/>
  <c r="F738" i="10" s="1"/>
  <c r="F674" i="3"/>
  <c r="F674" i="10" s="1"/>
  <c r="K668" i="3"/>
  <c r="K668" i="10" s="1"/>
  <c r="K684" i="3"/>
  <c r="K684" i="10" s="1"/>
  <c r="G727" i="3"/>
  <c r="G727" i="10" s="1"/>
  <c r="F773" i="3"/>
  <c r="F773" i="10" s="1"/>
  <c r="G674" i="3"/>
  <c r="G674" i="10" s="1"/>
  <c r="G726" i="3"/>
  <c r="G726" i="10" s="1"/>
  <c r="K769" i="3"/>
  <c r="K769" i="10" s="1"/>
  <c r="G821" i="3"/>
  <c r="G821" i="10" s="1"/>
  <c r="G668" i="3"/>
  <c r="G668" i="10" s="1"/>
  <c r="G776" i="3"/>
  <c r="G776" i="10" s="1"/>
  <c r="G885" i="3"/>
  <c r="G885" i="10" s="1"/>
  <c r="G952" i="3"/>
  <c r="G952" i="10" s="1"/>
  <c r="G833" i="3"/>
  <c r="G833" i="10" s="1"/>
  <c r="K964" i="3"/>
  <c r="K964" i="10" s="1"/>
  <c r="K713" i="3"/>
  <c r="K713" i="10" s="1"/>
  <c r="G734" i="3"/>
  <c r="G734" i="10" s="1"/>
  <c r="G644" i="3"/>
  <c r="G644" i="10" s="1"/>
  <c r="G679" i="3"/>
  <c r="G679" i="10" s="1"/>
  <c r="G687" i="3"/>
  <c r="G687" i="10" s="1"/>
  <c r="K701" i="3"/>
  <c r="K701" i="10" s="1"/>
  <c r="G736" i="3"/>
  <c r="G736" i="10" s="1"/>
  <c r="G746" i="3"/>
  <c r="G746" i="10" s="1"/>
  <c r="K764" i="3"/>
  <c r="K764" i="10" s="1"/>
  <c r="G786" i="3"/>
  <c r="G786" i="10" s="1"/>
  <c r="K802" i="3"/>
  <c r="K802" i="10" s="1"/>
  <c r="F810" i="3"/>
  <c r="F810" i="10" s="1"/>
  <c r="G831" i="3"/>
  <c r="G831" i="10" s="1"/>
  <c r="G863" i="3"/>
  <c r="G863" i="10" s="1"/>
  <c r="G900" i="3"/>
  <c r="G900" i="10" s="1"/>
  <c r="F918" i="3"/>
  <c r="F918" i="10" s="1"/>
  <c r="G930" i="3"/>
  <c r="G930" i="10" s="1"/>
  <c r="K944" i="3"/>
  <c r="K944" i="10" s="1"/>
  <c r="G956" i="3"/>
  <c r="G956" i="10" s="1"/>
  <c r="G680" i="3"/>
  <c r="G680" i="10" s="1"/>
  <c r="F705" i="3"/>
  <c r="F705" i="10" s="1"/>
  <c r="G744" i="3"/>
  <c r="G744" i="10" s="1"/>
  <c r="G816" i="3"/>
  <c r="G816" i="10" s="1"/>
  <c r="K910" i="3"/>
  <c r="K910" i="10" s="1"/>
  <c r="K942" i="3"/>
  <c r="K942" i="10" s="1"/>
  <c r="G966" i="3"/>
  <c r="G966" i="10" s="1"/>
  <c r="K669" i="3"/>
  <c r="K669" i="10" s="1"/>
  <c r="K733" i="3"/>
  <c r="K733" i="10" s="1"/>
  <c r="K914" i="3"/>
  <c r="K914" i="10" s="1"/>
  <c r="G964" i="3"/>
  <c r="G964" i="10" s="1"/>
  <c r="G827" i="3"/>
  <c r="G827" i="10" s="1"/>
  <c r="F958" i="3"/>
  <c r="F958" i="10" s="1"/>
  <c r="F910" i="3"/>
  <c r="F910" i="10" s="1"/>
  <c r="K784" i="3"/>
  <c r="K784" i="10" s="1"/>
  <c r="G896" i="3"/>
  <c r="G896" i="10" s="1"/>
  <c r="K790" i="3"/>
  <c r="K790" i="10" s="1"/>
  <c r="K946" i="3"/>
  <c r="K946" i="10" s="1"/>
  <c r="G948" i="3"/>
  <c r="G948" i="10" s="1"/>
  <c r="F908" i="3"/>
  <c r="F908" i="10" s="1"/>
  <c r="F838" i="3"/>
  <c r="F838" i="10" s="1"/>
  <c r="K904" i="3"/>
  <c r="K904" i="10" s="1"/>
  <c r="F640" i="3"/>
  <c r="F640" i="10" s="1"/>
  <c r="F944" i="3"/>
  <c r="F944" i="10" s="1"/>
  <c r="G796" i="3"/>
  <c r="G796" i="10" s="1"/>
  <c r="G701" i="3"/>
  <c r="G701" i="10" s="1"/>
  <c r="F788" i="3"/>
  <c r="F788" i="10" s="1"/>
  <c r="F664" i="3"/>
  <c r="F664" i="10" s="1"/>
  <c r="F644" i="3"/>
  <c r="F644" i="10" s="1"/>
  <c r="K987" i="3"/>
  <c r="K987" i="10" s="1"/>
  <c r="K998" i="3"/>
  <c r="K998" i="10" s="1"/>
  <c r="F988" i="3"/>
  <c r="F988" i="10" s="1"/>
  <c r="F978" i="3"/>
  <c r="F978" i="10" s="1"/>
  <c r="F961" i="3"/>
  <c r="F961" i="10" s="1"/>
  <c r="K919" i="3"/>
  <c r="K919" i="10" s="1"/>
  <c r="K941" i="3"/>
  <c r="K941" i="10" s="1"/>
  <c r="F991" i="3"/>
  <c r="F991" i="10" s="1"/>
  <c r="K959" i="3"/>
  <c r="K959" i="10" s="1"/>
  <c r="K993" i="3"/>
  <c r="K993" i="10" s="1"/>
  <c r="F949" i="3"/>
  <c r="F949" i="10" s="1"/>
  <c r="K907" i="3"/>
  <c r="K907" i="10" s="1"/>
  <c r="K852" i="3"/>
  <c r="K852" i="10" s="1"/>
  <c r="K755" i="3"/>
  <c r="K755" i="10" s="1"/>
  <c r="F881" i="3"/>
  <c r="F881" i="10" s="1"/>
  <c r="F849" i="3"/>
  <c r="F849" i="10" s="1"/>
  <c r="K808" i="3"/>
  <c r="K808" i="10" s="1"/>
  <c r="K651" i="3"/>
  <c r="K651" i="10" s="1"/>
  <c r="G874" i="3"/>
  <c r="G874" i="10" s="1"/>
  <c r="G842" i="3"/>
  <c r="G842" i="10" s="1"/>
  <c r="F771" i="3"/>
  <c r="F771" i="10" s="1"/>
  <c r="F902" i="3"/>
  <c r="F902" i="10" s="1"/>
  <c r="G899" i="3"/>
  <c r="G899" i="10" s="1"/>
  <c r="F879" i="3"/>
  <c r="F879" i="10" s="1"/>
  <c r="K859" i="3"/>
  <c r="K859" i="10" s="1"/>
  <c r="F836" i="3"/>
  <c r="F836" i="10" s="1"/>
  <c r="K800" i="3"/>
  <c r="K800" i="10" s="1"/>
  <c r="F815" i="3"/>
  <c r="F815" i="10" s="1"/>
  <c r="F797" i="3"/>
  <c r="F797" i="10" s="1"/>
  <c r="F676" i="3"/>
  <c r="F676" i="10" s="1"/>
  <c r="F684" i="3"/>
  <c r="F684" i="10" s="1"/>
  <c r="G761" i="3"/>
  <c r="G761" i="10" s="1"/>
  <c r="F968" i="3"/>
  <c r="F968" i="10" s="1"/>
  <c r="F842" i="3"/>
  <c r="F842" i="10" s="1"/>
  <c r="F764" i="3"/>
  <c r="F764" i="10" s="1"/>
  <c r="G705" i="3"/>
  <c r="G705" i="10" s="1"/>
  <c r="G995" i="3"/>
  <c r="G995" i="10" s="1"/>
  <c r="G927" i="3"/>
  <c r="G927" i="10" s="1"/>
  <c r="K992" i="3"/>
  <c r="K992" i="10" s="1"/>
  <c r="K982" i="3"/>
  <c r="K982" i="10" s="1"/>
  <c r="F972" i="3"/>
  <c r="F972" i="10" s="1"/>
  <c r="F935" i="3"/>
  <c r="F935" i="10" s="1"/>
  <c r="G957" i="3"/>
  <c r="G957" i="10" s="1"/>
  <c r="G915" i="3"/>
  <c r="G915" i="10" s="1"/>
  <c r="F975" i="3"/>
  <c r="F975" i="10" s="1"/>
  <c r="G921" i="3"/>
  <c r="G921" i="10" s="1"/>
  <c r="G973" i="3"/>
  <c r="G973" i="10" s="1"/>
  <c r="F923" i="3"/>
  <c r="F923" i="10" s="1"/>
  <c r="G876" i="3"/>
  <c r="G876" i="10" s="1"/>
  <c r="G820" i="3"/>
  <c r="G820" i="10" s="1"/>
  <c r="K659" i="3"/>
  <c r="K659" i="10" s="1"/>
  <c r="K865" i="3"/>
  <c r="K865" i="10" s="1"/>
  <c r="K833" i="3"/>
  <c r="K833" i="10" s="1"/>
  <c r="G747" i="3"/>
  <c r="G747" i="10" s="1"/>
  <c r="G856" i="3"/>
  <c r="G856" i="10" s="1"/>
  <c r="K854" i="3"/>
  <c r="K854" i="10" s="1"/>
  <c r="K822" i="3"/>
  <c r="K822" i="10" s="1"/>
  <c r="F675" i="3"/>
  <c r="F675" i="10" s="1"/>
  <c r="G848" i="3"/>
  <c r="G848" i="10" s="1"/>
  <c r="K878" i="3"/>
  <c r="K878" i="10" s="1"/>
  <c r="F888" i="3"/>
  <c r="F888" i="10" s="1"/>
  <c r="F867" i="3"/>
  <c r="F867" i="10" s="1"/>
  <c r="K847" i="3"/>
  <c r="K847" i="10" s="1"/>
  <c r="F824" i="3"/>
  <c r="F824" i="10" s="1"/>
  <c r="F936" i="3"/>
  <c r="F936" i="10" s="1"/>
  <c r="F728" i="3"/>
  <c r="F728" i="10" s="1"/>
  <c r="F834" i="3"/>
  <c r="F834" i="10" s="1"/>
  <c r="G745" i="3"/>
  <c r="G745" i="10" s="1"/>
  <c r="F704" i="3"/>
  <c r="F704" i="10" s="1"/>
  <c r="K995" i="3"/>
  <c r="K995" i="10" s="1"/>
  <c r="G992" i="3"/>
  <c r="G992" i="10" s="1"/>
  <c r="K970" i="3"/>
  <c r="K970" i="10" s="1"/>
  <c r="K957" i="3"/>
  <c r="K957" i="10" s="1"/>
  <c r="G975" i="3"/>
  <c r="G975" i="10" s="1"/>
  <c r="F969" i="3"/>
  <c r="F969" i="10" s="1"/>
  <c r="K876" i="3"/>
  <c r="K876" i="10" s="1"/>
  <c r="F659" i="3"/>
  <c r="F659" i="10" s="1"/>
  <c r="F829" i="3"/>
  <c r="F829" i="10" s="1"/>
  <c r="K856" i="3"/>
  <c r="K856" i="10" s="1"/>
  <c r="G822" i="3"/>
  <c r="G822" i="10" s="1"/>
  <c r="K848" i="3"/>
  <c r="K848" i="10" s="1"/>
  <c r="F887" i="3"/>
  <c r="F887" i="10" s="1"/>
  <c r="F844" i="3"/>
  <c r="F844" i="10" s="1"/>
  <c r="F731" i="3"/>
  <c r="F731" i="10" s="1"/>
  <c r="K795" i="3"/>
  <c r="K795" i="10" s="1"/>
  <c r="K671" i="3"/>
  <c r="K671" i="10" s="1"/>
  <c r="K695" i="3"/>
  <c r="K695" i="10" s="1"/>
  <c r="K762" i="3"/>
  <c r="K762" i="10" s="1"/>
  <c r="K730" i="3"/>
  <c r="K730" i="10" s="1"/>
  <c r="K698" i="3"/>
  <c r="K698" i="10" s="1"/>
  <c r="K666" i="3"/>
  <c r="K666" i="10" s="1"/>
  <c r="G741" i="3"/>
  <c r="G741" i="10" s="1"/>
  <c r="G794" i="3"/>
  <c r="G794" i="10" s="1"/>
  <c r="K978" i="3"/>
  <c r="K978" i="10" s="1"/>
  <c r="G997" i="3"/>
  <c r="G997" i="10" s="1"/>
  <c r="K917" i="3"/>
  <c r="K917" i="10" s="1"/>
  <c r="F853" i="3"/>
  <c r="F853" i="10" s="1"/>
  <c r="G846" i="3"/>
  <c r="G846" i="10" s="1"/>
  <c r="K902" i="3"/>
  <c r="K902" i="10" s="1"/>
  <c r="F816" i="3"/>
  <c r="F816" i="10" s="1"/>
  <c r="F720" i="3"/>
  <c r="F720" i="10" s="1"/>
  <c r="F668" i="3"/>
  <c r="F668" i="10" s="1"/>
  <c r="F688" i="3"/>
  <c r="F688" i="10" s="1"/>
  <c r="G653" i="3"/>
  <c r="G653" i="10" s="1"/>
  <c r="F1000" i="3"/>
  <c r="F1000" i="10" s="1"/>
  <c r="G978" i="3"/>
  <c r="G978" i="10" s="1"/>
  <c r="F919" i="3"/>
  <c r="F919" i="10" s="1"/>
  <c r="K997" i="3"/>
  <c r="K997" i="10" s="1"/>
  <c r="G955" i="3"/>
  <c r="G955" i="10" s="1"/>
  <c r="K885" i="3"/>
  <c r="K885" i="10" s="1"/>
  <c r="K874" i="3"/>
  <c r="K874" i="10" s="1"/>
  <c r="G905" i="3"/>
  <c r="G905" i="10" s="1"/>
  <c r="F848" i="3"/>
  <c r="F848" i="10" s="1"/>
  <c r="F795" i="3"/>
  <c r="F795" i="10" s="1"/>
  <c r="F711" i="3"/>
  <c r="F711" i="10" s="1"/>
  <c r="F762" i="3"/>
  <c r="F762" i="10" s="1"/>
  <c r="F698" i="3"/>
  <c r="F698" i="10" s="1"/>
  <c r="F956" i="3"/>
  <c r="F956" i="10" s="1"/>
  <c r="F964" i="3"/>
  <c r="F964" i="10" s="1"/>
  <c r="F886" i="3"/>
  <c r="F886" i="10" s="1"/>
  <c r="G965" i="3"/>
  <c r="G965" i="10" s="1"/>
  <c r="G980" i="3"/>
  <c r="G980" i="10" s="1"/>
  <c r="G935" i="3"/>
  <c r="G935" i="10" s="1"/>
  <c r="G909" i="3"/>
  <c r="G909" i="10" s="1"/>
  <c r="F911" i="3"/>
  <c r="F911" i="10" s="1"/>
  <c r="G923" i="3"/>
  <c r="G923" i="10" s="1"/>
  <c r="K804" i="3"/>
  <c r="K804" i="10" s="1"/>
  <c r="K861" i="3"/>
  <c r="K861" i="10" s="1"/>
  <c r="F715" i="3"/>
  <c r="F715" i="10" s="1"/>
  <c r="K850" i="3"/>
  <c r="K850" i="10" s="1"/>
  <c r="K643" i="3"/>
  <c r="K643" i="10" s="1"/>
  <c r="K906" i="3"/>
  <c r="K906" i="10" s="1"/>
  <c r="F864" i="3"/>
  <c r="F864" i="10" s="1"/>
  <c r="K823" i="3"/>
  <c r="K823" i="10" s="1"/>
  <c r="F811" i="3"/>
  <c r="F811" i="10" s="1"/>
  <c r="F735" i="3"/>
  <c r="F735" i="10" s="1"/>
  <c r="F759" i="3"/>
  <c r="F759" i="10" s="1"/>
  <c r="F774" i="3"/>
  <c r="F774" i="10" s="1"/>
  <c r="F742" i="3"/>
  <c r="F742" i="10" s="1"/>
  <c r="F710" i="3"/>
  <c r="F710" i="10" s="1"/>
  <c r="F678" i="3"/>
  <c r="F678" i="10" s="1"/>
  <c r="F646" i="3"/>
  <c r="F646" i="10" s="1"/>
  <c r="F916" i="3"/>
  <c r="F916" i="10" s="1"/>
  <c r="F866" i="3"/>
  <c r="F866" i="10" s="1"/>
  <c r="F736" i="3"/>
  <c r="F736" i="10" s="1"/>
  <c r="G999" i="3"/>
  <c r="G999" i="10" s="1"/>
  <c r="F974" i="3"/>
  <c r="F974" i="10" s="1"/>
  <c r="F981" i="3"/>
  <c r="F981" i="10" s="1"/>
  <c r="K899" i="3"/>
  <c r="K899" i="10" s="1"/>
  <c r="F837" i="3"/>
  <c r="F837" i="10" s="1"/>
  <c r="G830" i="3"/>
  <c r="G830" i="10" s="1"/>
  <c r="F892" i="3"/>
  <c r="F892" i="10" s="1"/>
  <c r="F763" i="3"/>
  <c r="F763" i="10" s="1"/>
  <c r="F689" i="3"/>
  <c r="F689" i="10" s="1"/>
  <c r="G740" i="3"/>
  <c r="G740" i="10" s="1"/>
  <c r="G784" i="3"/>
  <c r="G784" i="10" s="1"/>
  <c r="K693" i="3"/>
  <c r="K693" i="10" s="1"/>
  <c r="K736" i="3"/>
  <c r="K736" i="10" s="1"/>
  <c r="K788" i="3"/>
  <c r="K788" i="10" s="1"/>
  <c r="K689" i="3"/>
  <c r="K689" i="10" s="1"/>
  <c r="F794" i="3"/>
  <c r="F794" i="10" s="1"/>
  <c r="F914" i="3"/>
  <c r="F914" i="10" s="1"/>
  <c r="K966" i="3"/>
  <c r="K966" i="10" s="1"/>
  <c r="G873" i="3"/>
  <c r="G873" i="10" s="1"/>
  <c r="G690" i="3"/>
  <c r="G690" i="10" s="1"/>
  <c r="G719" i="3"/>
  <c r="G719" i="10" s="1"/>
  <c r="K741" i="3"/>
  <c r="K741" i="10" s="1"/>
  <c r="K652" i="3"/>
  <c r="K652" i="10" s="1"/>
  <c r="K680" i="3"/>
  <c r="K680" i="10" s="1"/>
  <c r="K688" i="3"/>
  <c r="K688" i="10" s="1"/>
  <c r="G702" i="3"/>
  <c r="G702" i="10" s="1"/>
  <c r="G743" i="3"/>
  <c r="G743" i="10" s="1"/>
  <c r="G751" i="3"/>
  <c r="G751" i="10" s="1"/>
  <c r="K765" i="3"/>
  <c r="K765" i="10" s="1"/>
  <c r="G793" i="3"/>
  <c r="G793" i="10" s="1"/>
  <c r="G803" i="3"/>
  <c r="G803" i="10" s="1"/>
  <c r="F814" i="3"/>
  <c r="F814" i="10" s="1"/>
  <c r="G839" i="3"/>
  <c r="G839" i="10" s="1"/>
  <c r="G871" i="3"/>
  <c r="G871" i="10" s="1"/>
  <c r="G908" i="3"/>
  <c r="G908" i="10" s="1"/>
  <c r="K922" i="3"/>
  <c r="K922" i="10" s="1"/>
  <c r="F934" i="3"/>
  <c r="F934" i="10" s="1"/>
  <c r="G946" i="3"/>
  <c r="G946" i="10" s="1"/>
  <c r="K960" i="3"/>
  <c r="K960" i="10" s="1"/>
  <c r="G639" i="3"/>
  <c r="G639" i="10" s="1"/>
  <c r="F681" i="3"/>
  <c r="F681" i="10" s="1"/>
  <c r="K708" i="3"/>
  <c r="K708" i="10" s="1"/>
  <c r="G764" i="3"/>
  <c r="G764" i="10" s="1"/>
  <c r="G849" i="3"/>
  <c r="G849" i="10" s="1"/>
  <c r="K916" i="3"/>
  <c r="K916" i="10" s="1"/>
  <c r="K948" i="3"/>
  <c r="K948" i="10" s="1"/>
  <c r="G711" i="3"/>
  <c r="G711" i="10" s="1"/>
  <c r="G768" i="3"/>
  <c r="G768" i="10" s="1"/>
  <c r="F926" i="3"/>
  <c r="F926" i="10" s="1"/>
  <c r="G954" i="3"/>
  <c r="G954" i="10" s="1"/>
  <c r="G859" i="3"/>
  <c r="G859" i="10" s="1"/>
  <c r="K776" i="3"/>
  <c r="K776" i="10" s="1"/>
  <c r="K936" i="3"/>
  <c r="K936" i="10" s="1"/>
  <c r="G791" i="3"/>
  <c r="G791" i="10" s="1"/>
  <c r="G916" i="3"/>
  <c r="G916" i="10" s="1"/>
  <c r="K798" i="3"/>
  <c r="K798" i="10" s="1"/>
  <c r="G788" i="3"/>
  <c r="G788" i="10" s="1"/>
  <c r="K962" i="3"/>
  <c r="K962" i="10" s="1"/>
  <c r="G753" i="3"/>
  <c r="G753" i="10" s="1"/>
  <c r="G798" i="3"/>
  <c r="G798" i="10" s="1"/>
  <c r="G894" i="3"/>
  <c r="G894" i="10" s="1"/>
  <c r="F882" i="3"/>
  <c r="F882" i="10" s="1"/>
  <c r="G749" i="3"/>
  <c r="G749" i="10" s="1"/>
  <c r="G790" i="3"/>
  <c r="G790" i="10" s="1"/>
  <c r="G669" i="3"/>
  <c r="G669" i="10" s="1"/>
  <c r="F756" i="3"/>
  <c r="F756" i="10" s="1"/>
  <c r="F943" i="3"/>
  <c r="F943" i="10" s="1"/>
  <c r="K996" i="3"/>
  <c r="K996" i="10" s="1"/>
  <c r="F986" i="3"/>
  <c r="F986" i="10" s="1"/>
  <c r="K974" i="3"/>
  <c r="K974" i="10" s="1"/>
  <c r="K951" i="3"/>
  <c r="K951" i="10" s="1"/>
  <c r="K913" i="3"/>
  <c r="K913" i="10" s="1"/>
  <c r="F925" i="3"/>
  <c r="F925" i="10" s="1"/>
  <c r="G985" i="3"/>
  <c r="G985" i="10" s="1"/>
  <c r="K953" i="3"/>
  <c r="K953" i="10" s="1"/>
  <c r="F979" i="3"/>
  <c r="F979" i="10" s="1"/>
  <c r="K939" i="3"/>
  <c r="K939" i="10" s="1"/>
  <c r="K832" i="3"/>
  <c r="K832" i="10" s="1"/>
  <c r="F723" i="3"/>
  <c r="F723" i="10" s="1"/>
  <c r="F873" i="3"/>
  <c r="F873" i="10" s="1"/>
  <c r="F841" i="3"/>
  <c r="F841" i="10" s="1"/>
  <c r="K779" i="3"/>
  <c r="K779" i="10" s="1"/>
  <c r="K884" i="3"/>
  <c r="K884" i="10" s="1"/>
  <c r="G866" i="3"/>
  <c r="G866" i="10" s="1"/>
  <c r="G834" i="3"/>
  <c r="G834" i="10" s="1"/>
  <c r="G739" i="3"/>
  <c r="G739" i="10" s="1"/>
  <c r="K895" i="3"/>
  <c r="K895" i="10" s="1"/>
  <c r="G893" i="3"/>
  <c r="G893" i="10" s="1"/>
  <c r="K894" i="3"/>
  <c r="K894" i="10" s="1"/>
  <c r="K875" i="3"/>
  <c r="K875" i="10" s="1"/>
  <c r="F852" i="3"/>
  <c r="F852" i="10" s="1"/>
  <c r="F831" i="3"/>
  <c r="F831" i="10" s="1"/>
  <c r="G763" i="3"/>
  <c r="G763" i="10" s="1"/>
  <c r="F807" i="3"/>
  <c r="F807" i="10" s="1"/>
  <c r="G898" i="3"/>
  <c r="G898" i="10" s="1"/>
  <c r="F870" i="3"/>
  <c r="F870" i="10" s="1"/>
  <c r="F932" i="3"/>
  <c r="F932" i="10" s="1"/>
  <c r="G697" i="3"/>
  <c r="G697" i="10" s="1"/>
  <c r="G781" i="3"/>
  <c r="G781" i="10" s="1"/>
  <c r="G814" i="3"/>
  <c r="G814" i="10" s="1"/>
  <c r="F732" i="3"/>
  <c r="F732" i="10" s="1"/>
  <c r="G673" i="3"/>
  <c r="G673" i="10" s="1"/>
  <c r="G657" i="3"/>
  <c r="G657" i="10" s="1"/>
  <c r="K989" i="3"/>
  <c r="K989" i="10" s="1"/>
  <c r="K1000" i="3"/>
  <c r="K1000" i="10" s="1"/>
  <c r="F990" i="3"/>
  <c r="F990" i="10" s="1"/>
  <c r="F980" i="3"/>
  <c r="F980" i="10" s="1"/>
  <c r="F967" i="3"/>
  <c r="F967" i="10" s="1"/>
  <c r="G929" i="3"/>
  <c r="G929" i="10" s="1"/>
  <c r="G947" i="3"/>
  <c r="G947" i="10" s="1"/>
  <c r="F997" i="3"/>
  <c r="F997" i="10" s="1"/>
  <c r="G971" i="3"/>
  <c r="G971" i="10" s="1"/>
  <c r="G911" i="3"/>
  <c r="G911" i="10" s="1"/>
  <c r="F955" i="3"/>
  <c r="F955" i="10" s="1"/>
  <c r="G917" i="3"/>
  <c r="G917" i="10" s="1"/>
  <c r="G860" i="3"/>
  <c r="G860" i="10" s="1"/>
  <c r="K787" i="3"/>
  <c r="K787" i="10" s="1"/>
  <c r="K889" i="3"/>
  <c r="K889" i="10" s="1"/>
  <c r="K857" i="3"/>
  <c r="K857" i="10" s="1"/>
  <c r="K825" i="3"/>
  <c r="K825" i="10" s="1"/>
  <c r="K683" i="3"/>
  <c r="K683" i="10" s="1"/>
  <c r="K886" i="3"/>
  <c r="K886" i="10" s="1"/>
  <c r="K846" i="3"/>
  <c r="K846" i="10" s="1"/>
  <c r="K796" i="3"/>
  <c r="K796" i="10" s="1"/>
  <c r="G643" i="3"/>
  <c r="G643" i="10" s="1"/>
  <c r="G836" i="3"/>
  <c r="G836" i="10" s="1"/>
  <c r="G903" i="3"/>
  <c r="G903" i="10" s="1"/>
  <c r="F883" i="3"/>
  <c r="F883" i="10" s="1"/>
  <c r="K863" i="3"/>
  <c r="K863" i="10" s="1"/>
  <c r="F840" i="3"/>
  <c r="F840" i="10" s="1"/>
  <c r="K816" i="3"/>
  <c r="K816" i="10" s="1"/>
  <c r="F822" i="3"/>
  <c r="F822" i="10" s="1"/>
  <c r="G773" i="3"/>
  <c r="G773" i="10" s="1"/>
  <c r="G681" i="3"/>
  <c r="G681" i="10" s="1"/>
  <c r="K977" i="3"/>
  <c r="K977" i="10" s="1"/>
  <c r="K986" i="3"/>
  <c r="K986" i="10" s="1"/>
  <c r="K961" i="3"/>
  <c r="K961" i="10" s="1"/>
  <c r="K931" i="3"/>
  <c r="K931" i="10" s="1"/>
  <c r="F953" i="3"/>
  <c r="F953" i="10" s="1"/>
  <c r="K949" i="3"/>
  <c r="K949" i="10" s="1"/>
  <c r="K840" i="3"/>
  <c r="K840" i="10" s="1"/>
  <c r="F877" i="3"/>
  <c r="F877" i="10" s="1"/>
  <c r="K792" i="3"/>
  <c r="K792" i="10" s="1"/>
  <c r="G870" i="3"/>
  <c r="G870" i="10" s="1"/>
  <c r="K739" i="3"/>
  <c r="K739" i="10" s="1"/>
  <c r="F898" i="3"/>
  <c r="F898" i="10" s="1"/>
  <c r="F876" i="3"/>
  <c r="F876" i="10" s="1"/>
  <c r="K835" i="3"/>
  <c r="K835" i="10" s="1"/>
  <c r="K667" i="3"/>
  <c r="K667" i="10" s="1"/>
  <c r="K767" i="3"/>
  <c r="K767" i="10" s="1"/>
  <c r="K639" i="3"/>
  <c r="K639" i="10" s="1"/>
  <c r="F658" i="3"/>
  <c r="F658" i="10" s="1"/>
  <c r="F754" i="3"/>
  <c r="F754" i="10" s="1"/>
  <c r="F775" i="3"/>
  <c r="F775" i="10" s="1"/>
  <c r="G699" i="3"/>
  <c r="G699" i="10" s="1"/>
  <c r="G864" i="3"/>
  <c r="G864" i="10" s="1"/>
  <c r="K747" i="3"/>
  <c r="K747" i="10" s="1"/>
  <c r="G888" i="3"/>
  <c r="G888" i="10" s="1"/>
  <c r="K670" i="3"/>
  <c r="K670" i="10" s="1"/>
  <c r="K710" i="3"/>
  <c r="K710" i="10" s="1"/>
  <c r="K758" i="3"/>
  <c r="K758" i="10" s="1"/>
  <c r="K743" i="3"/>
  <c r="K743" i="10" s="1"/>
  <c r="K799" i="3"/>
  <c r="K799" i="10" s="1"/>
  <c r="K892" i="3"/>
  <c r="K892" i="10" s="1"/>
  <c r="K691" i="3"/>
  <c r="K691" i="10" s="1"/>
  <c r="K963" i="3"/>
  <c r="K963" i="10" s="1"/>
  <c r="F660" i="3"/>
  <c r="F660" i="10" s="1"/>
  <c r="F662" i="3"/>
  <c r="F662" i="10" s="1"/>
  <c r="F726" i="3"/>
  <c r="F726" i="10" s="1"/>
  <c r="F671" i="3"/>
  <c r="F671" i="10" s="1"/>
  <c r="G731" i="3"/>
  <c r="G731" i="10" s="1"/>
  <c r="K887" i="3"/>
  <c r="K887" i="10" s="1"/>
  <c r="K812" i="3"/>
  <c r="K812" i="10" s="1"/>
  <c r="K829" i="3"/>
  <c r="K829" i="10" s="1"/>
  <c r="G872" i="3"/>
  <c r="G872" i="10" s="1"/>
  <c r="K975" i="3"/>
  <c r="K975" i="10" s="1"/>
  <c r="G970" i="3"/>
  <c r="G970" i="10" s="1"/>
  <c r="F989" i="3"/>
  <c r="F989" i="10" s="1"/>
  <c r="G693" i="3"/>
  <c r="G693" i="10" s="1"/>
  <c r="F826" i="3"/>
  <c r="F826" i="10" s="1"/>
  <c r="F920" i="3"/>
  <c r="F920" i="10" s="1"/>
  <c r="F730" i="3"/>
  <c r="F730" i="10" s="1"/>
  <c r="F655" i="3"/>
  <c r="F655" i="10" s="1"/>
  <c r="F891" i="3"/>
  <c r="F891" i="10" s="1"/>
  <c r="K821" i="3"/>
  <c r="K821" i="10" s="1"/>
  <c r="K937" i="3"/>
  <c r="K937" i="10" s="1"/>
  <c r="G967" i="3"/>
  <c r="G967" i="10" s="1"/>
  <c r="K999" i="3"/>
  <c r="K999" i="10" s="1"/>
  <c r="G725" i="3"/>
  <c r="G725" i="10" s="1"/>
  <c r="F858" i="3"/>
  <c r="F858" i="10" s="1"/>
  <c r="F696" i="3"/>
  <c r="F696" i="10" s="1"/>
  <c r="K811" i="3"/>
  <c r="K811" i="10" s="1"/>
  <c r="F787" i="3"/>
  <c r="F787" i="10" s="1"/>
  <c r="K929" i="3"/>
  <c r="K929" i="10" s="1"/>
  <c r="F656" i="3"/>
  <c r="F656" i="10" s="1"/>
  <c r="K650" i="3"/>
  <c r="K650" i="10" s="1"/>
  <c r="K714" i="3"/>
  <c r="K714" i="10" s="1"/>
  <c r="K778" i="3"/>
  <c r="K778" i="10" s="1"/>
  <c r="K759" i="3"/>
  <c r="K759" i="10" s="1"/>
  <c r="K867" i="3"/>
  <c r="K867" i="10" s="1"/>
  <c r="K715" i="3"/>
  <c r="K715" i="10" s="1"/>
  <c r="K921" i="3"/>
  <c r="K921" i="10" s="1"/>
  <c r="F965" i="3"/>
  <c r="F965" i="10" s="1"/>
  <c r="F835" i="3"/>
  <c r="F835" i="10" s="1"/>
  <c r="G901" i="3"/>
  <c r="G901" i="10" s="1"/>
  <c r="K870" i="3"/>
  <c r="K870" i="10" s="1"/>
  <c r="K881" i="3"/>
  <c r="K881" i="10" s="1"/>
  <c r="G949" i="3"/>
  <c r="G949" i="10" s="1"/>
  <c r="F931" i="3"/>
  <c r="F931" i="10" s="1"/>
  <c r="G988" i="3"/>
  <c r="G988" i="10" s="1"/>
  <c r="F700" i="3"/>
  <c r="F700" i="10" s="1"/>
  <c r="F799" i="3"/>
  <c r="F799" i="10" s="1"/>
  <c r="F868" i="3"/>
  <c r="F868" i="10" s="1"/>
  <c r="K675" i="3"/>
  <c r="K675" i="10" s="1"/>
  <c r="F747" i="3"/>
  <c r="F747" i="10" s="1"/>
  <c r="K824" i="3"/>
  <c r="K824" i="10" s="1"/>
  <c r="F921" i="3"/>
  <c r="F921" i="10" s="1"/>
  <c r="K945" i="3"/>
  <c r="K945" i="10" s="1"/>
  <c r="K927" i="3"/>
  <c r="K927" i="10" s="1"/>
  <c r="F652" i="3"/>
  <c r="F652" i="10" s="1"/>
  <c r="G685" i="3"/>
  <c r="G685" i="10" s="1"/>
  <c r="G717" i="3"/>
  <c r="G717" i="10" s="1"/>
  <c r="G891" i="3"/>
  <c r="G891" i="10" s="1"/>
  <c r="K789" i="3"/>
  <c r="K789" i="10" s="1"/>
  <c r="G843" i="3"/>
  <c r="G843" i="10" s="1"/>
  <c r="K926" i="3"/>
  <c r="K926" i="10" s="1"/>
  <c r="G700" i="3"/>
  <c r="G700" i="10" s="1"/>
  <c r="K938" i="3"/>
  <c r="K938" i="10" s="1"/>
  <c r="G847" i="3"/>
  <c r="G847" i="10" s="1"/>
  <c r="G766" i="3"/>
  <c r="G766" i="10" s="1"/>
  <c r="G692" i="3"/>
  <c r="G692" i="10" s="1"/>
  <c r="G704" i="3"/>
  <c r="G704" i="10" s="1"/>
  <c r="G819" i="3"/>
  <c r="G819" i="10" s="1"/>
  <c r="F749" i="3"/>
  <c r="F749" i="10" s="1"/>
  <c r="G750" i="3"/>
  <c r="G750" i="10" s="1"/>
  <c r="G640" i="3"/>
  <c r="G640" i="10" s="1"/>
  <c r="G191" i="3"/>
  <c r="G191" i="10" s="1"/>
  <c r="K807" i="3"/>
  <c r="K807" i="10" s="1"/>
  <c r="G824" i="3"/>
  <c r="G824" i="10" s="1"/>
  <c r="K702" i="3"/>
  <c r="K702" i="10" s="1"/>
  <c r="K711" i="3"/>
  <c r="K711" i="10" s="1"/>
  <c r="G779" i="3"/>
  <c r="G779" i="10" s="1"/>
  <c r="G709" i="3"/>
  <c r="G709" i="10" s="1"/>
  <c r="F727" i="3"/>
  <c r="F727" i="10" s="1"/>
  <c r="F895" i="3"/>
  <c r="F895" i="10" s="1"/>
  <c r="G983" i="3"/>
  <c r="G983" i="10" s="1"/>
  <c r="G996" i="3"/>
  <c r="G996" i="10" s="1"/>
  <c r="K896" i="3"/>
  <c r="K896" i="10" s="1"/>
  <c r="F647" i="3"/>
  <c r="F647" i="10" s="1"/>
  <c r="G963" i="3"/>
  <c r="G963" i="10" s="1"/>
  <c r="K971" i="3"/>
  <c r="K971" i="10" s="1"/>
  <c r="K754" i="3"/>
  <c r="K754" i="10" s="1"/>
  <c r="G854" i="3"/>
  <c r="G854" i="10" s="1"/>
  <c r="F982" i="3"/>
  <c r="F982" i="10" s="1"/>
  <c r="K898" i="3"/>
  <c r="K898" i="10" s="1"/>
  <c r="G907" i="3"/>
  <c r="G907" i="10" s="1"/>
  <c r="F893" i="3"/>
  <c r="F893" i="10" s="1"/>
  <c r="K868" i="3"/>
  <c r="K868" i="10" s="1"/>
  <c r="F957" i="3"/>
  <c r="F957" i="10" s="1"/>
  <c r="G765" i="3"/>
  <c r="G765" i="10" s="1"/>
  <c r="G778" i="3"/>
  <c r="G778" i="10" s="1"/>
  <c r="F725" i="3"/>
  <c r="F725" i="10" s="1"/>
  <c r="G800" i="3"/>
  <c r="G800" i="10" s="1"/>
  <c r="G724" i="3"/>
  <c r="G724" i="10" s="1"/>
  <c r="K805" i="3"/>
  <c r="K805" i="10" s="1"/>
  <c r="F354" i="3"/>
  <c r="F354" i="10" s="1"/>
  <c r="F341" i="3"/>
  <c r="F341" i="10" s="1"/>
  <c r="F214" i="3"/>
  <c r="F214" i="10" s="1"/>
  <c r="F39" i="3"/>
  <c r="F39" i="10" s="1"/>
  <c r="K88" i="3"/>
  <c r="K88" i="10" s="1"/>
  <c r="G50" i="3"/>
  <c r="G50" i="10" s="1"/>
  <c r="G18" i="3"/>
  <c r="G18" i="10" s="1"/>
  <c r="K320" i="3"/>
  <c r="K320" i="10" s="1"/>
  <c r="K63" i="3"/>
  <c r="K63" i="10" s="1"/>
  <c r="F690" i="3"/>
  <c r="F690" i="10" s="1"/>
  <c r="F770" i="3"/>
  <c r="F770" i="10" s="1"/>
  <c r="F687" i="3"/>
  <c r="F687" i="10" s="1"/>
  <c r="K839" i="3"/>
  <c r="K839" i="10" s="1"/>
  <c r="G707" i="3"/>
  <c r="G707" i="10" s="1"/>
  <c r="K837" i="3"/>
  <c r="K837" i="10" s="1"/>
  <c r="G993" i="3"/>
  <c r="G993" i="10" s="1"/>
  <c r="K678" i="3"/>
  <c r="K678" i="10" s="1"/>
  <c r="K726" i="3"/>
  <c r="K726" i="10" s="1"/>
  <c r="K766" i="3"/>
  <c r="K766" i="10" s="1"/>
  <c r="K655" i="3"/>
  <c r="K655" i="10" s="1"/>
  <c r="F819" i="3"/>
  <c r="F819" i="10" s="1"/>
  <c r="F707" i="3"/>
  <c r="F707" i="10" s="1"/>
  <c r="K828" i="3"/>
  <c r="K828" i="10" s="1"/>
  <c r="F945" i="3"/>
  <c r="F945" i="10" s="1"/>
  <c r="F813" i="3"/>
  <c r="F813" i="10" s="1"/>
  <c r="F670" i="3"/>
  <c r="F670" i="10" s="1"/>
  <c r="F734" i="3"/>
  <c r="F734" i="10" s="1"/>
  <c r="F703" i="3"/>
  <c r="F703" i="10" s="1"/>
  <c r="K763" i="3"/>
  <c r="K763" i="10" s="1"/>
  <c r="G895" i="3"/>
  <c r="G895" i="10" s="1"/>
  <c r="K834" i="3"/>
  <c r="K834" i="10" s="1"/>
  <c r="K845" i="3"/>
  <c r="K845" i="10" s="1"/>
  <c r="F985" i="3"/>
  <c r="F985" i="10" s="1"/>
  <c r="F976" i="3"/>
  <c r="F976" i="10" s="1"/>
  <c r="G757" i="3"/>
  <c r="G757" i="10" s="1"/>
  <c r="F890" i="3"/>
  <c r="F890" i="10" s="1"/>
  <c r="F760" i="3"/>
  <c r="F760" i="10" s="1"/>
  <c r="F746" i="3"/>
  <c r="F746" i="10" s="1"/>
  <c r="F719" i="3"/>
  <c r="F719" i="10" s="1"/>
  <c r="K901" i="3"/>
  <c r="K901" i="10" s="1"/>
  <c r="K853" i="3"/>
  <c r="K853" i="10" s="1"/>
  <c r="G981" i="3"/>
  <c r="G981" i="10" s="1"/>
  <c r="K972" i="3"/>
  <c r="K972" i="10" s="1"/>
  <c r="F793" i="3"/>
  <c r="F793" i="10" s="1"/>
  <c r="F960" i="3"/>
  <c r="F960" i="10" s="1"/>
  <c r="F924" i="3"/>
  <c r="F924" i="10" s="1"/>
  <c r="F699" i="3"/>
  <c r="F699" i="10" s="1"/>
  <c r="F796" i="3"/>
  <c r="F796" i="10" s="1"/>
  <c r="K860" i="3"/>
  <c r="K860" i="10" s="1"/>
  <c r="K967" i="3"/>
  <c r="K967" i="10" s="1"/>
  <c r="F672" i="3"/>
  <c r="F672" i="10" s="1"/>
  <c r="K658" i="3"/>
  <c r="K658" i="10" s="1"/>
  <c r="K722" i="3"/>
  <c r="K722" i="10" s="1"/>
  <c r="K786" i="3"/>
  <c r="K786" i="10" s="1"/>
  <c r="K735" i="3"/>
  <c r="K735" i="10" s="1"/>
  <c r="G878" i="3"/>
  <c r="G878" i="10" s="1"/>
  <c r="F861" i="3"/>
  <c r="F861" i="10" s="1"/>
  <c r="F909" i="3"/>
  <c r="F909" i="10" s="1"/>
  <c r="F952" i="3"/>
  <c r="F952" i="10" s="1"/>
  <c r="F856" i="3"/>
  <c r="F856" i="10" s="1"/>
  <c r="F903" i="3"/>
  <c r="F903" i="10" s="1"/>
  <c r="F651" i="3"/>
  <c r="F651" i="10" s="1"/>
  <c r="F755" i="3"/>
  <c r="F755" i="10" s="1"/>
  <c r="F983" i="3"/>
  <c r="F983" i="10" s="1"/>
  <c r="G919" i="3"/>
  <c r="G919" i="10" s="1"/>
  <c r="G998" i="3"/>
  <c r="G998" i="10" s="1"/>
  <c r="G812" i="3"/>
  <c r="G812" i="10" s="1"/>
  <c r="G902" i="3"/>
  <c r="G902" i="10" s="1"/>
  <c r="K699" i="3"/>
  <c r="K699" i="10" s="1"/>
  <c r="K891" i="3"/>
  <c r="K891" i="10" s="1"/>
  <c r="G826" i="3"/>
  <c r="G826" i="10" s="1"/>
  <c r="F833" i="3"/>
  <c r="F833" i="10" s="1"/>
  <c r="K888" i="3"/>
  <c r="K888" i="10" s="1"/>
  <c r="K981" i="3"/>
  <c r="K981" i="10" s="1"/>
  <c r="G972" i="3"/>
  <c r="G972" i="10" s="1"/>
  <c r="F995" i="3"/>
  <c r="F995" i="10" s="1"/>
  <c r="F724" i="3"/>
  <c r="F724" i="10" s="1"/>
  <c r="F850" i="3"/>
  <c r="F850" i="10" s="1"/>
  <c r="G689" i="3"/>
  <c r="G689" i="10" s="1"/>
  <c r="K930" i="3"/>
  <c r="K930" i="10" s="1"/>
  <c r="G904" i="3"/>
  <c r="G904" i="10" s="1"/>
  <c r="G714" i="3"/>
  <c r="G714" i="10" s="1"/>
  <c r="G889" i="3"/>
  <c r="G889" i="10" s="1"/>
  <c r="K640" i="3"/>
  <c r="K640" i="10" s="1"/>
  <c r="G924" i="3"/>
  <c r="G924" i="10" s="1"/>
  <c r="K818" i="3"/>
  <c r="K818" i="10" s="1"/>
  <c r="K752" i="3"/>
  <c r="K752" i="10" s="1"/>
  <c r="K681" i="3"/>
  <c r="K681" i="10" s="1"/>
  <c r="G918" i="3"/>
  <c r="G918" i="10" s="1"/>
  <c r="F713" i="3"/>
  <c r="F713" i="10" s="1"/>
  <c r="G703" i="3"/>
  <c r="G703" i="10" s="1"/>
  <c r="G698" i="3"/>
  <c r="G698" i="10" s="1"/>
  <c r="F56" i="3"/>
  <c r="F56" i="10" s="1"/>
  <c r="F722" i="3"/>
  <c r="F722" i="10" s="1"/>
  <c r="F880" i="3"/>
  <c r="F880" i="10" s="1"/>
  <c r="G987" i="3"/>
  <c r="G987" i="10" s="1"/>
  <c r="K742" i="3"/>
  <c r="K742" i="10" s="1"/>
  <c r="F871" i="3"/>
  <c r="F871" i="10" s="1"/>
  <c r="G943" i="3"/>
  <c r="G943" i="10" s="1"/>
  <c r="F702" i="3"/>
  <c r="F702" i="10" s="1"/>
  <c r="K855" i="3"/>
  <c r="K855" i="10" s="1"/>
  <c r="K723" i="3"/>
  <c r="K723" i="10" s="1"/>
  <c r="F827" i="3"/>
  <c r="F827" i="10" s="1"/>
  <c r="F907" i="3"/>
  <c r="F907" i="10" s="1"/>
  <c r="F994" i="3"/>
  <c r="F994" i="10" s="1"/>
  <c r="F905" i="3"/>
  <c r="F905" i="10" s="1"/>
  <c r="K883" i="3"/>
  <c r="K883" i="10" s="1"/>
  <c r="F987" i="3"/>
  <c r="F987" i="10" s="1"/>
  <c r="K663" i="3"/>
  <c r="K663" i="10" s="1"/>
  <c r="K923" i="3"/>
  <c r="K923" i="10" s="1"/>
  <c r="G906" i="3"/>
  <c r="G906" i="10" s="1"/>
  <c r="K849" i="3"/>
  <c r="K849" i="10" s="1"/>
  <c r="K976" i="3"/>
  <c r="K976" i="10" s="1"/>
  <c r="F928" i="3"/>
  <c r="F928" i="10" s="1"/>
  <c r="K864" i="3"/>
  <c r="K864" i="10" s="1"/>
  <c r="K973" i="3"/>
  <c r="K973" i="10" s="1"/>
  <c r="G835" i="3"/>
  <c r="G835" i="10" s="1"/>
  <c r="F954" i="3"/>
  <c r="F954" i="10" s="1"/>
  <c r="G879" i="3"/>
  <c r="G879" i="10" s="1"/>
  <c r="G795" i="3"/>
  <c r="G795" i="10" s="1"/>
  <c r="F422" i="3"/>
  <c r="F422" i="10" s="1"/>
  <c r="G303" i="3"/>
  <c r="G303" i="10" s="1"/>
  <c r="G330" i="3"/>
  <c r="G330" i="10" s="1"/>
  <c r="G62" i="3"/>
  <c r="G62" i="10" s="1"/>
  <c r="G32" i="3"/>
  <c r="G32" i="10" s="1"/>
  <c r="K465" i="3"/>
  <c r="K465" i="10" s="1"/>
  <c r="K129" i="3"/>
  <c r="K129" i="10" s="1"/>
  <c r="K97" i="3"/>
  <c r="K97" i="10" s="1"/>
  <c r="F706" i="3"/>
  <c r="F706" i="10" s="1"/>
  <c r="F786" i="3"/>
  <c r="F786" i="10" s="1"/>
  <c r="F783" i="3"/>
  <c r="F783" i="10" s="1"/>
  <c r="F859" i="3"/>
  <c r="F859" i="10" s="1"/>
  <c r="K826" i="3"/>
  <c r="K826" i="10" s="1"/>
  <c r="F691" i="3"/>
  <c r="F691" i="10" s="1"/>
  <c r="F959" i="3"/>
  <c r="F959" i="10" s="1"/>
  <c r="K646" i="3"/>
  <c r="K646" i="10" s="1"/>
  <c r="K694" i="3"/>
  <c r="K694" i="10" s="1"/>
  <c r="K734" i="3"/>
  <c r="K734" i="10" s="1"/>
  <c r="K774" i="3"/>
  <c r="K774" i="10" s="1"/>
  <c r="K679" i="3"/>
  <c r="K679" i="10" s="1"/>
  <c r="K687" i="3"/>
  <c r="K687" i="10" s="1"/>
  <c r="K851" i="3"/>
  <c r="K851" i="10" s="1"/>
  <c r="K880" i="3"/>
  <c r="K880" i="10" s="1"/>
  <c r="K979" i="3"/>
  <c r="K979" i="10" s="1"/>
  <c r="K994" i="3"/>
  <c r="K994" i="10" s="1"/>
  <c r="G777" i="3"/>
  <c r="G777" i="10" s="1"/>
  <c r="F862" i="3"/>
  <c r="F862" i="10" s="1"/>
  <c r="F694" i="3"/>
  <c r="F694" i="10" s="1"/>
  <c r="F758" i="3"/>
  <c r="F758" i="10" s="1"/>
  <c r="F695" i="3"/>
  <c r="F695" i="10" s="1"/>
  <c r="K791" i="3"/>
  <c r="K791" i="10" s="1"/>
  <c r="F843" i="3"/>
  <c r="F843" i="10" s="1"/>
  <c r="G844" i="3"/>
  <c r="G844" i="10" s="1"/>
  <c r="F906" i="3"/>
  <c r="F906" i="10" s="1"/>
  <c r="G659" i="3"/>
  <c r="G659" i="10" s="1"/>
  <c r="G969" i="3"/>
  <c r="G969" i="10" s="1"/>
  <c r="F947" i="3"/>
  <c r="F947" i="10" s="1"/>
  <c r="F992" i="3"/>
  <c r="F992" i="10" s="1"/>
  <c r="F744" i="3"/>
  <c r="F744" i="10" s="1"/>
  <c r="G721" i="3"/>
  <c r="G721" i="10" s="1"/>
  <c r="F666" i="3"/>
  <c r="F666" i="10" s="1"/>
  <c r="K731" i="3"/>
  <c r="K731" i="10" s="1"/>
  <c r="K771" i="3"/>
  <c r="K771" i="10" s="1"/>
  <c r="G852" i="3"/>
  <c r="G852" i="10" s="1"/>
  <c r="G941" i="3"/>
  <c r="G941" i="10" s="1"/>
  <c r="K988" i="3"/>
  <c r="K988" i="10" s="1"/>
  <c r="F776" i="3"/>
  <c r="F776" i="10" s="1"/>
  <c r="G785" i="3"/>
  <c r="G785" i="10" s="1"/>
  <c r="F860" i="3"/>
  <c r="F860" i="10" s="1"/>
  <c r="F683" i="3"/>
  <c r="F683" i="10" s="1"/>
  <c r="F993" i="3"/>
  <c r="F993" i="10" s="1"/>
  <c r="G1000" i="3"/>
  <c r="G1000" i="10" s="1"/>
  <c r="K682" i="3"/>
  <c r="K682" i="10" s="1"/>
  <c r="K746" i="3"/>
  <c r="K746" i="10" s="1"/>
  <c r="K815" i="3"/>
  <c r="K815" i="10" s="1"/>
  <c r="G675" i="3"/>
  <c r="G675" i="10" s="1"/>
  <c r="K820" i="3"/>
  <c r="K820" i="10" s="1"/>
  <c r="K935" i="3"/>
  <c r="K935" i="10" s="1"/>
  <c r="G677" i="3"/>
  <c r="G677" i="10" s="1"/>
  <c r="K879" i="3"/>
  <c r="K879" i="10" s="1"/>
  <c r="G771" i="3"/>
  <c r="G771" i="10" s="1"/>
  <c r="F808" i="3"/>
  <c r="F808" i="10" s="1"/>
  <c r="G840" i="3"/>
  <c r="G840" i="10" s="1"/>
  <c r="G959" i="3"/>
  <c r="G959" i="10" s="1"/>
  <c r="G961" i="3"/>
  <c r="G961" i="10" s="1"/>
  <c r="F977" i="3"/>
  <c r="F977" i="10" s="1"/>
  <c r="F780" i="3"/>
  <c r="F780" i="10" s="1"/>
  <c r="F830" i="3"/>
  <c r="F830" i="10" s="1"/>
  <c r="K827" i="3"/>
  <c r="K827" i="10" s="1"/>
  <c r="G882" i="3"/>
  <c r="G882" i="10" s="1"/>
  <c r="G858" i="3"/>
  <c r="G858" i="10" s="1"/>
  <c r="F865" i="3"/>
  <c r="F865" i="10" s="1"/>
  <c r="K933" i="3"/>
  <c r="K933" i="10" s="1"/>
  <c r="K915" i="3"/>
  <c r="K915" i="10" s="1"/>
  <c r="G982" i="3"/>
  <c r="G982" i="10" s="1"/>
  <c r="G661" i="3"/>
  <c r="G661" i="10" s="1"/>
  <c r="F901" i="3"/>
  <c r="F901" i="10" s="1"/>
  <c r="G851" i="3"/>
  <c r="G851" i="10" s="1"/>
  <c r="K968" i="3"/>
  <c r="K968" i="10" s="1"/>
  <c r="G654" i="3"/>
  <c r="G654" i="10" s="1"/>
  <c r="K772" i="3"/>
  <c r="K772" i="10" s="1"/>
  <c r="G962" i="3"/>
  <c r="G962" i="10" s="1"/>
  <c r="K912" i="3"/>
  <c r="K912" i="10" s="1"/>
  <c r="G808" i="3"/>
  <c r="G808" i="10" s="1"/>
  <c r="K744" i="3"/>
  <c r="K744" i="10" s="1"/>
  <c r="G664" i="3"/>
  <c r="G664" i="10" s="1"/>
  <c r="G754" i="3"/>
  <c r="G754" i="10" s="1"/>
  <c r="F765" i="3"/>
  <c r="F765" i="10" s="1"/>
  <c r="G656" i="3"/>
  <c r="G656" i="10" s="1"/>
  <c r="F11" i="3"/>
  <c r="F11" i="10" s="1"/>
  <c r="K326" i="3"/>
  <c r="K326" i="10" s="1"/>
  <c r="F384" i="3"/>
  <c r="F384" i="10" s="1"/>
  <c r="G437" i="3"/>
  <c r="G437" i="10" s="1"/>
  <c r="G439" i="3"/>
  <c r="G439" i="10" s="1"/>
  <c r="G327" i="3"/>
  <c r="G327" i="10" s="1"/>
  <c r="G366" i="3"/>
  <c r="G366" i="10" s="1"/>
  <c r="K298" i="3"/>
  <c r="K298" i="10" s="1"/>
  <c r="F183" i="3"/>
  <c r="F183" i="10" s="1"/>
  <c r="F322" i="3"/>
  <c r="F322" i="10" s="1"/>
  <c r="F342" i="3"/>
  <c r="F342" i="10" s="1"/>
  <c r="G204" i="3"/>
  <c r="G204" i="10" s="1"/>
  <c r="F25" i="3"/>
  <c r="F25" i="10" s="1"/>
  <c r="K469" i="3"/>
  <c r="K469" i="10" s="1"/>
  <c r="K229" i="3"/>
  <c r="K229" i="10" s="1"/>
  <c r="K170" i="3"/>
  <c r="K170" i="10" s="1"/>
  <c r="G42" i="3"/>
  <c r="G42" i="10" s="1"/>
  <c r="G91" i="3"/>
  <c r="G91" i="10" s="1"/>
  <c r="K103" i="3"/>
  <c r="K103" i="10" s="1"/>
  <c r="G19" i="3"/>
  <c r="G19" i="10" s="1"/>
  <c r="K173" i="3"/>
  <c r="K173" i="10" s="1"/>
  <c r="G17" i="3"/>
  <c r="G17" i="10" s="1"/>
  <c r="F51" i="3"/>
  <c r="F51" i="10" s="1"/>
  <c r="F343" i="3"/>
  <c r="F343" i="10" s="1"/>
  <c r="F270" i="3"/>
  <c r="F270" i="10" s="1"/>
  <c r="K241" i="3"/>
  <c r="K241" i="10" s="1"/>
  <c r="K226" i="3"/>
  <c r="K226" i="10" s="1"/>
  <c r="K494" i="3"/>
  <c r="K494" i="10" s="1"/>
  <c r="F390" i="3"/>
  <c r="F390" i="10" s="1"/>
  <c r="F531" i="3"/>
  <c r="F531" i="10" s="1"/>
  <c r="K475" i="3"/>
  <c r="K475" i="10" s="1"/>
  <c r="K412" i="3"/>
  <c r="K412" i="10" s="1"/>
  <c r="F321" i="3"/>
  <c r="F321" i="10" s="1"/>
  <c r="F350" i="3"/>
  <c r="F350" i="10" s="1"/>
  <c r="F276" i="3"/>
  <c r="F276" i="10" s="1"/>
  <c r="F365" i="3"/>
  <c r="F365" i="10" s="1"/>
  <c r="F301" i="3"/>
  <c r="F301" i="10" s="1"/>
  <c r="F267" i="3"/>
  <c r="F267" i="10" s="1"/>
  <c r="G254" i="3"/>
  <c r="G254" i="10" s="1"/>
  <c r="G377" i="3"/>
  <c r="G377" i="10" s="1"/>
  <c r="F221" i="3"/>
  <c r="F221" i="10" s="1"/>
  <c r="G154" i="3"/>
  <c r="G154" i="10" s="1"/>
  <c r="K137" i="3"/>
  <c r="K137" i="10" s="1"/>
  <c r="K83" i="3"/>
  <c r="K83" i="10" s="1"/>
  <c r="G95" i="3"/>
  <c r="G95" i="10" s="1"/>
  <c r="K109" i="3"/>
  <c r="K109" i="10" s="1"/>
  <c r="K171" i="3"/>
  <c r="K171" i="10" s="1"/>
  <c r="K153" i="3"/>
  <c r="K153" i="10" s="1"/>
  <c r="G261" i="3"/>
  <c r="G261" i="10" s="1"/>
  <c r="F219" i="3"/>
  <c r="F219" i="10" s="1"/>
  <c r="F509" i="3"/>
  <c r="F509" i="10" s="1"/>
  <c r="K427" i="3"/>
  <c r="K427" i="10" s="1"/>
  <c r="K523" i="3"/>
  <c r="K523" i="10" s="1"/>
  <c r="F477" i="3"/>
  <c r="F477" i="10" s="1"/>
  <c r="K294" i="3"/>
  <c r="K294" i="10" s="1"/>
  <c r="F363" i="3"/>
  <c r="F363" i="10" s="1"/>
  <c r="K330" i="3"/>
  <c r="K330" i="10" s="1"/>
  <c r="F244" i="3"/>
  <c r="F244" i="10" s="1"/>
  <c r="G349" i="3"/>
  <c r="G349" i="10" s="1"/>
  <c r="F293" i="3"/>
  <c r="F293" i="10" s="1"/>
  <c r="K201" i="3"/>
  <c r="K201" i="10" s="1"/>
  <c r="K246" i="3"/>
  <c r="K246" i="10" s="1"/>
  <c r="G29" i="3"/>
  <c r="G29" i="10" s="1"/>
  <c r="F259" i="3"/>
  <c r="F259" i="10" s="1"/>
  <c r="G205" i="3"/>
  <c r="G205" i="10" s="1"/>
  <c r="G144" i="3"/>
  <c r="G144" i="10" s="1"/>
  <c r="K133" i="3"/>
  <c r="K133" i="10" s="1"/>
  <c r="G15" i="3"/>
  <c r="G15" i="10" s="1"/>
  <c r="F57" i="3"/>
  <c r="F57" i="10" s="1"/>
  <c r="K5" i="3"/>
  <c r="K5" i="10" s="1"/>
  <c r="F93" i="3"/>
  <c r="F93" i="10" s="1"/>
  <c r="G107" i="3"/>
  <c r="G107" i="10" s="1"/>
  <c r="G188" i="3"/>
  <c r="G188" i="10" s="1"/>
  <c r="F285" i="3"/>
  <c r="F285" i="10" s="1"/>
  <c r="F463" i="3"/>
  <c r="F463" i="10" s="1"/>
  <c r="K496" i="3"/>
  <c r="K496" i="10" s="1"/>
  <c r="K374" i="3"/>
  <c r="K374" i="10" s="1"/>
  <c r="F189" i="3"/>
  <c r="F189" i="10" s="1"/>
  <c r="G252" i="3"/>
  <c r="G252" i="10" s="1"/>
  <c r="F15" i="3"/>
  <c r="F15" i="10" s="1"/>
  <c r="F538" i="3"/>
  <c r="F538" i="10" s="1"/>
  <c r="F437" i="3"/>
  <c r="F437" i="10" s="1"/>
  <c r="G386" i="3"/>
  <c r="G386" i="10" s="1"/>
  <c r="K350" i="3"/>
  <c r="K350" i="10" s="1"/>
  <c r="G302" i="3"/>
  <c r="G302" i="10" s="1"/>
  <c r="K346" i="3"/>
  <c r="K346" i="10" s="1"/>
  <c r="K295" i="3"/>
  <c r="K295" i="10" s="1"/>
  <c r="F210" i="3"/>
  <c r="F210" i="10" s="1"/>
  <c r="F349" i="3"/>
  <c r="F349" i="10" s="1"/>
  <c r="G298" i="3"/>
  <c r="G298" i="10" s="1"/>
  <c r="K358" i="3"/>
  <c r="K358" i="10" s="1"/>
  <c r="F201" i="3"/>
  <c r="F201" i="10" s="1"/>
  <c r="K254" i="3"/>
  <c r="K254" i="10" s="1"/>
  <c r="G14" i="3"/>
  <c r="G14" i="10" s="1"/>
  <c r="G469" i="3"/>
  <c r="G469" i="10" s="1"/>
  <c r="K243" i="3"/>
  <c r="K243" i="10" s="1"/>
  <c r="K205" i="3"/>
  <c r="K205" i="10" s="1"/>
  <c r="K146" i="3"/>
  <c r="K146" i="10" s="1"/>
  <c r="K60" i="3"/>
  <c r="K60" i="10" s="1"/>
  <c r="K48" i="3"/>
  <c r="K48" i="10" s="1"/>
  <c r="G38" i="3"/>
  <c r="G38" i="10" s="1"/>
  <c r="K22" i="3"/>
  <c r="K22" i="10" s="1"/>
  <c r="G129" i="3"/>
  <c r="G129" i="10" s="1"/>
  <c r="G11" i="3"/>
  <c r="G11" i="10" s="1"/>
  <c r="G103" i="3"/>
  <c r="G103" i="10" s="1"/>
  <c r="K57" i="3"/>
  <c r="K57" i="10" s="1"/>
  <c r="G49" i="3"/>
  <c r="G49" i="10" s="1"/>
  <c r="G13" i="3"/>
  <c r="G13" i="10" s="1"/>
  <c r="F12" i="3"/>
  <c r="F12" i="10" s="1"/>
  <c r="F105" i="3"/>
  <c r="F105" i="10" s="1"/>
  <c r="F9" i="3"/>
  <c r="F9" i="10" s="1"/>
  <c r="G173" i="3"/>
  <c r="G173" i="10" s="1"/>
  <c r="G109" i="3"/>
  <c r="G109" i="10" s="1"/>
  <c r="K93" i="3"/>
  <c r="K93" i="10" s="1"/>
  <c r="F55" i="3"/>
  <c r="F55" i="10" s="1"/>
  <c r="G16" i="3"/>
  <c r="G16" i="10" s="1"/>
  <c r="G171" i="3"/>
  <c r="G171" i="10" s="1"/>
  <c r="F99" i="3"/>
  <c r="F99" i="10" s="1"/>
  <c r="G97" i="3"/>
  <c r="G97" i="10" s="1"/>
  <c r="K51" i="3"/>
  <c r="K51" i="10" s="1"/>
  <c r="F145" i="3"/>
  <c r="F145" i="10" s="1"/>
  <c r="K419" i="3"/>
  <c r="K419" i="10" s="1"/>
  <c r="G291" i="3"/>
  <c r="G291" i="10" s="1"/>
  <c r="F240" i="3"/>
  <c r="F240" i="10" s="1"/>
  <c r="K344" i="3"/>
  <c r="K344" i="10" s="1"/>
  <c r="G249" i="3"/>
  <c r="G249" i="10" s="1"/>
  <c r="G189" i="3"/>
  <c r="G189" i="10" s="1"/>
  <c r="K467" i="3"/>
  <c r="K467" i="10" s="1"/>
  <c r="G344" i="3"/>
  <c r="G344" i="10" s="1"/>
  <c r="F386" i="3"/>
  <c r="F386" i="10" s="1"/>
  <c r="F227" i="3"/>
  <c r="F227" i="10" s="1"/>
  <c r="K394" i="3"/>
  <c r="K394" i="10" s="1"/>
  <c r="K522" i="3"/>
  <c r="K522" i="10" s="1"/>
  <c r="F499" i="3"/>
  <c r="F499" i="10" s="1"/>
  <c r="F404" i="3"/>
  <c r="F404" i="10" s="1"/>
  <c r="G183" i="3"/>
  <c r="G183" i="10" s="1"/>
  <c r="K194" i="3"/>
  <c r="K194" i="10" s="1"/>
  <c r="F278" i="3"/>
  <c r="F278" i="10" s="1"/>
  <c r="F238" i="3"/>
  <c r="F238" i="10" s="1"/>
  <c r="K328" i="3"/>
  <c r="K328" i="10" s="1"/>
  <c r="K181" i="3"/>
  <c r="K181" i="10" s="1"/>
  <c r="K234" i="3"/>
  <c r="K234" i="10" s="1"/>
  <c r="K413" i="3"/>
  <c r="K413" i="10" s="1"/>
  <c r="K228" i="3"/>
  <c r="K228" i="10" s="1"/>
  <c r="F336" i="3"/>
  <c r="F336" i="10" s="1"/>
  <c r="G244" i="3"/>
  <c r="G244" i="10" s="1"/>
  <c r="F50" i="3"/>
  <c r="F50" i="10" s="1"/>
  <c r="F382" i="3"/>
  <c r="F382" i="10" s="1"/>
  <c r="K2" i="3"/>
  <c r="K2" i="10" s="1"/>
  <c r="F170" i="3"/>
  <c r="F170" i="10" s="1"/>
  <c r="F180" i="3"/>
  <c r="F180" i="10" s="1"/>
  <c r="K3" i="3"/>
  <c r="K3" i="10" s="1"/>
  <c r="F18" i="3"/>
  <c r="F18" i="10" s="1"/>
  <c r="G239" i="3"/>
  <c r="G239" i="10" s="1"/>
  <c r="F406" i="3"/>
  <c r="F406" i="10" s="1"/>
  <c r="G471" i="3"/>
  <c r="G471" i="10" s="1"/>
  <c r="F48" i="3"/>
  <c r="F48" i="10" s="1"/>
  <c r="F129" i="3"/>
  <c r="F129" i="10" s="1"/>
  <c r="F137" i="3"/>
  <c r="F137" i="10" s="1"/>
  <c r="K245" i="3"/>
  <c r="K245" i="10" s="1"/>
  <c r="K262" i="3"/>
  <c r="K262" i="10" s="1"/>
  <c r="G283" i="3"/>
  <c r="G283" i="10" s="1"/>
  <c r="K497" i="3"/>
  <c r="K497" i="10" s="1"/>
  <c r="K196" i="3"/>
  <c r="K196" i="10" s="1"/>
  <c r="G218" i="3"/>
  <c r="G218" i="10" s="1"/>
  <c r="K235" i="3"/>
  <c r="K235" i="10" s="1"/>
  <c r="F296" i="3"/>
  <c r="F296" i="10" s="1"/>
  <c r="F374" i="3"/>
  <c r="F374" i="10" s="1"/>
  <c r="G427" i="3"/>
  <c r="G427" i="10" s="1"/>
  <c r="F419" i="3"/>
  <c r="F419" i="10" s="1"/>
  <c r="K304" i="3"/>
  <c r="K304" i="10" s="1"/>
  <c r="G529" i="3"/>
  <c r="G529" i="10" s="1"/>
  <c r="F525" i="3"/>
  <c r="F525" i="10" s="1"/>
  <c r="G296" i="3"/>
  <c r="G296" i="10" s="1"/>
  <c r="F497" i="3"/>
  <c r="F497" i="10" s="1"/>
  <c r="F181" i="3"/>
  <c r="F181" i="10" s="1"/>
  <c r="G497" i="3"/>
  <c r="G497" i="10" s="1"/>
  <c r="K204" i="3"/>
  <c r="K204" i="10" s="1"/>
  <c r="G238" i="3"/>
  <c r="G238" i="10" s="1"/>
  <c r="K388" i="3"/>
  <c r="K388" i="10" s="1"/>
  <c r="F519" i="3"/>
  <c r="F519" i="10" s="1"/>
  <c r="F527" i="3"/>
  <c r="F527" i="10" s="1"/>
  <c r="F191" i="3"/>
  <c r="F191" i="10" s="1"/>
  <c r="K210" i="3"/>
  <c r="K210" i="10" s="1"/>
  <c r="G388" i="3"/>
  <c r="G388" i="10" s="1"/>
  <c r="G186" i="3"/>
  <c r="G186" i="10" s="1"/>
  <c r="K269" i="3"/>
  <c r="K269" i="10" s="1"/>
  <c r="K404" i="3"/>
  <c r="K404" i="10" s="1"/>
  <c r="K463" i="3"/>
  <c r="K463" i="10" s="1"/>
  <c r="K499" i="3"/>
  <c r="K499" i="10" s="1"/>
  <c r="F494" i="3"/>
  <c r="F494" i="10" s="1"/>
  <c r="F376" i="3"/>
  <c r="F376" i="10" s="1"/>
  <c r="G410" i="3"/>
  <c r="G410" i="10" s="1"/>
  <c r="G351" i="3"/>
  <c r="G351" i="10" s="1"/>
  <c r="F211" i="3"/>
  <c r="F211" i="10" s="1"/>
  <c r="K276" i="3"/>
  <c r="K276" i="10" s="1"/>
  <c r="G299" i="3"/>
  <c r="G299" i="10" s="1"/>
  <c r="K364" i="3"/>
  <c r="K364" i="10" s="1"/>
  <c r="K402" i="3"/>
  <c r="K402" i="10" s="1"/>
  <c r="F14" i="3"/>
  <c r="F14" i="10" s="1"/>
  <c r="G253" i="3"/>
  <c r="G253" i="10" s="1"/>
  <c r="K336" i="3"/>
  <c r="K336" i="10" s="1"/>
  <c r="F375" i="3"/>
  <c r="F375" i="10" s="1"/>
  <c r="G415" i="3"/>
  <c r="G415" i="10" s="1"/>
  <c r="G467" i="3"/>
  <c r="G467" i="10" s="1"/>
  <c r="F2" i="3"/>
  <c r="F2" i="10" s="1"/>
  <c r="K195" i="3"/>
  <c r="K195" i="10" s="1"/>
  <c r="K227" i="3"/>
  <c r="K227" i="10" s="1"/>
  <c r="K240" i="3"/>
  <c r="K240" i="10" s="1"/>
  <c r="G268" i="3"/>
  <c r="G268" i="10" s="1"/>
  <c r="K285" i="3"/>
  <c r="K285" i="10" s="1"/>
  <c r="G336" i="3"/>
  <c r="G336" i="10" s="1"/>
  <c r="K382" i="3"/>
  <c r="K382" i="10" s="1"/>
  <c r="F512" i="3"/>
  <c r="F512" i="10" s="1"/>
  <c r="F10" i="3"/>
  <c r="F10" i="10" s="1"/>
  <c r="F196" i="3"/>
  <c r="F196" i="10" s="1"/>
  <c r="F228" i="3"/>
  <c r="F228" i="10" s="1"/>
  <c r="F245" i="3"/>
  <c r="F245" i="10" s="1"/>
  <c r="F146" i="3"/>
  <c r="F146" i="10" s="1"/>
  <c r="G181" i="3"/>
  <c r="G181" i="10" s="1"/>
  <c r="K11" i="3"/>
  <c r="K11" i="10" s="1"/>
  <c r="F88" i="3"/>
  <c r="F88" i="10" s="1"/>
  <c r="F408" i="3"/>
  <c r="F408" i="10" s="1"/>
  <c r="F32" i="3"/>
  <c r="F32" i="10" s="1"/>
  <c r="F62" i="3"/>
  <c r="F62" i="10" s="1"/>
  <c r="F144" i="3"/>
  <c r="F144" i="10" s="1"/>
  <c r="G260" i="3"/>
  <c r="G260" i="10" s="1"/>
  <c r="G277" i="3"/>
  <c r="G277" i="10" s="1"/>
  <c r="G329" i="3"/>
  <c r="G329" i="10" s="1"/>
  <c r="G202" i="3"/>
  <c r="G202" i="10" s="1"/>
  <c r="G234" i="3"/>
  <c r="G234" i="10" s="1"/>
  <c r="K302" i="3"/>
  <c r="K302" i="10" s="1"/>
  <c r="K418" i="3"/>
  <c r="K418" i="10" s="1"/>
  <c r="K218" i="3"/>
  <c r="K218" i="10" s="1"/>
  <c r="K260" i="3"/>
  <c r="K260" i="10" s="1"/>
  <c r="G482" i="3"/>
  <c r="G482" i="10" s="1"/>
  <c r="F328" i="3"/>
  <c r="F328" i="10" s="1"/>
  <c r="F529" i="3"/>
  <c r="F529" i="10" s="1"/>
  <c r="G494" i="3"/>
  <c r="G494" i="10" s="1"/>
  <c r="K252" i="3"/>
  <c r="K252" i="10" s="1"/>
  <c r="F204" i="3"/>
  <c r="F204" i="10" s="1"/>
  <c r="K238" i="3"/>
  <c r="K238" i="10" s="1"/>
  <c r="F523" i="3"/>
  <c r="F523" i="10" s="1"/>
  <c r="K527" i="3"/>
  <c r="K527" i="10" s="1"/>
  <c r="G210" i="3"/>
  <c r="G210" i="10" s="1"/>
  <c r="K516" i="3"/>
  <c r="K516" i="10" s="1"/>
  <c r="K183" i="3"/>
  <c r="K183" i="10" s="1"/>
  <c r="F269" i="3"/>
  <c r="F269" i="10" s="1"/>
  <c r="G404" i="3"/>
  <c r="G404" i="10" s="1"/>
  <c r="G491" i="3"/>
  <c r="G491" i="10" s="1"/>
  <c r="K524" i="3"/>
  <c r="K524" i="10" s="1"/>
  <c r="K526" i="3"/>
  <c r="K526" i="10" s="1"/>
  <c r="K410" i="3"/>
  <c r="K410" i="10" s="1"/>
  <c r="F6" i="3"/>
  <c r="F6" i="10" s="1"/>
  <c r="G276" i="3"/>
  <c r="G276" i="10" s="1"/>
  <c r="F307" i="3"/>
  <c r="F307" i="10" s="1"/>
  <c r="K386" i="3"/>
  <c r="K386" i="10" s="1"/>
  <c r="K189" i="3"/>
  <c r="K189" i="10" s="1"/>
  <c r="K299" i="3"/>
  <c r="K299" i="10" s="1"/>
  <c r="G364" i="3"/>
  <c r="G364" i="10" s="1"/>
  <c r="F415" i="3"/>
  <c r="F415" i="10" s="1"/>
  <c r="K473" i="3"/>
  <c r="K473" i="10" s="1"/>
  <c r="K211" i="3"/>
  <c r="K211" i="10" s="1"/>
  <c r="F235" i="3"/>
  <c r="F235" i="10" s="1"/>
  <c r="F262" i="3"/>
  <c r="F262" i="10" s="1"/>
  <c r="K292" i="3"/>
  <c r="K292" i="10" s="1"/>
  <c r="K363" i="3"/>
  <c r="K363" i="10" s="1"/>
  <c r="F473" i="3"/>
  <c r="F473" i="10" s="1"/>
  <c r="G180" i="3"/>
  <c r="G180" i="10" s="1"/>
  <c r="F199" i="3"/>
  <c r="F199" i="10" s="1"/>
  <c r="G245" i="3"/>
  <c r="G245" i="10" s="1"/>
  <c r="F277" i="3"/>
  <c r="F277" i="10" s="1"/>
  <c r="G292" i="3"/>
  <c r="G292" i="10" s="1"/>
  <c r="G363" i="3"/>
  <c r="G363" i="10" s="1"/>
  <c r="F431" i="3"/>
  <c r="F431" i="10" s="1"/>
  <c r="F467" i="3"/>
  <c r="F467" i="10" s="1"/>
  <c r="G145" i="3"/>
  <c r="G145" i="10" s="1"/>
  <c r="G169" i="3"/>
  <c r="G169" i="10" s="1"/>
  <c r="F21" i="3"/>
  <c r="F21" i="10" s="1"/>
  <c r="G59" i="3"/>
  <c r="G59" i="10" s="1"/>
  <c r="K67" i="3"/>
  <c r="K67" i="10" s="1"/>
  <c r="F97" i="3"/>
  <c r="F97" i="10" s="1"/>
  <c r="G99" i="3"/>
  <c r="G99" i="10" s="1"/>
  <c r="K107" i="3"/>
  <c r="K107" i="10" s="1"/>
  <c r="F139" i="3"/>
  <c r="F139" i="10" s="1"/>
  <c r="F171" i="3"/>
  <c r="F171" i="10" s="1"/>
  <c r="K16" i="3"/>
  <c r="K16" i="10" s="1"/>
  <c r="K17" i="3"/>
  <c r="K17" i="10" s="1"/>
  <c r="F172" i="3"/>
  <c r="F172" i="10" s="1"/>
  <c r="F327" i="3"/>
  <c r="F327" i="10" s="1"/>
  <c r="K14" i="3"/>
  <c r="K14" i="10" s="1"/>
  <c r="G343" i="3"/>
  <c r="G343" i="10" s="1"/>
  <c r="K422" i="3"/>
  <c r="K422" i="10" s="1"/>
  <c r="G321" i="3"/>
  <c r="G321" i="10" s="1"/>
  <c r="F131" i="3"/>
  <c r="F131" i="10" s="1"/>
  <c r="G240" i="3"/>
  <c r="G240" i="10" s="1"/>
  <c r="K261" i="3"/>
  <c r="K261" i="10" s="1"/>
  <c r="K286" i="3"/>
  <c r="K286" i="10" s="1"/>
  <c r="K354" i="3"/>
  <c r="K354" i="10" s="1"/>
  <c r="F188" i="3"/>
  <c r="F188" i="10" s="1"/>
  <c r="K212" i="3"/>
  <c r="K212" i="10" s="1"/>
  <c r="K291" i="3"/>
  <c r="K291" i="10" s="1"/>
  <c r="F303" i="3"/>
  <c r="F303" i="10" s="1"/>
  <c r="G419" i="3"/>
  <c r="G419" i="10" s="1"/>
  <c r="G320" i="3"/>
  <c r="G320" i="10" s="1"/>
  <c r="G304" i="3"/>
  <c r="G304" i="10" s="1"/>
  <c r="G328" i="3"/>
  <c r="G328" i="10" s="1"/>
  <c r="G525" i="3"/>
  <c r="G525" i="10" s="1"/>
  <c r="K296" i="3"/>
  <c r="K296" i="10" s="1"/>
  <c r="K220" i="3"/>
  <c r="K220" i="10" s="1"/>
  <c r="F388" i="3"/>
  <c r="F388" i="10" s="1"/>
  <c r="G523" i="3"/>
  <c r="G523" i="10" s="1"/>
  <c r="F532" i="3"/>
  <c r="F532" i="10" s="1"/>
  <c r="G226" i="3"/>
  <c r="G226" i="10" s="1"/>
  <c r="F524" i="3"/>
  <c r="F524" i="10" s="1"/>
  <c r="F186" i="3"/>
  <c r="F186" i="10" s="1"/>
  <c r="G284" i="3"/>
  <c r="G284" i="10" s="1"/>
  <c r="G463" i="3"/>
  <c r="G463" i="10" s="1"/>
  <c r="F491" i="3"/>
  <c r="F491" i="10" s="1"/>
  <c r="F461" i="3"/>
  <c r="F461" i="10" s="1"/>
  <c r="K530" i="3"/>
  <c r="K530" i="10" s="1"/>
  <c r="G376" i="3"/>
  <c r="G376" i="10" s="1"/>
  <c r="F351" i="3"/>
  <c r="F351" i="10" s="1"/>
  <c r="G211" i="3"/>
  <c r="G211" i="10" s="1"/>
  <c r="G285" i="3"/>
  <c r="G285" i="10" s="1"/>
  <c r="G307" i="3"/>
  <c r="G307" i="10" s="1"/>
  <c r="F402" i="3"/>
  <c r="F402" i="10" s="1"/>
  <c r="K237" i="3"/>
  <c r="K237" i="10" s="1"/>
  <c r="K307" i="3"/>
  <c r="K307" i="10" s="1"/>
  <c r="G375" i="3"/>
  <c r="G375" i="10" s="1"/>
  <c r="G431" i="3"/>
  <c r="G431" i="10" s="1"/>
  <c r="K178" i="3"/>
  <c r="K178" i="10" s="1"/>
  <c r="G219" i="3"/>
  <c r="G219" i="10" s="1"/>
  <c r="F237" i="3"/>
  <c r="F237" i="10" s="1"/>
  <c r="K268" i="3"/>
  <c r="K268" i="10" s="1"/>
  <c r="F335" i="3"/>
  <c r="F335" i="10" s="1"/>
  <c r="K375" i="3"/>
  <c r="K375" i="10" s="1"/>
  <c r="K180" i="3"/>
  <c r="K180" i="10" s="1"/>
  <c r="F212" i="3"/>
  <c r="F212" i="10" s="1"/>
  <c r="K253" i="3"/>
  <c r="K253" i="10" s="1"/>
  <c r="F286" i="3"/>
  <c r="F286" i="10" s="1"/>
  <c r="K335" i="3"/>
  <c r="K335" i="10" s="1"/>
  <c r="K390" i="3"/>
  <c r="K390" i="10" s="1"/>
  <c r="F465" i="3"/>
  <c r="F465" i="10" s="1"/>
  <c r="K145" i="3"/>
  <c r="K145" i="10" s="1"/>
  <c r="F169" i="3"/>
  <c r="F169" i="10" s="1"/>
  <c r="G51" i="3"/>
  <c r="G51" i="10" s="1"/>
  <c r="K59" i="3"/>
  <c r="K59" i="10" s="1"/>
  <c r="F67" i="3"/>
  <c r="F67" i="10" s="1"/>
  <c r="G23" i="3"/>
  <c r="G23" i="10" s="1"/>
  <c r="K99" i="3"/>
  <c r="K99" i="10" s="1"/>
  <c r="F107" i="3"/>
  <c r="F107" i="10" s="1"/>
  <c r="K155" i="3"/>
  <c r="K155" i="10" s="1"/>
  <c r="K8" i="3"/>
  <c r="K8" i="10" s="1"/>
  <c r="F16" i="3"/>
  <c r="F16" i="10" s="1"/>
  <c r="F17" i="3"/>
  <c r="F17" i="10" s="1"/>
  <c r="G63" i="3"/>
  <c r="G63" i="10" s="1"/>
  <c r="G93" i="3"/>
  <c r="G93" i="10" s="1"/>
  <c r="K101" i="3"/>
  <c r="K101" i="10" s="1"/>
  <c r="F109" i="3"/>
  <c r="F109" i="10" s="1"/>
  <c r="G380" i="3"/>
  <c r="G380" i="10" s="1"/>
  <c r="F355" i="3"/>
  <c r="F355" i="10" s="1"/>
  <c r="G423" i="3"/>
  <c r="G423" i="10" s="1"/>
  <c r="F378" i="3"/>
  <c r="F378" i="10" s="1"/>
  <c r="K471" i="3"/>
  <c r="K471" i="10" s="1"/>
  <c r="G418" i="3"/>
  <c r="G418" i="10" s="1"/>
  <c r="G412" i="3"/>
  <c r="G412" i="10" s="1"/>
  <c r="G326" i="3"/>
  <c r="G326" i="10" s="1"/>
  <c r="F294" i="3"/>
  <c r="F294" i="10" s="1"/>
  <c r="K327" i="3"/>
  <c r="K327" i="10" s="1"/>
  <c r="F268" i="3"/>
  <c r="F268" i="10" s="1"/>
  <c r="K397" i="3"/>
  <c r="K397" i="10" s="1"/>
  <c r="F330" i="3"/>
  <c r="F330" i="10" s="1"/>
  <c r="G286" i="3"/>
  <c r="G286" i="10" s="1"/>
  <c r="K233" i="3"/>
  <c r="K233" i="10" s="1"/>
  <c r="G196" i="3"/>
  <c r="G196" i="10" s="1"/>
  <c r="F31" i="3"/>
  <c r="F31" i="10" s="1"/>
  <c r="K39" i="3"/>
  <c r="K39" i="10" s="1"/>
  <c r="F501" i="3"/>
  <c r="F501" i="10" s="1"/>
  <c r="G251" i="3"/>
  <c r="G251" i="10" s="1"/>
  <c r="G213" i="3"/>
  <c r="G213" i="10" s="1"/>
  <c r="G170" i="3"/>
  <c r="G170" i="10" s="1"/>
  <c r="G88" i="3"/>
  <c r="G88" i="10" s="1"/>
  <c r="K52" i="3"/>
  <c r="K52" i="10" s="1"/>
  <c r="K26" i="3"/>
  <c r="K26" i="10" s="1"/>
  <c r="G137" i="3"/>
  <c r="G137" i="10" s="1"/>
  <c r="K89" i="3"/>
  <c r="K89" i="10" s="1"/>
  <c r="K35" i="3"/>
  <c r="K35" i="10" s="1"/>
  <c r="F65" i="3"/>
  <c r="F65" i="10" s="1"/>
  <c r="K531" i="3"/>
  <c r="K531" i="10" s="1"/>
  <c r="K408" i="3"/>
  <c r="K408" i="10" s="1"/>
  <c r="F471" i="3"/>
  <c r="F471" i="10" s="1"/>
  <c r="F413" i="3"/>
  <c r="F413" i="10" s="1"/>
  <c r="K424" i="3"/>
  <c r="K424" i="10" s="1"/>
  <c r="F410" i="3"/>
  <c r="F410" i="10" s="1"/>
  <c r="G382" i="3"/>
  <c r="G382" i="10" s="1"/>
  <c r="F439" i="3"/>
  <c r="F439" i="10" s="1"/>
  <c r="K366" i="3"/>
  <c r="K366" i="10" s="1"/>
  <c r="K341" i="3"/>
  <c r="K341" i="10" s="1"/>
  <c r="K329" i="3"/>
  <c r="K329" i="10" s="1"/>
  <c r="F326" i="3"/>
  <c r="F326" i="10" s="1"/>
  <c r="F313" i="3"/>
  <c r="F313" i="10" s="1"/>
  <c r="F302" i="3"/>
  <c r="F302" i="10" s="1"/>
  <c r="K406" i="3"/>
  <c r="K406" i="10" s="1"/>
  <c r="K362" i="3"/>
  <c r="K362" i="10" s="1"/>
  <c r="G334" i="3"/>
  <c r="G334" i="10" s="1"/>
  <c r="G325" i="3"/>
  <c r="G325" i="10" s="1"/>
  <c r="K303" i="3"/>
  <c r="K303" i="10" s="1"/>
  <c r="G293" i="3"/>
  <c r="G293" i="10" s="1"/>
  <c r="F260" i="3"/>
  <c r="F260" i="10" s="1"/>
  <c r="F226" i="3"/>
  <c r="F226" i="10" s="1"/>
  <c r="F202" i="3"/>
  <c r="F202" i="10" s="1"/>
  <c r="K365" i="3"/>
  <c r="K365" i="10" s="1"/>
  <c r="F362" i="3"/>
  <c r="F362" i="10" s="1"/>
  <c r="G346" i="3"/>
  <c r="G346" i="10" s="1"/>
  <c r="K325" i="3"/>
  <c r="K325" i="10" s="1"/>
  <c r="F306" i="3"/>
  <c r="F306" i="10" s="1"/>
  <c r="F298" i="3"/>
  <c r="F298" i="10" s="1"/>
  <c r="G278" i="3"/>
  <c r="G278" i="10" s="1"/>
  <c r="K342" i="3"/>
  <c r="K342" i="10" s="1"/>
  <c r="F283" i="3"/>
  <c r="F283" i="10" s="1"/>
  <c r="F233" i="3"/>
  <c r="F233" i="10" s="1"/>
  <c r="K345" i="3"/>
  <c r="K345" i="10" s="1"/>
  <c r="G220" i="3"/>
  <c r="G220" i="10" s="1"/>
  <c r="G178" i="3"/>
  <c r="G178" i="10" s="1"/>
  <c r="F246" i="3"/>
  <c r="F246" i="10" s="1"/>
  <c r="F89" i="3"/>
  <c r="F89" i="10" s="1"/>
  <c r="F29" i="3"/>
  <c r="F29" i="10" s="1"/>
  <c r="G10" i="3"/>
  <c r="G10" i="10" s="1"/>
  <c r="K33" i="3"/>
  <c r="K33" i="10" s="1"/>
  <c r="G27" i="3"/>
  <c r="G27" i="10" s="1"/>
  <c r="G501" i="3"/>
  <c r="G501" i="10" s="1"/>
  <c r="F469" i="3"/>
  <c r="F469" i="10" s="1"/>
  <c r="G259" i="3"/>
  <c r="G259" i="10" s="1"/>
  <c r="K251" i="3"/>
  <c r="K251" i="10" s="1"/>
  <c r="F243" i="3"/>
  <c r="F243" i="10" s="1"/>
  <c r="G221" i="3"/>
  <c r="G221" i="10" s="1"/>
  <c r="K213" i="3"/>
  <c r="K213" i="10" s="1"/>
  <c r="F205" i="3"/>
  <c r="F205" i="10" s="1"/>
  <c r="K172" i="3"/>
  <c r="K172" i="10" s="1"/>
  <c r="K168" i="3"/>
  <c r="K168" i="10" s="1"/>
  <c r="G146" i="3"/>
  <c r="G146" i="10" s="1"/>
  <c r="K90" i="3"/>
  <c r="K90" i="10" s="1"/>
  <c r="G86" i="3"/>
  <c r="G86" i="10" s="1"/>
  <c r="G60" i="3"/>
  <c r="G60" i="10" s="1"/>
  <c r="G56" i="3"/>
  <c r="G56" i="10" s="1"/>
  <c r="G52" i="3"/>
  <c r="G52" i="10" s="1"/>
  <c r="G48" i="3"/>
  <c r="G48" i="10" s="1"/>
  <c r="G34" i="3"/>
  <c r="G34" i="10" s="1"/>
  <c r="G30" i="3"/>
  <c r="G30" i="10" s="1"/>
  <c r="G26" i="3"/>
  <c r="G26" i="10" s="1"/>
  <c r="G22" i="3"/>
  <c r="G22" i="10" s="1"/>
  <c r="K179" i="3"/>
  <c r="K179" i="10" s="1"/>
  <c r="K135" i="3"/>
  <c r="K135" i="10" s="1"/>
  <c r="K131" i="3"/>
  <c r="K131" i="10" s="1"/>
  <c r="K125" i="3"/>
  <c r="K125" i="10" s="1"/>
  <c r="G89" i="3"/>
  <c r="G89" i="10" s="1"/>
  <c r="K25" i="3"/>
  <c r="K25" i="10" s="1"/>
  <c r="G3" i="3"/>
  <c r="G3" i="10" s="1"/>
  <c r="F3" i="3"/>
  <c r="F3" i="10" s="1"/>
  <c r="F95" i="3"/>
  <c r="F95" i="10" s="1"/>
  <c r="K65" i="3"/>
  <c r="K65" i="10" s="1"/>
  <c r="G57" i="3"/>
  <c r="G57" i="10" s="1"/>
  <c r="F19" i="3"/>
  <c r="F19" i="10" s="1"/>
  <c r="F13" i="3"/>
  <c r="F13" i="10" s="1"/>
  <c r="G5" i="3"/>
  <c r="G5" i="10" s="1"/>
  <c r="K105" i="3"/>
  <c r="K105" i="10" s="1"/>
  <c r="K9" i="3"/>
  <c r="K9" i="10" s="1"/>
  <c r="G157" i="3"/>
  <c r="G157" i="10" s="1"/>
  <c r="F101" i="3"/>
  <c r="F101" i="10" s="1"/>
  <c r="K79" i="3"/>
  <c r="K79" i="10" s="1"/>
  <c r="K55" i="3"/>
  <c r="K55" i="10" s="1"/>
  <c r="G8" i="3"/>
  <c r="G8" i="10" s="1"/>
  <c r="K139" i="3"/>
  <c r="K139" i="10" s="1"/>
  <c r="F23" i="3"/>
  <c r="F23" i="10" s="1"/>
  <c r="G67" i="3"/>
  <c r="G67" i="10" s="1"/>
  <c r="K21" i="3"/>
  <c r="K21" i="10" s="1"/>
  <c r="K415" i="3"/>
  <c r="K415" i="10" s="1"/>
  <c r="F291" i="3"/>
  <c r="F291" i="10" s="1"/>
  <c r="K239" i="3"/>
  <c r="K239" i="10" s="1"/>
  <c r="G335" i="3"/>
  <c r="G335" i="10" s="1"/>
  <c r="F241" i="3"/>
  <c r="F241" i="10" s="1"/>
  <c r="K188" i="3"/>
  <c r="K188" i="10" s="1"/>
  <c r="K431" i="3"/>
  <c r="K431" i="10" s="1"/>
  <c r="F344" i="3"/>
  <c r="F344" i="10" s="1"/>
  <c r="F364" i="3"/>
  <c r="F364" i="10" s="1"/>
  <c r="G227" i="3"/>
  <c r="G227" i="10" s="1"/>
  <c r="K376" i="3"/>
  <c r="K376" i="10" s="1"/>
  <c r="G461" i="3"/>
  <c r="G461" i="10" s="1"/>
  <c r="G499" i="3"/>
  <c r="G499" i="10" s="1"/>
  <c r="K284" i="3"/>
  <c r="K284" i="10" s="1"/>
  <c r="G524" i="3"/>
  <c r="G524" i="10" s="1"/>
  <c r="G194" i="3"/>
  <c r="G194" i="10" s="1"/>
  <c r="K278" i="3"/>
  <c r="K278" i="10" s="1"/>
  <c r="F220" i="3"/>
  <c r="F220" i="10" s="1"/>
  <c r="F505" i="3"/>
  <c r="F505" i="10" s="1"/>
  <c r="K414" i="3"/>
  <c r="K414" i="10" s="1"/>
  <c r="K202" i="3"/>
  <c r="K202" i="10" s="1"/>
  <c r="F304" i="3"/>
  <c r="F304" i="10" s="1"/>
  <c r="K219" i="3"/>
  <c r="K219" i="10" s="1"/>
  <c r="K270" i="3"/>
  <c r="K270" i="10" s="1"/>
  <c r="F135" i="3"/>
  <c r="F135" i="10" s="1"/>
  <c r="G473" i="3"/>
  <c r="G473" i="10" s="1"/>
  <c r="F26" i="3"/>
  <c r="F26" i="10" s="1"/>
  <c r="G179" i="3"/>
  <c r="G179" i="10" s="1"/>
  <c r="G422" i="3"/>
  <c r="G422" i="10" s="1"/>
  <c r="F475" i="3"/>
  <c r="F475" i="10" s="1"/>
  <c r="K439" i="3"/>
  <c r="K439" i="10" s="1"/>
  <c r="K334" i="3"/>
  <c r="K334" i="10" s="1"/>
  <c r="G319" i="3"/>
  <c r="G319" i="10" s="1"/>
  <c r="F366" i="3"/>
  <c r="F366" i="10" s="1"/>
  <c r="K306" i="3"/>
  <c r="K306" i="10" s="1"/>
  <c r="F234" i="3"/>
  <c r="F234" i="10" s="1"/>
  <c r="G362" i="3"/>
  <c r="G362" i="10" s="1"/>
  <c r="G306" i="3"/>
  <c r="G306" i="10" s="1"/>
  <c r="K283" i="3"/>
  <c r="K283" i="10" s="1"/>
  <c r="G228" i="3"/>
  <c r="G228" i="10" s="1"/>
  <c r="F91" i="3"/>
  <c r="F91" i="10" s="1"/>
  <c r="K27" i="3"/>
  <c r="K27" i="10" s="1"/>
  <c r="F377" i="3"/>
  <c r="F377" i="10" s="1"/>
  <c r="F229" i="3"/>
  <c r="F229" i="10" s="1"/>
  <c r="F197" i="3"/>
  <c r="F197" i="10" s="1"/>
  <c r="G140" i="3"/>
  <c r="G140" i="10" s="1"/>
  <c r="K56" i="3"/>
  <c r="K56" i="10" s="1"/>
  <c r="K30" i="3"/>
  <c r="K30" i="10" s="1"/>
  <c r="K192" i="3"/>
  <c r="K192" i="10" s="1"/>
  <c r="G133" i="3"/>
  <c r="G133" i="10" s="1"/>
  <c r="F7" i="3"/>
  <c r="F7" i="10" s="1"/>
  <c r="K428" i="3"/>
  <c r="K428" i="10" s="1"/>
  <c r="G408" i="3"/>
  <c r="G408" i="10" s="1"/>
  <c r="K437" i="3"/>
  <c r="K437" i="10" s="1"/>
  <c r="G413" i="3"/>
  <c r="G413" i="10" s="1"/>
  <c r="G424" i="3"/>
  <c r="G424" i="10" s="1"/>
  <c r="G402" i="3"/>
  <c r="G402" i="10" s="1"/>
  <c r="G374" i="3"/>
  <c r="G374" i="10" s="1"/>
  <c r="F412" i="3"/>
  <c r="F412" i="10" s="1"/>
  <c r="G354" i="3"/>
  <c r="G354" i="10" s="1"/>
  <c r="G341" i="3"/>
  <c r="G341" i="10" s="1"/>
  <c r="F329" i="3"/>
  <c r="F329" i="10" s="1"/>
  <c r="K321" i="3"/>
  <c r="K321" i="10" s="1"/>
  <c r="K305" i="3"/>
  <c r="K305" i="10" s="1"/>
  <c r="G295" i="3"/>
  <c r="G295" i="10" s="1"/>
  <c r="G406" i="3"/>
  <c r="G406" i="10" s="1"/>
  <c r="G350" i="3"/>
  <c r="G350" i="10" s="1"/>
  <c r="F334" i="3"/>
  <c r="F334" i="10" s="1"/>
  <c r="K322" i="3"/>
  <c r="K322" i="10" s="1"/>
  <c r="G301" i="3"/>
  <c r="G301" i="10" s="1"/>
  <c r="F284" i="3"/>
  <c r="F284" i="10" s="1"/>
  <c r="F252" i="3"/>
  <c r="F252" i="10" s="1"/>
  <c r="F218" i="3"/>
  <c r="F218" i="10" s="1"/>
  <c r="F194" i="3"/>
  <c r="F194" i="10" s="1"/>
  <c r="G365" i="3"/>
  <c r="G365" i="10" s="1"/>
  <c r="K349" i="3"/>
  <c r="K349" i="10" s="1"/>
  <c r="F346" i="3"/>
  <c r="F346" i="10" s="1"/>
  <c r="G322" i="3"/>
  <c r="G322" i="10" s="1"/>
  <c r="K301" i="3"/>
  <c r="K301" i="10" s="1"/>
  <c r="K293" i="3"/>
  <c r="K293" i="10" s="1"/>
  <c r="G270" i="3"/>
  <c r="G270" i="10" s="1"/>
  <c r="G342" i="3"/>
  <c r="G342" i="10" s="1"/>
  <c r="K267" i="3"/>
  <c r="K267" i="10" s="1"/>
  <c r="K217" i="3"/>
  <c r="K217" i="10" s="1"/>
  <c r="G345" i="3"/>
  <c r="G345" i="10" s="1"/>
  <c r="G212" i="3"/>
  <c r="G212" i="10" s="1"/>
  <c r="F254" i="3"/>
  <c r="F254" i="10" s="1"/>
  <c r="G246" i="3"/>
  <c r="G246" i="10" s="1"/>
  <c r="F87" i="3"/>
  <c r="F87" i="10" s="1"/>
  <c r="F27" i="3"/>
  <c r="F27" i="10" s="1"/>
  <c r="G6" i="3"/>
  <c r="G6" i="10" s="1"/>
  <c r="K29" i="3"/>
  <c r="K29" i="10" s="1"/>
  <c r="G7" i="3"/>
  <c r="G7" i="10" s="1"/>
  <c r="K501" i="3"/>
  <c r="K501" i="10" s="1"/>
  <c r="K377" i="3"/>
  <c r="K377" i="10" s="1"/>
  <c r="K259" i="3"/>
  <c r="K259" i="10" s="1"/>
  <c r="F251" i="3"/>
  <c r="F251" i="10" s="1"/>
  <c r="G229" i="3"/>
  <c r="G229" i="10" s="1"/>
  <c r="K221" i="3"/>
  <c r="K221" i="10" s="1"/>
  <c r="F213" i="3"/>
  <c r="F213" i="10" s="1"/>
  <c r="G197" i="3"/>
  <c r="G197" i="10" s="1"/>
  <c r="G172" i="3"/>
  <c r="G172" i="10" s="1"/>
  <c r="G162" i="3"/>
  <c r="G162" i="10" s="1"/>
  <c r="K144" i="3"/>
  <c r="K144" i="10" s="1"/>
  <c r="G90" i="3"/>
  <c r="G90" i="10" s="1"/>
  <c r="K62" i="3"/>
  <c r="K62" i="10" s="1"/>
  <c r="K58" i="3"/>
  <c r="K58" i="10" s="1"/>
  <c r="K54" i="3"/>
  <c r="K54" i="10" s="1"/>
  <c r="K50" i="3"/>
  <c r="K50" i="10" s="1"/>
  <c r="G46" i="3"/>
  <c r="G46" i="10" s="1"/>
  <c r="K32" i="3"/>
  <c r="K32" i="10" s="1"/>
  <c r="K28" i="3"/>
  <c r="K28" i="10" s="1"/>
  <c r="K24" i="3"/>
  <c r="K24" i="10" s="1"/>
  <c r="K18" i="3"/>
  <c r="K18" i="10" s="1"/>
  <c r="F179" i="3"/>
  <c r="F179" i="10" s="1"/>
  <c r="G135" i="3"/>
  <c r="G135" i="10" s="1"/>
  <c r="G131" i="3"/>
  <c r="G131" i="10" s="1"/>
  <c r="K91" i="3"/>
  <c r="K91" i="10" s="1"/>
  <c r="K87" i="3"/>
  <c r="K87" i="10" s="1"/>
  <c r="G25" i="3"/>
  <c r="G25" i="10" s="1"/>
  <c r="F103" i="3"/>
  <c r="F103" i="10" s="1"/>
  <c r="K95" i="3"/>
  <c r="K95" i="10" s="1"/>
  <c r="G65" i="3"/>
  <c r="G65" i="10" s="1"/>
  <c r="F49" i="3"/>
  <c r="F49" i="10" s="1"/>
  <c r="K19" i="3"/>
  <c r="K19" i="10" s="1"/>
  <c r="K13" i="3"/>
  <c r="K13" i="10" s="1"/>
  <c r="F5" i="3"/>
  <c r="F5" i="10" s="1"/>
  <c r="G105" i="3"/>
  <c r="G105" i="10" s="1"/>
  <c r="F173" i="3"/>
  <c r="F173" i="10" s="1"/>
  <c r="K141" i="3"/>
  <c r="K141" i="10" s="1"/>
  <c r="G101" i="3"/>
  <c r="G101" i="10" s="1"/>
  <c r="F63" i="3"/>
  <c r="F63" i="10" s="1"/>
  <c r="G55" i="3"/>
  <c r="G55" i="10" s="1"/>
  <c r="F8" i="3"/>
  <c r="F8" i="10" s="1"/>
  <c r="G139" i="3"/>
  <c r="G139" i="10" s="1"/>
  <c r="K23" i="3"/>
  <c r="K23" i="10" s="1"/>
  <c r="F59" i="3"/>
  <c r="F59" i="10" s="1"/>
  <c r="G21" i="3"/>
  <c r="G21" i="10" s="1"/>
  <c r="G465" i="3"/>
  <c r="G465" i="10" s="1"/>
  <c r="K343" i="3"/>
  <c r="K343" i="10" s="1"/>
  <c r="F261" i="3"/>
  <c r="F261" i="10" s="1"/>
  <c r="G199" i="3"/>
  <c r="G199" i="10" s="1"/>
  <c r="K429" i="3"/>
  <c r="K429" i="10" s="1"/>
  <c r="K277" i="3"/>
  <c r="K277" i="10" s="1"/>
  <c r="G235" i="3"/>
  <c r="G235" i="10" s="1"/>
  <c r="K384" i="3"/>
  <c r="K384" i="10" s="1"/>
  <c r="F253" i="3"/>
  <c r="F253" i="10" s="1"/>
  <c r="F299" i="3"/>
  <c r="F299" i="10" s="1"/>
  <c r="K6" i="3"/>
  <c r="K6" i="10" s="1"/>
  <c r="F427" i="3"/>
  <c r="F427" i="10" s="1"/>
  <c r="K491" i="3"/>
  <c r="K491" i="10" s="1"/>
  <c r="G269" i="3"/>
  <c r="G269" i="10" s="1"/>
  <c r="F239" i="3"/>
  <c r="F239" i="10" s="1"/>
  <c r="G527" i="3"/>
  <c r="G527" i="10" s="1"/>
  <c r="K191" i="3"/>
  <c r="K191" i="10" s="1"/>
  <c r="K525" i="3"/>
  <c r="K525" i="10" s="1"/>
  <c r="K529" i="3"/>
  <c r="K529" i="10" s="1"/>
  <c r="K244" i="3"/>
  <c r="K244" i="10" s="1"/>
  <c r="F295" i="3"/>
  <c r="F295" i="10" s="1"/>
  <c r="K199" i="3"/>
  <c r="K199" i="10" s="1"/>
  <c r="F424" i="3"/>
  <c r="F424" i="10" s="1"/>
  <c r="G267" i="3"/>
  <c r="G267" i="10" s="1"/>
  <c r="F133" i="3"/>
  <c r="F133" i="10" s="1"/>
  <c r="K461" i="3"/>
  <c r="K461" i="10" s="1"/>
  <c r="F22" i="3"/>
  <c r="F22" i="10" s="1"/>
  <c r="F178" i="3"/>
  <c r="F178" i="10" s="1"/>
  <c r="G287" i="3"/>
  <c r="G287" i="10" s="1"/>
  <c r="G271" i="3"/>
  <c r="G271" i="10" s="1"/>
  <c r="G255" i="3"/>
  <c r="G255" i="10" s="1"/>
  <c r="F143" i="3"/>
  <c r="F143" i="10" s="1"/>
  <c r="F502" i="3"/>
  <c r="F502" i="10" s="1"/>
  <c r="F444" i="3"/>
  <c r="F444" i="10" s="1"/>
  <c r="K411" i="3"/>
  <c r="K411" i="10" s="1"/>
  <c r="G407" i="3"/>
  <c r="G407" i="10" s="1"/>
  <c r="F403" i="3"/>
  <c r="F403" i="10" s="1"/>
  <c r="G393" i="3"/>
  <c r="G393" i="10" s="1"/>
  <c r="F389" i="3"/>
  <c r="F389" i="10" s="1"/>
  <c r="K385" i="3"/>
  <c r="K385" i="10" s="1"/>
  <c r="K381" i="3"/>
  <c r="K381" i="10" s="1"/>
  <c r="F141" i="3"/>
  <c r="F141" i="10" s="1"/>
  <c r="K472" i="3"/>
  <c r="K472" i="10" s="1"/>
  <c r="F464" i="3"/>
  <c r="F464" i="10" s="1"/>
  <c r="G368" i="3"/>
  <c r="G368" i="10" s="1"/>
  <c r="G352" i="3"/>
  <c r="G352" i="10" s="1"/>
  <c r="F314" i="3"/>
  <c r="F314" i="10" s="1"/>
  <c r="K280" i="3"/>
  <c r="K280" i="10" s="1"/>
  <c r="F264" i="3"/>
  <c r="F264" i="10" s="1"/>
  <c r="K248" i="3"/>
  <c r="K248" i="10" s="1"/>
  <c r="F136" i="3"/>
  <c r="F136" i="10" s="1"/>
  <c r="F132" i="3"/>
  <c r="F132" i="10" s="1"/>
  <c r="F108" i="3"/>
  <c r="F108" i="10" s="1"/>
  <c r="F104" i="3"/>
  <c r="F104" i="10" s="1"/>
  <c r="G430" i="3"/>
  <c r="G430" i="10" s="1"/>
  <c r="F379" i="3"/>
  <c r="F379" i="10" s="1"/>
  <c r="G361" i="3"/>
  <c r="G361" i="10" s="1"/>
  <c r="K338" i="3"/>
  <c r="K338" i="10" s="1"/>
  <c r="G289" i="3"/>
  <c r="G289" i="10" s="1"/>
  <c r="G273" i="3"/>
  <c r="G273" i="10" s="1"/>
  <c r="G257" i="3"/>
  <c r="G257" i="10" s="1"/>
  <c r="G236" i="3"/>
  <c r="G236" i="10" s="1"/>
  <c r="F100" i="3"/>
  <c r="F100" i="10" s="1"/>
  <c r="F96" i="3"/>
  <c r="F96" i="10" s="1"/>
  <c r="F92" i="3"/>
  <c r="F92" i="10" s="1"/>
  <c r="F64" i="3"/>
  <c r="F64" i="10" s="1"/>
  <c r="G369" i="3"/>
  <c r="G369" i="10" s="1"/>
  <c r="F534" i="3"/>
  <c r="F534" i="10" s="1"/>
  <c r="K536" i="3"/>
  <c r="K536" i="10" s="1"/>
  <c r="G347" i="3"/>
  <c r="G347" i="10" s="1"/>
  <c r="G316" i="3"/>
  <c r="G316" i="10" s="1"/>
  <c r="G300" i="3"/>
  <c r="G300" i="10" s="1"/>
  <c r="G440" i="3"/>
  <c r="G440" i="10" s="1"/>
  <c r="G421" i="3"/>
  <c r="G421" i="10" s="1"/>
  <c r="G528" i="3"/>
  <c r="G528" i="10" s="1"/>
  <c r="F506" i="3"/>
  <c r="F506" i="10" s="1"/>
  <c r="K417" i="3"/>
  <c r="K417" i="10" s="1"/>
  <c r="F282" i="3"/>
  <c r="F282" i="10" s="1"/>
  <c r="K266" i="3"/>
  <c r="K266" i="10" s="1"/>
  <c r="K250" i="3"/>
  <c r="K250" i="10" s="1"/>
  <c r="K230" i="3"/>
  <c r="K230" i="10" s="1"/>
  <c r="K214" i="3"/>
  <c r="K214" i="10" s="1"/>
  <c r="K198" i="3"/>
  <c r="K198" i="10" s="1"/>
  <c r="G182" i="3"/>
  <c r="G182" i="10" s="1"/>
  <c r="G166" i="3"/>
  <c r="G166" i="10" s="1"/>
  <c r="G150" i="3"/>
  <c r="G150" i="10" s="1"/>
  <c r="K435" i="3"/>
  <c r="K435" i="10" s="1"/>
  <c r="K203" i="3"/>
  <c r="K203" i="10" s="1"/>
  <c r="F420" i="3"/>
  <c r="F420" i="10" s="1"/>
  <c r="F325" i="3"/>
  <c r="F325" i="10" s="1"/>
  <c r="F331" i="3"/>
  <c r="F331" i="10" s="1"/>
  <c r="K231" i="3"/>
  <c r="K231" i="10" s="1"/>
  <c r="G207" i="3"/>
  <c r="G207" i="10" s="1"/>
  <c r="F175" i="3"/>
  <c r="F175" i="10" s="1"/>
  <c r="K147" i="3"/>
  <c r="K147" i="10" s="1"/>
  <c r="K348" i="3"/>
  <c r="K348" i="10" s="1"/>
  <c r="G324" i="3"/>
  <c r="G324" i="10" s="1"/>
  <c r="F224" i="3"/>
  <c r="F224" i="10" s="1"/>
  <c r="K208" i="3"/>
  <c r="K208" i="10" s="1"/>
  <c r="F192" i="3"/>
  <c r="F192" i="10" s="1"/>
  <c r="F176" i="3"/>
  <c r="F176" i="10" s="1"/>
  <c r="F140" i="3"/>
  <c r="F140" i="10" s="1"/>
  <c r="G53" i="3"/>
  <c r="G53" i="10" s="1"/>
  <c r="G31" i="3"/>
  <c r="G31" i="10" s="1"/>
  <c r="K12" i="3"/>
  <c r="K12" i="10" s="1"/>
  <c r="G305" i="3"/>
  <c r="G305" i="10" s="1"/>
  <c r="G233" i="3"/>
  <c r="G233" i="10" s="1"/>
  <c r="G217" i="3"/>
  <c r="G217" i="10" s="1"/>
  <c r="G201" i="3"/>
  <c r="G201" i="10" s="1"/>
  <c r="F185" i="3"/>
  <c r="F185" i="10" s="1"/>
  <c r="K169" i="3"/>
  <c r="K169" i="10" s="1"/>
  <c r="G526" i="3"/>
  <c r="G526" i="10" s="1"/>
  <c r="G475" i="3"/>
  <c r="G475" i="10" s="1"/>
  <c r="F60" i="3"/>
  <c r="F60" i="10" s="1"/>
  <c r="F30" i="3"/>
  <c r="F30" i="10" s="1"/>
  <c r="K15" i="3"/>
  <c r="K15" i="10" s="1"/>
  <c r="F58" i="3"/>
  <c r="F58" i="10" s="1"/>
  <c r="F54" i="3"/>
  <c r="F54" i="10" s="1"/>
  <c r="F292" i="3"/>
  <c r="F292" i="10" s="1"/>
  <c r="G441" i="3"/>
  <c r="G441" i="10" s="1"/>
  <c r="G425" i="3"/>
  <c r="G425" i="10" s="1"/>
  <c r="F530" i="3"/>
  <c r="F530" i="10" s="1"/>
  <c r="F24" i="3"/>
  <c r="F24" i="10" s="1"/>
  <c r="F400" i="3"/>
  <c r="F400" i="10" s="1"/>
  <c r="K372" i="3"/>
  <c r="K372" i="10" s="1"/>
  <c r="K340" i="3"/>
  <c r="K340" i="10" s="1"/>
  <c r="K398" i="3"/>
  <c r="K398" i="10" s="1"/>
  <c r="G367" i="3"/>
  <c r="G367" i="10" s="1"/>
  <c r="G279" i="3"/>
  <c r="G279" i="10" s="1"/>
  <c r="K247" i="3"/>
  <c r="K247" i="10" s="1"/>
  <c r="K460" i="3"/>
  <c r="K460" i="10" s="1"/>
  <c r="K416" i="3"/>
  <c r="K416" i="10" s="1"/>
  <c r="F405" i="3"/>
  <c r="F405" i="10" s="1"/>
  <c r="G401" i="3"/>
  <c r="G401" i="10" s="1"/>
  <c r="G391" i="3"/>
  <c r="G391" i="10" s="1"/>
  <c r="F383" i="3"/>
  <c r="F383" i="10" s="1"/>
  <c r="F373" i="3"/>
  <c r="F373" i="10" s="1"/>
  <c r="K462" i="3"/>
  <c r="K462" i="10" s="1"/>
  <c r="K360" i="3"/>
  <c r="K360" i="10" s="1"/>
  <c r="G337" i="3"/>
  <c r="G337" i="10" s="1"/>
  <c r="F272" i="3"/>
  <c r="F272" i="10" s="1"/>
  <c r="G256" i="3"/>
  <c r="G256" i="10" s="1"/>
  <c r="G134" i="3"/>
  <c r="G134" i="10" s="1"/>
  <c r="G130" i="3"/>
  <c r="G130" i="10" s="1"/>
  <c r="G126" i="3"/>
  <c r="G126" i="10" s="1"/>
  <c r="G122" i="3"/>
  <c r="G122" i="10" s="1"/>
  <c r="G118" i="3"/>
  <c r="G118" i="10" s="1"/>
  <c r="G114" i="3"/>
  <c r="G114" i="10" s="1"/>
  <c r="F110" i="3"/>
  <c r="F110" i="10" s="1"/>
  <c r="F106" i="3"/>
  <c r="F106" i="10" s="1"/>
  <c r="F102" i="3"/>
  <c r="F102" i="10" s="1"/>
  <c r="G438" i="3"/>
  <c r="G438" i="10" s="1"/>
  <c r="F399" i="3"/>
  <c r="F399" i="10" s="1"/>
  <c r="G371" i="3"/>
  <c r="G371" i="10" s="1"/>
  <c r="F353" i="3"/>
  <c r="F353" i="10" s="1"/>
  <c r="G315" i="3"/>
  <c r="G315" i="10" s="1"/>
  <c r="K281" i="3"/>
  <c r="K281" i="10" s="1"/>
  <c r="F265" i="3"/>
  <c r="F265" i="10" s="1"/>
  <c r="F370" i="3"/>
  <c r="F370" i="10" s="1"/>
  <c r="F98" i="3"/>
  <c r="F98" i="10" s="1"/>
  <c r="F94" i="3"/>
  <c r="F94" i="10" s="1"/>
  <c r="G82" i="3"/>
  <c r="G82" i="10" s="1"/>
  <c r="G78" i="3"/>
  <c r="G78" i="10" s="1"/>
  <c r="G74" i="3"/>
  <c r="G74" i="10" s="1"/>
  <c r="G70" i="3"/>
  <c r="G70" i="10" s="1"/>
  <c r="G542" i="3"/>
  <c r="G542" i="10" s="1"/>
  <c r="F339" i="3"/>
  <c r="F339" i="10" s="1"/>
  <c r="F290" i="3"/>
  <c r="F290" i="10" s="1"/>
  <c r="G274" i="3"/>
  <c r="G274" i="10" s="1"/>
  <c r="K258" i="3"/>
  <c r="K258" i="10" s="1"/>
  <c r="F222" i="3"/>
  <c r="F222" i="10" s="1"/>
  <c r="F206" i="3"/>
  <c r="F206" i="10" s="1"/>
  <c r="F190" i="3"/>
  <c r="F190" i="10" s="1"/>
  <c r="G158" i="3"/>
  <c r="G158" i="10" s="1"/>
  <c r="K223" i="3"/>
  <c r="K223" i="10" s="1"/>
  <c r="F195" i="3"/>
  <c r="F195" i="10" s="1"/>
  <c r="K333" i="3"/>
  <c r="K333" i="10" s="1"/>
  <c r="K503" i="3"/>
  <c r="K503" i="10" s="1"/>
  <c r="F323" i="3"/>
  <c r="F323" i="10" s="1"/>
  <c r="K215" i="3"/>
  <c r="K215" i="10" s="1"/>
  <c r="F187" i="3"/>
  <c r="F187" i="10" s="1"/>
  <c r="F159" i="3"/>
  <c r="F159" i="10" s="1"/>
  <c r="K332" i="3"/>
  <c r="K332" i="10" s="1"/>
  <c r="F232" i="3"/>
  <c r="F232" i="10" s="1"/>
  <c r="G216" i="3"/>
  <c r="G216" i="10" s="1"/>
  <c r="K200" i="3"/>
  <c r="K200" i="10" s="1"/>
  <c r="F184" i="3"/>
  <c r="F184" i="10" s="1"/>
  <c r="F168" i="3"/>
  <c r="F168" i="10" s="1"/>
  <c r="K61" i="3"/>
  <c r="K61" i="10" s="1"/>
  <c r="K20" i="3"/>
  <c r="K20" i="10" s="1"/>
  <c r="K4" i="3"/>
  <c r="K4" i="10" s="1"/>
  <c r="F297" i="3"/>
  <c r="F297" i="10" s="1"/>
  <c r="K225" i="3"/>
  <c r="K225" i="10" s="1"/>
  <c r="K209" i="3"/>
  <c r="K209" i="10" s="1"/>
  <c r="F193" i="3"/>
  <c r="F193" i="10" s="1"/>
  <c r="G177" i="3"/>
  <c r="G177" i="10" s="1"/>
  <c r="G531" i="3"/>
  <c r="G531" i="10" s="1"/>
  <c r="F522" i="3"/>
  <c r="F522" i="10" s="1"/>
  <c r="F52" i="3"/>
  <c r="F52" i="10" s="1"/>
  <c r="K7" i="3"/>
  <c r="K7" i="10" s="1"/>
  <c r="K378" i="3"/>
  <c r="K378" i="10" s="1"/>
  <c r="G208" i="3"/>
  <c r="G208" i="10" s="1"/>
  <c r="G108" i="3"/>
  <c r="G108" i="10" s="1"/>
  <c r="G385" i="3"/>
  <c r="G385" i="10" s="1"/>
  <c r="G176" i="3"/>
  <c r="G176" i="10" s="1"/>
  <c r="K140" i="3"/>
  <c r="K140" i="10" s="1"/>
  <c r="K64" i="3"/>
  <c r="K64" i="10" s="1"/>
  <c r="F53" i="3"/>
  <c r="F53" i="10" s="1"/>
  <c r="K184" i="3"/>
  <c r="K184" i="10" s="1"/>
  <c r="G332" i="3"/>
  <c r="G332" i="10" s="1"/>
  <c r="K289" i="3"/>
  <c r="K289" i="10" s="1"/>
  <c r="K369" i="3"/>
  <c r="K369" i="10" s="1"/>
  <c r="F411" i="3"/>
  <c r="F411" i="10" s="1"/>
  <c r="G282" i="3"/>
  <c r="G282" i="10" s="1"/>
  <c r="G250" i="3"/>
  <c r="G250" i="10" s="1"/>
  <c r="G100" i="3"/>
  <c r="G100" i="10" s="1"/>
  <c r="K182" i="3"/>
  <c r="K182" i="10" s="1"/>
  <c r="G175" i="3"/>
  <c r="G175" i="10" s="1"/>
  <c r="G403" i="3"/>
  <c r="G403" i="10" s="1"/>
  <c r="G348" i="3"/>
  <c r="G348" i="10" s="1"/>
  <c r="K352" i="3"/>
  <c r="K352" i="10" s="1"/>
  <c r="K236" i="3"/>
  <c r="K236" i="10" s="1"/>
  <c r="G379" i="3"/>
  <c r="G379" i="10" s="1"/>
  <c r="F352" i="3"/>
  <c r="F352" i="10" s="1"/>
  <c r="G214" i="3"/>
  <c r="G214" i="10" s="1"/>
  <c r="F407" i="3"/>
  <c r="F407" i="10" s="1"/>
  <c r="F305" i="3"/>
  <c r="F305" i="10" s="1"/>
  <c r="F280" i="3"/>
  <c r="F280" i="10" s="1"/>
  <c r="K287" i="3"/>
  <c r="K287" i="10" s="1"/>
  <c r="G224" i="3"/>
  <c r="G224" i="10" s="1"/>
  <c r="K136" i="3"/>
  <c r="K136" i="10" s="1"/>
  <c r="G92" i="3"/>
  <c r="G92" i="10" s="1"/>
  <c r="K31" i="3"/>
  <c r="K31" i="10" s="1"/>
  <c r="G143" i="3"/>
  <c r="G143" i="10" s="1"/>
  <c r="K53" i="3"/>
  <c r="K53" i="10" s="1"/>
  <c r="K273" i="3"/>
  <c r="K273" i="10" s="1"/>
  <c r="F236" i="3"/>
  <c r="F236" i="10" s="1"/>
  <c r="F435" i="3"/>
  <c r="F435" i="10" s="1"/>
  <c r="F380" i="3"/>
  <c r="F380" i="10" s="1"/>
  <c r="F347" i="3"/>
  <c r="F347" i="10" s="1"/>
  <c r="K331" i="3"/>
  <c r="K331" i="10" s="1"/>
  <c r="K185" i="3"/>
  <c r="K185" i="10" s="1"/>
  <c r="G331" i="3"/>
  <c r="G331" i="10" s="1"/>
  <c r="K368" i="3"/>
  <c r="K368" i="10" s="1"/>
  <c r="F324" i="3"/>
  <c r="F324" i="10" s="1"/>
  <c r="G264" i="3"/>
  <c r="G264" i="10" s="1"/>
  <c r="G420" i="3"/>
  <c r="G420" i="10" s="1"/>
  <c r="G378" i="3"/>
  <c r="G378" i="10" s="1"/>
  <c r="K389" i="3"/>
  <c r="K389" i="10" s="1"/>
  <c r="F248" i="3"/>
  <c r="F248" i="10" s="1"/>
  <c r="F381" i="3"/>
  <c r="F381" i="10" s="1"/>
  <c r="K271" i="3"/>
  <c r="K271" i="10" s="1"/>
  <c r="F255" i="3"/>
  <c r="F255" i="10" s="1"/>
  <c r="F217" i="3"/>
  <c r="F217" i="10" s="1"/>
  <c r="K216" i="3"/>
  <c r="K216" i="10" s="1"/>
  <c r="K176" i="3"/>
  <c r="K176" i="10" s="1"/>
  <c r="K132" i="3"/>
  <c r="K132" i="10" s="1"/>
  <c r="G192" i="3"/>
  <c r="G192" i="10" s="1"/>
  <c r="F4" i="3"/>
  <c r="F4" i="10" s="1"/>
  <c r="F147" i="3"/>
  <c r="F147" i="10" s="1"/>
  <c r="K380" i="3"/>
  <c r="K380" i="10" s="1"/>
  <c r="G231" i="3"/>
  <c r="G231" i="10" s="1"/>
  <c r="G185" i="3"/>
  <c r="G185" i="10" s="1"/>
  <c r="K379" i="3"/>
  <c r="K379" i="10" s="1"/>
  <c r="F257" i="3"/>
  <c r="F257" i="10" s="1"/>
  <c r="K300" i="3"/>
  <c r="K300" i="10" s="1"/>
  <c r="G280" i="3"/>
  <c r="G280" i="10" s="1"/>
  <c r="G389" i="3"/>
  <c r="G389" i="10" s="1"/>
  <c r="G338" i="3"/>
  <c r="G338" i="10" s="1"/>
  <c r="F289" i="3"/>
  <c r="F289" i="10" s="1"/>
  <c r="F385" i="3"/>
  <c r="F385" i="10" s="1"/>
  <c r="F230" i="3"/>
  <c r="F230" i="10" s="1"/>
  <c r="G381" i="3"/>
  <c r="G381" i="10" s="1"/>
  <c r="G333" i="3"/>
  <c r="G333" i="10" s="1"/>
  <c r="G266" i="3"/>
  <c r="G266" i="10" s="1"/>
  <c r="F287" i="3"/>
  <c r="F287" i="10" s="1"/>
  <c r="K232" i="3"/>
  <c r="K232" i="10" s="1"/>
  <c r="F208" i="3"/>
  <c r="F208" i="10" s="1"/>
  <c r="G136" i="3"/>
  <c r="G136" i="10" s="1"/>
  <c r="G104" i="3"/>
  <c r="G104" i="10" s="1"/>
  <c r="F182" i="3"/>
  <c r="F182" i="10" s="1"/>
  <c r="K175" i="3"/>
  <c r="K175" i="10" s="1"/>
  <c r="F231" i="3"/>
  <c r="F231" i="10" s="1"/>
  <c r="K207" i="3"/>
  <c r="K207" i="10" s="1"/>
  <c r="K257" i="3"/>
  <c r="K257" i="10" s="1"/>
  <c r="G203" i="3"/>
  <c r="G203" i="10" s="1"/>
  <c r="K391" i="3"/>
  <c r="K391" i="10" s="1"/>
  <c r="K347" i="3"/>
  <c r="K347" i="10" s="1"/>
  <c r="F207" i="3"/>
  <c r="F207" i="10" s="1"/>
  <c r="G198" i="3"/>
  <c r="G198" i="10" s="1"/>
  <c r="K264" i="3"/>
  <c r="K264" i="10" s="1"/>
  <c r="F250" i="3"/>
  <c r="F250" i="10" s="1"/>
  <c r="F423" i="3"/>
  <c r="F423" i="10" s="1"/>
  <c r="K407" i="3"/>
  <c r="K407" i="10" s="1"/>
  <c r="F369" i="3"/>
  <c r="F369" i="10" s="1"/>
  <c r="F198" i="3"/>
  <c r="F198" i="10" s="1"/>
  <c r="G411" i="3"/>
  <c r="G411" i="10" s="1"/>
  <c r="K255" i="3"/>
  <c r="K255" i="10" s="1"/>
  <c r="G258" i="3"/>
  <c r="G258" i="10" s="1"/>
  <c r="K224" i="3"/>
  <c r="K224" i="10" s="1"/>
  <c r="G200" i="3"/>
  <c r="G200" i="10" s="1"/>
  <c r="G132" i="3"/>
  <c r="G132" i="10" s="1"/>
  <c r="G96" i="3"/>
  <c r="G96" i="10" s="1"/>
  <c r="G64" i="3"/>
  <c r="G64" i="10" s="1"/>
  <c r="K143" i="3"/>
  <c r="K143" i="10" s="1"/>
  <c r="G141" i="3"/>
  <c r="G141" i="10" s="1"/>
  <c r="G147" i="3"/>
  <c r="G147" i="10" s="1"/>
  <c r="F348" i="3"/>
  <c r="F348" i="10" s="1"/>
  <c r="G435" i="3"/>
  <c r="G435" i="10" s="1"/>
  <c r="K355" i="3"/>
  <c r="K355" i="10" s="1"/>
  <c r="K282" i="3"/>
  <c r="K282" i="10" s="1"/>
  <c r="F368" i="3"/>
  <c r="F368" i="10" s="1"/>
  <c r="K324" i="3"/>
  <c r="K324" i="10" s="1"/>
  <c r="F300" i="3"/>
  <c r="F300" i="10" s="1"/>
  <c r="G230" i="3"/>
  <c r="G230" i="10" s="1"/>
  <c r="G248" i="3"/>
  <c r="G248" i="10" s="1"/>
  <c r="F333" i="3"/>
  <c r="F333" i="10" s="1"/>
  <c r="G290" i="3"/>
  <c r="G290" i="10" s="1"/>
  <c r="G168" i="3"/>
  <c r="G168" i="10" s="1"/>
  <c r="F332" i="3"/>
  <c r="F332" i="10" s="1"/>
  <c r="G232" i="3"/>
  <c r="G232" i="10" s="1"/>
  <c r="F216" i="3"/>
  <c r="F216" i="10" s="1"/>
  <c r="F200" i="3"/>
  <c r="F200" i="10" s="1"/>
  <c r="F177" i="3"/>
  <c r="F177" i="10" s="1"/>
  <c r="G4" i="3"/>
  <c r="G4" i="10" s="1"/>
  <c r="F61" i="3"/>
  <c r="F61" i="10" s="1"/>
  <c r="G106" i="3"/>
  <c r="G106" i="10" s="1"/>
  <c r="K94" i="3"/>
  <c r="K94" i="10" s="1"/>
  <c r="K399" i="3"/>
  <c r="K399" i="10" s="1"/>
  <c r="K373" i="3"/>
  <c r="K373" i="10" s="1"/>
  <c r="F401" i="3"/>
  <c r="F401" i="10" s="1"/>
  <c r="K353" i="3"/>
  <c r="K353" i="10" s="1"/>
  <c r="K110" i="3"/>
  <c r="K110" i="10" s="1"/>
  <c r="G61" i="3"/>
  <c r="G61" i="10" s="1"/>
  <c r="K187" i="3"/>
  <c r="K187" i="10" s="1"/>
  <c r="G416" i="3"/>
  <c r="G416" i="10" s="1"/>
  <c r="K405" i="3"/>
  <c r="K405" i="10" s="1"/>
  <c r="K177" i="3"/>
  <c r="K177" i="10" s="1"/>
  <c r="F215" i="3"/>
  <c r="F215" i="10" s="1"/>
  <c r="G184" i="3"/>
  <c r="G184" i="10" s="1"/>
  <c r="F391" i="3"/>
  <c r="F391" i="10" s="1"/>
  <c r="K371" i="3"/>
  <c r="K371" i="10" s="1"/>
  <c r="F372" i="3"/>
  <c r="F372" i="10" s="1"/>
  <c r="K190" i="3"/>
  <c r="K190" i="10" s="1"/>
  <c r="F367" i="3"/>
  <c r="F367" i="10" s="1"/>
  <c r="K242" i="3"/>
  <c r="K242" i="10" s="1"/>
  <c r="G242" i="3"/>
  <c r="G242" i="10" s="1"/>
  <c r="G206" i="3"/>
  <c r="G206" i="10" s="1"/>
  <c r="K206" i="3"/>
  <c r="K206" i="10" s="1"/>
  <c r="F174" i="3"/>
  <c r="F174" i="10" s="1"/>
  <c r="G174" i="3"/>
  <c r="G174" i="10" s="1"/>
  <c r="F142" i="3"/>
  <c r="F142" i="10" s="1"/>
  <c r="K142" i="3"/>
  <c r="K142" i="10" s="1"/>
  <c r="F20" i="3"/>
  <c r="F20" i="10" s="1"/>
  <c r="G20" i="3"/>
  <c r="G20" i="10" s="1"/>
  <c r="G297" i="3"/>
  <c r="G297" i="10" s="1"/>
  <c r="K297" i="3"/>
  <c r="K297" i="10" s="1"/>
  <c r="G225" i="3"/>
  <c r="G225" i="10" s="1"/>
  <c r="F225" i="3"/>
  <c r="F225" i="10" s="1"/>
  <c r="G209" i="3"/>
  <c r="G209" i="10" s="1"/>
  <c r="F209" i="3"/>
  <c r="F209" i="10" s="1"/>
  <c r="G193" i="3"/>
  <c r="G193" i="10" s="1"/>
  <c r="K193" i="3"/>
  <c r="K193" i="10" s="1"/>
  <c r="K433" i="3"/>
  <c r="K433" i="10" s="1"/>
  <c r="G433" i="3"/>
  <c r="G433" i="10" s="1"/>
  <c r="G263" i="3"/>
  <c r="G263" i="10" s="1"/>
  <c r="K263" i="3"/>
  <c r="K263" i="10" s="1"/>
  <c r="F387" i="3"/>
  <c r="F387" i="10" s="1"/>
  <c r="G387" i="3"/>
  <c r="G387" i="10" s="1"/>
  <c r="F138" i="3"/>
  <c r="F138" i="10" s="1"/>
  <c r="K138" i="3"/>
  <c r="K138" i="10" s="1"/>
  <c r="F66" i="3"/>
  <c r="F66" i="10" s="1"/>
  <c r="G66" i="3"/>
  <c r="G66" i="10" s="1"/>
  <c r="G405" i="3"/>
  <c r="G405" i="10" s="1"/>
  <c r="G373" i="3"/>
  <c r="G373" i="10" s="1"/>
  <c r="G353" i="3"/>
  <c r="G353" i="10" s="1"/>
  <c r="K290" i="3"/>
  <c r="K290" i="10" s="1"/>
  <c r="K279" i="3"/>
  <c r="K279" i="10" s="1"/>
  <c r="G110" i="3"/>
  <c r="G110" i="10" s="1"/>
  <c r="K98" i="3"/>
  <c r="K98" i="10" s="1"/>
  <c r="G94" i="3"/>
  <c r="G94" i="10" s="1"/>
  <c r="G340" i="3"/>
  <c r="G340" i="10" s="1"/>
  <c r="K387" i="3"/>
  <c r="K387" i="10" s="1"/>
  <c r="F438" i="3"/>
  <c r="F438" i="10" s="1"/>
  <c r="K272" i="3"/>
  <c r="K272" i="10" s="1"/>
  <c r="G323" i="3"/>
  <c r="G323" i="10" s="1"/>
  <c r="G195" i="3"/>
  <c r="G195" i="10" s="1"/>
  <c r="F371" i="3"/>
  <c r="F371" i="10" s="1"/>
  <c r="G383" i="3"/>
  <c r="G383" i="10" s="1"/>
  <c r="G187" i="3"/>
  <c r="G187" i="10" s="1"/>
  <c r="K409" i="3"/>
  <c r="K409" i="10" s="1"/>
  <c r="F409" i="3"/>
  <c r="F409" i="10" s="1"/>
  <c r="F134" i="3"/>
  <c r="F134" i="10" s="1"/>
  <c r="K134" i="3"/>
  <c r="K134" i="10" s="1"/>
  <c r="F130" i="3"/>
  <c r="F130" i="10" s="1"/>
  <c r="K130" i="3"/>
  <c r="K130" i="10" s="1"/>
  <c r="K249" i="3"/>
  <c r="K249" i="10" s="1"/>
  <c r="F249" i="3"/>
  <c r="F249" i="10" s="1"/>
  <c r="F542" i="3"/>
  <c r="F542" i="10" s="1"/>
  <c r="K542" i="3"/>
  <c r="K542" i="10" s="1"/>
  <c r="G409" i="3"/>
  <c r="G409" i="10" s="1"/>
  <c r="K401" i="3"/>
  <c r="K401" i="10" s="1"/>
  <c r="K337" i="3"/>
  <c r="K337" i="10" s="1"/>
  <c r="F279" i="3"/>
  <c r="F279" i="10" s="1"/>
  <c r="G138" i="3"/>
  <c r="G138" i="10" s="1"/>
  <c r="K102" i="3"/>
  <c r="K102" i="10" s="1"/>
  <c r="G98" i="3"/>
  <c r="G98" i="10" s="1"/>
  <c r="K438" i="3"/>
  <c r="K438" i="10" s="1"/>
  <c r="K383" i="3"/>
  <c r="K383" i="10" s="1"/>
  <c r="F340" i="3"/>
  <c r="F340" i="10" s="1"/>
  <c r="K265" i="3"/>
  <c r="K265" i="10" s="1"/>
  <c r="F258" i="3"/>
  <c r="F258" i="10" s="1"/>
  <c r="F242" i="3"/>
  <c r="F242" i="10" s="1"/>
  <c r="K400" i="3"/>
  <c r="K400" i="10" s="1"/>
  <c r="K370" i="3"/>
  <c r="K370" i="10" s="1"/>
  <c r="K339" i="3"/>
  <c r="K339" i="10" s="1"/>
  <c r="K323" i="3"/>
  <c r="K323" i="10" s="1"/>
  <c r="G272" i="3"/>
  <c r="G272" i="10" s="1"/>
  <c r="G503" i="3"/>
  <c r="G503" i="10" s="1"/>
  <c r="G360" i="3"/>
  <c r="G360" i="10" s="1"/>
  <c r="K367" i="3"/>
  <c r="K367" i="10" s="1"/>
  <c r="G190" i="3"/>
  <c r="G190" i="10" s="1"/>
  <c r="G247" i="3"/>
  <c r="G247" i="10" s="1"/>
  <c r="F247" i="3"/>
  <c r="F247" i="10" s="1"/>
  <c r="F288" i="3"/>
  <c r="F288" i="10" s="1"/>
  <c r="K288" i="3"/>
  <c r="K288" i="10" s="1"/>
  <c r="G288" i="3"/>
  <c r="G288" i="10" s="1"/>
  <c r="K256" i="3"/>
  <c r="K256" i="10" s="1"/>
  <c r="F256" i="3"/>
  <c r="F256" i="10" s="1"/>
  <c r="G281" i="3"/>
  <c r="G281" i="10" s="1"/>
  <c r="F281" i="3"/>
  <c r="F281" i="10" s="1"/>
  <c r="G370" i="3"/>
  <c r="G370" i="10" s="1"/>
  <c r="F416" i="3"/>
  <c r="F416" i="10" s="1"/>
  <c r="F337" i="3"/>
  <c r="F337" i="10" s="1"/>
  <c r="F263" i="3"/>
  <c r="F263" i="10" s="1"/>
  <c r="K174" i="3"/>
  <c r="K174" i="10" s="1"/>
  <c r="G142" i="3"/>
  <c r="G142" i="10" s="1"/>
  <c r="K106" i="3"/>
  <c r="K106" i="10" s="1"/>
  <c r="G102" i="3"/>
  <c r="G102" i="10" s="1"/>
  <c r="K66" i="3"/>
  <c r="K66" i="10" s="1"/>
  <c r="F433" i="3"/>
  <c r="F433" i="10" s="1"/>
  <c r="G265" i="3"/>
  <c r="G265" i="10" s="1"/>
  <c r="G215" i="3"/>
  <c r="G215" i="10" s="1"/>
  <c r="G400" i="3"/>
  <c r="G400" i="10" s="1"/>
  <c r="G339" i="3"/>
  <c r="G339" i="10" s="1"/>
  <c r="F503" i="3"/>
  <c r="F503" i="10" s="1"/>
  <c r="F360" i="3"/>
  <c r="F360" i="10" s="1"/>
  <c r="G372" i="3"/>
  <c r="G372" i="10" s="1"/>
  <c r="K420" i="3"/>
  <c r="K420" i="10" s="1"/>
  <c r="K423" i="3"/>
  <c r="K423" i="10" s="1"/>
  <c r="F338" i="3"/>
  <c r="F338" i="10" s="1"/>
  <c r="F271" i="3"/>
  <c r="F271" i="10" s="1"/>
  <c r="K108" i="3"/>
  <c r="K108" i="10" s="1"/>
  <c r="K104" i="3"/>
  <c r="K104" i="10" s="1"/>
  <c r="K100" i="3"/>
  <c r="K100" i="10" s="1"/>
  <c r="K96" i="3"/>
  <c r="K96" i="10" s="1"/>
  <c r="K92" i="3"/>
  <c r="K92" i="10" s="1"/>
  <c r="G355" i="3"/>
  <c r="G355" i="10" s="1"/>
  <c r="K403" i="3"/>
  <c r="K403" i="10" s="1"/>
  <c r="F203" i="3"/>
  <c r="F203" i="10" s="1"/>
  <c r="F266" i="3"/>
  <c r="F266" i="10" s="1"/>
  <c r="F526" i="3"/>
  <c r="F526" i="10" s="1"/>
  <c r="F273" i="3"/>
  <c r="F273" i="10" s="1"/>
  <c r="G522" i="3"/>
  <c r="G522" i="10" s="1"/>
  <c r="F154" i="3"/>
  <c r="F154" i="10" s="1"/>
  <c r="F162" i="3"/>
  <c r="F162" i="10" s="1"/>
  <c r="F34" i="3"/>
  <c r="F34" i="10" s="1"/>
  <c r="F148" i="3"/>
  <c r="F148" i="10" s="1"/>
  <c r="K318" i="3"/>
  <c r="K318" i="10" s="1"/>
  <c r="K426" i="3"/>
  <c r="K426" i="10" s="1"/>
  <c r="K466" i="3"/>
  <c r="K466" i="10" s="1"/>
  <c r="F518" i="3"/>
  <c r="F518" i="10" s="1"/>
  <c r="F86" i="3"/>
  <c r="F86" i="10" s="1"/>
  <c r="F44" i="3"/>
  <c r="F44" i="10" s="1"/>
  <c r="F68" i="3"/>
  <c r="F68" i="10" s="1"/>
  <c r="F76" i="3"/>
  <c r="F76" i="10" s="1"/>
  <c r="F116" i="3"/>
  <c r="F116" i="10" s="1"/>
  <c r="F123" i="3"/>
  <c r="F123" i="10" s="1"/>
  <c r="F127" i="3"/>
  <c r="F127" i="10" s="1"/>
  <c r="K274" i="3"/>
  <c r="K274" i="10" s="1"/>
  <c r="K443" i="3"/>
  <c r="K443" i="10" s="1"/>
  <c r="G515" i="3"/>
  <c r="G515" i="10" s="1"/>
  <c r="K486" i="3"/>
  <c r="K486" i="10" s="1"/>
  <c r="G222" i="3"/>
  <c r="G222" i="10" s="1"/>
  <c r="F311" i="3"/>
  <c r="F311" i="10" s="1"/>
  <c r="F398" i="3"/>
  <c r="F398" i="10" s="1"/>
  <c r="G493" i="3"/>
  <c r="G493" i="10" s="1"/>
  <c r="G510" i="3"/>
  <c r="G510" i="10" s="1"/>
  <c r="F156" i="3"/>
  <c r="F156" i="10" s="1"/>
  <c r="F164" i="3"/>
  <c r="F164" i="10" s="1"/>
  <c r="F36" i="3"/>
  <c r="F36" i="10" s="1"/>
  <c r="F38" i="3"/>
  <c r="F38" i="10" s="1"/>
  <c r="G448" i="3"/>
  <c r="G448" i="10" s="1"/>
  <c r="K468" i="3"/>
  <c r="K468" i="10" s="1"/>
  <c r="K482" i="3"/>
  <c r="K482" i="10" s="1"/>
  <c r="F521" i="3"/>
  <c r="F521" i="10" s="1"/>
  <c r="F46" i="3"/>
  <c r="F46" i="10" s="1"/>
  <c r="F70" i="3"/>
  <c r="F70" i="10" s="1"/>
  <c r="F78" i="3"/>
  <c r="F78" i="10" s="1"/>
  <c r="F118" i="3"/>
  <c r="F118" i="10" s="1"/>
  <c r="F124" i="3"/>
  <c r="F124" i="10" s="1"/>
  <c r="F128" i="3"/>
  <c r="F128" i="10" s="1"/>
  <c r="G313" i="3"/>
  <c r="G313" i="10" s="1"/>
  <c r="F359" i="3"/>
  <c r="F359" i="10" s="1"/>
  <c r="G447" i="3"/>
  <c r="G447" i="10" s="1"/>
  <c r="F508" i="3"/>
  <c r="F508" i="10" s="1"/>
  <c r="F319" i="3"/>
  <c r="F319" i="10" s="1"/>
  <c r="K510" i="3"/>
  <c r="K510" i="10" s="1"/>
  <c r="G533" i="3"/>
  <c r="G533" i="10" s="1"/>
  <c r="F158" i="3"/>
  <c r="F158" i="10" s="1"/>
  <c r="F470" i="3"/>
  <c r="F470" i="10" s="1"/>
  <c r="K493" i="3"/>
  <c r="K493" i="10" s="1"/>
  <c r="F80" i="3"/>
  <c r="F80" i="10" s="1"/>
  <c r="F112" i="3"/>
  <c r="F112" i="10" s="1"/>
  <c r="F125" i="3"/>
  <c r="F125" i="10" s="1"/>
  <c r="K481" i="3"/>
  <c r="K481" i="10" s="1"/>
  <c r="F274" i="3"/>
  <c r="F274" i="10" s="1"/>
  <c r="G486" i="3"/>
  <c r="G486" i="10" s="1"/>
  <c r="K476" i="3"/>
  <c r="K476" i="10" s="1"/>
  <c r="K540" i="3"/>
  <c r="K540" i="10" s="1"/>
  <c r="F160" i="3"/>
  <c r="F160" i="10" s="1"/>
  <c r="F82" i="3"/>
  <c r="F82" i="10" s="1"/>
  <c r="F114" i="3"/>
  <c r="F114" i="10" s="1"/>
  <c r="F126" i="3"/>
  <c r="F126" i="10" s="1"/>
  <c r="G476" i="3"/>
  <c r="G476" i="10" s="1"/>
  <c r="F510" i="3"/>
  <c r="F510" i="10" s="1"/>
  <c r="K359" i="3"/>
  <c r="K359" i="10" s="1"/>
  <c r="G359" i="3"/>
  <c r="G359" i="10" s="1"/>
  <c r="F515" i="3"/>
  <c r="F515" i="10" s="1"/>
  <c r="F166" i="3"/>
  <c r="F166" i="10" s="1"/>
  <c r="G464" i="3"/>
  <c r="G464" i="10" s="1"/>
  <c r="K538" i="3"/>
  <c r="K538" i="10" s="1"/>
  <c r="F447" i="3"/>
  <c r="F447" i="10" s="1"/>
  <c r="F468" i="3"/>
  <c r="F468" i="10" s="1"/>
  <c r="F476" i="3"/>
  <c r="F476" i="10" s="1"/>
  <c r="G539" i="3"/>
  <c r="G539" i="10" s="1"/>
  <c r="G468" i="3"/>
  <c r="G468" i="10" s="1"/>
  <c r="G518" i="3"/>
  <c r="G518" i="10" s="1"/>
  <c r="G434" i="3"/>
  <c r="G434" i="10" s="1"/>
  <c r="K222" i="3"/>
  <c r="K222" i="10" s="1"/>
  <c r="F481" i="3"/>
  <c r="F481" i="10" s="1"/>
  <c r="F493" i="3"/>
  <c r="F493" i="10" s="1"/>
  <c r="G480" i="3"/>
  <c r="G480" i="10" s="1"/>
  <c r="G488" i="3"/>
  <c r="G488" i="10" s="1"/>
  <c r="G496" i="3"/>
  <c r="G496" i="10" s="1"/>
  <c r="K490" i="3"/>
  <c r="K490" i="10" s="1"/>
  <c r="F513" i="3"/>
  <c r="F513" i="10" s="1"/>
  <c r="G537" i="3"/>
  <c r="G537" i="10" s="1"/>
  <c r="G312" i="3"/>
  <c r="G312" i="10" s="1"/>
  <c r="K447" i="3"/>
  <c r="K447" i="10" s="1"/>
  <c r="G478" i="3"/>
  <c r="G478" i="10" s="1"/>
  <c r="K484" i="3"/>
  <c r="K484" i="10" s="1"/>
  <c r="K492" i="3"/>
  <c r="K492" i="10" s="1"/>
  <c r="K500" i="3"/>
  <c r="K500" i="10" s="1"/>
  <c r="F150" i="3"/>
  <c r="F150" i="10" s="1"/>
  <c r="F84" i="3"/>
  <c r="F84" i="10" s="1"/>
  <c r="K310" i="3"/>
  <c r="K310" i="10" s="1"/>
  <c r="F72" i="3"/>
  <c r="F72" i="10" s="1"/>
  <c r="F120" i="3"/>
  <c r="F120" i="10" s="1"/>
  <c r="G429" i="3"/>
  <c r="G429" i="10" s="1"/>
  <c r="K515" i="3"/>
  <c r="K515" i="10" s="1"/>
  <c r="G481" i="3"/>
  <c r="G481" i="10" s="1"/>
  <c r="G521" i="3"/>
  <c r="G521" i="10" s="1"/>
  <c r="F74" i="3"/>
  <c r="F74" i="10" s="1"/>
  <c r="K521" i="3"/>
  <c r="K521" i="10" s="1"/>
  <c r="G484" i="3"/>
  <c r="G484" i="10" s="1"/>
  <c r="G500" i="3"/>
  <c r="G500" i="10" s="1"/>
  <c r="F480" i="3"/>
  <c r="F480" i="10" s="1"/>
  <c r="F496" i="3"/>
  <c r="F496" i="10" s="1"/>
  <c r="K519" i="3"/>
  <c r="K519" i="10" s="1"/>
  <c r="G532" i="3"/>
  <c r="G532" i="10" s="1"/>
  <c r="F516" i="3"/>
  <c r="F516" i="10" s="1"/>
  <c r="G541" i="3"/>
  <c r="G541" i="10" s="1"/>
  <c r="K430" i="3"/>
  <c r="K430" i="10" s="1"/>
  <c r="K479" i="3"/>
  <c r="K479" i="10" s="1"/>
  <c r="G495" i="3"/>
  <c r="G495" i="10" s="1"/>
  <c r="F466" i="3"/>
  <c r="F466" i="10" s="1"/>
  <c r="F482" i="3"/>
  <c r="F482" i="10" s="1"/>
  <c r="K518" i="3"/>
  <c r="K518" i="10" s="1"/>
  <c r="F392" i="3"/>
  <c r="F392" i="10" s="1"/>
  <c r="G308" i="3"/>
  <c r="G308" i="10" s="1"/>
  <c r="F356" i="3"/>
  <c r="F356" i="10" s="1"/>
  <c r="G446" i="3"/>
  <c r="G446" i="10" s="1"/>
  <c r="K509" i="3"/>
  <c r="K509" i="10" s="1"/>
  <c r="G223" i="3"/>
  <c r="G223" i="10" s="1"/>
  <c r="G395" i="3"/>
  <c r="G395" i="10" s="1"/>
  <c r="G509" i="3"/>
  <c r="G509" i="10" s="1"/>
  <c r="K434" i="3"/>
  <c r="K434" i="10" s="1"/>
  <c r="F446" i="3"/>
  <c r="F446" i="10" s="1"/>
  <c r="F472" i="3"/>
  <c r="F472" i="10" s="1"/>
  <c r="G512" i="3"/>
  <c r="G512" i="10" s="1"/>
  <c r="K535" i="3"/>
  <c r="K535" i="10" s="1"/>
  <c r="F443" i="3"/>
  <c r="F443" i="10" s="1"/>
  <c r="K470" i="3"/>
  <c r="K470" i="10" s="1"/>
  <c r="G161" i="3"/>
  <c r="G161" i="10" s="1"/>
  <c r="K45" i="3"/>
  <c r="K45" i="10" s="1"/>
  <c r="G69" i="3"/>
  <c r="G69" i="10" s="1"/>
  <c r="K77" i="3"/>
  <c r="K77" i="10" s="1"/>
  <c r="G115" i="3"/>
  <c r="G115" i="10" s="1"/>
  <c r="G163" i="3"/>
  <c r="G163" i="10" s="1"/>
  <c r="F47" i="3"/>
  <c r="F47" i="10" s="1"/>
  <c r="K71" i="3"/>
  <c r="K71" i="10" s="1"/>
  <c r="F79" i="3"/>
  <c r="F79" i="10" s="1"/>
  <c r="F117" i="3"/>
  <c r="F117" i="10" s="1"/>
  <c r="G149" i="3"/>
  <c r="G149" i="10" s="1"/>
  <c r="K157" i="3"/>
  <c r="K157" i="10" s="1"/>
  <c r="F165" i="3"/>
  <c r="F165" i="10" s="1"/>
  <c r="K75" i="3"/>
  <c r="K75" i="10" s="1"/>
  <c r="G121" i="3"/>
  <c r="G121" i="10" s="1"/>
  <c r="G73" i="3"/>
  <c r="G73" i="10" s="1"/>
  <c r="K81" i="3"/>
  <c r="K81" i="10" s="1"/>
  <c r="G111" i="3"/>
  <c r="G111" i="10" s="1"/>
  <c r="K119" i="3"/>
  <c r="K119" i="10" s="1"/>
  <c r="G159" i="3"/>
  <c r="G159" i="10" s="1"/>
  <c r="K167" i="3"/>
  <c r="K167" i="10" s="1"/>
  <c r="G35" i="3"/>
  <c r="G35" i="10" s="1"/>
  <c r="F42" i="3"/>
  <c r="F42" i="10" s="1"/>
  <c r="K312" i="3"/>
  <c r="K312" i="10" s="1"/>
  <c r="K488" i="3"/>
  <c r="K488" i="10" s="1"/>
  <c r="G504" i="3"/>
  <c r="G504" i="10" s="1"/>
  <c r="F484" i="3"/>
  <c r="F484" i="10" s="1"/>
  <c r="F500" i="3"/>
  <c r="F500" i="10" s="1"/>
  <c r="K532" i="3"/>
  <c r="K532" i="10" s="1"/>
  <c r="F478" i="3"/>
  <c r="F478" i="10" s="1"/>
  <c r="F520" i="3"/>
  <c r="F520" i="10" s="1"/>
  <c r="G536" i="3"/>
  <c r="G536" i="10" s="1"/>
  <c r="F541" i="3"/>
  <c r="F541" i="10" s="1"/>
  <c r="G479" i="3"/>
  <c r="G479" i="10" s="1"/>
  <c r="F495" i="3"/>
  <c r="F495" i="10" s="1"/>
  <c r="K520" i="3"/>
  <c r="K520" i="10" s="1"/>
  <c r="G540" i="3"/>
  <c r="G540" i="10" s="1"/>
  <c r="F486" i="3"/>
  <c r="F486" i="10" s="1"/>
  <c r="K392" i="3"/>
  <c r="K392" i="10" s="1"/>
  <c r="F316" i="3"/>
  <c r="F316" i="10" s="1"/>
  <c r="K356" i="3"/>
  <c r="K356" i="10" s="1"/>
  <c r="K446" i="3"/>
  <c r="K446" i="10" s="1"/>
  <c r="F223" i="3"/>
  <c r="F223" i="10" s="1"/>
  <c r="K513" i="3"/>
  <c r="K513" i="10" s="1"/>
  <c r="F396" i="3"/>
  <c r="F396" i="10" s="1"/>
  <c r="F462" i="3"/>
  <c r="F462" i="10" s="1"/>
  <c r="G513" i="3"/>
  <c r="G513" i="10" s="1"/>
  <c r="F539" i="3"/>
  <c r="F539" i="10" s="1"/>
  <c r="G508" i="3"/>
  <c r="G508" i="10" s="1"/>
  <c r="G153" i="3"/>
  <c r="G153" i="10" s="1"/>
  <c r="K161" i="3"/>
  <c r="K161" i="10" s="1"/>
  <c r="G43" i="3"/>
  <c r="G43" i="10" s="1"/>
  <c r="F45" i="3"/>
  <c r="F45" i="10" s="1"/>
  <c r="K69" i="3"/>
  <c r="K69" i="10" s="1"/>
  <c r="F77" i="3"/>
  <c r="F77" i="10" s="1"/>
  <c r="K115" i="3"/>
  <c r="K115" i="10" s="1"/>
  <c r="G155" i="3"/>
  <c r="G155" i="10" s="1"/>
  <c r="K163" i="3"/>
  <c r="K163" i="10" s="1"/>
  <c r="F71" i="3"/>
  <c r="F71" i="10" s="1"/>
  <c r="K149" i="3"/>
  <c r="K149" i="10" s="1"/>
  <c r="F157" i="3"/>
  <c r="F157" i="10" s="1"/>
  <c r="F75" i="3"/>
  <c r="F75" i="10" s="1"/>
  <c r="G113" i="3"/>
  <c r="G113" i="10" s="1"/>
  <c r="K121" i="3"/>
  <c r="K121" i="10" s="1"/>
  <c r="K73" i="3"/>
  <c r="K73" i="10" s="1"/>
  <c r="F81" i="3"/>
  <c r="F81" i="10" s="1"/>
  <c r="K111" i="3"/>
  <c r="K111" i="10" s="1"/>
  <c r="F119" i="3"/>
  <c r="F119" i="10" s="1"/>
  <c r="G151" i="3"/>
  <c r="G151" i="10" s="1"/>
  <c r="K159" i="3"/>
  <c r="K159" i="10" s="1"/>
  <c r="F167" i="3"/>
  <c r="F167" i="10" s="1"/>
  <c r="G538" i="3"/>
  <c r="G538" i="10" s="1"/>
  <c r="G502" i="3"/>
  <c r="G502" i="10" s="1"/>
  <c r="K514" i="3"/>
  <c r="K514" i="10" s="1"/>
  <c r="G311" i="3"/>
  <c r="G311" i="10" s="1"/>
  <c r="G309" i="3"/>
  <c r="G309" i="10" s="1"/>
  <c r="K317" i="3"/>
  <c r="K317" i="10" s="1"/>
  <c r="G358" i="3"/>
  <c r="G358" i="10" s="1"/>
  <c r="F37" i="3"/>
  <c r="F37" i="10" s="1"/>
  <c r="G39" i="3"/>
  <c r="G39" i="10" s="1"/>
  <c r="F393" i="3"/>
  <c r="F393" i="10" s="1"/>
  <c r="K164" i="3"/>
  <c r="K164" i="10" s="1"/>
  <c r="K160" i="3"/>
  <c r="K160" i="10" s="1"/>
  <c r="K156" i="3"/>
  <c r="K156" i="10" s="1"/>
  <c r="K152" i="3"/>
  <c r="K152" i="10" s="1"/>
  <c r="K148" i="3"/>
  <c r="K148" i="10" s="1"/>
  <c r="K124" i="3"/>
  <c r="K124" i="10" s="1"/>
  <c r="K120" i="3"/>
  <c r="K120" i="10" s="1"/>
  <c r="K116" i="3"/>
  <c r="K116" i="10" s="1"/>
  <c r="K112" i="3"/>
  <c r="K112" i="10" s="1"/>
  <c r="K84" i="3"/>
  <c r="K84" i="10" s="1"/>
  <c r="K80" i="3"/>
  <c r="K80" i="10" s="1"/>
  <c r="K76" i="3"/>
  <c r="K76" i="10" s="1"/>
  <c r="K72" i="3"/>
  <c r="K72" i="10" s="1"/>
  <c r="K68" i="3"/>
  <c r="K68" i="10" s="1"/>
  <c r="K44" i="3"/>
  <c r="K44" i="10" s="1"/>
  <c r="K40" i="3"/>
  <c r="K40" i="10" s="1"/>
  <c r="K36" i="3"/>
  <c r="K36" i="10" s="1"/>
  <c r="G275" i="3"/>
  <c r="G275" i="10" s="1"/>
  <c r="G125" i="3"/>
  <c r="G125" i="10" s="1"/>
  <c r="G87" i="3"/>
  <c r="G87" i="10" s="1"/>
  <c r="G83" i="3"/>
  <c r="G83" i="10" s="1"/>
  <c r="F151" i="3"/>
  <c r="F151" i="10" s="1"/>
  <c r="F121" i="3"/>
  <c r="F121" i="10" s="1"/>
  <c r="F149" i="3"/>
  <c r="F149" i="10" s="1"/>
  <c r="K117" i="3"/>
  <c r="K117" i="10" s="1"/>
  <c r="G79" i="3"/>
  <c r="G79" i="10" s="1"/>
  <c r="K47" i="3"/>
  <c r="K47" i="10" s="1"/>
  <c r="K508" i="3"/>
  <c r="K508" i="10" s="1"/>
  <c r="K396" i="3"/>
  <c r="K396" i="10" s="1"/>
  <c r="K512" i="3"/>
  <c r="K512" i="10" s="1"/>
  <c r="F429" i="3"/>
  <c r="F429" i="10" s="1"/>
  <c r="G535" i="3"/>
  <c r="G535" i="10" s="1"/>
  <c r="G462" i="3"/>
  <c r="G462" i="10" s="1"/>
  <c r="K316" i="3"/>
  <c r="K316" i="10" s="1"/>
  <c r="F492" i="3"/>
  <c r="F492" i="10" s="1"/>
  <c r="G492" i="3"/>
  <c r="G492" i="10" s="1"/>
  <c r="K537" i="3"/>
  <c r="K537" i="10" s="1"/>
  <c r="F428" i="3"/>
  <c r="F428" i="10" s="1"/>
  <c r="K502" i="3"/>
  <c r="K502" i="10" s="1"/>
  <c r="K448" i="3"/>
  <c r="K448" i="10" s="1"/>
  <c r="K534" i="3"/>
  <c r="K534" i="10" s="1"/>
  <c r="G514" i="3"/>
  <c r="G514" i="10" s="1"/>
  <c r="F460" i="3"/>
  <c r="F460" i="10" s="1"/>
  <c r="F426" i="3"/>
  <c r="F426" i="10" s="1"/>
  <c r="G398" i="3"/>
  <c r="G398" i="10" s="1"/>
  <c r="G357" i="3"/>
  <c r="G357" i="10" s="1"/>
  <c r="F318" i="3"/>
  <c r="F318" i="10" s="1"/>
  <c r="G310" i="3"/>
  <c r="G310" i="10" s="1"/>
  <c r="G317" i="3"/>
  <c r="G317" i="10" s="1"/>
  <c r="F397" i="3"/>
  <c r="F397" i="10" s="1"/>
  <c r="F317" i="3"/>
  <c r="F317" i="10" s="1"/>
  <c r="F309" i="3"/>
  <c r="F309" i="10" s="1"/>
  <c r="F358" i="3"/>
  <c r="F358" i="10" s="1"/>
  <c r="F83" i="3"/>
  <c r="F83" i="10" s="1"/>
  <c r="F35" i="3"/>
  <c r="F35" i="10" s="1"/>
  <c r="K37" i="3"/>
  <c r="K37" i="10" s="1"/>
  <c r="K444" i="3"/>
  <c r="K444" i="10" s="1"/>
  <c r="G164" i="3"/>
  <c r="G164" i="10" s="1"/>
  <c r="G160" i="3"/>
  <c r="G160" i="10" s="1"/>
  <c r="G156" i="3"/>
  <c r="G156" i="10" s="1"/>
  <c r="G152" i="3"/>
  <c r="G152" i="10" s="1"/>
  <c r="G148" i="3"/>
  <c r="G148" i="10" s="1"/>
  <c r="G128" i="3"/>
  <c r="G128" i="10" s="1"/>
  <c r="G124" i="3"/>
  <c r="G124" i="10" s="1"/>
  <c r="G120" i="3"/>
  <c r="G120" i="10" s="1"/>
  <c r="G116" i="3"/>
  <c r="G116" i="10" s="1"/>
  <c r="G112" i="3"/>
  <c r="G112" i="10" s="1"/>
  <c r="G84" i="3"/>
  <c r="G84" i="10" s="1"/>
  <c r="G80" i="3"/>
  <c r="G80" i="10" s="1"/>
  <c r="G76" i="3"/>
  <c r="G76" i="10" s="1"/>
  <c r="G72" i="3"/>
  <c r="G72" i="10" s="1"/>
  <c r="G68" i="3"/>
  <c r="G68" i="10" s="1"/>
  <c r="G44" i="3"/>
  <c r="G44" i="10" s="1"/>
  <c r="G40" i="3"/>
  <c r="G40" i="10" s="1"/>
  <c r="G36" i="3"/>
  <c r="G36" i="10" s="1"/>
  <c r="K275" i="3"/>
  <c r="K275" i="10" s="1"/>
  <c r="K127" i="3"/>
  <c r="K127" i="10" s="1"/>
  <c r="K123" i="3"/>
  <c r="K123" i="10" s="1"/>
  <c r="K85" i="3"/>
  <c r="K85" i="10" s="1"/>
  <c r="K41" i="3"/>
  <c r="K41" i="10" s="1"/>
  <c r="K151" i="3"/>
  <c r="K151" i="10" s="1"/>
  <c r="G119" i="3"/>
  <c r="G119" i="10" s="1"/>
  <c r="G81" i="3"/>
  <c r="G81" i="10" s="1"/>
  <c r="F113" i="3"/>
  <c r="F113" i="10" s="1"/>
  <c r="K165" i="3"/>
  <c r="K165" i="10" s="1"/>
  <c r="G117" i="3"/>
  <c r="G117" i="10" s="1"/>
  <c r="G71" i="3"/>
  <c r="G71" i="10" s="1"/>
  <c r="G47" i="3"/>
  <c r="G47" i="10" s="1"/>
  <c r="F163" i="3"/>
  <c r="F163" i="10" s="1"/>
  <c r="G77" i="3"/>
  <c r="G77" i="10" s="1"/>
  <c r="G45" i="3"/>
  <c r="G45" i="10" s="1"/>
  <c r="F43" i="3"/>
  <c r="F43" i="10" s="1"/>
  <c r="F161" i="3"/>
  <c r="F161" i="10" s="1"/>
  <c r="G470" i="3"/>
  <c r="G470" i="10" s="1"/>
  <c r="F533" i="3"/>
  <c r="F533" i="10" s="1"/>
  <c r="F535" i="3"/>
  <c r="F535" i="10" s="1"/>
  <c r="F442" i="3"/>
  <c r="F442" i="10" s="1"/>
  <c r="K395" i="3"/>
  <c r="K395" i="10" s="1"/>
  <c r="K308" i="3"/>
  <c r="K308" i="10" s="1"/>
  <c r="G466" i="3"/>
  <c r="G466" i="10" s="1"/>
  <c r="K495" i="3"/>
  <c r="K495" i="10" s="1"/>
  <c r="F487" i="3"/>
  <c r="F487" i="10" s="1"/>
  <c r="K541" i="3"/>
  <c r="K541" i="10" s="1"/>
  <c r="F488" i="3"/>
  <c r="F488" i="10" s="1"/>
  <c r="K504" i="3"/>
  <c r="K504" i="10" s="1"/>
  <c r="K480" i="3"/>
  <c r="K480" i="10" s="1"/>
  <c r="G490" i="3"/>
  <c r="G490" i="10" s="1"/>
  <c r="F122" i="3"/>
  <c r="F122" i="10" s="1"/>
  <c r="K464" i="3"/>
  <c r="K464" i="10" s="1"/>
  <c r="F448" i="3"/>
  <c r="F448" i="10" s="1"/>
  <c r="G443" i="3"/>
  <c r="G443" i="10" s="1"/>
  <c r="K357" i="3"/>
  <c r="K357" i="10" s="1"/>
  <c r="G318" i="3"/>
  <c r="G318" i="10" s="1"/>
  <c r="K319" i="3"/>
  <c r="K319" i="10" s="1"/>
  <c r="G397" i="3"/>
  <c r="G397" i="10" s="1"/>
  <c r="K309" i="3"/>
  <c r="K309" i="10" s="1"/>
  <c r="F361" i="3"/>
  <c r="F361" i="10" s="1"/>
  <c r="F85" i="3"/>
  <c r="F85" i="10" s="1"/>
  <c r="G33" i="3"/>
  <c r="G33" i="10" s="1"/>
  <c r="G444" i="3"/>
  <c r="G444" i="10" s="1"/>
  <c r="K128" i="3"/>
  <c r="K128" i="10" s="1"/>
  <c r="F434" i="3"/>
  <c r="F434" i="10" s="1"/>
  <c r="K442" i="3"/>
  <c r="K442" i="10" s="1"/>
  <c r="G396" i="3"/>
  <c r="G396" i="10" s="1"/>
  <c r="F315" i="3"/>
  <c r="F315" i="10" s="1"/>
  <c r="F394" i="3"/>
  <c r="F394" i="10" s="1"/>
  <c r="F540" i="3"/>
  <c r="F540" i="10" s="1"/>
  <c r="G516" i="3"/>
  <c r="G516" i="10" s="1"/>
  <c r="F152" i="3"/>
  <c r="F152" i="10" s="1"/>
  <c r="F537" i="3"/>
  <c r="F537" i="10" s="1"/>
  <c r="G428" i="3"/>
  <c r="G428" i="10" s="1"/>
  <c r="G534" i="3"/>
  <c r="G534" i="10" s="1"/>
  <c r="F514" i="3"/>
  <c r="F514" i="10" s="1"/>
  <c r="G460" i="3"/>
  <c r="G460" i="10" s="1"/>
  <c r="G426" i="3"/>
  <c r="G426" i="10" s="1"/>
  <c r="G394" i="3"/>
  <c r="G394" i="10" s="1"/>
  <c r="F357" i="3"/>
  <c r="F357" i="10" s="1"/>
  <c r="K313" i="3"/>
  <c r="K313" i="10" s="1"/>
  <c r="F310" i="3"/>
  <c r="F310" i="10" s="1"/>
  <c r="K314" i="3"/>
  <c r="K314" i="10" s="1"/>
  <c r="G314" i="3"/>
  <c r="G314" i="10" s="1"/>
  <c r="K361" i="3"/>
  <c r="K361" i="10" s="1"/>
  <c r="F41" i="3"/>
  <c r="F41" i="10" s="1"/>
  <c r="F33" i="3"/>
  <c r="F33" i="10" s="1"/>
  <c r="G37" i="3"/>
  <c r="G37" i="10" s="1"/>
  <c r="K393" i="3"/>
  <c r="K393" i="10" s="1"/>
  <c r="K166" i="3"/>
  <c r="K166" i="10" s="1"/>
  <c r="K162" i="3"/>
  <c r="K162" i="10" s="1"/>
  <c r="K158" i="3"/>
  <c r="K158" i="10" s="1"/>
  <c r="K154" i="3"/>
  <c r="K154" i="10" s="1"/>
  <c r="K150" i="3"/>
  <c r="K150" i="10" s="1"/>
  <c r="K126" i="3"/>
  <c r="K126" i="10" s="1"/>
  <c r="K122" i="3"/>
  <c r="K122" i="10" s="1"/>
  <c r="K118" i="3"/>
  <c r="K118" i="10" s="1"/>
  <c r="K114" i="3"/>
  <c r="K114" i="10" s="1"/>
  <c r="K86" i="3"/>
  <c r="K86" i="10" s="1"/>
  <c r="K82" i="3"/>
  <c r="K82" i="10" s="1"/>
  <c r="K78" i="3"/>
  <c r="K78" i="10" s="1"/>
  <c r="K74" i="3"/>
  <c r="K74" i="10" s="1"/>
  <c r="K70" i="3"/>
  <c r="K70" i="10" s="1"/>
  <c r="K46" i="3"/>
  <c r="K46" i="10" s="1"/>
  <c r="K42" i="3"/>
  <c r="K42" i="10" s="1"/>
  <c r="K38" i="3"/>
  <c r="K38" i="10" s="1"/>
  <c r="K34" i="3"/>
  <c r="K34" i="10" s="1"/>
  <c r="F275" i="3"/>
  <c r="F275" i="10" s="1"/>
  <c r="G127" i="3"/>
  <c r="G127" i="10" s="1"/>
  <c r="G123" i="3"/>
  <c r="G123" i="10" s="1"/>
  <c r="G85" i="3"/>
  <c r="G85" i="10" s="1"/>
  <c r="G41" i="3"/>
  <c r="G41" i="10" s="1"/>
  <c r="G167" i="3"/>
  <c r="G167" i="10" s="1"/>
  <c r="F111" i="3"/>
  <c r="F111" i="10" s="1"/>
  <c r="F73" i="3"/>
  <c r="F73" i="10" s="1"/>
  <c r="K113" i="3"/>
  <c r="K113" i="10" s="1"/>
  <c r="G75" i="3"/>
  <c r="G75" i="10" s="1"/>
  <c r="G165" i="3"/>
  <c r="G165" i="10" s="1"/>
  <c r="F155" i="3"/>
  <c r="F155" i="10" s="1"/>
  <c r="F115" i="3"/>
  <c r="F115" i="10" s="1"/>
  <c r="F69" i="3"/>
  <c r="F69" i="10" s="1"/>
  <c r="K43" i="3"/>
  <c r="K43" i="10" s="1"/>
  <c r="F153" i="3"/>
  <c r="F153" i="10" s="1"/>
  <c r="K539" i="3"/>
  <c r="K539" i="10" s="1"/>
  <c r="K533" i="3"/>
  <c r="K533" i="10" s="1"/>
  <c r="G472" i="3"/>
  <c r="G472" i="10" s="1"/>
  <c r="G356" i="3"/>
  <c r="G356" i="10" s="1"/>
  <c r="K315" i="3"/>
  <c r="K315" i="10" s="1"/>
  <c r="G442" i="3"/>
  <c r="G442" i="10" s="1"/>
  <c r="F395" i="3"/>
  <c r="F395" i="10" s="1"/>
  <c r="F308" i="3"/>
  <c r="F308" i="10" s="1"/>
  <c r="G392" i="3"/>
  <c r="G392" i="10" s="1"/>
  <c r="F490" i="3"/>
  <c r="F490" i="10" s="1"/>
  <c r="F479" i="3"/>
  <c r="F479" i="10" s="1"/>
  <c r="F430" i="3"/>
  <c r="F430" i="10" s="1"/>
  <c r="F536" i="3"/>
  <c r="F536" i="10" s="1"/>
  <c r="G520" i="3"/>
  <c r="G520" i="10" s="1"/>
  <c r="G519" i="3"/>
  <c r="G519" i="10" s="1"/>
  <c r="G399" i="3"/>
  <c r="G399" i="10" s="1"/>
  <c r="F504" i="3"/>
  <c r="F504" i="10" s="1"/>
  <c r="K478" i="3"/>
  <c r="K478" i="10" s="1"/>
  <c r="K511" i="3"/>
  <c r="K511" i="10" s="1"/>
  <c r="K459" i="3"/>
  <c r="K459" i="10" s="1"/>
  <c r="G455" i="3"/>
  <c r="G455" i="10" s="1"/>
  <c r="G451" i="3"/>
  <c r="G451" i="10" s="1"/>
  <c r="F489" i="3"/>
  <c r="F489" i="10" s="1"/>
  <c r="K517" i="3"/>
  <c r="K517" i="10" s="1"/>
  <c r="K456" i="3"/>
  <c r="K456" i="10" s="1"/>
  <c r="K452" i="3"/>
  <c r="K452" i="10" s="1"/>
  <c r="G445" i="3"/>
  <c r="G445" i="10" s="1"/>
  <c r="G432" i="3"/>
  <c r="G432" i="10" s="1"/>
  <c r="K485" i="3"/>
  <c r="K485" i="10" s="1"/>
  <c r="K507" i="3"/>
  <c r="K507" i="10" s="1"/>
  <c r="F458" i="3"/>
  <c r="F458" i="10" s="1"/>
  <c r="K454" i="3"/>
  <c r="K454" i="10" s="1"/>
  <c r="K450" i="3"/>
  <c r="K450" i="10" s="1"/>
  <c r="F474" i="3"/>
  <c r="F474" i="10" s="1"/>
  <c r="G483" i="3"/>
  <c r="G483" i="10" s="1"/>
  <c r="K487" i="3"/>
  <c r="K487" i="10" s="1"/>
  <c r="F457" i="3"/>
  <c r="F457" i="10" s="1"/>
  <c r="F453" i="3"/>
  <c r="F453" i="10" s="1"/>
  <c r="G449" i="3"/>
  <c r="G449" i="10" s="1"/>
  <c r="K436" i="3"/>
  <c r="K436" i="10" s="1"/>
  <c r="F498" i="3"/>
  <c r="F498" i="10" s="1"/>
  <c r="F28" i="3"/>
  <c r="F28" i="10" s="1"/>
  <c r="F90" i="3"/>
  <c r="F90" i="10" s="1"/>
  <c r="F312" i="3"/>
  <c r="F312" i="10" s="1"/>
  <c r="G241" i="3"/>
  <c r="G241" i="10" s="1"/>
  <c r="G237" i="3"/>
  <c r="G237" i="10" s="1"/>
  <c r="F320" i="3"/>
  <c r="F320" i="10" s="1"/>
  <c r="F40" i="3"/>
  <c r="F40" i="10" s="1"/>
  <c r="K477" i="3"/>
  <c r="K477" i="10" s="1"/>
  <c r="F432" i="3"/>
  <c r="F432" i="10" s="1"/>
  <c r="G477" i="3"/>
  <c r="G477" i="10" s="1"/>
  <c r="G505" i="3"/>
  <c r="G505" i="10" s="1"/>
  <c r="F483" i="3"/>
  <c r="F483" i="10" s="1"/>
  <c r="G459" i="3"/>
  <c r="G459" i="10" s="1"/>
  <c r="K483" i="3"/>
  <c r="K483" i="10" s="1"/>
  <c r="K474" i="3"/>
  <c r="K474" i="10" s="1"/>
  <c r="G530" i="3"/>
  <c r="G530" i="10" s="1"/>
  <c r="F414" i="3"/>
  <c r="F414" i="10" s="1"/>
  <c r="G456" i="3"/>
  <c r="G456" i="10" s="1"/>
  <c r="G452" i="3"/>
  <c r="G452" i="10" s="1"/>
  <c r="K425" i="3"/>
  <c r="K425" i="10" s="1"/>
  <c r="F451" i="3"/>
  <c r="F451" i="10" s="1"/>
  <c r="K451" i="3"/>
  <c r="K451" i="10" s="1"/>
  <c r="G489" i="3"/>
  <c r="G489" i="10" s="1"/>
  <c r="F459" i="3"/>
  <c r="F459" i="10" s="1"/>
  <c r="K441" i="3"/>
  <c r="K441" i="10" s="1"/>
  <c r="K455" i="3"/>
  <c r="K455" i="10" s="1"/>
  <c r="F425" i="3"/>
  <c r="F425" i="10" s="1"/>
  <c r="G487" i="3"/>
  <c r="G487" i="10" s="1"/>
  <c r="G474" i="3"/>
  <c r="G474" i="10" s="1"/>
  <c r="K489" i="3"/>
  <c r="K489" i="10" s="1"/>
  <c r="F441" i="3"/>
  <c r="F441" i="10" s="1"/>
  <c r="F417" i="3"/>
  <c r="F417" i="10" s="1"/>
  <c r="F455" i="3"/>
  <c r="F455" i="10" s="1"/>
  <c r="G485" i="3"/>
  <c r="G485" i="10" s="1"/>
  <c r="K528" i="3"/>
  <c r="K528" i="10" s="1"/>
  <c r="K421" i="3"/>
  <c r="K421" i="10" s="1"/>
  <c r="K432" i="3"/>
  <c r="K432" i="10" s="1"/>
  <c r="G414" i="3"/>
  <c r="G414" i="10" s="1"/>
  <c r="G458" i="3"/>
  <c r="G458" i="10" s="1"/>
  <c r="F456" i="3"/>
  <c r="F456" i="10" s="1"/>
  <c r="F445" i="3"/>
  <c r="F445" i="10" s="1"/>
  <c r="F454" i="3"/>
  <c r="F454" i="10" s="1"/>
  <c r="F517" i="3"/>
  <c r="F517" i="10" s="1"/>
  <c r="F452" i="3"/>
  <c r="F452" i="10" s="1"/>
  <c r="F421" i="3"/>
  <c r="F421" i="10" s="1"/>
  <c r="F450" i="3"/>
  <c r="F450" i="10" s="1"/>
  <c r="G454" i="3"/>
  <c r="G454" i="10" s="1"/>
  <c r="G507" i="3"/>
  <c r="G507" i="10" s="1"/>
  <c r="K453" i="3"/>
  <c r="K453" i="10" s="1"/>
  <c r="G450" i="3"/>
  <c r="G450" i="10" s="1"/>
  <c r="F436" i="3"/>
  <c r="F436" i="10" s="1"/>
  <c r="F507" i="3"/>
  <c r="F507" i="10" s="1"/>
  <c r="K457" i="3"/>
  <c r="K457" i="10" s="1"/>
  <c r="K458" i="3"/>
  <c r="K458" i="10" s="1"/>
  <c r="K505" i="3"/>
  <c r="K505" i="10" s="1"/>
  <c r="K445" i="3"/>
  <c r="K445" i="10" s="1"/>
  <c r="F528" i="3"/>
  <c r="F528" i="10" s="1"/>
  <c r="G517" i="3"/>
  <c r="G517" i="10" s="1"/>
  <c r="K440" i="3"/>
  <c r="K440" i="10" s="1"/>
  <c r="F485" i="3"/>
  <c r="F485" i="10" s="1"/>
  <c r="K506" i="3"/>
  <c r="K506" i="10" s="1"/>
  <c r="G457" i="3"/>
  <c r="G457" i="10" s="1"/>
  <c r="F449" i="3"/>
  <c r="F449" i="10" s="1"/>
  <c r="G436" i="3"/>
  <c r="G436" i="10" s="1"/>
  <c r="G453" i="3"/>
  <c r="G453" i="10" s="1"/>
  <c r="G417" i="3"/>
  <c r="G417" i="10" s="1"/>
  <c r="G506" i="3"/>
  <c r="G506" i="10" s="1"/>
  <c r="K498" i="3"/>
  <c r="K498" i="10" s="1"/>
  <c r="G498" i="3"/>
  <c r="G498" i="10" s="1"/>
  <c r="K449" i="3"/>
  <c r="K449" i="10" s="1"/>
  <c r="F440" i="3"/>
  <c r="F440" i="10" s="1"/>
  <c r="F511" i="3"/>
  <c r="F511" i="10" s="1"/>
  <c r="G511" i="3"/>
  <c r="G511" i="10" s="1"/>
  <c r="G12" i="3" l="1"/>
  <c r="G12" i="10" s="1"/>
  <c r="L546" i="3"/>
  <c r="M546" i="3" s="1"/>
  <c r="F546" i="10"/>
  <c r="G2" i="3"/>
  <c r="G2" i="10" s="1"/>
  <c r="G294" i="3"/>
  <c r="O511" i="3"/>
  <c r="O511" i="10" s="1"/>
  <c r="L511" i="3"/>
  <c r="L440" i="3"/>
  <c r="O498" i="3"/>
  <c r="O498" i="10" s="1"/>
  <c r="O506" i="3"/>
  <c r="O506" i="10" s="1"/>
  <c r="O417" i="3"/>
  <c r="O417" i="10" s="1"/>
  <c r="O453" i="3"/>
  <c r="O453" i="10" s="1"/>
  <c r="O436" i="3"/>
  <c r="O436" i="10" s="1"/>
  <c r="L449" i="3"/>
  <c r="O457" i="3"/>
  <c r="O457" i="10" s="1"/>
  <c r="L485" i="3"/>
  <c r="O517" i="3"/>
  <c r="O517" i="10" s="1"/>
  <c r="L528" i="3"/>
  <c r="L507" i="3"/>
  <c r="L436" i="3"/>
  <c r="O450" i="3"/>
  <c r="O450" i="10" s="1"/>
  <c r="O507" i="3"/>
  <c r="O507" i="10" s="1"/>
  <c r="O454" i="3"/>
  <c r="O454" i="10" s="1"/>
  <c r="L450" i="3"/>
  <c r="L421" i="3"/>
  <c r="L452" i="3"/>
  <c r="L517" i="3"/>
  <c r="L454" i="3"/>
  <c r="L445" i="3"/>
  <c r="L456" i="3"/>
  <c r="O458" i="3"/>
  <c r="O458" i="10" s="1"/>
  <c r="O414" i="3"/>
  <c r="O414" i="10" s="1"/>
  <c r="O485" i="3"/>
  <c r="O485" i="10" s="1"/>
  <c r="L455" i="3"/>
  <c r="L417" i="3"/>
  <c r="L441" i="3"/>
  <c r="O474" i="3"/>
  <c r="O474" i="10" s="1"/>
  <c r="O487" i="3"/>
  <c r="O487" i="10" s="1"/>
  <c r="L425" i="3"/>
  <c r="L459" i="3"/>
  <c r="O489" i="3"/>
  <c r="O489" i="10" s="1"/>
  <c r="L451" i="3"/>
  <c r="O452" i="3"/>
  <c r="O452" i="10" s="1"/>
  <c r="O456" i="3"/>
  <c r="O456" i="10" s="1"/>
  <c r="L414" i="3"/>
  <c r="O530" i="3"/>
  <c r="O530" i="10" s="1"/>
  <c r="O459" i="3"/>
  <c r="O459" i="10" s="1"/>
  <c r="L483" i="3"/>
  <c r="O505" i="3"/>
  <c r="O505" i="10" s="1"/>
  <c r="O477" i="3"/>
  <c r="O477" i="10" s="1"/>
  <c r="L432" i="3"/>
  <c r="L40" i="3"/>
  <c r="L320" i="3"/>
  <c r="O237" i="3"/>
  <c r="O237" i="10" s="1"/>
  <c r="O241" i="3"/>
  <c r="O241" i="10" s="1"/>
  <c r="L312" i="3"/>
  <c r="L90" i="3"/>
  <c r="L28" i="3"/>
  <c r="L498" i="3"/>
  <c r="O449" i="3"/>
  <c r="O449" i="10" s="1"/>
  <c r="L453" i="3"/>
  <c r="L457" i="3"/>
  <c r="O483" i="3"/>
  <c r="O483" i="10" s="1"/>
  <c r="L474" i="3"/>
  <c r="L458" i="3"/>
  <c r="O432" i="3"/>
  <c r="O432" i="10" s="1"/>
  <c r="O445" i="3"/>
  <c r="O445" i="10" s="1"/>
  <c r="L489" i="3"/>
  <c r="O451" i="3"/>
  <c r="O451" i="10" s="1"/>
  <c r="O455" i="3"/>
  <c r="O455" i="10" s="1"/>
  <c r="L504" i="3"/>
  <c r="O399" i="3"/>
  <c r="O399" i="10" s="1"/>
  <c r="O519" i="3"/>
  <c r="O519" i="10" s="1"/>
  <c r="O520" i="3"/>
  <c r="O520" i="10" s="1"/>
  <c r="L536" i="3"/>
  <c r="L430" i="3"/>
  <c r="L479" i="3"/>
  <c r="L490" i="3"/>
  <c r="O392" i="3"/>
  <c r="O392" i="10" s="1"/>
  <c r="L308" i="3"/>
  <c r="L395" i="3"/>
  <c r="O442" i="3"/>
  <c r="O442" i="10" s="1"/>
  <c r="O356" i="3"/>
  <c r="O356" i="10" s="1"/>
  <c r="O472" i="3"/>
  <c r="O472" i="10" s="1"/>
  <c r="L153" i="3"/>
  <c r="L69" i="3"/>
  <c r="L115" i="3"/>
  <c r="L155" i="3"/>
  <c r="O165" i="3"/>
  <c r="O165" i="10" s="1"/>
  <c r="O75" i="3"/>
  <c r="O75" i="10" s="1"/>
  <c r="L73" i="3"/>
  <c r="L111" i="3"/>
  <c r="O167" i="3"/>
  <c r="O167" i="10" s="1"/>
  <c r="O41" i="3"/>
  <c r="O41" i="10" s="1"/>
  <c r="O85" i="3"/>
  <c r="O85" i="10" s="1"/>
  <c r="O123" i="3"/>
  <c r="O123" i="10" s="1"/>
  <c r="O127" i="3"/>
  <c r="O127" i="10" s="1"/>
  <c r="L275" i="3"/>
  <c r="O37" i="3"/>
  <c r="O37" i="10" s="1"/>
  <c r="L33" i="3"/>
  <c r="L41" i="3"/>
  <c r="O314" i="3"/>
  <c r="O314" i="10" s="1"/>
  <c r="L310" i="3"/>
  <c r="L357" i="3"/>
  <c r="O394" i="3"/>
  <c r="O394" i="10" s="1"/>
  <c r="O426" i="3"/>
  <c r="O426" i="10" s="1"/>
  <c r="O460" i="3"/>
  <c r="O460" i="10" s="1"/>
  <c r="L514" i="3"/>
  <c r="O534" i="3"/>
  <c r="O534" i="10" s="1"/>
  <c r="O428" i="3"/>
  <c r="O428" i="10" s="1"/>
  <c r="L537" i="3"/>
  <c r="L152" i="3"/>
  <c r="O516" i="3"/>
  <c r="O516" i="10" s="1"/>
  <c r="L540" i="3"/>
  <c r="L394" i="3"/>
  <c r="L315" i="3"/>
  <c r="O396" i="3"/>
  <c r="O396" i="10" s="1"/>
  <c r="L434" i="3"/>
  <c r="O444" i="3"/>
  <c r="O444" i="10" s="1"/>
  <c r="O33" i="3"/>
  <c r="O33" i="10" s="1"/>
  <c r="L85" i="3"/>
  <c r="L361" i="3"/>
  <c r="O397" i="3"/>
  <c r="O397" i="10" s="1"/>
  <c r="O318" i="3"/>
  <c r="O318" i="10" s="1"/>
  <c r="O443" i="3"/>
  <c r="O443" i="10" s="1"/>
  <c r="L448" i="3"/>
  <c r="L122" i="3"/>
  <c r="O490" i="3"/>
  <c r="O490" i="10" s="1"/>
  <c r="L488" i="3"/>
  <c r="L487" i="3"/>
  <c r="O466" i="3"/>
  <c r="O466" i="10" s="1"/>
  <c r="L442" i="3"/>
  <c r="L535" i="3"/>
  <c r="L533" i="3"/>
  <c r="O470" i="3"/>
  <c r="O470" i="10" s="1"/>
  <c r="L161" i="3"/>
  <c r="L43" i="3"/>
  <c r="O45" i="3"/>
  <c r="O45" i="10" s="1"/>
  <c r="O77" i="3"/>
  <c r="O77" i="10" s="1"/>
  <c r="L163" i="3"/>
  <c r="O47" i="3"/>
  <c r="O47" i="10" s="1"/>
  <c r="O71" i="3"/>
  <c r="O71" i="10" s="1"/>
  <c r="O117" i="3"/>
  <c r="O117" i="10" s="1"/>
  <c r="L113" i="3"/>
  <c r="O81" i="3"/>
  <c r="O81" i="10" s="1"/>
  <c r="O119" i="3"/>
  <c r="O119" i="10" s="1"/>
  <c r="O36" i="3"/>
  <c r="O36" i="10" s="1"/>
  <c r="O40" i="3"/>
  <c r="O40" i="10" s="1"/>
  <c r="O44" i="3"/>
  <c r="O44" i="10" s="1"/>
  <c r="O68" i="3"/>
  <c r="O68" i="10" s="1"/>
  <c r="O72" i="3"/>
  <c r="O72" i="10" s="1"/>
  <c r="O76" i="3"/>
  <c r="O76" i="10" s="1"/>
  <c r="O80" i="3"/>
  <c r="O80" i="10" s="1"/>
  <c r="O84" i="3"/>
  <c r="O84" i="10" s="1"/>
  <c r="O112" i="3"/>
  <c r="O112" i="10" s="1"/>
  <c r="O116" i="3"/>
  <c r="O116" i="10" s="1"/>
  <c r="O120" i="3"/>
  <c r="O120" i="10" s="1"/>
  <c r="O124" i="3"/>
  <c r="O124" i="10" s="1"/>
  <c r="O128" i="3"/>
  <c r="O128" i="10" s="1"/>
  <c r="O148" i="3"/>
  <c r="O148" i="10" s="1"/>
  <c r="O152" i="3"/>
  <c r="O152" i="10" s="1"/>
  <c r="O156" i="3"/>
  <c r="O156" i="10" s="1"/>
  <c r="O160" i="3"/>
  <c r="O160" i="10" s="1"/>
  <c r="O164" i="3"/>
  <c r="O164" i="10" s="1"/>
  <c r="L35" i="3"/>
  <c r="L83" i="3"/>
  <c r="L358" i="3"/>
  <c r="L309" i="3"/>
  <c r="L317" i="3"/>
  <c r="L397" i="3"/>
  <c r="O317" i="3"/>
  <c r="O317" i="10" s="1"/>
  <c r="O310" i="3"/>
  <c r="O310" i="10" s="1"/>
  <c r="L318" i="3"/>
  <c r="O357" i="3"/>
  <c r="O357" i="10" s="1"/>
  <c r="O398" i="3"/>
  <c r="O398" i="10" s="1"/>
  <c r="L426" i="3"/>
  <c r="L460" i="3"/>
  <c r="O514" i="3"/>
  <c r="O514" i="10" s="1"/>
  <c r="L428" i="3"/>
  <c r="O492" i="3"/>
  <c r="O492" i="10" s="1"/>
  <c r="L492" i="3"/>
  <c r="O462" i="3"/>
  <c r="O462" i="10" s="1"/>
  <c r="O535" i="3"/>
  <c r="O535" i="10" s="1"/>
  <c r="L429" i="3"/>
  <c r="O79" i="3"/>
  <c r="O79" i="10" s="1"/>
  <c r="L149" i="3"/>
  <c r="L121" i="3"/>
  <c r="L151" i="3"/>
  <c r="O83" i="3"/>
  <c r="O83" i="10" s="1"/>
  <c r="O87" i="3"/>
  <c r="O87" i="10" s="1"/>
  <c r="O125" i="3"/>
  <c r="O125" i="10" s="1"/>
  <c r="O275" i="3"/>
  <c r="O275" i="10" s="1"/>
  <c r="L393" i="3"/>
  <c r="O39" i="3"/>
  <c r="O39" i="10" s="1"/>
  <c r="L37" i="3"/>
  <c r="O358" i="3"/>
  <c r="O358" i="10" s="1"/>
  <c r="O309" i="3"/>
  <c r="O309" i="10" s="1"/>
  <c r="O311" i="3"/>
  <c r="O311" i="10" s="1"/>
  <c r="O502" i="3"/>
  <c r="O502" i="10" s="1"/>
  <c r="O538" i="3"/>
  <c r="O538" i="10" s="1"/>
  <c r="L167" i="3"/>
  <c r="O151" i="3"/>
  <c r="O151" i="10" s="1"/>
  <c r="L119" i="3"/>
  <c r="L81" i="3"/>
  <c r="O113" i="3"/>
  <c r="O113" i="10" s="1"/>
  <c r="L75" i="3"/>
  <c r="L157" i="3"/>
  <c r="L71" i="3"/>
  <c r="O155" i="3"/>
  <c r="O155" i="10" s="1"/>
  <c r="L77" i="3"/>
  <c r="L45" i="3"/>
  <c r="O43" i="3"/>
  <c r="O43" i="10" s="1"/>
  <c r="O153" i="3"/>
  <c r="O153" i="10" s="1"/>
  <c r="O508" i="3"/>
  <c r="O508" i="10" s="1"/>
  <c r="L539" i="3"/>
  <c r="O513" i="3"/>
  <c r="O513" i="10" s="1"/>
  <c r="L462" i="3"/>
  <c r="L396" i="3"/>
  <c r="L223" i="3"/>
  <c r="L316" i="3"/>
  <c r="L486" i="3"/>
  <c r="O540" i="3"/>
  <c r="O540" i="10" s="1"/>
  <c r="L495" i="3"/>
  <c r="O479" i="3"/>
  <c r="O479" i="10" s="1"/>
  <c r="L541" i="3"/>
  <c r="O536" i="3"/>
  <c r="O536" i="10" s="1"/>
  <c r="L520" i="3"/>
  <c r="L478" i="3"/>
  <c r="L500" i="3"/>
  <c r="L484" i="3"/>
  <c r="O504" i="3"/>
  <c r="O504" i="10" s="1"/>
  <c r="L42" i="3"/>
  <c r="O35" i="3"/>
  <c r="O35" i="10" s="1"/>
  <c r="O159" i="3"/>
  <c r="O159" i="10" s="1"/>
  <c r="O111" i="3"/>
  <c r="O111" i="10" s="1"/>
  <c r="O73" i="3"/>
  <c r="O73" i="10" s="1"/>
  <c r="O121" i="3"/>
  <c r="O121" i="10" s="1"/>
  <c r="L165" i="3"/>
  <c r="O149" i="3"/>
  <c r="O149" i="10" s="1"/>
  <c r="L117" i="3"/>
  <c r="L79" i="3"/>
  <c r="L47" i="3"/>
  <c r="O163" i="3"/>
  <c r="O163" i="10" s="1"/>
  <c r="O115" i="3"/>
  <c r="O115" i="10" s="1"/>
  <c r="O69" i="3"/>
  <c r="O69" i="10" s="1"/>
  <c r="O161" i="3"/>
  <c r="O161" i="10" s="1"/>
  <c r="L443" i="3"/>
  <c r="O512" i="3"/>
  <c r="O512" i="10" s="1"/>
  <c r="L472" i="3"/>
  <c r="L446" i="3"/>
  <c r="O509" i="3"/>
  <c r="O509" i="10" s="1"/>
  <c r="O395" i="3"/>
  <c r="O395" i="10" s="1"/>
  <c r="O223" i="3"/>
  <c r="O223" i="10" s="1"/>
  <c r="O446" i="3"/>
  <c r="O446" i="10" s="1"/>
  <c r="L356" i="3"/>
  <c r="O308" i="3"/>
  <c r="O308" i="10" s="1"/>
  <c r="L392" i="3"/>
  <c r="L482" i="3"/>
  <c r="L466" i="3"/>
  <c r="O495" i="3"/>
  <c r="O495" i="10" s="1"/>
  <c r="O541" i="3"/>
  <c r="O541" i="10" s="1"/>
  <c r="L516" i="3"/>
  <c r="O532" i="3"/>
  <c r="O532" i="10" s="1"/>
  <c r="L496" i="3"/>
  <c r="L480" i="3"/>
  <c r="O500" i="3"/>
  <c r="O500" i="10" s="1"/>
  <c r="O484" i="3"/>
  <c r="O484" i="10" s="1"/>
  <c r="L74" i="3"/>
  <c r="O521" i="3"/>
  <c r="O521" i="10" s="1"/>
  <c r="O481" i="3"/>
  <c r="O481" i="10" s="1"/>
  <c r="O429" i="3"/>
  <c r="O429" i="10" s="1"/>
  <c r="L120" i="3"/>
  <c r="L72" i="3"/>
  <c r="L84" i="3"/>
  <c r="L150" i="3"/>
  <c r="O478" i="3"/>
  <c r="O478" i="10" s="1"/>
  <c r="O312" i="3"/>
  <c r="O312" i="10" s="1"/>
  <c r="O537" i="3"/>
  <c r="O537" i="10" s="1"/>
  <c r="L513" i="3"/>
  <c r="O496" i="3"/>
  <c r="O496" i="10" s="1"/>
  <c r="O488" i="3"/>
  <c r="O488" i="10" s="1"/>
  <c r="O480" i="3"/>
  <c r="O480" i="10" s="1"/>
  <c r="L493" i="3"/>
  <c r="L481" i="3"/>
  <c r="O434" i="3"/>
  <c r="O434" i="10" s="1"/>
  <c r="O518" i="3"/>
  <c r="O518" i="10" s="1"/>
  <c r="O468" i="3"/>
  <c r="O468" i="10" s="1"/>
  <c r="O539" i="3"/>
  <c r="O539" i="10" s="1"/>
  <c r="L476" i="3"/>
  <c r="L468" i="3"/>
  <c r="L447" i="3"/>
  <c r="O464" i="3"/>
  <c r="O464" i="10" s="1"/>
  <c r="L166" i="3"/>
  <c r="L515" i="3"/>
  <c r="O359" i="3"/>
  <c r="O359" i="10" s="1"/>
  <c r="L510" i="3"/>
  <c r="O476" i="3"/>
  <c r="O476" i="10" s="1"/>
  <c r="L126" i="3"/>
  <c r="L114" i="3"/>
  <c r="L82" i="3"/>
  <c r="L160" i="3"/>
  <c r="O486" i="3"/>
  <c r="O486" i="10" s="1"/>
  <c r="L274" i="3"/>
  <c r="L125" i="3"/>
  <c r="L112" i="3"/>
  <c r="L80" i="3"/>
  <c r="L470" i="3"/>
  <c r="L158" i="3"/>
  <c r="O533" i="3"/>
  <c r="O533" i="10" s="1"/>
  <c r="L319" i="3"/>
  <c r="L508" i="3"/>
  <c r="O447" i="3"/>
  <c r="O447" i="10" s="1"/>
  <c r="L359" i="3"/>
  <c r="O313" i="3"/>
  <c r="O313" i="10" s="1"/>
  <c r="L128" i="3"/>
  <c r="L124" i="3"/>
  <c r="L118" i="3"/>
  <c r="L78" i="3"/>
  <c r="L70" i="3"/>
  <c r="L46" i="3"/>
  <c r="L521" i="3"/>
  <c r="O448" i="3"/>
  <c r="O448" i="10" s="1"/>
  <c r="L38" i="3"/>
  <c r="L36" i="3"/>
  <c r="L164" i="3"/>
  <c r="L156" i="3"/>
  <c r="O510" i="3"/>
  <c r="O510" i="10" s="1"/>
  <c r="O493" i="3"/>
  <c r="O493" i="10" s="1"/>
  <c r="L398" i="3"/>
  <c r="L311" i="3"/>
  <c r="O222" i="3"/>
  <c r="O222" i="10" s="1"/>
  <c r="O515" i="3"/>
  <c r="O515" i="10" s="1"/>
  <c r="L127" i="3"/>
  <c r="L123" i="3"/>
  <c r="L116" i="3"/>
  <c r="L76" i="3"/>
  <c r="L68" i="3"/>
  <c r="L44" i="3"/>
  <c r="L86" i="3"/>
  <c r="L518" i="3"/>
  <c r="L148" i="3"/>
  <c r="L34" i="3"/>
  <c r="L162" i="3"/>
  <c r="L154" i="3"/>
  <c r="O522" i="3"/>
  <c r="O522" i="10" s="1"/>
  <c r="L273" i="3"/>
  <c r="L526" i="3"/>
  <c r="L266" i="3"/>
  <c r="L203" i="3"/>
  <c r="O355" i="3"/>
  <c r="O355" i="10" s="1"/>
  <c r="L271" i="3"/>
  <c r="L338" i="3"/>
  <c r="O372" i="3"/>
  <c r="O372" i="10" s="1"/>
  <c r="L360" i="3"/>
  <c r="L503" i="3"/>
  <c r="O339" i="3"/>
  <c r="O339" i="10" s="1"/>
  <c r="O400" i="3"/>
  <c r="O400" i="10" s="1"/>
  <c r="O215" i="3"/>
  <c r="O215" i="10" s="1"/>
  <c r="O265" i="3"/>
  <c r="O265" i="10" s="1"/>
  <c r="L433" i="3"/>
  <c r="O102" i="3"/>
  <c r="O102" i="10" s="1"/>
  <c r="O142" i="3"/>
  <c r="O142" i="10" s="1"/>
  <c r="L263" i="3"/>
  <c r="L337" i="3"/>
  <c r="L416" i="3"/>
  <c r="O370" i="3"/>
  <c r="O370" i="10" s="1"/>
  <c r="L281" i="3"/>
  <c r="O281" i="3"/>
  <c r="O281" i="10" s="1"/>
  <c r="L256" i="3"/>
  <c r="O288" i="3"/>
  <c r="O288" i="10" s="1"/>
  <c r="L288" i="3"/>
  <c r="L247" i="3"/>
  <c r="O247" i="3"/>
  <c r="O247" i="10" s="1"/>
  <c r="O190" i="3"/>
  <c r="O190" i="10" s="1"/>
  <c r="O360" i="3"/>
  <c r="O360" i="10" s="1"/>
  <c r="O503" i="3"/>
  <c r="O503" i="10" s="1"/>
  <c r="O272" i="3"/>
  <c r="O272" i="10" s="1"/>
  <c r="L242" i="3"/>
  <c r="L258" i="3"/>
  <c r="L340" i="3"/>
  <c r="O98" i="3"/>
  <c r="O98" i="10" s="1"/>
  <c r="O138" i="3"/>
  <c r="O138" i="10" s="1"/>
  <c r="L279" i="3"/>
  <c r="O409" i="3"/>
  <c r="O409" i="10" s="1"/>
  <c r="L542" i="3"/>
  <c r="L249" i="3"/>
  <c r="L130" i="3"/>
  <c r="L134" i="3"/>
  <c r="L409" i="3"/>
  <c r="O187" i="3"/>
  <c r="O187" i="10" s="1"/>
  <c r="O383" i="3"/>
  <c r="O383" i="10" s="1"/>
  <c r="L371" i="3"/>
  <c r="O195" i="3"/>
  <c r="O195" i="10" s="1"/>
  <c r="O323" i="3"/>
  <c r="O323" i="10" s="1"/>
  <c r="L438" i="3"/>
  <c r="O340" i="3"/>
  <c r="O340" i="10" s="1"/>
  <c r="O94" i="3"/>
  <c r="O94" i="10" s="1"/>
  <c r="O110" i="3"/>
  <c r="O110" i="10" s="1"/>
  <c r="O353" i="3"/>
  <c r="O353" i="10" s="1"/>
  <c r="O373" i="3"/>
  <c r="O373" i="10" s="1"/>
  <c r="O405" i="3"/>
  <c r="O405" i="10" s="1"/>
  <c r="O66" i="3"/>
  <c r="O66" i="10" s="1"/>
  <c r="L66" i="3"/>
  <c r="L138" i="3"/>
  <c r="O387" i="3"/>
  <c r="O387" i="10" s="1"/>
  <c r="L387" i="3"/>
  <c r="O263" i="3"/>
  <c r="O263" i="10" s="1"/>
  <c r="O433" i="3"/>
  <c r="O433" i="10" s="1"/>
  <c r="O193" i="3"/>
  <c r="O193" i="10" s="1"/>
  <c r="L209" i="3"/>
  <c r="O209" i="3"/>
  <c r="O209" i="10" s="1"/>
  <c r="L225" i="3"/>
  <c r="O225" i="3"/>
  <c r="O225" i="10" s="1"/>
  <c r="O297" i="3"/>
  <c r="O297" i="10" s="1"/>
  <c r="O20" i="3"/>
  <c r="O20" i="10" s="1"/>
  <c r="L20" i="3"/>
  <c r="L142" i="3"/>
  <c r="O174" i="3"/>
  <c r="O174" i="10" s="1"/>
  <c r="L174" i="3"/>
  <c r="O206" i="3"/>
  <c r="O206" i="10" s="1"/>
  <c r="O242" i="3"/>
  <c r="O242" i="10" s="1"/>
  <c r="L367" i="3"/>
  <c r="L372" i="3"/>
  <c r="L391" i="3"/>
  <c r="O184" i="3"/>
  <c r="O184" i="10" s="1"/>
  <c r="L215" i="3"/>
  <c r="O416" i="3"/>
  <c r="O416" i="10" s="1"/>
  <c r="O61" i="3"/>
  <c r="O61" i="10" s="1"/>
  <c r="L401" i="3"/>
  <c r="O106" i="3"/>
  <c r="O106" i="10" s="1"/>
  <c r="L61" i="3"/>
  <c r="O4" i="3"/>
  <c r="O4" i="10" s="1"/>
  <c r="L177" i="3"/>
  <c r="L200" i="3"/>
  <c r="L216" i="3"/>
  <c r="O232" i="3"/>
  <c r="O232" i="10" s="1"/>
  <c r="L332" i="3"/>
  <c r="O168" i="3"/>
  <c r="O168" i="10" s="1"/>
  <c r="O290" i="3"/>
  <c r="O290" i="10" s="1"/>
  <c r="L333" i="3"/>
  <c r="O248" i="3"/>
  <c r="O248" i="10" s="1"/>
  <c r="O230" i="3"/>
  <c r="O230" i="10" s="1"/>
  <c r="L300" i="3"/>
  <c r="L368" i="3"/>
  <c r="O435" i="3"/>
  <c r="O435" i="10" s="1"/>
  <c r="L348" i="3"/>
  <c r="O147" i="3"/>
  <c r="O147" i="10" s="1"/>
  <c r="O141" i="3"/>
  <c r="O141" i="10" s="1"/>
  <c r="O64" i="3"/>
  <c r="O64" i="10" s="1"/>
  <c r="O96" i="3"/>
  <c r="O96" i="10" s="1"/>
  <c r="O132" i="3"/>
  <c r="O132" i="10" s="1"/>
  <c r="O200" i="3"/>
  <c r="O200" i="10" s="1"/>
  <c r="O258" i="3"/>
  <c r="O258" i="10" s="1"/>
  <c r="O411" i="3"/>
  <c r="O411" i="10" s="1"/>
  <c r="L198" i="3"/>
  <c r="L369" i="3"/>
  <c r="L423" i="3"/>
  <c r="L250" i="3"/>
  <c r="O198" i="3"/>
  <c r="O198" i="10" s="1"/>
  <c r="L207" i="3"/>
  <c r="O203" i="3"/>
  <c r="O203" i="10" s="1"/>
  <c r="L231" i="3"/>
  <c r="L182" i="3"/>
  <c r="O104" i="3"/>
  <c r="O104" i="10" s="1"/>
  <c r="O136" i="3"/>
  <c r="O136" i="10" s="1"/>
  <c r="L208" i="3"/>
  <c r="L287" i="3"/>
  <c r="O266" i="3"/>
  <c r="O266" i="10" s="1"/>
  <c r="O333" i="3"/>
  <c r="O333" i="10" s="1"/>
  <c r="O381" i="3"/>
  <c r="O381" i="10" s="1"/>
  <c r="L230" i="3"/>
  <c r="L385" i="3"/>
  <c r="L289" i="3"/>
  <c r="O338" i="3"/>
  <c r="O338" i="10" s="1"/>
  <c r="O389" i="3"/>
  <c r="O389" i="10" s="1"/>
  <c r="O280" i="3"/>
  <c r="O280" i="10" s="1"/>
  <c r="L257" i="3"/>
  <c r="O185" i="3"/>
  <c r="O185" i="10" s="1"/>
  <c r="O231" i="3"/>
  <c r="O231" i="10" s="1"/>
  <c r="L147" i="3"/>
  <c r="L4" i="3"/>
  <c r="O192" i="3"/>
  <c r="O192" i="10" s="1"/>
  <c r="L217" i="3"/>
  <c r="L255" i="3"/>
  <c r="L381" i="3"/>
  <c r="L248" i="3"/>
  <c r="O378" i="3"/>
  <c r="O378" i="10" s="1"/>
  <c r="O420" i="3"/>
  <c r="O420" i="10" s="1"/>
  <c r="O264" i="3"/>
  <c r="O264" i="10" s="1"/>
  <c r="L324" i="3"/>
  <c r="O331" i="3"/>
  <c r="O331" i="10" s="1"/>
  <c r="L347" i="3"/>
  <c r="L380" i="3"/>
  <c r="L435" i="3"/>
  <c r="L236" i="3"/>
  <c r="O143" i="3"/>
  <c r="O143" i="10" s="1"/>
  <c r="O92" i="3"/>
  <c r="O92" i="10" s="1"/>
  <c r="O224" i="3"/>
  <c r="O224" i="10" s="1"/>
  <c r="L280" i="3"/>
  <c r="L305" i="3"/>
  <c r="L407" i="3"/>
  <c r="O214" i="3"/>
  <c r="O214" i="10" s="1"/>
  <c r="L352" i="3"/>
  <c r="O379" i="3"/>
  <c r="O379" i="10" s="1"/>
  <c r="O348" i="3"/>
  <c r="O348" i="10" s="1"/>
  <c r="O403" i="3"/>
  <c r="O403" i="10" s="1"/>
  <c r="O175" i="3"/>
  <c r="O175" i="10" s="1"/>
  <c r="O100" i="3"/>
  <c r="O100" i="10" s="1"/>
  <c r="O250" i="3"/>
  <c r="O250" i="10" s="1"/>
  <c r="O282" i="3"/>
  <c r="O282" i="10" s="1"/>
  <c r="L411" i="3"/>
  <c r="O332" i="3"/>
  <c r="O332" i="10" s="1"/>
  <c r="L53" i="3"/>
  <c r="O176" i="3"/>
  <c r="O176" i="10" s="1"/>
  <c r="O385" i="3"/>
  <c r="O385" i="10" s="1"/>
  <c r="O108" i="3"/>
  <c r="O108" i="10" s="1"/>
  <c r="O208" i="3"/>
  <c r="O208" i="10" s="1"/>
  <c r="L52" i="3"/>
  <c r="L522" i="3"/>
  <c r="O531" i="3"/>
  <c r="O531" i="10" s="1"/>
  <c r="O177" i="3"/>
  <c r="O177" i="10" s="1"/>
  <c r="L193" i="3"/>
  <c r="L297" i="3"/>
  <c r="L168" i="3"/>
  <c r="L184" i="3"/>
  <c r="O216" i="3"/>
  <c r="O216" i="10" s="1"/>
  <c r="L232" i="3"/>
  <c r="L159" i="3"/>
  <c r="L187" i="3"/>
  <c r="L323" i="3"/>
  <c r="L195" i="3"/>
  <c r="O158" i="3"/>
  <c r="O158" i="10" s="1"/>
  <c r="L190" i="3"/>
  <c r="L206" i="3"/>
  <c r="L222" i="3"/>
  <c r="O274" i="3"/>
  <c r="O274" i="10" s="1"/>
  <c r="L290" i="3"/>
  <c r="L339" i="3"/>
  <c r="O542" i="3"/>
  <c r="O542" i="10" s="1"/>
  <c r="O70" i="3"/>
  <c r="O70" i="10" s="1"/>
  <c r="O74" i="3"/>
  <c r="O74" i="10" s="1"/>
  <c r="O78" i="3"/>
  <c r="O78" i="10" s="1"/>
  <c r="O82" i="3"/>
  <c r="O82" i="10" s="1"/>
  <c r="L94" i="3"/>
  <c r="L98" i="3"/>
  <c r="L370" i="3"/>
  <c r="L265" i="3"/>
  <c r="O315" i="3"/>
  <c r="O315" i="10" s="1"/>
  <c r="L353" i="3"/>
  <c r="O371" i="3"/>
  <c r="O371" i="10" s="1"/>
  <c r="L399" i="3"/>
  <c r="O438" i="3"/>
  <c r="O438" i="10" s="1"/>
  <c r="L102" i="3"/>
  <c r="L106" i="3"/>
  <c r="L110" i="3"/>
  <c r="O114" i="3"/>
  <c r="O114" i="10" s="1"/>
  <c r="O118" i="3"/>
  <c r="O118" i="10" s="1"/>
  <c r="O122" i="3"/>
  <c r="O122" i="10" s="1"/>
  <c r="O126" i="3"/>
  <c r="O126" i="10" s="1"/>
  <c r="O130" i="3"/>
  <c r="O130" i="10" s="1"/>
  <c r="O134" i="3"/>
  <c r="O134" i="10" s="1"/>
  <c r="O256" i="3"/>
  <c r="O256" i="10" s="1"/>
  <c r="L272" i="3"/>
  <c r="O337" i="3"/>
  <c r="O337" i="10" s="1"/>
  <c r="L373" i="3"/>
  <c r="L383" i="3"/>
  <c r="O391" i="3"/>
  <c r="O391" i="10" s="1"/>
  <c r="O401" i="3"/>
  <c r="O401" i="10" s="1"/>
  <c r="L405" i="3"/>
  <c r="O279" i="3"/>
  <c r="O279" i="10" s="1"/>
  <c r="O367" i="3"/>
  <c r="O367" i="10" s="1"/>
  <c r="L400" i="3"/>
  <c r="L24" i="3"/>
  <c r="L530" i="3"/>
  <c r="O425" i="3"/>
  <c r="O425" i="10" s="1"/>
  <c r="O441" i="3"/>
  <c r="O441" i="10" s="1"/>
  <c r="L292" i="3"/>
  <c r="L54" i="3"/>
  <c r="L58" i="3"/>
  <c r="L30" i="3"/>
  <c r="L60" i="3"/>
  <c r="O475" i="3"/>
  <c r="O475" i="10" s="1"/>
  <c r="O526" i="3"/>
  <c r="O526" i="10" s="1"/>
  <c r="L185" i="3"/>
  <c r="O201" i="3"/>
  <c r="O201" i="10" s="1"/>
  <c r="O217" i="3"/>
  <c r="O217" i="10" s="1"/>
  <c r="O233" i="3"/>
  <c r="O233" i="10" s="1"/>
  <c r="O305" i="3"/>
  <c r="O305" i="10" s="1"/>
  <c r="O31" i="3"/>
  <c r="O31" i="10" s="1"/>
  <c r="O53" i="3"/>
  <c r="O53" i="10" s="1"/>
  <c r="L140" i="3"/>
  <c r="L176" i="3"/>
  <c r="L192" i="3"/>
  <c r="L224" i="3"/>
  <c r="O324" i="3"/>
  <c r="O324" i="10" s="1"/>
  <c r="L175" i="3"/>
  <c r="O207" i="3"/>
  <c r="O207" i="10" s="1"/>
  <c r="L331" i="3"/>
  <c r="L325" i="3"/>
  <c r="L420" i="3"/>
  <c r="O150" i="3"/>
  <c r="O150" i="10" s="1"/>
  <c r="O166" i="3"/>
  <c r="O166" i="10" s="1"/>
  <c r="O182" i="3"/>
  <c r="O182" i="10" s="1"/>
  <c r="L282" i="3"/>
  <c r="L506" i="3"/>
  <c r="O528" i="3"/>
  <c r="O528" i="10" s="1"/>
  <c r="O421" i="3"/>
  <c r="O421" i="10" s="1"/>
  <c r="O440" i="3"/>
  <c r="O440" i="10" s="1"/>
  <c r="O300" i="3"/>
  <c r="O300" i="10" s="1"/>
  <c r="O316" i="3"/>
  <c r="O316" i="10" s="1"/>
  <c r="O347" i="3"/>
  <c r="O347" i="10" s="1"/>
  <c r="L534" i="3"/>
  <c r="O369" i="3"/>
  <c r="O369" i="10" s="1"/>
  <c r="L64" i="3"/>
  <c r="L92" i="3"/>
  <c r="L96" i="3"/>
  <c r="L100" i="3"/>
  <c r="O236" i="3"/>
  <c r="O236" i="10" s="1"/>
  <c r="O257" i="3"/>
  <c r="O257" i="10" s="1"/>
  <c r="O273" i="3"/>
  <c r="O273" i="10" s="1"/>
  <c r="O289" i="3"/>
  <c r="O289" i="10" s="1"/>
  <c r="O361" i="3"/>
  <c r="O361" i="10" s="1"/>
  <c r="L379" i="3"/>
  <c r="O430" i="3"/>
  <c r="O430" i="10" s="1"/>
  <c r="L104" i="3"/>
  <c r="L108" i="3"/>
  <c r="L132" i="3"/>
  <c r="L136" i="3"/>
  <c r="L264" i="3"/>
  <c r="L314" i="3"/>
  <c r="O352" i="3"/>
  <c r="O352" i="10" s="1"/>
  <c r="O368" i="3"/>
  <c r="O368" i="10" s="1"/>
  <c r="L464" i="3"/>
  <c r="L141" i="3"/>
  <c r="L389" i="3"/>
  <c r="O393" i="3"/>
  <c r="O393" i="10" s="1"/>
  <c r="L403" i="3"/>
  <c r="O407" i="3"/>
  <c r="O407" i="10" s="1"/>
  <c r="L444" i="3"/>
  <c r="L502" i="3"/>
  <c r="L143" i="3"/>
  <c r="O255" i="3"/>
  <c r="O255" i="10" s="1"/>
  <c r="O271" i="3"/>
  <c r="O271" i="10" s="1"/>
  <c r="O287" i="3"/>
  <c r="O287" i="10" s="1"/>
  <c r="L178" i="3"/>
  <c r="L22" i="3"/>
  <c r="L133" i="3"/>
  <c r="O267" i="3"/>
  <c r="O267" i="10" s="1"/>
  <c r="L424" i="3"/>
  <c r="L295" i="3"/>
  <c r="O527" i="3"/>
  <c r="O527" i="10" s="1"/>
  <c r="L239" i="3"/>
  <c r="O269" i="3"/>
  <c r="O269" i="10" s="1"/>
  <c r="L427" i="3"/>
  <c r="L299" i="3"/>
  <c r="L253" i="3"/>
  <c r="O235" i="3"/>
  <c r="O235" i="10" s="1"/>
  <c r="O199" i="3"/>
  <c r="O199" i="10" s="1"/>
  <c r="L261" i="3"/>
  <c r="O465" i="3"/>
  <c r="O465" i="10" s="1"/>
  <c r="O21" i="3"/>
  <c r="O21" i="10" s="1"/>
  <c r="L59" i="3"/>
  <c r="O139" i="3"/>
  <c r="O139" i="10" s="1"/>
  <c r="L8" i="3"/>
  <c r="O55" i="3"/>
  <c r="O55" i="10" s="1"/>
  <c r="L63" i="3"/>
  <c r="O101" i="3"/>
  <c r="O101" i="10" s="1"/>
  <c r="L173" i="3"/>
  <c r="O105" i="3"/>
  <c r="O105" i="10" s="1"/>
  <c r="L5" i="3"/>
  <c r="L49" i="3"/>
  <c r="O65" i="3"/>
  <c r="O65" i="10" s="1"/>
  <c r="L103" i="3"/>
  <c r="O25" i="3"/>
  <c r="O25" i="10" s="1"/>
  <c r="O131" i="3"/>
  <c r="O131" i="10" s="1"/>
  <c r="O135" i="3"/>
  <c r="O135" i="10" s="1"/>
  <c r="L179" i="3"/>
  <c r="O46" i="3"/>
  <c r="O46" i="10" s="1"/>
  <c r="O90" i="3"/>
  <c r="O90" i="10" s="1"/>
  <c r="O162" i="3"/>
  <c r="O162" i="10" s="1"/>
  <c r="O172" i="3"/>
  <c r="O172" i="10" s="1"/>
  <c r="O197" i="3"/>
  <c r="O197" i="10" s="1"/>
  <c r="L213" i="3"/>
  <c r="O229" i="3"/>
  <c r="O229" i="10" s="1"/>
  <c r="L251" i="3"/>
  <c r="O7" i="3"/>
  <c r="O7" i="10" s="1"/>
  <c r="O6" i="3"/>
  <c r="O6" i="10" s="1"/>
  <c r="L27" i="3"/>
  <c r="L87" i="3"/>
  <c r="O246" i="3"/>
  <c r="O246" i="10" s="1"/>
  <c r="L254" i="3"/>
  <c r="O212" i="3"/>
  <c r="O212" i="10" s="1"/>
  <c r="O345" i="3"/>
  <c r="O345" i="10" s="1"/>
  <c r="O342" i="3"/>
  <c r="O342" i="10" s="1"/>
  <c r="O270" i="3"/>
  <c r="O270" i="10" s="1"/>
  <c r="O322" i="3"/>
  <c r="O322" i="10" s="1"/>
  <c r="L346" i="3"/>
  <c r="O365" i="3"/>
  <c r="O365" i="10" s="1"/>
  <c r="L194" i="3"/>
  <c r="L218" i="3"/>
  <c r="L252" i="3"/>
  <c r="L284" i="3"/>
  <c r="O301" i="3"/>
  <c r="O301" i="10" s="1"/>
  <c r="L334" i="3"/>
  <c r="O350" i="3"/>
  <c r="O350" i="10" s="1"/>
  <c r="O406" i="3"/>
  <c r="O406" i="10" s="1"/>
  <c r="O295" i="3"/>
  <c r="O295" i="10" s="1"/>
  <c r="L329" i="3"/>
  <c r="O341" i="3"/>
  <c r="O341" i="10" s="1"/>
  <c r="O354" i="3"/>
  <c r="O354" i="10" s="1"/>
  <c r="L412" i="3"/>
  <c r="O374" i="3"/>
  <c r="O374" i="10" s="1"/>
  <c r="O402" i="3"/>
  <c r="O402" i="10" s="1"/>
  <c r="O424" i="3"/>
  <c r="O424" i="10" s="1"/>
  <c r="O413" i="3"/>
  <c r="O413" i="10" s="1"/>
  <c r="O408" i="3"/>
  <c r="O408" i="10" s="1"/>
  <c r="L7" i="3"/>
  <c r="O133" i="3"/>
  <c r="O133" i="10" s="1"/>
  <c r="O140" i="3"/>
  <c r="O140" i="10" s="1"/>
  <c r="L197" i="3"/>
  <c r="L229" i="3"/>
  <c r="L377" i="3"/>
  <c r="L91" i="3"/>
  <c r="O228" i="3"/>
  <c r="O228" i="10" s="1"/>
  <c r="O306" i="3"/>
  <c r="O306" i="10" s="1"/>
  <c r="O362" i="3"/>
  <c r="O362" i="10" s="1"/>
  <c r="L234" i="3"/>
  <c r="L366" i="3"/>
  <c r="O319" i="3"/>
  <c r="O319" i="10" s="1"/>
  <c r="L475" i="3"/>
  <c r="O422" i="3"/>
  <c r="O422" i="10" s="1"/>
  <c r="O179" i="3"/>
  <c r="O179" i="10" s="1"/>
  <c r="L26" i="3"/>
  <c r="O473" i="3"/>
  <c r="O473" i="10" s="1"/>
  <c r="L135" i="3"/>
  <c r="L304" i="3"/>
  <c r="L505" i="3"/>
  <c r="L220" i="3"/>
  <c r="O194" i="3"/>
  <c r="O194" i="10" s="1"/>
  <c r="O524" i="3"/>
  <c r="O524" i="10" s="1"/>
  <c r="O499" i="3"/>
  <c r="O499" i="10" s="1"/>
  <c r="O461" i="3"/>
  <c r="O461" i="10" s="1"/>
  <c r="O227" i="3"/>
  <c r="O227" i="10" s="1"/>
  <c r="L364" i="3"/>
  <c r="L344" i="3"/>
  <c r="L241" i="3"/>
  <c r="O335" i="3"/>
  <c r="O335" i="10" s="1"/>
  <c r="L291" i="3"/>
  <c r="O67" i="3"/>
  <c r="O67" i="10" s="1"/>
  <c r="L23" i="3"/>
  <c r="O8" i="3"/>
  <c r="O8" i="10" s="1"/>
  <c r="L101" i="3"/>
  <c r="O157" i="3"/>
  <c r="O157" i="10" s="1"/>
  <c r="O5" i="3"/>
  <c r="O5" i="10" s="1"/>
  <c r="L13" i="3"/>
  <c r="L19" i="3"/>
  <c r="O57" i="3"/>
  <c r="O57" i="10" s="1"/>
  <c r="L95" i="3"/>
  <c r="L3" i="3"/>
  <c r="O3" i="3"/>
  <c r="O3" i="10" s="1"/>
  <c r="O89" i="3"/>
  <c r="O89" i="10" s="1"/>
  <c r="O22" i="3"/>
  <c r="O22" i="10" s="1"/>
  <c r="O26" i="3"/>
  <c r="O26" i="10" s="1"/>
  <c r="O30" i="3"/>
  <c r="O30" i="10" s="1"/>
  <c r="O34" i="3"/>
  <c r="O34" i="10" s="1"/>
  <c r="O48" i="3"/>
  <c r="O48" i="10" s="1"/>
  <c r="O52" i="3"/>
  <c r="O52" i="10" s="1"/>
  <c r="O56" i="3"/>
  <c r="O56" i="10" s="1"/>
  <c r="O60" i="3"/>
  <c r="O60" i="10" s="1"/>
  <c r="O86" i="3"/>
  <c r="O86" i="10" s="1"/>
  <c r="O146" i="3"/>
  <c r="O146" i="10" s="1"/>
  <c r="L205" i="3"/>
  <c r="O221" i="3"/>
  <c r="O221" i="10" s="1"/>
  <c r="L243" i="3"/>
  <c r="O259" i="3"/>
  <c r="O259" i="10" s="1"/>
  <c r="L469" i="3"/>
  <c r="O501" i="3"/>
  <c r="O501" i="10" s="1"/>
  <c r="O27" i="3"/>
  <c r="O27" i="10" s="1"/>
  <c r="O10" i="3"/>
  <c r="O10" i="10" s="1"/>
  <c r="L29" i="3"/>
  <c r="L89" i="3"/>
  <c r="L246" i="3"/>
  <c r="O178" i="3"/>
  <c r="O178" i="10" s="1"/>
  <c r="O220" i="3"/>
  <c r="O220" i="10" s="1"/>
  <c r="L233" i="3"/>
  <c r="L283" i="3"/>
  <c r="O278" i="3"/>
  <c r="O278" i="10" s="1"/>
  <c r="L298" i="3"/>
  <c r="L306" i="3"/>
  <c r="O346" i="3"/>
  <c r="O346" i="10" s="1"/>
  <c r="L362" i="3"/>
  <c r="L202" i="3"/>
  <c r="L226" i="3"/>
  <c r="L260" i="3"/>
  <c r="O293" i="3"/>
  <c r="O293" i="10" s="1"/>
  <c r="O325" i="3"/>
  <c r="O325" i="10" s="1"/>
  <c r="O334" i="3"/>
  <c r="O334" i="10" s="1"/>
  <c r="L302" i="3"/>
  <c r="L313" i="3"/>
  <c r="L326" i="3"/>
  <c r="L439" i="3"/>
  <c r="O382" i="3"/>
  <c r="O382" i="10" s="1"/>
  <c r="L410" i="3"/>
  <c r="L413" i="3"/>
  <c r="L471" i="3"/>
  <c r="L65" i="3"/>
  <c r="O137" i="3"/>
  <c r="O137" i="10" s="1"/>
  <c r="O88" i="3"/>
  <c r="O88" i="10" s="1"/>
  <c r="O170" i="3"/>
  <c r="O170" i="10" s="1"/>
  <c r="O213" i="3"/>
  <c r="O213" i="10" s="1"/>
  <c r="O251" i="3"/>
  <c r="O251" i="10" s="1"/>
  <c r="L501" i="3"/>
  <c r="L31" i="3"/>
  <c r="O196" i="3"/>
  <c r="O196" i="10" s="1"/>
  <c r="O286" i="3"/>
  <c r="O286" i="10" s="1"/>
  <c r="L330" i="3"/>
  <c r="L268" i="3"/>
  <c r="L294" i="3"/>
  <c r="O326" i="3"/>
  <c r="O326" i="10" s="1"/>
  <c r="O412" i="3"/>
  <c r="O412" i="10" s="1"/>
  <c r="O418" i="3"/>
  <c r="O418" i="10" s="1"/>
  <c r="L378" i="3"/>
  <c r="O423" i="3"/>
  <c r="O423" i="10" s="1"/>
  <c r="L355" i="3"/>
  <c r="O380" i="3"/>
  <c r="O380" i="10" s="1"/>
  <c r="L109" i="3"/>
  <c r="O93" i="3"/>
  <c r="O93" i="10" s="1"/>
  <c r="O63" i="3"/>
  <c r="O63" i="10" s="1"/>
  <c r="L17" i="3"/>
  <c r="L16" i="3"/>
  <c r="L107" i="3"/>
  <c r="O23" i="3"/>
  <c r="O23" i="10" s="1"/>
  <c r="L67" i="3"/>
  <c r="O51" i="3"/>
  <c r="O51" i="10" s="1"/>
  <c r="L169" i="3"/>
  <c r="L465" i="3"/>
  <c r="L286" i="3"/>
  <c r="L212" i="3"/>
  <c r="L335" i="3"/>
  <c r="L237" i="3"/>
  <c r="O219" i="3"/>
  <c r="O219" i="10" s="1"/>
  <c r="O431" i="3"/>
  <c r="O431" i="10" s="1"/>
  <c r="O375" i="3"/>
  <c r="O375" i="10" s="1"/>
  <c r="L402" i="3"/>
  <c r="O307" i="3"/>
  <c r="O307" i="10" s="1"/>
  <c r="O285" i="3"/>
  <c r="O285" i="10" s="1"/>
  <c r="O211" i="3"/>
  <c r="O211" i="10" s="1"/>
  <c r="L351" i="3"/>
  <c r="O376" i="3"/>
  <c r="O376" i="10" s="1"/>
  <c r="L461" i="3"/>
  <c r="L491" i="3"/>
  <c r="O463" i="3"/>
  <c r="O463" i="10" s="1"/>
  <c r="O284" i="3"/>
  <c r="O284" i="10" s="1"/>
  <c r="L186" i="3"/>
  <c r="L524" i="3"/>
  <c r="O226" i="3"/>
  <c r="O226" i="10" s="1"/>
  <c r="L532" i="3"/>
  <c r="O523" i="3"/>
  <c r="O523" i="10" s="1"/>
  <c r="L388" i="3"/>
  <c r="O525" i="3"/>
  <c r="O525" i="10" s="1"/>
  <c r="O328" i="3"/>
  <c r="O328" i="10" s="1"/>
  <c r="O304" i="3"/>
  <c r="O304" i="10" s="1"/>
  <c r="O320" i="3"/>
  <c r="O320" i="10" s="1"/>
  <c r="O419" i="3"/>
  <c r="O419" i="10" s="1"/>
  <c r="L303" i="3"/>
  <c r="L188" i="3"/>
  <c r="O240" i="3"/>
  <c r="O240" i="10" s="1"/>
  <c r="L131" i="3"/>
  <c r="O321" i="3"/>
  <c r="O321" i="10" s="1"/>
  <c r="O343" i="3"/>
  <c r="O343" i="10" s="1"/>
  <c r="L327" i="3"/>
  <c r="L172" i="3"/>
  <c r="L171" i="3"/>
  <c r="L139" i="3"/>
  <c r="O99" i="3"/>
  <c r="O99" i="10" s="1"/>
  <c r="L97" i="3"/>
  <c r="O59" i="3"/>
  <c r="O59" i="10" s="1"/>
  <c r="L21" i="3"/>
  <c r="O169" i="3"/>
  <c r="O169" i="10" s="1"/>
  <c r="O145" i="3"/>
  <c r="O145" i="10" s="1"/>
  <c r="L467" i="3"/>
  <c r="L431" i="3"/>
  <c r="O363" i="3"/>
  <c r="O363" i="10" s="1"/>
  <c r="O292" i="3"/>
  <c r="O292" i="10" s="1"/>
  <c r="L277" i="3"/>
  <c r="O245" i="3"/>
  <c r="O245" i="10" s="1"/>
  <c r="L199" i="3"/>
  <c r="O180" i="3"/>
  <c r="O180" i="10" s="1"/>
  <c r="L473" i="3"/>
  <c r="L262" i="3"/>
  <c r="L235" i="3"/>
  <c r="L415" i="3"/>
  <c r="O364" i="3"/>
  <c r="O364" i="10" s="1"/>
  <c r="L307" i="3"/>
  <c r="O276" i="3"/>
  <c r="O276" i="10" s="1"/>
  <c r="L6" i="3"/>
  <c r="O491" i="3"/>
  <c r="O491" i="10" s="1"/>
  <c r="O404" i="3"/>
  <c r="O404" i="10" s="1"/>
  <c r="L269" i="3"/>
  <c r="O210" i="3"/>
  <c r="O210" i="10" s="1"/>
  <c r="L523" i="3"/>
  <c r="L204" i="3"/>
  <c r="O494" i="3"/>
  <c r="O494" i="10" s="1"/>
  <c r="L529" i="3"/>
  <c r="L328" i="3"/>
  <c r="O482" i="3"/>
  <c r="O482" i="10" s="1"/>
  <c r="O234" i="3"/>
  <c r="O234" i="10" s="1"/>
  <c r="O202" i="3"/>
  <c r="O202" i="10" s="1"/>
  <c r="O329" i="3"/>
  <c r="O329" i="10" s="1"/>
  <c r="O277" i="3"/>
  <c r="O277" i="10" s="1"/>
  <c r="O260" i="3"/>
  <c r="O260" i="10" s="1"/>
  <c r="L144" i="3"/>
  <c r="L62" i="3"/>
  <c r="L32" i="3"/>
  <c r="L408" i="3"/>
  <c r="L88" i="3"/>
  <c r="O181" i="3"/>
  <c r="O181" i="10" s="1"/>
  <c r="L146" i="3"/>
  <c r="L245" i="3"/>
  <c r="L228" i="3"/>
  <c r="L196" i="3"/>
  <c r="L10" i="3"/>
  <c r="L512" i="3"/>
  <c r="O336" i="3"/>
  <c r="O336" i="10" s="1"/>
  <c r="O268" i="3"/>
  <c r="O268" i="10" s="1"/>
  <c r="L2" i="3"/>
  <c r="O467" i="3"/>
  <c r="O467" i="10" s="1"/>
  <c r="O415" i="3"/>
  <c r="O415" i="10" s="1"/>
  <c r="L375" i="3"/>
  <c r="O253" i="3"/>
  <c r="O253" i="10" s="1"/>
  <c r="L14" i="3"/>
  <c r="O299" i="3"/>
  <c r="O299" i="10" s="1"/>
  <c r="L211" i="3"/>
  <c r="O351" i="3"/>
  <c r="O351" i="10" s="1"/>
  <c r="O410" i="3"/>
  <c r="O410" i="10" s="1"/>
  <c r="L376" i="3"/>
  <c r="L494" i="3"/>
  <c r="O186" i="3"/>
  <c r="O186" i="10" s="1"/>
  <c r="O388" i="3"/>
  <c r="O388" i="10" s="1"/>
  <c r="L191" i="3"/>
  <c r="L527" i="3"/>
  <c r="L519" i="3"/>
  <c r="O238" i="3"/>
  <c r="O238" i="10" s="1"/>
  <c r="O497" i="3"/>
  <c r="O497" i="10" s="1"/>
  <c r="L181" i="3"/>
  <c r="L497" i="3"/>
  <c r="O296" i="3"/>
  <c r="O296" i="10" s="1"/>
  <c r="L525" i="3"/>
  <c r="O529" i="3"/>
  <c r="O529" i="10" s="1"/>
  <c r="L419" i="3"/>
  <c r="O427" i="3"/>
  <c r="O427" i="10" s="1"/>
  <c r="L374" i="3"/>
  <c r="L296" i="3"/>
  <c r="O218" i="3"/>
  <c r="O218" i="10" s="1"/>
  <c r="O283" i="3"/>
  <c r="O283" i="10" s="1"/>
  <c r="L137" i="3"/>
  <c r="L129" i="3"/>
  <c r="L48" i="3"/>
  <c r="O471" i="3"/>
  <c r="O471" i="10" s="1"/>
  <c r="L406" i="3"/>
  <c r="O239" i="3"/>
  <c r="O239" i="10" s="1"/>
  <c r="L18" i="3"/>
  <c r="L180" i="3"/>
  <c r="L170" i="3"/>
  <c r="L382" i="3"/>
  <c r="L50" i="3"/>
  <c r="O244" i="3"/>
  <c r="O244" i="10" s="1"/>
  <c r="L336" i="3"/>
  <c r="L238" i="3"/>
  <c r="L278" i="3"/>
  <c r="O183" i="3"/>
  <c r="O183" i="10" s="1"/>
  <c r="L404" i="3"/>
  <c r="L499" i="3"/>
  <c r="L227" i="3"/>
  <c r="L386" i="3"/>
  <c r="O344" i="3"/>
  <c r="O344" i="10" s="1"/>
  <c r="O189" i="3"/>
  <c r="O189" i="10" s="1"/>
  <c r="O249" i="3"/>
  <c r="O249" i="10" s="1"/>
  <c r="L240" i="3"/>
  <c r="O291" i="3"/>
  <c r="O291" i="10" s="1"/>
  <c r="L145" i="3"/>
  <c r="O97" i="3"/>
  <c r="O97" i="10" s="1"/>
  <c r="L99" i="3"/>
  <c r="O171" i="3"/>
  <c r="O171" i="10" s="1"/>
  <c r="O16" i="3"/>
  <c r="O16" i="10" s="1"/>
  <c r="L55" i="3"/>
  <c r="O109" i="3"/>
  <c r="O109" i="10" s="1"/>
  <c r="O173" i="3"/>
  <c r="O173" i="10" s="1"/>
  <c r="L9" i="3"/>
  <c r="L105" i="3"/>
  <c r="L12" i="3"/>
  <c r="O13" i="3"/>
  <c r="O13" i="10" s="1"/>
  <c r="O49" i="3"/>
  <c r="O49" i="10" s="1"/>
  <c r="O103" i="3"/>
  <c r="O103" i="10" s="1"/>
  <c r="O11" i="3"/>
  <c r="O11" i="10" s="1"/>
  <c r="O129" i="3"/>
  <c r="O129" i="10" s="1"/>
  <c r="O38" i="3"/>
  <c r="O38" i="10" s="1"/>
  <c r="O469" i="3"/>
  <c r="O469" i="10" s="1"/>
  <c r="O14" i="3"/>
  <c r="O14" i="10" s="1"/>
  <c r="L201" i="3"/>
  <c r="O298" i="3"/>
  <c r="O298" i="10" s="1"/>
  <c r="L349" i="3"/>
  <c r="L210" i="3"/>
  <c r="O302" i="3"/>
  <c r="O302" i="10" s="1"/>
  <c r="O386" i="3"/>
  <c r="O386" i="10" s="1"/>
  <c r="L437" i="3"/>
  <c r="L538" i="3"/>
  <c r="L15" i="3"/>
  <c r="O252" i="3"/>
  <c r="O252" i="10" s="1"/>
  <c r="L189" i="3"/>
  <c r="L463" i="3"/>
  <c r="L285" i="3"/>
  <c r="O188" i="3"/>
  <c r="O188" i="10" s="1"/>
  <c r="O107" i="3"/>
  <c r="O107" i="10" s="1"/>
  <c r="L93" i="3"/>
  <c r="L57" i="3"/>
  <c r="O15" i="3"/>
  <c r="O15" i="10" s="1"/>
  <c r="O144" i="3"/>
  <c r="O144" i="10" s="1"/>
  <c r="O205" i="3"/>
  <c r="O205" i="10" s="1"/>
  <c r="L259" i="3"/>
  <c r="O29" i="3"/>
  <c r="O29" i="10" s="1"/>
  <c r="L293" i="3"/>
  <c r="O349" i="3"/>
  <c r="O349" i="10" s="1"/>
  <c r="L244" i="3"/>
  <c r="L363" i="3"/>
  <c r="L477" i="3"/>
  <c r="L509" i="3"/>
  <c r="L219" i="3"/>
  <c r="O261" i="3"/>
  <c r="O261" i="10" s="1"/>
  <c r="O95" i="3"/>
  <c r="O95" i="10" s="1"/>
  <c r="O154" i="3"/>
  <c r="O154" i="10" s="1"/>
  <c r="L221" i="3"/>
  <c r="O377" i="3"/>
  <c r="O377" i="10" s="1"/>
  <c r="O254" i="3"/>
  <c r="O254" i="10" s="1"/>
  <c r="L267" i="3"/>
  <c r="L301" i="3"/>
  <c r="L365" i="3"/>
  <c r="L276" i="3"/>
  <c r="L350" i="3"/>
  <c r="L321" i="3"/>
  <c r="L531" i="3"/>
  <c r="L390" i="3"/>
  <c r="L270" i="3"/>
  <c r="L343" i="3"/>
  <c r="L51" i="3"/>
  <c r="O17" i="3"/>
  <c r="O17" i="10" s="1"/>
  <c r="O19" i="3"/>
  <c r="O19" i="10" s="1"/>
  <c r="O91" i="3"/>
  <c r="O91" i="10" s="1"/>
  <c r="O42" i="3"/>
  <c r="O42" i="10" s="1"/>
  <c r="L25" i="3"/>
  <c r="O204" i="3"/>
  <c r="O204" i="10" s="1"/>
  <c r="L342" i="3"/>
  <c r="L322" i="3"/>
  <c r="L183" i="3"/>
  <c r="O366" i="3"/>
  <c r="O366" i="10" s="1"/>
  <c r="O327" i="3"/>
  <c r="O327" i="10" s="1"/>
  <c r="O439" i="3"/>
  <c r="O439" i="10" s="1"/>
  <c r="O437" i="3"/>
  <c r="O437" i="10" s="1"/>
  <c r="L384" i="3"/>
  <c r="L11" i="3"/>
  <c r="O656" i="3"/>
  <c r="O656" i="10" s="1"/>
  <c r="L765" i="3"/>
  <c r="O754" i="3"/>
  <c r="O754" i="10" s="1"/>
  <c r="O664" i="3"/>
  <c r="O664" i="10" s="1"/>
  <c r="O808" i="3"/>
  <c r="O808" i="10" s="1"/>
  <c r="O962" i="3"/>
  <c r="O962" i="10" s="1"/>
  <c r="O654" i="3"/>
  <c r="O654" i="10" s="1"/>
  <c r="O851" i="3"/>
  <c r="O851" i="10" s="1"/>
  <c r="L901" i="3"/>
  <c r="O661" i="3"/>
  <c r="O661" i="10" s="1"/>
  <c r="O982" i="3"/>
  <c r="O982" i="10" s="1"/>
  <c r="L865" i="3"/>
  <c r="O858" i="3"/>
  <c r="O858" i="10" s="1"/>
  <c r="O882" i="3"/>
  <c r="O882" i="10" s="1"/>
  <c r="L830" i="3"/>
  <c r="L780" i="3"/>
  <c r="L977" i="3"/>
  <c r="O961" i="3"/>
  <c r="O961" i="10" s="1"/>
  <c r="O959" i="3"/>
  <c r="O959" i="10" s="1"/>
  <c r="O840" i="3"/>
  <c r="O840" i="10" s="1"/>
  <c r="L808" i="3"/>
  <c r="O771" i="3"/>
  <c r="O771" i="10" s="1"/>
  <c r="O677" i="3"/>
  <c r="O677" i="10" s="1"/>
  <c r="O675" i="3"/>
  <c r="O675" i="10" s="1"/>
  <c r="O1000" i="3"/>
  <c r="O1000" i="10" s="1"/>
  <c r="L993" i="3"/>
  <c r="L683" i="3"/>
  <c r="L860" i="3"/>
  <c r="O785" i="3"/>
  <c r="O785" i="10" s="1"/>
  <c r="L776" i="3"/>
  <c r="O941" i="3"/>
  <c r="O941" i="10" s="1"/>
  <c r="O852" i="3"/>
  <c r="O852" i="10" s="1"/>
  <c r="L666" i="3"/>
  <c r="O721" i="3"/>
  <c r="O721" i="10" s="1"/>
  <c r="L744" i="3"/>
  <c r="L992" i="3"/>
  <c r="L947" i="3"/>
  <c r="O969" i="3"/>
  <c r="O969" i="10" s="1"/>
  <c r="O659" i="3"/>
  <c r="O659" i="10" s="1"/>
  <c r="L906" i="3"/>
  <c r="O844" i="3"/>
  <c r="O844" i="10" s="1"/>
  <c r="L843" i="3"/>
  <c r="L695" i="3"/>
  <c r="L758" i="3"/>
  <c r="L694" i="3"/>
  <c r="L862" i="3"/>
  <c r="O777" i="3"/>
  <c r="O777" i="10" s="1"/>
  <c r="L959" i="3"/>
  <c r="L691" i="3"/>
  <c r="L859" i="3"/>
  <c r="L783" i="3"/>
  <c r="L786" i="3"/>
  <c r="L706" i="3"/>
  <c r="O32" i="3"/>
  <c r="O32" i="10" s="1"/>
  <c r="O62" i="3"/>
  <c r="O62" i="10" s="1"/>
  <c r="O330" i="3"/>
  <c r="O330" i="10" s="1"/>
  <c r="O303" i="3"/>
  <c r="O303" i="10" s="1"/>
  <c r="L422" i="3"/>
  <c r="O795" i="3"/>
  <c r="O795" i="10" s="1"/>
  <c r="O879" i="3"/>
  <c r="O879" i="10" s="1"/>
  <c r="L954" i="3"/>
  <c r="O835" i="3"/>
  <c r="O835" i="10" s="1"/>
  <c r="L928" i="3"/>
  <c r="O906" i="3"/>
  <c r="O906" i="10" s="1"/>
  <c r="L987" i="3"/>
  <c r="L905" i="3"/>
  <c r="L994" i="3"/>
  <c r="L907" i="3"/>
  <c r="L827" i="3"/>
  <c r="L702" i="3"/>
  <c r="O943" i="3"/>
  <c r="O943" i="10" s="1"/>
  <c r="L871" i="3"/>
  <c r="O987" i="3"/>
  <c r="O987" i="10" s="1"/>
  <c r="L880" i="3"/>
  <c r="L722" i="3"/>
  <c r="L56" i="3"/>
  <c r="O698" i="3"/>
  <c r="O698" i="10" s="1"/>
  <c r="O703" i="3"/>
  <c r="O703" i="10" s="1"/>
  <c r="L713" i="3"/>
  <c r="O918" i="3"/>
  <c r="O918" i="10" s="1"/>
  <c r="O924" i="3"/>
  <c r="O924" i="10" s="1"/>
  <c r="O889" i="3"/>
  <c r="O889" i="10" s="1"/>
  <c r="O714" i="3"/>
  <c r="O714" i="10" s="1"/>
  <c r="O904" i="3"/>
  <c r="O904" i="10" s="1"/>
  <c r="O689" i="3"/>
  <c r="O689" i="10" s="1"/>
  <c r="L850" i="3"/>
  <c r="L724" i="3"/>
  <c r="L995" i="3"/>
  <c r="O972" i="3"/>
  <c r="O972" i="10" s="1"/>
  <c r="L833" i="3"/>
  <c r="O826" i="3"/>
  <c r="O826" i="10" s="1"/>
  <c r="O902" i="3"/>
  <c r="O902" i="10" s="1"/>
  <c r="O812" i="3"/>
  <c r="O812" i="10" s="1"/>
  <c r="O998" i="3"/>
  <c r="O998" i="10" s="1"/>
  <c r="O919" i="3"/>
  <c r="O919" i="10" s="1"/>
  <c r="L983" i="3"/>
  <c r="L755" i="3"/>
  <c r="L651" i="3"/>
  <c r="L903" i="3"/>
  <c r="L856" i="3"/>
  <c r="L952" i="3"/>
  <c r="L909" i="3"/>
  <c r="L861" i="3"/>
  <c r="O878" i="3"/>
  <c r="O878" i="10" s="1"/>
  <c r="L672" i="3"/>
  <c r="L796" i="3"/>
  <c r="L699" i="3"/>
  <c r="L924" i="3"/>
  <c r="L960" i="3"/>
  <c r="L793" i="3"/>
  <c r="O981" i="3"/>
  <c r="O981" i="10" s="1"/>
  <c r="L719" i="3"/>
  <c r="L746" i="3"/>
  <c r="L760" i="3"/>
  <c r="L890" i="3"/>
  <c r="O757" i="3"/>
  <c r="O757" i="10" s="1"/>
  <c r="L976" i="3"/>
  <c r="L985" i="3"/>
  <c r="O895" i="3"/>
  <c r="O895" i="10" s="1"/>
  <c r="L703" i="3"/>
  <c r="L734" i="3"/>
  <c r="L670" i="3"/>
  <c r="L813" i="3"/>
  <c r="L945" i="3"/>
  <c r="L707" i="3"/>
  <c r="L819" i="3"/>
  <c r="O993" i="3"/>
  <c r="O993" i="10" s="1"/>
  <c r="O707" i="3"/>
  <c r="O707" i="10" s="1"/>
  <c r="L687" i="3"/>
  <c r="L770" i="3"/>
  <c r="L690" i="3"/>
  <c r="O18" i="3"/>
  <c r="O18" i="10" s="1"/>
  <c r="O50" i="3"/>
  <c r="O50" i="10" s="1"/>
  <c r="L39" i="3"/>
  <c r="L214" i="3"/>
  <c r="L341" i="3"/>
  <c r="L354" i="3"/>
  <c r="O724" i="3"/>
  <c r="O724" i="10" s="1"/>
  <c r="O800" i="3"/>
  <c r="O800" i="10" s="1"/>
  <c r="L725" i="3"/>
  <c r="O778" i="3"/>
  <c r="O778" i="10" s="1"/>
  <c r="O765" i="3"/>
  <c r="O765" i="10" s="1"/>
  <c r="L957" i="3"/>
  <c r="L893" i="3"/>
  <c r="O907" i="3"/>
  <c r="O907" i="10" s="1"/>
  <c r="L982" i="3"/>
  <c r="O854" i="3"/>
  <c r="O854" i="10" s="1"/>
  <c r="O963" i="3"/>
  <c r="O963" i="10" s="1"/>
  <c r="L647" i="3"/>
  <c r="O996" i="3"/>
  <c r="O996" i="10" s="1"/>
  <c r="O983" i="3"/>
  <c r="O983" i="10" s="1"/>
  <c r="L895" i="3"/>
  <c r="L727" i="3"/>
  <c r="O709" i="3"/>
  <c r="O709" i="10" s="1"/>
  <c r="O779" i="3"/>
  <c r="O779" i="10" s="1"/>
  <c r="O824" i="3"/>
  <c r="O824" i="10" s="1"/>
  <c r="O191" i="3"/>
  <c r="O191" i="10" s="1"/>
  <c r="O640" i="3"/>
  <c r="O640" i="10" s="1"/>
  <c r="O750" i="3"/>
  <c r="O750" i="10" s="1"/>
  <c r="L749" i="3"/>
  <c r="O819" i="3"/>
  <c r="O819" i="10" s="1"/>
  <c r="O704" i="3"/>
  <c r="O704" i="10" s="1"/>
  <c r="O692" i="3"/>
  <c r="O692" i="10" s="1"/>
  <c r="O766" i="3"/>
  <c r="O766" i="10" s="1"/>
  <c r="O847" i="3"/>
  <c r="O847" i="10" s="1"/>
  <c r="O700" i="3"/>
  <c r="O700" i="10" s="1"/>
  <c r="O843" i="3"/>
  <c r="O843" i="10" s="1"/>
  <c r="O891" i="3"/>
  <c r="O891" i="10" s="1"/>
  <c r="O717" i="3"/>
  <c r="O717" i="10" s="1"/>
  <c r="O685" i="3"/>
  <c r="O685" i="10" s="1"/>
  <c r="L652" i="3"/>
  <c r="L921" i="3"/>
  <c r="L747" i="3"/>
  <c r="L868" i="3"/>
  <c r="L799" i="3"/>
  <c r="L700" i="3"/>
  <c r="O988" i="3"/>
  <c r="O988" i="10" s="1"/>
  <c r="L931" i="3"/>
  <c r="O949" i="3"/>
  <c r="O949" i="10" s="1"/>
  <c r="O901" i="3"/>
  <c r="O901" i="10" s="1"/>
  <c r="L835" i="3"/>
  <c r="L965" i="3"/>
  <c r="L656" i="3"/>
  <c r="L787" i="3"/>
  <c r="L696" i="3"/>
  <c r="L858" i="3"/>
  <c r="O725" i="3"/>
  <c r="O725" i="10" s="1"/>
  <c r="O967" i="3"/>
  <c r="O967" i="10" s="1"/>
  <c r="L891" i="3"/>
  <c r="L655" i="3"/>
  <c r="L730" i="3"/>
  <c r="L920" i="3"/>
  <c r="L826" i="3"/>
  <c r="O693" i="3"/>
  <c r="O693" i="10" s="1"/>
  <c r="L989" i="3"/>
  <c r="O970" i="3"/>
  <c r="O970" i="10" s="1"/>
  <c r="O872" i="3"/>
  <c r="O872" i="10" s="1"/>
  <c r="O731" i="3"/>
  <c r="O731" i="10" s="1"/>
  <c r="L671" i="3"/>
  <c r="L726" i="3"/>
  <c r="L662" i="3"/>
  <c r="L660" i="3"/>
  <c r="O888" i="3"/>
  <c r="O888" i="10" s="1"/>
  <c r="O864" i="3"/>
  <c r="O864" i="10" s="1"/>
  <c r="O699" i="3"/>
  <c r="O699" i="10" s="1"/>
  <c r="L775" i="3"/>
  <c r="L754" i="3"/>
  <c r="L658" i="3"/>
  <c r="L876" i="3"/>
  <c r="L898" i="3"/>
  <c r="O870" i="3"/>
  <c r="O870" i="10" s="1"/>
  <c r="L877" i="3"/>
  <c r="L953" i="3"/>
  <c r="O681" i="3"/>
  <c r="O681" i="10" s="1"/>
  <c r="O773" i="3"/>
  <c r="O773" i="10" s="1"/>
  <c r="L822" i="3"/>
  <c r="L840" i="3"/>
  <c r="L883" i="3"/>
  <c r="O903" i="3"/>
  <c r="O903" i="10" s="1"/>
  <c r="O836" i="3"/>
  <c r="O836" i="10" s="1"/>
  <c r="O643" i="3"/>
  <c r="O643" i="10" s="1"/>
  <c r="O860" i="3"/>
  <c r="O860" i="10" s="1"/>
  <c r="O917" i="3"/>
  <c r="O917" i="10" s="1"/>
  <c r="L955" i="3"/>
  <c r="O911" i="3"/>
  <c r="O911" i="10" s="1"/>
  <c r="O971" i="3"/>
  <c r="O971" i="10" s="1"/>
  <c r="L997" i="3"/>
  <c r="O947" i="3"/>
  <c r="O947" i="10" s="1"/>
  <c r="O929" i="3"/>
  <c r="O929" i="10" s="1"/>
  <c r="L967" i="3"/>
  <c r="L980" i="3"/>
  <c r="L990" i="3"/>
  <c r="O657" i="3"/>
  <c r="O657" i="10" s="1"/>
  <c r="O673" i="3"/>
  <c r="O673" i="10" s="1"/>
  <c r="L732" i="3"/>
  <c r="O814" i="3"/>
  <c r="O814" i="10" s="1"/>
  <c r="O781" i="3"/>
  <c r="O781" i="10" s="1"/>
  <c r="O697" i="3"/>
  <c r="O697" i="10" s="1"/>
  <c r="L932" i="3"/>
  <c r="L870" i="3"/>
  <c r="O898" i="3"/>
  <c r="O898" i="10" s="1"/>
  <c r="L807" i="3"/>
  <c r="O763" i="3"/>
  <c r="O763" i="10" s="1"/>
  <c r="L831" i="3"/>
  <c r="L852" i="3"/>
  <c r="O893" i="3"/>
  <c r="O893" i="10" s="1"/>
  <c r="O739" i="3"/>
  <c r="O739" i="10" s="1"/>
  <c r="O834" i="3"/>
  <c r="O834" i="10" s="1"/>
  <c r="O866" i="3"/>
  <c r="O866" i="10" s="1"/>
  <c r="L841" i="3"/>
  <c r="L873" i="3"/>
  <c r="L723" i="3"/>
  <c r="L979" i="3"/>
  <c r="O985" i="3"/>
  <c r="O985" i="10" s="1"/>
  <c r="L925" i="3"/>
  <c r="L986" i="3"/>
  <c r="L943" i="3"/>
  <c r="L756" i="3"/>
  <c r="O669" i="3"/>
  <c r="O669" i="10" s="1"/>
  <c r="O790" i="3"/>
  <c r="O790" i="10" s="1"/>
  <c r="O749" i="3"/>
  <c r="O749" i="10" s="1"/>
  <c r="L882" i="3"/>
  <c r="O894" i="3"/>
  <c r="O894" i="10" s="1"/>
  <c r="O798" i="3"/>
  <c r="O798" i="10" s="1"/>
  <c r="O753" i="3"/>
  <c r="O753" i="10" s="1"/>
  <c r="O788" i="3"/>
  <c r="O788" i="10" s="1"/>
  <c r="O916" i="3"/>
  <c r="O916" i="10" s="1"/>
  <c r="O791" i="3"/>
  <c r="O791" i="10" s="1"/>
  <c r="O859" i="3"/>
  <c r="O859" i="10" s="1"/>
  <c r="O954" i="3"/>
  <c r="O954" i="10" s="1"/>
  <c r="L926" i="3"/>
  <c r="O768" i="3"/>
  <c r="O768" i="10" s="1"/>
  <c r="O711" i="3"/>
  <c r="O711" i="10" s="1"/>
  <c r="O849" i="3"/>
  <c r="O849" i="10" s="1"/>
  <c r="O764" i="3"/>
  <c r="O764" i="10" s="1"/>
  <c r="L681" i="3"/>
  <c r="O639" i="3"/>
  <c r="O639" i="10" s="1"/>
  <c r="O946" i="3"/>
  <c r="O946" i="10" s="1"/>
  <c r="L934" i="3"/>
  <c r="O908" i="3"/>
  <c r="O908" i="10" s="1"/>
  <c r="O871" i="3"/>
  <c r="O871" i="10" s="1"/>
  <c r="O839" i="3"/>
  <c r="O839" i="10" s="1"/>
  <c r="L814" i="3"/>
  <c r="O803" i="3"/>
  <c r="O803" i="10" s="1"/>
  <c r="O793" i="3"/>
  <c r="O793" i="10" s="1"/>
  <c r="O751" i="3"/>
  <c r="O751" i="10" s="1"/>
  <c r="O743" i="3"/>
  <c r="O743" i="10" s="1"/>
  <c r="O702" i="3"/>
  <c r="O702" i="10" s="1"/>
  <c r="O719" i="3"/>
  <c r="O719" i="10" s="1"/>
  <c r="O690" i="3"/>
  <c r="O690" i="10" s="1"/>
  <c r="O873" i="3"/>
  <c r="O873" i="10" s="1"/>
  <c r="L914" i="3"/>
  <c r="L794" i="3"/>
  <c r="O784" i="3"/>
  <c r="O784" i="10" s="1"/>
  <c r="O740" i="3"/>
  <c r="O740" i="10" s="1"/>
  <c r="L689" i="3"/>
  <c r="L763" i="3"/>
  <c r="L892" i="3"/>
  <c r="O830" i="3"/>
  <c r="O830" i="10" s="1"/>
  <c r="L837" i="3"/>
  <c r="L981" i="3"/>
  <c r="L974" i="3"/>
  <c r="O999" i="3"/>
  <c r="O999" i="10" s="1"/>
  <c r="L736" i="3"/>
  <c r="L866" i="3"/>
  <c r="L916" i="3"/>
  <c r="L646" i="3"/>
  <c r="L678" i="3"/>
  <c r="L710" i="3"/>
  <c r="L742" i="3"/>
  <c r="L774" i="3"/>
  <c r="L759" i="3"/>
  <c r="L735" i="3"/>
  <c r="L811" i="3"/>
  <c r="L864" i="3"/>
  <c r="L715" i="3"/>
  <c r="O923" i="3"/>
  <c r="O923" i="10" s="1"/>
  <c r="L911" i="3"/>
  <c r="O909" i="3"/>
  <c r="O909" i="10" s="1"/>
  <c r="O935" i="3"/>
  <c r="O935" i="10" s="1"/>
  <c r="O980" i="3"/>
  <c r="O980" i="10" s="1"/>
  <c r="O965" i="3"/>
  <c r="O965" i="10" s="1"/>
  <c r="L886" i="3"/>
  <c r="L964" i="3"/>
  <c r="L956" i="3"/>
  <c r="L698" i="3"/>
  <c r="L762" i="3"/>
  <c r="L711" i="3"/>
  <c r="L795" i="3"/>
  <c r="L848" i="3"/>
  <c r="O905" i="3"/>
  <c r="O905" i="10" s="1"/>
  <c r="O955" i="3"/>
  <c r="O955" i="10" s="1"/>
  <c r="L919" i="3"/>
  <c r="O978" i="3"/>
  <c r="O978" i="10" s="1"/>
  <c r="L1000" i="3"/>
  <c r="O653" i="3"/>
  <c r="O653" i="10" s="1"/>
  <c r="L688" i="3"/>
  <c r="L668" i="3"/>
  <c r="L720" i="3"/>
  <c r="L816" i="3"/>
  <c r="O846" i="3"/>
  <c r="O846" i="10" s="1"/>
  <c r="L853" i="3"/>
  <c r="O997" i="3"/>
  <c r="O997" i="10" s="1"/>
  <c r="O794" i="3"/>
  <c r="O794" i="10" s="1"/>
  <c r="O741" i="3"/>
  <c r="O741" i="10" s="1"/>
  <c r="L731" i="3"/>
  <c r="L844" i="3"/>
  <c r="L887" i="3"/>
  <c r="O822" i="3"/>
  <c r="O822" i="10" s="1"/>
  <c r="L829" i="3"/>
  <c r="L659" i="3"/>
  <c r="L969" i="3"/>
  <c r="O975" i="3"/>
  <c r="O975" i="10" s="1"/>
  <c r="O992" i="3"/>
  <c r="O992" i="10" s="1"/>
  <c r="L704" i="3"/>
  <c r="O745" i="3"/>
  <c r="O745" i="10" s="1"/>
  <c r="L834" i="3"/>
  <c r="L728" i="3"/>
  <c r="L936" i="3"/>
  <c r="L824" i="3"/>
  <c r="L867" i="3"/>
  <c r="L888" i="3"/>
  <c r="O848" i="3"/>
  <c r="O848" i="10" s="1"/>
  <c r="L675" i="3"/>
  <c r="O856" i="3"/>
  <c r="O856" i="10" s="1"/>
  <c r="O747" i="3"/>
  <c r="O747" i="10" s="1"/>
  <c r="O820" i="3"/>
  <c r="O820" i="10" s="1"/>
  <c r="O876" i="3"/>
  <c r="O876" i="10" s="1"/>
  <c r="L923" i="3"/>
  <c r="O973" i="3"/>
  <c r="O973" i="10" s="1"/>
  <c r="O921" i="3"/>
  <c r="O921" i="10" s="1"/>
  <c r="L975" i="3"/>
  <c r="O915" i="3"/>
  <c r="O915" i="10" s="1"/>
  <c r="O957" i="3"/>
  <c r="O957" i="10" s="1"/>
  <c r="L935" i="3"/>
  <c r="L972" i="3"/>
  <c r="O927" i="3"/>
  <c r="O927" i="10" s="1"/>
  <c r="O995" i="3"/>
  <c r="O995" i="10" s="1"/>
  <c r="O705" i="3"/>
  <c r="O705" i="10" s="1"/>
  <c r="L764" i="3"/>
  <c r="L842" i="3"/>
  <c r="L968" i="3"/>
  <c r="O761" i="3"/>
  <c r="O761" i="10" s="1"/>
  <c r="L684" i="3"/>
  <c r="L676" i="3"/>
  <c r="L797" i="3"/>
  <c r="L815" i="3"/>
  <c r="L836" i="3"/>
  <c r="L879" i="3"/>
  <c r="O899" i="3"/>
  <c r="O899" i="10" s="1"/>
  <c r="L902" i="3"/>
  <c r="L771" i="3"/>
  <c r="O842" i="3"/>
  <c r="O842" i="10" s="1"/>
  <c r="O874" i="3"/>
  <c r="O874" i="10" s="1"/>
  <c r="L849" i="3"/>
  <c r="L881" i="3"/>
  <c r="L949" i="3"/>
  <c r="L991" i="3"/>
  <c r="L961" i="3"/>
  <c r="L978" i="3"/>
  <c r="L988" i="3"/>
  <c r="L644" i="3"/>
  <c r="L664" i="3"/>
  <c r="L788" i="3"/>
  <c r="O701" i="3"/>
  <c r="O701" i="10" s="1"/>
  <c r="O796" i="3"/>
  <c r="O796" i="10" s="1"/>
  <c r="L944" i="3"/>
  <c r="L640" i="3"/>
  <c r="L838" i="3"/>
  <c r="L908" i="3"/>
  <c r="O948" i="3"/>
  <c r="O948" i="10" s="1"/>
  <c r="O896" i="3"/>
  <c r="O896" i="10" s="1"/>
  <c r="L910" i="3"/>
  <c r="L958" i="3"/>
  <c r="O827" i="3"/>
  <c r="O827" i="10" s="1"/>
  <c r="O964" i="3"/>
  <c r="O964" i="10" s="1"/>
  <c r="O966" i="3"/>
  <c r="O966" i="10" s="1"/>
  <c r="O816" i="3"/>
  <c r="O816" i="10" s="1"/>
  <c r="O744" i="3"/>
  <c r="O744" i="10" s="1"/>
  <c r="L705" i="3"/>
  <c r="O680" i="3"/>
  <c r="O680" i="10" s="1"/>
  <c r="O956" i="3"/>
  <c r="O956" i="10" s="1"/>
  <c r="O930" i="3"/>
  <c r="O930" i="10" s="1"/>
  <c r="L918" i="3"/>
  <c r="O900" i="3"/>
  <c r="O900" i="10" s="1"/>
  <c r="O863" i="3"/>
  <c r="O863" i="10" s="1"/>
  <c r="O831" i="3"/>
  <c r="O831" i="10" s="1"/>
  <c r="L810" i="3"/>
  <c r="O786" i="3"/>
  <c r="O786" i="10" s="1"/>
  <c r="O746" i="3"/>
  <c r="O746" i="10" s="1"/>
  <c r="O736" i="3"/>
  <c r="O736" i="10" s="1"/>
  <c r="O687" i="3"/>
  <c r="O687" i="10" s="1"/>
  <c r="O679" i="3"/>
  <c r="O679" i="10" s="1"/>
  <c r="O644" i="3"/>
  <c r="O644" i="10" s="1"/>
  <c r="O734" i="3"/>
  <c r="O734" i="10" s="1"/>
  <c r="O833" i="3"/>
  <c r="O833" i="10" s="1"/>
  <c r="O952" i="3"/>
  <c r="O952" i="10" s="1"/>
  <c r="O885" i="3"/>
  <c r="O885" i="10" s="1"/>
  <c r="O776" i="3"/>
  <c r="O776" i="10" s="1"/>
  <c r="O668" i="3"/>
  <c r="O668" i="10" s="1"/>
  <c r="O821" i="3"/>
  <c r="O821" i="10" s="1"/>
  <c r="O726" i="3"/>
  <c r="O726" i="10" s="1"/>
  <c r="O674" i="3"/>
  <c r="O674" i="10" s="1"/>
  <c r="L773" i="3"/>
  <c r="O727" i="3"/>
  <c r="O727" i="10" s="1"/>
  <c r="L674" i="3"/>
  <c r="L738" i="3"/>
  <c r="L751" i="3"/>
  <c r="O804" i="3"/>
  <c r="O804" i="10" s="1"/>
  <c r="O933" i="3"/>
  <c r="O933" i="10" s="1"/>
  <c r="L828" i="3"/>
  <c r="O890" i="3"/>
  <c r="O890" i="10" s="1"/>
  <c r="O862" i="3"/>
  <c r="O862" i="10" s="1"/>
  <c r="L869" i="3"/>
  <c r="L933" i="3"/>
  <c r="L984" i="3"/>
  <c r="O641" i="3"/>
  <c r="O641" i="10" s="1"/>
  <c r="L748" i="3"/>
  <c r="L654" i="3"/>
  <c r="L686" i="3"/>
  <c r="L718" i="3"/>
  <c r="L750" i="3"/>
  <c r="L782" i="3"/>
  <c r="L663" i="3"/>
  <c r="L639" i="3"/>
  <c r="L767" i="3"/>
  <c r="O667" i="3"/>
  <c r="O667" i="10" s="1"/>
  <c r="L832" i="3"/>
  <c r="L875" i="3"/>
  <c r="O897" i="3"/>
  <c r="O897" i="10" s="1"/>
  <c r="L739" i="3"/>
  <c r="L792" i="3"/>
  <c r="O832" i="3"/>
  <c r="O832" i="10" s="1"/>
  <c r="L939" i="3"/>
  <c r="O953" i="3"/>
  <c r="O953" i="10" s="1"/>
  <c r="O931" i="3"/>
  <c r="O931" i="10" s="1"/>
  <c r="L951" i="3"/>
  <c r="O986" i="3"/>
  <c r="O986" i="10" s="1"/>
  <c r="O977" i="3"/>
  <c r="O977" i="10" s="1"/>
  <c r="L680" i="3"/>
  <c r="L752" i="3"/>
  <c r="L805" i="3"/>
  <c r="L642" i="3"/>
  <c r="L714" i="3"/>
  <c r="L778" i="3"/>
  <c r="L743" i="3"/>
  <c r="O683" i="3"/>
  <c r="O683" i="10" s="1"/>
  <c r="O787" i="3"/>
  <c r="O787" i="10" s="1"/>
  <c r="L973" i="3"/>
  <c r="L915" i="3"/>
  <c r="O945" i="3"/>
  <c r="O945" i="10" s="1"/>
  <c r="O984" i="3"/>
  <c r="O984" i="10" s="1"/>
  <c r="L927" i="3"/>
  <c r="O665" i="3"/>
  <c r="O665" i="10" s="1"/>
  <c r="L712" i="3"/>
  <c r="O806" i="3"/>
  <c r="O806" i="10" s="1"/>
  <c r="O649" i="3"/>
  <c r="O649" i="10" s="1"/>
  <c r="L854" i="3"/>
  <c r="L839" i="3"/>
  <c r="O886" i="3"/>
  <c r="O886" i="10" s="1"/>
  <c r="L885" i="3"/>
  <c r="L941" i="3"/>
  <c r="O990" i="3"/>
  <c r="O990" i="10" s="1"/>
  <c r="O713" i="3"/>
  <c r="O713" i="10" s="1"/>
  <c r="O729" i="3"/>
  <c r="O729" i="10" s="1"/>
  <c r="L803" i="3"/>
  <c r="L800" i="3"/>
  <c r="L855" i="3"/>
  <c r="O838" i="3"/>
  <c r="O838" i="10" s="1"/>
  <c r="O651" i="3"/>
  <c r="O651" i="10" s="1"/>
  <c r="L845" i="3"/>
  <c r="O755" i="3"/>
  <c r="O755" i="10" s="1"/>
  <c r="L913" i="3"/>
  <c r="O976" i="3"/>
  <c r="O976" i="10" s="1"/>
  <c r="L998" i="3"/>
  <c r="L768" i="3"/>
  <c r="O802" i="3"/>
  <c r="O802" i="10" s="1"/>
  <c r="L912" i="3"/>
  <c r="L897" i="3"/>
  <c r="L940" i="3"/>
  <c r="L851" i="3"/>
  <c r="L872" i="3"/>
  <c r="O892" i="3"/>
  <c r="O892" i="10" s="1"/>
  <c r="O880" i="3"/>
  <c r="O880" i="10" s="1"/>
  <c r="L779" i="3"/>
  <c r="O723" i="3"/>
  <c r="O723" i="10" s="1"/>
  <c r="O828" i="3"/>
  <c r="O828" i="10" s="1"/>
  <c r="L899" i="3"/>
  <c r="O939" i="3"/>
  <c r="O939" i="10" s="1"/>
  <c r="O979" i="3"/>
  <c r="O979" i="10" s="1"/>
  <c r="L937" i="3"/>
  <c r="O925" i="3"/>
  <c r="O925" i="10" s="1"/>
  <c r="L963" i="3"/>
  <c r="O951" i="3"/>
  <c r="O951" i="10" s="1"/>
  <c r="O974" i="3"/>
  <c r="O974" i="10" s="1"/>
  <c r="L996" i="3"/>
  <c r="L999" i="3"/>
  <c r="O737" i="3"/>
  <c r="O737" i="10" s="1"/>
  <c r="L648" i="3"/>
  <c r="L789" i="3"/>
  <c r="L716" i="3"/>
  <c r="L874" i="3"/>
  <c r="L817" i="3"/>
  <c r="L784" i="3"/>
  <c r="L740" i="3"/>
  <c r="L791" i="3"/>
  <c r="L667" i="3"/>
  <c r="L820" i="3"/>
  <c r="L863" i="3"/>
  <c r="L884" i="3"/>
  <c r="L643" i="3"/>
  <c r="L812" i="3"/>
  <c r="O850" i="3"/>
  <c r="O850" i="10" s="1"/>
  <c r="L894" i="3"/>
  <c r="O715" i="3"/>
  <c r="O715" i="10" s="1"/>
  <c r="L825" i="3"/>
  <c r="L857" i="3"/>
  <c r="L889" i="3"/>
  <c r="L804" i="3"/>
  <c r="L917" i="3"/>
  <c r="L971" i="3"/>
  <c r="L929" i="3"/>
  <c r="L970" i="3"/>
  <c r="O989" i="3"/>
  <c r="O989" i="10" s="1"/>
  <c r="L692" i="3"/>
  <c r="O733" i="3"/>
  <c r="O733" i="10" s="1"/>
  <c r="O818" i="3"/>
  <c r="O818" i="10" s="1"/>
  <c r="L846" i="3"/>
  <c r="L708" i="3"/>
  <c r="L948" i="3"/>
  <c r="L878" i="3"/>
  <c r="O922" i="3"/>
  <c r="O922" i="10" s="1"/>
  <c r="L942" i="3"/>
  <c r="O883" i="3"/>
  <c r="O883" i="10" s="1"/>
  <c r="O783" i="3"/>
  <c r="O783" i="10" s="1"/>
  <c r="O867" i="3"/>
  <c r="O867" i="10" s="1"/>
  <c r="O932" i="3"/>
  <c r="O932" i="10" s="1"/>
  <c r="O875" i="3"/>
  <c r="O875" i="10" s="1"/>
  <c r="O662" i="3"/>
  <c r="O662" i="10" s="1"/>
  <c r="O960" i="3"/>
  <c r="O960" i="10" s="1"/>
  <c r="L896" i="3"/>
  <c r="O801" i="3"/>
  <c r="O801" i="10" s="1"/>
  <c r="O742" i="3"/>
  <c r="O742" i="10" s="1"/>
  <c r="L701" i="3"/>
  <c r="O678" i="3"/>
  <c r="O678" i="10" s="1"/>
  <c r="L966" i="3"/>
  <c r="O940" i="3"/>
  <c r="O940" i="10" s="1"/>
  <c r="O914" i="3"/>
  <c r="O914" i="10" s="1"/>
  <c r="O887" i="3"/>
  <c r="O887" i="10" s="1"/>
  <c r="O855" i="3"/>
  <c r="O855" i="10" s="1"/>
  <c r="O823" i="3"/>
  <c r="O823" i="10" s="1"/>
  <c r="O756" i="3"/>
  <c r="O756" i="10" s="1"/>
  <c r="O722" i="3"/>
  <c r="O722" i="10" s="1"/>
  <c r="O682" i="3"/>
  <c r="O682" i="10" s="1"/>
  <c r="O672" i="3"/>
  <c r="O672" i="10" s="1"/>
  <c r="O775" i="3"/>
  <c r="O775" i="10" s="1"/>
  <c r="L938" i="3"/>
  <c r="L802" i="3"/>
  <c r="O853" i="3"/>
  <c r="O853" i="10" s="1"/>
  <c r="L645" i="3"/>
  <c r="O760" i="3"/>
  <c r="O760" i="10" s="1"/>
  <c r="O716" i="3"/>
  <c r="O716" i="10" s="1"/>
  <c r="O666" i="3"/>
  <c r="O666" i="10" s="1"/>
  <c r="L657" i="3"/>
  <c r="O655" i="3"/>
  <c r="O655" i="10" s="1"/>
  <c r="O934" i="3"/>
  <c r="O934" i="10" s="1"/>
  <c r="O912" i="3"/>
  <c r="O912" i="10" s="1"/>
  <c r="O865" i="3"/>
  <c r="O865" i="10" s="1"/>
  <c r="O825" i="3"/>
  <c r="O825" i="10" s="1"/>
  <c r="O799" i="3"/>
  <c r="O799" i="10" s="1"/>
  <c r="L745" i="3"/>
  <c r="L962" i="3"/>
  <c r="O936" i="3"/>
  <c r="O936" i="10" s="1"/>
  <c r="O910" i="3"/>
  <c r="O910" i="10" s="1"/>
  <c r="O877" i="3"/>
  <c r="O877" i="10" s="1"/>
  <c r="O845" i="3"/>
  <c r="O845" i="10" s="1"/>
  <c r="O811" i="3"/>
  <c r="O811" i="10" s="1"/>
  <c r="L790" i="3"/>
  <c r="O774" i="3"/>
  <c r="O774" i="10" s="1"/>
  <c r="L737" i="3"/>
  <c r="O712" i="3"/>
  <c r="O712" i="10" s="1"/>
  <c r="L665" i="3"/>
  <c r="L818" i="3"/>
  <c r="L781" i="3"/>
  <c r="O758" i="3"/>
  <c r="O758" i="10" s="1"/>
  <c r="O748" i="3"/>
  <c r="O748" i="10" s="1"/>
  <c r="O735" i="3"/>
  <c r="O735" i="10" s="1"/>
  <c r="O706" i="3"/>
  <c r="O706" i="10" s="1"/>
  <c r="L697" i="3"/>
  <c r="O642" i="3"/>
  <c r="O642" i="10" s="1"/>
  <c r="O809" i="3"/>
  <c r="O809" i="10" s="1"/>
  <c r="L798" i="3"/>
  <c r="O782" i="3"/>
  <c r="O782" i="10" s="1"/>
  <c r="O772" i="3"/>
  <c r="O772" i="10" s="1"/>
  <c r="O759" i="3"/>
  <c r="O759" i="10" s="1"/>
  <c r="O730" i="3"/>
  <c r="O730" i="10" s="1"/>
  <c r="L721" i="3"/>
  <c r="O688" i="3"/>
  <c r="O688" i="10" s="1"/>
  <c r="L677" i="3"/>
  <c r="L653" i="3"/>
  <c r="O658" i="3"/>
  <c r="O658" i="10" s="1"/>
  <c r="L649" i="3"/>
  <c r="L661" i="3"/>
  <c r="O950" i="3"/>
  <c r="O950" i="10" s="1"/>
  <c r="O928" i="3"/>
  <c r="O928" i="10" s="1"/>
  <c r="L904" i="3"/>
  <c r="O857" i="3"/>
  <c r="O857" i="10" s="1"/>
  <c r="O958" i="3"/>
  <c r="O958" i="10" s="1"/>
  <c r="L946" i="3"/>
  <c r="O920" i="3"/>
  <c r="O920" i="10" s="1"/>
  <c r="O869" i="3"/>
  <c r="O869" i="10" s="1"/>
  <c r="O837" i="3"/>
  <c r="O837" i="10" s="1"/>
  <c r="O789" i="3"/>
  <c r="O789" i="10" s="1"/>
  <c r="L757" i="3"/>
  <c r="L733" i="3"/>
  <c r="O710" i="3"/>
  <c r="O710" i="10" s="1"/>
  <c r="L673" i="3"/>
  <c r="O817" i="3"/>
  <c r="O817" i="10" s="1"/>
  <c r="L806" i="3"/>
  <c r="O780" i="3"/>
  <c r="O780" i="10" s="1"/>
  <c r="O767" i="3"/>
  <c r="O767" i="10" s="1"/>
  <c r="O738" i="3"/>
  <c r="O738" i="10" s="1"/>
  <c r="L729" i="3"/>
  <c r="O696" i="3"/>
  <c r="O696" i="10" s="1"/>
  <c r="L685" i="3"/>
  <c r="O807" i="3"/>
  <c r="O807" i="10" s="1"/>
  <c r="O797" i="3"/>
  <c r="O797" i="10" s="1"/>
  <c r="O762" i="3"/>
  <c r="O762" i="10" s="1"/>
  <c r="L753" i="3"/>
  <c r="O720" i="3"/>
  <c r="O720" i="10" s="1"/>
  <c r="L709" i="3"/>
  <c r="O686" i="3"/>
  <c r="O686" i="10" s="1"/>
  <c r="O676" i="3"/>
  <c r="O676" i="10" s="1"/>
  <c r="O652" i="3"/>
  <c r="O652" i="10" s="1"/>
  <c r="O648" i="3"/>
  <c r="O648" i="10" s="1"/>
  <c r="O660" i="3"/>
  <c r="O660" i="10" s="1"/>
  <c r="O647" i="3"/>
  <c r="O647" i="10" s="1"/>
  <c r="O670" i="3"/>
  <c r="O670" i="10" s="1"/>
  <c r="O944" i="3"/>
  <c r="O944" i="10" s="1"/>
  <c r="L922" i="3"/>
  <c r="O881" i="3"/>
  <c r="O881" i="10" s="1"/>
  <c r="O841" i="3"/>
  <c r="O841" i="10" s="1"/>
  <c r="O813" i="3"/>
  <c r="O813" i="10" s="1"/>
  <c r="L769" i="3"/>
  <c r="O968" i="3"/>
  <c r="O968" i="10" s="1"/>
  <c r="O942" i="3"/>
  <c r="O942" i="10" s="1"/>
  <c r="L930" i="3"/>
  <c r="L900" i="3"/>
  <c r="O861" i="3"/>
  <c r="O861" i="10" s="1"/>
  <c r="O829" i="3"/>
  <c r="O829" i="10" s="1"/>
  <c r="L777" i="3"/>
  <c r="O732" i="3"/>
  <c r="O732" i="10" s="1"/>
  <c r="L693" i="3"/>
  <c r="L669" i="3"/>
  <c r="O815" i="3"/>
  <c r="O815" i="10" s="1"/>
  <c r="O805" i="3"/>
  <c r="O805" i="10" s="1"/>
  <c r="O792" i="3"/>
  <c r="O792" i="10" s="1"/>
  <c r="O770" i="3"/>
  <c r="O770" i="10" s="1"/>
  <c r="L761" i="3"/>
  <c r="O728" i="3"/>
  <c r="O728" i="10" s="1"/>
  <c r="L717" i="3"/>
  <c r="O694" i="3"/>
  <c r="O694" i="10" s="1"/>
  <c r="O684" i="3"/>
  <c r="O684" i="10" s="1"/>
  <c r="O671" i="3"/>
  <c r="O671" i="10" s="1"/>
  <c r="O663" i="3"/>
  <c r="O663" i="10" s="1"/>
  <c r="L785" i="3"/>
  <c r="O752" i="3"/>
  <c r="O752" i="10" s="1"/>
  <c r="L741" i="3"/>
  <c r="O718" i="3"/>
  <c r="O718" i="10" s="1"/>
  <c r="O708" i="3"/>
  <c r="O708" i="10" s="1"/>
  <c r="O695" i="3"/>
  <c r="O695" i="10" s="1"/>
  <c r="O646" i="3"/>
  <c r="O646" i="10" s="1"/>
  <c r="O650" i="3"/>
  <c r="O650" i="10" s="1"/>
  <c r="L641" i="3"/>
  <c r="L418" i="3"/>
  <c r="O384" i="3"/>
  <c r="O384" i="10" s="1"/>
  <c r="O24" i="3"/>
  <c r="O24" i="10" s="1"/>
  <c r="O54" i="3"/>
  <c r="O54" i="10" s="1"/>
  <c r="L345" i="3"/>
  <c r="O926" i="3"/>
  <c r="O926" i="10" s="1"/>
  <c r="L950" i="3"/>
  <c r="O938" i="3"/>
  <c r="O938" i="10" s="1"/>
  <c r="L772" i="3"/>
  <c r="O994" i="3"/>
  <c r="O994" i="10" s="1"/>
  <c r="O691" i="3"/>
  <c r="O691" i="10" s="1"/>
  <c r="L847" i="3"/>
  <c r="O769" i="3"/>
  <c r="O769" i="10" s="1"/>
  <c r="O991" i="3"/>
  <c r="O991" i="10" s="1"/>
  <c r="L823" i="3"/>
  <c r="L809" i="3"/>
  <c r="L821" i="3"/>
  <c r="O645" i="3"/>
  <c r="O645" i="10" s="1"/>
  <c r="L682" i="3"/>
  <c r="L801" i="3"/>
  <c r="O913" i="3"/>
  <c r="O913" i="10" s="1"/>
  <c r="O884" i="3"/>
  <c r="O884" i="10" s="1"/>
  <c r="L766" i="3"/>
  <c r="O810" i="3"/>
  <c r="O810" i="10" s="1"/>
  <c r="O937" i="3"/>
  <c r="O937" i="10" s="1"/>
  <c r="O868" i="3"/>
  <c r="O868" i="10" s="1"/>
  <c r="L679" i="3"/>
  <c r="L650" i="3"/>
  <c r="O9" i="3"/>
  <c r="O9" i="10" s="1"/>
  <c r="O262" i="3"/>
  <c r="O262" i="10" s="1"/>
  <c r="O58" i="3"/>
  <c r="O58" i="10" s="1"/>
  <c r="O390" i="3"/>
  <c r="O390" i="10" s="1"/>
  <c r="O243" i="3"/>
  <c r="O243" i="10" s="1"/>
  <c r="O28" i="3"/>
  <c r="O28" i="10" s="1"/>
  <c r="L574" i="3"/>
  <c r="L595" i="3"/>
  <c r="L617" i="3"/>
  <c r="L634" i="3"/>
  <c r="O570" i="3"/>
  <c r="O570" i="10" s="1"/>
  <c r="O550" i="3"/>
  <c r="O550" i="10" s="1"/>
  <c r="O596" i="3"/>
  <c r="O596" i="10" s="1"/>
  <c r="O600" i="3"/>
  <c r="O600" i="10" s="1"/>
  <c r="O630" i="3"/>
  <c r="O630" i="10" s="1"/>
  <c r="L629" i="3"/>
  <c r="O566" i="3"/>
  <c r="O566" i="10" s="1"/>
  <c r="O554" i="3"/>
  <c r="O554" i="10" s="1"/>
  <c r="L549" i="3"/>
  <c r="L575" i="3"/>
  <c r="L597" i="3"/>
  <c r="L618" i="3"/>
  <c r="L635" i="3"/>
  <c r="O574" i="3"/>
  <c r="O574" i="10" s="1"/>
  <c r="O601" i="3"/>
  <c r="O601" i="10" s="1"/>
  <c r="O563" i="3"/>
  <c r="O563" i="10" s="1"/>
  <c r="O605" i="3"/>
  <c r="O605" i="10" s="1"/>
  <c r="O631" i="3"/>
  <c r="O631" i="10" s="1"/>
  <c r="O547" i="3"/>
  <c r="O547" i="10" s="1"/>
  <c r="L567" i="3"/>
  <c r="L610" i="3"/>
  <c r="O598" i="3"/>
  <c r="O598" i="10" s="1"/>
  <c r="L564" i="3"/>
  <c r="O625" i="3"/>
  <c r="O625" i="10" s="1"/>
  <c r="L571" i="3"/>
  <c r="L593" i="3"/>
  <c r="L614" i="3"/>
  <c r="L632" i="3"/>
  <c r="L562" i="3"/>
  <c r="O559" i="3"/>
  <c r="O559" i="10" s="1"/>
  <c r="O593" i="3"/>
  <c r="O593" i="10" s="1"/>
  <c r="O546" i="3"/>
  <c r="O546" i="10" s="1"/>
  <c r="O597" i="3"/>
  <c r="O597" i="10" s="1"/>
  <c r="O628" i="3"/>
  <c r="O628" i="10" s="1"/>
  <c r="O549" i="3"/>
  <c r="O549" i="10" s="1"/>
  <c r="O557" i="3"/>
  <c r="O557" i="10" s="1"/>
  <c r="O638" i="3"/>
  <c r="O638" i="10" s="1"/>
  <c r="L625" i="3"/>
  <c r="O587" i="3"/>
  <c r="O587" i="10" s="1"/>
  <c r="O617" i="3"/>
  <c r="O617" i="10" s="1"/>
  <c r="O629" i="3"/>
  <c r="O629" i="10" s="1"/>
  <c r="O615" i="3"/>
  <c r="O615" i="10" s="1"/>
  <c r="O626" i="3"/>
  <c r="O626" i="10" s="1"/>
  <c r="L637" i="3"/>
  <c r="L596" i="3"/>
  <c r="L638" i="3"/>
  <c r="L613" i="3"/>
  <c r="O583" i="3"/>
  <c r="O583" i="10" s="1"/>
  <c r="O588" i="3"/>
  <c r="O588" i="10" s="1"/>
  <c r="O627" i="3"/>
  <c r="O627" i="10" s="1"/>
  <c r="O594" i="3"/>
  <c r="O594" i="10" s="1"/>
  <c r="L609" i="3"/>
  <c r="O610" i="3"/>
  <c r="O610" i="10" s="1"/>
  <c r="O580" i="3"/>
  <c r="O580" i="10" s="1"/>
  <c r="O624" i="3"/>
  <c r="O624" i="10" s="1"/>
  <c r="O585" i="3"/>
  <c r="O585" i="10" s="1"/>
  <c r="O558" i="3"/>
  <c r="O558" i="10" s="1"/>
  <c r="L579" i="3"/>
  <c r="L601" i="3"/>
  <c r="L622" i="3"/>
  <c r="O582" i="3"/>
  <c r="O582" i="10" s="1"/>
  <c r="O564" i="3"/>
  <c r="O564" i="10" s="1"/>
  <c r="O609" i="3"/>
  <c r="O609" i="10" s="1"/>
  <c r="O568" i="3"/>
  <c r="O568" i="10" s="1"/>
  <c r="O613" i="3"/>
  <c r="O613" i="10" s="1"/>
  <c r="O634" i="3"/>
  <c r="O634" i="10" s="1"/>
  <c r="O543" i="3"/>
  <c r="O543" i="10" s="1"/>
  <c r="L583" i="3"/>
  <c r="O611" i="3"/>
  <c r="O611" i="10" s="1"/>
  <c r="O576" i="3"/>
  <c r="O576" i="10" s="1"/>
  <c r="L581" i="3"/>
  <c r="L602" i="3"/>
  <c r="L623" i="3"/>
  <c r="O595" i="3"/>
  <c r="O595" i="10" s="1"/>
  <c r="O567" i="3"/>
  <c r="O567" i="10" s="1"/>
  <c r="L560" i="3"/>
  <c r="O586" i="3"/>
  <c r="O586" i="10" s="1"/>
  <c r="O569" i="3"/>
  <c r="O569" i="10" s="1"/>
  <c r="L612" i="3"/>
  <c r="O573" i="3"/>
  <c r="O573" i="10" s="1"/>
  <c r="L616" i="3"/>
  <c r="O635" i="3"/>
  <c r="O635" i="10" s="1"/>
  <c r="L543" i="3"/>
  <c r="L573" i="3"/>
  <c r="L621" i="3"/>
  <c r="O604" i="3"/>
  <c r="O604" i="10" s="1"/>
  <c r="L636" i="3"/>
  <c r="L555" i="3"/>
  <c r="L577" i="3"/>
  <c r="L598" i="3"/>
  <c r="L619" i="3"/>
  <c r="O636" i="3"/>
  <c r="O636" i="10" s="1"/>
  <c r="O578" i="3"/>
  <c r="O578" i="10" s="1"/>
  <c r="L554" i="3"/>
  <c r="L604" i="3"/>
  <c r="O565" i="3"/>
  <c r="O565" i="10" s="1"/>
  <c r="L608" i="3"/>
  <c r="O632" i="3"/>
  <c r="O632" i="10" s="1"/>
  <c r="L547" i="3"/>
  <c r="L557" i="3"/>
  <c r="O637" i="3"/>
  <c r="O637" i="10" s="1"/>
  <c r="O562" i="3"/>
  <c r="O562" i="10" s="1"/>
  <c r="L568" i="3"/>
  <c r="O553" i="3"/>
  <c r="O553" i="10" s="1"/>
  <c r="L590" i="3"/>
  <c r="L630" i="3"/>
  <c r="L588" i="3"/>
  <c r="L592" i="3"/>
  <c r="O560" i="3"/>
  <c r="O560" i="10" s="1"/>
  <c r="L591" i="3"/>
  <c r="O575" i="3"/>
  <c r="O575" i="10" s="1"/>
  <c r="L559" i="3"/>
  <c r="O592" i="3"/>
  <c r="O592" i="10" s="1"/>
  <c r="O607" i="3"/>
  <c r="O607" i="10" s="1"/>
  <c r="O561" i="3"/>
  <c r="O561" i="10" s="1"/>
  <c r="L587" i="3"/>
  <c r="O599" i="3"/>
  <c r="O599" i="10" s="1"/>
  <c r="L548" i="3"/>
  <c r="O584" i="3"/>
  <c r="O584" i="10" s="1"/>
  <c r="O556" i="3"/>
  <c r="O556" i="10" s="1"/>
  <c r="O614" i="3"/>
  <c r="O614" i="10" s="1"/>
  <c r="L563" i="3"/>
  <c r="L585" i="3"/>
  <c r="L606" i="3"/>
  <c r="L626" i="3"/>
  <c r="O619" i="3"/>
  <c r="O619" i="10" s="1"/>
  <c r="O602" i="3"/>
  <c r="O602" i="10" s="1"/>
  <c r="L558" i="3"/>
  <c r="O577" i="3"/>
  <c r="O577" i="10" s="1"/>
  <c r="L620" i="3"/>
  <c r="O581" i="3"/>
  <c r="O581" i="10" s="1"/>
  <c r="O622" i="3"/>
  <c r="O622" i="10" s="1"/>
  <c r="O545" i="3"/>
  <c r="O545" i="10" s="1"/>
  <c r="L551" i="3"/>
  <c r="L599" i="3"/>
  <c r="O572" i="3"/>
  <c r="O572" i="10" s="1"/>
  <c r="O621" i="3"/>
  <c r="O621" i="10" s="1"/>
  <c r="L565" i="3"/>
  <c r="L586" i="3"/>
  <c r="L607" i="3"/>
  <c r="L627" i="3"/>
  <c r="O579" i="3"/>
  <c r="O579" i="10" s="1"/>
  <c r="O606" i="3"/>
  <c r="O606" i="10" s="1"/>
  <c r="L552" i="3"/>
  <c r="L580" i="3"/>
  <c r="O620" i="3"/>
  <c r="O620" i="10" s="1"/>
  <c r="L584" i="3"/>
  <c r="O623" i="3"/>
  <c r="O623" i="10" s="1"/>
  <c r="L578" i="3"/>
  <c r="L633" i="3"/>
  <c r="L544" i="3"/>
  <c r="L561" i="3"/>
  <c r="L582" i="3"/>
  <c r="L603" i="3"/>
  <c r="L624" i="3"/>
  <c r="O603" i="3"/>
  <c r="O603" i="10" s="1"/>
  <c r="O591" i="3"/>
  <c r="O591" i="10" s="1"/>
  <c r="O571" i="3"/>
  <c r="O571" i="10" s="1"/>
  <c r="O590" i="3"/>
  <c r="O590" i="10" s="1"/>
  <c r="L572" i="3"/>
  <c r="O612" i="3"/>
  <c r="O612" i="10" s="1"/>
  <c r="L576" i="3"/>
  <c r="O616" i="3"/>
  <c r="O616" i="10" s="1"/>
  <c r="L589" i="3"/>
  <c r="L550" i="3"/>
  <c r="L600" i="3"/>
  <c r="O551" i="3"/>
  <c r="O551" i="10" s="1"/>
  <c r="L569" i="3"/>
  <c r="L611" i="3"/>
  <c r="O618" i="3"/>
  <c r="O618" i="10" s="1"/>
  <c r="O548" i="3"/>
  <c r="O548" i="10" s="1"/>
  <c r="L553" i="3"/>
  <c r="L615" i="3"/>
  <c r="O633" i="3"/>
  <c r="O633" i="10" s="1"/>
  <c r="L570" i="3"/>
  <c r="L631" i="3"/>
  <c r="O544" i="3"/>
  <c r="O544" i="10" s="1"/>
  <c r="L556" i="3"/>
  <c r="L594" i="3"/>
  <c r="O589" i="3"/>
  <c r="O589" i="10" s="1"/>
  <c r="L566" i="3"/>
  <c r="L628" i="3"/>
  <c r="O552" i="3"/>
  <c r="O552" i="10" s="1"/>
  <c r="O555" i="3"/>
  <c r="O555" i="10" s="1"/>
  <c r="L545" i="3"/>
  <c r="L605" i="3"/>
  <c r="O608" i="3"/>
  <c r="O608" i="10" s="1"/>
  <c r="O12" i="3" l="1"/>
  <c r="O12" i="10" s="1"/>
  <c r="L605" i="10"/>
  <c r="N605" i="3"/>
  <c r="N605" i="10" s="1"/>
  <c r="L586" i="10"/>
  <c r="N586" i="3"/>
  <c r="N586" i="10" s="1"/>
  <c r="L585" i="10"/>
  <c r="N585" i="3"/>
  <c r="N585" i="10" s="1"/>
  <c r="L600" i="10"/>
  <c r="N600" i="3"/>
  <c r="N600" i="10" s="1"/>
  <c r="L603" i="10"/>
  <c r="N603" i="3"/>
  <c r="N603" i="10" s="1"/>
  <c r="L633" i="10"/>
  <c r="N633" i="3"/>
  <c r="N633" i="10" s="1"/>
  <c r="L582" i="10"/>
  <c r="N582" i="3"/>
  <c r="N582" i="10" s="1"/>
  <c r="L578" i="10"/>
  <c r="N578" i="3"/>
  <c r="N578" i="10" s="1"/>
  <c r="L580" i="10"/>
  <c r="N580" i="3"/>
  <c r="N580" i="10" s="1"/>
  <c r="L626" i="10"/>
  <c r="N626" i="3"/>
  <c r="N626" i="10" s="1"/>
  <c r="L590" i="10"/>
  <c r="N590" i="3"/>
  <c r="N590" i="10" s="1"/>
  <c r="L608" i="10"/>
  <c r="N608" i="3"/>
  <c r="N608" i="10" s="1"/>
  <c r="L577" i="10"/>
  <c r="N577" i="3"/>
  <c r="N577" i="10" s="1"/>
  <c r="L621" i="10"/>
  <c r="N621" i="3"/>
  <c r="N621" i="10" s="1"/>
  <c r="L616" i="10"/>
  <c r="N616" i="3"/>
  <c r="N616" i="10" s="1"/>
  <c r="L623" i="10"/>
  <c r="N623" i="3"/>
  <c r="N623" i="10" s="1"/>
  <c r="L596" i="10"/>
  <c r="N596" i="3"/>
  <c r="N596" i="10" s="1"/>
  <c r="L610" i="10"/>
  <c r="N610" i="3"/>
  <c r="N610" i="10" s="1"/>
  <c r="L635" i="10"/>
  <c r="N635" i="3"/>
  <c r="N635" i="10" s="1"/>
  <c r="L574" i="10"/>
  <c r="N574" i="3"/>
  <c r="N574" i="10" s="1"/>
  <c r="L679" i="10"/>
  <c r="N679" i="3"/>
  <c r="N679" i="10" s="1"/>
  <c r="L766" i="10"/>
  <c r="N766" i="3"/>
  <c r="N766" i="10" s="1"/>
  <c r="L682" i="10"/>
  <c r="N682" i="3"/>
  <c r="N682" i="10" s="1"/>
  <c r="L823" i="10"/>
  <c r="N823" i="3"/>
  <c r="N823" i="10" s="1"/>
  <c r="L950" i="10"/>
  <c r="N950" i="3"/>
  <c r="N950" i="10" s="1"/>
  <c r="L717" i="10"/>
  <c r="N717" i="3"/>
  <c r="N717" i="10" s="1"/>
  <c r="L693" i="10"/>
  <c r="N693" i="3"/>
  <c r="N693" i="10" s="1"/>
  <c r="L753" i="10"/>
  <c r="N753" i="3"/>
  <c r="N753" i="10" s="1"/>
  <c r="L685" i="10"/>
  <c r="N685" i="3"/>
  <c r="N685" i="10" s="1"/>
  <c r="L673" i="10"/>
  <c r="N673" i="3"/>
  <c r="N673" i="10" s="1"/>
  <c r="L946" i="10"/>
  <c r="N946" i="3"/>
  <c r="N946" i="10" s="1"/>
  <c r="L721" i="10"/>
  <c r="N721" i="3"/>
  <c r="N721" i="10" s="1"/>
  <c r="L697" i="10"/>
  <c r="N697" i="3"/>
  <c r="N697" i="10" s="1"/>
  <c r="L938" i="10"/>
  <c r="N938" i="3"/>
  <c r="N938" i="10" s="1"/>
  <c r="L896" i="10"/>
  <c r="N896" i="3"/>
  <c r="N896" i="10" s="1"/>
  <c r="L942" i="10"/>
  <c r="N942" i="3"/>
  <c r="N942" i="10" s="1"/>
  <c r="L708" i="10"/>
  <c r="N708" i="3"/>
  <c r="N708" i="10" s="1"/>
  <c r="L692" i="10"/>
  <c r="N692" i="3"/>
  <c r="N692" i="10" s="1"/>
  <c r="L971" i="10"/>
  <c r="N971" i="3"/>
  <c r="N971" i="10" s="1"/>
  <c r="L857" i="10"/>
  <c r="N857" i="3"/>
  <c r="N857" i="10" s="1"/>
  <c r="L863" i="10"/>
  <c r="N863" i="3"/>
  <c r="N863" i="10" s="1"/>
  <c r="L740" i="10"/>
  <c r="N740" i="3"/>
  <c r="N740" i="10" s="1"/>
  <c r="L716" i="10"/>
  <c r="N716" i="3"/>
  <c r="N716" i="10" s="1"/>
  <c r="L999" i="10"/>
  <c r="N999" i="3"/>
  <c r="N999" i="10" s="1"/>
  <c r="L963" i="10"/>
  <c r="N963" i="3"/>
  <c r="N963" i="10" s="1"/>
  <c r="L779" i="10"/>
  <c r="N779" i="3"/>
  <c r="N779" i="10" s="1"/>
  <c r="L851" i="10"/>
  <c r="N851" i="3"/>
  <c r="N851" i="10" s="1"/>
  <c r="L913" i="10"/>
  <c r="N913" i="3"/>
  <c r="N913" i="10" s="1"/>
  <c r="L885" i="10"/>
  <c r="N885" i="3"/>
  <c r="N885" i="10" s="1"/>
  <c r="L927" i="10"/>
  <c r="N927" i="3"/>
  <c r="N927" i="10" s="1"/>
  <c r="L973" i="10"/>
  <c r="N973" i="3"/>
  <c r="N973" i="10" s="1"/>
  <c r="L778" i="10"/>
  <c r="N778" i="3"/>
  <c r="N778" i="10" s="1"/>
  <c r="L752" i="10"/>
  <c r="N752" i="3"/>
  <c r="N752" i="10" s="1"/>
  <c r="L951" i="10"/>
  <c r="N951" i="3"/>
  <c r="N951" i="10" s="1"/>
  <c r="L875" i="10"/>
  <c r="N875" i="3"/>
  <c r="N875" i="10" s="1"/>
  <c r="L639" i="10"/>
  <c r="N639" i="3"/>
  <c r="N639" i="10" s="1"/>
  <c r="L718" i="10"/>
  <c r="N718" i="3"/>
  <c r="N718" i="10" s="1"/>
  <c r="L910" i="10"/>
  <c r="N910" i="3"/>
  <c r="N910" i="10" s="1"/>
  <c r="L838" i="10"/>
  <c r="N838" i="3"/>
  <c r="N838" i="10" s="1"/>
  <c r="L988" i="10"/>
  <c r="N988" i="3"/>
  <c r="N988" i="10" s="1"/>
  <c r="L949" i="10"/>
  <c r="N949" i="3"/>
  <c r="N949" i="10" s="1"/>
  <c r="L879" i="10"/>
  <c r="N879" i="3"/>
  <c r="N879" i="10" s="1"/>
  <c r="L676" i="10"/>
  <c r="N676" i="3"/>
  <c r="N676" i="10" s="1"/>
  <c r="L842" i="10"/>
  <c r="N842" i="3"/>
  <c r="N842" i="10" s="1"/>
  <c r="L923" i="10"/>
  <c r="N923" i="3"/>
  <c r="N923" i="10" s="1"/>
  <c r="L867" i="10"/>
  <c r="N867" i="3"/>
  <c r="N867" i="10" s="1"/>
  <c r="L834" i="10"/>
  <c r="N834" i="3"/>
  <c r="N834" i="10" s="1"/>
  <c r="L688" i="10"/>
  <c r="N688" i="3"/>
  <c r="N688" i="10" s="1"/>
  <c r="L919" i="10"/>
  <c r="N919" i="3"/>
  <c r="N919" i="10" s="1"/>
  <c r="L795" i="10"/>
  <c r="N795" i="3"/>
  <c r="N795" i="10" s="1"/>
  <c r="L956" i="10"/>
  <c r="N956" i="3"/>
  <c r="N956" i="10" s="1"/>
  <c r="L735" i="10"/>
  <c r="N735" i="3"/>
  <c r="N735" i="10" s="1"/>
  <c r="L710" i="10"/>
  <c r="N710" i="3"/>
  <c r="N710" i="10" s="1"/>
  <c r="L866" i="10"/>
  <c r="N866" i="3"/>
  <c r="N866" i="10" s="1"/>
  <c r="L981" i="10"/>
  <c r="N981" i="3"/>
  <c r="N981" i="10" s="1"/>
  <c r="L763" i="10"/>
  <c r="N763" i="3"/>
  <c r="N763" i="10" s="1"/>
  <c r="L794" i="10"/>
  <c r="N794" i="3"/>
  <c r="N794" i="10" s="1"/>
  <c r="L943" i="10"/>
  <c r="N943" i="3"/>
  <c r="N943" i="10" s="1"/>
  <c r="L979" i="10"/>
  <c r="N979" i="3"/>
  <c r="N979" i="10" s="1"/>
  <c r="L852" i="10"/>
  <c r="N852" i="3"/>
  <c r="N852" i="10" s="1"/>
  <c r="L840" i="10"/>
  <c r="N840" i="3"/>
  <c r="N840" i="10" s="1"/>
  <c r="L953" i="10"/>
  <c r="N953" i="3"/>
  <c r="N953" i="10" s="1"/>
  <c r="L876" i="10"/>
  <c r="N876" i="3"/>
  <c r="N876" i="10" s="1"/>
  <c r="L662" i="10"/>
  <c r="N662" i="3"/>
  <c r="N662" i="10" s="1"/>
  <c r="L826" i="10"/>
  <c r="N826" i="3"/>
  <c r="N826" i="10" s="1"/>
  <c r="L891" i="10"/>
  <c r="N891" i="3"/>
  <c r="N891" i="10" s="1"/>
  <c r="L696" i="10"/>
  <c r="N696" i="3"/>
  <c r="N696" i="10" s="1"/>
  <c r="L835" i="10"/>
  <c r="N835" i="3"/>
  <c r="N835" i="10" s="1"/>
  <c r="L747" i="10"/>
  <c r="N747" i="3"/>
  <c r="N747" i="10" s="1"/>
  <c r="L727" i="10"/>
  <c r="N727" i="3"/>
  <c r="N727" i="10" s="1"/>
  <c r="L647" i="10"/>
  <c r="N647" i="3"/>
  <c r="N647" i="10" s="1"/>
  <c r="L687" i="10"/>
  <c r="N687" i="3"/>
  <c r="N687" i="10" s="1"/>
  <c r="L707" i="10"/>
  <c r="N707" i="3"/>
  <c r="N707" i="10" s="1"/>
  <c r="L734" i="10"/>
  <c r="N734" i="3"/>
  <c r="N734" i="10" s="1"/>
  <c r="L976" i="10"/>
  <c r="N976" i="3"/>
  <c r="N976" i="10" s="1"/>
  <c r="L746" i="10"/>
  <c r="N746" i="3"/>
  <c r="N746" i="10" s="1"/>
  <c r="L960" i="10"/>
  <c r="N960" i="3"/>
  <c r="N960" i="10" s="1"/>
  <c r="L672" i="10"/>
  <c r="N672" i="3"/>
  <c r="N672" i="10" s="1"/>
  <c r="L952" i="10"/>
  <c r="N952" i="3"/>
  <c r="N952" i="10" s="1"/>
  <c r="L755" i="10"/>
  <c r="N755" i="3"/>
  <c r="N755" i="10" s="1"/>
  <c r="L827" i="10"/>
  <c r="N827" i="3"/>
  <c r="N827" i="10" s="1"/>
  <c r="L987" i="10"/>
  <c r="N987" i="3"/>
  <c r="N987" i="10" s="1"/>
  <c r="L954" i="10"/>
  <c r="N954" i="3"/>
  <c r="N954" i="10" s="1"/>
  <c r="L706" i="10"/>
  <c r="N706" i="3"/>
  <c r="N706" i="10" s="1"/>
  <c r="L691" i="10"/>
  <c r="N691" i="3"/>
  <c r="N691" i="10" s="1"/>
  <c r="L694" i="10"/>
  <c r="N694" i="3"/>
  <c r="N694" i="10" s="1"/>
  <c r="L947" i="10"/>
  <c r="N947" i="3"/>
  <c r="N947" i="10" s="1"/>
  <c r="L666" i="10"/>
  <c r="N666" i="3"/>
  <c r="N666" i="10" s="1"/>
  <c r="L808" i="10"/>
  <c r="N808" i="3"/>
  <c r="N808" i="10" s="1"/>
  <c r="L977" i="10"/>
  <c r="N977" i="3"/>
  <c r="N977" i="10" s="1"/>
  <c r="L901" i="10"/>
  <c r="N901" i="3"/>
  <c r="N901" i="10" s="1"/>
  <c r="L588" i="10"/>
  <c r="N588" i="3"/>
  <c r="N588" i="10" s="1"/>
  <c r="L604" i="10"/>
  <c r="N604" i="3"/>
  <c r="N604" i="10" s="1"/>
  <c r="L636" i="10"/>
  <c r="N636" i="3"/>
  <c r="N636" i="10" s="1"/>
  <c r="L581" i="10"/>
  <c r="N581" i="3"/>
  <c r="N581" i="10" s="1"/>
  <c r="L611" i="10"/>
  <c r="N611" i="3"/>
  <c r="N611" i="10" s="1"/>
  <c r="L631" i="10"/>
  <c r="N631" i="3"/>
  <c r="N631" i="10" s="1"/>
  <c r="L627" i="10"/>
  <c r="N627" i="3"/>
  <c r="N627" i="10" s="1"/>
  <c r="L594" i="10"/>
  <c r="N594" i="3"/>
  <c r="N594" i="10" s="1"/>
  <c r="L589" i="10"/>
  <c r="N589" i="3"/>
  <c r="N589" i="10" s="1"/>
  <c r="L572" i="10"/>
  <c r="N572" i="3"/>
  <c r="N572" i="10" s="1"/>
  <c r="L607" i="10"/>
  <c r="N607" i="3"/>
  <c r="N607" i="10" s="1"/>
  <c r="L606" i="10"/>
  <c r="N606" i="3"/>
  <c r="N606" i="10" s="1"/>
  <c r="L587" i="10"/>
  <c r="N587" i="3"/>
  <c r="N587" i="10" s="1"/>
  <c r="L592" i="10"/>
  <c r="N592" i="3"/>
  <c r="N592" i="10" s="1"/>
  <c r="L573" i="10"/>
  <c r="N573" i="3"/>
  <c r="N573" i="10" s="1"/>
  <c r="L602" i="10"/>
  <c r="N602" i="3"/>
  <c r="N602" i="10" s="1"/>
  <c r="L583" i="10"/>
  <c r="N583" i="3"/>
  <c r="N583" i="10" s="1"/>
  <c r="L622" i="10"/>
  <c r="N622" i="3"/>
  <c r="N622" i="10" s="1"/>
  <c r="L609" i="10"/>
  <c r="N609" i="3"/>
  <c r="N609" i="10" s="1"/>
  <c r="L637" i="10"/>
  <c r="N637" i="3"/>
  <c r="N637" i="10" s="1"/>
  <c r="L632" i="10"/>
  <c r="N632" i="3"/>
  <c r="N632" i="10" s="1"/>
  <c r="L618" i="10"/>
  <c r="N618" i="3"/>
  <c r="N618" i="10" s="1"/>
  <c r="L634" i="10"/>
  <c r="N634" i="3"/>
  <c r="N634" i="10" s="1"/>
  <c r="L741" i="10"/>
  <c r="N741" i="3"/>
  <c r="N741" i="10" s="1"/>
  <c r="L900" i="10"/>
  <c r="N900" i="3"/>
  <c r="N900" i="10" s="1"/>
  <c r="L769" i="10"/>
  <c r="N769" i="3"/>
  <c r="N769" i="10" s="1"/>
  <c r="L922" i="10"/>
  <c r="N922" i="3"/>
  <c r="N922" i="10" s="1"/>
  <c r="L653" i="10"/>
  <c r="N653" i="3"/>
  <c r="N653" i="10" s="1"/>
  <c r="L798" i="10"/>
  <c r="N798" i="3"/>
  <c r="N798" i="10" s="1"/>
  <c r="L781" i="10"/>
  <c r="N781" i="3"/>
  <c r="N781" i="10" s="1"/>
  <c r="L737" i="10"/>
  <c r="N737" i="3"/>
  <c r="N737" i="10" s="1"/>
  <c r="L962" i="10"/>
  <c r="N962" i="3"/>
  <c r="N962" i="10" s="1"/>
  <c r="L657" i="10"/>
  <c r="N657" i="3"/>
  <c r="N657" i="10" s="1"/>
  <c r="L645" i="10"/>
  <c r="N645" i="3"/>
  <c r="N645" i="10" s="1"/>
  <c r="L701" i="10"/>
  <c r="N701" i="3"/>
  <c r="N701" i="10" s="1"/>
  <c r="L846" i="10"/>
  <c r="N846" i="3"/>
  <c r="N846" i="10" s="1"/>
  <c r="L917" i="10"/>
  <c r="N917" i="3"/>
  <c r="N917" i="10" s="1"/>
  <c r="L825" i="10"/>
  <c r="N825" i="3"/>
  <c r="N825" i="10" s="1"/>
  <c r="L812" i="10"/>
  <c r="N812" i="3"/>
  <c r="N812" i="10" s="1"/>
  <c r="L820" i="10"/>
  <c r="N820" i="3"/>
  <c r="N820" i="10" s="1"/>
  <c r="L784" i="10"/>
  <c r="N784" i="3"/>
  <c r="N784" i="10" s="1"/>
  <c r="L789" i="10"/>
  <c r="N789" i="3"/>
  <c r="N789" i="10" s="1"/>
  <c r="L996" i="10"/>
  <c r="N996" i="3"/>
  <c r="N996" i="10" s="1"/>
  <c r="L899" i="10"/>
  <c r="N899" i="3"/>
  <c r="N899" i="10" s="1"/>
  <c r="L940" i="10"/>
  <c r="N940" i="3"/>
  <c r="N940" i="10" s="1"/>
  <c r="L768" i="10"/>
  <c r="N768" i="3"/>
  <c r="N768" i="10" s="1"/>
  <c r="L855" i="10"/>
  <c r="N855" i="3"/>
  <c r="N855" i="10" s="1"/>
  <c r="L714" i="10"/>
  <c r="N714" i="3"/>
  <c r="N714" i="10" s="1"/>
  <c r="L680" i="10"/>
  <c r="N680" i="3"/>
  <c r="N680" i="10" s="1"/>
  <c r="L792" i="10"/>
  <c r="N792" i="3"/>
  <c r="N792" i="10" s="1"/>
  <c r="L832" i="10"/>
  <c r="N832" i="3"/>
  <c r="N832" i="10" s="1"/>
  <c r="L663" i="10"/>
  <c r="N663" i="3"/>
  <c r="N663" i="10" s="1"/>
  <c r="L686" i="10"/>
  <c r="N686" i="3"/>
  <c r="N686" i="10" s="1"/>
  <c r="L984" i="10"/>
  <c r="N984" i="3"/>
  <c r="N984" i="10" s="1"/>
  <c r="L751" i="10"/>
  <c r="N751" i="3"/>
  <c r="N751" i="10" s="1"/>
  <c r="L773" i="10"/>
  <c r="N773" i="3"/>
  <c r="N773" i="10" s="1"/>
  <c r="L810" i="10"/>
  <c r="N810" i="3"/>
  <c r="N810" i="10" s="1"/>
  <c r="L918" i="10"/>
  <c r="N918" i="3"/>
  <c r="N918" i="10" s="1"/>
  <c r="L705" i="10"/>
  <c r="N705" i="3"/>
  <c r="N705" i="10" s="1"/>
  <c r="L640" i="10"/>
  <c r="N640" i="3"/>
  <c r="N640" i="10" s="1"/>
  <c r="L788" i="10"/>
  <c r="N788" i="3"/>
  <c r="N788" i="10" s="1"/>
  <c r="L978" i="10"/>
  <c r="N978" i="3"/>
  <c r="N978" i="10" s="1"/>
  <c r="L881" i="10"/>
  <c r="N881" i="3"/>
  <c r="N881" i="10" s="1"/>
  <c r="L771" i="10"/>
  <c r="N771" i="3"/>
  <c r="N771" i="10" s="1"/>
  <c r="L836" i="10"/>
  <c r="N836" i="3"/>
  <c r="N836" i="10" s="1"/>
  <c r="L684" i="10"/>
  <c r="N684" i="3"/>
  <c r="N684" i="10" s="1"/>
  <c r="L764" i="10"/>
  <c r="N764" i="3"/>
  <c r="N764" i="10" s="1"/>
  <c r="L972" i="10"/>
  <c r="N972" i="3"/>
  <c r="N972" i="10" s="1"/>
  <c r="L975" i="10"/>
  <c r="N975" i="3"/>
  <c r="N975" i="10" s="1"/>
  <c r="L675" i="10"/>
  <c r="N675" i="3"/>
  <c r="N675" i="10" s="1"/>
  <c r="L824" i="10"/>
  <c r="N824" i="3"/>
  <c r="N824" i="10" s="1"/>
  <c r="L969" i="10"/>
  <c r="N969" i="3"/>
  <c r="N969" i="10" s="1"/>
  <c r="L887" i="10"/>
  <c r="N887" i="3"/>
  <c r="N887" i="10" s="1"/>
  <c r="L816" i="10"/>
  <c r="N816" i="3"/>
  <c r="N816" i="10" s="1"/>
  <c r="L711" i="10"/>
  <c r="N711" i="3"/>
  <c r="N711" i="10" s="1"/>
  <c r="L964" i="10"/>
  <c r="N964" i="3"/>
  <c r="N964" i="10" s="1"/>
  <c r="L715" i="10"/>
  <c r="N715" i="3"/>
  <c r="N715" i="10" s="1"/>
  <c r="L759" i="10"/>
  <c r="N759" i="3"/>
  <c r="N759" i="10" s="1"/>
  <c r="L678" i="10"/>
  <c r="N678" i="3"/>
  <c r="N678" i="10" s="1"/>
  <c r="L736" i="10"/>
  <c r="N736" i="3"/>
  <c r="N736" i="10" s="1"/>
  <c r="L837" i="10"/>
  <c r="N837" i="3"/>
  <c r="N837" i="10" s="1"/>
  <c r="L689" i="10"/>
  <c r="N689" i="3"/>
  <c r="N689" i="10" s="1"/>
  <c r="L914" i="10"/>
  <c r="N914" i="3"/>
  <c r="N914" i="10" s="1"/>
  <c r="L681" i="10"/>
  <c r="N681" i="3"/>
  <c r="N681" i="10" s="1"/>
  <c r="L986" i="10"/>
  <c r="N986" i="3"/>
  <c r="N986" i="10" s="1"/>
  <c r="L723" i="10"/>
  <c r="N723" i="3"/>
  <c r="N723" i="10" s="1"/>
  <c r="L831" i="10"/>
  <c r="N831" i="3"/>
  <c r="N831" i="10" s="1"/>
  <c r="L870" i="10"/>
  <c r="N870" i="3"/>
  <c r="N870" i="10" s="1"/>
  <c r="L990" i="10"/>
  <c r="N990" i="3"/>
  <c r="N990" i="10" s="1"/>
  <c r="L955" i="10"/>
  <c r="N955" i="3"/>
  <c r="N955" i="10" s="1"/>
  <c r="L822" i="10"/>
  <c r="N822" i="3"/>
  <c r="N822" i="10" s="1"/>
  <c r="L877" i="10"/>
  <c r="N877" i="3"/>
  <c r="N877" i="10" s="1"/>
  <c r="L658" i="10"/>
  <c r="N658" i="3"/>
  <c r="N658" i="10" s="1"/>
  <c r="L726" i="10"/>
  <c r="N726" i="3"/>
  <c r="N726" i="10" s="1"/>
  <c r="L920" i="10"/>
  <c r="N920" i="3"/>
  <c r="N920" i="10" s="1"/>
  <c r="L787" i="10"/>
  <c r="N787" i="3"/>
  <c r="N787" i="10" s="1"/>
  <c r="L700" i="10"/>
  <c r="N700" i="3"/>
  <c r="N700" i="10" s="1"/>
  <c r="L921" i="10"/>
  <c r="N921" i="3"/>
  <c r="N921" i="10" s="1"/>
  <c r="L749" i="10"/>
  <c r="N749" i="3"/>
  <c r="N749" i="10" s="1"/>
  <c r="L895" i="10"/>
  <c r="N895" i="3"/>
  <c r="N895" i="10" s="1"/>
  <c r="L893" i="10"/>
  <c r="N893" i="3"/>
  <c r="N893" i="10" s="1"/>
  <c r="L725" i="10"/>
  <c r="N725" i="3"/>
  <c r="N725" i="10" s="1"/>
  <c r="L945" i="10"/>
  <c r="N945" i="3"/>
  <c r="N945" i="10" s="1"/>
  <c r="L703" i="10"/>
  <c r="N703" i="3"/>
  <c r="N703" i="10" s="1"/>
  <c r="L719" i="10"/>
  <c r="N719" i="3"/>
  <c r="N719" i="10" s="1"/>
  <c r="L924" i="10"/>
  <c r="N924" i="3"/>
  <c r="N924" i="10" s="1"/>
  <c r="L856" i="10"/>
  <c r="N856" i="3"/>
  <c r="N856" i="10" s="1"/>
  <c r="L983" i="10"/>
  <c r="N983" i="3"/>
  <c r="N983" i="10" s="1"/>
  <c r="L995" i="10"/>
  <c r="N995" i="3"/>
  <c r="N995" i="10" s="1"/>
  <c r="L871" i="10"/>
  <c r="N871" i="3"/>
  <c r="N871" i="10" s="1"/>
  <c r="L907" i="10"/>
  <c r="N907" i="3"/>
  <c r="N907" i="10" s="1"/>
  <c r="L786" i="10"/>
  <c r="N786" i="3"/>
  <c r="N786" i="10" s="1"/>
  <c r="L959" i="10"/>
  <c r="N959" i="3"/>
  <c r="N959" i="10" s="1"/>
  <c r="L758" i="10"/>
  <c r="N758" i="3"/>
  <c r="N758" i="10" s="1"/>
  <c r="L906" i="10"/>
  <c r="N906" i="3"/>
  <c r="N906" i="10" s="1"/>
  <c r="L992" i="10"/>
  <c r="N992" i="3"/>
  <c r="N992" i="10" s="1"/>
  <c r="L860" i="10"/>
  <c r="N860" i="3"/>
  <c r="N860" i="10" s="1"/>
  <c r="L780" i="10"/>
  <c r="N780" i="3"/>
  <c r="N780" i="10" s="1"/>
  <c r="L865" i="10"/>
  <c r="N865" i="3"/>
  <c r="N865" i="10" s="1"/>
  <c r="L628" i="10"/>
  <c r="N628" i="3"/>
  <c r="N628" i="10" s="1"/>
  <c r="L619" i="10"/>
  <c r="N619" i="3"/>
  <c r="N619" i="10" s="1"/>
  <c r="L601" i="10"/>
  <c r="N601" i="3"/>
  <c r="N601" i="10" s="1"/>
  <c r="L613" i="10"/>
  <c r="N613" i="3"/>
  <c r="N613" i="10" s="1"/>
  <c r="L614" i="10"/>
  <c r="N614" i="3"/>
  <c r="N614" i="10" s="1"/>
  <c r="L597" i="10"/>
  <c r="N597" i="3"/>
  <c r="N597" i="10" s="1"/>
  <c r="L617" i="10"/>
  <c r="N617" i="3"/>
  <c r="N617" i="10" s="1"/>
  <c r="L821" i="10"/>
  <c r="N821" i="3"/>
  <c r="N821" i="10" s="1"/>
  <c r="L772" i="10"/>
  <c r="N772" i="3"/>
  <c r="N772" i="10" s="1"/>
  <c r="L761" i="10"/>
  <c r="N761" i="3"/>
  <c r="N761" i="10" s="1"/>
  <c r="L777" i="10"/>
  <c r="N777" i="3"/>
  <c r="N777" i="10" s="1"/>
  <c r="L930" i="10"/>
  <c r="N930" i="3"/>
  <c r="N930" i="10" s="1"/>
  <c r="L709" i="10"/>
  <c r="N709" i="3"/>
  <c r="N709" i="10" s="1"/>
  <c r="L729" i="10"/>
  <c r="N729" i="3"/>
  <c r="N729" i="10" s="1"/>
  <c r="L806" i="10"/>
  <c r="N806" i="3"/>
  <c r="N806" i="10" s="1"/>
  <c r="L733" i="10"/>
  <c r="N733" i="3"/>
  <c r="N733" i="10" s="1"/>
  <c r="L661" i="10"/>
  <c r="N661" i="3"/>
  <c r="N661" i="10" s="1"/>
  <c r="L677" i="10"/>
  <c r="N677" i="3"/>
  <c r="N677" i="10" s="1"/>
  <c r="L818" i="10"/>
  <c r="N818" i="3"/>
  <c r="N818" i="10" s="1"/>
  <c r="L745" i="10"/>
  <c r="N745" i="3"/>
  <c r="N745" i="10" s="1"/>
  <c r="L878" i="10"/>
  <c r="N878" i="3"/>
  <c r="N878" i="10" s="1"/>
  <c r="L970" i="10"/>
  <c r="N970" i="3"/>
  <c r="N970" i="10" s="1"/>
  <c r="L804" i="10"/>
  <c r="N804" i="3"/>
  <c r="N804" i="10" s="1"/>
  <c r="L643" i="10"/>
  <c r="N643" i="3"/>
  <c r="N643" i="10" s="1"/>
  <c r="L667" i="10"/>
  <c r="N667" i="3"/>
  <c r="N667" i="10" s="1"/>
  <c r="L817" i="10"/>
  <c r="N817" i="3"/>
  <c r="N817" i="10" s="1"/>
  <c r="L648" i="10"/>
  <c r="N648" i="3"/>
  <c r="N648" i="10" s="1"/>
  <c r="L937" i="10"/>
  <c r="N937" i="3"/>
  <c r="N937" i="10" s="1"/>
  <c r="L897" i="10"/>
  <c r="N897" i="3"/>
  <c r="N897" i="10" s="1"/>
  <c r="L998" i="10"/>
  <c r="N998" i="3"/>
  <c r="N998" i="10" s="1"/>
  <c r="L845" i="10"/>
  <c r="N845" i="3"/>
  <c r="N845" i="10" s="1"/>
  <c r="L800" i="10"/>
  <c r="N800" i="3"/>
  <c r="N800" i="10" s="1"/>
  <c r="L839" i="10"/>
  <c r="N839" i="3"/>
  <c r="N839" i="10" s="1"/>
  <c r="L712" i="10"/>
  <c r="N712" i="3"/>
  <c r="N712" i="10" s="1"/>
  <c r="L642" i="10"/>
  <c r="N642" i="3"/>
  <c r="N642" i="10" s="1"/>
  <c r="L739" i="10"/>
  <c r="N739" i="3"/>
  <c r="N739" i="10" s="1"/>
  <c r="L782" i="10"/>
  <c r="N782" i="3"/>
  <c r="N782" i="10" s="1"/>
  <c r="L654" i="10"/>
  <c r="N654" i="3"/>
  <c r="N654" i="10" s="1"/>
  <c r="L933" i="10"/>
  <c r="N933" i="3"/>
  <c r="N933" i="10" s="1"/>
  <c r="L828" i="10"/>
  <c r="N828" i="3"/>
  <c r="N828" i="10" s="1"/>
  <c r="L738" i="10"/>
  <c r="N738" i="3"/>
  <c r="N738" i="10" s="1"/>
  <c r="L944" i="10"/>
  <c r="N944" i="3"/>
  <c r="N944" i="10" s="1"/>
  <c r="L664" i="10"/>
  <c r="N664" i="3"/>
  <c r="N664" i="10" s="1"/>
  <c r="L961" i="10"/>
  <c r="N961" i="3"/>
  <c r="N961" i="10" s="1"/>
  <c r="L849" i="10"/>
  <c r="N849" i="3"/>
  <c r="N849" i="10" s="1"/>
  <c r="L902" i="10"/>
  <c r="N902" i="3"/>
  <c r="N902" i="10" s="1"/>
  <c r="L815" i="10"/>
  <c r="N815" i="3"/>
  <c r="N815" i="10" s="1"/>
  <c r="L935" i="10"/>
  <c r="N935" i="3"/>
  <c r="N935" i="10" s="1"/>
  <c r="L936" i="10"/>
  <c r="N936" i="3"/>
  <c r="N936" i="10" s="1"/>
  <c r="L704" i="10"/>
  <c r="N704" i="3"/>
  <c r="N704" i="10" s="1"/>
  <c r="L659" i="10"/>
  <c r="N659" i="3"/>
  <c r="N659" i="10" s="1"/>
  <c r="L844" i="10"/>
  <c r="N844" i="3"/>
  <c r="N844" i="10" s="1"/>
  <c r="L720" i="10"/>
  <c r="N720" i="3"/>
  <c r="N720" i="10" s="1"/>
  <c r="L1000" i="10"/>
  <c r="N1000" i="3"/>
  <c r="N1000" i="10" s="1"/>
  <c r="L762" i="10"/>
  <c r="N762" i="3"/>
  <c r="N762" i="10" s="1"/>
  <c r="L886" i="10"/>
  <c r="N886" i="3"/>
  <c r="N886" i="10" s="1"/>
  <c r="L864" i="10"/>
  <c r="N864" i="3"/>
  <c r="N864" i="10" s="1"/>
  <c r="L774" i="10"/>
  <c r="N774" i="3"/>
  <c r="N774" i="10" s="1"/>
  <c r="L646" i="10"/>
  <c r="N646" i="3"/>
  <c r="N646" i="10" s="1"/>
  <c r="L814" i="10"/>
  <c r="N814" i="3"/>
  <c r="N814" i="10" s="1"/>
  <c r="L934" i="10"/>
  <c r="N934" i="3"/>
  <c r="N934" i="10" s="1"/>
  <c r="L926" i="10"/>
  <c r="N926" i="3"/>
  <c r="N926" i="10" s="1"/>
  <c r="L925" i="10"/>
  <c r="N925" i="3"/>
  <c r="N925" i="10" s="1"/>
  <c r="L873" i="10"/>
  <c r="N873" i="3"/>
  <c r="N873" i="10" s="1"/>
  <c r="L932" i="10"/>
  <c r="N932" i="3"/>
  <c r="N932" i="10" s="1"/>
  <c r="L732" i="10"/>
  <c r="N732" i="3"/>
  <c r="N732" i="10" s="1"/>
  <c r="L980" i="10"/>
  <c r="N980" i="3"/>
  <c r="N980" i="10" s="1"/>
  <c r="L997" i="10"/>
  <c r="N997" i="3"/>
  <c r="N997" i="10" s="1"/>
  <c r="L754" i="10"/>
  <c r="N754" i="3"/>
  <c r="N754" i="10" s="1"/>
  <c r="L671" i="10"/>
  <c r="N671" i="3"/>
  <c r="N671" i="10" s="1"/>
  <c r="L989" i="10"/>
  <c r="N989" i="3"/>
  <c r="N989" i="10" s="1"/>
  <c r="L730" i="10"/>
  <c r="N730" i="3"/>
  <c r="N730" i="10" s="1"/>
  <c r="L656" i="10"/>
  <c r="N656" i="3"/>
  <c r="N656" i="10" s="1"/>
  <c r="L799" i="10"/>
  <c r="N799" i="3"/>
  <c r="N799" i="10" s="1"/>
  <c r="L652" i="10"/>
  <c r="N652" i="3"/>
  <c r="N652" i="10" s="1"/>
  <c r="L957" i="10"/>
  <c r="N957" i="3"/>
  <c r="N957" i="10" s="1"/>
  <c r="L690" i="10"/>
  <c r="N690" i="3"/>
  <c r="N690" i="10" s="1"/>
  <c r="L813" i="10"/>
  <c r="N813" i="3"/>
  <c r="N813" i="10" s="1"/>
  <c r="L890" i="10"/>
  <c r="N890" i="3"/>
  <c r="N890" i="10" s="1"/>
  <c r="L699" i="10"/>
  <c r="N699" i="3"/>
  <c r="N699" i="10" s="1"/>
  <c r="L861" i="10"/>
  <c r="N861" i="3"/>
  <c r="N861" i="10" s="1"/>
  <c r="L903" i="10"/>
  <c r="N903" i="3"/>
  <c r="N903" i="10" s="1"/>
  <c r="L724" i="10"/>
  <c r="N724" i="3"/>
  <c r="N724" i="10" s="1"/>
  <c r="L713" i="10"/>
  <c r="N713" i="3"/>
  <c r="N713" i="10" s="1"/>
  <c r="L722" i="10"/>
  <c r="N722" i="3"/>
  <c r="N722" i="10" s="1"/>
  <c r="L994" i="10"/>
  <c r="N994" i="3"/>
  <c r="N994" i="10" s="1"/>
  <c r="L928" i="10"/>
  <c r="N928" i="3"/>
  <c r="N928" i="10" s="1"/>
  <c r="L783" i="10"/>
  <c r="N783" i="3"/>
  <c r="N783" i="10" s="1"/>
  <c r="L695" i="10"/>
  <c r="N695" i="3"/>
  <c r="N695" i="10" s="1"/>
  <c r="L744" i="10"/>
  <c r="N744" i="3"/>
  <c r="N744" i="10" s="1"/>
  <c r="L683" i="10"/>
  <c r="N683" i="3"/>
  <c r="N683" i="10" s="1"/>
  <c r="L830" i="10"/>
  <c r="N830" i="3"/>
  <c r="N830" i="10" s="1"/>
  <c r="L624" i="10"/>
  <c r="N624" i="3"/>
  <c r="N624" i="10" s="1"/>
  <c r="L584" i="10"/>
  <c r="N584" i="3"/>
  <c r="N584" i="10" s="1"/>
  <c r="L599" i="10"/>
  <c r="N599" i="3"/>
  <c r="N599" i="10" s="1"/>
  <c r="L612" i="10"/>
  <c r="N612" i="3"/>
  <c r="N612" i="10" s="1"/>
  <c r="L615" i="10"/>
  <c r="N615" i="3"/>
  <c r="N615" i="10" s="1"/>
  <c r="L576" i="10"/>
  <c r="N576" i="3"/>
  <c r="N576" i="10" s="1"/>
  <c r="L620" i="10"/>
  <c r="N620" i="3"/>
  <c r="N620" i="10" s="1"/>
  <c r="L591" i="10"/>
  <c r="N591" i="3"/>
  <c r="N591" i="10" s="1"/>
  <c r="L630" i="10"/>
  <c r="N630" i="3"/>
  <c r="N630" i="10" s="1"/>
  <c r="L598" i="10"/>
  <c r="N598" i="3"/>
  <c r="N598" i="10" s="1"/>
  <c r="L579" i="10"/>
  <c r="N579" i="3"/>
  <c r="N579" i="10" s="1"/>
  <c r="L638" i="10"/>
  <c r="N638" i="3"/>
  <c r="N638" i="10" s="1"/>
  <c r="L625" i="10"/>
  <c r="N625" i="3"/>
  <c r="N625" i="10" s="1"/>
  <c r="L593" i="10"/>
  <c r="N593" i="3"/>
  <c r="N593" i="10" s="1"/>
  <c r="L575" i="10"/>
  <c r="N575" i="3"/>
  <c r="N575" i="10" s="1"/>
  <c r="L629" i="10"/>
  <c r="N629" i="3"/>
  <c r="N629" i="10" s="1"/>
  <c r="L595" i="10"/>
  <c r="N595" i="3"/>
  <c r="N595" i="10" s="1"/>
  <c r="L650" i="10"/>
  <c r="N650" i="3"/>
  <c r="N650" i="10" s="1"/>
  <c r="L801" i="10"/>
  <c r="N801" i="3"/>
  <c r="N801" i="10" s="1"/>
  <c r="L809" i="10"/>
  <c r="N809" i="3"/>
  <c r="N809" i="10" s="1"/>
  <c r="L847" i="10"/>
  <c r="N847" i="3"/>
  <c r="N847" i="10" s="1"/>
  <c r="L641" i="10"/>
  <c r="N641" i="3"/>
  <c r="N641" i="10" s="1"/>
  <c r="L785" i="10"/>
  <c r="N785" i="3"/>
  <c r="N785" i="10" s="1"/>
  <c r="L669" i="10"/>
  <c r="N669" i="3"/>
  <c r="N669" i="10" s="1"/>
  <c r="L757" i="10"/>
  <c r="N757" i="3"/>
  <c r="N757" i="10" s="1"/>
  <c r="L904" i="10"/>
  <c r="N904" i="3"/>
  <c r="N904" i="10" s="1"/>
  <c r="L649" i="10"/>
  <c r="N649" i="3"/>
  <c r="N649" i="10" s="1"/>
  <c r="L665" i="10"/>
  <c r="N665" i="3"/>
  <c r="N665" i="10" s="1"/>
  <c r="L790" i="10"/>
  <c r="N790" i="3"/>
  <c r="N790" i="10" s="1"/>
  <c r="L802" i="10"/>
  <c r="N802" i="3"/>
  <c r="N802" i="10" s="1"/>
  <c r="L966" i="10"/>
  <c r="N966" i="3"/>
  <c r="N966" i="10" s="1"/>
  <c r="L948" i="10"/>
  <c r="N948" i="3"/>
  <c r="N948" i="10" s="1"/>
  <c r="L929" i="10"/>
  <c r="N929" i="3"/>
  <c r="N929" i="10" s="1"/>
  <c r="L889" i="10"/>
  <c r="N889" i="3"/>
  <c r="N889" i="10" s="1"/>
  <c r="L894" i="10"/>
  <c r="N894" i="3"/>
  <c r="N894" i="10" s="1"/>
  <c r="L884" i="10"/>
  <c r="N884" i="3"/>
  <c r="N884" i="10" s="1"/>
  <c r="L791" i="10"/>
  <c r="N791" i="3"/>
  <c r="N791" i="10" s="1"/>
  <c r="L874" i="10"/>
  <c r="N874" i="3"/>
  <c r="N874" i="10" s="1"/>
  <c r="L872" i="10"/>
  <c r="N872" i="3"/>
  <c r="N872" i="10" s="1"/>
  <c r="L912" i="10"/>
  <c r="N912" i="3"/>
  <c r="N912" i="10" s="1"/>
  <c r="L803" i="10"/>
  <c r="N803" i="3"/>
  <c r="N803" i="10" s="1"/>
  <c r="L941" i="10"/>
  <c r="N941" i="3"/>
  <c r="N941" i="10" s="1"/>
  <c r="L854" i="10"/>
  <c r="N854" i="3"/>
  <c r="N854" i="10" s="1"/>
  <c r="L915" i="10"/>
  <c r="N915" i="3"/>
  <c r="N915" i="10" s="1"/>
  <c r="L743" i="10"/>
  <c r="N743" i="3"/>
  <c r="N743" i="10" s="1"/>
  <c r="L805" i="10"/>
  <c r="N805" i="3"/>
  <c r="N805" i="10" s="1"/>
  <c r="L939" i="10"/>
  <c r="N939" i="3"/>
  <c r="N939" i="10" s="1"/>
  <c r="L767" i="10"/>
  <c r="N767" i="3"/>
  <c r="N767" i="10" s="1"/>
  <c r="L750" i="10"/>
  <c r="N750" i="3"/>
  <c r="N750" i="10" s="1"/>
  <c r="L748" i="10"/>
  <c r="N748" i="3"/>
  <c r="N748" i="10" s="1"/>
  <c r="L869" i="10"/>
  <c r="N869" i="3"/>
  <c r="N869" i="10" s="1"/>
  <c r="L674" i="10"/>
  <c r="N674" i="3"/>
  <c r="N674" i="10" s="1"/>
  <c r="L958" i="10"/>
  <c r="N958" i="3"/>
  <c r="N958" i="10" s="1"/>
  <c r="L908" i="10"/>
  <c r="N908" i="3"/>
  <c r="N908" i="10" s="1"/>
  <c r="L644" i="10"/>
  <c r="N644" i="3"/>
  <c r="N644" i="10" s="1"/>
  <c r="L991" i="10"/>
  <c r="N991" i="3"/>
  <c r="N991" i="10" s="1"/>
  <c r="L797" i="10"/>
  <c r="N797" i="3"/>
  <c r="N797" i="10" s="1"/>
  <c r="L968" i="10"/>
  <c r="N968" i="3"/>
  <c r="N968" i="10" s="1"/>
  <c r="L888" i="10"/>
  <c r="N888" i="3"/>
  <c r="N888" i="10" s="1"/>
  <c r="L728" i="10"/>
  <c r="N728" i="3"/>
  <c r="N728" i="10" s="1"/>
  <c r="L829" i="10"/>
  <c r="N829" i="3"/>
  <c r="N829" i="10" s="1"/>
  <c r="L731" i="10"/>
  <c r="N731" i="3"/>
  <c r="N731" i="10" s="1"/>
  <c r="L853" i="10"/>
  <c r="N853" i="3"/>
  <c r="N853" i="10" s="1"/>
  <c r="L668" i="10"/>
  <c r="N668" i="3"/>
  <c r="N668" i="10" s="1"/>
  <c r="L848" i="10"/>
  <c r="N848" i="3"/>
  <c r="N848" i="10" s="1"/>
  <c r="L698" i="10"/>
  <c r="N698" i="3"/>
  <c r="N698" i="10" s="1"/>
  <c r="L911" i="10"/>
  <c r="N911" i="3"/>
  <c r="N911" i="10" s="1"/>
  <c r="L811" i="10"/>
  <c r="N811" i="3"/>
  <c r="N811" i="10" s="1"/>
  <c r="L742" i="10"/>
  <c r="N742" i="3"/>
  <c r="N742" i="10" s="1"/>
  <c r="L916" i="10"/>
  <c r="N916" i="3"/>
  <c r="N916" i="10" s="1"/>
  <c r="L974" i="10"/>
  <c r="N974" i="3"/>
  <c r="N974" i="10" s="1"/>
  <c r="L892" i="10"/>
  <c r="N892" i="3"/>
  <c r="N892" i="10" s="1"/>
  <c r="L882" i="10"/>
  <c r="N882" i="3"/>
  <c r="N882" i="10" s="1"/>
  <c r="L756" i="10"/>
  <c r="N756" i="3"/>
  <c r="N756" i="10" s="1"/>
  <c r="L841" i="10"/>
  <c r="N841" i="3"/>
  <c r="N841" i="10" s="1"/>
  <c r="L807" i="10"/>
  <c r="N807" i="3"/>
  <c r="N807" i="10" s="1"/>
  <c r="L967" i="10"/>
  <c r="N967" i="3"/>
  <c r="N967" i="10" s="1"/>
  <c r="L883" i="10"/>
  <c r="N883" i="3"/>
  <c r="N883" i="10" s="1"/>
  <c r="L898" i="10"/>
  <c r="N898" i="3"/>
  <c r="N898" i="10" s="1"/>
  <c r="L775" i="10"/>
  <c r="N775" i="3"/>
  <c r="N775" i="10" s="1"/>
  <c r="L660" i="10"/>
  <c r="N660" i="3"/>
  <c r="N660" i="10" s="1"/>
  <c r="L655" i="10"/>
  <c r="N655" i="3"/>
  <c r="N655" i="10" s="1"/>
  <c r="L858" i="10"/>
  <c r="N858" i="3"/>
  <c r="N858" i="10" s="1"/>
  <c r="L965" i="10"/>
  <c r="N965" i="3"/>
  <c r="N965" i="10" s="1"/>
  <c r="L931" i="10"/>
  <c r="N931" i="3"/>
  <c r="N931" i="10" s="1"/>
  <c r="L868" i="10"/>
  <c r="N868" i="3"/>
  <c r="N868" i="10" s="1"/>
  <c r="L982" i="10"/>
  <c r="N982" i="3"/>
  <c r="N982" i="10" s="1"/>
  <c r="L770" i="10"/>
  <c r="N770" i="3"/>
  <c r="N770" i="10" s="1"/>
  <c r="L819" i="10"/>
  <c r="N819" i="3"/>
  <c r="N819" i="10" s="1"/>
  <c r="L670" i="10"/>
  <c r="N670" i="3"/>
  <c r="N670" i="10" s="1"/>
  <c r="L985" i="10"/>
  <c r="N985" i="3"/>
  <c r="N985" i="10" s="1"/>
  <c r="L760" i="10"/>
  <c r="N760" i="3"/>
  <c r="N760" i="10" s="1"/>
  <c r="L793" i="10"/>
  <c r="N793" i="3"/>
  <c r="N793" i="10" s="1"/>
  <c r="L796" i="10"/>
  <c r="N796" i="3"/>
  <c r="N796" i="10" s="1"/>
  <c r="L909" i="10"/>
  <c r="N909" i="3"/>
  <c r="N909" i="10" s="1"/>
  <c r="L651" i="10"/>
  <c r="N651" i="3"/>
  <c r="N651" i="10" s="1"/>
  <c r="L833" i="10"/>
  <c r="N833" i="3"/>
  <c r="N833" i="10" s="1"/>
  <c r="L850" i="10"/>
  <c r="N850" i="3"/>
  <c r="N850" i="10" s="1"/>
  <c r="L880" i="10"/>
  <c r="N880" i="3"/>
  <c r="N880" i="10" s="1"/>
  <c r="L702" i="10"/>
  <c r="N702" i="3"/>
  <c r="N702" i="10" s="1"/>
  <c r="L905" i="10"/>
  <c r="N905" i="3"/>
  <c r="N905" i="10" s="1"/>
  <c r="L859" i="10"/>
  <c r="N859" i="3"/>
  <c r="N859" i="10" s="1"/>
  <c r="L862" i="10"/>
  <c r="N862" i="3"/>
  <c r="N862" i="10" s="1"/>
  <c r="L843" i="10"/>
  <c r="N843" i="3"/>
  <c r="N843" i="10" s="1"/>
  <c r="L776" i="10"/>
  <c r="N776" i="3"/>
  <c r="N776" i="10" s="1"/>
  <c r="L993" i="10"/>
  <c r="N993" i="3"/>
  <c r="N993" i="10" s="1"/>
  <c r="L765" i="10"/>
  <c r="N765" i="3"/>
  <c r="N765" i="10" s="1"/>
  <c r="L569" i="10"/>
  <c r="N569" i="3"/>
  <c r="N569" i="10" s="1"/>
  <c r="L571" i="10"/>
  <c r="N571" i="3"/>
  <c r="N571" i="10" s="1"/>
  <c r="N570" i="3"/>
  <c r="N570" i="10" s="1"/>
  <c r="L570" i="10"/>
  <c r="L567" i="10"/>
  <c r="N567" i="3"/>
  <c r="N567" i="10" s="1"/>
  <c r="L568" i="10"/>
  <c r="N568" i="3"/>
  <c r="N568" i="10" s="1"/>
  <c r="L564" i="10"/>
  <c r="N564" i="3"/>
  <c r="N564" i="10" s="1"/>
  <c r="N566" i="3"/>
  <c r="N566" i="10" s="1"/>
  <c r="L566" i="10"/>
  <c r="L565" i="10"/>
  <c r="N565" i="3"/>
  <c r="N565" i="10" s="1"/>
  <c r="L563" i="10"/>
  <c r="N563" i="3"/>
  <c r="N563" i="10" s="1"/>
  <c r="L544" i="10"/>
  <c r="N544" i="3"/>
  <c r="N544" i="10" s="1"/>
  <c r="N545" i="3"/>
  <c r="N545" i="10" s="1"/>
  <c r="L545" i="10"/>
  <c r="L554" i="10"/>
  <c r="N554" i="3"/>
  <c r="N554" i="10" s="1"/>
  <c r="N553" i="3"/>
  <c r="N553" i="10" s="1"/>
  <c r="L553" i="10"/>
  <c r="L550" i="10"/>
  <c r="N550" i="3"/>
  <c r="N550" i="10" s="1"/>
  <c r="L562" i="10"/>
  <c r="N562" i="3"/>
  <c r="N562" i="10" s="1"/>
  <c r="N549" i="3"/>
  <c r="N549" i="10" s="1"/>
  <c r="L549" i="10"/>
  <c r="L354" i="10"/>
  <c r="N354" i="3"/>
  <c r="N354" i="10" s="1"/>
  <c r="L322" i="10"/>
  <c r="N322" i="3"/>
  <c r="N322" i="10" s="1"/>
  <c r="L51" i="10"/>
  <c r="N51" i="3"/>
  <c r="N51" i="10" s="1"/>
  <c r="L531" i="10"/>
  <c r="N531" i="3"/>
  <c r="N531" i="10" s="1"/>
  <c r="L365" i="10"/>
  <c r="N365" i="3"/>
  <c r="N365" i="10" s="1"/>
  <c r="L363" i="10"/>
  <c r="N363" i="3"/>
  <c r="N363" i="10" s="1"/>
  <c r="L9" i="10"/>
  <c r="N9" i="3"/>
  <c r="N9" i="10" s="1"/>
  <c r="L145" i="10"/>
  <c r="N145" i="3"/>
  <c r="N145" i="10" s="1"/>
  <c r="L499" i="10"/>
  <c r="N499" i="3"/>
  <c r="N499" i="10" s="1"/>
  <c r="L238" i="10"/>
  <c r="N238" i="3"/>
  <c r="N238" i="10" s="1"/>
  <c r="L382" i="10"/>
  <c r="N382" i="3"/>
  <c r="N382" i="10" s="1"/>
  <c r="L129" i="10"/>
  <c r="N129" i="3"/>
  <c r="N129" i="10" s="1"/>
  <c r="L296" i="10"/>
  <c r="N296" i="3"/>
  <c r="N296" i="10" s="1"/>
  <c r="L181" i="10"/>
  <c r="N181" i="3"/>
  <c r="N181" i="10" s="1"/>
  <c r="L527" i="10"/>
  <c r="N527" i="3"/>
  <c r="N527" i="10" s="1"/>
  <c r="L494" i="10"/>
  <c r="N494" i="3"/>
  <c r="N494" i="10" s="1"/>
  <c r="L211" i="10"/>
  <c r="N211" i="3"/>
  <c r="N211" i="10" s="1"/>
  <c r="L375" i="10"/>
  <c r="N375" i="3"/>
  <c r="N375" i="10" s="1"/>
  <c r="L196" i="10"/>
  <c r="N196" i="3"/>
  <c r="N196" i="10" s="1"/>
  <c r="L62" i="10"/>
  <c r="N62" i="3"/>
  <c r="N62" i="10" s="1"/>
  <c r="L328" i="10"/>
  <c r="N328" i="3"/>
  <c r="N328" i="10" s="1"/>
  <c r="L523" i="10"/>
  <c r="N523" i="3"/>
  <c r="N523" i="10" s="1"/>
  <c r="N473" i="3"/>
  <c r="N473" i="10" s="1"/>
  <c r="L473" i="10"/>
  <c r="L277" i="10"/>
  <c r="N277" i="3"/>
  <c r="N277" i="10" s="1"/>
  <c r="L467" i="10"/>
  <c r="N467" i="3"/>
  <c r="N467" i="10" s="1"/>
  <c r="L171" i="10"/>
  <c r="N171" i="3"/>
  <c r="N171" i="10" s="1"/>
  <c r="L303" i="10"/>
  <c r="N303" i="3"/>
  <c r="N303" i="10" s="1"/>
  <c r="L532" i="10"/>
  <c r="N532" i="3"/>
  <c r="N532" i="10" s="1"/>
  <c r="L286" i="10"/>
  <c r="N286" i="3"/>
  <c r="N286" i="10" s="1"/>
  <c r="L67" i="10"/>
  <c r="N67" i="3"/>
  <c r="N67" i="10" s="1"/>
  <c r="L17" i="10"/>
  <c r="N17" i="3"/>
  <c r="N17" i="10" s="1"/>
  <c r="L268" i="10"/>
  <c r="N268" i="3"/>
  <c r="N268" i="10" s="1"/>
  <c r="L31" i="10"/>
  <c r="N31" i="3"/>
  <c r="N31" i="10" s="1"/>
  <c r="L471" i="10"/>
  <c r="N471" i="3"/>
  <c r="N471" i="10" s="1"/>
  <c r="L439" i="10"/>
  <c r="N439" i="3"/>
  <c r="N439" i="10" s="1"/>
  <c r="L226" i="10"/>
  <c r="N226" i="3"/>
  <c r="N226" i="10" s="1"/>
  <c r="L306" i="10"/>
  <c r="N306" i="3"/>
  <c r="N306" i="10" s="1"/>
  <c r="L233" i="10"/>
  <c r="N233" i="3"/>
  <c r="N233" i="10" s="1"/>
  <c r="L89" i="10"/>
  <c r="N89" i="3"/>
  <c r="N89" i="10" s="1"/>
  <c r="L344" i="10"/>
  <c r="N344" i="3"/>
  <c r="N344" i="10" s="1"/>
  <c r="N505" i="3"/>
  <c r="N505" i="10" s="1"/>
  <c r="L505" i="10"/>
  <c r="L26" i="10"/>
  <c r="N26" i="3"/>
  <c r="N26" i="10" s="1"/>
  <c r="L229" i="10"/>
  <c r="N229" i="3"/>
  <c r="N229" i="10" s="1"/>
  <c r="L7" i="10"/>
  <c r="N7" i="3"/>
  <c r="N7" i="10" s="1"/>
  <c r="L252" i="10"/>
  <c r="N252" i="3"/>
  <c r="N252" i="10" s="1"/>
  <c r="L346" i="10"/>
  <c r="N346" i="3"/>
  <c r="N346" i="10" s="1"/>
  <c r="L87" i="10"/>
  <c r="N87" i="3"/>
  <c r="N87" i="10" s="1"/>
  <c r="L251" i="10"/>
  <c r="N251" i="3"/>
  <c r="N251" i="10" s="1"/>
  <c r="L179" i="10"/>
  <c r="N179" i="3"/>
  <c r="N179" i="10" s="1"/>
  <c r="L103" i="10"/>
  <c r="N103" i="3"/>
  <c r="N103" i="10" s="1"/>
  <c r="L424" i="10"/>
  <c r="N424" i="3"/>
  <c r="N424" i="10" s="1"/>
  <c r="L178" i="10"/>
  <c r="N178" i="3"/>
  <c r="N178" i="10" s="1"/>
  <c r="L143" i="10"/>
  <c r="N143" i="3"/>
  <c r="N143" i="10" s="1"/>
  <c r="L403" i="10"/>
  <c r="N403" i="3"/>
  <c r="N403" i="10" s="1"/>
  <c r="L464" i="10"/>
  <c r="N464" i="3"/>
  <c r="N464" i="10" s="1"/>
  <c r="L264" i="10"/>
  <c r="N264" i="3"/>
  <c r="N264" i="10" s="1"/>
  <c r="L104" i="10"/>
  <c r="N104" i="3"/>
  <c r="N104" i="10" s="1"/>
  <c r="L100" i="10"/>
  <c r="N100" i="3"/>
  <c r="N100" i="10" s="1"/>
  <c r="L506" i="10"/>
  <c r="N506" i="3"/>
  <c r="N506" i="10" s="1"/>
  <c r="L192" i="10"/>
  <c r="N192" i="3"/>
  <c r="N192" i="10" s="1"/>
  <c r="L60" i="10"/>
  <c r="N60" i="3"/>
  <c r="N60" i="10" s="1"/>
  <c r="L292" i="10"/>
  <c r="N292" i="3"/>
  <c r="N292" i="10" s="1"/>
  <c r="L24" i="10"/>
  <c r="N24" i="3"/>
  <c r="N24" i="10" s="1"/>
  <c r="N405" i="3"/>
  <c r="N405" i="10" s="1"/>
  <c r="L405" i="10"/>
  <c r="L373" i="10"/>
  <c r="N373" i="3"/>
  <c r="N373" i="10" s="1"/>
  <c r="L102" i="10"/>
  <c r="N102" i="3"/>
  <c r="N102" i="10" s="1"/>
  <c r="L353" i="10"/>
  <c r="N353" i="3"/>
  <c r="N353" i="10" s="1"/>
  <c r="L98" i="10"/>
  <c r="N98" i="3"/>
  <c r="N98" i="10" s="1"/>
  <c r="L290" i="10"/>
  <c r="N290" i="3"/>
  <c r="N290" i="10" s="1"/>
  <c r="L190" i="10"/>
  <c r="N190" i="3"/>
  <c r="N190" i="10" s="1"/>
  <c r="L187" i="10"/>
  <c r="N187" i="3"/>
  <c r="N187" i="10" s="1"/>
  <c r="L184" i="10"/>
  <c r="N184" i="3"/>
  <c r="N184" i="10" s="1"/>
  <c r="L53" i="10"/>
  <c r="N53" i="3"/>
  <c r="N53" i="10" s="1"/>
  <c r="L407" i="10"/>
  <c r="N407" i="3"/>
  <c r="N407" i="10" s="1"/>
  <c r="L380" i="10"/>
  <c r="N380" i="3"/>
  <c r="N380" i="10" s="1"/>
  <c r="L381" i="10"/>
  <c r="N381" i="3"/>
  <c r="N381" i="10" s="1"/>
  <c r="L4" i="10"/>
  <c r="N4" i="3"/>
  <c r="N4" i="10" s="1"/>
  <c r="L257" i="10"/>
  <c r="N257" i="3"/>
  <c r="N257" i="10" s="1"/>
  <c r="L289" i="10"/>
  <c r="N289" i="3"/>
  <c r="N289" i="10" s="1"/>
  <c r="L423" i="10"/>
  <c r="N423" i="3"/>
  <c r="N423" i="10" s="1"/>
  <c r="L332" i="10"/>
  <c r="N332" i="3"/>
  <c r="N332" i="10" s="1"/>
  <c r="L177" i="10"/>
  <c r="N177" i="3"/>
  <c r="N177" i="10" s="1"/>
  <c r="N401" i="3"/>
  <c r="N401" i="10" s="1"/>
  <c r="L401" i="10"/>
  <c r="L142" i="10"/>
  <c r="N142" i="3"/>
  <c r="N142" i="10" s="1"/>
  <c r="N409" i="3"/>
  <c r="N409" i="10" s="1"/>
  <c r="L409" i="10"/>
  <c r="L542" i="10"/>
  <c r="N542" i="3"/>
  <c r="N542" i="10" s="1"/>
  <c r="L256" i="10"/>
  <c r="N256" i="3"/>
  <c r="N256" i="10" s="1"/>
  <c r="L416" i="10"/>
  <c r="N416" i="3"/>
  <c r="N416" i="10" s="1"/>
  <c r="L203" i="10"/>
  <c r="N203" i="3"/>
  <c r="N203" i="10" s="1"/>
  <c r="L148" i="10"/>
  <c r="N148" i="3"/>
  <c r="N148" i="10" s="1"/>
  <c r="L68" i="10"/>
  <c r="N68" i="3"/>
  <c r="N68" i="10" s="1"/>
  <c r="L127" i="10"/>
  <c r="N127" i="3"/>
  <c r="N127" i="10" s="1"/>
  <c r="L398" i="10"/>
  <c r="N398" i="3"/>
  <c r="N398" i="10" s="1"/>
  <c r="L164" i="10"/>
  <c r="N164" i="3"/>
  <c r="N164" i="10" s="1"/>
  <c r="N521" i="3"/>
  <c r="N521" i="10" s="1"/>
  <c r="L521" i="10"/>
  <c r="L118" i="10"/>
  <c r="N118" i="3"/>
  <c r="N118" i="10" s="1"/>
  <c r="L359" i="10"/>
  <c r="N359" i="3"/>
  <c r="N359" i="10" s="1"/>
  <c r="L112" i="10"/>
  <c r="N112" i="3"/>
  <c r="N112" i="10" s="1"/>
  <c r="L160" i="10"/>
  <c r="N160" i="3"/>
  <c r="N160" i="10" s="1"/>
  <c r="L166" i="10"/>
  <c r="N166" i="3"/>
  <c r="N166" i="10" s="1"/>
  <c r="L476" i="10"/>
  <c r="N476" i="3"/>
  <c r="N476" i="10" s="1"/>
  <c r="L72" i="10"/>
  <c r="N72" i="3"/>
  <c r="N72" i="10" s="1"/>
  <c r="L480" i="10"/>
  <c r="N480" i="3"/>
  <c r="N480" i="10" s="1"/>
  <c r="L392" i="10"/>
  <c r="N392" i="3"/>
  <c r="N392" i="10" s="1"/>
  <c r="L472" i="10"/>
  <c r="N472" i="3"/>
  <c r="N472" i="10" s="1"/>
  <c r="L79" i="10"/>
  <c r="N79" i="3"/>
  <c r="N79" i="10" s="1"/>
  <c r="L500" i="10"/>
  <c r="N500" i="3"/>
  <c r="N500" i="10" s="1"/>
  <c r="N541" i="3"/>
  <c r="N541" i="10" s="1"/>
  <c r="L541" i="10"/>
  <c r="L486" i="10"/>
  <c r="N486" i="3"/>
  <c r="N486" i="10" s="1"/>
  <c r="L462" i="10"/>
  <c r="N462" i="3"/>
  <c r="N462" i="10" s="1"/>
  <c r="L167" i="10"/>
  <c r="N167" i="3"/>
  <c r="N167" i="10" s="1"/>
  <c r="L393" i="10"/>
  <c r="N393" i="3"/>
  <c r="N393" i="10" s="1"/>
  <c r="L492" i="10"/>
  <c r="N492" i="3"/>
  <c r="N492" i="10" s="1"/>
  <c r="L460" i="10"/>
  <c r="N460" i="3"/>
  <c r="N460" i="10" s="1"/>
  <c r="L318" i="10"/>
  <c r="N318" i="3"/>
  <c r="N318" i="10" s="1"/>
  <c r="L317" i="10"/>
  <c r="N317" i="3"/>
  <c r="N317" i="10" s="1"/>
  <c r="L35" i="10"/>
  <c r="N35" i="3"/>
  <c r="N35" i="10" s="1"/>
  <c r="L43" i="10"/>
  <c r="N43" i="3"/>
  <c r="N43" i="10" s="1"/>
  <c r="L535" i="10"/>
  <c r="N535" i="3"/>
  <c r="N535" i="10" s="1"/>
  <c r="L488" i="10"/>
  <c r="N488" i="3"/>
  <c r="N488" i="10" s="1"/>
  <c r="L85" i="10"/>
  <c r="N85" i="3"/>
  <c r="N85" i="10" s="1"/>
  <c r="L41" i="10"/>
  <c r="N41" i="3"/>
  <c r="N41" i="10" s="1"/>
  <c r="L153" i="10"/>
  <c r="N153" i="3"/>
  <c r="N153" i="10" s="1"/>
  <c r="L395" i="10"/>
  <c r="N395" i="3"/>
  <c r="N395" i="10" s="1"/>
  <c r="L479" i="10"/>
  <c r="N479" i="3"/>
  <c r="N479" i="10" s="1"/>
  <c r="L458" i="10"/>
  <c r="N458" i="3"/>
  <c r="N458" i="10" s="1"/>
  <c r="N453" i="3"/>
  <c r="N453" i="10" s="1"/>
  <c r="L453" i="10"/>
  <c r="L90" i="10"/>
  <c r="N90" i="3"/>
  <c r="N90" i="10" s="1"/>
  <c r="L320" i="10"/>
  <c r="N320" i="3"/>
  <c r="N320" i="10" s="1"/>
  <c r="L414" i="10"/>
  <c r="N414" i="3"/>
  <c r="N414" i="10" s="1"/>
  <c r="N445" i="3"/>
  <c r="N445" i="10" s="1"/>
  <c r="L445" i="10"/>
  <c r="N421" i="3"/>
  <c r="N421" i="10" s="1"/>
  <c r="L421" i="10"/>
  <c r="L556" i="10"/>
  <c r="N556" i="3"/>
  <c r="N556" i="10" s="1"/>
  <c r="L548" i="10"/>
  <c r="N548" i="3"/>
  <c r="N548" i="10" s="1"/>
  <c r="N561" i="3"/>
  <c r="N561" i="10" s="1"/>
  <c r="L561" i="10"/>
  <c r="L552" i="10"/>
  <c r="N552" i="3"/>
  <c r="N552" i="10" s="1"/>
  <c r="L558" i="10"/>
  <c r="N558" i="3"/>
  <c r="N558" i="10" s="1"/>
  <c r="L559" i="10"/>
  <c r="N559" i="3"/>
  <c r="N559" i="10" s="1"/>
  <c r="N557" i="3"/>
  <c r="N557" i="10" s="1"/>
  <c r="L557" i="10"/>
  <c r="L555" i="10"/>
  <c r="N555" i="3"/>
  <c r="N555" i="10" s="1"/>
  <c r="L560" i="10"/>
  <c r="N560" i="3"/>
  <c r="N560" i="10" s="1"/>
  <c r="L341" i="10"/>
  <c r="N341" i="3"/>
  <c r="N341" i="10" s="1"/>
  <c r="L56" i="10"/>
  <c r="N56" i="3"/>
  <c r="N56" i="10" s="1"/>
  <c r="L11" i="10"/>
  <c r="N11" i="3"/>
  <c r="N11" i="10" s="1"/>
  <c r="L342" i="10"/>
  <c r="N342" i="3"/>
  <c r="N342" i="10" s="1"/>
  <c r="L343" i="10"/>
  <c r="N343" i="3"/>
  <c r="N343" i="10" s="1"/>
  <c r="L321" i="10"/>
  <c r="N321" i="3"/>
  <c r="N321" i="10" s="1"/>
  <c r="L301" i="10"/>
  <c r="N301" i="3"/>
  <c r="N301" i="10" s="1"/>
  <c r="L221" i="10"/>
  <c r="N221" i="3"/>
  <c r="N221" i="10" s="1"/>
  <c r="L219" i="10"/>
  <c r="N219" i="3"/>
  <c r="N219" i="10" s="1"/>
  <c r="L244" i="10"/>
  <c r="N244" i="3"/>
  <c r="N244" i="10" s="1"/>
  <c r="L259" i="10"/>
  <c r="N259" i="3"/>
  <c r="N259" i="10" s="1"/>
  <c r="L57" i="10"/>
  <c r="N57" i="3"/>
  <c r="N57" i="10" s="1"/>
  <c r="L285" i="10"/>
  <c r="N285" i="3"/>
  <c r="N285" i="10" s="1"/>
  <c r="L15" i="10"/>
  <c r="N15" i="3"/>
  <c r="N15" i="10" s="1"/>
  <c r="L201" i="10"/>
  <c r="N201" i="3"/>
  <c r="N201" i="10" s="1"/>
  <c r="L404" i="10"/>
  <c r="N404" i="3"/>
  <c r="N404" i="10" s="1"/>
  <c r="L336" i="10"/>
  <c r="N336" i="3"/>
  <c r="N336" i="10" s="1"/>
  <c r="L170" i="10"/>
  <c r="N170" i="3"/>
  <c r="N170" i="10" s="1"/>
  <c r="L406" i="10"/>
  <c r="N406" i="3"/>
  <c r="N406" i="10" s="1"/>
  <c r="L137" i="10"/>
  <c r="N137" i="3"/>
  <c r="N137" i="10" s="1"/>
  <c r="L374" i="10"/>
  <c r="N374" i="3"/>
  <c r="N374" i="10" s="1"/>
  <c r="N525" i="3"/>
  <c r="N525" i="10" s="1"/>
  <c r="L525" i="10"/>
  <c r="L191" i="10"/>
  <c r="N191" i="3"/>
  <c r="N191" i="10" s="1"/>
  <c r="L376" i="10"/>
  <c r="N376" i="3"/>
  <c r="N376" i="10" s="1"/>
  <c r="L228" i="10"/>
  <c r="N228" i="3"/>
  <c r="N228" i="10" s="1"/>
  <c r="L88" i="10"/>
  <c r="N88" i="3"/>
  <c r="N88" i="10" s="1"/>
  <c r="L144" i="10"/>
  <c r="N144" i="3"/>
  <c r="N144" i="10" s="1"/>
  <c r="N529" i="3"/>
  <c r="N529" i="10" s="1"/>
  <c r="L529" i="10"/>
  <c r="L6" i="10"/>
  <c r="N6" i="3"/>
  <c r="N6" i="10" s="1"/>
  <c r="L415" i="10"/>
  <c r="N415" i="3"/>
  <c r="N415" i="10" s="1"/>
  <c r="L97" i="10"/>
  <c r="N97" i="3"/>
  <c r="N97" i="10" s="1"/>
  <c r="L172" i="10"/>
  <c r="N172" i="3"/>
  <c r="N172" i="10" s="1"/>
  <c r="L131" i="10"/>
  <c r="N131" i="3"/>
  <c r="N131" i="10" s="1"/>
  <c r="L351" i="10"/>
  <c r="N351" i="3"/>
  <c r="N351" i="10" s="1"/>
  <c r="L402" i="10"/>
  <c r="N402" i="3"/>
  <c r="N402" i="10" s="1"/>
  <c r="L237" i="10"/>
  <c r="N237" i="3"/>
  <c r="N237" i="10" s="1"/>
  <c r="N465" i="3"/>
  <c r="N465" i="10" s="1"/>
  <c r="L465" i="10"/>
  <c r="L355" i="10"/>
  <c r="N355" i="3"/>
  <c r="N355" i="10" s="1"/>
  <c r="L330" i="10"/>
  <c r="N330" i="3"/>
  <c r="N330" i="10" s="1"/>
  <c r="N501" i="3"/>
  <c r="N501" i="10" s="1"/>
  <c r="L501" i="10"/>
  <c r="N413" i="3"/>
  <c r="N413" i="10" s="1"/>
  <c r="L413" i="10"/>
  <c r="L326" i="10"/>
  <c r="N326" i="3"/>
  <c r="N326" i="10" s="1"/>
  <c r="L202" i="10"/>
  <c r="N202" i="3"/>
  <c r="N202" i="10" s="1"/>
  <c r="L298" i="10"/>
  <c r="N298" i="3"/>
  <c r="N298" i="10" s="1"/>
  <c r="L29" i="10"/>
  <c r="N29" i="3"/>
  <c r="N29" i="10" s="1"/>
  <c r="N469" i="3"/>
  <c r="N469" i="10" s="1"/>
  <c r="L469" i="10"/>
  <c r="L205" i="10"/>
  <c r="N205" i="3"/>
  <c r="N205" i="10" s="1"/>
  <c r="L19" i="10"/>
  <c r="N19" i="3"/>
  <c r="N19" i="10" s="1"/>
  <c r="L101" i="10"/>
  <c r="N101" i="3"/>
  <c r="N101" i="10" s="1"/>
  <c r="L291" i="10"/>
  <c r="N291" i="3"/>
  <c r="N291" i="10" s="1"/>
  <c r="L364" i="10"/>
  <c r="N364" i="3"/>
  <c r="N364" i="10" s="1"/>
  <c r="L304" i="10"/>
  <c r="N304" i="3"/>
  <c r="N304" i="10" s="1"/>
  <c r="L366" i="10"/>
  <c r="N366" i="3"/>
  <c r="N366" i="10" s="1"/>
  <c r="L197" i="10"/>
  <c r="N197" i="3"/>
  <c r="N197" i="10" s="1"/>
  <c r="L329" i="10"/>
  <c r="N329" i="3"/>
  <c r="N329" i="10" s="1"/>
  <c r="L334" i="10"/>
  <c r="N334" i="3"/>
  <c r="N334" i="10" s="1"/>
  <c r="L218" i="10"/>
  <c r="N218" i="3"/>
  <c r="N218" i="10" s="1"/>
  <c r="L27" i="10"/>
  <c r="N27" i="3"/>
  <c r="N27" i="10" s="1"/>
  <c r="L173" i="10"/>
  <c r="N173" i="3"/>
  <c r="N173" i="10" s="1"/>
  <c r="L8" i="10"/>
  <c r="N8" i="3"/>
  <c r="N8" i="10" s="1"/>
  <c r="L253" i="10"/>
  <c r="N253" i="3"/>
  <c r="N253" i="10" s="1"/>
  <c r="L239" i="10"/>
  <c r="N239" i="3"/>
  <c r="N239" i="10" s="1"/>
  <c r="L502" i="10"/>
  <c r="N502" i="3"/>
  <c r="N502" i="10" s="1"/>
  <c r="L136" i="10"/>
  <c r="N136" i="3"/>
  <c r="N136" i="10" s="1"/>
  <c r="L96" i="10"/>
  <c r="N96" i="3"/>
  <c r="N96" i="10" s="1"/>
  <c r="L534" i="10"/>
  <c r="N534" i="3"/>
  <c r="N534" i="10" s="1"/>
  <c r="L282" i="10"/>
  <c r="N282" i="3"/>
  <c r="N282" i="10" s="1"/>
  <c r="L420" i="10"/>
  <c r="N420" i="3"/>
  <c r="N420" i="10" s="1"/>
  <c r="L175" i="10"/>
  <c r="N175" i="3"/>
  <c r="N175" i="10" s="1"/>
  <c r="L176" i="10"/>
  <c r="N176" i="3"/>
  <c r="N176" i="10" s="1"/>
  <c r="L185" i="10"/>
  <c r="N185" i="3"/>
  <c r="N185" i="10" s="1"/>
  <c r="L30" i="10"/>
  <c r="N30" i="3"/>
  <c r="N30" i="10" s="1"/>
  <c r="L400" i="10"/>
  <c r="N400" i="3"/>
  <c r="N400" i="10" s="1"/>
  <c r="L94" i="10"/>
  <c r="N94" i="3"/>
  <c r="N94" i="10" s="1"/>
  <c r="L159" i="10"/>
  <c r="N159" i="3"/>
  <c r="N159" i="10" s="1"/>
  <c r="L168" i="10"/>
  <c r="N168" i="3"/>
  <c r="N168" i="10" s="1"/>
  <c r="L305" i="10"/>
  <c r="N305" i="3"/>
  <c r="N305" i="10" s="1"/>
  <c r="L347" i="10"/>
  <c r="N347" i="3"/>
  <c r="N347" i="10" s="1"/>
  <c r="L255" i="10"/>
  <c r="N255" i="3"/>
  <c r="N255" i="10" s="1"/>
  <c r="L147" i="10"/>
  <c r="N147" i="3"/>
  <c r="N147" i="10" s="1"/>
  <c r="L385" i="10"/>
  <c r="N385" i="3"/>
  <c r="N385" i="10" s="1"/>
  <c r="L207" i="10"/>
  <c r="N207" i="3"/>
  <c r="N207" i="10" s="1"/>
  <c r="L369" i="10"/>
  <c r="N369" i="3"/>
  <c r="N369" i="10" s="1"/>
  <c r="L368" i="10"/>
  <c r="N368" i="3"/>
  <c r="N368" i="10" s="1"/>
  <c r="L333" i="10"/>
  <c r="N333" i="3"/>
  <c r="N333" i="10" s="1"/>
  <c r="L391" i="10"/>
  <c r="N391" i="3"/>
  <c r="N391" i="10" s="1"/>
  <c r="L20" i="10"/>
  <c r="N20" i="3"/>
  <c r="N20" i="10" s="1"/>
  <c r="L225" i="10"/>
  <c r="N225" i="3"/>
  <c r="N225" i="10" s="1"/>
  <c r="L138" i="10"/>
  <c r="N138" i="3"/>
  <c r="N138" i="10" s="1"/>
  <c r="L371" i="10"/>
  <c r="N371" i="3"/>
  <c r="N371" i="10" s="1"/>
  <c r="L134" i="10"/>
  <c r="N134" i="3"/>
  <c r="N134" i="10" s="1"/>
  <c r="L340" i="10"/>
  <c r="N340" i="3"/>
  <c r="N340" i="10" s="1"/>
  <c r="L247" i="10"/>
  <c r="N247" i="3"/>
  <c r="N247" i="10" s="1"/>
  <c r="L337" i="10"/>
  <c r="N337" i="3"/>
  <c r="N337" i="10" s="1"/>
  <c r="N433" i="3"/>
  <c r="N433" i="10" s="1"/>
  <c r="L433" i="10"/>
  <c r="L338" i="10"/>
  <c r="N338" i="3"/>
  <c r="N338" i="10" s="1"/>
  <c r="L266" i="10"/>
  <c r="N266" i="3"/>
  <c r="N266" i="10" s="1"/>
  <c r="L154" i="10"/>
  <c r="N154" i="3"/>
  <c r="N154" i="10" s="1"/>
  <c r="L518" i="10"/>
  <c r="N518" i="3"/>
  <c r="N518" i="10" s="1"/>
  <c r="L76" i="10"/>
  <c r="N76" i="3"/>
  <c r="N76" i="10" s="1"/>
  <c r="L36" i="10"/>
  <c r="N36" i="3"/>
  <c r="N36" i="10" s="1"/>
  <c r="L46" i="10"/>
  <c r="N46" i="3"/>
  <c r="N46" i="10" s="1"/>
  <c r="L124" i="10"/>
  <c r="N124" i="3"/>
  <c r="N124" i="10" s="1"/>
  <c r="L158" i="10"/>
  <c r="N158" i="3"/>
  <c r="N158" i="10" s="1"/>
  <c r="L125" i="10"/>
  <c r="N125" i="3"/>
  <c r="N125" i="10" s="1"/>
  <c r="L82" i="10"/>
  <c r="N82" i="3"/>
  <c r="N82" i="10" s="1"/>
  <c r="L510" i="10"/>
  <c r="N510" i="3"/>
  <c r="N510" i="10" s="1"/>
  <c r="N481" i="3"/>
  <c r="N481" i="10" s="1"/>
  <c r="L481" i="10"/>
  <c r="L120" i="10"/>
  <c r="N120" i="3"/>
  <c r="N120" i="10" s="1"/>
  <c r="L74" i="10"/>
  <c r="N74" i="3"/>
  <c r="N74" i="10" s="1"/>
  <c r="L496" i="10"/>
  <c r="N496" i="3"/>
  <c r="N496" i="10" s="1"/>
  <c r="L117" i="10"/>
  <c r="N117" i="3"/>
  <c r="N117" i="10" s="1"/>
  <c r="L42" i="10"/>
  <c r="N42" i="3"/>
  <c r="N42" i="10" s="1"/>
  <c r="L478" i="10"/>
  <c r="N478" i="3"/>
  <c r="N478" i="10" s="1"/>
  <c r="L316" i="10"/>
  <c r="N316" i="3"/>
  <c r="N316" i="10" s="1"/>
  <c r="L71" i="10"/>
  <c r="N71" i="3"/>
  <c r="N71" i="10" s="1"/>
  <c r="L81" i="10"/>
  <c r="N81" i="3"/>
  <c r="N81" i="10" s="1"/>
  <c r="L151" i="10"/>
  <c r="N151" i="3"/>
  <c r="N151" i="10" s="1"/>
  <c r="N429" i="3"/>
  <c r="N429" i="10" s="1"/>
  <c r="L429" i="10"/>
  <c r="L426" i="10"/>
  <c r="N426" i="3"/>
  <c r="N426" i="10" s="1"/>
  <c r="L309" i="10"/>
  <c r="N309" i="3"/>
  <c r="N309" i="10" s="1"/>
  <c r="L113" i="10"/>
  <c r="N113" i="3"/>
  <c r="N113" i="10" s="1"/>
  <c r="L163" i="10"/>
  <c r="N163" i="3"/>
  <c r="N163" i="10" s="1"/>
  <c r="L161" i="10"/>
  <c r="N161" i="3"/>
  <c r="N161" i="10" s="1"/>
  <c r="L442" i="10"/>
  <c r="N442" i="3"/>
  <c r="N442" i="10" s="1"/>
  <c r="L315" i="10"/>
  <c r="N315" i="3"/>
  <c r="N315" i="10" s="1"/>
  <c r="L152" i="10"/>
  <c r="N152" i="3"/>
  <c r="N152" i="10" s="1"/>
  <c r="L514" i="10"/>
  <c r="N514" i="3"/>
  <c r="N514" i="10" s="1"/>
  <c r="L357" i="10"/>
  <c r="N357" i="3"/>
  <c r="N357" i="10" s="1"/>
  <c r="L33" i="10"/>
  <c r="N33" i="3"/>
  <c r="N33" i="10" s="1"/>
  <c r="L111" i="10"/>
  <c r="N111" i="3"/>
  <c r="N111" i="10" s="1"/>
  <c r="L155" i="10"/>
  <c r="N155" i="3"/>
  <c r="N155" i="10" s="1"/>
  <c r="L308" i="10"/>
  <c r="N308" i="3"/>
  <c r="N308" i="10" s="1"/>
  <c r="L430" i="10"/>
  <c r="N430" i="3"/>
  <c r="N430" i="10" s="1"/>
  <c r="N489" i="3"/>
  <c r="N489" i="10" s="1"/>
  <c r="L489" i="10"/>
  <c r="L474" i="10"/>
  <c r="N474" i="3"/>
  <c r="N474" i="10" s="1"/>
  <c r="L312" i="10"/>
  <c r="N312" i="3"/>
  <c r="N312" i="10" s="1"/>
  <c r="L40" i="10"/>
  <c r="N40" i="3"/>
  <c r="N40" i="10" s="1"/>
  <c r="L483" i="10"/>
  <c r="N483" i="3"/>
  <c r="N483" i="10" s="1"/>
  <c r="L459" i="10"/>
  <c r="N459" i="3"/>
  <c r="N459" i="10" s="1"/>
  <c r="N441" i="3"/>
  <c r="N441" i="10" s="1"/>
  <c r="L441" i="10"/>
  <c r="L454" i="10"/>
  <c r="N454" i="3"/>
  <c r="N454" i="10" s="1"/>
  <c r="L450" i="10"/>
  <c r="N450" i="3"/>
  <c r="N450" i="10" s="1"/>
  <c r="L436" i="10"/>
  <c r="N436" i="3"/>
  <c r="N436" i="10" s="1"/>
  <c r="N485" i="3"/>
  <c r="N485" i="10" s="1"/>
  <c r="L485" i="10"/>
  <c r="L440" i="10"/>
  <c r="N440" i="3"/>
  <c r="N440" i="10" s="1"/>
  <c r="L345" i="10"/>
  <c r="N345" i="3"/>
  <c r="N345" i="10" s="1"/>
  <c r="L418" i="10"/>
  <c r="N418" i="3"/>
  <c r="N418" i="10" s="1"/>
  <c r="L214" i="10"/>
  <c r="N214" i="3"/>
  <c r="N214" i="10" s="1"/>
  <c r="L384" i="10"/>
  <c r="N384" i="3"/>
  <c r="N384" i="10" s="1"/>
  <c r="L270" i="10"/>
  <c r="N270" i="3"/>
  <c r="N270" i="10" s="1"/>
  <c r="L350" i="10"/>
  <c r="N350" i="3"/>
  <c r="N350" i="10" s="1"/>
  <c r="L267" i="10"/>
  <c r="N267" i="3"/>
  <c r="N267" i="10" s="1"/>
  <c r="N509" i="3"/>
  <c r="N509" i="10" s="1"/>
  <c r="L509" i="10"/>
  <c r="L93" i="10"/>
  <c r="N93" i="3"/>
  <c r="N93" i="10" s="1"/>
  <c r="L463" i="10"/>
  <c r="N463" i="3"/>
  <c r="N463" i="10" s="1"/>
  <c r="L538" i="10"/>
  <c r="N538" i="3"/>
  <c r="N538" i="10" s="1"/>
  <c r="L210" i="10"/>
  <c r="N210" i="3"/>
  <c r="N210" i="10" s="1"/>
  <c r="L12" i="10"/>
  <c r="N12" i="3"/>
  <c r="N12" i="10" s="1"/>
  <c r="L99" i="10"/>
  <c r="N99" i="3"/>
  <c r="N99" i="10" s="1"/>
  <c r="L240" i="10"/>
  <c r="N240" i="3"/>
  <c r="N240" i="10" s="1"/>
  <c r="L386" i="10"/>
  <c r="N386" i="3"/>
  <c r="N386" i="10" s="1"/>
  <c r="L180" i="10"/>
  <c r="N180" i="3"/>
  <c r="N180" i="10" s="1"/>
  <c r="L14" i="10"/>
  <c r="N14" i="3"/>
  <c r="N14" i="10" s="1"/>
  <c r="L512" i="10"/>
  <c r="N512" i="3"/>
  <c r="N512" i="10" s="1"/>
  <c r="L245" i="10"/>
  <c r="N245" i="3"/>
  <c r="N245" i="10" s="1"/>
  <c r="L408" i="10"/>
  <c r="N408" i="3"/>
  <c r="N408" i="10" s="1"/>
  <c r="L269" i="10"/>
  <c r="N269" i="3"/>
  <c r="N269" i="10" s="1"/>
  <c r="L235" i="10"/>
  <c r="N235" i="3"/>
  <c r="N235" i="10" s="1"/>
  <c r="L199" i="10"/>
  <c r="N199" i="3"/>
  <c r="N199" i="10" s="1"/>
  <c r="L327" i="10"/>
  <c r="N327" i="3"/>
  <c r="N327" i="10" s="1"/>
  <c r="L388" i="10"/>
  <c r="N388" i="3"/>
  <c r="N388" i="10" s="1"/>
  <c r="L524" i="10"/>
  <c r="N524" i="3"/>
  <c r="N524" i="10" s="1"/>
  <c r="L491" i="10"/>
  <c r="N491" i="3"/>
  <c r="N491" i="10" s="1"/>
  <c r="L335" i="10"/>
  <c r="N335" i="3"/>
  <c r="N335" i="10" s="1"/>
  <c r="L169" i="10"/>
  <c r="N169" i="3"/>
  <c r="N169" i="10" s="1"/>
  <c r="L107" i="10"/>
  <c r="N107" i="3"/>
  <c r="N107" i="10" s="1"/>
  <c r="L410" i="10"/>
  <c r="N410" i="3"/>
  <c r="N410" i="10" s="1"/>
  <c r="L313" i="10"/>
  <c r="N313" i="3"/>
  <c r="N313" i="10" s="1"/>
  <c r="L362" i="10"/>
  <c r="N362" i="3"/>
  <c r="N362" i="10" s="1"/>
  <c r="L3" i="10"/>
  <c r="N3" i="3"/>
  <c r="N3" i="10" s="1"/>
  <c r="L13" i="10"/>
  <c r="N13" i="3"/>
  <c r="N13" i="10" s="1"/>
  <c r="L135" i="10"/>
  <c r="N135" i="3"/>
  <c r="N135" i="10" s="1"/>
  <c r="L234" i="10"/>
  <c r="N234" i="3"/>
  <c r="N234" i="10" s="1"/>
  <c r="L91" i="10"/>
  <c r="N91" i="3"/>
  <c r="N91" i="10" s="1"/>
  <c r="L412" i="10"/>
  <c r="N412" i="3"/>
  <c r="N412" i="10" s="1"/>
  <c r="L194" i="10"/>
  <c r="N194" i="3"/>
  <c r="N194" i="10" s="1"/>
  <c r="L254" i="10"/>
  <c r="N254" i="3"/>
  <c r="N254" i="10" s="1"/>
  <c r="L213" i="10"/>
  <c r="N213" i="3"/>
  <c r="N213" i="10" s="1"/>
  <c r="L49" i="10"/>
  <c r="N49" i="3"/>
  <c r="N49" i="10" s="1"/>
  <c r="L261" i="10"/>
  <c r="N261" i="3"/>
  <c r="N261" i="10" s="1"/>
  <c r="L299" i="10"/>
  <c r="N299" i="3"/>
  <c r="N299" i="10" s="1"/>
  <c r="L133" i="10"/>
  <c r="N133" i="3"/>
  <c r="N133" i="10" s="1"/>
  <c r="L444" i="10"/>
  <c r="N444" i="3"/>
  <c r="N444" i="10" s="1"/>
  <c r="L389" i="10"/>
  <c r="N389" i="3"/>
  <c r="N389" i="10" s="1"/>
  <c r="L132" i="10"/>
  <c r="N132" i="3"/>
  <c r="N132" i="10" s="1"/>
  <c r="L379" i="10"/>
  <c r="N379" i="3"/>
  <c r="N379" i="10" s="1"/>
  <c r="L92" i="10"/>
  <c r="N92" i="3"/>
  <c r="N92" i="10" s="1"/>
  <c r="L325" i="10"/>
  <c r="N325" i="3"/>
  <c r="N325" i="10" s="1"/>
  <c r="L140" i="10"/>
  <c r="N140" i="3"/>
  <c r="N140" i="10" s="1"/>
  <c r="L58" i="10"/>
  <c r="N58" i="3"/>
  <c r="N58" i="10" s="1"/>
  <c r="L272" i="10"/>
  <c r="N272" i="3"/>
  <c r="N272" i="10" s="1"/>
  <c r="L110" i="10"/>
  <c r="N110" i="3"/>
  <c r="N110" i="10" s="1"/>
  <c r="L399" i="10"/>
  <c r="N399" i="3"/>
  <c r="N399" i="10" s="1"/>
  <c r="L265" i="10"/>
  <c r="N265" i="3"/>
  <c r="N265" i="10" s="1"/>
  <c r="L222" i="10"/>
  <c r="N222" i="3"/>
  <c r="N222" i="10" s="1"/>
  <c r="L195" i="10"/>
  <c r="N195" i="3"/>
  <c r="N195" i="10" s="1"/>
  <c r="L232" i="10"/>
  <c r="N232" i="3"/>
  <c r="N232" i="10" s="1"/>
  <c r="L297" i="10"/>
  <c r="N297" i="3"/>
  <c r="N297" i="10" s="1"/>
  <c r="L522" i="10"/>
  <c r="N522" i="3"/>
  <c r="N522" i="10" s="1"/>
  <c r="L411" i="10"/>
  <c r="N411" i="3"/>
  <c r="N411" i="10" s="1"/>
  <c r="L352" i="10"/>
  <c r="N352" i="3"/>
  <c r="N352" i="10" s="1"/>
  <c r="L280" i="10"/>
  <c r="N280" i="3"/>
  <c r="N280" i="10" s="1"/>
  <c r="L236" i="10"/>
  <c r="N236" i="3"/>
  <c r="N236" i="10" s="1"/>
  <c r="L217" i="10"/>
  <c r="N217" i="3"/>
  <c r="N217" i="10" s="1"/>
  <c r="L230" i="10"/>
  <c r="N230" i="3"/>
  <c r="N230" i="10" s="1"/>
  <c r="L287" i="10"/>
  <c r="N287" i="3"/>
  <c r="N287" i="10" s="1"/>
  <c r="L182" i="10"/>
  <c r="N182" i="3"/>
  <c r="N182" i="10" s="1"/>
  <c r="L198" i="10"/>
  <c r="N198" i="3"/>
  <c r="N198" i="10" s="1"/>
  <c r="L300" i="10"/>
  <c r="N300" i="3"/>
  <c r="N300" i="10" s="1"/>
  <c r="L216" i="10"/>
  <c r="N216" i="3"/>
  <c r="N216" i="10" s="1"/>
  <c r="L61" i="10"/>
  <c r="N61" i="3"/>
  <c r="N61" i="10" s="1"/>
  <c r="L372" i="10"/>
  <c r="N372" i="3"/>
  <c r="N372" i="10" s="1"/>
  <c r="L174" i="10"/>
  <c r="N174" i="3"/>
  <c r="N174" i="10" s="1"/>
  <c r="L66" i="10"/>
  <c r="N66" i="3"/>
  <c r="N66" i="10" s="1"/>
  <c r="L438" i="10"/>
  <c r="N438" i="3"/>
  <c r="N438" i="10" s="1"/>
  <c r="L130" i="10"/>
  <c r="N130" i="3"/>
  <c r="N130" i="10" s="1"/>
  <c r="L279" i="10"/>
  <c r="N279" i="3"/>
  <c r="N279" i="10" s="1"/>
  <c r="L258" i="10"/>
  <c r="N258" i="3"/>
  <c r="N258" i="10" s="1"/>
  <c r="L288" i="10"/>
  <c r="N288" i="3"/>
  <c r="N288" i="10" s="1"/>
  <c r="L281" i="10"/>
  <c r="N281" i="3"/>
  <c r="N281" i="10" s="1"/>
  <c r="L263" i="10"/>
  <c r="N263" i="3"/>
  <c r="N263" i="10" s="1"/>
  <c r="L503" i="10"/>
  <c r="N503" i="3"/>
  <c r="N503" i="10" s="1"/>
  <c r="L271" i="10"/>
  <c r="N271" i="3"/>
  <c r="N271" i="10" s="1"/>
  <c r="L526" i="10"/>
  <c r="N526" i="3"/>
  <c r="N526" i="10" s="1"/>
  <c r="L162" i="10"/>
  <c r="N162" i="3"/>
  <c r="N162" i="10" s="1"/>
  <c r="L86" i="10"/>
  <c r="N86" i="3"/>
  <c r="N86" i="10" s="1"/>
  <c r="L116" i="10"/>
  <c r="N116" i="3"/>
  <c r="N116" i="10" s="1"/>
  <c r="L38" i="10"/>
  <c r="N38" i="3"/>
  <c r="N38" i="10" s="1"/>
  <c r="L70" i="10"/>
  <c r="N70" i="3"/>
  <c r="N70" i="10" s="1"/>
  <c r="L128" i="10"/>
  <c r="N128" i="3"/>
  <c r="N128" i="10" s="1"/>
  <c r="L508" i="10"/>
  <c r="N508" i="3"/>
  <c r="N508" i="10" s="1"/>
  <c r="L470" i="10"/>
  <c r="N470" i="3"/>
  <c r="N470" i="10" s="1"/>
  <c r="L274" i="10"/>
  <c r="N274" i="3"/>
  <c r="N274" i="10" s="1"/>
  <c r="L114" i="10"/>
  <c r="N114" i="3"/>
  <c r="N114" i="10" s="1"/>
  <c r="L447" i="10"/>
  <c r="N447" i="3"/>
  <c r="N447" i="10" s="1"/>
  <c r="N493" i="3"/>
  <c r="N493" i="10" s="1"/>
  <c r="L493" i="10"/>
  <c r="N513" i="3"/>
  <c r="N513" i="10" s="1"/>
  <c r="L513" i="10"/>
  <c r="L150" i="10"/>
  <c r="N150" i="3"/>
  <c r="N150" i="10" s="1"/>
  <c r="L466" i="10"/>
  <c r="N466" i="3"/>
  <c r="N466" i="10" s="1"/>
  <c r="L356" i="10"/>
  <c r="N356" i="3"/>
  <c r="N356" i="10" s="1"/>
  <c r="L443" i="10"/>
  <c r="N443" i="3"/>
  <c r="N443" i="10" s="1"/>
  <c r="L520" i="10"/>
  <c r="N520" i="3"/>
  <c r="N520" i="10" s="1"/>
  <c r="L495" i="10"/>
  <c r="N495" i="3"/>
  <c r="N495" i="10" s="1"/>
  <c r="L223" i="10"/>
  <c r="N223" i="3"/>
  <c r="N223" i="10" s="1"/>
  <c r="L539" i="10"/>
  <c r="N539" i="3"/>
  <c r="N539" i="10" s="1"/>
  <c r="L45" i="10"/>
  <c r="N45" i="3"/>
  <c r="N45" i="10" s="1"/>
  <c r="L157" i="10"/>
  <c r="N157" i="3"/>
  <c r="N157" i="10" s="1"/>
  <c r="L119" i="10"/>
  <c r="N119" i="3"/>
  <c r="N119" i="10" s="1"/>
  <c r="L37" i="10"/>
  <c r="N37" i="3"/>
  <c r="N37" i="10" s="1"/>
  <c r="L121" i="10"/>
  <c r="N121" i="3"/>
  <c r="N121" i="10" s="1"/>
  <c r="L428" i="10"/>
  <c r="N428" i="3"/>
  <c r="N428" i="10" s="1"/>
  <c r="L358" i="10"/>
  <c r="N358" i="3"/>
  <c r="N358" i="10" s="1"/>
  <c r="L122" i="10"/>
  <c r="N122" i="3"/>
  <c r="N122" i="10" s="1"/>
  <c r="L394" i="10"/>
  <c r="N394" i="3"/>
  <c r="N394" i="10" s="1"/>
  <c r="N537" i="3"/>
  <c r="N537" i="10" s="1"/>
  <c r="L537" i="10"/>
  <c r="L310" i="10"/>
  <c r="N310" i="3"/>
  <c r="N310" i="10" s="1"/>
  <c r="L73" i="10"/>
  <c r="N73" i="3"/>
  <c r="N73" i="10" s="1"/>
  <c r="L115" i="10"/>
  <c r="N115" i="3"/>
  <c r="N115" i="10" s="1"/>
  <c r="L536" i="10"/>
  <c r="N536" i="3"/>
  <c r="N536" i="10" s="1"/>
  <c r="L504" i="10"/>
  <c r="N504" i="3"/>
  <c r="N504" i="10" s="1"/>
  <c r="L498" i="10"/>
  <c r="N498" i="3"/>
  <c r="N498" i="10" s="1"/>
  <c r="L432" i="10"/>
  <c r="N432" i="3"/>
  <c r="N432" i="10" s="1"/>
  <c r="N425" i="3"/>
  <c r="N425" i="10" s="1"/>
  <c r="L425" i="10"/>
  <c r="N417" i="3"/>
  <c r="N417" i="10" s="1"/>
  <c r="L417" i="10"/>
  <c r="N517" i="3"/>
  <c r="N517" i="10" s="1"/>
  <c r="L517" i="10"/>
  <c r="L507" i="10"/>
  <c r="N507" i="3"/>
  <c r="N507" i="10" s="1"/>
  <c r="L511" i="10"/>
  <c r="N511" i="3"/>
  <c r="N511" i="10" s="1"/>
  <c r="L547" i="10"/>
  <c r="N547" i="3"/>
  <c r="N547" i="10" s="1"/>
  <c r="L543" i="10"/>
  <c r="N543" i="3"/>
  <c r="N543" i="10" s="1"/>
  <c r="L551" i="10"/>
  <c r="N551" i="3"/>
  <c r="N551" i="10" s="1"/>
  <c r="L39" i="10"/>
  <c r="N39" i="3"/>
  <c r="N39" i="10" s="1"/>
  <c r="L422" i="10"/>
  <c r="N422" i="3"/>
  <c r="N422" i="10" s="1"/>
  <c r="L183" i="10"/>
  <c r="N183" i="3"/>
  <c r="N183" i="10" s="1"/>
  <c r="L25" i="10"/>
  <c r="N25" i="3"/>
  <c r="N25" i="10" s="1"/>
  <c r="L390" i="10"/>
  <c r="N390" i="3"/>
  <c r="N390" i="10" s="1"/>
  <c r="L276" i="10"/>
  <c r="N276" i="3"/>
  <c r="N276" i="10" s="1"/>
  <c r="N477" i="3"/>
  <c r="N477" i="10" s="1"/>
  <c r="L477" i="10"/>
  <c r="L293" i="10"/>
  <c r="N293" i="3"/>
  <c r="N293" i="10" s="1"/>
  <c r="L189" i="10"/>
  <c r="N189" i="3"/>
  <c r="N189" i="10" s="1"/>
  <c r="N437" i="3"/>
  <c r="N437" i="10" s="1"/>
  <c r="L437" i="10"/>
  <c r="L349" i="10"/>
  <c r="N349" i="3"/>
  <c r="N349" i="10" s="1"/>
  <c r="L105" i="10"/>
  <c r="N105" i="3"/>
  <c r="N105" i="10" s="1"/>
  <c r="L55" i="10"/>
  <c r="N55" i="3"/>
  <c r="N55" i="10" s="1"/>
  <c r="L227" i="10"/>
  <c r="N227" i="3"/>
  <c r="N227" i="10" s="1"/>
  <c r="L278" i="10"/>
  <c r="N278" i="3"/>
  <c r="N278" i="10" s="1"/>
  <c r="L50" i="10"/>
  <c r="N50" i="3"/>
  <c r="N50" i="10" s="1"/>
  <c r="L18" i="10"/>
  <c r="N18" i="3"/>
  <c r="N18" i="10" s="1"/>
  <c r="L48" i="10"/>
  <c r="N48" i="3"/>
  <c r="N48" i="10" s="1"/>
  <c r="L419" i="10"/>
  <c r="N419" i="3"/>
  <c r="N419" i="10" s="1"/>
  <c r="N497" i="3"/>
  <c r="N497" i="10" s="1"/>
  <c r="L497" i="10"/>
  <c r="L519" i="10"/>
  <c r="N519" i="3"/>
  <c r="N519" i="10" s="1"/>
  <c r="L2" i="10"/>
  <c r="N2" i="3"/>
  <c r="N2" i="10" s="1"/>
  <c r="L10" i="10"/>
  <c r="N10" i="3"/>
  <c r="N10" i="10" s="1"/>
  <c r="L146" i="10"/>
  <c r="N146" i="3"/>
  <c r="N146" i="10" s="1"/>
  <c r="L32" i="10"/>
  <c r="N32" i="3"/>
  <c r="N32" i="10" s="1"/>
  <c r="L204" i="10"/>
  <c r="N204" i="3"/>
  <c r="N204" i="10" s="1"/>
  <c r="L307" i="10"/>
  <c r="N307" i="3"/>
  <c r="N307" i="10" s="1"/>
  <c r="L262" i="10"/>
  <c r="N262" i="3"/>
  <c r="N262" i="10" s="1"/>
  <c r="L431" i="10"/>
  <c r="N431" i="3"/>
  <c r="N431" i="10" s="1"/>
  <c r="L21" i="10"/>
  <c r="N21" i="3"/>
  <c r="N21" i="10" s="1"/>
  <c r="L139" i="10"/>
  <c r="N139" i="3"/>
  <c r="N139" i="10" s="1"/>
  <c r="L188" i="10"/>
  <c r="N188" i="3"/>
  <c r="N188" i="10" s="1"/>
  <c r="L186" i="10"/>
  <c r="N186" i="3"/>
  <c r="N186" i="10" s="1"/>
  <c r="N461" i="3"/>
  <c r="N461" i="10" s="1"/>
  <c r="L461" i="10"/>
  <c r="L212" i="10"/>
  <c r="N212" i="3"/>
  <c r="N212" i="10" s="1"/>
  <c r="L16" i="10"/>
  <c r="N16" i="3"/>
  <c r="N16" i="10" s="1"/>
  <c r="L109" i="10"/>
  <c r="N109" i="3"/>
  <c r="N109" i="10" s="1"/>
  <c r="L378" i="10"/>
  <c r="N378" i="3"/>
  <c r="N378" i="10" s="1"/>
  <c r="L294" i="10"/>
  <c r="N294" i="3"/>
  <c r="N294" i="10" s="1"/>
  <c r="L65" i="10"/>
  <c r="N65" i="3"/>
  <c r="N65" i="10" s="1"/>
  <c r="L302" i="10"/>
  <c r="N302" i="3"/>
  <c r="N302" i="10" s="1"/>
  <c r="L260" i="10"/>
  <c r="N260" i="3"/>
  <c r="N260" i="10" s="1"/>
  <c r="L283" i="10"/>
  <c r="N283" i="3"/>
  <c r="N283" i="10" s="1"/>
  <c r="L246" i="10"/>
  <c r="N246" i="3"/>
  <c r="N246" i="10" s="1"/>
  <c r="L243" i="10"/>
  <c r="N243" i="3"/>
  <c r="N243" i="10" s="1"/>
  <c r="L95" i="10"/>
  <c r="N95" i="3"/>
  <c r="N95" i="10" s="1"/>
  <c r="L23" i="10"/>
  <c r="N23" i="3"/>
  <c r="N23" i="10" s="1"/>
  <c r="L241" i="10"/>
  <c r="N241" i="3"/>
  <c r="N241" i="10" s="1"/>
  <c r="L220" i="10"/>
  <c r="N220" i="3"/>
  <c r="N220" i="10" s="1"/>
  <c r="L475" i="10"/>
  <c r="N475" i="3"/>
  <c r="N475" i="10" s="1"/>
  <c r="L377" i="10"/>
  <c r="N377" i="3"/>
  <c r="N377" i="10" s="1"/>
  <c r="L284" i="10"/>
  <c r="N284" i="3"/>
  <c r="N284" i="10" s="1"/>
  <c r="L5" i="10"/>
  <c r="N5" i="3"/>
  <c r="N5" i="10" s="1"/>
  <c r="L63" i="10"/>
  <c r="N63" i="3"/>
  <c r="N63" i="10" s="1"/>
  <c r="L59" i="10"/>
  <c r="N59" i="3"/>
  <c r="N59" i="10" s="1"/>
  <c r="L427" i="10"/>
  <c r="N427" i="3"/>
  <c r="N427" i="10" s="1"/>
  <c r="L295" i="10"/>
  <c r="N295" i="3"/>
  <c r="N295" i="10" s="1"/>
  <c r="L22" i="10"/>
  <c r="N22" i="3"/>
  <c r="N22" i="10" s="1"/>
  <c r="L141" i="10"/>
  <c r="N141" i="3"/>
  <c r="N141" i="10" s="1"/>
  <c r="L314" i="10"/>
  <c r="N314" i="3"/>
  <c r="N314" i="10" s="1"/>
  <c r="L108" i="10"/>
  <c r="N108" i="3"/>
  <c r="N108" i="10" s="1"/>
  <c r="L64" i="10"/>
  <c r="N64" i="3"/>
  <c r="N64" i="10" s="1"/>
  <c r="L331" i="10"/>
  <c r="N331" i="3"/>
  <c r="N331" i="10" s="1"/>
  <c r="L224" i="10"/>
  <c r="N224" i="3"/>
  <c r="N224" i="10" s="1"/>
  <c r="L54" i="10"/>
  <c r="N54" i="3"/>
  <c r="N54" i="10" s="1"/>
  <c r="L530" i="10"/>
  <c r="N530" i="3"/>
  <c r="N530" i="10" s="1"/>
  <c r="L383" i="10"/>
  <c r="N383" i="3"/>
  <c r="N383" i="10" s="1"/>
  <c r="L106" i="10"/>
  <c r="N106" i="3"/>
  <c r="N106" i="10" s="1"/>
  <c r="L370" i="10"/>
  <c r="N370" i="3"/>
  <c r="N370" i="10" s="1"/>
  <c r="L339" i="10"/>
  <c r="N339" i="3"/>
  <c r="N339" i="10" s="1"/>
  <c r="L206" i="10"/>
  <c r="N206" i="3"/>
  <c r="N206" i="10" s="1"/>
  <c r="L323" i="10"/>
  <c r="N323" i="3"/>
  <c r="N323" i="10" s="1"/>
  <c r="L193" i="10"/>
  <c r="N193" i="3"/>
  <c r="N193" i="10" s="1"/>
  <c r="L52" i="10"/>
  <c r="N52" i="3"/>
  <c r="N52" i="10" s="1"/>
  <c r="L435" i="10"/>
  <c r="N435" i="3"/>
  <c r="N435" i="10" s="1"/>
  <c r="L324" i="10"/>
  <c r="N324" i="3"/>
  <c r="N324" i="10" s="1"/>
  <c r="L248" i="10"/>
  <c r="N248" i="3"/>
  <c r="N248" i="10" s="1"/>
  <c r="L208" i="10"/>
  <c r="N208" i="3"/>
  <c r="N208" i="10" s="1"/>
  <c r="L231" i="10"/>
  <c r="N231" i="3"/>
  <c r="N231" i="10" s="1"/>
  <c r="L250" i="10"/>
  <c r="N250" i="3"/>
  <c r="N250" i="10" s="1"/>
  <c r="L348" i="10"/>
  <c r="N348" i="3"/>
  <c r="N348" i="10" s="1"/>
  <c r="L200" i="10"/>
  <c r="N200" i="3"/>
  <c r="N200" i="10" s="1"/>
  <c r="L215" i="10"/>
  <c r="N215" i="3"/>
  <c r="N215" i="10" s="1"/>
  <c r="L367" i="10"/>
  <c r="N367" i="3"/>
  <c r="N367" i="10" s="1"/>
  <c r="L209" i="10"/>
  <c r="N209" i="3"/>
  <c r="N209" i="10" s="1"/>
  <c r="L387" i="10"/>
  <c r="N387" i="3"/>
  <c r="N387" i="10" s="1"/>
  <c r="L249" i="10"/>
  <c r="N249" i="3"/>
  <c r="N249" i="10" s="1"/>
  <c r="L242" i="10"/>
  <c r="N242" i="3"/>
  <c r="N242" i="10" s="1"/>
  <c r="L360" i="10"/>
  <c r="N360" i="3"/>
  <c r="N360" i="10" s="1"/>
  <c r="L273" i="10"/>
  <c r="N273" i="3"/>
  <c r="N273" i="10" s="1"/>
  <c r="L34" i="10"/>
  <c r="N34" i="3"/>
  <c r="N34" i="10" s="1"/>
  <c r="L44" i="10"/>
  <c r="N44" i="3"/>
  <c r="N44" i="10" s="1"/>
  <c r="L123" i="10"/>
  <c r="N123" i="3"/>
  <c r="N123" i="10" s="1"/>
  <c r="L311" i="10"/>
  <c r="N311" i="3"/>
  <c r="N311" i="10" s="1"/>
  <c r="L156" i="10"/>
  <c r="N156" i="3"/>
  <c r="N156" i="10" s="1"/>
  <c r="L78" i="10"/>
  <c r="N78" i="3"/>
  <c r="N78" i="10" s="1"/>
  <c r="L319" i="10"/>
  <c r="N319" i="3"/>
  <c r="N319" i="10" s="1"/>
  <c r="L80" i="10"/>
  <c r="N80" i="3"/>
  <c r="N80" i="10" s="1"/>
  <c r="L126" i="10"/>
  <c r="N126" i="3"/>
  <c r="N126" i="10" s="1"/>
  <c r="L515" i="10"/>
  <c r="N515" i="3"/>
  <c r="N515" i="10" s="1"/>
  <c r="L468" i="10"/>
  <c r="N468" i="3"/>
  <c r="N468" i="10" s="1"/>
  <c r="L84" i="10"/>
  <c r="N84" i="3"/>
  <c r="N84" i="10" s="1"/>
  <c r="L516" i="10"/>
  <c r="N516" i="3"/>
  <c r="N516" i="10" s="1"/>
  <c r="L482" i="10"/>
  <c r="N482" i="3"/>
  <c r="N482" i="10" s="1"/>
  <c r="L446" i="10"/>
  <c r="N446" i="3"/>
  <c r="N446" i="10" s="1"/>
  <c r="L47" i="10"/>
  <c r="N47" i="3"/>
  <c r="N47" i="10" s="1"/>
  <c r="L165" i="10"/>
  <c r="N165" i="3"/>
  <c r="N165" i="10" s="1"/>
  <c r="L484" i="10"/>
  <c r="N484" i="3"/>
  <c r="N484" i="10" s="1"/>
  <c r="L396" i="10"/>
  <c r="N396" i="3"/>
  <c r="N396" i="10" s="1"/>
  <c r="L77" i="10"/>
  <c r="N77" i="3"/>
  <c r="N77" i="10" s="1"/>
  <c r="L75" i="10"/>
  <c r="N75" i="3"/>
  <c r="N75" i="10" s="1"/>
  <c r="L149" i="10"/>
  <c r="N149" i="3"/>
  <c r="N149" i="10" s="1"/>
  <c r="L397" i="10"/>
  <c r="N397" i="3"/>
  <c r="N397" i="10" s="1"/>
  <c r="L83" i="10"/>
  <c r="N83" i="3"/>
  <c r="N83" i="10" s="1"/>
  <c r="N533" i="3"/>
  <c r="N533" i="10" s="1"/>
  <c r="L533" i="10"/>
  <c r="L487" i="10"/>
  <c r="N487" i="3"/>
  <c r="N487" i="10" s="1"/>
  <c r="L448" i="10"/>
  <c r="N448" i="3"/>
  <c r="N448" i="10" s="1"/>
  <c r="L361" i="10"/>
  <c r="N361" i="3"/>
  <c r="N361" i="10" s="1"/>
  <c r="L434" i="10"/>
  <c r="N434" i="3"/>
  <c r="N434" i="10" s="1"/>
  <c r="L540" i="10"/>
  <c r="N540" i="3"/>
  <c r="N540" i="10" s="1"/>
  <c r="L275" i="10"/>
  <c r="N275" i="3"/>
  <c r="N275" i="10" s="1"/>
  <c r="L69" i="10"/>
  <c r="N69" i="3"/>
  <c r="N69" i="10" s="1"/>
  <c r="L490" i="10"/>
  <c r="N490" i="3"/>
  <c r="N490" i="10" s="1"/>
  <c r="N457" i="3"/>
  <c r="N457" i="10" s="1"/>
  <c r="L457" i="10"/>
  <c r="L28" i="10"/>
  <c r="N28" i="3"/>
  <c r="N28" i="10" s="1"/>
  <c r="L451" i="10"/>
  <c r="N451" i="3"/>
  <c r="N451" i="10" s="1"/>
  <c r="L455" i="10"/>
  <c r="N455" i="3"/>
  <c r="N455" i="10" s="1"/>
  <c r="L456" i="10"/>
  <c r="N456" i="3"/>
  <c r="N456" i="10" s="1"/>
  <c r="L452" i="10"/>
  <c r="N452" i="3"/>
  <c r="N452" i="10" s="1"/>
  <c r="L528" i="10"/>
  <c r="N528" i="3"/>
  <c r="N528" i="10" s="1"/>
  <c r="N449" i="3"/>
  <c r="N449" i="10" s="1"/>
  <c r="L449" i="10"/>
  <c r="L546" i="10"/>
  <c r="N546" i="3"/>
  <c r="N546" i="10" s="1"/>
  <c r="M546" i="10"/>
  <c r="Q614" i="3"/>
  <c r="Q614" i="10" s="1"/>
  <c r="Q560" i="3"/>
  <c r="Q560" i="10" s="1"/>
  <c r="Q586" i="3"/>
  <c r="Q586" i="10" s="1"/>
  <c r="Q611" i="3"/>
  <c r="Q611" i="10" s="1"/>
  <c r="Q613" i="3"/>
  <c r="Q613" i="10" s="1"/>
  <c r="Q582" i="3"/>
  <c r="Q582" i="10" s="1"/>
  <c r="Q558" i="3"/>
  <c r="Q558" i="10" s="1"/>
  <c r="Q610" i="3"/>
  <c r="Q610" i="10" s="1"/>
  <c r="Q588" i="3"/>
  <c r="Q588" i="10" s="1"/>
  <c r="Q629" i="3"/>
  <c r="Q629" i="10" s="1"/>
  <c r="Q638" i="3"/>
  <c r="Q638" i="10" s="1"/>
  <c r="Q597" i="3"/>
  <c r="Q597" i="10" s="1"/>
  <c r="Q605" i="3"/>
  <c r="Q605" i="10" s="1"/>
  <c r="Q630" i="3"/>
  <c r="Q630" i="10" s="1"/>
  <c r="Q570" i="3"/>
  <c r="Q570" i="10" s="1"/>
  <c r="Q58" i="3"/>
  <c r="Q58" i="10" s="1"/>
  <c r="Q691" i="3"/>
  <c r="Q691" i="10" s="1"/>
  <c r="Q24" i="3"/>
  <c r="Q24" i="10" s="1"/>
  <c r="Q650" i="3"/>
  <c r="Q650" i="10" s="1"/>
  <c r="Q718" i="3"/>
  <c r="Q718" i="10" s="1"/>
  <c r="Q663" i="3"/>
  <c r="Q663" i="10" s="1"/>
  <c r="Q792" i="3"/>
  <c r="Q792" i="10" s="1"/>
  <c r="Q861" i="3"/>
  <c r="Q861" i="10" s="1"/>
  <c r="Q968" i="3"/>
  <c r="Q968" i="10" s="1"/>
  <c r="Q881" i="3"/>
  <c r="Q881" i="10" s="1"/>
  <c r="Q647" i="3"/>
  <c r="Q647" i="10" s="1"/>
  <c r="Q676" i="3"/>
  <c r="Q676" i="10" s="1"/>
  <c r="Q767" i="3"/>
  <c r="Q767" i="10" s="1"/>
  <c r="Q789" i="3"/>
  <c r="Q789" i="10" s="1"/>
  <c r="Q928" i="3"/>
  <c r="Q928" i="10" s="1"/>
  <c r="Q658" i="3"/>
  <c r="Q658" i="10" s="1"/>
  <c r="Q782" i="3"/>
  <c r="Q782" i="10" s="1"/>
  <c r="Q758" i="3"/>
  <c r="Q758" i="10" s="1"/>
  <c r="Q712" i="3"/>
  <c r="Q712" i="10" s="1"/>
  <c r="Q811" i="3"/>
  <c r="Q811" i="10" s="1"/>
  <c r="Q936" i="3"/>
  <c r="Q936" i="10" s="1"/>
  <c r="Q825" i="3"/>
  <c r="Q825" i="10" s="1"/>
  <c r="Q655" i="3"/>
  <c r="Q655" i="10" s="1"/>
  <c r="Q760" i="3"/>
  <c r="Q760" i="10" s="1"/>
  <c r="Q722" i="3"/>
  <c r="Q722" i="10" s="1"/>
  <c r="Q887" i="3"/>
  <c r="Q887" i="10" s="1"/>
  <c r="Q678" i="3"/>
  <c r="Q678" i="10" s="1"/>
  <c r="Q932" i="3"/>
  <c r="Q932" i="10" s="1"/>
  <c r="Q850" i="3"/>
  <c r="Q850" i="10" s="1"/>
  <c r="Q939" i="3"/>
  <c r="Q939" i="10" s="1"/>
  <c r="Q802" i="3"/>
  <c r="Q802" i="10" s="1"/>
  <c r="Q838" i="3"/>
  <c r="Q838" i="10" s="1"/>
  <c r="Q729" i="3"/>
  <c r="Q729" i="10" s="1"/>
  <c r="Q649" i="3"/>
  <c r="Q649" i="10" s="1"/>
  <c r="Q832" i="3"/>
  <c r="Q832" i="10" s="1"/>
  <c r="Q641" i="3"/>
  <c r="Q641" i="10" s="1"/>
  <c r="Q862" i="3"/>
  <c r="Q862" i="10" s="1"/>
  <c r="Q804" i="3"/>
  <c r="Q804" i="10" s="1"/>
  <c r="Q727" i="3"/>
  <c r="Q727" i="10" s="1"/>
  <c r="Q821" i="3"/>
  <c r="Q821" i="10" s="1"/>
  <c r="Q952" i="3"/>
  <c r="Q952" i="10" s="1"/>
  <c r="Q679" i="3"/>
  <c r="Q679" i="10" s="1"/>
  <c r="Q786" i="3"/>
  <c r="Q786" i="10" s="1"/>
  <c r="Q900" i="3"/>
  <c r="Q900" i="10" s="1"/>
  <c r="Q680" i="3"/>
  <c r="Q680" i="10" s="1"/>
  <c r="Q966" i="3"/>
  <c r="Q966" i="10" s="1"/>
  <c r="Q701" i="3"/>
  <c r="Q701" i="10" s="1"/>
  <c r="Q842" i="3"/>
  <c r="Q842" i="10" s="1"/>
  <c r="Q927" i="3"/>
  <c r="Q927" i="10" s="1"/>
  <c r="Q915" i="3"/>
  <c r="Q915" i="10" s="1"/>
  <c r="Q856" i="3"/>
  <c r="Q856" i="10" s="1"/>
  <c r="Q975" i="3"/>
  <c r="Q975" i="10" s="1"/>
  <c r="Q822" i="3"/>
  <c r="Q822" i="10" s="1"/>
  <c r="Q741" i="3"/>
  <c r="Q741" i="10" s="1"/>
  <c r="Q846" i="3"/>
  <c r="Q846" i="10" s="1"/>
  <c r="Q980" i="3"/>
  <c r="Q980" i="10" s="1"/>
  <c r="Q923" i="3"/>
  <c r="Q923" i="10" s="1"/>
  <c r="Q719" i="3"/>
  <c r="Q719" i="10" s="1"/>
  <c r="Q793" i="3"/>
  <c r="Q793" i="10" s="1"/>
  <c r="Q871" i="3"/>
  <c r="Q871" i="10" s="1"/>
  <c r="Q639" i="3"/>
  <c r="Q639" i="10" s="1"/>
  <c r="Q711" i="3"/>
  <c r="Q711" i="10" s="1"/>
  <c r="Q859" i="3"/>
  <c r="Q859" i="10" s="1"/>
  <c r="Q753" i="3"/>
  <c r="Q753" i="10" s="1"/>
  <c r="Q749" i="3"/>
  <c r="Q749" i="10" s="1"/>
  <c r="Q866" i="3"/>
  <c r="Q866" i="10" s="1"/>
  <c r="Q898" i="3"/>
  <c r="Q898" i="10" s="1"/>
  <c r="Q781" i="3"/>
  <c r="Q781" i="10" s="1"/>
  <c r="Q657" i="3"/>
  <c r="Q657" i="10" s="1"/>
  <c r="Q929" i="3"/>
  <c r="Q929" i="10" s="1"/>
  <c r="Q911" i="3"/>
  <c r="Q911" i="10" s="1"/>
  <c r="Q643" i="3"/>
  <c r="Q643" i="10" s="1"/>
  <c r="Q699" i="3"/>
  <c r="Q699" i="10" s="1"/>
  <c r="Q872" i="3"/>
  <c r="Q872" i="10" s="1"/>
  <c r="Q988" i="3"/>
  <c r="Q988" i="10" s="1"/>
  <c r="Q717" i="3"/>
  <c r="Q717" i="10" s="1"/>
  <c r="Q847" i="3"/>
  <c r="Q847" i="10" s="1"/>
  <c r="Q819" i="3"/>
  <c r="Q819" i="10" s="1"/>
  <c r="Q191" i="3"/>
  <c r="Q191" i="10" s="1"/>
  <c r="Q907" i="3"/>
  <c r="Q907" i="10" s="1"/>
  <c r="Q778" i="3"/>
  <c r="Q778" i="10" s="1"/>
  <c r="Q50" i="3"/>
  <c r="Q50" i="10" s="1"/>
  <c r="Q812" i="3"/>
  <c r="Q812" i="10" s="1"/>
  <c r="Q972" i="3"/>
  <c r="Q972" i="10" s="1"/>
  <c r="Q689" i="3"/>
  <c r="Q689" i="10" s="1"/>
  <c r="Q924" i="3"/>
  <c r="Q924" i="10" s="1"/>
  <c r="Q698" i="3"/>
  <c r="Q698" i="10" s="1"/>
  <c r="Q987" i="3"/>
  <c r="Q987" i="10" s="1"/>
  <c r="Q303" i="3"/>
  <c r="Q303" i="10" s="1"/>
  <c r="Q844" i="3"/>
  <c r="Q844" i="10" s="1"/>
  <c r="Q785" i="3"/>
  <c r="Q785" i="10" s="1"/>
  <c r="Q1000" i="3"/>
  <c r="Q1000" i="10" s="1"/>
  <c r="Q858" i="3"/>
  <c r="Q858" i="10" s="1"/>
  <c r="Q808" i="3"/>
  <c r="Q808" i="10" s="1"/>
  <c r="Q656" i="3"/>
  <c r="Q656" i="10" s="1"/>
  <c r="Q439" i="3"/>
  <c r="Q439" i="10" s="1"/>
  <c r="Q42" i="3"/>
  <c r="Q42" i="10" s="1"/>
  <c r="Q377" i="3"/>
  <c r="Q377" i="10" s="1"/>
  <c r="Q261" i="3"/>
  <c r="Q261" i="10" s="1"/>
  <c r="Q29" i="3"/>
  <c r="Q29" i="10" s="1"/>
  <c r="Q15" i="3"/>
  <c r="Q15" i="10" s="1"/>
  <c r="Q188" i="3"/>
  <c r="Q188" i="10" s="1"/>
  <c r="Q252" i="3"/>
  <c r="Q252" i="10" s="1"/>
  <c r="Q386" i="3"/>
  <c r="Q386" i="10" s="1"/>
  <c r="Q298" i="3"/>
  <c r="Q298" i="10" s="1"/>
  <c r="Q38" i="3"/>
  <c r="Q38" i="10" s="1"/>
  <c r="Q49" i="3"/>
  <c r="Q49" i="10" s="1"/>
  <c r="Q16" i="3"/>
  <c r="Q16" i="10" s="1"/>
  <c r="Q189" i="3"/>
  <c r="Q189" i="10" s="1"/>
  <c r="Q239" i="3"/>
  <c r="Q239" i="10" s="1"/>
  <c r="Q529" i="3"/>
  <c r="Q529" i="10" s="1"/>
  <c r="Q268" i="3"/>
  <c r="Q268" i="10" s="1"/>
  <c r="Q181" i="3"/>
  <c r="Q181" i="10" s="1"/>
  <c r="Q329" i="3"/>
  <c r="Q329" i="10" s="1"/>
  <c r="Q491" i="3"/>
  <c r="Q491" i="10" s="1"/>
  <c r="Q364" i="3"/>
  <c r="Q364" i="10" s="1"/>
  <c r="Q59" i="3"/>
  <c r="Q59" i="10" s="1"/>
  <c r="Q321" i="3"/>
  <c r="Q321" i="10" s="1"/>
  <c r="Q328" i="3"/>
  <c r="Q328" i="10" s="1"/>
  <c r="Q284" i="3"/>
  <c r="Q284" i="10" s="1"/>
  <c r="Q376" i="3"/>
  <c r="Q376" i="10" s="1"/>
  <c r="Q307" i="3"/>
  <c r="Q307" i="10" s="1"/>
  <c r="Q219" i="3"/>
  <c r="Q219" i="10" s="1"/>
  <c r="Q380" i="3"/>
  <c r="Q380" i="10" s="1"/>
  <c r="Q418" i="3"/>
  <c r="Q418" i="10" s="1"/>
  <c r="Q170" i="3"/>
  <c r="Q170" i="10" s="1"/>
  <c r="Q334" i="3"/>
  <c r="Q334" i="10" s="1"/>
  <c r="Q501" i="3"/>
  <c r="Q501" i="10" s="1"/>
  <c r="Q221" i="3"/>
  <c r="Q221" i="10" s="1"/>
  <c r="Q60" i="3"/>
  <c r="Q60" i="10" s="1"/>
  <c r="Q34" i="3"/>
  <c r="Q34" i="10" s="1"/>
  <c r="Q89" i="3"/>
  <c r="Q89" i="10" s="1"/>
  <c r="Q57" i="3"/>
  <c r="Q57" i="10" s="1"/>
  <c r="Q157" i="3"/>
  <c r="Q157" i="10" s="1"/>
  <c r="Q67" i="3"/>
  <c r="Q67" i="10" s="1"/>
  <c r="Q499" i="3"/>
  <c r="Q499" i="10" s="1"/>
  <c r="Q319" i="3"/>
  <c r="Q319" i="10" s="1"/>
  <c r="Q306" i="3"/>
  <c r="Q306" i="10" s="1"/>
  <c r="Q402" i="3"/>
  <c r="Q402" i="10" s="1"/>
  <c r="Q341" i="3"/>
  <c r="Q341" i="10" s="1"/>
  <c r="Q350" i="3"/>
  <c r="Q350" i="10" s="1"/>
  <c r="Q345" i="3"/>
  <c r="Q345" i="10" s="1"/>
  <c r="Q172" i="3"/>
  <c r="Q172" i="10" s="1"/>
  <c r="Q105" i="3"/>
  <c r="Q105" i="10" s="1"/>
  <c r="Q55" i="3"/>
  <c r="Q55" i="10" s="1"/>
  <c r="Q21" i="3"/>
  <c r="Q21" i="10" s="1"/>
  <c r="Q235" i="3"/>
  <c r="Q235" i="10" s="1"/>
  <c r="Q269" i="3"/>
  <c r="Q269" i="10" s="1"/>
  <c r="Q289" i="3"/>
  <c r="Q289" i="10" s="1"/>
  <c r="Q369" i="3"/>
  <c r="Q369" i="10" s="1"/>
  <c r="Q300" i="3"/>
  <c r="Q300" i="10" s="1"/>
  <c r="Q150" i="3"/>
  <c r="Q150" i="10" s="1"/>
  <c r="Q207" i="3"/>
  <c r="Q207" i="10" s="1"/>
  <c r="Q31" i="3"/>
  <c r="Q31" i="10" s="1"/>
  <c r="Q201" i="3"/>
  <c r="Q201" i="10" s="1"/>
  <c r="Q134" i="3"/>
  <c r="Q134" i="10" s="1"/>
  <c r="Q118" i="3"/>
  <c r="Q118" i="10" s="1"/>
  <c r="Q74" i="3"/>
  <c r="Q74" i="10" s="1"/>
  <c r="Q177" i="3"/>
  <c r="Q177" i="10" s="1"/>
  <c r="Q208" i="3"/>
  <c r="Q208" i="10" s="1"/>
  <c r="Q250" i="3"/>
  <c r="Q250" i="10" s="1"/>
  <c r="Q348" i="3"/>
  <c r="Q348" i="10" s="1"/>
  <c r="Q92" i="3"/>
  <c r="Q92" i="10" s="1"/>
  <c r="Q264" i="3"/>
  <c r="Q264" i="10" s="1"/>
  <c r="Q333" i="3"/>
  <c r="Q333" i="10" s="1"/>
  <c r="Q136" i="3"/>
  <c r="Q136" i="10" s="1"/>
  <c r="Q203" i="3"/>
  <c r="Q203" i="10" s="1"/>
  <c r="Q258" i="3"/>
  <c r="Q258" i="10" s="1"/>
  <c r="Q64" i="3"/>
  <c r="Q64" i="10" s="1"/>
  <c r="Q435" i="3"/>
  <c r="Q435" i="10" s="1"/>
  <c r="Q248" i="3"/>
  <c r="Q248" i="10" s="1"/>
  <c r="Q184" i="3"/>
  <c r="Q184" i="10" s="1"/>
  <c r="Q242" i="3"/>
  <c r="Q242" i="10" s="1"/>
  <c r="Q225" i="3"/>
  <c r="Q225" i="10" s="1"/>
  <c r="Q193" i="3"/>
  <c r="Q193" i="10" s="1"/>
  <c r="Q387" i="3"/>
  <c r="Q387" i="10" s="1"/>
  <c r="Q405" i="3"/>
  <c r="Q405" i="10" s="1"/>
  <c r="Q94" i="3"/>
  <c r="Q94" i="10" s="1"/>
  <c r="Q195" i="3"/>
  <c r="Q195" i="10" s="1"/>
  <c r="Q98" i="3"/>
  <c r="Q98" i="10" s="1"/>
  <c r="Q272" i="3"/>
  <c r="Q272" i="10" s="1"/>
  <c r="Q247" i="3"/>
  <c r="Q247" i="10" s="1"/>
  <c r="Q102" i="3"/>
  <c r="Q102" i="10" s="1"/>
  <c r="Q400" i="3"/>
  <c r="Q400" i="10" s="1"/>
  <c r="Q372" i="3"/>
  <c r="Q372" i="10" s="1"/>
  <c r="Q522" i="3"/>
  <c r="Q522" i="10" s="1"/>
  <c r="Q533" i="3"/>
  <c r="Q533" i="10" s="1"/>
  <c r="Q476" i="3"/>
  <c r="Q476" i="10" s="1"/>
  <c r="Q434" i="3"/>
  <c r="Q434" i="10" s="1"/>
  <c r="Q488" i="3"/>
  <c r="Q488" i="10" s="1"/>
  <c r="Q312" i="3"/>
  <c r="Q312" i="10" s="1"/>
  <c r="Q521" i="3"/>
  <c r="Q521" i="10" s="1"/>
  <c r="Q541" i="3"/>
  <c r="Q541" i="10" s="1"/>
  <c r="Q223" i="3"/>
  <c r="Q223" i="10" s="1"/>
  <c r="Q69" i="3"/>
  <c r="Q69" i="10" s="1"/>
  <c r="Q121" i="3"/>
  <c r="Q121" i="10" s="1"/>
  <c r="Q35" i="3"/>
  <c r="Q35" i="10" s="1"/>
  <c r="Q153" i="3"/>
  <c r="Q153" i="10" s="1"/>
  <c r="Q155" i="3"/>
  <c r="Q155" i="10" s="1"/>
  <c r="Q113" i="3"/>
  <c r="Q113" i="10" s="1"/>
  <c r="Q309" i="3"/>
  <c r="Q309" i="10" s="1"/>
  <c r="Q83" i="3"/>
  <c r="Q83" i="10" s="1"/>
  <c r="Q79" i="3"/>
  <c r="Q79" i="10" s="1"/>
  <c r="Q152" i="3"/>
  <c r="Q152" i="10" s="1"/>
  <c r="Q120" i="3"/>
  <c r="Q120" i="10" s="1"/>
  <c r="Q80" i="3"/>
  <c r="Q80" i="10" s="1"/>
  <c r="Q44" i="3"/>
  <c r="Q44" i="10" s="1"/>
  <c r="Q81" i="3"/>
  <c r="Q81" i="10" s="1"/>
  <c r="Q47" i="3"/>
  <c r="Q47" i="10" s="1"/>
  <c r="Q443" i="3"/>
  <c r="Q443" i="10" s="1"/>
  <c r="Q396" i="3"/>
  <c r="Q396" i="10" s="1"/>
  <c r="Q516" i="3"/>
  <c r="Q516" i="10" s="1"/>
  <c r="Q534" i="3"/>
  <c r="Q534" i="10" s="1"/>
  <c r="Q394" i="3"/>
  <c r="Q394" i="10" s="1"/>
  <c r="Q127" i="3"/>
  <c r="Q127" i="10" s="1"/>
  <c r="Q167" i="3"/>
  <c r="Q167" i="10" s="1"/>
  <c r="Q165" i="3"/>
  <c r="Q165" i="10" s="1"/>
  <c r="Q519" i="3"/>
  <c r="Q519" i="10" s="1"/>
  <c r="Q451" i="3"/>
  <c r="Q451" i="10" s="1"/>
  <c r="Q505" i="3"/>
  <c r="Q505" i="10" s="1"/>
  <c r="Q489" i="3"/>
  <c r="Q489" i="10" s="1"/>
  <c r="Q474" i="3"/>
  <c r="Q474" i="10" s="1"/>
  <c r="Q485" i="3"/>
  <c r="Q485" i="10" s="1"/>
  <c r="Q450" i="3"/>
  <c r="Q450" i="10" s="1"/>
  <c r="Q517" i="3"/>
  <c r="Q517" i="10" s="1"/>
  <c r="Q436" i="3"/>
  <c r="Q436" i="10" s="1"/>
  <c r="Q498" i="3"/>
  <c r="Q498" i="10" s="1"/>
  <c r="O294" i="3"/>
  <c r="O294" i="10" s="1"/>
  <c r="G294" i="10"/>
  <c r="Q621" i="3"/>
  <c r="Q621" i="10" s="1"/>
  <c r="Q545" i="3"/>
  <c r="Q545" i="10" s="1"/>
  <c r="Q577" i="3"/>
  <c r="Q577" i="10" s="1"/>
  <c r="Q599" i="3"/>
  <c r="Q599" i="10" s="1"/>
  <c r="Q608" i="3"/>
  <c r="Q608" i="10" s="1"/>
  <c r="Q552" i="3"/>
  <c r="Q552" i="10" s="1"/>
  <c r="Q548" i="3"/>
  <c r="Q548" i="10" s="1"/>
  <c r="Q12" i="3"/>
  <c r="Q12" i="10" s="1"/>
  <c r="Q603" i="3"/>
  <c r="Q603" i="10" s="1"/>
  <c r="Q623" i="3"/>
  <c r="Q623" i="10" s="1"/>
  <c r="Q572" i="3"/>
  <c r="Q572" i="10" s="1"/>
  <c r="Q622" i="3"/>
  <c r="Q622" i="10" s="1"/>
  <c r="Q556" i="3"/>
  <c r="Q556" i="10" s="1"/>
  <c r="Q553" i="3"/>
  <c r="Q553" i="10" s="1"/>
  <c r="Q565" i="3"/>
  <c r="Q565" i="10" s="1"/>
  <c r="Q636" i="3"/>
  <c r="Q636" i="10" s="1"/>
  <c r="Q573" i="3"/>
  <c r="Q573" i="10" s="1"/>
  <c r="Q568" i="3"/>
  <c r="Q568" i="10" s="1"/>
  <c r="Q585" i="3"/>
  <c r="Q585" i="10" s="1"/>
  <c r="Q583" i="3"/>
  <c r="Q583" i="10" s="1"/>
  <c r="Q617" i="3"/>
  <c r="Q617" i="10" s="1"/>
  <c r="Q557" i="3"/>
  <c r="Q557" i="10" s="1"/>
  <c r="Q546" i="3"/>
  <c r="Q546" i="10" s="1"/>
  <c r="Q625" i="3"/>
  <c r="Q625" i="10" s="1"/>
  <c r="Q563" i="3"/>
  <c r="Q563" i="10" s="1"/>
  <c r="Q554" i="3"/>
  <c r="Q554" i="10" s="1"/>
  <c r="Q600" i="3"/>
  <c r="Q600" i="10" s="1"/>
  <c r="Q28" i="3"/>
  <c r="Q28" i="10" s="1"/>
  <c r="Q262" i="3"/>
  <c r="Q262" i="10" s="1"/>
  <c r="Q868" i="3"/>
  <c r="Q868" i="10" s="1"/>
  <c r="Q884" i="3"/>
  <c r="Q884" i="10" s="1"/>
  <c r="Q645" i="3"/>
  <c r="Q645" i="10" s="1"/>
  <c r="Q991" i="3"/>
  <c r="Q991" i="10" s="1"/>
  <c r="Q994" i="3"/>
  <c r="Q994" i="10" s="1"/>
  <c r="Q926" i="3"/>
  <c r="Q926" i="10" s="1"/>
  <c r="Q384" i="3"/>
  <c r="Q384" i="10" s="1"/>
  <c r="Q646" i="3"/>
  <c r="Q646" i="10" s="1"/>
  <c r="Q671" i="3"/>
  <c r="Q671" i="10" s="1"/>
  <c r="Q728" i="3"/>
  <c r="Q728" i="10" s="1"/>
  <c r="Q805" i="3"/>
  <c r="Q805" i="10" s="1"/>
  <c r="Q732" i="3"/>
  <c r="Q732" i="10" s="1"/>
  <c r="Q660" i="3"/>
  <c r="Q660" i="10" s="1"/>
  <c r="Q686" i="3"/>
  <c r="Q686" i="10" s="1"/>
  <c r="Q762" i="3"/>
  <c r="Q762" i="10" s="1"/>
  <c r="Q696" i="3"/>
  <c r="Q696" i="10" s="1"/>
  <c r="Q780" i="3"/>
  <c r="Q780" i="10" s="1"/>
  <c r="Q710" i="3"/>
  <c r="Q710" i="10" s="1"/>
  <c r="Q837" i="3"/>
  <c r="Q837" i="10" s="1"/>
  <c r="Q958" i="3"/>
  <c r="Q958" i="10" s="1"/>
  <c r="Q950" i="3"/>
  <c r="Q950" i="10" s="1"/>
  <c r="Q730" i="3"/>
  <c r="Q730" i="10" s="1"/>
  <c r="Q706" i="3"/>
  <c r="Q706" i="10" s="1"/>
  <c r="Q845" i="3"/>
  <c r="Q845" i="10" s="1"/>
  <c r="Q865" i="3"/>
  <c r="Q865" i="10" s="1"/>
  <c r="Q775" i="3"/>
  <c r="Q775" i="10" s="1"/>
  <c r="Q756" i="3"/>
  <c r="Q756" i="10" s="1"/>
  <c r="Q914" i="3"/>
  <c r="Q914" i="10" s="1"/>
  <c r="Q960" i="3"/>
  <c r="Q960" i="10" s="1"/>
  <c r="Q867" i="3"/>
  <c r="Q867" i="10" s="1"/>
  <c r="Q922" i="3"/>
  <c r="Q922" i="10" s="1"/>
  <c r="Q989" i="3"/>
  <c r="Q989" i="10" s="1"/>
  <c r="Q925" i="3"/>
  <c r="Q925" i="10" s="1"/>
  <c r="Q880" i="3"/>
  <c r="Q880" i="10" s="1"/>
  <c r="Q755" i="3"/>
  <c r="Q755" i="10" s="1"/>
  <c r="Q713" i="3"/>
  <c r="Q713" i="10" s="1"/>
  <c r="Q886" i="3"/>
  <c r="Q886" i="10" s="1"/>
  <c r="Q806" i="3"/>
  <c r="Q806" i="10" s="1"/>
  <c r="Q984" i="3"/>
  <c r="Q984" i="10" s="1"/>
  <c r="Q787" i="3"/>
  <c r="Q787" i="10" s="1"/>
  <c r="Q931" i="3"/>
  <c r="Q931" i="10" s="1"/>
  <c r="Q890" i="3"/>
  <c r="Q890" i="10" s="1"/>
  <c r="Q668" i="3"/>
  <c r="Q668" i="10" s="1"/>
  <c r="Q833" i="3"/>
  <c r="Q833" i="10" s="1"/>
  <c r="Q687" i="3"/>
  <c r="Q687" i="10" s="1"/>
  <c r="Q964" i="3"/>
  <c r="Q964" i="10" s="1"/>
  <c r="Q896" i="3"/>
  <c r="Q896" i="10" s="1"/>
  <c r="Q876" i="3"/>
  <c r="Q876" i="10" s="1"/>
  <c r="Q745" i="3"/>
  <c r="Q745" i="10" s="1"/>
  <c r="Q794" i="3"/>
  <c r="Q794" i="10" s="1"/>
  <c r="Q653" i="3"/>
  <c r="Q653" i="10" s="1"/>
  <c r="Q955" i="3"/>
  <c r="Q955" i="10" s="1"/>
  <c r="Q935" i="3"/>
  <c r="Q935" i="10" s="1"/>
  <c r="Q702" i="3"/>
  <c r="Q702" i="10" s="1"/>
  <c r="Q803" i="3"/>
  <c r="Q803" i="10" s="1"/>
  <c r="Q908" i="3"/>
  <c r="Q908" i="10" s="1"/>
  <c r="Q768" i="3"/>
  <c r="Q768" i="10" s="1"/>
  <c r="Q791" i="3"/>
  <c r="Q791" i="10" s="1"/>
  <c r="Q798" i="3"/>
  <c r="Q798" i="10" s="1"/>
  <c r="Q790" i="3"/>
  <c r="Q790" i="10" s="1"/>
  <c r="Q834" i="3"/>
  <c r="Q834" i="10" s="1"/>
  <c r="Q814" i="3"/>
  <c r="Q814" i="10" s="1"/>
  <c r="Q947" i="3"/>
  <c r="Q947" i="10" s="1"/>
  <c r="Q836" i="3"/>
  <c r="Q836" i="10" s="1"/>
  <c r="Q864" i="3"/>
  <c r="Q864" i="10" s="1"/>
  <c r="Q970" i="3"/>
  <c r="Q970" i="10" s="1"/>
  <c r="Q967" i="3"/>
  <c r="Q967" i="10" s="1"/>
  <c r="Q901" i="3"/>
  <c r="Q901" i="10" s="1"/>
  <c r="Q891" i="3"/>
  <c r="Q891" i="10" s="1"/>
  <c r="Q766" i="3"/>
  <c r="Q766" i="10" s="1"/>
  <c r="Q824" i="3"/>
  <c r="Q824" i="10" s="1"/>
  <c r="Q963" i="3"/>
  <c r="Q963" i="10" s="1"/>
  <c r="Q18" i="3"/>
  <c r="Q18" i="10" s="1"/>
  <c r="Q707" i="3"/>
  <c r="Q707" i="10" s="1"/>
  <c r="Q757" i="3"/>
  <c r="Q757" i="10" s="1"/>
  <c r="Q878" i="3"/>
  <c r="Q878" i="10" s="1"/>
  <c r="Q902" i="3"/>
  <c r="Q902" i="10" s="1"/>
  <c r="Q904" i="3"/>
  <c r="Q904" i="10" s="1"/>
  <c r="Q918" i="3"/>
  <c r="Q918" i="10" s="1"/>
  <c r="Q906" i="3"/>
  <c r="Q906" i="10" s="1"/>
  <c r="Q879" i="3"/>
  <c r="Q879" i="10" s="1"/>
  <c r="Q330" i="3"/>
  <c r="Q330" i="10" s="1"/>
  <c r="Q852" i="3"/>
  <c r="Q852" i="10" s="1"/>
  <c r="Q675" i="3"/>
  <c r="Q675" i="10" s="1"/>
  <c r="Q840" i="3"/>
  <c r="Q840" i="10" s="1"/>
  <c r="Q851" i="3"/>
  <c r="Q851" i="10" s="1"/>
  <c r="Q664" i="3"/>
  <c r="Q664" i="10" s="1"/>
  <c r="Q327" i="3"/>
  <c r="Q327" i="10" s="1"/>
  <c r="Q91" i="3"/>
  <c r="Q91" i="10" s="1"/>
  <c r="Q302" i="3"/>
  <c r="Q302" i="10" s="1"/>
  <c r="Q129" i="3"/>
  <c r="Q129" i="10" s="1"/>
  <c r="Q13" i="3"/>
  <c r="Q13" i="10" s="1"/>
  <c r="Q173" i="3"/>
  <c r="Q173" i="10" s="1"/>
  <c r="Q171" i="3"/>
  <c r="Q171" i="10" s="1"/>
  <c r="Q291" i="3"/>
  <c r="Q291" i="10" s="1"/>
  <c r="Q344" i="3"/>
  <c r="Q344" i="10" s="1"/>
  <c r="Q497" i="3"/>
  <c r="Q497" i="10" s="1"/>
  <c r="Q299" i="3"/>
  <c r="Q299" i="10" s="1"/>
  <c r="Q415" i="3"/>
  <c r="Q415" i="10" s="1"/>
  <c r="Q336" i="3"/>
  <c r="Q336" i="10" s="1"/>
  <c r="Q202" i="3"/>
  <c r="Q202" i="10" s="1"/>
  <c r="Q210" i="3"/>
  <c r="Q210" i="10" s="1"/>
  <c r="Q180" i="3"/>
  <c r="Q180" i="10" s="1"/>
  <c r="Q292" i="3"/>
  <c r="Q292" i="10" s="1"/>
  <c r="Q145" i="3"/>
  <c r="Q145" i="10" s="1"/>
  <c r="Q419" i="3"/>
  <c r="Q419" i="10" s="1"/>
  <c r="Q525" i="3"/>
  <c r="Q525" i="10" s="1"/>
  <c r="Q226" i="3"/>
  <c r="Q226" i="10" s="1"/>
  <c r="Q463" i="3"/>
  <c r="Q463" i="10" s="1"/>
  <c r="Q23" i="3"/>
  <c r="Q23" i="10" s="1"/>
  <c r="Q63" i="3"/>
  <c r="Q63" i="10" s="1"/>
  <c r="Q412" i="3"/>
  <c r="Q412" i="10" s="1"/>
  <c r="Q88" i="3"/>
  <c r="Q88" i="10" s="1"/>
  <c r="Q325" i="3"/>
  <c r="Q325" i="10" s="1"/>
  <c r="Q220" i="3"/>
  <c r="Q220" i="10" s="1"/>
  <c r="Q56" i="3"/>
  <c r="Q56" i="10" s="1"/>
  <c r="Q30" i="3"/>
  <c r="Q30" i="10" s="1"/>
  <c r="Q3" i="3"/>
  <c r="Q3" i="10" s="1"/>
  <c r="Q524" i="3"/>
  <c r="Q524" i="10" s="1"/>
  <c r="Q179" i="3"/>
  <c r="Q179" i="10" s="1"/>
  <c r="Q228" i="3"/>
  <c r="Q228" i="10" s="1"/>
  <c r="Q408" i="3"/>
  <c r="Q408" i="10" s="1"/>
  <c r="Q374" i="3"/>
  <c r="Q374" i="10" s="1"/>
  <c r="Q322" i="3"/>
  <c r="Q322" i="10" s="1"/>
  <c r="Q212" i="3"/>
  <c r="Q212" i="10" s="1"/>
  <c r="Q229" i="3"/>
  <c r="Q229" i="10" s="1"/>
  <c r="Q162" i="3"/>
  <c r="Q162" i="10" s="1"/>
  <c r="Q135" i="3"/>
  <c r="Q135" i="10" s="1"/>
  <c r="Q65" i="3"/>
  <c r="Q65" i="10" s="1"/>
  <c r="Q465" i="3"/>
  <c r="Q465" i="10" s="1"/>
  <c r="Q267" i="3"/>
  <c r="Q267" i="10" s="1"/>
  <c r="Q287" i="3"/>
  <c r="Q287" i="10" s="1"/>
  <c r="Q393" i="3"/>
  <c r="Q393" i="10" s="1"/>
  <c r="Q368" i="3"/>
  <c r="Q368" i="10" s="1"/>
  <c r="Q430" i="3"/>
  <c r="Q430" i="10" s="1"/>
  <c r="Q273" i="3"/>
  <c r="Q273" i="10" s="1"/>
  <c r="Q440" i="3"/>
  <c r="Q440" i="10" s="1"/>
  <c r="Q305" i="3"/>
  <c r="Q305" i="10" s="1"/>
  <c r="Q441" i="3"/>
  <c r="Q441" i="10" s="1"/>
  <c r="Q401" i="3"/>
  <c r="Q401" i="10" s="1"/>
  <c r="Q337" i="3"/>
  <c r="Q337" i="10" s="1"/>
  <c r="Q130" i="3"/>
  <c r="Q130" i="10" s="1"/>
  <c r="Q114" i="3"/>
  <c r="Q114" i="10" s="1"/>
  <c r="Q438" i="3"/>
  <c r="Q438" i="10" s="1"/>
  <c r="Q315" i="3"/>
  <c r="Q315" i="10" s="1"/>
  <c r="Q70" i="3"/>
  <c r="Q70" i="10" s="1"/>
  <c r="Q274" i="3"/>
  <c r="Q274" i="10" s="1"/>
  <c r="Q158" i="3"/>
  <c r="Q158" i="10" s="1"/>
  <c r="Q531" i="3"/>
  <c r="Q531" i="10" s="1"/>
  <c r="Q108" i="3"/>
  <c r="Q108" i="10" s="1"/>
  <c r="Q332" i="3"/>
  <c r="Q332" i="10" s="1"/>
  <c r="Q100" i="3"/>
  <c r="Q100" i="10" s="1"/>
  <c r="Q379" i="3"/>
  <c r="Q379" i="10" s="1"/>
  <c r="Q143" i="3"/>
  <c r="Q143" i="10" s="1"/>
  <c r="Q420" i="3"/>
  <c r="Q420" i="10" s="1"/>
  <c r="Q280" i="3"/>
  <c r="Q280" i="10" s="1"/>
  <c r="Q266" i="3"/>
  <c r="Q266" i="10" s="1"/>
  <c r="Q104" i="3"/>
  <c r="Q104" i="10" s="1"/>
  <c r="Q200" i="3"/>
  <c r="Q200" i="10" s="1"/>
  <c r="Q141" i="3"/>
  <c r="Q141" i="10" s="1"/>
  <c r="Q232" i="3"/>
  <c r="Q232" i="10" s="1"/>
  <c r="Q4" i="3"/>
  <c r="Q4" i="10" s="1"/>
  <c r="Q61" i="3"/>
  <c r="Q61" i="10" s="1"/>
  <c r="Q206" i="3"/>
  <c r="Q206" i="10" s="1"/>
  <c r="Q433" i="3"/>
  <c r="Q433" i="10" s="1"/>
  <c r="Q373" i="3"/>
  <c r="Q373" i="10" s="1"/>
  <c r="Q340" i="3"/>
  <c r="Q340" i="10" s="1"/>
  <c r="Q409" i="3"/>
  <c r="Q409" i="10" s="1"/>
  <c r="Q503" i="3"/>
  <c r="Q503" i="10" s="1"/>
  <c r="Q281" i="3"/>
  <c r="Q281" i="10" s="1"/>
  <c r="Q339" i="3"/>
  <c r="Q339" i="10" s="1"/>
  <c r="Q515" i="3"/>
  <c r="Q515" i="10" s="1"/>
  <c r="Q493" i="3"/>
  <c r="Q493" i="10" s="1"/>
  <c r="Q447" i="3"/>
  <c r="Q447" i="10" s="1"/>
  <c r="Q464" i="3"/>
  <c r="Q464" i="10" s="1"/>
  <c r="Q539" i="3"/>
  <c r="Q539" i="10" s="1"/>
  <c r="Q496" i="3"/>
  <c r="Q496" i="10" s="1"/>
  <c r="Q478" i="3"/>
  <c r="Q478" i="10" s="1"/>
  <c r="Q495" i="3"/>
  <c r="Q495" i="10" s="1"/>
  <c r="Q308" i="3"/>
  <c r="Q308" i="10" s="1"/>
  <c r="Q395" i="3"/>
  <c r="Q395" i="10" s="1"/>
  <c r="Q512" i="3"/>
  <c r="Q512" i="10" s="1"/>
  <c r="Q115" i="3"/>
  <c r="Q115" i="10" s="1"/>
  <c r="Q73" i="3"/>
  <c r="Q73" i="10" s="1"/>
  <c r="Q479" i="3"/>
  <c r="Q479" i="10" s="1"/>
  <c r="Q513" i="3"/>
  <c r="Q513" i="10" s="1"/>
  <c r="Q43" i="3"/>
  <c r="Q43" i="10" s="1"/>
  <c r="Q538" i="3"/>
  <c r="Q538" i="10" s="1"/>
  <c r="Q358" i="3"/>
  <c r="Q358" i="10" s="1"/>
  <c r="Q275" i="3"/>
  <c r="Q275" i="10" s="1"/>
  <c r="Q492" i="3"/>
  <c r="Q492" i="10" s="1"/>
  <c r="Q310" i="3"/>
  <c r="Q310" i="10" s="1"/>
  <c r="Q164" i="3"/>
  <c r="Q164" i="10" s="1"/>
  <c r="Q148" i="3"/>
  <c r="Q148" i="10" s="1"/>
  <c r="Q116" i="3"/>
  <c r="Q116" i="10" s="1"/>
  <c r="Q76" i="3"/>
  <c r="Q76" i="10" s="1"/>
  <c r="Q40" i="3"/>
  <c r="Q40" i="10" s="1"/>
  <c r="Q490" i="3"/>
  <c r="Q490" i="10" s="1"/>
  <c r="Q318" i="3"/>
  <c r="Q318" i="10" s="1"/>
  <c r="Q33" i="3"/>
  <c r="Q33" i="10" s="1"/>
  <c r="Q123" i="3"/>
  <c r="Q123" i="10" s="1"/>
  <c r="Q472" i="3"/>
  <c r="Q472" i="10" s="1"/>
  <c r="Q399" i="3"/>
  <c r="Q399" i="10" s="1"/>
  <c r="Q449" i="3"/>
  <c r="Q449" i="10" s="1"/>
  <c r="Q456" i="3"/>
  <c r="Q456" i="10" s="1"/>
  <c r="Q414" i="3"/>
  <c r="Q414" i="10" s="1"/>
  <c r="Q453" i="3"/>
  <c r="Q453" i="10" s="1"/>
  <c r="Q589" i="3"/>
  <c r="Q589" i="10" s="1"/>
  <c r="Q591" i="3"/>
  <c r="Q591" i="10" s="1"/>
  <c r="Q592" i="3"/>
  <c r="Q592" i="10" s="1"/>
  <c r="Q637" i="3"/>
  <c r="Q637" i="10" s="1"/>
  <c r="Q578" i="3"/>
  <c r="Q578" i="10" s="1"/>
  <c r="Q633" i="3"/>
  <c r="Q633" i="10" s="1"/>
  <c r="Q618" i="3"/>
  <c r="Q618" i="10" s="1"/>
  <c r="Q551" i="3"/>
  <c r="Q551" i="10" s="1"/>
  <c r="Q616" i="3"/>
  <c r="Q616" i="10" s="1"/>
  <c r="Q590" i="3"/>
  <c r="Q590" i="10" s="1"/>
  <c r="Q606" i="3"/>
  <c r="Q606" i="10" s="1"/>
  <c r="Q581" i="3"/>
  <c r="Q581" i="10" s="1"/>
  <c r="Q602" i="3"/>
  <c r="Q602" i="10" s="1"/>
  <c r="Q584" i="3"/>
  <c r="Q584" i="10" s="1"/>
  <c r="Q561" i="3"/>
  <c r="Q561" i="10" s="1"/>
  <c r="Q575" i="3"/>
  <c r="Q575" i="10" s="1"/>
  <c r="Q567" i="3"/>
  <c r="Q567" i="10" s="1"/>
  <c r="Q543" i="3"/>
  <c r="Q543" i="10" s="1"/>
  <c r="Q609" i="3"/>
  <c r="Q609" i="10" s="1"/>
  <c r="Q624" i="3"/>
  <c r="Q624" i="10" s="1"/>
  <c r="Q594" i="3"/>
  <c r="Q594" i="10" s="1"/>
  <c r="Q626" i="3"/>
  <c r="Q626" i="10" s="1"/>
  <c r="Q587" i="3"/>
  <c r="Q587" i="10" s="1"/>
  <c r="Q549" i="3"/>
  <c r="Q549" i="10" s="1"/>
  <c r="Q593" i="3"/>
  <c r="Q593" i="10" s="1"/>
  <c r="Q547" i="3"/>
  <c r="Q547" i="10" s="1"/>
  <c r="Q601" i="3"/>
  <c r="Q601" i="10" s="1"/>
  <c r="Q566" i="3"/>
  <c r="Q566" i="10" s="1"/>
  <c r="Q596" i="3"/>
  <c r="Q596" i="10" s="1"/>
  <c r="Q243" i="3"/>
  <c r="Q243" i="10" s="1"/>
  <c r="Q9" i="3"/>
  <c r="Q9" i="10" s="1"/>
  <c r="Q937" i="3"/>
  <c r="Q937" i="10" s="1"/>
  <c r="Q913" i="3"/>
  <c r="Q913" i="10" s="1"/>
  <c r="Q769" i="3"/>
  <c r="Q769" i="10" s="1"/>
  <c r="Q695" i="3"/>
  <c r="Q695" i="10" s="1"/>
  <c r="Q752" i="3"/>
  <c r="Q752" i="10" s="1"/>
  <c r="Q684" i="3"/>
  <c r="Q684" i="10" s="1"/>
  <c r="Q815" i="3"/>
  <c r="Q815" i="10" s="1"/>
  <c r="Q813" i="3"/>
  <c r="Q813" i="10" s="1"/>
  <c r="Q944" i="3"/>
  <c r="Q944" i="10" s="1"/>
  <c r="Q648" i="3"/>
  <c r="Q648" i="10" s="1"/>
  <c r="Q797" i="3"/>
  <c r="Q797" i="10" s="1"/>
  <c r="Q869" i="3"/>
  <c r="Q869" i="10" s="1"/>
  <c r="Q857" i="3"/>
  <c r="Q857" i="10" s="1"/>
  <c r="Q759" i="3"/>
  <c r="Q759" i="10" s="1"/>
  <c r="Q809" i="3"/>
  <c r="Q809" i="10" s="1"/>
  <c r="Q735" i="3"/>
  <c r="Q735" i="10" s="1"/>
  <c r="Q774" i="3"/>
  <c r="Q774" i="10" s="1"/>
  <c r="Q877" i="3"/>
  <c r="Q877" i="10" s="1"/>
  <c r="Q912" i="3"/>
  <c r="Q912" i="10" s="1"/>
  <c r="Q666" i="3"/>
  <c r="Q666" i="10" s="1"/>
  <c r="Q853" i="3"/>
  <c r="Q853" i="10" s="1"/>
  <c r="Q672" i="3"/>
  <c r="Q672" i="10" s="1"/>
  <c r="Q823" i="3"/>
  <c r="Q823" i="10" s="1"/>
  <c r="Q940" i="3"/>
  <c r="Q940" i="10" s="1"/>
  <c r="Q742" i="3"/>
  <c r="Q742" i="10" s="1"/>
  <c r="Q662" i="3"/>
  <c r="Q662" i="10" s="1"/>
  <c r="Q783" i="3"/>
  <c r="Q783" i="10" s="1"/>
  <c r="Q818" i="3"/>
  <c r="Q818" i="10" s="1"/>
  <c r="Q715" i="3"/>
  <c r="Q715" i="10" s="1"/>
  <c r="Q974" i="3"/>
  <c r="Q974" i="10" s="1"/>
  <c r="Q828" i="3"/>
  <c r="Q828" i="10" s="1"/>
  <c r="Q892" i="3"/>
  <c r="Q892" i="10" s="1"/>
  <c r="Q990" i="3"/>
  <c r="Q990" i="10" s="1"/>
  <c r="Q945" i="3"/>
  <c r="Q945" i="10" s="1"/>
  <c r="Q683" i="3"/>
  <c r="Q683" i="10" s="1"/>
  <c r="Q977" i="3"/>
  <c r="Q977" i="10" s="1"/>
  <c r="Q953" i="3"/>
  <c r="Q953" i="10" s="1"/>
  <c r="Q667" i="3"/>
  <c r="Q667" i="10" s="1"/>
  <c r="Q674" i="3"/>
  <c r="Q674" i="10" s="1"/>
  <c r="Q776" i="3"/>
  <c r="Q776" i="10" s="1"/>
  <c r="Q734" i="3"/>
  <c r="Q734" i="10" s="1"/>
  <c r="Q736" i="3"/>
  <c r="Q736" i="10" s="1"/>
  <c r="Q831" i="3"/>
  <c r="Q831" i="10" s="1"/>
  <c r="Q930" i="3"/>
  <c r="Q930" i="10" s="1"/>
  <c r="Q744" i="3"/>
  <c r="Q744" i="10" s="1"/>
  <c r="Q827" i="3"/>
  <c r="Q827" i="10" s="1"/>
  <c r="Q948" i="3"/>
  <c r="Q948" i="10" s="1"/>
  <c r="Q761" i="3"/>
  <c r="Q761" i="10" s="1"/>
  <c r="Q705" i="3"/>
  <c r="Q705" i="10" s="1"/>
  <c r="Q921" i="3"/>
  <c r="Q921" i="10" s="1"/>
  <c r="Q820" i="3"/>
  <c r="Q820" i="10" s="1"/>
  <c r="Q848" i="3"/>
  <c r="Q848" i="10" s="1"/>
  <c r="Q997" i="3"/>
  <c r="Q997" i="10" s="1"/>
  <c r="Q905" i="3"/>
  <c r="Q905" i="10" s="1"/>
  <c r="Q909" i="3"/>
  <c r="Q909" i="10" s="1"/>
  <c r="Q999" i="3"/>
  <c r="Q999" i="10" s="1"/>
  <c r="Q830" i="3"/>
  <c r="Q830" i="10" s="1"/>
  <c r="Q740" i="3"/>
  <c r="Q740" i="10" s="1"/>
  <c r="Q873" i="3"/>
  <c r="Q873" i="10" s="1"/>
  <c r="Q743" i="3"/>
  <c r="Q743" i="10" s="1"/>
  <c r="Q764" i="3"/>
  <c r="Q764" i="10" s="1"/>
  <c r="Q916" i="3"/>
  <c r="Q916" i="10" s="1"/>
  <c r="Q894" i="3"/>
  <c r="Q894" i="10" s="1"/>
  <c r="Q669" i="3"/>
  <c r="Q669" i="10" s="1"/>
  <c r="Q739" i="3"/>
  <c r="Q739" i="10" s="1"/>
  <c r="Q763" i="3"/>
  <c r="Q763" i="10" s="1"/>
  <c r="Q917" i="3"/>
  <c r="Q917" i="10" s="1"/>
  <c r="Q903" i="3"/>
  <c r="Q903" i="10" s="1"/>
  <c r="Q773" i="3"/>
  <c r="Q773" i="10" s="1"/>
  <c r="Q870" i="3"/>
  <c r="Q870" i="10" s="1"/>
  <c r="Q888" i="3"/>
  <c r="Q888" i="10" s="1"/>
  <c r="Q725" i="3"/>
  <c r="Q725" i="10" s="1"/>
  <c r="Q949" i="3"/>
  <c r="Q949" i="10" s="1"/>
  <c r="Q843" i="3"/>
  <c r="Q843" i="10" s="1"/>
  <c r="Q692" i="3"/>
  <c r="Q692" i="10" s="1"/>
  <c r="Q750" i="3"/>
  <c r="Q750" i="10" s="1"/>
  <c r="Q779" i="3"/>
  <c r="Q779" i="10" s="1"/>
  <c r="Q983" i="3"/>
  <c r="Q983" i="10" s="1"/>
  <c r="Q854" i="3"/>
  <c r="Q854" i="10" s="1"/>
  <c r="Q800" i="3"/>
  <c r="Q800" i="10" s="1"/>
  <c r="Q993" i="3"/>
  <c r="Q993" i="10" s="1"/>
  <c r="Q895" i="3"/>
  <c r="Q895" i="10" s="1"/>
  <c r="Q981" i="3"/>
  <c r="Q981" i="10" s="1"/>
  <c r="Q919" i="3"/>
  <c r="Q919" i="10" s="1"/>
  <c r="Q826" i="3"/>
  <c r="Q826" i="10" s="1"/>
  <c r="Q714" i="3"/>
  <c r="Q714" i="10" s="1"/>
  <c r="Q943" i="3"/>
  <c r="Q943" i="10" s="1"/>
  <c r="Q795" i="3"/>
  <c r="Q795" i="10" s="1"/>
  <c r="Q62" i="3"/>
  <c r="Q62" i="10" s="1"/>
  <c r="Q777" i="3"/>
  <c r="Q777" i="10" s="1"/>
  <c r="Q659" i="3"/>
  <c r="Q659" i="10" s="1"/>
  <c r="Q941" i="3"/>
  <c r="Q941" i="10" s="1"/>
  <c r="Q677" i="3"/>
  <c r="Q677" i="10" s="1"/>
  <c r="Q959" i="3"/>
  <c r="Q959" i="10" s="1"/>
  <c r="Q982" i="3"/>
  <c r="Q982" i="10" s="1"/>
  <c r="Q654" i="3"/>
  <c r="Q654" i="10" s="1"/>
  <c r="Q754" i="3"/>
  <c r="Q754" i="10" s="1"/>
  <c r="Q366" i="3"/>
  <c r="Q366" i="10" s="1"/>
  <c r="Q204" i="3"/>
  <c r="Q204" i="10" s="1"/>
  <c r="Q19" i="3"/>
  <c r="Q19" i="10" s="1"/>
  <c r="Q154" i="3"/>
  <c r="Q154" i="10" s="1"/>
  <c r="Q349" i="3"/>
  <c r="Q349" i="10" s="1"/>
  <c r="Q205" i="3"/>
  <c r="Q205" i="10" s="1"/>
  <c r="Q14" i="3"/>
  <c r="Q14" i="10" s="1"/>
  <c r="Q11" i="3"/>
  <c r="Q11" i="10" s="1"/>
  <c r="Q109" i="3"/>
  <c r="Q109" i="10" s="1"/>
  <c r="Q183" i="3"/>
  <c r="Q183" i="10" s="1"/>
  <c r="Q244" i="3"/>
  <c r="Q244" i="10" s="1"/>
  <c r="Q471" i="3"/>
  <c r="Q471" i="10" s="1"/>
  <c r="Q283" i="3"/>
  <c r="Q283" i="10" s="1"/>
  <c r="Q427" i="3"/>
  <c r="Q427" i="10" s="1"/>
  <c r="Q296" i="3"/>
  <c r="Q296" i="10" s="1"/>
  <c r="Q238" i="3"/>
  <c r="Q238" i="10" s="1"/>
  <c r="Q388" i="3"/>
  <c r="Q388" i="10" s="1"/>
  <c r="Q410" i="3"/>
  <c r="Q410" i="10" s="1"/>
  <c r="Q467" i="3"/>
  <c r="Q467" i="10" s="1"/>
  <c r="Q260" i="3"/>
  <c r="Q260" i="10" s="1"/>
  <c r="Q234" i="3"/>
  <c r="Q234" i="10" s="1"/>
  <c r="Q494" i="3"/>
  <c r="Q494" i="10" s="1"/>
  <c r="Q276" i="3"/>
  <c r="Q276" i="10" s="1"/>
  <c r="Q363" i="3"/>
  <c r="Q363" i="10" s="1"/>
  <c r="Q169" i="3"/>
  <c r="Q169" i="10" s="1"/>
  <c r="Q99" i="3"/>
  <c r="Q99" i="10" s="1"/>
  <c r="Q240" i="3"/>
  <c r="Q240" i="10" s="1"/>
  <c r="Q320" i="3"/>
  <c r="Q320" i="10" s="1"/>
  <c r="Q211" i="3"/>
  <c r="Q211" i="10" s="1"/>
  <c r="Q375" i="3"/>
  <c r="Q375" i="10" s="1"/>
  <c r="Q93" i="3"/>
  <c r="Q93" i="10" s="1"/>
  <c r="Q423" i="3"/>
  <c r="Q423" i="10" s="1"/>
  <c r="Q326" i="3"/>
  <c r="Q326" i="10" s="1"/>
  <c r="Q286" i="3"/>
  <c r="Q286" i="10" s="1"/>
  <c r="Q251" i="3"/>
  <c r="Q251" i="10" s="1"/>
  <c r="Q137" i="3"/>
  <c r="Q137" i="10" s="1"/>
  <c r="Q293" i="3"/>
  <c r="Q293" i="10" s="1"/>
  <c r="Q278" i="3"/>
  <c r="Q278" i="10" s="1"/>
  <c r="Q178" i="3"/>
  <c r="Q178" i="10" s="1"/>
  <c r="Q10" i="3"/>
  <c r="Q10" i="10" s="1"/>
  <c r="Q259" i="3"/>
  <c r="Q259" i="10" s="1"/>
  <c r="Q146" i="3"/>
  <c r="Q146" i="10" s="1"/>
  <c r="Q52" i="3"/>
  <c r="Q52" i="10" s="1"/>
  <c r="Q26" i="3"/>
  <c r="Q26" i="10" s="1"/>
  <c r="Q8" i="3"/>
  <c r="Q8" i="10" s="1"/>
  <c r="Q335" i="3"/>
  <c r="Q335" i="10" s="1"/>
  <c r="Q227" i="3"/>
  <c r="Q227" i="10" s="1"/>
  <c r="Q194" i="3"/>
  <c r="Q194" i="10" s="1"/>
  <c r="Q422" i="3"/>
  <c r="Q422" i="10" s="1"/>
  <c r="Q140" i="3"/>
  <c r="Q140" i="10" s="1"/>
  <c r="Q413" i="3"/>
  <c r="Q413" i="10" s="1"/>
  <c r="Q295" i="3"/>
  <c r="Q295" i="10" s="1"/>
  <c r="Q301" i="3"/>
  <c r="Q301" i="10" s="1"/>
  <c r="Q270" i="3"/>
  <c r="Q270" i="10" s="1"/>
  <c r="Q6" i="3"/>
  <c r="Q6" i="10" s="1"/>
  <c r="Q90" i="3"/>
  <c r="Q90" i="10" s="1"/>
  <c r="Q131" i="3"/>
  <c r="Q131" i="10" s="1"/>
  <c r="Q101" i="3"/>
  <c r="Q101" i="10" s="1"/>
  <c r="Q139" i="3"/>
  <c r="Q139" i="10" s="1"/>
  <c r="Q527" i="3"/>
  <c r="Q527" i="10" s="1"/>
  <c r="Q271" i="3"/>
  <c r="Q271" i="10" s="1"/>
  <c r="Q352" i="3"/>
  <c r="Q352" i="10" s="1"/>
  <c r="Q257" i="3"/>
  <c r="Q257" i="10" s="1"/>
  <c r="Q347" i="3"/>
  <c r="Q347" i="10" s="1"/>
  <c r="Q421" i="3"/>
  <c r="Q421" i="10" s="1"/>
  <c r="Q182" i="3"/>
  <c r="Q182" i="10" s="1"/>
  <c r="Q324" i="3"/>
  <c r="Q324" i="10" s="1"/>
  <c r="Q233" i="3"/>
  <c r="Q233" i="10" s="1"/>
  <c r="Q526" i="3"/>
  <c r="Q526" i="10" s="1"/>
  <c r="Q425" i="3"/>
  <c r="Q425" i="10" s="1"/>
  <c r="Q367" i="3"/>
  <c r="Q367" i="10" s="1"/>
  <c r="Q391" i="3"/>
  <c r="Q391" i="10" s="1"/>
  <c r="Q126" i="3"/>
  <c r="Q126" i="10" s="1"/>
  <c r="Q82" i="3"/>
  <c r="Q82" i="10" s="1"/>
  <c r="Q542" i="3"/>
  <c r="Q542" i="10" s="1"/>
  <c r="Q385" i="3"/>
  <c r="Q385" i="10" s="1"/>
  <c r="Q175" i="3"/>
  <c r="Q175" i="10" s="1"/>
  <c r="Q331" i="3"/>
  <c r="Q331" i="10" s="1"/>
  <c r="Q378" i="3"/>
  <c r="Q378" i="10" s="1"/>
  <c r="Q231" i="3"/>
  <c r="Q231" i="10" s="1"/>
  <c r="Q389" i="3"/>
  <c r="Q389" i="10" s="1"/>
  <c r="Q198" i="3"/>
  <c r="Q198" i="10" s="1"/>
  <c r="Q132" i="3"/>
  <c r="Q132" i="10" s="1"/>
  <c r="Q147" i="3"/>
  <c r="Q147" i="10" s="1"/>
  <c r="Q290" i="3"/>
  <c r="Q290" i="10" s="1"/>
  <c r="Q416" i="3"/>
  <c r="Q416" i="10" s="1"/>
  <c r="Q20" i="3"/>
  <c r="Q20" i="10" s="1"/>
  <c r="Q209" i="3"/>
  <c r="Q209" i="10" s="1"/>
  <c r="Q263" i="3"/>
  <c r="Q263" i="10" s="1"/>
  <c r="Q353" i="3"/>
  <c r="Q353" i="10" s="1"/>
  <c r="Q383" i="3"/>
  <c r="Q383" i="10" s="1"/>
  <c r="Q360" i="3"/>
  <c r="Q360" i="10" s="1"/>
  <c r="Q265" i="3"/>
  <c r="Q265" i="10" s="1"/>
  <c r="Q222" i="3"/>
  <c r="Q222" i="10" s="1"/>
  <c r="Q510" i="3"/>
  <c r="Q510" i="10" s="1"/>
  <c r="Q359" i="3"/>
  <c r="Q359" i="10" s="1"/>
  <c r="Q468" i="3"/>
  <c r="Q468" i="10" s="1"/>
  <c r="Q429" i="3"/>
  <c r="Q429" i="10" s="1"/>
  <c r="Q484" i="3"/>
  <c r="Q484" i="10" s="1"/>
  <c r="Q532" i="3"/>
  <c r="Q532" i="10" s="1"/>
  <c r="Q509" i="3"/>
  <c r="Q509" i="10" s="1"/>
  <c r="Q163" i="3"/>
  <c r="Q163" i="10" s="1"/>
  <c r="Q149" i="3"/>
  <c r="Q149" i="10" s="1"/>
  <c r="Q111" i="3"/>
  <c r="Q111" i="10" s="1"/>
  <c r="Q504" i="3"/>
  <c r="Q504" i="10" s="1"/>
  <c r="Q502" i="3"/>
  <c r="Q502" i="10" s="1"/>
  <c r="Q125" i="3"/>
  <c r="Q125" i="10" s="1"/>
  <c r="Q535" i="3"/>
  <c r="Q535" i="10" s="1"/>
  <c r="Q398" i="3"/>
  <c r="Q398" i="10" s="1"/>
  <c r="Q317" i="3"/>
  <c r="Q317" i="10" s="1"/>
  <c r="Q160" i="3"/>
  <c r="Q160" i="10" s="1"/>
  <c r="Q128" i="3"/>
  <c r="Q128" i="10" s="1"/>
  <c r="Q112" i="3"/>
  <c r="Q112" i="10" s="1"/>
  <c r="Q72" i="3"/>
  <c r="Q72" i="10" s="1"/>
  <c r="Q36" i="3"/>
  <c r="Q36" i="10" s="1"/>
  <c r="Q117" i="3"/>
  <c r="Q117" i="10" s="1"/>
  <c r="Q77" i="3"/>
  <c r="Q77" i="10" s="1"/>
  <c r="Q470" i="3"/>
  <c r="Q470" i="10" s="1"/>
  <c r="Q466" i="3"/>
  <c r="Q466" i="10" s="1"/>
  <c r="Q397" i="3"/>
  <c r="Q397" i="10" s="1"/>
  <c r="Q444" i="3"/>
  <c r="Q444" i="10" s="1"/>
  <c r="Q460" i="3"/>
  <c r="Q460" i="10" s="1"/>
  <c r="Q37" i="3"/>
  <c r="Q37" i="10" s="1"/>
  <c r="Q85" i="3"/>
  <c r="Q85" i="10" s="1"/>
  <c r="Q356" i="3"/>
  <c r="Q356" i="10" s="1"/>
  <c r="Q392" i="3"/>
  <c r="Q392" i="10" s="1"/>
  <c r="Q445" i="3"/>
  <c r="Q445" i="10" s="1"/>
  <c r="Q483" i="3"/>
  <c r="Q483" i="10" s="1"/>
  <c r="Q241" i="3"/>
  <c r="Q241" i="10" s="1"/>
  <c r="Q459" i="3"/>
  <c r="Q459" i="10" s="1"/>
  <c r="Q452" i="3"/>
  <c r="Q452" i="10" s="1"/>
  <c r="Q458" i="3"/>
  <c r="Q458" i="10" s="1"/>
  <c r="Q454" i="3"/>
  <c r="Q454" i="10" s="1"/>
  <c r="Q457" i="3"/>
  <c r="Q457" i="10" s="1"/>
  <c r="Q417" i="3"/>
  <c r="Q417" i="10" s="1"/>
  <c r="Q555" i="3"/>
  <c r="Q555" i="10" s="1"/>
  <c r="Q612" i="3"/>
  <c r="Q612" i="10" s="1"/>
  <c r="Q544" i="3"/>
  <c r="Q544" i="10" s="1"/>
  <c r="Q571" i="3"/>
  <c r="Q571" i="10" s="1"/>
  <c r="Q620" i="3"/>
  <c r="Q620" i="10" s="1"/>
  <c r="Q579" i="3"/>
  <c r="Q579" i="10" s="1"/>
  <c r="Q619" i="3"/>
  <c r="Q619" i="10" s="1"/>
  <c r="Q607" i="3"/>
  <c r="Q607" i="10" s="1"/>
  <c r="Q562" i="3"/>
  <c r="Q562" i="10" s="1"/>
  <c r="Q632" i="3"/>
  <c r="Q632" i="10" s="1"/>
  <c r="Q604" i="3"/>
  <c r="Q604" i="10" s="1"/>
  <c r="Q635" i="3"/>
  <c r="Q635" i="10" s="1"/>
  <c r="Q569" i="3"/>
  <c r="Q569" i="10" s="1"/>
  <c r="Q595" i="3"/>
  <c r="Q595" i="10" s="1"/>
  <c r="Q576" i="3"/>
  <c r="Q576" i="10" s="1"/>
  <c r="Q634" i="3"/>
  <c r="Q634" i="10" s="1"/>
  <c r="Q564" i="3"/>
  <c r="Q564" i="10" s="1"/>
  <c r="Q580" i="3"/>
  <c r="Q580" i="10" s="1"/>
  <c r="Q627" i="3"/>
  <c r="Q627" i="10" s="1"/>
  <c r="Q615" i="3"/>
  <c r="Q615" i="10" s="1"/>
  <c r="Q628" i="3"/>
  <c r="Q628" i="10" s="1"/>
  <c r="Q559" i="3"/>
  <c r="Q559" i="10" s="1"/>
  <c r="Q598" i="3"/>
  <c r="Q598" i="10" s="1"/>
  <c r="Q631" i="3"/>
  <c r="Q631" i="10" s="1"/>
  <c r="Q574" i="3"/>
  <c r="Q574" i="10" s="1"/>
  <c r="Q550" i="3"/>
  <c r="Q550" i="10" s="1"/>
  <c r="Q390" i="3"/>
  <c r="Q390" i="10" s="1"/>
  <c r="Q810" i="3"/>
  <c r="Q810" i="10" s="1"/>
  <c r="Q938" i="3"/>
  <c r="Q938" i="10" s="1"/>
  <c r="Q54" i="3"/>
  <c r="Q54" i="10" s="1"/>
  <c r="Q708" i="3"/>
  <c r="Q708" i="10" s="1"/>
  <c r="Q694" i="3"/>
  <c r="Q694" i="10" s="1"/>
  <c r="Q770" i="3"/>
  <c r="Q770" i="10" s="1"/>
  <c r="Q829" i="3"/>
  <c r="Q829" i="10" s="1"/>
  <c r="Q942" i="3"/>
  <c r="Q942" i="10" s="1"/>
  <c r="Q841" i="3"/>
  <c r="Q841" i="10" s="1"/>
  <c r="Q670" i="3"/>
  <c r="Q670" i="10" s="1"/>
  <c r="Q652" i="3"/>
  <c r="Q652" i="10" s="1"/>
  <c r="Q720" i="3"/>
  <c r="Q720" i="10" s="1"/>
  <c r="Q807" i="3"/>
  <c r="Q807" i="10" s="1"/>
  <c r="Q738" i="3"/>
  <c r="Q738" i="10" s="1"/>
  <c r="Q817" i="3"/>
  <c r="Q817" i="10" s="1"/>
  <c r="Q920" i="3"/>
  <c r="Q920" i="10" s="1"/>
  <c r="Q688" i="3"/>
  <c r="Q688" i="10" s="1"/>
  <c r="Q772" i="3"/>
  <c r="Q772" i="10" s="1"/>
  <c r="Q642" i="3"/>
  <c r="Q642" i="10" s="1"/>
  <c r="Q748" i="3"/>
  <c r="Q748" i="10" s="1"/>
  <c r="Q910" i="3"/>
  <c r="Q910" i="10" s="1"/>
  <c r="Q799" i="3"/>
  <c r="Q799" i="10" s="1"/>
  <c r="Q934" i="3"/>
  <c r="Q934" i="10" s="1"/>
  <c r="Q716" i="3"/>
  <c r="Q716" i="10" s="1"/>
  <c r="Q682" i="3"/>
  <c r="Q682" i="10" s="1"/>
  <c r="Q855" i="3"/>
  <c r="Q855" i="10" s="1"/>
  <c r="Q801" i="3"/>
  <c r="Q801" i="10" s="1"/>
  <c r="Q875" i="3"/>
  <c r="Q875" i="10" s="1"/>
  <c r="Q883" i="3"/>
  <c r="Q883" i="10" s="1"/>
  <c r="Q733" i="3"/>
  <c r="Q733" i="10" s="1"/>
  <c r="Q737" i="3"/>
  <c r="Q737" i="10" s="1"/>
  <c r="Q951" i="3"/>
  <c r="Q951" i="10" s="1"/>
  <c r="Q979" i="3"/>
  <c r="Q979" i="10" s="1"/>
  <c r="Q723" i="3"/>
  <c r="Q723" i="10" s="1"/>
  <c r="Q976" i="3"/>
  <c r="Q976" i="10" s="1"/>
  <c r="Q651" i="3"/>
  <c r="Q651" i="10" s="1"/>
  <c r="Q665" i="3"/>
  <c r="Q665" i="10" s="1"/>
  <c r="Q986" i="3"/>
  <c r="Q986" i="10" s="1"/>
  <c r="Q897" i="3"/>
  <c r="Q897" i="10" s="1"/>
  <c r="Q933" i="3"/>
  <c r="Q933" i="10" s="1"/>
  <c r="Q726" i="3"/>
  <c r="Q726" i="10" s="1"/>
  <c r="Q885" i="3"/>
  <c r="Q885" i="10" s="1"/>
  <c r="Q644" i="3"/>
  <c r="Q644" i="10" s="1"/>
  <c r="Q746" i="3"/>
  <c r="Q746" i="10" s="1"/>
  <c r="Q863" i="3"/>
  <c r="Q863" i="10" s="1"/>
  <c r="Q956" i="3"/>
  <c r="Q956" i="10" s="1"/>
  <c r="Q816" i="3"/>
  <c r="Q816" i="10" s="1"/>
  <c r="Q796" i="3"/>
  <c r="Q796" i="10" s="1"/>
  <c r="Q874" i="3"/>
  <c r="Q874" i="10" s="1"/>
  <c r="Q899" i="3"/>
  <c r="Q899" i="10" s="1"/>
  <c r="Q995" i="3"/>
  <c r="Q995" i="10" s="1"/>
  <c r="Q957" i="3"/>
  <c r="Q957" i="10" s="1"/>
  <c r="Q973" i="3"/>
  <c r="Q973" i="10" s="1"/>
  <c r="Q747" i="3"/>
  <c r="Q747" i="10" s="1"/>
  <c r="Q992" i="3"/>
  <c r="Q992" i="10" s="1"/>
  <c r="Q978" i="3"/>
  <c r="Q978" i="10" s="1"/>
  <c r="Q965" i="3"/>
  <c r="Q965" i="10" s="1"/>
  <c r="Q784" i="3"/>
  <c r="Q784" i="10" s="1"/>
  <c r="Q690" i="3"/>
  <c r="Q690" i="10" s="1"/>
  <c r="Q751" i="3"/>
  <c r="Q751" i="10" s="1"/>
  <c r="Q839" i="3"/>
  <c r="Q839" i="10" s="1"/>
  <c r="Q946" i="3"/>
  <c r="Q946" i="10" s="1"/>
  <c r="Q849" i="3"/>
  <c r="Q849" i="10" s="1"/>
  <c r="Q954" i="3"/>
  <c r="Q954" i="10" s="1"/>
  <c r="Q788" i="3"/>
  <c r="Q788" i="10" s="1"/>
  <c r="Q985" i="3"/>
  <c r="Q985" i="10" s="1"/>
  <c r="Q893" i="3"/>
  <c r="Q893" i="10" s="1"/>
  <c r="Q697" i="3"/>
  <c r="Q697" i="10" s="1"/>
  <c r="Q673" i="3"/>
  <c r="Q673" i="10" s="1"/>
  <c r="Q971" i="3"/>
  <c r="Q971" i="10" s="1"/>
  <c r="Q860" i="3"/>
  <c r="Q860" i="10" s="1"/>
  <c r="Q681" i="3"/>
  <c r="Q681" i="10" s="1"/>
  <c r="Q731" i="3"/>
  <c r="Q731" i="10" s="1"/>
  <c r="Q693" i="3"/>
  <c r="Q693" i="10" s="1"/>
  <c r="Q685" i="3"/>
  <c r="Q685" i="10" s="1"/>
  <c r="Q700" i="3"/>
  <c r="Q700" i="10" s="1"/>
  <c r="Q704" i="3"/>
  <c r="Q704" i="10" s="1"/>
  <c r="Q640" i="3"/>
  <c r="Q640" i="10" s="1"/>
  <c r="Q709" i="3"/>
  <c r="Q709" i="10" s="1"/>
  <c r="Q996" i="3"/>
  <c r="Q996" i="10" s="1"/>
  <c r="Q765" i="3"/>
  <c r="Q765" i="10" s="1"/>
  <c r="Q724" i="3"/>
  <c r="Q724" i="10" s="1"/>
  <c r="Q998" i="3"/>
  <c r="Q998" i="10" s="1"/>
  <c r="Q889" i="3"/>
  <c r="Q889" i="10" s="1"/>
  <c r="Q703" i="3"/>
  <c r="Q703" i="10" s="1"/>
  <c r="Q835" i="3"/>
  <c r="Q835" i="10" s="1"/>
  <c r="Q32" i="3"/>
  <c r="Q32" i="10" s="1"/>
  <c r="Q969" i="3"/>
  <c r="Q969" i="10" s="1"/>
  <c r="Q721" i="3"/>
  <c r="Q721" i="10" s="1"/>
  <c r="Q771" i="3"/>
  <c r="Q771" i="10" s="1"/>
  <c r="Q961" i="3"/>
  <c r="Q961" i="10" s="1"/>
  <c r="Q882" i="3"/>
  <c r="Q882" i="10" s="1"/>
  <c r="Q661" i="3"/>
  <c r="Q661" i="10" s="1"/>
  <c r="Q962" i="3"/>
  <c r="Q962" i="10" s="1"/>
  <c r="Q437" i="3"/>
  <c r="Q437" i="10" s="1"/>
  <c r="Q17" i="3"/>
  <c r="Q17" i="10" s="1"/>
  <c r="Q254" i="3"/>
  <c r="Q254" i="10" s="1"/>
  <c r="Q95" i="3"/>
  <c r="Q95" i="10" s="1"/>
  <c r="Q144" i="3"/>
  <c r="Q144" i="10" s="1"/>
  <c r="Q107" i="3"/>
  <c r="Q107" i="10" s="1"/>
  <c r="Q469" i="3"/>
  <c r="Q469" i="10" s="1"/>
  <c r="Q103" i="3"/>
  <c r="Q103" i="10" s="1"/>
  <c r="Q97" i="3"/>
  <c r="Q97" i="10" s="1"/>
  <c r="Q249" i="3"/>
  <c r="Q249" i="10" s="1"/>
  <c r="Q218" i="3"/>
  <c r="Q218" i="10" s="1"/>
  <c r="Q186" i="3"/>
  <c r="Q186" i="10" s="1"/>
  <c r="Q351" i="3"/>
  <c r="Q351" i="10" s="1"/>
  <c r="Q253" i="3"/>
  <c r="Q253" i="10" s="1"/>
  <c r="Q277" i="3"/>
  <c r="Q277" i="10" s="1"/>
  <c r="Q482" i="3"/>
  <c r="Q482" i="10" s="1"/>
  <c r="Q404" i="3"/>
  <c r="Q404" i="10" s="1"/>
  <c r="Q245" i="3"/>
  <c r="Q245" i="10" s="1"/>
  <c r="Q343" i="3"/>
  <c r="Q343" i="10" s="1"/>
  <c r="Q304" i="3"/>
  <c r="Q304" i="10" s="1"/>
  <c r="Q523" i="3"/>
  <c r="Q523" i="10" s="1"/>
  <c r="Q285" i="3"/>
  <c r="Q285" i="10" s="1"/>
  <c r="Q431" i="3"/>
  <c r="Q431" i="10" s="1"/>
  <c r="Q51" i="3"/>
  <c r="Q51" i="10" s="1"/>
  <c r="Q196" i="3"/>
  <c r="Q196" i="10" s="1"/>
  <c r="Q213" i="3"/>
  <c r="Q213" i="10" s="1"/>
  <c r="Q382" i="3"/>
  <c r="Q382" i="10" s="1"/>
  <c r="Q346" i="3"/>
  <c r="Q346" i="10" s="1"/>
  <c r="Q27" i="3"/>
  <c r="Q27" i="10" s="1"/>
  <c r="Q86" i="3"/>
  <c r="Q86" i="10" s="1"/>
  <c r="Q48" i="3"/>
  <c r="Q48" i="10" s="1"/>
  <c r="Q22" i="3"/>
  <c r="Q22" i="10" s="1"/>
  <c r="Q5" i="3"/>
  <c r="Q5" i="10" s="1"/>
  <c r="Q461" i="3"/>
  <c r="Q461" i="10" s="1"/>
  <c r="Q473" i="3"/>
  <c r="Q473" i="10" s="1"/>
  <c r="Q362" i="3"/>
  <c r="Q362" i="10" s="1"/>
  <c r="Q133" i="3"/>
  <c r="Q133" i="10" s="1"/>
  <c r="Q424" i="3"/>
  <c r="Q424" i="10" s="1"/>
  <c r="Q354" i="3"/>
  <c r="Q354" i="10" s="1"/>
  <c r="Q406" i="3"/>
  <c r="Q406" i="10" s="1"/>
  <c r="Q365" i="3"/>
  <c r="Q365" i="10" s="1"/>
  <c r="Q342" i="3"/>
  <c r="Q342" i="10" s="1"/>
  <c r="Q246" i="3"/>
  <c r="Q246" i="10" s="1"/>
  <c r="Q7" i="3"/>
  <c r="Q7" i="10" s="1"/>
  <c r="Q197" i="3"/>
  <c r="Q197" i="10" s="1"/>
  <c r="Q46" i="3"/>
  <c r="Q46" i="10" s="1"/>
  <c r="Q25" i="3"/>
  <c r="Q25" i="10" s="1"/>
  <c r="Q199" i="3"/>
  <c r="Q199" i="10" s="1"/>
  <c r="Q255" i="3"/>
  <c r="Q255" i="10" s="1"/>
  <c r="Q407" i="3"/>
  <c r="Q407" i="10" s="1"/>
  <c r="Q361" i="3"/>
  <c r="Q361" i="10" s="1"/>
  <c r="Q236" i="3"/>
  <c r="Q236" i="10" s="1"/>
  <c r="Q316" i="3"/>
  <c r="Q316" i="10" s="1"/>
  <c r="Q528" i="3"/>
  <c r="Q528" i="10" s="1"/>
  <c r="Q166" i="3"/>
  <c r="Q166" i="10" s="1"/>
  <c r="Q53" i="3"/>
  <c r="Q53" i="10" s="1"/>
  <c r="Q217" i="3"/>
  <c r="Q217" i="10" s="1"/>
  <c r="Q475" i="3"/>
  <c r="Q475" i="10" s="1"/>
  <c r="Q279" i="3"/>
  <c r="Q279" i="10" s="1"/>
  <c r="Q256" i="3"/>
  <c r="Q256" i="10" s="1"/>
  <c r="Q122" i="3"/>
  <c r="Q122" i="10" s="1"/>
  <c r="Q371" i="3"/>
  <c r="Q371" i="10" s="1"/>
  <c r="Q78" i="3"/>
  <c r="Q78" i="10" s="1"/>
  <c r="Q216" i="3"/>
  <c r="Q216" i="10" s="1"/>
  <c r="Q176" i="3"/>
  <c r="Q176" i="10" s="1"/>
  <c r="Q282" i="3"/>
  <c r="Q282" i="10" s="1"/>
  <c r="Q403" i="3"/>
  <c r="Q403" i="10" s="1"/>
  <c r="Q214" i="3"/>
  <c r="Q214" i="10" s="1"/>
  <c r="Q224" i="3"/>
  <c r="Q224" i="10" s="1"/>
  <c r="Q192" i="3"/>
  <c r="Q192" i="10" s="1"/>
  <c r="Q185" i="3"/>
  <c r="Q185" i="10" s="1"/>
  <c r="Q338" i="3"/>
  <c r="Q338" i="10" s="1"/>
  <c r="Q381" i="3"/>
  <c r="Q381" i="10" s="1"/>
  <c r="Q411" i="3"/>
  <c r="Q411" i="10" s="1"/>
  <c r="Q96" i="3"/>
  <c r="Q96" i="10" s="1"/>
  <c r="Q230" i="3"/>
  <c r="Q230" i="10" s="1"/>
  <c r="Q168" i="3"/>
  <c r="Q168" i="10" s="1"/>
  <c r="Q106" i="3"/>
  <c r="Q106" i="10" s="1"/>
  <c r="Q174" i="3"/>
  <c r="Q174" i="10" s="1"/>
  <c r="Q297" i="3"/>
  <c r="Q297" i="10" s="1"/>
  <c r="Q66" i="3"/>
  <c r="Q66" i="10" s="1"/>
  <c r="Q110" i="3"/>
  <c r="Q110" i="10" s="1"/>
  <c r="Q323" i="3"/>
  <c r="Q323" i="10" s="1"/>
  <c r="Q187" i="3"/>
  <c r="Q187" i="10" s="1"/>
  <c r="Q138" i="3"/>
  <c r="Q138" i="10" s="1"/>
  <c r="Q190" i="3"/>
  <c r="Q190" i="10" s="1"/>
  <c r="Q288" i="3"/>
  <c r="Q288" i="10" s="1"/>
  <c r="Q370" i="3"/>
  <c r="Q370" i="10" s="1"/>
  <c r="Q142" i="3"/>
  <c r="Q142" i="10" s="1"/>
  <c r="Q215" i="3"/>
  <c r="Q215" i="10" s="1"/>
  <c r="Q355" i="3"/>
  <c r="Q355" i="10" s="1"/>
  <c r="Q448" i="3"/>
  <c r="Q448" i="10" s="1"/>
  <c r="Q313" i="3"/>
  <c r="Q313" i="10" s="1"/>
  <c r="Q486" i="3"/>
  <c r="Q486" i="10" s="1"/>
  <c r="Q518" i="3"/>
  <c r="Q518" i="10" s="1"/>
  <c r="Q480" i="3"/>
  <c r="Q480" i="10" s="1"/>
  <c r="Q537" i="3"/>
  <c r="Q537" i="10" s="1"/>
  <c r="Q481" i="3"/>
  <c r="Q481" i="10" s="1"/>
  <c r="Q500" i="3"/>
  <c r="Q500" i="10" s="1"/>
  <c r="Q446" i="3"/>
  <c r="Q446" i="10" s="1"/>
  <c r="Q161" i="3"/>
  <c r="Q161" i="10" s="1"/>
  <c r="Q159" i="3"/>
  <c r="Q159" i="10" s="1"/>
  <c r="Q536" i="3"/>
  <c r="Q536" i="10" s="1"/>
  <c r="Q540" i="3"/>
  <c r="Q540" i="10" s="1"/>
  <c r="Q508" i="3"/>
  <c r="Q508" i="10" s="1"/>
  <c r="Q151" i="3"/>
  <c r="Q151" i="10" s="1"/>
  <c r="Q311" i="3"/>
  <c r="Q311" i="10" s="1"/>
  <c r="Q39" i="3"/>
  <c r="Q39" i="10" s="1"/>
  <c r="Q87" i="3"/>
  <c r="Q87" i="10" s="1"/>
  <c r="Q462" i="3"/>
  <c r="Q462" i="10" s="1"/>
  <c r="Q514" i="3"/>
  <c r="Q514" i="10" s="1"/>
  <c r="Q357" i="3"/>
  <c r="Q357" i="10" s="1"/>
  <c r="Q156" i="3"/>
  <c r="Q156" i="10" s="1"/>
  <c r="Q124" i="3"/>
  <c r="Q124" i="10" s="1"/>
  <c r="Q84" i="3"/>
  <c r="Q84" i="10" s="1"/>
  <c r="Q68" i="3"/>
  <c r="Q68" i="10" s="1"/>
  <c r="Q119" i="3"/>
  <c r="Q119" i="10" s="1"/>
  <c r="Q71" i="3"/>
  <c r="Q71" i="10" s="1"/>
  <c r="Q45" i="3"/>
  <c r="Q45" i="10" s="1"/>
  <c r="Q428" i="3"/>
  <c r="Q428" i="10" s="1"/>
  <c r="Q426" i="3"/>
  <c r="Q426" i="10" s="1"/>
  <c r="Q314" i="3"/>
  <c r="Q314" i="10" s="1"/>
  <c r="Q41" i="3"/>
  <c r="Q41" i="10" s="1"/>
  <c r="Q75" i="3"/>
  <c r="Q75" i="10" s="1"/>
  <c r="Q442" i="3"/>
  <c r="Q442" i="10" s="1"/>
  <c r="Q520" i="3"/>
  <c r="Q520" i="10" s="1"/>
  <c r="Q455" i="3"/>
  <c r="Q455" i="10" s="1"/>
  <c r="Q432" i="3"/>
  <c r="Q432" i="10" s="1"/>
  <c r="Q237" i="3"/>
  <c r="Q237" i="10" s="1"/>
  <c r="Q477" i="3"/>
  <c r="Q477" i="10" s="1"/>
  <c r="Q530" i="3"/>
  <c r="Q530" i="10" s="1"/>
  <c r="Q487" i="3"/>
  <c r="Q487" i="10" s="1"/>
  <c r="Q507" i="3"/>
  <c r="Q507" i="10" s="1"/>
  <c r="Q506" i="3"/>
  <c r="Q506" i="10" s="1"/>
  <c r="Q511" i="3"/>
  <c r="Q511" i="10" s="1"/>
  <c r="O2" i="3"/>
  <c r="P608" i="3"/>
  <c r="P608" i="10" s="1"/>
  <c r="M605" i="3"/>
  <c r="M545" i="3"/>
  <c r="P555" i="3"/>
  <c r="P555" i="10" s="1"/>
  <c r="P552" i="3"/>
  <c r="P552" i="10" s="1"/>
  <c r="M628" i="3"/>
  <c r="M566" i="3"/>
  <c r="P589" i="3"/>
  <c r="M594" i="3"/>
  <c r="M556" i="3"/>
  <c r="P544" i="3"/>
  <c r="P544" i="10" s="1"/>
  <c r="M631" i="3"/>
  <c r="M570" i="3"/>
  <c r="P633" i="3"/>
  <c r="M615" i="3"/>
  <c r="M553" i="3"/>
  <c r="P548" i="3"/>
  <c r="P548" i="10" s="1"/>
  <c r="P618" i="3"/>
  <c r="M611" i="3"/>
  <c r="M569" i="3"/>
  <c r="P12" i="3"/>
  <c r="P12" i="10" s="1"/>
  <c r="P551" i="3"/>
  <c r="M600" i="3"/>
  <c r="M550" i="3"/>
  <c r="M589" i="3"/>
  <c r="P616" i="3"/>
  <c r="M576" i="3"/>
  <c r="P612" i="3"/>
  <c r="M572" i="3"/>
  <c r="P590" i="3"/>
  <c r="P571" i="3"/>
  <c r="P571" i="10" s="1"/>
  <c r="P591" i="3"/>
  <c r="P591" i="10" s="1"/>
  <c r="P603" i="3"/>
  <c r="P603" i="10" s="1"/>
  <c r="M624" i="3"/>
  <c r="M603" i="3"/>
  <c r="M582" i="3"/>
  <c r="M561" i="3"/>
  <c r="M544" i="3"/>
  <c r="M633" i="3"/>
  <c r="M578" i="3"/>
  <c r="P623" i="3"/>
  <c r="P623" i="10" s="1"/>
  <c r="M584" i="3"/>
  <c r="P620" i="3"/>
  <c r="P620" i="10" s="1"/>
  <c r="M580" i="3"/>
  <c r="M552" i="3"/>
  <c r="P606" i="3"/>
  <c r="P579" i="3"/>
  <c r="P579" i="10" s="1"/>
  <c r="M627" i="3"/>
  <c r="M607" i="3"/>
  <c r="M586" i="3"/>
  <c r="M565" i="3"/>
  <c r="P621" i="3"/>
  <c r="P572" i="3"/>
  <c r="P572" i="10" s="1"/>
  <c r="M599" i="3"/>
  <c r="M551" i="3"/>
  <c r="P545" i="3"/>
  <c r="P545" i="10" s="1"/>
  <c r="P622" i="3"/>
  <c r="P622" i="10" s="1"/>
  <c r="P581" i="3"/>
  <c r="M620" i="3"/>
  <c r="P577" i="3"/>
  <c r="M558" i="3"/>
  <c r="P602" i="3"/>
  <c r="P619" i="3"/>
  <c r="P619" i="10" s="1"/>
  <c r="M626" i="3"/>
  <c r="M606" i="3"/>
  <c r="M585" i="3"/>
  <c r="M563" i="3"/>
  <c r="P614" i="3"/>
  <c r="P556" i="3"/>
  <c r="P556" i="10" s="1"/>
  <c r="P584" i="3"/>
  <c r="M548" i="3"/>
  <c r="P599" i="3"/>
  <c r="P599" i="10" s="1"/>
  <c r="M587" i="3"/>
  <c r="P561" i="3"/>
  <c r="P607" i="3"/>
  <c r="P607" i="10" s="1"/>
  <c r="P592" i="3"/>
  <c r="M559" i="3"/>
  <c r="P575" i="3"/>
  <c r="M591" i="3"/>
  <c r="P560" i="3"/>
  <c r="M592" i="3"/>
  <c r="M588" i="3"/>
  <c r="M630" i="3"/>
  <c r="M590" i="3"/>
  <c r="P553" i="3"/>
  <c r="P553" i="10" s="1"/>
  <c r="M568" i="3"/>
  <c r="P562" i="3"/>
  <c r="P562" i="10" s="1"/>
  <c r="P637" i="3"/>
  <c r="P637" i="10" s="1"/>
  <c r="M557" i="3"/>
  <c r="M547" i="3"/>
  <c r="P632" i="3"/>
  <c r="P632" i="10" s="1"/>
  <c r="M608" i="3"/>
  <c r="P565" i="3"/>
  <c r="P565" i="10" s="1"/>
  <c r="M604" i="3"/>
  <c r="M554" i="3"/>
  <c r="P578" i="3"/>
  <c r="P636" i="3"/>
  <c r="P636" i="10" s="1"/>
  <c r="M619" i="3"/>
  <c r="M598" i="3"/>
  <c r="M577" i="3"/>
  <c r="M555" i="3"/>
  <c r="M636" i="3"/>
  <c r="P604" i="3"/>
  <c r="P604" i="10" s="1"/>
  <c r="M621" i="3"/>
  <c r="M573" i="3"/>
  <c r="M543" i="3"/>
  <c r="P635" i="3"/>
  <c r="P635" i="10" s="1"/>
  <c r="M616" i="3"/>
  <c r="P573" i="3"/>
  <c r="P573" i="10" s="1"/>
  <c r="M612" i="3"/>
  <c r="P569" i="3"/>
  <c r="P569" i="10" s="1"/>
  <c r="P586" i="3"/>
  <c r="M560" i="3"/>
  <c r="P567" i="3"/>
  <c r="P595" i="3"/>
  <c r="P595" i="10" s="1"/>
  <c r="M623" i="3"/>
  <c r="M602" i="3"/>
  <c r="M581" i="3"/>
  <c r="P576" i="3"/>
  <c r="P576" i="10" s="1"/>
  <c r="P611" i="3"/>
  <c r="M583" i="3"/>
  <c r="P543" i="3"/>
  <c r="P634" i="3"/>
  <c r="P634" i="10" s="1"/>
  <c r="P613" i="3"/>
  <c r="P568" i="3"/>
  <c r="P568" i="10" s="1"/>
  <c r="P609" i="3"/>
  <c r="P564" i="3"/>
  <c r="P564" i="10" s="1"/>
  <c r="P582" i="3"/>
  <c r="M622" i="3"/>
  <c r="M601" i="3"/>
  <c r="M579" i="3"/>
  <c r="P558" i="3"/>
  <c r="P585" i="3"/>
  <c r="P585" i="10" s="1"/>
  <c r="P624" i="3"/>
  <c r="P580" i="3"/>
  <c r="P580" i="10" s="1"/>
  <c r="P610" i="3"/>
  <c r="M609" i="3"/>
  <c r="P594" i="3"/>
  <c r="P627" i="3"/>
  <c r="P627" i="10" s="1"/>
  <c r="P588" i="3"/>
  <c r="P583" i="3"/>
  <c r="P583" i="10" s="1"/>
  <c r="M613" i="3"/>
  <c r="M638" i="3"/>
  <c r="M596" i="3"/>
  <c r="M637" i="3"/>
  <c r="P626" i="3"/>
  <c r="P615" i="3"/>
  <c r="P615" i="10" s="1"/>
  <c r="P629" i="3"/>
  <c r="P617" i="3"/>
  <c r="P617" i="10" s="1"/>
  <c r="P587" i="3"/>
  <c r="M625" i="3"/>
  <c r="P638" i="3"/>
  <c r="P557" i="3"/>
  <c r="P557" i="10" s="1"/>
  <c r="P549" i="3"/>
  <c r="P628" i="3"/>
  <c r="P628" i="10" s="1"/>
  <c r="P597" i="3"/>
  <c r="P546" i="3"/>
  <c r="P546" i="10" s="1"/>
  <c r="P593" i="3"/>
  <c r="P559" i="3"/>
  <c r="P559" i="10" s="1"/>
  <c r="M562" i="3"/>
  <c r="M632" i="3"/>
  <c r="M614" i="3"/>
  <c r="M593" i="3"/>
  <c r="M571" i="3"/>
  <c r="P625" i="3"/>
  <c r="P625" i="10" s="1"/>
  <c r="M564" i="3"/>
  <c r="P598" i="3"/>
  <c r="P598" i="10" s="1"/>
  <c r="M610" i="3"/>
  <c r="M567" i="3"/>
  <c r="P547" i="3"/>
  <c r="P631" i="3"/>
  <c r="P631" i="10" s="1"/>
  <c r="P605" i="3"/>
  <c r="P563" i="3"/>
  <c r="P563" i="10" s="1"/>
  <c r="P601" i="3"/>
  <c r="P574" i="3"/>
  <c r="P574" i="10" s="1"/>
  <c r="M635" i="3"/>
  <c r="M618" i="3"/>
  <c r="M597" i="3"/>
  <c r="M575" i="3"/>
  <c r="M549" i="3"/>
  <c r="P554" i="3"/>
  <c r="P554" i="10" s="1"/>
  <c r="P566" i="3"/>
  <c r="M629" i="3"/>
  <c r="P630" i="3"/>
  <c r="P600" i="3"/>
  <c r="P600" i="10" s="1"/>
  <c r="P596" i="3"/>
  <c r="P550" i="3"/>
  <c r="P550" i="10" s="1"/>
  <c r="P570" i="3"/>
  <c r="M634" i="3"/>
  <c r="M617" i="3"/>
  <c r="M595" i="3"/>
  <c r="M574" i="3"/>
  <c r="P28" i="3"/>
  <c r="P28" i="10" s="1"/>
  <c r="P243" i="3"/>
  <c r="P390" i="3"/>
  <c r="P390" i="10" s="1"/>
  <c r="P58" i="3"/>
  <c r="P262" i="3"/>
  <c r="P262" i="10" s="1"/>
  <c r="P9" i="3"/>
  <c r="M650" i="3"/>
  <c r="M679" i="3"/>
  <c r="P868" i="3"/>
  <c r="P868" i="10" s="1"/>
  <c r="P937" i="3"/>
  <c r="P810" i="3"/>
  <c r="P810" i="10" s="1"/>
  <c r="M766" i="3"/>
  <c r="P884" i="3"/>
  <c r="P884" i="10" s="1"/>
  <c r="P913" i="3"/>
  <c r="M801" i="3"/>
  <c r="M682" i="3"/>
  <c r="P645" i="3"/>
  <c r="P645" i="10" s="1"/>
  <c r="M821" i="3"/>
  <c r="M809" i="3"/>
  <c r="M823" i="3"/>
  <c r="P991" i="3"/>
  <c r="P991" i="10" s="1"/>
  <c r="P769" i="3"/>
  <c r="M847" i="3"/>
  <c r="P691" i="3"/>
  <c r="P994" i="3"/>
  <c r="P994" i="10" s="1"/>
  <c r="M772" i="3"/>
  <c r="P938" i="3"/>
  <c r="P938" i="10" s="1"/>
  <c r="M950" i="3"/>
  <c r="P926" i="3"/>
  <c r="P926" i="10" s="1"/>
  <c r="M345" i="3"/>
  <c r="P54" i="3"/>
  <c r="P54" i="10" s="1"/>
  <c r="P24" i="3"/>
  <c r="P384" i="3"/>
  <c r="P384" i="10" s="1"/>
  <c r="M418" i="3"/>
  <c r="M641" i="3"/>
  <c r="P650" i="3"/>
  <c r="P646" i="3"/>
  <c r="P646" i="10" s="1"/>
  <c r="P695" i="3"/>
  <c r="P708" i="3"/>
  <c r="P708" i="10" s="1"/>
  <c r="P718" i="3"/>
  <c r="M741" i="3"/>
  <c r="P752" i="3"/>
  <c r="M785" i="3"/>
  <c r="P663" i="3"/>
  <c r="P671" i="3"/>
  <c r="P671" i="10" s="1"/>
  <c r="P684" i="3"/>
  <c r="P694" i="3"/>
  <c r="P694" i="10" s="1"/>
  <c r="M717" i="3"/>
  <c r="P728" i="3"/>
  <c r="P728" i="10" s="1"/>
  <c r="M761" i="3"/>
  <c r="P770" i="3"/>
  <c r="P770" i="10" s="1"/>
  <c r="P792" i="3"/>
  <c r="P805" i="3"/>
  <c r="P805" i="10" s="1"/>
  <c r="P815" i="3"/>
  <c r="M669" i="3"/>
  <c r="M693" i="3"/>
  <c r="P732" i="3"/>
  <c r="P732" i="10" s="1"/>
  <c r="M777" i="3"/>
  <c r="P829" i="3"/>
  <c r="P829" i="10" s="1"/>
  <c r="P861" i="3"/>
  <c r="M900" i="3"/>
  <c r="M930" i="3"/>
  <c r="P942" i="3"/>
  <c r="P942" i="10" s="1"/>
  <c r="P968" i="3"/>
  <c r="M769" i="3"/>
  <c r="P813" i="3"/>
  <c r="P841" i="3"/>
  <c r="P841" i="10" s="1"/>
  <c r="P881" i="3"/>
  <c r="M922" i="3"/>
  <c r="P944" i="3"/>
  <c r="P670" i="3"/>
  <c r="P670" i="10" s="1"/>
  <c r="P647" i="3"/>
  <c r="P660" i="3"/>
  <c r="P660" i="10" s="1"/>
  <c r="P648" i="3"/>
  <c r="P652" i="3"/>
  <c r="P652" i="10" s="1"/>
  <c r="P676" i="3"/>
  <c r="P686" i="3"/>
  <c r="P686" i="10" s="1"/>
  <c r="M709" i="3"/>
  <c r="P720" i="3"/>
  <c r="P720" i="10" s="1"/>
  <c r="M753" i="3"/>
  <c r="P762" i="3"/>
  <c r="P762" i="10" s="1"/>
  <c r="P797" i="3"/>
  <c r="P807" i="3"/>
  <c r="P807" i="10" s="1"/>
  <c r="M685" i="3"/>
  <c r="P696" i="3"/>
  <c r="P696" i="10" s="1"/>
  <c r="M729" i="3"/>
  <c r="P738" i="3"/>
  <c r="P738" i="10" s="1"/>
  <c r="P767" i="3"/>
  <c r="P780" i="3"/>
  <c r="P780" i="10" s="1"/>
  <c r="M806" i="3"/>
  <c r="P817" i="3"/>
  <c r="P817" i="10" s="1"/>
  <c r="M673" i="3"/>
  <c r="P710" i="3"/>
  <c r="P710" i="10" s="1"/>
  <c r="M733" i="3"/>
  <c r="M757" i="3"/>
  <c r="P789" i="3"/>
  <c r="P837" i="3"/>
  <c r="P837" i="10" s="1"/>
  <c r="P869" i="3"/>
  <c r="P920" i="3"/>
  <c r="P920" i="10" s="1"/>
  <c r="M946" i="3"/>
  <c r="P958" i="3"/>
  <c r="P958" i="10" s="1"/>
  <c r="P857" i="3"/>
  <c r="M904" i="3"/>
  <c r="P928" i="3"/>
  <c r="P950" i="3"/>
  <c r="P950" i="10" s="1"/>
  <c r="M661" i="3"/>
  <c r="M649" i="3"/>
  <c r="P658" i="3"/>
  <c r="M653" i="3"/>
  <c r="M677" i="3"/>
  <c r="P688" i="3"/>
  <c r="P688" i="10" s="1"/>
  <c r="M721" i="3"/>
  <c r="P730" i="3"/>
  <c r="P730" i="10" s="1"/>
  <c r="P759" i="3"/>
  <c r="P772" i="3"/>
  <c r="P772" i="10" s="1"/>
  <c r="P782" i="3"/>
  <c r="M798" i="3"/>
  <c r="P809" i="3"/>
  <c r="P642" i="3"/>
  <c r="P642" i="10" s="1"/>
  <c r="M697" i="3"/>
  <c r="P706" i="3"/>
  <c r="P706" i="10" s="1"/>
  <c r="P735" i="3"/>
  <c r="P748" i="3"/>
  <c r="P748" i="10" s="1"/>
  <c r="P758" i="3"/>
  <c r="M781" i="3"/>
  <c r="M818" i="3"/>
  <c r="M665" i="3"/>
  <c r="P712" i="3"/>
  <c r="M737" i="3"/>
  <c r="P774" i="3"/>
  <c r="M790" i="3"/>
  <c r="P811" i="3"/>
  <c r="P845" i="3"/>
  <c r="P845" i="10" s="1"/>
  <c r="P877" i="3"/>
  <c r="P910" i="3"/>
  <c r="P910" i="10" s="1"/>
  <c r="P936" i="3"/>
  <c r="M962" i="3"/>
  <c r="M745" i="3"/>
  <c r="P799" i="3"/>
  <c r="P799" i="10" s="1"/>
  <c r="P825" i="3"/>
  <c r="P865" i="3"/>
  <c r="P865" i="10" s="1"/>
  <c r="P912" i="3"/>
  <c r="P934" i="3"/>
  <c r="P934" i="10" s="1"/>
  <c r="P655" i="3"/>
  <c r="M657" i="3"/>
  <c r="P666" i="3"/>
  <c r="P716" i="3"/>
  <c r="P716" i="10" s="1"/>
  <c r="P760" i="3"/>
  <c r="M645" i="3"/>
  <c r="P853" i="3"/>
  <c r="M802" i="3"/>
  <c r="M938" i="3"/>
  <c r="P775" i="3"/>
  <c r="P775" i="10" s="1"/>
  <c r="P672" i="3"/>
  <c r="P682" i="3"/>
  <c r="P682" i="10" s="1"/>
  <c r="P722" i="3"/>
  <c r="P756" i="3"/>
  <c r="P756" i="10" s="1"/>
  <c r="P823" i="3"/>
  <c r="P855" i="3"/>
  <c r="P855" i="10" s="1"/>
  <c r="P887" i="3"/>
  <c r="P914" i="3"/>
  <c r="P914" i="10" s="1"/>
  <c r="P940" i="3"/>
  <c r="M966" i="3"/>
  <c r="P678" i="3"/>
  <c r="M701" i="3"/>
  <c r="P742" i="3"/>
  <c r="P801" i="3"/>
  <c r="P801" i="10" s="1"/>
  <c r="M896" i="3"/>
  <c r="P960" i="3"/>
  <c r="P960" i="10" s="1"/>
  <c r="P662" i="3"/>
  <c r="P875" i="3"/>
  <c r="P875" i="10" s="1"/>
  <c r="P932" i="3"/>
  <c r="P867" i="3"/>
  <c r="P867" i="10" s="1"/>
  <c r="P783" i="3"/>
  <c r="P883" i="3"/>
  <c r="P883" i="10" s="1"/>
  <c r="M942" i="3"/>
  <c r="P922" i="3"/>
  <c r="P922" i="10" s="1"/>
  <c r="M878" i="3"/>
  <c r="M948" i="3"/>
  <c r="M708" i="3"/>
  <c r="M846" i="3"/>
  <c r="P818" i="3"/>
  <c r="P733" i="3"/>
  <c r="P733" i="10" s="1"/>
  <c r="M692" i="3"/>
  <c r="P989" i="3"/>
  <c r="P989" i="10" s="1"/>
  <c r="M970" i="3"/>
  <c r="M929" i="3"/>
  <c r="M971" i="3"/>
  <c r="M917" i="3"/>
  <c r="M804" i="3"/>
  <c r="M889" i="3"/>
  <c r="M857" i="3"/>
  <c r="M825" i="3"/>
  <c r="P715" i="3"/>
  <c r="M894" i="3"/>
  <c r="P850" i="3"/>
  <c r="M812" i="3"/>
  <c r="M643" i="3"/>
  <c r="M884" i="3"/>
  <c r="M863" i="3"/>
  <c r="M820" i="3"/>
  <c r="M667" i="3"/>
  <c r="M791" i="3"/>
  <c r="M740" i="3"/>
  <c r="M784" i="3"/>
  <c r="M817" i="3"/>
  <c r="M874" i="3"/>
  <c r="M716" i="3"/>
  <c r="M789" i="3"/>
  <c r="M648" i="3"/>
  <c r="P737" i="3"/>
  <c r="P737" i="10" s="1"/>
  <c r="M999" i="3"/>
  <c r="M996" i="3"/>
  <c r="P974" i="3"/>
  <c r="P951" i="3"/>
  <c r="P951" i="10" s="1"/>
  <c r="M963" i="3"/>
  <c r="P925" i="3"/>
  <c r="P925" i="10" s="1"/>
  <c r="M937" i="3"/>
  <c r="P979" i="3"/>
  <c r="P979" i="10" s="1"/>
  <c r="P939" i="3"/>
  <c r="M899" i="3"/>
  <c r="P828" i="3"/>
  <c r="P723" i="3"/>
  <c r="P723" i="10" s="1"/>
  <c r="M779" i="3"/>
  <c r="P880" i="3"/>
  <c r="P880" i="10" s="1"/>
  <c r="P892" i="3"/>
  <c r="M872" i="3"/>
  <c r="M851" i="3"/>
  <c r="M940" i="3"/>
  <c r="M897" i="3"/>
  <c r="M912" i="3"/>
  <c r="P802" i="3"/>
  <c r="M768" i="3"/>
  <c r="M998" i="3"/>
  <c r="P976" i="3"/>
  <c r="P976" i="10" s="1"/>
  <c r="M913" i="3"/>
  <c r="P755" i="3"/>
  <c r="P755" i="10" s="1"/>
  <c r="M845" i="3"/>
  <c r="P651" i="3"/>
  <c r="P651" i="10" s="1"/>
  <c r="P838" i="3"/>
  <c r="M855" i="3"/>
  <c r="M800" i="3"/>
  <c r="M803" i="3"/>
  <c r="P729" i="3"/>
  <c r="P713" i="3"/>
  <c r="P713" i="10" s="1"/>
  <c r="P990" i="3"/>
  <c r="M941" i="3"/>
  <c r="M885" i="3"/>
  <c r="P886" i="3"/>
  <c r="P886" i="10" s="1"/>
  <c r="M839" i="3"/>
  <c r="M854" i="3"/>
  <c r="P649" i="3"/>
  <c r="P806" i="3"/>
  <c r="P806" i="10" s="1"/>
  <c r="M712" i="3"/>
  <c r="P665" i="3"/>
  <c r="P665" i="10" s="1"/>
  <c r="M927" i="3"/>
  <c r="P984" i="3"/>
  <c r="P984" i="10" s="1"/>
  <c r="P945" i="3"/>
  <c r="M915" i="3"/>
  <c r="M973" i="3"/>
  <c r="P787" i="3"/>
  <c r="P787" i="10" s="1"/>
  <c r="P683" i="3"/>
  <c r="M743" i="3"/>
  <c r="M778" i="3"/>
  <c r="M714" i="3"/>
  <c r="M642" i="3"/>
  <c r="M805" i="3"/>
  <c r="M752" i="3"/>
  <c r="M680" i="3"/>
  <c r="P977" i="3"/>
  <c r="P986" i="3"/>
  <c r="P986" i="10" s="1"/>
  <c r="M951" i="3"/>
  <c r="P931" i="3"/>
  <c r="P931" i="10" s="1"/>
  <c r="P953" i="3"/>
  <c r="M939" i="3"/>
  <c r="P832" i="3"/>
  <c r="M792" i="3"/>
  <c r="M739" i="3"/>
  <c r="P897" i="3"/>
  <c r="P897" i="10" s="1"/>
  <c r="M875" i="3"/>
  <c r="M832" i="3"/>
  <c r="P667" i="3"/>
  <c r="M767" i="3"/>
  <c r="M639" i="3"/>
  <c r="M663" i="3"/>
  <c r="M782" i="3"/>
  <c r="M750" i="3"/>
  <c r="M718" i="3"/>
  <c r="M686" i="3"/>
  <c r="M654" i="3"/>
  <c r="M748" i="3"/>
  <c r="P641" i="3"/>
  <c r="M984" i="3"/>
  <c r="M933" i="3"/>
  <c r="M869" i="3"/>
  <c r="P862" i="3"/>
  <c r="P890" i="3"/>
  <c r="P890" i="10" s="1"/>
  <c r="M828" i="3"/>
  <c r="P933" i="3"/>
  <c r="P933" i="10" s="1"/>
  <c r="P804" i="3"/>
  <c r="M751" i="3"/>
  <c r="M738" i="3"/>
  <c r="M674" i="3"/>
  <c r="P727" i="3"/>
  <c r="M773" i="3"/>
  <c r="P674" i="3"/>
  <c r="P726" i="3"/>
  <c r="P726" i="10" s="1"/>
  <c r="P821" i="3"/>
  <c r="P668" i="3"/>
  <c r="P668" i="10" s="1"/>
  <c r="P776" i="3"/>
  <c r="P885" i="3"/>
  <c r="P885" i="10" s="1"/>
  <c r="P952" i="3"/>
  <c r="P833" i="3"/>
  <c r="P833" i="10" s="1"/>
  <c r="P734" i="3"/>
  <c r="P644" i="3"/>
  <c r="P644" i="10" s="1"/>
  <c r="P679" i="3"/>
  <c r="P687" i="3"/>
  <c r="P687" i="10" s="1"/>
  <c r="P736" i="3"/>
  <c r="P746" i="3"/>
  <c r="P746" i="10" s="1"/>
  <c r="P786" i="3"/>
  <c r="M810" i="3"/>
  <c r="P831" i="3"/>
  <c r="P863" i="3"/>
  <c r="P863" i="10" s="1"/>
  <c r="P900" i="3"/>
  <c r="M918" i="3"/>
  <c r="P930" i="3"/>
  <c r="P956" i="3"/>
  <c r="P956" i="10" s="1"/>
  <c r="P680" i="3"/>
  <c r="M705" i="3"/>
  <c r="P744" i="3"/>
  <c r="P816" i="3"/>
  <c r="P816" i="10" s="1"/>
  <c r="P966" i="3"/>
  <c r="P964" i="3"/>
  <c r="P964" i="10" s="1"/>
  <c r="P827" i="3"/>
  <c r="M958" i="3"/>
  <c r="M910" i="3"/>
  <c r="P896" i="3"/>
  <c r="P896" i="10" s="1"/>
  <c r="P948" i="3"/>
  <c r="M908" i="3"/>
  <c r="M838" i="3"/>
  <c r="M640" i="3"/>
  <c r="M944" i="3"/>
  <c r="P796" i="3"/>
  <c r="P796" i="10" s="1"/>
  <c r="P701" i="3"/>
  <c r="M788" i="3"/>
  <c r="M664" i="3"/>
  <c r="M644" i="3"/>
  <c r="M988" i="3"/>
  <c r="M978" i="3"/>
  <c r="M961" i="3"/>
  <c r="M991" i="3"/>
  <c r="M949" i="3"/>
  <c r="M881" i="3"/>
  <c r="M849" i="3"/>
  <c r="P874" i="3"/>
  <c r="P874" i="10" s="1"/>
  <c r="P842" i="3"/>
  <c r="M771" i="3"/>
  <c r="M902" i="3"/>
  <c r="P899" i="3"/>
  <c r="P899" i="10" s="1"/>
  <c r="M879" i="3"/>
  <c r="M836" i="3"/>
  <c r="M815" i="3"/>
  <c r="M797" i="3"/>
  <c r="M676" i="3"/>
  <c r="M684" i="3"/>
  <c r="P761" i="3"/>
  <c r="M968" i="3"/>
  <c r="M842" i="3"/>
  <c r="M764" i="3"/>
  <c r="P705" i="3"/>
  <c r="P995" i="3"/>
  <c r="P995" i="10" s="1"/>
  <c r="P927" i="3"/>
  <c r="M972" i="3"/>
  <c r="M935" i="3"/>
  <c r="P957" i="3"/>
  <c r="P957" i="10" s="1"/>
  <c r="P915" i="3"/>
  <c r="M975" i="3"/>
  <c r="P921" i="3"/>
  <c r="P973" i="3"/>
  <c r="P973" i="10" s="1"/>
  <c r="M923" i="3"/>
  <c r="P876" i="3"/>
  <c r="P876" i="10" s="1"/>
  <c r="P820" i="3"/>
  <c r="P747" i="3"/>
  <c r="P747" i="10" s="1"/>
  <c r="P856" i="3"/>
  <c r="M675" i="3"/>
  <c r="P848" i="3"/>
  <c r="M888" i="3"/>
  <c r="M867" i="3"/>
  <c r="M824" i="3"/>
  <c r="M936" i="3"/>
  <c r="M728" i="3"/>
  <c r="M834" i="3"/>
  <c r="P745" i="3"/>
  <c r="P745" i="10" s="1"/>
  <c r="M704" i="3"/>
  <c r="P992" i="3"/>
  <c r="P992" i="10" s="1"/>
  <c r="P975" i="3"/>
  <c r="M969" i="3"/>
  <c r="M659" i="3"/>
  <c r="M829" i="3"/>
  <c r="P822" i="3"/>
  <c r="M887" i="3"/>
  <c r="M844" i="3"/>
  <c r="M731" i="3"/>
  <c r="P741" i="3"/>
  <c r="P794" i="3"/>
  <c r="P794" i="10" s="1"/>
  <c r="P997" i="3"/>
  <c r="M853" i="3"/>
  <c r="P846" i="3"/>
  <c r="M816" i="3"/>
  <c r="M720" i="3"/>
  <c r="M668" i="3"/>
  <c r="M688" i="3"/>
  <c r="P653" i="3"/>
  <c r="P653" i="10" s="1"/>
  <c r="M1000" i="3"/>
  <c r="P978" i="3"/>
  <c r="P978" i="10" s="1"/>
  <c r="M919" i="3"/>
  <c r="P955" i="3"/>
  <c r="P955" i="10" s="1"/>
  <c r="P905" i="3"/>
  <c r="M848" i="3"/>
  <c r="M795" i="3"/>
  <c r="M711" i="3"/>
  <c r="M762" i="3"/>
  <c r="M698" i="3"/>
  <c r="M956" i="3"/>
  <c r="M964" i="3"/>
  <c r="M886" i="3"/>
  <c r="P965" i="3"/>
  <c r="P965" i="10" s="1"/>
  <c r="P980" i="3"/>
  <c r="P935" i="3"/>
  <c r="P935" i="10" s="1"/>
  <c r="P909" i="3"/>
  <c r="M911" i="3"/>
  <c r="P923" i="3"/>
  <c r="M715" i="3"/>
  <c r="M864" i="3"/>
  <c r="M811" i="3"/>
  <c r="M735" i="3"/>
  <c r="M759" i="3"/>
  <c r="M774" i="3"/>
  <c r="M742" i="3"/>
  <c r="M710" i="3"/>
  <c r="M678" i="3"/>
  <c r="M646" i="3"/>
  <c r="M916" i="3"/>
  <c r="M866" i="3"/>
  <c r="M736" i="3"/>
  <c r="P999" i="3"/>
  <c r="M974" i="3"/>
  <c r="M981" i="3"/>
  <c r="M837" i="3"/>
  <c r="P830" i="3"/>
  <c r="M892" i="3"/>
  <c r="M763" i="3"/>
  <c r="M689" i="3"/>
  <c r="P740" i="3"/>
  <c r="P784" i="3"/>
  <c r="P784" i="10" s="1"/>
  <c r="M794" i="3"/>
  <c r="M914" i="3"/>
  <c r="P873" i="3"/>
  <c r="P690" i="3"/>
  <c r="P690" i="10" s="1"/>
  <c r="P719" i="3"/>
  <c r="P702" i="3"/>
  <c r="P702" i="10" s="1"/>
  <c r="P743" i="3"/>
  <c r="P751" i="3"/>
  <c r="P751" i="10" s="1"/>
  <c r="P793" i="3"/>
  <c r="P803" i="3"/>
  <c r="P803" i="10" s="1"/>
  <c r="M814" i="3"/>
  <c r="P839" i="3"/>
  <c r="P839" i="10" s="1"/>
  <c r="P871" i="3"/>
  <c r="P908" i="3"/>
  <c r="P908" i="10" s="1"/>
  <c r="M934" i="3"/>
  <c r="P946" i="3"/>
  <c r="P946" i="10" s="1"/>
  <c r="P639" i="3"/>
  <c r="M681" i="3"/>
  <c r="P764" i="3"/>
  <c r="P849" i="3"/>
  <c r="P849" i="10" s="1"/>
  <c r="P711" i="3"/>
  <c r="P768" i="3"/>
  <c r="P768" i="10" s="1"/>
  <c r="M926" i="3"/>
  <c r="P954" i="3"/>
  <c r="P954" i="10" s="1"/>
  <c r="P859" i="3"/>
  <c r="P791" i="3"/>
  <c r="P791" i="10" s="1"/>
  <c r="P916" i="3"/>
  <c r="P788" i="3"/>
  <c r="P788" i="10" s="1"/>
  <c r="P753" i="3"/>
  <c r="P798" i="3"/>
  <c r="P798" i="10" s="1"/>
  <c r="P894" i="3"/>
  <c r="M882" i="3"/>
  <c r="P749" i="3"/>
  <c r="P790" i="3"/>
  <c r="P790" i="10" s="1"/>
  <c r="P669" i="3"/>
  <c r="M756" i="3"/>
  <c r="M943" i="3"/>
  <c r="M986" i="3"/>
  <c r="M925" i="3"/>
  <c r="P985" i="3"/>
  <c r="P985" i="10" s="1"/>
  <c r="M979" i="3"/>
  <c r="M723" i="3"/>
  <c r="M873" i="3"/>
  <c r="M841" i="3"/>
  <c r="P866" i="3"/>
  <c r="P834" i="3"/>
  <c r="P834" i="10" s="1"/>
  <c r="P739" i="3"/>
  <c r="P893" i="3"/>
  <c r="P893" i="10" s="1"/>
  <c r="M852" i="3"/>
  <c r="M831" i="3"/>
  <c r="P763" i="3"/>
  <c r="M807" i="3"/>
  <c r="P898" i="3"/>
  <c r="M870" i="3"/>
  <c r="M932" i="3"/>
  <c r="P697" i="3"/>
  <c r="P697" i="10" s="1"/>
  <c r="P781" i="3"/>
  <c r="P814" i="3"/>
  <c r="P814" i="10" s="1"/>
  <c r="M732" i="3"/>
  <c r="P673" i="3"/>
  <c r="P673" i="10" s="1"/>
  <c r="P657" i="3"/>
  <c r="M990" i="3"/>
  <c r="M980" i="3"/>
  <c r="M967" i="3"/>
  <c r="P929" i="3"/>
  <c r="P947" i="3"/>
  <c r="P947" i="10" s="1"/>
  <c r="M997" i="3"/>
  <c r="P971" i="3"/>
  <c r="P971" i="10" s="1"/>
  <c r="P911" i="3"/>
  <c r="M955" i="3"/>
  <c r="P917" i="3"/>
  <c r="P860" i="3"/>
  <c r="P860" i="10" s="1"/>
  <c r="P643" i="3"/>
  <c r="P836" i="3"/>
  <c r="P836" i="10" s="1"/>
  <c r="P903" i="3"/>
  <c r="M883" i="3"/>
  <c r="M840" i="3"/>
  <c r="M822" i="3"/>
  <c r="P773" i="3"/>
  <c r="P681" i="3"/>
  <c r="P681" i="10" s="1"/>
  <c r="M953" i="3"/>
  <c r="M877" i="3"/>
  <c r="P870" i="3"/>
  <c r="M898" i="3"/>
  <c r="M876" i="3"/>
  <c r="M658" i="3"/>
  <c r="M754" i="3"/>
  <c r="M775" i="3"/>
  <c r="P699" i="3"/>
  <c r="P864" i="3"/>
  <c r="P864" i="10" s="1"/>
  <c r="P888" i="3"/>
  <c r="M660" i="3"/>
  <c r="M662" i="3"/>
  <c r="M726" i="3"/>
  <c r="M671" i="3"/>
  <c r="P731" i="3"/>
  <c r="P731" i="10" s="1"/>
  <c r="P872" i="3"/>
  <c r="P970" i="3"/>
  <c r="P970" i="10" s="1"/>
  <c r="M989" i="3"/>
  <c r="P693" i="3"/>
  <c r="P693" i="10" s="1"/>
  <c r="M826" i="3"/>
  <c r="M920" i="3"/>
  <c r="M730" i="3"/>
  <c r="M655" i="3"/>
  <c r="M891" i="3"/>
  <c r="P967" i="3"/>
  <c r="P967" i="10" s="1"/>
  <c r="P725" i="3"/>
  <c r="M858" i="3"/>
  <c r="M696" i="3"/>
  <c r="M787" i="3"/>
  <c r="M656" i="3"/>
  <c r="M965" i="3"/>
  <c r="M835" i="3"/>
  <c r="P901" i="3"/>
  <c r="P901" i="10" s="1"/>
  <c r="P949" i="3"/>
  <c r="M931" i="3"/>
  <c r="P988" i="3"/>
  <c r="M700" i="3"/>
  <c r="M799" i="3"/>
  <c r="M868" i="3"/>
  <c r="M747" i="3"/>
  <c r="M921" i="3"/>
  <c r="M652" i="3"/>
  <c r="P685" i="3"/>
  <c r="P685" i="10" s="1"/>
  <c r="P717" i="3"/>
  <c r="P891" i="3"/>
  <c r="P891" i="10" s="1"/>
  <c r="P843" i="3"/>
  <c r="P700" i="3"/>
  <c r="P700" i="10" s="1"/>
  <c r="P847" i="3"/>
  <c r="P766" i="3"/>
  <c r="P766" i="10" s="1"/>
  <c r="P692" i="3"/>
  <c r="P704" i="3"/>
  <c r="P704" i="10" s="1"/>
  <c r="P819" i="3"/>
  <c r="M749" i="3"/>
  <c r="P750" i="3"/>
  <c r="P640" i="3"/>
  <c r="P640" i="10" s="1"/>
  <c r="P191" i="3"/>
  <c r="P824" i="3"/>
  <c r="P824" i="10" s="1"/>
  <c r="P779" i="3"/>
  <c r="P709" i="3"/>
  <c r="P709" i="10" s="1"/>
  <c r="M727" i="3"/>
  <c r="M895" i="3"/>
  <c r="P983" i="3"/>
  <c r="P996" i="3"/>
  <c r="P996" i="10" s="1"/>
  <c r="M647" i="3"/>
  <c r="P963" i="3"/>
  <c r="P963" i="10" s="1"/>
  <c r="P854" i="3"/>
  <c r="M982" i="3"/>
  <c r="P907" i="3"/>
  <c r="M893" i="3"/>
  <c r="M957" i="3"/>
  <c r="P765" i="3"/>
  <c r="P765" i="10" s="1"/>
  <c r="P778" i="3"/>
  <c r="M725" i="3"/>
  <c r="P800" i="3"/>
  <c r="P724" i="3"/>
  <c r="P724" i="10" s="1"/>
  <c r="M354" i="3"/>
  <c r="M341" i="3"/>
  <c r="M214" i="3"/>
  <c r="M39" i="3"/>
  <c r="P50" i="3"/>
  <c r="P18" i="3"/>
  <c r="P18" i="10" s="1"/>
  <c r="M690" i="3"/>
  <c r="M770" i="3"/>
  <c r="M687" i="3"/>
  <c r="P707" i="3"/>
  <c r="P707" i="10" s="1"/>
  <c r="P993" i="3"/>
  <c r="M819" i="3"/>
  <c r="M707" i="3"/>
  <c r="M945" i="3"/>
  <c r="M813" i="3"/>
  <c r="M670" i="3"/>
  <c r="M734" i="3"/>
  <c r="M703" i="3"/>
  <c r="P895" i="3"/>
  <c r="M985" i="3"/>
  <c r="M976" i="3"/>
  <c r="P757" i="3"/>
  <c r="P757" i="10" s="1"/>
  <c r="M890" i="3"/>
  <c r="M760" i="3"/>
  <c r="M746" i="3"/>
  <c r="M719" i="3"/>
  <c r="P981" i="3"/>
  <c r="M793" i="3"/>
  <c r="M960" i="3"/>
  <c r="M924" i="3"/>
  <c r="M699" i="3"/>
  <c r="M796" i="3"/>
  <c r="M672" i="3"/>
  <c r="P878" i="3"/>
  <c r="P878" i="10" s="1"/>
  <c r="M861" i="3"/>
  <c r="M909" i="3"/>
  <c r="M952" i="3"/>
  <c r="M856" i="3"/>
  <c r="M903" i="3"/>
  <c r="M651" i="3"/>
  <c r="M755" i="3"/>
  <c r="M983" i="3"/>
  <c r="P919" i="3"/>
  <c r="P998" i="3"/>
  <c r="P998" i="10" s="1"/>
  <c r="P812" i="3"/>
  <c r="P902" i="3"/>
  <c r="P902" i="10" s="1"/>
  <c r="P826" i="3"/>
  <c r="M833" i="3"/>
  <c r="P972" i="3"/>
  <c r="M995" i="3"/>
  <c r="M724" i="3"/>
  <c r="M850" i="3"/>
  <c r="P689" i="3"/>
  <c r="P904" i="3"/>
  <c r="P904" i="10" s="1"/>
  <c r="P714" i="3"/>
  <c r="P889" i="3"/>
  <c r="P889" i="10" s="1"/>
  <c r="P924" i="3"/>
  <c r="P918" i="3"/>
  <c r="P918" i="10" s="1"/>
  <c r="M713" i="3"/>
  <c r="P703" i="3"/>
  <c r="P703" i="10" s="1"/>
  <c r="P698" i="3"/>
  <c r="M56" i="3"/>
  <c r="M722" i="3"/>
  <c r="M880" i="3"/>
  <c r="P987" i="3"/>
  <c r="M871" i="3"/>
  <c r="P943" i="3"/>
  <c r="M702" i="3"/>
  <c r="M827" i="3"/>
  <c r="M907" i="3"/>
  <c r="M994" i="3"/>
  <c r="M905" i="3"/>
  <c r="M987" i="3"/>
  <c r="P906" i="3"/>
  <c r="P906" i="10" s="1"/>
  <c r="M928" i="3"/>
  <c r="P835" i="3"/>
  <c r="P835" i="10" s="1"/>
  <c r="M954" i="3"/>
  <c r="P879" i="3"/>
  <c r="P879" i="10" s="1"/>
  <c r="P795" i="3"/>
  <c r="M422" i="3"/>
  <c r="P303" i="3"/>
  <c r="P330" i="3"/>
  <c r="P330" i="10" s="1"/>
  <c r="P62" i="3"/>
  <c r="P32" i="3"/>
  <c r="P32" i="10" s="1"/>
  <c r="M706" i="3"/>
  <c r="M786" i="3"/>
  <c r="M783" i="3"/>
  <c r="M859" i="3"/>
  <c r="M691" i="3"/>
  <c r="M959" i="3"/>
  <c r="P777" i="3"/>
  <c r="M862" i="3"/>
  <c r="M694" i="3"/>
  <c r="M758" i="3"/>
  <c r="M695" i="3"/>
  <c r="M843" i="3"/>
  <c r="P844" i="3"/>
  <c r="M906" i="3"/>
  <c r="P659" i="3"/>
  <c r="P969" i="3"/>
  <c r="P969" i="10" s="1"/>
  <c r="M947" i="3"/>
  <c r="M992" i="3"/>
  <c r="M744" i="3"/>
  <c r="P721" i="3"/>
  <c r="P721" i="10" s="1"/>
  <c r="M666" i="3"/>
  <c r="P852" i="3"/>
  <c r="P852" i="10" s="1"/>
  <c r="P941" i="3"/>
  <c r="M776" i="3"/>
  <c r="P785" i="3"/>
  <c r="M860" i="3"/>
  <c r="M683" i="3"/>
  <c r="M993" i="3"/>
  <c r="P1000" i="3"/>
  <c r="P675" i="3"/>
  <c r="P675" i="10" s="1"/>
  <c r="P677" i="3"/>
  <c r="P771" i="3"/>
  <c r="P771" i="10" s="1"/>
  <c r="M808" i="3"/>
  <c r="P840" i="3"/>
  <c r="P840" i="10" s="1"/>
  <c r="P959" i="3"/>
  <c r="P961" i="3"/>
  <c r="P961" i="10" s="1"/>
  <c r="M977" i="3"/>
  <c r="M780" i="3"/>
  <c r="M830" i="3"/>
  <c r="P882" i="3"/>
  <c r="P882" i="10" s="1"/>
  <c r="P858" i="3"/>
  <c r="M865" i="3"/>
  <c r="P982" i="3"/>
  <c r="P661" i="3"/>
  <c r="P661" i="10" s="1"/>
  <c r="M901" i="3"/>
  <c r="P851" i="3"/>
  <c r="P851" i="10" s="1"/>
  <c r="P654" i="3"/>
  <c r="P962" i="3"/>
  <c r="P962" i="10" s="1"/>
  <c r="P808" i="3"/>
  <c r="P664" i="3"/>
  <c r="P664" i="10" s="1"/>
  <c r="P754" i="3"/>
  <c r="M765" i="3"/>
  <c r="P656" i="3"/>
  <c r="M11" i="3"/>
  <c r="M384" i="3"/>
  <c r="P437" i="3"/>
  <c r="P437" i="10" s="1"/>
  <c r="P439" i="3"/>
  <c r="P327" i="3"/>
  <c r="P327" i="10" s="1"/>
  <c r="P366" i="3"/>
  <c r="M183" i="3"/>
  <c r="M322" i="3"/>
  <c r="M342" i="3"/>
  <c r="P204" i="3"/>
  <c r="M25" i="3"/>
  <c r="P42" i="3"/>
  <c r="P91" i="3"/>
  <c r="P91" i="10" s="1"/>
  <c r="P19" i="3"/>
  <c r="P17" i="3"/>
  <c r="P17" i="10" s="1"/>
  <c r="M51" i="3"/>
  <c r="M343" i="3"/>
  <c r="M270" i="3"/>
  <c r="M390" i="3"/>
  <c r="M531" i="3"/>
  <c r="M321" i="3"/>
  <c r="M350" i="3"/>
  <c r="M276" i="3"/>
  <c r="M365" i="3"/>
  <c r="M301" i="3"/>
  <c r="M267" i="3"/>
  <c r="P254" i="3"/>
  <c r="P254" i="10" s="1"/>
  <c r="P377" i="3"/>
  <c r="M221" i="3"/>
  <c r="P154" i="3"/>
  <c r="P95" i="3"/>
  <c r="P95" i="10" s="1"/>
  <c r="P261" i="3"/>
  <c r="M219" i="3"/>
  <c r="M509" i="3"/>
  <c r="M477" i="3"/>
  <c r="M363" i="3"/>
  <c r="M244" i="3"/>
  <c r="P349" i="3"/>
  <c r="M293" i="3"/>
  <c r="P29" i="3"/>
  <c r="M259" i="3"/>
  <c r="P205" i="3"/>
  <c r="P144" i="3"/>
  <c r="P144" i="10" s="1"/>
  <c r="P15" i="3"/>
  <c r="M57" i="3"/>
  <c r="M93" i="3"/>
  <c r="P107" i="3"/>
  <c r="P107" i="10" s="1"/>
  <c r="P188" i="3"/>
  <c r="M285" i="3"/>
  <c r="M463" i="3"/>
  <c r="M189" i="3"/>
  <c r="P252" i="3"/>
  <c r="M15" i="3"/>
  <c r="M538" i="3"/>
  <c r="M437" i="3"/>
  <c r="P386" i="3"/>
  <c r="P302" i="3"/>
  <c r="M210" i="3"/>
  <c r="M349" i="3"/>
  <c r="P298" i="3"/>
  <c r="M201" i="3"/>
  <c r="P14" i="3"/>
  <c r="P469" i="3"/>
  <c r="P469" i="10" s="1"/>
  <c r="P38" i="3"/>
  <c r="P129" i="3"/>
  <c r="P129" i="10" s="1"/>
  <c r="P11" i="3"/>
  <c r="P103" i="3"/>
  <c r="P103" i="10" s="1"/>
  <c r="P49" i="3"/>
  <c r="P13" i="3"/>
  <c r="M12" i="3"/>
  <c r="M105" i="3"/>
  <c r="M9" i="3"/>
  <c r="P173" i="3"/>
  <c r="P173" i="10" s="1"/>
  <c r="P109" i="3"/>
  <c r="M55" i="3"/>
  <c r="P16" i="3"/>
  <c r="P171" i="3"/>
  <c r="M99" i="3"/>
  <c r="P97" i="3"/>
  <c r="P97" i="10" s="1"/>
  <c r="M145" i="3"/>
  <c r="P291" i="3"/>
  <c r="P291" i="10" s="1"/>
  <c r="M240" i="3"/>
  <c r="P249" i="3"/>
  <c r="P249" i="10" s="1"/>
  <c r="P189" i="3"/>
  <c r="P344" i="3"/>
  <c r="M386" i="3"/>
  <c r="M227" i="3"/>
  <c r="M499" i="3"/>
  <c r="M404" i="3"/>
  <c r="P183" i="3"/>
  <c r="M278" i="3"/>
  <c r="M238" i="3"/>
  <c r="M336" i="3"/>
  <c r="P244" i="3"/>
  <c r="M50" i="3"/>
  <c r="M382" i="3"/>
  <c r="M170" i="3"/>
  <c r="M180" i="3"/>
  <c r="M18" i="3"/>
  <c r="P239" i="3"/>
  <c r="M406" i="3"/>
  <c r="P471" i="3"/>
  <c r="M48" i="3"/>
  <c r="M129" i="3"/>
  <c r="M137" i="3"/>
  <c r="P283" i="3"/>
  <c r="P218" i="3"/>
  <c r="P218" i="10" s="1"/>
  <c r="M296" i="3"/>
  <c r="M374" i="3"/>
  <c r="P427" i="3"/>
  <c r="M419" i="3"/>
  <c r="P529" i="3"/>
  <c r="M525" i="3"/>
  <c r="P296" i="3"/>
  <c r="M497" i="3"/>
  <c r="M181" i="3"/>
  <c r="P497" i="3"/>
  <c r="P497" i="10" s="1"/>
  <c r="P238" i="3"/>
  <c r="M519" i="3"/>
  <c r="M527" i="3"/>
  <c r="M191" i="3"/>
  <c r="P388" i="3"/>
  <c r="P186" i="3"/>
  <c r="P186" i="10" s="1"/>
  <c r="M494" i="3"/>
  <c r="M376" i="3"/>
  <c r="P410" i="3"/>
  <c r="P351" i="3"/>
  <c r="P351" i="10" s="1"/>
  <c r="M211" i="3"/>
  <c r="P299" i="3"/>
  <c r="M14" i="3"/>
  <c r="P253" i="3"/>
  <c r="P253" i="10" s="1"/>
  <c r="M375" i="3"/>
  <c r="P415" i="3"/>
  <c r="P415" i="10" s="1"/>
  <c r="P467" i="3"/>
  <c r="M2" i="3"/>
  <c r="M2" i="10" s="1"/>
  <c r="P268" i="3"/>
  <c r="P336" i="3"/>
  <c r="M512" i="3"/>
  <c r="M10" i="3"/>
  <c r="M196" i="3"/>
  <c r="M228" i="3"/>
  <c r="M245" i="3"/>
  <c r="M146" i="3"/>
  <c r="P181" i="3"/>
  <c r="M88" i="3"/>
  <c r="M408" i="3"/>
  <c r="M32" i="3"/>
  <c r="M62" i="3"/>
  <c r="M144" i="3"/>
  <c r="P260" i="3"/>
  <c r="P277" i="3"/>
  <c r="P277" i="10" s="1"/>
  <c r="P329" i="3"/>
  <c r="P202" i="3"/>
  <c r="P202" i="10" s="1"/>
  <c r="P234" i="3"/>
  <c r="P482" i="3"/>
  <c r="P482" i="10" s="1"/>
  <c r="M328" i="3"/>
  <c r="M529" i="3"/>
  <c r="P494" i="3"/>
  <c r="M204" i="3"/>
  <c r="M523" i="3"/>
  <c r="P210" i="3"/>
  <c r="M269" i="3"/>
  <c r="P404" i="3"/>
  <c r="P404" i="10" s="1"/>
  <c r="P491" i="3"/>
  <c r="M6" i="3"/>
  <c r="P276" i="3"/>
  <c r="M307" i="3"/>
  <c r="P364" i="3"/>
  <c r="M415" i="3"/>
  <c r="M235" i="3"/>
  <c r="M262" i="3"/>
  <c r="M473" i="3"/>
  <c r="P180" i="3"/>
  <c r="P180" i="10" s="1"/>
  <c r="M199" i="3"/>
  <c r="P245" i="3"/>
  <c r="P245" i="10" s="1"/>
  <c r="M277" i="3"/>
  <c r="P292" i="3"/>
  <c r="P363" i="3"/>
  <c r="M431" i="3"/>
  <c r="M467" i="3"/>
  <c r="P145" i="3"/>
  <c r="P145" i="10" s="1"/>
  <c r="P169" i="3"/>
  <c r="M21" i="3"/>
  <c r="P59" i="3"/>
  <c r="P59" i="10" s="1"/>
  <c r="M97" i="3"/>
  <c r="P99" i="3"/>
  <c r="M139" i="3"/>
  <c r="M171" i="3"/>
  <c r="M172" i="3"/>
  <c r="M327" i="3"/>
  <c r="P343" i="3"/>
  <c r="P343" i="10" s="1"/>
  <c r="P321" i="3"/>
  <c r="M131" i="3"/>
  <c r="P240" i="3"/>
  <c r="M188" i="3"/>
  <c r="M303" i="3"/>
  <c r="P419" i="3"/>
  <c r="P320" i="3"/>
  <c r="P304" i="3"/>
  <c r="P304" i="10" s="1"/>
  <c r="P328" i="3"/>
  <c r="P525" i="3"/>
  <c r="P525" i="10" s="1"/>
  <c r="M388" i="3"/>
  <c r="P523" i="3"/>
  <c r="P523" i="10" s="1"/>
  <c r="M532" i="3"/>
  <c r="P226" i="3"/>
  <c r="M524" i="3"/>
  <c r="M186" i="3"/>
  <c r="P284" i="3"/>
  <c r="P463" i="3"/>
  <c r="P463" i="10" s="1"/>
  <c r="M491" i="3"/>
  <c r="M461" i="3"/>
  <c r="P376" i="3"/>
  <c r="M351" i="3"/>
  <c r="P211" i="3"/>
  <c r="P285" i="3"/>
  <c r="P285" i="10" s="1"/>
  <c r="P307" i="3"/>
  <c r="M402" i="3"/>
  <c r="P375" i="3"/>
  <c r="P431" i="3"/>
  <c r="P431" i="10" s="1"/>
  <c r="P219" i="3"/>
  <c r="M237" i="3"/>
  <c r="M335" i="3"/>
  <c r="M212" i="3"/>
  <c r="M286" i="3"/>
  <c r="M465" i="3"/>
  <c r="M169" i="3"/>
  <c r="P51" i="3"/>
  <c r="P51" i="10" s="1"/>
  <c r="M67" i="3"/>
  <c r="P23" i="3"/>
  <c r="M107" i="3"/>
  <c r="M16" i="3"/>
  <c r="M17" i="3"/>
  <c r="P63" i="3"/>
  <c r="P63" i="10" s="1"/>
  <c r="P93" i="3"/>
  <c r="M109" i="3"/>
  <c r="P380" i="3"/>
  <c r="M355" i="3"/>
  <c r="P423" i="3"/>
  <c r="M378" i="3"/>
  <c r="P418" i="3"/>
  <c r="P412" i="3"/>
  <c r="P326" i="3"/>
  <c r="M294" i="3"/>
  <c r="M268" i="3"/>
  <c r="M330" i="3"/>
  <c r="P286" i="3"/>
  <c r="P196" i="3"/>
  <c r="P196" i="10" s="1"/>
  <c r="M31" i="3"/>
  <c r="M501" i="3"/>
  <c r="P251" i="3"/>
  <c r="P213" i="3"/>
  <c r="P213" i="10" s="1"/>
  <c r="P170" i="3"/>
  <c r="P170" i="10" s="1"/>
  <c r="P88" i="3"/>
  <c r="P88" i="10" s="1"/>
  <c r="P137" i="3"/>
  <c r="M65" i="3"/>
  <c r="M471" i="3"/>
  <c r="M413" i="3"/>
  <c r="M410" i="3"/>
  <c r="P382" i="3"/>
  <c r="P382" i="10" s="1"/>
  <c r="M439" i="3"/>
  <c r="M326" i="3"/>
  <c r="M313" i="3"/>
  <c r="M302" i="3"/>
  <c r="P334" i="3"/>
  <c r="P325" i="3"/>
  <c r="P293" i="3"/>
  <c r="M260" i="3"/>
  <c r="M226" i="3"/>
  <c r="M202" i="3"/>
  <c r="M362" i="3"/>
  <c r="P346" i="3"/>
  <c r="P346" i="10" s="1"/>
  <c r="M306" i="3"/>
  <c r="M298" i="3"/>
  <c r="P278" i="3"/>
  <c r="M283" i="3"/>
  <c r="M233" i="3"/>
  <c r="P220" i="3"/>
  <c r="P220" i="10" s="1"/>
  <c r="P178" i="3"/>
  <c r="M246" i="3"/>
  <c r="M89" i="3"/>
  <c r="M29" i="3"/>
  <c r="P10" i="3"/>
  <c r="P27" i="3"/>
  <c r="P27" i="10" s="1"/>
  <c r="P501" i="3"/>
  <c r="P501" i="10" s="1"/>
  <c r="M469" i="3"/>
  <c r="P259" i="3"/>
  <c r="M243" i="3"/>
  <c r="P221" i="3"/>
  <c r="M205" i="3"/>
  <c r="P146" i="3"/>
  <c r="P86" i="3"/>
  <c r="P86" i="10" s="1"/>
  <c r="P60" i="3"/>
  <c r="P60" i="10" s="1"/>
  <c r="P56" i="3"/>
  <c r="P52" i="3"/>
  <c r="P48" i="3"/>
  <c r="P48" i="10" s="1"/>
  <c r="P34" i="3"/>
  <c r="P30" i="3"/>
  <c r="P30" i="10" s="1"/>
  <c r="P26" i="3"/>
  <c r="P22" i="3"/>
  <c r="P22" i="10" s="1"/>
  <c r="P89" i="3"/>
  <c r="P89" i="10" s="1"/>
  <c r="P3" i="3"/>
  <c r="P3" i="10" s="1"/>
  <c r="M3" i="3"/>
  <c r="M3" i="10" s="1"/>
  <c r="M95" i="3"/>
  <c r="P57" i="3"/>
  <c r="M19" i="3"/>
  <c r="M13" i="3"/>
  <c r="P5" i="3"/>
  <c r="P5" i="10" s="1"/>
  <c r="P157" i="3"/>
  <c r="P157" i="10" s="1"/>
  <c r="M101" i="3"/>
  <c r="P8" i="3"/>
  <c r="M23" i="3"/>
  <c r="P67" i="3"/>
  <c r="M291" i="3"/>
  <c r="P335" i="3"/>
  <c r="M241" i="3"/>
  <c r="M344" i="3"/>
  <c r="M364" i="3"/>
  <c r="P227" i="3"/>
  <c r="P461" i="3"/>
  <c r="P461" i="10" s="1"/>
  <c r="P499" i="3"/>
  <c r="P499" i="10" s="1"/>
  <c r="P524" i="3"/>
  <c r="P524" i="10" s="1"/>
  <c r="P194" i="3"/>
  <c r="M220" i="3"/>
  <c r="M505" i="3"/>
  <c r="M304" i="3"/>
  <c r="M135" i="3"/>
  <c r="P473" i="3"/>
  <c r="P473" i="10" s="1"/>
  <c r="M26" i="3"/>
  <c r="P179" i="3"/>
  <c r="P422" i="3"/>
  <c r="M475" i="3"/>
  <c r="P319" i="3"/>
  <c r="M366" i="3"/>
  <c r="M234" i="3"/>
  <c r="P362" i="3"/>
  <c r="P362" i="10" s="1"/>
  <c r="P306" i="3"/>
  <c r="P306" i="10" s="1"/>
  <c r="P228" i="3"/>
  <c r="P228" i="10" s="1"/>
  <c r="M91" i="3"/>
  <c r="M377" i="3"/>
  <c r="M229" i="3"/>
  <c r="M197" i="3"/>
  <c r="P140" i="3"/>
  <c r="P133" i="3"/>
  <c r="P133" i="10" s="1"/>
  <c r="M7" i="3"/>
  <c r="P408" i="3"/>
  <c r="P413" i="3"/>
  <c r="P424" i="3"/>
  <c r="P424" i="10" s="1"/>
  <c r="P402" i="3"/>
  <c r="P374" i="3"/>
  <c r="P374" i="10" s="1"/>
  <c r="M412" i="3"/>
  <c r="P354" i="3"/>
  <c r="P354" i="10" s="1"/>
  <c r="P341" i="3"/>
  <c r="P341" i="10" s="1"/>
  <c r="M329" i="3"/>
  <c r="P295" i="3"/>
  <c r="P406" i="3"/>
  <c r="P406" i="10" s="1"/>
  <c r="P350" i="3"/>
  <c r="M334" i="3"/>
  <c r="P301" i="3"/>
  <c r="M284" i="3"/>
  <c r="M252" i="3"/>
  <c r="M218" i="3"/>
  <c r="M194" i="3"/>
  <c r="P365" i="3"/>
  <c r="P365" i="10" s="1"/>
  <c r="M346" i="3"/>
  <c r="P322" i="3"/>
  <c r="P270" i="3"/>
  <c r="P342" i="3"/>
  <c r="P342" i="10" s="1"/>
  <c r="P345" i="3"/>
  <c r="P345" i="10" s="1"/>
  <c r="P212" i="3"/>
  <c r="P212" i="10" s="1"/>
  <c r="M254" i="3"/>
  <c r="P246" i="3"/>
  <c r="P246" i="10" s="1"/>
  <c r="M87" i="3"/>
  <c r="M27" i="3"/>
  <c r="P6" i="3"/>
  <c r="P7" i="3"/>
  <c r="P7" i="10" s="1"/>
  <c r="M251" i="3"/>
  <c r="P229" i="3"/>
  <c r="M213" i="3"/>
  <c r="P197" i="3"/>
  <c r="P197" i="10" s="1"/>
  <c r="P172" i="3"/>
  <c r="P162" i="3"/>
  <c r="P162" i="10" s="1"/>
  <c r="P90" i="3"/>
  <c r="P46" i="3"/>
  <c r="P46" i="10" s="1"/>
  <c r="M179" i="3"/>
  <c r="P135" i="3"/>
  <c r="P131" i="3"/>
  <c r="P25" i="3"/>
  <c r="P25" i="10" s="1"/>
  <c r="M103" i="3"/>
  <c r="P65" i="3"/>
  <c r="P65" i="10" s="1"/>
  <c r="M49" i="3"/>
  <c r="M5" i="3"/>
  <c r="P105" i="3"/>
  <c r="P105" i="10" s="1"/>
  <c r="M173" i="3"/>
  <c r="P101" i="3"/>
  <c r="M63" i="3"/>
  <c r="P55" i="3"/>
  <c r="M8" i="3"/>
  <c r="P139" i="3"/>
  <c r="M59" i="3"/>
  <c r="P21" i="3"/>
  <c r="P21" i="10" s="1"/>
  <c r="P465" i="3"/>
  <c r="M261" i="3"/>
  <c r="P199" i="3"/>
  <c r="P199" i="10" s="1"/>
  <c r="P235" i="3"/>
  <c r="M253" i="3"/>
  <c r="M299" i="3"/>
  <c r="M427" i="3"/>
  <c r="P269" i="3"/>
  <c r="P269" i="10" s="1"/>
  <c r="M239" i="3"/>
  <c r="P527" i="3"/>
  <c r="M295" i="3"/>
  <c r="M424" i="3"/>
  <c r="P267" i="3"/>
  <c r="P267" i="10" s="1"/>
  <c r="M133" i="3"/>
  <c r="M22" i="3"/>
  <c r="M178" i="3"/>
  <c r="P287" i="3"/>
  <c r="P271" i="3"/>
  <c r="P255" i="3"/>
  <c r="P255" i="10" s="1"/>
  <c r="M143" i="3"/>
  <c r="M502" i="3"/>
  <c r="M444" i="3"/>
  <c r="P407" i="3"/>
  <c r="P407" i="10" s="1"/>
  <c r="M403" i="3"/>
  <c r="P393" i="3"/>
  <c r="P393" i="10" s="1"/>
  <c r="M389" i="3"/>
  <c r="M141" i="3"/>
  <c r="M464" i="3"/>
  <c r="P368" i="3"/>
  <c r="P352" i="3"/>
  <c r="M314" i="3"/>
  <c r="M264" i="3"/>
  <c r="M136" i="3"/>
  <c r="M132" i="3"/>
  <c r="M108" i="3"/>
  <c r="M104" i="3"/>
  <c r="P430" i="3"/>
  <c r="P430" i="10" s="1"/>
  <c r="M379" i="3"/>
  <c r="P361" i="3"/>
  <c r="P361" i="10" s="1"/>
  <c r="P289" i="3"/>
  <c r="P273" i="3"/>
  <c r="P257" i="3"/>
  <c r="P236" i="3"/>
  <c r="P236" i="10" s="1"/>
  <c r="M100" i="3"/>
  <c r="M96" i="3"/>
  <c r="M92" i="3"/>
  <c r="M64" i="3"/>
  <c r="P369" i="3"/>
  <c r="P369" i="10" s="1"/>
  <c r="M534" i="3"/>
  <c r="P347" i="3"/>
  <c r="P316" i="3"/>
  <c r="P316" i="10" s="1"/>
  <c r="P300" i="3"/>
  <c r="P440" i="3"/>
  <c r="P440" i="10" s="1"/>
  <c r="P421" i="3"/>
  <c r="P528" i="3"/>
  <c r="P528" i="10" s="1"/>
  <c r="M506" i="3"/>
  <c r="M282" i="3"/>
  <c r="P182" i="3"/>
  <c r="P166" i="3"/>
  <c r="P166" i="10" s="1"/>
  <c r="P150" i="3"/>
  <c r="P150" i="10" s="1"/>
  <c r="M420" i="3"/>
  <c r="M325" i="3"/>
  <c r="M331" i="3"/>
  <c r="P207" i="3"/>
  <c r="M175" i="3"/>
  <c r="P324" i="3"/>
  <c r="M224" i="3"/>
  <c r="M192" i="3"/>
  <c r="M176" i="3"/>
  <c r="M140" i="3"/>
  <c r="P53" i="3"/>
  <c r="P53" i="10" s="1"/>
  <c r="P31" i="3"/>
  <c r="P31" i="10" s="1"/>
  <c r="P305" i="3"/>
  <c r="P233" i="3"/>
  <c r="P217" i="3"/>
  <c r="P217" i="10" s="1"/>
  <c r="P201" i="3"/>
  <c r="M185" i="3"/>
  <c r="P526" i="3"/>
  <c r="P475" i="3"/>
  <c r="P475" i="10" s="1"/>
  <c r="M60" i="3"/>
  <c r="M30" i="3"/>
  <c r="M58" i="3"/>
  <c r="M54" i="3"/>
  <c r="M292" i="3"/>
  <c r="P441" i="3"/>
  <c r="P441" i="10" s="1"/>
  <c r="P425" i="3"/>
  <c r="M530" i="3"/>
  <c r="M24" i="3"/>
  <c r="M400" i="3"/>
  <c r="P367" i="3"/>
  <c r="P279" i="3"/>
  <c r="P279" i="10" s="1"/>
  <c r="M405" i="3"/>
  <c r="P401" i="3"/>
  <c r="P391" i="3"/>
  <c r="M383" i="3"/>
  <c r="M373" i="3"/>
  <c r="P337" i="3"/>
  <c r="P337" i="10" s="1"/>
  <c r="M272" i="3"/>
  <c r="P256" i="3"/>
  <c r="P256" i="10" s="1"/>
  <c r="P134" i="3"/>
  <c r="P134" i="10" s="1"/>
  <c r="P130" i="3"/>
  <c r="P126" i="3"/>
  <c r="P122" i="3"/>
  <c r="P122" i="10" s="1"/>
  <c r="P118" i="3"/>
  <c r="P114" i="3"/>
  <c r="P114" i="10" s="1"/>
  <c r="M110" i="3"/>
  <c r="M106" i="3"/>
  <c r="M102" i="3"/>
  <c r="P438" i="3"/>
  <c r="M399" i="3"/>
  <c r="P371" i="3"/>
  <c r="P371" i="10" s="1"/>
  <c r="M353" i="3"/>
  <c r="P315" i="3"/>
  <c r="P315" i="10" s="1"/>
  <c r="M265" i="3"/>
  <c r="M370" i="3"/>
  <c r="M98" i="3"/>
  <c r="M94" i="3"/>
  <c r="P82" i="3"/>
  <c r="P78" i="3"/>
  <c r="P78" i="10" s="1"/>
  <c r="P74" i="3"/>
  <c r="P74" i="10" s="1"/>
  <c r="P70" i="3"/>
  <c r="P542" i="3"/>
  <c r="M339" i="3"/>
  <c r="M290" i="3"/>
  <c r="P274" i="3"/>
  <c r="P274" i="10" s="1"/>
  <c r="M222" i="3"/>
  <c r="M206" i="3"/>
  <c r="M190" i="3"/>
  <c r="P158" i="3"/>
  <c r="M195" i="3"/>
  <c r="M323" i="3"/>
  <c r="M187" i="3"/>
  <c r="M159" i="3"/>
  <c r="M232" i="3"/>
  <c r="P216" i="3"/>
  <c r="P216" i="10" s="1"/>
  <c r="M184" i="3"/>
  <c r="M168" i="3"/>
  <c r="M297" i="3"/>
  <c r="M193" i="3"/>
  <c r="P177" i="3"/>
  <c r="P531" i="3"/>
  <c r="P531" i="10" s="1"/>
  <c r="M522" i="3"/>
  <c r="M52" i="3"/>
  <c r="P208" i="3"/>
  <c r="P208" i="10" s="1"/>
  <c r="P108" i="3"/>
  <c r="P385" i="3"/>
  <c r="P176" i="3"/>
  <c r="P176" i="10" s="1"/>
  <c r="M53" i="3"/>
  <c r="P332" i="3"/>
  <c r="P332" i="10" s="1"/>
  <c r="M411" i="3"/>
  <c r="P282" i="3"/>
  <c r="P282" i="10" s="1"/>
  <c r="P250" i="3"/>
  <c r="P100" i="3"/>
  <c r="P175" i="3"/>
  <c r="P403" i="3"/>
  <c r="P403" i="10" s="1"/>
  <c r="P348" i="3"/>
  <c r="P348" i="10" s="1"/>
  <c r="P379" i="3"/>
  <c r="P379" i="10" s="1"/>
  <c r="M352" i="3"/>
  <c r="P214" i="3"/>
  <c r="P214" i="10" s="1"/>
  <c r="M407" i="3"/>
  <c r="M305" i="3"/>
  <c r="M280" i="3"/>
  <c r="P224" i="3"/>
  <c r="P224" i="10" s="1"/>
  <c r="P92" i="3"/>
  <c r="P143" i="3"/>
  <c r="M236" i="3"/>
  <c r="M435" i="3"/>
  <c r="M380" i="3"/>
  <c r="M347" i="3"/>
  <c r="P331" i="3"/>
  <c r="M324" i="3"/>
  <c r="P264" i="3"/>
  <c r="P264" i="10" s="1"/>
  <c r="P420" i="3"/>
  <c r="P420" i="10" s="1"/>
  <c r="P378" i="3"/>
  <c r="M248" i="3"/>
  <c r="M381" i="3"/>
  <c r="M255" i="3"/>
  <c r="M217" i="3"/>
  <c r="P192" i="3"/>
  <c r="P192" i="10" s="1"/>
  <c r="M4" i="3"/>
  <c r="M147" i="3"/>
  <c r="P231" i="3"/>
  <c r="P185" i="3"/>
  <c r="P185" i="10" s="1"/>
  <c r="M257" i="3"/>
  <c r="P280" i="3"/>
  <c r="P389" i="3"/>
  <c r="P338" i="3"/>
  <c r="P338" i="10" s="1"/>
  <c r="M289" i="3"/>
  <c r="M385" i="3"/>
  <c r="M230" i="3"/>
  <c r="P381" i="3"/>
  <c r="P381" i="10" s="1"/>
  <c r="P333" i="3"/>
  <c r="P266" i="3"/>
  <c r="P266" i="10" s="1"/>
  <c r="M287" i="3"/>
  <c r="M208" i="3"/>
  <c r="P136" i="3"/>
  <c r="P136" i="10" s="1"/>
  <c r="P104" i="3"/>
  <c r="M182" i="3"/>
  <c r="M231" i="3"/>
  <c r="P203" i="3"/>
  <c r="M207" i="3"/>
  <c r="P198" i="3"/>
  <c r="M250" i="3"/>
  <c r="M423" i="3"/>
  <c r="M369" i="3"/>
  <c r="M198" i="3"/>
  <c r="P411" i="3"/>
  <c r="P411" i="10" s="1"/>
  <c r="P258" i="3"/>
  <c r="P258" i="10" s="1"/>
  <c r="P200" i="3"/>
  <c r="P200" i="10" s="1"/>
  <c r="P132" i="3"/>
  <c r="P96" i="3"/>
  <c r="P96" i="10" s="1"/>
  <c r="P64" i="3"/>
  <c r="P141" i="3"/>
  <c r="P147" i="3"/>
  <c r="M348" i="3"/>
  <c r="P435" i="3"/>
  <c r="P435" i="10" s="1"/>
  <c r="M368" i="3"/>
  <c r="M300" i="3"/>
  <c r="P230" i="3"/>
  <c r="P230" i="10" s="1"/>
  <c r="P248" i="3"/>
  <c r="M333" i="3"/>
  <c r="P290" i="3"/>
  <c r="P168" i="3"/>
  <c r="P168" i="10" s="1"/>
  <c r="M332" i="3"/>
  <c r="P232" i="3"/>
  <c r="P232" i="10" s="1"/>
  <c r="M216" i="3"/>
  <c r="M200" i="3"/>
  <c r="M177" i="3"/>
  <c r="P4" i="3"/>
  <c r="M61" i="3"/>
  <c r="P106" i="3"/>
  <c r="P106" i="10" s="1"/>
  <c r="M401" i="3"/>
  <c r="P61" i="3"/>
  <c r="P61" i="10" s="1"/>
  <c r="P416" i="3"/>
  <c r="M215" i="3"/>
  <c r="P184" i="3"/>
  <c r="P184" i="10" s="1"/>
  <c r="M391" i="3"/>
  <c r="M372" i="3"/>
  <c r="M367" i="3"/>
  <c r="P242" i="3"/>
  <c r="P206" i="3"/>
  <c r="M174" i="3"/>
  <c r="P174" i="3"/>
  <c r="P174" i="10" s="1"/>
  <c r="M142" i="3"/>
  <c r="M20" i="3"/>
  <c r="P20" i="3"/>
  <c r="P297" i="3"/>
  <c r="P297" i="10" s="1"/>
  <c r="P225" i="3"/>
  <c r="P225" i="10" s="1"/>
  <c r="M225" i="3"/>
  <c r="P209" i="3"/>
  <c r="M209" i="3"/>
  <c r="P193" i="3"/>
  <c r="P433" i="3"/>
  <c r="P433" i="10" s="1"/>
  <c r="P263" i="3"/>
  <c r="M387" i="3"/>
  <c r="P387" i="3"/>
  <c r="P387" i="10" s="1"/>
  <c r="M138" i="3"/>
  <c r="M66" i="3"/>
  <c r="P66" i="3"/>
  <c r="P66" i="10" s="1"/>
  <c r="P405" i="3"/>
  <c r="P373" i="3"/>
  <c r="P353" i="3"/>
  <c r="P110" i="3"/>
  <c r="P110" i="10" s="1"/>
  <c r="P94" i="3"/>
  <c r="P94" i="10" s="1"/>
  <c r="P340" i="3"/>
  <c r="P340" i="10" s="1"/>
  <c r="M438" i="3"/>
  <c r="P323" i="3"/>
  <c r="P323" i="10" s="1"/>
  <c r="P195" i="3"/>
  <c r="M371" i="3"/>
  <c r="P383" i="3"/>
  <c r="P187" i="3"/>
  <c r="P187" i="10" s="1"/>
  <c r="M409" i="3"/>
  <c r="M134" i="3"/>
  <c r="M130" i="3"/>
  <c r="M249" i="3"/>
  <c r="M542" i="3"/>
  <c r="P409" i="3"/>
  <c r="M279" i="3"/>
  <c r="P138" i="3"/>
  <c r="P138" i="10" s="1"/>
  <c r="P98" i="3"/>
  <c r="P98" i="10" s="1"/>
  <c r="M340" i="3"/>
  <c r="M258" i="3"/>
  <c r="M242" i="3"/>
  <c r="P272" i="3"/>
  <c r="P503" i="3"/>
  <c r="P503" i="10" s="1"/>
  <c r="P360" i="3"/>
  <c r="P190" i="3"/>
  <c r="P190" i="10" s="1"/>
  <c r="P247" i="3"/>
  <c r="P247" i="10" s="1"/>
  <c r="M247" i="3"/>
  <c r="M288" i="3"/>
  <c r="P288" i="3"/>
  <c r="P288" i="10" s="1"/>
  <c r="M256" i="3"/>
  <c r="P281" i="3"/>
  <c r="M281" i="3"/>
  <c r="P370" i="3"/>
  <c r="P370" i="10" s="1"/>
  <c r="M416" i="3"/>
  <c r="M337" i="3"/>
  <c r="M263" i="3"/>
  <c r="P142" i="3"/>
  <c r="P142" i="10" s="1"/>
  <c r="P102" i="3"/>
  <c r="M433" i="3"/>
  <c r="P265" i="3"/>
  <c r="P215" i="3"/>
  <c r="P215" i="10" s="1"/>
  <c r="P400" i="3"/>
  <c r="P400" i="10" s="1"/>
  <c r="P339" i="3"/>
  <c r="P339" i="10" s="1"/>
  <c r="M503" i="3"/>
  <c r="M360" i="3"/>
  <c r="P372" i="3"/>
  <c r="M338" i="3"/>
  <c r="M271" i="3"/>
  <c r="P355" i="3"/>
  <c r="P355" i="10" s="1"/>
  <c r="M203" i="3"/>
  <c r="M266" i="3"/>
  <c r="M526" i="3"/>
  <c r="M273" i="3"/>
  <c r="P522" i="3"/>
  <c r="P522" i="10" s="1"/>
  <c r="M154" i="3"/>
  <c r="M162" i="3"/>
  <c r="M34" i="3"/>
  <c r="M148" i="3"/>
  <c r="M518" i="3"/>
  <c r="M86" i="3"/>
  <c r="M44" i="3"/>
  <c r="M68" i="3"/>
  <c r="M76" i="3"/>
  <c r="M116" i="3"/>
  <c r="M123" i="3"/>
  <c r="M127" i="3"/>
  <c r="P515" i="3"/>
  <c r="P222" i="3"/>
  <c r="M311" i="3"/>
  <c r="M398" i="3"/>
  <c r="P493" i="3"/>
  <c r="P493" i="10" s="1"/>
  <c r="P510" i="3"/>
  <c r="M156" i="3"/>
  <c r="M164" i="3"/>
  <c r="M36" i="3"/>
  <c r="M38" i="3"/>
  <c r="P448" i="3"/>
  <c r="P448" i="10" s="1"/>
  <c r="M521" i="3"/>
  <c r="M46" i="3"/>
  <c r="M70" i="3"/>
  <c r="M78" i="3"/>
  <c r="M118" i="3"/>
  <c r="M124" i="3"/>
  <c r="M128" i="3"/>
  <c r="P313" i="3"/>
  <c r="P313" i="10" s="1"/>
  <c r="M359" i="3"/>
  <c r="P447" i="3"/>
  <c r="M508" i="3"/>
  <c r="M319" i="3"/>
  <c r="P533" i="3"/>
  <c r="M158" i="3"/>
  <c r="M470" i="3"/>
  <c r="M80" i="3"/>
  <c r="M112" i="3"/>
  <c r="M125" i="3"/>
  <c r="M274" i="3"/>
  <c r="P486" i="3"/>
  <c r="P486" i="10" s="1"/>
  <c r="M160" i="3"/>
  <c r="M82" i="3"/>
  <c r="M114" i="3"/>
  <c r="M126" i="3"/>
  <c r="P476" i="3"/>
  <c r="P476" i="10" s="1"/>
  <c r="M510" i="3"/>
  <c r="P359" i="3"/>
  <c r="M515" i="3"/>
  <c r="M166" i="3"/>
  <c r="P464" i="3"/>
  <c r="P464" i="10" s="1"/>
  <c r="M447" i="3"/>
  <c r="M468" i="3"/>
  <c r="M476" i="3"/>
  <c r="P539" i="3"/>
  <c r="P468" i="3"/>
  <c r="P518" i="3"/>
  <c r="P518" i="10" s="1"/>
  <c r="P434" i="3"/>
  <c r="M481" i="3"/>
  <c r="M493" i="3"/>
  <c r="P480" i="3"/>
  <c r="P480" i="10" s="1"/>
  <c r="P488" i="3"/>
  <c r="P488" i="10" s="1"/>
  <c r="P496" i="3"/>
  <c r="P496" i="10" s="1"/>
  <c r="M513" i="3"/>
  <c r="P537" i="3"/>
  <c r="P537" i="10" s="1"/>
  <c r="P312" i="3"/>
  <c r="P478" i="3"/>
  <c r="M150" i="3"/>
  <c r="M84" i="3"/>
  <c r="M72" i="3"/>
  <c r="M120" i="3"/>
  <c r="P429" i="3"/>
  <c r="P481" i="3"/>
  <c r="P481" i="10" s="1"/>
  <c r="P521" i="3"/>
  <c r="P521" i="10" s="1"/>
  <c r="M74" i="3"/>
  <c r="P484" i="3"/>
  <c r="P500" i="3"/>
  <c r="P500" i="10" s="1"/>
  <c r="M480" i="3"/>
  <c r="M496" i="3"/>
  <c r="P532" i="3"/>
  <c r="M516" i="3"/>
  <c r="P541" i="3"/>
  <c r="P495" i="3"/>
  <c r="P495" i="10" s="1"/>
  <c r="M466" i="3"/>
  <c r="M482" i="3"/>
  <c r="M392" i="3"/>
  <c r="P308" i="3"/>
  <c r="M356" i="3"/>
  <c r="P446" i="3"/>
  <c r="P446" i="10" s="1"/>
  <c r="P223" i="3"/>
  <c r="P223" i="10" s="1"/>
  <c r="P395" i="3"/>
  <c r="P395" i="10" s="1"/>
  <c r="P509" i="3"/>
  <c r="M446" i="3"/>
  <c r="M472" i="3"/>
  <c r="P512" i="3"/>
  <c r="M443" i="3"/>
  <c r="P161" i="3"/>
  <c r="P161" i="10" s="1"/>
  <c r="P69" i="3"/>
  <c r="P115" i="3"/>
  <c r="P115" i="10" s="1"/>
  <c r="P163" i="3"/>
  <c r="M47" i="3"/>
  <c r="M79" i="3"/>
  <c r="M117" i="3"/>
  <c r="P149" i="3"/>
  <c r="M165" i="3"/>
  <c r="P121" i="3"/>
  <c r="P121" i="10" s="1"/>
  <c r="P73" i="3"/>
  <c r="P111" i="3"/>
  <c r="P159" i="3"/>
  <c r="P159" i="10" s="1"/>
  <c r="P35" i="3"/>
  <c r="M42" i="3"/>
  <c r="P504" i="3"/>
  <c r="M484" i="3"/>
  <c r="M500" i="3"/>
  <c r="M478" i="3"/>
  <c r="M520" i="3"/>
  <c r="P536" i="3"/>
  <c r="P536" i="10" s="1"/>
  <c r="M541" i="3"/>
  <c r="P479" i="3"/>
  <c r="P479" i="10" s="1"/>
  <c r="M495" i="3"/>
  <c r="P540" i="3"/>
  <c r="P540" i="10" s="1"/>
  <c r="M486" i="3"/>
  <c r="M316" i="3"/>
  <c r="M223" i="3"/>
  <c r="M396" i="3"/>
  <c r="M462" i="3"/>
  <c r="P513" i="3"/>
  <c r="M539" i="3"/>
  <c r="P508" i="3"/>
  <c r="P508" i="10" s="1"/>
  <c r="P153" i="3"/>
  <c r="P153" i="10" s="1"/>
  <c r="P43" i="3"/>
  <c r="P43" i="10" s="1"/>
  <c r="M45" i="3"/>
  <c r="M77" i="3"/>
  <c r="P155" i="3"/>
  <c r="M71" i="3"/>
  <c r="M157" i="3"/>
  <c r="M75" i="3"/>
  <c r="P113" i="3"/>
  <c r="P113" i="10" s="1"/>
  <c r="M81" i="3"/>
  <c r="M119" i="3"/>
  <c r="P151" i="3"/>
  <c r="P151" i="10" s="1"/>
  <c r="M167" i="3"/>
  <c r="P538" i="3"/>
  <c r="P502" i="3"/>
  <c r="P311" i="3"/>
  <c r="P311" i="10" s="1"/>
  <c r="P309" i="3"/>
  <c r="P358" i="3"/>
  <c r="P358" i="10" s="1"/>
  <c r="M37" i="3"/>
  <c r="P39" i="3"/>
  <c r="P39" i="10" s="1"/>
  <c r="M393" i="3"/>
  <c r="P275" i="3"/>
  <c r="P125" i="3"/>
  <c r="P87" i="3"/>
  <c r="P87" i="10" s="1"/>
  <c r="P83" i="3"/>
  <c r="P83" i="10" s="1"/>
  <c r="M151" i="3"/>
  <c r="M121" i="3"/>
  <c r="M149" i="3"/>
  <c r="P79" i="3"/>
  <c r="M429" i="3"/>
  <c r="P535" i="3"/>
  <c r="P462" i="3"/>
  <c r="P462" i="10" s="1"/>
  <c r="M492" i="3"/>
  <c r="P492" i="3"/>
  <c r="P492" i="10" s="1"/>
  <c r="M428" i="3"/>
  <c r="P514" i="3"/>
  <c r="P514" i="10" s="1"/>
  <c r="M460" i="3"/>
  <c r="M426" i="3"/>
  <c r="P398" i="3"/>
  <c r="P357" i="3"/>
  <c r="P357" i="10" s="1"/>
  <c r="M318" i="3"/>
  <c r="P310" i="3"/>
  <c r="P317" i="3"/>
  <c r="M397" i="3"/>
  <c r="M317" i="3"/>
  <c r="M309" i="3"/>
  <c r="M358" i="3"/>
  <c r="M83" i="3"/>
  <c r="M35" i="3"/>
  <c r="P164" i="3"/>
  <c r="P164" i="10" s="1"/>
  <c r="P160" i="3"/>
  <c r="P156" i="3"/>
  <c r="P156" i="10" s="1"/>
  <c r="P152" i="3"/>
  <c r="P152" i="10" s="1"/>
  <c r="P148" i="3"/>
  <c r="P128" i="3"/>
  <c r="P124" i="3"/>
  <c r="P124" i="10" s="1"/>
  <c r="P120" i="3"/>
  <c r="P116" i="3"/>
  <c r="P116" i="10" s="1"/>
  <c r="P112" i="3"/>
  <c r="P84" i="3"/>
  <c r="P84" i="10" s="1"/>
  <c r="P80" i="3"/>
  <c r="P80" i="10" s="1"/>
  <c r="P76" i="3"/>
  <c r="P72" i="3"/>
  <c r="P68" i="3"/>
  <c r="P68" i="10" s="1"/>
  <c r="P44" i="3"/>
  <c r="P40" i="3"/>
  <c r="P40" i="10" s="1"/>
  <c r="P36" i="3"/>
  <c r="P119" i="3"/>
  <c r="P119" i="10" s="1"/>
  <c r="P81" i="3"/>
  <c r="P81" i="10" s="1"/>
  <c r="M113" i="3"/>
  <c r="P117" i="3"/>
  <c r="P71" i="3"/>
  <c r="P71" i="10" s="1"/>
  <c r="P47" i="3"/>
  <c r="M163" i="3"/>
  <c r="P77" i="3"/>
  <c r="P45" i="3"/>
  <c r="P45" i="10" s="1"/>
  <c r="M43" i="3"/>
  <c r="M161" i="3"/>
  <c r="P470" i="3"/>
  <c r="M533" i="3"/>
  <c r="M535" i="3"/>
  <c r="M442" i="3"/>
  <c r="P466" i="3"/>
  <c r="M487" i="3"/>
  <c r="M488" i="3"/>
  <c r="P490" i="3"/>
  <c r="M122" i="3"/>
  <c r="M448" i="3"/>
  <c r="P443" i="3"/>
  <c r="P443" i="10" s="1"/>
  <c r="P318" i="3"/>
  <c r="P318" i="10" s="1"/>
  <c r="P397" i="3"/>
  <c r="M361" i="3"/>
  <c r="M85" i="3"/>
  <c r="P33" i="3"/>
  <c r="P444" i="3"/>
  <c r="M434" i="3"/>
  <c r="P396" i="3"/>
  <c r="M315" i="3"/>
  <c r="M394" i="3"/>
  <c r="M540" i="3"/>
  <c r="P516" i="3"/>
  <c r="P516" i="10" s="1"/>
  <c r="M152" i="3"/>
  <c r="M537" i="3"/>
  <c r="P428" i="3"/>
  <c r="P428" i="10" s="1"/>
  <c r="P534" i="3"/>
  <c r="M514" i="3"/>
  <c r="P460" i="3"/>
  <c r="P426" i="3"/>
  <c r="P426" i="10" s="1"/>
  <c r="P394" i="3"/>
  <c r="P394" i="10" s="1"/>
  <c r="M357" i="3"/>
  <c r="M310" i="3"/>
  <c r="P314" i="3"/>
  <c r="P314" i="10" s="1"/>
  <c r="M41" i="3"/>
  <c r="M33" i="3"/>
  <c r="P37" i="3"/>
  <c r="M275" i="3"/>
  <c r="P127" i="3"/>
  <c r="P123" i="3"/>
  <c r="P123" i="10" s="1"/>
  <c r="P85" i="3"/>
  <c r="P41" i="3"/>
  <c r="P41" i="10" s="1"/>
  <c r="P167" i="3"/>
  <c r="P167" i="10" s="1"/>
  <c r="M111" i="3"/>
  <c r="M73" i="3"/>
  <c r="P75" i="3"/>
  <c r="P75" i="10" s="1"/>
  <c r="P165" i="3"/>
  <c r="M155" i="3"/>
  <c r="M115" i="3"/>
  <c r="M69" i="3"/>
  <c r="M153" i="3"/>
  <c r="P472" i="3"/>
  <c r="P356" i="3"/>
  <c r="P442" i="3"/>
  <c r="P442" i="10" s="1"/>
  <c r="M395" i="3"/>
  <c r="M308" i="3"/>
  <c r="P392" i="3"/>
  <c r="M490" i="3"/>
  <c r="M479" i="3"/>
  <c r="M430" i="3"/>
  <c r="M536" i="3"/>
  <c r="P520" i="3"/>
  <c r="P520" i="10" s="1"/>
  <c r="P519" i="3"/>
  <c r="P519" i="10" s="1"/>
  <c r="P399" i="3"/>
  <c r="P399" i="10" s="1"/>
  <c r="M504" i="3"/>
  <c r="P455" i="3"/>
  <c r="P455" i="10" s="1"/>
  <c r="P451" i="3"/>
  <c r="M489" i="3"/>
  <c r="P445" i="3"/>
  <c r="P432" i="3"/>
  <c r="P432" i="10" s="1"/>
  <c r="M458" i="3"/>
  <c r="M474" i="3"/>
  <c r="P483" i="3"/>
  <c r="M457" i="3"/>
  <c r="M453" i="3"/>
  <c r="P449" i="3"/>
  <c r="M498" i="3"/>
  <c r="M28" i="3"/>
  <c r="M90" i="3"/>
  <c r="M312" i="3"/>
  <c r="P241" i="3"/>
  <c r="P237" i="3"/>
  <c r="P237" i="10" s="1"/>
  <c r="M320" i="3"/>
  <c r="M40" i="3"/>
  <c r="M432" i="3"/>
  <c r="P477" i="3"/>
  <c r="P477" i="10" s="1"/>
  <c r="P505" i="3"/>
  <c r="P505" i="10" s="1"/>
  <c r="M483" i="3"/>
  <c r="P459" i="3"/>
  <c r="P530" i="3"/>
  <c r="P530" i="10" s="1"/>
  <c r="M414" i="3"/>
  <c r="P456" i="3"/>
  <c r="P456" i="10" s="1"/>
  <c r="P452" i="3"/>
  <c r="M451" i="3"/>
  <c r="P489" i="3"/>
  <c r="M459" i="3"/>
  <c r="M425" i="3"/>
  <c r="P487" i="3"/>
  <c r="P487" i="10" s="1"/>
  <c r="P474" i="3"/>
  <c r="P474" i="10" s="1"/>
  <c r="M441" i="3"/>
  <c r="M417" i="3"/>
  <c r="M455" i="3"/>
  <c r="P485" i="3"/>
  <c r="P414" i="3"/>
  <c r="P458" i="3"/>
  <c r="M456" i="3"/>
  <c r="M445" i="3"/>
  <c r="M454" i="3"/>
  <c r="M517" i="3"/>
  <c r="M452" i="3"/>
  <c r="M421" i="3"/>
  <c r="M450" i="3"/>
  <c r="P454" i="3"/>
  <c r="P507" i="3"/>
  <c r="P507" i="10" s="1"/>
  <c r="P450" i="3"/>
  <c r="P450" i="10" s="1"/>
  <c r="M436" i="3"/>
  <c r="M507" i="3"/>
  <c r="M528" i="3"/>
  <c r="P517" i="3"/>
  <c r="M485" i="3"/>
  <c r="P457" i="3"/>
  <c r="M449" i="3"/>
  <c r="P436" i="3"/>
  <c r="P436" i="10" s="1"/>
  <c r="P453" i="3"/>
  <c r="P453" i="10" s="1"/>
  <c r="P417" i="3"/>
  <c r="P506" i="3"/>
  <c r="P506" i="10" s="1"/>
  <c r="P498" i="3"/>
  <c r="M440" i="3"/>
  <c r="M511" i="3"/>
  <c r="P511" i="3"/>
  <c r="P511" i="10" s="1"/>
  <c r="T3" i="10" l="1"/>
  <c r="O2" i="10"/>
  <c r="Q2" i="3"/>
  <c r="Q2" i="10" s="1"/>
  <c r="R546" i="10"/>
  <c r="M312" i="10"/>
  <c r="R312" i="10" s="1"/>
  <c r="M474" i="10"/>
  <c r="R474" i="10" s="1"/>
  <c r="M489" i="10"/>
  <c r="R489" i="10" s="1"/>
  <c r="M155" i="10"/>
  <c r="R155" i="10" s="1"/>
  <c r="M449" i="10"/>
  <c r="R449" i="10" s="1"/>
  <c r="M528" i="10"/>
  <c r="R528" i="10" s="1"/>
  <c r="M452" i="10"/>
  <c r="R452" i="10" s="1"/>
  <c r="M456" i="10"/>
  <c r="R456" i="10" s="1"/>
  <c r="M455" i="10"/>
  <c r="R455" i="10" s="1"/>
  <c r="M28" i="10"/>
  <c r="R28" i="10" s="1"/>
  <c r="M457" i="10"/>
  <c r="R457" i="10" s="1"/>
  <c r="M490" i="10"/>
  <c r="R490" i="10" s="1"/>
  <c r="M275" i="10"/>
  <c r="R275" i="10" s="1"/>
  <c r="M361" i="10"/>
  <c r="R361" i="10" s="1"/>
  <c r="M83" i="10"/>
  <c r="R83" i="10" s="1"/>
  <c r="M397" i="10"/>
  <c r="R397" i="10" s="1"/>
  <c r="M165" i="10"/>
  <c r="R165" i="10" s="1"/>
  <c r="M446" i="10"/>
  <c r="R446" i="10" s="1"/>
  <c r="M482" i="10"/>
  <c r="R482" i="10" s="1"/>
  <c r="M468" i="10"/>
  <c r="R468" i="10" s="1"/>
  <c r="M515" i="10"/>
  <c r="R515" i="10" s="1"/>
  <c r="M126" i="10"/>
  <c r="R126" i="10" s="1"/>
  <c r="M319" i="10"/>
  <c r="R319" i="10" s="1"/>
  <c r="M156" i="10"/>
  <c r="R156" i="10" s="1"/>
  <c r="M311" i="10"/>
  <c r="R311" i="10" s="1"/>
  <c r="M44" i="10"/>
  <c r="R44" i="10" s="1"/>
  <c r="M34" i="10"/>
  <c r="R34" i="10" s="1"/>
  <c r="M273" i="10"/>
  <c r="R273" i="10" s="1"/>
  <c r="M360" i="10"/>
  <c r="R360" i="10" s="1"/>
  <c r="M242" i="10"/>
  <c r="R242" i="10" s="1"/>
  <c r="M387" i="10"/>
  <c r="R387" i="10" s="1"/>
  <c r="M250" i="10"/>
  <c r="R250" i="10" s="1"/>
  <c r="M323" i="10"/>
  <c r="R323" i="10" s="1"/>
  <c r="M339" i="10"/>
  <c r="R339" i="10" s="1"/>
  <c r="M530" i="10"/>
  <c r="R530" i="10" s="1"/>
  <c r="M108" i="10"/>
  <c r="R108" i="10" s="1"/>
  <c r="M314" i="10"/>
  <c r="R314" i="10" s="1"/>
  <c r="M22" i="10"/>
  <c r="R22" i="10" s="1"/>
  <c r="M295" i="10"/>
  <c r="R295" i="10" s="1"/>
  <c r="M427" i="10"/>
  <c r="R427" i="10" s="1"/>
  <c r="M284" i="10"/>
  <c r="R284" i="10" s="1"/>
  <c r="M241" i="10"/>
  <c r="R241" i="10" s="1"/>
  <c r="M23" i="10"/>
  <c r="R23" i="10" s="1"/>
  <c r="M95" i="10"/>
  <c r="R95" i="10" s="1"/>
  <c r="M243" i="10"/>
  <c r="R243" i="10" s="1"/>
  <c r="M246" i="10"/>
  <c r="R246" i="10" s="1"/>
  <c r="M283" i="10"/>
  <c r="R283" i="10" s="1"/>
  <c r="M260" i="10"/>
  <c r="R260" i="10" s="1"/>
  <c r="M294" i="10"/>
  <c r="R294" i="10" s="1"/>
  <c r="M186" i="10"/>
  <c r="R186" i="10" s="1"/>
  <c r="M188" i="10"/>
  <c r="R188" i="10" s="1"/>
  <c r="M139" i="10"/>
  <c r="R139" i="10" s="1"/>
  <c r="M262" i="10"/>
  <c r="R262" i="10" s="1"/>
  <c r="M307" i="10"/>
  <c r="R307" i="10" s="1"/>
  <c r="M204" i="10"/>
  <c r="R204" i="10" s="1"/>
  <c r="M32" i="10"/>
  <c r="R32" i="10" s="1"/>
  <c r="M146" i="10"/>
  <c r="R146" i="10" s="1"/>
  <c r="M10" i="10"/>
  <c r="R10" i="10" s="1"/>
  <c r="M519" i="10"/>
  <c r="R519" i="10" s="1"/>
  <c r="M497" i="10"/>
  <c r="R497" i="10" s="1"/>
  <c r="M419" i="10"/>
  <c r="R419" i="10" s="1"/>
  <c r="M48" i="10"/>
  <c r="R48" i="10" s="1"/>
  <c r="M477" i="10"/>
  <c r="R477" i="10" s="1"/>
  <c r="M276" i="10"/>
  <c r="R276" i="10" s="1"/>
  <c r="M390" i="10"/>
  <c r="R390" i="10" s="1"/>
  <c r="M25" i="10"/>
  <c r="R25" i="10" s="1"/>
  <c r="M511" i="10"/>
  <c r="R511" i="10" s="1"/>
  <c r="P417" i="10"/>
  <c r="T417" i="10" s="1"/>
  <c r="P457" i="10"/>
  <c r="T457" i="10" s="1"/>
  <c r="M507" i="10"/>
  <c r="R507" i="10" s="1"/>
  <c r="P454" i="10"/>
  <c r="T454" i="10" s="1"/>
  <c r="M517" i="10"/>
  <c r="R517" i="10" s="1"/>
  <c r="P458" i="10"/>
  <c r="T458" i="10" s="1"/>
  <c r="M417" i="10"/>
  <c r="R417" i="10" s="1"/>
  <c r="M425" i="10"/>
  <c r="R425" i="10" s="1"/>
  <c r="P452" i="10"/>
  <c r="T452" i="10" s="1"/>
  <c r="P459" i="10"/>
  <c r="T459" i="10" s="1"/>
  <c r="M432" i="10"/>
  <c r="R432" i="10" s="1"/>
  <c r="P241" i="10"/>
  <c r="T241" i="10" s="1"/>
  <c r="M498" i="10"/>
  <c r="R498" i="10" s="1"/>
  <c r="P483" i="10"/>
  <c r="T483" i="10" s="1"/>
  <c r="P445" i="10"/>
  <c r="T445" i="10" s="1"/>
  <c r="M504" i="10"/>
  <c r="R504" i="10" s="1"/>
  <c r="M536" i="10"/>
  <c r="R536" i="10" s="1"/>
  <c r="P392" i="10"/>
  <c r="T392" i="10" s="1"/>
  <c r="P356" i="10"/>
  <c r="T356" i="10" s="1"/>
  <c r="M115" i="10"/>
  <c r="R115" i="10" s="1"/>
  <c r="M73" i="10"/>
  <c r="R73" i="10" s="1"/>
  <c r="P85" i="10"/>
  <c r="T85" i="10" s="1"/>
  <c r="P37" i="10"/>
  <c r="T37" i="10" s="1"/>
  <c r="M310" i="10"/>
  <c r="R310" i="10" s="1"/>
  <c r="P460" i="10"/>
  <c r="T460" i="10" s="1"/>
  <c r="M537" i="10"/>
  <c r="R537" i="10" s="1"/>
  <c r="M394" i="10"/>
  <c r="R394" i="10" s="1"/>
  <c r="P444" i="10"/>
  <c r="T444" i="10" s="1"/>
  <c r="P397" i="10"/>
  <c r="T397" i="10" s="1"/>
  <c r="M122" i="10"/>
  <c r="R122" i="10" s="1"/>
  <c r="P466" i="10"/>
  <c r="T466" i="10" s="1"/>
  <c r="P470" i="10"/>
  <c r="T470" i="10" s="1"/>
  <c r="P77" i="10"/>
  <c r="T77" i="10" s="1"/>
  <c r="P117" i="10"/>
  <c r="T117" i="10" s="1"/>
  <c r="P36" i="10"/>
  <c r="T36" i="10" s="1"/>
  <c r="P72" i="10"/>
  <c r="T72" i="10" s="1"/>
  <c r="P112" i="10"/>
  <c r="T112" i="10" s="1"/>
  <c r="P128" i="10"/>
  <c r="T128" i="10" s="1"/>
  <c r="P160" i="10"/>
  <c r="T160" i="10" s="1"/>
  <c r="M358" i="10"/>
  <c r="R358" i="10" s="1"/>
  <c r="P317" i="10"/>
  <c r="T317" i="10" s="1"/>
  <c r="P398" i="10"/>
  <c r="T398" i="10" s="1"/>
  <c r="M428" i="10"/>
  <c r="R428" i="10" s="1"/>
  <c r="P535" i="10"/>
  <c r="T535" i="10" s="1"/>
  <c r="M121" i="10"/>
  <c r="R121" i="10" s="1"/>
  <c r="P125" i="10"/>
  <c r="T125" i="10" s="1"/>
  <c r="M37" i="10"/>
  <c r="R37" i="10" s="1"/>
  <c r="P502" i="10"/>
  <c r="T502" i="10" s="1"/>
  <c r="M119" i="10"/>
  <c r="R119" i="10" s="1"/>
  <c r="M157" i="10"/>
  <c r="R157" i="10" s="1"/>
  <c r="M45" i="10"/>
  <c r="R45" i="10" s="1"/>
  <c r="M539" i="10"/>
  <c r="R539" i="10" s="1"/>
  <c r="M223" i="10"/>
  <c r="R223" i="10" s="1"/>
  <c r="M495" i="10"/>
  <c r="R495" i="10" s="1"/>
  <c r="M520" i="10"/>
  <c r="R520" i="10" s="1"/>
  <c r="P504" i="10"/>
  <c r="T504" i="10" s="1"/>
  <c r="P111" i="10"/>
  <c r="T111" i="10" s="1"/>
  <c r="P149" i="10"/>
  <c r="T149" i="10" s="1"/>
  <c r="P163" i="10"/>
  <c r="T163" i="10" s="1"/>
  <c r="M443" i="10"/>
  <c r="R443" i="10" s="1"/>
  <c r="P509" i="10"/>
  <c r="T509" i="10" s="1"/>
  <c r="M356" i="10"/>
  <c r="R356" i="10" s="1"/>
  <c r="M466" i="10"/>
  <c r="R466" i="10" s="1"/>
  <c r="P532" i="10"/>
  <c r="T532" i="10" s="1"/>
  <c r="P484" i="10"/>
  <c r="T484" i="10" s="1"/>
  <c r="P429" i="10"/>
  <c r="T429" i="10" s="1"/>
  <c r="M150" i="10"/>
  <c r="R150" i="10" s="1"/>
  <c r="M513" i="10"/>
  <c r="R513" i="10" s="1"/>
  <c r="M493" i="10"/>
  <c r="R493" i="10" s="1"/>
  <c r="P468" i="10"/>
  <c r="T468" i="10" s="1"/>
  <c r="M447" i="10"/>
  <c r="R447" i="10" s="1"/>
  <c r="P359" i="10"/>
  <c r="T359" i="10" s="1"/>
  <c r="M114" i="10"/>
  <c r="R114" i="10" s="1"/>
  <c r="M274" i="10"/>
  <c r="R274" i="10" s="1"/>
  <c r="M470" i="10"/>
  <c r="R470" i="10" s="1"/>
  <c r="M508" i="10"/>
  <c r="R508" i="10" s="1"/>
  <c r="M128" i="10"/>
  <c r="R128" i="10" s="1"/>
  <c r="M70" i="10"/>
  <c r="R70" i="10" s="1"/>
  <c r="M38" i="10"/>
  <c r="R38" i="10" s="1"/>
  <c r="P510" i="10"/>
  <c r="T510" i="10" s="1"/>
  <c r="P222" i="10"/>
  <c r="T222" i="10" s="1"/>
  <c r="M116" i="10"/>
  <c r="R116" i="10" s="1"/>
  <c r="M86" i="10"/>
  <c r="R86" i="10" s="1"/>
  <c r="M162" i="10"/>
  <c r="R162" i="10" s="1"/>
  <c r="M526" i="10"/>
  <c r="R526" i="10" s="1"/>
  <c r="M271" i="10"/>
  <c r="R271" i="10" s="1"/>
  <c r="M503" i="10"/>
  <c r="R503" i="10" s="1"/>
  <c r="P265" i="10"/>
  <c r="T265" i="10" s="1"/>
  <c r="M263" i="10"/>
  <c r="R263" i="10" s="1"/>
  <c r="M281" i="10"/>
  <c r="R281" i="10" s="1"/>
  <c r="M288" i="10"/>
  <c r="R288" i="10" s="1"/>
  <c r="P360" i="10"/>
  <c r="T360" i="10" s="1"/>
  <c r="M258" i="10"/>
  <c r="R258" i="10" s="1"/>
  <c r="M279" i="10"/>
  <c r="R279" i="10" s="1"/>
  <c r="M130" i="10"/>
  <c r="R130" i="10" s="1"/>
  <c r="P383" i="10"/>
  <c r="T383" i="10" s="1"/>
  <c r="M438" i="10"/>
  <c r="R438" i="10" s="1"/>
  <c r="P353" i="10"/>
  <c r="T353" i="10" s="1"/>
  <c r="M66" i="10"/>
  <c r="R66" i="10" s="1"/>
  <c r="P263" i="10"/>
  <c r="T263" i="10" s="1"/>
  <c r="P209" i="10"/>
  <c r="T209" i="10" s="1"/>
  <c r="P20" i="10"/>
  <c r="T20" i="10" s="1"/>
  <c r="M174" i="10"/>
  <c r="R174" i="10" s="1"/>
  <c r="M372" i="10"/>
  <c r="R372" i="10" s="1"/>
  <c r="P416" i="10"/>
  <c r="T416" i="10" s="1"/>
  <c r="M61" i="10"/>
  <c r="R61" i="10" s="1"/>
  <c r="M216" i="10"/>
  <c r="R216" i="10" s="1"/>
  <c r="P290" i="10"/>
  <c r="T290" i="10" s="1"/>
  <c r="M300" i="10"/>
  <c r="R300" i="10" s="1"/>
  <c r="P147" i="10"/>
  <c r="T147" i="10" s="1"/>
  <c r="P132" i="10"/>
  <c r="T132" i="10" s="1"/>
  <c r="M198" i="10"/>
  <c r="R198" i="10" s="1"/>
  <c r="P198" i="10"/>
  <c r="T198" i="10" s="1"/>
  <c r="M182" i="10"/>
  <c r="R182" i="10" s="1"/>
  <c r="M287" i="10"/>
  <c r="R287" i="10" s="1"/>
  <c r="M230" i="10"/>
  <c r="R230" i="10" s="1"/>
  <c r="P389" i="10"/>
  <c r="T389" i="10" s="1"/>
  <c r="P231" i="10"/>
  <c r="T231" i="10" s="1"/>
  <c r="M217" i="10"/>
  <c r="R217" i="10" s="1"/>
  <c r="P378" i="10"/>
  <c r="T378" i="10" s="1"/>
  <c r="P331" i="10"/>
  <c r="T331" i="10" s="1"/>
  <c r="M236" i="10"/>
  <c r="R236" i="10" s="1"/>
  <c r="M280" i="10"/>
  <c r="R280" i="10" s="1"/>
  <c r="M352" i="10"/>
  <c r="R352" i="10" s="1"/>
  <c r="P175" i="10"/>
  <c r="T175" i="10" s="1"/>
  <c r="M411" i="10"/>
  <c r="R411" i="10" s="1"/>
  <c r="P385" i="10"/>
  <c r="T385" i="10" s="1"/>
  <c r="M522" i="10"/>
  <c r="R522" i="10" s="1"/>
  <c r="M297" i="10"/>
  <c r="R297" i="10" s="1"/>
  <c r="M232" i="10"/>
  <c r="R232" i="10" s="1"/>
  <c r="M195" i="10"/>
  <c r="R195" i="10" s="1"/>
  <c r="M222" i="10"/>
  <c r="R222" i="10" s="1"/>
  <c r="P542" i="10"/>
  <c r="T542" i="10" s="1"/>
  <c r="P82" i="10"/>
  <c r="T82" i="10" s="1"/>
  <c r="M265" i="10"/>
  <c r="R265" i="10" s="1"/>
  <c r="M399" i="10"/>
  <c r="R399" i="10" s="1"/>
  <c r="M110" i="10"/>
  <c r="R110" i="10" s="1"/>
  <c r="P126" i="10"/>
  <c r="T126" i="10" s="1"/>
  <c r="M272" i="10"/>
  <c r="R272" i="10" s="1"/>
  <c r="P391" i="10"/>
  <c r="T391" i="10" s="1"/>
  <c r="P367" i="10"/>
  <c r="T367" i="10" s="1"/>
  <c r="P425" i="10"/>
  <c r="T425" i="10" s="1"/>
  <c r="M58" i="10"/>
  <c r="R58" i="10" s="1"/>
  <c r="P526" i="10"/>
  <c r="T526" i="10" s="1"/>
  <c r="P233" i="10"/>
  <c r="T233" i="10" s="1"/>
  <c r="M140" i="10"/>
  <c r="R140" i="10" s="1"/>
  <c r="P324" i="10"/>
  <c r="T324" i="10" s="1"/>
  <c r="M325" i="10"/>
  <c r="R325" i="10" s="1"/>
  <c r="P182" i="10"/>
  <c r="T182" i="10" s="1"/>
  <c r="P421" i="10"/>
  <c r="T421" i="10" s="1"/>
  <c r="P347" i="10"/>
  <c r="T347" i="10" s="1"/>
  <c r="M92" i="10"/>
  <c r="R92" i="10" s="1"/>
  <c r="P257" i="10"/>
  <c r="T257" i="10" s="1"/>
  <c r="M379" i="10"/>
  <c r="R379" i="10" s="1"/>
  <c r="M132" i="10"/>
  <c r="R132" i="10" s="1"/>
  <c r="P352" i="10"/>
  <c r="T352" i="10" s="1"/>
  <c r="M389" i="10"/>
  <c r="R389" i="10" s="1"/>
  <c r="M444" i="10"/>
  <c r="R444" i="10" s="1"/>
  <c r="P271" i="10"/>
  <c r="T271" i="10" s="1"/>
  <c r="M133" i="10"/>
  <c r="R133" i="10" s="1"/>
  <c r="P527" i="10"/>
  <c r="T527" i="10" s="1"/>
  <c r="M299" i="10"/>
  <c r="R299" i="10" s="1"/>
  <c r="M261" i="10"/>
  <c r="R261" i="10" s="1"/>
  <c r="P139" i="10"/>
  <c r="T139" i="10" s="1"/>
  <c r="P101" i="10"/>
  <c r="T101" i="10" s="1"/>
  <c r="M49" i="10"/>
  <c r="R49" i="10" s="1"/>
  <c r="P131" i="10"/>
  <c r="T131" i="10" s="1"/>
  <c r="P90" i="10"/>
  <c r="T90" i="10" s="1"/>
  <c r="M213" i="10"/>
  <c r="R213" i="10" s="1"/>
  <c r="P6" i="10"/>
  <c r="T6" i="10" s="1"/>
  <c r="M254" i="10"/>
  <c r="R254" i="10" s="1"/>
  <c r="P270" i="10"/>
  <c r="T270" i="10" s="1"/>
  <c r="M194" i="10"/>
  <c r="R194" i="10" s="1"/>
  <c r="P301" i="10"/>
  <c r="T301" i="10" s="1"/>
  <c r="P295" i="10"/>
  <c r="T295" i="10" s="1"/>
  <c r="M412" i="10"/>
  <c r="R412" i="10" s="1"/>
  <c r="P413" i="10"/>
  <c r="T413" i="10" s="1"/>
  <c r="P140" i="10"/>
  <c r="T140" i="10" s="1"/>
  <c r="M91" i="10"/>
  <c r="R91" i="10" s="1"/>
  <c r="M234" i="10"/>
  <c r="R234" i="10" s="1"/>
  <c r="P422" i="10"/>
  <c r="T422" i="10" s="1"/>
  <c r="M135" i="10"/>
  <c r="R135" i="10" s="1"/>
  <c r="P194" i="10"/>
  <c r="T194" i="10" s="1"/>
  <c r="P227" i="10"/>
  <c r="T227" i="10" s="1"/>
  <c r="P335" i="10"/>
  <c r="T335" i="10" s="1"/>
  <c r="P8" i="10"/>
  <c r="T8" i="10" s="1"/>
  <c r="M13" i="10"/>
  <c r="R13" i="10" s="1"/>
  <c r="R3" i="10"/>
  <c r="S3" i="10"/>
  <c r="P26" i="10"/>
  <c r="T26" i="10" s="1"/>
  <c r="P52" i="10"/>
  <c r="T52" i="10" s="1"/>
  <c r="P146" i="10"/>
  <c r="T146" i="10" s="1"/>
  <c r="P259" i="10"/>
  <c r="T259" i="10" s="1"/>
  <c r="P10" i="10"/>
  <c r="T10" i="10" s="1"/>
  <c r="P178" i="10"/>
  <c r="T178" i="10" s="1"/>
  <c r="P278" i="10"/>
  <c r="T278" i="10" s="1"/>
  <c r="M362" i="10"/>
  <c r="R362" i="10" s="1"/>
  <c r="P293" i="10"/>
  <c r="T293" i="10" s="1"/>
  <c r="M313" i="10"/>
  <c r="R313" i="10" s="1"/>
  <c r="M410" i="10"/>
  <c r="R410" i="10" s="1"/>
  <c r="P137" i="10"/>
  <c r="T137" i="10" s="1"/>
  <c r="P251" i="10"/>
  <c r="T251" i="10" s="1"/>
  <c r="P286" i="10"/>
  <c r="T286" i="10" s="1"/>
  <c r="P326" i="10"/>
  <c r="T326" i="10" s="1"/>
  <c r="P423" i="10"/>
  <c r="T423" i="10" s="1"/>
  <c r="P93" i="10"/>
  <c r="T93" i="10" s="1"/>
  <c r="M107" i="10"/>
  <c r="R107" i="10" s="1"/>
  <c r="M169" i="10"/>
  <c r="R169" i="10" s="1"/>
  <c r="M335" i="10"/>
  <c r="R335" i="10" s="1"/>
  <c r="P375" i="10"/>
  <c r="T375" i="10" s="1"/>
  <c r="P211" i="10"/>
  <c r="T211" i="10" s="1"/>
  <c r="M491" i="10"/>
  <c r="R491" i="10" s="1"/>
  <c r="M524" i="10"/>
  <c r="R524" i="10" s="1"/>
  <c r="M388" i="10"/>
  <c r="R388" i="10" s="1"/>
  <c r="P320" i="10"/>
  <c r="T320" i="10" s="1"/>
  <c r="P240" i="10"/>
  <c r="T240" i="10" s="1"/>
  <c r="M327" i="10"/>
  <c r="R327" i="10" s="1"/>
  <c r="P99" i="10"/>
  <c r="T99" i="10" s="1"/>
  <c r="P169" i="10"/>
  <c r="T169" i="10" s="1"/>
  <c r="P363" i="10"/>
  <c r="T363" i="10" s="1"/>
  <c r="M199" i="10"/>
  <c r="R199" i="10" s="1"/>
  <c r="M235" i="10"/>
  <c r="P276" i="10"/>
  <c r="T276" i="10" s="1"/>
  <c r="M269" i="10"/>
  <c r="P494" i="10"/>
  <c r="T494" i="10" s="1"/>
  <c r="P234" i="10"/>
  <c r="T234" i="10" s="1"/>
  <c r="P260" i="10"/>
  <c r="T260" i="10" s="1"/>
  <c r="M408" i="10"/>
  <c r="M245" i="10"/>
  <c r="R245" i="10" s="1"/>
  <c r="M512" i="10"/>
  <c r="P467" i="10"/>
  <c r="T467" i="10" s="1"/>
  <c r="M14" i="10"/>
  <c r="P410" i="10"/>
  <c r="T410" i="10" s="1"/>
  <c r="P388" i="10"/>
  <c r="T388" i="10" s="1"/>
  <c r="P238" i="10"/>
  <c r="T238" i="10" s="1"/>
  <c r="P296" i="10"/>
  <c r="T296" i="10" s="1"/>
  <c r="P427" i="10"/>
  <c r="T427" i="10" s="1"/>
  <c r="P283" i="10"/>
  <c r="T283" i="10" s="1"/>
  <c r="P471" i="10"/>
  <c r="T471" i="10" s="1"/>
  <c r="M180" i="10"/>
  <c r="P244" i="10"/>
  <c r="T244" i="10" s="1"/>
  <c r="P183" i="10"/>
  <c r="T183" i="10" s="1"/>
  <c r="M386" i="10"/>
  <c r="R386" i="10" s="1"/>
  <c r="M240" i="10"/>
  <c r="M99" i="10"/>
  <c r="R99" i="10" s="1"/>
  <c r="P109" i="10"/>
  <c r="T109" i="10" s="1"/>
  <c r="M12" i="10"/>
  <c r="R12" i="10" s="1"/>
  <c r="P11" i="10"/>
  <c r="T11" i="10" s="1"/>
  <c r="P14" i="10"/>
  <c r="T14" i="10" s="1"/>
  <c r="M210" i="10"/>
  <c r="M538" i="10"/>
  <c r="R538" i="10" s="1"/>
  <c r="M463" i="10"/>
  <c r="M93" i="10"/>
  <c r="R93" i="10" s="1"/>
  <c r="P205" i="10"/>
  <c r="T205" i="10" s="1"/>
  <c r="P349" i="10"/>
  <c r="T349" i="10" s="1"/>
  <c r="M509" i="10"/>
  <c r="P154" i="10"/>
  <c r="T154" i="10" s="1"/>
  <c r="M267" i="10"/>
  <c r="M350" i="10"/>
  <c r="R350" i="10" s="1"/>
  <c r="M270" i="10"/>
  <c r="P19" i="10"/>
  <c r="T19" i="10" s="1"/>
  <c r="P204" i="10"/>
  <c r="T204" i="10" s="1"/>
  <c r="P366" i="10"/>
  <c r="T366" i="10" s="1"/>
  <c r="M384" i="10"/>
  <c r="P754" i="10"/>
  <c r="T754" i="10" s="1"/>
  <c r="P654" i="10"/>
  <c r="T654" i="10" s="1"/>
  <c r="P982" i="10"/>
  <c r="T982" i="10" s="1"/>
  <c r="M830" i="10"/>
  <c r="P959" i="10"/>
  <c r="T959" i="10" s="1"/>
  <c r="P677" i="10"/>
  <c r="T677" i="10" s="1"/>
  <c r="M683" i="10"/>
  <c r="P941" i="10"/>
  <c r="T941" i="10" s="1"/>
  <c r="M744" i="10"/>
  <c r="P659" i="10"/>
  <c r="T659" i="10" s="1"/>
  <c r="M695" i="10"/>
  <c r="P777" i="10"/>
  <c r="T777" i="10" s="1"/>
  <c r="M783" i="10"/>
  <c r="P62" i="10"/>
  <c r="T62" i="10" s="1"/>
  <c r="P795" i="10"/>
  <c r="T795" i="10" s="1"/>
  <c r="M928" i="10"/>
  <c r="M994" i="10"/>
  <c r="P943" i="10"/>
  <c r="T943" i="10" s="1"/>
  <c r="M722" i="10"/>
  <c r="M713" i="10"/>
  <c r="P714" i="10"/>
  <c r="T714" i="10" s="1"/>
  <c r="M724" i="10"/>
  <c r="P826" i="10"/>
  <c r="T826" i="10" s="1"/>
  <c r="P919" i="10"/>
  <c r="T919" i="10" s="1"/>
  <c r="M903" i="10"/>
  <c r="M861" i="10"/>
  <c r="M699" i="10"/>
  <c r="P981" i="10"/>
  <c r="T981" i="10" s="1"/>
  <c r="M890" i="10"/>
  <c r="P895" i="10"/>
  <c r="T895" i="10" s="1"/>
  <c r="M813" i="10"/>
  <c r="P993" i="10"/>
  <c r="T993" i="10" s="1"/>
  <c r="M690" i="10"/>
  <c r="M214" i="10"/>
  <c r="P800" i="10"/>
  <c r="T800" i="10" s="1"/>
  <c r="M957" i="10"/>
  <c r="P854" i="10"/>
  <c r="T854" i="10" s="1"/>
  <c r="P983" i="10"/>
  <c r="T983" i="10" s="1"/>
  <c r="P779" i="10"/>
  <c r="T779" i="10" s="1"/>
  <c r="P750" i="10"/>
  <c r="T750" i="10" s="1"/>
  <c r="P692" i="10"/>
  <c r="T692" i="10" s="1"/>
  <c r="P843" i="10"/>
  <c r="T843" i="10" s="1"/>
  <c r="M652" i="10"/>
  <c r="M799" i="10"/>
  <c r="P949" i="10"/>
  <c r="T949" i="10" s="1"/>
  <c r="M656" i="10"/>
  <c r="P725" i="10"/>
  <c r="T725" i="10" s="1"/>
  <c r="M730" i="10"/>
  <c r="M989" i="10"/>
  <c r="M671" i="10"/>
  <c r="P888" i="10"/>
  <c r="T888" i="10" s="1"/>
  <c r="M754" i="10"/>
  <c r="P870" i="10"/>
  <c r="T870" i="10" s="1"/>
  <c r="P773" i="10"/>
  <c r="T773" i="10" s="1"/>
  <c r="P903" i="10"/>
  <c r="T903" i="10" s="1"/>
  <c r="P917" i="10"/>
  <c r="T917" i="10" s="1"/>
  <c r="M997" i="10"/>
  <c r="M980" i="10"/>
  <c r="M732" i="10"/>
  <c r="M932" i="10"/>
  <c r="P763" i="10"/>
  <c r="T763" i="10" s="1"/>
  <c r="P739" i="10"/>
  <c r="T739" i="10" s="1"/>
  <c r="M873" i="10"/>
  <c r="M925" i="10"/>
  <c r="P669" i="10"/>
  <c r="T669" i="10" s="1"/>
  <c r="P894" i="10"/>
  <c r="T894" i="10" s="1"/>
  <c r="P916" i="10"/>
  <c r="T916" i="10" s="1"/>
  <c r="M926" i="10"/>
  <c r="P764" i="10"/>
  <c r="T764" i="10" s="1"/>
  <c r="M934" i="10"/>
  <c r="M814" i="10"/>
  <c r="P743" i="10"/>
  <c r="T743" i="10" s="1"/>
  <c r="P873" i="10"/>
  <c r="T873" i="10" s="1"/>
  <c r="P740" i="10"/>
  <c r="T740" i="10" s="1"/>
  <c r="P830" i="10"/>
  <c r="T830" i="10" s="1"/>
  <c r="P999" i="10"/>
  <c r="T999" i="10" s="1"/>
  <c r="M646" i="10"/>
  <c r="M774" i="10"/>
  <c r="M864" i="10"/>
  <c r="P909" i="10"/>
  <c r="T909" i="10" s="1"/>
  <c r="M886" i="10"/>
  <c r="M762" i="10"/>
  <c r="P905" i="10"/>
  <c r="T905" i="10" s="1"/>
  <c r="M1000" i="10"/>
  <c r="M720" i="10"/>
  <c r="P997" i="10"/>
  <c r="T997" i="10" s="1"/>
  <c r="M844" i="10"/>
  <c r="M659" i="10"/>
  <c r="M704" i="10"/>
  <c r="M936" i="10"/>
  <c r="P848" i="10"/>
  <c r="T848" i="10" s="1"/>
  <c r="P820" i="10"/>
  <c r="T820" i="10" s="1"/>
  <c r="P921" i="10"/>
  <c r="T921" i="10" s="1"/>
  <c r="M935" i="10"/>
  <c r="P705" i="10"/>
  <c r="T705" i="10" s="1"/>
  <c r="P761" i="10"/>
  <c r="T761" i="10" s="1"/>
  <c r="M815" i="10"/>
  <c r="M902" i="10"/>
  <c r="M849" i="10"/>
  <c r="M961" i="10"/>
  <c r="M664" i="10"/>
  <c r="M944" i="10"/>
  <c r="P948" i="10"/>
  <c r="T948" i="10" s="1"/>
  <c r="P827" i="10"/>
  <c r="T827" i="10" s="1"/>
  <c r="P744" i="10"/>
  <c r="T744" i="10" s="1"/>
  <c r="P930" i="10"/>
  <c r="T930" i="10" s="1"/>
  <c r="P831" i="10"/>
  <c r="T831" i="10" s="1"/>
  <c r="P736" i="10"/>
  <c r="T736" i="10" s="1"/>
  <c r="P734" i="10"/>
  <c r="T734" i="10" s="1"/>
  <c r="P776" i="10"/>
  <c r="T776" i="10" s="1"/>
  <c r="P674" i="10"/>
  <c r="T674" i="10" s="1"/>
  <c r="M738" i="10"/>
  <c r="M828" i="10"/>
  <c r="M933" i="10"/>
  <c r="M654" i="10"/>
  <c r="M782" i="10"/>
  <c r="P667" i="10"/>
  <c r="T667" i="10" s="1"/>
  <c r="M739" i="10"/>
  <c r="P953" i="10"/>
  <c r="T953" i="10" s="1"/>
  <c r="P977" i="10"/>
  <c r="T977" i="10" s="1"/>
  <c r="M642" i="10"/>
  <c r="P683" i="10"/>
  <c r="T683" i="10" s="1"/>
  <c r="P945" i="10"/>
  <c r="T945" i="10" s="1"/>
  <c r="M712" i="10"/>
  <c r="M839" i="10"/>
  <c r="P990" i="10"/>
  <c r="T990" i="10" s="1"/>
  <c r="M800" i="10"/>
  <c r="M845" i="10"/>
  <c r="M998" i="10"/>
  <c r="M897" i="10"/>
  <c r="P892" i="10"/>
  <c r="T892" i="10" s="1"/>
  <c r="P828" i="10"/>
  <c r="T828" i="10" s="1"/>
  <c r="M937" i="10"/>
  <c r="P974" i="10"/>
  <c r="T974" i="10" s="1"/>
  <c r="M648" i="10"/>
  <c r="M817" i="10"/>
  <c r="M667" i="10"/>
  <c r="M643" i="10"/>
  <c r="P715" i="10"/>
  <c r="T715" i="10" s="1"/>
  <c r="M804" i="10"/>
  <c r="M970" i="10"/>
  <c r="P818" i="10"/>
  <c r="T818" i="10" s="1"/>
  <c r="M878" i="10"/>
  <c r="P783" i="10"/>
  <c r="T783" i="10" s="1"/>
  <c r="P662" i="10"/>
  <c r="T662" i="10" s="1"/>
  <c r="P742" i="10"/>
  <c r="T742" i="10" s="1"/>
  <c r="P940" i="10"/>
  <c r="T940" i="10" s="1"/>
  <c r="P823" i="10"/>
  <c r="T823" i="10" s="1"/>
  <c r="P672" i="10"/>
  <c r="T672" i="10" s="1"/>
  <c r="P853" i="10"/>
  <c r="T853" i="10" s="1"/>
  <c r="P666" i="10"/>
  <c r="T666" i="10" s="1"/>
  <c r="P912" i="10"/>
  <c r="T912" i="10" s="1"/>
  <c r="M745" i="10"/>
  <c r="P877" i="10"/>
  <c r="T877" i="10" s="1"/>
  <c r="P774" i="10"/>
  <c r="T774" i="10" s="1"/>
  <c r="M818" i="10"/>
  <c r="P735" i="10"/>
  <c r="T735" i="10" s="1"/>
  <c r="P809" i="10"/>
  <c r="T809" i="10" s="1"/>
  <c r="P759" i="10"/>
  <c r="T759" i="10" s="1"/>
  <c r="M677" i="10"/>
  <c r="M661" i="10"/>
  <c r="P857" i="10"/>
  <c r="T857" i="10" s="1"/>
  <c r="P869" i="10"/>
  <c r="T869" i="10" s="1"/>
  <c r="M733" i="10"/>
  <c r="M806" i="10"/>
  <c r="M729" i="10"/>
  <c r="P797" i="10"/>
  <c r="T797" i="10" s="1"/>
  <c r="M709" i="10"/>
  <c r="P648" i="10"/>
  <c r="T648" i="10" s="1"/>
  <c r="P944" i="10"/>
  <c r="T944" i="10" s="1"/>
  <c r="P813" i="10"/>
  <c r="T813" i="10" s="1"/>
  <c r="M930" i="10"/>
  <c r="M777" i="10"/>
  <c r="P815" i="10"/>
  <c r="T815" i="10" s="1"/>
  <c r="M761" i="10"/>
  <c r="P684" i="10"/>
  <c r="T684" i="10" s="1"/>
  <c r="P752" i="10"/>
  <c r="T752" i="10" s="1"/>
  <c r="P695" i="10"/>
  <c r="T695" i="10" s="1"/>
  <c r="M418" i="10"/>
  <c r="M345" i="10"/>
  <c r="M772" i="10"/>
  <c r="P769" i="10"/>
  <c r="T769" i="10" s="1"/>
  <c r="M821" i="10"/>
  <c r="P913" i="10"/>
  <c r="T913" i="10" s="1"/>
  <c r="P937" i="10"/>
  <c r="T937" i="10" s="1"/>
  <c r="P9" i="10"/>
  <c r="T9" i="10" s="1"/>
  <c r="P243" i="10"/>
  <c r="T243" i="10" s="1"/>
  <c r="M617" i="10"/>
  <c r="P596" i="10"/>
  <c r="T596" i="10" s="1"/>
  <c r="P566" i="10"/>
  <c r="T566" i="10" s="1"/>
  <c r="M597" i="10"/>
  <c r="P601" i="10"/>
  <c r="T601" i="10" s="1"/>
  <c r="P547" i="10"/>
  <c r="T547" i="10" s="1"/>
  <c r="M564" i="10"/>
  <c r="M614" i="10"/>
  <c r="P593" i="10"/>
  <c r="T593" i="10" s="1"/>
  <c r="P549" i="10"/>
  <c r="T549" i="10" s="1"/>
  <c r="P587" i="10"/>
  <c r="T587" i="10" s="1"/>
  <c r="P626" i="10"/>
  <c r="T626" i="10" s="1"/>
  <c r="M613" i="10"/>
  <c r="P594" i="10"/>
  <c r="T594" i="10" s="1"/>
  <c r="P624" i="10"/>
  <c r="T624" i="10" s="1"/>
  <c r="M601" i="10"/>
  <c r="P609" i="10"/>
  <c r="T609" i="10" s="1"/>
  <c r="P543" i="10"/>
  <c r="T543" i="10" s="1"/>
  <c r="M581" i="10"/>
  <c r="P567" i="10"/>
  <c r="T567" i="10" s="1"/>
  <c r="M612" i="10"/>
  <c r="M543" i="10"/>
  <c r="M636" i="10"/>
  <c r="M619" i="10"/>
  <c r="M604" i="10"/>
  <c r="M547" i="10"/>
  <c r="M568" i="10"/>
  <c r="M588" i="10"/>
  <c r="P575" i="10"/>
  <c r="T575" i="10" s="1"/>
  <c r="P561" i="10"/>
  <c r="T561" i="10" s="1"/>
  <c r="P584" i="10"/>
  <c r="T584" i="10" s="1"/>
  <c r="M585" i="10"/>
  <c r="P602" i="10"/>
  <c r="T602" i="10" s="1"/>
  <c r="P581" i="10"/>
  <c r="T581" i="10" s="1"/>
  <c r="M599" i="10"/>
  <c r="M586" i="10"/>
  <c r="P606" i="10"/>
  <c r="T606" i="10" s="1"/>
  <c r="M584" i="10"/>
  <c r="M544" i="10"/>
  <c r="M624" i="10"/>
  <c r="P590" i="10"/>
  <c r="T590" i="10" s="1"/>
  <c r="P616" i="10"/>
  <c r="T616" i="10" s="1"/>
  <c r="P551" i="10"/>
  <c r="T551" i="10" s="1"/>
  <c r="P618" i="10"/>
  <c r="T618" i="10" s="1"/>
  <c r="P633" i="10"/>
  <c r="T633" i="10" s="1"/>
  <c r="M556" i="10"/>
  <c r="M628" i="10"/>
  <c r="M605" i="10"/>
  <c r="M441" i="10"/>
  <c r="M308" i="10"/>
  <c r="P472" i="10"/>
  <c r="T472" i="10" s="1"/>
  <c r="M111" i="10"/>
  <c r="M33" i="10"/>
  <c r="M315" i="10"/>
  <c r="P148" i="10"/>
  <c r="T148" i="10" s="1"/>
  <c r="M309" i="10"/>
  <c r="M429" i="10"/>
  <c r="P275" i="10"/>
  <c r="T275" i="10" s="1"/>
  <c r="M42" i="10"/>
  <c r="P73" i="10"/>
  <c r="T73" i="10" s="1"/>
  <c r="M117" i="10"/>
  <c r="P512" i="10"/>
  <c r="T512" i="10" s="1"/>
  <c r="M120" i="10"/>
  <c r="M481" i="10"/>
  <c r="P539" i="10"/>
  <c r="T539" i="10" s="1"/>
  <c r="M510" i="10"/>
  <c r="M125" i="10"/>
  <c r="M158" i="10"/>
  <c r="M124" i="10"/>
  <c r="M46" i="10"/>
  <c r="M36" i="10"/>
  <c r="M518" i="10"/>
  <c r="M337" i="10"/>
  <c r="M247" i="10"/>
  <c r="M134" i="10"/>
  <c r="P373" i="10"/>
  <c r="T373" i="10" s="1"/>
  <c r="M138" i="10"/>
  <c r="M20" i="10"/>
  <c r="M207" i="10"/>
  <c r="P104" i="10"/>
  <c r="T104" i="10" s="1"/>
  <c r="M385" i="10"/>
  <c r="P100" i="10"/>
  <c r="T100" i="10" s="1"/>
  <c r="M168" i="10"/>
  <c r="M159" i="10"/>
  <c r="P158" i="10"/>
  <c r="T158" i="10" s="1"/>
  <c r="P70" i="10"/>
  <c r="T70" i="10" s="1"/>
  <c r="P438" i="10"/>
  <c r="T438" i="10" s="1"/>
  <c r="P401" i="10"/>
  <c r="T401" i="10" s="1"/>
  <c r="M400" i="10"/>
  <c r="M30" i="10"/>
  <c r="P305" i="10"/>
  <c r="T305" i="10" s="1"/>
  <c r="M420" i="10"/>
  <c r="M534" i="10"/>
  <c r="M96" i="10"/>
  <c r="P273" i="10"/>
  <c r="T273" i="10" s="1"/>
  <c r="M136" i="10"/>
  <c r="P368" i="10"/>
  <c r="T368" i="10" s="1"/>
  <c r="M239" i="10"/>
  <c r="M253" i="10"/>
  <c r="P465" i="10"/>
  <c r="T465" i="10" s="1"/>
  <c r="M8" i="10"/>
  <c r="M173" i="10"/>
  <c r="P229" i="10"/>
  <c r="T229" i="10" s="1"/>
  <c r="M27" i="10"/>
  <c r="P322" i="10"/>
  <c r="T322" i="10" s="1"/>
  <c r="M218" i="10"/>
  <c r="M334" i="10"/>
  <c r="M329" i="10"/>
  <c r="P408" i="10"/>
  <c r="T408" i="10" s="1"/>
  <c r="M197" i="10"/>
  <c r="M366" i="10"/>
  <c r="P179" i="10"/>
  <c r="T179" i="10" s="1"/>
  <c r="M304" i="10"/>
  <c r="M364" i="10"/>
  <c r="M291" i="10"/>
  <c r="M101" i="10"/>
  <c r="M19" i="10"/>
  <c r="P56" i="10"/>
  <c r="T56" i="10" s="1"/>
  <c r="M205" i="10"/>
  <c r="M469" i="10"/>
  <c r="M29" i="10"/>
  <c r="M298" i="10"/>
  <c r="M202" i="10"/>
  <c r="P325" i="10"/>
  <c r="T325" i="10" s="1"/>
  <c r="M326" i="10"/>
  <c r="M413" i="10"/>
  <c r="M501" i="10"/>
  <c r="M330" i="10"/>
  <c r="P412" i="10"/>
  <c r="T412" i="10" s="1"/>
  <c r="M355" i="10"/>
  <c r="P23" i="10"/>
  <c r="T23" i="10" s="1"/>
  <c r="M465" i="10"/>
  <c r="M237" i="10"/>
  <c r="M402" i="10"/>
  <c r="M351" i="10"/>
  <c r="P226" i="10"/>
  <c r="T226" i="10" s="1"/>
  <c r="P419" i="10"/>
  <c r="T419" i="10" s="1"/>
  <c r="M131" i="10"/>
  <c r="M172" i="10"/>
  <c r="M97" i="10"/>
  <c r="P292" i="10"/>
  <c r="T292" i="10" s="1"/>
  <c r="M415" i="10"/>
  <c r="M6" i="10"/>
  <c r="P210" i="10"/>
  <c r="T210" i="10" s="1"/>
  <c r="M529" i="10"/>
  <c r="M144" i="10"/>
  <c r="M88" i="10"/>
  <c r="M228" i="10"/>
  <c r="P336" i="10"/>
  <c r="T336" i="10" s="1"/>
  <c r="P299" i="10"/>
  <c r="T299" i="10" s="1"/>
  <c r="M376" i="10"/>
  <c r="M191" i="10"/>
  <c r="M525" i="10"/>
  <c r="M374" i="10"/>
  <c r="M137" i="10"/>
  <c r="M406" i="10"/>
  <c r="M170" i="10"/>
  <c r="M336" i="10"/>
  <c r="M404" i="10"/>
  <c r="P344" i="10"/>
  <c r="T344" i="10" s="1"/>
  <c r="P171" i="10"/>
  <c r="T171" i="10" s="1"/>
  <c r="P13" i="10"/>
  <c r="T13" i="10" s="1"/>
  <c r="M201" i="10"/>
  <c r="P302" i="10"/>
  <c r="T302" i="10" s="1"/>
  <c r="M15" i="10"/>
  <c r="M285" i="10"/>
  <c r="M57" i="10"/>
  <c r="M259" i="10"/>
  <c r="M244" i="10"/>
  <c r="M219" i="10"/>
  <c r="M221" i="10"/>
  <c r="M301" i="10"/>
  <c r="M321" i="10"/>
  <c r="M343" i="10"/>
  <c r="M342" i="10"/>
  <c r="M11" i="10"/>
  <c r="M865" i="10"/>
  <c r="M780" i="10"/>
  <c r="M860" i="10"/>
  <c r="M992" i="10"/>
  <c r="M906" i="10"/>
  <c r="M758" i="10"/>
  <c r="M959" i="10"/>
  <c r="M786" i="10"/>
  <c r="M907" i="10"/>
  <c r="M871" i="10"/>
  <c r="M56" i="10"/>
  <c r="M995" i="10"/>
  <c r="M983" i="10"/>
  <c r="M856" i="10"/>
  <c r="M924" i="10"/>
  <c r="M719" i="10"/>
  <c r="M703" i="10"/>
  <c r="M945" i="10"/>
  <c r="M341" i="10"/>
  <c r="M725" i="10"/>
  <c r="M893" i="10"/>
  <c r="M895" i="10"/>
  <c r="M749" i="10"/>
  <c r="M921" i="10"/>
  <c r="M700" i="10"/>
  <c r="M787" i="10"/>
  <c r="M920" i="10"/>
  <c r="M726" i="10"/>
  <c r="M658" i="10"/>
  <c r="M877" i="10"/>
  <c r="M822" i="10"/>
  <c r="M955" i="10"/>
  <c r="M990" i="10"/>
  <c r="M870" i="10"/>
  <c r="M831" i="10"/>
  <c r="M723" i="10"/>
  <c r="M986" i="10"/>
  <c r="M681" i="10"/>
  <c r="M914" i="10"/>
  <c r="M689" i="10"/>
  <c r="M837" i="10"/>
  <c r="M736" i="10"/>
  <c r="M678" i="10"/>
  <c r="M759" i="10"/>
  <c r="M715" i="10"/>
  <c r="M964" i="10"/>
  <c r="M711" i="10"/>
  <c r="M816" i="10"/>
  <c r="M887" i="10"/>
  <c r="M969" i="10"/>
  <c r="M824" i="10"/>
  <c r="M675" i="10"/>
  <c r="M975" i="10"/>
  <c r="M972" i="10"/>
  <c r="M764" i="10"/>
  <c r="M684" i="10"/>
  <c r="M836" i="10"/>
  <c r="M771" i="10"/>
  <c r="M881" i="10"/>
  <c r="M978" i="10"/>
  <c r="M788" i="10"/>
  <c r="M640" i="10"/>
  <c r="M705" i="10"/>
  <c r="M918" i="10"/>
  <c r="M810" i="10"/>
  <c r="M773" i="10"/>
  <c r="M751" i="10"/>
  <c r="M984" i="10"/>
  <c r="M686" i="10"/>
  <c r="M663" i="10"/>
  <c r="M832" i="10"/>
  <c r="M792" i="10"/>
  <c r="M680" i="10"/>
  <c r="M714" i="10"/>
  <c r="M855" i="10"/>
  <c r="M768" i="10"/>
  <c r="M940" i="10"/>
  <c r="M899" i="10"/>
  <c r="M996" i="10"/>
  <c r="M789" i="10"/>
  <c r="M784" i="10"/>
  <c r="M820" i="10"/>
  <c r="M812" i="10"/>
  <c r="M825" i="10"/>
  <c r="M917" i="10"/>
  <c r="M846" i="10"/>
  <c r="M701" i="10"/>
  <c r="M645" i="10"/>
  <c r="M657" i="10"/>
  <c r="M962" i="10"/>
  <c r="M737" i="10"/>
  <c r="M781" i="10"/>
  <c r="M798" i="10"/>
  <c r="M653" i="10"/>
  <c r="M922" i="10"/>
  <c r="M769" i="10"/>
  <c r="M900" i="10"/>
  <c r="M741" i="10"/>
  <c r="M634" i="10"/>
  <c r="M618" i="10"/>
  <c r="M567" i="10"/>
  <c r="M632" i="10"/>
  <c r="M637" i="10"/>
  <c r="M609" i="10"/>
  <c r="M622" i="10"/>
  <c r="M583" i="10"/>
  <c r="M602" i="10"/>
  <c r="M560" i="10"/>
  <c r="M573" i="10"/>
  <c r="M555" i="10"/>
  <c r="M557" i="10"/>
  <c r="M592" i="10"/>
  <c r="M559" i="10"/>
  <c r="M587" i="10"/>
  <c r="M606" i="10"/>
  <c r="M558" i="10"/>
  <c r="M607" i="10"/>
  <c r="M552" i="10"/>
  <c r="M561" i="10"/>
  <c r="M572" i="10"/>
  <c r="M589" i="10"/>
  <c r="M570" i="10"/>
  <c r="M594" i="10"/>
  <c r="M440" i="10"/>
  <c r="M485" i="10"/>
  <c r="M450" i="10"/>
  <c r="P414" i="10"/>
  <c r="T414" i="10" s="1"/>
  <c r="M459" i="10"/>
  <c r="M40" i="10"/>
  <c r="P449" i="10"/>
  <c r="T449" i="10" s="1"/>
  <c r="M430" i="10"/>
  <c r="M357" i="10"/>
  <c r="M514" i="10"/>
  <c r="M152" i="10"/>
  <c r="P33" i="10"/>
  <c r="T33" i="10" s="1"/>
  <c r="P490" i="10"/>
  <c r="T490" i="10" s="1"/>
  <c r="M442" i="10"/>
  <c r="M161" i="10"/>
  <c r="M163" i="10"/>
  <c r="M113" i="10"/>
  <c r="P76" i="10"/>
  <c r="T76" i="10" s="1"/>
  <c r="P310" i="10"/>
  <c r="T310" i="10" s="1"/>
  <c r="M426" i="10"/>
  <c r="M151" i="10"/>
  <c r="P538" i="10"/>
  <c r="T538" i="10" s="1"/>
  <c r="M81" i="10"/>
  <c r="M71" i="10"/>
  <c r="P513" i="10"/>
  <c r="T513" i="10" s="1"/>
  <c r="M316" i="10"/>
  <c r="M478" i="10"/>
  <c r="P308" i="10"/>
  <c r="T308" i="10" s="1"/>
  <c r="M496" i="10"/>
  <c r="M74" i="10"/>
  <c r="P478" i="10"/>
  <c r="T478" i="10" s="1"/>
  <c r="M82" i="10"/>
  <c r="P447" i="10"/>
  <c r="T447" i="10" s="1"/>
  <c r="P515" i="10"/>
  <c r="T515" i="10" s="1"/>
  <c r="M76" i="10"/>
  <c r="M154" i="10"/>
  <c r="M266" i="10"/>
  <c r="M338" i="10"/>
  <c r="M433" i="10"/>
  <c r="P281" i="10"/>
  <c r="T281" i="10" s="1"/>
  <c r="M340" i="10"/>
  <c r="P409" i="10"/>
  <c r="T409" i="10" s="1"/>
  <c r="M371" i="10"/>
  <c r="M225" i="10"/>
  <c r="P206" i="10"/>
  <c r="T206" i="10" s="1"/>
  <c r="M391" i="10"/>
  <c r="P4" i="10"/>
  <c r="T4" i="10" s="1"/>
  <c r="M333" i="10"/>
  <c r="M368" i="10"/>
  <c r="P141" i="10"/>
  <c r="T141" i="10" s="1"/>
  <c r="M369" i="10"/>
  <c r="P280" i="10"/>
  <c r="T280" i="10" s="1"/>
  <c r="M147" i="10"/>
  <c r="M255" i="10"/>
  <c r="M347" i="10"/>
  <c r="P143" i="10"/>
  <c r="T143" i="10" s="1"/>
  <c r="M305" i="10"/>
  <c r="P108" i="10"/>
  <c r="T108" i="10" s="1"/>
  <c r="M94" i="10"/>
  <c r="P130" i="10"/>
  <c r="T130" i="10" s="1"/>
  <c r="M185" i="10"/>
  <c r="M176" i="10"/>
  <c r="M175" i="10"/>
  <c r="M282" i="10"/>
  <c r="M502" i="10"/>
  <c r="P287" i="10"/>
  <c r="T287" i="10" s="1"/>
  <c r="P135" i="10"/>
  <c r="T135" i="10" s="1"/>
  <c r="P498" i="10"/>
  <c r="T498" i="10" s="1"/>
  <c r="P517" i="10"/>
  <c r="T517" i="10" s="1"/>
  <c r="M421" i="10"/>
  <c r="M445" i="10"/>
  <c r="P485" i="10"/>
  <c r="T485" i="10" s="1"/>
  <c r="P489" i="10"/>
  <c r="T489" i="10" s="1"/>
  <c r="M414" i="10"/>
  <c r="M320" i="10"/>
  <c r="M90" i="10"/>
  <c r="M453" i="10"/>
  <c r="M458" i="10"/>
  <c r="P451" i="10"/>
  <c r="T451" i="10" s="1"/>
  <c r="M479" i="10"/>
  <c r="M395" i="10"/>
  <c r="M153" i="10"/>
  <c r="P165" i="10"/>
  <c r="T165" i="10" s="1"/>
  <c r="P127" i="10"/>
  <c r="T127" i="10" s="1"/>
  <c r="M41" i="10"/>
  <c r="P534" i="10"/>
  <c r="T534" i="10" s="1"/>
  <c r="P396" i="10"/>
  <c r="T396" i="10" s="1"/>
  <c r="M85" i="10"/>
  <c r="M488" i="10"/>
  <c r="M535" i="10"/>
  <c r="M43" i="10"/>
  <c r="P47" i="10"/>
  <c r="T47" i="10" s="1"/>
  <c r="P44" i="10"/>
  <c r="T44" i="10" s="1"/>
  <c r="P120" i="10"/>
  <c r="T120" i="10" s="1"/>
  <c r="M35" i="10"/>
  <c r="M317" i="10"/>
  <c r="M318" i="10"/>
  <c r="M460" i="10"/>
  <c r="M492" i="10"/>
  <c r="P79" i="10"/>
  <c r="T79" i="10" s="1"/>
  <c r="M393" i="10"/>
  <c r="P309" i="10"/>
  <c r="T309" i="10" s="1"/>
  <c r="M167" i="10"/>
  <c r="P155" i="10"/>
  <c r="T155" i="10" s="1"/>
  <c r="M462" i="10"/>
  <c r="M486" i="10"/>
  <c r="M541" i="10"/>
  <c r="M500" i="10"/>
  <c r="P35" i="10"/>
  <c r="T35" i="10" s="1"/>
  <c r="M79" i="10"/>
  <c r="P69" i="10"/>
  <c r="T69" i="10" s="1"/>
  <c r="M472" i="10"/>
  <c r="M392" i="10"/>
  <c r="P541" i="10"/>
  <c r="T541" i="10" s="1"/>
  <c r="M480" i="10"/>
  <c r="M72" i="10"/>
  <c r="P312" i="10"/>
  <c r="T312" i="10" s="1"/>
  <c r="P434" i="10"/>
  <c r="T434" i="10" s="1"/>
  <c r="M476" i="10"/>
  <c r="M166" i="10"/>
  <c r="M160" i="10"/>
  <c r="M112" i="10"/>
  <c r="P533" i="10"/>
  <c r="T533" i="10" s="1"/>
  <c r="M359" i="10"/>
  <c r="M118" i="10"/>
  <c r="M521" i="10"/>
  <c r="M164" i="10"/>
  <c r="M398" i="10"/>
  <c r="M127" i="10"/>
  <c r="M68" i="10"/>
  <c r="M148" i="10"/>
  <c r="M203" i="10"/>
  <c r="P372" i="10"/>
  <c r="T372" i="10" s="1"/>
  <c r="P102" i="10"/>
  <c r="T102" i="10" s="1"/>
  <c r="M416" i="10"/>
  <c r="M256" i="10"/>
  <c r="P272" i="10"/>
  <c r="T272" i="10" s="1"/>
  <c r="M542" i="10"/>
  <c r="M409" i="10"/>
  <c r="P195" i="10"/>
  <c r="T195" i="10" s="1"/>
  <c r="P405" i="10"/>
  <c r="T405" i="10" s="1"/>
  <c r="P193" i="10"/>
  <c r="T193" i="10" s="1"/>
  <c r="M142" i="10"/>
  <c r="P242" i="10"/>
  <c r="T242" i="10" s="1"/>
  <c r="M401" i="10"/>
  <c r="M177" i="10"/>
  <c r="M332" i="10"/>
  <c r="P248" i="10"/>
  <c r="T248" i="10" s="1"/>
  <c r="P64" i="10"/>
  <c r="T64" i="10" s="1"/>
  <c r="M423" i="10"/>
  <c r="P203" i="10"/>
  <c r="T203" i="10" s="1"/>
  <c r="P333" i="10"/>
  <c r="T333" i="10" s="1"/>
  <c r="M289" i="10"/>
  <c r="M257" i="10"/>
  <c r="M4" i="10"/>
  <c r="M381" i="10"/>
  <c r="M380" i="10"/>
  <c r="P92" i="10"/>
  <c r="T92" i="10" s="1"/>
  <c r="M407" i="10"/>
  <c r="P250" i="10"/>
  <c r="T250" i="10" s="1"/>
  <c r="M53" i="10"/>
  <c r="P177" i="10"/>
  <c r="T177" i="10" s="1"/>
  <c r="M184" i="10"/>
  <c r="M187" i="10"/>
  <c r="M190" i="10"/>
  <c r="M290" i="10"/>
  <c r="M98" i="10"/>
  <c r="M353" i="10"/>
  <c r="M102" i="10"/>
  <c r="P118" i="10"/>
  <c r="T118" i="10" s="1"/>
  <c r="M373" i="10"/>
  <c r="M405" i="10"/>
  <c r="M24" i="10"/>
  <c r="M292" i="10"/>
  <c r="M60" i="10"/>
  <c r="P201" i="10"/>
  <c r="T201" i="10" s="1"/>
  <c r="M192" i="10"/>
  <c r="P207" i="10"/>
  <c r="T207" i="10" s="1"/>
  <c r="M506" i="10"/>
  <c r="P300" i="10"/>
  <c r="T300" i="10" s="1"/>
  <c r="M100" i="10"/>
  <c r="P289" i="10"/>
  <c r="T289" i="10" s="1"/>
  <c r="M104" i="10"/>
  <c r="M264" i="10"/>
  <c r="M464" i="10"/>
  <c r="M403" i="10"/>
  <c r="M143" i="10"/>
  <c r="M178" i="10"/>
  <c r="M424" i="10"/>
  <c r="P235" i="10"/>
  <c r="T235" i="10" s="1"/>
  <c r="P55" i="10"/>
  <c r="T55" i="10" s="1"/>
  <c r="M103" i="10"/>
  <c r="M179" i="10"/>
  <c r="P172" i="10"/>
  <c r="T172" i="10" s="1"/>
  <c r="M251" i="10"/>
  <c r="M87" i="10"/>
  <c r="M346" i="10"/>
  <c r="M252" i="10"/>
  <c r="P350" i="10"/>
  <c r="T350" i="10" s="1"/>
  <c r="P402" i="10"/>
  <c r="T402" i="10" s="1"/>
  <c r="M7" i="10"/>
  <c r="M229" i="10"/>
  <c r="P319" i="10"/>
  <c r="T319" i="10" s="1"/>
  <c r="M26" i="10"/>
  <c r="M505" i="10"/>
  <c r="M344" i="10"/>
  <c r="P67" i="10"/>
  <c r="T67" i="10" s="1"/>
  <c r="P57" i="10"/>
  <c r="T57" i="10" s="1"/>
  <c r="P34" i="10"/>
  <c r="T34" i="10" s="1"/>
  <c r="P221" i="10"/>
  <c r="T221" i="10" s="1"/>
  <c r="M89" i="10"/>
  <c r="M233" i="10"/>
  <c r="M306" i="10"/>
  <c r="M226" i="10"/>
  <c r="P334" i="10"/>
  <c r="T334" i="10" s="1"/>
  <c r="M439" i="10"/>
  <c r="M471" i="10"/>
  <c r="M31" i="10"/>
  <c r="M268" i="10"/>
  <c r="P418" i="10"/>
  <c r="T418" i="10" s="1"/>
  <c r="P380" i="10"/>
  <c r="T380" i="10" s="1"/>
  <c r="M17" i="10"/>
  <c r="M67" i="10"/>
  <c r="M286" i="10"/>
  <c r="P219" i="10"/>
  <c r="T219" i="10" s="1"/>
  <c r="P307" i="10"/>
  <c r="T307" i="10" s="1"/>
  <c r="P376" i="10"/>
  <c r="T376" i="10" s="1"/>
  <c r="P284" i="10"/>
  <c r="T284" i="10" s="1"/>
  <c r="M532" i="10"/>
  <c r="P328" i="10"/>
  <c r="T328" i="10" s="1"/>
  <c r="M303" i="10"/>
  <c r="P321" i="10"/>
  <c r="T321" i="10" s="1"/>
  <c r="M171" i="10"/>
  <c r="M467" i="10"/>
  <c r="M277" i="10"/>
  <c r="M473" i="10"/>
  <c r="P364" i="10"/>
  <c r="T364" i="10" s="1"/>
  <c r="P491" i="10"/>
  <c r="T491" i="10" s="1"/>
  <c r="M523" i="10"/>
  <c r="M328" i="10"/>
  <c r="P329" i="10"/>
  <c r="T329" i="10" s="1"/>
  <c r="M62" i="10"/>
  <c r="P181" i="10"/>
  <c r="T181" i="10" s="1"/>
  <c r="M196" i="10"/>
  <c r="P268" i="10"/>
  <c r="T268" i="10" s="1"/>
  <c r="M375" i="10"/>
  <c r="M211" i="10"/>
  <c r="M494" i="10"/>
  <c r="M527" i="10"/>
  <c r="M181" i="10"/>
  <c r="P529" i="10"/>
  <c r="T529" i="10" s="1"/>
  <c r="M296" i="10"/>
  <c r="M129" i="10"/>
  <c r="P239" i="10"/>
  <c r="T239" i="10" s="1"/>
  <c r="M382" i="10"/>
  <c r="M238" i="10"/>
  <c r="M499" i="10"/>
  <c r="P189" i="10"/>
  <c r="T189" i="10" s="1"/>
  <c r="M145" i="10"/>
  <c r="P16" i="10"/>
  <c r="T16" i="10" s="1"/>
  <c r="M9" i="10"/>
  <c r="P49" i="10"/>
  <c r="T49" i="10" s="1"/>
  <c r="P38" i="10"/>
  <c r="T38" i="10" s="1"/>
  <c r="P298" i="10"/>
  <c r="T298" i="10" s="1"/>
  <c r="P386" i="10"/>
  <c r="T386" i="10" s="1"/>
  <c r="P252" i="10"/>
  <c r="T252" i="10" s="1"/>
  <c r="P188" i="10"/>
  <c r="T188" i="10" s="1"/>
  <c r="P15" i="10"/>
  <c r="T15" i="10" s="1"/>
  <c r="P29" i="10"/>
  <c r="T29" i="10" s="1"/>
  <c r="M363" i="10"/>
  <c r="P261" i="10"/>
  <c r="T261" i="10" s="1"/>
  <c r="P377" i="10"/>
  <c r="T377" i="10" s="1"/>
  <c r="M365" i="10"/>
  <c r="M531" i="10"/>
  <c r="M51" i="10"/>
  <c r="P42" i="10"/>
  <c r="T42" i="10" s="1"/>
  <c r="M322" i="10"/>
  <c r="P439" i="10"/>
  <c r="T439" i="10" s="1"/>
  <c r="P656" i="10"/>
  <c r="T656" i="10" s="1"/>
  <c r="P808" i="10"/>
  <c r="T808" i="10" s="1"/>
  <c r="M901" i="10"/>
  <c r="P858" i="10"/>
  <c r="T858" i="10" s="1"/>
  <c r="M977" i="10"/>
  <c r="M808" i="10"/>
  <c r="P1000" i="10"/>
  <c r="T1000" i="10" s="1"/>
  <c r="P785" i="10"/>
  <c r="T785" i="10" s="1"/>
  <c r="M666" i="10"/>
  <c r="M947" i="10"/>
  <c r="P844" i="10"/>
  <c r="T844" i="10" s="1"/>
  <c r="M694" i="10"/>
  <c r="M691" i="10"/>
  <c r="M706" i="10"/>
  <c r="P303" i="10"/>
  <c r="T303" i="10" s="1"/>
  <c r="M954" i="10"/>
  <c r="M987" i="10"/>
  <c r="M827" i="10"/>
  <c r="P987" i="10"/>
  <c r="T987" i="10" s="1"/>
  <c r="P698" i="10"/>
  <c r="T698" i="10" s="1"/>
  <c r="P924" i="10"/>
  <c r="T924" i="10" s="1"/>
  <c r="P689" i="10"/>
  <c r="T689" i="10" s="1"/>
  <c r="P972" i="10"/>
  <c r="T972" i="10" s="1"/>
  <c r="P812" i="10"/>
  <c r="T812" i="10" s="1"/>
  <c r="M755" i="10"/>
  <c r="M952" i="10"/>
  <c r="M672" i="10"/>
  <c r="M960" i="10"/>
  <c r="M746" i="10"/>
  <c r="M976" i="10"/>
  <c r="M734" i="10"/>
  <c r="M707" i="10"/>
  <c r="M687" i="10"/>
  <c r="P50" i="10"/>
  <c r="T50" i="10" s="1"/>
  <c r="M354" i="10"/>
  <c r="P778" i="10"/>
  <c r="T778" i="10" s="1"/>
  <c r="P907" i="10"/>
  <c r="T907" i="10" s="1"/>
  <c r="M647" i="10"/>
  <c r="M727" i="10"/>
  <c r="P191" i="10"/>
  <c r="T191" i="10" s="1"/>
  <c r="P819" i="10"/>
  <c r="T819" i="10" s="1"/>
  <c r="P847" i="10"/>
  <c r="T847" i="10" s="1"/>
  <c r="P717" i="10"/>
  <c r="T717" i="10" s="1"/>
  <c r="M747" i="10"/>
  <c r="P988" i="10"/>
  <c r="T988" i="10" s="1"/>
  <c r="M835" i="10"/>
  <c r="M696" i="10"/>
  <c r="M891" i="10"/>
  <c r="M826" i="10"/>
  <c r="P872" i="10"/>
  <c r="T872" i="10" s="1"/>
  <c r="M662" i="10"/>
  <c r="P699" i="10"/>
  <c r="T699" i="10" s="1"/>
  <c r="M876" i="10"/>
  <c r="M953" i="10"/>
  <c r="M840" i="10"/>
  <c r="P643" i="10"/>
  <c r="T643" i="10" s="1"/>
  <c r="P911" i="10"/>
  <c r="T911" i="10" s="1"/>
  <c r="P929" i="10"/>
  <c r="T929" i="10" s="1"/>
  <c r="P657" i="10"/>
  <c r="T657" i="10" s="1"/>
  <c r="P781" i="10"/>
  <c r="T781" i="10" s="1"/>
  <c r="P898" i="10"/>
  <c r="T898" i="10" s="1"/>
  <c r="M852" i="10"/>
  <c r="P866" i="10"/>
  <c r="T866" i="10" s="1"/>
  <c r="M979" i="10"/>
  <c r="M943" i="10"/>
  <c r="P749" i="10"/>
  <c r="T749" i="10" s="1"/>
  <c r="P753" i="10"/>
  <c r="T753" i="10" s="1"/>
  <c r="P859" i="10"/>
  <c r="T859" i="10" s="1"/>
  <c r="P711" i="10"/>
  <c r="T711" i="10" s="1"/>
  <c r="P639" i="10"/>
  <c r="T639" i="10" s="1"/>
  <c r="P871" i="10"/>
  <c r="T871" i="10" s="1"/>
  <c r="P793" i="10"/>
  <c r="T793" i="10" s="1"/>
  <c r="P719" i="10"/>
  <c r="T719" i="10" s="1"/>
  <c r="M794" i="10"/>
  <c r="M763" i="10"/>
  <c r="M981" i="10"/>
  <c r="M866" i="10"/>
  <c r="M710" i="10"/>
  <c r="M735" i="10"/>
  <c r="P923" i="10"/>
  <c r="T923" i="10" s="1"/>
  <c r="P980" i="10"/>
  <c r="T980" i="10" s="1"/>
  <c r="M956" i="10"/>
  <c r="M795" i="10"/>
  <c r="M919" i="10"/>
  <c r="M688" i="10"/>
  <c r="P846" i="10"/>
  <c r="T846" i="10" s="1"/>
  <c r="P741" i="10"/>
  <c r="T741" i="10" s="1"/>
  <c r="P822" i="10"/>
  <c r="T822" i="10" s="1"/>
  <c r="P975" i="10"/>
  <c r="T975" i="10" s="1"/>
  <c r="M834" i="10"/>
  <c r="M867" i="10"/>
  <c r="P856" i="10"/>
  <c r="T856" i="10" s="1"/>
  <c r="M923" i="10"/>
  <c r="P915" i="10"/>
  <c r="T915" i="10" s="1"/>
  <c r="P927" i="10"/>
  <c r="T927" i="10" s="1"/>
  <c r="M842" i="10"/>
  <c r="M676" i="10"/>
  <c r="M879" i="10"/>
  <c r="P842" i="10"/>
  <c r="T842" i="10" s="1"/>
  <c r="M949" i="10"/>
  <c r="M988" i="10"/>
  <c r="P701" i="10"/>
  <c r="T701" i="10" s="1"/>
  <c r="M838" i="10"/>
  <c r="M910" i="10"/>
  <c r="P966" i="10"/>
  <c r="T966" i="10" s="1"/>
  <c r="P680" i="10"/>
  <c r="T680" i="10" s="1"/>
  <c r="P900" i="10"/>
  <c r="T900" i="10" s="1"/>
  <c r="P786" i="10"/>
  <c r="T786" i="10" s="1"/>
  <c r="P679" i="10"/>
  <c r="T679" i="10" s="1"/>
  <c r="P952" i="10"/>
  <c r="T952" i="10" s="1"/>
  <c r="P821" i="10"/>
  <c r="T821" i="10" s="1"/>
  <c r="P727" i="10"/>
  <c r="T727" i="10" s="1"/>
  <c r="P804" i="10"/>
  <c r="T804" i="10" s="1"/>
  <c r="P862" i="10"/>
  <c r="T862" i="10" s="1"/>
  <c r="P641" i="10"/>
  <c r="T641" i="10" s="1"/>
  <c r="M718" i="10"/>
  <c r="M639" i="10"/>
  <c r="M875" i="10"/>
  <c r="P832" i="10"/>
  <c r="T832" i="10" s="1"/>
  <c r="M951" i="10"/>
  <c r="M752" i="10"/>
  <c r="M778" i="10"/>
  <c r="M973" i="10"/>
  <c r="M927" i="10"/>
  <c r="P649" i="10"/>
  <c r="T649" i="10" s="1"/>
  <c r="M885" i="10"/>
  <c r="P729" i="10"/>
  <c r="T729" i="10" s="1"/>
  <c r="P838" i="10"/>
  <c r="T838" i="10" s="1"/>
  <c r="M913" i="10"/>
  <c r="P802" i="10"/>
  <c r="T802" i="10" s="1"/>
  <c r="M851" i="10"/>
  <c r="M779" i="10"/>
  <c r="P939" i="10"/>
  <c r="T939" i="10" s="1"/>
  <c r="M963" i="10"/>
  <c r="M999" i="10"/>
  <c r="M716" i="10"/>
  <c r="M740" i="10"/>
  <c r="M863" i="10"/>
  <c r="P850" i="10"/>
  <c r="T850" i="10" s="1"/>
  <c r="M857" i="10"/>
  <c r="M971" i="10"/>
  <c r="M692" i="10"/>
  <c r="M708" i="10"/>
  <c r="M942" i="10"/>
  <c r="P932" i="10"/>
  <c r="T932" i="10" s="1"/>
  <c r="M896" i="10"/>
  <c r="P678" i="10"/>
  <c r="T678" i="10" s="1"/>
  <c r="P887" i="10"/>
  <c r="T887" i="10" s="1"/>
  <c r="P722" i="10"/>
  <c r="T722" i="10" s="1"/>
  <c r="M938" i="10"/>
  <c r="P760" i="10"/>
  <c r="T760" i="10" s="1"/>
  <c r="P655" i="10"/>
  <c r="T655" i="10" s="1"/>
  <c r="P825" i="10"/>
  <c r="T825" i="10" s="1"/>
  <c r="P936" i="10"/>
  <c r="T936" i="10" s="1"/>
  <c r="P811" i="10"/>
  <c r="T811" i="10" s="1"/>
  <c r="P712" i="10"/>
  <c r="T712" i="10" s="1"/>
  <c r="P758" i="10"/>
  <c r="T758" i="10" s="1"/>
  <c r="M697" i="10"/>
  <c r="P782" i="10"/>
  <c r="T782" i="10" s="1"/>
  <c r="M721" i="10"/>
  <c r="P658" i="10"/>
  <c r="T658" i="10" s="1"/>
  <c r="P928" i="10"/>
  <c r="T928" i="10" s="1"/>
  <c r="M946" i="10"/>
  <c r="P789" i="10"/>
  <c r="T789" i="10" s="1"/>
  <c r="M673" i="10"/>
  <c r="P767" i="10"/>
  <c r="T767" i="10" s="1"/>
  <c r="M685" i="10"/>
  <c r="M753" i="10"/>
  <c r="P676" i="10"/>
  <c r="T676" i="10" s="1"/>
  <c r="P647" i="10"/>
  <c r="T647" i="10" s="1"/>
  <c r="P881" i="10"/>
  <c r="T881" i="10" s="1"/>
  <c r="P968" i="10"/>
  <c r="T968" i="10" s="1"/>
  <c r="P861" i="10"/>
  <c r="T861" i="10" s="1"/>
  <c r="M693" i="10"/>
  <c r="P792" i="10"/>
  <c r="T792" i="10" s="1"/>
  <c r="M717" i="10"/>
  <c r="P663" i="10"/>
  <c r="T663" i="10" s="1"/>
  <c r="P718" i="10"/>
  <c r="T718" i="10" s="1"/>
  <c r="P650" i="10"/>
  <c r="T650" i="10" s="1"/>
  <c r="P24" i="10"/>
  <c r="T24" i="10" s="1"/>
  <c r="M950" i="10"/>
  <c r="P691" i="10"/>
  <c r="T691" i="10" s="1"/>
  <c r="M823" i="10"/>
  <c r="M682" i="10"/>
  <c r="R682" i="10" s="1"/>
  <c r="M766" i="10"/>
  <c r="M679" i="10"/>
  <c r="R679" i="10" s="1"/>
  <c r="P58" i="10"/>
  <c r="T58" i="10" s="1"/>
  <c r="M574" i="10"/>
  <c r="R574" i="10" s="1"/>
  <c r="P570" i="10"/>
  <c r="T570" i="10" s="1"/>
  <c r="P630" i="10"/>
  <c r="T630" i="10" s="1"/>
  <c r="M549" i="10"/>
  <c r="M635" i="10"/>
  <c r="R635" i="10" s="1"/>
  <c r="P605" i="10"/>
  <c r="T605" i="10" s="1"/>
  <c r="M610" i="10"/>
  <c r="R610" i="10" s="1"/>
  <c r="M571" i="10"/>
  <c r="M562" i="10"/>
  <c r="R562" i="10" s="1"/>
  <c r="P597" i="10"/>
  <c r="T597" i="10" s="1"/>
  <c r="P638" i="10"/>
  <c r="T638" i="10" s="1"/>
  <c r="P629" i="10"/>
  <c r="T629" i="10" s="1"/>
  <c r="M596" i="10"/>
  <c r="R596" i="10" s="1"/>
  <c r="P588" i="10"/>
  <c r="T588" i="10" s="1"/>
  <c r="P610" i="10"/>
  <c r="T610" i="10" s="1"/>
  <c r="P558" i="10"/>
  <c r="T558" i="10" s="1"/>
  <c r="P582" i="10"/>
  <c r="T582" i="10" s="1"/>
  <c r="P613" i="10"/>
  <c r="T613" i="10" s="1"/>
  <c r="P611" i="10"/>
  <c r="T611" i="10" s="1"/>
  <c r="M623" i="10"/>
  <c r="P586" i="10"/>
  <c r="T586" i="10" s="1"/>
  <c r="M616" i="10"/>
  <c r="M621" i="10"/>
  <c r="R621" i="10" s="1"/>
  <c r="M577" i="10"/>
  <c r="P578" i="10"/>
  <c r="T578" i="10" s="1"/>
  <c r="M608" i="10"/>
  <c r="M590" i="10"/>
  <c r="R590" i="10" s="1"/>
  <c r="P560" i="10"/>
  <c r="T560" i="10" s="1"/>
  <c r="P592" i="10"/>
  <c r="T592" i="10" s="1"/>
  <c r="P614" i="10"/>
  <c r="T614" i="10" s="1"/>
  <c r="M626" i="10"/>
  <c r="R626" i="10" s="1"/>
  <c r="P577" i="10"/>
  <c r="T577" i="10" s="1"/>
  <c r="P621" i="10"/>
  <c r="T621" i="10" s="1"/>
  <c r="M627" i="10"/>
  <c r="M580" i="10"/>
  <c r="R580" i="10" s="1"/>
  <c r="M578" i="10"/>
  <c r="M582" i="10"/>
  <c r="R582" i="10" s="1"/>
  <c r="P612" i="10"/>
  <c r="T612" i="10" s="1"/>
  <c r="M550" i="10"/>
  <c r="R550" i="10" s="1"/>
  <c r="M569" i="10"/>
  <c r="M553" i="10"/>
  <c r="R553" i="10" s="1"/>
  <c r="M631" i="10"/>
  <c r="P589" i="10"/>
  <c r="T589" i="10" s="1"/>
  <c r="M436" i="10"/>
  <c r="M454" i="10"/>
  <c r="R454" i="10" s="1"/>
  <c r="M483" i="10"/>
  <c r="M451" i="10"/>
  <c r="R451" i="10" s="1"/>
  <c r="M69" i="10"/>
  <c r="M540" i="10"/>
  <c r="R540" i="10" s="1"/>
  <c r="M434" i="10"/>
  <c r="M448" i="10"/>
  <c r="R448" i="10" s="1"/>
  <c r="M487" i="10"/>
  <c r="M533" i="10"/>
  <c r="R533" i="10" s="1"/>
  <c r="M149" i="10"/>
  <c r="M75" i="10"/>
  <c r="R75" i="10" s="1"/>
  <c r="M77" i="10"/>
  <c r="M396" i="10"/>
  <c r="R396" i="10" s="1"/>
  <c r="M484" i="10"/>
  <c r="M47" i="10"/>
  <c r="R47" i="10" s="1"/>
  <c r="M516" i="10"/>
  <c r="M84" i="10"/>
  <c r="R84" i="10" s="1"/>
  <c r="M80" i="10"/>
  <c r="M78" i="10"/>
  <c r="R78" i="10" s="1"/>
  <c r="M123" i="10"/>
  <c r="M249" i="10"/>
  <c r="R249" i="10" s="1"/>
  <c r="M209" i="10"/>
  <c r="M367" i="10"/>
  <c r="R367" i="10" s="1"/>
  <c r="M215" i="10"/>
  <c r="M200" i="10"/>
  <c r="R200" i="10" s="1"/>
  <c r="M348" i="10"/>
  <c r="M231" i="10"/>
  <c r="R231" i="10" s="1"/>
  <c r="M208" i="10"/>
  <c r="M248" i="10"/>
  <c r="R248" i="10" s="1"/>
  <c r="M324" i="10"/>
  <c r="M435" i="10"/>
  <c r="R435" i="10" s="1"/>
  <c r="M52" i="10"/>
  <c r="M193" i="10"/>
  <c r="R193" i="10" s="1"/>
  <c r="M206" i="10"/>
  <c r="M370" i="10"/>
  <c r="R370" i="10" s="1"/>
  <c r="M106" i="10"/>
  <c r="M383" i="10"/>
  <c r="R383" i="10" s="1"/>
  <c r="M54" i="10"/>
  <c r="M224" i="10"/>
  <c r="R224" i="10" s="1"/>
  <c r="M331" i="10"/>
  <c r="M64" i="10"/>
  <c r="R64" i="10" s="1"/>
  <c r="M141" i="10"/>
  <c r="R141" i="10" s="1"/>
  <c r="M59" i="10"/>
  <c r="R59" i="10" s="1"/>
  <c r="M63" i="10"/>
  <c r="R63" i="10" s="1"/>
  <c r="M5" i="10"/>
  <c r="R5" i="10" s="1"/>
  <c r="M377" i="10"/>
  <c r="R377" i="10" s="1"/>
  <c r="M475" i="10"/>
  <c r="R475" i="10" s="1"/>
  <c r="M220" i="10"/>
  <c r="R220" i="10" s="1"/>
  <c r="M302" i="10"/>
  <c r="R302" i="10" s="1"/>
  <c r="M65" i="10"/>
  <c r="R65" i="10" s="1"/>
  <c r="M378" i="10"/>
  <c r="R378" i="10" s="1"/>
  <c r="M109" i="10"/>
  <c r="R109" i="10" s="1"/>
  <c r="M16" i="10"/>
  <c r="R16" i="10" s="1"/>
  <c r="M212" i="10"/>
  <c r="R212" i="10" s="1"/>
  <c r="M461" i="10"/>
  <c r="R461" i="10" s="1"/>
  <c r="M21" i="10"/>
  <c r="R21" i="10" s="1"/>
  <c r="M431" i="10"/>
  <c r="R431" i="10" s="1"/>
  <c r="R2" i="10"/>
  <c r="S2" i="10"/>
  <c r="M18" i="10"/>
  <c r="R18" i="10" s="1"/>
  <c r="M50" i="10"/>
  <c r="R50" i="10" s="1"/>
  <c r="M278" i="10"/>
  <c r="R278" i="10" s="1"/>
  <c r="M227" i="10"/>
  <c r="R227" i="10" s="1"/>
  <c r="M55" i="10"/>
  <c r="R55" i="10" s="1"/>
  <c r="M105" i="10"/>
  <c r="R105" i="10" s="1"/>
  <c r="M349" i="10"/>
  <c r="R349" i="10" s="1"/>
  <c r="M437" i="10"/>
  <c r="R437" i="10" s="1"/>
  <c r="M189" i="10"/>
  <c r="R189" i="10" s="1"/>
  <c r="M293" i="10"/>
  <c r="R293" i="10" s="1"/>
  <c r="M183" i="10"/>
  <c r="R183" i="10" s="1"/>
  <c r="M765" i="10"/>
  <c r="R765" i="10" s="1"/>
  <c r="M993" i="10"/>
  <c r="R993" i="10" s="1"/>
  <c r="M776" i="10"/>
  <c r="R776" i="10" s="1"/>
  <c r="M843" i="10"/>
  <c r="R843" i="10" s="1"/>
  <c r="M862" i="10"/>
  <c r="R862" i="10" s="1"/>
  <c r="M859" i="10"/>
  <c r="R859" i="10" s="1"/>
  <c r="M422" i="10"/>
  <c r="R422" i="10" s="1"/>
  <c r="M905" i="10"/>
  <c r="R905" i="10" s="1"/>
  <c r="M702" i="10"/>
  <c r="R702" i="10" s="1"/>
  <c r="M880" i="10"/>
  <c r="R880" i="10" s="1"/>
  <c r="M850" i="10"/>
  <c r="R850" i="10" s="1"/>
  <c r="M833" i="10"/>
  <c r="R833" i="10" s="1"/>
  <c r="M651" i="10"/>
  <c r="R651" i="10" s="1"/>
  <c r="M909" i="10"/>
  <c r="R909" i="10" s="1"/>
  <c r="M796" i="10"/>
  <c r="R796" i="10" s="1"/>
  <c r="M793" i="10"/>
  <c r="R793" i="10" s="1"/>
  <c r="M760" i="10"/>
  <c r="R760" i="10" s="1"/>
  <c r="M985" i="10"/>
  <c r="R985" i="10" s="1"/>
  <c r="M670" i="10"/>
  <c r="R670" i="10" s="1"/>
  <c r="M819" i="10"/>
  <c r="R819" i="10" s="1"/>
  <c r="M770" i="10"/>
  <c r="R770" i="10" s="1"/>
  <c r="M39" i="10"/>
  <c r="R39" i="10" s="1"/>
  <c r="M982" i="10"/>
  <c r="R982" i="10" s="1"/>
  <c r="M868" i="10"/>
  <c r="R868" i="10" s="1"/>
  <c r="M931" i="10"/>
  <c r="R931" i="10" s="1"/>
  <c r="M965" i="10"/>
  <c r="R965" i="10" s="1"/>
  <c r="M858" i="10"/>
  <c r="R858" i="10" s="1"/>
  <c r="M655" i="10"/>
  <c r="R655" i="10" s="1"/>
  <c r="M660" i="10"/>
  <c r="R660" i="10" s="1"/>
  <c r="M775" i="10"/>
  <c r="R775" i="10" s="1"/>
  <c r="M898" i="10"/>
  <c r="R898" i="10" s="1"/>
  <c r="M883" i="10"/>
  <c r="R883" i="10" s="1"/>
  <c r="M967" i="10"/>
  <c r="R967" i="10" s="1"/>
  <c r="M807" i="10"/>
  <c r="R807" i="10" s="1"/>
  <c r="M841" i="10"/>
  <c r="R841" i="10" s="1"/>
  <c r="M756" i="10"/>
  <c r="R756" i="10" s="1"/>
  <c r="M882" i="10"/>
  <c r="R882" i="10" s="1"/>
  <c r="M892" i="10"/>
  <c r="R892" i="10" s="1"/>
  <c r="M974" i="10"/>
  <c r="R974" i="10" s="1"/>
  <c r="M916" i="10"/>
  <c r="R916" i="10" s="1"/>
  <c r="M742" i="10"/>
  <c r="R742" i="10" s="1"/>
  <c r="M811" i="10"/>
  <c r="R811" i="10" s="1"/>
  <c r="M911" i="10"/>
  <c r="R911" i="10" s="1"/>
  <c r="M698" i="10"/>
  <c r="R698" i="10" s="1"/>
  <c r="M848" i="10"/>
  <c r="R848" i="10" s="1"/>
  <c r="M668" i="10"/>
  <c r="R668" i="10" s="1"/>
  <c r="M853" i="10"/>
  <c r="R853" i="10" s="1"/>
  <c r="M731" i="10"/>
  <c r="R731" i="10" s="1"/>
  <c r="M829" i="10"/>
  <c r="R829" i="10" s="1"/>
  <c r="M728" i="10"/>
  <c r="R728" i="10" s="1"/>
  <c r="M888" i="10"/>
  <c r="R888" i="10" s="1"/>
  <c r="M968" i="10"/>
  <c r="R968" i="10" s="1"/>
  <c r="M797" i="10"/>
  <c r="R797" i="10" s="1"/>
  <c r="M991" i="10"/>
  <c r="R991" i="10" s="1"/>
  <c r="M644" i="10"/>
  <c r="R644" i="10" s="1"/>
  <c r="M908" i="10"/>
  <c r="R908" i="10" s="1"/>
  <c r="M958" i="10"/>
  <c r="R958" i="10" s="1"/>
  <c r="M674" i="10"/>
  <c r="R674" i="10" s="1"/>
  <c r="M869" i="10"/>
  <c r="R869" i="10" s="1"/>
  <c r="M748" i="10"/>
  <c r="R748" i="10" s="1"/>
  <c r="M750" i="10"/>
  <c r="R750" i="10" s="1"/>
  <c r="M767" i="10"/>
  <c r="R767" i="10" s="1"/>
  <c r="M939" i="10"/>
  <c r="R939" i="10" s="1"/>
  <c r="M805" i="10"/>
  <c r="R805" i="10" s="1"/>
  <c r="M743" i="10"/>
  <c r="R743" i="10" s="1"/>
  <c r="M915" i="10"/>
  <c r="R915" i="10" s="1"/>
  <c r="M854" i="10"/>
  <c r="R854" i="10" s="1"/>
  <c r="M941" i="10"/>
  <c r="R941" i="10" s="1"/>
  <c r="M803" i="10"/>
  <c r="R803" i="10" s="1"/>
  <c r="M912" i="10"/>
  <c r="R912" i="10" s="1"/>
  <c r="M872" i="10"/>
  <c r="R872" i="10" s="1"/>
  <c r="M874" i="10"/>
  <c r="R874" i="10" s="1"/>
  <c r="M791" i="10"/>
  <c r="R791" i="10" s="1"/>
  <c r="M884" i="10"/>
  <c r="R884" i="10" s="1"/>
  <c r="M894" i="10"/>
  <c r="R894" i="10" s="1"/>
  <c r="M889" i="10"/>
  <c r="R889" i="10" s="1"/>
  <c r="M929" i="10"/>
  <c r="R929" i="10" s="1"/>
  <c r="M948" i="10"/>
  <c r="R948" i="10" s="1"/>
  <c r="M966" i="10"/>
  <c r="R966" i="10" s="1"/>
  <c r="M802" i="10"/>
  <c r="R802" i="10" s="1"/>
  <c r="M790" i="10"/>
  <c r="R790" i="10" s="1"/>
  <c r="M665" i="10"/>
  <c r="R665" i="10" s="1"/>
  <c r="M649" i="10"/>
  <c r="R649" i="10" s="1"/>
  <c r="M904" i="10"/>
  <c r="R904" i="10" s="1"/>
  <c r="M757" i="10"/>
  <c r="R757" i="10" s="1"/>
  <c r="M669" i="10"/>
  <c r="R669" i="10" s="1"/>
  <c r="M785" i="10"/>
  <c r="R785" i="10" s="1"/>
  <c r="M641" i="10"/>
  <c r="R641" i="10" s="1"/>
  <c r="M847" i="10"/>
  <c r="R847" i="10" s="1"/>
  <c r="M809" i="10"/>
  <c r="R809" i="10" s="1"/>
  <c r="M801" i="10"/>
  <c r="R801" i="10" s="1"/>
  <c r="M650" i="10"/>
  <c r="R650" i="10" s="1"/>
  <c r="M595" i="10"/>
  <c r="R595" i="10" s="1"/>
  <c r="M629" i="10"/>
  <c r="R629" i="10" s="1"/>
  <c r="M575" i="10"/>
  <c r="R575" i="10" s="1"/>
  <c r="M593" i="10"/>
  <c r="R593" i="10" s="1"/>
  <c r="M625" i="10"/>
  <c r="R625" i="10" s="1"/>
  <c r="M638" i="10"/>
  <c r="R638" i="10" s="1"/>
  <c r="M579" i="10"/>
  <c r="R579" i="10" s="1"/>
  <c r="M598" i="10"/>
  <c r="R598" i="10" s="1"/>
  <c r="M554" i="10"/>
  <c r="R554" i="10" s="1"/>
  <c r="M630" i="10"/>
  <c r="R630" i="10" s="1"/>
  <c r="M591" i="10"/>
  <c r="R591" i="10" s="1"/>
  <c r="M548" i="10"/>
  <c r="R548" i="10" s="1"/>
  <c r="M563" i="10"/>
  <c r="R563" i="10" s="1"/>
  <c r="M620" i="10"/>
  <c r="R620" i="10" s="1"/>
  <c r="M551" i="10"/>
  <c r="R551" i="10" s="1"/>
  <c r="M565" i="10"/>
  <c r="R565" i="10" s="1"/>
  <c r="M633" i="10"/>
  <c r="R633" i="10" s="1"/>
  <c r="M603" i="10"/>
  <c r="R603" i="10" s="1"/>
  <c r="M576" i="10"/>
  <c r="R576" i="10" s="1"/>
  <c r="M600" i="10"/>
  <c r="R600" i="10" s="1"/>
  <c r="M611" i="10"/>
  <c r="R611" i="10" s="1"/>
  <c r="M615" i="10"/>
  <c r="R615" i="10" s="1"/>
  <c r="M566" i="10"/>
  <c r="R566" i="10" s="1"/>
  <c r="M545" i="10"/>
  <c r="R545" i="10" s="1"/>
  <c r="S546" i="10"/>
  <c r="T91" i="10"/>
  <c r="T327" i="10"/>
  <c r="T664" i="10"/>
  <c r="T851" i="10"/>
  <c r="T840" i="10"/>
  <c r="T675" i="10"/>
  <c r="T852" i="10"/>
  <c r="T330" i="10"/>
  <c r="T879" i="10"/>
  <c r="T906" i="10"/>
  <c r="T918" i="10"/>
  <c r="T904" i="10"/>
  <c r="T902" i="10"/>
  <c r="T878" i="10"/>
  <c r="T757" i="10"/>
  <c r="T707" i="10"/>
  <c r="T18" i="10"/>
  <c r="T963" i="10"/>
  <c r="T824" i="10"/>
  <c r="T766" i="10"/>
  <c r="T891" i="10"/>
  <c r="T901" i="10"/>
  <c r="T967" i="10"/>
  <c r="T970" i="10"/>
  <c r="T864" i="10"/>
  <c r="T836" i="10"/>
  <c r="T947" i="10"/>
  <c r="T814" i="10"/>
  <c r="T834" i="10"/>
  <c r="T790" i="10"/>
  <c r="T798" i="10"/>
  <c r="T791" i="10"/>
  <c r="T768" i="10"/>
  <c r="T908" i="10"/>
  <c r="T803" i="10"/>
  <c r="T702" i="10"/>
  <c r="T935" i="10"/>
  <c r="T955" i="10"/>
  <c r="T653" i="10"/>
  <c r="T794" i="10"/>
  <c r="T745" i="10"/>
  <c r="T876" i="10"/>
  <c r="T896" i="10"/>
  <c r="T964" i="10"/>
  <c r="T687" i="10"/>
  <c r="T833" i="10"/>
  <c r="T668" i="10"/>
  <c r="T890" i="10"/>
  <c r="T931" i="10"/>
  <c r="T787" i="10"/>
  <c r="T984" i="10"/>
  <c r="T806" i="10"/>
  <c r="T886" i="10"/>
  <c r="T713" i="10"/>
  <c r="T755" i="10"/>
  <c r="T880" i="10"/>
  <c r="T925" i="10"/>
  <c r="T989" i="10"/>
  <c r="T922" i="10"/>
  <c r="T867" i="10"/>
  <c r="T960" i="10"/>
  <c r="T914" i="10"/>
  <c r="T756" i="10"/>
  <c r="T775" i="10"/>
  <c r="T865" i="10"/>
  <c r="T845" i="10"/>
  <c r="T706" i="10"/>
  <c r="T730" i="10"/>
  <c r="T950" i="10"/>
  <c r="T958" i="10"/>
  <c r="T837" i="10"/>
  <c r="T710" i="10"/>
  <c r="T780" i="10"/>
  <c r="T696" i="10"/>
  <c r="T762" i="10"/>
  <c r="T686" i="10"/>
  <c r="T660" i="10"/>
  <c r="T732" i="10"/>
  <c r="T805" i="10"/>
  <c r="T728" i="10"/>
  <c r="T671" i="10"/>
  <c r="T646" i="10"/>
  <c r="T384" i="10"/>
  <c r="T926" i="10"/>
  <c r="T994" i="10"/>
  <c r="T991" i="10"/>
  <c r="T645" i="10"/>
  <c r="T884" i="10"/>
  <c r="T868" i="10"/>
  <c r="T262" i="10"/>
  <c r="T28" i="10"/>
  <c r="T600" i="10"/>
  <c r="T554" i="10"/>
  <c r="T563" i="10"/>
  <c r="T625" i="10"/>
  <c r="T546" i="10"/>
  <c r="T557" i="10"/>
  <c r="T617" i="10"/>
  <c r="T583" i="10"/>
  <c r="T585" i="10"/>
  <c r="T568" i="10"/>
  <c r="T573" i="10"/>
  <c r="T636" i="10"/>
  <c r="T565" i="10"/>
  <c r="T553" i="10"/>
  <c r="T556" i="10"/>
  <c r="T622" i="10"/>
  <c r="T572" i="10"/>
  <c r="T623" i="10"/>
  <c r="T603" i="10"/>
  <c r="T12" i="10"/>
  <c r="T548" i="10"/>
  <c r="T552" i="10"/>
  <c r="T608" i="10"/>
  <c r="T453" i="10"/>
  <c r="T456" i="10"/>
  <c r="T399" i="10"/>
  <c r="T123" i="10"/>
  <c r="T318" i="10"/>
  <c r="T40" i="10"/>
  <c r="T116" i="10"/>
  <c r="T164" i="10"/>
  <c r="T492" i="10"/>
  <c r="T358" i="10"/>
  <c r="T43" i="10"/>
  <c r="T479" i="10"/>
  <c r="T115" i="10"/>
  <c r="T395" i="10"/>
  <c r="T495" i="10"/>
  <c r="T496" i="10"/>
  <c r="T464" i="10"/>
  <c r="T493" i="10"/>
  <c r="T339" i="10"/>
  <c r="T503" i="10"/>
  <c r="T340" i="10"/>
  <c r="T433" i="10"/>
  <c r="T61" i="10"/>
  <c r="T232" i="10"/>
  <c r="T200" i="10"/>
  <c r="T266" i="10"/>
  <c r="T420" i="10"/>
  <c r="T379" i="10"/>
  <c r="T332" i="10"/>
  <c r="T531" i="10"/>
  <c r="T274" i="10"/>
  <c r="T315" i="10"/>
  <c r="T114" i="10"/>
  <c r="T337" i="10"/>
  <c r="T441" i="10"/>
  <c r="T440" i="10"/>
  <c r="T430" i="10"/>
  <c r="T393" i="10"/>
  <c r="T267" i="10"/>
  <c r="T65" i="10"/>
  <c r="T162" i="10"/>
  <c r="T212" i="10"/>
  <c r="T374" i="10"/>
  <c r="T228" i="10"/>
  <c r="T524" i="10"/>
  <c r="T30" i="10"/>
  <c r="T220" i="10"/>
  <c r="T88" i="10"/>
  <c r="T63" i="10"/>
  <c r="T463" i="10"/>
  <c r="T525" i="10"/>
  <c r="T145" i="10"/>
  <c r="T180" i="10"/>
  <c r="T202" i="10"/>
  <c r="T415" i="10"/>
  <c r="T497" i="10"/>
  <c r="T291" i="10"/>
  <c r="T173" i="10"/>
  <c r="T129" i="10"/>
  <c r="T436" i="10"/>
  <c r="T450" i="10"/>
  <c r="T474" i="10"/>
  <c r="T505" i="10"/>
  <c r="T519" i="10"/>
  <c r="T167" i="10"/>
  <c r="T394" i="10"/>
  <c r="T516" i="10"/>
  <c r="T443" i="10"/>
  <c r="T81" i="10"/>
  <c r="T80" i="10"/>
  <c r="T152" i="10"/>
  <c r="T83" i="10"/>
  <c r="T113" i="10"/>
  <c r="T153" i="10"/>
  <c r="T121" i="10"/>
  <c r="T223" i="10"/>
  <c r="T521" i="10"/>
  <c r="T488" i="10"/>
  <c r="T476" i="10"/>
  <c r="T522" i="10"/>
  <c r="T400" i="10"/>
  <c r="T247" i="10"/>
  <c r="T98" i="10"/>
  <c r="T94" i="10"/>
  <c r="T387" i="10"/>
  <c r="T225" i="10"/>
  <c r="T184" i="10"/>
  <c r="T435" i="10"/>
  <c r="T258" i="10"/>
  <c r="T136" i="10"/>
  <c r="T264" i="10"/>
  <c r="T348" i="10"/>
  <c r="T208" i="10"/>
  <c r="T74" i="10"/>
  <c r="T134" i="10"/>
  <c r="T31" i="10"/>
  <c r="T150" i="10"/>
  <c r="T369" i="10"/>
  <c r="T269" i="10"/>
  <c r="T21" i="10"/>
  <c r="T105" i="10"/>
  <c r="T345" i="10"/>
  <c r="T341" i="10"/>
  <c r="T306" i="10"/>
  <c r="T499" i="10"/>
  <c r="T157" i="10"/>
  <c r="T89" i="10"/>
  <c r="T60" i="10"/>
  <c r="T501" i="10"/>
  <c r="T170" i="10"/>
  <c r="T59" i="10"/>
  <c r="T637" i="10"/>
  <c r="T599" i="10"/>
  <c r="T545" i="10"/>
  <c r="T591" i="10"/>
  <c r="T555" i="10"/>
  <c r="P294" i="3"/>
  <c r="P294" i="10" s="1"/>
  <c r="T511" i="10"/>
  <c r="T506" i="10"/>
  <c r="T507" i="10"/>
  <c r="T487" i="10"/>
  <c r="T530" i="10"/>
  <c r="T477" i="10"/>
  <c r="T237" i="10"/>
  <c r="T432" i="10"/>
  <c r="T455" i="10"/>
  <c r="T520" i="10"/>
  <c r="T442" i="10"/>
  <c r="T75" i="10"/>
  <c r="T41" i="10"/>
  <c r="T314" i="10"/>
  <c r="T426" i="10"/>
  <c r="T428" i="10"/>
  <c r="T45" i="10"/>
  <c r="T71" i="10"/>
  <c r="T119" i="10"/>
  <c r="T68" i="10"/>
  <c r="T84" i="10"/>
  <c r="T124" i="10"/>
  <c r="T156" i="10"/>
  <c r="T357" i="10"/>
  <c r="T514" i="10"/>
  <c r="T462" i="10"/>
  <c r="T87" i="10"/>
  <c r="T39" i="10"/>
  <c r="T311" i="10"/>
  <c r="T151" i="10"/>
  <c r="T508" i="10"/>
  <c r="T540" i="10"/>
  <c r="T536" i="10"/>
  <c r="T159" i="10"/>
  <c r="T161" i="10"/>
  <c r="T446" i="10"/>
  <c r="T500" i="10"/>
  <c r="T481" i="10"/>
  <c r="T537" i="10"/>
  <c r="T480" i="10"/>
  <c r="T518" i="10"/>
  <c r="T486" i="10"/>
  <c r="T313" i="10"/>
  <c r="T448" i="10"/>
  <c r="T355" i="10"/>
  <c r="T215" i="10"/>
  <c r="T142" i="10"/>
  <c r="T370" i="10"/>
  <c r="T288" i="10"/>
  <c r="T190" i="10"/>
  <c r="T138" i="10"/>
  <c r="T187" i="10"/>
  <c r="T323" i="10"/>
  <c r="T110" i="10"/>
  <c r="T66" i="10"/>
  <c r="T297" i="10"/>
  <c r="T174" i="10"/>
  <c r="T106" i="10"/>
  <c r="T168" i="10"/>
  <c r="T230" i="10"/>
  <c r="T96" i="10"/>
  <c r="T411" i="10"/>
  <c r="T381" i="10"/>
  <c r="T338" i="10"/>
  <c r="T185" i="10"/>
  <c r="T192" i="10"/>
  <c r="T224" i="10"/>
  <c r="T214" i="10"/>
  <c r="T403" i="10"/>
  <c r="T282" i="10"/>
  <c r="T176" i="10"/>
  <c r="T216" i="10"/>
  <c r="T78" i="10"/>
  <c r="T371" i="10"/>
  <c r="T122" i="10"/>
  <c r="T256" i="10"/>
  <c r="T279" i="10"/>
  <c r="T475" i="10"/>
  <c r="T217" i="10"/>
  <c r="T53" i="10"/>
  <c r="T166" i="10"/>
  <c r="T528" i="10"/>
  <c r="T316" i="10"/>
  <c r="T236" i="10"/>
  <c r="T361" i="10"/>
  <c r="T407" i="10"/>
  <c r="T255" i="10"/>
  <c r="T199" i="10"/>
  <c r="T25" i="10"/>
  <c r="T46" i="10"/>
  <c r="T197" i="10"/>
  <c r="T7" i="10"/>
  <c r="T246" i="10"/>
  <c r="T342" i="10"/>
  <c r="T365" i="10"/>
  <c r="T406" i="10"/>
  <c r="T354" i="10"/>
  <c r="T424" i="10"/>
  <c r="T133" i="10"/>
  <c r="T362" i="10"/>
  <c r="T473" i="10"/>
  <c r="T461" i="10"/>
  <c r="T5" i="10"/>
  <c r="T22" i="10"/>
  <c r="T48" i="10"/>
  <c r="T86" i="10"/>
  <c r="T27" i="10"/>
  <c r="T346" i="10"/>
  <c r="T382" i="10"/>
  <c r="T213" i="10"/>
  <c r="T196" i="10"/>
  <c r="T51" i="10"/>
  <c r="T431" i="10"/>
  <c r="T285" i="10"/>
  <c r="T523" i="10"/>
  <c r="T304" i="10"/>
  <c r="T343" i="10"/>
  <c r="T245" i="10"/>
  <c r="T404" i="10"/>
  <c r="T482" i="10"/>
  <c r="T277" i="10"/>
  <c r="T253" i="10"/>
  <c r="T351" i="10"/>
  <c r="T186" i="10"/>
  <c r="T218" i="10"/>
  <c r="T249" i="10"/>
  <c r="T97" i="10"/>
  <c r="T103" i="10"/>
  <c r="T469" i="10"/>
  <c r="T107" i="10"/>
  <c r="T144" i="10"/>
  <c r="T95" i="10"/>
  <c r="T254" i="10"/>
  <c r="T17" i="10"/>
  <c r="T437" i="10"/>
  <c r="T962" i="10"/>
  <c r="T661" i="10"/>
  <c r="T882" i="10"/>
  <c r="T961" i="10"/>
  <c r="T771" i="10"/>
  <c r="T721" i="10"/>
  <c r="T969" i="10"/>
  <c r="T32" i="10"/>
  <c r="T835" i="10"/>
  <c r="T703" i="10"/>
  <c r="T889" i="10"/>
  <c r="T998" i="10"/>
  <c r="T724" i="10"/>
  <c r="T765" i="10"/>
  <c r="T996" i="10"/>
  <c r="T709" i="10"/>
  <c r="T640" i="10"/>
  <c r="T704" i="10"/>
  <c r="T700" i="10"/>
  <c r="T685" i="10"/>
  <c r="T693" i="10"/>
  <c r="T731" i="10"/>
  <c r="T681" i="10"/>
  <c r="T860" i="10"/>
  <c r="T971" i="10"/>
  <c r="T673" i="10"/>
  <c r="T697" i="10"/>
  <c r="T893" i="10"/>
  <c r="T985" i="10"/>
  <c r="T788" i="10"/>
  <c r="T954" i="10"/>
  <c r="T849" i="10"/>
  <c r="T946" i="10"/>
  <c r="T839" i="10"/>
  <c r="T751" i="10"/>
  <c r="T690" i="10"/>
  <c r="T784" i="10"/>
  <c r="T965" i="10"/>
  <c r="T978" i="10"/>
  <c r="T992" i="10"/>
  <c r="T747" i="10"/>
  <c r="T973" i="10"/>
  <c r="T957" i="10"/>
  <c r="T995" i="10"/>
  <c r="T899" i="10"/>
  <c r="T874" i="10"/>
  <c r="T796" i="10"/>
  <c r="T816" i="10"/>
  <c r="T956" i="10"/>
  <c r="T863" i="10"/>
  <c r="T746" i="10"/>
  <c r="T644" i="10"/>
  <c r="T885" i="10"/>
  <c r="T726" i="10"/>
  <c r="T933" i="10"/>
  <c r="T897" i="10"/>
  <c r="T986" i="10"/>
  <c r="T665" i="10"/>
  <c r="T651" i="10"/>
  <c r="T976" i="10"/>
  <c r="T723" i="10"/>
  <c r="T979" i="10"/>
  <c r="T951" i="10"/>
  <c r="T737" i="10"/>
  <c r="T733" i="10"/>
  <c r="T883" i="10"/>
  <c r="T875" i="10"/>
  <c r="T801" i="10"/>
  <c r="T855" i="10"/>
  <c r="T682" i="10"/>
  <c r="T716" i="10"/>
  <c r="T934" i="10"/>
  <c r="T799" i="10"/>
  <c r="T910" i="10"/>
  <c r="T748" i="10"/>
  <c r="T642" i="10"/>
  <c r="T772" i="10"/>
  <c r="T688" i="10"/>
  <c r="T920" i="10"/>
  <c r="T817" i="10"/>
  <c r="T738" i="10"/>
  <c r="T807" i="10"/>
  <c r="T720" i="10"/>
  <c r="T652" i="10"/>
  <c r="T670" i="10"/>
  <c r="T841" i="10"/>
  <c r="T942" i="10"/>
  <c r="T829" i="10"/>
  <c r="T770" i="10"/>
  <c r="T694" i="10"/>
  <c r="T708" i="10"/>
  <c r="T54" i="10"/>
  <c r="T938" i="10"/>
  <c r="T810" i="10"/>
  <c r="T390" i="10"/>
  <c r="T550" i="10"/>
  <c r="T574" i="10"/>
  <c r="T631" i="10"/>
  <c r="T598" i="10"/>
  <c r="T559" i="10"/>
  <c r="T628" i="10"/>
  <c r="T615" i="10"/>
  <c r="T627" i="10"/>
  <c r="T580" i="10"/>
  <c r="T564" i="10"/>
  <c r="T634" i="10"/>
  <c r="T576" i="10"/>
  <c r="T595" i="10"/>
  <c r="T569" i="10"/>
  <c r="T635" i="10"/>
  <c r="T604" i="10"/>
  <c r="T632" i="10"/>
  <c r="T562" i="10"/>
  <c r="T607" i="10"/>
  <c r="T619" i="10"/>
  <c r="T579" i="10"/>
  <c r="T620" i="10"/>
  <c r="T571" i="10"/>
  <c r="T544" i="10"/>
  <c r="Q294" i="3"/>
  <c r="Q294" i="10" s="1"/>
  <c r="P2" i="3"/>
  <c r="P2" i="10" s="1"/>
  <c r="S248" i="10" l="1"/>
  <c r="T2" i="10"/>
  <c r="S985" i="10"/>
  <c r="S302" i="10"/>
  <c r="S635" i="10"/>
  <c r="S965" i="10"/>
  <c r="S880" i="10"/>
  <c r="S278" i="10"/>
  <c r="S582" i="10"/>
  <c r="S807" i="10"/>
  <c r="S993" i="10"/>
  <c r="S655" i="10"/>
  <c r="S833" i="10"/>
  <c r="S349" i="10"/>
  <c r="S18" i="10"/>
  <c r="S431" i="10"/>
  <c r="S553" i="10"/>
  <c r="S562" i="10"/>
  <c r="S819" i="10"/>
  <c r="S843" i="10"/>
  <c r="S64" i="10"/>
  <c r="S396" i="10"/>
  <c r="S378" i="10"/>
  <c r="S59" i="10"/>
  <c r="S533" i="10"/>
  <c r="S55" i="10"/>
  <c r="S16" i="10"/>
  <c r="S5" i="10"/>
  <c r="S200" i="10"/>
  <c r="S461" i="10"/>
  <c r="S475" i="10"/>
  <c r="S775" i="10"/>
  <c r="S39" i="10"/>
  <c r="S909" i="10"/>
  <c r="S859" i="10"/>
  <c r="S189" i="10"/>
  <c r="S383" i="10"/>
  <c r="S249" i="10"/>
  <c r="S540" i="10"/>
  <c r="S574" i="10"/>
  <c r="S883" i="10"/>
  <c r="S868" i="10"/>
  <c r="S793" i="10"/>
  <c r="S905" i="10"/>
  <c r="S183" i="10"/>
  <c r="S105" i="10"/>
  <c r="S227" i="10"/>
  <c r="S50" i="10"/>
  <c r="S21" i="10"/>
  <c r="S212" i="10"/>
  <c r="S109" i="10"/>
  <c r="S65" i="10"/>
  <c r="S220" i="10"/>
  <c r="S377" i="10"/>
  <c r="S63" i="10"/>
  <c r="S141" i="10"/>
  <c r="S193" i="10"/>
  <c r="S84" i="10"/>
  <c r="S454" i="10"/>
  <c r="S596" i="10"/>
  <c r="S682" i="10"/>
  <c r="S224" i="10"/>
  <c r="R106" i="10"/>
  <c r="S106" i="10"/>
  <c r="S435" i="10"/>
  <c r="R208" i="10"/>
  <c r="S208" i="10"/>
  <c r="S367" i="10"/>
  <c r="R123" i="10"/>
  <c r="S123" i="10"/>
  <c r="S47" i="10"/>
  <c r="R77" i="10"/>
  <c r="S77" i="10"/>
  <c r="S448" i="10"/>
  <c r="R69" i="10"/>
  <c r="S69" i="10"/>
  <c r="R569" i="10"/>
  <c r="S569" i="10"/>
  <c r="S580" i="10"/>
  <c r="S590" i="10"/>
  <c r="R577" i="10"/>
  <c r="S577" i="10"/>
  <c r="R571" i="10"/>
  <c r="S571" i="10"/>
  <c r="R950" i="10"/>
  <c r="S950" i="10"/>
  <c r="R673" i="10"/>
  <c r="S673" i="10"/>
  <c r="R971" i="10"/>
  <c r="S971" i="10"/>
  <c r="R740" i="10"/>
  <c r="S740" i="10"/>
  <c r="R913" i="10"/>
  <c r="S913" i="10"/>
  <c r="R752" i="10"/>
  <c r="S752" i="10"/>
  <c r="R639" i="10"/>
  <c r="S639" i="10"/>
  <c r="R988" i="10"/>
  <c r="S988" i="10"/>
  <c r="R676" i="10"/>
  <c r="S676" i="10"/>
  <c r="R923" i="10"/>
  <c r="S923" i="10"/>
  <c r="R688" i="10"/>
  <c r="S688" i="10"/>
  <c r="R866" i="10"/>
  <c r="S866" i="10"/>
  <c r="R943" i="10"/>
  <c r="S943" i="10"/>
  <c r="R876" i="10"/>
  <c r="S876" i="10"/>
  <c r="R826" i="10"/>
  <c r="S826" i="10"/>
  <c r="R687" i="10"/>
  <c r="S687" i="10"/>
  <c r="R746" i="10"/>
  <c r="S746" i="10"/>
  <c r="R755" i="10"/>
  <c r="S755" i="10"/>
  <c r="R987" i="10"/>
  <c r="S987" i="10"/>
  <c r="R691" i="10"/>
  <c r="S691" i="10"/>
  <c r="R666" i="10"/>
  <c r="S666" i="10"/>
  <c r="R977" i="10"/>
  <c r="S977" i="10"/>
  <c r="R51" i="10"/>
  <c r="S51" i="10"/>
  <c r="R145" i="10"/>
  <c r="S145" i="10"/>
  <c r="R382" i="10"/>
  <c r="S382" i="10"/>
  <c r="R211" i="10"/>
  <c r="S211" i="10"/>
  <c r="R523" i="10"/>
  <c r="S523" i="10"/>
  <c r="R277" i="10"/>
  <c r="S277" i="10"/>
  <c r="R303" i="10"/>
  <c r="S303" i="10"/>
  <c r="R67" i="10"/>
  <c r="S67" i="10"/>
  <c r="R268" i="10"/>
  <c r="S268" i="10"/>
  <c r="R89" i="10"/>
  <c r="S89" i="10"/>
  <c r="R251" i="10"/>
  <c r="S251" i="10"/>
  <c r="R143" i="10"/>
  <c r="S143" i="10"/>
  <c r="R104" i="10"/>
  <c r="S104" i="10"/>
  <c r="R506" i="10"/>
  <c r="S506" i="10"/>
  <c r="R60" i="10"/>
  <c r="S60" i="10"/>
  <c r="R373" i="10"/>
  <c r="S373" i="10"/>
  <c r="R98" i="10"/>
  <c r="S98" i="10"/>
  <c r="R184" i="10"/>
  <c r="S184" i="10"/>
  <c r="R407" i="10"/>
  <c r="S407" i="10"/>
  <c r="R4" i="10"/>
  <c r="S4" i="10"/>
  <c r="R332" i="10"/>
  <c r="S332" i="10"/>
  <c r="R142" i="10"/>
  <c r="S142" i="10"/>
  <c r="R409" i="10"/>
  <c r="S409" i="10"/>
  <c r="R416" i="10"/>
  <c r="S416" i="10"/>
  <c r="R148" i="10"/>
  <c r="S148" i="10"/>
  <c r="R164" i="10"/>
  <c r="S164" i="10"/>
  <c r="R476" i="10"/>
  <c r="S476" i="10"/>
  <c r="R480" i="10"/>
  <c r="S480" i="10"/>
  <c r="R541" i="10"/>
  <c r="S541" i="10"/>
  <c r="R167" i="10"/>
  <c r="S167" i="10"/>
  <c r="R492" i="10"/>
  <c r="S492" i="10"/>
  <c r="R35" i="10"/>
  <c r="S35" i="10"/>
  <c r="R43" i="10"/>
  <c r="S43" i="10"/>
  <c r="R320" i="10"/>
  <c r="S320" i="10"/>
  <c r="R445" i="10"/>
  <c r="S445" i="10"/>
  <c r="R175" i="10"/>
  <c r="S175" i="10"/>
  <c r="R94" i="10"/>
  <c r="S94" i="10"/>
  <c r="R347" i="10"/>
  <c r="S347" i="10"/>
  <c r="R369" i="10"/>
  <c r="S369" i="10"/>
  <c r="R371" i="10"/>
  <c r="S371" i="10"/>
  <c r="R433" i="10"/>
  <c r="S433" i="10"/>
  <c r="R76" i="10"/>
  <c r="S76" i="10"/>
  <c r="R478" i="10"/>
  <c r="S478" i="10"/>
  <c r="R81" i="10"/>
  <c r="S81" i="10"/>
  <c r="R161" i="10"/>
  <c r="S161" i="10"/>
  <c r="R152" i="10"/>
  <c r="S152" i="10"/>
  <c r="R450" i="10"/>
  <c r="S450" i="10"/>
  <c r="R570" i="10"/>
  <c r="S570" i="10"/>
  <c r="R552" i="10"/>
  <c r="S552" i="10"/>
  <c r="R587" i="10"/>
  <c r="S587" i="10"/>
  <c r="R555" i="10"/>
  <c r="S555" i="10"/>
  <c r="R583" i="10"/>
  <c r="S583" i="10"/>
  <c r="R632" i="10"/>
  <c r="S632" i="10"/>
  <c r="R741" i="10"/>
  <c r="S741" i="10"/>
  <c r="R653" i="10"/>
  <c r="S653" i="10"/>
  <c r="R962" i="10"/>
  <c r="S962" i="10"/>
  <c r="R846" i="10"/>
  <c r="S846" i="10"/>
  <c r="R820" i="10"/>
  <c r="S820" i="10"/>
  <c r="R899" i="10"/>
  <c r="S899" i="10"/>
  <c r="R714" i="10"/>
  <c r="S714" i="10"/>
  <c r="R663" i="10"/>
  <c r="S663" i="10"/>
  <c r="R773" i="10"/>
  <c r="S773" i="10"/>
  <c r="R640" i="10"/>
  <c r="S640" i="10"/>
  <c r="R771" i="10"/>
  <c r="S771" i="10"/>
  <c r="R972" i="10"/>
  <c r="S972" i="10"/>
  <c r="R969" i="10"/>
  <c r="S969" i="10"/>
  <c r="R964" i="10"/>
  <c r="S964" i="10"/>
  <c r="R736" i="10"/>
  <c r="S736" i="10"/>
  <c r="R681" i="10"/>
  <c r="S681" i="10"/>
  <c r="R870" i="10"/>
  <c r="S870" i="10"/>
  <c r="R877" i="10"/>
  <c r="S877" i="10"/>
  <c r="R787" i="10"/>
  <c r="S787" i="10"/>
  <c r="R895" i="10"/>
  <c r="S895" i="10"/>
  <c r="R945" i="10"/>
  <c r="S945" i="10"/>
  <c r="R856" i="10"/>
  <c r="S856" i="10"/>
  <c r="R871" i="10"/>
  <c r="S871" i="10"/>
  <c r="R758" i="10"/>
  <c r="S758" i="10"/>
  <c r="R780" i="10"/>
  <c r="S780" i="10"/>
  <c r="R343" i="10"/>
  <c r="S343" i="10"/>
  <c r="R219" i="10"/>
  <c r="S219" i="10"/>
  <c r="R285" i="10"/>
  <c r="S285" i="10"/>
  <c r="R336" i="10"/>
  <c r="S336" i="10"/>
  <c r="R374" i="10"/>
  <c r="S374" i="10"/>
  <c r="R144" i="10"/>
  <c r="S144" i="10"/>
  <c r="R415" i="10"/>
  <c r="S415" i="10"/>
  <c r="R131" i="10"/>
  <c r="S131" i="10"/>
  <c r="R402" i="10"/>
  <c r="S402" i="10"/>
  <c r="R355" i="10"/>
  <c r="S355" i="10"/>
  <c r="R413" i="10"/>
  <c r="S413" i="10"/>
  <c r="R298" i="10"/>
  <c r="S298" i="10"/>
  <c r="R364" i="10"/>
  <c r="S364" i="10"/>
  <c r="R197" i="10"/>
  <c r="S197" i="10"/>
  <c r="R218" i="10"/>
  <c r="S218" i="10"/>
  <c r="R173" i="10"/>
  <c r="S173" i="10"/>
  <c r="R239" i="10"/>
  <c r="S239" i="10"/>
  <c r="R96" i="10"/>
  <c r="S96" i="10"/>
  <c r="R30" i="10"/>
  <c r="S30" i="10"/>
  <c r="R20" i="10"/>
  <c r="S20" i="10"/>
  <c r="R247" i="10"/>
  <c r="S247" i="10"/>
  <c r="R46" i="10"/>
  <c r="S46" i="10"/>
  <c r="R510" i="10"/>
  <c r="S510" i="10"/>
  <c r="R315" i="10"/>
  <c r="S315" i="10"/>
  <c r="R308" i="10"/>
  <c r="S308" i="10"/>
  <c r="R556" i="10"/>
  <c r="S556" i="10"/>
  <c r="R584" i="10"/>
  <c r="S584" i="10"/>
  <c r="R547" i="10"/>
  <c r="S547" i="10"/>
  <c r="R543" i="10"/>
  <c r="S543" i="10"/>
  <c r="R772" i="10"/>
  <c r="S772" i="10"/>
  <c r="R777" i="10"/>
  <c r="S777" i="10"/>
  <c r="R806" i="10"/>
  <c r="S806" i="10"/>
  <c r="R661" i="10"/>
  <c r="S661" i="10"/>
  <c r="R745" i="10"/>
  <c r="S745" i="10"/>
  <c r="R970" i="10"/>
  <c r="S970" i="10"/>
  <c r="R667" i="10"/>
  <c r="S667" i="10"/>
  <c r="R937" i="10"/>
  <c r="S937" i="10"/>
  <c r="R998" i="10"/>
  <c r="S998" i="10"/>
  <c r="R839" i="10"/>
  <c r="S839" i="10"/>
  <c r="R642" i="10"/>
  <c r="S642" i="10"/>
  <c r="R828" i="10"/>
  <c r="S828" i="10"/>
  <c r="R664" i="10"/>
  <c r="S664" i="10"/>
  <c r="R815" i="10"/>
  <c r="S815" i="10"/>
  <c r="R704" i="10"/>
  <c r="S704" i="10"/>
  <c r="R720" i="10"/>
  <c r="S720" i="10"/>
  <c r="R886" i="10"/>
  <c r="S886" i="10"/>
  <c r="R646" i="10"/>
  <c r="S646" i="10"/>
  <c r="R997" i="10"/>
  <c r="S997" i="10"/>
  <c r="R989" i="10"/>
  <c r="S989" i="10"/>
  <c r="R690" i="10"/>
  <c r="S690" i="10"/>
  <c r="R890" i="10"/>
  <c r="S890" i="10"/>
  <c r="R903" i="10"/>
  <c r="S903" i="10"/>
  <c r="R994" i="10"/>
  <c r="S994" i="10"/>
  <c r="R783" i="10"/>
  <c r="S783" i="10"/>
  <c r="R744" i="10"/>
  <c r="S744" i="10"/>
  <c r="S545" i="10"/>
  <c r="S615" i="10"/>
  <c r="S600" i="10"/>
  <c r="S603" i="10"/>
  <c r="S565" i="10"/>
  <c r="S620" i="10"/>
  <c r="S548" i="10"/>
  <c r="S630" i="10"/>
  <c r="S598" i="10"/>
  <c r="S638" i="10"/>
  <c r="S593" i="10"/>
  <c r="S629" i="10"/>
  <c r="S650" i="10"/>
  <c r="S809" i="10"/>
  <c r="S641" i="10"/>
  <c r="S669" i="10"/>
  <c r="S904" i="10"/>
  <c r="S665" i="10"/>
  <c r="S802" i="10"/>
  <c r="S948" i="10"/>
  <c r="S889" i="10"/>
  <c r="S884" i="10"/>
  <c r="S874" i="10"/>
  <c r="S912" i="10"/>
  <c r="S941" i="10"/>
  <c r="S915" i="10"/>
  <c r="S805" i="10"/>
  <c r="S767" i="10"/>
  <c r="S748" i="10"/>
  <c r="S674" i="10"/>
  <c r="S908" i="10"/>
  <c r="S991" i="10"/>
  <c r="S968" i="10"/>
  <c r="S728" i="10"/>
  <c r="S731" i="10"/>
  <c r="S668" i="10"/>
  <c r="S698" i="10"/>
  <c r="S811" i="10"/>
  <c r="S916" i="10"/>
  <c r="S892" i="10"/>
  <c r="S756" i="10"/>
  <c r="R54" i="10"/>
  <c r="S54" i="10"/>
  <c r="R324" i="10"/>
  <c r="S324" i="10"/>
  <c r="R209" i="10"/>
  <c r="S209" i="10"/>
  <c r="R484" i="10"/>
  <c r="S484" i="10"/>
  <c r="R434" i="10"/>
  <c r="S434" i="10"/>
  <c r="R631" i="10"/>
  <c r="S631" i="10"/>
  <c r="R627" i="10"/>
  <c r="S627" i="10"/>
  <c r="R608" i="10"/>
  <c r="S608" i="10"/>
  <c r="R717" i="10"/>
  <c r="S717" i="10"/>
  <c r="R753" i="10"/>
  <c r="S753" i="10"/>
  <c r="R721" i="10"/>
  <c r="S721" i="10"/>
  <c r="R942" i="10"/>
  <c r="S942" i="10"/>
  <c r="R857" i="10"/>
  <c r="S857" i="10"/>
  <c r="R716" i="10"/>
  <c r="S716" i="10"/>
  <c r="R779" i="10"/>
  <c r="S779" i="10"/>
  <c r="R927" i="10"/>
  <c r="S927" i="10"/>
  <c r="R951" i="10"/>
  <c r="S951" i="10"/>
  <c r="R718" i="10"/>
  <c r="S718" i="10"/>
  <c r="R910" i="10"/>
  <c r="S910" i="10"/>
  <c r="R949" i="10"/>
  <c r="S949" i="10"/>
  <c r="R842" i="10"/>
  <c r="S842" i="10"/>
  <c r="R919" i="10"/>
  <c r="S919" i="10"/>
  <c r="R981" i="10"/>
  <c r="S981" i="10"/>
  <c r="R979" i="10"/>
  <c r="S979" i="10"/>
  <c r="R891" i="10"/>
  <c r="S891" i="10"/>
  <c r="R747" i="10"/>
  <c r="S747" i="10"/>
  <c r="R707" i="10"/>
  <c r="S707" i="10"/>
  <c r="R960" i="10"/>
  <c r="S960" i="10"/>
  <c r="R954" i="10"/>
  <c r="S954" i="10"/>
  <c r="R694" i="10"/>
  <c r="S694" i="10"/>
  <c r="R531" i="10"/>
  <c r="S531" i="10"/>
  <c r="R363" i="10"/>
  <c r="S363" i="10"/>
  <c r="R181" i="10"/>
  <c r="S181" i="10"/>
  <c r="R375" i="10"/>
  <c r="S375" i="10"/>
  <c r="R62" i="10"/>
  <c r="S62" i="10"/>
  <c r="R467" i="10"/>
  <c r="S467" i="10"/>
  <c r="R17" i="10"/>
  <c r="S17" i="10"/>
  <c r="R31" i="10"/>
  <c r="S31" i="10"/>
  <c r="R226" i="10"/>
  <c r="S226" i="10"/>
  <c r="R344" i="10"/>
  <c r="S344" i="10"/>
  <c r="R229" i="10"/>
  <c r="S229" i="10"/>
  <c r="R252" i="10"/>
  <c r="S252" i="10"/>
  <c r="R403" i="10"/>
  <c r="S403" i="10"/>
  <c r="R292" i="10"/>
  <c r="S292" i="10"/>
  <c r="R290" i="10"/>
  <c r="S290" i="10"/>
  <c r="R257" i="10"/>
  <c r="S257" i="10"/>
  <c r="R423" i="10"/>
  <c r="S423" i="10"/>
  <c r="R177" i="10"/>
  <c r="S177" i="10"/>
  <c r="R542" i="10"/>
  <c r="S542" i="10"/>
  <c r="R68" i="10"/>
  <c r="S68" i="10"/>
  <c r="R521" i="10"/>
  <c r="S521" i="10"/>
  <c r="R112" i="10"/>
  <c r="S112" i="10"/>
  <c r="R79" i="10"/>
  <c r="S79" i="10"/>
  <c r="R486" i="10"/>
  <c r="S486" i="10"/>
  <c r="R460" i="10"/>
  <c r="S460" i="10"/>
  <c r="R535" i="10"/>
  <c r="S535" i="10"/>
  <c r="R153" i="10"/>
  <c r="S153" i="10"/>
  <c r="R458" i="10"/>
  <c r="S458" i="10"/>
  <c r="R414" i="10"/>
  <c r="S414" i="10"/>
  <c r="R421" i="10"/>
  <c r="S421" i="10"/>
  <c r="R176" i="10"/>
  <c r="S176" i="10"/>
  <c r="R255" i="10"/>
  <c r="S255" i="10"/>
  <c r="R391" i="10"/>
  <c r="S391" i="10"/>
  <c r="R338" i="10"/>
  <c r="S338" i="10"/>
  <c r="R74" i="10"/>
  <c r="S74" i="10"/>
  <c r="R316" i="10"/>
  <c r="S316" i="10"/>
  <c r="R442" i="10"/>
  <c r="S442" i="10"/>
  <c r="R514" i="10"/>
  <c r="S514" i="10"/>
  <c r="R40" i="10"/>
  <c r="S40" i="10"/>
  <c r="R485" i="10"/>
  <c r="S485" i="10"/>
  <c r="R589" i="10"/>
  <c r="S589" i="10"/>
  <c r="R607" i="10"/>
  <c r="S607" i="10"/>
  <c r="R559" i="10"/>
  <c r="S559" i="10"/>
  <c r="R573" i="10"/>
  <c r="S573" i="10"/>
  <c r="R622" i="10"/>
  <c r="S622" i="10"/>
  <c r="R567" i="10"/>
  <c r="S567" i="10"/>
  <c r="R900" i="10"/>
  <c r="S900" i="10"/>
  <c r="R798" i="10"/>
  <c r="S798" i="10"/>
  <c r="R657" i="10"/>
  <c r="S657" i="10"/>
  <c r="R917" i="10"/>
  <c r="S917" i="10"/>
  <c r="R784" i="10"/>
  <c r="S784" i="10"/>
  <c r="R940" i="10"/>
  <c r="S940" i="10"/>
  <c r="R680" i="10"/>
  <c r="S680" i="10"/>
  <c r="R686" i="10"/>
  <c r="S686" i="10"/>
  <c r="R810" i="10"/>
  <c r="S810" i="10"/>
  <c r="R788" i="10"/>
  <c r="S788" i="10"/>
  <c r="R836" i="10"/>
  <c r="S836" i="10"/>
  <c r="R975" i="10"/>
  <c r="S975" i="10"/>
  <c r="R887" i="10"/>
  <c r="S887" i="10"/>
  <c r="R715" i="10"/>
  <c r="S715" i="10"/>
  <c r="R837" i="10"/>
  <c r="S837" i="10"/>
  <c r="R986" i="10"/>
  <c r="S986" i="10"/>
  <c r="R990" i="10"/>
  <c r="S990" i="10"/>
  <c r="R658" i="10"/>
  <c r="S658" i="10"/>
  <c r="R700" i="10"/>
  <c r="S700" i="10"/>
  <c r="R893" i="10"/>
  <c r="S893" i="10"/>
  <c r="R703" i="10"/>
  <c r="S703" i="10"/>
  <c r="R983" i="10"/>
  <c r="S983" i="10"/>
  <c r="R907" i="10"/>
  <c r="S907" i="10"/>
  <c r="R906" i="10"/>
  <c r="S906" i="10"/>
  <c r="R865" i="10"/>
  <c r="S865" i="10"/>
  <c r="R321" i="10"/>
  <c r="S321" i="10"/>
  <c r="R244" i="10"/>
  <c r="S244" i="10"/>
  <c r="R15" i="10"/>
  <c r="S15" i="10"/>
  <c r="R170" i="10"/>
  <c r="S170" i="10"/>
  <c r="R525" i="10"/>
  <c r="S525" i="10"/>
  <c r="R529" i="10"/>
  <c r="S529" i="10"/>
  <c r="R237" i="10"/>
  <c r="S237" i="10"/>
  <c r="R326" i="10"/>
  <c r="S326" i="10"/>
  <c r="R29" i="10"/>
  <c r="S29" i="10"/>
  <c r="R19" i="10"/>
  <c r="S19" i="10"/>
  <c r="R304" i="10"/>
  <c r="S304" i="10"/>
  <c r="R8" i="10"/>
  <c r="S8" i="10"/>
  <c r="R534" i="10"/>
  <c r="S534" i="10"/>
  <c r="R400" i="10"/>
  <c r="S400" i="10"/>
  <c r="R385" i="10"/>
  <c r="S385" i="10"/>
  <c r="R138" i="10"/>
  <c r="S138" i="10"/>
  <c r="R337" i="10"/>
  <c r="S337" i="10"/>
  <c r="R124" i="10"/>
  <c r="S124" i="10"/>
  <c r="R117" i="10"/>
  <c r="S117" i="10"/>
  <c r="R429" i="10"/>
  <c r="S429" i="10"/>
  <c r="R33" i="10"/>
  <c r="S33" i="10"/>
  <c r="R441" i="10"/>
  <c r="S441" i="10"/>
  <c r="R604" i="10"/>
  <c r="S604" i="10"/>
  <c r="R612" i="10"/>
  <c r="S612" i="10"/>
  <c r="R613" i="10"/>
  <c r="S613" i="10"/>
  <c r="R617" i="10"/>
  <c r="S617" i="10"/>
  <c r="R345" i="10"/>
  <c r="S345" i="10"/>
  <c r="R930" i="10"/>
  <c r="S930" i="10"/>
  <c r="R709" i="10"/>
  <c r="S709" i="10"/>
  <c r="R733" i="10"/>
  <c r="S733" i="10"/>
  <c r="R677" i="10"/>
  <c r="S677" i="10"/>
  <c r="R818" i="10"/>
  <c r="S818" i="10"/>
  <c r="R804" i="10"/>
  <c r="S804" i="10"/>
  <c r="R817" i="10"/>
  <c r="S817" i="10"/>
  <c r="R845" i="10"/>
  <c r="S845" i="10"/>
  <c r="R712" i="10"/>
  <c r="S712" i="10"/>
  <c r="R782" i="10"/>
  <c r="S782" i="10"/>
  <c r="R738" i="10"/>
  <c r="S738" i="10"/>
  <c r="R961" i="10"/>
  <c r="S961" i="10"/>
  <c r="R659" i="10"/>
  <c r="S659" i="10"/>
  <c r="R1000" i="10"/>
  <c r="S1000" i="10"/>
  <c r="R926" i="10"/>
  <c r="S926" i="10"/>
  <c r="R925" i="10"/>
  <c r="S925" i="10"/>
  <c r="R932" i="10"/>
  <c r="S932" i="10"/>
  <c r="R754" i="10"/>
  <c r="S754" i="10"/>
  <c r="R730" i="10"/>
  <c r="S730" i="10"/>
  <c r="R799" i="10"/>
  <c r="S799" i="10"/>
  <c r="R957" i="10"/>
  <c r="S957" i="10"/>
  <c r="R713" i="10"/>
  <c r="S713" i="10"/>
  <c r="R928" i="10"/>
  <c r="S928" i="10"/>
  <c r="R830" i="10"/>
  <c r="S830" i="10"/>
  <c r="R384" i="10"/>
  <c r="S384" i="10"/>
  <c r="R270" i="10"/>
  <c r="S270" i="10"/>
  <c r="R509" i="10"/>
  <c r="S509" i="10"/>
  <c r="R463" i="10"/>
  <c r="S463" i="10"/>
  <c r="R240" i="10"/>
  <c r="S240" i="10"/>
  <c r="R180" i="10"/>
  <c r="S180" i="10"/>
  <c r="R14" i="10"/>
  <c r="S14" i="10"/>
  <c r="R408" i="10"/>
  <c r="S408" i="10"/>
  <c r="R269" i="10"/>
  <c r="S269" i="10"/>
  <c r="R331" i="10"/>
  <c r="S331" i="10"/>
  <c r="S370" i="10"/>
  <c r="R52" i="10"/>
  <c r="S52" i="10"/>
  <c r="S231" i="10"/>
  <c r="R215" i="10"/>
  <c r="S215" i="10"/>
  <c r="S78" i="10"/>
  <c r="R516" i="10"/>
  <c r="S516" i="10"/>
  <c r="S75" i="10"/>
  <c r="R487" i="10"/>
  <c r="S487" i="10"/>
  <c r="S451" i="10"/>
  <c r="R436" i="10"/>
  <c r="S436" i="10"/>
  <c r="S550" i="10"/>
  <c r="R578" i="10"/>
  <c r="S578" i="10"/>
  <c r="S626" i="10"/>
  <c r="S621" i="10"/>
  <c r="R623" i="10"/>
  <c r="S623" i="10"/>
  <c r="S610" i="10"/>
  <c r="R549" i="10"/>
  <c r="S549" i="10"/>
  <c r="S679" i="10"/>
  <c r="R823" i="10"/>
  <c r="S823" i="10"/>
  <c r="R685" i="10"/>
  <c r="S685" i="10"/>
  <c r="R946" i="10"/>
  <c r="S946" i="10"/>
  <c r="R708" i="10"/>
  <c r="S708" i="10"/>
  <c r="R999" i="10"/>
  <c r="S999" i="10"/>
  <c r="R851" i="10"/>
  <c r="S851" i="10"/>
  <c r="R973" i="10"/>
  <c r="S973" i="10"/>
  <c r="R838" i="10"/>
  <c r="S838" i="10"/>
  <c r="R867" i="10"/>
  <c r="S867" i="10"/>
  <c r="R795" i="10"/>
  <c r="S795" i="10"/>
  <c r="R735" i="10"/>
  <c r="S735" i="10"/>
  <c r="R763" i="10"/>
  <c r="S763" i="10"/>
  <c r="R840" i="10"/>
  <c r="S840" i="10"/>
  <c r="R662" i="10"/>
  <c r="S662" i="10"/>
  <c r="R696" i="10"/>
  <c r="S696" i="10"/>
  <c r="R727" i="10"/>
  <c r="S727" i="10"/>
  <c r="R354" i="10"/>
  <c r="S354" i="10"/>
  <c r="R734" i="10"/>
  <c r="S734" i="10"/>
  <c r="R672" i="10"/>
  <c r="S672" i="10"/>
  <c r="R901" i="10"/>
  <c r="S901" i="10"/>
  <c r="R322" i="10"/>
  <c r="S322" i="10"/>
  <c r="R365" i="10"/>
  <c r="S365" i="10"/>
  <c r="R9" i="10"/>
  <c r="S9" i="10"/>
  <c r="R499" i="10"/>
  <c r="S499" i="10"/>
  <c r="R129" i="10"/>
  <c r="S129" i="10"/>
  <c r="R527" i="10"/>
  <c r="S527" i="10"/>
  <c r="R171" i="10"/>
  <c r="S171" i="10"/>
  <c r="R532" i="10"/>
  <c r="S532" i="10"/>
  <c r="R471" i="10"/>
  <c r="S471" i="10"/>
  <c r="R306" i="10"/>
  <c r="S306" i="10"/>
  <c r="R505" i="10"/>
  <c r="S505" i="10"/>
  <c r="R7" i="10"/>
  <c r="S7" i="10"/>
  <c r="R346" i="10"/>
  <c r="S346" i="10"/>
  <c r="R179" i="10"/>
  <c r="S179" i="10"/>
  <c r="R424" i="10"/>
  <c r="S424" i="10"/>
  <c r="R464" i="10"/>
  <c r="S464" i="10"/>
  <c r="R100" i="10"/>
  <c r="S100" i="10"/>
  <c r="R192" i="10"/>
  <c r="S192" i="10"/>
  <c r="R24" i="10"/>
  <c r="S24" i="10"/>
  <c r="R102" i="10"/>
  <c r="S102" i="10"/>
  <c r="R190" i="10"/>
  <c r="S190" i="10"/>
  <c r="R53" i="10"/>
  <c r="S53" i="10"/>
  <c r="R380" i="10"/>
  <c r="S380" i="10"/>
  <c r="R289" i="10"/>
  <c r="S289" i="10"/>
  <c r="R401" i="10"/>
  <c r="S401" i="10"/>
  <c r="R127" i="10"/>
  <c r="S127" i="10"/>
  <c r="R118" i="10"/>
  <c r="S118" i="10"/>
  <c r="R160" i="10"/>
  <c r="S160" i="10"/>
  <c r="R392" i="10"/>
  <c r="S392" i="10"/>
  <c r="R462" i="10"/>
  <c r="S462" i="10"/>
  <c r="R393" i="10"/>
  <c r="S393" i="10"/>
  <c r="R318" i="10"/>
  <c r="S318" i="10"/>
  <c r="R488" i="10"/>
  <c r="S488" i="10"/>
  <c r="R41" i="10"/>
  <c r="S41" i="10"/>
  <c r="R395" i="10"/>
  <c r="S395" i="10"/>
  <c r="R453" i="10"/>
  <c r="S453" i="10"/>
  <c r="R502" i="10"/>
  <c r="S502" i="10"/>
  <c r="R185" i="10"/>
  <c r="S185" i="10"/>
  <c r="R305" i="10"/>
  <c r="S305" i="10"/>
  <c r="R147" i="10"/>
  <c r="S147" i="10"/>
  <c r="R368" i="10"/>
  <c r="S368" i="10"/>
  <c r="R340" i="10"/>
  <c r="S340" i="10"/>
  <c r="R266" i="10"/>
  <c r="S266" i="10"/>
  <c r="R496" i="10"/>
  <c r="S496" i="10"/>
  <c r="R151" i="10"/>
  <c r="S151" i="10"/>
  <c r="R113" i="10"/>
  <c r="S113" i="10"/>
  <c r="R357" i="10"/>
  <c r="S357" i="10"/>
  <c r="R459" i="10"/>
  <c r="S459" i="10"/>
  <c r="R440" i="10"/>
  <c r="S440" i="10"/>
  <c r="R572" i="10"/>
  <c r="S572" i="10"/>
  <c r="R558" i="10"/>
  <c r="S558" i="10"/>
  <c r="R592" i="10"/>
  <c r="S592" i="10"/>
  <c r="R560" i="10"/>
  <c r="S560" i="10"/>
  <c r="R609" i="10"/>
  <c r="S609" i="10"/>
  <c r="R618" i="10"/>
  <c r="S618" i="10"/>
  <c r="R769" i="10"/>
  <c r="S769" i="10"/>
  <c r="R781" i="10"/>
  <c r="S781" i="10"/>
  <c r="R645" i="10"/>
  <c r="S645" i="10"/>
  <c r="R825" i="10"/>
  <c r="S825" i="10"/>
  <c r="R789" i="10"/>
  <c r="S789" i="10"/>
  <c r="R768" i="10"/>
  <c r="S768" i="10"/>
  <c r="R792" i="10"/>
  <c r="S792" i="10"/>
  <c r="R984" i="10"/>
  <c r="S984" i="10"/>
  <c r="R918" i="10"/>
  <c r="S918" i="10"/>
  <c r="R978" i="10"/>
  <c r="S978" i="10"/>
  <c r="R684" i="10"/>
  <c r="S684" i="10"/>
  <c r="R675" i="10"/>
  <c r="S675" i="10"/>
  <c r="R816" i="10"/>
  <c r="S816" i="10"/>
  <c r="R759" i="10"/>
  <c r="S759" i="10"/>
  <c r="R689" i="10"/>
  <c r="S689" i="10"/>
  <c r="R723" i="10"/>
  <c r="S723" i="10"/>
  <c r="R955" i="10"/>
  <c r="S955" i="10"/>
  <c r="R726" i="10"/>
  <c r="S726" i="10"/>
  <c r="R921" i="10"/>
  <c r="S921" i="10"/>
  <c r="R725" i="10"/>
  <c r="S725" i="10"/>
  <c r="R719" i="10"/>
  <c r="S719" i="10"/>
  <c r="R995" i="10"/>
  <c r="S995" i="10"/>
  <c r="R786" i="10"/>
  <c r="S786" i="10"/>
  <c r="R992" i="10"/>
  <c r="S992" i="10"/>
  <c r="R11" i="10"/>
  <c r="S11" i="10"/>
  <c r="R301" i="10"/>
  <c r="S301" i="10"/>
  <c r="R259" i="10"/>
  <c r="S259" i="10"/>
  <c r="R406" i="10"/>
  <c r="S406" i="10"/>
  <c r="R191" i="10"/>
  <c r="S191" i="10"/>
  <c r="R228" i="10"/>
  <c r="S228" i="10"/>
  <c r="R97" i="10"/>
  <c r="S97" i="10"/>
  <c r="R465" i="10"/>
  <c r="S465" i="10"/>
  <c r="R330" i="10"/>
  <c r="S330" i="10"/>
  <c r="R469" i="10"/>
  <c r="S469" i="10"/>
  <c r="R101" i="10"/>
  <c r="S101" i="10"/>
  <c r="R329" i="10"/>
  <c r="S329" i="10"/>
  <c r="R27" i="10"/>
  <c r="S27" i="10"/>
  <c r="R136" i="10"/>
  <c r="S136" i="10"/>
  <c r="R420" i="10"/>
  <c r="S420" i="10"/>
  <c r="R159" i="10"/>
  <c r="S159" i="10"/>
  <c r="R518" i="10"/>
  <c r="S518" i="10"/>
  <c r="R158" i="10"/>
  <c r="S158" i="10"/>
  <c r="R481" i="10"/>
  <c r="S481" i="10"/>
  <c r="R309" i="10"/>
  <c r="S309" i="10"/>
  <c r="R111" i="10"/>
  <c r="S111" i="10"/>
  <c r="R605" i="10"/>
  <c r="S605" i="10"/>
  <c r="R624" i="10"/>
  <c r="S624" i="10"/>
  <c r="R586" i="10"/>
  <c r="S586" i="10"/>
  <c r="R585" i="10"/>
  <c r="S585" i="10"/>
  <c r="R588" i="10"/>
  <c r="S588" i="10"/>
  <c r="R619" i="10"/>
  <c r="S619" i="10"/>
  <c r="R601" i="10"/>
  <c r="S601" i="10"/>
  <c r="R614" i="10"/>
  <c r="S614" i="10"/>
  <c r="R597" i="10"/>
  <c r="S597" i="10"/>
  <c r="R821" i="10"/>
  <c r="S821" i="10"/>
  <c r="R418" i="10"/>
  <c r="S418" i="10"/>
  <c r="R761" i="10"/>
  <c r="S761" i="10"/>
  <c r="R878" i="10"/>
  <c r="S878" i="10"/>
  <c r="R648" i="10"/>
  <c r="S648" i="10"/>
  <c r="R800" i="10"/>
  <c r="S800" i="10"/>
  <c r="R654" i="10"/>
  <c r="S654" i="10"/>
  <c r="R849" i="10"/>
  <c r="S849" i="10"/>
  <c r="R844" i="10"/>
  <c r="S844" i="10"/>
  <c r="R864" i="10"/>
  <c r="S864" i="10"/>
  <c r="R814" i="10"/>
  <c r="S814" i="10"/>
  <c r="R873" i="10"/>
  <c r="S873" i="10"/>
  <c r="R732" i="10"/>
  <c r="S732" i="10"/>
  <c r="R652" i="10"/>
  <c r="S652" i="10"/>
  <c r="R813" i="10"/>
  <c r="S813" i="10"/>
  <c r="R699" i="10"/>
  <c r="S699" i="10"/>
  <c r="R722" i="10"/>
  <c r="S722" i="10"/>
  <c r="R695" i="10"/>
  <c r="S695" i="10"/>
  <c r="R683" i="10"/>
  <c r="S683" i="10"/>
  <c r="S566" i="10"/>
  <c r="S611" i="10"/>
  <c r="S576" i="10"/>
  <c r="S633" i="10"/>
  <c r="S551" i="10"/>
  <c r="S563" i="10"/>
  <c r="S591" i="10"/>
  <c r="S554" i="10"/>
  <c r="S579" i="10"/>
  <c r="S625" i="10"/>
  <c r="S575" i="10"/>
  <c r="S595" i="10"/>
  <c r="S801" i="10"/>
  <c r="S847" i="10"/>
  <c r="S785" i="10"/>
  <c r="S757" i="10"/>
  <c r="S649" i="10"/>
  <c r="S790" i="10"/>
  <c r="S966" i="10"/>
  <c r="S929" i="10"/>
  <c r="S894" i="10"/>
  <c r="S791" i="10"/>
  <c r="S872" i="10"/>
  <c r="S803" i="10"/>
  <c r="S854" i="10"/>
  <c r="S743" i="10"/>
  <c r="S939" i="10"/>
  <c r="S750" i="10"/>
  <c r="S869" i="10"/>
  <c r="S958" i="10"/>
  <c r="S644" i="10"/>
  <c r="S797" i="10"/>
  <c r="S888" i="10"/>
  <c r="S829" i="10"/>
  <c r="S853" i="10"/>
  <c r="S848" i="10"/>
  <c r="S911" i="10"/>
  <c r="S742" i="10"/>
  <c r="S974" i="10"/>
  <c r="S882" i="10"/>
  <c r="S841" i="10"/>
  <c r="S967" i="10"/>
  <c r="S898" i="10"/>
  <c r="S660" i="10"/>
  <c r="S858" i="10"/>
  <c r="S931" i="10"/>
  <c r="S982" i="10"/>
  <c r="S770" i="10"/>
  <c r="S670" i="10"/>
  <c r="S760" i="10"/>
  <c r="S796" i="10"/>
  <c r="S651" i="10"/>
  <c r="S850" i="10"/>
  <c r="S702" i="10"/>
  <c r="S422" i="10"/>
  <c r="S862" i="10"/>
  <c r="S776" i="10"/>
  <c r="S765" i="10"/>
  <c r="S293" i="10"/>
  <c r="S437" i="10"/>
  <c r="R206" i="10"/>
  <c r="S206" i="10"/>
  <c r="R348" i="10"/>
  <c r="S348" i="10"/>
  <c r="R80" i="10"/>
  <c r="S80" i="10"/>
  <c r="R149" i="10"/>
  <c r="S149" i="10"/>
  <c r="R483" i="10"/>
  <c r="S483" i="10"/>
  <c r="R616" i="10"/>
  <c r="S616" i="10"/>
  <c r="R766" i="10"/>
  <c r="S766" i="10"/>
  <c r="R693" i="10"/>
  <c r="S693" i="10"/>
  <c r="R697" i="10"/>
  <c r="S697" i="10"/>
  <c r="R938" i="10"/>
  <c r="S938" i="10"/>
  <c r="R896" i="10"/>
  <c r="S896" i="10"/>
  <c r="R692" i="10"/>
  <c r="S692" i="10"/>
  <c r="R863" i="10"/>
  <c r="S863" i="10"/>
  <c r="R963" i="10"/>
  <c r="S963" i="10"/>
  <c r="R885" i="10"/>
  <c r="S885" i="10"/>
  <c r="R778" i="10"/>
  <c r="S778" i="10"/>
  <c r="R875" i="10"/>
  <c r="S875" i="10"/>
  <c r="R879" i="10"/>
  <c r="S879" i="10"/>
  <c r="R834" i="10"/>
  <c r="S834" i="10"/>
  <c r="R956" i="10"/>
  <c r="S956" i="10"/>
  <c r="R710" i="10"/>
  <c r="S710" i="10"/>
  <c r="R794" i="10"/>
  <c r="S794" i="10"/>
  <c r="R852" i="10"/>
  <c r="S852" i="10"/>
  <c r="R953" i="10"/>
  <c r="S953" i="10"/>
  <c r="R835" i="10"/>
  <c r="S835" i="10"/>
  <c r="R647" i="10"/>
  <c r="S647" i="10"/>
  <c r="R976" i="10"/>
  <c r="S976" i="10"/>
  <c r="R952" i="10"/>
  <c r="S952" i="10"/>
  <c r="R827" i="10"/>
  <c r="S827" i="10"/>
  <c r="R706" i="10"/>
  <c r="S706" i="10"/>
  <c r="R947" i="10"/>
  <c r="S947" i="10"/>
  <c r="R808" i="10"/>
  <c r="S808" i="10"/>
  <c r="R238" i="10"/>
  <c r="S238" i="10"/>
  <c r="R296" i="10"/>
  <c r="S296" i="10"/>
  <c r="R494" i="10"/>
  <c r="S494" i="10"/>
  <c r="R196" i="10"/>
  <c r="S196" i="10"/>
  <c r="R328" i="10"/>
  <c r="S328" i="10"/>
  <c r="R473" i="10"/>
  <c r="S473" i="10"/>
  <c r="R286" i="10"/>
  <c r="S286" i="10"/>
  <c r="R439" i="10"/>
  <c r="S439" i="10"/>
  <c r="R233" i="10"/>
  <c r="S233" i="10"/>
  <c r="R26" i="10"/>
  <c r="S26" i="10"/>
  <c r="R87" i="10"/>
  <c r="S87" i="10"/>
  <c r="R103" i="10"/>
  <c r="S103" i="10"/>
  <c r="R178" i="10"/>
  <c r="S178" i="10"/>
  <c r="R264" i="10"/>
  <c r="S264" i="10"/>
  <c r="R405" i="10"/>
  <c r="S405" i="10"/>
  <c r="R353" i="10"/>
  <c r="S353" i="10"/>
  <c r="R187" i="10"/>
  <c r="S187" i="10"/>
  <c r="R381" i="10"/>
  <c r="S381" i="10"/>
  <c r="R256" i="10"/>
  <c r="S256" i="10"/>
  <c r="R203" i="10"/>
  <c r="S203" i="10"/>
  <c r="R398" i="10"/>
  <c r="S398" i="10"/>
  <c r="R359" i="10"/>
  <c r="S359" i="10"/>
  <c r="R166" i="10"/>
  <c r="S166" i="10"/>
  <c r="R72" i="10"/>
  <c r="S72" i="10"/>
  <c r="R472" i="10"/>
  <c r="S472" i="10"/>
  <c r="R500" i="10"/>
  <c r="S500" i="10"/>
  <c r="R317" i="10"/>
  <c r="S317" i="10"/>
  <c r="R85" i="10"/>
  <c r="S85" i="10"/>
  <c r="R479" i="10"/>
  <c r="S479" i="10"/>
  <c r="R90" i="10"/>
  <c r="S90" i="10"/>
  <c r="R282" i="10"/>
  <c r="S282" i="10"/>
  <c r="R333" i="10"/>
  <c r="S333" i="10"/>
  <c r="R225" i="10"/>
  <c r="S225" i="10"/>
  <c r="R154" i="10"/>
  <c r="S154" i="10"/>
  <c r="R82" i="10"/>
  <c r="S82" i="10"/>
  <c r="R71" i="10"/>
  <c r="S71" i="10"/>
  <c r="R426" i="10"/>
  <c r="S426" i="10"/>
  <c r="R163" i="10"/>
  <c r="S163" i="10"/>
  <c r="R430" i="10"/>
  <c r="S430" i="10"/>
  <c r="R594" i="10"/>
  <c r="S594" i="10"/>
  <c r="R561" i="10"/>
  <c r="S561" i="10"/>
  <c r="R606" i="10"/>
  <c r="S606" i="10"/>
  <c r="R557" i="10"/>
  <c r="S557" i="10"/>
  <c r="R602" i="10"/>
  <c r="S602" i="10"/>
  <c r="R637" i="10"/>
  <c r="S637" i="10"/>
  <c r="R634" i="10"/>
  <c r="S634" i="10"/>
  <c r="R922" i="10"/>
  <c r="S922" i="10"/>
  <c r="R737" i="10"/>
  <c r="S737" i="10"/>
  <c r="R701" i="10"/>
  <c r="S701" i="10"/>
  <c r="R812" i="10"/>
  <c r="S812" i="10"/>
  <c r="R996" i="10"/>
  <c r="S996" i="10"/>
  <c r="R855" i="10"/>
  <c r="S855" i="10"/>
  <c r="R832" i="10"/>
  <c r="S832" i="10"/>
  <c r="R751" i="10"/>
  <c r="S751" i="10"/>
  <c r="R705" i="10"/>
  <c r="S705" i="10"/>
  <c r="R881" i="10"/>
  <c r="S881" i="10"/>
  <c r="R764" i="10"/>
  <c r="S764" i="10"/>
  <c r="R824" i="10"/>
  <c r="S824" i="10"/>
  <c r="R711" i="10"/>
  <c r="S711" i="10"/>
  <c r="R678" i="10"/>
  <c r="S678" i="10"/>
  <c r="R914" i="10"/>
  <c r="S914" i="10"/>
  <c r="R831" i="10"/>
  <c r="S831" i="10"/>
  <c r="R822" i="10"/>
  <c r="S822" i="10"/>
  <c r="R920" i="10"/>
  <c r="S920" i="10"/>
  <c r="R749" i="10"/>
  <c r="S749" i="10"/>
  <c r="R341" i="10"/>
  <c r="S341" i="10"/>
  <c r="R924" i="10"/>
  <c r="S924" i="10"/>
  <c r="R56" i="10"/>
  <c r="S56" i="10"/>
  <c r="R959" i="10"/>
  <c r="S959" i="10"/>
  <c r="R860" i="10"/>
  <c r="S860" i="10"/>
  <c r="R342" i="10"/>
  <c r="S342" i="10"/>
  <c r="R221" i="10"/>
  <c r="S221" i="10"/>
  <c r="R57" i="10"/>
  <c r="S57" i="10"/>
  <c r="R201" i="10"/>
  <c r="S201" i="10"/>
  <c r="R404" i="10"/>
  <c r="S404" i="10"/>
  <c r="R137" i="10"/>
  <c r="S137" i="10"/>
  <c r="R376" i="10"/>
  <c r="S376" i="10"/>
  <c r="R88" i="10"/>
  <c r="S88" i="10"/>
  <c r="R6" i="10"/>
  <c r="S6" i="10"/>
  <c r="R172" i="10"/>
  <c r="S172" i="10"/>
  <c r="R351" i="10"/>
  <c r="S351" i="10"/>
  <c r="R501" i="10"/>
  <c r="S501" i="10"/>
  <c r="R202" i="10"/>
  <c r="S202" i="10"/>
  <c r="R205" i="10"/>
  <c r="S205" i="10"/>
  <c r="R291" i="10"/>
  <c r="S291" i="10"/>
  <c r="R366" i="10"/>
  <c r="S366" i="10"/>
  <c r="R334" i="10"/>
  <c r="S334" i="10"/>
  <c r="R253" i="10"/>
  <c r="S253" i="10"/>
  <c r="R168" i="10"/>
  <c r="S168" i="10"/>
  <c r="R207" i="10"/>
  <c r="S207" i="10"/>
  <c r="R134" i="10"/>
  <c r="S134" i="10"/>
  <c r="R36" i="10"/>
  <c r="S36" i="10"/>
  <c r="R125" i="10"/>
  <c r="S125" i="10"/>
  <c r="R120" i="10"/>
  <c r="S120" i="10"/>
  <c r="R42" i="10"/>
  <c r="S42" i="10"/>
  <c r="R628" i="10"/>
  <c r="S628" i="10"/>
  <c r="R544" i="10"/>
  <c r="S544" i="10"/>
  <c r="R599" i="10"/>
  <c r="S599" i="10"/>
  <c r="R568" i="10"/>
  <c r="S568" i="10"/>
  <c r="R636" i="10"/>
  <c r="S636" i="10"/>
  <c r="R581" i="10"/>
  <c r="S581" i="10"/>
  <c r="R564" i="10"/>
  <c r="S564" i="10"/>
  <c r="R729" i="10"/>
  <c r="S729" i="10"/>
  <c r="R643" i="10"/>
  <c r="S643" i="10"/>
  <c r="R897" i="10"/>
  <c r="S897" i="10"/>
  <c r="R739" i="10"/>
  <c r="S739" i="10"/>
  <c r="R933" i="10"/>
  <c r="S933" i="10"/>
  <c r="R944" i="10"/>
  <c r="S944" i="10"/>
  <c r="R902" i="10"/>
  <c r="S902" i="10"/>
  <c r="R935" i="10"/>
  <c r="S935" i="10"/>
  <c r="R936" i="10"/>
  <c r="S936" i="10"/>
  <c r="R762" i="10"/>
  <c r="S762" i="10"/>
  <c r="R774" i="10"/>
  <c r="S774" i="10"/>
  <c r="R934" i="10"/>
  <c r="S934" i="10"/>
  <c r="R980" i="10"/>
  <c r="S980" i="10"/>
  <c r="R671" i="10"/>
  <c r="S671" i="10"/>
  <c r="R656" i="10"/>
  <c r="S656" i="10"/>
  <c r="R214" i="10"/>
  <c r="S214" i="10"/>
  <c r="R861" i="10"/>
  <c r="S861" i="10"/>
  <c r="R724" i="10"/>
  <c r="S724" i="10"/>
  <c r="R267" i="10"/>
  <c r="S267" i="10"/>
  <c r="R210" i="10"/>
  <c r="S210" i="10"/>
  <c r="R512" i="10"/>
  <c r="S512" i="10"/>
  <c r="R235" i="10"/>
  <c r="S235" i="10"/>
  <c r="S388" i="10"/>
  <c r="S491" i="10"/>
  <c r="S169" i="10"/>
  <c r="S410" i="10"/>
  <c r="S13" i="10"/>
  <c r="S91" i="10"/>
  <c r="S194" i="10"/>
  <c r="S254" i="10"/>
  <c r="S213" i="10"/>
  <c r="S261" i="10"/>
  <c r="S389" i="10"/>
  <c r="S132" i="10"/>
  <c r="S58" i="10"/>
  <c r="S272" i="10"/>
  <c r="S110" i="10"/>
  <c r="S265" i="10"/>
  <c r="S195" i="10"/>
  <c r="S297" i="10"/>
  <c r="S280" i="10"/>
  <c r="S217" i="10"/>
  <c r="S287" i="10"/>
  <c r="S300" i="10"/>
  <c r="S216" i="10"/>
  <c r="S174" i="10"/>
  <c r="S66" i="10"/>
  <c r="S438" i="10"/>
  <c r="S130" i="10"/>
  <c r="S258" i="10"/>
  <c r="S288" i="10"/>
  <c r="S263" i="10"/>
  <c r="S503" i="10"/>
  <c r="S526" i="10"/>
  <c r="S86" i="10"/>
  <c r="S38" i="10"/>
  <c r="S128" i="10"/>
  <c r="S470" i="10"/>
  <c r="S114" i="10"/>
  <c r="S447" i="10"/>
  <c r="S493" i="10"/>
  <c r="S150" i="10"/>
  <c r="S466" i="10"/>
  <c r="S520" i="10"/>
  <c r="S223" i="10"/>
  <c r="S45" i="10"/>
  <c r="S119" i="10"/>
  <c r="S37" i="10"/>
  <c r="S121" i="10"/>
  <c r="S428" i="10"/>
  <c r="S394" i="10"/>
  <c r="S73" i="10"/>
  <c r="S536" i="10"/>
  <c r="S498" i="10"/>
  <c r="S432" i="10"/>
  <c r="S417" i="10"/>
  <c r="S517" i="10"/>
  <c r="S507" i="10"/>
  <c r="S25" i="10"/>
  <c r="S276" i="10"/>
  <c r="S48" i="10"/>
  <c r="S497" i="10"/>
  <c r="S10" i="10"/>
  <c r="S32" i="10"/>
  <c r="S307" i="10"/>
  <c r="S139" i="10"/>
  <c r="S186" i="10"/>
  <c r="S260" i="10"/>
  <c r="S246" i="10"/>
  <c r="S95" i="10"/>
  <c r="S241" i="10"/>
  <c r="S427" i="10"/>
  <c r="S22" i="10"/>
  <c r="S108" i="10"/>
  <c r="S339" i="10"/>
  <c r="S250" i="10"/>
  <c r="S242" i="10"/>
  <c r="S273" i="10"/>
  <c r="S44" i="10"/>
  <c r="S156" i="10"/>
  <c r="S126" i="10"/>
  <c r="S468" i="10"/>
  <c r="S446" i="10"/>
  <c r="S397" i="10"/>
  <c r="S361" i="10"/>
  <c r="S490" i="10"/>
  <c r="S28" i="10"/>
  <c r="S456" i="10"/>
  <c r="S528" i="10"/>
  <c r="S155" i="10"/>
  <c r="S474" i="10"/>
  <c r="S350" i="10"/>
  <c r="S93" i="10"/>
  <c r="S538" i="10"/>
  <c r="S12" i="10"/>
  <c r="S99" i="10"/>
  <c r="S386" i="10"/>
  <c r="S245" i="10"/>
  <c r="S199" i="10"/>
  <c r="S327" i="10"/>
  <c r="S524" i="10"/>
  <c r="S335" i="10"/>
  <c r="S107" i="10"/>
  <c r="S313" i="10"/>
  <c r="S362" i="10"/>
  <c r="S135" i="10"/>
  <c r="S234" i="10"/>
  <c r="S412" i="10"/>
  <c r="S49" i="10"/>
  <c r="S299" i="10"/>
  <c r="S133" i="10"/>
  <c r="S444" i="10"/>
  <c r="S379" i="10"/>
  <c r="S92" i="10"/>
  <c r="S325" i="10"/>
  <c r="S140" i="10"/>
  <c r="S399" i="10"/>
  <c r="S222" i="10"/>
  <c r="S232" i="10"/>
  <c r="S522" i="10"/>
  <c r="S411" i="10"/>
  <c r="S352" i="10"/>
  <c r="S236" i="10"/>
  <c r="S230" i="10"/>
  <c r="S182" i="10"/>
  <c r="S198" i="10"/>
  <c r="S61" i="10"/>
  <c r="S372" i="10"/>
  <c r="S279" i="10"/>
  <c r="S281" i="10"/>
  <c r="S271" i="10"/>
  <c r="S162" i="10"/>
  <c r="S116" i="10"/>
  <c r="S70" i="10"/>
  <c r="S508" i="10"/>
  <c r="S274" i="10"/>
  <c r="S513" i="10"/>
  <c r="S356" i="10"/>
  <c r="S443" i="10"/>
  <c r="S495" i="10"/>
  <c r="S539" i="10"/>
  <c r="S157" i="10"/>
  <c r="S358" i="10"/>
  <c r="S122" i="10"/>
  <c r="S537" i="10"/>
  <c r="S310" i="10"/>
  <c r="S115" i="10"/>
  <c r="S504" i="10"/>
  <c r="S425" i="10"/>
  <c r="S511" i="10"/>
  <c r="S390" i="10"/>
  <c r="S477" i="10"/>
  <c r="S419" i="10"/>
  <c r="S519" i="10"/>
  <c r="S146" i="10"/>
  <c r="S204" i="10"/>
  <c r="S262" i="10"/>
  <c r="S188" i="10"/>
  <c r="S294" i="10"/>
  <c r="S283" i="10"/>
  <c r="S243" i="10"/>
  <c r="S23" i="10"/>
  <c r="S284" i="10"/>
  <c r="S295" i="10"/>
  <c r="S314" i="10"/>
  <c r="S530" i="10"/>
  <c r="S323" i="10"/>
  <c r="S387" i="10"/>
  <c r="S360" i="10"/>
  <c r="S34" i="10"/>
  <c r="S311" i="10"/>
  <c r="S319" i="10"/>
  <c r="S515" i="10"/>
  <c r="S482" i="10"/>
  <c r="S165" i="10"/>
  <c r="S83" i="10"/>
  <c r="S275" i="10"/>
  <c r="S457" i="10"/>
  <c r="S455" i="10"/>
  <c r="S452" i="10"/>
  <c r="S449" i="10"/>
  <c r="S489" i="10"/>
  <c r="S312" i="10"/>
  <c r="T29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<sst xmlns="http://schemas.openxmlformats.org/spreadsheetml/2006/main" count="4620" uniqueCount="1508">
  <si>
    <t>配列_ゾーン名</t>
    <rPh sb="0" eb="2">
      <t>ハイレツ</t>
    </rPh>
    <rPh sb="6" eb="7">
      <t>メイ</t>
    </rPh>
    <phoneticPr fontId="1"/>
  </si>
  <si>
    <t>数式_セットアップレポート変換</t>
    <rPh sb="0" eb="2">
      <t>スウシキ</t>
    </rPh>
    <rPh sb="13" eb="15">
      <t>ヘンカン</t>
    </rPh>
    <phoneticPr fontId="1"/>
  </si>
  <si>
    <t>配列_テーブル</t>
    <rPh sb="0" eb="2">
      <t>ハイレツ</t>
    </rPh>
    <phoneticPr fontId="1"/>
  </si>
  <si>
    <t>配列_Z/PU番号</t>
    <rPh sb="0" eb="2">
      <t>ハイレツ</t>
    </rPh>
    <phoneticPr fontId="1"/>
  </si>
  <si>
    <t>数式_紐づけ用</t>
    <rPh sb="0" eb="2">
      <t>スウシキ</t>
    </rPh>
    <rPh sb="3" eb="4">
      <t>ヒモ</t>
    </rPh>
    <rPh sb="6" eb="7">
      <t>ヨウ</t>
    </rPh>
    <phoneticPr fontId="1"/>
  </si>
  <si>
    <t>取り付け部品シリアル_変換前</t>
    <rPh sb="0" eb="1">
      <t>ト</t>
    </rPh>
    <rPh sb="2" eb="3">
      <t>ツ</t>
    </rPh>
    <rPh sb="4" eb="6">
      <t>ブヒン</t>
    </rPh>
    <rPh sb="11" eb="14">
      <t>ヘンカンマエ</t>
    </rPh>
    <phoneticPr fontId="1"/>
  </si>
  <si>
    <t>スプライシング部品シリアル_変換前</t>
    <rPh sb="7" eb="9">
      <t>ブヒン</t>
    </rPh>
    <phoneticPr fontId="1"/>
  </si>
  <si>
    <t>テーブル番号</t>
    <rPh sb="4" eb="6">
      <t>バンゴウ</t>
    </rPh>
    <phoneticPr fontId="1"/>
  </si>
  <si>
    <t>Z</t>
    <phoneticPr fontId="1"/>
  </si>
  <si>
    <t>配列_部品</t>
    <rPh sb="0" eb="2">
      <t>ハイレツ</t>
    </rPh>
    <rPh sb="3" eb="5">
      <t>ブヒン</t>
    </rPh>
    <phoneticPr fontId="1"/>
  </si>
  <si>
    <t>セットアップ情報取得日時</t>
    <rPh sb="6" eb="8">
      <t>ジョウホウ</t>
    </rPh>
    <rPh sb="8" eb="10">
      <t>シュトク</t>
    </rPh>
    <rPh sb="10" eb="12">
      <t>ニチジ</t>
    </rPh>
    <phoneticPr fontId="1"/>
  </si>
  <si>
    <t>取り付け部品シリアル</t>
    <rPh sb="0" eb="1">
      <t>ト</t>
    </rPh>
    <rPh sb="2" eb="3">
      <t>ツ</t>
    </rPh>
    <rPh sb="4" eb="6">
      <t>ブヒン</t>
    </rPh>
    <phoneticPr fontId="1"/>
  </si>
  <si>
    <t>取り付け部品在庫</t>
    <phoneticPr fontId="1"/>
  </si>
  <si>
    <t>取り付け部品入庫時の数量</t>
    <rPh sb="0" eb="1">
      <t>ト</t>
    </rPh>
    <rPh sb="2" eb="3">
      <t>ツ</t>
    </rPh>
    <phoneticPr fontId="1"/>
  </si>
  <si>
    <t>スプライシング部品シリアル</t>
    <rPh sb="7" eb="9">
      <t>ブヒン</t>
    </rPh>
    <phoneticPr fontId="1"/>
  </si>
  <si>
    <t>スプライシング部品在庫</t>
    <rPh sb="7" eb="9">
      <t>ブヒン</t>
    </rPh>
    <rPh sb="9" eb="11">
      <t>ザイコ</t>
    </rPh>
    <phoneticPr fontId="1"/>
  </si>
  <si>
    <t>スプライシング部品入庫時の数量</t>
    <phoneticPr fontId="1"/>
  </si>
  <si>
    <t>取り付け部品が新品</t>
    <rPh sb="0" eb="1">
      <t>ト</t>
    </rPh>
    <rPh sb="2" eb="3">
      <t>ツ</t>
    </rPh>
    <rPh sb="4" eb="6">
      <t>ブヒン</t>
    </rPh>
    <rPh sb="7" eb="9">
      <t>シンピン</t>
    </rPh>
    <phoneticPr fontId="1"/>
  </si>
  <si>
    <t>取り付け部品EG-Pro上在庫なし</t>
    <rPh sb="0" eb="1">
      <t>ト</t>
    </rPh>
    <rPh sb="2" eb="3">
      <t>ツ</t>
    </rPh>
    <rPh sb="4" eb="6">
      <t>ブヒン</t>
    </rPh>
    <rPh sb="12" eb="13">
      <t>ジョウ</t>
    </rPh>
    <rPh sb="13" eb="15">
      <t>ザイコ</t>
    </rPh>
    <phoneticPr fontId="1"/>
  </si>
  <si>
    <t>スプライシング部品が使いかけ</t>
    <rPh sb="7" eb="9">
      <t>ブヒン</t>
    </rPh>
    <rPh sb="10" eb="11">
      <t>ツカ</t>
    </rPh>
    <phoneticPr fontId="1"/>
  </si>
  <si>
    <t>部品番号</t>
  </si>
  <si>
    <t>スプライシング</t>
  </si>
  <si>
    <t>L2-NPM07</t>
  </si>
  <si>
    <t>L2-NPM01</t>
  </si>
  <si>
    <t>634306A</t>
  </si>
  <si>
    <t>667369A</t>
  </si>
  <si>
    <t>L2-NPM02</t>
  </si>
  <si>
    <t>673228A</t>
  </si>
  <si>
    <t>667547A</t>
  </si>
  <si>
    <t>667271A</t>
  </si>
  <si>
    <t>667306A</t>
  </si>
  <si>
    <t>667494A</t>
  </si>
  <si>
    <t>667298A</t>
  </si>
  <si>
    <t>668715A</t>
  </si>
  <si>
    <t>667592A</t>
  </si>
  <si>
    <t>667289A</t>
  </si>
  <si>
    <t>627083A</t>
  </si>
  <si>
    <t>667618A</t>
  </si>
  <si>
    <t>667244A</t>
  </si>
  <si>
    <t>L2-NPM03</t>
  </si>
  <si>
    <t>9000009679A</t>
  </si>
  <si>
    <t>554874B</t>
  </si>
  <si>
    <t>667574A</t>
  </si>
  <si>
    <t>668813A</t>
  </si>
  <si>
    <t>667119A</t>
  </si>
  <si>
    <t>667413A</t>
  </si>
  <si>
    <t>650191A</t>
  </si>
  <si>
    <t>667538A</t>
  </si>
  <si>
    <t>667342A</t>
  </si>
  <si>
    <t>L2-NPM04</t>
  </si>
  <si>
    <t>667235A</t>
  </si>
  <si>
    <t>667583A</t>
  </si>
  <si>
    <t>692671A</t>
  </si>
  <si>
    <t>606177A</t>
  </si>
  <si>
    <t>667485A</t>
  </si>
  <si>
    <t>667449A</t>
  </si>
  <si>
    <t>667137A</t>
  </si>
  <si>
    <t>667458A</t>
  </si>
  <si>
    <t>L2-NPM05</t>
  </si>
  <si>
    <t>561456A</t>
  </si>
  <si>
    <t>514588B</t>
  </si>
  <si>
    <t>625067A</t>
  </si>
  <si>
    <t>626654A</t>
  </si>
  <si>
    <t>679347A</t>
  </si>
  <si>
    <t>626877A</t>
  </si>
  <si>
    <t>614498A</t>
  </si>
  <si>
    <t>L2-NPM06</t>
  </si>
  <si>
    <t>361636C</t>
  </si>
  <si>
    <t>915823A</t>
  </si>
  <si>
    <t>649139A</t>
  </si>
  <si>
    <t>346047B</t>
  </si>
  <si>
    <t>911578B</t>
  </si>
  <si>
    <t>572203A</t>
  </si>
  <si>
    <t>616023A</t>
  </si>
  <si>
    <t>679356A</t>
  </si>
  <si>
    <t>606426A</t>
  </si>
  <si>
    <t>667556A</t>
  </si>
  <si>
    <t>577252A</t>
  </si>
  <si>
    <t>667155A</t>
  </si>
  <si>
    <t>522989A</t>
  </si>
  <si>
    <t>568012B</t>
  </si>
  <si>
    <t>529581A</t>
  </si>
  <si>
    <t>667476A</t>
  </si>
  <si>
    <t>907636B</t>
  </si>
  <si>
    <t>667208A</t>
  </si>
  <si>
    <t>667511A</t>
  </si>
  <si>
    <t>550174B</t>
  </si>
  <si>
    <t>667253A</t>
  </si>
  <si>
    <t>515141B</t>
  </si>
  <si>
    <t>668769A</t>
  </si>
  <si>
    <t>9000035864A</t>
  </si>
  <si>
    <t>376522A</t>
  </si>
  <si>
    <t>667182A</t>
  </si>
  <si>
    <t>668662A</t>
  </si>
  <si>
    <t>578937A</t>
  </si>
  <si>
    <t>667164A</t>
  </si>
  <si>
    <t>667173A</t>
  </si>
  <si>
    <t>537572B</t>
  </si>
  <si>
    <t>668671A</t>
  </si>
  <si>
    <t>667378A</t>
  </si>
  <si>
    <t>L2NPM-1</t>
  </si>
  <si>
    <t>L2NPM-2</t>
  </si>
  <si>
    <t>L2NPM-3</t>
  </si>
  <si>
    <t>L2NPM-4</t>
  </si>
  <si>
    <t>L2NPM-5</t>
  </si>
  <si>
    <t>L2NPM-6</t>
  </si>
  <si>
    <t>L2NPM-7</t>
  </si>
  <si>
    <t>545901B</t>
  </si>
  <si>
    <t>555641A</t>
  </si>
  <si>
    <t>578572A</t>
  </si>
  <si>
    <t>587606A</t>
  </si>
  <si>
    <t>631853A</t>
  </si>
  <si>
    <t>660287A</t>
  </si>
  <si>
    <t>662935A</t>
  </si>
  <si>
    <t>667128A</t>
  </si>
  <si>
    <t>667565A</t>
  </si>
  <si>
    <t>667609A</t>
  </si>
  <si>
    <t>671275A</t>
  </si>
  <si>
    <t>676724A</t>
  </si>
  <si>
    <t>678517A</t>
  </si>
  <si>
    <t>9000063371 100005</t>
  </si>
  <si>
    <t>9000069281 100003</t>
  </si>
  <si>
    <t>9000069293 100006</t>
  </si>
  <si>
    <t>9000069784 100001</t>
  </si>
  <si>
    <t>9000070001 100001</t>
  </si>
  <si>
    <t>配列</t>
    <rPh sb="0" eb="2">
      <t>ハイレツ</t>
    </rPh>
    <phoneticPr fontId="1"/>
  </si>
  <si>
    <t>セットアップレポート</t>
    <phoneticPr fontId="1"/>
  </si>
  <si>
    <t>L3の場合→</t>
    <rPh sb="3" eb="5">
      <t>バアイ</t>
    </rPh>
    <phoneticPr fontId="1"/>
  </si>
  <si>
    <t>セットアップレポート</t>
  </si>
  <si>
    <t>参考:現在の取り込み済データの中身→</t>
    <rPh sb="0" eb="2">
      <t>サンコウ</t>
    </rPh>
    <rPh sb="3" eb="5">
      <t>ゲンザイ</t>
    </rPh>
    <rPh sb="6" eb="7">
      <t>ト</t>
    </rPh>
    <rPh sb="8" eb="9">
      <t>コ</t>
    </rPh>
    <rPh sb="10" eb="11">
      <t>ズ</t>
    </rPh>
    <rPh sb="15" eb="17">
      <t>ナカミ</t>
    </rPh>
    <phoneticPr fontId="1"/>
  </si>
  <si>
    <t>L3NPM-1</t>
  </si>
  <si>
    <t>L3-NPM01</t>
  </si>
  <si>
    <t>L3NPM-2</t>
  </si>
  <si>
    <t>L3-NPM02</t>
  </si>
  <si>
    <t>L3NPM-3</t>
  </si>
  <si>
    <t>L3-NPM03</t>
  </si>
  <si>
    <t>L3NPM-4</t>
  </si>
  <si>
    <t>L3-NPM04</t>
  </si>
  <si>
    <t>L3NPM-5</t>
  </si>
  <si>
    <t>L3-NPM05</t>
  </si>
  <si>
    <t>L3NPM-6</t>
  </si>
  <si>
    <t>L3-NPM06</t>
  </si>
  <si>
    <t>L3NPM-7</t>
  </si>
  <si>
    <t>L3-NPM07</t>
  </si>
  <si>
    <t>L2の場合→</t>
    <rPh sb="3" eb="5">
      <t>バアイ</t>
    </rPh>
    <phoneticPr fontId="1"/>
  </si>
  <si>
    <t>L1の場合→</t>
    <rPh sb="3" eb="5">
      <t>バアイ</t>
    </rPh>
    <phoneticPr fontId="1"/>
  </si>
  <si>
    <t>L1-NPM02N</t>
  </si>
  <si>
    <t>L1-NPM03N</t>
  </si>
  <si>
    <t>L1-NPM04N</t>
  </si>
  <si>
    <t>L1-NPM05N</t>
  </si>
  <si>
    <t>L1-NPM06N</t>
  </si>
  <si>
    <t>L1-NPM07N</t>
  </si>
  <si>
    <t>①セットアップレポート入力</t>
    <rPh sb="11" eb="13">
      <t>ニュウリョク</t>
    </rPh>
    <phoneticPr fontId="1"/>
  </si>
  <si>
    <t>②EG-Pro在庫情報入力</t>
    <rPh sb="7" eb="11">
      <t>ザイコジョウホウ</t>
    </rPh>
    <rPh sb="11" eb="13">
      <t>ニュウリョク</t>
    </rPh>
    <phoneticPr fontId="1"/>
  </si>
  <si>
    <t>③配列情報入力</t>
    <rPh sb="1" eb="3">
      <t>ハイレツ</t>
    </rPh>
    <rPh sb="3" eb="5">
      <t>ジョウホウ</t>
    </rPh>
    <rPh sb="5" eb="7">
      <t>ニュウリョク</t>
    </rPh>
    <phoneticPr fontId="1"/>
  </si>
  <si>
    <t>④対応表入力</t>
    <rPh sb="1" eb="4">
      <t>タイオウヒョウ</t>
    </rPh>
    <rPh sb="4" eb="6">
      <t>ニュウリョク</t>
    </rPh>
    <phoneticPr fontId="1"/>
  </si>
  <si>
    <t>⑤↓固定グループ名入力</t>
    <rPh sb="2" eb="4">
      <t>コテイ</t>
    </rPh>
    <rPh sb="8" eb="9">
      <t>メイ</t>
    </rPh>
    <rPh sb="9" eb="11">
      <t>ニュウリョク</t>
    </rPh>
    <phoneticPr fontId="1"/>
  </si>
  <si>
    <t>⑥セットアップ情報取得失敗リスト</t>
    <rPh sb="7" eb="9">
      <t>ジョウホウ</t>
    </rPh>
    <rPh sb="9" eb="13">
      <t>シュトクシッパイ</t>
    </rPh>
    <phoneticPr fontId="1"/>
  </si>
  <si>
    <t>←ある場合､現物確認して①を再度実施</t>
    <rPh sb="3" eb="5">
      <t>バアイ</t>
    </rPh>
    <rPh sb="6" eb="10">
      <t>ゲンブツカクニン</t>
    </rPh>
    <rPh sb="14" eb="16">
      <t>サイド</t>
    </rPh>
    <rPh sb="16" eb="18">
      <t>ジッシ</t>
    </rPh>
    <phoneticPr fontId="1"/>
  </si>
  <si>
    <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游ゴシック"/>
        <family val="2"/>
        <charset val="128"/>
        <scheme val="minor"/>
      </rPr>
      <t>それでも情報取得できない場合､部品をメモしておくー以降の処理をこの部品だけ全て手動で行う｡</t>
    </r>
    <rPh sb="6" eb="10">
      <t>ジョウホウシュトク</t>
    </rPh>
    <rPh sb="14" eb="16">
      <t>バアイ</t>
    </rPh>
    <rPh sb="17" eb="19">
      <t>ブヒン</t>
    </rPh>
    <rPh sb="27" eb="29">
      <t>イコウ</t>
    </rPh>
    <rPh sb="30" eb="32">
      <t>ショリ</t>
    </rPh>
    <rPh sb="35" eb="37">
      <t>ブヒン</t>
    </rPh>
    <rPh sb="39" eb="40">
      <t>スベ</t>
    </rPh>
    <rPh sb="41" eb="43">
      <t>シュドウ</t>
    </rPh>
    <rPh sb="44" eb="45">
      <t>オコナ</t>
    </rPh>
    <phoneticPr fontId="1"/>
  </si>
  <si>
    <t>⑦スプライシング切り替え失敗部品リスト印刷</t>
    <rPh sb="8" eb="9">
      <t>キ</t>
    </rPh>
    <rPh sb="10" eb="11">
      <t>カ</t>
    </rPh>
    <rPh sb="12" eb="14">
      <t>シッパイ</t>
    </rPh>
    <rPh sb="14" eb="16">
      <t>ブヒン</t>
    </rPh>
    <rPh sb="19" eb="21">
      <t>インサツ</t>
    </rPh>
    <phoneticPr fontId="1"/>
  </si>
  <si>
    <t>●現物確認してスプライシング解除(Pana-CIM)実施</t>
    <rPh sb="1" eb="5">
      <t>ゲンブツカクニン</t>
    </rPh>
    <rPh sb="14" eb="16">
      <t>カイジョ</t>
    </rPh>
    <rPh sb="26" eb="28">
      <t>ジッシ</t>
    </rPh>
    <phoneticPr fontId="1"/>
  </si>
  <si>
    <t>⑧スプライシング部品リスト印刷</t>
    <rPh sb="8" eb="10">
      <t>ブヒン</t>
    </rPh>
    <rPh sb="13" eb="15">
      <t>インサツ</t>
    </rPh>
    <phoneticPr fontId="1"/>
  </si>
  <si>
    <t>●シール貼りに行く</t>
    <rPh sb="4" eb="5">
      <t>ハ</t>
    </rPh>
    <rPh sb="7" eb="8">
      <t>イ</t>
    </rPh>
    <phoneticPr fontId="1"/>
  </si>
  <si>
    <t>⑨手動入庫処理バーコード作成</t>
    <rPh sb="1" eb="3">
      <t>シュドウ</t>
    </rPh>
    <rPh sb="3" eb="5">
      <t>ニュウコ</t>
    </rPh>
    <rPh sb="5" eb="7">
      <t>ショリ</t>
    </rPh>
    <rPh sb="12" eb="14">
      <t>サクセイ</t>
    </rPh>
    <phoneticPr fontId="1"/>
  </si>
  <si>
    <t>EX)所在不明リスト作成(全てのフリー･固定部品の入庫処理が終わった後に実行)</t>
    <rPh sb="3" eb="5">
      <t>ショザイ</t>
    </rPh>
    <rPh sb="5" eb="7">
      <t>フメイ</t>
    </rPh>
    <rPh sb="10" eb="12">
      <t>サクセイ</t>
    </rPh>
    <rPh sb="13" eb="14">
      <t>スベ</t>
    </rPh>
    <rPh sb="20" eb="22">
      <t>コテイ</t>
    </rPh>
    <rPh sb="22" eb="24">
      <t>ブヒン</t>
    </rPh>
    <rPh sb="25" eb="27">
      <t>ニュウコ</t>
    </rPh>
    <rPh sb="27" eb="29">
      <t>ショリ</t>
    </rPh>
    <rPh sb="30" eb="31">
      <t>オ</t>
    </rPh>
    <rPh sb="34" eb="35">
      <t>アト</t>
    </rPh>
    <rPh sb="36" eb="38">
      <t>ジッコウ</t>
    </rPh>
    <phoneticPr fontId="1"/>
  </si>
  <si>
    <t>EX)現場部品リスト作成</t>
    <rPh sb="3" eb="5">
      <t>ゲンバ</t>
    </rPh>
    <rPh sb="5" eb="7">
      <t>ブヒン</t>
    </rPh>
    <rPh sb="10" eb="12">
      <t>サクセイ</t>
    </rPh>
    <phoneticPr fontId="1"/>
  </si>
  <si>
    <t xml:space="preserve">    933411 100505</t>
    <phoneticPr fontId="1"/>
  </si>
  <si>
    <t>9000054807 100138</t>
    <phoneticPr fontId="1"/>
  </si>
  <si>
    <t xml:space="preserve">    917616 103356</t>
    <phoneticPr fontId="1"/>
  </si>
  <si>
    <t xml:space="preserve">    666771 100262</t>
    <phoneticPr fontId="1"/>
  </si>
  <si>
    <t xml:space="preserve">    917607 102776</t>
    <phoneticPr fontId="1"/>
  </si>
  <si>
    <t>9000057854 100043</t>
    <phoneticPr fontId="1"/>
  </si>
  <si>
    <t xml:space="preserve">    679187A100208</t>
    <phoneticPr fontId="1"/>
  </si>
  <si>
    <t xml:space="preserve">    361636C100664</t>
    <phoneticPr fontId="1"/>
  </si>
  <si>
    <t xml:space="preserve">    929265 100115</t>
    <phoneticPr fontId="1"/>
  </si>
  <si>
    <t>9000055004 100082</t>
    <phoneticPr fontId="1"/>
  </si>
  <si>
    <t>9000052943 100202</t>
    <phoneticPr fontId="1"/>
  </si>
  <si>
    <t>9000046816 100082</t>
    <phoneticPr fontId="1"/>
  </si>
  <si>
    <t xml:space="preserve">    649139A100098</t>
    <phoneticPr fontId="1"/>
  </si>
  <si>
    <t xml:space="preserve">    616023A100313</t>
    <phoneticPr fontId="1"/>
  </si>
  <si>
    <t>テーブル番号</t>
  </si>
  <si>
    <t>Z</t>
  </si>
  <si>
    <t>シリアル</t>
  </si>
  <si>
    <t>L1-NPM01N</t>
  </si>
  <si>
    <t>NPM-1</t>
    <phoneticPr fontId="1"/>
  </si>
  <si>
    <t>NPM-2</t>
  </si>
  <si>
    <t>NPM-3</t>
  </si>
  <si>
    <t>NPM-4</t>
  </si>
  <si>
    <t>NPM-5</t>
  </si>
  <si>
    <t>NPM-6</t>
  </si>
  <si>
    <t>NPM-7</t>
  </si>
  <si>
    <t>固定グループ名</t>
    <rPh sb="0" eb="2">
      <t>コテイ</t>
    </rPh>
    <rPh sb="6" eb="7">
      <t>メイ</t>
    </rPh>
    <phoneticPr fontId="1"/>
  </si>
  <si>
    <t>EX)倉庫移動SQL作成</t>
    <rPh sb="3" eb="5">
      <t>ソウコ</t>
    </rPh>
    <rPh sb="5" eb="7">
      <t>イドウ</t>
    </rPh>
    <rPh sb="10" eb="12">
      <t>サクセイ</t>
    </rPh>
    <phoneticPr fontId="1"/>
  </si>
  <si>
    <t>移動先↓</t>
    <rPh sb="0" eb="3">
      <t>イドウサキ</t>
    </rPh>
    <phoneticPr fontId="1"/>
  </si>
  <si>
    <t>ライン名</t>
  </si>
  <si>
    <t>ゾーン名</t>
  </si>
  <si>
    <t>設備名</t>
  </si>
  <si>
    <t>レーン</t>
  </si>
  <si>
    <t>ステージ番号</t>
  </si>
  <si>
    <t>Z/PU番号</t>
  </si>
  <si>
    <t>スロット番号</t>
  </si>
  <si>
    <t>サブスロット番号</t>
  </si>
  <si>
    <t>材料ﾊﾞｰｺｰﾄﾞ</t>
  </si>
  <si>
    <t>正規部品</t>
  </si>
  <si>
    <t>ロット番号</t>
  </si>
  <si>
    <t>ベンダー</t>
  </si>
  <si>
    <t>UserData1</t>
  </si>
  <si>
    <t>フィーダーバーコード</t>
  </si>
  <si>
    <t>初期数量</t>
  </si>
  <si>
    <t>部品取付時間</t>
  </si>
  <si>
    <t>作業者</t>
  </si>
  <si>
    <t>メインリール</t>
  </si>
  <si>
    <t>スプライシングリール</t>
  </si>
  <si>
    <t xml:space="preserve">スプライシングリール2 </t>
  </si>
  <si>
    <t xml:space="preserve">スプライシングリール3 </t>
  </si>
  <si>
    <t>スプライシング作業者</t>
  </si>
  <si>
    <t>部品クラス</t>
  </si>
  <si>
    <t>MCID</t>
  </si>
  <si>
    <t>定期チェック状態</t>
  </si>
  <si>
    <t>定期チェック失敗</t>
  </si>
  <si>
    <t>UserData2</t>
  </si>
  <si>
    <t>UserData3</t>
  </si>
  <si>
    <t>UserData4</t>
  </si>
  <si>
    <t>UserData5</t>
  </si>
  <si>
    <t>製造日</t>
  </si>
  <si>
    <t>Line-2</t>
  </si>
  <si>
    <t>Zone-2-NPMW-7</t>
  </si>
  <si>
    <t>9000059949 100452</t>
  </si>
  <si>
    <t>FA0299501001013</t>
  </si>
  <si>
    <t>kumagai tuneo</t>
  </si>
  <si>
    <t>NONE</t>
  </si>
  <si>
    <t>9000070667 100041</t>
  </si>
  <si>
    <t>FA0299502001013</t>
  </si>
  <si>
    <t>9000033492 100795</t>
  </si>
  <si>
    <t>FA0299503001013</t>
  </si>
  <si>
    <t>9000066873 100348</t>
  </si>
  <si>
    <t>FA0299504001013</t>
  </si>
  <si>
    <t>9000066452 100140</t>
  </si>
  <si>
    <t>FA0299505001013</t>
  </si>
  <si>
    <t>9000069287 100079</t>
  </si>
  <si>
    <t>FA0299506001013</t>
  </si>
  <si>
    <t>9000070664 100079</t>
  </si>
  <si>
    <t>FA0299507001013</t>
  </si>
  <si>
    <t>9000069581 100973</t>
  </si>
  <si>
    <t>FA0299508001013</t>
  </si>
  <si>
    <t>9000033492 100794</t>
  </si>
  <si>
    <t>FA0299509001013</t>
  </si>
  <si>
    <t>9000070668 100075</t>
  </si>
  <si>
    <t>FA0299510001013</t>
  </si>
  <si>
    <t>9000063366 100085</t>
  </si>
  <si>
    <t>FA0299511001013</t>
  </si>
  <si>
    <t>9000071849 100014</t>
  </si>
  <si>
    <t>FA0299512001013</t>
  </si>
  <si>
    <t>9000066452 100139</t>
  </si>
  <si>
    <t>FA0299513001013</t>
  </si>
  <si>
    <t>9000064954 100161</t>
  </si>
  <si>
    <t>FA0299514001013</t>
  </si>
  <si>
    <t>9000066873 100347</t>
  </si>
  <si>
    <t>FA0299515001013</t>
  </si>
  <si>
    <t>9000069285 100014</t>
  </si>
  <si>
    <t>FA0299516001013</t>
  </si>
  <si>
    <t>9000030218 100076</t>
  </si>
  <si>
    <t>FA0299517001013</t>
  </si>
  <si>
    <t>9000030218 100097</t>
  </si>
  <si>
    <t>FA0299518001013</t>
  </si>
  <si>
    <t>9000070667 100042</t>
  </si>
  <si>
    <t>FA0299519001013</t>
  </si>
  <si>
    <t>9000069285 100100</t>
  </si>
  <si>
    <t>FA0299520001013</t>
  </si>
  <si>
    <t>9000071703 100550</t>
  </si>
  <si>
    <t>FA0299521001013</t>
  </si>
  <si>
    <t>sakurai naoyuki</t>
  </si>
  <si>
    <t>9000071703 100551</t>
  </si>
  <si>
    <t>FA0299522001013</t>
  </si>
  <si>
    <t>9000071703 100552</t>
  </si>
  <si>
    <t>FA0299523001013</t>
  </si>
  <si>
    <t>6104902631 100699</t>
  </si>
  <si>
    <t>FA0299524001013</t>
  </si>
  <si>
    <t>sato yuuki</t>
  </si>
  <si>
    <t>9000070665 100033</t>
  </si>
  <si>
    <t>FA0299525001013</t>
  </si>
  <si>
    <t>9000071704 100117</t>
  </si>
  <si>
    <t>FA0299531001013</t>
  </si>
  <si>
    <t>ichikawa naoki</t>
  </si>
  <si>
    <t>Zone-2-NPMW-1</t>
  </si>
  <si>
    <t>10001L</t>
  </si>
  <si>
    <t>L</t>
  </si>
  <si>
    <t>9000059940 100033</t>
  </si>
  <si>
    <t>FA0220AAF301824</t>
  </si>
  <si>
    <t>Yes</t>
  </si>
  <si>
    <t>9000059940 100046</t>
  </si>
  <si>
    <t>10002L</t>
  </si>
  <si>
    <t>667663 100166</t>
  </si>
  <si>
    <t>FA0201ABA002604</t>
  </si>
  <si>
    <t>10003L</t>
  </si>
  <si>
    <t>634306A103345</t>
  </si>
  <si>
    <t>FA0201ABA002245</t>
  </si>
  <si>
    <t>10004L</t>
  </si>
  <si>
    <t>9000054754 100205</t>
  </si>
  <si>
    <t>FA0201ACD051131</t>
  </si>
  <si>
    <t>10005L</t>
  </si>
  <si>
    <t>9000068497 100575</t>
  </si>
  <si>
    <t>FA0201ABA002555</t>
  </si>
  <si>
    <t>10006L</t>
  </si>
  <si>
    <t>667699 101428</t>
  </si>
  <si>
    <t>FA0201ACD050835</t>
  </si>
  <si>
    <t>10007L</t>
  </si>
  <si>
    <t>9000067896 100005</t>
  </si>
  <si>
    <t>FA0201ABA002363</t>
  </si>
  <si>
    <t>10008L</t>
  </si>
  <si>
    <t>9000066340 100008</t>
  </si>
  <si>
    <t>FA0201ACD051137</t>
  </si>
  <si>
    <t>10009L</t>
  </si>
  <si>
    <t>667654 108379</t>
  </si>
  <si>
    <t>FA0201ACD049829</t>
  </si>
  <si>
    <t>10010L</t>
  </si>
  <si>
    <t>9000070424 100005</t>
  </si>
  <si>
    <t>FA0201ACD051167</t>
  </si>
  <si>
    <t>10011L</t>
  </si>
  <si>
    <t>9000068491 100015</t>
  </si>
  <si>
    <t>FA0201ACD051179</t>
  </si>
  <si>
    <t>10012L</t>
  </si>
  <si>
    <t>687436 100128</t>
  </si>
  <si>
    <t>FA0201ACD050994</t>
  </si>
  <si>
    <t>10013L</t>
  </si>
  <si>
    <t>911738 100616</t>
  </si>
  <si>
    <t>FA0201ABA002409</t>
  </si>
  <si>
    <t>10014L</t>
  </si>
  <si>
    <t>9000063270 100052</t>
  </si>
  <si>
    <t>FA0201ACD050826</t>
  </si>
  <si>
    <t>10015L</t>
  </si>
  <si>
    <t>912933 100070</t>
  </si>
  <si>
    <t>FA0201ACD051135</t>
  </si>
  <si>
    <t>20001L</t>
  </si>
  <si>
    <t>659298 107708</t>
  </si>
  <si>
    <t>FA0201ABA002598</t>
  </si>
  <si>
    <t>20002L</t>
  </si>
  <si>
    <t>667734 101737</t>
  </si>
  <si>
    <t>FA0201ABA002369</t>
  </si>
  <si>
    <t>667734 101768</t>
  </si>
  <si>
    <t>20003L</t>
  </si>
  <si>
    <t>9000068500 100681</t>
  </si>
  <si>
    <t>FA0201ABD000592</t>
  </si>
  <si>
    <t>20004L</t>
  </si>
  <si>
    <t>9000069298 100003</t>
  </si>
  <si>
    <t>FA0201ACD049733</t>
  </si>
  <si>
    <t>20005L</t>
  </si>
  <si>
    <t>667877 100594</t>
  </si>
  <si>
    <t>FA0201ABA001996</t>
  </si>
  <si>
    <t>667877 100596</t>
  </si>
  <si>
    <t>20006L</t>
  </si>
  <si>
    <t>910071 100488</t>
  </si>
  <si>
    <t>FA0201ACD049861</t>
  </si>
  <si>
    <t>20007L</t>
  </si>
  <si>
    <t>9000066587 100032</t>
  </si>
  <si>
    <t>FA0201ABA002581</t>
  </si>
  <si>
    <t>20008L</t>
  </si>
  <si>
    <t>667823 100304</t>
  </si>
  <si>
    <t>FA0201ACD051418</t>
  </si>
  <si>
    <t>20009L</t>
  </si>
  <si>
    <t>9000058958 100039</t>
  </si>
  <si>
    <t>FA0201ACD051241</t>
  </si>
  <si>
    <t>20010L</t>
  </si>
  <si>
    <t>9000063310 100178</t>
  </si>
  <si>
    <t>FA0201ACD050213</t>
  </si>
  <si>
    <t>20011L</t>
  </si>
  <si>
    <t>667369A102705</t>
  </si>
  <si>
    <t>FA0201ACD049769</t>
  </si>
  <si>
    <t>20012L</t>
  </si>
  <si>
    <t>9000008038 100426</t>
  </si>
  <si>
    <t>FA0201ACD049542</t>
  </si>
  <si>
    <t>20013L</t>
  </si>
  <si>
    <t>667609A100170</t>
  </si>
  <si>
    <t>FA0201ABD000399</t>
  </si>
  <si>
    <t>20014L</t>
  </si>
  <si>
    <t>9000062917 100022</t>
  </si>
  <si>
    <t>FA0201ACD049860</t>
  </si>
  <si>
    <t>20015L</t>
  </si>
  <si>
    <t>9000066592 100010</t>
  </si>
  <si>
    <t>FA0201ACD050980</t>
  </si>
  <si>
    <t>20016L</t>
  </si>
  <si>
    <t>578572A100222</t>
  </si>
  <si>
    <t>FA0201ABD000353</t>
  </si>
  <si>
    <t>578572A100249</t>
  </si>
  <si>
    <t>20017L</t>
  </si>
  <si>
    <t>9000063581 100030</t>
  </si>
  <si>
    <t>FA0201ACD050198</t>
  </si>
  <si>
    <t>20018L</t>
  </si>
  <si>
    <t>9000064819 100017</t>
  </si>
  <si>
    <t>FA0201ACD051380</t>
  </si>
  <si>
    <t>20019L</t>
  </si>
  <si>
    <t>678517A100509</t>
  </si>
  <si>
    <t>FA0201ACD051397</t>
  </si>
  <si>
    <t>sato kuniyoshi</t>
  </si>
  <si>
    <t>678517A100510</t>
  </si>
  <si>
    <t>20020L</t>
  </si>
  <si>
    <t>9000066600 100014</t>
  </si>
  <si>
    <t>FA0201ABA002790</t>
  </si>
  <si>
    <t>20021L</t>
  </si>
  <si>
    <t>9000061308 100019</t>
  </si>
  <si>
    <t>FA0220AFA654103</t>
  </si>
  <si>
    <t>20022L</t>
  </si>
  <si>
    <t>922316 100161</t>
  </si>
  <si>
    <t>FA0220ADF311645</t>
  </si>
  <si>
    <t>922316 100168</t>
  </si>
  <si>
    <t>20023L</t>
  </si>
  <si>
    <t>FA0220ADF311603</t>
  </si>
  <si>
    <t>20030L</t>
  </si>
  <si>
    <t>T9000066592100001</t>
  </si>
  <si>
    <t>T9000066592</t>
  </si>
  <si>
    <t>FA0201ABD000213</t>
  </si>
  <si>
    <t>T9000066592100002</t>
  </si>
  <si>
    <t>Zone-2-NPMW-2</t>
  </si>
  <si>
    <t>9000057842 100152</t>
  </si>
  <si>
    <t>FA0201AAD000162</t>
  </si>
  <si>
    <t>620598 100442</t>
  </si>
  <si>
    <t>FA0201ACD049863</t>
  </si>
  <si>
    <t>673228A100079</t>
  </si>
  <si>
    <t>FA0201ABD000568</t>
  </si>
  <si>
    <t>9000067640 100022</t>
  </si>
  <si>
    <t>FA0201ABA002556</t>
  </si>
  <si>
    <t>9000001606 100072</t>
  </si>
  <si>
    <t>FA0201ACD051220</t>
  </si>
  <si>
    <t>667547A100093</t>
  </si>
  <si>
    <t>FA0201ABD000680</t>
  </si>
  <si>
    <t>667271A100574</t>
  </si>
  <si>
    <t>FA0201ACD050264</t>
  </si>
  <si>
    <t>667306A100320</t>
  </si>
  <si>
    <t>FA0201ABA002340</t>
  </si>
  <si>
    <t>FA0201ABA002486</t>
  </si>
  <si>
    <t>738293 101762</t>
  </si>
  <si>
    <t>683868 100108</t>
  </si>
  <si>
    <t>FA0201ACD051067</t>
  </si>
  <si>
    <t>667494A100723</t>
  </si>
  <si>
    <t>FA0201ABD000296</t>
  </si>
  <si>
    <t>667797 101353</t>
  </si>
  <si>
    <t>FA0201ACD051242</t>
  </si>
  <si>
    <t>667797 101424</t>
  </si>
  <si>
    <t>667298A100350</t>
  </si>
  <si>
    <t>FA0201ABA002724</t>
  </si>
  <si>
    <t>909206 100258</t>
  </si>
  <si>
    <t>FA0201ABD000511</t>
  </si>
  <si>
    <t>661749 100185</t>
  </si>
  <si>
    <t>FA0201ABA002249</t>
  </si>
  <si>
    <t>10016L</t>
  </si>
  <si>
    <t>922192 100362</t>
  </si>
  <si>
    <t>FA0201ACD049543</t>
  </si>
  <si>
    <t>922192 100378</t>
  </si>
  <si>
    <t>10017L</t>
  </si>
  <si>
    <t>554116 100132</t>
  </si>
  <si>
    <t>FA0201ACD051039</t>
  </si>
  <si>
    <t>10018L</t>
  </si>
  <si>
    <t>667707 101551</t>
  </si>
  <si>
    <t>FA0201ABA002742</t>
  </si>
  <si>
    <t>10019L</t>
  </si>
  <si>
    <t>668715A103687</t>
  </si>
  <si>
    <t>FA0201ACD051460</t>
  </si>
  <si>
    <t>10020L</t>
  </si>
  <si>
    <t>9000044578 102225</t>
  </si>
  <si>
    <t>FA0201ACD051109</t>
  </si>
  <si>
    <t>10021L</t>
  </si>
  <si>
    <t>9000066598 109369</t>
  </si>
  <si>
    <t>FA0201ACD051019</t>
  </si>
  <si>
    <t>10022L</t>
  </si>
  <si>
    <t>667592A100477</t>
  </si>
  <si>
    <t>FA0201ABA002861</t>
  </si>
  <si>
    <t>667592A100541</t>
  </si>
  <si>
    <t>10023L</t>
  </si>
  <si>
    <t>9000002623 100062</t>
  </si>
  <si>
    <t>FA0201ABA002865</t>
  </si>
  <si>
    <t>9000002623 100063</t>
  </si>
  <si>
    <t>10024L</t>
  </si>
  <si>
    <t>9000068524 100184</t>
  </si>
  <si>
    <t>FA0201ABD000280</t>
  </si>
  <si>
    <t>10025L</t>
  </si>
  <si>
    <t>667289A100717</t>
  </si>
  <si>
    <t>FA0201ACD051232</t>
  </si>
  <si>
    <t>10026L</t>
  </si>
  <si>
    <t>627083A100243</t>
  </si>
  <si>
    <t>FA0201ABD000679</t>
  </si>
  <si>
    <t>10027L</t>
  </si>
  <si>
    <t>9000044845 100039</t>
  </si>
  <si>
    <t>FA0201ABA001994</t>
  </si>
  <si>
    <t>10028L</t>
  </si>
  <si>
    <t>9000067499 100051</t>
  </si>
  <si>
    <t>FA0201ACD049831</t>
  </si>
  <si>
    <t>10029L</t>
  </si>
  <si>
    <t>9000066601 101754</t>
  </si>
  <si>
    <t>FA0201ACD051255</t>
  </si>
  <si>
    <t>9000058279 100012</t>
  </si>
  <si>
    <t>FA0220ADF311802</t>
  </si>
  <si>
    <t>9000066684 100014</t>
  </si>
  <si>
    <t>FA0201ACD051290</t>
  </si>
  <si>
    <t>OP</t>
  </si>
  <si>
    <t>9000066687 100028</t>
  </si>
  <si>
    <t>FA0201ACD051263</t>
  </si>
  <si>
    <t>9000066687 100036</t>
  </si>
  <si>
    <t>9000066689 100011</t>
  </si>
  <si>
    <t>FA0201ACD050188</t>
  </si>
  <si>
    <t>672657 100030</t>
  </si>
  <si>
    <t>FA0201ABD000300</t>
  </si>
  <si>
    <t>907289 100090</t>
  </si>
  <si>
    <t>FA0201ABA002806</t>
  </si>
  <si>
    <t>661357 100082</t>
  </si>
  <si>
    <t>FA0201ACD051285</t>
  </si>
  <si>
    <t>661357 100086</t>
  </si>
  <si>
    <t>9000066688 100040</t>
  </si>
  <si>
    <t>FA0201ABA002402</t>
  </si>
  <si>
    <t>667645 110717</t>
  </si>
  <si>
    <t>FA0201ABD000222</t>
  </si>
  <si>
    <t>9000066590 101621</t>
  </si>
  <si>
    <t>FA0201ABD000307</t>
  </si>
  <si>
    <t>9000066686 100012</t>
  </si>
  <si>
    <t>FA0201ABD000210</t>
  </si>
  <si>
    <t>9000066686 100014</t>
  </si>
  <si>
    <t>9000066599 102741</t>
  </si>
  <si>
    <t>FA0201ABA002871</t>
  </si>
  <si>
    <t>9000066599 102793</t>
  </si>
  <si>
    <t>9000069294 100001</t>
  </si>
  <si>
    <t>FA0201ABD000361</t>
  </si>
  <si>
    <t>9000066586 100013</t>
  </si>
  <si>
    <t>FA0201ABA002595</t>
  </si>
  <si>
    <t>9000066588 100231</t>
  </si>
  <si>
    <t>FA0201ABD000223</t>
  </si>
  <si>
    <t>667618A100493</t>
  </si>
  <si>
    <t>FA0201ACD050890</t>
  </si>
  <si>
    <t>909616 100741</t>
  </si>
  <si>
    <t>FA0201ABA002398</t>
  </si>
  <si>
    <t>667244A100685</t>
  </si>
  <si>
    <t>FA0201ACD051052</t>
  </si>
  <si>
    <t>667244A100821</t>
  </si>
  <si>
    <t>9000062919 100042</t>
  </si>
  <si>
    <t>FA0201ACD051257</t>
  </si>
  <si>
    <t>9000062641 100051</t>
  </si>
  <si>
    <t>FA0201ABA002776</t>
  </si>
  <si>
    <t>9000066685 100025</t>
  </si>
  <si>
    <t>FA0201ACD050823</t>
  </si>
  <si>
    <t>9000047423 100253</t>
  </si>
  <si>
    <t>FA0201ACD051420</t>
  </si>
  <si>
    <t>9000047423 100309</t>
  </si>
  <si>
    <t>20024L</t>
  </si>
  <si>
    <t>9000058902 100008</t>
  </si>
  <si>
    <t>FA0201ABA002008</t>
  </si>
  <si>
    <t>9000058902 100013</t>
  </si>
  <si>
    <t>20025L</t>
  </si>
  <si>
    <t>9000049546 100061</t>
  </si>
  <si>
    <t>FA0201ABD000597</t>
  </si>
  <si>
    <t>20026L</t>
  </si>
  <si>
    <t>9000040403 100250</t>
  </si>
  <si>
    <t>FA0201ACD051020</t>
  </si>
  <si>
    <t>9000040403 100277</t>
  </si>
  <si>
    <t>20027L</t>
  </si>
  <si>
    <t>9000049234 100089</t>
  </si>
  <si>
    <t>FA0201ACD049734</t>
  </si>
  <si>
    <t>20028L</t>
  </si>
  <si>
    <t>9000000367 100187</t>
  </si>
  <si>
    <t>FA0201ACD051294</t>
  </si>
  <si>
    <t>20029L</t>
  </si>
  <si>
    <t>925055 100061</t>
  </si>
  <si>
    <t>FA0201ACD051089</t>
  </si>
  <si>
    <t>9000052792 100244</t>
  </si>
  <si>
    <t>FA0201ABA002775</t>
  </si>
  <si>
    <t>Zone-2-NPMW-3</t>
  </si>
  <si>
    <t>9000063420 100016</t>
  </si>
  <si>
    <t>FA0220ADF311862</t>
  </si>
  <si>
    <t>9000009679A100884</t>
  </si>
  <si>
    <t>FA0220ADF311636</t>
  </si>
  <si>
    <t>9000009679A100897</t>
  </si>
  <si>
    <t>938442 100385</t>
  </si>
  <si>
    <t>FA0220AFA654089</t>
  </si>
  <si>
    <t>9000063454 100015</t>
  </si>
  <si>
    <t>FA0220ADF311627</t>
  </si>
  <si>
    <t>9000063454 100016</t>
  </si>
  <si>
    <t>9000070749 100003</t>
  </si>
  <si>
    <t>FA0220ACH328575</t>
  </si>
  <si>
    <t>676724A100138</t>
  </si>
  <si>
    <t>FA0201ACD051178</t>
  </si>
  <si>
    <t>676724A100145</t>
  </si>
  <si>
    <t>9000066813 100084</t>
  </si>
  <si>
    <t>FA0201ACD051196</t>
  </si>
  <si>
    <t>724138 100168</t>
  </si>
  <si>
    <t>FA0201ACD051350</t>
  </si>
  <si>
    <t>9000057869 100502</t>
  </si>
  <si>
    <t>FA0201ACD051482</t>
  </si>
  <si>
    <t>9000057869 100720</t>
  </si>
  <si>
    <t>9000067211 100038</t>
  </si>
  <si>
    <t>FA0201ACD050190</t>
  </si>
  <si>
    <t>9000067211 100064</t>
  </si>
  <si>
    <t>9000070426 100001</t>
  </si>
  <si>
    <t>FA0201ABD000368</t>
  </si>
  <si>
    <t>9000066629 100008</t>
  </si>
  <si>
    <t>FA0201ABD000640</t>
  </si>
  <si>
    <t>9000010142 100260</t>
  </si>
  <si>
    <t>FA0201ACD051481</t>
  </si>
  <si>
    <t>632594 100127</t>
  </si>
  <si>
    <t>FA0201ACD051170</t>
  </si>
  <si>
    <t>554874B100067</t>
  </si>
  <si>
    <t>FA0201ABD000550</t>
  </si>
  <si>
    <t>554874B100068</t>
  </si>
  <si>
    <t>667574A100222</t>
  </si>
  <si>
    <t>FA0201ABA002469</t>
  </si>
  <si>
    <t>668813A100192</t>
  </si>
  <si>
    <t>FA0201ACD051161</t>
  </si>
  <si>
    <t>667119A100780</t>
  </si>
  <si>
    <t>FA0201ACD050239</t>
  </si>
  <si>
    <t>667413A100785</t>
  </si>
  <si>
    <t>FA0201ABD000446</t>
  </si>
  <si>
    <t>662543 100343</t>
  </si>
  <si>
    <t>FA0201ABA002290</t>
  </si>
  <si>
    <t>9000044587 100279</t>
  </si>
  <si>
    <t>FA0201ABA002329</t>
  </si>
  <si>
    <t>9000057484 100523</t>
  </si>
  <si>
    <t>FA0201ABA002359</t>
  </si>
  <si>
    <t>935543 102299</t>
  </si>
  <si>
    <t>FA0201ABA002259</t>
  </si>
  <si>
    <t>939655 100056</t>
  </si>
  <si>
    <t>FA0201ABA002374</t>
  </si>
  <si>
    <t>910044 100192</t>
  </si>
  <si>
    <t>FA0201ABA002081</t>
  </si>
  <si>
    <t>9000060544 100004</t>
  </si>
  <si>
    <t>FA0201ABD000637</t>
  </si>
  <si>
    <t>9000069697 100004</t>
  </si>
  <si>
    <t>FA0220AFA654015</t>
  </si>
  <si>
    <t>9000063368 100011</t>
  </si>
  <si>
    <t>FA0220ADF311605</t>
  </si>
  <si>
    <t>667921 100042</t>
  </si>
  <si>
    <t>FA0220AFA654353</t>
  </si>
  <si>
    <t>662917 100715</t>
  </si>
  <si>
    <t>FA0220AFA654274</t>
  </si>
  <si>
    <t>662917 100839</t>
  </si>
  <si>
    <t>908029 100191</t>
  </si>
  <si>
    <t>FA0220AFA654088</t>
  </si>
  <si>
    <t>9000058366 100094</t>
  </si>
  <si>
    <t>FA0220ADF311577</t>
  </si>
  <si>
    <t>9000054023 100191</t>
  </si>
  <si>
    <t>FA0220AFA654276</t>
  </si>
  <si>
    <t>9000069359 100003</t>
  </si>
  <si>
    <t>FA0220AFA654050</t>
  </si>
  <si>
    <t>9000070021 100004</t>
  </si>
  <si>
    <t>FA0220AFA654335</t>
  </si>
  <si>
    <t>9000063453 100009</t>
  </si>
  <si>
    <t>FA0220ADF311664</t>
  </si>
  <si>
    <t>9000063453 100012</t>
  </si>
  <si>
    <t>9000064628 100005</t>
  </si>
  <si>
    <t>FA0201ABD000382</t>
  </si>
  <si>
    <t>ushigome takayuki</t>
  </si>
  <si>
    <t>9000064628 100007</t>
  </si>
  <si>
    <t>9000067265 100037</t>
  </si>
  <si>
    <t>FA0201ACD051057</t>
  </si>
  <si>
    <t>9000067265 100052</t>
  </si>
  <si>
    <t>9000035552 100173</t>
  </si>
  <si>
    <t>FA0201ABD000207</t>
  </si>
  <si>
    <t>928444 100597</t>
  </si>
  <si>
    <t>FA0220ADF311648</t>
  </si>
  <si>
    <t>650191A100136</t>
  </si>
  <si>
    <t>FA0220AFA654312</t>
  </si>
  <si>
    <t>9000063611 100084</t>
  </si>
  <si>
    <t>FA0220ACH328545</t>
  </si>
  <si>
    <t>9000067212 100007</t>
  </si>
  <si>
    <t>FA0201ACD051440</t>
  </si>
  <si>
    <t>10030L</t>
  </si>
  <si>
    <t>667538A100236</t>
  </si>
  <si>
    <t>FA0201ACD051218</t>
  </si>
  <si>
    <t>667538A100281</t>
  </si>
  <si>
    <t>661366 100480</t>
  </si>
  <si>
    <t>FA0201ACD049868</t>
  </si>
  <si>
    <t>661366 100508</t>
  </si>
  <si>
    <t>9000061664 100349</t>
  </si>
  <si>
    <t>FA0201ABA002717</t>
  </si>
  <si>
    <t>T690878 100001</t>
  </si>
  <si>
    <t>T690878</t>
  </si>
  <si>
    <t>FA0201ABA002173</t>
  </si>
  <si>
    <t>678794 100119</t>
  </si>
  <si>
    <t>FA0201ACD051122</t>
  </si>
  <si>
    <t>9000044952 100165</t>
  </si>
  <si>
    <t>FA0201ACD050191</t>
  </si>
  <si>
    <t>9000044952 100173</t>
  </si>
  <si>
    <t>9000067788 100008</t>
  </si>
  <si>
    <t>FA0201ABA002448</t>
  </si>
  <si>
    <t>667342A100191</t>
  </si>
  <si>
    <t>FA0201AAD000148</t>
  </si>
  <si>
    <t>667342A100232</t>
  </si>
  <si>
    <t>9000066606 101379</t>
  </si>
  <si>
    <t>FA0201ACD051112</t>
  </si>
  <si>
    <t>9000066606 101425</t>
  </si>
  <si>
    <t>669091 100212</t>
  </si>
  <si>
    <t>FA0201ACD051370</t>
  </si>
  <si>
    <t>FA0201ACD051180</t>
  </si>
  <si>
    <t>9000070001 100003</t>
  </si>
  <si>
    <t>534806 100203</t>
  </si>
  <si>
    <t>FA0201ACD050228</t>
  </si>
  <si>
    <t>9000069260 100007</t>
  </si>
  <si>
    <t>FA0201ABD000456</t>
  </si>
  <si>
    <t>923502 100007</t>
  </si>
  <si>
    <t>FA0201ACD051480</t>
  </si>
  <si>
    <t>721257 100004</t>
  </si>
  <si>
    <t>FA0201ABD000396</t>
  </si>
  <si>
    <t>9000047102 100070</t>
  </si>
  <si>
    <t>FA0201ACD049740</t>
  </si>
  <si>
    <t>Zone-2-NPMW-4</t>
  </si>
  <si>
    <t>632718 100269</t>
  </si>
  <si>
    <t>FA0201ABD000386</t>
  </si>
  <si>
    <t>9000069256 100002</t>
  </si>
  <si>
    <t>FA0201ACD049874</t>
  </si>
  <si>
    <t>9000069256 100009</t>
  </si>
  <si>
    <t>667235A100367</t>
  </si>
  <si>
    <t>FA0201ACD049773</t>
  </si>
  <si>
    <t>667583A100320</t>
  </si>
  <si>
    <t>FA0201ABD000638</t>
  </si>
  <si>
    <t>9000058099 100414</t>
  </si>
  <si>
    <t>FA0201ABA002299</t>
  </si>
  <si>
    <t>667485A100198</t>
  </si>
  <si>
    <t>FA0201ACD050984</t>
  </si>
  <si>
    <t>667449A100458</t>
  </si>
  <si>
    <t>FA0201ABD000641</t>
  </si>
  <si>
    <t>667137A101178</t>
  </si>
  <si>
    <t>FA0201ABD000431</t>
  </si>
  <si>
    <t>9000069758 100003</t>
  </si>
  <si>
    <t>FA0201ACD049728</t>
  </si>
  <si>
    <t>9000069758 100001</t>
  </si>
  <si>
    <t>9000051053 110981</t>
  </si>
  <si>
    <t>FA0201ABA002765</t>
  </si>
  <si>
    <t>691529 100133</t>
  </si>
  <si>
    <t>FA0201ABD000428</t>
  </si>
  <si>
    <t>9000066815 100044</t>
  </si>
  <si>
    <t>FA0201ABA002478</t>
  </si>
  <si>
    <t>9000070267 100004</t>
  </si>
  <si>
    <t>FA0220ADF311686</t>
  </si>
  <si>
    <t>9000066666 100026</t>
  </si>
  <si>
    <t>FA0220ACH328543</t>
  </si>
  <si>
    <t>9000066666 100025</t>
  </si>
  <si>
    <t>9000058028 100478</t>
  </si>
  <si>
    <t>FA0220AFA654095</t>
  </si>
  <si>
    <t>9000054139 100039</t>
  </si>
  <si>
    <t>FA0220AFA654059</t>
  </si>
  <si>
    <t>9000045924 100035</t>
  </si>
  <si>
    <t>FA0220AFA654255</t>
  </si>
  <si>
    <t>9000045399 100061</t>
  </si>
  <si>
    <t>FA0220ADF311835</t>
  </si>
  <si>
    <t>9000041875 100303</t>
  </si>
  <si>
    <t>FA0220AFA654239</t>
  </si>
  <si>
    <t>9000037024 100030</t>
  </si>
  <si>
    <t>FA0220ACH328580</t>
  </si>
  <si>
    <t>9000006307 100252</t>
  </si>
  <si>
    <t>FA0220ADF311881</t>
  </si>
  <si>
    <t>692671A100266</t>
  </si>
  <si>
    <t>FA0220ADF311888</t>
  </si>
  <si>
    <t>691021 100179</t>
  </si>
  <si>
    <t>FA0220ADF311677</t>
  </si>
  <si>
    <t>666798 100376</t>
  </si>
  <si>
    <t>FA0220ADF311574</t>
  </si>
  <si>
    <t>606177A100264</t>
  </si>
  <si>
    <t>FA0220AFA654081</t>
  </si>
  <si>
    <t>606177A100265</t>
  </si>
  <si>
    <t>918375 100272</t>
  </si>
  <si>
    <t>FA0220ADF311840</t>
  </si>
  <si>
    <t>9000057871 100203</t>
  </si>
  <si>
    <t>FA0220AFA653998</t>
  </si>
  <si>
    <t>677278 100691</t>
  </si>
  <si>
    <t>FA0220ACH328567</t>
  </si>
  <si>
    <t>929826 100032</t>
  </si>
  <si>
    <t>FA0201ABA002171</t>
  </si>
  <si>
    <t>9000034883 100592</t>
  </si>
  <si>
    <t>FA0220AFA654304</t>
  </si>
  <si>
    <t>9000034883 100593</t>
  </si>
  <si>
    <t>9000059427 100020</t>
  </si>
  <si>
    <t>FA0220ADF311429</t>
  </si>
  <si>
    <t>9000069361 100003</t>
  </si>
  <si>
    <t>FA0220ACH328564</t>
  </si>
  <si>
    <t>9000070306 100001</t>
  </si>
  <si>
    <t>FA0220AFA653996</t>
  </si>
  <si>
    <t>675039 100128</t>
  </si>
  <si>
    <t>FA0220AFA654071</t>
  </si>
  <si>
    <t>9000064915 100009</t>
  </si>
  <si>
    <t>FA0220ACH328546</t>
  </si>
  <si>
    <t>9000057872 100630</t>
  </si>
  <si>
    <t>FA0220AFA654314</t>
  </si>
  <si>
    <t>9000060040 100073</t>
  </si>
  <si>
    <t>FA0220ADF311801</t>
  </si>
  <si>
    <t>9000065076 100016</t>
  </si>
  <si>
    <t>FA0220AFA654309</t>
  </si>
  <si>
    <t>9000065076 100017</t>
  </si>
  <si>
    <t>9000066030 100015</t>
  </si>
  <si>
    <t>FA0220AFA653986</t>
  </si>
  <si>
    <t>9000069833 100001</t>
  </si>
  <si>
    <t>FA0220ACH328563</t>
  </si>
  <si>
    <t>9000069833 100004</t>
  </si>
  <si>
    <t>911203 100123</t>
  </si>
  <si>
    <t>FA0220ADF311858</t>
  </si>
  <si>
    <t>9000022432 100040</t>
  </si>
  <si>
    <t>FA0220ADF311691</t>
  </si>
  <si>
    <t>9000046995 100186</t>
  </si>
  <si>
    <t>FA0220AFA654036</t>
  </si>
  <si>
    <t>9000047138 100042</t>
  </si>
  <si>
    <t>FA0220AFA654343</t>
  </si>
  <si>
    <t>678651 100009</t>
  </si>
  <si>
    <t>FA0220ADF311660</t>
  </si>
  <si>
    <t>9000065077 100032</t>
  </si>
  <si>
    <t>FA0220ADF311602</t>
  </si>
  <si>
    <t>9000065077 100034</t>
  </si>
  <si>
    <t>666789 100738</t>
  </si>
  <si>
    <t>FA0220AFA654092</t>
  </si>
  <si>
    <t>9000070702 100002</t>
  </si>
  <si>
    <t>FA0220ADF311653</t>
  </si>
  <si>
    <t>9000048984 100031</t>
  </si>
  <si>
    <t>FA0220ADF311825</t>
  </si>
  <si>
    <t>9000048984 100029</t>
  </si>
  <si>
    <t>9000065930 100012</t>
  </si>
  <si>
    <t>FA0220AFA653987</t>
  </si>
  <si>
    <t>9000069289 100007</t>
  </si>
  <si>
    <t>FA0220AFA654291</t>
  </si>
  <si>
    <t>9000063424 100045</t>
  </si>
  <si>
    <t>FA0220AFA654270</t>
  </si>
  <si>
    <t>9000063424 100046</t>
  </si>
  <si>
    <t>9000051846 100471</t>
  </si>
  <si>
    <t>FA0220ADF311865</t>
  </si>
  <si>
    <t>9000066589 100014</t>
  </si>
  <si>
    <t>FA0201ABD000372</t>
  </si>
  <si>
    <t>667458A100073</t>
  </si>
  <si>
    <t>FA0201ACD050237</t>
  </si>
  <si>
    <t>FA0201ABD000425</t>
  </si>
  <si>
    <t>9000044462 100018</t>
  </si>
  <si>
    <t>9000008002 100072</t>
  </si>
  <si>
    <t>FA0201ABD000696</t>
  </si>
  <si>
    <t>9000068529 100003</t>
  </si>
  <si>
    <t>FA0201ABD000621</t>
  </si>
  <si>
    <t>667743 100319</t>
  </si>
  <si>
    <t>FA0201ABD000480</t>
  </si>
  <si>
    <t>9000043908 100062</t>
  </si>
  <si>
    <t>FA0201ACD051090</t>
  </si>
  <si>
    <t>9000043908 100056</t>
  </si>
  <si>
    <t>Zone-2-NPMW-5</t>
  </si>
  <si>
    <t>9000001063 100495</t>
  </si>
  <si>
    <t>FA0201ABD000335</t>
  </si>
  <si>
    <t>9000066748 100302</t>
  </si>
  <si>
    <t>FA0201ABD000224</t>
  </si>
  <si>
    <t>9000057855 100099</t>
  </si>
  <si>
    <t>FA0201ABD000494</t>
  </si>
  <si>
    <t>587606A100199</t>
  </si>
  <si>
    <t>FA0201ABA002716</t>
  </si>
  <si>
    <t>626654A100523</t>
  </si>
  <si>
    <t>FA0230AEA373442</t>
  </si>
  <si>
    <t>9000067895 100004</t>
  </si>
  <si>
    <t>FA0201ABD000693</t>
  </si>
  <si>
    <t>9000064828 101024</t>
  </si>
  <si>
    <t>FA0220ADF311647</t>
  </si>
  <si>
    <t>9000064828 101084</t>
  </si>
  <si>
    <t>9000069928 100008</t>
  </si>
  <si>
    <t>FA0430ADF305094</t>
  </si>
  <si>
    <t>561456A100070</t>
  </si>
  <si>
    <t>FA0220AFA654259</t>
  </si>
  <si>
    <t>9000064829 101767</t>
  </si>
  <si>
    <t>FA0220AFA654277</t>
  </si>
  <si>
    <t>9000064829 101776</t>
  </si>
  <si>
    <t>9000057261 100058</t>
  </si>
  <si>
    <t>FA0220ADF311687</t>
  </si>
  <si>
    <t>658058 100188</t>
  </si>
  <si>
    <t>FA0220ADF311854</t>
  </si>
  <si>
    <t>555641A100025</t>
  </si>
  <si>
    <t>FA0220AFA654326</t>
  </si>
  <si>
    <t>9000046986 100614</t>
  </si>
  <si>
    <t>FA0220ADF311847</t>
  </si>
  <si>
    <t>9000046986 100706</t>
  </si>
  <si>
    <t>9000045915 100087</t>
  </si>
  <si>
    <t>FA0220ACH328570</t>
  </si>
  <si>
    <t>9000045915 100072</t>
  </si>
  <si>
    <t>9000070725 100004</t>
  </si>
  <si>
    <t>FA0220AFA654003</t>
  </si>
  <si>
    <t>9000066667 100043</t>
  </si>
  <si>
    <t>FA0220AFA654247</t>
  </si>
  <si>
    <t>9000069552 100046</t>
  </si>
  <si>
    <t>FA0220ADF311831</t>
  </si>
  <si>
    <t>9000069552 100049</t>
  </si>
  <si>
    <t>9000063369 100026</t>
  </si>
  <si>
    <t>FA0220ADF311580</t>
  </si>
  <si>
    <t>9000000714 100595</t>
  </si>
  <si>
    <t>FA0220ADF311733</t>
  </si>
  <si>
    <t>9000059659 100102</t>
  </si>
  <si>
    <t>FA0220AFA654236</t>
  </si>
  <si>
    <t>514588B100756</t>
  </si>
  <si>
    <t>FA0220AFA654303</t>
  </si>
  <si>
    <t>514588B100758</t>
  </si>
  <si>
    <t>9000070170 100007</t>
  </si>
  <si>
    <t>FA0220ADF311654</t>
  </si>
  <si>
    <t>9000070169 100007</t>
  </si>
  <si>
    <t>FA0220ADF311851</t>
  </si>
  <si>
    <t>9000065071 100013</t>
  </si>
  <si>
    <t>FA0220ADF311666</t>
  </si>
  <si>
    <t>9000065070 100012</t>
  </si>
  <si>
    <t>FA0220ADF311609</t>
  </si>
  <si>
    <t>9000070000 100004</t>
  </si>
  <si>
    <t>FA0220AFA654281</t>
  </si>
  <si>
    <t>9000060539 100249</t>
  </si>
  <si>
    <t>FA0220ADF311671</t>
  </si>
  <si>
    <t>9000057687 100325</t>
  </si>
  <si>
    <t>FA0220ADF311866</t>
  </si>
  <si>
    <t>625067A100080</t>
  </si>
  <si>
    <t>FA0220AFA654018</t>
  </si>
  <si>
    <t>9000070461 100005</t>
  </si>
  <si>
    <t>FA0220ADF311626</t>
  </si>
  <si>
    <t>662516 100269</t>
  </si>
  <si>
    <t>FA0201ACD049762</t>
  </si>
  <si>
    <t>9000067264 100091</t>
  </si>
  <si>
    <t>FA0220ADF311869</t>
  </si>
  <si>
    <t>9000065030 100177</t>
  </si>
  <si>
    <t>FA0220ADF311738</t>
  </si>
  <si>
    <t>9000065030 100184</t>
  </si>
  <si>
    <t>9000002204 100105</t>
  </si>
  <si>
    <t>FA0220AFA654244</t>
  </si>
  <si>
    <t>935864 100524</t>
  </si>
  <si>
    <t>FA0220AFA654062</t>
  </si>
  <si>
    <t>935864 100525</t>
  </si>
  <si>
    <t>9000063666 100063</t>
  </si>
  <si>
    <t>FA0220ADF311680</t>
  </si>
  <si>
    <t>9000064697 100005</t>
  </si>
  <si>
    <t>FA0220AFA654077</t>
  </si>
  <si>
    <t>9000069354 100015</t>
  </si>
  <si>
    <t>FA0220AFA654044</t>
  </si>
  <si>
    <t>662935A100013</t>
  </si>
  <si>
    <t>FA0220AFA654347</t>
  </si>
  <si>
    <t>9000059543 100812</t>
  </si>
  <si>
    <t>FA0220AFA654253</t>
  </si>
  <si>
    <t>9000041866 100377</t>
  </si>
  <si>
    <t>FA0220AFA654067</t>
  </si>
  <si>
    <t>9000069832 100004</t>
  </si>
  <si>
    <t>FA0220ADF311421</t>
  </si>
  <si>
    <t>679347A100126</t>
  </si>
  <si>
    <t>FA0220ADF311427</t>
  </si>
  <si>
    <t>9000045889 100185</t>
  </si>
  <si>
    <t>FA0220ADF311665</t>
  </si>
  <si>
    <t>9000047174 100006</t>
  </si>
  <si>
    <t>FA0220ADF311747</t>
  </si>
  <si>
    <t>9000057386 100696</t>
  </si>
  <si>
    <t>FA0220ADF311432</t>
  </si>
  <si>
    <t>9000059611 100356</t>
  </si>
  <si>
    <t>FA0220ACH328572</t>
  </si>
  <si>
    <t>9000059611 100393</t>
  </si>
  <si>
    <t>9000069402 100001</t>
  </si>
  <si>
    <t>FA0220AFA654042</t>
  </si>
  <si>
    <t>626877A100399</t>
  </si>
  <si>
    <t>FA0220ADF311625</t>
  </si>
  <si>
    <t>FA0220ADF311572</t>
  </si>
  <si>
    <t>9000069784 100005</t>
  </si>
  <si>
    <t>9000066299 100158</t>
  </si>
  <si>
    <t>FA0220AFA654339</t>
  </si>
  <si>
    <t>9000069797 100006</t>
  </si>
  <si>
    <t>FA0220AFA654320</t>
  </si>
  <si>
    <t>9000069797 100015</t>
  </si>
  <si>
    <t>933411 100655</t>
  </si>
  <si>
    <t>FA0220ADF311438</t>
  </si>
  <si>
    <t>9000069794 100015</t>
  </si>
  <si>
    <t>FA0220ADF311842</t>
  </si>
  <si>
    <t>545901B100149</t>
  </si>
  <si>
    <t>FA0220ADF311631</t>
  </si>
  <si>
    <t>545901B100154</t>
  </si>
  <si>
    <t>9000058442 100195</t>
  </si>
  <si>
    <t>FA0430ABH314549</t>
  </si>
  <si>
    <t>614498A100189</t>
  </si>
  <si>
    <t>FA0220AFA654290</t>
  </si>
  <si>
    <t>9000065072 100053</t>
  </si>
  <si>
    <t>FA0220ACH328542</t>
  </si>
  <si>
    <t>Zone-2-NPMW-6</t>
  </si>
  <si>
    <t>9000057279 106944</t>
  </si>
  <si>
    <t>FA0430ABH314555</t>
  </si>
  <si>
    <t>719991 100012</t>
  </si>
  <si>
    <t>FA0240AEA354392</t>
  </si>
  <si>
    <t>9000045523 100141</t>
  </si>
  <si>
    <t>FA0230AEA373514</t>
  </si>
  <si>
    <t>9000003114 100026</t>
  </si>
  <si>
    <t>FA0430ABH314543</t>
  </si>
  <si>
    <t>9000069620 100009</t>
  </si>
  <si>
    <t>FA0430ABH314542</t>
  </si>
  <si>
    <t>917625 100787</t>
  </si>
  <si>
    <t>FA0430ABH314509</t>
  </si>
  <si>
    <t>9000003186 100006</t>
  </si>
  <si>
    <t>FA0230AEA373461</t>
  </si>
  <si>
    <t>9000045532 100021</t>
  </si>
  <si>
    <t>FA0230AEA373465</t>
  </si>
  <si>
    <t>9000069781 100010</t>
  </si>
  <si>
    <t>FA0230AEA373444</t>
  </si>
  <si>
    <t>9000069771 100005</t>
  </si>
  <si>
    <t>FA0230AEA373487</t>
  </si>
  <si>
    <t>9000070068 100004</t>
  </si>
  <si>
    <t>FA0230AEA373510</t>
  </si>
  <si>
    <t>9000065018 100025</t>
  </si>
  <si>
    <t>FA0430ABH314550</t>
  </si>
  <si>
    <t>361636C100836</t>
  </si>
  <si>
    <t>FA0220ACH328579</t>
  </si>
  <si>
    <t>9000070245 100002</t>
  </si>
  <si>
    <t>FA0220ADF311634</t>
  </si>
  <si>
    <t>9000001856 100206</t>
  </si>
  <si>
    <t>FA0220ADF311621</t>
  </si>
  <si>
    <t>9000070244 100002</t>
  </si>
  <si>
    <t>FA0220ADF311651</t>
  </si>
  <si>
    <t>9000053728 100037</t>
  </si>
  <si>
    <t>FA0220AFA654031</t>
  </si>
  <si>
    <t>9000053728 100047</t>
  </si>
  <si>
    <t>9000057675 100056</t>
  </si>
  <si>
    <t>FA0220AFA654097</t>
  </si>
  <si>
    <t>9000021317 100351</t>
  </si>
  <si>
    <t>FA0201ACD051056</t>
  </si>
  <si>
    <t>9000069358 100017</t>
  </si>
  <si>
    <t>FA0240AFA350096</t>
  </si>
  <si>
    <t>9000055004 100095</t>
  </si>
  <si>
    <t>FA0230AEA373478</t>
  </si>
  <si>
    <t>9000056993 100353</t>
  </si>
  <si>
    <t>FA0220ADF311898</t>
  </si>
  <si>
    <t>FA0430ADF305030</t>
  </si>
  <si>
    <t>9000003132 100225</t>
  </si>
  <si>
    <t>9000069356 100008</t>
  </si>
  <si>
    <t>FA0440ADF301219</t>
  </si>
  <si>
    <t>934731 100679</t>
  </si>
  <si>
    <t>FA0430ADF305090</t>
  </si>
  <si>
    <t>934731 100682</t>
  </si>
  <si>
    <t>9000069780 100005</t>
  </si>
  <si>
    <t>FA0440ADF301202</t>
  </si>
  <si>
    <t>915823A100041</t>
  </si>
  <si>
    <t>FA0230AEA373447</t>
  </si>
  <si>
    <t>915823A100054</t>
  </si>
  <si>
    <t>9000063526 100010</t>
  </si>
  <si>
    <t>FA0230AEA373476</t>
  </si>
  <si>
    <t>9000063526 100012</t>
  </si>
  <si>
    <t>9000063696 100021</t>
  </si>
  <si>
    <t>FA0430ABH314572</t>
  </si>
  <si>
    <t>9000045559 100028</t>
  </si>
  <si>
    <t>FA0230AEA373450</t>
  </si>
  <si>
    <t>9000047441 100105</t>
  </si>
  <si>
    <t>FA0240AEA353972</t>
  </si>
  <si>
    <t>9000058344 100027</t>
  </si>
  <si>
    <t>FA0230AEA373479</t>
  </si>
  <si>
    <t>9000065017 100017</t>
  </si>
  <si>
    <t>FA0430ADF305017</t>
  </si>
  <si>
    <t>9000003123 100052</t>
  </si>
  <si>
    <t>FA0230AEA373471</t>
  </si>
  <si>
    <t>649139A100113</t>
  </si>
  <si>
    <t>FA0230AEA373491</t>
  </si>
  <si>
    <t>649139A100114</t>
  </si>
  <si>
    <t>9000069685 100008</t>
  </si>
  <si>
    <t>FA0220ADF311882</t>
  </si>
  <si>
    <t>346047B101153</t>
  </si>
  <si>
    <t>FA0220AFA654056</t>
  </si>
  <si>
    <t>9000063376 100281</t>
  </si>
  <si>
    <t>FA0230AEA373506</t>
  </si>
  <si>
    <t>9000001027 100210</t>
  </si>
  <si>
    <t>FA0220AFA654241</t>
  </si>
  <si>
    <t>9000003097 100030</t>
  </si>
  <si>
    <t>FA0230AEA373483</t>
  </si>
  <si>
    <t>917581 101137</t>
  </si>
  <si>
    <t>FA0220AFA654030</t>
  </si>
  <si>
    <t>9000064891 100105</t>
  </si>
  <si>
    <t>FA0201ABA002322</t>
  </si>
  <si>
    <t>9000053719 100008</t>
  </si>
  <si>
    <t>FA0220AFA653992</t>
  </si>
  <si>
    <t>9000070305 100003</t>
  </si>
  <si>
    <t>FA0220ADF311845</t>
  </si>
  <si>
    <t>9000053701 100099</t>
  </si>
  <si>
    <t>FA0220AFA654324</t>
  </si>
  <si>
    <t>930878 100158</t>
  </si>
  <si>
    <t>FA0230AEA373482</t>
  </si>
  <si>
    <t>930878 100162</t>
  </si>
  <si>
    <t>9000054986 100081</t>
  </si>
  <si>
    <t>FA0440ADF301203</t>
  </si>
  <si>
    <t>9000069621 100009</t>
  </si>
  <si>
    <t>FA0430ABH314565</t>
  </si>
  <si>
    <t>9000064911 100012</t>
  </si>
  <si>
    <t>FA0230AEA373480</t>
  </si>
  <si>
    <t>9000028364 100444</t>
  </si>
  <si>
    <t>FA0430ABH314505</t>
  </si>
  <si>
    <t>911578B100424</t>
  </si>
  <si>
    <t>FA0440ADF301204</t>
  </si>
  <si>
    <t>9000047076 100059</t>
  </si>
  <si>
    <t>FA0430ABH314508</t>
  </si>
  <si>
    <t>919739 100049</t>
  </si>
  <si>
    <t>FA0430ABH314504</t>
  </si>
  <si>
    <t>9000069779 100004</t>
  </si>
  <si>
    <t>FA0240AEA354397</t>
  </si>
  <si>
    <t>572203A100335</t>
  </si>
  <si>
    <t>FA0430ABH314506</t>
  </si>
  <si>
    <t>9000069616 100005</t>
  </si>
  <si>
    <t>FA0240AEA354398</t>
  </si>
  <si>
    <t>616023A100378</t>
  </si>
  <si>
    <t>FA0430ADF305016</t>
  </si>
  <si>
    <t>679356A100382</t>
  </si>
  <si>
    <t>FA0430ADF305085</t>
  </si>
  <si>
    <t>9000046023 100169</t>
  </si>
  <si>
    <t>FA0230AEA373463</t>
  </si>
  <si>
    <t>9000069182 100084</t>
  </si>
  <si>
    <t>FA0440AAF300046</t>
  </si>
  <si>
    <t>9000070347 100047</t>
  </si>
  <si>
    <t>FA0220AFA654072</t>
  </si>
  <si>
    <t>20030R</t>
  </si>
  <si>
    <t>R</t>
  </si>
  <si>
    <t>T9000066581100001</t>
  </si>
  <si>
    <t>T9000066581</t>
  </si>
  <si>
    <t>FA0201ACD051289</t>
  </si>
  <si>
    <t>20020R</t>
  </si>
  <si>
    <t>667832 100042</t>
  </si>
  <si>
    <t>FA0201ABD000379</t>
  </si>
  <si>
    <t>20019R</t>
  </si>
  <si>
    <t>9000066581 100010</t>
  </si>
  <si>
    <t>FA0201ACD051491</t>
  </si>
  <si>
    <t>9000066581 100012</t>
  </si>
  <si>
    <t>20018R</t>
  </si>
  <si>
    <t>9000065149 100006</t>
  </si>
  <si>
    <t>FA0201ACD049720</t>
  </si>
  <si>
    <t>20017R</t>
  </si>
  <si>
    <t>9000066682 100010</t>
  </si>
  <si>
    <t>FA0201ACD051382</t>
  </si>
  <si>
    <t>9000066682 100012</t>
  </si>
  <si>
    <t>20016R</t>
  </si>
  <si>
    <t>909607 100216</t>
  </si>
  <si>
    <t>FA0201ABA002386</t>
  </si>
  <si>
    <t>20015R</t>
  </si>
  <si>
    <t>678615 100272</t>
  </si>
  <si>
    <t>FA0201ACD051097</t>
  </si>
  <si>
    <t>20014R</t>
  </si>
  <si>
    <t>9000068528 100017</t>
  </si>
  <si>
    <t>FA0201ACD051085</t>
  </si>
  <si>
    <t>20013R</t>
  </si>
  <si>
    <t>910089 100104</t>
  </si>
  <si>
    <t>FA0201ACD051093</t>
  </si>
  <si>
    <t>20012R</t>
  </si>
  <si>
    <t>672612 100016</t>
  </si>
  <si>
    <t>FA0201ACD051088</t>
  </si>
  <si>
    <t>20011R</t>
  </si>
  <si>
    <t>910098 100034</t>
  </si>
  <si>
    <t>FA0201ACD051202</t>
  </si>
  <si>
    <t>910098 100047</t>
  </si>
  <si>
    <t>20010R</t>
  </si>
  <si>
    <t>667779 100181</t>
  </si>
  <si>
    <t>FA0201ABD000429</t>
  </si>
  <si>
    <t>667779 100286</t>
  </si>
  <si>
    <t>20009R</t>
  </si>
  <si>
    <t>667672 100500</t>
  </si>
  <si>
    <t>FA0201ACD051183</t>
  </si>
  <si>
    <t>20008R</t>
  </si>
  <si>
    <t>667814 100511</t>
  </si>
  <si>
    <t>FA0201ACD049747</t>
  </si>
  <si>
    <t>20007R</t>
  </si>
  <si>
    <t>910062 100264</t>
  </si>
  <si>
    <t>FA0201ACD051387</t>
  </si>
  <si>
    <t>20006R</t>
  </si>
  <si>
    <t>587535 100529</t>
  </si>
  <si>
    <t>FA0201ACD049758</t>
  </si>
  <si>
    <t>587535 100567</t>
  </si>
  <si>
    <t>20005R</t>
  </si>
  <si>
    <t>9000069350 100005</t>
  </si>
  <si>
    <t>FA0201ABA002827</t>
  </si>
  <si>
    <t>20004R</t>
  </si>
  <si>
    <t>673326 100216</t>
  </si>
  <si>
    <t>FA0201ACD051138</t>
  </si>
  <si>
    <t>20003R</t>
  </si>
  <si>
    <t>667859 101066</t>
  </si>
  <si>
    <t>FA0201ACD051338</t>
  </si>
  <si>
    <t>20002R</t>
  </si>
  <si>
    <t>9000068526 100204</t>
  </si>
  <si>
    <t>FA0201ABD000609</t>
  </si>
  <si>
    <t>20001R</t>
  </si>
  <si>
    <t>606426A103038</t>
  </si>
  <si>
    <t>FA0201ABA002635</t>
  </si>
  <si>
    <t>10015R</t>
  </si>
  <si>
    <t>T9000064630100001</t>
  </si>
  <si>
    <t>T9000064630</t>
  </si>
  <si>
    <t>FA0201ABA002709</t>
  </si>
  <si>
    <t>10014R</t>
  </si>
  <si>
    <t>9000058674 100009</t>
  </si>
  <si>
    <t>FA0201ACD050182</t>
  </si>
  <si>
    <t>10013R</t>
  </si>
  <si>
    <t>9000069969 100002</t>
  </si>
  <si>
    <t>FA0201ABD000642</t>
  </si>
  <si>
    <t>10012R</t>
  </si>
  <si>
    <t>9000066582 100468</t>
  </si>
  <si>
    <t>FA0201ABA002183</t>
  </si>
  <si>
    <t>10011R</t>
  </si>
  <si>
    <t>667752 100246</t>
  </si>
  <si>
    <t>FA0201ABA001991</t>
  </si>
  <si>
    <t>10010R</t>
  </si>
  <si>
    <t>667636 105571</t>
  </si>
  <si>
    <t>FA0201ABA002227</t>
  </si>
  <si>
    <t>667636 105597</t>
  </si>
  <si>
    <t>10009R</t>
  </si>
  <si>
    <t>9000068532 100127</t>
  </si>
  <si>
    <t>FA0201ACD051062</t>
  </si>
  <si>
    <t>10008R</t>
  </si>
  <si>
    <t>9000069261 100002</t>
  </si>
  <si>
    <t>FA0201ABA002181</t>
  </si>
  <si>
    <t>10007R</t>
  </si>
  <si>
    <t>668885 102476</t>
  </si>
  <si>
    <t>FA0201ACD051201</t>
  </si>
  <si>
    <t>10006R</t>
  </si>
  <si>
    <t>9000025385 100191</t>
  </si>
  <si>
    <t>FA0201ABA002292</t>
  </si>
  <si>
    <t>9000025385 100209</t>
  </si>
  <si>
    <t>10005R</t>
  </si>
  <si>
    <t>9000050393 100005</t>
  </si>
  <si>
    <t>FA0201ABA002777</t>
  </si>
  <si>
    <t>10004R</t>
  </si>
  <si>
    <t>9000066580 100010</t>
  </si>
  <si>
    <t>FA0201ACD051064</t>
  </si>
  <si>
    <t>9000066580 100012</t>
  </si>
  <si>
    <t>10003R</t>
  </si>
  <si>
    <t>9000068756 100014</t>
  </si>
  <si>
    <t>FA0201ABA002417</t>
  </si>
  <si>
    <t>10002R</t>
  </si>
  <si>
    <t>903489 100136</t>
  </si>
  <si>
    <t>FA0201ABA002855</t>
  </si>
  <si>
    <t>9000070112 100003</t>
  </si>
  <si>
    <t>FA0201ACD051162</t>
  </si>
  <si>
    <t>9000069299 100004</t>
  </si>
  <si>
    <t>FA0201ACD051031</t>
  </si>
  <si>
    <t>9000069997 100001</t>
  </si>
  <si>
    <t>FA0201ACD051354</t>
  </si>
  <si>
    <t>10001R</t>
  </si>
  <si>
    <t>9000066517 100165</t>
  </si>
  <si>
    <t>FA0201ABA002213</t>
  </si>
  <si>
    <t>9000070427 100002</t>
  </si>
  <si>
    <t>FA0201ABD000630</t>
  </si>
  <si>
    <t>620606 100131</t>
  </si>
  <si>
    <t>FA0201ABD000705</t>
  </si>
  <si>
    <t>683984 101115</t>
  </si>
  <si>
    <t>FA0201ABD000639</t>
  </si>
  <si>
    <t>683984 101116</t>
  </si>
  <si>
    <t>632023 100568</t>
  </si>
  <si>
    <t>FA0201AAD000153</t>
  </si>
  <si>
    <t>9000068499 100276</t>
  </si>
  <si>
    <t>FA0201ABA002847</t>
  </si>
  <si>
    <t>9000066594 100261</t>
  </si>
  <si>
    <t>FA0201ABA001992</t>
  </si>
  <si>
    <t>9000047111 100096</t>
  </si>
  <si>
    <t>FA0201ACD051125</t>
  </si>
  <si>
    <t>667556A102042</t>
  </si>
  <si>
    <t>FA0201ACD051369</t>
  </si>
  <si>
    <t>10028R</t>
  </si>
  <si>
    <t>522989A101454</t>
  </si>
  <si>
    <t>FA0201ACD051342</t>
  </si>
  <si>
    <t>10027R</t>
  </si>
  <si>
    <t>9000048511 100749</t>
  </si>
  <si>
    <t>FA0201ACD049828</t>
  </si>
  <si>
    <t>10026R</t>
  </si>
  <si>
    <t>568012B100069</t>
  </si>
  <si>
    <t>FA0201ABD000391</t>
  </si>
  <si>
    <t>10025R</t>
  </si>
  <si>
    <t>529581A100232</t>
  </si>
  <si>
    <t>FA0201ABD000513</t>
  </si>
  <si>
    <t>10024R</t>
  </si>
  <si>
    <t>934767 100176</t>
  </si>
  <si>
    <t>FA0201ACD050212</t>
  </si>
  <si>
    <t>10023R</t>
  </si>
  <si>
    <t>667476A100654</t>
  </si>
  <si>
    <t>FA0201AAD000164</t>
  </si>
  <si>
    <t>10022R</t>
  </si>
  <si>
    <t>907636B100175</t>
  </si>
  <si>
    <t>FA0201ABA002566</t>
  </si>
  <si>
    <t>10021R</t>
  </si>
  <si>
    <t>672595 102573</t>
  </si>
  <si>
    <t>FA0201ABD000464</t>
  </si>
  <si>
    <t>10020R</t>
  </si>
  <si>
    <t>684368 100884</t>
  </si>
  <si>
    <t>FA0201ACD051292</t>
  </si>
  <si>
    <t>10019R</t>
  </si>
  <si>
    <t>620508 104938</t>
  </si>
  <si>
    <t>FA0201ABA002857</t>
  </si>
  <si>
    <t>10018R</t>
  </si>
  <si>
    <t>683832 100192</t>
  </si>
  <si>
    <t>FA0201ABA002579</t>
  </si>
  <si>
    <t>10017R</t>
  </si>
  <si>
    <t>620624 100814</t>
  </si>
  <si>
    <t>FA0201ABA002837</t>
  </si>
  <si>
    <t>10016R</t>
  </si>
  <si>
    <t>9000007948 100413</t>
  </si>
  <si>
    <t>FA0201ACD051476</t>
  </si>
  <si>
    <t>927071 100161</t>
  </si>
  <si>
    <t>FA0201ABD000668</t>
  </si>
  <si>
    <t>667208A102241</t>
  </si>
  <si>
    <t>FA0201ABD000708</t>
  </si>
  <si>
    <t>667788 101185</t>
  </si>
  <si>
    <t>FA0201ABD000417</t>
  </si>
  <si>
    <t>9000069401 100002</t>
  </si>
  <si>
    <t>FA0201ACD051024</t>
  </si>
  <si>
    <t>20029R</t>
  </si>
  <si>
    <t>670579 100055</t>
  </si>
  <si>
    <t>FA0201ABD000392</t>
  </si>
  <si>
    <t>20028R</t>
  </si>
  <si>
    <t>9000061801 100022</t>
  </si>
  <si>
    <t>FA0201ACD051104</t>
  </si>
  <si>
    <t>20027R</t>
  </si>
  <si>
    <t>9000066683 100016</t>
  </si>
  <si>
    <t>FA0201ABA002274</t>
  </si>
  <si>
    <t>20026R</t>
  </si>
  <si>
    <t>9000069296 100001</t>
  </si>
  <si>
    <t>FA0201ACD050209</t>
  </si>
  <si>
    <t>20025R</t>
  </si>
  <si>
    <t>9000070441 100002</t>
  </si>
  <si>
    <t>FA0201ABD000259</t>
  </si>
  <si>
    <t>20024R</t>
  </si>
  <si>
    <t>677349 100183</t>
  </si>
  <si>
    <t>FA0201ABD000354</t>
  </si>
  <si>
    <t>20023R</t>
  </si>
  <si>
    <t>9000006361 100499</t>
  </si>
  <si>
    <t>FA0201ABD000491</t>
  </si>
  <si>
    <t>20022R</t>
  </si>
  <si>
    <t>9000057870 101009</t>
  </si>
  <si>
    <t>FA0201ACD051216</t>
  </si>
  <si>
    <t>20021R</t>
  </si>
  <si>
    <t>667681 100249</t>
  </si>
  <si>
    <t>FA0201ABA002638</t>
  </si>
  <si>
    <t>9000063423 100017</t>
  </si>
  <si>
    <t>FA0201ACD050831</t>
  </si>
  <si>
    <t>916804 101826</t>
  </si>
  <si>
    <t>FA0201ACD051127</t>
  </si>
  <si>
    <t>9000047129 100037</t>
  </si>
  <si>
    <t>FA0201ABA002593</t>
  </si>
  <si>
    <t>667511A100511</t>
  </si>
  <si>
    <t>FA0201ABD000546</t>
  </si>
  <si>
    <t>550174B100541</t>
  </si>
  <si>
    <t>FA0201ABD000400</t>
  </si>
  <si>
    <t>641263 100884</t>
  </si>
  <si>
    <t>FA0201ABA002594</t>
  </si>
  <si>
    <t>667253A100209</t>
  </si>
  <si>
    <t>FA0201ABD000365</t>
  </si>
  <si>
    <t>9000048529 100327</t>
  </si>
  <si>
    <t>FA0201ACD049869</t>
  </si>
  <si>
    <t>9000048529 100335</t>
  </si>
  <si>
    <t>907752 100173</t>
  </si>
  <si>
    <t>FA0201ABD000561</t>
  </si>
  <si>
    <t>577252A101547</t>
  </si>
  <si>
    <t>FA0201ABD000686</t>
  </si>
  <si>
    <t>631853A100226</t>
  </si>
  <si>
    <t>FA0201ABA002000</t>
  </si>
  <si>
    <t>631853A100239</t>
  </si>
  <si>
    <t>644955 100658</t>
  </si>
  <si>
    <t>FA0201ABA002104</t>
  </si>
  <si>
    <t>9000057973 100075</t>
  </si>
  <si>
    <t>FA0201ABD000384</t>
  </si>
  <si>
    <t>912122 101034</t>
  </si>
  <si>
    <t>FA0201ABA002280</t>
  </si>
  <si>
    <t>9000069295 100005</t>
  </si>
  <si>
    <t>FA0201ABA002711</t>
  </si>
  <si>
    <t>9000069295 100006</t>
  </si>
  <si>
    <t>9000063136 100024</t>
  </si>
  <si>
    <t>FA0201ABD000697</t>
  </si>
  <si>
    <t>667155A100319</t>
  </si>
  <si>
    <t>FA0201ABD000363</t>
  </si>
  <si>
    <t>667155A100373</t>
  </si>
  <si>
    <t>922183 100121</t>
  </si>
  <si>
    <t>FA0201ACD051305</t>
  </si>
  <si>
    <t>T9000070441100001</t>
  </si>
  <si>
    <t>T9000070441</t>
  </si>
  <si>
    <t>FA0201ACD051355</t>
  </si>
  <si>
    <t>10029R</t>
  </si>
  <si>
    <t>9000066588 100282</t>
  </si>
  <si>
    <t>FA0201ABD000450</t>
  </si>
  <si>
    <t>660287A100092</t>
  </si>
  <si>
    <t>FA0201ACD050226</t>
  </si>
  <si>
    <t>513517 101446</t>
  </si>
  <si>
    <t>FA0201ACD050233</t>
  </si>
  <si>
    <t>632032 100119</t>
  </si>
  <si>
    <t>FA0201ACD051023</t>
  </si>
  <si>
    <t>9000066595 101566</t>
  </si>
  <si>
    <t>FA0201ACD051129</t>
  </si>
  <si>
    <t>10030R</t>
  </si>
  <si>
    <t>9000035864A100153</t>
  </si>
  <si>
    <t>FA0201ACD051307</t>
  </si>
  <si>
    <t>9000060617 100153</t>
  </si>
  <si>
    <t>FA0201ABA002596</t>
  </si>
  <si>
    <t>376522A100033</t>
  </si>
  <si>
    <t>FA0201ABA001998</t>
  </si>
  <si>
    <t>667182A100116</t>
  </si>
  <si>
    <t>FA0201ACD051092</t>
  </si>
  <si>
    <t>9000070440 100001</t>
  </si>
  <si>
    <t>FA0201ACD051395</t>
  </si>
  <si>
    <t>9000070440 100004</t>
  </si>
  <si>
    <t>668662A100047</t>
  </si>
  <si>
    <t>FA0201ABD000438</t>
  </si>
  <si>
    <t>661606 100059</t>
  </si>
  <si>
    <t>FA0201ABA002073</t>
  </si>
  <si>
    <t>919392 100414</t>
  </si>
  <si>
    <t>FA0201ABA002809</t>
  </si>
  <si>
    <t>578937A100044</t>
  </si>
  <si>
    <t>FA0201ABA002482</t>
  </si>
  <si>
    <t>9000031021 100914</t>
  </si>
  <si>
    <t>FA0201ACD051419</t>
  </si>
  <si>
    <t>9000025394 101875</t>
  </si>
  <si>
    <t>FA0201ABD000629</t>
  </si>
  <si>
    <t>9000069185 100026</t>
  </si>
  <si>
    <t>FA0201ABD000217</t>
  </si>
  <si>
    <t>687454 100359</t>
  </si>
  <si>
    <t>FA0201ACD051134</t>
  </si>
  <si>
    <t>9000066596 100279</t>
  </si>
  <si>
    <t>FA0201ABA002782</t>
  </si>
  <si>
    <t>9000061221 100036</t>
  </si>
  <si>
    <t>FA0201ACD051225</t>
  </si>
  <si>
    <t>9000061221 100038</t>
  </si>
  <si>
    <t>9000068520 100043</t>
  </si>
  <si>
    <t>FA0201ABA002362</t>
  </si>
  <si>
    <t>667164A101364</t>
  </si>
  <si>
    <t>FA0201ACD051439</t>
  </si>
  <si>
    <t>667565A100047</t>
  </si>
  <si>
    <t>FA0201ABD000628</t>
  </si>
  <si>
    <t>9000066602 100023</t>
  </si>
  <si>
    <t>FA0201ACD051130</t>
  </si>
  <si>
    <t>649255 100447</t>
  </si>
  <si>
    <t>FA0201ABA002438</t>
  </si>
  <si>
    <t>649255 100553</t>
  </si>
  <si>
    <t>515141B101100</t>
  </si>
  <si>
    <t>FA0201ABA002420</t>
  </si>
  <si>
    <t>667128A101523</t>
  </si>
  <si>
    <t>FA0201ABD000572</t>
  </si>
  <si>
    <t>9000070368 100042</t>
  </si>
  <si>
    <t>FA0201ABA002787</t>
  </si>
  <si>
    <t>920185 100184</t>
  </si>
  <si>
    <t>FA0201ACD051040</t>
  </si>
  <si>
    <t>924796 100035</t>
  </si>
  <si>
    <t>FA0201ACD050924</t>
  </si>
  <si>
    <t>663729 100024</t>
  </si>
  <si>
    <t>FA0201ABD000541</t>
  </si>
  <si>
    <t>930922 100065</t>
  </si>
  <si>
    <t>FA0201ACD051322</t>
  </si>
  <si>
    <t>9000049457 100151</t>
  </si>
  <si>
    <t>FA0201ACD051422</t>
  </si>
  <si>
    <t>FA0201ABA002350</t>
  </si>
  <si>
    <t>9000063371 100007</t>
  </si>
  <si>
    <t>668769A101477</t>
  </si>
  <si>
    <t>FA0201ABA002372</t>
  </si>
  <si>
    <t>9000066712 101381</t>
  </si>
  <si>
    <t>FA0201ACD051377</t>
  </si>
  <si>
    <t>9000066712 101391</t>
  </si>
  <si>
    <t>670873 100137</t>
  </si>
  <si>
    <t>FA0201ACD049717</t>
  </si>
  <si>
    <t>670873 100158</t>
  </si>
  <si>
    <t>9000067544 100535</t>
  </si>
  <si>
    <t>FA0201ACD051166</t>
  </si>
  <si>
    <t>9000066597 100332</t>
  </si>
  <si>
    <t>FA0201ACD050222</t>
  </si>
  <si>
    <t>9000066597 100377</t>
  </si>
  <si>
    <t>9000053399 100191</t>
  </si>
  <si>
    <t>FA0201ACD051336</t>
  </si>
  <si>
    <t>671275A100092</t>
  </si>
  <si>
    <t>FA0201ACD051044</t>
  </si>
  <si>
    <t>9000000358 100431</t>
  </si>
  <si>
    <t>FA0201ACD051381</t>
  </si>
  <si>
    <t>9000000358 100522</t>
  </si>
  <si>
    <t>910115 100154</t>
  </si>
  <si>
    <t>FA0201ACD049732</t>
  </si>
  <si>
    <t>9000066603 100988</t>
  </si>
  <si>
    <t>FA0201ACD049838</t>
  </si>
  <si>
    <t>9000002632 100126</t>
  </si>
  <si>
    <t>FA0201ACD051277</t>
  </si>
  <si>
    <t>9000070425 100003</t>
  </si>
  <si>
    <t>FA0201ACD051351</t>
  </si>
  <si>
    <t>9000069421 100005</t>
  </si>
  <si>
    <t>FA0201ACD050183</t>
  </si>
  <si>
    <t>9000066591 100173</t>
  </si>
  <si>
    <t>FA0201ABD000512</t>
  </si>
  <si>
    <t>9000066593 100003</t>
  </si>
  <si>
    <t>FA0201ACD051433</t>
  </si>
  <si>
    <t>9000001036 103360</t>
  </si>
  <si>
    <t>FA0201ABA002380</t>
  </si>
  <si>
    <t>9000001036 103387</t>
  </si>
  <si>
    <t>667841 102709</t>
  </si>
  <si>
    <t>FA0201ABD000540</t>
  </si>
  <si>
    <t>667173A100552</t>
  </si>
  <si>
    <t>FA0201ABA002314</t>
  </si>
  <si>
    <t>537572B100698</t>
  </si>
  <si>
    <t>FA0201AAD000146</t>
  </si>
  <si>
    <t>661393 100579</t>
  </si>
  <si>
    <t>FA0201ABD000645</t>
  </si>
  <si>
    <t>668671A100217</t>
  </si>
  <si>
    <t>FA0201ABA002759</t>
  </si>
  <si>
    <t>9000070451 100001</t>
  </si>
  <si>
    <t>FA0201ACD051105</t>
  </si>
  <si>
    <t>9000070451 100003</t>
  </si>
  <si>
    <t>9000060150 100010</t>
  </si>
  <si>
    <t>FA0201ABD000253</t>
  </si>
  <si>
    <t>927062 100344</t>
  </si>
  <si>
    <t>FA0201ACD050894</t>
  </si>
  <si>
    <t>667761 100546</t>
  </si>
  <si>
    <t>FA0201ABD000610</t>
  </si>
  <si>
    <t>667725 100721</t>
  </si>
  <si>
    <t>FA0201ABD000677</t>
  </si>
  <si>
    <t>667627 103214</t>
  </si>
  <si>
    <t>FA0201ABD000315</t>
  </si>
  <si>
    <t>667627 103228</t>
  </si>
  <si>
    <t>910035 100063</t>
  </si>
  <si>
    <t>FA0201ABA002803</t>
  </si>
  <si>
    <t>667378A100129</t>
  </si>
  <si>
    <t>FA0201ABD000671</t>
  </si>
  <si>
    <t>667378A100108</t>
  </si>
  <si>
    <t>9000057817 101157</t>
  </si>
  <si>
    <t>FA0201ACD050207</t>
  </si>
  <si>
    <t>FA0201AAD000151</t>
  </si>
  <si>
    <t>9000069293 100008</t>
  </si>
  <si>
    <t>9000067897 100022</t>
  </si>
  <si>
    <t>FA0201ABA002854</t>
  </si>
  <si>
    <t>930958 100206</t>
  </si>
  <si>
    <t>FA0201ABD000626</t>
  </si>
  <si>
    <t>930958 100196</t>
  </si>
  <si>
    <t>9000066605 100140</t>
  </si>
  <si>
    <t>FA0201ACD051408</t>
  </si>
  <si>
    <t>9000069909 100052</t>
  </si>
  <si>
    <t>FA0201ABD000426</t>
  </si>
  <si>
    <t>9000069909 100088</t>
  </si>
  <si>
    <t>929265 100113</t>
  </si>
  <si>
    <t>FA0201ACD051457</t>
  </si>
  <si>
    <t>929265 100163</t>
  </si>
  <si>
    <t>EGPro在庫</t>
  </si>
  <si>
    <t>http://nksv1359.ad.nkc.co.jp/cgi/qcd_DB/qcd_DB_Release/html/Get_EG_Tanaoroshi.cgi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</si>
</sst>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 h:mm;@"/>
    <numFmt numFmtId="177" formatCode="yyyy/mm/dd\ hh:mm;@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b/>
      <u/>
      <sz val="11"/>
      <color theme="1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11"/>
      <color theme="1"/>
      <name val="Microsoft JhengHei"/>
      <family val="2"/>
    </font>
    <font>
      <b/>
      <sz val="11"/>
      <color theme="5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0" xfId="0" applyFont="1">
      <alignment vertical="center"/>
    </xf>
    <xf numFmtId="0" fontId="6" fillId="0" borderId="0" xfId="1" applyFont="1">
      <alignment vertical="center"/>
    </xf>
    <xf numFmtId="0" fontId="2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9" fillId="0" borderId="0" xfId="0" applyFont="1">
      <alignment vertical="center"/>
    </xf>
    <xf numFmtId="177" fontId="2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2" fillId="0" borderId="1" xfId="0" applyNumberFormat="1" applyFont="1" applyBorder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4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5</xdr:row>
      <xdr:rowOff>76200</xdr:rowOff>
    </xdr:from>
    <xdr:to>
      <xdr:col>2</xdr:col>
      <xdr:colOff>152401</xdr:colOff>
      <xdr:row>7</xdr:row>
      <xdr:rowOff>95250</xdr:rowOff>
    </xdr:to>
    <xdr:sp macro="[0]!EG_Impor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2B3D1A9-E244-FBA8-88FC-87AAD52EEE75}"/>
            </a:ext>
          </a:extLst>
        </xdr:cNvPr>
        <xdr:cNvSpPr/>
      </xdr:nvSpPr>
      <xdr:spPr>
        <a:xfrm>
          <a:off x="171451" y="1276350"/>
          <a:ext cx="1676400" cy="4953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EG-Pro</a:t>
          </a:r>
          <a:r>
            <a:rPr kumimoji="1" lang="ja-JP" altLang="en-US" sz="1100"/>
            <a:t>在庫情報入力</a:t>
          </a:r>
        </a:p>
      </xdr:txBody>
    </xdr:sp>
    <xdr:clientData/>
  </xdr:twoCellAnchor>
  <xdr:twoCellAnchor>
    <xdr:from>
      <xdr:col>0</xdr:col>
      <xdr:colOff>190500</xdr:colOff>
      <xdr:row>9</xdr:row>
      <xdr:rowOff>104775</xdr:rowOff>
    </xdr:from>
    <xdr:to>
      <xdr:col>2</xdr:col>
      <xdr:colOff>190500</xdr:colOff>
      <xdr:row>11</xdr:row>
      <xdr:rowOff>47625</xdr:rowOff>
    </xdr:to>
    <xdr:sp macro="[0]!HAIRETSU_Import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E148B860-04C9-4098-B9D8-B3FABF6F4AB7}"/>
            </a:ext>
          </a:extLst>
        </xdr:cNvPr>
        <xdr:cNvSpPr/>
      </xdr:nvSpPr>
      <xdr:spPr>
        <a:xfrm>
          <a:off x="190500" y="2257425"/>
          <a:ext cx="16954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配列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142875</xdr:colOff>
      <xdr:row>1</xdr:row>
      <xdr:rowOff>47625</xdr:rowOff>
    </xdr:from>
    <xdr:to>
      <xdr:col>2</xdr:col>
      <xdr:colOff>647700</xdr:colOff>
      <xdr:row>3</xdr:row>
      <xdr:rowOff>57149</xdr:rowOff>
    </xdr:to>
    <xdr:sp macro="[0]!SETUPREPORT_Import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7E7B3532-EEB1-405C-94D7-938DEFC6266B}"/>
            </a:ext>
          </a:extLst>
        </xdr:cNvPr>
        <xdr:cNvSpPr/>
      </xdr:nvSpPr>
      <xdr:spPr>
        <a:xfrm>
          <a:off x="142875" y="285750"/>
          <a:ext cx="2200275" cy="49529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セットアップレポート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238125</xdr:colOff>
      <xdr:row>30</xdr:row>
      <xdr:rowOff>85724</xdr:rowOff>
    </xdr:from>
    <xdr:to>
      <xdr:col>2</xdr:col>
      <xdr:colOff>219075</xdr:colOff>
      <xdr:row>33</xdr:row>
      <xdr:rowOff>142875</xdr:rowOff>
    </xdr:to>
    <xdr:sp macro="[0]!PrintSplice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BAF4E806-172E-422F-90C9-A870371CAC2D}"/>
            </a:ext>
          </a:extLst>
        </xdr:cNvPr>
        <xdr:cNvSpPr/>
      </xdr:nvSpPr>
      <xdr:spPr>
        <a:xfrm>
          <a:off x="238125" y="7258049"/>
          <a:ext cx="1676400" cy="771526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</a:t>
          </a:r>
          <a:endParaRPr kumimoji="1" lang="en-US" altLang="ja-JP" sz="1100"/>
        </a:p>
        <a:p>
          <a:pPr algn="ctr"/>
          <a:r>
            <a:rPr kumimoji="1" lang="ja-JP" altLang="en-US" sz="1100"/>
            <a:t>部品リスト</a:t>
          </a:r>
        </a:p>
      </xdr:txBody>
    </xdr:sp>
    <xdr:clientData/>
  </xdr:twoCellAnchor>
  <xdr:twoCellAnchor>
    <xdr:from>
      <xdr:col>0</xdr:col>
      <xdr:colOff>238126</xdr:colOff>
      <xdr:row>24</xdr:row>
      <xdr:rowOff>85724</xdr:rowOff>
    </xdr:from>
    <xdr:to>
      <xdr:col>2</xdr:col>
      <xdr:colOff>238126</xdr:colOff>
      <xdr:row>27</xdr:row>
      <xdr:rowOff>123824</xdr:rowOff>
    </xdr:to>
    <xdr:sp macro="[0]!FaildSplice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D26DC809-94D2-4476-8CAB-2869ECAF4550}"/>
            </a:ext>
          </a:extLst>
        </xdr:cNvPr>
        <xdr:cNvSpPr/>
      </xdr:nvSpPr>
      <xdr:spPr>
        <a:xfrm>
          <a:off x="238126" y="5829299"/>
          <a:ext cx="16954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スプライシング切り替え失敗部品リスト</a:t>
          </a:r>
        </a:p>
      </xdr:txBody>
    </xdr:sp>
    <xdr:clientData/>
  </xdr:twoCellAnchor>
  <xdr:twoCellAnchor>
    <xdr:from>
      <xdr:col>2</xdr:col>
      <xdr:colOff>619125</xdr:colOff>
      <xdr:row>42</xdr:row>
      <xdr:rowOff>104775</xdr:rowOff>
    </xdr:from>
    <xdr:to>
      <xdr:col>5</xdr:col>
      <xdr:colOff>228600</xdr:colOff>
      <xdr:row>45</xdr:row>
      <xdr:rowOff>142875</xdr:rowOff>
    </xdr:to>
    <xdr:sp macro="[0]!tana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A869AC1F-7EC3-40DA-85D8-FB10BF8C6916}"/>
            </a:ext>
          </a:extLst>
        </xdr:cNvPr>
        <xdr:cNvSpPr/>
      </xdr:nvSpPr>
      <xdr:spPr>
        <a:xfrm>
          <a:off x="2314575" y="9658350"/>
          <a:ext cx="1666875" cy="752475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②所在不明</a:t>
          </a:r>
          <a:endParaRPr kumimoji="1" lang="en-US" altLang="ja-JP" sz="1100"/>
        </a:p>
        <a:p>
          <a:pPr algn="ctr"/>
          <a:r>
            <a:rPr kumimoji="1" lang="ja-JP" altLang="en-US" sz="1100"/>
            <a:t>リスト作成</a:t>
          </a:r>
        </a:p>
      </xdr:txBody>
    </xdr:sp>
    <xdr:clientData/>
  </xdr:twoCellAnchor>
  <xdr:twoCellAnchor>
    <xdr:from>
      <xdr:col>0</xdr:col>
      <xdr:colOff>266700</xdr:colOff>
      <xdr:row>42</xdr:row>
      <xdr:rowOff>114300</xdr:rowOff>
    </xdr:from>
    <xdr:to>
      <xdr:col>2</xdr:col>
      <xdr:colOff>276226</xdr:colOff>
      <xdr:row>45</xdr:row>
      <xdr:rowOff>180974</xdr:rowOff>
    </xdr:to>
    <xdr:sp macro="[0]!EG_Import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CDFC183D-E0D6-4DAC-AD60-EFECD9B58295}"/>
            </a:ext>
          </a:extLst>
        </xdr:cNvPr>
        <xdr:cNvSpPr/>
      </xdr:nvSpPr>
      <xdr:spPr>
        <a:xfrm>
          <a:off x="266700" y="9667875"/>
          <a:ext cx="1704976" cy="781049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</a:t>
          </a:r>
          <a:r>
            <a:rPr kumimoji="1" lang="en-US" altLang="ja-JP" sz="1100"/>
            <a:t>EG-Pro</a:t>
          </a:r>
          <a:r>
            <a:rPr kumimoji="1" lang="ja-JP" altLang="en-US" sz="1100"/>
            <a:t>在庫情報</a:t>
          </a:r>
          <a:endParaRPr kumimoji="1" lang="en-US" altLang="ja-JP" sz="1100"/>
        </a:p>
        <a:p>
          <a:pPr algn="ctr"/>
          <a:r>
            <a:rPr kumimoji="1" lang="ja-JP" altLang="en-US" sz="1100"/>
            <a:t>入力</a:t>
          </a:r>
        </a:p>
      </xdr:txBody>
    </xdr:sp>
    <xdr:clientData/>
  </xdr:twoCellAnchor>
  <xdr:twoCellAnchor>
    <xdr:from>
      <xdr:col>0</xdr:col>
      <xdr:colOff>257175</xdr:colOff>
      <xdr:row>36</xdr:row>
      <xdr:rowOff>76201</xdr:rowOff>
    </xdr:from>
    <xdr:to>
      <xdr:col>2</xdr:col>
      <xdr:colOff>238125</xdr:colOff>
      <xdr:row>38</xdr:row>
      <xdr:rowOff>85725</xdr:rowOff>
    </xdr:to>
    <xdr:sp macro="[0]!ManualNyuko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554E439-E51B-415C-932D-6D68412F4010}"/>
            </a:ext>
          </a:extLst>
        </xdr:cNvPr>
        <xdr:cNvSpPr/>
      </xdr:nvSpPr>
      <xdr:spPr>
        <a:xfrm>
          <a:off x="257175" y="8677276"/>
          <a:ext cx="1676400" cy="485774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入庫バーコード作成</a:t>
          </a:r>
        </a:p>
      </xdr:txBody>
    </xdr:sp>
    <xdr:clientData/>
  </xdr:twoCellAnchor>
  <xdr:twoCellAnchor>
    <xdr:from>
      <xdr:col>0</xdr:col>
      <xdr:colOff>228600</xdr:colOff>
      <xdr:row>18</xdr:row>
      <xdr:rowOff>95249</xdr:rowOff>
    </xdr:from>
    <xdr:to>
      <xdr:col>2</xdr:col>
      <xdr:colOff>114300</xdr:colOff>
      <xdr:row>21</xdr:row>
      <xdr:rowOff>133349</xdr:rowOff>
    </xdr:to>
    <xdr:sp macro="[0]!FaildSetUp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0A725054-F989-4443-8C3F-A3E09951D0E9}"/>
            </a:ext>
          </a:extLst>
        </xdr:cNvPr>
        <xdr:cNvSpPr/>
      </xdr:nvSpPr>
      <xdr:spPr>
        <a:xfrm>
          <a:off x="228600" y="4410074"/>
          <a:ext cx="15811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セットアップ情報</a:t>
          </a:r>
          <a:endParaRPr kumimoji="1" lang="en-US" altLang="ja-JP" sz="1100"/>
        </a:p>
        <a:p>
          <a:pPr algn="ctr"/>
          <a:r>
            <a:rPr kumimoji="1" lang="ja-JP" altLang="en-US" sz="1100"/>
            <a:t>取得失敗リスト</a:t>
          </a:r>
        </a:p>
      </xdr:txBody>
    </xdr:sp>
    <xdr:clientData/>
  </xdr:twoCellAnchor>
  <xdr:twoCellAnchor>
    <xdr:from>
      <xdr:col>0</xdr:col>
      <xdr:colOff>266699</xdr:colOff>
      <xdr:row>48</xdr:row>
      <xdr:rowOff>85726</xdr:rowOff>
    </xdr:from>
    <xdr:to>
      <xdr:col>2</xdr:col>
      <xdr:colOff>247650</xdr:colOff>
      <xdr:row>50</xdr:row>
      <xdr:rowOff>152400</xdr:rowOff>
    </xdr:to>
    <xdr:sp macro="[0]!GenbaList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C902A5DA-97A9-4F4A-A4A3-E7E0978DB256}"/>
            </a:ext>
          </a:extLst>
        </xdr:cNvPr>
        <xdr:cNvSpPr/>
      </xdr:nvSpPr>
      <xdr:spPr>
        <a:xfrm>
          <a:off x="266699" y="110680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現場部品リスト作成</a:t>
          </a:r>
        </a:p>
      </xdr:txBody>
    </xdr:sp>
    <xdr:clientData/>
  </xdr:twoCellAnchor>
  <xdr:twoCellAnchor>
    <xdr:from>
      <xdr:col>2</xdr:col>
      <xdr:colOff>485774</xdr:colOff>
      <xdr:row>56</xdr:row>
      <xdr:rowOff>9526</xdr:rowOff>
    </xdr:from>
    <xdr:to>
      <xdr:col>5</xdr:col>
      <xdr:colOff>104775</xdr:colOff>
      <xdr:row>58</xdr:row>
      <xdr:rowOff>76200</xdr:rowOff>
    </xdr:to>
    <xdr:sp macro="[0]!idouSQL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7F61BF4A-08DF-481C-89C5-D33DF8153502}"/>
            </a:ext>
          </a:extLst>
        </xdr:cNvPr>
        <xdr:cNvSpPr/>
      </xdr:nvSpPr>
      <xdr:spPr>
        <a:xfrm>
          <a:off x="2181224" y="133921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②倉庫移動</a:t>
          </a:r>
          <a:r>
            <a:rPr kumimoji="1" lang="en-US" altLang="ja-JP" sz="1100"/>
            <a:t>SQL</a:t>
          </a:r>
          <a:r>
            <a:rPr kumimoji="1" lang="ja-JP" altLang="en-US" sz="1100"/>
            <a:t>作成</a:t>
          </a:r>
          <a:endParaRPr kumimoji="1" lang="en-US" altLang="ja-JP" sz="1100"/>
        </a:p>
      </xdr:txBody>
    </xdr:sp>
    <xdr:clientData/>
  </xdr:twoCellAnchor>
  <xdr:twoCellAnchor>
    <xdr:from>
      <xdr:col>0</xdr:col>
      <xdr:colOff>123824</xdr:colOff>
      <xdr:row>56</xdr:row>
      <xdr:rowOff>19051</xdr:rowOff>
    </xdr:from>
    <xdr:to>
      <xdr:col>2</xdr:col>
      <xdr:colOff>285750</xdr:colOff>
      <xdr:row>58</xdr:row>
      <xdr:rowOff>85725</xdr:rowOff>
    </xdr:to>
    <xdr:sp macro="[0]!GenbaList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5AAE04A0-3885-4934-838C-05BB8E81DB36}"/>
            </a:ext>
          </a:extLst>
        </xdr:cNvPr>
        <xdr:cNvSpPr/>
      </xdr:nvSpPr>
      <xdr:spPr>
        <a:xfrm>
          <a:off x="123824" y="13401676"/>
          <a:ext cx="1857376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①現場部品リスト作成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1</xdr:row>
      <xdr:rowOff>38100</xdr:rowOff>
    </xdr:from>
    <xdr:to>
      <xdr:col>4</xdr:col>
      <xdr:colOff>342900</xdr:colOff>
      <xdr:row>4</xdr:row>
      <xdr:rowOff>142875</xdr:rowOff>
    </xdr:to>
    <xdr:sp macro="[0]!Nyuk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FF61FA2-20D5-48F3-A195-1028FECB1EAF}"/>
            </a:ext>
          </a:extLst>
        </xdr:cNvPr>
        <xdr:cNvSpPr/>
      </xdr:nvSpPr>
      <xdr:spPr>
        <a:xfrm>
          <a:off x="2057400" y="276225"/>
          <a:ext cx="1028700" cy="81915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入庫用</a:t>
          </a:r>
          <a:endParaRPr kumimoji="1" lang="en-US" altLang="ja-JP" sz="1100"/>
        </a:p>
        <a:p>
          <a:pPr algn="ctr"/>
          <a:r>
            <a:rPr kumimoji="1" lang="ja-JP" altLang="en-US" sz="1100"/>
            <a:t>バーコード</a:t>
          </a:r>
        </a:p>
      </xdr:txBody>
    </xdr:sp>
    <xdr:clientData/>
  </xdr:twoCellAnchor>
  <xdr:twoCellAnchor>
    <xdr:from>
      <xdr:col>2</xdr:col>
      <xdr:colOff>866774</xdr:colOff>
      <xdr:row>9</xdr:row>
      <xdr:rowOff>133349</xdr:rowOff>
    </xdr:from>
    <xdr:to>
      <xdr:col>4</xdr:col>
      <xdr:colOff>409574</xdr:colOff>
      <xdr:row>13</xdr:row>
      <xdr:rowOff>0</xdr:rowOff>
    </xdr:to>
    <xdr:sp macro="[0]!Shukko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29E301B9-FCEF-4D57-9CB8-DA5156615DA0}"/>
            </a:ext>
          </a:extLst>
        </xdr:cNvPr>
        <xdr:cNvSpPr/>
      </xdr:nvSpPr>
      <xdr:spPr>
        <a:xfrm>
          <a:off x="2057399" y="2276474"/>
          <a:ext cx="1095375" cy="819151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出庫用</a:t>
          </a:r>
          <a:br>
            <a:rPr kumimoji="1" lang="en-US" altLang="ja-JP" sz="1100"/>
          </a:br>
          <a:r>
            <a:rPr kumimoji="1" lang="ja-JP" altLang="en-US" sz="1100"/>
            <a:t>バーコード</a:t>
          </a:r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nksv1359.ad.nkc.co.jp/cgi/qcd_DB/qcd_DB_Release/html/Get_EG_Tanaoroshi.cgi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250DD-CB09-4A51-BBD9-D63FC9CB2DDE}">
  <sheetPr codeName="Sheet1">
    <tabColor theme="0" tint="-0.499984740745262"/>
    <pageSetUpPr fitToPage="1"/>
  </sheetPr>
  <dimension ref="A1:Q1000"/>
  <sheetViews>
    <sheetView workbookViewId="0">
      <selection activeCell="C1" sqref="C1"/>
    </sheetView>
  </sheetViews>
  <sheetFormatPr defaultRowHeight="18" x14ac:dyDescent="0.45"/>
  <cols>
    <col min="1" max="8" width="8.8984375" style="3" customWidth="1"/>
    <col min="9" max="9" width="15.3984375" bestFit="1" customWidth="1"/>
    <col min="10" max="10" width="13" bestFit="1" customWidth="1"/>
    <col min="11" max="11" width="25.5" style="2" bestFit="1" customWidth="1"/>
    <col min="12" max="13" width="21.3984375" customWidth="1"/>
    <col min="14" max="14" width="25.5" bestFit="1" customWidth="1"/>
    <col min="15" max="15" width="21.3984375" customWidth="1"/>
    <col min="16" max="16" width="23.5" bestFit="1" customWidth="1"/>
    <col min="17" max="17" width="31.69921875" bestFit="1" customWidth="1"/>
  </cols>
  <sheetData>
    <row r="1" spans="1:17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8</v>
      </c>
      <c r="J1" t="s">
        <v>9</v>
      </c>
      <c r="K1" s="2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45">
      <c r="A2" s="3">
        <f>配列!B2</f>
        <v>0</v>
      </c>
      <c r="B2" s="3" t="e">
        <f>_xlfn.XLOOKUP(A2,対応表!A:A,対応表!B:B)</f>
        <v>#N/A</v>
      </c>
      <c r="C2" s="3">
        <f>配列!C2</f>
        <v>0</v>
      </c>
      <c r="D2" s="3" t="str">
        <f>IF(配列!E2="",RIGHT(配列!D2&amp;配列!E2,4)&amp;"L",RIGHT(配列!D2&amp;配列!E2,5))</f>
        <v>L</v>
      </c>
      <c r="E2" s="3">
        <f t="shared" ref="E2:E65" si="0">IF(J2=0,,B2&amp;D2&amp;J2)</f>
        <v>0</v>
      </c>
      <c r="F2" s="3" t="e">
        <f>_xlfn.XLOOKUP(E2,セットアップレポート_紐づけ用!A:A,セットアップレポート_紐づけ用!J:J)</f>
        <v>#N/A</v>
      </c>
      <c r="G2" s="3" t="e">
        <f>_xlfn.XLOOKUP(E2,セットアップレポート_紐づけ用!A:A,セットアップレポート_紐づけ用!V:V)</f>
        <v>#N/A</v>
      </c>
      <c r="H2" s="3">
        <f>2*RIGHT(A2,1)-2+C2</f>
        <v>-2</v>
      </c>
      <c r="I2" t="str">
        <f>IF(J2=0,"",IF(配列!E2="",マクロ実行!$A$16 &amp;" T"&amp;H2&amp;"-"&amp;RIGHT(配列!D2&amp;配列!E2,2),マクロ実行!$A$16 &amp;" T"&amp;H2&amp;"-"&amp;RIGHT(配列!D2&amp;配列!E2,3)))</f>
        <v/>
      </c>
      <c r="J2">
        <f>配列!F2</f>
        <v>0</v>
      </c>
      <c r="K2" s="2" t="e">
        <f>_xlfn.XLOOKUP(E2,セットアップレポート_紐づけ用!A:A,セットアップレポート_紐づけ用!R:R)</f>
        <v>#N/A</v>
      </c>
      <c r="L2" t="e">
        <f t="shared" ref="L2:L65" si="1">IF(LEN(F2)=13,"    "&amp;F2,F2)</f>
        <v>#N/A</v>
      </c>
      <c r="M2" t="e">
        <f>_xlfn.XLOOKUP(L2,EGPro!A:A,EGPro!D:D)</f>
        <v>#N/A</v>
      </c>
      <c r="N2" t="e">
        <f>_xlfn.XLOOKUP(L2,EGPro!A:A,EGPro!C:C)</f>
        <v>#N/A</v>
      </c>
      <c r="O2" t="e">
        <f t="shared" ref="O2:O65" si="2">IF(LEN(G2)=13,"    "&amp;G2,G2)</f>
        <v>#N/A</v>
      </c>
      <c r="P2" t="e">
        <f>_xlfn.XLOOKUP(O2,EGPro!A:A,EGPro!D:D)</f>
        <v>#N/A</v>
      </c>
      <c r="Q2" t="e">
        <f>_xlfn.XLOOKUP(O2,EGPro!A:A,EGPro!C:C)</f>
        <v>#N/A</v>
      </c>
    </row>
    <row r="3" spans="1:17" x14ac:dyDescent="0.45">
      <c r="A3" s="3">
        <f>配列!B3</f>
        <v>0</v>
      </c>
      <c r="B3" s="3" t="e">
        <f>_xlfn.XLOOKUP(A3,対応表!A:A,対応表!B:B)</f>
        <v>#N/A</v>
      </c>
      <c r="C3" s="3">
        <f>配列!C3</f>
        <v>0</v>
      </c>
      <c r="D3" s="3" t="str">
        <f>IF(配列!E3="",RIGHT(配列!D3&amp;配列!E3,4)&amp;"L",RIGHT(配列!D3&amp;配列!E3,5))</f>
        <v>L</v>
      </c>
      <c r="E3" s="3">
        <f t="shared" si="0"/>
        <v>0</v>
      </c>
      <c r="F3" s="3" t="e">
        <f>_xlfn.XLOOKUP(E3,セットアップレポート_紐づけ用!A:A,セットアップレポート_紐づけ用!J:J)</f>
        <v>#N/A</v>
      </c>
      <c r="G3" s="3" t="e">
        <f>_xlfn.XLOOKUP(E3,セットアップレポート_紐づけ用!A:A,セットアップレポート_紐づけ用!V:V)</f>
        <v>#N/A</v>
      </c>
      <c r="H3" s="3">
        <f t="shared" ref="H3:H66" si="3">2*RIGHT(A3,1)-2+C3</f>
        <v>-2</v>
      </c>
      <c r="I3" t="str">
        <f>IF(J3=0,"",IF(配列!E3="",マクロ実行!$A$16 &amp;" T"&amp;H3&amp;"-"&amp;RIGHT(配列!D3&amp;配列!E3,2),マクロ実行!$A$16 &amp;" T"&amp;H3&amp;"-"&amp;RIGHT(配列!D3&amp;配列!E3,3)))</f>
        <v/>
      </c>
      <c r="J3">
        <f>配列!F3</f>
        <v>0</v>
      </c>
      <c r="K3" s="2" t="e">
        <f>_xlfn.XLOOKUP(E3,セットアップレポート_紐づけ用!A:A,セットアップレポート_紐づけ用!R:R)</f>
        <v>#N/A</v>
      </c>
      <c r="L3" t="e">
        <f t="shared" si="1"/>
        <v>#N/A</v>
      </c>
      <c r="M3" t="e">
        <f>_xlfn.XLOOKUP(L3,EGPro!A:A,EGPro!D:D)</f>
        <v>#N/A</v>
      </c>
      <c r="N3" t="e">
        <f>_xlfn.XLOOKUP(L3,EGPro!A:A,EGPro!C:C)</f>
        <v>#N/A</v>
      </c>
      <c r="O3" t="e">
        <f t="shared" si="2"/>
        <v>#N/A</v>
      </c>
      <c r="P3" t="e">
        <f>_xlfn.XLOOKUP(O3,EGPro!A:A,EGPro!D:D)</f>
        <v>#N/A</v>
      </c>
      <c r="Q3" t="e">
        <f>_xlfn.XLOOKUP(O3,EGPro!A:A,EGPro!C:C)</f>
        <v>#N/A</v>
      </c>
    </row>
    <row r="4" spans="1:17" x14ac:dyDescent="0.45">
      <c r="A4" s="3">
        <f>配列!B4</f>
        <v>0</v>
      </c>
      <c r="B4" s="3" t="e">
        <f>_xlfn.XLOOKUP(A4,対応表!A:A,対応表!B:B)</f>
        <v>#N/A</v>
      </c>
      <c r="C4" s="3">
        <f>配列!C4</f>
        <v>0</v>
      </c>
      <c r="D4" s="3" t="str">
        <f>IF(配列!E4="",RIGHT(配列!D4&amp;配列!E4,4)&amp;"L",RIGHT(配列!D4&amp;配列!E4,5))</f>
        <v>L</v>
      </c>
      <c r="E4" s="3">
        <f t="shared" si="0"/>
        <v>0</v>
      </c>
      <c r="F4" s="3" t="e">
        <f>_xlfn.XLOOKUP(E4,セットアップレポート_紐づけ用!A:A,セットアップレポート_紐づけ用!J:J)</f>
        <v>#N/A</v>
      </c>
      <c r="G4" s="3" t="e">
        <f>_xlfn.XLOOKUP(E4,セットアップレポート_紐づけ用!A:A,セットアップレポート_紐づけ用!V:V)</f>
        <v>#N/A</v>
      </c>
      <c r="H4" s="3">
        <f t="shared" si="3"/>
        <v>-2</v>
      </c>
      <c r="I4" t="str">
        <f>IF(J4=0,"",IF(配列!E4="",マクロ実行!$A$16 &amp;" T"&amp;H4&amp;"-"&amp;RIGHT(配列!D4&amp;配列!E4,2),マクロ実行!$A$16 &amp;" T"&amp;H4&amp;"-"&amp;RIGHT(配列!D4&amp;配列!E4,3)))</f>
        <v/>
      </c>
      <c r="J4">
        <f>配列!F4</f>
        <v>0</v>
      </c>
      <c r="K4" s="2" t="e">
        <f>_xlfn.XLOOKUP(E4,セットアップレポート_紐づけ用!A:A,セットアップレポート_紐づけ用!R:R)</f>
        <v>#N/A</v>
      </c>
      <c r="L4" t="e">
        <f t="shared" si="1"/>
        <v>#N/A</v>
      </c>
      <c r="M4" t="e">
        <f>_xlfn.XLOOKUP(L4,EGPro!A:A,EGPro!D:D)</f>
        <v>#N/A</v>
      </c>
      <c r="N4" t="e">
        <f>_xlfn.XLOOKUP(L4,EGPro!A:A,EGPro!C:C)</f>
        <v>#N/A</v>
      </c>
      <c r="O4" t="e">
        <f t="shared" si="2"/>
        <v>#N/A</v>
      </c>
      <c r="P4" t="e">
        <f>_xlfn.XLOOKUP(O4,EGPro!A:A,EGPro!D:D)</f>
        <v>#N/A</v>
      </c>
      <c r="Q4" t="e">
        <f>_xlfn.XLOOKUP(O4,EGPro!A:A,EGPro!C:C)</f>
        <v>#N/A</v>
      </c>
    </row>
    <row r="5" spans="1:17" x14ac:dyDescent="0.45">
      <c r="A5" s="3">
        <f>配列!B5</f>
        <v>0</v>
      </c>
      <c r="B5" s="3" t="e">
        <f>_xlfn.XLOOKUP(A5,対応表!A:A,対応表!B:B)</f>
        <v>#N/A</v>
      </c>
      <c r="C5" s="3">
        <f>配列!C5</f>
        <v>0</v>
      </c>
      <c r="D5" s="3" t="str">
        <f>IF(配列!E5="",RIGHT(配列!D5&amp;配列!E5,4)&amp;"L",RIGHT(配列!D5&amp;配列!E5,5))</f>
        <v>L</v>
      </c>
      <c r="E5" s="3">
        <f t="shared" si="0"/>
        <v>0</v>
      </c>
      <c r="F5" s="3" t="e">
        <f>_xlfn.XLOOKUP(E5,セットアップレポート_紐づけ用!A:A,セットアップレポート_紐づけ用!J:J)</f>
        <v>#N/A</v>
      </c>
      <c r="G5" s="3" t="e">
        <f>_xlfn.XLOOKUP(E5,セットアップレポート_紐づけ用!A:A,セットアップレポート_紐づけ用!V:V)</f>
        <v>#N/A</v>
      </c>
      <c r="H5" s="3">
        <f t="shared" si="3"/>
        <v>-2</v>
      </c>
      <c r="I5" t="str">
        <f>IF(J5=0,"",IF(配列!E5="",マクロ実行!$A$16 &amp;" T"&amp;H5&amp;"-"&amp;RIGHT(配列!D5&amp;配列!E5,2),マクロ実行!$A$16 &amp;" T"&amp;H5&amp;"-"&amp;RIGHT(配列!D5&amp;配列!E5,3)))</f>
        <v/>
      </c>
      <c r="J5">
        <f>配列!F5</f>
        <v>0</v>
      </c>
      <c r="K5" s="2" t="e">
        <f>_xlfn.XLOOKUP(E5,セットアップレポート_紐づけ用!A:A,セットアップレポート_紐づけ用!R:R)</f>
        <v>#N/A</v>
      </c>
      <c r="L5" t="e">
        <f t="shared" si="1"/>
        <v>#N/A</v>
      </c>
      <c r="M5" t="e">
        <f>_xlfn.XLOOKUP(L5,EGPro!A:A,EGPro!D:D)</f>
        <v>#N/A</v>
      </c>
      <c r="N5" t="e">
        <f>_xlfn.XLOOKUP(L5,EGPro!A:A,EGPro!C:C)</f>
        <v>#N/A</v>
      </c>
      <c r="O5" t="e">
        <f t="shared" si="2"/>
        <v>#N/A</v>
      </c>
      <c r="P5" t="e">
        <f>_xlfn.XLOOKUP(O5,EGPro!A:A,EGPro!D:D)</f>
        <v>#N/A</v>
      </c>
      <c r="Q5" t="e">
        <f>_xlfn.XLOOKUP(O5,EGPro!A:A,EGPro!C:C)</f>
        <v>#N/A</v>
      </c>
    </row>
    <row r="6" spans="1:17" x14ac:dyDescent="0.45">
      <c r="A6" s="3">
        <f>配列!B6</f>
        <v>0</v>
      </c>
      <c r="B6" s="3" t="e">
        <f>_xlfn.XLOOKUP(A6,対応表!A:A,対応表!B:B)</f>
        <v>#N/A</v>
      </c>
      <c r="C6" s="3">
        <f>配列!C6</f>
        <v>0</v>
      </c>
      <c r="D6" s="3" t="str">
        <f>IF(配列!E6="",RIGHT(配列!D6&amp;配列!E6,4)&amp;"L",RIGHT(配列!D6&amp;配列!E6,5))</f>
        <v>L</v>
      </c>
      <c r="E6" s="3">
        <f t="shared" si="0"/>
        <v>0</v>
      </c>
      <c r="F6" s="3" t="e">
        <f>_xlfn.XLOOKUP(E6,セットアップレポート_紐づけ用!A:A,セットアップレポート_紐づけ用!J:J)</f>
        <v>#N/A</v>
      </c>
      <c r="G6" s="3" t="e">
        <f>_xlfn.XLOOKUP(E6,セットアップレポート_紐づけ用!A:A,セットアップレポート_紐づけ用!V:V)</f>
        <v>#N/A</v>
      </c>
      <c r="H6" s="3">
        <f t="shared" si="3"/>
        <v>-2</v>
      </c>
      <c r="I6" t="str">
        <f>IF(J6=0,"",IF(配列!E6="",マクロ実行!$A$16 &amp;" T"&amp;H6&amp;"-"&amp;RIGHT(配列!D6&amp;配列!E6,2),マクロ実行!$A$16 &amp;" T"&amp;H6&amp;"-"&amp;RIGHT(配列!D6&amp;配列!E6,3)))</f>
        <v/>
      </c>
      <c r="J6">
        <f>配列!F6</f>
        <v>0</v>
      </c>
      <c r="K6" s="2" t="e">
        <f>_xlfn.XLOOKUP(E6,セットアップレポート_紐づけ用!A:A,セットアップレポート_紐づけ用!R:R)</f>
        <v>#N/A</v>
      </c>
      <c r="L6" t="e">
        <f t="shared" si="1"/>
        <v>#N/A</v>
      </c>
      <c r="M6" t="e">
        <f>_xlfn.XLOOKUP(L6,EGPro!A:A,EGPro!D:D)</f>
        <v>#N/A</v>
      </c>
      <c r="N6" t="e">
        <f>_xlfn.XLOOKUP(L6,EGPro!A:A,EGPro!C:C)</f>
        <v>#N/A</v>
      </c>
      <c r="O6" t="e">
        <f t="shared" si="2"/>
        <v>#N/A</v>
      </c>
      <c r="P6" t="e">
        <f>_xlfn.XLOOKUP(O6,EGPro!A:A,EGPro!D:D)</f>
        <v>#N/A</v>
      </c>
      <c r="Q6" t="e">
        <f>_xlfn.XLOOKUP(O6,EGPro!A:A,EGPro!C:C)</f>
        <v>#N/A</v>
      </c>
    </row>
    <row r="7" spans="1:17" x14ac:dyDescent="0.45">
      <c r="A7" s="3">
        <f>配列!B7</f>
        <v>0</v>
      </c>
      <c r="B7" s="3" t="e">
        <f>_xlfn.XLOOKUP(A7,対応表!A:A,対応表!B:B)</f>
        <v>#N/A</v>
      </c>
      <c r="C7" s="3">
        <f>配列!C7</f>
        <v>0</v>
      </c>
      <c r="D7" s="3" t="str">
        <f>IF(配列!E7="",RIGHT(配列!D7&amp;配列!E7,4)&amp;"L",RIGHT(配列!D7&amp;配列!E7,5))</f>
        <v>L</v>
      </c>
      <c r="E7" s="3">
        <f t="shared" si="0"/>
        <v>0</v>
      </c>
      <c r="F7" s="3" t="e">
        <f>_xlfn.XLOOKUP(E7,セットアップレポート_紐づけ用!A:A,セットアップレポート_紐づけ用!J:J)</f>
        <v>#N/A</v>
      </c>
      <c r="G7" s="3" t="e">
        <f>_xlfn.XLOOKUP(E7,セットアップレポート_紐づけ用!A:A,セットアップレポート_紐づけ用!V:V)</f>
        <v>#N/A</v>
      </c>
      <c r="H7" s="3">
        <f t="shared" si="3"/>
        <v>-2</v>
      </c>
      <c r="I7" t="str">
        <f>IF(J7=0,"",IF(配列!E7="",マクロ実行!$A$16 &amp;" T"&amp;H7&amp;"-"&amp;RIGHT(配列!D7&amp;配列!E7,2),マクロ実行!$A$16 &amp;" T"&amp;H7&amp;"-"&amp;RIGHT(配列!D7&amp;配列!E7,3)))</f>
        <v/>
      </c>
      <c r="J7">
        <f>配列!F7</f>
        <v>0</v>
      </c>
      <c r="K7" s="2" t="e">
        <f>_xlfn.XLOOKUP(E7,セットアップレポート_紐づけ用!A:A,セットアップレポート_紐づけ用!R:R)</f>
        <v>#N/A</v>
      </c>
      <c r="L7" t="e">
        <f t="shared" si="1"/>
        <v>#N/A</v>
      </c>
      <c r="M7" t="e">
        <f>_xlfn.XLOOKUP(L7,EGPro!A:A,EGPro!D:D)</f>
        <v>#N/A</v>
      </c>
      <c r="N7" t="e">
        <f>_xlfn.XLOOKUP(L7,EGPro!A:A,EGPro!C:C)</f>
        <v>#N/A</v>
      </c>
      <c r="O7" t="e">
        <f t="shared" si="2"/>
        <v>#N/A</v>
      </c>
      <c r="P7" t="e">
        <f>_xlfn.XLOOKUP(O7,EGPro!A:A,EGPro!D:D)</f>
        <v>#N/A</v>
      </c>
      <c r="Q7" t="e">
        <f>_xlfn.XLOOKUP(O7,EGPro!A:A,EGPro!C:C)</f>
        <v>#N/A</v>
      </c>
    </row>
    <row r="8" spans="1:17" x14ac:dyDescent="0.45">
      <c r="A8" s="3">
        <f>配列!B8</f>
        <v>0</v>
      </c>
      <c r="B8" s="3" t="e">
        <f>_xlfn.XLOOKUP(A8,対応表!A:A,対応表!B:B)</f>
        <v>#N/A</v>
      </c>
      <c r="C8" s="3">
        <f>配列!C8</f>
        <v>0</v>
      </c>
      <c r="D8" s="3" t="str">
        <f>IF(配列!E8="",RIGHT(配列!D8&amp;配列!E8,4)&amp;"L",RIGHT(配列!D8&amp;配列!E8,5))</f>
        <v>L</v>
      </c>
      <c r="E8" s="3">
        <f t="shared" si="0"/>
        <v>0</v>
      </c>
      <c r="F8" s="3" t="e">
        <f>_xlfn.XLOOKUP(E8,セットアップレポート_紐づけ用!A:A,セットアップレポート_紐づけ用!J:J)</f>
        <v>#N/A</v>
      </c>
      <c r="G8" s="3" t="e">
        <f>_xlfn.XLOOKUP(E8,セットアップレポート_紐づけ用!A:A,セットアップレポート_紐づけ用!V:V)</f>
        <v>#N/A</v>
      </c>
      <c r="H8" s="3">
        <f t="shared" si="3"/>
        <v>-2</v>
      </c>
      <c r="I8" t="str">
        <f>IF(J8=0,"",IF(配列!E8="",マクロ実行!$A$16 &amp;" T"&amp;H8&amp;"-"&amp;RIGHT(配列!D8&amp;配列!E8,2),マクロ実行!$A$16 &amp;" T"&amp;H8&amp;"-"&amp;RIGHT(配列!D8&amp;配列!E8,3)))</f>
        <v/>
      </c>
      <c r="J8">
        <f>配列!F8</f>
        <v>0</v>
      </c>
      <c r="K8" s="2" t="e">
        <f>_xlfn.XLOOKUP(E8,セットアップレポート_紐づけ用!A:A,セットアップレポート_紐づけ用!R:R)</f>
        <v>#N/A</v>
      </c>
      <c r="L8" t="e">
        <f t="shared" si="1"/>
        <v>#N/A</v>
      </c>
      <c r="M8" t="e">
        <f>_xlfn.XLOOKUP(L8,EGPro!A:A,EGPro!D:D)</f>
        <v>#N/A</v>
      </c>
      <c r="N8" t="e">
        <f>_xlfn.XLOOKUP(L8,EGPro!A:A,EGPro!C:C)</f>
        <v>#N/A</v>
      </c>
      <c r="O8" t="e">
        <f t="shared" si="2"/>
        <v>#N/A</v>
      </c>
      <c r="P8" t="e">
        <f>_xlfn.XLOOKUP(O8,EGPro!A:A,EGPro!D:D)</f>
        <v>#N/A</v>
      </c>
      <c r="Q8" t="e">
        <f>_xlfn.XLOOKUP(O8,EGPro!A:A,EGPro!C:C)</f>
        <v>#N/A</v>
      </c>
    </row>
    <row r="9" spans="1:17" x14ac:dyDescent="0.45">
      <c r="A9" s="3">
        <f>配列!B9</f>
        <v>0</v>
      </c>
      <c r="B9" s="3" t="e">
        <f>_xlfn.XLOOKUP(A9,対応表!A:A,対応表!B:B)</f>
        <v>#N/A</v>
      </c>
      <c r="C9" s="3">
        <f>配列!C9</f>
        <v>0</v>
      </c>
      <c r="D9" s="3" t="str">
        <f>IF(配列!E9="",RIGHT(配列!D9&amp;配列!E9,4)&amp;"L",RIGHT(配列!D9&amp;配列!E9,5))</f>
        <v>L</v>
      </c>
      <c r="E9" s="3">
        <f t="shared" si="0"/>
        <v>0</v>
      </c>
      <c r="F9" s="3" t="e">
        <f>_xlfn.XLOOKUP(E9,セットアップレポート_紐づけ用!A:A,セットアップレポート_紐づけ用!J:J)</f>
        <v>#N/A</v>
      </c>
      <c r="G9" s="3" t="e">
        <f>_xlfn.XLOOKUP(E9,セットアップレポート_紐づけ用!A:A,セットアップレポート_紐づけ用!V:V)</f>
        <v>#N/A</v>
      </c>
      <c r="H9" s="3">
        <f t="shared" si="3"/>
        <v>-2</v>
      </c>
      <c r="I9" t="str">
        <f>IF(J9=0,"",IF(配列!E9="",マクロ実行!$A$16 &amp;" T"&amp;H9&amp;"-"&amp;RIGHT(配列!D9&amp;配列!E9,2),マクロ実行!$A$16 &amp;" T"&amp;H9&amp;"-"&amp;RIGHT(配列!D9&amp;配列!E9,3)))</f>
        <v/>
      </c>
      <c r="J9">
        <f>配列!F9</f>
        <v>0</v>
      </c>
      <c r="K9" s="2" t="e">
        <f>_xlfn.XLOOKUP(E9,セットアップレポート_紐づけ用!A:A,セットアップレポート_紐づけ用!R:R)</f>
        <v>#N/A</v>
      </c>
      <c r="L9" t="e">
        <f t="shared" si="1"/>
        <v>#N/A</v>
      </c>
      <c r="M9" t="e">
        <f>_xlfn.XLOOKUP(L9,EGPro!A:A,EGPro!D:D)</f>
        <v>#N/A</v>
      </c>
      <c r="N9" t="e">
        <f>_xlfn.XLOOKUP(L9,EGPro!A:A,EGPro!C:C)</f>
        <v>#N/A</v>
      </c>
      <c r="O9" t="e">
        <f t="shared" si="2"/>
        <v>#N/A</v>
      </c>
      <c r="P9" t="e">
        <f>_xlfn.XLOOKUP(O9,EGPro!A:A,EGPro!D:D)</f>
        <v>#N/A</v>
      </c>
      <c r="Q9" t="e">
        <f>_xlfn.XLOOKUP(O9,EGPro!A:A,EGPro!C:C)</f>
        <v>#N/A</v>
      </c>
    </row>
    <row r="10" spans="1:17" x14ac:dyDescent="0.45">
      <c r="A10" s="3">
        <f>配列!B10</f>
        <v>0</v>
      </c>
      <c r="B10" s="3" t="e">
        <f>_xlfn.XLOOKUP(A10,対応表!A:A,対応表!B:B)</f>
        <v>#N/A</v>
      </c>
      <c r="C10" s="3">
        <f>配列!C10</f>
        <v>0</v>
      </c>
      <c r="D10" s="3" t="str">
        <f>IF(配列!E10="",RIGHT(配列!D10&amp;配列!E10,4)&amp;"L",RIGHT(配列!D10&amp;配列!E10,5))</f>
        <v>L</v>
      </c>
      <c r="E10" s="3">
        <f t="shared" si="0"/>
        <v>0</v>
      </c>
      <c r="F10" s="3" t="e">
        <f>_xlfn.XLOOKUP(E10,セットアップレポート_紐づけ用!A:A,セットアップレポート_紐づけ用!J:J)</f>
        <v>#N/A</v>
      </c>
      <c r="G10" s="3" t="e">
        <f>_xlfn.XLOOKUP(E10,セットアップレポート_紐づけ用!A:A,セットアップレポート_紐づけ用!V:V)</f>
        <v>#N/A</v>
      </c>
      <c r="H10" s="3">
        <f t="shared" si="3"/>
        <v>-2</v>
      </c>
      <c r="I10" t="str">
        <f>IF(J10=0,"",IF(配列!E10="",マクロ実行!$A$16 &amp;" T"&amp;H10&amp;"-"&amp;RIGHT(配列!D10&amp;配列!E10,2),マクロ実行!$A$16 &amp;" T"&amp;H10&amp;"-"&amp;RIGHT(配列!D10&amp;配列!E10,3)))</f>
        <v/>
      </c>
      <c r="J10">
        <f>配列!F10</f>
        <v>0</v>
      </c>
      <c r="K10" s="2" t="e">
        <f>_xlfn.XLOOKUP(E10,セットアップレポート_紐づけ用!A:A,セットアップレポート_紐づけ用!R:R)</f>
        <v>#N/A</v>
      </c>
      <c r="L10" t="e">
        <f t="shared" si="1"/>
        <v>#N/A</v>
      </c>
      <c r="M10" t="e">
        <f>_xlfn.XLOOKUP(L10,EGPro!A:A,EGPro!D:D)</f>
        <v>#N/A</v>
      </c>
      <c r="N10" t="e">
        <f>_xlfn.XLOOKUP(L10,EGPro!A:A,EGPro!C:C)</f>
        <v>#N/A</v>
      </c>
      <c r="O10" t="e">
        <f t="shared" si="2"/>
        <v>#N/A</v>
      </c>
      <c r="P10" t="e">
        <f>_xlfn.XLOOKUP(O10,EGPro!A:A,EGPro!D:D)</f>
        <v>#N/A</v>
      </c>
      <c r="Q10" t="e">
        <f>_xlfn.XLOOKUP(O10,EGPro!A:A,EGPro!C:C)</f>
        <v>#N/A</v>
      </c>
    </row>
    <row r="11" spans="1:17" x14ac:dyDescent="0.45">
      <c r="A11" s="3">
        <f>配列!B11</f>
        <v>0</v>
      </c>
      <c r="B11" s="3" t="e">
        <f>_xlfn.XLOOKUP(A11,対応表!A:A,対応表!B:B)</f>
        <v>#N/A</v>
      </c>
      <c r="C11" s="3">
        <f>配列!C11</f>
        <v>0</v>
      </c>
      <c r="D11" s="3" t="str">
        <f>IF(配列!E11="",RIGHT(配列!D11&amp;配列!E11,4)&amp;"L",RIGHT(配列!D11&amp;配列!E11,5))</f>
        <v>L</v>
      </c>
      <c r="E11" s="3">
        <f t="shared" si="0"/>
        <v>0</v>
      </c>
      <c r="F11" s="3" t="e">
        <f>_xlfn.XLOOKUP(E11,セットアップレポート_紐づけ用!A:A,セットアップレポート_紐づけ用!J:J)</f>
        <v>#N/A</v>
      </c>
      <c r="G11" s="3" t="e">
        <f>_xlfn.XLOOKUP(E11,セットアップレポート_紐づけ用!A:A,セットアップレポート_紐づけ用!V:V)</f>
        <v>#N/A</v>
      </c>
      <c r="H11" s="3">
        <f t="shared" si="3"/>
        <v>-2</v>
      </c>
      <c r="I11" t="str">
        <f>IF(J11=0,"",IF(配列!E11="",マクロ実行!$A$16 &amp;" T"&amp;H11&amp;"-"&amp;RIGHT(配列!D11&amp;配列!E11,2),マクロ実行!$A$16 &amp;" T"&amp;H11&amp;"-"&amp;RIGHT(配列!D11&amp;配列!E11,3)))</f>
        <v/>
      </c>
      <c r="J11">
        <f>配列!F11</f>
        <v>0</v>
      </c>
      <c r="K11" s="2" t="e">
        <f>_xlfn.XLOOKUP(E11,セットアップレポート_紐づけ用!A:A,セットアップレポート_紐づけ用!R:R)</f>
        <v>#N/A</v>
      </c>
      <c r="L11" t="e">
        <f t="shared" si="1"/>
        <v>#N/A</v>
      </c>
      <c r="M11" t="e">
        <f>_xlfn.XLOOKUP(L11,EGPro!A:A,EGPro!D:D)</f>
        <v>#N/A</v>
      </c>
      <c r="N11" t="e">
        <f>_xlfn.XLOOKUP(L11,EGPro!A:A,EGPro!C:C)</f>
        <v>#N/A</v>
      </c>
      <c r="O11" t="e">
        <f t="shared" si="2"/>
        <v>#N/A</v>
      </c>
      <c r="P11" t="e">
        <f>_xlfn.XLOOKUP(O11,EGPro!A:A,EGPro!D:D)</f>
        <v>#N/A</v>
      </c>
      <c r="Q11" t="e">
        <f>_xlfn.XLOOKUP(O11,EGPro!A:A,EGPro!C:C)</f>
        <v>#N/A</v>
      </c>
    </row>
    <row r="12" spans="1:17" x14ac:dyDescent="0.45">
      <c r="A12" s="3">
        <f>配列!B12</f>
        <v>0</v>
      </c>
      <c r="B12" s="3" t="e">
        <f>_xlfn.XLOOKUP(A12,対応表!A:A,対応表!B:B)</f>
        <v>#N/A</v>
      </c>
      <c r="C12" s="3">
        <f>配列!C12</f>
        <v>0</v>
      </c>
      <c r="D12" s="3" t="str">
        <f>IF(配列!E12="",RIGHT(配列!D12&amp;配列!E12,4)&amp;"L",RIGHT(配列!D12&amp;配列!E12,5))</f>
        <v>L</v>
      </c>
      <c r="E12" s="3">
        <f t="shared" si="0"/>
        <v>0</v>
      </c>
      <c r="F12" s="3" t="e">
        <f>_xlfn.XLOOKUP(E12,セットアップレポート_紐づけ用!A:A,セットアップレポート_紐づけ用!J:J)</f>
        <v>#N/A</v>
      </c>
      <c r="G12" s="3" t="e">
        <f>_xlfn.XLOOKUP(E12,セットアップレポート_紐づけ用!A:A,セットアップレポート_紐づけ用!V:V)</f>
        <v>#N/A</v>
      </c>
      <c r="H12" s="3">
        <f t="shared" si="3"/>
        <v>-2</v>
      </c>
      <c r="I12" t="str">
        <f>IF(J12=0,"",IF(配列!E12="",マクロ実行!$A$16 &amp;" T"&amp;H12&amp;"-"&amp;RIGHT(配列!D12&amp;配列!E12,2),マクロ実行!$A$16 &amp;" T"&amp;H12&amp;"-"&amp;RIGHT(配列!D12&amp;配列!E12,3)))</f>
        <v/>
      </c>
      <c r="J12">
        <f>配列!F12</f>
        <v>0</v>
      </c>
      <c r="K12" s="2" t="e">
        <f>_xlfn.XLOOKUP(E12,セットアップレポート_紐づけ用!A:A,セットアップレポート_紐づけ用!R:R)</f>
        <v>#N/A</v>
      </c>
      <c r="L12" t="e">
        <f t="shared" si="1"/>
        <v>#N/A</v>
      </c>
      <c r="M12" t="e">
        <f>_xlfn.XLOOKUP(L12,EGPro!A:A,EGPro!D:D)</f>
        <v>#N/A</v>
      </c>
      <c r="N12" t="e">
        <f>_xlfn.XLOOKUP(L12,EGPro!A:A,EGPro!C:C)</f>
        <v>#N/A</v>
      </c>
      <c r="O12" t="e">
        <f t="shared" si="2"/>
        <v>#N/A</v>
      </c>
      <c r="P12" t="e">
        <f>_xlfn.XLOOKUP(O12,EGPro!A:A,EGPro!D:D)</f>
        <v>#N/A</v>
      </c>
      <c r="Q12" t="e">
        <f>_xlfn.XLOOKUP(O12,EGPro!A:A,EGPro!C:C)</f>
        <v>#N/A</v>
      </c>
    </row>
    <row r="13" spans="1:17" x14ac:dyDescent="0.45">
      <c r="A13" s="3">
        <f>配列!B13</f>
        <v>0</v>
      </c>
      <c r="B13" s="3" t="e">
        <f>_xlfn.XLOOKUP(A13,対応表!A:A,対応表!B:B)</f>
        <v>#N/A</v>
      </c>
      <c r="C13" s="3">
        <f>配列!C13</f>
        <v>0</v>
      </c>
      <c r="D13" s="3" t="str">
        <f>IF(配列!E13="",RIGHT(配列!D13&amp;配列!E13,4)&amp;"L",RIGHT(配列!D13&amp;配列!E13,5))</f>
        <v>L</v>
      </c>
      <c r="E13" s="3">
        <f t="shared" si="0"/>
        <v>0</v>
      </c>
      <c r="F13" s="3" t="e">
        <f>_xlfn.XLOOKUP(E13,セットアップレポート_紐づけ用!A:A,セットアップレポート_紐づけ用!J:J)</f>
        <v>#N/A</v>
      </c>
      <c r="G13" s="3" t="e">
        <f>_xlfn.XLOOKUP(E13,セットアップレポート_紐づけ用!A:A,セットアップレポート_紐づけ用!V:V)</f>
        <v>#N/A</v>
      </c>
      <c r="H13" s="3">
        <f t="shared" si="3"/>
        <v>-2</v>
      </c>
      <c r="I13" t="str">
        <f>IF(J13=0,"",IF(配列!E13="",マクロ実行!$A$16 &amp;" T"&amp;H13&amp;"-"&amp;RIGHT(配列!D13&amp;配列!E13,2),マクロ実行!$A$16 &amp;" T"&amp;H13&amp;"-"&amp;RIGHT(配列!D13&amp;配列!E13,3)))</f>
        <v/>
      </c>
      <c r="J13">
        <f>配列!F13</f>
        <v>0</v>
      </c>
      <c r="K13" s="2" t="e">
        <f>_xlfn.XLOOKUP(E13,セットアップレポート_紐づけ用!A:A,セットアップレポート_紐づけ用!R:R)</f>
        <v>#N/A</v>
      </c>
      <c r="L13" t="e">
        <f t="shared" si="1"/>
        <v>#N/A</v>
      </c>
      <c r="M13" t="e">
        <f>_xlfn.XLOOKUP(L13,EGPro!A:A,EGPro!D:D)</f>
        <v>#N/A</v>
      </c>
      <c r="N13" t="e">
        <f>_xlfn.XLOOKUP(L13,EGPro!A:A,EGPro!C:C)</f>
        <v>#N/A</v>
      </c>
      <c r="O13" t="e">
        <f t="shared" si="2"/>
        <v>#N/A</v>
      </c>
      <c r="P13" t="e">
        <f>_xlfn.XLOOKUP(O13,EGPro!A:A,EGPro!D:D)</f>
        <v>#N/A</v>
      </c>
      <c r="Q13" t="e">
        <f>_xlfn.XLOOKUP(O13,EGPro!A:A,EGPro!C:C)</f>
        <v>#N/A</v>
      </c>
    </row>
    <row r="14" spans="1:17" x14ac:dyDescent="0.45">
      <c r="A14" s="3">
        <f>配列!B14</f>
        <v>0</v>
      </c>
      <c r="B14" s="3" t="e">
        <f>_xlfn.XLOOKUP(A14,対応表!A:A,対応表!B:B)</f>
        <v>#N/A</v>
      </c>
      <c r="C14" s="3">
        <f>配列!C14</f>
        <v>0</v>
      </c>
      <c r="D14" s="3" t="str">
        <f>IF(配列!E14="",RIGHT(配列!D14&amp;配列!E14,4)&amp;"L",RIGHT(配列!D14&amp;配列!E14,5))</f>
        <v>L</v>
      </c>
      <c r="E14" s="3">
        <f t="shared" si="0"/>
        <v>0</v>
      </c>
      <c r="F14" s="3" t="e">
        <f>_xlfn.XLOOKUP(E14,セットアップレポート_紐づけ用!A:A,セットアップレポート_紐づけ用!J:J)</f>
        <v>#N/A</v>
      </c>
      <c r="G14" s="3" t="e">
        <f>_xlfn.XLOOKUP(E14,セットアップレポート_紐づけ用!A:A,セットアップレポート_紐づけ用!V:V)</f>
        <v>#N/A</v>
      </c>
      <c r="H14" s="3">
        <f t="shared" si="3"/>
        <v>-2</v>
      </c>
      <c r="I14" t="str">
        <f>IF(J14=0,"",IF(配列!E14="",マクロ実行!$A$16 &amp;" T"&amp;H14&amp;"-"&amp;RIGHT(配列!D14&amp;配列!E14,2),マクロ実行!$A$16 &amp;" T"&amp;H14&amp;"-"&amp;RIGHT(配列!D14&amp;配列!E14,3)))</f>
        <v/>
      </c>
      <c r="J14">
        <f>配列!F14</f>
        <v>0</v>
      </c>
      <c r="K14" s="2" t="e">
        <f>_xlfn.XLOOKUP(E14,セットアップレポート_紐づけ用!A:A,セットアップレポート_紐づけ用!R:R)</f>
        <v>#N/A</v>
      </c>
      <c r="L14" t="e">
        <f t="shared" si="1"/>
        <v>#N/A</v>
      </c>
      <c r="M14" t="e">
        <f>_xlfn.XLOOKUP(L14,EGPro!A:A,EGPro!D:D)</f>
        <v>#N/A</v>
      </c>
      <c r="N14" t="e">
        <f>_xlfn.XLOOKUP(L14,EGPro!A:A,EGPro!C:C)</f>
        <v>#N/A</v>
      </c>
      <c r="O14" t="e">
        <f t="shared" si="2"/>
        <v>#N/A</v>
      </c>
      <c r="P14" t="e">
        <f>_xlfn.XLOOKUP(O14,EGPro!A:A,EGPro!D:D)</f>
        <v>#N/A</v>
      </c>
      <c r="Q14" t="e">
        <f>_xlfn.XLOOKUP(O14,EGPro!A:A,EGPro!C:C)</f>
        <v>#N/A</v>
      </c>
    </row>
    <row r="15" spans="1:17" x14ac:dyDescent="0.45">
      <c r="A15" s="3">
        <f>配列!B15</f>
        <v>0</v>
      </c>
      <c r="B15" s="3" t="e">
        <f>_xlfn.XLOOKUP(A15,対応表!A:A,対応表!B:B)</f>
        <v>#N/A</v>
      </c>
      <c r="C15" s="3">
        <f>配列!C15</f>
        <v>0</v>
      </c>
      <c r="D15" s="3" t="str">
        <f>IF(配列!E15="",RIGHT(配列!D15&amp;配列!E15,4)&amp;"L",RIGHT(配列!D15&amp;配列!E15,5))</f>
        <v>L</v>
      </c>
      <c r="E15" s="3">
        <f t="shared" si="0"/>
        <v>0</v>
      </c>
      <c r="F15" s="3" t="e">
        <f>_xlfn.XLOOKUP(E15,セットアップレポート_紐づけ用!A:A,セットアップレポート_紐づけ用!J:J)</f>
        <v>#N/A</v>
      </c>
      <c r="G15" s="3" t="e">
        <f>_xlfn.XLOOKUP(E15,セットアップレポート_紐づけ用!A:A,セットアップレポート_紐づけ用!V:V)</f>
        <v>#N/A</v>
      </c>
      <c r="H15" s="3">
        <f t="shared" si="3"/>
        <v>-2</v>
      </c>
      <c r="I15" t="str">
        <f>IF(J15=0,"",IF(配列!E15="",マクロ実行!$A$16 &amp;" T"&amp;H15&amp;"-"&amp;RIGHT(配列!D15&amp;配列!E15,2),マクロ実行!$A$16 &amp;" T"&amp;H15&amp;"-"&amp;RIGHT(配列!D15&amp;配列!E15,3)))</f>
        <v/>
      </c>
      <c r="J15">
        <f>配列!F15</f>
        <v>0</v>
      </c>
      <c r="K15" s="2" t="e">
        <f>_xlfn.XLOOKUP(E15,セットアップレポート_紐づけ用!A:A,セットアップレポート_紐づけ用!R:R)</f>
        <v>#N/A</v>
      </c>
      <c r="L15" t="e">
        <f t="shared" si="1"/>
        <v>#N/A</v>
      </c>
      <c r="M15" t="e">
        <f>_xlfn.XLOOKUP(L15,EGPro!A:A,EGPro!D:D)</f>
        <v>#N/A</v>
      </c>
      <c r="N15" t="e">
        <f>_xlfn.XLOOKUP(L15,EGPro!A:A,EGPro!C:C)</f>
        <v>#N/A</v>
      </c>
      <c r="O15" t="e">
        <f t="shared" si="2"/>
        <v>#N/A</v>
      </c>
      <c r="P15" t="e">
        <f>_xlfn.XLOOKUP(O15,EGPro!A:A,EGPro!D:D)</f>
        <v>#N/A</v>
      </c>
      <c r="Q15" t="e">
        <f>_xlfn.XLOOKUP(O15,EGPro!A:A,EGPro!C:C)</f>
        <v>#N/A</v>
      </c>
    </row>
    <row r="16" spans="1:17" x14ac:dyDescent="0.45">
      <c r="A16" s="3">
        <f>配列!B16</f>
        <v>0</v>
      </c>
      <c r="B16" s="3" t="e">
        <f>_xlfn.XLOOKUP(A16,対応表!A:A,対応表!B:B)</f>
        <v>#N/A</v>
      </c>
      <c r="C16" s="3">
        <f>配列!C16</f>
        <v>0</v>
      </c>
      <c r="D16" s="3" t="str">
        <f>IF(配列!E16="",RIGHT(配列!D16&amp;配列!E16,4)&amp;"L",RIGHT(配列!D16&amp;配列!E16,5))</f>
        <v>L</v>
      </c>
      <c r="E16" s="3">
        <f t="shared" si="0"/>
        <v>0</v>
      </c>
      <c r="F16" s="3" t="e">
        <f>_xlfn.XLOOKUP(E16,セットアップレポート_紐づけ用!A:A,セットアップレポート_紐づけ用!J:J)</f>
        <v>#N/A</v>
      </c>
      <c r="G16" s="3" t="e">
        <f>_xlfn.XLOOKUP(E16,セットアップレポート_紐づけ用!A:A,セットアップレポート_紐づけ用!V:V)</f>
        <v>#N/A</v>
      </c>
      <c r="H16" s="3">
        <f t="shared" si="3"/>
        <v>-2</v>
      </c>
      <c r="I16" t="str">
        <f>IF(J16=0,"",IF(配列!E16="",マクロ実行!$A$16 &amp;" T"&amp;H16&amp;"-"&amp;RIGHT(配列!D16&amp;配列!E16,2),マクロ実行!$A$16 &amp;" T"&amp;H16&amp;"-"&amp;RIGHT(配列!D16&amp;配列!E16,3)))</f>
        <v/>
      </c>
      <c r="J16">
        <f>配列!F16</f>
        <v>0</v>
      </c>
      <c r="K16" s="2" t="e">
        <f>_xlfn.XLOOKUP(E16,セットアップレポート_紐づけ用!A:A,セットアップレポート_紐づけ用!R:R)</f>
        <v>#N/A</v>
      </c>
      <c r="L16" t="e">
        <f t="shared" si="1"/>
        <v>#N/A</v>
      </c>
      <c r="M16" t="e">
        <f>_xlfn.XLOOKUP(L16,EGPro!A:A,EGPro!D:D)</f>
        <v>#N/A</v>
      </c>
      <c r="N16" t="e">
        <f>_xlfn.XLOOKUP(L16,EGPro!A:A,EGPro!C:C)</f>
        <v>#N/A</v>
      </c>
      <c r="O16" t="e">
        <f t="shared" si="2"/>
        <v>#N/A</v>
      </c>
      <c r="P16" t="e">
        <f>_xlfn.XLOOKUP(O16,EGPro!A:A,EGPro!D:D)</f>
        <v>#N/A</v>
      </c>
      <c r="Q16" t="e">
        <f>_xlfn.XLOOKUP(O16,EGPro!A:A,EGPro!C:C)</f>
        <v>#N/A</v>
      </c>
    </row>
    <row r="17" spans="1:17" x14ac:dyDescent="0.45">
      <c r="A17" s="3">
        <f>配列!B17</f>
        <v>0</v>
      </c>
      <c r="B17" s="3" t="e">
        <f>_xlfn.XLOOKUP(A17,対応表!A:A,対応表!B:B)</f>
        <v>#N/A</v>
      </c>
      <c r="C17" s="3">
        <f>配列!C17</f>
        <v>0</v>
      </c>
      <c r="D17" s="3" t="str">
        <f>IF(配列!E17="",RIGHT(配列!D17&amp;配列!E17,4)&amp;"L",RIGHT(配列!D17&amp;配列!E17,5))</f>
        <v>L</v>
      </c>
      <c r="E17" s="3">
        <f t="shared" si="0"/>
        <v>0</v>
      </c>
      <c r="F17" s="3" t="e">
        <f>_xlfn.XLOOKUP(E17,セットアップレポート_紐づけ用!A:A,セットアップレポート_紐づけ用!J:J)</f>
        <v>#N/A</v>
      </c>
      <c r="G17" s="3" t="e">
        <f>_xlfn.XLOOKUP(E17,セットアップレポート_紐づけ用!A:A,セットアップレポート_紐づけ用!V:V)</f>
        <v>#N/A</v>
      </c>
      <c r="H17" s="3">
        <f t="shared" si="3"/>
        <v>-2</v>
      </c>
      <c r="I17" t="str">
        <f>IF(J17=0,"",IF(配列!E17="",マクロ実行!$A$16 &amp;" T"&amp;H17&amp;"-"&amp;RIGHT(配列!D17&amp;配列!E17,2),マクロ実行!$A$16 &amp;" T"&amp;H17&amp;"-"&amp;RIGHT(配列!D17&amp;配列!E17,3)))</f>
        <v/>
      </c>
      <c r="J17">
        <f>配列!F17</f>
        <v>0</v>
      </c>
      <c r="K17" s="2" t="e">
        <f>_xlfn.XLOOKUP(E17,セットアップレポート_紐づけ用!A:A,セットアップレポート_紐づけ用!R:R)</f>
        <v>#N/A</v>
      </c>
      <c r="L17" t="e">
        <f t="shared" si="1"/>
        <v>#N/A</v>
      </c>
      <c r="M17" t="e">
        <f>_xlfn.XLOOKUP(L17,EGPro!A:A,EGPro!D:D)</f>
        <v>#N/A</v>
      </c>
      <c r="N17" t="e">
        <f>_xlfn.XLOOKUP(L17,EGPro!A:A,EGPro!C:C)</f>
        <v>#N/A</v>
      </c>
      <c r="O17" t="e">
        <f t="shared" si="2"/>
        <v>#N/A</v>
      </c>
      <c r="P17" t="e">
        <f>_xlfn.XLOOKUP(O17,EGPro!A:A,EGPro!D:D)</f>
        <v>#N/A</v>
      </c>
      <c r="Q17" t="e">
        <f>_xlfn.XLOOKUP(O17,EGPro!A:A,EGPro!C:C)</f>
        <v>#N/A</v>
      </c>
    </row>
    <row r="18" spans="1:17" x14ac:dyDescent="0.45">
      <c r="A18" s="3">
        <f>配列!B18</f>
        <v>0</v>
      </c>
      <c r="B18" s="3" t="e">
        <f>_xlfn.XLOOKUP(A18,対応表!A:A,対応表!B:B)</f>
        <v>#N/A</v>
      </c>
      <c r="C18" s="3">
        <f>配列!C18</f>
        <v>0</v>
      </c>
      <c r="D18" s="3" t="str">
        <f>IF(配列!E18="",RIGHT(配列!D18&amp;配列!E18,4)&amp;"L",RIGHT(配列!D18&amp;配列!E18,5))</f>
        <v>L</v>
      </c>
      <c r="E18" s="3">
        <f t="shared" si="0"/>
        <v>0</v>
      </c>
      <c r="F18" s="3" t="e">
        <f>_xlfn.XLOOKUP(E18,セットアップレポート_紐づけ用!A:A,セットアップレポート_紐づけ用!J:J)</f>
        <v>#N/A</v>
      </c>
      <c r="G18" s="3" t="e">
        <f>_xlfn.XLOOKUP(E18,セットアップレポート_紐づけ用!A:A,セットアップレポート_紐づけ用!V:V)</f>
        <v>#N/A</v>
      </c>
      <c r="H18" s="3">
        <f t="shared" si="3"/>
        <v>-2</v>
      </c>
      <c r="I18" t="str">
        <f>IF(J18=0,"",IF(配列!E18="",マクロ実行!$A$16 &amp;" T"&amp;H18&amp;"-"&amp;RIGHT(配列!D18&amp;配列!E18,2),マクロ実行!$A$16 &amp;" T"&amp;H18&amp;"-"&amp;RIGHT(配列!D18&amp;配列!E18,3)))</f>
        <v/>
      </c>
      <c r="J18">
        <f>配列!F18</f>
        <v>0</v>
      </c>
      <c r="K18" s="2" t="e">
        <f>_xlfn.XLOOKUP(E18,セットアップレポート_紐づけ用!A:A,セットアップレポート_紐づけ用!R:R)</f>
        <v>#N/A</v>
      </c>
      <c r="L18" t="e">
        <f t="shared" si="1"/>
        <v>#N/A</v>
      </c>
      <c r="M18" t="e">
        <f>_xlfn.XLOOKUP(L18,EGPro!A:A,EGPro!D:D)</f>
        <v>#N/A</v>
      </c>
      <c r="N18" t="e">
        <f>_xlfn.XLOOKUP(L18,EGPro!A:A,EGPro!C:C)</f>
        <v>#N/A</v>
      </c>
      <c r="O18" t="e">
        <f t="shared" si="2"/>
        <v>#N/A</v>
      </c>
      <c r="P18" t="e">
        <f>_xlfn.XLOOKUP(O18,EGPro!A:A,EGPro!D:D)</f>
        <v>#N/A</v>
      </c>
      <c r="Q18" t="e">
        <f>_xlfn.XLOOKUP(O18,EGPro!A:A,EGPro!C:C)</f>
        <v>#N/A</v>
      </c>
    </row>
    <row r="19" spans="1:17" x14ac:dyDescent="0.45">
      <c r="A19" s="3">
        <f>配列!B19</f>
        <v>0</v>
      </c>
      <c r="B19" s="3" t="e">
        <f>_xlfn.XLOOKUP(A19,対応表!A:A,対応表!B:B)</f>
        <v>#N/A</v>
      </c>
      <c r="C19" s="3">
        <f>配列!C19</f>
        <v>0</v>
      </c>
      <c r="D19" s="3" t="str">
        <f>IF(配列!E19="",RIGHT(配列!D19&amp;配列!E19,4)&amp;"L",RIGHT(配列!D19&amp;配列!E19,5))</f>
        <v>L</v>
      </c>
      <c r="E19" s="3">
        <f t="shared" si="0"/>
        <v>0</v>
      </c>
      <c r="F19" s="3" t="e">
        <f>_xlfn.XLOOKUP(E19,セットアップレポート_紐づけ用!A:A,セットアップレポート_紐づけ用!J:J)</f>
        <v>#N/A</v>
      </c>
      <c r="G19" s="3" t="e">
        <f>_xlfn.XLOOKUP(E19,セットアップレポート_紐づけ用!A:A,セットアップレポート_紐づけ用!V:V)</f>
        <v>#N/A</v>
      </c>
      <c r="H19" s="3">
        <f t="shared" si="3"/>
        <v>-2</v>
      </c>
      <c r="I19" t="str">
        <f>IF(J19=0,"",IF(配列!E19="",マクロ実行!$A$16 &amp;" T"&amp;H19&amp;"-"&amp;RIGHT(配列!D19&amp;配列!E19,2),マクロ実行!$A$16 &amp;" T"&amp;H19&amp;"-"&amp;RIGHT(配列!D19&amp;配列!E19,3)))</f>
        <v/>
      </c>
      <c r="J19">
        <f>配列!F19</f>
        <v>0</v>
      </c>
      <c r="K19" s="2" t="e">
        <f>_xlfn.XLOOKUP(E19,セットアップレポート_紐づけ用!A:A,セットアップレポート_紐づけ用!R:R)</f>
        <v>#N/A</v>
      </c>
      <c r="L19" t="e">
        <f t="shared" si="1"/>
        <v>#N/A</v>
      </c>
      <c r="M19" t="e">
        <f>_xlfn.XLOOKUP(L19,EGPro!A:A,EGPro!D:D)</f>
        <v>#N/A</v>
      </c>
      <c r="N19" t="e">
        <f>_xlfn.XLOOKUP(L19,EGPro!A:A,EGPro!C:C)</f>
        <v>#N/A</v>
      </c>
      <c r="O19" t="e">
        <f t="shared" si="2"/>
        <v>#N/A</v>
      </c>
      <c r="P19" t="e">
        <f>_xlfn.XLOOKUP(O19,EGPro!A:A,EGPro!D:D)</f>
        <v>#N/A</v>
      </c>
      <c r="Q19" t="e">
        <f>_xlfn.XLOOKUP(O19,EGPro!A:A,EGPro!C:C)</f>
        <v>#N/A</v>
      </c>
    </row>
    <row r="20" spans="1:17" x14ac:dyDescent="0.45">
      <c r="A20" s="3">
        <f>配列!B20</f>
        <v>0</v>
      </c>
      <c r="B20" s="3" t="e">
        <f>_xlfn.XLOOKUP(A20,対応表!A:A,対応表!B:B)</f>
        <v>#N/A</v>
      </c>
      <c r="C20" s="3">
        <f>配列!C20</f>
        <v>0</v>
      </c>
      <c r="D20" s="3" t="str">
        <f>IF(配列!E20="",RIGHT(配列!D20&amp;配列!E20,4)&amp;"L",RIGHT(配列!D20&amp;配列!E20,5))</f>
        <v>L</v>
      </c>
      <c r="E20" s="3">
        <f t="shared" si="0"/>
        <v>0</v>
      </c>
      <c r="F20" s="3" t="e">
        <f>_xlfn.XLOOKUP(E20,セットアップレポート_紐づけ用!A:A,セットアップレポート_紐づけ用!J:J)</f>
        <v>#N/A</v>
      </c>
      <c r="G20" s="3" t="e">
        <f>_xlfn.XLOOKUP(E20,セットアップレポート_紐づけ用!A:A,セットアップレポート_紐づけ用!V:V)</f>
        <v>#N/A</v>
      </c>
      <c r="H20" s="3">
        <f t="shared" si="3"/>
        <v>-2</v>
      </c>
      <c r="I20" t="str">
        <f>IF(J20=0,"",IF(配列!E20="",マクロ実行!$A$16 &amp;" T"&amp;H20&amp;"-"&amp;RIGHT(配列!D20&amp;配列!E20,2),マクロ実行!$A$16 &amp;" T"&amp;H20&amp;"-"&amp;RIGHT(配列!D20&amp;配列!E20,3)))</f>
        <v/>
      </c>
      <c r="J20">
        <f>配列!F20</f>
        <v>0</v>
      </c>
      <c r="K20" s="2" t="e">
        <f>_xlfn.XLOOKUP(E20,セットアップレポート_紐づけ用!A:A,セットアップレポート_紐づけ用!R:R)</f>
        <v>#N/A</v>
      </c>
      <c r="L20" t="e">
        <f t="shared" si="1"/>
        <v>#N/A</v>
      </c>
      <c r="M20" t="e">
        <f>_xlfn.XLOOKUP(L20,EGPro!A:A,EGPro!D:D)</f>
        <v>#N/A</v>
      </c>
      <c r="N20" t="e">
        <f>_xlfn.XLOOKUP(L20,EGPro!A:A,EGPro!C:C)</f>
        <v>#N/A</v>
      </c>
      <c r="O20" t="e">
        <f t="shared" si="2"/>
        <v>#N/A</v>
      </c>
      <c r="P20" t="e">
        <f>_xlfn.XLOOKUP(O20,EGPro!A:A,EGPro!D:D)</f>
        <v>#N/A</v>
      </c>
      <c r="Q20" t="e">
        <f>_xlfn.XLOOKUP(O20,EGPro!A:A,EGPro!C:C)</f>
        <v>#N/A</v>
      </c>
    </row>
    <row r="21" spans="1:17" x14ac:dyDescent="0.45">
      <c r="A21" s="3">
        <f>配列!B21</f>
        <v>0</v>
      </c>
      <c r="B21" s="3" t="e">
        <f>_xlfn.XLOOKUP(A21,対応表!A:A,対応表!B:B)</f>
        <v>#N/A</v>
      </c>
      <c r="C21" s="3">
        <f>配列!C21</f>
        <v>0</v>
      </c>
      <c r="D21" s="3" t="str">
        <f>IF(配列!E21="",RIGHT(配列!D21&amp;配列!E21,4)&amp;"L",RIGHT(配列!D21&amp;配列!E21,5))</f>
        <v>L</v>
      </c>
      <c r="E21" s="3">
        <f t="shared" si="0"/>
        <v>0</v>
      </c>
      <c r="F21" s="3" t="e">
        <f>_xlfn.XLOOKUP(E21,セットアップレポート_紐づけ用!A:A,セットアップレポート_紐づけ用!J:J)</f>
        <v>#N/A</v>
      </c>
      <c r="G21" s="3" t="e">
        <f>_xlfn.XLOOKUP(E21,セットアップレポート_紐づけ用!A:A,セットアップレポート_紐づけ用!V:V)</f>
        <v>#N/A</v>
      </c>
      <c r="H21" s="3">
        <f t="shared" si="3"/>
        <v>-2</v>
      </c>
      <c r="I21" t="str">
        <f>IF(J21=0,"",IF(配列!E21="",マクロ実行!$A$16 &amp;" T"&amp;H21&amp;"-"&amp;RIGHT(配列!D21&amp;配列!E21,2),マクロ実行!$A$16 &amp;" T"&amp;H21&amp;"-"&amp;RIGHT(配列!D21&amp;配列!E21,3)))</f>
        <v/>
      </c>
      <c r="J21">
        <f>配列!F21</f>
        <v>0</v>
      </c>
      <c r="K21" s="2" t="e">
        <f>_xlfn.XLOOKUP(E21,セットアップレポート_紐づけ用!A:A,セットアップレポート_紐づけ用!R:R)</f>
        <v>#N/A</v>
      </c>
      <c r="L21" t="e">
        <f t="shared" si="1"/>
        <v>#N/A</v>
      </c>
      <c r="M21" t="e">
        <f>_xlfn.XLOOKUP(L21,EGPro!A:A,EGPro!D:D)</f>
        <v>#N/A</v>
      </c>
      <c r="N21" t="e">
        <f>_xlfn.XLOOKUP(L21,EGPro!A:A,EGPro!C:C)</f>
        <v>#N/A</v>
      </c>
      <c r="O21" t="e">
        <f t="shared" si="2"/>
        <v>#N/A</v>
      </c>
      <c r="P21" t="e">
        <f>_xlfn.XLOOKUP(O21,EGPro!A:A,EGPro!D:D)</f>
        <v>#N/A</v>
      </c>
      <c r="Q21" t="e">
        <f>_xlfn.XLOOKUP(O21,EGPro!A:A,EGPro!C:C)</f>
        <v>#N/A</v>
      </c>
    </row>
    <row r="22" spans="1:17" x14ac:dyDescent="0.45">
      <c r="A22" s="3">
        <f>配列!B22</f>
        <v>0</v>
      </c>
      <c r="B22" s="3" t="e">
        <f>_xlfn.XLOOKUP(A22,対応表!A:A,対応表!B:B)</f>
        <v>#N/A</v>
      </c>
      <c r="C22" s="3">
        <f>配列!C22</f>
        <v>0</v>
      </c>
      <c r="D22" s="3" t="str">
        <f>IF(配列!E22="",RIGHT(配列!D22&amp;配列!E22,4)&amp;"L",RIGHT(配列!D22&amp;配列!E22,5))</f>
        <v>L</v>
      </c>
      <c r="E22" s="3">
        <f t="shared" si="0"/>
        <v>0</v>
      </c>
      <c r="F22" s="3" t="e">
        <f>_xlfn.XLOOKUP(E22,セットアップレポート_紐づけ用!A:A,セットアップレポート_紐づけ用!J:J)</f>
        <v>#N/A</v>
      </c>
      <c r="G22" s="3" t="e">
        <f>_xlfn.XLOOKUP(E22,セットアップレポート_紐づけ用!A:A,セットアップレポート_紐づけ用!V:V)</f>
        <v>#N/A</v>
      </c>
      <c r="H22" s="3">
        <f t="shared" si="3"/>
        <v>-2</v>
      </c>
      <c r="I22" t="str">
        <f>IF(J22=0,"",IF(配列!E22="",マクロ実行!$A$16 &amp;" T"&amp;H22&amp;"-"&amp;RIGHT(配列!D22&amp;配列!E22,2),マクロ実行!$A$16 &amp;" T"&amp;H22&amp;"-"&amp;RIGHT(配列!D22&amp;配列!E22,3)))</f>
        <v/>
      </c>
      <c r="J22">
        <f>配列!F22</f>
        <v>0</v>
      </c>
      <c r="K22" s="2" t="e">
        <f>_xlfn.XLOOKUP(E22,セットアップレポート_紐づけ用!A:A,セットアップレポート_紐づけ用!R:R)</f>
        <v>#N/A</v>
      </c>
      <c r="L22" t="e">
        <f t="shared" si="1"/>
        <v>#N/A</v>
      </c>
      <c r="M22" t="e">
        <f>_xlfn.XLOOKUP(L22,EGPro!A:A,EGPro!D:D)</f>
        <v>#N/A</v>
      </c>
      <c r="N22" t="e">
        <f>_xlfn.XLOOKUP(L22,EGPro!A:A,EGPro!C:C)</f>
        <v>#N/A</v>
      </c>
      <c r="O22" t="e">
        <f t="shared" si="2"/>
        <v>#N/A</v>
      </c>
      <c r="P22" t="e">
        <f>_xlfn.XLOOKUP(O22,EGPro!A:A,EGPro!D:D)</f>
        <v>#N/A</v>
      </c>
      <c r="Q22" t="e">
        <f>_xlfn.XLOOKUP(O22,EGPro!A:A,EGPro!C:C)</f>
        <v>#N/A</v>
      </c>
    </row>
    <row r="23" spans="1:17" x14ac:dyDescent="0.45">
      <c r="A23" s="3">
        <f>配列!B23</f>
        <v>0</v>
      </c>
      <c r="B23" s="3" t="e">
        <f>_xlfn.XLOOKUP(A23,対応表!A:A,対応表!B:B)</f>
        <v>#N/A</v>
      </c>
      <c r="C23" s="3">
        <f>配列!C23</f>
        <v>0</v>
      </c>
      <c r="D23" s="3" t="str">
        <f>IF(配列!E23="",RIGHT(配列!D23&amp;配列!E23,4)&amp;"L",RIGHT(配列!D23&amp;配列!E23,5))</f>
        <v>L</v>
      </c>
      <c r="E23" s="3">
        <f t="shared" si="0"/>
        <v>0</v>
      </c>
      <c r="F23" s="3" t="e">
        <f>_xlfn.XLOOKUP(E23,セットアップレポート_紐づけ用!A:A,セットアップレポート_紐づけ用!J:J)</f>
        <v>#N/A</v>
      </c>
      <c r="G23" s="3" t="e">
        <f>_xlfn.XLOOKUP(E23,セットアップレポート_紐づけ用!A:A,セットアップレポート_紐づけ用!V:V)</f>
        <v>#N/A</v>
      </c>
      <c r="H23" s="3">
        <f t="shared" si="3"/>
        <v>-2</v>
      </c>
      <c r="I23" t="str">
        <f>IF(J23=0,"",IF(配列!E23="",マクロ実行!$A$16 &amp;" T"&amp;H23&amp;"-"&amp;RIGHT(配列!D23&amp;配列!E23,2),マクロ実行!$A$16 &amp;" T"&amp;H23&amp;"-"&amp;RIGHT(配列!D23&amp;配列!E23,3)))</f>
        <v/>
      </c>
      <c r="J23">
        <f>配列!F23</f>
        <v>0</v>
      </c>
      <c r="K23" s="2" t="e">
        <f>_xlfn.XLOOKUP(E23,セットアップレポート_紐づけ用!A:A,セットアップレポート_紐づけ用!R:R)</f>
        <v>#N/A</v>
      </c>
      <c r="L23" t="e">
        <f t="shared" si="1"/>
        <v>#N/A</v>
      </c>
      <c r="M23" t="e">
        <f>_xlfn.XLOOKUP(L23,EGPro!A:A,EGPro!D:D)</f>
        <v>#N/A</v>
      </c>
      <c r="N23" t="e">
        <f>_xlfn.XLOOKUP(L23,EGPro!A:A,EGPro!C:C)</f>
        <v>#N/A</v>
      </c>
      <c r="O23" t="e">
        <f t="shared" si="2"/>
        <v>#N/A</v>
      </c>
      <c r="P23" t="e">
        <f>_xlfn.XLOOKUP(O23,EGPro!A:A,EGPro!D:D)</f>
        <v>#N/A</v>
      </c>
      <c r="Q23" t="e">
        <f>_xlfn.XLOOKUP(O23,EGPro!A:A,EGPro!C:C)</f>
        <v>#N/A</v>
      </c>
    </row>
    <row r="24" spans="1:17" x14ac:dyDescent="0.45">
      <c r="A24" s="3">
        <f>配列!B24</f>
        <v>0</v>
      </c>
      <c r="B24" s="3" t="e">
        <f>_xlfn.XLOOKUP(A24,対応表!A:A,対応表!B:B)</f>
        <v>#N/A</v>
      </c>
      <c r="C24" s="3">
        <f>配列!C24</f>
        <v>0</v>
      </c>
      <c r="D24" s="3" t="str">
        <f>IF(配列!E24="",RIGHT(配列!D24&amp;配列!E24,4)&amp;"L",RIGHT(配列!D24&amp;配列!E24,5))</f>
        <v>L</v>
      </c>
      <c r="E24" s="3">
        <f t="shared" si="0"/>
        <v>0</v>
      </c>
      <c r="F24" s="3" t="e">
        <f>_xlfn.XLOOKUP(E24,セットアップレポート_紐づけ用!A:A,セットアップレポート_紐づけ用!J:J)</f>
        <v>#N/A</v>
      </c>
      <c r="G24" s="3" t="e">
        <f>_xlfn.XLOOKUP(E24,セットアップレポート_紐づけ用!A:A,セットアップレポート_紐づけ用!V:V)</f>
        <v>#N/A</v>
      </c>
      <c r="H24" s="3">
        <f t="shared" si="3"/>
        <v>-2</v>
      </c>
      <c r="I24" t="str">
        <f>IF(J24=0,"",IF(配列!E24="",マクロ実行!$A$16 &amp;" T"&amp;H24&amp;"-"&amp;RIGHT(配列!D24&amp;配列!E24,2),マクロ実行!$A$16 &amp;" T"&amp;H24&amp;"-"&amp;RIGHT(配列!D24&amp;配列!E24,3)))</f>
        <v/>
      </c>
      <c r="J24">
        <f>配列!F24</f>
        <v>0</v>
      </c>
      <c r="K24" s="2" t="e">
        <f>_xlfn.XLOOKUP(E24,セットアップレポート_紐づけ用!A:A,セットアップレポート_紐づけ用!R:R)</f>
        <v>#N/A</v>
      </c>
      <c r="L24" t="e">
        <f t="shared" si="1"/>
        <v>#N/A</v>
      </c>
      <c r="M24" t="e">
        <f>_xlfn.XLOOKUP(L24,EGPro!A:A,EGPro!D:D)</f>
        <v>#N/A</v>
      </c>
      <c r="N24" t="e">
        <f>_xlfn.XLOOKUP(L24,EGPro!A:A,EGPro!C:C)</f>
        <v>#N/A</v>
      </c>
      <c r="O24" t="e">
        <f t="shared" si="2"/>
        <v>#N/A</v>
      </c>
      <c r="P24" t="e">
        <f>_xlfn.XLOOKUP(O24,EGPro!A:A,EGPro!D:D)</f>
        <v>#N/A</v>
      </c>
      <c r="Q24" t="e">
        <f>_xlfn.XLOOKUP(O24,EGPro!A:A,EGPro!C:C)</f>
        <v>#N/A</v>
      </c>
    </row>
    <row r="25" spans="1:17" x14ac:dyDescent="0.45">
      <c r="A25" s="3">
        <f>配列!B25</f>
        <v>0</v>
      </c>
      <c r="B25" s="3" t="e">
        <f>_xlfn.XLOOKUP(A25,対応表!A:A,対応表!B:B)</f>
        <v>#N/A</v>
      </c>
      <c r="C25" s="3">
        <f>配列!C25</f>
        <v>0</v>
      </c>
      <c r="D25" s="3" t="str">
        <f>IF(配列!E25="",RIGHT(配列!D25&amp;配列!E25,4)&amp;"L",RIGHT(配列!D25&amp;配列!E25,5))</f>
        <v>L</v>
      </c>
      <c r="E25" s="3">
        <f t="shared" si="0"/>
        <v>0</v>
      </c>
      <c r="F25" s="3" t="e">
        <f>_xlfn.XLOOKUP(E25,セットアップレポート_紐づけ用!A:A,セットアップレポート_紐づけ用!J:J)</f>
        <v>#N/A</v>
      </c>
      <c r="G25" s="3" t="e">
        <f>_xlfn.XLOOKUP(E25,セットアップレポート_紐づけ用!A:A,セットアップレポート_紐づけ用!V:V)</f>
        <v>#N/A</v>
      </c>
      <c r="H25" s="3">
        <f t="shared" si="3"/>
        <v>-2</v>
      </c>
      <c r="I25" t="str">
        <f>IF(J25=0,"",IF(配列!E25="",マクロ実行!$A$16 &amp;" T"&amp;H25&amp;"-"&amp;RIGHT(配列!D25&amp;配列!E25,2),マクロ実行!$A$16 &amp;" T"&amp;H25&amp;"-"&amp;RIGHT(配列!D25&amp;配列!E25,3)))</f>
        <v/>
      </c>
      <c r="J25">
        <f>配列!F25</f>
        <v>0</v>
      </c>
      <c r="K25" s="2" t="e">
        <f>_xlfn.XLOOKUP(E25,セットアップレポート_紐づけ用!A:A,セットアップレポート_紐づけ用!R:R)</f>
        <v>#N/A</v>
      </c>
      <c r="L25" t="e">
        <f t="shared" si="1"/>
        <v>#N/A</v>
      </c>
      <c r="M25" t="e">
        <f>_xlfn.XLOOKUP(L25,EGPro!A:A,EGPro!D:D)</f>
        <v>#N/A</v>
      </c>
      <c r="N25" t="e">
        <f>_xlfn.XLOOKUP(L25,EGPro!A:A,EGPro!C:C)</f>
        <v>#N/A</v>
      </c>
      <c r="O25" t="e">
        <f t="shared" si="2"/>
        <v>#N/A</v>
      </c>
      <c r="P25" t="e">
        <f>_xlfn.XLOOKUP(O25,EGPro!A:A,EGPro!D:D)</f>
        <v>#N/A</v>
      </c>
      <c r="Q25" t="e">
        <f>_xlfn.XLOOKUP(O25,EGPro!A:A,EGPro!C:C)</f>
        <v>#N/A</v>
      </c>
    </row>
    <row r="26" spans="1:17" x14ac:dyDescent="0.45">
      <c r="A26" s="3">
        <f>配列!B26</f>
        <v>0</v>
      </c>
      <c r="B26" s="3" t="e">
        <f>_xlfn.XLOOKUP(A26,対応表!A:A,対応表!B:B)</f>
        <v>#N/A</v>
      </c>
      <c r="C26" s="3">
        <f>配列!C26</f>
        <v>0</v>
      </c>
      <c r="D26" s="3" t="str">
        <f>IF(配列!E26="",RIGHT(配列!D26&amp;配列!E26,4)&amp;"L",RIGHT(配列!D26&amp;配列!E26,5))</f>
        <v>L</v>
      </c>
      <c r="E26" s="3">
        <f t="shared" si="0"/>
        <v>0</v>
      </c>
      <c r="F26" s="3" t="e">
        <f>_xlfn.XLOOKUP(E26,セットアップレポート_紐づけ用!A:A,セットアップレポート_紐づけ用!J:J)</f>
        <v>#N/A</v>
      </c>
      <c r="G26" s="3" t="e">
        <f>_xlfn.XLOOKUP(E26,セットアップレポート_紐づけ用!A:A,セットアップレポート_紐づけ用!V:V)</f>
        <v>#N/A</v>
      </c>
      <c r="H26" s="3">
        <f t="shared" si="3"/>
        <v>-2</v>
      </c>
      <c r="I26" t="str">
        <f>IF(J26=0,"",IF(配列!E26="",マクロ実行!$A$16 &amp;" T"&amp;H26&amp;"-"&amp;RIGHT(配列!D26&amp;配列!E26,2),マクロ実行!$A$16 &amp;" T"&amp;H26&amp;"-"&amp;RIGHT(配列!D26&amp;配列!E26,3)))</f>
        <v/>
      </c>
      <c r="J26">
        <f>配列!F26</f>
        <v>0</v>
      </c>
      <c r="K26" s="2" t="e">
        <f>_xlfn.XLOOKUP(E26,セットアップレポート_紐づけ用!A:A,セットアップレポート_紐づけ用!R:R)</f>
        <v>#N/A</v>
      </c>
      <c r="L26" t="e">
        <f t="shared" si="1"/>
        <v>#N/A</v>
      </c>
      <c r="M26" t="e">
        <f>_xlfn.XLOOKUP(L26,EGPro!A:A,EGPro!D:D)</f>
        <v>#N/A</v>
      </c>
      <c r="N26" t="e">
        <f>_xlfn.XLOOKUP(L26,EGPro!A:A,EGPro!C:C)</f>
        <v>#N/A</v>
      </c>
      <c r="O26" t="e">
        <f t="shared" si="2"/>
        <v>#N/A</v>
      </c>
      <c r="P26" t="e">
        <f>_xlfn.XLOOKUP(O26,EGPro!A:A,EGPro!D:D)</f>
        <v>#N/A</v>
      </c>
      <c r="Q26" t="e">
        <f>_xlfn.XLOOKUP(O26,EGPro!A:A,EGPro!C:C)</f>
        <v>#N/A</v>
      </c>
    </row>
    <row r="27" spans="1:17" x14ac:dyDescent="0.45">
      <c r="A27" s="3">
        <f>配列!B27</f>
        <v>0</v>
      </c>
      <c r="B27" s="3" t="e">
        <f>_xlfn.XLOOKUP(A27,対応表!A:A,対応表!B:B)</f>
        <v>#N/A</v>
      </c>
      <c r="C27" s="3">
        <f>配列!C27</f>
        <v>0</v>
      </c>
      <c r="D27" s="3" t="str">
        <f>IF(配列!E27="",RIGHT(配列!D27&amp;配列!E27,4)&amp;"L",RIGHT(配列!D27&amp;配列!E27,5))</f>
        <v>L</v>
      </c>
      <c r="E27" s="3">
        <f t="shared" si="0"/>
        <v>0</v>
      </c>
      <c r="F27" s="3" t="e">
        <f>_xlfn.XLOOKUP(E27,セットアップレポート_紐づけ用!A:A,セットアップレポート_紐づけ用!J:J)</f>
        <v>#N/A</v>
      </c>
      <c r="G27" s="3" t="e">
        <f>_xlfn.XLOOKUP(E27,セットアップレポート_紐づけ用!A:A,セットアップレポート_紐づけ用!V:V)</f>
        <v>#N/A</v>
      </c>
      <c r="H27" s="3">
        <f t="shared" si="3"/>
        <v>-2</v>
      </c>
      <c r="I27" t="str">
        <f>IF(J27=0,"",IF(配列!E27="",マクロ実行!$A$16 &amp;" T"&amp;H27&amp;"-"&amp;RIGHT(配列!D27&amp;配列!E27,2),マクロ実行!$A$16 &amp;" T"&amp;H27&amp;"-"&amp;RIGHT(配列!D27&amp;配列!E27,3)))</f>
        <v/>
      </c>
      <c r="J27">
        <f>配列!F27</f>
        <v>0</v>
      </c>
      <c r="K27" s="2" t="e">
        <f>_xlfn.XLOOKUP(E27,セットアップレポート_紐づけ用!A:A,セットアップレポート_紐づけ用!R:R)</f>
        <v>#N/A</v>
      </c>
      <c r="L27" t="e">
        <f t="shared" si="1"/>
        <v>#N/A</v>
      </c>
      <c r="M27" t="e">
        <f>_xlfn.XLOOKUP(L27,EGPro!A:A,EGPro!D:D)</f>
        <v>#N/A</v>
      </c>
      <c r="N27" t="e">
        <f>_xlfn.XLOOKUP(L27,EGPro!A:A,EGPro!C:C)</f>
        <v>#N/A</v>
      </c>
      <c r="O27" t="e">
        <f t="shared" si="2"/>
        <v>#N/A</v>
      </c>
      <c r="P27" t="e">
        <f>_xlfn.XLOOKUP(O27,EGPro!A:A,EGPro!D:D)</f>
        <v>#N/A</v>
      </c>
      <c r="Q27" t="e">
        <f>_xlfn.XLOOKUP(O27,EGPro!A:A,EGPro!C:C)</f>
        <v>#N/A</v>
      </c>
    </row>
    <row r="28" spans="1:17" x14ac:dyDescent="0.45">
      <c r="A28" s="3">
        <f>配列!B28</f>
        <v>0</v>
      </c>
      <c r="B28" s="3" t="e">
        <f>_xlfn.XLOOKUP(A28,対応表!A:A,対応表!B:B)</f>
        <v>#N/A</v>
      </c>
      <c r="C28" s="3">
        <f>配列!C28</f>
        <v>0</v>
      </c>
      <c r="D28" s="3" t="str">
        <f>IF(配列!E28="",RIGHT(配列!D28&amp;配列!E28,4)&amp;"L",RIGHT(配列!D28&amp;配列!E28,5))</f>
        <v>L</v>
      </c>
      <c r="E28" s="3">
        <f t="shared" si="0"/>
        <v>0</v>
      </c>
      <c r="F28" s="3" t="e">
        <f>_xlfn.XLOOKUP(E28,セットアップレポート_紐づけ用!A:A,セットアップレポート_紐づけ用!J:J)</f>
        <v>#N/A</v>
      </c>
      <c r="G28" s="3" t="e">
        <f>_xlfn.XLOOKUP(E28,セットアップレポート_紐づけ用!A:A,セットアップレポート_紐づけ用!V:V)</f>
        <v>#N/A</v>
      </c>
      <c r="H28" s="3">
        <f t="shared" si="3"/>
        <v>-2</v>
      </c>
      <c r="I28" t="str">
        <f>IF(J28=0,"",IF(配列!E28="",マクロ実行!$A$16 &amp;" T"&amp;H28&amp;"-"&amp;RIGHT(配列!D28&amp;配列!E28,2),マクロ実行!$A$16 &amp;" T"&amp;H28&amp;"-"&amp;RIGHT(配列!D28&amp;配列!E28,3)))</f>
        <v/>
      </c>
      <c r="J28">
        <f>配列!F28</f>
        <v>0</v>
      </c>
      <c r="K28" s="2" t="e">
        <f>_xlfn.XLOOKUP(E28,セットアップレポート_紐づけ用!A:A,セットアップレポート_紐づけ用!R:R)</f>
        <v>#N/A</v>
      </c>
      <c r="L28" t="e">
        <f t="shared" si="1"/>
        <v>#N/A</v>
      </c>
      <c r="M28" t="e">
        <f>_xlfn.XLOOKUP(L28,EGPro!A:A,EGPro!D:D)</f>
        <v>#N/A</v>
      </c>
      <c r="N28" t="e">
        <f>_xlfn.XLOOKUP(L28,EGPro!A:A,EGPro!C:C)</f>
        <v>#N/A</v>
      </c>
      <c r="O28" t="e">
        <f t="shared" si="2"/>
        <v>#N/A</v>
      </c>
      <c r="P28" t="e">
        <f>_xlfn.XLOOKUP(O28,EGPro!A:A,EGPro!D:D)</f>
        <v>#N/A</v>
      </c>
      <c r="Q28" t="e">
        <f>_xlfn.XLOOKUP(O28,EGPro!A:A,EGPro!C:C)</f>
        <v>#N/A</v>
      </c>
    </row>
    <row r="29" spans="1:17" x14ac:dyDescent="0.45">
      <c r="A29" s="3">
        <f>配列!B29</f>
        <v>0</v>
      </c>
      <c r="B29" s="3" t="e">
        <f>_xlfn.XLOOKUP(A29,対応表!A:A,対応表!B:B)</f>
        <v>#N/A</v>
      </c>
      <c r="C29" s="3">
        <f>配列!C29</f>
        <v>0</v>
      </c>
      <c r="D29" s="3" t="str">
        <f>IF(配列!E29="",RIGHT(配列!D29&amp;配列!E29,4)&amp;"L",RIGHT(配列!D29&amp;配列!E29,5))</f>
        <v>L</v>
      </c>
      <c r="E29" s="3">
        <f t="shared" si="0"/>
        <v>0</v>
      </c>
      <c r="F29" s="3" t="e">
        <f>_xlfn.XLOOKUP(E29,セットアップレポート_紐づけ用!A:A,セットアップレポート_紐づけ用!J:J)</f>
        <v>#N/A</v>
      </c>
      <c r="G29" s="3" t="e">
        <f>_xlfn.XLOOKUP(E29,セットアップレポート_紐づけ用!A:A,セットアップレポート_紐づけ用!V:V)</f>
        <v>#N/A</v>
      </c>
      <c r="H29" s="3">
        <f t="shared" si="3"/>
        <v>-2</v>
      </c>
      <c r="I29" t="str">
        <f>IF(J29=0,"",IF(配列!E29="",マクロ実行!$A$16 &amp;" T"&amp;H29&amp;"-"&amp;RIGHT(配列!D29&amp;配列!E29,2),マクロ実行!$A$16 &amp;" T"&amp;H29&amp;"-"&amp;RIGHT(配列!D29&amp;配列!E29,3)))</f>
        <v/>
      </c>
      <c r="J29">
        <f>配列!F29</f>
        <v>0</v>
      </c>
      <c r="K29" s="2" t="e">
        <f>_xlfn.XLOOKUP(E29,セットアップレポート_紐づけ用!A:A,セットアップレポート_紐づけ用!R:R)</f>
        <v>#N/A</v>
      </c>
      <c r="L29" t="e">
        <f t="shared" si="1"/>
        <v>#N/A</v>
      </c>
      <c r="M29" t="e">
        <f>_xlfn.XLOOKUP(L29,EGPro!A:A,EGPro!D:D)</f>
        <v>#N/A</v>
      </c>
      <c r="N29" t="e">
        <f>_xlfn.XLOOKUP(L29,EGPro!A:A,EGPro!C:C)</f>
        <v>#N/A</v>
      </c>
      <c r="O29" t="e">
        <f t="shared" si="2"/>
        <v>#N/A</v>
      </c>
      <c r="P29" t="e">
        <f>_xlfn.XLOOKUP(O29,EGPro!A:A,EGPro!D:D)</f>
        <v>#N/A</v>
      </c>
      <c r="Q29" t="e">
        <f>_xlfn.XLOOKUP(O29,EGPro!A:A,EGPro!C:C)</f>
        <v>#N/A</v>
      </c>
    </row>
    <row r="30" spans="1:17" x14ac:dyDescent="0.45">
      <c r="A30" s="3">
        <f>配列!B30</f>
        <v>0</v>
      </c>
      <c r="B30" s="3" t="e">
        <f>_xlfn.XLOOKUP(A30,対応表!A:A,対応表!B:B)</f>
        <v>#N/A</v>
      </c>
      <c r="C30" s="3">
        <f>配列!C30</f>
        <v>0</v>
      </c>
      <c r="D30" s="3" t="str">
        <f>IF(配列!E30="",RIGHT(配列!D30&amp;配列!E30,4)&amp;"L",RIGHT(配列!D30&amp;配列!E30,5))</f>
        <v>L</v>
      </c>
      <c r="E30" s="3">
        <f t="shared" si="0"/>
        <v>0</v>
      </c>
      <c r="F30" s="3" t="e">
        <f>_xlfn.XLOOKUP(E30,セットアップレポート_紐づけ用!A:A,セットアップレポート_紐づけ用!J:J)</f>
        <v>#N/A</v>
      </c>
      <c r="G30" s="3" t="e">
        <f>_xlfn.XLOOKUP(E30,セットアップレポート_紐づけ用!A:A,セットアップレポート_紐づけ用!V:V)</f>
        <v>#N/A</v>
      </c>
      <c r="H30" s="3">
        <f t="shared" si="3"/>
        <v>-2</v>
      </c>
      <c r="I30" t="str">
        <f>IF(J30=0,"",IF(配列!E30="",マクロ実行!$A$16 &amp;" T"&amp;H30&amp;"-"&amp;RIGHT(配列!D30&amp;配列!E30,2),マクロ実行!$A$16 &amp;" T"&amp;H30&amp;"-"&amp;RIGHT(配列!D30&amp;配列!E30,3)))</f>
        <v/>
      </c>
      <c r="J30">
        <f>配列!F30</f>
        <v>0</v>
      </c>
      <c r="K30" s="2" t="e">
        <f>_xlfn.XLOOKUP(E30,セットアップレポート_紐づけ用!A:A,セットアップレポート_紐づけ用!R:R)</f>
        <v>#N/A</v>
      </c>
      <c r="L30" t="e">
        <f t="shared" si="1"/>
        <v>#N/A</v>
      </c>
      <c r="M30" t="e">
        <f>_xlfn.XLOOKUP(L30,EGPro!A:A,EGPro!D:D)</f>
        <v>#N/A</v>
      </c>
      <c r="N30" t="e">
        <f>_xlfn.XLOOKUP(L30,EGPro!A:A,EGPro!C:C)</f>
        <v>#N/A</v>
      </c>
      <c r="O30" t="e">
        <f t="shared" si="2"/>
        <v>#N/A</v>
      </c>
      <c r="P30" t="e">
        <f>_xlfn.XLOOKUP(O30,EGPro!A:A,EGPro!D:D)</f>
        <v>#N/A</v>
      </c>
      <c r="Q30" t="e">
        <f>_xlfn.XLOOKUP(O30,EGPro!A:A,EGPro!C:C)</f>
        <v>#N/A</v>
      </c>
    </row>
    <row r="31" spans="1:17" x14ac:dyDescent="0.45">
      <c r="A31" s="3">
        <f>配列!B31</f>
        <v>0</v>
      </c>
      <c r="B31" s="3" t="e">
        <f>_xlfn.XLOOKUP(A31,対応表!A:A,対応表!B:B)</f>
        <v>#N/A</v>
      </c>
      <c r="C31" s="3">
        <f>配列!C31</f>
        <v>0</v>
      </c>
      <c r="D31" s="3" t="str">
        <f>IF(配列!E31="",RIGHT(配列!D31&amp;配列!E31,4)&amp;"L",RIGHT(配列!D31&amp;配列!E31,5))</f>
        <v>L</v>
      </c>
      <c r="E31" s="3">
        <f t="shared" si="0"/>
        <v>0</v>
      </c>
      <c r="F31" s="3" t="e">
        <f>_xlfn.XLOOKUP(E31,セットアップレポート_紐づけ用!A:A,セットアップレポート_紐づけ用!J:J)</f>
        <v>#N/A</v>
      </c>
      <c r="G31" s="3" t="e">
        <f>_xlfn.XLOOKUP(E31,セットアップレポート_紐づけ用!A:A,セットアップレポート_紐づけ用!V:V)</f>
        <v>#N/A</v>
      </c>
      <c r="H31" s="3">
        <f t="shared" si="3"/>
        <v>-2</v>
      </c>
      <c r="I31" t="str">
        <f>IF(J31=0,"",IF(配列!E31="",マクロ実行!$A$16 &amp;" T"&amp;H31&amp;"-"&amp;RIGHT(配列!D31&amp;配列!E31,2),マクロ実行!$A$16 &amp;" T"&amp;H31&amp;"-"&amp;RIGHT(配列!D31&amp;配列!E31,3)))</f>
        <v/>
      </c>
      <c r="J31">
        <f>配列!F31</f>
        <v>0</v>
      </c>
      <c r="K31" s="2" t="e">
        <f>_xlfn.XLOOKUP(E31,セットアップレポート_紐づけ用!A:A,セットアップレポート_紐づけ用!R:R)</f>
        <v>#N/A</v>
      </c>
      <c r="L31" t="e">
        <f t="shared" si="1"/>
        <v>#N/A</v>
      </c>
      <c r="M31" t="e">
        <f>_xlfn.XLOOKUP(L31,EGPro!A:A,EGPro!D:D)</f>
        <v>#N/A</v>
      </c>
      <c r="N31" t="e">
        <f>_xlfn.XLOOKUP(L31,EGPro!A:A,EGPro!C:C)</f>
        <v>#N/A</v>
      </c>
      <c r="O31" t="e">
        <f t="shared" si="2"/>
        <v>#N/A</v>
      </c>
      <c r="P31" t="e">
        <f>_xlfn.XLOOKUP(O31,EGPro!A:A,EGPro!D:D)</f>
        <v>#N/A</v>
      </c>
      <c r="Q31" t="e">
        <f>_xlfn.XLOOKUP(O31,EGPro!A:A,EGPro!C:C)</f>
        <v>#N/A</v>
      </c>
    </row>
    <row r="32" spans="1:17" x14ac:dyDescent="0.45">
      <c r="A32" s="3">
        <f>配列!B32</f>
        <v>0</v>
      </c>
      <c r="B32" s="3" t="e">
        <f>_xlfn.XLOOKUP(A32,対応表!A:A,対応表!B:B)</f>
        <v>#N/A</v>
      </c>
      <c r="C32" s="3">
        <f>配列!C32</f>
        <v>0</v>
      </c>
      <c r="D32" s="3" t="str">
        <f>IF(配列!E32="",RIGHT(配列!D32&amp;配列!E32,4)&amp;"L",RIGHT(配列!D32&amp;配列!E32,5))</f>
        <v>L</v>
      </c>
      <c r="E32" s="3">
        <f t="shared" si="0"/>
        <v>0</v>
      </c>
      <c r="F32" s="3" t="e">
        <f>_xlfn.XLOOKUP(E32,セットアップレポート_紐づけ用!A:A,セットアップレポート_紐づけ用!J:J)</f>
        <v>#N/A</v>
      </c>
      <c r="G32" s="3" t="e">
        <f>_xlfn.XLOOKUP(E32,セットアップレポート_紐づけ用!A:A,セットアップレポート_紐づけ用!V:V)</f>
        <v>#N/A</v>
      </c>
      <c r="H32" s="3">
        <f t="shared" si="3"/>
        <v>-2</v>
      </c>
      <c r="I32" t="str">
        <f>IF(J32=0,"",IF(配列!E32="",マクロ実行!$A$16 &amp;" T"&amp;H32&amp;"-"&amp;RIGHT(配列!D32&amp;配列!E32,2),マクロ実行!$A$16 &amp;" T"&amp;H32&amp;"-"&amp;RIGHT(配列!D32&amp;配列!E32,3)))</f>
        <v/>
      </c>
      <c r="J32">
        <f>配列!F32</f>
        <v>0</v>
      </c>
      <c r="K32" s="2" t="e">
        <f>_xlfn.XLOOKUP(E32,セットアップレポート_紐づけ用!A:A,セットアップレポート_紐づけ用!R:R)</f>
        <v>#N/A</v>
      </c>
      <c r="L32" t="e">
        <f t="shared" si="1"/>
        <v>#N/A</v>
      </c>
      <c r="M32" t="e">
        <f>_xlfn.XLOOKUP(L32,EGPro!A:A,EGPro!D:D)</f>
        <v>#N/A</v>
      </c>
      <c r="N32" t="e">
        <f>_xlfn.XLOOKUP(L32,EGPro!A:A,EGPro!C:C)</f>
        <v>#N/A</v>
      </c>
      <c r="O32" t="e">
        <f t="shared" si="2"/>
        <v>#N/A</v>
      </c>
      <c r="P32" t="e">
        <f>_xlfn.XLOOKUP(O32,EGPro!A:A,EGPro!D:D)</f>
        <v>#N/A</v>
      </c>
      <c r="Q32" t="e">
        <f>_xlfn.XLOOKUP(O32,EGPro!A:A,EGPro!C:C)</f>
        <v>#N/A</v>
      </c>
    </row>
    <row r="33" spans="1:17" x14ac:dyDescent="0.45">
      <c r="A33" s="3">
        <f>配列!B33</f>
        <v>0</v>
      </c>
      <c r="B33" s="3" t="e">
        <f>_xlfn.XLOOKUP(A33,対応表!A:A,対応表!B:B)</f>
        <v>#N/A</v>
      </c>
      <c r="C33" s="3">
        <f>配列!C33</f>
        <v>0</v>
      </c>
      <c r="D33" s="3" t="str">
        <f>IF(配列!E33="",RIGHT(配列!D33&amp;配列!E33,4)&amp;"L",RIGHT(配列!D33&amp;配列!E33,5))</f>
        <v>L</v>
      </c>
      <c r="E33" s="3">
        <f t="shared" si="0"/>
        <v>0</v>
      </c>
      <c r="F33" s="3" t="e">
        <f>_xlfn.XLOOKUP(E33,セットアップレポート_紐づけ用!A:A,セットアップレポート_紐づけ用!J:J)</f>
        <v>#N/A</v>
      </c>
      <c r="G33" s="3" t="e">
        <f>_xlfn.XLOOKUP(E33,セットアップレポート_紐づけ用!A:A,セットアップレポート_紐づけ用!V:V)</f>
        <v>#N/A</v>
      </c>
      <c r="H33" s="3">
        <f t="shared" si="3"/>
        <v>-2</v>
      </c>
      <c r="I33" t="str">
        <f>IF(J33=0,"",IF(配列!E33="",マクロ実行!$A$16 &amp;" T"&amp;H33&amp;"-"&amp;RIGHT(配列!D33&amp;配列!E33,2),マクロ実行!$A$16 &amp;" T"&amp;H33&amp;"-"&amp;RIGHT(配列!D33&amp;配列!E33,3)))</f>
        <v/>
      </c>
      <c r="J33">
        <f>配列!F33</f>
        <v>0</v>
      </c>
      <c r="K33" s="2" t="e">
        <f>_xlfn.XLOOKUP(E33,セットアップレポート_紐づけ用!A:A,セットアップレポート_紐づけ用!R:R)</f>
        <v>#N/A</v>
      </c>
      <c r="L33" t="e">
        <f t="shared" si="1"/>
        <v>#N/A</v>
      </c>
      <c r="M33" t="e">
        <f>_xlfn.XLOOKUP(L33,EGPro!A:A,EGPro!D:D)</f>
        <v>#N/A</v>
      </c>
      <c r="N33" t="e">
        <f>_xlfn.XLOOKUP(L33,EGPro!A:A,EGPro!C:C)</f>
        <v>#N/A</v>
      </c>
      <c r="O33" t="e">
        <f t="shared" si="2"/>
        <v>#N/A</v>
      </c>
      <c r="P33" t="e">
        <f>_xlfn.XLOOKUP(O33,EGPro!A:A,EGPro!D:D)</f>
        <v>#N/A</v>
      </c>
      <c r="Q33" t="e">
        <f>_xlfn.XLOOKUP(O33,EGPro!A:A,EGPro!C:C)</f>
        <v>#N/A</v>
      </c>
    </row>
    <row r="34" spans="1:17" x14ac:dyDescent="0.45">
      <c r="A34" s="3">
        <f>配列!B34</f>
        <v>0</v>
      </c>
      <c r="B34" s="3" t="e">
        <f>_xlfn.XLOOKUP(A34,対応表!A:A,対応表!B:B)</f>
        <v>#N/A</v>
      </c>
      <c r="C34" s="3">
        <f>配列!C34</f>
        <v>0</v>
      </c>
      <c r="D34" s="3" t="str">
        <f>IF(配列!E34="",RIGHT(配列!D34&amp;配列!E34,4)&amp;"L",RIGHT(配列!D34&amp;配列!E34,5))</f>
        <v>L</v>
      </c>
      <c r="E34" s="3">
        <f t="shared" si="0"/>
        <v>0</v>
      </c>
      <c r="F34" s="3" t="e">
        <f>_xlfn.XLOOKUP(E34,セットアップレポート_紐づけ用!A:A,セットアップレポート_紐づけ用!J:J)</f>
        <v>#N/A</v>
      </c>
      <c r="G34" s="3" t="e">
        <f>_xlfn.XLOOKUP(E34,セットアップレポート_紐づけ用!A:A,セットアップレポート_紐づけ用!V:V)</f>
        <v>#N/A</v>
      </c>
      <c r="H34" s="3">
        <f t="shared" si="3"/>
        <v>-2</v>
      </c>
      <c r="I34" t="str">
        <f>IF(J34=0,"",IF(配列!E34="",マクロ実行!$A$16 &amp;" T"&amp;H34&amp;"-"&amp;RIGHT(配列!D34&amp;配列!E34,2),マクロ実行!$A$16 &amp;" T"&amp;H34&amp;"-"&amp;RIGHT(配列!D34&amp;配列!E34,3)))</f>
        <v/>
      </c>
      <c r="J34">
        <f>配列!F34</f>
        <v>0</v>
      </c>
      <c r="K34" s="2" t="e">
        <f>_xlfn.XLOOKUP(E34,セットアップレポート_紐づけ用!A:A,セットアップレポート_紐づけ用!R:R)</f>
        <v>#N/A</v>
      </c>
      <c r="L34" t="e">
        <f t="shared" si="1"/>
        <v>#N/A</v>
      </c>
      <c r="M34" t="e">
        <f>_xlfn.XLOOKUP(L34,EGPro!A:A,EGPro!D:D)</f>
        <v>#N/A</v>
      </c>
      <c r="N34" t="e">
        <f>_xlfn.XLOOKUP(L34,EGPro!A:A,EGPro!C:C)</f>
        <v>#N/A</v>
      </c>
      <c r="O34" t="e">
        <f t="shared" si="2"/>
        <v>#N/A</v>
      </c>
      <c r="P34" t="e">
        <f>_xlfn.XLOOKUP(O34,EGPro!A:A,EGPro!D:D)</f>
        <v>#N/A</v>
      </c>
      <c r="Q34" t="e">
        <f>_xlfn.XLOOKUP(O34,EGPro!A:A,EGPro!C:C)</f>
        <v>#N/A</v>
      </c>
    </row>
    <row r="35" spans="1:17" x14ac:dyDescent="0.45">
      <c r="A35" s="3">
        <f>配列!B35</f>
        <v>0</v>
      </c>
      <c r="B35" s="3" t="e">
        <f>_xlfn.XLOOKUP(A35,対応表!A:A,対応表!B:B)</f>
        <v>#N/A</v>
      </c>
      <c r="C35" s="3">
        <f>配列!C35</f>
        <v>0</v>
      </c>
      <c r="D35" s="3" t="str">
        <f>IF(配列!E35="",RIGHT(配列!D35&amp;配列!E35,4)&amp;"L",RIGHT(配列!D35&amp;配列!E35,5))</f>
        <v>L</v>
      </c>
      <c r="E35" s="3">
        <f t="shared" si="0"/>
        <v>0</v>
      </c>
      <c r="F35" s="3" t="e">
        <f>_xlfn.XLOOKUP(E35,セットアップレポート_紐づけ用!A:A,セットアップレポート_紐づけ用!J:J)</f>
        <v>#N/A</v>
      </c>
      <c r="G35" s="3" t="e">
        <f>_xlfn.XLOOKUP(E35,セットアップレポート_紐づけ用!A:A,セットアップレポート_紐づけ用!V:V)</f>
        <v>#N/A</v>
      </c>
      <c r="H35" s="3">
        <f t="shared" si="3"/>
        <v>-2</v>
      </c>
      <c r="I35" t="str">
        <f>IF(J35=0,"",IF(配列!E35="",マクロ実行!$A$16 &amp;" T"&amp;H35&amp;"-"&amp;RIGHT(配列!D35&amp;配列!E35,2),マクロ実行!$A$16 &amp;" T"&amp;H35&amp;"-"&amp;RIGHT(配列!D35&amp;配列!E35,3)))</f>
        <v/>
      </c>
      <c r="J35">
        <f>配列!F35</f>
        <v>0</v>
      </c>
      <c r="K35" s="2" t="e">
        <f>_xlfn.XLOOKUP(E35,セットアップレポート_紐づけ用!A:A,セットアップレポート_紐づけ用!R:R)</f>
        <v>#N/A</v>
      </c>
      <c r="L35" t="e">
        <f t="shared" si="1"/>
        <v>#N/A</v>
      </c>
      <c r="M35" t="e">
        <f>_xlfn.XLOOKUP(L35,EGPro!A:A,EGPro!D:D)</f>
        <v>#N/A</v>
      </c>
      <c r="N35" t="e">
        <f>_xlfn.XLOOKUP(L35,EGPro!A:A,EGPro!C:C)</f>
        <v>#N/A</v>
      </c>
      <c r="O35" t="e">
        <f t="shared" si="2"/>
        <v>#N/A</v>
      </c>
      <c r="P35" t="e">
        <f>_xlfn.XLOOKUP(O35,EGPro!A:A,EGPro!D:D)</f>
        <v>#N/A</v>
      </c>
      <c r="Q35" t="e">
        <f>_xlfn.XLOOKUP(O35,EGPro!A:A,EGPro!C:C)</f>
        <v>#N/A</v>
      </c>
    </row>
    <row r="36" spans="1:17" x14ac:dyDescent="0.45">
      <c r="A36" s="3">
        <f>配列!B36</f>
        <v>0</v>
      </c>
      <c r="B36" s="3" t="e">
        <f>_xlfn.XLOOKUP(A36,対応表!A:A,対応表!B:B)</f>
        <v>#N/A</v>
      </c>
      <c r="C36" s="3">
        <f>配列!C36</f>
        <v>0</v>
      </c>
      <c r="D36" s="3" t="str">
        <f>IF(配列!E36="",RIGHT(配列!D36&amp;配列!E36,4)&amp;"L",RIGHT(配列!D36&amp;配列!E36,5))</f>
        <v>L</v>
      </c>
      <c r="E36" s="3">
        <f t="shared" si="0"/>
        <v>0</v>
      </c>
      <c r="F36" s="3" t="e">
        <f>_xlfn.XLOOKUP(E36,セットアップレポート_紐づけ用!A:A,セットアップレポート_紐づけ用!J:J)</f>
        <v>#N/A</v>
      </c>
      <c r="G36" s="3" t="e">
        <f>_xlfn.XLOOKUP(E36,セットアップレポート_紐づけ用!A:A,セットアップレポート_紐づけ用!V:V)</f>
        <v>#N/A</v>
      </c>
      <c r="H36" s="3">
        <f t="shared" si="3"/>
        <v>-2</v>
      </c>
      <c r="I36" t="str">
        <f>IF(J36=0,"",IF(配列!E36="",マクロ実行!$A$16 &amp;" T"&amp;H36&amp;"-"&amp;RIGHT(配列!D36&amp;配列!E36,2),マクロ実行!$A$16 &amp;" T"&amp;H36&amp;"-"&amp;RIGHT(配列!D36&amp;配列!E36,3)))</f>
        <v/>
      </c>
      <c r="J36">
        <f>配列!F36</f>
        <v>0</v>
      </c>
      <c r="K36" s="2" t="e">
        <f>_xlfn.XLOOKUP(E36,セットアップレポート_紐づけ用!A:A,セットアップレポート_紐づけ用!R:R)</f>
        <v>#N/A</v>
      </c>
      <c r="L36" t="e">
        <f t="shared" si="1"/>
        <v>#N/A</v>
      </c>
      <c r="M36" t="e">
        <f>_xlfn.XLOOKUP(L36,EGPro!A:A,EGPro!D:D)</f>
        <v>#N/A</v>
      </c>
      <c r="N36" t="e">
        <f>_xlfn.XLOOKUP(L36,EGPro!A:A,EGPro!C:C)</f>
        <v>#N/A</v>
      </c>
      <c r="O36" t="e">
        <f t="shared" si="2"/>
        <v>#N/A</v>
      </c>
      <c r="P36" t="e">
        <f>_xlfn.XLOOKUP(O36,EGPro!A:A,EGPro!D:D)</f>
        <v>#N/A</v>
      </c>
      <c r="Q36" t="e">
        <f>_xlfn.XLOOKUP(O36,EGPro!A:A,EGPro!C:C)</f>
        <v>#N/A</v>
      </c>
    </row>
    <row r="37" spans="1:17" x14ac:dyDescent="0.45">
      <c r="A37" s="3">
        <f>配列!B37</f>
        <v>0</v>
      </c>
      <c r="B37" s="3" t="e">
        <f>_xlfn.XLOOKUP(A37,対応表!A:A,対応表!B:B)</f>
        <v>#N/A</v>
      </c>
      <c r="C37" s="3">
        <f>配列!C37</f>
        <v>0</v>
      </c>
      <c r="D37" s="3" t="str">
        <f>IF(配列!E37="",RIGHT(配列!D37&amp;配列!E37,4)&amp;"L",RIGHT(配列!D37&amp;配列!E37,5))</f>
        <v>L</v>
      </c>
      <c r="E37" s="3">
        <f t="shared" si="0"/>
        <v>0</v>
      </c>
      <c r="F37" s="3" t="e">
        <f>_xlfn.XLOOKUP(E37,セットアップレポート_紐づけ用!A:A,セットアップレポート_紐づけ用!J:J)</f>
        <v>#N/A</v>
      </c>
      <c r="G37" s="3" t="e">
        <f>_xlfn.XLOOKUP(E37,セットアップレポート_紐づけ用!A:A,セットアップレポート_紐づけ用!V:V)</f>
        <v>#N/A</v>
      </c>
      <c r="H37" s="3">
        <f t="shared" si="3"/>
        <v>-2</v>
      </c>
      <c r="I37" t="str">
        <f>IF(J37=0,"",IF(配列!E37="",マクロ実行!$A$16 &amp;" T"&amp;H37&amp;"-"&amp;RIGHT(配列!D37&amp;配列!E37,2),マクロ実行!$A$16 &amp;" T"&amp;H37&amp;"-"&amp;RIGHT(配列!D37&amp;配列!E37,3)))</f>
        <v/>
      </c>
      <c r="J37">
        <f>配列!F37</f>
        <v>0</v>
      </c>
      <c r="K37" s="2" t="e">
        <f>_xlfn.XLOOKUP(E37,セットアップレポート_紐づけ用!A:A,セットアップレポート_紐づけ用!R:R)</f>
        <v>#N/A</v>
      </c>
      <c r="L37" t="e">
        <f t="shared" si="1"/>
        <v>#N/A</v>
      </c>
      <c r="M37" t="e">
        <f>_xlfn.XLOOKUP(L37,EGPro!A:A,EGPro!D:D)</f>
        <v>#N/A</v>
      </c>
      <c r="N37" t="e">
        <f>_xlfn.XLOOKUP(L37,EGPro!A:A,EGPro!C:C)</f>
        <v>#N/A</v>
      </c>
      <c r="O37" t="e">
        <f t="shared" si="2"/>
        <v>#N/A</v>
      </c>
      <c r="P37" t="e">
        <f>_xlfn.XLOOKUP(O37,EGPro!A:A,EGPro!D:D)</f>
        <v>#N/A</v>
      </c>
      <c r="Q37" t="e">
        <f>_xlfn.XLOOKUP(O37,EGPro!A:A,EGPro!C:C)</f>
        <v>#N/A</v>
      </c>
    </row>
    <row r="38" spans="1:17" x14ac:dyDescent="0.45">
      <c r="A38" s="3">
        <f>配列!B38</f>
        <v>0</v>
      </c>
      <c r="B38" s="3" t="e">
        <f>_xlfn.XLOOKUP(A38,対応表!A:A,対応表!B:B)</f>
        <v>#N/A</v>
      </c>
      <c r="C38" s="3">
        <f>配列!C38</f>
        <v>0</v>
      </c>
      <c r="D38" s="3" t="str">
        <f>IF(配列!E38="",RIGHT(配列!D38&amp;配列!E38,4)&amp;"L",RIGHT(配列!D38&amp;配列!E38,5))</f>
        <v>L</v>
      </c>
      <c r="E38" s="3">
        <f t="shared" si="0"/>
        <v>0</v>
      </c>
      <c r="F38" s="3" t="e">
        <f>_xlfn.XLOOKUP(E38,セットアップレポート_紐づけ用!A:A,セットアップレポート_紐づけ用!J:J)</f>
        <v>#N/A</v>
      </c>
      <c r="G38" s="3" t="e">
        <f>_xlfn.XLOOKUP(E38,セットアップレポート_紐づけ用!A:A,セットアップレポート_紐づけ用!V:V)</f>
        <v>#N/A</v>
      </c>
      <c r="H38" s="3">
        <f t="shared" si="3"/>
        <v>-2</v>
      </c>
      <c r="I38" t="str">
        <f>IF(J38=0,"",IF(配列!E38="",マクロ実行!$A$16 &amp;" T"&amp;H38&amp;"-"&amp;RIGHT(配列!D38&amp;配列!E38,2),マクロ実行!$A$16 &amp;" T"&amp;H38&amp;"-"&amp;RIGHT(配列!D38&amp;配列!E38,3)))</f>
        <v/>
      </c>
      <c r="J38">
        <f>配列!F38</f>
        <v>0</v>
      </c>
      <c r="K38" s="2" t="e">
        <f>_xlfn.XLOOKUP(E38,セットアップレポート_紐づけ用!A:A,セットアップレポート_紐づけ用!R:R)</f>
        <v>#N/A</v>
      </c>
      <c r="L38" t="e">
        <f t="shared" si="1"/>
        <v>#N/A</v>
      </c>
      <c r="M38" t="e">
        <f>_xlfn.XLOOKUP(L38,EGPro!A:A,EGPro!D:D)</f>
        <v>#N/A</v>
      </c>
      <c r="N38" t="e">
        <f>_xlfn.XLOOKUP(L38,EGPro!A:A,EGPro!C:C)</f>
        <v>#N/A</v>
      </c>
      <c r="O38" t="e">
        <f t="shared" si="2"/>
        <v>#N/A</v>
      </c>
      <c r="P38" t="e">
        <f>_xlfn.XLOOKUP(O38,EGPro!A:A,EGPro!D:D)</f>
        <v>#N/A</v>
      </c>
      <c r="Q38" t="e">
        <f>_xlfn.XLOOKUP(O38,EGPro!A:A,EGPro!C:C)</f>
        <v>#N/A</v>
      </c>
    </row>
    <row r="39" spans="1:17" x14ac:dyDescent="0.45">
      <c r="A39" s="3">
        <f>配列!B39</f>
        <v>0</v>
      </c>
      <c r="B39" s="3" t="e">
        <f>_xlfn.XLOOKUP(A39,対応表!A:A,対応表!B:B)</f>
        <v>#N/A</v>
      </c>
      <c r="C39" s="3">
        <f>配列!C39</f>
        <v>0</v>
      </c>
      <c r="D39" s="3" t="str">
        <f>IF(配列!E39="",RIGHT(配列!D39&amp;配列!E39,4)&amp;"L",RIGHT(配列!D39&amp;配列!E39,5))</f>
        <v>L</v>
      </c>
      <c r="E39" s="3">
        <f t="shared" si="0"/>
        <v>0</v>
      </c>
      <c r="F39" s="3" t="e">
        <f>_xlfn.XLOOKUP(E39,セットアップレポート_紐づけ用!A:A,セットアップレポート_紐づけ用!J:J)</f>
        <v>#N/A</v>
      </c>
      <c r="G39" s="3" t="e">
        <f>_xlfn.XLOOKUP(E39,セットアップレポート_紐づけ用!A:A,セットアップレポート_紐づけ用!V:V)</f>
        <v>#N/A</v>
      </c>
      <c r="H39" s="3">
        <f t="shared" si="3"/>
        <v>-2</v>
      </c>
      <c r="I39" t="str">
        <f>IF(J39=0,"",IF(配列!E39="",マクロ実行!$A$16 &amp;" T"&amp;H39&amp;"-"&amp;RIGHT(配列!D39&amp;配列!E39,2),マクロ実行!$A$16 &amp;" T"&amp;H39&amp;"-"&amp;RIGHT(配列!D39&amp;配列!E39,3)))</f>
        <v/>
      </c>
      <c r="J39">
        <f>配列!F39</f>
        <v>0</v>
      </c>
      <c r="K39" s="2" t="e">
        <f>_xlfn.XLOOKUP(E39,セットアップレポート_紐づけ用!A:A,セットアップレポート_紐づけ用!R:R)</f>
        <v>#N/A</v>
      </c>
      <c r="L39" t="e">
        <f t="shared" si="1"/>
        <v>#N/A</v>
      </c>
      <c r="M39" t="e">
        <f>_xlfn.XLOOKUP(L39,EGPro!A:A,EGPro!D:D)</f>
        <v>#N/A</v>
      </c>
      <c r="N39" t="e">
        <f>_xlfn.XLOOKUP(L39,EGPro!A:A,EGPro!C:C)</f>
        <v>#N/A</v>
      </c>
      <c r="O39" t="e">
        <f t="shared" si="2"/>
        <v>#N/A</v>
      </c>
      <c r="P39" t="e">
        <f>_xlfn.XLOOKUP(O39,EGPro!A:A,EGPro!D:D)</f>
        <v>#N/A</v>
      </c>
      <c r="Q39" t="e">
        <f>_xlfn.XLOOKUP(O39,EGPro!A:A,EGPro!C:C)</f>
        <v>#N/A</v>
      </c>
    </row>
    <row r="40" spans="1:17" x14ac:dyDescent="0.45">
      <c r="A40" s="3">
        <f>配列!B40</f>
        <v>0</v>
      </c>
      <c r="B40" s="3" t="e">
        <f>_xlfn.XLOOKUP(A40,対応表!A:A,対応表!B:B)</f>
        <v>#N/A</v>
      </c>
      <c r="C40" s="3">
        <f>配列!C40</f>
        <v>0</v>
      </c>
      <c r="D40" s="3" t="str">
        <f>IF(配列!E40="",RIGHT(配列!D40&amp;配列!E40,4)&amp;"L",RIGHT(配列!D40&amp;配列!E40,5))</f>
        <v>L</v>
      </c>
      <c r="E40" s="3">
        <f t="shared" si="0"/>
        <v>0</v>
      </c>
      <c r="F40" s="3" t="e">
        <f>_xlfn.XLOOKUP(E40,セットアップレポート_紐づけ用!A:A,セットアップレポート_紐づけ用!J:J)</f>
        <v>#N/A</v>
      </c>
      <c r="G40" s="3" t="e">
        <f>_xlfn.XLOOKUP(E40,セットアップレポート_紐づけ用!A:A,セットアップレポート_紐づけ用!V:V)</f>
        <v>#N/A</v>
      </c>
      <c r="H40" s="3">
        <f t="shared" si="3"/>
        <v>-2</v>
      </c>
      <c r="I40" t="str">
        <f>IF(J40=0,"",IF(配列!E40="",マクロ実行!$A$16 &amp;" T"&amp;H40&amp;"-"&amp;RIGHT(配列!D40&amp;配列!E40,2),マクロ実行!$A$16 &amp;" T"&amp;H40&amp;"-"&amp;RIGHT(配列!D40&amp;配列!E40,3)))</f>
        <v/>
      </c>
      <c r="J40">
        <f>配列!F40</f>
        <v>0</v>
      </c>
      <c r="K40" s="2" t="e">
        <f>_xlfn.XLOOKUP(E40,セットアップレポート_紐づけ用!A:A,セットアップレポート_紐づけ用!R:R)</f>
        <v>#N/A</v>
      </c>
      <c r="L40" t="e">
        <f t="shared" si="1"/>
        <v>#N/A</v>
      </c>
      <c r="M40" t="e">
        <f>_xlfn.XLOOKUP(L40,EGPro!A:A,EGPro!D:D)</f>
        <v>#N/A</v>
      </c>
      <c r="N40" t="e">
        <f>_xlfn.XLOOKUP(L40,EGPro!A:A,EGPro!C:C)</f>
        <v>#N/A</v>
      </c>
      <c r="O40" t="e">
        <f t="shared" si="2"/>
        <v>#N/A</v>
      </c>
      <c r="P40" t="e">
        <f>_xlfn.XLOOKUP(O40,EGPro!A:A,EGPro!D:D)</f>
        <v>#N/A</v>
      </c>
      <c r="Q40" t="e">
        <f>_xlfn.XLOOKUP(O40,EGPro!A:A,EGPro!C:C)</f>
        <v>#N/A</v>
      </c>
    </row>
    <row r="41" spans="1:17" x14ac:dyDescent="0.45">
      <c r="A41" s="3">
        <f>配列!B41</f>
        <v>0</v>
      </c>
      <c r="B41" s="3" t="e">
        <f>_xlfn.XLOOKUP(A41,対応表!A:A,対応表!B:B)</f>
        <v>#N/A</v>
      </c>
      <c r="C41" s="3">
        <f>配列!C41</f>
        <v>0</v>
      </c>
      <c r="D41" s="3" t="str">
        <f>IF(配列!E41="",RIGHT(配列!D41&amp;配列!E41,4)&amp;"L",RIGHT(配列!D41&amp;配列!E41,5))</f>
        <v>L</v>
      </c>
      <c r="E41" s="3">
        <f t="shared" si="0"/>
        <v>0</v>
      </c>
      <c r="F41" s="3" t="e">
        <f>_xlfn.XLOOKUP(E41,セットアップレポート_紐づけ用!A:A,セットアップレポート_紐づけ用!J:J)</f>
        <v>#N/A</v>
      </c>
      <c r="G41" s="3" t="e">
        <f>_xlfn.XLOOKUP(E41,セットアップレポート_紐づけ用!A:A,セットアップレポート_紐づけ用!V:V)</f>
        <v>#N/A</v>
      </c>
      <c r="H41" s="3">
        <f t="shared" si="3"/>
        <v>-2</v>
      </c>
      <c r="I41" t="str">
        <f>IF(J41=0,"",IF(配列!E41="",マクロ実行!$A$16 &amp;" T"&amp;H41&amp;"-"&amp;RIGHT(配列!D41&amp;配列!E41,2),マクロ実行!$A$16 &amp;" T"&amp;H41&amp;"-"&amp;RIGHT(配列!D41&amp;配列!E41,3)))</f>
        <v/>
      </c>
      <c r="J41">
        <f>配列!F41</f>
        <v>0</v>
      </c>
      <c r="K41" s="2" t="e">
        <f>_xlfn.XLOOKUP(E41,セットアップレポート_紐づけ用!A:A,セットアップレポート_紐づけ用!R:R)</f>
        <v>#N/A</v>
      </c>
      <c r="L41" t="e">
        <f t="shared" si="1"/>
        <v>#N/A</v>
      </c>
      <c r="M41" t="e">
        <f>_xlfn.XLOOKUP(L41,EGPro!A:A,EGPro!D:D)</f>
        <v>#N/A</v>
      </c>
      <c r="N41" t="e">
        <f>_xlfn.XLOOKUP(L41,EGPro!A:A,EGPro!C:C)</f>
        <v>#N/A</v>
      </c>
      <c r="O41" t="e">
        <f t="shared" si="2"/>
        <v>#N/A</v>
      </c>
      <c r="P41" t="e">
        <f>_xlfn.XLOOKUP(O41,EGPro!A:A,EGPro!D:D)</f>
        <v>#N/A</v>
      </c>
      <c r="Q41" t="e">
        <f>_xlfn.XLOOKUP(O41,EGPro!A:A,EGPro!C:C)</f>
        <v>#N/A</v>
      </c>
    </row>
    <row r="42" spans="1:17" x14ac:dyDescent="0.45">
      <c r="A42" s="3">
        <f>配列!B42</f>
        <v>0</v>
      </c>
      <c r="B42" s="3" t="e">
        <f>_xlfn.XLOOKUP(A42,対応表!A:A,対応表!B:B)</f>
        <v>#N/A</v>
      </c>
      <c r="C42" s="3">
        <f>配列!C42</f>
        <v>0</v>
      </c>
      <c r="D42" s="3" t="str">
        <f>IF(配列!E42="",RIGHT(配列!D42&amp;配列!E42,4)&amp;"L",RIGHT(配列!D42&amp;配列!E42,5))</f>
        <v>L</v>
      </c>
      <c r="E42" s="3">
        <f t="shared" si="0"/>
        <v>0</v>
      </c>
      <c r="F42" s="3" t="e">
        <f>_xlfn.XLOOKUP(E42,セットアップレポート_紐づけ用!A:A,セットアップレポート_紐づけ用!J:J)</f>
        <v>#N/A</v>
      </c>
      <c r="G42" s="3" t="e">
        <f>_xlfn.XLOOKUP(E42,セットアップレポート_紐づけ用!A:A,セットアップレポート_紐づけ用!V:V)</f>
        <v>#N/A</v>
      </c>
      <c r="H42" s="3">
        <f t="shared" si="3"/>
        <v>-2</v>
      </c>
      <c r="I42" t="str">
        <f>IF(J42=0,"",IF(配列!E42="",マクロ実行!$A$16 &amp;" T"&amp;H42&amp;"-"&amp;RIGHT(配列!D42&amp;配列!E42,2),マクロ実行!$A$16 &amp;" T"&amp;H42&amp;"-"&amp;RIGHT(配列!D42&amp;配列!E42,3)))</f>
        <v/>
      </c>
      <c r="J42">
        <f>配列!F42</f>
        <v>0</v>
      </c>
      <c r="K42" s="2" t="e">
        <f>_xlfn.XLOOKUP(E42,セットアップレポート_紐づけ用!A:A,セットアップレポート_紐づけ用!R:R)</f>
        <v>#N/A</v>
      </c>
      <c r="L42" t="e">
        <f t="shared" si="1"/>
        <v>#N/A</v>
      </c>
      <c r="M42" t="e">
        <f>_xlfn.XLOOKUP(L42,EGPro!A:A,EGPro!D:D)</f>
        <v>#N/A</v>
      </c>
      <c r="N42" t="e">
        <f>_xlfn.XLOOKUP(L42,EGPro!A:A,EGPro!C:C)</f>
        <v>#N/A</v>
      </c>
      <c r="O42" t="e">
        <f t="shared" si="2"/>
        <v>#N/A</v>
      </c>
      <c r="P42" t="e">
        <f>_xlfn.XLOOKUP(O42,EGPro!A:A,EGPro!D:D)</f>
        <v>#N/A</v>
      </c>
      <c r="Q42" t="e">
        <f>_xlfn.XLOOKUP(O42,EGPro!A:A,EGPro!C:C)</f>
        <v>#N/A</v>
      </c>
    </row>
    <row r="43" spans="1:17" x14ac:dyDescent="0.45">
      <c r="A43" s="3">
        <f>配列!B43</f>
        <v>0</v>
      </c>
      <c r="B43" s="3" t="e">
        <f>_xlfn.XLOOKUP(A43,対応表!A:A,対応表!B:B)</f>
        <v>#N/A</v>
      </c>
      <c r="C43" s="3">
        <f>配列!C43</f>
        <v>0</v>
      </c>
      <c r="D43" s="3" t="str">
        <f>IF(配列!E43="",RIGHT(配列!D43&amp;配列!E43,4)&amp;"L",RIGHT(配列!D43&amp;配列!E43,5))</f>
        <v>L</v>
      </c>
      <c r="E43" s="3">
        <f t="shared" si="0"/>
        <v>0</v>
      </c>
      <c r="F43" s="3" t="e">
        <f>_xlfn.XLOOKUP(E43,セットアップレポート_紐づけ用!A:A,セットアップレポート_紐づけ用!J:J)</f>
        <v>#N/A</v>
      </c>
      <c r="G43" s="3" t="e">
        <f>_xlfn.XLOOKUP(E43,セットアップレポート_紐づけ用!A:A,セットアップレポート_紐づけ用!V:V)</f>
        <v>#N/A</v>
      </c>
      <c r="H43" s="3">
        <f t="shared" si="3"/>
        <v>-2</v>
      </c>
      <c r="I43" t="str">
        <f>IF(J43=0,"",IF(配列!E43="",マクロ実行!$A$16 &amp;" T"&amp;H43&amp;"-"&amp;RIGHT(配列!D43&amp;配列!E43,2),マクロ実行!$A$16 &amp;" T"&amp;H43&amp;"-"&amp;RIGHT(配列!D43&amp;配列!E43,3)))</f>
        <v/>
      </c>
      <c r="J43">
        <f>配列!F43</f>
        <v>0</v>
      </c>
      <c r="K43" s="2" t="e">
        <f>_xlfn.XLOOKUP(E43,セットアップレポート_紐づけ用!A:A,セットアップレポート_紐づけ用!R:R)</f>
        <v>#N/A</v>
      </c>
      <c r="L43" t="e">
        <f t="shared" si="1"/>
        <v>#N/A</v>
      </c>
      <c r="M43" t="e">
        <f>_xlfn.XLOOKUP(L43,EGPro!A:A,EGPro!D:D)</f>
        <v>#N/A</v>
      </c>
      <c r="N43" t="e">
        <f>_xlfn.XLOOKUP(L43,EGPro!A:A,EGPro!C:C)</f>
        <v>#N/A</v>
      </c>
      <c r="O43" t="e">
        <f t="shared" si="2"/>
        <v>#N/A</v>
      </c>
      <c r="P43" t="e">
        <f>_xlfn.XLOOKUP(O43,EGPro!A:A,EGPro!D:D)</f>
        <v>#N/A</v>
      </c>
      <c r="Q43" t="e">
        <f>_xlfn.XLOOKUP(O43,EGPro!A:A,EGPro!C:C)</f>
        <v>#N/A</v>
      </c>
    </row>
    <row r="44" spans="1:17" x14ac:dyDescent="0.45">
      <c r="A44" s="3">
        <f>配列!B44</f>
        <v>0</v>
      </c>
      <c r="B44" s="3" t="e">
        <f>_xlfn.XLOOKUP(A44,対応表!A:A,対応表!B:B)</f>
        <v>#N/A</v>
      </c>
      <c r="C44" s="3">
        <f>配列!C44</f>
        <v>0</v>
      </c>
      <c r="D44" s="3" t="str">
        <f>IF(配列!E44="",RIGHT(配列!D44&amp;配列!E44,4)&amp;"L",RIGHT(配列!D44&amp;配列!E44,5))</f>
        <v>L</v>
      </c>
      <c r="E44" s="3">
        <f t="shared" si="0"/>
        <v>0</v>
      </c>
      <c r="F44" s="3" t="e">
        <f>_xlfn.XLOOKUP(E44,セットアップレポート_紐づけ用!A:A,セットアップレポート_紐づけ用!J:J)</f>
        <v>#N/A</v>
      </c>
      <c r="G44" s="3" t="e">
        <f>_xlfn.XLOOKUP(E44,セットアップレポート_紐づけ用!A:A,セットアップレポート_紐づけ用!V:V)</f>
        <v>#N/A</v>
      </c>
      <c r="H44" s="3">
        <f t="shared" si="3"/>
        <v>-2</v>
      </c>
      <c r="I44" t="str">
        <f>IF(J44=0,"",IF(配列!E44="",マクロ実行!$A$16 &amp;" T"&amp;H44&amp;"-"&amp;RIGHT(配列!D44&amp;配列!E44,2),マクロ実行!$A$16 &amp;" T"&amp;H44&amp;"-"&amp;RIGHT(配列!D44&amp;配列!E44,3)))</f>
        <v/>
      </c>
      <c r="J44">
        <f>配列!F44</f>
        <v>0</v>
      </c>
      <c r="K44" s="2" t="e">
        <f>_xlfn.XLOOKUP(E44,セットアップレポート_紐づけ用!A:A,セットアップレポート_紐づけ用!R:R)</f>
        <v>#N/A</v>
      </c>
      <c r="L44" t="e">
        <f t="shared" si="1"/>
        <v>#N/A</v>
      </c>
      <c r="M44" t="e">
        <f>_xlfn.XLOOKUP(L44,EGPro!A:A,EGPro!D:D)</f>
        <v>#N/A</v>
      </c>
      <c r="N44" t="e">
        <f>_xlfn.XLOOKUP(L44,EGPro!A:A,EGPro!C:C)</f>
        <v>#N/A</v>
      </c>
      <c r="O44" t="e">
        <f t="shared" si="2"/>
        <v>#N/A</v>
      </c>
      <c r="P44" t="e">
        <f>_xlfn.XLOOKUP(O44,EGPro!A:A,EGPro!D:D)</f>
        <v>#N/A</v>
      </c>
      <c r="Q44" t="e">
        <f>_xlfn.XLOOKUP(O44,EGPro!A:A,EGPro!C:C)</f>
        <v>#N/A</v>
      </c>
    </row>
    <row r="45" spans="1:17" x14ac:dyDescent="0.45">
      <c r="A45" s="3">
        <f>配列!B45</f>
        <v>0</v>
      </c>
      <c r="B45" s="3" t="e">
        <f>_xlfn.XLOOKUP(A45,対応表!A:A,対応表!B:B)</f>
        <v>#N/A</v>
      </c>
      <c r="C45" s="3">
        <f>配列!C45</f>
        <v>0</v>
      </c>
      <c r="D45" s="3" t="str">
        <f>IF(配列!E45="",RIGHT(配列!D45&amp;配列!E45,4)&amp;"L",RIGHT(配列!D45&amp;配列!E45,5))</f>
        <v>L</v>
      </c>
      <c r="E45" s="3">
        <f t="shared" si="0"/>
        <v>0</v>
      </c>
      <c r="F45" s="3" t="e">
        <f>_xlfn.XLOOKUP(E45,セットアップレポート_紐づけ用!A:A,セットアップレポート_紐づけ用!J:J)</f>
        <v>#N/A</v>
      </c>
      <c r="G45" s="3" t="e">
        <f>_xlfn.XLOOKUP(E45,セットアップレポート_紐づけ用!A:A,セットアップレポート_紐づけ用!V:V)</f>
        <v>#N/A</v>
      </c>
      <c r="H45" s="3">
        <f t="shared" si="3"/>
        <v>-2</v>
      </c>
      <c r="I45" t="str">
        <f>IF(J45=0,"",IF(配列!E45="",マクロ実行!$A$16 &amp;" T"&amp;H45&amp;"-"&amp;RIGHT(配列!D45&amp;配列!E45,2),マクロ実行!$A$16 &amp;" T"&amp;H45&amp;"-"&amp;RIGHT(配列!D45&amp;配列!E45,3)))</f>
        <v/>
      </c>
      <c r="J45">
        <f>配列!F45</f>
        <v>0</v>
      </c>
      <c r="K45" s="2" t="e">
        <f>_xlfn.XLOOKUP(E45,セットアップレポート_紐づけ用!A:A,セットアップレポート_紐づけ用!R:R)</f>
        <v>#N/A</v>
      </c>
      <c r="L45" t="e">
        <f t="shared" si="1"/>
        <v>#N/A</v>
      </c>
      <c r="M45" t="e">
        <f>_xlfn.XLOOKUP(L45,EGPro!A:A,EGPro!D:D)</f>
        <v>#N/A</v>
      </c>
      <c r="N45" t="e">
        <f>_xlfn.XLOOKUP(L45,EGPro!A:A,EGPro!C:C)</f>
        <v>#N/A</v>
      </c>
      <c r="O45" t="e">
        <f t="shared" si="2"/>
        <v>#N/A</v>
      </c>
      <c r="P45" t="e">
        <f>_xlfn.XLOOKUP(O45,EGPro!A:A,EGPro!D:D)</f>
        <v>#N/A</v>
      </c>
      <c r="Q45" t="e">
        <f>_xlfn.XLOOKUP(O45,EGPro!A:A,EGPro!C:C)</f>
        <v>#N/A</v>
      </c>
    </row>
    <row r="46" spans="1:17" x14ac:dyDescent="0.45">
      <c r="A46" s="3">
        <f>配列!B46</f>
        <v>0</v>
      </c>
      <c r="B46" s="3" t="e">
        <f>_xlfn.XLOOKUP(A46,対応表!A:A,対応表!B:B)</f>
        <v>#N/A</v>
      </c>
      <c r="C46" s="3">
        <f>配列!C46</f>
        <v>0</v>
      </c>
      <c r="D46" s="3" t="str">
        <f>IF(配列!E46="",RIGHT(配列!D46&amp;配列!E46,4)&amp;"L",RIGHT(配列!D46&amp;配列!E46,5))</f>
        <v>L</v>
      </c>
      <c r="E46" s="3">
        <f t="shared" si="0"/>
        <v>0</v>
      </c>
      <c r="F46" s="3" t="e">
        <f>_xlfn.XLOOKUP(E46,セットアップレポート_紐づけ用!A:A,セットアップレポート_紐づけ用!J:J)</f>
        <v>#N/A</v>
      </c>
      <c r="G46" s="3" t="e">
        <f>_xlfn.XLOOKUP(E46,セットアップレポート_紐づけ用!A:A,セットアップレポート_紐づけ用!V:V)</f>
        <v>#N/A</v>
      </c>
      <c r="H46" s="3">
        <f t="shared" si="3"/>
        <v>-2</v>
      </c>
      <c r="I46" t="str">
        <f>IF(J46=0,"",IF(配列!E46="",マクロ実行!$A$16 &amp;" T"&amp;H46&amp;"-"&amp;RIGHT(配列!D46&amp;配列!E46,2),マクロ実行!$A$16 &amp;" T"&amp;H46&amp;"-"&amp;RIGHT(配列!D46&amp;配列!E46,3)))</f>
        <v/>
      </c>
      <c r="J46">
        <f>配列!F46</f>
        <v>0</v>
      </c>
      <c r="K46" s="2" t="e">
        <f>_xlfn.XLOOKUP(E46,セットアップレポート_紐づけ用!A:A,セットアップレポート_紐づけ用!R:R)</f>
        <v>#N/A</v>
      </c>
      <c r="L46" t="e">
        <f t="shared" si="1"/>
        <v>#N/A</v>
      </c>
      <c r="M46" t="e">
        <f>_xlfn.XLOOKUP(L46,EGPro!A:A,EGPro!D:D)</f>
        <v>#N/A</v>
      </c>
      <c r="N46" t="e">
        <f>_xlfn.XLOOKUP(L46,EGPro!A:A,EGPro!C:C)</f>
        <v>#N/A</v>
      </c>
      <c r="O46" t="e">
        <f t="shared" si="2"/>
        <v>#N/A</v>
      </c>
      <c r="P46" t="e">
        <f>_xlfn.XLOOKUP(O46,EGPro!A:A,EGPro!D:D)</f>
        <v>#N/A</v>
      </c>
      <c r="Q46" t="e">
        <f>_xlfn.XLOOKUP(O46,EGPro!A:A,EGPro!C:C)</f>
        <v>#N/A</v>
      </c>
    </row>
    <row r="47" spans="1:17" x14ac:dyDescent="0.45">
      <c r="A47" s="3">
        <f>配列!B47</f>
        <v>0</v>
      </c>
      <c r="B47" s="3" t="e">
        <f>_xlfn.XLOOKUP(A47,対応表!A:A,対応表!B:B)</f>
        <v>#N/A</v>
      </c>
      <c r="C47" s="3">
        <f>配列!C47</f>
        <v>0</v>
      </c>
      <c r="D47" s="3" t="str">
        <f>IF(配列!E47="",RIGHT(配列!D47&amp;配列!E47,4)&amp;"L",RIGHT(配列!D47&amp;配列!E47,5))</f>
        <v>L</v>
      </c>
      <c r="E47" s="3">
        <f t="shared" si="0"/>
        <v>0</v>
      </c>
      <c r="F47" s="3" t="e">
        <f>_xlfn.XLOOKUP(E47,セットアップレポート_紐づけ用!A:A,セットアップレポート_紐づけ用!J:J)</f>
        <v>#N/A</v>
      </c>
      <c r="G47" s="3" t="e">
        <f>_xlfn.XLOOKUP(E47,セットアップレポート_紐づけ用!A:A,セットアップレポート_紐づけ用!V:V)</f>
        <v>#N/A</v>
      </c>
      <c r="H47" s="3">
        <f t="shared" si="3"/>
        <v>-2</v>
      </c>
      <c r="I47" t="str">
        <f>IF(J47=0,"",IF(配列!E47="",マクロ実行!$A$16 &amp;" T"&amp;H47&amp;"-"&amp;RIGHT(配列!D47&amp;配列!E47,2),マクロ実行!$A$16 &amp;" T"&amp;H47&amp;"-"&amp;RIGHT(配列!D47&amp;配列!E47,3)))</f>
        <v/>
      </c>
      <c r="J47">
        <f>配列!F47</f>
        <v>0</v>
      </c>
      <c r="K47" s="2" t="e">
        <f>_xlfn.XLOOKUP(E47,セットアップレポート_紐づけ用!A:A,セットアップレポート_紐づけ用!R:R)</f>
        <v>#N/A</v>
      </c>
      <c r="L47" t="e">
        <f t="shared" si="1"/>
        <v>#N/A</v>
      </c>
      <c r="M47" t="e">
        <f>_xlfn.XLOOKUP(L47,EGPro!A:A,EGPro!D:D)</f>
        <v>#N/A</v>
      </c>
      <c r="N47" t="e">
        <f>_xlfn.XLOOKUP(L47,EGPro!A:A,EGPro!C:C)</f>
        <v>#N/A</v>
      </c>
      <c r="O47" t="e">
        <f t="shared" si="2"/>
        <v>#N/A</v>
      </c>
      <c r="P47" t="e">
        <f>_xlfn.XLOOKUP(O47,EGPro!A:A,EGPro!D:D)</f>
        <v>#N/A</v>
      </c>
      <c r="Q47" t="e">
        <f>_xlfn.XLOOKUP(O47,EGPro!A:A,EGPro!C:C)</f>
        <v>#N/A</v>
      </c>
    </row>
    <row r="48" spans="1:17" x14ac:dyDescent="0.45">
      <c r="A48" s="3">
        <f>配列!B48</f>
        <v>0</v>
      </c>
      <c r="B48" s="3" t="e">
        <f>_xlfn.XLOOKUP(A48,対応表!A:A,対応表!B:B)</f>
        <v>#N/A</v>
      </c>
      <c r="C48" s="3">
        <f>配列!C48</f>
        <v>0</v>
      </c>
      <c r="D48" s="3" t="str">
        <f>IF(配列!E48="",RIGHT(配列!D48&amp;配列!E48,4)&amp;"L",RIGHT(配列!D48&amp;配列!E48,5))</f>
        <v>L</v>
      </c>
      <c r="E48" s="3">
        <f t="shared" si="0"/>
        <v>0</v>
      </c>
      <c r="F48" s="3" t="e">
        <f>_xlfn.XLOOKUP(E48,セットアップレポート_紐づけ用!A:A,セットアップレポート_紐づけ用!J:J)</f>
        <v>#N/A</v>
      </c>
      <c r="G48" s="3" t="e">
        <f>_xlfn.XLOOKUP(E48,セットアップレポート_紐づけ用!A:A,セットアップレポート_紐づけ用!V:V)</f>
        <v>#N/A</v>
      </c>
      <c r="H48" s="3">
        <f t="shared" si="3"/>
        <v>-2</v>
      </c>
      <c r="I48" t="str">
        <f>IF(J48=0,"",IF(配列!E48="",マクロ実行!$A$16 &amp;" T"&amp;H48&amp;"-"&amp;RIGHT(配列!D48&amp;配列!E48,2),マクロ実行!$A$16 &amp;" T"&amp;H48&amp;"-"&amp;RIGHT(配列!D48&amp;配列!E48,3)))</f>
        <v/>
      </c>
      <c r="J48">
        <f>配列!F48</f>
        <v>0</v>
      </c>
      <c r="K48" s="2" t="e">
        <f>_xlfn.XLOOKUP(E48,セットアップレポート_紐づけ用!A:A,セットアップレポート_紐づけ用!R:R)</f>
        <v>#N/A</v>
      </c>
      <c r="L48" t="e">
        <f t="shared" si="1"/>
        <v>#N/A</v>
      </c>
      <c r="M48" t="e">
        <f>_xlfn.XLOOKUP(L48,EGPro!A:A,EGPro!D:D)</f>
        <v>#N/A</v>
      </c>
      <c r="N48" t="e">
        <f>_xlfn.XLOOKUP(L48,EGPro!A:A,EGPro!C:C)</f>
        <v>#N/A</v>
      </c>
      <c r="O48" t="e">
        <f t="shared" si="2"/>
        <v>#N/A</v>
      </c>
      <c r="P48" t="e">
        <f>_xlfn.XLOOKUP(O48,EGPro!A:A,EGPro!D:D)</f>
        <v>#N/A</v>
      </c>
      <c r="Q48" t="e">
        <f>_xlfn.XLOOKUP(O48,EGPro!A:A,EGPro!C:C)</f>
        <v>#N/A</v>
      </c>
    </row>
    <row r="49" spans="1:17" x14ac:dyDescent="0.45">
      <c r="A49" s="3">
        <f>配列!B49</f>
        <v>0</v>
      </c>
      <c r="B49" s="3" t="e">
        <f>_xlfn.XLOOKUP(A49,対応表!A:A,対応表!B:B)</f>
        <v>#N/A</v>
      </c>
      <c r="C49" s="3">
        <f>配列!C49</f>
        <v>0</v>
      </c>
      <c r="D49" s="3" t="str">
        <f>IF(配列!E49="",RIGHT(配列!D49&amp;配列!E49,4)&amp;"L",RIGHT(配列!D49&amp;配列!E49,5))</f>
        <v>L</v>
      </c>
      <c r="E49" s="3">
        <f t="shared" si="0"/>
        <v>0</v>
      </c>
      <c r="F49" s="3" t="e">
        <f>_xlfn.XLOOKUP(E49,セットアップレポート_紐づけ用!A:A,セットアップレポート_紐づけ用!J:J)</f>
        <v>#N/A</v>
      </c>
      <c r="G49" s="3" t="e">
        <f>_xlfn.XLOOKUP(E49,セットアップレポート_紐づけ用!A:A,セットアップレポート_紐づけ用!V:V)</f>
        <v>#N/A</v>
      </c>
      <c r="H49" s="3">
        <f t="shared" si="3"/>
        <v>-2</v>
      </c>
      <c r="I49" t="str">
        <f>IF(J49=0,"",IF(配列!E49="",マクロ実行!$A$16 &amp;" T"&amp;H49&amp;"-"&amp;RIGHT(配列!D49&amp;配列!E49,2),マクロ実行!$A$16 &amp;" T"&amp;H49&amp;"-"&amp;RIGHT(配列!D49&amp;配列!E49,3)))</f>
        <v/>
      </c>
      <c r="J49">
        <f>配列!F49</f>
        <v>0</v>
      </c>
      <c r="K49" s="2" t="e">
        <f>_xlfn.XLOOKUP(E49,セットアップレポート_紐づけ用!A:A,セットアップレポート_紐づけ用!R:R)</f>
        <v>#N/A</v>
      </c>
      <c r="L49" t="e">
        <f t="shared" si="1"/>
        <v>#N/A</v>
      </c>
      <c r="M49" t="e">
        <f>_xlfn.XLOOKUP(L49,EGPro!A:A,EGPro!D:D)</f>
        <v>#N/A</v>
      </c>
      <c r="N49" t="e">
        <f>_xlfn.XLOOKUP(L49,EGPro!A:A,EGPro!C:C)</f>
        <v>#N/A</v>
      </c>
      <c r="O49" t="e">
        <f t="shared" si="2"/>
        <v>#N/A</v>
      </c>
      <c r="P49" t="e">
        <f>_xlfn.XLOOKUP(O49,EGPro!A:A,EGPro!D:D)</f>
        <v>#N/A</v>
      </c>
      <c r="Q49" t="e">
        <f>_xlfn.XLOOKUP(O49,EGPro!A:A,EGPro!C:C)</f>
        <v>#N/A</v>
      </c>
    </row>
    <row r="50" spans="1:17" x14ac:dyDescent="0.45">
      <c r="A50" s="3">
        <f>配列!B50</f>
        <v>0</v>
      </c>
      <c r="B50" s="3" t="e">
        <f>_xlfn.XLOOKUP(A50,対応表!A:A,対応表!B:B)</f>
        <v>#N/A</v>
      </c>
      <c r="C50" s="3">
        <f>配列!C50</f>
        <v>0</v>
      </c>
      <c r="D50" s="3" t="str">
        <f>IF(配列!E50="",RIGHT(配列!D50&amp;配列!E50,4)&amp;"L",RIGHT(配列!D50&amp;配列!E50,5))</f>
        <v>L</v>
      </c>
      <c r="E50" s="3">
        <f t="shared" si="0"/>
        <v>0</v>
      </c>
      <c r="F50" s="3" t="e">
        <f>_xlfn.XLOOKUP(E50,セットアップレポート_紐づけ用!A:A,セットアップレポート_紐づけ用!J:J)</f>
        <v>#N/A</v>
      </c>
      <c r="G50" s="3" t="e">
        <f>_xlfn.XLOOKUP(E50,セットアップレポート_紐づけ用!A:A,セットアップレポート_紐づけ用!V:V)</f>
        <v>#N/A</v>
      </c>
      <c r="H50" s="3">
        <f t="shared" si="3"/>
        <v>-2</v>
      </c>
      <c r="I50" t="str">
        <f>IF(J50=0,"",IF(配列!E50="",マクロ実行!$A$16 &amp;" T"&amp;H50&amp;"-"&amp;RIGHT(配列!D50&amp;配列!E50,2),マクロ実行!$A$16 &amp;" T"&amp;H50&amp;"-"&amp;RIGHT(配列!D50&amp;配列!E50,3)))</f>
        <v/>
      </c>
      <c r="J50">
        <f>配列!F50</f>
        <v>0</v>
      </c>
      <c r="K50" s="2" t="e">
        <f>_xlfn.XLOOKUP(E50,セットアップレポート_紐づけ用!A:A,セットアップレポート_紐づけ用!R:R)</f>
        <v>#N/A</v>
      </c>
      <c r="L50" t="e">
        <f t="shared" si="1"/>
        <v>#N/A</v>
      </c>
      <c r="M50" t="e">
        <f>_xlfn.XLOOKUP(L50,EGPro!A:A,EGPro!D:D)</f>
        <v>#N/A</v>
      </c>
      <c r="N50" t="e">
        <f>_xlfn.XLOOKUP(L50,EGPro!A:A,EGPro!C:C)</f>
        <v>#N/A</v>
      </c>
      <c r="O50" t="e">
        <f t="shared" si="2"/>
        <v>#N/A</v>
      </c>
      <c r="P50" t="e">
        <f>_xlfn.XLOOKUP(O50,EGPro!A:A,EGPro!D:D)</f>
        <v>#N/A</v>
      </c>
      <c r="Q50" t="e">
        <f>_xlfn.XLOOKUP(O50,EGPro!A:A,EGPro!C:C)</f>
        <v>#N/A</v>
      </c>
    </row>
    <row r="51" spans="1:17" x14ac:dyDescent="0.45">
      <c r="A51" s="3">
        <f>配列!B51</f>
        <v>0</v>
      </c>
      <c r="B51" s="3" t="e">
        <f>_xlfn.XLOOKUP(A51,対応表!A:A,対応表!B:B)</f>
        <v>#N/A</v>
      </c>
      <c r="C51" s="3">
        <f>配列!C51</f>
        <v>0</v>
      </c>
      <c r="D51" s="3" t="str">
        <f>IF(配列!E51="",RIGHT(配列!D51&amp;配列!E51,4)&amp;"L",RIGHT(配列!D51&amp;配列!E51,5))</f>
        <v>L</v>
      </c>
      <c r="E51" s="3">
        <f t="shared" si="0"/>
        <v>0</v>
      </c>
      <c r="F51" s="3" t="e">
        <f>_xlfn.XLOOKUP(E51,セットアップレポート_紐づけ用!A:A,セットアップレポート_紐づけ用!J:J)</f>
        <v>#N/A</v>
      </c>
      <c r="G51" s="3" t="e">
        <f>_xlfn.XLOOKUP(E51,セットアップレポート_紐づけ用!A:A,セットアップレポート_紐づけ用!V:V)</f>
        <v>#N/A</v>
      </c>
      <c r="H51" s="3">
        <f t="shared" si="3"/>
        <v>-2</v>
      </c>
      <c r="I51" t="str">
        <f>IF(J51=0,"",IF(配列!E51="",マクロ実行!$A$16 &amp;" T"&amp;H51&amp;"-"&amp;RIGHT(配列!D51&amp;配列!E51,2),マクロ実行!$A$16 &amp;" T"&amp;H51&amp;"-"&amp;RIGHT(配列!D51&amp;配列!E51,3)))</f>
        <v/>
      </c>
      <c r="J51">
        <f>配列!F51</f>
        <v>0</v>
      </c>
      <c r="K51" s="2" t="e">
        <f>_xlfn.XLOOKUP(E51,セットアップレポート_紐づけ用!A:A,セットアップレポート_紐づけ用!R:R)</f>
        <v>#N/A</v>
      </c>
      <c r="L51" t="e">
        <f t="shared" si="1"/>
        <v>#N/A</v>
      </c>
      <c r="M51" t="e">
        <f>_xlfn.XLOOKUP(L51,EGPro!A:A,EGPro!D:D)</f>
        <v>#N/A</v>
      </c>
      <c r="N51" t="e">
        <f>_xlfn.XLOOKUP(L51,EGPro!A:A,EGPro!C:C)</f>
        <v>#N/A</v>
      </c>
      <c r="O51" t="e">
        <f t="shared" si="2"/>
        <v>#N/A</v>
      </c>
      <c r="P51" t="e">
        <f>_xlfn.XLOOKUP(O51,EGPro!A:A,EGPro!D:D)</f>
        <v>#N/A</v>
      </c>
      <c r="Q51" t="e">
        <f>_xlfn.XLOOKUP(O51,EGPro!A:A,EGPro!C:C)</f>
        <v>#N/A</v>
      </c>
    </row>
    <row r="52" spans="1:17" x14ac:dyDescent="0.45">
      <c r="A52" s="3">
        <f>配列!B52</f>
        <v>0</v>
      </c>
      <c r="B52" s="3" t="e">
        <f>_xlfn.XLOOKUP(A52,対応表!A:A,対応表!B:B)</f>
        <v>#N/A</v>
      </c>
      <c r="C52" s="3">
        <f>配列!C52</f>
        <v>0</v>
      </c>
      <c r="D52" s="3" t="str">
        <f>IF(配列!E52="",RIGHT(配列!D52&amp;配列!E52,4)&amp;"L",RIGHT(配列!D52&amp;配列!E52,5))</f>
        <v>L</v>
      </c>
      <c r="E52" s="3">
        <f t="shared" si="0"/>
        <v>0</v>
      </c>
      <c r="F52" s="3" t="e">
        <f>_xlfn.XLOOKUP(E52,セットアップレポート_紐づけ用!A:A,セットアップレポート_紐づけ用!J:J)</f>
        <v>#N/A</v>
      </c>
      <c r="G52" s="3" t="e">
        <f>_xlfn.XLOOKUP(E52,セットアップレポート_紐づけ用!A:A,セットアップレポート_紐づけ用!V:V)</f>
        <v>#N/A</v>
      </c>
      <c r="H52" s="3">
        <f t="shared" si="3"/>
        <v>-2</v>
      </c>
      <c r="I52" t="str">
        <f>IF(J52=0,"",IF(配列!E52="",マクロ実行!$A$16 &amp;" T"&amp;H52&amp;"-"&amp;RIGHT(配列!D52&amp;配列!E52,2),マクロ実行!$A$16 &amp;" T"&amp;H52&amp;"-"&amp;RIGHT(配列!D52&amp;配列!E52,3)))</f>
        <v/>
      </c>
      <c r="J52">
        <f>配列!F52</f>
        <v>0</v>
      </c>
      <c r="K52" s="2" t="e">
        <f>_xlfn.XLOOKUP(E52,セットアップレポート_紐づけ用!A:A,セットアップレポート_紐づけ用!R:R)</f>
        <v>#N/A</v>
      </c>
      <c r="L52" t="e">
        <f t="shared" si="1"/>
        <v>#N/A</v>
      </c>
      <c r="M52" t="e">
        <f>_xlfn.XLOOKUP(L52,EGPro!A:A,EGPro!D:D)</f>
        <v>#N/A</v>
      </c>
      <c r="N52" t="e">
        <f>_xlfn.XLOOKUP(L52,EGPro!A:A,EGPro!C:C)</f>
        <v>#N/A</v>
      </c>
      <c r="O52" t="e">
        <f t="shared" si="2"/>
        <v>#N/A</v>
      </c>
      <c r="P52" t="e">
        <f>_xlfn.XLOOKUP(O52,EGPro!A:A,EGPro!D:D)</f>
        <v>#N/A</v>
      </c>
      <c r="Q52" t="e">
        <f>_xlfn.XLOOKUP(O52,EGPro!A:A,EGPro!C:C)</f>
        <v>#N/A</v>
      </c>
    </row>
    <row r="53" spans="1:17" x14ac:dyDescent="0.45">
      <c r="A53" s="3">
        <f>配列!B53</f>
        <v>0</v>
      </c>
      <c r="B53" s="3" t="e">
        <f>_xlfn.XLOOKUP(A53,対応表!A:A,対応表!B:B)</f>
        <v>#N/A</v>
      </c>
      <c r="C53" s="3">
        <f>配列!C53</f>
        <v>0</v>
      </c>
      <c r="D53" s="3" t="str">
        <f>IF(配列!E53="",RIGHT(配列!D53&amp;配列!E53,4)&amp;"L",RIGHT(配列!D53&amp;配列!E53,5))</f>
        <v>L</v>
      </c>
      <c r="E53" s="3">
        <f t="shared" si="0"/>
        <v>0</v>
      </c>
      <c r="F53" s="3" t="e">
        <f>_xlfn.XLOOKUP(E53,セットアップレポート_紐づけ用!A:A,セットアップレポート_紐づけ用!J:J)</f>
        <v>#N/A</v>
      </c>
      <c r="G53" s="3" t="e">
        <f>_xlfn.XLOOKUP(E53,セットアップレポート_紐づけ用!A:A,セットアップレポート_紐づけ用!V:V)</f>
        <v>#N/A</v>
      </c>
      <c r="H53" s="3">
        <f t="shared" si="3"/>
        <v>-2</v>
      </c>
      <c r="I53" t="str">
        <f>IF(J53=0,"",IF(配列!E53="",マクロ実行!$A$16 &amp;" T"&amp;H53&amp;"-"&amp;RIGHT(配列!D53&amp;配列!E53,2),マクロ実行!$A$16 &amp;" T"&amp;H53&amp;"-"&amp;RIGHT(配列!D53&amp;配列!E53,3)))</f>
        <v/>
      </c>
      <c r="J53">
        <f>配列!F53</f>
        <v>0</v>
      </c>
      <c r="K53" s="2" t="e">
        <f>_xlfn.XLOOKUP(E53,セットアップレポート_紐づけ用!A:A,セットアップレポート_紐づけ用!R:R)</f>
        <v>#N/A</v>
      </c>
      <c r="L53" t="e">
        <f t="shared" si="1"/>
        <v>#N/A</v>
      </c>
      <c r="M53" t="e">
        <f>_xlfn.XLOOKUP(L53,EGPro!A:A,EGPro!D:D)</f>
        <v>#N/A</v>
      </c>
      <c r="N53" t="e">
        <f>_xlfn.XLOOKUP(L53,EGPro!A:A,EGPro!C:C)</f>
        <v>#N/A</v>
      </c>
      <c r="O53" t="e">
        <f t="shared" si="2"/>
        <v>#N/A</v>
      </c>
      <c r="P53" t="e">
        <f>_xlfn.XLOOKUP(O53,EGPro!A:A,EGPro!D:D)</f>
        <v>#N/A</v>
      </c>
      <c r="Q53" t="e">
        <f>_xlfn.XLOOKUP(O53,EGPro!A:A,EGPro!C:C)</f>
        <v>#N/A</v>
      </c>
    </row>
    <row r="54" spans="1:17" x14ac:dyDescent="0.45">
      <c r="A54" s="3">
        <f>配列!B54</f>
        <v>0</v>
      </c>
      <c r="B54" s="3" t="e">
        <f>_xlfn.XLOOKUP(A54,対応表!A:A,対応表!B:B)</f>
        <v>#N/A</v>
      </c>
      <c r="C54" s="3">
        <f>配列!C54</f>
        <v>0</v>
      </c>
      <c r="D54" s="3" t="str">
        <f>IF(配列!E54="",RIGHT(配列!D54&amp;配列!E54,4)&amp;"L",RIGHT(配列!D54&amp;配列!E54,5))</f>
        <v>L</v>
      </c>
      <c r="E54" s="3">
        <f t="shared" si="0"/>
        <v>0</v>
      </c>
      <c r="F54" s="3" t="e">
        <f>_xlfn.XLOOKUP(E54,セットアップレポート_紐づけ用!A:A,セットアップレポート_紐づけ用!J:J)</f>
        <v>#N/A</v>
      </c>
      <c r="G54" s="3" t="e">
        <f>_xlfn.XLOOKUP(E54,セットアップレポート_紐づけ用!A:A,セットアップレポート_紐づけ用!V:V)</f>
        <v>#N/A</v>
      </c>
      <c r="H54" s="3">
        <f t="shared" si="3"/>
        <v>-2</v>
      </c>
      <c r="I54" t="str">
        <f>IF(J54=0,"",IF(配列!E54="",マクロ実行!$A$16 &amp;" T"&amp;H54&amp;"-"&amp;RIGHT(配列!D54&amp;配列!E54,2),マクロ実行!$A$16 &amp;" T"&amp;H54&amp;"-"&amp;RIGHT(配列!D54&amp;配列!E54,3)))</f>
        <v/>
      </c>
      <c r="J54">
        <f>配列!F54</f>
        <v>0</v>
      </c>
      <c r="K54" s="2" t="e">
        <f>_xlfn.XLOOKUP(E54,セットアップレポート_紐づけ用!A:A,セットアップレポート_紐づけ用!R:R)</f>
        <v>#N/A</v>
      </c>
      <c r="L54" t="e">
        <f t="shared" si="1"/>
        <v>#N/A</v>
      </c>
      <c r="M54" t="e">
        <f>_xlfn.XLOOKUP(L54,EGPro!A:A,EGPro!D:D)</f>
        <v>#N/A</v>
      </c>
      <c r="N54" t="e">
        <f>_xlfn.XLOOKUP(L54,EGPro!A:A,EGPro!C:C)</f>
        <v>#N/A</v>
      </c>
      <c r="O54" t="e">
        <f t="shared" si="2"/>
        <v>#N/A</v>
      </c>
      <c r="P54" t="e">
        <f>_xlfn.XLOOKUP(O54,EGPro!A:A,EGPro!D:D)</f>
        <v>#N/A</v>
      </c>
      <c r="Q54" t="e">
        <f>_xlfn.XLOOKUP(O54,EGPro!A:A,EGPro!C:C)</f>
        <v>#N/A</v>
      </c>
    </row>
    <row r="55" spans="1:17" x14ac:dyDescent="0.45">
      <c r="A55" s="3">
        <f>配列!B55</f>
        <v>0</v>
      </c>
      <c r="B55" s="3" t="e">
        <f>_xlfn.XLOOKUP(A55,対応表!A:A,対応表!B:B)</f>
        <v>#N/A</v>
      </c>
      <c r="C55" s="3">
        <f>配列!C55</f>
        <v>0</v>
      </c>
      <c r="D55" s="3" t="str">
        <f>IF(配列!E55="",RIGHT(配列!D55&amp;配列!E55,4)&amp;"L",RIGHT(配列!D55&amp;配列!E55,5))</f>
        <v>L</v>
      </c>
      <c r="E55" s="3">
        <f t="shared" si="0"/>
        <v>0</v>
      </c>
      <c r="F55" s="3" t="e">
        <f>_xlfn.XLOOKUP(E55,セットアップレポート_紐づけ用!A:A,セットアップレポート_紐づけ用!J:J)</f>
        <v>#N/A</v>
      </c>
      <c r="G55" s="3" t="e">
        <f>_xlfn.XLOOKUP(E55,セットアップレポート_紐づけ用!A:A,セットアップレポート_紐づけ用!V:V)</f>
        <v>#N/A</v>
      </c>
      <c r="H55" s="3">
        <f t="shared" si="3"/>
        <v>-2</v>
      </c>
      <c r="I55" t="str">
        <f>IF(J55=0,"",IF(配列!E55="",マクロ実行!$A$16 &amp;" T"&amp;H55&amp;"-"&amp;RIGHT(配列!D55&amp;配列!E55,2),マクロ実行!$A$16 &amp;" T"&amp;H55&amp;"-"&amp;RIGHT(配列!D55&amp;配列!E55,3)))</f>
        <v/>
      </c>
      <c r="J55">
        <f>配列!F55</f>
        <v>0</v>
      </c>
      <c r="K55" s="2" t="e">
        <f>_xlfn.XLOOKUP(E55,セットアップレポート_紐づけ用!A:A,セットアップレポート_紐づけ用!R:R)</f>
        <v>#N/A</v>
      </c>
      <c r="L55" t="e">
        <f t="shared" si="1"/>
        <v>#N/A</v>
      </c>
      <c r="M55" t="e">
        <f>_xlfn.XLOOKUP(L55,EGPro!A:A,EGPro!D:D)</f>
        <v>#N/A</v>
      </c>
      <c r="N55" t="e">
        <f>_xlfn.XLOOKUP(L55,EGPro!A:A,EGPro!C:C)</f>
        <v>#N/A</v>
      </c>
      <c r="O55" t="e">
        <f t="shared" si="2"/>
        <v>#N/A</v>
      </c>
      <c r="P55" t="e">
        <f>_xlfn.XLOOKUP(O55,EGPro!A:A,EGPro!D:D)</f>
        <v>#N/A</v>
      </c>
      <c r="Q55" t="e">
        <f>_xlfn.XLOOKUP(O55,EGPro!A:A,EGPro!C:C)</f>
        <v>#N/A</v>
      </c>
    </row>
    <row r="56" spans="1:17" x14ac:dyDescent="0.45">
      <c r="A56" s="3">
        <f>配列!B56</f>
        <v>0</v>
      </c>
      <c r="B56" s="3" t="e">
        <f>_xlfn.XLOOKUP(A56,対応表!A:A,対応表!B:B)</f>
        <v>#N/A</v>
      </c>
      <c r="C56" s="3">
        <f>配列!C56</f>
        <v>0</v>
      </c>
      <c r="D56" s="3" t="str">
        <f>IF(配列!E56="",RIGHT(配列!D56&amp;配列!E56,4)&amp;"L",RIGHT(配列!D56&amp;配列!E56,5))</f>
        <v>L</v>
      </c>
      <c r="E56" s="3">
        <f t="shared" si="0"/>
        <v>0</v>
      </c>
      <c r="F56" s="3" t="e">
        <f>_xlfn.XLOOKUP(E56,セットアップレポート_紐づけ用!A:A,セットアップレポート_紐づけ用!J:J)</f>
        <v>#N/A</v>
      </c>
      <c r="G56" s="3" t="e">
        <f>_xlfn.XLOOKUP(E56,セットアップレポート_紐づけ用!A:A,セットアップレポート_紐づけ用!V:V)</f>
        <v>#N/A</v>
      </c>
      <c r="H56" s="3">
        <f t="shared" si="3"/>
        <v>-2</v>
      </c>
      <c r="I56" t="str">
        <f>IF(J56=0,"",IF(配列!E56="",マクロ実行!$A$16 &amp;" T"&amp;H56&amp;"-"&amp;RIGHT(配列!D56&amp;配列!E56,2),マクロ実行!$A$16 &amp;" T"&amp;H56&amp;"-"&amp;RIGHT(配列!D56&amp;配列!E56,3)))</f>
        <v/>
      </c>
      <c r="J56">
        <f>配列!F56</f>
        <v>0</v>
      </c>
      <c r="K56" s="2" t="e">
        <f>_xlfn.XLOOKUP(E56,セットアップレポート_紐づけ用!A:A,セットアップレポート_紐づけ用!R:R)</f>
        <v>#N/A</v>
      </c>
      <c r="L56" t="e">
        <f t="shared" si="1"/>
        <v>#N/A</v>
      </c>
      <c r="M56" t="e">
        <f>_xlfn.XLOOKUP(L56,EGPro!A:A,EGPro!D:D)</f>
        <v>#N/A</v>
      </c>
      <c r="N56" t="e">
        <f>_xlfn.XLOOKUP(L56,EGPro!A:A,EGPro!C:C)</f>
        <v>#N/A</v>
      </c>
      <c r="O56" t="e">
        <f t="shared" si="2"/>
        <v>#N/A</v>
      </c>
      <c r="P56" t="e">
        <f>_xlfn.XLOOKUP(O56,EGPro!A:A,EGPro!D:D)</f>
        <v>#N/A</v>
      </c>
      <c r="Q56" t="e">
        <f>_xlfn.XLOOKUP(O56,EGPro!A:A,EGPro!C:C)</f>
        <v>#N/A</v>
      </c>
    </row>
    <row r="57" spans="1:17" x14ac:dyDescent="0.45">
      <c r="A57" s="3">
        <f>配列!B57</f>
        <v>0</v>
      </c>
      <c r="B57" s="3" t="e">
        <f>_xlfn.XLOOKUP(A57,対応表!A:A,対応表!B:B)</f>
        <v>#N/A</v>
      </c>
      <c r="C57" s="3">
        <f>配列!C57</f>
        <v>0</v>
      </c>
      <c r="D57" s="3" t="str">
        <f>IF(配列!E57="",RIGHT(配列!D57&amp;配列!E57,4)&amp;"L",RIGHT(配列!D57&amp;配列!E57,5))</f>
        <v>L</v>
      </c>
      <c r="E57" s="3">
        <f t="shared" si="0"/>
        <v>0</v>
      </c>
      <c r="F57" s="3" t="e">
        <f>_xlfn.XLOOKUP(E57,セットアップレポート_紐づけ用!A:A,セットアップレポート_紐づけ用!J:J)</f>
        <v>#N/A</v>
      </c>
      <c r="G57" s="3" t="e">
        <f>_xlfn.XLOOKUP(E57,セットアップレポート_紐づけ用!A:A,セットアップレポート_紐づけ用!V:V)</f>
        <v>#N/A</v>
      </c>
      <c r="H57" s="3">
        <f t="shared" si="3"/>
        <v>-2</v>
      </c>
      <c r="I57" t="str">
        <f>IF(J57=0,"",IF(配列!E57="",マクロ実行!$A$16 &amp;" T"&amp;H57&amp;"-"&amp;RIGHT(配列!D57&amp;配列!E57,2),マクロ実行!$A$16 &amp;" T"&amp;H57&amp;"-"&amp;RIGHT(配列!D57&amp;配列!E57,3)))</f>
        <v/>
      </c>
      <c r="J57">
        <f>配列!F57</f>
        <v>0</v>
      </c>
      <c r="K57" s="2" t="e">
        <f>_xlfn.XLOOKUP(E57,セットアップレポート_紐づけ用!A:A,セットアップレポート_紐づけ用!R:R)</f>
        <v>#N/A</v>
      </c>
      <c r="L57" t="e">
        <f t="shared" si="1"/>
        <v>#N/A</v>
      </c>
      <c r="M57" t="e">
        <f>_xlfn.XLOOKUP(L57,EGPro!A:A,EGPro!D:D)</f>
        <v>#N/A</v>
      </c>
      <c r="N57" t="e">
        <f>_xlfn.XLOOKUP(L57,EGPro!A:A,EGPro!C:C)</f>
        <v>#N/A</v>
      </c>
      <c r="O57" t="e">
        <f t="shared" si="2"/>
        <v>#N/A</v>
      </c>
      <c r="P57" t="e">
        <f>_xlfn.XLOOKUP(O57,EGPro!A:A,EGPro!D:D)</f>
        <v>#N/A</v>
      </c>
      <c r="Q57" t="e">
        <f>_xlfn.XLOOKUP(O57,EGPro!A:A,EGPro!C:C)</f>
        <v>#N/A</v>
      </c>
    </row>
    <row r="58" spans="1:17" x14ac:dyDescent="0.45">
      <c r="A58" s="3">
        <f>配列!B58</f>
        <v>0</v>
      </c>
      <c r="B58" s="3" t="e">
        <f>_xlfn.XLOOKUP(A58,対応表!A:A,対応表!B:B)</f>
        <v>#N/A</v>
      </c>
      <c r="C58" s="3">
        <f>配列!C58</f>
        <v>0</v>
      </c>
      <c r="D58" s="3" t="str">
        <f>IF(配列!E58="",RIGHT(配列!D58&amp;配列!E58,4)&amp;"L",RIGHT(配列!D58&amp;配列!E58,5))</f>
        <v>L</v>
      </c>
      <c r="E58" s="3">
        <f t="shared" si="0"/>
        <v>0</v>
      </c>
      <c r="F58" s="3" t="e">
        <f>_xlfn.XLOOKUP(E58,セットアップレポート_紐づけ用!A:A,セットアップレポート_紐づけ用!J:J)</f>
        <v>#N/A</v>
      </c>
      <c r="G58" s="3" t="e">
        <f>_xlfn.XLOOKUP(E58,セットアップレポート_紐づけ用!A:A,セットアップレポート_紐づけ用!V:V)</f>
        <v>#N/A</v>
      </c>
      <c r="H58" s="3">
        <f t="shared" si="3"/>
        <v>-2</v>
      </c>
      <c r="I58" t="str">
        <f>IF(J58=0,"",IF(配列!E58="",マクロ実行!$A$16 &amp;" T"&amp;H58&amp;"-"&amp;RIGHT(配列!D58&amp;配列!E58,2),マクロ実行!$A$16 &amp;" T"&amp;H58&amp;"-"&amp;RIGHT(配列!D58&amp;配列!E58,3)))</f>
        <v/>
      </c>
      <c r="J58">
        <f>配列!F58</f>
        <v>0</v>
      </c>
      <c r="K58" s="2" t="e">
        <f>_xlfn.XLOOKUP(E58,セットアップレポート_紐づけ用!A:A,セットアップレポート_紐づけ用!R:R)</f>
        <v>#N/A</v>
      </c>
      <c r="L58" t="e">
        <f t="shared" si="1"/>
        <v>#N/A</v>
      </c>
      <c r="M58" t="e">
        <f>_xlfn.XLOOKUP(L58,EGPro!A:A,EGPro!D:D)</f>
        <v>#N/A</v>
      </c>
      <c r="N58" t="e">
        <f>_xlfn.XLOOKUP(L58,EGPro!A:A,EGPro!C:C)</f>
        <v>#N/A</v>
      </c>
      <c r="O58" t="e">
        <f t="shared" si="2"/>
        <v>#N/A</v>
      </c>
      <c r="P58" t="e">
        <f>_xlfn.XLOOKUP(O58,EGPro!A:A,EGPro!D:D)</f>
        <v>#N/A</v>
      </c>
      <c r="Q58" t="e">
        <f>_xlfn.XLOOKUP(O58,EGPro!A:A,EGPro!C:C)</f>
        <v>#N/A</v>
      </c>
    </row>
    <row r="59" spans="1:17" x14ac:dyDescent="0.45">
      <c r="A59" s="3">
        <f>配列!B59</f>
        <v>0</v>
      </c>
      <c r="B59" s="3" t="e">
        <f>_xlfn.XLOOKUP(A59,対応表!A:A,対応表!B:B)</f>
        <v>#N/A</v>
      </c>
      <c r="C59" s="3">
        <f>配列!C59</f>
        <v>0</v>
      </c>
      <c r="D59" s="3" t="str">
        <f>IF(配列!E59="",RIGHT(配列!D59&amp;配列!E59,4)&amp;"L",RIGHT(配列!D59&amp;配列!E59,5))</f>
        <v>L</v>
      </c>
      <c r="E59" s="3">
        <f t="shared" si="0"/>
        <v>0</v>
      </c>
      <c r="F59" s="3" t="e">
        <f>_xlfn.XLOOKUP(E59,セットアップレポート_紐づけ用!A:A,セットアップレポート_紐づけ用!J:J)</f>
        <v>#N/A</v>
      </c>
      <c r="G59" s="3" t="e">
        <f>_xlfn.XLOOKUP(E59,セットアップレポート_紐づけ用!A:A,セットアップレポート_紐づけ用!V:V)</f>
        <v>#N/A</v>
      </c>
      <c r="H59" s="3">
        <f t="shared" si="3"/>
        <v>-2</v>
      </c>
      <c r="I59" t="str">
        <f>IF(J59=0,"",IF(配列!E59="",マクロ実行!$A$16 &amp;" T"&amp;H59&amp;"-"&amp;RIGHT(配列!D59&amp;配列!E59,2),マクロ実行!$A$16 &amp;" T"&amp;H59&amp;"-"&amp;RIGHT(配列!D59&amp;配列!E59,3)))</f>
        <v/>
      </c>
      <c r="J59">
        <f>配列!F59</f>
        <v>0</v>
      </c>
      <c r="K59" s="2" t="e">
        <f>_xlfn.XLOOKUP(E59,セットアップレポート_紐づけ用!A:A,セットアップレポート_紐づけ用!R:R)</f>
        <v>#N/A</v>
      </c>
      <c r="L59" t="e">
        <f t="shared" si="1"/>
        <v>#N/A</v>
      </c>
      <c r="M59" t="e">
        <f>_xlfn.XLOOKUP(L59,EGPro!A:A,EGPro!D:D)</f>
        <v>#N/A</v>
      </c>
      <c r="N59" t="e">
        <f>_xlfn.XLOOKUP(L59,EGPro!A:A,EGPro!C:C)</f>
        <v>#N/A</v>
      </c>
      <c r="O59" t="e">
        <f t="shared" si="2"/>
        <v>#N/A</v>
      </c>
      <c r="P59" t="e">
        <f>_xlfn.XLOOKUP(O59,EGPro!A:A,EGPro!D:D)</f>
        <v>#N/A</v>
      </c>
      <c r="Q59" t="e">
        <f>_xlfn.XLOOKUP(O59,EGPro!A:A,EGPro!C:C)</f>
        <v>#N/A</v>
      </c>
    </row>
    <row r="60" spans="1:17" x14ac:dyDescent="0.45">
      <c r="A60" s="3">
        <f>配列!B60</f>
        <v>0</v>
      </c>
      <c r="B60" s="3" t="e">
        <f>_xlfn.XLOOKUP(A60,対応表!A:A,対応表!B:B)</f>
        <v>#N/A</v>
      </c>
      <c r="C60" s="3">
        <f>配列!C60</f>
        <v>0</v>
      </c>
      <c r="D60" s="3" t="str">
        <f>IF(配列!E60="",RIGHT(配列!D60&amp;配列!E60,4)&amp;"L",RIGHT(配列!D60&amp;配列!E60,5))</f>
        <v>L</v>
      </c>
      <c r="E60" s="3">
        <f t="shared" si="0"/>
        <v>0</v>
      </c>
      <c r="F60" s="3" t="e">
        <f>_xlfn.XLOOKUP(E60,セットアップレポート_紐づけ用!A:A,セットアップレポート_紐づけ用!J:J)</f>
        <v>#N/A</v>
      </c>
      <c r="G60" s="3" t="e">
        <f>_xlfn.XLOOKUP(E60,セットアップレポート_紐づけ用!A:A,セットアップレポート_紐づけ用!V:V)</f>
        <v>#N/A</v>
      </c>
      <c r="H60" s="3">
        <f t="shared" si="3"/>
        <v>-2</v>
      </c>
      <c r="I60" t="str">
        <f>IF(J60=0,"",IF(配列!E60="",マクロ実行!$A$16 &amp;" T"&amp;H60&amp;"-"&amp;RIGHT(配列!D60&amp;配列!E60,2),マクロ実行!$A$16 &amp;" T"&amp;H60&amp;"-"&amp;RIGHT(配列!D60&amp;配列!E60,3)))</f>
        <v/>
      </c>
      <c r="J60">
        <f>配列!F60</f>
        <v>0</v>
      </c>
      <c r="K60" s="2" t="e">
        <f>_xlfn.XLOOKUP(E60,セットアップレポート_紐づけ用!A:A,セットアップレポート_紐づけ用!R:R)</f>
        <v>#N/A</v>
      </c>
      <c r="L60" t="e">
        <f t="shared" si="1"/>
        <v>#N/A</v>
      </c>
      <c r="M60" t="e">
        <f>_xlfn.XLOOKUP(L60,EGPro!A:A,EGPro!D:D)</f>
        <v>#N/A</v>
      </c>
      <c r="N60" t="e">
        <f>_xlfn.XLOOKUP(L60,EGPro!A:A,EGPro!C:C)</f>
        <v>#N/A</v>
      </c>
      <c r="O60" t="e">
        <f t="shared" si="2"/>
        <v>#N/A</v>
      </c>
      <c r="P60" t="e">
        <f>_xlfn.XLOOKUP(O60,EGPro!A:A,EGPro!D:D)</f>
        <v>#N/A</v>
      </c>
      <c r="Q60" t="e">
        <f>_xlfn.XLOOKUP(O60,EGPro!A:A,EGPro!C:C)</f>
        <v>#N/A</v>
      </c>
    </row>
    <row r="61" spans="1:17" x14ac:dyDescent="0.45">
      <c r="A61" s="3">
        <f>配列!B61</f>
        <v>0</v>
      </c>
      <c r="B61" s="3" t="e">
        <f>_xlfn.XLOOKUP(A61,対応表!A:A,対応表!B:B)</f>
        <v>#N/A</v>
      </c>
      <c r="C61" s="3">
        <f>配列!C61</f>
        <v>0</v>
      </c>
      <c r="D61" s="3" t="str">
        <f>IF(配列!E61="",RIGHT(配列!D61&amp;配列!E61,4)&amp;"L",RIGHT(配列!D61&amp;配列!E61,5))</f>
        <v>L</v>
      </c>
      <c r="E61" s="3">
        <f t="shared" si="0"/>
        <v>0</v>
      </c>
      <c r="F61" s="3" t="e">
        <f>_xlfn.XLOOKUP(E61,セットアップレポート_紐づけ用!A:A,セットアップレポート_紐づけ用!J:J)</f>
        <v>#N/A</v>
      </c>
      <c r="G61" s="3" t="e">
        <f>_xlfn.XLOOKUP(E61,セットアップレポート_紐づけ用!A:A,セットアップレポート_紐づけ用!V:V)</f>
        <v>#N/A</v>
      </c>
      <c r="H61" s="3">
        <f t="shared" si="3"/>
        <v>-2</v>
      </c>
      <c r="I61" t="str">
        <f>IF(J61=0,"",IF(配列!E61="",マクロ実行!$A$16 &amp;" T"&amp;H61&amp;"-"&amp;RIGHT(配列!D61&amp;配列!E61,2),マクロ実行!$A$16 &amp;" T"&amp;H61&amp;"-"&amp;RIGHT(配列!D61&amp;配列!E61,3)))</f>
        <v/>
      </c>
      <c r="J61">
        <f>配列!F61</f>
        <v>0</v>
      </c>
      <c r="K61" s="2" t="e">
        <f>_xlfn.XLOOKUP(E61,セットアップレポート_紐づけ用!A:A,セットアップレポート_紐づけ用!R:R)</f>
        <v>#N/A</v>
      </c>
      <c r="L61" t="e">
        <f t="shared" si="1"/>
        <v>#N/A</v>
      </c>
      <c r="M61" t="e">
        <f>_xlfn.XLOOKUP(L61,EGPro!A:A,EGPro!D:D)</f>
        <v>#N/A</v>
      </c>
      <c r="N61" t="e">
        <f>_xlfn.XLOOKUP(L61,EGPro!A:A,EGPro!C:C)</f>
        <v>#N/A</v>
      </c>
      <c r="O61" t="e">
        <f t="shared" si="2"/>
        <v>#N/A</v>
      </c>
      <c r="P61" t="e">
        <f>_xlfn.XLOOKUP(O61,EGPro!A:A,EGPro!D:D)</f>
        <v>#N/A</v>
      </c>
      <c r="Q61" t="e">
        <f>_xlfn.XLOOKUP(O61,EGPro!A:A,EGPro!C:C)</f>
        <v>#N/A</v>
      </c>
    </row>
    <row r="62" spans="1:17" x14ac:dyDescent="0.45">
      <c r="A62" s="3">
        <f>配列!B62</f>
        <v>0</v>
      </c>
      <c r="B62" s="3" t="e">
        <f>_xlfn.XLOOKUP(A62,対応表!A:A,対応表!B:B)</f>
        <v>#N/A</v>
      </c>
      <c r="C62" s="3">
        <f>配列!C62</f>
        <v>0</v>
      </c>
      <c r="D62" s="3" t="str">
        <f>IF(配列!E62="",RIGHT(配列!D62&amp;配列!E62,4)&amp;"L",RIGHT(配列!D62&amp;配列!E62,5))</f>
        <v>L</v>
      </c>
      <c r="E62" s="3">
        <f t="shared" si="0"/>
        <v>0</v>
      </c>
      <c r="F62" s="3" t="e">
        <f>_xlfn.XLOOKUP(E62,セットアップレポート_紐づけ用!A:A,セットアップレポート_紐づけ用!J:J)</f>
        <v>#N/A</v>
      </c>
      <c r="G62" s="3" t="e">
        <f>_xlfn.XLOOKUP(E62,セットアップレポート_紐づけ用!A:A,セットアップレポート_紐づけ用!V:V)</f>
        <v>#N/A</v>
      </c>
      <c r="H62" s="3">
        <f t="shared" si="3"/>
        <v>-2</v>
      </c>
      <c r="I62" t="str">
        <f>IF(J62=0,"",IF(配列!E62="",マクロ実行!$A$16 &amp;" T"&amp;H62&amp;"-"&amp;RIGHT(配列!D62&amp;配列!E62,2),マクロ実行!$A$16 &amp;" T"&amp;H62&amp;"-"&amp;RIGHT(配列!D62&amp;配列!E62,3)))</f>
        <v/>
      </c>
      <c r="J62">
        <f>配列!F62</f>
        <v>0</v>
      </c>
      <c r="K62" s="2" t="e">
        <f>_xlfn.XLOOKUP(E62,セットアップレポート_紐づけ用!A:A,セットアップレポート_紐づけ用!R:R)</f>
        <v>#N/A</v>
      </c>
      <c r="L62" t="e">
        <f t="shared" si="1"/>
        <v>#N/A</v>
      </c>
      <c r="M62" t="e">
        <f>_xlfn.XLOOKUP(L62,EGPro!A:A,EGPro!D:D)</f>
        <v>#N/A</v>
      </c>
      <c r="N62" t="e">
        <f>_xlfn.XLOOKUP(L62,EGPro!A:A,EGPro!C:C)</f>
        <v>#N/A</v>
      </c>
      <c r="O62" t="e">
        <f t="shared" si="2"/>
        <v>#N/A</v>
      </c>
      <c r="P62" t="e">
        <f>_xlfn.XLOOKUP(O62,EGPro!A:A,EGPro!D:D)</f>
        <v>#N/A</v>
      </c>
      <c r="Q62" t="e">
        <f>_xlfn.XLOOKUP(O62,EGPro!A:A,EGPro!C:C)</f>
        <v>#N/A</v>
      </c>
    </row>
    <row r="63" spans="1:17" x14ac:dyDescent="0.45">
      <c r="A63" s="3">
        <f>配列!B63</f>
        <v>0</v>
      </c>
      <c r="B63" s="3" t="e">
        <f>_xlfn.XLOOKUP(A63,対応表!A:A,対応表!B:B)</f>
        <v>#N/A</v>
      </c>
      <c r="C63" s="3">
        <f>配列!C63</f>
        <v>0</v>
      </c>
      <c r="D63" s="3" t="str">
        <f>IF(配列!E63="",RIGHT(配列!D63&amp;配列!E63,4)&amp;"L",RIGHT(配列!D63&amp;配列!E63,5))</f>
        <v>L</v>
      </c>
      <c r="E63" s="3">
        <f t="shared" si="0"/>
        <v>0</v>
      </c>
      <c r="F63" s="3" t="e">
        <f>_xlfn.XLOOKUP(E63,セットアップレポート_紐づけ用!A:A,セットアップレポート_紐づけ用!J:J)</f>
        <v>#N/A</v>
      </c>
      <c r="G63" s="3" t="e">
        <f>_xlfn.XLOOKUP(E63,セットアップレポート_紐づけ用!A:A,セットアップレポート_紐づけ用!V:V)</f>
        <v>#N/A</v>
      </c>
      <c r="H63" s="3">
        <f t="shared" si="3"/>
        <v>-2</v>
      </c>
      <c r="I63" t="str">
        <f>IF(J63=0,"",IF(配列!E63="",マクロ実行!$A$16 &amp;" T"&amp;H63&amp;"-"&amp;RIGHT(配列!D63&amp;配列!E63,2),マクロ実行!$A$16 &amp;" T"&amp;H63&amp;"-"&amp;RIGHT(配列!D63&amp;配列!E63,3)))</f>
        <v/>
      </c>
      <c r="J63">
        <f>配列!F63</f>
        <v>0</v>
      </c>
      <c r="K63" s="2" t="e">
        <f>_xlfn.XLOOKUP(E63,セットアップレポート_紐づけ用!A:A,セットアップレポート_紐づけ用!R:R)</f>
        <v>#N/A</v>
      </c>
      <c r="L63" t="e">
        <f t="shared" si="1"/>
        <v>#N/A</v>
      </c>
      <c r="M63" t="e">
        <f>_xlfn.XLOOKUP(L63,EGPro!A:A,EGPro!D:D)</f>
        <v>#N/A</v>
      </c>
      <c r="N63" t="e">
        <f>_xlfn.XLOOKUP(L63,EGPro!A:A,EGPro!C:C)</f>
        <v>#N/A</v>
      </c>
      <c r="O63" t="e">
        <f t="shared" si="2"/>
        <v>#N/A</v>
      </c>
      <c r="P63" t="e">
        <f>_xlfn.XLOOKUP(O63,EGPro!A:A,EGPro!D:D)</f>
        <v>#N/A</v>
      </c>
      <c r="Q63" t="e">
        <f>_xlfn.XLOOKUP(O63,EGPro!A:A,EGPro!C:C)</f>
        <v>#N/A</v>
      </c>
    </row>
    <row r="64" spans="1:17" x14ac:dyDescent="0.45">
      <c r="A64" s="3">
        <f>配列!B64</f>
        <v>0</v>
      </c>
      <c r="B64" s="3" t="e">
        <f>_xlfn.XLOOKUP(A64,対応表!A:A,対応表!B:B)</f>
        <v>#N/A</v>
      </c>
      <c r="C64" s="3">
        <f>配列!C64</f>
        <v>0</v>
      </c>
      <c r="D64" s="3" t="str">
        <f>IF(配列!E64="",RIGHT(配列!D64&amp;配列!E64,4)&amp;"L",RIGHT(配列!D64&amp;配列!E64,5))</f>
        <v>L</v>
      </c>
      <c r="E64" s="3">
        <f t="shared" si="0"/>
        <v>0</v>
      </c>
      <c r="F64" s="3" t="e">
        <f>_xlfn.XLOOKUP(E64,セットアップレポート_紐づけ用!A:A,セットアップレポート_紐づけ用!J:J)</f>
        <v>#N/A</v>
      </c>
      <c r="G64" s="3" t="e">
        <f>_xlfn.XLOOKUP(E64,セットアップレポート_紐づけ用!A:A,セットアップレポート_紐づけ用!V:V)</f>
        <v>#N/A</v>
      </c>
      <c r="H64" s="3">
        <f t="shared" si="3"/>
        <v>-2</v>
      </c>
      <c r="I64" t="str">
        <f>IF(J64=0,"",IF(配列!E64="",マクロ実行!$A$16 &amp;" T"&amp;H64&amp;"-"&amp;RIGHT(配列!D64&amp;配列!E64,2),マクロ実行!$A$16 &amp;" T"&amp;H64&amp;"-"&amp;RIGHT(配列!D64&amp;配列!E64,3)))</f>
        <v/>
      </c>
      <c r="J64">
        <f>配列!F64</f>
        <v>0</v>
      </c>
      <c r="K64" s="2" t="e">
        <f>_xlfn.XLOOKUP(E64,セットアップレポート_紐づけ用!A:A,セットアップレポート_紐づけ用!R:R)</f>
        <v>#N/A</v>
      </c>
      <c r="L64" t="e">
        <f t="shared" si="1"/>
        <v>#N/A</v>
      </c>
      <c r="M64" t="e">
        <f>_xlfn.XLOOKUP(L64,EGPro!A:A,EGPro!D:D)</f>
        <v>#N/A</v>
      </c>
      <c r="N64" t="e">
        <f>_xlfn.XLOOKUP(L64,EGPro!A:A,EGPro!C:C)</f>
        <v>#N/A</v>
      </c>
      <c r="O64" t="e">
        <f t="shared" si="2"/>
        <v>#N/A</v>
      </c>
      <c r="P64" t="e">
        <f>_xlfn.XLOOKUP(O64,EGPro!A:A,EGPro!D:D)</f>
        <v>#N/A</v>
      </c>
      <c r="Q64" t="e">
        <f>_xlfn.XLOOKUP(O64,EGPro!A:A,EGPro!C:C)</f>
        <v>#N/A</v>
      </c>
    </row>
    <row r="65" spans="1:17" x14ac:dyDescent="0.45">
      <c r="A65" s="3">
        <f>配列!B65</f>
        <v>0</v>
      </c>
      <c r="B65" s="3" t="e">
        <f>_xlfn.XLOOKUP(A65,対応表!A:A,対応表!B:B)</f>
        <v>#N/A</v>
      </c>
      <c r="C65" s="3">
        <f>配列!C65</f>
        <v>0</v>
      </c>
      <c r="D65" s="3" t="str">
        <f>IF(配列!E65="",RIGHT(配列!D65&amp;配列!E65,4)&amp;"L",RIGHT(配列!D65&amp;配列!E65,5))</f>
        <v>L</v>
      </c>
      <c r="E65" s="3">
        <f t="shared" si="0"/>
        <v>0</v>
      </c>
      <c r="F65" s="3" t="e">
        <f>_xlfn.XLOOKUP(E65,セットアップレポート_紐づけ用!A:A,セットアップレポート_紐づけ用!J:J)</f>
        <v>#N/A</v>
      </c>
      <c r="G65" s="3" t="e">
        <f>_xlfn.XLOOKUP(E65,セットアップレポート_紐づけ用!A:A,セットアップレポート_紐づけ用!V:V)</f>
        <v>#N/A</v>
      </c>
      <c r="H65" s="3">
        <f t="shared" si="3"/>
        <v>-2</v>
      </c>
      <c r="I65" t="str">
        <f>IF(J65=0,"",IF(配列!E65="",マクロ実行!$A$16 &amp;" T"&amp;H65&amp;"-"&amp;RIGHT(配列!D65&amp;配列!E65,2),マクロ実行!$A$16 &amp;" T"&amp;H65&amp;"-"&amp;RIGHT(配列!D65&amp;配列!E65,3)))</f>
        <v/>
      </c>
      <c r="J65">
        <f>配列!F65</f>
        <v>0</v>
      </c>
      <c r="K65" s="2" t="e">
        <f>_xlfn.XLOOKUP(E65,セットアップレポート_紐づけ用!A:A,セットアップレポート_紐づけ用!R:R)</f>
        <v>#N/A</v>
      </c>
      <c r="L65" t="e">
        <f t="shared" si="1"/>
        <v>#N/A</v>
      </c>
      <c r="M65" t="e">
        <f>_xlfn.XLOOKUP(L65,EGPro!A:A,EGPro!D:D)</f>
        <v>#N/A</v>
      </c>
      <c r="N65" t="e">
        <f>_xlfn.XLOOKUP(L65,EGPro!A:A,EGPro!C:C)</f>
        <v>#N/A</v>
      </c>
      <c r="O65" t="e">
        <f t="shared" si="2"/>
        <v>#N/A</v>
      </c>
      <c r="P65" t="e">
        <f>_xlfn.XLOOKUP(O65,EGPro!A:A,EGPro!D:D)</f>
        <v>#N/A</v>
      </c>
      <c r="Q65" t="e">
        <f>_xlfn.XLOOKUP(O65,EGPro!A:A,EGPro!C:C)</f>
        <v>#N/A</v>
      </c>
    </row>
    <row r="66" spans="1:17" x14ac:dyDescent="0.45">
      <c r="A66" s="3">
        <f>配列!B66</f>
        <v>0</v>
      </c>
      <c r="B66" s="3" t="e">
        <f>_xlfn.XLOOKUP(A66,対応表!A:A,対応表!B:B)</f>
        <v>#N/A</v>
      </c>
      <c r="C66" s="3">
        <f>配列!C66</f>
        <v>0</v>
      </c>
      <c r="D66" s="3" t="str">
        <f>IF(配列!E66="",RIGHT(配列!D66&amp;配列!E66,4)&amp;"L",RIGHT(配列!D66&amp;配列!E66,5))</f>
        <v>L</v>
      </c>
      <c r="E66" s="3">
        <f t="shared" ref="E66:E129" si="4">IF(J66=0,,B66&amp;D66&amp;J66)</f>
        <v>0</v>
      </c>
      <c r="F66" s="3" t="e">
        <f>_xlfn.XLOOKUP(E66,セットアップレポート_紐づけ用!A:A,セットアップレポート_紐づけ用!J:J)</f>
        <v>#N/A</v>
      </c>
      <c r="G66" s="3" t="e">
        <f>_xlfn.XLOOKUP(E66,セットアップレポート_紐づけ用!A:A,セットアップレポート_紐づけ用!V:V)</f>
        <v>#N/A</v>
      </c>
      <c r="H66" s="3">
        <f t="shared" si="3"/>
        <v>-2</v>
      </c>
      <c r="I66" t="str">
        <f>IF(J66=0,"",IF(配列!E66="",マクロ実行!$A$16 &amp;" T"&amp;H66&amp;"-"&amp;RIGHT(配列!D66&amp;配列!E66,2),マクロ実行!$A$16 &amp;" T"&amp;H66&amp;"-"&amp;RIGHT(配列!D66&amp;配列!E66,3)))</f>
        <v/>
      </c>
      <c r="J66">
        <f>配列!F66</f>
        <v>0</v>
      </c>
      <c r="K66" s="2" t="e">
        <f>_xlfn.XLOOKUP(E66,セットアップレポート_紐づけ用!A:A,セットアップレポート_紐づけ用!R:R)</f>
        <v>#N/A</v>
      </c>
      <c r="L66" t="e">
        <f t="shared" ref="L66:L129" si="5">IF(LEN(F66)=13,"    "&amp;F66,F66)</f>
        <v>#N/A</v>
      </c>
      <c r="M66" t="e">
        <f>_xlfn.XLOOKUP(L66,EGPro!A:A,EGPro!D:D)</f>
        <v>#N/A</v>
      </c>
      <c r="N66" t="e">
        <f>_xlfn.XLOOKUP(L66,EGPro!A:A,EGPro!C:C)</f>
        <v>#N/A</v>
      </c>
      <c r="O66" t="e">
        <f t="shared" ref="O66:O129" si="6">IF(LEN(G66)=13,"    "&amp;G66,G66)</f>
        <v>#N/A</v>
      </c>
      <c r="P66" t="e">
        <f>_xlfn.XLOOKUP(O66,EGPro!A:A,EGPro!D:D)</f>
        <v>#N/A</v>
      </c>
      <c r="Q66" t="e">
        <f>_xlfn.XLOOKUP(O66,EGPro!A:A,EGPro!C:C)</f>
        <v>#N/A</v>
      </c>
    </row>
    <row r="67" spans="1:17" x14ac:dyDescent="0.45">
      <c r="A67" s="3">
        <f>配列!B67</f>
        <v>0</v>
      </c>
      <c r="B67" s="3" t="e">
        <f>_xlfn.XLOOKUP(A67,対応表!A:A,対応表!B:B)</f>
        <v>#N/A</v>
      </c>
      <c r="C67" s="3">
        <f>配列!C67</f>
        <v>0</v>
      </c>
      <c r="D67" s="3" t="str">
        <f>IF(配列!E67="",RIGHT(配列!D67&amp;配列!E67,4)&amp;"L",RIGHT(配列!D67&amp;配列!E67,5))</f>
        <v>L</v>
      </c>
      <c r="E67" s="3">
        <f t="shared" si="4"/>
        <v>0</v>
      </c>
      <c r="F67" s="3" t="e">
        <f>_xlfn.XLOOKUP(E67,セットアップレポート_紐づけ用!A:A,セットアップレポート_紐づけ用!J:J)</f>
        <v>#N/A</v>
      </c>
      <c r="G67" s="3" t="e">
        <f>_xlfn.XLOOKUP(E67,セットアップレポート_紐づけ用!A:A,セットアップレポート_紐づけ用!V:V)</f>
        <v>#N/A</v>
      </c>
      <c r="H67" s="3">
        <f t="shared" ref="H67:H130" si="7">2*RIGHT(A67,1)-2+C67</f>
        <v>-2</v>
      </c>
      <c r="I67" t="str">
        <f>IF(J67=0,"",IF(配列!E67="",マクロ実行!$A$16 &amp;" T"&amp;H67&amp;"-"&amp;RIGHT(配列!D67&amp;配列!E67,2),マクロ実行!$A$16 &amp;" T"&amp;H67&amp;"-"&amp;RIGHT(配列!D67&amp;配列!E67,3)))</f>
        <v/>
      </c>
      <c r="J67">
        <f>配列!F67</f>
        <v>0</v>
      </c>
      <c r="K67" s="2" t="e">
        <f>_xlfn.XLOOKUP(E67,セットアップレポート_紐づけ用!A:A,セットアップレポート_紐づけ用!R:R)</f>
        <v>#N/A</v>
      </c>
      <c r="L67" t="e">
        <f t="shared" si="5"/>
        <v>#N/A</v>
      </c>
      <c r="M67" t="e">
        <f>_xlfn.XLOOKUP(L67,EGPro!A:A,EGPro!D:D)</f>
        <v>#N/A</v>
      </c>
      <c r="N67" t="e">
        <f>_xlfn.XLOOKUP(L67,EGPro!A:A,EGPro!C:C)</f>
        <v>#N/A</v>
      </c>
      <c r="O67" t="e">
        <f t="shared" si="6"/>
        <v>#N/A</v>
      </c>
      <c r="P67" t="e">
        <f>_xlfn.XLOOKUP(O67,EGPro!A:A,EGPro!D:D)</f>
        <v>#N/A</v>
      </c>
      <c r="Q67" t="e">
        <f>_xlfn.XLOOKUP(O67,EGPro!A:A,EGPro!C:C)</f>
        <v>#N/A</v>
      </c>
    </row>
    <row r="68" spans="1:17" x14ac:dyDescent="0.45">
      <c r="A68" s="3">
        <f>配列!B68</f>
        <v>0</v>
      </c>
      <c r="B68" s="3" t="e">
        <f>_xlfn.XLOOKUP(A68,対応表!A:A,対応表!B:B)</f>
        <v>#N/A</v>
      </c>
      <c r="C68" s="3">
        <f>配列!C68</f>
        <v>0</v>
      </c>
      <c r="D68" s="3" t="str">
        <f>IF(配列!E68="",RIGHT(配列!D68&amp;配列!E68,4)&amp;"L",RIGHT(配列!D68&amp;配列!E68,5))</f>
        <v>L</v>
      </c>
      <c r="E68" s="3">
        <f t="shared" si="4"/>
        <v>0</v>
      </c>
      <c r="F68" s="3" t="e">
        <f>_xlfn.XLOOKUP(E68,セットアップレポート_紐づけ用!A:A,セットアップレポート_紐づけ用!J:J)</f>
        <v>#N/A</v>
      </c>
      <c r="G68" s="3" t="e">
        <f>_xlfn.XLOOKUP(E68,セットアップレポート_紐づけ用!A:A,セットアップレポート_紐づけ用!V:V)</f>
        <v>#N/A</v>
      </c>
      <c r="H68" s="3">
        <f t="shared" si="7"/>
        <v>-2</v>
      </c>
      <c r="I68" t="str">
        <f>IF(J68=0,"",IF(配列!E68="",マクロ実行!$A$16 &amp;" T"&amp;H68&amp;"-"&amp;RIGHT(配列!D68&amp;配列!E68,2),マクロ実行!$A$16 &amp;" T"&amp;H68&amp;"-"&amp;RIGHT(配列!D68&amp;配列!E68,3)))</f>
        <v/>
      </c>
      <c r="J68">
        <f>配列!F68</f>
        <v>0</v>
      </c>
      <c r="K68" s="2" t="e">
        <f>_xlfn.XLOOKUP(E68,セットアップレポート_紐づけ用!A:A,セットアップレポート_紐づけ用!R:R)</f>
        <v>#N/A</v>
      </c>
      <c r="L68" t="e">
        <f t="shared" si="5"/>
        <v>#N/A</v>
      </c>
      <c r="M68" t="e">
        <f>_xlfn.XLOOKUP(L68,EGPro!A:A,EGPro!D:D)</f>
        <v>#N/A</v>
      </c>
      <c r="N68" t="e">
        <f>_xlfn.XLOOKUP(L68,EGPro!A:A,EGPro!C:C)</f>
        <v>#N/A</v>
      </c>
      <c r="O68" t="e">
        <f t="shared" si="6"/>
        <v>#N/A</v>
      </c>
      <c r="P68" t="e">
        <f>_xlfn.XLOOKUP(O68,EGPro!A:A,EGPro!D:D)</f>
        <v>#N/A</v>
      </c>
      <c r="Q68" t="e">
        <f>_xlfn.XLOOKUP(O68,EGPro!A:A,EGPro!C:C)</f>
        <v>#N/A</v>
      </c>
    </row>
    <row r="69" spans="1:17" x14ac:dyDescent="0.45">
      <c r="A69" s="3">
        <f>配列!B69</f>
        <v>0</v>
      </c>
      <c r="B69" s="3" t="e">
        <f>_xlfn.XLOOKUP(A69,対応表!A:A,対応表!B:B)</f>
        <v>#N/A</v>
      </c>
      <c r="C69" s="3">
        <f>配列!C69</f>
        <v>0</v>
      </c>
      <c r="D69" s="3" t="str">
        <f>IF(配列!E69="",RIGHT(配列!D69&amp;配列!E69,4)&amp;"L",RIGHT(配列!D69&amp;配列!E69,5))</f>
        <v>L</v>
      </c>
      <c r="E69" s="3">
        <f t="shared" si="4"/>
        <v>0</v>
      </c>
      <c r="F69" s="3" t="e">
        <f>_xlfn.XLOOKUP(E69,セットアップレポート_紐づけ用!A:A,セットアップレポート_紐づけ用!J:J)</f>
        <v>#N/A</v>
      </c>
      <c r="G69" s="3" t="e">
        <f>_xlfn.XLOOKUP(E69,セットアップレポート_紐づけ用!A:A,セットアップレポート_紐づけ用!V:V)</f>
        <v>#N/A</v>
      </c>
      <c r="H69" s="3">
        <f t="shared" si="7"/>
        <v>-2</v>
      </c>
      <c r="I69" t="str">
        <f>IF(J69=0,"",IF(配列!E69="",マクロ実行!$A$16 &amp;" T"&amp;H69&amp;"-"&amp;RIGHT(配列!D69&amp;配列!E69,2),マクロ実行!$A$16 &amp;" T"&amp;H69&amp;"-"&amp;RIGHT(配列!D69&amp;配列!E69,3)))</f>
        <v/>
      </c>
      <c r="J69">
        <f>配列!F69</f>
        <v>0</v>
      </c>
      <c r="K69" s="2" t="e">
        <f>_xlfn.XLOOKUP(E69,セットアップレポート_紐づけ用!A:A,セットアップレポート_紐づけ用!R:R)</f>
        <v>#N/A</v>
      </c>
      <c r="L69" t="e">
        <f t="shared" si="5"/>
        <v>#N/A</v>
      </c>
      <c r="M69" t="e">
        <f>_xlfn.XLOOKUP(L69,EGPro!A:A,EGPro!D:D)</f>
        <v>#N/A</v>
      </c>
      <c r="N69" t="e">
        <f>_xlfn.XLOOKUP(L69,EGPro!A:A,EGPro!C:C)</f>
        <v>#N/A</v>
      </c>
      <c r="O69" t="e">
        <f t="shared" si="6"/>
        <v>#N/A</v>
      </c>
      <c r="P69" t="e">
        <f>_xlfn.XLOOKUP(O69,EGPro!A:A,EGPro!D:D)</f>
        <v>#N/A</v>
      </c>
      <c r="Q69" t="e">
        <f>_xlfn.XLOOKUP(O69,EGPro!A:A,EGPro!C:C)</f>
        <v>#N/A</v>
      </c>
    </row>
    <row r="70" spans="1:17" x14ac:dyDescent="0.45">
      <c r="A70" s="3">
        <f>配列!B70</f>
        <v>0</v>
      </c>
      <c r="B70" s="3" t="e">
        <f>_xlfn.XLOOKUP(A70,対応表!A:A,対応表!B:B)</f>
        <v>#N/A</v>
      </c>
      <c r="C70" s="3">
        <f>配列!C70</f>
        <v>0</v>
      </c>
      <c r="D70" s="3" t="str">
        <f>IF(配列!E70="",RIGHT(配列!D70&amp;配列!E70,4)&amp;"L",RIGHT(配列!D70&amp;配列!E70,5))</f>
        <v>L</v>
      </c>
      <c r="E70" s="3">
        <f t="shared" si="4"/>
        <v>0</v>
      </c>
      <c r="F70" s="3" t="e">
        <f>_xlfn.XLOOKUP(E70,セットアップレポート_紐づけ用!A:A,セットアップレポート_紐づけ用!J:J)</f>
        <v>#N/A</v>
      </c>
      <c r="G70" s="3" t="e">
        <f>_xlfn.XLOOKUP(E70,セットアップレポート_紐づけ用!A:A,セットアップレポート_紐づけ用!V:V)</f>
        <v>#N/A</v>
      </c>
      <c r="H70" s="3">
        <f t="shared" si="7"/>
        <v>-2</v>
      </c>
      <c r="I70" t="str">
        <f>IF(J70=0,"",IF(配列!E70="",マクロ実行!$A$16 &amp;" T"&amp;H70&amp;"-"&amp;RIGHT(配列!D70&amp;配列!E70,2),マクロ実行!$A$16 &amp;" T"&amp;H70&amp;"-"&amp;RIGHT(配列!D70&amp;配列!E70,3)))</f>
        <v/>
      </c>
      <c r="J70">
        <f>配列!F70</f>
        <v>0</v>
      </c>
      <c r="K70" s="2" t="e">
        <f>_xlfn.XLOOKUP(E70,セットアップレポート_紐づけ用!A:A,セットアップレポート_紐づけ用!R:R)</f>
        <v>#N/A</v>
      </c>
      <c r="L70" t="e">
        <f t="shared" si="5"/>
        <v>#N/A</v>
      </c>
      <c r="M70" t="e">
        <f>_xlfn.XLOOKUP(L70,EGPro!A:A,EGPro!D:D)</f>
        <v>#N/A</v>
      </c>
      <c r="N70" t="e">
        <f>_xlfn.XLOOKUP(L70,EGPro!A:A,EGPro!C:C)</f>
        <v>#N/A</v>
      </c>
      <c r="O70" t="e">
        <f t="shared" si="6"/>
        <v>#N/A</v>
      </c>
      <c r="P70" t="e">
        <f>_xlfn.XLOOKUP(O70,EGPro!A:A,EGPro!D:D)</f>
        <v>#N/A</v>
      </c>
      <c r="Q70" t="e">
        <f>_xlfn.XLOOKUP(O70,EGPro!A:A,EGPro!C:C)</f>
        <v>#N/A</v>
      </c>
    </row>
    <row r="71" spans="1:17" x14ac:dyDescent="0.45">
      <c r="A71" s="3">
        <f>配列!B71</f>
        <v>0</v>
      </c>
      <c r="B71" s="3" t="e">
        <f>_xlfn.XLOOKUP(A71,対応表!A:A,対応表!B:B)</f>
        <v>#N/A</v>
      </c>
      <c r="C71" s="3">
        <f>配列!C71</f>
        <v>0</v>
      </c>
      <c r="D71" s="3" t="str">
        <f>IF(配列!E71="",RIGHT(配列!D71&amp;配列!E71,4)&amp;"L",RIGHT(配列!D71&amp;配列!E71,5))</f>
        <v>L</v>
      </c>
      <c r="E71" s="3">
        <f t="shared" si="4"/>
        <v>0</v>
      </c>
      <c r="F71" s="3" t="e">
        <f>_xlfn.XLOOKUP(E71,セットアップレポート_紐づけ用!A:A,セットアップレポート_紐づけ用!J:J)</f>
        <v>#N/A</v>
      </c>
      <c r="G71" s="3" t="e">
        <f>_xlfn.XLOOKUP(E71,セットアップレポート_紐づけ用!A:A,セットアップレポート_紐づけ用!V:V)</f>
        <v>#N/A</v>
      </c>
      <c r="H71" s="3">
        <f t="shared" si="7"/>
        <v>-2</v>
      </c>
      <c r="I71" t="str">
        <f>IF(J71=0,"",IF(配列!E71="",マクロ実行!$A$16 &amp;" T"&amp;H71&amp;"-"&amp;RIGHT(配列!D71&amp;配列!E71,2),マクロ実行!$A$16 &amp;" T"&amp;H71&amp;"-"&amp;RIGHT(配列!D71&amp;配列!E71,3)))</f>
        <v/>
      </c>
      <c r="J71">
        <f>配列!F71</f>
        <v>0</v>
      </c>
      <c r="K71" s="2" t="e">
        <f>_xlfn.XLOOKUP(E71,セットアップレポート_紐づけ用!A:A,セットアップレポート_紐づけ用!R:R)</f>
        <v>#N/A</v>
      </c>
      <c r="L71" t="e">
        <f t="shared" si="5"/>
        <v>#N/A</v>
      </c>
      <c r="M71" t="e">
        <f>_xlfn.XLOOKUP(L71,EGPro!A:A,EGPro!D:D)</f>
        <v>#N/A</v>
      </c>
      <c r="N71" t="e">
        <f>_xlfn.XLOOKUP(L71,EGPro!A:A,EGPro!C:C)</f>
        <v>#N/A</v>
      </c>
      <c r="O71" t="e">
        <f t="shared" si="6"/>
        <v>#N/A</v>
      </c>
      <c r="P71" t="e">
        <f>_xlfn.XLOOKUP(O71,EGPro!A:A,EGPro!D:D)</f>
        <v>#N/A</v>
      </c>
      <c r="Q71" t="e">
        <f>_xlfn.XLOOKUP(O71,EGPro!A:A,EGPro!C:C)</f>
        <v>#N/A</v>
      </c>
    </row>
    <row r="72" spans="1:17" x14ac:dyDescent="0.45">
      <c r="A72" s="3">
        <f>配列!B72</f>
        <v>0</v>
      </c>
      <c r="B72" s="3" t="e">
        <f>_xlfn.XLOOKUP(A72,対応表!A:A,対応表!B:B)</f>
        <v>#N/A</v>
      </c>
      <c r="C72" s="3">
        <f>配列!C72</f>
        <v>0</v>
      </c>
      <c r="D72" s="3" t="str">
        <f>IF(配列!E72="",RIGHT(配列!D72&amp;配列!E72,4)&amp;"L",RIGHT(配列!D72&amp;配列!E72,5))</f>
        <v>L</v>
      </c>
      <c r="E72" s="3">
        <f t="shared" si="4"/>
        <v>0</v>
      </c>
      <c r="F72" s="3" t="e">
        <f>_xlfn.XLOOKUP(E72,セットアップレポート_紐づけ用!A:A,セットアップレポート_紐づけ用!J:J)</f>
        <v>#N/A</v>
      </c>
      <c r="G72" s="3" t="e">
        <f>_xlfn.XLOOKUP(E72,セットアップレポート_紐づけ用!A:A,セットアップレポート_紐づけ用!V:V)</f>
        <v>#N/A</v>
      </c>
      <c r="H72" s="3">
        <f t="shared" si="7"/>
        <v>-2</v>
      </c>
      <c r="I72" t="str">
        <f>IF(J72=0,"",IF(配列!E72="",マクロ実行!$A$16 &amp;" T"&amp;H72&amp;"-"&amp;RIGHT(配列!D72&amp;配列!E72,2),マクロ実行!$A$16 &amp;" T"&amp;H72&amp;"-"&amp;RIGHT(配列!D72&amp;配列!E72,3)))</f>
        <v/>
      </c>
      <c r="J72">
        <f>配列!F72</f>
        <v>0</v>
      </c>
      <c r="K72" s="2" t="e">
        <f>_xlfn.XLOOKUP(E72,セットアップレポート_紐づけ用!A:A,セットアップレポート_紐づけ用!R:R)</f>
        <v>#N/A</v>
      </c>
      <c r="L72" t="e">
        <f t="shared" si="5"/>
        <v>#N/A</v>
      </c>
      <c r="M72" t="e">
        <f>_xlfn.XLOOKUP(L72,EGPro!A:A,EGPro!D:D)</f>
        <v>#N/A</v>
      </c>
      <c r="N72" t="e">
        <f>_xlfn.XLOOKUP(L72,EGPro!A:A,EGPro!C:C)</f>
        <v>#N/A</v>
      </c>
      <c r="O72" t="e">
        <f t="shared" si="6"/>
        <v>#N/A</v>
      </c>
      <c r="P72" t="e">
        <f>_xlfn.XLOOKUP(O72,EGPro!A:A,EGPro!D:D)</f>
        <v>#N/A</v>
      </c>
      <c r="Q72" t="e">
        <f>_xlfn.XLOOKUP(O72,EGPro!A:A,EGPro!C:C)</f>
        <v>#N/A</v>
      </c>
    </row>
    <row r="73" spans="1:17" x14ac:dyDescent="0.45">
      <c r="A73" s="3">
        <f>配列!B73</f>
        <v>0</v>
      </c>
      <c r="B73" s="3" t="e">
        <f>_xlfn.XLOOKUP(A73,対応表!A:A,対応表!B:B)</f>
        <v>#N/A</v>
      </c>
      <c r="C73" s="3">
        <f>配列!C73</f>
        <v>0</v>
      </c>
      <c r="D73" s="3" t="str">
        <f>IF(配列!E73="",RIGHT(配列!D73&amp;配列!E73,4)&amp;"L",RIGHT(配列!D73&amp;配列!E73,5))</f>
        <v>L</v>
      </c>
      <c r="E73" s="3">
        <f t="shared" si="4"/>
        <v>0</v>
      </c>
      <c r="F73" s="3" t="e">
        <f>_xlfn.XLOOKUP(E73,セットアップレポート_紐づけ用!A:A,セットアップレポート_紐づけ用!J:J)</f>
        <v>#N/A</v>
      </c>
      <c r="G73" s="3" t="e">
        <f>_xlfn.XLOOKUP(E73,セットアップレポート_紐づけ用!A:A,セットアップレポート_紐づけ用!V:V)</f>
        <v>#N/A</v>
      </c>
      <c r="H73" s="3">
        <f t="shared" si="7"/>
        <v>-2</v>
      </c>
      <c r="I73" t="str">
        <f>IF(J73=0,"",IF(配列!E73="",マクロ実行!$A$16 &amp;" T"&amp;H73&amp;"-"&amp;RIGHT(配列!D73&amp;配列!E73,2),マクロ実行!$A$16 &amp;" T"&amp;H73&amp;"-"&amp;RIGHT(配列!D73&amp;配列!E73,3)))</f>
        <v/>
      </c>
      <c r="J73">
        <f>配列!F73</f>
        <v>0</v>
      </c>
      <c r="K73" s="2" t="e">
        <f>_xlfn.XLOOKUP(E73,セットアップレポート_紐づけ用!A:A,セットアップレポート_紐づけ用!R:R)</f>
        <v>#N/A</v>
      </c>
      <c r="L73" t="e">
        <f t="shared" si="5"/>
        <v>#N/A</v>
      </c>
      <c r="M73" t="e">
        <f>_xlfn.XLOOKUP(L73,EGPro!A:A,EGPro!D:D)</f>
        <v>#N/A</v>
      </c>
      <c r="N73" t="e">
        <f>_xlfn.XLOOKUP(L73,EGPro!A:A,EGPro!C:C)</f>
        <v>#N/A</v>
      </c>
      <c r="O73" t="e">
        <f t="shared" si="6"/>
        <v>#N/A</v>
      </c>
      <c r="P73" t="e">
        <f>_xlfn.XLOOKUP(O73,EGPro!A:A,EGPro!D:D)</f>
        <v>#N/A</v>
      </c>
      <c r="Q73" t="e">
        <f>_xlfn.XLOOKUP(O73,EGPro!A:A,EGPro!C:C)</f>
        <v>#N/A</v>
      </c>
    </row>
    <row r="74" spans="1:17" x14ac:dyDescent="0.45">
      <c r="A74" s="3">
        <f>配列!B74</f>
        <v>0</v>
      </c>
      <c r="B74" s="3" t="e">
        <f>_xlfn.XLOOKUP(A74,対応表!A:A,対応表!B:B)</f>
        <v>#N/A</v>
      </c>
      <c r="C74" s="3">
        <f>配列!C74</f>
        <v>0</v>
      </c>
      <c r="D74" s="3" t="str">
        <f>IF(配列!E74="",RIGHT(配列!D74&amp;配列!E74,4)&amp;"L",RIGHT(配列!D74&amp;配列!E74,5))</f>
        <v>L</v>
      </c>
      <c r="E74" s="3">
        <f t="shared" si="4"/>
        <v>0</v>
      </c>
      <c r="F74" s="3" t="e">
        <f>_xlfn.XLOOKUP(E74,セットアップレポート_紐づけ用!A:A,セットアップレポート_紐づけ用!J:J)</f>
        <v>#N/A</v>
      </c>
      <c r="G74" s="3" t="e">
        <f>_xlfn.XLOOKUP(E74,セットアップレポート_紐づけ用!A:A,セットアップレポート_紐づけ用!V:V)</f>
        <v>#N/A</v>
      </c>
      <c r="H74" s="3">
        <f t="shared" si="7"/>
        <v>-2</v>
      </c>
      <c r="I74" t="str">
        <f>IF(J74=0,"",IF(配列!E74="",マクロ実行!$A$16 &amp;" T"&amp;H74&amp;"-"&amp;RIGHT(配列!D74&amp;配列!E74,2),マクロ実行!$A$16 &amp;" T"&amp;H74&amp;"-"&amp;RIGHT(配列!D74&amp;配列!E74,3)))</f>
        <v/>
      </c>
      <c r="J74">
        <f>配列!F74</f>
        <v>0</v>
      </c>
      <c r="K74" s="2" t="e">
        <f>_xlfn.XLOOKUP(E74,セットアップレポート_紐づけ用!A:A,セットアップレポート_紐づけ用!R:R)</f>
        <v>#N/A</v>
      </c>
      <c r="L74" t="e">
        <f t="shared" si="5"/>
        <v>#N/A</v>
      </c>
      <c r="M74" t="e">
        <f>_xlfn.XLOOKUP(L74,EGPro!A:A,EGPro!D:D)</f>
        <v>#N/A</v>
      </c>
      <c r="N74" t="e">
        <f>_xlfn.XLOOKUP(L74,EGPro!A:A,EGPro!C:C)</f>
        <v>#N/A</v>
      </c>
      <c r="O74" t="e">
        <f t="shared" si="6"/>
        <v>#N/A</v>
      </c>
      <c r="P74" t="e">
        <f>_xlfn.XLOOKUP(O74,EGPro!A:A,EGPro!D:D)</f>
        <v>#N/A</v>
      </c>
      <c r="Q74" t="e">
        <f>_xlfn.XLOOKUP(O74,EGPro!A:A,EGPro!C:C)</f>
        <v>#N/A</v>
      </c>
    </row>
    <row r="75" spans="1:17" x14ac:dyDescent="0.45">
      <c r="A75" s="3">
        <f>配列!B75</f>
        <v>0</v>
      </c>
      <c r="B75" s="3" t="e">
        <f>_xlfn.XLOOKUP(A75,対応表!A:A,対応表!B:B)</f>
        <v>#N/A</v>
      </c>
      <c r="C75" s="3">
        <f>配列!C75</f>
        <v>0</v>
      </c>
      <c r="D75" s="3" t="str">
        <f>IF(配列!E75="",RIGHT(配列!D75&amp;配列!E75,4)&amp;"L",RIGHT(配列!D75&amp;配列!E75,5))</f>
        <v>L</v>
      </c>
      <c r="E75" s="3">
        <f t="shared" si="4"/>
        <v>0</v>
      </c>
      <c r="F75" s="3" t="e">
        <f>_xlfn.XLOOKUP(E75,セットアップレポート_紐づけ用!A:A,セットアップレポート_紐づけ用!J:J)</f>
        <v>#N/A</v>
      </c>
      <c r="G75" s="3" t="e">
        <f>_xlfn.XLOOKUP(E75,セットアップレポート_紐づけ用!A:A,セットアップレポート_紐づけ用!V:V)</f>
        <v>#N/A</v>
      </c>
      <c r="H75" s="3">
        <f t="shared" si="7"/>
        <v>-2</v>
      </c>
      <c r="I75" t="str">
        <f>IF(J75=0,"",IF(配列!E75="",マクロ実行!$A$16 &amp;" T"&amp;H75&amp;"-"&amp;RIGHT(配列!D75&amp;配列!E75,2),マクロ実行!$A$16 &amp;" T"&amp;H75&amp;"-"&amp;RIGHT(配列!D75&amp;配列!E75,3)))</f>
        <v/>
      </c>
      <c r="J75">
        <f>配列!F75</f>
        <v>0</v>
      </c>
      <c r="K75" s="2" t="e">
        <f>_xlfn.XLOOKUP(E75,セットアップレポート_紐づけ用!A:A,セットアップレポート_紐づけ用!R:R)</f>
        <v>#N/A</v>
      </c>
      <c r="L75" t="e">
        <f t="shared" si="5"/>
        <v>#N/A</v>
      </c>
      <c r="M75" t="e">
        <f>_xlfn.XLOOKUP(L75,EGPro!A:A,EGPro!D:D)</f>
        <v>#N/A</v>
      </c>
      <c r="N75" t="e">
        <f>_xlfn.XLOOKUP(L75,EGPro!A:A,EGPro!C:C)</f>
        <v>#N/A</v>
      </c>
      <c r="O75" t="e">
        <f t="shared" si="6"/>
        <v>#N/A</v>
      </c>
      <c r="P75" t="e">
        <f>_xlfn.XLOOKUP(O75,EGPro!A:A,EGPro!D:D)</f>
        <v>#N/A</v>
      </c>
      <c r="Q75" t="e">
        <f>_xlfn.XLOOKUP(O75,EGPro!A:A,EGPro!C:C)</f>
        <v>#N/A</v>
      </c>
    </row>
    <row r="76" spans="1:17" x14ac:dyDescent="0.45">
      <c r="A76" s="3">
        <f>配列!B76</f>
        <v>0</v>
      </c>
      <c r="B76" s="3" t="e">
        <f>_xlfn.XLOOKUP(A76,対応表!A:A,対応表!B:B)</f>
        <v>#N/A</v>
      </c>
      <c r="C76" s="3">
        <f>配列!C76</f>
        <v>0</v>
      </c>
      <c r="D76" s="3" t="str">
        <f>IF(配列!E76="",RIGHT(配列!D76&amp;配列!E76,4)&amp;"L",RIGHT(配列!D76&amp;配列!E76,5))</f>
        <v>L</v>
      </c>
      <c r="E76" s="3">
        <f t="shared" si="4"/>
        <v>0</v>
      </c>
      <c r="F76" s="3" t="e">
        <f>_xlfn.XLOOKUP(E76,セットアップレポート_紐づけ用!A:A,セットアップレポート_紐づけ用!J:J)</f>
        <v>#N/A</v>
      </c>
      <c r="G76" s="3" t="e">
        <f>_xlfn.XLOOKUP(E76,セットアップレポート_紐づけ用!A:A,セットアップレポート_紐づけ用!V:V)</f>
        <v>#N/A</v>
      </c>
      <c r="H76" s="3">
        <f t="shared" si="7"/>
        <v>-2</v>
      </c>
      <c r="I76" t="str">
        <f>IF(J76=0,"",IF(配列!E76="",マクロ実行!$A$16 &amp;" T"&amp;H76&amp;"-"&amp;RIGHT(配列!D76&amp;配列!E76,2),マクロ実行!$A$16 &amp;" T"&amp;H76&amp;"-"&amp;RIGHT(配列!D76&amp;配列!E76,3)))</f>
        <v/>
      </c>
      <c r="J76">
        <f>配列!F76</f>
        <v>0</v>
      </c>
      <c r="K76" s="2" t="e">
        <f>_xlfn.XLOOKUP(E76,セットアップレポート_紐づけ用!A:A,セットアップレポート_紐づけ用!R:R)</f>
        <v>#N/A</v>
      </c>
      <c r="L76" t="e">
        <f t="shared" si="5"/>
        <v>#N/A</v>
      </c>
      <c r="M76" t="e">
        <f>_xlfn.XLOOKUP(L76,EGPro!A:A,EGPro!D:D)</f>
        <v>#N/A</v>
      </c>
      <c r="N76" t="e">
        <f>_xlfn.XLOOKUP(L76,EGPro!A:A,EGPro!C:C)</f>
        <v>#N/A</v>
      </c>
      <c r="O76" t="e">
        <f t="shared" si="6"/>
        <v>#N/A</v>
      </c>
      <c r="P76" t="e">
        <f>_xlfn.XLOOKUP(O76,EGPro!A:A,EGPro!D:D)</f>
        <v>#N/A</v>
      </c>
      <c r="Q76" t="e">
        <f>_xlfn.XLOOKUP(O76,EGPro!A:A,EGPro!C:C)</f>
        <v>#N/A</v>
      </c>
    </row>
    <row r="77" spans="1:17" x14ac:dyDescent="0.45">
      <c r="A77" s="3">
        <f>配列!B77</f>
        <v>0</v>
      </c>
      <c r="B77" s="3" t="e">
        <f>_xlfn.XLOOKUP(A77,対応表!A:A,対応表!B:B)</f>
        <v>#N/A</v>
      </c>
      <c r="C77" s="3">
        <f>配列!C77</f>
        <v>0</v>
      </c>
      <c r="D77" s="3" t="str">
        <f>IF(配列!E77="",RIGHT(配列!D77&amp;配列!E77,4)&amp;"L",RIGHT(配列!D77&amp;配列!E77,5))</f>
        <v>L</v>
      </c>
      <c r="E77" s="3">
        <f t="shared" si="4"/>
        <v>0</v>
      </c>
      <c r="F77" s="3" t="e">
        <f>_xlfn.XLOOKUP(E77,セットアップレポート_紐づけ用!A:A,セットアップレポート_紐づけ用!J:J)</f>
        <v>#N/A</v>
      </c>
      <c r="G77" s="3" t="e">
        <f>_xlfn.XLOOKUP(E77,セットアップレポート_紐づけ用!A:A,セットアップレポート_紐づけ用!V:V)</f>
        <v>#N/A</v>
      </c>
      <c r="H77" s="3">
        <f t="shared" si="7"/>
        <v>-2</v>
      </c>
      <c r="I77" t="str">
        <f>IF(J77=0,"",IF(配列!E77="",マクロ実行!$A$16 &amp;" T"&amp;H77&amp;"-"&amp;RIGHT(配列!D77&amp;配列!E77,2),マクロ実行!$A$16 &amp;" T"&amp;H77&amp;"-"&amp;RIGHT(配列!D77&amp;配列!E77,3)))</f>
        <v/>
      </c>
      <c r="J77">
        <f>配列!F77</f>
        <v>0</v>
      </c>
      <c r="K77" s="2" t="e">
        <f>_xlfn.XLOOKUP(E77,セットアップレポート_紐づけ用!A:A,セットアップレポート_紐づけ用!R:R)</f>
        <v>#N/A</v>
      </c>
      <c r="L77" t="e">
        <f t="shared" si="5"/>
        <v>#N/A</v>
      </c>
      <c r="M77" t="e">
        <f>_xlfn.XLOOKUP(L77,EGPro!A:A,EGPro!D:D)</f>
        <v>#N/A</v>
      </c>
      <c r="N77" t="e">
        <f>_xlfn.XLOOKUP(L77,EGPro!A:A,EGPro!C:C)</f>
        <v>#N/A</v>
      </c>
      <c r="O77" t="e">
        <f t="shared" si="6"/>
        <v>#N/A</v>
      </c>
      <c r="P77" t="e">
        <f>_xlfn.XLOOKUP(O77,EGPro!A:A,EGPro!D:D)</f>
        <v>#N/A</v>
      </c>
      <c r="Q77" t="e">
        <f>_xlfn.XLOOKUP(O77,EGPro!A:A,EGPro!C:C)</f>
        <v>#N/A</v>
      </c>
    </row>
    <row r="78" spans="1:17" x14ac:dyDescent="0.45">
      <c r="A78" s="3">
        <f>配列!B78</f>
        <v>0</v>
      </c>
      <c r="B78" s="3" t="e">
        <f>_xlfn.XLOOKUP(A78,対応表!A:A,対応表!B:B)</f>
        <v>#N/A</v>
      </c>
      <c r="C78" s="3">
        <f>配列!C78</f>
        <v>0</v>
      </c>
      <c r="D78" s="3" t="str">
        <f>IF(配列!E78="",RIGHT(配列!D78&amp;配列!E78,4)&amp;"L",RIGHT(配列!D78&amp;配列!E78,5))</f>
        <v>L</v>
      </c>
      <c r="E78" s="3">
        <f t="shared" si="4"/>
        <v>0</v>
      </c>
      <c r="F78" s="3" t="e">
        <f>_xlfn.XLOOKUP(E78,セットアップレポート_紐づけ用!A:A,セットアップレポート_紐づけ用!J:J)</f>
        <v>#N/A</v>
      </c>
      <c r="G78" s="3" t="e">
        <f>_xlfn.XLOOKUP(E78,セットアップレポート_紐づけ用!A:A,セットアップレポート_紐づけ用!V:V)</f>
        <v>#N/A</v>
      </c>
      <c r="H78" s="3">
        <f t="shared" si="7"/>
        <v>-2</v>
      </c>
      <c r="I78" t="str">
        <f>IF(J78=0,"",IF(配列!E78="",マクロ実行!$A$16 &amp;" T"&amp;H78&amp;"-"&amp;RIGHT(配列!D78&amp;配列!E78,2),マクロ実行!$A$16 &amp;" T"&amp;H78&amp;"-"&amp;RIGHT(配列!D78&amp;配列!E78,3)))</f>
        <v/>
      </c>
      <c r="J78">
        <f>配列!F78</f>
        <v>0</v>
      </c>
      <c r="K78" s="2" t="e">
        <f>_xlfn.XLOOKUP(E78,セットアップレポート_紐づけ用!A:A,セットアップレポート_紐づけ用!R:R)</f>
        <v>#N/A</v>
      </c>
      <c r="L78" t="e">
        <f t="shared" si="5"/>
        <v>#N/A</v>
      </c>
      <c r="M78" t="e">
        <f>_xlfn.XLOOKUP(L78,EGPro!A:A,EGPro!D:D)</f>
        <v>#N/A</v>
      </c>
      <c r="N78" t="e">
        <f>_xlfn.XLOOKUP(L78,EGPro!A:A,EGPro!C:C)</f>
        <v>#N/A</v>
      </c>
      <c r="O78" t="e">
        <f t="shared" si="6"/>
        <v>#N/A</v>
      </c>
      <c r="P78" t="e">
        <f>_xlfn.XLOOKUP(O78,EGPro!A:A,EGPro!D:D)</f>
        <v>#N/A</v>
      </c>
      <c r="Q78" t="e">
        <f>_xlfn.XLOOKUP(O78,EGPro!A:A,EGPro!C:C)</f>
        <v>#N/A</v>
      </c>
    </row>
    <row r="79" spans="1:17" x14ac:dyDescent="0.45">
      <c r="A79" s="3">
        <f>配列!B79</f>
        <v>0</v>
      </c>
      <c r="B79" s="3" t="e">
        <f>_xlfn.XLOOKUP(A79,対応表!A:A,対応表!B:B)</f>
        <v>#N/A</v>
      </c>
      <c r="C79" s="3">
        <f>配列!C79</f>
        <v>0</v>
      </c>
      <c r="D79" s="3" t="str">
        <f>IF(配列!E79="",RIGHT(配列!D79&amp;配列!E79,4)&amp;"L",RIGHT(配列!D79&amp;配列!E79,5))</f>
        <v>L</v>
      </c>
      <c r="E79" s="3">
        <f t="shared" si="4"/>
        <v>0</v>
      </c>
      <c r="F79" s="3" t="e">
        <f>_xlfn.XLOOKUP(E79,セットアップレポート_紐づけ用!A:A,セットアップレポート_紐づけ用!J:J)</f>
        <v>#N/A</v>
      </c>
      <c r="G79" s="3" t="e">
        <f>_xlfn.XLOOKUP(E79,セットアップレポート_紐づけ用!A:A,セットアップレポート_紐づけ用!V:V)</f>
        <v>#N/A</v>
      </c>
      <c r="H79" s="3">
        <f t="shared" si="7"/>
        <v>-2</v>
      </c>
      <c r="I79" t="str">
        <f>IF(J79=0,"",IF(配列!E79="",マクロ実行!$A$16 &amp;" T"&amp;H79&amp;"-"&amp;RIGHT(配列!D79&amp;配列!E79,2),マクロ実行!$A$16 &amp;" T"&amp;H79&amp;"-"&amp;RIGHT(配列!D79&amp;配列!E79,3)))</f>
        <v/>
      </c>
      <c r="J79">
        <f>配列!F79</f>
        <v>0</v>
      </c>
      <c r="K79" s="2" t="e">
        <f>_xlfn.XLOOKUP(E79,セットアップレポート_紐づけ用!A:A,セットアップレポート_紐づけ用!R:R)</f>
        <v>#N/A</v>
      </c>
      <c r="L79" t="e">
        <f t="shared" si="5"/>
        <v>#N/A</v>
      </c>
      <c r="M79" t="e">
        <f>_xlfn.XLOOKUP(L79,EGPro!A:A,EGPro!D:D)</f>
        <v>#N/A</v>
      </c>
      <c r="N79" t="e">
        <f>_xlfn.XLOOKUP(L79,EGPro!A:A,EGPro!C:C)</f>
        <v>#N/A</v>
      </c>
      <c r="O79" t="e">
        <f t="shared" si="6"/>
        <v>#N/A</v>
      </c>
      <c r="P79" t="e">
        <f>_xlfn.XLOOKUP(O79,EGPro!A:A,EGPro!D:D)</f>
        <v>#N/A</v>
      </c>
      <c r="Q79" t="e">
        <f>_xlfn.XLOOKUP(O79,EGPro!A:A,EGPro!C:C)</f>
        <v>#N/A</v>
      </c>
    </row>
    <row r="80" spans="1:17" x14ac:dyDescent="0.45">
      <c r="A80" s="3">
        <f>配列!B80</f>
        <v>0</v>
      </c>
      <c r="B80" s="3" t="e">
        <f>_xlfn.XLOOKUP(A80,対応表!A:A,対応表!B:B)</f>
        <v>#N/A</v>
      </c>
      <c r="C80" s="3">
        <f>配列!C80</f>
        <v>0</v>
      </c>
      <c r="D80" s="3" t="str">
        <f>IF(配列!E80="",RIGHT(配列!D80&amp;配列!E80,4)&amp;"L",RIGHT(配列!D80&amp;配列!E80,5))</f>
        <v>L</v>
      </c>
      <c r="E80" s="3">
        <f t="shared" si="4"/>
        <v>0</v>
      </c>
      <c r="F80" s="3" t="e">
        <f>_xlfn.XLOOKUP(E80,セットアップレポート_紐づけ用!A:A,セットアップレポート_紐づけ用!J:J)</f>
        <v>#N/A</v>
      </c>
      <c r="G80" s="3" t="e">
        <f>_xlfn.XLOOKUP(E80,セットアップレポート_紐づけ用!A:A,セットアップレポート_紐づけ用!V:V)</f>
        <v>#N/A</v>
      </c>
      <c r="H80" s="3">
        <f t="shared" si="7"/>
        <v>-2</v>
      </c>
      <c r="I80" t="str">
        <f>IF(J80=0,"",IF(配列!E80="",マクロ実行!$A$16 &amp;" T"&amp;H80&amp;"-"&amp;RIGHT(配列!D80&amp;配列!E80,2),マクロ実行!$A$16 &amp;" T"&amp;H80&amp;"-"&amp;RIGHT(配列!D80&amp;配列!E80,3)))</f>
        <v/>
      </c>
      <c r="J80">
        <f>配列!F80</f>
        <v>0</v>
      </c>
      <c r="K80" s="2" t="e">
        <f>_xlfn.XLOOKUP(E80,セットアップレポート_紐づけ用!A:A,セットアップレポート_紐づけ用!R:R)</f>
        <v>#N/A</v>
      </c>
      <c r="L80" t="e">
        <f t="shared" si="5"/>
        <v>#N/A</v>
      </c>
      <c r="M80" t="e">
        <f>_xlfn.XLOOKUP(L80,EGPro!A:A,EGPro!D:D)</f>
        <v>#N/A</v>
      </c>
      <c r="N80" t="e">
        <f>_xlfn.XLOOKUP(L80,EGPro!A:A,EGPro!C:C)</f>
        <v>#N/A</v>
      </c>
      <c r="O80" t="e">
        <f t="shared" si="6"/>
        <v>#N/A</v>
      </c>
      <c r="P80" t="e">
        <f>_xlfn.XLOOKUP(O80,EGPro!A:A,EGPro!D:D)</f>
        <v>#N/A</v>
      </c>
      <c r="Q80" t="e">
        <f>_xlfn.XLOOKUP(O80,EGPro!A:A,EGPro!C:C)</f>
        <v>#N/A</v>
      </c>
    </row>
    <row r="81" spans="1:17" x14ac:dyDescent="0.45">
      <c r="A81" s="3">
        <f>配列!B81</f>
        <v>0</v>
      </c>
      <c r="B81" s="3" t="e">
        <f>_xlfn.XLOOKUP(A81,対応表!A:A,対応表!B:B)</f>
        <v>#N/A</v>
      </c>
      <c r="C81" s="3">
        <f>配列!C81</f>
        <v>0</v>
      </c>
      <c r="D81" s="3" t="str">
        <f>IF(配列!E81="",RIGHT(配列!D81&amp;配列!E81,4)&amp;"L",RIGHT(配列!D81&amp;配列!E81,5))</f>
        <v>L</v>
      </c>
      <c r="E81" s="3">
        <f t="shared" si="4"/>
        <v>0</v>
      </c>
      <c r="F81" s="3" t="e">
        <f>_xlfn.XLOOKUP(E81,セットアップレポート_紐づけ用!A:A,セットアップレポート_紐づけ用!J:J)</f>
        <v>#N/A</v>
      </c>
      <c r="G81" s="3" t="e">
        <f>_xlfn.XLOOKUP(E81,セットアップレポート_紐づけ用!A:A,セットアップレポート_紐づけ用!V:V)</f>
        <v>#N/A</v>
      </c>
      <c r="H81" s="3">
        <f t="shared" si="7"/>
        <v>-2</v>
      </c>
      <c r="I81" t="str">
        <f>IF(J81=0,"",IF(配列!E81="",マクロ実行!$A$16 &amp;" T"&amp;H81&amp;"-"&amp;RIGHT(配列!D81&amp;配列!E81,2),マクロ実行!$A$16 &amp;" T"&amp;H81&amp;"-"&amp;RIGHT(配列!D81&amp;配列!E81,3)))</f>
        <v/>
      </c>
      <c r="J81">
        <f>配列!F81</f>
        <v>0</v>
      </c>
      <c r="K81" s="2" t="e">
        <f>_xlfn.XLOOKUP(E81,セットアップレポート_紐づけ用!A:A,セットアップレポート_紐づけ用!R:R)</f>
        <v>#N/A</v>
      </c>
      <c r="L81" t="e">
        <f t="shared" si="5"/>
        <v>#N/A</v>
      </c>
      <c r="M81" t="e">
        <f>_xlfn.XLOOKUP(L81,EGPro!A:A,EGPro!D:D)</f>
        <v>#N/A</v>
      </c>
      <c r="N81" t="e">
        <f>_xlfn.XLOOKUP(L81,EGPro!A:A,EGPro!C:C)</f>
        <v>#N/A</v>
      </c>
      <c r="O81" t="e">
        <f t="shared" si="6"/>
        <v>#N/A</v>
      </c>
      <c r="P81" t="e">
        <f>_xlfn.XLOOKUP(O81,EGPro!A:A,EGPro!D:D)</f>
        <v>#N/A</v>
      </c>
      <c r="Q81" t="e">
        <f>_xlfn.XLOOKUP(O81,EGPro!A:A,EGPro!C:C)</f>
        <v>#N/A</v>
      </c>
    </row>
    <row r="82" spans="1:17" x14ac:dyDescent="0.45">
      <c r="A82" s="3">
        <f>配列!B82</f>
        <v>0</v>
      </c>
      <c r="B82" s="3" t="e">
        <f>_xlfn.XLOOKUP(A82,対応表!A:A,対応表!B:B)</f>
        <v>#N/A</v>
      </c>
      <c r="C82" s="3">
        <f>配列!C82</f>
        <v>0</v>
      </c>
      <c r="D82" s="3" t="str">
        <f>IF(配列!E82="",RIGHT(配列!D82&amp;配列!E82,4)&amp;"L",RIGHT(配列!D82&amp;配列!E82,5))</f>
        <v>L</v>
      </c>
      <c r="E82" s="3">
        <f t="shared" si="4"/>
        <v>0</v>
      </c>
      <c r="F82" s="3" t="e">
        <f>_xlfn.XLOOKUP(E82,セットアップレポート_紐づけ用!A:A,セットアップレポート_紐づけ用!J:J)</f>
        <v>#N/A</v>
      </c>
      <c r="G82" s="3" t="e">
        <f>_xlfn.XLOOKUP(E82,セットアップレポート_紐づけ用!A:A,セットアップレポート_紐づけ用!V:V)</f>
        <v>#N/A</v>
      </c>
      <c r="H82" s="3">
        <f t="shared" si="7"/>
        <v>-2</v>
      </c>
      <c r="I82" t="str">
        <f>IF(J82=0,"",IF(配列!E82="",マクロ実行!$A$16 &amp;" T"&amp;H82&amp;"-"&amp;RIGHT(配列!D82&amp;配列!E82,2),マクロ実行!$A$16 &amp;" T"&amp;H82&amp;"-"&amp;RIGHT(配列!D82&amp;配列!E82,3)))</f>
        <v/>
      </c>
      <c r="J82">
        <f>配列!F82</f>
        <v>0</v>
      </c>
      <c r="K82" s="2" t="e">
        <f>_xlfn.XLOOKUP(E82,セットアップレポート_紐づけ用!A:A,セットアップレポート_紐づけ用!R:R)</f>
        <v>#N/A</v>
      </c>
      <c r="L82" t="e">
        <f t="shared" si="5"/>
        <v>#N/A</v>
      </c>
      <c r="M82" t="e">
        <f>_xlfn.XLOOKUP(L82,EGPro!A:A,EGPro!D:D)</f>
        <v>#N/A</v>
      </c>
      <c r="N82" t="e">
        <f>_xlfn.XLOOKUP(L82,EGPro!A:A,EGPro!C:C)</f>
        <v>#N/A</v>
      </c>
      <c r="O82" t="e">
        <f t="shared" si="6"/>
        <v>#N/A</v>
      </c>
      <c r="P82" t="e">
        <f>_xlfn.XLOOKUP(O82,EGPro!A:A,EGPro!D:D)</f>
        <v>#N/A</v>
      </c>
      <c r="Q82" t="e">
        <f>_xlfn.XLOOKUP(O82,EGPro!A:A,EGPro!C:C)</f>
        <v>#N/A</v>
      </c>
    </row>
    <row r="83" spans="1:17" x14ac:dyDescent="0.45">
      <c r="A83" s="3">
        <f>配列!B83</f>
        <v>0</v>
      </c>
      <c r="B83" s="3" t="e">
        <f>_xlfn.XLOOKUP(A83,対応表!A:A,対応表!B:B)</f>
        <v>#N/A</v>
      </c>
      <c r="C83" s="3">
        <f>配列!C83</f>
        <v>0</v>
      </c>
      <c r="D83" s="3" t="str">
        <f>IF(配列!E83="",RIGHT(配列!D83&amp;配列!E83,4)&amp;"L",RIGHT(配列!D83&amp;配列!E83,5))</f>
        <v>L</v>
      </c>
      <c r="E83" s="3">
        <f t="shared" si="4"/>
        <v>0</v>
      </c>
      <c r="F83" s="3" t="e">
        <f>_xlfn.XLOOKUP(E83,セットアップレポート_紐づけ用!A:A,セットアップレポート_紐づけ用!J:J)</f>
        <v>#N/A</v>
      </c>
      <c r="G83" s="3" t="e">
        <f>_xlfn.XLOOKUP(E83,セットアップレポート_紐づけ用!A:A,セットアップレポート_紐づけ用!V:V)</f>
        <v>#N/A</v>
      </c>
      <c r="H83" s="3">
        <f t="shared" si="7"/>
        <v>-2</v>
      </c>
      <c r="I83" t="str">
        <f>IF(J83=0,"",IF(配列!E83="",マクロ実行!$A$16 &amp;" T"&amp;H83&amp;"-"&amp;RIGHT(配列!D83&amp;配列!E83,2),マクロ実行!$A$16 &amp;" T"&amp;H83&amp;"-"&amp;RIGHT(配列!D83&amp;配列!E83,3)))</f>
        <v/>
      </c>
      <c r="J83">
        <f>配列!F83</f>
        <v>0</v>
      </c>
      <c r="K83" s="2" t="e">
        <f>_xlfn.XLOOKUP(E83,セットアップレポート_紐づけ用!A:A,セットアップレポート_紐づけ用!R:R)</f>
        <v>#N/A</v>
      </c>
      <c r="L83" t="e">
        <f t="shared" si="5"/>
        <v>#N/A</v>
      </c>
      <c r="M83" t="e">
        <f>_xlfn.XLOOKUP(L83,EGPro!A:A,EGPro!D:D)</f>
        <v>#N/A</v>
      </c>
      <c r="N83" t="e">
        <f>_xlfn.XLOOKUP(L83,EGPro!A:A,EGPro!C:C)</f>
        <v>#N/A</v>
      </c>
      <c r="O83" t="e">
        <f t="shared" si="6"/>
        <v>#N/A</v>
      </c>
      <c r="P83" t="e">
        <f>_xlfn.XLOOKUP(O83,EGPro!A:A,EGPro!D:D)</f>
        <v>#N/A</v>
      </c>
      <c r="Q83" t="e">
        <f>_xlfn.XLOOKUP(O83,EGPro!A:A,EGPro!C:C)</f>
        <v>#N/A</v>
      </c>
    </row>
    <row r="84" spans="1:17" x14ac:dyDescent="0.45">
      <c r="A84" s="3">
        <f>配列!B84</f>
        <v>0</v>
      </c>
      <c r="B84" s="3" t="e">
        <f>_xlfn.XLOOKUP(A84,対応表!A:A,対応表!B:B)</f>
        <v>#N/A</v>
      </c>
      <c r="C84" s="3">
        <f>配列!C84</f>
        <v>0</v>
      </c>
      <c r="D84" s="3" t="str">
        <f>IF(配列!E84="",RIGHT(配列!D84&amp;配列!E84,4)&amp;"L",RIGHT(配列!D84&amp;配列!E84,5))</f>
        <v>L</v>
      </c>
      <c r="E84" s="3">
        <f t="shared" si="4"/>
        <v>0</v>
      </c>
      <c r="F84" s="3" t="e">
        <f>_xlfn.XLOOKUP(E84,セットアップレポート_紐づけ用!A:A,セットアップレポート_紐づけ用!J:J)</f>
        <v>#N/A</v>
      </c>
      <c r="G84" s="3" t="e">
        <f>_xlfn.XLOOKUP(E84,セットアップレポート_紐づけ用!A:A,セットアップレポート_紐づけ用!V:V)</f>
        <v>#N/A</v>
      </c>
      <c r="H84" s="3">
        <f t="shared" si="7"/>
        <v>-2</v>
      </c>
      <c r="I84" t="str">
        <f>IF(J84=0,"",IF(配列!E84="",マクロ実行!$A$16 &amp;" T"&amp;H84&amp;"-"&amp;RIGHT(配列!D84&amp;配列!E84,2),マクロ実行!$A$16 &amp;" T"&amp;H84&amp;"-"&amp;RIGHT(配列!D84&amp;配列!E84,3)))</f>
        <v/>
      </c>
      <c r="J84">
        <f>配列!F84</f>
        <v>0</v>
      </c>
      <c r="K84" s="2" t="e">
        <f>_xlfn.XLOOKUP(E84,セットアップレポート_紐づけ用!A:A,セットアップレポート_紐づけ用!R:R)</f>
        <v>#N/A</v>
      </c>
      <c r="L84" t="e">
        <f t="shared" si="5"/>
        <v>#N/A</v>
      </c>
      <c r="M84" t="e">
        <f>_xlfn.XLOOKUP(L84,EGPro!A:A,EGPro!D:D)</f>
        <v>#N/A</v>
      </c>
      <c r="N84" t="e">
        <f>_xlfn.XLOOKUP(L84,EGPro!A:A,EGPro!C:C)</f>
        <v>#N/A</v>
      </c>
      <c r="O84" t="e">
        <f t="shared" si="6"/>
        <v>#N/A</v>
      </c>
      <c r="P84" t="e">
        <f>_xlfn.XLOOKUP(O84,EGPro!A:A,EGPro!D:D)</f>
        <v>#N/A</v>
      </c>
      <c r="Q84" t="e">
        <f>_xlfn.XLOOKUP(O84,EGPro!A:A,EGPro!C:C)</f>
        <v>#N/A</v>
      </c>
    </row>
    <row r="85" spans="1:17" x14ac:dyDescent="0.45">
      <c r="A85" s="3">
        <f>配列!B85</f>
        <v>0</v>
      </c>
      <c r="B85" s="3" t="e">
        <f>_xlfn.XLOOKUP(A85,対応表!A:A,対応表!B:B)</f>
        <v>#N/A</v>
      </c>
      <c r="C85" s="3">
        <f>配列!C85</f>
        <v>0</v>
      </c>
      <c r="D85" s="3" t="str">
        <f>IF(配列!E85="",RIGHT(配列!D85&amp;配列!E85,4)&amp;"L",RIGHT(配列!D85&amp;配列!E85,5))</f>
        <v>L</v>
      </c>
      <c r="E85" s="3">
        <f t="shared" si="4"/>
        <v>0</v>
      </c>
      <c r="F85" s="3" t="e">
        <f>_xlfn.XLOOKUP(E85,セットアップレポート_紐づけ用!A:A,セットアップレポート_紐づけ用!J:J)</f>
        <v>#N/A</v>
      </c>
      <c r="G85" s="3" t="e">
        <f>_xlfn.XLOOKUP(E85,セットアップレポート_紐づけ用!A:A,セットアップレポート_紐づけ用!V:V)</f>
        <v>#N/A</v>
      </c>
      <c r="H85" s="3">
        <f t="shared" si="7"/>
        <v>-2</v>
      </c>
      <c r="I85" t="str">
        <f>IF(J85=0,"",IF(配列!E85="",マクロ実行!$A$16 &amp;" T"&amp;H85&amp;"-"&amp;RIGHT(配列!D85&amp;配列!E85,2),マクロ実行!$A$16 &amp;" T"&amp;H85&amp;"-"&amp;RIGHT(配列!D85&amp;配列!E85,3)))</f>
        <v/>
      </c>
      <c r="J85">
        <f>配列!F85</f>
        <v>0</v>
      </c>
      <c r="K85" s="2" t="e">
        <f>_xlfn.XLOOKUP(E85,セットアップレポート_紐づけ用!A:A,セットアップレポート_紐づけ用!R:R)</f>
        <v>#N/A</v>
      </c>
      <c r="L85" t="e">
        <f t="shared" si="5"/>
        <v>#N/A</v>
      </c>
      <c r="M85" t="e">
        <f>_xlfn.XLOOKUP(L85,EGPro!A:A,EGPro!D:D)</f>
        <v>#N/A</v>
      </c>
      <c r="N85" t="e">
        <f>_xlfn.XLOOKUP(L85,EGPro!A:A,EGPro!C:C)</f>
        <v>#N/A</v>
      </c>
      <c r="O85" t="e">
        <f t="shared" si="6"/>
        <v>#N/A</v>
      </c>
      <c r="P85" t="e">
        <f>_xlfn.XLOOKUP(O85,EGPro!A:A,EGPro!D:D)</f>
        <v>#N/A</v>
      </c>
      <c r="Q85" t="e">
        <f>_xlfn.XLOOKUP(O85,EGPro!A:A,EGPro!C:C)</f>
        <v>#N/A</v>
      </c>
    </row>
    <row r="86" spans="1:17" x14ac:dyDescent="0.45">
      <c r="A86" s="3">
        <f>配列!B86</f>
        <v>0</v>
      </c>
      <c r="B86" s="3" t="e">
        <f>_xlfn.XLOOKUP(A86,対応表!A:A,対応表!B:B)</f>
        <v>#N/A</v>
      </c>
      <c r="C86" s="3">
        <f>配列!C86</f>
        <v>0</v>
      </c>
      <c r="D86" s="3" t="str">
        <f>IF(配列!E86="",RIGHT(配列!D86&amp;配列!E86,4)&amp;"L",RIGHT(配列!D86&amp;配列!E86,5))</f>
        <v>L</v>
      </c>
      <c r="E86" s="3">
        <f t="shared" si="4"/>
        <v>0</v>
      </c>
      <c r="F86" s="3" t="e">
        <f>_xlfn.XLOOKUP(E86,セットアップレポート_紐づけ用!A:A,セットアップレポート_紐づけ用!J:J)</f>
        <v>#N/A</v>
      </c>
      <c r="G86" s="3" t="e">
        <f>_xlfn.XLOOKUP(E86,セットアップレポート_紐づけ用!A:A,セットアップレポート_紐づけ用!V:V)</f>
        <v>#N/A</v>
      </c>
      <c r="H86" s="3">
        <f t="shared" si="7"/>
        <v>-2</v>
      </c>
      <c r="I86" t="str">
        <f>IF(J86=0,"",IF(配列!E86="",マクロ実行!$A$16 &amp;" T"&amp;H86&amp;"-"&amp;RIGHT(配列!D86&amp;配列!E86,2),マクロ実行!$A$16 &amp;" T"&amp;H86&amp;"-"&amp;RIGHT(配列!D86&amp;配列!E86,3)))</f>
        <v/>
      </c>
      <c r="J86">
        <f>配列!F86</f>
        <v>0</v>
      </c>
      <c r="K86" s="2" t="e">
        <f>_xlfn.XLOOKUP(E86,セットアップレポート_紐づけ用!A:A,セットアップレポート_紐づけ用!R:R)</f>
        <v>#N/A</v>
      </c>
      <c r="L86" t="e">
        <f t="shared" si="5"/>
        <v>#N/A</v>
      </c>
      <c r="M86" t="e">
        <f>_xlfn.XLOOKUP(L86,EGPro!A:A,EGPro!D:D)</f>
        <v>#N/A</v>
      </c>
      <c r="N86" t="e">
        <f>_xlfn.XLOOKUP(L86,EGPro!A:A,EGPro!C:C)</f>
        <v>#N/A</v>
      </c>
      <c r="O86" t="e">
        <f t="shared" si="6"/>
        <v>#N/A</v>
      </c>
      <c r="P86" t="e">
        <f>_xlfn.XLOOKUP(O86,EGPro!A:A,EGPro!D:D)</f>
        <v>#N/A</v>
      </c>
      <c r="Q86" t="e">
        <f>_xlfn.XLOOKUP(O86,EGPro!A:A,EGPro!C:C)</f>
        <v>#N/A</v>
      </c>
    </row>
    <row r="87" spans="1:17" x14ac:dyDescent="0.45">
      <c r="A87" s="3">
        <f>配列!B87</f>
        <v>0</v>
      </c>
      <c r="B87" s="3" t="e">
        <f>_xlfn.XLOOKUP(A87,対応表!A:A,対応表!B:B)</f>
        <v>#N/A</v>
      </c>
      <c r="C87" s="3">
        <f>配列!C87</f>
        <v>0</v>
      </c>
      <c r="D87" s="3" t="str">
        <f>IF(配列!E87="",RIGHT(配列!D87&amp;配列!E87,4)&amp;"L",RIGHT(配列!D87&amp;配列!E87,5))</f>
        <v>L</v>
      </c>
      <c r="E87" s="3">
        <f t="shared" si="4"/>
        <v>0</v>
      </c>
      <c r="F87" s="3" t="e">
        <f>_xlfn.XLOOKUP(E87,セットアップレポート_紐づけ用!A:A,セットアップレポート_紐づけ用!J:J)</f>
        <v>#N/A</v>
      </c>
      <c r="G87" s="3" t="e">
        <f>_xlfn.XLOOKUP(E87,セットアップレポート_紐づけ用!A:A,セットアップレポート_紐づけ用!V:V)</f>
        <v>#N/A</v>
      </c>
      <c r="H87" s="3">
        <f t="shared" si="7"/>
        <v>-2</v>
      </c>
      <c r="I87" t="str">
        <f>IF(J87=0,"",IF(配列!E87="",マクロ実行!$A$16 &amp;" T"&amp;H87&amp;"-"&amp;RIGHT(配列!D87&amp;配列!E87,2),マクロ実行!$A$16 &amp;" T"&amp;H87&amp;"-"&amp;RIGHT(配列!D87&amp;配列!E87,3)))</f>
        <v/>
      </c>
      <c r="J87">
        <f>配列!F87</f>
        <v>0</v>
      </c>
      <c r="K87" s="2" t="e">
        <f>_xlfn.XLOOKUP(E87,セットアップレポート_紐づけ用!A:A,セットアップレポート_紐づけ用!R:R)</f>
        <v>#N/A</v>
      </c>
      <c r="L87" t="e">
        <f t="shared" si="5"/>
        <v>#N/A</v>
      </c>
      <c r="M87" t="e">
        <f>_xlfn.XLOOKUP(L87,EGPro!A:A,EGPro!D:D)</f>
        <v>#N/A</v>
      </c>
      <c r="N87" t="e">
        <f>_xlfn.XLOOKUP(L87,EGPro!A:A,EGPro!C:C)</f>
        <v>#N/A</v>
      </c>
      <c r="O87" t="e">
        <f t="shared" si="6"/>
        <v>#N/A</v>
      </c>
      <c r="P87" t="e">
        <f>_xlfn.XLOOKUP(O87,EGPro!A:A,EGPro!D:D)</f>
        <v>#N/A</v>
      </c>
      <c r="Q87" t="e">
        <f>_xlfn.XLOOKUP(O87,EGPro!A:A,EGPro!C:C)</f>
        <v>#N/A</v>
      </c>
    </row>
    <row r="88" spans="1:17" x14ac:dyDescent="0.45">
      <c r="A88" s="3">
        <f>配列!B88</f>
        <v>0</v>
      </c>
      <c r="B88" s="3" t="e">
        <f>_xlfn.XLOOKUP(A88,対応表!A:A,対応表!B:B)</f>
        <v>#N/A</v>
      </c>
      <c r="C88" s="3">
        <f>配列!C88</f>
        <v>0</v>
      </c>
      <c r="D88" s="3" t="str">
        <f>IF(配列!E88="",RIGHT(配列!D88&amp;配列!E88,4)&amp;"L",RIGHT(配列!D88&amp;配列!E88,5))</f>
        <v>L</v>
      </c>
      <c r="E88" s="3">
        <f t="shared" si="4"/>
        <v>0</v>
      </c>
      <c r="F88" s="3" t="e">
        <f>_xlfn.XLOOKUP(E88,セットアップレポート_紐づけ用!A:A,セットアップレポート_紐づけ用!J:J)</f>
        <v>#N/A</v>
      </c>
      <c r="G88" s="3" t="e">
        <f>_xlfn.XLOOKUP(E88,セットアップレポート_紐づけ用!A:A,セットアップレポート_紐づけ用!V:V)</f>
        <v>#N/A</v>
      </c>
      <c r="H88" s="3">
        <f t="shared" si="7"/>
        <v>-2</v>
      </c>
      <c r="I88" t="str">
        <f>IF(J88=0,"",IF(配列!E88="",マクロ実行!$A$16 &amp;" T"&amp;H88&amp;"-"&amp;RIGHT(配列!D88&amp;配列!E88,2),マクロ実行!$A$16 &amp;" T"&amp;H88&amp;"-"&amp;RIGHT(配列!D88&amp;配列!E88,3)))</f>
        <v/>
      </c>
      <c r="J88">
        <f>配列!F88</f>
        <v>0</v>
      </c>
      <c r="K88" s="2" t="e">
        <f>_xlfn.XLOOKUP(E88,セットアップレポート_紐づけ用!A:A,セットアップレポート_紐づけ用!R:R)</f>
        <v>#N/A</v>
      </c>
      <c r="L88" t="e">
        <f t="shared" si="5"/>
        <v>#N/A</v>
      </c>
      <c r="M88" t="e">
        <f>_xlfn.XLOOKUP(L88,EGPro!A:A,EGPro!D:D)</f>
        <v>#N/A</v>
      </c>
      <c r="N88" t="e">
        <f>_xlfn.XLOOKUP(L88,EGPro!A:A,EGPro!C:C)</f>
        <v>#N/A</v>
      </c>
      <c r="O88" t="e">
        <f t="shared" si="6"/>
        <v>#N/A</v>
      </c>
      <c r="P88" t="e">
        <f>_xlfn.XLOOKUP(O88,EGPro!A:A,EGPro!D:D)</f>
        <v>#N/A</v>
      </c>
      <c r="Q88" t="e">
        <f>_xlfn.XLOOKUP(O88,EGPro!A:A,EGPro!C:C)</f>
        <v>#N/A</v>
      </c>
    </row>
    <row r="89" spans="1:17" x14ac:dyDescent="0.45">
      <c r="A89" s="3">
        <f>配列!B89</f>
        <v>0</v>
      </c>
      <c r="B89" s="3" t="e">
        <f>_xlfn.XLOOKUP(A89,対応表!A:A,対応表!B:B)</f>
        <v>#N/A</v>
      </c>
      <c r="C89" s="3">
        <f>配列!C89</f>
        <v>0</v>
      </c>
      <c r="D89" s="3" t="str">
        <f>IF(配列!E89="",RIGHT(配列!D89&amp;配列!E89,4)&amp;"L",RIGHT(配列!D89&amp;配列!E89,5))</f>
        <v>L</v>
      </c>
      <c r="E89" s="3">
        <f t="shared" si="4"/>
        <v>0</v>
      </c>
      <c r="F89" s="3" t="e">
        <f>_xlfn.XLOOKUP(E89,セットアップレポート_紐づけ用!A:A,セットアップレポート_紐づけ用!J:J)</f>
        <v>#N/A</v>
      </c>
      <c r="G89" s="3" t="e">
        <f>_xlfn.XLOOKUP(E89,セットアップレポート_紐づけ用!A:A,セットアップレポート_紐づけ用!V:V)</f>
        <v>#N/A</v>
      </c>
      <c r="H89" s="3">
        <f t="shared" si="7"/>
        <v>-2</v>
      </c>
      <c r="I89" t="str">
        <f>IF(J89=0,"",IF(配列!E89="",マクロ実行!$A$16 &amp;" T"&amp;H89&amp;"-"&amp;RIGHT(配列!D89&amp;配列!E89,2),マクロ実行!$A$16 &amp;" T"&amp;H89&amp;"-"&amp;RIGHT(配列!D89&amp;配列!E89,3)))</f>
        <v/>
      </c>
      <c r="J89">
        <f>配列!F89</f>
        <v>0</v>
      </c>
      <c r="K89" s="2" t="e">
        <f>_xlfn.XLOOKUP(E89,セットアップレポート_紐づけ用!A:A,セットアップレポート_紐づけ用!R:R)</f>
        <v>#N/A</v>
      </c>
      <c r="L89" t="e">
        <f t="shared" si="5"/>
        <v>#N/A</v>
      </c>
      <c r="M89" t="e">
        <f>_xlfn.XLOOKUP(L89,EGPro!A:A,EGPro!D:D)</f>
        <v>#N/A</v>
      </c>
      <c r="N89" t="e">
        <f>_xlfn.XLOOKUP(L89,EGPro!A:A,EGPro!C:C)</f>
        <v>#N/A</v>
      </c>
      <c r="O89" t="e">
        <f t="shared" si="6"/>
        <v>#N/A</v>
      </c>
      <c r="P89" t="e">
        <f>_xlfn.XLOOKUP(O89,EGPro!A:A,EGPro!D:D)</f>
        <v>#N/A</v>
      </c>
      <c r="Q89" t="e">
        <f>_xlfn.XLOOKUP(O89,EGPro!A:A,EGPro!C:C)</f>
        <v>#N/A</v>
      </c>
    </row>
    <row r="90" spans="1:17" x14ac:dyDescent="0.45">
      <c r="A90" s="3">
        <f>配列!B90</f>
        <v>0</v>
      </c>
      <c r="B90" s="3" t="e">
        <f>_xlfn.XLOOKUP(A90,対応表!A:A,対応表!B:B)</f>
        <v>#N/A</v>
      </c>
      <c r="C90" s="3">
        <f>配列!C90</f>
        <v>0</v>
      </c>
      <c r="D90" s="3" t="str">
        <f>IF(配列!E90="",RIGHT(配列!D90&amp;配列!E90,4)&amp;"L",RIGHT(配列!D90&amp;配列!E90,5))</f>
        <v>L</v>
      </c>
      <c r="E90" s="3">
        <f t="shared" si="4"/>
        <v>0</v>
      </c>
      <c r="F90" s="3" t="e">
        <f>_xlfn.XLOOKUP(E90,セットアップレポート_紐づけ用!A:A,セットアップレポート_紐づけ用!J:J)</f>
        <v>#N/A</v>
      </c>
      <c r="G90" s="3" t="e">
        <f>_xlfn.XLOOKUP(E90,セットアップレポート_紐づけ用!A:A,セットアップレポート_紐づけ用!V:V)</f>
        <v>#N/A</v>
      </c>
      <c r="H90" s="3">
        <f t="shared" si="7"/>
        <v>-2</v>
      </c>
      <c r="I90" t="str">
        <f>IF(J90=0,"",IF(配列!E90="",マクロ実行!$A$16 &amp;" T"&amp;H90&amp;"-"&amp;RIGHT(配列!D90&amp;配列!E90,2),マクロ実行!$A$16 &amp;" T"&amp;H90&amp;"-"&amp;RIGHT(配列!D90&amp;配列!E90,3)))</f>
        <v/>
      </c>
      <c r="J90">
        <f>配列!F90</f>
        <v>0</v>
      </c>
      <c r="K90" s="2" t="e">
        <f>_xlfn.XLOOKUP(E90,セットアップレポート_紐づけ用!A:A,セットアップレポート_紐づけ用!R:R)</f>
        <v>#N/A</v>
      </c>
      <c r="L90" t="e">
        <f t="shared" si="5"/>
        <v>#N/A</v>
      </c>
      <c r="M90" t="e">
        <f>_xlfn.XLOOKUP(L90,EGPro!A:A,EGPro!D:D)</f>
        <v>#N/A</v>
      </c>
      <c r="N90" t="e">
        <f>_xlfn.XLOOKUP(L90,EGPro!A:A,EGPro!C:C)</f>
        <v>#N/A</v>
      </c>
      <c r="O90" t="e">
        <f t="shared" si="6"/>
        <v>#N/A</v>
      </c>
      <c r="P90" t="e">
        <f>_xlfn.XLOOKUP(O90,EGPro!A:A,EGPro!D:D)</f>
        <v>#N/A</v>
      </c>
      <c r="Q90" t="e">
        <f>_xlfn.XLOOKUP(O90,EGPro!A:A,EGPro!C:C)</f>
        <v>#N/A</v>
      </c>
    </row>
    <row r="91" spans="1:17" x14ac:dyDescent="0.45">
      <c r="A91" s="3">
        <f>配列!B91</f>
        <v>0</v>
      </c>
      <c r="B91" s="3" t="e">
        <f>_xlfn.XLOOKUP(A91,対応表!A:A,対応表!B:B)</f>
        <v>#N/A</v>
      </c>
      <c r="C91" s="3">
        <f>配列!C91</f>
        <v>0</v>
      </c>
      <c r="D91" s="3" t="str">
        <f>IF(配列!E91="",RIGHT(配列!D91&amp;配列!E91,4)&amp;"L",RIGHT(配列!D91&amp;配列!E91,5))</f>
        <v>L</v>
      </c>
      <c r="E91" s="3">
        <f t="shared" si="4"/>
        <v>0</v>
      </c>
      <c r="F91" s="3" t="e">
        <f>_xlfn.XLOOKUP(E91,セットアップレポート_紐づけ用!A:A,セットアップレポート_紐づけ用!J:J)</f>
        <v>#N/A</v>
      </c>
      <c r="G91" s="3" t="e">
        <f>_xlfn.XLOOKUP(E91,セットアップレポート_紐づけ用!A:A,セットアップレポート_紐づけ用!V:V)</f>
        <v>#N/A</v>
      </c>
      <c r="H91" s="3">
        <f t="shared" si="7"/>
        <v>-2</v>
      </c>
      <c r="I91" t="str">
        <f>IF(J91=0,"",IF(配列!E91="",マクロ実行!$A$16 &amp;" T"&amp;H91&amp;"-"&amp;RIGHT(配列!D91&amp;配列!E91,2),マクロ実行!$A$16 &amp;" T"&amp;H91&amp;"-"&amp;RIGHT(配列!D91&amp;配列!E91,3)))</f>
        <v/>
      </c>
      <c r="J91">
        <f>配列!F91</f>
        <v>0</v>
      </c>
      <c r="K91" s="2" t="e">
        <f>_xlfn.XLOOKUP(E91,セットアップレポート_紐づけ用!A:A,セットアップレポート_紐づけ用!R:R)</f>
        <v>#N/A</v>
      </c>
      <c r="L91" t="e">
        <f t="shared" si="5"/>
        <v>#N/A</v>
      </c>
      <c r="M91" t="e">
        <f>_xlfn.XLOOKUP(L91,EGPro!A:A,EGPro!D:D)</f>
        <v>#N/A</v>
      </c>
      <c r="N91" t="e">
        <f>_xlfn.XLOOKUP(L91,EGPro!A:A,EGPro!C:C)</f>
        <v>#N/A</v>
      </c>
      <c r="O91" t="e">
        <f t="shared" si="6"/>
        <v>#N/A</v>
      </c>
      <c r="P91" t="e">
        <f>_xlfn.XLOOKUP(O91,EGPro!A:A,EGPro!D:D)</f>
        <v>#N/A</v>
      </c>
      <c r="Q91" t="e">
        <f>_xlfn.XLOOKUP(O91,EGPro!A:A,EGPro!C:C)</f>
        <v>#N/A</v>
      </c>
    </row>
    <row r="92" spans="1:17" x14ac:dyDescent="0.45">
      <c r="A92" s="3">
        <f>配列!B92</f>
        <v>0</v>
      </c>
      <c r="B92" s="3" t="e">
        <f>_xlfn.XLOOKUP(A92,対応表!A:A,対応表!B:B)</f>
        <v>#N/A</v>
      </c>
      <c r="C92" s="3">
        <f>配列!C92</f>
        <v>0</v>
      </c>
      <c r="D92" s="3" t="str">
        <f>IF(配列!E92="",RIGHT(配列!D92&amp;配列!E92,4)&amp;"L",RIGHT(配列!D92&amp;配列!E92,5))</f>
        <v>L</v>
      </c>
      <c r="E92" s="3">
        <f t="shared" si="4"/>
        <v>0</v>
      </c>
      <c r="F92" s="3" t="e">
        <f>_xlfn.XLOOKUP(E92,セットアップレポート_紐づけ用!A:A,セットアップレポート_紐づけ用!J:J)</f>
        <v>#N/A</v>
      </c>
      <c r="G92" s="3" t="e">
        <f>_xlfn.XLOOKUP(E92,セットアップレポート_紐づけ用!A:A,セットアップレポート_紐づけ用!V:V)</f>
        <v>#N/A</v>
      </c>
      <c r="H92" s="3">
        <f t="shared" si="7"/>
        <v>-2</v>
      </c>
      <c r="I92" t="str">
        <f>IF(J92=0,"",IF(配列!E92="",マクロ実行!$A$16 &amp;" T"&amp;H92&amp;"-"&amp;RIGHT(配列!D92&amp;配列!E92,2),マクロ実行!$A$16 &amp;" T"&amp;H92&amp;"-"&amp;RIGHT(配列!D92&amp;配列!E92,3)))</f>
        <v/>
      </c>
      <c r="J92">
        <f>配列!F92</f>
        <v>0</v>
      </c>
      <c r="K92" s="2" t="e">
        <f>_xlfn.XLOOKUP(E92,セットアップレポート_紐づけ用!A:A,セットアップレポート_紐づけ用!R:R)</f>
        <v>#N/A</v>
      </c>
      <c r="L92" t="e">
        <f t="shared" si="5"/>
        <v>#N/A</v>
      </c>
      <c r="M92" t="e">
        <f>_xlfn.XLOOKUP(L92,EGPro!A:A,EGPro!D:D)</f>
        <v>#N/A</v>
      </c>
      <c r="N92" t="e">
        <f>_xlfn.XLOOKUP(L92,EGPro!A:A,EGPro!C:C)</f>
        <v>#N/A</v>
      </c>
      <c r="O92" t="e">
        <f t="shared" si="6"/>
        <v>#N/A</v>
      </c>
      <c r="P92" t="e">
        <f>_xlfn.XLOOKUP(O92,EGPro!A:A,EGPro!D:D)</f>
        <v>#N/A</v>
      </c>
      <c r="Q92" t="e">
        <f>_xlfn.XLOOKUP(O92,EGPro!A:A,EGPro!C:C)</f>
        <v>#N/A</v>
      </c>
    </row>
    <row r="93" spans="1:17" x14ac:dyDescent="0.45">
      <c r="A93" s="3">
        <f>配列!B93</f>
        <v>0</v>
      </c>
      <c r="B93" s="3" t="e">
        <f>_xlfn.XLOOKUP(A93,対応表!A:A,対応表!B:B)</f>
        <v>#N/A</v>
      </c>
      <c r="C93" s="3">
        <f>配列!C93</f>
        <v>0</v>
      </c>
      <c r="D93" s="3" t="str">
        <f>IF(配列!E93="",RIGHT(配列!D93&amp;配列!E93,4)&amp;"L",RIGHT(配列!D93&amp;配列!E93,5))</f>
        <v>L</v>
      </c>
      <c r="E93" s="3">
        <f t="shared" si="4"/>
        <v>0</v>
      </c>
      <c r="F93" s="3" t="e">
        <f>_xlfn.XLOOKUP(E93,セットアップレポート_紐づけ用!A:A,セットアップレポート_紐づけ用!J:J)</f>
        <v>#N/A</v>
      </c>
      <c r="G93" s="3" t="e">
        <f>_xlfn.XLOOKUP(E93,セットアップレポート_紐づけ用!A:A,セットアップレポート_紐づけ用!V:V)</f>
        <v>#N/A</v>
      </c>
      <c r="H93" s="3">
        <f t="shared" si="7"/>
        <v>-2</v>
      </c>
      <c r="I93" t="str">
        <f>IF(J93=0,"",IF(配列!E93="",マクロ実行!$A$16 &amp;" T"&amp;H93&amp;"-"&amp;RIGHT(配列!D93&amp;配列!E93,2),マクロ実行!$A$16 &amp;" T"&amp;H93&amp;"-"&amp;RIGHT(配列!D93&amp;配列!E93,3)))</f>
        <v/>
      </c>
      <c r="J93">
        <f>配列!F93</f>
        <v>0</v>
      </c>
      <c r="K93" s="2" t="e">
        <f>_xlfn.XLOOKUP(E93,セットアップレポート_紐づけ用!A:A,セットアップレポート_紐づけ用!R:R)</f>
        <v>#N/A</v>
      </c>
      <c r="L93" t="e">
        <f t="shared" si="5"/>
        <v>#N/A</v>
      </c>
      <c r="M93" t="e">
        <f>_xlfn.XLOOKUP(L93,EGPro!A:A,EGPro!D:D)</f>
        <v>#N/A</v>
      </c>
      <c r="N93" t="e">
        <f>_xlfn.XLOOKUP(L93,EGPro!A:A,EGPro!C:C)</f>
        <v>#N/A</v>
      </c>
      <c r="O93" t="e">
        <f t="shared" si="6"/>
        <v>#N/A</v>
      </c>
      <c r="P93" t="e">
        <f>_xlfn.XLOOKUP(O93,EGPro!A:A,EGPro!D:D)</f>
        <v>#N/A</v>
      </c>
      <c r="Q93" t="e">
        <f>_xlfn.XLOOKUP(O93,EGPro!A:A,EGPro!C:C)</f>
        <v>#N/A</v>
      </c>
    </row>
    <row r="94" spans="1:17" x14ac:dyDescent="0.45">
      <c r="A94" s="3">
        <f>配列!B94</f>
        <v>0</v>
      </c>
      <c r="B94" s="3" t="e">
        <f>_xlfn.XLOOKUP(A94,対応表!A:A,対応表!B:B)</f>
        <v>#N/A</v>
      </c>
      <c r="C94" s="3">
        <f>配列!C94</f>
        <v>0</v>
      </c>
      <c r="D94" s="3" t="str">
        <f>IF(配列!E94="",RIGHT(配列!D94&amp;配列!E94,4)&amp;"L",RIGHT(配列!D94&amp;配列!E94,5))</f>
        <v>L</v>
      </c>
      <c r="E94" s="3">
        <f t="shared" si="4"/>
        <v>0</v>
      </c>
      <c r="F94" s="3" t="e">
        <f>_xlfn.XLOOKUP(E94,セットアップレポート_紐づけ用!A:A,セットアップレポート_紐づけ用!J:J)</f>
        <v>#N/A</v>
      </c>
      <c r="G94" s="3" t="e">
        <f>_xlfn.XLOOKUP(E94,セットアップレポート_紐づけ用!A:A,セットアップレポート_紐づけ用!V:V)</f>
        <v>#N/A</v>
      </c>
      <c r="H94" s="3">
        <f t="shared" si="7"/>
        <v>-2</v>
      </c>
      <c r="I94" t="str">
        <f>IF(J94=0,"",IF(配列!E94="",マクロ実行!$A$16 &amp;" T"&amp;H94&amp;"-"&amp;RIGHT(配列!D94&amp;配列!E94,2),マクロ実行!$A$16 &amp;" T"&amp;H94&amp;"-"&amp;RIGHT(配列!D94&amp;配列!E94,3)))</f>
        <v/>
      </c>
      <c r="J94">
        <f>配列!F94</f>
        <v>0</v>
      </c>
      <c r="K94" s="2" t="e">
        <f>_xlfn.XLOOKUP(E94,セットアップレポート_紐づけ用!A:A,セットアップレポート_紐づけ用!R:R)</f>
        <v>#N/A</v>
      </c>
      <c r="L94" t="e">
        <f t="shared" si="5"/>
        <v>#N/A</v>
      </c>
      <c r="M94" t="e">
        <f>_xlfn.XLOOKUP(L94,EGPro!A:A,EGPro!D:D)</f>
        <v>#N/A</v>
      </c>
      <c r="N94" t="e">
        <f>_xlfn.XLOOKUP(L94,EGPro!A:A,EGPro!C:C)</f>
        <v>#N/A</v>
      </c>
      <c r="O94" t="e">
        <f t="shared" si="6"/>
        <v>#N/A</v>
      </c>
      <c r="P94" t="e">
        <f>_xlfn.XLOOKUP(O94,EGPro!A:A,EGPro!D:D)</f>
        <v>#N/A</v>
      </c>
      <c r="Q94" t="e">
        <f>_xlfn.XLOOKUP(O94,EGPro!A:A,EGPro!C:C)</f>
        <v>#N/A</v>
      </c>
    </row>
    <row r="95" spans="1:17" x14ac:dyDescent="0.45">
      <c r="A95" s="3">
        <f>配列!B95</f>
        <v>0</v>
      </c>
      <c r="B95" s="3" t="e">
        <f>_xlfn.XLOOKUP(A95,対応表!A:A,対応表!B:B)</f>
        <v>#N/A</v>
      </c>
      <c r="C95" s="3">
        <f>配列!C95</f>
        <v>0</v>
      </c>
      <c r="D95" s="3" t="str">
        <f>IF(配列!E95="",RIGHT(配列!D95&amp;配列!E95,4)&amp;"L",RIGHT(配列!D95&amp;配列!E95,5))</f>
        <v>L</v>
      </c>
      <c r="E95" s="3">
        <f t="shared" si="4"/>
        <v>0</v>
      </c>
      <c r="F95" s="3" t="e">
        <f>_xlfn.XLOOKUP(E95,セットアップレポート_紐づけ用!A:A,セットアップレポート_紐づけ用!J:J)</f>
        <v>#N/A</v>
      </c>
      <c r="G95" s="3" t="e">
        <f>_xlfn.XLOOKUP(E95,セットアップレポート_紐づけ用!A:A,セットアップレポート_紐づけ用!V:V)</f>
        <v>#N/A</v>
      </c>
      <c r="H95" s="3">
        <f t="shared" si="7"/>
        <v>-2</v>
      </c>
      <c r="I95" t="str">
        <f>IF(J95=0,"",IF(配列!E95="",マクロ実行!$A$16 &amp;" T"&amp;H95&amp;"-"&amp;RIGHT(配列!D95&amp;配列!E95,2),マクロ実行!$A$16 &amp;" T"&amp;H95&amp;"-"&amp;RIGHT(配列!D95&amp;配列!E95,3)))</f>
        <v/>
      </c>
      <c r="J95">
        <f>配列!F95</f>
        <v>0</v>
      </c>
      <c r="K95" s="2" t="e">
        <f>_xlfn.XLOOKUP(E95,セットアップレポート_紐づけ用!A:A,セットアップレポート_紐づけ用!R:R)</f>
        <v>#N/A</v>
      </c>
      <c r="L95" t="e">
        <f t="shared" si="5"/>
        <v>#N/A</v>
      </c>
      <c r="M95" t="e">
        <f>_xlfn.XLOOKUP(L95,EGPro!A:A,EGPro!D:D)</f>
        <v>#N/A</v>
      </c>
      <c r="N95" t="e">
        <f>_xlfn.XLOOKUP(L95,EGPro!A:A,EGPro!C:C)</f>
        <v>#N/A</v>
      </c>
      <c r="O95" t="e">
        <f t="shared" si="6"/>
        <v>#N/A</v>
      </c>
      <c r="P95" t="e">
        <f>_xlfn.XLOOKUP(O95,EGPro!A:A,EGPro!D:D)</f>
        <v>#N/A</v>
      </c>
      <c r="Q95" t="e">
        <f>_xlfn.XLOOKUP(O95,EGPro!A:A,EGPro!C:C)</f>
        <v>#N/A</v>
      </c>
    </row>
    <row r="96" spans="1:17" x14ac:dyDescent="0.45">
      <c r="A96" s="3">
        <f>配列!B96</f>
        <v>0</v>
      </c>
      <c r="B96" s="3" t="e">
        <f>_xlfn.XLOOKUP(A96,対応表!A:A,対応表!B:B)</f>
        <v>#N/A</v>
      </c>
      <c r="C96" s="3">
        <f>配列!C96</f>
        <v>0</v>
      </c>
      <c r="D96" s="3" t="str">
        <f>IF(配列!E96="",RIGHT(配列!D96&amp;配列!E96,4)&amp;"L",RIGHT(配列!D96&amp;配列!E96,5))</f>
        <v>L</v>
      </c>
      <c r="E96" s="3">
        <f t="shared" si="4"/>
        <v>0</v>
      </c>
      <c r="F96" s="3" t="e">
        <f>_xlfn.XLOOKUP(E96,セットアップレポート_紐づけ用!A:A,セットアップレポート_紐づけ用!J:J)</f>
        <v>#N/A</v>
      </c>
      <c r="G96" s="3" t="e">
        <f>_xlfn.XLOOKUP(E96,セットアップレポート_紐づけ用!A:A,セットアップレポート_紐づけ用!V:V)</f>
        <v>#N/A</v>
      </c>
      <c r="H96" s="3">
        <f t="shared" si="7"/>
        <v>-2</v>
      </c>
      <c r="I96" t="str">
        <f>IF(J96=0,"",IF(配列!E96="",マクロ実行!$A$16 &amp;" T"&amp;H96&amp;"-"&amp;RIGHT(配列!D96&amp;配列!E96,2),マクロ実行!$A$16 &amp;" T"&amp;H96&amp;"-"&amp;RIGHT(配列!D96&amp;配列!E96,3)))</f>
        <v/>
      </c>
      <c r="J96">
        <f>配列!F96</f>
        <v>0</v>
      </c>
      <c r="K96" s="2" t="e">
        <f>_xlfn.XLOOKUP(E96,セットアップレポート_紐づけ用!A:A,セットアップレポート_紐づけ用!R:R)</f>
        <v>#N/A</v>
      </c>
      <c r="L96" t="e">
        <f t="shared" si="5"/>
        <v>#N/A</v>
      </c>
      <c r="M96" t="e">
        <f>_xlfn.XLOOKUP(L96,EGPro!A:A,EGPro!D:D)</f>
        <v>#N/A</v>
      </c>
      <c r="N96" t="e">
        <f>_xlfn.XLOOKUP(L96,EGPro!A:A,EGPro!C:C)</f>
        <v>#N/A</v>
      </c>
      <c r="O96" t="e">
        <f t="shared" si="6"/>
        <v>#N/A</v>
      </c>
      <c r="P96" t="e">
        <f>_xlfn.XLOOKUP(O96,EGPro!A:A,EGPro!D:D)</f>
        <v>#N/A</v>
      </c>
      <c r="Q96" t="e">
        <f>_xlfn.XLOOKUP(O96,EGPro!A:A,EGPro!C:C)</f>
        <v>#N/A</v>
      </c>
    </row>
    <row r="97" spans="1:17" x14ac:dyDescent="0.45">
      <c r="A97" s="3">
        <f>配列!B97</f>
        <v>0</v>
      </c>
      <c r="B97" s="3" t="e">
        <f>_xlfn.XLOOKUP(A97,対応表!A:A,対応表!B:B)</f>
        <v>#N/A</v>
      </c>
      <c r="C97" s="3">
        <f>配列!C97</f>
        <v>0</v>
      </c>
      <c r="D97" s="3" t="str">
        <f>IF(配列!E97="",RIGHT(配列!D97&amp;配列!E97,4)&amp;"L",RIGHT(配列!D97&amp;配列!E97,5))</f>
        <v>L</v>
      </c>
      <c r="E97" s="3">
        <f t="shared" si="4"/>
        <v>0</v>
      </c>
      <c r="F97" s="3" t="e">
        <f>_xlfn.XLOOKUP(E97,セットアップレポート_紐づけ用!A:A,セットアップレポート_紐づけ用!J:J)</f>
        <v>#N/A</v>
      </c>
      <c r="G97" s="3" t="e">
        <f>_xlfn.XLOOKUP(E97,セットアップレポート_紐づけ用!A:A,セットアップレポート_紐づけ用!V:V)</f>
        <v>#N/A</v>
      </c>
      <c r="H97" s="3">
        <f t="shared" si="7"/>
        <v>-2</v>
      </c>
      <c r="I97" t="str">
        <f>IF(J97=0,"",IF(配列!E97="",マクロ実行!$A$16 &amp;" T"&amp;H97&amp;"-"&amp;RIGHT(配列!D97&amp;配列!E97,2),マクロ実行!$A$16 &amp;" T"&amp;H97&amp;"-"&amp;RIGHT(配列!D97&amp;配列!E97,3)))</f>
        <v/>
      </c>
      <c r="J97">
        <f>配列!F97</f>
        <v>0</v>
      </c>
      <c r="K97" s="2" t="e">
        <f>_xlfn.XLOOKUP(E97,セットアップレポート_紐づけ用!A:A,セットアップレポート_紐づけ用!R:R)</f>
        <v>#N/A</v>
      </c>
      <c r="L97" t="e">
        <f t="shared" si="5"/>
        <v>#N/A</v>
      </c>
      <c r="M97" t="e">
        <f>_xlfn.XLOOKUP(L97,EGPro!A:A,EGPro!D:D)</f>
        <v>#N/A</v>
      </c>
      <c r="N97" t="e">
        <f>_xlfn.XLOOKUP(L97,EGPro!A:A,EGPro!C:C)</f>
        <v>#N/A</v>
      </c>
      <c r="O97" t="e">
        <f t="shared" si="6"/>
        <v>#N/A</v>
      </c>
      <c r="P97" t="e">
        <f>_xlfn.XLOOKUP(O97,EGPro!A:A,EGPro!D:D)</f>
        <v>#N/A</v>
      </c>
      <c r="Q97" t="e">
        <f>_xlfn.XLOOKUP(O97,EGPro!A:A,EGPro!C:C)</f>
        <v>#N/A</v>
      </c>
    </row>
    <row r="98" spans="1:17" x14ac:dyDescent="0.45">
      <c r="A98" s="3">
        <f>配列!B98</f>
        <v>0</v>
      </c>
      <c r="B98" s="3" t="e">
        <f>_xlfn.XLOOKUP(A98,対応表!A:A,対応表!B:B)</f>
        <v>#N/A</v>
      </c>
      <c r="C98" s="3">
        <f>配列!C98</f>
        <v>0</v>
      </c>
      <c r="D98" s="3" t="str">
        <f>IF(配列!E98="",RIGHT(配列!D98&amp;配列!E98,4)&amp;"L",RIGHT(配列!D98&amp;配列!E98,5))</f>
        <v>L</v>
      </c>
      <c r="E98" s="3">
        <f t="shared" si="4"/>
        <v>0</v>
      </c>
      <c r="F98" s="3" t="e">
        <f>_xlfn.XLOOKUP(E98,セットアップレポート_紐づけ用!A:A,セットアップレポート_紐づけ用!J:J)</f>
        <v>#N/A</v>
      </c>
      <c r="G98" s="3" t="e">
        <f>_xlfn.XLOOKUP(E98,セットアップレポート_紐づけ用!A:A,セットアップレポート_紐づけ用!V:V)</f>
        <v>#N/A</v>
      </c>
      <c r="H98" s="3">
        <f t="shared" si="7"/>
        <v>-2</v>
      </c>
      <c r="I98" t="str">
        <f>IF(J98=0,"",IF(配列!E98="",マクロ実行!$A$16 &amp;" T"&amp;H98&amp;"-"&amp;RIGHT(配列!D98&amp;配列!E98,2),マクロ実行!$A$16 &amp;" T"&amp;H98&amp;"-"&amp;RIGHT(配列!D98&amp;配列!E98,3)))</f>
        <v/>
      </c>
      <c r="J98">
        <f>配列!F98</f>
        <v>0</v>
      </c>
      <c r="K98" s="2" t="e">
        <f>_xlfn.XLOOKUP(E98,セットアップレポート_紐づけ用!A:A,セットアップレポート_紐づけ用!R:R)</f>
        <v>#N/A</v>
      </c>
      <c r="L98" t="e">
        <f t="shared" si="5"/>
        <v>#N/A</v>
      </c>
      <c r="M98" t="e">
        <f>_xlfn.XLOOKUP(L98,EGPro!A:A,EGPro!D:D)</f>
        <v>#N/A</v>
      </c>
      <c r="N98" t="e">
        <f>_xlfn.XLOOKUP(L98,EGPro!A:A,EGPro!C:C)</f>
        <v>#N/A</v>
      </c>
      <c r="O98" t="e">
        <f t="shared" si="6"/>
        <v>#N/A</v>
      </c>
      <c r="P98" t="e">
        <f>_xlfn.XLOOKUP(O98,EGPro!A:A,EGPro!D:D)</f>
        <v>#N/A</v>
      </c>
      <c r="Q98" t="e">
        <f>_xlfn.XLOOKUP(O98,EGPro!A:A,EGPro!C:C)</f>
        <v>#N/A</v>
      </c>
    </row>
    <row r="99" spans="1:17" x14ac:dyDescent="0.45">
      <c r="A99" s="3">
        <f>配列!B99</f>
        <v>0</v>
      </c>
      <c r="B99" s="3" t="e">
        <f>_xlfn.XLOOKUP(A99,対応表!A:A,対応表!B:B)</f>
        <v>#N/A</v>
      </c>
      <c r="C99" s="3">
        <f>配列!C99</f>
        <v>0</v>
      </c>
      <c r="D99" s="3" t="str">
        <f>IF(配列!E99="",RIGHT(配列!D99&amp;配列!E99,4)&amp;"L",RIGHT(配列!D99&amp;配列!E99,5))</f>
        <v>L</v>
      </c>
      <c r="E99" s="3">
        <f t="shared" si="4"/>
        <v>0</v>
      </c>
      <c r="F99" s="3" t="e">
        <f>_xlfn.XLOOKUP(E99,セットアップレポート_紐づけ用!A:A,セットアップレポート_紐づけ用!J:J)</f>
        <v>#N/A</v>
      </c>
      <c r="G99" s="3" t="e">
        <f>_xlfn.XLOOKUP(E99,セットアップレポート_紐づけ用!A:A,セットアップレポート_紐づけ用!V:V)</f>
        <v>#N/A</v>
      </c>
      <c r="H99" s="3">
        <f t="shared" si="7"/>
        <v>-2</v>
      </c>
      <c r="I99" t="str">
        <f>IF(J99=0,"",IF(配列!E99="",マクロ実行!$A$16 &amp;" T"&amp;H99&amp;"-"&amp;RIGHT(配列!D99&amp;配列!E99,2),マクロ実行!$A$16 &amp;" T"&amp;H99&amp;"-"&amp;RIGHT(配列!D99&amp;配列!E99,3)))</f>
        <v/>
      </c>
      <c r="J99">
        <f>配列!F99</f>
        <v>0</v>
      </c>
      <c r="K99" s="2" t="e">
        <f>_xlfn.XLOOKUP(E99,セットアップレポート_紐づけ用!A:A,セットアップレポート_紐づけ用!R:R)</f>
        <v>#N/A</v>
      </c>
      <c r="L99" t="e">
        <f t="shared" si="5"/>
        <v>#N/A</v>
      </c>
      <c r="M99" t="e">
        <f>_xlfn.XLOOKUP(L99,EGPro!A:A,EGPro!D:D)</f>
        <v>#N/A</v>
      </c>
      <c r="N99" t="e">
        <f>_xlfn.XLOOKUP(L99,EGPro!A:A,EGPro!C:C)</f>
        <v>#N/A</v>
      </c>
      <c r="O99" t="e">
        <f t="shared" si="6"/>
        <v>#N/A</v>
      </c>
      <c r="P99" t="e">
        <f>_xlfn.XLOOKUP(O99,EGPro!A:A,EGPro!D:D)</f>
        <v>#N/A</v>
      </c>
      <c r="Q99" t="e">
        <f>_xlfn.XLOOKUP(O99,EGPro!A:A,EGPro!C:C)</f>
        <v>#N/A</v>
      </c>
    </row>
    <row r="100" spans="1:17" x14ac:dyDescent="0.45">
      <c r="A100" s="3">
        <f>配列!B100</f>
        <v>0</v>
      </c>
      <c r="B100" s="3" t="e">
        <f>_xlfn.XLOOKUP(A100,対応表!A:A,対応表!B:B)</f>
        <v>#N/A</v>
      </c>
      <c r="C100" s="3">
        <f>配列!C100</f>
        <v>0</v>
      </c>
      <c r="D100" s="3" t="str">
        <f>IF(配列!E100="",RIGHT(配列!D100&amp;配列!E100,4)&amp;"L",RIGHT(配列!D100&amp;配列!E100,5))</f>
        <v>L</v>
      </c>
      <c r="E100" s="3">
        <f t="shared" si="4"/>
        <v>0</v>
      </c>
      <c r="F100" s="3" t="e">
        <f>_xlfn.XLOOKUP(E100,セットアップレポート_紐づけ用!A:A,セットアップレポート_紐づけ用!J:J)</f>
        <v>#N/A</v>
      </c>
      <c r="G100" s="3" t="e">
        <f>_xlfn.XLOOKUP(E100,セットアップレポート_紐づけ用!A:A,セットアップレポート_紐づけ用!V:V)</f>
        <v>#N/A</v>
      </c>
      <c r="H100" s="3">
        <f t="shared" si="7"/>
        <v>-2</v>
      </c>
      <c r="I100" t="str">
        <f>IF(J100=0,"",IF(配列!E100="",マクロ実行!$A$16 &amp;" T"&amp;H100&amp;"-"&amp;RIGHT(配列!D100&amp;配列!E100,2),マクロ実行!$A$16 &amp;" T"&amp;H100&amp;"-"&amp;RIGHT(配列!D100&amp;配列!E100,3)))</f>
        <v/>
      </c>
      <c r="J100">
        <f>配列!F100</f>
        <v>0</v>
      </c>
      <c r="K100" s="2" t="e">
        <f>_xlfn.XLOOKUP(E100,セットアップレポート_紐づけ用!A:A,セットアップレポート_紐づけ用!R:R)</f>
        <v>#N/A</v>
      </c>
      <c r="L100" t="e">
        <f t="shared" si="5"/>
        <v>#N/A</v>
      </c>
      <c r="M100" t="e">
        <f>_xlfn.XLOOKUP(L100,EGPro!A:A,EGPro!D:D)</f>
        <v>#N/A</v>
      </c>
      <c r="N100" t="e">
        <f>_xlfn.XLOOKUP(L100,EGPro!A:A,EGPro!C:C)</f>
        <v>#N/A</v>
      </c>
      <c r="O100" t="e">
        <f t="shared" si="6"/>
        <v>#N/A</v>
      </c>
      <c r="P100" t="e">
        <f>_xlfn.XLOOKUP(O100,EGPro!A:A,EGPro!D:D)</f>
        <v>#N/A</v>
      </c>
      <c r="Q100" t="e">
        <f>_xlfn.XLOOKUP(O100,EGPro!A:A,EGPro!C:C)</f>
        <v>#N/A</v>
      </c>
    </row>
    <row r="101" spans="1:17" x14ac:dyDescent="0.45">
      <c r="A101" s="3">
        <f>配列!B101</f>
        <v>0</v>
      </c>
      <c r="B101" s="3" t="e">
        <f>_xlfn.XLOOKUP(A101,対応表!A:A,対応表!B:B)</f>
        <v>#N/A</v>
      </c>
      <c r="C101" s="3">
        <f>配列!C101</f>
        <v>0</v>
      </c>
      <c r="D101" s="3" t="str">
        <f>IF(配列!E101="",RIGHT(配列!D101&amp;配列!E101,4)&amp;"L",RIGHT(配列!D101&amp;配列!E101,5))</f>
        <v>L</v>
      </c>
      <c r="E101" s="3">
        <f t="shared" si="4"/>
        <v>0</v>
      </c>
      <c r="F101" s="3" t="e">
        <f>_xlfn.XLOOKUP(E101,セットアップレポート_紐づけ用!A:A,セットアップレポート_紐づけ用!J:J)</f>
        <v>#N/A</v>
      </c>
      <c r="G101" s="3" t="e">
        <f>_xlfn.XLOOKUP(E101,セットアップレポート_紐づけ用!A:A,セットアップレポート_紐づけ用!V:V)</f>
        <v>#N/A</v>
      </c>
      <c r="H101" s="3">
        <f t="shared" si="7"/>
        <v>-2</v>
      </c>
      <c r="I101" t="str">
        <f>IF(J101=0,"",IF(配列!E101="",マクロ実行!$A$16 &amp;" T"&amp;H101&amp;"-"&amp;RIGHT(配列!D101&amp;配列!E101,2),マクロ実行!$A$16 &amp;" T"&amp;H101&amp;"-"&amp;RIGHT(配列!D101&amp;配列!E101,3)))</f>
        <v/>
      </c>
      <c r="J101">
        <f>配列!F101</f>
        <v>0</v>
      </c>
      <c r="K101" s="2" t="e">
        <f>_xlfn.XLOOKUP(E101,セットアップレポート_紐づけ用!A:A,セットアップレポート_紐づけ用!R:R)</f>
        <v>#N/A</v>
      </c>
      <c r="L101" t="e">
        <f t="shared" si="5"/>
        <v>#N/A</v>
      </c>
      <c r="M101" t="e">
        <f>_xlfn.XLOOKUP(L101,EGPro!A:A,EGPro!D:D)</f>
        <v>#N/A</v>
      </c>
      <c r="N101" t="e">
        <f>_xlfn.XLOOKUP(L101,EGPro!A:A,EGPro!C:C)</f>
        <v>#N/A</v>
      </c>
      <c r="O101" t="e">
        <f t="shared" si="6"/>
        <v>#N/A</v>
      </c>
      <c r="P101" t="e">
        <f>_xlfn.XLOOKUP(O101,EGPro!A:A,EGPro!D:D)</f>
        <v>#N/A</v>
      </c>
      <c r="Q101" t="e">
        <f>_xlfn.XLOOKUP(O101,EGPro!A:A,EGPro!C:C)</f>
        <v>#N/A</v>
      </c>
    </row>
    <row r="102" spans="1:17" x14ac:dyDescent="0.45">
      <c r="A102" s="3">
        <f>配列!B102</f>
        <v>0</v>
      </c>
      <c r="B102" s="3" t="e">
        <f>_xlfn.XLOOKUP(A102,対応表!A:A,対応表!B:B)</f>
        <v>#N/A</v>
      </c>
      <c r="C102" s="3">
        <f>配列!C102</f>
        <v>0</v>
      </c>
      <c r="D102" s="3" t="str">
        <f>IF(配列!E102="",RIGHT(配列!D102&amp;配列!E102,4)&amp;"L",RIGHT(配列!D102&amp;配列!E102,5))</f>
        <v>L</v>
      </c>
      <c r="E102" s="3">
        <f t="shared" si="4"/>
        <v>0</v>
      </c>
      <c r="F102" s="3" t="e">
        <f>_xlfn.XLOOKUP(E102,セットアップレポート_紐づけ用!A:A,セットアップレポート_紐づけ用!J:J)</f>
        <v>#N/A</v>
      </c>
      <c r="G102" s="3" t="e">
        <f>_xlfn.XLOOKUP(E102,セットアップレポート_紐づけ用!A:A,セットアップレポート_紐づけ用!V:V)</f>
        <v>#N/A</v>
      </c>
      <c r="H102" s="3">
        <f t="shared" si="7"/>
        <v>-2</v>
      </c>
      <c r="I102" t="str">
        <f>IF(J102=0,"",IF(配列!E102="",マクロ実行!$A$16 &amp;" T"&amp;H102&amp;"-"&amp;RIGHT(配列!D102&amp;配列!E102,2),マクロ実行!$A$16 &amp;" T"&amp;H102&amp;"-"&amp;RIGHT(配列!D102&amp;配列!E102,3)))</f>
        <v/>
      </c>
      <c r="J102">
        <f>配列!F102</f>
        <v>0</v>
      </c>
      <c r="K102" s="2" t="e">
        <f>_xlfn.XLOOKUP(E102,セットアップレポート_紐づけ用!A:A,セットアップレポート_紐づけ用!R:R)</f>
        <v>#N/A</v>
      </c>
      <c r="L102" t="e">
        <f t="shared" si="5"/>
        <v>#N/A</v>
      </c>
      <c r="M102" t="e">
        <f>_xlfn.XLOOKUP(L102,EGPro!A:A,EGPro!D:D)</f>
        <v>#N/A</v>
      </c>
      <c r="N102" t="e">
        <f>_xlfn.XLOOKUP(L102,EGPro!A:A,EGPro!C:C)</f>
        <v>#N/A</v>
      </c>
      <c r="O102" t="e">
        <f t="shared" si="6"/>
        <v>#N/A</v>
      </c>
      <c r="P102" t="e">
        <f>_xlfn.XLOOKUP(O102,EGPro!A:A,EGPro!D:D)</f>
        <v>#N/A</v>
      </c>
      <c r="Q102" t="e">
        <f>_xlfn.XLOOKUP(O102,EGPro!A:A,EGPro!C:C)</f>
        <v>#N/A</v>
      </c>
    </row>
    <row r="103" spans="1:17" x14ac:dyDescent="0.45">
      <c r="A103" s="3">
        <f>配列!B103</f>
        <v>0</v>
      </c>
      <c r="B103" s="3" t="e">
        <f>_xlfn.XLOOKUP(A103,対応表!A:A,対応表!B:B)</f>
        <v>#N/A</v>
      </c>
      <c r="C103" s="3">
        <f>配列!C103</f>
        <v>0</v>
      </c>
      <c r="D103" s="3" t="str">
        <f>IF(配列!E103="",RIGHT(配列!D103&amp;配列!E103,4)&amp;"L",RIGHT(配列!D103&amp;配列!E103,5))</f>
        <v>L</v>
      </c>
      <c r="E103" s="3">
        <f t="shared" si="4"/>
        <v>0</v>
      </c>
      <c r="F103" s="3" t="e">
        <f>_xlfn.XLOOKUP(E103,セットアップレポート_紐づけ用!A:A,セットアップレポート_紐づけ用!J:J)</f>
        <v>#N/A</v>
      </c>
      <c r="G103" s="3" t="e">
        <f>_xlfn.XLOOKUP(E103,セットアップレポート_紐づけ用!A:A,セットアップレポート_紐づけ用!V:V)</f>
        <v>#N/A</v>
      </c>
      <c r="H103" s="3">
        <f t="shared" si="7"/>
        <v>-2</v>
      </c>
      <c r="I103" t="str">
        <f>IF(J103=0,"",IF(配列!E103="",マクロ実行!$A$16 &amp;" T"&amp;H103&amp;"-"&amp;RIGHT(配列!D103&amp;配列!E103,2),マクロ実行!$A$16 &amp;" T"&amp;H103&amp;"-"&amp;RIGHT(配列!D103&amp;配列!E103,3)))</f>
        <v/>
      </c>
      <c r="J103">
        <f>配列!F103</f>
        <v>0</v>
      </c>
      <c r="K103" s="2" t="e">
        <f>_xlfn.XLOOKUP(E103,セットアップレポート_紐づけ用!A:A,セットアップレポート_紐づけ用!R:R)</f>
        <v>#N/A</v>
      </c>
      <c r="L103" t="e">
        <f t="shared" si="5"/>
        <v>#N/A</v>
      </c>
      <c r="M103" t="e">
        <f>_xlfn.XLOOKUP(L103,EGPro!A:A,EGPro!D:D)</f>
        <v>#N/A</v>
      </c>
      <c r="N103" t="e">
        <f>_xlfn.XLOOKUP(L103,EGPro!A:A,EGPro!C:C)</f>
        <v>#N/A</v>
      </c>
      <c r="O103" t="e">
        <f t="shared" si="6"/>
        <v>#N/A</v>
      </c>
      <c r="P103" t="e">
        <f>_xlfn.XLOOKUP(O103,EGPro!A:A,EGPro!D:D)</f>
        <v>#N/A</v>
      </c>
      <c r="Q103" t="e">
        <f>_xlfn.XLOOKUP(O103,EGPro!A:A,EGPro!C:C)</f>
        <v>#N/A</v>
      </c>
    </row>
    <row r="104" spans="1:17" x14ac:dyDescent="0.45">
      <c r="A104" s="3">
        <f>配列!B104</f>
        <v>0</v>
      </c>
      <c r="B104" s="3" t="e">
        <f>_xlfn.XLOOKUP(A104,対応表!A:A,対応表!B:B)</f>
        <v>#N/A</v>
      </c>
      <c r="C104" s="3">
        <f>配列!C104</f>
        <v>0</v>
      </c>
      <c r="D104" s="3" t="str">
        <f>IF(配列!E104="",RIGHT(配列!D104&amp;配列!E104,4)&amp;"L",RIGHT(配列!D104&amp;配列!E104,5))</f>
        <v>L</v>
      </c>
      <c r="E104" s="3">
        <f t="shared" si="4"/>
        <v>0</v>
      </c>
      <c r="F104" s="3" t="e">
        <f>_xlfn.XLOOKUP(E104,セットアップレポート_紐づけ用!A:A,セットアップレポート_紐づけ用!J:J)</f>
        <v>#N/A</v>
      </c>
      <c r="G104" s="3" t="e">
        <f>_xlfn.XLOOKUP(E104,セットアップレポート_紐づけ用!A:A,セットアップレポート_紐づけ用!V:V)</f>
        <v>#N/A</v>
      </c>
      <c r="H104" s="3">
        <f t="shared" si="7"/>
        <v>-2</v>
      </c>
      <c r="I104" t="str">
        <f>IF(J104=0,"",IF(配列!E104="",マクロ実行!$A$16 &amp;" T"&amp;H104&amp;"-"&amp;RIGHT(配列!D104&amp;配列!E104,2),マクロ実行!$A$16 &amp;" T"&amp;H104&amp;"-"&amp;RIGHT(配列!D104&amp;配列!E104,3)))</f>
        <v/>
      </c>
      <c r="J104">
        <f>配列!F104</f>
        <v>0</v>
      </c>
      <c r="K104" s="2" t="e">
        <f>_xlfn.XLOOKUP(E104,セットアップレポート_紐づけ用!A:A,セットアップレポート_紐づけ用!R:R)</f>
        <v>#N/A</v>
      </c>
      <c r="L104" t="e">
        <f t="shared" si="5"/>
        <v>#N/A</v>
      </c>
      <c r="M104" t="e">
        <f>_xlfn.XLOOKUP(L104,EGPro!A:A,EGPro!D:D)</f>
        <v>#N/A</v>
      </c>
      <c r="N104" t="e">
        <f>_xlfn.XLOOKUP(L104,EGPro!A:A,EGPro!C:C)</f>
        <v>#N/A</v>
      </c>
      <c r="O104" t="e">
        <f t="shared" si="6"/>
        <v>#N/A</v>
      </c>
      <c r="P104" t="e">
        <f>_xlfn.XLOOKUP(O104,EGPro!A:A,EGPro!D:D)</f>
        <v>#N/A</v>
      </c>
      <c r="Q104" t="e">
        <f>_xlfn.XLOOKUP(O104,EGPro!A:A,EGPro!C:C)</f>
        <v>#N/A</v>
      </c>
    </row>
    <row r="105" spans="1:17" x14ac:dyDescent="0.45">
      <c r="A105" s="3">
        <f>配列!B105</f>
        <v>0</v>
      </c>
      <c r="B105" s="3" t="e">
        <f>_xlfn.XLOOKUP(A105,対応表!A:A,対応表!B:B)</f>
        <v>#N/A</v>
      </c>
      <c r="C105" s="3">
        <f>配列!C105</f>
        <v>0</v>
      </c>
      <c r="D105" s="3" t="str">
        <f>IF(配列!E105="",RIGHT(配列!D105&amp;配列!E105,4)&amp;"L",RIGHT(配列!D105&amp;配列!E105,5))</f>
        <v>L</v>
      </c>
      <c r="E105" s="3">
        <f t="shared" si="4"/>
        <v>0</v>
      </c>
      <c r="F105" s="3" t="e">
        <f>_xlfn.XLOOKUP(E105,セットアップレポート_紐づけ用!A:A,セットアップレポート_紐づけ用!J:J)</f>
        <v>#N/A</v>
      </c>
      <c r="G105" s="3" t="e">
        <f>_xlfn.XLOOKUP(E105,セットアップレポート_紐づけ用!A:A,セットアップレポート_紐づけ用!V:V)</f>
        <v>#N/A</v>
      </c>
      <c r="H105" s="3">
        <f t="shared" si="7"/>
        <v>-2</v>
      </c>
      <c r="I105" t="str">
        <f>IF(J105=0,"",IF(配列!E105="",マクロ実行!$A$16 &amp;" T"&amp;H105&amp;"-"&amp;RIGHT(配列!D105&amp;配列!E105,2),マクロ実行!$A$16 &amp;" T"&amp;H105&amp;"-"&amp;RIGHT(配列!D105&amp;配列!E105,3)))</f>
        <v/>
      </c>
      <c r="J105">
        <f>配列!F105</f>
        <v>0</v>
      </c>
      <c r="K105" s="2" t="e">
        <f>_xlfn.XLOOKUP(E105,セットアップレポート_紐づけ用!A:A,セットアップレポート_紐づけ用!R:R)</f>
        <v>#N/A</v>
      </c>
      <c r="L105" t="e">
        <f t="shared" si="5"/>
        <v>#N/A</v>
      </c>
      <c r="M105" t="e">
        <f>_xlfn.XLOOKUP(L105,EGPro!A:A,EGPro!D:D)</f>
        <v>#N/A</v>
      </c>
      <c r="N105" t="e">
        <f>_xlfn.XLOOKUP(L105,EGPro!A:A,EGPro!C:C)</f>
        <v>#N/A</v>
      </c>
      <c r="O105" t="e">
        <f t="shared" si="6"/>
        <v>#N/A</v>
      </c>
      <c r="P105" t="e">
        <f>_xlfn.XLOOKUP(O105,EGPro!A:A,EGPro!D:D)</f>
        <v>#N/A</v>
      </c>
      <c r="Q105" t="e">
        <f>_xlfn.XLOOKUP(O105,EGPro!A:A,EGPro!C:C)</f>
        <v>#N/A</v>
      </c>
    </row>
    <row r="106" spans="1:17" x14ac:dyDescent="0.45">
      <c r="A106" s="3">
        <f>配列!B106</f>
        <v>0</v>
      </c>
      <c r="B106" s="3" t="e">
        <f>_xlfn.XLOOKUP(A106,対応表!A:A,対応表!B:B)</f>
        <v>#N/A</v>
      </c>
      <c r="C106" s="3">
        <f>配列!C106</f>
        <v>0</v>
      </c>
      <c r="D106" s="3" t="str">
        <f>IF(配列!E106="",RIGHT(配列!D106&amp;配列!E106,4)&amp;"L",RIGHT(配列!D106&amp;配列!E106,5))</f>
        <v>L</v>
      </c>
      <c r="E106" s="3">
        <f t="shared" si="4"/>
        <v>0</v>
      </c>
      <c r="F106" s="3" t="e">
        <f>_xlfn.XLOOKUP(E106,セットアップレポート_紐づけ用!A:A,セットアップレポート_紐づけ用!J:J)</f>
        <v>#N/A</v>
      </c>
      <c r="G106" s="3" t="e">
        <f>_xlfn.XLOOKUP(E106,セットアップレポート_紐づけ用!A:A,セットアップレポート_紐づけ用!V:V)</f>
        <v>#N/A</v>
      </c>
      <c r="H106" s="3">
        <f t="shared" si="7"/>
        <v>-2</v>
      </c>
      <c r="I106" t="str">
        <f>IF(J106=0,"",IF(配列!E106="",マクロ実行!$A$16 &amp;" T"&amp;H106&amp;"-"&amp;RIGHT(配列!D106&amp;配列!E106,2),マクロ実行!$A$16 &amp;" T"&amp;H106&amp;"-"&amp;RIGHT(配列!D106&amp;配列!E106,3)))</f>
        <v/>
      </c>
      <c r="J106">
        <f>配列!F106</f>
        <v>0</v>
      </c>
      <c r="K106" s="2" t="e">
        <f>_xlfn.XLOOKUP(E106,セットアップレポート_紐づけ用!A:A,セットアップレポート_紐づけ用!R:R)</f>
        <v>#N/A</v>
      </c>
      <c r="L106" t="e">
        <f t="shared" si="5"/>
        <v>#N/A</v>
      </c>
      <c r="M106" t="e">
        <f>_xlfn.XLOOKUP(L106,EGPro!A:A,EGPro!D:D)</f>
        <v>#N/A</v>
      </c>
      <c r="N106" t="e">
        <f>_xlfn.XLOOKUP(L106,EGPro!A:A,EGPro!C:C)</f>
        <v>#N/A</v>
      </c>
      <c r="O106" t="e">
        <f t="shared" si="6"/>
        <v>#N/A</v>
      </c>
      <c r="P106" t="e">
        <f>_xlfn.XLOOKUP(O106,EGPro!A:A,EGPro!D:D)</f>
        <v>#N/A</v>
      </c>
      <c r="Q106" t="e">
        <f>_xlfn.XLOOKUP(O106,EGPro!A:A,EGPro!C:C)</f>
        <v>#N/A</v>
      </c>
    </row>
    <row r="107" spans="1:17" x14ac:dyDescent="0.45">
      <c r="A107" s="3">
        <f>配列!B107</f>
        <v>0</v>
      </c>
      <c r="B107" s="3" t="e">
        <f>_xlfn.XLOOKUP(A107,対応表!A:A,対応表!B:B)</f>
        <v>#N/A</v>
      </c>
      <c r="C107" s="3">
        <f>配列!C107</f>
        <v>0</v>
      </c>
      <c r="D107" s="3" t="str">
        <f>IF(配列!E107="",RIGHT(配列!D107&amp;配列!E107,4)&amp;"L",RIGHT(配列!D107&amp;配列!E107,5))</f>
        <v>L</v>
      </c>
      <c r="E107" s="3">
        <f t="shared" si="4"/>
        <v>0</v>
      </c>
      <c r="F107" s="3" t="e">
        <f>_xlfn.XLOOKUP(E107,セットアップレポート_紐づけ用!A:A,セットアップレポート_紐づけ用!J:J)</f>
        <v>#N/A</v>
      </c>
      <c r="G107" s="3" t="e">
        <f>_xlfn.XLOOKUP(E107,セットアップレポート_紐づけ用!A:A,セットアップレポート_紐づけ用!V:V)</f>
        <v>#N/A</v>
      </c>
      <c r="H107" s="3">
        <f t="shared" si="7"/>
        <v>-2</v>
      </c>
      <c r="I107" t="str">
        <f>IF(J107=0,"",IF(配列!E107="",マクロ実行!$A$16 &amp;" T"&amp;H107&amp;"-"&amp;RIGHT(配列!D107&amp;配列!E107,2),マクロ実行!$A$16 &amp;" T"&amp;H107&amp;"-"&amp;RIGHT(配列!D107&amp;配列!E107,3)))</f>
        <v/>
      </c>
      <c r="J107">
        <f>配列!F107</f>
        <v>0</v>
      </c>
      <c r="K107" s="2" t="e">
        <f>_xlfn.XLOOKUP(E107,セットアップレポート_紐づけ用!A:A,セットアップレポート_紐づけ用!R:R)</f>
        <v>#N/A</v>
      </c>
      <c r="L107" t="e">
        <f t="shared" si="5"/>
        <v>#N/A</v>
      </c>
      <c r="M107" t="e">
        <f>_xlfn.XLOOKUP(L107,EGPro!A:A,EGPro!D:D)</f>
        <v>#N/A</v>
      </c>
      <c r="N107" t="e">
        <f>_xlfn.XLOOKUP(L107,EGPro!A:A,EGPro!C:C)</f>
        <v>#N/A</v>
      </c>
      <c r="O107" t="e">
        <f t="shared" si="6"/>
        <v>#N/A</v>
      </c>
      <c r="P107" t="e">
        <f>_xlfn.XLOOKUP(O107,EGPro!A:A,EGPro!D:D)</f>
        <v>#N/A</v>
      </c>
      <c r="Q107" t="e">
        <f>_xlfn.XLOOKUP(O107,EGPro!A:A,EGPro!C:C)</f>
        <v>#N/A</v>
      </c>
    </row>
    <row r="108" spans="1:17" x14ac:dyDescent="0.45">
      <c r="A108" s="3">
        <f>配列!B108</f>
        <v>0</v>
      </c>
      <c r="B108" s="3" t="e">
        <f>_xlfn.XLOOKUP(A108,対応表!A:A,対応表!B:B)</f>
        <v>#N/A</v>
      </c>
      <c r="C108" s="3">
        <f>配列!C108</f>
        <v>0</v>
      </c>
      <c r="D108" s="3" t="str">
        <f>IF(配列!E108="",RIGHT(配列!D108&amp;配列!E108,4)&amp;"L",RIGHT(配列!D108&amp;配列!E108,5))</f>
        <v>L</v>
      </c>
      <c r="E108" s="3">
        <f t="shared" si="4"/>
        <v>0</v>
      </c>
      <c r="F108" s="3" t="e">
        <f>_xlfn.XLOOKUP(E108,セットアップレポート_紐づけ用!A:A,セットアップレポート_紐づけ用!J:J)</f>
        <v>#N/A</v>
      </c>
      <c r="G108" s="3" t="e">
        <f>_xlfn.XLOOKUP(E108,セットアップレポート_紐づけ用!A:A,セットアップレポート_紐づけ用!V:V)</f>
        <v>#N/A</v>
      </c>
      <c r="H108" s="3">
        <f t="shared" si="7"/>
        <v>-2</v>
      </c>
      <c r="I108" t="str">
        <f>IF(J108=0,"",IF(配列!E108="",マクロ実行!$A$16 &amp;" T"&amp;H108&amp;"-"&amp;RIGHT(配列!D108&amp;配列!E108,2),マクロ実行!$A$16 &amp;" T"&amp;H108&amp;"-"&amp;RIGHT(配列!D108&amp;配列!E108,3)))</f>
        <v/>
      </c>
      <c r="J108">
        <f>配列!F108</f>
        <v>0</v>
      </c>
      <c r="K108" s="2" t="e">
        <f>_xlfn.XLOOKUP(E108,セットアップレポート_紐づけ用!A:A,セットアップレポート_紐づけ用!R:R)</f>
        <v>#N/A</v>
      </c>
      <c r="L108" t="e">
        <f t="shared" si="5"/>
        <v>#N/A</v>
      </c>
      <c r="M108" t="e">
        <f>_xlfn.XLOOKUP(L108,EGPro!A:A,EGPro!D:D)</f>
        <v>#N/A</v>
      </c>
      <c r="N108" t="e">
        <f>_xlfn.XLOOKUP(L108,EGPro!A:A,EGPro!C:C)</f>
        <v>#N/A</v>
      </c>
      <c r="O108" t="e">
        <f t="shared" si="6"/>
        <v>#N/A</v>
      </c>
      <c r="P108" t="e">
        <f>_xlfn.XLOOKUP(O108,EGPro!A:A,EGPro!D:D)</f>
        <v>#N/A</v>
      </c>
      <c r="Q108" t="e">
        <f>_xlfn.XLOOKUP(O108,EGPro!A:A,EGPro!C:C)</f>
        <v>#N/A</v>
      </c>
    </row>
    <row r="109" spans="1:17" x14ac:dyDescent="0.45">
      <c r="A109" s="3">
        <f>配列!B109</f>
        <v>0</v>
      </c>
      <c r="B109" s="3" t="e">
        <f>_xlfn.XLOOKUP(A109,対応表!A:A,対応表!B:B)</f>
        <v>#N/A</v>
      </c>
      <c r="C109" s="3">
        <f>配列!C109</f>
        <v>0</v>
      </c>
      <c r="D109" s="3" t="str">
        <f>IF(配列!E109="",RIGHT(配列!D109&amp;配列!E109,4)&amp;"L",RIGHT(配列!D109&amp;配列!E109,5))</f>
        <v>L</v>
      </c>
      <c r="E109" s="3">
        <f t="shared" si="4"/>
        <v>0</v>
      </c>
      <c r="F109" s="3" t="e">
        <f>_xlfn.XLOOKUP(E109,セットアップレポート_紐づけ用!A:A,セットアップレポート_紐づけ用!J:J)</f>
        <v>#N/A</v>
      </c>
      <c r="G109" s="3" t="e">
        <f>_xlfn.XLOOKUP(E109,セットアップレポート_紐づけ用!A:A,セットアップレポート_紐づけ用!V:V)</f>
        <v>#N/A</v>
      </c>
      <c r="H109" s="3">
        <f t="shared" si="7"/>
        <v>-2</v>
      </c>
      <c r="I109" t="str">
        <f>IF(J109=0,"",IF(配列!E109="",マクロ実行!$A$16 &amp;" T"&amp;H109&amp;"-"&amp;RIGHT(配列!D109&amp;配列!E109,2),マクロ実行!$A$16 &amp;" T"&amp;H109&amp;"-"&amp;RIGHT(配列!D109&amp;配列!E109,3)))</f>
        <v/>
      </c>
      <c r="J109">
        <f>配列!F109</f>
        <v>0</v>
      </c>
      <c r="K109" s="2" t="e">
        <f>_xlfn.XLOOKUP(E109,セットアップレポート_紐づけ用!A:A,セットアップレポート_紐づけ用!R:R)</f>
        <v>#N/A</v>
      </c>
      <c r="L109" t="e">
        <f t="shared" si="5"/>
        <v>#N/A</v>
      </c>
      <c r="M109" t="e">
        <f>_xlfn.XLOOKUP(L109,EGPro!A:A,EGPro!D:D)</f>
        <v>#N/A</v>
      </c>
      <c r="N109" t="e">
        <f>_xlfn.XLOOKUP(L109,EGPro!A:A,EGPro!C:C)</f>
        <v>#N/A</v>
      </c>
      <c r="O109" t="e">
        <f t="shared" si="6"/>
        <v>#N/A</v>
      </c>
      <c r="P109" t="e">
        <f>_xlfn.XLOOKUP(O109,EGPro!A:A,EGPro!D:D)</f>
        <v>#N/A</v>
      </c>
      <c r="Q109" t="e">
        <f>_xlfn.XLOOKUP(O109,EGPro!A:A,EGPro!C:C)</f>
        <v>#N/A</v>
      </c>
    </row>
    <row r="110" spans="1:17" x14ac:dyDescent="0.45">
      <c r="A110" s="3">
        <f>配列!B110</f>
        <v>0</v>
      </c>
      <c r="B110" s="3" t="e">
        <f>_xlfn.XLOOKUP(A110,対応表!A:A,対応表!B:B)</f>
        <v>#N/A</v>
      </c>
      <c r="C110" s="3">
        <f>配列!C110</f>
        <v>0</v>
      </c>
      <c r="D110" s="3" t="str">
        <f>IF(配列!E110="",RIGHT(配列!D110&amp;配列!E110,4)&amp;"L",RIGHT(配列!D110&amp;配列!E110,5))</f>
        <v>L</v>
      </c>
      <c r="E110" s="3">
        <f t="shared" si="4"/>
        <v>0</v>
      </c>
      <c r="F110" s="3" t="e">
        <f>_xlfn.XLOOKUP(E110,セットアップレポート_紐づけ用!A:A,セットアップレポート_紐づけ用!J:J)</f>
        <v>#N/A</v>
      </c>
      <c r="G110" s="3" t="e">
        <f>_xlfn.XLOOKUP(E110,セットアップレポート_紐づけ用!A:A,セットアップレポート_紐づけ用!V:V)</f>
        <v>#N/A</v>
      </c>
      <c r="H110" s="3">
        <f t="shared" si="7"/>
        <v>-2</v>
      </c>
      <c r="I110" t="str">
        <f>IF(J110=0,"",IF(配列!E110="",マクロ実行!$A$16 &amp;" T"&amp;H110&amp;"-"&amp;RIGHT(配列!D110&amp;配列!E110,2),マクロ実行!$A$16 &amp;" T"&amp;H110&amp;"-"&amp;RIGHT(配列!D110&amp;配列!E110,3)))</f>
        <v/>
      </c>
      <c r="J110">
        <f>配列!F110</f>
        <v>0</v>
      </c>
      <c r="K110" s="2" t="e">
        <f>_xlfn.XLOOKUP(E110,セットアップレポート_紐づけ用!A:A,セットアップレポート_紐づけ用!R:R)</f>
        <v>#N/A</v>
      </c>
      <c r="L110" t="e">
        <f t="shared" si="5"/>
        <v>#N/A</v>
      </c>
      <c r="M110" t="e">
        <f>_xlfn.XLOOKUP(L110,EGPro!A:A,EGPro!D:D)</f>
        <v>#N/A</v>
      </c>
      <c r="N110" t="e">
        <f>_xlfn.XLOOKUP(L110,EGPro!A:A,EGPro!C:C)</f>
        <v>#N/A</v>
      </c>
      <c r="O110" t="e">
        <f t="shared" si="6"/>
        <v>#N/A</v>
      </c>
      <c r="P110" t="e">
        <f>_xlfn.XLOOKUP(O110,EGPro!A:A,EGPro!D:D)</f>
        <v>#N/A</v>
      </c>
      <c r="Q110" t="e">
        <f>_xlfn.XLOOKUP(O110,EGPro!A:A,EGPro!C:C)</f>
        <v>#N/A</v>
      </c>
    </row>
    <row r="111" spans="1:17" x14ac:dyDescent="0.45">
      <c r="A111" s="3">
        <f>配列!B111</f>
        <v>0</v>
      </c>
      <c r="B111" s="3" t="e">
        <f>_xlfn.XLOOKUP(A111,対応表!A:A,対応表!B:B)</f>
        <v>#N/A</v>
      </c>
      <c r="C111" s="3">
        <f>配列!C111</f>
        <v>0</v>
      </c>
      <c r="D111" s="3" t="str">
        <f>IF(配列!E111="",RIGHT(配列!D111&amp;配列!E111,4)&amp;"L",RIGHT(配列!D111&amp;配列!E111,5))</f>
        <v>L</v>
      </c>
      <c r="E111" s="3">
        <f t="shared" si="4"/>
        <v>0</v>
      </c>
      <c r="F111" s="3" t="e">
        <f>_xlfn.XLOOKUP(E111,セットアップレポート_紐づけ用!A:A,セットアップレポート_紐づけ用!J:J)</f>
        <v>#N/A</v>
      </c>
      <c r="G111" s="3" t="e">
        <f>_xlfn.XLOOKUP(E111,セットアップレポート_紐づけ用!A:A,セットアップレポート_紐づけ用!V:V)</f>
        <v>#N/A</v>
      </c>
      <c r="H111" s="3">
        <f t="shared" si="7"/>
        <v>-2</v>
      </c>
      <c r="I111" t="str">
        <f>IF(J111=0,"",IF(配列!E111="",マクロ実行!$A$16 &amp;" T"&amp;H111&amp;"-"&amp;RIGHT(配列!D111&amp;配列!E111,2),マクロ実行!$A$16 &amp;" T"&amp;H111&amp;"-"&amp;RIGHT(配列!D111&amp;配列!E111,3)))</f>
        <v/>
      </c>
      <c r="J111">
        <f>配列!F111</f>
        <v>0</v>
      </c>
      <c r="K111" s="2" t="e">
        <f>_xlfn.XLOOKUP(E111,セットアップレポート_紐づけ用!A:A,セットアップレポート_紐づけ用!R:R)</f>
        <v>#N/A</v>
      </c>
      <c r="L111" t="e">
        <f t="shared" si="5"/>
        <v>#N/A</v>
      </c>
      <c r="M111" t="e">
        <f>_xlfn.XLOOKUP(L111,EGPro!A:A,EGPro!D:D)</f>
        <v>#N/A</v>
      </c>
      <c r="N111" t="e">
        <f>_xlfn.XLOOKUP(L111,EGPro!A:A,EGPro!C:C)</f>
        <v>#N/A</v>
      </c>
      <c r="O111" t="e">
        <f t="shared" si="6"/>
        <v>#N/A</v>
      </c>
      <c r="P111" t="e">
        <f>_xlfn.XLOOKUP(O111,EGPro!A:A,EGPro!D:D)</f>
        <v>#N/A</v>
      </c>
      <c r="Q111" t="e">
        <f>_xlfn.XLOOKUP(O111,EGPro!A:A,EGPro!C:C)</f>
        <v>#N/A</v>
      </c>
    </row>
    <row r="112" spans="1:17" x14ac:dyDescent="0.45">
      <c r="A112" s="3">
        <f>配列!B112</f>
        <v>0</v>
      </c>
      <c r="B112" s="3" t="e">
        <f>_xlfn.XLOOKUP(A112,対応表!A:A,対応表!B:B)</f>
        <v>#N/A</v>
      </c>
      <c r="C112" s="3">
        <f>配列!C112</f>
        <v>0</v>
      </c>
      <c r="D112" s="3" t="str">
        <f>IF(配列!E112="",RIGHT(配列!D112&amp;配列!E112,4)&amp;"L",RIGHT(配列!D112&amp;配列!E112,5))</f>
        <v>L</v>
      </c>
      <c r="E112" s="3">
        <f t="shared" si="4"/>
        <v>0</v>
      </c>
      <c r="F112" s="3" t="e">
        <f>_xlfn.XLOOKUP(E112,セットアップレポート_紐づけ用!A:A,セットアップレポート_紐づけ用!J:J)</f>
        <v>#N/A</v>
      </c>
      <c r="G112" s="3" t="e">
        <f>_xlfn.XLOOKUP(E112,セットアップレポート_紐づけ用!A:A,セットアップレポート_紐づけ用!V:V)</f>
        <v>#N/A</v>
      </c>
      <c r="H112" s="3">
        <f t="shared" si="7"/>
        <v>-2</v>
      </c>
      <c r="I112" t="str">
        <f>IF(J112=0,"",IF(配列!E112="",マクロ実行!$A$16 &amp;" T"&amp;H112&amp;"-"&amp;RIGHT(配列!D112&amp;配列!E112,2),マクロ実行!$A$16 &amp;" T"&amp;H112&amp;"-"&amp;RIGHT(配列!D112&amp;配列!E112,3)))</f>
        <v/>
      </c>
      <c r="J112">
        <f>配列!F112</f>
        <v>0</v>
      </c>
      <c r="K112" s="2" t="e">
        <f>_xlfn.XLOOKUP(E112,セットアップレポート_紐づけ用!A:A,セットアップレポート_紐づけ用!R:R)</f>
        <v>#N/A</v>
      </c>
      <c r="L112" t="e">
        <f t="shared" si="5"/>
        <v>#N/A</v>
      </c>
      <c r="M112" t="e">
        <f>_xlfn.XLOOKUP(L112,EGPro!A:A,EGPro!D:D)</f>
        <v>#N/A</v>
      </c>
      <c r="N112" t="e">
        <f>_xlfn.XLOOKUP(L112,EGPro!A:A,EGPro!C:C)</f>
        <v>#N/A</v>
      </c>
      <c r="O112" t="e">
        <f t="shared" si="6"/>
        <v>#N/A</v>
      </c>
      <c r="P112" t="e">
        <f>_xlfn.XLOOKUP(O112,EGPro!A:A,EGPro!D:D)</f>
        <v>#N/A</v>
      </c>
      <c r="Q112" t="e">
        <f>_xlfn.XLOOKUP(O112,EGPro!A:A,EGPro!C:C)</f>
        <v>#N/A</v>
      </c>
    </row>
    <row r="113" spans="1:17" x14ac:dyDescent="0.45">
      <c r="A113" s="3">
        <f>配列!B113</f>
        <v>0</v>
      </c>
      <c r="B113" s="3" t="e">
        <f>_xlfn.XLOOKUP(A113,対応表!A:A,対応表!B:B)</f>
        <v>#N/A</v>
      </c>
      <c r="C113" s="3">
        <f>配列!C113</f>
        <v>0</v>
      </c>
      <c r="D113" s="3" t="str">
        <f>IF(配列!E113="",RIGHT(配列!D113&amp;配列!E113,4)&amp;"L",RIGHT(配列!D113&amp;配列!E113,5))</f>
        <v>L</v>
      </c>
      <c r="E113" s="3">
        <f t="shared" si="4"/>
        <v>0</v>
      </c>
      <c r="F113" s="3" t="e">
        <f>_xlfn.XLOOKUP(E113,セットアップレポート_紐づけ用!A:A,セットアップレポート_紐づけ用!J:J)</f>
        <v>#N/A</v>
      </c>
      <c r="G113" s="3" t="e">
        <f>_xlfn.XLOOKUP(E113,セットアップレポート_紐づけ用!A:A,セットアップレポート_紐づけ用!V:V)</f>
        <v>#N/A</v>
      </c>
      <c r="H113" s="3">
        <f t="shared" si="7"/>
        <v>-2</v>
      </c>
      <c r="I113" t="str">
        <f>IF(J113=0,"",IF(配列!E113="",マクロ実行!$A$16 &amp;" T"&amp;H113&amp;"-"&amp;RIGHT(配列!D113&amp;配列!E113,2),マクロ実行!$A$16 &amp;" T"&amp;H113&amp;"-"&amp;RIGHT(配列!D113&amp;配列!E113,3)))</f>
        <v/>
      </c>
      <c r="J113">
        <f>配列!F113</f>
        <v>0</v>
      </c>
      <c r="K113" s="2" t="e">
        <f>_xlfn.XLOOKUP(E113,セットアップレポート_紐づけ用!A:A,セットアップレポート_紐づけ用!R:R)</f>
        <v>#N/A</v>
      </c>
      <c r="L113" t="e">
        <f t="shared" si="5"/>
        <v>#N/A</v>
      </c>
      <c r="M113" t="e">
        <f>_xlfn.XLOOKUP(L113,EGPro!A:A,EGPro!D:D)</f>
        <v>#N/A</v>
      </c>
      <c r="N113" t="e">
        <f>_xlfn.XLOOKUP(L113,EGPro!A:A,EGPro!C:C)</f>
        <v>#N/A</v>
      </c>
      <c r="O113" t="e">
        <f t="shared" si="6"/>
        <v>#N/A</v>
      </c>
      <c r="P113" t="e">
        <f>_xlfn.XLOOKUP(O113,EGPro!A:A,EGPro!D:D)</f>
        <v>#N/A</v>
      </c>
      <c r="Q113" t="e">
        <f>_xlfn.XLOOKUP(O113,EGPro!A:A,EGPro!C:C)</f>
        <v>#N/A</v>
      </c>
    </row>
    <row r="114" spans="1:17" x14ac:dyDescent="0.45">
      <c r="A114" s="3">
        <f>配列!B114</f>
        <v>0</v>
      </c>
      <c r="B114" s="3" t="e">
        <f>_xlfn.XLOOKUP(A114,対応表!A:A,対応表!B:B)</f>
        <v>#N/A</v>
      </c>
      <c r="C114" s="3">
        <f>配列!C114</f>
        <v>0</v>
      </c>
      <c r="D114" s="3" t="str">
        <f>IF(配列!E114="",RIGHT(配列!D114&amp;配列!E114,4)&amp;"L",RIGHT(配列!D114&amp;配列!E114,5))</f>
        <v>L</v>
      </c>
      <c r="E114" s="3">
        <f t="shared" si="4"/>
        <v>0</v>
      </c>
      <c r="F114" s="3" t="e">
        <f>_xlfn.XLOOKUP(E114,セットアップレポート_紐づけ用!A:A,セットアップレポート_紐づけ用!J:J)</f>
        <v>#N/A</v>
      </c>
      <c r="G114" s="3" t="e">
        <f>_xlfn.XLOOKUP(E114,セットアップレポート_紐づけ用!A:A,セットアップレポート_紐づけ用!V:V)</f>
        <v>#N/A</v>
      </c>
      <c r="H114" s="3">
        <f t="shared" si="7"/>
        <v>-2</v>
      </c>
      <c r="I114" t="str">
        <f>IF(J114=0,"",IF(配列!E114="",マクロ実行!$A$16 &amp;" T"&amp;H114&amp;"-"&amp;RIGHT(配列!D114&amp;配列!E114,2),マクロ実行!$A$16 &amp;" T"&amp;H114&amp;"-"&amp;RIGHT(配列!D114&amp;配列!E114,3)))</f>
        <v/>
      </c>
      <c r="J114">
        <f>配列!F114</f>
        <v>0</v>
      </c>
      <c r="K114" s="2" t="e">
        <f>_xlfn.XLOOKUP(E114,セットアップレポート_紐づけ用!A:A,セットアップレポート_紐づけ用!R:R)</f>
        <v>#N/A</v>
      </c>
      <c r="L114" t="e">
        <f t="shared" si="5"/>
        <v>#N/A</v>
      </c>
      <c r="M114" t="e">
        <f>_xlfn.XLOOKUP(L114,EGPro!A:A,EGPro!D:D)</f>
        <v>#N/A</v>
      </c>
      <c r="N114" t="e">
        <f>_xlfn.XLOOKUP(L114,EGPro!A:A,EGPro!C:C)</f>
        <v>#N/A</v>
      </c>
      <c r="O114" t="e">
        <f t="shared" si="6"/>
        <v>#N/A</v>
      </c>
      <c r="P114" t="e">
        <f>_xlfn.XLOOKUP(O114,EGPro!A:A,EGPro!D:D)</f>
        <v>#N/A</v>
      </c>
      <c r="Q114" t="e">
        <f>_xlfn.XLOOKUP(O114,EGPro!A:A,EGPro!C:C)</f>
        <v>#N/A</v>
      </c>
    </row>
    <row r="115" spans="1:17" x14ac:dyDescent="0.45">
      <c r="A115" s="3">
        <f>配列!B115</f>
        <v>0</v>
      </c>
      <c r="B115" s="3" t="e">
        <f>_xlfn.XLOOKUP(A115,対応表!A:A,対応表!B:B)</f>
        <v>#N/A</v>
      </c>
      <c r="C115" s="3">
        <f>配列!C115</f>
        <v>0</v>
      </c>
      <c r="D115" s="3" t="str">
        <f>IF(配列!E115="",RIGHT(配列!D115&amp;配列!E115,4)&amp;"L",RIGHT(配列!D115&amp;配列!E115,5))</f>
        <v>L</v>
      </c>
      <c r="E115" s="3">
        <f t="shared" si="4"/>
        <v>0</v>
      </c>
      <c r="F115" s="3" t="e">
        <f>_xlfn.XLOOKUP(E115,セットアップレポート_紐づけ用!A:A,セットアップレポート_紐づけ用!J:J)</f>
        <v>#N/A</v>
      </c>
      <c r="G115" s="3" t="e">
        <f>_xlfn.XLOOKUP(E115,セットアップレポート_紐づけ用!A:A,セットアップレポート_紐づけ用!V:V)</f>
        <v>#N/A</v>
      </c>
      <c r="H115" s="3">
        <f t="shared" si="7"/>
        <v>-2</v>
      </c>
      <c r="I115" t="str">
        <f>IF(J115=0,"",IF(配列!E115="",マクロ実行!$A$16 &amp;" T"&amp;H115&amp;"-"&amp;RIGHT(配列!D115&amp;配列!E115,2),マクロ実行!$A$16 &amp;" T"&amp;H115&amp;"-"&amp;RIGHT(配列!D115&amp;配列!E115,3)))</f>
        <v/>
      </c>
      <c r="J115">
        <f>配列!F115</f>
        <v>0</v>
      </c>
      <c r="K115" s="2" t="e">
        <f>_xlfn.XLOOKUP(E115,セットアップレポート_紐づけ用!A:A,セットアップレポート_紐づけ用!R:R)</f>
        <v>#N/A</v>
      </c>
      <c r="L115" t="e">
        <f t="shared" si="5"/>
        <v>#N/A</v>
      </c>
      <c r="M115" t="e">
        <f>_xlfn.XLOOKUP(L115,EGPro!A:A,EGPro!D:D)</f>
        <v>#N/A</v>
      </c>
      <c r="N115" t="e">
        <f>_xlfn.XLOOKUP(L115,EGPro!A:A,EGPro!C:C)</f>
        <v>#N/A</v>
      </c>
      <c r="O115" t="e">
        <f t="shared" si="6"/>
        <v>#N/A</v>
      </c>
      <c r="P115" t="e">
        <f>_xlfn.XLOOKUP(O115,EGPro!A:A,EGPro!D:D)</f>
        <v>#N/A</v>
      </c>
      <c r="Q115" t="e">
        <f>_xlfn.XLOOKUP(O115,EGPro!A:A,EGPro!C:C)</f>
        <v>#N/A</v>
      </c>
    </row>
    <row r="116" spans="1:17" x14ac:dyDescent="0.45">
      <c r="A116" s="3">
        <f>配列!B116</f>
        <v>0</v>
      </c>
      <c r="B116" s="3" t="e">
        <f>_xlfn.XLOOKUP(A116,対応表!A:A,対応表!B:B)</f>
        <v>#N/A</v>
      </c>
      <c r="C116" s="3">
        <f>配列!C116</f>
        <v>0</v>
      </c>
      <c r="D116" s="3" t="str">
        <f>IF(配列!E116="",RIGHT(配列!D116&amp;配列!E116,4)&amp;"L",RIGHT(配列!D116&amp;配列!E116,5))</f>
        <v>L</v>
      </c>
      <c r="E116" s="3">
        <f t="shared" si="4"/>
        <v>0</v>
      </c>
      <c r="F116" s="3" t="e">
        <f>_xlfn.XLOOKUP(E116,セットアップレポート_紐づけ用!A:A,セットアップレポート_紐づけ用!J:J)</f>
        <v>#N/A</v>
      </c>
      <c r="G116" s="3" t="e">
        <f>_xlfn.XLOOKUP(E116,セットアップレポート_紐づけ用!A:A,セットアップレポート_紐づけ用!V:V)</f>
        <v>#N/A</v>
      </c>
      <c r="H116" s="3">
        <f t="shared" si="7"/>
        <v>-2</v>
      </c>
      <c r="I116" t="str">
        <f>IF(J116=0,"",IF(配列!E116="",マクロ実行!$A$16 &amp;" T"&amp;H116&amp;"-"&amp;RIGHT(配列!D116&amp;配列!E116,2),マクロ実行!$A$16 &amp;" T"&amp;H116&amp;"-"&amp;RIGHT(配列!D116&amp;配列!E116,3)))</f>
        <v/>
      </c>
      <c r="J116">
        <f>配列!F116</f>
        <v>0</v>
      </c>
      <c r="K116" s="2" t="e">
        <f>_xlfn.XLOOKUP(E116,セットアップレポート_紐づけ用!A:A,セットアップレポート_紐づけ用!R:R)</f>
        <v>#N/A</v>
      </c>
      <c r="L116" t="e">
        <f t="shared" si="5"/>
        <v>#N/A</v>
      </c>
      <c r="M116" t="e">
        <f>_xlfn.XLOOKUP(L116,EGPro!A:A,EGPro!D:D)</f>
        <v>#N/A</v>
      </c>
      <c r="N116" t="e">
        <f>_xlfn.XLOOKUP(L116,EGPro!A:A,EGPro!C:C)</f>
        <v>#N/A</v>
      </c>
      <c r="O116" t="e">
        <f t="shared" si="6"/>
        <v>#N/A</v>
      </c>
      <c r="P116" t="e">
        <f>_xlfn.XLOOKUP(O116,EGPro!A:A,EGPro!D:D)</f>
        <v>#N/A</v>
      </c>
      <c r="Q116" t="e">
        <f>_xlfn.XLOOKUP(O116,EGPro!A:A,EGPro!C:C)</f>
        <v>#N/A</v>
      </c>
    </row>
    <row r="117" spans="1:17" x14ac:dyDescent="0.45">
      <c r="A117" s="3">
        <f>配列!B117</f>
        <v>0</v>
      </c>
      <c r="B117" s="3" t="e">
        <f>_xlfn.XLOOKUP(A117,対応表!A:A,対応表!B:B)</f>
        <v>#N/A</v>
      </c>
      <c r="C117" s="3">
        <f>配列!C117</f>
        <v>0</v>
      </c>
      <c r="D117" s="3" t="str">
        <f>IF(配列!E117="",RIGHT(配列!D117&amp;配列!E117,4)&amp;"L",RIGHT(配列!D117&amp;配列!E117,5))</f>
        <v>L</v>
      </c>
      <c r="E117" s="3">
        <f t="shared" si="4"/>
        <v>0</v>
      </c>
      <c r="F117" s="3" t="e">
        <f>_xlfn.XLOOKUP(E117,セットアップレポート_紐づけ用!A:A,セットアップレポート_紐づけ用!J:J)</f>
        <v>#N/A</v>
      </c>
      <c r="G117" s="3" t="e">
        <f>_xlfn.XLOOKUP(E117,セットアップレポート_紐づけ用!A:A,セットアップレポート_紐づけ用!V:V)</f>
        <v>#N/A</v>
      </c>
      <c r="H117" s="3">
        <f t="shared" si="7"/>
        <v>-2</v>
      </c>
      <c r="I117" t="str">
        <f>IF(J117=0,"",IF(配列!E117="",マクロ実行!$A$16 &amp;" T"&amp;H117&amp;"-"&amp;RIGHT(配列!D117&amp;配列!E117,2),マクロ実行!$A$16 &amp;" T"&amp;H117&amp;"-"&amp;RIGHT(配列!D117&amp;配列!E117,3)))</f>
        <v/>
      </c>
      <c r="J117">
        <f>配列!F117</f>
        <v>0</v>
      </c>
      <c r="K117" s="2" t="e">
        <f>_xlfn.XLOOKUP(E117,セットアップレポート_紐づけ用!A:A,セットアップレポート_紐づけ用!R:R)</f>
        <v>#N/A</v>
      </c>
      <c r="L117" t="e">
        <f t="shared" si="5"/>
        <v>#N/A</v>
      </c>
      <c r="M117" t="e">
        <f>_xlfn.XLOOKUP(L117,EGPro!A:A,EGPro!D:D)</f>
        <v>#N/A</v>
      </c>
      <c r="N117" t="e">
        <f>_xlfn.XLOOKUP(L117,EGPro!A:A,EGPro!C:C)</f>
        <v>#N/A</v>
      </c>
      <c r="O117" t="e">
        <f t="shared" si="6"/>
        <v>#N/A</v>
      </c>
      <c r="P117" t="e">
        <f>_xlfn.XLOOKUP(O117,EGPro!A:A,EGPro!D:D)</f>
        <v>#N/A</v>
      </c>
      <c r="Q117" t="e">
        <f>_xlfn.XLOOKUP(O117,EGPro!A:A,EGPro!C:C)</f>
        <v>#N/A</v>
      </c>
    </row>
    <row r="118" spans="1:17" x14ac:dyDescent="0.45">
      <c r="A118" s="3">
        <f>配列!B118</f>
        <v>0</v>
      </c>
      <c r="B118" s="3" t="e">
        <f>_xlfn.XLOOKUP(A118,対応表!A:A,対応表!B:B)</f>
        <v>#N/A</v>
      </c>
      <c r="C118" s="3">
        <f>配列!C118</f>
        <v>0</v>
      </c>
      <c r="D118" s="3" t="str">
        <f>IF(配列!E118="",RIGHT(配列!D118&amp;配列!E118,4)&amp;"L",RIGHT(配列!D118&amp;配列!E118,5))</f>
        <v>L</v>
      </c>
      <c r="E118" s="3">
        <f t="shared" si="4"/>
        <v>0</v>
      </c>
      <c r="F118" s="3" t="e">
        <f>_xlfn.XLOOKUP(E118,セットアップレポート_紐づけ用!A:A,セットアップレポート_紐づけ用!J:J)</f>
        <v>#N/A</v>
      </c>
      <c r="G118" s="3" t="e">
        <f>_xlfn.XLOOKUP(E118,セットアップレポート_紐づけ用!A:A,セットアップレポート_紐づけ用!V:V)</f>
        <v>#N/A</v>
      </c>
      <c r="H118" s="3">
        <f t="shared" si="7"/>
        <v>-2</v>
      </c>
      <c r="I118" t="str">
        <f>IF(J118=0,"",IF(配列!E118="",マクロ実行!$A$16 &amp;" T"&amp;H118&amp;"-"&amp;RIGHT(配列!D118&amp;配列!E118,2),マクロ実行!$A$16 &amp;" T"&amp;H118&amp;"-"&amp;RIGHT(配列!D118&amp;配列!E118,3)))</f>
        <v/>
      </c>
      <c r="J118">
        <f>配列!F118</f>
        <v>0</v>
      </c>
      <c r="K118" s="2" t="e">
        <f>_xlfn.XLOOKUP(E118,セットアップレポート_紐づけ用!A:A,セットアップレポート_紐づけ用!R:R)</f>
        <v>#N/A</v>
      </c>
      <c r="L118" t="e">
        <f t="shared" si="5"/>
        <v>#N/A</v>
      </c>
      <c r="M118" t="e">
        <f>_xlfn.XLOOKUP(L118,EGPro!A:A,EGPro!D:D)</f>
        <v>#N/A</v>
      </c>
      <c r="N118" t="e">
        <f>_xlfn.XLOOKUP(L118,EGPro!A:A,EGPro!C:C)</f>
        <v>#N/A</v>
      </c>
      <c r="O118" t="e">
        <f t="shared" si="6"/>
        <v>#N/A</v>
      </c>
      <c r="P118" t="e">
        <f>_xlfn.XLOOKUP(O118,EGPro!A:A,EGPro!D:D)</f>
        <v>#N/A</v>
      </c>
      <c r="Q118" t="e">
        <f>_xlfn.XLOOKUP(O118,EGPro!A:A,EGPro!C:C)</f>
        <v>#N/A</v>
      </c>
    </row>
    <row r="119" spans="1:17" x14ac:dyDescent="0.45">
      <c r="A119" s="3">
        <f>配列!B119</f>
        <v>0</v>
      </c>
      <c r="B119" s="3" t="e">
        <f>_xlfn.XLOOKUP(A119,対応表!A:A,対応表!B:B)</f>
        <v>#N/A</v>
      </c>
      <c r="C119" s="3">
        <f>配列!C119</f>
        <v>0</v>
      </c>
      <c r="D119" s="3" t="str">
        <f>IF(配列!E119="",RIGHT(配列!D119&amp;配列!E119,4)&amp;"L",RIGHT(配列!D119&amp;配列!E119,5))</f>
        <v>L</v>
      </c>
      <c r="E119" s="3">
        <f t="shared" si="4"/>
        <v>0</v>
      </c>
      <c r="F119" s="3" t="e">
        <f>_xlfn.XLOOKUP(E119,セットアップレポート_紐づけ用!A:A,セットアップレポート_紐づけ用!J:J)</f>
        <v>#N/A</v>
      </c>
      <c r="G119" s="3" t="e">
        <f>_xlfn.XLOOKUP(E119,セットアップレポート_紐づけ用!A:A,セットアップレポート_紐づけ用!V:V)</f>
        <v>#N/A</v>
      </c>
      <c r="H119" s="3">
        <f t="shared" si="7"/>
        <v>-2</v>
      </c>
      <c r="I119" t="str">
        <f>IF(J119=0,"",IF(配列!E119="",マクロ実行!$A$16 &amp;" T"&amp;H119&amp;"-"&amp;RIGHT(配列!D119&amp;配列!E119,2),マクロ実行!$A$16 &amp;" T"&amp;H119&amp;"-"&amp;RIGHT(配列!D119&amp;配列!E119,3)))</f>
        <v/>
      </c>
      <c r="J119">
        <f>配列!F119</f>
        <v>0</v>
      </c>
      <c r="K119" s="2" t="e">
        <f>_xlfn.XLOOKUP(E119,セットアップレポート_紐づけ用!A:A,セットアップレポート_紐づけ用!R:R)</f>
        <v>#N/A</v>
      </c>
      <c r="L119" t="e">
        <f t="shared" si="5"/>
        <v>#N/A</v>
      </c>
      <c r="M119" t="e">
        <f>_xlfn.XLOOKUP(L119,EGPro!A:A,EGPro!D:D)</f>
        <v>#N/A</v>
      </c>
      <c r="N119" t="e">
        <f>_xlfn.XLOOKUP(L119,EGPro!A:A,EGPro!C:C)</f>
        <v>#N/A</v>
      </c>
      <c r="O119" t="e">
        <f t="shared" si="6"/>
        <v>#N/A</v>
      </c>
      <c r="P119" t="e">
        <f>_xlfn.XLOOKUP(O119,EGPro!A:A,EGPro!D:D)</f>
        <v>#N/A</v>
      </c>
      <c r="Q119" t="e">
        <f>_xlfn.XLOOKUP(O119,EGPro!A:A,EGPro!C:C)</f>
        <v>#N/A</v>
      </c>
    </row>
    <row r="120" spans="1:17" x14ac:dyDescent="0.45">
      <c r="A120" s="3">
        <f>配列!B120</f>
        <v>0</v>
      </c>
      <c r="B120" s="3" t="e">
        <f>_xlfn.XLOOKUP(A120,対応表!A:A,対応表!B:B)</f>
        <v>#N/A</v>
      </c>
      <c r="C120" s="3">
        <f>配列!C120</f>
        <v>0</v>
      </c>
      <c r="D120" s="3" t="str">
        <f>IF(配列!E120="",RIGHT(配列!D120&amp;配列!E120,4)&amp;"L",RIGHT(配列!D120&amp;配列!E120,5))</f>
        <v>L</v>
      </c>
      <c r="E120" s="3">
        <f t="shared" si="4"/>
        <v>0</v>
      </c>
      <c r="F120" s="3" t="e">
        <f>_xlfn.XLOOKUP(E120,セットアップレポート_紐づけ用!A:A,セットアップレポート_紐づけ用!J:J)</f>
        <v>#N/A</v>
      </c>
      <c r="G120" s="3" t="e">
        <f>_xlfn.XLOOKUP(E120,セットアップレポート_紐づけ用!A:A,セットアップレポート_紐づけ用!V:V)</f>
        <v>#N/A</v>
      </c>
      <c r="H120" s="3">
        <f t="shared" si="7"/>
        <v>-2</v>
      </c>
      <c r="I120" t="str">
        <f>IF(J120=0,"",IF(配列!E120="",マクロ実行!$A$16 &amp;" T"&amp;H120&amp;"-"&amp;RIGHT(配列!D120&amp;配列!E120,2),マクロ実行!$A$16 &amp;" T"&amp;H120&amp;"-"&amp;RIGHT(配列!D120&amp;配列!E120,3)))</f>
        <v/>
      </c>
      <c r="J120">
        <f>配列!F120</f>
        <v>0</v>
      </c>
      <c r="K120" s="2" t="e">
        <f>_xlfn.XLOOKUP(E120,セットアップレポート_紐づけ用!A:A,セットアップレポート_紐づけ用!R:R)</f>
        <v>#N/A</v>
      </c>
      <c r="L120" t="e">
        <f t="shared" si="5"/>
        <v>#N/A</v>
      </c>
      <c r="M120" t="e">
        <f>_xlfn.XLOOKUP(L120,EGPro!A:A,EGPro!D:D)</f>
        <v>#N/A</v>
      </c>
      <c r="N120" t="e">
        <f>_xlfn.XLOOKUP(L120,EGPro!A:A,EGPro!C:C)</f>
        <v>#N/A</v>
      </c>
      <c r="O120" t="e">
        <f t="shared" si="6"/>
        <v>#N/A</v>
      </c>
      <c r="P120" t="e">
        <f>_xlfn.XLOOKUP(O120,EGPro!A:A,EGPro!D:D)</f>
        <v>#N/A</v>
      </c>
      <c r="Q120" t="e">
        <f>_xlfn.XLOOKUP(O120,EGPro!A:A,EGPro!C:C)</f>
        <v>#N/A</v>
      </c>
    </row>
    <row r="121" spans="1:17" x14ac:dyDescent="0.45">
      <c r="A121" s="3">
        <f>配列!B121</f>
        <v>0</v>
      </c>
      <c r="B121" s="3" t="e">
        <f>_xlfn.XLOOKUP(A121,対応表!A:A,対応表!B:B)</f>
        <v>#N/A</v>
      </c>
      <c r="C121" s="3">
        <f>配列!C121</f>
        <v>0</v>
      </c>
      <c r="D121" s="3" t="str">
        <f>IF(配列!E121="",RIGHT(配列!D121&amp;配列!E121,4)&amp;"L",RIGHT(配列!D121&amp;配列!E121,5))</f>
        <v>L</v>
      </c>
      <c r="E121" s="3">
        <f t="shared" si="4"/>
        <v>0</v>
      </c>
      <c r="F121" s="3" t="e">
        <f>_xlfn.XLOOKUP(E121,セットアップレポート_紐づけ用!A:A,セットアップレポート_紐づけ用!J:J)</f>
        <v>#N/A</v>
      </c>
      <c r="G121" s="3" t="e">
        <f>_xlfn.XLOOKUP(E121,セットアップレポート_紐づけ用!A:A,セットアップレポート_紐づけ用!V:V)</f>
        <v>#N/A</v>
      </c>
      <c r="H121" s="3">
        <f t="shared" si="7"/>
        <v>-2</v>
      </c>
      <c r="I121" t="str">
        <f>IF(J121=0,"",IF(配列!E121="",マクロ実行!$A$16 &amp;" T"&amp;H121&amp;"-"&amp;RIGHT(配列!D121&amp;配列!E121,2),マクロ実行!$A$16 &amp;" T"&amp;H121&amp;"-"&amp;RIGHT(配列!D121&amp;配列!E121,3)))</f>
        <v/>
      </c>
      <c r="J121">
        <f>配列!F121</f>
        <v>0</v>
      </c>
      <c r="K121" s="2" t="e">
        <f>_xlfn.XLOOKUP(E121,セットアップレポート_紐づけ用!A:A,セットアップレポート_紐づけ用!R:R)</f>
        <v>#N/A</v>
      </c>
      <c r="L121" t="e">
        <f t="shared" si="5"/>
        <v>#N/A</v>
      </c>
      <c r="M121" t="e">
        <f>_xlfn.XLOOKUP(L121,EGPro!A:A,EGPro!D:D)</f>
        <v>#N/A</v>
      </c>
      <c r="N121" t="e">
        <f>_xlfn.XLOOKUP(L121,EGPro!A:A,EGPro!C:C)</f>
        <v>#N/A</v>
      </c>
      <c r="O121" t="e">
        <f t="shared" si="6"/>
        <v>#N/A</v>
      </c>
      <c r="P121" t="e">
        <f>_xlfn.XLOOKUP(O121,EGPro!A:A,EGPro!D:D)</f>
        <v>#N/A</v>
      </c>
      <c r="Q121" t="e">
        <f>_xlfn.XLOOKUP(O121,EGPro!A:A,EGPro!C:C)</f>
        <v>#N/A</v>
      </c>
    </row>
    <row r="122" spans="1:17" x14ac:dyDescent="0.45">
      <c r="A122" s="3">
        <f>配列!B122</f>
        <v>0</v>
      </c>
      <c r="B122" s="3" t="e">
        <f>_xlfn.XLOOKUP(A122,対応表!A:A,対応表!B:B)</f>
        <v>#N/A</v>
      </c>
      <c r="C122" s="3">
        <f>配列!C122</f>
        <v>0</v>
      </c>
      <c r="D122" s="3" t="str">
        <f>IF(配列!E122="",RIGHT(配列!D122&amp;配列!E122,4)&amp;"L",RIGHT(配列!D122&amp;配列!E122,5))</f>
        <v>L</v>
      </c>
      <c r="E122" s="3">
        <f t="shared" si="4"/>
        <v>0</v>
      </c>
      <c r="F122" s="3" t="e">
        <f>_xlfn.XLOOKUP(E122,セットアップレポート_紐づけ用!A:A,セットアップレポート_紐づけ用!J:J)</f>
        <v>#N/A</v>
      </c>
      <c r="G122" s="3" t="e">
        <f>_xlfn.XLOOKUP(E122,セットアップレポート_紐づけ用!A:A,セットアップレポート_紐づけ用!V:V)</f>
        <v>#N/A</v>
      </c>
      <c r="H122" s="3">
        <f t="shared" si="7"/>
        <v>-2</v>
      </c>
      <c r="I122" t="str">
        <f>IF(J122=0,"",IF(配列!E122="",マクロ実行!$A$16 &amp;" T"&amp;H122&amp;"-"&amp;RIGHT(配列!D122&amp;配列!E122,2),マクロ実行!$A$16 &amp;" T"&amp;H122&amp;"-"&amp;RIGHT(配列!D122&amp;配列!E122,3)))</f>
        <v/>
      </c>
      <c r="J122">
        <f>配列!F122</f>
        <v>0</v>
      </c>
      <c r="K122" s="2" t="e">
        <f>_xlfn.XLOOKUP(E122,セットアップレポート_紐づけ用!A:A,セットアップレポート_紐づけ用!R:R)</f>
        <v>#N/A</v>
      </c>
      <c r="L122" t="e">
        <f t="shared" si="5"/>
        <v>#N/A</v>
      </c>
      <c r="M122" t="e">
        <f>_xlfn.XLOOKUP(L122,EGPro!A:A,EGPro!D:D)</f>
        <v>#N/A</v>
      </c>
      <c r="N122" t="e">
        <f>_xlfn.XLOOKUP(L122,EGPro!A:A,EGPro!C:C)</f>
        <v>#N/A</v>
      </c>
      <c r="O122" t="e">
        <f t="shared" si="6"/>
        <v>#N/A</v>
      </c>
      <c r="P122" t="e">
        <f>_xlfn.XLOOKUP(O122,EGPro!A:A,EGPro!D:D)</f>
        <v>#N/A</v>
      </c>
      <c r="Q122" t="e">
        <f>_xlfn.XLOOKUP(O122,EGPro!A:A,EGPro!C:C)</f>
        <v>#N/A</v>
      </c>
    </row>
    <row r="123" spans="1:17" x14ac:dyDescent="0.45">
      <c r="A123" s="3">
        <f>配列!B123</f>
        <v>0</v>
      </c>
      <c r="B123" s="3" t="e">
        <f>_xlfn.XLOOKUP(A123,対応表!A:A,対応表!B:B)</f>
        <v>#N/A</v>
      </c>
      <c r="C123" s="3">
        <f>配列!C123</f>
        <v>0</v>
      </c>
      <c r="D123" s="3" t="str">
        <f>IF(配列!E123="",RIGHT(配列!D123&amp;配列!E123,4)&amp;"L",RIGHT(配列!D123&amp;配列!E123,5))</f>
        <v>L</v>
      </c>
      <c r="E123" s="3">
        <f t="shared" si="4"/>
        <v>0</v>
      </c>
      <c r="F123" s="3" t="e">
        <f>_xlfn.XLOOKUP(E123,セットアップレポート_紐づけ用!A:A,セットアップレポート_紐づけ用!J:J)</f>
        <v>#N/A</v>
      </c>
      <c r="G123" s="3" t="e">
        <f>_xlfn.XLOOKUP(E123,セットアップレポート_紐づけ用!A:A,セットアップレポート_紐づけ用!V:V)</f>
        <v>#N/A</v>
      </c>
      <c r="H123" s="3">
        <f t="shared" si="7"/>
        <v>-2</v>
      </c>
      <c r="I123" t="str">
        <f>IF(J123=0,"",IF(配列!E123="",マクロ実行!$A$16 &amp;" T"&amp;H123&amp;"-"&amp;RIGHT(配列!D123&amp;配列!E123,2),マクロ実行!$A$16 &amp;" T"&amp;H123&amp;"-"&amp;RIGHT(配列!D123&amp;配列!E123,3)))</f>
        <v/>
      </c>
      <c r="J123">
        <f>配列!F123</f>
        <v>0</v>
      </c>
      <c r="K123" s="2" t="e">
        <f>_xlfn.XLOOKUP(E123,セットアップレポート_紐づけ用!A:A,セットアップレポート_紐づけ用!R:R)</f>
        <v>#N/A</v>
      </c>
      <c r="L123" t="e">
        <f t="shared" si="5"/>
        <v>#N/A</v>
      </c>
      <c r="M123" t="e">
        <f>_xlfn.XLOOKUP(L123,EGPro!A:A,EGPro!D:D)</f>
        <v>#N/A</v>
      </c>
      <c r="N123" t="e">
        <f>_xlfn.XLOOKUP(L123,EGPro!A:A,EGPro!C:C)</f>
        <v>#N/A</v>
      </c>
      <c r="O123" t="e">
        <f t="shared" si="6"/>
        <v>#N/A</v>
      </c>
      <c r="P123" t="e">
        <f>_xlfn.XLOOKUP(O123,EGPro!A:A,EGPro!D:D)</f>
        <v>#N/A</v>
      </c>
      <c r="Q123" t="e">
        <f>_xlfn.XLOOKUP(O123,EGPro!A:A,EGPro!C:C)</f>
        <v>#N/A</v>
      </c>
    </row>
    <row r="124" spans="1:17" x14ac:dyDescent="0.45">
      <c r="A124" s="3">
        <f>配列!B124</f>
        <v>0</v>
      </c>
      <c r="B124" s="3" t="e">
        <f>_xlfn.XLOOKUP(A124,対応表!A:A,対応表!B:B)</f>
        <v>#N/A</v>
      </c>
      <c r="C124" s="3">
        <f>配列!C124</f>
        <v>0</v>
      </c>
      <c r="D124" s="3" t="str">
        <f>IF(配列!E124="",RIGHT(配列!D124&amp;配列!E124,4)&amp;"L",RIGHT(配列!D124&amp;配列!E124,5))</f>
        <v>L</v>
      </c>
      <c r="E124" s="3">
        <f t="shared" si="4"/>
        <v>0</v>
      </c>
      <c r="F124" s="3" t="e">
        <f>_xlfn.XLOOKUP(E124,セットアップレポート_紐づけ用!A:A,セットアップレポート_紐づけ用!J:J)</f>
        <v>#N/A</v>
      </c>
      <c r="G124" s="3" t="e">
        <f>_xlfn.XLOOKUP(E124,セットアップレポート_紐づけ用!A:A,セットアップレポート_紐づけ用!V:V)</f>
        <v>#N/A</v>
      </c>
      <c r="H124" s="3">
        <f t="shared" si="7"/>
        <v>-2</v>
      </c>
      <c r="I124" t="str">
        <f>IF(J124=0,"",IF(配列!E124="",マクロ実行!$A$16 &amp;" T"&amp;H124&amp;"-"&amp;RIGHT(配列!D124&amp;配列!E124,2),マクロ実行!$A$16 &amp;" T"&amp;H124&amp;"-"&amp;RIGHT(配列!D124&amp;配列!E124,3)))</f>
        <v/>
      </c>
      <c r="J124">
        <f>配列!F124</f>
        <v>0</v>
      </c>
      <c r="K124" s="2" t="e">
        <f>_xlfn.XLOOKUP(E124,セットアップレポート_紐づけ用!A:A,セットアップレポート_紐づけ用!R:R)</f>
        <v>#N/A</v>
      </c>
      <c r="L124" t="e">
        <f t="shared" si="5"/>
        <v>#N/A</v>
      </c>
      <c r="M124" t="e">
        <f>_xlfn.XLOOKUP(L124,EGPro!A:A,EGPro!D:D)</f>
        <v>#N/A</v>
      </c>
      <c r="N124" t="e">
        <f>_xlfn.XLOOKUP(L124,EGPro!A:A,EGPro!C:C)</f>
        <v>#N/A</v>
      </c>
      <c r="O124" t="e">
        <f t="shared" si="6"/>
        <v>#N/A</v>
      </c>
      <c r="P124" t="e">
        <f>_xlfn.XLOOKUP(O124,EGPro!A:A,EGPro!D:D)</f>
        <v>#N/A</v>
      </c>
      <c r="Q124" t="e">
        <f>_xlfn.XLOOKUP(O124,EGPro!A:A,EGPro!C:C)</f>
        <v>#N/A</v>
      </c>
    </row>
    <row r="125" spans="1:17" x14ac:dyDescent="0.45">
      <c r="A125" s="3">
        <f>配列!B125</f>
        <v>0</v>
      </c>
      <c r="B125" s="3" t="e">
        <f>_xlfn.XLOOKUP(A125,対応表!A:A,対応表!B:B)</f>
        <v>#N/A</v>
      </c>
      <c r="C125" s="3">
        <f>配列!C125</f>
        <v>0</v>
      </c>
      <c r="D125" s="3" t="str">
        <f>IF(配列!E125="",RIGHT(配列!D125&amp;配列!E125,4)&amp;"L",RIGHT(配列!D125&amp;配列!E125,5))</f>
        <v>L</v>
      </c>
      <c r="E125" s="3">
        <f t="shared" si="4"/>
        <v>0</v>
      </c>
      <c r="F125" s="3" t="e">
        <f>_xlfn.XLOOKUP(E125,セットアップレポート_紐づけ用!A:A,セットアップレポート_紐づけ用!J:J)</f>
        <v>#N/A</v>
      </c>
      <c r="G125" s="3" t="e">
        <f>_xlfn.XLOOKUP(E125,セットアップレポート_紐づけ用!A:A,セットアップレポート_紐づけ用!V:V)</f>
        <v>#N/A</v>
      </c>
      <c r="H125" s="3">
        <f t="shared" si="7"/>
        <v>-2</v>
      </c>
      <c r="I125" t="str">
        <f>IF(J125=0,"",IF(配列!E125="",マクロ実行!$A$16 &amp;" T"&amp;H125&amp;"-"&amp;RIGHT(配列!D125&amp;配列!E125,2),マクロ実行!$A$16 &amp;" T"&amp;H125&amp;"-"&amp;RIGHT(配列!D125&amp;配列!E125,3)))</f>
        <v/>
      </c>
      <c r="J125">
        <f>配列!F125</f>
        <v>0</v>
      </c>
      <c r="K125" s="2" t="e">
        <f>_xlfn.XLOOKUP(E125,セットアップレポート_紐づけ用!A:A,セットアップレポート_紐づけ用!R:R)</f>
        <v>#N/A</v>
      </c>
      <c r="L125" t="e">
        <f t="shared" si="5"/>
        <v>#N/A</v>
      </c>
      <c r="M125" t="e">
        <f>_xlfn.XLOOKUP(L125,EGPro!A:A,EGPro!D:D)</f>
        <v>#N/A</v>
      </c>
      <c r="N125" t="e">
        <f>_xlfn.XLOOKUP(L125,EGPro!A:A,EGPro!C:C)</f>
        <v>#N/A</v>
      </c>
      <c r="O125" t="e">
        <f t="shared" si="6"/>
        <v>#N/A</v>
      </c>
      <c r="P125" t="e">
        <f>_xlfn.XLOOKUP(O125,EGPro!A:A,EGPro!D:D)</f>
        <v>#N/A</v>
      </c>
      <c r="Q125" t="e">
        <f>_xlfn.XLOOKUP(O125,EGPro!A:A,EGPro!C:C)</f>
        <v>#N/A</v>
      </c>
    </row>
    <row r="126" spans="1:17" x14ac:dyDescent="0.45">
      <c r="A126" s="3">
        <f>配列!B126</f>
        <v>0</v>
      </c>
      <c r="B126" s="3" t="e">
        <f>_xlfn.XLOOKUP(A126,対応表!A:A,対応表!B:B)</f>
        <v>#N/A</v>
      </c>
      <c r="C126" s="3">
        <f>配列!C126</f>
        <v>0</v>
      </c>
      <c r="D126" s="3" t="str">
        <f>IF(配列!E126="",RIGHT(配列!D126&amp;配列!E126,4)&amp;"L",RIGHT(配列!D126&amp;配列!E126,5))</f>
        <v>L</v>
      </c>
      <c r="E126" s="3">
        <f t="shared" si="4"/>
        <v>0</v>
      </c>
      <c r="F126" s="3" t="e">
        <f>_xlfn.XLOOKUP(E126,セットアップレポート_紐づけ用!A:A,セットアップレポート_紐づけ用!J:J)</f>
        <v>#N/A</v>
      </c>
      <c r="G126" s="3" t="e">
        <f>_xlfn.XLOOKUP(E126,セットアップレポート_紐づけ用!A:A,セットアップレポート_紐づけ用!V:V)</f>
        <v>#N/A</v>
      </c>
      <c r="H126" s="3">
        <f t="shared" si="7"/>
        <v>-2</v>
      </c>
      <c r="I126" t="str">
        <f>IF(J126=0,"",IF(配列!E126="",マクロ実行!$A$16 &amp;" T"&amp;H126&amp;"-"&amp;RIGHT(配列!D126&amp;配列!E126,2),マクロ実行!$A$16 &amp;" T"&amp;H126&amp;"-"&amp;RIGHT(配列!D126&amp;配列!E126,3)))</f>
        <v/>
      </c>
      <c r="J126">
        <f>配列!F126</f>
        <v>0</v>
      </c>
      <c r="K126" s="2" t="e">
        <f>_xlfn.XLOOKUP(E126,セットアップレポート_紐づけ用!A:A,セットアップレポート_紐づけ用!R:R)</f>
        <v>#N/A</v>
      </c>
      <c r="L126" t="e">
        <f t="shared" si="5"/>
        <v>#N/A</v>
      </c>
      <c r="M126" t="e">
        <f>_xlfn.XLOOKUP(L126,EGPro!A:A,EGPro!D:D)</f>
        <v>#N/A</v>
      </c>
      <c r="N126" t="e">
        <f>_xlfn.XLOOKUP(L126,EGPro!A:A,EGPro!C:C)</f>
        <v>#N/A</v>
      </c>
      <c r="O126" t="e">
        <f t="shared" si="6"/>
        <v>#N/A</v>
      </c>
      <c r="P126" t="e">
        <f>_xlfn.XLOOKUP(O126,EGPro!A:A,EGPro!D:D)</f>
        <v>#N/A</v>
      </c>
      <c r="Q126" t="e">
        <f>_xlfn.XLOOKUP(O126,EGPro!A:A,EGPro!C:C)</f>
        <v>#N/A</v>
      </c>
    </row>
    <row r="127" spans="1:17" x14ac:dyDescent="0.45">
      <c r="A127" s="3">
        <f>配列!B127</f>
        <v>0</v>
      </c>
      <c r="B127" s="3" t="e">
        <f>_xlfn.XLOOKUP(A127,対応表!A:A,対応表!B:B)</f>
        <v>#N/A</v>
      </c>
      <c r="C127" s="3">
        <f>配列!C127</f>
        <v>0</v>
      </c>
      <c r="D127" s="3" t="str">
        <f>IF(配列!E127="",RIGHT(配列!D127&amp;配列!E127,4)&amp;"L",RIGHT(配列!D127&amp;配列!E127,5))</f>
        <v>L</v>
      </c>
      <c r="E127" s="3">
        <f t="shared" si="4"/>
        <v>0</v>
      </c>
      <c r="F127" s="3" t="e">
        <f>_xlfn.XLOOKUP(E127,セットアップレポート_紐づけ用!A:A,セットアップレポート_紐づけ用!J:J)</f>
        <v>#N/A</v>
      </c>
      <c r="G127" s="3" t="e">
        <f>_xlfn.XLOOKUP(E127,セットアップレポート_紐づけ用!A:A,セットアップレポート_紐づけ用!V:V)</f>
        <v>#N/A</v>
      </c>
      <c r="H127" s="3">
        <f t="shared" si="7"/>
        <v>-2</v>
      </c>
      <c r="I127" t="str">
        <f>IF(J127=0,"",IF(配列!E127="",マクロ実行!$A$16 &amp;" T"&amp;H127&amp;"-"&amp;RIGHT(配列!D127&amp;配列!E127,2),マクロ実行!$A$16 &amp;" T"&amp;H127&amp;"-"&amp;RIGHT(配列!D127&amp;配列!E127,3)))</f>
        <v/>
      </c>
      <c r="J127">
        <f>配列!F127</f>
        <v>0</v>
      </c>
      <c r="K127" s="2" t="e">
        <f>_xlfn.XLOOKUP(E127,セットアップレポート_紐づけ用!A:A,セットアップレポート_紐づけ用!R:R)</f>
        <v>#N/A</v>
      </c>
      <c r="L127" t="e">
        <f t="shared" si="5"/>
        <v>#N/A</v>
      </c>
      <c r="M127" t="e">
        <f>_xlfn.XLOOKUP(L127,EGPro!A:A,EGPro!D:D)</f>
        <v>#N/A</v>
      </c>
      <c r="N127" t="e">
        <f>_xlfn.XLOOKUP(L127,EGPro!A:A,EGPro!C:C)</f>
        <v>#N/A</v>
      </c>
      <c r="O127" t="e">
        <f t="shared" si="6"/>
        <v>#N/A</v>
      </c>
      <c r="P127" t="e">
        <f>_xlfn.XLOOKUP(O127,EGPro!A:A,EGPro!D:D)</f>
        <v>#N/A</v>
      </c>
      <c r="Q127" t="e">
        <f>_xlfn.XLOOKUP(O127,EGPro!A:A,EGPro!C:C)</f>
        <v>#N/A</v>
      </c>
    </row>
    <row r="128" spans="1:17" x14ac:dyDescent="0.45">
      <c r="A128" s="3">
        <f>配列!B128</f>
        <v>0</v>
      </c>
      <c r="B128" s="3" t="e">
        <f>_xlfn.XLOOKUP(A128,対応表!A:A,対応表!B:B)</f>
        <v>#N/A</v>
      </c>
      <c r="C128" s="3">
        <f>配列!C128</f>
        <v>0</v>
      </c>
      <c r="D128" s="3" t="str">
        <f>IF(配列!E128="",RIGHT(配列!D128&amp;配列!E128,4)&amp;"L",RIGHT(配列!D128&amp;配列!E128,5))</f>
        <v>L</v>
      </c>
      <c r="E128" s="3">
        <f t="shared" si="4"/>
        <v>0</v>
      </c>
      <c r="F128" s="3" t="e">
        <f>_xlfn.XLOOKUP(E128,セットアップレポート_紐づけ用!A:A,セットアップレポート_紐づけ用!J:J)</f>
        <v>#N/A</v>
      </c>
      <c r="G128" s="3" t="e">
        <f>_xlfn.XLOOKUP(E128,セットアップレポート_紐づけ用!A:A,セットアップレポート_紐づけ用!V:V)</f>
        <v>#N/A</v>
      </c>
      <c r="H128" s="3">
        <f t="shared" si="7"/>
        <v>-2</v>
      </c>
      <c r="I128" t="str">
        <f>IF(J128=0,"",IF(配列!E128="",マクロ実行!$A$16 &amp;" T"&amp;H128&amp;"-"&amp;RIGHT(配列!D128&amp;配列!E128,2),マクロ実行!$A$16 &amp;" T"&amp;H128&amp;"-"&amp;RIGHT(配列!D128&amp;配列!E128,3)))</f>
        <v/>
      </c>
      <c r="J128">
        <f>配列!F128</f>
        <v>0</v>
      </c>
      <c r="K128" s="2" t="e">
        <f>_xlfn.XLOOKUP(E128,セットアップレポート_紐づけ用!A:A,セットアップレポート_紐づけ用!R:R)</f>
        <v>#N/A</v>
      </c>
      <c r="L128" t="e">
        <f t="shared" si="5"/>
        <v>#N/A</v>
      </c>
      <c r="M128" t="e">
        <f>_xlfn.XLOOKUP(L128,EGPro!A:A,EGPro!D:D)</f>
        <v>#N/A</v>
      </c>
      <c r="N128" t="e">
        <f>_xlfn.XLOOKUP(L128,EGPro!A:A,EGPro!C:C)</f>
        <v>#N/A</v>
      </c>
      <c r="O128" t="e">
        <f t="shared" si="6"/>
        <v>#N/A</v>
      </c>
      <c r="P128" t="e">
        <f>_xlfn.XLOOKUP(O128,EGPro!A:A,EGPro!D:D)</f>
        <v>#N/A</v>
      </c>
      <c r="Q128" t="e">
        <f>_xlfn.XLOOKUP(O128,EGPro!A:A,EGPro!C:C)</f>
        <v>#N/A</v>
      </c>
    </row>
    <row r="129" spans="1:17" x14ac:dyDescent="0.45">
      <c r="A129" s="3">
        <f>配列!B129</f>
        <v>0</v>
      </c>
      <c r="B129" s="3" t="e">
        <f>_xlfn.XLOOKUP(A129,対応表!A:A,対応表!B:B)</f>
        <v>#N/A</v>
      </c>
      <c r="C129" s="3">
        <f>配列!C129</f>
        <v>0</v>
      </c>
      <c r="D129" s="3" t="str">
        <f>IF(配列!E129="",RIGHT(配列!D129&amp;配列!E129,4)&amp;"L",RIGHT(配列!D129&amp;配列!E129,5))</f>
        <v>L</v>
      </c>
      <c r="E129" s="3">
        <f t="shared" si="4"/>
        <v>0</v>
      </c>
      <c r="F129" s="3" t="e">
        <f>_xlfn.XLOOKUP(E129,セットアップレポート_紐づけ用!A:A,セットアップレポート_紐づけ用!J:J)</f>
        <v>#N/A</v>
      </c>
      <c r="G129" s="3" t="e">
        <f>_xlfn.XLOOKUP(E129,セットアップレポート_紐づけ用!A:A,セットアップレポート_紐づけ用!V:V)</f>
        <v>#N/A</v>
      </c>
      <c r="H129" s="3">
        <f t="shared" si="7"/>
        <v>-2</v>
      </c>
      <c r="I129" t="str">
        <f>IF(J129=0,"",IF(配列!E129="",マクロ実行!$A$16 &amp;" T"&amp;H129&amp;"-"&amp;RIGHT(配列!D129&amp;配列!E129,2),マクロ実行!$A$16 &amp;" T"&amp;H129&amp;"-"&amp;RIGHT(配列!D129&amp;配列!E129,3)))</f>
        <v/>
      </c>
      <c r="J129">
        <f>配列!F129</f>
        <v>0</v>
      </c>
      <c r="K129" s="2" t="e">
        <f>_xlfn.XLOOKUP(E129,セットアップレポート_紐づけ用!A:A,セットアップレポート_紐づけ用!R:R)</f>
        <v>#N/A</v>
      </c>
      <c r="L129" t="e">
        <f t="shared" si="5"/>
        <v>#N/A</v>
      </c>
      <c r="M129" t="e">
        <f>_xlfn.XLOOKUP(L129,EGPro!A:A,EGPro!D:D)</f>
        <v>#N/A</v>
      </c>
      <c r="N129" t="e">
        <f>_xlfn.XLOOKUP(L129,EGPro!A:A,EGPro!C:C)</f>
        <v>#N/A</v>
      </c>
      <c r="O129" t="e">
        <f t="shared" si="6"/>
        <v>#N/A</v>
      </c>
      <c r="P129" t="e">
        <f>_xlfn.XLOOKUP(O129,EGPro!A:A,EGPro!D:D)</f>
        <v>#N/A</v>
      </c>
      <c r="Q129" t="e">
        <f>_xlfn.XLOOKUP(O129,EGPro!A:A,EGPro!C:C)</f>
        <v>#N/A</v>
      </c>
    </row>
    <row r="130" spans="1:17" x14ac:dyDescent="0.45">
      <c r="A130" s="3">
        <f>配列!B130</f>
        <v>0</v>
      </c>
      <c r="B130" s="3" t="e">
        <f>_xlfn.XLOOKUP(A130,対応表!A:A,対応表!B:B)</f>
        <v>#N/A</v>
      </c>
      <c r="C130" s="3">
        <f>配列!C130</f>
        <v>0</v>
      </c>
      <c r="D130" s="3" t="str">
        <f>IF(配列!E130="",RIGHT(配列!D130&amp;配列!E130,4)&amp;"L",RIGHT(配列!D130&amp;配列!E130,5))</f>
        <v>L</v>
      </c>
      <c r="E130" s="3">
        <f t="shared" ref="E130:E193" si="8">IF(J130=0,,B130&amp;D130&amp;J130)</f>
        <v>0</v>
      </c>
      <c r="F130" s="3" t="e">
        <f>_xlfn.XLOOKUP(E130,セットアップレポート_紐づけ用!A:A,セットアップレポート_紐づけ用!J:J)</f>
        <v>#N/A</v>
      </c>
      <c r="G130" s="3" t="e">
        <f>_xlfn.XLOOKUP(E130,セットアップレポート_紐づけ用!A:A,セットアップレポート_紐づけ用!V:V)</f>
        <v>#N/A</v>
      </c>
      <c r="H130" s="3">
        <f t="shared" si="7"/>
        <v>-2</v>
      </c>
      <c r="I130" t="str">
        <f>IF(J130=0,"",IF(配列!E130="",マクロ実行!$A$16 &amp;" T"&amp;H130&amp;"-"&amp;RIGHT(配列!D130&amp;配列!E130,2),マクロ実行!$A$16 &amp;" T"&amp;H130&amp;"-"&amp;RIGHT(配列!D130&amp;配列!E130,3)))</f>
        <v/>
      </c>
      <c r="J130">
        <f>配列!F130</f>
        <v>0</v>
      </c>
      <c r="K130" s="2" t="e">
        <f>_xlfn.XLOOKUP(E130,セットアップレポート_紐づけ用!A:A,セットアップレポート_紐づけ用!R:R)</f>
        <v>#N/A</v>
      </c>
      <c r="L130" t="e">
        <f t="shared" ref="L130:L193" si="9">IF(LEN(F130)=13,"    "&amp;F130,F130)</f>
        <v>#N/A</v>
      </c>
      <c r="M130" t="e">
        <f>_xlfn.XLOOKUP(L130,EGPro!A:A,EGPro!D:D)</f>
        <v>#N/A</v>
      </c>
      <c r="N130" t="e">
        <f>_xlfn.XLOOKUP(L130,EGPro!A:A,EGPro!C:C)</f>
        <v>#N/A</v>
      </c>
      <c r="O130" t="e">
        <f t="shared" ref="O130:O193" si="10">IF(LEN(G130)=13,"    "&amp;G130,G130)</f>
        <v>#N/A</v>
      </c>
      <c r="P130" t="e">
        <f>_xlfn.XLOOKUP(O130,EGPro!A:A,EGPro!D:D)</f>
        <v>#N/A</v>
      </c>
      <c r="Q130" t="e">
        <f>_xlfn.XLOOKUP(O130,EGPro!A:A,EGPro!C:C)</f>
        <v>#N/A</v>
      </c>
    </row>
    <row r="131" spans="1:17" x14ac:dyDescent="0.45">
      <c r="A131" s="3">
        <f>配列!B131</f>
        <v>0</v>
      </c>
      <c r="B131" s="3" t="e">
        <f>_xlfn.XLOOKUP(A131,対応表!A:A,対応表!B:B)</f>
        <v>#N/A</v>
      </c>
      <c r="C131" s="3">
        <f>配列!C131</f>
        <v>0</v>
      </c>
      <c r="D131" s="3" t="str">
        <f>IF(配列!E131="",RIGHT(配列!D131&amp;配列!E131,4)&amp;"L",RIGHT(配列!D131&amp;配列!E131,5))</f>
        <v>L</v>
      </c>
      <c r="E131" s="3">
        <f t="shared" si="8"/>
        <v>0</v>
      </c>
      <c r="F131" s="3" t="e">
        <f>_xlfn.XLOOKUP(E131,セットアップレポート_紐づけ用!A:A,セットアップレポート_紐づけ用!J:J)</f>
        <v>#N/A</v>
      </c>
      <c r="G131" s="3" t="e">
        <f>_xlfn.XLOOKUP(E131,セットアップレポート_紐づけ用!A:A,セットアップレポート_紐づけ用!V:V)</f>
        <v>#N/A</v>
      </c>
      <c r="H131" s="3">
        <f t="shared" ref="H131:H194" si="11">2*RIGHT(A131,1)-2+C131</f>
        <v>-2</v>
      </c>
      <c r="I131" t="str">
        <f>IF(J131=0,"",IF(配列!E131="",マクロ実行!$A$16 &amp;" T"&amp;H131&amp;"-"&amp;RIGHT(配列!D131&amp;配列!E131,2),マクロ実行!$A$16 &amp;" T"&amp;H131&amp;"-"&amp;RIGHT(配列!D131&amp;配列!E131,3)))</f>
        <v/>
      </c>
      <c r="J131">
        <f>配列!F131</f>
        <v>0</v>
      </c>
      <c r="K131" s="2" t="e">
        <f>_xlfn.XLOOKUP(E131,セットアップレポート_紐づけ用!A:A,セットアップレポート_紐づけ用!R:R)</f>
        <v>#N/A</v>
      </c>
      <c r="L131" t="e">
        <f t="shared" si="9"/>
        <v>#N/A</v>
      </c>
      <c r="M131" t="e">
        <f>_xlfn.XLOOKUP(L131,EGPro!A:A,EGPro!D:D)</f>
        <v>#N/A</v>
      </c>
      <c r="N131" t="e">
        <f>_xlfn.XLOOKUP(L131,EGPro!A:A,EGPro!C:C)</f>
        <v>#N/A</v>
      </c>
      <c r="O131" t="e">
        <f t="shared" si="10"/>
        <v>#N/A</v>
      </c>
      <c r="P131" t="e">
        <f>_xlfn.XLOOKUP(O131,EGPro!A:A,EGPro!D:D)</f>
        <v>#N/A</v>
      </c>
      <c r="Q131" t="e">
        <f>_xlfn.XLOOKUP(O131,EGPro!A:A,EGPro!C:C)</f>
        <v>#N/A</v>
      </c>
    </row>
    <row r="132" spans="1:17" x14ac:dyDescent="0.45">
      <c r="A132" s="3">
        <f>配列!B132</f>
        <v>0</v>
      </c>
      <c r="B132" s="3" t="e">
        <f>_xlfn.XLOOKUP(A132,対応表!A:A,対応表!B:B)</f>
        <v>#N/A</v>
      </c>
      <c r="C132" s="3">
        <f>配列!C132</f>
        <v>0</v>
      </c>
      <c r="D132" s="3" t="str">
        <f>IF(配列!E132="",RIGHT(配列!D132&amp;配列!E132,4)&amp;"L",RIGHT(配列!D132&amp;配列!E132,5))</f>
        <v>L</v>
      </c>
      <c r="E132" s="3">
        <f t="shared" si="8"/>
        <v>0</v>
      </c>
      <c r="F132" s="3" t="e">
        <f>_xlfn.XLOOKUP(E132,セットアップレポート_紐づけ用!A:A,セットアップレポート_紐づけ用!J:J)</f>
        <v>#N/A</v>
      </c>
      <c r="G132" s="3" t="e">
        <f>_xlfn.XLOOKUP(E132,セットアップレポート_紐づけ用!A:A,セットアップレポート_紐づけ用!V:V)</f>
        <v>#N/A</v>
      </c>
      <c r="H132" s="3">
        <f t="shared" si="11"/>
        <v>-2</v>
      </c>
      <c r="I132" t="str">
        <f>IF(J132=0,"",IF(配列!E132="",マクロ実行!$A$16 &amp;" T"&amp;H132&amp;"-"&amp;RIGHT(配列!D132&amp;配列!E132,2),マクロ実行!$A$16 &amp;" T"&amp;H132&amp;"-"&amp;RIGHT(配列!D132&amp;配列!E132,3)))</f>
        <v/>
      </c>
      <c r="J132">
        <f>配列!F132</f>
        <v>0</v>
      </c>
      <c r="K132" s="2" t="e">
        <f>_xlfn.XLOOKUP(E132,セットアップレポート_紐づけ用!A:A,セットアップレポート_紐づけ用!R:R)</f>
        <v>#N/A</v>
      </c>
      <c r="L132" t="e">
        <f t="shared" si="9"/>
        <v>#N/A</v>
      </c>
      <c r="M132" t="e">
        <f>_xlfn.XLOOKUP(L132,EGPro!A:A,EGPro!D:D)</f>
        <v>#N/A</v>
      </c>
      <c r="N132" t="e">
        <f>_xlfn.XLOOKUP(L132,EGPro!A:A,EGPro!C:C)</f>
        <v>#N/A</v>
      </c>
      <c r="O132" t="e">
        <f t="shared" si="10"/>
        <v>#N/A</v>
      </c>
      <c r="P132" t="e">
        <f>_xlfn.XLOOKUP(O132,EGPro!A:A,EGPro!D:D)</f>
        <v>#N/A</v>
      </c>
      <c r="Q132" t="e">
        <f>_xlfn.XLOOKUP(O132,EGPro!A:A,EGPro!C:C)</f>
        <v>#N/A</v>
      </c>
    </row>
    <row r="133" spans="1:17" x14ac:dyDescent="0.45">
      <c r="A133" s="3">
        <f>配列!B133</f>
        <v>0</v>
      </c>
      <c r="B133" s="3" t="e">
        <f>_xlfn.XLOOKUP(A133,対応表!A:A,対応表!B:B)</f>
        <v>#N/A</v>
      </c>
      <c r="C133" s="3">
        <f>配列!C133</f>
        <v>0</v>
      </c>
      <c r="D133" s="3" t="str">
        <f>IF(配列!E133="",RIGHT(配列!D133&amp;配列!E133,4)&amp;"L",RIGHT(配列!D133&amp;配列!E133,5))</f>
        <v>L</v>
      </c>
      <c r="E133" s="3">
        <f t="shared" si="8"/>
        <v>0</v>
      </c>
      <c r="F133" s="3" t="e">
        <f>_xlfn.XLOOKUP(E133,セットアップレポート_紐づけ用!A:A,セットアップレポート_紐づけ用!J:J)</f>
        <v>#N/A</v>
      </c>
      <c r="G133" s="3" t="e">
        <f>_xlfn.XLOOKUP(E133,セットアップレポート_紐づけ用!A:A,セットアップレポート_紐づけ用!V:V)</f>
        <v>#N/A</v>
      </c>
      <c r="H133" s="3">
        <f t="shared" si="11"/>
        <v>-2</v>
      </c>
      <c r="I133" t="str">
        <f>IF(J133=0,"",IF(配列!E133="",マクロ実行!$A$16 &amp;" T"&amp;H133&amp;"-"&amp;RIGHT(配列!D133&amp;配列!E133,2),マクロ実行!$A$16 &amp;" T"&amp;H133&amp;"-"&amp;RIGHT(配列!D133&amp;配列!E133,3)))</f>
        <v/>
      </c>
      <c r="J133">
        <f>配列!F133</f>
        <v>0</v>
      </c>
      <c r="K133" s="2" t="e">
        <f>_xlfn.XLOOKUP(E133,セットアップレポート_紐づけ用!A:A,セットアップレポート_紐づけ用!R:R)</f>
        <v>#N/A</v>
      </c>
      <c r="L133" t="e">
        <f t="shared" si="9"/>
        <v>#N/A</v>
      </c>
      <c r="M133" t="e">
        <f>_xlfn.XLOOKUP(L133,EGPro!A:A,EGPro!D:D)</f>
        <v>#N/A</v>
      </c>
      <c r="N133" t="e">
        <f>_xlfn.XLOOKUP(L133,EGPro!A:A,EGPro!C:C)</f>
        <v>#N/A</v>
      </c>
      <c r="O133" t="e">
        <f t="shared" si="10"/>
        <v>#N/A</v>
      </c>
      <c r="P133" t="e">
        <f>_xlfn.XLOOKUP(O133,EGPro!A:A,EGPro!D:D)</f>
        <v>#N/A</v>
      </c>
      <c r="Q133" t="e">
        <f>_xlfn.XLOOKUP(O133,EGPro!A:A,EGPro!C:C)</f>
        <v>#N/A</v>
      </c>
    </row>
    <row r="134" spans="1:17" x14ac:dyDescent="0.45">
      <c r="A134" s="3">
        <f>配列!B134</f>
        <v>0</v>
      </c>
      <c r="B134" s="3" t="e">
        <f>_xlfn.XLOOKUP(A134,対応表!A:A,対応表!B:B)</f>
        <v>#N/A</v>
      </c>
      <c r="C134" s="3">
        <f>配列!C134</f>
        <v>0</v>
      </c>
      <c r="D134" s="3" t="str">
        <f>IF(配列!E134="",RIGHT(配列!D134&amp;配列!E134,4)&amp;"L",RIGHT(配列!D134&amp;配列!E134,5))</f>
        <v>L</v>
      </c>
      <c r="E134" s="3">
        <f t="shared" si="8"/>
        <v>0</v>
      </c>
      <c r="F134" s="3" t="e">
        <f>_xlfn.XLOOKUP(E134,セットアップレポート_紐づけ用!A:A,セットアップレポート_紐づけ用!J:J)</f>
        <v>#N/A</v>
      </c>
      <c r="G134" s="3" t="e">
        <f>_xlfn.XLOOKUP(E134,セットアップレポート_紐づけ用!A:A,セットアップレポート_紐づけ用!V:V)</f>
        <v>#N/A</v>
      </c>
      <c r="H134" s="3">
        <f t="shared" si="11"/>
        <v>-2</v>
      </c>
      <c r="I134" t="str">
        <f>IF(J134=0,"",IF(配列!E134="",マクロ実行!$A$16 &amp;" T"&amp;H134&amp;"-"&amp;RIGHT(配列!D134&amp;配列!E134,2),マクロ実行!$A$16 &amp;" T"&amp;H134&amp;"-"&amp;RIGHT(配列!D134&amp;配列!E134,3)))</f>
        <v/>
      </c>
      <c r="J134">
        <f>配列!F134</f>
        <v>0</v>
      </c>
      <c r="K134" s="2" t="e">
        <f>_xlfn.XLOOKUP(E134,セットアップレポート_紐づけ用!A:A,セットアップレポート_紐づけ用!R:R)</f>
        <v>#N/A</v>
      </c>
      <c r="L134" t="e">
        <f t="shared" si="9"/>
        <v>#N/A</v>
      </c>
      <c r="M134" t="e">
        <f>_xlfn.XLOOKUP(L134,EGPro!A:A,EGPro!D:D)</f>
        <v>#N/A</v>
      </c>
      <c r="N134" t="e">
        <f>_xlfn.XLOOKUP(L134,EGPro!A:A,EGPro!C:C)</f>
        <v>#N/A</v>
      </c>
      <c r="O134" t="e">
        <f t="shared" si="10"/>
        <v>#N/A</v>
      </c>
      <c r="P134" t="e">
        <f>_xlfn.XLOOKUP(O134,EGPro!A:A,EGPro!D:D)</f>
        <v>#N/A</v>
      </c>
      <c r="Q134" t="e">
        <f>_xlfn.XLOOKUP(O134,EGPro!A:A,EGPro!C:C)</f>
        <v>#N/A</v>
      </c>
    </row>
    <row r="135" spans="1:17" x14ac:dyDescent="0.45">
      <c r="A135" s="3">
        <f>配列!B135</f>
        <v>0</v>
      </c>
      <c r="B135" s="3" t="e">
        <f>_xlfn.XLOOKUP(A135,対応表!A:A,対応表!B:B)</f>
        <v>#N/A</v>
      </c>
      <c r="C135" s="3">
        <f>配列!C135</f>
        <v>0</v>
      </c>
      <c r="D135" s="3" t="str">
        <f>IF(配列!E135="",RIGHT(配列!D135&amp;配列!E135,4)&amp;"L",RIGHT(配列!D135&amp;配列!E135,5))</f>
        <v>L</v>
      </c>
      <c r="E135" s="3">
        <f t="shared" si="8"/>
        <v>0</v>
      </c>
      <c r="F135" s="3" t="e">
        <f>_xlfn.XLOOKUP(E135,セットアップレポート_紐づけ用!A:A,セットアップレポート_紐づけ用!J:J)</f>
        <v>#N/A</v>
      </c>
      <c r="G135" s="3" t="e">
        <f>_xlfn.XLOOKUP(E135,セットアップレポート_紐づけ用!A:A,セットアップレポート_紐づけ用!V:V)</f>
        <v>#N/A</v>
      </c>
      <c r="H135" s="3">
        <f t="shared" si="11"/>
        <v>-2</v>
      </c>
      <c r="I135" t="str">
        <f>IF(J135=0,"",IF(配列!E135="",マクロ実行!$A$16 &amp;" T"&amp;H135&amp;"-"&amp;RIGHT(配列!D135&amp;配列!E135,2),マクロ実行!$A$16 &amp;" T"&amp;H135&amp;"-"&amp;RIGHT(配列!D135&amp;配列!E135,3)))</f>
        <v/>
      </c>
      <c r="J135">
        <f>配列!F135</f>
        <v>0</v>
      </c>
      <c r="K135" s="2" t="e">
        <f>_xlfn.XLOOKUP(E135,セットアップレポート_紐づけ用!A:A,セットアップレポート_紐づけ用!R:R)</f>
        <v>#N/A</v>
      </c>
      <c r="L135" t="e">
        <f t="shared" si="9"/>
        <v>#N/A</v>
      </c>
      <c r="M135" t="e">
        <f>_xlfn.XLOOKUP(L135,EGPro!A:A,EGPro!D:D)</f>
        <v>#N/A</v>
      </c>
      <c r="N135" t="e">
        <f>_xlfn.XLOOKUP(L135,EGPro!A:A,EGPro!C:C)</f>
        <v>#N/A</v>
      </c>
      <c r="O135" t="e">
        <f t="shared" si="10"/>
        <v>#N/A</v>
      </c>
      <c r="P135" t="e">
        <f>_xlfn.XLOOKUP(O135,EGPro!A:A,EGPro!D:D)</f>
        <v>#N/A</v>
      </c>
      <c r="Q135" t="e">
        <f>_xlfn.XLOOKUP(O135,EGPro!A:A,EGPro!C:C)</f>
        <v>#N/A</v>
      </c>
    </row>
    <row r="136" spans="1:17" x14ac:dyDescent="0.45">
      <c r="A136" s="3">
        <f>配列!B136</f>
        <v>0</v>
      </c>
      <c r="B136" s="3" t="e">
        <f>_xlfn.XLOOKUP(A136,対応表!A:A,対応表!B:B)</f>
        <v>#N/A</v>
      </c>
      <c r="C136" s="3">
        <f>配列!C136</f>
        <v>0</v>
      </c>
      <c r="D136" s="3" t="str">
        <f>IF(配列!E136="",RIGHT(配列!D136&amp;配列!E136,4)&amp;"L",RIGHT(配列!D136&amp;配列!E136,5))</f>
        <v>L</v>
      </c>
      <c r="E136" s="3">
        <f t="shared" si="8"/>
        <v>0</v>
      </c>
      <c r="F136" s="3" t="e">
        <f>_xlfn.XLOOKUP(E136,セットアップレポート_紐づけ用!A:A,セットアップレポート_紐づけ用!J:J)</f>
        <v>#N/A</v>
      </c>
      <c r="G136" s="3" t="e">
        <f>_xlfn.XLOOKUP(E136,セットアップレポート_紐づけ用!A:A,セットアップレポート_紐づけ用!V:V)</f>
        <v>#N/A</v>
      </c>
      <c r="H136" s="3">
        <f t="shared" si="11"/>
        <v>-2</v>
      </c>
      <c r="I136" t="str">
        <f>IF(J136=0,"",IF(配列!E136="",マクロ実行!$A$16 &amp;" T"&amp;H136&amp;"-"&amp;RIGHT(配列!D136&amp;配列!E136,2),マクロ実行!$A$16 &amp;" T"&amp;H136&amp;"-"&amp;RIGHT(配列!D136&amp;配列!E136,3)))</f>
        <v/>
      </c>
      <c r="J136">
        <f>配列!F136</f>
        <v>0</v>
      </c>
      <c r="K136" s="2" t="e">
        <f>_xlfn.XLOOKUP(E136,セットアップレポート_紐づけ用!A:A,セットアップレポート_紐づけ用!R:R)</f>
        <v>#N/A</v>
      </c>
      <c r="L136" t="e">
        <f t="shared" si="9"/>
        <v>#N/A</v>
      </c>
      <c r="M136" t="e">
        <f>_xlfn.XLOOKUP(L136,EGPro!A:A,EGPro!D:D)</f>
        <v>#N/A</v>
      </c>
      <c r="N136" t="e">
        <f>_xlfn.XLOOKUP(L136,EGPro!A:A,EGPro!C:C)</f>
        <v>#N/A</v>
      </c>
      <c r="O136" t="e">
        <f t="shared" si="10"/>
        <v>#N/A</v>
      </c>
      <c r="P136" t="e">
        <f>_xlfn.XLOOKUP(O136,EGPro!A:A,EGPro!D:D)</f>
        <v>#N/A</v>
      </c>
      <c r="Q136" t="e">
        <f>_xlfn.XLOOKUP(O136,EGPro!A:A,EGPro!C:C)</f>
        <v>#N/A</v>
      </c>
    </row>
    <row r="137" spans="1:17" x14ac:dyDescent="0.45">
      <c r="A137" s="3">
        <f>配列!B137</f>
        <v>0</v>
      </c>
      <c r="B137" s="3" t="e">
        <f>_xlfn.XLOOKUP(A137,対応表!A:A,対応表!B:B)</f>
        <v>#N/A</v>
      </c>
      <c r="C137" s="3">
        <f>配列!C137</f>
        <v>0</v>
      </c>
      <c r="D137" s="3" t="str">
        <f>IF(配列!E137="",RIGHT(配列!D137&amp;配列!E137,4)&amp;"L",RIGHT(配列!D137&amp;配列!E137,5))</f>
        <v>L</v>
      </c>
      <c r="E137" s="3">
        <f t="shared" si="8"/>
        <v>0</v>
      </c>
      <c r="F137" s="3" t="e">
        <f>_xlfn.XLOOKUP(E137,セットアップレポート_紐づけ用!A:A,セットアップレポート_紐づけ用!J:J)</f>
        <v>#N/A</v>
      </c>
      <c r="G137" s="3" t="e">
        <f>_xlfn.XLOOKUP(E137,セットアップレポート_紐づけ用!A:A,セットアップレポート_紐づけ用!V:V)</f>
        <v>#N/A</v>
      </c>
      <c r="H137" s="3">
        <f t="shared" si="11"/>
        <v>-2</v>
      </c>
      <c r="I137" t="str">
        <f>IF(J137=0,"",IF(配列!E137="",マクロ実行!$A$16 &amp;" T"&amp;H137&amp;"-"&amp;RIGHT(配列!D137&amp;配列!E137,2),マクロ実行!$A$16 &amp;" T"&amp;H137&amp;"-"&amp;RIGHT(配列!D137&amp;配列!E137,3)))</f>
        <v/>
      </c>
      <c r="J137">
        <f>配列!F137</f>
        <v>0</v>
      </c>
      <c r="K137" s="2" t="e">
        <f>_xlfn.XLOOKUP(E137,セットアップレポート_紐づけ用!A:A,セットアップレポート_紐づけ用!R:R)</f>
        <v>#N/A</v>
      </c>
      <c r="L137" t="e">
        <f t="shared" si="9"/>
        <v>#N/A</v>
      </c>
      <c r="M137" t="e">
        <f>_xlfn.XLOOKUP(L137,EGPro!A:A,EGPro!D:D)</f>
        <v>#N/A</v>
      </c>
      <c r="N137" t="e">
        <f>_xlfn.XLOOKUP(L137,EGPro!A:A,EGPro!C:C)</f>
        <v>#N/A</v>
      </c>
      <c r="O137" t="e">
        <f t="shared" si="10"/>
        <v>#N/A</v>
      </c>
      <c r="P137" t="e">
        <f>_xlfn.XLOOKUP(O137,EGPro!A:A,EGPro!D:D)</f>
        <v>#N/A</v>
      </c>
      <c r="Q137" t="e">
        <f>_xlfn.XLOOKUP(O137,EGPro!A:A,EGPro!C:C)</f>
        <v>#N/A</v>
      </c>
    </row>
    <row r="138" spans="1:17" x14ac:dyDescent="0.45">
      <c r="A138" s="3">
        <f>配列!B138</f>
        <v>0</v>
      </c>
      <c r="B138" s="3" t="e">
        <f>_xlfn.XLOOKUP(A138,対応表!A:A,対応表!B:B)</f>
        <v>#N/A</v>
      </c>
      <c r="C138" s="3">
        <f>配列!C138</f>
        <v>0</v>
      </c>
      <c r="D138" s="3" t="str">
        <f>IF(配列!E138="",RIGHT(配列!D138&amp;配列!E138,4)&amp;"L",RIGHT(配列!D138&amp;配列!E138,5))</f>
        <v>L</v>
      </c>
      <c r="E138" s="3">
        <f t="shared" si="8"/>
        <v>0</v>
      </c>
      <c r="F138" s="3" t="e">
        <f>_xlfn.XLOOKUP(E138,セットアップレポート_紐づけ用!A:A,セットアップレポート_紐づけ用!J:J)</f>
        <v>#N/A</v>
      </c>
      <c r="G138" s="3" t="e">
        <f>_xlfn.XLOOKUP(E138,セットアップレポート_紐づけ用!A:A,セットアップレポート_紐づけ用!V:V)</f>
        <v>#N/A</v>
      </c>
      <c r="H138" s="3">
        <f t="shared" si="11"/>
        <v>-2</v>
      </c>
      <c r="I138" t="str">
        <f>IF(J138=0,"",IF(配列!E138="",マクロ実行!$A$16 &amp;" T"&amp;H138&amp;"-"&amp;RIGHT(配列!D138&amp;配列!E138,2),マクロ実行!$A$16 &amp;" T"&amp;H138&amp;"-"&amp;RIGHT(配列!D138&amp;配列!E138,3)))</f>
        <v/>
      </c>
      <c r="J138">
        <f>配列!F138</f>
        <v>0</v>
      </c>
      <c r="K138" s="2" t="e">
        <f>_xlfn.XLOOKUP(E138,セットアップレポート_紐づけ用!A:A,セットアップレポート_紐づけ用!R:R)</f>
        <v>#N/A</v>
      </c>
      <c r="L138" t="e">
        <f t="shared" si="9"/>
        <v>#N/A</v>
      </c>
      <c r="M138" t="e">
        <f>_xlfn.XLOOKUP(L138,EGPro!A:A,EGPro!D:D)</f>
        <v>#N/A</v>
      </c>
      <c r="N138" t="e">
        <f>_xlfn.XLOOKUP(L138,EGPro!A:A,EGPro!C:C)</f>
        <v>#N/A</v>
      </c>
      <c r="O138" t="e">
        <f t="shared" si="10"/>
        <v>#N/A</v>
      </c>
      <c r="P138" t="e">
        <f>_xlfn.XLOOKUP(O138,EGPro!A:A,EGPro!D:D)</f>
        <v>#N/A</v>
      </c>
      <c r="Q138" t="e">
        <f>_xlfn.XLOOKUP(O138,EGPro!A:A,EGPro!C:C)</f>
        <v>#N/A</v>
      </c>
    </row>
    <row r="139" spans="1:17" x14ac:dyDescent="0.45">
      <c r="A139" s="3">
        <f>配列!B139</f>
        <v>0</v>
      </c>
      <c r="B139" s="3" t="e">
        <f>_xlfn.XLOOKUP(A139,対応表!A:A,対応表!B:B)</f>
        <v>#N/A</v>
      </c>
      <c r="C139" s="3">
        <f>配列!C139</f>
        <v>0</v>
      </c>
      <c r="D139" s="3" t="str">
        <f>IF(配列!E139="",RIGHT(配列!D139&amp;配列!E139,4)&amp;"L",RIGHT(配列!D139&amp;配列!E139,5))</f>
        <v>L</v>
      </c>
      <c r="E139" s="3">
        <f t="shared" si="8"/>
        <v>0</v>
      </c>
      <c r="F139" s="3" t="e">
        <f>_xlfn.XLOOKUP(E139,セットアップレポート_紐づけ用!A:A,セットアップレポート_紐づけ用!J:J)</f>
        <v>#N/A</v>
      </c>
      <c r="G139" s="3" t="e">
        <f>_xlfn.XLOOKUP(E139,セットアップレポート_紐づけ用!A:A,セットアップレポート_紐づけ用!V:V)</f>
        <v>#N/A</v>
      </c>
      <c r="H139" s="3">
        <f t="shared" si="11"/>
        <v>-2</v>
      </c>
      <c r="I139" t="str">
        <f>IF(J139=0,"",IF(配列!E139="",マクロ実行!$A$16 &amp;" T"&amp;H139&amp;"-"&amp;RIGHT(配列!D139&amp;配列!E139,2),マクロ実行!$A$16 &amp;" T"&amp;H139&amp;"-"&amp;RIGHT(配列!D139&amp;配列!E139,3)))</f>
        <v/>
      </c>
      <c r="J139">
        <f>配列!F139</f>
        <v>0</v>
      </c>
      <c r="K139" s="2" t="e">
        <f>_xlfn.XLOOKUP(E139,セットアップレポート_紐づけ用!A:A,セットアップレポート_紐づけ用!R:R)</f>
        <v>#N/A</v>
      </c>
      <c r="L139" t="e">
        <f t="shared" si="9"/>
        <v>#N/A</v>
      </c>
      <c r="M139" t="e">
        <f>_xlfn.XLOOKUP(L139,EGPro!A:A,EGPro!D:D)</f>
        <v>#N/A</v>
      </c>
      <c r="N139" t="e">
        <f>_xlfn.XLOOKUP(L139,EGPro!A:A,EGPro!C:C)</f>
        <v>#N/A</v>
      </c>
      <c r="O139" t="e">
        <f t="shared" si="10"/>
        <v>#N/A</v>
      </c>
      <c r="P139" t="e">
        <f>_xlfn.XLOOKUP(O139,EGPro!A:A,EGPro!D:D)</f>
        <v>#N/A</v>
      </c>
      <c r="Q139" t="e">
        <f>_xlfn.XLOOKUP(O139,EGPro!A:A,EGPro!C:C)</f>
        <v>#N/A</v>
      </c>
    </row>
    <row r="140" spans="1:17" x14ac:dyDescent="0.45">
      <c r="A140" s="3">
        <f>配列!B140</f>
        <v>0</v>
      </c>
      <c r="B140" s="3" t="e">
        <f>_xlfn.XLOOKUP(A140,対応表!A:A,対応表!B:B)</f>
        <v>#N/A</v>
      </c>
      <c r="C140" s="3">
        <f>配列!C140</f>
        <v>0</v>
      </c>
      <c r="D140" s="3" t="str">
        <f>IF(配列!E140="",RIGHT(配列!D140&amp;配列!E140,4)&amp;"L",RIGHT(配列!D140&amp;配列!E140,5))</f>
        <v>L</v>
      </c>
      <c r="E140" s="3">
        <f t="shared" si="8"/>
        <v>0</v>
      </c>
      <c r="F140" s="3" t="e">
        <f>_xlfn.XLOOKUP(E140,セットアップレポート_紐づけ用!A:A,セットアップレポート_紐づけ用!J:J)</f>
        <v>#N/A</v>
      </c>
      <c r="G140" s="3" t="e">
        <f>_xlfn.XLOOKUP(E140,セットアップレポート_紐づけ用!A:A,セットアップレポート_紐づけ用!V:V)</f>
        <v>#N/A</v>
      </c>
      <c r="H140" s="3">
        <f t="shared" si="11"/>
        <v>-2</v>
      </c>
      <c r="I140" t="str">
        <f>IF(J140=0,"",IF(配列!E140="",マクロ実行!$A$16 &amp;" T"&amp;H140&amp;"-"&amp;RIGHT(配列!D140&amp;配列!E140,2),マクロ実行!$A$16 &amp;" T"&amp;H140&amp;"-"&amp;RIGHT(配列!D140&amp;配列!E140,3)))</f>
        <v/>
      </c>
      <c r="J140">
        <f>配列!F140</f>
        <v>0</v>
      </c>
      <c r="K140" s="2" t="e">
        <f>_xlfn.XLOOKUP(E140,セットアップレポート_紐づけ用!A:A,セットアップレポート_紐づけ用!R:R)</f>
        <v>#N/A</v>
      </c>
      <c r="L140" t="e">
        <f t="shared" si="9"/>
        <v>#N/A</v>
      </c>
      <c r="M140" t="e">
        <f>_xlfn.XLOOKUP(L140,EGPro!A:A,EGPro!D:D)</f>
        <v>#N/A</v>
      </c>
      <c r="N140" t="e">
        <f>_xlfn.XLOOKUP(L140,EGPro!A:A,EGPro!C:C)</f>
        <v>#N/A</v>
      </c>
      <c r="O140" t="e">
        <f t="shared" si="10"/>
        <v>#N/A</v>
      </c>
      <c r="P140" t="e">
        <f>_xlfn.XLOOKUP(O140,EGPro!A:A,EGPro!D:D)</f>
        <v>#N/A</v>
      </c>
      <c r="Q140" t="e">
        <f>_xlfn.XLOOKUP(O140,EGPro!A:A,EGPro!C:C)</f>
        <v>#N/A</v>
      </c>
    </row>
    <row r="141" spans="1:17" x14ac:dyDescent="0.45">
      <c r="A141" s="3">
        <f>配列!B141</f>
        <v>0</v>
      </c>
      <c r="B141" s="3" t="e">
        <f>_xlfn.XLOOKUP(A141,対応表!A:A,対応表!B:B)</f>
        <v>#N/A</v>
      </c>
      <c r="C141" s="3">
        <f>配列!C141</f>
        <v>0</v>
      </c>
      <c r="D141" s="3" t="str">
        <f>IF(配列!E141="",RIGHT(配列!D141&amp;配列!E141,4)&amp;"L",RIGHT(配列!D141&amp;配列!E141,5))</f>
        <v>L</v>
      </c>
      <c r="E141" s="3">
        <f t="shared" si="8"/>
        <v>0</v>
      </c>
      <c r="F141" s="3" t="e">
        <f>_xlfn.XLOOKUP(E141,セットアップレポート_紐づけ用!A:A,セットアップレポート_紐づけ用!J:J)</f>
        <v>#N/A</v>
      </c>
      <c r="G141" s="3" t="e">
        <f>_xlfn.XLOOKUP(E141,セットアップレポート_紐づけ用!A:A,セットアップレポート_紐づけ用!V:V)</f>
        <v>#N/A</v>
      </c>
      <c r="H141" s="3">
        <f t="shared" si="11"/>
        <v>-2</v>
      </c>
      <c r="I141" t="str">
        <f>IF(J141=0,"",IF(配列!E141="",マクロ実行!$A$16 &amp;" T"&amp;H141&amp;"-"&amp;RIGHT(配列!D141&amp;配列!E141,2),マクロ実行!$A$16 &amp;" T"&amp;H141&amp;"-"&amp;RIGHT(配列!D141&amp;配列!E141,3)))</f>
        <v/>
      </c>
      <c r="J141">
        <f>配列!F141</f>
        <v>0</v>
      </c>
      <c r="K141" s="2" t="e">
        <f>_xlfn.XLOOKUP(E141,セットアップレポート_紐づけ用!A:A,セットアップレポート_紐づけ用!R:R)</f>
        <v>#N/A</v>
      </c>
      <c r="L141" t="e">
        <f t="shared" si="9"/>
        <v>#N/A</v>
      </c>
      <c r="M141" t="e">
        <f>_xlfn.XLOOKUP(L141,EGPro!A:A,EGPro!D:D)</f>
        <v>#N/A</v>
      </c>
      <c r="N141" t="e">
        <f>_xlfn.XLOOKUP(L141,EGPro!A:A,EGPro!C:C)</f>
        <v>#N/A</v>
      </c>
      <c r="O141" t="e">
        <f t="shared" si="10"/>
        <v>#N/A</v>
      </c>
      <c r="P141" t="e">
        <f>_xlfn.XLOOKUP(O141,EGPro!A:A,EGPro!D:D)</f>
        <v>#N/A</v>
      </c>
      <c r="Q141" t="e">
        <f>_xlfn.XLOOKUP(O141,EGPro!A:A,EGPro!C:C)</f>
        <v>#N/A</v>
      </c>
    </row>
    <row r="142" spans="1:17" x14ac:dyDescent="0.45">
      <c r="A142" s="3">
        <f>配列!B142</f>
        <v>0</v>
      </c>
      <c r="B142" s="3" t="e">
        <f>_xlfn.XLOOKUP(A142,対応表!A:A,対応表!B:B)</f>
        <v>#N/A</v>
      </c>
      <c r="C142" s="3">
        <f>配列!C142</f>
        <v>0</v>
      </c>
      <c r="D142" s="3" t="str">
        <f>IF(配列!E142="",RIGHT(配列!D142&amp;配列!E142,4)&amp;"L",RIGHT(配列!D142&amp;配列!E142,5))</f>
        <v>L</v>
      </c>
      <c r="E142" s="3">
        <f t="shared" si="8"/>
        <v>0</v>
      </c>
      <c r="F142" s="3" t="e">
        <f>_xlfn.XLOOKUP(E142,セットアップレポート_紐づけ用!A:A,セットアップレポート_紐づけ用!J:J)</f>
        <v>#N/A</v>
      </c>
      <c r="G142" s="3" t="e">
        <f>_xlfn.XLOOKUP(E142,セットアップレポート_紐づけ用!A:A,セットアップレポート_紐づけ用!V:V)</f>
        <v>#N/A</v>
      </c>
      <c r="H142" s="3">
        <f t="shared" si="11"/>
        <v>-2</v>
      </c>
      <c r="I142" t="str">
        <f>IF(J142=0,"",IF(配列!E142="",マクロ実行!$A$16 &amp;" T"&amp;H142&amp;"-"&amp;RIGHT(配列!D142&amp;配列!E142,2),マクロ実行!$A$16 &amp;" T"&amp;H142&amp;"-"&amp;RIGHT(配列!D142&amp;配列!E142,3)))</f>
        <v/>
      </c>
      <c r="J142">
        <f>配列!F142</f>
        <v>0</v>
      </c>
      <c r="K142" s="2" t="e">
        <f>_xlfn.XLOOKUP(E142,セットアップレポート_紐づけ用!A:A,セットアップレポート_紐づけ用!R:R)</f>
        <v>#N/A</v>
      </c>
      <c r="L142" t="e">
        <f t="shared" si="9"/>
        <v>#N/A</v>
      </c>
      <c r="M142" t="e">
        <f>_xlfn.XLOOKUP(L142,EGPro!A:A,EGPro!D:D)</f>
        <v>#N/A</v>
      </c>
      <c r="N142" t="e">
        <f>_xlfn.XLOOKUP(L142,EGPro!A:A,EGPro!C:C)</f>
        <v>#N/A</v>
      </c>
      <c r="O142" t="e">
        <f t="shared" si="10"/>
        <v>#N/A</v>
      </c>
      <c r="P142" t="e">
        <f>_xlfn.XLOOKUP(O142,EGPro!A:A,EGPro!D:D)</f>
        <v>#N/A</v>
      </c>
      <c r="Q142" t="e">
        <f>_xlfn.XLOOKUP(O142,EGPro!A:A,EGPro!C:C)</f>
        <v>#N/A</v>
      </c>
    </row>
    <row r="143" spans="1:17" x14ac:dyDescent="0.45">
      <c r="A143" s="3">
        <f>配列!B143</f>
        <v>0</v>
      </c>
      <c r="B143" s="3" t="e">
        <f>_xlfn.XLOOKUP(A143,対応表!A:A,対応表!B:B)</f>
        <v>#N/A</v>
      </c>
      <c r="C143" s="3">
        <f>配列!C143</f>
        <v>0</v>
      </c>
      <c r="D143" s="3" t="str">
        <f>IF(配列!E143="",RIGHT(配列!D143&amp;配列!E143,4)&amp;"L",RIGHT(配列!D143&amp;配列!E143,5))</f>
        <v>L</v>
      </c>
      <c r="E143" s="3">
        <f t="shared" si="8"/>
        <v>0</v>
      </c>
      <c r="F143" s="3" t="e">
        <f>_xlfn.XLOOKUP(E143,セットアップレポート_紐づけ用!A:A,セットアップレポート_紐づけ用!J:J)</f>
        <v>#N/A</v>
      </c>
      <c r="G143" s="3" t="e">
        <f>_xlfn.XLOOKUP(E143,セットアップレポート_紐づけ用!A:A,セットアップレポート_紐づけ用!V:V)</f>
        <v>#N/A</v>
      </c>
      <c r="H143" s="3">
        <f t="shared" si="11"/>
        <v>-2</v>
      </c>
      <c r="I143" t="str">
        <f>IF(J143=0,"",IF(配列!E143="",マクロ実行!$A$16 &amp;" T"&amp;H143&amp;"-"&amp;RIGHT(配列!D143&amp;配列!E143,2),マクロ実行!$A$16 &amp;" T"&amp;H143&amp;"-"&amp;RIGHT(配列!D143&amp;配列!E143,3)))</f>
        <v/>
      </c>
      <c r="J143">
        <f>配列!F143</f>
        <v>0</v>
      </c>
      <c r="K143" s="2" t="e">
        <f>_xlfn.XLOOKUP(E143,セットアップレポート_紐づけ用!A:A,セットアップレポート_紐づけ用!R:R)</f>
        <v>#N/A</v>
      </c>
      <c r="L143" t="e">
        <f t="shared" si="9"/>
        <v>#N/A</v>
      </c>
      <c r="M143" t="e">
        <f>_xlfn.XLOOKUP(L143,EGPro!A:A,EGPro!D:D)</f>
        <v>#N/A</v>
      </c>
      <c r="N143" t="e">
        <f>_xlfn.XLOOKUP(L143,EGPro!A:A,EGPro!C:C)</f>
        <v>#N/A</v>
      </c>
      <c r="O143" t="e">
        <f t="shared" si="10"/>
        <v>#N/A</v>
      </c>
      <c r="P143" t="e">
        <f>_xlfn.XLOOKUP(O143,EGPro!A:A,EGPro!D:D)</f>
        <v>#N/A</v>
      </c>
      <c r="Q143" t="e">
        <f>_xlfn.XLOOKUP(O143,EGPro!A:A,EGPro!C:C)</f>
        <v>#N/A</v>
      </c>
    </row>
    <row r="144" spans="1:17" x14ac:dyDescent="0.45">
      <c r="A144" s="3">
        <f>配列!B144</f>
        <v>0</v>
      </c>
      <c r="B144" s="3" t="e">
        <f>_xlfn.XLOOKUP(A144,対応表!A:A,対応表!B:B)</f>
        <v>#N/A</v>
      </c>
      <c r="C144" s="3">
        <f>配列!C144</f>
        <v>0</v>
      </c>
      <c r="D144" s="3" t="str">
        <f>IF(配列!E144="",RIGHT(配列!D144&amp;配列!E144,4)&amp;"L",RIGHT(配列!D144&amp;配列!E144,5))</f>
        <v>L</v>
      </c>
      <c r="E144" s="3">
        <f t="shared" si="8"/>
        <v>0</v>
      </c>
      <c r="F144" s="3" t="e">
        <f>_xlfn.XLOOKUP(E144,セットアップレポート_紐づけ用!A:A,セットアップレポート_紐づけ用!J:J)</f>
        <v>#N/A</v>
      </c>
      <c r="G144" s="3" t="e">
        <f>_xlfn.XLOOKUP(E144,セットアップレポート_紐づけ用!A:A,セットアップレポート_紐づけ用!V:V)</f>
        <v>#N/A</v>
      </c>
      <c r="H144" s="3">
        <f t="shared" si="11"/>
        <v>-2</v>
      </c>
      <c r="I144" t="str">
        <f>IF(J144=0,"",IF(配列!E144="",マクロ実行!$A$16 &amp;" T"&amp;H144&amp;"-"&amp;RIGHT(配列!D144&amp;配列!E144,2),マクロ実行!$A$16 &amp;" T"&amp;H144&amp;"-"&amp;RIGHT(配列!D144&amp;配列!E144,3)))</f>
        <v/>
      </c>
      <c r="J144">
        <f>配列!F144</f>
        <v>0</v>
      </c>
      <c r="K144" s="2" t="e">
        <f>_xlfn.XLOOKUP(E144,セットアップレポート_紐づけ用!A:A,セットアップレポート_紐づけ用!R:R)</f>
        <v>#N/A</v>
      </c>
      <c r="L144" t="e">
        <f t="shared" si="9"/>
        <v>#N/A</v>
      </c>
      <c r="M144" t="e">
        <f>_xlfn.XLOOKUP(L144,EGPro!A:A,EGPro!D:D)</f>
        <v>#N/A</v>
      </c>
      <c r="N144" t="e">
        <f>_xlfn.XLOOKUP(L144,EGPro!A:A,EGPro!C:C)</f>
        <v>#N/A</v>
      </c>
      <c r="O144" t="e">
        <f t="shared" si="10"/>
        <v>#N/A</v>
      </c>
      <c r="P144" t="e">
        <f>_xlfn.XLOOKUP(O144,EGPro!A:A,EGPro!D:D)</f>
        <v>#N/A</v>
      </c>
      <c r="Q144" t="e">
        <f>_xlfn.XLOOKUP(O144,EGPro!A:A,EGPro!C:C)</f>
        <v>#N/A</v>
      </c>
    </row>
    <row r="145" spans="1:17" x14ac:dyDescent="0.45">
      <c r="A145" s="3">
        <f>配列!B145</f>
        <v>0</v>
      </c>
      <c r="B145" s="3" t="e">
        <f>_xlfn.XLOOKUP(A145,対応表!A:A,対応表!B:B)</f>
        <v>#N/A</v>
      </c>
      <c r="C145" s="3">
        <f>配列!C145</f>
        <v>0</v>
      </c>
      <c r="D145" s="3" t="str">
        <f>IF(配列!E145="",RIGHT(配列!D145&amp;配列!E145,4)&amp;"L",RIGHT(配列!D145&amp;配列!E145,5))</f>
        <v>L</v>
      </c>
      <c r="E145" s="3">
        <f t="shared" si="8"/>
        <v>0</v>
      </c>
      <c r="F145" s="3" t="e">
        <f>_xlfn.XLOOKUP(E145,セットアップレポート_紐づけ用!A:A,セットアップレポート_紐づけ用!J:J)</f>
        <v>#N/A</v>
      </c>
      <c r="G145" s="3" t="e">
        <f>_xlfn.XLOOKUP(E145,セットアップレポート_紐づけ用!A:A,セットアップレポート_紐づけ用!V:V)</f>
        <v>#N/A</v>
      </c>
      <c r="H145" s="3">
        <f t="shared" si="11"/>
        <v>-2</v>
      </c>
      <c r="I145" t="str">
        <f>IF(J145=0,"",IF(配列!E145="",マクロ実行!$A$16 &amp;" T"&amp;H145&amp;"-"&amp;RIGHT(配列!D145&amp;配列!E145,2),マクロ実行!$A$16 &amp;" T"&amp;H145&amp;"-"&amp;RIGHT(配列!D145&amp;配列!E145,3)))</f>
        <v/>
      </c>
      <c r="J145">
        <f>配列!F145</f>
        <v>0</v>
      </c>
      <c r="K145" s="2" t="e">
        <f>_xlfn.XLOOKUP(E145,セットアップレポート_紐づけ用!A:A,セットアップレポート_紐づけ用!R:R)</f>
        <v>#N/A</v>
      </c>
      <c r="L145" t="e">
        <f t="shared" si="9"/>
        <v>#N/A</v>
      </c>
      <c r="M145" t="e">
        <f>_xlfn.XLOOKUP(L145,EGPro!A:A,EGPro!D:D)</f>
        <v>#N/A</v>
      </c>
      <c r="N145" t="e">
        <f>_xlfn.XLOOKUP(L145,EGPro!A:A,EGPro!C:C)</f>
        <v>#N/A</v>
      </c>
      <c r="O145" t="e">
        <f t="shared" si="10"/>
        <v>#N/A</v>
      </c>
      <c r="P145" t="e">
        <f>_xlfn.XLOOKUP(O145,EGPro!A:A,EGPro!D:D)</f>
        <v>#N/A</v>
      </c>
      <c r="Q145" t="e">
        <f>_xlfn.XLOOKUP(O145,EGPro!A:A,EGPro!C:C)</f>
        <v>#N/A</v>
      </c>
    </row>
    <row r="146" spans="1:17" x14ac:dyDescent="0.45">
      <c r="A146" s="3">
        <f>配列!B146</f>
        <v>0</v>
      </c>
      <c r="B146" s="3" t="e">
        <f>_xlfn.XLOOKUP(A146,対応表!A:A,対応表!B:B)</f>
        <v>#N/A</v>
      </c>
      <c r="C146" s="3">
        <f>配列!C146</f>
        <v>0</v>
      </c>
      <c r="D146" s="3" t="str">
        <f>IF(配列!E146="",RIGHT(配列!D146&amp;配列!E146,4)&amp;"L",RIGHT(配列!D146&amp;配列!E146,5))</f>
        <v>L</v>
      </c>
      <c r="E146" s="3">
        <f t="shared" si="8"/>
        <v>0</v>
      </c>
      <c r="F146" s="3" t="e">
        <f>_xlfn.XLOOKUP(E146,セットアップレポート_紐づけ用!A:A,セットアップレポート_紐づけ用!J:J)</f>
        <v>#N/A</v>
      </c>
      <c r="G146" s="3" t="e">
        <f>_xlfn.XLOOKUP(E146,セットアップレポート_紐づけ用!A:A,セットアップレポート_紐づけ用!V:V)</f>
        <v>#N/A</v>
      </c>
      <c r="H146" s="3">
        <f t="shared" si="11"/>
        <v>-2</v>
      </c>
      <c r="I146" t="str">
        <f>IF(J146=0,"",IF(配列!E146="",マクロ実行!$A$16 &amp;" T"&amp;H146&amp;"-"&amp;RIGHT(配列!D146&amp;配列!E146,2),マクロ実行!$A$16 &amp;" T"&amp;H146&amp;"-"&amp;RIGHT(配列!D146&amp;配列!E146,3)))</f>
        <v/>
      </c>
      <c r="J146">
        <f>配列!F146</f>
        <v>0</v>
      </c>
      <c r="K146" s="2" t="e">
        <f>_xlfn.XLOOKUP(E146,セットアップレポート_紐づけ用!A:A,セットアップレポート_紐づけ用!R:R)</f>
        <v>#N/A</v>
      </c>
      <c r="L146" t="e">
        <f t="shared" si="9"/>
        <v>#N/A</v>
      </c>
      <c r="M146" t="e">
        <f>_xlfn.XLOOKUP(L146,EGPro!A:A,EGPro!D:D)</f>
        <v>#N/A</v>
      </c>
      <c r="N146" t="e">
        <f>_xlfn.XLOOKUP(L146,EGPro!A:A,EGPro!C:C)</f>
        <v>#N/A</v>
      </c>
      <c r="O146" t="e">
        <f t="shared" si="10"/>
        <v>#N/A</v>
      </c>
      <c r="P146" t="e">
        <f>_xlfn.XLOOKUP(O146,EGPro!A:A,EGPro!D:D)</f>
        <v>#N/A</v>
      </c>
      <c r="Q146" t="e">
        <f>_xlfn.XLOOKUP(O146,EGPro!A:A,EGPro!C:C)</f>
        <v>#N/A</v>
      </c>
    </row>
    <row r="147" spans="1:17" x14ac:dyDescent="0.45">
      <c r="A147" s="3">
        <f>配列!B147</f>
        <v>0</v>
      </c>
      <c r="B147" s="3" t="e">
        <f>_xlfn.XLOOKUP(A147,対応表!A:A,対応表!B:B)</f>
        <v>#N/A</v>
      </c>
      <c r="C147" s="3">
        <f>配列!C147</f>
        <v>0</v>
      </c>
      <c r="D147" s="3" t="str">
        <f>IF(配列!E147="",RIGHT(配列!D147&amp;配列!E147,4)&amp;"L",RIGHT(配列!D147&amp;配列!E147,5))</f>
        <v>L</v>
      </c>
      <c r="E147" s="3">
        <f t="shared" si="8"/>
        <v>0</v>
      </c>
      <c r="F147" s="3" t="e">
        <f>_xlfn.XLOOKUP(E147,セットアップレポート_紐づけ用!A:A,セットアップレポート_紐づけ用!J:J)</f>
        <v>#N/A</v>
      </c>
      <c r="G147" s="3" t="e">
        <f>_xlfn.XLOOKUP(E147,セットアップレポート_紐づけ用!A:A,セットアップレポート_紐づけ用!V:V)</f>
        <v>#N/A</v>
      </c>
      <c r="H147" s="3">
        <f t="shared" si="11"/>
        <v>-2</v>
      </c>
      <c r="I147" t="str">
        <f>IF(J147=0,"",IF(配列!E147="",マクロ実行!$A$16 &amp;" T"&amp;H147&amp;"-"&amp;RIGHT(配列!D147&amp;配列!E147,2),マクロ実行!$A$16 &amp;" T"&amp;H147&amp;"-"&amp;RIGHT(配列!D147&amp;配列!E147,3)))</f>
        <v/>
      </c>
      <c r="J147">
        <f>配列!F147</f>
        <v>0</v>
      </c>
      <c r="K147" s="2" t="e">
        <f>_xlfn.XLOOKUP(E147,セットアップレポート_紐づけ用!A:A,セットアップレポート_紐づけ用!R:R)</f>
        <v>#N/A</v>
      </c>
      <c r="L147" t="e">
        <f t="shared" si="9"/>
        <v>#N/A</v>
      </c>
      <c r="M147" t="e">
        <f>_xlfn.XLOOKUP(L147,EGPro!A:A,EGPro!D:D)</f>
        <v>#N/A</v>
      </c>
      <c r="N147" t="e">
        <f>_xlfn.XLOOKUP(L147,EGPro!A:A,EGPro!C:C)</f>
        <v>#N/A</v>
      </c>
      <c r="O147" t="e">
        <f t="shared" si="10"/>
        <v>#N/A</v>
      </c>
      <c r="P147" t="e">
        <f>_xlfn.XLOOKUP(O147,EGPro!A:A,EGPro!D:D)</f>
        <v>#N/A</v>
      </c>
      <c r="Q147" t="e">
        <f>_xlfn.XLOOKUP(O147,EGPro!A:A,EGPro!C:C)</f>
        <v>#N/A</v>
      </c>
    </row>
    <row r="148" spans="1:17" x14ac:dyDescent="0.45">
      <c r="A148" s="3">
        <f>配列!B148</f>
        <v>0</v>
      </c>
      <c r="B148" s="3" t="e">
        <f>_xlfn.XLOOKUP(A148,対応表!A:A,対応表!B:B)</f>
        <v>#N/A</v>
      </c>
      <c r="C148" s="3">
        <f>配列!C148</f>
        <v>0</v>
      </c>
      <c r="D148" s="3" t="str">
        <f>IF(配列!E148="",RIGHT(配列!D148&amp;配列!E148,4)&amp;"L",RIGHT(配列!D148&amp;配列!E148,5))</f>
        <v>L</v>
      </c>
      <c r="E148" s="3">
        <f t="shared" si="8"/>
        <v>0</v>
      </c>
      <c r="F148" s="3" t="e">
        <f>_xlfn.XLOOKUP(E148,セットアップレポート_紐づけ用!A:A,セットアップレポート_紐づけ用!J:J)</f>
        <v>#N/A</v>
      </c>
      <c r="G148" s="3" t="e">
        <f>_xlfn.XLOOKUP(E148,セットアップレポート_紐づけ用!A:A,セットアップレポート_紐づけ用!V:V)</f>
        <v>#N/A</v>
      </c>
      <c r="H148" s="3">
        <f t="shared" si="11"/>
        <v>-2</v>
      </c>
      <c r="I148" t="str">
        <f>IF(J148=0,"",IF(配列!E148="",マクロ実行!$A$16 &amp;" T"&amp;H148&amp;"-"&amp;RIGHT(配列!D148&amp;配列!E148,2),マクロ実行!$A$16 &amp;" T"&amp;H148&amp;"-"&amp;RIGHT(配列!D148&amp;配列!E148,3)))</f>
        <v/>
      </c>
      <c r="J148">
        <f>配列!F148</f>
        <v>0</v>
      </c>
      <c r="K148" s="2" t="e">
        <f>_xlfn.XLOOKUP(E148,セットアップレポート_紐づけ用!A:A,セットアップレポート_紐づけ用!R:R)</f>
        <v>#N/A</v>
      </c>
      <c r="L148" t="e">
        <f t="shared" si="9"/>
        <v>#N/A</v>
      </c>
      <c r="M148" t="e">
        <f>_xlfn.XLOOKUP(L148,EGPro!A:A,EGPro!D:D)</f>
        <v>#N/A</v>
      </c>
      <c r="N148" t="e">
        <f>_xlfn.XLOOKUP(L148,EGPro!A:A,EGPro!C:C)</f>
        <v>#N/A</v>
      </c>
      <c r="O148" t="e">
        <f t="shared" si="10"/>
        <v>#N/A</v>
      </c>
      <c r="P148" t="e">
        <f>_xlfn.XLOOKUP(O148,EGPro!A:A,EGPro!D:D)</f>
        <v>#N/A</v>
      </c>
      <c r="Q148" t="e">
        <f>_xlfn.XLOOKUP(O148,EGPro!A:A,EGPro!C:C)</f>
        <v>#N/A</v>
      </c>
    </row>
    <row r="149" spans="1:17" x14ac:dyDescent="0.45">
      <c r="A149" s="3">
        <f>配列!B149</f>
        <v>0</v>
      </c>
      <c r="B149" s="3" t="e">
        <f>_xlfn.XLOOKUP(A149,対応表!A:A,対応表!B:B)</f>
        <v>#N/A</v>
      </c>
      <c r="C149" s="3">
        <f>配列!C149</f>
        <v>0</v>
      </c>
      <c r="D149" s="3" t="str">
        <f>IF(配列!E149="",RIGHT(配列!D149&amp;配列!E149,4)&amp;"L",RIGHT(配列!D149&amp;配列!E149,5))</f>
        <v>L</v>
      </c>
      <c r="E149" s="3">
        <f t="shared" si="8"/>
        <v>0</v>
      </c>
      <c r="F149" s="3" t="e">
        <f>_xlfn.XLOOKUP(E149,セットアップレポート_紐づけ用!A:A,セットアップレポート_紐づけ用!J:J)</f>
        <v>#N/A</v>
      </c>
      <c r="G149" s="3" t="e">
        <f>_xlfn.XLOOKUP(E149,セットアップレポート_紐づけ用!A:A,セットアップレポート_紐づけ用!V:V)</f>
        <v>#N/A</v>
      </c>
      <c r="H149" s="3">
        <f t="shared" si="11"/>
        <v>-2</v>
      </c>
      <c r="I149" t="str">
        <f>IF(J149=0,"",IF(配列!E149="",マクロ実行!$A$16 &amp;" T"&amp;H149&amp;"-"&amp;RIGHT(配列!D149&amp;配列!E149,2),マクロ実行!$A$16 &amp;" T"&amp;H149&amp;"-"&amp;RIGHT(配列!D149&amp;配列!E149,3)))</f>
        <v/>
      </c>
      <c r="J149">
        <f>配列!F149</f>
        <v>0</v>
      </c>
      <c r="K149" s="2" t="e">
        <f>_xlfn.XLOOKUP(E149,セットアップレポート_紐づけ用!A:A,セットアップレポート_紐づけ用!R:R)</f>
        <v>#N/A</v>
      </c>
      <c r="L149" t="e">
        <f t="shared" si="9"/>
        <v>#N/A</v>
      </c>
      <c r="M149" t="e">
        <f>_xlfn.XLOOKUP(L149,EGPro!A:A,EGPro!D:D)</f>
        <v>#N/A</v>
      </c>
      <c r="N149" t="e">
        <f>_xlfn.XLOOKUP(L149,EGPro!A:A,EGPro!C:C)</f>
        <v>#N/A</v>
      </c>
      <c r="O149" t="e">
        <f t="shared" si="10"/>
        <v>#N/A</v>
      </c>
      <c r="P149" t="e">
        <f>_xlfn.XLOOKUP(O149,EGPro!A:A,EGPro!D:D)</f>
        <v>#N/A</v>
      </c>
      <c r="Q149" t="e">
        <f>_xlfn.XLOOKUP(O149,EGPro!A:A,EGPro!C:C)</f>
        <v>#N/A</v>
      </c>
    </row>
    <row r="150" spans="1:17" x14ac:dyDescent="0.45">
      <c r="A150" s="3">
        <f>配列!B150</f>
        <v>0</v>
      </c>
      <c r="B150" s="3" t="e">
        <f>_xlfn.XLOOKUP(A150,対応表!A:A,対応表!B:B)</f>
        <v>#N/A</v>
      </c>
      <c r="C150" s="3">
        <f>配列!C150</f>
        <v>0</v>
      </c>
      <c r="D150" s="3" t="str">
        <f>IF(配列!E150="",RIGHT(配列!D150&amp;配列!E150,4)&amp;"L",RIGHT(配列!D150&amp;配列!E150,5))</f>
        <v>L</v>
      </c>
      <c r="E150" s="3">
        <f t="shared" si="8"/>
        <v>0</v>
      </c>
      <c r="F150" s="3" t="e">
        <f>_xlfn.XLOOKUP(E150,セットアップレポート_紐づけ用!A:A,セットアップレポート_紐づけ用!J:J)</f>
        <v>#N/A</v>
      </c>
      <c r="G150" s="3" t="e">
        <f>_xlfn.XLOOKUP(E150,セットアップレポート_紐づけ用!A:A,セットアップレポート_紐づけ用!V:V)</f>
        <v>#N/A</v>
      </c>
      <c r="H150" s="3">
        <f t="shared" si="11"/>
        <v>-2</v>
      </c>
      <c r="I150" t="str">
        <f>IF(J150=0,"",IF(配列!E150="",マクロ実行!$A$16 &amp;" T"&amp;H150&amp;"-"&amp;RIGHT(配列!D150&amp;配列!E150,2),マクロ実行!$A$16 &amp;" T"&amp;H150&amp;"-"&amp;RIGHT(配列!D150&amp;配列!E150,3)))</f>
        <v/>
      </c>
      <c r="J150">
        <f>配列!F150</f>
        <v>0</v>
      </c>
      <c r="K150" s="2" t="e">
        <f>_xlfn.XLOOKUP(E150,セットアップレポート_紐づけ用!A:A,セットアップレポート_紐づけ用!R:R)</f>
        <v>#N/A</v>
      </c>
      <c r="L150" t="e">
        <f t="shared" si="9"/>
        <v>#N/A</v>
      </c>
      <c r="M150" t="e">
        <f>_xlfn.XLOOKUP(L150,EGPro!A:A,EGPro!D:D)</f>
        <v>#N/A</v>
      </c>
      <c r="N150" t="e">
        <f>_xlfn.XLOOKUP(L150,EGPro!A:A,EGPro!C:C)</f>
        <v>#N/A</v>
      </c>
      <c r="O150" t="e">
        <f t="shared" si="10"/>
        <v>#N/A</v>
      </c>
      <c r="P150" t="e">
        <f>_xlfn.XLOOKUP(O150,EGPro!A:A,EGPro!D:D)</f>
        <v>#N/A</v>
      </c>
      <c r="Q150" t="e">
        <f>_xlfn.XLOOKUP(O150,EGPro!A:A,EGPro!C:C)</f>
        <v>#N/A</v>
      </c>
    </row>
    <row r="151" spans="1:17" x14ac:dyDescent="0.45">
      <c r="A151" s="3">
        <f>配列!B151</f>
        <v>0</v>
      </c>
      <c r="B151" s="3" t="e">
        <f>_xlfn.XLOOKUP(A151,対応表!A:A,対応表!B:B)</f>
        <v>#N/A</v>
      </c>
      <c r="C151" s="3">
        <f>配列!C151</f>
        <v>0</v>
      </c>
      <c r="D151" s="3" t="str">
        <f>IF(配列!E151="",RIGHT(配列!D151&amp;配列!E151,4)&amp;"L",RIGHT(配列!D151&amp;配列!E151,5))</f>
        <v>L</v>
      </c>
      <c r="E151" s="3">
        <f t="shared" si="8"/>
        <v>0</v>
      </c>
      <c r="F151" s="3" t="e">
        <f>_xlfn.XLOOKUP(E151,セットアップレポート_紐づけ用!A:A,セットアップレポート_紐づけ用!J:J)</f>
        <v>#N/A</v>
      </c>
      <c r="G151" s="3" t="e">
        <f>_xlfn.XLOOKUP(E151,セットアップレポート_紐づけ用!A:A,セットアップレポート_紐づけ用!V:V)</f>
        <v>#N/A</v>
      </c>
      <c r="H151" s="3">
        <f t="shared" si="11"/>
        <v>-2</v>
      </c>
      <c r="I151" t="str">
        <f>IF(J151=0,"",IF(配列!E151="",マクロ実行!$A$16 &amp;" T"&amp;H151&amp;"-"&amp;RIGHT(配列!D151&amp;配列!E151,2),マクロ実行!$A$16 &amp;" T"&amp;H151&amp;"-"&amp;RIGHT(配列!D151&amp;配列!E151,3)))</f>
        <v/>
      </c>
      <c r="J151">
        <f>配列!F151</f>
        <v>0</v>
      </c>
      <c r="K151" s="2" t="e">
        <f>_xlfn.XLOOKUP(E151,セットアップレポート_紐づけ用!A:A,セットアップレポート_紐づけ用!R:R)</f>
        <v>#N/A</v>
      </c>
      <c r="L151" t="e">
        <f t="shared" si="9"/>
        <v>#N/A</v>
      </c>
      <c r="M151" t="e">
        <f>_xlfn.XLOOKUP(L151,EGPro!A:A,EGPro!D:D)</f>
        <v>#N/A</v>
      </c>
      <c r="N151" t="e">
        <f>_xlfn.XLOOKUP(L151,EGPro!A:A,EGPro!C:C)</f>
        <v>#N/A</v>
      </c>
      <c r="O151" t="e">
        <f t="shared" si="10"/>
        <v>#N/A</v>
      </c>
      <c r="P151" t="e">
        <f>_xlfn.XLOOKUP(O151,EGPro!A:A,EGPro!D:D)</f>
        <v>#N/A</v>
      </c>
      <c r="Q151" t="e">
        <f>_xlfn.XLOOKUP(O151,EGPro!A:A,EGPro!C:C)</f>
        <v>#N/A</v>
      </c>
    </row>
    <row r="152" spans="1:17" x14ac:dyDescent="0.45">
      <c r="A152" s="3">
        <f>配列!B152</f>
        <v>0</v>
      </c>
      <c r="B152" s="3" t="e">
        <f>_xlfn.XLOOKUP(A152,対応表!A:A,対応表!B:B)</f>
        <v>#N/A</v>
      </c>
      <c r="C152" s="3">
        <f>配列!C152</f>
        <v>0</v>
      </c>
      <c r="D152" s="3" t="str">
        <f>IF(配列!E152="",RIGHT(配列!D152&amp;配列!E152,4)&amp;"L",RIGHT(配列!D152&amp;配列!E152,5))</f>
        <v>L</v>
      </c>
      <c r="E152" s="3">
        <f t="shared" si="8"/>
        <v>0</v>
      </c>
      <c r="F152" s="3" t="e">
        <f>_xlfn.XLOOKUP(E152,セットアップレポート_紐づけ用!A:A,セットアップレポート_紐づけ用!J:J)</f>
        <v>#N/A</v>
      </c>
      <c r="G152" s="3" t="e">
        <f>_xlfn.XLOOKUP(E152,セットアップレポート_紐づけ用!A:A,セットアップレポート_紐づけ用!V:V)</f>
        <v>#N/A</v>
      </c>
      <c r="H152" s="3">
        <f t="shared" si="11"/>
        <v>-2</v>
      </c>
      <c r="I152" t="str">
        <f>IF(J152=0,"",IF(配列!E152="",マクロ実行!$A$16 &amp;" T"&amp;H152&amp;"-"&amp;RIGHT(配列!D152&amp;配列!E152,2),マクロ実行!$A$16 &amp;" T"&amp;H152&amp;"-"&amp;RIGHT(配列!D152&amp;配列!E152,3)))</f>
        <v/>
      </c>
      <c r="J152">
        <f>配列!F152</f>
        <v>0</v>
      </c>
      <c r="K152" s="2" t="e">
        <f>_xlfn.XLOOKUP(E152,セットアップレポート_紐づけ用!A:A,セットアップレポート_紐づけ用!R:R)</f>
        <v>#N/A</v>
      </c>
      <c r="L152" t="e">
        <f t="shared" si="9"/>
        <v>#N/A</v>
      </c>
      <c r="M152" t="e">
        <f>_xlfn.XLOOKUP(L152,EGPro!A:A,EGPro!D:D)</f>
        <v>#N/A</v>
      </c>
      <c r="N152" t="e">
        <f>_xlfn.XLOOKUP(L152,EGPro!A:A,EGPro!C:C)</f>
        <v>#N/A</v>
      </c>
      <c r="O152" t="e">
        <f t="shared" si="10"/>
        <v>#N/A</v>
      </c>
      <c r="P152" t="e">
        <f>_xlfn.XLOOKUP(O152,EGPro!A:A,EGPro!D:D)</f>
        <v>#N/A</v>
      </c>
      <c r="Q152" t="e">
        <f>_xlfn.XLOOKUP(O152,EGPro!A:A,EGPro!C:C)</f>
        <v>#N/A</v>
      </c>
    </row>
    <row r="153" spans="1:17" x14ac:dyDescent="0.45">
      <c r="A153" s="3">
        <f>配列!B153</f>
        <v>0</v>
      </c>
      <c r="B153" s="3" t="e">
        <f>_xlfn.XLOOKUP(A153,対応表!A:A,対応表!B:B)</f>
        <v>#N/A</v>
      </c>
      <c r="C153" s="3">
        <f>配列!C153</f>
        <v>0</v>
      </c>
      <c r="D153" s="3" t="str">
        <f>IF(配列!E153="",RIGHT(配列!D153&amp;配列!E153,4)&amp;"L",RIGHT(配列!D153&amp;配列!E153,5))</f>
        <v>L</v>
      </c>
      <c r="E153" s="3">
        <f t="shared" si="8"/>
        <v>0</v>
      </c>
      <c r="F153" s="3" t="e">
        <f>_xlfn.XLOOKUP(E153,セットアップレポート_紐づけ用!A:A,セットアップレポート_紐づけ用!J:J)</f>
        <v>#N/A</v>
      </c>
      <c r="G153" s="3" t="e">
        <f>_xlfn.XLOOKUP(E153,セットアップレポート_紐づけ用!A:A,セットアップレポート_紐づけ用!V:V)</f>
        <v>#N/A</v>
      </c>
      <c r="H153" s="3">
        <f t="shared" si="11"/>
        <v>-2</v>
      </c>
      <c r="I153" t="str">
        <f>IF(J153=0,"",IF(配列!E153="",マクロ実行!$A$16 &amp;" T"&amp;H153&amp;"-"&amp;RIGHT(配列!D153&amp;配列!E153,2),マクロ実行!$A$16 &amp;" T"&amp;H153&amp;"-"&amp;RIGHT(配列!D153&amp;配列!E153,3)))</f>
        <v/>
      </c>
      <c r="J153">
        <f>配列!F153</f>
        <v>0</v>
      </c>
      <c r="K153" s="2" t="e">
        <f>_xlfn.XLOOKUP(E153,セットアップレポート_紐づけ用!A:A,セットアップレポート_紐づけ用!R:R)</f>
        <v>#N/A</v>
      </c>
      <c r="L153" t="e">
        <f t="shared" si="9"/>
        <v>#N/A</v>
      </c>
      <c r="M153" t="e">
        <f>_xlfn.XLOOKUP(L153,EGPro!A:A,EGPro!D:D)</f>
        <v>#N/A</v>
      </c>
      <c r="N153" t="e">
        <f>_xlfn.XLOOKUP(L153,EGPro!A:A,EGPro!C:C)</f>
        <v>#N/A</v>
      </c>
      <c r="O153" t="e">
        <f t="shared" si="10"/>
        <v>#N/A</v>
      </c>
      <c r="P153" t="e">
        <f>_xlfn.XLOOKUP(O153,EGPro!A:A,EGPro!D:D)</f>
        <v>#N/A</v>
      </c>
      <c r="Q153" t="e">
        <f>_xlfn.XLOOKUP(O153,EGPro!A:A,EGPro!C:C)</f>
        <v>#N/A</v>
      </c>
    </row>
    <row r="154" spans="1:17" x14ac:dyDescent="0.45">
      <c r="A154" s="3">
        <f>配列!B154</f>
        <v>0</v>
      </c>
      <c r="B154" s="3" t="e">
        <f>_xlfn.XLOOKUP(A154,対応表!A:A,対応表!B:B)</f>
        <v>#N/A</v>
      </c>
      <c r="C154" s="3">
        <f>配列!C154</f>
        <v>0</v>
      </c>
      <c r="D154" s="3" t="str">
        <f>IF(配列!E154="",RIGHT(配列!D154&amp;配列!E154,4)&amp;"L",RIGHT(配列!D154&amp;配列!E154,5))</f>
        <v>L</v>
      </c>
      <c r="E154" s="3">
        <f t="shared" si="8"/>
        <v>0</v>
      </c>
      <c r="F154" s="3" t="e">
        <f>_xlfn.XLOOKUP(E154,セットアップレポート_紐づけ用!A:A,セットアップレポート_紐づけ用!J:J)</f>
        <v>#N/A</v>
      </c>
      <c r="G154" s="3" t="e">
        <f>_xlfn.XLOOKUP(E154,セットアップレポート_紐づけ用!A:A,セットアップレポート_紐づけ用!V:V)</f>
        <v>#N/A</v>
      </c>
      <c r="H154" s="3">
        <f t="shared" si="11"/>
        <v>-2</v>
      </c>
      <c r="I154" t="str">
        <f>IF(J154=0,"",IF(配列!E154="",マクロ実行!$A$16 &amp;" T"&amp;H154&amp;"-"&amp;RIGHT(配列!D154&amp;配列!E154,2),マクロ実行!$A$16 &amp;" T"&amp;H154&amp;"-"&amp;RIGHT(配列!D154&amp;配列!E154,3)))</f>
        <v/>
      </c>
      <c r="J154">
        <f>配列!F154</f>
        <v>0</v>
      </c>
      <c r="K154" s="2" t="e">
        <f>_xlfn.XLOOKUP(E154,セットアップレポート_紐づけ用!A:A,セットアップレポート_紐づけ用!R:R)</f>
        <v>#N/A</v>
      </c>
      <c r="L154" t="e">
        <f t="shared" si="9"/>
        <v>#N/A</v>
      </c>
      <c r="M154" t="e">
        <f>_xlfn.XLOOKUP(L154,EGPro!A:A,EGPro!D:D)</f>
        <v>#N/A</v>
      </c>
      <c r="N154" t="e">
        <f>_xlfn.XLOOKUP(L154,EGPro!A:A,EGPro!C:C)</f>
        <v>#N/A</v>
      </c>
      <c r="O154" t="e">
        <f t="shared" si="10"/>
        <v>#N/A</v>
      </c>
      <c r="P154" t="e">
        <f>_xlfn.XLOOKUP(O154,EGPro!A:A,EGPro!D:D)</f>
        <v>#N/A</v>
      </c>
      <c r="Q154" t="e">
        <f>_xlfn.XLOOKUP(O154,EGPro!A:A,EGPro!C:C)</f>
        <v>#N/A</v>
      </c>
    </row>
    <row r="155" spans="1:17" x14ac:dyDescent="0.45">
      <c r="A155" s="3">
        <f>配列!B155</f>
        <v>0</v>
      </c>
      <c r="B155" s="3" t="e">
        <f>_xlfn.XLOOKUP(A155,対応表!A:A,対応表!B:B)</f>
        <v>#N/A</v>
      </c>
      <c r="C155" s="3">
        <f>配列!C155</f>
        <v>0</v>
      </c>
      <c r="D155" s="3" t="str">
        <f>IF(配列!E155="",RIGHT(配列!D155&amp;配列!E155,4)&amp;"L",RIGHT(配列!D155&amp;配列!E155,5))</f>
        <v>L</v>
      </c>
      <c r="E155" s="3">
        <f t="shared" si="8"/>
        <v>0</v>
      </c>
      <c r="F155" s="3" t="e">
        <f>_xlfn.XLOOKUP(E155,セットアップレポート_紐づけ用!A:A,セットアップレポート_紐づけ用!J:J)</f>
        <v>#N/A</v>
      </c>
      <c r="G155" s="3" t="e">
        <f>_xlfn.XLOOKUP(E155,セットアップレポート_紐づけ用!A:A,セットアップレポート_紐づけ用!V:V)</f>
        <v>#N/A</v>
      </c>
      <c r="H155" s="3">
        <f t="shared" si="11"/>
        <v>-2</v>
      </c>
      <c r="I155" t="str">
        <f>IF(J155=0,"",IF(配列!E155="",マクロ実行!$A$16 &amp;" T"&amp;H155&amp;"-"&amp;RIGHT(配列!D155&amp;配列!E155,2),マクロ実行!$A$16 &amp;" T"&amp;H155&amp;"-"&amp;RIGHT(配列!D155&amp;配列!E155,3)))</f>
        <v/>
      </c>
      <c r="J155">
        <f>配列!F155</f>
        <v>0</v>
      </c>
      <c r="K155" s="2" t="e">
        <f>_xlfn.XLOOKUP(E155,セットアップレポート_紐づけ用!A:A,セットアップレポート_紐づけ用!R:R)</f>
        <v>#N/A</v>
      </c>
      <c r="L155" t="e">
        <f t="shared" si="9"/>
        <v>#N/A</v>
      </c>
      <c r="M155" t="e">
        <f>_xlfn.XLOOKUP(L155,EGPro!A:A,EGPro!D:D)</f>
        <v>#N/A</v>
      </c>
      <c r="N155" t="e">
        <f>_xlfn.XLOOKUP(L155,EGPro!A:A,EGPro!C:C)</f>
        <v>#N/A</v>
      </c>
      <c r="O155" t="e">
        <f t="shared" si="10"/>
        <v>#N/A</v>
      </c>
      <c r="P155" t="e">
        <f>_xlfn.XLOOKUP(O155,EGPro!A:A,EGPro!D:D)</f>
        <v>#N/A</v>
      </c>
      <c r="Q155" t="e">
        <f>_xlfn.XLOOKUP(O155,EGPro!A:A,EGPro!C:C)</f>
        <v>#N/A</v>
      </c>
    </row>
    <row r="156" spans="1:17" x14ac:dyDescent="0.45">
      <c r="A156" s="3">
        <f>配列!B156</f>
        <v>0</v>
      </c>
      <c r="B156" s="3" t="e">
        <f>_xlfn.XLOOKUP(A156,対応表!A:A,対応表!B:B)</f>
        <v>#N/A</v>
      </c>
      <c r="C156" s="3">
        <f>配列!C156</f>
        <v>0</v>
      </c>
      <c r="D156" s="3" t="str">
        <f>IF(配列!E156="",RIGHT(配列!D156&amp;配列!E156,4)&amp;"L",RIGHT(配列!D156&amp;配列!E156,5))</f>
        <v>L</v>
      </c>
      <c r="E156" s="3">
        <f t="shared" si="8"/>
        <v>0</v>
      </c>
      <c r="F156" s="3" t="e">
        <f>_xlfn.XLOOKUP(E156,セットアップレポート_紐づけ用!A:A,セットアップレポート_紐づけ用!J:J)</f>
        <v>#N/A</v>
      </c>
      <c r="G156" s="3" t="e">
        <f>_xlfn.XLOOKUP(E156,セットアップレポート_紐づけ用!A:A,セットアップレポート_紐づけ用!V:V)</f>
        <v>#N/A</v>
      </c>
      <c r="H156" s="3">
        <f t="shared" si="11"/>
        <v>-2</v>
      </c>
      <c r="I156" t="str">
        <f>IF(J156=0,"",IF(配列!E156="",マクロ実行!$A$16 &amp;" T"&amp;H156&amp;"-"&amp;RIGHT(配列!D156&amp;配列!E156,2),マクロ実行!$A$16 &amp;" T"&amp;H156&amp;"-"&amp;RIGHT(配列!D156&amp;配列!E156,3)))</f>
        <v/>
      </c>
      <c r="J156">
        <f>配列!F156</f>
        <v>0</v>
      </c>
      <c r="K156" s="2" t="e">
        <f>_xlfn.XLOOKUP(E156,セットアップレポート_紐づけ用!A:A,セットアップレポート_紐づけ用!R:R)</f>
        <v>#N/A</v>
      </c>
      <c r="L156" t="e">
        <f t="shared" si="9"/>
        <v>#N/A</v>
      </c>
      <c r="M156" t="e">
        <f>_xlfn.XLOOKUP(L156,EGPro!A:A,EGPro!D:D)</f>
        <v>#N/A</v>
      </c>
      <c r="N156" t="e">
        <f>_xlfn.XLOOKUP(L156,EGPro!A:A,EGPro!C:C)</f>
        <v>#N/A</v>
      </c>
      <c r="O156" t="e">
        <f t="shared" si="10"/>
        <v>#N/A</v>
      </c>
      <c r="P156" t="e">
        <f>_xlfn.XLOOKUP(O156,EGPro!A:A,EGPro!D:D)</f>
        <v>#N/A</v>
      </c>
      <c r="Q156" t="e">
        <f>_xlfn.XLOOKUP(O156,EGPro!A:A,EGPro!C:C)</f>
        <v>#N/A</v>
      </c>
    </row>
    <row r="157" spans="1:17" x14ac:dyDescent="0.45">
      <c r="A157" s="3">
        <f>配列!B157</f>
        <v>0</v>
      </c>
      <c r="B157" s="3" t="e">
        <f>_xlfn.XLOOKUP(A157,対応表!A:A,対応表!B:B)</f>
        <v>#N/A</v>
      </c>
      <c r="C157" s="3">
        <f>配列!C157</f>
        <v>0</v>
      </c>
      <c r="D157" s="3" t="str">
        <f>IF(配列!E157="",RIGHT(配列!D157&amp;配列!E157,4)&amp;"L",RIGHT(配列!D157&amp;配列!E157,5))</f>
        <v>L</v>
      </c>
      <c r="E157" s="3">
        <f t="shared" si="8"/>
        <v>0</v>
      </c>
      <c r="F157" s="3" t="e">
        <f>_xlfn.XLOOKUP(E157,セットアップレポート_紐づけ用!A:A,セットアップレポート_紐づけ用!J:J)</f>
        <v>#N/A</v>
      </c>
      <c r="G157" s="3" t="e">
        <f>_xlfn.XLOOKUP(E157,セットアップレポート_紐づけ用!A:A,セットアップレポート_紐づけ用!V:V)</f>
        <v>#N/A</v>
      </c>
      <c r="H157" s="3">
        <f t="shared" si="11"/>
        <v>-2</v>
      </c>
      <c r="I157" t="str">
        <f>IF(J157=0,"",IF(配列!E157="",マクロ実行!$A$16 &amp;" T"&amp;H157&amp;"-"&amp;RIGHT(配列!D157&amp;配列!E157,2),マクロ実行!$A$16 &amp;" T"&amp;H157&amp;"-"&amp;RIGHT(配列!D157&amp;配列!E157,3)))</f>
        <v/>
      </c>
      <c r="J157">
        <f>配列!F157</f>
        <v>0</v>
      </c>
      <c r="K157" s="2" t="e">
        <f>_xlfn.XLOOKUP(E157,セットアップレポート_紐づけ用!A:A,セットアップレポート_紐づけ用!R:R)</f>
        <v>#N/A</v>
      </c>
      <c r="L157" t="e">
        <f t="shared" si="9"/>
        <v>#N/A</v>
      </c>
      <c r="M157" t="e">
        <f>_xlfn.XLOOKUP(L157,EGPro!A:A,EGPro!D:D)</f>
        <v>#N/A</v>
      </c>
      <c r="N157" t="e">
        <f>_xlfn.XLOOKUP(L157,EGPro!A:A,EGPro!C:C)</f>
        <v>#N/A</v>
      </c>
      <c r="O157" t="e">
        <f t="shared" si="10"/>
        <v>#N/A</v>
      </c>
      <c r="P157" t="e">
        <f>_xlfn.XLOOKUP(O157,EGPro!A:A,EGPro!D:D)</f>
        <v>#N/A</v>
      </c>
      <c r="Q157" t="e">
        <f>_xlfn.XLOOKUP(O157,EGPro!A:A,EGPro!C:C)</f>
        <v>#N/A</v>
      </c>
    </row>
    <row r="158" spans="1:17" x14ac:dyDescent="0.45">
      <c r="A158" s="3">
        <f>配列!B158</f>
        <v>0</v>
      </c>
      <c r="B158" s="3" t="e">
        <f>_xlfn.XLOOKUP(A158,対応表!A:A,対応表!B:B)</f>
        <v>#N/A</v>
      </c>
      <c r="C158" s="3">
        <f>配列!C158</f>
        <v>0</v>
      </c>
      <c r="D158" s="3" t="str">
        <f>IF(配列!E158="",RIGHT(配列!D158&amp;配列!E158,4)&amp;"L",RIGHT(配列!D158&amp;配列!E158,5))</f>
        <v>L</v>
      </c>
      <c r="E158" s="3">
        <f t="shared" si="8"/>
        <v>0</v>
      </c>
      <c r="F158" s="3" t="e">
        <f>_xlfn.XLOOKUP(E158,セットアップレポート_紐づけ用!A:A,セットアップレポート_紐づけ用!J:J)</f>
        <v>#N/A</v>
      </c>
      <c r="G158" s="3" t="e">
        <f>_xlfn.XLOOKUP(E158,セットアップレポート_紐づけ用!A:A,セットアップレポート_紐づけ用!V:V)</f>
        <v>#N/A</v>
      </c>
      <c r="H158" s="3">
        <f t="shared" si="11"/>
        <v>-2</v>
      </c>
      <c r="I158" t="str">
        <f>IF(J158=0,"",IF(配列!E158="",マクロ実行!$A$16 &amp;" T"&amp;H158&amp;"-"&amp;RIGHT(配列!D158&amp;配列!E158,2),マクロ実行!$A$16 &amp;" T"&amp;H158&amp;"-"&amp;RIGHT(配列!D158&amp;配列!E158,3)))</f>
        <v/>
      </c>
      <c r="J158">
        <f>配列!F158</f>
        <v>0</v>
      </c>
      <c r="K158" s="2" t="e">
        <f>_xlfn.XLOOKUP(E158,セットアップレポート_紐づけ用!A:A,セットアップレポート_紐づけ用!R:R)</f>
        <v>#N/A</v>
      </c>
      <c r="L158" t="e">
        <f t="shared" si="9"/>
        <v>#N/A</v>
      </c>
      <c r="M158" t="e">
        <f>_xlfn.XLOOKUP(L158,EGPro!A:A,EGPro!D:D)</f>
        <v>#N/A</v>
      </c>
      <c r="N158" t="e">
        <f>_xlfn.XLOOKUP(L158,EGPro!A:A,EGPro!C:C)</f>
        <v>#N/A</v>
      </c>
      <c r="O158" t="e">
        <f t="shared" si="10"/>
        <v>#N/A</v>
      </c>
      <c r="P158" t="e">
        <f>_xlfn.XLOOKUP(O158,EGPro!A:A,EGPro!D:D)</f>
        <v>#N/A</v>
      </c>
      <c r="Q158" t="e">
        <f>_xlfn.XLOOKUP(O158,EGPro!A:A,EGPro!C:C)</f>
        <v>#N/A</v>
      </c>
    </row>
    <row r="159" spans="1:17" x14ac:dyDescent="0.45">
      <c r="A159" s="3">
        <f>配列!B159</f>
        <v>0</v>
      </c>
      <c r="B159" s="3" t="e">
        <f>_xlfn.XLOOKUP(A159,対応表!A:A,対応表!B:B)</f>
        <v>#N/A</v>
      </c>
      <c r="C159" s="3">
        <f>配列!C159</f>
        <v>0</v>
      </c>
      <c r="D159" s="3" t="str">
        <f>IF(配列!E159="",RIGHT(配列!D159&amp;配列!E159,4)&amp;"L",RIGHT(配列!D159&amp;配列!E159,5))</f>
        <v>L</v>
      </c>
      <c r="E159" s="3">
        <f t="shared" si="8"/>
        <v>0</v>
      </c>
      <c r="F159" s="3" t="e">
        <f>_xlfn.XLOOKUP(E159,セットアップレポート_紐づけ用!A:A,セットアップレポート_紐づけ用!J:J)</f>
        <v>#N/A</v>
      </c>
      <c r="G159" s="3" t="e">
        <f>_xlfn.XLOOKUP(E159,セットアップレポート_紐づけ用!A:A,セットアップレポート_紐づけ用!V:V)</f>
        <v>#N/A</v>
      </c>
      <c r="H159" s="3">
        <f t="shared" si="11"/>
        <v>-2</v>
      </c>
      <c r="I159" t="str">
        <f>IF(J159=0,"",IF(配列!E159="",マクロ実行!$A$16 &amp;" T"&amp;H159&amp;"-"&amp;RIGHT(配列!D159&amp;配列!E159,2),マクロ実行!$A$16 &amp;" T"&amp;H159&amp;"-"&amp;RIGHT(配列!D159&amp;配列!E159,3)))</f>
        <v/>
      </c>
      <c r="J159">
        <f>配列!F159</f>
        <v>0</v>
      </c>
      <c r="K159" s="2" t="e">
        <f>_xlfn.XLOOKUP(E159,セットアップレポート_紐づけ用!A:A,セットアップレポート_紐づけ用!R:R)</f>
        <v>#N/A</v>
      </c>
      <c r="L159" t="e">
        <f t="shared" si="9"/>
        <v>#N/A</v>
      </c>
      <c r="M159" t="e">
        <f>_xlfn.XLOOKUP(L159,EGPro!A:A,EGPro!D:D)</f>
        <v>#N/A</v>
      </c>
      <c r="N159" t="e">
        <f>_xlfn.XLOOKUP(L159,EGPro!A:A,EGPro!C:C)</f>
        <v>#N/A</v>
      </c>
      <c r="O159" t="e">
        <f t="shared" si="10"/>
        <v>#N/A</v>
      </c>
      <c r="P159" t="e">
        <f>_xlfn.XLOOKUP(O159,EGPro!A:A,EGPro!D:D)</f>
        <v>#N/A</v>
      </c>
      <c r="Q159" t="e">
        <f>_xlfn.XLOOKUP(O159,EGPro!A:A,EGPro!C:C)</f>
        <v>#N/A</v>
      </c>
    </row>
    <row r="160" spans="1:17" x14ac:dyDescent="0.45">
      <c r="A160" s="3">
        <f>配列!B160</f>
        <v>0</v>
      </c>
      <c r="B160" s="3" t="e">
        <f>_xlfn.XLOOKUP(A160,対応表!A:A,対応表!B:B)</f>
        <v>#N/A</v>
      </c>
      <c r="C160" s="3">
        <f>配列!C160</f>
        <v>0</v>
      </c>
      <c r="D160" s="3" t="str">
        <f>IF(配列!E160="",RIGHT(配列!D160&amp;配列!E160,4)&amp;"L",RIGHT(配列!D160&amp;配列!E160,5))</f>
        <v>L</v>
      </c>
      <c r="E160" s="3">
        <f t="shared" si="8"/>
        <v>0</v>
      </c>
      <c r="F160" s="3" t="e">
        <f>_xlfn.XLOOKUP(E160,セットアップレポート_紐づけ用!A:A,セットアップレポート_紐づけ用!J:J)</f>
        <v>#N/A</v>
      </c>
      <c r="G160" s="3" t="e">
        <f>_xlfn.XLOOKUP(E160,セットアップレポート_紐づけ用!A:A,セットアップレポート_紐づけ用!V:V)</f>
        <v>#N/A</v>
      </c>
      <c r="H160" s="3">
        <f t="shared" si="11"/>
        <v>-2</v>
      </c>
      <c r="I160" t="str">
        <f>IF(J160=0,"",IF(配列!E160="",マクロ実行!$A$16 &amp;" T"&amp;H160&amp;"-"&amp;RIGHT(配列!D160&amp;配列!E160,2),マクロ実行!$A$16 &amp;" T"&amp;H160&amp;"-"&amp;RIGHT(配列!D160&amp;配列!E160,3)))</f>
        <v/>
      </c>
      <c r="J160">
        <f>配列!F160</f>
        <v>0</v>
      </c>
      <c r="K160" s="2" t="e">
        <f>_xlfn.XLOOKUP(E160,セットアップレポート_紐づけ用!A:A,セットアップレポート_紐づけ用!R:R)</f>
        <v>#N/A</v>
      </c>
      <c r="L160" t="e">
        <f t="shared" si="9"/>
        <v>#N/A</v>
      </c>
      <c r="M160" t="e">
        <f>_xlfn.XLOOKUP(L160,EGPro!A:A,EGPro!D:D)</f>
        <v>#N/A</v>
      </c>
      <c r="N160" t="e">
        <f>_xlfn.XLOOKUP(L160,EGPro!A:A,EGPro!C:C)</f>
        <v>#N/A</v>
      </c>
      <c r="O160" t="e">
        <f t="shared" si="10"/>
        <v>#N/A</v>
      </c>
      <c r="P160" t="e">
        <f>_xlfn.XLOOKUP(O160,EGPro!A:A,EGPro!D:D)</f>
        <v>#N/A</v>
      </c>
      <c r="Q160" t="e">
        <f>_xlfn.XLOOKUP(O160,EGPro!A:A,EGPro!C:C)</f>
        <v>#N/A</v>
      </c>
    </row>
    <row r="161" spans="1:17" x14ac:dyDescent="0.45">
      <c r="A161" s="3">
        <f>配列!B161</f>
        <v>0</v>
      </c>
      <c r="B161" s="3" t="e">
        <f>_xlfn.XLOOKUP(A161,対応表!A:A,対応表!B:B)</f>
        <v>#N/A</v>
      </c>
      <c r="C161" s="3">
        <f>配列!C161</f>
        <v>0</v>
      </c>
      <c r="D161" s="3" t="str">
        <f>IF(配列!E161="",RIGHT(配列!D161&amp;配列!E161,4)&amp;"L",RIGHT(配列!D161&amp;配列!E161,5))</f>
        <v>L</v>
      </c>
      <c r="E161" s="3">
        <f t="shared" si="8"/>
        <v>0</v>
      </c>
      <c r="F161" s="3" t="e">
        <f>_xlfn.XLOOKUP(E161,セットアップレポート_紐づけ用!A:A,セットアップレポート_紐づけ用!J:J)</f>
        <v>#N/A</v>
      </c>
      <c r="G161" s="3" t="e">
        <f>_xlfn.XLOOKUP(E161,セットアップレポート_紐づけ用!A:A,セットアップレポート_紐づけ用!V:V)</f>
        <v>#N/A</v>
      </c>
      <c r="H161" s="3">
        <f t="shared" si="11"/>
        <v>-2</v>
      </c>
      <c r="I161" t="str">
        <f>IF(J161=0,"",IF(配列!E161="",マクロ実行!$A$16 &amp;" T"&amp;H161&amp;"-"&amp;RIGHT(配列!D161&amp;配列!E161,2),マクロ実行!$A$16 &amp;" T"&amp;H161&amp;"-"&amp;RIGHT(配列!D161&amp;配列!E161,3)))</f>
        <v/>
      </c>
      <c r="J161">
        <f>配列!F161</f>
        <v>0</v>
      </c>
      <c r="K161" s="2" t="e">
        <f>_xlfn.XLOOKUP(E161,セットアップレポート_紐づけ用!A:A,セットアップレポート_紐づけ用!R:R)</f>
        <v>#N/A</v>
      </c>
      <c r="L161" t="e">
        <f t="shared" si="9"/>
        <v>#N/A</v>
      </c>
      <c r="M161" t="e">
        <f>_xlfn.XLOOKUP(L161,EGPro!A:A,EGPro!D:D)</f>
        <v>#N/A</v>
      </c>
      <c r="N161" t="e">
        <f>_xlfn.XLOOKUP(L161,EGPro!A:A,EGPro!C:C)</f>
        <v>#N/A</v>
      </c>
      <c r="O161" t="e">
        <f t="shared" si="10"/>
        <v>#N/A</v>
      </c>
      <c r="P161" t="e">
        <f>_xlfn.XLOOKUP(O161,EGPro!A:A,EGPro!D:D)</f>
        <v>#N/A</v>
      </c>
      <c r="Q161" t="e">
        <f>_xlfn.XLOOKUP(O161,EGPro!A:A,EGPro!C:C)</f>
        <v>#N/A</v>
      </c>
    </row>
    <row r="162" spans="1:17" x14ac:dyDescent="0.45">
      <c r="A162" s="3">
        <f>配列!B162</f>
        <v>0</v>
      </c>
      <c r="B162" s="3" t="e">
        <f>_xlfn.XLOOKUP(A162,対応表!A:A,対応表!B:B)</f>
        <v>#N/A</v>
      </c>
      <c r="C162" s="3">
        <f>配列!C162</f>
        <v>0</v>
      </c>
      <c r="D162" s="3" t="str">
        <f>IF(配列!E162="",RIGHT(配列!D162&amp;配列!E162,4)&amp;"L",RIGHT(配列!D162&amp;配列!E162,5))</f>
        <v>L</v>
      </c>
      <c r="E162" s="3">
        <f t="shared" si="8"/>
        <v>0</v>
      </c>
      <c r="F162" s="3" t="e">
        <f>_xlfn.XLOOKUP(E162,セットアップレポート_紐づけ用!A:A,セットアップレポート_紐づけ用!J:J)</f>
        <v>#N/A</v>
      </c>
      <c r="G162" s="3" t="e">
        <f>_xlfn.XLOOKUP(E162,セットアップレポート_紐づけ用!A:A,セットアップレポート_紐づけ用!V:V)</f>
        <v>#N/A</v>
      </c>
      <c r="H162" s="3">
        <f t="shared" si="11"/>
        <v>-2</v>
      </c>
      <c r="I162" t="str">
        <f>IF(J162=0,"",IF(配列!E162="",マクロ実行!$A$16 &amp;" T"&amp;H162&amp;"-"&amp;RIGHT(配列!D162&amp;配列!E162,2),マクロ実行!$A$16 &amp;" T"&amp;H162&amp;"-"&amp;RIGHT(配列!D162&amp;配列!E162,3)))</f>
        <v/>
      </c>
      <c r="J162">
        <f>配列!F162</f>
        <v>0</v>
      </c>
      <c r="K162" s="2" t="e">
        <f>_xlfn.XLOOKUP(E162,セットアップレポート_紐づけ用!A:A,セットアップレポート_紐づけ用!R:R)</f>
        <v>#N/A</v>
      </c>
      <c r="L162" t="e">
        <f t="shared" si="9"/>
        <v>#N/A</v>
      </c>
      <c r="M162" t="e">
        <f>_xlfn.XLOOKUP(L162,EGPro!A:A,EGPro!D:D)</f>
        <v>#N/A</v>
      </c>
      <c r="N162" t="e">
        <f>_xlfn.XLOOKUP(L162,EGPro!A:A,EGPro!C:C)</f>
        <v>#N/A</v>
      </c>
      <c r="O162" t="e">
        <f t="shared" si="10"/>
        <v>#N/A</v>
      </c>
      <c r="P162" t="e">
        <f>_xlfn.XLOOKUP(O162,EGPro!A:A,EGPro!D:D)</f>
        <v>#N/A</v>
      </c>
      <c r="Q162" t="e">
        <f>_xlfn.XLOOKUP(O162,EGPro!A:A,EGPro!C:C)</f>
        <v>#N/A</v>
      </c>
    </row>
    <row r="163" spans="1:17" x14ac:dyDescent="0.45">
      <c r="A163" s="3">
        <f>配列!B163</f>
        <v>0</v>
      </c>
      <c r="B163" s="3" t="e">
        <f>_xlfn.XLOOKUP(A163,対応表!A:A,対応表!B:B)</f>
        <v>#N/A</v>
      </c>
      <c r="C163" s="3">
        <f>配列!C163</f>
        <v>0</v>
      </c>
      <c r="D163" s="3" t="str">
        <f>IF(配列!E163="",RIGHT(配列!D163&amp;配列!E163,4)&amp;"L",RIGHT(配列!D163&amp;配列!E163,5))</f>
        <v>L</v>
      </c>
      <c r="E163" s="3">
        <f t="shared" si="8"/>
        <v>0</v>
      </c>
      <c r="F163" s="3" t="e">
        <f>_xlfn.XLOOKUP(E163,セットアップレポート_紐づけ用!A:A,セットアップレポート_紐づけ用!J:J)</f>
        <v>#N/A</v>
      </c>
      <c r="G163" s="3" t="e">
        <f>_xlfn.XLOOKUP(E163,セットアップレポート_紐づけ用!A:A,セットアップレポート_紐づけ用!V:V)</f>
        <v>#N/A</v>
      </c>
      <c r="H163" s="3">
        <f t="shared" si="11"/>
        <v>-2</v>
      </c>
      <c r="I163" t="str">
        <f>IF(J163=0,"",IF(配列!E163="",マクロ実行!$A$16 &amp;" T"&amp;H163&amp;"-"&amp;RIGHT(配列!D163&amp;配列!E163,2),マクロ実行!$A$16 &amp;" T"&amp;H163&amp;"-"&amp;RIGHT(配列!D163&amp;配列!E163,3)))</f>
        <v/>
      </c>
      <c r="J163">
        <f>配列!F163</f>
        <v>0</v>
      </c>
      <c r="K163" s="2" t="e">
        <f>_xlfn.XLOOKUP(E163,セットアップレポート_紐づけ用!A:A,セットアップレポート_紐づけ用!R:R)</f>
        <v>#N/A</v>
      </c>
      <c r="L163" t="e">
        <f t="shared" si="9"/>
        <v>#N/A</v>
      </c>
      <c r="M163" t="e">
        <f>_xlfn.XLOOKUP(L163,EGPro!A:A,EGPro!D:D)</f>
        <v>#N/A</v>
      </c>
      <c r="N163" t="e">
        <f>_xlfn.XLOOKUP(L163,EGPro!A:A,EGPro!C:C)</f>
        <v>#N/A</v>
      </c>
      <c r="O163" t="e">
        <f t="shared" si="10"/>
        <v>#N/A</v>
      </c>
      <c r="P163" t="e">
        <f>_xlfn.XLOOKUP(O163,EGPro!A:A,EGPro!D:D)</f>
        <v>#N/A</v>
      </c>
      <c r="Q163" t="e">
        <f>_xlfn.XLOOKUP(O163,EGPro!A:A,EGPro!C:C)</f>
        <v>#N/A</v>
      </c>
    </row>
    <row r="164" spans="1:17" x14ac:dyDescent="0.45">
      <c r="A164" s="3">
        <f>配列!B164</f>
        <v>0</v>
      </c>
      <c r="B164" s="3" t="e">
        <f>_xlfn.XLOOKUP(A164,対応表!A:A,対応表!B:B)</f>
        <v>#N/A</v>
      </c>
      <c r="C164" s="3">
        <f>配列!C164</f>
        <v>0</v>
      </c>
      <c r="D164" s="3" t="str">
        <f>IF(配列!E164="",RIGHT(配列!D164&amp;配列!E164,4)&amp;"L",RIGHT(配列!D164&amp;配列!E164,5))</f>
        <v>L</v>
      </c>
      <c r="E164" s="3">
        <f t="shared" si="8"/>
        <v>0</v>
      </c>
      <c r="F164" s="3" t="e">
        <f>_xlfn.XLOOKUP(E164,セットアップレポート_紐づけ用!A:A,セットアップレポート_紐づけ用!J:J)</f>
        <v>#N/A</v>
      </c>
      <c r="G164" s="3" t="e">
        <f>_xlfn.XLOOKUP(E164,セットアップレポート_紐づけ用!A:A,セットアップレポート_紐づけ用!V:V)</f>
        <v>#N/A</v>
      </c>
      <c r="H164" s="3">
        <f t="shared" si="11"/>
        <v>-2</v>
      </c>
      <c r="I164" t="str">
        <f>IF(J164=0,"",IF(配列!E164="",マクロ実行!$A$16 &amp;" T"&amp;H164&amp;"-"&amp;RIGHT(配列!D164&amp;配列!E164,2),マクロ実行!$A$16 &amp;" T"&amp;H164&amp;"-"&amp;RIGHT(配列!D164&amp;配列!E164,3)))</f>
        <v/>
      </c>
      <c r="J164">
        <f>配列!F164</f>
        <v>0</v>
      </c>
      <c r="K164" s="2" t="e">
        <f>_xlfn.XLOOKUP(E164,セットアップレポート_紐づけ用!A:A,セットアップレポート_紐づけ用!R:R)</f>
        <v>#N/A</v>
      </c>
      <c r="L164" t="e">
        <f t="shared" si="9"/>
        <v>#N/A</v>
      </c>
      <c r="M164" t="e">
        <f>_xlfn.XLOOKUP(L164,EGPro!A:A,EGPro!D:D)</f>
        <v>#N/A</v>
      </c>
      <c r="N164" t="e">
        <f>_xlfn.XLOOKUP(L164,EGPro!A:A,EGPro!C:C)</f>
        <v>#N/A</v>
      </c>
      <c r="O164" t="e">
        <f t="shared" si="10"/>
        <v>#N/A</v>
      </c>
      <c r="P164" t="e">
        <f>_xlfn.XLOOKUP(O164,EGPro!A:A,EGPro!D:D)</f>
        <v>#N/A</v>
      </c>
      <c r="Q164" t="e">
        <f>_xlfn.XLOOKUP(O164,EGPro!A:A,EGPro!C:C)</f>
        <v>#N/A</v>
      </c>
    </row>
    <row r="165" spans="1:17" x14ac:dyDescent="0.45">
      <c r="A165" s="3">
        <f>配列!B165</f>
        <v>0</v>
      </c>
      <c r="B165" s="3" t="e">
        <f>_xlfn.XLOOKUP(A165,対応表!A:A,対応表!B:B)</f>
        <v>#N/A</v>
      </c>
      <c r="C165" s="3">
        <f>配列!C165</f>
        <v>0</v>
      </c>
      <c r="D165" s="3" t="str">
        <f>IF(配列!E165="",RIGHT(配列!D165&amp;配列!E165,4)&amp;"L",RIGHT(配列!D165&amp;配列!E165,5))</f>
        <v>L</v>
      </c>
      <c r="E165" s="3">
        <f t="shared" si="8"/>
        <v>0</v>
      </c>
      <c r="F165" s="3" t="e">
        <f>_xlfn.XLOOKUP(E165,セットアップレポート_紐づけ用!A:A,セットアップレポート_紐づけ用!J:J)</f>
        <v>#N/A</v>
      </c>
      <c r="G165" s="3" t="e">
        <f>_xlfn.XLOOKUP(E165,セットアップレポート_紐づけ用!A:A,セットアップレポート_紐づけ用!V:V)</f>
        <v>#N/A</v>
      </c>
      <c r="H165" s="3">
        <f t="shared" si="11"/>
        <v>-2</v>
      </c>
      <c r="I165" t="str">
        <f>IF(J165=0,"",IF(配列!E165="",マクロ実行!$A$16 &amp;" T"&amp;H165&amp;"-"&amp;RIGHT(配列!D165&amp;配列!E165,2),マクロ実行!$A$16 &amp;" T"&amp;H165&amp;"-"&amp;RIGHT(配列!D165&amp;配列!E165,3)))</f>
        <v/>
      </c>
      <c r="J165">
        <f>配列!F165</f>
        <v>0</v>
      </c>
      <c r="K165" s="2" t="e">
        <f>_xlfn.XLOOKUP(E165,セットアップレポート_紐づけ用!A:A,セットアップレポート_紐づけ用!R:R)</f>
        <v>#N/A</v>
      </c>
      <c r="L165" t="e">
        <f t="shared" si="9"/>
        <v>#N/A</v>
      </c>
      <c r="M165" t="e">
        <f>_xlfn.XLOOKUP(L165,EGPro!A:A,EGPro!D:D)</f>
        <v>#N/A</v>
      </c>
      <c r="N165" t="e">
        <f>_xlfn.XLOOKUP(L165,EGPro!A:A,EGPro!C:C)</f>
        <v>#N/A</v>
      </c>
      <c r="O165" t="e">
        <f t="shared" si="10"/>
        <v>#N/A</v>
      </c>
      <c r="P165" t="e">
        <f>_xlfn.XLOOKUP(O165,EGPro!A:A,EGPro!D:D)</f>
        <v>#N/A</v>
      </c>
      <c r="Q165" t="e">
        <f>_xlfn.XLOOKUP(O165,EGPro!A:A,EGPro!C:C)</f>
        <v>#N/A</v>
      </c>
    </row>
    <row r="166" spans="1:17" x14ac:dyDescent="0.45">
      <c r="A166" s="3">
        <f>配列!B166</f>
        <v>0</v>
      </c>
      <c r="B166" s="3" t="e">
        <f>_xlfn.XLOOKUP(A166,対応表!A:A,対応表!B:B)</f>
        <v>#N/A</v>
      </c>
      <c r="C166" s="3">
        <f>配列!C166</f>
        <v>0</v>
      </c>
      <c r="D166" s="3" t="str">
        <f>IF(配列!E166="",RIGHT(配列!D166&amp;配列!E166,4)&amp;"L",RIGHT(配列!D166&amp;配列!E166,5))</f>
        <v>L</v>
      </c>
      <c r="E166" s="3">
        <f t="shared" si="8"/>
        <v>0</v>
      </c>
      <c r="F166" s="3" t="e">
        <f>_xlfn.XLOOKUP(E166,セットアップレポート_紐づけ用!A:A,セットアップレポート_紐づけ用!J:J)</f>
        <v>#N/A</v>
      </c>
      <c r="G166" s="3" t="e">
        <f>_xlfn.XLOOKUP(E166,セットアップレポート_紐づけ用!A:A,セットアップレポート_紐づけ用!V:V)</f>
        <v>#N/A</v>
      </c>
      <c r="H166" s="3">
        <f t="shared" si="11"/>
        <v>-2</v>
      </c>
      <c r="I166" t="str">
        <f>IF(J166=0,"",IF(配列!E166="",マクロ実行!$A$16 &amp;" T"&amp;H166&amp;"-"&amp;RIGHT(配列!D166&amp;配列!E166,2),マクロ実行!$A$16 &amp;" T"&amp;H166&amp;"-"&amp;RIGHT(配列!D166&amp;配列!E166,3)))</f>
        <v/>
      </c>
      <c r="J166">
        <f>配列!F166</f>
        <v>0</v>
      </c>
      <c r="K166" s="2" t="e">
        <f>_xlfn.XLOOKUP(E166,セットアップレポート_紐づけ用!A:A,セットアップレポート_紐づけ用!R:R)</f>
        <v>#N/A</v>
      </c>
      <c r="L166" t="e">
        <f t="shared" si="9"/>
        <v>#N/A</v>
      </c>
      <c r="M166" t="e">
        <f>_xlfn.XLOOKUP(L166,EGPro!A:A,EGPro!D:D)</f>
        <v>#N/A</v>
      </c>
      <c r="N166" t="e">
        <f>_xlfn.XLOOKUP(L166,EGPro!A:A,EGPro!C:C)</f>
        <v>#N/A</v>
      </c>
      <c r="O166" t="e">
        <f t="shared" si="10"/>
        <v>#N/A</v>
      </c>
      <c r="P166" t="e">
        <f>_xlfn.XLOOKUP(O166,EGPro!A:A,EGPro!D:D)</f>
        <v>#N/A</v>
      </c>
      <c r="Q166" t="e">
        <f>_xlfn.XLOOKUP(O166,EGPro!A:A,EGPro!C:C)</f>
        <v>#N/A</v>
      </c>
    </row>
    <row r="167" spans="1:17" x14ac:dyDescent="0.45">
      <c r="A167" s="3">
        <f>配列!B167</f>
        <v>0</v>
      </c>
      <c r="B167" s="3" t="e">
        <f>_xlfn.XLOOKUP(A167,対応表!A:A,対応表!B:B)</f>
        <v>#N/A</v>
      </c>
      <c r="C167" s="3">
        <f>配列!C167</f>
        <v>0</v>
      </c>
      <c r="D167" s="3" t="str">
        <f>IF(配列!E167="",RIGHT(配列!D167&amp;配列!E167,4)&amp;"L",RIGHT(配列!D167&amp;配列!E167,5))</f>
        <v>L</v>
      </c>
      <c r="E167" s="3">
        <f t="shared" si="8"/>
        <v>0</v>
      </c>
      <c r="F167" s="3" t="e">
        <f>_xlfn.XLOOKUP(E167,セットアップレポート_紐づけ用!A:A,セットアップレポート_紐づけ用!J:J)</f>
        <v>#N/A</v>
      </c>
      <c r="G167" s="3" t="e">
        <f>_xlfn.XLOOKUP(E167,セットアップレポート_紐づけ用!A:A,セットアップレポート_紐づけ用!V:V)</f>
        <v>#N/A</v>
      </c>
      <c r="H167" s="3">
        <f t="shared" si="11"/>
        <v>-2</v>
      </c>
      <c r="I167" t="str">
        <f>IF(J167=0,"",IF(配列!E167="",マクロ実行!$A$16 &amp;" T"&amp;H167&amp;"-"&amp;RIGHT(配列!D167&amp;配列!E167,2),マクロ実行!$A$16 &amp;" T"&amp;H167&amp;"-"&amp;RIGHT(配列!D167&amp;配列!E167,3)))</f>
        <v/>
      </c>
      <c r="J167">
        <f>配列!F167</f>
        <v>0</v>
      </c>
      <c r="K167" s="2" t="e">
        <f>_xlfn.XLOOKUP(E167,セットアップレポート_紐づけ用!A:A,セットアップレポート_紐づけ用!R:R)</f>
        <v>#N/A</v>
      </c>
      <c r="L167" t="e">
        <f t="shared" si="9"/>
        <v>#N/A</v>
      </c>
      <c r="M167" t="e">
        <f>_xlfn.XLOOKUP(L167,EGPro!A:A,EGPro!D:D)</f>
        <v>#N/A</v>
      </c>
      <c r="N167" t="e">
        <f>_xlfn.XLOOKUP(L167,EGPro!A:A,EGPro!C:C)</f>
        <v>#N/A</v>
      </c>
      <c r="O167" t="e">
        <f t="shared" si="10"/>
        <v>#N/A</v>
      </c>
      <c r="P167" t="e">
        <f>_xlfn.XLOOKUP(O167,EGPro!A:A,EGPro!D:D)</f>
        <v>#N/A</v>
      </c>
      <c r="Q167" t="e">
        <f>_xlfn.XLOOKUP(O167,EGPro!A:A,EGPro!C:C)</f>
        <v>#N/A</v>
      </c>
    </row>
    <row r="168" spans="1:17" x14ac:dyDescent="0.45">
      <c r="A168" s="3">
        <f>配列!B168</f>
        <v>0</v>
      </c>
      <c r="B168" s="3" t="e">
        <f>_xlfn.XLOOKUP(A168,対応表!A:A,対応表!B:B)</f>
        <v>#N/A</v>
      </c>
      <c r="C168" s="3">
        <f>配列!C168</f>
        <v>0</v>
      </c>
      <c r="D168" s="3" t="str">
        <f>IF(配列!E168="",RIGHT(配列!D168&amp;配列!E168,4)&amp;"L",RIGHT(配列!D168&amp;配列!E168,5))</f>
        <v>L</v>
      </c>
      <c r="E168" s="3">
        <f t="shared" si="8"/>
        <v>0</v>
      </c>
      <c r="F168" s="3" t="e">
        <f>_xlfn.XLOOKUP(E168,セットアップレポート_紐づけ用!A:A,セットアップレポート_紐づけ用!J:J)</f>
        <v>#N/A</v>
      </c>
      <c r="G168" s="3" t="e">
        <f>_xlfn.XLOOKUP(E168,セットアップレポート_紐づけ用!A:A,セットアップレポート_紐づけ用!V:V)</f>
        <v>#N/A</v>
      </c>
      <c r="H168" s="3">
        <f t="shared" si="11"/>
        <v>-2</v>
      </c>
      <c r="I168" t="str">
        <f>IF(J168=0,"",IF(配列!E168="",マクロ実行!$A$16 &amp;" T"&amp;H168&amp;"-"&amp;RIGHT(配列!D168&amp;配列!E168,2),マクロ実行!$A$16 &amp;" T"&amp;H168&amp;"-"&amp;RIGHT(配列!D168&amp;配列!E168,3)))</f>
        <v/>
      </c>
      <c r="J168">
        <f>配列!F168</f>
        <v>0</v>
      </c>
      <c r="K168" s="2" t="e">
        <f>_xlfn.XLOOKUP(E168,セットアップレポート_紐づけ用!A:A,セットアップレポート_紐づけ用!R:R)</f>
        <v>#N/A</v>
      </c>
      <c r="L168" t="e">
        <f t="shared" si="9"/>
        <v>#N/A</v>
      </c>
      <c r="M168" t="e">
        <f>_xlfn.XLOOKUP(L168,EGPro!A:A,EGPro!D:D)</f>
        <v>#N/A</v>
      </c>
      <c r="N168" t="e">
        <f>_xlfn.XLOOKUP(L168,EGPro!A:A,EGPro!C:C)</f>
        <v>#N/A</v>
      </c>
      <c r="O168" t="e">
        <f t="shared" si="10"/>
        <v>#N/A</v>
      </c>
      <c r="P168" t="e">
        <f>_xlfn.XLOOKUP(O168,EGPro!A:A,EGPro!D:D)</f>
        <v>#N/A</v>
      </c>
      <c r="Q168" t="e">
        <f>_xlfn.XLOOKUP(O168,EGPro!A:A,EGPro!C:C)</f>
        <v>#N/A</v>
      </c>
    </row>
    <row r="169" spans="1:17" x14ac:dyDescent="0.45">
      <c r="A169" s="3">
        <f>配列!B169</f>
        <v>0</v>
      </c>
      <c r="B169" s="3" t="e">
        <f>_xlfn.XLOOKUP(A169,対応表!A:A,対応表!B:B)</f>
        <v>#N/A</v>
      </c>
      <c r="C169" s="3">
        <f>配列!C169</f>
        <v>0</v>
      </c>
      <c r="D169" s="3" t="str">
        <f>IF(配列!E169="",RIGHT(配列!D169&amp;配列!E169,4)&amp;"L",RIGHT(配列!D169&amp;配列!E169,5))</f>
        <v>L</v>
      </c>
      <c r="E169" s="3">
        <f t="shared" si="8"/>
        <v>0</v>
      </c>
      <c r="F169" s="3" t="e">
        <f>_xlfn.XLOOKUP(E169,セットアップレポート_紐づけ用!A:A,セットアップレポート_紐づけ用!J:J)</f>
        <v>#N/A</v>
      </c>
      <c r="G169" s="3" t="e">
        <f>_xlfn.XLOOKUP(E169,セットアップレポート_紐づけ用!A:A,セットアップレポート_紐づけ用!V:V)</f>
        <v>#N/A</v>
      </c>
      <c r="H169" s="3">
        <f t="shared" si="11"/>
        <v>-2</v>
      </c>
      <c r="I169" t="str">
        <f>IF(J169=0,"",IF(配列!E169="",マクロ実行!$A$16 &amp;" T"&amp;H169&amp;"-"&amp;RIGHT(配列!D169&amp;配列!E169,2),マクロ実行!$A$16 &amp;" T"&amp;H169&amp;"-"&amp;RIGHT(配列!D169&amp;配列!E169,3)))</f>
        <v/>
      </c>
      <c r="J169">
        <f>配列!F169</f>
        <v>0</v>
      </c>
      <c r="K169" s="2" t="e">
        <f>_xlfn.XLOOKUP(E169,セットアップレポート_紐づけ用!A:A,セットアップレポート_紐づけ用!R:R)</f>
        <v>#N/A</v>
      </c>
      <c r="L169" t="e">
        <f t="shared" si="9"/>
        <v>#N/A</v>
      </c>
      <c r="M169" t="e">
        <f>_xlfn.XLOOKUP(L169,EGPro!A:A,EGPro!D:D)</f>
        <v>#N/A</v>
      </c>
      <c r="N169" t="e">
        <f>_xlfn.XLOOKUP(L169,EGPro!A:A,EGPro!C:C)</f>
        <v>#N/A</v>
      </c>
      <c r="O169" t="e">
        <f t="shared" si="10"/>
        <v>#N/A</v>
      </c>
      <c r="P169" t="e">
        <f>_xlfn.XLOOKUP(O169,EGPro!A:A,EGPro!D:D)</f>
        <v>#N/A</v>
      </c>
      <c r="Q169" t="e">
        <f>_xlfn.XLOOKUP(O169,EGPro!A:A,EGPro!C:C)</f>
        <v>#N/A</v>
      </c>
    </row>
    <row r="170" spans="1:17" x14ac:dyDescent="0.45">
      <c r="A170" s="3">
        <f>配列!B170</f>
        <v>0</v>
      </c>
      <c r="B170" s="3" t="e">
        <f>_xlfn.XLOOKUP(A170,対応表!A:A,対応表!B:B)</f>
        <v>#N/A</v>
      </c>
      <c r="C170" s="3">
        <f>配列!C170</f>
        <v>0</v>
      </c>
      <c r="D170" s="3" t="str">
        <f>IF(配列!E170="",RIGHT(配列!D170&amp;配列!E170,4)&amp;"L",RIGHT(配列!D170&amp;配列!E170,5))</f>
        <v>L</v>
      </c>
      <c r="E170" s="3">
        <f t="shared" si="8"/>
        <v>0</v>
      </c>
      <c r="F170" s="3" t="e">
        <f>_xlfn.XLOOKUP(E170,セットアップレポート_紐づけ用!A:A,セットアップレポート_紐づけ用!J:J)</f>
        <v>#N/A</v>
      </c>
      <c r="G170" s="3" t="e">
        <f>_xlfn.XLOOKUP(E170,セットアップレポート_紐づけ用!A:A,セットアップレポート_紐づけ用!V:V)</f>
        <v>#N/A</v>
      </c>
      <c r="H170" s="3">
        <f t="shared" si="11"/>
        <v>-2</v>
      </c>
      <c r="I170" t="str">
        <f>IF(J170=0,"",IF(配列!E170="",マクロ実行!$A$16 &amp;" T"&amp;H170&amp;"-"&amp;RIGHT(配列!D170&amp;配列!E170,2),マクロ実行!$A$16 &amp;" T"&amp;H170&amp;"-"&amp;RIGHT(配列!D170&amp;配列!E170,3)))</f>
        <v/>
      </c>
      <c r="J170">
        <f>配列!F170</f>
        <v>0</v>
      </c>
      <c r="K170" s="2" t="e">
        <f>_xlfn.XLOOKUP(E170,セットアップレポート_紐づけ用!A:A,セットアップレポート_紐づけ用!R:R)</f>
        <v>#N/A</v>
      </c>
      <c r="L170" t="e">
        <f t="shared" si="9"/>
        <v>#N/A</v>
      </c>
      <c r="M170" t="e">
        <f>_xlfn.XLOOKUP(L170,EGPro!A:A,EGPro!D:D)</f>
        <v>#N/A</v>
      </c>
      <c r="N170" t="e">
        <f>_xlfn.XLOOKUP(L170,EGPro!A:A,EGPro!C:C)</f>
        <v>#N/A</v>
      </c>
      <c r="O170" t="e">
        <f t="shared" si="10"/>
        <v>#N/A</v>
      </c>
      <c r="P170" t="e">
        <f>_xlfn.XLOOKUP(O170,EGPro!A:A,EGPro!D:D)</f>
        <v>#N/A</v>
      </c>
      <c r="Q170" t="e">
        <f>_xlfn.XLOOKUP(O170,EGPro!A:A,EGPro!C:C)</f>
        <v>#N/A</v>
      </c>
    </row>
    <row r="171" spans="1:17" x14ac:dyDescent="0.45">
      <c r="A171" s="3">
        <f>配列!B171</f>
        <v>0</v>
      </c>
      <c r="B171" s="3" t="e">
        <f>_xlfn.XLOOKUP(A171,対応表!A:A,対応表!B:B)</f>
        <v>#N/A</v>
      </c>
      <c r="C171" s="3">
        <f>配列!C171</f>
        <v>0</v>
      </c>
      <c r="D171" s="3" t="str">
        <f>IF(配列!E171="",RIGHT(配列!D171&amp;配列!E171,4)&amp;"L",RIGHT(配列!D171&amp;配列!E171,5))</f>
        <v>L</v>
      </c>
      <c r="E171" s="3">
        <f t="shared" si="8"/>
        <v>0</v>
      </c>
      <c r="F171" s="3" t="e">
        <f>_xlfn.XLOOKUP(E171,セットアップレポート_紐づけ用!A:A,セットアップレポート_紐づけ用!J:J)</f>
        <v>#N/A</v>
      </c>
      <c r="G171" s="3" t="e">
        <f>_xlfn.XLOOKUP(E171,セットアップレポート_紐づけ用!A:A,セットアップレポート_紐づけ用!V:V)</f>
        <v>#N/A</v>
      </c>
      <c r="H171" s="3">
        <f t="shared" si="11"/>
        <v>-2</v>
      </c>
      <c r="I171" t="str">
        <f>IF(J171=0,"",IF(配列!E171="",マクロ実行!$A$16 &amp;" T"&amp;H171&amp;"-"&amp;RIGHT(配列!D171&amp;配列!E171,2),マクロ実行!$A$16 &amp;" T"&amp;H171&amp;"-"&amp;RIGHT(配列!D171&amp;配列!E171,3)))</f>
        <v/>
      </c>
      <c r="J171">
        <f>配列!F171</f>
        <v>0</v>
      </c>
      <c r="K171" s="2" t="e">
        <f>_xlfn.XLOOKUP(E171,セットアップレポート_紐づけ用!A:A,セットアップレポート_紐づけ用!R:R)</f>
        <v>#N/A</v>
      </c>
      <c r="L171" t="e">
        <f t="shared" si="9"/>
        <v>#N/A</v>
      </c>
      <c r="M171" t="e">
        <f>_xlfn.XLOOKUP(L171,EGPro!A:A,EGPro!D:D)</f>
        <v>#N/A</v>
      </c>
      <c r="N171" t="e">
        <f>_xlfn.XLOOKUP(L171,EGPro!A:A,EGPro!C:C)</f>
        <v>#N/A</v>
      </c>
      <c r="O171" t="e">
        <f t="shared" si="10"/>
        <v>#N/A</v>
      </c>
      <c r="P171" t="e">
        <f>_xlfn.XLOOKUP(O171,EGPro!A:A,EGPro!D:D)</f>
        <v>#N/A</v>
      </c>
      <c r="Q171" t="e">
        <f>_xlfn.XLOOKUP(O171,EGPro!A:A,EGPro!C:C)</f>
        <v>#N/A</v>
      </c>
    </row>
    <row r="172" spans="1:17" x14ac:dyDescent="0.45">
      <c r="A172" s="3">
        <f>配列!B172</f>
        <v>0</v>
      </c>
      <c r="B172" s="3" t="e">
        <f>_xlfn.XLOOKUP(A172,対応表!A:A,対応表!B:B)</f>
        <v>#N/A</v>
      </c>
      <c r="C172" s="3">
        <f>配列!C172</f>
        <v>0</v>
      </c>
      <c r="D172" s="3" t="str">
        <f>IF(配列!E172="",RIGHT(配列!D172&amp;配列!E172,4)&amp;"L",RIGHT(配列!D172&amp;配列!E172,5))</f>
        <v>L</v>
      </c>
      <c r="E172" s="3">
        <f t="shared" si="8"/>
        <v>0</v>
      </c>
      <c r="F172" s="3" t="e">
        <f>_xlfn.XLOOKUP(E172,セットアップレポート_紐づけ用!A:A,セットアップレポート_紐づけ用!J:J)</f>
        <v>#N/A</v>
      </c>
      <c r="G172" s="3" t="e">
        <f>_xlfn.XLOOKUP(E172,セットアップレポート_紐づけ用!A:A,セットアップレポート_紐づけ用!V:V)</f>
        <v>#N/A</v>
      </c>
      <c r="H172" s="3">
        <f t="shared" si="11"/>
        <v>-2</v>
      </c>
      <c r="I172" t="str">
        <f>IF(J172=0,"",IF(配列!E172="",マクロ実行!$A$16 &amp;" T"&amp;H172&amp;"-"&amp;RIGHT(配列!D172&amp;配列!E172,2),マクロ実行!$A$16 &amp;" T"&amp;H172&amp;"-"&amp;RIGHT(配列!D172&amp;配列!E172,3)))</f>
        <v/>
      </c>
      <c r="J172">
        <f>配列!F172</f>
        <v>0</v>
      </c>
      <c r="K172" s="2" t="e">
        <f>_xlfn.XLOOKUP(E172,セットアップレポート_紐づけ用!A:A,セットアップレポート_紐づけ用!R:R)</f>
        <v>#N/A</v>
      </c>
      <c r="L172" t="e">
        <f t="shared" si="9"/>
        <v>#N/A</v>
      </c>
      <c r="M172" t="e">
        <f>_xlfn.XLOOKUP(L172,EGPro!A:A,EGPro!D:D)</f>
        <v>#N/A</v>
      </c>
      <c r="N172" t="e">
        <f>_xlfn.XLOOKUP(L172,EGPro!A:A,EGPro!C:C)</f>
        <v>#N/A</v>
      </c>
      <c r="O172" t="e">
        <f t="shared" si="10"/>
        <v>#N/A</v>
      </c>
      <c r="P172" t="e">
        <f>_xlfn.XLOOKUP(O172,EGPro!A:A,EGPro!D:D)</f>
        <v>#N/A</v>
      </c>
      <c r="Q172" t="e">
        <f>_xlfn.XLOOKUP(O172,EGPro!A:A,EGPro!C:C)</f>
        <v>#N/A</v>
      </c>
    </row>
    <row r="173" spans="1:17" x14ac:dyDescent="0.45">
      <c r="A173" s="3">
        <f>配列!B173</f>
        <v>0</v>
      </c>
      <c r="B173" s="3" t="e">
        <f>_xlfn.XLOOKUP(A173,対応表!A:A,対応表!B:B)</f>
        <v>#N/A</v>
      </c>
      <c r="C173" s="3">
        <f>配列!C173</f>
        <v>0</v>
      </c>
      <c r="D173" s="3" t="str">
        <f>IF(配列!E173="",RIGHT(配列!D173&amp;配列!E173,4)&amp;"L",RIGHT(配列!D173&amp;配列!E173,5))</f>
        <v>L</v>
      </c>
      <c r="E173" s="3">
        <f t="shared" si="8"/>
        <v>0</v>
      </c>
      <c r="F173" s="3" t="e">
        <f>_xlfn.XLOOKUP(E173,セットアップレポート_紐づけ用!A:A,セットアップレポート_紐づけ用!J:J)</f>
        <v>#N/A</v>
      </c>
      <c r="G173" s="3" t="e">
        <f>_xlfn.XLOOKUP(E173,セットアップレポート_紐づけ用!A:A,セットアップレポート_紐づけ用!V:V)</f>
        <v>#N/A</v>
      </c>
      <c r="H173" s="3">
        <f t="shared" si="11"/>
        <v>-2</v>
      </c>
      <c r="I173" t="str">
        <f>IF(J173=0,"",IF(配列!E173="",マクロ実行!$A$16 &amp;" T"&amp;H173&amp;"-"&amp;RIGHT(配列!D173&amp;配列!E173,2),マクロ実行!$A$16 &amp;" T"&amp;H173&amp;"-"&amp;RIGHT(配列!D173&amp;配列!E173,3)))</f>
        <v/>
      </c>
      <c r="J173">
        <f>配列!F173</f>
        <v>0</v>
      </c>
      <c r="K173" s="2" t="e">
        <f>_xlfn.XLOOKUP(E173,セットアップレポート_紐づけ用!A:A,セットアップレポート_紐づけ用!R:R)</f>
        <v>#N/A</v>
      </c>
      <c r="L173" t="e">
        <f t="shared" si="9"/>
        <v>#N/A</v>
      </c>
      <c r="M173" t="e">
        <f>_xlfn.XLOOKUP(L173,EGPro!A:A,EGPro!D:D)</f>
        <v>#N/A</v>
      </c>
      <c r="N173" t="e">
        <f>_xlfn.XLOOKUP(L173,EGPro!A:A,EGPro!C:C)</f>
        <v>#N/A</v>
      </c>
      <c r="O173" t="e">
        <f t="shared" si="10"/>
        <v>#N/A</v>
      </c>
      <c r="P173" t="e">
        <f>_xlfn.XLOOKUP(O173,EGPro!A:A,EGPro!D:D)</f>
        <v>#N/A</v>
      </c>
      <c r="Q173" t="e">
        <f>_xlfn.XLOOKUP(O173,EGPro!A:A,EGPro!C:C)</f>
        <v>#N/A</v>
      </c>
    </row>
    <row r="174" spans="1:17" x14ac:dyDescent="0.45">
      <c r="A174" s="3">
        <f>配列!B174</f>
        <v>0</v>
      </c>
      <c r="B174" s="3" t="e">
        <f>_xlfn.XLOOKUP(A174,対応表!A:A,対応表!B:B)</f>
        <v>#N/A</v>
      </c>
      <c r="C174" s="3">
        <f>配列!C174</f>
        <v>0</v>
      </c>
      <c r="D174" s="3" t="str">
        <f>IF(配列!E174="",RIGHT(配列!D174&amp;配列!E174,4)&amp;"L",RIGHT(配列!D174&amp;配列!E174,5))</f>
        <v>L</v>
      </c>
      <c r="E174" s="3">
        <f t="shared" si="8"/>
        <v>0</v>
      </c>
      <c r="F174" s="3" t="e">
        <f>_xlfn.XLOOKUP(E174,セットアップレポート_紐づけ用!A:A,セットアップレポート_紐づけ用!J:J)</f>
        <v>#N/A</v>
      </c>
      <c r="G174" s="3" t="e">
        <f>_xlfn.XLOOKUP(E174,セットアップレポート_紐づけ用!A:A,セットアップレポート_紐づけ用!V:V)</f>
        <v>#N/A</v>
      </c>
      <c r="H174" s="3">
        <f t="shared" si="11"/>
        <v>-2</v>
      </c>
      <c r="I174" t="str">
        <f>IF(J174=0,"",IF(配列!E174="",マクロ実行!$A$16 &amp;" T"&amp;H174&amp;"-"&amp;RIGHT(配列!D174&amp;配列!E174,2),マクロ実行!$A$16 &amp;" T"&amp;H174&amp;"-"&amp;RIGHT(配列!D174&amp;配列!E174,3)))</f>
        <v/>
      </c>
      <c r="J174">
        <f>配列!F174</f>
        <v>0</v>
      </c>
      <c r="K174" s="2" t="e">
        <f>_xlfn.XLOOKUP(E174,セットアップレポート_紐づけ用!A:A,セットアップレポート_紐づけ用!R:R)</f>
        <v>#N/A</v>
      </c>
      <c r="L174" t="e">
        <f t="shared" si="9"/>
        <v>#N/A</v>
      </c>
      <c r="M174" t="e">
        <f>_xlfn.XLOOKUP(L174,EGPro!A:A,EGPro!D:D)</f>
        <v>#N/A</v>
      </c>
      <c r="N174" t="e">
        <f>_xlfn.XLOOKUP(L174,EGPro!A:A,EGPro!C:C)</f>
        <v>#N/A</v>
      </c>
      <c r="O174" t="e">
        <f t="shared" si="10"/>
        <v>#N/A</v>
      </c>
      <c r="P174" t="e">
        <f>_xlfn.XLOOKUP(O174,EGPro!A:A,EGPro!D:D)</f>
        <v>#N/A</v>
      </c>
      <c r="Q174" t="e">
        <f>_xlfn.XLOOKUP(O174,EGPro!A:A,EGPro!C:C)</f>
        <v>#N/A</v>
      </c>
    </row>
    <row r="175" spans="1:17" x14ac:dyDescent="0.45">
      <c r="A175" s="3">
        <f>配列!B175</f>
        <v>0</v>
      </c>
      <c r="B175" s="3" t="e">
        <f>_xlfn.XLOOKUP(A175,対応表!A:A,対応表!B:B)</f>
        <v>#N/A</v>
      </c>
      <c r="C175" s="3">
        <f>配列!C175</f>
        <v>0</v>
      </c>
      <c r="D175" s="3" t="str">
        <f>IF(配列!E175="",RIGHT(配列!D175&amp;配列!E175,4)&amp;"L",RIGHT(配列!D175&amp;配列!E175,5))</f>
        <v>L</v>
      </c>
      <c r="E175" s="3">
        <f t="shared" si="8"/>
        <v>0</v>
      </c>
      <c r="F175" s="3" t="e">
        <f>_xlfn.XLOOKUP(E175,セットアップレポート_紐づけ用!A:A,セットアップレポート_紐づけ用!J:J)</f>
        <v>#N/A</v>
      </c>
      <c r="G175" s="3" t="e">
        <f>_xlfn.XLOOKUP(E175,セットアップレポート_紐づけ用!A:A,セットアップレポート_紐づけ用!V:V)</f>
        <v>#N/A</v>
      </c>
      <c r="H175" s="3">
        <f t="shared" si="11"/>
        <v>-2</v>
      </c>
      <c r="I175" t="str">
        <f>IF(J175=0,"",IF(配列!E175="",マクロ実行!$A$16 &amp;" T"&amp;H175&amp;"-"&amp;RIGHT(配列!D175&amp;配列!E175,2),マクロ実行!$A$16 &amp;" T"&amp;H175&amp;"-"&amp;RIGHT(配列!D175&amp;配列!E175,3)))</f>
        <v/>
      </c>
      <c r="J175">
        <f>配列!F175</f>
        <v>0</v>
      </c>
      <c r="K175" s="2" t="e">
        <f>_xlfn.XLOOKUP(E175,セットアップレポート_紐づけ用!A:A,セットアップレポート_紐づけ用!R:R)</f>
        <v>#N/A</v>
      </c>
      <c r="L175" t="e">
        <f t="shared" si="9"/>
        <v>#N/A</v>
      </c>
      <c r="M175" t="e">
        <f>_xlfn.XLOOKUP(L175,EGPro!A:A,EGPro!D:D)</f>
        <v>#N/A</v>
      </c>
      <c r="N175" t="e">
        <f>_xlfn.XLOOKUP(L175,EGPro!A:A,EGPro!C:C)</f>
        <v>#N/A</v>
      </c>
      <c r="O175" t="e">
        <f t="shared" si="10"/>
        <v>#N/A</v>
      </c>
      <c r="P175" t="e">
        <f>_xlfn.XLOOKUP(O175,EGPro!A:A,EGPro!D:D)</f>
        <v>#N/A</v>
      </c>
      <c r="Q175" t="e">
        <f>_xlfn.XLOOKUP(O175,EGPro!A:A,EGPro!C:C)</f>
        <v>#N/A</v>
      </c>
    </row>
    <row r="176" spans="1:17" x14ac:dyDescent="0.45">
      <c r="A176" s="3">
        <f>配列!B176</f>
        <v>0</v>
      </c>
      <c r="B176" s="3" t="e">
        <f>_xlfn.XLOOKUP(A176,対応表!A:A,対応表!B:B)</f>
        <v>#N/A</v>
      </c>
      <c r="C176" s="3">
        <f>配列!C176</f>
        <v>0</v>
      </c>
      <c r="D176" s="3" t="str">
        <f>IF(配列!E176="",RIGHT(配列!D176&amp;配列!E176,4)&amp;"L",RIGHT(配列!D176&amp;配列!E176,5))</f>
        <v>L</v>
      </c>
      <c r="E176" s="3">
        <f t="shared" si="8"/>
        <v>0</v>
      </c>
      <c r="F176" s="3" t="e">
        <f>_xlfn.XLOOKUP(E176,セットアップレポート_紐づけ用!A:A,セットアップレポート_紐づけ用!J:J)</f>
        <v>#N/A</v>
      </c>
      <c r="G176" s="3" t="e">
        <f>_xlfn.XLOOKUP(E176,セットアップレポート_紐づけ用!A:A,セットアップレポート_紐づけ用!V:V)</f>
        <v>#N/A</v>
      </c>
      <c r="H176" s="3">
        <f t="shared" si="11"/>
        <v>-2</v>
      </c>
      <c r="I176" t="str">
        <f>IF(J176=0,"",IF(配列!E176="",マクロ実行!$A$16 &amp;" T"&amp;H176&amp;"-"&amp;RIGHT(配列!D176&amp;配列!E176,2),マクロ実行!$A$16 &amp;" T"&amp;H176&amp;"-"&amp;RIGHT(配列!D176&amp;配列!E176,3)))</f>
        <v/>
      </c>
      <c r="J176">
        <f>配列!F176</f>
        <v>0</v>
      </c>
      <c r="K176" s="2" t="e">
        <f>_xlfn.XLOOKUP(E176,セットアップレポート_紐づけ用!A:A,セットアップレポート_紐づけ用!R:R)</f>
        <v>#N/A</v>
      </c>
      <c r="L176" t="e">
        <f t="shared" si="9"/>
        <v>#N/A</v>
      </c>
      <c r="M176" t="e">
        <f>_xlfn.XLOOKUP(L176,EGPro!A:A,EGPro!D:D)</f>
        <v>#N/A</v>
      </c>
      <c r="N176" t="e">
        <f>_xlfn.XLOOKUP(L176,EGPro!A:A,EGPro!C:C)</f>
        <v>#N/A</v>
      </c>
      <c r="O176" t="e">
        <f t="shared" si="10"/>
        <v>#N/A</v>
      </c>
      <c r="P176" t="e">
        <f>_xlfn.XLOOKUP(O176,EGPro!A:A,EGPro!D:D)</f>
        <v>#N/A</v>
      </c>
      <c r="Q176" t="e">
        <f>_xlfn.XLOOKUP(O176,EGPro!A:A,EGPro!C:C)</f>
        <v>#N/A</v>
      </c>
    </row>
    <row r="177" spans="1:17" x14ac:dyDescent="0.45">
      <c r="A177" s="3">
        <f>配列!B177</f>
        <v>0</v>
      </c>
      <c r="B177" s="3" t="e">
        <f>_xlfn.XLOOKUP(A177,対応表!A:A,対応表!B:B)</f>
        <v>#N/A</v>
      </c>
      <c r="C177" s="3">
        <f>配列!C177</f>
        <v>0</v>
      </c>
      <c r="D177" s="3" t="str">
        <f>IF(配列!E177="",RIGHT(配列!D177&amp;配列!E177,4)&amp;"L",RIGHT(配列!D177&amp;配列!E177,5))</f>
        <v>L</v>
      </c>
      <c r="E177" s="3">
        <f t="shared" si="8"/>
        <v>0</v>
      </c>
      <c r="F177" s="3" t="e">
        <f>_xlfn.XLOOKUP(E177,セットアップレポート_紐づけ用!A:A,セットアップレポート_紐づけ用!J:J)</f>
        <v>#N/A</v>
      </c>
      <c r="G177" s="3" t="e">
        <f>_xlfn.XLOOKUP(E177,セットアップレポート_紐づけ用!A:A,セットアップレポート_紐づけ用!V:V)</f>
        <v>#N/A</v>
      </c>
      <c r="H177" s="3">
        <f t="shared" si="11"/>
        <v>-2</v>
      </c>
      <c r="I177" t="str">
        <f>IF(J177=0,"",IF(配列!E177="",マクロ実行!$A$16 &amp;" T"&amp;H177&amp;"-"&amp;RIGHT(配列!D177&amp;配列!E177,2),マクロ実行!$A$16 &amp;" T"&amp;H177&amp;"-"&amp;RIGHT(配列!D177&amp;配列!E177,3)))</f>
        <v/>
      </c>
      <c r="J177">
        <f>配列!F177</f>
        <v>0</v>
      </c>
      <c r="K177" s="2" t="e">
        <f>_xlfn.XLOOKUP(E177,セットアップレポート_紐づけ用!A:A,セットアップレポート_紐づけ用!R:R)</f>
        <v>#N/A</v>
      </c>
      <c r="L177" t="e">
        <f t="shared" si="9"/>
        <v>#N/A</v>
      </c>
      <c r="M177" t="e">
        <f>_xlfn.XLOOKUP(L177,EGPro!A:A,EGPro!D:D)</f>
        <v>#N/A</v>
      </c>
      <c r="N177" t="e">
        <f>_xlfn.XLOOKUP(L177,EGPro!A:A,EGPro!C:C)</f>
        <v>#N/A</v>
      </c>
      <c r="O177" t="e">
        <f t="shared" si="10"/>
        <v>#N/A</v>
      </c>
      <c r="P177" t="e">
        <f>_xlfn.XLOOKUP(O177,EGPro!A:A,EGPro!D:D)</f>
        <v>#N/A</v>
      </c>
      <c r="Q177" t="e">
        <f>_xlfn.XLOOKUP(O177,EGPro!A:A,EGPro!C:C)</f>
        <v>#N/A</v>
      </c>
    </row>
    <row r="178" spans="1:17" x14ac:dyDescent="0.45">
      <c r="A178" s="3">
        <f>配列!B178</f>
        <v>0</v>
      </c>
      <c r="B178" s="3" t="e">
        <f>_xlfn.XLOOKUP(A178,対応表!A:A,対応表!B:B)</f>
        <v>#N/A</v>
      </c>
      <c r="C178" s="3">
        <f>配列!C178</f>
        <v>0</v>
      </c>
      <c r="D178" s="3" t="str">
        <f>IF(配列!E178="",RIGHT(配列!D178&amp;配列!E178,4)&amp;"L",RIGHT(配列!D178&amp;配列!E178,5))</f>
        <v>L</v>
      </c>
      <c r="E178" s="3">
        <f t="shared" si="8"/>
        <v>0</v>
      </c>
      <c r="F178" s="3" t="e">
        <f>_xlfn.XLOOKUP(E178,セットアップレポート_紐づけ用!A:A,セットアップレポート_紐づけ用!J:J)</f>
        <v>#N/A</v>
      </c>
      <c r="G178" s="3" t="e">
        <f>_xlfn.XLOOKUP(E178,セットアップレポート_紐づけ用!A:A,セットアップレポート_紐づけ用!V:V)</f>
        <v>#N/A</v>
      </c>
      <c r="H178" s="3">
        <f t="shared" si="11"/>
        <v>-2</v>
      </c>
      <c r="I178" t="str">
        <f>IF(J178=0,"",IF(配列!E178="",マクロ実行!$A$16 &amp;" T"&amp;H178&amp;"-"&amp;RIGHT(配列!D178&amp;配列!E178,2),マクロ実行!$A$16 &amp;" T"&amp;H178&amp;"-"&amp;RIGHT(配列!D178&amp;配列!E178,3)))</f>
        <v/>
      </c>
      <c r="J178">
        <f>配列!F178</f>
        <v>0</v>
      </c>
      <c r="K178" s="2" t="e">
        <f>_xlfn.XLOOKUP(E178,セットアップレポート_紐づけ用!A:A,セットアップレポート_紐づけ用!R:R)</f>
        <v>#N/A</v>
      </c>
      <c r="L178" t="e">
        <f t="shared" si="9"/>
        <v>#N/A</v>
      </c>
      <c r="M178" t="e">
        <f>_xlfn.XLOOKUP(L178,EGPro!A:A,EGPro!D:D)</f>
        <v>#N/A</v>
      </c>
      <c r="N178" t="e">
        <f>_xlfn.XLOOKUP(L178,EGPro!A:A,EGPro!C:C)</f>
        <v>#N/A</v>
      </c>
      <c r="O178" t="e">
        <f t="shared" si="10"/>
        <v>#N/A</v>
      </c>
      <c r="P178" t="e">
        <f>_xlfn.XLOOKUP(O178,EGPro!A:A,EGPro!D:D)</f>
        <v>#N/A</v>
      </c>
      <c r="Q178" t="e">
        <f>_xlfn.XLOOKUP(O178,EGPro!A:A,EGPro!C:C)</f>
        <v>#N/A</v>
      </c>
    </row>
    <row r="179" spans="1:17" x14ac:dyDescent="0.45">
      <c r="A179" s="3">
        <f>配列!B179</f>
        <v>0</v>
      </c>
      <c r="B179" s="3" t="e">
        <f>_xlfn.XLOOKUP(A179,対応表!A:A,対応表!B:B)</f>
        <v>#N/A</v>
      </c>
      <c r="C179" s="3">
        <f>配列!C179</f>
        <v>0</v>
      </c>
      <c r="D179" s="3" t="str">
        <f>IF(配列!E179="",RIGHT(配列!D179&amp;配列!E179,4)&amp;"L",RIGHT(配列!D179&amp;配列!E179,5))</f>
        <v>L</v>
      </c>
      <c r="E179" s="3">
        <f t="shared" si="8"/>
        <v>0</v>
      </c>
      <c r="F179" s="3" t="e">
        <f>_xlfn.XLOOKUP(E179,セットアップレポート_紐づけ用!A:A,セットアップレポート_紐づけ用!J:J)</f>
        <v>#N/A</v>
      </c>
      <c r="G179" s="3" t="e">
        <f>_xlfn.XLOOKUP(E179,セットアップレポート_紐づけ用!A:A,セットアップレポート_紐づけ用!V:V)</f>
        <v>#N/A</v>
      </c>
      <c r="H179" s="3">
        <f t="shared" si="11"/>
        <v>-2</v>
      </c>
      <c r="I179" t="str">
        <f>IF(J179=0,"",IF(配列!E179="",マクロ実行!$A$16 &amp;" T"&amp;H179&amp;"-"&amp;RIGHT(配列!D179&amp;配列!E179,2),マクロ実行!$A$16 &amp;" T"&amp;H179&amp;"-"&amp;RIGHT(配列!D179&amp;配列!E179,3)))</f>
        <v/>
      </c>
      <c r="J179">
        <f>配列!F179</f>
        <v>0</v>
      </c>
      <c r="K179" s="2" t="e">
        <f>_xlfn.XLOOKUP(E179,セットアップレポート_紐づけ用!A:A,セットアップレポート_紐づけ用!R:R)</f>
        <v>#N/A</v>
      </c>
      <c r="L179" t="e">
        <f t="shared" si="9"/>
        <v>#N/A</v>
      </c>
      <c r="M179" t="e">
        <f>_xlfn.XLOOKUP(L179,EGPro!A:A,EGPro!D:D)</f>
        <v>#N/A</v>
      </c>
      <c r="N179" t="e">
        <f>_xlfn.XLOOKUP(L179,EGPro!A:A,EGPro!C:C)</f>
        <v>#N/A</v>
      </c>
      <c r="O179" t="e">
        <f t="shared" si="10"/>
        <v>#N/A</v>
      </c>
      <c r="P179" t="e">
        <f>_xlfn.XLOOKUP(O179,EGPro!A:A,EGPro!D:D)</f>
        <v>#N/A</v>
      </c>
      <c r="Q179" t="e">
        <f>_xlfn.XLOOKUP(O179,EGPro!A:A,EGPro!C:C)</f>
        <v>#N/A</v>
      </c>
    </row>
    <row r="180" spans="1:17" x14ac:dyDescent="0.45">
      <c r="A180" s="3">
        <f>配列!B180</f>
        <v>0</v>
      </c>
      <c r="B180" s="3" t="e">
        <f>_xlfn.XLOOKUP(A180,対応表!A:A,対応表!B:B)</f>
        <v>#N/A</v>
      </c>
      <c r="C180" s="3">
        <f>配列!C180</f>
        <v>0</v>
      </c>
      <c r="D180" s="3" t="str">
        <f>IF(配列!E180="",RIGHT(配列!D180&amp;配列!E180,4)&amp;"L",RIGHT(配列!D180&amp;配列!E180,5))</f>
        <v>L</v>
      </c>
      <c r="E180" s="3">
        <f t="shared" si="8"/>
        <v>0</v>
      </c>
      <c r="F180" s="3" t="e">
        <f>_xlfn.XLOOKUP(E180,セットアップレポート_紐づけ用!A:A,セットアップレポート_紐づけ用!J:J)</f>
        <v>#N/A</v>
      </c>
      <c r="G180" s="3" t="e">
        <f>_xlfn.XLOOKUP(E180,セットアップレポート_紐づけ用!A:A,セットアップレポート_紐づけ用!V:V)</f>
        <v>#N/A</v>
      </c>
      <c r="H180" s="3">
        <f t="shared" si="11"/>
        <v>-2</v>
      </c>
      <c r="I180" t="str">
        <f>IF(J180=0,"",IF(配列!E180="",マクロ実行!$A$16 &amp;" T"&amp;H180&amp;"-"&amp;RIGHT(配列!D180&amp;配列!E180,2),マクロ実行!$A$16 &amp;" T"&amp;H180&amp;"-"&amp;RIGHT(配列!D180&amp;配列!E180,3)))</f>
        <v/>
      </c>
      <c r="J180">
        <f>配列!F180</f>
        <v>0</v>
      </c>
      <c r="K180" s="2" t="e">
        <f>_xlfn.XLOOKUP(E180,セットアップレポート_紐づけ用!A:A,セットアップレポート_紐づけ用!R:R)</f>
        <v>#N/A</v>
      </c>
      <c r="L180" t="e">
        <f t="shared" si="9"/>
        <v>#N/A</v>
      </c>
      <c r="M180" t="e">
        <f>_xlfn.XLOOKUP(L180,EGPro!A:A,EGPro!D:D)</f>
        <v>#N/A</v>
      </c>
      <c r="N180" t="e">
        <f>_xlfn.XLOOKUP(L180,EGPro!A:A,EGPro!C:C)</f>
        <v>#N/A</v>
      </c>
      <c r="O180" t="e">
        <f t="shared" si="10"/>
        <v>#N/A</v>
      </c>
      <c r="P180" t="e">
        <f>_xlfn.XLOOKUP(O180,EGPro!A:A,EGPro!D:D)</f>
        <v>#N/A</v>
      </c>
      <c r="Q180" t="e">
        <f>_xlfn.XLOOKUP(O180,EGPro!A:A,EGPro!C:C)</f>
        <v>#N/A</v>
      </c>
    </row>
    <row r="181" spans="1:17" x14ac:dyDescent="0.45">
      <c r="A181" s="3">
        <f>配列!B181</f>
        <v>0</v>
      </c>
      <c r="B181" s="3" t="e">
        <f>_xlfn.XLOOKUP(A181,対応表!A:A,対応表!B:B)</f>
        <v>#N/A</v>
      </c>
      <c r="C181" s="3">
        <f>配列!C181</f>
        <v>0</v>
      </c>
      <c r="D181" s="3" t="str">
        <f>IF(配列!E181="",RIGHT(配列!D181&amp;配列!E181,4)&amp;"L",RIGHT(配列!D181&amp;配列!E181,5))</f>
        <v>L</v>
      </c>
      <c r="E181" s="3">
        <f t="shared" si="8"/>
        <v>0</v>
      </c>
      <c r="F181" s="3" t="e">
        <f>_xlfn.XLOOKUP(E181,セットアップレポート_紐づけ用!A:A,セットアップレポート_紐づけ用!J:J)</f>
        <v>#N/A</v>
      </c>
      <c r="G181" s="3" t="e">
        <f>_xlfn.XLOOKUP(E181,セットアップレポート_紐づけ用!A:A,セットアップレポート_紐づけ用!V:V)</f>
        <v>#N/A</v>
      </c>
      <c r="H181" s="3">
        <f t="shared" si="11"/>
        <v>-2</v>
      </c>
      <c r="I181" t="str">
        <f>IF(J181=0,"",IF(配列!E181="",マクロ実行!$A$16 &amp;" T"&amp;H181&amp;"-"&amp;RIGHT(配列!D181&amp;配列!E181,2),マクロ実行!$A$16 &amp;" T"&amp;H181&amp;"-"&amp;RIGHT(配列!D181&amp;配列!E181,3)))</f>
        <v/>
      </c>
      <c r="J181">
        <f>配列!F181</f>
        <v>0</v>
      </c>
      <c r="K181" s="2" t="e">
        <f>_xlfn.XLOOKUP(E181,セットアップレポート_紐づけ用!A:A,セットアップレポート_紐づけ用!R:R)</f>
        <v>#N/A</v>
      </c>
      <c r="L181" t="e">
        <f t="shared" si="9"/>
        <v>#N/A</v>
      </c>
      <c r="M181" t="e">
        <f>_xlfn.XLOOKUP(L181,EGPro!A:A,EGPro!D:D)</f>
        <v>#N/A</v>
      </c>
      <c r="N181" t="e">
        <f>_xlfn.XLOOKUP(L181,EGPro!A:A,EGPro!C:C)</f>
        <v>#N/A</v>
      </c>
      <c r="O181" t="e">
        <f t="shared" si="10"/>
        <v>#N/A</v>
      </c>
      <c r="P181" t="e">
        <f>_xlfn.XLOOKUP(O181,EGPro!A:A,EGPro!D:D)</f>
        <v>#N/A</v>
      </c>
      <c r="Q181" t="e">
        <f>_xlfn.XLOOKUP(O181,EGPro!A:A,EGPro!C:C)</f>
        <v>#N/A</v>
      </c>
    </row>
    <row r="182" spans="1:17" x14ac:dyDescent="0.45">
      <c r="A182" s="3">
        <f>配列!B182</f>
        <v>0</v>
      </c>
      <c r="B182" s="3" t="e">
        <f>_xlfn.XLOOKUP(A182,対応表!A:A,対応表!B:B)</f>
        <v>#N/A</v>
      </c>
      <c r="C182" s="3">
        <f>配列!C182</f>
        <v>0</v>
      </c>
      <c r="D182" s="3" t="str">
        <f>IF(配列!E182="",RIGHT(配列!D182&amp;配列!E182,4)&amp;"L",RIGHT(配列!D182&amp;配列!E182,5))</f>
        <v>L</v>
      </c>
      <c r="E182" s="3">
        <f t="shared" si="8"/>
        <v>0</v>
      </c>
      <c r="F182" s="3" t="e">
        <f>_xlfn.XLOOKUP(E182,セットアップレポート_紐づけ用!A:A,セットアップレポート_紐づけ用!J:J)</f>
        <v>#N/A</v>
      </c>
      <c r="G182" s="3" t="e">
        <f>_xlfn.XLOOKUP(E182,セットアップレポート_紐づけ用!A:A,セットアップレポート_紐づけ用!V:V)</f>
        <v>#N/A</v>
      </c>
      <c r="H182" s="3">
        <f t="shared" si="11"/>
        <v>-2</v>
      </c>
      <c r="I182" t="str">
        <f>IF(J182=0,"",IF(配列!E182="",マクロ実行!$A$16 &amp;" T"&amp;H182&amp;"-"&amp;RIGHT(配列!D182&amp;配列!E182,2),マクロ実行!$A$16 &amp;" T"&amp;H182&amp;"-"&amp;RIGHT(配列!D182&amp;配列!E182,3)))</f>
        <v/>
      </c>
      <c r="J182">
        <f>配列!F182</f>
        <v>0</v>
      </c>
      <c r="K182" s="2" t="e">
        <f>_xlfn.XLOOKUP(E182,セットアップレポート_紐づけ用!A:A,セットアップレポート_紐づけ用!R:R)</f>
        <v>#N/A</v>
      </c>
      <c r="L182" t="e">
        <f t="shared" si="9"/>
        <v>#N/A</v>
      </c>
      <c r="M182" t="e">
        <f>_xlfn.XLOOKUP(L182,EGPro!A:A,EGPro!D:D)</f>
        <v>#N/A</v>
      </c>
      <c r="N182" t="e">
        <f>_xlfn.XLOOKUP(L182,EGPro!A:A,EGPro!C:C)</f>
        <v>#N/A</v>
      </c>
      <c r="O182" t="e">
        <f t="shared" si="10"/>
        <v>#N/A</v>
      </c>
      <c r="P182" t="e">
        <f>_xlfn.XLOOKUP(O182,EGPro!A:A,EGPro!D:D)</f>
        <v>#N/A</v>
      </c>
      <c r="Q182" t="e">
        <f>_xlfn.XLOOKUP(O182,EGPro!A:A,EGPro!C:C)</f>
        <v>#N/A</v>
      </c>
    </row>
    <row r="183" spans="1:17" x14ac:dyDescent="0.45">
      <c r="A183" s="3">
        <f>配列!B183</f>
        <v>0</v>
      </c>
      <c r="B183" s="3" t="e">
        <f>_xlfn.XLOOKUP(A183,対応表!A:A,対応表!B:B)</f>
        <v>#N/A</v>
      </c>
      <c r="C183" s="3">
        <f>配列!C183</f>
        <v>0</v>
      </c>
      <c r="D183" s="3" t="str">
        <f>IF(配列!E183="",RIGHT(配列!D183&amp;配列!E183,4)&amp;"L",RIGHT(配列!D183&amp;配列!E183,5))</f>
        <v>L</v>
      </c>
      <c r="E183" s="3">
        <f t="shared" si="8"/>
        <v>0</v>
      </c>
      <c r="F183" s="3" t="e">
        <f>_xlfn.XLOOKUP(E183,セットアップレポート_紐づけ用!A:A,セットアップレポート_紐づけ用!J:J)</f>
        <v>#N/A</v>
      </c>
      <c r="G183" s="3" t="e">
        <f>_xlfn.XLOOKUP(E183,セットアップレポート_紐づけ用!A:A,セットアップレポート_紐づけ用!V:V)</f>
        <v>#N/A</v>
      </c>
      <c r="H183" s="3">
        <f t="shared" si="11"/>
        <v>-2</v>
      </c>
      <c r="I183" t="str">
        <f>IF(J183=0,"",IF(配列!E183="",マクロ実行!$A$16 &amp;" T"&amp;H183&amp;"-"&amp;RIGHT(配列!D183&amp;配列!E183,2),マクロ実行!$A$16 &amp;" T"&amp;H183&amp;"-"&amp;RIGHT(配列!D183&amp;配列!E183,3)))</f>
        <v/>
      </c>
      <c r="J183">
        <f>配列!F183</f>
        <v>0</v>
      </c>
      <c r="K183" s="2" t="e">
        <f>_xlfn.XLOOKUP(E183,セットアップレポート_紐づけ用!A:A,セットアップレポート_紐づけ用!R:R)</f>
        <v>#N/A</v>
      </c>
      <c r="L183" t="e">
        <f t="shared" si="9"/>
        <v>#N/A</v>
      </c>
      <c r="M183" t="e">
        <f>_xlfn.XLOOKUP(L183,EGPro!A:A,EGPro!D:D)</f>
        <v>#N/A</v>
      </c>
      <c r="N183" t="e">
        <f>_xlfn.XLOOKUP(L183,EGPro!A:A,EGPro!C:C)</f>
        <v>#N/A</v>
      </c>
      <c r="O183" t="e">
        <f t="shared" si="10"/>
        <v>#N/A</v>
      </c>
      <c r="P183" t="e">
        <f>_xlfn.XLOOKUP(O183,EGPro!A:A,EGPro!D:D)</f>
        <v>#N/A</v>
      </c>
      <c r="Q183" t="e">
        <f>_xlfn.XLOOKUP(O183,EGPro!A:A,EGPro!C:C)</f>
        <v>#N/A</v>
      </c>
    </row>
    <row r="184" spans="1:17" x14ac:dyDescent="0.45">
      <c r="A184" s="3">
        <f>配列!B184</f>
        <v>0</v>
      </c>
      <c r="B184" s="3" t="e">
        <f>_xlfn.XLOOKUP(A184,対応表!A:A,対応表!B:B)</f>
        <v>#N/A</v>
      </c>
      <c r="C184" s="3">
        <f>配列!C184</f>
        <v>0</v>
      </c>
      <c r="D184" s="3" t="str">
        <f>IF(配列!E184="",RIGHT(配列!D184&amp;配列!E184,4)&amp;"L",RIGHT(配列!D184&amp;配列!E184,5))</f>
        <v>L</v>
      </c>
      <c r="E184" s="3">
        <f t="shared" si="8"/>
        <v>0</v>
      </c>
      <c r="F184" s="3" t="e">
        <f>_xlfn.XLOOKUP(E184,セットアップレポート_紐づけ用!A:A,セットアップレポート_紐づけ用!J:J)</f>
        <v>#N/A</v>
      </c>
      <c r="G184" s="3" t="e">
        <f>_xlfn.XLOOKUP(E184,セットアップレポート_紐づけ用!A:A,セットアップレポート_紐づけ用!V:V)</f>
        <v>#N/A</v>
      </c>
      <c r="H184" s="3">
        <f t="shared" si="11"/>
        <v>-2</v>
      </c>
      <c r="I184" t="str">
        <f>IF(J184=0,"",IF(配列!E184="",マクロ実行!$A$16 &amp;" T"&amp;H184&amp;"-"&amp;RIGHT(配列!D184&amp;配列!E184,2),マクロ実行!$A$16 &amp;" T"&amp;H184&amp;"-"&amp;RIGHT(配列!D184&amp;配列!E184,3)))</f>
        <v/>
      </c>
      <c r="J184">
        <f>配列!F184</f>
        <v>0</v>
      </c>
      <c r="K184" s="2" t="e">
        <f>_xlfn.XLOOKUP(E184,セットアップレポート_紐づけ用!A:A,セットアップレポート_紐づけ用!R:R)</f>
        <v>#N/A</v>
      </c>
      <c r="L184" t="e">
        <f t="shared" si="9"/>
        <v>#N/A</v>
      </c>
      <c r="M184" t="e">
        <f>_xlfn.XLOOKUP(L184,EGPro!A:A,EGPro!D:D)</f>
        <v>#N/A</v>
      </c>
      <c r="N184" t="e">
        <f>_xlfn.XLOOKUP(L184,EGPro!A:A,EGPro!C:C)</f>
        <v>#N/A</v>
      </c>
      <c r="O184" t="e">
        <f t="shared" si="10"/>
        <v>#N/A</v>
      </c>
      <c r="P184" t="e">
        <f>_xlfn.XLOOKUP(O184,EGPro!A:A,EGPro!D:D)</f>
        <v>#N/A</v>
      </c>
      <c r="Q184" t="e">
        <f>_xlfn.XLOOKUP(O184,EGPro!A:A,EGPro!C:C)</f>
        <v>#N/A</v>
      </c>
    </row>
    <row r="185" spans="1:17" x14ac:dyDescent="0.45">
      <c r="A185" s="3">
        <f>配列!B185</f>
        <v>0</v>
      </c>
      <c r="B185" s="3" t="e">
        <f>_xlfn.XLOOKUP(A185,対応表!A:A,対応表!B:B)</f>
        <v>#N/A</v>
      </c>
      <c r="C185" s="3">
        <f>配列!C185</f>
        <v>0</v>
      </c>
      <c r="D185" s="3" t="str">
        <f>IF(配列!E185="",RIGHT(配列!D185&amp;配列!E185,4)&amp;"L",RIGHT(配列!D185&amp;配列!E185,5))</f>
        <v>L</v>
      </c>
      <c r="E185" s="3">
        <f t="shared" si="8"/>
        <v>0</v>
      </c>
      <c r="F185" s="3" t="e">
        <f>_xlfn.XLOOKUP(E185,セットアップレポート_紐づけ用!A:A,セットアップレポート_紐づけ用!J:J)</f>
        <v>#N/A</v>
      </c>
      <c r="G185" s="3" t="e">
        <f>_xlfn.XLOOKUP(E185,セットアップレポート_紐づけ用!A:A,セットアップレポート_紐づけ用!V:V)</f>
        <v>#N/A</v>
      </c>
      <c r="H185" s="3">
        <f t="shared" si="11"/>
        <v>-2</v>
      </c>
      <c r="I185" t="str">
        <f>IF(J185=0,"",IF(配列!E185="",マクロ実行!$A$16 &amp;" T"&amp;H185&amp;"-"&amp;RIGHT(配列!D185&amp;配列!E185,2),マクロ実行!$A$16 &amp;" T"&amp;H185&amp;"-"&amp;RIGHT(配列!D185&amp;配列!E185,3)))</f>
        <v/>
      </c>
      <c r="J185">
        <f>配列!F185</f>
        <v>0</v>
      </c>
      <c r="K185" s="2" t="e">
        <f>_xlfn.XLOOKUP(E185,セットアップレポート_紐づけ用!A:A,セットアップレポート_紐づけ用!R:R)</f>
        <v>#N/A</v>
      </c>
      <c r="L185" t="e">
        <f t="shared" si="9"/>
        <v>#N/A</v>
      </c>
      <c r="M185" t="e">
        <f>_xlfn.XLOOKUP(L185,EGPro!A:A,EGPro!D:D)</f>
        <v>#N/A</v>
      </c>
      <c r="N185" t="e">
        <f>_xlfn.XLOOKUP(L185,EGPro!A:A,EGPro!C:C)</f>
        <v>#N/A</v>
      </c>
      <c r="O185" t="e">
        <f t="shared" si="10"/>
        <v>#N/A</v>
      </c>
      <c r="P185" t="e">
        <f>_xlfn.XLOOKUP(O185,EGPro!A:A,EGPro!D:D)</f>
        <v>#N/A</v>
      </c>
      <c r="Q185" t="e">
        <f>_xlfn.XLOOKUP(O185,EGPro!A:A,EGPro!C:C)</f>
        <v>#N/A</v>
      </c>
    </row>
    <row r="186" spans="1:17" x14ac:dyDescent="0.45">
      <c r="A186" s="3">
        <f>配列!B186</f>
        <v>0</v>
      </c>
      <c r="B186" s="3" t="e">
        <f>_xlfn.XLOOKUP(A186,対応表!A:A,対応表!B:B)</f>
        <v>#N/A</v>
      </c>
      <c r="C186" s="3">
        <f>配列!C186</f>
        <v>0</v>
      </c>
      <c r="D186" s="3" t="str">
        <f>IF(配列!E186="",RIGHT(配列!D186&amp;配列!E186,4)&amp;"L",RIGHT(配列!D186&amp;配列!E186,5))</f>
        <v>L</v>
      </c>
      <c r="E186" s="3">
        <f t="shared" si="8"/>
        <v>0</v>
      </c>
      <c r="F186" s="3" t="e">
        <f>_xlfn.XLOOKUP(E186,セットアップレポート_紐づけ用!A:A,セットアップレポート_紐づけ用!J:J)</f>
        <v>#N/A</v>
      </c>
      <c r="G186" s="3" t="e">
        <f>_xlfn.XLOOKUP(E186,セットアップレポート_紐づけ用!A:A,セットアップレポート_紐づけ用!V:V)</f>
        <v>#N/A</v>
      </c>
      <c r="H186" s="3">
        <f t="shared" si="11"/>
        <v>-2</v>
      </c>
      <c r="I186" t="str">
        <f>IF(J186=0,"",IF(配列!E186="",マクロ実行!$A$16 &amp;" T"&amp;H186&amp;"-"&amp;RIGHT(配列!D186&amp;配列!E186,2),マクロ実行!$A$16 &amp;" T"&amp;H186&amp;"-"&amp;RIGHT(配列!D186&amp;配列!E186,3)))</f>
        <v/>
      </c>
      <c r="J186">
        <f>配列!F186</f>
        <v>0</v>
      </c>
      <c r="K186" s="2" t="e">
        <f>_xlfn.XLOOKUP(E186,セットアップレポート_紐づけ用!A:A,セットアップレポート_紐づけ用!R:R)</f>
        <v>#N/A</v>
      </c>
      <c r="L186" t="e">
        <f t="shared" si="9"/>
        <v>#N/A</v>
      </c>
      <c r="M186" t="e">
        <f>_xlfn.XLOOKUP(L186,EGPro!A:A,EGPro!D:D)</f>
        <v>#N/A</v>
      </c>
      <c r="N186" t="e">
        <f>_xlfn.XLOOKUP(L186,EGPro!A:A,EGPro!C:C)</f>
        <v>#N/A</v>
      </c>
      <c r="O186" t="e">
        <f t="shared" si="10"/>
        <v>#N/A</v>
      </c>
      <c r="P186" t="e">
        <f>_xlfn.XLOOKUP(O186,EGPro!A:A,EGPro!D:D)</f>
        <v>#N/A</v>
      </c>
      <c r="Q186" t="e">
        <f>_xlfn.XLOOKUP(O186,EGPro!A:A,EGPro!C:C)</f>
        <v>#N/A</v>
      </c>
    </row>
    <row r="187" spans="1:17" x14ac:dyDescent="0.45">
      <c r="A187" s="3">
        <f>配列!B187</f>
        <v>0</v>
      </c>
      <c r="B187" s="3" t="e">
        <f>_xlfn.XLOOKUP(A187,対応表!A:A,対応表!B:B)</f>
        <v>#N/A</v>
      </c>
      <c r="C187" s="3">
        <f>配列!C187</f>
        <v>0</v>
      </c>
      <c r="D187" s="3" t="str">
        <f>IF(配列!E187="",RIGHT(配列!D187&amp;配列!E187,4)&amp;"L",RIGHT(配列!D187&amp;配列!E187,5))</f>
        <v>L</v>
      </c>
      <c r="E187" s="3">
        <f t="shared" si="8"/>
        <v>0</v>
      </c>
      <c r="F187" s="3" t="e">
        <f>_xlfn.XLOOKUP(E187,セットアップレポート_紐づけ用!A:A,セットアップレポート_紐づけ用!J:J)</f>
        <v>#N/A</v>
      </c>
      <c r="G187" s="3" t="e">
        <f>_xlfn.XLOOKUP(E187,セットアップレポート_紐づけ用!A:A,セットアップレポート_紐づけ用!V:V)</f>
        <v>#N/A</v>
      </c>
      <c r="H187" s="3">
        <f t="shared" si="11"/>
        <v>-2</v>
      </c>
      <c r="I187" t="str">
        <f>IF(J187=0,"",IF(配列!E187="",マクロ実行!$A$16 &amp;" T"&amp;H187&amp;"-"&amp;RIGHT(配列!D187&amp;配列!E187,2),マクロ実行!$A$16 &amp;" T"&amp;H187&amp;"-"&amp;RIGHT(配列!D187&amp;配列!E187,3)))</f>
        <v/>
      </c>
      <c r="J187">
        <f>配列!F187</f>
        <v>0</v>
      </c>
      <c r="K187" s="2" t="e">
        <f>_xlfn.XLOOKUP(E187,セットアップレポート_紐づけ用!A:A,セットアップレポート_紐づけ用!R:R)</f>
        <v>#N/A</v>
      </c>
      <c r="L187" t="e">
        <f t="shared" si="9"/>
        <v>#N/A</v>
      </c>
      <c r="M187" t="e">
        <f>_xlfn.XLOOKUP(L187,EGPro!A:A,EGPro!D:D)</f>
        <v>#N/A</v>
      </c>
      <c r="N187" t="e">
        <f>_xlfn.XLOOKUP(L187,EGPro!A:A,EGPro!C:C)</f>
        <v>#N/A</v>
      </c>
      <c r="O187" t="e">
        <f t="shared" si="10"/>
        <v>#N/A</v>
      </c>
      <c r="P187" t="e">
        <f>_xlfn.XLOOKUP(O187,EGPro!A:A,EGPro!D:D)</f>
        <v>#N/A</v>
      </c>
      <c r="Q187" t="e">
        <f>_xlfn.XLOOKUP(O187,EGPro!A:A,EGPro!C:C)</f>
        <v>#N/A</v>
      </c>
    </row>
    <row r="188" spans="1:17" x14ac:dyDescent="0.45">
      <c r="A188" s="3">
        <f>配列!B188</f>
        <v>0</v>
      </c>
      <c r="B188" s="3" t="e">
        <f>_xlfn.XLOOKUP(A188,対応表!A:A,対応表!B:B)</f>
        <v>#N/A</v>
      </c>
      <c r="C188" s="3">
        <f>配列!C188</f>
        <v>0</v>
      </c>
      <c r="D188" s="3" t="str">
        <f>IF(配列!E188="",RIGHT(配列!D188&amp;配列!E188,4)&amp;"L",RIGHT(配列!D188&amp;配列!E188,5))</f>
        <v>L</v>
      </c>
      <c r="E188" s="3">
        <f t="shared" si="8"/>
        <v>0</v>
      </c>
      <c r="F188" s="3" t="e">
        <f>_xlfn.XLOOKUP(E188,セットアップレポート_紐づけ用!A:A,セットアップレポート_紐づけ用!J:J)</f>
        <v>#N/A</v>
      </c>
      <c r="G188" s="3" t="e">
        <f>_xlfn.XLOOKUP(E188,セットアップレポート_紐づけ用!A:A,セットアップレポート_紐づけ用!V:V)</f>
        <v>#N/A</v>
      </c>
      <c r="H188" s="3">
        <f t="shared" si="11"/>
        <v>-2</v>
      </c>
      <c r="I188" t="str">
        <f>IF(J188=0,"",IF(配列!E188="",マクロ実行!$A$16 &amp;" T"&amp;H188&amp;"-"&amp;RIGHT(配列!D188&amp;配列!E188,2),マクロ実行!$A$16 &amp;" T"&amp;H188&amp;"-"&amp;RIGHT(配列!D188&amp;配列!E188,3)))</f>
        <v/>
      </c>
      <c r="J188">
        <f>配列!F188</f>
        <v>0</v>
      </c>
      <c r="K188" s="2" t="e">
        <f>_xlfn.XLOOKUP(E188,セットアップレポート_紐づけ用!A:A,セットアップレポート_紐づけ用!R:R)</f>
        <v>#N/A</v>
      </c>
      <c r="L188" t="e">
        <f t="shared" si="9"/>
        <v>#N/A</v>
      </c>
      <c r="M188" t="e">
        <f>_xlfn.XLOOKUP(L188,EGPro!A:A,EGPro!D:D)</f>
        <v>#N/A</v>
      </c>
      <c r="N188" t="e">
        <f>_xlfn.XLOOKUP(L188,EGPro!A:A,EGPro!C:C)</f>
        <v>#N/A</v>
      </c>
      <c r="O188" t="e">
        <f t="shared" si="10"/>
        <v>#N/A</v>
      </c>
      <c r="P188" t="e">
        <f>_xlfn.XLOOKUP(O188,EGPro!A:A,EGPro!D:D)</f>
        <v>#N/A</v>
      </c>
      <c r="Q188" t="e">
        <f>_xlfn.XLOOKUP(O188,EGPro!A:A,EGPro!C:C)</f>
        <v>#N/A</v>
      </c>
    </row>
    <row r="189" spans="1:17" x14ac:dyDescent="0.45">
      <c r="A189" s="3">
        <f>配列!B189</f>
        <v>0</v>
      </c>
      <c r="B189" s="3" t="e">
        <f>_xlfn.XLOOKUP(A189,対応表!A:A,対応表!B:B)</f>
        <v>#N/A</v>
      </c>
      <c r="C189" s="3">
        <f>配列!C189</f>
        <v>0</v>
      </c>
      <c r="D189" s="3" t="str">
        <f>IF(配列!E189="",RIGHT(配列!D189&amp;配列!E189,4)&amp;"L",RIGHT(配列!D189&amp;配列!E189,5))</f>
        <v>L</v>
      </c>
      <c r="E189" s="3">
        <f t="shared" si="8"/>
        <v>0</v>
      </c>
      <c r="F189" s="3" t="e">
        <f>_xlfn.XLOOKUP(E189,セットアップレポート_紐づけ用!A:A,セットアップレポート_紐づけ用!J:J)</f>
        <v>#N/A</v>
      </c>
      <c r="G189" s="3" t="e">
        <f>_xlfn.XLOOKUP(E189,セットアップレポート_紐づけ用!A:A,セットアップレポート_紐づけ用!V:V)</f>
        <v>#N/A</v>
      </c>
      <c r="H189" s="3">
        <f t="shared" si="11"/>
        <v>-2</v>
      </c>
      <c r="I189" t="str">
        <f>IF(J189=0,"",IF(配列!E189="",マクロ実行!$A$16 &amp;" T"&amp;H189&amp;"-"&amp;RIGHT(配列!D189&amp;配列!E189,2),マクロ実行!$A$16 &amp;" T"&amp;H189&amp;"-"&amp;RIGHT(配列!D189&amp;配列!E189,3)))</f>
        <v/>
      </c>
      <c r="J189">
        <f>配列!F189</f>
        <v>0</v>
      </c>
      <c r="K189" s="2" t="e">
        <f>_xlfn.XLOOKUP(E189,セットアップレポート_紐づけ用!A:A,セットアップレポート_紐づけ用!R:R)</f>
        <v>#N/A</v>
      </c>
      <c r="L189" t="e">
        <f t="shared" si="9"/>
        <v>#N/A</v>
      </c>
      <c r="M189" t="e">
        <f>_xlfn.XLOOKUP(L189,EGPro!A:A,EGPro!D:D)</f>
        <v>#N/A</v>
      </c>
      <c r="N189" t="e">
        <f>_xlfn.XLOOKUP(L189,EGPro!A:A,EGPro!C:C)</f>
        <v>#N/A</v>
      </c>
      <c r="O189" t="e">
        <f t="shared" si="10"/>
        <v>#N/A</v>
      </c>
      <c r="P189" t="e">
        <f>_xlfn.XLOOKUP(O189,EGPro!A:A,EGPro!D:D)</f>
        <v>#N/A</v>
      </c>
      <c r="Q189" t="e">
        <f>_xlfn.XLOOKUP(O189,EGPro!A:A,EGPro!C:C)</f>
        <v>#N/A</v>
      </c>
    </row>
    <row r="190" spans="1:17" x14ac:dyDescent="0.45">
      <c r="A190" s="3">
        <f>配列!B190</f>
        <v>0</v>
      </c>
      <c r="B190" s="3" t="e">
        <f>_xlfn.XLOOKUP(A190,対応表!A:A,対応表!B:B)</f>
        <v>#N/A</v>
      </c>
      <c r="C190" s="3">
        <f>配列!C190</f>
        <v>0</v>
      </c>
      <c r="D190" s="3" t="str">
        <f>IF(配列!E190="",RIGHT(配列!D190&amp;配列!E190,4)&amp;"L",RIGHT(配列!D190&amp;配列!E190,5))</f>
        <v>L</v>
      </c>
      <c r="E190" s="3">
        <f t="shared" si="8"/>
        <v>0</v>
      </c>
      <c r="F190" s="3" t="e">
        <f>_xlfn.XLOOKUP(E190,セットアップレポート_紐づけ用!A:A,セットアップレポート_紐づけ用!J:J)</f>
        <v>#N/A</v>
      </c>
      <c r="G190" s="3" t="e">
        <f>_xlfn.XLOOKUP(E190,セットアップレポート_紐づけ用!A:A,セットアップレポート_紐づけ用!V:V)</f>
        <v>#N/A</v>
      </c>
      <c r="H190" s="3">
        <f t="shared" si="11"/>
        <v>-2</v>
      </c>
      <c r="I190" t="str">
        <f>IF(J190=0,"",IF(配列!E190="",マクロ実行!$A$16 &amp;" T"&amp;H190&amp;"-"&amp;RIGHT(配列!D190&amp;配列!E190,2),マクロ実行!$A$16 &amp;" T"&amp;H190&amp;"-"&amp;RIGHT(配列!D190&amp;配列!E190,3)))</f>
        <v/>
      </c>
      <c r="J190">
        <f>配列!F190</f>
        <v>0</v>
      </c>
      <c r="K190" s="2" t="e">
        <f>_xlfn.XLOOKUP(E190,セットアップレポート_紐づけ用!A:A,セットアップレポート_紐づけ用!R:R)</f>
        <v>#N/A</v>
      </c>
      <c r="L190" t="e">
        <f t="shared" si="9"/>
        <v>#N/A</v>
      </c>
      <c r="M190" t="e">
        <f>_xlfn.XLOOKUP(L190,EGPro!A:A,EGPro!D:D)</f>
        <v>#N/A</v>
      </c>
      <c r="N190" t="e">
        <f>_xlfn.XLOOKUP(L190,EGPro!A:A,EGPro!C:C)</f>
        <v>#N/A</v>
      </c>
      <c r="O190" t="e">
        <f t="shared" si="10"/>
        <v>#N/A</v>
      </c>
      <c r="P190" t="e">
        <f>_xlfn.XLOOKUP(O190,EGPro!A:A,EGPro!D:D)</f>
        <v>#N/A</v>
      </c>
      <c r="Q190" t="e">
        <f>_xlfn.XLOOKUP(O190,EGPro!A:A,EGPro!C:C)</f>
        <v>#N/A</v>
      </c>
    </row>
    <row r="191" spans="1:17" x14ac:dyDescent="0.45">
      <c r="A191" s="3">
        <f>配列!B191</f>
        <v>0</v>
      </c>
      <c r="B191" s="3" t="e">
        <f>_xlfn.XLOOKUP(A191,対応表!A:A,対応表!B:B)</f>
        <v>#N/A</v>
      </c>
      <c r="C191" s="3">
        <f>配列!C191</f>
        <v>0</v>
      </c>
      <c r="D191" s="3" t="str">
        <f>IF(配列!E191="",RIGHT(配列!D191&amp;配列!E191,4)&amp;"L",RIGHT(配列!D191&amp;配列!E191,5))</f>
        <v>L</v>
      </c>
      <c r="E191" s="3">
        <f t="shared" si="8"/>
        <v>0</v>
      </c>
      <c r="F191" s="3" t="e">
        <f>_xlfn.XLOOKUP(E191,セットアップレポート_紐づけ用!A:A,セットアップレポート_紐づけ用!J:J)</f>
        <v>#N/A</v>
      </c>
      <c r="G191" s="3" t="e">
        <f>_xlfn.XLOOKUP(E191,セットアップレポート_紐づけ用!A:A,セットアップレポート_紐づけ用!V:V)</f>
        <v>#N/A</v>
      </c>
      <c r="H191" s="3">
        <f t="shared" si="11"/>
        <v>-2</v>
      </c>
      <c r="I191" t="str">
        <f>IF(J191=0,"",IF(配列!E191="",マクロ実行!$A$16 &amp;" T"&amp;H191&amp;"-"&amp;RIGHT(配列!D191&amp;配列!E191,2),マクロ実行!$A$16 &amp;" T"&amp;H191&amp;"-"&amp;RIGHT(配列!D191&amp;配列!E191,3)))</f>
        <v/>
      </c>
      <c r="J191">
        <f>配列!F191</f>
        <v>0</v>
      </c>
      <c r="K191" s="2" t="e">
        <f>_xlfn.XLOOKUP(E191,セットアップレポート_紐づけ用!A:A,セットアップレポート_紐づけ用!R:R)</f>
        <v>#N/A</v>
      </c>
      <c r="L191" t="e">
        <f t="shared" si="9"/>
        <v>#N/A</v>
      </c>
      <c r="M191" t="e">
        <f>_xlfn.XLOOKUP(L191,EGPro!A:A,EGPro!D:D)</f>
        <v>#N/A</v>
      </c>
      <c r="N191" t="e">
        <f>_xlfn.XLOOKUP(L191,EGPro!A:A,EGPro!C:C)</f>
        <v>#N/A</v>
      </c>
      <c r="O191" t="e">
        <f t="shared" si="10"/>
        <v>#N/A</v>
      </c>
      <c r="P191" t="e">
        <f>_xlfn.XLOOKUP(O191,EGPro!A:A,EGPro!D:D)</f>
        <v>#N/A</v>
      </c>
      <c r="Q191" t="e">
        <f>_xlfn.XLOOKUP(O191,EGPro!A:A,EGPro!C:C)</f>
        <v>#N/A</v>
      </c>
    </row>
    <row r="192" spans="1:17" x14ac:dyDescent="0.45">
      <c r="A192" s="3">
        <f>配列!B192</f>
        <v>0</v>
      </c>
      <c r="B192" s="3" t="e">
        <f>_xlfn.XLOOKUP(A192,対応表!A:A,対応表!B:B)</f>
        <v>#N/A</v>
      </c>
      <c r="C192" s="3">
        <f>配列!C192</f>
        <v>0</v>
      </c>
      <c r="D192" s="3" t="str">
        <f>IF(配列!E192="",RIGHT(配列!D192&amp;配列!E192,4)&amp;"L",RIGHT(配列!D192&amp;配列!E192,5))</f>
        <v>L</v>
      </c>
      <c r="E192" s="3">
        <f t="shared" si="8"/>
        <v>0</v>
      </c>
      <c r="F192" s="3" t="e">
        <f>_xlfn.XLOOKUP(E192,セットアップレポート_紐づけ用!A:A,セットアップレポート_紐づけ用!J:J)</f>
        <v>#N/A</v>
      </c>
      <c r="G192" s="3" t="e">
        <f>_xlfn.XLOOKUP(E192,セットアップレポート_紐づけ用!A:A,セットアップレポート_紐づけ用!V:V)</f>
        <v>#N/A</v>
      </c>
      <c r="H192" s="3">
        <f t="shared" si="11"/>
        <v>-2</v>
      </c>
      <c r="I192" t="str">
        <f>IF(J192=0,"",IF(配列!E192="",マクロ実行!$A$16 &amp;" T"&amp;H192&amp;"-"&amp;RIGHT(配列!D192&amp;配列!E192,2),マクロ実行!$A$16 &amp;" T"&amp;H192&amp;"-"&amp;RIGHT(配列!D192&amp;配列!E192,3)))</f>
        <v/>
      </c>
      <c r="J192">
        <f>配列!F192</f>
        <v>0</v>
      </c>
      <c r="K192" s="2" t="e">
        <f>_xlfn.XLOOKUP(E192,セットアップレポート_紐づけ用!A:A,セットアップレポート_紐づけ用!R:R)</f>
        <v>#N/A</v>
      </c>
      <c r="L192" t="e">
        <f t="shared" si="9"/>
        <v>#N/A</v>
      </c>
      <c r="M192" t="e">
        <f>_xlfn.XLOOKUP(L192,EGPro!A:A,EGPro!D:D)</f>
        <v>#N/A</v>
      </c>
      <c r="N192" t="e">
        <f>_xlfn.XLOOKUP(L192,EGPro!A:A,EGPro!C:C)</f>
        <v>#N/A</v>
      </c>
      <c r="O192" t="e">
        <f t="shared" si="10"/>
        <v>#N/A</v>
      </c>
      <c r="P192" t="e">
        <f>_xlfn.XLOOKUP(O192,EGPro!A:A,EGPro!D:D)</f>
        <v>#N/A</v>
      </c>
      <c r="Q192" t="e">
        <f>_xlfn.XLOOKUP(O192,EGPro!A:A,EGPro!C:C)</f>
        <v>#N/A</v>
      </c>
    </row>
    <row r="193" spans="1:17" x14ac:dyDescent="0.45">
      <c r="A193" s="3">
        <f>配列!B193</f>
        <v>0</v>
      </c>
      <c r="B193" s="3" t="e">
        <f>_xlfn.XLOOKUP(A193,対応表!A:A,対応表!B:B)</f>
        <v>#N/A</v>
      </c>
      <c r="C193" s="3">
        <f>配列!C193</f>
        <v>0</v>
      </c>
      <c r="D193" s="3" t="str">
        <f>IF(配列!E193="",RIGHT(配列!D193&amp;配列!E193,4)&amp;"L",RIGHT(配列!D193&amp;配列!E193,5))</f>
        <v>L</v>
      </c>
      <c r="E193" s="3">
        <f t="shared" si="8"/>
        <v>0</v>
      </c>
      <c r="F193" s="3" t="e">
        <f>_xlfn.XLOOKUP(E193,セットアップレポート_紐づけ用!A:A,セットアップレポート_紐づけ用!J:J)</f>
        <v>#N/A</v>
      </c>
      <c r="G193" s="3" t="e">
        <f>_xlfn.XLOOKUP(E193,セットアップレポート_紐づけ用!A:A,セットアップレポート_紐づけ用!V:V)</f>
        <v>#N/A</v>
      </c>
      <c r="H193" s="3">
        <f t="shared" si="11"/>
        <v>-2</v>
      </c>
      <c r="I193" t="str">
        <f>IF(J193=0,"",IF(配列!E193="",マクロ実行!$A$16 &amp;" T"&amp;H193&amp;"-"&amp;RIGHT(配列!D193&amp;配列!E193,2),マクロ実行!$A$16 &amp;" T"&amp;H193&amp;"-"&amp;RIGHT(配列!D193&amp;配列!E193,3)))</f>
        <v/>
      </c>
      <c r="J193">
        <f>配列!F193</f>
        <v>0</v>
      </c>
      <c r="K193" s="2" t="e">
        <f>_xlfn.XLOOKUP(E193,セットアップレポート_紐づけ用!A:A,セットアップレポート_紐づけ用!R:R)</f>
        <v>#N/A</v>
      </c>
      <c r="L193" t="e">
        <f t="shared" si="9"/>
        <v>#N/A</v>
      </c>
      <c r="M193" t="e">
        <f>_xlfn.XLOOKUP(L193,EGPro!A:A,EGPro!D:D)</f>
        <v>#N/A</v>
      </c>
      <c r="N193" t="e">
        <f>_xlfn.XLOOKUP(L193,EGPro!A:A,EGPro!C:C)</f>
        <v>#N/A</v>
      </c>
      <c r="O193" t="e">
        <f t="shared" si="10"/>
        <v>#N/A</v>
      </c>
      <c r="P193" t="e">
        <f>_xlfn.XLOOKUP(O193,EGPro!A:A,EGPro!D:D)</f>
        <v>#N/A</v>
      </c>
      <c r="Q193" t="e">
        <f>_xlfn.XLOOKUP(O193,EGPro!A:A,EGPro!C:C)</f>
        <v>#N/A</v>
      </c>
    </row>
    <row r="194" spans="1:17" x14ac:dyDescent="0.45">
      <c r="A194" s="3">
        <f>配列!B194</f>
        <v>0</v>
      </c>
      <c r="B194" s="3" t="e">
        <f>_xlfn.XLOOKUP(A194,対応表!A:A,対応表!B:B)</f>
        <v>#N/A</v>
      </c>
      <c r="C194" s="3">
        <f>配列!C194</f>
        <v>0</v>
      </c>
      <c r="D194" s="3" t="str">
        <f>IF(配列!E194="",RIGHT(配列!D194&amp;配列!E194,4)&amp;"L",RIGHT(配列!D194&amp;配列!E194,5))</f>
        <v>L</v>
      </c>
      <c r="E194" s="3">
        <f t="shared" ref="E194:E257" si="12">IF(J194=0,,B194&amp;D194&amp;J194)</f>
        <v>0</v>
      </c>
      <c r="F194" s="3" t="e">
        <f>_xlfn.XLOOKUP(E194,セットアップレポート_紐づけ用!A:A,セットアップレポート_紐づけ用!J:J)</f>
        <v>#N/A</v>
      </c>
      <c r="G194" s="3" t="e">
        <f>_xlfn.XLOOKUP(E194,セットアップレポート_紐づけ用!A:A,セットアップレポート_紐づけ用!V:V)</f>
        <v>#N/A</v>
      </c>
      <c r="H194" s="3">
        <f t="shared" si="11"/>
        <v>-2</v>
      </c>
      <c r="I194" t="str">
        <f>IF(J194=0,"",IF(配列!E194="",マクロ実行!$A$16 &amp;" T"&amp;H194&amp;"-"&amp;RIGHT(配列!D194&amp;配列!E194,2),マクロ実行!$A$16 &amp;" T"&amp;H194&amp;"-"&amp;RIGHT(配列!D194&amp;配列!E194,3)))</f>
        <v/>
      </c>
      <c r="J194">
        <f>配列!F194</f>
        <v>0</v>
      </c>
      <c r="K194" s="2" t="e">
        <f>_xlfn.XLOOKUP(E194,セットアップレポート_紐づけ用!A:A,セットアップレポート_紐づけ用!R:R)</f>
        <v>#N/A</v>
      </c>
      <c r="L194" t="e">
        <f t="shared" ref="L194:L257" si="13">IF(LEN(F194)=13,"    "&amp;F194,F194)</f>
        <v>#N/A</v>
      </c>
      <c r="M194" t="e">
        <f>_xlfn.XLOOKUP(L194,EGPro!A:A,EGPro!D:D)</f>
        <v>#N/A</v>
      </c>
      <c r="N194" t="e">
        <f>_xlfn.XLOOKUP(L194,EGPro!A:A,EGPro!C:C)</f>
        <v>#N/A</v>
      </c>
      <c r="O194" t="e">
        <f t="shared" ref="O194:O257" si="14">IF(LEN(G194)=13,"    "&amp;G194,G194)</f>
        <v>#N/A</v>
      </c>
      <c r="P194" t="e">
        <f>_xlfn.XLOOKUP(O194,EGPro!A:A,EGPro!D:D)</f>
        <v>#N/A</v>
      </c>
      <c r="Q194" t="e">
        <f>_xlfn.XLOOKUP(O194,EGPro!A:A,EGPro!C:C)</f>
        <v>#N/A</v>
      </c>
    </row>
    <row r="195" spans="1:17" x14ac:dyDescent="0.45">
      <c r="A195" s="3">
        <f>配列!B195</f>
        <v>0</v>
      </c>
      <c r="B195" s="3" t="e">
        <f>_xlfn.XLOOKUP(A195,対応表!A:A,対応表!B:B)</f>
        <v>#N/A</v>
      </c>
      <c r="C195" s="3">
        <f>配列!C195</f>
        <v>0</v>
      </c>
      <c r="D195" s="3" t="str">
        <f>IF(配列!E195="",RIGHT(配列!D195&amp;配列!E195,4)&amp;"L",RIGHT(配列!D195&amp;配列!E195,5))</f>
        <v>L</v>
      </c>
      <c r="E195" s="3">
        <f t="shared" si="12"/>
        <v>0</v>
      </c>
      <c r="F195" s="3" t="e">
        <f>_xlfn.XLOOKUP(E195,セットアップレポート_紐づけ用!A:A,セットアップレポート_紐づけ用!J:J)</f>
        <v>#N/A</v>
      </c>
      <c r="G195" s="3" t="e">
        <f>_xlfn.XLOOKUP(E195,セットアップレポート_紐づけ用!A:A,セットアップレポート_紐づけ用!V:V)</f>
        <v>#N/A</v>
      </c>
      <c r="H195" s="3">
        <f t="shared" ref="H195:H258" si="15">2*RIGHT(A195,1)-2+C195</f>
        <v>-2</v>
      </c>
      <c r="I195" t="str">
        <f>IF(J195=0,"",IF(配列!E195="",マクロ実行!$A$16 &amp;" T"&amp;H195&amp;"-"&amp;RIGHT(配列!D195&amp;配列!E195,2),マクロ実行!$A$16 &amp;" T"&amp;H195&amp;"-"&amp;RIGHT(配列!D195&amp;配列!E195,3)))</f>
        <v/>
      </c>
      <c r="J195">
        <f>配列!F195</f>
        <v>0</v>
      </c>
      <c r="K195" s="2" t="e">
        <f>_xlfn.XLOOKUP(E195,セットアップレポート_紐づけ用!A:A,セットアップレポート_紐づけ用!R:R)</f>
        <v>#N/A</v>
      </c>
      <c r="L195" t="e">
        <f t="shared" si="13"/>
        <v>#N/A</v>
      </c>
      <c r="M195" t="e">
        <f>_xlfn.XLOOKUP(L195,EGPro!A:A,EGPro!D:D)</f>
        <v>#N/A</v>
      </c>
      <c r="N195" t="e">
        <f>_xlfn.XLOOKUP(L195,EGPro!A:A,EGPro!C:C)</f>
        <v>#N/A</v>
      </c>
      <c r="O195" t="e">
        <f t="shared" si="14"/>
        <v>#N/A</v>
      </c>
      <c r="P195" t="e">
        <f>_xlfn.XLOOKUP(O195,EGPro!A:A,EGPro!D:D)</f>
        <v>#N/A</v>
      </c>
      <c r="Q195" t="e">
        <f>_xlfn.XLOOKUP(O195,EGPro!A:A,EGPro!C:C)</f>
        <v>#N/A</v>
      </c>
    </row>
    <row r="196" spans="1:17" x14ac:dyDescent="0.45">
      <c r="A196" s="3">
        <f>配列!B196</f>
        <v>0</v>
      </c>
      <c r="B196" s="3" t="e">
        <f>_xlfn.XLOOKUP(A196,対応表!A:A,対応表!B:B)</f>
        <v>#N/A</v>
      </c>
      <c r="C196" s="3">
        <f>配列!C196</f>
        <v>0</v>
      </c>
      <c r="D196" s="3" t="str">
        <f>IF(配列!E196="",RIGHT(配列!D196&amp;配列!E196,4)&amp;"L",RIGHT(配列!D196&amp;配列!E196,5))</f>
        <v>L</v>
      </c>
      <c r="E196" s="3">
        <f t="shared" si="12"/>
        <v>0</v>
      </c>
      <c r="F196" s="3" t="e">
        <f>_xlfn.XLOOKUP(E196,セットアップレポート_紐づけ用!A:A,セットアップレポート_紐づけ用!J:J)</f>
        <v>#N/A</v>
      </c>
      <c r="G196" s="3" t="e">
        <f>_xlfn.XLOOKUP(E196,セットアップレポート_紐づけ用!A:A,セットアップレポート_紐づけ用!V:V)</f>
        <v>#N/A</v>
      </c>
      <c r="H196" s="3">
        <f t="shared" si="15"/>
        <v>-2</v>
      </c>
      <c r="I196" t="str">
        <f>IF(J196=0,"",IF(配列!E196="",マクロ実行!$A$16 &amp;" T"&amp;H196&amp;"-"&amp;RIGHT(配列!D196&amp;配列!E196,2),マクロ実行!$A$16 &amp;" T"&amp;H196&amp;"-"&amp;RIGHT(配列!D196&amp;配列!E196,3)))</f>
        <v/>
      </c>
      <c r="J196">
        <f>配列!F196</f>
        <v>0</v>
      </c>
      <c r="K196" s="2" t="e">
        <f>_xlfn.XLOOKUP(E196,セットアップレポート_紐づけ用!A:A,セットアップレポート_紐づけ用!R:R)</f>
        <v>#N/A</v>
      </c>
      <c r="L196" t="e">
        <f t="shared" si="13"/>
        <v>#N/A</v>
      </c>
      <c r="M196" t="e">
        <f>_xlfn.XLOOKUP(L196,EGPro!A:A,EGPro!D:D)</f>
        <v>#N/A</v>
      </c>
      <c r="N196" t="e">
        <f>_xlfn.XLOOKUP(L196,EGPro!A:A,EGPro!C:C)</f>
        <v>#N/A</v>
      </c>
      <c r="O196" t="e">
        <f t="shared" si="14"/>
        <v>#N/A</v>
      </c>
      <c r="P196" t="e">
        <f>_xlfn.XLOOKUP(O196,EGPro!A:A,EGPro!D:D)</f>
        <v>#N/A</v>
      </c>
      <c r="Q196" t="e">
        <f>_xlfn.XLOOKUP(O196,EGPro!A:A,EGPro!C:C)</f>
        <v>#N/A</v>
      </c>
    </row>
    <row r="197" spans="1:17" x14ac:dyDescent="0.45">
      <c r="A197" s="3">
        <f>配列!B197</f>
        <v>0</v>
      </c>
      <c r="B197" s="3" t="e">
        <f>_xlfn.XLOOKUP(A197,対応表!A:A,対応表!B:B)</f>
        <v>#N/A</v>
      </c>
      <c r="C197" s="3">
        <f>配列!C197</f>
        <v>0</v>
      </c>
      <c r="D197" s="3" t="str">
        <f>IF(配列!E197="",RIGHT(配列!D197&amp;配列!E197,4)&amp;"L",RIGHT(配列!D197&amp;配列!E197,5))</f>
        <v>L</v>
      </c>
      <c r="E197" s="3">
        <f t="shared" si="12"/>
        <v>0</v>
      </c>
      <c r="F197" s="3" t="e">
        <f>_xlfn.XLOOKUP(E197,セットアップレポート_紐づけ用!A:A,セットアップレポート_紐づけ用!J:J)</f>
        <v>#N/A</v>
      </c>
      <c r="G197" s="3" t="e">
        <f>_xlfn.XLOOKUP(E197,セットアップレポート_紐づけ用!A:A,セットアップレポート_紐づけ用!V:V)</f>
        <v>#N/A</v>
      </c>
      <c r="H197" s="3">
        <f t="shared" si="15"/>
        <v>-2</v>
      </c>
      <c r="I197" t="str">
        <f>IF(J197=0,"",IF(配列!E197="",マクロ実行!$A$16 &amp;" T"&amp;H197&amp;"-"&amp;RIGHT(配列!D197&amp;配列!E197,2),マクロ実行!$A$16 &amp;" T"&amp;H197&amp;"-"&amp;RIGHT(配列!D197&amp;配列!E197,3)))</f>
        <v/>
      </c>
      <c r="J197">
        <f>配列!F197</f>
        <v>0</v>
      </c>
      <c r="K197" s="2" t="e">
        <f>_xlfn.XLOOKUP(E197,セットアップレポート_紐づけ用!A:A,セットアップレポート_紐づけ用!R:R)</f>
        <v>#N/A</v>
      </c>
      <c r="L197" t="e">
        <f t="shared" si="13"/>
        <v>#N/A</v>
      </c>
      <c r="M197" t="e">
        <f>_xlfn.XLOOKUP(L197,EGPro!A:A,EGPro!D:D)</f>
        <v>#N/A</v>
      </c>
      <c r="N197" t="e">
        <f>_xlfn.XLOOKUP(L197,EGPro!A:A,EGPro!C:C)</f>
        <v>#N/A</v>
      </c>
      <c r="O197" t="e">
        <f t="shared" si="14"/>
        <v>#N/A</v>
      </c>
      <c r="P197" t="e">
        <f>_xlfn.XLOOKUP(O197,EGPro!A:A,EGPro!D:D)</f>
        <v>#N/A</v>
      </c>
      <c r="Q197" t="e">
        <f>_xlfn.XLOOKUP(O197,EGPro!A:A,EGPro!C:C)</f>
        <v>#N/A</v>
      </c>
    </row>
    <row r="198" spans="1:17" x14ac:dyDescent="0.45">
      <c r="A198" s="3">
        <f>配列!B198</f>
        <v>0</v>
      </c>
      <c r="B198" s="3" t="e">
        <f>_xlfn.XLOOKUP(A198,対応表!A:A,対応表!B:B)</f>
        <v>#N/A</v>
      </c>
      <c r="C198" s="3">
        <f>配列!C198</f>
        <v>0</v>
      </c>
      <c r="D198" s="3" t="str">
        <f>IF(配列!E198="",RIGHT(配列!D198&amp;配列!E198,4)&amp;"L",RIGHT(配列!D198&amp;配列!E198,5))</f>
        <v>L</v>
      </c>
      <c r="E198" s="3">
        <f t="shared" si="12"/>
        <v>0</v>
      </c>
      <c r="F198" s="3" t="e">
        <f>_xlfn.XLOOKUP(E198,セットアップレポート_紐づけ用!A:A,セットアップレポート_紐づけ用!J:J)</f>
        <v>#N/A</v>
      </c>
      <c r="G198" s="3" t="e">
        <f>_xlfn.XLOOKUP(E198,セットアップレポート_紐づけ用!A:A,セットアップレポート_紐づけ用!V:V)</f>
        <v>#N/A</v>
      </c>
      <c r="H198" s="3">
        <f t="shared" si="15"/>
        <v>-2</v>
      </c>
      <c r="I198" t="str">
        <f>IF(J198=0,"",IF(配列!E198="",マクロ実行!$A$16 &amp;" T"&amp;H198&amp;"-"&amp;RIGHT(配列!D198&amp;配列!E198,2),マクロ実行!$A$16 &amp;" T"&amp;H198&amp;"-"&amp;RIGHT(配列!D198&amp;配列!E198,3)))</f>
        <v/>
      </c>
      <c r="J198">
        <f>配列!F198</f>
        <v>0</v>
      </c>
      <c r="K198" s="2" t="e">
        <f>_xlfn.XLOOKUP(E198,セットアップレポート_紐づけ用!A:A,セットアップレポート_紐づけ用!R:R)</f>
        <v>#N/A</v>
      </c>
      <c r="L198" t="e">
        <f t="shared" si="13"/>
        <v>#N/A</v>
      </c>
      <c r="M198" t="e">
        <f>_xlfn.XLOOKUP(L198,EGPro!A:A,EGPro!D:D)</f>
        <v>#N/A</v>
      </c>
      <c r="N198" t="e">
        <f>_xlfn.XLOOKUP(L198,EGPro!A:A,EGPro!C:C)</f>
        <v>#N/A</v>
      </c>
      <c r="O198" t="e">
        <f t="shared" si="14"/>
        <v>#N/A</v>
      </c>
      <c r="P198" t="e">
        <f>_xlfn.XLOOKUP(O198,EGPro!A:A,EGPro!D:D)</f>
        <v>#N/A</v>
      </c>
      <c r="Q198" t="e">
        <f>_xlfn.XLOOKUP(O198,EGPro!A:A,EGPro!C:C)</f>
        <v>#N/A</v>
      </c>
    </row>
    <row r="199" spans="1:17" x14ac:dyDescent="0.45">
      <c r="A199" s="3">
        <f>配列!B199</f>
        <v>0</v>
      </c>
      <c r="B199" s="3" t="e">
        <f>_xlfn.XLOOKUP(A199,対応表!A:A,対応表!B:B)</f>
        <v>#N/A</v>
      </c>
      <c r="C199" s="3">
        <f>配列!C199</f>
        <v>0</v>
      </c>
      <c r="D199" s="3" t="str">
        <f>IF(配列!E199="",RIGHT(配列!D199&amp;配列!E199,4)&amp;"L",RIGHT(配列!D199&amp;配列!E199,5))</f>
        <v>L</v>
      </c>
      <c r="E199" s="3">
        <f t="shared" si="12"/>
        <v>0</v>
      </c>
      <c r="F199" s="3" t="e">
        <f>_xlfn.XLOOKUP(E199,セットアップレポート_紐づけ用!A:A,セットアップレポート_紐づけ用!J:J)</f>
        <v>#N/A</v>
      </c>
      <c r="G199" s="3" t="e">
        <f>_xlfn.XLOOKUP(E199,セットアップレポート_紐づけ用!A:A,セットアップレポート_紐づけ用!V:V)</f>
        <v>#N/A</v>
      </c>
      <c r="H199" s="3">
        <f t="shared" si="15"/>
        <v>-2</v>
      </c>
      <c r="I199" t="str">
        <f>IF(J199=0,"",IF(配列!E199="",マクロ実行!$A$16 &amp;" T"&amp;H199&amp;"-"&amp;RIGHT(配列!D199&amp;配列!E199,2),マクロ実行!$A$16 &amp;" T"&amp;H199&amp;"-"&amp;RIGHT(配列!D199&amp;配列!E199,3)))</f>
        <v/>
      </c>
      <c r="J199">
        <f>配列!F199</f>
        <v>0</v>
      </c>
      <c r="K199" s="2" t="e">
        <f>_xlfn.XLOOKUP(E199,セットアップレポート_紐づけ用!A:A,セットアップレポート_紐づけ用!R:R)</f>
        <v>#N/A</v>
      </c>
      <c r="L199" t="e">
        <f t="shared" si="13"/>
        <v>#N/A</v>
      </c>
      <c r="M199" t="e">
        <f>_xlfn.XLOOKUP(L199,EGPro!A:A,EGPro!D:D)</f>
        <v>#N/A</v>
      </c>
      <c r="N199" t="e">
        <f>_xlfn.XLOOKUP(L199,EGPro!A:A,EGPro!C:C)</f>
        <v>#N/A</v>
      </c>
      <c r="O199" t="e">
        <f t="shared" si="14"/>
        <v>#N/A</v>
      </c>
      <c r="P199" t="e">
        <f>_xlfn.XLOOKUP(O199,EGPro!A:A,EGPro!D:D)</f>
        <v>#N/A</v>
      </c>
      <c r="Q199" t="e">
        <f>_xlfn.XLOOKUP(O199,EGPro!A:A,EGPro!C:C)</f>
        <v>#N/A</v>
      </c>
    </row>
    <row r="200" spans="1:17" x14ac:dyDescent="0.45">
      <c r="A200" s="3">
        <f>配列!B200</f>
        <v>0</v>
      </c>
      <c r="B200" s="3" t="e">
        <f>_xlfn.XLOOKUP(A200,対応表!A:A,対応表!B:B)</f>
        <v>#N/A</v>
      </c>
      <c r="C200" s="3">
        <f>配列!C200</f>
        <v>0</v>
      </c>
      <c r="D200" s="3" t="str">
        <f>IF(配列!E200="",RIGHT(配列!D200&amp;配列!E200,4)&amp;"L",RIGHT(配列!D200&amp;配列!E200,5))</f>
        <v>L</v>
      </c>
      <c r="E200" s="3">
        <f t="shared" si="12"/>
        <v>0</v>
      </c>
      <c r="F200" s="3" t="e">
        <f>_xlfn.XLOOKUP(E200,セットアップレポート_紐づけ用!A:A,セットアップレポート_紐づけ用!J:J)</f>
        <v>#N/A</v>
      </c>
      <c r="G200" s="3" t="e">
        <f>_xlfn.XLOOKUP(E200,セットアップレポート_紐づけ用!A:A,セットアップレポート_紐づけ用!V:V)</f>
        <v>#N/A</v>
      </c>
      <c r="H200" s="3">
        <f t="shared" si="15"/>
        <v>-2</v>
      </c>
      <c r="I200" t="str">
        <f>IF(J200=0,"",IF(配列!E200="",マクロ実行!$A$16 &amp;" T"&amp;H200&amp;"-"&amp;RIGHT(配列!D200&amp;配列!E200,2),マクロ実行!$A$16 &amp;" T"&amp;H200&amp;"-"&amp;RIGHT(配列!D200&amp;配列!E200,3)))</f>
        <v/>
      </c>
      <c r="J200">
        <f>配列!F200</f>
        <v>0</v>
      </c>
      <c r="K200" s="2" t="e">
        <f>_xlfn.XLOOKUP(E200,セットアップレポート_紐づけ用!A:A,セットアップレポート_紐づけ用!R:R)</f>
        <v>#N/A</v>
      </c>
      <c r="L200" t="e">
        <f t="shared" si="13"/>
        <v>#N/A</v>
      </c>
      <c r="M200" t="e">
        <f>_xlfn.XLOOKUP(L200,EGPro!A:A,EGPro!D:D)</f>
        <v>#N/A</v>
      </c>
      <c r="N200" t="e">
        <f>_xlfn.XLOOKUP(L200,EGPro!A:A,EGPro!C:C)</f>
        <v>#N/A</v>
      </c>
      <c r="O200" t="e">
        <f t="shared" si="14"/>
        <v>#N/A</v>
      </c>
      <c r="P200" t="e">
        <f>_xlfn.XLOOKUP(O200,EGPro!A:A,EGPro!D:D)</f>
        <v>#N/A</v>
      </c>
      <c r="Q200" t="e">
        <f>_xlfn.XLOOKUP(O200,EGPro!A:A,EGPro!C:C)</f>
        <v>#N/A</v>
      </c>
    </row>
    <row r="201" spans="1:17" x14ac:dyDescent="0.45">
      <c r="A201" s="3">
        <f>配列!B201</f>
        <v>0</v>
      </c>
      <c r="B201" s="3" t="e">
        <f>_xlfn.XLOOKUP(A201,対応表!A:A,対応表!B:B)</f>
        <v>#N/A</v>
      </c>
      <c r="C201" s="3">
        <f>配列!C201</f>
        <v>0</v>
      </c>
      <c r="D201" s="3" t="str">
        <f>IF(配列!E201="",RIGHT(配列!D201&amp;配列!E201,4)&amp;"L",RIGHT(配列!D201&amp;配列!E201,5))</f>
        <v>L</v>
      </c>
      <c r="E201" s="3">
        <f t="shared" si="12"/>
        <v>0</v>
      </c>
      <c r="F201" s="3" t="e">
        <f>_xlfn.XLOOKUP(E201,セットアップレポート_紐づけ用!A:A,セットアップレポート_紐づけ用!J:J)</f>
        <v>#N/A</v>
      </c>
      <c r="G201" s="3" t="e">
        <f>_xlfn.XLOOKUP(E201,セットアップレポート_紐づけ用!A:A,セットアップレポート_紐づけ用!V:V)</f>
        <v>#N/A</v>
      </c>
      <c r="H201" s="3">
        <f t="shared" si="15"/>
        <v>-2</v>
      </c>
      <c r="I201" t="str">
        <f>IF(J201=0,"",IF(配列!E201="",マクロ実行!$A$16 &amp;" T"&amp;H201&amp;"-"&amp;RIGHT(配列!D201&amp;配列!E201,2),マクロ実行!$A$16 &amp;" T"&amp;H201&amp;"-"&amp;RIGHT(配列!D201&amp;配列!E201,3)))</f>
        <v/>
      </c>
      <c r="J201">
        <f>配列!F201</f>
        <v>0</v>
      </c>
      <c r="K201" s="2" t="e">
        <f>_xlfn.XLOOKUP(E201,セットアップレポート_紐づけ用!A:A,セットアップレポート_紐づけ用!R:R)</f>
        <v>#N/A</v>
      </c>
      <c r="L201" t="e">
        <f t="shared" si="13"/>
        <v>#N/A</v>
      </c>
      <c r="M201" t="e">
        <f>_xlfn.XLOOKUP(L201,EGPro!A:A,EGPro!D:D)</f>
        <v>#N/A</v>
      </c>
      <c r="N201" t="e">
        <f>_xlfn.XLOOKUP(L201,EGPro!A:A,EGPro!C:C)</f>
        <v>#N/A</v>
      </c>
      <c r="O201" t="e">
        <f t="shared" si="14"/>
        <v>#N/A</v>
      </c>
      <c r="P201" t="e">
        <f>_xlfn.XLOOKUP(O201,EGPro!A:A,EGPro!D:D)</f>
        <v>#N/A</v>
      </c>
      <c r="Q201" t="e">
        <f>_xlfn.XLOOKUP(O201,EGPro!A:A,EGPro!C:C)</f>
        <v>#N/A</v>
      </c>
    </row>
    <row r="202" spans="1:17" x14ac:dyDescent="0.45">
      <c r="A202" s="3">
        <f>配列!B202</f>
        <v>0</v>
      </c>
      <c r="B202" s="3" t="e">
        <f>_xlfn.XLOOKUP(A202,対応表!A:A,対応表!B:B)</f>
        <v>#N/A</v>
      </c>
      <c r="C202" s="3">
        <f>配列!C202</f>
        <v>0</v>
      </c>
      <c r="D202" s="3" t="str">
        <f>IF(配列!E202="",RIGHT(配列!D202&amp;配列!E202,4)&amp;"L",RIGHT(配列!D202&amp;配列!E202,5))</f>
        <v>L</v>
      </c>
      <c r="E202" s="3">
        <f t="shared" si="12"/>
        <v>0</v>
      </c>
      <c r="F202" s="3" t="e">
        <f>_xlfn.XLOOKUP(E202,セットアップレポート_紐づけ用!A:A,セットアップレポート_紐づけ用!J:J)</f>
        <v>#N/A</v>
      </c>
      <c r="G202" s="3" t="e">
        <f>_xlfn.XLOOKUP(E202,セットアップレポート_紐づけ用!A:A,セットアップレポート_紐づけ用!V:V)</f>
        <v>#N/A</v>
      </c>
      <c r="H202" s="3">
        <f t="shared" si="15"/>
        <v>-2</v>
      </c>
      <c r="I202" t="str">
        <f>IF(J202=0,"",IF(配列!E202="",マクロ実行!$A$16 &amp;" T"&amp;H202&amp;"-"&amp;RIGHT(配列!D202&amp;配列!E202,2),マクロ実行!$A$16 &amp;" T"&amp;H202&amp;"-"&amp;RIGHT(配列!D202&amp;配列!E202,3)))</f>
        <v/>
      </c>
      <c r="J202">
        <f>配列!F202</f>
        <v>0</v>
      </c>
      <c r="K202" s="2" t="e">
        <f>_xlfn.XLOOKUP(E202,セットアップレポート_紐づけ用!A:A,セットアップレポート_紐づけ用!R:R)</f>
        <v>#N/A</v>
      </c>
      <c r="L202" t="e">
        <f t="shared" si="13"/>
        <v>#N/A</v>
      </c>
      <c r="M202" t="e">
        <f>_xlfn.XLOOKUP(L202,EGPro!A:A,EGPro!D:D)</f>
        <v>#N/A</v>
      </c>
      <c r="N202" t="e">
        <f>_xlfn.XLOOKUP(L202,EGPro!A:A,EGPro!C:C)</f>
        <v>#N/A</v>
      </c>
      <c r="O202" t="e">
        <f t="shared" si="14"/>
        <v>#N/A</v>
      </c>
      <c r="P202" t="e">
        <f>_xlfn.XLOOKUP(O202,EGPro!A:A,EGPro!D:D)</f>
        <v>#N/A</v>
      </c>
      <c r="Q202" t="e">
        <f>_xlfn.XLOOKUP(O202,EGPro!A:A,EGPro!C:C)</f>
        <v>#N/A</v>
      </c>
    </row>
    <row r="203" spans="1:17" x14ac:dyDescent="0.45">
      <c r="A203" s="3">
        <f>配列!B203</f>
        <v>0</v>
      </c>
      <c r="B203" s="3" t="e">
        <f>_xlfn.XLOOKUP(A203,対応表!A:A,対応表!B:B)</f>
        <v>#N/A</v>
      </c>
      <c r="C203" s="3">
        <f>配列!C203</f>
        <v>0</v>
      </c>
      <c r="D203" s="3" t="str">
        <f>IF(配列!E203="",RIGHT(配列!D203&amp;配列!E203,4)&amp;"L",RIGHT(配列!D203&amp;配列!E203,5))</f>
        <v>L</v>
      </c>
      <c r="E203" s="3">
        <f t="shared" si="12"/>
        <v>0</v>
      </c>
      <c r="F203" s="3" t="e">
        <f>_xlfn.XLOOKUP(E203,セットアップレポート_紐づけ用!A:A,セットアップレポート_紐づけ用!J:J)</f>
        <v>#N/A</v>
      </c>
      <c r="G203" s="3" t="e">
        <f>_xlfn.XLOOKUP(E203,セットアップレポート_紐づけ用!A:A,セットアップレポート_紐づけ用!V:V)</f>
        <v>#N/A</v>
      </c>
      <c r="H203" s="3">
        <f t="shared" si="15"/>
        <v>-2</v>
      </c>
      <c r="I203" t="str">
        <f>IF(J203=0,"",IF(配列!E203="",マクロ実行!$A$16 &amp;" T"&amp;H203&amp;"-"&amp;RIGHT(配列!D203&amp;配列!E203,2),マクロ実行!$A$16 &amp;" T"&amp;H203&amp;"-"&amp;RIGHT(配列!D203&amp;配列!E203,3)))</f>
        <v/>
      </c>
      <c r="J203">
        <f>配列!F203</f>
        <v>0</v>
      </c>
      <c r="K203" s="2" t="e">
        <f>_xlfn.XLOOKUP(E203,セットアップレポート_紐づけ用!A:A,セットアップレポート_紐づけ用!R:R)</f>
        <v>#N/A</v>
      </c>
      <c r="L203" t="e">
        <f t="shared" si="13"/>
        <v>#N/A</v>
      </c>
      <c r="M203" t="e">
        <f>_xlfn.XLOOKUP(L203,EGPro!A:A,EGPro!D:D)</f>
        <v>#N/A</v>
      </c>
      <c r="N203" t="e">
        <f>_xlfn.XLOOKUP(L203,EGPro!A:A,EGPro!C:C)</f>
        <v>#N/A</v>
      </c>
      <c r="O203" t="e">
        <f t="shared" si="14"/>
        <v>#N/A</v>
      </c>
      <c r="P203" t="e">
        <f>_xlfn.XLOOKUP(O203,EGPro!A:A,EGPro!D:D)</f>
        <v>#N/A</v>
      </c>
      <c r="Q203" t="e">
        <f>_xlfn.XLOOKUP(O203,EGPro!A:A,EGPro!C:C)</f>
        <v>#N/A</v>
      </c>
    </row>
    <row r="204" spans="1:17" x14ac:dyDescent="0.45">
      <c r="A204" s="3">
        <f>配列!B204</f>
        <v>0</v>
      </c>
      <c r="B204" s="3" t="e">
        <f>_xlfn.XLOOKUP(A204,対応表!A:A,対応表!B:B)</f>
        <v>#N/A</v>
      </c>
      <c r="C204" s="3">
        <f>配列!C204</f>
        <v>0</v>
      </c>
      <c r="D204" s="3" t="str">
        <f>IF(配列!E204="",RIGHT(配列!D204&amp;配列!E204,4)&amp;"L",RIGHT(配列!D204&amp;配列!E204,5))</f>
        <v>L</v>
      </c>
      <c r="E204" s="3">
        <f t="shared" si="12"/>
        <v>0</v>
      </c>
      <c r="F204" s="3" t="e">
        <f>_xlfn.XLOOKUP(E204,セットアップレポート_紐づけ用!A:A,セットアップレポート_紐づけ用!J:J)</f>
        <v>#N/A</v>
      </c>
      <c r="G204" s="3" t="e">
        <f>_xlfn.XLOOKUP(E204,セットアップレポート_紐づけ用!A:A,セットアップレポート_紐づけ用!V:V)</f>
        <v>#N/A</v>
      </c>
      <c r="H204" s="3">
        <f t="shared" si="15"/>
        <v>-2</v>
      </c>
      <c r="I204" t="str">
        <f>IF(J204=0,"",IF(配列!E204="",マクロ実行!$A$16 &amp;" T"&amp;H204&amp;"-"&amp;RIGHT(配列!D204&amp;配列!E204,2),マクロ実行!$A$16 &amp;" T"&amp;H204&amp;"-"&amp;RIGHT(配列!D204&amp;配列!E204,3)))</f>
        <v/>
      </c>
      <c r="J204">
        <f>配列!F204</f>
        <v>0</v>
      </c>
      <c r="K204" s="2" t="e">
        <f>_xlfn.XLOOKUP(E204,セットアップレポート_紐づけ用!A:A,セットアップレポート_紐づけ用!R:R)</f>
        <v>#N/A</v>
      </c>
      <c r="L204" t="e">
        <f t="shared" si="13"/>
        <v>#N/A</v>
      </c>
      <c r="M204" t="e">
        <f>_xlfn.XLOOKUP(L204,EGPro!A:A,EGPro!D:D)</f>
        <v>#N/A</v>
      </c>
      <c r="N204" t="e">
        <f>_xlfn.XLOOKUP(L204,EGPro!A:A,EGPro!C:C)</f>
        <v>#N/A</v>
      </c>
      <c r="O204" t="e">
        <f t="shared" si="14"/>
        <v>#N/A</v>
      </c>
      <c r="P204" t="e">
        <f>_xlfn.XLOOKUP(O204,EGPro!A:A,EGPro!D:D)</f>
        <v>#N/A</v>
      </c>
      <c r="Q204" t="e">
        <f>_xlfn.XLOOKUP(O204,EGPro!A:A,EGPro!C:C)</f>
        <v>#N/A</v>
      </c>
    </row>
    <row r="205" spans="1:17" x14ac:dyDescent="0.45">
      <c r="A205" s="3">
        <f>配列!B205</f>
        <v>0</v>
      </c>
      <c r="B205" s="3" t="e">
        <f>_xlfn.XLOOKUP(A205,対応表!A:A,対応表!B:B)</f>
        <v>#N/A</v>
      </c>
      <c r="C205" s="3">
        <f>配列!C205</f>
        <v>0</v>
      </c>
      <c r="D205" s="3" t="str">
        <f>IF(配列!E205="",RIGHT(配列!D205&amp;配列!E205,4)&amp;"L",RIGHT(配列!D205&amp;配列!E205,5))</f>
        <v>L</v>
      </c>
      <c r="E205" s="3">
        <f t="shared" si="12"/>
        <v>0</v>
      </c>
      <c r="F205" s="3" t="e">
        <f>_xlfn.XLOOKUP(E205,セットアップレポート_紐づけ用!A:A,セットアップレポート_紐づけ用!J:J)</f>
        <v>#N/A</v>
      </c>
      <c r="G205" s="3" t="e">
        <f>_xlfn.XLOOKUP(E205,セットアップレポート_紐づけ用!A:A,セットアップレポート_紐づけ用!V:V)</f>
        <v>#N/A</v>
      </c>
      <c r="H205" s="3">
        <f t="shared" si="15"/>
        <v>-2</v>
      </c>
      <c r="I205" t="str">
        <f>IF(J205=0,"",IF(配列!E205="",マクロ実行!$A$16 &amp;" T"&amp;H205&amp;"-"&amp;RIGHT(配列!D205&amp;配列!E205,2),マクロ実行!$A$16 &amp;" T"&amp;H205&amp;"-"&amp;RIGHT(配列!D205&amp;配列!E205,3)))</f>
        <v/>
      </c>
      <c r="J205">
        <f>配列!F205</f>
        <v>0</v>
      </c>
      <c r="K205" s="2" t="e">
        <f>_xlfn.XLOOKUP(E205,セットアップレポート_紐づけ用!A:A,セットアップレポート_紐づけ用!R:R)</f>
        <v>#N/A</v>
      </c>
      <c r="L205" t="e">
        <f t="shared" si="13"/>
        <v>#N/A</v>
      </c>
      <c r="M205" t="e">
        <f>_xlfn.XLOOKUP(L205,EGPro!A:A,EGPro!D:D)</f>
        <v>#N/A</v>
      </c>
      <c r="N205" t="e">
        <f>_xlfn.XLOOKUP(L205,EGPro!A:A,EGPro!C:C)</f>
        <v>#N/A</v>
      </c>
      <c r="O205" t="e">
        <f t="shared" si="14"/>
        <v>#N/A</v>
      </c>
      <c r="P205" t="e">
        <f>_xlfn.XLOOKUP(O205,EGPro!A:A,EGPro!D:D)</f>
        <v>#N/A</v>
      </c>
      <c r="Q205" t="e">
        <f>_xlfn.XLOOKUP(O205,EGPro!A:A,EGPro!C:C)</f>
        <v>#N/A</v>
      </c>
    </row>
    <row r="206" spans="1:17" x14ac:dyDescent="0.45">
      <c r="A206" s="3">
        <f>配列!B206</f>
        <v>0</v>
      </c>
      <c r="B206" s="3" t="e">
        <f>_xlfn.XLOOKUP(A206,対応表!A:A,対応表!B:B)</f>
        <v>#N/A</v>
      </c>
      <c r="C206" s="3">
        <f>配列!C206</f>
        <v>0</v>
      </c>
      <c r="D206" s="3" t="str">
        <f>IF(配列!E206="",RIGHT(配列!D206&amp;配列!E206,4)&amp;"L",RIGHT(配列!D206&amp;配列!E206,5))</f>
        <v>L</v>
      </c>
      <c r="E206" s="3">
        <f t="shared" si="12"/>
        <v>0</v>
      </c>
      <c r="F206" s="3" t="e">
        <f>_xlfn.XLOOKUP(E206,セットアップレポート_紐づけ用!A:A,セットアップレポート_紐づけ用!J:J)</f>
        <v>#N/A</v>
      </c>
      <c r="G206" s="3" t="e">
        <f>_xlfn.XLOOKUP(E206,セットアップレポート_紐づけ用!A:A,セットアップレポート_紐づけ用!V:V)</f>
        <v>#N/A</v>
      </c>
      <c r="H206" s="3">
        <f t="shared" si="15"/>
        <v>-2</v>
      </c>
      <c r="I206" t="str">
        <f>IF(J206=0,"",IF(配列!E206="",マクロ実行!$A$16 &amp;" T"&amp;H206&amp;"-"&amp;RIGHT(配列!D206&amp;配列!E206,2),マクロ実行!$A$16 &amp;" T"&amp;H206&amp;"-"&amp;RIGHT(配列!D206&amp;配列!E206,3)))</f>
        <v/>
      </c>
      <c r="J206">
        <f>配列!F206</f>
        <v>0</v>
      </c>
      <c r="K206" s="2" t="e">
        <f>_xlfn.XLOOKUP(E206,セットアップレポート_紐づけ用!A:A,セットアップレポート_紐づけ用!R:R)</f>
        <v>#N/A</v>
      </c>
      <c r="L206" t="e">
        <f t="shared" si="13"/>
        <v>#N/A</v>
      </c>
      <c r="M206" t="e">
        <f>_xlfn.XLOOKUP(L206,EGPro!A:A,EGPro!D:D)</f>
        <v>#N/A</v>
      </c>
      <c r="N206" t="e">
        <f>_xlfn.XLOOKUP(L206,EGPro!A:A,EGPro!C:C)</f>
        <v>#N/A</v>
      </c>
      <c r="O206" t="e">
        <f t="shared" si="14"/>
        <v>#N/A</v>
      </c>
      <c r="P206" t="e">
        <f>_xlfn.XLOOKUP(O206,EGPro!A:A,EGPro!D:D)</f>
        <v>#N/A</v>
      </c>
      <c r="Q206" t="e">
        <f>_xlfn.XLOOKUP(O206,EGPro!A:A,EGPro!C:C)</f>
        <v>#N/A</v>
      </c>
    </row>
    <row r="207" spans="1:17" x14ac:dyDescent="0.45">
      <c r="A207" s="3">
        <f>配列!B207</f>
        <v>0</v>
      </c>
      <c r="B207" s="3" t="e">
        <f>_xlfn.XLOOKUP(A207,対応表!A:A,対応表!B:B)</f>
        <v>#N/A</v>
      </c>
      <c r="C207" s="3">
        <f>配列!C207</f>
        <v>0</v>
      </c>
      <c r="D207" s="3" t="str">
        <f>IF(配列!E207="",RIGHT(配列!D207&amp;配列!E207,4)&amp;"L",RIGHT(配列!D207&amp;配列!E207,5))</f>
        <v>L</v>
      </c>
      <c r="E207" s="3">
        <f t="shared" si="12"/>
        <v>0</v>
      </c>
      <c r="F207" s="3" t="e">
        <f>_xlfn.XLOOKUP(E207,セットアップレポート_紐づけ用!A:A,セットアップレポート_紐づけ用!J:J)</f>
        <v>#N/A</v>
      </c>
      <c r="G207" s="3" t="e">
        <f>_xlfn.XLOOKUP(E207,セットアップレポート_紐づけ用!A:A,セットアップレポート_紐づけ用!V:V)</f>
        <v>#N/A</v>
      </c>
      <c r="H207" s="3">
        <f t="shared" si="15"/>
        <v>-2</v>
      </c>
      <c r="I207" t="str">
        <f>IF(J207=0,"",IF(配列!E207="",マクロ実行!$A$16 &amp;" T"&amp;H207&amp;"-"&amp;RIGHT(配列!D207&amp;配列!E207,2),マクロ実行!$A$16 &amp;" T"&amp;H207&amp;"-"&amp;RIGHT(配列!D207&amp;配列!E207,3)))</f>
        <v/>
      </c>
      <c r="J207">
        <f>配列!F207</f>
        <v>0</v>
      </c>
      <c r="K207" s="2" t="e">
        <f>_xlfn.XLOOKUP(E207,セットアップレポート_紐づけ用!A:A,セットアップレポート_紐づけ用!R:R)</f>
        <v>#N/A</v>
      </c>
      <c r="L207" t="e">
        <f t="shared" si="13"/>
        <v>#N/A</v>
      </c>
      <c r="M207" t="e">
        <f>_xlfn.XLOOKUP(L207,EGPro!A:A,EGPro!D:D)</f>
        <v>#N/A</v>
      </c>
      <c r="N207" t="e">
        <f>_xlfn.XLOOKUP(L207,EGPro!A:A,EGPro!C:C)</f>
        <v>#N/A</v>
      </c>
      <c r="O207" t="e">
        <f t="shared" si="14"/>
        <v>#N/A</v>
      </c>
      <c r="P207" t="e">
        <f>_xlfn.XLOOKUP(O207,EGPro!A:A,EGPro!D:D)</f>
        <v>#N/A</v>
      </c>
      <c r="Q207" t="e">
        <f>_xlfn.XLOOKUP(O207,EGPro!A:A,EGPro!C:C)</f>
        <v>#N/A</v>
      </c>
    </row>
    <row r="208" spans="1:17" x14ac:dyDescent="0.45">
      <c r="A208" s="3">
        <f>配列!B208</f>
        <v>0</v>
      </c>
      <c r="B208" s="3" t="e">
        <f>_xlfn.XLOOKUP(A208,対応表!A:A,対応表!B:B)</f>
        <v>#N/A</v>
      </c>
      <c r="C208" s="3">
        <f>配列!C208</f>
        <v>0</v>
      </c>
      <c r="D208" s="3" t="str">
        <f>IF(配列!E208="",RIGHT(配列!D208&amp;配列!E208,4)&amp;"L",RIGHT(配列!D208&amp;配列!E208,5))</f>
        <v>L</v>
      </c>
      <c r="E208" s="3">
        <f t="shared" si="12"/>
        <v>0</v>
      </c>
      <c r="F208" s="3" t="e">
        <f>_xlfn.XLOOKUP(E208,セットアップレポート_紐づけ用!A:A,セットアップレポート_紐づけ用!J:J)</f>
        <v>#N/A</v>
      </c>
      <c r="G208" s="3" t="e">
        <f>_xlfn.XLOOKUP(E208,セットアップレポート_紐づけ用!A:A,セットアップレポート_紐づけ用!V:V)</f>
        <v>#N/A</v>
      </c>
      <c r="H208" s="3">
        <f t="shared" si="15"/>
        <v>-2</v>
      </c>
      <c r="I208" t="str">
        <f>IF(J208=0,"",IF(配列!E208="",マクロ実行!$A$16 &amp;" T"&amp;H208&amp;"-"&amp;RIGHT(配列!D208&amp;配列!E208,2),マクロ実行!$A$16 &amp;" T"&amp;H208&amp;"-"&amp;RIGHT(配列!D208&amp;配列!E208,3)))</f>
        <v/>
      </c>
      <c r="J208">
        <f>配列!F208</f>
        <v>0</v>
      </c>
      <c r="K208" s="2" t="e">
        <f>_xlfn.XLOOKUP(E208,セットアップレポート_紐づけ用!A:A,セットアップレポート_紐づけ用!R:R)</f>
        <v>#N/A</v>
      </c>
      <c r="L208" t="e">
        <f t="shared" si="13"/>
        <v>#N/A</v>
      </c>
      <c r="M208" t="e">
        <f>_xlfn.XLOOKUP(L208,EGPro!A:A,EGPro!D:D)</f>
        <v>#N/A</v>
      </c>
      <c r="N208" t="e">
        <f>_xlfn.XLOOKUP(L208,EGPro!A:A,EGPro!C:C)</f>
        <v>#N/A</v>
      </c>
      <c r="O208" t="e">
        <f t="shared" si="14"/>
        <v>#N/A</v>
      </c>
      <c r="P208" t="e">
        <f>_xlfn.XLOOKUP(O208,EGPro!A:A,EGPro!D:D)</f>
        <v>#N/A</v>
      </c>
      <c r="Q208" t="e">
        <f>_xlfn.XLOOKUP(O208,EGPro!A:A,EGPro!C:C)</f>
        <v>#N/A</v>
      </c>
    </row>
    <row r="209" spans="1:17" x14ac:dyDescent="0.45">
      <c r="A209" s="3">
        <f>配列!B209</f>
        <v>0</v>
      </c>
      <c r="B209" s="3" t="e">
        <f>_xlfn.XLOOKUP(A209,対応表!A:A,対応表!B:B)</f>
        <v>#N/A</v>
      </c>
      <c r="C209" s="3">
        <f>配列!C209</f>
        <v>0</v>
      </c>
      <c r="D209" s="3" t="str">
        <f>IF(配列!E209="",RIGHT(配列!D209&amp;配列!E209,4)&amp;"L",RIGHT(配列!D209&amp;配列!E209,5))</f>
        <v>L</v>
      </c>
      <c r="E209" s="3">
        <f t="shared" si="12"/>
        <v>0</v>
      </c>
      <c r="F209" s="3" t="e">
        <f>_xlfn.XLOOKUP(E209,セットアップレポート_紐づけ用!A:A,セットアップレポート_紐づけ用!J:J)</f>
        <v>#N/A</v>
      </c>
      <c r="G209" s="3" t="e">
        <f>_xlfn.XLOOKUP(E209,セットアップレポート_紐づけ用!A:A,セットアップレポート_紐づけ用!V:V)</f>
        <v>#N/A</v>
      </c>
      <c r="H209" s="3">
        <f t="shared" si="15"/>
        <v>-2</v>
      </c>
      <c r="I209" t="str">
        <f>IF(J209=0,"",IF(配列!E209="",マクロ実行!$A$16 &amp;" T"&amp;H209&amp;"-"&amp;RIGHT(配列!D209&amp;配列!E209,2),マクロ実行!$A$16 &amp;" T"&amp;H209&amp;"-"&amp;RIGHT(配列!D209&amp;配列!E209,3)))</f>
        <v/>
      </c>
      <c r="J209">
        <f>配列!F209</f>
        <v>0</v>
      </c>
      <c r="K209" s="2" t="e">
        <f>_xlfn.XLOOKUP(E209,セットアップレポート_紐づけ用!A:A,セットアップレポート_紐づけ用!R:R)</f>
        <v>#N/A</v>
      </c>
      <c r="L209" t="e">
        <f t="shared" si="13"/>
        <v>#N/A</v>
      </c>
      <c r="M209" t="e">
        <f>_xlfn.XLOOKUP(L209,EGPro!A:A,EGPro!D:D)</f>
        <v>#N/A</v>
      </c>
      <c r="N209" t="e">
        <f>_xlfn.XLOOKUP(L209,EGPro!A:A,EGPro!C:C)</f>
        <v>#N/A</v>
      </c>
      <c r="O209" t="e">
        <f t="shared" si="14"/>
        <v>#N/A</v>
      </c>
      <c r="P209" t="e">
        <f>_xlfn.XLOOKUP(O209,EGPro!A:A,EGPro!D:D)</f>
        <v>#N/A</v>
      </c>
      <c r="Q209" t="e">
        <f>_xlfn.XLOOKUP(O209,EGPro!A:A,EGPro!C:C)</f>
        <v>#N/A</v>
      </c>
    </row>
    <row r="210" spans="1:17" x14ac:dyDescent="0.45">
      <c r="A210" s="3">
        <f>配列!B210</f>
        <v>0</v>
      </c>
      <c r="B210" s="3" t="e">
        <f>_xlfn.XLOOKUP(A210,対応表!A:A,対応表!B:B)</f>
        <v>#N/A</v>
      </c>
      <c r="C210" s="3">
        <f>配列!C210</f>
        <v>0</v>
      </c>
      <c r="D210" s="3" t="str">
        <f>IF(配列!E210="",RIGHT(配列!D210&amp;配列!E210,4)&amp;"L",RIGHT(配列!D210&amp;配列!E210,5))</f>
        <v>L</v>
      </c>
      <c r="E210" s="3">
        <f t="shared" si="12"/>
        <v>0</v>
      </c>
      <c r="F210" s="3" t="e">
        <f>_xlfn.XLOOKUP(E210,セットアップレポート_紐づけ用!A:A,セットアップレポート_紐づけ用!J:J)</f>
        <v>#N/A</v>
      </c>
      <c r="G210" s="3" t="e">
        <f>_xlfn.XLOOKUP(E210,セットアップレポート_紐づけ用!A:A,セットアップレポート_紐づけ用!V:V)</f>
        <v>#N/A</v>
      </c>
      <c r="H210" s="3">
        <f t="shared" si="15"/>
        <v>-2</v>
      </c>
      <c r="I210" t="str">
        <f>IF(J210=0,"",IF(配列!E210="",マクロ実行!$A$16 &amp;" T"&amp;H210&amp;"-"&amp;RIGHT(配列!D210&amp;配列!E210,2),マクロ実行!$A$16 &amp;" T"&amp;H210&amp;"-"&amp;RIGHT(配列!D210&amp;配列!E210,3)))</f>
        <v/>
      </c>
      <c r="J210">
        <f>配列!F210</f>
        <v>0</v>
      </c>
      <c r="K210" s="2" t="e">
        <f>_xlfn.XLOOKUP(E210,セットアップレポート_紐づけ用!A:A,セットアップレポート_紐づけ用!R:R)</f>
        <v>#N/A</v>
      </c>
      <c r="L210" t="e">
        <f t="shared" si="13"/>
        <v>#N/A</v>
      </c>
      <c r="M210" t="e">
        <f>_xlfn.XLOOKUP(L210,EGPro!A:A,EGPro!D:D)</f>
        <v>#N/A</v>
      </c>
      <c r="N210" t="e">
        <f>_xlfn.XLOOKUP(L210,EGPro!A:A,EGPro!C:C)</f>
        <v>#N/A</v>
      </c>
      <c r="O210" t="e">
        <f t="shared" si="14"/>
        <v>#N/A</v>
      </c>
      <c r="P210" t="e">
        <f>_xlfn.XLOOKUP(O210,EGPro!A:A,EGPro!D:D)</f>
        <v>#N/A</v>
      </c>
      <c r="Q210" t="e">
        <f>_xlfn.XLOOKUP(O210,EGPro!A:A,EGPro!C:C)</f>
        <v>#N/A</v>
      </c>
    </row>
    <row r="211" spans="1:17" x14ac:dyDescent="0.45">
      <c r="A211" s="3">
        <f>配列!B211</f>
        <v>0</v>
      </c>
      <c r="B211" s="3" t="e">
        <f>_xlfn.XLOOKUP(A211,対応表!A:A,対応表!B:B)</f>
        <v>#N/A</v>
      </c>
      <c r="C211" s="3">
        <f>配列!C211</f>
        <v>0</v>
      </c>
      <c r="D211" s="3" t="str">
        <f>IF(配列!E211="",RIGHT(配列!D211&amp;配列!E211,4)&amp;"L",RIGHT(配列!D211&amp;配列!E211,5))</f>
        <v>L</v>
      </c>
      <c r="E211" s="3">
        <f t="shared" si="12"/>
        <v>0</v>
      </c>
      <c r="F211" s="3" t="e">
        <f>_xlfn.XLOOKUP(E211,セットアップレポート_紐づけ用!A:A,セットアップレポート_紐づけ用!J:J)</f>
        <v>#N/A</v>
      </c>
      <c r="G211" s="3" t="e">
        <f>_xlfn.XLOOKUP(E211,セットアップレポート_紐づけ用!A:A,セットアップレポート_紐づけ用!V:V)</f>
        <v>#N/A</v>
      </c>
      <c r="H211" s="3">
        <f t="shared" si="15"/>
        <v>-2</v>
      </c>
      <c r="I211" t="str">
        <f>IF(J211=0,"",IF(配列!E211="",マクロ実行!$A$16 &amp;" T"&amp;H211&amp;"-"&amp;RIGHT(配列!D211&amp;配列!E211,2),マクロ実行!$A$16 &amp;" T"&amp;H211&amp;"-"&amp;RIGHT(配列!D211&amp;配列!E211,3)))</f>
        <v/>
      </c>
      <c r="J211">
        <f>配列!F211</f>
        <v>0</v>
      </c>
      <c r="K211" s="2" t="e">
        <f>_xlfn.XLOOKUP(E211,セットアップレポート_紐づけ用!A:A,セットアップレポート_紐づけ用!R:R)</f>
        <v>#N/A</v>
      </c>
      <c r="L211" t="e">
        <f t="shared" si="13"/>
        <v>#N/A</v>
      </c>
      <c r="M211" t="e">
        <f>_xlfn.XLOOKUP(L211,EGPro!A:A,EGPro!D:D)</f>
        <v>#N/A</v>
      </c>
      <c r="N211" t="e">
        <f>_xlfn.XLOOKUP(L211,EGPro!A:A,EGPro!C:C)</f>
        <v>#N/A</v>
      </c>
      <c r="O211" t="e">
        <f t="shared" si="14"/>
        <v>#N/A</v>
      </c>
      <c r="P211" t="e">
        <f>_xlfn.XLOOKUP(O211,EGPro!A:A,EGPro!D:D)</f>
        <v>#N/A</v>
      </c>
      <c r="Q211" t="e">
        <f>_xlfn.XLOOKUP(O211,EGPro!A:A,EGPro!C:C)</f>
        <v>#N/A</v>
      </c>
    </row>
    <row r="212" spans="1:17" x14ac:dyDescent="0.45">
      <c r="A212" s="3">
        <f>配列!B212</f>
        <v>0</v>
      </c>
      <c r="B212" s="3" t="e">
        <f>_xlfn.XLOOKUP(A212,対応表!A:A,対応表!B:B)</f>
        <v>#N/A</v>
      </c>
      <c r="C212" s="3">
        <f>配列!C212</f>
        <v>0</v>
      </c>
      <c r="D212" s="3" t="str">
        <f>IF(配列!E212="",RIGHT(配列!D212&amp;配列!E212,4)&amp;"L",RIGHT(配列!D212&amp;配列!E212,5))</f>
        <v>L</v>
      </c>
      <c r="E212" s="3">
        <f t="shared" si="12"/>
        <v>0</v>
      </c>
      <c r="F212" s="3" t="e">
        <f>_xlfn.XLOOKUP(E212,セットアップレポート_紐づけ用!A:A,セットアップレポート_紐づけ用!J:J)</f>
        <v>#N/A</v>
      </c>
      <c r="G212" s="3" t="e">
        <f>_xlfn.XLOOKUP(E212,セットアップレポート_紐づけ用!A:A,セットアップレポート_紐づけ用!V:V)</f>
        <v>#N/A</v>
      </c>
      <c r="H212" s="3">
        <f t="shared" si="15"/>
        <v>-2</v>
      </c>
      <c r="I212" t="str">
        <f>IF(J212=0,"",IF(配列!E212="",マクロ実行!$A$16 &amp;" T"&amp;H212&amp;"-"&amp;RIGHT(配列!D212&amp;配列!E212,2),マクロ実行!$A$16 &amp;" T"&amp;H212&amp;"-"&amp;RIGHT(配列!D212&amp;配列!E212,3)))</f>
        <v/>
      </c>
      <c r="J212">
        <f>配列!F212</f>
        <v>0</v>
      </c>
      <c r="K212" s="2" t="e">
        <f>_xlfn.XLOOKUP(E212,セットアップレポート_紐づけ用!A:A,セットアップレポート_紐づけ用!R:R)</f>
        <v>#N/A</v>
      </c>
      <c r="L212" t="e">
        <f t="shared" si="13"/>
        <v>#N/A</v>
      </c>
      <c r="M212" t="e">
        <f>_xlfn.XLOOKUP(L212,EGPro!A:A,EGPro!D:D)</f>
        <v>#N/A</v>
      </c>
      <c r="N212" t="e">
        <f>_xlfn.XLOOKUP(L212,EGPro!A:A,EGPro!C:C)</f>
        <v>#N/A</v>
      </c>
      <c r="O212" t="e">
        <f t="shared" si="14"/>
        <v>#N/A</v>
      </c>
      <c r="P212" t="e">
        <f>_xlfn.XLOOKUP(O212,EGPro!A:A,EGPro!D:D)</f>
        <v>#N/A</v>
      </c>
      <c r="Q212" t="e">
        <f>_xlfn.XLOOKUP(O212,EGPro!A:A,EGPro!C:C)</f>
        <v>#N/A</v>
      </c>
    </row>
    <row r="213" spans="1:17" x14ac:dyDescent="0.45">
      <c r="A213" s="3">
        <f>配列!B213</f>
        <v>0</v>
      </c>
      <c r="B213" s="3" t="e">
        <f>_xlfn.XLOOKUP(A213,対応表!A:A,対応表!B:B)</f>
        <v>#N/A</v>
      </c>
      <c r="C213" s="3">
        <f>配列!C213</f>
        <v>0</v>
      </c>
      <c r="D213" s="3" t="str">
        <f>IF(配列!E213="",RIGHT(配列!D213&amp;配列!E213,4)&amp;"L",RIGHT(配列!D213&amp;配列!E213,5))</f>
        <v>L</v>
      </c>
      <c r="E213" s="3">
        <f t="shared" si="12"/>
        <v>0</v>
      </c>
      <c r="F213" s="3" t="e">
        <f>_xlfn.XLOOKUP(E213,セットアップレポート_紐づけ用!A:A,セットアップレポート_紐づけ用!J:J)</f>
        <v>#N/A</v>
      </c>
      <c r="G213" s="3" t="e">
        <f>_xlfn.XLOOKUP(E213,セットアップレポート_紐づけ用!A:A,セットアップレポート_紐づけ用!V:V)</f>
        <v>#N/A</v>
      </c>
      <c r="H213" s="3">
        <f t="shared" si="15"/>
        <v>-2</v>
      </c>
      <c r="I213" t="str">
        <f>IF(J213=0,"",IF(配列!E213="",マクロ実行!$A$16 &amp;" T"&amp;H213&amp;"-"&amp;RIGHT(配列!D213&amp;配列!E213,2),マクロ実行!$A$16 &amp;" T"&amp;H213&amp;"-"&amp;RIGHT(配列!D213&amp;配列!E213,3)))</f>
        <v/>
      </c>
      <c r="J213">
        <f>配列!F213</f>
        <v>0</v>
      </c>
      <c r="K213" s="2" t="e">
        <f>_xlfn.XLOOKUP(E213,セットアップレポート_紐づけ用!A:A,セットアップレポート_紐づけ用!R:R)</f>
        <v>#N/A</v>
      </c>
      <c r="L213" t="e">
        <f t="shared" si="13"/>
        <v>#N/A</v>
      </c>
      <c r="M213" t="e">
        <f>_xlfn.XLOOKUP(L213,EGPro!A:A,EGPro!D:D)</f>
        <v>#N/A</v>
      </c>
      <c r="N213" t="e">
        <f>_xlfn.XLOOKUP(L213,EGPro!A:A,EGPro!C:C)</f>
        <v>#N/A</v>
      </c>
      <c r="O213" t="e">
        <f t="shared" si="14"/>
        <v>#N/A</v>
      </c>
      <c r="P213" t="e">
        <f>_xlfn.XLOOKUP(O213,EGPro!A:A,EGPro!D:D)</f>
        <v>#N/A</v>
      </c>
      <c r="Q213" t="e">
        <f>_xlfn.XLOOKUP(O213,EGPro!A:A,EGPro!C:C)</f>
        <v>#N/A</v>
      </c>
    </row>
    <row r="214" spans="1:17" x14ac:dyDescent="0.45">
      <c r="A214" s="3">
        <f>配列!B214</f>
        <v>0</v>
      </c>
      <c r="B214" s="3" t="e">
        <f>_xlfn.XLOOKUP(A214,対応表!A:A,対応表!B:B)</f>
        <v>#N/A</v>
      </c>
      <c r="C214" s="3">
        <f>配列!C214</f>
        <v>0</v>
      </c>
      <c r="D214" s="3" t="str">
        <f>IF(配列!E214="",RIGHT(配列!D214&amp;配列!E214,4)&amp;"L",RIGHT(配列!D214&amp;配列!E214,5))</f>
        <v>L</v>
      </c>
      <c r="E214" s="3">
        <f t="shared" si="12"/>
        <v>0</v>
      </c>
      <c r="F214" s="3" t="e">
        <f>_xlfn.XLOOKUP(E214,セットアップレポート_紐づけ用!A:A,セットアップレポート_紐づけ用!J:J)</f>
        <v>#N/A</v>
      </c>
      <c r="G214" s="3" t="e">
        <f>_xlfn.XLOOKUP(E214,セットアップレポート_紐づけ用!A:A,セットアップレポート_紐づけ用!V:V)</f>
        <v>#N/A</v>
      </c>
      <c r="H214" s="3">
        <f t="shared" si="15"/>
        <v>-2</v>
      </c>
      <c r="I214" t="str">
        <f>IF(J214=0,"",IF(配列!E214="",マクロ実行!$A$16 &amp;" T"&amp;H214&amp;"-"&amp;RIGHT(配列!D214&amp;配列!E214,2),マクロ実行!$A$16 &amp;" T"&amp;H214&amp;"-"&amp;RIGHT(配列!D214&amp;配列!E214,3)))</f>
        <v/>
      </c>
      <c r="J214">
        <f>配列!F214</f>
        <v>0</v>
      </c>
      <c r="K214" s="2" t="e">
        <f>_xlfn.XLOOKUP(E214,セットアップレポート_紐づけ用!A:A,セットアップレポート_紐づけ用!R:R)</f>
        <v>#N/A</v>
      </c>
      <c r="L214" t="e">
        <f t="shared" si="13"/>
        <v>#N/A</v>
      </c>
      <c r="M214" t="e">
        <f>_xlfn.XLOOKUP(L214,EGPro!A:A,EGPro!D:D)</f>
        <v>#N/A</v>
      </c>
      <c r="N214" t="e">
        <f>_xlfn.XLOOKUP(L214,EGPro!A:A,EGPro!C:C)</f>
        <v>#N/A</v>
      </c>
      <c r="O214" t="e">
        <f t="shared" si="14"/>
        <v>#N/A</v>
      </c>
      <c r="P214" t="e">
        <f>_xlfn.XLOOKUP(O214,EGPro!A:A,EGPro!D:D)</f>
        <v>#N/A</v>
      </c>
      <c r="Q214" t="e">
        <f>_xlfn.XLOOKUP(O214,EGPro!A:A,EGPro!C:C)</f>
        <v>#N/A</v>
      </c>
    </row>
    <row r="215" spans="1:17" x14ac:dyDescent="0.45">
      <c r="A215" s="3">
        <f>配列!B215</f>
        <v>0</v>
      </c>
      <c r="B215" s="3" t="e">
        <f>_xlfn.XLOOKUP(A215,対応表!A:A,対応表!B:B)</f>
        <v>#N/A</v>
      </c>
      <c r="C215" s="3">
        <f>配列!C215</f>
        <v>0</v>
      </c>
      <c r="D215" s="3" t="str">
        <f>IF(配列!E215="",RIGHT(配列!D215&amp;配列!E215,4)&amp;"L",RIGHT(配列!D215&amp;配列!E215,5))</f>
        <v>L</v>
      </c>
      <c r="E215" s="3">
        <f t="shared" si="12"/>
        <v>0</v>
      </c>
      <c r="F215" s="3" t="e">
        <f>_xlfn.XLOOKUP(E215,セットアップレポート_紐づけ用!A:A,セットアップレポート_紐づけ用!J:J)</f>
        <v>#N/A</v>
      </c>
      <c r="G215" s="3" t="e">
        <f>_xlfn.XLOOKUP(E215,セットアップレポート_紐づけ用!A:A,セットアップレポート_紐づけ用!V:V)</f>
        <v>#N/A</v>
      </c>
      <c r="H215" s="3">
        <f t="shared" si="15"/>
        <v>-2</v>
      </c>
      <c r="I215" t="str">
        <f>IF(J215=0,"",IF(配列!E215="",マクロ実行!$A$16 &amp;" T"&amp;H215&amp;"-"&amp;RIGHT(配列!D215&amp;配列!E215,2),マクロ実行!$A$16 &amp;" T"&amp;H215&amp;"-"&amp;RIGHT(配列!D215&amp;配列!E215,3)))</f>
        <v/>
      </c>
      <c r="J215">
        <f>配列!F215</f>
        <v>0</v>
      </c>
      <c r="K215" s="2" t="e">
        <f>_xlfn.XLOOKUP(E215,セットアップレポート_紐づけ用!A:A,セットアップレポート_紐づけ用!R:R)</f>
        <v>#N/A</v>
      </c>
      <c r="L215" t="e">
        <f t="shared" si="13"/>
        <v>#N/A</v>
      </c>
      <c r="M215" t="e">
        <f>_xlfn.XLOOKUP(L215,EGPro!A:A,EGPro!D:D)</f>
        <v>#N/A</v>
      </c>
      <c r="N215" t="e">
        <f>_xlfn.XLOOKUP(L215,EGPro!A:A,EGPro!C:C)</f>
        <v>#N/A</v>
      </c>
      <c r="O215" t="e">
        <f t="shared" si="14"/>
        <v>#N/A</v>
      </c>
      <c r="P215" t="e">
        <f>_xlfn.XLOOKUP(O215,EGPro!A:A,EGPro!D:D)</f>
        <v>#N/A</v>
      </c>
      <c r="Q215" t="e">
        <f>_xlfn.XLOOKUP(O215,EGPro!A:A,EGPro!C:C)</f>
        <v>#N/A</v>
      </c>
    </row>
    <row r="216" spans="1:17" x14ac:dyDescent="0.45">
      <c r="A216" s="3">
        <f>配列!B216</f>
        <v>0</v>
      </c>
      <c r="B216" s="3" t="e">
        <f>_xlfn.XLOOKUP(A216,対応表!A:A,対応表!B:B)</f>
        <v>#N/A</v>
      </c>
      <c r="C216" s="3">
        <f>配列!C216</f>
        <v>0</v>
      </c>
      <c r="D216" s="3" t="str">
        <f>IF(配列!E216="",RIGHT(配列!D216&amp;配列!E216,4)&amp;"L",RIGHT(配列!D216&amp;配列!E216,5))</f>
        <v>L</v>
      </c>
      <c r="E216" s="3">
        <f t="shared" si="12"/>
        <v>0</v>
      </c>
      <c r="F216" s="3" t="e">
        <f>_xlfn.XLOOKUP(E216,セットアップレポート_紐づけ用!A:A,セットアップレポート_紐づけ用!J:J)</f>
        <v>#N/A</v>
      </c>
      <c r="G216" s="3" t="e">
        <f>_xlfn.XLOOKUP(E216,セットアップレポート_紐づけ用!A:A,セットアップレポート_紐づけ用!V:V)</f>
        <v>#N/A</v>
      </c>
      <c r="H216" s="3">
        <f t="shared" si="15"/>
        <v>-2</v>
      </c>
      <c r="I216" t="str">
        <f>IF(J216=0,"",IF(配列!E216="",マクロ実行!$A$16 &amp;" T"&amp;H216&amp;"-"&amp;RIGHT(配列!D216&amp;配列!E216,2),マクロ実行!$A$16 &amp;" T"&amp;H216&amp;"-"&amp;RIGHT(配列!D216&amp;配列!E216,3)))</f>
        <v/>
      </c>
      <c r="J216">
        <f>配列!F216</f>
        <v>0</v>
      </c>
      <c r="K216" s="2" t="e">
        <f>_xlfn.XLOOKUP(E216,セットアップレポート_紐づけ用!A:A,セットアップレポート_紐づけ用!R:R)</f>
        <v>#N/A</v>
      </c>
      <c r="L216" t="e">
        <f t="shared" si="13"/>
        <v>#N/A</v>
      </c>
      <c r="M216" t="e">
        <f>_xlfn.XLOOKUP(L216,EGPro!A:A,EGPro!D:D)</f>
        <v>#N/A</v>
      </c>
      <c r="N216" t="e">
        <f>_xlfn.XLOOKUP(L216,EGPro!A:A,EGPro!C:C)</f>
        <v>#N/A</v>
      </c>
      <c r="O216" t="e">
        <f t="shared" si="14"/>
        <v>#N/A</v>
      </c>
      <c r="P216" t="e">
        <f>_xlfn.XLOOKUP(O216,EGPro!A:A,EGPro!D:D)</f>
        <v>#N/A</v>
      </c>
      <c r="Q216" t="e">
        <f>_xlfn.XLOOKUP(O216,EGPro!A:A,EGPro!C:C)</f>
        <v>#N/A</v>
      </c>
    </row>
    <row r="217" spans="1:17" x14ac:dyDescent="0.45">
      <c r="A217" s="3">
        <f>配列!B217</f>
        <v>0</v>
      </c>
      <c r="B217" s="3" t="e">
        <f>_xlfn.XLOOKUP(A217,対応表!A:A,対応表!B:B)</f>
        <v>#N/A</v>
      </c>
      <c r="C217" s="3">
        <f>配列!C217</f>
        <v>0</v>
      </c>
      <c r="D217" s="3" t="str">
        <f>IF(配列!E217="",RIGHT(配列!D217&amp;配列!E217,4)&amp;"L",RIGHT(配列!D217&amp;配列!E217,5))</f>
        <v>L</v>
      </c>
      <c r="E217" s="3">
        <f t="shared" si="12"/>
        <v>0</v>
      </c>
      <c r="F217" s="3" t="e">
        <f>_xlfn.XLOOKUP(E217,セットアップレポート_紐づけ用!A:A,セットアップレポート_紐づけ用!J:J)</f>
        <v>#N/A</v>
      </c>
      <c r="G217" s="3" t="e">
        <f>_xlfn.XLOOKUP(E217,セットアップレポート_紐づけ用!A:A,セットアップレポート_紐づけ用!V:V)</f>
        <v>#N/A</v>
      </c>
      <c r="H217" s="3">
        <f t="shared" si="15"/>
        <v>-2</v>
      </c>
      <c r="I217" t="str">
        <f>IF(J217=0,"",IF(配列!E217="",マクロ実行!$A$16 &amp;" T"&amp;H217&amp;"-"&amp;RIGHT(配列!D217&amp;配列!E217,2),マクロ実行!$A$16 &amp;" T"&amp;H217&amp;"-"&amp;RIGHT(配列!D217&amp;配列!E217,3)))</f>
        <v/>
      </c>
      <c r="J217">
        <f>配列!F217</f>
        <v>0</v>
      </c>
      <c r="K217" s="2" t="e">
        <f>_xlfn.XLOOKUP(E217,セットアップレポート_紐づけ用!A:A,セットアップレポート_紐づけ用!R:R)</f>
        <v>#N/A</v>
      </c>
      <c r="L217" t="e">
        <f t="shared" si="13"/>
        <v>#N/A</v>
      </c>
      <c r="M217" t="e">
        <f>_xlfn.XLOOKUP(L217,EGPro!A:A,EGPro!D:D)</f>
        <v>#N/A</v>
      </c>
      <c r="N217" t="e">
        <f>_xlfn.XLOOKUP(L217,EGPro!A:A,EGPro!C:C)</f>
        <v>#N/A</v>
      </c>
      <c r="O217" t="e">
        <f t="shared" si="14"/>
        <v>#N/A</v>
      </c>
      <c r="P217" t="e">
        <f>_xlfn.XLOOKUP(O217,EGPro!A:A,EGPro!D:D)</f>
        <v>#N/A</v>
      </c>
      <c r="Q217" t="e">
        <f>_xlfn.XLOOKUP(O217,EGPro!A:A,EGPro!C:C)</f>
        <v>#N/A</v>
      </c>
    </row>
    <row r="218" spans="1:17" x14ac:dyDescent="0.45">
      <c r="A218" s="3">
        <f>配列!B218</f>
        <v>0</v>
      </c>
      <c r="B218" s="3" t="e">
        <f>_xlfn.XLOOKUP(A218,対応表!A:A,対応表!B:B)</f>
        <v>#N/A</v>
      </c>
      <c r="C218" s="3">
        <f>配列!C218</f>
        <v>0</v>
      </c>
      <c r="D218" s="3" t="str">
        <f>IF(配列!E218="",RIGHT(配列!D218&amp;配列!E218,4)&amp;"L",RIGHT(配列!D218&amp;配列!E218,5))</f>
        <v>L</v>
      </c>
      <c r="E218" s="3">
        <f t="shared" si="12"/>
        <v>0</v>
      </c>
      <c r="F218" s="3" t="e">
        <f>_xlfn.XLOOKUP(E218,セットアップレポート_紐づけ用!A:A,セットアップレポート_紐づけ用!J:J)</f>
        <v>#N/A</v>
      </c>
      <c r="G218" s="3" t="e">
        <f>_xlfn.XLOOKUP(E218,セットアップレポート_紐づけ用!A:A,セットアップレポート_紐づけ用!V:V)</f>
        <v>#N/A</v>
      </c>
      <c r="H218" s="3">
        <f t="shared" si="15"/>
        <v>-2</v>
      </c>
      <c r="I218" t="str">
        <f>IF(J218=0,"",IF(配列!E218="",マクロ実行!$A$16 &amp;" T"&amp;H218&amp;"-"&amp;RIGHT(配列!D218&amp;配列!E218,2),マクロ実行!$A$16 &amp;" T"&amp;H218&amp;"-"&amp;RIGHT(配列!D218&amp;配列!E218,3)))</f>
        <v/>
      </c>
      <c r="J218">
        <f>配列!F218</f>
        <v>0</v>
      </c>
      <c r="K218" s="2" t="e">
        <f>_xlfn.XLOOKUP(E218,セットアップレポート_紐づけ用!A:A,セットアップレポート_紐づけ用!R:R)</f>
        <v>#N/A</v>
      </c>
      <c r="L218" t="e">
        <f t="shared" si="13"/>
        <v>#N/A</v>
      </c>
      <c r="M218" t="e">
        <f>_xlfn.XLOOKUP(L218,EGPro!A:A,EGPro!D:D)</f>
        <v>#N/A</v>
      </c>
      <c r="N218" t="e">
        <f>_xlfn.XLOOKUP(L218,EGPro!A:A,EGPro!C:C)</f>
        <v>#N/A</v>
      </c>
      <c r="O218" t="e">
        <f t="shared" si="14"/>
        <v>#N/A</v>
      </c>
      <c r="P218" t="e">
        <f>_xlfn.XLOOKUP(O218,EGPro!A:A,EGPro!D:D)</f>
        <v>#N/A</v>
      </c>
      <c r="Q218" t="e">
        <f>_xlfn.XLOOKUP(O218,EGPro!A:A,EGPro!C:C)</f>
        <v>#N/A</v>
      </c>
    </row>
    <row r="219" spans="1:17" x14ac:dyDescent="0.45">
      <c r="A219" s="3">
        <f>配列!B219</f>
        <v>0</v>
      </c>
      <c r="B219" s="3" t="e">
        <f>_xlfn.XLOOKUP(A219,対応表!A:A,対応表!B:B)</f>
        <v>#N/A</v>
      </c>
      <c r="C219" s="3">
        <f>配列!C219</f>
        <v>0</v>
      </c>
      <c r="D219" s="3" t="str">
        <f>IF(配列!E219="",RIGHT(配列!D219&amp;配列!E219,4)&amp;"L",RIGHT(配列!D219&amp;配列!E219,5))</f>
        <v>L</v>
      </c>
      <c r="E219" s="3">
        <f t="shared" si="12"/>
        <v>0</v>
      </c>
      <c r="F219" s="3" t="e">
        <f>_xlfn.XLOOKUP(E219,セットアップレポート_紐づけ用!A:A,セットアップレポート_紐づけ用!J:J)</f>
        <v>#N/A</v>
      </c>
      <c r="G219" s="3" t="e">
        <f>_xlfn.XLOOKUP(E219,セットアップレポート_紐づけ用!A:A,セットアップレポート_紐づけ用!V:V)</f>
        <v>#N/A</v>
      </c>
      <c r="H219" s="3">
        <f t="shared" si="15"/>
        <v>-2</v>
      </c>
      <c r="I219" t="str">
        <f>IF(J219=0,"",IF(配列!E219="",マクロ実行!$A$16 &amp;" T"&amp;H219&amp;"-"&amp;RIGHT(配列!D219&amp;配列!E219,2),マクロ実行!$A$16 &amp;" T"&amp;H219&amp;"-"&amp;RIGHT(配列!D219&amp;配列!E219,3)))</f>
        <v/>
      </c>
      <c r="J219">
        <f>配列!F219</f>
        <v>0</v>
      </c>
      <c r="K219" s="2" t="e">
        <f>_xlfn.XLOOKUP(E219,セットアップレポート_紐づけ用!A:A,セットアップレポート_紐づけ用!R:R)</f>
        <v>#N/A</v>
      </c>
      <c r="L219" t="e">
        <f t="shared" si="13"/>
        <v>#N/A</v>
      </c>
      <c r="M219" t="e">
        <f>_xlfn.XLOOKUP(L219,EGPro!A:A,EGPro!D:D)</f>
        <v>#N/A</v>
      </c>
      <c r="N219" t="e">
        <f>_xlfn.XLOOKUP(L219,EGPro!A:A,EGPro!C:C)</f>
        <v>#N/A</v>
      </c>
      <c r="O219" t="e">
        <f t="shared" si="14"/>
        <v>#N/A</v>
      </c>
      <c r="P219" t="e">
        <f>_xlfn.XLOOKUP(O219,EGPro!A:A,EGPro!D:D)</f>
        <v>#N/A</v>
      </c>
      <c r="Q219" t="e">
        <f>_xlfn.XLOOKUP(O219,EGPro!A:A,EGPro!C:C)</f>
        <v>#N/A</v>
      </c>
    </row>
    <row r="220" spans="1:17" x14ac:dyDescent="0.45">
      <c r="A220" s="3">
        <f>配列!B220</f>
        <v>0</v>
      </c>
      <c r="B220" s="3" t="e">
        <f>_xlfn.XLOOKUP(A220,対応表!A:A,対応表!B:B)</f>
        <v>#N/A</v>
      </c>
      <c r="C220" s="3">
        <f>配列!C220</f>
        <v>0</v>
      </c>
      <c r="D220" s="3" t="str">
        <f>IF(配列!E220="",RIGHT(配列!D220&amp;配列!E220,4)&amp;"L",RIGHT(配列!D220&amp;配列!E220,5))</f>
        <v>L</v>
      </c>
      <c r="E220" s="3">
        <f t="shared" si="12"/>
        <v>0</v>
      </c>
      <c r="F220" s="3" t="e">
        <f>_xlfn.XLOOKUP(E220,セットアップレポート_紐づけ用!A:A,セットアップレポート_紐づけ用!J:J)</f>
        <v>#N/A</v>
      </c>
      <c r="G220" s="3" t="e">
        <f>_xlfn.XLOOKUP(E220,セットアップレポート_紐づけ用!A:A,セットアップレポート_紐づけ用!V:V)</f>
        <v>#N/A</v>
      </c>
      <c r="H220" s="3">
        <f t="shared" si="15"/>
        <v>-2</v>
      </c>
      <c r="I220" t="str">
        <f>IF(J220=0,"",IF(配列!E220="",マクロ実行!$A$16 &amp;" T"&amp;H220&amp;"-"&amp;RIGHT(配列!D220&amp;配列!E220,2),マクロ実行!$A$16 &amp;" T"&amp;H220&amp;"-"&amp;RIGHT(配列!D220&amp;配列!E220,3)))</f>
        <v/>
      </c>
      <c r="J220">
        <f>配列!F220</f>
        <v>0</v>
      </c>
      <c r="K220" s="2" t="e">
        <f>_xlfn.XLOOKUP(E220,セットアップレポート_紐づけ用!A:A,セットアップレポート_紐づけ用!R:R)</f>
        <v>#N/A</v>
      </c>
      <c r="L220" t="e">
        <f t="shared" si="13"/>
        <v>#N/A</v>
      </c>
      <c r="M220" t="e">
        <f>_xlfn.XLOOKUP(L220,EGPro!A:A,EGPro!D:D)</f>
        <v>#N/A</v>
      </c>
      <c r="N220" t="e">
        <f>_xlfn.XLOOKUP(L220,EGPro!A:A,EGPro!C:C)</f>
        <v>#N/A</v>
      </c>
      <c r="O220" t="e">
        <f t="shared" si="14"/>
        <v>#N/A</v>
      </c>
      <c r="P220" t="e">
        <f>_xlfn.XLOOKUP(O220,EGPro!A:A,EGPro!D:D)</f>
        <v>#N/A</v>
      </c>
      <c r="Q220" t="e">
        <f>_xlfn.XLOOKUP(O220,EGPro!A:A,EGPro!C:C)</f>
        <v>#N/A</v>
      </c>
    </row>
    <row r="221" spans="1:17" x14ac:dyDescent="0.45">
      <c r="A221" s="3">
        <f>配列!B221</f>
        <v>0</v>
      </c>
      <c r="B221" s="3" t="e">
        <f>_xlfn.XLOOKUP(A221,対応表!A:A,対応表!B:B)</f>
        <v>#N/A</v>
      </c>
      <c r="C221" s="3">
        <f>配列!C221</f>
        <v>0</v>
      </c>
      <c r="D221" s="3" t="str">
        <f>IF(配列!E221="",RIGHT(配列!D221&amp;配列!E221,4)&amp;"L",RIGHT(配列!D221&amp;配列!E221,5))</f>
        <v>L</v>
      </c>
      <c r="E221" s="3">
        <f t="shared" si="12"/>
        <v>0</v>
      </c>
      <c r="F221" s="3" t="e">
        <f>_xlfn.XLOOKUP(E221,セットアップレポート_紐づけ用!A:A,セットアップレポート_紐づけ用!J:J)</f>
        <v>#N/A</v>
      </c>
      <c r="G221" s="3" t="e">
        <f>_xlfn.XLOOKUP(E221,セットアップレポート_紐づけ用!A:A,セットアップレポート_紐づけ用!V:V)</f>
        <v>#N/A</v>
      </c>
      <c r="H221" s="3">
        <f t="shared" si="15"/>
        <v>-2</v>
      </c>
      <c r="I221" t="str">
        <f>IF(J221=0,"",IF(配列!E221="",マクロ実行!$A$16 &amp;" T"&amp;H221&amp;"-"&amp;RIGHT(配列!D221&amp;配列!E221,2),マクロ実行!$A$16 &amp;" T"&amp;H221&amp;"-"&amp;RIGHT(配列!D221&amp;配列!E221,3)))</f>
        <v/>
      </c>
      <c r="J221">
        <f>配列!F221</f>
        <v>0</v>
      </c>
      <c r="K221" s="2" t="e">
        <f>_xlfn.XLOOKUP(E221,セットアップレポート_紐づけ用!A:A,セットアップレポート_紐づけ用!R:R)</f>
        <v>#N/A</v>
      </c>
      <c r="L221" t="e">
        <f t="shared" si="13"/>
        <v>#N/A</v>
      </c>
      <c r="M221" t="e">
        <f>_xlfn.XLOOKUP(L221,EGPro!A:A,EGPro!D:D)</f>
        <v>#N/A</v>
      </c>
      <c r="N221" t="e">
        <f>_xlfn.XLOOKUP(L221,EGPro!A:A,EGPro!C:C)</f>
        <v>#N/A</v>
      </c>
      <c r="O221" t="e">
        <f t="shared" si="14"/>
        <v>#N/A</v>
      </c>
      <c r="P221" t="e">
        <f>_xlfn.XLOOKUP(O221,EGPro!A:A,EGPro!D:D)</f>
        <v>#N/A</v>
      </c>
      <c r="Q221" t="e">
        <f>_xlfn.XLOOKUP(O221,EGPro!A:A,EGPro!C:C)</f>
        <v>#N/A</v>
      </c>
    </row>
    <row r="222" spans="1:17" x14ac:dyDescent="0.45">
      <c r="A222" s="3">
        <f>配列!B222</f>
        <v>0</v>
      </c>
      <c r="B222" s="3" t="e">
        <f>_xlfn.XLOOKUP(A222,対応表!A:A,対応表!B:B)</f>
        <v>#N/A</v>
      </c>
      <c r="C222" s="3">
        <f>配列!C222</f>
        <v>0</v>
      </c>
      <c r="D222" s="3" t="str">
        <f>IF(配列!E222="",RIGHT(配列!D222&amp;配列!E222,4)&amp;"L",RIGHT(配列!D222&amp;配列!E222,5))</f>
        <v>L</v>
      </c>
      <c r="E222" s="3">
        <f t="shared" si="12"/>
        <v>0</v>
      </c>
      <c r="F222" s="3" t="e">
        <f>_xlfn.XLOOKUP(E222,セットアップレポート_紐づけ用!A:A,セットアップレポート_紐づけ用!J:J)</f>
        <v>#N/A</v>
      </c>
      <c r="G222" s="3" t="e">
        <f>_xlfn.XLOOKUP(E222,セットアップレポート_紐づけ用!A:A,セットアップレポート_紐づけ用!V:V)</f>
        <v>#N/A</v>
      </c>
      <c r="H222" s="3">
        <f t="shared" si="15"/>
        <v>-2</v>
      </c>
      <c r="I222" t="str">
        <f>IF(J222=0,"",IF(配列!E222="",マクロ実行!$A$16 &amp;" T"&amp;H222&amp;"-"&amp;RIGHT(配列!D222&amp;配列!E222,2),マクロ実行!$A$16 &amp;" T"&amp;H222&amp;"-"&amp;RIGHT(配列!D222&amp;配列!E222,3)))</f>
        <v/>
      </c>
      <c r="J222">
        <f>配列!F222</f>
        <v>0</v>
      </c>
      <c r="K222" s="2" t="e">
        <f>_xlfn.XLOOKUP(E222,セットアップレポート_紐づけ用!A:A,セットアップレポート_紐づけ用!R:R)</f>
        <v>#N/A</v>
      </c>
      <c r="L222" t="e">
        <f t="shared" si="13"/>
        <v>#N/A</v>
      </c>
      <c r="M222" t="e">
        <f>_xlfn.XLOOKUP(L222,EGPro!A:A,EGPro!D:D)</f>
        <v>#N/A</v>
      </c>
      <c r="N222" t="e">
        <f>_xlfn.XLOOKUP(L222,EGPro!A:A,EGPro!C:C)</f>
        <v>#N/A</v>
      </c>
      <c r="O222" t="e">
        <f t="shared" si="14"/>
        <v>#N/A</v>
      </c>
      <c r="P222" t="e">
        <f>_xlfn.XLOOKUP(O222,EGPro!A:A,EGPro!D:D)</f>
        <v>#N/A</v>
      </c>
      <c r="Q222" t="e">
        <f>_xlfn.XLOOKUP(O222,EGPro!A:A,EGPro!C:C)</f>
        <v>#N/A</v>
      </c>
    </row>
    <row r="223" spans="1:17" x14ac:dyDescent="0.45">
      <c r="A223" s="3">
        <f>配列!B223</f>
        <v>0</v>
      </c>
      <c r="B223" s="3" t="e">
        <f>_xlfn.XLOOKUP(A223,対応表!A:A,対応表!B:B)</f>
        <v>#N/A</v>
      </c>
      <c r="C223" s="3">
        <f>配列!C223</f>
        <v>0</v>
      </c>
      <c r="D223" s="3" t="str">
        <f>IF(配列!E223="",RIGHT(配列!D223&amp;配列!E223,4)&amp;"L",RIGHT(配列!D223&amp;配列!E223,5))</f>
        <v>L</v>
      </c>
      <c r="E223" s="3">
        <f t="shared" si="12"/>
        <v>0</v>
      </c>
      <c r="F223" s="3" t="e">
        <f>_xlfn.XLOOKUP(E223,セットアップレポート_紐づけ用!A:A,セットアップレポート_紐づけ用!J:J)</f>
        <v>#N/A</v>
      </c>
      <c r="G223" s="3" t="e">
        <f>_xlfn.XLOOKUP(E223,セットアップレポート_紐づけ用!A:A,セットアップレポート_紐づけ用!V:V)</f>
        <v>#N/A</v>
      </c>
      <c r="H223" s="3">
        <f t="shared" si="15"/>
        <v>-2</v>
      </c>
      <c r="I223" t="str">
        <f>IF(J223=0,"",IF(配列!E223="",マクロ実行!$A$16 &amp;" T"&amp;H223&amp;"-"&amp;RIGHT(配列!D223&amp;配列!E223,2),マクロ実行!$A$16 &amp;" T"&amp;H223&amp;"-"&amp;RIGHT(配列!D223&amp;配列!E223,3)))</f>
        <v/>
      </c>
      <c r="J223">
        <f>配列!F223</f>
        <v>0</v>
      </c>
      <c r="K223" s="2" t="e">
        <f>_xlfn.XLOOKUP(E223,セットアップレポート_紐づけ用!A:A,セットアップレポート_紐づけ用!R:R)</f>
        <v>#N/A</v>
      </c>
      <c r="L223" t="e">
        <f t="shared" si="13"/>
        <v>#N/A</v>
      </c>
      <c r="M223" t="e">
        <f>_xlfn.XLOOKUP(L223,EGPro!A:A,EGPro!D:D)</f>
        <v>#N/A</v>
      </c>
      <c r="N223" t="e">
        <f>_xlfn.XLOOKUP(L223,EGPro!A:A,EGPro!C:C)</f>
        <v>#N/A</v>
      </c>
      <c r="O223" t="e">
        <f t="shared" si="14"/>
        <v>#N/A</v>
      </c>
      <c r="P223" t="e">
        <f>_xlfn.XLOOKUP(O223,EGPro!A:A,EGPro!D:D)</f>
        <v>#N/A</v>
      </c>
      <c r="Q223" t="e">
        <f>_xlfn.XLOOKUP(O223,EGPro!A:A,EGPro!C:C)</f>
        <v>#N/A</v>
      </c>
    </row>
    <row r="224" spans="1:17" x14ac:dyDescent="0.45">
      <c r="A224" s="3">
        <f>配列!B224</f>
        <v>0</v>
      </c>
      <c r="B224" s="3" t="e">
        <f>_xlfn.XLOOKUP(A224,対応表!A:A,対応表!B:B)</f>
        <v>#N/A</v>
      </c>
      <c r="C224" s="3">
        <f>配列!C224</f>
        <v>0</v>
      </c>
      <c r="D224" s="3" t="str">
        <f>IF(配列!E224="",RIGHT(配列!D224&amp;配列!E224,4)&amp;"L",RIGHT(配列!D224&amp;配列!E224,5))</f>
        <v>L</v>
      </c>
      <c r="E224" s="3">
        <f t="shared" si="12"/>
        <v>0</v>
      </c>
      <c r="F224" s="3" t="e">
        <f>_xlfn.XLOOKUP(E224,セットアップレポート_紐づけ用!A:A,セットアップレポート_紐づけ用!J:J)</f>
        <v>#N/A</v>
      </c>
      <c r="G224" s="3" t="e">
        <f>_xlfn.XLOOKUP(E224,セットアップレポート_紐づけ用!A:A,セットアップレポート_紐づけ用!V:V)</f>
        <v>#N/A</v>
      </c>
      <c r="H224" s="3">
        <f t="shared" si="15"/>
        <v>-2</v>
      </c>
      <c r="I224" t="str">
        <f>IF(J224=0,"",IF(配列!E224="",マクロ実行!$A$16 &amp;" T"&amp;H224&amp;"-"&amp;RIGHT(配列!D224&amp;配列!E224,2),マクロ実行!$A$16 &amp;" T"&amp;H224&amp;"-"&amp;RIGHT(配列!D224&amp;配列!E224,3)))</f>
        <v/>
      </c>
      <c r="J224">
        <f>配列!F224</f>
        <v>0</v>
      </c>
      <c r="K224" s="2" t="e">
        <f>_xlfn.XLOOKUP(E224,セットアップレポート_紐づけ用!A:A,セットアップレポート_紐づけ用!R:R)</f>
        <v>#N/A</v>
      </c>
      <c r="L224" t="e">
        <f t="shared" si="13"/>
        <v>#N/A</v>
      </c>
      <c r="M224" t="e">
        <f>_xlfn.XLOOKUP(L224,EGPro!A:A,EGPro!D:D)</f>
        <v>#N/A</v>
      </c>
      <c r="N224" t="e">
        <f>_xlfn.XLOOKUP(L224,EGPro!A:A,EGPro!C:C)</f>
        <v>#N/A</v>
      </c>
      <c r="O224" t="e">
        <f t="shared" si="14"/>
        <v>#N/A</v>
      </c>
      <c r="P224" t="e">
        <f>_xlfn.XLOOKUP(O224,EGPro!A:A,EGPro!D:D)</f>
        <v>#N/A</v>
      </c>
      <c r="Q224" t="e">
        <f>_xlfn.XLOOKUP(O224,EGPro!A:A,EGPro!C:C)</f>
        <v>#N/A</v>
      </c>
    </row>
    <row r="225" spans="1:17" x14ac:dyDescent="0.45">
      <c r="A225" s="3">
        <f>配列!B225</f>
        <v>0</v>
      </c>
      <c r="B225" s="3" t="e">
        <f>_xlfn.XLOOKUP(A225,対応表!A:A,対応表!B:B)</f>
        <v>#N/A</v>
      </c>
      <c r="C225" s="3">
        <f>配列!C225</f>
        <v>0</v>
      </c>
      <c r="D225" s="3" t="str">
        <f>IF(配列!E225="",RIGHT(配列!D225&amp;配列!E225,4)&amp;"L",RIGHT(配列!D225&amp;配列!E225,5))</f>
        <v>L</v>
      </c>
      <c r="E225" s="3">
        <f t="shared" si="12"/>
        <v>0</v>
      </c>
      <c r="F225" s="3" t="e">
        <f>_xlfn.XLOOKUP(E225,セットアップレポート_紐づけ用!A:A,セットアップレポート_紐づけ用!J:J)</f>
        <v>#N/A</v>
      </c>
      <c r="G225" s="3" t="e">
        <f>_xlfn.XLOOKUP(E225,セットアップレポート_紐づけ用!A:A,セットアップレポート_紐づけ用!V:V)</f>
        <v>#N/A</v>
      </c>
      <c r="H225" s="3">
        <f t="shared" si="15"/>
        <v>-2</v>
      </c>
      <c r="I225" t="str">
        <f>IF(J225=0,"",IF(配列!E225="",マクロ実行!$A$16 &amp;" T"&amp;H225&amp;"-"&amp;RIGHT(配列!D225&amp;配列!E225,2),マクロ実行!$A$16 &amp;" T"&amp;H225&amp;"-"&amp;RIGHT(配列!D225&amp;配列!E225,3)))</f>
        <v/>
      </c>
      <c r="J225">
        <f>配列!F225</f>
        <v>0</v>
      </c>
      <c r="K225" s="2" t="e">
        <f>_xlfn.XLOOKUP(E225,セットアップレポート_紐づけ用!A:A,セットアップレポート_紐づけ用!R:R)</f>
        <v>#N/A</v>
      </c>
      <c r="L225" t="e">
        <f t="shared" si="13"/>
        <v>#N/A</v>
      </c>
      <c r="M225" t="e">
        <f>_xlfn.XLOOKUP(L225,EGPro!A:A,EGPro!D:D)</f>
        <v>#N/A</v>
      </c>
      <c r="N225" t="e">
        <f>_xlfn.XLOOKUP(L225,EGPro!A:A,EGPro!C:C)</f>
        <v>#N/A</v>
      </c>
      <c r="O225" t="e">
        <f t="shared" si="14"/>
        <v>#N/A</v>
      </c>
      <c r="P225" t="e">
        <f>_xlfn.XLOOKUP(O225,EGPro!A:A,EGPro!D:D)</f>
        <v>#N/A</v>
      </c>
      <c r="Q225" t="e">
        <f>_xlfn.XLOOKUP(O225,EGPro!A:A,EGPro!C:C)</f>
        <v>#N/A</v>
      </c>
    </row>
    <row r="226" spans="1:17" x14ac:dyDescent="0.45">
      <c r="A226" s="3">
        <f>配列!B226</f>
        <v>0</v>
      </c>
      <c r="B226" s="3" t="e">
        <f>_xlfn.XLOOKUP(A226,対応表!A:A,対応表!B:B)</f>
        <v>#N/A</v>
      </c>
      <c r="C226" s="3">
        <f>配列!C226</f>
        <v>0</v>
      </c>
      <c r="D226" s="3" t="str">
        <f>IF(配列!E226="",RIGHT(配列!D226&amp;配列!E226,4)&amp;"L",RIGHT(配列!D226&amp;配列!E226,5))</f>
        <v>L</v>
      </c>
      <c r="E226" s="3">
        <f t="shared" si="12"/>
        <v>0</v>
      </c>
      <c r="F226" s="3" t="e">
        <f>_xlfn.XLOOKUP(E226,セットアップレポート_紐づけ用!A:A,セットアップレポート_紐づけ用!J:J)</f>
        <v>#N/A</v>
      </c>
      <c r="G226" s="3" t="e">
        <f>_xlfn.XLOOKUP(E226,セットアップレポート_紐づけ用!A:A,セットアップレポート_紐づけ用!V:V)</f>
        <v>#N/A</v>
      </c>
      <c r="H226" s="3">
        <f t="shared" si="15"/>
        <v>-2</v>
      </c>
      <c r="I226" t="str">
        <f>IF(J226=0,"",IF(配列!E226="",マクロ実行!$A$16 &amp;" T"&amp;H226&amp;"-"&amp;RIGHT(配列!D226&amp;配列!E226,2),マクロ実行!$A$16 &amp;" T"&amp;H226&amp;"-"&amp;RIGHT(配列!D226&amp;配列!E226,3)))</f>
        <v/>
      </c>
      <c r="J226">
        <f>配列!F226</f>
        <v>0</v>
      </c>
      <c r="K226" s="2" t="e">
        <f>_xlfn.XLOOKUP(E226,セットアップレポート_紐づけ用!A:A,セットアップレポート_紐づけ用!R:R)</f>
        <v>#N/A</v>
      </c>
      <c r="L226" t="e">
        <f t="shared" si="13"/>
        <v>#N/A</v>
      </c>
      <c r="M226" t="e">
        <f>_xlfn.XLOOKUP(L226,EGPro!A:A,EGPro!D:D)</f>
        <v>#N/A</v>
      </c>
      <c r="N226" t="e">
        <f>_xlfn.XLOOKUP(L226,EGPro!A:A,EGPro!C:C)</f>
        <v>#N/A</v>
      </c>
      <c r="O226" t="e">
        <f t="shared" si="14"/>
        <v>#N/A</v>
      </c>
      <c r="P226" t="e">
        <f>_xlfn.XLOOKUP(O226,EGPro!A:A,EGPro!D:D)</f>
        <v>#N/A</v>
      </c>
      <c r="Q226" t="e">
        <f>_xlfn.XLOOKUP(O226,EGPro!A:A,EGPro!C:C)</f>
        <v>#N/A</v>
      </c>
    </row>
    <row r="227" spans="1:17" x14ac:dyDescent="0.45">
      <c r="A227" s="3">
        <f>配列!B227</f>
        <v>0</v>
      </c>
      <c r="B227" s="3" t="e">
        <f>_xlfn.XLOOKUP(A227,対応表!A:A,対応表!B:B)</f>
        <v>#N/A</v>
      </c>
      <c r="C227" s="3">
        <f>配列!C227</f>
        <v>0</v>
      </c>
      <c r="D227" s="3" t="str">
        <f>IF(配列!E227="",RIGHT(配列!D227&amp;配列!E227,4)&amp;"L",RIGHT(配列!D227&amp;配列!E227,5))</f>
        <v>L</v>
      </c>
      <c r="E227" s="3">
        <f t="shared" si="12"/>
        <v>0</v>
      </c>
      <c r="F227" s="3" t="e">
        <f>_xlfn.XLOOKUP(E227,セットアップレポート_紐づけ用!A:A,セットアップレポート_紐づけ用!J:J)</f>
        <v>#N/A</v>
      </c>
      <c r="G227" s="3" t="e">
        <f>_xlfn.XLOOKUP(E227,セットアップレポート_紐づけ用!A:A,セットアップレポート_紐づけ用!V:V)</f>
        <v>#N/A</v>
      </c>
      <c r="H227" s="3">
        <f t="shared" si="15"/>
        <v>-2</v>
      </c>
      <c r="I227" t="str">
        <f>IF(J227=0,"",IF(配列!E227="",マクロ実行!$A$16 &amp;" T"&amp;H227&amp;"-"&amp;RIGHT(配列!D227&amp;配列!E227,2),マクロ実行!$A$16 &amp;" T"&amp;H227&amp;"-"&amp;RIGHT(配列!D227&amp;配列!E227,3)))</f>
        <v/>
      </c>
      <c r="J227">
        <f>配列!F227</f>
        <v>0</v>
      </c>
      <c r="K227" s="2" t="e">
        <f>_xlfn.XLOOKUP(E227,セットアップレポート_紐づけ用!A:A,セットアップレポート_紐づけ用!R:R)</f>
        <v>#N/A</v>
      </c>
      <c r="L227" t="e">
        <f t="shared" si="13"/>
        <v>#N/A</v>
      </c>
      <c r="M227" t="e">
        <f>_xlfn.XLOOKUP(L227,EGPro!A:A,EGPro!D:D)</f>
        <v>#N/A</v>
      </c>
      <c r="N227" t="e">
        <f>_xlfn.XLOOKUP(L227,EGPro!A:A,EGPro!C:C)</f>
        <v>#N/A</v>
      </c>
      <c r="O227" t="e">
        <f t="shared" si="14"/>
        <v>#N/A</v>
      </c>
      <c r="P227" t="e">
        <f>_xlfn.XLOOKUP(O227,EGPro!A:A,EGPro!D:D)</f>
        <v>#N/A</v>
      </c>
      <c r="Q227" t="e">
        <f>_xlfn.XLOOKUP(O227,EGPro!A:A,EGPro!C:C)</f>
        <v>#N/A</v>
      </c>
    </row>
    <row r="228" spans="1:17" x14ac:dyDescent="0.45">
      <c r="A228" s="3">
        <f>配列!B228</f>
        <v>0</v>
      </c>
      <c r="B228" s="3" t="e">
        <f>_xlfn.XLOOKUP(A228,対応表!A:A,対応表!B:B)</f>
        <v>#N/A</v>
      </c>
      <c r="C228" s="3">
        <f>配列!C228</f>
        <v>0</v>
      </c>
      <c r="D228" s="3" t="str">
        <f>IF(配列!E228="",RIGHT(配列!D228&amp;配列!E228,4)&amp;"L",RIGHT(配列!D228&amp;配列!E228,5))</f>
        <v>L</v>
      </c>
      <c r="E228" s="3">
        <f t="shared" si="12"/>
        <v>0</v>
      </c>
      <c r="F228" s="3" t="e">
        <f>_xlfn.XLOOKUP(E228,セットアップレポート_紐づけ用!A:A,セットアップレポート_紐づけ用!J:J)</f>
        <v>#N/A</v>
      </c>
      <c r="G228" s="3" t="e">
        <f>_xlfn.XLOOKUP(E228,セットアップレポート_紐づけ用!A:A,セットアップレポート_紐づけ用!V:V)</f>
        <v>#N/A</v>
      </c>
      <c r="H228" s="3">
        <f t="shared" si="15"/>
        <v>-2</v>
      </c>
      <c r="I228" t="str">
        <f>IF(J228=0,"",IF(配列!E228="",マクロ実行!$A$16 &amp;" T"&amp;H228&amp;"-"&amp;RIGHT(配列!D228&amp;配列!E228,2),マクロ実行!$A$16 &amp;" T"&amp;H228&amp;"-"&amp;RIGHT(配列!D228&amp;配列!E228,3)))</f>
        <v/>
      </c>
      <c r="J228">
        <f>配列!F228</f>
        <v>0</v>
      </c>
      <c r="K228" s="2" t="e">
        <f>_xlfn.XLOOKUP(E228,セットアップレポート_紐づけ用!A:A,セットアップレポート_紐づけ用!R:R)</f>
        <v>#N/A</v>
      </c>
      <c r="L228" t="e">
        <f t="shared" si="13"/>
        <v>#N/A</v>
      </c>
      <c r="M228" t="e">
        <f>_xlfn.XLOOKUP(L228,EGPro!A:A,EGPro!D:D)</f>
        <v>#N/A</v>
      </c>
      <c r="N228" t="e">
        <f>_xlfn.XLOOKUP(L228,EGPro!A:A,EGPro!C:C)</f>
        <v>#N/A</v>
      </c>
      <c r="O228" t="e">
        <f t="shared" si="14"/>
        <v>#N/A</v>
      </c>
      <c r="P228" t="e">
        <f>_xlfn.XLOOKUP(O228,EGPro!A:A,EGPro!D:D)</f>
        <v>#N/A</v>
      </c>
      <c r="Q228" t="e">
        <f>_xlfn.XLOOKUP(O228,EGPro!A:A,EGPro!C:C)</f>
        <v>#N/A</v>
      </c>
    </row>
    <row r="229" spans="1:17" x14ac:dyDescent="0.45">
      <c r="A229" s="3">
        <f>配列!B229</f>
        <v>0</v>
      </c>
      <c r="B229" s="3" t="e">
        <f>_xlfn.XLOOKUP(A229,対応表!A:A,対応表!B:B)</f>
        <v>#N/A</v>
      </c>
      <c r="C229" s="3">
        <f>配列!C229</f>
        <v>0</v>
      </c>
      <c r="D229" s="3" t="str">
        <f>IF(配列!E229="",RIGHT(配列!D229&amp;配列!E229,4)&amp;"L",RIGHT(配列!D229&amp;配列!E229,5))</f>
        <v>L</v>
      </c>
      <c r="E229" s="3">
        <f t="shared" si="12"/>
        <v>0</v>
      </c>
      <c r="F229" s="3" t="e">
        <f>_xlfn.XLOOKUP(E229,セットアップレポート_紐づけ用!A:A,セットアップレポート_紐づけ用!J:J)</f>
        <v>#N/A</v>
      </c>
      <c r="G229" s="3" t="e">
        <f>_xlfn.XLOOKUP(E229,セットアップレポート_紐づけ用!A:A,セットアップレポート_紐づけ用!V:V)</f>
        <v>#N/A</v>
      </c>
      <c r="H229" s="3">
        <f t="shared" si="15"/>
        <v>-2</v>
      </c>
      <c r="I229" t="str">
        <f>IF(J229=0,"",IF(配列!E229="",マクロ実行!$A$16 &amp;" T"&amp;H229&amp;"-"&amp;RIGHT(配列!D229&amp;配列!E229,2),マクロ実行!$A$16 &amp;" T"&amp;H229&amp;"-"&amp;RIGHT(配列!D229&amp;配列!E229,3)))</f>
        <v/>
      </c>
      <c r="J229">
        <f>配列!F229</f>
        <v>0</v>
      </c>
      <c r="K229" s="2" t="e">
        <f>_xlfn.XLOOKUP(E229,セットアップレポート_紐づけ用!A:A,セットアップレポート_紐づけ用!R:R)</f>
        <v>#N/A</v>
      </c>
      <c r="L229" t="e">
        <f t="shared" si="13"/>
        <v>#N/A</v>
      </c>
      <c r="M229" t="e">
        <f>_xlfn.XLOOKUP(L229,EGPro!A:A,EGPro!D:D)</f>
        <v>#N/A</v>
      </c>
      <c r="N229" t="e">
        <f>_xlfn.XLOOKUP(L229,EGPro!A:A,EGPro!C:C)</f>
        <v>#N/A</v>
      </c>
      <c r="O229" t="e">
        <f t="shared" si="14"/>
        <v>#N/A</v>
      </c>
      <c r="P229" t="e">
        <f>_xlfn.XLOOKUP(O229,EGPro!A:A,EGPro!D:D)</f>
        <v>#N/A</v>
      </c>
      <c r="Q229" t="e">
        <f>_xlfn.XLOOKUP(O229,EGPro!A:A,EGPro!C:C)</f>
        <v>#N/A</v>
      </c>
    </row>
    <row r="230" spans="1:17" x14ac:dyDescent="0.45">
      <c r="A230" s="3">
        <f>配列!B230</f>
        <v>0</v>
      </c>
      <c r="B230" s="3" t="e">
        <f>_xlfn.XLOOKUP(A230,対応表!A:A,対応表!B:B)</f>
        <v>#N/A</v>
      </c>
      <c r="C230" s="3">
        <f>配列!C230</f>
        <v>0</v>
      </c>
      <c r="D230" s="3" t="str">
        <f>IF(配列!E230="",RIGHT(配列!D230&amp;配列!E230,4)&amp;"L",RIGHT(配列!D230&amp;配列!E230,5))</f>
        <v>L</v>
      </c>
      <c r="E230" s="3">
        <f t="shared" si="12"/>
        <v>0</v>
      </c>
      <c r="F230" s="3" t="e">
        <f>_xlfn.XLOOKUP(E230,セットアップレポート_紐づけ用!A:A,セットアップレポート_紐づけ用!J:J)</f>
        <v>#N/A</v>
      </c>
      <c r="G230" s="3" t="e">
        <f>_xlfn.XLOOKUP(E230,セットアップレポート_紐づけ用!A:A,セットアップレポート_紐づけ用!V:V)</f>
        <v>#N/A</v>
      </c>
      <c r="H230" s="3">
        <f t="shared" si="15"/>
        <v>-2</v>
      </c>
      <c r="I230" t="str">
        <f>IF(J230=0,"",IF(配列!E230="",マクロ実行!$A$16 &amp;" T"&amp;H230&amp;"-"&amp;RIGHT(配列!D230&amp;配列!E230,2),マクロ実行!$A$16 &amp;" T"&amp;H230&amp;"-"&amp;RIGHT(配列!D230&amp;配列!E230,3)))</f>
        <v/>
      </c>
      <c r="J230">
        <f>配列!F230</f>
        <v>0</v>
      </c>
      <c r="K230" s="2" t="e">
        <f>_xlfn.XLOOKUP(E230,セットアップレポート_紐づけ用!A:A,セットアップレポート_紐づけ用!R:R)</f>
        <v>#N/A</v>
      </c>
      <c r="L230" t="e">
        <f t="shared" si="13"/>
        <v>#N/A</v>
      </c>
      <c r="M230" t="e">
        <f>_xlfn.XLOOKUP(L230,EGPro!A:A,EGPro!D:D)</f>
        <v>#N/A</v>
      </c>
      <c r="N230" t="e">
        <f>_xlfn.XLOOKUP(L230,EGPro!A:A,EGPro!C:C)</f>
        <v>#N/A</v>
      </c>
      <c r="O230" t="e">
        <f t="shared" si="14"/>
        <v>#N/A</v>
      </c>
      <c r="P230" t="e">
        <f>_xlfn.XLOOKUP(O230,EGPro!A:A,EGPro!D:D)</f>
        <v>#N/A</v>
      </c>
      <c r="Q230" t="e">
        <f>_xlfn.XLOOKUP(O230,EGPro!A:A,EGPro!C:C)</f>
        <v>#N/A</v>
      </c>
    </row>
    <row r="231" spans="1:17" x14ac:dyDescent="0.45">
      <c r="A231" s="3">
        <f>配列!B231</f>
        <v>0</v>
      </c>
      <c r="B231" s="3" t="e">
        <f>_xlfn.XLOOKUP(A231,対応表!A:A,対応表!B:B)</f>
        <v>#N/A</v>
      </c>
      <c r="C231" s="3">
        <f>配列!C231</f>
        <v>0</v>
      </c>
      <c r="D231" s="3" t="str">
        <f>IF(配列!E231="",RIGHT(配列!D231&amp;配列!E231,4)&amp;"L",RIGHT(配列!D231&amp;配列!E231,5))</f>
        <v>L</v>
      </c>
      <c r="E231" s="3">
        <f t="shared" si="12"/>
        <v>0</v>
      </c>
      <c r="F231" s="3" t="e">
        <f>_xlfn.XLOOKUP(E231,セットアップレポート_紐づけ用!A:A,セットアップレポート_紐づけ用!J:J)</f>
        <v>#N/A</v>
      </c>
      <c r="G231" s="3" t="e">
        <f>_xlfn.XLOOKUP(E231,セットアップレポート_紐づけ用!A:A,セットアップレポート_紐づけ用!V:V)</f>
        <v>#N/A</v>
      </c>
      <c r="H231" s="3">
        <f t="shared" si="15"/>
        <v>-2</v>
      </c>
      <c r="I231" t="str">
        <f>IF(J231=0,"",IF(配列!E231="",マクロ実行!$A$16 &amp;" T"&amp;H231&amp;"-"&amp;RIGHT(配列!D231&amp;配列!E231,2),マクロ実行!$A$16 &amp;" T"&amp;H231&amp;"-"&amp;RIGHT(配列!D231&amp;配列!E231,3)))</f>
        <v/>
      </c>
      <c r="J231">
        <f>配列!F231</f>
        <v>0</v>
      </c>
      <c r="K231" s="2" t="e">
        <f>_xlfn.XLOOKUP(E231,セットアップレポート_紐づけ用!A:A,セットアップレポート_紐づけ用!R:R)</f>
        <v>#N/A</v>
      </c>
      <c r="L231" t="e">
        <f t="shared" si="13"/>
        <v>#N/A</v>
      </c>
      <c r="M231" t="e">
        <f>_xlfn.XLOOKUP(L231,EGPro!A:A,EGPro!D:D)</f>
        <v>#N/A</v>
      </c>
      <c r="N231" t="e">
        <f>_xlfn.XLOOKUP(L231,EGPro!A:A,EGPro!C:C)</f>
        <v>#N/A</v>
      </c>
      <c r="O231" t="e">
        <f t="shared" si="14"/>
        <v>#N/A</v>
      </c>
      <c r="P231" t="e">
        <f>_xlfn.XLOOKUP(O231,EGPro!A:A,EGPro!D:D)</f>
        <v>#N/A</v>
      </c>
      <c r="Q231" t="e">
        <f>_xlfn.XLOOKUP(O231,EGPro!A:A,EGPro!C:C)</f>
        <v>#N/A</v>
      </c>
    </row>
    <row r="232" spans="1:17" x14ac:dyDescent="0.45">
      <c r="A232" s="3">
        <f>配列!B232</f>
        <v>0</v>
      </c>
      <c r="B232" s="3" t="e">
        <f>_xlfn.XLOOKUP(A232,対応表!A:A,対応表!B:B)</f>
        <v>#N/A</v>
      </c>
      <c r="C232" s="3">
        <f>配列!C232</f>
        <v>0</v>
      </c>
      <c r="D232" s="3" t="str">
        <f>IF(配列!E232="",RIGHT(配列!D232&amp;配列!E232,4)&amp;"L",RIGHT(配列!D232&amp;配列!E232,5))</f>
        <v>L</v>
      </c>
      <c r="E232" s="3">
        <f t="shared" si="12"/>
        <v>0</v>
      </c>
      <c r="F232" s="3" t="e">
        <f>_xlfn.XLOOKUP(E232,セットアップレポート_紐づけ用!A:A,セットアップレポート_紐づけ用!J:J)</f>
        <v>#N/A</v>
      </c>
      <c r="G232" s="3" t="e">
        <f>_xlfn.XLOOKUP(E232,セットアップレポート_紐づけ用!A:A,セットアップレポート_紐づけ用!V:V)</f>
        <v>#N/A</v>
      </c>
      <c r="H232" s="3">
        <f t="shared" si="15"/>
        <v>-2</v>
      </c>
      <c r="I232" t="str">
        <f>IF(J232=0,"",IF(配列!E232="",マクロ実行!$A$16 &amp;" T"&amp;H232&amp;"-"&amp;RIGHT(配列!D232&amp;配列!E232,2),マクロ実行!$A$16 &amp;" T"&amp;H232&amp;"-"&amp;RIGHT(配列!D232&amp;配列!E232,3)))</f>
        <v/>
      </c>
      <c r="J232">
        <f>配列!F232</f>
        <v>0</v>
      </c>
      <c r="K232" s="2" t="e">
        <f>_xlfn.XLOOKUP(E232,セットアップレポート_紐づけ用!A:A,セットアップレポート_紐づけ用!R:R)</f>
        <v>#N/A</v>
      </c>
      <c r="L232" t="e">
        <f t="shared" si="13"/>
        <v>#N/A</v>
      </c>
      <c r="M232" t="e">
        <f>_xlfn.XLOOKUP(L232,EGPro!A:A,EGPro!D:D)</f>
        <v>#N/A</v>
      </c>
      <c r="N232" t="e">
        <f>_xlfn.XLOOKUP(L232,EGPro!A:A,EGPro!C:C)</f>
        <v>#N/A</v>
      </c>
      <c r="O232" t="e">
        <f t="shared" si="14"/>
        <v>#N/A</v>
      </c>
      <c r="P232" t="e">
        <f>_xlfn.XLOOKUP(O232,EGPro!A:A,EGPro!D:D)</f>
        <v>#N/A</v>
      </c>
      <c r="Q232" t="e">
        <f>_xlfn.XLOOKUP(O232,EGPro!A:A,EGPro!C:C)</f>
        <v>#N/A</v>
      </c>
    </row>
    <row r="233" spans="1:17" x14ac:dyDescent="0.45">
      <c r="A233" s="3">
        <f>配列!B233</f>
        <v>0</v>
      </c>
      <c r="B233" s="3" t="e">
        <f>_xlfn.XLOOKUP(A233,対応表!A:A,対応表!B:B)</f>
        <v>#N/A</v>
      </c>
      <c r="C233" s="3">
        <f>配列!C233</f>
        <v>0</v>
      </c>
      <c r="D233" s="3" t="str">
        <f>IF(配列!E233="",RIGHT(配列!D233&amp;配列!E233,4)&amp;"L",RIGHT(配列!D233&amp;配列!E233,5))</f>
        <v>L</v>
      </c>
      <c r="E233" s="3">
        <f t="shared" si="12"/>
        <v>0</v>
      </c>
      <c r="F233" s="3" t="e">
        <f>_xlfn.XLOOKUP(E233,セットアップレポート_紐づけ用!A:A,セットアップレポート_紐づけ用!J:J)</f>
        <v>#N/A</v>
      </c>
      <c r="G233" s="3" t="e">
        <f>_xlfn.XLOOKUP(E233,セットアップレポート_紐づけ用!A:A,セットアップレポート_紐づけ用!V:V)</f>
        <v>#N/A</v>
      </c>
      <c r="H233" s="3">
        <f t="shared" si="15"/>
        <v>-2</v>
      </c>
      <c r="I233" t="str">
        <f>IF(J233=0,"",IF(配列!E233="",マクロ実行!$A$16 &amp;" T"&amp;H233&amp;"-"&amp;RIGHT(配列!D233&amp;配列!E233,2),マクロ実行!$A$16 &amp;" T"&amp;H233&amp;"-"&amp;RIGHT(配列!D233&amp;配列!E233,3)))</f>
        <v/>
      </c>
      <c r="J233">
        <f>配列!F233</f>
        <v>0</v>
      </c>
      <c r="K233" s="2" t="e">
        <f>_xlfn.XLOOKUP(E233,セットアップレポート_紐づけ用!A:A,セットアップレポート_紐づけ用!R:R)</f>
        <v>#N/A</v>
      </c>
      <c r="L233" t="e">
        <f t="shared" si="13"/>
        <v>#N/A</v>
      </c>
      <c r="M233" t="e">
        <f>_xlfn.XLOOKUP(L233,EGPro!A:A,EGPro!D:D)</f>
        <v>#N/A</v>
      </c>
      <c r="N233" t="e">
        <f>_xlfn.XLOOKUP(L233,EGPro!A:A,EGPro!C:C)</f>
        <v>#N/A</v>
      </c>
      <c r="O233" t="e">
        <f t="shared" si="14"/>
        <v>#N/A</v>
      </c>
      <c r="P233" t="e">
        <f>_xlfn.XLOOKUP(O233,EGPro!A:A,EGPro!D:D)</f>
        <v>#N/A</v>
      </c>
      <c r="Q233" t="e">
        <f>_xlfn.XLOOKUP(O233,EGPro!A:A,EGPro!C:C)</f>
        <v>#N/A</v>
      </c>
    </row>
    <row r="234" spans="1:17" x14ac:dyDescent="0.45">
      <c r="A234" s="3">
        <f>配列!B234</f>
        <v>0</v>
      </c>
      <c r="B234" s="3" t="e">
        <f>_xlfn.XLOOKUP(A234,対応表!A:A,対応表!B:B)</f>
        <v>#N/A</v>
      </c>
      <c r="C234" s="3">
        <f>配列!C234</f>
        <v>0</v>
      </c>
      <c r="D234" s="3" t="str">
        <f>IF(配列!E234="",RIGHT(配列!D234&amp;配列!E234,4)&amp;"L",RIGHT(配列!D234&amp;配列!E234,5))</f>
        <v>L</v>
      </c>
      <c r="E234" s="3">
        <f t="shared" si="12"/>
        <v>0</v>
      </c>
      <c r="F234" s="3" t="e">
        <f>_xlfn.XLOOKUP(E234,セットアップレポート_紐づけ用!A:A,セットアップレポート_紐づけ用!J:J)</f>
        <v>#N/A</v>
      </c>
      <c r="G234" s="3" t="e">
        <f>_xlfn.XLOOKUP(E234,セットアップレポート_紐づけ用!A:A,セットアップレポート_紐づけ用!V:V)</f>
        <v>#N/A</v>
      </c>
      <c r="H234" s="3">
        <f t="shared" si="15"/>
        <v>-2</v>
      </c>
      <c r="I234" t="str">
        <f>IF(J234=0,"",IF(配列!E234="",マクロ実行!$A$16 &amp;" T"&amp;H234&amp;"-"&amp;RIGHT(配列!D234&amp;配列!E234,2),マクロ実行!$A$16 &amp;" T"&amp;H234&amp;"-"&amp;RIGHT(配列!D234&amp;配列!E234,3)))</f>
        <v/>
      </c>
      <c r="J234">
        <f>配列!F234</f>
        <v>0</v>
      </c>
      <c r="K234" s="2" t="e">
        <f>_xlfn.XLOOKUP(E234,セットアップレポート_紐づけ用!A:A,セットアップレポート_紐づけ用!R:R)</f>
        <v>#N/A</v>
      </c>
      <c r="L234" t="e">
        <f t="shared" si="13"/>
        <v>#N/A</v>
      </c>
      <c r="M234" t="e">
        <f>_xlfn.XLOOKUP(L234,EGPro!A:A,EGPro!D:D)</f>
        <v>#N/A</v>
      </c>
      <c r="N234" t="e">
        <f>_xlfn.XLOOKUP(L234,EGPro!A:A,EGPro!C:C)</f>
        <v>#N/A</v>
      </c>
      <c r="O234" t="e">
        <f t="shared" si="14"/>
        <v>#N/A</v>
      </c>
      <c r="P234" t="e">
        <f>_xlfn.XLOOKUP(O234,EGPro!A:A,EGPro!D:D)</f>
        <v>#N/A</v>
      </c>
      <c r="Q234" t="e">
        <f>_xlfn.XLOOKUP(O234,EGPro!A:A,EGPro!C:C)</f>
        <v>#N/A</v>
      </c>
    </row>
    <row r="235" spans="1:17" x14ac:dyDescent="0.45">
      <c r="A235" s="3">
        <f>配列!B235</f>
        <v>0</v>
      </c>
      <c r="B235" s="3" t="e">
        <f>_xlfn.XLOOKUP(A235,対応表!A:A,対応表!B:B)</f>
        <v>#N/A</v>
      </c>
      <c r="C235" s="3">
        <f>配列!C235</f>
        <v>0</v>
      </c>
      <c r="D235" s="3" t="str">
        <f>IF(配列!E235="",RIGHT(配列!D235&amp;配列!E235,4)&amp;"L",RIGHT(配列!D235&amp;配列!E235,5))</f>
        <v>L</v>
      </c>
      <c r="E235" s="3">
        <f t="shared" si="12"/>
        <v>0</v>
      </c>
      <c r="F235" s="3" t="e">
        <f>_xlfn.XLOOKUP(E235,セットアップレポート_紐づけ用!A:A,セットアップレポート_紐づけ用!J:J)</f>
        <v>#N/A</v>
      </c>
      <c r="G235" s="3" t="e">
        <f>_xlfn.XLOOKUP(E235,セットアップレポート_紐づけ用!A:A,セットアップレポート_紐づけ用!V:V)</f>
        <v>#N/A</v>
      </c>
      <c r="H235" s="3">
        <f t="shared" si="15"/>
        <v>-2</v>
      </c>
      <c r="I235" t="str">
        <f>IF(J235=0,"",IF(配列!E235="",マクロ実行!$A$16 &amp;" T"&amp;H235&amp;"-"&amp;RIGHT(配列!D235&amp;配列!E235,2),マクロ実行!$A$16 &amp;" T"&amp;H235&amp;"-"&amp;RIGHT(配列!D235&amp;配列!E235,3)))</f>
        <v/>
      </c>
      <c r="J235">
        <f>配列!F235</f>
        <v>0</v>
      </c>
      <c r="K235" s="2" t="e">
        <f>_xlfn.XLOOKUP(E235,セットアップレポート_紐づけ用!A:A,セットアップレポート_紐づけ用!R:R)</f>
        <v>#N/A</v>
      </c>
      <c r="L235" t="e">
        <f t="shared" si="13"/>
        <v>#N/A</v>
      </c>
      <c r="M235" t="e">
        <f>_xlfn.XLOOKUP(L235,EGPro!A:A,EGPro!D:D)</f>
        <v>#N/A</v>
      </c>
      <c r="N235" t="e">
        <f>_xlfn.XLOOKUP(L235,EGPro!A:A,EGPro!C:C)</f>
        <v>#N/A</v>
      </c>
      <c r="O235" t="e">
        <f t="shared" si="14"/>
        <v>#N/A</v>
      </c>
      <c r="P235" t="e">
        <f>_xlfn.XLOOKUP(O235,EGPro!A:A,EGPro!D:D)</f>
        <v>#N/A</v>
      </c>
      <c r="Q235" t="e">
        <f>_xlfn.XLOOKUP(O235,EGPro!A:A,EGPro!C:C)</f>
        <v>#N/A</v>
      </c>
    </row>
    <row r="236" spans="1:17" x14ac:dyDescent="0.45">
      <c r="A236" s="3">
        <f>配列!B236</f>
        <v>0</v>
      </c>
      <c r="B236" s="3" t="e">
        <f>_xlfn.XLOOKUP(A236,対応表!A:A,対応表!B:B)</f>
        <v>#N/A</v>
      </c>
      <c r="C236" s="3">
        <f>配列!C236</f>
        <v>0</v>
      </c>
      <c r="D236" s="3" t="str">
        <f>IF(配列!E236="",RIGHT(配列!D236&amp;配列!E236,4)&amp;"L",RIGHT(配列!D236&amp;配列!E236,5))</f>
        <v>L</v>
      </c>
      <c r="E236" s="3">
        <f t="shared" si="12"/>
        <v>0</v>
      </c>
      <c r="F236" s="3" t="e">
        <f>_xlfn.XLOOKUP(E236,セットアップレポート_紐づけ用!A:A,セットアップレポート_紐づけ用!J:J)</f>
        <v>#N/A</v>
      </c>
      <c r="G236" s="3" t="e">
        <f>_xlfn.XLOOKUP(E236,セットアップレポート_紐づけ用!A:A,セットアップレポート_紐づけ用!V:V)</f>
        <v>#N/A</v>
      </c>
      <c r="H236" s="3">
        <f t="shared" si="15"/>
        <v>-2</v>
      </c>
      <c r="I236" t="str">
        <f>IF(J236=0,"",IF(配列!E236="",マクロ実行!$A$16 &amp;" T"&amp;H236&amp;"-"&amp;RIGHT(配列!D236&amp;配列!E236,2),マクロ実行!$A$16 &amp;" T"&amp;H236&amp;"-"&amp;RIGHT(配列!D236&amp;配列!E236,3)))</f>
        <v/>
      </c>
      <c r="J236">
        <f>配列!F236</f>
        <v>0</v>
      </c>
      <c r="K236" s="2" t="e">
        <f>_xlfn.XLOOKUP(E236,セットアップレポート_紐づけ用!A:A,セットアップレポート_紐づけ用!R:R)</f>
        <v>#N/A</v>
      </c>
      <c r="L236" t="e">
        <f t="shared" si="13"/>
        <v>#N/A</v>
      </c>
      <c r="M236" t="e">
        <f>_xlfn.XLOOKUP(L236,EGPro!A:A,EGPro!D:D)</f>
        <v>#N/A</v>
      </c>
      <c r="N236" t="e">
        <f>_xlfn.XLOOKUP(L236,EGPro!A:A,EGPro!C:C)</f>
        <v>#N/A</v>
      </c>
      <c r="O236" t="e">
        <f t="shared" si="14"/>
        <v>#N/A</v>
      </c>
      <c r="P236" t="e">
        <f>_xlfn.XLOOKUP(O236,EGPro!A:A,EGPro!D:D)</f>
        <v>#N/A</v>
      </c>
      <c r="Q236" t="e">
        <f>_xlfn.XLOOKUP(O236,EGPro!A:A,EGPro!C:C)</f>
        <v>#N/A</v>
      </c>
    </row>
    <row r="237" spans="1:17" x14ac:dyDescent="0.45">
      <c r="A237" s="3">
        <f>配列!B237</f>
        <v>0</v>
      </c>
      <c r="B237" s="3" t="e">
        <f>_xlfn.XLOOKUP(A237,対応表!A:A,対応表!B:B)</f>
        <v>#N/A</v>
      </c>
      <c r="C237" s="3">
        <f>配列!C237</f>
        <v>0</v>
      </c>
      <c r="D237" s="3" t="str">
        <f>IF(配列!E237="",RIGHT(配列!D237&amp;配列!E237,4)&amp;"L",RIGHT(配列!D237&amp;配列!E237,5))</f>
        <v>L</v>
      </c>
      <c r="E237" s="3">
        <f t="shared" si="12"/>
        <v>0</v>
      </c>
      <c r="F237" s="3" t="e">
        <f>_xlfn.XLOOKUP(E237,セットアップレポート_紐づけ用!A:A,セットアップレポート_紐づけ用!J:J)</f>
        <v>#N/A</v>
      </c>
      <c r="G237" s="3" t="e">
        <f>_xlfn.XLOOKUP(E237,セットアップレポート_紐づけ用!A:A,セットアップレポート_紐づけ用!V:V)</f>
        <v>#N/A</v>
      </c>
      <c r="H237" s="3">
        <f t="shared" si="15"/>
        <v>-2</v>
      </c>
      <c r="I237" t="str">
        <f>IF(J237=0,"",IF(配列!E237="",マクロ実行!$A$16 &amp;" T"&amp;H237&amp;"-"&amp;RIGHT(配列!D237&amp;配列!E237,2),マクロ実行!$A$16 &amp;" T"&amp;H237&amp;"-"&amp;RIGHT(配列!D237&amp;配列!E237,3)))</f>
        <v/>
      </c>
      <c r="J237">
        <f>配列!F237</f>
        <v>0</v>
      </c>
      <c r="K237" s="2" t="e">
        <f>_xlfn.XLOOKUP(E237,セットアップレポート_紐づけ用!A:A,セットアップレポート_紐づけ用!R:R)</f>
        <v>#N/A</v>
      </c>
      <c r="L237" t="e">
        <f t="shared" si="13"/>
        <v>#N/A</v>
      </c>
      <c r="M237" t="e">
        <f>_xlfn.XLOOKUP(L237,EGPro!A:A,EGPro!D:D)</f>
        <v>#N/A</v>
      </c>
      <c r="N237" t="e">
        <f>_xlfn.XLOOKUP(L237,EGPro!A:A,EGPro!C:C)</f>
        <v>#N/A</v>
      </c>
      <c r="O237" t="e">
        <f t="shared" si="14"/>
        <v>#N/A</v>
      </c>
      <c r="P237" t="e">
        <f>_xlfn.XLOOKUP(O237,EGPro!A:A,EGPro!D:D)</f>
        <v>#N/A</v>
      </c>
      <c r="Q237" t="e">
        <f>_xlfn.XLOOKUP(O237,EGPro!A:A,EGPro!C:C)</f>
        <v>#N/A</v>
      </c>
    </row>
    <row r="238" spans="1:17" x14ac:dyDescent="0.45">
      <c r="A238" s="3">
        <f>配列!B238</f>
        <v>0</v>
      </c>
      <c r="B238" s="3" t="e">
        <f>_xlfn.XLOOKUP(A238,対応表!A:A,対応表!B:B)</f>
        <v>#N/A</v>
      </c>
      <c r="C238" s="3">
        <f>配列!C238</f>
        <v>0</v>
      </c>
      <c r="D238" s="3" t="str">
        <f>IF(配列!E238="",RIGHT(配列!D238&amp;配列!E238,4)&amp;"L",RIGHT(配列!D238&amp;配列!E238,5))</f>
        <v>L</v>
      </c>
      <c r="E238" s="3">
        <f t="shared" si="12"/>
        <v>0</v>
      </c>
      <c r="F238" s="3" t="e">
        <f>_xlfn.XLOOKUP(E238,セットアップレポート_紐づけ用!A:A,セットアップレポート_紐づけ用!J:J)</f>
        <v>#N/A</v>
      </c>
      <c r="G238" s="3" t="e">
        <f>_xlfn.XLOOKUP(E238,セットアップレポート_紐づけ用!A:A,セットアップレポート_紐づけ用!V:V)</f>
        <v>#N/A</v>
      </c>
      <c r="H238" s="3">
        <f t="shared" si="15"/>
        <v>-2</v>
      </c>
      <c r="I238" t="str">
        <f>IF(J238=0,"",IF(配列!E238="",マクロ実行!$A$16 &amp;" T"&amp;H238&amp;"-"&amp;RIGHT(配列!D238&amp;配列!E238,2),マクロ実行!$A$16 &amp;" T"&amp;H238&amp;"-"&amp;RIGHT(配列!D238&amp;配列!E238,3)))</f>
        <v/>
      </c>
      <c r="J238">
        <f>配列!F238</f>
        <v>0</v>
      </c>
      <c r="K238" s="2" t="e">
        <f>_xlfn.XLOOKUP(E238,セットアップレポート_紐づけ用!A:A,セットアップレポート_紐づけ用!R:R)</f>
        <v>#N/A</v>
      </c>
      <c r="L238" t="e">
        <f t="shared" si="13"/>
        <v>#N/A</v>
      </c>
      <c r="M238" t="e">
        <f>_xlfn.XLOOKUP(L238,EGPro!A:A,EGPro!D:D)</f>
        <v>#N/A</v>
      </c>
      <c r="N238" t="e">
        <f>_xlfn.XLOOKUP(L238,EGPro!A:A,EGPro!C:C)</f>
        <v>#N/A</v>
      </c>
      <c r="O238" t="e">
        <f t="shared" si="14"/>
        <v>#N/A</v>
      </c>
      <c r="P238" t="e">
        <f>_xlfn.XLOOKUP(O238,EGPro!A:A,EGPro!D:D)</f>
        <v>#N/A</v>
      </c>
      <c r="Q238" t="e">
        <f>_xlfn.XLOOKUP(O238,EGPro!A:A,EGPro!C:C)</f>
        <v>#N/A</v>
      </c>
    </row>
    <row r="239" spans="1:17" x14ac:dyDescent="0.45">
      <c r="A239" s="3">
        <f>配列!B239</f>
        <v>0</v>
      </c>
      <c r="B239" s="3" t="e">
        <f>_xlfn.XLOOKUP(A239,対応表!A:A,対応表!B:B)</f>
        <v>#N/A</v>
      </c>
      <c r="C239" s="3">
        <f>配列!C239</f>
        <v>0</v>
      </c>
      <c r="D239" s="3" t="str">
        <f>IF(配列!E239="",RIGHT(配列!D239&amp;配列!E239,4)&amp;"L",RIGHT(配列!D239&amp;配列!E239,5))</f>
        <v>L</v>
      </c>
      <c r="E239" s="3">
        <f t="shared" si="12"/>
        <v>0</v>
      </c>
      <c r="F239" s="3" t="e">
        <f>_xlfn.XLOOKUP(E239,セットアップレポート_紐づけ用!A:A,セットアップレポート_紐づけ用!J:J)</f>
        <v>#N/A</v>
      </c>
      <c r="G239" s="3" t="e">
        <f>_xlfn.XLOOKUP(E239,セットアップレポート_紐づけ用!A:A,セットアップレポート_紐づけ用!V:V)</f>
        <v>#N/A</v>
      </c>
      <c r="H239" s="3">
        <f t="shared" si="15"/>
        <v>-2</v>
      </c>
      <c r="I239" t="str">
        <f>IF(J239=0,"",IF(配列!E239="",マクロ実行!$A$16 &amp;" T"&amp;H239&amp;"-"&amp;RIGHT(配列!D239&amp;配列!E239,2),マクロ実行!$A$16 &amp;" T"&amp;H239&amp;"-"&amp;RIGHT(配列!D239&amp;配列!E239,3)))</f>
        <v/>
      </c>
      <c r="J239">
        <f>配列!F239</f>
        <v>0</v>
      </c>
      <c r="K239" s="2" t="e">
        <f>_xlfn.XLOOKUP(E239,セットアップレポート_紐づけ用!A:A,セットアップレポート_紐づけ用!R:R)</f>
        <v>#N/A</v>
      </c>
      <c r="L239" t="e">
        <f t="shared" si="13"/>
        <v>#N/A</v>
      </c>
      <c r="M239" t="e">
        <f>_xlfn.XLOOKUP(L239,EGPro!A:A,EGPro!D:D)</f>
        <v>#N/A</v>
      </c>
      <c r="N239" t="e">
        <f>_xlfn.XLOOKUP(L239,EGPro!A:A,EGPro!C:C)</f>
        <v>#N/A</v>
      </c>
      <c r="O239" t="e">
        <f t="shared" si="14"/>
        <v>#N/A</v>
      </c>
      <c r="P239" t="e">
        <f>_xlfn.XLOOKUP(O239,EGPro!A:A,EGPro!D:D)</f>
        <v>#N/A</v>
      </c>
      <c r="Q239" t="e">
        <f>_xlfn.XLOOKUP(O239,EGPro!A:A,EGPro!C:C)</f>
        <v>#N/A</v>
      </c>
    </row>
    <row r="240" spans="1:17" x14ac:dyDescent="0.45">
      <c r="A240" s="3">
        <f>配列!B240</f>
        <v>0</v>
      </c>
      <c r="B240" s="3" t="e">
        <f>_xlfn.XLOOKUP(A240,対応表!A:A,対応表!B:B)</f>
        <v>#N/A</v>
      </c>
      <c r="C240" s="3">
        <f>配列!C240</f>
        <v>0</v>
      </c>
      <c r="D240" s="3" t="str">
        <f>IF(配列!E240="",RIGHT(配列!D240&amp;配列!E240,4)&amp;"L",RIGHT(配列!D240&amp;配列!E240,5))</f>
        <v>L</v>
      </c>
      <c r="E240" s="3">
        <f t="shared" si="12"/>
        <v>0</v>
      </c>
      <c r="F240" s="3" t="e">
        <f>_xlfn.XLOOKUP(E240,セットアップレポート_紐づけ用!A:A,セットアップレポート_紐づけ用!J:J)</f>
        <v>#N/A</v>
      </c>
      <c r="G240" s="3" t="e">
        <f>_xlfn.XLOOKUP(E240,セットアップレポート_紐づけ用!A:A,セットアップレポート_紐づけ用!V:V)</f>
        <v>#N/A</v>
      </c>
      <c r="H240" s="3">
        <f t="shared" si="15"/>
        <v>-2</v>
      </c>
      <c r="I240" t="str">
        <f>IF(J240=0,"",IF(配列!E240="",マクロ実行!$A$16 &amp;" T"&amp;H240&amp;"-"&amp;RIGHT(配列!D240&amp;配列!E240,2),マクロ実行!$A$16 &amp;" T"&amp;H240&amp;"-"&amp;RIGHT(配列!D240&amp;配列!E240,3)))</f>
        <v/>
      </c>
      <c r="J240">
        <f>配列!F240</f>
        <v>0</v>
      </c>
      <c r="K240" s="2" t="e">
        <f>_xlfn.XLOOKUP(E240,セットアップレポート_紐づけ用!A:A,セットアップレポート_紐づけ用!R:R)</f>
        <v>#N/A</v>
      </c>
      <c r="L240" t="e">
        <f t="shared" si="13"/>
        <v>#N/A</v>
      </c>
      <c r="M240" t="e">
        <f>_xlfn.XLOOKUP(L240,EGPro!A:A,EGPro!D:D)</f>
        <v>#N/A</v>
      </c>
      <c r="N240" t="e">
        <f>_xlfn.XLOOKUP(L240,EGPro!A:A,EGPro!C:C)</f>
        <v>#N/A</v>
      </c>
      <c r="O240" t="e">
        <f t="shared" si="14"/>
        <v>#N/A</v>
      </c>
      <c r="P240" t="e">
        <f>_xlfn.XLOOKUP(O240,EGPro!A:A,EGPro!D:D)</f>
        <v>#N/A</v>
      </c>
      <c r="Q240" t="e">
        <f>_xlfn.XLOOKUP(O240,EGPro!A:A,EGPro!C:C)</f>
        <v>#N/A</v>
      </c>
    </row>
    <row r="241" spans="1:17" x14ac:dyDescent="0.45">
      <c r="A241" s="3">
        <f>配列!B241</f>
        <v>0</v>
      </c>
      <c r="B241" s="3" t="e">
        <f>_xlfn.XLOOKUP(A241,対応表!A:A,対応表!B:B)</f>
        <v>#N/A</v>
      </c>
      <c r="C241" s="3">
        <f>配列!C241</f>
        <v>0</v>
      </c>
      <c r="D241" s="3" t="str">
        <f>IF(配列!E241="",RIGHT(配列!D241&amp;配列!E241,4)&amp;"L",RIGHT(配列!D241&amp;配列!E241,5))</f>
        <v>L</v>
      </c>
      <c r="E241" s="3">
        <f t="shared" si="12"/>
        <v>0</v>
      </c>
      <c r="F241" s="3" t="e">
        <f>_xlfn.XLOOKUP(E241,セットアップレポート_紐づけ用!A:A,セットアップレポート_紐づけ用!J:J)</f>
        <v>#N/A</v>
      </c>
      <c r="G241" s="3" t="e">
        <f>_xlfn.XLOOKUP(E241,セットアップレポート_紐づけ用!A:A,セットアップレポート_紐づけ用!V:V)</f>
        <v>#N/A</v>
      </c>
      <c r="H241" s="3">
        <f t="shared" si="15"/>
        <v>-2</v>
      </c>
      <c r="I241" t="str">
        <f>IF(J241=0,"",IF(配列!E241="",マクロ実行!$A$16 &amp;" T"&amp;H241&amp;"-"&amp;RIGHT(配列!D241&amp;配列!E241,2),マクロ実行!$A$16 &amp;" T"&amp;H241&amp;"-"&amp;RIGHT(配列!D241&amp;配列!E241,3)))</f>
        <v/>
      </c>
      <c r="J241">
        <f>配列!F241</f>
        <v>0</v>
      </c>
      <c r="K241" s="2" t="e">
        <f>_xlfn.XLOOKUP(E241,セットアップレポート_紐づけ用!A:A,セットアップレポート_紐づけ用!R:R)</f>
        <v>#N/A</v>
      </c>
      <c r="L241" t="e">
        <f t="shared" si="13"/>
        <v>#N/A</v>
      </c>
      <c r="M241" t="e">
        <f>_xlfn.XLOOKUP(L241,EGPro!A:A,EGPro!D:D)</f>
        <v>#N/A</v>
      </c>
      <c r="N241" t="e">
        <f>_xlfn.XLOOKUP(L241,EGPro!A:A,EGPro!C:C)</f>
        <v>#N/A</v>
      </c>
      <c r="O241" t="e">
        <f t="shared" si="14"/>
        <v>#N/A</v>
      </c>
      <c r="P241" t="e">
        <f>_xlfn.XLOOKUP(O241,EGPro!A:A,EGPro!D:D)</f>
        <v>#N/A</v>
      </c>
      <c r="Q241" t="e">
        <f>_xlfn.XLOOKUP(O241,EGPro!A:A,EGPro!C:C)</f>
        <v>#N/A</v>
      </c>
    </row>
    <row r="242" spans="1:17" x14ac:dyDescent="0.45">
      <c r="A242" s="3">
        <f>配列!B242</f>
        <v>0</v>
      </c>
      <c r="B242" s="3" t="e">
        <f>_xlfn.XLOOKUP(A242,対応表!A:A,対応表!B:B)</f>
        <v>#N/A</v>
      </c>
      <c r="C242" s="3">
        <f>配列!C242</f>
        <v>0</v>
      </c>
      <c r="D242" s="3" t="str">
        <f>IF(配列!E242="",RIGHT(配列!D242&amp;配列!E242,4)&amp;"L",RIGHT(配列!D242&amp;配列!E242,5))</f>
        <v>L</v>
      </c>
      <c r="E242" s="3">
        <f t="shared" si="12"/>
        <v>0</v>
      </c>
      <c r="F242" s="3" t="e">
        <f>_xlfn.XLOOKUP(E242,セットアップレポート_紐づけ用!A:A,セットアップレポート_紐づけ用!J:J)</f>
        <v>#N/A</v>
      </c>
      <c r="G242" s="3" t="e">
        <f>_xlfn.XLOOKUP(E242,セットアップレポート_紐づけ用!A:A,セットアップレポート_紐づけ用!V:V)</f>
        <v>#N/A</v>
      </c>
      <c r="H242" s="3">
        <f t="shared" si="15"/>
        <v>-2</v>
      </c>
      <c r="I242" t="str">
        <f>IF(J242=0,"",IF(配列!E242="",マクロ実行!$A$16 &amp;" T"&amp;H242&amp;"-"&amp;RIGHT(配列!D242&amp;配列!E242,2),マクロ実行!$A$16 &amp;" T"&amp;H242&amp;"-"&amp;RIGHT(配列!D242&amp;配列!E242,3)))</f>
        <v/>
      </c>
      <c r="J242">
        <f>配列!F242</f>
        <v>0</v>
      </c>
      <c r="K242" s="2" t="e">
        <f>_xlfn.XLOOKUP(E242,セットアップレポート_紐づけ用!A:A,セットアップレポート_紐づけ用!R:R)</f>
        <v>#N/A</v>
      </c>
      <c r="L242" t="e">
        <f t="shared" si="13"/>
        <v>#N/A</v>
      </c>
      <c r="M242" t="e">
        <f>_xlfn.XLOOKUP(L242,EGPro!A:A,EGPro!D:D)</f>
        <v>#N/A</v>
      </c>
      <c r="N242" t="e">
        <f>_xlfn.XLOOKUP(L242,EGPro!A:A,EGPro!C:C)</f>
        <v>#N/A</v>
      </c>
      <c r="O242" t="e">
        <f t="shared" si="14"/>
        <v>#N/A</v>
      </c>
      <c r="P242" t="e">
        <f>_xlfn.XLOOKUP(O242,EGPro!A:A,EGPro!D:D)</f>
        <v>#N/A</v>
      </c>
      <c r="Q242" t="e">
        <f>_xlfn.XLOOKUP(O242,EGPro!A:A,EGPro!C:C)</f>
        <v>#N/A</v>
      </c>
    </row>
    <row r="243" spans="1:17" x14ac:dyDescent="0.45">
      <c r="A243" s="3">
        <f>配列!B243</f>
        <v>0</v>
      </c>
      <c r="B243" s="3" t="e">
        <f>_xlfn.XLOOKUP(A243,対応表!A:A,対応表!B:B)</f>
        <v>#N/A</v>
      </c>
      <c r="C243" s="3">
        <f>配列!C243</f>
        <v>0</v>
      </c>
      <c r="D243" s="3" t="str">
        <f>IF(配列!E243="",RIGHT(配列!D243&amp;配列!E243,4)&amp;"L",RIGHT(配列!D243&amp;配列!E243,5))</f>
        <v>L</v>
      </c>
      <c r="E243" s="3">
        <f t="shared" si="12"/>
        <v>0</v>
      </c>
      <c r="F243" s="3" t="e">
        <f>_xlfn.XLOOKUP(E243,セットアップレポート_紐づけ用!A:A,セットアップレポート_紐づけ用!J:J)</f>
        <v>#N/A</v>
      </c>
      <c r="G243" s="3" t="e">
        <f>_xlfn.XLOOKUP(E243,セットアップレポート_紐づけ用!A:A,セットアップレポート_紐づけ用!V:V)</f>
        <v>#N/A</v>
      </c>
      <c r="H243" s="3">
        <f t="shared" si="15"/>
        <v>-2</v>
      </c>
      <c r="I243" t="str">
        <f>IF(J243=0,"",IF(配列!E243="",マクロ実行!$A$16 &amp;" T"&amp;H243&amp;"-"&amp;RIGHT(配列!D243&amp;配列!E243,2),マクロ実行!$A$16 &amp;" T"&amp;H243&amp;"-"&amp;RIGHT(配列!D243&amp;配列!E243,3)))</f>
        <v/>
      </c>
      <c r="J243">
        <f>配列!F243</f>
        <v>0</v>
      </c>
      <c r="K243" s="2" t="e">
        <f>_xlfn.XLOOKUP(E243,セットアップレポート_紐づけ用!A:A,セットアップレポート_紐づけ用!R:R)</f>
        <v>#N/A</v>
      </c>
      <c r="L243" t="e">
        <f t="shared" si="13"/>
        <v>#N/A</v>
      </c>
      <c r="M243" t="e">
        <f>_xlfn.XLOOKUP(L243,EGPro!A:A,EGPro!D:D)</f>
        <v>#N/A</v>
      </c>
      <c r="N243" t="e">
        <f>_xlfn.XLOOKUP(L243,EGPro!A:A,EGPro!C:C)</f>
        <v>#N/A</v>
      </c>
      <c r="O243" t="e">
        <f t="shared" si="14"/>
        <v>#N/A</v>
      </c>
      <c r="P243" t="e">
        <f>_xlfn.XLOOKUP(O243,EGPro!A:A,EGPro!D:D)</f>
        <v>#N/A</v>
      </c>
      <c r="Q243" t="e">
        <f>_xlfn.XLOOKUP(O243,EGPro!A:A,EGPro!C:C)</f>
        <v>#N/A</v>
      </c>
    </row>
    <row r="244" spans="1:17" x14ac:dyDescent="0.45">
      <c r="A244" s="3">
        <f>配列!B244</f>
        <v>0</v>
      </c>
      <c r="B244" s="3" t="e">
        <f>_xlfn.XLOOKUP(A244,対応表!A:A,対応表!B:B)</f>
        <v>#N/A</v>
      </c>
      <c r="C244" s="3">
        <f>配列!C244</f>
        <v>0</v>
      </c>
      <c r="D244" s="3" t="str">
        <f>IF(配列!E244="",RIGHT(配列!D244&amp;配列!E244,4)&amp;"L",RIGHT(配列!D244&amp;配列!E244,5))</f>
        <v>L</v>
      </c>
      <c r="E244" s="3">
        <f t="shared" si="12"/>
        <v>0</v>
      </c>
      <c r="F244" s="3" t="e">
        <f>_xlfn.XLOOKUP(E244,セットアップレポート_紐づけ用!A:A,セットアップレポート_紐づけ用!J:J)</f>
        <v>#N/A</v>
      </c>
      <c r="G244" s="3" t="e">
        <f>_xlfn.XLOOKUP(E244,セットアップレポート_紐づけ用!A:A,セットアップレポート_紐づけ用!V:V)</f>
        <v>#N/A</v>
      </c>
      <c r="H244" s="3">
        <f t="shared" si="15"/>
        <v>-2</v>
      </c>
      <c r="I244" t="str">
        <f>IF(J244=0,"",IF(配列!E244="",マクロ実行!$A$16 &amp;" T"&amp;H244&amp;"-"&amp;RIGHT(配列!D244&amp;配列!E244,2),マクロ実行!$A$16 &amp;" T"&amp;H244&amp;"-"&amp;RIGHT(配列!D244&amp;配列!E244,3)))</f>
        <v/>
      </c>
      <c r="J244">
        <f>配列!F244</f>
        <v>0</v>
      </c>
      <c r="K244" s="2" t="e">
        <f>_xlfn.XLOOKUP(E244,セットアップレポート_紐づけ用!A:A,セットアップレポート_紐づけ用!R:R)</f>
        <v>#N/A</v>
      </c>
      <c r="L244" t="e">
        <f t="shared" si="13"/>
        <v>#N/A</v>
      </c>
      <c r="M244" t="e">
        <f>_xlfn.XLOOKUP(L244,EGPro!A:A,EGPro!D:D)</f>
        <v>#N/A</v>
      </c>
      <c r="N244" t="e">
        <f>_xlfn.XLOOKUP(L244,EGPro!A:A,EGPro!C:C)</f>
        <v>#N/A</v>
      </c>
      <c r="O244" t="e">
        <f t="shared" si="14"/>
        <v>#N/A</v>
      </c>
      <c r="P244" t="e">
        <f>_xlfn.XLOOKUP(O244,EGPro!A:A,EGPro!D:D)</f>
        <v>#N/A</v>
      </c>
      <c r="Q244" t="e">
        <f>_xlfn.XLOOKUP(O244,EGPro!A:A,EGPro!C:C)</f>
        <v>#N/A</v>
      </c>
    </row>
    <row r="245" spans="1:17" x14ac:dyDescent="0.45">
      <c r="A245" s="3">
        <f>配列!B245</f>
        <v>0</v>
      </c>
      <c r="B245" s="3" t="e">
        <f>_xlfn.XLOOKUP(A245,対応表!A:A,対応表!B:B)</f>
        <v>#N/A</v>
      </c>
      <c r="C245" s="3">
        <f>配列!C245</f>
        <v>0</v>
      </c>
      <c r="D245" s="3" t="str">
        <f>IF(配列!E245="",RIGHT(配列!D245&amp;配列!E245,4)&amp;"L",RIGHT(配列!D245&amp;配列!E245,5))</f>
        <v>L</v>
      </c>
      <c r="E245" s="3">
        <f t="shared" si="12"/>
        <v>0</v>
      </c>
      <c r="F245" s="3" t="e">
        <f>_xlfn.XLOOKUP(E245,セットアップレポート_紐づけ用!A:A,セットアップレポート_紐づけ用!J:J)</f>
        <v>#N/A</v>
      </c>
      <c r="G245" s="3" t="e">
        <f>_xlfn.XLOOKUP(E245,セットアップレポート_紐づけ用!A:A,セットアップレポート_紐づけ用!V:V)</f>
        <v>#N/A</v>
      </c>
      <c r="H245" s="3">
        <f t="shared" si="15"/>
        <v>-2</v>
      </c>
      <c r="I245" t="str">
        <f>IF(J245=0,"",IF(配列!E245="",マクロ実行!$A$16 &amp;" T"&amp;H245&amp;"-"&amp;RIGHT(配列!D245&amp;配列!E245,2),マクロ実行!$A$16 &amp;" T"&amp;H245&amp;"-"&amp;RIGHT(配列!D245&amp;配列!E245,3)))</f>
        <v/>
      </c>
      <c r="J245">
        <f>配列!F245</f>
        <v>0</v>
      </c>
      <c r="K245" s="2" t="e">
        <f>_xlfn.XLOOKUP(E245,セットアップレポート_紐づけ用!A:A,セットアップレポート_紐づけ用!R:R)</f>
        <v>#N/A</v>
      </c>
      <c r="L245" t="e">
        <f t="shared" si="13"/>
        <v>#N/A</v>
      </c>
      <c r="M245" t="e">
        <f>_xlfn.XLOOKUP(L245,EGPro!A:A,EGPro!D:D)</f>
        <v>#N/A</v>
      </c>
      <c r="N245" t="e">
        <f>_xlfn.XLOOKUP(L245,EGPro!A:A,EGPro!C:C)</f>
        <v>#N/A</v>
      </c>
      <c r="O245" t="e">
        <f t="shared" si="14"/>
        <v>#N/A</v>
      </c>
      <c r="P245" t="e">
        <f>_xlfn.XLOOKUP(O245,EGPro!A:A,EGPro!D:D)</f>
        <v>#N/A</v>
      </c>
      <c r="Q245" t="e">
        <f>_xlfn.XLOOKUP(O245,EGPro!A:A,EGPro!C:C)</f>
        <v>#N/A</v>
      </c>
    </row>
    <row r="246" spans="1:17" x14ac:dyDescent="0.45">
      <c r="A246" s="3">
        <f>配列!B246</f>
        <v>0</v>
      </c>
      <c r="B246" s="3" t="e">
        <f>_xlfn.XLOOKUP(A246,対応表!A:A,対応表!B:B)</f>
        <v>#N/A</v>
      </c>
      <c r="C246" s="3">
        <f>配列!C246</f>
        <v>0</v>
      </c>
      <c r="D246" s="3" t="str">
        <f>IF(配列!E246="",RIGHT(配列!D246&amp;配列!E246,4)&amp;"L",RIGHT(配列!D246&amp;配列!E246,5))</f>
        <v>L</v>
      </c>
      <c r="E246" s="3">
        <f t="shared" si="12"/>
        <v>0</v>
      </c>
      <c r="F246" s="3" t="e">
        <f>_xlfn.XLOOKUP(E246,セットアップレポート_紐づけ用!A:A,セットアップレポート_紐づけ用!J:J)</f>
        <v>#N/A</v>
      </c>
      <c r="G246" s="3" t="e">
        <f>_xlfn.XLOOKUP(E246,セットアップレポート_紐づけ用!A:A,セットアップレポート_紐づけ用!V:V)</f>
        <v>#N/A</v>
      </c>
      <c r="H246" s="3">
        <f t="shared" si="15"/>
        <v>-2</v>
      </c>
      <c r="I246" t="str">
        <f>IF(J246=0,"",IF(配列!E246="",マクロ実行!$A$16 &amp;" T"&amp;H246&amp;"-"&amp;RIGHT(配列!D246&amp;配列!E246,2),マクロ実行!$A$16 &amp;" T"&amp;H246&amp;"-"&amp;RIGHT(配列!D246&amp;配列!E246,3)))</f>
        <v/>
      </c>
      <c r="J246">
        <f>配列!F246</f>
        <v>0</v>
      </c>
      <c r="K246" s="2" t="e">
        <f>_xlfn.XLOOKUP(E246,セットアップレポート_紐づけ用!A:A,セットアップレポート_紐づけ用!R:R)</f>
        <v>#N/A</v>
      </c>
      <c r="L246" t="e">
        <f t="shared" si="13"/>
        <v>#N/A</v>
      </c>
      <c r="M246" t="e">
        <f>_xlfn.XLOOKUP(L246,EGPro!A:A,EGPro!D:D)</f>
        <v>#N/A</v>
      </c>
      <c r="N246" t="e">
        <f>_xlfn.XLOOKUP(L246,EGPro!A:A,EGPro!C:C)</f>
        <v>#N/A</v>
      </c>
      <c r="O246" t="e">
        <f t="shared" si="14"/>
        <v>#N/A</v>
      </c>
      <c r="P246" t="e">
        <f>_xlfn.XLOOKUP(O246,EGPro!A:A,EGPro!D:D)</f>
        <v>#N/A</v>
      </c>
      <c r="Q246" t="e">
        <f>_xlfn.XLOOKUP(O246,EGPro!A:A,EGPro!C:C)</f>
        <v>#N/A</v>
      </c>
    </row>
    <row r="247" spans="1:17" x14ac:dyDescent="0.45">
      <c r="A247" s="3">
        <f>配列!B247</f>
        <v>0</v>
      </c>
      <c r="B247" s="3" t="e">
        <f>_xlfn.XLOOKUP(A247,対応表!A:A,対応表!B:B)</f>
        <v>#N/A</v>
      </c>
      <c r="C247" s="3">
        <f>配列!C247</f>
        <v>0</v>
      </c>
      <c r="D247" s="3" t="str">
        <f>IF(配列!E247="",RIGHT(配列!D247&amp;配列!E247,4)&amp;"L",RIGHT(配列!D247&amp;配列!E247,5))</f>
        <v>L</v>
      </c>
      <c r="E247" s="3">
        <f t="shared" si="12"/>
        <v>0</v>
      </c>
      <c r="F247" s="3" t="e">
        <f>_xlfn.XLOOKUP(E247,セットアップレポート_紐づけ用!A:A,セットアップレポート_紐づけ用!J:J)</f>
        <v>#N/A</v>
      </c>
      <c r="G247" s="3" t="e">
        <f>_xlfn.XLOOKUP(E247,セットアップレポート_紐づけ用!A:A,セットアップレポート_紐づけ用!V:V)</f>
        <v>#N/A</v>
      </c>
      <c r="H247" s="3">
        <f t="shared" si="15"/>
        <v>-2</v>
      </c>
      <c r="I247" t="str">
        <f>IF(J247=0,"",IF(配列!E247="",マクロ実行!$A$16 &amp;" T"&amp;H247&amp;"-"&amp;RIGHT(配列!D247&amp;配列!E247,2),マクロ実行!$A$16 &amp;" T"&amp;H247&amp;"-"&amp;RIGHT(配列!D247&amp;配列!E247,3)))</f>
        <v/>
      </c>
      <c r="J247">
        <f>配列!F247</f>
        <v>0</v>
      </c>
      <c r="K247" s="2" t="e">
        <f>_xlfn.XLOOKUP(E247,セットアップレポート_紐づけ用!A:A,セットアップレポート_紐づけ用!R:R)</f>
        <v>#N/A</v>
      </c>
      <c r="L247" t="e">
        <f t="shared" si="13"/>
        <v>#N/A</v>
      </c>
      <c r="M247" t="e">
        <f>_xlfn.XLOOKUP(L247,EGPro!A:A,EGPro!D:D)</f>
        <v>#N/A</v>
      </c>
      <c r="N247" t="e">
        <f>_xlfn.XLOOKUP(L247,EGPro!A:A,EGPro!C:C)</f>
        <v>#N/A</v>
      </c>
      <c r="O247" t="e">
        <f t="shared" si="14"/>
        <v>#N/A</v>
      </c>
      <c r="P247" t="e">
        <f>_xlfn.XLOOKUP(O247,EGPro!A:A,EGPro!D:D)</f>
        <v>#N/A</v>
      </c>
      <c r="Q247" t="e">
        <f>_xlfn.XLOOKUP(O247,EGPro!A:A,EGPro!C:C)</f>
        <v>#N/A</v>
      </c>
    </row>
    <row r="248" spans="1:17" x14ac:dyDescent="0.45">
      <c r="A248" s="3">
        <f>配列!B248</f>
        <v>0</v>
      </c>
      <c r="B248" s="3" t="e">
        <f>_xlfn.XLOOKUP(A248,対応表!A:A,対応表!B:B)</f>
        <v>#N/A</v>
      </c>
      <c r="C248" s="3">
        <f>配列!C248</f>
        <v>0</v>
      </c>
      <c r="D248" s="3" t="str">
        <f>IF(配列!E248="",RIGHT(配列!D248&amp;配列!E248,4)&amp;"L",RIGHT(配列!D248&amp;配列!E248,5))</f>
        <v>L</v>
      </c>
      <c r="E248" s="3">
        <f t="shared" si="12"/>
        <v>0</v>
      </c>
      <c r="F248" s="3" t="e">
        <f>_xlfn.XLOOKUP(E248,セットアップレポート_紐づけ用!A:A,セットアップレポート_紐づけ用!J:J)</f>
        <v>#N/A</v>
      </c>
      <c r="G248" s="3" t="e">
        <f>_xlfn.XLOOKUP(E248,セットアップレポート_紐づけ用!A:A,セットアップレポート_紐づけ用!V:V)</f>
        <v>#N/A</v>
      </c>
      <c r="H248" s="3">
        <f t="shared" si="15"/>
        <v>-2</v>
      </c>
      <c r="I248" t="str">
        <f>IF(J248=0,"",IF(配列!E248="",マクロ実行!$A$16 &amp;" T"&amp;H248&amp;"-"&amp;RIGHT(配列!D248&amp;配列!E248,2),マクロ実行!$A$16 &amp;" T"&amp;H248&amp;"-"&amp;RIGHT(配列!D248&amp;配列!E248,3)))</f>
        <v/>
      </c>
      <c r="J248">
        <f>配列!F248</f>
        <v>0</v>
      </c>
      <c r="K248" s="2" t="e">
        <f>_xlfn.XLOOKUP(E248,セットアップレポート_紐づけ用!A:A,セットアップレポート_紐づけ用!R:R)</f>
        <v>#N/A</v>
      </c>
      <c r="L248" t="e">
        <f t="shared" si="13"/>
        <v>#N/A</v>
      </c>
      <c r="M248" t="e">
        <f>_xlfn.XLOOKUP(L248,EGPro!A:A,EGPro!D:D)</f>
        <v>#N/A</v>
      </c>
      <c r="N248" t="e">
        <f>_xlfn.XLOOKUP(L248,EGPro!A:A,EGPro!C:C)</f>
        <v>#N/A</v>
      </c>
      <c r="O248" t="e">
        <f t="shared" si="14"/>
        <v>#N/A</v>
      </c>
      <c r="P248" t="e">
        <f>_xlfn.XLOOKUP(O248,EGPro!A:A,EGPro!D:D)</f>
        <v>#N/A</v>
      </c>
      <c r="Q248" t="e">
        <f>_xlfn.XLOOKUP(O248,EGPro!A:A,EGPro!C:C)</f>
        <v>#N/A</v>
      </c>
    </row>
    <row r="249" spans="1:17" x14ac:dyDescent="0.45">
      <c r="A249" s="3">
        <f>配列!B249</f>
        <v>0</v>
      </c>
      <c r="B249" s="3" t="e">
        <f>_xlfn.XLOOKUP(A249,対応表!A:A,対応表!B:B)</f>
        <v>#N/A</v>
      </c>
      <c r="C249" s="3">
        <f>配列!C249</f>
        <v>0</v>
      </c>
      <c r="D249" s="3" t="str">
        <f>IF(配列!E249="",RIGHT(配列!D249&amp;配列!E249,4)&amp;"L",RIGHT(配列!D249&amp;配列!E249,5))</f>
        <v>L</v>
      </c>
      <c r="E249" s="3">
        <f t="shared" si="12"/>
        <v>0</v>
      </c>
      <c r="F249" s="3" t="e">
        <f>_xlfn.XLOOKUP(E249,セットアップレポート_紐づけ用!A:A,セットアップレポート_紐づけ用!J:J)</f>
        <v>#N/A</v>
      </c>
      <c r="G249" s="3" t="e">
        <f>_xlfn.XLOOKUP(E249,セットアップレポート_紐づけ用!A:A,セットアップレポート_紐づけ用!V:V)</f>
        <v>#N/A</v>
      </c>
      <c r="H249" s="3">
        <f t="shared" si="15"/>
        <v>-2</v>
      </c>
      <c r="I249" t="str">
        <f>IF(J249=0,"",IF(配列!E249="",マクロ実行!$A$16 &amp;" T"&amp;H249&amp;"-"&amp;RIGHT(配列!D249&amp;配列!E249,2),マクロ実行!$A$16 &amp;" T"&amp;H249&amp;"-"&amp;RIGHT(配列!D249&amp;配列!E249,3)))</f>
        <v/>
      </c>
      <c r="J249">
        <f>配列!F249</f>
        <v>0</v>
      </c>
      <c r="K249" s="2" t="e">
        <f>_xlfn.XLOOKUP(E249,セットアップレポート_紐づけ用!A:A,セットアップレポート_紐づけ用!R:R)</f>
        <v>#N/A</v>
      </c>
      <c r="L249" t="e">
        <f t="shared" si="13"/>
        <v>#N/A</v>
      </c>
      <c r="M249" t="e">
        <f>_xlfn.XLOOKUP(L249,EGPro!A:A,EGPro!D:D)</f>
        <v>#N/A</v>
      </c>
      <c r="N249" t="e">
        <f>_xlfn.XLOOKUP(L249,EGPro!A:A,EGPro!C:C)</f>
        <v>#N/A</v>
      </c>
      <c r="O249" t="e">
        <f t="shared" si="14"/>
        <v>#N/A</v>
      </c>
      <c r="P249" t="e">
        <f>_xlfn.XLOOKUP(O249,EGPro!A:A,EGPro!D:D)</f>
        <v>#N/A</v>
      </c>
      <c r="Q249" t="e">
        <f>_xlfn.XLOOKUP(O249,EGPro!A:A,EGPro!C:C)</f>
        <v>#N/A</v>
      </c>
    </row>
    <row r="250" spans="1:17" x14ac:dyDescent="0.45">
      <c r="A250" s="3">
        <f>配列!B250</f>
        <v>0</v>
      </c>
      <c r="B250" s="3" t="e">
        <f>_xlfn.XLOOKUP(A250,対応表!A:A,対応表!B:B)</f>
        <v>#N/A</v>
      </c>
      <c r="C250" s="3">
        <f>配列!C250</f>
        <v>0</v>
      </c>
      <c r="D250" s="3" t="str">
        <f>IF(配列!E250="",RIGHT(配列!D250&amp;配列!E250,4)&amp;"L",RIGHT(配列!D250&amp;配列!E250,5))</f>
        <v>L</v>
      </c>
      <c r="E250" s="3">
        <f t="shared" si="12"/>
        <v>0</v>
      </c>
      <c r="F250" s="3" t="e">
        <f>_xlfn.XLOOKUP(E250,セットアップレポート_紐づけ用!A:A,セットアップレポート_紐づけ用!J:J)</f>
        <v>#N/A</v>
      </c>
      <c r="G250" s="3" t="e">
        <f>_xlfn.XLOOKUP(E250,セットアップレポート_紐づけ用!A:A,セットアップレポート_紐づけ用!V:V)</f>
        <v>#N/A</v>
      </c>
      <c r="H250" s="3">
        <f t="shared" si="15"/>
        <v>-2</v>
      </c>
      <c r="I250" t="str">
        <f>IF(J250=0,"",IF(配列!E250="",マクロ実行!$A$16 &amp;" T"&amp;H250&amp;"-"&amp;RIGHT(配列!D250&amp;配列!E250,2),マクロ実行!$A$16 &amp;" T"&amp;H250&amp;"-"&amp;RIGHT(配列!D250&amp;配列!E250,3)))</f>
        <v/>
      </c>
      <c r="J250">
        <f>配列!F250</f>
        <v>0</v>
      </c>
      <c r="K250" s="2" t="e">
        <f>_xlfn.XLOOKUP(E250,セットアップレポート_紐づけ用!A:A,セットアップレポート_紐づけ用!R:R)</f>
        <v>#N/A</v>
      </c>
      <c r="L250" t="e">
        <f t="shared" si="13"/>
        <v>#N/A</v>
      </c>
      <c r="M250" t="e">
        <f>_xlfn.XLOOKUP(L250,EGPro!A:A,EGPro!D:D)</f>
        <v>#N/A</v>
      </c>
      <c r="N250" t="e">
        <f>_xlfn.XLOOKUP(L250,EGPro!A:A,EGPro!C:C)</f>
        <v>#N/A</v>
      </c>
      <c r="O250" t="e">
        <f t="shared" si="14"/>
        <v>#N/A</v>
      </c>
      <c r="P250" t="e">
        <f>_xlfn.XLOOKUP(O250,EGPro!A:A,EGPro!D:D)</f>
        <v>#N/A</v>
      </c>
      <c r="Q250" t="e">
        <f>_xlfn.XLOOKUP(O250,EGPro!A:A,EGPro!C:C)</f>
        <v>#N/A</v>
      </c>
    </row>
    <row r="251" spans="1:17" x14ac:dyDescent="0.45">
      <c r="A251" s="3">
        <f>配列!B251</f>
        <v>0</v>
      </c>
      <c r="B251" s="3" t="e">
        <f>_xlfn.XLOOKUP(A251,対応表!A:A,対応表!B:B)</f>
        <v>#N/A</v>
      </c>
      <c r="C251" s="3">
        <f>配列!C251</f>
        <v>0</v>
      </c>
      <c r="D251" s="3" t="str">
        <f>IF(配列!E251="",RIGHT(配列!D251&amp;配列!E251,4)&amp;"L",RIGHT(配列!D251&amp;配列!E251,5))</f>
        <v>L</v>
      </c>
      <c r="E251" s="3">
        <f t="shared" si="12"/>
        <v>0</v>
      </c>
      <c r="F251" s="3" t="e">
        <f>_xlfn.XLOOKUP(E251,セットアップレポート_紐づけ用!A:A,セットアップレポート_紐づけ用!J:J)</f>
        <v>#N/A</v>
      </c>
      <c r="G251" s="3" t="e">
        <f>_xlfn.XLOOKUP(E251,セットアップレポート_紐づけ用!A:A,セットアップレポート_紐づけ用!V:V)</f>
        <v>#N/A</v>
      </c>
      <c r="H251" s="3">
        <f t="shared" si="15"/>
        <v>-2</v>
      </c>
      <c r="I251" t="str">
        <f>IF(J251=0,"",IF(配列!E251="",マクロ実行!$A$16 &amp;" T"&amp;H251&amp;"-"&amp;RIGHT(配列!D251&amp;配列!E251,2),マクロ実行!$A$16 &amp;" T"&amp;H251&amp;"-"&amp;RIGHT(配列!D251&amp;配列!E251,3)))</f>
        <v/>
      </c>
      <c r="J251">
        <f>配列!F251</f>
        <v>0</v>
      </c>
      <c r="K251" s="2" t="e">
        <f>_xlfn.XLOOKUP(E251,セットアップレポート_紐づけ用!A:A,セットアップレポート_紐づけ用!R:R)</f>
        <v>#N/A</v>
      </c>
      <c r="L251" t="e">
        <f t="shared" si="13"/>
        <v>#N/A</v>
      </c>
      <c r="M251" t="e">
        <f>_xlfn.XLOOKUP(L251,EGPro!A:A,EGPro!D:D)</f>
        <v>#N/A</v>
      </c>
      <c r="N251" t="e">
        <f>_xlfn.XLOOKUP(L251,EGPro!A:A,EGPro!C:C)</f>
        <v>#N/A</v>
      </c>
      <c r="O251" t="e">
        <f t="shared" si="14"/>
        <v>#N/A</v>
      </c>
      <c r="P251" t="e">
        <f>_xlfn.XLOOKUP(O251,EGPro!A:A,EGPro!D:D)</f>
        <v>#N/A</v>
      </c>
      <c r="Q251" t="e">
        <f>_xlfn.XLOOKUP(O251,EGPro!A:A,EGPro!C:C)</f>
        <v>#N/A</v>
      </c>
    </row>
    <row r="252" spans="1:17" x14ac:dyDescent="0.45">
      <c r="A252" s="3">
        <f>配列!B252</f>
        <v>0</v>
      </c>
      <c r="B252" s="3" t="e">
        <f>_xlfn.XLOOKUP(A252,対応表!A:A,対応表!B:B)</f>
        <v>#N/A</v>
      </c>
      <c r="C252" s="3">
        <f>配列!C252</f>
        <v>0</v>
      </c>
      <c r="D252" s="3" t="str">
        <f>IF(配列!E252="",RIGHT(配列!D252&amp;配列!E252,4)&amp;"L",RIGHT(配列!D252&amp;配列!E252,5))</f>
        <v>L</v>
      </c>
      <c r="E252" s="3">
        <f t="shared" si="12"/>
        <v>0</v>
      </c>
      <c r="F252" s="3" t="e">
        <f>_xlfn.XLOOKUP(E252,セットアップレポート_紐づけ用!A:A,セットアップレポート_紐づけ用!J:J)</f>
        <v>#N/A</v>
      </c>
      <c r="G252" s="3" t="e">
        <f>_xlfn.XLOOKUP(E252,セットアップレポート_紐づけ用!A:A,セットアップレポート_紐づけ用!V:V)</f>
        <v>#N/A</v>
      </c>
      <c r="H252" s="3">
        <f t="shared" si="15"/>
        <v>-2</v>
      </c>
      <c r="I252" t="str">
        <f>IF(J252=0,"",IF(配列!E252="",マクロ実行!$A$16 &amp;" T"&amp;H252&amp;"-"&amp;RIGHT(配列!D252&amp;配列!E252,2),マクロ実行!$A$16 &amp;" T"&amp;H252&amp;"-"&amp;RIGHT(配列!D252&amp;配列!E252,3)))</f>
        <v/>
      </c>
      <c r="J252">
        <f>配列!F252</f>
        <v>0</v>
      </c>
      <c r="K252" s="2" t="e">
        <f>_xlfn.XLOOKUP(E252,セットアップレポート_紐づけ用!A:A,セットアップレポート_紐づけ用!R:R)</f>
        <v>#N/A</v>
      </c>
      <c r="L252" t="e">
        <f t="shared" si="13"/>
        <v>#N/A</v>
      </c>
      <c r="M252" t="e">
        <f>_xlfn.XLOOKUP(L252,EGPro!A:A,EGPro!D:D)</f>
        <v>#N/A</v>
      </c>
      <c r="N252" t="e">
        <f>_xlfn.XLOOKUP(L252,EGPro!A:A,EGPro!C:C)</f>
        <v>#N/A</v>
      </c>
      <c r="O252" t="e">
        <f t="shared" si="14"/>
        <v>#N/A</v>
      </c>
      <c r="P252" t="e">
        <f>_xlfn.XLOOKUP(O252,EGPro!A:A,EGPro!D:D)</f>
        <v>#N/A</v>
      </c>
      <c r="Q252" t="e">
        <f>_xlfn.XLOOKUP(O252,EGPro!A:A,EGPro!C:C)</f>
        <v>#N/A</v>
      </c>
    </row>
    <row r="253" spans="1:17" x14ac:dyDescent="0.45">
      <c r="A253" s="3">
        <f>配列!B253</f>
        <v>0</v>
      </c>
      <c r="B253" s="3" t="e">
        <f>_xlfn.XLOOKUP(A253,対応表!A:A,対応表!B:B)</f>
        <v>#N/A</v>
      </c>
      <c r="C253" s="3">
        <f>配列!C253</f>
        <v>0</v>
      </c>
      <c r="D253" s="3" t="str">
        <f>IF(配列!E253="",RIGHT(配列!D253&amp;配列!E253,4)&amp;"L",RIGHT(配列!D253&amp;配列!E253,5))</f>
        <v>L</v>
      </c>
      <c r="E253" s="3">
        <f t="shared" si="12"/>
        <v>0</v>
      </c>
      <c r="F253" s="3" t="e">
        <f>_xlfn.XLOOKUP(E253,セットアップレポート_紐づけ用!A:A,セットアップレポート_紐づけ用!J:J)</f>
        <v>#N/A</v>
      </c>
      <c r="G253" s="3" t="e">
        <f>_xlfn.XLOOKUP(E253,セットアップレポート_紐づけ用!A:A,セットアップレポート_紐づけ用!V:V)</f>
        <v>#N/A</v>
      </c>
      <c r="H253" s="3">
        <f t="shared" si="15"/>
        <v>-2</v>
      </c>
      <c r="I253" t="str">
        <f>IF(J253=0,"",IF(配列!E253="",マクロ実行!$A$16 &amp;" T"&amp;H253&amp;"-"&amp;RIGHT(配列!D253&amp;配列!E253,2),マクロ実行!$A$16 &amp;" T"&amp;H253&amp;"-"&amp;RIGHT(配列!D253&amp;配列!E253,3)))</f>
        <v/>
      </c>
      <c r="J253">
        <f>配列!F253</f>
        <v>0</v>
      </c>
      <c r="K253" s="2" t="e">
        <f>_xlfn.XLOOKUP(E253,セットアップレポート_紐づけ用!A:A,セットアップレポート_紐づけ用!R:R)</f>
        <v>#N/A</v>
      </c>
      <c r="L253" t="e">
        <f t="shared" si="13"/>
        <v>#N/A</v>
      </c>
      <c r="M253" t="e">
        <f>_xlfn.XLOOKUP(L253,EGPro!A:A,EGPro!D:D)</f>
        <v>#N/A</v>
      </c>
      <c r="N253" t="e">
        <f>_xlfn.XLOOKUP(L253,EGPro!A:A,EGPro!C:C)</f>
        <v>#N/A</v>
      </c>
      <c r="O253" t="e">
        <f t="shared" si="14"/>
        <v>#N/A</v>
      </c>
      <c r="P253" t="e">
        <f>_xlfn.XLOOKUP(O253,EGPro!A:A,EGPro!D:D)</f>
        <v>#N/A</v>
      </c>
      <c r="Q253" t="e">
        <f>_xlfn.XLOOKUP(O253,EGPro!A:A,EGPro!C:C)</f>
        <v>#N/A</v>
      </c>
    </row>
    <row r="254" spans="1:17" x14ac:dyDescent="0.45">
      <c r="A254" s="3">
        <f>配列!B254</f>
        <v>0</v>
      </c>
      <c r="B254" s="3" t="e">
        <f>_xlfn.XLOOKUP(A254,対応表!A:A,対応表!B:B)</f>
        <v>#N/A</v>
      </c>
      <c r="C254" s="3">
        <f>配列!C254</f>
        <v>0</v>
      </c>
      <c r="D254" s="3" t="str">
        <f>IF(配列!E254="",RIGHT(配列!D254&amp;配列!E254,4)&amp;"L",RIGHT(配列!D254&amp;配列!E254,5))</f>
        <v>L</v>
      </c>
      <c r="E254" s="3">
        <f t="shared" si="12"/>
        <v>0</v>
      </c>
      <c r="F254" s="3" t="e">
        <f>_xlfn.XLOOKUP(E254,セットアップレポート_紐づけ用!A:A,セットアップレポート_紐づけ用!J:J)</f>
        <v>#N/A</v>
      </c>
      <c r="G254" s="3" t="e">
        <f>_xlfn.XLOOKUP(E254,セットアップレポート_紐づけ用!A:A,セットアップレポート_紐づけ用!V:V)</f>
        <v>#N/A</v>
      </c>
      <c r="H254" s="3">
        <f t="shared" si="15"/>
        <v>-2</v>
      </c>
      <c r="I254" t="str">
        <f>IF(J254=0,"",IF(配列!E254="",マクロ実行!$A$16 &amp;" T"&amp;H254&amp;"-"&amp;RIGHT(配列!D254&amp;配列!E254,2),マクロ実行!$A$16 &amp;" T"&amp;H254&amp;"-"&amp;RIGHT(配列!D254&amp;配列!E254,3)))</f>
        <v/>
      </c>
      <c r="J254">
        <f>配列!F254</f>
        <v>0</v>
      </c>
      <c r="K254" s="2" t="e">
        <f>_xlfn.XLOOKUP(E254,セットアップレポート_紐づけ用!A:A,セットアップレポート_紐づけ用!R:R)</f>
        <v>#N/A</v>
      </c>
      <c r="L254" t="e">
        <f t="shared" si="13"/>
        <v>#N/A</v>
      </c>
      <c r="M254" t="e">
        <f>_xlfn.XLOOKUP(L254,EGPro!A:A,EGPro!D:D)</f>
        <v>#N/A</v>
      </c>
      <c r="N254" t="e">
        <f>_xlfn.XLOOKUP(L254,EGPro!A:A,EGPro!C:C)</f>
        <v>#N/A</v>
      </c>
      <c r="O254" t="e">
        <f t="shared" si="14"/>
        <v>#N/A</v>
      </c>
      <c r="P254" t="e">
        <f>_xlfn.XLOOKUP(O254,EGPro!A:A,EGPro!D:D)</f>
        <v>#N/A</v>
      </c>
      <c r="Q254" t="e">
        <f>_xlfn.XLOOKUP(O254,EGPro!A:A,EGPro!C:C)</f>
        <v>#N/A</v>
      </c>
    </row>
    <row r="255" spans="1:17" x14ac:dyDescent="0.45">
      <c r="A255" s="3">
        <f>配列!B255</f>
        <v>0</v>
      </c>
      <c r="B255" s="3" t="e">
        <f>_xlfn.XLOOKUP(A255,対応表!A:A,対応表!B:B)</f>
        <v>#N/A</v>
      </c>
      <c r="C255" s="3">
        <f>配列!C255</f>
        <v>0</v>
      </c>
      <c r="D255" s="3" t="str">
        <f>IF(配列!E255="",RIGHT(配列!D255&amp;配列!E255,4)&amp;"L",RIGHT(配列!D255&amp;配列!E255,5))</f>
        <v>L</v>
      </c>
      <c r="E255" s="3">
        <f t="shared" si="12"/>
        <v>0</v>
      </c>
      <c r="F255" s="3" t="e">
        <f>_xlfn.XLOOKUP(E255,セットアップレポート_紐づけ用!A:A,セットアップレポート_紐づけ用!J:J)</f>
        <v>#N/A</v>
      </c>
      <c r="G255" s="3" t="e">
        <f>_xlfn.XLOOKUP(E255,セットアップレポート_紐づけ用!A:A,セットアップレポート_紐づけ用!V:V)</f>
        <v>#N/A</v>
      </c>
      <c r="H255" s="3">
        <f t="shared" si="15"/>
        <v>-2</v>
      </c>
      <c r="I255" t="str">
        <f>IF(J255=0,"",IF(配列!E255="",マクロ実行!$A$16 &amp;" T"&amp;H255&amp;"-"&amp;RIGHT(配列!D255&amp;配列!E255,2),マクロ実行!$A$16 &amp;" T"&amp;H255&amp;"-"&amp;RIGHT(配列!D255&amp;配列!E255,3)))</f>
        <v/>
      </c>
      <c r="J255">
        <f>配列!F255</f>
        <v>0</v>
      </c>
      <c r="K255" s="2" t="e">
        <f>_xlfn.XLOOKUP(E255,セットアップレポート_紐づけ用!A:A,セットアップレポート_紐づけ用!R:R)</f>
        <v>#N/A</v>
      </c>
      <c r="L255" t="e">
        <f t="shared" si="13"/>
        <v>#N/A</v>
      </c>
      <c r="M255" t="e">
        <f>_xlfn.XLOOKUP(L255,EGPro!A:A,EGPro!D:D)</f>
        <v>#N/A</v>
      </c>
      <c r="N255" t="e">
        <f>_xlfn.XLOOKUP(L255,EGPro!A:A,EGPro!C:C)</f>
        <v>#N/A</v>
      </c>
      <c r="O255" t="e">
        <f t="shared" si="14"/>
        <v>#N/A</v>
      </c>
      <c r="P255" t="e">
        <f>_xlfn.XLOOKUP(O255,EGPro!A:A,EGPro!D:D)</f>
        <v>#N/A</v>
      </c>
      <c r="Q255" t="e">
        <f>_xlfn.XLOOKUP(O255,EGPro!A:A,EGPro!C:C)</f>
        <v>#N/A</v>
      </c>
    </row>
    <row r="256" spans="1:17" x14ac:dyDescent="0.45">
      <c r="A256" s="3">
        <f>配列!B256</f>
        <v>0</v>
      </c>
      <c r="B256" s="3" t="e">
        <f>_xlfn.XLOOKUP(A256,対応表!A:A,対応表!B:B)</f>
        <v>#N/A</v>
      </c>
      <c r="C256" s="3">
        <f>配列!C256</f>
        <v>0</v>
      </c>
      <c r="D256" s="3" t="str">
        <f>IF(配列!E256="",RIGHT(配列!D256&amp;配列!E256,4)&amp;"L",RIGHT(配列!D256&amp;配列!E256,5))</f>
        <v>L</v>
      </c>
      <c r="E256" s="3">
        <f t="shared" si="12"/>
        <v>0</v>
      </c>
      <c r="F256" s="3" t="e">
        <f>_xlfn.XLOOKUP(E256,セットアップレポート_紐づけ用!A:A,セットアップレポート_紐づけ用!J:J)</f>
        <v>#N/A</v>
      </c>
      <c r="G256" s="3" t="e">
        <f>_xlfn.XLOOKUP(E256,セットアップレポート_紐づけ用!A:A,セットアップレポート_紐づけ用!V:V)</f>
        <v>#N/A</v>
      </c>
      <c r="H256" s="3">
        <f t="shared" si="15"/>
        <v>-2</v>
      </c>
      <c r="I256" t="str">
        <f>IF(J256=0,"",IF(配列!E256="",マクロ実行!$A$16 &amp;" T"&amp;H256&amp;"-"&amp;RIGHT(配列!D256&amp;配列!E256,2),マクロ実行!$A$16 &amp;" T"&amp;H256&amp;"-"&amp;RIGHT(配列!D256&amp;配列!E256,3)))</f>
        <v/>
      </c>
      <c r="J256">
        <f>配列!F256</f>
        <v>0</v>
      </c>
      <c r="K256" s="2" t="e">
        <f>_xlfn.XLOOKUP(E256,セットアップレポート_紐づけ用!A:A,セットアップレポート_紐づけ用!R:R)</f>
        <v>#N/A</v>
      </c>
      <c r="L256" t="e">
        <f t="shared" si="13"/>
        <v>#N/A</v>
      </c>
      <c r="M256" t="e">
        <f>_xlfn.XLOOKUP(L256,EGPro!A:A,EGPro!D:D)</f>
        <v>#N/A</v>
      </c>
      <c r="N256" t="e">
        <f>_xlfn.XLOOKUP(L256,EGPro!A:A,EGPro!C:C)</f>
        <v>#N/A</v>
      </c>
      <c r="O256" t="e">
        <f t="shared" si="14"/>
        <v>#N/A</v>
      </c>
      <c r="P256" t="e">
        <f>_xlfn.XLOOKUP(O256,EGPro!A:A,EGPro!D:D)</f>
        <v>#N/A</v>
      </c>
      <c r="Q256" t="e">
        <f>_xlfn.XLOOKUP(O256,EGPro!A:A,EGPro!C:C)</f>
        <v>#N/A</v>
      </c>
    </row>
    <row r="257" spans="1:17" x14ac:dyDescent="0.45">
      <c r="A257" s="3">
        <f>配列!B257</f>
        <v>0</v>
      </c>
      <c r="B257" s="3" t="e">
        <f>_xlfn.XLOOKUP(A257,対応表!A:A,対応表!B:B)</f>
        <v>#N/A</v>
      </c>
      <c r="C257" s="3">
        <f>配列!C257</f>
        <v>0</v>
      </c>
      <c r="D257" s="3" t="str">
        <f>IF(配列!E257="",RIGHT(配列!D257&amp;配列!E257,4)&amp;"L",RIGHT(配列!D257&amp;配列!E257,5))</f>
        <v>L</v>
      </c>
      <c r="E257" s="3">
        <f t="shared" si="12"/>
        <v>0</v>
      </c>
      <c r="F257" s="3" t="e">
        <f>_xlfn.XLOOKUP(E257,セットアップレポート_紐づけ用!A:A,セットアップレポート_紐づけ用!J:J)</f>
        <v>#N/A</v>
      </c>
      <c r="G257" s="3" t="e">
        <f>_xlfn.XLOOKUP(E257,セットアップレポート_紐づけ用!A:A,セットアップレポート_紐づけ用!V:V)</f>
        <v>#N/A</v>
      </c>
      <c r="H257" s="3">
        <f t="shared" si="15"/>
        <v>-2</v>
      </c>
      <c r="I257" t="str">
        <f>IF(J257=0,"",IF(配列!E257="",マクロ実行!$A$16 &amp;" T"&amp;H257&amp;"-"&amp;RIGHT(配列!D257&amp;配列!E257,2),マクロ実行!$A$16 &amp;" T"&amp;H257&amp;"-"&amp;RIGHT(配列!D257&amp;配列!E257,3)))</f>
        <v/>
      </c>
      <c r="J257">
        <f>配列!F257</f>
        <v>0</v>
      </c>
      <c r="K257" s="2" t="e">
        <f>_xlfn.XLOOKUP(E257,セットアップレポート_紐づけ用!A:A,セットアップレポート_紐づけ用!R:R)</f>
        <v>#N/A</v>
      </c>
      <c r="L257" t="e">
        <f t="shared" si="13"/>
        <v>#N/A</v>
      </c>
      <c r="M257" t="e">
        <f>_xlfn.XLOOKUP(L257,EGPro!A:A,EGPro!D:D)</f>
        <v>#N/A</v>
      </c>
      <c r="N257" t="e">
        <f>_xlfn.XLOOKUP(L257,EGPro!A:A,EGPro!C:C)</f>
        <v>#N/A</v>
      </c>
      <c r="O257" t="e">
        <f t="shared" si="14"/>
        <v>#N/A</v>
      </c>
      <c r="P257" t="e">
        <f>_xlfn.XLOOKUP(O257,EGPro!A:A,EGPro!D:D)</f>
        <v>#N/A</v>
      </c>
      <c r="Q257" t="e">
        <f>_xlfn.XLOOKUP(O257,EGPro!A:A,EGPro!C:C)</f>
        <v>#N/A</v>
      </c>
    </row>
    <row r="258" spans="1:17" x14ac:dyDescent="0.45">
      <c r="A258" s="3">
        <f>配列!B258</f>
        <v>0</v>
      </c>
      <c r="B258" s="3" t="e">
        <f>_xlfn.XLOOKUP(A258,対応表!A:A,対応表!B:B)</f>
        <v>#N/A</v>
      </c>
      <c r="C258" s="3">
        <f>配列!C258</f>
        <v>0</v>
      </c>
      <c r="D258" s="3" t="str">
        <f>IF(配列!E258="",RIGHT(配列!D258&amp;配列!E258,4)&amp;"L",RIGHT(配列!D258&amp;配列!E258,5))</f>
        <v>L</v>
      </c>
      <c r="E258" s="3">
        <f t="shared" ref="E258:E321" si="16">IF(J258=0,,B258&amp;D258&amp;J258)</f>
        <v>0</v>
      </c>
      <c r="F258" s="3" t="e">
        <f>_xlfn.XLOOKUP(E258,セットアップレポート_紐づけ用!A:A,セットアップレポート_紐づけ用!J:J)</f>
        <v>#N/A</v>
      </c>
      <c r="G258" s="3" t="e">
        <f>_xlfn.XLOOKUP(E258,セットアップレポート_紐づけ用!A:A,セットアップレポート_紐づけ用!V:V)</f>
        <v>#N/A</v>
      </c>
      <c r="H258" s="3">
        <f t="shared" si="15"/>
        <v>-2</v>
      </c>
      <c r="I258" t="str">
        <f>IF(J258=0,"",IF(配列!E258="",マクロ実行!$A$16 &amp;" T"&amp;H258&amp;"-"&amp;RIGHT(配列!D258&amp;配列!E258,2),マクロ実行!$A$16 &amp;" T"&amp;H258&amp;"-"&amp;RIGHT(配列!D258&amp;配列!E258,3)))</f>
        <v/>
      </c>
      <c r="J258">
        <f>配列!F258</f>
        <v>0</v>
      </c>
      <c r="K258" s="2" t="e">
        <f>_xlfn.XLOOKUP(E258,セットアップレポート_紐づけ用!A:A,セットアップレポート_紐づけ用!R:R)</f>
        <v>#N/A</v>
      </c>
      <c r="L258" t="e">
        <f t="shared" ref="L258:L321" si="17">IF(LEN(F258)=13,"    "&amp;F258,F258)</f>
        <v>#N/A</v>
      </c>
      <c r="M258" t="e">
        <f>_xlfn.XLOOKUP(L258,EGPro!A:A,EGPro!D:D)</f>
        <v>#N/A</v>
      </c>
      <c r="N258" t="e">
        <f>_xlfn.XLOOKUP(L258,EGPro!A:A,EGPro!C:C)</f>
        <v>#N/A</v>
      </c>
      <c r="O258" t="e">
        <f t="shared" ref="O258:O321" si="18">IF(LEN(G258)=13,"    "&amp;G258,G258)</f>
        <v>#N/A</v>
      </c>
      <c r="P258" t="e">
        <f>_xlfn.XLOOKUP(O258,EGPro!A:A,EGPro!D:D)</f>
        <v>#N/A</v>
      </c>
      <c r="Q258" t="e">
        <f>_xlfn.XLOOKUP(O258,EGPro!A:A,EGPro!C:C)</f>
        <v>#N/A</v>
      </c>
    </row>
    <row r="259" spans="1:17" x14ac:dyDescent="0.45">
      <c r="A259" s="3">
        <f>配列!B259</f>
        <v>0</v>
      </c>
      <c r="B259" s="3" t="e">
        <f>_xlfn.XLOOKUP(A259,対応表!A:A,対応表!B:B)</f>
        <v>#N/A</v>
      </c>
      <c r="C259" s="3">
        <f>配列!C259</f>
        <v>0</v>
      </c>
      <c r="D259" s="3" t="str">
        <f>IF(配列!E259="",RIGHT(配列!D259&amp;配列!E259,4)&amp;"L",RIGHT(配列!D259&amp;配列!E259,5))</f>
        <v>L</v>
      </c>
      <c r="E259" s="3">
        <f t="shared" si="16"/>
        <v>0</v>
      </c>
      <c r="F259" s="3" t="e">
        <f>_xlfn.XLOOKUP(E259,セットアップレポート_紐づけ用!A:A,セットアップレポート_紐づけ用!J:J)</f>
        <v>#N/A</v>
      </c>
      <c r="G259" s="3" t="e">
        <f>_xlfn.XLOOKUP(E259,セットアップレポート_紐づけ用!A:A,セットアップレポート_紐づけ用!V:V)</f>
        <v>#N/A</v>
      </c>
      <c r="H259" s="3">
        <f t="shared" ref="H259:H322" si="19">2*RIGHT(A259,1)-2+C259</f>
        <v>-2</v>
      </c>
      <c r="I259" t="str">
        <f>IF(J259=0,"",IF(配列!E259="",マクロ実行!$A$16 &amp;" T"&amp;H259&amp;"-"&amp;RIGHT(配列!D259&amp;配列!E259,2),マクロ実行!$A$16 &amp;" T"&amp;H259&amp;"-"&amp;RIGHT(配列!D259&amp;配列!E259,3)))</f>
        <v/>
      </c>
      <c r="J259">
        <f>配列!F259</f>
        <v>0</v>
      </c>
      <c r="K259" s="2" t="e">
        <f>_xlfn.XLOOKUP(E259,セットアップレポート_紐づけ用!A:A,セットアップレポート_紐づけ用!R:R)</f>
        <v>#N/A</v>
      </c>
      <c r="L259" t="e">
        <f t="shared" si="17"/>
        <v>#N/A</v>
      </c>
      <c r="M259" t="e">
        <f>_xlfn.XLOOKUP(L259,EGPro!A:A,EGPro!D:D)</f>
        <v>#N/A</v>
      </c>
      <c r="N259" t="e">
        <f>_xlfn.XLOOKUP(L259,EGPro!A:A,EGPro!C:C)</f>
        <v>#N/A</v>
      </c>
      <c r="O259" t="e">
        <f t="shared" si="18"/>
        <v>#N/A</v>
      </c>
      <c r="P259" t="e">
        <f>_xlfn.XLOOKUP(O259,EGPro!A:A,EGPro!D:D)</f>
        <v>#N/A</v>
      </c>
      <c r="Q259" t="e">
        <f>_xlfn.XLOOKUP(O259,EGPro!A:A,EGPro!C:C)</f>
        <v>#N/A</v>
      </c>
    </row>
    <row r="260" spans="1:17" x14ac:dyDescent="0.45">
      <c r="A260" s="3">
        <f>配列!B260</f>
        <v>0</v>
      </c>
      <c r="B260" s="3" t="e">
        <f>_xlfn.XLOOKUP(A260,対応表!A:A,対応表!B:B)</f>
        <v>#N/A</v>
      </c>
      <c r="C260" s="3">
        <f>配列!C260</f>
        <v>0</v>
      </c>
      <c r="D260" s="3" t="str">
        <f>IF(配列!E260="",RIGHT(配列!D260&amp;配列!E260,4)&amp;"L",RIGHT(配列!D260&amp;配列!E260,5))</f>
        <v>L</v>
      </c>
      <c r="E260" s="3">
        <f t="shared" si="16"/>
        <v>0</v>
      </c>
      <c r="F260" s="3" t="e">
        <f>_xlfn.XLOOKUP(E260,セットアップレポート_紐づけ用!A:A,セットアップレポート_紐づけ用!J:J)</f>
        <v>#N/A</v>
      </c>
      <c r="G260" s="3" t="e">
        <f>_xlfn.XLOOKUP(E260,セットアップレポート_紐づけ用!A:A,セットアップレポート_紐づけ用!V:V)</f>
        <v>#N/A</v>
      </c>
      <c r="H260" s="3">
        <f t="shared" si="19"/>
        <v>-2</v>
      </c>
      <c r="I260" t="str">
        <f>IF(J260=0,"",IF(配列!E260="",マクロ実行!$A$16 &amp;" T"&amp;H260&amp;"-"&amp;RIGHT(配列!D260&amp;配列!E260,2),マクロ実行!$A$16 &amp;" T"&amp;H260&amp;"-"&amp;RIGHT(配列!D260&amp;配列!E260,3)))</f>
        <v/>
      </c>
      <c r="J260">
        <f>配列!F260</f>
        <v>0</v>
      </c>
      <c r="K260" s="2" t="e">
        <f>_xlfn.XLOOKUP(E260,セットアップレポート_紐づけ用!A:A,セットアップレポート_紐づけ用!R:R)</f>
        <v>#N/A</v>
      </c>
      <c r="L260" t="e">
        <f t="shared" si="17"/>
        <v>#N/A</v>
      </c>
      <c r="M260" t="e">
        <f>_xlfn.XLOOKUP(L260,EGPro!A:A,EGPro!D:D)</f>
        <v>#N/A</v>
      </c>
      <c r="N260" t="e">
        <f>_xlfn.XLOOKUP(L260,EGPro!A:A,EGPro!C:C)</f>
        <v>#N/A</v>
      </c>
      <c r="O260" t="e">
        <f t="shared" si="18"/>
        <v>#N/A</v>
      </c>
      <c r="P260" t="e">
        <f>_xlfn.XLOOKUP(O260,EGPro!A:A,EGPro!D:D)</f>
        <v>#N/A</v>
      </c>
      <c r="Q260" t="e">
        <f>_xlfn.XLOOKUP(O260,EGPro!A:A,EGPro!C:C)</f>
        <v>#N/A</v>
      </c>
    </row>
    <row r="261" spans="1:17" x14ac:dyDescent="0.45">
      <c r="A261" s="3">
        <f>配列!B261</f>
        <v>0</v>
      </c>
      <c r="B261" s="3" t="e">
        <f>_xlfn.XLOOKUP(A261,対応表!A:A,対応表!B:B)</f>
        <v>#N/A</v>
      </c>
      <c r="C261" s="3">
        <f>配列!C261</f>
        <v>0</v>
      </c>
      <c r="D261" s="3" t="str">
        <f>IF(配列!E261="",RIGHT(配列!D261&amp;配列!E261,4)&amp;"L",RIGHT(配列!D261&amp;配列!E261,5))</f>
        <v>L</v>
      </c>
      <c r="E261" s="3">
        <f t="shared" si="16"/>
        <v>0</v>
      </c>
      <c r="F261" s="3" t="e">
        <f>_xlfn.XLOOKUP(E261,セットアップレポート_紐づけ用!A:A,セットアップレポート_紐づけ用!J:J)</f>
        <v>#N/A</v>
      </c>
      <c r="G261" s="3" t="e">
        <f>_xlfn.XLOOKUP(E261,セットアップレポート_紐づけ用!A:A,セットアップレポート_紐づけ用!V:V)</f>
        <v>#N/A</v>
      </c>
      <c r="H261" s="3">
        <f t="shared" si="19"/>
        <v>-2</v>
      </c>
      <c r="I261" t="str">
        <f>IF(J261=0,"",IF(配列!E261="",マクロ実行!$A$16 &amp;" T"&amp;H261&amp;"-"&amp;RIGHT(配列!D261&amp;配列!E261,2),マクロ実行!$A$16 &amp;" T"&amp;H261&amp;"-"&amp;RIGHT(配列!D261&amp;配列!E261,3)))</f>
        <v/>
      </c>
      <c r="J261">
        <f>配列!F261</f>
        <v>0</v>
      </c>
      <c r="K261" s="2" t="e">
        <f>_xlfn.XLOOKUP(E261,セットアップレポート_紐づけ用!A:A,セットアップレポート_紐づけ用!R:R)</f>
        <v>#N/A</v>
      </c>
      <c r="L261" t="e">
        <f t="shared" si="17"/>
        <v>#N/A</v>
      </c>
      <c r="M261" t="e">
        <f>_xlfn.XLOOKUP(L261,EGPro!A:A,EGPro!D:D)</f>
        <v>#N/A</v>
      </c>
      <c r="N261" t="e">
        <f>_xlfn.XLOOKUP(L261,EGPro!A:A,EGPro!C:C)</f>
        <v>#N/A</v>
      </c>
      <c r="O261" t="e">
        <f t="shared" si="18"/>
        <v>#N/A</v>
      </c>
      <c r="P261" t="e">
        <f>_xlfn.XLOOKUP(O261,EGPro!A:A,EGPro!D:D)</f>
        <v>#N/A</v>
      </c>
      <c r="Q261" t="e">
        <f>_xlfn.XLOOKUP(O261,EGPro!A:A,EGPro!C:C)</f>
        <v>#N/A</v>
      </c>
    </row>
    <row r="262" spans="1:17" x14ac:dyDescent="0.45">
      <c r="A262" s="3">
        <f>配列!B262</f>
        <v>0</v>
      </c>
      <c r="B262" s="3" t="e">
        <f>_xlfn.XLOOKUP(A262,対応表!A:A,対応表!B:B)</f>
        <v>#N/A</v>
      </c>
      <c r="C262" s="3">
        <f>配列!C262</f>
        <v>0</v>
      </c>
      <c r="D262" s="3" t="str">
        <f>IF(配列!E262="",RIGHT(配列!D262&amp;配列!E262,4)&amp;"L",RIGHT(配列!D262&amp;配列!E262,5))</f>
        <v>L</v>
      </c>
      <c r="E262" s="3">
        <f t="shared" si="16"/>
        <v>0</v>
      </c>
      <c r="F262" s="3" t="e">
        <f>_xlfn.XLOOKUP(E262,セットアップレポート_紐づけ用!A:A,セットアップレポート_紐づけ用!J:J)</f>
        <v>#N/A</v>
      </c>
      <c r="G262" s="3" t="e">
        <f>_xlfn.XLOOKUP(E262,セットアップレポート_紐づけ用!A:A,セットアップレポート_紐づけ用!V:V)</f>
        <v>#N/A</v>
      </c>
      <c r="H262" s="3">
        <f t="shared" si="19"/>
        <v>-2</v>
      </c>
      <c r="I262" t="str">
        <f>IF(J262=0,"",IF(配列!E262="",マクロ実行!$A$16 &amp;" T"&amp;H262&amp;"-"&amp;RIGHT(配列!D262&amp;配列!E262,2),マクロ実行!$A$16 &amp;" T"&amp;H262&amp;"-"&amp;RIGHT(配列!D262&amp;配列!E262,3)))</f>
        <v/>
      </c>
      <c r="J262">
        <f>配列!F262</f>
        <v>0</v>
      </c>
      <c r="K262" s="2" t="e">
        <f>_xlfn.XLOOKUP(E262,セットアップレポート_紐づけ用!A:A,セットアップレポート_紐づけ用!R:R)</f>
        <v>#N/A</v>
      </c>
      <c r="L262" t="e">
        <f t="shared" si="17"/>
        <v>#N/A</v>
      </c>
      <c r="M262" t="e">
        <f>_xlfn.XLOOKUP(L262,EGPro!A:A,EGPro!D:D)</f>
        <v>#N/A</v>
      </c>
      <c r="N262" t="e">
        <f>_xlfn.XLOOKUP(L262,EGPro!A:A,EGPro!C:C)</f>
        <v>#N/A</v>
      </c>
      <c r="O262" t="e">
        <f t="shared" si="18"/>
        <v>#N/A</v>
      </c>
      <c r="P262" t="e">
        <f>_xlfn.XLOOKUP(O262,EGPro!A:A,EGPro!D:D)</f>
        <v>#N/A</v>
      </c>
      <c r="Q262" t="e">
        <f>_xlfn.XLOOKUP(O262,EGPro!A:A,EGPro!C:C)</f>
        <v>#N/A</v>
      </c>
    </row>
    <row r="263" spans="1:17" x14ac:dyDescent="0.45">
      <c r="A263" s="3">
        <f>配列!B263</f>
        <v>0</v>
      </c>
      <c r="B263" s="3" t="e">
        <f>_xlfn.XLOOKUP(A263,対応表!A:A,対応表!B:B)</f>
        <v>#N/A</v>
      </c>
      <c r="C263" s="3">
        <f>配列!C263</f>
        <v>0</v>
      </c>
      <c r="D263" s="3" t="str">
        <f>IF(配列!E263="",RIGHT(配列!D263&amp;配列!E263,4)&amp;"L",RIGHT(配列!D263&amp;配列!E263,5))</f>
        <v>L</v>
      </c>
      <c r="E263" s="3">
        <f t="shared" si="16"/>
        <v>0</v>
      </c>
      <c r="F263" s="3" t="e">
        <f>_xlfn.XLOOKUP(E263,セットアップレポート_紐づけ用!A:A,セットアップレポート_紐づけ用!J:J)</f>
        <v>#N/A</v>
      </c>
      <c r="G263" s="3" t="e">
        <f>_xlfn.XLOOKUP(E263,セットアップレポート_紐づけ用!A:A,セットアップレポート_紐づけ用!V:V)</f>
        <v>#N/A</v>
      </c>
      <c r="H263" s="3">
        <f t="shared" si="19"/>
        <v>-2</v>
      </c>
      <c r="I263" t="str">
        <f>IF(J263=0,"",IF(配列!E263="",マクロ実行!$A$16 &amp;" T"&amp;H263&amp;"-"&amp;RIGHT(配列!D263&amp;配列!E263,2),マクロ実行!$A$16 &amp;" T"&amp;H263&amp;"-"&amp;RIGHT(配列!D263&amp;配列!E263,3)))</f>
        <v/>
      </c>
      <c r="J263">
        <f>配列!F263</f>
        <v>0</v>
      </c>
      <c r="K263" s="2" t="e">
        <f>_xlfn.XLOOKUP(E263,セットアップレポート_紐づけ用!A:A,セットアップレポート_紐づけ用!R:R)</f>
        <v>#N/A</v>
      </c>
      <c r="L263" t="e">
        <f t="shared" si="17"/>
        <v>#N/A</v>
      </c>
      <c r="M263" t="e">
        <f>_xlfn.XLOOKUP(L263,EGPro!A:A,EGPro!D:D)</f>
        <v>#N/A</v>
      </c>
      <c r="N263" t="e">
        <f>_xlfn.XLOOKUP(L263,EGPro!A:A,EGPro!C:C)</f>
        <v>#N/A</v>
      </c>
      <c r="O263" t="e">
        <f t="shared" si="18"/>
        <v>#N/A</v>
      </c>
      <c r="P263" t="e">
        <f>_xlfn.XLOOKUP(O263,EGPro!A:A,EGPro!D:D)</f>
        <v>#N/A</v>
      </c>
      <c r="Q263" t="e">
        <f>_xlfn.XLOOKUP(O263,EGPro!A:A,EGPro!C:C)</f>
        <v>#N/A</v>
      </c>
    </row>
    <row r="264" spans="1:17" x14ac:dyDescent="0.45">
      <c r="A264" s="3">
        <f>配列!B264</f>
        <v>0</v>
      </c>
      <c r="B264" s="3" t="e">
        <f>_xlfn.XLOOKUP(A264,対応表!A:A,対応表!B:B)</f>
        <v>#N/A</v>
      </c>
      <c r="C264" s="3">
        <f>配列!C264</f>
        <v>0</v>
      </c>
      <c r="D264" s="3" t="str">
        <f>IF(配列!E264="",RIGHT(配列!D264&amp;配列!E264,4)&amp;"L",RIGHT(配列!D264&amp;配列!E264,5))</f>
        <v>L</v>
      </c>
      <c r="E264" s="3">
        <f t="shared" si="16"/>
        <v>0</v>
      </c>
      <c r="F264" s="3" t="e">
        <f>_xlfn.XLOOKUP(E264,セットアップレポート_紐づけ用!A:A,セットアップレポート_紐づけ用!J:J)</f>
        <v>#N/A</v>
      </c>
      <c r="G264" s="3" t="e">
        <f>_xlfn.XLOOKUP(E264,セットアップレポート_紐づけ用!A:A,セットアップレポート_紐づけ用!V:V)</f>
        <v>#N/A</v>
      </c>
      <c r="H264" s="3">
        <f t="shared" si="19"/>
        <v>-2</v>
      </c>
      <c r="I264" t="str">
        <f>IF(J264=0,"",IF(配列!E264="",マクロ実行!$A$16 &amp;" T"&amp;H264&amp;"-"&amp;RIGHT(配列!D264&amp;配列!E264,2),マクロ実行!$A$16 &amp;" T"&amp;H264&amp;"-"&amp;RIGHT(配列!D264&amp;配列!E264,3)))</f>
        <v/>
      </c>
      <c r="J264">
        <f>配列!F264</f>
        <v>0</v>
      </c>
      <c r="K264" s="2" t="e">
        <f>_xlfn.XLOOKUP(E264,セットアップレポート_紐づけ用!A:A,セットアップレポート_紐づけ用!R:R)</f>
        <v>#N/A</v>
      </c>
      <c r="L264" t="e">
        <f t="shared" si="17"/>
        <v>#N/A</v>
      </c>
      <c r="M264" t="e">
        <f>_xlfn.XLOOKUP(L264,EGPro!A:A,EGPro!D:D)</f>
        <v>#N/A</v>
      </c>
      <c r="N264" t="e">
        <f>_xlfn.XLOOKUP(L264,EGPro!A:A,EGPro!C:C)</f>
        <v>#N/A</v>
      </c>
      <c r="O264" t="e">
        <f t="shared" si="18"/>
        <v>#N/A</v>
      </c>
      <c r="P264" t="e">
        <f>_xlfn.XLOOKUP(O264,EGPro!A:A,EGPro!D:D)</f>
        <v>#N/A</v>
      </c>
      <c r="Q264" t="e">
        <f>_xlfn.XLOOKUP(O264,EGPro!A:A,EGPro!C:C)</f>
        <v>#N/A</v>
      </c>
    </row>
    <row r="265" spans="1:17" x14ac:dyDescent="0.45">
      <c r="A265" s="3">
        <f>配列!B265</f>
        <v>0</v>
      </c>
      <c r="B265" s="3" t="e">
        <f>_xlfn.XLOOKUP(A265,対応表!A:A,対応表!B:B)</f>
        <v>#N/A</v>
      </c>
      <c r="C265" s="3">
        <f>配列!C265</f>
        <v>0</v>
      </c>
      <c r="D265" s="3" t="str">
        <f>IF(配列!E265="",RIGHT(配列!D265&amp;配列!E265,4)&amp;"L",RIGHT(配列!D265&amp;配列!E265,5))</f>
        <v>L</v>
      </c>
      <c r="E265" s="3">
        <f t="shared" si="16"/>
        <v>0</v>
      </c>
      <c r="F265" s="3" t="e">
        <f>_xlfn.XLOOKUP(E265,セットアップレポート_紐づけ用!A:A,セットアップレポート_紐づけ用!J:J)</f>
        <v>#N/A</v>
      </c>
      <c r="G265" s="3" t="e">
        <f>_xlfn.XLOOKUP(E265,セットアップレポート_紐づけ用!A:A,セットアップレポート_紐づけ用!V:V)</f>
        <v>#N/A</v>
      </c>
      <c r="H265" s="3">
        <f t="shared" si="19"/>
        <v>-2</v>
      </c>
      <c r="I265" t="str">
        <f>IF(J265=0,"",IF(配列!E265="",マクロ実行!$A$16 &amp;" T"&amp;H265&amp;"-"&amp;RIGHT(配列!D265&amp;配列!E265,2),マクロ実行!$A$16 &amp;" T"&amp;H265&amp;"-"&amp;RIGHT(配列!D265&amp;配列!E265,3)))</f>
        <v/>
      </c>
      <c r="J265">
        <f>配列!F265</f>
        <v>0</v>
      </c>
      <c r="K265" s="2" t="e">
        <f>_xlfn.XLOOKUP(E265,セットアップレポート_紐づけ用!A:A,セットアップレポート_紐づけ用!R:R)</f>
        <v>#N/A</v>
      </c>
      <c r="L265" t="e">
        <f t="shared" si="17"/>
        <v>#N/A</v>
      </c>
      <c r="M265" t="e">
        <f>_xlfn.XLOOKUP(L265,EGPro!A:A,EGPro!D:D)</f>
        <v>#N/A</v>
      </c>
      <c r="N265" t="e">
        <f>_xlfn.XLOOKUP(L265,EGPro!A:A,EGPro!C:C)</f>
        <v>#N/A</v>
      </c>
      <c r="O265" t="e">
        <f t="shared" si="18"/>
        <v>#N/A</v>
      </c>
      <c r="P265" t="e">
        <f>_xlfn.XLOOKUP(O265,EGPro!A:A,EGPro!D:D)</f>
        <v>#N/A</v>
      </c>
      <c r="Q265" t="e">
        <f>_xlfn.XLOOKUP(O265,EGPro!A:A,EGPro!C:C)</f>
        <v>#N/A</v>
      </c>
    </row>
    <row r="266" spans="1:17" x14ac:dyDescent="0.45">
      <c r="A266" s="3">
        <f>配列!B266</f>
        <v>0</v>
      </c>
      <c r="B266" s="3" t="e">
        <f>_xlfn.XLOOKUP(A266,対応表!A:A,対応表!B:B)</f>
        <v>#N/A</v>
      </c>
      <c r="C266" s="3">
        <f>配列!C266</f>
        <v>0</v>
      </c>
      <c r="D266" s="3" t="str">
        <f>IF(配列!E266="",RIGHT(配列!D266&amp;配列!E266,4)&amp;"L",RIGHT(配列!D266&amp;配列!E266,5))</f>
        <v>L</v>
      </c>
      <c r="E266" s="3">
        <f t="shared" si="16"/>
        <v>0</v>
      </c>
      <c r="F266" s="3" t="e">
        <f>_xlfn.XLOOKUP(E266,セットアップレポート_紐づけ用!A:A,セットアップレポート_紐づけ用!J:J)</f>
        <v>#N/A</v>
      </c>
      <c r="G266" s="3" t="e">
        <f>_xlfn.XLOOKUP(E266,セットアップレポート_紐づけ用!A:A,セットアップレポート_紐づけ用!V:V)</f>
        <v>#N/A</v>
      </c>
      <c r="H266" s="3">
        <f t="shared" si="19"/>
        <v>-2</v>
      </c>
      <c r="I266" t="str">
        <f>IF(J266=0,"",IF(配列!E266="",マクロ実行!$A$16 &amp;" T"&amp;H266&amp;"-"&amp;RIGHT(配列!D266&amp;配列!E266,2),マクロ実行!$A$16 &amp;" T"&amp;H266&amp;"-"&amp;RIGHT(配列!D266&amp;配列!E266,3)))</f>
        <v/>
      </c>
      <c r="J266">
        <f>配列!F266</f>
        <v>0</v>
      </c>
      <c r="K266" s="2" t="e">
        <f>_xlfn.XLOOKUP(E266,セットアップレポート_紐づけ用!A:A,セットアップレポート_紐づけ用!R:R)</f>
        <v>#N/A</v>
      </c>
      <c r="L266" t="e">
        <f t="shared" si="17"/>
        <v>#N/A</v>
      </c>
      <c r="M266" t="e">
        <f>_xlfn.XLOOKUP(L266,EGPro!A:A,EGPro!D:D)</f>
        <v>#N/A</v>
      </c>
      <c r="N266" t="e">
        <f>_xlfn.XLOOKUP(L266,EGPro!A:A,EGPro!C:C)</f>
        <v>#N/A</v>
      </c>
      <c r="O266" t="e">
        <f t="shared" si="18"/>
        <v>#N/A</v>
      </c>
      <c r="P266" t="e">
        <f>_xlfn.XLOOKUP(O266,EGPro!A:A,EGPro!D:D)</f>
        <v>#N/A</v>
      </c>
      <c r="Q266" t="e">
        <f>_xlfn.XLOOKUP(O266,EGPro!A:A,EGPro!C:C)</f>
        <v>#N/A</v>
      </c>
    </row>
    <row r="267" spans="1:17" x14ac:dyDescent="0.45">
      <c r="A267" s="3">
        <f>配列!B267</f>
        <v>0</v>
      </c>
      <c r="B267" s="3" t="e">
        <f>_xlfn.XLOOKUP(A267,対応表!A:A,対応表!B:B)</f>
        <v>#N/A</v>
      </c>
      <c r="C267" s="3">
        <f>配列!C267</f>
        <v>0</v>
      </c>
      <c r="D267" s="3" t="str">
        <f>IF(配列!E267="",RIGHT(配列!D267&amp;配列!E267,4)&amp;"L",RIGHT(配列!D267&amp;配列!E267,5))</f>
        <v>L</v>
      </c>
      <c r="E267" s="3">
        <f t="shared" si="16"/>
        <v>0</v>
      </c>
      <c r="F267" s="3" t="e">
        <f>_xlfn.XLOOKUP(E267,セットアップレポート_紐づけ用!A:A,セットアップレポート_紐づけ用!J:J)</f>
        <v>#N/A</v>
      </c>
      <c r="G267" s="3" t="e">
        <f>_xlfn.XLOOKUP(E267,セットアップレポート_紐づけ用!A:A,セットアップレポート_紐づけ用!V:V)</f>
        <v>#N/A</v>
      </c>
      <c r="H267" s="3">
        <f t="shared" si="19"/>
        <v>-2</v>
      </c>
      <c r="I267" t="str">
        <f>IF(J267=0,"",IF(配列!E267="",マクロ実行!$A$16 &amp;" T"&amp;H267&amp;"-"&amp;RIGHT(配列!D267&amp;配列!E267,2),マクロ実行!$A$16 &amp;" T"&amp;H267&amp;"-"&amp;RIGHT(配列!D267&amp;配列!E267,3)))</f>
        <v/>
      </c>
      <c r="J267">
        <f>配列!F267</f>
        <v>0</v>
      </c>
      <c r="K267" s="2" t="e">
        <f>_xlfn.XLOOKUP(E267,セットアップレポート_紐づけ用!A:A,セットアップレポート_紐づけ用!R:R)</f>
        <v>#N/A</v>
      </c>
      <c r="L267" t="e">
        <f t="shared" si="17"/>
        <v>#N/A</v>
      </c>
      <c r="M267" t="e">
        <f>_xlfn.XLOOKUP(L267,EGPro!A:A,EGPro!D:D)</f>
        <v>#N/A</v>
      </c>
      <c r="N267" t="e">
        <f>_xlfn.XLOOKUP(L267,EGPro!A:A,EGPro!C:C)</f>
        <v>#N/A</v>
      </c>
      <c r="O267" t="e">
        <f t="shared" si="18"/>
        <v>#N/A</v>
      </c>
      <c r="P267" t="e">
        <f>_xlfn.XLOOKUP(O267,EGPro!A:A,EGPro!D:D)</f>
        <v>#N/A</v>
      </c>
      <c r="Q267" t="e">
        <f>_xlfn.XLOOKUP(O267,EGPro!A:A,EGPro!C:C)</f>
        <v>#N/A</v>
      </c>
    </row>
    <row r="268" spans="1:17" x14ac:dyDescent="0.45">
      <c r="A268" s="3">
        <f>配列!B268</f>
        <v>0</v>
      </c>
      <c r="B268" s="3" t="e">
        <f>_xlfn.XLOOKUP(A268,対応表!A:A,対応表!B:B)</f>
        <v>#N/A</v>
      </c>
      <c r="C268" s="3">
        <f>配列!C268</f>
        <v>0</v>
      </c>
      <c r="D268" s="3" t="str">
        <f>IF(配列!E268="",RIGHT(配列!D268&amp;配列!E268,4)&amp;"L",RIGHT(配列!D268&amp;配列!E268,5))</f>
        <v>L</v>
      </c>
      <c r="E268" s="3">
        <f t="shared" si="16"/>
        <v>0</v>
      </c>
      <c r="F268" s="3" t="e">
        <f>_xlfn.XLOOKUP(E268,セットアップレポート_紐づけ用!A:A,セットアップレポート_紐づけ用!J:J)</f>
        <v>#N/A</v>
      </c>
      <c r="G268" s="3" t="e">
        <f>_xlfn.XLOOKUP(E268,セットアップレポート_紐づけ用!A:A,セットアップレポート_紐づけ用!V:V)</f>
        <v>#N/A</v>
      </c>
      <c r="H268" s="3">
        <f t="shared" si="19"/>
        <v>-2</v>
      </c>
      <c r="I268" t="str">
        <f>IF(J268=0,"",IF(配列!E268="",マクロ実行!$A$16 &amp;" T"&amp;H268&amp;"-"&amp;RIGHT(配列!D268&amp;配列!E268,2),マクロ実行!$A$16 &amp;" T"&amp;H268&amp;"-"&amp;RIGHT(配列!D268&amp;配列!E268,3)))</f>
        <v/>
      </c>
      <c r="J268">
        <f>配列!F268</f>
        <v>0</v>
      </c>
      <c r="K268" s="2" t="e">
        <f>_xlfn.XLOOKUP(E268,セットアップレポート_紐づけ用!A:A,セットアップレポート_紐づけ用!R:R)</f>
        <v>#N/A</v>
      </c>
      <c r="L268" t="e">
        <f t="shared" si="17"/>
        <v>#N/A</v>
      </c>
      <c r="M268" t="e">
        <f>_xlfn.XLOOKUP(L268,EGPro!A:A,EGPro!D:D)</f>
        <v>#N/A</v>
      </c>
      <c r="N268" t="e">
        <f>_xlfn.XLOOKUP(L268,EGPro!A:A,EGPro!C:C)</f>
        <v>#N/A</v>
      </c>
      <c r="O268" t="e">
        <f t="shared" si="18"/>
        <v>#N/A</v>
      </c>
      <c r="P268" t="e">
        <f>_xlfn.XLOOKUP(O268,EGPro!A:A,EGPro!D:D)</f>
        <v>#N/A</v>
      </c>
      <c r="Q268" t="e">
        <f>_xlfn.XLOOKUP(O268,EGPro!A:A,EGPro!C:C)</f>
        <v>#N/A</v>
      </c>
    </row>
    <row r="269" spans="1:17" x14ac:dyDescent="0.45">
      <c r="A269" s="3">
        <f>配列!B269</f>
        <v>0</v>
      </c>
      <c r="B269" s="3" t="e">
        <f>_xlfn.XLOOKUP(A269,対応表!A:A,対応表!B:B)</f>
        <v>#N/A</v>
      </c>
      <c r="C269" s="3">
        <f>配列!C269</f>
        <v>0</v>
      </c>
      <c r="D269" s="3" t="str">
        <f>IF(配列!E269="",RIGHT(配列!D269&amp;配列!E269,4)&amp;"L",RIGHT(配列!D269&amp;配列!E269,5))</f>
        <v>L</v>
      </c>
      <c r="E269" s="3">
        <f t="shared" si="16"/>
        <v>0</v>
      </c>
      <c r="F269" s="3" t="e">
        <f>_xlfn.XLOOKUP(E269,セットアップレポート_紐づけ用!A:A,セットアップレポート_紐づけ用!J:J)</f>
        <v>#N/A</v>
      </c>
      <c r="G269" s="3" t="e">
        <f>_xlfn.XLOOKUP(E269,セットアップレポート_紐づけ用!A:A,セットアップレポート_紐づけ用!V:V)</f>
        <v>#N/A</v>
      </c>
      <c r="H269" s="3">
        <f t="shared" si="19"/>
        <v>-2</v>
      </c>
      <c r="I269" t="str">
        <f>IF(J269=0,"",IF(配列!E269="",マクロ実行!$A$16 &amp;" T"&amp;H269&amp;"-"&amp;RIGHT(配列!D269&amp;配列!E269,2),マクロ実行!$A$16 &amp;" T"&amp;H269&amp;"-"&amp;RIGHT(配列!D269&amp;配列!E269,3)))</f>
        <v/>
      </c>
      <c r="J269">
        <f>配列!F269</f>
        <v>0</v>
      </c>
      <c r="K269" s="2" t="e">
        <f>_xlfn.XLOOKUP(E269,セットアップレポート_紐づけ用!A:A,セットアップレポート_紐づけ用!R:R)</f>
        <v>#N/A</v>
      </c>
      <c r="L269" t="e">
        <f t="shared" si="17"/>
        <v>#N/A</v>
      </c>
      <c r="M269" t="e">
        <f>_xlfn.XLOOKUP(L269,EGPro!A:A,EGPro!D:D)</f>
        <v>#N/A</v>
      </c>
      <c r="N269" t="e">
        <f>_xlfn.XLOOKUP(L269,EGPro!A:A,EGPro!C:C)</f>
        <v>#N/A</v>
      </c>
      <c r="O269" t="e">
        <f t="shared" si="18"/>
        <v>#N/A</v>
      </c>
      <c r="P269" t="e">
        <f>_xlfn.XLOOKUP(O269,EGPro!A:A,EGPro!D:D)</f>
        <v>#N/A</v>
      </c>
      <c r="Q269" t="e">
        <f>_xlfn.XLOOKUP(O269,EGPro!A:A,EGPro!C:C)</f>
        <v>#N/A</v>
      </c>
    </row>
    <row r="270" spans="1:17" x14ac:dyDescent="0.45">
      <c r="A270" s="3">
        <f>配列!B270</f>
        <v>0</v>
      </c>
      <c r="B270" s="3" t="e">
        <f>_xlfn.XLOOKUP(A270,対応表!A:A,対応表!B:B)</f>
        <v>#N/A</v>
      </c>
      <c r="C270" s="3">
        <f>配列!C270</f>
        <v>0</v>
      </c>
      <c r="D270" s="3" t="str">
        <f>IF(配列!E270="",RIGHT(配列!D270&amp;配列!E270,4)&amp;"L",RIGHT(配列!D270&amp;配列!E270,5))</f>
        <v>L</v>
      </c>
      <c r="E270" s="3">
        <f t="shared" si="16"/>
        <v>0</v>
      </c>
      <c r="F270" s="3" t="e">
        <f>_xlfn.XLOOKUP(E270,セットアップレポート_紐づけ用!A:A,セットアップレポート_紐づけ用!J:J)</f>
        <v>#N/A</v>
      </c>
      <c r="G270" s="3" t="e">
        <f>_xlfn.XLOOKUP(E270,セットアップレポート_紐づけ用!A:A,セットアップレポート_紐づけ用!V:V)</f>
        <v>#N/A</v>
      </c>
      <c r="H270" s="3">
        <f t="shared" si="19"/>
        <v>-2</v>
      </c>
      <c r="I270" t="str">
        <f>IF(J270=0,"",IF(配列!E270="",マクロ実行!$A$16 &amp;" T"&amp;H270&amp;"-"&amp;RIGHT(配列!D270&amp;配列!E270,2),マクロ実行!$A$16 &amp;" T"&amp;H270&amp;"-"&amp;RIGHT(配列!D270&amp;配列!E270,3)))</f>
        <v/>
      </c>
      <c r="J270">
        <f>配列!F270</f>
        <v>0</v>
      </c>
      <c r="K270" s="2" t="e">
        <f>_xlfn.XLOOKUP(E270,セットアップレポート_紐づけ用!A:A,セットアップレポート_紐づけ用!R:R)</f>
        <v>#N/A</v>
      </c>
      <c r="L270" t="e">
        <f t="shared" si="17"/>
        <v>#N/A</v>
      </c>
      <c r="M270" t="e">
        <f>_xlfn.XLOOKUP(L270,EGPro!A:A,EGPro!D:D)</f>
        <v>#N/A</v>
      </c>
      <c r="N270" t="e">
        <f>_xlfn.XLOOKUP(L270,EGPro!A:A,EGPro!C:C)</f>
        <v>#N/A</v>
      </c>
      <c r="O270" t="e">
        <f t="shared" si="18"/>
        <v>#N/A</v>
      </c>
      <c r="P270" t="e">
        <f>_xlfn.XLOOKUP(O270,EGPro!A:A,EGPro!D:D)</f>
        <v>#N/A</v>
      </c>
      <c r="Q270" t="e">
        <f>_xlfn.XLOOKUP(O270,EGPro!A:A,EGPro!C:C)</f>
        <v>#N/A</v>
      </c>
    </row>
    <row r="271" spans="1:17" x14ac:dyDescent="0.45">
      <c r="A271" s="3">
        <f>配列!B271</f>
        <v>0</v>
      </c>
      <c r="B271" s="3" t="e">
        <f>_xlfn.XLOOKUP(A271,対応表!A:A,対応表!B:B)</f>
        <v>#N/A</v>
      </c>
      <c r="C271" s="3">
        <f>配列!C271</f>
        <v>0</v>
      </c>
      <c r="D271" s="3" t="str">
        <f>IF(配列!E271="",RIGHT(配列!D271&amp;配列!E271,4)&amp;"L",RIGHT(配列!D271&amp;配列!E271,5))</f>
        <v>L</v>
      </c>
      <c r="E271" s="3">
        <f t="shared" si="16"/>
        <v>0</v>
      </c>
      <c r="F271" s="3" t="e">
        <f>_xlfn.XLOOKUP(E271,セットアップレポート_紐づけ用!A:A,セットアップレポート_紐づけ用!J:J)</f>
        <v>#N/A</v>
      </c>
      <c r="G271" s="3" t="e">
        <f>_xlfn.XLOOKUP(E271,セットアップレポート_紐づけ用!A:A,セットアップレポート_紐づけ用!V:V)</f>
        <v>#N/A</v>
      </c>
      <c r="H271" s="3">
        <f t="shared" si="19"/>
        <v>-2</v>
      </c>
      <c r="I271" t="str">
        <f>IF(J271=0,"",IF(配列!E271="",マクロ実行!$A$16 &amp;" T"&amp;H271&amp;"-"&amp;RIGHT(配列!D271&amp;配列!E271,2),マクロ実行!$A$16 &amp;" T"&amp;H271&amp;"-"&amp;RIGHT(配列!D271&amp;配列!E271,3)))</f>
        <v/>
      </c>
      <c r="J271">
        <f>配列!F271</f>
        <v>0</v>
      </c>
      <c r="K271" s="2" t="e">
        <f>_xlfn.XLOOKUP(E271,セットアップレポート_紐づけ用!A:A,セットアップレポート_紐づけ用!R:R)</f>
        <v>#N/A</v>
      </c>
      <c r="L271" t="e">
        <f t="shared" si="17"/>
        <v>#N/A</v>
      </c>
      <c r="M271" t="e">
        <f>_xlfn.XLOOKUP(L271,EGPro!A:A,EGPro!D:D)</f>
        <v>#N/A</v>
      </c>
      <c r="N271" t="e">
        <f>_xlfn.XLOOKUP(L271,EGPro!A:A,EGPro!C:C)</f>
        <v>#N/A</v>
      </c>
      <c r="O271" t="e">
        <f t="shared" si="18"/>
        <v>#N/A</v>
      </c>
      <c r="P271" t="e">
        <f>_xlfn.XLOOKUP(O271,EGPro!A:A,EGPro!D:D)</f>
        <v>#N/A</v>
      </c>
      <c r="Q271" t="e">
        <f>_xlfn.XLOOKUP(O271,EGPro!A:A,EGPro!C:C)</f>
        <v>#N/A</v>
      </c>
    </row>
    <row r="272" spans="1:17" x14ac:dyDescent="0.45">
      <c r="A272" s="3">
        <f>配列!B272</f>
        <v>0</v>
      </c>
      <c r="B272" s="3" t="e">
        <f>_xlfn.XLOOKUP(A272,対応表!A:A,対応表!B:B)</f>
        <v>#N/A</v>
      </c>
      <c r="C272" s="3">
        <f>配列!C272</f>
        <v>0</v>
      </c>
      <c r="D272" s="3" t="str">
        <f>IF(配列!E272="",RIGHT(配列!D272&amp;配列!E272,4)&amp;"L",RIGHT(配列!D272&amp;配列!E272,5))</f>
        <v>L</v>
      </c>
      <c r="E272" s="3">
        <f t="shared" si="16"/>
        <v>0</v>
      </c>
      <c r="F272" s="3" t="e">
        <f>_xlfn.XLOOKUP(E272,セットアップレポート_紐づけ用!A:A,セットアップレポート_紐づけ用!J:J)</f>
        <v>#N/A</v>
      </c>
      <c r="G272" s="3" t="e">
        <f>_xlfn.XLOOKUP(E272,セットアップレポート_紐づけ用!A:A,セットアップレポート_紐づけ用!V:V)</f>
        <v>#N/A</v>
      </c>
      <c r="H272" s="3">
        <f t="shared" si="19"/>
        <v>-2</v>
      </c>
      <c r="I272" t="str">
        <f>IF(J272=0,"",IF(配列!E272="",マクロ実行!$A$16 &amp;" T"&amp;H272&amp;"-"&amp;RIGHT(配列!D272&amp;配列!E272,2),マクロ実行!$A$16 &amp;" T"&amp;H272&amp;"-"&amp;RIGHT(配列!D272&amp;配列!E272,3)))</f>
        <v/>
      </c>
      <c r="J272">
        <f>配列!F272</f>
        <v>0</v>
      </c>
      <c r="K272" s="2" t="e">
        <f>_xlfn.XLOOKUP(E272,セットアップレポート_紐づけ用!A:A,セットアップレポート_紐づけ用!R:R)</f>
        <v>#N/A</v>
      </c>
      <c r="L272" t="e">
        <f t="shared" si="17"/>
        <v>#N/A</v>
      </c>
      <c r="M272" t="e">
        <f>_xlfn.XLOOKUP(L272,EGPro!A:A,EGPro!D:D)</f>
        <v>#N/A</v>
      </c>
      <c r="N272" t="e">
        <f>_xlfn.XLOOKUP(L272,EGPro!A:A,EGPro!C:C)</f>
        <v>#N/A</v>
      </c>
      <c r="O272" t="e">
        <f t="shared" si="18"/>
        <v>#N/A</v>
      </c>
      <c r="P272" t="e">
        <f>_xlfn.XLOOKUP(O272,EGPro!A:A,EGPro!D:D)</f>
        <v>#N/A</v>
      </c>
      <c r="Q272" t="e">
        <f>_xlfn.XLOOKUP(O272,EGPro!A:A,EGPro!C:C)</f>
        <v>#N/A</v>
      </c>
    </row>
    <row r="273" spans="1:17" x14ac:dyDescent="0.45">
      <c r="A273" s="3">
        <f>配列!B273</f>
        <v>0</v>
      </c>
      <c r="B273" s="3" t="e">
        <f>_xlfn.XLOOKUP(A273,対応表!A:A,対応表!B:B)</f>
        <v>#N/A</v>
      </c>
      <c r="C273" s="3">
        <f>配列!C273</f>
        <v>0</v>
      </c>
      <c r="D273" s="3" t="str">
        <f>IF(配列!E273="",RIGHT(配列!D273&amp;配列!E273,4)&amp;"L",RIGHT(配列!D273&amp;配列!E273,5))</f>
        <v>L</v>
      </c>
      <c r="E273" s="3">
        <f t="shared" si="16"/>
        <v>0</v>
      </c>
      <c r="F273" s="3" t="e">
        <f>_xlfn.XLOOKUP(E273,セットアップレポート_紐づけ用!A:A,セットアップレポート_紐づけ用!J:J)</f>
        <v>#N/A</v>
      </c>
      <c r="G273" s="3" t="e">
        <f>_xlfn.XLOOKUP(E273,セットアップレポート_紐づけ用!A:A,セットアップレポート_紐づけ用!V:V)</f>
        <v>#N/A</v>
      </c>
      <c r="H273" s="3">
        <f t="shared" si="19"/>
        <v>-2</v>
      </c>
      <c r="I273" t="str">
        <f>IF(J273=0,"",IF(配列!E273="",マクロ実行!$A$16 &amp;" T"&amp;H273&amp;"-"&amp;RIGHT(配列!D273&amp;配列!E273,2),マクロ実行!$A$16 &amp;" T"&amp;H273&amp;"-"&amp;RIGHT(配列!D273&amp;配列!E273,3)))</f>
        <v/>
      </c>
      <c r="J273">
        <f>配列!F273</f>
        <v>0</v>
      </c>
      <c r="K273" s="2" t="e">
        <f>_xlfn.XLOOKUP(E273,セットアップレポート_紐づけ用!A:A,セットアップレポート_紐づけ用!R:R)</f>
        <v>#N/A</v>
      </c>
      <c r="L273" t="e">
        <f t="shared" si="17"/>
        <v>#N/A</v>
      </c>
      <c r="M273" t="e">
        <f>_xlfn.XLOOKUP(L273,EGPro!A:A,EGPro!D:D)</f>
        <v>#N/A</v>
      </c>
      <c r="N273" t="e">
        <f>_xlfn.XLOOKUP(L273,EGPro!A:A,EGPro!C:C)</f>
        <v>#N/A</v>
      </c>
      <c r="O273" t="e">
        <f t="shared" si="18"/>
        <v>#N/A</v>
      </c>
      <c r="P273" t="e">
        <f>_xlfn.XLOOKUP(O273,EGPro!A:A,EGPro!D:D)</f>
        <v>#N/A</v>
      </c>
      <c r="Q273" t="e">
        <f>_xlfn.XLOOKUP(O273,EGPro!A:A,EGPro!C:C)</f>
        <v>#N/A</v>
      </c>
    </row>
    <row r="274" spans="1:17" x14ac:dyDescent="0.45">
      <c r="A274" s="3">
        <f>配列!B274</f>
        <v>0</v>
      </c>
      <c r="B274" s="3" t="e">
        <f>_xlfn.XLOOKUP(A274,対応表!A:A,対応表!B:B)</f>
        <v>#N/A</v>
      </c>
      <c r="C274" s="3">
        <f>配列!C274</f>
        <v>0</v>
      </c>
      <c r="D274" s="3" t="str">
        <f>IF(配列!E274="",RIGHT(配列!D274&amp;配列!E274,4)&amp;"L",RIGHT(配列!D274&amp;配列!E274,5))</f>
        <v>L</v>
      </c>
      <c r="E274" s="3">
        <f t="shared" si="16"/>
        <v>0</v>
      </c>
      <c r="F274" s="3" t="e">
        <f>_xlfn.XLOOKUP(E274,セットアップレポート_紐づけ用!A:A,セットアップレポート_紐づけ用!J:J)</f>
        <v>#N/A</v>
      </c>
      <c r="G274" s="3" t="e">
        <f>_xlfn.XLOOKUP(E274,セットアップレポート_紐づけ用!A:A,セットアップレポート_紐づけ用!V:V)</f>
        <v>#N/A</v>
      </c>
      <c r="H274" s="3">
        <f t="shared" si="19"/>
        <v>-2</v>
      </c>
      <c r="I274" t="str">
        <f>IF(J274=0,"",IF(配列!E274="",マクロ実行!$A$16 &amp;" T"&amp;H274&amp;"-"&amp;RIGHT(配列!D274&amp;配列!E274,2),マクロ実行!$A$16 &amp;" T"&amp;H274&amp;"-"&amp;RIGHT(配列!D274&amp;配列!E274,3)))</f>
        <v/>
      </c>
      <c r="J274">
        <f>配列!F274</f>
        <v>0</v>
      </c>
      <c r="K274" s="2" t="e">
        <f>_xlfn.XLOOKUP(E274,セットアップレポート_紐づけ用!A:A,セットアップレポート_紐づけ用!R:R)</f>
        <v>#N/A</v>
      </c>
      <c r="L274" t="e">
        <f t="shared" si="17"/>
        <v>#N/A</v>
      </c>
      <c r="M274" t="e">
        <f>_xlfn.XLOOKUP(L274,EGPro!A:A,EGPro!D:D)</f>
        <v>#N/A</v>
      </c>
      <c r="N274" t="e">
        <f>_xlfn.XLOOKUP(L274,EGPro!A:A,EGPro!C:C)</f>
        <v>#N/A</v>
      </c>
      <c r="O274" t="e">
        <f t="shared" si="18"/>
        <v>#N/A</v>
      </c>
      <c r="P274" t="e">
        <f>_xlfn.XLOOKUP(O274,EGPro!A:A,EGPro!D:D)</f>
        <v>#N/A</v>
      </c>
      <c r="Q274" t="e">
        <f>_xlfn.XLOOKUP(O274,EGPro!A:A,EGPro!C:C)</f>
        <v>#N/A</v>
      </c>
    </row>
    <row r="275" spans="1:17" x14ac:dyDescent="0.45">
      <c r="A275" s="3">
        <f>配列!B275</f>
        <v>0</v>
      </c>
      <c r="B275" s="3" t="e">
        <f>_xlfn.XLOOKUP(A275,対応表!A:A,対応表!B:B)</f>
        <v>#N/A</v>
      </c>
      <c r="C275" s="3">
        <f>配列!C275</f>
        <v>0</v>
      </c>
      <c r="D275" s="3" t="str">
        <f>IF(配列!E275="",RIGHT(配列!D275&amp;配列!E275,4)&amp;"L",RIGHT(配列!D275&amp;配列!E275,5))</f>
        <v>L</v>
      </c>
      <c r="E275" s="3">
        <f t="shared" si="16"/>
        <v>0</v>
      </c>
      <c r="F275" s="3" t="e">
        <f>_xlfn.XLOOKUP(E275,セットアップレポート_紐づけ用!A:A,セットアップレポート_紐づけ用!J:J)</f>
        <v>#N/A</v>
      </c>
      <c r="G275" s="3" t="e">
        <f>_xlfn.XLOOKUP(E275,セットアップレポート_紐づけ用!A:A,セットアップレポート_紐づけ用!V:V)</f>
        <v>#N/A</v>
      </c>
      <c r="H275" s="3">
        <f t="shared" si="19"/>
        <v>-2</v>
      </c>
      <c r="I275" t="str">
        <f>IF(J275=0,"",IF(配列!E275="",マクロ実行!$A$16 &amp;" T"&amp;H275&amp;"-"&amp;RIGHT(配列!D275&amp;配列!E275,2),マクロ実行!$A$16 &amp;" T"&amp;H275&amp;"-"&amp;RIGHT(配列!D275&amp;配列!E275,3)))</f>
        <v/>
      </c>
      <c r="J275">
        <f>配列!F275</f>
        <v>0</v>
      </c>
      <c r="K275" s="2" t="e">
        <f>_xlfn.XLOOKUP(E275,セットアップレポート_紐づけ用!A:A,セットアップレポート_紐づけ用!R:R)</f>
        <v>#N/A</v>
      </c>
      <c r="L275" t="e">
        <f t="shared" si="17"/>
        <v>#N/A</v>
      </c>
      <c r="M275" t="e">
        <f>_xlfn.XLOOKUP(L275,EGPro!A:A,EGPro!D:D)</f>
        <v>#N/A</v>
      </c>
      <c r="N275" t="e">
        <f>_xlfn.XLOOKUP(L275,EGPro!A:A,EGPro!C:C)</f>
        <v>#N/A</v>
      </c>
      <c r="O275" t="e">
        <f t="shared" si="18"/>
        <v>#N/A</v>
      </c>
      <c r="P275" t="e">
        <f>_xlfn.XLOOKUP(O275,EGPro!A:A,EGPro!D:D)</f>
        <v>#N/A</v>
      </c>
      <c r="Q275" t="e">
        <f>_xlfn.XLOOKUP(O275,EGPro!A:A,EGPro!C:C)</f>
        <v>#N/A</v>
      </c>
    </row>
    <row r="276" spans="1:17" x14ac:dyDescent="0.45">
      <c r="A276" s="3">
        <f>配列!B276</f>
        <v>0</v>
      </c>
      <c r="B276" s="3" t="e">
        <f>_xlfn.XLOOKUP(A276,対応表!A:A,対応表!B:B)</f>
        <v>#N/A</v>
      </c>
      <c r="C276" s="3">
        <f>配列!C276</f>
        <v>0</v>
      </c>
      <c r="D276" s="3" t="str">
        <f>IF(配列!E276="",RIGHT(配列!D276&amp;配列!E276,4)&amp;"L",RIGHT(配列!D276&amp;配列!E276,5))</f>
        <v>L</v>
      </c>
      <c r="E276" s="3">
        <f t="shared" si="16"/>
        <v>0</v>
      </c>
      <c r="F276" s="3" t="e">
        <f>_xlfn.XLOOKUP(E276,セットアップレポート_紐づけ用!A:A,セットアップレポート_紐づけ用!J:J)</f>
        <v>#N/A</v>
      </c>
      <c r="G276" s="3" t="e">
        <f>_xlfn.XLOOKUP(E276,セットアップレポート_紐づけ用!A:A,セットアップレポート_紐づけ用!V:V)</f>
        <v>#N/A</v>
      </c>
      <c r="H276" s="3">
        <f t="shared" si="19"/>
        <v>-2</v>
      </c>
      <c r="I276" t="str">
        <f>IF(J276=0,"",IF(配列!E276="",マクロ実行!$A$16 &amp;" T"&amp;H276&amp;"-"&amp;RIGHT(配列!D276&amp;配列!E276,2),マクロ実行!$A$16 &amp;" T"&amp;H276&amp;"-"&amp;RIGHT(配列!D276&amp;配列!E276,3)))</f>
        <v/>
      </c>
      <c r="J276">
        <f>配列!F276</f>
        <v>0</v>
      </c>
      <c r="K276" s="2" t="e">
        <f>_xlfn.XLOOKUP(E276,セットアップレポート_紐づけ用!A:A,セットアップレポート_紐づけ用!R:R)</f>
        <v>#N/A</v>
      </c>
      <c r="L276" t="e">
        <f t="shared" si="17"/>
        <v>#N/A</v>
      </c>
      <c r="M276" t="e">
        <f>_xlfn.XLOOKUP(L276,EGPro!A:A,EGPro!D:D)</f>
        <v>#N/A</v>
      </c>
      <c r="N276" t="e">
        <f>_xlfn.XLOOKUP(L276,EGPro!A:A,EGPro!C:C)</f>
        <v>#N/A</v>
      </c>
      <c r="O276" t="e">
        <f t="shared" si="18"/>
        <v>#N/A</v>
      </c>
      <c r="P276" t="e">
        <f>_xlfn.XLOOKUP(O276,EGPro!A:A,EGPro!D:D)</f>
        <v>#N/A</v>
      </c>
      <c r="Q276" t="e">
        <f>_xlfn.XLOOKUP(O276,EGPro!A:A,EGPro!C:C)</f>
        <v>#N/A</v>
      </c>
    </row>
    <row r="277" spans="1:17" x14ac:dyDescent="0.45">
      <c r="A277" s="3">
        <f>配列!B277</f>
        <v>0</v>
      </c>
      <c r="B277" s="3" t="e">
        <f>_xlfn.XLOOKUP(A277,対応表!A:A,対応表!B:B)</f>
        <v>#N/A</v>
      </c>
      <c r="C277" s="3">
        <f>配列!C277</f>
        <v>0</v>
      </c>
      <c r="D277" s="3" t="str">
        <f>IF(配列!E277="",RIGHT(配列!D277&amp;配列!E277,4)&amp;"L",RIGHT(配列!D277&amp;配列!E277,5))</f>
        <v>L</v>
      </c>
      <c r="E277" s="3">
        <f t="shared" si="16"/>
        <v>0</v>
      </c>
      <c r="F277" s="3" t="e">
        <f>_xlfn.XLOOKUP(E277,セットアップレポート_紐づけ用!A:A,セットアップレポート_紐づけ用!J:J)</f>
        <v>#N/A</v>
      </c>
      <c r="G277" s="3" t="e">
        <f>_xlfn.XLOOKUP(E277,セットアップレポート_紐づけ用!A:A,セットアップレポート_紐づけ用!V:V)</f>
        <v>#N/A</v>
      </c>
      <c r="H277" s="3">
        <f t="shared" si="19"/>
        <v>-2</v>
      </c>
      <c r="I277" t="str">
        <f>IF(J277=0,"",IF(配列!E277="",マクロ実行!$A$16 &amp;" T"&amp;H277&amp;"-"&amp;RIGHT(配列!D277&amp;配列!E277,2),マクロ実行!$A$16 &amp;" T"&amp;H277&amp;"-"&amp;RIGHT(配列!D277&amp;配列!E277,3)))</f>
        <v/>
      </c>
      <c r="J277">
        <f>配列!F277</f>
        <v>0</v>
      </c>
      <c r="K277" s="2" t="e">
        <f>_xlfn.XLOOKUP(E277,セットアップレポート_紐づけ用!A:A,セットアップレポート_紐づけ用!R:R)</f>
        <v>#N/A</v>
      </c>
      <c r="L277" t="e">
        <f t="shared" si="17"/>
        <v>#N/A</v>
      </c>
      <c r="M277" t="e">
        <f>_xlfn.XLOOKUP(L277,EGPro!A:A,EGPro!D:D)</f>
        <v>#N/A</v>
      </c>
      <c r="N277" t="e">
        <f>_xlfn.XLOOKUP(L277,EGPro!A:A,EGPro!C:C)</f>
        <v>#N/A</v>
      </c>
      <c r="O277" t="e">
        <f t="shared" si="18"/>
        <v>#N/A</v>
      </c>
      <c r="P277" t="e">
        <f>_xlfn.XLOOKUP(O277,EGPro!A:A,EGPro!D:D)</f>
        <v>#N/A</v>
      </c>
      <c r="Q277" t="e">
        <f>_xlfn.XLOOKUP(O277,EGPro!A:A,EGPro!C:C)</f>
        <v>#N/A</v>
      </c>
    </row>
    <row r="278" spans="1:17" x14ac:dyDescent="0.45">
      <c r="A278" s="3">
        <f>配列!B278</f>
        <v>0</v>
      </c>
      <c r="B278" s="3" t="e">
        <f>_xlfn.XLOOKUP(A278,対応表!A:A,対応表!B:B)</f>
        <v>#N/A</v>
      </c>
      <c r="C278" s="3">
        <f>配列!C278</f>
        <v>0</v>
      </c>
      <c r="D278" s="3" t="str">
        <f>IF(配列!E278="",RIGHT(配列!D278&amp;配列!E278,4)&amp;"L",RIGHT(配列!D278&amp;配列!E278,5))</f>
        <v>L</v>
      </c>
      <c r="E278" s="3">
        <f t="shared" si="16"/>
        <v>0</v>
      </c>
      <c r="F278" s="3" t="e">
        <f>_xlfn.XLOOKUP(E278,セットアップレポート_紐づけ用!A:A,セットアップレポート_紐づけ用!J:J)</f>
        <v>#N/A</v>
      </c>
      <c r="G278" s="3" t="e">
        <f>_xlfn.XLOOKUP(E278,セットアップレポート_紐づけ用!A:A,セットアップレポート_紐づけ用!V:V)</f>
        <v>#N/A</v>
      </c>
      <c r="H278" s="3">
        <f t="shared" si="19"/>
        <v>-2</v>
      </c>
      <c r="I278" t="str">
        <f>IF(J278=0,"",IF(配列!E278="",マクロ実行!$A$16 &amp;" T"&amp;H278&amp;"-"&amp;RIGHT(配列!D278&amp;配列!E278,2),マクロ実行!$A$16 &amp;" T"&amp;H278&amp;"-"&amp;RIGHT(配列!D278&amp;配列!E278,3)))</f>
        <v/>
      </c>
      <c r="J278">
        <f>配列!F278</f>
        <v>0</v>
      </c>
      <c r="K278" s="2" t="e">
        <f>_xlfn.XLOOKUP(E278,セットアップレポート_紐づけ用!A:A,セットアップレポート_紐づけ用!R:R)</f>
        <v>#N/A</v>
      </c>
      <c r="L278" t="e">
        <f t="shared" si="17"/>
        <v>#N/A</v>
      </c>
      <c r="M278" t="e">
        <f>_xlfn.XLOOKUP(L278,EGPro!A:A,EGPro!D:D)</f>
        <v>#N/A</v>
      </c>
      <c r="N278" t="e">
        <f>_xlfn.XLOOKUP(L278,EGPro!A:A,EGPro!C:C)</f>
        <v>#N/A</v>
      </c>
      <c r="O278" t="e">
        <f t="shared" si="18"/>
        <v>#N/A</v>
      </c>
      <c r="P278" t="e">
        <f>_xlfn.XLOOKUP(O278,EGPro!A:A,EGPro!D:D)</f>
        <v>#N/A</v>
      </c>
      <c r="Q278" t="e">
        <f>_xlfn.XLOOKUP(O278,EGPro!A:A,EGPro!C:C)</f>
        <v>#N/A</v>
      </c>
    </row>
    <row r="279" spans="1:17" x14ac:dyDescent="0.45">
      <c r="A279" s="3">
        <f>配列!B279</f>
        <v>0</v>
      </c>
      <c r="B279" s="3" t="e">
        <f>_xlfn.XLOOKUP(A279,対応表!A:A,対応表!B:B)</f>
        <v>#N/A</v>
      </c>
      <c r="C279" s="3">
        <f>配列!C279</f>
        <v>0</v>
      </c>
      <c r="D279" s="3" t="str">
        <f>IF(配列!E279="",RIGHT(配列!D279&amp;配列!E279,4)&amp;"L",RIGHT(配列!D279&amp;配列!E279,5))</f>
        <v>L</v>
      </c>
      <c r="E279" s="3">
        <f t="shared" si="16"/>
        <v>0</v>
      </c>
      <c r="F279" s="3" t="e">
        <f>_xlfn.XLOOKUP(E279,セットアップレポート_紐づけ用!A:A,セットアップレポート_紐づけ用!J:J)</f>
        <v>#N/A</v>
      </c>
      <c r="G279" s="3" t="e">
        <f>_xlfn.XLOOKUP(E279,セットアップレポート_紐づけ用!A:A,セットアップレポート_紐づけ用!V:V)</f>
        <v>#N/A</v>
      </c>
      <c r="H279" s="3">
        <f t="shared" si="19"/>
        <v>-2</v>
      </c>
      <c r="I279" t="str">
        <f>IF(J279=0,"",IF(配列!E279="",マクロ実行!$A$16 &amp;" T"&amp;H279&amp;"-"&amp;RIGHT(配列!D279&amp;配列!E279,2),マクロ実行!$A$16 &amp;" T"&amp;H279&amp;"-"&amp;RIGHT(配列!D279&amp;配列!E279,3)))</f>
        <v/>
      </c>
      <c r="J279">
        <f>配列!F279</f>
        <v>0</v>
      </c>
      <c r="K279" s="2" t="e">
        <f>_xlfn.XLOOKUP(E279,セットアップレポート_紐づけ用!A:A,セットアップレポート_紐づけ用!R:R)</f>
        <v>#N/A</v>
      </c>
      <c r="L279" t="e">
        <f t="shared" si="17"/>
        <v>#N/A</v>
      </c>
      <c r="M279" t="e">
        <f>_xlfn.XLOOKUP(L279,EGPro!A:A,EGPro!D:D)</f>
        <v>#N/A</v>
      </c>
      <c r="N279" t="e">
        <f>_xlfn.XLOOKUP(L279,EGPro!A:A,EGPro!C:C)</f>
        <v>#N/A</v>
      </c>
      <c r="O279" t="e">
        <f t="shared" si="18"/>
        <v>#N/A</v>
      </c>
      <c r="P279" t="e">
        <f>_xlfn.XLOOKUP(O279,EGPro!A:A,EGPro!D:D)</f>
        <v>#N/A</v>
      </c>
      <c r="Q279" t="e">
        <f>_xlfn.XLOOKUP(O279,EGPro!A:A,EGPro!C:C)</f>
        <v>#N/A</v>
      </c>
    </row>
    <row r="280" spans="1:17" x14ac:dyDescent="0.45">
      <c r="A280" s="3">
        <f>配列!B280</f>
        <v>0</v>
      </c>
      <c r="B280" s="3" t="e">
        <f>_xlfn.XLOOKUP(A280,対応表!A:A,対応表!B:B)</f>
        <v>#N/A</v>
      </c>
      <c r="C280" s="3">
        <f>配列!C280</f>
        <v>0</v>
      </c>
      <c r="D280" s="3" t="str">
        <f>IF(配列!E280="",RIGHT(配列!D280&amp;配列!E280,4)&amp;"L",RIGHT(配列!D280&amp;配列!E280,5))</f>
        <v>L</v>
      </c>
      <c r="E280" s="3">
        <f t="shared" si="16"/>
        <v>0</v>
      </c>
      <c r="F280" s="3" t="e">
        <f>_xlfn.XLOOKUP(E280,セットアップレポート_紐づけ用!A:A,セットアップレポート_紐づけ用!J:J)</f>
        <v>#N/A</v>
      </c>
      <c r="G280" s="3" t="e">
        <f>_xlfn.XLOOKUP(E280,セットアップレポート_紐づけ用!A:A,セットアップレポート_紐づけ用!V:V)</f>
        <v>#N/A</v>
      </c>
      <c r="H280" s="3">
        <f t="shared" si="19"/>
        <v>-2</v>
      </c>
      <c r="I280" t="str">
        <f>IF(J280=0,"",IF(配列!E280="",マクロ実行!$A$16 &amp;" T"&amp;H280&amp;"-"&amp;RIGHT(配列!D280&amp;配列!E280,2),マクロ実行!$A$16 &amp;" T"&amp;H280&amp;"-"&amp;RIGHT(配列!D280&amp;配列!E280,3)))</f>
        <v/>
      </c>
      <c r="J280">
        <f>配列!F280</f>
        <v>0</v>
      </c>
      <c r="K280" s="2" t="e">
        <f>_xlfn.XLOOKUP(E280,セットアップレポート_紐づけ用!A:A,セットアップレポート_紐づけ用!R:R)</f>
        <v>#N/A</v>
      </c>
      <c r="L280" t="e">
        <f t="shared" si="17"/>
        <v>#N/A</v>
      </c>
      <c r="M280" t="e">
        <f>_xlfn.XLOOKUP(L280,EGPro!A:A,EGPro!D:D)</f>
        <v>#N/A</v>
      </c>
      <c r="N280" t="e">
        <f>_xlfn.XLOOKUP(L280,EGPro!A:A,EGPro!C:C)</f>
        <v>#N/A</v>
      </c>
      <c r="O280" t="e">
        <f t="shared" si="18"/>
        <v>#N/A</v>
      </c>
      <c r="P280" t="e">
        <f>_xlfn.XLOOKUP(O280,EGPro!A:A,EGPro!D:D)</f>
        <v>#N/A</v>
      </c>
      <c r="Q280" t="e">
        <f>_xlfn.XLOOKUP(O280,EGPro!A:A,EGPro!C:C)</f>
        <v>#N/A</v>
      </c>
    </row>
    <row r="281" spans="1:17" x14ac:dyDescent="0.45">
      <c r="A281" s="3">
        <f>配列!B281</f>
        <v>0</v>
      </c>
      <c r="B281" s="3" t="e">
        <f>_xlfn.XLOOKUP(A281,対応表!A:A,対応表!B:B)</f>
        <v>#N/A</v>
      </c>
      <c r="C281" s="3">
        <f>配列!C281</f>
        <v>0</v>
      </c>
      <c r="D281" s="3" t="str">
        <f>IF(配列!E281="",RIGHT(配列!D281&amp;配列!E281,4)&amp;"L",RIGHT(配列!D281&amp;配列!E281,5))</f>
        <v>L</v>
      </c>
      <c r="E281" s="3">
        <f t="shared" si="16"/>
        <v>0</v>
      </c>
      <c r="F281" s="3" t="e">
        <f>_xlfn.XLOOKUP(E281,セットアップレポート_紐づけ用!A:A,セットアップレポート_紐づけ用!J:J)</f>
        <v>#N/A</v>
      </c>
      <c r="G281" s="3" t="e">
        <f>_xlfn.XLOOKUP(E281,セットアップレポート_紐づけ用!A:A,セットアップレポート_紐づけ用!V:V)</f>
        <v>#N/A</v>
      </c>
      <c r="H281" s="3">
        <f t="shared" si="19"/>
        <v>-2</v>
      </c>
      <c r="I281" t="str">
        <f>IF(J281=0,"",IF(配列!E281="",マクロ実行!$A$16 &amp;" T"&amp;H281&amp;"-"&amp;RIGHT(配列!D281&amp;配列!E281,2),マクロ実行!$A$16 &amp;" T"&amp;H281&amp;"-"&amp;RIGHT(配列!D281&amp;配列!E281,3)))</f>
        <v/>
      </c>
      <c r="J281">
        <f>配列!F281</f>
        <v>0</v>
      </c>
      <c r="K281" s="2" t="e">
        <f>_xlfn.XLOOKUP(E281,セットアップレポート_紐づけ用!A:A,セットアップレポート_紐づけ用!R:R)</f>
        <v>#N/A</v>
      </c>
      <c r="L281" t="e">
        <f t="shared" si="17"/>
        <v>#N/A</v>
      </c>
      <c r="M281" t="e">
        <f>_xlfn.XLOOKUP(L281,EGPro!A:A,EGPro!D:D)</f>
        <v>#N/A</v>
      </c>
      <c r="N281" t="e">
        <f>_xlfn.XLOOKUP(L281,EGPro!A:A,EGPro!C:C)</f>
        <v>#N/A</v>
      </c>
      <c r="O281" t="e">
        <f t="shared" si="18"/>
        <v>#N/A</v>
      </c>
      <c r="P281" t="e">
        <f>_xlfn.XLOOKUP(O281,EGPro!A:A,EGPro!D:D)</f>
        <v>#N/A</v>
      </c>
      <c r="Q281" t="e">
        <f>_xlfn.XLOOKUP(O281,EGPro!A:A,EGPro!C:C)</f>
        <v>#N/A</v>
      </c>
    </row>
    <row r="282" spans="1:17" x14ac:dyDescent="0.45">
      <c r="A282" s="3">
        <f>配列!B282</f>
        <v>0</v>
      </c>
      <c r="B282" s="3" t="e">
        <f>_xlfn.XLOOKUP(A282,対応表!A:A,対応表!B:B)</f>
        <v>#N/A</v>
      </c>
      <c r="C282" s="3">
        <f>配列!C282</f>
        <v>0</v>
      </c>
      <c r="D282" s="3" t="str">
        <f>IF(配列!E282="",RIGHT(配列!D282&amp;配列!E282,4)&amp;"L",RIGHT(配列!D282&amp;配列!E282,5))</f>
        <v>L</v>
      </c>
      <c r="E282" s="3">
        <f t="shared" si="16"/>
        <v>0</v>
      </c>
      <c r="F282" s="3" t="e">
        <f>_xlfn.XLOOKUP(E282,セットアップレポート_紐づけ用!A:A,セットアップレポート_紐づけ用!J:J)</f>
        <v>#N/A</v>
      </c>
      <c r="G282" s="3" t="e">
        <f>_xlfn.XLOOKUP(E282,セットアップレポート_紐づけ用!A:A,セットアップレポート_紐づけ用!V:V)</f>
        <v>#N/A</v>
      </c>
      <c r="H282" s="3">
        <f t="shared" si="19"/>
        <v>-2</v>
      </c>
      <c r="I282" t="str">
        <f>IF(J282=0,"",IF(配列!E282="",マクロ実行!$A$16 &amp;" T"&amp;H282&amp;"-"&amp;RIGHT(配列!D282&amp;配列!E282,2),マクロ実行!$A$16 &amp;" T"&amp;H282&amp;"-"&amp;RIGHT(配列!D282&amp;配列!E282,3)))</f>
        <v/>
      </c>
      <c r="J282">
        <f>配列!F282</f>
        <v>0</v>
      </c>
      <c r="K282" s="2" t="e">
        <f>_xlfn.XLOOKUP(E282,セットアップレポート_紐づけ用!A:A,セットアップレポート_紐づけ用!R:R)</f>
        <v>#N/A</v>
      </c>
      <c r="L282" t="e">
        <f t="shared" si="17"/>
        <v>#N/A</v>
      </c>
      <c r="M282" t="e">
        <f>_xlfn.XLOOKUP(L282,EGPro!A:A,EGPro!D:D)</f>
        <v>#N/A</v>
      </c>
      <c r="N282" t="e">
        <f>_xlfn.XLOOKUP(L282,EGPro!A:A,EGPro!C:C)</f>
        <v>#N/A</v>
      </c>
      <c r="O282" t="e">
        <f t="shared" si="18"/>
        <v>#N/A</v>
      </c>
      <c r="P282" t="e">
        <f>_xlfn.XLOOKUP(O282,EGPro!A:A,EGPro!D:D)</f>
        <v>#N/A</v>
      </c>
      <c r="Q282" t="e">
        <f>_xlfn.XLOOKUP(O282,EGPro!A:A,EGPro!C:C)</f>
        <v>#N/A</v>
      </c>
    </row>
    <row r="283" spans="1:17" x14ac:dyDescent="0.45">
      <c r="A283" s="3">
        <f>配列!B283</f>
        <v>0</v>
      </c>
      <c r="B283" s="3" t="e">
        <f>_xlfn.XLOOKUP(A283,対応表!A:A,対応表!B:B)</f>
        <v>#N/A</v>
      </c>
      <c r="C283" s="3">
        <f>配列!C283</f>
        <v>0</v>
      </c>
      <c r="D283" s="3" t="str">
        <f>IF(配列!E283="",RIGHT(配列!D283&amp;配列!E283,4)&amp;"L",RIGHT(配列!D283&amp;配列!E283,5))</f>
        <v>L</v>
      </c>
      <c r="E283" s="3">
        <f t="shared" si="16"/>
        <v>0</v>
      </c>
      <c r="F283" s="3" t="e">
        <f>_xlfn.XLOOKUP(E283,セットアップレポート_紐づけ用!A:A,セットアップレポート_紐づけ用!J:J)</f>
        <v>#N/A</v>
      </c>
      <c r="G283" s="3" t="e">
        <f>_xlfn.XLOOKUP(E283,セットアップレポート_紐づけ用!A:A,セットアップレポート_紐づけ用!V:V)</f>
        <v>#N/A</v>
      </c>
      <c r="H283" s="3">
        <f t="shared" si="19"/>
        <v>-2</v>
      </c>
      <c r="I283" t="str">
        <f>IF(J283=0,"",IF(配列!E283="",マクロ実行!$A$16 &amp;" T"&amp;H283&amp;"-"&amp;RIGHT(配列!D283&amp;配列!E283,2),マクロ実行!$A$16 &amp;" T"&amp;H283&amp;"-"&amp;RIGHT(配列!D283&amp;配列!E283,3)))</f>
        <v/>
      </c>
      <c r="J283">
        <f>配列!F283</f>
        <v>0</v>
      </c>
      <c r="K283" s="2" t="e">
        <f>_xlfn.XLOOKUP(E283,セットアップレポート_紐づけ用!A:A,セットアップレポート_紐づけ用!R:R)</f>
        <v>#N/A</v>
      </c>
      <c r="L283" t="e">
        <f t="shared" si="17"/>
        <v>#N/A</v>
      </c>
      <c r="M283" t="e">
        <f>_xlfn.XLOOKUP(L283,EGPro!A:A,EGPro!D:D)</f>
        <v>#N/A</v>
      </c>
      <c r="N283" t="e">
        <f>_xlfn.XLOOKUP(L283,EGPro!A:A,EGPro!C:C)</f>
        <v>#N/A</v>
      </c>
      <c r="O283" t="e">
        <f t="shared" si="18"/>
        <v>#N/A</v>
      </c>
      <c r="P283" t="e">
        <f>_xlfn.XLOOKUP(O283,EGPro!A:A,EGPro!D:D)</f>
        <v>#N/A</v>
      </c>
      <c r="Q283" t="e">
        <f>_xlfn.XLOOKUP(O283,EGPro!A:A,EGPro!C:C)</f>
        <v>#N/A</v>
      </c>
    </row>
    <row r="284" spans="1:17" x14ac:dyDescent="0.45">
      <c r="A284" s="3">
        <f>配列!B284</f>
        <v>0</v>
      </c>
      <c r="B284" s="3" t="e">
        <f>_xlfn.XLOOKUP(A284,対応表!A:A,対応表!B:B)</f>
        <v>#N/A</v>
      </c>
      <c r="C284" s="3">
        <f>配列!C284</f>
        <v>0</v>
      </c>
      <c r="D284" s="3" t="str">
        <f>IF(配列!E284="",RIGHT(配列!D284&amp;配列!E284,4)&amp;"L",RIGHT(配列!D284&amp;配列!E284,5))</f>
        <v>L</v>
      </c>
      <c r="E284" s="3">
        <f t="shared" si="16"/>
        <v>0</v>
      </c>
      <c r="F284" s="3" t="e">
        <f>_xlfn.XLOOKUP(E284,セットアップレポート_紐づけ用!A:A,セットアップレポート_紐づけ用!J:J)</f>
        <v>#N/A</v>
      </c>
      <c r="G284" s="3" t="e">
        <f>_xlfn.XLOOKUP(E284,セットアップレポート_紐づけ用!A:A,セットアップレポート_紐づけ用!V:V)</f>
        <v>#N/A</v>
      </c>
      <c r="H284" s="3">
        <f t="shared" si="19"/>
        <v>-2</v>
      </c>
      <c r="I284" t="str">
        <f>IF(J284=0,"",IF(配列!E284="",マクロ実行!$A$16 &amp;" T"&amp;H284&amp;"-"&amp;RIGHT(配列!D284&amp;配列!E284,2),マクロ実行!$A$16 &amp;" T"&amp;H284&amp;"-"&amp;RIGHT(配列!D284&amp;配列!E284,3)))</f>
        <v/>
      </c>
      <c r="J284">
        <f>配列!F284</f>
        <v>0</v>
      </c>
      <c r="K284" s="2" t="e">
        <f>_xlfn.XLOOKUP(E284,セットアップレポート_紐づけ用!A:A,セットアップレポート_紐づけ用!R:R)</f>
        <v>#N/A</v>
      </c>
      <c r="L284" t="e">
        <f t="shared" si="17"/>
        <v>#N/A</v>
      </c>
      <c r="M284" t="e">
        <f>_xlfn.XLOOKUP(L284,EGPro!A:A,EGPro!D:D)</f>
        <v>#N/A</v>
      </c>
      <c r="N284" t="e">
        <f>_xlfn.XLOOKUP(L284,EGPro!A:A,EGPro!C:C)</f>
        <v>#N/A</v>
      </c>
      <c r="O284" t="e">
        <f t="shared" si="18"/>
        <v>#N/A</v>
      </c>
      <c r="P284" t="e">
        <f>_xlfn.XLOOKUP(O284,EGPro!A:A,EGPro!D:D)</f>
        <v>#N/A</v>
      </c>
      <c r="Q284" t="e">
        <f>_xlfn.XLOOKUP(O284,EGPro!A:A,EGPro!C:C)</f>
        <v>#N/A</v>
      </c>
    </row>
    <row r="285" spans="1:17" x14ac:dyDescent="0.45">
      <c r="A285" s="3">
        <f>配列!B285</f>
        <v>0</v>
      </c>
      <c r="B285" s="3" t="e">
        <f>_xlfn.XLOOKUP(A285,対応表!A:A,対応表!B:B)</f>
        <v>#N/A</v>
      </c>
      <c r="C285" s="3">
        <f>配列!C285</f>
        <v>0</v>
      </c>
      <c r="D285" s="3" t="str">
        <f>IF(配列!E285="",RIGHT(配列!D285&amp;配列!E285,4)&amp;"L",RIGHT(配列!D285&amp;配列!E285,5))</f>
        <v>L</v>
      </c>
      <c r="E285" s="3">
        <f t="shared" si="16"/>
        <v>0</v>
      </c>
      <c r="F285" s="3" t="e">
        <f>_xlfn.XLOOKUP(E285,セットアップレポート_紐づけ用!A:A,セットアップレポート_紐づけ用!J:J)</f>
        <v>#N/A</v>
      </c>
      <c r="G285" s="3" t="e">
        <f>_xlfn.XLOOKUP(E285,セットアップレポート_紐づけ用!A:A,セットアップレポート_紐づけ用!V:V)</f>
        <v>#N/A</v>
      </c>
      <c r="H285" s="3">
        <f t="shared" si="19"/>
        <v>-2</v>
      </c>
      <c r="I285" t="str">
        <f>IF(J285=0,"",IF(配列!E285="",マクロ実行!$A$16 &amp;" T"&amp;H285&amp;"-"&amp;RIGHT(配列!D285&amp;配列!E285,2),マクロ実行!$A$16 &amp;" T"&amp;H285&amp;"-"&amp;RIGHT(配列!D285&amp;配列!E285,3)))</f>
        <v/>
      </c>
      <c r="J285">
        <f>配列!F285</f>
        <v>0</v>
      </c>
      <c r="K285" s="2" t="e">
        <f>_xlfn.XLOOKUP(E285,セットアップレポート_紐づけ用!A:A,セットアップレポート_紐づけ用!R:R)</f>
        <v>#N/A</v>
      </c>
      <c r="L285" t="e">
        <f t="shared" si="17"/>
        <v>#N/A</v>
      </c>
      <c r="M285" t="e">
        <f>_xlfn.XLOOKUP(L285,EGPro!A:A,EGPro!D:D)</f>
        <v>#N/A</v>
      </c>
      <c r="N285" t="e">
        <f>_xlfn.XLOOKUP(L285,EGPro!A:A,EGPro!C:C)</f>
        <v>#N/A</v>
      </c>
      <c r="O285" t="e">
        <f t="shared" si="18"/>
        <v>#N/A</v>
      </c>
      <c r="P285" t="e">
        <f>_xlfn.XLOOKUP(O285,EGPro!A:A,EGPro!D:D)</f>
        <v>#N/A</v>
      </c>
      <c r="Q285" t="e">
        <f>_xlfn.XLOOKUP(O285,EGPro!A:A,EGPro!C:C)</f>
        <v>#N/A</v>
      </c>
    </row>
    <row r="286" spans="1:17" x14ac:dyDescent="0.45">
      <c r="A286" s="3">
        <f>配列!B286</f>
        <v>0</v>
      </c>
      <c r="B286" s="3" t="e">
        <f>_xlfn.XLOOKUP(A286,対応表!A:A,対応表!B:B)</f>
        <v>#N/A</v>
      </c>
      <c r="C286" s="3">
        <f>配列!C286</f>
        <v>0</v>
      </c>
      <c r="D286" s="3" t="str">
        <f>IF(配列!E286="",RIGHT(配列!D286&amp;配列!E286,4)&amp;"L",RIGHT(配列!D286&amp;配列!E286,5))</f>
        <v>L</v>
      </c>
      <c r="E286" s="3">
        <f t="shared" si="16"/>
        <v>0</v>
      </c>
      <c r="F286" s="3" t="e">
        <f>_xlfn.XLOOKUP(E286,セットアップレポート_紐づけ用!A:A,セットアップレポート_紐づけ用!J:J)</f>
        <v>#N/A</v>
      </c>
      <c r="G286" s="3" t="e">
        <f>_xlfn.XLOOKUP(E286,セットアップレポート_紐づけ用!A:A,セットアップレポート_紐づけ用!V:V)</f>
        <v>#N/A</v>
      </c>
      <c r="H286" s="3">
        <f t="shared" si="19"/>
        <v>-2</v>
      </c>
      <c r="I286" t="str">
        <f>IF(J286=0,"",IF(配列!E286="",マクロ実行!$A$16 &amp;" T"&amp;H286&amp;"-"&amp;RIGHT(配列!D286&amp;配列!E286,2),マクロ実行!$A$16 &amp;" T"&amp;H286&amp;"-"&amp;RIGHT(配列!D286&amp;配列!E286,3)))</f>
        <v/>
      </c>
      <c r="J286">
        <f>配列!F286</f>
        <v>0</v>
      </c>
      <c r="K286" s="2" t="e">
        <f>_xlfn.XLOOKUP(E286,セットアップレポート_紐づけ用!A:A,セットアップレポート_紐づけ用!R:R)</f>
        <v>#N/A</v>
      </c>
      <c r="L286" t="e">
        <f t="shared" si="17"/>
        <v>#N/A</v>
      </c>
      <c r="M286" t="e">
        <f>_xlfn.XLOOKUP(L286,EGPro!A:A,EGPro!D:D)</f>
        <v>#N/A</v>
      </c>
      <c r="N286" t="e">
        <f>_xlfn.XLOOKUP(L286,EGPro!A:A,EGPro!C:C)</f>
        <v>#N/A</v>
      </c>
      <c r="O286" t="e">
        <f t="shared" si="18"/>
        <v>#N/A</v>
      </c>
      <c r="P286" t="e">
        <f>_xlfn.XLOOKUP(O286,EGPro!A:A,EGPro!D:D)</f>
        <v>#N/A</v>
      </c>
      <c r="Q286" t="e">
        <f>_xlfn.XLOOKUP(O286,EGPro!A:A,EGPro!C:C)</f>
        <v>#N/A</v>
      </c>
    </row>
    <row r="287" spans="1:17" x14ac:dyDescent="0.45">
      <c r="A287" s="3">
        <f>配列!B287</f>
        <v>0</v>
      </c>
      <c r="B287" s="3" t="e">
        <f>_xlfn.XLOOKUP(A287,対応表!A:A,対応表!B:B)</f>
        <v>#N/A</v>
      </c>
      <c r="C287" s="3">
        <f>配列!C287</f>
        <v>0</v>
      </c>
      <c r="D287" s="3" t="str">
        <f>IF(配列!E287="",RIGHT(配列!D287&amp;配列!E287,4)&amp;"L",RIGHT(配列!D287&amp;配列!E287,5))</f>
        <v>L</v>
      </c>
      <c r="E287" s="3">
        <f t="shared" si="16"/>
        <v>0</v>
      </c>
      <c r="F287" s="3" t="e">
        <f>_xlfn.XLOOKUP(E287,セットアップレポート_紐づけ用!A:A,セットアップレポート_紐づけ用!J:J)</f>
        <v>#N/A</v>
      </c>
      <c r="G287" s="3" t="e">
        <f>_xlfn.XLOOKUP(E287,セットアップレポート_紐づけ用!A:A,セットアップレポート_紐づけ用!V:V)</f>
        <v>#N/A</v>
      </c>
      <c r="H287" s="3">
        <f t="shared" si="19"/>
        <v>-2</v>
      </c>
      <c r="I287" t="str">
        <f>IF(J287=0,"",IF(配列!E287="",マクロ実行!$A$16 &amp;" T"&amp;H287&amp;"-"&amp;RIGHT(配列!D287&amp;配列!E287,2),マクロ実行!$A$16 &amp;" T"&amp;H287&amp;"-"&amp;RIGHT(配列!D287&amp;配列!E287,3)))</f>
        <v/>
      </c>
      <c r="J287">
        <f>配列!F287</f>
        <v>0</v>
      </c>
      <c r="K287" s="2" t="e">
        <f>_xlfn.XLOOKUP(E287,セットアップレポート_紐づけ用!A:A,セットアップレポート_紐づけ用!R:R)</f>
        <v>#N/A</v>
      </c>
      <c r="L287" t="e">
        <f t="shared" si="17"/>
        <v>#N/A</v>
      </c>
      <c r="M287" t="e">
        <f>_xlfn.XLOOKUP(L287,EGPro!A:A,EGPro!D:D)</f>
        <v>#N/A</v>
      </c>
      <c r="N287" t="e">
        <f>_xlfn.XLOOKUP(L287,EGPro!A:A,EGPro!C:C)</f>
        <v>#N/A</v>
      </c>
      <c r="O287" t="e">
        <f t="shared" si="18"/>
        <v>#N/A</v>
      </c>
      <c r="P287" t="e">
        <f>_xlfn.XLOOKUP(O287,EGPro!A:A,EGPro!D:D)</f>
        <v>#N/A</v>
      </c>
      <c r="Q287" t="e">
        <f>_xlfn.XLOOKUP(O287,EGPro!A:A,EGPro!C:C)</f>
        <v>#N/A</v>
      </c>
    </row>
    <row r="288" spans="1:17" x14ac:dyDescent="0.45">
      <c r="A288" s="3">
        <f>配列!B288</f>
        <v>0</v>
      </c>
      <c r="B288" s="3" t="e">
        <f>_xlfn.XLOOKUP(A288,対応表!A:A,対応表!B:B)</f>
        <v>#N/A</v>
      </c>
      <c r="C288" s="3">
        <f>配列!C288</f>
        <v>0</v>
      </c>
      <c r="D288" s="3" t="str">
        <f>IF(配列!E288="",RIGHT(配列!D288&amp;配列!E288,4)&amp;"L",RIGHT(配列!D288&amp;配列!E288,5))</f>
        <v>L</v>
      </c>
      <c r="E288" s="3">
        <f t="shared" si="16"/>
        <v>0</v>
      </c>
      <c r="F288" s="3" t="e">
        <f>_xlfn.XLOOKUP(E288,セットアップレポート_紐づけ用!A:A,セットアップレポート_紐づけ用!J:J)</f>
        <v>#N/A</v>
      </c>
      <c r="G288" s="3" t="e">
        <f>_xlfn.XLOOKUP(E288,セットアップレポート_紐づけ用!A:A,セットアップレポート_紐づけ用!V:V)</f>
        <v>#N/A</v>
      </c>
      <c r="H288" s="3">
        <f t="shared" si="19"/>
        <v>-2</v>
      </c>
      <c r="I288" t="str">
        <f>IF(J288=0,"",IF(配列!E288="",マクロ実行!$A$16 &amp;" T"&amp;H288&amp;"-"&amp;RIGHT(配列!D288&amp;配列!E288,2),マクロ実行!$A$16 &amp;" T"&amp;H288&amp;"-"&amp;RIGHT(配列!D288&amp;配列!E288,3)))</f>
        <v/>
      </c>
      <c r="J288">
        <f>配列!F288</f>
        <v>0</v>
      </c>
      <c r="K288" s="2" t="e">
        <f>_xlfn.XLOOKUP(E288,セットアップレポート_紐づけ用!A:A,セットアップレポート_紐づけ用!R:R)</f>
        <v>#N/A</v>
      </c>
      <c r="L288" t="e">
        <f t="shared" si="17"/>
        <v>#N/A</v>
      </c>
      <c r="M288" t="e">
        <f>_xlfn.XLOOKUP(L288,EGPro!A:A,EGPro!D:D)</f>
        <v>#N/A</v>
      </c>
      <c r="N288" t="e">
        <f>_xlfn.XLOOKUP(L288,EGPro!A:A,EGPro!C:C)</f>
        <v>#N/A</v>
      </c>
      <c r="O288" t="e">
        <f t="shared" si="18"/>
        <v>#N/A</v>
      </c>
      <c r="P288" t="e">
        <f>_xlfn.XLOOKUP(O288,EGPro!A:A,EGPro!D:D)</f>
        <v>#N/A</v>
      </c>
      <c r="Q288" t="e">
        <f>_xlfn.XLOOKUP(O288,EGPro!A:A,EGPro!C:C)</f>
        <v>#N/A</v>
      </c>
    </row>
    <row r="289" spans="1:17" x14ac:dyDescent="0.45">
      <c r="A289" s="3">
        <f>配列!B289</f>
        <v>0</v>
      </c>
      <c r="B289" s="3" t="e">
        <f>_xlfn.XLOOKUP(A289,対応表!A:A,対応表!B:B)</f>
        <v>#N/A</v>
      </c>
      <c r="C289" s="3">
        <f>配列!C289</f>
        <v>0</v>
      </c>
      <c r="D289" s="3" t="str">
        <f>IF(配列!E289="",RIGHT(配列!D289&amp;配列!E289,4)&amp;"L",RIGHT(配列!D289&amp;配列!E289,5))</f>
        <v>L</v>
      </c>
      <c r="E289" s="3">
        <f t="shared" si="16"/>
        <v>0</v>
      </c>
      <c r="F289" s="3" t="e">
        <f>_xlfn.XLOOKUP(E289,セットアップレポート_紐づけ用!A:A,セットアップレポート_紐づけ用!J:J)</f>
        <v>#N/A</v>
      </c>
      <c r="G289" s="3" t="e">
        <f>_xlfn.XLOOKUP(E289,セットアップレポート_紐づけ用!A:A,セットアップレポート_紐づけ用!V:V)</f>
        <v>#N/A</v>
      </c>
      <c r="H289" s="3">
        <f t="shared" si="19"/>
        <v>-2</v>
      </c>
      <c r="I289" t="str">
        <f>IF(J289=0,"",IF(配列!E289="",マクロ実行!$A$16 &amp;" T"&amp;H289&amp;"-"&amp;RIGHT(配列!D289&amp;配列!E289,2),マクロ実行!$A$16 &amp;" T"&amp;H289&amp;"-"&amp;RIGHT(配列!D289&amp;配列!E289,3)))</f>
        <v/>
      </c>
      <c r="J289">
        <f>配列!F289</f>
        <v>0</v>
      </c>
      <c r="K289" s="2" t="e">
        <f>_xlfn.XLOOKUP(E289,セットアップレポート_紐づけ用!A:A,セットアップレポート_紐づけ用!R:R)</f>
        <v>#N/A</v>
      </c>
      <c r="L289" t="e">
        <f t="shared" si="17"/>
        <v>#N/A</v>
      </c>
      <c r="M289" t="e">
        <f>_xlfn.XLOOKUP(L289,EGPro!A:A,EGPro!D:D)</f>
        <v>#N/A</v>
      </c>
      <c r="N289" t="e">
        <f>_xlfn.XLOOKUP(L289,EGPro!A:A,EGPro!C:C)</f>
        <v>#N/A</v>
      </c>
      <c r="O289" t="e">
        <f t="shared" si="18"/>
        <v>#N/A</v>
      </c>
      <c r="P289" t="e">
        <f>_xlfn.XLOOKUP(O289,EGPro!A:A,EGPro!D:D)</f>
        <v>#N/A</v>
      </c>
      <c r="Q289" t="e">
        <f>_xlfn.XLOOKUP(O289,EGPro!A:A,EGPro!C:C)</f>
        <v>#N/A</v>
      </c>
    </row>
    <row r="290" spans="1:17" x14ac:dyDescent="0.45">
      <c r="A290" s="3">
        <f>配列!B290</f>
        <v>0</v>
      </c>
      <c r="B290" s="3" t="e">
        <f>_xlfn.XLOOKUP(A290,対応表!A:A,対応表!B:B)</f>
        <v>#N/A</v>
      </c>
      <c r="C290" s="3">
        <f>配列!C290</f>
        <v>0</v>
      </c>
      <c r="D290" s="3" t="str">
        <f>IF(配列!E290="",RIGHT(配列!D290&amp;配列!E290,4)&amp;"L",RIGHT(配列!D290&amp;配列!E290,5))</f>
        <v>L</v>
      </c>
      <c r="E290" s="3">
        <f t="shared" si="16"/>
        <v>0</v>
      </c>
      <c r="F290" s="3" t="e">
        <f>_xlfn.XLOOKUP(E290,セットアップレポート_紐づけ用!A:A,セットアップレポート_紐づけ用!J:J)</f>
        <v>#N/A</v>
      </c>
      <c r="G290" s="3" t="e">
        <f>_xlfn.XLOOKUP(E290,セットアップレポート_紐づけ用!A:A,セットアップレポート_紐づけ用!V:V)</f>
        <v>#N/A</v>
      </c>
      <c r="H290" s="3">
        <f t="shared" si="19"/>
        <v>-2</v>
      </c>
      <c r="I290" t="str">
        <f>IF(J290=0,"",IF(配列!E290="",マクロ実行!$A$16 &amp;" T"&amp;H290&amp;"-"&amp;RIGHT(配列!D290&amp;配列!E290,2),マクロ実行!$A$16 &amp;" T"&amp;H290&amp;"-"&amp;RIGHT(配列!D290&amp;配列!E290,3)))</f>
        <v/>
      </c>
      <c r="J290">
        <f>配列!F290</f>
        <v>0</v>
      </c>
      <c r="K290" s="2" t="e">
        <f>_xlfn.XLOOKUP(E290,セットアップレポート_紐づけ用!A:A,セットアップレポート_紐づけ用!R:R)</f>
        <v>#N/A</v>
      </c>
      <c r="L290" t="e">
        <f t="shared" si="17"/>
        <v>#N/A</v>
      </c>
      <c r="M290" t="e">
        <f>_xlfn.XLOOKUP(L290,EGPro!A:A,EGPro!D:D)</f>
        <v>#N/A</v>
      </c>
      <c r="N290" t="e">
        <f>_xlfn.XLOOKUP(L290,EGPro!A:A,EGPro!C:C)</f>
        <v>#N/A</v>
      </c>
      <c r="O290" t="e">
        <f t="shared" si="18"/>
        <v>#N/A</v>
      </c>
      <c r="P290" t="e">
        <f>_xlfn.XLOOKUP(O290,EGPro!A:A,EGPro!D:D)</f>
        <v>#N/A</v>
      </c>
      <c r="Q290" t="e">
        <f>_xlfn.XLOOKUP(O290,EGPro!A:A,EGPro!C:C)</f>
        <v>#N/A</v>
      </c>
    </row>
    <row r="291" spans="1:17" x14ac:dyDescent="0.45">
      <c r="A291" s="3">
        <f>配列!B291</f>
        <v>0</v>
      </c>
      <c r="B291" s="3" t="e">
        <f>_xlfn.XLOOKUP(A291,対応表!A:A,対応表!B:B)</f>
        <v>#N/A</v>
      </c>
      <c r="C291" s="3">
        <f>配列!C291</f>
        <v>0</v>
      </c>
      <c r="D291" s="3" t="str">
        <f>IF(配列!E291="",RIGHT(配列!D291&amp;配列!E291,4)&amp;"L",RIGHT(配列!D291&amp;配列!E291,5))</f>
        <v>L</v>
      </c>
      <c r="E291" s="3">
        <f t="shared" si="16"/>
        <v>0</v>
      </c>
      <c r="F291" s="3" t="e">
        <f>_xlfn.XLOOKUP(E291,セットアップレポート_紐づけ用!A:A,セットアップレポート_紐づけ用!J:J)</f>
        <v>#N/A</v>
      </c>
      <c r="G291" s="3" t="e">
        <f>_xlfn.XLOOKUP(E291,セットアップレポート_紐づけ用!A:A,セットアップレポート_紐づけ用!V:V)</f>
        <v>#N/A</v>
      </c>
      <c r="H291" s="3">
        <f t="shared" si="19"/>
        <v>-2</v>
      </c>
      <c r="I291" t="str">
        <f>IF(J291=0,"",IF(配列!E291="",マクロ実行!$A$16 &amp;" T"&amp;H291&amp;"-"&amp;RIGHT(配列!D291&amp;配列!E291,2),マクロ実行!$A$16 &amp;" T"&amp;H291&amp;"-"&amp;RIGHT(配列!D291&amp;配列!E291,3)))</f>
        <v/>
      </c>
      <c r="J291">
        <f>配列!F291</f>
        <v>0</v>
      </c>
      <c r="K291" s="2" t="e">
        <f>_xlfn.XLOOKUP(E291,セットアップレポート_紐づけ用!A:A,セットアップレポート_紐づけ用!R:R)</f>
        <v>#N/A</v>
      </c>
      <c r="L291" t="e">
        <f t="shared" si="17"/>
        <v>#N/A</v>
      </c>
      <c r="M291" t="e">
        <f>_xlfn.XLOOKUP(L291,EGPro!A:A,EGPro!D:D)</f>
        <v>#N/A</v>
      </c>
      <c r="N291" t="e">
        <f>_xlfn.XLOOKUP(L291,EGPro!A:A,EGPro!C:C)</f>
        <v>#N/A</v>
      </c>
      <c r="O291" t="e">
        <f t="shared" si="18"/>
        <v>#N/A</v>
      </c>
      <c r="P291" t="e">
        <f>_xlfn.XLOOKUP(O291,EGPro!A:A,EGPro!D:D)</f>
        <v>#N/A</v>
      </c>
      <c r="Q291" t="e">
        <f>_xlfn.XLOOKUP(O291,EGPro!A:A,EGPro!C:C)</f>
        <v>#N/A</v>
      </c>
    </row>
    <row r="292" spans="1:17" x14ac:dyDescent="0.45">
      <c r="A292" s="3">
        <f>配列!B292</f>
        <v>0</v>
      </c>
      <c r="B292" s="3" t="e">
        <f>_xlfn.XLOOKUP(A292,対応表!A:A,対応表!B:B)</f>
        <v>#N/A</v>
      </c>
      <c r="C292" s="3">
        <f>配列!C292</f>
        <v>0</v>
      </c>
      <c r="D292" s="3" t="str">
        <f>IF(配列!E292="",RIGHT(配列!D292&amp;配列!E292,4)&amp;"L",RIGHT(配列!D292&amp;配列!E292,5))</f>
        <v>L</v>
      </c>
      <c r="E292" s="3">
        <f t="shared" si="16"/>
        <v>0</v>
      </c>
      <c r="F292" s="3" t="e">
        <f>_xlfn.XLOOKUP(E292,セットアップレポート_紐づけ用!A:A,セットアップレポート_紐づけ用!J:J)</f>
        <v>#N/A</v>
      </c>
      <c r="G292" s="3" t="e">
        <f>_xlfn.XLOOKUP(E292,セットアップレポート_紐づけ用!A:A,セットアップレポート_紐づけ用!V:V)</f>
        <v>#N/A</v>
      </c>
      <c r="H292" s="3">
        <f t="shared" si="19"/>
        <v>-2</v>
      </c>
      <c r="I292" t="str">
        <f>IF(J292=0,"",IF(配列!E292="",マクロ実行!$A$16 &amp;" T"&amp;H292&amp;"-"&amp;RIGHT(配列!D292&amp;配列!E292,2),マクロ実行!$A$16 &amp;" T"&amp;H292&amp;"-"&amp;RIGHT(配列!D292&amp;配列!E292,3)))</f>
        <v/>
      </c>
      <c r="J292">
        <f>配列!F292</f>
        <v>0</v>
      </c>
      <c r="K292" s="2" t="e">
        <f>_xlfn.XLOOKUP(E292,セットアップレポート_紐づけ用!A:A,セットアップレポート_紐づけ用!R:R)</f>
        <v>#N/A</v>
      </c>
      <c r="L292" t="e">
        <f t="shared" si="17"/>
        <v>#N/A</v>
      </c>
      <c r="M292" t="e">
        <f>_xlfn.XLOOKUP(L292,EGPro!A:A,EGPro!D:D)</f>
        <v>#N/A</v>
      </c>
      <c r="N292" t="e">
        <f>_xlfn.XLOOKUP(L292,EGPro!A:A,EGPro!C:C)</f>
        <v>#N/A</v>
      </c>
      <c r="O292" t="e">
        <f t="shared" si="18"/>
        <v>#N/A</v>
      </c>
      <c r="P292" t="e">
        <f>_xlfn.XLOOKUP(O292,EGPro!A:A,EGPro!D:D)</f>
        <v>#N/A</v>
      </c>
      <c r="Q292" t="e">
        <f>_xlfn.XLOOKUP(O292,EGPro!A:A,EGPro!C:C)</f>
        <v>#N/A</v>
      </c>
    </row>
    <row r="293" spans="1:17" x14ac:dyDescent="0.45">
      <c r="A293" s="3">
        <f>配列!B293</f>
        <v>0</v>
      </c>
      <c r="B293" s="3" t="e">
        <f>_xlfn.XLOOKUP(A293,対応表!A:A,対応表!B:B)</f>
        <v>#N/A</v>
      </c>
      <c r="C293" s="3">
        <f>配列!C293</f>
        <v>0</v>
      </c>
      <c r="D293" s="3" t="str">
        <f>IF(配列!E293="",RIGHT(配列!D293&amp;配列!E293,4)&amp;"L",RIGHT(配列!D293&amp;配列!E293,5))</f>
        <v>L</v>
      </c>
      <c r="E293" s="3">
        <f t="shared" si="16"/>
        <v>0</v>
      </c>
      <c r="F293" s="3" t="e">
        <f>_xlfn.XLOOKUP(E293,セットアップレポート_紐づけ用!A:A,セットアップレポート_紐づけ用!J:J)</f>
        <v>#N/A</v>
      </c>
      <c r="G293" s="3" t="e">
        <f>_xlfn.XLOOKUP(E293,セットアップレポート_紐づけ用!A:A,セットアップレポート_紐づけ用!V:V)</f>
        <v>#N/A</v>
      </c>
      <c r="H293" s="3">
        <f t="shared" si="19"/>
        <v>-2</v>
      </c>
      <c r="I293" t="str">
        <f>IF(J293=0,"",IF(配列!E293="",マクロ実行!$A$16 &amp;" T"&amp;H293&amp;"-"&amp;RIGHT(配列!D293&amp;配列!E293,2),マクロ実行!$A$16 &amp;" T"&amp;H293&amp;"-"&amp;RIGHT(配列!D293&amp;配列!E293,3)))</f>
        <v/>
      </c>
      <c r="J293">
        <f>配列!F293</f>
        <v>0</v>
      </c>
      <c r="K293" s="2" t="e">
        <f>_xlfn.XLOOKUP(E293,セットアップレポート_紐づけ用!A:A,セットアップレポート_紐づけ用!R:R)</f>
        <v>#N/A</v>
      </c>
      <c r="L293" t="e">
        <f t="shared" si="17"/>
        <v>#N/A</v>
      </c>
      <c r="M293" t="e">
        <f>_xlfn.XLOOKUP(L293,EGPro!A:A,EGPro!D:D)</f>
        <v>#N/A</v>
      </c>
      <c r="N293" t="e">
        <f>_xlfn.XLOOKUP(L293,EGPro!A:A,EGPro!C:C)</f>
        <v>#N/A</v>
      </c>
      <c r="O293" t="e">
        <f t="shared" si="18"/>
        <v>#N/A</v>
      </c>
      <c r="P293" t="e">
        <f>_xlfn.XLOOKUP(O293,EGPro!A:A,EGPro!D:D)</f>
        <v>#N/A</v>
      </c>
      <c r="Q293" t="e">
        <f>_xlfn.XLOOKUP(O293,EGPro!A:A,EGPro!C:C)</f>
        <v>#N/A</v>
      </c>
    </row>
    <row r="294" spans="1:17" x14ac:dyDescent="0.45">
      <c r="A294" s="3">
        <f>配列!B294</f>
        <v>0</v>
      </c>
      <c r="B294" s="3" t="e">
        <f>_xlfn.XLOOKUP(A294,対応表!A:A,対応表!B:B)</f>
        <v>#N/A</v>
      </c>
      <c r="C294" s="3">
        <f>配列!C294</f>
        <v>0</v>
      </c>
      <c r="D294" s="3" t="str">
        <f>IF(配列!E294="",RIGHT(配列!D294&amp;配列!E294,4)&amp;"L",RIGHT(配列!D294&amp;配列!E294,5))</f>
        <v>L</v>
      </c>
      <c r="E294" s="3">
        <f t="shared" si="16"/>
        <v>0</v>
      </c>
      <c r="F294" s="3" t="e">
        <f>_xlfn.XLOOKUP(E294,セットアップレポート_紐づけ用!A:A,セットアップレポート_紐づけ用!J:J)</f>
        <v>#N/A</v>
      </c>
      <c r="G294" s="3" t="e">
        <f>_xlfn.XLOOKUP(E294,セットアップレポート_紐づけ用!A:A,セットアップレポート_紐づけ用!V:V)</f>
        <v>#N/A</v>
      </c>
      <c r="H294" s="3">
        <f t="shared" si="19"/>
        <v>-2</v>
      </c>
      <c r="I294" t="str">
        <f>IF(J294=0,"",IF(配列!E294="",マクロ実行!$A$16 &amp;" T"&amp;H294&amp;"-"&amp;RIGHT(配列!D294&amp;配列!E294,2),マクロ実行!$A$16 &amp;" T"&amp;H294&amp;"-"&amp;RIGHT(配列!D294&amp;配列!E294,3)))</f>
        <v/>
      </c>
      <c r="J294">
        <f>配列!F294</f>
        <v>0</v>
      </c>
      <c r="K294" s="2" t="e">
        <f>_xlfn.XLOOKUP(E294,セットアップレポート_紐づけ用!A:A,セットアップレポート_紐づけ用!R:R)</f>
        <v>#N/A</v>
      </c>
      <c r="L294" t="e">
        <f t="shared" si="17"/>
        <v>#N/A</v>
      </c>
      <c r="M294" t="e">
        <f>_xlfn.XLOOKUP(L294,EGPro!A:A,EGPro!D:D)</f>
        <v>#N/A</v>
      </c>
      <c r="N294" t="e">
        <f>_xlfn.XLOOKUP(L294,EGPro!A:A,EGPro!C:C)</f>
        <v>#N/A</v>
      </c>
      <c r="O294" t="e">
        <f t="shared" si="18"/>
        <v>#N/A</v>
      </c>
      <c r="P294" t="e">
        <f>_xlfn.XLOOKUP(O294,EGPro!A:A,EGPro!D:D)</f>
        <v>#N/A</v>
      </c>
      <c r="Q294" t="e">
        <f>_xlfn.XLOOKUP(O294,EGPro!A:A,EGPro!C:C)</f>
        <v>#N/A</v>
      </c>
    </row>
    <row r="295" spans="1:17" x14ac:dyDescent="0.45">
      <c r="A295" s="3">
        <f>配列!B295</f>
        <v>0</v>
      </c>
      <c r="B295" s="3" t="e">
        <f>_xlfn.XLOOKUP(A295,対応表!A:A,対応表!B:B)</f>
        <v>#N/A</v>
      </c>
      <c r="C295" s="3">
        <f>配列!C295</f>
        <v>0</v>
      </c>
      <c r="D295" s="3" t="str">
        <f>IF(配列!E295="",RIGHT(配列!D295&amp;配列!E295,4)&amp;"L",RIGHT(配列!D295&amp;配列!E295,5))</f>
        <v>L</v>
      </c>
      <c r="E295" s="3">
        <f t="shared" si="16"/>
        <v>0</v>
      </c>
      <c r="F295" s="3" t="e">
        <f>_xlfn.XLOOKUP(E295,セットアップレポート_紐づけ用!A:A,セットアップレポート_紐づけ用!J:J)</f>
        <v>#N/A</v>
      </c>
      <c r="G295" s="3" t="e">
        <f>_xlfn.XLOOKUP(E295,セットアップレポート_紐づけ用!A:A,セットアップレポート_紐づけ用!V:V)</f>
        <v>#N/A</v>
      </c>
      <c r="H295" s="3">
        <f t="shared" si="19"/>
        <v>-2</v>
      </c>
      <c r="I295" t="str">
        <f>IF(J295=0,"",IF(配列!E295="",マクロ実行!$A$16 &amp;" T"&amp;H295&amp;"-"&amp;RIGHT(配列!D295&amp;配列!E295,2),マクロ実行!$A$16 &amp;" T"&amp;H295&amp;"-"&amp;RIGHT(配列!D295&amp;配列!E295,3)))</f>
        <v/>
      </c>
      <c r="J295">
        <f>配列!F295</f>
        <v>0</v>
      </c>
      <c r="K295" s="2" t="e">
        <f>_xlfn.XLOOKUP(E295,セットアップレポート_紐づけ用!A:A,セットアップレポート_紐づけ用!R:R)</f>
        <v>#N/A</v>
      </c>
      <c r="L295" t="e">
        <f t="shared" si="17"/>
        <v>#N/A</v>
      </c>
      <c r="M295" t="e">
        <f>_xlfn.XLOOKUP(L295,EGPro!A:A,EGPro!D:D)</f>
        <v>#N/A</v>
      </c>
      <c r="N295" t="e">
        <f>_xlfn.XLOOKUP(L295,EGPro!A:A,EGPro!C:C)</f>
        <v>#N/A</v>
      </c>
      <c r="O295" t="e">
        <f t="shared" si="18"/>
        <v>#N/A</v>
      </c>
      <c r="P295" t="e">
        <f>_xlfn.XLOOKUP(O295,EGPro!A:A,EGPro!D:D)</f>
        <v>#N/A</v>
      </c>
      <c r="Q295" t="e">
        <f>_xlfn.XLOOKUP(O295,EGPro!A:A,EGPro!C:C)</f>
        <v>#N/A</v>
      </c>
    </row>
    <row r="296" spans="1:17" x14ac:dyDescent="0.45">
      <c r="A296" s="3">
        <f>配列!B296</f>
        <v>0</v>
      </c>
      <c r="B296" s="3" t="e">
        <f>_xlfn.XLOOKUP(A296,対応表!A:A,対応表!B:B)</f>
        <v>#N/A</v>
      </c>
      <c r="C296" s="3">
        <f>配列!C296</f>
        <v>0</v>
      </c>
      <c r="D296" s="3" t="str">
        <f>IF(配列!E296="",RIGHT(配列!D296&amp;配列!E296,4)&amp;"L",RIGHT(配列!D296&amp;配列!E296,5))</f>
        <v>L</v>
      </c>
      <c r="E296" s="3">
        <f t="shared" si="16"/>
        <v>0</v>
      </c>
      <c r="F296" s="3" t="e">
        <f>_xlfn.XLOOKUP(E296,セットアップレポート_紐づけ用!A:A,セットアップレポート_紐づけ用!J:J)</f>
        <v>#N/A</v>
      </c>
      <c r="G296" s="3" t="e">
        <f>_xlfn.XLOOKUP(E296,セットアップレポート_紐づけ用!A:A,セットアップレポート_紐づけ用!V:V)</f>
        <v>#N/A</v>
      </c>
      <c r="H296" s="3">
        <f t="shared" si="19"/>
        <v>-2</v>
      </c>
      <c r="I296" t="str">
        <f>IF(J296=0,"",IF(配列!E296="",マクロ実行!$A$16 &amp;" T"&amp;H296&amp;"-"&amp;RIGHT(配列!D296&amp;配列!E296,2),マクロ実行!$A$16 &amp;" T"&amp;H296&amp;"-"&amp;RIGHT(配列!D296&amp;配列!E296,3)))</f>
        <v/>
      </c>
      <c r="J296">
        <f>配列!F296</f>
        <v>0</v>
      </c>
      <c r="K296" s="2" t="e">
        <f>_xlfn.XLOOKUP(E296,セットアップレポート_紐づけ用!A:A,セットアップレポート_紐づけ用!R:R)</f>
        <v>#N/A</v>
      </c>
      <c r="L296" t="e">
        <f t="shared" si="17"/>
        <v>#N/A</v>
      </c>
      <c r="M296" t="e">
        <f>_xlfn.XLOOKUP(L296,EGPro!A:A,EGPro!D:D)</f>
        <v>#N/A</v>
      </c>
      <c r="N296" t="e">
        <f>_xlfn.XLOOKUP(L296,EGPro!A:A,EGPro!C:C)</f>
        <v>#N/A</v>
      </c>
      <c r="O296" t="e">
        <f t="shared" si="18"/>
        <v>#N/A</v>
      </c>
      <c r="P296" t="e">
        <f>_xlfn.XLOOKUP(O296,EGPro!A:A,EGPro!D:D)</f>
        <v>#N/A</v>
      </c>
      <c r="Q296" t="e">
        <f>_xlfn.XLOOKUP(O296,EGPro!A:A,EGPro!C:C)</f>
        <v>#N/A</v>
      </c>
    </row>
    <row r="297" spans="1:17" x14ac:dyDescent="0.45">
      <c r="A297" s="3">
        <f>配列!B297</f>
        <v>0</v>
      </c>
      <c r="B297" s="3" t="e">
        <f>_xlfn.XLOOKUP(A297,対応表!A:A,対応表!B:B)</f>
        <v>#N/A</v>
      </c>
      <c r="C297" s="3">
        <f>配列!C297</f>
        <v>0</v>
      </c>
      <c r="D297" s="3" t="str">
        <f>IF(配列!E297="",RIGHT(配列!D297&amp;配列!E297,4)&amp;"L",RIGHT(配列!D297&amp;配列!E297,5))</f>
        <v>L</v>
      </c>
      <c r="E297" s="3">
        <f t="shared" si="16"/>
        <v>0</v>
      </c>
      <c r="F297" s="3" t="e">
        <f>_xlfn.XLOOKUP(E297,セットアップレポート_紐づけ用!A:A,セットアップレポート_紐づけ用!J:J)</f>
        <v>#N/A</v>
      </c>
      <c r="G297" s="3" t="e">
        <f>_xlfn.XLOOKUP(E297,セットアップレポート_紐づけ用!A:A,セットアップレポート_紐づけ用!V:V)</f>
        <v>#N/A</v>
      </c>
      <c r="H297" s="3">
        <f t="shared" si="19"/>
        <v>-2</v>
      </c>
      <c r="I297" t="str">
        <f>IF(J297=0,"",IF(配列!E297="",マクロ実行!$A$16 &amp;" T"&amp;H297&amp;"-"&amp;RIGHT(配列!D297&amp;配列!E297,2),マクロ実行!$A$16 &amp;" T"&amp;H297&amp;"-"&amp;RIGHT(配列!D297&amp;配列!E297,3)))</f>
        <v/>
      </c>
      <c r="J297">
        <f>配列!F297</f>
        <v>0</v>
      </c>
      <c r="K297" s="2" t="e">
        <f>_xlfn.XLOOKUP(E297,セットアップレポート_紐づけ用!A:A,セットアップレポート_紐づけ用!R:R)</f>
        <v>#N/A</v>
      </c>
      <c r="L297" t="e">
        <f t="shared" si="17"/>
        <v>#N/A</v>
      </c>
      <c r="M297" t="e">
        <f>_xlfn.XLOOKUP(L297,EGPro!A:A,EGPro!D:D)</f>
        <v>#N/A</v>
      </c>
      <c r="N297" t="e">
        <f>_xlfn.XLOOKUP(L297,EGPro!A:A,EGPro!C:C)</f>
        <v>#N/A</v>
      </c>
      <c r="O297" t="e">
        <f t="shared" si="18"/>
        <v>#N/A</v>
      </c>
      <c r="P297" t="e">
        <f>_xlfn.XLOOKUP(O297,EGPro!A:A,EGPro!D:D)</f>
        <v>#N/A</v>
      </c>
      <c r="Q297" t="e">
        <f>_xlfn.XLOOKUP(O297,EGPro!A:A,EGPro!C:C)</f>
        <v>#N/A</v>
      </c>
    </row>
    <row r="298" spans="1:17" x14ac:dyDescent="0.45">
      <c r="A298" s="3">
        <f>配列!B298</f>
        <v>0</v>
      </c>
      <c r="B298" s="3" t="e">
        <f>_xlfn.XLOOKUP(A298,対応表!A:A,対応表!B:B)</f>
        <v>#N/A</v>
      </c>
      <c r="C298" s="3">
        <f>配列!C298</f>
        <v>0</v>
      </c>
      <c r="D298" s="3" t="str">
        <f>IF(配列!E298="",RIGHT(配列!D298&amp;配列!E298,4)&amp;"L",RIGHT(配列!D298&amp;配列!E298,5))</f>
        <v>L</v>
      </c>
      <c r="E298" s="3">
        <f t="shared" si="16"/>
        <v>0</v>
      </c>
      <c r="F298" s="3" t="e">
        <f>_xlfn.XLOOKUP(E298,セットアップレポート_紐づけ用!A:A,セットアップレポート_紐づけ用!J:J)</f>
        <v>#N/A</v>
      </c>
      <c r="G298" s="3" t="e">
        <f>_xlfn.XLOOKUP(E298,セットアップレポート_紐づけ用!A:A,セットアップレポート_紐づけ用!V:V)</f>
        <v>#N/A</v>
      </c>
      <c r="H298" s="3">
        <f t="shared" si="19"/>
        <v>-2</v>
      </c>
      <c r="I298" t="str">
        <f>IF(J298=0,"",IF(配列!E298="",マクロ実行!$A$16 &amp;" T"&amp;H298&amp;"-"&amp;RIGHT(配列!D298&amp;配列!E298,2),マクロ実行!$A$16 &amp;" T"&amp;H298&amp;"-"&amp;RIGHT(配列!D298&amp;配列!E298,3)))</f>
        <v/>
      </c>
      <c r="J298">
        <f>配列!F298</f>
        <v>0</v>
      </c>
      <c r="K298" s="2" t="e">
        <f>_xlfn.XLOOKUP(E298,セットアップレポート_紐づけ用!A:A,セットアップレポート_紐づけ用!R:R)</f>
        <v>#N/A</v>
      </c>
      <c r="L298" t="e">
        <f t="shared" si="17"/>
        <v>#N/A</v>
      </c>
      <c r="M298" t="e">
        <f>_xlfn.XLOOKUP(L298,EGPro!A:A,EGPro!D:D)</f>
        <v>#N/A</v>
      </c>
      <c r="N298" t="e">
        <f>_xlfn.XLOOKUP(L298,EGPro!A:A,EGPro!C:C)</f>
        <v>#N/A</v>
      </c>
      <c r="O298" t="e">
        <f t="shared" si="18"/>
        <v>#N/A</v>
      </c>
      <c r="P298" t="e">
        <f>_xlfn.XLOOKUP(O298,EGPro!A:A,EGPro!D:D)</f>
        <v>#N/A</v>
      </c>
      <c r="Q298" t="e">
        <f>_xlfn.XLOOKUP(O298,EGPro!A:A,EGPro!C:C)</f>
        <v>#N/A</v>
      </c>
    </row>
    <row r="299" spans="1:17" x14ac:dyDescent="0.45">
      <c r="A299" s="3">
        <f>配列!B299</f>
        <v>0</v>
      </c>
      <c r="B299" s="3" t="e">
        <f>_xlfn.XLOOKUP(A299,対応表!A:A,対応表!B:B)</f>
        <v>#N/A</v>
      </c>
      <c r="C299" s="3">
        <f>配列!C299</f>
        <v>0</v>
      </c>
      <c r="D299" s="3" t="str">
        <f>IF(配列!E299="",RIGHT(配列!D299&amp;配列!E299,4)&amp;"L",RIGHT(配列!D299&amp;配列!E299,5))</f>
        <v>L</v>
      </c>
      <c r="E299" s="3">
        <f t="shared" si="16"/>
        <v>0</v>
      </c>
      <c r="F299" s="3" t="e">
        <f>_xlfn.XLOOKUP(E299,セットアップレポート_紐づけ用!A:A,セットアップレポート_紐づけ用!J:J)</f>
        <v>#N/A</v>
      </c>
      <c r="G299" s="3" t="e">
        <f>_xlfn.XLOOKUP(E299,セットアップレポート_紐づけ用!A:A,セットアップレポート_紐づけ用!V:V)</f>
        <v>#N/A</v>
      </c>
      <c r="H299" s="3">
        <f t="shared" si="19"/>
        <v>-2</v>
      </c>
      <c r="I299" t="str">
        <f>IF(J299=0,"",IF(配列!E299="",マクロ実行!$A$16 &amp;" T"&amp;H299&amp;"-"&amp;RIGHT(配列!D299&amp;配列!E299,2),マクロ実行!$A$16 &amp;" T"&amp;H299&amp;"-"&amp;RIGHT(配列!D299&amp;配列!E299,3)))</f>
        <v/>
      </c>
      <c r="J299">
        <f>配列!F299</f>
        <v>0</v>
      </c>
      <c r="K299" s="2" t="e">
        <f>_xlfn.XLOOKUP(E299,セットアップレポート_紐づけ用!A:A,セットアップレポート_紐づけ用!R:R)</f>
        <v>#N/A</v>
      </c>
      <c r="L299" t="e">
        <f t="shared" si="17"/>
        <v>#N/A</v>
      </c>
      <c r="M299" t="e">
        <f>_xlfn.XLOOKUP(L299,EGPro!A:A,EGPro!D:D)</f>
        <v>#N/A</v>
      </c>
      <c r="N299" t="e">
        <f>_xlfn.XLOOKUP(L299,EGPro!A:A,EGPro!C:C)</f>
        <v>#N/A</v>
      </c>
      <c r="O299" t="e">
        <f t="shared" si="18"/>
        <v>#N/A</v>
      </c>
      <c r="P299" t="e">
        <f>_xlfn.XLOOKUP(O299,EGPro!A:A,EGPro!D:D)</f>
        <v>#N/A</v>
      </c>
      <c r="Q299" t="e">
        <f>_xlfn.XLOOKUP(O299,EGPro!A:A,EGPro!C:C)</f>
        <v>#N/A</v>
      </c>
    </row>
    <row r="300" spans="1:17" x14ac:dyDescent="0.45">
      <c r="A300" s="3">
        <f>配列!B300</f>
        <v>0</v>
      </c>
      <c r="B300" s="3" t="e">
        <f>_xlfn.XLOOKUP(A300,対応表!A:A,対応表!B:B)</f>
        <v>#N/A</v>
      </c>
      <c r="C300" s="3">
        <f>配列!C300</f>
        <v>0</v>
      </c>
      <c r="D300" s="3" t="str">
        <f>IF(配列!E300="",RIGHT(配列!D300&amp;配列!E300,4)&amp;"L",RIGHT(配列!D300&amp;配列!E300,5))</f>
        <v>L</v>
      </c>
      <c r="E300" s="3">
        <f t="shared" si="16"/>
        <v>0</v>
      </c>
      <c r="F300" s="3" t="e">
        <f>_xlfn.XLOOKUP(E300,セットアップレポート_紐づけ用!A:A,セットアップレポート_紐づけ用!J:J)</f>
        <v>#N/A</v>
      </c>
      <c r="G300" s="3" t="e">
        <f>_xlfn.XLOOKUP(E300,セットアップレポート_紐づけ用!A:A,セットアップレポート_紐づけ用!V:V)</f>
        <v>#N/A</v>
      </c>
      <c r="H300" s="3">
        <f t="shared" si="19"/>
        <v>-2</v>
      </c>
      <c r="I300" t="str">
        <f>IF(J300=0,"",IF(配列!E300="",マクロ実行!$A$16 &amp;" T"&amp;H300&amp;"-"&amp;RIGHT(配列!D300&amp;配列!E300,2),マクロ実行!$A$16 &amp;" T"&amp;H300&amp;"-"&amp;RIGHT(配列!D300&amp;配列!E300,3)))</f>
        <v/>
      </c>
      <c r="J300">
        <f>配列!F300</f>
        <v>0</v>
      </c>
      <c r="K300" s="2" t="e">
        <f>_xlfn.XLOOKUP(E300,セットアップレポート_紐づけ用!A:A,セットアップレポート_紐づけ用!R:R)</f>
        <v>#N/A</v>
      </c>
      <c r="L300" t="e">
        <f t="shared" si="17"/>
        <v>#N/A</v>
      </c>
      <c r="M300" t="e">
        <f>_xlfn.XLOOKUP(L300,EGPro!A:A,EGPro!D:D)</f>
        <v>#N/A</v>
      </c>
      <c r="N300" t="e">
        <f>_xlfn.XLOOKUP(L300,EGPro!A:A,EGPro!C:C)</f>
        <v>#N/A</v>
      </c>
      <c r="O300" t="e">
        <f t="shared" si="18"/>
        <v>#N/A</v>
      </c>
      <c r="P300" t="e">
        <f>_xlfn.XLOOKUP(O300,EGPro!A:A,EGPro!D:D)</f>
        <v>#N/A</v>
      </c>
      <c r="Q300" t="e">
        <f>_xlfn.XLOOKUP(O300,EGPro!A:A,EGPro!C:C)</f>
        <v>#N/A</v>
      </c>
    </row>
    <row r="301" spans="1:17" x14ac:dyDescent="0.45">
      <c r="A301" s="3">
        <f>配列!B301</f>
        <v>0</v>
      </c>
      <c r="B301" s="3" t="e">
        <f>_xlfn.XLOOKUP(A301,対応表!A:A,対応表!B:B)</f>
        <v>#N/A</v>
      </c>
      <c r="C301" s="3">
        <f>配列!C301</f>
        <v>0</v>
      </c>
      <c r="D301" s="3" t="str">
        <f>IF(配列!E301="",RIGHT(配列!D301&amp;配列!E301,4)&amp;"L",RIGHT(配列!D301&amp;配列!E301,5))</f>
        <v>L</v>
      </c>
      <c r="E301" s="3">
        <f t="shared" si="16"/>
        <v>0</v>
      </c>
      <c r="F301" s="3" t="e">
        <f>_xlfn.XLOOKUP(E301,セットアップレポート_紐づけ用!A:A,セットアップレポート_紐づけ用!J:J)</f>
        <v>#N/A</v>
      </c>
      <c r="G301" s="3" t="e">
        <f>_xlfn.XLOOKUP(E301,セットアップレポート_紐づけ用!A:A,セットアップレポート_紐づけ用!V:V)</f>
        <v>#N/A</v>
      </c>
      <c r="H301" s="3">
        <f t="shared" si="19"/>
        <v>-2</v>
      </c>
      <c r="I301" t="str">
        <f>IF(J301=0,"",IF(配列!E301="",マクロ実行!$A$16 &amp;" T"&amp;H301&amp;"-"&amp;RIGHT(配列!D301&amp;配列!E301,2),マクロ実行!$A$16 &amp;" T"&amp;H301&amp;"-"&amp;RIGHT(配列!D301&amp;配列!E301,3)))</f>
        <v/>
      </c>
      <c r="J301">
        <f>配列!F301</f>
        <v>0</v>
      </c>
      <c r="K301" s="2" t="e">
        <f>_xlfn.XLOOKUP(E301,セットアップレポート_紐づけ用!A:A,セットアップレポート_紐づけ用!R:R)</f>
        <v>#N/A</v>
      </c>
      <c r="L301" t="e">
        <f t="shared" si="17"/>
        <v>#N/A</v>
      </c>
      <c r="M301" t="e">
        <f>_xlfn.XLOOKUP(L301,EGPro!A:A,EGPro!D:D)</f>
        <v>#N/A</v>
      </c>
      <c r="N301" t="e">
        <f>_xlfn.XLOOKUP(L301,EGPro!A:A,EGPro!C:C)</f>
        <v>#N/A</v>
      </c>
      <c r="O301" t="e">
        <f t="shared" si="18"/>
        <v>#N/A</v>
      </c>
      <c r="P301" t="e">
        <f>_xlfn.XLOOKUP(O301,EGPro!A:A,EGPro!D:D)</f>
        <v>#N/A</v>
      </c>
      <c r="Q301" t="e">
        <f>_xlfn.XLOOKUP(O301,EGPro!A:A,EGPro!C:C)</f>
        <v>#N/A</v>
      </c>
    </row>
    <row r="302" spans="1:17" x14ac:dyDescent="0.45">
      <c r="A302" s="3">
        <f>配列!B302</f>
        <v>0</v>
      </c>
      <c r="B302" s="3" t="e">
        <f>_xlfn.XLOOKUP(A302,対応表!A:A,対応表!B:B)</f>
        <v>#N/A</v>
      </c>
      <c r="C302" s="3">
        <f>配列!C302</f>
        <v>0</v>
      </c>
      <c r="D302" s="3" t="str">
        <f>IF(配列!E302="",RIGHT(配列!D302&amp;配列!E302,4)&amp;"L",RIGHT(配列!D302&amp;配列!E302,5))</f>
        <v>L</v>
      </c>
      <c r="E302" s="3">
        <f t="shared" si="16"/>
        <v>0</v>
      </c>
      <c r="F302" s="3" t="e">
        <f>_xlfn.XLOOKUP(E302,セットアップレポート_紐づけ用!A:A,セットアップレポート_紐づけ用!J:J)</f>
        <v>#N/A</v>
      </c>
      <c r="G302" s="3" t="e">
        <f>_xlfn.XLOOKUP(E302,セットアップレポート_紐づけ用!A:A,セットアップレポート_紐づけ用!V:V)</f>
        <v>#N/A</v>
      </c>
      <c r="H302" s="3">
        <f t="shared" si="19"/>
        <v>-2</v>
      </c>
      <c r="I302" t="str">
        <f>IF(J302=0,"",IF(配列!E302="",マクロ実行!$A$16 &amp;" T"&amp;H302&amp;"-"&amp;RIGHT(配列!D302&amp;配列!E302,2),マクロ実行!$A$16 &amp;" T"&amp;H302&amp;"-"&amp;RIGHT(配列!D302&amp;配列!E302,3)))</f>
        <v/>
      </c>
      <c r="J302">
        <f>配列!F302</f>
        <v>0</v>
      </c>
      <c r="K302" s="2" t="e">
        <f>_xlfn.XLOOKUP(E302,セットアップレポート_紐づけ用!A:A,セットアップレポート_紐づけ用!R:R)</f>
        <v>#N/A</v>
      </c>
      <c r="L302" t="e">
        <f t="shared" si="17"/>
        <v>#N/A</v>
      </c>
      <c r="M302" t="e">
        <f>_xlfn.XLOOKUP(L302,EGPro!A:A,EGPro!D:D)</f>
        <v>#N/A</v>
      </c>
      <c r="N302" t="e">
        <f>_xlfn.XLOOKUP(L302,EGPro!A:A,EGPro!C:C)</f>
        <v>#N/A</v>
      </c>
      <c r="O302" t="e">
        <f t="shared" si="18"/>
        <v>#N/A</v>
      </c>
      <c r="P302" t="e">
        <f>_xlfn.XLOOKUP(O302,EGPro!A:A,EGPro!D:D)</f>
        <v>#N/A</v>
      </c>
      <c r="Q302" t="e">
        <f>_xlfn.XLOOKUP(O302,EGPro!A:A,EGPro!C:C)</f>
        <v>#N/A</v>
      </c>
    </row>
    <row r="303" spans="1:17" x14ac:dyDescent="0.45">
      <c r="A303" s="3">
        <f>配列!B303</f>
        <v>0</v>
      </c>
      <c r="B303" s="3" t="e">
        <f>_xlfn.XLOOKUP(A303,対応表!A:A,対応表!B:B)</f>
        <v>#N/A</v>
      </c>
      <c r="C303" s="3">
        <f>配列!C303</f>
        <v>0</v>
      </c>
      <c r="D303" s="3" t="str">
        <f>IF(配列!E303="",RIGHT(配列!D303&amp;配列!E303,4)&amp;"L",RIGHT(配列!D303&amp;配列!E303,5))</f>
        <v>L</v>
      </c>
      <c r="E303" s="3">
        <f t="shared" si="16"/>
        <v>0</v>
      </c>
      <c r="F303" s="3" t="e">
        <f>_xlfn.XLOOKUP(E303,セットアップレポート_紐づけ用!A:A,セットアップレポート_紐づけ用!J:J)</f>
        <v>#N/A</v>
      </c>
      <c r="G303" s="3" t="e">
        <f>_xlfn.XLOOKUP(E303,セットアップレポート_紐づけ用!A:A,セットアップレポート_紐づけ用!V:V)</f>
        <v>#N/A</v>
      </c>
      <c r="H303" s="3">
        <f t="shared" si="19"/>
        <v>-2</v>
      </c>
      <c r="I303" t="str">
        <f>IF(J303=0,"",IF(配列!E303="",マクロ実行!$A$16 &amp;" T"&amp;H303&amp;"-"&amp;RIGHT(配列!D303&amp;配列!E303,2),マクロ実行!$A$16 &amp;" T"&amp;H303&amp;"-"&amp;RIGHT(配列!D303&amp;配列!E303,3)))</f>
        <v/>
      </c>
      <c r="J303">
        <f>配列!F303</f>
        <v>0</v>
      </c>
      <c r="K303" s="2" t="e">
        <f>_xlfn.XLOOKUP(E303,セットアップレポート_紐づけ用!A:A,セットアップレポート_紐づけ用!R:R)</f>
        <v>#N/A</v>
      </c>
      <c r="L303" t="e">
        <f t="shared" si="17"/>
        <v>#N/A</v>
      </c>
      <c r="M303" t="e">
        <f>_xlfn.XLOOKUP(L303,EGPro!A:A,EGPro!D:D)</f>
        <v>#N/A</v>
      </c>
      <c r="N303" t="e">
        <f>_xlfn.XLOOKUP(L303,EGPro!A:A,EGPro!C:C)</f>
        <v>#N/A</v>
      </c>
      <c r="O303" t="e">
        <f t="shared" si="18"/>
        <v>#N/A</v>
      </c>
      <c r="P303" t="e">
        <f>_xlfn.XLOOKUP(O303,EGPro!A:A,EGPro!D:D)</f>
        <v>#N/A</v>
      </c>
      <c r="Q303" t="e">
        <f>_xlfn.XLOOKUP(O303,EGPro!A:A,EGPro!C:C)</f>
        <v>#N/A</v>
      </c>
    </row>
    <row r="304" spans="1:17" x14ac:dyDescent="0.45">
      <c r="A304" s="3">
        <f>配列!B304</f>
        <v>0</v>
      </c>
      <c r="B304" s="3" t="e">
        <f>_xlfn.XLOOKUP(A304,対応表!A:A,対応表!B:B)</f>
        <v>#N/A</v>
      </c>
      <c r="C304" s="3">
        <f>配列!C304</f>
        <v>0</v>
      </c>
      <c r="D304" s="3" t="str">
        <f>IF(配列!E304="",RIGHT(配列!D304&amp;配列!E304,4)&amp;"L",RIGHT(配列!D304&amp;配列!E304,5))</f>
        <v>L</v>
      </c>
      <c r="E304" s="3">
        <f t="shared" si="16"/>
        <v>0</v>
      </c>
      <c r="F304" s="3" t="e">
        <f>_xlfn.XLOOKUP(E304,セットアップレポート_紐づけ用!A:A,セットアップレポート_紐づけ用!J:J)</f>
        <v>#N/A</v>
      </c>
      <c r="G304" s="3" t="e">
        <f>_xlfn.XLOOKUP(E304,セットアップレポート_紐づけ用!A:A,セットアップレポート_紐づけ用!V:V)</f>
        <v>#N/A</v>
      </c>
      <c r="H304" s="3">
        <f t="shared" si="19"/>
        <v>-2</v>
      </c>
      <c r="I304" t="str">
        <f>IF(J304=0,"",IF(配列!E304="",マクロ実行!$A$16 &amp;" T"&amp;H304&amp;"-"&amp;RIGHT(配列!D304&amp;配列!E304,2),マクロ実行!$A$16 &amp;" T"&amp;H304&amp;"-"&amp;RIGHT(配列!D304&amp;配列!E304,3)))</f>
        <v/>
      </c>
      <c r="J304">
        <f>配列!F304</f>
        <v>0</v>
      </c>
      <c r="K304" s="2" t="e">
        <f>_xlfn.XLOOKUP(E304,セットアップレポート_紐づけ用!A:A,セットアップレポート_紐づけ用!R:R)</f>
        <v>#N/A</v>
      </c>
      <c r="L304" t="e">
        <f t="shared" si="17"/>
        <v>#N/A</v>
      </c>
      <c r="M304" t="e">
        <f>_xlfn.XLOOKUP(L304,EGPro!A:A,EGPro!D:D)</f>
        <v>#N/A</v>
      </c>
      <c r="N304" t="e">
        <f>_xlfn.XLOOKUP(L304,EGPro!A:A,EGPro!C:C)</f>
        <v>#N/A</v>
      </c>
      <c r="O304" t="e">
        <f t="shared" si="18"/>
        <v>#N/A</v>
      </c>
      <c r="P304" t="e">
        <f>_xlfn.XLOOKUP(O304,EGPro!A:A,EGPro!D:D)</f>
        <v>#N/A</v>
      </c>
      <c r="Q304" t="e">
        <f>_xlfn.XLOOKUP(O304,EGPro!A:A,EGPro!C:C)</f>
        <v>#N/A</v>
      </c>
    </row>
    <row r="305" spans="1:17" x14ac:dyDescent="0.45">
      <c r="A305" s="3">
        <f>配列!B305</f>
        <v>0</v>
      </c>
      <c r="B305" s="3" t="e">
        <f>_xlfn.XLOOKUP(A305,対応表!A:A,対応表!B:B)</f>
        <v>#N/A</v>
      </c>
      <c r="C305" s="3">
        <f>配列!C305</f>
        <v>0</v>
      </c>
      <c r="D305" s="3" t="str">
        <f>IF(配列!E305="",RIGHT(配列!D305&amp;配列!E305,4)&amp;"L",RIGHT(配列!D305&amp;配列!E305,5))</f>
        <v>L</v>
      </c>
      <c r="E305" s="3">
        <f t="shared" si="16"/>
        <v>0</v>
      </c>
      <c r="F305" s="3" t="e">
        <f>_xlfn.XLOOKUP(E305,セットアップレポート_紐づけ用!A:A,セットアップレポート_紐づけ用!J:J)</f>
        <v>#N/A</v>
      </c>
      <c r="G305" s="3" t="e">
        <f>_xlfn.XLOOKUP(E305,セットアップレポート_紐づけ用!A:A,セットアップレポート_紐づけ用!V:V)</f>
        <v>#N/A</v>
      </c>
      <c r="H305" s="3">
        <f t="shared" si="19"/>
        <v>-2</v>
      </c>
      <c r="I305" t="str">
        <f>IF(J305=0,"",IF(配列!E305="",マクロ実行!$A$16 &amp;" T"&amp;H305&amp;"-"&amp;RIGHT(配列!D305&amp;配列!E305,2),マクロ実行!$A$16 &amp;" T"&amp;H305&amp;"-"&amp;RIGHT(配列!D305&amp;配列!E305,3)))</f>
        <v/>
      </c>
      <c r="J305">
        <f>配列!F305</f>
        <v>0</v>
      </c>
      <c r="K305" s="2" t="e">
        <f>_xlfn.XLOOKUP(E305,セットアップレポート_紐づけ用!A:A,セットアップレポート_紐づけ用!R:R)</f>
        <v>#N/A</v>
      </c>
      <c r="L305" t="e">
        <f t="shared" si="17"/>
        <v>#N/A</v>
      </c>
      <c r="M305" t="e">
        <f>_xlfn.XLOOKUP(L305,EGPro!A:A,EGPro!D:D)</f>
        <v>#N/A</v>
      </c>
      <c r="N305" t="e">
        <f>_xlfn.XLOOKUP(L305,EGPro!A:A,EGPro!C:C)</f>
        <v>#N/A</v>
      </c>
      <c r="O305" t="e">
        <f t="shared" si="18"/>
        <v>#N/A</v>
      </c>
      <c r="P305" t="e">
        <f>_xlfn.XLOOKUP(O305,EGPro!A:A,EGPro!D:D)</f>
        <v>#N/A</v>
      </c>
      <c r="Q305" t="e">
        <f>_xlfn.XLOOKUP(O305,EGPro!A:A,EGPro!C:C)</f>
        <v>#N/A</v>
      </c>
    </row>
    <row r="306" spans="1:17" x14ac:dyDescent="0.45">
      <c r="A306" s="3">
        <f>配列!B306</f>
        <v>0</v>
      </c>
      <c r="B306" s="3" t="e">
        <f>_xlfn.XLOOKUP(A306,対応表!A:A,対応表!B:B)</f>
        <v>#N/A</v>
      </c>
      <c r="C306" s="3">
        <f>配列!C306</f>
        <v>0</v>
      </c>
      <c r="D306" s="3" t="str">
        <f>IF(配列!E306="",RIGHT(配列!D306&amp;配列!E306,4)&amp;"L",RIGHT(配列!D306&amp;配列!E306,5))</f>
        <v>L</v>
      </c>
      <c r="E306" s="3">
        <f t="shared" si="16"/>
        <v>0</v>
      </c>
      <c r="F306" s="3" t="e">
        <f>_xlfn.XLOOKUP(E306,セットアップレポート_紐づけ用!A:A,セットアップレポート_紐づけ用!J:J)</f>
        <v>#N/A</v>
      </c>
      <c r="G306" s="3" t="e">
        <f>_xlfn.XLOOKUP(E306,セットアップレポート_紐づけ用!A:A,セットアップレポート_紐づけ用!V:V)</f>
        <v>#N/A</v>
      </c>
      <c r="H306" s="3">
        <f t="shared" si="19"/>
        <v>-2</v>
      </c>
      <c r="I306" t="str">
        <f>IF(J306=0,"",IF(配列!E306="",マクロ実行!$A$16 &amp;" T"&amp;H306&amp;"-"&amp;RIGHT(配列!D306&amp;配列!E306,2),マクロ実行!$A$16 &amp;" T"&amp;H306&amp;"-"&amp;RIGHT(配列!D306&amp;配列!E306,3)))</f>
        <v/>
      </c>
      <c r="J306">
        <f>配列!F306</f>
        <v>0</v>
      </c>
      <c r="K306" s="2" t="e">
        <f>_xlfn.XLOOKUP(E306,セットアップレポート_紐づけ用!A:A,セットアップレポート_紐づけ用!R:R)</f>
        <v>#N/A</v>
      </c>
      <c r="L306" t="e">
        <f t="shared" si="17"/>
        <v>#N/A</v>
      </c>
      <c r="M306" t="e">
        <f>_xlfn.XLOOKUP(L306,EGPro!A:A,EGPro!D:D)</f>
        <v>#N/A</v>
      </c>
      <c r="N306" t="e">
        <f>_xlfn.XLOOKUP(L306,EGPro!A:A,EGPro!C:C)</f>
        <v>#N/A</v>
      </c>
      <c r="O306" t="e">
        <f t="shared" si="18"/>
        <v>#N/A</v>
      </c>
      <c r="P306" t="e">
        <f>_xlfn.XLOOKUP(O306,EGPro!A:A,EGPro!D:D)</f>
        <v>#N/A</v>
      </c>
      <c r="Q306" t="e">
        <f>_xlfn.XLOOKUP(O306,EGPro!A:A,EGPro!C:C)</f>
        <v>#N/A</v>
      </c>
    </row>
    <row r="307" spans="1:17" x14ac:dyDescent="0.45">
      <c r="A307" s="3">
        <f>配列!B307</f>
        <v>0</v>
      </c>
      <c r="B307" s="3" t="e">
        <f>_xlfn.XLOOKUP(A307,対応表!A:A,対応表!B:B)</f>
        <v>#N/A</v>
      </c>
      <c r="C307" s="3">
        <f>配列!C307</f>
        <v>0</v>
      </c>
      <c r="D307" s="3" t="str">
        <f>IF(配列!E307="",RIGHT(配列!D307&amp;配列!E307,4)&amp;"L",RIGHT(配列!D307&amp;配列!E307,5))</f>
        <v>L</v>
      </c>
      <c r="E307" s="3">
        <f t="shared" si="16"/>
        <v>0</v>
      </c>
      <c r="F307" s="3" t="e">
        <f>_xlfn.XLOOKUP(E307,セットアップレポート_紐づけ用!A:A,セットアップレポート_紐づけ用!J:J)</f>
        <v>#N/A</v>
      </c>
      <c r="G307" s="3" t="e">
        <f>_xlfn.XLOOKUP(E307,セットアップレポート_紐づけ用!A:A,セットアップレポート_紐づけ用!V:V)</f>
        <v>#N/A</v>
      </c>
      <c r="H307" s="3">
        <f t="shared" si="19"/>
        <v>-2</v>
      </c>
      <c r="I307" t="str">
        <f>IF(J307=0,"",IF(配列!E307="",マクロ実行!$A$16 &amp;" T"&amp;H307&amp;"-"&amp;RIGHT(配列!D307&amp;配列!E307,2),マクロ実行!$A$16 &amp;" T"&amp;H307&amp;"-"&amp;RIGHT(配列!D307&amp;配列!E307,3)))</f>
        <v/>
      </c>
      <c r="J307">
        <f>配列!F307</f>
        <v>0</v>
      </c>
      <c r="K307" s="2" t="e">
        <f>_xlfn.XLOOKUP(E307,セットアップレポート_紐づけ用!A:A,セットアップレポート_紐づけ用!R:R)</f>
        <v>#N/A</v>
      </c>
      <c r="L307" t="e">
        <f t="shared" si="17"/>
        <v>#N/A</v>
      </c>
      <c r="M307" t="e">
        <f>_xlfn.XLOOKUP(L307,EGPro!A:A,EGPro!D:D)</f>
        <v>#N/A</v>
      </c>
      <c r="N307" t="e">
        <f>_xlfn.XLOOKUP(L307,EGPro!A:A,EGPro!C:C)</f>
        <v>#N/A</v>
      </c>
      <c r="O307" t="e">
        <f t="shared" si="18"/>
        <v>#N/A</v>
      </c>
      <c r="P307" t="e">
        <f>_xlfn.XLOOKUP(O307,EGPro!A:A,EGPro!D:D)</f>
        <v>#N/A</v>
      </c>
      <c r="Q307" t="e">
        <f>_xlfn.XLOOKUP(O307,EGPro!A:A,EGPro!C:C)</f>
        <v>#N/A</v>
      </c>
    </row>
    <row r="308" spans="1:17" x14ac:dyDescent="0.45">
      <c r="A308" s="3">
        <f>配列!B308</f>
        <v>0</v>
      </c>
      <c r="B308" s="3" t="e">
        <f>_xlfn.XLOOKUP(A308,対応表!A:A,対応表!B:B)</f>
        <v>#N/A</v>
      </c>
      <c r="C308" s="3">
        <f>配列!C308</f>
        <v>0</v>
      </c>
      <c r="D308" s="3" t="str">
        <f>IF(配列!E308="",RIGHT(配列!D308&amp;配列!E308,4)&amp;"L",RIGHT(配列!D308&amp;配列!E308,5))</f>
        <v>L</v>
      </c>
      <c r="E308" s="3">
        <f t="shared" si="16"/>
        <v>0</v>
      </c>
      <c r="F308" s="3" t="e">
        <f>_xlfn.XLOOKUP(E308,セットアップレポート_紐づけ用!A:A,セットアップレポート_紐づけ用!J:J)</f>
        <v>#N/A</v>
      </c>
      <c r="G308" s="3" t="e">
        <f>_xlfn.XLOOKUP(E308,セットアップレポート_紐づけ用!A:A,セットアップレポート_紐づけ用!V:V)</f>
        <v>#N/A</v>
      </c>
      <c r="H308" s="3">
        <f t="shared" si="19"/>
        <v>-2</v>
      </c>
      <c r="I308" t="str">
        <f>IF(J308=0,"",IF(配列!E308="",マクロ実行!$A$16 &amp;" T"&amp;H308&amp;"-"&amp;RIGHT(配列!D308&amp;配列!E308,2),マクロ実行!$A$16 &amp;" T"&amp;H308&amp;"-"&amp;RIGHT(配列!D308&amp;配列!E308,3)))</f>
        <v/>
      </c>
      <c r="J308">
        <f>配列!F308</f>
        <v>0</v>
      </c>
      <c r="K308" s="2" t="e">
        <f>_xlfn.XLOOKUP(E308,セットアップレポート_紐づけ用!A:A,セットアップレポート_紐づけ用!R:R)</f>
        <v>#N/A</v>
      </c>
      <c r="L308" t="e">
        <f t="shared" si="17"/>
        <v>#N/A</v>
      </c>
      <c r="M308" t="e">
        <f>_xlfn.XLOOKUP(L308,EGPro!A:A,EGPro!D:D)</f>
        <v>#N/A</v>
      </c>
      <c r="N308" t="e">
        <f>_xlfn.XLOOKUP(L308,EGPro!A:A,EGPro!C:C)</f>
        <v>#N/A</v>
      </c>
      <c r="O308" t="e">
        <f t="shared" si="18"/>
        <v>#N/A</v>
      </c>
      <c r="P308" t="e">
        <f>_xlfn.XLOOKUP(O308,EGPro!A:A,EGPro!D:D)</f>
        <v>#N/A</v>
      </c>
      <c r="Q308" t="e">
        <f>_xlfn.XLOOKUP(O308,EGPro!A:A,EGPro!C:C)</f>
        <v>#N/A</v>
      </c>
    </row>
    <row r="309" spans="1:17" x14ac:dyDescent="0.45">
      <c r="A309" s="3">
        <f>配列!B309</f>
        <v>0</v>
      </c>
      <c r="B309" s="3" t="e">
        <f>_xlfn.XLOOKUP(A309,対応表!A:A,対応表!B:B)</f>
        <v>#N/A</v>
      </c>
      <c r="C309" s="3">
        <f>配列!C309</f>
        <v>0</v>
      </c>
      <c r="D309" s="3" t="str">
        <f>IF(配列!E309="",RIGHT(配列!D309&amp;配列!E309,4)&amp;"L",RIGHT(配列!D309&amp;配列!E309,5))</f>
        <v>L</v>
      </c>
      <c r="E309" s="3">
        <f t="shared" si="16"/>
        <v>0</v>
      </c>
      <c r="F309" s="3" t="e">
        <f>_xlfn.XLOOKUP(E309,セットアップレポート_紐づけ用!A:A,セットアップレポート_紐づけ用!J:J)</f>
        <v>#N/A</v>
      </c>
      <c r="G309" s="3" t="e">
        <f>_xlfn.XLOOKUP(E309,セットアップレポート_紐づけ用!A:A,セットアップレポート_紐づけ用!V:V)</f>
        <v>#N/A</v>
      </c>
      <c r="H309" s="3">
        <f t="shared" si="19"/>
        <v>-2</v>
      </c>
      <c r="I309" t="str">
        <f>IF(J309=0,"",IF(配列!E309="",マクロ実行!$A$16 &amp;" T"&amp;H309&amp;"-"&amp;RIGHT(配列!D309&amp;配列!E309,2),マクロ実行!$A$16 &amp;" T"&amp;H309&amp;"-"&amp;RIGHT(配列!D309&amp;配列!E309,3)))</f>
        <v/>
      </c>
      <c r="J309">
        <f>配列!F309</f>
        <v>0</v>
      </c>
      <c r="K309" s="2" t="e">
        <f>_xlfn.XLOOKUP(E309,セットアップレポート_紐づけ用!A:A,セットアップレポート_紐づけ用!R:R)</f>
        <v>#N/A</v>
      </c>
      <c r="L309" t="e">
        <f t="shared" si="17"/>
        <v>#N/A</v>
      </c>
      <c r="M309" t="e">
        <f>_xlfn.XLOOKUP(L309,EGPro!A:A,EGPro!D:D)</f>
        <v>#N/A</v>
      </c>
      <c r="N309" t="e">
        <f>_xlfn.XLOOKUP(L309,EGPro!A:A,EGPro!C:C)</f>
        <v>#N/A</v>
      </c>
      <c r="O309" t="e">
        <f t="shared" si="18"/>
        <v>#N/A</v>
      </c>
      <c r="P309" t="e">
        <f>_xlfn.XLOOKUP(O309,EGPro!A:A,EGPro!D:D)</f>
        <v>#N/A</v>
      </c>
      <c r="Q309" t="e">
        <f>_xlfn.XLOOKUP(O309,EGPro!A:A,EGPro!C:C)</f>
        <v>#N/A</v>
      </c>
    </row>
    <row r="310" spans="1:17" x14ac:dyDescent="0.45">
      <c r="A310" s="3">
        <f>配列!B310</f>
        <v>0</v>
      </c>
      <c r="B310" s="3" t="e">
        <f>_xlfn.XLOOKUP(A310,対応表!A:A,対応表!B:B)</f>
        <v>#N/A</v>
      </c>
      <c r="C310" s="3">
        <f>配列!C310</f>
        <v>0</v>
      </c>
      <c r="D310" s="3" t="str">
        <f>IF(配列!E310="",RIGHT(配列!D310&amp;配列!E310,4)&amp;"L",RIGHT(配列!D310&amp;配列!E310,5))</f>
        <v>L</v>
      </c>
      <c r="E310" s="3">
        <f t="shared" si="16"/>
        <v>0</v>
      </c>
      <c r="F310" s="3" t="e">
        <f>_xlfn.XLOOKUP(E310,セットアップレポート_紐づけ用!A:A,セットアップレポート_紐づけ用!J:J)</f>
        <v>#N/A</v>
      </c>
      <c r="G310" s="3" t="e">
        <f>_xlfn.XLOOKUP(E310,セットアップレポート_紐づけ用!A:A,セットアップレポート_紐づけ用!V:V)</f>
        <v>#N/A</v>
      </c>
      <c r="H310" s="3">
        <f t="shared" si="19"/>
        <v>-2</v>
      </c>
      <c r="I310" t="str">
        <f>IF(J310=0,"",IF(配列!E310="",マクロ実行!$A$16 &amp;" T"&amp;H310&amp;"-"&amp;RIGHT(配列!D310&amp;配列!E310,2),マクロ実行!$A$16 &amp;" T"&amp;H310&amp;"-"&amp;RIGHT(配列!D310&amp;配列!E310,3)))</f>
        <v/>
      </c>
      <c r="J310">
        <f>配列!F310</f>
        <v>0</v>
      </c>
      <c r="K310" s="2" t="e">
        <f>_xlfn.XLOOKUP(E310,セットアップレポート_紐づけ用!A:A,セットアップレポート_紐づけ用!R:R)</f>
        <v>#N/A</v>
      </c>
      <c r="L310" t="e">
        <f t="shared" si="17"/>
        <v>#N/A</v>
      </c>
      <c r="M310" t="e">
        <f>_xlfn.XLOOKUP(L310,EGPro!A:A,EGPro!D:D)</f>
        <v>#N/A</v>
      </c>
      <c r="N310" t="e">
        <f>_xlfn.XLOOKUP(L310,EGPro!A:A,EGPro!C:C)</f>
        <v>#N/A</v>
      </c>
      <c r="O310" t="e">
        <f t="shared" si="18"/>
        <v>#N/A</v>
      </c>
      <c r="P310" t="e">
        <f>_xlfn.XLOOKUP(O310,EGPro!A:A,EGPro!D:D)</f>
        <v>#N/A</v>
      </c>
      <c r="Q310" t="e">
        <f>_xlfn.XLOOKUP(O310,EGPro!A:A,EGPro!C:C)</f>
        <v>#N/A</v>
      </c>
    </row>
    <row r="311" spans="1:17" x14ac:dyDescent="0.45">
      <c r="A311" s="3">
        <f>配列!B311</f>
        <v>0</v>
      </c>
      <c r="B311" s="3" t="e">
        <f>_xlfn.XLOOKUP(A311,対応表!A:A,対応表!B:B)</f>
        <v>#N/A</v>
      </c>
      <c r="C311" s="3">
        <f>配列!C311</f>
        <v>0</v>
      </c>
      <c r="D311" s="3" t="str">
        <f>IF(配列!E311="",RIGHT(配列!D311&amp;配列!E311,4)&amp;"L",RIGHT(配列!D311&amp;配列!E311,5))</f>
        <v>L</v>
      </c>
      <c r="E311" s="3">
        <f t="shared" si="16"/>
        <v>0</v>
      </c>
      <c r="F311" s="3" t="e">
        <f>_xlfn.XLOOKUP(E311,セットアップレポート_紐づけ用!A:A,セットアップレポート_紐づけ用!J:J)</f>
        <v>#N/A</v>
      </c>
      <c r="G311" s="3" t="e">
        <f>_xlfn.XLOOKUP(E311,セットアップレポート_紐づけ用!A:A,セットアップレポート_紐づけ用!V:V)</f>
        <v>#N/A</v>
      </c>
      <c r="H311" s="3">
        <f t="shared" si="19"/>
        <v>-2</v>
      </c>
      <c r="I311" t="str">
        <f>IF(J311=0,"",IF(配列!E311="",マクロ実行!$A$16 &amp;" T"&amp;H311&amp;"-"&amp;RIGHT(配列!D311&amp;配列!E311,2),マクロ実行!$A$16 &amp;" T"&amp;H311&amp;"-"&amp;RIGHT(配列!D311&amp;配列!E311,3)))</f>
        <v/>
      </c>
      <c r="J311">
        <f>配列!F311</f>
        <v>0</v>
      </c>
      <c r="K311" s="2" t="e">
        <f>_xlfn.XLOOKUP(E311,セットアップレポート_紐づけ用!A:A,セットアップレポート_紐づけ用!R:R)</f>
        <v>#N/A</v>
      </c>
      <c r="L311" t="e">
        <f t="shared" si="17"/>
        <v>#N/A</v>
      </c>
      <c r="M311" t="e">
        <f>_xlfn.XLOOKUP(L311,EGPro!A:A,EGPro!D:D)</f>
        <v>#N/A</v>
      </c>
      <c r="N311" t="e">
        <f>_xlfn.XLOOKUP(L311,EGPro!A:A,EGPro!C:C)</f>
        <v>#N/A</v>
      </c>
      <c r="O311" t="e">
        <f t="shared" si="18"/>
        <v>#N/A</v>
      </c>
      <c r="P311" t="e">
        <f>_xlfn.XLOOKUP(O311,EGPro!A:A,EGPro!D:D)</f>
        <v>#N/A</v>
      </c>
      <c r="Q311" t="e">
        <f>_xlfn.XLOOKUP(O311,EGPro!A:A,EGPro!C:C)</f>
        <v>#N/A</v>
      </c>
    </row>
    <row r="312" spans="1:17" x14ac:dyDescent="0.45">
      <c r="A312" s="3">
        <f>配列!B312</f>
        <v>0</v>
      </c>
      <c r="B312" s="3" t="e">
        <f>_xlfn.XLOOKUP(A312,対応表!A:A,対応表!B:B)</f>
        <v>#N/A</v>
      </c>
      <c r="C312" s="3">
        <f>配列!C312</f>
        <v>0</v>
      </c>
      <c r="D312" s="3" t="str">
        <f>IF(配列!E312="",RIGHT(配列!D312&amp;配列!E312,4)&amp;"L",RIGHT(配列!D312&amp;配列!E312,5))</f>
        <v>L</v>
      </c>
      <c r="E312" s="3">
        <f t="shared" si="16"/>
        <v>0</v>
      </c>
      <c r="F312" s="3" t="e">
        <f>_xlfn.XLOOKUP(E312,セットアップレポート_紐づけ用!A:A,セットアップレポート_紐づけ用!J:J)</f>
        <v>#N/A</v>
      </c>
      <c r="G312" s="3" t="e">
        <f>_xlfn.XLOOKUP(E312,セットアップレポート_紐づけ用!A:A,セットアップレポート_紐づけ用!V:V)</f>
        <v>#N/A</v>
      </c>
      <c r="H312" s="3">
        <f t="shared" si="19"/>
        <v>-2</v>
      </c>
      <c r="I312" t="str">
        <f>IF(J312=0,"",IF(配列!E312="",マクロ実行!$A$16 &amp;" T"&amp;H312&amp;"-"&amp;RIGHT(配列!D312&amp;配列!E312,2),マクロ実行!$A$16 &amp;" T"&amp;H312&amp;"-"&amp;RIGHT(配列!D312&amp;配列!E312,3)))</f>
        <v/>
      </c>
      <c r="J312">
        <f>配列!F312</f>
        <v>0</v>
      </c>
      <c r="K312" s="2" t="e">
        <f>_xlfn.XLOOKUP(E312,セットアップレポート_紐づけ用!A:A,セットアップレポート_紐づけ用!R:R)</f>
        <v>#N/A</v>
      </c>
      <c r="L312" t="e">
        <f t="shared" si="17"/>
        <v>#N/A</v>
      </c>
      <c r="M312" t="e">
        <f>_xlfn.XLOOKUP(L312,EGPro!A:A,EGPro!D:D)</f>
        <v>#N/A</v>
      </c>
      <c r="N312" t="e">
        <f>_xlfn.XLOOKUP(L312,EGPro!A:A,EGPro!C:C)</f>
        <v>#N/A</v>
      </c>
      <c r="O312" t="e">
        <f t="shared" si="18"/>
        <v>#N/A</v>
      </c>
      <c r="P312" t="e">
        <f>_xlfn.XLOOKUP(O312,EGPro!A:A,EGPro!D:D)</f>
        <v>#N/A</v>
      </c>
      <c r="Q312" t="e">
        <f>_xlfn.XLOOKUP(O312,EGPro!A:A,EGPro!C:C)</f>
        <v>#N/A</v>
      </c>
    </row>
    <row r="313" spans="1:17" x14ac:dyDescent="0.45">
      <c r="A313" s="3">
        <f>配列!B313</f>
        <v>0</v>
      </c>
      <c r="B313" s="3" t="e">
        <f>_xlfn.XLOOKUP(A313,対応表!A:A,対応表!B:B)</f>
        <v>#N/A</v>
      </c>
      <c r="C313" s="3">
        <f>配列!C313</f>
        <v>0</v>
      </c>
      <c r="D313" s="3" t="str">
        <f>IF(配列!E313="",RIGHT(配列!D313&amp;配列!E313,4)&amp;"L",RIGHT(配列!D313&amp;配列!E313,5))</f>
        <v>L</v>
      </c>
      <c r="E313" s="3">
        <f t="shared" si="16"/>
        <v>0</v>
      </c>
      <c r="F313" s="3" t="e">
        <f>_xlfn.XLOOKUP(E313,セットアップレポート_紐づけ用!A:A,セットアップレポート_紐づけ用!J:J)</f>
        <v>#N/A</v>
      </c>
      <c r="G313" s="3" t="e">
        <f>_xlfn.XLOOKUP(E313,セットアップレポート_紐づけ用!A:A,セットアップレポート_紐づけ用!V:V)</f>
        <v>#N/A</v>
      </c>
      <c r="H313" s="3">
        <f t="shared" si="19"/>
        <v>-2</v>
      </c>
      <c r="I313" t="str">
        <f>IF(J313=0,"",IF(配列!E313="",マクロ実行!$A$16 &amp;" T"&amp;H313&amp;"-"&amp;RIGHT(配列!D313&amp;配列!E313,2),マクロ実行!$A$16 &amp;" T"&amp;H313&amp;"-"&amp;RIGHT(配列!D313&amp;配列!E313,3)))</f>
        <v/>
      </c>
      <c r="J313">
        <f>配列!F313</f>
        <v>0</v>
      </c>
      <c r="K313" s="2" t="e">
        <f>_xlfn.XLOOKUP(E313,セットアップレポート_紐づけ用!A:A,セットアップレポート_紐づけ用!R:R)</f>
        <v>#N/A</v>
      </c>
      <c r="L313" t="e">
        <f t="shared" si="17"/>
        <v>#N/A</v>
      </c>
      <c r="M313" t="e">
        <f>_xlfn.XLOOKUP(L313,EGPro!A:A,EGPro!D:D)</f>
        <v>#N/A</v>
      </c>
      <c r="N313" t="e">
        <f>_xlfn.XLOOKUP(L313,EGPro!A:A,EGPro!C:C)</f>
        <v>#N/A</v>
      </c>
      <c r="O313" t="e">
        <f t="shared" si="18"/>
        <v>#N/A</v>
      </c>
      <c r="P313" t="e">
        <f>_xlfn.XLOOKUP(O313,EGPro!A:A,EGPro!D:D)</f>
        <v>#N/A</v>
      </c>
      <c r="Q313" t="e">
        <f>_xlfn.XLOOKUP(O313,EGPro!A:A,EGPro!C:C)</f>
        <v>#N/A</v>
      </c>
    </row>
    <row r="314" spans="1:17" x14ac:dyDescent="0.45">
      <c r="A314" s="3">
        <f>配列!B314</f>
        <v>0</v>
      </c>
      <c r="B314" s="3" t="e">
        <f>_xlfn.XLOOKUP(A314,対応表!A:A,対応表!B:B)</f>
        <v>#N/A</v>
      </c>
      <c r="C314" s="3">
        <f>配列!C314</f>
        <v>0</v>
      </c>
      <c r="D314" s="3" t="str">
        <f>IF(配列!E314="",RIGHT(配列!D314&amp;配列!E314,4)&amp;"L",RIGHT(配列!D314&amp;配列!E314,5))</f>
        <v>L</v>
      </c>
      <c r="E314" s="3">
        <f t="shared" si="16"/>
        <v>0</v>
      </c>
      <c r="F314" s="3" t="e">
        <f>_xlfn.XLOOKUP(E314,セットアップレポート_紐づけ用!A:A,セットアップレポート_紐づけ用!J:J)</f>
        <v>#N/A</v>
      </c>
      <c r="G314" s="3" t="e">
        <f>_xlfn.XLOOKUP(E314,セットアップレポート_紐づけ用!A:A,セットアップレポート_紐づけ用!V:V)</f>
        <v>#N/A</v>
      </c>
      <c r="H314" s="3">
        <f t="shared" si="19"/>
        <v>-2</v>
      </c>
      <c r="I314" t="str">
        <f>IF(J314=0,"",IF(配列!E314="",マクロ実行!$A$16 &amp;" T"&amp;H314&amp;"-"&amp;RIGHT(配列!D314&amp;配列!E314,2),マクロ実行!$A$16 &amp;" T"&amp;H314&amp;"-"&amp;RIGHT(配列!D314&amp;配列!E314,3)))</f>
        <v/>
      </c>
      <c r="J314">
        <f>配列!F314</f>
        <v>0</v>
      </c>
      <c r="K314" s="2" t="e">
        <f>_xlfn.XLOOKUP(E314,セットアップレポート_紐づけ用!A:A,セットアップレポート_紐づけ用!R:R)</f>
        <v>#N/A</v>
      </c>
      <c r="L314" t="e">
        <f t="shared" si="17"/>
        <v>#N/A</v>
      </c>
      <c r="M314" t="e">
        <f>_xlfn.XLOOKUP(L314,EGPro!A:A,EGPro!D:D)</f>
        <v>#N/A</v>
      </c>
      <c r="N314" t="e">
        <f>_xlfn.XLOOKUP(L314,EGPro!A:A,EGPro!C:C)</f>
        <v>#N/A</v>
      </c>
      <c r="O314" t="e">
        <f t="shared" si="18"/>
        <v>#N/A</v>
      </c>
      <c r="P314" t="e">
        <f>_xlfn.XLOOKUP(O314,EGPro!A:A,EGPro!D:D)</f>
        <v>#N/A</v>
      </c>
      <c r="Q314" t="e">
        <f>_xlfn.XLOOKUP(O314,EGPro!A:A,EGPro!C:C)</f>
        <v>#N/A</v>
      </c>
    </row>
    <row r="315" spans="1:17" x14ac:dyDescent="0.45">
      <c r="A315" s="3">
        <f>配列!B315</f>
        <v>0</v>
      </c>
      <c r="B315" s="3" t="e">
        <f>_xlfn.XLOOKUP(A315,対応表!A:A,対応表!B:B)</f>
        <v>#N/A</v>
      </c>
      <c r="C315" s="3">
        <f>配列!C315</f>
        <v>0</v>
      </c>
      <c r="D315" s="3" t="str">
        <f>IF(配列!E315="",RIGHT(配列!D315&amp;配列!E315,4)&amp;"L",RIGHT(配列!D315&amp;配列!E315,5))</f>
        <v>L</v>
      </c>
      <c r="E315" s="3">
        <f t="shared" si="16"/>
        <v>0</v>
      </c>
      <c r="F315" s="3" t="e">
        <f>_xlfn.XLOOKUP(E315,セットアップレポート_紐づけ用!A:A,セットアップレポート_紐づけ用!J:J)</f>
        <v>#N/A</v>
      </c>
      <c r="G315" s="3" t="e">
        <f>_xlfn.XLOOKUP(E315,セットアップレポート_紐づけ用!A:A,セットアップレポート_紐づけ用!V:V)</f>
        <v>#N/A</v>
      </c>
      <c r="H315" s="3">
        <f t="shared" si="19"/>
        <v>-2</v>
      </c>
      <c r="I315" t="str">
        <f>IF(J315=0,"",IF(配列!E315="",マクロ実行!$A$16 &amp;" T"&amp;H315&amp;"-"&amp;RIGHT(配列!D315&amp;配列!E315,2),マクロ実行!$A$16 &amp;" T"&amp;H315&amp;"-"&amp;RIGHT(配列!D315&amp;配列!E315,3)))</f>
        <v/>
      </c>
      <c r="J315">
        <f>配列!F315</f>
        <v>0</v>
      </c>
      <c r="K315" s="2" t="e">
        <f>_xlfn.XLOOKUP(E315,セットアップレポート_紐づけ用!A:A,セットアップレポート_紐づけ用!R:R)</f>
        <v>#N/A</v>
      </c>
      <c r="L315" t="e">
        <f t="shared" si="17"/>
        <v>#N/A</v>
      </c>
      <c r="M315" t="e">
        <f>_xlfn.XLOOKUP(L315,EGPro!A:A,EGPro!D:D)</f>
        <v>#N/A</v>
      </c>
      <c r="N315" t="e">
        <f>_xlfn.XLOOKUP(L315,EGPro!A:A,EGPro!C:C)</f>
        <v>#N/A</v>
      </c>
      <c r="O315" t="e">
        <f t="shared" si="18"/>
        <v>#N/A</v>
      </c>
      <c r="P315" t="e">
        <f>_xlfn.XLOOKUP(O315,EGPro!A:A,EGPro!D:D)</f>
        <v>#N/A</v>
      </c>
      <c r="Q315" t="e">
        <f>_xlfn.XLOOKUP(O315,EGPro!A:A,EGPro!C:C)</f>
        <v>#N/A</v>
      </c>
    </row>
    <row r="316" spans="1:17" x14ac:dyDescent="0.45">
      <c r="A316" s="3">
        <f>配列!B316</f>
        <v>0</v>
      </c>
      <c r="B316" s="3" t="e">
        <f>_xlfn.XLOOKUP(A316,対応表!A:A,対応表!B:B)</f>
        <v>#N/A</v>
      </c>
      <c r="C316" s="3">
        <f>配列!C316</f>
        <v>0</v>
      </c>
      <c r="D316" s="3" t="str">
        <f>IF(配列!E316="",RIGHT(配列!D316&amp;配列!E316,4)&amp;"L",RIGHT(配列!D316&amp;配列!E316,5))</f>
        <v>L</v>
      </c>
      <c r="E316" s="3">
        <f t="shared" si="16"/>
        <v>0</v>
      </c>
      <c r="F316" s="3" t="e">
        <f>_xlfn.XLOOKUP(E316,セットアップレポート_紐づけ用!A:A,セットアップレポート_紐づけ用!J:J)</f>
        <v>#N/A</v>
      </c>
      <c r="G316" s="3" t="e">
        <f>_xlfn.XLOOKUP(E316,セットアップレポート_紐づけ用!A:A,セットアップレポート_紐づけ用!V:V)</f>
        <v>#N/A</v>
      </c>
      <c r="H316" s="3">
        <f t="shared" si="19"/>
        <v>-2</v>
      </c>
      <c r="I316" t="str">
        <f>IF(J316=0,"",IF(配列!E316="",マクロ実行!$A$16 &amp;" T"&amp;H316&amp;"-"&amp;RIGHT(配列!D316&amp;配列!E316,2),マクロ実行!$A$16 &amp;" T"&amp;H316&amp;"-"&amp;RIGHT(配列!D316&amp;配列!E316,3)))</f>
        <v/>
      </c>
      <c r="J316">
        <f>配列!F316</f>
        <v>0</v>
      </c>
      <c r="K316" s="2" t="e">
        <f>_xlfn.XLOOKUP(E316,セットアップレポート_紐づけ用!A:A,セットアップレポート_紐づけ用!R:R)</f>
        <v>#N/A</v>
      </c>
      <c r="L316" t="e">
        <f t="shared" si="17"/>
        <v>#N/A</v>
      </c>
      <c r="M316" t="e">
        <f>_xlfn.XLOOKUP(L316,EGPro!A:A,EGPro!D:D)</f>
        <v>#N/A</v>
      </c>
      <c r="N316" t="e">
        <f>_xlfn.XLOOKUP(L316,EGPro!A:A,EGPro!C:C)</f>
        <v>#N/A</v>
      </c>
      <c r="O316" t="e">
        <f t="shared" si="18"/>
        <v>#N/A</v>
      </c>
      <c r="P316" t="e">
        <f>_xlfn.XLOOKUP(O316,EGPro!A:A,EGPro!D:D)</f>
        <v>#N/A</v>
      </c>
      <c r="Q316" t="e">
        <f>_xlfn.XLOOKUP(O316,EGPro!A:A,EGPro!C:C)</f>
        <v>#N/A</v>
      </c>
    </row>
    <row r="317" spans="1:17" x14ac:dyDescent="0.45">
      <c r="A317" s="3">
        <f>配列!B317</f>
        <v>0</v>
      </c>
      <c r="B317" s="3" t="e">
        <f>_xlfn.XLOOKUP(A317,対応表!A:A,対応表!B:B)</f>
        <v>#N/A</v>
      </c>
      <c r="C317" s="3">
        <f>配列!C317</f>
        <v>0</v>
      </c>
      <c r="D317" s="3" t="str">
        <f>IF(配列!E317="",RIGHT(配列!D317&amp;配列!E317,4)&amp;"L",RIGHT(配列!D317&amp;配列!E317,5))</f>
        <v>L</v>
      </c>
      <c r="E317" s="3">
        <f t="shared" si="16"/>
        <v>0</v>
      </c>
      <c r="F317" s="3" t="e">
        <f>_xlfn.XLOOKUP(E317,セットアップレポート_紐づけ用!A:A,セットアップレポート_紐づけ用!J:J)</f>
        <v>#N/A</v>
      </c>
      <c r="G317" s="3" t="e">
        <f>_xlfn.XLOOKUP(E317,セットアップレポート_紐づけ用!A:A,セットアップレポート_紐づけ用!V:V)</f>
        <v>#N/A</v>
      </c>
      <c r="H317" s="3">
        <f t="shared" si="19"/>
        <v>-2</v>
      </c>
      <c r="I317" t="str">
        <f>IF(J317=0,"",IF(配列!E317="",マクロ実行!$A$16 &amp;" T"&amp;H317&amp;"-"&amp;RIGHT(配列!D317&amp;配列!E317,2),マクロ実行!$A$16 &amp;" T"&amp;H317&amp;"-"&amp;RIGHT(配列!D317&amp;配列!E317,3)))</f>
        <v/>
      </c>
      <c r="J317">
        <f>配列!F317</f>
        <v>0</v>
      </c>
      <c r="K317" s="2" t="e">
        <f>_xlfn.XLOOKUP(E317,セットアップレポート_紐づけ用!A:A,セットアップレポート_紐づけ用!R:R)</f>
        <v>#N/A</v>
      </c>
      <c r="L317" t="e">
        <f t="shared" si="17"/>
        <v>#N/A</v>
      </c>
      <c r="M317" t="e">
        <f>_xlfn.XLOOKUP(L317,EGPro!A:A,EGPro!D:D)</f>
        <v>#N/A</v>
      </c>
      <c r="N317" t="e">
        <f>_xlfn.XLOOKUP(L317,EGPro!A:A,EGPro!C:C)</f>
        <v>#N/A</v>
      </c>
      <c r="O317" t="e">
        <f t="shared" si="18"/>
        <v>#N/A</v>
      </c>
      <c r="P317" t="e">
        <f>_xlfn.XLOOKUP(O317,EGPro!A:A,EGPro!D:D)</f>
        <v>#N/A</v>
      </c>
      <c r="Q317" t="e">
        <f>_xlfn.XLOOKUP(O317,EGPro!A:A,EGPro!C:C)</f>
        <v>#N/A</v>
      </c>
    </row>
    <row r="318" spans="1:17" x14ac:dyDescent="0.45">
      <c r="A318" s="3">
        <f>配列!B318</f>
        <v>0</v>
      </c>
      <c r="B318" s="3" t="e">
        <f>_xlfn.XLOOKUP(A318,対応表!A:A,対応表!B:B)</f>
        <v>#N/A</v>
      </c>
      <c r="C318" s="3">
        <f>配列!C318</f>
        <v>0</v>
      </c>
      <c r="D318" s="3" t="str">
        <f>IF(配列!E318="",RIGHT(配列!D318&amp;配列!E318,4)&amp;"L",RIGHT(配列!D318&amp;配列!E318,5))</f>
        <v>L</v>
      </c>
      <c r="E318" s="3">
        <f t="shared" si="16"/>
        <v>0</v>
      </c>
      <c r="F318" s="3" t="e">
        <f>_xlfn.XLOOKUP(E318,セットアップレポート_紐づけ用!A:A,セットアップレポート_紐づけ用!J:J)</f>
        <v>#N/A</v>
      </c>
      <c r="G318" s="3" t="e">
        <f>_xlfn.XLOOKUP(E318,セットアップレポート_紐づけ用!A:A,セットアップレポート_紐づけ用!V:V)</f>
        <v>#N/A</v>
      </c>
      <c r="H318" s="3">
        <f t="shared" si="19"/>
        <v>-2</v>
      </c>
      <c r="I318" t="str">
        <f>IF(J318=0,"",IF(配列!E318="",マクロ実行!$A$16 &amp;" T"&amp;H318&amp;"-"&amp;RIGHT(配列!D318&amp;配列!E318,2),マクロ実行!$A$16 &amp;" T"&amp;H318&amp;"-"&amp;RIGHT(配列!D318&amp;配列!E318,3)))</f>
        <v/>
      </c>
      <c r="J318">
        <f>配列!F318</f>
        <v>0</v>
      </c>
      <c r="K318" s="2" t="e">
        <f>_xlfn.XLOOKUP(E318,セットアップレポート_紐づけ用!A:A,セットアップレポート_紐づけ用!R:R)</f>
        <v>#N/A</v>
      </c>
      <c r="L318" t="e">
        <f t="shared" si="17"/>
        <v>#N/A</v>
      </c>
      <c r="M318" t="e">
        <f>_xlfn.XLOOKUP(L318,EGPro!A:A,EGPro!D:D)</f>
        <v>#N/A</v>
      </c>
      <c r="N318" t="e">
        <f>_xlfn.XLOOKUP(L318,EGPro!A:A,EGPro!C:C)</f>
        <v>#N/A</v>
      </c>
      <c r="O318" t="e">
        <f t="shared" si="18"/>
        <v>#N/A</v>
      </c>
      <c r="P318" t="e">
        <f>_xlfn.XLOOKUP(O318,EGPro!A:A,EGPro!D:D)</f>
        <v>#N/A</v>
      </c>
      <c r="Q318" t="e">
        <f>_xlfn.XLOOKUP(O318,EGPro!A:A,EGPro!C:C)</f>
        <v>#N/A</v>
      </c>
    </row>
    <row r="319" spans="1:17" x14ac:dyDescent="0.45">
      <c r="A319" s="3">
        <f>配列!B319</f>
        <v>0</v>
      </c>
      <c r="B319" s="3" t="e">
        <f>_xlfn.XLOOKUP(A319,対応表!A:A,対応表!B:B)</f>
        <v>#N/A</v>
      </c>
      <c r="C319" s="3">
        <f>配列!C319</f>
        <v>0</v>
      </c>
      <c r="D319" s="3" t="str">
        <f>IF(配列!E319="",RIGHT(配列!D319&amp;配列!E319,4)&amp;"L",RIGHT(配列!D319&amp;配列!E319,5))</f>
        <v>L</v>
      </c>
      <c r="E319" s="3">
        <f t="shared" si="16"/>
        <v>0</v>
      </c>
      <c r="F319" s="3" t="e">
        <f>_xlfn.XLOOKUP(E319,セットアップレポート_紐づけ用!A:A,セットアップレポート_紐づけ用!J:J)</f>
        <v>#N/A</v>
      </c>
      <c r="G319" s="3" t="e">
        <f>_xlfn.XLOOKUP(E319,セットアップレポート_紐づけ用!A:A,セットアップレポート_紐づけ用!V:V)</f>
        <v>#N/A</v>
      </c>
      <c r="H319" s="3">
        <f t="shared" si="19"/>
        <v>-2</v>
      </c>
      <c r="I319" t="str">
        <f>IF(J319=0,"",IF(配列!E319="",マクロ実行!$A$16 &amp;" T"&amp;H319&amp;"-"&amp;RIGHT(配列!D319&amp;配列!E319,2),マクロ実行!$A$16 &amp;" T"&amp;H319&amp;"-"&amp;RIGHT(配列!D319&amp;配列!E319,3)))</f>
        <v/>
      </c>
      <c r="J319">
        <f>配列!F319</f>
        <v>0</v>
      </c>
      <c r="K319" s="2" t="e">
        <f>_xlfn.XLOOKUP(E319,セットアップレポート_紐づけ用!A:A,セットアップレポート_紐づけ用!R:R)</f>
        <v>#N/A</v>
      </c>
      <c r="L319" t="e">
        <f t="shared" si="17"/>
        <v>#N/A</v>
      </c>
      <c r="M319" t="e">
        <f>_xlfn.XLOOKUP(L319,EGPro!A:A,EGPro!D:D)</f>
        <v>#N/A</v>
      </c>
      <c r="N319" t="e">
        <f>_xlfn.XLOOKUP(L319,EGPro!A:A,EGPro!C:C)</f>
        <v>#N/A</v>
      </c>
      <c r="O319" t="e">
        <f t="shared" si="18"/>
        <v>#N/A</v>
      </c>
      <c r="P319" t="e">
        <f>_xlfn.XLOOKUP(O319,EGPro!A:A,EGPro!D:D)</f>
        <v>#N/A</v>
      </c>
      <c r="Q319" t="e">
        <f>_xlfn.XLOOKUP(O319,EGPro!A:A,EGPro!C:C)</f>
        <v>#N/A</v>
      </c>
    </row>
    <row r="320" spans="1:17" x14ac:dyDescent="0.45">
      <c r="A320" s="3">
        <f>配列!B320</f>
        <v>0</v>
      </c>
      <c r="B320" s="3" t="e">
        <f>_xlfn.XLOOKUP(A320,対応表!A:A,対応表!B:B)</f>
        <v>#N/A</v>
      </c>
      <c r="C320" s="3">
        <f>配列!C320</f>
        <v>0</v>
      </c>
      <c r="D320" s="3" t="str">
        <f>IF(配列!E320="",RIGHT(配列!D320&amp;配列!E320,4)&amp;"L",RIGHT(配列!D320&amp;配列!E320,5))</f>
        <v>L</v>
      </c>
      <c r="E320" s="3">
        <f t="shared" si="16"/>
        <v>0</v>
      </c>
      <c r="F320" s="3" t="e">
        <f>_xlfn.XLOOKUP(E320,セットアップレポート_紐づけ用!A:A,セットアップレポート_紐づけ用!J:J)</f>
        <v>#N/A</v>
      </c>
      <c r="G320" s="3" t="e">
        <f>_xlfn.XLOOKUP(E320,セットアップレポート_紐づけ用!A:A,セットアップレポート_紐づけ用!V:V)</f>
        <v>#N/A</v>
      </c>
      <c r="H320" s="3">
        <f t="shared" si="19"/>
        <v>-2</v>
      </c>
      <c r="I320" t="str">
        <f>IF(J320=0,"",IF(配列!E320="",マクロ実行!$A$16 &amp;" T"&amp;H320&amp;"-"&amp;RIGHT(配列!D320&amp;配列!E320,2),マクロ実行!$A$16 &amp;" T"&amp;H320&amp;"-"&amp;RIGHT(配列!D320&amp;配列!E320,3)))</f>
        <v/>
      </c>
      <c r="J320">
        <f>配列!F320</f>
        <v>0</v>
      </c>
      <c r="K320" s="2" t="e">
        <f>_xlfn.XLOOKUP(E320,セットアップレポート_紐づけ用!A:A,セットアップレポート_紐づけ用!R:R)</f>
        <v>#N/A</v>
      </c>
      <c r="L320" t="e">
        <f t="shared" si="17"/>
        <v>#N/A</v>
      </c>
      <c r="M320" t="e">
        <f>_xlfn.XLOOKUP(L320,EGPro!A:A,EGPro!D:D)</f>
        <v>#N/A</v>
      </c>
      <c r="N320" t="e">
        <f>_xlfn.XLOOKUP(L320,EGPro!A:A,EGPro!C:C)</f>
        <v>#N/A</v>
      </c>
      <c r="O320" t="e">
        <f t="shared" si="18"/>
        <v>#N/A</v>
      </c>
      <c r="P320" t="e">
        <f>_xlfn.XLOOKUP(O320,EGPro!A:A,EGPro!D:D)</f>
        <v>#N/A</v>
      </c>
      <c r="Q320" t="e">
        <f>_xlfn.XLOOKUP(O320,EGPro!A:A,EGPro!C:C)</f>
        <v>#N/A</v>
      </c>
    </row>
    <row r="321" spans="1:17" x14ac:dyDescent="0.45">
      <c r="A321" s="3">
        <f>配列!B321</f>
        <v>0</v>
      </c>
      <c r="B321" s="3" t="e">
        <f>_xlfn.XLOOKUP(A321,対応表!A:A,対応表!B:B)</f>
        <v>#N/A</v>
      </c>
      <c r="C321" s="3">
        <f>配列!C321</f>
        <v>0</v>
      </c>
      <c r="D321" s="3" t="str">
        <f>IF(配列!E321="",RIGHT(配列!D321&amp;配列!E321,4)&amp;"L",RIGHT(配列!D321&amp;配列!E321,5))</f>
        <v>L</v>
      </c>
      <c r="E321" s="3">
        <f t="shared" si="16"/>
        <v>0</v>
      </c>
      <c r="F321" s="3" t="e">
        <f>_xlfn.XLOOKUP(E321,セットアップレポート_紐づけ用!A:A,セットアップレポート_紐づけ用!J:J)</f>
        <v>#N/A</v>
      </c>
      <c r="G321" s="3" t="e">
        <f>_xlfn.XLOOKUP(E321,セットアップレポート_紐づけ用!A:A,セットアップレポート_紐づけ用!V:V)</f>
        <v>#N/A</v>
      </c>
      <c r="H321" s="3">
        <f t="shared" si="19"/>
        <v>-2</v>
      </c>
      <c r="I321" t="str">
        <f>IF(J321=0,"",IF(配列!E321="",マクロ実行!$A$16 &amp;" T"&amp;H321&amp;"-"&amp;RIGHT(配列!D321&amp;配列!E321,2),マクロ実行!$A$16 &amp;" T"&amp;H321&amp;"-"&amp;RIGHT(配列!D321&amp;配列!E321,3)))</f>
        <v/>
      </c>
      <c r="J321">
        <f>配列!F321</f>
        <v>0</v>
      </c>
      <c r="K321" s="2" t="e">
        <f>_xlfn.XLOOKUP(E321,セットアップレポート_紐づけ用!A:A,セットアップレポート_紐づけ用!R:R)</f>
        <v>#N/A</v>
      </c>
      <c r="L321" t="e">
        <f t="shared" si="17"/>
        <v>#N/A</v>
      </c>
      <c r="M321" t="e">
        <f>_xlfn.XLOOKUP(L321,EGPro!A:A,EGPro!D:D)</f>
        <v>#N/A</v>
      </c>
      <c r="N321" t="e">
        <f>_xlfn.XLOOKUP(L321,EGPro!A:A,EGPro!C:C)</f>
        <v>#N/A</v>
      </c>
      <c r="O321" t="e">
        <f t="shared" si="18"/>
        <v>#N/A</v>
      </c>
      <c r="P321" t="e">
        <f>_xlfn.XLOOKUP(O321,EGPro!A:A,EGPro!D:D)</f>
        <v>#N/A</v>
      </c>
      <c r="Q321" t="e">
        <f>_xlfn.XLOOKUP(O321,EGPro!A:A,EGPro!C:C)</f>
        <v>#N/A</v>
      </c>
    </row>
    <row r="322" spans="1:17" x14ac:dyDescent="0.45">
      <c r="A322" s="3">
        <f>配列!B322</f>
        <v>0</v>
      </c>
      <c r="B322" s="3" t="e">
        <f>_xlfn.XLOOKUP(A322,対応表!A:A,対応表!B:B)</f>
        <v>#N/A</v>
      </c>
      <c r="C322" s="3">
        <f>配列!C322</f>
        <v>0</v>
      </c>
      <c r="D322" s="3" t="str">
        <f>IF(配列!E322="",RIGHT(配列!D322&amp;配列!E322,4)&amp;"L",RIGHT(配列!D322&amp;配列!E322,5))</f>
        <v>L</v>
      </c>
      <c r="E322" s="3">
        <f t="shared" ref="E322:E385" si="20">IF(J322=0,,B322&amp;D322&amp;J322)</f>
        <v>0</v>
      </c>
      <c r="F322" s="3" t="e">
        <f>_xlfn.XLOOKUP(E322,セットアップレポート_紐づけ用!A:A,セットアップレポート_紐づけ用!J:J)</f>
        <v>#N/A</v>
      </c>
      <c r="G322" s="3" t="e">
        <f>_xlfn.XLOOKUP(E322,セットアップレポート_紐づけ用!A:A,セットアップレポート_紐づけ用!V:V)</f>
        <v>#N/A</v>
      </c>
      <c r="H322" s="3">
        <f t="shared" si="19"/>
        <v>-2</v>
      </c>
      <c r="I322" t="str">
        <f>IF(J322=0,"",IF(配列!E322="",マクロ実行!$A$16 &amp;" T"&amp;H322&amp;"-"&amp;RIGHT(配列!D322&amp;配列!E322,2),マクロ実行!$A$16 &amp;" T"&amp;H322&amp;"-"&amp;RIGHT(配列!D322&amp;配列!E322,3)))</f>
        <v/>
      </c>
      <c r="J322">
        <f>配列!F322</f>
        <v>0</v>
      </c>
      <c r="K322" s="2" t="e">
        <f>_xlfn.XLOOKUP(E322,セットアップレポート_紐づけ用!A:A,セットアップレポート_紐づけ用!R:R)</f>
        <v>#N/A</v>
      </c>
      <c r="L322" t="e">
        <f t="shared" ref="L322:L385" si="21">IF(LEN(F322)=13,"    "&amp;F322,F322)</f>
        <v>#N/A</v>
      </c>
      <c r="M322" t="e">
        <f>_xlfn.XLOOKUP(L322,EGPro!A:A,EGPro!D:D)</f>
        <v>#N/A</v>
      </c>
      <c r="N322" t="e">
        <f>_xlfn.XLOOKUP(L322,EGPro!A:A,EGPro!C:C)</f>
        <v>#N/A</v>
      </c>
      <c r="O322" t="e">
        <f t="shared" ref="O322:O385" si="22">IF(LEN(G322)=13,"    "&amp;G322,G322)</f>
        <v>#N/A</v>
      </c>
      <c r="P322" t="e">
        <f>_xlfn.XLOOKUP(O322,EGPro!A:A,EGPro!D:D)</f>
        <v>#N/A</v>
      </c>
      <c r="Q322" t="e">
        <f>_xlfn.XLOOKUP(O322,EGPro!A:A,EGPro!C:C)</f>
        <v>#N/A</v>
      </c>
    </row>
    <row r="323" spans="1:17" x14ac:dyDescent="0.45">
      <c r="A323" s="3">
        <f>配列!B323</f>
        <v>0</v>
      </c>
      <c r="B323" s="3" t="e">
        <f>_xlfn.XLOOKUP(A323,対応表!A:A,対応表!B:B)</f>
        <v>#N/A</v>
      </c>
      <c r="C323" s="3">
        <f>配列!C323</f>
        <v>0</v>
      </c>
      <c r="D323" s="3" t="str">
        <f>IF(配列!E323="",RIGHT(配列!D323&amp;配列!E323,4)&amp;"L",RIGHT(配列!D323&amp;配列!E323,5))</f>
        <v>L</v>
      </c>
      <c r="E323" s="3">
        <f t="shared" si="20"/>
        <v>0</v>
      </c>
      <c r="F323" s="3" t="e">
        <f>_xlfn.XLOOKUP(E323,セットアップレポート_紐づけ用!A:A,セットアップレポート_紐づけ用!J:J)</f>
        <v>#N/A</v>
      </c>
      <c r="G323" s="3" t="e">
        <f>_xlfn.XLOOKUP(E323,セットアップレポート_紐づけ用!A:A,セットアップレポート_紐づけ用!V:V)</f>
        <v>#N/A</v>
      </c>
      <c r="H323" s="3">
        <f t="shared" ref="H323:H386" si="23">2*RIGHT(A323,1)-2+C323</f>
        <v>-2</v>
      </c>
      <c r="I323" t="str">
        <f>IF(J323=0,"",IF(配列!E323="",マクロ実行!$A$16 &amp;" T"&amp;H323&amp;"-"&amp;RIGHT(配列!D323&amp;配列!E323,2),マクロ実行!$A$16 &amp;" T"&amp;H323&amp;"-"&amp;RIGHT(配列!D323&amp;配列!E323,3)))</f>
        <v/>
      </c>
      <c r="J323">
        <f>配列!F323</f>
        <v>0</v>
      </c>
      <c r="K323" s="2" t="e">
        <f>_xlfn.XLOOKUP(E323,セットアップレポート_紐づけ用!A:A,セットアップレポート_紐づけ用!R:R)</f>
        <v>#N/A</v>
      </c>
      <c r="L323" t="e">
        <f t="shared" si="21"/>
        <v>#N/A</v>
      </c>
      <c r="M323" t="e">
        <f>_xlfn.XLOOKUP(L323,EGPro!A:A,EGPro!D:D)</f>
        <v>#N/A</v>
      </c>
      <c r="N323" t="e">
        <f>_xlfn.XLOOKUP(L323,EGPro!A:A,EGPro!C:C)</f>
        <v>#N/A</v>
      </c>
      <c r="O323" t="e">
        <f t="shared" si="22"/>
        <v>#N/A</v>
      </c>
      <c r="P323" t="e">
        <f>_xlfn.XLOOKUP(O323,EGPro!A:A,EGPro!D:D)</f>
        <v>#N/A</v>
      </c>
      <c r="Q323" t="e">
        <f>_xlfn.XLOOKUP(O323,EGPro!A:A,EGPro!C:C)</f>
        <v>#N/A</v>
      </c>
    </row>
    <row r="324" spans="1:17" x14ac:dyDescent="0.45">
      <c r="A324" s="3">
        <f>配列!B324</f>
        <v>0</v>
      </c>
      <c r="B324" s="3" t="e">
        <f>_xlfn.XLOOKUP(A324,対応表!A:A,対応表!B:B)</f>
        <v>#N/A</v>
      </c>
      <c r="C324" s="3">
        <f>配列!C324</f>
        <v>0</v>
      </c>
      <c r="D324" s="3" t="str">
        <f>IF(配列!E324="",RIGHT(配列!D324&amp;配列!E324,4)&amp;"L",RIGHT(配列!D324&amp;配列!E324,5))</f>
        <v>L</v>
      </c>
      <c r="E324" s="3">
        <f t="shared" si="20"/>
        <v>0</v>
      </c>
      <c r="F324" s="3" t="e">
        <f>_xlfn.XLOOKUP(E324,セットアップレポート_紐づけ用!A:A,セットアップレポート_紐づけ用!J:J)</f>
        <v>#N/A</v>
      </c>
      <c r="G324" s="3" t="e">
        <f>_xlfn.XLOOKUP(E324,セットアップレポート_紐づけ用!A:A,セットアップレポート_紐づけ用!V:V)</f>
        <v>#N/A</v>
      </c>
      <c r="H324" s="3">
        <f t="shared" si="23"/>
        <v>-2</v>
      </c>
      <c r="I324" t="str">
        <f>IF(J324=0,"",IF(配列!E324="",マクロ実行!$A$16 &amp;" T"&amp;H324&amp;"-"&amp;RIGHT(配列!D324&amp;配列!E324,2),マクロ実行!$A$16 &amp;" T"&amp;H324&amp;"-"&amp;RIGHT(配列!D324&amp;配列!E324,3)))</f>
        <v/>
      </c>
      <c r="J324">
        <f>配列!F324</f>
        <v>0</v>
      </c>
      <c r="K324" s="2" t="e">
        <f>_xlfn.XLOOKUP(E324,セットアップレポート_紐づけ用!A:A,セットアップレポート_紐づけ用!R:R)</f>
        <v>#N/A</v>
      </c>
      <c r="L324" t="e">
        <f t="shared" si="21"/>
        <v>#N/A</v>
      </c>
      <c r="M324" t="e">
        <f>_xlfn.XLOOKUP(L324,EGPro!A:A,EGPro!D:D)</f>
        <v>#N/A</v>
      </c>
      <c r="N324" t="e">
        <f>_xlfn.XLOOKUP(L324,EGPro!A:A,EGPro!C:C)</f>
        <v>#N/A</v>
      </c>
      <c r="O324" t="e">
        <f t="shared" si="22"/>
        <v>#N/A</v>
      </c>
      <c r="P324" t="e">
        <f>_xlfn.XLOOKUP(O324,EGPro!A:A,EGPro!D:D)</f>
        <v>#N/A</v>
      </c>
      <c r="Q324" t="e">
        <f>_xlfn.XLOOKUP(O324,EGPro!A:A,EGPro!C:C)</f>
        <v>#N/A</v>
      </c>
    </row>
    <row r="325" spans="1:17" x14ac:dyDescent="0.45">
      <c r="A325" s="3">
        <f>配列!B325</f>
        <v>0</v>
      </c>
      <c r="B325" s="3" t="e">
        <f>_xlfn.XLOOKUP(A325,対応表!A:A,対応表!B:B)</f>
        <v>#N/A</v>
      </c>
      <c r="C325" s="3">
        <f>配列!C325</f>
        <v>0</v>
      </c>
      <c r="D325" s="3" t="str">
        <f>IF(配列!E325="",RIGHT(配列!D325&amp;配列!E325,4)&amp;"L",RIGHT(配列!D325&amp;配列!E325,5))</f>
        <v>L</v>
      </c>
      <c r="E325" s="3">
        <f t="shared" si="20"/>
        <v>0</v>
      </c>
      <c r="F325" s="3" t="e">
        <f>_xlfn.XLOOKUP(E325,セットアップレポート_紐づけ用!A:A,セットアップレポート_紐づけ用!J:J)</f>
        <v>#N/A</v>
      </c>
      <c r="G325" s="3" t="e">
        <f>_xlfn.XLOOKUP(E325,セットアップレポート_紐づけ用!A:A,セットアップレポート_紐づけ用!V:V)</f>
        <v>#N/A</v>
      </c>
      <c r="H325" s="3">
        <f t="shared" si="23"/>
        <v>-2</v>
      </c>
      <c r="I325" t="str">
        <f>IF(J325=0,"",IF(配列!E325="",マクロ実行!$A$16 &amp;" T"&amp;H325&amp;"-"&amp;RIGHT(配列!D325&amp;配列!E325,2),マクロ実行!$A$16 &amp;" T"&amp;H325&amp;"-"&amp;RIGHT(配列!D325&amp;配列!E325,3)))</f>
        <v/>
      </c>
      <c r="J325">
        <f>配列!F325</f>
        <v>0</v>
      </c>
      <c r="K325" s="2" t="e">
        <f>_xlfn.XLOOKUP(E325,セットアップレポート_紐づけ用!A:A,セットアップレポート_紐づけ用!R:R)</f>
        <v>#N/A</v>
      </c>
      <c r="L325" t="e">
        <f t="shared" si="21"/>
        <v>#N/A</v>
      </c>
      <c r="M325" t="e">
        <f>_xlfn.XLOOKUP(L325,EGPro!A:A,EGPro!D:D)</f>
        <v>#N/A</v>
      </c>
      <c r="N325" t="e">
        <f>_xlfn.XLOOKUP(L325,EGPro!A:A,EGPro!C:C)</f>
        <v>#N/A</v>
      </c>
      <c r="O325" t="e">
        <f t="shared" si="22"/>
        <v>#N/A</v>
      </c>
      <c r="P325" t="e">
        <f>_xlfn.XLOOKUP(O325,EGPro!A:A,EGPro!D:D)</f>
        <v>#N/A</v>
      </c>
      <c r="Q325" t="e">
        <f>_xlfn.XLOOKUP(O325,EGPro!A:A,EGPro!C:C)</f>
        <v>#N/A</v>
      </c>
    </row>
    <row r="326" spans="1:17" x14ac:dyDescent="0.45">
      <c r="A326" s="3">
        <f>配列!B326</f>
        <v>0</v>
      </c>
      <c r="B326" s="3" t="e">
        <f>_xlfn.XLOOKUP(A326,対応表!A:A,対応表!B:B)</f>
        <v>#N/A</v>
      </c>
      <c r="C326" s="3">
        <f>配列!C326</f>
        <v>0</v>
      </c>
      <c r="D326" s="3" t="str">
        <f>IF(配列!E326="",RIGHT(配列!D326&amp;配列!E326,4)&amp;"L",RIGHT(配列!D326&amp;配列!E326,5))</f>
        <v>L</v>
      </c>
      <c r="E326" s="3">
        <f t="shared" si="20"/>
        <v>0</v>
      </c>
      <c r="F326" s="3" t="e">
        <f>_xlfn.XLOOKUP(E326,セットアップレポート_紐づけ用!A:A,セットアップレポート_紐づけ用!J:J)</f>
        <v>#N/A</v>
      </c>
      <c r="G326" s="3" t="e">
        <f>_xlfn.XLOOKUP(E326,セットアップレポート_紐づけ用!A:A,セットアップレポート_紐づけ用!V:V)</f>
        <v>#N/A</v>
      </c>
      <c r="H326" s="3">
        <f t="shared" si="23"/>
        <v>-2</v>
      </c>
      <c r="I326" t="str">
        <f>IF(J326=0,"",IF(配列!E326="",マクロ実行!$A$16 &amp;" T"&amp;H326&amp;"-"&amp;RIGHT(配列!D326&amp;配列!E326,2),マクロ実行!$A$16 &amp;" T"&amp;H326&amp;"-"&amp;RIGHT(配列!D326&amp;配列!E326,3)))</f>
        <v/>
      </c>
      <c r="J326">
        <f>配列!F326</f>
        <v>0</v>
      </c>
      <c r="K326" s="2" t="e">
        <f>_xlfn.XLOOKUP(E326,セットアップレポート_紐づけ用!A:A,セットアップレポート_紐づけ用!R:R)</f>
        <v>#N/A</v>
      </c>
      <c r="L326" t="e">
        <f t="shared" si="21"/>
        <v>#N/A</v>
      </c>
      <c r="M326" t="e">
        <f>_xlfn.XLOOKUP(L326,EGPro!A:A,EGPro!D:D)</f>
        <v>#N/A</v>
      </c>
      <c r="N326" t="e">
        <f>_xlfn.XLOOKUP(L326,EGPro!A:A,EGPro!C:C)</f>
        <v>#N/A</v>
      </c>
      <c r="O326" t="e">
        <f t="shared" si="22"/>
        <v>#N/A</v>
      </c>
      <c r="P326" t="e">
        <f>_xlfn.XLOOKUP(O326,EGPro!A:A,EGPro!D:D)</f>
        <v>#N/A</v>
      </c>
      <c r="Q326" t="e">
        <f>_xlfn.XLOOKUP(O326,EGPro!A:A,EGPro!C:C)</f>
        <v>#N/A</v>
      </c>
    </row>
    <row r="327" spans="1:17" x14ac:dyDescent="0.45">
      <c r="A327" s="3">
        <f>配列!B327</f>
        <v>0</v>
      </c>
      <c r="B327" s="3" t="e">
        <f>_xlfn.XLOOKUP(A327,対応表!A:A,対応表!B:B)</f>
        <v>#N/A</v>
      </c>
      <c r="C327" s="3">
        <f>配列!C327</f>
        <v>0</v>
      </c>
      <c r="D327" s="3" t="str">
        <f>IF(配列!E327="",RIGHT(配列!D327&amp;配列!E327,4)&amp;"L",RIGHT(配列!D327&amp;配列!E327,5))</f>
        <v>L</v>
      </c>
      <c r="E327" s="3">
        <f t="shared" si="20"/>
        <v>0</v>
      </c>
      <c r="F327" s="3" t="e">
        <f>_xlfn.XLOOKUP(E327,セットアップレポート_紐づけ用!A:A,セットアップレポート_紐づけ用!J:J)</f>
        <v>#N/A</v>
      </c>
      <c r="G327" s="3" t="e">
        <f>_xlfn.XLOOKUP(E327,セットアップレポート_紐づけ用!A:A,セットアップレポート_紐づけ用!V:V)</f>
        <v>#N/A</v>
      </c>
      <c r="H327" s="3">
        <f t="shared" si="23"/>
        <v>-2</v>
      </c>
      <c r="I327" t="str">
        <f>IF(J327=0,"",IF(配列!E327="",マクロ実行!$A$16 &amp;" T"&amp;H327&amp;"-"&amp;RIGHT(配列!D327&amp;配列!E327,2),マクロ実行!$A$16 &amp;" T"&amp;H327&amp;"-"&amp;RIGHT(配列!D327&amp;配列!E327,3)))</f>
        <v/>
      </c>
      <c r="J327">
        <f>配列!F327</f>
        <v>0</v>
      </c>
      <c r="K327" s="2" t="e">
        <f>_xlfn.XLOOKUP(E327,セットアップレポート_紐づけ用!A:A,セットアップレポート_紐づけ用!R:R)</f>
        <v>#N/A</v>
      </c>
      <c r="L327" t="e">
        <f t="shared" si="21"/>
        <v>#N/A</v>
      </c>
      <c r="M327" t="e">
        <f>_xlfn.XLOOKUP(L327,EGPro!A:A,EGPro!D:D)</f>
        <v>#N/A</v>
      </c>
      <c r="N327" t="e">
        <f>_xlfn.XLOOKUP(L327,EGPro!A:A,EGPro!C:C)</f>
        <v>#N/A</v>
      </c>
      <c r="O327" t="e">
        <f t="shared" si="22"/>
        <v>#N/A</v>
      </c>
      <c r="P327" t="e">
        <f>_xlfn.XLOOKUP(O327,EGPro!A:A,EGPro!D:D)</f>
        <v>#N/A</v>
      </c>
      <c r="Q327" t="e">
        <f>_xlfn.XLOOKUP(O327,EGPro!A:A,EGPro!C:C)</f>
        <v>#N/A</v>
      </c>
    </row>
    <row r="328" spans="1:17" x14ac:dyDescent="0.45">
      <c r="A328" s="3">
        <f>配列!B328</f>
        <v>0</v>
      </c>
      <c r="B328" s="3" t="e">
        <f>_xlfn.XLOOKUP(A328,対応表!A:A,対応表!B:B)</f>
        <v>#N/A</v>
      </c>
      <c r="C328" s="3">
        <f>配列!C328</f>
        <v>0</v>
      </c>
      <c r="D328" s="3" t="str">
        <f>IF(配列!E328="",RIGHT(配列!D328&amp;配列!E328,4)&amp;"L",RIGHT(配列!D328&amp;配列!E328,5))</f>
        <v>L</v>
      </c>
      <c r="E328" s="3">
        <f t="shared" si="20"/>
        <v>0</v>
      </c>
      <c r="F328" s="3" t="e">
        <f>_xlfn.XLOOKUP(E328,セットアップレポート_紐づけ用!A:A,セットアップレポート_紐づけ用!J:J)</f>
        <v>#N/A</v>
      </c>
      <c r="G328" s="3" t="e">
        <f>_xlfn.XLOOKUP(E328,セットアップレポート_紐づけ用!A:A,セットアップレポート_紐づけ用!V:V)</f>
        <v>#N/A</v>
      </c>
      <c r="H328" s="3">
        <f t="shared" si="23"/>
        <v>-2</v>
      </c>
      <c r="I328" t="str">
        <f>IF(J328=0,"",IF(配列!E328="",マクロ実行!$A$16 &amp;" T"&amp;H328&amp;"-"&amp;RIGHT(配列!D328&amp;配列!E328,2),マクロ実行!$A$16 &amp;" T"&amp;H328&amp;"-"&amp;RIGHT(配列!D328&amp;配列!E328,3)))</f>
        <v/>
      </c>
      <c r="J328">
        <f>配列!F328</f>
        <v>0</v>
      </c>
      <c r="K328" s="2" t="e">
        <f>_xlfn.XLOOKUP(E328,セットアップレポート_紐づけ用!A:A,セットアップレポート_紐づけ用!R:R)</f>
        <v>#N/A</v>
      </c>
      <c r="L328" t="e">
        <f t="shared" si="21"/>
        <v>#N/A</v>
      </c>
      <c r="M328" t="e">
        <f>_xlfn.XLOOKUP(L328,EGPro!A:A,EGPro!D:D)</f>
        <v>#N/A</v>
      </c>
      <c r="N328" t="e">
        <f>_xlfn.XLOOKUP(L328,EGPro!A:A,EGPro!C:C)</f>
        <v>#N/A</v>
      </c>
      <c r="O328" t="e">
        <f t="shared" si="22"/>
        <v>#N/A</v>
      </c>
      <c r="P328" t="e">
        <f>_xlfn.XLOOKUP(O328,EGPro!A:A,EGPro!D:D)</f>
        <v>#N/A</v>
      </c>
      <c r="Q328" t="e">
        <f>_xlfn.XLOOKUP(O328,EGPro!A:A,EGPro!C:C)</f>
        <v>#N/A</v>
      </c>
    </row>
    <row r="329" spans="1:17" x14ac:dyDescent="0.45">
      <c r="A329" s="3">
        <f>配列!B329</f>
        <v>0</v>
      </c>
      <c r="B329" s="3" t="e">
        <f>_xlfn.XLOOKUP(A329,対応表!A:A,対応表!B:B)</f>
        <v>#N/A</v>
      </c>
      <c r="C329" s="3">
        <f>配列!C329</f>
        <v>0</v>
      </c>
      <c r="D329" s="3" t="str">
        <f>IF(配列!E329="",RIGHT(配列!D329&amp;配列!E329,4)&amp;"L",RIGHT(配列!D329&amp;配列!E329,5))</f>
        <v>L</v>
      </c>
      <c r="E329" s="3">
        <f t="shared" si="20"/>
        <v>0</v>
      </c>
      <c r="F329" s="3" t="e">
        <f>_xlfn.XLOOKUP(E329,セットアップレポート_紐づけ用!A:A,セットアップレポート_紐づけ用!J:J)</f>
        <v>#N/A</v>
      </c>
      <c r="G329" s="3" t="e">
        <f>_xlfn.XLOOKUP(E329,セットアップレポート_紐づけ用!A:A,セットアップレポート_紐づけ用!V:V)</f>
        <v>#N/A</v>
      </c>
      <c r="H329" s="3">
        <f t="shared" si="23"/>
        <v>-2</v>
      </c>
      <c r="I329" t="str">
        <f>IF(J329=0,"",IF(配列!E329="",マクロ実行!$A$16 &amp;" T"&amp;H329&amp;"-"&amp;RIGHT(配列!D329&amp;配列!E329,2),マクロ実行!$A$16 &amp;" T"&amp;H329&amp;"-"&amp;RIGHT(配列!D329&amp;配列!E329,3)))</f>
        <v/>
      </c>
      <c r="J329">
        <f>配列!F329</f>
        <v>0</v>
      </c>
      <c r="K329" s="2" t="e">
        <f>_xlfn.XLOOKUP(E329,セットアップレポート_紐づけ用!A:A,セットアップレポート_紐づけ用!R:R)</f>
        <v>#N/A</v>
      </c>
      <c r="L329" t="e">
        <f t="shared" si="21"/>
        <v>#N/A</v>
      </c>
      <c r="M329" t="e">
        <f>_xlfn.XLOOKUP(L329,EGPro!A:A,EGPro!D:D)</f>
        <v>#N/A</v>
      </c>
      <c r="N329" t="e">
        <f>_xlfn.XLOOKUP(L329,EGPro!A:A,EGPro!C:C)</f>
        <v>#N/A</v>
      </c>
      <c r="O329" t="e">
        <f t="shared" si="22"/>
        <v>#N/A</v>
      </c>
      <c r="P329" t="e">
        <f>_xlfn.XLOOKUP(O329,EGPro!A:A,EGPro!D:D)</f>
        <v>#N/A</v>
      </c>
      <c r="Q329" t="e">
        <f>_xlfn.XLOOKUP(O329,EGPro!A:A,EGPro!C:C)</f>
        <v>#N/A</v>
      </c>
    </row>
    <row r="330" spans="1:17" x14ac:dyDescent="0.45">
      <c r="A330" s="3">
        <f>配列!B330</f>
        <v>0</v>
      </c>
      <c r="B330" s="3" t="e">
        <f>_xlfn.XLOOKUP(A330,対応表!A:A,対応表!B:B)</f>
        <v>#N/A</v>
      </c>
      <c r="C330" s="3">
        <f>配列!C330</f>
        <v>0</v>
      </c>
      <c r="D330" s="3" t="str">
        <f>IF(配列!E330="",RIGHT(配列!D330&amp;配列!E330,4)&amp;"L",RIGHT(配列!D330&amp;配列!E330,5))</f>
        <v>L</v>
      </c>
      <c r="E330" s="3">
        <f t="shared" si="20"/>
        <v>0</v>
      </c>
      <c r="F330" s="3" t="e">
        <f>_xlfn.XLOOKUP(E330,セットアップレポート_紐づけ用!A:A,セットアップレポート_紐づけ用!J:J)</f>
        <v>#N/A</v>
      </c>
      <c r="G330" s="3" t="e">
        <f>_xlfn.XLOOKUP(E330,セットアップレポート_紐づけ用!A:A,セットアップレポート_紐づけ用!V:V)</f>
        <v>#N/A</v>
      </c>
      <c r="H330" s="3">
        <f t="shared" si="23"/>
        <v>-2</v>
      </c>
      <c r="I330" t="str">
        <f>IF(J330=0,"",IF(配列!E330="",マクロ実行!$A$16 &amp;" T"&amp;H330&amp;"-"&amp;RIGHT(配列!D330&amp;配列!E330,2),マクロ実行!$A$16 &amp;" T"&amp;H330&amp;"-"&amp;RIGHT(配列!D330&amp;配列!E330,3)))</f>
        <v/>
      </c>
      <c r="J330">
        <f>配列!F330</f>
        <v>0</v>
      </c>
      <c r="K330" s="2" t="e">
        <f>_xlfn.XLOOKUP(E330,セットアップレポート_紐づけ用!A:A,セットアップレポート_紐づけ用!R:R)</f>
        <v>#N/A</v>
      </c>
      <c r="L330" t="e">
        <f t="shared" si="21"/>
        <v>#N/A</v>
      </c>
      <c r="M330" t="e">
        <f>_xlfn.XLOOKUP(L330,EGPro!A:A,EGPro!D:D)</f>
        <v>#N/A</v>
      </c>
      <c r="N330" t="e">
        <f>_xlfn.XLOOKUP(L330,EGPro!A:A,EGPro!C:C)</f>
        <v>#N/A</v>
      </c>
      <c r="O330" t="e">
        <f t="shared" si="22"/>
        <v>#N/A</v>
      </c>
      <c r="P330" t="e">
        <f>_xlfn.XLOOKUP(O330,EGPro!A:A,EGPro!D:D)</f>
        <v>#N/A</v>
      </c>
      <c r="Q330" t="e">
        <f>_xlfn.XLOOKUP(O330,EGPro!A:A,EGPro!C:C)</f>
        <v>#N/A</v>
      </c>
    </row>
    <row r="331" spans="1:17" x14ac:dyDescent="0.45">
      <c r="A331" s="3">
        <f>配列!B331</f>
        <v>0</v>
      </c>
      <c r="B331" s="3" t="e">
        <f>_xlfn.XLOOKUP(A331,対応表!A:A,対応表!B:B)</f>
        <v>#N/A</v>
      </c>
      <c r="C331" s="3">
        <f>配列!C331</f>
        <v>0</v>
      </c>
      <c r="D331" s="3" t="str">
        <f>IF(配列!E331="",RIGHT(配列!D331&amp;配列!E331,4)&amp;"L",RIGHT(配列!D331&amp;配列!E331,5))</f>
        <v>L</v>
      </c>
      <c r="E331" s="3">
        <f t="shared" si="20"/>
        <v>0</v>
      </c>
      <c r="F331" s="3" t="e">
        <f>_xlfn.XLOOKUP(E331,セットアップレポート_紐づけ用!A:A,セットアップレポート_紐づけ用!J:J)</f>
        <v>#N/A</v>
      </c>
      <c r="G331" s="3" t="e">
        <f>_xlfn.XLOOKUP(E331,セットアップレポート_紐づけ用!A:A,セットアップレポート_紐づけ用!V:V)</f>
        <v>#N/A</v>
      </c>
      <c r="H331" s="3">
        <f t="shared" si="23"/>
        <v>-2</v>
      </c>
      <c r="I331" t="str">
        <f>IF(J331=0,"",IF(配列!E331="",マクロ実行!$A$16 &amp;" T"&amp;H331&amp;"-"&amp;RIGHT(配列!D331&amp;配列!E331,2),マクロ実行!$A$16 &amp;" T"&amp;H331&amp;"-"&amp;RIGHT(配列!D331&amp;配列!E331,3)))</f>
        <v/>
      </c>
      <c r="J331">
        <f>配列!F331</f>
        <v>0</v>
      </c>
      <c r="K331" s="2" t="e">
        <f>_xlfn.XLOOKUP(E331,セットアップレポート_紐づけ用!A:A,セットアップレポート_紐づけ用!R:R)</f>
        <v>#N/A</v>
      </c>
      <c r="L331" t="e">
        <f t="shared" si="21"/>
        <v>#N/A</v>
      </c>
      <c r="M331" t="e">
        <f>_xlfn.XLOOKUP(L331,EGPro!A:A,EGPro!D:D)</f>
        <v>#N/A</v>
      </c>
      <c r="N331" t="e">
        <f>_xlfn.XLOOKUP(L331,EGPro!A:A,EGPro!C:C)</f>
        <v>#N/A</v>
      </c>
      <c r="O331" t="e">
        <f t="shared" si="22"/>
        <v>#N/A</v>
      </c>
      <c r="P331" t="e">
        <f>_xlfn.XLOOKUP(O331,EGPro!A:A,EGPro!D:D)</f>
        <v>#N/A</v>
      </c>
      <c r="Q331" t="e">
        <f>_xlfn.XLOOKUP(O331,EGPro!A:A,EGPro!C:C)</f>
        <v>#N/A</v>
      </c>
    </row>
    <row r="332" spans="1:17" x14ac:dyDescent="0.45">
      <c r="A332" s="3">
        <f>配列!B332</f>
        <v>0</v>
      </c>
      <c r="B332" s="3" t="e">
        <f>_xlfn.XLOOKUP(A332,対応表!A:A,対応表!B:B)</f>
        <v>#N/A</v>
      </c>
      <c r="C332" s="3">
        <f>配列!C332</f>
        <v>0</v>
      </c>
      <c r="D332" s="3" t="str">
        <f>IF(配列!E332="",RIGHT(配列!D332&amp;配列!E332,4)&amp;"L",RIGHT(配列!D332&amp;配列!E332,5))</f>
        <v>L</v>
      </c>
      <c r="E332" s="3">
        <f t="shared" si="20"/>
        <v>0</v>
      </c>
      <c r="F332" s="3" t="e">
        <f>_xlfn.XLOOKUP(E332,セットアップレポート_紐づけ用!A:A,セットアップレポート_紐づけ用!J:J)</f>
        <v>#N/A</v>
      </c>
      <c r="G332" s="3" t="e">
        <f>_xlfn.XLOOKUP(E332,セットアップレポート_紐づけ用!A:A,セットアップレポート_紐づけ用!V:V)</f>
        <v>#N/A</v>
      </c>
      <c r="H332" s="3">
        <f t="shared" si="23"/>
        <v>-2</v>
      </c>
      <c r="I332" t="str">
        <f>IF(J332=0,"",IF(配列!E332="",マクロ実行!$A$16 &amp;" T"&amp;H332&amp;"-"&amp;RIGHT(配列!D332&amp;配列!E332,2),マクロ実行!$A$16 &amp;" T"&amp;H332&amp;"-"&amp;RIGHT(配列!D332&amp;配列!E332,3)))</f>
        <v/>
      </c>
      <c r="J332">
        <f>配列!F332</f>
        <v>0</v>
      </c>
      <c r="K332" s="2" t="e">
        <f>_xlfn.XLOOKUP(E332,セットアップレポート_紐づけ用!A:A,セットアップレポート_紐づけ用!R:R)</f>
        <v>#N/A</v>
      </c>
      <c r="L332" t="e">
        <f t="shared" si="21"/>
        <v>#N/A</v>
      </c>
      <c r="M332" t="e">
        <f>_xlfn.XLOOKUP(L332,EGPro!A:A,EGPro!D:D)</f>
        <v>#N/A</v>
      </c>
      <c r="N332" t="e">
        <f>_xlfn.XLOOKUP(L332,EGPro!A:A,EGPro!C:C)</f>
        <v>#N/A</v>
      </c>
      <c r="O332" t="e">
        <f t="shared" si="22"/>
        <v>#N/A</v>
      </c>
      <c r="P332" t="e">
        <f>_xlfn.XLOOKUP(O332,EGPro!A:A,EGPro!D:D)</f>
        <v>#N/A</v>
      </c>
      <c r="Q332" t="e">
        <f>_xlfn.XLOOKUP(O332,EGPro!A:A,EGPro!C:C)</f>
        <v>#N/A</v>
      </c>
    </row>
    <row r="333" spans="1:17" x14ac:dyDescent="0.45">
      <c r="A333" s="3">
        <f>配列!B333</f>
        <v>0</v>
      </c>
      <c r="B333" s="3" t="e">
        <f>_xlfn.XLOOKUP(A333,対応表!A:A,対応表!B:B)</f>
        <v>#N/A</v>
      </c>
      <c r="C333" s="3">
        <f>配列!C333</f>
        <v>0</v>
      </c>
      <c r="D333" s="3" t="str">
        <f>IF(配列!E333="",RIGHT(配列!D333&amp;配列!E333,4)&amp;"L",RIGHT(配列!D333&amp;配列!E333,5))</f>
        <v>L</v>
      </c>
      <c r="E333" s="3">
        <f t="shared" si="20"/>
        <v>0</v>
      </c>
      <c r="F333" s="3" t="e">
        <f>_xlfn.XLOOKUP(E333,セットアップレポート_紐づけ用!A:A,セットアップレポート_紐づけ用!J:J)</f>
        <v>#N/A</v>
      </c>
      <c r="G333" s="3" t="e">
        <f>_xlfn.XLOOKUP(E333,セットアップレポート_紐づけ用!A:A,セットアップレポート_紐づけ用!V:V)</f>
        <v>#N/A</v>
      </c>
      <c r="H333" s="3">
        <f t="shared" si="23"/>
        <v>-2</v>
      </c>
      <c r="I333" t="str">
        <f>IF(J333=0,"",IF(配列!E333="",マクロ実行!$A$16 &amp;" T"&amp;H333&amp;"-"&amp;RIGHT(配列!D333&amp;配列!E333,2),マクロ実行!$A$16 &amp;" T"&amp;H333&amp;"-"&amp;RIGHT(配列!D333&amp;配列!E333,3)))</f>
        <v/>
      </c>
      <c r="J333">
        <f>配列!F333</f>
        <v>0</v>
      </c>
      <c r="K333" s="2" t="e">
        <f>_xlfn.XLOOKUP(E333,セットアップレポート_紐づけ用!A:A,セットアップレポート_紐づけ用!R:R)</f>
        <v>#N/A</v>
      </c>
      <c r="L333" t="e">
        <f t="shared" si="21"/>
        <v>#N/A</v>
      </c>
      <c r="M333" t="e">
        <f>_xlfn.XLOOKUP(L333,EGPro!A:A,EGPro!D:D)</f>
        <v>#N/A</v>
      </c>
      <c r="N333" t="e">
        <f>_xlfn.XLOOKUP(L333,EGPro!A:A,EGPro!C:C)</f>
        <v>#N/A</v>
      </c>
      <c r="O333" t="e">
        <f t="shared" si="22"/>
        <v>#N/A</v>
      </c>
      <c r="P333" t="e">
        <f>_xlfn.XLOOKUP(O333,EGPro!A:A,EGPro!D:D)</f>
        <v>#N/A</v>
      </c>
      <c r="Q333" t="e">
        <f>_xlfn.XLOOKUP(O333,EGPro!A:A,EGPro!C:C)</f>
        <v>#N/A</v>
      </c>
    </row>
    <row r="334" spans="1:17" x14ac:dyDescent="0.45">
      <c r="A334" s="3">
        <f>配列!B334</f>
        <v>0</v>
      </c>
      <c r="B334" s="3" t="e">
        <f>_xlfn.XLOOKUP(A334,対応表!A:A,対応表!B:B)</f>
        <v>#N/A</v>
      </c>
      <c r="C334" s="3">
        <f>配列!C334</f>
        <v>0</v>
      </c>
      <c r="D334" s="3" t="str">
        <f>IF(配列!E334="",RIGHT(配列!D334&amp;配列!E334,4)&amp;"L",RIGHT(配列!D334&amp;配列!E334,5))</f>
        <v>L</v>
      </c>
      <c r="E334" s="3">
        <f t="shared" si="20"/>
        <v>0</v>
      </c>
      <c r="F334" s="3" t="e">
        <f>_xlfn.XLOOKUP(E334,セットアップレポート_紐づけ用!A:A,セットアップレポート_紐づけ用!J:J)</f>
        <v>#N/A</v>
      </c>
      <c r="G334" s="3" t="e">
        <f>_xlfn.XLOOKUP(E334,セットアップレポート_紐づけ用!A:A,セットアップレポート_紐づけ用!V:V)</f>
        <v>#N/A</v>
      </c>
      <c r="H334" s="3">
        <f t="shared" si="23"/>
        <v>-2</v>
      </c>
      <c r="I334" t="str">
        <f>IF(J334=0,"",IF(配列!E334="",マクロ実行!$A$16 &amp;" T"&amp;H334&amp;"-"&amp;RIGHT(配列!D334&amp;配列!E334,2),マクロ実行!$A$16 &amp;" T"&amp;H334&amp;"-"&amp;RIGHT(配列!D334&amp;配列!E334,3)))</f>
        <v/>
      </c>
      <c r="J334">
        <f>配列!F334</f>
        <v>0</v>
      </c>
      <c r="K334" s="2" t="e">
        <f>_xlfn.XLOOKUP(E334,セットアップレポート_紐づけ用!A:A,セットアップレポート_紐づけ用!R:R)</f>
        <v>#N/A</v>
      </c>
      <c r="L334" t="e">
        <f t="shared" si="21"/>
        <v>#N/A</v>
      </c>
      <c r="M334" t="e">
        <f>_xlfn.XLOOKUP(L334,EGPro!A:A,EGPro!D:D)</f>
        <v>#N/A</v>
      </c>
      <c r="N334" t="e">
        <f>_xlfn.XLOOKUP(L334,EGPro!A:A,EGPro!C:C)</f>
        <v>#N/A</v>
      </c>
      <c r="O334" t="e">
        <f t="shared" si="22"/>
        <v>#N/A</v>
      </c>
      <c r="P334" t="e">
        <f>_xlfn.XLOOKUP(O334,EGPro!A:A,EGPro!D:D)</f>
        <v>#N/A</v>
      </c>
      <c r="Q334" t="e">
        <f>_xlfn.XLOOKUP(O334,EGPro!A:A,EGPro!C:C)</f>
        <v>#N/A</v>
      </c>
    </row>
    <row r="335" spans="1:17" x14ac:dyDescent="0.45">
      <c r="A335" s="3">
        <f>配列!B335</f>
        <v>0</v>
      </c>
      <c r="B335" s="3" t="e">
        <f>_xlfn.XLOOKUP(A335,対応表!A:A,対応表!B:B)</f>
        <v>#N/A</v>
      </c>
      <c r="C335" s="3">
        <f>配列!C335</f>
        <v>0</v>
      </c>
      <c r="D335" s="3" t="str">
        <f>IF(配列!E335="",RIGHT(配列!D335&amp;配列!E335,4)&amp;"L",RIGHT(配列!D335&amp;配列!E335,5))</f>
        <v>L</v>
      </c>
      <c r="E335" s="3">
        <f t="shared" si="20"/>
        <v>0</v>
      </c>
      <c r="F335" s="3" t="e">
        <f>_xlfn.XLOOKUP(E335,セットアップレポート_紐づけ用!A:A,セットアップレポート_紐づけ用!J:J)</f>
        <v>#N/A</v>
      </c>
      <c r="G335" s="3" t="e">
        <f>_xlfn.XLOOKUP(E335,セットアップレポート_紐づけ用!A:A,セットアップレポート_紐づけ用!V:V)</f>
        <v>#N/A</v>
      </c>
      <c r="H335" s="3">
        <f t="shared" si="23"/>
        <v>-2</v>
      </c>
      <c r="I335" t="str">
        <f>IF(J335=0,"",IF(配列!E335="",マクロ実行!$A$16 &amp;" T"&amp;H335&amp;"-"&amp;RIGHT(配列!D335&amp;配列!E335,2),マクロ実行!$A$16 &amp;" T"&amp;H335&amp;"-"&amp;RIGHT(配列!D335&amp;配列!E335,3)))</f>
        <v/>
      </c>
      <c r="J335">
        <f>配列!F335</f>
        <v>0</v>
      </c>
      <c r="K335" s="2" t="e">
        <f>_xlfn.XLOOKUP(E335,セットアップレポート_紐づけ用!A:A,セットアップレポート_紐づけ用!R:R)</f>
        <v>#N/A</v>
      </c>
      <c r="L335" t="e">
        <f t="shared" si="21"/>
        <v>#N/A</v>
      </c>
      <c r="M335" t="e">
        <f>_xlfn.XLOOKUP(L335,EGPro!A:A,EGPro!D:D)</f>
        <v>#N/A</v>
      </c>
      <c r="N335" t="e">
        <f>_xlfn.XLOOKUP(L335,EGPro!A:A,EGPro!C:C)</f>
        <v>#N/A</v>
      </c>
      <c r="O335" t="e">
        <f t="shared" si="22"/>
        <v>#N/A</v>
      </c>
      <c r="P335" t="e">
        <f>_xlfn.XLOOKUP(O335,EGPro!A:A,EGPro!D:D)</f>
        <v>#N/A</v>
      </c>
      <c r="Q335" t="e">
        <f>_xlfn.XLOOKUP(O335,EGPro!A:A,EGPro!C:C)</f>
        <v>#N/A</v>
      </c>
    </row>
    <row r="336" spans="1:17" x14ac:dyDescent="0.45">
      <c r="A336" s="3">
        <f>配列!B336</f>
        <v>0</v>
      </c>
      <c r="B336" s="3" t="e">
        <f>_xlfn.XLOOKUP(A336,対応表!A:A,対応表!B:B)</f>
        <v>#N/A</v>
      </c>
      <c r="C336" s="3">
        <f>配列!C336</f>
        <v>0</v>
      </c>
      <c r="D336" s="3" t="str">
        <f>IF(配列!E336="",RIGHT(配列!D336&amp;配列!E336,4)&amp;"L",RIGHT(配列!D336&amp;配列!E336,5))</f>
        <v>L</v>
      </c>
      <c r="E336" s="3">
        <f t="shared" si="20"/>
        <v>0</v>
      </c>
      <c r="F336" s="3" t="e">
        <f>_xlfn.XLOOKUP(E336,セットアップレポート_紐づけ用!A:A,セットアップレポート_紐づけ用!J:J)</f>
        <v>#N/A</v>
      </c>
      <c r="G336" s="3" t="e">
        <f>_xlfn.XLOOKUP(E336,セットアップレポート_紐づけ用!A:A,セットアップレポート_紐づけ用!V:V)</f>
        <v>#N/A</v>
      </c>
      <c r="H336" s="3">
        <f t="shared" si="23"/>
        <v>-2</v>
      </c>
      <c r="I336" t="str">
        <f>IF(J336=0,"",IF(配列!E336="",マクロ実行!$A$16 &amp;" T"&amp;H336&amp;"-"&amp;RIGHT(配列!D336&amp;配列!E336,2),マクロ実行!$A$16 &amp;" T"&amp;H336&amp;"-"&amp;RIGHT(配列!D336&amp;配列!E336,3)))</f>
        <v/>
      </c>
      <c r="J336">
        <f>配列!F336</f>
        <v>0</v>
      </c>
      <c r="K336" s="2" t="e">
        <f>_xlfn.XLOOKUP(E336,セットアップレポート_紐づけ用!A:A,セットアップレポート_紐づけ用!R:R)</f>
        <v>#N/A</v>
      </c>
      <c r="L336" t="e">
        <f t="shared" si="21"/>
        <v>#N/A</v>
      </c>
      <c r="M336" t="e">
        <f>_xlfn.XLOOKUP(L336,EGPro!A:A,EGPro!D:D)</f>
        <v>#N/A</v>
      </c>
      <c r="N336" t="e">
        <f>_xlfn.XLOOKUP(L336,EGPro!A:A,EGPro!C:C)</f>
        <v>#N/A</v>
      </c>
      <c r="O336" t="e">
        <f t="shared" si="22"/>
        <v>#N/A</v>
      </c>
      <c r="P336" t="e">
        <f>_xlfn.XLOOKUP(O336,EGPro!A:A,EGPro!D:D)</f>
        <v>#N/A</v>
      </c>
      <c r="Q336" t="e">
        <f>_xlfn.XLOOKUP(O336,EGPro!A:A,EGPro!C:C)</f>
        <v>#N/A</v>
      </c>
    </row>
    <row r="337" spans="1:17" x14ac:dyDescent="0.45">
      <c r="A337" s="3">
        <f>配列!B337</f>
        <v>0</v>
      </c>
      <c r="B337" s="3" t="e">
        <f>_xlfn.XLOOKUP(A337,対応表!A:A,対応表!B:B)</f>
        <v>#N/A</v>
      </c>
      <c r="C337" s="3">
        <f>配列!C337</f>
        <v>0</v>
      </c>
      <c r="D337" s="3" t="str">
        <f>IF(配列!E337="",RIGHT(配列!D337&amp;配列!E337,4)&amp;"L",RIGHT(配列!D337&amp;配列!E337,5))</f>
        <v>L</v>
      </c>
      <c r="E337" s="3">
        <f t="shared" si="20"/>
        <v>0</v>
      </c>
      <c r="F337" s="3" t="e">
        <f>_xlfn.XLOOKUP(E337,セットアップレポート_紐づけ用!A:A,セットアップレポート_紐づけ用!J:J)</f>
        <v>#N/A</v>
      </c>
      <c r="G337" s="3" t="e">
        <f>_xlfn.XLOOKUP(E337,セットアップレポート_紐づけ用!A:A,セットアップレポート_紐づけ用!V:V)</f>
        <v>#N/A</v>
      </c>
      <c r="H337" s="3">
        <f t="shared" si="23"/>
        <v>-2</v>
      </c>
      <c r="I337" t="str">
        <f>IF(J337=0,"",IF(配列!E337="",マクロ実行!$A$16 &amp;" T"&amp;H337&amp;"-"&amp;RIGHT(配列!D337&amp;配列!E337,2),マクロ実行!$A$16 &amp;" T"&amp;H337&amp;"-"&amp;RIGHT(配列!D337&amp;配列!E337,3)))</f>
        <v/>
      </c>
      <c r="J337">
        <f>配列!F337</f>
        <v>0</v>
      </c>
      <c r="K337" s="2" t="e">
        <f>_xlfn.XLOOKUP(E337,セットアップレポート_紐づけ用!A:A,セットアップレポート_紐づけ用!R:R)</f>
        <v>#N/A</v>
      </c>
      <c r="L337" t="e">
        <f t="shared" si="21"/>
        <v>#N/A</v>
      </c>
      <c r="M337" t="e">
        <f>_xlfn.XLOOKUP(L337,EGPro!A:A,EGPro!D:D)</f>
        <v>#N/A</v>
      </c>
      <c r="N337" t="e">
        <f>_xlfn.XLOOKUP(L337,EGPro!A:A,EGPro!C:C)</f>
        <v>#N/A</v>
      </c>
      <c r="O337" t="e">
        <f t="shared" si="22"/>
        <v>#N/A</v>
      </c>
      <c r="P337" t="e">
        <f>_xlfn.XLOOKUP(O337,EGPro!A:A,EGPro!D:D)</f>
        <v>#N/A</v>
      </c>
      <c r="Q337" t="e">
        <f>_xlfn.XLOOKUP(O337,EGPro!A:A,EGPro!C:C)</f>
        <v>#N/A</v>
      </c>
    </row>
    <row r="338" spans="1:17" x14ac:dyDescent="0.45">
      <c r="A338" s="3">
        <f>配列!B338</f>
        <v>0</v>
      </c>
      <c r="B338" s="3" t="e">
        <f>_xlfn.XLOOKUP(A338,対応表!A:A,対応表!B:B)</f>
        <v>#N/A</v>
      </c>
      <c r="C338" s="3">
        <f>配列!C338</f>
        <v>0</v>
      </c>
      <c r="D338" s="3" t="str">
        <f>IF(配列!E338="",RIGHT(配列!D338&amp;配列!E338,4)&amp;"L",RIGHT(配列!D338&amp;配列!E338,5))</f>
        <v>L</v>
      </c>
      <c r="E338" s="3">
        <f t="shared" si="20"/>
        <v>0</v>
      </c>
      <c r="F338" s="3" t="e">
        <f>_xlfn.XLOOKUP(E338,セットアップレポート_紐づけ用!A:A,セットアップレポート_紐づけ用!J:J)</f>
        <v>#N/A</v>
      </c>
      <c r="G338" s="3" t="e">
        <f>_xlfn.XLOOKUP(E338,セットアップレポート_紐づけ用!A:A,セットアップレポート_紐づけ用!V:V)</f>
        <v>#N/A</v>
      </c>
      <c r="H338" s="3">
        <f t="shared" si="23"/>
        <v>-2</v>
      </c>
      <c r="I338" t="str">
        <f>IF(J338=0,"",IF(配列!E338="",マクロ実行!$A$16 &amp;" T"&amp;H338&amp;"-"&amp;RIGHT(配列!D338&amp;配列!E338,2),マクロ実行!$A$16 &amp;" T"&amp;H338&amp;"-"&amp;RIGHT(配列!D338&amp;配列!E338,3)))</f>
        <v/>
      </c>
      <c r="J338">
        <f>配列!F338</f>
        <v>0</v>
      </c>
      <c r="K338" s="2" t="e">
        <f>_xlfn.XLOOKUP(E338,セットアップレポート_紐づけ用!A:A,セットアップレポート_紐づけ用!R:R)</f>
        <v>#N/A</v>
      </c>
      <c r="L338" t="e">
        <f t="shared" si="21"/>
        <v>#N/A</v>
      </c>
      <c r="M338" t="e">
        <f>_xlfn.XLOOKUP(L338,EGPro!A:A,EGPro!D:D)</f>
        <v>#N/A</v>
      </c>
      <c r="N338" t="e">
        <f>_xlfn.XLOOKUP(L338,EGPro!A:A,EGPro!C:C)</f>
        <v>#N/A</v>
      </c>
      <c r="O338" t="e">
        <f t="shared" si="22"/>
        <v>#N/A</v>
      </c>
      <c r="P338" t="e">
        <f>_xlfn.XLOOKUP(O338,EGPro!A:A,EGPro!D:D)</f>
        <v>#N/A</v>
      </c>
      <c r="Q338" t="e">
        <f>_xlfn.XLOOKUP(O338,EGPro!A:A,EGPro!C:C)</f>
        <v>#N/A</v>
      </c>
    </row>
    <row r="339" spans="1:17" x14ac:dyDescent="0.45">
      <c r="A339" s="3">
        <f>配列!B339</f>
        <v>0</v>
      </c>
      <c r="B339" s="3" t="e">
        <f>_xlfn.XLOOKUP(A339,対応表!A:A,対応表!B:B)</f>
        <v>#N/A</v>
      </c>
      <c r="C339" s="3">
        <f>配列!C339</f>
        <v>0</v>
      </c>
      <c r="D339" s="3" t="str">
        <f>IF(配列!E339="",RIGHT(配列!D339&amp;配列!E339,4)&amp;"L",RIGHT(配列!D339&amp;配列!E339,5))</f>
        <v>L</v>
      </c>
      <c r="E339" s="3">
        <f t="shared" si="20"/>
        <v>0</v>
      </c>
      <c r="F339" s="3" t="e">
        <f>_xlfn.XLOOKUP(E339,セットアップレポート_紐づけ用!A:A,セットアップレポート_紐づけ用!J:J)</f>
        <v>#N/A</v>
      </c>
      <c r="G339" s="3" t="e">
        <f>_xlfn.XLOOKUP(E339,セットアップレポート_紐づけ用!A:A,セットアップレポート_紐づけ用!V:V)</f>
        <v>#N/A</v>
      </c>
      <c r="H339" s="3">
        <f t="shared" si="23"/>
        <v>-2</v>
      </c>
      <c r="I339" t="str">
        <f>IF(J339=0,"",IF(配列!E339="",マクロ実行!$A$16 &amp;" T"&amp;H339&amp;"-"&amp;RIGHT(配列!D339&amp;配列!E339,2),マクロ実行!$A$16 &amp;" T"&amp;H339&amp;"-"&amp;RIGHT(配列!D339&amp;配列!E339,3)))</f>
        <v/>
      </c>
      <c r="J339">
        <f>配列!F339</f>
        <v>0</v>
      </c>
      <c r="K339" s="2" t="e">
        <f>_xlfn.XLOOKUP(E339,セットアップレポート_紐づけ用!A:A,セットアップレポート_紐づけ用!R:R)</f>
        <v>#N/A</v>
      </c>
      <c r="L339" t="e">
        <f t="shared" si="21"/>
        <v>#N/A</v>
      </c>
      <c r="M339" t="e">
        <f>_xlfn.XLOOKUP(L339,EGPro!A:A,EGPro!D:D)</f>
        <v>#N/A</v>
      </c>
      <c r="N339" t="e">
        <f>_xlfn.XLOOKUP(L339,EGPro!A:A,EGPro!C:C)</f>
        <v>#N/A</v>
      </c>
      <c r="O339" t="e">
        <f t="shared" si="22"/>
        <v>#N/A</v>
      </c>
      <c r="P339" t="e">
        <f>_xlfn.XLOOKUP(O339,EGPro!A:A,EGPro!D:D)</f>
        <v>#N/A</v>
      </c>
      <c r="Q339" t="e">
        <f>_xlfn.XLOOKUP(O339,EGPro!A:A,EGPro!C:C)</f>
        <v>#N/A</v>
      </c>
    </row>
    <row r="340" spans="1:17" x14ac:dyDescent="0.45">
      <c r="A340" s="3">
        <f>配列!B340</f>
        <v>0</v>
      </c>
      <c r="B340" s="3" t="e">
        <f>_xlfn.XLOOKUP(A340,対応表!A:A,対応表!B:B)</f>
        <v>#N/A</v>
      </c>
      <c r="C340" s="3">
        <f>配列!C340</f>
        <v>0</v>
      </c>
      <c r="D340" s="3" t="str">
        <f>IF(配列!E340="",RIGHT(配列!D340&amp;配列!E340,4)&amp;"L",RIGHT(配列!D340&amp;配列!E340,5))</f>
        <v>L</v>
      </c>
      <c r="E340" s="3">
        <f t="shared" si="20"/>
        <v>0</v>
      </c>
      <c r="F340" s="3" t="e">
        <f>_xlfn.XLOOKUP(E340,セットアップレポート_紐づけ用!A:A,セットアップレポート_紐づけ用!J:J)</f>
        <v>#N/A</v>
      </c>
      <c r="G340" s="3" t="e">
        <f>_xlfn.XLOOKUP(E340,セットアップレポート_紐づけ用!A:A,セットアップレポート_紐づけ用!V:V)</f>
        <v>#N/A</v>
      </c>
      <c r="H340" s="3">
        <f t="shared" si="23"/>
        <v>-2</v>
      </c>
      <c r="I340" t="str">
        <f>IF(J340=0,"",IF(配列!E340="",マクロ実行!$A$16 &amp;" T"&amp;H340&amp;"-"&amp;RIGHT(配列!D340&amp;配列!E340,2),マクロ実行!$A$16 &amp;" T"&amp;H340&amp;"-"&amp;RIGHT(配列!D340&amp;配列!E340,3)))</f>
        <v/>
      </c>
      <c r="J340">
        <f>配列!F340</f>
        <v>0</v>
      </c>
      <c r="K340" s="2" t="e">
        <f>_xlfn.XLOOKUP(E340,セットアップレポート_紐づけ用!A:A,セットアップレポート_紐づけ用!R:R)</f>
        <v>#N/A</v>
      </c>
      <c r="L340" t="e">
        <f t="shared" si="21"/>
        <v>#N/A</v>
      </c>
      <c r="M340" t="e">
        <f>_xlfn.XLOOKUP(L340,EGPro!A:A,EGPro!D:D)</f>
        <v>#N/A</v>
      </c>
      <c r="N340" t="e">
        <f>_xlfn.XLOOKUP(L340,EGPro!A:A,EGPro!C:C)</f>
        <v>#N/A</v>
      </c>
      <c r="O340" t="e">
        <f t="shared" si="22"/>
        <v>#N/A</v>
      </c>
      <c r="P340" t="e">
        <f>_xlfn.XLOOKUP(O340,EGPro!A:A,EGPro!D:D)</f>
        <v>#N/A</v>
      </c>
      <c r="Q340" t="e">
        <f>_xlfn.XLOOKUP(O340,EGPro!A:A,EGPro!C:C)</f>
        <v>#N/A</v>
      </c>
    </row>
    <row r="341" spans="1:17" x14ac:dyDescent="0.45">
      <c r="A341" s="3">
        <f>配列!B341</f>
        <v>0</v>
      </c>
      <c r="B341" s="3" t="e">
        <f>_xlfn.XLOOKUP(A341,対応表!A:A,対応表!B:B)</f>
        <v>#N/A</v>
      </c>
      <c r="C341" s="3">
        <f>配列!C341</f>
        <v>0</v>
      </c>
      <c r="D341" s="3" t="str">
        <f>IF(配列!E341="",RIGHT(配列!D341&amp;配列!E341,4)&amp;"L",RIGHT(配列!D341&amp;配列!E341,5))</f>
        <v>L</v>
      </c>
      <c r="E341" s="3">
        <f t="shared" si="20"/>
        <v>0</v>
      </c>
      <c r="F341" s="3" t="e">
        <f>_xlfn.XLOOKUP(E341,セットアップレポート_紐づけ用!A:A,セットアップレポート_紐づけ用!J:J)</f>
        <v>#N/A</v>
      </c>
      <c r="G341" s="3" t="e">
        <f>_xlfn.XLOOKUP(E341,セットアップレポート_紐づけ用!A:A,セットアップレポート_紐づけ用!V:V)</f>
        <v>#N/A</v>
      </c>
      <c r="H341" s="3">
        <f t="shared" si="23"/>
        <v>-2</v>
      </c>
      <c r="I341" t="str">
        <f>IF(J341=0,"",IF(配列!E341="",マクロ実行!$A$16 &amp;" T"&amp;H341&amp;"-"&amp;RIGHT(配列!D341&amp;配列!E341,2),マクロ実行!$A$16 &amp;" T"&amp;H341&amp;"-"&amp;RIGHT(配列!D341&amp;配列!E341,3)))</f>
        <v/>
      </c>
      <c r="J341">
        <f>配列!F341</f>
        <v>0</v>
      </c>
      <c r="K341" s="2" t="e">
        <f>_xlfn.XLOOKUP(E341,セットアップレポート_紐づけ用!A:A,セットアップレポート_紐づけ用!R:R)</f>
        <v>#N/A</v>
      </c>
      <c r="L341" t="e">
        <f t="shared" si="21"/>
        <v>#N/A</v>
      </c>
      <c r="M341" t="e">
        <f>_xlfn.XLOOKUP(L341,EGPro!A:A,EGPro!D:D)</f>
        <v>#N/A</v>
      </c>
      <c r="N341" t="e">
        <f>_xlfn.XLOOKUP(L341,EGPro!A:A,EGPro!C:C)</f>
        <v>#N/A</v>
      </c>
      <c r="O341" t="e">
        <f t="shared" si="22"/>
        <v>#N/A</v>
      </c>
      <c r="P341" t="e">
        <f>_xlfn.XLOOKUP(O341,EGPro!A:A,EGPro!D:D)</f>
        <v>#N/A</v>
      </c>
      <c r="Q341" t="e">
        <f>_xlfn.XLOOKUP(O341,EGPro!A:A,EGPro!C:C)</f>
        <v>#N/A</v>
      </c>
    </row>
    <row r="342" spans="1:17" x14ac:dyDescent="0.45">
      <c r="A342" s="3">
        <f>配列!B342</f>
        <v>0</v>
      </c>
      <c r="B342" s="3" t="e">
        <f>_xlfn.XLOOKUP(A342,対応表!A:A,対応表!B:B)</f>
        <v>#N/A</v>
      </c>
      <c r="C342" s="3">
        <f>配列!C342</f>
        <v>0</v>
      </c>
      <c r="D342" s="3" t="str">
        <f>IF(配列!E342="",RIGHT(配列!D342&amp;配列!E342,4)&amp;"L",RIGHT(配列!D342&amp;配列!E342,5))</f>
        <v>L</v>
      </c>
      <c r="E342" s="3">
        <f t="shared" si="20"/>
        <v>0</v>
      </c>
      <c r="F342" s="3" t="e">
        <f>_xlfn.XLOOKUP(E342,セットアップレポート_紐づけ用!A:A,セットアップレポート_紐づけ用!J:J)</f>
        <v>#N/A</v>
      </c>
      <c r="G342" s="3" t="e">
        <f>_xlfn.XLOOKUP(E342,セットアップレポート_紐づけ用!A:A,セットアップレポート_紐づけ用!V:V)</f>
        <v>#N/A</v>
      </c>
      <c r="H342" s="3">
        <f t="shared" si="23"/>
        <v>-2</v>
      </c>
      <c r="I342" t="str">
        <f>IF(J342=0,"",IF(配列!E342="",マクロ実行!$A$16 &amp;" T"&amp;H342&amp;"-"&amp;RIGHT(配列!D342&amp;配列!E342,2),マクロ実行!$A$16 &amp;" T"&amp;H342&amp;"-"&amp;RIGHT(配列!D342&amp;配列!E342,3)))</f>
        <v/>
      </c>
      <c r="J342">
        <f>配列!F342</f>
        <v>0</v>
      </c>
      <c r="K342" s="2" t="e">
        <f>_xlfn.XLOOKUP(E342,セットアップレポート_紐づけ用!A:A,セットアップレポート_紐づけ用!R:R)</f>
        <v>#N/A</v>
      </c>
      <c r="L342" t="e">
        <f t="shared" si="21"/>
        <v>#N/A</v>
      </c>
      <c r="M342" t="e">
        <f>_xlfn.XLOOKUP(L342,EGPro!A:A,EGPro!D:D)</f>
        <v>#N/A</v>
      </c>
      <c r="N342" t="e">
        <f>_xlfn.XLOOKUP(L342,EGPro!A:A,EGPro!C:C)</f>
        <v>#N/A</v>
      </c>
      <c r="O342" t="e">
        <f t="shared" si="22"/>
        <v>#N/A</v>
      </c>
      <c r="P342" t="e">
        <f>_xlfn.XLOOKUP(O342,EGPro!A:A,EGPro!D:D)</f>
        <v>#N/A</v>
      </c>
      <c r="Q342" t="e">
        <f>_xlfn.XLOOKUP(O342,EGPro!A:A,EGPro!C:C)</f>
        <v>#N/A</v>
      </c>
    </row>
    <row r="343" spans="1:17" x14ac:dyDescent="0.45">
      <c r="A343" s="3">
        <f>配列!B343</f>
        <v>0</v>
      </c>
      <c r="B343" s="3" t="e">
        <f>_xlfn.XLOOKUP(A343,対応表!A:A,対応表!B:B)</f>
        <v>#N/A</v>
      </c>
      <c r="C343" s="3">
        <f>配列!C343</f>
        <v>0</v>
      </c>
      <c r="D343" s="3" t="str">
        <f>IF(配列!E343="",RIGHT(配列!D343&amp;配列!E343,4)&amp;"L",RIGHT(配列!D343&amp;配列!E343,5))</f>
        <v>L</v>
      </c>
      <c r="E343" s="3">
        <f t="shared" si="20"/>
        <v>0</v>
      </c>
      <c r="F343" s="3" t="e">
        <f>_xlfn.XLOOKUP(E343,セットアップレポート_紐づけ用!A:A,セットアップレポート_紐づけ用!J:J)</f>
        <v>#N/A</v>
      </c>
      <c r="G343" s="3" t="e">
        <f>_xlfn.XLOOKUP(E343,セットアップレポート_紐づけ用!A:A,セットアップレポート_紐づけ用!V:V)</f>
        <v>#N/A</v>
      </c>
      <c r="H343" s="3">
        <f t="shared" si="23"/>
        <v>-2</v>
      </c>
      <c r="I343" t="str">
        <f>IF(J343=0,"",IF(配列!E343="",マクロ実行!$A$16 &amp;" T"&amp;H343&amp;"-"&amp;RIGHT(配列!D343&amp;配列!E343,2),マクロ実行!$A$16 &amp;" T"&amp;H343&amp;"-"&amp;RIGHT(配列!D343&amp;配列!E343,3)))</f>
        <v/>
      </c>
      <c r="J343">
        <f>配列!F343</f>
        <v>0</v>
      </c>
      <c r="K343" s="2" t="e">
        <f>_xlfn.XLOOKUP(E343,セットアップレポート_紐づけ用!A:A,セットアップレポート_紐づけ用!R:R)</f>
        <v>#N/A</v>
      </c>
      <c r="L343" t="e">
        <f t="shared" si="21"/>
        <v>#N/A</v>
      </c>
      <c r="M343" t="e">
        <f>_xlfn.XLOOKUP(L343,EGPro!A:A,EGPro!D:D)</f>
        <v>#N/A</v>
      </c>
      <c r="N343" t="e">
        <f>_xlfn.XLOOKUP(L343,EGPro!A:A,EGPro!C:C)</f>
        <v>#N/A</v>
      </c>
      <c r="O343" t="e">
        <f t="shared" si="22"/>
        <v>#N/A</v>
      </c>
      <c r="P343" t="e">
        <f>_xlfn.XLOOKUP(O343,EGPro!A:A,EGPro!D:D)</f>
        <v>#N/A</v>
      </c>
      <c r="Q343" t="e">
        <f>_xlfn.XLOOKUP(O343,EGPro!A:A,EGPro!C:C)</f>
        <v>#N/A</v>
      </c>
    </row>
    <row r="344" spans="1:17" x14ac:dyDescent="0.45">
      <c r="A344" s="3">
        <f>配列!B344</f>
        <v>0</v>
      </c>
      <c r="B344" s="3" t="e">
        <f>_xlfn.XLOOKUP(A344,対応表!A:A,対応表!B:B)</f>
        <v>#N/A</v>
      </c>
      <c r="C344" s="3">
        <f>配列!C344</f>
        <v>0</v>
      </c>
      <c r="D344" s="3" t="str">
        <f>IF(配列!E344="",RIGHT(配列!D344&amp;配列!E344,4)&amp;"L",RIGHT(配列!D344&amp;配列!E344,5))</f>
        <v>L</v>
      </c>
      <c r="E344" s="3">
        <f t="shared" si="20"/>
        <v>0</v>
      </c>
      <c r="F344" s="3" t="e">
        <f>_xlfn.XLOOKUP(E344,セットアップレポート_紐づけ用!A:A,セットアップレポート_紐づけ用!J:J)</f>
        <v>#N/A</v>
      </c>
      <c r="G344" s="3" t="e">
        <f>_xlfn.XLOOKUP(E344,セットアップレポート_紐づけ用!A:A,セットアップレポート_紐づけ用!V:V)</f>
        <v>#N/A</v>
      </c>
      <c r="H344" s="3">
        <f t="shared" si="23"/>
        <v>-2</v>
      </c>
      <c r="I344" t="str">
        <f>IF(J344=0,"",IF(配列!E344="",マクロ実行!$A$16 &amp;" T"&amp;H344&amp;"-"&amp;RIGHT(配列!D344&amp;配列!E344,2),マクロ実行!$A$16 &amp;" T"&amp;H344&amp;"-"&amp;RIGHT(配列!D344&amp;配列!E344,3)))</f>
        <v/>
      </c>
      <c r="J344">
        <f>配列!F344</f>
        <v>0</v>
      </c>
      <c r="K344" s="2" t="e">
        <f>_xlfn.XLOOKUP(E344,セットアップレポート_紐づけ用!A:A,セットアップレポート_紐づけ用!R:R)</f>
        <v>#N/A</v>
      </c>
      <c r="L344" t="e">
        <f t="shared" si="21"/>
        <v>#N/A</v>
      </c>
      <c r="M344" t="e">
        <f>_xlfn.XLOOKUP(L344,EGPro!A:A,EGPro!D:D)</f>
        <v>#N/A</v>
      </c>
      <c r="N344" t="e">
        <f>_xlfn.XLOOKUP(L344,EGPro!A:A,EGPro!C:C)</f>
        <v>#N/A</v>
      </c>
      <c r="O344" t="e">
        <f t="shared" si="22"/>
        <v>#N/A</v>
      </c>
      <c r="P344" t="e">
        <f>_xlfn.XLOOKUP(O344,EGPro!A:A,EGPro!D:D)</f>
        <v>#N/A</v>
      </c>
      <c r="Q344" t="e">
        <f>_xlfn.XLOOKUP(O344,EGPro!A:A,EGPro!C:C)</f>
        <v>#N/A</v>
      </c>
    </row>
    <row r="345" spans="1:17" x14ac:dyDescent="0.45">
      <c r="A345" s="3">
        <f>配列!B345</f>
        <v>0</v>
      </c>
      <c r="B345" s="3" t="e">
        <f>_xlfn.XLOOKUP(A345,対応表!A:A,対応表!B:B)</f>
        <v>#N/A</v>
      </c>
      <c r="C345" s="3">
        <f>配列!C345</f>
        <v>0</v>
      </c>
      <c r="D345" s="3" t="str">
        <f>IF(配列!E345="",RIGHT(配列!D345&amp;配列!E345,4)&amp;"L",RIGHT(配列!D345&amp;配列!E345,5))</f>
        <v>L</v>
      </c>
      <c r="E345" s="3">
        <f t="shared" si="20"/>
        <v>0</v>
      </c>
      <c r="F345" s="3" t="e">
        <f>_xlfn.XLOOKUP(E345,セットアップレポート_紐づけ用!A:A,セットアップレポート_紐づけ用!J:J)</f>
        <v>#N/A</v>
      </c>
      <c r="G345" s="3" t="e">
        <f>_xlfn.XLOOKUP(E345,セットアップレポート_紐づけ用!A:A,セットアップレポート_紐づけ用!V:V)</f>
        <v>#N/A</v>
      </c>
      <c r="H345" s="3">
        <f t="shared" si="23"/>
        <v>-2</v>
      </c>
      <c r="I345" t="str">
        <f>IF(J345=0,"",IF(配列!E345="",マクロ実行!$A$16 &amp;" T"&amp;H345&amp;"-"&amp;RIGHT(配列!D345&amp;配列!E345,2),マクロ実行!$A$16 &amp;" T"&amp;H345&amp;"-"&amp;RIGHT(配列!D345&amp;配列!E345,3)))</f>
        <v/>
      </c>
      <c r="J345">
        <f>配列!F345</f>
        <v>0</v>
      </c>
      <c r="K345" s="2" t="e">
        <f>_xlfn.XLOOKUP(E345,セットアップレポート_紐づけ用!A:A,セットアップレポート_紐づけ用!R:R)</f>
        <v>#N/A</v>
      </c>
      <c r="L345" t="e">
        <f t="shared" si="21"/>
        <v>#N/A</v>
      </c>
      <c r="M345" t="e">
        <f>_xlfn.XLOOKUP(L345,EGPro!A:A,EGPro!D:D)</f>
        <v>#N/A</v>
      </c>
      <c r="N345" t="e">
        <f>_xlfn.XLOOKUP(L345,EGPro!A:A,EGPro!C:C)</f>
        <v>#N/A</v>
      </c>
      <c r="O345" t="e">
        <f t="shared" si="22"/>
        <v>#N/A</v>
      </c>
      <c r="P345" t="e">
        <f>_xlfn.XLOOKUP(O345,EGPro!A:A,EGPro!D:D)</f>
        <v>#N/A</v>
      </c>
      <c r="Q345" t="e">
        <f>_xlfn.XLOOKUP(O345,EGPro!A:A,EGPro!C:C)</f>
        <v>#N/A</v>
      </c>
    </row>
    <row r="346" spans="1:17" x14ac:dyDescent="0.45">
      <c r="A346" s="3">
        <f>配列!B346</f>
        <v>0</v>
      </c>
      <c r="B346" s="3" t="e">
        <f>_xlfn.XLOOKUP(A346,対応表!A:A,対応表!B:B)</f>
        <v>#N/A</v>
      </c>
      <c r="C346" s="3">
        <f>配列!C346</f>
        <v>0</v>
      </c>
      <c r="D346" s="3" t="str">
        <f>IF(配列!E346="",RIGHT(配列!D346&amp;配列!E346,4)&amp;"L",RIGHT(配列!D346&amp;配列!E346,5))</f>
        <v>L</v>
      </c>
      <c r="E346" s="3">
        <f t="shared" si="20"/>
        <v>0</v>
      </c>
      <c r="F346" s="3" t="e">
        <f>_xlfn.XLOOKUP(E346,セットアップレポート_紐づけ用!A:A,セットアップレポート_紐づけ用!J:J)</f>
        <v>#N/A</v>
      </c>
      <c r="G346" s="3" t="e">
        <f>_xlfn.XLOOKUP(E346,セットアップレポート_紐づけ用!A:A,セットアップレポート_紐づけ用!V:V)</f>
        <v>#N/A</v>
      </c>
      <c r="H346" s="3">
        <f t="shared" si="23"/>
        <v>-2</v>
      </c>
      <c r="I346" t="str">
        <f>IF(J346=0,"",IF(配列!E346="",マクロ実行!$A$16 &amp;" T"&amp;H346&amp;"-"&amp;RIGHT(配列!D346&amp;配列!E346,2),マクロ実行!$A$16 &amp;" T"&amp;H346&amp;"-"&amp;RIGHT(配列!D346&amp;配列!E346,3)))</f>
        <v/>
      </c>
      <c r="J346">
        <f>配列!F346</f>
        <v>0</v>
      </c>
      <c r="K346" s="2" t="e">
        <f>_xlfn.XLOOKUP(E346,セットアップレポート_紐づけ用!A:A,セットアップレポート_紐づけ用!R:R)</f>
        <v>#N/A</v>
      </c>
      <c r="L346" t="e">
        <f t="shared" si="21"/>
        <v>#N/A</v>
      </c>
      <c r="M346" t="e">
        <f>_xlfn.XLOOKUP(L346,EGPro!A:A,EGPro!D:D)</f>
        <v>#N/A</v>
      </c>
      <c r="N346" t="e">
        <f>_xlfn.XLOOKUP(L346,EGPro!A:A,EGPro!C:C)</f>
        <v>#N/A</v>
      </c>
      <c r="O346" t="e">
        <f t="shared" si="22"/>
        <v>#N/A</v>
      </c>
      <c r="P346" t="e">
        <f>_xlfn.XLOOKUP(O346,EGPro!A:A,EGPro!D:D)</f>
        <v>#N/A</v>
      </c>
      <c r="Q346" t="e">
        <f>_xlfn.XLOOKUP(O346,EGPro!A:A,EGPro!C:C)</f>
        <v>#N/A</v>
      </c>
    </row>
    <row r="347" spans="1:17" x14ac:dyDescent="0.45">
      <c r="A347" s="3">
        <f>配列!B347</f>
        <v>0</v>
      </c>
      <c r="B347" s="3" t="e">
        <f>_xlfn.XLOOKUP(A347,対応表!A:A,対応表!B:B)</f>
        <v>#N/A</v>
      </c>
      <c r="C347" s="3">
        <f>配列!C347</f>
        <v>0</v>
      </c>
      <c r="D347" s="3" t="str">
        <f>IF(配列!E347="",RIGHT(配列!D347&amp;配列!E347,4)&amp;"L",RIGHT(配列!D347&amp;配列!E347,5))</f>
        <v>L</v>
      </c>
      <c r="E347" s="3">
        <f t="shared" si="20"/>
        <v>0</v>
      </c>
      <c r="F347" s="3" t="e">
        <f>_xlfn.XLOOKUP(E347,セットアップレポート_紐づけ用!A:A,セットアップレポート_紐づけ用!J:J)</f>
        <v>#N/A</v>
      </c>
      <c r="G347" s="3" t="e">
        <f>_xlfn.XLOOKUP(E347,セットアップレポート_紐づけ用!A:A,セットアップレポート_紐づけ用!V:V)</f>
        <v>#N/A</v>
      </c>
      <c r="H347" s="3">
        <f t="shared" si="23"/>
        <v>-2</v>
      </c>
      <c r="I347" t="str">
        <f>IF(J347=0,"",IF(配列!E347="",マクロ実行!$A$16 &amp;" T"&amp;H347&amp;"-"&amp;RIGHT(配列!D347&amp;配列!E347,2),マクロ実行!$A$16 &amp;" T"&amp;H347&amp;"-"&amp;RIGHT(配列!D347&amp;配列!E347,3)))</f>
        <v/>
      </c>
      <c r="J347">
        <f>配列!F347</f>
        <v>0</v>
      </c>
      <c r="K347" s="2" t="e">
        <f>_xlfn.XLOOKUP(E347,セットアップレポート_紐づけ用!A:A,セットアップレポート_紐づけ用!R:R)</f>
        <v>#N/A</v>
      </c>
      <c r="L347" t="e">
        <f t="shared" si="21"/>
        <v>#N/A</v>
      </c>
      <c r="M347" t="e">
        <f>_xlfn.XLOOKUP(L347,EGPro!A:A,EGPro!D:D)</f>
        <v>#N/A</v>
      </c>
      <c r="N347" t="e">
        <f>_xlfn.XLOOKUP(L347,EGPro!A:A,EGPro!C:C)</f>
        <v>#N/A</v>
      </c>
      <c r="O347" t="e">
        <f t="shared" si="22"/>
        <v>#N/A</v>
      </c>
      <c r="P347" t="e">
        <f>_xlfn.XLOOKUP(O347,EGPro!A:A,EGPro!D:D)</f>
        <v>#N/A</v>
      </c>
      <c r="Q347" t="e">
        <f>_xlfn.XLOOKUP(O347,EGPro!A:A,EGPro!C:C)</f>
        <v>#N/A</v>
      </c>
    </row>
    <row r="348" spans="1:17" x14ac:dyDescent="0.45">
      <c r="A348" s="3">
        <f>配列!B348</f>
        <v>0</v>
      </c>
      <c r="B348" s="3" t="e">
        <f>_xlfn.XLOOKUP(A348,対応表!A:A,対応表!B:B)</f>
        <v>#N/A</v>
      </c>
      <c r="C348" s="3">
        <f>配列!C348</f>
        <v>0</v>
      </c>
      <c r="D348" s="3" t="str">
        <f>IF(配列!E348="",RIGHT(配列!D348&amp;配列!E348,4)&amp;"L",RIGHT(配列!D348&amp;配列!E348,5))</f>
        <v>L</v>
      </c>
      <c r="E348" s="3">
        <f t="shared" si="20"/>
        <v>0</v>
      </c>
      <c r="F348" s="3" t="e">
        <f>_xlfn.XLOOKUP(E348,セットアップレポート_紐づけ用!A:A,セットアップレポート_紐づけ用!J:J)</f>
        <v>#N/A</v>
      </c>
      <c r="G348" s="3" t="e">
        <f>_xlfn.XLOOKUP(E348,セットアップレポート_紐づけ用!A:A,セットアップレポート_紐づけ用!V:V)</f>
        <v>#N/A</v>
      </c>
      <c r="H348" s="3">
        <f t="shared" si="23"/>
        <v>-2</v>
      </c>
      <c r="I348" t="str">
        <f>IF(J348=0,"",IF(配列!E348="",マクロ実行!$A$16 &amp;" T"&amp;H348&amp;"-"&amp;RIGHT(配列!D348&amp;配列!E348,2),マクロ実行!$A$16 &amp;" T"&amp;H348&amp;"-"&amp;RIGHT(配列!D348&amp;配列!E348,3)))</f>
        <v/>
      </c>
      <c r="J348">
        <f>配列!F348</f>
        <v>0</v>
      </c>
      <c r="K348" s="2" t="e">
        <f>_xlfn.XLOOKUP(E348,セットアップレポート_紐づけ用!A:A,セットアップレポート_紐づけ用!R:R)</f>
        <v>#N/A</v>
      </c>
      <c r="L348" t="e">
        <f t="shared" si="21"/>
        <v>#N/A</v>
      </c>
      <c r="M348" t="e">
        <f>_xlfn.XLOOKUP(L348,EGPro!A:A,EGPro!D:D)</f>
        <v>#N/A</v>
      </c>
      <c r="N348" t="e">
        <f>_xlfn.XLOOKUP(L348,EGPro!A:A,EGPro!C:C)</f>
        <v>#N/A</v>
      </c>
      <c r="O348" t="e">
        <f t="shared" si="22"/>
        <v>#N/A</v>
      </c>
      <c r="P348" t="e">
        <f>_xlfn.XLOOKUP(O348,EGPro!A:A,EGPro!D:D)</f>
        <v>#N/A</v>
      </c>
      <c r="Q348" t="e">
        <f>_xlfn.XLOOKUP(O348,EGPro!A:A,EGPro!C:C)</f>
        <v>#N/A</v>
      </c>
    </row>
    <row r="349" spans="1:17" x14ac:dyDescent="0.45">
      <c r="A349" s="3">
        <f>配列!B349</f>
        <v>0</v>
      </c>
      <c r="B349" s="3" t="e">
        <f>_xlfn.XLOOKUP(A349,対応表!A:A,対応表!B:B)</f>
        <v>#N/A</v>
      </c>
      <c r="C349" s="3">
        <f>配列!C349</f>
        <v>0</v>
      </c>
      <c r="D349" s="3" t="str">
        <f>IF(配列!E349="",RIGHT(配列!D349&amp;配列!E349,4)&amp;"L",RIGHT(配列!D349&amp;配列!E349,5))</f>
        <v>L</v>
      </c>
      <c r="E349" s="3">
        <f t="shared" si="20"/>
        <v>0</v>
      </c>
      <c r="F349" s="3" t="e">
        <f>_xlfn.XLOOKUP(E349,セットアップレポート_紐づけ用!A:A,セットアップレポート_紐づけ用!J:J)</f>
        <v>#N/A</v>
      </c>
      <c r="G349" s="3" t="e">
        <f>_xlfn.XLOOKUP(E349,セットアップレポート_紐づけ用!A:A,セットアップレポート_紐づけ用!V:V)</f>
        <v>#N/A</v>
      </c>
      <c r="H349" s="3">
        <f t="shared" si="23"/>
        <v>-2</v>
      </c>
      <c r="I349" t="str">
        <f>IF(J349=0,"",IF(配列!E349="",マクロ実行!$A$16 &amp;" T"&amp;H349&amp;"-"&amp;RIGHT(配列!D349&amp;配列!E349,2),マクロ実行!$A$16 &amp;" T"&amp;H349&amp;"-"&amp;RIGHT(配列!D349&amp;配列!E349,3)))</f>
        <v/>
      </c>
      <c r="J349">
        <f>配列!F349</f>
        <v>0</v>
      </c>
      <c r="K349" s="2" t="e">
        <f>_xlfn.XLOOKUP(E349,セットアップレポート_紐づけ用!A:A,セットアップレポート_紐づけ用!R:R)</f>
        <v>#N/A</v>
      </c>
      <c r="L349" t="e">
        <f t="shared" si="21"/>
        <v>#N/A</v>
      </c>
      <c r="M349" t="e">
        <f>_xlfn.XLOOKUP(L349,EGPro!A:A,EGPro!D:D)</f>
        <v>#N/A</v>
      </c>
      <c r="N349" t="e">
        <f>_xlfn.XLOOKUP(L349,EGPro!A:A,EGPro!C:C)</f>
        <v>#N/A</v>
      </c>
      <c r="O349" t="e">
        <f t="shared" si="22"/>
        <v>#N/A</v>
      </c>
      <c r="P349" t="e">
        <f>_xlfn.XLOOKUP(O349,EGPro!A:A,EGPro!D:D)</f>
        <v>#N/A</v>
      </c>
      <c r="Q349" t="e">
        <f>_xlfn.XLOOKUP(O349,EGPro!A:A,EGPro!C:C)</f>
        <v>#N/A</v>
      </c>
    </row>
    <row r="350" spans="1:17" x14ac:dyDescent="0.45">
      <c r="A350" s="3">
        <f>配列!B350</f>
        <v>0</v>
      </c>
      <c r="B350" s="3" t="e">
        <f>_xlfn.XLOOKUP(A350,対応表!A:A,対応表!B:B)</f>
        <v>#N/A</v>
      </c>
      <c r="C350" s="3">
        <f>配列!C350</f>
        <v>0</v>
      </c>
      <c r="D350" s="3" t="str">
        <f>IF(配列!E350="",RIGHT(配列!D350&amp;配列!E350,4)&amp;"L",RIGHT(配列!D350&amp;配列!E350,5))</f>
        <v>L</v>
      </c>
      <c r="E350" s="3">
        <f t="shared" si="20"/>
        <v>0</v>
      </c>
      <c r="F350" s="3" t="e">
        <f>_xlfn.XLOOKUP(E350,セットアップレポート_紐づけ用!A:A,セットアップレポート_紐づけ用!J:J)</f>
        <v>#N/A</v>
      </c>
      <c r="G350" s="3" t="e">
        <f>_xlfn.XLOOKUP(E350,セットアップレポート_紐づけ用!A:A,セットアップレポート_紐づけ用!V:V)</f>
        <v>#N/A</v>
      </c>
      <c r="H350" s="3">
        <f t="shared" si="23"/>
        <v>-2</v>
      </c>
      <c r="I350" t="str">
        <f>IF(J350=0,"",IF(配列!E350="",マクロ実行!$A$16 &amp;" T"&amp;H350&amp;"-"&amp;RIGHT(配列!D350&amp;配列!E350,2),マクロ実行!$A$16 &amp;" T"&amp;H350&amp;"-"&amp;RIGHT(配列!D350&amp;配列!E350,3)))</f>
        <v/>
      </c>
      <c r="J350">
        <f>配列!F350</f>
        <v>0</v>
      </c>
      <c r="K350" s="2" t="e">
        <f>_xlfn.XLOOKUP(E350,セットアップレポート_紐づけ用!A:A,セットアップレポート_紐づけ用!R:R)</f>
        <v>#N/A</v>
      </c>
      <c r="L350" t="e">
        <f t="shared" si="21"/>
        <v>#N/A</v>
      </c>
      <c r="M350" t="e">
        <f>_xlfn.XLOOKUP(L350,EGPro!A:A,EGPro!D:D)</f>
        <v>#N/A</v>
      </c>
      <c r="N350" t="e">
        <f>_xlfn.XLOOKUP(L350,EGPro!A:A,EGPro!C:C)</f>
        <v>#N/A</v>
      </c>
      <c r="O350" t="e">
        <f t="shared" si="22"/>
        <v>#N/A</v>
      </c>
      <c r="P350" t="e">
        <f>_xlfn.XLOOKUP(O350,EGPro!A:A,EGPro!D:D)</f>
        <v>#N/A</v>
      </c>
      <c r="Q350" t="e">
        <f>_xlfn.XLOOKUP(O350,EGPro!A:A,EGPro!C:C)</f>
        <v>#N/A</v>
      </c>
    </row>
    <row r="351" spans="1:17" x14ac:dyDescent="0.45">
      <c r="A351" s="3">
        <f>配列!B351</f>
        <v>0</v>
      </c>
      <c r="B351" s="3" t="e">
        <f>_xlfn.XLOOKUP(A351,対応表!A:A,対応表!B:B)</f>
        <v>#N/A</v>
      </c>
      <c r="C351" s="3">
        <f>配列!C351</f>
        <v>0</v>
      </c>
      <c r="D351" s="3" t="str">
        <f>IF(配列!E351="",RIGHT(配列!D351&amp;配列!E351,4)&amp;"L",RIGHT(配列!D351&amp;配列!E351,5))</f>
        <v>L</v>
      </c>
      <c r="E351" s="3">
        <f t="shared" si="20"/>
        <v>0</v>
      </c>
      <c r="F351" s="3" t="e">
        <f>_xlfn.XLOOKUP(E351,セットアップレポート_紐づけ用!A:A,セットアップレポート_紐づけ用!J:J)</f>
        <v>#N/A</v>
      </c>
      <c r="G351" s="3" t="e">
        <f>_xlfn.XLOOKUP(E351,セットアップレポート_紐づけ用!A:A,セットアップレポート_紐づけ用!V:V)</f>
        <v>#N/A</v>
      </c>
      <c r="H351" s="3">
        <f t="shared" si="23"/>
        <v>-2</v>
      </c>
      <c r="I351" t="str">
        <f>IF(J351=0,"",IF(配列!E351="",マクロ実行!$A$16 &amp;" T"&amp;H351&amp;"-"&amp;RIGHT(配列!D351&amp;配列!E351,2),マクロ実行!$A$16 &amp;" T"&amp;H351&amp;"-"&amp;RIGHT(配列!D351&amp;配列!E351,3)))</f>
        <v/>
      </c>
      <c r="J351">
        <f>配列!F351</f>
        <v>0</v>
      </c>
      <c r="K351" s="2" t="e">
        <f>_xlfn.XLOOKUP(E351,セットアップレポート_紐づけ用!A:A,セットアップレポート_紐づけ用!R:R)</f>
        <v>#N/A</v>
      </c>
      <c r="L351" t="e">
        <f t="shared" si="21"/>
        <v>#N/A</v>
      </c>
      <c r="M351" t="e">
        <f>_xlfn.XLOOKUP(L351,EGPro!A:A,EGPro!D:D)</f>
        <v>#N/A</v>
      </c>
      <c r="N351" t="e">
        <f>_xlfn.XLOOKUP(L351,EGPro!A:A,EGPro!C:C)</f>
        <v>#N/A</v>
      </c>
      <c r="O351" t="e">
        <f t="shared" si="22"/>
        <v>#N/A</v>
      </c>
      <c r="P351" t="e">
        <f>_xlfn.XLOOKUP(O351,EGPro!A:A,EGPro!D:D)</f>
        <v>#N/A</v>
      </c>
      <c r="Q351" t="e">
        <f>_xlfn.XLOOKUP(O351,EGPro!A:A,EGPro!C:C)</f>
        <v>#N/A</v>
      </c>
    </row>
    <row r="352" spans="1:17" x14ac:dyDescent="0.45">
      <c r="A352" s="3">
        <f>配列!B352</f>
        <v>0</v>
      </c>
      <c r="B352" s="3" t="e">
        <f>_xlfn.XLOOKUP(A352,対応表!A:A,対応表!B:B)</f>
        <v>#N/A</v>
      </c>
      <c r="C352" s="3">
        <f>配列!C352</f>
        <v>0</v>
      </c>
      <c r="D352" s="3" t="str">
        <f>IF(配列!E352="",RIGHT(配列!D352&amp;配列!E352,4)&amp;"L",RIGHT(配列!D352&amp;配列!E352,5))</f>
        <v>L</v>
      </c>
      <c r="E352" s="3">
        <f t="shared" si="20"/>
        <v>0</v>
      </c>
      <c r="F352" s="3" t="e">
        <f>_xlfn.XLOOKUP(E352,セットアップレポート_紐づけ用!A:A,セットアップレポート_紐づけ用!J:J)</f>
        <v>#N/A</v>
      </c>
      <c r="G352" s="3" t="e">
        <f>_xlfn.XLOOKUP(E352,セットアップレポート_紐づけ用!A:A,セットアップレポート_紐づけ用!V:V)</f>
        <v>#N/A</v>
      </c>
      <c r="H352" s="3">
        <f t="shared" si="23"/>
        <v>-2</v>
      </c>
      <c r="I352" t="str">
        <f>IF(J352=0,"",IF(配列!E352="",マクロ実行!$A$16 &amp;" T"&amp;H352&amp;"-"&amp;RIGHT(配列!D352&amp;配列!E352,2),マクロ実行!$A$16 &amp;" T"&amp;H352&amp;"-"&amp;RIGHT(配列!D352&amp;配列!E352,3)))</f>
        <v/>
      </c>
      <c r="J352">
        <f>配列!F352</f>
        <v>0</v>
      </c>
      <c r="K352" s="2" t="e">
        <f>_xlfn.XLOOKUP(E352,セットアップレポート_紐づけ用!A:A,セットアップレポート_紐づけ用!R:R)</f>
        <v>#N/A</v>
      </c>
      <c r="L352" t="e">
        <f t="shared" si="21"/>
        <v>#N/A</v>
      </c>
      <c r="M352" t="e">
        <f>_xlfn.XLOOKUP(L352,EGPro!A:A,EGPro!D:D)</f>
        <v>#N/A</v>
      </c>
      <c r="N352" t="e">
        <f>_xlfn.XLOOKUP(L352,EGPro!A:A,EGPro!C:C)</f>
        <v>#N/A</v>
      </c>
      <c r="O352" t="e">
        <f t="shared" si="22"/>
        <v>#N/A</v>
      </c>
      <c r="P352" t="e">
        <f>_xlfn.XLOOKUP(O352,EGPro!A:A,EGPro!D:D)</f>
        <v>#N/A</v>
      </c>
      <c r="Q352" t="e">
        <f>_xlfn.XLOOKUP(O352,EGPro!A:A,EGPro!C:C)</f>
        <v>#N/A</v>
      </c>
    </row>
    <row r="353" spans="1:17" x14ac:dyDescent="0.45">
      <c r="A353" s="3">
        <f>配列!B353</f>
        <v>0</v>
      </c>
      <c r="B353" s="3" t="e">
        <f>_xlfn.XLOOKUP(A353,対応表!A:A,対応表!B:B)</f>
        <v>#N/A</v>
      </c>
      <c r="C353" s="3">
        <f>配列!C353</f>
        <v>0</v>
      </c>
      <c r="D353" s="3" t="str">
        <f>IF(配列!E353="",RIGHT(配列!D353&amp;配列!E353,4)&amp;"L",RIGHT(配列!D353&amp;配列!E353,5))</f>
        <v>L</v>
      </c>
      <c r="E353" s="3">
        <f t="shared" si="20"/>
        <v>0</v>
      </c>
      <c r="F353" s="3" t="e">
        <f>_xlfn.XLOOKUP(E353,セットアップレポート_紐づけ用!A:A,セットアップレポート_紐づけ用!J:J)</f>
        <v>#N/A</v>
      </c>
      <c r="G353" s="3" t="e">
        <f>_xlfn.XLOOKUP(E353,セットアップレポート_紐づけ用!A:A,セットアップレポート_紐づけ用!V:V)</f>
        <v>#N/A</v>
      </c>
      <c r="H353" s="3">
        <f t="shared" si="23"/>
        <v>-2</v>
      </c>
      <c r="I353" t="str">
        <f>IF(J353=0,"",IF(配列!E353="",マクロ実行!$A$16 &amp;" T"&amp;H353&amp;"-"&amp;RIGHT(配列!D353&amp;配列!E353,2),マクロ実行!$A$16 &amp;" T"&amp;H353&amp;"-"&amp;RIGHT(配列!D353&amp;配列!E353,3)))</f>
        <v/>
      </c>
      <c r="J353">
        <f>配列!F353</f>
        <v>0</v>
      </c>
      <c r="K353" s="2" t="e">
        <f>_xlfn.XLOOKUP(E353,セットアップレポート_紐づけ用!A:A,セットアップレポート_紐づけ用!R:R)</f>
        <v>#N/A</v>
      </c>
      <c r="L353" t="e">
        <f t="shared" si="21"/>
        <v>#N/A</v>
      </c>
      <c r="M353" t="e">
        <f>_xlfn.XLOOKUP(L353,EGPro!A:A,EGPro!D:D)</f>
        <v>#N/A</v>
      </c>
      <c r="N353" t="e">
        <f>_xlfn.XLOOKUP(L353,EGPro!A:A,EGPro!C:C)</f>
        <v>#N/A</v>
      </c>
      <c r="O353" t="e">
        <f t="shared" si="22"/>
        <v>#N/A</v>
      </c>
      <c r="P353" t="e">
        <f>_xlfn.XLOOKUP(O353,EGPro!A:A,EGPro!D:D)</f>
        <v>#N/A</v>
      </c>
      <c r="Q353" t="e">
        <f>_xlfn.XLOOKUP(O353,EGPro!A:A,EGPro!C:C)</f>
        <v>#N/A</v>
      </c>
    </row>
    <row r="354" spans="1:17" x14ac:dyDescent="0.45">
      <c r="A354" s="3">
        <f>配列!B354</f>
        <v>0</v>
      </c>
      <c r="B354" s="3" t="e">
        <f>_xlfn.XLOOKUP(A354,対応表!A:A,対応表!B:B)</f>
        <v>#N/A</v>
      </c>
      <c r="C354" s="3">
        <f>配列!C354</f>
        <v>0</v>
      </c>
      <c r="D354" s="3" t="str">
        <f>IF(配列!E354="",RIGHT(配列!D354&amp;配列!E354,4)&amp;"L",RIGHT(配列!D354&amp;配列!E354,5))</f>
        <v>L</v>
      </c>
      <c r="E354" s="3">
        <f t="shared" si="20"/>
        <v>0</v>
      </c>
      <c r="F354" s="3" t="e">
        <f>_xlfn.XLOOKUP(E354,セットアップレポート_紐づけ用!A:A,セットアップレポート_紐づけ用!J:J)</f>
        <v>#N/A</v>
      </c>
      <c r="G354" s="3" t="e">
        <f>_xlfn.XLOOKUP(E354,セットアップレポート_紐づけ用!A:A,セットアップレポート_紐づけ用!V:V)</f>
        <v>#N/A</v>
      </c>
      <c r="H354" s="3">
        <f t="shared" si="23"/>
        <v>-2</v>
      </c>
      <c r="I354" t="str">
        <f>IF(J354=0,"",IF(配列!E354="",マクロ実行!$A$16 &amp;" T"&amp;H354&amp;"-"&amp;RIGHT(配列!D354&amp;配列!E354,2),マクロ実行!$A$16 &amp;" T"&amp;H354&amp;"-"&amp;RIGHT(配列!D354&amp;配列!E354,3)))</f>
        <v/>
      </c>
      <c r="J354">
        <f>配列!F354</f>
        <v>0</v>
      </c>
      <c r="K354" s="2" t="e">
        <f>_xlfn.XLOOKUP(E354,セットアップレポート_紐づけ用!A:A,セットアップレポート_紐づけ用!R:R)</f>
        <v>#N/A</v>
      </c>
      <c r="L354" t="e">
        <f t="shared" si="21"/>
        <v>#N/A</v>
      </c>
      <c r="M354" t="e">
        <f>_xlfn.XLOOKUP(L354,EGPro!A:A,EGPro!D:D)</f>
        <v>#N/A</v>
      </c>
      <c r="N354" t="e">
        <f>_xlfn.XLOOKUP(L354,EGPro!A:A,EGPro!C:C)</f>
        <v>#N/A</v>
      </c>
      <c r="O354" t="e">
        <f t="shared" si="22"/>
        <v>#N/A</v>
      </c>
      <c r="P354" t="e">
        <f>_xlfn.XLOOKUP(O354,EGPro!A:A,EGPro!D:D)</f>
        <v>#N/A</v>
      </c>
      <c r="Q354" t="e">
        <f>_xlfn.XLOOKUP(O354,EGPro!A:A,EGPro!C:C)</f>
        <v>#N/A</v>
      </c>
    </row>
    <row r="355" spans="1:17" x14ac:dyDescent="0.45">
      <c r="A355" s="3">
        <f>配列!B355</f>
        <v>0</v>
      </c>
      <c r="B355" s="3" t="e">
        <f>_xlfn.XLOOKUP(A355,対応表!A:A,対応表!B:B)</f>
        <v>#N/A</v>
      </c>
      <c r="C355" s="3">
        <f>配列!C355</f>
        <v>0</v>
      </c>
      <c r="D355" s="3" t="str">
        <f>IF(配列!E355="",RIGHT(配列!D355&amp;配列!E355,4)&amp;"L",RIGHT(配列!D355&amp;配列!E355,5))</f>
        <v>L</v>
      </c>
      <c r="E355" s="3">
        <f t="shared" si="20"/>
        <v>0</v>
      </c>
      <c r="F355" s="3" t="e">
        <f>_xlfn.XLOOKUP(E355,セットアップレポート_紐づけ用!A:A,セットアップレポート_紐づけ用!J:J)</f>
        <v>#N/A</v>
      </c>
      <c r="G355" s="3" t="e">
        <f>_xlfn.XLOOKUP(E355,セットアップレポート_紐づけ用!A:A,セットアップレポート_紐づけ用!V:V)</f>
        <v>#N/A</v>
      </c>
      <c r="H355" s="3">
        <f t="shared" si="23"/>
        <v>-2</v>
      </c>
      <c r="I355" t="str">
        <f>IF(J355=0,"",IF(配列!E355="",マクロ実行!$A$16 &amp;" T"&amp;H355&amp;"-"&amp;RIGHT(配列!D355&amp;配列!E355,2),マクロ実行!$A$16 &amp;" T"&amp;H355&amp;"-"&amp;RIGHT(配列!D355&amp;配列!E355,3)))</f>
        <v/>
      </c>
      <c r="J355">
        <f>配列!F355</f>
        <v>0</v>
      </c>
      <c r="K355" s="2" t="e">
        <f>_xlfn.XLOOKUP(E355,セットアップレポート_紐づけ用!A:A,セットアップレポート_紐づけ用!R:R)</f>
        <v>#N/A</v>
      </c>
      <c r="L355" t="e">
        <f t="shared" si="21"/>
        <v>#N/A</v>
      </c>
      <c r="M355" t="e">
        <f>_xlfn.XLOOKUP(L355,EGPro!A:A,EGPro!D:D)</f>
        <v>#N/A</v>
      </c>
      <c r="N355" t="e">
        <f>_xlfn.XLOOKUP(L355,EGPro!A:A,EGPro!C:C)</f>
        <v>#N/A</v>
      </c>
      <c r="O355" t="e">
        <f t="shared" si="22"/>
        <v>#N/A</v>
      </c>
      <c r="P355" t="e">
        <f>_xlfn.XLOOKUP(O355,EGPro!A:A,EGPro!D:D)</f>
        <v>#N/A</v>
      </c>
      <c r="Q355" t="e">
        <f>_xlfn.XLOOKUP(O355,EGPro!A:A,EGPro!C:C)</f>
        <v>#N/A</v>
      </c>
    </row>
    <row r="356" spans="1:17" x14ac:dyDescent="0.45">
      <c r="A356" s="3">
        <f>配列!B356</f>
        <v>0</v>
      </c>
      <c r="B356" s="3" t="e">
        <f>_xlfn.XLOOKUP(A356,対応表!A:A,対応表!B:B)</f>
        <v>#N/A</v>
      </c>
      <c r="C356" s="3">
        <f>配列!C356</f>
        <v>0</v>
      </c>
      <c r="D356" s="3" t="str">
        <f>IF(配列!E356="",RIGHT(配列!D356&amp;配列!E356,4)&amp;"L",RIGHT(配列!D356&amp;配列!E356,5))</f>
        <v>L</v>
      </c>
      <c r="E356" s="3">
        <f t="shared" si="20"/>
        <v>0</v>
      </c>
      <c r="F356" s="3" t="e">
        <f>_xlfn.XLOOKUP(E356,セットアップレポート_紐づけ用!A:A,セットアップレポート_紐づけ用!J:J)</f>
        <v>#N/A</v>
      </c>
      <c r="G356" s="3" t="e">
        <f>_xlfn.XLOOKUP(E356,セットアップレポート_紐づけ用!A:A,セットアップレポート_紐づけ用!V:V)</f>
        <v>#N/A</v>
      </c>
      <c r="H356" s="3">
        <f t="shared" si="23"/>
        <v>-2</v>
      </c>
      <c r="I356" t="str">
        <f>IF(J356=0,"",IF(配列!E356="",マクロ実行!$A$16 &amp;" T"&amp;H356&amp;"-"&amp;RIGHT(配列!D356&amp;配列!E356,2),マクロ実行!$A$16 &amp;" T"&amp;H356&amp;"-"&amp;RIGHT(配列!D356&amp;配列!E356,3)))</f>
        <v/>
      </c>
      <c r="J356">
        <f>配列!F356</f>
        <v>0</v>
      </c>
      <c r="K356" s="2" t="e">
        <f>_xlfn.XLOOKUP(E356,セットアップレポート_紐づけ用!A:A,セットアップレポート_紐づけ用!R:R)</f>
        <v>#N/A</v>
      </c>
      <c r="L356" t="e">
        <f t="shared" si="21"/>
        <v>#N/A</v>
      </c>
      <c r="M356" t="e">
        <f>_xlfn.XLOOKUP(L356,EGPro!A:A,EGPro!D:D)</f>
        <v>#N/A</v>
      </c>
      <c r="N356" t="e">
        <f>_xlfn.XLOOKUP(L356,EGPro!A:A,EGPro!C:C)</f>
        <v>#N/A</v>
      </c>
      <c r="O356" t="e">
        <f t="shared" si="22"/>
        <v>#N/A</v>
      </c>
      <c r="P356" t="e">
        <f>_xlfn.XLOOKUP(O356,EGPro!A:A,EGPro!D:D)</f>
        <v>#N/A</v>
      </c>
      <c r="Q356" t="e">
        <f>_xlfn.XLOOKUP(O356,EGPro!A:A,EGPro!C:C)</f>
        <v>#N/A</v>
      </c>
    </row>
    <row r="357" spans="1:17" x14ac:dyDescent="0.45">
      <c r="A357" s="3">
        <f>配列!B357</f>
        <v>0</v>
      </c>
      <c r="B357" s="3" t="e">
        <f>_xlfn.XLOOKUP(A357,対応表!A:A,対応表!B:B)</f>
        <v>#N/A</v>
      </c>
      <c r="C357" s="3">
        <f>配列!C357</f>
        <v>0</v>
      </c>
      <c r="D357" s="3" t="str">
        <f>IF(配列!E357="",RIGHT(配列!D357&amp;配列!E357,4)&amp;"L",RIGHT(配列!D357&amp;配列!E357,5))</f>
        <v>L</v>
      </c>
      <c r="E357" s="3">
        <f t="shared" si="20"/>
        <v>0</v>
      </c>
      <c r="F357" s="3" t="e">
        <f>_xlfn.XLOOKUP(E357,セットアップレポート_紐づけ用!A:A,セットアップレポート_紐づけ用!J:J)</f>
        <v>#N/A</v>
      </c>
      <c r="G357" s="3" t="e">
        <f>_xlfn.XLOOKUP(E357,セットアップレポート_紐づけ用!A:A,セットアップレポート_紐づけ用!V:V)</f>
        <v>#N/A</v>
      </c>
      <c r="H357" s="3">
        <f t="shared" si="23"/>
        <v>-2</v>
      </c>
      <c r="I357" t="str">
        <f>IF(J357=0,"",IF(配列!E357="",マクロ実行!$A$16 &amp;" T"&amp;H357&amp;"-"&amp;RIGHT(配列!D357&amp;配列!E357,2),マクロ実行!$A$16 &amp;" T"&amp;H357&amp;"-"&amp;RIGHT(配列!D357&amp;配列!E357,3)))</f>
        <v/>
      </c>
      <c r="J357">
        <f>配列!F357</f>
        <v>0</v>
      </c>
      <c r="K357" s="2" t="e">
        <f>_xlfn.XLOOKUP(E357,セットアップレポート_紐づけ用!A:A,セットアップレポート_紐づけ用!R:R)</f>
        <v>#N/A</v>
      </c>
      <c r="L357" t="e">
        <f t="shared" si="21"/>
        <v>#N/A</v>
      </c>
      <c r="M357" t="e">
        <f>_xlfn.XLOOKUP(L357,EGPro!A:A,EGPro!D:D)</f>
        <v>#N/A</v>
      </c>
      <c r="N357" t="e">
        <f>_xlfn.XLOOKUP(L357,EGPro!A:A,EGPro!C:C)</f>
        <v>#N/A</v>
      </c>
      <c r="O357" t="e">
        <f t="shared" si="22"/>
        <v>#N/A</v>
      </c>
      <c r="P357" t="e">
        <f>_xlfn.XLOOKUP(O357,EGPro!A:A,EGPro!D:D)</f>
        <v>#N/A</v>
      </c>
      <c r="Q357" t="e">
        <f>_xlfn.XLOOKUP(O357,EGPro!A:A,EGPro!C:C)</f>
        <v>#N/A</v>
      </c>
    </row>
    <row r="358" spans="1:17" x14ac:dyDescent="0.45">
      <c r="A358" s="3">
        <f>配列!B358</f>
        <v>0</v>
      </c>
      <c r="B358" s="3" t="e">
        <f>_xlfn.XLOOKUP(A358,対応表!A:A,対応表!B:B)</f>
        <v>#N/A</v>
      </c>
      <c r="C358" s="3">
        <f>配列!C358</f>
        <v>0</v>
      </c>
      <c r="D358" s="3" t="str">
        <f>IF(配列!E358="",RIGHT(配列!D358&amp;配列!E358,4)&amp;"L",RIGHT(配列!D358&amp;配列!E358,5))</f>
        <v>L</v>
      </c>
      <c r="E358" s="3">
        <f t="shared" si="20"/>
        <v>0</v>
      </c>
      <c r="F358" s="3" t="e">
        <f>_xlfn.XLOOKUP(E358,セットアップレポート_紐づけ用!A:A,セットアップレポート_紐づけ用!J:J)</f>
        <v>#N/A</v>
      </c>
      <c r="G358" s="3" t="e">
        <f>_xlfn.XLOOKUP(E358,セットアップレポート_紐づけ用!A:A,セットアップレポート_紐づけ用!V:V)</f>
        <v>#N/A</v>
      </c>
      <c r="H358" s="3">
        <f t="shared" si="23"/>
        <v>-2</v>
      </c>
      <c r="I358" t="str">
        <f>IF(J358=0,"",IF(配列!E358="",マクロ実行!$A$16 &amp;" T"&amp;H358&amp;"-"&amp;RIGHT(配列!D358&amp;配列!E358,2),マクロ実行!$A$16 &amp;" T"&amp;H358&amp;"-"&amp;RIGHT(配列!D358&amp;配列!E358,3)))</f>
        <v/>
      </c>
      <c r="J358">
        <f>配列!F358</f>
        <v>0</v>
      </c>
      <c r="K358" s="2" t="e">
        <f>_xlfn.XLOOKUP(E358,セットアップレポート_紐づけ用!A:A,セットアップレポート_紐づけ用!R:R)</f>
        <v>#N/A</v>
      </c>
      <c r="L358" t="e">
        <f t="shared" si="21"/>
        <v>#N/A</v>
      </c>
      <c r="M358" t="e">
        <f>_xlfn.XLOOKUP(L358,EGPro!A:A,EGPro!D:D)</f>
        <v>#N/A</v>
      </c>
      <c r="N358" t="e">
        <f>_xlfn.XLOOKUP(L358,EGPro!A:A,EGPro!C:C)</f>
        <v>#N/A</v>
      </c>
      <c r="O358" t="e">
        <f t="shared" si="22"/>
        <v>#N/A</v>
      </c>
      <c r="P358" t="e">
        <f>_xlfn.XLOOKUP(O358,EGPro!A:A,EGPro!D:D)</f>
        <v>#N/A</v>
      </c>
      <c r="Q358" t="e">
        <f>_xlfn.XLOOKUP(O358,EGPro!A:A,EGPro!C:C)</f>
        <v>#N/A</v>
      </c>
    </row>
    <row r="359" spans="1:17" x14ac:dyDescent="0.45">
      <c r="A359" s="3">
        <f>配列!B359</f>
        <v>0</v>
      </c>
      <c r="B359" s="3" t="e">
        <f>_xlfn.XLOOKUP(A359,対応表!A:A,対応表!B:B)</f>
        <v>#N/A</v>
      </c>
      <c r="C359" s="3">
        <f>配列!C359</f>
        <v>0</v>
      </c>
      <c r="D359" s="3" t="str">
        <f>IF(配列!E359="",RIGHT(配列!D359&amp;配列!E359,4)&amp;"L",RIGHT(配列!D359&amp;配列!E359,5))</f>
        <v>L</v>
      </c>
      <c r="E359" s="3">
        <f t="shared" si="20"/>
        <v>0</v>
      </c>
      <c r="F359" s="3" t="e">
        <f>_xlfn.XLOOKUP(E359,セットアップレポート_紐づけ用!A:A,セットアップレポート_紐づけ用!J:J)</f>
        <v>#N/A</v>
      </c>
      <c r="G359" s="3" t="e">
        <f>_xlfn.XLOOKUP(E359,セットアップレポート_紐づけ用!A:A,セットアップレポート_紐づけ用!V:V)</f>
        <v>#N/A</v>
      </c>
      <c r="H359" s="3">
        <f t="shared" si="23"/>
        <v>-2</v>
      </c>
      <c r="I359" t="str">
        <f>IF(J359=0,"",IF(配列!E359="",マクロ実行!$A$16 &amp;" T"&amp;H359&amp;"-"&amp;RIGHT(配列!D359&amp;配列!E359,2),マクロ実行!$A$16 &amp;" T"&amp;H359&amp;"-"&amp;RIGHT(配列!D359&amp;配列!E359,3)))</f>
        <v/>
      </c>
      <c r="J359">
        <f>配列!F359</f>
        <v>0</v>
      </c>
      <c r="K359" s="2" t="e">
        <f>_xlfn.XLOOKUP(E359,セットアップレポート_紐づけ用!A:A,セットアップレポート_紐づけ用!R:R)</f>
        <v>#N/A</v>
      </c>
      <c r="L359" t="e">
        <f t="shared" si="21"/>
        <v>#N/A</v>
      </c>
      <c r="M359" t="e">
        <f>_xlfn.XLOOKUP(L359,EGPro!A:A,EGPro!D:D)</f>
        <v>#N/A</v>
      </c>
      <c r="N359" t="e">
        <f>_xlfn.XLOOKUP(L359,EGPro!A:A,EGPro!C:C)</f>
        <v>#N/A</v>
      </c>
      <c r="O359" t="e">
        <f t="shared" si="22"/>
        <v>#N/A</v>
      </c>
      <c r="P359" t="e">
        <f>_xlfn.XLOOKUP(O359,EGPro!A:A,EGPro!D:D)</f>
        <v>#N/A</v>
      </c>
      <c r="Q359" t="e">
        <f>_xlfn.XLOOKUP(O359,EGPro!A:A,EGPro!C:C)</f>
        <v>#N/A</v>
      </c>
    </row>
    <row r="360" spans="1:17" x14ac:dyDescent="0.45">
      <c r="A360" s="3">
        <f>配列!B360</f>
        <v>0</v>
      </c>
      <c r="B360" s="3" t="e">
        <f>_xlfn.XLOOKUP(A360,対応表!A:A,対応表!B:B)</f>
        <v>#N/A</v>
      </c>
      <c r="C360" s="3">
        <f>配列!C360</f>
        <v>0</v>
      </c>
      <c r="D360" s="3" t="str">
        <f>IF(配列!E360="",RIGHT(配列!D360&amp;配列!E360,4)&amp;"L",RIGHT(配列!D360&amp;配列!E360,5))</f>
        <v>L</v>
      </c>
      <c r="E360" s="3">
        <f t="shared" si="20"/>
        <v>0</v>
      </c>
      <c r="F360" s="3" t="e">
        <f>_xlfn.XLOOKUP(E360,セットアップレポート_紐づけ用!A:A,セットアップレポート_紐づけ用!J:J)</f>
        <v>#N/A</v>
      </c>
      <c r="G360" s="3" t="e">
        <f>_xlfn.XLOOKUP(E360,セットアップレポート_紐づけ用!A:A,セットアップレポート_紐づけ用!V:V)</f>
        <v>#N/A</v>
      </c>
      <c r="H360" s="3">
        <f t="shared" si="23"/>
        <v>-2</v>
      </c>
      <c r="I360" t="str">
        <f>IF(J360=0,"",IF(配列!E360="",マクロ実行!$A$16 &amp;" T"&amp;H360&amp;"-"&amp;RIGHT(配列!D360&amp;配列!E360,2),マクロ実行!$A$16 &amp;" T"&amp;H360&amp;"-"&amp;RIGHT(配列!D360&amp;配列!E360,3)))</f>
        <v/>
      </c>
      <c r="J360">
        <f>配列!F360</f>
        <v>0</v>
      </c>
      <c r="K360" s="2" t="e">
        <f>_xlfn.XLOOKUP(E360,セットアップレポート_紐づけ用!A:A,セットアップレポート_紐づけ用!R:R)</f>
        <v>#N/A</v>
      </c>
      <c r="L360" t="e">
        <f t="shared" si="21"/>
        <v>#N/A</v>
      </c>
      <c r="M360" t="e">
        <f>_xlfn.XLOOKUP(L360,EGPro!A:A,EGPro!D:D)</f>
        <v>#N/A</v>
      </c>
      <c r="N360" t="e">
        <f>_xlfn.XLOOKUP(L360,EGPro!A:A,EGPro!C:C)</f>
        <v>#N/A</v>
      </c>
      <c r="O360" t="e">
        <f t="shared" si="22"/>
        <v>#N/A</v>
      </c>
      <c r="P360" t="e">
        <f>_xlfn.XLOOKUP(O360,EGPro!A:A,EGPro!D:D)</f>
        <v>#N/A</v>
      </c>
      <c r="Q360" t="e">
        <f>_xlfn.XLOOKUP(O360,EGPro!A:A,EGPro!C:C)</f>
        <v>#N/A</v>
      </c>
    </row>
    <row r="361" spans="1:17" x14ac:dyDescent="0.45">
      <c r="A361" s="3">
        <f>配列!B361</f>
        <v>0</v>
      </c>
      <c r="B361" s="3" t="e">
        <f>_xlfn.XLOOKUP(A361,対応表!A:A,対応表!B:B)</f>
        <v>#N/A</v>
      </c>
      <c r="C361" s="3">
        <f>配列!C361</f>
        <v>0</v>
      </c>
      <c r="D361" s="3" t="str">
        <f>IF(配列!E361="",RIGHT(配列!D361&amp;配列!E361,4)&amp;"L",RIGHT(配列!D361&amp;配列!E361,5))</f>
        <v>L</v>
      </c>
      <c r="E361" s="3">
        <f t="shared" si="20"/>
        <v>0</v>
      </c>
      <c r="F361" s="3" t="e">
        <f>_xlfn.XLOOKUP(E361,セットアップレポート_紐づけ用!A:A,セットアップレポート_紐づけ用!J:J)</f>
        <v>#N/A</v>
      </c>
      <c r="G361" s="3" t="e">
        <f>_xlfn.XLOOKUP(E361,セットアップレポート_紐づけ用!A:A,セットアップレポート_紐づけ用!V:V)</f>
        <v>#N/A</v>
      </c>
      <c r="H361" s="3">
        <f t="shared" si="23"/>
        <v>-2</v>
      </c>
      <c r="I361" t="str">
        <f>IF(J361=0,"",IF(配列!E361="",マクロ実行!$A$16 &amp;" T"&amp;H361&amp;"-"&amp;RIGHT(配列!D361&amp;配列!E361,2),マクロ実行!$A$16 &amp;" T"&amp;H361&amp;"-"&amp;RIGHT(配列!D361&amp;配列!E361,3)))</f>
        <v/>
      </c>
      <c r="J361">
        <f>配列!F361</f>
        <v>0</v>
      </c>
      <c r="K361" s="2" t="e">
        <f>_xlfn.XLOOKUP(E361,セットアップレポート_紐づけ用!A:A,セットアップレポート_紐づけ用!R:R)</f>
        <v>#N/A</v>
      </c>
      <c r="L361" t="e">
        <f t="shared" si="21"/>
        <v>#N/A</v>
      </c>
      <c r="M361" t="e">
        <f>_xlfn.XLOOKUP(L361,EGPro!A:A,EGPro!D:D)</f>
        <v>#N/A</v>
      </c>
      <c r="N361" t="e">
        <f>_xlfn.XLOOKUP(L361,EGPro!A:A,EGPro!C:C)</f>
        <v>#N/A</v>
      </c>
      <c r="O361" t="e">
        <f t="shared" si="22"/>
        <v>#N/A</v>
      </c>
      <c r="P361" t="e">
        <f>_xlfn.XLOOKUP(O361,EGPro!A:A,EGPro!D:D)</f>
        <v>#N/A</v>
      </c>
      <c r="Q361" t="e">
        <f>_xlfn.XLOOKUP(O361,EGPro!A:A,EGPro!C:C)</f>
        <v>#N/A</v>
      </c>
    </row>
    <row r="362" spans="1:17" x14ac:dyDescent="0.45">
      <c r="A362" s="3">
        <f>配列!B362</f>
        <v>0</v>
      </c>
      <c r="B362" s="3" t="e">
        <f>_xlfn.XLOOKUP(A362,対応表!A:A,対応表!B:B)</f>
        <v>#N/A</v>
      </c>
      <c r="C362" s="3">
        <f>配列!C362</f>
        <v>0</v>
      </c>
      <c r="D362" s="3" t="str">
        <f>IF(配列!E362="",RIGHT(配列!D362&amp;配列!E362,4)&amp;"L",RIGHT(配列!D362&amp;配列!E362,5))</f>
        <v>L</v>
      </c>
      <c r="E362" s="3">
        <f t="shared" si="20"/>
        <v>0</v>
      </c>
      <c r="F362" s="3" t="e">
        <f>_xlfn.XLOOKUP(E362,セットアップレポート_紐づけ用!A:A,セットアップレポート_紐づけ用!J:J)</f>
        <v>#N/A</v>
      </c>
      <c r="G362" s="3" t="e">
        <f>_xlfn.XLOOKUP(E362,セットアップレポート_紐づけ用!A:A,セットアップレポート_紐づけ用!V:V)</f>
        <v>#N/A</v>
      </c>
      <c r="H362" s="3">
        <f t="shared" si="23"/>
        <v>-2</v>
      </c>
      <c r="I362" t="str">
        <f>IF(J362=0,"",IF(配列!E362="",マクロ実行!$A$16 &amp;" T"&amp;H362&amp;"-"&amp;RIGHT(配列!D362&amp;配列!E362,2),マクロ実行!$A$16 &amp;" T"&amp;H362&amp;"-"&amp;RIGHT(配列!D362&amp;配列!E362,3)))</f>
        <v/>
      </c>
      <c r="J362">
        <f>配列!F362</f>
        <v>0</v>
      </c>
      <c r="K362" s="2" t="e">
        <f>_xlfn.XLOOKUP(E362,セットアップレポート_紐づけ用!A:A,セットアップレポート_紐づけ用!R:R)</f>
        <v>#N/A</v>
      </c>
      <c r="L362" t="e">
        <f t="shared" si="21"/>
        <v>#N/A</v>
      </c>
      <c r="M362" t="e">
        <f>_xlfn.XLOOKUP(L362,EGPro!A:A,EGPro!D:D)</f>
        <v>#N/A</v>
      </c>
      <c r="N362" t="e">
        <f>_xlfn.XLOOKUP(L362,EGPro!A:A,EGPro!C:C)</f>
        <v>#N/A</v>
      </c>
      <c r="O362" t="e">
        <f t="shared" si="22"/>
        <v>#N/A</v>
      </c>
      <c r="P362" t="e">
        <f>_xlfn.XLOOKUP(O362,EGPro!A:A,EGPro!D:D)</f>
        <v>#N/A</v>
      </c>
      <c r="Q362" t="e">
        <f>_xlfn.XLOOKUP(O362,EGPro!A:A,EGPro!C:C)</f>
        <v>#N/A</v>
      </c>
    </row>
    <row r="363" spans="1:17" x14ac:dyDescent="0.45">
      <c r="A363" s="3">
        <f>配列!B363</f>
        <v>0</v>
      </c>
      <c r="B363" s="3" t="e">
        <f>_xlfn.XLOOKUP(A363,対応表!A:A,対応表!B:B)</f>
        <v>#N/A</v>
      </c>
      <c r="C363" s="3">
        <f>配列!C363</f>
        <v>0</v>
      </c>
      <c r="D363" s="3" t="str">
        <f>IF(配列!E363="",RIGHT(配列!D363&amp;配列!E363,4)&amp;"L",RIGHT(配列!D363&amp;配列!E363,5))</f>
        <v>L</v>
      </c>
      <c r="E363" s="3">
        <f t="shared" si="20"/>
        <v>0</v>
      </c>
      <c r="F363" s="3" t="e">
        <f>_xlfn.XLOOKUP(E363,セットアップレポート_紐づけ用!A:A,セットアップレポート_紐づけ用!J:J)</f>
        <v>#N/A</v>
      </c>
      <c r="G363" s="3" t="e">
        <f>_xlfn.XLOOKUP(E363,セットアップレポート_紐づけ用!A:A,セットアップレポート_紐づけ用!V:V)</f>
        <v>#N/A</v>
      </c>
      <c r="H363" s="3">
        <f t="shared" si="23"/>
        <v>-2</v>
      </c>
      <c r="I363" t="str">
        <f>IF(J363=0,"",IF(配列!E363="",マクロ実行!$A$16 &amp;" T"&amp;H363&amp;"-"&amp;RIGHT(配列!D363&amp;配列!E363,2),マクロ実行!$A$16 &amp;" T"&amp;H363&amp;"-"&amp;RIGHT(配列!D363&amp;配列!E363,3)))</f>
        <v/>
      </c>
      <c r="J363">
        <f>配列!F363</f>
        <v>0</v>
      </c>
      <c r="K363" s="2" t="e">
        <f>_xlfn.XLOOKUP(E363,セットアップレポート_紐づけ用!A:A,セットアップレポート_紐づけ用!R:R)</f>
        <v>#N/A</v>
      </c>
      <c r="L363" t="e">
        <f t="shared" si="21"/>
        <v>#N/A</v>
      </c>
      <c r="M363" t="e">
        <f>_xlfn.XLOOKUP(L363,EGPro!A:A,EGPro!D:D)</f>
        <v>#N/A</v>
      </c>
      <c r="N363" t="e">
        <f>_xlfn.XLOOKUP(L363,EGPro!A:A,EGPro!C:C)</f>
        <v>#N/A</v>
      </c>
      <c r="O363" t="e">
        <f t="shared" si="22"/>
        <v>#N/A</v>
      </c>
      <c r="P363" t="e">
        <f>_xlfn.XLOOKUP(O363,EGPro!A:A,EGPro!D:D)</f>
        <v>#N/A</v>
      </c>
      <c r="Q363" t="e">
        <f>_xlfn.XLOOKUP(O363,EGPro!A:A,EGPro!C:C)</f>
        <v>#N/A</v>
      </c>
    </row>
    <row r="364" spans="1:17" x14ac:dyDescent="0.45">
      <c r="A364" s="3">
        <f>配列!B364</f>
        <v>0</v>
      </c>
      <c r="B364" s="3" t="e">
        <f>_xlfn.XLOOKUP(A364,対応表!A:A,対応表!B:B)</f>
        <v>#N/A</v>
      </c>
      <c r="C364" s="3">
        <f>配列!C364</f>
        <v>0</v>
      </c>
      <c r="D364" s="3" t="str">
        <f>IF(配列!E364="",RIGHT(配列!D364&amp;配列!E364,4)&amp;"L",RIGHT(配列!D364&amp;配列!E364,5))</f>
        <v>L</v>
      </c>
      <c r="E364" s="3">
        <f t="shared" si="20"/>
        <v>0</v>
      </c>
      <c r="F364" s="3" t="e">
        <f>_xlfn.XLOOKUP(E364,セットアップレポート_紐づけ用!A:A,セットアップレポート_紐づけ用!J:J)</f>
        <v>#N/A</v>
      </c>
      <c r="G364" s="3" t="e">
        <f>_xlfn.XLOOKUP(E364,セットアップレポート_紐づけ用!A:A,セットアップレポート_紐づけ用!V:V)</f>
        <v>#N/A</v>
      </c>
      <c r="H364" s="3">
        <f t="shared" si="23"/>
        <v>-2</v>
      </c>
      <c r="I364" t="str">
        <f>IF(J364=0,"",IF(配列!E364="",マクロ実行!$A$16 &amp;" T"&amp;H364&amp;"-"&amp;RIGHT(配列!D364&amp;配列!E364,2),マクロ実行!$A$16 &amp;" T"&amp;H364&amp;"-"&amp;RIGHT(配列!D364&amp;配列!E364,3)))</f>
        <v/>
      </c>
      <c r="J364">
        <f>配列!F364</f>
        <v>0</v>
      </c>
      <c r="K364" s="2" t="e">
        <f>_xlfn.XLOOKUP(E364,セットアップレポート_紐づけ用!A:A,セットアップレポート_紐づけ用!R:R)</f>
        <v>#N/A</v>
      </c>
      <c r="L364" t="e">
        <f t="shared" si="21"/>
        <v>#N/A</v>
      </c>
      <c r="M364" t="e">
        <f>_xlfn.XLOOKUP(L364,EGPro!A:A,EGPro!D:D)</f>
        <v>#N/A</v>
      </c>
      <c r="N364" t="e">
        <f>_xlfn.XLOOKUP(L364,EGPro!A:A,EGPro!C:C)</f>
        <v>#N/A</v>
      </c>
      <c r="O364" t="e">
        <f t="shared" si="22"/>
        <v>#N/A</v>
      </c>
      <c r="P364" t="e">
        <f>_xlfn.XLOOKUP(O364,EGPro!A:A,EGPro!D:D)</f>
        <v>#N/A</v>
      </c>
      <c r="Q364" t="e">
        <f>_xlfn.XLOOKUP(O364,EGPro!A:A,EGPro!C:C)</f>
        <v>#N/A</v>
      </c>
    </row>
    <row r="365" spans="1:17" x14ac:dyDescent="0.45">
      <c r="A365" s="3">
        <f>配列!B365</f>
        <v>0</v>
      </c>
      <c r="B365" s="3" t="e">
        <f>_xlfn.XLOOKUP(A365,対応表!A:A,対応表!B:B)</f>
        <v>#N/A</v>
      </c>
      <c r="C365" s="3">
        <f>配列!C365</f>
        <v>0</v>
      </c>
      <c r="D365" s="3" t="str">
        <f>IF(配列!E365="",RIGHT(配列!D365&amp;配列!E365,4)&amp;"L",RIGHT(配列!D365&amp;配列!E365,5))</f>
        <v>L</v>
      </c>
      <c r="E365" s="3">
        <f t="shared" si="20"/>
        <v>0</v>
      </c>
      <c r="F365" s="3" t="e">
        <f>_xlfn.XLOOKUP(E365,セットアップレポート_紐づけ用!A:A,セットアップレポート_紐づけ用!J:J)</f>
        <v>#N/A</v>
      </c>
      <c r="G365" s="3" t="e">
        <f>_xlfn.XLOOKUP(E365,セットアップレポート_紐づけ用!A:A,セットアップレポート_紐づけ用!V:V)</f>
        <v>#N/A</v>
      </c>
      <c r="H365" s="3">
        <f t="shared" si="23"/>
        <v>-2</v>
      </c>
      <c r="I365" t="str">
        <f>IF(J365=0,"",IF(配列!E365="",マクロ実行!$A$16 &amp;" T"&amp;H365&amp;"-"&amp;RIGHT(配列!D365&amp;配列!E365,2),マクロ実行!$A$16 &amp;" T"&amp;H365&amp;"-"&amp;RIGHT(配列!D365&amp;配列!E365,3)))</f>
        <v/>
      </c>
      <c r="J365">
        <f>配列!F365</f>
        <v>0</v>
      </c>
      <c r="K365" s="2" t="e">
        <f>_xlfn.XLOOKUP(E365,セットアップレポート_紐づけ用!A:A,セットアップレポート_紐づけ用!R:R)</f>
        <v>#N/A</v>
      </c>
      <c r="L365" t="e">
        <f t="shared" si="21"/>
        <v>#N/A</v>
      </c>
      <c r="M365" t="e">
        <f>_xlfn.XLOOKUP(L365,EGPro!A:A,EGPro!D:D)</f>
        <v>#N/A</v>
      </c>
      <c r="N365" t="e">
        <f>_xlfn.XLOOKUP(L365,EGPro!A:A,EGPro!C:C)</f>
        <v>#N/A</v>
      </c>
      <c r="O365" t="e">
        <f t="shared" si="22"/>
        <v>#N/A</v>
      </c>
      <c r="P365" t="e">
        <f>_xlfn.XLOOKUP(O365,EGPro!A:A,EGPro!D:D)</f>
        <v>#N/A</v>
      </c>
      <c r="Q365" t="e">
        <f>_xlfn.XLOOKUP(O365,EGPro!A:A,EGPro!C:C)</f>
        <v>#N/A</v>
      </c>
    </row>
    <row r="366" spans="1:17" x14ac:dyDescent="0.45">
      <c r="A366" s="3">
        <f>配列!B366</f>
        <v>0</v>
      </c>
      <c r="B366" s="3" t="e">
        <f>_xlfn.XLOOKUP(A366,対応表!A:A,対応表!B:B)</f>
        <v>#N/A</v>
      </c>
      <c r="C366" s="3">
        <f>配列!C366</f>
        <v>0</v>
      </c>
      <c r="D366" s="3" t="str">
        <f>IF(配列!E366="",RIGHT(配列!D366&amp;配列!E366,4)&amp;"L",RIGHT(配列!D366&amp;配列!E366,5))</f>
        <v>L</v>
      </c>
      <c r="E366" s="3">
        <f t="shared" si="20"/>
        <v>0</v>
      </c>
      <c r="F366" s="3" t="e">
        <f>_xlfn.XLOOKUP(E366,セットアップレポート_紐づけ用!A:A,セットアップレポート_紐づけ用!J:J)</f>
        <v>#N/A</v>
      </c>
      <c r="G366" s="3" t="e">
        <f>_xlfn.XLOOKUP(E366,セットアップレポート_紐づけ用!A:A,セットアップレポート_紐づけ用!V:V)</f>
        <v>#N/A</v>
      </c>
      <c r="H366" s="3">
        <f t="shared" si="23"/>
        <v>-2</v>
      </c>
      <c r="I366" t="str">
        <f>IF(J366=0,"",IF(配列!E366="",マクロ実行!$A$16 &amp;" T"&amp;H366&amp;"-"&amp;RIGHT(配列!D366&amp;配列!E366,2),マクロ実行!$A$16 &amp;" T"&amp;H366&amp;"-"&amp;RIGHT(配列!D366&amp;配列!E366,3)))</f>
        <v/>
      </c>
      <c r="J366">
        <f>配列!F366</f>
        <v>0</v>
      </c>
      <c r="K366" s="2" t="e">
        <f>_xlfn.XLOOKUP(E366,セットアップレポート_紐づけ用!A:A,セットアップレポート_紐づけ用!R:R)</f>
        <v>#N/A</v>
      </c>
      <c r="L366" t="e">
        <f t="shared" si="21"/>
        <v>#N/A</v>
      </c>
      <c r="M366" t="e">
        <f>_xlfn.XLOOKUP(L366,EGPro!A:A,EGPro!D:D)</f>
        <v>#N/A</v>
      </c>
      <c r="N366" t="e">
        <f>_xlfn.XLOOKUP(L366,EGPro!A:A,EGPro!C:C)</f>
        <v>#N/A</v>
      </c>
      <c r="O366" t="e">
        <f t="shared" si="22"/>
        <v>#N/A</v>
      </c>
      <c r="P366" t="e">
        <f>_xlfn.XLOOKUP(O366,EGPro!A:A,EGPro!D:D)</f>
        <v>#N/A</v>
      </c>
      <c r="Q366" t="e">
        <f>_xlfn.XLOOKUP(O366,EGPro!A:A,EGPro!C:C)</f>
        <v>#N/A</v>
      </c>
    </row>
    <row r="367" spans="1:17" x14ac:dyDescent="0.45">
      <c r="A367" s="3">
        <f>配列!B367</f>
        <v>0</v>
      </c>
      <c r="B367" s="3" t="e">
        <f>_xlfn.XLOOKUP(A367,対応表!A:A,対応表!B:B)</f>
        <v>#N/A</v>
      </c>
      <c r="C367" s="3">
        <f>配列!C367</f>
        <v>0</v>
      </c>
      <c r="D367" s="3" t="str">
        <f>IF(配列!E367="",RIGHT(配列!D367&amp;配列!E367,4)&amp;"L",RIGHT(配列!D367&amp;配列!E367,5))</f>
        <v>L</v>
      </c>
      <c r="E367" s="3">
        <f t="shared" si="20"/>
        <v>0</v>
      </c>
      <c r="F367" s="3" t="e">
        <f>_xlfn.XLOOKUP(E367,セットアップレポート_紐づけ用!A:A,セットアップレポート_紐づけ用!J:J)</f>
        <v>#N/A</v>
      </c>
      <c r="G367" s="3" t="e">
        <f>_xlfn.XLOOKUP(E367,セットアップレポート_紐づけ用!A:A,セットアップレポート_紐づけ用!V:V)</f>
        <v>#N/A</v>
      </c>
      <c r="H367" s="3">
        <f t="shared" si="23"/>
        <v>-2</v>
      </c>
      <c r="I367" t="str">
        <f>IF(J367=0,"",IF(配列!E367="",マクロ実行!$A$16 &amp;" T"&amp;H367&amp;"-"&amp;RIGHT(配列!D367&amp;配列!E367,2),マクロ実行!$A$16 &amp;" T"&amp;H367&amp;"-"&amp;RIGHT(配列!D367&amp;配列!E367,3)))</f>
        <v/>
      </c>
      <c r="J367">
        <f>配列!F367</f>
        <v>0</v>
      </c>
      <c r="K367" s="2" t="e">
        <f>_xlfn.XLOOKUP(E367,セットアップレポート_紐づけ用!A:A,セットアップレポート_紐づけ用!R:R)</f>
        <v>#N/A</v>
      </c>
      <c r="L367" t="e">
        <f t="shared" si="21"/>
        <v>#N/A</v>
      </c>
      <c r="M367" t="e">
        <f>_xlfn.XLOOKUP(L367,EGPro!A:A,EGPro!D:D)</f>
        <v>#N/A</v>
      </c>
      <c r="N367" t="e">
        <f>_xlfn.XLOOKUP(L367,EGPro!A:A,EGPro!C:C)</f>
        <v>#N/A</v>
      </c>
      <c r="O367" t="e">
        <f t="shared" si="22"/>
        <v>#N/A</v>
      </c>
      <c r="P367" t="e">
        <f>_xlfn.XLOOKUP(O367,EGPro!A:A,EGPro!D:D)</f>
        <v>#N/A</v>
      </c>
      <c r="Q367" t="e">
        <f>_xlfn.XLOOKUP(O367,EGPro!A:A,EGPro!C:C)</f>
        <v>#N/A</v>
      </c>
    </row>
    <row r="368" spans="1:17" x14ac:dyDescent="0.45">
      <c r="A368" s="3">
        <f>配列!B368</f>
        <v>0</v>
      </c>
      <c r="B368" s="3" t="e">
        <f>_xlfn.XLOOKUP(A368,対応表!A:A,対応表!B:B)</f>
        <v>#N/A</v>
      </c>
      <c r="C368" s="3">
        <f>配列!C368</f>
        <v>0</v>
      </c>
      <c r="D368" s="3" t="str">
        <f>IF(配列!E368="",RIGHT(配列!D368&amp;配列!E368,4)&amp;"L",RIGHT(配列!D368&amp;配列!E368,5))</f>
        <v>L</v>
      </c>
      <c r="E368" s="3">
        <f t="shared" si="20"/>
        <v>0</v>
      </c>
      <c r="F368" s="3" t="e">
        <f>_xlfn.XLOOKUP(E368,セットアップレポート_紐づけ用!A:A,セットアップレポート_紐づけ用!J:J)</f>
        <v>#N/A</v>
      </c>
      <c r="G368" s="3" t="e">
        <f>_xlfn.XLOOKUP(E368,セットアップレポート_紐づけ用!A:A,セットアップレポート_紐づけ用!V:V)</f>
        <v>#N/A</v>
      </c>
      <c r="H368" s="3">
        <f t="shared" si="23"/>
        <v>-2</v>
      </c>
      <c r="I368" t="str">
        <f>IF(J368=0,"",IF(配列!E368="",マクロ実行!$A$16 &amp;" T"&amp;H368&amp;"-"&amp;RIGHT(配列!D368&amp;配列!E368,2),マクロ実行!$A$16 &amp;" T"&amp;H368&amp;"-"&amp;RIGHT(配列!D368&amp;配列!E368,3)))</f>
        <v/>
      </c>
      <c r="J368">
        <f>配列!F368</f>
        <v>0</v>
      </c>
      <c r="K368" s="2" t="e">
        <f>_xlfn.XLOOKUP(E368,セットアップレポート_紐づけ用!A:A,セットアップレポート_紐づけ用!R:R)</f>
        <v>#N/A</v>
      </c>
      <c r="L368" t="e">
        <f t="shared" si="21"/>
        <v>#N/A</v>
      </c>
      <c r="M368" t="e">
        <f>_xlfn.XLOOKUP(L368,EGPro!A:A,EGPro!D:D)</f>
        <v>#N/A</v>
      </c>
      <c r="N368" t="e">
        <f>_xlfn.XLOOKUP(L368,EGPro!A:A,EGPro!C:C)</f>
        <v>#N/A</v>
      </c>
      <c r="O368" t="e">
        <f t="shared" si="22"/>
        <v>#N/A</v>
      </c>
      <c r="P368" t="e">
        <f>_xlfn.XLOOKUP(O368,EGPro!A:A,EGPro!D:D)</f>
        <v>#N/A</v>
      </c>
      <c r="Q368" t="e">
        <f>_xlfn.XLOOKUP(O368,EGPro!A:A,EGPro!C:C)</f>
        <v>#N/A</v>
      </c>
    </row>
    <row r="369" spans="1:17" x14ac:dyDescent="0.45">
      <c r="A369" s="3">
        <f>配列!B369</f>
        <v>0</v>
      </c>
      <c r="B369" s="3" t="e">
        <f>_xlfn.XLOOKUP(A369,対応表!A:A,対応表!B:B)</f>
        <v>#N/A</v>
      </c>
      <c r="C369" s="3">
        <f>配列!C369</f>
        <v>0</v>
      </c>
      <c r="D369" s="3" t="str">
        <f>IF(配列!E369="",RIGHT(配列!D369&amp;配列!E369,4)&amp;"L",RIGHT(配列!D369&amp;配列!E369,5))</f>
        <v>L</v>
      </c>
      <c r="E369" s="3">
        <f t="shared" si="20"/>
        <v>0</v>
      </c>
      <c r="F369" s="3" t="e">
        <f>_xlfn.XLOOKUP(E369,セットアップレポート_紐づけ用!A:A,セットアップレポート_紐づけ用!J:J)</f>
        <v>#N/A</v>
      </c>
      <c r="G369" s="3" t="e">
        <f>_xlfn.XLOOKUP(E369,セットアップレポート_紐づけ用!A:A,セットアップレポート_紐づけ用!V:V)</f>
        <v>#N/A</v>
      </c>
      <c r="H369" s="3">
        <f t="shared" si="23"/>
        <v>-2</v>
      </c>
      <c r="I369" t="str">
        <f>IF(J369=0,"",IF(配列!E369="",マクロ実行!$A$16 &amp;" T"&amp;H369&amp;"-"&amp;RIGHT(配列!D369&amp;配列!E369,2),マクロ実行!$A$16 &amp;" T"&amp;H369&amp;"-"&amp;RIGHT(配列!D369&amp;配列!E369,3)))</f>
        <v/>
      </c>
      <c r="J369">
        <f>配列!F369</f>
        <v>0</v>
      </c>
      <c r="K369" s="2" t="e">
        <f>_xlfn.XLOOKUP(E369,セットアップレポート_紐づけ用!A:A,セットアップレポート_紐づけ用!R:R)</f>
        <v>#N/A</v>
      </c>
      <c r="L369" t="e">
        <f t="shared" si="21"/>
        <v>#N/A</v>
      </c>
      <c r="M369" t="e">
        <f>_xlfn.XLOOKUP(L369,EGPro!A:A,EGPro!D:D)</f>
        <v>#N/A</v>
      </c>
      <c r="N369" t="e">
        <f>_xlfn.XLOOKUP(L369,EGPro!A:A,EGPro!C:C)</f>
        <v>#N/A</v>
      </c>
      <c r="O369" t="e">
        <f t="shared" si="22"/>
        <v>#N/A</v>
      </c>
      <c r="P369" t="e">
        <f>_xlfn.XLOOKUP(O369,EGPro!A:A,EGPro!D:D)</f>
        <v>#N/A</v>
      </c>
      <c r="Q369" t="e">
        <f>_xlfn.XLOOKUP(O369,EGPro!A:A,EGPro!C:C)</f>
        <v>#N/A</v>
      </c>
    </row>
    <row r="370" spans="1:17" x14ac:dyDescent="0.45">
      <c r="A370" s="3">
        <f>配列!B370</f>
        <v>0</v>
      </c>
      <c r="B370" s="3" t="e">
        <f>_xlfn.XLOOKUP(A370,対応表!A:A,対応表!B:B)</f>
        <v>#N/A</v>
      </c>
      <c r="C370" s="3">
        <f>配列!C370</f>
        <v>0</v>
      </c>
      <c r="D370" s="3" t="str">
        <f>IF(配列!E370="",RIGHT(配列!D370&amp;配列!E370,4)&amp;"L",RIGHT(配列!D370&amp;配列!E370,5))</f>
        <v>L</v>
      </c>
      <c r="E370" s="3">
        <f t="shared" si="20"/>
        <v>0</v>
      </c>
      <c r="F370" s="3" t="e">
        <f>_xlfn.XLOOKUP(E370,セットアップレポート_紐づけ用!A:A,セットアップレポート_紐づけ用!J:J)</f>
        <v>#N/A</v>
      </c>
      <c r="G370" s="3" t="e">
        <f>_xlfn.XLOOKUP(E370,セットアップレポート_紐づけ用!A:A,セットアップレポート_紐づけ用!V:V)</f>
        <v>#N/A</v>
      </c>
      <c r="H370" s="3">
        <f t="shared" si="23"/>
        <v>-2</v>
      </c>
      <c r="I370" t="str">
        <f>IF(J370=0,"",IF(配列!E370="",マクロ実行!$A$16 &amp;" T"&amp;H370&amp;"-"&amp;RIGHT(配列!D370&amp;配列!E370,2),マクロ実行!$A$16 &amp;" T"&amp;H370&amp;"-"&amp;RIGHT(配列!D370&amp;配列!E370,3)))</f>
        <v/>
      </c>
      <c r="J370">
        <f>配列!F370</f>
        <v>0</v>
      </c>
      <c r="K370" s="2" t="e">
        <f>_xlfn.XLOOKUP(E370,セットアップレポート_紐づけ用!A:A,セットアップレポート_紐づけ用!R:R)</f>
        <v>#N/A</v>
      </c>
      <c r="L370" t="e">
        <f t="shared" si="21"/>
        <v>#N/A</v>
      </c>
      <c r="M370" t="e">
        <f>_xlfn.XLOOKUP(L370,EGPro!A:A,EGPro!D:D)</f>
        <v>#N/A</v>
      </c>
      <c r="N370" t="e">
        <f>_xlfn.XLOOKUP(L370,EGPro!A:A,EGPro!C:C)</f>
        <v>#N/A</v>
      </c>
      <c r="O370" t="e">
        <f t="shared" si="22"/>
        <v>#N/A</v>
      </c>
      <c r="P370" t="e">
        <f>_xlfn.XLOOKUP(O370,EGPro!A:A,EGPro!D:D)</f>
        <v>#N/A</v>
      </c>
      <c r="Q370" t="e">
        <f>_xlfn.XLOOKUP(O370,EGPro!A:A,EGPro!C:C)</f>
        <v>#N/A</v>
      </c>
    </row>
    <row r="371" spans="1:17" x14ac:dyDescent="0.45">
      <c r="A371" s="3">
        <f>配列!B371</f>
        <v>0</v>
      </c>
      <c r="B371" s="3" t="e">
        <f>_xlfn.XLOOKUP(A371,対応表!A:A,対応表!B:B)</f>
        <v>#N/A</v>
      </c>
      <c r="C371" s="3">
        <f>配列!C371</f>
        <v>0</v>
      </c>
      <c r="D371" s="3" t="str">
        <f>IF(配列!E371="",RIGHT(配列!D371&amp;配列!E371,4)&amp;"L",RIGHT(配列!D371&amp;配列!E371,5))</f>
        <v>L</v>
      </c>
      <c r="E371" s="3">
        <f t="shared" si="20"/>
        <v>0</v>
      </c>
      <c r="F371" s="3" t="e">
        <f>_xlfn.XLOOKUP(E371,セットアップレポート_紐づけ用!A:A,セットアップレポート_紐づけ用!J:J)</f>
        <v>#N/A</v>
      </c>
      <c r="G371" s="3" t="e">
        <f>_xlfn.XLOOKUP(E371,セットアップレポート_紐づけ用!A:A,セットアップレポート_紐づけ用!V:V)</f>
        <v>#N/A</v>
      </c>
      <c r="H371" s="3">
        <f t="shared" si="23"/>
        <v>-2</v>
      </c>
      <c r="I371" t="str">
        <f>IF(J371=0,"",IF(配列!E371="",マクロ実行!$A$16 &amp;" T"&amp;H371&amp;"-"&amp;RIGHT(配列!D371&amp;配列!E371,2),マクロ実行!$A$16 &amp;" T"&amp;H371&amp;"-"&amp;RIGHT(配列!D371&amp;配列!E371,3)))</f>
        <v/>
      </c>
      <c r="J371">
        <f>配列!F371</f>
        <v>0</v>
      </c>
      <c r="K371" s="2" t="e">
        <f>_xlfn.XLOOKUP(E371,セットアップレポート_紐づけ用!A:A,セットアップレポート_紐づけ用!R:R)</f>
        <v>#N/A</v>
      </c>
      <c r="L371" t="e">
        <f t="shared" si="21"/>
        <v>#N/A</v>
      </c>
      <c r="M371" t="e">
        <f>_xlfn.XLOOKUP(L371,EGPro!A:A,EGPro!D:D)</f>
        <v>#N/A</v>
      </c>
      <c r="N371" t="e">
        <f>_xlfn.XLOOKUP(L371,EGPro!A:A,EGPro!C:C)</f>
        <v>#N/A</v>
      </c>
      <c r="O371" t="e">
        <f t="shared" si="22"/>
        <v>#N/A</v>
      </c>
      <c r="P371" t="e">
        <f>_xlfn.XLOOKUP(O371,EGPro!A:A,EGPro!D:D)</f>
        <v>#N/A</v>
      </c>
      <c r="Q371" t="e">
        <f>_xlfn.XLOOKUP(O371,EGPro!A:A,EGPro!C:C)</f>
        <v>#N/A</v>
      </c>
    </row>
    <row r="372" spans="1:17" x14ac:dyDescent="0.45">
      <c r="A372" s="3">
        <f>配列!B372</f>
        <v>0</v>
      </c>
      <c r="B372" s="3" t="e">
        <f>_xlfn.XLOOKUP(A372,対応表!A:A,対応表!B:B)</f>
        <v>#N/A</v>
      </c>
      <c r="C372" s="3">
        <f>配列!C372</f>
        <v>0</v>
      </c>
      <c r="D372" s="3" t="str">
        <f>IF(配列!E372="",RIGHT(配列!D372&amp;配列!E372,4)&amp;"L",RIGHT(配列!D372&amp;配列!E372,5))</f>
        <v>L</v>
      </c>
      <c r="E372" s="3">
        <f t="shared" si="20"/>
        <v>0</v>
      </c>
      <c r="F372" s="3" t="e">
        <f>_xlfn.XLOOKUP(E372,セットアップレポート_紐づけ用!A:A,セットアップレポート_紐づけ用!J:J)</f>
        <v>#N/A</v>
      </c>
      <c r="G372" s="3" t="e">
        <f>_xlfn.XLOOKUP(E372,セットアップレポート_紐づけ用!A:A,セットアップレポート_紐づけ用!V:V)</f>
        <v>#N/A</v>
      </c>
      <c r="H372" s="3">
        <f t="shared" si="23"/>
        <v>-2</v>
      </c>
      <c r="I372" t="str">
        <f>IF(J372=0,"",IF(配列!E372="",マクロ実行!$A$16 &amp;" T"&amp;H372&amp;"-"&amp;RIGHT(配列!D372&amp;配列!E372,2),マクロ実行!$A$16 &amp;" T"&amp;H372&amp;"-"&amp;RIGHT(配列!D372&amp;配列!E372,3)))</f>
        <v/>
      </c>
      <c r="J372">
        <f>配列!F372</f>
        <v>0</v>
      </c>
      <c r="K372" s="2" t="e">
        <f>_xlfn.XLOOKUP(E372,セットアップレポート_紐づけ用!A:A,セットアップレポート_紐づけ用!R:R)</f>
        <v>#N/A</v>
      </c>
      <c r="L372" t="e">
        <f t="shared" si="21"/>
        <v>#N/A</v>
      </c>
      <c r="M372" t="e">
        <f>_xlfn.XLOOKUP(L372,EGPro!A:A,EGPro!D:D)</f>
        <v>#N/A</v>
      </c>
      <c r="N372" t="e">
        <f>_xlfn.XLOOKUP(L372,EGPro!A:A,EGPro!C:C)</f>
        <v>#N/A</v>
      </c>
      <c r="O372" t="e">
        <f t="shared" si="22"/>
        <v>#N/A</v>
      </c>
      <c r="P372" t="e">
        <f>_xlfn.XLOOKUP(O372,EGPro!A:A,EGPro!D:D)</f>
        <v>#N/A</v>
      </c>
      <c r="Q372" t="e">
        <f>_xlfn.XLOOKUP(O372,EGPro!A:A,EGPro!C:C)</f>
        <v>#N/A</v>
      </c>
    </row>
    <row r="373" spans="1:17" x14ac:dyDescent="0.45">
      <c r="A373" s="3">
        <f>配列!B373</f>
        <v>0</v>
      </c>
      <c r="B373" s="3" t="e">
        <f>_xlfn.XLOOKUP(A373,対応表!A:A,対応表!B:B)</f>
        <v>#N/A</v>
      </c>
      <c r="C373" s="3">
        <f>配列!C373</f>
        <v>0</v>
      </c>
      <c r="D373" s="3" t="str">
        <f>IF(配列!E373="",RIGHT(配列!D373&amp;配列!E373,4)&amp;"L",RIGHT(配列!D373&amp;配列!E373,5))</f>
        <v>L</v>
      </c>
      <c r="E373" s="3">
        <f t="shared" si="20"/>
        <v>0</v>
      </c>
      <c r="F373" s="3" t="e">
        <f>_xlfn.XLOOKUP(E373,セットアップレポート_紐づけ用!A:A,セットアップレポート_紐づけ用!J:J)</f>
        <v>#N/A</v>
      </c>
      <c r="G373" s="3" t="e">
        <f>_xlfn.XLOOKUP(E373,セットアップレポート_紐づけ用!A:A,セットアップレポート_紐づけ用!V:V)</f>
        <v>#N/A</v>
      </c>
      <c r="H373" s="3">
        <f t="shared" si="23"/>
        <v>-2</v>
      </c>
      <c r="I373" t="str">
        <f>IF(J373=0,"",IF(配列!E373="",マクロ実行!$A$16 &amp;" T"&amp;H373&amp;"-"&amp;RIGHT(配列!D373&amp;配列!E373,2),マクロ実行!$A$16 &amp;" T"&amp;H373&amp;"-"&amp;RIGHT(配列!D373&amp;配列!E373,3)))</f>
        <v/>
      </c>
      <c r="J373">
        <f>配列!F373</f>
        <v>0</v>
      </c>
      <c r="K373" s="2" t="e">
        <f>_xlfn.XLOOKUP(E373,セットアップレポート_紐づけ用!A:A,セットアップレポート_紐づけ用!R:R)</f>
        <v>#N/A</v>
      </c>
      <c r="L373" t="e">
        <f t="shared" si="21"/>
        <v>#N/A</v>
      </c>
      <c r="M373" t="e">
        <f>_xlfn.XLOOKUP(L373,EGPro!A:A,EGPro!D:D)</f>
        <v>#N/A</v>
      </c>
      <c r="N373" t="e">
        <f>_xlfn.XLOOKUP(L373,EGPro!A:A,EGPro!C:C)</f>
        <v>#N/A</v>
      </c>
      <c r="O373" t="e">
        <f t="shared" si="22"/>
        <v>#N/A</v>
      </c>
      <c r="P373" t="e">
        <f>_xlfn.XLOOKUP(O373,EGPro!A:A,EGPro!D:D)</f>
        <v>#N/A</v>
      </c>
      <c r="Q373" t="e">
        <f>_xlfn.XLOOKUP(O373,EGPro!A:A,EGPro!C:C)</f>
        <v>#N/A</v>
      </c>
    </row>
    <row r="374" spans="1:17" x14ac:dyDescent="0.45">
      <c r="A374" s="3">
        <f>配列!B374</f>
        <v>0</v>
      </c>
      <c r="B374" s="3" t="e">
        <f>_xlfn.XLOOKUP(A374,対応表!A:A,対応表!B:B)</f>
        <v>#N/A</v>
      </c>
      <c r="C374" s="3">
        <f>配列!C374</f>
        <v>0</v>
      </c>
      <c r="D374" s="3" t="str">
        <f>IF(配列!E374="",RIGHT(配列!D374&amp;配列!E374,4)&amp;"L",RIGHT(配列!D374&amp;配列!E374,5))</f>
        <v>L</v>
      </c>
      <c r="E374" s="3">
        <f t="shared" si="20"/>
        <v>0</v>
      </c>
      <c r="F374" s="3" t="e">
        <f>_xlfn.XLOOKUP(E374,セットアップレポート_紐づけ用!A:A,セットアップレポート_紐づけ用!J:J)</f>
        <v>#N/A</v>
      </c>
      <c r="G374" s="3" t="e">
        <f>_xlfn.XLOOKUP(E374,セットアップレポート_紐づけ用!A:A,セットアップレポート_紐づけ用!V:V)</f>
        <v>#N/A</v>
      </c>
      <c r="H374" s="3">
        <f t="shared" si="23"/>
        <v>-2</v>
      </c>
      <c r="I374" t="str">
        <f>IF(J374=0,"",IF(配列!E374="",マクロ実行!$A$16 &amp;" T"&amp;H374&amp;"-"&amp;RIGHT(配列!D374&amp;配列!E374,2),マクロ実行!$A$16 &amp;" T"&amp;H374&amp;"-"&amp;RIGHT(配列!D374&amp;配列!E374,3)))</f>
        <v/>
      </c>
      <c r="J374">
        <f>配列!F374</f>
        <v>0</v>
      </c>
      <c r="K374" s="2" t="e">
        <f>_xlfn.XLOOKUP(E374,セットアップレポート_紐づけ用!A:A,セットアップレポート_紐づけ用!R:R)</f>
        <v>#N/A</v>
      </c>
      <c r="L374" t="e">
        <f t="shared" si="21"/>
        <v>#N/A</v>
      </c>
      <c r="M374" t="e">
        <f>_xlfn.XLOOKUP(L374,EGPro!A:A,EGPro!D:D)</f>
        <v>#N/A</v>
      </c>
      <c r="N374" t="e">
        <f>_xlfn.XLOOKUP(L374,EGPro!A:A,EGPro!C:C)</f>
        <v>#N/A</v>
      </c>
      <c r="O374" t="e">
        <f t="shared" si="22"/>
        <v>#N/A</v>
      </c>
      <c r="P374" t="e">
        <f>_xlfn.XLOOKUP(O374,EGPro!A:A,EGPro!D:D)</f>
        <v>#N/A</v>
      </c>
      <c r="Q374" t="e">
        <f>_xlfn.XLOOKUP(O374,EGPro!A:A,EGPro!C:C)</f>
        <v>#N/A</v>
      </c>
    </row>
    <row r="375" spans="1:17" x14ac:dyDescent="0.45">
      <c r="A375" s="3">
        <f>配列!B375</f>
        <v>0</v>
      </c>
      <c r="B375" s="3" t="e">
        <f>_xlfn.XLOOKUP(A375,対応表!A:A,対応表!B:B)</f>
        <v>#N/A</v>
      </c>
      <c r="C375" s="3">
        <f>配列!C375</f>
        <v>0</v>
      </c>
      <c r="D375" s="3" t="str">
        <f>IF(配列!E375="",RIGHT(配列!D375&amp;配列!E375,4)&amp;"L",RIGHT(配列!D375&amp;配列!E375,5))</f>
        <v>L</v>
      </c>
      <c r="E375" s="3">
        <f t="shared" si="20"/>
        <v>0</v>
      </c>
      <c r="F375" s="3" t="e">
        <f>_xlfn.XLOOKUP(E375,セットアップレポート_紐づけ用!A:A,セットアップレポート_紐づけ用!J:J)</f>
        <v>#N/A</v>
      </c>
      <c r="G375" s="3" t="e">
        <f>_xlfn.XLOOKUP(E375,セットアップレポート_紐づけ用!A:A,セットアップレポート_紐づけ用!V:V)</f>
        <v>#N/A</v>
      </c>
      <c r="H375" s="3">
        <f t="shared" si="23"/>
        <v>-2</v>
      </c>
      <c r="I375" t="str">
        <f>IF(J375=0,"",IF(配列!E375="",マクロ実行!$A$16 &amp;" T"&amp;H375&amp;"-"&amp;RIGHT(配列!D375&amp;配列!E375,2),マクロ実行!$A$16 &amp;" T"&amp;H375&amp;"-"&amp;RIGHT(配列!D375&amp;配列!E375,3)))</f>
        <v/>
      </c>
      <c r="J375">
        <f>配列!F375</f>
        <v>0</v>
      </c>
      <c r="K375" s="2" t="e">
        <f>_xlfn.XLOOKUP(E375,セットアップレポート_紐づけ用!A:A,セットアップレポート_紐づけ用!R:R)</f>
        <v>#N/A</v>
      </c>
      <c r="L375" t="e">
        <f t="shared" si="21"/>
        <v>#N/A</v>
      </c>
      <c r="M375" t="e">
        <f>_xlfn.XLOOKUP(L375,EGPro!A:A,EGPro!D:D)</f>
        <v>#N/A</v>
      </c>
      <c r="N375" t="e">
        <f>_xlfn.XLOOKUP(L375,EGPro!A:A,EGPro!C:C)</f>
        <v>#N/A</v>
      </c>
      <c r="O375" t="e">
        <f t="shared" si="22"/>
        <v>#N/A</v>
      </c>
      <c r="P375" t="e">
        <f>_xlfn.XLOOKUP(O375,EGPro!A:A,EGPro!D:D)</f>
        <v>#N/A</v>
      </c>
      <c r="Q375" t="e">
        <f>_xlfn.XLOOKUP(O375,EGPro!A:A,EGPro!C:C)</f>
        <v>#N/A</v>
      </c>
    </row>
    <row r="376" spans="1:17" x14ac:dyDescent="0.45">
      <c r="A376" s="3">
        <f>配列!B376</f>
        <v>0</v>
      </c>
      <c r="B376" s="3" t="e">
        <f>_xlfn.XLOOKUP(A376,対応表!A:A,対応表!B:B)</f>
        <v>#N/A</v>
      </c>
      <c r="C376" s="3">
        <f>配列!C376</f>
        <v>0</v>
      </c>
      <c r="D376" s="3" t="str">
        <f>IF(配列!E376="",RIGHT(配列!D376&amp;配列!E376,4)&amp;"L",RIGHT(配列!D376&amp;配列!E376,5))</f>
        <v>L</v>
      </c>
      <c r="E376" s="3">
        <f t="shared" si="20"/>
        <v>0</v>
      </c>
      <c r="F376" s="3" t="e">
        <f>_xlfn.XLOOKUP(E376,セットアップレポート_紐づけ用!A:A,セットアップレポート_紐づけ用!J:J)</f>
        <v>#N/A</v>
      </c>
      <c r="G376" s="3" t="e">
        <f>_xlfn.XLOOKUP(E376,セットアップレポート_紐づけ用!A:A,セットアップレポート_紐づけ用!V:V)</f>
        <v>#N/A</v>
      </c>
      <c r="H376" s="3">
        <f t="shared" si="23"/>
        <v>-2</v>
      </c>
      <c r="I376" t="str">
        <f>IF(J376=0,"",IF(配列!E376="",マクロ実行!$A$16 &amp;" T"&amp;H376&amp;"-"&amp;RIGHT(配列!D376&amp;配列!E376,2),マクロ実行!$A$16 &amp;" T"&amp;H376&amp;"-"&amp;RIGHT(配列!D376&amp;配列!E376,3)))</f>
        <v/>
      </c>
      <c r="J376">
        <f>配列!F376</f>
        <v>0</v>
      </c>
      <c r="K376" s="2" t="e">
        <f>_xlfn.XLOOKUP(E376,セットアップレポート_紐づけ用!A:A,セットアップレポート_紐づけ用!R:R)</f>
        <v>#N/A</v>
      </c>
      <c r="L376" t="e">
        <f t="shared" si="21"/>
        <v>#N/A</v>
      </c>
      <c r="M376" t="e">
        <f>_xlfn.XLOOKUP(L376,EGPro!A:A,EGPro!D:D)</f>
        <v>#N/A</v>
      </c>
      <c r="N376" t="e">
        <f>_xlfn.XLOOKUP(L376,EGPro!A:A,EGPro!C:C)</f>
        <v>#N/A</v>
      </c>
      <c r="O376" t="e">
        <f t="shared" si="22"/>
        <v>#N/A</v>
      </c>
      <c r="P376" t="e">
        <f>_xlfn.XLOOKUP(O376,EGPro!A:A,EGPro!D:D)</f>
        <v>#N/A</v>
      </c>
      <c r="Q376" t="e">
        <f>_xlfn.XLOOKUP(O376,EGPro!A:A,EGPro!C:C)</f>
        <v>#N/A</v>
      </c>
    </row>
    <row r="377" spans="1:17" x14ac:dyDescent="0.45">
      <c r="A377" s="3">
        <f>配列!B377</f>
        <v>0</v>
      </c>
      <c r="B377" s="3" t="e">
        <f>_xlfn.XLOOKUP(A377,対応表!A:A,対応表!B:B)</f>
        <v>#N/A</v>
      </c>
      <c r="C377" s="3">
        <f>配列!C377</f>
        <v>0</v>
      </c>
      <c r="D377" s="3" t="str">
        <f>IF(配列!E377="",RIGHT(配列!D377&amp;配列!E377,4)&amp;"L",RIGHT(配列!D377&amp;配列!E377,5))</f>
        <v>L</v>
      </c>
      <c r="E377" s="3">
        <f t="shared" si="20"/>
        <v>0</v>
      </c>
      <c r="F377" s="3" t="e">
        <f>_xlfn.XLOOKUP(E377,セットアップレポート_紐づけ用!A:A,セットアップレポート_紐づけ用!J:J)</f>
        <v>#N/A</v>
      </c>
      <c r="G377" s="3" t="e">
        <f>_xlfn.XLOOKUP(E377,セットアップレポート_紐づけ用!A:A,セットアップレポート_紐づけ用!V:V)</f>
        <v>#N/A</v>
      </c>
      <c r="H377" s="3">
        <f t="shared" si="23"/>
        <v>-2</v>
      </c>
      <c r="I377" t="str">
        <f>IF(J377=0,"",IF(配列!E377="",マクロ実行!$A$16 &amp;" T"&amp;H377&amp;"-"&amp;RIGHT(配列!D377&amp;配列!E377,2),マクロ実行!$A$16 &amp;" T"&amp;H377&amp;"-"&amp;RIGHT(配列!D377&amp;配列!E377,3)))</f>
        <v/>
      </c>
      <c r="J377">
        <f>配列!F377</f>
        <v>0</v>
      </c>
      <c r="K377" s="2" t="e">
        <f>_xlfn.XLOOKUP(E377,セットアップレポート_紐づけ用!A:A,セットアップレポート_紐づけ用!R:R)</f>
        <v>#N/A</v>
      </c>
      <c r="L377" t="e">
        <f t="shared" si="21"/>
        <v>#N/A</v>
      </c>
      <c r="M377" t="e">
        <f>_xlfn.XLOOKUP(L377,EGPro!A:A,EGPro!D:D)</f>
        <v>#N/A</v>
      </c>
      <c r="N377" t="e">
        <f>_xlfn.XLOOKUP(L377,EGPro!A:A,EGPro!C:C)</f>
        <v>#N/A</v>
      </c>
      <c r="O377" t="e">
        <f t="shared" si="22"/>
        <v>#N/A</v>
      </c>
      <c r="P377" t="e">
        <f>_xlfn.XLOOKUP(O377,EGPro!A:A,EGPro!D:D)</f>
        <v>#N/A</v>
      </c>
      <c r="Q377" t="e">
        <f>_xlfn.XLOOKUP(O377,EGPro!A:A,EGPro!C:C)</f>
        <v>#N/A</v>
      </c>
    </row>
    <row r="378" spans="1:17" x14ac:dyDescent="0.45">
      <c r="A378" s="3">
        <f>配列!B378</f>
        <v>0</v>
      </c>
      <c r="B378" s="3" t="e">
        <f>_xlfn.XLOOKUP(A378,対応表!A:A,対応表!B:B)</f>
        <v>#N/A</v>
      </c>
      <c r="C378" s="3">
        <f>配列!C378</f>
        <v>0</v>
      </c>
      <c r="D378" s="3" t="str">
        <f>IF(配列!E378="",RIGHT(配列!D378&amp;配列!E378,4)&amp;"L",RIGHT(配列!D378&amp;配列!E378,5))</f>
        <v>L</v>
      </c>
      <c r="E378" s="3">
        <f t="shared" si="20"/>
        <v>0</v>
      </c>
      <c r="F378" s="3" t="e">
        <f>_xlfn.XLOOKUP(E378,セットアップレポート_紐づけ用!A:A,セットアップレポート_紐づけ用!J:J)</f>
        <v>#N/A</v>
      </c>
      <c r="G378" s="3" t="e">
        <f>_xlfn.XLOOKUP(E378,セットアップレポート_紐づけ用!A:A,セットアップレポート_紐づけ用!V:V)</f>
        <v>#N/A</v>
      </c>
      <c r="H378" s="3">
        <f t="shared" si="23"/>
        <v>-2</v>
      </c>
      <c r="I378" t="str">
        <f>IF(J378=0,"",IF(配列!E378="",マクロ実行!$A$16 &amp;" T"&amp;H378&amp;"-"&amp;RIGHT(配列!D378&amp;配列!E378,2),マクロ実行!$A$16 &amp;" T"&amp;H378&amp;"-"&amp;RIGHT(配列!D378&amp;配列!E378,3)))</f>
        <v/>
      </c>
      <c r="J378">
        <f>配列!F378</f>
        <v>0</v>
      </c>
      <c r="K378" s="2" t="e">
        <f>_xlfn.XLOOKUP(E378,セットアップレポート_紐づけ用!A:A,セットアップレポート_紐づけ用!R:R)</f>
        <v>#N/A</v>
      </c>
      <c r="L378" t="e">
        <f t="shared" si="21"/>
        <v>#N/A</v>
      </c>
      <c r="M378" t="e">
        <f>_xlfn.XLOOKUP(L378,EGPro!A:A,EGPro!D:D)</f>
        <v>#N/A</v>
      </c>
      <c r="N378" t="e">
        <f>_xlfn.XLOOKUP(L378,EGPro!A:A,EGPro!C:C)</f>
        <v>#N/A</v>
      </c>
      <c r="O378" t="e">
        <f t="shared" si="22"/>
        <v>#N/A</v>
      </c>
      <c r="P378" t="e">
        <f>_xlfn.XLOOKUP(O378,EGPro!A:A,EGPro!D:D)</f>
        <v>#N/A</v>
      </c>
      <c r="Q378" t="e">
        <f>_xlfn.XLOOKUP(O378,EGPro!A:A,EGPro!C:C)</f>
        <v>#N/A</v>
      </c>
    </row>
    <row r="379" spans="1:17" x14ac:dyDescent="0.45">
      <c r="A379" s="3">
        <f>配列!B379</f>
        <v>0</v>
      </c>
      <c r="B379" s="3" t="e">
        <f>_xlfn.XLOOKUP(A379,対応表!A:A,対応表!B:B)</f>
        <v>#N/A</v>
      </c>
      <c r="C379" s="3">
        <f>配列!C379</f>
        <v>0</v>
      </c>
      <c r="D379" s="3" t="str">
        <f>IF(配列!E379="",RIGHT(配列!D379&amp;配列!E379,4)&amp;"L",RIGHT(配列!D379&amp;配列!E379,5))</f>
        <v>L</v>
      </c>
      <c r="E379" s="3">
        <f t="shared" si="20"/>
        <v>0</v>
      </c>
      <c r="F379" s="3" t="e">
        <f>_xlfn.XLOOKUP(E379,セットアップレポート_紐づけ用!A:A,セットアップレポート_紐づけ用!J:J)</f>
        <v>#N/A</v>
      </c>
      <c r="G379" s="3" t="e">
        <f>_xlfn.XLOOKUP(E379,セットアップレポート_紐づけ用!A:A,セットアップレポート_紐づけ用!V:V)</f>
        <v>#N/A</v>
      </c>
      <c r="H379" s="3">
        <f t="shared" si="23"/>
        <v>-2</v>
      </c>
      <c r="I379" t="str">
        <f>IF(J379=0,"",IF(配列!E379="",マクロ実行!$A$16 &amp;" T"&amp;H379&amp;"-"&amp;RIGHT(配列!D379&amp;配列!E379,2),マクロ実行!$A$16 &amp;" T"&amp;H379&amp;"-"&amp;RIGHT(配列!D379&amp;配列!E379,3)))</f>
        <v/>
      </c>
      <c r="J379">
        <f>配列!F379</f>
        <v>0</v>
      </c>
      <c r="K379" s="2" t="e">
        <f>_xlfn.XLOOKUP(E379,セットアップレポート_紐づけ用!A:A,セットアップレポート_紐づけ用!R:R)</f>
        <v>#N/A</v>
      </c>
      <c r="L379" t="e">
        <f t="shared" si="21"/>
        <v>#N/A</v>
      </c>
      <c r="M379" t="e">
        <f>_xlfn.XLOOKUP(L379,EGPro!A:A,EGPro!D:D)</f>
        <v>#N/A</v>
      </c>
      <c r="N379" t="e">
        <f>_xlfn.XLOOKUP(L379,EGPro!A:A,EGPro!C:C)</f>
        <v>#N/A</v>
      </c>
      <c r="O379" t="e">
        <f t="shared" si="22"/>
        <v>#N/A</v>
      </c>
      <c r="P379" t="e">
        <f>_xlfn.XLOOKUP(O379,EGPro!A:A,EGPro!D:D)</f>
        <v>#N/A</v>
      </c>
      <c r="Q379" t="e">
        <f>_xlfn.XLOOKUP(O379,EGPro!A:A,EGPro!C:C)</f>
        <v>#N/A</v>
      </c>
    </row>
    <row r="380" spans="1:17" x14ac:dyDescent="0.45">
      <c r="A380" s="3">
        <f>配列!B380</f>
        <v>0</v>
      </c>
      <c r="B380" s="3" t="e">
        <f>_xlfn.XLOOKUP(A380,対応表!A:A,対応表!B:B)</f>
        <v>#N/A</v>
      </c>
      <c r="C380" s="3">
        <f>配列!C380</f>
        <v>0</v>
      </c>
      <c r="D380" s="3" t="str">
        <f>IF(配列!E380="",RIGHT(配列!D380&amp;配列!E380,4)&amp;"L",RIGHT(配列!D380&amp;配列!E380,5))</f>
        <v>L</v>
      </c>
      <c r="E380" s="3">
        <f t="shared" si="20"/>
        <v>0</v>
      </c>
      <c r="F380" s="3" t="e">
        <f>_xlfn.XLOOKUP(E380,セットアップレポート_紐づけ用!A:A,セットアップレポート_紐づけ用!J:J)</f>
        <v>#N/A</v>
      </c>
      <c r="G380" s="3" t="e">
        <f>_xlfn.XLOOKUP(E380,セットアップレポート_紐づけ用!A:A,セットアップレポート_紐づけ用!V:V)</f>
        <v>#N/A</v>
      </c>
      <c r="H380" s="3">
        <f t="shared" si="23"/>
        <v>-2</v>
      </c>
      <c r="I380" t="str">
        <f>IF(J380=0,"",IF(配列!E380="",マクロ実行!$A$16 &amp;" T"&amp;H380&amp;"-"&amp;RIGHT(配列!D380&amp;配列!E380,2),マクロ実行!$A$16 &amp;" T"&amp;H380&amp;"-"&amp;RIGHT(配列!D380&amp;配列!E380,3)))</f>
        <v/>
      </c>
      <c r="J380">
        <f>配列!F380</f>
        <v>0</v>
      </c>
      <c r="K380" s="2" t="e">
        <f>_xlfn.XLOOKUP(E380,セットアップレポート_紐づけ用!A:A,セットアップレポート_紐づけ用!R:R)</f>
        <v>#N/A</v>
      </c>
      <c r="L380" t="e">
        <f t="shared" si="21"/>
        <v>#N/A</v>
      </c>
      <c r="M380" t="e">
        <f>_xlfn.XLOOKUP(L380,EGPro!A:A,EGPro!D:D)</f>
        <v>#N/A</v>
      </c>
      <c r="N380" t="e">
        <f>_xlfn.XLOOKUP(L380,EGPro!A:A,EGPro!C:C)</f>
        <v>#N/A</v>
      </c>
      <c r="O380" t="e">
        <f t="shared" si="22"/>
        <v>#N/A</v>
      </c>
      <c r="P380" t="e">
        <f>_xlfn.XLOOKUP(O380,EGPro!A:A,EGPro!D:D)</f>
        <v>#N/A</v>
      </c>
      <c r="Q380" t="e">
        <f>_xlfn.XLOOKUP(O380,EGPro!A:A,EGPro!C:C)</f>
        <v>#N/A</v>
      </c>
    </row>
    <row r="381" spans="1:17" x14ac:dyDescent="0.45">
      <c r="A381" s="3">
        <f>配列!B381</f>
        <v>0</v>
      </c>
      <c r="B381" s="3" t="e">
        <f>_xlfn.XLOOKUP(A381,対応表!A:A,対応表!B:B)</f>
        <v>#N/A</v>
      </c>
      <c r="C381" s="3">
        <f>配列!C381</f>
        <v>0</v>
      </c>
      <c r="D381" s="3" t="str">
        <f>IF(配列!E381="",RIGHT(配列!D381&amp;配列!E381,4)&amp;"L",RIGHT(配列!D381&amp;配列!E381,5))</f>
        <v>L</v>
      </c>
      <c r="E381" s="3">
        <f t="shared" si="20"/>
        <v>0</v>
      </c>
      <c r="F381" s="3" t="e">
        <f>_xlfn.XLOOKUP(E381,セットアップレポート_紐づけ用!A:A,セットアップレポート_紐づけ用!J:J)</f>
        <v>#N/A</v>
      </c>
      <c r="G381" s="3" t="e">
        <f>_xlfn.XLOOKUP(E381,セットアップレポート_紐づけ用!A:A,セットアップレポート_紐づけ用!V:V)</f>
        <v>#N/A</v>
      </c>
      <c r="H381" s="3">
        <f t="shared" si="23"/>
        <v>-2</v>
      </c>
      <c r="I381" t="str">
        <f>IF(J381=0,"",IF(配列!E381="",マクロ実行!$A$16 &amp;" T"&amp;H381&amp;"-"&amp;RIGHT(配列!D381&amp;配列!E381,2),マクロ実行!$A$16 &amp;" T"&amp;H381&amp;"-"&amp;RIGHT(配列!D381&amp;配列!E381,3)))</f>
        <v/>
      </c>
      <c r="J381">
        <f>配列!F381</f>
        <v>0</v>
      </c>
      <c r="K381" s="2" t="e">
        <f>_xlfn.XLOOKUP(E381,セットアップレポート_紐づけ用!A:A,セットアップレポート_紐づけ用!R:R)</f>
        <v>#N/A</v>
      </c>
      <c r="L381" t="e">
        <f t="shared" si="21"/>
        <v>#N/A</v>
      </c>
      <c r="M381" t="e">
        <f>_xlfn.XLOOKUP(L381,EGPro!A:A,EGPro!D:D)</f>
        <v>#N/A</v>
      </c>
      <c r="N381" t="e">
        <f>_xlfn.XLOOKUP(L381,EGPro!A:A,EGPro!C:C)</f>
        <v>#N/A</v>
      </c>
      <c r="O381" t="e">
        <f t="shared" si="22"/>
        <v>#N/A</v>
      </c>
      <c r="P381" t="e">
        <f>_xlfn.XLOOKUP(O381,EGPro!A:A,EGPro!D:D)</f>
        <v>#N/A</v>
      </c>
      <c r="Q381" t="e">
        <f>_xlfn.XLOOKUP(O381,EGPro!A:A,EGPro!C:C)</f>
        <v>#N/A</v>
      </c>
    </row>
    <row r="382" spans="1:17" x14ac:dyDescent="0.45">
      <c r="A382" s="3">
        <f>配列!B382</f>
        <v>0</v>
      </c>
      <c r="B382" s="3" t="e">
        <f>_xlfn.XLOOKUP(A382,対応表!A:A,対応表!B:B)</f>
        <v>#N/A</v>
      </c>
      <c r="C382" s="3">
        <f>配列!C382</f>
        <v>0</v>
      </c>
      <c r="D382" s="3" t="str">
        <f>IF(配列!E382="",RIGHT(配列!D382&amp;配列!E382,4)&amp;"L",RIGHT(配列!D382&amp;配列!E382,5))</f>
        <v>L</v>
      </c>
      <c r="E382" s="3">
        <f t="shared" si="20"/>
        <v>0</v>
      </c>
      <c r="F382" s="3" t="e">
        <f>_xlfn.XLOOKUP(E382,セットアップレポート_紐づけ用!A:A,セットアップレポート_紐づけ用!J:J)</f>
        <v>#N/A</v>
      </c>
      <c r="G382" s="3" t="e">
        <f>_xlfn.XLOOKUP(E382,セットアップレポート_紐づけ用!A:A,セットアップレポート_紐づけ用!V:V)</f>
        <v>#N/A</v>
      </c>
      <c r="H382" s="3">
        <f t="shared" si="23"/>
        <v>-2</v>
      </c>
      <c r="I382" t="str">
        <f>IF(J382=0,"",IF(配列!E382="",マクロ実行!$A$16 &amp;" T"&amp;H382&amp;"-"&amp;RIGHT(配列!D382&amp;配列!E382,2),マクロ実行!$A$16 &amp;" T"&amp;H382&amp;"-"&amp;RIGHT(配列!D382&amp;配列!E382,3)))</f>
        <v/>
      </c>
      <c r="J382">
        <f>配列!F382</f>
        <v>0</v>
      </c>
      <c r="K382" s="2" t="e">
        <f>_xlfn.XLOOKUP(E382,セットアップレポート_紐づけ用!A:A,セットアップレポート_紐づけ用!R:R)</f>
        <v>#N/A</v>
      </c>
      <c r="L382" t="e">
        <f t="shared" si="21"/>
        <v>#N/A</v>
      </c>
      <c r="M382" t="e">
        <f>_xlfn.XLOOKUP(L382,EGPro!A:A,EGPro!D:D)</f>
        <v>#N/A</v>
      </c>
      <c r="N382" t="e">
        <f>_xlfn.XLOOKUP(L382,EGPro!A:A,EGPro!C:C)</f>
        <v>#N/A</v>
      </c>
      <c r="O382" t="e">
        <f t="shared" si="22"/>
        <v>#N/A</v>
      </c>
      <c r="P382" t="e">
        <f>_xlfn.XLOOKUP(O382,EGPro!A:A,EGPro!D:D)</f>
        <v>#N/A</v>
      </c>
      <c r="Q382" t="e">
        <f>_xlfn.XLOOKUP(O382,EGPro!A:A,EGPro!C:C)</f>
        <v>#N/A</v>
      </c>
    </row>
    <row r="383" spans="1:17" x14ac:dyDescent="0.45">
      <c r="A383" s="3">
        <f>配列!B383</f>
        <v>0</v>
      </c>
      <c r="B383" s="3" t="e">
        <f>_xlfn.XLOOKUP(A383,対応表!A:A,対応表!B:B)</f>
        <v>#N/A</v>
      </c>
      <c r="C383" s="3">
        <f>配列!C383</f>
        <v>0</v>
      </c>
      <c r="D383" s="3" t="str">
        <f>IF(配列!E383="",RIGHT(配列!D383&amp;配列!E383,4)&amp;"L",RIGHT(配列!D383&amp;配列!E383,5))</f>
        <v>L</v>
      </c>
      <c r="E383" s="3">
        <f t="shared" si="20"/>
        <v>0</v>
      </c>
      <c r="F383" s="3" t="e">
        <f>_xlfn.XLOOKUP(E383,セットアップレポート_紐づけ用!A:A,セットアップレポート_紐づけ用!J:J)</f>
        <v>#N/A</v>
      </c>
      <c r="G383" s="3" t="e">
        <f>_xlfn.XLOOKUP(E383,セットアップレポート_紐づけ用!A:A,セットアップレポート_紐づけ用!V:V)</f>
        <v>#N/A</v>
      </c>
      <c r="H383" s="3">
        <f t="shared" si="23"/>
        <v>-2</v>
      </c>
      <c r="I383" t="str">
        <f>IF(J383=0,"",IF(配列!E383="",マクロ実行!$A$16 &amp;" T"&amp;H383&amp;"-"&amp;RIGHT(配列!D383&amp;配列!E383,2),マクロ実行!$A$16 &amp;" T"&amp;H383&amp;"-"&amp;RIGHT(配列!D383&amp;配列!E383,3)))</f>
        <v/>
      </c>
      <c r="J383">
        <f>配列!F383</f>
        <v>0</v>
      </c>
      <c r="K383" s="2" t="e">
        <f>_xlfn.XLOOKUP(E383,セットアップレポート_紐づけ用!A:A,セットアップレポート_紐づけ用!R:R)</f>
        <v>#N/A</v>
      </c>
      <c r="L383" t="e">
        <f t="shared" si="21"/>
        <v>#N/A</v>
      </c>
      <c r="M383" t="e">
        <f>_xlfn.XLOOKUP(L383,EGPro!A:A,EGPro!D:D)</f>
        <v>#N/A</v>
      </c>
      <c r="N383" t="e">
        <f>_xlfn.XLOOKUP(L383,EGPro!A:A,EGPro!C:C)</f>
        <v>#N/A</v>
      </c>
      <c r="O383" t="e">
        <f t="shared" si="22"/>
        <v>#N/A</v>
      </c>
      <c r="P383" t="e">
        <f>_xlfn.XLOOKUP(O383,EGPro!A:A,EGPro!D:D)</f>
        <v>#N/A</v>
      </c>
      <c r="Q383" t="e">
        <f>_xlfn.XLOOKUP(O383,EGPro!A:A,EGPro!C:C)</f>
        <v>#N/A</v>
      </c>
    </row>
    <row r="384" spans="1:17" x14ac:dyDescent="0.45">
      <c r="A384" s="3">
        <f>配列!B384</f>
        <v>0</v>
      </c>
      <c r="B384" s="3" t="e">
        <f>_xlfn.XLOOKUP(A384,対応表!A:A,対応表!B:B)</f>
        <v>#N/A</v>
      </c>
      <c r="C384" s="3">
        <f>配列!C384</f>
        <v>0</v>
      </c>
      <c r="D384" s="3" t="str">
        <f>IF(配列!E384="",RIGHT(配列!D384&amp;配列!E384,4)&amp;"L",RIGHT(配列!D384&amp;配列!E384,5))</f>
        <v>L</v>
      </c>
      <c r="E384" s="3">
        <f t="shared" si="20"/>
        <v>0</v>
      </c>
      <c r="F384" s="3" t="e">
        <f>_xlfn.XLOOKUP(E384,セットアップレポート_紐づけ用!A:A,セットアップレポート_紐づけ用!J:J)</f>
        <v>#N/A</v>
      </c>
      <c r="G384" s="3" t="e">
        <f>_xlfn.XLOOKUP(E384,セットアップレポート_紐づけ用!A:A,セットアップレポート_紐づけ用!V:V)</f>
        <v>#N/A</v>
      </c>
      <c r="H384" s="3">
        <f t="shared" si="23"/>
        <v>-2</v>
      </c>
      <c r="I384" t="str">
        <f>IF(J384=0,"",IF(配列!E384="",マクロ実行!$A$16 &amp;" T"&amp;H384&amp;"-"&amp;RIGHT(配列!D384&amp;配列!E384,2),マクロ実行!$A$16 &amp;" T"&amp;H384&amp;"-"&amp;RIGHT(配列!D384&amp;配列!E384,3)))</f>
        <v/>
      </c>
      <c r="J384">
        <f>配列!F384</f>
        <v>0</v>
      </c>
      <c r="K384" s="2" t="e">
        <f>_xlfn.XLOOKUP(E384,セットアップレポート_紐づけ用!A:A,セットアップレポート_紐づけ用!R:R)</f>
        <v>#N/A</v>
      </c>
      <c r="L384" t="e">
        <f t="shared" si="21"/>
        <v>#N/A</v>
      </c>
      <c r="M384" t="e">
        <f>_xlfn.XLOOKUP(L384,EGPro!A:A,EGPro!D:D)</f>
        <v>#N/A</v>
      </c>
      <c r="N384" t="e">
        <f>_xlfn.XLOOKUP(L384,EGPro!A:A,EGPro!C:C)</f>
        <v>#N/A</v>
      </c>
      <c r="O384" t="e">
        <f t="shared" si="22"/>
        <v>#N/A</v>
      </c>
      <c r="P384" t="e">
        <f>_xlfn.XLOOKUP(O384,EGPro!A:A,EGPro!D:D)</f>
        <v>#N/A</v>
      </c>
      <c r="Q384" t="e">
        <f>_xlfn.XLOOKUP(O384,EGPro!A:A,EGPro!C:C)</f>
        <v>#N/A</v>
      </c>
    </row>
    <row r="385" spans="1:17" x14ac:dyDescent="0.45">
      <c r="A385" s="3">
        <f>配列!B385</f>
        <v>0</v>
      </c>
      <c r="B385" s="3" t="e">
        <f>_xlfn.XLOOKUP(A385,対応表!A:A,対応表!B:B)</f>
        <v>#N/A</v>
      </c>
      <c r="C385" s="3">
        <f>配列!C385</f>
        <v>0</v>
      </c>
      <c r="D385" s="3" t="str">
        <f>IF(配列!E385="",RIGHT(配列!D385&amp;配列!E385,4)&amp;"L",RIGHT(配列!D385&amp;配列!E385,5))</f>
        <v>L</v>
      </c>
      <c r="E385" s="3">
        <f t="shared" si="20"/>
        <v>0</v>
      </c>
      <c r="F385" s="3" t="e">
        <f>_xlfn.XLOOKUP(E385,セットアップレポート_紐づけ用!A:A,セットアップレポート_紐づけ用!J:J)</f>
        <v>#N/A</v>
      </c>
      <c r="G385" s="3" t="e">
        <f>_xlfn.XLOOKUP(E385,セットアップレポート_紐づけ用!A:A,セットアップレポート_紐づけ用!V:V)</f>
        <v>#N/A</v>
      </c>
      <c r="H385" s="3">
        <f t="shared" si="23"/>
        <v>-2</v>
      </c>
      <c r="I385" t="str">
        <f>IF(J385=0,"",IF(配列!E385="",マクロ実行!$A$16 &amp;" T"&amp;H385&amp;"-"&amp;RIGHT(配列!D385&amp;配列!E385,2),マクロ実行!$A$16 &amp;" T"&amp;H385&amp;"-"&amp;RIGHT(配列!D385&amp;配列!E385,3)))</f>
        <v/>
      </c>
      <c r="J385">
        <f>配列!F385</f>
        <v>0</v>
      </c>
      <c r="K385" s="2" t="e">
        <f>_xlfn.XLOOKUP(E385,セットアップレポート_紐づけ用!A:A,セットアップレポート_紐づけ用!R:R)</f>
        <v>#N/A</v>
      </c>
      <c r="L385" t="e">
        <f t="shared" si="21"/>
        <v>#N/A</v>
      </c>
      <c r="M385" t="e">
        <f>_xlfn.XLOOKUP(L385,EGPro!A:A,EGPro!D:D)</f>
        <v>#N/A</v>
      </c>
      <c r="N385" t="e">
        <f>_xlfn.XLOOKUP(L385,EGPro!A:A,EGPro!C:C)</f>
        <v>#N/A</v>
      </c>
      <c r="O385" t="e">
        <f t="shared" si="22"/>
        <v>#N/A</v>
      </c>
      <c r="P385" t="e">
        <f>_xlfn.XLOOKUP(O385,EGPro!A:A,EGPro!D:D)</f>
        <v>#N/A</v>
      </c>
      <c r="Q385" t="e">
        <f>_xlfn.XLOOKUP(O385,EGPro!A:A,EGPro!C:C)</f>
        <v>#N/A</v>
      </c>
    </row>
    <row r="386" spans="1:17" x14ac:dyDescent="0.45">
      <c r="A386" s="3">
        <f>配列!B386</f>
        <v>0</v>
      </c>
      <c r="B386" s="3" t="e">
        <f>_xlfn.XLOOKUP(A386,対応表!A:A,対応表!B:B)</f>
        <v>#N/A</v>
      </c>
      <c r="C386" s="3">
        <f>配列!C386</f>
        <v>0</v>
      </c>
      <c r="D386" s="3" t="str">
        <f>IF(配列!E386="",RIGHT(配列!D386&amp;配列!E386,4)&amp;"L",RIGHT(配列!D386&amp;配列!E386,5))</f>
        <v>L</v>
      </c>
      <c r="E386" s="3">
        <f t="shared" ref="E386:E449" si="24">IF(J386=0,,B386&amp;D386&amp;J386)</f>
        <v>0</v>
      </c>
      <c r="F386" s="3" t="e">
        <f>_xlfn.XLOOKUP(E386,セットアップレポート_紐づけ用!A:A,セットアップレポート_紐づけ用!J:J)</f>
        <v>#N/A</v>
      </c>
      <c r="G386" s="3" t="e">
        <f>_xlfn.XLOOKUP(E386,セットアップレポート_紐づけ用!A:A,セットアップレポート_紐づけ用!V:V)</f>
        <v>#N/A</v>
      </c>
      <c r="H386" s="3">
        <f t="shared" si="23"/>
        <v>-2</v>
      </c>
      <c r="I386" t="str">
        <f>IF(J386=0,"",IF(配列!E386="",マクロ実行!$A$16 &amp;" T"&amp;H386&amp;"-"&amp;RIGHT(配列!D386&amp;配列!E386,2),マクロ実行!$A$16 &amp;" T"&amp;H386&amp;"-"&amp;RIGHT(配列!D386&amp;配列!E386,3)))</f>
        <v/>
      </c>
      <c r="J386">
        <f>配列!F386</f>
        <v>0</v>
      </c>
      <c r="K386" s="2" t="e">
        <f>_xlfn.XLOOKUP(E386,セットアップレポート_紐づけ用!A:A,セットアップレポート_紐づけ用!R:R)</f>
        <v>#N/A</v>
      </c>
      <c r="L386" t="e">
        <f t="shared" ref="L386:L449" si="25">IF(LEN(F386)=13,"    "&amp;F386,F386)</f>
        <v>#N/A</v>
      </c>
      <c r="M386" t="e">
        <f>_xlfn.XLOOKUP(L386,EGPro!A:A,EGPro!D:D)</f>
        <v>#N/A</v>
      </c>
      <c r="N386" t="e">
        <f>_xlfn.XLOOKUP(L386,EGPro!A:A,EGPro!C:C)</f>
        <v>#N/A</v>
      </c>
      <c r="O386" t="e">
        <f t="shared" ref="O386:O449" si="26">IF(LEN(G386)=13,"    "&amp;G386,G386)</f>
        <v>#N/A</v>
      </c>
      <c r="P386" t="e">
        <f>_xlfn.XLOOKUP(O386,EGPro!A:A,EGPro!D:D)</f>
        <v>#N/A</v>
      </c>
      <c r="Q386" t="e">
        <f>_xlfn.XLOOKUP(O386,EGPro!A:A,EGPro!C:C)</f>
        <v>#N/A</v>
      </c>
    </row>
    <row r="387" spans="1:17" x14ac:dyDescent="0.45">
      <c r="A387" s="3">
        <f>配列!B387</f>
        <v>0</v>
      </c>
      <c r="B387" s="3" t="e">
        <f>_xlfn.XLOOKUP(A387,対応表!A:A,対応表!B:B)</f>
        <v>#N/A</v>
      </c>
      <c r="C387" s="3">
        <f>配列!C387</f>
        <v>0</v>
      </c>
      <c r="D387" s="3" t="str">
        <f>IF(配列!E387="",RIGHT(配列!D387&amp;配列!E387,4)&amp;"L",RIGHT(配列!D387&amp;配列!E387,5))</f>
        <v>L</v>
      </c>
      <c r="E387" s="3">
        <f t="shared" si="24"/>
        <v>0</v>
      </c>
      <c r="F387" s="3" t="e">
        <f>_xlfn.XLOOKUP(E387,セットアップレポート_紐づけ用!A:A,セットアップレポート_紐づけ用!J:J)</f>
        <v>#N/A</v>
      </c>
      <c r="G387" s="3" t="e">
        <f>_xlfn.XLOOKUP(E387,セットアップレポート_紐づけ用!A:A,セットアップレポート_紐づけ用!V:V)</f>
        <v>#N/A</v>
      </c>
      <c r="H387" s="3">
        <f t="shared" ref="H387:H450" si="27">2*RIGHT(A387,1)-2+C387</f>
        <v>-2</v>
      </c>
      <c r="I387" t="str">
        <f>IF(J387=0,"",IF(配列!E387="",マクロ実行!$A$16 &amp;" T"&amp;H387&amp;"-"&amp;RIGHT(配列!D387&amp;配列!E387,2),マクロ実行!$A$16 &amp;" T"&amp;H387&amp;"-"&amp;RIGHT(配列!D387&amp;配列!E387,3)))</f>
        <v/>
      </c>
      <c r="J387">
        <f>配列!F387</f>
        <v>0</v>
      </c>
      <c r="K387" s="2" t="e">
        <f>_xlfn.XLOOKUP(E387,セットアップレポート_紐づけ用!A:A,セットアップレポート_紐づけ用!R:R)</f>
        <v>#N/A</v>
      </c>
      <c r="L387" t="e">
        <f t="shared" si="25"/>
        <v>#N/A</v>
      </c>
      <c r="M387" t="e">
        <f>_xlfn.XLOOKUP(L387,EGPro!A:A,EGPro!D:D)</f>
        <v>#N/A</v>
      </c>
      <c r="N387" t="e">
        <f>_xlfn.XLOOKUP(L387,EGPro!A:A,EGPro!C:C)</f>
        <v>#N/A</v>
      </c>
      <c r="O387" t="e">
        <f t="shared" si="26"/>
        <v>#N/A</v>
      </c>
      <c r="P387" t="e">
        <f>_xlfn.XLOOKUP(O387,EGPro!A:A,EGPro!D:D)</f>
        <v>#N/A</v>
      </c>
      <c r="Q387" t="e">
        <f>_xlfn.XLOOKUP(O387,EGPro!A:A,EGPro!C:C)</f>
        <v>#N/A</v>
      </c>
    </row>
    <row r="388" spans="1:17" x14ac:dyDescent="0.45">
      <c r="A388" s="3">
        <f>配列!B388</f>
        <v>0</v>
      </c>
      <c r="B388" s="3" t="e">
        <f>_xlfn.XLOOKUP(A388,対応表!A:A,対応表!B:B)</f>
        <v>#N/A</v>
      </c>
      <c r="C388" s="3">
        <f>配列!C388</f>
        <v>0</v>
      </c>
      <c r="D388" s="3" t="str">
        <f>IF(配列!E388="",RIGHT(配列!D388&amp;配列!E388,4)&amp;"L",RIGHT(配列!D388&amp;配列!E388,5))</f>
        <v>L</v>
      </c>
      <c r="E388" s="3">
        <f t="shared" si="24"/>
        <v>0</v>
      </c>
      <c r="F388" s="3" t="e">
        <f>_xlfn.XLOOKUP(E388,セットアップレポート_紐づけ用!A:A,セットアップレポート_紐づけ用!J:J)</f>
        <v>#N/A</v>
      </c>
      <c r="G388" s="3" t="e">
        <f>_xlfn.XLOOKUP(E388,セットアップレポート_紐づけ用!A:A,セットアップレポート_紐づけ用!V:V)</f>
        <v>#N/A</v>
      </c>
      <c r="H388" s="3">
        <f t="shared" si="27"/>
        <v>-2</v>
      </c>
      <c r="I388" t="str">
        <f>IF(J388=0,"",IF(配列!E388="",マクロ実行!$A$16 &amp;" T"&amp;H388&amp;"-"&amp;RIGHT(配列!D388&amp;配列!E388,2),マクロ実行!$A$16 &amp;" T"&amp;H388&amp;"-"&amp;RIGHT(配列!D388&amp;配列!E388,3)))</f>
        <v/>
      </c>
      <c r="J388">
        <f>配列!F388</f>
        <v>0</v>
      </c>
      <c r="K388" s="2" t="e">
        <f>_xlfn.XLOOKUP(E388,セットアップレポート_紐づけ用!A:A,セットアップレポート_紐づけ用!R:R)</f>
        <v>#N/A</v>
      </c>
      <c r="L388" t="e">
        <f t="shared" si="25"/>
        <v>#N/A</v>
      </c>
      <c r="M388" t="e">
        <f>_xlfn.XLOOKUP(L388,EGPro!A:A,EGPro!D:D)</f>
        <v>#N/A</v>
      </c>
      <c r="N388" t="e">
        <f>_xlfn.XLOOKUP(L388,EGPro!A:A,EGPro!C:C)</f>
        <v>#N/A</v>
      </c>
      <c r="O388" t="e">
        <f t="shared" si="26"/>
        <v>#N/A</v>
      </c>
      <c r="P388" t="e">
        <f>_xlfn.XLOOKUP(O388,EGPro!A:A,EGPro!D:D)</f>
        <v>#N/A</v>
      </c>
      <c r="Q388" t="e">
        <f>_xlfn.XLOOKUP(O388,EGPro!A:A,EGPro!C:C)</f>
        <v>#N/A</v>
      </c>
    </row>
    <row r="389" spans="1:17" x14ac:dyDescent="0.45">
      <c r="A389" s="3">
        <f>配列!B389</f>
        <v>0</v>
      </c>
      <c r="B389" s="3" t="e">
        <f>_xlfn.XLOOKUP(A389,対応表!A:A,対応表!B:B)</f>
        <v>#N/A</v>
      </c>
      <c r="C389" s="3">
        <f>配列!C389</f>
        <v>0</v>
      </c>
      <c r="D389" s="3" t="str">
        <f>IF(配列!E389="",RIGHT(配列!D389&amp;配列!E389,4)&amp;"L",RIGHT(配列!D389&amp;配列!E389,5))</f>
        <v>L</v>
      </c>
      <c r="E389" s="3">
        <f t="shared" si="24"/>
        <v>0</v>
      </c>
      <c r="F389" s="3" t="e">
        <f>_xlfn.XLOOKUP(E389,セットアップレポート_紐づけ用!A:A,セットアップレポート_紐づけ用!J:J)</f>
        <v>#N/A</v>
      </c>
      <c r="G389" s="3" t="e">
        <f>_xlfn.XLOOKUP(E389,セットアップレポート_紐づけ用!A:A,セットアップレポート_紐づけ用!V:V)</f>
        <v>#N/A</v>
      </c>
      <c r="H389" s="3">
        <f t="shared" si="27"/>
        <v>-2</v>
      </c>
      <c r="I389" t="str">
        <f>IF(J389=0,"",IF(配列!E389="",マクロ実行!$A$16 &amp;" T"&amp;H389&amp;"-"&amp;RIGHT(配列!D389&amp;配列!E389,2),マクロ実行!$A$16 &amp;" T"&amp;H389&amp;"-"&amp;RIGHT(配列!D389&amp;配列!E389,3)))</f>
        <v/>
      </c>
      <c r="J389">
        <f>配列!F389</f>
        <v>0</v>
      </c>
      <c r="K389" s="2" t="e">
        <f>_xlfn.XLOOKUP(E389,セットアップレポート_紐づけ用!A:A,セットアップレポート_紐づけ用!R:R)</f>
        <v>#N/A</v>
      </c>
      <c r="L389" t="e">
        <f t="shared" si="25"/>
        <v>#N/A</v>
      </c>
      <c r="M389" t="e">
        <f>_xlfn.XLOOKUP(L389,EGPro!A:A,EGPro!D:D)</f>
        <v>#N/A</v>
      </c>
      <c r="N389" t="e">
        <f>_xlfn.XLOOKUP(L389,EGPro!A:A,EGPro!C:C)</f>
        <v>#N/A</v>
      </c>
      <c r="O389" t="e">
        <f t="shared" si="26"/>
        <v>#N/A</v>
      </c>
      <c r="P389" t="e">
        <f>_xlfn.XLOOKUP(O389,EGPro!A:A,EGPro!D:D)</f>
        <v>#N/A</v>
      </c>
      <c r="Q389" t="e">
        <f>_xlfn.XLOOKUP(O389,EGPro!A:A,EGPro!C:C)</f>
        <v>#N/A</v>
      </c>
    </row>
    <row r="390" spans="1:17" x14ac:dyDescent="0.45">
      <c r="A390" s="3">
        <f>配列!B390</f>
        <v>0</v>
      </c>
      <c r="B390" s="3" t="e">
        <f>_xlfn.XLOOKUP(A390,対応表!A:A,対応表!B:B)</f>
        <v>#N/A</v>
      </c>
      <c r="C390" s="3">
        <f>配列!C390</f>
        <v>0</v>
      </c>
      <c r="D390" s="3" t="str">
        <f>IF(配列!E390="",RIGHT(配列!D390&amp;配列!E390,4)&amp;"L",RIGHT(配列!D390&amp;配列!E390,5))</f>
        <v>L</v>
      </c>
      <c r="E390" s="3">
        <f t="shared" si="24"/>
        <v>0</v>
      </c>
      <c r="F390" s="3" t="e">
        <f>_xlfn.XLOOKUP(E390,セットアップレポート_紐づけ用!A:A,セットアップレポート_紐づけ用!J:J)</f>
        <v>#N/A</v>
      </c>
      <c r="G390" s="3" t="e">
        <f>_xlfn.XLOOKUP(E390,セットアップレポート_紐づけ用!A:A,セットアップレポート_紐づけ用!V:V)</f>
        <v>#N/A</v>
      </c>
      <c r="H390" s="3">
        <f t="shared" si="27"/>
        <v>-2</v>
      </c>
      <c r="I390" t="str">
        <f>IF(J390=0,"",IF(配列!E390="",マクロ実行!$A$16 &amp;" T"&amp;H390&amp;"-"&amp;RIGHT(配列!D390&amp;配列!E390,2),マクロ実行!$A$16 &amp;" T"&amp;H390&amp;"-"&amp;RIGHT(配列!D390&amp;配列!E390,3)))</f>
        <v/>
      </c>
      <c r="J390">
        <f>配列!F390</f>
        <v>0</v>
      </c>
      <c r="K390" s="2" t="e">
        <f>_xlfn.XLOOKUP(E390,セットアップレポート_紐づけ用!A:A,セットアップレポート_紐づけ用!R:R)</f>
        <v>#N/A</v>
      </c>
      <c r="L390" t="e">
        <f t="shared" si="25"/>
        <v>#N/A</v>
      </c>
      <c r="M390" t="e">
        <f>_xlfn.XLOOKUP(L390,EGPro!A:A,EGPro!D:D)</f>
        <v>#N/A</v>
      </c>
      <c r="N390" t="e">
        <f>_xlfn.XLOOKUP(L390,EGPro!A:A,EGPro!C:C)</f>
        <v>#N/A</v>
      </c>
      <c r="O390" t="e">
        <f t="shared" si="26"/>
        <v>#N/A</v>
      </c>
      <c r="P390" t="e">
        <f>_xlfn.XLOOKUP(O390,EGPro!A:A,EGPro!D:D)</f>
        <v>#N/A</v>
      </c>
      <c r="Q390" t="e">
        <f>_xlfn.XLOOKUP(O390,EGPro!A:A,EGPro!C:C)</f>
        <v>#N/A</v>
      </c>
    </row>
    <row r="391" spans="1:17" x14ac:dyDescent="0.45">
      <c r="A391" s="3">
        <f>配列!B391</f>
        <v>0</v>
      </c>
      <c r="B391" s="3" t="e">
        <f>_xlfn.XLOOKUP(A391,対応表!A:A,対応表!B:B)</f>
        <v>#N/A</v>
      </c>
      <c r="C391" s="3">
        <f>配列!C391</f>
        <v>0</v>
      </c>
      <c r="D391" s="3" t="str">
        <f>IF(配列!E391="",RIGHT(配列!D391&amp;配列!E391,4)&amp;"L",RIGHT(配列!D391&amp;配列!E391,5))</f>
        <v>L</v>
      </c>
      <c r="E391" s="3">
        <f t="shared" si="24"/>
        <v>0</v>
      </c>
      <c r="F391" s="3" t="e">
        <f>_xlfn.XLOOKUP(E391,セットアップレポート_紐づけ用!A:A,セットアップレポート_紐づけ用!J:J)</f>
        <v>#N/A</v>
      </c>
      <c r="G391" s="3" t="e">
        <f>_xlfn.XLOOKUP(E391,セットアップレポート_紐づけ用!A:A,セットアップレポート_紐づけ用!V:V)</f>
        <v>#N/A</v>
      </c>
      <c r="H391" s="3">
        <f t="shared" si="27"/>
        <v>-2</v>
      </c>
      <c r="I391" t="str">
        <f>IF(J391=0,"",IF(配列!E391="",マクロ実行!$A$16 &amp;" T"&amp;H391&amp;"-"&amp;RIGHT(配列!D391&amp;配列!E391,2),マクロ実行!$A$16 &amp;" T"&amp;H391&amp;"-"&amp;RIGHT(配列!D391&amp;配列!E391,3)))</f>
        <v/>
      </c>
      <c r="J391">
        <f>配列!F391</f>
        <v>0</v>
      </c>
      <c r="K391" s="2" t="e">
        <f>_xlfn.XLOOKUP(E391,セットアップレポート_紐づけ用!A:A,セットアップレポート_紐づけ用!R:R)</f>
        <v>#N/A</v>
      </c>
      <c r="L391" t="e">
        <f t="shared" si="25"/>
        <v>#N/A</v>
      </c>
      <c r="M391" t="e">
        <f>_xlfn.XLOOKUP(L391,EGPro!A:A,EGPro!D:D)</f>
        <v>#N/A</v>
      </c>
      <c r="N391" t="e">
        <f>_xlfn.XLOOKUP(L391,EGPro!A:A,EGPro!C:C)</f>
        <v>#N/A</v>
      </c>
      <c r="O391" t="e">
        <f t="shared" si="26"/>
        <v>#N/A</v>
      </c>
      <c r="P391" t="e">
        <f>_xlfn.XLOOKUP(O391,EGPro!A:A,EGPro!D:D)</f>
        <v>#N/A</v>
      </c>
      <c r="Q391" t="e">
        <f>_xlfn.XLOOKUP(O391,EGPro!A:A,EGPro!C:C)</f>
        <v>#N/A</v>
      </c>
    </row>
    <row r="392" spans="1:17" x14ac:dyDescent="0.45">
      <c r="A392" s="3">
        <f>配列!B392</f>
        <v>0</v>
      </c>
      <c r="B392" s="3" t="e">
        <f>_xlfn.XLOOKUP(A392,対応表!A:A,対応表!B:B)</f>
        <v>#N/A</v>
      </c>
      <c r="C392" s="3">
        <f>配列!C392</f>
        <v>0</v>
      </c>
      <c r="D392" s="3" t="str">
        <f>IF(配列!E392="",RIGHT(配列!D392&amp;配列!E392,4)&amp;"L",RIGHT(配列!D392&amp;配列!E392,5))</f>
        <v>L</v>
      </c>
      <c r="E392" s="3">
        <f t="shared" si="24"/>
        <v>0</v>
      </c>
      <c r="F392" s="3" t="e">
        <f>_xlfn.XLOOKUP(E392,セットアップレポート_紐づけ用!A:A,セットアップレポート_紐づけ用!J:J)</f>
        <v>#N/A</v>
      </c>
      <c r="G392" s="3" t="e">
        <f>_xlfn.XLOOKUP(E392,セットアップレポート_紐づけ用!A:A,セットアップレポート_紐づけ用!V:V)</f>
        <v>#N/A</v>
      </c>
      <c r="H392" s="3">
        <f t="shared" si="27"/>
        <v>-2</v>
      </c>
      <c r="I392" t="str">
        <f>IF(J392=0,"",IF(配列!E392="",マクロ実行!$A$16 &amp;" T"&amp;H392&amp;"-"&amp;RIGHT(配列!D392&amp;配列!E392,2),マクロ実行!$A$16 &amp;" T"&amp;H392&amp;"-"&amp;RIGHT(配列!D392&amp;配列!E392,3)))</f>
        <v/>
      </c>
      <c r="J392">
        <f>配列!F392</f>
        <v>0</v>
      </c>
      <c r="K392" s="2" t="e">
        <f>_xlfn.XLOOKUP(E392,セットアップレポート_紐づけ用!A:A,セットアップレポート_紐づけ用!R:R)</f>
        <v>#N/A</v>
      </c>
      <c r="L392" t="e">
        <f t="shared" si="25"/>
        <v>#N/A</v>
      </c>
      <c r="M392" t="e">
        <f>_xlfn.XLOOKUP(L392,EGPro!A:A,EGPro!D:D)</f>
        <v>#N/A</v>
      </c>
      <c r="N392" t="e">
        <f>_xlfn.XLOOKUP(L392,EGPro!A:A,EGPro!C:C)</f>
        <v>#N/A</v>
      </c>
      <c r="O392" t="e">
        <f t="shared" si="26"/>
        <v>#N/A</v>
      </c>
      <c r="P392" t="e">
        <f>_xlfn.XLOOKUP(O392,EGPro!A:A,EGPro!D:D)</f>
        <v>#N/A</v>
      </c>
      <c r="Q392" t="e">
        <f>_xlfn.XLOOKUP(O392,EGPro!A:A,EGPro!C:C)</f>
        <v>#N/A</v>
      </c>
    </row>
    <row r="393" spans="1:17" x14ac:dyDescent="0.45">
      <c r="A393" s="3">
        <f>配列!B393</f>
        <v>0</v>
      </c>
      <c r="B393" s="3" t="e">
        <f>_xlfn.XLOOKUP(A393,対応表!A:A,対応表!B:B)</f>
        <v>#N/A</v>
      </c>
      <c r="C393" s="3">
        <f>配列!C393</f>
        <v>0</v>
      </c>
      <c r="D393" s="3" t="str">
        <f>IF(配列!E393="",RIGHT(配列!D393&amp;配列!E393,4)&amp;"L",RIGHT(配列!D393&amp;配列!E393,5))</f>
        <v>L</v>
      </c>
      <c r="E393" s="3">
        <f t="shared" si="24"/>
        <v>0</v>
      </c>
      <c r="F393" s="3" t="e">
        <f>_xlfn.XLOOKUP(E393,セットアップレポート_紐づけ用!A:A,セットアップレポート_紐づけ用!J:J)</f>
        <v>#N/A</v>
      </c>
      <c r="G393" s="3" t="e">
        <f>_xlfn.XLOOKUP(E393,セットアップレポート_紐づけ用!A:A,セットアップレポート_紐づけ用!V:V)</f>
        <v>#N/A</v>
      </c>
      <c r="H393" s="3">
        <f t="shared" si="27"/>
        <v>-2</v>
      </c>
      <c r="I393" t="str">
        <f>IF(J393=0,"",IF(配列!E393="",マクロ実行!$A$16 &amp;" T"&amp;H393&amp;"-"&amp;RIGHT(配列!D393&amp;配列!E393,2),マクロ実行!$A$16 &amp;" T"&amp;H393&amp;"-"&amp;RIGHT(配列!D393&amp;配列!E393,3)))</f>
        <v/>
      </c>
      <c r="J393">
        <f>配列!F393</f>
        <v>0</v>
      </c>
      <c r="K393" s="2" t="e">
        <f>_xlfn.XLOOKUP(E393,セットアップレポート_紐づけ用!A:A,セットアップレポート_紐づけ用!R:R)</f>
        <v>#N/A</v>
      </c>
      <c r="L393" t="e">
        <f t="shared" si="25"/>
        <v>#N/A</v>
      </c>
      <c r="M393" t="e">
        <f>_xlfn.XLOOKUP(L393,EGPro!A:A,EGPro!D:D)</f>
        <v>#N/A</v>
      </c>
      <c r="N393" t="e">
        <f>_xlfn.XLOOKUP(L393,EGPro!A:A,EGPro!C:C)</f>
        <v>#N/A</v>
      </c>
      <c r="O393" t="e">
        <f t="shared" si="26"/>
        <v>#N/A</v>
      </c>
      <c r="P393" t="e">
        <f>_xlfn.XLOOKUP(O393,EGPro!A:A,EGPro!D:D)</f>
        <v>#N/A</v>
      </c>
      <c r="Q393" t="e">
        <f>_xlfn.XLOOKUP(O393,EGPro!A:A,EGPro!C:C)</f>
        <v>#N/A</v>
      </c>
    </row>
    <row r="394" spans="1:17" x14ac:dyDescent="0.45">
      <c r="A394" s="3">
        <f>配列!B394</f>
        <v>0</v>
      </c>
      <c r="B394" s="3" t="e">
        <f>_xlfn.XLOOKUP(A394,対応表!A:A,対応表!B:B)</f>
        <v>#N/A</v>
      </c>
      <c r="C394" s="3">
        <f>配列!C394</f>
        <v>0</v>
      </c>
      <c r="D394" s="3" t="str">
        <f>IF(配列!E394="",RIGHT(配列!D394&amp;配列!E394,4)&amp;"L",RIGHT(配列!D394&amp;配列!E394,5))</f>
        <v>L</v>
      </c>
      <c r="E394" s="3">
        <f t="shared" si="24"/>
        <v>0</v>
      </c>
      <c r="F394" s="3" t="e">
        <f>_xlfn.XLOOKUP(E394,セットアップレポート_紐づけ用!A:A,セットアップレポート_紐づけ用!J:J)</f>
        <v>#N/A</v>
      </c>
      <c r="G394" s="3" t="e">
        <f>_xlfn.XLOOKUP(E394,セットアップレポート_紐づけ用!A:A,セットアップレポート_紐づけ用!V:V)</f>
        <v>#N/A</v>
      </c>
      <c r="H394" s="3">
        <f t="shared" si="27"/>
        <v>-2</v>
      </c>
      <c r="I394" t="str">
        <f>IF(J394=0,"",IF(配列!E394="",マクロ実行!$A$16 &amp;" T"&amp;H394&amp;"-"&amp;RIGHT(配列!D394&amp;配列!E394,2),マクロ実行!$A$16 &amp;" T"&amp;H394&amp;"-"&amp;RIGHT(配列!D394&amp;配列!E394,3)))</f>
        <v/>
      </c>
      <c r="J394">
        <f>配列!F394</f>
        <v>0</v>
      </c>
      <c r="K394" s="2" t="e">
        <f>_xlfn.XLOOKUP(E394,セットアップレポート_紐づけ用!A:A,セットアップレポート_紐づけ用!R:R)</f>
        <v>#N/A</v>
      </c>
      <c r="L394" t="e">
        <f t="shared" si="25"/>
        <v>#N/A</v>
      </c>
      <c r="M394" t="e">
        <f>_xlfn.XLOOKUP(L394,EGPro!A:A,EGPro!D:D)</f>
        <v>#N/A</v>
      </c>
      <c r="N394" t="e">
        <f>_xlfn.XLOOKUP(L394,EGPro!A:A,EGPro!C:C)</f>
        <v>#N/A</v>
      </c>
      <c r="O394" t="e">
        <f t="shared" si="26"/>
        <v>#N/A</v>
      </c>
      <c r="P394" t="e">
        <f>_xlfn.XLOOKUP(O394,EGPro!A:A,EGPro!D:D)</f>
        <v>#N/A</v>
      </c>
      <c r="Q394" t="e">
        <f>_xlfn.XLOOKUP(O394,EGPro!A:A,EGPro!C:C)</f>
        <v>#N/A</v>
      </c>
    </row>
    <row r="395" spans="1:17" x14ac:dyDescent="0.45">
      <c r="A395" s="3">
        <f>配列!B395</f>
        <v>0</v>
      </c>
      <c r="B395" s="3" t="e">
        <f>_xlfn.XLOOKUP(A395,対応表!A:A,対応表!B:B)</f>
        <v>#N/A</v>
      </c>
      <c r="C395" s="3">
        <f>配列!C395</f>
        <v>0</v>
      </c>
      <c r="D395" s="3" t="str">
        <f>IF(配列!E395="",RIGHT(配列!D395&amp;配列!E395,4)&amp;"L",RIGHT(配列!D395&amp;配列!E395,5))</f>
        <v>L</v>
      </c>
      <c r="E395" s="3">
        <f t="shared" si="24"/>
        <v>0</v>
      </c>
      <c r="F395" s="3" t="e">
        <f>_xlfn.XLOOKUP(E395,セットアップレポート_紐づけ用!A:A,セットアップレポート_紐づけ用!J:J)</f>
        <v>#N/A</v>
      </c>
      <c r="G395" s="3" t="e">
        <f>_xlfn.XLOOKUP(E395,セットアップレポート_紐づけ用!A:A,セットアップレポート_紐づけ用!V:V)</f>
        <v>#N/A</v>
      </c>
      <c r="H395" s="3">
        <f t="shared" si="27"/>
        <v>-2</v>
      </c>
      <c r="I395" t="str">
        <f>IF(J395=0,"",IF(配列!E395="",マクロ実行!$A$16 &amp;" T"&amp;H395&amp;"-"&amp;RIGHT(配列!D395&amp;配列!E395,2),マクロ実行!$A$16 &amp;" T"&amp;H395&amp;"-"&amp;RIGHT(配列!D395&amp;配列!E395,3)))</f>
        <v/>
      </c>
      <c r="J395">
        <f>配列!F395</f>
        <v>0</v>
      </c>
      <c r="K395" s="2" t="e">
        <f>_xlfn.XLOOKUP(E395,セットアップレポート_紐づけ用!A:A,セットアップレポート_紐づけ用!R:R)</f>
        <v>#N/A</v>
      </c>
      <c r="L395" t="e">
        <f t="shared" si="25"/>
        <v>#N/A</v>
      </c>
      <c r="M395" t="e">
        <f>_xlfn.XLOOKUP(L395,EGPro!A:A,EGPro!D:D)</f>
        <v>#N/A</v>
      </c>
      <c r="N395" t="e">
        <f>_xlfn.XLOOKUP(L395,EGPro!A:A,EGPro!C:C)</f>
        <v>#N/A</v>
      </c>
      <c r="O395" t="e">
        <f t="shared" si="26"/>
        <v>#N/A</v>
      </c>
      <c r="P395" t="e">
        <f>_xlfn.XLOOKUP(O395,EGPro!A:A,EGPro!D:D)</f>
        <v>#N/A</v>
      </c>
      <c r="Q395" t="e">
        <f>_xlfn.XLOOKUP(O395,EGPro!A:A,EGPro!C:C)</f>
        <v>#N/A</v>
      </c>
    </row>
    <row r="396" spans="1:17" x14ac:dyDescent="0.45">
      <c r="A396" s="3">
        <f>配列!B396</f>
        <v>0</v>
      </c>
      <c r="B396" s="3" t="e">
        <f>_xlfn.XLOOKUP(A396,対応表!A:A,対応表!B:B)</f>
        <v>#N/A</v>
      </c>
      <c r="C396" s="3">
        <f>配列!C396</f>
        <v>0</v>
      </c>
      <c r="D396" s="3" t="str">
        <f>IF(配列!E396="",RIGHT(配列!D396&amp;配列!E396,4)&amp;"L",RIGHT(配列!D396&amp;配列!E396,5))</f>
        <v>L</v>
      </c>
      <c r="E396" s="3">
        <f t="shared" si="24"/>
        <v>0</v>
      </c>
      <c r="F396" s="3" t="e">
        <f>_xlfn.XLOOKUP(E396,セットアップレポート_紐づけ用!A:A,セットアップレポート_紐づけ用!J:J)</f>
        <v>#N/A</v>
      </c>
      <c r="G396" s="3" t="e">
        <f>_xlfn.XLOOKUP(E396,セットアップレポート_紐づけ用!A:A,セットアップレポート_紐づけ用!V:V)</f>
        <v>#N/A</v>
      </c>
      <c r="H396" s="3">
        <f t="shared" si="27"/>
        <v>-2</v>
      </c>
      <c r="I396" t="str">
        <f>IF(J396=0,"",IF(配列!E396="",マクロ実行!$A$16 &amp;" T"&amp;H396&amp;"-"&amp;RIGHT(配列!D396&amp;配列!E396,2),マクロ実行!$A$16 &amp;" T"&amp;H396&amp;"-"&amp;RIGHT(配列!D396&amp;配列!E396,3)))</f>
        <v/>
      </c>
      <c r="J396">
        <f>配列!F396</f>
        <v>0</v>
      </c>
      <c r="K396" s="2" t="e">
        <f>_xlfn.XLOOKUP(E396,セットアップレポート_紐づけ用!A:A,セットアップレポート_紐づけ用!R:R)</f>
        <v>#N/A</v>
      </c>
      <c r="L396" t="e">
        <f t="shared" si="25"/>
        <v>#N/A</v>
      </c>
      <c r="M396" t="e">
        <f>_xlfn.XLOOKUP(L396,EGPro!A:A,EGPro!D:D)</f>
        <v>#N/A</v>
      </c>
      <c r="N396" t="e">
        <f>_xlfn.XLOOKUP(L396,EGPro!A:A,EGPro!C:C)</f>
        <v>#N/A</v>
      </c>
      <c r="O396" t="e">
        <f t="shared" si="26"/>
        <v>#N/A</v>
      </c>
      <c r="P396" t="e">
        <f>_xlfn.XLOOKUP(O396,EGPro!A:A,EGPro!D:D)</f>
        <v>#N/A</v>
      </c>
      <c r="Q396" t="e">
        <f>_xlfn.XLOOKUP(O396,EGPro!A:A,EGPro!C:C)</f>
        <v>#N/A</v>
      </c>
    </row>
    <row r="397" spans="1:17" x14ac:dyDescent="0.45">
      <c r="A397" s="3">
        <f>配列!B397</f>
        <v>0</v>
      </c>
      <c r="B397" s="3" t="e">
        <f>_xlfn.XLOOKUP(A397,対応表!A:A,対応表!B:B)</f>
        <v>#N/A</v>
      </c>
      <c r="C397" s="3">
        <f>配列!C397</f>
        <v>0</v>
      </c>
      <c r="D397" s="3" t="str">
        <f>IF(配列!E397="",RIGHT(配列!D397&amp;配列!E397,4)&amp;"L",RIGHT(配列!D397&amp;配列!E397,5))</f>
        <v>L</v>
      </c>
      <c r="E397" s="3">
        <f t="shared" si="24"/>
        <v>0</v>
      </c>
      <c r="F397" s="3" t="e">
        <f>_xlfn.XLOOKUP(E397,セットアップレポート_紐づけ用!A:A,セットアップレポート_紐づけ用!J:J)</f>
        <v>#N/A</v>
      </c>
      <c r="G397" s="3" t="e">
        <f>_xlfn.XLOOKUP(E397,セットアップレポート_紐づけ用!A:A,セットアップレポート_紐づけ用!V:V)</f>
        <v>#N/A</v>
      </c>
      <c r="H397" s="3">
        <f t="shared" si="27"/>
        <v>-2</v>
      </c>
      <c r="I397" t="str">
        <f>IF(J397=0,"",IF(配列!E397="",マクロ実行!$A$16 &amp;" T"&amp;H397&amp;"-"&amp;RIGHT(配列!D397&amp;配列!E397,2),マクロ実行!$A$16 &amp;" T"&amp;H397&amp;"-"&amp;RIGHT(配列!D397&amp;配列!E397,3)))</f>
        <v/>
      </c>
      <c r="J397">
        <f>配列!F397</f>
        <v>0</v>
      </c>
      <c r="K397" s="2" t="e">
        <f>_xlfn.XLOOKUP(E397,セットアップレポート_紐づけ用!A:A,セットアップレポート_紐づけ用!R:R)</f>
        <v>#N/A</v>
      </c>
      <c r="L397" t="e">
        <f t="shared" si="25"/>
        <v>#N/A</v>
      </c>
      <c r="M397" t="e">
        <f>_xlfn.XLOOKUP(L397,EGPro!A:A,EGPro!D:D)</f>
        <v>#N/A</v>
      </c>
      <c r="N397" t="e">
        <f>_xlfn.XLOOKUP(L397,EGPro!A:A,EGPro!C:C)</f>
        <v>#N/A</v>
      </c>
      <c r="O397" t="e">
        <f t="shared" si="26"/>
        <v>#N/A</v>
      </c>
      <c r="P397" t="e">
        <f>_xlfn.XLOOKUP(O397,EGPro!A:A,EGPro!D:D)</f>
        <v>#N/A</v>
      </c>
      <c r="Q397" t="e">
        <f>_xlfn.XLOOKUP(O397,EGPro!A:A,EGPro!C:C)</f>
        <v>#N/A</v>
      </c>
    </row>
    <row r="398" spans="1:17" x14ac:dyDescent="0.45">
      <c r="A398" s="3">
        <f>配列!B398</f>
        <v>0</v>
      </c>
      <c r="B398" s="3" t="e">
        <f>_xlfn.XLOOKUP(A398,対応表!A:A,対応表!B:B)</f>
        <v>#N/A</v>
      </c>
      <c r="C398" s="3">
        <f>配列!C398</f>
        <v>0</v>
      </c>
      <c r="D398" s="3" t="str">
        <f>IF(配列!E398="",RIGHT(配列!D398&amp;配列!E398,4)&amp;"L",RIGHT(配列!D398&amp;配列!E398,5))</f>
        <v>L</v>
      </c>
      <c r="E398" s="3">
        <f t="shared" si="24"/>
        <v>0</v>
      </c>
      <c r="F398" s="3" t="e">
        <f>_xlfn.XLOOKUP(E398,セットアップレポート_紐づけ用!A:A,セットアップレポート_紐づけ用!J:J)</f>
        <v>#N/A</v>
      </c>
      <c r="G398" s="3" t="e">
        <f>_xlfn.XLOOKUP(E398,セットアップレポート_紐づけ用!A:A,セットアップレポート_紐づけ用!V:V)</f>
        <v>#N/A</v>
      </c>
      <c r="H398" s="3">
        <f t="shared" si="27"/>
        <v>-2</v>
      </c>
      <c r="I398" t="str">
        <f>IF(J398=0,"",IF(配列!E398="",マクロ実行!$A$16 &amp;" T"&amp;H398&amp;"-"&amp;RIGHT(配列!D398&amp;配列!E398,2),マクロ実行!$A$16 &amp;" T"&amp;H398&amp;"-"&amp;RIGHT(配列!D398&amp;配列!E398,3)))</f>
        <v/>
      </c>
      <c r="J398">
        <f>配列!F398</f>
        <v>0</v>
      </c>
      <c r="K398" s="2" t="e">
        <f>_xlfn.XLOOKUP(E398,セットアップレポート_紐づけ用!A:A,セットアップレポート_紐づけ用!R:R)</f>
        <v>#N/A</v>
      </c>
      <c r="L398" t="e">
        <f t="shared" si="25"/>
        <v>#N/A</v>
      </c>
      <c r="M398" t="e">
        <f>_xlfn.XLOOKUP(L398,EGPro!A:A,EGPro!D:D)</f>
        <v>#N/A</v>
      </c>
      <c r="N398" t="e">
        <f>_xlfn.XLOOKUP(L398,EGPro!A:A,EGPro!C:C)</f>
        <v>#N/A</v>
      </c>
      <c r="O398" t="e">
        <f t="shared" si="26"/>
        <v>#N/A</v>
      </c>
      <c r="P398" t="e">
        <f>_xlfn.XLOOKUP(O398,EGPro!A:A,EGPro!D:D)</f>
        <v>#N/A</v>
      </c>
      <c r="Q398" t="e">
        <f>_xlfn.XLOOKUP(O398,EGPro!A:A,EGPro!C:C)</f>
        <v>#N/A</v>
      </c>
    </row>
    <row r="399" spans="1:17" x14ac:dyDescent="0.45">
      <c r="A399" s="3">
        <f>配列!B399</f>
        <v>0</v>
      </c>
      <c r="B399" s="3" t="e">
        <f>_xlfn.XLOOKUP(A399,対応表!A:A,対応表!B:B)</f>
        <v>#N/A</v>
      </c>
      <c r="C399" s="3">
        <f>配列!C399</f>
        <v>0</v>
      </c>
      <c r="D399" s="3" t="str">
        <f>IF(配列!E399="",RIGHT(配列!D399&amp;配列!E399,4)&amp;"L",RIGHT(配列!D399&amp;配列!E399,5))</f>
        <v>L</v>
      </c>
      <c r="E399" s="3">
        <f t="shared" si="24"/>
        <v>0</v>
      </c>
      <c r="F399" s="3" t="e">
        <f>_xlfn.XLOOKUP(E399,セットアップレポート_紐づけ用!A:A,セットアップレポート_紐づけ用!J:J)</f>
        <v>#N/A</v>
      </c>
      <c r="G399" s="3" t="e">
        <f>_xlfn.XLOOKUP(E399,セットアップレポート_紐づけ用!A:A,セットアップレポート_紐づけ用!V:V)</f>
        <v>#N/A</v>
      </c>
      <c r="H399" s="3">
        <f t="shared" si="27"/>
        <v>-2</v>
      </c>
      <c r="I399" t="str">
        <f>IF(J399=0,"",IF(配列!E399="",マクロ実行!$A$16 &amp;" T"&amp;H399&amp;"-"&amp;RIGHT(配列!D399&amp;配列!E399,2),マクロ実行!$A$16 &amp;" T"&amp;H399&amp;"-"&amp;RIGHT(配列!D399&amp;配列!E399,3)))</f>
        <v/>
      </c>
      <c r="J399">
        <f>配列!F399</f>
        <v>0</v>
      </c>
      <c r="K399" s="2" t="e">
        <f>_xlfn.XLOOKUP(E399,セットアップレポート_紐づけ用!A:A,セットアップレポート_紐づけ用!R:R)</f>
        <v>#N/A</v>
      </c>
      <c r="L399" t="e">
        <f t="shared" si="25"/>
        <v>#N/A</v>
      </c>
      <c r="M399" t="e">
        <f>_xlfn.XLOOKUP(L399,EGPro!A:A,EGPro!D:D)</f>
        <v>#N/A</v>
      </c>
      <c r="N399" t="e">
        <f>_xlfn.XLOOKUP(L399,EGPro!A:A,EGPro!C:C)</f>
        <v>#N/A</v>
      </c>
      <c r="O399" t="e">
        <f t="shared" si="26"/>
        <v>#N/A</v>
      </c>
      <c r="P399" t="e">
        <f>_xlfn.XLOOKUP(O399,EGPro!A:A,EGPro!D:D)</f>
        <v>#N/A</v>
      </c>
      <c r="Q399" t="e">
        <f>_xlfn.XLOOKUP(O399,EGPro!A:A,EGPro!C:C)</f>
        <v>#N/A</v>
      </c>
    </row>
    <row r="400" spans="1:17" x14ac:dyDescent="0.45">
      <c r="A400" s="3">
        <f>配列!B400</f>
        <v>0</v>
      </c>
      <c r="B400" s="3" t="e">
        <f>_xlfn.XLOOKUP(A400,対応表!A:A,対応表!B:B)</f>
        <v>#N/A</v>
      </c>
      <c r="C400" s="3">
        <f>配列!C400</f>
        <v>0</v>
      </c>
      <c r="D400" s="3" t="str">
        <f>IF(配列!E400="",RIGHT(配列!D400&amp;配列!E400,4)&amp;"L",RIGHT(配列!D400&amp;配列!E400,5))</f>
        <v>L</v>
      </c>
      <c r="E400" s="3">
        <f t="shared" si="24"/>
        <v>0</v>
      </c>
      <c r="F400" s="3" t="e">
        <f>_xlfn.XLOOKUP(E400,セットアップレポート_紐づけ用!A:A,セットアップレポート_紐づけ用!J:J)</f>
        <v>#N/A</v>
      </c>
      <c r="G400" s="3" t="e">
        <f>_xlfn.XLOOKUP(E400,セットアップレポート_紐づけ用!A:A,セットアップレポート_紐づけ用!V:V)</f>
        <v>#N/A</v>
      </c>
      <c r="H400" s="3">
        <f t="shared" si="27"/>
        <v>-2</v>
      </c>
      <c r="I400" t="str">
        <f>IF(J400=0,"",IF(配列!E400="",マクロ実行!$A$16 &amp;" T"&amp;H400&amp;"-"&amp;RIGHT(配列!D400&amp;配列!E400,2),マクロ実行!$A$16 &amp;" T"&amp;H400&amp;"-"&amp;RIGHT(配列!D400&amp;配列!E400,3)))</f>
        <v/>
      </c>
      <c r="J400">
        <f>配列!F400</f>
        <v>0</v>
      </c>
      <c r="K400" s="2" t="e">
        <f>_xlfn.XLOOKUP(E400,セットアップレポート_紐づけ用!A:A,セットアップレポート_紐づけ用!R:R)</f>
        <v>#N/A</v>
      </c>
      <c r="L400" t="e">
        <f t="shared" si="25"/>
        <v>#N/A</v>
      </c>
      <c r="M400" t="e">
        <f>_xlfn.XLOOKUP(L400,EGPro!A:A,EGPro!D:D)</f>
        <v>#N/A</v>
      </c>
      <c r="N400" t="e">
        <f>_xlfn.XLOOKUP(L400,EGPro!A:A,EGPro!C:C)</f>
        <v>#N/A</v>
      </c>
      <c r="O400" t="e">
        <f t="shared" si="26"/>
        <v>#N/A</v>
      </c>
      <c r="P400" t="e">
        <f>_xlfn.XLOOKUP(O400,EGPro!A:A,EGPro!D:D)</f>
        <v>#N/A</v>
      </c>
      <c r="Q400" t="e">
        <f>_xlfn.XLOOKUP(O400,EGPro!A:A,EGPro!C:C)</f>
        <v>#N/A</v>
      </c>
    </row>
    <row r="401" spans="1:17" x14ac:dyDescent="0.45">
      <c r="A401" s="3">
        <f>配列!B401</f>
        <v>0</v>
      </c>
      <c r="B401" s="3" t="e">
        <f>_xlfn.XLOOKUP(A401,対応表!A:A,対応表!B:B)</f>
        <v>#N/A</v>
      </c>
      <c r="C401" s="3">
        <f>配列!C401</f>
        <v>0</v>
      </c>
      <c r="D401" s="3" t="str">
        <f>IF(配列!E401="",RIGHT(配列!D401&amp;配列!E401,4)&amp;"L",RIGHT(配列!D401&amp;配列!E401,5))</f>
        <v>L</v>
      </c>
      <c r="E401" s="3">
        <f t="shared" si="24"/>
        <v>0</v>
      </c>
      <c r="F401" s="3" t="e">
        <f>_xlfn.XLOOKUP(E401,セットアップレポート_紐づけ用!A:A,セットアップレポート_紐づけ用!J:J)</f>
        <v>#N/A</v>
      </c>
      <c r="G401" s="3" t="e">
        <f>_xlfn.XLOOKUP(E401,セットアップレポート_紐づけ用!A:A,セットアップレポート_紐づけ用!V:V)</f>
        <v>#N/A</v>
      </c>
      <c r="H401" s="3">
        <f t="shared" si="27"/>
        <v>-2</v>
      </c>
      <c r="I401" t="str">
        <f>IF(J401=0,"",IF(配列!E401="",マクロ実行!$A$16 &amp;" T"&amp;H401&amp;"-"&amp;RIGHT(配列!D401&amp;配列!E401,2),マクロ実行!$A$16 &amp;" T"&amp;H401&amp;"-"&amp;RIGHT(配列!D401&amp;配列!E401,3)))</f>
        <v/>
      </c>
      <c r="J401">
        <f>配列!F401</f>
        <v>0</v>
      </c>
      <c r="K401" s="2" t="e">
        <f>_xlfn.XLOOKUP(E401,セットアップレポート_紐づけ用!A:A,セットアップレポート_紐づけ用!R:R)</f>
        <v>#N/A</v>
      </c>
      <c r="L401" t="e">
        <f t="shared" si="25"/>
        <v>#N/A</v>
      </c>
      <c r="M401" t="e">
        <f>_xlfn.XLOOKUP(L401,EGPro!A:A,EGPro!D:D)</f>
        <v>#N/A</v>
      </c>
      <c r="N401" t="e">
        <f>_xlfn.XLOOKUP(L401,EGPro!A:A,EGPro!C:C)</f>
        <v>#N/A</v>
      </c>
      <c r="O401" t="e">
        <f t="shared" si="26"/>
        <v>#N/A</v>
      </c>
      <c r="P401" t="e">
        <f>_xlfn.XLOOKUP(O401,EGPro!A:A,EGPro!D:D)</f>
        <v>#N/A</v>
      </c>
      <c r="Q401" t="e">
        <f>_xlfn.XLOOKUP(O401,EGPro!A:A,EGPro!C:C)</f>
        <v>#N/A</v>
      </c>
    </row>
    <row r="402" spans="1:17" x14ac:dyDescent="0.45">
      <c r="A402" s="3">
        <f>配列!B402</f>
        <v>0</v>
      </c>
      <c r="B402" s="3" t="e">
        <f>_xlfn.XLOOKUP(A402,対応表!A:A,対応表!B:B)</f>
        <v>#N/A</v>
      </c>
      <c r="C402" s="3">
        <f>配列!C402</f>
        <v>0</v>
      </c>
      <c r="D402" s="3" t="str">
        <f>IF(配列!E402="",RIGHT(配列!D402&amp;配列!E402,4)&amp;"L",RIGHT(配列!D402&amp;配列!E402,5))</f>
        <v>L</v>
      </c>
      <c r="E402" s="3">
        <f t="shared" si="24"/>
        <v>0</v>
      </c>
      <c r="F402" s="3" t="e">
        <f>_xlfn.XLOOKUP(E402,セットアップレポート_紐づけ用!A:A,セットアップレポート_紐づけ用!J:J)</f>
        <v>#N/A</v>
      </c>
      <c r="G402" s="3" t="e">
        <f>_xlfn.XLOOKUP(E402,セットアップレポート_紐づけ用!A:A,セットアップレポート_紐づけ用!V:V)</f>
        <v>#N/A</v>
      </c>
      <c r="H402" s="3">
        <f t="shared" si="27"/>
        <v>-2</v>
      </c>
      <c r="I402" t="str">
        <f>IF(J402=0,"",IF(配列!E402="",マクロ実行!$A$16 &amp;" T"&amp;H402&amp;"-"&amp;RIGHT(配列!D402&amp;配列!E402,2),マクロ実行!$A$16 &amp;" T"&amp;H402&amp;"-"&amp;RIGHT(配列!D402&amp;配列!E402,3)))</f>
        <v/>
      </c>
      <c r="J402">
        <f>配列!F402</f>
        <v>0</v>
      </c>
      <c r="K402" s="2" t="e">
        <f>_xlfn.XLOOKUP(E402,セットアップレポート_紐づけ用!A:A,セットアップレポート_紐づけ用!R:R)</f>
        <v>#N/A</v>
      </c>
      <c r="L402" t="e">
        <f t="shared" si="25"/>
        <v>#N/A</v>
      </c>
      <c r="M402" t="e">
        <f>_xlfn.XLOOKUP(L402,EGPro!A:A,EGPro!D:D)</f>
        <v>#N/A</v>
      </c>
      <c r="N402" t="e">
        <f>_xlfn.XLOOKUP(L402,EGPro!A:A,EGPro!C:C)</f>
        <v>#N/A</v>
      </c>
      <c r="O402" t="e">
        <f t="shared" si="26"/>
        <v>#N/A</v>
      </c>
      <c r="P402" t="e">
        <f>_xlfn.XLOOKUP(O402,EGPro!A:A,EGPro!D:D)</f>
        <v>#N/A</v>
      </c>
      <c r="Q402" t="e">
        <f>_xlfn.XLOOKUP(O402,EGPro!A:A,EGPro!C:C)</f>
        <v>#N/A</v>
      </c>
    </row>
    <row r="403" spans="1:17" x14ac:dyDescent="0.45">
      <c r="A403" s="3">
        <f>配列!B403</f>
        <v>0</v>
      </c>
      <c r="B403" s="3" t="e">
        <f>_xlfn.XLOOKUP(A403,対応表!A:A,対応表!B:B)</f>
        <v>#N/A</v>
      </c>
      <c r="C403" s="3">
        <f>配列!C403</f>
        <v>0</v>
      </c>
      <c r="D403" s="3" t="str">
        <f>IF(配列!E403="",RIGHT(配列!D403&amp;配列!E403,4)&amp;"L",RIGHT(配列!D403&amp;配列!E403,5))</f>
        <v>L</v>
      </c>
      <c r="E403" s="3">
        <f t="shared" si="24"/>
        <v>0</v>
      </c>
      <c r="F403" s="3" t="e">
        <f>_xlfn.XLOOKUP(E403,セットアップレポート_紐づけ用!A:A,セットアップレポート_紐づけ用!J:J)</f>
        <v>#N/A</v>
      </c>
      <c r="G403" s="3" t="e">
        <f>_xlfn.XLOOKUP(E403,セットアップレポート_紐づけ用!A:A,セットアップレポート_紐づけ用!V:V)</f>
        <v>#N/A</v>
      </c>
      <c r="H403" s="3">
        <f t="shared" si="27"/>
        <v>-2</v>
      </c>
      <c r="I403" t="str">
        <f>IF(J403=0,"",IF(配列!E403="",マクロ実行!$A$16 &amp;" T"&amp;H403&amp;"-"&amp;RIGHT(配列!D403&amp;配列!E403,2),マクロ実行!$A$16 &amp;" T"&amp;H403&amp;"-"&amp;RIGHT(配列!D403&amp;配列!E403,3)))</f>
        <v/>
      </c>
      <c r="J403">
        <f>配列!F403</f>
        <v>0</v>
      </c>
      <c r="K403" s="2" t="e">
        <f>_xlfn.XLOOKUP(E403,セットアップレポート_紐づけ用!A:A,セットアップレポート_紐づけ用!R:R)</f>
        <v>#N/A</v>
      </c>
      <c r="L403" t="e">
        <f t="shared" si="25"/>
        <v>#N/A</v>
      </c>
      <c r="M403" t="e">
        <f>_xlfn.XLOOKUP(L403,EGPro!A:A,EGPro!D:D)</f>
        <v>#N/A</v>
      </c>
      <c r="N403" t="e">
        <f>_xlfn.XLOOKUP(L403,EGPro!A:A,EGPro!C:C)</f>
        <v>#N/A</v>
      </c>
      <c r="O403" t="e">
        <f t="shared" si="26"/>
        <v>#N/A</v>
      </c>
      <c r="P403" t="e">
        <f>_xlfn.XLOOKUP(O403,EGPro!A:A,EGPro!D:D)</f>
        <v>#N/A</v>
      </c>
      <c r="Q403" t="e">
        <f>_xlfn.XLOOKUP(O403,EGPro!A:A,EGPro!C:C)</f>
        <v>#N/A</v>
      </c>
    </row>
    <row r="404" spans="1:17" x14ac:dyDescent="0.45">
      <c r="A404" s="3">
        <f>配列!B404</f>
        <v>0</v>
      </c>
      <c r="B404" s="3" t="e">
        <f>_xlfn.XLOOKUP(A404,対応表!A:A,対応表!B:B)</f>
        <v>#N/A</v>
      </c>
      <c r="C404" s="3">
        <f>配列!C404</f>
        <v>0</v>
      </c>
      <c r="D404" s="3" t="str">
        <f>IF(配列!E404="",RIGHT(配列!D404&amp;配列!E404,4)&amp;"L",RIGHT(配列!D404&amp;配列!E404,5))</f>
        <v>L</v>
      </c>
      <c r="E404" s="3">
        <f t="shared" si="24"/>
        <v>0</v>
      </c>
      <c r="F404" s="3" t="e">
        <f>_xlfn.XLOOKUP(E404,セットアップレポート_紐づけ用!A:A,セットアップレポート_紐づけ用!J:J)</f>
        <v>#N/A</v>
      </c>
      <c r="G404" s="3" t="e">
        <f>_xlfn.XLOOKUP(E404,セットアップレポート_紐づけ用!A:A,セットアップレポート_紐づけ用!V:V)</f>
        <v>#N/A</v>
      </c>
      <c r="H404" s="3">
        <f t="shared" si="27"/>
        <v>-2</v>
      </c>
      <c r="I404" t="str">
        <f>IF(J404=0,"",IF(配列!E404="",マクロ実行!$A$16 &amp;" T"&amp;H404&amp;"-"&amp;RIGHT(配列!D404&amp;配列!E404,2),マクロ実行!$A$16 &amp;" T"&amp;H404&amp;"-"&amp;RIGHT(配列!D404&amp;配列!E404,3)))</f>
        <v/>
      </c>
      <c r="J404">
        <f>配列!F404</f>
        <v>0</v>
      </c>
      <c r="K404" s="2" t="e">
        <f>_xlfn.XLOOKUP(E404,セットアップレポート_紐づけ用!A:A,セットアップレポート_紐づけ用!R:R)</f>
        <v>#N/A</v>
      </c>
      <c r="L404" t="e">
        <f t="shared" si="25"/>
        <v>#N/A</v>
      </c>
      <c r="M404" t="e">
        <f>_xlfn.XLOOKUP(L404,EGPro!A:A,EGPro!D:D)</f>
        <v>#N/A</v>
      </c>
      <c r="N404" t="e">
        <f>_xlfn.XLOOKUP(L404,EGPro!A:A,EGPro!C:C)</f>
        <v>#N/A</v>
      </c>
      <c r="O404" t="e">
        <f t="shared" si="26"/>
        <v>#N/A</v>
      </c>
      <c r="P404" t="e">
        <f>_xlfn.XLOOKUP(O404,EGPro!A:A,EGPro!D:D)</f>
        <v>#N/A</v>
      </c>
      <c r="Q404" t="e">
        <f>_xlfn.XLOOKUP(O404,EGPro!A:A,EGPro!C:C)</f>
        <v>#N/A</v>
      </c>
    </row>
    <row r="405" spans="1:17" x14ac:dyDescent="0.45">
      <c r="A405" s="3">
        <f>配列!B405</f>
        <v>0</v>
      </c>
      <c r="B405" s="3" t="e">
        <f>_xlfn.XLOOKUP(A405,対応表!A:A,対応表!B:B)</f>
        <v>#N/A</v>
      </c>
      <c r="C405" s="3">
        <f>配列!C405</f>
        <v>0</v>
      </c>
      <c r="D405" s="3" t="str">
        <f>IF(配列!E405="",RIGHT(配列!D405&amp;配列!E405,4)&amp;"L",RIGHT(配列!D405&amp;配列!E405,5))</f>
        <v>L</v>
      </c>
      <c r="E405" s="3">
        <f t="shared" si="24"/>
        <v>0</v>
      </c>
      <c r="F405" s="3" t="e">
        <f>_xlfn.XLOOKUP(E405,セットアップレポート_紐づけ用!A:A,セットアップレポート_紐づけ用!J:J)</f>
        <v>#N/A</v>
      </c>
      <c r="G405" s="3" t="e">
        <f>_xlfn.XLOOKUP(E405,セットアップレポート_紐づけ用!A:A,セットアップレポート_紐づけ用!V:V)</f>
        <v>#N/A</v>
      </c>
      <c r="H405" s="3">
        <f t="shared" si="27"/>
        <v>-2</v>
      </c>
      <c r="I405" t="str">
        <f>IF(J405=0,"",IF(配列!E405="",マクロ実行!$A$16 &amp;" T"&amp;H405&amp;"-"&amp;RIGHT(配列!D405&amp;配列!E405,2),マクロ実行!$A$16 &amp;" T"&amp;H405&amp;"-"&amp;RIGHT(配列!D405&amp;配列!E405,3)))</f>
        <v/>
      </c>
      <c r="J405">
        <f>配列!F405</f>
        <v>0</v>
      </c>
      <c r="K405" s="2" t="e">
        <f>_xlfn.XLOOKUP(E405,セットアップレポート_紐づけ用!A:A,セットアップレポート_紐づけ用!R:R)</f>
        <v>#N/A</v>
      </c>
      <c r="L405" t="e">
        <f t="shared" si="25"/>
        <v>#N/A</v>
      </c>
      <c r="M405" t="e">
        <f>_xlfn.XLOOKUP(L405,EGPro!A:A,EGPro!D:D)</f>
        <v>#N/A</v>
      </c>
      <c r="N405" t="e">
        <f>_xlfn.XLOOKUP(L405,EGPro!A:A,EGPro!C:C)</f>
        <v>#N/A</v>
      </c>
      <c r="O405" t="e">
        <f t="shared" si="26"/>
        <v>#N/A</v>
      </c>
      <c r="P405" t="e">
        <f>_xlfn.XLOOKUP(O405,EGPro!A:A,EGPro!D:D)</f>
        <v>#N/A</v>
      </c>
      <c r="Q405" t="e">
        <f>_xlfn.XLOOKUP(O405,EGPro!A:A,EGPro!C:C)</f>
        <v>#N/A</v>
      </c>
    </row>
    <row r="406" spans="1:17" x14ac:dyDescent="0.45">
      <c r="A406" s="3">
        <f>配列!B406</f>
        <v>0</v>
      </c>
      <c r="B406" s="3" t="e">
        <f>_xlfn.XLOOKUP(A406,対応表!A:A,対応表!B:B)</f>
        <v>#N/A</v>
      </c>
      <c r="C406" s="3">
        <f>配列!C406</f>
        <v>0</v>
      </c>
      <c r="D406" s="3" t="str">
        <f>IF(配列!E406="",RIGHT(配列!D406&amp;配列!E406,4)&amp;"L",RIGHT(配列!D406&amp;配列!E406,5))</f>
        <v>L</v>
      </c>
      <c r="E406" s="3">
        <f t="shared" si="24"/>
        <v>0</v>
      </c>
      <c r="F406" s="3" t="e">
        <f>_xlfn.XLOOKUP(E406,セットアップレポート_紐づけ用!A:A,セットアップレポート_紐づけ用!J:J)</f>
        <v>#N/A</v>
      </c>
      <c r="G406" s="3" t="e">
        <f>_xlfn.XLOOKUP(E406,セットアップレポート_紐づけ用!A:A,セットアップレポート_紐づけ用!V:V)</f>
        <v>#N/A</v>
      </c>
      <c r="H406" s="3">
        <f t="shared" si="27"/>
        <v>-2</v>
      </c>
      <c r="I406" t="str">
        <f>IF(J406=0,"",IF(配列!E406="",マクロ実行!$A$16 &amp;" T"&amp;H406&amp;"-"&amp;RIGHT(配列!D406&amp;配列!E406,2),マクロ実行!$A$16 &amp;" T"&amp;H406&amp;"-"&amp;RIGHT(配列!D406&amp;配列!E406,3)))</f>
        <v/>
      </c>
      <c r="J406">
        <f>配列!F406</f>
        <v>0</v>
      </c>
      <c r="K406" s="2" t="e">
        <f>_xlfn.XLOOKUP(E406,セットアップレポート_紐づけ用!A:A,セットアップレポート_紐づけ用!R:R)</f>
        <v>#N/A</v>
      </c>
      <c r="L406" t="e">
        <f t="shared" si="25"/>
        <v>#N/A</v>
      </c>
      <c r="M406" t="e">
        <f>_xlfn.XLOOKUP(L406,EGPro!A:A,EGPro!D:D)</f>
        <v>#N/A</v>
      </c>
      <c r="N406" t="e">
        <f>_xlfn.XLOOKUP(L406,EGPro!A:A,EGPro!C:C)</f>
        <v>#N/A</v>
      </c>
      <c r="O406" t="e">
        <f t="shared" si="26"/>
        <v>#N/A</v>
      </c>
      <c r="P406" t="e">
        <f>_xlfn.XLOOKUP(O406,EGPro!A:A,EGPro!D:D)</f>
        <v>#N/A</v>
      </c>
      <c r="Q406" t="e">
        <f>_xlfn.XLOOKUP(O406,EGPro!A:A,EGPro!C:C)</f>
        <v>#N/A</v>
      </c>
    </row>
    <row r="407" spans="1:17" x14ac:dyDescent="0.45">
      <c r="A407" s="3">
        <f>配列!B407</f>
        <v>0</v>
      </c>
      <c r="B407" s="3" t="e">
        <f>_xlfn.XLOOKUP(A407,対応表!A:A,対応表!B:B)</f>
        <v>#N/A</v>
      </c>
      <c r="C407" s="3">
        <f>配列!C407</f>
        <v>0</v>
      </c>
      <c r="D407" s="3" t="str">
        <f>IF(配列!E407="",RIGHT(配列!D407&amp;配列!E407,4)&amp;"L",RIGHT(配列!D407&amp;配列!E407,5))</f>
        <v>L</v>
      </c>
      <c r="E407" s="3">
        <f t="shared" si="24"/>
        <v>0</v>
      </c>
      <c r="F407" s="3" t="e">
        <f>_xlfn.XLOOKUP(E407,セットアップレポート_紐づけ用!A:A,セットアップレポート_紐づけ用!J:J)</f>
        <v>#N/A</v>
      </c>
      <c r="G407" s="3" t="e">
        <f>_xlfn.XLOOKUP(E407,セットアップレポート_紐づけ用!A:A,セットアップレポート_紐づけ用!V:V)</f>
        <v>#N/A</v>
      </c>
      <c r="H407" s="3">
        <f t="shared" si="27"/>
        <v>-2</v>
      </c>
      <c r="I407" t="str">
        <f>IF(J407=0,"",IF(配列!E407="",マクロ実行!$A$16 &amp;" T"&amp;H407&amp;"-"&amp;RIGHT(配列!D407&amp;配列!E407,2),マクロ実行!$A$16 &amp;" T"&amp;H407&amp;"-"&amp;RIGHT(配列!D407&amp;配列!E407,3)))</f>
        <v/>
      </c>
      <c r="J407">
        <f>配列!F407</f>
        <v>0</v>
      </c>
      <c r="K407" s="2" t="e">
        <f>_xlfn.XLOOKUP(E407,セットアップレポート_紐づけ用!A:A,セットアップレポート_紐づけ用!R:R)</f>
        <v>#N/A</v>
      </c>
      <c r="L407" t="e">
        <f t="shared" si="25"/>
        <v>#N/A</v>
      </c>
      <c r="M407" t="e">
        <f>_xlfn.XLOOKUP(L407,EGPro!A:A,EGPro!D:D)</f>
        <v>#N/A</v>
      </c>
      <c r="N407" t="e">
        <f>_xlfn.XLOOKUP(L407,EGPro!A:A,EGPro!C:C)</f>
        <v>#N/A</v>
      </c>
      <c r="O407" t="e">
        <f t="shared" si="26"/>
        <v>#N/A</v>
      </c>
      <c r="P407" t="e">
        <f>_xlfn.XLOOKUP(O407,EGPro!A:A,EGPro!D:D)</f>
        <v>#N/A</v>
      </c>
      <c r="Q407" t="e">
        <f>_xlfn.XLOOKUP(O407,EGPro!A:A,EGPro!C:C)</f>
        <v>#N/A</v>
      </c>
    </row>
    <row r="408" spans="1:17" x14ac:dyDescent="0.45">
      <c r="A408" s="3">
        <f>配列!B408</f>
        <v>0</v>
      </c>
      <c r="B408" s="3" t="e">
        <f>_xlfn.XLOOKUP(A408,対応表!A:A,対応表!B:B)</f>
        <v>#N/A</v>
      </c>
      <c r="C408" s="3">
        <f>配列!C408</f>
        <v>0</v>
      </c>
      <c r="D408" s="3" t="str">
        <f>IF(配列!E408="",RIGHT(配列!D408&amp;配列!E408,4)&amp;"L",RIGHT(配列!D408&amp;配列!E408,5))</f>
        <v>L</v>
      </c>
      <c r="E408" s="3">
        <f t="shared" si="24"/>
        <v>0</v>
      </c>
      <c r="F408" s="3" t="e">
        <f>_xlfn.XLOOKUP(E408,セットアップレポート_紐づけ用!A:A,セットアップレポート_紐づけ用!J:J)</f>
        <v>#N/A</v>
      </c>
      <c r="G408" s="3" t="e">
        <f>_xlfn.XLOOKUP(E408,セットアップレポート_紐づけ用!A:A,セットアップレポート_紐づけ用!V:V)</f>
        <v>#N/A</v>
      </c>
      <c r="H408" s="3">
        <f t="shared" si="27"/>
        <v>-2</v>
      </c>
      <c r="I408" t="str">
        <f>IF(J408=0,"",IF(配列!E408="",マクロ実行!$A$16 &amp;" T"&amp;H408&amp;"-"&amp;RIGHT(配列!D408&amp;配列!E408,2),マクロ実行!$A$16 &amp;" T"&amp;H408&amp;"-"&amp;RIGHT(配列!D408&amp;配列!E408,3)))</f>
        <v/>
      </c>
      <c r="J408">
        <f>配列!F408</f>
        <v>0</v>
      </c>
      <c r="K408" s="2" t="e">
        <f>_xlfn.XLOOKUP(E408,セットアップレポート_紐づけ用!A:A,セットアップレポート_紐づけ用!R:R)</f>
        <v>#N/A</v>
      </c>
      <c r="L408" t="e">
        <f t="shared" si="25"/>
        <v>#N/A</v>
      </c>
      <c r="M408" t="e">
        <f>_xlfn.XLOOKUP(L408,EGPro!A:A,EGPro!D:D)</f>
        <v>#N/A</v>
      </c>
      <c r="N408" t="e">
        <f>_xlfn.XLOOKUP(L408,EGPro!A:A,EGPro!C:C)</f>
        <v>#N/A</v>
      </c>
      <c r="O408" t="e">
        <f t="shared" si="26"/>
        <v>#N/A</v>
      </c>
      <c r="P408" t="e">
        <f>_xlfn.XLOOKUP(O408,EGPro!A:A,EGPro!D:D)</f>
        <v>#N/A</v>
      </c>
      <c r="Q408" t="e">
        <f>_xlfn.XLOOKUP(O408,EGPro!A:A,EGPro!C:C)</f>
        <v>#N/A</v>
      </c>
    </row>
    <row r="409" spans="1:17" x14ac:dyDescent="0.45">
      <c r="A409" s="3">
        <f>配列!B409</f>
        <v>0</v>
      </c>
      <c r="B409" s="3" t="e">
        <f>_xlfn.XLOOKUP(A409,対応表!A:A,対応表!B:B)</f>
        <v>#N/A</v>
      </c>
      <c r="C409" s="3">
        <f>配列!C409</f>
        <v>0</v>
      </c>
      <c r="D409" s="3" t="str">
        <f>IF(配列!E409="",RIGHT(配列!D409&amp;配列!E409,4)&amp;"L",RIGHT(配列!D409&amp;配列!E409,5))</f>
        <v>L</v>
      </c>
      <c r="E409" s="3">
        <f t="shared" si="24"/>
        <v>0</v>
      </c>
      <c r="F409" s="3" t="e">
        <f>_xlfn.XLOOKUP(E409,セットアップレポート_紐づけ用!A:A,セットアップレポート_紐づけ用!J:J)</f>
        <v>#N/A</v>
      </c>
      <c r="G409" s="3" t="e">
        <f>_xlfn.XLOOKUP(E409,セットアップレポート_紐づけ用!A:A,セットアップレポート_紐づけ用!V:V)</f>
        <v>#N/A</v>
      </c>
      <c r="H409" s="3">
        <f t="shared" si="27"/>
        <v>-2</v>
      </c>
      <c r="I409" t="str">
        <f>IF(J409=0,"",IF(配列!E409="",マクロ実行!$A$16 &amp;" T"&amp;H409&amp;"-"&amp;RIGHT(配列!D409&amp;配列!E409,2),マクロ実行!$A$16 &amp;" T"&amp;H409&amp;"-"&amp;RIGHT(配列!D409&amp;配列!E409,3)))</f>
        <v/>
      </c>
      <c r="J409">
        <f>配列!F409</f>
        <v>0</v>
      </c>
      <c r="K409" s="2" t="e">
        <f>_xlfn.XLOOKUP(E409,セットアップレポート_紐づけ用!A:A,セットアップレポート_紐づけ用!R:R)</f>
        <v>#N/A</v>
      </c>
      <c r="L409" t="e">
        <f t="shared" si="25"/>
        <v>#N/A</v>
      </c>
      <c r="M409" t="e">
        <f>_xlfn.XLOOKUP(L409,EGPro!A:A,EGPro!D:D)</f>
        <v>#N/A</v>
      </c>
      <c r="N409" t="e">
        <f>_xlfn.XLOOKUP(L409,EGPro!A:A,EGPro!C:C)</f>
        <v>#N/A</v>
      </c>
      <c r="O409" t="e">
        <f t="shared" si="26"/>
        <v>#N/A</v>
      </c>
      <c r="P409" t="e">
        <f>_xlfn.XLOOKUP(O409,EGPro!A:A,EGPro!D:D)</f>
        <v>#N/A</v>
      </c>
      <c r="Q409" t="e">
        <f>_xlfn.XLOOKUP(O409,EGPro!A:A,EGPro!C:C)</f>
        <v>#N/A</v>
      </c>
    </row>
    <row r="410" spans="1:17" x14ac:dyDescent="0.45">
      <c r="A410" s="3">
        <f>配列!B410</f>
        <v>0</v>
      </c>
      <c r="B410" s="3" t="e">
        <f>_xlfn.XLOOKUP(A410,対応表!A:A,対応表!B:B)</f>
        <v>#N/A</v>
      </c>
      <c r="C410" s="3">
        <f>配列!C410</f>
        <v>0</v>
      </c>
      <c r="D410" s="3" t="str">
        <f>IF(配列!E410="",RIGHT(配列!D410&amp;配列!E410,4)&amp;"L",RIGHT(配列!D410&amp;配列!E410,5))</f>
        <v>L</v>
      </c>
      <c r="E410" s="3">
        <f t="shared" si="24"/>
        <v>0</v>
      </c>
      <c r="F410" s="3" t="e">
        <f>_xlfn.XLOOKUP(E410,セットアップレポート_紐づけ用!A:A,セットアップレポート_紐づけ用!J:J)</f>
        <v>#N/A</v>
      </c>
      <c r="G410" s="3" t="e">
        <f>_xlfn.XLOOKUP(E410,セットアップレポート_紐づけ用!A:A,セットアップレポート_紐づけ用!V:V)</f>
        <v>#N/A</v>
      </c>
      <c r="H410" s="3">
        <f t="shared" si="27"/>
        <v>-2</v>
      </c>
      <c r="I410" t="str">
        <f>IF(J410=0,"",IF(配列!E410="",マクロ実行!$A$16 &amp;" T"&amp;H410&amp;"-"&amp;RIGHT(配列!D410&amp;配列!E410,2),マクロ実行!$A$16 &amp;" T"&amp;H410&amp;"-"&amp;RIGHT(配列!D410&amp;配列!E410,3)))</f>
        <v/>
      </c>
      <c r="J410">
        <f>配列!F410</f>
        <v>0</v>
      </c>
      <c r="K410" s="2" t="e">
        <f>_xlfn.XLOOKUP(E410,セットアップレポート_紐づけ用!A:A,セットアップレポート_紐づけ用!R:R)</f>
        <v>#N/A</v>
      </c>
      <c r="L410" t="e">
        <f t="shared" si="25"/>
        <v>#N/A</v>
      </c>
      <c r="M410" t="e">
        <f>_xlfn.XLOOKUP(L410,EGPro!A:A,EGPro!D:D)</f>
        <v>#N/A</v>
      </c>
      <c r="N410" t="e">
        <f>_xlfn.XLOOKUP(L410,EGPro!A:A,EGPro!C:C)</f>
        <v>#N/A</v>
      </c>
      <c r="O410" t="e">
        <f t="shared" si="26"/>
        <v>#N/A</v>
      </c>
      <c r="P410" t="e">
        <f>_xlfn.XLOOKUP(O410,EGPro!A:A,EGPro!D:D)</f>
        <v>#N/A</v>
      </c>
      <c r="Q410" t="e">
        <f>_xlfn.XLOOKUP(O410,EGPro!A:A,EGPro!C:C)</f>
        <v>#N/A</v>
      </c>
    </row>
    <row r="411" spans="1:17" x14ac:dyDescent="0.45">
      <c r="A411" s="3">
        <f>配列!B411</f>
        <v>0</v>
      </c>
      <c r="B411" s="3" t="e">
        <f>_xlfn.XLOOKUP(A411,対応表!A:A,対応表!B:B)</f>
        <v>#N/A</v>
      </c>
      <c r="C411" s="3">
        <f>配列!C411</f>
        <v>0</v>
      </c>
      <c r="D411" s="3" t="str">
        <f>IF(配列!E411="",RIGHT(配列!D411&amp;配列!E411,4)&amp;"L",RIGHT(配列!D411&amp;配列!E411,5))</f>
        <v>L</v>
      </c>
      <c r="E411" s="3">
        <f t="shared" si="24"/>
        <v>0</v>
      </c>
      <c r="F411" s="3" t="e">
        <f>_xlfn.XLOOKUP(E411,セットアップレポート_紐づけ用!A:A,セットアップレポート_紐づけ用!J:J)</f>
        <v>#N/A</v>
      </c>
      <c r="G411" s="3" t="e">
        <f>_xlfn.XLOOKUP(E411,セットアップレポート_紐づけ用!A:A,セットアップレポート_紐づけ用!V:V)</f>
        <v>#N/A</v>
      </c>
      <c r="H411" s="3">
        <f t="shared" si="27"/>
        <v>-2</v>
      </c>
      <c r="I411" t="str">
        <f>IF(J411=0,"",IF(配列!E411="",マクロ実行!$A$16 &amp;" T"&amp;H411&amp;"-"&amp;RIGHT(配列!D411&amp;配列!E411,2),マクロ実行!$A$16 &amp;" T"&amp;H411&amp;"-"&amp;RIGHT(配列!D411&amp;配列!E411,3)))</f>
        <v/>
      </c>
      <c r="J411">
        <f>配列!F411</f>
        <v>0</v>
      </c>
      <c r="K411" s="2" t="e">
        <f>_xlfn.XLOOKUP(E411,セットアップレポート_紐づけ用!A:A,セットアップレポート_紐づけ用!R:R)</f>
        <v>#N/A</v>
      </c>
      <c r="L411" t="e">
        <f t="shared" si="25"/>
        <v>#N/A</v>
      </c>
      <c r="M411" t="e">
        <f>_xlfn.XLOOKUP(L411,EGPro!A:A,EGPro!D:D)</f>
        <v>#N/A</v>
      </c>
      <c r="N411" t="e">
        <f>_xlfn.XLOOKUP(L411,EGPro!A:A,EGPro!C:C)</f>
        <v>#N/A</v>
      </c>
      <c r="O411" t="e">
        <f t="shared" si="26"/>
        <v>#N/A</v>
      </c>
      <c r="P411" t="e">
        <f>_xlfn.XLOOKUP(O411,EGPro!A:A,EGPro!D:D)</f>
        <v>#N/A</v>
      </c>
      <c r="Q411" t="e">
        <f>_xlfn.XLOOKUP(O411,EGPro!A:A,EGPro!C:C)</f>
        <v>#N/A</v>
      </c>
    </row>
    <row r="412" spans="1:17" x14ac:dyDescent="0.45">
      <c r="A412" s="3">
        <f>配列!B412</f>
        <v>0</v>
      </c>
      <c r="B412" s="3" t="e">
        <f>_xlfn.XLOOKUP(A412,対応表!A:A,対応表!B:B)</f>
        <v>#N/A</v>
      </c>
      <c r="C412" s="3">
        <f>配列!C412</f>
        <v>0</v>
      </c>
      <c r="D412" s="3" t="str">
        <f>IF(配列!E412="",RIGHT(配列!D412&amp;配列!E412,4)&amp;"L",RIGHT(配列!D412&amp;配列!E412,5))</f>
        <v>L</v>
      </c>
      <c r="E412" s="3">
        <f t="shared" si="24"/>
        <v>0</v>
      </c>
      <c r="F412" s="3" t="e">
        <f>_xlfn.XLOOKUP(E412,セットアップレポート_紐づけ用!A:A,セットアップレポート_紐づけ用!J:J)</f>
        <v>#N/A</v>
      </c>
      <c r="G412" s="3" t="e">
        <f>_xlfn.XLOOKUP(E412,セットアップレポート_紐づけ用!A:A,セットアップレポート_紐づけ用!V:V)</f>
        <v>#N/A</v>
      </c>
      <c r="H412" s="3">
        <f t="shared" si="27"/>
        <v>-2</v>
      </c>
      <c r="I412" t="str">
        <f>IF(J412=0,"",IF(配列!E412="",マクロ実行!$A$16 &amp;" T"&amp;H412&amp;"-"&amp;RIGHT(配列!D412&amp;配列!E412,2),マクロ実行!$A$16 &amp;" T"&amp;H412&amp;"-"&amp;RIGHT(配列!D412&amp;配列!E412,3)))</f>
        <v/>
      </c>
      <c r="J412">
        <f>配列!F412</f>
        <v>0</v>
      </c>
      <c r="K412" s="2" t="e">
        <f>_xlfn.XLOOKUP(E412,セットアップレポート_紐づけ用!A:A,セットアップレポート_紐づけ用!R:R)</f>
        <v>#N/A</v>
      </c>
      <c r="L412" t="e">
        <f t="shared" si="25"/>
        <v>#N/A</v>
      </c>
      <c r="M412" t="e">
        <f>_xlfn.XLOOKUP(L412,EGPro!A:A,EGPro!D:D)</f>
        <v>#N/A</v>
      </c>
      <c r="N412" t="e">
        <f>_xlfn.XLOOKUP(L412,EGPro!A:A,EGPro!C:C)</f>
        <v>#N/A</v>
      </c>
      <c r="O412" t="e">
        <f t="shared" si="26"/>
        <v>#N/A</v>
      </c>
      <c r="P412" t="e">
        <f>_xlfn.XLOOKUP(O412,EGPro!A:A,EGPro!D:D)</f>
        <v>#N/A</v>
      </c>
      <c r="Q412" t="e">
        <f>_xlfn.XLOOKUP(O412,EGPro!A:A,EGPro!C:C)</f>
        <v>#N/A</v>
      </c>
    </row>
    <row r="413" spans="1:17" x14ac:dyDescent="0.45">
      <c r="A413" s="3">
        <f>配列!B413</f>
        <v>0</v>
      </c>
      <c r="B413" s="3" t="e">
        <f>_xlfn.XLOOKUP(A413,対応表!A:A,対応表!B:B)</f>
        <v>#N/A</v>
      </c>
      <c r="C413" s="3">
        <f>配列!C413</f>
        <v>0</v>
      </c>
      <c r="D413" s="3" t="str">
        <f>IF(配列!E413="",RIGHT(配列!D413&amp;配列!E413,4)&amp;"L",RIGHT(配列!D413&amp;配列!E413,5))</f>
        <v>L</v>
      </c>
      <c r="E413" s="3">
        <f t="shared" si="24"/>
        <v>0</v>
      </c>
      <c r="F413" s="3" t="e">
        <f>_xlfn.XLOOKUP(E413,セットアップレポート_紐づけ用!A:A,セットアップレポート_紐づけ用!J:J)</f>
        <v>#N/A</v>
      </c>
      <c r="G413" s="3" t="e">
        <f>_xlfn.XLOOKUP(E413,セットアップレポート_紐づけ用!A:A,セットアップレポート_紐づけ用!V:V)</f>
        <v>#N/A</v>
      </c>
      <c r="H413" s="3">
        <f t="shared" si="27"/>
        <v>-2</v>
      </c>
      <c r="I413" t="str">
        <f>IF(J413=0,"",IF(配列!E413="",マクロ実行!$A$16 &amp;" T"&amp;H413&amp;"-"&amp;RIGHT(配列!D413&amp;配列!E413,2),マクロ実行!$A$16 &amp;" T"&amp;H413&amp;"-"&amp;RIGHT(配列!D413&amp;配列!E413,3)))</f>
        <v/>
      </c>
      <c r="J413">
        <f>配列!F413</f>
        <v>0</v>
      </c>
      <c r="K413" s="2" t="e">
        <f>_xlfn.XLOOKUP(E413,セットアップレポート_紐づけ用!A:A,セットアップレポート_紐づけ用!R:R)</f>
        <v>#N/A</v>
      </c>
      <c r="L413" t="e">
        <f t="shared" si="25"/>
        <v>#N/A</v>
      </c>
      <c r="M413" t="e">
        <f>_xlfn.XLOOKUP(L413,EGPro!A:A,EGPro!D:D)</f>
        <v>#N/A</v>
      </c>
      <c r="N413" t="e">
        <f>_xlfn.XLOOKUP(L413,EGPro!A:A,EGPro!C:C)</f>
        <v>#N/A</v>
      </c>
      <c r="O413" t="e">
        <f t="shared" si="26"/>
        <v>#N/A</v>
      </c>
      <c r="P413" t="e">
        <f>_xlfn.XLOOKUP(O413,EGPro!A:A,EGPro!D:D)</f>
        <v>#N/A</v>
      </c>
      <c r="Q413" t="e">
        <f>_xlfn.XLOOKUP(O413,EGPro!A:A,EGPro!C:C)</f>
        <v>#N/A</v>
      </c>
    </row>
    <row r="414" spans="1:17" x14ac:dyDescent="0.45">
      <c r="A414" s="3">
        <f>配列!B414</f>
        <v>0</v>
      </c>
      <c r="B414" s="3" t="e">
        <f>_xlfn.XLOOKUP(A414,対応表!A:A,対応表!B:B)</f>
        <v>#N/A</v>
      </c>
      <c r="C414" s="3">
        <f>配列!C414</f>
        <v>0</v>
      </c>
      <c r="D414" s="3" t="str">
        <f>IF(配列!E414="",RIGHT(配列!D414&amp;配列!E414,4)&amp;"L",RIGHT(配列!D414&amp;配列!E414,5))</f>
        <v>L</v>
      </c>
      <c r="E414" s="3">
        <f t="shared" si="24"/>
        <v>0</v>
      </c>
      <c r="F414" s="3" t="e">
        <f>_xlfn.XLOOKUP(E414,セットアップレポート_紐づけ用!A:A,セットアップレポート_紐づけ用!J:J)</f>
        <v>#N/A</v>
      </c>
      <c r="G414" s="3" t="e">
        <f>_xlfn.XLOOKUP(E414,セットアップレポート_紐づけ用!A:A,セットアップレポート_紐づけ用!V:V)</f>
        <v>#N/A</v>
      </c>
      <c r="H414" s="3">
        <f t="shared" si="27"/>
        <v>-2</v>
      </c>
      <c r="I414" t="str">
        <f>IF(J414=0,"",IF(配列!E414="",マクロ実行!$A$16 &amp;" T"&amp;H414&amp;"-"&amp;RIGHT(配列!D414&amp;配列!E414,2),マクロ実行!$A$16 &amp;" T"&amp;H414&amp;"-"&amp;RIGHT(配列!D414&amp;配列!E414,3)))</f>
        <v/>
      </c>
      <c r="J414">
        <f>配列!F414</f>
        <v>0</v>
      </c>
      <c r="K414" s="2" t="e">
        <f>_xlfn.XLOOKUP(E414,セットアップレポート_紐づけ用!A:A,セットアップレポート_紐づけ用!R:R)</f>
        <v>#N/A</v>
      </c>
      <c r="L414" t="e">
        <f t="shared" si="25"/>
        <v>#N/A</v>
      </c>
      <c r="M414" t="e">
        <f>_xlfn.XLOOKUP(L414,EGPro!A:A,EGPro!D:D)</f>
        <v>#N/A</v>
      </c>
      <c r="N414" t="e">
        <f>_xlfn.XLOOKUP(L414,EGPro!A:A,EGPro!C:C)</f>
        <v>#N/A</v>
      </c>
      <c r="O414" t="e">
        <f t="shared" si="26"/>
        <v>#N/A</v>
      </c>
      <c r="P414" t="e">
        <f>_xlfn.XLOOKUP(O414,EGPro!A:A,EGPro!D:D)</f>
        <v>#N/A</v>
      </c>
      <c r="Q414" t="e">
        <f>_xlfn.XLOOKUP(O414,EGPro!A:A,EGPro!C:C)</f>
        <v>#N/A</v>
      </c>
    </row>
    <row r="415" spans="1:17" x14ac:dyDescent="0.45">
      <c r="A415" s="3">
        <f>配列!B415</f>
        <v>0</v>
      </c>
      <c r="B415" s="3" t="e">
        <f>_xlfn.XLOOKUP(A415,対応表!A:A,対応表!B:B)</f>
        <v>#N/A</v>
      </c>
      <c r="C415" s="3">
        <f>配列!C415</f>
        <v>0</v>
      </c>
      <c r="D415" s="3" t="str">
        <f>IF(配列!E415="",RIGHT(配列!D415&amp;配列!E415,4)&amp;"L",RIGHT(配列!D415&amp;配列!E415,5))</f>
        <v>L</v>
      </c>
      <c r="E415" s="3">
        <f t="shared" si="24"/>
        <v>0</v>
      </c>
      <c r="F415" s="3" t="e">
        <f>_xlfn.XLOOKUP(E415,セットアップレポート_紐づけ用!A:A,セットアップレポート_紐づけ用!J:J)</f>
        <v>#N/A</v>
      </c>
      <c r="G415" s="3" t="e">
        <f>_xlfn.XLOOKUP(E415,セットアップレポート_紐づけ用!A:A,セットアップレポート_紐づけ用!V:V)</f>
        <v>#N/A</v>
      </c>
      <c r="H415" s="3">
        <f t="shared" si="27"/>
        <v>-2</v>
      </c>
      <c r="I415" t="str">
        <f>IF(J415=0,"",IF(配列!E415="",マクロ実行!$A$16 &amp;" T"&amp;H415&amp;"-"&amp;RIGHT(配列!D415&amp;配列!E415,2),マクロ実行!$A$16 &amp;" T"&amp;H415&amp;"-"&amp;RIGHT(配列!D415&amp;配列!E415,3)))</f>
        <v/>
      </c>
      <c r="J415">
        <f>配列!F415</f>
        <v>0</v>
      </c>
      <c r="K415" s="2" t="e">
        <f>_xlfn.XLOOKUP(E415,セットアップレポート_紐づけ用!A:A,セットアップレポート_紐づけ用!R:R)</f>
        <v>#N/A</v>
      </c>
      <c r="L415" t="e">
        <f t="shared" si="25"/>
        <v>#N/A</v>
      </c>
      <c r="M415" t="e">
        <f>_xlfn.XLOOKUP(L415,EGPro!A:A,EGPro!D:D)</f>
        <v>#N/A</v>
      </c>
      <c r="N415" t="e">
        <f>_xlfn.XLOOKUP(L415,EGPro!A:A,EGPro!C:C)</f>
        <v>#N/A</v>
      </c>
      <c r="O415" t="e">
        <f t="shared" si="26"/>
        <v>#N/A</v>
      </c>
      <c r="P415" t="e">
        <f>_xlfn.XLOOKUP(O415,EGPro!A:A,EGPro!D:D)</f>
        <v>#N/A</v>
      </c>
      <c r="Q415" t="e">
        <f>_xlfn.XLOOKUP(O415,EGPro!A:A,EGPro!C:C)</f>
        <v>#N/A</v>
      </c>
    </row>
    <row r="416" spans="1:17" x14ac:dyDescent="0.45">
      <c r="A416" s="3">
        <f>配列!B416</f>
        <v>0</v>
      </c>
      <c r="B416" s="3" t="e">
        <f>_xlfn.XLOOKUP(A416,対応表!A:A,対応表!B:B)</f>
        <v>#N/A</v>
      </c>
      <c r="C416" s="3">
        <f>配列!C416</f>
        <v>0</v>
      </c>
      <c r="D416" s="3" t="str">
        <f>IF(配列!E416="",RIGHT(配列!D416&amp;配列!E416,4)&amp;"L",RIGHT(配列!D416&amp;配列!E416,5))</f>
        <v>L</v>
      </c>
      <c r="E416" s="3">
        <f t="shared" si="24"/>
        <v>0</v>
      </c>
      <c r="F416" s="3" t="e">
        <f>_xlfn.XLOOKUP(E416,セットアップレポート_紐づけ用!A:A,セットアップレポート_紐づけ用!J:J)</f>
        <v>#N/A</v>
      </c>
      <c r="G416" s="3" t="e">
        <f>_xlfn.XLOOKUP(E416,セットアップレポート_紐づけ用!A:A,セットアップレポート_紐づけ用!V:V)</f>
        <v>#N/A</v>
      </c>
      <c r="H416" s="3">
        <f t="shared" si="27"/>
        <v>-2</v>
      </c>
      <c r="I416" t="str">
        <f>IF(J416=0,"",IF(配列!E416="",マクロ実行!$A$16 &amp;" T"&amp;H416&amp;"-"&amp;RIGHT(配列!D416&amp;配列!E416,2),マクロ実行!$A$16 &amp;" T"&amp;H416&amp;"-"&amp;RIGHT(配列!D416&amp;配列!E416,3)))</f>
        <v/>
      </c>
      <c r="J416">
        <f>配列!F416</f>
        <v>0</v>
      </c>
      <c r="K416" s="2" t="e">
        <f>_xlfn.XLOOKUP(E416,セットアップレポート_紐づけ用!A:A,セットアップレポート_紐づけ用!R:R)</f>
        <v>#N/A</v>
      </c>
      <c r="L416" t="e">
        <f t="shared" si="25"/>
        <v>#N/A</v>
      </c>
      <c r="M416" t="e">
        <f>_xlfn.XLOOKUP(L416,EGPro!A:A,EGPro!D:D)</f>
        <v>#N/A</v>
      </c>
      <c r="N416" t="e">
        <f>_xlfn.XLOOKUP(L416,EGPro!A:A,EGPro!C:C)</f>
        <v>#N/A</v>
      </c>
      <c r="O416" t="e">
        <f t="shared" si="26"/>
        <v>#N/A</v>
      </c>
      <c r="P416" t="e">
        <f>_xlfn.XLOOKUP(O416,EGPro!A:A,EGPro!D:D)</f>
        <v>#N/A</v>
      </c>
      <c r="Q416" t="e">
        <f>_xlfn.XLOOKUP(O416,EGPro!A:A,EGPro!C:C)</f>
        <v>#N/A</v>
      </c>
    </row>
    <row r="417" spans="1:17" x14ac:dyDescent="0.45">
      <c r="A417" s="3">
        <f>配列!B417</f>
        <v>0</v>
      </c>
      <c r="B417" s="3" t="e">
        <f>_xlfn.XLOOKUP(A417,対応表!A:A,対応表!B:B)</f>
        <v>#N/A</v>
      </c>
      <c r="C417" s="3">
        <f>配列!C417</f>
        <v>0</v>
      </c>
      <c r="D417" s="3" t="str">
        <f>IF(配列!E417="",RIGHT(配列!D417&amp;配列!E417,4)&amp;"L",RIGHT(配列!D417&amp;配列!E417,5))</f>
        <v>L</v>
      </c>
      <c r="E417" s="3">
        <f t="shared" si="24"/>
        <v>0</v>
      </c>
      <c r="F417" s="3" t="e">
        <f>_xlfn.XLOOKUP(E417,セットアップレポート_紐づけ用!A:A,セットアップレポート_紐づけ用!J:J)</f>
        <v>#N/A</v>
      </c>
      <c r="G417" s="3" t="e">
        <f>_xlfn.XLOOKUP(E417,セットアップレポート_紐づけ用!A:A,セットアップレポート_紐づけ用!V:V)</f>
        <v>#N/A</v>
      </c>
      <c r="H417" s="3">
        <f t="shared" si="27"/>
        <v>-2</v>
      </c>
      <c r="I417" t="str">
        <f>IF(J417=0,"",IF(配列!E417="",マクロ実行!$A$16 &amp;" T"&amp;H417&amp;"-"&amp;RIGHT(配列!D417&amp;配列!E417,2),マクロ実行!$A$16 &amp;" T"&amp;H417&amp;"-"&amp;RIGHT(配列!D417&amp;配列!E417,3)))</f>
        <v/>
      </c>
      <c r="J417">
        <f>配列!F417</f>
        <v>0</v>
      </c>
      <c r="K417" s="2" t="e">
        <f>_xlfn.XLOOKUP(E417,セットアップレポート_紐づけ用!A:A,セットアップレポート_紐づけ用!R:R)</f>
        <v>#N/A</v>
      </c>
      <c r="L417" t="e">
        <f t="shared" si="25"/>
        <v>#N/A</v>
      </c>
      <c r="M417" t="e">
        <f>_xlfn.XLOOKUP(L417,EGPro!A:A,EGPro!D:D)</f>
        <v>#N/A</v>
      </c>
      <c r="N417" t="e">
        <f>_xlfn.XLOOKUP(L417,EGPro!A:A,EGPro!C:C)</f>
        <v>#N/A</v>
      </c>
      <c r="O417" t="e">
        <f t="shared" si="26"/>
        <v>#N/A</v>
      </c>
      <c r="P417" t="e">
        <f>_xlfn.XLOOKUP(O417,EGPro!A:A,EGPro!D:D)</f>
        <v>#N/A</v>
      </c>
      <c r="Q417" t="e">
        <f>_xlfn.XLOOKUP(O417,EGPro!A:A,EGPro!C:C)</f>
        <v>#N/A</v>
      </c>
    </row>
    <row r="418" spans="1:17" x14ac:dyDescent="0.45">
      <c r="A418" s="3">
        <f>配列!B418</f>
        <v>0</v>
      </c>
      <c r="B418" s="3" t="e">
        <f>_xlfn.XLOOKUP(A418,対応表!A:A,対応表!B:B)</f>
        <v>#N/A</v>
      </c>
      <c r="C418" s="3">
        <f>配列!C418</f>
        <v>0</v>
      </c>
      <c r="D418" s="3" t="str">
        <f>IF(配列!E418="",RIGHT(配列!D418&amp;配列!E418,4)&amp;"L",RIGHT(配列!D418&amp;配列!E418,5))</f>
        <v>L</v>
      </c>
      <c r="E418" s="3">
        <f t="shared" si="24"/>
        <v>0</v>
      </c>
      <c r="F418" s="3" t="e">
        <f>_xlfn.XLOOKUP(E418,セットアップレポート_紐づけ用!A:A,セットアップレポート_紐づけ用!J:J)</f>
        <v>#N/A</v>
      </c>
      <c r="G418" s="3" t="e">
        <f>_xlfn.XLOOKUP(E418,セットアップレポート_紐づけ用!A:A,セットアップレポート_紐づけ用!V:V)</f>
        <v>#N/A</v>
      </c>
      <c r="H418" s="3">
        <f t="shared" si="27"/>
        <v>-2</v>
      </c>
      <c r="I418" t="str">
        <f>IF(J418=0,"",IF(配列!E418="",マクロ実行!$A$16 &amp;" T"&amp;H418&amp;"-"&amp;RIGHT(配列!D418&amp;配列!E418,2),マクロ実行!$A$16 &amp;" T"&amp;H418&amp;"-"&amp;RIGHT(配列!D418&amp;配列!E418,3)))</f>
        <v/>
      </c>
      <c r="J418">
        <f>配列!F418</f>
        <v>0</v>
      </c>
      <c r="K418" s="2" t="e">
        <f>_xlfn.XLOOKUP(E418,セットアップレポート_紐づけ用!A:A,セットアップレポート_紐づけ用!R:R)</f>
        <v>#N/A</v>
      </c>
      <c r="L418" t="e">
        <f t="shared" si="25"/>
        <v>#N/A</v>
      </c>
      <c r="M418" t="e">
        <f>_xlfn.XLOOKUP(L418,EGPro!A:A,EGPro!D:D)</f>
        <v>#N/A</v>
      </c>
      <c r="N418" t="e">
        <f>_xlfn.XLOOKUP(L418,EGPro!A:A,EGPro!C:C)</f>
        <v>#N/A</v>
      </c>
      <c r="O418" t="e">
        <f t="shared" si="26"/>
        <v>#N/A</v>
      </c>
      <c r="P418" t="e">
        <f>_xlfn.XLOOKUP(O418,EGPro!A:A,EGPro!D:D)</f>
        <v>#N/A</v>
      </c>
      <c r="Q418" t="e">
        <f>_xlfn.XLOOKUP(O418,EGPro!A:A,EGPro!C:C)</f>
        <v>#N/A</v>
      </c>
    </row>
    <row r="419" spans="1:17" x14ac:dyDescent="0.45">
      <c r="A419" s="3">
        <f>配列!B419</f>
        <v>0</v>
      </c>
      <c r="B419" s="3" t="e">
        <f>_xlfn.XLOOKUP(A419,対応表!A:A,対応表!B:B)</f>
        <v>#N/A</v>
      </c>
      <c r="C419" s="3">
        <f>配列!C419</f>
        <v>0</v>
      </c>
      <c r="D419" s="3" t="str">
        <f>IF(配列!E419="",RIGHT(配列!D419&amp;配列!E419,4)&amp;"L",RIGHT(配列!D419&amp;配列!E419,5))</f>
        <v>L</v>
      </c>
      <c r="E419" s="3">
        <f t="shared" si="24"/>
        <v>0</v>
      </c>
      <c r="F419" s="3" t="e">
        <f>_xlfn.XLOOKUP(E419,セットアップレポート_紐づけ用!A:A,セットアップレポート_紐づけ用!J:J)</f>
        <v>#N/A</v>
      </c>
      <c r="G419" s="3" t="e">
        <f>_xlfn.XLOOKUP(E419,セットアップレポート_紐づけ用!A:A,セットアップレポート_紐づけ用!V:V)</f>
        <v>#N/A</v>
      </c>
      <c r="H419" s="3">
        <f t="shared" si="27"/>
        <v>-2</v>
      </c>
      <c r="I419" t="str">
        <f>IF(J419=0,"",IF(配列!E419="",マクロ実行!$A$16 &amp;" T"&amp;H419&amp;"-"&amp;RIGHT(配列!D419&amp;配列!E419,2),マクロ実行!$A$16 &amp;" T"&amp;H419&amp;"-"&amp;RIGHT(配列!D419&amp;配列!E419,3)))</f>
        <v/>
      </c>
      <c r="J419">
        <f>配列!F419</f>
        <v>0</v>
      </c>
      <c r="K419" s="2" t="e">
        <f>_xlfn.XLOOKUP(E419,セットアップレポート_紐づけ用!A:A,セットアップレポート_紐づけ用!R:R)</f>
        <v>#N/A</v>
      </c>
      <c r="L419" t="e">
        <f t="shared" si="25"/>
        <v>#N/A</v>
      </c>
      <c r="M419" t="e">
        <f>_xlfn.XLOOKUP(L419,EGPro!A:A,EGPro!D:D)</f>
        <v>#N/A</v>
      </c>
      <c r="N419" t="e">
        <f>_xlfn.XLOOKUP(L419,EGPro!A:A,EGPro!C:C)</f>
        <v>#N/A</v>
      </c>
      <c r="O419" t="e">
        <f t="shared" si="26"/>
        <v>#N/A</v>
      </c>
      <c r="P419" t="e">
        <f>_xlfn.XLOOKUP(O419,EGPro!A:A,EGPro!D:D)</f>
        <v>#N/A</v>
      </c>
      <c r="Q419" t="e">
        <f>_xlfn.XLOOKUP(O419,EGPro!A:A,EGPro!C:C)</f>
        <v>#N/A</v>
      </c>
    </row>
    <row r="420" spans="1:17" x14ac:dyDescent="0.45">
      <c r="A420" s="3">
        <f>配列!B420</f>
        <v>0</v>
      </c>
      <c r="B420" s="3" t="e">
        <f>_xlfn.XLOOKUP(A420,対応表!A:A,対応表!B:B)</f>
        <v>#N/A</v>
      </c>
      <c r="C420" s="3">
        <f>配列!C420</f>
        <v>0</v>
      </c>
      <c r="D420" s="3" t="str">
        <f>IF(配列!E420="",RIGHT(配列!D420&amp;配列!E420,4)&amp;"L",RIGHT(配列!D420&amp;配列!E420,5))</f>
        <v>L</v>
      </c>
      <c r="E420" s="3">
        <f t="shared" si="24"/>
        <v>0</v>
      </c>
      <c r="F420" s="3" t="e">
        <f>_xlfn.XLOOKUP(E420,セットアップレポート_紐づけ用!A:A,セットアップレポート_紐づけ用!J:J)</f>
        <v>#N/A</v>
      </c>
      <c r="G420" s="3" t="e">
        <f>_xlfn.XLOOKUP(E420,セットアップレポート_紐づけ用!A:A,セットアップレポート_紐づけ用!V:V)</f>
        <v>#N/A</v>
      </c>
      <c r="H420" s="3">
        <f t="shared" si="27"/>
        <v>-2</v>
      </c>
      <c r="I420" t="str">
        <f>IF(J420=0,"",IF(配列!E420="",マクロ実行!$A$16 &amp;" T"&amp;H420&amp;"-"&amp;RIGHT(配列!D420&amp;配列!E420,2),マクロ実行!$A$16 &amp;" T"&amp;H420&amp;"-"&amp;RIGHT(配列!D420&amp;配列!E420,3)))</f>
        <v/>
      </c>
      <c r="J420">
        <f>配列!F420</f>
        <v>0</v>
      </c>
      <c r="K420" s="2" t="e">
        <f>_xlfn.XLOOKUP(E420,セットアップレポート_紐づけ用!A:A,セットアップレポート_紐づけ用!R:R)</f>
        <v>#N/A</v>
      </c>
      <c r="L420" t="e">
        <f t="shared" si="25"/>
        <v>#N/A</v>
      </c>
      <c r="M420" t="e">
        <f>_xlfn.XLOOKUP(L420,EGPro!A:A,EGPro!D:D)</f>
        <v>#N/A</v>
      </c>
      <c r="N420" t="e">
        <f>_xlfn.XLOOKUP(L420,EGPro!A:A,EGPro!C:C)</f>
        <v>#N/A</v>
      </c>
      <c r="O420" t="e">
        <f t="shared" si="26"/>
        <v>#N/A</v>
      </c>
      <c r="P420" t="e">
        <f>_xlfn.XLOOKUP(O420,EGPro!A:A,EGPro!D:D)</f>
        <v>#N/A</v>
      </c>
      <c r="Q420" t="e">
        <f>_xlfn.XLOOKUP(O420,EGPro!A:A,EGPro!C:C)</f>
        <v>#N/A</v>
      </c>
    </row>
    <row r="421" spans="1:17" x14ac:dyDescent="0.45">
      <c r="A421" s="3">
        <f>配列!B421</f>
        <v>0</v>
      </c>
      <c r="B421" s="3" t="e">
        <f>_xlfn.XLOOKUP(A421,対応表!A:A,対応表!B:B)</f>
        <v>#N/A</v>
      </c>
      <c r="C421" s="3">
        <f>配列!C421</f>
        <v>0</v>
      </c>
      <c r="D421" s="3" t="str">
        <f>IF(配列!E421="",RIGHT(配列!D421&amp;配列!E421,4)&amp;"L",RIGHT(配列!D421&amp;配列!E421,5))</f>
        <v>L</v>
      </c>
      <c r="E421" s="3">
        <f t="shared" si="24"/>
        <v>0</v>
      </c>
      <c r="F421" s="3" t="e">
        <f>_xlfn.XLOOKUP(E421,セットアップレポート_紐づけ用!A:A,セットアップレポート_紐づけ用!J:J)</f>
        <v>#N/A</v>
      </c>
      <c r="G421" s="3" t="e">
        <f>_xlfn.XLOOKUP(E421,セットアップレポート_紐づけ用!A:A,セットアップレポート_紐づけ用!V:V)</f>
        <v>#N/A</v>
      </c>
      <c r="H421" s="3">
        <f t="shared" si="27"/>
        <v>-2</v>
      </c>
      <c r="I421" t="str">
        <f>IF(J421=0,"",IF(配列!E421="",マクロ実行!$A$16 &amp;" T"&amp;H421&amp;"-"&amp;RIGHT(配列!D421&amp;配列!E421,2),マクロ実行!$A$16 &amp;" T"&amp;H421&amp;"-"&amp;RIGHT(配列!D421&amp;配列!E421,3)))</f>
        <v/>
      </c>
      <c r="J421">
        <f>配列!F421</f>
        <v>0</v>
      </c>
      <c r="K421" s="2" t="e">
        <f>_xlfn.XLOOKUP(E421,セットアップレポート_紐づけ用!A:A,セットアップレポート_紐づけ用!R:R)</f>
        <v>#N/A</v>
      </c>
      <c r="L421" t="e">
        <f t="shared" si="25"/>
        <v>#N/A</v>
      </c>
      <c r="M421" t="e">
        <f>_xlfn.XLOOKUP(L421,EGPro!A:A,EGPro!D:D)</f>
        <v>#N/A</v>
      </c>
      <c r="N421" t="e">
        <f>_xlfn.XLOOKUP(L421,EGPro!A:A,EGPro!C:C)</f>
        <v>#N/A</v>
      </c>
      <c r="O421" t="e">
        <f t="shared" si="26"/>
        <v>#N/A</v>
      </c>
      <c r="P421" t="e">
        <f>_xlfn.XLOOKUP(O421,EGPro!A:A,EGPro!D:D)</f>
        <v>#N/A</v>
      </c>
      <c r="Q421" t="e">
        <f>_xlfn.XLOOKUP(O421,EGPro!A:A,EGPro!C:C)</f>
        <v>#N/A</v>
      </c>
    </row>
    <row r="422" spans="1:17" x14ac:dyDescent="0.45">
      <c r="A422" s="3">
        <f>配列!B422</f>
        <v>0</v>
      </c>
      <c r="B422" s="3" t="e">
        <f>_xlfn.XLOOKUP(A422,対応表!A:A,対応表!B:B)</f>
        <v>#N/A</v>
      </c>
      <c r="C422" s="3">
        <f>配列!C422</f>
        <v>0</v>
      </c>
      <c r="D422" s="3" t="str">
        <f>IF(配列!E422="",RIGHT(配列!D422&amp;配列!E422,4)&amp;"L",RIGHT(配列!D422&amp;配列!E422,5))</f>
        <v>L</v>
      </c>
      <c r="E422" s="3">
        <f t="shared" si="24"/>
        <v>0</v>
      </c>
      <c r="F422" s="3" t="e">
        <f>_xlfn.XLOOKUP(E422,セットアップレポート_紐づけ用!A:A,セットアップレポート_紐づけ用!J:J)</f>
        <v>#N/A</v>
      </c>
      <c r="G422" s="3" t="e">
        <f>_xlfn.XLOOKUP(E422,セットアップレポート_紐づけ用!A:A,セットアップレポート_紐づけ用!V:V)</f>
        <v>#N/A</v>
      </c>
      <c r="H422" s="3">
        <f t="shared" si="27"/>
        <v>-2</v>
      </c>
      <c r="I422" t="str">
        <f>IF(J422=0,"",IF(配列!E422="",マクロ実行!$A$16 &amp;" T"&amp;H422&amp;"-"&amp;RIGHT(配列!D422&amp;配列!E422,2),マクロ実行!$A$16 &amp;" T"&amp;H422&amp;"-"&amp;RIGHT(配列!D422&amp;配列!E422,3)))</f>
        <v/>
      </c>
      <c r="J422">
        <f>配列!F422</f>
        <v>0</v>
      </c>
      <c r="K422" s="2" t="e">
        <f>_xlfn.XLOOKUP(E422,セットアップレポート_紐づけ用!A:A,セットアップレポート_紐づけ用!R:R)</f>
        <v>#N/A</v>
      </c>
      <c r="L422" t="e">
        <f t="shared" si="25"/>
        <v>#N/A</v>
      </c>
      <c r="M422" t="e">
        <f>_xlfn.XLOOKUP(L422,EGPro!A:A,EGPro!D:D)</f>
        <v>#N/A</v>
      </c>
      <c r="N422" t="e">
        <f>_xlfn.XLOOKUP(L422,EGPro!A:A,EGPro!C:C)</f>
        <v>#N/A</v>
      </c>
      <c r="O422" t="e">
        <f t="shared" si="26"/>
        <v>#N/A</v>
      </c>
      <c r="P422" t="e">
        <f>_xlfn.XLOOKUP(O422,EGPro!A:A,EGPro!D:D)</f>
        <v>#N/A</v>
      </c>
      <c r="Q422" t="e">
        <f>_xlfn.XLOOKUP(O422,EGPro!A:A,EGPro!C:C)</f>
        <v>#N/A</v>
      </c>
    </row>
    <row r="423" spans="1:17" x14ac:dyDescent="0.45">
      <c r="A423" s="3">
        <f>配列!B423</f>
        <v>0</v>
      </c>
      <c r="B423" s="3" t="e">
        <f>_xlfn.XLOOKUP(A423,対応表!A:A,対応表!B:B)</f>
        <v>#N/A</v>
      </c>
      <c r="C423" s="3">
        <f>配列!C423</f>
        <v>0</v>
      </c>
      <c r="D423" s="3" t="str">
        <f>IF(配列!E423="",RIGHT(配列!D423&amp;配列!E423,4)&amp;"L",RIGHT(配列!D423&amp;配列!E423,5))</f>
        <v>L</v>
      </c>
      <c r="E423" s="3">
        <f t="shared" si="24"/>
        <v>0</v>
      </c>
      <c r="F423" s="3" t="e">
        <f>_xlfn.XLOOKUP(E423,セットアップレポート_紐づけ用!A:A,セットアップレポート_紐づけ用!J:J)</f>
        <v>#N/A</v>
      </c>
      <c r="G423" s="3" t="e">
        <f>_xlfn.XLOOKUP(E423,セットアップレポート_紐づけ用!A:A,セットアップレポート_紐づけ用!V:V)</f>
        <v>#N/A</v>
      </c>
      <c r="H423" s="3">
        <f t="shared" si="27"/>
        <v>-2</v>
      </c>
      <c r="I423" t="str">
        <f>IF(J423=0,"",IF(配列!E423="",マクロ実行!$A$16 &amp;" T"&amp;H423&amp;"-"&amp;RIGHT(配列!D423&amp;配列!E423,2),マクロ実行!$A$16 &amp;" T"&amp;H423&amp;"-"&amp;RIGHT(配列!D423&amp;配列!E423,3)))</f>
        <v/>
      </c>
      <c r="J423">
        <f>配列!F423</f>
        <v>0</v>
      </c>
      <c r="K423" s="2" t="e">
        <f>_xlfn.XLOOKUP(E423,セットアップレポート_紐づけ用!A:A,セットアップレポート_紐づけ用!R:R)</f>
        <v>#N/A</v>
      </c>
      <c r="L423" t="e">
        <f t="shared" si="25"/>
        <v>#N/A</v>
      </c>
      <c r="M423" t="e">
        <f>_xlfn.XLOOKUP(L423,EGPro!A:A,EGPro!D:D)</f>
        <v>#N/A</v>
      </c>
      <c r="N423" t="e">
        <f>_xlfn.XLOOKUP(L423,EGPro!A:A,EGPro!C:C)</f>
        <v>#N/A</v>
      </c>
      <c r="O423" t="e">
        <f t="shared" si="26"/>
        <v>#N/A</v>
      </c>
      <c r="P423" t="e">
        <f>_xlfn.XLOOKUP(O423,EGPro!A:A,EGPro!D:D)</f>
        <v>#N/A</v>
      </c>
      <c r="Q423" t="e">
        <f>_xlfn.XLOOKUP(O423,EGPro!A:A,EGPro!C:C)</f>
        <v>#N/A</v>
      </c>
    </row>
    <row r="424" spans="1:17" x14ac:dyDescent="0.45">
      <c r="A424" s="3">
        <f>配列!B424</f>
        <v>0</v>
      </c>
      <c r="B424" s="3" t="e">
        <f>_xlfn.XLOOKUP(A424,対応表!A:A,対応表!B:B)</f>
        <v>#N/A</v>
      </c>
      <c r="C424" s="3">
        <f>配列!C424</f>
        <v>0</v>
      </c>
      <c r="D424" s="3" t="str">
        <f>IF(配列!E424="",RIGHT(配列!D424&amp;配列!E424,4)&amp;"L",RIGHT(配列!D424&amp;配列!E424,5))</f>
        <v>L</v>
      </c>
      <c r="E424" s="3">
        <f t="shared" si="24"/>
        <v>0</v>
      </c>
      <c r="F424" s="3" t="e">
        <f>_xlfn.XLOOKUP(E424,セットアップレポート_紐づけ用!A:A,セットアップレポート_紐づけ用!J:J)</f>
        <v>#N/A</v>
      </c>
      <c r="G424" s="3" t="e">
        <f>_xlfn.XLOOKUP(E424,セットアップレポート_紐づけ用!A:A,セットアップレポート_紐づけ用!V:V)</f>
        <v>#N/A</v>
      </c>
      <c r="H424" s="3">
        <f t="shared" si="27"/>
        <v>-2</v>
      </c>
      <c r="I424" t="str">
        <f>IF(J424=0,"",IF(配列!E424="",マクロ実行!$A$16 &amp;" T"&amp;H424&amp;"-"&amp;RIGHT(配列!D424&amp;配列!E424,2),マクロ実行!$A$16 &amp;" T"&amp;H424&amp;"-"&amp;RIGHT(配列!D424&amp;配列!E424,3)))</f>
        <v/>
      </c>
      <c r="J424">
        <f>配列!F424</f>
        <v>0</v>
      </c>
      <c r="K424" s="2" t="e">
        <f>_xlfn.XLOOKUP(E424,セットアップレポート_紐づけ用!A:A,セットアップレポート_紐づけ用!R:R)</f>
        <v>#N/A</v>
      </c>
      <c r="L424" t="e">
        <f t="shared" si="25"/>
        <v>#N/A</v>
      </c>
      <c r="M424" t="e">
        <f>_xlfn.XLOOKUP(L424,EGPro!A:A,EGPro!D:D)</f>
        <v>#N/A</v>
      </c>
      <c r="N424" t="e">
        <f>_xlfn.XLOOKUP(L424,EGPro!A:A,EGPro!C:C)</f>
        <v>#N/A</v>
      </c>
      <c r="O424" t="e">
        <f t="shared" si="26"/>
        <v>#N/A</v>
      </c>
      <c r="P424" t="e">
        <f>_xlfn.XLOOKUP(O424,EGPro!A:A,EGPro!D:D)</f>
        <v>#N/A</v>
      </c>
      <c r="Q424" t="e">
        <f>_xlfn.XLOOKUP(O424,EGPro!A:A,EGPro!C:C)</f>
        <v>#N/A</v>
      </c>
    </row>
    <row r="425" spans="1:17" x14ac:dyDescent="0.45">
      <c r="A425" s="3">
        <f>配列!B425</f>
        <v>0</v>
      </c>
      <c r="B425" s="3" t="e">
        <f>_xlfn.XLOOKUP(A425,対応表!A:A,対応表!B:B)</f>
        <v>#N/A</v>
      </c>
      <c r="C425" s="3">
        <f>配列!C425</f>
        <v>0</v>
      </c>
      <c r="D425" s="3" t="str">
        <f>IF(配列!E425="",RIGHT(配列!D425&amp;配列!E425,4)&amp;"L",RIGHT(配列!D425&amp;配列!E425,5))</f>
        <v>L</v>
      </c>
      <c r="E425" s="3">
        <f t="shared" si="24"/>
        <v>0</v>
      </c>
      <c r="F425" s="3" t="e">
        <f>_xlfn.XLOOKUP(E425,セットアップレポート_紐づけ用!A:A,セットアップレポート_紐づけ用!J:J)</f>
        <v>#N/A</v>
      </c>
      <c r="G425" s="3" t="e">
        <f>_xlfn.XLOOKUP(E425,セットアップレポート_紐づけ用!A:A,セットアップレポート_紐づけ用!V:V)</f>
        <v>#N/A</v>
      </c>
      <c r="H425" s="3">
        <f t="shared" si="27"/>
        <v>-2</v>
      </c>
      <c r="I425" t="str">
        <f>IF(J425=0,"",IF(配列!E425="",マクロ実行!$A$16 &amp;" T"&amp;H425&amp;"-"&amp;RIGHT(配列!D425&amp;配列!E425,2),マクロ実行!$A$16 &amp;" T"&amp;H425&amp;"-"&amp;RIGHT(配列!D425&amp;配列!E425,3)))</f>
        <v/>
      </c>
      <c r="J425">
        <f>配列!F425</f>
        <v>0</v>
      </c>
      <c r="K425" s="2" t="e">
        <f>_xlfn.XLOOKUP(E425,セットアップレポート_紐づけ用!A:A,セットアップレポート_紐づけ用!R:R)</f>
        <v>#N/A</v>
      </c>
      <c r="L425" t="e">
        <f t="shared" si="25"/>
        <v>#N/A</v>
      </c>
      <c r="M425" t="e">
        <f>_xlfn.XLOOKUP(L425,EGPro!A:A,EGPro!D:D)</f>
        <v>#N/A</v>
      </c>
      <c r="N425" t="e">
        <f>_xlfn.XLOOKUP(L425,EGPro!A:A,EGPro!C:C)</f>
        <v>#N/A</v>
      </c>
      <c r="O425" t="e">
        <f t="shared" si="26"/>
        <v>#N/A</v>
      </c>
      <c r="P425" t="e">
        <f>_xlfn.XLOOKUP(O425,EGPro!A:A,EGPro!D:D)</f>
        <v>#N/A</v>
      </c>
      <c r="Q425" t="e">
        <f>_xlfn.XLOOKUP(O425,EGPro!A:A,EGPro!C:C)</f>
        <v>#N/A</v>
      </c>
    </row>
    <row r="426" spans="1:17" x14ac:dyDescent="0.45">
      <c r="A426" s="3">
        <f>配列!B426</f>
        <v>0</v>
      </c>
      <c r="B426" s="3" t="e">
        <f>_xlfn.XLOOKUP(A426,対応表!A:A,対応表!B:B)</f>
        <v>#N/A</v>
      </c>
      <c r="C426" s="3">
        <f>配列!C426</f>
        <v>0</v>
      </c>
      <c r="D426" s="3" t="str">
        <f>IF(配列!E426="",RIGHT(配列!D426&amp;配列!E426,4)&amp;"L",RIGHT(配列!D426&amp;配列!E426,5))</f>
        <v>L</v>
      </c>
      <c r="E426" s="3">
        <f t="shared" si="24"/>
        <v>0</v>
      </c>
      <c r="F426" s="3" t="e">
        <f>_xlfn.XLOOKUP(E426,セットアップレポート_紐づけ用!A:A,セットアップレポート_紐づけ用!J:J)</f>
        <v>#N/A</v>
      </c>
      <c r="G426" s="3" t="e">
        <f>_xlfn.XLOOKUP(E426,セットアップレポート_紐づけ用!A:A,セットアップレポート_紐づけ用!V:V)</f>
        <v>#N/A</v>
      </c>
      <c r="H426" s="3">
        <f t="shared" si="27"/>
        <v>-2</v>
      </c>
      <c r="I426" t="str">
        <f>IF(J426=0,"",IF(配列!E426="",マクロ実行!$A$16 &amp;" T"&amp;H426&amp;"-"&amp;RIGHT(配列!D426&amp;配列!E426,2),マクロ実行!$A$16 &amp;" T"&amp;H426&amp;"-"&amp;RIGHT(配列!D426&amp;配列!E426,3)))</f>
        <v/>
      </c>
      <c r="J426">
        <f>配列!F426</f>
        <v>0</v>
      </c>
      <c r="K426" s="2" t="e">
        <f>_xlfn.XLOOKUP(E426,セットアップレポート_紐づけ用!A:A,セットアップレポート_紐づけ用!R:R)</f>
        <v>#N/A</v>
      </c>
      <c r="L426" t="e">
        <f t="shared" si="25"/>
        <v>#N/A</v>
      </c>
      <c r="M426" t="e">
        <f>_xlfn.XLOOKUP(L426,EGPro!A:A,EGPro!D:D)</f>
        <v>#N/A</v>
      </c>
      <c r="N426" t="e">
        <f>_xlfn.XLOOKUP(L426,EGPro!A:A,EGPro!C:C)</f>
        <v>#N/A</v>
      </c>
      <c r="O426" t="e">
        <f t="shared" si="26"/>
        <v>#N/A</v>
      </c>
      <c r="P426" t="e">
        <f>_xlfn.XLOOKUP(O426,EGPro!A:A,EGPro!D:D)</f>
        <v>#N/A</v>
      </c>
      <c r="Q426" t="e">
        <f>_xlfn.XLOOKUP(O426,EGPro!A:A,EGPro!C:C)</f>
        <v>#N/A</v>
      </c>
    </row>
    <row r="427" spans="1:17" x14ac:dyDescent="0.45">
      <c r="A427" s="3">
        <f>配列!B427</f>
        <v>0</v>
      </c>
      <c r="B427" s="3" t="e">
        <f>_xlfn.XLOOKUP(A427,対応表!A:A,対応表!B:B)</f>
        <v>#N/A</v>
      </c>
      <c r="C427" s="3">
        <f>配列!C427</f>
        <v>0</v>
      </c>
      <c r="D427" s="3" t="str">
        <f>IF(配列!E427="",RIGHT(配列!D427&amp;配列!E427,4)&amp;"L",RIGHT(配列!D427&amp;配列!E427,5))</f>
        <v>L</v>
      </c>
      <c r="E427" s="3">
        <f t="shared" si="24"/>
        <v>0</v>
      </c>
      <c r="F427" s="3" t="e">
        <f>_xlfn.XLOOKUP(E427,セットアップレポート_紐づけ用!A:A,セットアップレポート_紐づけ用!J:J)</f>
        <v>#N/A</v>
      </c>
      <c r="G427" s="3" t="e">
        <f>_xlfn.XLOOKUP(E427,セットアップレポート_紐づけ用!A:A,セットアップレポート_紐づけ用!V:V)</f>
        <v>#N/A</v>
      </c>
      <c r="H427" s="3">
        <f t="shared" si="27"/>
        <v>-2</v>
      </c>
      <c r="I427" t="str">
        <f>IF(J427=0,"",IF(配列!E427="",マクロ実行!$A$16 &amp;" T"&amp;H427&amp;"-"&amp;RIGHT(配列!D427&amp;配列!E427,2),マクロ実行!$A$16 &amp;" T"&amp;H427&amp;"-"&amp;RIGHT(配列!D427&amp;配列!E427,3)))</f>
        <v/>
      </c>
      <c r="J427">
        <f>配列!F427</f>
        <v>0</v>
      </c>
      <c r="K427" s="2" t="e">
        <f>_xlfn.XLOOKUP(E427,セットアップレポート_紐づけ用!A:A,セットアップレポート_紐づけ用!R:R)</f>
        <v>#N/A</v>
      </c>
      <c r="L427" t="e">
        <f t="shared" si="25"/>
        <v>#N/A</v>
      </c>
      <c r="M427" t="e">
        <f>_xlfn.XLOOKUP(L427,EGPro!A:A,EGPro!D:D)</f>
        <v>#N/A</v>
      </c>
      <c r="N427" t="e">
        <f>_xlfn.XLOOKUP(L427,EGPro!A:A,EGPro!C:C)</f>
        <v>#N/A</v>
      </c>
      <c r="O427" t="e">
        <f t="shared" si="26"/>
        <v>#N/A</v>
      </c>
      <c r="P427" t="e">
        <f>_xlfn.XLOOKUP(O427,EGPro!A:A,EGPro!D:D)</f>
        <v>#N/A</v>
      </c>
      <c r="Q427" t="e">
        <f>_xlfn.XLOOKUP(O427,EGPro!A:A,EGPro!C:C)</f>
        <v>#N/A</v>
      </c>
    </row>
    <row r="428" spans="1:17" x14ac:dyDescent="0.45">
      <c r="A428" s="3">
        <f>配列!B428</f>
        <v>0</v>
      </c>
      <c r="B428" s="3" t="e">
        <f>_xlfn.XLOOKUP(A428,対応表!A:A,対応表!B:B)</f>
        <v>#N/A</v>
      </c>
      <c r="C428" s="3">
        <f>配列!C428</f>
        <v>0</v>
      </c>
      <c r="D428" s="3" t="str">
        <f>IF(配列!E428="",RIGHT(配列!D428&amp;配列!E428,4)&amp;"L",RIGHT(配列!D428&amp;配列!E428,5))</f>
        <v>L</v>
      </c>
      <c r="E428" s="3">
        <f t="shared" si="24"/>
        <v>0</v>
      </c>
      <c r="F428" s="3" t="e">
        <f>_xlfn.XLOOKUP(E428,セットアップレポート_紐づけ用!A:A,セットアップレポート_紐づけ用!J:J)</f>
        <v>#N/A</v>
      </c>
      <c r="G428" s="3" t="e">
        <f>_xlfn.XLOOKUP(E428,セットアップレポート_紐づけ用!A:A,セットアップレポート_紐づけ用!V:V)</f>
        <v>#N/A</v>
      </c>
      <c r="H428" s="3">
        <f t="shared" si="27"/>
        <v>-2</v>
      </c>
      <c r="I428" t="str">
        <f>IF(J428=0,"",IF(配列!E428="",マクロ実行!$A$16 &amp;" T"&amp;H428&amp;"-"&amp;RIGHT(配列!D428&amp;配列!E428,2),マクロ実行!$A$16 &amp;" T"&amp;H428&amp;"-"&amp;RIGHT(配列!D428&amp;配列!E428,3)))</f>
        <v/>
      </c>
      <c r="J428">
        <f>配列!F428</f>
        <v>0</v>
      </c>
      <c r="K428" s="2" t="e">
        <f>_xlfn.XLOOKUP(E428,セットアップレポート_紐づけ用!A:A,セットアップレポート_紐づけ用!R:R)</f>
        <v>#N/A</v>
      </c>
      <c r="L428" t="e">
        <f t="shared" si="25"/>
        <v>#N/A</v>
      </c>
      <c r="M428" t="e">
        <f>_xlfn.XLOOKUP(L428,EGPro!A:A,EGPro!D:D)</f>
        <v>#N/A</v>
      </c>
      <c r="N428" t="e">
        <f>_xlfn.XLOOKUP(L428,EGPro!A:A,EGPro!C:C)</f>
        <v>#N/A</v>
      </c>
      <c r="O428" t="e">
        <f t="shared" si="26"/>
        <v>#N/A</v>
      </c>
      <c r="P428" t="e">
        <f>_xlfn.XLOOKUP(O428,EGPro!A:A,EGPro!D:D)</f>
        <v>#N/A</v>
      </c>
      <c r="Q428" t="e">
        <f>_xlfn.XLOOKUP(O428,EGPro!A:A,EGPro!C:C)</f>
        <v>#N/A</v>
      </c>
    </row>
    <row r="429" spans="1:17" x14ac:dyDescent="0.45">
      <c r="A429" s="3">
        <f>配列!B429</f>
        <v>0</v>
      </c>
      <c r="B429" s="3" t="e">
        <f>_xlfn.XLOOKUP(A429,対応表!A:A,対応表!B:B)</f>
        <v>#N/A</v>
      </c>
      <c r="C429" s="3">
        <f>配列!C429</f>
        <v>0</v>
      </c>
      <c r="D429" s="3" t="str">
        <f>IF(配列!E429="",RIGHT(配列!D429&amp;配列!E429,4)&amp;"L",RIGHT(配列!D429&amp;配列!E429,5))</f>
        <v>L</v>
      </c>
      <c r="E429" s="3">
        <f t="shared" si="24"/>
        <v>0</v>
      </c>
      <c r="F429" s="3" t="e">
        <f>_xlfn.XLOOKUP(E429,セットアップレポート_紐づけ用!A:A,セットアップレポート_紐づけ用!J:J)</f>
        <v>#N/A</v>
      </c>
      <c r="G429" s="3" t="e">
        <f>_xlfn.XLOOKUP(E429,セットアップレポート_紐づけ用!A:A,セットアップレポート_紐づけ用!V:V)</f>
        <v>#N/A</v>
      </c>
      <c r="H429" s="3">
        <f t="shared" si="27"/>
        <v>-2</v>
      </c>
      <c r="I429" t="str">
        <f>IF(J429=0,"",IF(配列!E429="",マクロ実行!$A$16 &amp;" T"&amp;H429&amp;"-"&amp;RIGHT(配列!D429&amp;配列!E429,2),マクロ実行!$A$16 &amp;" T"&amp;H429&amp;"-"&amp;RIGHT(配列!D429&amp;配列!E429,3)))</f>
        <v/>
      </c>
      <c r="J429">
        <f>配列!F429</f>
        <v>0</v>
      </c>
      <c r="K429" s="2" t="e">
        <f>_xlfn.XLOOKUP(E429,セットアップレポート_紐づけ用!A:A,セットアップレポート_紐づけ用!R:R)</f>
        <v>#N/A</v>
      </c>
      <c r="L429" t="e">
        <f t="shared" si="25"/>
        <v>#N/A</v>
      </c>
      <c r="M429" t="e">
        <f>_xlfn.XLOOKUP(L429,EGPro!A:A,EGPro!D:D)</f>
        <v>#N/A</v>
      </c>
      <c r="N429" t="e">
        <f>_xlfn.XLOOKUP(L429,EGPro!A:A,EGPro!C:C)</f>
        <v>#N/A</v>
      </c>
      <c r="O429" t="e">
        <f t="shared" si="26"/>
        <v>#N/A</v>
      </c>
      <c r="P429" t="e">
        <f>_xlfn.XLOOKUP(O429,EGPro!A:A,EGPro!D:D)</f>
        <v>#N/A</v>
      </c>
      <c r="Q429" t="e">
        <f>_xlfn.XLOOKUP(O429,EGPro!A:A,EGPro!C:C)</f>
        <v>#N/A</v>
      </c>
    </row>
    <row r="430" spans="1:17" x14ac:dyDescent="0.45">
      <c r="A430" s="3">
        <f>配列!B430</f>
        <v>0</v>
      </c>
      <c r="B430" s="3" t="e">
        <f>_xlfn.XLOOKUP(A430,対応表!A:A,対応表!B:B)</f>
        <v>#N/A</v>
      </c>
      <c r="C430" s="3">
        <f>配列!C430</f>
        <v>0</v>
      </c>
      <c r="D430" s="3" t="str">
        <f>IF(配列!E430="",RIGHT(配列!D430&amp;配列!E430,4)&amp;"L",RIGHT(配列!D430&amp;配列!E430,5))</f>
        <v>L</v>
      </c>
      <c r="E430" s="3">
        <f t="shared" si="24"/>
        <v>0</v>
      </c>
      <c r="F430" s="3" t="e">
        <f>_xlfn.XLOOKUP(E430,セットアップレポート_紐づけ用!A:A,セットアップレポート_紐づけ用!J:J)</f>
        <v>#N/A</v>
      </c>
      <c r="G430" s="3" t="e">
        <f>_xlfn.XLOOKUP(E430,セットアップレポート_紐づけ用!A:A,セットアップレポート_紐づけ用!V:V)</f>
        <v>#N/A</v>
      </c>
      <c r="H430" s="3">
        <f t="shared" si="27"/>
        <v>-2</v>
      </c>
      <c r="I430" t="str">
        <f>IF(J430=0,"",IF(配列!E430="",マクロ実行!$A$16 &amp;" T"&amp;H430&amp;"-"&amp;RIGHT(配列!D430&amp;配列!E430,2),マクロ実行!$A$16 &amp;" T"&amp;H430&amp;"-"&amp;RIGHT(配列!D430&amp;配列!E430,3)))</f>
        <v/>
      </c>
      <c r="J430">
        <f>配列!F430</f>
        <v>0</v>
      </c>
      <c r="K430" s="2" t="e">
        <f>_xlfn.XLOOKUP(E430,セットアップレポート_紐づけ用!A:A,セットアップレポート_紐づけ用!R:R)</f>
        <v>#N/A</v>
      </c>
      <c r="L430" t="e">
        <f t="shared" si="25"/>
        <v>#N/A</v>
      </c>
      <c r="M430" t="e">
        <f>_xlfn.XLOOKUP(L430,EGPro!A:A,EGPro!D:D)</f>
        <v>#N/A</v>
      </c>
      <c r="N430" t="e">
        <f>_xlfn.XLOOKUP(L430,EGPro!A:A,EGPro!C:C)</f>
        <v>#N/A</v>
      </c>
      <c r="O430" t="e">
        <f t="shared" si="26"/>
        <v>#N/A</v>
      </c>
      <c r="P430" t="e">
        <f>_xlfn.XLOOKUP(O430,EGPro!A:A,EGPro!D:D)</f>
        <v>#N/A</v>
      </c>
      <c r="Q430" t="e">
        <f>_xlfn.XLOOKUP(O430,EGPro!A:A,EGPro!C:C)</f>
        <v>#N/A</v>
      </c>
    </row>
    <row r="431" spans="1:17" x14ac:dyDescent="0.45">
      <c r="A431" s="3">
        <f>配列!B431</f>
        <v>0</v>
      </c>
      <c r="B431" s="3" t="e">
        <f>_xlfn.XLOOKUP(A431,対応表!A:A,対応表!B:B)</f>
        <v>#N/A</v>
      </c>
      <c r="C431" s="3">
        <f>配列!C431</f>
        <v>0</v>
      </c>
      <c r="D431" s="3" t="str">
        <f>IF(配列!E431="",RIGHT(配列!D431&amp;配列!E431,4)&amp;"L",RIGHT(配列!D431&amp;配列!E431,5))</f>
        <v>L</v>
      </c>
      <c r="E431" s="3">
        <f t="shared" si="24"/>
        <v>0</v>
      </c>
      <c r="F431" s="3" t="e">
        <f>_xlfn.XLOOKUP(E431,セットアップレポート_紐づけ用!A:A,セットアップレポート_紐づけ用!J:J)</f>
        <v>#N/A</v>
      </c>
      <c r="G431" s="3" t="e">
        <f>_xlfn.XLOOKUP(E431,セットアップレポート_紐づけ用!A:A,セットアップレポート_紐づけ用!V:V)</f>
        <v>#N/A</v>
      </c>
      <c r="H431" s="3">
        <f t="shared" si="27"/>
        <v>-2</v>
      </c>
      <c r="I431" t="str">
        <f>IF(J431=0,"",IF(配列!E431="",マクロ実行!$A$16 &amp;" T"&amp;H431&amp;"-"&amp;RIGHT(配列!D431&amp;配列!E431,2),マクロ実行!$A$16 &amp;" T"&amp;H431&amp;"-"&amp;RIGHT(配列!D431&amp;配列!E431,3)))</f>
        <v/>
      </c>
      <c r="J431">
        <f>配列!F431</f>
        <v>0</v>
      </c>
      <c r="K431" s="2" t="e">
        <f>_xlfn.XLOOKUP(E431,セットアップレポート_紐づけ用!A:A,セットアップレポート_紐づけ用!R:R)</f>
        <v>#N/A</v>
      </c>
      <c r="L431" t="e">
        <f t="shared" si="25"/>
        <v>#N/A</v>
      </c>
      <c r="M431" t="e">
        <f>_xlfn.XLOOKUP(L431,EGPro!A:A,EGPro!D:D)</f>
        <v>#N/A</v>
      </c>
      <c r="N431" t="e">
        <f>_xlfn.XLOOKUP(L431,EGPro!A:A,EGPro!C:C)</f>
        <v>#N/A</v>
      </c>
      <c r="O431" t="e">
        <f t="shared" si="26"/>
        <v>#N/A</v>
      </c>
      <c r="P431" t="e">
        <f>_xlfn.XLOOKUP(O431,EGPro!A:A,EGPro!D:D)</f>
        <v>#N/A</v>
      </c>
      <c r="Q431" t="e">
        <f>_xlfn.XLOOKUP(O431,EGPro!A:A,EGPro!C:C)</f>
        <v>#N/A</v>
      </c>
    </row>
    <row r="432" spans="1:17" x14ac:dyDescent="0.45">
      <c r="A432" s="3">
        <f>配列!B432</f>
        <v>0</v>
      </c>
      <c r="B432" s="3" t="e">
        <f>_xlfn.XLOOKUP(A432,対応表!A:A,対応表!B:B)</f>
        <v>#N/A</v>
      </c>
      <c r="C432" s="3">
        <f>配列!C432</f>
        <v>0</v>
      </c>
      <c r="D432" s="3" t="str">
        <f>IF(配列!E432="",RIGHT(配列!D432&amp;配列!E432,4)&amp;"L",RIGHT(配列!D432&amp;配列!E432,5))</f>
        <v>L</v>
      </c>
      <c r="E432" s="3">
        <f t="shared" si="24"/>
        <v>0</v>
      </c>
      <c r="F432" s="3" t="e">
        <f>_xlfn.XLOOKUP(E432,セットアップレポート_紐づけ用!A:A,セットアップレポート_紐づけ用!J:J)</f>
        <v>#N/A</v>
      </c>
      <c r="G432" s="3" t="e">
        <f>_xlfn.XLOOKUP(E432,セットアップレポート_紐づけ用!A:A,セットアップレポート_紐づけ用!V:V)</f>
        <v>#N/A</v>
      </c>
      <c r="H432" s="3">
        <f t="shared" si="27"/>
        <v>-2</v>
      </c>
      <c r="I432" t="str">
        <f>IF(J432=0,"",IF(配列!E432="",マクロ実行!$A$16 &amp;" T"&amp;H432&amp;"-"&amp;RIGHT(配列!D432&amp;配列!E432,2),マクロ実行!$A$16 &amp;" T"&amp;H432&amp;"-"&amp;RIGHT(配列!D432&amp;配列!E432,3)))</f>
        <v/>
      </c>
      <c r="J432">
        <f>配列!F432</f>
        <v>0</v>
      </c>
      <c r="K432" s="2" t="e">
        <f>_xlfn.XLOOKUP(E432,セットアップレポート_紐づけ用!A:A,セットアップレポート_紐づけ用!R:R)</f>
        <v>#N/A</v>
      </c>
      <c r="L432" t="e">
        <f t="shared" si="25"/>
        <v>#N/A</v>
      </c>
      <c r="M432" t="e">
        <f>_xlfn.XLOOKUP(L432,EGPro!A:A,EGPro!D:D)</f>
        <v>#N/A</v>
      </c>
      <c r="N432" t="e">
        <f>_xlfn.XLOOKUP(L432,EGPro!A:A,EGPro!C:C)</f>
        <v>#N/A</v>
      </c>
      <c r="O432" t="e">
        <f t="shared" si="26"/>
        <v>#N/A</v>
      </c>
      <c r="P432" t="e">
        <f>_xlfn.XLOOKUP(O432,EGPro!A:A,EGPro!D:D)</f>
        <v>#N/A</v>
      </c>
      <c r="Q432" t="e">
        <f>_xlfn.XLOOKUP(O432,EGPro!A:A,EGPro!C:C)</f>
        <v>#N/A</v>
      </c>
    </row>
    <row r="433" spans="1:17" x14ac:dyDescent="0.45">
      <c r="A433" s="3">
        <f>配列!B433</f>
        <v>0</v>
      </c>
      <c r="B433" s="3" t="e">
        <f>_xlfn.XLOOKUP(A433,対応表!A:A,対応表!B:B)</f>
        <v>#N/A</v>
      </c>
      <c r="C433" s="3">
        <f>配列!C433</f>
        <v>0</v>
      </c>
      <c r="D433" s="3" t="str">
        <f>IF(配列!E433="",RIGHT(配列!D433&amp;配列!E433,4)&amp;"L",RIGHT(配列!D433&amp;配列!E433,5))</f>
        <v>L</v>
      </c>
      <c r="E433" s="3">
        <f t="shared" si="24"/>
        <v>0</v>
      </c>
      <c r="F433" s="3" t="e">
        <f>_xlfn.XLOOKUP(E433,セットアップレポート_紐づけ用!A:A,セットアップレポート_紐づけ用!J:J)</f>
        <v>#N/A</v>
      </c>
      <c r="G433" s="3" t="e">
        <f>_xlfn.XLOOKUP(E433,セットアップレポート_紐づけ用!A:A,セットアップレポート_紐づけ用!V:V)</f>
        <v>#N/A</v>
      </c>
      <c r="H433" s="3">
        <f t="shared" si="27"/>
        <v>-2</v>
      </c>
      <c r="I433" t="str">
        <f>IF(J433=0,"",IF(配列!E433="",マクロ実行!$A$16 &amp;" T"&amp;H433&amp;"-"&amp;RIGHT(配列!D433&amp;配列!E433,2),マクロ実行!$A$16 &amp;" T"&amp;H433&amp;"-"&amp;RIGHT(配列!D433&amp;配列!E433,3)))</f>
        <v/>
      </c>
      <c r="J433">
        <f>配列!F433</f>
        <v>0</v>
      </c>
      <c r="K433" s="2" t="e">
        <f>_xlfn.XLOOKUP(E433,セットアップレポート_紐づけ用!A:A,セットアップレポート_紐づけ用!R:R)</f>
        <v>#N/A</v>
      </c>
      <c r="L433" t="e">
        <f t="shared" si="25"/>
        <v>#N/A</v>
      </c>
      <c r="M433" t="e">
        <f>_xlfn.XLOOKUP(L433,EGPro!A:A,EGPro!D:D)</f>
        <v>#N/A</v>
      </c>
      <c r="N433" t="e">
        <f>_xlfn.XLOOKUP(L433,EGPro!A:A,EGPro!C:C)</f>
        <v>#N/A</v>
      </c>
      <c r="O433" t="e">
        <f t="shared" si="26"/>
        <v>#N/A</v>
      </c>
      <c r="P433" t="e">
        <f>_xlfn.XLOOKUP(O433,EGPro!A:A,EGPro!D:D)</f>
        <v>#N/A</v>
      </c>
      <c r="Q433" t="e">
        <f>_xlfn.XLOOKUP(O433,EGPro!A:A,EGPro!C:C)</f>
        <v>#N/A</v>
      </c>
    </row>
    <row r="434" spans="1:17" x14ac:dyDescent="0.45">
      <c r="A434" s="3">
        <f>配列!B434</f>
        <v>0</v>
      </c>
      <c r="B434" s="3" t="e">
        <f>_xlfn.XLOOKUP(A434,対応表!A:A,対応表!B:B)</f>
        <v>#N/A</v>
      </c>
      <c r="C434" s="3">
        <f>配列!C434</f>
        <v>0</v>
      </c>
      <c r="D434" s="3" t="str">
        <f>IF(配列!E434="",RIGHT(配列!D434&amp;配列!E434,4)&amp;"L",RIGHT(配列!D434&amp;配列!E434,5))</f>
        <v>L</v>
      </c>
      <c r="E434" s="3">
        <f t="shared" si="24"/>
        <v>0</v>
      </c>
      <c r="F434" s="3" t="e">
        <f>_xlfn.XLOOKUP(E434,セットアップレポート_紐づけ用!A:A,セットアップレポート_紐づけ用!J:J)</f>
        <v>#N/A</v>
      </c>
      <c r="G434" s="3" t="e">
        <f>_xlfn.XLOOKUP(E434,セットアップレポート_紐づけ用!A:A,セットアップレポート_紐づけ用!V:V)</f>
        <v>#N/A</v>
      </c>
      <c r="H434" s="3">
        <f t="shared" si="27"/>
        <v>-2</v>
      </c>
      <c r="I434" t="str">
        <f>IF(J434=0,"",IF(配列!E434="",マクロ実行!$A$16 &amp;" T"&amp;H434&amp;"-"&amp;RIGHT(配列!D434&amp;配列!E434,2),マクロ実行!$A$16 &amp;" T"&amp;H434&amp;"-"&amp;RIGHT(配列!D434&amp;配列!E434,3)))</f>
        <v/>
      </c>
      <c r="J434">
        <f>配列!F434</f>
        <v>0</v>
      </c>
      <c r="K434" s="2" t="e">
        <f>_xlfn.XLOOKUP(E434,セットアップレポート_紐づけ用!A:A,セットアップレポート_紐づけ用!R:R)</f>
        <v>#N/A</v>
      </c>
      <c r="L434" t="e">
        <f t="shared" si="25"/>
        <v>#N/A</v>
      </c>
      <c r="M434" t="e">
        <f>_xlfn.XLOOKUP(L434,EGPro!A:A,EGPro!D:D)</f>
        <v>#N/A</v>
      </c>
      <c r="N434" t="e">
        <f>_xlfn.XLOOKUP(L434,EGPro!A:A,EGPro!C:C)</f>
        <v>#N/A</v>
      </c>
      <c r="O434" t="e">
        <f t="shared" si="26"/>
        <v>#N/A</v>
      </c>
      <c r="P434" t="e">
        <f>_xlfn.XLOOKUP(O434,EGPro!A:A,EGPro!D:D)</f>
        <v>#N/A</v>
      </c>
      <c r="Q434" t="e">
        <f>_xlfn.XLOOKUP(O434,EGPro!A:A,EGPro!C:C)</f>
        <v>#N/A</v>
      </c>
    </row>
    <row r="435" spans="1:17" x14ac:dyDescent="0.45">
      <c r="A435" s="3">
        <f>配列!B435</f>
        <v>0</v>
      </c>
      <c r="B435" s="3" t="e">
        <f>_xlfn.XLOOKUP(A435,対応表!A:A,対応表!B:B)</f>
        <v>#N/A</v>
      </c>
      <c r="C435" s="3">
        <f>配列!C435</f>
        <v>0</v>
      </c>
      <c r="D435" s="3" t="str">
        <f>IF(配列!E435="",RIGHT(配列!D435&amp;配列!E435,4)&amp;"L",RIGHT(配列!D435&amp;配列!E435,5))</f>
        <v>L</v>
      </c>
      <c r="E435" s="3">
        <f t="shared" si="24"/>
        <v>0</v>
      </c>
      <c r="F435" s="3" t="e">
        <f>_xlfn.XLOOKUP(E435,セットアップレポート_紐づけ用!A:A,セットアップレポート_紐づけ用!J:J)</f>
        <v>#N/A</v>
      </c>
      <c r="G435" s="3" t="e">
        <f>_xlfn.XLOOKUP(E435,セットアップレポート_紐づけ用!A:A,セットアップレポート_紐づけ用!V:V)</f>
        <v>#N/A</v>
      </c>
      <c r="H435" s="3">
        <f t="shared" si="27"/>
        <v>-2</v>
      </c>
      <c r="I435" t="str">
        <f>IF(J435=0,"",IF(配列!E435="",マクロ実行!$A$16 &amp;" T"&amp;H435&amp;"-"&amp;RIGHT(配列!D435&amp;配列!E435,2),マクロ実行!$A$16 &amp;" T"&amp;H435&amp;"-"&amp;RIGHT(配列!D435&amp;配列!E435,3)))</f>
        <v/>
      </c>
      <c r="J435">
        <f>配列!F435</f>
        <v>0</v>
      </c>
      <c r="K435" s="2" t="e">
        <f>_xlfn.XLOOKUP(E435,セットアップレポート_紐づけ用!A:A,セットアップレポート_紐づけ用!R:R)</f>
        <v>#N/A</v>
      </c>
      <c r="L435" t="e">
        <f t="shared" si="25"/>
        <v>#N/A</v>
      </c>
      <c r="M435" t="e">
        <f>_xlfn.XLOOKUP(L435,EGPro!A:A,EGPro!D:D)</f>
        <v>#N/A</v>
      </c>
      <c r="N435" t="e">
        <f>_xlfn.XLOOKUP(L435,EGPro!A:A,EGPro!C:C)</f>
        <v>#N/A</v>
      </c>
      <c r="O435" t="e">
        <f t="shared" si="26"/>
        <v>#N/A</v>
      </c>
      <c r="P435" t="e">
        <f>_xlfn.XLOOKUP(O435,EGPro!A:A,EGPro!D:D)</f>
        <v>#N/A</v>
      </c>
      <c r="Q435" t="e">
        <f>_xlfn.XLOOKUP(O435,EGPro!A:A,EGPro!C:C)</f>
        <v>#N/A</v>
      </c>
    </row>
    <row r="436" spans="1:17" x14ac:dyDescent="0.45">
      <c r="A436" s="3">
        <f>配列!B436</f>
        <v>0</v>
      </c>
      <c r="B436" s="3" t="e">
        <f>_xlfn.XLOOKUP(A436,対応表!A:A,対応表!B:B)</f>
        <v>#N/A</v>
      </c>
      <c r="C436" s="3">
        <f>配列!C436</f>
        <v>0</v>
      </c>
      <c r="D436" s="3" t="str">
        <f>IF(配列!E436="",RIGHT(配列!D436&amp;配列!E436,4)&amp;"L",RIGHT(配列!D436&amp;配列!E436,5))</f>
        <v>L</v>
      </c>
      <c r="E436" s="3">
        <f t="shared" si="24"/>
        <v>0</v>
      </c>
      <c r="F436" s="3" t="e">
        <f>_xlfn.XLOOKUP(E436,セットアップレポート_紐づけ用!A:A,セットアップレポート_紐づけ用!J:J)</f>
        <v>#N/A</v>
      </c>
      <c r="G436" s="3" t="e">
        <f>_xlfn.XLOOKUP(E436,セットアップレポート_紐づけ用!A:A,セットアップレポート_紐づけ用!V:V)</f>
        <v>#N/A</v>
      </c>
      <c r="H436" s="3">
        <f t="shared" si="27"/>
        <v>-2</v>
      </c>
      <c r="I436" t="str">
        <f>IF(J436=0,"",IF(配列!E436="",マクロ実行!$A$16 &amp;" T"&amp;H436&amp;"-"&amp;RIGHT(配列!D436&amp;配列!E436,2),マクロ実行!$A$16 &amp;" T"&amp;H436&amp;"-"&amp;RIGHT(配列!D436&amp;配列!E436,3)))</f>
        <v/>
      </c>
      <c r="J436">
        <f>配列!F436</f>
        <v>0</v>
      </c>
      <c r="K436" s="2" t="e">
        <f>_xlfn.XLOOKUP(E436,セットアップレポート_紐づけ用!A:A,セットアップレポート_紐づけ用!R:R)</f>
        <v>#N/A</v>
      </c>
      <c r="L436" t="e">
        <f t="shared" si="25"/>
        <v>#N/A</v>
      </c>
      <c r="M436" t="e">
        <f>_xlfn.XLOOKUP(L436,EGPro!A:A,EGPro!D:D)</f>
        <v>#N/A</v>
      </c>
      <c r="N436" t="e">
        <f>_xlfn.XLOOKUP(L436,EGPro!A:A,EGPro!C:C)</f>
        <v>#N/A</v>
      </c>
      <c r="O436" t="e">
        <f t="shared" si="26"/>
        <v>#N/A</v>
      </c>
      <c r="P436" t="e">
        <f>_xlfn.XLOOKUP(O436,EGPro!A:A,EGPro!D:D)</f>
        <v>#N/A</v>
      </c>
      <c r="Q436" t="e">
        <f>_xlfn.XLOOKUP(O436,EGPro!A:A,EGPro!C:C)</f>
        <v>#N/A</v>
      </c>
    </row>
    <row r="437" spans="1:17" x14ac:dyDescent="0.45">
      <c r="A437" s="3">
        <f>配列!B437</f>
        <v>0</v>
      </c>
      <c r="B437" s="3" t="e">
        <f>_xlfn.XLOOKUP(A437,対応表!A:A,対応表!B:B)</f>
        <v>#N/A</v>
      </c>
      <c r="C437" s="3">
        <f>配列!C437</f>
        <v>0</v>
      </c>
      <c r="D437" s="3" t="str">
        <f>IF(配列!E437="",RIGHT(配列!D437&amp;配列!E437,4)&amp;"L",RIGHT(配列!D437&amp;配列!E437,5))</f>
        <v>L</v>
      </c>
      <c r="E437" s="3">
        <f t="shared" si="24"/>
        <v>0</v>
      </c>
      <c r="F437" s="3" t="e">
        <f>_xlfn.XLOOKUP(E437,セットアップレポート_紐づけ用!A:A,セットアップレポート_紐づけ用!J:J)</f>
        <v>#N/A</v>
      </c>
      <c r="G437" s="3" t="e">
        <f>_xlfn.XLOOKUP(E437,セットアップレポート_紐づけ用!A:A,セットアップレポート_紐づけ用!V:V)</f>
        <v>#N/A</v>
      </c>
      <c r="H437" s="3">
        <f t="shared" si="27"/>
        <v>-2</v>
      </c>
      <c r="I437" t="str">
        <f>IF(J437=0,"",IF(配列!E437="",マクロ実行!$A$16 &amp;" T"&amp;H437&amp;"-"&amp;RIGHT(配列!D437&amp;配列!E437,2),マクロ実行!$A$16 &amp;" T"&amp;H437&amp;"-"&amp;RIGHT(配列!D437&amp;配列!E437,3)))</f>
        <v/>
      </c>
      <c r="J437">
        <f>配列!F437</f>
        <v>0</v>
      </c>
      <c r="K437" s="2" t="e">
        <f>_xlfn.XLOOKUP(E437,セットアップレポート_紐づけ用!A:A,セットアップレポート_紐づけ用!R:R)</f>
        <v>#N/A</v>
      </c>
      <c r="L437" t="e">
        <f t="shared" si="25"/>
        <v>#N/A</v>
      </c>
      <c r="M437" t="e">
        <f>_xlfn.XLOOKUP(L437,EGPro!A:A,EGPro!D:D)</f>
        <v>#N/A</v>
      </c>
      <c r="N437" t="e">
        <f>_xlfn.XLOOKUP(L437,EGPro!A:A,EGPro!C:C)</f>
        <v>#N/A</v>
      </c>
      <c r="O437" t="e">
        <f t="shared" si="26"/>
        <v>#N/A</v>
      </c>
      <c r="P437" t="e">
        <f>_xlfn.XLOOKUP(O437,EGPro!A:A,EGPro!D:D)</f>
        <v>#N/A</v>
      </c>
      <c r="Q437" t="e">
        <f>_xlfn.XLOOKUP(O437,EGPro!A:A,EGPro!C:C)</f>
        <v>#N/A</v>
      </c>
    </row>
    <row r="438" spans="1:17" x14ac:dyDescent="0.45">
      <c r="A438" s="3">
        <f>配列!B438</f>
        <v>0</v>
      </c>
      <c r="B438" s="3" t="e">
        <f>_xlfn.XLOOKUP(A438,対応表!A:A,対応表!B:B)</f>
        <v>#N/A</v>
      </c>
      <c r="C438" s="3">
        <f>配列!C438</f>
        <v>0</v>
      </c>
      <c r="D438" s="3" t="str">
        <f>IF(配列!E438="",RIGHT(配列!D438&amp;配列!E438,4)&amp;"L",RIGHT(配列!D438&amp;配列!E438,5))</f>
        <v>L</v>
      </c>
      <c r="E438" s="3">
        <f t="shared" si="24"/>
        <v>0</v>
      </c>
      <c r="F438" s="3" t="e">
        <f>_xlfn.XLOOKUP(E438,セットアップレポート_紐づけ用!A:A,セットアップレポート_紐づけ用!J:J)</f>
        <v>#N/A</v>
      </c>
      <c r="G438" s="3" t="e">
        <f>_xlfn.XLOOKUP(E438,セットアップレポート_紐づけ用!A:A,セットアップレポート_紐づけ用!V:V)</f>
        <v>#N/A</v>
      </c>
      <c r="H438" s="3">
        <f t="shared" si="27"/>
        <v>-2</v>
      </c>
      <c r="I438" t="str">
        <f>IF(J438=0,"",IF(配列!E438="",マクロ実行!$A$16 &amp;" T"&amp;H438&amp;"-"&amp;RIGHT(配列!D438&amp;配列!E438,2),マクロ実行!$A$16 &amp;" T"&amp;H438&amp;"-"&amp;RIGHT(配列!D438&amp;配列!E438,3)))</f>
        <v/>
      </c>
      <c r="J438">
        <f>配列!F438</f>
        <v>0</v>
      </c>
      <c r="K438" s="2" t="e">
        <f>_xlfn.XLOOKUP(E438,セットアップレポート_紐づけ用!A:A,セットアップレポート_紐づけ用!R:R)</f>
        <v>#N/A</v>
      </c>
      <c r="L438" t="e">
        <f t="shared" si="25"/>
        <v>#N/A</v>
      </c>
      <c r="M438" t="e">
        <f>_xlfn.XLOOKUP(L438,EGPro!A:A,EGPro!D:D)</f>
        <v>#N/A</v>
      </c>
      <c r="N438" t="e">
        <f>_xlfn.XLOOKUP(L438,EGPro!A:A,EGPro!C:C)</f>
        <v>#N/A</v>
      </c>
      <c r="O438" t="e">
        <f t="shared" si="26"/>
        <v>#N/A</v>
      </c>
      <c r="P438" t="e">
        <f>_xlfn.XLOOKUP(O438,EGPro!A:A,EGPro!D:D)</f>
        <v>#N/A</v>
      </c>
      <c r="Q438" t="e">
        <f>_xlfn.XLOOKUP(O438,EGPro!A:A,EGPro!C:C)</f>
        <v>#N/A</v>
      </c>
    </row>
    <row r="439" spans="1:17" x14ac:dyDescent="0.45">
      <c r="A439" s="3">
        <f>配列!B439</f>
        <v>0</v>
      </c>
      <c r="B439" s="3" t="e">
        <f>_xlfn.XLOOKUP(A439,対応表!A:A,対応表!B:B)</f>
        <v>#N/A</v>
      </c>
      <c r="C439" s="3">
        <f>配列!C439</f>
        <v>0</v>
      </c>
      <c r="D439" s="3" t="str">
        <f>IF(配列!E439="",RIGHT(配列!D439&amp;配列!E439,4)&amp;"L",RIGHT(配列!D439&amp;配列!E439,5))</f>
        <v>L</v>
      </c>
      <c r="E439" s="3">
        <f t="shared" si="24"/>
        <v>0</v>
      </c>
      <c r="F439" s="3" t="e">
        <f>_xlfn.XLOOKUP(E439,セットアップレポート_紐づけ用!A:A,セットアップレポート_紐づけ用!J:J)</f>
        <v>#N/A</v>
      </c>
      <c r="G439" s="3" t="e">
        <f>_xlfn.XLOOKUP(E439,セットアップレポート_紐づけ用!A:A,セットアップレポート_紐づけ用!V:V)</f>
        <v>#N/A</v>
      </c>
      <c r="H439" s="3">
        <f t="shared" si="27"/>
        <v>-2</v>
      </c>
      <c r="I439" t="str">
        <f>IF(J439=0,"",IF(配列!E439="",マクロ実行!$A$16 &amp;" T"&amp;H439&amp;"-"&amp;RIGHT(配列!D439&amp;配列!E439,2),マクロ実行!$A$16 &amp;" T"&amp;H439&amp;"-"&amp;RIGHT(配列!D439&amp;配列!E439,3)))</f>
        <v/>
      </c>
      <c r="J439">
        <f>配列!F439</f>
        <v>0</v>
      </c>
      <c r="K439" s="2" t="e">
        <f>_xlfn.XLOOKUP(E439,セットアップレポート_紐づけ用!A:A,セットアップレポート_紐づけ用!R:R)</f>
        <v>#N/A</v>
      </c>
      <c r="L439" t="e">
        <f t="shared" si="25"/>
        <v>#N/A</v>
      </c>
      <c r="M439" t="e">
        <f>_xlfn.XLOOKUP(L439,EGPro!A:A,EGPro!D:D)</f>
        <v>#N/A</v>
      </c>
      <c r="N439" t="e">
        <f>_xlfn.XLOOKUP(L439,EGPro!A:A,EGPro!C:C)</f>
        <v>#N/A</v>
      </c>
      <c r="O439" t="e">
        <f t="shared" si="26"/>
        <v>#N/A</v>
      </c>
      <c r="P439" t="e">
        <f>_xlfn.XLOOKUP(O439,EGPro!A:A,EGPro!D:D)</f>
        <v>#N/A</v>
      </c>
      <c r="Q439" t="e">
        <f>_xlfn.XLOOKUP(O439,EGPro!A:A,EGPro!C:C)</f>
        <v>#N/A</v>
      </c>
    </row>
    <row r="440" spans="1:17" x14ac:dyDescent="0.45">
      <c r="A440" s="3">
        <f>配列!B440</f>
        <v>0</v>
      </c>
      <c r="B440" s="3" t="e">
        <f>_xlfn.XLOOKUP(A440,対応表!A:A,対応表!B:B)</f>
        <v>#N/A</v>
      </c>
      <c r="C440" s="3">
        <f>配列!C440</f>
        <v>0</v>
      </c>
      <c r="D440" s="3" t="str">
        <f>IF(配列!E440="",RIGHT(配列!D440&amp;配列!E440,4)&amp;"L",RIGHT(配列!D440&amp;配列!E440,5))</f>
        <v>L</v>
      </c>
      <c r="E440" s="3">
        <f t="shared" si="24"/>
        <v>0</v>
      </c>
      <c r="F440" s="3" t="e">
        <f>_xlfn.XLOOKUP(E440,セットアップレポート_紐づけ用!A:A,セットアップレポート_紐づけ用!J:J)</f>
        <v>#N/A</v>
      </c>
      <c r="G440" s="3" t="e">
        <f>_xlfn.XLOOKUP(E440,セットアップレポート_紐づけ用!A:A,セットアップレポート_紐づけ用!V:V)</f>
        <v>#N/A</v>
      </c>
      <c r="H440" s="3">
        <f t="shared" si="27"/>
        <v>-2</v>
      </c>
      <c r="I440" t="str">
        <f>IF(J440=0,"",IF(配列!E440="",マクロ実行!$A$16 &amp;" T"&amp;H440&amp;"-"&amp;RIGHT(配列!D440&amp;配列!E440,2),マクロ実行!$A$16 &amp;" T"&amp;H440&amp;"-"&amp;RIGHT(配列!D440&amp;配列!E440,3)))</f>
        <v/>
      </c>
      <c r="J440">
        <f>配列!F440</f>
        <v>0</v>
      </c>
      <c r="K440" s="2" t="e">
        <f>_xlfn.XLOOKUP(E440,セットアップレポート_紐づけ用!A:A,セットアップレポート_紐づけ用!R:R)</f>
        <v>#N/A</v>
      </c>
      <c r="L440" t="e">
        <f t="shared" si="25"/>
        <v>#N/A</v>
      </c>
      <c r="M440" t="e">
        <f>_xlfn.XLOOKUP(L440,EGPro!A:A,EGPro!D:D)</f>
        <v>#N/A</v>
      </c>
      <c r="N440" t="e">
        <f>_xlfn.XLOOKUP(L440,EGPro!A:A,EGPro!C:C)</f>
        <v>#N/A</v>
      </c>
      <c r="O440" t="e">
        <f t="shared" si="26"/>
        <v>#N/A</v>
      </c>
      <c r="P440" t="e">
        <f>_xlfn.XLOOKUP(O440,EGPro!A:A,EGPro!D:D)</f>
        <v>#N/A</v>
      </c>
      <c r="Q440" t="e">
        <f>_xlfn.XLOOKUP(O440,EGPro!A:A,EGPro!C:C)</f>
        <v>#N/A</v>
      </c>
    </row>
    <row r="441" spans="1:17" x14ac:dyDescent="0.45">
      <c r="A441" s="3">
        <f>配列!B441</f>
        <v>0</v>
      </c>
      <c r="B441" s="3" t="e">
        <f>_xlfn.XLOOKUP(A441,対応表!A:A,対応表!B:B)</f>
        <v>#N/A</v>
      </c>
      <c r="C441" s="3">
        <f>配列!C441</f>
        <v>0</v>
      </c>
      <c r="D441" s="3" t="str">
        <f>IF(配列!E441="",RIGHT(配列!D441&amp;配列!E441,4)&amp;"L",RIGHT(配列!D441&amp;配列!E441,5))</f>
        <v>L</v>
      </c>
      <c r="E441" s="3">
        <f t="shared" si="24"/>
        <v>0</v>
      </c>
      <c r="F441" s="3" t="e">
        <f>_xlfn.XLOOKUP(E441,セットアップレポート_紐づけ用!A:A,セットアップレポート_紐づけ用!J:J)</f>
        <v>#N/A</v>
      </c>
      <c r="G441" s="3" t="e">
        <f>_xlfn.XLOOKUP(E441,セットアップレポート_紐づけ用!A:A,セットアップレポート_紐づけ用!V:V)</f>
        <v>#N/A</v>
      </c>
      <c r="H441" s="3">
        <f t="shared" si="27"/>
        <v>-2</v>
      </c>
      <c r="I441" t="str">
        <f>IF(J441=0,"",IF(配列!E441="",マクロ実行!$A$16 &amp;" T"&amp;H441&amp;"-"&amp;RIGHT(配列!D441&amp;配列!E441,2),マクロ実行!$A$16 &amp;" T"&amp;H441&amp;"-"&amp;RIGHT(配列!D441&amp;配列!E441,3)))</f>
        <v/>
      </c>
      <c r="J441">
        <f>配列!F441</f>
        <v>0</v>
      </c>
      <c r="K441" s="2" t="e">
        <f>_xlfn.XLOOKUP(E441,セットアップレポート_紐づけ用!A:A,セットアップレポート_紐づけ用!R:R)</f>
        <v>#N/A</v>
      </c>
      <c r="L441" t="e">
        <f t="shared" si="25"/>
        <v>#N/A</v>
      </c>
      <c r="M441" t="e">
        <f>_xlfn.XLOOKUP(L441,EGPro!A:A,EGPro!D:D)</f>
        <v>#N/A</v>
      </c>
      <c r="N441" t="e">
        <f>_xlfn.XLOOKUP(L441,EGPro!A:A,EGPro!C:C)</f>
        <v>#N/A</v>
      </c>
      <c r="O441" t="e">
        <f t="shared" si="26"/>
        <v>#N/A</v>
      </c>
      <c r="P441" t="e">
        <f>_xlfn.XLOOKUP(O441,EGPro!A:A,EGPro!D:D)</f>
        <v>#N/A</v>
      </c>
      <c r="Q441" t="e">
        <f>_xlfn.XLOOKUP(O441,EGPro!A:A,EGPro!C:C)</f>
        <v>#N/A</v>
      </c>
    </row>
    <row r="442" spans="1:17" x14ac:dyDescent="0.45">
      <c r="A442" s="3">
        <f>配列!B442</f>
        <v>0</v>
      </c>
      <c r="B442" s="3" t="e">
        <f>_xlfn.XLOOKUP(A442,対応表!A:A,対応表!B:B)</f>
        <v>#N/A</v>
      </c>
      <c r="C442" s="3">
        <f>配列!C442</f>
        <v>0</v>
      </c>
      <c r="D442" s="3" t="str">
        <f>IF(配列!E442="",RIGHT(配列!D442&amp;配列!E442,4)&amp;"L",RIGHT(配列!D442&amp;配列!E442,5))</f>
        <v>L</v>
      </c>
      <c r="E442" s="3">
        <f t="shared" si="24"/>
        <v>0</v>
      </c>
      <c r="F442" s="3" t="e">
        <f>_xlfn.XLOOKUP(E442,セットアップレポート_紐づけ用!A:A,セットアップレポート_紐づけ用!J:J)</f>
        <v>#N/A</v>
      </c>
      <c r="G442" s="3" t="e">
        <f>_xlfn.XLOOKUP(E442,セットアップレポート_紐づけ用!A:A,セットアップレポート_紐づけ用!V:V)</f>
        <v>#N/A</v>
      </c>
      <c r="H442" s="3">
        <f t="shared" si="27"/>
        <v>-2</v>
      </c>
      <c r="I442" t="str">
        <f>IF(J442=0,"",IF(配列!E442="",マクロ実行!$A$16 &amp;" T"&amp;H442&amp;"-"&amp;RIGHT(配列!D442&amp;配列!E442,2),マクロ実行!$A$16 &amp;" T"&amp;H442&amp;"-"&amp;RIGHT(配列!D442&amp;配列!E442,3)))</f>
        <v/>
      </c>
      <c r="J442">
        <f>配列!F442</f>
        <v>0</v>
      </c>
      <c r="K442" s="2" t="e">
        <f>_xlfn.XLOOKUP(E442,セットアップレポート_紐づけ用!A:A,セットアップレポート_紐づけ用!R:R)</f>
        <v>#N/A</v>
      </c>
      <c r="L442" t="e">
        <f t="shared" si="25"/>
        <v>#N/A</v>
      </c>
      <c r="M442" t="e">
        <f>_xlfn.XLOOKUP(L442,EGPro!A:A,EGPro!D:D)</f>
        <v>#N/A</v>
      </c>
      <c r="N442" t="e">
        <f>_xlfn.XLOOKUP(L442,EGPro!A:A,EGPro!C:C)</f>
        <v>#N/A</v>
      </c>
      <c r="O442" t="e">
        <f t="shared" si="26"/>
        <v>#N/A</v>
      </c>
      <c r="P442" t="e">
        <f>_xlfn.XLOOKUP(O442,EGPro!A:A,EGPro!D:D)</f>
        <v>#N/A</v>
      </c>
      <c r="Q442" t="e">
        <f>_xlfn.XLOOKUP(O442,EGPro!A:A,EGPro!C:C)</f>
        <v>#N/A</v>
      </c>
    </row>
    <row r="443" spans="1:17" x14ac:dyDescent="0.45">
      <c r="A443" s="3">
        <f>配列!B443</f>
        <v>0</v>
      </c>
      <c r="B443" s="3" t="e">
        <f>_xlfn.XLOOKUP(A443,対応表!A:A,対応表!B:B)</f>
        <v>#N/A</v>
      </c>
      <c r="C443" s="3">
        <f>配列!C443</f>
        <v>0</v>
      </c>
      <c r="D443" s="3" t="str">
        <f>IF(配列!E443="",RIGHT(配列!D443&amp;配列!E443,4)&amp;"L",RIGHT(配列!D443&amp;配列!E443,5))</f>
        <v>L</v>
      </c>
      <c r="E443" s="3">
        <f t="shared" si="24"/>
        <v>0</v>
      </c>
      <c r="F443" s="3" t="e">
        <f>_xlfn.XLOOKUP(E443,セットアップレポート_紐づけ用!A:A,セットアップレポート_紐づけ用!J:J)</f>
        <v>#N/A</v>
      </c>
      <c r="G443" s="3" t="e">
        <f>_xlfn.XLOOKUP(E443,セットアップレポート_紐づけ用!A:A,セットアップレポート_紐づけ用!V:V)</f>
        <v>#N/A</v>
      </c>
      <c r="H443" s="3">
        <f t="shared" si="27"/>
        <v>-2</v>
      </c>
      <c r="I443" t="str">
        <f>IF(J443=0,"",IF(配列!E443="",マクロ実行!$A$16 &amp;" T"&amp;H443&amp;"-"&amp;RIGHT(配列!D443&amp;配列!E443,2),マクロ実行!$A$16 &amp;" T"&amp;H443&amp;"-"&amp;RIGHT(配列!D443&amp;配列!E443,3)))</f>
        <v/>
      </c>
      <c r="J443">
        <f>配列!F443</f>
        <v>0</v>
      </c>
      <c r="K443" s="2" t="e">
        <f>_xlfn.XLOOKUP(E443,セットアップレポート_紐づけ用!A:A,セットアップレポート_紐づけ用!R:R)</f>
        <v>#N/A</v>
      </c>
      <c r="L443" t="e">
        <f t="shared" si="25"/>
        <v>#N/A</v>
      </c>
      <c r="M443" t="e">
        <f>_xlfn.XLOOKUP(L443,EGPro!A:A,EGPro!D:D)</f>
        <v>#N/A</v>
      </c>
      <c r="N443" t="e">
        <f>_xlfn.XLOOKUP(L443,EGPro!A:A,EGPro!C:C)</f>
        <v>#N/A</v>
      </c>
      <c r="O443" t="e">
        <f t="shared" si="26"/>
        <v>#N/A</v>
      </c>
      <c r="P443" t="e">
        <f>_xlfn.XLOOKUP(O443,EGPro!A:A,EGPro!D:D)</f>
        <v>#N/A</v>
      </c>
      <c r="Q443" t="e">
        <f>_xlfn.XLOOKUP(O443,EGPro!A:A,EGPro!C:C)</f>
        <v>#N/A</v>
      </c>
    </row>
    <row r="444" spans="1:17" x14ac:dyDescent="0.45">
      <c r="A444" s="3">
        <f>配列!B444</f>
        <v>0</v>
      </c>
      <c r="B444" s="3" t="e">
        <f>_xlfn.XLOOKUP(A444,対応表!A:A,対応表!B:B)</f>
        <v>#N/A</v>
      </c>
      <c r="C444" s="3">
        <f>配列!C444</f>
        <v>0</v>
      </c>
      <c r="D444" s="3" t="str">
        <f>IF(配列!E444="",RIGHT(配列!D444&amp;配列!E444,4)&amp;"L",RIGHT(配列!D444&amp;配列!E444,5))</f>
        <v>L</v>
      </c>
      <c r="E444" s="3">
        <f t="shared" si="24"/>
        <v>0</v>
      </c>
      <c r="F444" s="3" t="e">
        <f>_xlfn.XLOOKUP(E444,セットアップレポート_紐づけ用!A:A,セットアップレポート_紐づけ用!J:J)</f>
        <v>#N/A</v>
      </c>
      <c r="G444" s="3" t="e">
        <f>_xlfn.XLOOKUP(E444,セットアップレポート_紐づけ用!A:A,セットアップレポート_紐づけ用!V:V)</f>
        <v>#N/A</v>
      </c>
      <c r="H444" s="3">
        <f t="shared" si="27"/>
        <v>-2</v>
      </c>
      <c r="I444" t="str">
        <f>IF(J444=0,"",IF(配列!E444="",マクロ実行!$A$16 &amp;" T"&amp;H444&amp;"-"&amp;RIGHT(配列!D444&amp;配列!E444,2),マクロ実行!$A$16 &amp;" T"&amp;H444&amp;"-"&amp;RIGHT(配列!D444&amp;配列!E444,3)))</f>
        <v/>
      </c>
      <c r="J444">
        <f>配列!F444</f>
        <v>0</v>
      </c>
      <c r="K444" s="2" t="e">
        <f>_xlfn.XLOOKUP(E444,セットアップレポート_紐づけ用!A:A,セットアップレポート_紐づけ用!R:R)</f>
        <v>#N/A</v>
      </c>
      <c r="L444" t="e">
        <f t="shared" si="25"/>
        <v>#N/A</v>
      </c>
      <c r="M444" t="e">
        <f>_xlfn.XLOOKUP(L444,EGPro!A:A,EGPro!D:D)</f>
        <v>#N/A</v>
      </c>
      <c r="N444" t="e">
        <f>_xlfn.XLOOKUP(L444,EGPro!A:A,EGPro!C:C)</f>
        <v>#N/A</v>
      </c>
      <c r="O444" t="e">
        <f t="shared" si="26"/>
        <v>#N/A</v>
      </c>
      <c r="P444" t="e">
        <f>_xlfn.XLOOKUP(O444,EGPro!A:A,EGPro!D:D)</f>
        <v>#N/A</v>
      </c>
      <c r="Q444" t="e">
        <f>_xlfn.XLOOKUP(O444,EGPro!A:A,EGPro!C:C)</f>
        <v>#N/A</v>
      </c>
    </row>
    <row r="445" spans="1:17" x14ac:dyDescent="0.45">
      <c r="A445" s="3">
        <f>配列!B445</f>
        <v>0</v>
      </c>
      <c r="B445" s="3" t="e">
        <f>_xlfn.XLOOKUP(A445,対応表!A:A,対応表!B:B)</f>
        <v>#N/A</v>
      </c>
      <c r="C445" s="3">
        <f>配列!C445</f>
        <v>0</v>
      </c>
      <c r="D445" s="3" t="str">
        <f>IF(配列!E445="",RIGHT(配列!D445&amp;配列!E445,4)&amp;"L",RIGHT(配列!D445&amp;配列!E445,5))</f>
        <v>L</v>
      </c>
      <c r="E445" s="3">
        <f t="shared" si="24"/>
        <v>0</v>
      </c>
      <c r="F445" s="3" t="e">
        <f>_xlfn.XLOOKUP(E445,セットアップレポート_紐づけ用!A:A,セットアップレポート_紐づけ用!J:J)</f>
        <v>#N/A</v>
      </c>
      <c r="G445" s="3" t="e">
        <f>_xlfn.XLOOKUP(E445,セットアップレポート_紐づけ用!A:A,セットアップレポート_紐づけ用!V:V)</f>
        <v>#N/A</v>
      </c>
      <c r="H445" s="3">
        <f t="shared" si="27"/>
        <v>-2</v>
      </c>
      <c r="I445" t="str">
        <f>IF(J445=0,"",IF(配列!E445="",マクロ実行!$A$16 &amp;" T"&amp;H445&amp;"-"&amp;RIGHT(配列!D445&amp;配列!E445,2),マクロ実行!$A$16 &amp;" T"&amp;H445&amp;"-"&amp;RIGHT(配列!D445&amp;配列!E445,3)))</f>
        <v/>
      </c>
      <c r="J445">
        <f>配列!F445</f>
        <v>0</v>
      </c>
      <c r="K445" s="2" t="e">
        <f>_xlfn.XLOOKUP(E445,セットアップレポート_紐づけ用!A:A,セットアップレポート_紐づけ用!R:R)</f>
        <v>#N/A</v>
      </c>
      <c r="L445" t="e">
        <f t="shared" si="25"/>
        <v>#N/A</v>
      </c>
      <c r="M445" t="e">
        <f>_xlfn.XLOOKUP(L445,EGPro!A:A,EGPro!D:D)</f>
        <v>#N/A</v>
      </c>
      <c r="N445" t="e">
        <f>_xlfn.XLOOKUP(L445,EGPro!A:A,EGPro!C:C)</f>
        <v>#N/A</v>
      </c>
      <c r="O445" t="e">
        <f t="shared" si="26"/>
        <v>#N/A</v>
      </c>
      <c r="P445" t="e">
        <f>_xlfn.XLOOKUP(O445,EGPro!A:A,EGPro!D:D)</f>
        <v>#N/A</v>
      </c>
      <c r="Q445" t="e">
        <f>_xlfn.XLOOKUP(O445,EGPro!A:A,EGPro!C:C)</f>
        <v>#N/A</v>
      </c>
    </row>
    <row r="446" spans="1:17" x14ac:dyDescent="0.45">
      <c r="A446" s="3">
        <f>配列!B446</f>
        <v>0</v>
      </c>
      <c r="B446" s="3" t="e">
        <f>_xlfn.XLOOKUP(A446,対応表!A:A,対応表!B:B)</f>
        <v>#N/A</v>
      </c>
      <c r="C446" s="3">
        <f>配列!C446</f>
        <v>0</v>
      </c>
      <c r="D446" s="3" t="str">
        <f>IF(配列!E446="",RIGHT(配列!D446&amp;配列!E446,4)&amp;"L",RIGHT(配列!D446&amp;配列!E446,5))</f>
        <v>L</v>
      </c>
      <c r="E446" s="3">
        <f t="shared" si="24"/>
        <v>0</v>
      </c>
      <c r="F446" s="3" t="e">
        <f>_xlfn.XLOOKUP(E446,セットアップレポート_紐づけ用!A:A,セットアップレポート_紐づけ用!J:J)</f>
        <v>#N/A</v>
      </c>
      <c r="G446" s="3" t="e">
        <f>_xlfn.XLOOKUP(E446,セットアップレポート_紐づけ用!A:A,セットアップレポート_紐づけ用!V:V)</f>
        <v>#N/A</v>
      </c>
      <c r="H446" s="3">
        <f t="shared" si="27"/>
        <v>-2</v>
      </c>
      <c r="I446" t="str">
        <f>IF(J446=0,"",IF(配列!E446="",マクロ実行!$A$16 &amp;" T"&amp;H446&amp;"-"&amp;RIGHT(配列!D446&amp;配列!E446,2),マクロ実行!$A$16 &amp;" T"&amp;H446&amp;"-"&amp;RIGHT(配列!D446&amp;配列!E446,3)))</f>
        <v/>
      </c>
      <c r="J446">
        <f>配列!F446</f>
        <v>0</v>
      </c>
      <c r="K446" s="2" t="e">
        <f>_xlfn.XLOOKUP(E446,セットアップレポート_紐づけ用!A:A,セットアップレポート_紐づけ用!R:R)</f>
        <v>#N/A</v>
      </c>
      <c r="L446" t="e">
        <f t="shared" si="25"/>
        <v>#N/A</v>
      </c>
      <c r="M446" t="e">
        <f>_xlfn.XLOOKUP(L446,EGPro!A:A,EGPro!D:D)</f>
        <v>#N/A</v>
      </c>
      <c r="N446" t="e">
        <f>_xlfn.XLOOKUP(L446,EGPro!A:A,EGPro!C:C)</f>
        <v>#N/A</v>
      </c>
      <c r="O446" t="e">
        <f t="shared" si="26"/>
        <v>#N/A</v>
      </c>
      <c r="P446" t="e">
        <f>_xlfn.XLOOKUP(O446,EGPro!A:A,EGPro!D:D)</f>
        <v>#N/A</v>
      </c>
      <c r="Q446" t="e">
        <f>_xlfn.XLOOKUP(O446,EGPro!A:A,EGPro!C:C)</f>
        <v>#N/A</v>
      </c>
    </row>
    <row r="447" spans="1:17" x14ac:dyDescent="0.45">
      <c r="A447" s="3">
        <f>配列!B447</f>
        <v>0</v>
      </c>
      <c r="B447" s="3" t="e">
        <f>_xlfn.XLOOKUP(A447,対応表!A:A,対応表!B:B)</f>
        <v>#N/A</v>
      </c>
      <c r="C447" s="3">
        <f>配列!C447</f>
        <v>0</v>
      </c>
      <c r="D447" s="3" t="str">
        <f>IF(配列!E447="",RIGHT(配列!D447&amp;配列!E447,4)&amp;"L",RIGHT(配列!D447&amp;配列!E447,5))</f>
        <v>L</v>
      </c>
      <c r="E447" s="3">
        <f t="shared" si="24"/>
        <v>0</v>
      </c>
      <c r="F447" s="3" t="e">
        <f>_xlfn.XLOOKUP(E447,セットアップレポート_紐づけ用!A:A,セットアップレポート_紐づけ用!J:J)</f>
        <v>#N/A</v>
      </c>
      <c r="G447" s="3" t="e">
        <f>_xlfn.XLOOKUP(E447,セットアップレポート_紐づけ用!A:A,セットアップレポート_紐づけ用!V:V)</f>
        <v>#N/A</v>
      </c>
      <c r="H447" s="3">
        <f t="shared" si="27"/>
        <v>-2</v>
      </c>
      <c r="I447" t="str">
        <f>IF(J447=0,"",IF(配列!E447="",マクロ実行!$A$16 &amp;" T"&amp;H447&amp;"-"&amp;RIGHT(配列!D447&amp;配列!E447,2),マクロ実行!$A$16 &amp;" T"&amp;H447&amp;"-"&amp;RIGHT(配列!D447&amp;配列!E447,3)))</f>
        <v/>
      </c>
      <c r="J447">
        <f>配列!F447</f>
        <v>0</v>
      </c>
      <c r="K447" s="2" t="e">
        <f>_xlfn.XLOOKUP(E447,セットアップレポート_紐づけ用!A:A,セットアップレポート_紐づけ用!R:R)</f>
        <v>#N/A</v>
      </c>
      <c r="L447" t="e">
        <f t="shared" si="25"/>
        <v>#N/A</v>
      </c>
      <c r="M447" t="e">
        <f>_xlfn.XLOOKUP(L447,EGPro!A:A,EGPro!D:D)</f>
        <v>#N/A</v>
      </c>
      <c r="N447" t="e">
        <f>_xlfn.XLOOKUP(L447,EGPro!A:A,EGPro!C:C)</f>
        <v>#N/A</v>
      </c>
      <c r="O447" t="e">
        <f t="shared" si="26"/>
        <v>#N/A</v>
      </c>
      <c r="P447" t="e">
        <f>_xlfn.XLOOKUP(O447,EGPro!A:A,EGPro!D:D)</f>
        <v>#N/A</v>
      </c>
      <c r="Q447" t="e">
        <f>_xlfn.XLOOKUP(O447,EGPro!A:A,EGPro!C:C)</f>
        <v>#N/A</v>
      </c>
    </row>
    <row r="448" spans="1:17" x14ac:dyDescent="0.45">
      <c r="A448" s="3">
        <f>配列!B448</f>
        <v>0</v>
      </c>
      <c r="B448" s="3" t="e">
        <f>_xlfn.XLOOKUP(A448,対応表!A:A,対応表!B:B)</f>
        <v>#N/A</v>
      </c>
      <c r="C448" s="3">
        <f>配列!C448</f>
        <v>0</v>
      </c>
      <c r="D448" s="3" t="str">
        <f>IF(配列!E448="",RIGHT(配列!D448&amp;配列!E448,4)&amp;"L",RIGHT(配列!D448&amp;配列!E448,5))</f>
        <v>L</v>
      </c>
      <c r="E448" s="3">
        <f t="shared" si="24"/>
        <v>0</v>
      </c>
      <c r="F448" s="3" t="e">
        <f>_xlfn.XLOOKUP(E448,セットアップレポート_紐づけ用!A:A,セットアップレポート_紐づけ用!J:J)</f>
        <v>#N/A</v>
      </c>
      <c r="G448" s="3" t="e">
        <f>_xlfn.XLOOKUP(E448,セットアップレポート_紐づけ用!A:A,セットアップレポート_紐づけ用!V:V)</f>
        <v>#N/A</v>
      </c>
      <c r="H448" s="3">
        <f t="shared" si="27"/>
        <v>-2</v>
      </c>
      <c r="I448" t="str">
        <f>IF(J448=0,"",IF(配列!E448="",マクロ実行!$A$16 &amp;" T"&amp;H448&amp;"-"&amp;RIGHT(配列!D448&amp;配列!E448,2),マクロ実行!$A$16 &amp;" T"&amp;H448&amp;"-"&amp;RIGHT(配列!D448&amp;配列!E448,3)))</f>
        <v/>
      </c>
      <c r="J448">
        <f>配列!F448</f>
        <v>0</v>
      </c>
      <c r="K448" s="2" t="e">
        <f>_xlfn.XLOOKUP(E448,セットアップレポート_紐づけ用!A:A,セットアップレポート_紐づけ用!R:R)</f>
        <v>#N/A</v>
      </c>
      <c r="L448" t="e">
        <f t="shared" si="25"/>
        <v>#N/A</v>
      </c>
      <c r="M448" t="e">
        <f>_xlfn.XLOOKUP(L448,EGPro!A:A,EGPro!D:D)</f>
        <v>#N/A</v>
      </c>
      <c r="N448" t="e">
        <f>_xlfn.XLOOKUP(L448,EGPro!A:A,EGPro!C:C)</f>
        <v>#N/A</v>
      </c>
      <c r="O448" t="e">
        <f t="shared" si="26"/>
        <v>#N/A</v>
      </c>
      <c r="P448" t="e">
        <f>_xlfn.XLOOKUP(O448,EGPro!A:A,EGPro!D:D)</f>
        <v>#N/A</v>
      </c>
      <c r="Q448" t="e">
        <f>_xlfn.XLOOKUP(O448,EGPro!A:A,EGPro!C:C)</f>
        <v>#N/A</v>
      </c>
    </row>
    <row r="449" spans="1:17" x14ac:dyDescent="0.45">
      <c r="A449" s="3">
        <f>配列!B449</f>
        <v>0</v>
      </c>
      <c r="B449" s="3" t="e">
        <f>_xlfn.XLOOKUP(A449,対応表!A:A,対応表!B:B)</f>
        <v>#N/A</v>
      </c>
      <c r="C449" s="3">
        <f>配列!C449</f>
        <v>0</v>
      </c>
      <c r="D449" s="3" t="str">
        <f>IF(配列!E449="",RIGHT(配列!D449&amp;配列!E449,4)&amp;"L",RIGHT(配列!D449&amp;配列!E449,5))</f>
        <v>L</v>
      </c>
      <c r="E449" s="3">
        <f t="shared" si="24"/>
        <v>0</v>
      </c>
      <c r="F449" s="3" t="e">
        <f>_xlfn.XLOOKUP(E449,セットアップレポート_紐づけ用!A:A,セットアップレポート_紐づけ用!J:J)</f>
        <v>#N/A</v>
      </c>
      <c r="G449" s="3" t="e">
        <f>_xlfn.XLOOKUP(E449,セットアップレポート_紐づけ用!A:A,セットアップレポート_紐づけ用!V:V)</f>
        <v>#N/A</v>
      </c>
      <c r="H449" s="3">
        <f t="shared" si="27"/>
        <v>-2</v>
      </c>
      <c r="I449" t="str">
        <f>IF(J449=0,"",IF(配列!E449="",マクロ実行!$A$16 &amp;" T"&amp;H449&amp;"-"&amp;RIGHT(配列!D449&amp;配列!E449,2),マクロ実行!$A$16 &amp;" T"&amp;H449&amp;"-"&amp;RIGHT(配列!D449&amp;配列!E449,3)))</f>
        <v/>
      </c>
      <c r="J449">
        <f>配列!F449</f>
        <v>0</v>
      </c>
      <c r="K449" s="2" t="e">
        <f>_xlfn.XLOOKUP(E449,セットアップレポート_紐づけ用!A:A,セットアップレポート_紐づけ用!R:R)</f>
        <v>#N/A</v>
      </c>
      <c r="L449" t="e">
        <f t="shared" si="25"/>
        <v>#N/A</v>
      </c>
      <c r="M449" t="e">
        <f>_xlfn.XLOOKUP(L449,EGPro!A:A,EGPro!D:D)</f>
        <v>#N/A</v>
      </c>
      <c r="N449" t="e">
        <f>_xlfn.XLOOKUP(L449,EGPro!A:A,EGPro!C:C)</f>
        <v>#N/A</v>
      </c>
      <c r="O449" t="e">
        <f t="shared" si="26"/>
        <v>#N/A</v>
      </c>
      <c r="P449" t="e">
        <f>_xlfn.XLOOKUP(O449,EGPro!A:A,EGPro!D:D)</f>
        <v>#N/A</v>
      </c>
      <c r="Q449" t="e">
        <f>_xlfn.XLOOKUP(O449,EGPro!A:A,EGPro!C:C)</f>
        <v>#N/A</v>
      </c>
    </row>
    <row r="450" spans="1:17" x14ac:dyDescent="0.45">
      <c r="A450" s="3">
        <f>配列!B450</f>
        <v>0</v>
      </c>
      <c r="B450" s="3" t="e">
        <f>_xlfn.XLOOKUP(A450,対応表!A:A,対応表!B:B)</f>
        <v>#N/A</v>
      </c>
      <c r="C450" s="3">
        <f>配列!C450</f>
        <v>0</v>
      </c>
      <c r="D450" s="3" t="str">
        <f>IF(配列!E450="",RIGHT(配列!D450&amp;配列!E450,4)&amp;"L",RIGHT(配列!D450&amp;配列!E450,5))</f>
        <v>L</v>
      </c>
      <c r="E450" s="3">
        <f t="shared" ref="E450:E513" si="28">IF(J450=0,,B450&amp;D450&amp;J450)</f>
        <v>0</v>
      </c>
      <c r="F450" s="3" t="e">
        <f>_xlfn.XLOOKUP(E450,セットアップレポート_紐づけ用!A:A,セットアップレポート_紐づけ用!J:J)</f>
        <v>#N/A</v>
      </c>
      <c r="G450" s="3" t="e">
        <f>_xlfn.XLOOKUP(E450,セットアップレポート_紐づけ用!A:A,セットアップレポート_紐づけ用!V:V)</f>
        <v>#N/A</v>
      </c>
      <c r="H450" s="3">
        <f t="shared" si="27"/>
        <v>-2</v>
      </c>
      <c r="I450" t="str">
        <f>IF(J450=0,"",IF(配列!E450="",マクロ実行!$A$16 &amp;" T"&amp;H450&amp;"-"&amp;RIGHT(配列!D450&amp;配列!E450,2),マクロ実行!$A$16 &amp;" T"&amp;H450&amp;"-"&amp;RIGHT(配列!D450&amp;配列!E450,3)))</f>
        <v/>
      </c>
      <c r="J450">
        <f>配列!F450</f>
        <v>0</v>
      </c>
      <c r="K450" s="2" t="e">
        <f>_xlfn.XLOOKUP(E450,セットアップレポート_紐づけ用!A:A,セットアップレポート_紐づけ用!R:R)</f>
        <v>#N/A</v>
      </c>
      <c r="L450" t="e">
        <f t="shared" ref="L450:L513" si="29">IF(LEN(F450)=13,"    "&amp;F450,F450)</f>
        <v>#N/A</v>
      </c>
      <c r="M450" t="e">
        <f>_xlfn.XLOOKUP(L450,EGPro!A:A,EGPro!D:D)</f>
        <v>#N/A</v>
      </c>
      <c r="N450" t="e">
        <f>_xlfn.XLOOKUP(L450,EGPro!A:A,EGPro!C:C)</f>
        <v>#N/A</v>
      </c>
      <c r="O450" t="e">
        <f t="shared" ref="O450:O513" si="30">IF(LEN(G450)=13,"    "&amp;G450,G450)</f>
        <v>#N/A</v>
      </c>
      <c r="P450" t="e">
        <f>_xlfn.XLOOKUP(O450,EGPro!A:A,EGPro!D:D)</f>
        <v>#N/A</v>
      </c>
      <c r="Q450" t="e">
        <f>_xlfn.XLOOKUP(O450,EGPro!A:A,EGPro!C:C)</f>
        <v>#N/A</v>
      </c>
    </row>
    <row r="451" spans="1:17" x14ac:dyDescent="0.45">
      <c r="A451" s="3">
        <f>配列!B451</f>
        <v>0</v>
      </c>
      <c r="B451" s="3" t="e">
        <f>_xlfn.XLOOKUP(A451,対応表!A:A,対応表!B:B)</f>
        <v>#N/A</v>
      </c>
      <c r="C451" s="3">
        <f>配列!C451</f>
        <v>0</v>
      </c>
      <c r="D451" s="3" t="str">
        <f>IF(配列!E451="",RIGHT(配列!D451&amp;配列!E451,4)&amp;"L",RIGHT(配列!D451&amp;配列!E451,5))</f>
        <v>L</v>
      </c>
      <c r="E451" s="3">
        <f t="shared" si="28"/>
        <v>0</v>
      </c>
      <c r="F451" s="3" t="e">
        <f>_xlfn.XLOOKUP(E451,セットアップレポート_紐づけ用!A:A,セットアップレポート_紐づけ用!J:J)</f>
        <v>#N/A</v>
      </c>
      <c r="G451" s="3" t="e">
        <f>_xlfn.XLOOKUP(E451,セットアップレポート_紐づけ用!A:A,セットアップレポート_紐づけ用!V:V)</f>
        <v>#N/A</v>
      </c>
      <c r="H451" s="3">
        <f t="shared" ref="H451:H514" si="31">2*RIGHT(A451,1)-2+C451</f>
        <v>-2</v>
      </c>
      <c r="I451" t="str">
        <f>IF(J451=0,"",IF(配列!E451="",マクロ実行!$A$16 &amp;" T"&amp;H451&amp;"-"&amp;RIGHT(配列!D451&amp;配列!E451,2),マクロ実行!$A$16 &amp;" T"&amp;H451&amp;"-"&amp;RIGHT(配列!D451&amp;配列!E451,3)))</f>
        <v/>
      </c>
      <c r="J451">
        <f>配列!F451</f>
        <v>0</v>
      </c>
      <c r="K451" s="2" t="e">
        <f>_xlfn.XLOOKUP(E451,セットアップレポート_紐づけ用!A:A,セットアップレポート_紐づけ用!R:R)</f>
        <v>#N/A</v>
      </c>
      <c r="L451" t="e">
        <f t="shared" si="29"/>
        <v>#N/A</v>
      </c>
      <c r="M451" t="e">
        <f>_xlfn.XLOOKUP(L451,EGPro!A:A,EGPro!D:D)</f>
        <v>#N/A</v>
      </c>
      <c r="N451" t="e">
        <f>_xlfn.XLOOKUP(L451,EGPro!A:A,EGPro!C:C)</f>
        <v>#N/A</v>
      </c>
      <c r="O451" t="e">
        <f t="shared" si="30"/>
        <v>#N/A</v>
      </c>
      <c r="P451" t="e">
        <f>_xlfn.XLOOKUP(O451,EGPro!A:A,EGPro!D:D)</f>
        <v>#N/A</v>
      </c>
      <c r="Q451" t="e">
        <f>_xlfn.XLOOKUP(O451,EGPro!A:A,EGPro!C:C)</f>
        <v>#N/A</v>
      </c>
    </row>
    <row r="452" spans="1:17" x14ac:dyDescent="0.45">
      <c r="A452" s="3">
        <f>配列!B452</f>
        <v>0</v>
      </c>
      <c r="B452" s="3" t="e">
        <f>_xlfn.XLOOKUP(A452,対応表!A:A,対応表!B:B)</f>
        <v>#N/A</v>
      </c>
      <c r="C452" s="3">
        <f>配列!C452</f>
        <v>0</v>
      </c>
      <c r="D452" s="3" t="str">
        <f>IF(配列!E452="",RIGHT(配列!D452&amp;配列!E452,4)&amp;"L",RIGHT(配列!D452&amp;配列!E452,5))</f>
        <v>L</v>
      </c>
      <c r="E452" s="3">
        <f t="shared" si="28"/>
        <v>0</v>
      </c>
      <c r="F452" s="3" t="e">
        <f>_xlfn.XLOOKUP(E452,セットアップレポート_紐づけ用!A:A,セットアップレポート_紐づけ用!J:J)</f>
        <v>#N/A</v>
      </c>
      <c r="G452" s="3" t="e">
        <f>_xlfn.XLOOKUP(E452,セットアップレポート_紐づけ用!A:A,セットアップレポート_紐づけ用!V:V)</f>
        <v>#N/A</v>
      </c>
      <c r="H452" s="3">
        <f t="shared" si="31"/>
        <v>-2</v>
      </c>
      <c r="I452" t="str">
        <f>IF(J452=0,"",IF(配列!E452="",マクロ実行!$A$16 &amp;" T"&amp;H452&amp;"-"&amp;RIGHT(配列!D452&amp;配列!E452,2),マクロ実行!$A$16 &amp;" T"&amp;H452&amp;"-"&amp;RIGHT(配列!D452&amp;配列!E452,3)))</f>
        <v/>
      </c>
      <c r="J452">
        <f>配列!F452</f>
        <v>0</v>
      </c>
      <c r="K452" s="2" t="e">
        <f>_xlfn.XLOOKUP(E452,セットアップレポート_紐づけ用!A:A,セットアップレポート_紐づけ用!R:R)</f>
        <v>#N/A</v>
      </c>
      <c r="L452" t="e">
        <f t="shared" si="29"/>
        <v>#N/A</v>
      </c>
      <c r="M452" t="e">
        <f>_xlfn.XLOOKUP(L452,EGPro!A:A,EGPro!D:D)</f>
        <v>#N/A</v>
      </c>
      <c r="N452" t="e">
        <f>_xlfn.XLOOKUP(L452,EGPro!A:A,EGPro!C:C)</f>
        <v>#N/A</v>
      </c>
      <c r="O452" t="e">
        <f t="shared" si="30"/>
        <v>#N/A</v>
      </c>
      <c r="P452" t="e">
        <f>_xlfn.XLOOKUP(O452,EGPro!A:A,EGPro!D:D)</f>
        <v>#N/A</v>
      </c>
      <c r="Q452" t="e">
        <f>_xlfn.XLOOKUP(O452,EGPro!A:A,EGPro!C:C)</f>
        <v>#N/A</v>
      </c>
    </row>
    <row r="453" spans="1:17" x14ac:dyDescent="0.45">
      <c r="A453" s="3">
        <f>配列!B453</f>
        <v>0</v>
      </c>
      <c r="B453" s="3" t="e">
        <f>_xlfn.XLOOKUP(A453,対応表!A:A,対応表!B:B)</f>
        <v>#N/A</v>
      </c>
      <c r="C453" s="3">
        <f>配列!C453</f>
        <v>0</v>
      </c>
      <c r="D453" s="3" t="str">
        <f>IF(配列!E453="",RIGHT(配列!D453&amp;配列!E453,4)&amp;"L",RIGHT(配列!D453&amp;配列!E453,5))</f>
        <v>L</v>
      </c>
      <c r="E453" s="3">
        <f t="shared" si="28"/>
        <v>0</v>
      </c>
      <c r="F453" s="3" t="e">
        <f>_xlfn.XLOOKUP(E453,セットアップレポート_紐づけ用!A:A,セットアップレポート_紐づけ用!J:J)</f>
        <v>#N/A</v>
      </c>
      <c r="G453" s="3" t="e">
        <f>_xlfn.XLOOKUP(E453,セットアップレポート_紐づけ用!A:A,セットアップレポート_紐づけ用!V:V)</f>
        <v>#N/A</v>
      </c>
      <c r="H453" s="3">
        <f t="shared" si="31"/>
        <v>-2</v>
      </c>
      <c r="I453" t="str">
        <f>IF(J453=0,"",IF(配列!E453="",マクロ実行!$A$16 &amp;" T"&amp;H453&amp;"-"&amp;RIGHT(配列!D453&amp;配列!E453,2),マクロ実行!$A$16 &amp;" T"&amp;H453&amp;"-"&amp;RIGHT(配列!D453&amp;配列!E453,3)))</f>
        <v/>
      </c>
      <c r="J453">
        <f>配列!F453</f>
        <v>0</v>
      </c>
      <c r="K453" s="2" t="e">
        <f>_xlfn.XLOOKUP(E453,セットアップレポート_紐づけ用!A:A,セットアップレポート_紐づけ用!R:R)</f>
        <v>#N/A</v>
      </c>
      <c r="L453" t="e">
        <f t="shared" si="29"/>
        <v>#N/A</v>
      </c>
      <c r="M453" t="e">
        <f>_xlfn.XLOOKUP(L453,EGPro!A:A,EGPro!D:D)</f>
        <v>#N/A</v>
      </c>
      <c r="N453" t="e">
        <f>_xlfn.XLOOKUP(L453,EGPro!A:A,EGPro!C:C)</f>
        <v>#N/A</v>
      </c>
      <c r="O453" t="e">
        <f t="shared" si="30"/>
        <v>#N/A</v>
      </c>
      <c r="P453" t="e">
        <f>_xlfn.XLOOKUP(O453,EGPro!A:A,EGPro!D:D)</f>
        <v>#N/A</v>
      </c>
      <c r="Q453" t="e">
        <f>_xlfn.XLOOKUP(O453,EGPro!A:A,EGPro!C:C)</f>
        <v>#N/A</v>
      </c>
    </row>
    <row r="454" spans="1:17" x14ac:dyDescent="0.45">
      <c r="A454" s="3">
        <f>配列!B454</f>
        <v>0</v>
      </c>
      <c r="B454" s="3" t="e">
        <f>_xlfn.XLOOKUP(A454,対応表!A:A,対応表!B:B)</f>
        <v>#N/A</v>
      </c>
      <c r="C454" s="3">
        <f>配列!C454</f>
        <v>0</v>
      </c>
      <c r="D454" s="3" t="str">
        <f>IF(配列!E454="",RIGHT(配列!D454&amp;配列!E454,4)&amp;"L",RIGHT(配列!D454&amp;配列!E454,5))</f>
        <v>L</v>
      </c>
      <c r="E454" s="3">
        <f t="shared" si="28"/>
        <v>0</v>
      </c>
      <c r="F454" s="3" t="e">
        <f>_xlfn.XLOOKUP(E454,セットアップレポート_紐づけ用!A:A,セットアップレポート_紐づけ用!J:J)</f>
        <v>#N/A</v>
      </c>
      <c r="G454" s="3" t="e">
        <f>_xlfn.XLOOKUP(E454,セットアップレポート_紐づけ用!A:A,セットアップレポート_紐づけ用!V:V)</f>
        <v>#N/A</v>
      </c>
      <c r="H454" s="3">
        <f t="shared" si="31"/>
        <v>-2</v>
      </c>
      <c r="I454" t="str">
        <f>IF(J454=0,"",IF(配列!E454="",マクロ実行!$A$16 &amp;" T"&amp;H454&amp;"-"&amp;RIGHT(配列!D454&amp;配列!E454,2),マクロ実行!$A$16 &amp;" T"&amp;H454&amp;"-"&amp;RIGHT(配列!D454&amp;配列!E454,3)))</f>
        <v/>
      </c>
      <c r="J454">
        <f>配列!F454</f>
        <v>0</v>
      </c>
      <c r="K454" s="2" t="e">
        <f>_xlfn.XLOOKUP(E454,セットアップレポート_紐づけ用!A:A,セットアップレポート_紐づけ用!R:R)</f>
        <v>#N/A</v>
      </c>
      <c r="L454" t="e">
        <f t="shared" si="29"/>
        <v>#N/A</v>
      </c>
      <c r="M454" t="e">
        <f>_xlfn.XLOOKUP(L454,EGPro!A:A,EGPro!D:D)</f>
        <v>#N/A</v>
      </c>
      <c r="N454" t="e">
        <f>_xlfn.XLOOKUP(L454,EGPro!A:A,EGPro!C:C)</f>
        <v>#N/A</v>
      </c>
      <c r="O454" t="e">
        <f t="shared" si="30"/>
        <v>#N/A</v>
      </c>
      <c r="P454" t="e">
        <f>_xlfn.XLOOKUP(O454,EGPro!A:A,EGPro!D:D)</f>
        <v>#N/A</v>
      </c>
      <c r="Q454" t="e">
        <f>_xlfn.XLOOKUP(O454,EGPro!A:A,EGPro!C:C)</f>
        <v>#N/A</v>
      </c>
    </row>
    <row r="455" spans="1:17" x14ac:dyDescent="0.45">
      <c r="A455" s="3">
        <f>配列!B455</f>
        <v>0</v>
      </c>
      <c r="B455" s="3" t="e">
        <f>_xlfn.XLOOKUP(A455,対応表!A:A,対応表!B:B)</f>
        <v>#N/A</v>
      </c>
      <c r="C455" s="3">
        <f>配列!C455</f>
        <v>0</v>
      </c>
      <c r="D455" s="3" t="str">
        <f>IF(配列!E455="",RIGHT(配列!D455&amp;配列!E455,4)&amp;"L",RIGHT(配列!D455&amp;配列!E455,5))</f>
        <v>L</v>
      </c>
      <c r="E455" s="3">
        <f t="shared" si="28"/>
        <v>0</v>
      </c>
      <c r="F455" s="3" t="e">
        <f>_xlfn.XLOOKUP(E455,セットアップレポート_紐づけ用!A:A,セットアップレポート_紐づけ用!J:J)</f>
        <v>#N/A</v>
      </c>
      <c r="G455" s="3" t="e">
        <f>_xlfn.XLOOKUP(E455,セットアップレポート_紐づけ用!A:A,セットアップレポート_紐づけ用!V:V)</f>
        <v>#N/A</v>
      </c>
      <c r="H455" s="3">
        <f t="shared" si="31"/>
        <v>-2</v>
      </c>
      <c r="I455" t="str">
        <f>IF(J455=0,"",IF(配列!E455="",マクロ実行!$A$16 &amp;" T"&amp;H455&amp;"-"&amp;RIGHT(配列!D455&amp;配列!E455,2),マクロ実行!$A$16 &amp;" T"&amp;H455&amp;"-"&amp;RIGHT(配列!D455&amp;配列!E455,3)))</f>
        <v/>
      </c>
      <c r="J455">
        <f>配列!F455</f>
        <v>0</v>
      </c>
      <c r="K455" s="2" t="e">
        <f>_xlfn.XLOOKUP(E455,セットアップレポート_紐づけ用!A:A,セットアップレポート_紐づけ用!R:R)</f>
        <v>#N/A</v>
      </c>
      <c r="L455" t="e">
        <f t="shared" si="29"/>
        <v>#N/A</v>
      </c>
      <c r="M455" t="e">
        <f>_xlfn.XLOOKUP(L455,EGPro!A:A,EGPro!D:D)</f>
        <v>#N/A</v>
      </c>
      <c r="N455" t="e">
        <f>_xlfn.XLOOKUP(L455,EGPro!A:A,EGPro!C:C)</f>
        <v>#N/A</v>
      </c>
      <c r="O455" t="e">
        <f t="shared" si="30"/>
        <v>#N/A</v>
      </c>
      <c r="P455" t="e">
        <f>_xlfn.XLOOKUP(O455,EGPro!A:A,EGPro!D:D)</f>
        <v>#N/A</v>
      </c>
      <c r="Q455" t="e">
        <f>_xlfn.XLOOKUP(O455,EGPro!A:A,EGPro!C:C)</f>
        <v>#N/A</v>
      </c>
    </row>
    <row r="456" spans="1:17" x14ac:dyDescent="0.45">
      <c r="A456" s="3">
        <f>配列!B456</f>
        <v>0</v>
      </c>
      <c r="B456" s="3" t="e">
        <f>_xlfn.XLOOKUP(A456,対応表!A:A,対応表!B:B)</f>
        <v>#N/A</v>
      </c>
      <c r="C456" s="3">
        <f>配列!C456</f>
        <v>0</v>
      </c>
      <c r="D456" s="3" t="str">
        <f>IF(配列!E456="",RIGHT(配列!D456&amp;配列!E456,4)&amp;"L",RIGHT(配列!D456&amp;配列!E456,5))</f>
        <v>L</v>
      </c>
      <c r="E456" s="3">
        <f t="shared" si="28"/>
        <v>0</v>
      </c>
      <c r="F456" s="3" t="e">
        <f>_xlfn.XLOOKUP(E456,セットアップレポート_紐づけ用!A:A,セットアップレポート_紐づけ用!J:J)</f>
        <v>#N/A</v>
      </c>
      <c r="G456" s="3" t="e">
        <f>_xlfn.XLOOKUP(E456,セットアップレポート_紐づけ用!A:A,セットアップレポート_紐づけ用!V:V)</f>
        <v>#N/A</v>
      </c>
      <c r="H456" s="3">
        <f t="shared" si="31"/>
        <v>-2</v>
      </c>
      <c r="I456" t="str">
        <f>IF(J456=0,"",IF(配列!E456="",マクロ実行!$A$16 &amp;" T"&amp;H456&amp;"-"&amp;RIGHT(配列!D456&amp;配列!E456,2),マクロ実行!$A$16 &amp;" T"&amp;H456&amp;"-"&amp;RIGHT(配列!D456&amp;配列!E456,3)))</f>
        <v/>
      </c>
      <c r="J456">
        <f>配列!F456</f>
        <v>0</v>
      </c>
      <c r="K456" s="2" t="e">
        <f>_xlfn.XLOOKUP(E456,セットアップレポート_紐づけ用!A:A,セットアップレポート_紐づけ用!R:R)</f>
        <v>#N/A</v>
      </c>
      <c r="L456" t="e">
        <f t="shared" si="29"/>
        <v>#N/A</v>
      </c>
      <c r="M456" t="e">
        <f>_xlfn.XLOOKUP(L456,EGPro!A:A,EGPro!D:D)</f>
        <v>#N/A</v>
      </c>
      <c r="N456" t="e">
        <f>_xlfn.XLOOKUP(L456,EGPro!A:A,EGPro!C:C)</f>
        <v>#N/A</v>
      </c>
      <c r="O456" t="e">
        <f t="shared" si="30"/>
        <v>#N/A</v>
      </c>
      <c r="P456" t="e">
        <f>_xlfn.XLOOKUP(O456,EGPro!A:A,EGPro!D:D)</f>
        <v>#N/A</v>
      </c>
      <c r="Q456" t="e">
        <f>_xlfn.XLOOKUP(O456,EGPro!A:A,EGPro!C:C)</f>
        <v>#N/A</v>
      </c>
    </row>
    <row r="457" spans="1:17" x14ac:dyDescent="0.45">
      <c r="A457" s="3">
        <f>配列!B457</f>
        <v>0</v>
      </c>
      <c r="B457" s="3" t="e">
        <f>_xlfn.XLOOKUP(A457,対応表!A:A,対応表!B:B)</f>
        <v>#N/A</v>
      </c>
      <c r="C457" s="3">
        <f>配列!C457</f>
        <v>0</v>
      </c>
      <c r="D457" s="3" t="str">
        <f>IF(配列!E457="",RIGHT(配列!D457&amp;配列!E457,4)&amp;"L",RIGHT(配列!D457&amp;配列!E457,5))</f>
        <v>L</v>
      </c>
      <c r="E457" s="3">
        <f t="shared" si="28"/>
        <v>0</v>
      </c>
      <c r="F457" s="3" t="e">
        <f>_xlfn.XLOOKUP(E457,セットアップレポート_紐づけ用!A:A,セットアップレポート_紐づけ用!J:J)</f>
        <v>#N/A</v>
      </c>
      <c r="G457" s="3" t="e">
        <f>_xlfn.XLOOKUP(E457,セットアップレポート_紐づけ用!A:A,セットアップレポート_紐づけ用!V:V)</f>
        <v>#N/A</v>
      </c>
      <c r="H457" s="3">
        <f t="shared" si="31"/>
        <v>-2</v>
      </c>
      <c r="I457" t="str">
        <f>IF(J457=0,"",IF(配列!E457="",マクロ実行!$A$16 &amp;" T"&amp;H457&amp;"-"&amp;RIGHT(配列!D457&amp;配列!E457,2),マクロ実行!$A$16 &amp;" T"&amp;H457&amp;"-"&amp;RIGHT(配列!D457&amp;配列!E457,3)))</f>
        <v/>
      </c>
      <c r="J457">
        <f>配列!F457</f>
        <v>0</v>
      </c>
      <c r="K457" s="2" t="e">
        <f>_xlfn.XLOOKUP(E457,セットアップレポート_紐づけ用!A:A,セットアップレポート_紐づけ用!R:R)</f>
        <v>#N/A</v>
      </c>
      <c r="L457" t="e">
        <f t="shared" si="29"/>
        <v>#N/A</v>
      </c>
      <c r="M457" t="e">
        <f>_xlfn.XLOOKUP(L457,EGPro!A:A,EGPro!D:D)</f>
        <v>#N/A</v>
      </c>
      <c r="N457" t="e">
        <f>_xlfn.XLOOKUP(L457,EGPro!A:A,EGPro!C:C)</f>
        <v>#N/A</v>
      </c>
      <c r="O457" t="e">
        <f t="shared" si="30"/>
        <v>#N/A</v>
      </c>
      <c r="P457" t="e">
        <f>_xlfn.XLOOKUP(O457,EGPro!A:A,EGPro!D:D)</f>
        <v>#N/A</v>
      </c>
      <c r="Q457" t="e">
        <f>_xlfn.XLOOKUP(O457,EGPro!A:A,EGPro!C:C)</f>
        <v>#N/A</v>
      </c>
    </row>
    <row r="458" spans="1:17" x14ac:dyDescent="0.45">
      <c r="A458" s="3">
        <f>配列!B458</f>
        <v>0</v>
      </c>
      <c r="B458" s="3" t="e">
        <f>_xlfn.XLOOKUP(A458,対応表!A:A,対応表!B:B)</f>
        <v>#N/A</v>
      </c>
      <c r="C458" s="3">
        <f>配列!C458</f>
        <v>0</v>
      </c>
      <c r="D458" s="3" t="str">
        <f>IF(配列!E458="",RIGHT(配列!D458&amp;配列!E458,4)&amp;"L",RIGHT(配列!D458&amp;配列!E458,5))</f>
        <v>L</v>
      </c>
      <c r="E458" s="3">
        <f t="shared" si="28"/>
        <v>0</v>
      </c>
      <c r="F458" s="3" t="e">
        <f>_xlfn.XLOOKUP(E458,セットアップレポート_紐づけ用!A:A,セットアップレポート_紐づけ用!J:J)</f>
        <v>#N/A</v>
      </c>
      <c r="G458" s="3" t="e">
        <f>_xlfn.XLOOKUP(E458,セットアップレポート_紐づけ用!A:A,セットアップレポート_紐づけ用!V:V)</f>
        <v>#N/A</v>
      </c>
      <c r="H458" s="3">
        <f t="shared" si="31"/>
        <v>-2</v>
      </c>
      <c r="I458" t="str">
        <f>IF(J458=0,"",IF(配列!E458="",マクロ実行!$A$16 &amp;" T"&amp;H458&amp;"-"&amp;RIGHT(配列!D458&amp;配列!E458,2),マクロ実行!$A$16 &amp;" T"&amp;H458&amp;"-"&amp;RIGHT(配列!D458&amp;配列!E458,3)))</f>
        <v/>
      </c>
      <c r="J458">
        <f>配列!F458</f>
        <v>0</v>
      </c>
      <c r="K458" s="2" t="e">
        <f>_xlfn.XLOOKUP(E458,セットアップレポート_紐づけ用!A:A,セットアップレポート_紐づけ用!R:R)</f>
        <v>#N/A</v>
      </c>
      <c r="L458" t="e">
        <f t="shared" si="29"/>
        <v>#N/A</v>
      </c>
      <c r="M458" t="e">
        <f>_xlfn.XLOOKUP(L458,EGPro!A:A,EGPro!D:D)</f>
        <v>#N/A</v>
      </c>
      <c r="N458" t="e">
        <f>_xlfn.XLOOKUP(L458,EGPro!A:A,EGPro!C:C)</f>
        <v>#N/A</v>
      </c>
      <c r="O458" t="e">
        <f t="shared" si="30"/>
        <v>#N/A</v>
      </c>
      <c r="P458" t="e">
        <f>_xlfn.XLOOKUP(O458,EGPro!A:A,EGPro!D:D)</f>
        <v>#N/A</v>
      </c>
      <c r="Q458" t="e">
        <f>_xlfn.XLOOKUP(O458,EGPro!A:A,EGPro!C:C)</f>
        <v>#N/A</v>
      </c>
    </row>
    <row r="459" spans="1:17" x14ac:dyDescent="0.45">
      <c r="A459" s="3">
        <f>配列!B459</f>
        <v>0</v>
      </c>
      <c r="B459" s="3" t="e">
        <f>_xlfn.XLOOKUP(A459,対応表!A:A,対応表!B:B)</f>
        <v>#N/A</v>
      </c>
      <c r="C459" s="3">
        <f>配列!C459</f>
        <v>0</v>
      </c>
      <c r="D459" s="3" t="str">
        <f>IF(配列!E459="",RIGHT(配列!D459&amp;配列!E459,4)&amp;"L",RIGHT(配列!D459&amp;配列!E459,5))</f>
        <v>L</v>
      </c>
      <c r="E459" s="3">
        <f t="shared" si="28"/>
        <v>0</v>
      </c>
      <c r="F459" s="3" t="e">
        <f>_xlfn.XLOOKUP(E459,セットアップレポート_紐づけ用!A:A,セットアップレポート_紐づけ用!J:J)</f>
        <v>#N/A</v>
      </c>
      <c r="G459" s="3" t="e">
        <f>_xlfn.XLOOKUP(E459,セットアップレポート_紐づけ用!A:A,セットアップレポート_紐づけ用!V:V)</f>
        <v>#N/A</v>
      </c>
      <c r="H459" s="3">
        <f t="shared" si="31"/>
        <v>-2</v>
      </c>
      <c r="I459" t="str">
        <f>IF(J459=0,"",IF(配列!E459="",マクロ実行!$A$16 &amp;" T"&amp;H459&amp;"-"&amp;RIGHT(配列!D459&amp;配列!E459,2),マクロ実行!$A$16 &amp;" T"&amp;H459&amp;"-"&amp;RIGHT(配列!D459&amp;配列!E459,3)))</f>
        <v/>
      </c>
      <c r="J459">
        <f>配列!F459</f>
        <v>0</v>
      </c>
      <c r="K459" s="2" t="e">
        <f>_xlfn.XLOOKUP(E459,セットアップレポート_紐づけ用!A:A,セットアップレポート_紐づけ用!R:R)</f>
        <v>#N/A</v>
      </c>
      <c r="L459" t="e">
        <f t="shared" si="29"/>
        <v>#N/A</v>
      </c>
      <c r="M459" t="e">
        <f>_xlfn.XLOOKUP(L459,EGPro!A:A,EGPro!D:D)</f>
        <v>#N/A</v>
      </c>
      <c r="N459" t="e">
        <f>_xlfn.XLOOKUP(L459,EGPro!A:A,EGPro!C:C)</f>
        <v>#N/A</v>
      </c>
      <c r="O459" t="e">
        <f t="shared" si="30"/>
        <v>#N/A</v>
      </c>
      <c r="P459" t="e">
        <f>_xlfn.XLOOKUP(O459,EGPro!A:A,EGPro!D:D)</f>
        <v>#N/A</v>
      </c>
      <c r="Q459" t="e">
        <f>_xlfn.XLOOKUP(O459,EGPro!A:A,EGPro!C:C)</f>
        <v>#N/A</v>
      </c>
    </row>
    <row r="460" spans="1:17" x14ac:dyDescent="0.45">
      <c r="A460" s="3">
        <f>配列!B460</f>
        <v>0</v>
      </c>
      <c r="B460" s="3" t="e">
        <f>_xlfn.XLOOKUP(A460,対応表!A:A,対応表!B:B)</f>
        <v>#N/A</v>
      </c>
      <c r="C460" s="3">
        <f>配列!C460</f>
        <v>0</v>
      </c>
      <c r="D460" s="3" t="str">
        <f>IF(配列!E460="",RIGHT(配列!D460&amp;配列!E460,4)&amp;"L",RIGHT(配列!D460&amp;配列!E460,5))</f>
        <v>L</v>
      </c>
      <c r="E460" s="3">
        <f t="shared" si="28"/>
        <v>0</v>
      </c>
      <c r="F460" s="3" t="e">
        <f>_xlfn.XLOOKUP(E460,セットアップレポート_紐づけ用!A:A,セットアップレポート_紐づけ用!J:J)</f>
        <v>#N/A</v>
      </c>
      <c r="G460" s="3" t="e">
        <f>_xlfn.XLOOKUP(E460,セットアップレポート_紐づけ用!A:A,セットアップレポート_紐づけ用!V:V)</f>
        <v>#N/A</v>
      </c>
      <c r="H460" s="3">
        <f t="shared" si="31"/>
        <v>-2</v>
      </c>
      <c r="I460" t="str">
        <f>IF(J460=0,"",IF(配列!E460="",マクロ実行!$A$16 &amp;" T"&amp;H460&amp;"-"&amp;RIGHT(配列!D460&amp;配列!E460,2),マクロ実行!$A$16 &amp;" T"&amp;H460&amp;"-"&amp;RIGHT(配列!D460&amp;配列!E460,3)))</f>
        <v/>
      </c>
      <c r="J460">
        <f>配列!F460</f>
        <v>0</v>
      </c>
      <c r="K460" s="2" t="e">
        <f>_xlfn.XLOOKUP(E460,セットアップレポート_紐づけ用!A:A,セットアップレポート_紐づけ用!R:R)</f>
        <v>#N/A</v>
      </c>
      <c r="L460" t="e">
        <f t="shared" si="29"/>
        <v>#N/A</v>
      </c>
      <c r="M460" t="e">
        <f>_xlfn.XLOOKUP(L460,EGPro!A:A,EGPro!D:D)</f>
        <v>#N/A</v>
      </c>
      <c r="N460" t="e">
        <f>_xlfn.XLOOKUP(L460,EGPro!A:A,EGPro!C:C)</f>
        <v>#N/A</v>
      </c>
      <c r="O460" t="e">
        <f t="shared" si="30"/>
        <v>#N/A</v>
      </c>
      <c r="P460" t="e">
        <f>_xlfn.XLOOKUP(O460,EGPro!A:A,EGPro!D:D)</f>
        <v>#N/A</v>
      </c>
      <c r="Q460" t="e">
        <f>_xlfn.XLOOKUP(O460,EGPro!A:A,EGPro!C:C)</f>
        <v>#N/A</v>
      </c>
    </row>
    <row r="461" spans="1:17" x14ac:dyDescent="0.45">
      <c r="A461" s="3">
        <f>配列!B461</f>
        <v>0</v>
      </c>
      <c r="B461" s="3" t="e">
        <f>_xlfn.XLOOKUP(A461,対応表!A:A,対応表!B:B)</f>
        <v>#N/A</v>
      </c>
      <c r="C461" s="3">
        <f>配列!C461</f>
        <v>0</v>
      </c>
      <c r="D461" s="3" t="str">
        <f>IF(配列!E461="",RIGHT(配列!D461&amp;配列!E461,4)&amp;"L",RIGHT(配列!D461&amp;配列!E461,5))</f>
        <v>L</v>
      </c>
      <c r="E461" s="3">
        <f t="shared" si="28"/>
        <v>0</v>
      </c>
      <c r="F461" s="3" t="e">
        <f>_xlfn.XLOOKUP(E461,セットアップレポート_紐づけ用!A:A,セットアップレポート_紐づけ用!J:J)</f>
        <v>#N/A</v>
      </c>
      <c r="G461" s="3" t="e">
        <f>_xlfn.XLOOKUP(E461,セットアップレポート_紐づけ用!A:A,セットアップレポート_紐づけ用!V:V)</f>
        <v>#N/A</v>
      </c>
      <c r="H461" s="3">
        <f t="shared" si="31"/>
        <v>-2</v>
      </c>
      <c r="I461" t="str">
        <f>IF(J461=0,"",IF(配列!E461="",マクロ実行!$A$16 &amp;" T"&amp;H461&amp;"-"&amp;RIGHT(配列!D461&amp;配列!E461,2),マクロ実行!$A$16 &amp;" T"&amp;H461&amp;"-"&amp;RIGHT(配列!D461&amp;配列!E461,3)))</f>
        <v/>
      </c>
      <c r="J461">
        <f>配列!F461</f>
        <v>0</v>
      </c>
      <c r="K461" s="2" t="e">
        <f>_xlfn.XLOOKUP(E461,セットアップレポート_紐づけ用!A:A,セットアップレポート_紐づけ用!R:R)</f>
        <v>#N/A</v>
      </c>
      <c r="L461" t="e">
        <f t="shared" si="29"/>
        <v>#N/A</v>
      </c>
      <c r="M461" t="e">
        <f>_xlfn.XLOOKUP(L461,EGPro!A:A,EGPro!D:D)</f>
        <v>#N/A</v>
      </c>
      <c r="N461" t="e">
        <f>_xlfn.XLOOKUP(L461,EGPro!A:A,EGPro!C:C)</f>
        <v>#N/A</v>
      </c>
      <c r="O461" t="e">
        <f t="shared" si="30"/>
        <v>#N/A</v>
      </c>
      <c r="P461" t="e">
        <f>_xlfn.XLOOKUP(O461,EGPro!A:A,EGPro!D:D)</f>
        <v>#N/A</v>
      </c>
      <c r="Q461" t="e">
        <f>_xlfn.XLOOKUP(O461,EGPro!A:A,EGPro!C:C)</f>
        <v>#N/A</v>
      </c>
    </row>
    <row r="462" spans="1:17" x14ac:dyDescent="0.45">
      <c r="A462" s="3">
        <f>配列!B462</f>
        <v>0</v>
      </c>
      <c r="B462" s="3" t="e">
        <f>_xlfn.XLOOKUP(A462,対応表!A:A,対応表!B:B)</f>
        <v>#N/A</v>
      </c>
      <c r="C462" s="3">
        <f>配列!C462</f>
        <v>0</v>
      </c>
      <c r="D462" s="3" t="str">
        <f>IF(配列!E462="",RIGHT(配列!D462&amp;配列!E462,4)&amp;"L",RIGHT(配列!D462&amp;配列!E462,5))</f>
        <v>L</v>
      </c>
      <c r="E462" s="3">
        <f t="shared" si="28"/>
        <v>0</v>
      </c>
      <c r="F462" s="3" t="e">
        <f>_xlfn.XLOOKUP(E462,セットアップレポート_紐づけ用!A:A,セットアップレポート_紐づけ用!J:J)</f>
        <v>#N/A</v>
      </c>
      <c r="G462" s="3" t="e">
        <f>_xlfn.XLOOKUP(E462,セットアップレポート_紐づけ用!A:A,セットアップレポート_紐づけ用!V:V)</f>
        <v>#N/A</v>
      </c>
      <c r="H462" s="3">
        <f t="shared" si="31"/>
        <v>-2</v>
      </c>
      <c r="I462" t="str">
        <f>IF(J462=0,"",IF(配列!E462="",マクロ実行!$A$16 &amp;" T"&amp;H462&amp;"-"&amp;RIGHT(配列!D462&amp;配列!E462,2),マクロ実行!$A$16 &amp;" T"&amp;H462&amp;"-"&amp;RIGHT(配列!D462&amp;配列!E462,3)))</f>
        <v/>
      </c>
      <c r="J462">
        <f>配列!F462</f>
        <v>0</v>
      </c>
      <c r="K462" s="2" t="e">
        <f>_xlfn.XLOOKUP(E462,セットアップレポート_紐づけ用!A:A,セットアップレポート_紐づけ用!R:R)</f>
        <v>#N/A</v>
      </c>
      <c r="L462" t="e">
        <f t="shared" si="29"/>
        <v>#N/A</v>
      </c>
      <c r="M462" t="e">
        <f>_xlfn.XLOOKUP(L462,EGPro!A:A,EGPro!D:D)</f>
        <v>#N/A</v>
      </c>
      <c r="N462" t="e">
        <f>_xlfn.XLOOKUP(L462,EGPro!A:A,EGPro!C:C)</f>
        <v>#N/A</v>
      </c>
      <c r="O462" t="e">
        <f t="shared" si="30"/>
        <v>#N/A</v>
      </c>
      <c r="P462" t="e">
        <f>_xlfn.XLOOKUP(O462,EGPro!A:A,EGPro!D:D)</f>
        <v>#N/A</v>
      </c>
      <c r="Q462" t="e">
        <f>_xlfn.XLOOKUP(O462,EGPro!A:A,EGPro!C:C)</f>
        <v>#N/A</v>
      </c>
    </row>
    <row r="463" spans="1:17" x14ac:dyDescent="0.45">
      <c r="A463" s="3">
        <f>配列!B463</f>
        <v>0</v>
      </c>
      <c r="B463" s="3" t="e">
        <f>_xlfn.XLOOKUP(A463,対応表!A:A,対応表!B:B)</f>
        <v>#N/A</v>
      </c>
      <c r="C463" s="3">
        <f>配列!C463</f>
        <v>0</v>
      </c>
      <c r="D463" s="3" t="str">
        <f>IF(配列!E463="",RIGHT(配列!D463&amp;配列!E463,4)&amp;"L",RIGHT(配列!D463&amp;配列!E463,5))</f>
        <v>L</v>
      </c>
      <c r="E463" s="3">
        <f t="shared" si="28"/>
        <v>0</v>
      </c>
      <c r="F463" s="3" t="e">
        <f>_xlfn.XLOOKUP(E463,セットアップレポート_紐づけ用!A:A,セットアップレポート_紐づけ用!J:J)</f>
        <v>#N/A</v>
      </c>
      <c r="G463" s="3" t="e">
        <f>_xlfn.XLOOKUP(E463,セットアップレポート_紐づけ用!A:A,セットアップレポート_紐づけ用!V:V)</f>
        <v>#N/A</v>
      </c>
      <c r="H463" s="3">
        <f t="shared" si="31"/>
        <v>-2</v>
      </c>
      <c r="I463" t="str">
        <f>IF(J463=0,"",IF(配列!E463="",マクロ実行!$A$16 &amp;" T"&amp;H463&amp;"-"&amp;RIGHT(配列!D463&amp;配列!E463,2),マクロ実行!$A$16 &amp;" T"&amp;H463&amp;"-"&amp;RIGHT(配列!D463&amp;配列!E463,3)))</f>
        <v/>
      </c>
      <c r="J463">
        <f>配列!F463</f>
        <v>0</v>
      </c>
      <c r="K463" s="2" t="e">
        <f>_xlfn.XLOOKUP(E463,セットアップレポート_紐づけ用!A:A,セットアップレポート_紐づけ用!R:R)</f>
        <v>#N/A</v>
      </c>
      <c r="L463" t="e">
        <f t="shared" si="29"/>
        <v>#N/A</v>
      </c>
      <c r="M463" t="e">
        <f>_xlfn.XLOOKUP(L463,EGPro!A:A,EGPro!D:D)</f>
        <v>#N/A</v>
      </c>
      <c r="N463" t="e">
        <f>_xlfn.XLOOKUP(L463,EGPro!A:A,EGPro!C:C)</f>
        <v>#N/A</v>
      </c>
      <c r="O463" t="e">
        <f t="shared" si="30"/>
        <v>#N/A</v>
      </c>
      <c r="P463" t="e">
        <f>_xlfn.XLOOKUP(O463,EGPro!A:A,EGPro!D:D)</f>
        <v>#N/A</v>
      </c>
      <c r="Q463" t="e">
        <f>_xlfn.XLOOKUP(O463,EGPro!A:A,EGPro!C:C)</f>
        <v>#N/A</v>
      </c>
    </row>
    <row r="464" spans="1:17" x14ac:dyDescent="0.45">
      <c r="A464" s="3">
        <f>配列!B464</f>
        <v>0</v>
      </c>
      <c r="B464" s="3" t="e">
        <f>_xlfn.XLOOKUP(A464,対応表!A:A,対応表!B:B)</f>
        <v>#N/A</v>
      </c>
      <c r="C464" s="3">
        <f>配列!C464</f>
        <v>0</v>
      </c>
      <c r="D464" s="3" t="str">
        <f>IF(配列!E464="",RIGHT(配列!D464&amp;配列!E464,4)&amp;"L",RIGHT(配列!D464&amp;配列!E464,5))</f>
        <v>L</v>
      </c>
      <c r="E464" s="3">
        <f t="shared" si="28"/>
        <v>0</v>
      </c>
      <c r="F464" s="3" t="e">
        <f>_xlfn.XLOOKUP(E464,セットアップレポート_紐づけ用!A:A,セットアップレポート_紐づけ用!J:J)</f>
        <v>#N/A</v>
      </c>
      <c r="G464" s="3" t="e">
        <f>_xlfn.XLOOKUP(E464,セットアップレポート_紐づけ用!A:A,セットアップレポート_紐づけ用!V:V)</f>
        <v>#N/A</v>
      </c>
      <c r="H464" s="3">
        <f t="shared" si="31"/>
        <v>-2</v>
      </c>
      <c r="I464" t="str">
        <f>IF(J464=0,"",IF(配列!E464="",マクロ実行!$A$16 &amp;" T"&amp;H464&amp;"-"&amp;RIGHT(配列!D464&amp;配列!E464,2),マクロ実行!$A$16 &amp;" T"&amp;H464&amp;"-"&amp;RIGHT(配列!D464&amp;配列!E464,3)))</f>
        <v/>
      </c>
      <c r="J464">
        <f>配列!F464</f>
        <v>0</v>
      </c>
      <c r="K464" s="2" t="e">
        <f>_xlfn.XLOOKUP(E464,セットアップレポート_紐づけ用!A:A,セットアップレポート_紐づけ用!R:R)</f>
        <v>#N/A</v>
      </c>
      <c r="L464" t="e">
        <f t="shared" si="29"/>
        <v>#N/A</v>
      </c>
      <c r="M464" t="e">
        <f>_xlfn.XLOOKUP(L464,EGPro!A:A,EGPro!D:D)</f>
        <v>#N/A</v>
      </c>
      <c r="N464" t="e">
        <f>_xlfn.XLOOKUP(L464,EGPro!A:A,EGPro!C:C)</f>
        <v>#N/A</v>
      </c>
      <c r="O464" t="e">
        <f t="shared" si="30"/>
        <v>#N/A</v>
      </c>
      <c r="P464" t="e">
        <f>_xlfn.XLOOKUP(O464,EGPro!A:A,EGPro!D:D)</f>
        <v>#N/A</v>
      </c>
      <c r="Q464" t="e">
        <f>_xlfn.XLOOKUP(O464,EGPro!A:A,EGPro!C:C)</f>
        <v>#N/A</v>
      </c>
    </row>
    <row r="465" spans="1:17" x14ac:dyDescent="0.45">
      <c r="A465" s="3">
        <f>配列!B465</f>
        <v>0</v>
      </c>
      <c r="B465" s="3" t="e">
        <f>_xlfn.XLOOKUP(A465,対応表!A:A,対応表!B:B)</f>
        <v>#N/A</v>
      </c>
      <c r="C465" s="3">
        <f>配列!C465</f>
        <v>0</v>
      </c>
      <c r="D465" s="3" t="str">
        <f>IF(配列!E465="",RIGHT(配列!D465&amp;配列!E465,4)&amp;"L",RIGHT(配列!D465&amp;配列!E465,5))</f>
        <v>L</v>
      </c>
      <c r="E465" s="3">
        <f t="shared" si="28"/>
        <v>0</v>
      </c>
      <c r="F465" s="3" t="e">
        <f>_xlfn.XLOOKUP(E465,セットアップレポート_紐づけ用!A:A,セットアップレポート_紐づけ用!J:J)</f>
        <v>#N/A</v>
      </c>
      <c r="G465" s="3" t="e">
        <f>_xlfn.XLOOKUP(E465,セットアップレポート_紐づけ用!A:A,セットアップレポート_紐づけ用!V:V)</f>
        <v>#N/A</v>
      </c>
      <c r="H465" s="3">
        <f t="shared" si="31"/>
        <v>-2</v>
      </c>
      <c r="I465" t="str">
        <f>IF(J465=0,"",IF(配列!E465="",マクロ実行!$A$16 &amp;" T"&amp;H465&amp;"-"&amp;RIGHT(配列!D465&amp;配列!E465,2),マクロ実行!$A$16 &amp;" T"&amp;H465&amp;"-"&amp;RIGHT(配列!D465&amp;配列!E465,3)))</f>
        <v/>
      </c>
      <c r="J465">
        <f>配列!F465</f>
        <v>0</v>
      </c>
      <c r="K465" s="2" t="e">
        <f>_xlfn.XLOOKUP(E465,セットアップレポート_紐づけ用!A:A,セットアップレポート_紐づけ用!R:R)</f>
        <v>#N/A</v>
      </c>
      <c r="L465" t="e">
        <f t="shared" si="29"/>
        <v>#N/A</v>
      </c>
      <c r="M465" t="e">
        <f>_xlfn.XLOOKUP(L465,EGPro!A:A,EGPro!D:D)</f>
        <v>#N/A</v>
      </c>
      <c r="N465" t="e">
        <f>_xlfn.XLOOKUP(L465,EGPro!A:A,EGPro!C:C)</f>
        <v>#N/A</v>
      </c>
      <c r="O465" t="e">
        <f t="shared" si="30"/>
        <v>#N/A</v>
      </c>
      <c r="P465" t="e">
        <f>_xlfn.XLOOKUP(O465,EGPro!A:A,EGPro!D:D)</f>
        <v>#N/A</v>
      </c>
      <c r="Q465" t="e">
        <f>_xlfn.XLOOKUP(O465,EGPro!A:A,EGPro!C:C)</f>
        <v>#N/A</v>
      </c>
    </row>
    <row r="466" spans="1:17" x14ac:dyDescent="0.45">
      <c r="A466" s="3">
        <f>配列!B466</f>
        <v>0</v>
      </c>
      <c r="B466" s="3" t="e">
        <f>_xlfn.XLOOKUP(A466,対応表!A:A,対応表!B:B)</f>
        <v>#N/A</v>
      </c>
      <c r="C466" s="3">
        <f>配列!C466</f>
        <v>0</v>
      </c>
      <c r="D466" s="3" t="str">
        <f>IF(配列!E466="",RIGHT(配列!D466&amp;配列!E466,4)&amp;"L",RIGHT(配列!D466&amp;配列!E466,5))</f>
        <v>L</v>
      </c>
      <c r="E466" s="3">
        <f t="shared" si="28"/>
        <v>0</v>
      </c>
      <c r="F466" s="3" t="e">
        <f>_xlfn.XLOOKUP(E466,セットアップレポート_紐づけ用!A:A,セットアップレポート_紐づけ用!J:J)</f>
        <v>#N/A</v>
      </c>
      <c r="G466" s="3" t="e">
        <f>_xlfn.XLOOKUP(E466,セットアップレポート_紐づけ用!A:A,セットアップレポート_紐づけ用!V:V)</f>
        <v>#N/A</v>
      </c>
      <c r="H466" s="3">
        <f t="shared" si="31"/>
        <v>-2</v>
      </c>
      <c r="I466" t="str">
        <f>IF(J466=0,"",IF(配列!E466="",マクロ実行!$A$16 &amp;" T"&amp;H466&amp;"-"&amp;RIGHT(配列!D466&amp;配列!E466,2),マクロ実行!$A$16 &amp;" T"&amp;H466&amp;"-"&amp;RIGHT(配列!D466&amp;配列!E466,3)))</f>
        <v/>
      </c>
      <c r="J466">
        <f>配列!F466</f>
        <v>0</v>
      </c>
      <c r="K466" s="2" t="e">
        <f>_xlfn.XLOOKUP(E466,セットアップレポート_紐づけ用!A:A,セットアップレポート_紐づけ用!R:R)</f>
        <v>#N/A</v>
      </c>
      <c r="L466" t="e">
        <f t="shared" si="29"/>
        <v>#N/A</v>
      </c>
      <c r="M466" t="e">
        <f>_xlfn.XLOOKUP(L466,EGPro!A:A,EGPro!D:D)</f>
        <v>#N/A</v>
      </c>
      <c r="N466" t="e">
        <f>_xlfn.XLOOKUP(L466,EGPro!A:A,EGPro!C:C)</f>
        <v>#N/A</v>
      </c>
      <c r="O466" t="e">
        <f t="shared" si="30"/>
        <v>#N/A</v>
      </c>
      <c r="P466" t="e">
        <f>_xlfn.XLOOKUP(O466,EGPro!A:A,EGPro!D:D)</f>
        <v>#N/A</v>
      </c>
      <c r="Q466" t="e">
        <f>_xlfn.XLOOKUP(O466,EGPro!A:A,EGPro!C:C)</f>
        <v>#N/A</v>
      </c>
    </row>
    <row r="467" spans="1:17" x14ac:dyDescent="0.45">
      <c r="A467" s="3">
        <f>配列!B467</f>
        <v>0</v>
      </c>
      <c r="B467" s="3" t="e">
        <f>_xlfn.XLOOKUP(A467,対応表!A:A,対応表!B:B)</f>
        <v>#N/A</v>
      </c>
      <c r="C467" s="3">
        <f>配列!C467</f>
        <v>0</v>
      </c>
      <c r="D467" s="3" t="str">
        <f>IF(配列!E467="",RIGHT(配列!D467&amp;配列!E467,4)&amp;"L",RIGHT(配列!D467&amp;配列!E467,5))</f>
        <v>L</v>
      </c>
      <c r="E467" s="3">
        <f t="shared" si="28"/>
        <v>0</v>
      </c>
      <c r="F467" s="3" t="e">
        <f>_xlfn.XLOOKUP(E467,セットアップレポート_紐づけ用!A:A,セットアップレポート_紐づけ用!J:J)</f>
        <v>#N/A</v>
      </c>
      <c r="G467" s="3" t="e">
        <f>_xlfn.XLOOKUP(E467,セットアップレポート_紐づけ用!A:A,セットアップレポート_紐づけ用!V:V)</f>
        <v>#N/A</v>
      </c>
      <c r="H467" s="3">
        <f t="shared" si="31"/>
        <v>-2</v>
      </c>
      <c r="I467" t="str">
        <f>IF(J467=0,"",IF(配列!E467="",マクロ実行!$A$16 &amp;" T"&amp;H467&amp;"-"&amp;RIGHT(配列!D467&amp;配列!E467,2),マクロ実行!$A$16 &amp;" T"&amp;H467&amp;"-"&amp;RIGHT(配列!D467&amp;配列!E467,3)))</f>
        <v/>
      </c>
      <c r="J467">
        <f>配列!F467</f>
        <v>0</v>
      </c>
      <c r="K467" s="2" t="e">
        <f>_xlfn.XLOOKUP(E467,セットアップレポート_紐づけ用!A:A,セットアップレポート_紐づけ用!R:R)</f>
        <v>#N/A</v>
      </c>
      <c r="L467" t="e">
        <f t="shared" si="29"/>
        <v>#N/A</v>
      </c>
      <c r="M467" t="e">
        <f>_xlfn.XLOOKUP(L467,EGPro!A:A,EGPro!D:D)</f>
        <v>#N/A</v>
      </c>
      <c r="N467" t="e">
        <f>_xlfn.XLOOKUP(L467,EGPro!A:A,EGPro!C:C)</f>
        <v>#N/A</v>
      </c>
      <c r="O467" t="e">
        <f t="shared" si="30"/>
        <v>#N/A</v>
      </c>
      <c r="P467" t="e">
        <f>_xlfn.XLOOKUP(O467,EGPro!A:A,EGPro!D:D)</f>
        <v>#N/A</v>
      </c>
      <c r="Q467" t="e">
        <f>_xlfn.XLOOKUP(O467,EGPro!A:A,EGPro!C:C)</f>
        <v>#N/A</v>
      </c>
    </row>
    <row r="468" spans="1:17" x14ac:dyDescent="0.45">
      <c r="A468" s="3">
        <f>配列!B468</f>
        <v>0</v>
      </c>
      <c r="B468" s="3" t="e">
        <f>_xlfn.XLOOKUP(A468,対応表!A:A,対応表!B:B)</f>
        <v>#N/A</v>
      </c>
      <c r="C468" s="3">
        <f>配列!C468</f>
        <v>0</v>
      </c>
      <c r="D468" s="3" t="str">
        <f>IF(配列!E468="",RIGHT(配列!D468&amp;配列!E468,4)&amp;"L",RIGHT(配列!D468&amp;配列!E468,5))</f>
        <v>L</v>
      </c>
      <c r="E468" s="3">
        <f t="shared" si="28"/>
        <v>0</v>
      </c>
      <c r="F468" s="3" t="e">
        <f>_xlfn.XLOOKUP(E468,セットアップレポート_紐づけ用!A:A,セットアップレポート_紐づけ用!J:J)</f>
        <v>#N/A</v>
      </c>
      <c r="G468" s="3" t="e">
        <f>_xlfn.XLOOKUP(E468,セットアップレポート_紐づけ用!A:A,セットアップレポート_紐づけ用!V:V)</f>
        <v>#N/A</v>
      </c>
      <c r="H468" s="3">
        <f t="shared" si="31"/>
        <v>-2</v>
      </c>
      <c r="I468" t="str">
        <f>IF(J468=0,"",IF(配列!E468="",マクロ実行!$A$16 &amp;" T"&amp;H468&amp;"-"&amp;RIGHT(配列!D468&amp;配列!E468,2),マクロ実行!$A$16 &amp;" T"&amp;H468&amp;"-"&amp;RIGHT(配列!D468&amp;配列!E468,3)))</f>
        <v/>
      </c>
      <c r="J468">
        <f>配列!F468</f>
        <v>0</v>
      </c>
      <c r="K468" s="2" t="e">
        <f>_xlfn.XLOOKUP(E468,セットアップレポート_紐づけ用!A:A,セットアップレポート_紐づけ用!R:R)</f>
        <v>#N/A</v>
      </c>
      <c r="L468" t="e">
        <f t="shared" si="29"/>
        <v>#N/A</v>
      </c>
      <c r="M468" t="e">
        <f>_xlfn.XLOOKUP(L468,EGPro!A:A,EGPro!D:D)</f>
        <v>#N/A</v>
      </c>
      <c r="N468" t="e">
        <f>_xlfn.XLOOKUP(L468,EGPro!A:A,EGPro!C:C)</f>
        <v>#N/A</v>
      </c>
      <c r="O468" t="e">
        <f t="shared" si="30"/>
        <v>#N/A</v>
      </c>
      <c r="P468" t="e">
        <f>_xlfn.XLOOKUP(O468,EGPro!A:A,EGPro!D:D)</f>
        <v>#N/A</v>
      </c>
      <c r="Q468" t="e">
        <f>_xlfn.XLOOKUP(O468,EGPro!A:A,EGPro!C:C)</f>
        <v>#N/A</v>
      </c>
    </row>
    <row r="469" spans="1:17" x14ac:dyDescent="0.45">
      <c r="A469" s="3">
        <f>配列!B469</f>
        <v>0</v>
      </c>
      <c r="B469" s="3" t="e">
        <f>_xlfn.XLOOKUP(A469,対応表!A:A,対応表!B:B)</f>
        <v>#N/A</v>
      </c>
      <c r="C469" s="3">
        <f>配列!C469</f>
        <v>0</v>
      </c>
      <c r="D469" s="3" t="str">
        <f>IF(配列!E469="",RIGHT(配列!D469&amp;配列!E469,4)&amp;"L",RIGHT(配列!D469&amp;配列!E469,5))</f>
        <v>L</v>
      </c>
      <c r="E469" s="3">
        <f t="shared" si="28"/>
        <v>0</v>
      </c>
      <c r="F469" s="3" t="e">
        <f>_xlfn.XLOOKUP(E469,セットアップレポート_紐づけ用!A:A,セットアップレポート_紐づけ用!J:J)</f>
        <v>#N/A</v>
      </c>
      <c r="G469" s="3" t="e">
        <f>_xlfn.XLOOKUP(E469,セットアップレポート_紐づけ用!A:A,セットアップレポート_紐づけ用!V:V)</f>
        <v>#N/A</v>
      </c>
      <c r="H469" s="3">
        <f t="shared" si="31"/>
        <v>-2</v>
      </c>
      <c r="I469" t="str">
        <f>IF(J469=0,"",IF(配列!E469="",マクロ実行!$A$16 &amp;" T"&amp;H469&amp;"-"&amp;RIGHT(配列!D469&amp;配列!E469,2),マクロ実行!$A$16 &amp;" T"&amp;H469&amp;"-"&amp;RIGHT(配列!D469&amp;配列!E469,3)))</f>
        <v/>
      </c>
      <c r="J469">
        <f>配列!F469</f>
        <v>0</v>
      </c>
      <c r="K469" s="2" t="e">
        <f>_xlfn.XLOOKUP(E469,セットアップレポート_紐づけ用!A:A,セットアップレポート_紐づけ用!R:R)</f>
        <v>#N/A</v>
      </c>
      <c r="L469" t="e">
        <f t="shared" si="29"/>
        <v>#N/A</v>
      </c>
      <c r="M469" t="e">
        <f>_xlfn.XLOOKUP(L469,EGPro!A:A,EGPro!D:D)</f>
        <v>#N/A</v>
      </c>
      <c r="N469" t="e">
        <f>_xlfn.XLOOKUP(L469,EGPro!A:A,EGPro!C:C)</f>
        <v>#N/A</v>
      </c>
      <c r="O469" t="e">
        <f t="shared" si="30"/>
        <v>#N/A</v>
      </c>
      <c r="P469" t="e">
        <f>_xlfn.XLOOKUP(O469,EGPro!A:A,EGPro!D:D)</f>
        <v>#N/A</v>
      </c>
      <c r="Q469" t="e">
        <f>_xlfn.XLOOKUP(O469,EGPro!A:A,EGPro!C:C)</f>
        <v>#N/A</v>
      </c>
    </row>
    <row r="470" spans="1:17" x14ac:dyDescent="0.45">
      <c r="A470" s="3">
        <f>配列!B470</f>
        <v>0</v>
      </c>
      <c r="B470" s="3" t="e">
        <f>_xlfn.XLOOKUP(A470,対応表!A:A,対応表!B:B)</f>
        <v>#N/A</v>
      </c>
      <c r="C470" s="3">
        <f>配列!C470</f>
        <v>0</v>
      </c>
      <c r="D470" s="3" t="str">
        <f>IF(配列!E470="",RIGHT(配列!D470&amp;配列!E470,4)&amp;"L",RIGHT(配列!D470&amp;配列!E470,5))</f>
        <v>L</v>
      </c>
      <c r="E470" s="3">
        <f t="shared" si="28"/>
        <v>0</v>
      </c>
      <c r="F470" s="3" t="e">
        <f>_xlfn.XLOOKUP(E470,セットアップレポート_紐づけ用!A:A,セットアップレポート_紐づけ用!J:J)</f>
        <v>#N/A</v>
      </c>
      <c r="G470" s="3" t="e">
        <f>_xlfn.XLOOKUP(E470,セットアップレポート_紐づけ用!A:A,セットアップレポート_紐づけ用!V:V)</f>
        <v>#N/A</v>
      </c>
      <c r="H470" s="3">
        <f t="shared" si="31"/>
        <v>-2</v>
      </c>
      <c r="I470" t="str">
        <f>IF(J470=0,"",IF(配列!E470="",マクロ実行!$A$16 &amp;" T"&amp;H470&amp;"-"&amp;RIGHT(配列!D470&amp;配列!E470,2),マクロ実行!$A$16 &amp;" T"&amp;H470&amp;"-"&amp;RIGHT(配列!D470&amp;配列!E470,3)))</f>
        <v/>
      </c>
      <c r="J470">
        <f>配列!F470</f>
        <v>0</v>
      </c>
      <c r="K470" s="2" t="e">
        <f>_xlfn.XLOOKUP(E470,セットアップレポート_紐づけ用!A:A,セットアップレポート_紐づけ用!R:R)</f>
        <v>#N/A</v>
      </c>
      <c r="L470" t="e">
        <f t="shared" si="29"/>
        <v>#N/A</v>
      </c>
      <c r="M470" t="e">
        <f>_xlfn.XLOOKUP(L470,EGPro!A:A,EGPro!D:D)</f>
        <v>#N/A</v>
      </c>
      <c r="N470" t="e">
        <f>_xlfn.XLOOKUP(L470,EGPro!A:A,EGPro!C:C)</f>
        <v>#N/A</v>
      </c>
      <c r="O470" t="e">
        <f t="shared" si="30"/>
        <v>#N/A</v>
      </c>
      <c r="P470" t="e">
        <f>_xlfn.XLOOKUP(O470,EGPro!A:A,EGPro!D:D)</f>
        <v>#N/A</v>
      </c>
      <c r="Q470" t="e">
        <f>_xlfn.XLOOKUP(O470,EGPro!A:A,EGPro!C:C)</f>
        <v>#N/A</v>
      </c>
    </row>
    <row r="471" spans="1:17" x14ac:dyDescent="0.45">
      <c r="A471" s="3">
        <f>配列!B471</f>
        <v>0</v>
      </c>
      <c r="B471" s="3" t="e">
        <f>_xlfn.XLOOKUP(A471,対応表!A:A,対応表!B:B)</f>
        <v>#N/A</v>
      </c>
      <c r="C471" s="3">
        <f>配列!C471</f>
        <v>0</v>
      </c>
      <c r="D471" s="3" t="str">
        <f>IF(配列!E471="",RIGHT(配列!D471&amp;配列!E471,4)&amp;"L",RIGHT(配列!D471&amp;配列!E471,5))</f>
        <v>L</v>
      </c>
      <c r="E471" s="3">
        <f t="shared" si="28"/>
        <v>0</v>
      </c>
      <c r="F471" s="3" t="e">
        <f>_xlfn.XLOOKUP(E471,セットアップレポート_紐づけ用!A:A,セットアップレポート_紐づけ用!J:J)</f>
        <v>#N/A</v>
      </c>
      <c r="G471" s="3" t="e">
        <f>_xlfn.XLOOKUP(E471,セットアップレポート_紐づけ用!A:A,セットアップレポート_紐づけ用!V:V)</f>
        <v>#N/A</v>
      </c>
      <c r="H471" s="3">
        <f t="shared" si="31"/>
        <v>-2</v>
      </c>
      <c r="I471" t="str">
        <f>IF(J471=0,"",IF(配列!E471="",マクロ実行!$A$16 &amp;" T"&amp;H471&amp;"-"&amp;RIGHT(配列!D471&amp;配列!E471,2),マクロ実行!$A$16 &amp;" T"&amp;H471&amp;"-"&amp;RIGHT(配列!D471&amp;配列!E471,3)))</f>
        <v/>
      </c>
      <c r="J471">
        <f>配列!F471</f>
        <v>0</v>
      </c>
      <c r="K471" s="2" t="e">
        <f>_xlfn.XLOOKUP(E471,セットアップレポート_紐づけ用!A:A,セットアップレポート_紐づけ用!R:R)</f>
        <v>#N/A</v>
      </c>
      <c r="L471" t="e">
        <f t="shared" si="29"/>
        <v>#N/A</v>
      </c>
      <c r="M471" t="e">
        <f>_xlfn.XLOOKUP(L471,EGPro!A:A,EGPro!D:D)</f>
        <v>#N/A</v>
      </c>
      <c r="N471" t="e">
        <f>_xlfn.XLOOKUP(L471,EGPro!A:A,EGPro!C:C)</f>
        <v>#N/A</v>
      </c>
      <c r="O471" t="e">
        <f t="shared" si="30"/>
        <v>#N/A</v>
      </c>
      <c r="P471" t="e">
        <f>_xlfn.XLOOKUP(O471,EGPro!A:A,EGPro!D:D)</f>
        <v>#N/A</v>
      </c>
      <c r="Q471" t="e">
        <f>_xlfn.XLOOKUP(O471,EGPro!A:A,EGPro!C:C)</f>
        <v>#N/A</v>
      </c>
    </row>
    <row r="472" spans="1:17" x14ac:dyDescent="0.45">
      <c r="A472" s="3">
        <f>配列!B472</f>
        <v>0</v>
      </c>
      <c r="B472" s="3" t="e">
        <f>_xlfn.XLOOKUP(A472,対応表!A:A,対応表!B:B)</f>
        <v>#N/A</v>
      </c>
      <c r="C472" s="3">
        <f>配列!C472</f>
        <v>0</v>
      </c>
      <c r="D472" s="3" t="str">
        <f>IF(配列!E472="",RIGHT(配列!D472&amp;配列!E472,4)&amp;"L",RIGHT(配列!D472&amp;配列!E472,5))</f>
        <v>L</v>
      </c>
      <c r="E472" s="3">
        <f t="shared" si="28"/>
        <v>0</v>
      </c>
      <c r="F472" s="3" t="e">
        <f>_xlfn.XLOOKUP(E472,セットアップレポート_紐づけ用!A:A,セットアップレポート_紐づけ用!J:J)</f>
        <v>#N/A</v>
      </c>
      <c r="G472" s="3" t="e">
        <f>_xlfn.XLOOKUP(E472,セットアップレポート_紐づけ用!A:A,セットアップレポート_紐づけ用!V:V)</f>
        <v>#N/A</v>
      </c>
      <c r="H472" s="3">
        <f t="shared" si="31"/>
        <v>-2</v>
      </c>
      <c r="I472" t="str">
        <f>IF(J472=0,"",IF(配列!E472="",マクロ実行!$A$16 &amp;" T"&amp;H472&amp;"-"&amp;RIGHT(配列!D472&amp;配列!E472,2),マクロ実行!$A$16 &amp;" T"&amp;H472&amp;"-"&amp;RIGHT(配列!D472&amp;配列!E472,3)))</f>
        <v/>
      </c>
      <c r="J472">
        <f>配列!F472</f>
        <v>0</v>
      </c>
      <c r="K472" s="2" t="e">
        <f>_xlfn.XLOOKUP(E472,セットアップレポート_紐づけ用!A:A,セットアップレポート_紐づけ用!R:R)</f>
        <v>#N/A</v>
      </c>
      <c r="L472" t="e">
        <f t="shared" si="29"/>
        <v>#N/A</v>
      </c>
      <c r="M472" t="e">
        <f>_xlfn.XLOOKUP(L472,EGPro!A:A,EGPro!D:D)</f>
        <v>#N/A</v>
      </c>
      <c r="N472" t="e">
        <f>_xlfn.XLOOKUP(L472,EGPro!A:A,EGPro!C:C)</f>
        <v>#N/A</v>
      </c>
      <c r="O472" t="e">
        <f t="shared" si="30"/>
        <v>#N/A</v>
      </c>
      <c r="P472" t="e">
        <f>_xlfn.XLOOKUP(O472,EGPro!A:A,EGPro!D:D)</f>
        <v>#N/A</v>
      </c>
      <c r="Q472" t="e">
        <f>_xlfn.XLOOKUP(O472,EGPro!A:A,EGPro!C:C)</f>
        <v>#N/A</v>
      </c>
    </row>
    <row r="473" spans="1:17" x14ac:dyDescent="0.45">
      <c r="A473" s="3">
        <f>配列!B473</f>
        <v>0</v>
      </c>
      <c r="B473" s="3" t="e">
        <f>_xlfn.XLOOKUP(A473,対応表!A:A,対応表!B:B)</f>
        <v>#N/A</v>
      </c>
      <c r="C473" s="3">
        <f>配列!C473</f>
        <v>0</v>
      </c>
      <c r="D473" s="3" t="str">
        <f>IF(配列!E473="",RIGHT(配列!D473&amp;配列!E473,4)&amp;"L",RIGHT(配列!D473&amp;配列!E473,5))</f>
        <v>L</v>
      </c>
      <c r="E473" s="3">
        <f t="shared" si="28"/>
        <v>0</v>
      </c>
      <c r="F473" s="3" t="e">
        <f>_xlfn.XLOOKUP(E473,セットアップレポート_紐づけ用!A:A,セットアップレポート_紐づけ用!J:J)</f>
        <v>#N/A</v>
      </c>
      <c r="G473" s="3" t="e">
        <f>_xlfn.XLOOKUP(E473,セットアップレポート_紐づけ用!A:A,セットアップレポート_紐づけ用!V:V)</f>
        <v>#N/A</v>
      </c>
      <c r="H473" s="3">
        <f t="shared" si="31"/>
        <v>-2</v>
      </c>
      <c r="I473" t="str">
        <f>IF(J473=0,"",IF(配列!E473="",マクロ実行!$A$16 &amp;" T"&amp;H473&amp;"-"&amp;RIGHT(配列!D473&amp;配列!E473,2),マクロ実行!$A$16 &amp;" T"&amp;H473&amp;"-"&amp;RIGHT(配列!D473&amp;配列!E473,3)))</f>
        <v/>
      </c>
      <c r="J473">
        <f>配列!F473</f>
        <v>0</v>
      </c>
      <c r="K473" s="2" t="e">
        <f>_xlfn.XLOOKUP(E473,セットアップレポート_紐づけ用!A:A,セットアップレポート_紐づけ用!R:R)</f>
        <v>#N/A</v>
      </c>
      <c r="L473" t="e">
        <f t="shared" si="29"/>
        <v>#N/A</v>
      </c>
      <c r="M473" t="e">
        <f>_xlfn.XLOOKUP(L473,EGPro!A:A,EGPro!D:D)</f>
        <v>#N/A</v>
      </c>
      <c r="N473" t="e">
        <f>_xlfn.XLOOKUP(L473,EGPro!A:A,EGPro!C:C)</f>
        <v>#N/A</v>
      </c>
      <c r="O473" t="e">
        <f t="shared" si="30"/>
        <v>#N/A</v>
      </c>
      <c r="P473" t="e">
        <f>_xlfn.XLOOKUP(O473,EGPro!A:A,EGPro!D:D)</f>
        <v>#N/A</v>
      </c>
      <c r="Q473" t="e">
        <f>_xlfn.XLOOKUP(O473,EGPro!A:A,EGPro!C:C)</f>
        <v>#N/A</v>
      </c>
    </row>
    <row r="474" spans="1:17" x14ac:dyDescent="0.45">
      <c r="A474" s="3">
        <f>配列!B474</f>
        <v>0</v>
      </c>
      <c r="B474" s="3" t="e">
        <f>_xlfn.XLOOKUP(A474,対応表!A:A,対応表!B:B)</f>
        <v>#N/A</v>
      </c>
      <c r="C474" s="3">
        <f>配列!C474</f>
        <v>0</v>
      </c>
      <c r="D474" s="3" t="str">
        <f>IF(配列!E474="",RIGHT(配列!D474&amp;配列!E474,4)&amp;"L",RIGHT(配列!D474&amp;配列!E474,5))</f>
        <v>L</v>
      </c>
      <c r="E474" s="3">
        <f t="shared" si="28"/>
        <v>0</v>
      </c>
      <c r="F474" s="3" t="e">
        <f>_xlfn.XLOOKUP(E474,セットアップレポート_紐づけ用!A:A,セットアップレポート_紐づけ用!J:J)</f>
        <v>#N/A</v>
      </c>
      <c r="G474" s="3" t="e">
        <f>_xlfn.XLOOKUP(E474,セットアップレポート_紐づけ用!A:A,セットアップレポート_紐づけ用!V:V)</f>
        <v>#N/A</v>
      </c>
      <c r="H474" s="3">
        <f t="shared" si="31"/>
        <v>-2</v>
      </c>
      <c r="I474" t="str">
        <f>IF(J474=0,"",IF(配列!E474="",マクロ実行!$A$16 &amp;" T"&amp;H474&amp;"-"&amp;RIGHT(配列!D474&amp;配列!E474,2),マクロ実行!$A$16 &amp;" T"&amp;H474&amp;"-"&amp;RIGHT(配列!D474&amp;配列!E474,3)))</f>
        <v/>
      </c>
      <c r="J474">
        <f>配列!F474</f>
        <v>0</v>
      </c>
      <c r="K474" s="2" t="e">
        <f>_xlfn.XLOOKUP(E474,セットアップレポート_紐づけ用!A:A,セットアップレポート_紐づけ用!R:R)</f>
        <v>#N/A</v>
      </c>
      <c r="L474" t="e">
        <f t="shared" si="29"/>
        <v>#N/A</v>
      </c>
      <c r="M474" t="e">
        <f>_xlfn.XLOOKUP(L474,EGPro!A:A,EGPro!D:D)</f>
        <v>#N/A</v>
      </c>
      <c r="N474" t="e">
        <f>_xlfn.XLOOKUP(L474,EGPro!A:A,EGPro!C:C)</f>
        <v>#N/A</v>
      </c>
      <c r="O474" t="e">
        <f t="shared" si="30"/>
        <v>#N/A</v>
      </c>
      <c r="P474" t="e">
        <f>_xlfn.XLOOKUP(O474,EGPro!A:A,EGPro!D:D)</f>
        <v>#N/A</v>
      </c>
      <c r="Q474" t="e">
        <f>_xlfn.XLOOKUP(O474,EGPro!A:A,EGPro!C:C)</f>
        <v>#N/A</v>
      </c>
    </row>
    <row r="475" spans="1:17" x14ac:dyDescent="0.45">
      <c r="A475" s="3">
        <f>配列!B475</f>
        <v>0</v>
      </c>
      <c r="B475" s="3" t="e">
        <f>_xlfn.XLOOKUP(A475,対応表!A:A,対応表!B:B)</f>
        <v>#N/A</v>
      </c>
      <c r="C475" s="3">
        <f>配列!C475</f>
        <v>0</v>
      </c>
      <c r="D475" s="3" t="str">
        <f>IF(配列!E475="",RIGHT(配列!D475&amp;配列!E475,4)&amp;"L",RIGHT(配列!D475&amp;配列!E475,5))</f>
        <v>L</v>
      </c>
      <c r="E475" s="3">
        <f t="shared" si="28"/>
        <v>0</v>
      </c>
      <c r="F475" s="3" t="e">
        <f>_xlfn.XLOOKUP(E475,セットアップレポート_紐づけ用!A:A,セットアップレポート_紐づけ用!J:J)</f>
        <v>#N/A</v>
      </c>
      <c r="G475" s="3" t="e">
        <f>_xlfn.XLOOKUP(E475,セットアップレポート_紐づけ用!A:A,セットアップレポート_紐づけ用!V:V)</f>
        <v>#N/A</v>
      </c>
      <c r="H475" s="3">
        <f t="shared" si="31"/>
        <v>-2</v>
      </c>
      <c r="I475" t="str">
        <f>IF(J475=0,"",IF(配列!E475="",マクロ実行!$A$16 &amp;" T"&amp;H475&amp;"-"&amp;RIGHT(配列!D475&amp;配列!E475,2),マクロ実行!$A$16 &amp;" T"&amp;H475&amp;"-"&amp;RIGHT(配列!D475&amp;配列!E475,3)))</f>
        <v/>
      </c>
      <c r="J475">
        <f>配列!F475</f>
        <v>0</v>
      </c>
      <c r="K475" s="2" t="e">
        <f>_xlfn.XLOOKUP(E475,セットアップレポート_紐づけ用!A:A,セットアップレポート_紐づけ用!R:R)</f>
        <v>#N/A</v>
      </c>
      <c r="L475" t="e">
        <f t="shared" si="29"/>
        <v>#N/A</v>
      </c>
      <c r="M475" t="e">
        <f>_xlfn.XLOOKUP(L475,EGPro!A:A,EGPro!D:D)</f>
        <v>#N/A</v>
      </c>
      <c r="N475" t="e">
        <f>_xlfn.XLOOKUP(L475,EGPro!A:A,EGPro!C:C)</f>
        <v>#N/A</v>
      </c>
      <c r="O475" t="e">
        <f t="shared" si="30"/>
        <v>#N/A</v>
      </c>
      <c r="P475" t="e">
        <f>_xlfn.XLOOKUP(O475,EGPro!A:A,EGPro!D:D)</f>
        <v>#N/A</v>
      </c>
      <c r="Q475" t="e">
        <f>_xlfn.XLOOKUP(O475,EGPro!A:A,EGPro!C:C)</f>
        <v>#N/A</v>
      </c>
    </row>
    <row r="476" spans="1:17" x14ac:dyDescent="0.45">
      <c r="A476" s="3">
        <f>配列!B476</f>
        <v>0</v>
      </c>
      <c r="B476" s="3" t="e">
        <f>_xlfn.XLOOKUP(A476,対応表!A:A,対応表!B:B)</f>
        <v>#N/A</v>
      </c>
      <c r="C476" s="3">
        <f>配列!C476</f>
        <v>0</v>
      </c>
      <c r="D476" s="3" t="str">
        <f>IF(配列!E476="",RIGHT(配列!D476&amp;配列!E476,4)&amp;"L",RIGHT(配列!D476&amp;配列!E476,5))</f>
        <v>L</v>
      </c>
      <c r="E476" s="3">
        <f t="shared" si="28"/>
        <v>0</v>
      </c>
      <c r="F476" s="3" t="e">
        <f>_xlfn.XLOOKUP(E476,セットアップレポート_紐づけ用!A:A,セットアップレポート_紐づけ用!J:J)</f>
        <v>#N/A</v>
      </c>
      <c r="G476" s="3" t="e">
        <f>_xlfn.XLOOKUP(E476,セットアップレポート_紐づけ用!A:A,セットアップレポート_紐づけ用!V:V)</f>
        <v>#N/A</v>
      </c>
      <c r="H476" s="3">
        <f t="shared" si="31"/>
        <v>-2</v>
      </c>
      <c r="I476" t="str">
        <f>IF(J476=0,"",IF(配列!E476="",マクロ実行!$A$16 &amp;" T"&amp;H476&amp;"-"&amp;RIGHT(配列!D476&amp;配列!E476,2),マクロ実行!$A$16 &amp;" T"&amp;H476&amp;"-"&amp;RIGHT(配列!D476&amp;配列!E476,3)))</f>
        <v/>
      </c>
      <c r="J476">
        <f>配列!F476</f>
        <v>0</v>
      </c>
      <c r="K476" s="2" t="e">
        <f>_xlfn.XLOOKUP(E476,セットアップレポート_紐づけ用!A:A,セットアップレポート_紐づけ用!R:R)</f>
        <v>#N/A</v>
      </c>
      <c r="L476" t="e">
        <f t="shared" si="29"/>
        <v>#N/A</v>
      </c>
      <c r="M476" t="e">
        <f>_xlfn.XLOOKUP(L476,EGPro!A:A,EGPro!D:D)</f>
        <v>#N/A</v>
      </c>
      <c r="N476" t="e">
        <f>_xlfn.XLOOKUP(L476,EGPro!A:A,EGPro!C:C)</f>
        <v>#N/A</v>
      </c>
      <c r="O476" t="e">
        <f t="shared" si="30"/>
        <v>#N/A</v>
      </c>
      <c r="P476" t="e">
        <f>_xlfn.XLOOKUP(O476,EGPro!A:A,EGPro!D:D)</f>
        <v>#N/A</v>
      </c>
      <c r="Q476" t="e">
        <f>_xlfn.XLOOKUP(O476,EGPro!A:A,EGPro!C:C)</f>
        <v>#N/A</v>
      </c>
    </row>
    <row r="477" spans="1:17" x14ac:dyDescent="0.45">
      <c r="A477" s="3">
        <f>配列!B477</f>
        <v>0</v>
      </c>
      <c r="B477" s="3" t="e">
        <f>_xlfn.XLOOKUP(A477,対応表!A:A,対応表!B:B)</f>
        <v>#N/A</v>
      </c>
      <c r="C477" s="3">
        <f>配列!C477</f>
        <v>0</v>
      </c>
      <c r="D477" s="3" t="str">
        <f>IF(配列!E477="",RIGHT(配列!D477&amp;配列!E477,4)&amp;"L",RIGHT(配列!D477&amp;配列!E477,5))</f>
        <v>L</v>
      </c>
      <c r="E477" s="3">
        <f t="shared" si="28"/>
        <v>0</v>
      </c>
      <c r="F477" s="3" t="e">
        <f>_xlfn.XLOOKUP(E477,セットアップレポート_紐づけ用!A:A,セットアップレポート_紐づけ用!J:J)</f>
        <v>#N/A</v>
      </c>
      <c r="G477" s="3" t="e">
        <f>_xlfn.XLOOKUP(E477,セットアップレポート_紐づけ用!A:A,セットアップレポート_紐づけ用!V:V)</f>
        <v>#N/A</v>
      </c>
      <c r="H477" s="3">
        <f t="shared" si="31"/>
        <v>-2</v>
      </c>
      <c r="I477" t="str">
        <f>IF(J477=0,"",IF(配列!E477="",マクロ実行!$A$16 &amp;" T"&amp;H477&amp;"-"&amp;RIGHT(配列!D477&amp;配列!E477,2),マクロ実行!$A$16 &amp;" T"&amp;H477&amp;"-"&amp;RIGHT(配列!D477&amp;配列!E477,3)))</f>
        <v/>
      </c>
      <c r="J477">
        <f>配列!F477</f>
        <v>0</v>
      </c>
      <c r="K477" s="2" t="e">
        <f>_xlfn.XLOOKUP(E477,セットアップレポート_紐づけ用!A:A,セットアップレポート_紐づけ用!R:R)</f>
        <v>#N/A</v>
      </c>
      <c r="L477" t="e">
        <f t="shared" si="29"/>
        <v>#N/A</v>
      </c>
      <c r="M477" t="e">
        <f>_xlfn.XLOOKUP(L477,EGPro!A:A,EGPro!D:D)</f>
        <v>#N/A</v>
      </c>
      <c r="N477" t="e">
        <f>_xlfn.XLOOKUP(L477,EGPro!A:A,EGPro!C:C)</f>
        <v>#N/A</v>
      </c>
      <c r="O477" t="e">
        <f t="shared" si="30"/>
        <v>#N/A</v>
      </c>
      <c r="P477" t="e">
        <f>_xlfn.XLOOKUP(O477,EGPro!A:A,EGPro!D:D)</f>
        <v>#N/A</v>
      </c>
      <c r="Q477" t="e">
        <f>_xlfn.XLOOKUP(O477,EGPro!A:A,EGPro!C:C)</f>
        <v>#N/A</v>
      </c>
    </row>
    <row r="478" spans="1:17" x14ac:dyDescent="0.45">
      <c r="A478" s="3">
        <f>配列!B478</f>
        <v>0</v>
      </c>
      <c r="B478" s="3" t="e">
        <f>_xlfn.XLOOKUP(A478,対応表!A:A,対応表!B:B)</f>
        <v>#N/A</v>
      </c>
      <c r="C478" s="3">
        <f>配列!C478</f>
        <v>0</v>
      </c>
      <c r="D478" s="3" t="str">
        <f>IF(配列!E478="",RIGHT(配列!D478&amp;配列!E478,4)&amp;"L",RIGHT(配列!D478&amp;配列!E478,5))</f>
        <v>L</v>
      </c>
      <c r="E478" s="3">
        <f t="shared" si="28"/>
        <v>0</v>
      </c>
      <c r="F478" s="3" t="e">
        <f>_xlfn.XLOOKUP(E478,セットアップレポート_紐づけ用!A:A,セットアップレポート_紐づけ用!J:J)</f>
        <v>#N/A</v>
      </c>
      <c r="G478" s="3" t="e">
        <f>_xlfn.XLOOKUP(E478,セットアップレポート_紐づけ用!A:A,セットアップレポート_紐づけ用!V:V)</f>
        <v>#N/A</v>
      </c>
      <c r="H478" s="3">
        <f t="shared" si="31"/>
        <v>-2</v>
      </c>
      <c r="I478" t="str">
        <f>IF(J478=0,"",IF(配列!E478="",マクロ実行!$A$16 &amp;" T"&amp;H478&amp;"-"&amp;RIGHT(配列!D478&amp;配列!E478,2),マクロ実行!$A$16 &amp;" T"&amp;H478&amp;"-"&amp;RIGHT(配列!D478&amp;配列!E478,3)))</f>
        <v/>
      </c>
      <c r="J478">
        <f>配列!F478</f>
        <v>0</v>
      </c>
      <c r="K478" s="2" t="e">
        <f>_xlfn.XLOOKUP(E478,セットアップレポート_紐づけ用!A:A,セットアップレポート_紐づけ用!R:R)</f>
        <v>#N/A</v>
      </c>
      <c r="L478" t="e">
        <f t="shared" si="29"/>
        <v>#N/A</v>
      </c>
      <c r="M478" t="e">
        <f>_xlfn.XLOOKUP(L478,EGPro!A:A,EGPro!D:D)</f>
        <v>#N/A</v>
      </c>
      <c r="N478" t="e">
        <f>_xlfn.XLOOKUP(L478,EGPro!A:A,EGPro!C:C)</f>
        <v>#N/A</v>
      </c>
      <c r="O478" t="e">
        <f t="shared" si="30"/>
        <v>#N/A</v>
      </c>
      <c r="P478" t="e">
        <f>_xlfn.XLOOKUP(O478,EGPro!A:A,EGPro!D:D)</f>
        <v>#N/A</v>
      </c>
      <c r="Q478" t="e">
        <f>_xlfn.XLOOKUP(O478,EGPro!A:A,EGPro!C:C)</f>
        <v>#N/A</v>
      </c>
    </row>
    <row r="479" spans="1:17" x14ac:dyDescent="0.45">
      <c r="A479" s="3">
        <f>配列!B479</f>
        <v>0</v>
      </c>
      <c r="B479" s="3" t="e">
        <f>_xlfn.XLOOKUP(A479,対応表!A:A,対応表!B:B)</f>
        <v>#N/A</v>
      </c>
      <c r="C479" s="3">
        <f>配列!C479</f>
        <v>0</v>
      </c>
      <c r="D479" s="3" t="str">
        <f>IF(配列!E479="",RIGHT(配列!D479&amp;配列!E479,4)&amp;"L",RIGHT(配列!D479&amp;配列!E479,5))</f>
        <v>L</v>
      </c>
      <c r="E479" s="3">
        <f t="shared" si="28"/>
        <v>0</v>
      </c>
      <c r="F479" s="3" t="e">
        <f>_xlfn.XLOOKUP(E479,セットアップレポート_紐づけ用!A:A,セットアップレポート_紐づけ用!J:J)</f>
        <v>#N/A</v>
      </c>
      <c r="G479" s="3" t="e">
        <f>_xlfn.XLOOKUP(E479,セットアップレポート_紐づけ用!A:A,セットアップレポート_紐づけ用!V:V)</f>
        <v>#N/A</v>
      </c>
      <c r="H479" s="3">
        <f t="shared" si="31"/>
        <v>-2</v>
      </c>
      <c r="I479" t="str">
        <f>IF(J479=0,"",IF(配列!E479="",マクロ実行!$A$16 &amp;" T"&amp;H479&amp;"-"&amp;RIGHT(配列!D479&amp;配列!E479,2),マクロ実行!$A$16 &amp;" T"&amp;H479&amp;"-"&amp;RIGHT(配列!D479&amp;配列!E479,3)))</f>
        <v/>
      </c>
      <c r="J479">
        <f>配列!F479</f>
        <v>0</v>
      </c>
      <c r="K479" s="2" t="e">
        <f>_xlfn.XLOOKUP(E479,セットアップレポート_紐づけ用!A:A,セットアップレポート_紐づけ用!R:R)</f>
        <v>#N/A</v>
      </c>
      <c r="L479" t="e">
        <f t="shared" si="29"/>
        <v>#N/A</v>
      </c>
      <c r="M479" t="e">
        <f>_xlfn.XLOOKUP(L479,EGPro!A:A,EGPro!D:D)</f>
        <v>#N/A</v>
      </c>
      <c r="N479" t="e">
        <f>_xlfn.XLOOKUP(L479,EGPro!A:A,EGPro!C:C)</f>
        <v>#N/A</v>
      </c>
      <c r="O479" t="e">
        <f t="shared" si="30"/>
        <v>#N/A</v>
      </c>
      <c r="P479" t="e">
        <f>_xlfn.XLOOKUP(O479,EGPro!A:A,EGPro!D:D)</f>
        <v>#N/A</v>
      </c>
      <c r="Q479" t="e">
        <f>_xlfn.XLOOKUP(O479,EGPro!A:A,EGPro!C:C)</f>
        <v>#N/A</v>
      </c>
    </row>
    <row r="480" spans="1:17" x14ac:dyDescent="0.45">
      <c r="A480" s="3">
        <f>配列!B480</f>
        <v>0</v>
      </c>
      <c r="B480" s="3" t="e">
        <f>_xlfn.XLOOKUP(A480,対応表!A:A,対応表!B:B)</f>
        <v>#N/A</v>
      </c>
      <c r="C480" s="3">
        <f>配列!C480</f>
        <v>0</v>
      </c>
      <c r="D480" s="3" t="str">
        <f>IF(配列!E480="",RIGHT(配列!D480&amp;配列!E480,4)&amp;"L",RIGHT(配列!D480&amp;配列!E480,5))</f>
        <v>L</v>
      </c>
      <c r="E480" s="3">
        <f t="shared" si="28"/>
        <v>0</v>
      </c>
      <c r="F480" s="3" t="e">
        <f>_xlfn.XLOOKUP(E480,セットアップレポート_紐づけ用!A:A,セットアップレポート_紐づけ用!J:J)</f>
        <v>#N/A</v>
      </c>
      <c r="G480" s="3" t="e">
        <f>_xlfn.XLOOKUP(E480,セットアップレポート_紐づけ用!A:A,セットアップレポート_紐づけ用!V:V)</f>
        <v>#N/A</v>
      </c>
      <c r="H480" s="3">
        <f t="shared" si="31"/>
        <v>-2</v>
      </c>
      <c r="I480" t="str">
        <f>IF(J480=0,"",IF(配列!E480="",マクロ実行!$A$16 &amp;" T"&amp;H480&amp;"-"&amp;RIGHT(配列!D480&amp;配列!E480,2),マクロ実行!$A$16 &amp;" T"&amp;H480&amp;"-"&amp;RIGHT(配列!D480&amp;配列!E480,3)))</f>
        <v/>
      </c>
      <c r="J480">
        <f>配列!F480</f>
        <v>0</v>
      </c>
      <c r="K480" s="2" t="e">
        <f>_xlfn.XLOOKUP(E480,セットアップレポート_紐づけ用!A:A,セットアップレポート_紐づけ用!R:R)</f>
        <v>#N/A</v>
      </c>
      <c r="L480" t="e">
        <f t="shared" si="29"/>
        <v>#N/A</v>
      </c>
      <c r="M480" t="e">
        <f>_xlfn.XLOOKUP(L480,EGPro!A:A,EGPro!D:D)</f>
        <v>#N/A</v>
      </c>
      <c r="N480" t="e">
        <f>_xlfn.XLOOKUP(L480,EGPro!A:A,EGPro!C:C)</f>
        <v>#N/A</v>
      </c>
      <c r="O480" t="e">
        <f t="shared" si="30"/>
        <v>#N/A</v>
      </c>
      <c r="P480" t="e">
        <f>_xlfn.XLOOKUP(O480,EGPro!A:A,EGPro!D:D)</f>
        <v>#N/A</v>
      </c>
      <c r="Q480" t="e">
        <f>_xlfn.XLOOKUP(O480,EGPro!A:A,EGPro!C:C)</f>
        <v>#N/A</v>
      </c>
    </row>
    <row r="481" spans="1:17" x14ac:dyDescent="0.45">
      <c r="A481" s="3">
        <f>配列!B481</f>
        <v>0</v>
      </c>
      <c r="B481" s="3" t="e">
        <f>_xlfn.XLOOKUP(A481,対応表!A:A,対応表!B:B)</f>
        <v>#N/A</v>
      </c>
      <c r="C481" s="3">
        <f>配列!C481</f>
        <v>0</v>
      </c>
      <c r="D481" s="3" t="str">
        <f>IF(配列!E481="",RIGHT(配列!D481&amp;配列!E481,4)&amp;"L",RIGHT(配列!D481&amp;配列!E481,5))</f>
        <v>L</v>
      </c>
      <c r="E481" s="3">
        <f t="shared" si="28"/>
        <v>0</v>
      </c>
      <c r="F481" s="3" t="e">
        <f>_xlfn.XLOOKUP(E481,セットアップレポート_紐づけ用!A:A,セットアップレポート_紐づけ用!J:J)</f>
        <v>#N/A</v>
      </c>
      <c r="G481" s="3" t="e">
        <f>_xlfn.XLOOKUP(E481,セットアップレポート_紐づけ用!A:A,セットアップレポート_紐づけ用!V:V)</f>
        <v>#N/A</v>
      </c>
      <c r="H481" s="3">
        <f t="shared" si="31"/>
        <v>-2</v>
      </c>
      <c r="I481" t="str">
        <f>IF(J481=0,"",IF(配列!E481="",マクロ実行!$A$16 &amp;" T"&amp;H481&amp;"-"&amp;RIGHT(配列!D481&amp;配列!E481,2),マクロ実行!$A$16 &amp;" T"&amp;H481&amp;"-"&amp;RIGHT(配列!D481&amp;配列!E481,3)))</f>
        <v/>
      </c>
      <c r="J481">
        <f>配列!F481</f>
        <v>0</v>
      </c>
      <c r="K481" s="2" t="e">
        <f>_xlfn.XLOOKUP(E481,セットアップレポート_紐づけ用!A:A,セットアップレポート_紐づけ用!R:R)</f>
        <v>#N/A</v>
      </c>
      <c r="L481" t="e">
        <f t="shared" si="29"/>
        <v>#N/A</v>
      </c>
      <c r="M481" t="e">
        <f>_xlfn.XLOOKUP(L481,EGPro!A:A,EGPro!D:D)</f>
        <v>#N/A</v>
      </c>
      <c r="N481" t="e">
        <f>_xlfn.XLOOKUP(L481,EGPro!A:A,EGPro!C:C)</f>
        <v>#N/A</v>
      </c>
      <c r="O481" t="e">
        <f t="shared" si="30"/>
        <v>#N/A</v>
      </c>
      <c r="P481" t="e">
        <f>_xlfn.XLOOKUP(O481,EGPro!A:A,EGPro!D:D)</f>
        <v>#N/A</v>
      </c>
      <c r="Q481" t="e">
        <f>_xlfn.XLOOKUP(O481,EGPro!A:A,EGPro!C:C)</f>
        <v>#N/A</v>
      </c>
    </row>
    <row r="482" spans="1:17" x14ac:dyDescent="0.45">
      <c r="A482" s="3">
        <f>配列!B482</f>
        <v>0</v>
      </c>
      <c r="B482" s="3" t="e">
        <f>_xlfn.XLOOKUP(A482,対応表!A:A,対応表!B:B)</f>
        <v>#N/A</v>
      </c>
      <c r="C482" s="3">
        <f>配列!C482</f>
        <v>0</v>
      </c>
      <c r="D482" s="3" t="str">
        <f>IF(配列!E482="",RIGHT(配列!D482&amp;配列!E482,4)&amp;"L",RIGHT(配列!D482&amp;配列!E482,5))</f>
        <v>L</v>
      </c>
      <c r="E482" s="3">
        <f t="shared" si="28"/>
        <v>0</v>
      </c>
      <c r="F482" s="3" t="e">
        <f>_xlfn.XLOOKUP(E482,セットアップレポート_紐づけ用!A:A,セットアップレポート_紐づけ用!J:J)</f>
        <v>#N/A</v>
      </c>
      <c r="G482" s="3" t="e">
        <f>_xlfn.XLOOKUP(E482,セットアップレポート_紐づけ用!A:A,セットアップレポート_紐づけ用!V:V)</f>
        <v>#N/A</v>
      </c>
      <c r="H482" s="3">
        <f t="shared" si="31"/>
        <v>-2</v>
      </c>
      <c r="I482" t="str">
        <f>IF(J482=0,"",IF(配列!E482="",マクロ実行!$A$16 &amp;" T"&amp;H482&amp;"-"&amp;RIGHT(配列!D482&amp;配列!E482,2),マクロ実行!$A$16 &amp;" T"&amp;H482&amp;"-"&amp;RIGHT(配列!D482&amp;配列!E482,3)))</f>
        <v/>
      </c>
      <c r="J482">
        <f>配列!F482</f>
        <v>0</v>
      </c>
      <c r="K482" s="2" t="e">
        <f>_xlfn.XLOOKUP(E482,セットアップレポート_紐づけ用!A:A,セットアップレポート_紐づけ用!R:R)</f>
        <v>#N/A</v>
      </c>
      <c r="L482" t="e">
        <f t="shared" si="29"/>
        <v>#N/A</v>
      </c>
      <c r="M482" t="e">
        <f>_xlfn.XLOOKUP(L482,EGPro!A:A,EGPro!D:D)</f>
        <v>#N/A</v>
      </c>
      <c r="N482" t="e">
        <f>_xlfn.XLOOKUP(L482,EGPro!A:A,EGPro!C:C)</f>
        <v>#N/A</v>
      </c>
      <c r="O482" t="e">
        <f t="shared" si="30"/>
        <v>#N/A</v>
      </c>
      <c r="P482" t="e">
        <f>_xlfn.XLOOKUP(O482,EGPro!A:A,EGPro!D:D)</f>
        <v>#N/A</v>
      </c>
      <c r="Q482" t="e">
        <f>_xlfn.XLOOKUP(O482,EGPro!A:A,EGPro!C:C)</f>
        <v>#N/A</v>
      </c>
    </row>
    <row r="483" spans="1:17" x14ac:dyDescent="0.45">
      <c r="A483" s="3">
        <f>配列!B483</f>
        <v>0</v>
      </c>
      <c r="B483" s="3" t="e">
        <f>_xlfn.XLOOKUP(A483,対応表!A:A,対応表!B:B)</f>
        <v>#N/A</v>
      </c>
      <c r="C483" s="3">
        <f>配列!C483</f>
        <v>0</v>
      </c>
      <c r="D483" s="3" t="str">
        <f>IF(配列!E483="",RIGHT(配列!D483&amp;配列!E483,4)&amp;"L",RIGHT(配列!D483&amp;配列!E483,5))</f>
        <v>L</v>
      </c>
      <c r="E483" s="3">
        <f t="shared" si="28"/>
        <v>0</v>
      </c>
      <c r="F483" s="3" t="e">
        <f>_xlfn.XLOOKUP(E483,セットアップレポート_紐づけ用!A:A,セットアップレポート_紐づけ用!J:J)</f>
        <v>#N/A</v>
      </c>
      <c r="G483" s="3" t="e">
        <f>_xlfn.XLOOKUP(E483,セットアップレポート_紐づけ用!A:A,セットアップレポート_紐づけ用!V:V)</f>
        <v>#N/A</v>
      </c>
      <c r="H483" s="3">
        <f t="shared" si="31"/>
        <v>-2</v>
      </c>
      <c r="I483" t="str">
        <f>IF(J483=0,"",IF(配列!E483="",マクロ実行!$A$16 &amp;" T"&amp;H483&amp;"-"&amp;RIGHT(配列!D483&amp;配列!E483,2),マクロ実行!$A$16 &amp;" T"&amp;H483&amp;"-"&amp;RIGHT(配列!D483&amp;配列!E483,3)))</f>
        <v/>
      </c>
      <c r="J483">
        <f>配列!F483</f>
        <v>0</v>
      </c>
      <c r="K483" s="2" t="e">
        <f>_xlfn.XLOOKUP(E483,セットアップレポート_紐づけ用!A:A,セットアップレポート_紐づけ用!R:R)</f>
        <v>#N/A</v>
      </c>
      <c r="L483" t="e">
        <f t="shared" si="29"/>
        <v>#N/A</v>
      </c>
      <c r="M483" t="e">
        <f>_xlfn.XLOOKUP(L483,EGPro!A:A,EGPro!D:D)</f>
        <v>#N/A</v>
      </c>
      <c r="N483" t="e">
        <f>_xlfn.XLOOKUP(L483,EGPro!A:A,EGPro!C:C)</f>
        <v>#N/A</v>
      </c>
      <c r="O483" t="e">
        <f t="shared" si="30"/>
        <v>#N/A</v>
      </c>
      <c r="P483" t="e">
        <f>_xlfn.XLOOKUP(O483,EGPro!A:A,EGPro!D:D)</f>
        <v>#N/A</v>
      </c>
      <c r="Q483" t="e">
        <f>_xlfn.XLOOKUP(O483,EGPro!A:A,EGPro!C:C)</f>
        <v>#N/A</v>
      </c>
    </row>
    <row r="484" spans="1:17" x14ac:dyDescent="0.45">
      <c r="A484" s="3">
        <f>配列!B484</f>
        <v>0</v>
      </c>
      <c r="B484" s="3" t="e">
        <f>_xlfn.XLOOKUP(A484,対応表!A:A,対応表!B:B)</f>
        <v>#N/A</v>
      </c>
      <c r="C484" s="3">
        <f>配列!C484</f>
        <v>0</v>
      </c>
      <c r="D484" s="3" t="str">
        <f>IF(配列!E484="",RIGHT(配列!D484&amp;配列!E484,4)&amp;"L",RIGHT(配列!D484&amp;配列!E484,5))</f>
        <v>L</v>
      </c>
      <c r="E484" s="3">
        <f t="shared" si="28"/>
        <v>0</v>
      </c>
      <c r="F484" s="3" t="e">
        <f>_xlfn.XLOOKUP(E484,セットアップレポート_紐づけ用!A:A,セットアップレポート_紐づけ用!J:J)</f>
        <v>#N/A</v>
      </c>
      <c r="G484" s="3" t="e">
        <f>_xlfn.XLOOKUP(E484,セットアップレポート_紐づけ用!A:A,セットアップレポート_紐づけ用!V:V)</f>
        <v>#N/A</v>
      </c>
      <c r="H484" s="3">
        <f t="shared" si="31"/>
        <v>-2</v>
      </c>
      <c r="I484" t="str">
        <f>IF(J484=0,"",IF(配列!E484="",マクロ実行!$A$16 &amp;" T"&amp;H484&amp;"-"&amp;RIGHT(配列!D484&amp;配列!E484,2),マクロ実行!$A$16 &amp;" T"&amp;H484&amp;"-"&amp;RIGHT(配列!D484&amp;配列!E484,3)))</f>
        <v/>
      </c>
      <c r="J484">
        <f>配列!F484</f>
        <v>0</v>
      </c>
      <c r="K484" s="2" t="e">
        <f>_xlfn.XLOOKUP(E484,セットアップレポート_紐づけ用!A:A,セットアップレポート_紐づけ用!R:R)</f>
        <v>#N/A</v>
      </c>
      <c r="L484" t="e">
        <f t="shared" si="29"/>
        <v>#N/A</v>
      </c>
      <c r="M484" t="e">
        <f>_xlfn.XLOOKUP(L484,EGPro!A:A,EGPro!D:D)</f>
        <v>#N/A</v>
      </c>
      <c r="N484" t="e">
        <f>_xlfn.XLOOKUP(L484,EGPro!A:A,EGPro!C:C)</f>
        <v>#N/A</v>
      </c>
      <c r="O484" t="e">
        <f t="shared" si="30"/>
        <v>#N/A</v>
      </c>
      <c r="P484" t="e">
        <f>_xlfn.XLOOKUP(O484,EGPro!A:A,EGPro!D:D)</f>
        <v>#N/A</v>
      </c>
      <c r="Q484" t="e">
        <f>_xlfn.XLOOKUP(O484,EGPro!A:A,EGPro!C:C)</f>
        <v>#N/A</v>
      </c>
    </row>
    <row r="485" spans="1:17" x14ac:dyDescent="0.45">
      <c r="A485" s="3">
        <f>配列!B485</f>
        <v>0</v>
      </c>
      <c r="B485" s="3" t="e">
        <f>_xlfn.XLOOKUP(A485,対応表!A:A,対応表!B:B)</f>
        <v>#N/A</v>
      </c>
      <c r="C485" s="3">
        <f>配列!C485</f>
        <v>0</v>
      </c>
      <c r="D485" s="3" t="str">
        <f>IF(配列!E485="",RIGHT(配列!D485&amp;配列!E485,4)&amp;"L",RIGHT(配列!D485&amp;配列!E485,5))</f>
        <v>L</v>
      </c>
      <c r="E485" s="3">
        <f t="shared" si="28"/>
        <v>0</v>
      </c>
      <c r="F485" s="3" t="e">
        <f>_xlfn.XLOOKUP(E485,セットアップレポート_紐づけ用!A:A,セットアップレポート_紐づけ用!J:J)</f>
        <v>#N/A</v>
      </c>
      <c r="G485" s="3" t="e">
        <f>_xlfn.XLOOKUP(E485,セットアップレポート_紐づけ用!A:A,セットアップレポート_紐づけ用!V:V)</f>
        <v>#N/A</v>
      </c>
      <c r="H485" s="3">
        <f t="shared" si="31"/>
        <v>-2</v>
      </c>
      <c r="I485" t="str">
        <f>IF(J485=0,"",IF(配列!E485="",マクロ実行!$A$16 &amp;" T"&amp;H485&amp;"-"&amp;RIGHT(配列!D485&amp;配列!E485,2),マクロ実行!$A$16 &amp;" T"&amp;H485&amp;"-"&amp;RIGHT(配列!D485&amp;配列!E485,3)))</f>
        <v/>
      </c>
      <c r="J485">
        <f>配列!F485</f>
        <v>0</v>
      </c>
      <c r="K485" s="2" t="e">
        <f>_xlfn.XLOOKUP(E485,セットアップレポート_紐づけ用!A:A,セットアップレポート_紐づけ用!R:R)</f>
        <v>#N/A</v>
      </c>
      <c r="L485" t="e">
        <f t="shared" si="29"/>
        <v>#N/A</v>
      </c>
      <c r="M485" t="e">
        <f>_xlfn.XLOOKUP(L485,EGPro!A:A,EGPro!D:D)</f>
        <v>#N/A</v>
      </c>
      <c r="N485" t="e">
        <f>_xlfn.XLOOKUP(L485,EGPro!A:A,EGPro!C:C)</f>
        <v>#N/A</v>
      </c>
      <c r="O485" t="e">
        <f t="shared" si="30"/>
        <v>#N/A</v>
      </c>
      <c r="P485" t="e">
        <f>_xlfn.XLOOKUP(O485,EGPro!A:A,EGPro!D:D)</f>
        <v>#N/A</v>
      </c>
      <c r="Q485" t="e">
        <f>_xlfn.XLOOKUP(O485,EGPro!A:A,EGPro!C:C)</f>
        <v>#N/A</v>
      </c>
    </row>
    <row r="486" spans="1:17" x14ac:dyDescent="0.45">
      <c r="A486" s="3">
        <f>配列!B486</f>
        <v>0</v>
      </c>
      <c r="B486" s="3" t="e">
        <f>_xlfn.XLOOKUP(A486,対応表!A:A,対応表!B:B)</f>
        <v>#N/A</v>
      </c>
      <c r="C486" s="3">
        <f>配列!C486</f>
        <v>0</v>
      </c>
      <c r="D486" s="3" t="str">
        <f>IF(配列!E486="",RIGHT(配列!D486&amp;配列!E486,4)&amp;"L",RIGHT(配列!D486&amp;配列!E486,5))</f>
        <v>L</v>
      </c>
      <c r="E486" s="3">
        <f t="shared" si="28"/>
        <v>0</v>
      </c>
      <c r="F486" s="3" t="e">
        <f>_xlfn.XLOOKUP(E486,セットアップレポート_紐づけ用!A:A,セットアップレポート_紐づけ用!J:J)</f>
        <v>#N/A</v>
      </c>
      <c r="G486" s="3" t="e">
        <f>_xlfn.XLOOKUP(E486,セットアップレポート_紐づけ用!A:A,セットアップレポート_紐づけ用!V:V)</f>
        <v>#N/A</v>
      </c>
      <c r="H486" s="3">
        <f t="shared" si="31"/>
        <v>-2</v>
      </c>
      <c r="I486" t="str">
        <f>IF(J486=0,"",IF(配列!E486="",マクロ実行!$A$16 &amp;" T"&amp;H486&amp;"-"&amp;RIGHT(配列!D486&amp;配列!E486,2),マクロ実行!$A$16 &amp;" T"&amp;H486&amp;"-"&amp;RIGHT(配列!D486&amp;配列!E486,3)))</f>
        <v/>
      </c>
      <c r="J486">
        <f>配列!F486</f>
        <v>0</v>
      </c>
      <c r="K486" s="2" t="e">
        <f>_xlfn.XLOOKUP(E486,セットアップレポート_紐づけ用!A:A,セットアップレポート_紐づけ用!R:R)</f>
        <v>#N/A</v>
      </c>
      <c r="L486" t="e">
        <f t="shared" si="29"/>
        <v>#N/A</v>
      </c>
      <c r="M486" t="e">
        <f>_xlfn.XLOOKUP(L486,EGPro!A:A,EGPro!D:D)</f>
        <v>#N/A</v>
      </c>
      <c r="N486" t="e">
        <f>_xlfn.XLOOKUP(L486,EGPro!A:A,EGPro!C:C)</f>
        <v>#N/A</v>
      </c>
      <c r="O486" t="e">
        <f t="shared" si="30"/>
        <v>#N/A</v>
      </c>
      <c r="P486" t="e">
        <f>_xlfn.XLOOKUP(O486,EGPro!A:A,EGPro!D:D)</f>
        <v>#N/A</v>
      </c>
      <c r="Q486" t="e">
        <f>_xlfn.XLOOKUP(O486,EGPro!A:A,EGPro!C:C)</f>
        <v>#N/A</v>
      </c>
    </row>
    <row r="487" spans="1:17" x14ac:dyDescent="0.45">
      <c r="A487" s="3">
        <f>配列!B487</f>
        <v>0</v>
      </c>
      <c r="B487" s="3" t="e">
        <f>_xlfn.XLOOKUP(A487,対応表!A:A,対応表!B:B)</f>
        <v>#N/A</v>
      </c>
      <c r="C487" s="3">
        <f>配列!C487</f>
        <v>0</v>
      </c>
      <c r="D487" s="3" t="str">
        <f>IF(配列!E487="",RIGHT(配列!D487&amp;配列!E487,4)&amp;"L",RIGHT(配列!D487&amp;配列!E487,5))</f>
        <v>L</v>
      </c>
      <c r="E487" s="3">
        <f t="shared" si="28"/>
        <v>0</v>
      </c>
      <c r="F487" s="3" t="e">
        <f>_xlfn.XLOOKUP(E487,セットアップレポート_紐づけ用!A:A,セットアップレポート_紐づけ用!J:J)</f>
        <v>#N/A</v>
      </c>
      <c r="G487" s="3" t="e">
        <f>_xlfn.XLOOKUP(E487,セットアップレポート_紐づけ用!A:A,セットアップレポート_紐づけ用!V:V)</f>
        <v>#N/A</v>
      </c>
      <c r="H487" s="3">
        <f t="shared" si="31"/>
        <v>-2</v>
      </c>
      <c r="I487" t="str">
        <f>IF(J487=0,"",IF(配列!E487="",マクロ実行!$A$16 &amp;" T"&amp;H487&amp;"-"&amp;RIGHT(配列!D487&amp;配列!E487,2),マクロ実行!$A$16 &amp;" T"&amp;H487&amp;"-"&amp;RIGHT(配列!D487&amp;配列!E487,3)))</f>
        <v/>
      </c>
      <c r="J487">
        <f>配列!F487</f>
        <v>0</v>
      </c>
      <c r="K487" s="2" t="e">
        <f>_xlfn.XLOOKUP(E487,セットアップレポート_紐づけ用!A:A,セットアップレポート_紐づけ用!R:R)</f>
        <v>#N/A</v>
      </c>
      <c r="L487" t="e">
        <f t="shared" si="29"/>
        <v>#N/A</v>
      </c>
      <c r="M487" t="e">
        <f>_xlfn.XLOOKUP(L487,EGPro!A:A,EGPro!D:D)</f>
        <v>#N/A</v>
      </c>
      <c r="N487" t="e">
        <f>_xlfn.XLOOKUP(L487,EGPro!A:A,EGPro!C:C)</f>
        <v>#N/A</v>
      </c>
      <c r="O487" t="e">
        <f t="shared" si="30"/>
        <v>#N/A</v>
      </c>
      <c r="P487" t="e">
        <f>_xlfn.XLOOKUP(O487,EGPro!A:A,EGPro!D:D)</f>
        <v>#N/A</v>
      </c>
      <c r="Q487" t="e">
        <f>_xlfn.XLOOKUP(O487,EGPro!A:A,EGPro!C:C)</f>
        <v>#N/A</v>
      </c>
    </row>
    <row r="488" spans="1:17" x14ac:dyDescent="0.45">
      <c r="A488" s="3">
        <f>配列!B488</f>
        <v>0</v>
      </c>
      <c r="B488" s="3" t="e">
        <f>_xlfn.XLOOKUP(A488,対応表!A:A,対応表!B:B)</f>
        <v>#N/A</v>
      </c>
      <c r="C488" s="3">
        <f>配列!C488</f>
        <v>0</v>
      </c>
      <c r="D488" s="3" t="str">
        <f>IF(配列!E488="",RIGHT(配列!D488&amp;配列!E488,4)&amp;"L",RIGHT(配列!D488&amp;配列!E488,5))</f>
        <v>L</v>
      </c>
      <c r="E488" s="3">
        <f t="shared" si="28"/>
        <v>0</v>
      </c>
      <c r="F488" s="3" t="e">
        <f>_xlfn.XLOOKUP(E488,セットアップレポート_紐づけ用!A:A,セットアップレポート_紐づけ用!J:J)</f>
        <v>#N/A</v>
      </c>
      <c r="G488" s="3" t="e">
        <f>_xlfn.XLOOKUP(E488,セットアップレポート_紐づけ用!A:A,セットアップレポート_紐づけ用!V:V)</f>
        <v>#N/A</v>
      </c>
      <c r="H488" s="3">
        <f t="shared" si="31"/>
        <v>-2</v>
      </c>
      <c r="I488" t="str">
        <f>IF(J488=0,"",IF(配列!E488="",マクロ実行!$A$16 &amp;" T"&amp;H488&amp;"-"&amp;RIGHT(配列!D488&amp;配列!E488,2),マクロ実行!$A$16 &amp;" T"&amp;H488&amp;"-"&amp;RIGHT(配列!D488&amp;配列!E488,3)))</f>
        <v/>
      </c>
      <c r="J488">
        <f>配列!F488</f>
        <v>0</v>
      </c>
      <c r="K488" s="2" t="e">
        <f>_xlfn.XLOOKUP(E488,セットアップレポート_紐づけ用!A:A,セットアップレポート_紐づけ用!R:R)</f>
        <v>#N/A</v>
      </c>
      <c r="L488" t="e">
        <f t="shared" si="29"/>
        <v>#N/A</v>
      </c>
      <c r="M488" t="e">
        <f>_xlfn.XLOOKUP(L488,EGPro!A:A,EGPro!D:D)</f>
        <v>#N/A</v>
      </c>
      <c r="N488" t="e">
        <f>_xlfn.XLOOKUP(L488,EGPro!A:A,EGPro!C:C)</f>
        <v>#N/A</v>
      </c>
      <c r="O488" t="e">
        <f t="shared" si="30"/>
        <v>#N/A</v>
      </c>
      <c r="P488" t="e">
        <f>_xlfn.XLOOKUP(O488,EGPro!A:A,EGPro!D:D)</f>
        <v>#N/A</v>
      </c>
      <c r="Q488" t="e">
        <f>_xlfn.XLOOKUP(O488,EGPro!A:A,EGPro!C:C)</f>
        <v>#N/A</v>
      </c>
    </row>
    <row r="489" spans="1:17" x14ac:dyDescent="0.45">
      <c r="A489" s="3">
        <f>配列!B489</f>
        <v>0</v>
      </c>
      <c r="B489" s="3" t="e">
        <f>_xlfn.XLOOKUP(A489,対応表!A:A,対応表!B:B)</f>
        <v>#N/A</v>
      </c>
      <c r="C489" s="3">
        <f>配列!C489</f>
        <v>0</v>
      </c>
      <c r="D489" s="3" t="str">
        <f>IF(配列!E489="",RIGHT(配列!D489&amp;配列!E489,4)&amp;"L",RIGHT(配列!D489&amp;配列!E489,5))</f>
        <v>L</v>
      </c>
      <c r="E489" s="3">
        <f t="shared" si="28"/>
        <v>0</v>
      </c>
      <c r="F489" s="3" t="e">
        <f>_xlfn.XLOOKUP(E489,セットアップレポート_紐づけ用!A:A,セットアップレポート_紐づけ用!J:J)</f>
        <v>#N/A</v>
      </c>
      <c r="G489" s="3" t="e">
        <f>_xlfn.XLOOKUP(E489,セットアップレポート_紐づけ用!A:A,セットアップレポート_紐づけ用!V:V)</f>
        <v>#N/A</v>
      </c>
      <c r="H489" s="3">
        <f t="shared" si="31"/>
        <v>-2</v>
      </c>
      <c r="I489" t="str">
        <f>IF(J489=0,"",IF(配列!E489="",マクロ実行!$A$16 &amp;" T"&amp;H489&amp;"-"&amp;RIGHT(配列!D489&amp;配列!E489,2),マクロ実行!$A$16 &amp;" T"&amp;H489&amp;"-"&amp;RIGHT(配列!D489&amp;配列!E489,3)))</f>
        <v/>
      </c>
      <c r="J489">
        <f>配列!F489</f>
        <v>0</v>
      </c>
      <c r="K489" s="2" t="e">
        <f>_xlfn.XLOOKUP(E489,セットアップレポート_紐づけ用!A:A,セットアップレポート_紐づけ用!R:R)</f>
        <v>#N/A</v>
      </c>
      <c r="L489" t="e">
        <f t="shared" si="29"/>
        <v>#N/A</v>
      </c>
      <c r="M489" t="e">
        <f>_xlfn.XLOOKUP(L489,EGPro!A:A,EGPro!D:D)</f>
        <v>#N/A</v>
      </c>
      <c r="N489" t="e">
        <f>_xlfn.XLOOKUP(L489,EGPro!A:A,EGPro!C:C)</f>
        <v>#N/A</v>
      </c>
      <c r="O489" t="e">
        <f t="shared" si="30"/>
        <v>#N/A</v>
      </c>
      <c r="P489" t="e">
        <f>_xlfn.XLOOKUP(O489,EGPro!A:A,EGPro!D:D)</f>
        <v>#N/A</v>
      </c>
      <c r="Q489" t="e">
        <f>_xlfn.XLOOKUP(O489,EGPro!A:A,EGPro!C:C)</f>
        <v>#N/A</v>
      </c>
    </row>
    <row r="490" spans="1:17" x14ac:dyDescent="0.45">
      <c r="A490" s="3">
        <f>配列!B490</f>
        <v>0</v>
      </c>
      <c r="B490" s="3" t="e">
        <f>_xlfn.XLOOKUP(A490,対応表!A:A,対応表!B:B)</f>
        <v>#N/A</v>
      </c>
      <c r="C490" s="3">
        <f>配列!C490</f>
        <v>0</v>
      </c>
      <c r="D490" s="3" t="str">
        <f>IF(配列!E490="",RIGHT(配列!D490&amp;配列!E490,4)&amp;"L",RIGHT(配列!D490&amp;配列!E490,5))</f>
        <v>L</v>
      </c>
      <c r="E490" s="3">
        <f t="shared" si="28"/>
        <v>0</v>
      </c>
      <c r="F490" s="3" t="e">
        <f>_xlfn.XLOOKUP(E490,セットアップレポート_紐づけ用!A:A,セットアップレポート_紐づけ用!J:J)</f>
        <v>#N/A</v>
      </c>
      <c r="G490" s="3" t="e">
        <f>_xlfn.XLOOKUP(E490,セットアップレポート_紐づけ用!A:A,セットアップレポート_紐づけ用!V:V)</f>
        <v>#N/A</v>
      </c>
      <c r="H490" s="3">
        <f t="shared" si="31"/>
        <v>-2</v>
      </c>
      <c r="I490" t="str">
        <f>IF(J490=0,"",IF(配列!E490="",マクロ実行!$A$16 &amp;" T"&amp;H490&amp;"-"&amp;RIGHT(配列!D490&amp;配列!E490,2),マクロ実行!$A$16 &amp;" T"&amp;H490&amp;"-"&amp;RIGHT(配列!D490&amp;配列!E490,3)))</f>
        <v/>
      </c>
      <c r="J490">
        <f>配列!F490</f>
        <v>0</v>
      </c>
      <c r="K490" s="2" t="e">
        <f>_xlfn.XLOOKUP(E490,セットアップレポート_紐づけ用!A:A,セットアップレポート_紐づけ用!R:R)</f>
        <v>#N/A</v>
      </c>
      <c r="L490" t="e">
        <f t="shared" si="29"/>
        <v>#N/A</v>
      </c>
      <c r="M490" t="e">
        <f>_xlfn.XLOOKUP(L490,EGPro!A:A,EGPro!D:D)</f>
        <v>#N/A</v>
      </c>
      <c r="N490" t="e">
        <f>_xlfn.XLOOKUP(L490,EGPro!A:A,EGPro!C:C)</f>
        <v>#N/A</v>
      </c>
      <c r="O490" t="e">
        <f t="shared" si="30"/>
        <v>#N/A</v>
      </c>
      <c r="P490" t="e">
        <f>_xlfn.XLOOKUP(O490,EGPro!A:A,EGPro!D:D)</f>
        <v>#N/A</v>
      </c>
      <c r="Q490" t="e">
        <f>_xlfn.XLOOKUP(O490,EGPro!A:A,EGPro!C:C)</f>
        <v>#N/A</v>
      </c>
    </row>
    <row r="491" spans="1:17" x14ac:dyDescent="0.45">
      <c r="A491" s="3">
        <f>配列!B491</f>
        <v>0</v>
      </c>
      <c r="B491" s="3" t="e">
        <f>_xlfn.XLOOKUP(A491,対応表!A:A,対応表!B:B)</f>
        <v>#N/A</v>
      </c>
      <c r="C491" s="3">
        <f>配列!C491</f>
        <v>0</v>
      </c>
      <c r="D491" s="3" t="str">
        <f>IF(配列!E491="",RIGHT(配列!D491&amp;配列!E491,4)&amp;"L",RIGHT(配列!D491&amp;配列!E491,5))</f>
        <v>L</v>
      </c>
      <c r="E491" s="3">
        <f t="shared" si="28"/>
        <v>0</v>
      </c>
      <c r="F491" s="3" t="e">
        <f>_xlfn.XLOOKUP(E491,セットアップレポート_紐づけ用!A:A,セットアップレポート_紐づけ用!J:J)</f>
        <v>#N/A</v>
      </c>
      <c r="G491" s="3" t="e">
        <f>_xlfn.XLOOKUP(E491,セットアップレポート_紐づけ用!A:A,セットアップレポート_紐づけ用!V:V)</f>
        <v>#N/A</v>
      </c>
      <c r="H491" s="3">
        <f t="shared" si="31"/>
        <v>-2</v>
      </c>
      <c r="I491" t="str">
        <f>IF(J491=0,"",IF(配列!E491="",マクロ実行!$A$16 &amp;" T"&amp;H491&amp;"-"&amp;RIGHT(配列!D491&amp;配列!E491,2),マクロ実行!$A$16 &amp;" T"&amp;H491&amp;"-"&amp;RIGHT(配列!D491&amp;配列!E491,3)))</f>
        <v/>
      </c>
      <c r="J491">
        <f>配列!F491</f>
        <v>0</v>
      </c>
      <c r="K491" s="2" t="e">
        <f>_xlfn.XLOOKUP(E491,セットアップレポート_紐づけ用!A:A,セットアップレポート_紐づけ用!R:R)</f>
        <v>#N/A</v>
      </c>
      <c r="L491" t="e">
        <f t="shared" si="29"/>
        <v>#N/A</v>
      </c>
      <c r="M491" t="e">
        <f>_xlfn.XLOOKUP(L491,EGPro!A:A,EGPro!D:D)</f>
        <v>#N/A</v>
      </c>
      <c r="N491" t="e">
        <f>_xlfn.XLOOKUP(L491,EGPro!A:A,EGPro!C:C)</f>
        <v>#N/A</v>
      </c>
      <c r="O491" t="e">
        <f t="shared" si="30"/>
        <v>#N/A</v>
      </c>
      <c r="P491" t="e">
        <f>_xlfn.XLOOKUP(O491,EGPro!A:A,EGPro!D:D)</f>
        <v>#N/A</v>
      </c>
      <c r="Q491" t="e">
        <f>_xlfn.XLOOKUP(O491,EGPro!A:A,EGPro!C:C)</f>
        <v>#N/A</v>
      </c>
    </row>
    <row r="492" spans="1:17" x14ac:dyDescent="0.45">
      <c r="A492" s="3">
        <f>配列!B492</f>
        <v>0</v>
      </c>
      <c r="B492" s="3" t="e">
        <f>_xlfn.XLOOKUP(A492,対応表!A:A,対応表!B:B)</f>
        <v>#N/A</v>
      </c>
      <c r="C492" s="3">
        <f>配列!C492</f>
        <v>0</v>
      </c>
      <c r="D492" s="3" t="str">
        <f>IF(配列!E492="",RIGHT(配列!D492&amp;配列!E492,4)&amp;"L",RIGHT(配列!D492&amp;配列!E492,5))</f>
        <v>L</v>
      </c>
      <c r="E492" s="3">
        <f t="shared" si="28"/>
        <v>0</v>
      </c>
      <c r="F492" s="3" t="e">
        <f>_xlfn.XLOOKUP(E492,セットアップレポート_紐づけ用!A:A,セットアップレポート_紐づけ用!J:J)</f>
        <v>#N/A</v>
      </c>
      <c r="G492" s="3" t="e">
        <f>_xlfn.XLOOKUP(E492,セットアップレポート_紐づけ用!A:A,セットアップレポート_紐づけ用!V:V)</f>
        <v>#N/A</v>
      </c>
      <c r="H492" s="3">
        <f t="shared" si="31"/>
        <v>-2</v>
      </c>
      <c r="I492" t="str">
        <f>IF(J492=0,"",IF(配列!E492="",マクロ実行!$A$16 &amp;" T"&amp;H492&amp;"-"&amp;RIGHT(配列!D492&amp;配列!E492,2),マクロ実行!$A$16 &amp;" T"&amp;H492&amp;"-"&amp;RIGHT(配列!D492&amp;配列!E492,3)))</f>
        <v/>
      </c>
      <c r="J492">
        <f>配列!F492</f>
        <v>0</v>
      </c>
      <c r="K492" s="2" t="e">
        <f>_xlfn.XLOOKUP(E492,セットアップレポート_紐づけ用!A:A,セットアップレポート_紐づけ用!R:R)</f>
        <v>#N/A</v>
      </c>
      <c r="L492" t="e">
        <f t="shared" si="29"/>
        <v>#N/A</v>
      </c>
      <c r="M492" t="e">
        <f>_xlfn.XLOOKUP(L492,EGPro!A:A,EGPro!D:D)</f>
        <v>#N/A</v>
      </c>
      <c r="N492" t="e">
        <f>_xlfn.XLOOKUP(L492,EGPro!A:A,EGPro!C:C)</f>
        <v>#N/A</v>
      </c>
      <c r="O492" t="e">
        <f t="shared" si="30"/>
        <v>#N/A</v>
      </c>
      <c r="P492" t="e">
        <f>_xlfn.XLOOKUP(O492,EGPro!A:A,EGPro!D:D)</f>
        <v>#N/A</v>
      </c>
      <c r="Q492" t="e">
        <f>_xlfn.XLOOKUP(O492,EGPro!A:A,EGPro!C:C)</f>
        <v>#N/A</v>
      </c>
    </row>
    <row r="493" spans="1:17" x14ac:dyDescent="0.45">
      <c r="A493" s="3">
        <f>配列!B493</f>
        <v>0</v>
      </c>
      <c r="B493" s="3" t="e">
        <f>_xlfn.XLOOKUP(A493,対応表!A:A,対応表!B:B)</f>
        <v>#N/A</v>
      </c>
      <c r="C493" s="3">
        <f>配列!C493</f>
        <v>0</v>
      </c>
      <c r="D493" s="3" t="str">
        <f>IF(配列!E493="",RIGHT(配列!D493&amp;配列!E493,4)&amp;"L",RIGHT(配列!D493&amp;配列!E493,5))</f>
        <v>L</v>
      </c>
      <c r="E493" s="3">
        <f t="shared" si="28"/>
        <v>0</v>
      </c>
      <c r="F493" s="3" t="e">
        <f>_xlfn.XLOOKUP(E493,セットアップレポート_紐づけ用!A:A,セットアップレポート_紐づけ用!J:J)</f>
        <v>#N/A</v>
      </c>
      <c r="G493" s="3" t="e">
        <f>_xlfn.XLOOKUP(E493,セットアップレポート_紐づけ用!A:A,セットアップレポート_紐づけ用!V:V)</f>
        <v>#N/A</v>
      </c>
      <c r="H493" s="3">
        <f t="shared" si="31"/>
        <v>-2</v>
      </c>
      <c r="I493" t="str">
        <f>IF(J493=0,"",IF(配列!E493="",マクロ実行!$A$16 &amp;" T"&amp;H493&amp;"-"&amp;RIGHT(配列!D493&amp;配列!E493,2),マクロ実行!$A$16 &amp;" T"&amp;H493&amp;"-"&amp;RIGHT(配列!D493&amp;配列!E493,3)))</f>
        <v/>
      </c>
      <c r="J493">
        <f>配列!F493</f>
        <v>0</v>
      </c>
      <c r="K493" s="2" t="e">
        <f>_xlfn.XLOOKUP(E493,セットアップレポート_紐づけ用!A:A,セットアップレポート_紐づけ用!R:R)</f>
        <v>#N/A</v>
      </c>
      <c r="L493" t="e">
        <f t="shared" si="29"/>
        <v>#N/A</v>
      </c>
      <c r="M493" t="e">
        <f>_xlfn.XLOOKUP(L493,EGPro!A:A,EGPro!D:D)</f>
        <v>#N/A</v>
      </c>
      <c r="N493" t="e">
        <f>_xlfn.XLOOKUP(L493,EGPro!A:A,EGPro!C:C)</f>
        <v>#N/A</v>
      </c>
      <c r="O493" t="e">
        <f t="shared" si="30"/>
        <v>#N/A</v>
      </c>
      <c r="P493" t="e">
        <f>_xlfn.XLOOKUP(O493,EGPro!A:A,EGPro!D:D)</f>
        <v>#N/A</v>
      </c>
      <c r="Q493" t="e">
        <f>_xlfn.XLOOKUP(O493,EGPro!A:A,EGPro!C:C)</f>
        <v>#N/A</v>
      </c>
    </row>
    <row r="494" spans="1:17" x14ac:dyDescent="0.45">
      <c r="A494" s="3">
        <f>配列!B494</f>
        <v>0</v>
      </c>
      <c r="B494" s="3" t="e">
        <f>_xlfn.XLOOKUP(A494,対応表!A:A,対応表!B:B)</f>
        <v>#N/A</v>
      </c>
      <c r="C494" s="3">
        <f>配列!C494</f>
        <v>0</v>
      </c>
      <c r="D494" s="3" t="str">
        <f>IF(配列!E494="",RIGHT(配列!D494&amp;配列!E494,4)&amp;"L",RIGHT(配列!D494&amp;配列!E494,5))</f>
        <v>L</v>
      </c>
      <c r="E494" s="3">
        <f t="shared" si="28"/>
        <v>0</v>
      </c>
      <c r="F494" s="3" t="e">
        <f>_xlfn.XLOOKUP(E494,セットアップレポート_紐づけ用!A:A,セットアップレポート_紐づけ用!J:J)</f>
        <v>#N/A</v>
      </c>
      <c r="G494" s="3" t="e">
        <f>_xlfn.XLOOKUP(E494,セットアップレポート_紐づけ用!A:A,セットアップレポート_紐づけ用!V:V)</f>
        <v>#N/A</v>
      </c>
      <c r="H494" s="3">
        <f t="shared" si="31"/>
        <v>-2</v>
      </c>
      <c r="I494" t="str">
        <f>IF(J494=0,"",IF(配列!E494="",マクロ実行!$A$16 &amp;" T"&amp;H494&amp;"-"&amp;RIGHT(配列!D494&amp;配列!E494,2),マクロ実行!$A$16 &amp;" T"&amp;H494&amp;"-"&amp;RIGHT(配列!D494&amp;配列!E494,3)))</f>
        <v/>
      </c>
      <c r="J494">
        <f>配列!F494</f>
        <v>0</v>
      </c>
      <c r="K494" s="2" t="e">
        <f>_xlfn.XLOOKUP(E494,セットアップレポート_紐づけ用!A:A,セットアップレポート_紐づけ用!R:R)</f>
        <v>#N/A</v>
      </c>
      <c r="L494" t="e">
        <f t="shared" si="29"/>
        <v>#N/A</v>
      </c>
      <c r="M494" t="e">
        <f>_xlfn.XLOOKUP(L494,EGPro!A:A,EGPro!D:D)</f>
        <v>#N/A</v>
      </c>
      <c r="N494" t="e">
        <f>_xlfn.XLOOKUP(L494,EGPro!A:A,EGPro!C:C)</f>
        <v>#N/A</v>
      </c>
      <c r="O494" t="e">
        <f t="shared" si="30"/>
        <v>#N/A</v>
      </c>
      <c r="P494" t="e">
        <f>_xlfn.XLOOKUP(O494,EGPro!A:A,EGPro!D:D)</f>
        <v>#N/A</v>
      </c>
      <c r="Q494" t="e">
        <f>_xlfn.XLOOKUP(O494,EGPro!A:A,EGPro!C:C)</f>
        <v>#N/A</v>
      </c>
    </row>
    <row r="495" spans="1:17" x14ac:dyDescent="0.45">
      <c r="A495" s="3">
        <f>配列!B495</f>
        <v>0</v>
      </c>
      <c r="B495" s="3" t="e">
        <f>_xlfn.XLOOKUP(A495,対応表!A:A,対応表!B:B)</f>
        <v>#N/A</v>
      </c>
      <c r="C495" s="3">
        <f>配列!C495</f>
        <v>0</v>
      </c>
      <c r="D495" s="3" t="str">
        <f>IF(配列!E495="",RIGHT(配列!D495&amp;配列!E495,4)&amp;"L",RIGHT(配列!D495&amp;配列!E495,5))</f>
        <v>L</v>
      </c>
      <c r="E495" s="3">
        <f t="shared" si="28"/>
        <v>0</v>
      </c>
      <c r="F495" s="3" t="e">
        <f>_xlfn.XLOOKUP(E495,セットアップレポート_紐づけ用!A:A,セットアップレポート_紐づけ用!J:J)</f>
        <v>#N/A</v>
      </c>
      <c r="G495" s="3" t="e">
        <f>_xlfn.XLOOKUP(E495,セットアップレポート_紐づけ用!A:A,セットアップレポート_紐づけ用!V:V)</f>
        <v>#N/A</v>
      </c>
      <c r="H495" s="3">
        <f t="shared" si="31"/>
        <v>-2</v>
      </c>
      <c r="I495" t="str">
        <f>IF(J495=0,"",IF(配列!E495="",マクロ実行!$A$16 &amp;" T"&amp;H495&amp;"-"&amp;RIGHT(配列!D495&amp;配列!E495,2),マクロ実行!$A$16 &amp;" T"&amp;H495&amp;"-"&amp;RIGHT(配列!D495&amp;配列!E495,3)))</f>
        <v/>
      </c>
      <c r="J495">
        <f>配列!F495</f>
        <v>0</v>
      </c>
      <c r="K495" s="2" t="e">
        <f>_xlfn.XLOOKUP(E495,セットアップレポート_紐づけ用!A:A,セットアップレポート_紐づけ用!R:R)</f>
        <v>#N/A</v>
      </c>
      <c r="L495" t="e">
        <f t="shared" si="29"/>
        <v>#N/A</v>
      </c>
      <c r="M495" t="e">
        <f>_xlfn.XLOOKUP(L495,EGPro!A:A,EGPro!D:D)</f>
        <v>#N/A</v>
      </c>
      <c r="N495" t="e">
        <f>_xlfn.XLOOKUP(L495,EGPro!A:A,EGPro!C:C)</f>
        <v>#N/A</v>
      </c>
      <c r="O495" t="e">
        <f t="shared" si="30"/>
        <v>#N/A</v>
      </c>
      <c r="P495" t="e">
        <f>_xlfn.XLOOKUP(O495,EGPro!A:A,EGPro!D:D)</f>
        <v>#N/A</v>
      </c>
      <c r="Q495" t="e">
        <f>_xlfn.XLOOKUP(O495,EGPro!A:A,EGPro!C:C)</f>
        <v>#N/A</v>
      </c>
    </row>
    <row r="496" spans="1:17" x14ac:dyDescent="0.45">
      <c r="A496" s="3">
        <f>配列!B496</f>
        <v>0</v>
      </c>
      <c r="B496" s="3" t="e">
        <f>_xlfn.XLOOKUP(A496,対応表!A:A,対応表!B:B)</f>
        <v>#N/A</v>
      </c>
      <c r="C496" s="3">
        <f>配列!C496</f>
        <v>0</v>
      </c>
      <c r="D496" s="3" t="str">
        <f>IF(配列!E496="",RIGHT(配列!D496&amp;配列!E496,4)&amp;"L",RIGHT(配列!D496&amp;配列!E496,5))</f>
        <v>L</v>
      </c>
      <c r="E496" s="3">
        <f t="shared" si="28"/>
        <v>0</v>
      </c>
      <c r="F496" s="3" t="e">
        <f>_xlfn.XLOOKUP(E496,セットアップレポート_紐づけ用!A:A,セットアップレポート_紐づけ用!J:J)</f>
        <v>#N/A</v>
      </c>
      <c r="G496" s="3" t="e">
        <f>_xlfn.XLOOKUP(E496,セットアップレポート_紐づけ用!A:A,セットアップレポート_紐づけ用!V:V)</f>
        <v>#N/A</v>
      </c>
      <c r="H496" s="3">
        <f t="shared" si="31"/>
        <v>-2</v>
      </c>
      <c r="I496" t="str">
        <f>IF(J496=0,"",IF(配列!E496="",マクロ実行!$A$16 &amp;" T"&amp;H496&amp;"-"&amp;RIGHT(配列!D496&amp;配列!E496,2),マクロ実行!$A$16 &amp;" T"&amp;H496&amp;"-"&amp;RIGHT(配列!D496&amp;配列!E496,3)))</f>
        <v/>
      </c>
      <c r="J496">
        <f>配列!F496</f>
        <v>0</v>
      </c>
      <c r="K496" s="2" t="e">
        <f>_xlfn.XLOOKUP(E496,セットアップレポート_紐づけ用!A:A,セットアップレポート_紐づけ用!R:R)</f>
        <v>#N/A</v>
      </c>
      <c r="L496" t="e">
        <f t="shared" si="29"/>
        <v>#N/A</v>
      </c>
      <c r="M496" t="e">
        <f>_xlfn.XLOOKUP(L496,EGPro!A:A,EGPro!D:D)</f>
        <v>#N/A</v>
      </c>
      <c r="N496" t="e">
        <f>_xlfn.XLOOKUP(L496,EGPro!A:A,EGPro!C:C)</f>
        <v>#N/A</v>
      </c>
      <c r="O496" t="e">
        <f t="shared" si="30"/>
        <v>#N/A</v>
      </c>
      <c r="P496" t="e">
        <f>_xlfn.XLOOKUP(O496,EGPro!A:A,EGPro!D:D)</f>
        <v>#N/A</v>
      </c>
      <c r="Q496" t="e">
        <f>_xlfn.XLOOKUP(O496,EGPro!A:A,EGPro!C:C)</f>
        <v>#N/A</v>
      </c>
    </row>
    <row r="497" spans="1:17" x14ac:dyDescent="0.45">
      <c r="A497" s="3">
        <f>配列!B497</f>
        <v>0</v>
      </c>
      <c r="B497" s="3" t="e">
        <f>_xlfn.XLOOKUP(A497,対応表!A:A,対応表!B:B)</f>
        <v>#N/A</v>
      </c>
      <c r="C497" s="3">
        <f>配列!C497</f>
        <v>0</v>
      </c>
      <c r="D497" s="3" t="str">
        <f>IF(配列!E497="",RIGHT(配列!D497&amp;配列!E497,4)&amp;"L",RIGHT(配列!D497&amp;配列!E497,5))</f>
        <v>L</v>
      </c>
      <c r="E497" s="3">
        <f t="shared" si="28"/>
        <v>0</v>
      </c>
      <c r="F497" s="3" t="e">
        <f>_xlfn.XLOOKUP(E497,セットアップレポート_紐づけ用!A:A,セットアップレポート_紐づけ用!J:J)</f>
        <v>#N/A</v>
      </c>
      <c r="G497" s="3" t="e">
        <f>_xlfn.XLOOKUP(E497,セットアップレポート_紐づけ用!A:A,セットアップレポート_紐づけ用!V:V)</f>
        <v>#N/A</v>
      </c>
      <c r="H497" s="3">
        <f t="shared" si="31"/>
        <v>-2</v>
      </c>
      <c r="I497" t="str">
        <f>IF(J497=0,"",IF(配列!E497="",マクロ実行!$A$16 &amp;" T"&amp;H497&amp;"-"&amp;RIGHT(配列!D497&amp;配列!E497,2),マクロ実行!$A$16 &amp;" T"&amp;H497&amp;"-"&amp;RIGHT(配列!D497&amp;配列!E497,3)))</f>
        <v/>
      </c>
      <c r="J497">
        <f>配列!F497</f>
        <v>0</v>
      </c>
      <c r="K497" s="2" t="e">
        <f>_xlfn.XLOOKUP(E497,セットアップレポート_紐づけ用!A:A,セットアップレポート_紐づけ用!R:R)</f>
        <v>#N/A</v>
      </c>
      <c r="L497" t="e">
        <f t="shared" si="29"/>
        <v>#N/A</v>
      </c>
      <c r="M497" t="e">
        <f>_xlfn.XLOOKUP(L497,EGPro!A:A,EGPro!D:D)</f>
        <v>#N/A</v>
      </c>
      <c r="N497" t="e">
        <f>_xlfn.XLOOKUP(L497,EGPro!A:A,EGPro!C:C)</f>
        <v>#N/A</v>
      </c>
      <c r="O497" t="e">
        <f t="shared" si="30"/>
        <v>#N/A</v>
      </c>
      <c r="P497" t="e">
        <f>_xlfn.XLOOKUP(O497,EGPro!A:A,EGPro!D:D)</f>
        <v>#N/A</v>
      </c>
      <c r="Q497" t="e">
        <f>_xlfn.XLOOKUP(O497,EGPro!A:A,EGPro!C:C)</f>
        <v>#N/A</v>
      </c>
    </row>
    <row r="498" spans="1:17" x14ac:dyDescent="0.45">
      <c r="A498" s="3">
        <f>配列!B498</f>
        <v>0</v>
      </c>
      <c r="B498" s="3" t="e">
        <f>_xlfn.XLOOKUP(A498,対応表!A:A,対応表!B:B)</f>
        <v>#N/A</v>
      </c>
      <c r="C498" s="3">
        <f>配列!C498</f>
        <v>0</v>
      </c>
      <c r="D498" s="3" t="str">
        <f>IF(配列!E498="",RIGHT(配列!D498&amp;配列!E498,4)&amp;"L",RIGHT(配列!D498&amp;配列!E498,5))</f>
        <v>L</v>
      </c>
      <c r="E498" s="3">
        <f t="shared" si="28"/>
        <v>0</v>
      </c>
      <c r="F498" s="3" t="e">
        <f>_xlfn.XLOOKUP(E498,セットアップレポート_紐づけ用!A:A,セットアップレポート_紐づけ用!J:J)</f>
        <v>#N/A</v>
      </c>
      <c r="G498" s="3" t="e">
        <f>_xlfn.XLOOKUP(E498,セットアップレポート_紐づけ用!A:A,セットアップレポート_紐づけ用!V:V)</f>
        <v>#N/A</v>
      </c>
      <c r="H498" s="3">
        <f t="shared" si="31"/>
        <v>-2</v>
      </c>
      <c r="I498" t="str">
        <f>IF(J498=0,"",IF(配列!E498="",マクロ実行!$A$16 &amp;" T"&amp;H498&amp;"-"&amp;RIGHT(配列!D498&amp;配列!E498,2),マクロ実行!$A$16 &amp;" T"&amp;H498&amp;"-"&amp;RIGHT(配列!D498&amp;配列!E498,3)))</f>
        <v/>
      </c>
      <c r="J498">
        <f>配列!F498</f>
        <v>0</v>
      </c>
      <c r="K498" s="2" t="e">
        <f>_xlfn.XLOOKUP(E498,セットアップレポート_紐づけ用!A:A,セットアップレポート_紐づけ用!R:R)</f>
        <v>#N/A</v>
      </c>
      <c r="L498" t="e">
        <f t="shared" si="29"/>
        <v>#N/A</v>
      </c>
      <c r="M498" t="e">
        <f>_xlfn.XLOOKUP(L498,EGPro!A:A,EGPro!D:D)</f>
        <v>#N/A</v>
      </c>
      <c r="N498" t="e">
        <f>_xlfn.XLOOKUP(L498,EGPro!A:A,EGPro!C:C)</f>
        <v>#N/A</v>
      </c>
      <c r="O498" t="e">
        <f t="shared" si="30"/>
        <v>#N/A</v>
      </c>
      <c r="P498" t="e">
        <f>_xlfn.XLOOKUP(O498,EGPro!A:A,EGPro!D:D)</f>
        <v>#N/A</v>
      </c>
      <c r="Q498" t="e">
        <f>_xlfn.XLOOKUP(O498,EGPro!A:A,EGPro!C:C)</f>
        <v>#N/A</v>
      </c>
    </row>
    <row r="499" spans="1:17" x14ac:dyDescent="0.45">
      <c r="A499" s="3">
        <f>配列!B499</f>
        <v>0</v>
      </c>
      <c r="B499" s="3" t="e">
        <f>_xlfn.XLOOKUP(A499,対応表!A:A,対応表!B:B)</f>
        <v>#N/A</v>
      </c>
      <c r="C499" s="3">
        <f>配列!C499</f>
        <v>0</v>
      </c>
      <c r="D499" s="3" t="str">
        <f>IF(配列!E499="",RIGHT(配列!D499&amp;配列!E499,4)&amp;"L",RIGHT(配列!D499&amp;配列!E499,5))</f>
        <v>L</v>
      </c>
      <c r="E499" s="3">
        <f t="shared" si="28"/>
        <v>0</v>
      </c>
      <c r="F499" s="3" t="e">
        <f>_xlfn.XLOOKUP(E499,セットアップレポート_紐づけ用!A:A,セットアップレポート_紐づけ用!J:J)</f>
        <v>#N/A</v>
      </c>
      <c r="G499" s="3" t="e">
        <f>_xlfn.XLOOKUP(E499,セットアップレポート_紐づけ用!A:A,セットアップレポート_紐づけ用!V:V)</f>
        <v>#N/A</v>
      </c>
      <c r="H499" s="3">
        <f t="shared" si="31"/>
        <v>-2</v>
      </c>
      <c r="I499" t="str">
        <f>IF(J499=0,"",IF(配列!E499="",マクロ実行!$A$16 &amp;" T"&amp;H499&amp;"-"&amp;RIGHT(配列!D499&amp;配列!E499,2),マクロ実行!$A$16 &amp;" T"&amp;H499&amp;"-"&amp;RIGHT(配列!D499&amp;配列!E499,3)))</f>
        <v/>
      </c>
      <c r="J499">
        <f>配列!F499</f>
        <v>0</v>
      </c>
      <c r="K499" s="2" t="e">
        <f>_xlfn.XLOOKUP(E499,セットアップレポート_紐づけ用!A:A,セットアップレポート_紐づけ用!R:R)</f>
        <v>#N/A</v>
      </c>
      <c r="L499" t="e">
        <f t="shared" si="29"/>
        <v>#N/A</v>
      </c>
      <c r="M499" t="e">
        <f>_xlfn.XLOOKUP(L499,EGPro!A:A,EGPro!D:D)</f>
        <v>#N/A</v>
      </c>
      <c r="N499" t="e">
        <f>_xlfn.XLOOKUP(L499,EGPro!A:A,EGPro!C:C)</f>
        <v>#N/A</v>
      </c>
      <c r="O499" t="e">
        <f t="shared" si="30"/>
        <v>#N/A</v>
      </c>
      <c r="P499" t="e">
        <f>_xlfn.XLOOKUP(O499,EGPro!A:A,EGPro!D:D)</f>
        <v>#N/A</v>
      </c>
      <c r="Q499" t="e">
        <f>_xlfn.XLOOKUP(O499,EGPro!A:A,EGPro!C:C)</f>
        <v>#N/A</v>
      </c>
    </row>
    <row r="500" spans="1:17" x14ac:dyDescent="0.45">
      <c r="A500" s="3">
        <f>配列!B500</f>
        <v>0</v>
      </c>
      <c r="B500" s="3" t="e">
        <f>_xlfn.XLOOKUP(A500,対応表!A:A,対応表!B:B)</f>
        <v>#N/A</v>
      </c>
      <c r="C500" s="3">
        <f>配列!C500</f>
        <v>0</v>
      </c>
      <c r="D500" s="3" t="str">
        <f>IF(配列!E500="",RIGHT(配列!D500&amp;配列!E500,4)&amp;"L",RIGHT(配列!D500&amp;配列!E500,5))</f>
        <v>L</v>
      </c>
      <c r="E500" s="3">
        <f t="shared" si="28"/>
        <v>0</v>
      </c>
      <c r="F500" s="3" t="e">
        <f>_xlfn.XLOOKUP(E500,セットアップレポート_紐づけ用!A:A,セットアップレポート_紐づけ用!J:J)</f>
        <v>#N/A</v>
      </c>
      <c r="G500" s="3" t="e">
        <f>_xlfn.XLOOKUP(E500,セットアップレポート_紐づけ用!A:A,セットアップレポート_紐づけ用!V:V)</f>
        <v>#N/A</v>
      </c>
      <c r="H500" s="3">
        <f t="shared" si="31"/>
        <v>-2</v>
      </c>
      <c r="I500" t="str">
        <f>IF(J500=0,"",IF(配列!E500="",マクロ実行!$A$16 &amp;" T"&amp;H500&amp;"-"&amp;RIGHT(配列!D500&amp;配列!E500,2),マクロ実行!$A$16 &amp;" T"&amp;H500&amp;"-"&amp;RIGHT(配列!D500&amp;配列!E500,3)))</f>
        <v/>
      </c>
      <c r="J500">
        <f>配列!F500</f>
        <v>0</v>
      </c>
      <c r="K500" s="2" t="e">
        <f>_xlfn.XLOOKUP(E500,セットアップレポート_紐づけ用!A:A,セットアップレポート_紐づけ用!R:R)</f>
        <v>#N/A</v>
      </c>
      <c r="L500" t="e">
        <f t="shared" si="29"/>
        <v>#N/A</v>
      </c>
      <c r="M500" t="e">
        <f>_xlfn.XLOOKUP(L500,EGPro!A:A,EGPro!D:D)</f>
        <v>#N/A</v>
      </c>
      <c r="N500" t="e">
        <f>_xlfn.XLOOKUP(L500,EGPro!A:A,EGPro!C:C)</f>
        <v>#N/A</v>
      </c>
      <c r="O500" t="e">
        <f t="shared" si="30"/>
        <v>#N/A</v>
      </c>
      <c r="P500" t="e">
        <f>_xlfn.XLOOKUP(O500,EGPro!A:A,EGPro!D:D)</f>
        <v>#N/A</v>
      </c>
      <c r="Q500" t="e">
        <f>_xlfn.XLOOKUP(O500,EGPro!A:A,EGPro!C:C)</f>
        <v>#N/A</v>
      </c>
    </row>
    <row r="501" spans="1:17" x14ac:dyDescent="0.45">
      <c r="A501" s="3">
        <f>配列!B501</f>
        <v>0</v>
      </c>
      <c r="B501" s="3" t="e">
        <f>_xlfn.XLOOKUP(A501,対応表!A:A,対応表!B:B)</f>
        <v>#N/A</v>
      </c>
      <c r="C501" s="3">
        <f>配列!C501</f>
        <v>0</v>
      </c>
      <c r="D501" s="3" t="str">
        <f>IF(配列!E501="",RIGHT(配列!D501&amp;配列!E501,4)&amp;"L",RIGHT(配列!D501&amp;配列!E501,5))</f>
        <v>L</v>
      </c>
      <c r="E501" s="3">
        <f t="shared" si="28"/>
        <v>0</v>
      </c>
      <c r="F501" s="3" t="e">
        <f>_xlfn.XLOOKUP(E501,セットアップレポート_紐づけ用!A:A,セットアップレポート_紐づけ用!J:J)</f>
        <v>#N/A</v>
      </c>
      <c r="G501" s="3" t="e">
        <f>_xlfn.XLOOKUP(E501,セットアップレポート_紐づけ用!A:A,セットアップレポート_紐づけ用!V:V)</f>
        <v>#N/A</v>
      </c>
      <c r="H501" s="3">
        <f t="shared" si="31"/>
        <v>-2</v>
      </c>
      <c r="I501" t="str">
        <f>IF(J501=0,"",IF(配列!E501="",マクロ実行!$A$16 &amp;" T"&amp;H501&amp;"-"&amp;RIGHT(配列!D501&amp;配列!E501,2),マクロ実行!$A$16 &amp;" T"&amp;H501&amp;"-"&amp;RIGHT(配列!D501&amp;配列!E501,3)))</f>
        <v/>
      </c>
      <c r="J501">
        <f>配列!F501</f>
        <v>0</v>
      </c>
      <c r="K501" s="2" t="e">
        <f>_xlfn.XLOOKUP(E501,セットアップレポート_紐づけ用!A:A,セットアップレポート_紐づけ用!R:R)</f>
        <v>#N/A</v>
      </c>
      <c r="L501" t="e">
        <f t="shared" si="29"/>
        <v>#N/A</v>
      </c>
      <c r="M501" t="e">
        <f>_xlfn.XLOOKUP(L501,EGPro!A:A,EGPro!D:D)</f>
        <v>#N/A</v>
      </c>
      <c r="N501" t="e">
        <f>_xlfn.XLOOKUP(L501,EGPro!A:A,EGPro!C:C)</f>
        <v>#N/A</v>
      </c>
      <c r="O501" t="e">
        <f t="shared" si="30"/>
        <v>#N/A</v>
      </c>
      <c r="P501" t="e">
        <f>_xlfn.XLOOKUP(O501,EGPro!A:A,EGPro!D:D)</f>
        <v>#N/A</v>
      </c>
      <c r="Q501" t="e">
        <f>_xlfn.XLOOKUP(O501,EGPro!A:A,EGPro!C:C)</f>
        <v>#N/A</v>
      </c>
    </row>
    <row r="502" spans="1:17" x14ac:dyDescent="0.45">
      <c r="A502" s="3">
        <f>配列!B502</f>
        <v>0</v>
      </c>
      <c r="B502" s="3" t="e">
        <f>_xlfn.XLOOKUP(A502,対応表!A:A,対応表!B:B)</f>
        <v>#N/A</v>
      </c>
      <c r="C502" s="3">
        <f>配列!C502</f>
        <v>0</v>
      </c>
      <c r="D502" s="3" t="str">
        <f>IF(配列!E502="",RIGHT(配列!D502&amp;配列!E502,4)&amp;"L",RIGHT(配列!D502&amp;配列!E502,5))</f>
        <v>L</v>
      </c>
      <c r="E502" s="3">
        <f t="shared" si="28"/>
        <v>0</v>
      </c>
      <c r="F502" s="3" t="e">
        <f>_xlfn.XLOOKUP(E502,セットアップレポート_紐づけ用!A:A,セットアップレポート_紐づけ用!J:J)</f>
        <v>#N/A</v>
      </c>
      <c r="G502" s="3" t="e">
        <f>_xlfn.XLOOKUP(E502,セットアップレポート_紐づけ用!A:A,セットアップレポート_紐づけ用!V:V)</f>
        <v>#N/A</v>
      </c>
      <c r="H502" s="3">
        <f t="shared" si="31"/>
        <v>-2</v>
      </c>
      <c r="I502" t="str">
        <f>IF(J502=0,"",IF(配列!E502="",マクロ実行!$A$16 &amp;" T"&amp;H502&amp;"-"&amp;RIGHT(配列!D502&amp;配列!E502,2),マクロ実行!$A$16 &amp;" T"&amp;H502&amp;"-"&amp;RIGHT(配列!D502&amp;配列!E502,3)))</f>
        <v/>
      </c>
      <c r="J502">
        <f>配列!F502</f>
        <v>0</v>
      </c>
      <c r="K502" s="2" t="e">
        <f>_xlfn.XLOOKUP(E502,セットアップレポート_紐づけ用!A:A,セットアップレポート_紐づけ用!R:R)</f>
        <v>#N/A</v>
      </c>
      <c r="L502" t="e">
        <f t="shared" si="29"/>
        <v>#N/A</v>
      </c>
      <c r="M502" t="e">
        <f>_xlfn.XLOOKUP(L502,EGPro!A:A,EGPro!D:D)</f>
        <v>#N/A</v>
      </c>
      <c r="N502" t="e">
        <f>_xlfn.XLOOKUP(L502,EGPro!A:A,EGPro!C:C)</f>
        <v>#N/A</v>
      </c>
      <c r="O502" t="e">
        <f t="shared" si="30"/>
        <v>#N/A</v>
      </c>
      <c r="P502" t="e">
        <f>_xlfn.XLOOKUP(O502,EGPro!A:A,EGPro!D:D)</f>
        <v>#N/A</v>
      </c>
      <c r="Q502" t="e">
        <f>_xlfn.XLOOKUP(O502,EGPro!A:A,EGPro!C:C)</f>
        <v>#N/A</v>
      </c>
    </row>
    <row r="503" spans="1:17" x14ac:dyDescent="0.45">
      <c r="A503" s="3">
        <f>配列!B503</f>
        <v>0</v>
      </c>
      <c r="B503" s="3" t="e">
        <f>_xlfn.XLOOKUP(A503,対応表!A:A,対応表!B:B)</f>
        <v>#N/A</v>
      </c>
      <c r="C503" s="3">
        <f>配列!C503</f>
        <v>0</v>
      </c>
      <c r="D503" s="3" t="str">
        <f>IF(配列!E503="",RIGHT(配列!D503&amp;配列!E503,4)&amp;"L",RIGHT(配列!D503&amp;配列!E503,5))</f>
        <v>L</v>
      </c>
      <c r="E503" s="3">
        <f t="shared" si="28"/>
        <v>0</v>
      </c>
      <c r="F503" s="3" t="e">
        <f>_xlfn.XLOOKUP(E503,セットアップレポート_紐づけ用!A:A,セットアップレポート_紐づけ用!J:J)</f>
        <v>#N/A</v>
      </c>
      <c r="G503" s="3" t="e">
        <f>_xlfn.XLOOKUP(E503,セットアップレポート_紐づけ用!A:A,セットアップレポート_紐づけ用!V:V)</f>
        <v>#N/A</v>
      </c>
      <c r="H503" s="3">
        <f t="shared" si="31"/>
        <v>-2</v>
      </c>
      <c r="I503" t="str">
        <f>IF(J503=0,"",IF(配列!E503="",マクロ実行!$A$16 &amp;" T"&amp;H503&amp;"-"&amp;RIGHT(配列!D503&amp;配列!E503,2),マクロ実行!$A$16 &amp;" T"&amp;H503&amp;"-"&amp;RIGHT(配列!D503&amp;配列!E503,3)))</f>
        <v/>
      </c>
      <c r="J503">
        <f>配列!F503</f>
        <v>0</v>
      </c>
      <c r="K503" s="2" t="e">
        <f>_xlfn.XLOOKUP(E503,セットアップレポート_紐づけ用!A:A,セットアップレポート_紐づけ用!R:R)</f>
        <v>#N/A</v>
      </c>
      <c r="L503" t="e">
        <f t="shared" si="29"/>
        <v>#N/A</v>
      </c>
      <c r="M503" t="e">
        <f>_xlfn.XLOOKUP(L503,EGPro!A:A,EGPro!D:D)</f>
        <v>#N/A</v>
      </c>
      <c r="N503" t="e">
        <f>_xlfn.XLOOKUP(L503,EGPro!A:A,EGPro!C:C)</f>
        <v>#N/A</v>
      </c>
      <c r="O503" t="e">
        <f t="shared" si="30"/>
        <v>#N/A</v>
      </c>
      <c r="P503" t="e">
        <f>_xlfn.XLOOKUP(O503,EGPro!A:A,EGPro!D:D)</f>
        <v>#N/A</v>
      </c>
      <c r="Q503" t="e">
        <f>_xlfn.XLOOKUP(O503,EGPro!A:A,EGPro!C:C)</f>
        <v>#N/A</v>
      </c>
    </row>
    <row r="504" spans="1:17" x14ac:dyDescent="0.45">
      <c r="A504" s="3">
        <f>配列!B504</f>
        <v>0</v>
      </c>
      <c r="B504" s="3" t="e">
        <f>_xlfn.XLOOKUP(A504,対応表!A:A,対応表!B:B)</f>
        <v>#N/A</v>
      </c>
      <c r="C504" s="3">
        <f>配列!C504</f>
        <v>0</v>
      </c>
      <c r="D504" s="3" t="str">
        <f>IF(配列!E504="",RIGHT(配列!D504&amp;配列!E504,4)&amp;"L",RIGHT(配列!D504&amp;配列!E504,5))</f>
        <v>L</v>
      </c>
      <c r="E504" s="3">
        <f t="shared" si="28"/>
        <v>0</v>
      </c>
      <c r="F504" s="3" t="e">
        <f>_xlfn.XLOOKUP(E504,セットアップレポート_紐づけ用!A:A,セットアップレポート_紐づけ用!J:J)</f>
        <v>#N/A</v>
      </c>
      <c r="G504" s="3" t="e">
        <f>_xlfn.XLOOKUP(E504,セットアップレポート_紐づけ用!A:A,セットアップレポート_紐づけ用!V:V)</f>
        <v>#N/A</v>
      </c>
      <c r="H504" s="3">
        <f t="shared" si="31"/>
        <v>-2</v>
      </c>
      <c r="I504" t="str">
        <f>IF(J504=0,"",IF(配列!E504="",マクロ実行!$A$16 &amp;" T"&amp;H504&amp;"-"&amp;RIGHT(配列!D504&amp;配列!E504,2),マクロ実行!$A$16 &amp;" T"&amp;H504&amp;"-"&amp;RIGHT(配列!D504&amp;配列!E504,3)))</f>
        <v/>
      </c>
      <c r="J504">
        <f>配列!F504</f>
        <v>0</v>
      </c>
      <c r="K504" s="2" t="e">
        <f>_xlfn.XLOOKUP(E504,セットアップレポート_紐づけ用!A:A,セットアップレポート_紐づけ用!R:R)</f>
        <v>#N/A</v>
      </c>
      <c r="L504" t="e">
        <f t="shared" si="29"/>
        <v>#N/A</v>
      </c>
      <c r="M504" t="e">
        <f>_xlfn.XLOOKUP(L504,EGPro!A:A,EGPro!D:D)</f>
        <v>#N/A</v>
      </c>
      <c r="N504" t="e">
        <f>_xlfn.XLOOKUP(L504,EGPro!A:A,EGPro!C:C)</f>
        <v>#N/A</v>
      </c>
      <c r="O504" t="e">
        <f t="shared" si="30"/>
        <v>#N/A</v>
      </c>
      <c r="P504" t="e">
        <f>_xlfn.XLOOKUP(O504,EGPro!A:A,EGPro!D:D)</f>
        <v>#N/A</v>
      </c>
      <c r="Q504" t="e">
        <f>_xlfn.XLOOKUP(O504,EGPro!A:A,EGPro!C:C)</f>
        <v>#N/A</v>
      </c>
    </row>
    <row r="505" spans="1:17" x14ac:dyDescent="0.45">
      <c r="A505" s="3">
        <f>配列!B505</f>
        <v>0</v>
      </c>
      <c r="B505" s="3" t="e">
        <f>_xlfn.XLOOKUP(A505,対応表!A:A,対応表!B:B)</f>
        <v>#N/A</v>
      </c>
      <c r="C505" s="3">
        <f>配列!C505</f>
        <v>0</v>
      </c>
      <c r="D505" s="3" t="str">
        <f>IF(配列!E505="",RIGHT(配列!D505&amp;配列!E505,4)&amp;"L",RIGHT(配列!D505&amp;配列!E505,5))</f>
        <v>L</v>
      </c>
      <c r="E505" s="3">
        <f t="shared" si="28"/>
        <v>0</v>
      </c>
      <c r="F505" s="3" t="e">
        <f>_xlfn.XLOOKUP(E505,セットアップレポート_紐づけ用!A:A,セットアップレポート_紐づけ用!J:J)</f>
        <v>#N/A</v>
      </c>
      <c r="G505" s="3" t="e">
        <f>_xlfn.XLOOKUP(E505,セットアップレポート_紐づけ用!A:A,セットアップレポート_紐づけ用!V:V)</f>
        <v>#N/A</v>
      </c>
      <c r="H505" s="3">
        <f t="shared" si="31"/>
        <v>-2</v>
      </c>
      <c r="I505" t="str">
        <f>IF(J505=0,"",IF(配列!E505="",マクロ実行!$A$16 &amp;" T"&amp;H505&amp;"-"&amp;RIGHT(配列!D505&amp;配列!E505,2),マクロ実行!$A$16 &amp;" T"&amp;H505&amp;"-"&amp;RIGHT(配列!D505&amp;配列!E505,3)))</f>
        <v/>
      </c>
      <c r="J505">
        <f>配列!F505</f>
        <v>0</v>
      </c>
      <c r="K505" s="2" t="e">
        <f>_xlfn.XLOOKUP(E505,セットアップレポート_紐づけ用!A:A,セットアップレポート_紐づけ用!R:R)</f>
        <v>#N/A</v>
      </c>
      <c r="L505" t="e">
        <f t="shared" si="29"/>
        <v>#N/A</v>
      </c>
      <c r="M505" t="e">
        <f>_xlfn.XLOOKUP(L505,EGPro!A:A,EGPro!D:D)</f>
        <v>#N/A</v>
      </c>
      <c r="N505" t="e">
        <f>_xlfn.XLOOKUP(L505,EGPro!A:A,EGPro!C:C)</f>
        <v>#N/A</v>
      </c>
      <c r="O505" t="e">
        <f t="shared" si="30"/>
        <v>#N/A</v>
      </c>
      <c r="P505" t="e">
        <f>_xlfn.XLOOKUP(O505,EGPro!A:A,EGPro!D:D)</f>
        <v>#N/A</v>
      </c>
      <c r="Q505" t="e">
        <f>_xlfn.XLOOKUP(O505,EGPro!A:A,EGPro!C:C)</f>
        <v>#N/A</v>
      </c>
    </row>
    <row r="506" spans="1:17" x14ac:dyDescent="0.45">
      <c r="A506" s="3">
        <f>配列!B506</f>
        <v>0</v>
      </c>
      <c r="B506" s="3" t="e">
        <f>_xlfn.XLOOKUP(A506,対応表!A:A,対応表!B:B)</f>
        <v>#N/A</v>
      </c>
      <c r="C506" s="3">
        <f>配列!C506</f>
        <v>0</v>
      </c>
      <c r="D506" s="3" t="str">
        <f>IF(配列!E506="",RIGHT(配列!D506&amp;配列!E506,4)&amp;"L",RIGHT(配列!D506&amp;配列!E506,5))</f>
        <v>L</v>
      </c>
      <c r="E506" s="3">
        <f t="shared" si="28"/>
        <v>0</v>
      </c>
      <c r="F506" s="3" t="e">
        <f>_xlfn.XLOOKUP(E506,セットアップレポート_紐づけ用!A:A,セットアップレポート_紐づけ用!J:J)</f>
        <v>#N/A</v>
      </c>
      <c r="G506" s="3" t="e">
        <f>_xlfn.XLOOKUP(E506,セットアップレポート_紐づけ用!A:A,セットアップレポート_紐づけ用!V:V)</f>
        <v>#N/A</v>
      </c>
      <c r="H506" s="3">
        <f t="shared" si="31"/>
        <v>-2</v>
      </c>
      <c r="I506" t="str">
        <f>IF(J506=0,"",IF(配列!E506="",マクロ実行!$A$16 &amp;" T"&amp;H506&amp;"-"&amp;RIGHT(配列!D506&amp;配列!E506,2),マクロ実行!$A$16 &amp;" T"&amp;H506&amp;"-"&amp;RIGHT(配列!D506&amp;配列!E506,3)))</f>
        <v/>
      </c>
      <c r="J506">
        <f>配列!F506</f>
        <v>0</v>
      </c>
      <c r="K506" s="2" t="e">
        <f>_xlfn.XLOOKUP(E506,セットアップレポート_紐づけ用!A:A,セットアップレポート_紐づけ用!R:R)</f>
        <v>#N/A</v>
      </c>
      <c r="L506" t="e">
        <f t="shared" si="29"/>
        <v>#N/A</v>
      </c>
      <c r="M506" t="e">
        <f>_xlfn.XLOOKUP(L506,EGPro!A:A,EGPro!D:D)</f>
        <v>#N/A</v>
      </c>
      <c r="N506" t="e">
        <f>_xlfn.XLOOKUP(L506,EGPro!A:A,EGPro!C:C)</f>
        <v>#N/A</v>
      </c>
      <c r="O506" t="e">
        <f t="shared" si="30"/>
        <v>#N/A</v>
      </c>
      <c r="P506" t="e">
        <f>_xlfn.XLOOKUP(O506,EGPro!A:A,EGPro!D:D)</f>
        <v>#N/A</v>
      </c>
      <c r="Q506" t="e">
        <f>_xlfn.XLOOKUP(O506,EGPro!A:A,EGPro!C:C)</f>
        <v>#N/A</v>
      </c>
    </row>
    <row r="507" spans="1:17" x14ac:dyDescent="0.45">
      <c r="A507" s="3">
        <f>配列!B507</f>
        <v>0</v>
      </c>
      <c r="B507" s="3" t="e">
        <f>_xlfn.XLOOKUP(A507,対応表!A:A,対応表!B:B)</f>
        <v>#N/A</v>
      </c>
      <c r="C507" s="3">
        <f>配列!C507</f>
        <v>0</v>
      </c>
      <c r="D507" s="3" t="str">
        <f>IF(配列!E507="",RIGHT(配列!D507&amp;配列!E507,4)&amp;"L",RIGHT(配列!D507&amp;配列!E507,5))</f>
        <v>L</v>
      </c>
      <c r="E507" s="3">
        <f t="shared" si="28"/>
        <v>0</v>
      </c>
      <c r="F507" s="3" t="e">
        <f>_xlfn.XLOOKUP(E507,セットアップレポート_紐づけ用!A:A,セットアップレポート_紐づけ用!J:J)</f>
        <v>#N/A</v>
      </c>
      <c r="G507" s="3" t="e">
        <f>_xlfn.XLOOKUP(E507,セットアップレポート_紐づけ用!A:A,セットアップレポート_紐づけ用!V:V)</f>
        <v>#N/A</v>
      </c>
      <c r="H507" s="3">
        <f t="shared" si="31"/>
        <v>-2</v>
      </c>
      <c r="I507" t="str">
        <f>IF(J507=0,"",IF(配列!E507="",マクロ実行!$A$16 &amp;" T"&amp;H507&amp;"-"&amp;RIGHT(配列!D507&amp;配列!E507,2),マクロ実行!$A$16 &amp;" T"&amp;H507&amp;"-"&amp;RIGHT(配列!D507&amp;配列!E507,3)))</f>
        <v/>
      </c>
      <c r="J507">
        <f>配列!F507</f>
        <v>0</v>
      </c>
      <c r="K507" s="2" t="e">
        <f>_xlfn.XLOOKUP(E507,セットアップレポート_紐づけ用!A:A,セットアップレポート_紐づけ用!R:R)</f>
        <v>#N/A</v>
      </c>
      <c r="L507" t="e">
        <f t="shared" si="29"/>
        <v>#N/A</v>
      </c>
      <c r="M507" t="e">
        <f>_xlfn.XLOOKUP(L507,EGPro!A:A,EGPro!D:D)</f>
        <v>#N/A</v>
      </c>
      <c r="N507" t="e">
        <f>_xlfn.XLOOKUP(L507,EGPro!A:A,EGPro!C:C)</f>
        <v>#N/A</v>
      </c>
      <c r="O507" t="e">
        <f t="shared" si="30"/>
        <v>#N/A</v>
      </c>
      <c r="P507" t="e">
        <f>_xlfn.XLOOKUP(O507,EGPro!A:A,EGPro!D:D)</f>
        <v>#N/A</v>
      </c>
      <c r="Q507" t="e">
        <f>_xlfn.XLOOKUP(O507,EGPro!A:A,EGPro!C:C)</f>
        <v>#N/A</v>
      </c>
    </row>
    <row r="508" spans="1:17" x14ac:dyDescent="0.45">
      <c r="A508" s="3">
        <f>配列!B508</f>
        <v>0</v>
      </c>
      <c r="B508" s="3" t="e">
        <f>_xlfn.XLOOKUP(A508,対応表!A:A,対応表!B:B)</f>
        <v>#N/A</v>
      </c>
      <c r="C508" s="3">
        <f>配列!C508</f>
        <v>0</v>
      </c>
      <c r="D508" s="3" t="str">
        <f>IF(配列!E508="",RIGHT(配列!D508&amp;配列!E508,4)&amp;"L",RIGHT(配列!D508&amp;配列!E508,5))</f>
        <v>L</v>
      </c>
      <c r="E508" s="3">
        <f t="shared" si="28"/>
        <v>0</v>
      </c>
      <c r="F508" s="3" t="e">
        <f>_xlfn.XLOOKUP(E508,セットアップレポート_紐づけ用!A:A,セットアップレポート_紐づけ用!J:J)</f>
        <v>#N/A</v>
      </c>
      <c r="G508" s="3" t="e">
        <f>_xlfn.XLOOKUP(E508,セットアップレポート_紐づけ用!A:A,セットアップレポート_紐づけ用!V:V)</f>
        <v>#N/A</v>
      </c>
      <c r="H508" s="3">
        <f t="shared" si="31"/>
        <v>-2</v>
      </c>
      <c r="I508" t="str">
        <f>IF(J508=0,"",IF(配列!E508="",マクロ実行!$A$16 &amp;" T"&amp;H508&amp;"-"&amp;RIGHT(配列!D508&amp;配列!E508,2),マクロ実行!$A$16 &amp;" T"&amp;H508&amp;"-"&amp;RIGHT(配列!D508&amp;配列!E508,3)))</f>
        <v/>
      </c>
      <c r="J508">
        <f>配列!F508</f>
        <v>0</v>
      </c>
      <c r="K508" s="2" t="e">
        <f>_xlfn.XLOOKUP(E508,セットアップレポート_紐づけ用!A:A,セットアップレポート_紐づけ用!R:R)</f>
        <v>#N/A</v>
      </c>
      <c r="L508" t="e">
        <f t="shared" si="29"/>
        <v>#N/A</v>
      </c>
      <c r="M508" t="e">
        <f>_xlfn.XLOOKUP(L508,EGPro!A:A,EGPro!D:D)</f>
        <v>#N/A</v>
      </c>
      <c r="N508" t="e">
        <f>_xlfn.XLOOKUP(L508,EGPro!A:A,EGPro!C:C)</f>
        <v>#N/A</v>
      </c>
      <c r="O508" t="e">
        <f t="shared" si="30"/>
        <v>#N/A</v>
      </c>
      <c r="P508" t="e">
        <f>_xlfn.XLOOKUP(O508,EGPro!A:A,EGPro!D:D)</f>
        <v>#N/A</v>
      </c>
      <c r="Q508" t="e">
        <f>_xlfn.XLOOKUP(O508,EGPro!A:A,EGPro!C:C)</f>
        <v>#N/A</v>
      </c>
    </row>
    <row r="509" spans="1:17" x14ac:dyDescent="0.45">
      <c r="A509" s="3">
        <f>配列!B509</f>
        <v>0</v>
      </c>
      <c r="B509" s="3" t="e">
        <f>_xlfn.XLOOKUP(A509,対応表!A:A,対応表!B:B)</f>
        <v>#N/A</v>
      </c>
      <c r="C509" s="3">
        <f>配列!C509</f>
        <v>0</v>
      </c>
      <c r="D509" s="3" t="str">
        <f>IF(配列!E509="",RIGHT(配列!D509&amp;配列!E509,4)&amp;"L",RIGHT(配列!D509&amp;配列!E509,5))</f>
        <v>L</v>
      </c>
      <c r="E509" s="3">
        <f t="shared" si="28"/>
        <v>0</v>
      </c>
      <c r="F509" s="3" t="e">
        <f>_xlfn.XLOOKUP(E509,セットアップレポート_紐づけ用!A:A,セットアップレポート_紐づけ用!J:J)</f>
        <v>#N/A</v>
      </c>
      <c r="G509" s="3" t="e">
        <f>_xlfn.XLOOKUP(E509,セットアップレポート_紐づけ用!A:A,セットアップレポート_紐づけ用!V:V)</f>
        <v>#N/A</v>
      </c>
      <c r="H509" s="3">
        <f t="shared" si="31"/>
        <v>-2</v>
      </c>
      <c r="I509" t="str">
        <f>IF(J509=0,"",IF(配列!E509="",マクロ実行!$A$16 &amp;" T"&amp;H509&amp;"-"&amp;RIGHT(配列!D509&amp;配列!E509,2),マクロ実行!$A$16 &amp;" T"&amp;H509&amp;"-"&amp;RIGHT(配列!D509&amp;配列!E509,3)))</f>
        <v/>
      </c>
      <c r="J509">
        <f>配列!F509</f>
        <v>0</v>
      </c>
      <c r="K509" s="2" t="e">
        <f>_xlfn.XLOOKUP(E509,セットアップレポート_紐づけ用!A:A,セットアップレポート_紐づけ用!R:R)</f>
        <v>#N/A</v>
      </c>
      <c r="L509" t="e">
        <f t="shared" si="29"/>
        <v>#N/A</v>
      </c>
      <c r="M509" t="e">
        <f>_xlfn.XLOOKUP(L509,EGPro!A:A,EGPro!D:D)</f>
        <v>#N/A</v>
      </c>
      <c r="N509" t="e">
        <f>_xlfn.XLOOKUP(L509,EGPro!A:A,EGPro!C:C)</f>
        <v>#N/A</v>
      </c>
      <c r="O509" t="e">
        <f t="shared" si="30"/>
        <v>#N/A</v>
      </c>
      <c r="P509" t="e">
        <f>_xlfn.XLOOKUP(O509,EGPro!A:A,EGPro!D:D)</f>
        <v>#N/A</v>
      </c>
      <c r="Q509" t="e">
        <f>_xlfn.XLOOKUP(O509,EGPro!A:A,EGPro!C:C)</f>
        <v>#N/A</v>
      </c>
    </row>
    <row r="510" spans="1:17" x14ac:dyDescent="0.45">
      <c r="A510" s="3">
        <f>配列!B510</f>
        <v>0</v>
      </c>
      <c r="B510" s="3" t="e">
        <f>_xlfn.XLOOKUP(A510,対応表!A:A,対応表!B:B)</f>
        <v>#N/A</v>
      </c>
      <c r="C510" s="3">
        <f>配列!C510</f>
        <v>0</v>
      </c>
      <c r="D510" s="3" t="str">
        <f>IF(配列!E510="",RIGHT(配列!D510&amp;配列!E510,4)&amp;"L",RIGHT(配列!D510&amp;配列!E510,5))</f>
        <v>L</v>
      </c>
      <c r="E510" s="3">
        <f t="shared" si="28"/>
        <v>0</v>
      </c>
      <c r="F510" s="3" t="e">
        <f>_xlfn.XLOOKUP(E510,セットアップレポート_紐づけ用!A:A,セットアップレポート_紐づけ用!J:J)</f>
        <v>#N/A</v>
      </c>
      <c r="G510" s="3" t="e">
        <f>_xlfn.XLOOKUP(E510,セットアップレポート_紐づけ用!A:A,セットアップレポート_紐づけ用!V:V)</f>
        <v>#N/A</v>
      </c>
      <c r="H510" s="3">
        <f t="shared" si="31"/>
        <v>-2</v>
      </c>
      <c r="I510" t="str">
        <f>IF(J510=0,"",IF(配列!E510="",マクロ実行!$A$16 &amp;" T"&amp;H510&amp;"-"&amp;RIGHT(配列!D510&amp;配列!E510,2),マクロ実行!$A$16 &amp;" T"&amp;H510&amp;"-"&amp;RIGHT(配列!D510&amp;配列!E510,3)))</f>
        <v/>
      </c>
      <c r="J510">
        <f>配列!F510</f>
        <v>0</v>
      </c>
      <c r="K510" s="2" t="e">
        <f>_xlfn.XLOOKUP(E510,セットアップレポート_紐づけ用!A:A,セットアップレポート_紐づけ用!R:R)</f>
        <v>#N/A</v>
      </c>
      <c r="L510" t="e">
        <f t="shared" si="29"/>
        <v>#N/A</v>
      </c>
      <c r="M510" t="e">
        <f>_xlfn.XLOOKUP(L510,EGPro!A:A,EGPro!D:D)</f>
        <v>#N/A</v>
      </c>
      <c r="N510" t="e">
        <f>_xlfn.XLOOKUP(L510,EGPro!A:A,EGPro!C:C)</f>
        <v>#N/A</v>
      </c>
      <c r="O510" t="e">
        <f t="shared" si="30"/>
        <v>#N/A</v>
      </c>
      <c r="P510" t="e">
        <f>_xlfn.XLOOKUP(O510,EGPro!A:A,EGPro!D:D)</f>
        <v>#N/A</v>
      </c>
      <c r="Q510" t="e">
        <f>_xlfn.XLOOKUP(O510,EGPro!A:A,EGPro!C:C)</f>
        <v>#N/A</v>
      </c>
    </row>
    <row r="511" spans="1:17" x14ac:dyDescent="0.45">
      <c r="A511" s="3">
        <f>配列!B511</f>
        <v>0</v>
      </c>
      <c r="B511" s="3" t="e">
        <f>_xlfn.XLOOKUP(A511,対応表!A:A,対応表!B:B)</f>
        <v>#N/A</v>
      </c>
      <c r="C511" s="3">
        <f>配列!C511</f>
        <v>0</v>
      </c>
      <c r="D511" s="3" t="str">
        <f>IF(配列!E511="",RIGHT(配列!D511&amp;配列!E511,4)&amp;"L",RIGHT(配列!D511&amp;配列!E511,5))</f>
        <v>L</v>
      </c>
      <c r="E511" s="3">
        <f t="shared" si="28"/>
        <v>0</v>
      </c>
      <c r="F511" s="3" t="e">
        <f>_xlfn.XLOOKUP(E511,セットアップレポート_紐づけ用!A:A,セットアップレポート_紐づけ用!J:J)</f>
        <v>#N/A</v>
      </c>
      <c r="G511" s="3" t="e">
        <f>_xlfn.XLOOKUP(E511,セットアップレポート_紐づけ用!A:A,セットアップレポート_紐づけ用!V:V)</f>
        <v>#N/A</v>
      </c>
      <c r="H511" s="3">
        <f t="shared" si="31"/>
        <v>-2</v>
      </c>
      <c r="I511" t="str">
        <f>IF(J511=0,"",IF(配列!E511="",マクロ実行!$A$16 &amp;" T"&amp;H511&amp;"-"&amp;RIGHT(配列!D511&amp;配列!E511,2),マクロ実行!$A$16 &amp;" T"&amp;H511&amp;"-"&amp;RIGHT(配列!D511&amp;配列!E511,3)))</f>
        <v/>
      </c>
      <c r="J511">
        <f>配列!F511</f>
        <v>0</v>
      </c>
      <c r="K511" s="2" t="e">
        <f>_xlfn.XLOOKUP(E511,セットアップレポート_紐づけ用!A:A,セットアップレポート_紐づけ用!R:R)</f>
        <v>#N/A</v>
      </c>
      <c r="L511" t="e">
        <f t="shared" si="29"/>
        <v>#N/A</v>
      </c>
      <c r="M511" t="e">
        <f>_xlfn.XLOOKUP(L511,EGPro!A:A,EGPro!D:D)</f>
        <v>#N/A</v>
      </c>
      <c r="N511" t="e">
        <f>_xlfn.XLOOKUP(L511,EGPro!A:A,EGPro!C:C)</f>
        <v>#N/A</v>
      </c>
      <c r="O511" t="e">
        <f t="shared" si="30"/>
        <v>#N/A</v>
      </c>
      <c r="P511" t="e">
        <f>_xlfn.XLOOKUP(O511,EGPro!A:A,EGPro!D:D)</f>
        <v>#N/A</v>
      </c>
      <c r="Q511" t="e">
        <f>_xlfn.XLOOKUP(O511,EGPro!A:A,EGPro!C:C)</f>
        <v>#N/A</v>
      </c>
    </row>
    <row r="512" spans="1:17" x14ac:dyDescent="0.45">
      <c r="A512" s="3">
        <f>配列!B512</f>
        <v>0</v>
      </c>
      <c r="B512" s="3" t="e">
        <f>_xlfn.XLOOKUP(A512,対応表!A:A,対応表!B:B)</f>
        <v>#N/A</v>
      </c>
      <c r="C512" s="3">
        <f>配列!C512</f>
        <v>0</v>
      </c>
      <c r="D512" s="3" t="str">
        <f>IF(配列!E512="",RIGHT(配列!D512&amp;配列!E512,4)&amp;"L",RIGHT(配列!D512&amp;配列!E512,5))</f>
        <v>L</v>
      </c>
      <c r="E512" s="3">
        <f t="shared" si="28"/>
        <v>0</v>
      </c>
      <c r="F512" s="3" t="e">
        <f>_xlfn.XLOOKUP(E512,セットアップレポート_紐づけ用!A:A,セットアップレポート_紐づけ用!J:J)</f>
        <v>#N/A</v>
      </c>
      <c r="G512" s="3" t="e">
        <f>_xlfn.XLOOKUP(E512,セットアップレポート_紐づけ用!A:A,セットアップレポート_紐づけ用!V:V)</f>
        <v>#N/A</v>
      </c>
      <c r="H512" s="3">
        <f t="shared" si="31"/>
        <v>-2</v>
      </c>
      <c r="I512" t="str">
        <f>IF(J512=0,"",IF(配列!E512="",マクロ実行!$A$16 &amp;" T"&amp;H512&amp;"-"&amp;RIGHT(配列!D512&amp;配列!E512,2),マクロ実行!$A$16 &amp;" T"&amp;H512&amp;"-"&amp;RIGHT(配列!D512&amp;配列!E512,3)))</f>
        <v/>
      </c>
      <c r="J512">
        <f>配列!F512</f>
        <v>0</v>
      </c>
      <c r="K512" s="2" t="e">
        <f>_xlfn.XLOOKUP(E512,セットアップレポート_紐づけ用!A:A,セットアップレポート_紐づけ用!R:R)</f>
        <v>#N/A</v>
      </c>
      <c r="L512" t="e">
        <f t="shared" si="29"/>
        <v>#N/A</v>
      </c>
      <c r="M512" t="e">
        <f>_xlfn.XLOOKUP(L512,EGPro!A:A,EGPro!D:D)</f>
        <v>#N/A</v>
      </c>
      <c r="N512" t="e">
        <f>_xlfn.XLOOKUP(L512,EGPro!A:A,EGPro!C:C)</f>
        <v>#N/A</v>
      </c>
      <c r="O512" t="e">
        <f t="shared" si="30"/>
        <v>#N/A</v>
      </c>
      <c r="P512" t="e">
        <f>_xlfn.XLOOKUP(O512,EGPro!A:A,EGPro!D:D)</f>
        <v>#N/A</v>
      </c>
      <c r="Q512" t="e">
        <f>_xlfn.XLOOKUP(O512,EGPro!A:A,EGPro!C:C)</f>
        <v>#N/A</v>
      </c>
    </row>
    <row r="513" spans="1:17" x14ac:dyDescent="0.45">
      <c r="A513" s="3">
        <f>配列!B513</f>
        <v>0</v>
      </c>
      <c r="B513" s="3" t="e">
        <f>_xlfn.XLOOKUP(A513,対応表!A:A,対応表!B:B)</f>
        <v>#N/A</v>
      </c>
      <c r="C513" s="3">
        <f>配列!C513</f>
        <v>0</v>
      </c>
      <c r="D513" s="3" t="str">
        <f>IF(配列!E513="",RIGHT(配列!D513&amp;配列!E513,4)&amp;"L",RIGHT(配列!D513&amp;配列!E513,5))</f>
        <v>L</v>
      </c>
      <c r="E513" s="3">
        <f t="shared" si="28"/>
        <v>0</v>
      </c>
      <c r="F513" s="3" t="e">
        <f>_xlfn.XLOOKUP(E513,セットアップレポート_紐づけ用!A:A,セットアップレポート_紐づけ用!J:J)</f>
        <v>#N/A</v>
      </c>
      <c r="G513" s="3" t="e">
        <f>_xlfn.XLOOKUP(E513,セットアップレポート_紐づけ用!A:A,セットアップレポート_紐づけ用!V:V)</f>
        <v>#N/A</v>
      </c>
      <c r="H513" s="3">
        <f t="shared" si="31"/>
        <v>-2</v>
      </c>
      <c r="I513" t="str">
        <f>IF(J513=0,"",IF(配列!E513="",マクロ実行!$A$16 &amp;" T"&amp;H513&amp;"-"&amp;RIGHT(配列!D513&amp;配列!E513,2),マクロ実行!$A$16 &amp;" T"&amp;H513&amp;"-"&amp;RIGHT(配列!D513&amp;配列!E513,3)))</f>
        <v/>
      </c>
      <c r="J513">
        <f>配列!F513</f>
        <v>0</v>
      </c>
      <c r="K513" s="2" t="e">
        <f>_xlfn.XLOOKUP(E513,セットアップレポート_紐づけ用!A:A,セットアップレポート_紐づけ用!R:R)</f>
        <v>#N/A</v>
      </c>
      <c r="L513" t="e">
        <f t="shared" si="29"/>
        <v>#N/A</v>
      </c>
      <c r="M513" t="e">
        <f>_xlfn.XLOOKUP(L513,EGPro!A:A,EGPro!D:D)</f>
        <v>#N/A</v>
      </c>
      <c r="N513" t="e">
        <f>_xlfn.XLOOKUP(L513,EGPro!A:A,EGPro!C:C)</f>
        <v>#N/A</v>
      </c>
      <c r="O513" t="e">
        <f t="shared" si="30"/>
        <v>#N/A</v>
      </c>
      <c r="P513" t="e">
        <f>_xlfn.XLOOKUP(O513,EGPro!A:A,EGPro!D:D)</f>
        <v>#N/A</v>
      </c>
      <c r="Q513" t="e">
        <f>_xlfn.XLOOKUP(O513,EGPro!A:A,EGPro!C:C)</f>
        <v>#N/A</v>
      </c>
    </row>
    <row r="514" spans="1:17" x14ac:dyDescent="0.45">
      <c r="A514" s="3">
        <f>配列!B514</f>
        <v>0</v>
      </c>
      <c r="B514" s="3" t="e">
        <f>_xlfn.XLOOKUP(A514,対応表!A:A,対応表!B:B)</f>
        <v>#N/A</v>
      </c>
      <c r="C514" s="3">
        <f>配列!C514</f>
        <v>0</v>
      </c>
      <c r="D514" s="3" t="str">
        <f>IF(配列!E514="",RIGHT(配列!D514&amp;配列!E514,4)&amp;"L",RIGHT(配列!D514&amp;配列!E514,5))</f>
        <v>L</v>
      </c>
      <c r="E514" s="3">
        <f t="shared" ref="E514:E577" si="32">IF(J514=0,,B514&amp;D514&amp;J514)</f>
        <v>0</v>
      </c>
      <c r="F514" s="3" t="e">
        <f>_xlfn.XLOOKUP(E514,セットアップレポート_紐づけ用!A:A,セットアップレポート_紐づけ用!J:J)</f>
        <v>#N/A</v>
      </c>
      <c r="G514" s="3" t="e">
        <f>_xlfn.XLOOKUP(E514,セットアップレポート_紐づけ用!A:A,セットアップレポート_紐づけ用!V:V)</f>
        <v>#N/A</v>
      </c>
      <c r="H514" s="3">
        <f t="shared" si="31"/>
        <v>-2</v>
      </c>
      <c r="I514" t="str">
        <f>IF(J514=0,"",IF(配列!E514="",マクロ実行!$A$16 &amp;" T"&amp;H514&amp;"-"&amp;RIGHT(配列!D514&amp;配列!E514,2),マクロ実行!$A$16 &amp;" T"&amp;H514&amp;"-"&amp;RIGHT(配列!D514&amp;配列!E514,3)))</f>
        <v/>
      </c>
      <c r="J514">
        <f>配列!F514</f>
        <v>0</v>
      </c>
      <c r="K514" s="2" t="e">
        <f>_xlfn.XLOOKUP(E514,セットアップレポート_紐づけ用!A:A,セットアップレポート_紐づけ用!R:R)</f>
        <v>#N/A</v>
      </c>
      <c r="L514" t="e">
        <f t="shared" ref="L514:L577" si="33">IF(LEN(F514)=13,"    "&amp;F514,F514)</f>
        <v>#N/A</v>
      </c>
      <c r="M514" t="e">
        <f>_xlfn.XLOOKUP(L514,EGPro!A:A,EGPro!D:D)</f>
        <v>#N/A</v>
      </c>
      <c r="N514" t="e">
        <f>_xlfn.XLOOKUP(L514,EGPro!A:A,EGPro!C:C)</f>
        <v>#N/A</v>
      </c>
      <c r="O514" t="e">
        <f t="shared" ref="O514:O577" si="34">IF(LEN(G514)=13,"    "&amp;G514,G514)</f>
        <v>#N/A</v>
      </c>
      <c r="P514" t="e">
        <f>_xlfn.XLOOKUP(O514,EGPro!A:A,EGPro!D:D)</f>
        <v>#N/A</v>
      </c>
      <c r="Q514" t="e">
        <f>_xlfn.XLOOKUP(O514,EGPro!A:A,EGPro!C:C)</f>
        <v>#N/A</v>
      </c>
    </row>
    <row r="515" spans="1:17" x14ac:dyDescent="0.45">
      <c r="A515" s="3">
        <f>配列!B515</f>
        <v>0</v>
      </c>
      <c r="B515" s="3" t="e">
        <f>_xlfn.XLOOKUP(A515,対応表!A:A,対応表!B:B)</f>
        <v>#N/A</v>
      </c>
      <c r="C515" s="3">
        <f>配列!C515</f>
        <v>0</v>
      </c>
      <c r="D515" s="3" t="str">
        <f>IF(配列!E515="",RIGHT(配列!D515&amp;配列!E515,4)&amp;"L",RIGHT(配列!D515&amp;配列!E515,5))</f>
        <v>L</v>
      </c>
      <c r="E515" s="3">
        <f t="shared" si="32"/>
        <v>0</v>
      </c>
      <c r="F515" s="3" t="e">
        <f>_xlfn.XLOOKUP(E515,セットアップレポート_紐づけ用!A:A,セットアップレポート_紐づけ用!J:J)</f>
        <v>#N/A</v>
      </c>
      <c r="G515" s="3" t="e">
        <f>_xlfn.XLOOKUP(E515,セットアップレポート_紐づけ用!A:A,セットアップレポート_紐づけ用!V:V)</f>
        <v>#N/A</v>
      </c>
      <c r="H515" s="3">
        <f t="shared" ref="H515:H578" si="35">2*RIGHT(A515,1)-2+C515</f>
        <v>-2</v>
      </c>
      <c r="I515" t="str">
        <f>IF(J515=0,"",IF(配列!E515="",マクロ実行!$A$16 &amp;" T"&amp;H515&amp;"-"&amp;RIGHT(配列!D515&amp;配列!E515,2),マクロ実行!$A$16 &amp;" T"&amp;H515&amp;"-"&amp;RIGHT(配列!D515&amp;配列!E515,3)))</f>
        <v/>
      </c>
      <c r="J515">
        <f>配列!F515</f>
        <v>0</v>
      </c>
      <c r="K515" s="2" t="e">
        <f>_xlfn.XLOOKUP(E515,セットアップレポート_紐づけ用!A:A,セットアップレポート_紐づけ用!R:R)</f>
        <v>#N/A</v>
      </c>
      <c r="L515" t="e">
        <f t="shared" si="33"/>
        <v>#N/A</v>
      </c>
      <c r="M515" t="e">
        <f>_xlfn.XLOOKUP(L515,EGPro!A:A,EGPro!D:D)</f>
        <v>#N/A</v>
      </c>
      <c r="N515" t="e">
        <f>_xlfn.XLOOKUP(L515,EGPro!A:A,EGPro!C:C)</f>
        <v>#N/A</v>
      </c>
      <c r="O515" t="e">
        <f t="shared" si="34"/>
        <v>#N/A</v>
      </c>
      <c r="P515" t="e">
        <f>_xlfn.XLOOKUP(O515,EGPro!A:A,EGPro!D:D)</f>
        <v>#N/A</v>
      </c>
      <c r="Q515" t="e">
        <f>_xlfn.XLOOKUP(O515,EGPro!A:A,EGPro!C:C)</f>
        <v>#N/A</v>
      </c>
    </row>
    <row r="516" spans="1:17" x14ac:dyDescent="0.45">
      <c r="A516" s="3">
        <f>配列!B516</f>
        <v>0</v>
      </c>
      <c r="B516" s="3" t="e">
        <f>_xlfn.XLOOKUP(A516,対応表!A:A,対応表!B:B)</f>
        <v>#N/A</v>
      </c>
      <c r="C516" s="3">
        <f>配列!C516</f>
        <v>0</v>
      </c>
      <c r="D516" s="3" t="str">
        <f>IF(配列!E516="",RIGHT(配列!D516&amp;配列!E516,4)&amp;"L",RIGHT(配列!D516&amp;配列!E516,5))</f>
        <v>L</v>
      </c>
      <c r="E516" s="3">
        <f t="shared" si="32"/>
        <v>0</v>
      </c>
      <c r="F516" s="3" t="e">
        <f>_xlfn.XLOOKUP(E516,セットアップレポート_紐づけ用!A:A,セットアップレポート_紐づけ用!J:J)</f>
        <v>#N/A</v>
      </c>
      <c r="G516" s="3" t="e">
        <f>_xlfn.XLOOKUP(E516,セットアップレポート_紐づけ用!A:A,セットアップレポート_紐づけ用!V:V)</f>
        <v>#N/A</v>
      </c>
      <c r="H516" s="3">
        <f t="shared" si="35"/>
        <v>-2</v>
      </c>
      <c r="I516" t="str">
        <f>IF(J516=0,"",IF(配列!E516="",マクロ実行!$A$16 &amp;" T"&amp;H516&amp;"-"&amp;RIGHT(配列!D516&amp;配列!E516,2),マクロ実行!$A$16 &amp;" T"&amp;H516&amp;"-"&amp;RIGHT(配列!D516&amp;配列!E516,3)))</f>
        <v/>
      </c>
      <c r="J516">
        <f>配列!F516</f>
        <v>0</v>
      </c>
      <c r="K516" s="2" t="e">
        <f>_xlfn.XLOOKUP(E516,セットアップレポート_紐づけ用!A:A,セットアップレポート_紐づけ用!R:R)</f>
        <v>#N/A</v>
      </c>
      <c r="L516" t="e">
        <f t="shared" si="33"/>
        <v>#N/A</v>
      </c>
      <c r="M516" t="e">
        <f>_xlfn.XLOOKUP(L516,EGPro!A:A,EGPro!D:D)</f>
        <v>#N/A</v>
      </c>
      <c r="N516" t="e">
        <f>_xlfn.XLOOKUP(L516,EGPro!A:A,EGPro!C:C)</f>
        <v>#N/A</v>
      </c>
      <c r="O516" t="e">
        <f t="shared" si="34"/>
        <v>#N/A</v>
      </c>
      <c r="P516" t="e">
        <f>_xlfn.XLOOKUP(O516,EGPro!A:A,EGPro!D:D)</f>
        <v>#N/A</v>
      </c>
      <c r="Q516" t="e">
        <f>_xlfn.XLOOKUP(O516,EGPro!A:A,EGPro!C:C)</f>
        <v>#N/A</v>
      </c>
    </row>
    <row r="517" spans="1:17" x14ac:dyDescent="0.45">
      <c r="A517" s="3">
        <f>配列!B517</f>
        <v>0</v>
      </c>
      <c r="B517" s="3" t="e">
        <f>_xlfn.XLOOKUP(A517,対応表!A:A,対応表!B:B)</f>
        <v>#N/A</v>
      </c>
      <c r="C517" s="3">
        <f>配列!C517</f>
        <v>0</v>
      </c>
      <c r="D517" s="3" t="str">
        <f>IF(配列!E517="",RIGHT(配列!D517&amp;配列!E517,4)&amp;"L",RIGHT(配列!D517&amp;配列!E517,5))</f>
        <v>L</v>
      </c>
      <c r="E517" s="3">
        <f t="shared" si="32"/>
        <v>0</v>
      </c>
      <c r="F517" s="3" t="e">
        <f>_xlfn.XLOOKUP(E517,セットアップレポート_紐づけ用!A:A,セットアップレポート_紐づけ用!J:J)</f>
        <v>#N/A</v>
      </c>
      <c r="G517" s="3" t="e">
        <f>_xlfn.XLOOKUP(E517,セットアップレポート_紐づけ用!A:A,セットアップレポート_紐づけ用!V:V)</f>
        <v>#N/A</v>
      </c>
      <c r="H517" s="3">
        <f t="shared" si="35"/>
        <v>-2</v>
      </c>
      <c r="I517" t="str">
        <f>IF(J517=0,"",IF(配列!E517="",マクロ実行!$A$16 &amp;" T"&amp;H517&amp;"-"&amp;RIGHT(配列!D517&amp;配列!E517,2),マクロ実行!$A$16 &amp;" T"&amp;H517&amp;"-"&amp;RIGHT(配列!D517&amp;配列!E517,3)))</f>
        <v/>
      </c>
      <c r="J517">
        <f>配列!F517</f>
        <v>0</v>
      </c>
      <c r="K517" s="2" t="e">
        <f>_xlfn.XLOOKUP(E517,セットアップレポート_紐づけ用!A:A,セットアップレポート_紐づけ用!R:R)</f>
        <v>#N/A</v>
      </c>
      <c r="L517" t="e">
        <f t="shared" si="33"/>
        <v>#N/A</v>
      </c>
      <c r="M517" t="e">
        <f>_xlfn.XLOOKUP(L517,EGPro!A:A,EGPro!D:D)</f>
        <v>#N/A</v>
      </c>
      <c r="N517" t="e">
        <f>_xlfn.XLOOKUP(L517,EGPro!A:A,EGPro!C:C)</f>
        <v>#N/A</v>
      </c>
      <c r="O517" t="e">
        <f t="shared" si="34"/>
        <v>#N/A</v>
      </c>
      <c r="P517" t="e">
        <f>_xlfn.XLOOKUP(O517,EGPro!A:A,EGPro!D:D)</f>
        <v>#N/A</v>
      </c>
      <c r="Q517" t="e">
        <f>_xlfn.XLOOKUP(O517,EGPro!A:A,EGPro!C:C)</f>
        <v>#N/A</v>
      </c>
    </row>
    <row r="518" spans="1:17" x14ac:dyDescent="0.45">
      <c r="A518" s="3">
        <f>配列!B518</f>
        <v>0</v>
      </c>
      <c r="B518" s="3" t="e">
        <f>_xlfn.XLOOKUP(A518,対応表!A:A,対応表!B:B)</f>
        <v>#N/A</v>
      </c>
      <c r="C518" s="3">
        <f>配列!C518</f>
        <v>0</v>
      </c>
      <c r="D518" s="3" t="str">
        <f>IF(配列!E518="",RIGHT(配列!D518&amp;配列!E518,4)&amp;"L",RIGHT(配列!D518&amp;配列!E518,5))</f>
        <v>L</v>
      </c>
      <c r="E518" s="3">
        <f t="shared" si="32"/>
        <v>0</v>
      </c>
      <c r="F518" s="3" t="e">
        <f>_xlfn.XLOOKUP(E518,セットアップレポート_紐づけ用!A:A,セットアップレポート_紐づけ用!J:J)</f>
        <v>#N/A</v>
      </c>
      <c r="G518" s="3" t="e">
        <f>_xlfn.XLOOKUP(E518,セットアップレポート_紐づけ用!A:A,セットアップレポート_紐づけ用!V:V)</f>
        <v>#N/A</v>
      </c>
      <c r="H518" s="3">
        <f t="shared" si="35"/>
        <v>-2</v>
      </c>
      <c r="I518" t="str">
        <f>IF(J518=0,"",IF(配列!E518="",マクロ実行!$A$16 &amp;" T"&amp;H518&amp;"-"&amp;RIGHT(配列!D518&amp;配列!E518,2),マクロ実行!$A$16 &amp;" T"&amp;H518&amp;"-"&amp;RIGHT(配列!D518&amp;配列!E518,3)))</f>
        <v/>
      </c>
      <c r="J518">
        <f>配列!F518</f>
        <v>0</v>
      </c>
      <c r="K518" s="2" t="e">
        <f>_xlfn.XLOOKUP(E518,セットアップレポート_紐づけ用!A:A,セットアップレポート_紐づけ用!R:R)</f>
        <v>#N/A</v>
      </c>
      <c r="L518" t="e">
        <f t="shared" si="33"/>
        <v>#N/A</v>
      </c>
      <c r="M518" t="e">
        <f>_xlfn.XLOOKUP(L518,EGPro!A:A,EGPro!D:D)</f>
        <v>#N/A</v>
      </c>
      <c r="N518" t="e">
        <f>_xlfn.XLOOKUP(L518,EGPro!A:A,EGPro!C:C)</f>
        <v>#N/A</v>
      </c>
      <c r="O518" t="e">
        <f t="shared" si="34"/>
        <v>#N/A</v>
      </c>
      <c r="P518" t="e">
        <f>_xlfn.XLOOKUP(O518,EGPro!A:A,EGPro!D:D)</f>
        <v>#N/A</v>
      </c>
      <c r="Q518" t="e">
        <f>_xlfn.XLOOKUP(O518,EGPro!A:A,EGPro!C:C)</f>
        <v>#N/A</v>
      </c>
    </row>
    <row r="519" spans="1:17" x14ac:dyDescent="0.45">
      <c r="A519" s="3">
        <f>配列!B519</f>
        <v>0</v>
      </c>
      <c r="B519" s="3" t="e">
        <f>_xlfn.XLOOKUP(A519,対応表!A:A,対応表!B:B)</f>
        <v>#N/A</v>
      </c>
      <c r="C519" s="3">
        <f>配列!C519</f>
        <v>0</v>
      </c>
      <c r="D519" s="3" t="str">
        <f>IF(配列!E519="",RIGHT(配列!D519&amp;配列!E519,4)&amp;"L",RIGHT(配列!D519&amp;配列!E519,5))</f>
        <v>L</v>
      </c>
      <c r="E519" s="3">
        <f t="shared" si="32"/>
        <v>0</v>
      </c>
      <c r="F519" s="3" t="e">
        <f>_xlfn.XLOOKUP(E519,セットアップレポート_紐づけ用!A:A,セットアップレポート_紐づけ用!J:J)</f>
        <v>#N/A</v>
      </c>
      <c r="G519" s="3" t="e">
        <f>_xlfn.XLOOKUP(E519,セットアップレポート_紐づけ用!A:A,セットアップレポート_紐づけ用!V:V)</f>
        <v>#N/A</v>
      </c>
      <c r="H519" s="3">
        <f t="shared" si="35"/>
        <v>-2</v>
      </c>
      <c r="I519" t="str">
        <f>IF(J519=0,"",IF(配列!E519="",マクロ実行!$A$16 &amp;" T"&amp;H519&amp;"-"&amp;RIGHT(配列!D519&amp;配列!E519,2),マクロ実行!$A$16 &amp;" T"&amp;H519&amp;"-"&amp;RIGHT(配列!D519&amp;配列!E519,3)))</f>
        <v/>
      </c>
      <c r="J519">
        <f>配列!F519</f>
        <v>0</v>
      </c>
      <c r="K519" s="2" t="e">
        <f>_xlfn.XLOOKUP(E519,セットアップレポート_紐づけ用!A:A,セットアップレポート_紐づけ用!R:R)</f>
        <v>#N/A</v>
      </c>
      <c r="L519" t="e">
        <f t="shared" si="33"/>
        <v>#N/A</v>
      </c>
      <c r="M519" t="e">
        <f>_xlfn.XLOOKUP(L519,EGPro!A:A,EGPro!D:D)</f>
        <v>#N/A</v>
      </c>
      <c r="N519" t="e">
        <f>_xlfn.XLOOKUP(L519,EGPro!A:A,EGPro!C:C)</f>
        <v>#N/A</v>
      </c>
      <c r="O519" t="e">
        <f t="shared" si="34"/>
        <v>#N/A</v>
      </c>
      <c r="P519" t="e">
        <f>_xlfn.XLOOKUP(O519,EGPro!A:A,EGPro!D:D)</f>
        <v>#N/A</v>
      </c>
      <c r="Q519" t="e">
        <f>_xlfn.XLOOKUP(O519,EGPro!A:A,EGPro!C:C)</f>
        <v>#N/A</v>
      </c>
    </row>
    <row r="520" spans="1:17" x14ac:dyDescent="0.45">
      <c r="A520" s="3">
        <f>配列!B520</f>
        <v>0</v>
      </c>
      <c r="B520" s="3" t="e">
        <f>_xlfn.XLOOKUP(A520,対応表!A:A,対応表!B:B)</f>
        <v>#N/A</v>
      </c>
      <c r="C520" s="3">
        <f>配列!C520</f>
        <v>0</v>
      </c>
      <c r="D520" s="3" t="str">
        <f>IF(配列!E520="",RIGHT(配列!D520&amp;配列!E520,4)&amp;"L",RIGHT(配列!D520&amp;配列!E520,5))</f>
        <v>L</v>
      </c>
      <c r="E520" s="3">
        <f t="shared" si="32"/>
        <v>0</v>
      </c>
      <c r="F520" s="3" t="e">
        <f>_xlfn.XLOOKUP(E520,セットアップレポート_紐づけ用!A:A,セットアップレポート_紐づけ用!J:J)</f>
        <v>#N/A</v>
      </c>
      <c r="G520" s="3" t="e">
        <f>_xlfn.XLOOKUP(E520,セットアップレポート_紐づけ用!A:A,セットアップレポート_紐づけ用!V:V)</f>
        <v>#N/A</v>
      </c>
      <c r="H520" s="3">
        <f t="shared" si="35"/>
        <v>-2</v>
      </c>
      <c r="I520" t="str">
        <f>IF(J520=0,"",IF(配列!E520="",マクロ実行!$A$16 &amp;" T"&amp;H520&amp;"-"&amp;RIGHT(配列!D520&amp;配列!E520,2),マクロ実行!$A$16 &amp;" T"&amp;H520&amp;"-"&amp;RIGHT(配列!D520&amp;配列!E520,3)))</f>
        <v/>
      </c>
      <c r="J520">
        <f>配列!F520</f>
        <v>0</v>
      </c>
      <c r="K520" s="2" t="e">
        <f>_xlfn.XLOOKUP(E520,セットアップレポート_紐づけ用!A:A,セットアップレポート_紐づけ用!R:R)</f>
        <v>#N/A</v>
      </c>
      <c r="L520" t="e">
        <f t="shared" si="33"/>
        <v>#N/A</v>
      </c>
      <c r="M520" t="e">
        <f>_xlfn.XLOOKUP(L520,EGPro!A:A,EGPro!D:D)</f>
        <v>#N/A</v>
      </c>
      <c r="N520" t="e">
        <f>_xlfn.XLOOKUP(L520,EGPro!A:A,EGPro!C:C)</f>
        <v>#N/A</v>
      </c>
      <c r="O520" t="e">
        <f t="shared" si="34"/>
        <v>#N/A</v>
      </c>
      <c r="P520" t="e">
        <f>_xlfn.XLOOKUP(O520,EGPro!A:A,EGPro!D:D)</f>
        <v>#N/A</v>
      </c>
      <c r="Q520" t="e">
        <f>_xlfn.XLOOKUP(O520,EGPro!A:A,EGPro!C:C)</f>
        <v>#N/A</v>
      </c>
    </row>
    <row r="521" spans="1:17" x14ac:dyDescent="0.45">
      <c r="A521" s="3">
        <f>配列!B521</f>
        <v>0</v>
      </c>
      <c r="B521" s="3" t="e">
        <f>_xlfn.XLOOKUP(A521,対応表!A:A,対応表!B:B)</f>
        <v>#N/A</v>
      </c>
      <c r="C521" s="3">
        <f>配列!C521</f>
        <v>0</v>
      </c>
      <c r="D521" s="3" t="str">
        <f>IF(配列!E521="",RIGHT(配列!D521&amp;配列!E521,4)&amp;"L",RIGHT(配列!D521&amp;配列!E521,5))</f>
        <v>L</v>
      </c>
      <c r="E521" s="3">
        <f t="shared" si="32"/>
        <v>0</v>
      </c>
      <c r="F521" s="3" t="e">
        <f>_xlfn.XLOOKUP(E521,セットアップレポート_紐づけ用!A:A,セットアップレポート_紐づけ用!J:J)</f>
        <v>#N/A</v>
      </c>
      <c r="G521" s="3" t="e">
        <f>_xlfn.XLOOKUP(E521,セットアップレポート_紐づけ用!A:A,セットアップレポート_紐づけ用!V:V)</f>
        <v>#N/A</v>
      </c>
      <c r="H521" s="3">
        <f t="shared" si="35"/>
        <v>-2</v>
      </c>
      <c r="I521" t="str">
        <f>IF(J521=0,"",IF(配列!E521="",マクロ実行!$A$16 &amp;" T"&amp;H521&amp;"-"&amp;RIGHT(配列!D521&amp;配列!E521,2),マクロ実行!$A$16 &amp;" T"&amp;H521&amp;"-"&amp;RIGHT(配列!D521&amp;配列!E521,3)))</f>
        <v/>
      </c>
      <c r="J521">
        <f>配列!F521</f>
        <v>0</v>
      </c>
      <c r="K521" s="2" t="e">
        <f>_xlfn.XLOOKUP(E521,セットアップレポート_紐づけ用!A:A,セットアップレポート_紐づけ用!R:R)</f>
        <v>#N/A</v>
      </c>
      <c r="L521" t="e">
        <f t="shared" si="33"/>
        <v>#N/A</v>
      </c>
      <c r="M521" t="e">
        <f>_xlfn.XLOOKUP(L521,EGPro!A:A,EGPro!D:D)</f>
        <v>#N/A</v>
      </c>
      <c r="N521" t="e">
        <f>_xlfn.XLOOKUP(L521,EGPro!A:A,EGPro!C:C)</f>
        <v>#N/A</v>
      </c>
      <c r="O521" t="e">
        <f t="shared" si="34"/>
        <v>#N/A</v>
      </c>
      <c r="P521" t="e">
        <f>_xlfn.XLOOKUP(O521,EGPro!A:A,EGPro!D:D)</f>
        <v>#N/A</v>
      </c>
      <c r="Q521" t="e">
        <f>_xlfn.XLOOKUP(O521,EGPro!A:A,EGPro!C:C)</f>
        <v>#N/A</v>
      </c>
    </row>
    <row r="522" spans="1:17" x14ac:dyDescent="0.45">
      <c r="A522" s="3">
        <f>配列!B522</f>
        <v>0</v>
      </c>
      <c r="B522" s="3" t="e">
        <f>_xlfn.XLOOKUP(A522,対応表!A:A,対応表!B:B)</f>
        <v>#N/A</v>
      </c>
      <c r="C522" s="3">
        <f>配列!C522</f>
        <v>0</v>
      </c>
      <c r="D522" s="3" t="str">
        <f>IF(配列!E522="",RIGHT(配列!D522&amp;配列!E522,4)&amp;"L",RIGHT(配列!D522&amp;配列!E522,5))</f>
        <v>L</v>
      </c>
      <c r="E522" s="3">
        <f t="shared" si="32"/>
        <v>0</v>
      </c>
      <c r="F522" s="3" t="e">
        <f>_xlfn.XLOOKUP(E522,セットアップレポート_紐づけ用!A:A,セットアップレポート_紐づけ用!J:J)</f>
        <v>#N/A</v>
      </c>
      <c r="G522" s="3" t="e">
        <f>_xlfn.XLOOKUP(E522,セットアップレポート_紐づけ用!A:A,セットアップレポート_紐づけ用!V:V)</f>
        <v>#N/A</v>
      </c>
      <c r="H522" s="3">
        <f t="shared" si="35"/>
        <v>-2</v>
      </c>
      <c r="I522" t="str">
        <f>IF(J522=0,"",IF(配列!E522="",マクロ実行!$A$16 &amp;" T"&amp;H522&amp;"-"&amp;RIGHT(配列!D522&amp;配列!E522,2),マクロ実行!$A$16 &amp;" T"&amp;H522&amp;"-"&amp;RIGHT(配列!D522&amp;配列!E522,3)))</f>
        <v/>
      </c>
      <c r="J522">
        <f>配列!F522</f>
        <v>0</v>
      </c>
      <c r="K522" s="2" t="e">
        <f>_xlfn.XLOOKUP(E522,セットアップレポート_紐づけ用!A:A,セットアップレポート_紐づけ用!R:R)</f>
        <v>#N/A</v>
      </c>
      <c r="L522" t="e">
        <f t="shared" si="33"/>
        <v>#N/A</v>
      </c>
      <c r="M522" t="e">
        <f>_xlfn.XLOOKUP(L522,EGPro!A:A,EGPro!D:D)</f>
        <v>#N/A</v>
      </c>
      <c r="N522" t="e">
        <f>_xlfn.XLOOKUP(L522,EGPro!A:A,EGPro!C:C)</f>
        <v>#N/A</v>
      </c>
      <c r="O522" t="e">
        <f t="shared" si="34"/>
        <v>#N/A</v>
      </c>
      <c r="P522" t="e">
        <f>_xlfn.XLOOKUP(O522,EGPro!A:A,EGPro!D:D)</f>
        <v>#N/A</v>
      </c>
      <c r="Q522" t="e">
        <f>_xlfn.XLOOKUP(O522,EGPro!A:A,EGPro!C:C)</f>
        <v>#N/A</v>
      </c>
    </row>
    <row r="523" spans="1:17" x14ac:dyDescent="0.45">
      <c r="A523" s="3">
        <f>配列!B523</f>
        <v>0</v>
      </c>
      <c r="B523" s="3" t="e">
        <f>_xlfn.XLOOKUP(A523,対応表!A:A,対応表!B:B)</f>
        <v>#N/A</v>
      </c>
      <c r="C523" s="3">
        <f>配列!C523</f>
        <v>0</v>
      </c>
      <c r="D523" s="3" t="str">
        <f>IF(配列!E523="",RIGHT(配列!D523&amp;配列!E523,4)&amp;"L",RIGHT(配列!D523&amp;配列!E523,5))</f>
        <v>L</v>
      </c>
      <c r="E523" s="3">
        <f t="shared" si="32"/>
        <v>0</v>
      </c>
      <c r="F523" s="3" t="e">
        <f>_xlfn.XLOOKUP(E523,セットアップレポート_紐づけ用!A:A,セットアップレポート_紐づけ用!J:J)</f>
        <v>#N/A</v>
      </c>
      <c r="G523" s="3" t="e">
        <f>_xlfn.XLOOKUP(E523,セットアップレポート_紐づけ用!A:A,セットアップレポート_紐づけ用!V:V)</f>
        <v>#N/A</v>
      </c>
      <c r="H523" s="3">
        <f t="shared" si="35"/>
        <v>-2</v>
      </c>
      <c r="I523" t="str">
        <f>IF(J523=0,"",IF(配列!E523="",マクロ実行!$A$16 &amp;" T"&amp;H523&amp;"-"&amp;RIGHT(配列!D523&amp;配列!E523,2),マクロ実行!$A$16 &amp;" T"&amp;H523&amp;"-"&amp;RIGHT(配列!D523&amp;配列!E523,3)))</f>
        <v/>
      </c>
      <c r="J523">
        <f>配列!F523</f>
        <v>0</v>
      </c>
      <c r="K523" s="2" t="e">
        <f>_xlfn.XLOOKUP(E523,セットアップレポート_紐づけ用!A:A,セットアップレポート_紐づけ用!R:R)</f>
        <v>#N/A</v>
      </c>
      <c r="L523" t="e">
        <f t="shared" si="33"/>
        <v>#N/A</v>
      </c>
      <c r="M523" t="e">
        <f>_xlfn.XLOOKUP(L523,EGPro!A:A,EGPro!D:D)</f>
        <v>#N/A</v>
      </c>
      <c r="N523" t="e">
        <f>_xlfn.XLOOKUP(L523,EGPro!A:A,EGPro!C:C)</f>
        <v>#N/A</v>
      </c>
      <c r="O523" t="e">
        <f t="shared" si="34"/>
        <v>#N/A</v>
      </c>
      <c r="P523" t="e">
        <f>_xlfn.XLOOKUP(O523,EGPro!A:A,EGPro!D:D)</f>
        <v>#N/A</v>
      </c>
      <c r="Q523" t="e">
        <f>_xlfn.XLOOKUP(O523,EGPro!A:A,EGPro!C:C)</f>
        <v>#N/A</v>
      </c>
    </row>
    <row r="524" spans="1:17" x14ac:dyDescent="0.45">
      <c r="A524" s="3">
        <f>配列!B524</f>
        <v>0</v>
      </c>
      <c r="B524" s="3" t="e">
        <f>_xlfn.XLOOKUP(A524,対応表!A:A,対応表!B:B)</f>
        <v>#N/A</v>
      </c>
      <c r="C524" s="3">
        <f>配列!C524</f>
        <v>0</v>
      </c>
      <c r="D524" s="3" t="str">
        <f>IF(配列!E524="",RIGHT(配列!D524&amp;配列!E524,4)&amp;"L",RIGHT(配列!D524&amp;配列!E524,5))</f>
        <v>L</v>
      </c>
      <c r="E524" s="3">
        <f t="shared" si="32"/>
        <v>0</v>
      </c>
      <c r="F524" s="3" t="e">
        <f>_xlfn.XLOOKUP(E524,セットアップレポート_紐づけ用!A:A,セットアップレポート_紐づけ用!J:J)</f>
        <v>#N/A</v>
      </c>
      <c r="G524" s="3" t="e">
        <f>_xlfn.XLOOKUP(E524,セットアップレポート_紐づけ用!A:A,セットアップレポート_紐づけ用!V:V)</f>
        <v>#N/A</v>
      </c>
      <c r="H524" s="3">
        <f t="shared" si="35"/>
        <v>-2</v>
      </c>
      <c r="I524" t="str">
        <f>IF(J524=0,"",IF(配列!E524="",マクロ実行!$A$16 &amp;" T"&amp;H524&amp;"-"&amp;RIGHT(配列!D524&amp;配列!E524,2),マクロ実行!$A$16 &amp;" T"&amp;H524&amp;"-"&amp;RIGHT(配列!D524&amp;配列!E524,3)))</f>
        <v/>
      </c>
      <c r="J524">
        <f>配列!F524</f>
        <v>0</v>
      </c>
      <c r="K524" s="2" t="e">
        <f>_xlfn.XLOOKUP(E524,セットアップレポート_紐づけ用!A:A,セットアップレポート_紐づけ用!R:R)</f>
        <v>#N/A</v>
      </c>
      <c r="L524" t="e">
        <f t="shared" si="33"/>
        <v>#N/A</v>
      </c>
      <c r="M524" t="e">
        <f>_xlfn.XLOOKUP(L524,EGPro!A:A,EGPro!D:D)</f>
        <v>#N/A</v>
      </c>
      <c r="N524" t="e">
        <f>_xlfn.XLOOKUP(L524,EGPro!A:A,EGPro!C:C)</f>
        <v>#N/A</v>
      </c>
      <c r="O524" t="e">
        <f t="shared" si="34"/>
        <v>#N/A</v>
      </c>
      <c r="P524" t="e">
        <f>_xlfn.XLOOKUP(O524,EGPro!A:A,EGPro!D:D)</f>
        <v>#N/A</v>
      </c>
      <c r="Q524" t="e">
        <f>_xlfn.XLOOKUP(O524,EGPro!A:A,EGPro!C:C)</f>
        <v>#N/A</v>
      </c>
    </row>
    <row r="525" spans="1:17" x14ac:dyDescent="0.45">
      <c r="A525" s="3">
        <f>配列!B525</f>
        <v>0</v>
      </c>
      <c r="B525" s="3" t="e">
        <f>_xlfn.XLOOKUP(A525,対応表!A:A,対応表!B:B)</f>
        <v>#N/A</v>
      </c>
      <c r="C525" s="3">
        <f>配列!C525</f>
        <v>0</v>
      </c>
      <c r="D525" s="3" t="str">
        <f>IF(配列!E525="",RIGHT(配列!D525&amp;配列!E525,4)&amp;"L",RIGHT(配列!D525&amp;配列!E525,5))</f>
        <v>L</v>
      </c>
      <c r="E525" s="3">
        <f t="shared" si="32"/>
        <v>0</v>
      </c>
      <c r="F525" s="3" t="e">
        <f>_xlfn.XLOOKUP(E525,セットアップレポート_紐づけ用!A:A,セットアップレポート_紐づけ用!J:J)</f>
        <v>#N/A</v>
      </c>
      <c r="G525" s="3" t="e">
        <f>_xlfn.XLOOKUP(E525,セットアップレポート_紐づけ用!A:A,セットアップレポート_紐づけ用!V:V)</f>
        <v>#N/A</v>
      </c>
      <c r="H525" s="3">
        <f t="shared" si="35"/>
        <v>-2</v>
      </c>
      <c r="I525" t="str">
        <f>IF(J525=0,"",IF(配列!E525="",マクロ実行!$A$16 &amp;" T"&amp;H525&amp;"-"&amp;RIGHT(配列!D525&amp;配列!E525,2),マクロ実行!$A$16 &amp;" T"&amp;H525&amp;"-"&amp;RIGHT(配列!D525&amp;配列!E525,3)))</f>
        <v/>
      </c>
      <c r="J525">
        <f>配列!F525</f>
        <v>0</v>
      </c>
      <c r="K525" s="2" t="e">
        <f>_xlfn.XLOOKUP(E525,セットアップレポート_紐づけ用!A:A,セットアップレポート_紐づけ用!R:R)</f>
        <v>#N/A</v>
      </c>
      <c r="L525" t="e">
        <f t="shared" si="33"/>
        <v>#N/A</v>
      </c>
      <c r="M525" t="e">
        <f>_xlfn.XLOOKUP(L525,EGPro!A:A,EGPro!D:D)</f>
        <v>#N/A</v>
      </c>
      <c r="N525" t="e">
        <f>_xlfn.XLOOKUP(L525,EGPro!A:A,EGPro!C:C)</f>
        <v>#N/A</v>
      </c>
      <c r="O525" t="e">
        <f t="shared" si="34"/>
        <v>#N/A</v>
      </c>
      <c r="P525" t="e">
        <f>_xlfn.XLOOKUP(O525,EGPro!A:A,EGPro!D:D)</f>
        <v>#N/A</v>
      </c>
      <c r="Q525" t="e">
        <f>_xlfn.XLOOKUP(O525,EGPro!A:A,EGPro!C:C)</f>
        <v>#N/A</v>
      </c>
    </row>
    <row r="526" spans="1:17" x14ac:dyDescent="0.45">
      <c r="A526" s="3">
        <f>配列!B526</f>
        <v>0</v>
      </c>
      <c r="B526" s="3" t="e">
        <f>_xlfn.XLOOKUP(A526,対応表!A:A,対応表!B:B)</f>
        <v>#N/A</v>
      </c>
      <c r="C526" s="3">
        <f>配列!C526</f>
        <v>0</v>
      </c>
      <c r="D526" s="3" t="str">
        <f>IF(配列!E526="",RIGHT(配列!D526&amp;配列!E526,4)&amp;"L",RIGHT(配列!D526&amp;配列!E526,5))</f>
        <v>L</v>
      </c>
      <c r="E526" s="3">
        <f t="shared" si="32"/>
        <v>0</v>
      </c>
      <c r="F526" s="3" t="e">
        <f>_xlfn.XLOOKUP(E526,セットアップレポート_紐づけ用!A:A,セットアップレポート_紐づけ用!J:J)</f>
        <v>#N/A</v>
      </c>
      <c r="G526" s="3" t="e">
        <f>_xlfn.XLOOKUP(E526,セットアップレポート_紐づけ用!A:A,セットアップレポート_紐づけ用!V:V)</f>
        <v>#N/A</v>
      </c>
      <c r="H526" s="3">
        <f t="shared" si="35"/>
        <v>-2</v>
      </c>
      <c r="I526" t="str">
        <f>IF(J526=0,"",IF(配列!E526="",マクロ実行!$A$16 &amp;" T"&amp;H526&amp;"-"&amp;RIGHT(配列!D526&amp;配列!E526,2),マクロ実行!$A$16 &amp;" T"&amp;H526&amp;"-"&amp;RIGHT(配列!D526&amp;配列!E526,3)))</f>
        <v/>
      </c>
      <c r="J526">
        <f>配列!F526</f>
        <v>0</v>
      </c>
      <c r="K526" s="2" t="e">
        <f>_xlfn.XLOOKUP(E526,セットアップレポート_紐づけ用!A:A,セットアップレポート_紐づけ用!R:R)</f>
        <v>#N/A</v>
      </c>
      <c r="L526" t="e">
        <f t="shared" si="33"/>
        <v>#N/A</v>
      </c>
      <c r="M526" t="e">
        <f>_xlfn.XLOOKUP(L526,EGPro!A:A,EGPro!D:D)</f>
        <v>#N/A</v>
      </c>
      <c r="N526" t="e">
        <f>_xlfn.XLOOKUP(L526,EGPro!A:A,EGPro!C:C)</f>
        <v>#N/A</v>
      </c>
      <c r="O526" t="e">
        <f t="shared" si="34"/>
        <v>#N/A</v>
      </c>
      <c r="P526" t="e">
        <f>_xlfn.XLOOKUP(O526,EGPro!A:A,EGPro!D:D)</f>
        <v>#N/A</v>
      </c>
      <c r="Q526" t="e">
        <f>_xlfn.XLOOKUP(O526,EGPro!A:A,EGPro!C:C)</f>
        <v>#N/A</v>
      </c>
    </row>
    <row r="527" spans="1:17" x14ac:dyDescent="0.45">
      <c r="A527" s="3">
        <f>配列!B527</f>
        <v>0</v>
      </c>
      <c r="B527" s="3" t="e">
        <f>_xlfn.XLOOKUP(A527,対応表!A:A,対応表!B:B)</f>
        <v>#N/A</v>
      </c>
      <c r="C527" s="3">
        <f>配列!C527</f>
        <v>0</v>
      </c>
      <c r="D527" s="3" t="str">
        <f>IF(配列!E527="",RIGHT(配列!D527&amp;配列!E527,4)&amp;"L",RIGHT(配列!D527&amp;配列!E527,5))</f>
        <v>L</v>
      </c>
      <c r="E527" s="3">
        <f t="shared" si="32"/>
        <v>0</v>
      </c>
      <c r="F527" s="3" t="e">
        <f>_xlfn.XLOOKUP(E527,セットアップレポート_紐づけ用!A:A,セットアップレポート_紐づけ用!J:J)</f>
        <v>#N/A</v>
      </c>
      <c r="G527" s="3" t="e">
        <f>_xlfn.XLOOKUP(E527,セットアップレポート_紐づけ用!A:A,セットアップレポート_紐づけ用!V:V)</f>
        <v>#N/A</v>
      </c>
      <c r="H527" s="3">
        <f t="shared" si="35"/>
        <v>-2</v>
      </c>
      <c r="I527" t="str">
        <f>IF(J527=0,"",IF(配列!E527="",マクロ実行!$A$16 &amp;" T"&amp;H527&amp;"-"&amp;RIGHT(配列!D527&amp;配列!E527,2),マクロ実行!$A$16 &amp;" T"&amp;H527&amp;"-"&amp;RIGHT(配列!D527&amp;配列!E527,3)))</f>
        <v/>
      </c>
      <c r="J527">
        <f>配列!F527</f>
        <v>0</v>
      </c>
      <c r="K527" s="2" t="e">
        <f>_xlfn.XLOOKUP(E527,セットアップレポート_紐づけ用!A:A,セットアップレポート_紐づけ用!R:R)</f>
        <v>#N/A</v>
      </c>
      <c r="L527" t="e">
        <f t="shared" si="33"/>
        <v>#N/A</v>
      </c>
      <c r="M527" t="e">
        <f>_xlfn.XLOOKUP(L527,EGPro!A:A,EGPro!D:D)</f>
        <v>#N/A</v>
      </c>
      <c r="N527" t="e">
        <f>_xlfn.XLOOKUP(L527,EGPro!A:A,EGPro!C:C)</f>
        <v>#N/A</v>
      </c>
      <c r="O527" t="e">
        <f t="shared" si="34"/>
        <v>#N/A</v>
      </c>
      <c r="P527" t="e">
        <f>_xlfn.XLOOKUP(O527,EGPro!A:A,EGPro!D:D)</f>
        <v>#N/A</v>
      </c>
      <c r="Q527" t="e">
        <f>_xlfn.XLOOKUP(O527,EGPro!A:A,EGPro!C:C)</f>
        <v>#N/A</v>
      </c>
    </row>
    <row r="528" spans="1:17" x14ac:dyDescent="0.45">
      <c r="A528" s="3">
        <f>配列!B528</f>
        <v>0</v>
      </c>
      <c r="B528" s="3" t="e">
        <f>_xlfn.XLOOKUP(A528,対応表!A:A,対応表!B:B)</f>
        <v>#N/A</v>
      </c>
      <c r="C528" s="3">
        <f>配列!C528</f>
        <v>0</v>
      </c>
      <c r="D528" s="3" t="str">
        <f>IF(配列!E528="",RIGHT(配列!D528&amp;配列!E528,4)&amp;"L",RIGHT(配列!D528&amp;配列!E528,5))</f>
        <v>L</v>
      </c>
      <c r="E528" s="3">
        <f t="shared" si="32"/>
        <v>0</v>
      </c>
      <c r="F528" s="3" t="e">
        <f>_xlfn.XLOOKUP(E528,セットアップレポート_紐づけ用!A:A,セットアップレポート_紐づけ用!J:J)</f>
        <v>#N/A</v>
      </c>
      <c r="G528" s="3" t="e">
        <f>_xlfn.XLOOKUP(E528,セットアップレポート_紐づけ用!A:A,セットアップレポート_紐づけ用!V:V)</f>
        <v>#N/A</v>
      </c>
      <c r="H528" s="3">
        <f t="shared" si="35"/>
        <v>-2</v>
      </c>
      <c r="I528" t="str">
        <f>IF(J528=0,"",IF(配列!E528="",マクロ実行!$A$16 &amp;" T"&amp;H528&amp;"-"&amp;RIGHT(配列!D528&amp;配列!E528,2),マクロ実行!$A$16 &amp;" T"&amp;H528&amp;"-"&amp;RIGHT(配列!D528&amp;配列!E528,3)))</f>
        <v/>
      </c>
      <c r="J528">
        <f>配列!F528</f>
        <v>0</v>
      </c>
      <c r="K528" s="2" t="e">
        <f>_xlfn.XLOOKUP(E528,セットアップレポート_紐づけ用!A:A,セットアップレポート_紐づけ用!R:R)</f>
        <v>#N/A</v>
      </c>
      <c r="L528" t="e">
        <f t="shared" si="33"/>
        <v>#N/A</v>
      </c>
      <c r="M528" t="e">
        <f>_xlfn.XLOOKUP(L528,EGPro!A:A,EGPro!D:D)</f>
        <v>#N/A</v>
      </c>
      <c r="N528" t="e">
        <f>_xlfn.XLOOKUP(L528,EGPro!A:A,EGPro!C:C)</f>
        <v>#N/A</v>
      </c>
      <c r="O528" t="e">
        <f t="shared" si="34"/>
        <v>#N/A</v>
      </c>
      <c r="P528" t="e">
        <f>_xlfn.XLOOKUP(O528,EGPro!A:A,EGPro!D:D)</f>
        <v>#N/A</v>
      </c>
      <c r="Q528" t="e">
        <f>_xlfn.XLOOKUP(O528,EGPro!A:A,EGPro!C:C)</f>
        <v>#N/A</v>
      </c>
    </row>
    <row r="529" spans="1:17" x14ac:dyDescent="0.45">
      <c r="A529" s="3">
        <f>配列!B529</f>
        <v>0</v>
      </c>
      <c r="B529" s="3" t="e">
        <f>_xlfn.XLOOKUP(A529,対応表!A:A,対応表!B:B)</f>
        <v>#N/A</v>
      </c>
      <c r="C529" s="3">
        <f>配列!C529</f>
        <v>0</v>
      </c>
      <c r="D529" s="3" t="str">
        <f>IF(配列!E529="",RIGHT(配列!D529&amp;配列!E529,4)&amp;"L",RIGHT(配列!D529&amp;配列!E529,5))</f>
        <v>L</v>
      </c>
      <c r="E529" s="3">
        <f t="shared" si="32"/>
        <v>0</v>
      </c>
      <c r="F529" s="3" t="e">
        <f>_xlfn.XLOOKUP(E529,セットアップレポート_紐づけ用!A:A,セットアップレポート_紐づけ用!J:J)</f>
        <v>#N/A</v>
      </c>
      <c r="G529" s="3" t="e">
        <f>_xlfn.XLOOKUP(E529,セットアップレポート_紐づけ用!A:A,セットアップレポート_紐づけ用!V:V)</f>
        <v>#N/A</v>
      </c>
      <c r="H529" s="3">
        <f t="shared" si="35"/>
        <v>-2</v>
      </c>
      <c r="I529" t="str">
        <f>IF(J529=0,"",IF(配列!E529="",マクロ実行!$A$16 &amp;" T"&amp;H529&amp;"-"&amp;RIGHT(配列!D529&amp;配列!E529,2),マクロ実行!$A$16 &amp;" T"&amp;H529&amp;"-"&amp;RIGHT(配列!D529&amp;配列!E529,3)))</f>
        <v/>
      </c>
      <c r="J529">
        <f>配列!F529</f>
        <v>0</v>
      </c>
      <c r="K529" s="2" t="e">
        <f>_xlfn.XLOOKUP(E529,セットアップレポート_紐づけ用!A:A,セットアップレポート_紐づけ用!R:R)</f>
        <v>#N/A</v>
      </c>
      <c r="L529" t="e">
        <f t="shared" si="33"/>
        <v>#N/A</v>
      </c>
      <c r="M529" t="e">
        <f>_xlfn.XLOOKUP(L529,EGPro!A:A,EGPro!D:D)</f>
        <v>#N/A</v>
      </c>
      <c r="N529" t="e">
        <f>_xlfn.XLOOKUP(L529,EGPro!A:A,EGPro!C:C)</f>
        <v>#N/A</v>
      </c>
      <c r="O529" t="e">
        <f t="shared" si="34"/>
        <v>#N/A</v>
      </c>
      <c r="P529" t="e">
        <f>_xlfn.XLOOKUP(O529,EGPro!A:A,EGPro!D:D)</f>
        <v>#N/A</v>
      </c>
      <c r="Q529" t="e">
        <f>_xlfn.XLOOKUP(O529,EGPro!A:A,EGPro!C:C)</f>
        <v>#N/A</v>
      </c>
    </row>
    <row r="530" spans="1:17" x14ac:dyDescent="0.45">
      <c r="A530" s="3">
        <f>配列!B530</f>
        <v>0</v>
      </c>
      <c r="B530" s="3" t="e">
        <f>_xlfn.XLOOKUP(A530,対応表!A:A,対応表!B:B)</f>
        <v>#N/A</v>
      </c>
      <c r="C530" s="3">
        <f>配列!C530</f>
        <v>0</v>
      </c>
      <c r="D530" s="3" t="str">
        <f>IF(配列!E530="",RIGHT(配列!D530&amp;配列!E530,4)&amp;"L",RIGHT(配列!D530&amp;配列!E530,5))</f>
        <v>L</v>
      </c>
      <c r="E530" s="3">
        <f t="shared" si="32"/>
        <v>0</v>
      </c>
      <c r="F530" s="3" t="e">
        <f>_xlfn.XLOOKUP(E530,セットアップレポート_紐づけ用!A:A,セットアップレポート_紐づけ用!J:J)</f>
        <v>#N/A</v>
      </c>
      <c r="G530" s="3" t="e">
        <f>_xlfn.XLOOKUP(E530,セットアップレポート_紐づけ用!A:A,セットアップレポート_紐づけ用!V:V)</f>
        <v>#N/A</v>
      </c>
      <c r="H530" s="3">
        <f t="shared" si="35"/>
        <v>-2</v>
      </c>
      <c r="I530" t="str">
        <f>IF(J530=0,"",IF(配列!E530="",マクロ実行!$A$16 &amp;" T"&amp;H530&amp;"-"&amp;RIGHT(配列!D530&amp;配列!E530,2),マクロ実行!$A$16 &amp;" T"&amp;H530&amp;"-"&amp;RIGHT(配列!D530&amp;配列!E530,3)))</f>
        <v/>
      </c>
      <c r="J530">
        <f>配列!F530</f>
        <v>0</v>
      </c>
      <c r="K530" s="2" t="e">
        <f>_xlfn.XLOOKUP(E530,セットアップレポート_紐づけ用!A:A,セットアップレポート_紐づけ用!R:R)</f>
        <v>#N/A</v>
      </c>
      <c r="L530" t="e">
        <f t="shared" si="33"/>
        <v>#N/A</v>
      </c>
      <c r="M530" t="e">
        <f>_xlfn.XLOOKUP(L530,EGPro!A:A,EGPro!D:D)</f>
        <v>#N/A</v>
      </c>
      <c r="N530" t="e">
        <f>_xlfn.XLOOKUP(L530,EGPro!A:A,EGPro!C:C)</f>
        <v>#N/A</v>
      </c>
      <c r="O530" t="e">
        <f t="shared" si="34"/>
        <v>#N/A</v>
      </c>
      <c r="P530" t="e">
        <f>_xlfn.XLOOKUP(O530,EGPro!A:A,EGPro!D:D)</f>
        <v>#N/A</v>
      </c>
      <c r="Q530" t="e">
        <f>_xlfn.XLOOKUP(O530,EGPro!A:A,EGPro!C:C)</f>
        <v>#N/A</v>
      </c>
    </row>
    <row r="531" spans="1:17" x14ac:dyDescent="0.45">
      <c r="A531" s="3">
        <f>配列!B531</f>
        <v>0</v>
      </c>
      <c r="B531" s="3" t="e">
        <f>_xlfn.XLOOKUP(A531,対応表!A:A,対応表!B:B)</f>
        <v>#N/A</v>
      </c>
      <c r="C531" s="3">
        <f>配列!C531</f>
        <v>0</v>
      </c>
      <c r="D531" s="3" t="str">
        <f>IF(配列!E531="",RIGHT(配列!D531&amp;配列!E531,4)&amp;"L",RIGHT(配列!D531&amp;配列!E531,5))</f>
        <v>L</v>
      </c>
      <c r="E531" s="3">
        <f t="shared" si="32"/>
        <v>0</v>
      </c>
      <c r="F531" s="3" t="e">
        <f>_xlfn.XLOOKUP(E531,セットアップレポート_紐づけ用!A:A,セットアップレポート_紐づけ用!J:J)</f>
        <v>#N/A</v>
      </c>
      <c r="G531" s="3" t="e">
        <f>_xlfn.XLOOKUP(E531,セットアップレポート_紐づけ用!A:A,セットアップレポート_紐づけ用!V:V)</f>
        <v>#N/A</v>
      </c>
      <c r="H531" s="3">
        <f t="shared" si="35"/>
        <v>-2</v>
      </c>
      <c r="I531" t="str">
        <f>IF(J531=0,"",IF(配列!E531="",マクロ実行!$A$16 &amp;" T"&amp;H531&amp;"-"&amp;RIGHT(配列!D531&amp;配列!E531,2),マクロ実行!$A$16 &amp;" T"&amp;H531&amp;"-"&amp;RIGHT(配列!D531&amp;配列!E531,3)))</f>
        <v/>
      </c>
      <c r="J531">
        <f>配列!F531</f>
        <v>0</v>
      </c>
      <c r="K531" s="2" t="e">
        <f>_xlfn.XLOOKUP(E531,セットアップレポート_紐づけ用!A:A,セットアップレポート_紐づけ用!R:R)</f>
        <v>#N/A</v>
      </c>
      <c r="L531" t="e">
        <f t="shared" si="33"/>
        <v>#N/A</v>
      </c>
      <c r="M531" t="e">
        <f>_xlfn.XLOOKUP(L531,EGPro!A:A,EGPro!D:D)</f>
        <v>#N/A</v>
      </c>
      <c r="N531" t="e">
        <f>_xlfn.XLOOKUP(L531,EGPro!A:A,EGPro!C:C)</f>
        <v>#N/A</v>
      </c>
      <c r="O531" t="e">
        <f t="shared" si="34"/>
        <v>#N/A</v>
      </c>
      <c r="P531" t="e">
        <f>_xlfn.XLOOKUP(O531,EGPro!A:A,EGPro!D:D)</f>
        <v>#N/A</v>
      </c>
      <c r="Q531" t="e">
        <f>_xlfn.XLOOKUP(O531,EGPro!A:A,EGPro!C:C)</f>
        <v>#N/A</v>
      </c>
    </row>
    <row r="532" spans="1:17" x14ac:dyDescent="0.45">
      <c r="A532" s="3">
        <f>配列!B532</f>
        <v>0</v>
      </c>
      <c r="B532" s="3" t="e">
        <f>_xlfn.XLOOKUP(A532,対応表!A:A,対応表!B:B)</f>
        <v>#N/A</v>
      </c>
      <c r="C532" s="3">
        <f>配列!C532</f>
        <v>0</v>
      </c>
      <c r="D532" s="3" t="str">
        <f>IF(配列!E532="",RIGHT(配列!D532&amp;配列!E532,4)&amp;"L",RIGHT(配列!D532&amp;配列!E532,5))</f>
        <v>L</v>
      </c>
      <c r="E532" s="3">
        <f t="shared" si="32"/>
        <v>0</v>
      </c>
      <c r="F532" s="3" t="e">
        <f>_xlfn.XLOOKUP(E532,セットアップレポート_紐づけ用!A:A,セットアップレポート_紐づけ用!J:J)</f>
        <v>#N/A</v>
      </c>
      <c r="G532" s="3" t="e">
        <f>_xlfn.XLOOKUP(E532,セットアップレポート_紐づけ用!A:A,セットアップレポート_紐づけ用!V:V)</f>
        <v>#N/A</v>
      </c>
      <c r="H532" s="3">
        <f t="shared" si="35"/>
        <v>-2</v>
      </c>
      <c r="I532" t="str">
        <f>IF(J532=0,"",IF(配列!E532="",マクロ実行!$A$16 &amp;" T"&amp;H532&amp;"-"&amp;RIGHT(配列!D532&amp;配列!E532,2),マクロ実行!$A$16 &amp;" T"&amp;H532&amp;"-"&amp;RIGHT(配列!D532&amp;配列!E532,3)))</f>
        <v/>
      </c>
      <c r="J532">
        <f>配列!F532</f>
        <v>0</v>
      </c>
      <c r="K532" s="2" t="e">
        <f>_xlfn.XLOOKUP(E532,セットアップレポート_紐づけ用!A:A,セットアップレポート_紐づけ用!R:R)</f>
        <v>#N/A</v>
      </c>
      <c r="L532" t="e">
        <f t="shared" si="33"/>
        <v>#N/A</v>
      </c>
      <c r="M532" t="e">
        <f>_xlfn.XLOOKUP(L532,EGPro!A:A,EGPro!D:D)</f>
        <v>#N/A</v>
      </c>
      <c r="N532" t="e">
        <f>_xlfn.XLOOKUP(L532,EGPro!A:A,EGPro!C:C)</f>
        <v>#N/A</v>
      </c>
      <c r="O532" t="e">
        <f t="shared" si="34"/>
        <v>#N/A</v>
      </c>
      <c r="P532" t="e">
        <f>_xlfn.XLOOKUP(O532,EGPro!A:A,EGPro!D:D)</f>
        <v>#N/A</v>
      </c>
      <c r="Q532" t="e">
        <f>_xlfn.XLOOKUP(O532,EGPro!A:A,EGPro!C:C)</f>
        <v>#N/A</v>
      </c>
    </row>
    <row r="533" spans="1:17" x14ac:dyDescent="0.45">
      <c r="A533" s="3">
        <f>配列!B533</f>
        <v>0</v>
      </c>
      <c r="B533" s="3" t="e">
        <f>_xlfn.XLOOKUP(A533,対応表!A:A,対応表!B:B)</f>
        <v>#N/A</v>
      </c>
      <c r="C533" s="3">
        <f>配列!C533</f>
        <v>0</v>
      </c>
      <c r="D533" s="3" t="str">
        <f>IF(配列!E533="",RIGHT(配列!D533&amp;配列!E533,4)&amp;"L",RIGHT(配列!D533&amp;配列!E533,5))</f>
        <v>L</v>
      </c>
      <c r="E533" s="3">
        <f t="shared" si="32"/>
        <v>0</v>
      </c>
      <c r="F533" s="3" t="e">
        <f>_xlfn.XLOOKUP(E533,セットアップレポート_紐づけ用!A:A,セットアップレポート_紐づけ用!J:J)</f>
        <v>#N/A</v>
      </c>
      <c r="G533" s="3" t="e">
        <f>_xlfn.XLOOKUP(E533,セットアップレポート_紐づけ用!A:A,セットアップレポート_紐づけ用!V:V)</f>
        <v>#N/A</v>
      </c>
      <c r="H533" s="3">
        <f t="shared" si="35"/>
        <v>-2</v>
      </c>
      <c r="I533" t="str">
        <f>IF(J533=0,"",IF(配列!E533="",マクロ実行!$A$16 &amp;" T"&amp;H533&amp;"-"&amp;RIGHT(配列!D533&amp;配列!E533,2),マクロ実行!$A$16 &amp;" T"&amp;H533&amp;"-"&amp;RIGHT(配列!D533&amp;配列!E533,3)))</f>
        <v/>
      </c>
      <c r="J533">
        <f>配列!F533</f>
        <v>0</v>
      </c>
      <c r="K533" s="2" t="e">
        <f>_xlfn.XLOOKUP(E533,セットアップレポート_紐づけ用!A:A,セットアップレポート_紐づけ用!R:R)</f>
        <v>#N/A</v>
      </c>
      <c r="L533" t="e">
        <f t="shared" si="33"/>
        <v>#N/A</v>
      </c>
      <c r="M533" t="e">
        <f>_xlfn.XLOOKUP(L533,EGPro!A:A,EGPro!D:D)</f>
        <v>#N/A</v>
      </c>
      <c r="N533" t="e">
        <f>_xlfn.XLOOKUP(L533,EGPro!A:A,EGPro!C:C)</f>
        <v>#N/A</v>
      </c>
      <c r="O533" t="e">
        <f t="shared" si="34"/>
        <v>#N/A</v>
      </c>
      <c r="P533" t="e">
        <f>_xlfn.XLOOKUP(O533,EGPro!A:A,EGPro!D:D)</f>
        <v>#N/A</v>
      </c>
      <c r="Q533" t="e">
        <f>_xlfn.XLOOKUP(O533,EGPro!A:A,EGPro!C:C)</f>
        <v>#N/A</v>
      </c>
    </row>
    <row r="534" spans="1:17" x14ac:dyDescent="0.45">
      <c r="A534" s="3">
        <f>配列!B534</f>
        <v>0</v>
      </c>
      <c r="B534" s="3" t="e">
        <f>_xlfn.XLOOKUP(A534,対応表!A:A,対応表!B:B)</f>
        <v>#N/A</v>
      </c>
      <c r="C534" s="3">
        <f>配列!C534</f>
        <v>0</v>
      </c>
      <c r="D534" s="3" t="str">
        <f>IF(配列!E534="",RIGHT(配列!D534&amp;配列!E534,4)&amp;"L",RIGHT(配列!D534&amp;配列!E534,5))</f>
        <v>L</v>
      </c>
      <c r="E534" s="3">
        <f t="shared" si="32"/>
        <v>0</v>
      </c>
      <c r="F534" s="3" t="e">
        <f>_xlfn.XLOOKUP(E534,セットアップレポート_紐づけ用!A:A,セットアップレポート_紐づけ用!J:J)</f>
        <v>#N/A</v>
      </c>
      <c r="G534" s="3" t="e">
        <f>_xlfn.XLOOKUP(E534,セットアップレポート_紐づけ用!A:A,セットアップレポート_紐づけ用!V:V)</f>
        <v>#N/A</v>
      </c>
      <c r="H534" s="3">
        <f t="shared" si="35"/>
        <v>-2</v>
      </c>
      <c r="I534" t="str">
        <f>IF(J534=0,"",IF(配列!E534="",マクロ実行!$A$16 &amp;" T"&amp;H534&amp;"-"&amp;RIGHT(配列!D534&amp;配列!E534,2),マクロ実行!$A$16 &amp;" T"&amp;H534&amp;"-"&amp;RIGHT(配列!D534&amp;配列!E534,3)))</f>
        <v/>
      </c>
      <c r="J534">
        <f>配列!F534</f>
        <v>0</v>
      </c>
      <c r="K534" s="2" t="e">
        <f>_xlfn.XLOOKUP(E534,セットアップレポート_紐づけ用!A:A,セットアップレポート_紐づけ用!R:R)</f>
        <v>#N/A</v>
      </c>
      <c r="L534" t="e">
        <f t="shared" si="33"/>
        <v>#N/A</v>
      </c>
      <c r="M534" t="e">
        <f>_xlfn.XLOOKUP(L534,EGPro!A:A,EGPro!D:D)</f>
        <v>#N/A</v>
      </c>
      <c r="N534" t="e">
        <f>_xlfn.XLOOKUP(L534,EGPro!A:A,EGPro!C:C)</f>
        <v>#N/A</v>
      </c>
      <c r="O534" t="e">
        <f t="shared" si="34"/>
        <v>#N/A</v>
      </c>
      <c r="P534" t="e">
        <f>_xlfn.XLOOKUP(O534,EGPro!A:A,EGPro!D:D)</f>
        <v>#N/A</v>
      </c>
      <c r="Q534" t="e">
        <f>_xlfn.XLOOKUP(O534,EGPro!A:A,EGPro!C:C)</f>
        <v>#N/A</v>
      </c>
    </row>
    <row r="535" spans="1:17" x14ac:dyDescent="0.45">
      <c r="A535" s="3">
        <f>配列!B535</f>
        <v>0</v>
      </c>
      <c r="B535" s="3" t="e">
        <f>_xlfn.XLOOKUP(A535,対応表!A:A,対応表!B:B)</f>
        <v>#N/A</v>
      </c>
      <c r="C535" s="3">
        <f>配列!C535</f>
        <v>0</v>
      </c>
      <c r="D535" s="3" t="str">
        <f>IF(配列!E535="",RIGHT(配列!D535&amp;配列!E535,4)&amp;"L",RIGHT(配列!D535&amp;配列!E535,5))</f>
        <v>L</v>
      </c>
      <c r="E535" s="3">
        <f t="shared" si="32"/>
        <v>0</v>
      </c>
      <c r="F535" s="3" t="e">
        <f>_xlfn.XLOOKUP(E535,セットアップレポート_紐づけ用!A:A,セットアップレポート_紐づけ用!J:J)</f>
        <v>#N/A</v>
      </c>
      <c r="G535" s="3" t="e">
        <f>_xlfn.XLOOKUP(E535,セットアップレポート_紐づけ用!A:A,セットアップレポート_紐づけ用!V:V)</f>
        <v>#N/A</v>
      </c>
      <c r="H535" s="3">
        <f t="shared" si="35"/>
        <v>-2</v>
      </c>
      <c r="I535" t="str">
        <f>IF(J535=0,"",IF(配列!E535="",マクロ実行!$A$16 &amp;" T"&amp;H535&amp;"-"&amp;RIGHT(配列!D535&amp;配列!E535,2),マクロ実行!$A$16 &amp;" T"&amp;H535&amp;"-"&amp;RIGHT(配列!D535&amp;配列!E535,3)))</f>
        <v/>
      </c>
      <c r="J535">
        <f>配列!F535</f>
        <v>0</v>
      </c>
      <c r="K535" s="2" t="e">
        <f>_xlfn.XLOOKUP(E535,セットアップレポート_紐づけ用!A:A,セットアップレポート_紐づけ用!R:R)</f>
        <v>#N/A</v>
      </c>
      <c r="L535" t="e">
        <f t="shared" si="33"/>
        <v>#N/A</v>
      </c>
      <c r="M535" t="e">
        <f>_xlfn.XLOOKUP(L535,EGPro!A:A,EGPro!D:D)</f>
        <v>#N/A</v>
      </c>
      <c r="N535" t="e">
        <f>_xlfn.XLOOKUP(L535,EGPro!A:A,EGPro!C:C)</f>
        <v>#N/A</v>
      </c>
      <c r="O535" t="e">
        <f t="shared" si="34"/>
        <v>#N/A</v>
      </c>
      <c r="P535" t="e">
        <f>_xlfn.XLOOKUP(O535,EGPro!A:A,EGPro!D:D)</f>
        <v>#N/A</v>
      </c>
      <c r="Q535" t="e">
        <f>_xlfn.XLOOKUP(O535,EGPro!A:A,EGPro!C:C)</f>
        <v>#N/A</v>
      </c>
    </row>
    <row r="536" spans="1:17" x14ac:dyDescent="0.45">
      <c r="A536" s="3">
        <f>配列!B536</f>
        <v>0</v>
      </c>
      <c r="B536" s="3" t="e">
        <f>_xlfn.XLOOKUP(A536,対応表!A:A,対応表!B:B)</f>
        <v>#N/A</v>
      </c>
      <c r="C536" s="3">
        <f>配列!C536</f>
        <v>0</v>
      </c>
      <c r="D536" s="3" t="str">
        <f>IF(配列!E536="",RIGHT(配列!D536&amp;配列!E536,4)&amp;"L",RIGHT(配列!D536&amp;配列!E536,5))</f>
        <v>L</v>
      </c>
      <c r="E536" s="3">
        <f t="shared" si="32"/>
        <v>0</v>
      </c>
      <c r="F536" s="3" t="e">
        <f>_xlfn.XLOOKUP(E536,セットアップレポート_紐づけ用!A:A,セットアップレポート_紐づけ用!J:J)</f>
        <v>#N/A</v>
      </c>
      <c r="G536" s="3" t="e">
        <f>_xlfn.XLOOKUP(E536,セットアップレポート_紐づけ用!A:A,セットアップレポート_紐づけ用!V:V)</f>
        <v>#N/A</v>
      </c>
      <c r="H536" s="3">
        <f t="shared" si="35"/>
        <v>-2</v>
      </c>
      <c r="I536" t="str">
        <f>IF(J536=0,"",IF(配列!E536="",マクロ実行!$A$16 &amp;" T"&amp;H536&amp;"-"&amp;RIGHT(配列!D536&amp;配列!E536,2),マクロ実行!$A$16 &amp;" T"&amp;H536&amp;"-"&amp;RIGHT(配列!D536&amp;配列!E536,3)))</f>
        <v/>
      </c>
      <c r="J536">
        <f>配列!F536</f>
        <v>0</v>
      </c>
      <c r="K536" s="2" t="e">
        <f>_xlfn.XLOOKUP(E536,セットアップレポート_紐づけ用!A:A,セットアップレポート_紐づけ用!R:R)</f>
        <v>#N/A</v>
      </c>
      <c r="L536" t="e">
        <f t="shared" si="33"/>
        <v>#N/A</v>
      </c>
      <c r="M536" t="e">
        <f>_xlfn.XLOOKUP(L536,EGPro!A:A,EGPro!D:D)</f>
        <v>#N/A</v>
      </c>
      <c r="N536" t="e">
        <f>_xlfn.XLOOKUP(L536,EGPro!A:A,EGPro!C:C)</f>
        <v>#N/A</v>
      </c>
      <c r="O536" t="e">
        <f t="shared" si="34"/>
        <v>#N/A</v>
      </c>
      <c r="P536" t="e">
        <f>_xlfn.XLOOKUP(O536,EGPro!A:A,EGPro!D:D)</f>
        <v>#N/A</v>
      </c>
      <c r="Q536" t="e">
        <f>_xlfn.XLOOKUP(O536,EGPro!A:A,EGPro!C:C)</f>
        <v>#N/A</v>
      </c>
    </row>
    <row r="537" spans="1:17" x14ac:dyDescent="0.45">
      <c r="A537" s="3">
        <f>配列!B537</f>
        <v>0</v>
      </c>
      <c r="B537" s="3" t="e">
        <f>_xlfn.XLOOKUP(A537,対応表!A:A,対応表!B:B)</f>
        <v>#N/A</v>
      </c>
      <c r="C537" s="3">
        <f>配列!C537</f>
        <v>0</v>
      </c>
      <c r="D537" s="3" t="str">
        <f>IF(配列!E537="",RIGHT(配列!D537&amp;配列!E537,4)&amp;"L",RIGHT(配列!D537&amp;配列!E537,5))</f>
        <v>L</v>
      </c>
      <c r="E537" s="3">
        <f t="shared" si="32"/>
        <v>0</v>
      </c>
      <c r="F537" s="3" t="e">
        <f>_xlfn.XLOOKUP(E537,セットアップレポート_紐づけ用!A:A,セットアップレポート_紐づけ用!J:J)</f>
        <v>#N/A</v>
      </c>
      <c r="G537" s="3" t="e">
        <f>_xlfn.XLOOKUP(E537,セットアップレポート_紐づけ用!A:A,セットアップレポート_紐づけ用!V:V)</f>
        <v>#N/A</v>
      </c>
      <c r="H537" s="3">
        <f t="shared" si="35"/>
        <v>-2</v>
      </c>
      <c r="I537" t="str">
        <f>IF(J537=0,"",IF(配列!E537="",マクロ実行!$A$16 &amp;" T"&amp;H537&amp;"-"&amp;RIGHT(配列!D537&amp;配列!E537,2),マクロ実行!$A$16 &amp;" T"&amp;H537&amp;"-"&amp;RIGHT(配列!D537&amp;配列!E537,3)))</f>
        <v/>
      </c>
      <c r="J537">
        <f>配列!F537</f>
        <v>0</v>
      </c>
      <c r="K537" s="2" t="e">
        <f>_xlfn.XLOOKUP(E537,セットアップレポート_紐づけ用!A:A,セットアップレポート_紐づけ用!R:R)</f>
        <v>#N/A</v>
      </c>
      <c r="L537" t="e">
        <f t="shared" si="33"/>
        <v>#N/A</v>
      </c>
      <c r="M537" t="e">
        <f>_xlfn.XLOOKUP(L537,EGPro!A:A,EGPro!D:D)</f>
        <v>#N/A</v>
      </c>
      <c r="N537" t="e">
        <f>_xlfn.XLOOKUP(L537,EGPro!A:A,EGPro!C:C)</f>
        <v>#N/A</v>
      </c>
      <c r="O537" t="e">
        <f t="shared" si="34"/>
        <v>#N/A</v>
      </c>
      <c r="P537" t="e">
        <f>_xlfn.XLOOKUP(O537,EGPro!A:A,EGPro!D:D)</f>
        <v>#N/A</v>
      </c>
      <c r="Q537" t="e">
        <f>_xlfn.XLOOKUP(O537,EGPro!A:A,EGPro!C:C)</f>
        <v>#N/A</v>
      </c>
    </row>
    <row r="538" spans="1:17" x14ac:dyDescent="0.45">
      <c r="A538" s="3">
        <f>配列!B538</f>
        <v>0</v>
      </c>
      <c r="B538" s="3" t="e">
        <f>_xlfn.XLOOKUP(A538,対応表!A:A,対応表!B:B)</f>
        <v>#N/A</v>
      </c>
      <c r="C538" s="3">
        <f>配列!C538</f>
        <v>0</v>
      </c>
      <c r="D538" s="3" t="str">
        <f>IF(配列!E538="",RIGHT(配列!D538&amp;配列!E538,4)&amp;"L",RIGHT(配列!D538&amp;配列!E538,5))</f>
        <v>L</v>
      </c>
      <c r="E538" s="3">
        <f t="shared" si="32"/>
        <v>0</v>
      </c>
      <c r="F538" s="3" t="e">
        <f>_xlfn.XLOOKUP(E538,セットアップレポート_紐づけ用!A:A,セットアップレポート_紐づけ用!J:J)</f>
        <v>#N/A</v>
      </c>
      <c r="G538" s="3" t="e">
        <f>_xlfn.XLOOKUP(E538,セットアップレポート_紐づけ用!A:A,セットアップレポート_紐づけ用!V:V)</f>
        <v>#N/A</v>
      </c>
      <c r="H538" s="3">
        <f t="shared" si="35"/>
        <v>-2</v>
      </c>
      <c r="I538" t="str">
        <f>IF(J538=0,"",IF(配列!E538="",マクロ実行!$A$16 &amp;" T"&amp;H538&amp;"-"&amp;RIGHT(配列!D538&amp;配列!E538,2),マクロ実行!$A$16 &amp;" T"&amp;H538&amp;"-"&amp;RIGHT(配列!D538&amp;配列!E538,3)))</f>
        <v/>
      </c>
      <c r="J538">
        <f>配列!F538</f>
        <v>0</v>
      </c>
      <c r="K538" s="2" t="e">
        <f>_xlfn.XLOOKUP(E538,セットアップレポート_紐づけ用!A:A,セットアップレポート_紐づけ用!R:R)</f>
        <v>#N/A</v>
      </c>
      <c r="L538" t="e">
        <f t="shared" si="33"/>
        <v>#N/A</v>
      </c>
      <c r="M538" t="e">
        <f>_xlfn.XLOOKUP(L538,EGPro!A:A,EGPro!D:D)</f>
        <v>#N/A</v>
      </c>
      <c r="N538" t="e">
        <f>_xlfn.XLOOKUP(L538,EGPro!A:A,EGPro!C:C)</f>
        <v>#N/A</v>
      </c>
      <c r="O538" t="e">
        <f t="shared" si="34"/>
        <v>#N/A</v>
      </c>
      <c r="P538" t="e">
        <f>_xlfn.XLOOKUP(O538,EGPro!A:A,EGPro!D:D)</f>
        <v>#N/A</v>
      </c>
      <c r="Q538" t="e">
        <f>_xlfn.XLOOKUP(O538,EGPro!A:A,EGPro!C:C)</f>
        <v>#N/A</v>
      </c>
    </row>
    <row r="539" spans="1:17" x14ac:dyDescent="0.45">
      <c r="A539" s="3">
        <f>配列!B539</f>
        <v>0</v>
      </c>
      <c r="B539" s="3" t="e">
        <f>_xlfn.XLOOKUP(A539,対応表!A:A,対応表!B:B)</f>
        <v>#N/A</v>
      </c>
      <c r="C539" s="3">
        <f>配列!C539</f>
        <v>0</v>
      </c>
      <c r="D539" s="3" t="str">
        <f>IF(配列!E539="",RIGHT(配列!D539&amp;配列!E539,4)&amp;"L",RIGHT(配列!D539&amp;配列!E539,5))</f>
        <v>L</v>
      </c>
      <c r="E539" s="3">
        <f t="shared" si="32"/>
        <v>0</v>
      </c>
      <c r="F539" s="3" t="e">
        <f>_xlfn.XLOOKUP(E539,セットアップレポート_紐づけ用!A:A,セットアップレポート_紐づけ用!J:J)</f>
        <v>#N/A</v>
      </c>
      <c r="G539" s="3" t="e">
        <f>_xlfn.XLOOKUP(E539,セットアップレポート_紐づけ用!A:A,セットアップレポート_紐づけ用!V:V)</f>
        <v>#N/A</v>
      </c>
      <c r="H539" s="3">
        <f t="shared" si="35"/>
        <v>-2</v>
      </c>
      <c r="I539" t="str">
        <f>IF(J539=0,"",IF(配列!E539="",マクロ実行!$A$16 &amp;" T"&amp;H539&amp;"-"&amp;RIGHT(配列!D539&amp;配列!E539,2),マクロ実行!$A$16 &amp;" T"&amp;H539&amp;"-"&amp;RIGHT(配列!D539&amp;配列!E539,3)))</f>
        <v/>
      </c>
      <c r="J539">
        <f>配列!F539</f>
        <v>0</v>
      </c>
      <c r="K539" s="2" t="e">
        <f>_xlfn.XLOOKUP(E539,セットアップレポート_紐づけ用!A:A,セットアップレポート_紐づけ用!R:R)</f>
        <v>#N/A</v>
      </c>
      <c r="L539" t="e">
        <f t="shared" si="33"/>
        <v>#N/A</v>
      </c>
      <c r="M539" t="e">
        <f>_xlfn.XLOOKUP(L539,EGPro!A:A,EGPro!D:D)</f>
        <v>#N/A</v>
      </c>
      <c r="N539" t="e">
        <f>_xlfn.XLOOKUP(L539,EGPro!A:A,EGPro!C:C)</f>
        <v>#N/A</v>
      </c>
      <c r="O539" t="e">
        <f t="shared" si="34"/>
        <v>#N/A</v>
      </c>
      <c r="P539" t="e">
        <f>_xlfn.XLOOKUP(O539,EGPro!A:A,EGPro!D:D)</f>
        <v>#N/A</v>
      </c>
      <c r="Q539" t="e">
        <f>_xlfn.XLOOKUP(O539,EGPro!A:A,EGPro!C:C)</f>
        <v>#N/A</v>
      </c>
    </row>
    <row r="540" spans="1:17" x14ac:dyDescent="0.45">
      <c r="A540" s="3">
        <f>配列!B540</f>
        <v>0</v>
      </c>
      <c r="B540" s="3" t="e">
        <f>_xlfn.XLOOKUP(A540,対応表!A:A,対応表!B:B)</f>
        <v>#N/A</v>
      </c>
      <c r="C540" s="3">
        <f>配列!C540</f>
        <v>0</v>
      </c>
      <c r="D540" s="3" t="str">
        <f>IF(配列!E540="",RIGHT(配列!D540&amp;配列!E540,4)&amp;"L",RIGHT(配列!D540&amp;配列!E540,5))</f>
        <v>L</v>
      </c>
      <c r="E540" s="3">
        <f t="shared" si="32"/>
        <v>0</v>
      </c>
      <c r="F540" s="3" t="e">
        <f>_xlfn.XLOOKUP(E540,セットアップレポート_紐づけ用!A:A,セットアップレポート_紐づけ用!J:J)</f>
        <v>#N/A</v>
      </c>
      <c r="G540" s="3" t="e">
        <f>_xlfn.XLOOKUP(E540,セットアップレポート_紐づけ用!A:A,セットアップレポート_紐づけ用!V:V)</f>
        <v>#N/A</v>
      </c>
      <c r="H540" s="3">
        <f t="shared" si="35"/>
        <v>-2</v>
      </c>
      <c r="I540" t="str">
        <f>IF(J540=0,"",IF(配列!E540="",マクロ実行!$A$16 &amp;" T"&amp;H540&amp;"-"&amp;RIGHT(配列!D540&amp;配列!E540,2),マクロ実行!$A$16 &amp;" T"&amp;H540&amp;"-"&amp;RIGHT(配列!D540&amp;配列!E540,3)))</f>
        <v/>
      </c>
      <c r="J540">
        <f>配列!F540</f>
        <v>0</v>
      </c>
      <c r="K540" s="2" t="e">
        <f>_xlfn.XLOOKUP(E540,セットアップレポート_紐づけ用!A:A,セットアップレポート_紐づけ用!R:R)</f>
        <v>#N/A</v>
      </c>
      <c r="L540" t="e">
        <f t="shared" si="33"/>
        <v>#N/A</v>
      </c>
      <c r="M540" t="e">
        <f>_xlfn.XLOOKUP(L540,EGPro!A:A,EGPro!D:D)</f>
        <v>#N/A</v>
      </c>
      <c r="N540" t="e">
        <f>_xlfn.XLOOKUP(L540,EGPro!A:A,EGPro!C:C)</f>
        <v>#N/A</v>
      </c>
      <c r="O540" t="e">
        <f t="shared" si="34"/>
        <v>#N/A</v>
      </c>
      <c r="P540" t="e">
        <f>_xlfn.XLOOKUP(O540,EGPro!A:A,EGPro!D:D)</f>
        <v>#N/A</v>
      </c>
      <c r="Q540" t="e">
        <f>_xlfn.XLOOKUP(O540,EGPro!A:A,EGPro!C:C)</f>
        <v>#N/A</v>
      </c>
    </row>
    <row r="541" spans="1:17" x14ac:dyDescent="0.45">
      <c r="A541" s="3">
        <f>配列!B541</f>
        <v>0</v>
      </c>
      <c r="B541" s="3" t="e">
        <f>_xlfn.XLOOKUP(A541,対応表!A:A,対応表!B:B)</f>
        <v>#N/A</v>
      </c>
      <c r="C541" s="3">
        <f>配列!C541</f>
        <v>0</v>
      </c>
      <c r="D541" s="3" t="str">
        <f>IF(配列!E541="",RIGHT(配列!D541&amp;配列!E541,4)&amp;"L",RIGHT(配列!D541&amp;配列!E541,5))</f>
        <v>L</v>
      </c>
      <c r="E541" s="3">
        <f t="shared" si="32"/>
        <v>0</v>
      </c>
      <c r="F541" s="3" t="e">
        <f>_xlfn.XLOOKUP(E541,セットアップレポート_紐づけ用!A:A,セットアップレポート_紐づけ用!J:J)</f>
        <v>#N/A</v>
      </c>
      <c r="G541" s="3" t="e">
        <f>_xlfn.XLOOKUP(E541,セットアップレポート_紐づけ用!A:A,セットアップレポート_紐づけ用!V:V)</f>
        <v>#N/A</v>
      </c>
      <c r="H541" s="3">
        <f t="shared" si="35"/>
        <v>-2</v>
      </c>
      <c r="I541" t="str">
        <f>IF(J541=0,"",IF(配列!E541="",マクロ実行!$A$16 &amp;" T"&amp;H541&amp;"-"&amp;RIGHT(配列!D541&amp;配列!E541,2),マクロ実行!$A$16 &amp;" T"&amp;H541&amp;"-"&amp;RIGHT(配列!D541&amp;配列!E541,3)))</f>
        <v/>
      </c>
      <c r="J541">
        <f>配列!F541</f>
        <v>0</v>
      </c>
      <c r="K541" s="2" t="e">
        <f>_xlfn.XLOOKUP(E541,セットアップレポート_紐づけ用!A:A,セットアップレポート_紐づけ用!R:R)</f>
        <v>#N/A</v>
      </c>
      <c r="L541" t="e">
        <f t="shared" si="33"/>
        <v>#N/A</v>
      </c>
      <c r="M541" t="e">
        <f>_xlfn.XLOOKUP(L541,EGPro!A:A,EGPro!D:D)</f>
        <v>#N/A</v>
      </c>
      <c r="N541" t="e">
        <f>_xlfn.XLOOKUP(L541,EGPro!A:A,EGPro!C:C)</f>
        <v>#N/A</v>
      </c>
      <c r="O541" t="e">
        <f t="shared" si="34"/>
        <v>#N/A</v>
      </c>
      <c r="P541" t="e">
        <f>_xlfn.XLOOKUP(O541,EGPro!A:A,EGPro!D:D)</f>
        <v>#N/A</v>
      </c>
      <c r="Q541" t="e">
        <f>_xlfn.XLOOKUP(O541,EGPro!A:A,EGPro!C:C)</f>
        <v>#N/A</v>
      </c>
    </row>
    <row r="542" spans="1:17" x14ac:dyDescent="0.45">
      <c r="A542" s="3">
        <f>配列!B542</f>
        <v>0</v>
      </c>
      <c r="B542" s="3" t="e">
        <f>_xlfn.XLOOKUP(A542,対応表!A:A,対応表!B:B)</f>
        <v>#N/A</v>
      </c>
      <c r="C542" s="3">
        <f>配列!C542</f>
        <v>0</v>
      </c>
      <c r="D542" s="3" t="str">
        <f>IF(配列!E542="",RIGHT(配列!D542&amp;配列!E542,4)&amp;"L",RIGHT(配列!D542&amp;配列!E542,5))</f>
        <v>L</v>
      </c>
      <c r="E542" s="3">
        <f t="shared" si="32"/>
        <v>0</v>
      </c>
      <c r="F542" s="3" t="e">
        <f>_xlfn.XLOOKUP(E542,セットアップレポート_紐づけ用!A:A,セットアップレポート_紐づけ用!J:J)</f>
        <v>#N/A</v>
      </c>
      <c r="G542" s="3" t="e">
        <f>_xlfn.XLOOKUP(E542,セットアップレポート_紐づけ用!A:A,セットアップレポート_紐づけ用!V:V)</f>
        <v>#N/A</v>
      </c>
      <c r="H542" s="3">
        <f t="shared" si="35"/>
        <v>-2</v>
      </c>
      <c r="I542" t="str">
        <f>IF(J542=0,"",IF(配列!E542="",マクロ実行!$A$16 &amp;" T"&amp;H542&amp;"-"&amp;RIGHT(配列!D542&amp;配列!E542,2),マクロ実行!$A$16 &amp;" T"&amp;H542&amp;"-"&amp;RIGHT(配列!D542&amp;配列!E542,3)))</f>
        <v/>
      </c>
      <c r="J542">
        <f>配列!F542</f>
        <v>0</v>
      </c>
      <c r="K542" s="2" t="e">
        <f>_xlfn.XLOOKUP(E542,セットアップレポート_紐づけ用!A:A,セットアップレポート_紐づけ用!R:R)</f>
        <v>#N/A</v>
      </c>
      <c r="L542" t="e">
        <f t="shared" si="33"/>
        <v>#N/A</v>
      </c>
      <c r="M542" t="e">
        <f>_xlfn.XLOOKUP(L542,EGPro!A:A,EGPro!D:D)</f>
        <v>#N/A</v>
      </c>
      <c r="N542" t="e">
        <f>_xlfn.XLOOKUP(L542,EGPro!A:A,EGPro!C:C)</f>
        <v>#N/A</v>
      </c>
      <c r="O542" t="e">
        <f t="shared" si="34"/>
        <v>#N/A</v>
      </c>
      <c r="P542" t="e">
        <f>_xlfn.XLOOKUP(O542,EGPro!A:A,EGPro!D:D)</f>
        <v>#N/A</v>
      </c>
      <c r="Q542" t="e">
        <f>_xlfn.XLOOKUP(O542,EGPro!A:A,EGPro!C:C)</f>
        <v>#N/A</v>
      </c>
    </row>
    <row r="543" spans="1:17" x14ac:dyDescent="0.45">
      <c r="A543" s="3">
        <f>配列!B543</f>
        <v>0</v>
      </c>
      <c r="B543" s="3" t="e">
        <f>_xlfn.XLOOKUP(A543,対応表!A:A,対応表!B:B)</f>
        <v>#N/A</v>
      </c>
      <c r="C543" s="3">
        <f>配列!C543</f>
        <v>0</v>
      </c>
      <c r="D543" s="3" t="str">
        <f>IF(配列!E543="",RIGHT(配列!D543&amp;配列!E543,4)&amp;"L",RIGHT(配列!D543&amp;配列!E543,5))</f>
        <v>L</v>
      </c>
      <c r="E543" s="3">
        <f t="shared" si="32"/>
        <v>0</v>
      </c>
      <c r="F543" s="3" t="e">
        <f>_xlfn.XLOOKUP(E543,セットアップレポート_紐づけ用!A:A,セットアップレポート_紐づけ用!J:J)</f>
        <v>#N/A</v>
      </c>
      <c r="G543" s="3" t="e">
        <f>_xlfn.XLOOKUP(E543,セットアップレポート_紐づけ用!A:A,セットアップレポート_紐づけ用!V:V)</f>
        <v>#N/A</v>
      </c>
      <c r="H543" s="3">
        <f t="shared" si="35"/>
        <v>-2</v>
      </c>
      <c r="I543" t="str">
        <f>IF(J543=0,"",IF(配列!E543="",マクロ実行!$A$16 &amp;" T"&amp;H543&amp;"-"&amp;RIGHT(配列!D543&amp;配列!E543,2),マクロ実行!$A$16 &amp;" T"&amp;H543&amp;"-"&amp;RIGHT(配列!D543&amp;配列!E543,3)))</f>
        <v/>
      </c>
      <c r="J543">
        <f>配列!F543</f>
        <v>0</v>
      </c>
      <c r="K543" s="2" t="e">
        <f>_xlfn.XLOOKUP(E543,セットアップレポート_紐づけ用!A:A,セットアップレポート_紐づけ用!R:R)</f>
        <v>#N/A</v>
      </c>
      <c r="L543" t="e">
        <f t="shared" si="33"/>
        <v>#N/A</v>
      </c>
      <c r="M543" t="e">
        <f>_xlfn.XLOOKUP(L543,EGPro!A:A,EGPro!D:D)</f>
        <v>#N/A</v>
      </c>
      <c r="N543" t="e">
        <f>_xlfn.XLOOKUP(L543,EGPro!A:A,EGPro!C:C)</f>
        <v>#N/A</v>
      </c>
      <c r="O543" t="e">
        <f t="shared" si="34"/>
        <v>#N/A</v>
      </c>
      <c r="P543" t="e">
        <f>_xlfn.XLOOKUP(O543,EGPro!A:A,EGPro!D:D)</f>
        <v>#N/A</v>
      </c>
      <c r="Q543" t="e">
        <f>_xlfn.XLOOKUP(O543,EGPro!A:A,EGPro!C:C)</f>
        <v>#N/A</v>
      </c>
    </row>
    <row r="544" spans="1:17" x14ac:dyDescent="0.45">
      <c r="A544" s="3">
        <f>配列!B544</f>
        <v>0</v>
      </c>
      <c r="B544" s="3" t="e">
        <f>_xlfn.XLOOKUP(A544,対応表!A:A,対応表!B:B)</f>
        <v>#N/A</v>
      </c>
      <c r="C544" s="3">
        <f>配列!C544</f>
        <v>0</v>
      </c>
      <c r="D544" s="3" t="str">
        <f>IF(配列!E544="",RIGHT(配列!D544&amp;配列!E544,4)&amp;"L",RIGHT(配列!D544&amp;配列!E544,5))</f>
        <v>L</v>
      </c>
      <c r="E544" s="3">
        <f t="shared" si="32"/>
        <v>0</v>
      </c>
      <c r="F544" s="3" t="e">
        <f>_xlfn.XLOOKUP(E544,セットアップレポート_紐づけ用!A:A,セットアップレポート_紐づけ用!J:J)</f>
        <v>#N/A</v>
      </c>
      <c r="G544" s="3" t="e">
        <f>_xlfn.XLOOKUP(E544,セットアップレポート_紐づけ用!A:A,セットアップレポート_紐づけ用!V:V)</f>
        <v>#N/A</v>
      </c>
      <c r="H544" s="3">
        <f t="shared" si="35"/>
        <v>-2</v>
      </c>
      <c r="I544" t="str">
        <f>IF(J544=0,"",IF(配列!E544="",マクロ実行!$A$16 &amp;" T"&amp;H544&amp;"-"&amp;RIGHT(配列!D544&amp;配列!E544,2),マクロ実行!$A$16 &amp;" T"&amp;H544&amp;"-"&amp;RIGHT(配列!D544&amp;配列!E544,3)))</f>
        <v/>
      </c>
      <c r="J544">
        <f>配列!F544</f>
        <v>0</v>
      </c>
      <c r="K544" s="2" t="e">
        <f>_xlfn.XLOOKUP(E544,セットアップレポート_紐づけ用!A:A,セットアップレポート_紐づけ用!R:R)</f>
        <v>#N/A</v>
      </c>
      <c r="L544" t="e">
        <f t="shared" si="33"/>
        <v>#N/A</v>
      </c>
      <c r="M544" t="e">
        <f>_xlfn.XLOOKUP(L544,EGPro!A:A,EGPro!D:D)</f>
        <v>#N/A</v>
      </c>
      <c r="N544" t="e">
        <f>_xlfn.XLOOKUP(L544,EGPro!A:A,EGPro!C:C)</f>
        <v>#N/A</v>
      </c>
      <c r="O544" t="e">
        <f t="shared" si="34"/>
        <v>#N/A</v>
      </c>
      <c r="P544" t="e">
        <f>_xlfn.XLOOKUP(O544,EGPro!A:A,EGPro!D:D)</f>
        <v>#N/A</v>
      </c>
      <c r="Q544" t="e">
        <f>_xlfn.XLOOKUP(O544,EGPro!A:A,EGPro!C:C)</f>
        <v>#N/A</v>
      </c>
    </row>
    <row r="545" spans="1:17" x14ac:dyDescent="0.45">
      <c r="A545" s="3">
        <f>配列!B545</f>
        <v>0</v>
      </c>
      <c r="B545" s="3" t="e">
        <f>_xlfn.XLOOKUP(A545,対応表!A:A,対応表!B:B)</f>
        <v>#N/A</v>
      </c>
      <c r="C545" s="3">
        <f>配列!C545</f>
        <v>0</v>
      </c>
      <c r="D545" s="3" t="str">
        <f>IF(配列!E545="",RIGHT(配列!D545&amp;配列!E545,4)&amp;"L",RIGHT(配列!D545&amp;配列!E545,5))</f>
        <v>L</v>
      </c>
      <c r="E545" s="3">
        <f t="shared" si="32"/>
        <v>0</v>
      </c>
      <c r="F545" s="3" t="e">
        <f>_xlfn.XLOOKUP(E545,セットアップレポート_紐づけ用!A:A,セットアップレポート_紐づけ用!J:J)</f>
        <v>#N/A</v>
      </c>
      <c r="G545" s="3" t="e">
        <f>_xlfn.XLOOKUP(E545,セットアップレポート_紐づけ用!A:A,セットアップレポート_紐づけ用!V:V)</f>
        <v>#N/A</v>
      </c>
      <c r="H545" s="3">
        <f t="shared" si="35"/>
        <v>-2</v>
      </c>
      <c r="I545" t="str">
        <f>IF(J545=0,"",IF(配列!E545="",マクロ実行!$A$16 &amp;" T"&amp;H545&amp;"-"&amp;RIGHT(配列!D545&amp;配列!E545,2),マクロ実行!$A$16 &amp;" T"&amp;H545&amp;"-"&amp;RIGHT(配列!D545&amp;配列!E545,3)))</f>
        <v/>
      </c>
      <c r="J545">
        <f>配列!F545</f>
        <v>0</v>
      </c>
      <c r="K545" s="2" t="e">
        <f>_xlfn.XLOOKUP(E545,セットアップレポート_紐づけ用!A:A,セットアップレポート_紐づけ用!R:R)</f>
        <v>#N/A</v>
      </c>
      <c r="L545" t="e">
        <f t="shared" si="33"/>
        <v>#N/A</v>
      </c>
      <c r="M545" t="e">
        <f>_xlfn.XLOOKUP(L545,EGPro!A:A,EGPro!D:D)</f>
        <v>#N/A</v>
      </c>
      <c r="N545" t="e">
        <f>_xlfn.XLOOKUP(L545,EGPro!A:A,EGPro!C:C)</f>
        <v>#N/A</v>
      </c>
      <c r="O545" t="e">
        <f t="shared" si="34"/>
        <v>#N/A</v>
      </c>
      <c r="P545" t="e">
        <f>_xlfn.XLOOKUP(O545,EGPro!A:A,EGPro!D:D)</f>
        <v>#N/A</v>
      </c>
      <c r="Q545" t="e">
        <f>_xlfn.XLOOKUP(O545,EGPro!A:A,EGPro!C:C)</f>
        <v>#N/A</v>
      </c>
    </row>
    <row r="546" spans="1:17" x14ac:dyDescent="0.45">
      <c r="A546" s="3">
        <f>配列!B546</f>
        <v>0</v>
      </c>
      <c r="B546" s="3" t="e">
        <f>_xlfn.XLOOKUP(A546,対応表!A:A,対応表!B:B)</f>
        <v>#N/A</v>
      </c>
      <c r="C546" s="3">
        <f>配列!C546</f>
        <v>0</v>
      </c>
      <c r="D546" s="3" t="str">
        <f>IF(配列!E546="",RIGHT(配列!D546&amp;配列!E546,4)&amp;"L",RIGHT(配列!D546&amp;配列!E546,5))</f>
        <v>L</v>
      </c>
      <c r="E546" s="3">
        <f t="shared" si="32"/>
        <v>0</v>
      </c>
      <c r="F546" s="3" t="e">
        <f>_xlfn.XLOOKUP(E546,セットアップレポート_紐づけ用!A:A,セットアップレポート_紐づけ用!J:J)</f>
        <v>#N/A</v>
      </c>
      <c r="G546" s="3" t="e">
        <f>_xlfn.XLOOKUP(E546,セットアップレポート_紐づけ用!A:A,セットアップレポート_紐づけ用!V:V)</f>
        <v>#N/A</v>
      </c>
      <c r="H546" s="3">
        <f t="shared" si="35"/>
        <v>-2</v>
      </c>
      <c r="I546" t="str">
        <f>IF(J546=0,"",IF(配列!E546="",マクロ実行!$A$16 &amp;" T"&amp;H546&amp;"-"&amp;RIGHT(配列!D546&amp;配列!E546,2),マクロ実行!$A$16 &amp;" T"&amp;H546&amp;"-"&amp;RIGHT(配列!D546&amp;配列!E546,3)))</f>
        <v/>
      </c>
      <c r="J546">
        <f>配列!F546</f>
        <v>0</v>
      </c>
      <c r="K546" s="2" t="e">
        <f>_xlfn.XLOOKUP(E546,セットアップレポート_紐づけ用!A:A,セットアップレポート_紐づけ用!R:R)</f>
        <v>#N/A</v>
      </c>
      <c r="L546" t="e">
        <f t="shared" si="33"/>
        <v>#N/A</v>
      </c>
      <c r="M546" t="e">
        <f>_xlfn.XLOOKUP(L546,EGPro!A:A,EGPro!D:D)</f>
        <v>#N/A</v>
      </c>
      <c r="N546" t="e">
        <f>_xlfn.XLOOKUP(L546,EGPro!A:A,EGPro!C:C)</f>
        <v>#N/A</v>
      </c>
      <c r="O546" t="e">
        <f t="shared" si="34"/>
        <v>#N/A</v>
      </c>
      <c r="P546" t="e">
        <f>_xlfn.XLOOKUP(O546,EGPro!A:A,EGPro!D:D)</f>
        <v>#N/A</v>
      </c>
      <c r="Q546" t="e">
        <f>_xlfn.XLOOKUP(O546,EGPro!A:A,EGPro!C:C)</f>
        <v>#N/A</v>
      </c>
    </row>
    <row r="547" spans="1:17" x14ac:dyDescent="0.45">
      <c r="A547" s="3">
        <f>配列!B547</f>
        <v>0</v>
      </c>
      <c r="B547" s="3" t="e">
        <f>_xlfn.XLOOKUP(A547,対応表!A:A,対応表!B:B)</f>
        <v>#N/A</v>
      </c>
      <c r="C547" s="3">
        <f>配列!C547</f>
        <v>0</v>
      </c>
      <c r="D547" s="3" t="str">
        <f>IF(配列!E547="",RIGHT(配列!D547&amp;配列!E547,4)&amp;"L",RIGHT(配列!D547&amp;配列!E547,5))</f>
        <v>L</v>
      </c>
      <c r="E547" s="3">
        <f t="shared" si="32"/>
        <v>0</v>
      </c>
      <c r="F547" s="3" t="e">
        <f>_xlfn.XLOOKUP(E547,セットアップレポート_紐づけ用!A:A,セットアップレポート_紐づけ用!J:J)</f>
        <v>#N/A</v>
      </c>
      <c r="G547" s="3" t="e">
        <f>_xlfn.XLOOKUP(E547,セットアップレポート_紐づけ用!A:A,セットアップレポート_紐づけ用!V:V)</f>
        <v>#N/A</v>
      </c>
      <c r="H547" s="3">
        <f t="shared" si="35"/>
        <v>-2</v>
      </c>
      <c r="I547" t="str">
        <f>IF(J547=0,"",IF(配列!E547="",マクロ実行!$A$16 &amp;" T"&amp;H547&amp;"-"&amp;RIGHT(配列!D547&amp;配列!E547,2),マクロ実行!$A$16 &amp;" T"&amp;H547&amp;"-"&amp;RIGHT(配列!D547&amp;配列!E547,3)))</f>
        <v/>
      </c>
      <c r="J547">
        <f>配列!F547</f>
        <v>0</v>
      </c>
      <c r="K547" s="2" t="e">
        <f>_xlfn.XLOOKUP(E547,セットアップレポート_紐づけ用!A:A,セットアップレポート_紐づけ用!R:R)</f>
        <v>#N/A</v>
      </c>
      <c r="L547" t="e">
        <f t="shared" si="33"/>
        <v>#N/A</v>
      </c>
      <c r="M547" t="e">
        <f>_xlfn.XLOOKUP(L547,EGPro!A:A,EGPro!D:D)</f>
        <v>#N/A</v>
      </c>
      <c r="N547" t="e">
        <f>_xlfn.XLOOKUP(L547,EGPro!A:A,EGPro!C:C)</f>
        <v>#N/A</v>
      </c>
      <c r="O547" t="e">
        <f t="shared" si="34"/>
        <v>#N/A</v>
      </c>
      <c r="P547" t="e">
        <f>_xlfn.XLOOKUP(O547,EGPro!A:A,EGPro!D:D)</f>
        <v>#N/A</v>
      </c>
      <c r="Q547" t="e">
        <f>_xlfn.XLOOKUP(O547,EGPro!A:A,EGPro!C:C)</f>
        <v>#N/A</v>
      </c>
    </row>
    <row r="548" spans="1:17" x14ac:dyDescent="0.45">
      <c r="A548" s="3">
        <f>配列!B548</f>
        <v>0</v>
      </c>
      <c r="B548" s="3" t="e">
        <f>_xlfn.XLOOKUP(A548,対応表!A:A,対応表!B:B)</f>
        <v>#N/A</v>
      </c>
      <c r="C548" s="3">
        <f>配列!C548</f>
        <v>0</v>
      </c>
      <c r="D548" s="3" t="str">
        <f>IF(配列!E548="",RIGHT(配列!D548&amp;配列!E548,4)&amp;"L",RIGHT(配列!D548&amp;配列!E548,5))</f>
        <v>L</v>
      </c>
      <c r="E548" s="3">
        <f t="shared" si="32"/>
        <v>0</v>
      </c>
      <c r="F548" s="3" t="e">
        <f>_xlfn.XLOOKUP(E548,セットアップレポート_紐づけ用!A:A,セットアップレポート_紐づけ用!J:J)</f>
        <v>#N/A</v>
      </c>
      <c r="G548" s="3" t="e">
        <f>_xlfn.XLOOKUP(E548,セットアップレポート_紐づけ用!A:A,セットアップレポート_紐づけ用!V:V)</f>
        <v>#N/A</v>
      </c>
      <c r="H548" s="3">
        <f t="shared" si="35"/>
        <v>-2</v>
      </c>
      <c r="I548" t="str">
        <f>IF(J548=0,"",IF(配列!E548="",マクロ実行!$A$16 &amp;" T"&amp;H548&amp;"-"&amp;RIGHT(配列!D548&amp;配列!E548,2),マクロ実行!$A$16 &amp;" T"&amp;H548&amp;"-"&amp;RIGHT(配列!D548&amp;配列!E548,3)))</f>
        <v/>
      </c>
      <c r="J548">
        <f>配列!F548</f>
        <v>0</v>
      </c>
      <c r="K548" s="2" t="e">
        <f>_xlfn.XLOOKUP(E548,セットアップレポート_紐づけ用!A:A,セットアップレポート_紐づけ用!R:R)</f>
        <v>#N/A</v>
      </c>
      <c r="L548" t="e">
        <f t="shared" si="33"/>
        <v>#N/A</v>
      </c>
      <c r="M548" t="e">
        <f>_xlfn.XLOOKUP(L548,EGPro!A:A,EGPro!D:D)</f>
        <v>#N/A</v>
      </c>
      <c r="N548" t="e">
        <f>_xlfn.XLOOKUP(L548,EGPro!A:A,EGPro!C:C)</f>
        <v>#N/A</v>
      </c>
      <c r="O548" t="e">
        <f t="shared" si="34"/>
        <v>#N/A</v>
      </c>
      <c r="P548" t="e">
        <f>_xlfn.XLOOKUP(O548,EGPro!A:A,EGPro!D:D)</f>
        <v>#N/A</v>
      </c>
      <c r="Q548" t="e">
        <f>_xlfn.XLOOKUP(O548,EGPro!A:A,EGPro!C:C)</f>
        <v>#N/A</v>
      </c>
    </row>
    <row r="549" spans="1:17" x14ac:dyDescent="0.45">
      <c r="A549" s="3">
        <f>配列!B549</f>
        <v>0</v>
      </c>
      <c r="B549" s="3" t="e">
        <f>_xlfn.XLOOKUP(A549,対応表!A:A,対応表!B:B)</f>
        <v>#N/A</v>
      </c>
      <c r="C549" s="3">
        <f>配列!C549</f>
        <v>0</v>
      </c>
      <c r="D549" s="3" t="str">
        <f>IF(配列!E549="",RIGHT(配列!D549&amp;配列!E549,4)&amp;"L",RIGHT(配列!D549&amp;配列!E549,5))</f>
        <v>L</v>
      </c>
      <c r="E549" s="3">
        <f t="shared" si="32"/>
        <v>0</v>
      </c>
      <c r="F549" s="3" t="e">
        <f>_xlfn.XLOOKUP(E549,セットアップレポート_紐づけ用!A:A,セットアップレポート_紐づけ用!J:J)</f>
        <v>#N/A</v>
      </c>
      <c r="G549" s="3" t="e">
        <f>_xlfn.XLOOKUP(E549,セットアップレポート_紐づけ用!A:A,セットアップレポート_紐づけ用!V:V)</f>
        <v>#N/A</v>
      </c>
      <c r="H549" s="3">
        <f t="shared" si="35"/>
        <v>-2</v>
      </c>
      <c r="I549" t="str">
        <f>IF(J549=0,"",IF(配列!E549="",マクロ実行!$A$16 &amp;" T"&amp;H549&amp;"-"&amp;RIGHT(配列!D549&amp;配列!E549,2),マクロ実行!$A$16 &amp;" T"&amp;H549&amp;"-"&amp;RIGHT(配列!D549&amp;配列!E549,3)))</f>
        <v/>
      </c>
      <c r="J549">
        <f>配列!F549</f>
        <v>0</v>
      </c>
      <c r="K549" s="2" t="e">
        <f>_xlfn.XLOOKUP(E549,セットアップレポート_紐づけ用!A:A,セットアップレポート_紐づけ用!R:R)</f>
        <v>#N/A</v>
      </c>
      <c r="L549" t="e">
        <f t="shared" si="33"/>
        <v>#N/A</v>
      </c>
      <c r="M549" t="e">
        <f>_xlfn.XLOOKUP(L549,EGPro!A:A,EGPro!D:D)</f>
        <v>#N/A</v>
      </c>
      <c r="N549" t="e">
        <f>_xlfn.XLOOKUP(L549,EGPro!A:A,EGPro!C:C)</f>
        <v>#N/A</v>
      </c>
      <c r="O549" t="e">
        <f t="shared" si="34"/>
        <v>#N/A</v>
      </c>
      <c r="P549" t="e">
        <f>_xlfn.XLOOKUP(O549,EGPro!A:A,EGPro!D:D)</f>
        <v>#N/A</v>
      </c>
      <c r="Q549" t="e">
        <f>_xlfn.XLOOKUP(O549,EGPro!A:A,EGPro!C:C)</f>
        <v>#N/A</v>
      </c>
    </row>
    <row r="550" spans="1:17" x14ac:dyDescent="0.45">
      <c r="A550" s="3">
        <f>配列!B550</f>
        <v>0</v>
      </c>
      <c r="B550" s="3" t="e">
        <f>_xlfn.XLOOKUP(A550,対応表!A:A,対応表!B:B)</f>
        <v>#N/A</v>
      </c>
      <c r="C550" s="3">
        <f>配列!C550</f>
        <v>0</v>
      </c>
      <c r="D550" s="3" t="str">
        <f>IF(配列!E550="",RIGHT(配列!D550&amp;配列!E550,4)&amp;"L",RIGHT(配列!D550&amp;配列!E550,5))</f>
        <v>L</v>
      </c>
      <c r="E550" s="3">
        <f t="shared" si="32"/>
        <v>0</v>
      </c>
      <c r="F550" s="3" t="e">
        <f>_xlfn.XLOOKUP(E550,セットアップレポート_紐づけ用!A:A,セットアップレポート_紐づけ用!J:J)</f>
        <v>#N/A</v>
      </c>
      <c r="G550" s="3" t="e">
        <f>_xlfn.XLOOKUP(E550,セットアップレポート_紐づけ用!A:A,セットアップレポート_紐づけ用!V:V)</f>
        <v>#N/A</v>
      </c>
      <c r="H550" s="3">
        <f t="shared" si="35"/>
        <v>-2</v>
      </c>
      <c r="I550" t="str">
        <f>IF(J550=0,"",IF(配列!E550="",マクロ実行!$A$16 &amp;" T"&amp;H550&amp;"-"&amp;RIGHT(配列!D550&amp;配列!E550,2),マクロ実行!$A$16 &amp;" T"&amp;H550&amp;"-"&amp;RIGHT(配列!D550&amp;配列!E550,3)))</f>
        <v/>
      </c>
      <c r="J550">
        <f>配列!F550</f>
        <v>0</v>
      </c>
      <c r="K550" s="2" t="e">
        <f>_xlfn.XLOOKUP(E550,セットアップレポート_紐づけ用!A:A,セットアップレポート_紐づけ用!R:R)</f>
        <v>#N/A</v>
      </c>
      <c r="L550" t="e">
        <f t="shared" si="33"/>
        <v>#N/A</v>
      </c>
      <c r="M550" t="e">
        <f>_xlfn.XLOOKUP(L550,EGPro!A:A,EGPro!D:D)</f>
        <v>#N/A</v>
      </c>
      <c r="N550" t="e">
        <f>_xlfn.XLOOKUP(L550,EGPro!A:A,EGPro!C:C)</f>
        <v>#N/A</v>
      </c>
      <c r="O550" t="e">
        <f t="shared" si="34"/>
        <v>#N/A</v>
      </c>
      <c r="P550" t="e">
        <f>_xlfn.XLOOKUP(O550,EGPro!A:A,EGPro!D:D)</f>
        <v>#N/A</v>
      </c>
      <c r="Q550" t="e">
        <f>_xlfn.XLOOKUP(O550,EGPro!A:A,EGPro!C:C)</f>
        <v>#N/A</v>
      </c>
    </row>
    <row r="551" spans="1:17" x14ac:dyDescent="0.45">
      <c r="A551" s="3">
        <f>配列!B551</f>
        <v>0</v>
      </c>
      <c r="B551" s="3" t="e">
        <f>_xlfn.XLOOKUP(A551,対応表!A:A,対応表!B:B)</f>
        <v>#N/A</v>
      </c>
      <c r="C551" s="3">
        <f>配列!C551</f>
        <v>0</v>
      </c>
      <c r="D551" s="3" t="str">
        <f>IF(配列!E551="",RIGHT(配列!D551&amp;配列!E551,4)&amp;"L",RIGHT(配列!D551&amp;配列!E551,5))</f>
        <v>L</v>
      </c>
      <c r="E551" s="3">
        <f t="shared" si="32"/>
        <v>0</v>
      </c>
      <c r="F551" s="3" t="e">
        <f>_xlfn.XLOOKUP(E551,セットアップレポート_紐づけ用!A:A,セットアップレポート_紐づけ用!J:J)</f>
        <v>#N/A</v>
      </c>
      <c r="G551" s="3" t="e">
        <f>_xlfn.XLOOKUP(E551,セットアップレポート_紐づけ用!A:A,セットアップレポート_紐づけ用!V:V)</f>
        <v>#N/A</v>
      </c>
      <c r="H551" s="3">
        <f t="shared" si="35"/>
        <v>-2</v>
      </c>
      <c r="I551" t="str">
        <f>IF(J551=0,"",IF(配列!E551="",マクロ実行!$A$16 &amp;" T"&amp;H551&amp;"-"&amp;RIGHT(配列!D551&amp;配列!E551,2),マクロ実行!$A$16 &amp;" T"&amp;H551&amp;"-"&amp;RIGHT(配列!D551&amp;配列!E551,3)))</f>
        <v/>
      </c>
      <c r="J551">
        <f>配列!F551</f>
        <v>0</v>
      </c>
      <c r="K551" s="2" t="e">
        <f>_xlfn.XLOOKUP(E551,セットアップレポート_紐づけ用!A:A,セットアップレポート_紐づけ用!R:R)</f>
        <v>#N/A</v>
      </c>
      <c r="L551" t="e">
        <f t="shared" si="33"/>
        <v>#N/A</v>
      </c>
      <c r="M551" t="e">
        <f>_xlfn.XLOOKUP(L551,EGPro!A:A,EGPro!D:D)</f>
        <v>#N/A</v>
      </c>
      <c r="N551" t="e">
        <f>_xlfn.XLOOKUP(L551,EGPro!A:A,EGPro!C:C)</f>
        <v>#N/A</v>
      </c>
      <c r="O551" t="e">
        <f t="shared" si="34"/>
        <v>#N/A</v>
      </c>
      <c r="P551" t="e">
        <f>_xlfn.XLOOKUP(O551,EGPro!A:A,EGPro!D:D)</f>
        <v>#N/A</v>
      </c>
      <c r="Q551" t="e">
        <f>_xlfn.XLOOKUP(O551,EGPro!A:A,EGPro!C:C)</f>
        <v>#N/A</v>
      </c>
    </row>
    <row r="552" spans="1:17" x14ac:dyDescent="0.45">
      <c r="A552" s="3">
        <f>配列!B552</f>
        <v>0</v>
      </c>
      <c r="B552" s="3" t="e">
        <f>_xlfn.XLOOKUP(A552,対応表!A:A,対応表!B:B)</f>
        <v>#N/A</v>
      </c>
      <c r="C552" s="3">
        <f>配列!C552</f>
        <v>0</v>
      </c>
      <c r="D552" s="3" t="str">
        <f>IF(配列!E552="",RIGHT(配列!D552&amp;配列!E552,4)&amp;"L",RIGHT(配列!D552&amp;配列!E552,5))</f>
        <v>L</v>
      </c>
      <c r="E552" s="3">
        <f t="shared" si="32"/>
        <v>0</v>
      </c>
      <c r="F552" s="3" t="e">
        <f>_xlfn.XLOOKUP(E552,セットアップレポート_紐づけ用!A:A,セットアップレポート_紐づけ用!J:J)</f>
        <v>#N/A</v>
      </c>
      <c r="G552" s="3" t="e">
        <f>_xlfn.XLOOKUP(E552,セットアップレポート_紐づけ用!A:A,セットアップレポート_紐づけ用!V:V)</f>
        <v>#N/A</v>
      </c>
      <c r="H552" s="3">
        <f t="shared" si="35"/>
        <v>-2</v>
      </c>
      <c r="I552" t="str">
        <f>IF(J552=0,"",IF(配列!E552="",マクロ実行!$A$16 &amp;" T"&amp;H552&amp;"-"&amp;RIGHT(配列!D552&amp;配列!E552,2),マクロ実行!$A$16 &amp;" T"&amp;H552&amp;"-"&amp;RIGHT(配列!D552&amp;配列!E552,3)))</f>
        <v/>
      </c>
      <c r="J552">
        <f>配列!F552</f>
        <v>0</v>
      </c>
      <c r="K552" s="2" t="e">
        <f>_xlfn.XLOOKUP(E552,セットアップレポート_紐づけ用!A:A,セットアップレポート_紐づけ用!R:R)</f>
        <v>#N/A</v>
      </c>
      <c r="L552" t="e">
        <f t="shared" si="33"/>
        <v>#N/A</v>
      </c>
      <c r="M552" t="e">
        <f>_xlfn.XLOOKUP(L552,EGPro!A:A,EGPro!D:D)</f>
        <v>#N/A</v>
      </c>
      <c r="N552" t="e">
        <f>_xlfn.XLOOKUP(L552,EGPro!A:A,EGPro!C:C)</f>
        <v>#N/A</v>
      </c>
      <c r="O552" t="e">
        <f t="shared" si="34"/>
        <v>#N/A</v>
      </c>
      <c r="P552" t="e">
        <f>_xlfn.XLOOKUP(O552,EGPro!A:A,EGPro!D:D)</f>
        <v>#N/A</v>
      </c>
      <c r="Q552" t="e">
        <f>_xlfn.XLOOKUP(O552,EGPro!A:A,EGPro!C:C)</f>
        <v>#N/A</v>
      </c>
    </row>
    <row r="553" spans="1:17" x14ac:dyDescent="0.45">
      <c r="A553" s="3">
        <f>配列!B553</f>
        <v>0</v>
      </c>
      <c r="B553" s="3" t="e">
        <f>_xlfn.XLOOKUP(A553,対応表!A:A,対応表!B:B)</f>
        <v>#N/A</v>
      </c>
      <c r="C553" s="3">
        <f>配列!C553</f>
        <v>0</v>
      </c>
      <c r="D553" s="3" t="str">
        <f>IF(配列!E553="",RIGHT(配列!D553&amp;配列!E553,4)&amp;"L",RIGHT(配列!D553&amp;配列!E553,5))</f>
        <v>L</v>
      </c>
      <c r="E553" s="3">
        <f t="shared" si="32"/>
        <v>0</v>
      </c>
      <c r="F553" s="3" t="e">
        <f>_xlfn.XLOOKUP(E553,セットアップレポート_紐づけ用!A:A,セットアップレポート_紐づけ用!J:J)</f>
        <v>#N/A</v>
      </c>
      <c r="G553" s="3" t="e">
        <f>_xlfn.XLOOKUP(E553,セットアップレポート_紐づけ用!A:A,セットアップレポート_紐づけ用!V:V)</f>
        <v>#N/A</v>
      </c>
      <c r="H553" s="3">
        <f t="shared" si="35"/>
        <v>-2</v>
      </c>
      <c r="I553" t="str">
        <f>IF(J553=0,"",IF(配列!E553="",マクロ実行!$A$16 &amp;" T"&amp;H553&amp;"-"&amp;RIGHT(配列!D553&amp;配列!E553,2),マクロ実行!$A$16 &amp;" T"&amp;H553&amp;"-"&amp;RIGHT(配列!D553&amp;配列!E553,3)))</f>
        <v/>
      </c>
      <c r="J553">
        <f>配列!F553</f>
        <v>0</v>
      </c>
      <c r="K553" s="2" t="e">
        <f>_xlfn.XLOOKUP(E553,セットアップレポート_紐づけ用!A:A,セットアップレポート_紐づけ用!R:R)</f>
        <v>#N/A</v>
      </c>
      <c r="L553" t="e">
        <f t="shared" si="33"/>
        <v>#N/A</v>
      </c>
      <c r="M553" t="e">
        <f>_xlfn.XLOOKUP(L553,EGPro!A:A,EGPro!D:D)</f>
        <v>#N/A</v>
      </c>
      <c r="N553" t="e">
        <f>_xlfn.XLOOKUP(L553,EGPro!A:A,EGPro!C:C)</f>
        <v>#N/A</v>
      </c>
      <c r="O553" t="e">
        <f t="shared" si="34"/>
        <v>#N/A</v>
      </c>
      <c r="P553" t="e">
        <f>_xlfn.XLOOKUP(O553,EGPro!A:A,EGPro!D:D)</f>
        <v>#N/A</v>
      </c>
      <c r="Q553" t="e">
        <f>_xlfn.XLOOKUP(O553,EGPro!A:A,EGPro!C:C)</f>
        <v>#N/A</v>
      </c>
    </row>
    <row r="554" spans="1:17" x14ac:dyDescent="0.45">
      <c r="A554" s="3">
        <f>配列!B554</f>
        <v>0</v>
      </c>
      <c r="B554" s="3" t="e">
        <f>_xlfn.XLOOKUP(A554,対応表!A:A,対応表!B:B)</f>
        <v>#N/A</v>
      </c>
      <c r="C554" s="3">
        <f>配列!C554</f>
        <v>0</v>
      </c>
      <c r="D554" s="3" t="str">
        <f>IF(配列!E554="",RIGHT(配列!D554&amp;配列!E554,4)&amp;"L",RIGHT(配列!D554&amp;配列!E554,5))</f>
        <v>L</v>
      </c>
      <c r="E554" s="3">
        <f t="shared" si="32"/>
        <v>0</v>
      </c>
      <c r="F554" s="3" t="e">
        <f>_xlfn.XLOOKUP(E554,セットアップレポート_紐づけ用!A:A,セットアップレポート_紐づけ用!J:J)</f>
        <v>#N/A</v>
      </c>
      <c r="G554" s="3" t="e">
        <f>_xlfn.XLOOKUP(E554,セットアップレポート_紐づけ用!A:A,セットアップレポート_紐づけ用!V:V)</f>
        <v>#N/A</v>
      </c>
      <c r="H554" s="3">
        <f t="shared" si="35"/>
        <v>-2</v>
      </c>
      <c r="I554" t="str">
        <f>IF(J554=0,"",IF(配列!E554="",マクロ実行!$A$16 &amp;" T"&amp;H554&amp;"-"&amp;RIGHT(配列!D554&amp;配列!E554,2),マクロ実行!$A$16 &amp;" T"&amp;H554&amp;"-"&amp;RIGHT(配列!D554&amp;配列!E554,3)))</f>
        <v/>
      </c>
      <c r="J554">
        <f>配列!F554</f>
        <v>0</v>
      </c>
      <c r="K554" s="2" t="e">
        <f>_xlfn.XLOOKUP(E554,セットアップレポート_紐づけ用!A:A,セットアップレポート_紐づけ用!R:R)</f>
        <v>#N/A</v>
      </c>
      <c r="L554" t="e">
        <f t="shared" si="33"/>
        <v>#N/A</v>
      </c>
      <c r="M554" t="e">
        <f>_xlfn.XLOOKUP(L554,EGPro!A:A,EGPro!D:D)</f>
        <v>#N/A</v>
      </c>
      <c r="N554" t="e">
        <f>_xlfn.XLOOKUP(L554,EGPro!A:A,EGPro!C:C)</f>
        <v>#N/A</v>
      </c>
      <c r="O554" t="e">
        <f t="shared" si="34"/>
        <v>#N/A</v>
      </c>
      <c r="P554" t="e">
        <f>_xlfn.XLOOKUP(O554,EGPro!A:A,EGPro!D:D)</f>
        <v>#N/A</v>
      </c>
      <c r="Q554" t="e">
        <f>_xlfn.XLOOKUP(O554,EGPro!A:A,EGPro!C:C)</f>
        <v>#N/A</v>
      </c>
    </row>
    <row r="555" spans="1:17" x14ac:dyDescent="0.45">
      <c r="A555" s="3">
        <f>配列!B555</f>
        <v>0</v>
      </c>
      <c r="B555" s="3" t="e">
        <f>_xlfn.XLOOKUP(A555,対応表!A:A,対応表!B:B)</f>
        <v>#N/A</v>
      </c>
      <c r="C555" s="3">
        <f>配列!C555</f>
        <v>0</v>
      </c>
      <c r="D555" s="3" t="str">
        <f>IF(配列!E555="",RIGHT(配列!D555&amp;配列!E555,4)&amp;"L",RIGHT(配列!D555&amp;配列!E555,5))</f>
        <v>L</v>
      </c>
      <c r="E555" s="3">
        <f t="shared" si="32"/>
        <v>0</v>
      </c>
      <c r="F555" s="3" t="e">
        <f>_xlfn.XLOOKUP(E555,セットアップレポート_紐づけ用!A:A,セットアップレポート_紐づけ用!J:J)</f>
        <v>#N/A</v>
      </c>
      <c r="G555" s="3" t="e">
        <f>_xlfn.XLOOKUP(E555,セットアップレポート_紐づけ用!A:A,セットアップレポート_紐づけ用!V:V)</f>
        <v>#N/A</v>
      </c>
      <c r="H555" s="3">
        <f t="shared" si="35"/>
        <v>-2</v>
      </c>
      <c r="I555" t="str">
        <f>IF(J555=0,"",IF(配列!E555="",マクロ実行!$A$16 &amp;" T"&amp;H555&amp;"-"&amp;RIGHT(配列!D555&amp;配列!E555,2),マクロ実行!$A$16 &amp;" T"&amp;H555&amp;"-"&amp;RIGHT(配列!D555&amp;配列!E555,3)))</f>
        <v/>
      </c>
      <c r="J555">
        <f>配列!F555</f>
        <v>0</v>
      </c>
      <c r="K555" s="2" t="e">
        <f>_xlfn.XLOOKUP(E555,セットアップレポート_紐づけ用!A:A,セットアップレポート_紐づけ用!R:R)</f>
        <v>#N/A</v>
      </c>
      <c r="L555" t="e">
        <f t="shared" si="33"/>
        <v>#N/A</v>
      </c>
      <c r="M555" t="e">
        <f>_xlfn.XLOOKUP(L555,EGPro!A:A,EGPro!D:D)</f>
        <v>#N/A</v>
      </c>
      <c r="N555" t="e">
        <f>_xlfn.XLOOKUP(L555,EGPro!A:A,EGPro!C:C)</f>
        <v>#N/A</v>
      </c>
      <c r="O555" t="e">
        <f t="shared" si="34"/>
        <v>#N/A</v>
      </c>
      <c r="P555" t="e">
        <f>_xlfn.XLOOKUP(O555,EGPro!A:A,EGPro!D:D)</f>
        <v>#N/A</v>
      </c>
      <c r="Q555" t="e">
        <f>_xlfn.XLOOKUP(O555,EGPro!A:A,EGPro!C:C)</f>
        <v>#N/A</v>
      </c>
    </row>
    <row r="556" spans="1:17" x14ac:dyDescent="0.45">
      <c r="A556" s="3">
        <f>配列!B556</f>
        <v>0</v>
      </c>
      <c r="B556" s="3" t="e">
        <f>_xlfn.XLOOKUP(A556,対応表!A:A,対応表!B:B)</f>
        <v>#N/A</v>
      </c>
      <c r="C556" s="3">
        <f>配列!C556</f>
        <v>0</v>
      </c>
      <c r="D556" s="3" t="str">
        <f>IF(配列!E556="",RIGHT(配列!D556&amp;配列!E556,4)&amp;"L",RIGHT(配列!D556&amp;配列!E556,5))</f>
        <v>L</v>
      </c>
      <c r="E556" s="3">
        <f t="shared" si="32"/>
        <v>0</v>
      </c>
      <c r="F556" s="3" t="e">
        <f>_xlfn.XLOOKUP(E556,セットアップレポート_紐づけ用!A:A,セットアップレポート_紐づけ用!J:J)</f>
        <v>#N/A</v>
      </c>
      <c r="G556" s="3" t="e">
        <f>_xlfn.XLOOKUP(E556,セットアップレポート_紐づけ用!A:A,セットアップレポート_紐づけ用!V:V)</f>
        <v>#N/A</v>
      </c>
      <c r="H556" s="3">
        <f t="shared" si="35"/>
        <v>-2</v>
      </c>
      <c r="I556" t="str">
        <f>IF(J556=0,"",IF(配列!E556="",マクロ実行!$A$16 &amp;" T"&amp;H556&amp;"-"&amp;RIGHT(配列!D556&amp;配列!E556,2),マクロ実行!$A$16 &amp;" T"&amp;H556&amp;"-"&amp;RIGHT(配列!D556&amp;配列!E556,3)))</f>
        <v/>
      </c>
      <c r="J556">
        <f>配列!F556</f>
        <v>0</v>
      </c>
      <c r="K556" s="2" t="e">
        <f>_xlfn.XLOOKUP(E556,セットアップレポート_紐づけ用!A:A,セットアップレポート_紐づけ用!R:R)</f>
        <v>#N/A</v>
      </c>
      <c r="L556" t="e">
        <f t="shared" si="33"/>
        <v>#N/A</v>
      </c>
      <c r="M556" t="e">
        <f>_xlfn.XLOOKUP(L556,EGPro!A:A,EGPro!D:D)</f>
        <v>#N/A</v>
      </c>
      <c r="N556" t="e">
        <f>_xlfn.XLOOKUP(L556,EGPro!A:A,EGPro!C:C)</f>
        <v>#N/A</v>
      </c>
      <c r="O556" t="e">
        <f t="shared" si="34"/>
        <v>#N/A</v>
      </c>
      <c r="P556" t="e">
        <f>_xlfn.XLOOKUP(O556,EGPro!A:A,EGPro!D:D)</f>
        <v>#N/A</v>
      </c>
      <c r="Q556" t="e">
        <f>_xlfn.XLOOKUP(O556,EGPro!A:A,EGPro!C:C)</f>
        <v>#N/A</v>
      </c>
    </row>
    <row r="557" spans="1:17" x14ac:dyDescent="0.45">
      <c r="A557" s="3">
        <f>配列!B557</f>
        <v>0</v>
      </c>
      <c r="B557" s="3" t="e">
        <f>_xlfn.XLOOKUP(A557,対応表!A:A,対応表!B:B)</f>
        <v>#N/A</v>
      </c>
      <c r="C557" s="3">
        <f>配列!C557</f>
        <v>0</v>
      </c>
      <c r="D557" s="3" t="str">
        <f>IF(配列!E557="",RIGHT(配列!D557&amp;配列!E557,4)&amp;"L",RIGHT(配列!D557&amp;配列!E557,5))</f>
        <v>L</v>
      </c>
      <c r="E557" s="3">
        <f t="shared" si="32"/>
        <v>0</v>
      </c>
      <c r="F557" s="3" t="e">
        <f>_xlfn.XLOOKUP(E557,セットアップレポート_紐づけ用!A:A,セットアップレポート_紐づけ用!J:J)</f>
        <v>#N/A</v>
      </c>
      <c r="G557" s="3" t="e">
        <f>_xlfn.XLOOKUP(E557,セットアップレポート_紐づけ用!A:A,セットアップレポート_紐づけ用!V:V)</f>
        <v>#N/A</v>
      </c>
      <c r="H557" s="3">
        <f t="shared" si="35"/>
        <v>-2</v>
      </c>
      <c r="I557" t="str">
        <f>IF(J557=0,"",IF(配列!E557="",マクロ実行!$A$16 &amp;" T"&amp;H557&amp;"-"&amp;RIGHT(配列!D557&amp;配列!E557,2),マクロ実行!$A$16 &amp;" T"&amp;H557&amp;"-"&amp;RIGHT(配列!D557&amp;配列!E557,3)))</f>
        <v/>
      </c>
      <c r="J557">
        <f>配列!F557</f>
        <v>0</v>
      </c>
      <c r="K557" s="2" t="e">
        <f>_xlfn.XLOOKUP(E557,セットアップレポート_紐づけ用!A:A,セットアップレポート_紐づけ用!R:R)</f>
        <v>#N/A</v>
      </c>
      <c r="L557" t="e">
        <f t="shared" si="33"/>
        <v>#N/A</v>
      </c>
      <c r="M557" t="e">
        <f>_xlfn.XLOOKUP(L557,EGPro!A:A,EGPro!D:D)</f>
        <v>#N/A</v>
      </c>
      <c r="N557" t="e">
        <f>_xlfn.XLOOKUP(L557,EGPro!A:A,EGPro!C:C)</f>
        <v>#N/A</v>
      </c>
      <c r="O557" t="e">
        <f t="shared" si="34"/>
        <v>#N/A</v>
      </c>
      <c r="P557" t="e">
        <f>_xlfn.XLOOKUP(O557,EGPro!A:A,EGPro!D:D)</f>
        <v>#N/A</v>
      </c>
      <c r="Q557" t="e">
        <f>_xlfn.XLOOKUP(O557,EGPro!A:A,EGPro!C:C)</f>
        <v>#N/A</v>
      </c>
    </row>
    <row r="558" spans="1:17" x14ac:dyDescent="0.45">
      <c r="A558" s="3">
        <f>配列!B558</f>
        <v>0</v>
      </c>
      <c r="B558" s="3" t="e">
        <f>_xlfn.XLOOKUP(A558,対応表!A:A,対応表!B:B)</f>
        <v>#N/A</v>
      </c>
      <c r="C558" s="3">
        <f>配列!C558</f>
        <v>0</v>
      </c>
      <c r="D558" s="3" t="str">
        <f>IF(配列!E558="",RIGHT(配列!D558&amp;配列!E558,4)&amp;"L",RIGHT(配列!D558&amp;配列!E558,5))</f>
        <v>L</v>
      </c>
      <c r="E558" s="3">
        <f t="shared" si="32"/>
        <v>0</v>
      </c>
      <c r="F558" s="3" t="e">
        <f>_xlfn.XLOOKUP(E558,セットアップレポート_紐づけ用!A:A,セットアップレポート_紐づけ用!J:J)</f>
        <v>#N/A</v>
      </c>
      <c r="G558" s="3" t="e">
        <f>_xlfn.XLOOKUP(E558,セットアップレポート_紐づけ用!A:A,セットアップレポート_紐づけ用!V:V)</f>
        <v>#N/A</v>
      </c>
      <c r="H558" s="3">
        <f t="shared" si="35"/>
        <v>-2</v>
      </c>
      <c r="I558" t="str">
        <f>IF(J558=0,"",IF(配列!E558="",マクロ実行!$A$16 &amp;" T"&amp;H558&amp;"-"&amp;RIGHT(配列!D558&amp;配列!E558,2),マクロ実行!$A$16 &amp;" T"&amp;H558&amp;"-"&amp;RIGHT(配列!D558&amp;配列!E558,3)))</f>
        <v/>
      </c>
      <c r="J558">
        <f>配列!F558</f>
        <v>0</v>
      </c>
      <c r="K558" s="2" t="e">
        <f>_xlfn.XLOOKUP(E558,セットアップレポート_紐づけ用!A:A,セットアップレポート_紐づけ用!R:R)</f>
        <v>#N/A</v>
      </c>
      <c r="L558" t="e">
        <f t="shared" si="33"/>
        <v>#N/A</v>
      </c>
      <c r="M558" t="e">
        <f>_xlfn.XLOOKUP(L558,EGPro!A:A,EGPro!D:D)</f>
        <v>#N/A</v>
      </c>
      <c r="N558" t="e">
        <f>_xlfn.XLOOKUP(L558,EGPro!A:A,EGPro!C:C)</f>
        <v>#N/A</v>
      </c>
      <c r="O558" t="e">
        <f t="shared" si="34"/>
        <v>#N/A</v>
      </c>
      <c r="P558" t="e">
        <f>_xlfn.XLOOKUP(O558,EGPro!A:A,EGPro!D:D)</f>
        <v>#N/A</v>
      </c>
      <c r="Q558" t="e">
        <f>_xlfn.XLOOKUP(O558,EGPro!A:A,EGPro!C:C)</f>
        <v>#N/A</v>
      </c>
    </row>
    <row r="559" spans="1:17" x14ac:dyDescent="0.45">
      <c r="A559" s="3">
        <f>配列!B559</f>
        <v>0</v>
      </c>
      <c r="B559" s="3" t="e">
        <f>_xlfn.XLOOKUP(A559,対応表!A:A,対応表!B:B)</f>
        <v>#N/A</v>
      </c>
      <c r="C559" s="3">
        <f>配列!C559</f>
        <v>0</v>
      </c>
      <c r="D559" s="3" t="str">
        <f>IF(配列!E559="",RIGHT(配列!D559&amp;配列!E559,4)&amp;"L",RIGHT(配列!D559&amp;配列!E559,5))</f>
        <v>L</v>
      </c>
      <c r="E559" s="3">
        <f t="shared" si="32"/>
        <v>0</v>
      </c>
      <c r="F559" s="3" t="e">
        <f>_xlfn.XLOOKUP(E559,セットアップレポート_紐づけ用!A:A,セットアップレポート_紐づけ用!J:J)</f>
        <v>#N/A</v>
      </c>
      <c r="G559" s="3" t="e">
        <f>_xlfn.XLOOKUP(E559,セットアップレポート_紐づけ用!A:A,セットアップレポート_紐づけ用!V:V)</f>
        <v>#N/A</v>
      </c>
      <c r="H559" s="3">
        <f t="shared" si="35"/>
        <v>-2</v>
      </c>
      <c r="I559" t="str">
        <f>IF(J559=0,"",IF(配列!E559="",マクロ実行!$A$16 &amp;" T"&amp;H559&amp;"-"&amp;RIGHT(配列!D559&amp;配列!E559,2),マクロ実行!$A$16 &amp;" T"&amp;H559&amp;"-"&amp;RIGHT(配列!D559&amp;配列!E559,3)))</f>
        <v/>
      </c>
      <c r="J559">
        <f>配列!F559</f>
        <v>0</v>
      </c>
      <c r="K559" s="2" t="e">
        <f>_xlfn.XLOOKUP(E559,セットアップレポート_紐づけ用!A:A,セットアップレポート_紐づけ用!R:R)</f>
        <v>#N/A</v>
      </c>
      <c r="L559" t="e">
        <f t="shared" si="33"/>
        <v>#N/A</v>
      </c>
      <c r="M559" t="e">
        <f>_xlfn.XLOOKUP(L559,EGPro!A:A,EGPro!D:D)</f>
        <v>#N/A</v>
      </c>
      <c r="N559" t="e">
        <f>_xlfn.XLOOKUP(L559,EGPro!A:A,EGPro!C:C)</f>
        <v>#N/A</v>
      </c>
      <c r="O559" t="e">
        <f t="shared" si="34"/>
        <v>#N/A</v>
      </c>
      <c r="P559" t="e">
        <f>_xlfn.XLOOKUP(O559,EGPro!A:A,EGPro!D:D)</f>
        <v>#N/A</v>
      </c>
      <c r="Q559" t="e">
        <f>_xlfn.XLOOKUP(O559,EGPro!A:A,EGPro!C:C)</f>
        <v>#N/A</v>
      </c>
    </row>
    <row r="560" spans="1:17" x14ac:dyDescent="0.45">
      <c r="A560" s="3">
        <f>配列!B560</f>
        <v>0</v>
      </c>
      <c r="B560" s="3" t="e">
        <f>_xlfn.XLOOKUP(A560,対応表!A:A,対応表!B:B)</f>
        <v>#N/A</v>
      </c>
      <c r="C560" s="3">
        <f>配列!C560</f>
        <v>0</v>
      </c>
      <c r="D560" s="3" t="str">
        <f>IF(配列!E560="",RIGHT(配列!D560&amp;配列!E560,4)&amp;"L",RIGHT(配列!D560&amp;配列!E560,5))</f>
        <v>L</v>
      </c>
      <c r="E560" s="3">
        <f t="shared" si="32"/>
        <v>0</v>
      </c>
      <c r="F560" s="3" t="e">
        <f>_xlfn.XLOOKUP(E560,セットアップレポート_紐づけ用!A:A,セットアップレポート_紐づけ用!J:J)</f>
        <v>#N/A</v>
      </c>
      <c r="G560" s="3" t="e">
        <f>_xlfn.XLOOKUP(E560,セットアップレポート_紐づけ用!A:A,セットアップレポート_紐づけ用!V:V)</f>
        <v>#N/A</v>
      </c>
      <c r="H560" s="3">
        <f t="shared" si="35"/>
        <v>-2</v>
      </c>
      <c r="I560" t="str">
        <f>IF(J560=0,"",IF(配列!E560="",マクロ実行!$A$16 &amp;" T"&amp;H560&amp;"-"&amp;RIGHT(配列!D560&amp;配列!E560,2),マクロ実行!$A$16 &amp;" T"&amp;H560&amp;"-"&amp;RIGHT(配列!D560&amp;配列!E560,3)))</f>
        <v/>
      </c>
      <c r="J560">
        <f>配列!F560</f>
        <v>0</v>
      </c>
      <c r="K560" s="2" t="e">
        <f>_xlfn.XLOOKUP(E560,セットアップレポート_紐づけ用!A:A,セットアップレポート_紐づけ用!R:R)</f>
        <v>#N/A</v>
      </c>
      <c r="L560" t="e">
        <f t="shared" si="33"/>
        <v>#N/A</v>
      </c>
      <c r="M560" t="e">
        <f>_xlfn.XLOOKUP(L560,EGPro!A:A,EGPro!D:D)</f>
        <v>#N/A</v>
      </c>
      <c r="N560" t="e">
        <f>_xlfn.XLOOKUP(L560,EGPro!A:A,EGPro!C:C)</f>
        <v>#N/A</v>
      </c>
      <c r="O560" t="e">
        <f t="shared" si="34"/>
        <v>#N/A</v>
      </c>
      <c r="P560" t="e">
        <f>_xlfn.XLOOKUP(O560,EGPro!A:A,EGPro!D:D)</f>
        <v>#N/A</v>
      </c>
      <c r="Q560" t="e">
        <f>_xlfn.XLOOKUP(O560,EGPro!A:A,EGPro!C:C)</f>
        <v>#N/A</v>
      </c>
    </row>
    <row r="561" spans="1:17" x14ac:dyDescent="0.45">
      <c r="A561" s="3">
        <f>配列!B561</f>
        <v>0</v>
      </c>
      <c r="B561" s="3" t="e">
        <f>_xlfn.XLOOKUP(A561,対応表!A:A,対応表!B:B)</f>
        <v>#N/A</v>
      </c>
      <c r="C561" s="3">
        <f>配列!C561</f>
        <v>0</v>
      </c>
      <c r="D561" s="3" t="str">
        <f>IF(配列!E561="",RIGHT(配列!D561&amp;配列!E561,4)&amp;"L",RIGHT(配列!D561&amp;配列!E561,5))</f>
        <v>L</v>
      </c>
      <c r="E561" s="3">
        <f t="shared" si="32"/>
        <v>0</v>
      </c>
      <c r="F561" s="3" t="e">
        <f>_xlfn.XLOOKUP(E561,セットアップレポート_紐づけ用!A:A,セットアップレポート_紐づけ用!J:J)</f>
        <v>#N/A</v>
      </c>
      <c r="G561" s="3" t="e">
        <f>_xlfn.XLOOKUP(E561,セットアップレポート_紐づけ用!A:A,セットアップレポート_紐づけ用!V:V)</f>
        <v>#N/A</v>
      </c>
      <c r="H561" s="3">
        <f t="shared" si="35"/>
        <v>-2</v>
      </c>
      <c r="I561" t="str">
        <f>IF(J561=0,"",IF(配列!E561="",マクロ実行!$A$16 &amp;" T"&amp;H561&amp;"-"&amp;RIGHT(配列!D561&amp;配列!E561,2),マクロ実行!$A$16 &amp;" T"&amp;H561&amp;"-"&amp;RIGHT(配列!D561&amp;配列!E561,3)))</f>
        <v/>
      </c>
      <c r="J561">
        <f>配列!F561</f>
        <v>0</v>
      </c>
      <c r="K561" s="2" t="e">
        <f>_xlfn.XLOOKUP(E561,セットアップレポート_紐づけ用!A:A,セットアップレポート_紐づけ用!R:R)</f>
        <v>#N/A</v>
      </c>
      <c r="L561" t="e">
        <f t="shared" si="33"/>
        <v>#N/A</v>
      </c>
      <c r="M561" t="e">
        <f>_xlfn.XLOOKUP(L561,EGPro!A:A,EGPro!D:D)</f>
        <v>#N/A</v>
      </c>
      <c r="N561" t="e">
        <f>_xlfn.XLOOKUP(L561,EGPro!A:A,EGPro!C:C)</f>
        <v>#N/A</v>
      </c>
      <c r="O561" t="e">
        <f t="shared" si="34"/>
        <v>#N/A</v>
      </c>
      <c r="P561" t="e">
        <f>_xlfn.XLOOKUP(O561,EGPro!A:A,EGPro!D:D)</f>
        <v>#N/A</v>
      </c>
      <c r="Q561" t="e">
        <f>_xlfn.XLOOKUP(O561,EGPro!A:A,EGPro!C:C)</f>
        <v>#N/A</v>
      </c>
    </row>
    <row r="562" spans="1:17" x14ac:dyDescent="0.45">
      <c r="A562" s="3">
        <f>配列!B562</f>
        <v>0</v>
      </c>
      <c r="B562" s="3" t="e">
        <f>_xlfn.XLOOKUP(A562,対応表!A:A,対応表!B:B)</f>
        <v>#N/A</v>
      </c>
      <c r="C562" s="3">
        <f>配列!C562</f>
        <v>0</v>
      </c>
      <c r="D562" s="3" t="str">
        <f>IF(配列!E562="",RIGHT(配列!D562&amp;配列!E562,4)&amp;"L",RIGHT(配列!D562&amp;配列!E562,5))</f>
        <v>L</v>
      </c>
      <c r="E562" s="3">
        <f t="shared" si="32"/>
        <v>0</v>
      </c>
      <c r="F562" s="3" t="e">
        <f>_xlfn.XLOOKUP(E562,セットアップレポート_紐づけ用!A:A,セットアップレポート_紐づけ用!J:J)</f>
        <v>#N/A</v>
      </c>
      <c r="G562" s="3" t="e">
        <f>_xlfn.XLOOKUP(E562,セットアップレポート_紐づけ用!A:A,セットアップレポート_紐づけ用!V:V)</f>
        <v>#N/A</v>
      </c>
      <c r="H562" s="3">
        <f t="shared" si="35"/>
        <v>-2</v>
      </c>
      <c r="I562" t="str">
        <f>IF(J562=0,"",IF(配列!E562="",マクロ実行!$A$16 &amp;" T"&amp;H562&amp;"-"&amp;RIGHT(配列!D562&amp;配列!E562,2),マクロ実行!$A$16 &amp;" T"&amp;H562&amp;"-"&amp;RIGHT(配列!D562&amp;配列!E562,3)))</f>
        <v/>
      </c>
      <c r="J562">
        <f>配列!F562</f>
        <v>0</v>
      </c>
      <c r="K562" s="2" t="e">
        <f>_xlfn.XLOOKUP(E562,セットアップレポート_紐づけ用!A:A,セットアップレポート_紐づけ用!R:R)</f>
        <v>#N/A</v>
      </c>
      <c r="L562" t="e">
        <f t="shared" si="33"/>
        <v>#N/A</v>
      </c>
      <c r="M562" t="e">
        <f>_xlfn.XLOOKUP(L562,EGPro!A:A,EGPro!D:D)</f>
        <v>#N/A</v>
      </c>
      <c r="N562" t="e">
        <f>_xlfn.XLOOKUP(L562,EGPro!A:A,EGPro!C:C)</f>
        <v>#N/A</v>
      </c>
      <c r="O562" t="e">
        <f t="shared" si="34"/>
        <v>#N/A</v>
      </c>
      <c r="P562" t="e">
        <f>_xlfn.XLOOKUP(O562,EGPro!A:A,EGPro!D:D)</f>
        <v>#N/A</v>
      </c>
      <c r="Q562" t="e">
        <f>_xlfn.XLOOKUP(O562,EGPro!A:A,EGPro!C:C)</f>
        <v>#N/A</v>
      </c>
    </row>
    <row r="563" spans="1:17" x14ac:dyDescent="0.45">
      <c r="A563" s="3">
        <f>配列!B563</f>
        <v>0</v>
      </c>
      <c r="B563" s="3" t="e">
        <f>_xlfn.XLOOKUP(A563,対応表!A:A,対応表!B:B)</f>
        <v>#N/A</v>
      </c>
      <c r="C563" s="3">
        <f>配列!C563</f>
        <v>0</v>
      </c>
      <c r="D563" s="3" t="str">
        <f>IF(配列!E563="",RIGHT(配列!D563&amp;配列!E563,4)&amp;"L",RIGHT(配列!D563&amp;配列!E563,5))</f>
        <v>L</v>
      </c>
      <c r="E563" s="3">
        <f t="shared" si="32"/>
        <v>0</v>
      </c>
      <c r="F563" s="3" t="e">
        <f>_xlfn.XLOOKUP(E563,セットアップレポート_紐づけ用!A:A,セットアップレポート_紐づけ用!J:J)</f>
        <v>#N/A</v>
      </c>
      <c r="G563" s="3" t="e">
        <f>_xlfn.XLOOKUP(E563,セットアップレポート_紐づけ用!A:A,セットアップレポート_紐づけ用!V:V)</f>
        <v>#N/A</v>
      </c>
      <c r="H563" s="3">
        <f t="shared" si="35"/>
        <v>-2</v>
      </c>
      <c r="I563" t="str">
        <f>IF(J563=0,"",IF(配列!E563="",マクロ実行!$A$16 &amp;" T"&amp;H563&amp;"-"&amp;RIGHT(配列!D563&amp;配列!E563,2),マクロ実行!$A$16 &amp;" T"&amp;H563&amp;"-"&amp;RIGHT(配列!D563&amp;配列!E563,3)))</f>
        <v/>
      </c>
      <c r="J563">
        <f>配列!F563</f>
        <v>0</v>
      </c>
      <c r="K563" s="2" t="e">
        <f>_xlfn.XLOOKUP(E563,セットアップレポート_紐づけ用!A:A,セットアップレポート_紐づけ用!R:R)</f>
        <v>#N/A</v>
      </c>
      <c r="L563" t="e">
        <f t="shared" si="33"/>
        <v>#N/A</v>
      </c>
      <c r="M563" t="e">
        <f>_xlfn.XLOOKUP(L563,EGPro!A:A,EGPro!D:D)</f>
        <v>#N/A</v>
      </c>
      <c r="N563" t="e">
        <f>_xlfn.XLOOKUP(L563,EGPro!A:A,EGPro!C:C)</f>
        <v>#N/A</v>
      </c>
      <c r="O563" t="e">
        <f t="shared" si="34"/>
        <v>#N/A</v>
      </c>
      <c r="P563" t="e">
        <f>_xlfn.XLOOKUP(O563,EGPro!A:A,EGPro!D:D)</f>
        <v>#N/A</v>
      </c>
      <c r="Q563" t="e">
        <f>_xlfn.XLOOKUP(O563,EGPro!A:A,EGPro!C:C)</f>
        <v>#N/A</v>
      </c>
    </row>
    <row r="564" spans="1:17" x14ac:dyDescent="0.45">
      <c r="A564" s="3">
        <f>配列!B564</f>
        <v>0</v>
      </c>
      <c r="B564" s="3" t="e">
        <f>_xlfn.XLOOKUP(A564,対応表!A:A,対応表!B:B)</f>
        <v>#N/A</v>
      </c>
      <c r="C564" s="3">
        <f>配列!C564</f>
        <v>0</v>
      </c>
      <c r="D564" s="3" t="str">
        <f>IF(配列!E564="",RIGHT(配列!D564&amp;配列!E564,4)&amp;"L",RIGHT(配列!D564&amp;配列!E564,5))</f>
        <v>L</v>
      </c>
      <c r="E564" s="3">
        <f t="shared" si="32"/>
        <v>0</v>
      </c>
      <c r="F564" s="3" t="e">
        <f>_xlfn.XLOOKUP(E564,セットアップレポート_紐づけ用!A:A,セットアップレポート_紐づけ用!J:J)</f>
        <v>#N/A</v>
      </c>
      <c r="G564" s="3" t="e">
        <f>_xlfn.XLOOKUP(E564,セットアップレポート_紐づけ用!A:A,セットアップレポート_紐づけ用!V:V)</f>
        <v>#N/A</v>
      </c>
      <c r="H564" s="3">
        <f t="shared" si="35"/>
        <v>-2</v>
      </c>
      <c r="I564" t="str">
        <f>IF(J564=0,"",IF(配列!E564="",マクロ実行!$A$16 &amp;" T"&amp;H564&amp;"-"&amp;RIGHT(配列!D564&amp;配列!E564,2),マクロ実行!$A$16 &amp;" T"&amp;H564&amp;"-"&amp;RIGHT(配列!D564&amp;配列!E564,3)))</f>
        <v/>
      </c>
      <c r="J564">
        <f>配列!F564</f>
        <v>0</v>
      </c>
      <c r="K564" s="2" t="e">
        <f>_xlfn.XLOOKUP(E564,セットアップレポート_紐づけ用!A:A,セットアップレポート_紐づけ用!R:R)</f>
        <v>#N/A</v>
      </c>
      <c r="L564" t="e">
        <f t="shared" si="33"/>
        <v>#N/A</v>
      </c>
      <c r="M564" t="e">
        <f>_xlfn.XLOOKUP(L564,EGPro!A:A,EGPro!D:D)</f>
        <v>#N/A</v>
      </c>
      <c r="N564" t="e">
        <f>_xlfn.XLOOKUP(L564,EGPro!A:A,EGPro!C:C)</f>
        <v>#N/A</v>
      </c>
      <c r="O564" t="e">
        <f t="shared" si="34"/>
        <v>#N/A</v>
      </c>
      <c r="P564" t="e">
        <f>_xlfn.XLOOKUP(O564,EGPro!A:A,EGPro!D:D)</f>
        <v>#N/A</v>
      </c>
      <c r="Q564" t="e">
        <f>_xlfn.XLOOKUP(O564,EGPro!A:A,EGPro!C:C)</f>
        <v>#N/A</v>
      </c>
    </row>
    <row r="565" spans="1:17" x14ac:dyDescent="0.45">
      <c r="A565" s="3">
        <f>配列!B565</f>
        <v>0</v>
      </c>
      <c r="B565" s="3" t="e">
        <f>_xlfn.XLOOKUP(A565,対応表!A:A,対応表!B:B)</f>
        <v>#N/A</v>
      </c>
      <c r="C565" s="3">
        <f>配列!C565</f>
        <v>0</v>
      </c>
      <c r="D565" s="3" t="str">
        <f>IF(配列!E565="",RIGHT(配列!D565&amp;配列!E565,4)&amp;"L",RIGHT(配列!D565&amp;配列!E565,5))</f>
        <v>L</v>
      </c>
      <c r="E565" s="3">
        <f t="shared" si="32"/>
        <v>0</v>
      </c>
      <c r="F565" s="3" t="e">
        <f>_xlfn.XLOOKUP(E565,セットアップレポート_紐づけ用!A:A,セットアップレポート_紐づけ用!J:J)</f>
        <v>#N/A</v>
      </c>
      <c r="G565" s="3" t="e">
        <f>_xlfn.XLOOKUP(E565,セットアップレポート_紐づけ用!A:A,セットアップレポート_紐づけ用!V:V)</f>
        <v>#N/A</v>
      </c>
      <c r="H565" s="3">
        <f t="shared" si="35"/>
        <v>-2</v>
      </c>
      <c r="I565" t="str">
        <f>IF(J565=0,"",IF(配列!E565="",マクロ実行!$A$16 &amp;" T"&amp;H565&amp;"-"&amp;RIGHT(配列!D565&amp;配列!E565,2),マクロ実行!$A$16 &amp;" T"&amp;H565&amp;"-"&amp;RIGHT(配列!D565&amp;配列!E565,3)))</f>
        <v/>
      </c>
      <c r="J565">
        <f>配列!F565</f>
        <v>0</v>
      </c>
      <c r="K565" s="2" t="e">
        <f>_xlfn.XLOOKUP(E565,セットアップレポート_紐づけ用!A:A,セットアップレポート_紐づけ用!R:R)</f>
        <v>#N/A</v>
      </c>
      <c r="L565" t="e">
        <f t="shared" si="33"/>
        <v>#N/A</v>
      </c>
      <c r="M565" t="e">
        <f>_xlfn.XLOOKUP(L565,EGPro!A:A,EGPro!D:D)</f>
        <v>#N/A</v>
      </c>
      <c r="N565" t="e">
        <f>_xlfn.XLOOKUP(L565,EGPro!A:A,EGPro!C:C)</f>
        <v>#N/A</v>
      </c>
      <c r="O565" t="e">
        <f t="shared" si="34"/>
        <v>#N/A</v>
      </c>
      <c r="P565" t="e">
        <f>_xlfn.XLOOKUP(O565,EGPro!A:A,EGPro!D:D)</f>
        <v>#N/A</v>
      </c>
      <c r="Q565" t="e">
        <f>_xlfn.XLOOKUP(O565,EGPro!A:A,EGPro!C:C)</f>
        <v>#N/A</v>
      </c>
    </row>
    <row r="566" spans="1:17" x14ac:dyDescent="0.45">
      <c r="A566" s="3">
        <f>配列!B566</f>
        <v>0</v>
      </c>
      <c r="B566" s="3" t="e">
        <f>_xlfn.XLOOKUP(A566,対応表!A:A,対応表!B:B)</f>
        <v>#N/A</v>
      </c>
      <c r="C566" s="3">
        <f>配列!C566</f>
        <v>0</v>
      </c>
      <c r="D566" s="3" t="str">
        <f>IF(配列!E566="",RIGHT(配列!D566&amp;配列!E566,4)&amp;"L",RIGHT(配列!D566&amp;配列!E566,5))</f>
        <v>L</v>
      </c>
      <c r="E566" s="3">
        <f t="shared" si="32"/>
        <v>0</v>
      </c>
      <c r="F566" s="3" t="e">
        <f>_xlfn.XLOOKUP(E566,セットアップレポート_紐づけ用!A:A,セットアップレポート_紐づけ用!J:J)</f>
        <v>#N/A</v>
      </c>
      <c r="G566" s="3" t="e">
        <f>_xlfn.XLOOKUP(E566,セットアップレポート_紐づけ用!A:A,セットアップレポート_紐づけ用!V:V)</f>
        <v>#N/A</v>
      </c>
      <c r="H566" s="3">
        <f t="shared" si="35"/>
        <v>-2</v>
      </c>
      <c r="I566" t="str">
        <f>IF(J566=0,"",IF(配列!E566="",マクロ実行!$A$16 &amp;" T"&amp;H566&amp;"-"&amp;RIGHT(配列!D566&amp;配列!E566,2),マクロ実行!$A$16 &amp;" T"&amp;H566&amp;"-"&amp;RIGHT(配列!D566&amp;配列!E566,3)))</f>
        <v/>
      </c>
      <c r="J566">
        <f>配列!F566</f>
        <v>0</v>
      </c>
      <c r="K566" s="2" t="e">
        <f>_xlfn.XLOOKUP(E566,セットアップレポート_紐づけ用!A:A,セットアップレポート_紐づけ用!R:R)</f>
        <v>#N/A</v>
      </c>
      <c r="L566" t="e">
        <f t="shared" si="33"/>
        <v>#N/A</v>
      </c>
      <c r="M566" t="e">
        <f>_xlfn.XLOOKUP(L566,EGPro!A:A,EGPro!D:D)</f>
        <v>#N/A</v>
      </c>
      <c r="N566" t="e">
        <f>_xlfn.XLOOKUP(L566,EGPro!A:A,EGPro!C:C)</f>
        <v>#N/A</v>
      </c>
      <c r="O566" t="e">
        <f t="shared" si="34"/>
        <v>#N/A</v>
      </c>
      <c r="P566" t="e">
        <f>_xlfn.XLOOKUP(O566,EGPro!A:A,EGPro!D:D)</f>
        <v>#N/A</v>
      </c>
      <c r="Q566" t="e">
        <f>_xlfn.XLOOKUP(O566,EGPro!A:A,EGPro!C:C)</f>
        <v>#N/A</v>
      </c>
    </row>
    <row r="567" spans="1:17" x14ac:dyDescent="0.45">
      <c r="A567" s="3">
        <f>配列!B567</f>
        <v>0</v>
      </c>
      <c r="B567" s="3" t="e">
        <f>_xlfn.XLOOKUP(A567,対応表!A:A,対応表!B:B)</f>
        <v>#N/A</v>
      </c>
      <c r="C567" s="3">
        <f>配列!C567</f>
        <v>0</v>
      </c>
      <c r="D567" s="3" t="str">
        <f>IF(配列!E567="",RIGHT(配列!D567&amp;配列!E567,4)&amp;"L",RIGHT(配列!D567&amp;配列!E567,5))</f>
        <v>L</v>
      </c>
      <c r="E567" s="3">
        <f t="shared" si="32"/>
        <v>0</v>
      </c>
      <c r="F567" s="3" t="e">
        <f>_xlfn.XLOOKUP(E567,セットアップレポート_紐づけ用!A:A,セットアップレポート_紐づけ用!J:J)</f>
        <v>#N/A</v>
      </c>
      <c r="G567" s="3" t="e">
        <f>_xlfn.XLOOKUP(E567,セットアップレポート_紐づけ用!A:A,セットアップレポート_紐づけ用!V:V)</f>
        <v>#N/A</v>
      </c>
      <c r="H567" s="3">
        <f t="shared" si="35"/>
        <v>-2</v>
      </c>
      <c r="I567" t="str">
        <f>IF(J567=0,"",IF(配列!E567="",マクロ実行!$A$16 &amp;" T"&amp;H567&amp;"-"&amp;RIGHT(配列!D567&amp;配列!E567,2),マクロ実行!$A$16 &amp;" T"&amp;H567&amp;"-"&amp;RIGHT(配列!D567&amp;配列!E567,3)))</f>
        <v/>
      </c>
      <c r="J567">
        <f>配列!F567</f>
        <v>0</v>
      </c>
      <c r="K567" s="2" t="e">
        <f>_xlfn.XLOOKUP(E567,セットアップレポート_紐づけ用!A:A,セットアップレポート_紐づけ用!R:R)</f>
        <v>#N/A</v>
      </c>
      <c r="L567" t="e">
        <f t="shared" si="33"/>
        <v>#N/A</v>
      </c>
      <c r="M567" t="e">
        <f>_xlfn.XLOOKUP(L567,EGPro!A:A,EGPro!D:D)</f>
        <v>#N/A</v>
      </c>
      <c r="N567" t="e">
        <f>_xlfn.XLOOKUP(L567,EGPro!A:A,EGPro!C:C)</f>
        <v>#N/A</v>
      </c>
      <c r="O567" t="e">
        <f t="shared" si="34"/>
        <v>#N/A</v>
      </c>
      <c r="P567" t="e">
        <f>_xlfn.XLOOKUP(O567,EGPro!A:A,EGPro!D:D)</f>
        <v>#N/A</v>
      </c>
      <c r="Q567" t="e">
        <f>_xlfn.XLOOKUP(O567,EGPro!A:A,EGPro!C:C)</f>
        <v>#N/A</v>
      </c>
    </row>
    <row r="568" spans="1:17" x14ac:dyDescent="0.45">
      <c r="A568" s="3">
        <f>配列!B568</f>
        <v>0</v>
      </c>
      <c r="B568" s="3" t="e">
        <f>_xlfn.XLOOKUP(A568,対応表!A:A,対応表!B:B)</f>
        <v>#N/A</v>
      </c>
      <c r="C568" s="3">
        <f>配列!C568</f>
        <v>0</v>
      </c>
      <c r="D568" s="3" t="str">
        <f>IF(配列!E568="",RIGHT(配列!D568&amp;配列!E568,4)&amp;"L",RIGHT(配列!D568&amp;配列!E568,5))</f>
        <v>L</v>
      </c>
      <c r="E568" s="3">
        <f t="shared" si="32"/>
        <v>0</v>
      </c>
      <c r="F568" s="3" t="e">
        <f>_xlfn.XLOOKUP(E568,セットアップレポート_紐づけ用!A:A,セットアップレポート_紐づけ用!J:J)</f>
        <v>#N/A</v>
      </c>
      <c r="G568" s="3" t="e">
        <f>_xlfn.XLOOKUP(E568,セットアップレポート_紐づけ用!A:A,セットアップレポート_紐づけ用!V:V)</f>
        <v>#N/A</v>
      </c>
      <c r="H568" s="3">
        <f t="shared" si="35"/>
        <v>-2</v>
      </c>
      <c r="I568" t="str">
        <f>IF(J568=0,"",IF(配列!E568="",マクロ実行!$A$16 &amp;" T"&amp;H568&amp;"-"&amp;RIGHT(配列!D568&amp;配列!E568,2),マクロ実行!$A$16 &amp;" T"&amp;H568&amp;"-"&amp;RIGHT(配列!D568&amp;配列!E568,3)))</f>
        <v/>
      </c>
      <c r="J568">
        <f>配列!F568</f>
        <v>0</v>
      </c>
      <c r="K568" s="2" t="e">
        <f>_xlfn.XLOOKUP(E568,セットアップレポート_紐づけ用!A:A,セットアップレポート_紐づけ用!R:R)</f>
        <v>#N/A</v>
      </c>
      <c r="L568" t="e">
        <f t="shared" si="33"/>
        <v>#N/A</v>
      </c>
      <c r="M568" t="e">
        <f>_xlfn.XLOOKUP(L568,EGPro!A:A,EGPro!D:D)</f>
        <v>#N/A</v>
      </c>
      <c r="N568" t="e">
        <f>_xlfn.XLOOKUP(L568,EGPro!A:A,EGPro!C:C)</f>
        <v>#N/A</v>
      </c>
      <c r="O568" t="e">
        <f t="shared" si="34"/>
        <v>#N/A</v>
      </c>
      <c r="P568" t="e">
        <f>_xlfn.XLOOKUP(O568,EGPro!A:A,EGPro!D:D)</f>
        <v>#N/A</v>
      </c>
      <c r="Q568" t="e">
        <f>_xlfn.XLOOKUP(O568,EGPro!A:A,EGPro!C:C)</f>
        <v>#N/A</v>
      </c>
    </row>
    <row r="569" spans="1:17" x14ac:dyDescent="0.45">
      <c r="A569" s="3">
        <f>配列!B569</f>
        <v>0</v>
      </c>
      <c r="B569" s="3" t="e">
        <f>_xlfn.XLOOKUP(A569,対応表!A:A,対応表!B:B)</f>
        <v>#N/A</v>
      </c>
      <c r="C569" s="3">
        <f>配列!C569</f>
        <v>0</v>
      </c>
      <c r="D569" s="3" t="str">
        <f>IF(配列!E569="",RIGHT(配列!D569&amp;配列!E569,4)&amp;"L",RIGHT(配列!D569&amp;配列!E569,5))</f>
        <v>L</v>
      </c>
      <c r="E569" s="3">
        <f t="shared" si="32"/>
        <v>0</v>
      </c>
      <c r="F569" s="3" t="e">
        <f>_xlfn.XLOOKUP(E569,セットアップレポート_紐づけ用!A:A,セットアップレポート_紐づけ用!J:J)</f>
        <v>#N/A</v>
      </c>
      <c r="G569" s="3" t="e">
        <f>_xlfn.XLOOKUP(E569,セットアップレポート_紐づけ用!A:A,セットアップレポート_紐づけ用!V:V)</f>
        <v>#N/A</v>
      </c>
      <c r="H569" s="3">
        <f t="shared" si="35"/>
        <v>-2</v>
      </c>
      <c r="I569" t="str">
        <f>IF(J569=0,"",IF(配列!E569="",マクロ実行!$A$16 &amp;" T"&amp;H569&amp;"-"&amp;RIGHT(配列!D569&amp;配列!E569,2),マクロ実行!$A$16 &amp;" T"&amp;H569&amp;"-"&amp;RIGHT(配列!D569&amp;配列!E569,3)))</f>
        <v/>
      </c>
      <c r="J569">
        <f>配列!F569</f>
        <v>0</v>
      </c>
      <c r="K569" s="2" t="e">
        <f>_xlfn.XLOOKUP(E569,セットアップレポート_紐づけ用!A:A,セットアップレポート_紐づけ用!R:R)</f>
        <v>#N/A</v>
      </c>
      <c r="L569" t="e">
        <f t="shared" si="33"/>
        <v>#N/A</v>
      </c>
      <c r="M569" t="e">
        <f>_xlfn.XLOOKUP(L569,EGPro!A:A,EGPro!D:D)</f>
        <v>#N/A</v>
      </c>
      <c r="N569" t="e">
        <f>_xlfn.XLOOKUP(L569,EGPro!A:A,EGPro!C:C)</f>
        <v>#N/A</v>
      </c>
      <c r="O569" t="e">
        <f t="shared" si="34"/>
        <v>#N/A</v>
      </c>
      <c r="P569" t="e">
        <f>_xlfn.XLOOKUP(O569,EGPro!A:A,EGPro!D:D)</f>
        <v>#N/A</v>
      </c>
      <c r="Q569" t="e">
        <f>_xlfn.XLOOKUP(O569,EGPro!A:A,EGPro!C:C)</f>
        <v>#N/A</v>
      </c>
    </row>
    <row r="570" spans="1:17" x14ac:dyDescent="0.45">
      <c r="A570" s="3">
        <f>配列!B570</f>
        <v>0</v>
      </c>
      <c r="B570" s="3" t="e">
        <f>_xlfn.XLOOKUP(A570,対応表!A:A,対応表!B:B)</f>
        <v>#N/A</v>
      </c>
      <c r="C570" s="3">
        <f>配列!C570</f>
        <v>0</v>
      </c>
      <c r="D570" s="3" t="str">
        <f>IF(配列!E570="",RIGHT(配列!D570&amp;配列!E570,4)&amp;"L",RIGHT(配列!D570&amp;配列!E570,5))</f>
        <v>L</v>
      </c>
      <c r="E570" s="3">
        <f t="shared" si="32"/>
        <v>0</v>
      </c>
      <c r="F570" s="3" t="e">
        <f>_xlfn.XLOOKUP(E570,セットアップレポート_紐づけ用!A:A,セットアップレポート_紐づけ用!J:J)</f>
        <v>#N/A</v>
      </c>
      <c r="G570" s="3" t="e">
        <f>_xlfn.XLOOKUP(E570,セットアップレポート_紐づけ用!A:A,セットアップレポート_紐づけ用!V:V)</f>
        <v>#N/A</v>
      </c>
      <c r="H570" s="3">
        <f t="shared" si="35"/>
        <v>-2</v>
      </c>
      <c r="I570" t="str">
        <f>IF(J570=0,"",IF(配列!E570="",マクロ実行!$A$16 &amp;" T"&amp;H570&amp;"-"&amp;RIGHT(配列!D570&amp;配列!E570,2),マクロ実行!$A$16 &amp;" T"&amp;H570&amp;"-"&amp;RIGHT(配列!D570&amp;配列!E570,3)))</f>
        <v/>
      </c>
      <c r="J570">
        <f>配列!F570</f>
        <v>0</v>
      </c>
      <c r="K570" s="2" t="e">
        <f>_xlfn.XLOOKUP(E570,セットアップレポート_紐づけ用!A:A,セットアップレポート_紐づけ用!R:R)</f>
        <v>#N/A</v>
      </c>
      <c r="L570" t="e">
        <f t="shared" si="33"/>
        <v>#N/A</v>
      </c>
      <c r="M570" t="e">
        <f>_xlfn.XLOOKUP(L570,EGPro!A:A,EGPro!D:D)</f>
        <v>#N/A</v>
      </c>
      <c r="N570" t="e">
        <f>_xlfn.XLOOKUP(L570,EGPro!A:A,EGPro!C:C)</f>
        <v>#N/A</v>
      </c>
      <c r="O570" t="e">
        <f t="shared" si="34"/>
        <v>#N/A</v>
      </c>
      <c r="P570" t="e">
        <f>_xlfn.XLOOKUP(O570,EGPro!A:A,EGPro!D:D)</f>
        <v>#N/A</v>
      </c>
      <c r="Q570" t="e">
        <f>_xlfn.XLOOKUP(O570,EGPro!A:A,EGPro!C:C)</f>
        <v>#N/A</v>
      </c>
    </row>
    <row r="571" spans="1:17" x14ac:dyDescent="0.45">
      <c r="A571" s="3">
        <f>配列!B571</f>
        <v>0</v>
      </c>
      <c r="B571" s="3" t="e">
        <f>_xlfn.XLOOKUP(A571,対応表!A:A,対応表!B:B)</f>
        <v>#N/A</v>
      </c>
      <c r="C571" s="3">
        <f>配列!C571</f>
        <v>0</v>
      </c>
      <c r="D571" s="3" t="str">
        <f>IF(配列!E571="",RIGHT(配列!D571&amp;配列!E571,4)&amp;"L",RIGHT(配列!D571&amp;配列!E571,5))</f>
        <v>L</v>
      </c>
      <c r="E571" s="3">
        <f t="shared" si="32"/>
        <v>0</v>
      </c>
      <c r="F571" s="3" t="e">
        <f>_xlfn.XLOOKUP(E571,セットアップレポート_紐づけ用!A:A,セットアップレポート_紐づけ用!J:J)</f>
        <v>#N/A</v>
      </c>
      <c r="G571" s="3" t="e">
        <f>_xlfn.XLOOKUP(E571,セットアップレポート_紐づけ用!A:A,セットアップレポート_紐づけ用!V:V)</f>
        <v>#N/A</v>
      </c>
      <c r="H571" s="3">
        <f t="shared" si="35"/>
        <v>-2</v>
      </c>
      <c r="I571" t="str">
        <f>IF(J571=0,"",IF(配列!E571="",マクロ実行!$A$16 &amp;" T"&amp;H571&amp;"-"&amp;RIGHT(配列!D571&amp;配列!E571,2),マクロ実行!$A$16 &amp;" T"&amp;H571&amp;"-"&amp;RIGHT(配列!D571&amp;配列!E571,3)))</f>
        <v/>
      </c>
      <c r="J571">
        <f>配列!F571</f>
        <v>0</v>
      </c>
      <c r="K571" s="2" t="e">
        <f>_xlfn.XLOOKUP(E571,セットアップレポート_紐づけ用!A:A,セットアップレポート_紐づけ用!R:R)</f>
        <v>#N/A</v>
      </c>
      <c r="L571" t="e">
        <f t="shared" si="33"/>
        <v>#N/A</v>
      </c>
      <c r="M571" t="e">
        <f>_xlfn.XLOOKUP(L571,EGPro!A:A,EGPro!D:D)</f>
        <v>#N/A</v>
      </c>
      <c r="N571" t="e">
        <f>_xlfn.XLOOKUP(L571,EGPro!A:A,EGPro!C:C)</f>
        <v>#N/A</v>
      </c>
      <c r="O571" t="e">
        <f t="shared" si="34"/>
        <v>#N/A</v>
      </c>
      <c r="P571" t="e">
        <f>_xlfn.XLOOKUP(O571,EGPro!A:A,EGPro!D:D)</f>
        <v>#N/A</v>
      </c>
      <c r="Q571" t="e">
        <f>_xlfn.XLOOKUP(O571,EGPro!A:A,EGPro!C:C)</f>
        <v>#N/A</v>
      </c>
    </row>
    <row r="572" spans="1:17" x14ac:dyDescent="0.45">
      <c r="A572" s="3">
        <f>配列!B572</f>
        <v>0</v>
      </c>
      <c r="B572" s="3" t="e">
        <f>_xlfn.XLOOKUP(A572,対応表!A:A,対応表!B:B)</f>
        <v>#N/A</v>
      </c>
      <c r="C572" s="3">
        <f>配列!C572</f>
        <v>0</v>
      </c>
      <c r="D572" s="3" t="str">
        <f>IF(配列!E572="",RIGHT(配列!D572&amp;配列!E572,4)&amp;"L",RIGHT(配列!D572&amp;配列!E572,5))</f>
        <v>L</v>
      </c>
      <c r="E572" s="3">
        <f t="shared" si="32"/>
        <v>0</v>
      </c>
      <c r="F572" s="3" t="e">
        <f>_xlfn.XLOOKUP(E572,セットアップレポート_紐づけ用!A:A,セットアップレポート_紐づけ用!J:J)</f>
        <v>#N/A</v>
      </c>
      <c r="G572" s="3" t="e">
        <f>_xlfn.XLOOKUP(E572,セットアップレポート_紐づけ用!A:A,セットアップレポート_紐づけ用!V:V)</f>
        <v>#N/A</v>
      </c>
      <c r="H572" s="3">
        <f t="shared" si="35"/>
        <v>-2</v>
      </c>
      <c r="I572" t="str">
        <f>IF(J572=0,"",IF(配列!E572="",マクロ実行!$A$16 &amp;" T"&amp;H572&amp;"-"&amp;RIGHT(配列!D572&amp;配列!E572,2),マクロ実行!$A$16 &amp;" T"&amp;H572&amp;"-"&amp;RIGHT(配列!D572&amp;配列!E572,3)))</f>
        <v/>
      </c>
      <c r="J572">
        <f>配列!F572</f>
        <v>0</v>
      </c>
      <c r="K572" s="2" t="e">
        <f>_xlfn.XLOOKUP(E572,セットアップレポート_紐づけ用!A:A,セットアップレポート_紐づけ用!R:R)</f>
        <v>#N/A</v>
      </c>
      <c r="L572" t="e">
        <f t="shared" si="33"/>
        <v>#N/A</v>
      </c>
      <c r="M572" t="e">
        <f>_xlfn.XLOOKUP(L572,EGPro!A:A,EGPro!D:D)</f>
        <v>#N/A</v>
      </c>
      <c r="N572" t="e">
        <f>_xlfn.XLOOKUP(L572,EGPro!A:A,EGPro!C:C)</f>
        <v>#N/A</v>
      </c>
      <c r="O572" t="e">
        <f t="shared" si="34"/>
        <v>#N/A</v>
      </c>
      <c r="P572" t="e">
        <f>_xlfn.XLOOKUP(O572,EGPro!A:A,EGPro!D:D)</f>
        <v>#N/A</v>
      </c>
      <c r="Q572" t="e">
        <f>_xlfn.XLOOKUP(O572,EGPro!A:A,EGPro!C:C)</f>
        <v>#N/A</v>
      </c>
    </row>
    <row r="573" spans="1:17" x14ac:dyDescent="0.45">
      <c r="A573" s="3">
        <f>配列!B573</f>
        <v>0</v>
      </c>
      <c r="B573" s="3" t="e">
        <f>_xlfn.XLOOKUP(A573,対応表!A:A,対応表!B:B)</f>
        <v>#N/A</v>
      </c>
      <c r="C573" s="3">
        <f>配列!C573</f>
        <v>0</v>
      </c>
      <c r="D573" s="3" t="str">
        <f>IF(配列!E573="",RIGHT(配列!D573&amp;配列!E573,4)&amp;"L",RIGHT(配列!D573&amp;配列!E573,5))</f>
        <v>L</v>
      </c>
      <c r="E573" s="3">
        <f t="shared" si="32"/>
        <v>0</v>
      </c>
      <c r="F573" s="3" t="e">
        <f>_xlfn.XLOOKUP(E573,セットアップレポート_紐づけ用!A:A,セットアップレポート_紐づけ用!J:J)</f>
        <v>#N/A</v>
      </c>
      <c r="G573" s="3" t="e">
        <f>_xlfn.XLOOKUP(E573,セットアップレポート_紐づけ用!A:A,セットアップレポート_紐づけ用!V:V)</f>
        <v>#N/A</v>
      </c>
      <c r="H573" s="3">
        <f t="shared" si="35"/>
        <v>-2</v>
      </c>
      <c r="I573" t="str">
        <f>IF(J573=0,"",IF(配列!E573="",マクロ実行!$A$16 &amp;" T"&amp;H573&amp;"-"&amp;RIGHT(配列!D573&amp;配列!E573,2),マクロ実行!$A$16 &amp;" T"&amp;H573&amp;"-"&amp;RIGHT(配列!D573&amp;配列!E573,3)))</f>
        <v/>
      </c>
      <c r="J573">
        <f>配列!F573</f>
        <v>0</v>
      </c>
      <c r="K573" s="2" t="e">
        <f>_xlfn.XLOOKUP(E573,セットアップレポート_紐づけ用!A:A,セットアップレポート_紐づけ用!R:R)</f>
        <v>#N/A</v>
      </c>
      <c r="L573" t="e">
        <f t="shared" si="33"/>
        <v>#N/A</v>
      </c>
      <c r="M573" t="e">
        <f>_xlfn.XLOOKUP(L573,EGPro!A:A,EGPro!D:D)</f>
        <v>#N/A</v>
      </c>
      <c r="N573" t="e">
        <f>_xlfn.XLOOKUP(L573,EGPro!A:A,EGPro!C:C)</f>
        <v>#N/A</v>
      </c>
      <c r="O573" t="e">
        <f t="shared" si="34"/>
        <v>#N/A</v>
      </c>
      <c r="P573" t="e">
        <f>_xlfn.XLOOKUP(O573,EGPro!A:A,EGPro!D:D)</f>
        <v>#N/A</v>
      </c>
      <c r="Q573" t="e">
        <f>_xlfn.XLOOKUP(O573,EGPro!A:A,EGPro!C:C)</f>
        <v>#N/A</v>
      </c>
    </row>
    <row r="574" spans="1:17" x14ac:dyDescent="0.45">
      <c r="A574" s="3">
        <f>配列!B574</f>
        <v>0</v>
      </c>
      <c r="B574" s="3" t="e">
        <f>_xlfn.XLOOKUP(A574,対応表!A:A,対応表!B:B)</f>
        <v>#N/A</v>
      </c>
      <c r="C574" s="3">
        <f>配列!C574</f>
        <v>0</v>
      </c>
      <c r="D574" s="3" t="str">
        <f>IF(配列!E574="",RIGHT(配列!D574&amp;配列!E574,4)&amp;"L",RIGHT(配列!D574&amp;配列!E574,5))</f>
        <v>L</v>
      </c>
      <c r="E574" s="3">
        <f t="shared" si="32"/>
        <v>0</v>
      </c>
      <c r="F574" s="3" t="e">
        <f>_xlfn.XLOOKUP(E574,セットアップレポート_紐づけ用!A:A,セットアップレポート_紐づけ用!J:J)</f>
        <v>#N/A</v>
      </c>
      <c r="G574" s="3" t="e">
        <f>_xlfn.XLOOKUP(E574,セットアップレポート_紐づけ用!A:A,セットアップレポート_紐づけ用!V:V)</f>
        <v>#N/A</v>
      </c>
      <c r="H574" s="3">
        <f t="shared" si="35"/>
        <v>-2</v>
      </c>
      <c r="I574" t="str">
        <f>IF(J574=0,"",IF(配列!E574="",マクロ実行!$A$16 &amp;" T"&amp;H574&amp;"-"&amp;RIGHT(配列!D574&amp;配列!E574,2),マクロ実行!$A$16 &amp;" T"&amp;H574&amp;"-"&amp;RIGHT(配列!D574&amp;配列!E574,3)))</f>
        <v/>
      </c>
      <c r="J574">
        <f>配列!F574</f>
        <v>0</v>
      </c>
      <c r="K574" s="2" t="e">
        <f>_xlfn.XLOOKUP(E574,セットアップレポート_紐づけ用!A:A,セットアップレポート_紐づけ用!R:R)</f>
        <v>#N/A</v>
      </c>
      <c r="L574" t="e">
        <f t="shared" si="33"/>
        <v>#N/A</v>
      </c>
      <c r="M574" t="e">
        <f>_xlfn.XLOOKUP(L574,EGPro!A:A,EGPro!D:D)</f>
        <v>#N/A</v>
      </c>
      <c r="N574" t="e">
        <f>_xlfn.XLOOKUP(L574,EGPro!A:A,EGPro!C:C)</f>
        <v>#N/A</v>
      </c>
      <c r="O574" t="e">
        <f t="shared" si="34"/>
        <v>#N/A</v>
      </c>
      <c r="P574" t="e">
        <f>_xlfn.XLOOKUP(O574,EGPro!A:A,EGPro!D:D)</f>
        <v>#N/A</v>
      </c>
      <c r="Q574" t="e">
        <f>_xlfn.XLOOKUP(O574,EGPro!A:A,EGPro!C:C)</f>
        <v>#N/A</v>
      </c>
    </row>
    <row r="575" spans="1:17" x14ac:dyDescent="0.45">
      <c r="A575" s="3">
        <f>配列!B575</f>
        <v>0</v>
      </c>
      <c r="B575" s="3" t="e">
        <f>_xlfn.XLOOKUP(A575,対応表!A:A,対応表!B:B)</f>
        <v>#N/A</v>
      </c>
      <c r="C575" s="3">
        <f>配列!C575</f>
        <v>0</v>
      </c>
      <c r="D575" s="3" t="str">
        <f>IF(配列!E575="",RIGHT(配列!D575&amp;配列!E575,4)&amp;"L",RIGHT(配列!D575&amp;配列!E575,5))</f>
        <v>L</v>
      </c>
      <c r="E575" s="3">
        <f t="shared" si="32"/>
        <v>0</v>
      </c>
      <c r="F575" s="3" t="e">
        <f>_xlfn.XLOOKUP(E575,セットアップレポート_紐づけ用!A:A,セットアップレポート_紐づけ用!J:J)</f>
        <v>#N/A</v>
      </c>
      <c r="G575" s="3" t="e">
        <f>_xlfn.XLOOKUP(E575,セットアップレポート_紐づけ用!A:A,セットアップレポート_紐づけ用!V:V)</f>
        <v>#N/A</v>
      </c>
      <c r="H575" s="3">
        <f t="shared" si="35"/>
        <v>-2</v>
      </c>
      <c r="I575" t="str">
        <f>IF(J575=0,"",IF(配列!E575="",マクロ実行!$A$16 &amp;" T"&amp;H575&amp;"-"&amp;RIGHT(配列!D575&amp;配列!E575,2),マクロ実行!$A$16 &amp;" T"&amp;H575&amp;"-"&amp;RIGHT(配列!D575&amp;配列!E575,3)))</f>
        <v/>
      </c>
      <c r="J575">
        <f>配列!F575</f>
        <v>0</v>
      </c>
      <c r="K575" s="2" t="e">
        <f>_xlfn.XLOOKUP(E575,セットアップレポート_紐づけ用!A:A,セットアップレポート_紐づけ用!R:R)</f>
        <v>#N/A</v>
      </c>
      <c r="L575" t="e">
        <f t="shared" si="33"/>
        <v>#N/A</v>
      </c>
      <c r="M575" t="e">
        <f>_xlfn.XLOOKUP(L575,EGPro!A:A,EGPro!D:D)</f>
        <v>#N/A</v>
      </c>
      <c r="N575" t="e">
        <f>_xlfn.XLOOKUP(L575,EGPro!A:A,EGPro!C:C)</f>
        <v>#N/A</v>
      </c>
      <c r="O575" t="e">
        <f t="shared" si="34"/>
        <v>#N/A</v>
      </c>
      <c r="P575" t="e">
        <f>_xlfn.XLOOKUP(O575,EGPro!A:A,EGPro!D:D)</f>
        <v>#N/A</v>
      </c>
      <c r="Q575" t="e">
        <f>_xlfn.XLOOKUP(O575,EGPro!A:A,EGPro!C:C)</f>
        <v>#N/A</v>
      </c>
    </row>
    <row r="576" spans="1:17" x14ac:dyDescent="0.45">
      <c r="A576" s="3">
        <f>配列!B576</f>
        <v>0</v>
      </c>
      <c r="B576" s="3" t="e">
        <f>_xlfn.XLOOKUP(A576,対応表!A:A,対応表!B:B)</f>
        <v>#N/A</v>
      </c>
      <c r="C576" s="3">
        <f>配列!C576</f>
        <v>0</v>
      </c>
      <c r="D576" s="3" t="str">
        <f>IF(配列!E576="",RIGHT(配列!D576&amp;配列!E576,4)&amp;"L",RIGHT(配列!D576&amp;配列!E576,5))</f>
        <v>L</v>
      </c>
      <c r="E576" s="3">
        <f t="shared" si="32"/>
        <v>0</v>
      </c>
      <c r="F576" s="3" t="e">
        <f>_xlfn.XLOOKUP(E576,セットアップレポート_紐づけ用!A:A,セットアップレポート_紐づけ用!J:J)</f>
        <v>#N/A</v>
      </c>
      <c r="G576" s="3" t="e">
        <f>_xlfn.XLOOKUP(E576,セットアップレポート_紐づけ用!A:A,セットアップレポート_紐づけ用!V:V)</f>
        <v>#N/A</v>
      </c>
      <c r="H576" s="3">
        <f t="shared" si="35"/>
        <v>-2</v>
      </c>
      <c r="I576" t="str">
        <f>IF(J576=0,"",IF(配列!E576="",マクロ実行!$A$16 &amp;" T"&amp;H576&amp;"-"&amp;RIGHT(配列!D576&amp;配列!E576,2),マクロ実行!$A$16 &amp;" T"&amp;H576&amp;"-"&amp;RIGHT(配列!D576&amp;配列!E576,3)))</f>
        <v/>
      </c>
      <c r="J576">
        <f>配列!F576</f>
        <v>0</v>
      </c>
      <c r="K576" s="2" t="e">
        <f>_xlfn.XLOOKUP(E576,セットアップレポート_紐づけ用!A:A,セットアップレポート_紐づけ用!R:R)</f>
        <v>#N/A</v>
      </c>
      <c r="L576" t="e">
        <f t="shared" si="33"/>
        <v>#N/A</v>
      </c>
      <c r="M576" t="e">
        <f>_xlfn.XLOOKUP(L576,EGPro!A:A,EGPro!D:D)</f>
        <v>#N/A</v>
      </c>
      <c r="N576" t="e">
        <f>_xlfn.XLOOKUP(L576,EGPro!A:A,EGPro!C:C)</f>
        <v>#N/A</v>
      </c>
      <c r="O576" t="e">
        <f t="shared" si="34"/>
        <v>#N/A</v>
      </c>
      <c r="P576" t="e">
        <f>_xlfn.XLOOKUP(O576,EGPro!A:A,EGPro!D:D)</f>
        <v>#N/A</v>
      </c>
      <c r="Q576" t="e">
        <f>_xlfn.XLOOKUP(O576,EGPro!A:A,EGPro!C:C)</f>
        <v>#N/A</v>
      </c>
    </row>
    <row r="577" spans="1:17" x14ac:dyDescent="0.45">
      <c r="A577" s="3">
        <f>配列!B577</f>
        <v>0</v>
      </c>
      <c r="B577" s="3" t="e">
        <f>_xlfn.XLOOKUP(A577,対応表!A:A,対応表!B:B)</f>
        <v>#N/A</v>
      </c>
      <c r="C577" s="3">
        <f>配列!C577</f>
        <v>0</v>
      </c>
      <c r="D577" s="3" t="str">
        <f>IF(配列!E577="",RIGHT(配列!D577&amp;配列!E577,4)&amp;"L",RIGHT(配列!D577&amp;配列!E577,5))</f>
        <v>L</v>
      </c>
      <c r="E577" s="3">
        <f t="shared" si="32"/>
        <v>0</v>
      </c>
      <c r="F577" s="3" t="e">
        <f>_xlfn.XLOOKUP(E577,セットアップレポート_紐づけ用!A:A,セットアップレポート_紐づけ用!J:J)</f>
        <v>#N/A</v>
      </c>
      <c r="G577" s="3" t="e">
        <f>_xlfn.XLOOKUP(E577,セットアップレポート_紐づけ用!A:A,セットアップレポート_紐づけ用!V:V)</f>
        <v>#N/A</v>
      </c>
      <c r="H577" s="3">
        <f t="shared" si="35"/>
        <v>-2</v>
      </c>
      <c r="I577" t="str">
        <f>IF(J577=0,"",IF(配列!E577="",マクロ実行!$A$16 &amp;" T"&amp;H577&amp;"-"&amp;RIGHT(配列!D577&amp;配列!E577,2),マクロ実行!$A$16 &amp;" T"&amp;H577&amp;"-"&amp;RIGHT(配列!D577&amp;配列!E577,3)))</f>
        <v/>
      </c>
      <c r="J577">
        <f>配列!F577</f>
        <v>0</v>
      </c>
      <c r="K577" s="2" t="e">
        <f>_xlfn.XLOOKUP(E577,セットアップレポート_紐づけ用!A:A,セットアップレポート_紐づけ用!R:R)</f>
        <v>#N/A</v>
      </c>
      <c r="L577" t="e">
        <f t="shared" si="33"/>
        <v>#N/A</v>
      </c>
      <c r="M577" t="e">
        <f>_xlfn.XLOOKUP(L577,EGPro!A:A,EGPro!D:D)</f>
        <v>#N/A</v>
      </c>
      <c r="N577" t="e">
        <f>_xlfn.XLOOKUP(L577,EGPro!A:A,EGPro!C:C)</f>
        <v>#N/A</v>
      </c>
      <c r="O577" t="e">
        <f t="shared" si="34"/>
        <v>#N/A</v>
      </c>
      <c r="P577" t="e">
        <f>_xlfn.XLOOKUP(O577,EGPro!A:A,EGPro!D:D)</f>
        <v>#N/A</v>
      </c>
      <c r="Q577" t="e">
        <f>_xlfn.XLOOKUP(O577,EGPro!A:A,EGPro!C:C)</f>
        <v>#N/A</v>
      </c>
    </row>
    <row r="578" spans="1:17" x14ac:dyDescent="0.45">
      <c r="A578" s="3">
        <f>配列!B578</f>
        <v>0</v>
      </c>
      <c r="B578" s="3" t="e">
        <f>_xlfn.XLOOKUP(A578,対応表!A:A,対応表!B:B)</f>
        <v>#N/A</v>
      </c>
      <c r="C578" s="3">
        <f>配列!C578</f>
        <v>0</v>
      </c>
      <c r="D578" s="3" t="str">
        <f>IF(配列!E578="",RIGHT(配列!D578&amp;配列!E578,4)&amp;"L",RIGHT(配列!D578&amp;配列!E578,5))</f>
        <v>L</v>
      </c>
      <c r="E578" s="3">
        <f t="shared" ref="E578:E641" si="36">IF(J578=0,,B578&amp;D578&amp;J578)</f>
        <v>0</v>
      </c>
      <c r="F578" s="3" t="e">
        <f>_xlfn.XLOOKUP(E578,セットアップレポート_紐づけ用!A:A,セットアップレポート_紐づけ用!J:J)</f>
        <v>#N/A</v>
      </c>
      <c r="G578" s="3" t="e">
        <f>_xlfn.XLOOKUP(E578,セットアップレポート_紐づけ用!A:A,セットアップレポート_紐づけ用!V:V)</f>
        <v>#N/A</v>
      </c>
      <c r="H578" s="3">
        <f t="shared" si="35"/>
        <v>-2</v>
      </c>
      <c r="I578" t="str">
        <f>IF(J578=0,"",IF(配列!E578="",マクロ実行!$A$16 &amp;" T"&amp;H578&amp;"-"&amp;RIGHT(配列!D578&amp;配列!E578,2),マクロ実行!$A$16 &amp;" T"&amp;H578&amp;"-"&amp;RIGHT(配列!D578&amp;配列!E578,3)))</f>
        <v/>
      </c>
      <c r="J578">
        <f>配列!F578</f>
        <v>0</v>
      </c>
      <c r="K578" s="2" t="e">
        <f>_xlfn.XLOOKUP(E578,セットアップレポート_紐づけ用!A:A,セットアップレポート_紐づけ用!R:R)</f>
        <v>#N/A</v>
      </c>
      <c r="L578" t="e">
        <f t="shared" ref="L578:L641" si="37">IF(LEN(F578)=13,"    "&amp;F578,F578)</f>
        <v>#N/A</v>
      </c>
      <c r="M578" t="e">
        <f>_xlfn.XLOOKUP(L578,EGPro!A:A,EGPro!D:D)</f>
        <v>#N/A</v>
      </c>
      <c r="N578" t="e">
        <f>_xlfn.XLOOKUP(L578,EGPro!A:A,EGPro!C:C)</f>
        <v>#N/A</v>
      </c>
      <c r="O578" t="e">
        <f t="shared" ref="O578:O641" si="38">IF(LEN(G578)=13,"    "&amp;G578,G578)</f>
        <v>#N/A</v>
      </c>
      <c r="P578" t="e">
        <f>_xlfn.XLOOKUP(O578,EGPro!A:A,EGPro!D:D)</f>
        <v>#N/A</v>
      </c>
      <c r="Q578" t="e">
        <f>_xlfn.XLOOKUP(O578,EGPro!A:A,EGPro!C:C)</f>
        <v>#N/A</v>
      </c>
    </row>
    <row r="579" spans="1:17" x14ac:dyDescent="0.45">
      <c r="A579" s="3">
        <f>配列!B579</f>
        <v>0</v>
      </c>
      <c r="B579" s="3" t="e">
        <f>_xlfn.XLOOKUP(A579,対応表!A:A,対応表!B:B)</f>
        <v>#N/A</v>
      </c>
      <c r="C579" s="3">
        <f>配列!C579</f>
        <v>0</v>
      </c>
      <c r="D579" s="3" t="str">
        <f>IF(配列!E579="",RIGHT(配列!D579&amp;配列!E579,4)&amp;"L",RIGHT(配列!D579&amp;配列!E579,5))</f>
        <v>L</v>
      </c>
      <c r="E579" s="3">
        <f t="shared" si="36"/>
        <v>0</v>
      </c>
      <c r="F579" s="3" t="e">
        <f>_xlfn.XLOOKUP(E579,セットアップレポート_紐づけ用!A:A,セットアップレポート_紐づけ用!J:J)</f>
        <v>#N/A</v>
      </c>
      <c r="G579" s="3" t="e">
        <f>_xlfn.XLOOKUP(E579,セットアップレポート_紐づけ用!A:A,セットアップレポート_紐づけ用!V:V)</f>
        <v>#N/A</v>
      </c>
      <c r="H579" s="3">
        <f t="shared" ref="H579:H642" si="39">2*RIGHT(A579,1)-2+C579</f>
        <v>-2</v>
      </c>
      <c r="I579" t="str">
        <f>IF(J579=0,"",IF(配列!E579="",マクロ実行!$A$16 &amp;" T"&amp;H579&amp;"-"&amp;RIGHT(配列!D579&amp;配列!E579,2),マクロ実行!$A$16 &amp;" T"&amp;H579&amp;"-"&amp;RIGHT(配列!D579&amp;配列!E579,3)))</f>
        <v/>
      </c>
      <c r="J579">
        <f>配列!F579</f>
        <v>0</v>
      </c>
      <c r="K579" s="2" t="e">
        <f>_xlfn.XLOOKUP(E579,セットアップレポート_紐づけ用!A:A,セットアップレポート_紐づけ用!R:R)</f>
        <v>#N/A</v>
      </c>
      <c r="L579" t="e">
        <f t="shared" si="37"/>
        <v>#N/A</v>
      </c>
      <c r="M579" t="e">
        <f>_xlfn.XLOOKUP(L579,EGPro!A:A,EGPro!D:D)</f>
        <v>#N/A</v>
      </c>
      <c r="N579" t="e">
        <f>_xlfn.XLOOKUP(L579,EGPro!A:A,EGPro!C:C)</f>
        <v>#N/A</v>
      </c>
      <c r="O579" t="e">
        <f t="shared" si="38"/>
        <v>#N/A</v>
      </c>
      <c r="P579" t="e">
        <f>_xlfn.XLOOKUP(O579,EGPro!A:A,EGPro!D:D)</f>
        <v>#N/A</v>
      </c>
      <c r="Q579" t="e">
        <f>_xlfn.XLOOKUP(O579,EGPro!A:A,EGPro!C:C)</f>
        <v>#N/A</v>
      </c>
    </row>
    <row r="580" spans="1:17" x14ac:dyDescent="0.45">
      <c r="A580" s="3">
        <f>配列!B580</f>
        <v>0</v>
      </c>
      <c r="B580" s="3" t="e">
        <f>_xlfn.XLOOKUP(A580,対応表!A:A,対応表!B:B)</f>
        <v>#N/A</v>
      </c>
      <c r="C580" s="3">
        <f>配列!C580</f>
        <v>0</v>
      </c>
      <c r="D580" s="3" t="str">
        <f>IF(配列!E580="",RIGHT(配列!D580&amp;配列!E580,4)&amp;"L",RIGHT(配列!D580&amp;配列!E580,5))</f>
        <v>L</v>
      </c>
      <c r="E580" s="3">
        <f t="shared" si="36"/>
        <v>0</v>
      </c>
      <c r="F580" s="3" t="e">
        <f>_xlfn.XLOOKUP(E580,セットアップレポート_紐づけ用!A:A,セットアップレポート_紐づけ用!J:J)</f>
        <v>#N/A</v>
      </c>
      <c r="G580" s="3" t="e">
        <f>_xlfn.XLOOKUP(E580,セットアップレポート_紐づけ用!A:A,セットアップレポート_紐づけ用!V:V)</f>
        <v>#N/A</v>
      </c>
      <c r="H580" s="3">
        <f t="shared" si="39"/>
        <v>-2</v>
      </c>
      <c r="I580" t="str">
        <f>IF(J580=0,"",IF(配列!E580="",マクロ実行!$A$16 &amp;" T"&amp;H580&amp;"-"&amp;RIGHT(配列!D580&amp;配列!E580,2),マクロ実行!$A$16 &amp;" T"&amp;H580&amp;"-"&amp;RIGHT(配列!D580&amp;配列!E580,3)))</f>
        <v/>
      </c>
      <c r="J580">
        <f>配列!F580</f>
        <v>0</v>
      </c>
      <c r="K580" s="2" t="e">
        <f>_xlfn.XLOOKUP(E580,セットアップレポート_紐づけ用!A:A,セットアップレポート_紐づけ用!R:R)</f>
        <v>#N/A</v>
      </c>
      <c r="L580" t="e">
        <f t="shared" si="37"/>
        <v>#N/A</v>
      </c>
      <c r="M580" t="e">
        <f>_xlfn.XLOOKUP(L580,EGPro!A:A,EGPro!D:D)</f>
        <v>#N/A</v>
      </c>
      <c r="N580" t="e">
        <f>_xlfn.XLOOKUP(L580,EGPro!A:A,EGPro!C:C)</f>
        <v>#N/A</v>
      </c>
      <c r="O580" t="e">
        <f t="shared" si="38"/>
        <v>#N/A</v>
      </c>
      <c r="P580" t="e">
        <f>_xlfn.XLOOKUP(O580,EGPro!A:A,EGPro!D:D)</f>
        <v>#N/A</v>
      </c>
      <c r="Q580" t="e">
        <f>_xlfn.XLOOKUP(O580,EGPro!A:A,EGPro!C:C)</f>
        <v>#N/A</v>
      </c>
    </row>
    <row r="581" spans="1:17" x14ac:dyDescent="0.45">
      <c r="A581" s="3">
        <f>配列!B581</f>
        <v>0</v>
      </c>
      <c r="B581" s="3" t="e">
        <f>_xlfn.XLOOKUP(A581,対応表!A:A,対応表!B:B)</f>
        <v>#N/A</v>
      </c>
      <c r="C581" s="3">
        <f>配列!C581</f>
        <v>0</v>
      </c>
      <c r="D581" s="3" t="str">
        <f>IF(配列!E581="",RIGHT(配列!D581&amp;配列!E581,4)&amp;"L",RIGHT(配列!D581&amp;配列!E581,5))</f>
        <v>L</v>
      </c>
      <c r="E581" s="3">
        <f t="shared" si="36"/>
        <v>0</v>
      </c>
      <c r="F581" s="3" t="e">
        <f>_xlfn.XLOOKUP(E581,セットアップレポート_紐づけ用!A:A,セットアップレポート_紐づけ用!J:J)</f>
        <v>#N/A</v>
      </c>
      <c r="G581" s="3" t="e">
        <f>_xlfn.XLOOKUP(E581,セットアップレポート_紐づけ用!A:A,セットアップレポート_紐づけ用!V:V)</f>
        <v>#N/A</v>
      </c>
      <c r="H581" s="3">
        <f t="shared" si="39"/>
        <v>-2</v>
      </c>
      <c r="I581" t="str">
        <f>IF(J581=0,"",IF(配列!E581="",マクロ実行!$A$16 &amp;" T"&amp;H581&amp;"-"&amp;RIGHT(配列!D581&amp;配列!E581,2),マクロ実行!$A$16 &amp;" T"&amp;H581&amp;"-"&amp;RIGHT(配列!D581&amp;配列!E581,3)))</f>
        <v/>
      </c>
      <c r="J581">
        <f>配列!F581</f>
        <v>0</v>
      </c>
      <c r="K581" s="2" t="e">
        <f>_xlfn.XLOOKUP(E581,セットアップレポート_紐づけ用!A:A,セットアップレポート_紐づけ用!R:R)</f>
        <v>#N/A</v>
      </c>
      <c r="L581" t="e">
        <f t="shared" si="37"/>
        <v>#N/A</v>
      </c>
      <c r="M581" t="e">
        <f>_xlfn.XLOOKUP(L581,EGPro!A:A,EGPro!D:D)</f>
        <v>#N/A</v>
      </c>
      <c r="N581" t="e">
        <f>_xlfn.XLOOKUP(L581,EGPro!A:A,EGPro!C:C)</f>
        <v>#N/A</v>
      </c>
      <c r="O581" t="e">
        <f t="shared" si="38"/>
        <v>#N/A</v>
      </c>
      <c r="P581" t="e">
        <f>_xlfn.XLOOKUP(O581,EGPro!A:A,EGPro!D:D)</f>
        <v>#N/A</v>
      </c>
      <c r="Q581" t="e">
        <f>_xlfn.XLOOKUP(O581,EGPro!A:A,EGPro!C:C)</f>
        <v>#N/A</v>
      </c>
    </row>
    <row r="582" spans="1:17" x14ac:dyDescent="0.45">
      <c r="A582" s="3">
        <f>配列!B582</f>
        <v>0</v>
      </c>
      <c r="B582" s="3" t="e">
        <f>_xlfn.XLOOKUP(A582,対応表!A:A,対応表!B:B)</f>
        <v>#N/A</v>
      </c>
      <c r="C582" s="3">
        <f>配列!C582</f>
        <v>0</v>
      </c>
      <c r="D582" s="3" t="str">
        <f>IF(配列!E582="",RIGHT(配列!D582&amp;配列!E582,4)&amp;"L",RIGHT(配列!D582&amp;配列!E582,5))</f>
        <v>L</v>
      </c>
      <c r="E582" s="3">
        <f t="shared" si="36"/>
        <v>0</v>
      </c>
      <c r="F582" s="3" t="e">
        <f>_xlfn.XLOOKUP(E582,セットアップレポート_紐づけ用!A:A,セットアップレポート_紐づけ用!J:J)</f>
        <v>#N/A</v>
      </c>
      <c r="G582" s="3" t="e">
        <f>_xlfn.XLOOKUP(E582,セットアップレポート_紐づけ用!A:A,セットアップレポート_紐づけ用!V:V)</f>
        <v>#N/A</v>
      </c>
      <c r="H582" s="3">
        <f t="shared" si="39"/>
        <v>-2</v>
      </c>
      <c r="I582" t="str">
        <f>IF(J582=0,"",IF(配列!E582="",マクロ実行!$A$16 &amp;" T"&amp;H582&amp;"-"&amp;RIGHT(配列!D582&amp;配列!E582,2),マクロ実行!$A$16 &amp;" T"&amp;H582&amp;"-"&amp;RIGHT(配列!D582&amp;配列!E582,3)))</f>
        <v/>
      </c>
      <c r="J582">
        <f>配列!F582</f>
        <v>0</v>
      </c>
      <c r="K582" s="2" t="e">
        <f>_xlfn.XLOOKUP(E582,セットアップレポート_紐づけ用!A:A,セットアップレポート_紐づけ用!R:R)</f>
        <v>#N/A</v>
      </c>
      <c r="L582" t="e">
        <f t="shared" si="37"/>
        <v>#N/A</v>
      </c>
      <c r="M582" t="e">
        <f>_xlfn.XLOOKUP(L582,EGPro!A:A,EGPro!D:D)</f>
        <v>#N/A</v>
      </c>
      <c r="N582" t="e">
        <f>_xlfn.XLOOKUP(L582,EGPro!A:A,EGPro!C:C)</f>
        <v>#N/A</v>
      </c>
      <c r="O582" t="e">
        <f t="shared" si="38"/>
        <v>#N/A</v>
      </c>
      <c r="P582" t="e">
        <f>_xlfn.XLOOKUP(O582,EGPro!A:A,EGPro!D:D)</f>
        <v>#N/A</v>
      </c>
      <c r="Q582" t="e">
        <f>_xlfn.XLOOKUP(O582,EGPro!A:A,EGPro!C:C)</f>
        <v>#N/A</v>
      </c>
    </row>
    <row r="583" spans="1:17" x14ac:dyDescent="0.45">
      <c r="A583" s="3">
        <f>配列!B583</f>
        <v>0</v>
      </c>
      <c r="B583" s="3" t="e">
        <f>_xlfn.XLOOKUP(A583,対応表!A:A,対応表!B:B)</f>
        <v>#N/A</v>
      </c>
      <c r="C583" s="3">
        <f>配列!C583</f>
        <v>0</v>
      </c>
      <c r="D583" s="3" t="str">
        <f>IF(配列!E583="",RIGHT(配列!D583&amp;配列!E583,4)&amp;"L",RIGHT(配列!D583&amp;配列!E583,5))</f>
        <v>L</v>
      </c>
      <c r="E583" s="3">
        <f t="shared" si="36"/>
        <v>0</v>
      </c>
      <c r="F583" s="3" t="e">
        <f>_xlfn.XLOOKUP(E583,セットアップレポート_紐づけ用!A:A,セットアップレポート_紐づけ用!J:J)</f>
        <v>#N/A</v>
      </c>
      <c r="G583" s="3" t="e">
        <f>_xlfn.XLOOKUP(E583,セットアップレポート_紐づけ用!A:A,セットアップレポート_紐づけ用!V:V)</f>
        <v>#N/A</v>
      </c>
      <c r="H583" s="3">
        <f t="shared" si="39"/>
        <v>-2</v>
      </c>
      <c r="I583" t="str">
        <f>IF(J583=0,"",IF(配列!E583="",マクロ実行!$A$16 &amp;" T"&amp;H583&amp;"-"&amp;RIGHT(配列!D583&amp;配列!E583,2),マクロ実行!$A$16 &amp;" T"&amp;H583&amp;"-"&amp;RIGHT(配列!D583&amp;配列!E583,3)))</f>
        <v/>
      </c>
      <c r="J583">
        <f>配列!F583</f>
        <v>0</v>
      </c>
      <c r="K583" s="2" t="e">
        <f>_xlfn.XLOOKUP(E583,セットアップレポート_紐づけ用!A:A,セットアップレポート_紐づけ用!R:R)</f>
        <v>#N/A</v>
      </c>
      <c r="L583" t="e">
        <f t="shared" si="37"/>
        <v>#N/A</v>
      </c>
      <c r="M583" t="e">
        <f>_xlfn.XLOOKUP(L583,EGPro!A:A,EGPro!D:D)</f>
        <v>#N/A</v>
      </c>
      <c r="N583" t="e">
        <f>_xlfn.XLOOKUP(L583,EGPro!A:A,EGPro!C:C)</f>
        <v>#N/A</v>
      </c>
      <c r="O583" t="e">
        <f t="shared" si="38"/>
        <v>#N/A</v>
      </c>
      <c r="P583" t="e">
        <f>_xlfn.XLOOKUP(O583,EGPro!A:A,EGPro!D:D)</f>
        <v>#N/A</v>
      </c>
      <c r="Q583" t="e">
        <f>_xlfn.XLOOKUP(O583,EGPro!A:A,EGPro!C:C)</f>
        <v>#N/A</v>
      </c>
    </row>
    <row r="584" spans="1:17" x14ac:dyDescent="0.45">
      <c r="A584" s="3">
        <f>配列!B584</f>
        <v>0</v>
      </c>
      <c r="B584" s="3" t="e">
        <f>_xlfn.XLOOKUP(A584,対応表!A:A,対応表!B:B)</f>
        <v>#N/A</v>
      </c>
      <c r="C584" s="3">
        <f>配列!C584</f>
        <v>0</v>
      </c>
      <c r="D584" s="3" t="str">
        <f>IF(配列!E584="",RIGHT(配列!D584&amp;配列!E584,4)&amp;"L",RIGHT(配列!D584&amp;配列!E584,5))</f>
        <v>L</v>
      </c>
      <c r="E584" s="3">
        <f t="shared" si="36"/>
        <v>0</v>
      </c>
      <c r="F584" s="3" t="e">
        <f>_xlfn.XLOOKUP(E584,セットアップレポート_紐づけ用!A:A,セットアップレポート_紐づけ用!J:J)</f>
        <v>#N/A</v>
      </c>
      <c r="G584" s="3" t="e">
        <f>_xlfn.XLOOKUP(E584,セットアップレポート_紐づけ用!A:A,セットアップレポート_紐づけ用!V:V)</f>
        <v>#N/A</v>
      </c>
      <c r="H584" s="3">
        <f t="shared" si="39"/>
        <v>-2</v>
      </c>
      <c r="I584" t="str">
        <f>IF(J584=0,"",IF(配列!E584="",マクロ実行!$A$16 &amp;" T"&amp;H584&amp;"-"&amp;RIGHT(配列!D584&amp;配列!E584,2),マクロ実行!$A$16 &amp;" T"&amp;H584&amp;"-"&amp;RIGHT(配列!D584&amp;配列!E584,3)))</f>
        <v/>
      </c>
      <c r="J584">
        <f>配列!F584</f>
        <v>0</v>
      </c>
      <c r="K584" s="2" t="e">
        <f>_xlfn.XLOOKUP(E584,セットアップレポート_紐づけ用!A:A,セットアップレポート_紐づけ用!R:R)</f>
        <v>#N/A</v>
      </c>
      <c r="L584" t="e">
        <f t="shared" si="37"/>
        <v>#N/A</v>
      </c>
      <c r="M584" t="e">
        <f>_xlfn.XLOOKUP(L584,EGPro!A:A,EGPro!D:D)</f>
        <v>#N/A</v>
      </c>
      <c r="N584" t="e">
        <f>_xlfn.XLOOKUP(L584,EGPro!A:A,EGPro!C:C)</f>
        <v>#N/A</v>
      </c>
      <c r="O584" t="e">
        <f t="shared" si="38"/>
        <v>#N/A</v>
      </c>
      <c r="P584" t="e">
        <f>_xlfn.XLOOKUP(O584,EGPro!A:A,EGPro!D:D)</f>
        <v>#N/A</v>
      </c>
      <c r="Q584" t="e">
        <f>_xlfn.XLOOKUP(O584,EGPro!A:A,EGPro!C:C)</f>
        <v>#N/A</v>
      </c>
    </row>
    <row r="585" spans="1:17" x14ac:dyDescent="0.45">
      <c r="A585" s="3">
        <f>配列!B585</f>
        <v>0</v>
      </c>
      <c r="B585" s="3" t="e">
        <f>_xlfn.XLOOKUP(A585,対応表!A:A,対応表!B:B)</f>
        <v>#N/A</v>
      </c>
      <c r="C585" s="3">
        <f>配列!C585</f>
        <v>0</v>
      </c>
      <c r="D585" s="3" t="str">
        <f>IF(配列!E585="",RIGHT(配列!D585&amp;配列!E585,4)&amp;"L",RIGHT(配列!D585&amp;配列!E585,5))</f>
        <v>L</v>
      </c>
      <c r="E585" s="3">
        <f t="shared" si="36"/>
        <v>0</v>
      </c>
      <c r="F585" s="3" t="e">
        <f>_xlfn.XLOOKUP(E585,セットアップレポート_紐づけ用!A:A,セットアップレポート_紐づけ用!J:J)</f>
        <v>#N/A</v>
      </c>
      <c r="G585" s="3" t="e">
        <f>_xlfn.XLOOKUP(E585,セットアップレポート_紐づけ用!A:A,セットアップレポート_紐づけ用!V:V)</f>
        <v>#N/A</v>
      </c>
      <c r="H585" s="3">
        <f t="shared" si="39"/>
        <v>-2</v>
      </c>
      <c r="I585" t="str">
        <f>IF(J585=0,"",IF(配列!E585="",マクロ実行!$A$16 &amp;" T"&amp;H585&amp;"-"&amp;RIGHT(配列!D585&amp;配列!E585,2),マクロ実行!$A$16 &amp;" T"&amp;H585&amp;"-"&amp;RIGHT(配列!D585&amp;配列!E585,3)))</f>
        <v/>
      </c>
      <c r="J585">
        <f>配列!F585</f>
        <v>0</v>
      </c>
      <c r="K585" s="2" t="e">
        <f>_xlfn.XLOOKUP(E585,セットアップレポート_紐づけ用!A:A,セットアップレポート_紐づけ用!R:R)</f>
        <v>#N/A</v>
      </c>
      <c r="L585" t="e">
        <f t="shared" si="37"/>
        <v>#N/A</v>
      </c>
      <c r="M585" t="e">
        <f>_xlfn.XLOOKUP(L585,EGPro!A:A,EGPro!D:D)</f>
        <v>#N/A</v>
      </c>
      <c r="N585" t="e">
        <f>_xlfn.XLOOKUP(L585,EGPro!A:A,EGPro!C:C)</f>
        <v>#N/A</v>
      </c>
      <c r="O585" t="e">
        <f t="shared" si="38"/>
        <v>#N/A</v>
      </c>
      <c r="P585" t="e">
        <f>_xlfn.XLOOKUP(O585,EGPro!A:A,EGPro!D:D)</f>
        <v>#N/A</v>
      </c>
      <c r="Q585" t="e">
        <f>_xlfn.XLOOKUP(O585,EGPro!A:A,EGPro!C:C)</f>
        <v>#N/A</v>
      </c>
    </row>
    <row r="586" spans="1:17" x14ac:dyDescent="0.45">
      <c r="A586" s="3">
        <f>配列!B586</f>
        <v>0</v>
      </c>
      <c r="B586" s="3" t="e">
        <f>_xlfn.XLOOKUP(A586,対応表!A:A,対応表!B:B)</f>
        <v>#N/A</v>
      </c>
      <c r="C586" s="3">
        <f>配列!C586</f>
        <v>0</v>
      </c>
      <c r="D586" s="3" t="str">
        <f>IF(配列!E586="",RIGHT(配列!D586&amp;配列!E586,4)&amp;"L",RIGHT(配列!D586&amp;配列!E586,5))</f>
        <v>L</v>
      </c>
      <c r="E586" s="3">
        <f t="shared" si="36"/>
        <v>0</v>
      </c>
      <c r="F586" s="3" t="e">
        <f>_xlfn.XLOOKUP(E586,セットアップレポート_紐づけ用!A:A,セットアップレポート_紐づけ用!J:J)</f>
        <v>#N/A</v>
      </c>
      <c r="G586" s="3" t="e">
        <f>_xlfn.XLOOKUP(E586,セットアップレポート_紐づけ用!A:A,セットアップレポート_紐づけ用!V:V)</f>
        <v>#N/A</v>
      </c>
      <c r="H586" s="3">
        <f t="shared" si="39"/>
        <v>-2</v>
      </c>
      <c r="I586" t="str">
        <f>IF(J586=0,"",IF(配列!E586="",マクロ実行!$A$16 &amp;" T"&amp;H586&amp;"-"&amp;RIGHT(配列!D586&amp;配列!E586,2),マクロ実行!$A$16 &amp;" T"&amp;H586&amp;"-"&amp;RIGHT(配列!D586&amp;配列!E586,3)))</f>
        <v/>
      </c>
      <c r="J586">
        <f>配列!F586</f>
        <v>0</v>
      </c>
      <c r="K586" s="2" t="e">
        <f>_xlfn.XLOOKUP(E586,セットアップレポート_紐づけ用!A:A,セットアップレポート_紐づけ用!R:R)</f>
        <v>#N/A</v>
      </c>
      <c r="L586" t="e">
        <f t="shared" si="37"/>
        <v>#N/A</v>
      </c>
      <c r="M586" t="e">
        <f>_xlfn.XLOOKUP(L586,EGPro!A:A,EGPro!D:D)</f>
        <v>#N/A</v>
      </c>
      <c r="N586" t="e">
        <f>_xlfn.XLOOKUP(L586,EGPro!A:A,EGPro!C:C)</f>
        <v>#N/A</v>
      </c>
      <c r="O586" t="e">
        <f t="shared" si="38"/>
        <v>#N/A</v>
      </c>
      <c r="P586" t="e">
        <f>_xlfn.XLOOKUP(O586,EGPro!A:A,EGPro!D:D)</f>
        <v>#N/A</v>
      </c>
      <c r="Q586" t="e">
        <f>_xlfn.XLOOKUP(O586,EGPro!A:A,EGPro!C:C)</f>
        <v>#N/A</v>
      </c>
    </row>
    <row r="587" spans="1:17" x14ac:dyDescent="0.45">
      <c r="A587" s="3">
        <f>配列!B587</f>
        <v>0</v>
      </c>
      <c r="B587" s="3" t="e">
        <f>_xlfn.XLOOKUP(A587,対応表!A:A,対応表!B:B)</f>
        <v>#N/A</v>
      </c>
      <c r="C587" s="3">
        <f>配列!C587</f>
        <v>0</v>
      </c>
      <c r="D587" s="3" t="str">
        <f>IF(配列!E587="",RIGHT(配列!D587&amp;配列!E587,4)&amp;"L",RIGHT(配列!D587&amp;配列!E587,5))</f>
        <v>L</v>
      </c>
      <c r="E587" s="3">
        <f t="shared" si="36"/>
        <v>0</v>
      </c>
      <c r="F587" s="3" t="e">
        <f>_xlfn.XLOOKUP(E587,セットアップレポート_紐づけ用!A:A,セットアップレポート_紐づけ用!J:J)</f>
        <v>#N/A</v>
      </c>
      <c r="G587" s="3" t="e">
        <f>_xlfn.XLOOKUP(E587,セットアップレポート_紐づけ用!A:A,セットアップレポート_紐づけ用!V:V)</f>
        <v>#N/A</v>
      </c>
      <c r="H587" s="3">
        <f t="shared" si="39"/>
        <v>-2</v>
      </c>
      <c r="I587" t="str">
        <f>IF(J587=0,"",IF(配列!E587="",マクロ実行!$A$16 &amp;" T"&amp;H587&amp;"-"&amp;RIGHT(配列!D587&amp;配列!E587,2),マクロ実行!$A$16 &amp;" T"&amp;H587&amp;"-"&amp;RIGHT(配列!D587&amp;配列!E587,3)))</f>
        <v/>
      </c>
      <c r="J587">
        <f>配列!F587</f>
        <v>0</v>
      </c>
      <c r="K587" s="2" t="e">
        <f>_xlfn.XLOOKUP(E587,セットアップレポート_紐づけ用!A:A,セットアップレポート_紐づけ用!R:R)</f>
        <v>#N/A</v>
      </c>
      <c r="L587" t="e">
        <f t="shared" si="37"/>
        <v>#N/A</v>
      </c>
      <c r="M587" t="e">
        <f>_xlfn.XLOOKUP(L587,EGPro!A:A,EGPro!D:D)</f>
        <v>#N/A</v>
      </c>
      <c r="N587" t="e">
        <f>_xlfn.XLOOKUP(L587,EGPro!A:A,EGPro!C:C)</f>
        <v>#N/A</v>
      </c>
      <c r="O587" t="e">
        <f t="shared" si="38"/>
        <v>#N/A</v>
      </c>
      <c r="P587" t="e">
        <f>_xlfn.XLOOKUP(O587,EGPro!A:A,EGPro!D:D)</f>
        <v>#N/A</v>
      </c>
      <c r="Q587" t="e">
        <f>_xlfn.XLOOKUP(O587,EGPro!A:A,EGPro!C:C)</f>
        <v>#N/A</v>
      </c>
    </row>
    <row r="588" spans="1:17" x14ac:dyDescent="0.45">
      <c r="A588" s="3">
        <f>配列!B588</f>
        <v>0</v>
      </c>
      <c r="B588" s="3" t="e">
        <f>_xlfn.XLOOKUP(A588,対応表!A:A,対応表!B:B)</f>
        <v>#N/A</v>
      </c>
      <c r="C588" s="3">
        <f>配列!C588</f>
        <v>0</v>
      </c>
      <c r="D588" s="3" t="str">
        <f>IF(配列!E588="",RIGHT(配列!D588&amp;配列!E588,4)&amp;"L",RIGHT(配列!D588&amp;配列!E588,5))</f>
        <v>L</v>
      </c>
      <c r="E588" s="3">
        <f t="shared" si="36"/>
        <v>0</v>
      </c>
      <c r="F588" s="3" t="e">
        <f>_xlfn.XLOOKUP(E588,セットアップレポート_紐づけ用!A:A,セットアップレポート_紐づけ用!J:J)</f>
        <v>#N/A</v>
      </c>
      <c r="G588" s="3" t="e">
        <f>_xlfn.XLOOKUP(E588,セットアップレポート_紐づけ用!A:A,セットアップレポート_紐づけ用!V:V)</f>
        <v>#N/A</v>
      </c>
      <c r="H588" s="3">
        <f t="shared" si="39"/>
        <v>-2</v>
      </c>
      <c r="I588" t="str">
        <f>IF(J588=0,"",IF(配列!E588="",マクロ実行!$A$16 &amp;" T"&amp;H588&amp;"-"&amp;RIGHT(配列!D588&amp;配列!E588,2),マクロ実行!$A$16 &amp;" T"&amp;H588&amp;"-"&amp;RIGHT(配列!D588&amp;配列!E588,3)))</f>
        <v/>
      </c>
      <c r="J588">
        <f>配列!F588</f>
        <v>0</v>
      </c>
      <c r="K588" s="2" t="e">
        <f>_xlfn.XLOOKUP(E588,セットアップレポート_紐づけ用!A:A,セットアップレポート_紐づけ用!R:R)</f>
        <v>#N/A</v>
      </c>
      <c r="L588" t="e">
        <f t="shared" si="37"/>
        <v>#N/A</v>
      </c>
      <c r="M588" t="e">
        <f>_xlfn.XLOOKUP(L588,EGPro!A:A,EGPro!D:D)</f>
        <v>#N/A</v>
      </c>
      <c r="N588" t="e">
        <f>_xlfn.XLOOKUP(L588,EGPro!A:A,EGPro!C:C)</f>
        <v>#N/A</v>
      </c>
      <c r="O588" t="e">
        <f t="shared" si="38"/>
        <v>#N/A</v>
      </c>
      <c r="P588" t="e">
        <f>_xlfn.XLOOKUP(O588,EGPro!A:A,EGPro!D:D)</f>
        <v>#N/A</v>
      </c>
      <c r="Q588" t="e">
        <f>_xlfn.XLOOKUP(O588,EGPro!A:A,EGPro!C:C)</f>
        <v>#N/A</v>
      </c>
    </row>
    <row r="589" spans="1:17" x14ac:dyDescent="0.45">
      <c r="A589" s="3">
        <f>配列!B589</f>
        <v>0</v>
      </c>
      <c r="B589" s="3" t="e">
        <f>_xlfn.XLOOKUP(A589,対応表!A:A,対応表!B:B)</f>
        <v>#N/A</v>
      </c>
      <c r="C589" s="3">
        <f>配列!C589</f>
        <v>0</v>
      </c>
      <c r="D589" s="3" t="str">
        <f>IF(配列!E589="",RIGHT(配列!D589&amp;配列!E589,4)&amp;"L",RIGHT(配列!D589&amp;配列!E589,5))</f>
        <v>L</v>
      </c>
      <c r="E589" s="3">
        <f t="shared" si="36"/>
        <v>0</v>
      </c>
      <c r="F589" s="3" t="e">
        <f>_xlfn.XLOOKUP(E589,セットアップレポート_紐づけ用!A:A,セットアップレポート_紐づけ用!J:J)</f>
        <v>#N/A</v>
      </c>
      <c r="G589" s="3" t="e">
        <f>_xlfn.XLOOKUP(E589,セットアップレポート_紐づけ用!A:A,セットアップレポート_紐づけ用!V:V)</f>
        <v>#N/A</v>
      </c>
      <c r="H589" s="3">
        <f t="shared" si="39"/>
        <v>-2</v>
      </c>
      <c r="I589" t="str">
        <f>IF(J589=0,"",IF(配列!E589="",マクロ実行!$A$16 &amp;" T"&amp;H589&amp;"-"&amp;RIGHT(配列!D589&amp;配列!E589,2),マクロ実行!$A$16 &amp;" T"&amp;H589&amp;"-"&amp;RIGHT(配列!D589&amp;配列!E589,3)))</f>
        <v/>
      </c>
      <c r="J589">
        <f>配列!F589</f>
        <v>0</v>
      </c>
      <c r="K589" s="2" t="e">
        <f>_xlfn.XLOOKUP(E589,セットアップレポート_紐づけ用!A:A,セットアップレポート_紐づけ用!R:R)</f>
        <v>#N/A</v>
      </c>
      <c r="L589" t="e">
        <f t="shared" si="37"/>
        <v>#N/A</v>
      </c>
      <c r="M589" t="e">
        <f>_xlfn.XLOOKUP(L589,EGPro!A:A,EGPro!D:D)</f>
        <v>#N/A</v>
      </c>
      <c r="N589" t="e">
        <f>_xlfn.XLOOKUP(L589,EGPro!A:A,EGPro!C:C)</f>
        <v>#N/A</v>
      </c>
      <c r="O589" t="e">
        <f t="shared" si="38"/>
        <v>#N/A</v>
      </c>
      <c r="P589" t="e">
        <f>_xlfn.XLOOKUP(O589,EGPro!A:A,EGPro!D:D)</f>
        <v>#N/A</v>
      </c>
      <c r="Q589" t="e">
        <f>_xlfn.XLOOKUP(O589,EGPro!A:A,EGPro!C:C)</f>
        <v>#N/A</v>
      </c>
    </row>
    <row r="590" spans="1:17" x14ac:dyDescent="0.45">
      <c r="A590" s="3">
        <f>配列!B590</f>
        <v>0</v>
      </c>
      <c r="B590" s="3" t="e">
        <f>_xlfn.XLOOKUP(A590,対応表!A:A,対応表!B:B)</f>
        <v>#N/A</v>
      </c>
      <c r="C590" s="3">
        <f>配列!C590</f>
        <v>0</v>
      </c>
      <c r="D590" s="3" t="str">
        <f>IF(配列!E590="",RIGHT(配列!D590&amp;配列!E590,4)&amp;"L",RIGHT(配列!D590&amp;配列!E590,5))</f>
        <v>L</v>
      </c>
      <c r="E590" s="3">
        <f t="shared" si="36"/>
        <v>0</v>
      </c>
      <c r="F590" s="3" t="e">
        <f>_xlfn.XLOOKUP(E590,セットアップレポート_紐づけ用!A:A,セットアップレポート_紐づけ用!J:J)</f>
        <v>#N/A</v>
      </c>
      <c r="G590" s="3" t="e">
        <f>_xlfn.XLOOKUP(E590,セットアップレポート_紐づけ用!A:A,セットアップレポート_紐づけ用!V:V)</f>
        <v>#N/A</v>
      </c>
      <c r="H590" s="3">
        <f t="shared" si="39"/>
        <v>-2</v>
      </c>
      <c r="I590" t="str">
        <f>IF(J590=0,"",IF(配列!E590="",マクロ実行!$A$16 &amp;" T"&amp;H590&amp;"-"&amp;RIGHT(配列!D590&amp;配列!E590,2),マクロ実行!$A$16 &amp;" T"&amp;H590&amp;"-"&amp;RIGHT(配列!D590&amp;配列!E590,3)))</f>
        <v/>
      </c>
      <c r="J590">
        <f>配列!F590</f>
        <v>0</v>
      </c>
      <c r="K590" s="2" t="e">
        <f>_xlfn.XLOOKUP(E590,セットアップレポート_紐づけ用!A:A,セットアップレポート_紐づけ用!R:R)</f>
        <v>#N/A</v>
      </c>
      <c r="L590" t="e">
        <f t="shared" si="37"/>
        <v>#N/A</v>
      </c>
      <c r="M590" t="e">
        <f>_xlfn.XLOOKUP(L590,EGPro!A:A,EGPro!D:D)</f>
        <v>#N/A</v>
      </c>
      <c r="N590" t="e">
        <f>_xlfn.XLOOKUP(L590,EGPro!A:A,EGPro!C:C)</f>
        <v>#N/A</v>
      </c>
      <c r="O590" t="e">
        <f t="shared" si="38"/>
        <v>#N/A</v>
      </c>
      <c r="P590" t="e">
        <f>_xlfn.XLOOKUP(O590,EGPro!A:A,EGPro!D:D)</f>
        <v>#N/A</v>
      </c>
      <c r="Q590" t="e">
        <f>_xlfn.XLOOKUP(O590,EGPro!A:A,EGPro!C:C)</f>
        <v>#N/A</v>
      </c>
    </row>
    <row r="591" spans="1:17" x14ac:dyDescent="0.45">
      <c r="A591" s="3">
        <f>配列!B591</f>
        <v>0</v>
      </c>
      <c r="B591" s="3" t="e">
        <f>_xlfn.XLOOKUP(A591,対応表!A:A,対応表!B:B)</f>
        <v>#N/A</v>
      </c>
      <c r="C591" s="3">
        <f>配列!C591</f>
        <v>0</v>
      </c>
      <c r="D591" s="3" t="str">
        <f>IF(配列!E591="",RIGHT(配列!D591&amp;配列!E591,4)&amp;"L",RIGHT(配列!D591&amp;配列!E591,5))</f>
        <v>L</v>
      </c>
      <c r="E591" s="3">
        <f t="shared" si="36"/>
        <v>0</v>
      </c>
      <c r="F591" s="3" t="e">
        <f>_xlfn.XLOOKUP(E591,セットアップレポート_紐づけ用!A:A,セットアップレポート_紐づけ用!J:J)</f>
        <v>#N/A</v>
      </c>
      <c r="G591" s="3" t="e">
        <f>_xlfn.XLOOKUP(E591,セットアップレポート_紐づけ用!A:A,セットアップレポート_紐づけ用!V:V)</f>
        <v>#N/A</v>
      </c>
      <c r="H591" s="3">
        <f t="shared" si="39"/>
        <v>-2</v>
      </c>
      <c r="I591" t="str">
        <f>IF(J591=0,"",IF(配列!E591="",マクロ実行!$A$16 &amp;" T"&amp;H591&amp;"-"&amp;RIGHT(配列!D591&amp;配列!E591,2),マクロ実行!$A$16 &amp;" T"&amp;H591&amp;"-"&amp;RIGHT(配列!D591&amp;配列!E591,3)))</f>
        <v/>
      </c>
      <c r="J591">
        <f>配列!F591</f>
        <v>0</v>
      </c>
      <c r="K591" s="2" t="e">
        <f>_xlfn.XLOOKUP(E591,セットアップレポート_紐づけ用!A:A,セットアップレポート_紐づけ用!R:R)</f>
        <v>#N/A</v>
      </c>
      <c r="L591" t="e">
        <f t="shared" si="37"/>
        <v>#N/A</v>
      </c>
      <c r="M591" t="e">
        <f>_xlfn.XLOOKUP(L591,EGPro!A:A,EGPro!D:D)</f>
        <v>#N/A</v>
      </c>
      <c r="N591" t="e">
        <f>_xlfn.XLOOKUP(L591,EGPro!A:A,EGPro!C:C)</f>
        <v>#N/A</v>
      </c>
      <c r="O591" t="e">
        <f t="shared" si="38"/>
        <v>#N/A</v>
      </c>
      <c r="P591" t="e">
        <f>_xlfn.XLOOKUP(O591,EGPro!A:A,EGPro!D:D)</f>
        <v>#N/A</v>
      </c>
      <c r="Q591" t="e">
        <f>_xlfn.XLOOKUP(O591,EGPro!A:A,EGPro!C:C)</f>
        <v>#N/A</v>
      </c>
    </row>
    <row r="592" spans="1:17" x14ac:dyDescent="0.45">
      <c r="A592" s="3">
        <f>配列!B592</f>
        <v>0</v>
      </c>
      <c r="B592" s="3" t="e">
        <f>_xlfn.XLOOKUP(A592,対応表!A:A,対応表!B:B)</f>
        <v>#N/A</v>
      </c>
      <c r="C592" s="3">
        <f>配列!C592</f>
        <v>0</v>
      </c>
      <c r="D592" s="3" t="str">
        <f>IF(配列!E592="",RIGHT(配列!D592&amp;配列!E592,4)&amp;"L",RIGHT(配列!D592&amp;配列!E592,5))</f>
        <v>L</v>
      </c>
      <c r="E592" s="3">
        <f t="shared" si="36"/>
        <v>0</v>
      </c>
      <c r="F592" s="3" t="e">
        <f>_xlfn.XLOOKUP(E592,セットアップレポート_紐づけ用!A:A,セットアップレポート_紐づけ用!J:J)</f>
        <v>#N/A</v>
      </c>
      <c r="G592" s="3" t="e">
        <f>_xlfn.XLOOKUP(E592,セットアップレポート_紐づけ用!A:A,セットアップレポート_紐づけ用!V:V)</f>
        <v>#N/A</v>
      </c>
      <c r="H592" s="3">
        <f t="shared" si="39"/>
        <v>-2</v>
      </c>
      <c r="I592" t="str">
        <f>IF(J592=0,"",IF(配列!E592="",マクロ実行!$A$16 &amp;" T"&amp;H592&amp;"-"&amp;RIGHT(配列!D592&amp;配列!E592,2),マクロ実行!$A$16 &amp;" T"&amp;H592&amp;"-"&amp;RIGHT(配列!D592&amp;配列!E592,3)))</f>
        <v/>
      </c>
      <c r="J592">
        <f>配列!F592</f>
        <v>0</v>
      </c>
      <c r="K592" s="2" t="e">
        <f>_xlfn.XLOOKUP(E592,セットアップレポート_紐づけ用!A:A,セットアップレポート_紐づけ用!R:R)</f>
        <v>#N/A</v>
      </c>
      <c r="L592" t="e">
        <f t="shared" si="37"/>
        <v>#N/A</v>
      </c>
      <c r="M592" t="e">
        <f>_xlfn.XLOOKUP(L592,EGPro!A:A,EGPro!D:D)</f>
        <v>#N/A</v>
      </c>
      <c r="N592" t="e">
        <f>_xlfn.XLOOKUP(L592,EGPro!A:A,EGPro!C:C)</f>
        <v>#N/A</v>
      </c>
      <c r="O592" t="e">
        <f t="shared" si="38"/>
        <v>#N/A</v>
      </c>
      <c r="P592" t="e">
        <f>_xlfn.XLOOKUP(O592,EGPro!A:A,EGPro!D:D)</f>
        <v>#N/A</v>
      </c>
      <c r="Q592" t="e">
        <f>_xlfn.XLOOKUP(O592,EGPro!A:A,EGPro!C:C)</f>
        <v>#N/A</v>
      </c>
    </row>
    <row r="593" spans="1:17" x14ac:dyDescent="0.45">
      <c r="A593" s="3">
        <f>配列!B593</f>
        <v>0</v>
      </c>
      <c r="B593" s="3" t="e">
        <f>_xlfn.XLOOKUP(A593,対応表!A:A,対応表!B:B)</f>
        <v>#N/A</v>
      </c>
      <c r="C593" s="3">
        <f>配列!C593</f>
        <v>0</v>
      </c>
      <c r="D593" s="3" t="str">
        <f>IF(配列!E593="",RIGHT(配列!D593&amp;配列!E593,4)&amp;"L",RIGHT(配列!D593&amp;配列!E593,5))</f>
        <v>L</v>
      </c>
      <c r="E593" s="3">
        <f t="shared" si="36"/>
        <v>0</v>
      </c>
      <c r="F593" s="3" t="e">
        <f>_xlfn.XLOOKUP(E593,セットアップレポート_紐づけ用!A:A,セットアップレポート_紐づけ用!J:J)</f>
        <v>#N/A</v>
      </c>
      <c r="G593" s="3" t="e">
        <f>_xlfn.XLOOKUP(E593,セットアップレポート_紐づけ用!A:A,セットアップレポート_紐づけ用!V:V)</f>
        <v>#N/A</v>
      </c>
      <c r="H593" s="3">
        <f t="shared" si="39"/>
        <v>-2</v>
      </c>
      <c r="I593" t="str">
        <f>IF(J593=0,"",IF(配列!E593="",マクロ実行!$A$16 &amp;" T"&amp;H593&amp;"-"&amp;RIGHT(配列!D593&amp;配列!E593,2),マクロ実行!$A$16 &amp;" T"&amp;H593&amp;"-"&amp;RIGHT(配列!D593&amp;配列!E593,3)))</f>
        <v/>
      </c>
      <c r="J593">
        <f>配列!F593</f>
        <v>0</v>
      </c>
      <c r="K593" s="2" t="e">
        <f>_xlfn.XLOOKUP(E593,セットアップレポート_紐づけ用!A:A,セットアップレポート_紐づけ用!R:R)</f>
        <v>#N/A</v>
      </c>
      <c r="L593" t="e">
        <f t="shared" si="37"/>
        <v>#N/A</v>
      </c>
      <c r="M593" t="e">
        <f>_xlfn.XLOOKUP(L593,EGPro!A:A,EGPro!D:D)</f>
        <v>#N/A</v>
      </c>
      <c r="N593" t="e">
        <f>_xlfn.XLOOKUP(L593,EGPro!A:A,EGPro!C:C)</f>
        <v>#N/A</v>
      </c>
      <c r="O593" t="e">
        <f t="shared" si="38"/>
        <v>#N/A</v>
      </c>
      <c r="P593" t="e">
        <f>_xlfn.XLOOKUP(O593,EGPro!A:A,EGPro!D:D)</f>
        <v>#N/A</v>
      </c>
      <c r="Q593" t="e">
        <f>_xlfn.XLOOKUP(O593,EGPro!A:A,EGPro!C:C)</f>
        <v>#N/A</v>
      </c>
    </row>
    <row r="594" spans="1:17" x14ac:dyDescent="0.45">
      <c r="A594" s="3">
        <f>配列!B594</f>
        <v>0</v>
      </c>
      <c r="B594" s="3" t="e">
        <f>_xlfn.XLOOKUP(A594,対応表!A:A,対応表!B:B)</f>
        <v>#N/A</v>
      </c>
      <c r="C594" s="3">
        <f>配列!C594</f>
        <v>0</v>
      </c>
      <c r="D594" s="3" t="str">
        <f>IF(配列!E594="",RIGHT(配列!D594&amp;配列!E594,4)&amp;"L",RIGHT(配列!D594&amp;配列!E594,5))</f>
        <v>L</v>
      </c>
      <c r="E594" s="3">
        <f t="shared" si="36"/>
        <v>0</v>
      </c>
      <c r="F594" s="3" t="e">
        <f>_xlfn.XLOOKUP(E594,セットアップレポート_紐づけ用!A:A,セットアップレポート_紐づけ用!J:J)</f>
        <v>#N/A</v>
      </c>
      <c r="G594" s="3" t="e">
        <f>_xlfn.XLOOKUP(E594,セットアップレポート_紐づけ用!A:A,セットアップレポート_紐づけ用!V:V)</f>
        <v>#N/A</v>
      </c>
      <c r="H594" s="3">
        <f t="shared" si="39"/>
        <v>-2</v>
      </c>
      <c r="I594" t="str">
        <f>IF(J594=0,"",IF(配列!E594="",マクロ実行!$A$16 &amp;" T"&amp;H594&amp;"-"&amp;RIGHT(配列!D594&amp;配列!E594,2),マクロ実行!$A$16 &amp;" T"&amp;H594&amp;"-"&amp;RIGHT(配列!D594&amp;配列!E594,3)))</f>
        <v/>
      </c>
      <c r="J594">
        <f>配列!F594</f>
        <v>0</v>
      </c>
      <c r="K594" s="2" t="e">
        <f>_xlfn.XLOOKUP(E594,セットアップレポート_紐づけ用!A:A,セットアップレポート_紐づけ用!R:R)</f>
        <v>#N/A</v>
      </c>
      <c r="L594" t="e">
        <f t="shared" si="37"/>
        <v>#N/A</v>
      </c>
      <c r="M594" t="e">
        <f>_xlfn.XLOOKUP(L594,EGPro!A:A,EGPro!D:D)</f>
        <v>#N/A</v>
      </c>
      <c r="N594" t="e">
        <f>_xlfn.XLOOKUP(L594,EGPro!A:A,EGPro!C:C)</f>
        <v>#N/A</v>
      </c>
      <c r="O594" t="e">
        <f t="shared" si="38"/>
        <v>#N/A</v>
      </c>
      <c r="P594" t="e">
        <f>_xlfn.XLOOKUP(O594,EGPro!A:A,EGPro!D:D)</f>
        <v>#N/A</v>
      </c>
      <c r="Q594" t="e">
        <f>_xlfn.XLOOKUP(O594,EGPro!A:A,EGPro!C:C)</f>
        <v>#N/A</v>
      </c>
    </row>
    <row r="595" spans="1:17" x14ac:dyDescent="0.45">
      <c r="A595" s="3">
        <f>配列!B595</f>
        <v>0</v>
      </c>
      <c r="B595" s="3" t="e">
        <f>_xlfn.XLOOKUP(A595,対応表!A:A,対応表!B:B)</f>
        <v>#N/A</v>
      </c>
      <c r="C595" s="3">
        <f>配列!C595</f>
        <v>0</v>
      </c>
      <c r="D595" s="3" t="str">
        <f>IF(配列!E595="",RIGHT(配列!D595&amp;配列!E595,4)&amp;"L",RIGHT(配列!D595&amp;配列!E595,5))</f>
        <v>L</v>
      </c>
      <c r="E595" s="3">
        <f t="shared" si="36"/>
        <v>0</v>
      </c>
      <c r="F595" s="3" t="e">
        <f>_xlfn.XLOOKUP(E595,セットアップレポート_紐づけ用!A:A,セットアップレポート_紐づけ用!J:J)</f>
        <v>#N/A</v>
      </c>
      <c r="G595" s="3" t="e">
        <f>_xlfn.XLOOKUP(E595,セットアップレポート_紐づけ用!A:A,セットアップレポート_紐づけ用!V:V)</f>
        <v>#N/A</v>
      </c>
      <c r="H595" s="3">
        <f t="shared" si="39"/>
        <v>-2</v>
      </c>
      <c r="I595" t="str">
        <f>IF(J595=0,"",IF(配列!E595="",マクロ実行!$A$16 &amp;" T"&amp;H595&amp;"-"&amp;RIGHT(配列!D595&amp;配列!E595,2),マクロ実行!$A$16 &amp;" T"&amp;H595&amp;"-"&amp;RIGHT(配列!D595&amp;配列!E595,3)))</f>
        <v/>
      </c>
      <c r="J595">
        <f>配列!F595</f>
        <v>0</v>
      </c>
      <c r="K595" s="2" t="e">
        <f>_xlfn.XLOOKUP(E595,セットアップレポート_紐づけ用!A:A,セットアップレポート_紐づけ用!R:R)</f>
        <v>#N/A</v>
      </c>
      <c r="L595" t="e">
        <f t="shared" si="37"/>
        <v>#N/A</v>
      </c>
      <c r="M595" t="e">
        <f>_xlfn.XLOOKUP(L595,EGPro!A:A,EGPro!D:D)</f>
        <v>#N/A</v>
      </c>
      <c r="N595" t="e">
        <f>_xlfn.XLOOKUP(L595,EGPro!A:A,EGPro!C:C)</f>
        <v>#N/A</v>
      </c>
      <c r="O595" t="e">
        <f t="shared" si="38"/>
        <v>#N/A</v>
      </c>
      <c r="P595" t="e">
        <f>_xlfn.XLOOKUP(O595,EGPro!A:A,EGPro!D:D)</f>
        <v>#N/A</v>
      </c>
      <c r="Q595" t="e">
        <f>_xlfn.XLOOKUP(O595,EGPro!A:A,EGPro!C:C)</f>
        <v>#N/A</v>
      </c>
    </row>
    <row r="596" spans="1:17" x14ac:dyDescent="0.45">
      <c r="A596" s="3">
        <f>配列!B596</f>
        <v>0</v>
      </c>
      <c r="B596" s="3" t="e">
        <f>_xlfn.XLOOKUP(A596,対応表!A:A,対応表!B:B)</f>
        <v>#N/A</v>
      </c>
      <c r="C596" s="3">
        <f>配列!C596</f>
        <v>0</v>
      </c>
      <c r="D596" s="3" t="str">
        <f>IF(配列!E596="",RIGHT(配列!D596&amp;配列!E596,4)&amp;"L",RIGHT(配列!D596&amp;配列!E596,5))</f>
        <v>L</v>
      </c>
      <c r="E596" s="3">
        <f t="shared" si="36"/>
        <v>0</v>
      </c>
      <c r="F596" s="3" t="e">
        <f>_xlfn.XLOOKUP(E596,セットアップレポート_紐づけ用!A:A,セットアップレポート_紐づけ用!J:J)</f>
        <v>#N/A</v>
      </c>
      <c r="G596" s="3" t="e">
        <f>_xlfn.XLOOKUP(E596,セットアップレポート_紐づけ用!A:A,セットアップレポート_紐づけ用!V:V)</f>
        <v>#N/A</v>
      </c>
      <c r="H596" s="3">
        <f t="shared" si="39"/>
        <v>-2</v>
      </c>
      <c r="I596" t="str">
        <f>IF(J596=0,"",IF(配列!E596="",マクロ実行!$A$16 &amp;" T"&amp;H596&amp;"-"&amp;RIGHT(配列!D596&amp;配列!E596,2),マクロ実行!$A$16 &amp;" T"&amp;H596&amp;"-"&amp;RIGHT(配列!D596&amp;配列!E596,3)))</f>
        <v/>
      </c>
      <c r="J596">
        <f>配列!F596</f>
        <v>0</v>
      </c>
      <c r="K596" s="2" t="e">
        <f>_xlfn.XLOOKUP(E596,セットアップレポート_紐づけ用!A:A,セットアップレポート_紐づけ用!R:R)</f>
        <v>#N/A</v>
      </c>
      <c r="L596" t="e">
        <f t="shared" si="37"/>
        <v>#N/A</v>
      </c>
      <c r="M596" t="e">
        <f>_xlfn.XLOOKUP(L596,EGPro!A:A,EGPro!D:D)</f>
        <v>#N/A</v>
      </c>
      <c r="N596" t="e">
        <f>_xlfn.XLOOKUP(L596,EGPro!A:A,EGPro!C:C)</f>
        <v>#N/A</v>
      </c>
      <c r="O596" t="e">
        <f t="shared" si="38"/>
        <v>#N/A</v>
      </c>
      <c r="P596" t="e">
        <f>_xlfn.XLOOKUP(O596,EGPro!A:A,EGPro!D:D)</f>
        <v>#N/A</v>
      </c>
      <c r="Q596" t="e">
        <f>_xlfn.XLOOKUP(O596,EGPro!A:A,EGPro!C:C)</f>
        <v>#N/A</v>
      </c>
    </row>
    <row r="597" spans="1:17" x14ac:dyDescent="0.45">
      <c r="A597" s="3">
        <f>配列!B597</f>
        <v>0</v>
      </c>
      <c r="B597" s="3" t="e">
        <f>_xlfn.XLOOKUP(A597,対応表!A:A,対応表!B:B)</f>
        <v>#N/A</v>
      </c>
      <c r="C597" s="3">
        <f>配列!C597</f>
        <v>0</v>
      </c>
      <c r="D597" s="3" t="str">
        <f>IF(配列!E597="",RIGHT(配列!D597&amp;配列!E597,4)&amp;"L",RIGHT(配列!D597&amp;配列!E597,5))</f>
        <v>L</v>
      </c>
      <c r="E597" s="3">
        <f t="shared" si="36"/>
        <v>0</v>
      </c>
      <c r="F597" s="3" t="e">
        <f>_xlfn.XLOOKUP(E597,セットアップレポート_紐づけ用!A:A,セットアップレポート_紐づけ用!J:J)</f>
        <v>#N/A</v>
      </c>
      <c r="G597" s="3" t="e">
        <f>_xlfn.XLOOKUP(E597,セットアップレポート_紐づけ用!A:A,セットアップレポート_紐づけ用!V:V)</f>
        <v>#N/A</v>
      </c>
      <c r="H597" s="3">
        <f t="shared" si="39"/>
        <v>-2</v>
      </c>
      <c r="I597" t="str">
        <f>IF(J597=0,"",IF(配列!E597="",マクロ実行!$A$16 &amp;" T"&amp;H597&amp;"-"&amp;RIGHT(配列!D597&amp;配列!E597,2),マクロ実行!$A$16 &amp;" T"&amp;H597&amp;"-"&amp;RIGHT(配列!D597&amp;配列!E597,3)))</f>
        <v/>
      </c>
      <c r="J597">
        <f>配列!F597</f>
        <v>0</v>
      </c>
      <c r="K597" s="2" t="e">
        <f>_xlfn.XLOOKUP(E597,セットアップレポート_紐づけ用!A:A,セットアップレポート_紐づけ用!R:R)</f>
        <v>#N/A</v>
      </c>
      <c r="L597" t="e">
        <f t="shared" si="37"/>
        <v>#N/A</v>
      </c>
      <c r="M597" t="e">
        <f>_xlfn.XLOOKUP(L597,EGPro!A:A,EGPro!D:D)</f>
        <v>#N/A</v>
      </c>
      <c r="N597" t="e">
        <f>_xlfn.XLOOKUP(L597,EGPro!A:A,EGPro!C:C)</f>
        <v>#N/A</v>
      </c>
      <c r="O597" t="e">
        <f t="shared" si="38"/>
        <v>#N/A</v>
      </c>
      <c r="P597" t="e">
        <f>_xlfn.XLOOKUP(O597,EGPro!A:A,EGPro!D:D)</f>
        <v>#N/A</v>
      </c>
      <c r="Q597" t="e">
        <f>_xlfn.XLOOKUP(O597,EGPro!A:A,EGPro!C:C)</f>
        <v>#N/A</v>
      </c>
    </row>
    <row r="598" spans="1:17" x14ac:dyDescent="0.45">
      <c r="A598" s="3">
        <f>配列!B598</f>
        <v>0</v>
      </c>
      <c r="B598" s="3" t="e">
        <f>_xlfn.XLOOKUP(A598,対応表!A:A,対応表!B:B)</f>
        <v>#N/A</v>
      </c>
      <c r="C598" s="3">
        <f>配列!C598</f>
        <v>0</v>
      </c>
      <c r="D598" s="3" t="str">
        <f>IF(配列!E598="",RIGHT(配列!D598&amp;配列!E598,4)&amp;"L",RIGHT(配列!D598&amp;配列!E598,5))</f>
        <v>L</v>
      </c>
      <c r="E598" s="3">
        <f t="shared" si="36"/>
        <v>0</v>
      </c>
      <c r="F598" s="3" t="e">
        <f>_xlfn.XLOOKUP(E598,セットアップレポート_紐づけ用!A:A,セットアップレポート_紐づけ用!J:J)</f>
        <v>#N/A</v>
      </c>
      <c r="G598" s="3" t="e">
        <f>_xlfn.XLOOKUP(E598,セットアップレポート_紐づけ用!A:A,セットアップレポート_紐づけ用!V:V)</f>
        <v>#N/A</v>
      </c>
      <c r="H598" s="3">
        <f t="shared" si="39"/>
        <v>-2</v>
      </c>
      <c r="I598" t="str">
        <f>IF(J598=0,"",IF(配列!E598="",マクロ実行!$A$16 &amp;" T"&amp;H598&amp;"-"&amp;RIGHT(配列!D598&amp;配列!E598,2),マクロ実行!$A$16 &amp;" T"&amp;H598&amp;"-"&amp;RIGHT(配列!D598&amp;配列!E598,3)))</f>
        <v/>
      </c>
      <c r="J598">
        <f>配列!F598</f>
        <v>0</v>
      </c>
      <c r="K598" s="2" t="e">
        <f>_xlfn.XLOOKUP(E598,セットアップレポート_紐づけ用!A:A,セットアップレポート_紐づけ用!R:R)</f>
        <v>#N/A</v>
      </c>
      <c r="L598" t="e">
        <f t="shared" si="37"/>
        <v>#N/A</v>
      </c>
      <c r="M598" t="e">
        <f>_xlfn.XLOOKUP(L598,EGPro!A:A,EGPro!D:D)</f>
        <v>#N/A</v>
      </c>
      <c r="N598" t="e">
        <f>_xlfn.XLOOKUP(L598,EGPro!A:A,EGPro!C:C)</f>
        <v>#N/A</v>
      </c>
      <c r="O598" t="e">
        <f t="shared" si="38"/>
        <v>#N/A</v>
      </c>
      <c r="P598" t="e">
        <f>_xlfn.XLOOKUP(O598,EGPro!A:A,EGPro!D:D)</f>
        <v>#N/A</v>
      </c>
      <c r="Q598" t="e">
        <f>_xlfn.XLOOKUP(O598,EGPro!A:A,EGPro!C:C)</f>
        <v>#N/A</v>
      </c>
    </row>
    <row r="599" spans="1:17" x14ac:dyDescent="0.45">
      <c r="A599" s="3">
        <f>配列!B599</f>
        <v>0</v>
      </c>
      <c r="B599" s="3" t="e">
        <f>_xlfn.XLOOKUP(A599,対応表!A:A,対応表!B:B)</f>
        <v>#N/A</v>
      </c>
      <c r="C599" s="3">
        <f>配列!C599</f>
        <v>0</v>
      </c>
      <c r="D599" s="3" t="str">
        <f>IF(配列!E599="",RIGHT(配列!D599&amp;配列!E599,4)&amp;"L",RIGHT(配列!D599&amp;配列!E599,5))</f>
        <v>L</v>
      </c>
      <c r="E599" s="3">
        <f t="shared" si="36"/>
        <v>0</v>
      </c>
      <c r="F599" s="3" t="e">
        <f>_xlfn.XLOOKUP(E599,セットアップレポート_紐づけ用!A:A,セットアップレポート_紐づけ用!J:J)</f>
        <v>#N/A</v>
      </c>
      <c r="G599" s="3" t="e">
        <f>_xlfn.XLOOKUP(E599,セットアップレポート_紐づけ用!A:A,セットアップレポート_紐づけ用!V:V)</f>
        <v>#N/A</v>
      </c>
      <c r="H599" s="3">
        <f t="shared" si="39"/>
        <v>-2</v>
      </c>
      <c r="I599" t="str">
        <f>IF(J599=0,"",IF(配列!E599="",マクロ実行!$A$16 &amp;" T"&amp;H599&amp;"-"&amp;RIGHT(配列!D599&amp;配列!E599,2),マクロ実行!$A$16 &amp;" T"&amp;H599&amp;"-"&amp;RIGHT(配列!D599&amp;配列!E599,3)))</f>
        <v/>
      </c>
      <c r="J599">
        <f>配列!F599</f>
        <v>0</v>
      </c>
      <c r="K599" s="2" t="e">
        <f>_xlfn.XLOOKUP(E599,セットアップレポート_紐づけ用!A:A,セットアップレポート_紐づけ用!R:R)</f>
        <v>#N/A</v>
      </c>
      <c r="L599" t="e">
        <f t="shared" si="37"/>
        <v>#N/A</v>
      </c>
      <c r="M599" t="e">
        <f>_xlfn.XLOOKUP(L599,EGPro!A:A,EGPro!D:D)</f>
        <v>#N/A</v>
      </c>
      <c r="N599" t="e">
        <f>_xlfn.XLOOKUP(L599,EGPro!A:A,EGPro!C:C)</f>
        <v>#N/A</v>
      </c>
      <c r="O599" t="e">
        <f t="shared" si="38"/>
        <v>#N/A</v>
      </c>
      <c r="P599" t="e">
        <f>_xlfn.XLOOKUP(O599,EGPro!A:A,EGPro!D:D)</f>
        <v>#N/A</v>
      </c>
      <c r="Q599" t="e">
        <f>_xlfn.XLOOKUP(O599,EGPro!A:A,EGPro!C:C)</f>
        <v>#N/A</v>
      </c>
    </row>
    <row r="600" spans="1:17" x14ac:dyDescent="0.45">
      <c r="A600" s="3">
        <f>配列!B600</f>
        <v>0</v>
      </c>
      <c r="B600" s="3" t="e">
        <f>_xlfn.XLOOKUP(A600,対応表!A:A,対応表!B:B)</f>
        <v>#N/A</v>
      </c>
      <c r="C600" s="3">
        <f>配列!C600</f>
        <v>0</v>
      </c>
      <c r="D600" s="3" t="str">
        <f>IF(配列!E600="",RIGHT(配列!D600&amp;配列!E600,4)&amp;"L",RIGHT(配列!D600&amp;配列!E600,5))</f>
        <v>L</v>
      </c>
      <c r="E600" s="3">
        <f t="shared" si="36"/>
        <v>0</v>
      </c>
      <c r="F600" s="3" t="e">
        <f>_xlfn.XLOOKUP(E600,セットアップレポート_紐づけ用!A:A,セットアップレポート_紐づけ用!J:J)</f>
        <v>#N/A</v>
      </c>
      <c r="G600" s="3" t="e">
        <f>_xlfn.XLOOKUP(E600,セットアップレポート_紐づけ用!A:A,セットアップレポート_紐づけ用!V:V)</f>
        <v>#N/A</v>
      </c>
      <c r="H600" s="3">
        <f t="shared" si="39"/>
        <v>-2</v>
      </c>
      <c r="I600" t="str">
        <f>IF(J600=0,"",IF(配列!E600="",マクロ実行!$A$16 &amp;" T"&amp;H600&amp;"-"&amp;RIGHT(配列!D600&amp;配列!E600,2),マクロ実行!$A$16 &amp;" T"&amp;H600&amp;"-"&amp;RIGHT(配列!D600&amp;配列!E600,3)))</f>
        <v/>
      </c>
      <c r="J600">
        <f>配列!F600</f>
        <v>0</v>
      </c>
      <c r="K600" s="2" t="e">
        <f>_xlfn.XLOOKUP(E600,セットアップレポート_紐づけ用!A:A,セットアップレポート_紐づけ用!R:R)</f>
        <v>#N/A</v>
      </c>
      <c r="L600" t="e">
        <f t="shared" si="37"/>
        <v>#N/A</v>
      </c>
      <c r="M600" t="e">
        <f>_xlfn.XLOOKUP(L600,EGPro!A:A,EGPro!D:D)</f>
        <v>#N/A</v>
      </c>
      <c r="N600" t="e">
        <f>_xlfn.XLOOKUP(L600,EGPro!A:A,EGPro!C:C)</f>
        <v>#N/A</v>
      </c>
      <c r="O600" t="e">
        <f t="shared" si="38"/>
        <v>#N/A</v>
      </c>
      <c r="P600" t="e">
        <f>_xlfn.XLOOKUP(O600,EGPro!A:A,EGPro!D:D)</f>
        <v>#N/A</v>
      </c>
      <c r="Q600" t="e">
        <f>_xlfn.XLOOKUP(O600,EGPro!A:A,EGPro!C:C)</f>
        <v>#N/A</v>
      </c>
    </row>
    <row r="601" spans="1:17" x14ac:dyDescent="0.45">
      <c r="A601" s="3">
        <f>配列!B601</f>
        <v>0</v>
      </c>
      <c r="B601" s="3" t="e">
        <f>_xlfn.XLOOKUP(A601,対応表!A:A,対応表!B:B)</f>
        <v>#N/A</v>
      </c>
      <c r="C601" s="3">
        <f>配列!C601</f>
        <v>0</v>
      </c>
      <c r="D601" s="3" t="str">
        <f>IF(配列!E601="",RIGHT(配列!D601&amp;配列!E601,4)&amp;"L",RIGHT(配列!D601&amp;配列!E601,5))</f>
        <v>L</v>
      </c>
      <c r="E601" s="3">
        <f t="shared" si="36"/>
        <v>0</v>
      </c>
      <c r="F601" s="3" t="e">
        <f>_xlfn.XLOOKUP(E601,セットアップレポート_紐づけ用!A:A,セットアップレポート_紐づけ用!J:J)</f>
        <v>#N/A</v>
      </c>
      <c r="G601" s="3" t="e">
        <f>_xlfn.XLOOKUP(E601,セットアップレポート_紐づけ用!A:A,セットアップレポート_紐づけ用!V:V)</f>
        <v>#N/A</v>
      </c>
      <c r="H601" s="3">
        <f t="shared" si="39"/>
        <v>-2</v>
      </c>
      <c r="I601" t="str">
        <f>IF(J601=0,"",IF(配列!E601="",マクロ実行!$A$16 &amp;" T"&amp;H601&amp;"-"&amp;RIGHT(配列!D601&amp;配列!E601,2),マクロ実行!$A$16 &amp;" T"&amp;H601&amp;"-"&amp;RIGHT(配列!D601&amp;配列!E601,3)))</f>
        <v/>
      </c>
      <c r="J601">
        <f>配列!F601</f>
        <v>0</v>
      </c>
      <c r="K601" s="2" t="e">
        <f>_xlfn.XLOOKUP(E601,セットアップレポート_紐づけ用!A:A,セットアップレポート_紐づけ用!R:R)</f>
        <v>#N/A</v>
      </c>
      <c r="L601" t="e">
        <f t="shared" si="37"/>
        <v>#N/A</v>
      </c>
      <c r="M601" t="e">
        <f>_xlfn.XLOOKUP(L601,EGPro!A:A,EGPro!D:D)</f>
        <v>#N/A</v>
      </c>
      <c r="N601" t="e">
        <f>_xlfn.XLOOKUP(L601,EGPro!A:A,EGPro!C:C)</f>
        <v>#N/A</v>
      </c>
      <c r="O601" t="e">
        <f t="shared" si="38"/>
        <v>#N/A</v>
      </c>
      <c r="P601" t="e">
        <f>_xlfn.XLOOKUP(O601,EGPro!A:A,EGPro!D:D)</f>
        <v>#N/A</v>
      </c>
      <c r="Q601" t="e">
        <f>_xlfn.XLOOKUP(O601,EGPro!A:A,EGPro!C:C)</f>
        <v>#N/A</v>
      </c>
    </row>
    <row r="602" spans="1:17" x14ac:dyDescent="0.45">
      <c r="A602" s="3">
        <f>配列!B602</f>
        <v>0</v>
      </c>
      <c r="B602" s="3" t="e">
        <f>_xlfn.XLOOKUP(A602,対応表!A:A,対応表!B:B)</f>
        <v>#N/A</v>
      </c>
      <c r="C602" s="3">
        <f>配列!C602</f>
        <v>0</v>
      </c>
      <c r="D602" s="3" t="str">
        <f>IF(配列!E602="",RIGHT(配列!D602&amp;配列!E602,4)&amp;"L",RIGHT(配列!D602&amp;配列!E602,5))</f>
        <v>L</v>
      </c>
      <c r="E602" s="3">
        <f t="shared" si="36"/>
        <v>0</v>
      </c>
      <c r="F602" s="3" t="e">
        <f>_xlfn.XLOOKUP(E602,セットアップレポート_紐づけ用!A:A,セットアップレポート_紐づけ用!J:J)</f>
        <v>#N/A</v>
      </c>
      <c r="G602" s="3" t="e">
        <f>_xlfn.XLOOKUP(E602,セットアップレポート_紐づけ用!A:A,セットアップレポート_紐づけ用!V:V)</f>
        <v>#N/A</v>
      </c>
      <c r="H602" s="3">
        <f t="shared" si="39"/>
        <v>-2</v>
      </c>
      <c r="I602" t="str">
        <f>IF(J602=0,"",IF(配列!E602="",マクロ実行!$A$16 &amp;" T"&amp;H602&amp;"-"&amp;RIGHT(配列!D602&amp;配列!E602,2),マクロ実行!$A$16 &amp;" T"&amp;H602&amp;"-"&amp;RIGHT(配列!D602&amp;配列!E602,3)))</f>
        <v/>
      </c>
      <c r="J602">
        <f>配列!F602</f>
        <v>0</v>
      </c>
      <c r="K602" s="2" t="e">
        <f>_xlfn.XLOOKUP(E602,セットアップレポート_紐づけ用!A:A,セットアップレポート_紐づけ用!R:R)</f>
        <v>#N/A</v>
      </c>
      <c r="L602" t="e">
        <f t="shared" si="37"/>
        <v>#N/A</v>
      </c>
      <c r="M602" t="e">
        <f>_xlfn.XLOOKUP(L602,EGPro!A:A,EGPro!D:D)</f>
        <v>#N/A</v>
      </c>
      <c r="N602" t="e">
        <f>_xlfn.XLOOKUP(L602,EGPro!A:A,EGPro!C:C)</f>
        <v>#N/A</v>
      </c>
      <c r="O602" t="e">
        <f t="shared" si="38"/>
        <v>#N/A</v>
      </c>
      <c r="P602" t="e">
        <f>_xlfn.XLOOKUP(O602,EGPro!A:A,EGPro!D:D)</f>
        <v>#N/A</v>
      </c>
      <c r="Q602" t="e">
        <f>_xlfn.XLOOKUP(O602,EGPro!A:A,EGPro!C:C)</f>
        <v>#N/A</v>
      </c>
    </row>
    <row r="603" spans="1:17" x14ac:dyDescent="0.45">
      <c r="A603" s="3">
        <f>配列!B603</f>
        <v>0</v>
      </c>
      <c r="B603" s="3" t="e">
        <f>_xlfn.XLOOKUP(A603,対応表!A:A,対応表!B:B)</f>
        <v>#N/A</v>
      </c>
      <c r="C603" s="3">
        <f>配列!C603</f>
        <v>0</v>
      </c>
      <c r="D603" s="3" t="str">
        <f>IF(配列!E603="",RIGHT(配列!D603&amp;配列!E603,4)&amp;"L",RIGHT(配列!D603&amp;配列!E603,5))</f>
        <v>L</v>
      </c>
      <c r="E603" s="3">
        <f t="shared" si="36"/>
        <v>0</v>
      </c>
      <c r="F603" s="3" t="e">
        <f>_xlfn.XLOOKUP(E603,セットアップレポート_紐づけ用!A:A,セットアップレポート_紐づけ用!J:J)</f>
        <v>#N/A</v>
      </c>
      <c r="G603" s="3" t="e">
        <f>_xlfn.XLOOKUP(E603,セットアップレポート_紐づけ用!A:A,セットアップレポート_紐づけ用!V:V)</f>
        <v>#N/A</v>
      </c>
      <c r="H603" s="3">
        <f t="shared" si="39"/>
        <v>-2</v>
      </c>
      <c r="I603" t="str">
        <f>IF(J603=0,"",IF(配列!E603="",マクロ実行!$A$16 &amp;" T"&amp;H603&amp;"-"&amp;RIGHT(配列!D603&amp;配列!E603,2),マクロ実行!$A$16 &amp;" T"&amp;H603&amp;"-"&amp;RIGHT(配列!D603&amp;配列!E603,3)))</f>
        <v/>
      </c>
      <c r="J603">
        <f>配列!F603</f>
        <v>0</v>
      </c>
      <c r="K603" s="2" t="e">
        <f>_xlfn.XLOOKUP(E603,セットアップレポート_紐づけ用!A:A,セットアップレポート_紐づけ用!R:R)</f>
        <v>#N/A</v>
      </c>
      <c r="L603" t="e">
        <f t="shared" si="37"/>
        <v>#N/A</v>
      </c>
      <c r="M603" t="e">
        <f>_xlfn.XLOOKUP(L603,EGPro!A:A,EGPro!D:D)</f>
        <v>#N/A</v>
      </c>
      <c r="N603" t="e">
        <f>_xlfn.XLOOKUP(L603,EGPro!A:A,EGPro!C:C)</f>
        <v>#N/A</v>
      </c>
      <c r="O603" t="e">
        <f t="shared" si="38"/>
        <v>#N/A</v>
      </c>
      <c r="P603" t="e">
        <f>_xlfn.XLOOKUP(O603,EGPro!A:A,EGPro!D:D)</f>
        <v>#N/A</v>
      </c>
      <c r="Q603" t="e">
        <f>_xlfn.XLOOKUP(O603,EGPro!A:A,EGPro!C:C)</f>
        <v>#N/A</v>
      </c>
    </row>
    <row r="604" spans="1:17" x14ac:dyDescent="0.45">
      <c r="A604" s="3">
        <f>配列!B604</f>
        <v>0</v>
      </c>
      <c r="B604" s="3" t="e">
        <f>_xlfn.XLOOKUP(A604,対応表!A:A,対応表!B:B)</f>
        <v>#N/A</v>
      </c>
      <c r="C604" s="3">
        <f>配列!C604</f>
        <v>0</v>
      </c>
      <c r="D604" s="3" t="str">
        <f>IF(配列!E604="",RIGHT(配列!D604&amp;配列!E604,4)&amp;"L",RIGHT(配列!D604&amp;配列!E604,5))</f>
        <v>L</v>
      </c>
      <c r="E604" s="3">
        <f t="shared" si="36"/>
        <v>0</v>
      </c>
      <c r="F604" s="3" t="e">
        <f>_xlfn.XLOOKUP(E604,セットアップレポート_紐づけ用!A:A,セットアップレポート_紐づけ用!J:J)</f>
        <v>#N/A</v>
      </c>
      <c r="G604" s="3" t="e">
        <f>_xlfn.XLOOKUP(E604,セットアップレポート_紐づけ用!A:A,セットアップレポート_紐づけ用!V:V)</f>
        <v>#N/A</v>
      </c>
      <c r="H604" s="3">
        <f t="shared" si="39"/>
        <v>-2</v>
      </c>
      <c r="I604" t="str">
        <f>IF(J604=0,"",IF(配列!E604="",マクロ実行!$A$16 &amp;" T"&amp;H604&amp;"-"&amp;RIGHT(配列!D604&amp;配列!E604,2),マクロ実行!$A$16 &amp;" T"&amp;H604&amp;"-"&amp;RIGHT(配列!D604&amp;配列!E604,3)))</f>
        <v/>
      </c>
      <c r="J604">
        <f>配列!F604</f>
        <v>0</v>
      </c>
      <c r="K604" s="2" t="e">
        <f>_xlfn.XLOOKUP(E604,セットアップレポート_紐づけ用!A:A,セットアップレポート_紐づけ用!R:R)</f>
        <v>#N/A</v>
      </c>
      <c r="L604" t="e">
        <f t="shared" si="37"/>
        <v>#N/A</v>
      </c>
      <c r="M604" t="e">
        <f>_xlfn.XLOOKUP(L604,EGPro!A:A,EGPro!D:D)</f>
        <v>#N/A</v>
      </c>
      <c r="N604" t="e">
        <f>_xlfn.XLOOKUP(L604,EGPro!A:A,EGPro!C:C)</f>
        <v>#N/A</v>
      </c>
      <c r="O604" t="e">
        <f t="shared" si="38"/>
        <v>#N/A</v>
      </c>
      <c r="P604" t="e">
        <f>_xlfn.XLOOKUP(O604,EGPro!A:A,EGPro!D:D)</f>
        <v>#N/A</v>
      </c>
      <c r="Q604" t="e">
        <f>_xlfn.XLOOKUP(O604,EGPro!A:A,EGPro!C:C)</f>
        <v>#N/A</v>
      </c>
    </row>
    <row r="605" spans="1:17" x14ac:dyDescent="0.45">
      <c r="A605" s="3">
        <f>配列!B605</f>
        <v>0</v>
      </c>
      <c r="B605" s="3" t="e">
        <f>_xlfn.XLOOKUP(A605,対応表!A:A,対応表!B:B)</f>
        <v>#N/A</v>
      </c>
      <c r="C605" s="3">
        <f>配列!C605</f>
        <v>0</v>
      </c>
      <c r="D605" s="3" t="str">
        <f>IF(配列!E605="",RIGHT(配列!D605&amp;配列!E605,4)&amp;"L",RIGHT(配列!D605&amp;配列!E605,5))</f>
        <v>L</v>
      </c>
      <c r="E605" s="3">
        <f t="shared" si="36"/>
        <v>0</v>
      </c>
      <c r="F605" s="3" t="e">
        <f>_xlfn.XLOOKUP(E605,セットアップレポート_紐づけ用!A:A,セットアップレポート_紐づけ用!J:J)</f>
        <v>#N/A</v>
      </c>
      <c r="G605" s="3" t="e">
        <f>_xlfn.XLOOKUP(E605,セットアップレポート_紐づけ用!A:A,セットアップレポート_紐づけ用!V:V)</f>
        <v>#N/A</v>
      </c>
      <c r="H605" s="3">
        <f t="shared" si="39"/>
        <v>-2</v>
      </c>
      <c r="I605" t="str">
        <f>IF(J605=0,"",IF(配列!E605="",マクロ実行!$A$16 &amp;" T"&amp;H605&amp;"-"&amp;RIGHT(配列!D605&amp;配列!E605,2),マクロ実行!$A$16 &amp;" T"&amp;H605&amp;"-"&amp;RIGHT(配列!D605&amp;配列!E605,3)))</f>
        <v/>
      </c>
      <c r="J605">
        <f>配列!F605</f>
        <v>0</v>
      </c>
      <c r="K605" s="2" t="e">
        <f>_xlfn.XLOOKUP(E605,セットアップレポート_紐づけ用!A:A,セットアップレポート_紐づけ用!R:R)</f>
        <v>#N/A</v>
      </c>
      <c r="L605" t="e">
        <f t="shared" si="37"/>
        <v>#N/A</v>
      </c>
      <c r="M605" t="e">
        <f>_xlfn.XLOOKUP(L605,EGPro!A:A,EGPro!D:D)</f>
        <v>#N/A</v>
      </c>
      <c r="N605" t="e">
        <f>_xlfn.XLOOKUP(L605,EGPro!A:A,EGPro!C:C)</f>
        <v>#N/A</v>
      </c>
      <c r="O605" t="e">
        <f t="shared" si="38"/>
        <v>#N/A</v>
      </c>
      <c r="P605" t="e">
        <f>_xlfn.XLOOKUP(O605,EGPro!A:A,EGPro!D:D)</f>
        <v>#N/A</v>
      </c>
      <c r="Q605" t="e">
        <f>_xlfn.XLOOKUP(O605,EGPro!A:A,EGPro!C:C)</f>
        <v>#N/A</v>
      </c>
    </row>
    <row r="606" spans="1:17" x14ac:dyDescent="0.45">
      <c r="A606" s="3">
        <f>配列!B606</f>
        <v>0</v>
      </c>
      <c r="B606" s="3" t="e">
        <f>_xlfn.XLOOKUP(A606,対応表!A:A,対応表!B:B)</f>
        <v>#N/A</v>
      </c>
      <c r="C606" s="3">
        <f>配列!C606</f>
        <v>0</v>
      </c>
      <c r="D606" s="3" t="str">
        <f>IF(配列!E606="",RIGHT(配列!D606&amp;配列!E606,4)&amp;"L",RIGHT(配列!D606&amp;配列!E606,5))</f>
        <v>L</v>
      </c>
      <c r="E606" s="3">
        <f t="shared" si="36"/>
        <v>0</v>
      </c>
      <c r="F606" s="3" t="e">
        <f>_xlfn.XLOOKUP(E606,セットアップレポート_紐づけ用!A:A,セットアップレポート_紐づけ用!J:J)</f>
        <v>#N/A</v>
      </c>
      <c r="G606" s="3" t="e">
        <f>_xlfn.XLOOKUP(E606,セットアップレポート_紐づけ用!A:A,セットアップレポート_紐づけ用!V:V)</f>
        <v>#N/A</v>
      </c>
      <c r="H606" s="3">
        <f t="shared" si="39"/>
        <v>-2</v>
      </c>
      <c r="I606" t="str">
        <f>IF(J606=0,"",IF(配列!E606="",マクロ実行!$A$16 &amp;" T"&amp;H606&amp;"-"&amp;RIGHT(配列!D606&amp;配列!E606,2),マクロ実行!$A$16 &amp;" T"&amp;H606&amp;"-"&amp;RIGHT(配列!D606&amp;配列!E606,3)))</f>
        <v/>
      </c>
      <c r="J606">
        <f>配列!F606</f>
        <v>0</v>
      </c>
      <c r="K606" s="2" t="e">
        <f>_xlfn.XLOOKUP(E606,セットアップレポート_紐づけ用!A:A,セットアップレポート_紐づけ用!R:R)</f>
        <v>#N/A</v>
      </c>
      <c r="L606" t="e">
        <f t="shared" si="37"/>
        <v>#N/A</v>
      </c>
      <c r="M606" t="e">
        <f>_xlfn.XLOOKUP(L606,EGPro!A:A,EGPro!D:D)</f>
        <v>#N/A</v>
      </c>
      <c r="N606" t="e">
        <f>_xlfn.XLOOKUP(L606,EGPro!A:A,EGPro!C:C)</f>
        <v>#N/A</v>
      </c>
      <c r="O606" t="e">
        <f t="shared" si="38"/>
        <v>#N/A</v>
      </c>
      <c r="P606" t="e">
        <f>_xlfn.XLOOKUP(O606,EGPro!A:A,EGPro!D:D)</f>
        <v>#N/A</v>
      </c>
      <c r="Q606" t="e">
        <f>_xlfn.XLOOKUP(O606,EGPro!A:A,EGPro!C:C)</f>
        <v>#N/A</v>
      </c>
    </row>
    <row r="607" spans="1:17" x14ac:dyDescent="0.45">
      <c r="A607" s="3">
        <f>配列!B607</f>
        <v>0</v>
      </c>
      <c r="B607" s="3" t="e">
        <f>_xlfn.XLOOKUP(A607,対応表!A:A,対応表!B:B)</f>
        <v>#N/A</v>
      </c>
      <c r="C607" s="3">
        <f>配列!C607</f>
        <v>0</v>
      </c>
      <c r="D607" s="3" t="str">
        <f>IF(配列!E607="",RIGHT(配列!D607&amp;配列!E607,4)&amp;"L",RIGHT(配列!D607&amp;配列!E607,5))</f>
        <v>L</v>
      </c>
      <c r="E607" s="3">
        <f t="shared" si="36"/>
        <v>0</v>
      </c>
      <c r="F607" s="3" t="e">
        <f>_xlfn.XLOOKUP(E607,セットアップレポート_紐づけ用!A:A,セットアップレポート_紐づけ用!J:J)</f>
        <v>#N/A</v>
      </c>
      <c r="G607" s="3" t="e">
        <f>_xlfn.XLOOKUP(E607,セットアップレポート_紐づけ用!A:A,セットアップレポート_紐づけ用!V:V)</f>
        <v>#N/A</v>
      </c>
      <c r="H607" s="3">
        <f t="shared" si="39"/>
        <v>-2</v>
      </c>
      <c r="I607" t="str">
        <f>IF(J607=0,"",IF(配列!E607="",マクロ実行!$A$16 &amp;" T"&amp;H607&amp;"-"&amp;RIGHT(配列!D607&amp;配列!E607,2),マクロ実行!$A$16 &amp;" T"&amp;H607&amp;"-"&amp;RIGHT(配列!D607&amp;配列!E607,3)))</f>
        <v/>
      </c>
      <c r="J607">
        <f>配列!F607</f>
        <v>0</v>
      </c>
      <c r="K607" s="2" t="e">
        <f>_xlfn.XLOOKUP(E607,セットアップレポート_紐づけ用!A:A,セットアップレポート_紐づけ用!R:R)</f>
        <v>#N/A</v>
      </c>
      <c r="L607" t="e">
        <f t="shared" si="37"/>
        <v>#N/A</v>
      </c>
      <c r="M607" t="e">
        <f>_xlfn.XLOOKUP(L607,EGPro!A:A,EGPro!D:D)</f>
        <v>#N/A</v>
      </c>
      <c r="N607" t="e">
        <f>_xlfn.XLOOKUP(L607,EGPro!A:A,EGPro!C:C)</f>
        <v>#N/A</v>
      </c>
      <c r="O607" t="e">
        <f t="shared" si="38"/>
        <v>#N/A</v>
      </c>
      <c r="P607" t="e">
        <f>_xlfn.XLOOKUP(O607,EGPro!A:A,EGPro!D:D)</f>
        <v>#N/A</v>
      </c>
      <c r="Q607" t="e">
        <f>_xlfn.XLOOKUP(O607,EGPro!A:A,EGPro!C:C)</f>
        <v>#N/A</v>
      </c>
    </row>
    <row r="608" spans="1:17" x14ac:dyDescent="0.45">
      <c r="A608" s="3">
        <f>配列!B608</f>
        <v>0</v>
      </c>
      <c r="B608" s="3" t="e">
        <f>_xlfn.XLOOKUP(A608,対応表!A:A,対応表!B:B)</f>
        <v>#N/A</v>
      </c>
      <c r="C608" s="3">
        <f>配列!C608</f>
        <v>0</v>
      </c>
      <c r="D608" s="3" t="str">
        <f>IF(配列!E608="",RIGHT(配列!D608&amp;配列!E608,4)&amp;"L",RIGHT(配列!D608&amp;配列!E608,5))</f>
        <v>L</v>
      </c>
      <c r="E608" s="3">
        <f t="shared" si="36"/>
        <v>0</v>
      </c>
      <c r="F608" s="3" t="e">
        <f>_xlfn.XLOOKUP(E608,セットアップレポート_紐づけ用!A:A,セットアップレポート_紐づけ用!J:J)</f>
        <v>#N/A</v>
      </c>
      <c r="G608" s="3" t="e">
        <f>_xlfn.XLOOKUP(E608,セットアップレポート_紐づけ用!A:A,セットアップレポート_紐づけ用!V:V)</f>
        <v>#N/A</v>
      </c>
      <c r="H608" s="3">
        <f t="shared" si="39"/>
        <v>-2</v>
      </c>
      <c r="I608" t="str">
        <f>IF(J608=0,"",IF(配列!E608="",マクロ実行!$A$16 &amp;" T"&amp;H608&amp;"-"&amp;RIGHT(配列!D608&amp;配列!E608,2),マクロ実行!$A$16 &amp;" T"&amp;H608&amp;"-"&amp;RIGHT(配列!D608&amp;配列!E608,3)))</f>
        <v/>
      </c>
      <c r="J608">
        <f>配列!F608</f>
        <v>0</v>
      </c>
      <c r="K608" s="2" t="e">
        <f>_xlfn.XLOOKUP(E608,セットアップレポート_紐づけ用!A:A,セットアップレポート_紐づけ用!R:R)</f>
        <v>#N/A</v>
      </c>
      <c r="L608" t="e">
        <f t="shared" si="37"/>
        <v>#N/A</v>
      </c>
      <c r="M608" t="e">
        <f>_xlfn.XLOOKUP(L608,EGPro!A:A,EGPro!D:D)</f>
        <v>#N/A</v>
      </c>
      <c r="N608" t="e">
        <f>_xlfn.XLOOKUP(L608,EGPro!A:A,EGPro!C:C)</f>
        <v>#N/A</v>
      </c>
      <c r="O608" t="e">
        <f t="shared" si="38"/>
        <v>#N/A</v>
      </c>
      <c r="P608" t="e">
        <f>_xlfn.XLOOKUP(O608,EGPro!A:A,EGPro!D:D)</f>
        <v>#N/A</v>
      </c>
      <c r="Q608" t="e">
        <f>_xlfn.XLOOKUP(O608,EGPro!A:A,EGPro!C:C)</f>
        <v>#N/A</v>
      </c>
    </row>
    <row r="609" spans="1:17" x14ac:dyDescent="0.45">
      <c r="A609" s="3">
        <f>配列!B609</f>
        <v>0</v>
      </c>
      <c r="B609" s="3" t="e">
        <f>_xlfn.XLOOKUP(A609,対応表!A:A,対応表!B:B)</f>
        <v>#N/A</v>
      </c>
      <c r="C609" s="3">
        <f>配列!C609</f>
        <v>0</v>
      </c>
      <c r="D609" s="3" t="str">
        <f>IF(配列!E609="",RIGHT(配列!D609&amp;配列!E609,4)&amp;"L",RIGHT(配列!D609&amp;配列!E609,5))</f>
        <v>L</v>
      </c>
      <c r="E609" s="3">
        <f t="shared" si="36"/>
        <v>0</v>
      </c>
      <c r="F609" s="3" t="e">
        <f>_xlfn.XLOOKUP(E609,セットアップレポート_紐づけ用!A:A,セットアップレポート_紐づけ用!J:J)</f>
        <v>#N/A</v>
      </c>
      <c r="G609" s="3" t="e">
        <f>_xlfn.XLOOKUP(E609,セットアップレポート_紐づけ用!A:A,セットアップレポート_紐づけ用!V:V)</f>
        <v>#N/A</v>
      </c>
      <c r="H609" s="3">
        <f t="shared" si="39"/>
        <v>-2</v>
      </c>
      <c r="I609" t="str">
        <f>IF(J609=0,"",IF(配列!E609="",マクロ実行!$A$16 &amp;" T"&amp;H609&amp;"-"&amp;RIGHT(配列!D609&amp;配列!E609,2),マクロ実行!$A$16 &amp;" T"&amp;H609&amp;"-"&amp;RIGHT(配列!D609&amp;配列!E609,3)))</f>
        <v/>
      </c>
      <c r="J609">
        <f>配列!F609</f>
        <v>0</v>
      </c>
      <c r="K609" s="2" t="e">
        <f>_xlfn.XLOOKUP(E609,セットアップレポート_紐づけ用!A:A,セットアップレポート_紐づけ用!R:R)</f>
        <v>#N/A</v>
      </c>
      <c r="L609" t="e">
        <f t="shared" si="37"/>
        <v>#N/A</v>
      </c>
      <c r="M609" t="e">
        <f>_xlfn.XLOOKUP(L609,EGPro!A:A,EGPro!D:D)</f>
        <v>#N/A</v>
      </c>
      <c r="N609" t="e">
        <f>_xlfn.XLOOKUP(L609,EGPro!A:A,EGPro!C:C)</f>
        <v>#N/A</v>
      </c>
      <c r="O609" t="e">
        <f t="shared" si="38"/>
        <v>#N/A</v>
      </c>
      <c r="P609" t="e">
        <f>_xlfn.XLOOKUP(O609,EGPro!A:A,EGPro!D:D)</f>
        <v>#N/A</v>
      </c>
      <c r="Q609" t="e">
        <f>_xlfn.XLOOKUP(O609,EGPro!A:A,EGPro!C:C)</f>
        <v>#N/A</v>
      </c>
    </row>
    <row r="610" spans="1:17" x14ac:dyDescent="0.45">
      <c r="A610" s="3">
        <f>配列!B610</f>
        <v>0</v>
      </c>
      <c r="B610" s="3" t="e">
        <f>_xlfn.XLOOKUP(A610,対応表!A:A,対応表!B:B)</f>
        <v>#N/A</v>
      </c>
      <c r="C610" s="3">
        <f>配列!C610</f>
        <v>0</v>
      </c>
      <c r="D610" s="3" t="str">
        <f>IF(配列!E610="",RIGHT(配列!D610&amp;配列!E610,4)&amp;"L",RIGHT(配列!D610&amp;配列!E610,5))</f>
        <v>L</v>
      </c>
      <c r="E610" s="3">
        <f t="shared" si="36"/>
        <v>0</v>
      </c>
      <c r="F610" s="3" t="e">
        <f>_xlfn.XLOOKUP(E610,セットアップレポート_紐づけ用!A:A,セットアップレポート_紐づけ用!J:J)</f>
        <v>#N/A</v>
      </c>
      <c r="G610" s="3" t="e">
        <f>_xlfn.XLOOKUP(E610,セットアップレポート_紐づけ用!A:A,セットアップレポート_紐づけ用!V:V)</f>
        <v>#N/A</v>
      </c>
      <c r="H610" s="3">
        <f t="shared" si="39"/>
        <v>-2</v>
      </c>
      <c r="I610" t="str">
        <f>IF(J610=0,"",IF(配列!E610="",マクロ実行!$A$16 &amp;" T"&amp;H610&amp;"-"&amp;RIGHT(配列!D610&amp;配列!E610,2),マクロ実行!$A$16 &amp;" T"&amp;H610&amp;"-"&amp;RIGHT(配列!D610&amp;配列!E610,3)))</f>
        <v/>
      </c>
      <c r="J610">
        <f>配列!F610</f>
        <v>0</v>
      </c>
      <c r="K610" s="2" t="e">
        <f>_xlfn.XLOOKUP(E610,セットアップレポート_紐づけ用!A:A,セットアップレポート_紐づけ用!R:R)</f>
        <v>#N/A</v>
      </c>
      <c r="L610" t="e">
        <f t="shared" si="37"/>
        <v>#N/A</v>
      </c>
      <c r="M610" t="e">
        <f>_xlfn.XLOOKUP(L610,EGPro!A:A,EGPro!D:D)</f>
        <v>#N/A</v>
      </c>
      <c r="N610" t="e">
        <f>_xlfn.XLOOKUP(L610,EGPro!A:A,EGPro!C:C)</f>
        <v>#N/A</v>
      </c>
      <c r="O610" t="e">
        <f t="shared" si="38"/>
        <v>#N/A</v>
      </c>
      <c r="P610" t="e">
        <f>_xlfn.XLOOKUP(O610,EGPro!A:A,EGPro!D:D)</f>
        <v>#N/A</v>
      </c>
      <c r="Q610" t="e">
        <f>_xlfn.XLOOKUP(O610,EGPro!A:A,EGPro!C:C)</f>
        <v>#N/A</v>
      </c>
    </row>
    <row r="611" spans="1:17" x14ac:dyDescent="0.45">
      <c r="A611" s="3">
        <f>配列!B611</f>
        <v>0</v>
      </c>
      <c r="B611" s="3" t="e">
        <f>_xlfn.XLOOKUP(A611,対応表!A:A,対応表!B:B)</f>
        <v>#N/A</v>
      </c>
      <c r="C611" s="3">
        <f>配列!C611</f>
        <v>0</v>
      </c>
      <c r="D611" s="3" t="str">
        <f>IF(配列!E611="",RIGHT(配列!D611&amp;配列!E611,4)&amp;"L",RIGHT(配列!D611&amp;配列!E611,5))</f>
        <v>L</v>
      </c>
      <c r="E611" s="3">
        <f t="shared" si="36"/>
        <v>0</v>
      </c>
      <c r="F611" s="3" t="e">
        <f>_xlfn.XLOOKUP(E611,セットアップレポート_紐づけ用!A:A,セットアップレポート_紐づけ用!J:J)</f>
        <v>#N/A</v>
      </c>
      <c r="G611" s="3" t="e">
        <f>_xlfn.XLOOKUP(E611,セットアップレポート_紐づけ用!A:A,セットアップレポート_紐づけ用!V:V)</f>
        <v>#N/A</v>
      </c>
      <c r="H611" s="3">
        <f t="shared" si="39"/>
        <v>-2</v>
      </c>
      <c r="I611" t="str">
        <f>IF(J611=0,"",IF(配列!E611="",マクロ実行!$A$16 &amp;" T"&amp;H611&amp;"-"&amp;RIGHT(配列!D611&amp;配列!E611,2),マクロ実行!$A$16 &amp;" T"&amp;H611&amp;"-"&amp;RIGHT(配列!D611&amp;配列!E611,3)))</f>
        <v/>
      </c>
      <c r="J611">
        <f>配列!F611</f>
        <v>0</v>
      </c>
      <c r="K611" s="2" t="e">
        <f>_xlfn.XLOOKUP(E611,セットアップレポート_紐づけ用!A:A,セットアップレポート_紐づけ用!R:R)</f>
        <v>#N/A</v>
      </c>
      <c r="L611" t="e">
        <f t="shared" si="37"/>
        <v>#N/A</v>
      </c>
      <c r="M611" t="e">
        <f>_xlfn.XLOOKUP(L611,EGPro!A:A,EGPro!D:D)</f>
        <v>#N/A</v>
      </c>
      <c r="N611" t="e">
        <f>_xlfn.XLOOKUP(L611,EGPro!A:A,EGPro!C:C)</f>
        <v>#N/A</v>
      </c>
      <c r="O611" t="e">
        <f t="shared" si="38"/>
        <v>#N/A</v>
      </c>
      <c r="P611" t="e">
        <f>_xlfn.XLOOKUP(O611,EGPro!A:A,EGPro!D:D)</f>
        <v>#N/A</v>
      </c>
      <c r="Q611" t="e">
        <f>_xlfn.XLOOKUP(O611,EGPro!A:A,EGPro!C:C)</f>
        <v>#N/A</v>
      </c>
    </row>
    <row r="612" spans="1:17" x14ac:dyDescent="0.45">
      <c r="A612" s="3">
        <f>配列!B612</f>
        <v>0</v>
      </c>
      <c r="B612" s="3" t="e">
        <f>_xlfn.XLOOKUP(A612,対応表!A:A,対応表!B:B)</f>
        <v>#N/A</v>
      </c>
      <c r="C612" s="3">
        <f>配列!C612</f>
        <v>0</v>
      </c>
      <c r="D612" s="3" t="str">
        <f>IF(配列!E612="",RIGHT(配列!D612&amp;配列!E612,4)&amp;"L",RIGHT(配列!D612&amp;配列!E612,5))</f>
        <v>L</v>
      </c>
      <c r="E612" s="3">
        <f t="shared" si="36"/>
        <v>0</v>
      </c>
      <c r="F612" s="3" t="e">
        <f>_xlfn.XLOOKUP(E612,セットアップレポート_紐づけ用!A:A,セットアップレポート_紐づけ用!J:J)</f>
        <v>#N/A</v>
      </c>
      <c r="G612" s="3" t="e">
        <f>_xlfn.XLOOKUP(E612,セットアップレポート_紐づけ用!A:A,セットアップレポート_紐づけ用!V:V)</f>
        <v>#N/A</v>
      </c>
      <c r="H612" s="3">
        <f t="shared" si="39"/>
        <v>-2</v>
      </c>
      <c r="I612" t="str">
        <f>IF(J612=0,"",IF(配列!E612="",マクロ実行!$A$16 &amp;" T"&amp;H612&amp;"-"&amp;RIGHT(配列!D612&amp;配列!E612,2),マクロ実行!$A$16 &amp;" T"&amp;H612&amp;"-"&amp;RIGHT(配列!D612&amp;配列!E612,3)))</f>
        <v/>
      </c>
      <c r="J612">
        <f>配列!F612</f>
        <v>0</v>
      </c>
      <c r="K612" s="2" t="e">
        <f>_xlfn.XLOOKUP(E612,セットアップレポート_紐づけ用!A:A,セットアップレポート_紐づけ用!R:R)</f>
        <v>#N/A</v>
      </c>
      <c r="L612" t="e">
        <f t="shared" si="37"/>
        <v>#N/A</v>
      </c>
      <c r="M612" t="e">
        <f>_xlfn.XLOOKUP(L612,EGPro!A:A,EGPro!D:D)</f>
        <v>#N/A</v>
      </c>
      <c r="N612" t="e">
        <f>_xlfn.XLOOKUP(L612,EGPro!A:A,EGPro!C:C)</f>
        <v>#N/A</v>
      </c>
      <c r="O612" t="e">
        <f t="shared" si="38"/>
        <v>#N/A</v>
      </c>
      <c r="P612" t="e">
        <f>_xlfn.XLOOKUP(O612,EGPro!A:A,EGPro!D:D)</f>
        <v>#N/A</v>
      </c>
      <c r="Q612" t="e">
        <f>_xlfn.XLOOKUP(O612,EGPro!A:A,EGPro!C:C)</f>
        <v>#N/A</v>
      </c>
    </row>
    <row r="613" spans="1:17" x14ac:dyDescent="0.45">
      <c r="A613" s="3">
        <f>配列!B613</f>
        <v>0</v>
      </c>
      <c r="B613" s="3" t="e">
        <f>_xlfn.XLOOKUP(A613,対応表!A:A,対応表!B:B)</f>
        <v>#N/A</v>
      </c>
      <c r="C613" s="3">
        <f>配列!C613</f>
        <v>0</v>
      </c>
      <c r="D613" s="3" t="str">
        <f>IF(配列!E613="",RIGHT(配列!D613&amp;配列!E613,4)&amp;"L",RIGHT(配列!D613&amp;配列!E613,5))</f>
        <v>L</v>
      </c>
      <c r="E613" s="3">
        <f t="shared" si="36"/>
        <v>0</v>
      </c>
      <c r="F613" s="3" t="e">
        <f>_xlfn.XLOOKUP(E613,セットアップレポート_紐づけ用!A:A,セットアップレポート_紐づけ用!J:J)</f>
        <v>#N/A</v>
      </c>
      <c r="G613" s="3" t="e">
        <f>_xlfn.XLOOKUP(E613,セットアップレポート_紐づけ用!A:A,セットアップレポート_紐づけ用!V:V)</f>
        <v>#N/A</v>
      </c>
      <c r="H613" s="3">
        <f t="shared" si="39"/>
        <v>-2</v>
      </c>
      <c r="I613" t="str">
        <f>IF(J613=0,"",IF(配列!E613="",マクロ実行!$A$16 &amp;" T"&amp;H613&amp;"-"&amp;RIGHT(配列!D613&amp;配列!E613,2),マクロ実行!$A$16 &amp;" T"&amp;H613&amp;"-"&amp;RIGHT(配列!D613&amp;配列!E613,3)))</f>
        <v/>
      </c>
      <c r="J613">
        <f>配列!F613</f>
        <v>0</v>
      </c>
      <c r="K613" s="2" t="e">
        <f>_xlfn.XLOOKUP(E613,セットアップレポート_紐づけ用!A:A,セットアップレポート_紐づけ用!R:R)</f>
        <v>#N/A</v>
      </c>
      <c r="L613" t="e">
        <f t="shared" si="37"/>
        <v>#N/A</v>
      </c>
      <c r="M613" t="e">
        <f>_xlfn.XLOOKUP(L613,EGPro!A:A,EGPro!D:D)</f>
        <v>#N/A</v>
      </c>
      <c r="N613" t="e">
        <f>_xlfn.XLOOKUP(L613,EGPro!A:A,EGPro!C:C)</f>
        <v>#N/A</v>
      </c>
      <c r="O613" t="e">
        <f t="shared" si="38"/>
        <v>#N/A</v>
      </c>
      <c r="P613" t="e">
        <f>_xlfn.XLOOKUP(O613,EGPro!A:A,EGPro!D:D)</f>
        <v>#N/A</v>
      </c>
      <c r="Q613" t="e">
        <f>_xlfn.XLOOKUP(O613,EGPro!A:A,EGPro!C:C)</f>
        <v>#N/A</v>
      </c>
    </row>
    <row r="614" spans="1:17" x14ac:dyDescent="0.45">
      <c r="A614" s="3">
        <f>配列!B614</f>
        <v>0</v>
      </c>
      <c r="B614" s="3" t="e">
        <f>_xlfn.XLOOKUP(A614,対応表!A:A,対応表!B:B)</f>
        <v>#N/A</v>
      </c>
      <c r="C614" s="3">
        <f>配列!C614</f>
        <v>0</v>
      </c>
      <c r="D614" s="3" t="str">
        <f>IF(配列!E614="",RIGHT(配列!D614&amp;配列!E614,4)&amp;"L",RIGHT(配列!D614&amp;配列!E614,5))</f>
        <v>L</v>
      </c>
      <c r="E614" s="3">
        <f t="shared" si="36"/>
        <v>0</v>
      </c>
      <c r="F614" s="3" t="e">
        <f>_xlfn.XLOOKUP(E614,セットアップレポート_紐づけ用!A:A,セットアップレポート_紐づけ用!J:J)</f>
        <v>#N/A</v>
      </c>
      <c r="G614" s="3" t="e">
        <f>_xlfn.XLOOKUP(E614,セットアップレポート_紐づけ用!A:A,セットアップレポート_紐づけ用!V:V)</f>
        <v>#N/A</v>
      </c>
      <c r="H614" s="3">
        <f t="shared" si="39"/>
        <v>-2</v>
      </c>
      <c r="I614" t="str">
        <f>IF(J614=0,"",IF(配列!E614="",マクロ実行!$A$16 &amp;" T"&amp;H614&amp;"-"&amp;RIGHT(配列!D614&amp;配列!E614,2),マクロ実行!$A$16 &amp;" T"&amp;H614&amp;"-"&amp;RIGHT(配列!D614&amp;配列!E614,3)))</f>
        <v/>
      </c>
      <c r="J614">
        <f>配列!F614</f>
        <v>0</v>
      </c>
      <c r="K614" s="2" t="e">
        <f>_xlfn.XLOOKUP(E614,セットアップレポート_紐づけ用!A:A,セットアップレポート_紐づけ用!R:R)</f>
        <v>#N/A</v>
      </c>
      <c r="L614" t="e">
        <f t="shared" si="37"/>
        <v>#N/A</v>
      </c>
      <c r="M614" t="e">
        <f>_xlfn.XLOOKUP(L614,EGPro!A:A,EGPro!D:D)</f>
        <v>#N/A</v>
      </c>
      <c r="N614" t="e">
        <f>_xlfn.XLOOKUP(L614,EGPro!A:A,EGPro!C:C)</f>
        <v>#N/A</v>
      </c>
      <c r="O614" t="e">
        <f t="shared" si="38"/>
        <v>#N/A</v>
      </c>
      <c r="P614" t="e">
        <f>_xlfn.XLOOKUP(O614,EGPro!A:A,EGPro!D:D)</f>
        <v>#N/A</v>
      </c>
      <c r="Q614" t="e">
        <f>_xlfn.XLOOKUP(O614,EGPro!A:A,EGPro!C:C)</f>
        <v>#N/A</v>
      </c>
    </row>
    <row r="615" spans="1:17" x14ac:dyDescent="0.45">
      <c r="A615" s="3">
        <f>配列!B615</f>
        <v>0</v>
      </c>
      <c r="B615" s="3" t="e">
        <f>_xlfn.XLOOKUP(A615,対応表!A:A,対応表!B:B)</f>
        <v>#N/A</v>
      </c>
      <c r="C615" s="3">
        <f>配列!C615</f>
        <v>0</v>
      </c>
      <c r="D615" s="3" t="str">
        <f>IF(配列!E615="",RIGHT(配列!D615&amp;配列!E615,4)&amp;"L",RIGHT(配列!D615&amp;配列!E615,5))</f>
        <v>L</v>
      </c>
      <c r="E615" s="3">
        <f t="shared" si="36"/>
        <v>0</v>
      </c>
      <c r="F615" s="3" t="e">
        <f>_xlfn.XLOOKUP(E615,セットアップレポート_紐づけ用!A:A,セットアップレポート_紐づけ用!J:J)</f>
        <v>#N/A</v>
      </c>
      <c r="G615" s="3" t="e">
        <f>_xlfn.XLOOKUP(E615,セットアップレポート_紐づけ用!A:A,セットアップレポート_紐づけ用!V:V)</f>
        <v>#N/A</v>
      </c>
      <c r="H615" s="3">
        <f t="shared" si="39"/>
        <v>-2</v>
      </c>
      <c r="I615" t="str">
        <f>IF(J615=0,"",IF(配列!E615="",マクロ実行!$A$16 &amp;" T"&amp;H615&amp;"-"&amp;RIGHT(配列!D615&amp;配列!E615,2),マクロ実行!$A$16 &amp;" T"&amp;H615&amp;"-"&amp;RIGHT(配列!D615&amp;配列!E615,3)))</f>
        <v/>
      </c>
      <c r="J615">
        <f>配列!F615</f>
        <v>0</v>
      </c>
      <c r="K615" s="2" t="e">
        <f>_xlfn.XLOOKUP(E615,セットアップレポート_紐づけ用!A:A,セットアップレポート_紐づけ用!R:R)</f>
        <v>#N/A</v>
      </c>
      <c r="L615" t="e">
        <f t="shared" si="37"/>
        <v>#N/A</v>
      </c>
      <c r="M615" t="e">
        <f>_xlfn.XLOOKUP(L615,EGPro!A:A,EGPro!D:D)</f>
        <v>#N/A</v>
      </c>
      <c r="N615" t="e">
        <f>_xlfn.XLOOKUP(L615,EGPro!A:A,EGPro!C:C)</f>
        <v>#N/A</v>
      </c>
      <c r="O615" t="e">
        <f t="shared" si="38"/>
        <v>#N/A</v>
      </c>
      <c r="P615" t="e">
        <f>_xlfn.XLOOKUP(O615,EGPro!A:A,EGPro!D:D)</f>
        <v>#N/A</v>
      </c>
      <c r="Q615" t="e">
        <f>_xlfn.XLOOKUP(O615,EGPro!A:A,EGPro!C:C)</f>
        <v>#N/A</v>
      </c>
    </row>
    <row r="616" spans="1:17" x14ac:dyDescent="0.45">
      <c r="A616" s="3">
        <f>配列!B616</f>
        <v>0</v>
      </c>
      <c r="B616" s="3" t="e">
        <f>_xlfn.XLOOKUP(A616,対応表!A:A,対応表!B:B)</f>
        <v>#N/A</v>
      </c>
      <c r="C616" s="3">
        <f>配列!C616</f>
        <v>0</v>
      </c>
      <c r="D616" s="3" t="str">
        <f>IF(配列!E616="",RIGHT(配列!D616&amp;配列!E616,4)&amp;"L",RIGHT(配列!D616&amp;配列!E616,5))</f>
        <v>L</v>
      </c>
      <c r="E616" s="3">
        <f t="shared" si="36"/>
        <v>0</v>
      </c>
      <c r="F616" s="3" t="e">
        <f>_xlfn.XLOOKUP(E616,セットアップレポート_紐づけ用!A:A,セットアップレポート_紐づけ用!J:J)</f>
        <v>#N/A</v>
      </c>
      <c r="G616" s="3" t="e">
        <f>_xlfn.XLOOKUP(E616,セットアップレポート_紐づけ用!A:A,セットアップレポート_紐づけ用!V:V)</f>
        <v>#N/A</v>
      </c>
      <c r="H616" s="3">
        <f t="shared" si="39"/>
        <v>-2</v>
      </c>
      <c r="I616" t="str">
        <f>IF(J616=0,"",IF(配列!E616="",マクロ実行!$A$16 &amp;" T"&amp;H616&amp;"-"&amp;RIGHT(配列!D616&amp;配列!E616,2),マクロ実行!$A$16 &amp;" T"&amp;H616&amp;"-"&amp;RIGHT(配列!D616&amp;配列!E616,3)))</f>
        <v/>
      </c>
      <c r="J616">
        <f>配列!F616</f>
        <v>0</v>
      </c>
      <c r="K616" s="2" t="e">
        <f>_xlfn.XLOOKUP(E616,セットアップレポート_紐づけ用!A:A,セットアップレポート_紐づけ用!R:R)</f>
        <v>#N/A</v>
      </c>
      <c r="L616" t="e">
        <f t="shared" si="37"/>
        <v>#N/A</v>
      </c>
      <c r="M616" t="e">
        <f>_xlfn.XLOOKUP(L616,EGPro!A:A,EGPro!D:D)</f>
        <v>#N/A</v>
      </c>
      <c r="N616" t="e">
        <f>_xlfn.XLOOKUP(L616,EGPro!A:A,EGPro!C:C)</f>
        <v>#N/A</v>
      </c>
      <c r="O616" t="e">
        <f t="shared" si="38"/>
        <v>#N/A</v>
      </c>
      <c r="P616" t="e">
        <f>_xlfn.XLOOKUP(O616,EGPro!A:A,EGPro!D:D)</f>
        <v>#N/A</v>
      </c>
      <c r="Q616" t="e">
        <f>_xlfn.XLOOKUP(O616,EGPro!A:A,EGPro!C:C)</f>
        <v>#N/A</v>
      </c>
    </row>
    <row r="617" spans="1:17" x14ac:dyDescent="0.45">
      <c r="A617" s="3">
        <f>配列!B617</f>
        <v>0</v>
      </c>
      <c r="B617" s="3" t="e">
        <f>_xlfn.XLOOKUP(A617,対応表!A:A,対応表!B:B)</f>
        <v>#N/A</v>
      </c>
      <c r="C617" s="3">
        <f>配列!C617</f>
        <v>0</v>
      </c>
      <c r="D617" s="3" t="str">
        <f>IF(配列!E617="",RIGHT(配列!D617&amp;配列!E617,4)&amp;"L",RIGHT(配列!D617&amp;配列!E617,5))</f>
        <v>L</v>
      </c>
      <c r="E617" s="3">
        <f t="shared" si="36"/>
        <v>0</v>
      </c>
      <c r="F617" s="3" t="e">
        <f>_xlfn.XLOOKUP(E617,セットアップレポート_紐づけ用!A:A,セットアップレポート_紐づけ用!J:J)</f>
        <v>#N/A</v>
      </c>
      <c r="G617" s="3" t="e">
        <f>_xlfn.XLOOKUP(E617,セットアップレポート_紐づけ用!A:A,セットアップレポート_紐づけ用!V:V)</f>
        <v>#N/A</v>
      </c>
      <c r="H617" s="3">
        <f t="shared" si="39"/>
        <v>-2</v>
      </c>
      <c r="I617" t="str">
        <f>IF(J617=0,"",IF(配列!E617="",マクロ実行!$A$16 &amp;" T"&amp;H617&amp;"-"&amp;RIGHT(配列!D617&amp;配列!E617,2),マクロ実行!$A$16 &amp;" T"&amp;H617&amp;"-"&amp;RIGHT(配列!D617&amp;配列!E617,3)))</f>
        <v/>
      </c>
      <c r="J617">
        <f>配列!F617</f>
        <v>0</v>
      </c>
      <c r="K617" s="2" t="e">
        <f>_xlfn.XLOOKUP(E617,セットアップレポート_紐づけ用!A:A,セットアップレポート_紐づけ用!R:R)</f>
        <v>#N/A</v>
      </c>
      <c r="L617" t="e">
        <f t="shared" si="37"/>
        <v>#N/A</v>
      </c>
      <c r="M617" t="e">
        <f>_xlfn.XLOOKUP(L617,EGPro!A:A,EGPro!D:D)</f>
        <v>#N/A</v>
      </c>
      <c r="N617" t="e">
        <f>_xlfn.XLOOKUP(L617,EGPro!A:A,EGPro!C:C)</f>
        <v>#N/A</v>
      </c>
      <c r="O617" t="e">
        <f t="shared" si="38"/>
        <v>#N/A</v>
      </c>
      <c r="P617" t="e">
        <f>_xlfn.XLOOKUP(O617,EGPro!A:A,EGPro!D:D)</f>
        <v>#N/A</v>
      </c>
      <c r="Q617" t="e">
        <f>_xlfn.XLOOKUP(O617,EGPro!A:A,EGPro!C:C)</f>
        <v>#N/A</v>
      </c>
    </row>
    <row r="618" spans="1:17" x14ac:dyDescent="0.45">
      <c r="A618" s="3">
        <f>配列!B618</f>
        <v>0</v>
      </c>
      <c r="B618" s="3" t="e">
        <f>_xlfn.XLOOKUP(A618,対応表!A:A,対応表!B:B)</f>
        <v>#N/A</v>
      </c>
      <c r="C618" s="3">
        <f>配列!C618</f>
        <v>0</v>
      </c>
      <c r="D618" s="3" t="str">
        <f>IF(配列!E618="",RIGHT(配列!D618&amp;配列!E618,4)&amp;"L",RIGHT(配列!D618&amp;配列!E618,5))</f>
        <v>L</v>
      </c>
      <c r="E618" s="3">
        <f t="shared" si="36"/>
        <v>0</v>
      </c>
      <c r="F618" s="3" t="e">
        <f>_xlfn.XLOOKUP(E618,セットアップレポート_紐づけ用!A:A,セットアップレポート_紐づけ用!J:J)</f>
        <v>#N/A</v>
      </c>
      <c r="G618" s="3" t="e">
        <f>_xlfn.XLOOKUP(E618,セットアップレポート_紐づけ用!A:A,セットアップレポート_紐づけ用!V:V)</f>
        <v>#N/A</v>
      </c>
      <c r="H618" s="3">
        <f t="shared" si="39"/>
        <v>-2</v>
      </c>
      <c r="I618" t="str">
        <f>IF(J618=0,"",IF(配列!E618="",マクロ実行!$A$16 &amp;" T"&amp;H618&amp;"-"&amp;RIGHT(配列!D618&amp;配列!E618,2),マクロ実行!$A$16 &amp;" T"&amp;H618&amp;"-"&amp;RIGHT(配列!D618&amp;配列!E618,3)))</f>
        <v/>
      </c>
      <c r="J618">
        <f>配列!F618</f>
        <v>0</v>
      </c>
      <c r="K618" s="2" t="e">
        <f>_xlfn.XLOOKUP(E618,セットアップレポート_紐づけ用!A:A,セットアップレポート_紐づけ用!R:R)</f>
        <v>#N/A</v>
      </c>
      <c r="L618" t="e">
        <f t="shared" si="37"/>
        <v>#N/A</v>
      </c>
      <c r="M618" t="e">
        <f>_xlfn.XLOOKUP(L618,EGPro!A:A,EGPro!D:D)</f>
        <v>#N/A</v>
      </c>
      <c r="N618" t="e">
        <f>_xlfn.XLOOKUP(L618,EGPro!A:A,EGPro!C:C)</f>
        <v>#N/A</v>
      </c>
      <c r="O618" t="e">
        <f t="shared" si="38"/>
        <v>#N/A</v>
      </c>
      <c r="P618" t="e">
        <f>_xlfn.XLOOKUP(O618,EGPro!A:A,EGPro!D:D)</f>
        <v>#N/A</v>
      </c>
      <c r="Q618" t="e">
        <f>_xlfn.XLOOKUP(O618,EGPro!A:A,EGPro!C:C)</f>
        <v>#N/A</v>
      </c>
    </row>
    <row r="619" spans="1:17" x14ac:dyDescent="0.45">
      <c r="A619" s="3">
        <f>配列!B619</f>
        <v>0</v>
      </c>
      <c r="B619" s="3" t="e">
        <f>_xlfn.XLOOKUP(A619,対応表!A:A,対応表!B:B)</f>
        <v>#N/A</v>
      </c>
      <c r="C619" s="3">
        <f>配列!C619</f>
        <v>0</v>
      </c>
      <c r="D619" s="3" t="str">
        <f>IF(配列!E619="",RIGHT(配列!D619&amp;配列!E619,4)&amp;"L",RIGHT(配列!D619&amp;配列!E619,5))</f>
        <v>L</v>
      </c>
      <c r="E619" s="3">
        <f t="shared" si="36"/>
        <v>0</v>
      </c>
      <c r="F619" s="3" t="e">
        <f>_xlfn.XLOOKUP(E619,セットアップレポート_紐づけ用!A:A,セットアップレポート_紐づけ用!J:J)</f>
        <v>#N/A</v>
      </c>
      <c r="G619" s="3" t="e">
        <f>_xlfn.XLOOKUP(E619,セットアップレポート_紐づけ用!A:A,セットアップレポート_紐づけ用!V:V)</f>
        <v>#N/A</v>
      </c>
      <c r="H619" s="3">
        <f t="shared" si="39"/>
        <v>-2</v>
      </c>
      <c r="I619" t="str">
        <f>IF(J619=0,"",IF(配列!E619="",マクロ実行!$A$16 &amp;" T"&amp;H619&amp;"-"&amp;RIGHT(配列!D619&amp;配列!E619,2),マクロ実行!$A$16 &amp;" T"&amp;H619&amp;"-"&amp;RIGHT(配列!D619&amp;配列!E619,3)))</f>
        <v/>
      </c>
      <c r="J619">
        <f>配列!F619</f>
        <v>0</v>
      </c>
      <c r="K619" s="2" t="e">
        <f>_xlfn.XLOOKUP(E619,セットアップレポート_紐づけ用!A:A,セットアップレポート_紐づけ用!R:R)</f>
        <v>#N/A</v>
      </c>
      <c r="L619" t="e">
        <f t="shared" si="37"/>
        <v>#N/A</v>
      </c>
      <c r="M619" t="e">
        <f>_xlfn.XLOOKUP(L619,EGPro!A:A,EGPro!D:D)</f>
        <v>#N/A</v>
      </c>
      <c r="N619" t="e">
        <f>_xlfn.XLOOKUP(L619,EGPro!A:A,EGPro!C:C)</f>
        <v>#N/A</v>
      </c>
      <c r="O619" t="e">
        <f t="shared" si="38"/>
        <v>#N/A</v>
      </c>
      <c r="P619" t="e">
        <f>_xlfn.XLOOKUP(O619,EGPro!A:A,EGPro!D:D)</f>
        <v>#N/A</v>
      </c>
      <c r="Q619" t="e">
        <f>_xlfn.XLOOKUP(O619,EGPro!A:A,EGPro!C:C)</f>
        <v>#N/A</v>
      </c>
    </row>
    <row r="620" spans="1:17" x14ac:dyDescent="0.45">
      <c r="A620" s="3">
        <f>配列!B620</f>
        <v>0</v>
      </c>
      <c r="B620" s="3" t="e">
        <f>_xlfn.XLOOKUP(A620,対応表!A:A,対応表!B:B)</f>
        <v>#N/A</v>
      </c>
      <c r="C620" s="3">
        <f>配列!C620</f>
        <v>0</v>
      </c>
      <c r="D620" s="3" t="str">
        <f>IF(配列!E620="",RIGHT(配列!D620&amp;配列!E620,4)&amp;"L",RIGHT(配列!D620&amp;配列!E620,5))</f>
        <v>L</v>
      </c>
      <c r="E620" s="3">
        <f t="shared" si="36"/>
        <v>0</v>
      </c>
      <c r="F620" s="3" t="e">
        <f>_xlfn.XLOOKUP(E620,セットアップレポート_紐づけ用!A:A,セットアップレポート_紐づけ用!J:J)</f>
        <v>#N/A</v>
      </c>
      <c r="G620" s="3" t="e">
        <f>_xlfn.XLOOKUP(E620,セットアップレポート_紐づけ用!A:A,セットアップレポート_紐づけ用!V:V)</f>
        <v>#N/A</v>
      </c>
      <c r="H620" s="3">
        <f t="shared" si="39"/>
        <v>-2</v>
      </c>
      <c r="I620" t="str">
        <f>IF(J620=0,"",IF(配列!E620="",マクロ実行!$A$16 &amp;" T"&amp;H620&amp;"-"&amp;RIGHT(配列!D620&amp;配列!E620,2),マクロ実行!$A$16 &amp;" T"&amp;H620&amp;"-"&amp;RIGHT(配列!D620&amp;配列!E620,3)))</f>
        <v/>
      </c>
      <c r="J620">
        <f>配列!F620</f>
        <v>0</v>
      </c>
      <c r="K620" s="2" t="e">
        <f>_xlfn.XLOOKUP(E620,セットアップレポート_紐づけ用!A:A,セットアップレポート_紐づけ用!R:R)</f>
        <v>#N/A</v>
      </c>
      <c r="L620" t="e">
        <f t="shared" si="37"/>
        <v>#N/A</v>
      </c>
      <c r="M620" t="e">
        <f>_xlfn.XLOOKUP(L620,EGPro!A:A,EGPro!D:D)</f>
        <v>#N/A</v>
      </c>
      <c r="N620" t="e">
        <f>_xlfn.XLOOKUP(L620,EGPro!A:A,EGPro!C:C)</f>
        <v>#N/A</v>
      </c>
      <c r="O620" t="e">
        <f t="shared" si="38"/>
        <v>#N/A</v>
      </c>
      <c r="P620" t="e">
        <f>_xlfn.XLOOKUP(O620,EGPro!A:A,EGPro!D:D)</f>
        <v>#N/A</v>
      </c>
      <c r="Q620" t="e">
        <f>_xlfn.XLOOKUP(O620,EGPro!A:A,EGPro!C:C)</f>
        <v>#N/A</v>
      </c>
    </row>
    <row r="621" spans="1:17" x14ac:dyDescent="0.45">
      <c r="A621" s="3">
        <f>配列!B621</f>
        <v>0</v>
      </c>
      <c r="B621" s="3" t="e">
        <f>_xlfn.XLOOKUP(A621,対応表!A:A,対応表!B:B)</f>
        <v>#N/A</v>
      </c>
      <c r="C621" s="3">
        <f>配列!C621</f>
        <v>0</v>
      </c>
      <c r="D621" s="3" t="str">
        <f>IF(配列!E621="",RIGHT(配列!D621&amp;配列!E621,4)&amp;"L",RIGHT(配列!D621&amp;配列!E621,5))</f>
        <v>L</v>
      </c>
      <c r="E621" s="3">
        <f t="shared" si="36"/>
        <v>0</v>
      </c>
      <c r="F621" s="3" t="e">
        <f>_xlfn.XLOOKUP(E621,セットアップレポート_紐づけ用!A:A,セットアップレポート_紐づけ用!J:J)</f>
        <v>#N/A</v>
      </c>
      <c r="G621" s="3" t="e">
        <f>_xlfn.XLOOKUP(E621,セットアップレポート_紐づけ用!A:A,セットアップレポート_紐づけ用!V:V)</f>
        <v>#N/A</v>
      </c>
      <c r="H621" s="3">
        <f t="shared" si="39"/>
        <v>-2</v>
      </c>
      <c r="I621" t="str">
        <f>IF(J621=0,"",IF(配列!E621="",マクロ実行!$A$16 &amp;" T"&amp;H621&amp;"-"&amp;RIGHT(配列!D621&amp;配列!E621,2),マクロ実行!$A$16 &amp;" T"&amp;H621&amp;"-"&amp;RIGHT(配列!D621&amp;配列!E621,3)))</f>
        <v/>
      </c>
      <c r="J621">
        <f>配列!F621</f>
        <v>0</v>
      </c>
      <c r="K621" s="2" t="e">
        <f>_xlfn.XLOOKUP(E621,セットアップレポート_紐づけ用!A:A,セットアップレポート_紐づけ用!R:R)</f>
        <v>#N/A</v>
      </c>
      <c r="L621" t="e">
        <f t="shared" si="37"/>
        <v>#N/A</v>
      </c>
      <c r="M621" t="e">
        <f>_xlfn.XLOOKUP(L621,EGPro!A:A,EGPro!D:D)</f>
        <v>#N/A</v>
      </c>
      <c r="N621" t="e">
        <f>_xlfn.XLOOKUP(L621,EGPro!A:A,EGPro!C:C)</f>
        <v>#N/A</v>
      </c>
      <c r="O621" t="e">
        <f t="shared" si="38"/>
        <v>#N/A</v>
      </c>
      <c r="P621" t="e">
        <f>_xlfn.XLOOKUP(O621,EGPro!A:A,EGPro!D:D)</f>
        <v>#N/A</v>
      </c>
      <c r="Q621" t="e">
        <f>_xlfn.XLOOKUP(O621,EGPro!A:A,EGPro!C:C)</f>
        <v>#N/A</v>
      </c>
    </row>
    <row r="622" spans="1:17" x14ac:dyDescent="0.45">
      <c r="A622" s="3">
        <f>配列!B622</f>
        <v>0</v>
      </c>
      <c r="B622" s="3" t="e">
        <f>_xlfn.XLOOKUP(A622,対応表!A:A,対応表!B:B)</f>
        <v>#N/A</v>
      </c>
      <c r="C622" s="3">
        <f>配列!C622</f>
        <v>0</v>
      </c>
      <c r="D622" s="3" t="str">
        <f>IF(配列!E622="",RIGHT(配列!D622&amp;配列!E622,4)&amp;"L",RIGHT(配列!D622&amp;配列!E622,5))</f>
        <v>L</v>
      </c>
      <c r="E622" s="3">
        <f t="shared" si="36"/>
        <v>0</v>
      </c>
      <c r="F622" s="3" t="e">
        <f>_xlfn.XLOOKUP(E622,セットアップレポート_紐づけ用!A:A,セットアップレポート_紐づけ用!J:J)</f>
        <v>#N/A</v>
      </c>
      <c r="G622" s="3" t="e">
        <f>_xlfn.XLOOKUP(E622,セットアップレポート_紐づけ用!A:A,セットアップレポート_紐づけ用!V:V)</f>
        <v>#N/A</v>
      </c>
      <c r="H622" s="3">
        <f t="shared" si="39"/>
        <v>-2</v>
      </c>
      <c r="I622" t="str">
        <f>IF(J622=0,"",IF(配列!E622="",マクロ実行!$A$16 &amp;" T"&amp;H622&amp;"-"&amp;RIGHT(配列!D622&amp;配列!E622,2),マクロ実行!$A$16 &amp;" T"&amp;H622&amp;"-"&amp;RIGHT(配列!D622&amp;配列!E622,3)))</f>
        <v/>
      </c>
      <c r="J622">
        <f>配列!F622</f>
        <v>0</v>
      </c>
      <c r="K622" s="2" t="e">
        <f>_xlfn.XLOOKUP(E622,セットアップレポート_紐づけ用!A:A,セットアップレポート_紐づけ用!R:R)</f>
        <v>#N/A</v>
      </c>
      <c r="L622" t="e">
        <f t="shared" si="37"/>
        <v>#N/A</v>
      </c>
      <c r="M622" t="e">
        <f>_xlfn.XLOOKUP(L622,EGPro!A:A,EGPro!D:D)</f>
        <v>#N/A</v>
      </c>
      <c r="N622" t="e">
        <f>_xlfn.XLOOKUP(L622,EGPro!A:A,EGPro!C:C)</f>
        <v>#N/A</v>
      </c>
      <c r="O622" t="e">
        <f t="shared" si="38"/>
        <v>#N/A</v>
      </c>
      <c r="P622" t="e">
        <f>_xlfn.XLOOKUP(O622,EGPro!A:A,EGPro!D:D)</f>
        <v>#N/A</v>
      </c>
      <c r="Q622" t="e">
        <f>_xlfn.XLOOKUP(O622,EGPro!A:A,EGPro!C:C)</f>
        <v>#N/A</v>
      </c>
    </row>
    <row r="623" spans="1:17" x14ac:dyDescent="0.45">
      <c r="A623" s="3">
        <f>配列!B623</f>
        <v>0</v>
      </c>
      <c r="B623" s="3" t="e">
        <f>_xlfn.XLOOKUP(A623,対応表!A:A,対応表!B:B)</f>
        <v>#N/A</v>
      </c>
      <c r="C623" s="3">
        <f>配列!C623</f>
        <v>0</v>
      </c>
      <c r="D623" s="3" t="str">
        <f>IF(配列!E623="",RIGHT(配列!D623&amp;配列!E623,4)&amp;"L",RIGHT(配列!D623&amp;配列!E623,5))</f>
        <v>L</v>
      </c>
      <c r="E623" s="3">
        <f t="shared" si="36"/>
        <v>0</v>
      </c>
      <c r="F623" s="3" t="e">
        <f>_xlfn.XLOOKUP(E623,セットアップレポート_紐づけ用!A:A,セットアップレポート_紐づけ用!J:J)</f>
        <v>#N/A</v>
      </c>
      <c r="G623" s="3" t="e">
        <f>_xlfn.XLOOKUP(E623,セットアップレポート_紐づけ用!A:A,セットアップレポート_紐づけ用!V:V)</f>
        <v>#N/A</v>
      </c>
      <c r="H623" s="3">
        <f t="shared" si="39"/>
        <v>-2</v>
      </c>
      <c r="I623" t="str">
        <f>IF(J623=0,"",IF(配列!E623="",マクロ実行!$A$16 &amp;" T"&amp;H623&amp;"-"&amp;RIGHT(配列!D623&amp;配列!E623,2),マクロ実行!$A$16 &amp;" T"&amp;H623&amp;"-"&amp;RIGHT(配列!D623&amp;配列!E623,3)))</f>
        <v/>
      </c>
      <c r="J623">
        <f>配列!F623</f>
        <v>0</v>
      </c>
      <c r="K623" s="2" t="e">
        <f>_xlfn.XLOOKUP(E623,セットアップレポート_紐づけ用!A:A,セットアップレポート_紐づけ用!R:R)</f>
        <v>#N/A</v>
      </c>
      <c r="L623" t="e">
        <f t="shared" si="37"/>
        <v>#N/A</v>
      </c>
      <c r="M623" t="e">
        <f>_xlfn.XLOOKUP(L623,EGPro!A:A,EGPro!D:D)</f>
        <v>#N/A</v>
      </c>
      <c r="N623" t="e">
        <f>_xlfn.XLOOKUP(L623,EGPro!A:A,EGPro!C:C)</f>
        <v>#N/A</v>
      </c>
      <c r="O623" t="e">
        <f t="shared" si="38"/>
        <v>#N/A</v>
      </c>
      <c r="P623" t="e">
        <f>_xlfn.XLOOKUP(O623,EGPro!A:A,EGPro!D:D)</f>
        <v>#N/A</v>
      </c>
      <c r="Q623" t="e">
        <f>_xlfn.XLOOKUP(O623,EGPro!A:A,EGPro!C:C)</f>
        <v>#N/A</v>
      </c>
    </row>
    <row r="624" spans="1:17" x14ac:dyDescent="0.45">
      <c r="A624" s="3">
        <f>配列!B624</f>
        <v>0</v>
      </c>
      <c r="B624" s="3" t="e">
        <f>_xlfn.XLOOKUP(A624,対応表!A:A,対応表!B:B)</f>
        <v>#N/A</v>
      </c>
      <c r="C624" s="3">
        <f>配列!C624</f>
        <v>0</v>
      </c>
      <c r="D624" s="3" t="str">
        <f>IF(配列!E624="",RIGHT(配列!D624&amp;配列!E624,4)&amp;"L",RIGHT(配列!D624&amp;配列!E624,5))</f>
        <v>L</v>
      </c>
      <c r="E624" s="3">
        <f t="shared" si="36"/>
        <v>0</v>
      </c>
      <c r="F624" s="3" t="e">
        <f>_xlfn.XLOOKUP(E624,セットアップレポート_紐づけ用!A:A,セットアップレポート_紐づけ用!J:J)</f>
        <v>#N/A</v>
      </c>
      <c r="G624" s="3" t="e">
        <f>_xlfn.XLOOKUP(E624,セットアップレポート_紐づけ用!A:A,セットアップレポート_紐づけ用!V:V)</f>
        <v>#N/A</v>
      </c>
      <c r="H624" s="3">
        <f t="shared" si="39"/>
        <v>-2</v>
      </c>
      <c r="I624" t="str">
        <f>IF(J624=0,"",IF(配列!E624="",マクロ実行!$A$16 &amp;" T"&amp;H624&amp;"-"&amp;RIGHT(配列!D624&amp;配列!E624,2),マクロ実行!$A$16 &amp;" T"&amp;H624&amp;"-"&amp;RIGHT(配列!D624&amp;配列!E624,3)))</f>
        <v/>
      </c>
      <c r="J624">
        <f>配列!F624</f>
        <v>0</v>
      </c>
      <c r="K624" s="2" t="e">
        <f>_xlfn.XLOOKUP(E624,セットアップレポート_紐づけ用!A:A,セットアップレポート_紐づけ用!R:R)</f>
        <v>#N/A</v>
      </c>
      <c r="L624" t="e">
        <f t="shared" si="37"/>
        <v>#N/A</v>
      </c>
      <c r="M624" t="e">
        <f>_xlfn.XLOOKUP(L624,EGPro!A:A,EGPro!D:D)</f>
        <v>#N/A</v>
      </c>
      <c r="N624" t="e">
        <f>_xlfn.XLOOKUP(L624,EGPro!A:A,EGPro!C:C)</f>
        <v>#N/A</v>
      </c>
      <c r="O624" t="e">
        <f t="shared" si="38"/>
        <v>#N/A</v>
      </c>
      <c r="P624" t="e">
        <f>_xlfn.XLOOKUP(O624,EGPro!A:A,EGPro!D:D)</f>
        <v>#N/A</v>
      </c>
      <c r="Q624" t="e">
        <f>_xlfn.XLOOKUP(O624,EGPro!A:A,EGPro!C:C)</f>
        <v>#N/A</v>
      </c>
    </row>
    <row r="625" spans="1:17" x14ac:dyDescent="0.45">
      <c r="A625" s="3">
        <f>配列!B625</f>
        <v>0</v>
      </c>
      <c r="B625" s="3" t="e">
        <f>_xlfn.XLOOKUP(A625,対応表!A:A,対応表!B:B)</f>
        <v>#N/A</v>
      </c>
      <c r="C625" s="3">
        <f>配列!C625</f>
        <v>0</v>
      </c>
      <c r="D625" s="3" t="str">
        <f>IF(配列!E625="",RIGHT(配列!D625&amp;配列!E625,4)&amp;"L",RIGHT(配列!D625&amp;配列!E625,5))</f>
        <v>L</v>
      </c>
      <c r="E625" s="3">
        <f t="shared" si="36"/>
        <v>0</v>
      </c>
      <c r="F625" s="3" t="e">
        <f>_xlfn.XLOOKUP(E625,セットアップレポート_紐づけ用!A:A,セットアップレポート_紐づけ用!J:J)</f>
        <v>#N/A</v>
      </c>
      <c r="G625" s="3" t="e">
        <f>_xlfn.XLOOKUP(E625,セットアップレポート_紐づけ用!A:A,セットアップレポート_紐づけ用!V:V)</f>
        <v>#N/A</v>
      </c>
      <c r="H625" s="3">
        <f t="shared" si="39"/>
        <v>-2</v>
      </c>
      <c r="I625" t="str">
        <f>IF(J625=0,"",IF(配列!E625="",マクロ実行!$A$16 &amp;" T"&amp;H625&amp;"-"&amp;RIGHT(配列!D625&amp;配列!E625,2),マクロ実行!$A$16 &amp;" T"&amp;H625&amp;"-"&amp;RIGHT(配列!D625&amp;配列!E625,3)))</f>
        <v/>
      </c>
      <c r="J625">
        <f>配列!F625</f>
        <v>0</v>
      </c>
      <c r="K625" s="2" t="e">
        <f>_xlfn.XLOOKUP(E625,セットアップレポート_紐づけ用!A:A,セットアップレポート_紐づけ用!R:R)</f>
        <v>#N/A</v>
      </c>
      <c r="L625" t="e">
        <f t="shared" si="37"/>
        <v>#N/A</v>
      </c>
      <c r="M625" t="e">
        <f>_xlfn.XLOOKUP(L625,EGPro!A:A,EGPro!D:D)</f>
        <v>#N/A</v>
      </c>
      <c r="N625" t="e">
        <f>_xlfn.XLOOKUP(L625,EGPro!A:A,EGPro!C:C)</f>
        <v>#N/A</v>
      </c>
      <c r="O625" t="e">
        <f t="shared" si="38"/>
        <v>#N/A</v>
      </c>
      <c r="P625" t="e">
        <f>_xlfn.XLOOKUP(O625,EGPro!A:A,EGPro!D:D)</f>
        <v>#N/A</v>
      </c>
      <c r="Q625" t="e">
        <f>_xlfn.XLOOKUP(O625,EGPro!A:A,EGPro!C:C)</f>
        <v>#N/A</v>
      </c>
    </row>
    <row r="626" spans="1:17" x14ac:dyDescent="0.45">
      <c r="A626" s="3">
        <f>配列!B626</f>
        <v>0</v>
      </c>
      <c r="B626" s="3" t="e">
        <f>_xlfn.XLOOKUP(A626,対応表!A:A,対応表!B:B)</f>
        <v>#N/A</v>
      </c>
      <c r="C626" s="3">
        <f>配列!C626</f>
        <v>0</v>
      </c>
      <c r="D626" s="3" t="str">
        <f>IF(配列!E626="",RIGHT(配列!D626&amp;配列!E626,4)&amp;"L",RIGHT(配列!D626&amp;配列!E626,5))</f>
        <v>L</v>
      </c>
      <c r="E626" s="3">
        <f t="shared" si="36"/>
        <v>0</v>
      </c>
      <c r="F626" s="3" t="e">
        <f>_xlfn.XLOOKUP(E626,セットアップレポート_紐づけ用!A:A,セットアップレポート_紐づけ用!J:J)</f>
        <v>#N/A</v>
      </c>
      <c r="G626" s="3" t="e">
        <f>_xlfn.XLOOKUP(E626,セットアップレポート_紐づけ用!A:A,セットアップレポート_紐づけ用!V:V)</f>
        <v>#N/A</v>
      </c>
      <c r="H626" s="3">
        <f t="shared" si="39"/>
        <v>-2</v>
      </c>
      <c r="I626" t="str">
        <f>IF(J626=0,"",IF(配列!E626="",マクロ実行!$A$16 &amp;" T"&amp;H626&amp;"-"&amp;RIGHT(配列!D626&amp;配列!E626,2),マクロ実行!$A$16 &amp;" T"&amp;H626&amp;"-"&amp;RIGHT(配列!D626&amp;配列!E626,3)))</f>
        <v/>
      </c>
      <c r="J626">
        <f>配列!F626</f>
        <v>0</v>
      </c>
      <c r="K626" s="2" t="e">
        <f>_xlfn.XLOOKUP(E626,セットアップレポート_紐づけ用!A:A,セットアップレポート_紐づけ用!R:R)</f>
        <v>#N/A</v>
      </c>
      <c r="L626" t="e">
        <f t="shared" si="37"/>
        <v>#N/A</v>
      </c>
      <c r="M626" t="e">
        <f>_xlfn.XLOOKUP(L626,EGPro!A:A,EGPro!D:D)</f>
        <v>#N/A</v>
      </c>
      <c r="N626" t="e">
        <f>_xlfn.XLOOKUP(L626,EGPro!A:A,EGPro!C:C)</f>
        <v>#N/A</v>
      </c>
      <c r="O626" t="e">
        <f t="shared" si="38"/>
        <v>#N/A</v>
      </c>
      <c r="P626" t="e">
        <f>_xlfn.XLOOKUP(O626,EGPro!A:A,EGPro!D:D)</f>
        <v>#N/A</v>
      </c>
      <c r="Q626" t="e">
        <f>_xlfn.XLOOKUP(O626,EGPro!A:A,EGPro!C:C)</f>
        <v>#N/A</v>
      </c>
    </row>
    <row r="627" spans="1:17" x14ac:dyDescent="0.45">
      <c r="A627" s="3">
        <f>配列!B627</f>
        <v>0</v>
      </c>
      <c r="B627" s="3" t="e">
        <f>_xlfn.XLOOKUP(A627,対応表!A:A,対応表!B:B)</f>
        <v>#N/A</v>
      </c>
      <c r="C627" s="3">
        <f>配列!C627</f>
        <v>0</v>
      </c>
      <c r="D627" s="3" t="str">
        <f>IF(配列!E627="",RIGHT(配列!D627&amp;配列!E627,4)&amp;"L",RIGHT(配列!D627&amp;配列!E627,5))</f>
        <v>L</v>
      </c>
      <c r="E627" s="3">
        <f t="shared" si="36"/>
        <v>0</v>
      </c>
      <c r="F627" s="3" t="e">
        <f>_xlfn.XLOOKUP(E627,セットアップレポート_紐づけ用!A:A,セットアップレポート_紐づけ用!J:J)</f>
        <v>#N/A</v>
      </c>
      <c r="G627" s="3" t="e">
        <f>_xlfn.XLOOKUP(E627,セットアップレポート_紐づけ用!A:A,セットアップレポート_紐づけ用!V:V)</f>
        <v>#N/A</v>
      </c>
      <c r="H627" s="3">
        <f t="shared" si="39"/>
        <v>-2</v>
      </c>
      <c r="I627" t="str">
        <f>IF(J627=0,"",IF(配列!E627="",マクロ実行!$A$16 &amp;" T"&amp;H627&amp;"-"&amp;RIGHT(配列!D627&amp;配列!E627,2),マクロ実行!$A$16 &amp;" T"&amp;H627&amp;"-"&amp;RIGHT(配列!D627&amp;配列!E627,3)))</f>
        <v/>
      </c>
      <c r="J627">
        <f>配列!F627</f>
        <v>0</v>
      </c>
      <c r="K627" s="2" t="e">
        <f>_xlfn.XLOOKUP(E627,セットアップレポート_紐づけ用!A:A,セットアップレポート_紐づけ用!R:R)</f>
        <v>#N/A</v>
      </c>
      <c r="L627" t="e">
        <f t="shared" si="37"/>
        <v>#N/A</v>
      </c>
      <c r="M627" t="e">
        <f>_xlfn.XLOOKUP(L627,EGPro!A:A,EGPro!D:D)</f>
        <v>#N/A</v>
      </c>
      <c r="N627" t="e">
        <f>_xlfn.XLOOKUP(L627,EGPro!A:A,EGPro!C:C)</f>
        <v>#N/A</v>
      </c>
      <c r="O627" t="e">
        <f t="shared" si="38"/>
        <v>#N/A</v>
      </c>
      <c r="P627" t="e">
        <f>_xlfn.XLOOKUP(O627,EGPro!A:A,EGPro!D:D)</f>
        <v>#N/A</v>
      </c>
      <c r="Q627" t="e">
        <f>_xlfn.XLOOKUP(O627,EGPro!A:A,EGPro!C:C)</f>
        <v>#N/A</v>
      </c>
    </row>
    <row r="628" spans="1:17" x14ac:dyDescent="0.45">
      <c r="A628" s="3">
        <f>配列!B628</f>
        <v>0</v>
      </c>
      <c r="B628" s="3" t="e">
        <f>_xlfn.XLOOKUP(A628,対応表!A:A,対応表!B:B)</f>
        <v>#N/A</v>
      </c>
      <c r="C628" s="3">
        <f>配列!C628</f>
        <v>0</v>
      </c>
      <c r="D628" s="3" t="str">
        <f>IF(配列!E628="",RIGHT(配列!D628&amp;配列!E628,4)&amp;"L",RIGHT(配列!D628&amp;配列!E628,5))</f>
        <v>L</v>
      </c>
      <c r="E628" s="3">
        <f t="shared" si="36"/>
        <v>0</v>
      </c>
      <c r="F628" s="3" t="e">
        <f>_xlfn.XLOOKUP(E628,セットアップレポート_紐づけ用!A:A,セットアップレポート_紐づけ用!J:J)</f>
        <v>#N/A</v>
      </c>
      <c r="G628" s="3" t="e">
        <f>_xlfn.XLOOKUP(E628,セットアップレポート_紐づけ用!A:A,セットアップレポート_紐づけ用!V:V)</f>
        <v>#N/A</v>
      </c>
      <c r="H628" s="3">
        <f t="shared" si="39"/>
        <v>-2</v>
      </c>
      <c r="I628" t="str">
        <f>IF(J628=0,"",IF(配列!E628="",マクロ実行!$A$16 &amp;" T"&amp;H628&amp;"-"&amp;RIGHT(配列!D628&amp;配列!E628,2),マクロ実行!$A$16 &amp;" T"&amp;H628&amp;"-"&amp;RIGHT(配列!D628&amp;配列!E628,3)))</f>
        <v/>
      </c>
      <c r="J628">
        <f>配列!F628</f>
        <v>0</v>
      </c>
      <c r="K628" s="2" t="e">
        <f>_xlfn.XLOOKUP(E628,セットアップレポート_紐づけ用!A:A,セットアップレポート_紐づけ用!R:R)</f>
        <v>#N/A</v>
      </c>
      <c r="L628" t="e">
        <f t="shared" si="37"/>
        <v>#N/A</v>
      </c>
      <c r="M628" t="e">
        <f>_xlfn.XLOOKUP(L628,EGPro!A:A,EGPro!D:D)</f>
        <v>#N/A</v>
      </c>
      <c r="N628" t="e">
        <f>_xlfn.XLOOKUP(L628,EGPro!A:A,EGPro!C:C)</f>
        <v>#N/A</v>
      </c>
      <c r="O628" t="e">
        <f t="shared" si="38"/>
        <v>#N/A</v>
      </c>
      <c r="P628" t="e">
        <f>_xlfn.XLOOKUP(O628,EGPro!A:A,EGPro!D:D)</f>
        <v>#N/A</v>
      </c>
      <c r="Q628" t="e">
        <f>_xlfn.XLOOKUP(O628,EGPro!A:A,EGPro!C:C)</f>
        <v>#N/A</v>
      </c>
    </row>
    <row r="629" spans="1:17" x14ac:dyDescent="0.45">
      <c r="A629" s="3">
        <f>配列!B629</f>
        <v>0</v>
      </c>
      <c r="B629" s="3" t="e">
        <f>_xlfn.XLOOKUP(A629,対応表!A:A,対応表!B:B)</f>
        <v>#N/A</v>
      </c>
      <c r="C629" s="3">
        <f>配列!C629</f>
        <v>0</v>
      </c>
      <c r="D629" s="3" t="str">
        <f>IF(配列!E629="",RIGHT(配列!D629&amp;配列!E629,4)&amp;"L",RIGHT(配列!D629&amp;配列!E629,5))</f>
        <v>L</v>
      </c>
      <c r="E629" s="3">
        <f t="shared" si="36"/>
        <v>0</v>
      </c>
      <c r="F629" s="3" t="e">
        <f>_xlfn.XLOOKUP(E629,セットアップレポート_紐づけ用!A:A,セットアップレポート_紐づけ用!J:J)</f>
        <v>#N/A</v>
      </c>
      <c r="G629" s="3" t="e">
        <f>_xlfn.XLOOKUP(E629,セットアップレポート_紐づけ用!A:A,セットアップレポート_紐づけ用!V:V)</f>
        <v>#N/A</v>
      </c>
      <c r="H629" s="3">
        <f t="shared" si="39"/>
        <v>-2</v>
      </c>
      <c r="I629" t="str">
        <f>IF(J629=0,"",IF(配列!E629="",マクロ実行!$A$16 &amp;" T"&amp;H629&amp;"-"&amp;RIGHT(配列!D629&amp;配列!E629,2),マクロ実行!$A$16 &amp;" T"&amp;H629&amp;"-"&amp;RIGHT(配列!D629&amp;配列!E629,3)))</f>
        <v/>
      </c>
      <c r="J629">
        <f>配列!F629</f>
        <v>0</v>
      </c>
      <c r="K629" s="2" t="e">
        <f>_xlfn.XLOOKUP(E629,セットアップレポート_紐づけ用!A:A,セットアップレポート_紐づけ用!R:R)</f>
        <v>#N/A</v>
      </c>
      <c r="L629" t="e">
        <f t="shared" si="37"/>
        <v>#N/A</v>
      </c>
      <c r="M629" t="e">
        <f>_xlfn.XLOOKUP(L629,EGPro!A:A,EGPro!D:D)</f>
        <v>#N/A</v>
      </c>
      <c r="N629" t="e">
        <f>_xlfn.XLOOKUP(L629,EGPro!A:A,EGPro!C:C)</f>
        <v>#N/A</v>
      </c>
      <c r="O629" t="e">
        <f t="shared" si="38"/>
        <v>#N/A</v>
      </c>
      <c r="P629" t="e">
        <f>_xlfn.XLOOKUP(O629,EGPro!A:A,EGPro!D:D)</f>
        <v>#N/A</v>
      </c>
      <c r="Q629" t="e">
        <f>_xlfn.XLOOKUP(O629,EGPro!A:A,EGPro!C:C)</f>
        <v>#N/A</v>
      </c>
    </row>
    <row r="630" spans="1:17" x14ac:dyDescent="0.45">
      <c r="A630" s="3">
        <f>配列!B630</f>
        <v>0</v>
      </c>
      <c r="B630" s="3" t="e">
        <f>_xlfn.XLOOKUP(A630,対応表!A:A,対応表!B:B)</f>
        <v>#N/A</v>
      </c>
      <c r="C630" s="3">
        <f>配列!C630</f>
        <v>0</v>
      </c>
      <c r="D630" s="3" t="str">
        <f>IF(配列!E630="",RIGHT(配列!D630&amp;配列!E630,4)&amp;"L",RIGHT(配列!D630&amp;配列!E630,5))</f>
        <v>L</v>
      </c>
      <c r="E630" s="3">
        <f t="shared" si="36"/>
        <v>0</v>
      </c>
      <c r="F630" s="3" t="e">
        <f>_xlfn.XLOOKUP(E630,セットアップレポート_紐づけ用!A:A,セットアップレポート_紐づけ用!J:J)</f>
        <v>#N/A</v>
      </c>
      <c r="G630" s="3" t="e">
        <f>_xlfn.XLOOKUP(E630,セットアップレポート_紐づけ用!A:A,セットアップレポート_紐づけ用!V:V)</f>
        <v>#N/A</v>
      </c>
      <c r="H630" s="3">
        <f t="shared" si="39"/>
        <v>-2</v>
      </c>
      <c r="I630" t="str">
        <f>IF(J630=0,"",IF(配列!E630="",マクロ実行!$A$16 &amp;" T"&amp;H630&amp;"-"&amp;RIGHT(配列!D630&amp;配列!E630,2),マクロ実行!$A$16 &amp;" T"&amp;H630&amp;"-"&amp;RIGHT(配列!D630&amp;配列!E630,3)))</f>
        <v/>
      </c>
      <c r="J630">
        <f>配列!F630</f>
        <v>0</v>
      </c>
      <c r="K630" s="2" t="e">
        <f>_xlfn.XLOOKUP(E630,セットアップレポート_紐づけ用!A:A,セットアップレポート_紐づけ用!R:R)</f>
        <v>#N/A</v>
      </c>
      <c r="L630" t="e">
        <f t="shared" si="37"/>
        <v>#N/A</v>
      </c>
      <c r="M630" t="e">
        <f>_xlfn.XLOOKUP(L630,EGPro!A:A,EGPro!D:D)</f>
        <v>#N/A</v>
      </c>
      <c r="N630" t="e">
        <f>_xlfn.XLOOKUP(L630,EGPro!A:A,EGPro!C:C)</f>
        <v>#N/A</v>
      </c>
      <c r="O630" t="e">
        <f t="shared" si="38"/>
        <v>#N/A</v>
      </c>
      <c r="P630" t="e">
        <f>_xlfn.XLOOKUP(O630,EGPro!A:A,EGPro!D:D)</f>
        <v>#N/A</v>
      </c>
      <c r="Q630" t="e">
        <f>_xlfn.XLOOKUP(O630,EGPro!A:A,EGPro!C:C)</f>
        <v>#N/A</v>
      </c>
    </row>
    <row r="631" spans="1:17" x14ac:dyDescent="0.45">
      <c r="A631" s="3">
        <f>配列!B631</f>
        <v>0</v>
      </c>
      <c r="B631" s="3" t="e">
        <f>_xlfn.XLOOKUP(A631,対応表!A:A,対応表!B:B)</f>
        <v>#N/A</v>
      </c>
      <c r="C631" s="3">
        <f>配列!C631</f>
        <v>0</v>
      </c>
      <c r="D631" s="3" t="str">
        <f>IF(配列!E631="",RIGHT(配列!D631&amp;配列!E631,4)&amp;"L",RIGHT(配列!D631&amp;配列!E631,5))</f>
        <v>L</v>
      </c>
      <c r="E631" s="3">
        <f t="shared" si="36"/>
        <v>0</v>
      </c>
      <c r="F631" s="3" t="e">
        <f>_xlfn.XLOOKUP(E631,セットアップレポート_紐づけ用!A:A,セットアップレポート_紐づけ用!J:J)</f>
        <v>#N/A</v>
      </c>
      <c r="G631" s="3" t="e">
        <f>_xlfn.XLOOKUP(E631,セットアップレポート_紐づけ用!A:A,セットアップレポート_紐づけ用!V:V)</f>
        <v>#N/A</v>
      </c>
      <c r="H631" s="3">
        <f t="shared" si="39"/>
        <v>-2</v>
      </c>
      <c r="I631" t="str">
        <f>IF(J631=0,"",IF(配列!E631="",マクロ実行!$A$16 &amp;" T"&amp;H631&amp;"-"&amp;RIGHT(配列!D631&amp;配列!E631,2),マクロ実行!$A$16 &amp;" T"&amp;H631&amp;"-"&amp;RIGHT(配列!D631&amp;配列!E631,3)))</f>
        <v/>
      </c>
      <c r="J631">
        <f>配列!F631</f>
        <v>0</v>
      </c>
      <c r="K631" s="2" t="e">
        <f>_xlfn.XLOOKUP(E631,セットアップレポート_紐づけ用!A:A,セットアップレポート_紐づけ用!R:R)</f>
        <v>#N/A</v>
      </c>
      <c r="L631" t="e">
        <f t="shared" si="37"/>
        <v>#N/A</v>
      </c>
      <c r="M631" t="e">
        <f>_xlfn.XLOOKUP(L631,EGPro!A:A,EGPro!D:D)</f>
        <v>#N/A</v>
      </c>
      <c r="N631" t="e">
        <f>_xlfn.XLOOKUP(L631,EGPro!A:A,EGPro!C:C)</f>
        <v>#N/A</v>
      </c>
      <c r="O631" t="e">
        <f t="shared" si="38"/>
        <v>#N/A</v>
      </c>
      <c r="P631" t="e">
        <f>_xlfn.XLOOKUP(O631,EGPro!A:A,EGPro!D:D)</f>
        <v>#N/A</v>
      </c>
      <c r="Q631" t="e">
        <f>_xlfn.XLOOKUP(O631,EGPro!A:A,EGPro!C:C)</f>
        <v>#N/A</v>
      </c>
    </row>
    <row r="632" spans="1:17" x14ac:dyDescent="0.45">
      <c r="A632" s="3">
        <f>配列!B632</f>
        <v>0</v>
      </c>
      <c r="B632" s="3" t="e">
        <f>_xlfn.XLOOKUP(A632,対応表!A:A,対応表!B:B)</f>
        <v>#N/A</v>
      </c>
      <c r="C632" s="3">
        <f>配列!C632</f>
        <v>0</v>
      </c>
      <c r="D632" s="3" t="str">
        <f>IF(配列!E632="",RIGHT(配列!D632&amp;配列!E632,4)&amp;"L",RIGHT(配列!D632&amp;配列!E632,5))</f>
        <v>L</v>
      </c>
      <c r="E632" s="3">
        <f t="shared" si="36"/>
        <v>0</v>
      </c>
      <c r="F632" s="3" t="e">
        <f>_xlfn.XLOOKUP(E632,セットアップレポート_紐づけ用!A:A,セットアップレポート_紐づけ用!J:J)</f>
        <v>#N/A</v>
      </c>
      <c r="G632" s="3" t="e">
        <f>_xlfn.XLOOKUP(E632,セットアップレポート_紐づけ用!A:A,セットアップレポート_紐づけ用!V:V)</f>
        <v>#N/A</v>
      </c>
      <c r="H632" s="3">
        <f t="shared" si="39"/>
        <v>-2</v>
      </c>
      <c r="I632" t="str">
        <f>IF(J632=0,"",IF(配列!E632="",マクロ実行!$A$16 &amp;" T"&amp;H632&amp;"-"&amp;RIGHT(配列!D632&amp;配列!E632,2),マクロ実行!$A$16 &amp;" T"&amp;H632&amp;"-"&amp;RIGHT(配列!D632&amp;配列!E632,3)))</f>
        <v/>
      </c>
      <c r="J632">
        <f>配列!F632</f>
        <v>0</v>
      </c>
      <c r="K632" s="2" t="e">
        <f>_xlfn.XLOOKUP(E632,セットアップレポート_紐づけ用!A:A,セットアップレポート_紐づけ用!R:R)</f>
        <v>#N/A</v>
      </c>
      <c r="L632" t="e">
        <f t="shared" si="37"/>
        <v>#N/A</v>
      </c>
      <c r="M632" t="e">
        <f>_xlfn.XLOOKUP(L632,EGPro!A:A,EGPro!D:D)</f>
        <v>#N/A</v>
      </c>
      <c r="N632" t="e">
        <f>_xlfn.XLOOKUP(L632,EGPro!A:A,EGPro!C:C)</f>
        <v>#N/A</v>
      </c>
      <c r="O632" t="e">
        <f t="shared" si="38"/>
        <v>#N/A</v>
      </c>
      <c r="P632" t="e">
        <f>_xlfn.XLOOKUP(O632,EGPro!A:A,EGPro!D:D)</f>
        <v>#N/A</v>
      </c>
      <c r="Q632" t="e">
        <f>_xlfn.XLOOKUP(O632,EGPro!A:A,EGPro!C:C)</f>
        <v>#N/A</v>
      </c>
    </row>
    <row r="633" spans="1:17" x14ac:dyDescent="0.45">
      <c r="A633" s="3">
        <f>配列!B633</f>
        <v>0</v>
      </c>
      <c r="B633" s="3" t="e">
        <f>_xlfn.XLOOKUP(A633,対応表!A:A,対応表!B:B)</f>
        <v>#N/A</v>
      </c>
      <c r="C633" s="3">
        <f>配列!C633</f>
        <v>0</v>
      </c>
      <c r="D633" s="3" t="str">
        <f>IF(配列!E633="",RIGHT(配列!D633&amp;配列!E633,4)&amp;"L",RIGHT(配列!D633&amp;配列!E633,5))</f>
        <v>L</v>
      </c>
      <c r="E633" s="3">
        <f t="shared" si="36"/>
        <v>0</v>
      </c>
      <c r="F633" s="3" t="e">
        <f>_xlfn.XLOOKUP(E633,セットアップレポート_紐づけ用!A:A,セットアップレポート_紐づけ用!J:J)</f>
        <v>#N/A</v>
      </c>
      <c r="G633" s="3" t="e">
        <f>_xlfn.XLOOKUP(E633,セットアップレポート_紐づけ用!A:A,セットアップレポート_紐づけ用!V:V)</f>
        <v>#N/A</v>
      </c>
      <c r="H633" s="3">
        <f t="shared" si="39"/>
        <v>-2</v>
      </c>
      <c r="I633" t="str">
        <f>IF(J633=0,"",IF(配列!E633="",マクロ実行!$A$16 &amp;" T"&amp;H633&amp;"-"&amp;RIGHT(配列!D633&amp;配列!E633,2),マクロ実行!$A$16 &amp;" T"&amp;H633&amp;"-"&amp;RIGHT(配列!D633&amp;配列!E633,3)))</f>
        <v/>
      </c>
      <c r="J633">
        <f>配列!F633</f>
        <v>0</v>
      </c>
      <c r="K633" s="2" t="e">
        <f>_xlfn.XLOOKUP(E633,セットアップレポート_紐づけ用!A:A,セットアップレポート_紐づけ用!R:R)</f>
        <v>#N/A</v>
      </c>
      <c r="L633" t="e">
        <f t="shared" si="37"/>
        <v>#N/A</v>
      </c>
      <c r="M633" t="e">
        <f>_xlfn.XLOOKUP(L633,EGPro!A:A,EGPro!D:D)</f>
        <v>#N/A</v>
      </c>
      <c r="N633" t="e">
        <f>_xlfn.XLOOKUP(L633,EGPro!A:A,EGPro!C:C)</f>
        <v>#N/A</v>
      </c>
      <c r="O633" t="e">
        <f t="shared" si="38"/>
        <v>#N/A</v>
      </c>
      <c r="P633" t="e">
        <f>_xlfn.XLOOKUP(O633,EGPro!A:A,EGPro!D:D)</f>
        <v>#N/A</v>
      </c>
      <c r="Q633" t="e">
        <f>_xlfn.XLOOKUP(O633,EGPro!A:A,EGPro!C:C)</f>
        <v>#N/A</v>
      </c>
    </row>
    <row r="634" spans="1:17" x14ac:dyDescent="0.45">
      <c r="A634" s="3">
        <f>配列!B634</f>
        <v>0</v>
      </c>
      <c r="B634" s="3" t="e">
        <f>_xlfn.XLOOKUP(A634,対応表!A:A,対応表!B:B)</f>
        <v>#N/A</v>
      </c>
      <c r="C634" s="3">
        <f>配列!C634</f>
        <v>0</v>
      </c>
      <c r="D634" s="3" t="str">
        <f>IF(配列!E634="",RIGHT(配列!D634&amp;配列!E634,4)&amp;"L",RIGHT(配列!D634&amp;配列!E634,5))</f>
        <v>L</v>
      </c>
      <c r="E634" s="3">
        <f t="shared" si="36"/>
        <v>0</v>
      </c>
      <c r="F634" s="3" t="e">
        <f>_xlfn.XLOOKUP(E634,セットアップレポート_紐づけ用!A:A,セットアップレポート_紐づけ用!J:J)</f>
        <v>#N/A</v>
      </c>
      <c r="G634" s="3" t="e">
        <f>_xlfn.XLOOKUP(E634,セットアップレポート_紐づけ用!A:A,セットアップレポート_紐づけ用!V:V)</f>
        <v>#N/A</v>
      </c>
      <c r="H634" s="3">
        <f t="shared" si="39"/>
        <v>-2</v>
      </c>
      <c r="I634" t="str">
        <f>IF(J634=0,"",IF(配列!E634="",マクロ実行!$A$16 &amp;" T"&amp;H634&amp;"-"&amp;RIGHT(配列!D634&amp;配列!E634,2),マクロ実行!$A$16 &amp;" T"&amp;H634&amp;"-"&amp;RIGHT(配列!D634&amp;配列!E634,3)))</f>
        <v/>
      </c>
      <c r="J634">
        <f>配列!F634</f>
        <v>0</v>
      </c>
      <c r="K634" s="2" t="e">
        <f>_xlfn.XLOOKUP(E634,セットアップレポート_紐づけ用!A:A,セットアップレポート_紐づけ用!R:R)</f>
        <v>#N/A</v>
      </c>
      <c r="L634" t="e">
        <f t="shared" si="37"/>
        <v>#N/A</v>
      </c>
      <c r="M634" t="e">
        <f>_xlfn.XLOOKUP(L634,EGPro!A:A,EGPro!D:D)</f>
        <v>#N/A</v>
      </c>
      <c r="N634" t="e">
        <f>_xlfn.XLOOKUP(L634,EGPro!A:A,EGPro!C:C)</f>
        <v>#N/A</v>
      </c>
      <c r="O634" t="e">
        <f t="shared" si="38"/>
        <v>#N/A</v>
      </c>
      <c r="P634" t="e">
        <f>_xlfn.XLOOKUP(O634,EGPro!A:A,EGPro!D:D)</f>
        <v>#N/A</v>
      </c>
      <c r="Q634" t="e">
        <f>_xlfn.XLOOKUP(O634,EGPro!A:A,EGPro!C:C)</f>
        <v>#N/A</v>
      </c>
    </row>
    <row r="635" spans="1:17" x14ac:dyDescent="0.45">
      <c r="A635" s="3">
        <f>配列!B635</f>
        <v>0</v>
      </c>
      <c r="B635" s="3" t="e">
        <f>_xlfn.XLOOKUP(A635,対応表!A:A,対応表!B:B)</f>
        <v>#N/A</v>
      </c>
      <c r="C635" s="3">
        <f>配列!C635</f>
        <v>0</v>
      </c>
      <c r="D635" s="3" t="str">
        <f>IF(配列!E635="",RIGHT(配列!D635&amp;配列!E635,4)&amp;"L",RIGHT(配列!D635&amp;配列!E635,5))</f>
        <v>L</v>
      </c>
      <c r="E635" s="3">
        <f t="shared" si="36"/>
        <v>0</v>
      </c>
      <c r="F635" s="3" t="e">
        <f>_xlfn.XLOOKUP(E635,セットアップレポート_紐づけ用!A:A,セットアップレポート_紐づけ用!J:J)</f>
        <v>#N/A</v>
      </c>
      <c r="G635" s="3" t="e">
        <f>_xlfn.XLOOKUP(E635,セットアップレポート_紐づけ用!A:A,セットアップレポート_紐づけ用!V:V)</f>
        <v>#N/A</v>
      </c>
      <c r="H635" s="3">
        <f t="shared" si="39"/>
        <v>-2</v>
      </c>
      <c r="I635" t="str">
        <f>IF(J635=0,"",IF(配列!E635="",マクロ実行!$A$16 &amp;" T"&amp;H635&amp;"-"&amp;RIGHT(配列!D635&amp;配列!E635,2),マクロ実行!$A$16 &amp;" T"&amp;H635&amp;"-"&amp;RIGHT(配列!D635&amp;配列!E635,3)))</f>
        <v/>
      </c>
      <c r="J635">
        <f>配列!F635</f>
        <v>0</v>
      </c>
      <c r="K635" s="2" t="e">
        <f>_xlfn.XLOOKUP(E635,セットアップレポート_紐づけ用!A:A,セットアップレポート_紐づけ用!R:R)</f>
        <v>#N/A</v>
      </c>
      <c r="L635" t="e">
        <f t="shared" si="37"/>
        <v>#N/A</v>
      </c>
      <c r="M635" t="e">
        <f>_xlfn.XLOOKUP(L635,EGPro!A:A,EGPro!D:D)</f>
        <v>#N/A</v>
      </c>
      <c r="N635" t="e">
        <f>_xlfn.XLOOKUP(L635,EGPro!A:A,EGPro!C:C)</f>
        <v>#N/A</v>
      </c>
      <c r="O635" t="e">
        <f t="shared" si="38"/>
        <v>#N/A</v>
      </c>
      <c r="P635" t="e">
        <f>_xlfn.XLOOKUP(O635,EGPro!A:A,EGPro!D:D)</f>
        <v>#N/A</v>
      </c>
      <c r="Q635" t="e">
        <f>_xlfn.XLOOKUP(O635,EGPro!A:A,EGPro!C:C)</f>
        <v>#N/A</v>
      </c>
    </row>
    <row r="636" spans="1:17" x14ac:dyDescent="0.45">
      <c r="A636" s="3">
        <f>配列!B636</f>
        <v>0</v>
      </c>
      <c r="B636" s="3" t="e">
        <f>_xlfn.XLOOKUP(A636,対応表!A:A,対応表!B:B)</f>
        <v>#N/A</v>
      </c>
      <c r="C636" s="3">
        <f>配列!C636</f>
        <v>0</v>
      </c>
      <c r="D636" s="3" t="str">
        <f>IF(配列!E636="",RIGHT(配列!D636&amp;配列!E636,4)&amp;"L",RIGHT(配列!D636&amp;配列!E636,5))</f>
        <v>L</v>
      </c>
      <c r="E636" s="3">
        <f t="shared" si="36"/>
        <v>0</v>
      </c>
      <c r="F636" s="3" t="e">
        <f>_xlfn.XLOOKUP(E636,セットアップレポート_紐づけ用!A:A,セットアップレポート_紐づけ用!J:J)</f>
        <v>#N/A</v>
      </c>
      <c r="G636" s="3" t="e">
        <f>_xlfn.XLOOKUP(E636,セットアップレポート_紐づけ用!A:A,セットアップレポート_紐づけ用!V:V)</f>
        <v>#N/A</v>
      </c>
      <c r="H636" s="3">
        <f t="shared" si="39"/>
        <v>-2</v>
      </c>
      <c r="I636" t="str">
        <f>IF(J636=0,"",IF(配列!E636="",マクロ実行!$A$16 &amp;" T"&amp;H636&amp;"-"&amp;RIGHT(配列!D636&amp;配列!E636,2),マクロ実行!$A$16 &amp;" T"&amp;H636&amp;"-"&amp;RIGHT(配列!D636&amp;配列!E636,3)))</f>
        <v/>
      </c>
      <c r="J636">
        <f>配列!F636</f>
        <v>0</v>
      </c>
      <c r="K636" s="2" t="e">
        <f>_xlfn.XLOOKUP(E636,セットアップレポート_紐づけ用!A:A,セットアップレポート_紐づけ用!R:R)</f>
        <v>#N/A</v>
      </c>
      <c r="L636" t="e">
        <f t="shared" si="37"/>
        <v>#N/A</v>
      </c>
      <c r="M636" t="e">
        <f>_xlfn.XLOOKUP(L636,EGPro!A:A,EGPro!D:D)</f>
        <v>#N/A</v>
      </c>
      <c r="N636" t="e">
        <f>_xlfn.XLOOKUP(L636,EGPro!A:A,EGPro!C:C)</f>
        <v>#N/A</v>
      </c>
      <c r="O636" t="e">
        <f t="shared" si="38"/>
        <v>#N/A</v>
      </c>
      <c r="P636" t="e">
        <f>_xlfn.XLOOKUP(O636,EGPro!A:A,EGPro!D:D)</f>
        <v>#N/A</v>
      </c>
      <c r="Q636" t="e">
        <f>_xlfn.XLOOKUP(O636,EGPro!A:A,EGPro!C:C)</f>
        <v>#N/A</v>
      </c>
    </row>
    <row r="637" spans="1:17" x14ac:dyDescent="0.45">
      <c r="A637" s="3">
        <f>配列!B637</f>
        <v>0</v>
      </c>
      <c r="B637" s="3" t="e">
        <f>_xlfn.XLOOKUP(A637,対応表!A:A,対応表!B:B)</f>
        <v>#N/A</v>
      </c>
      <c r="C637" s="3">
        <f>配列!C637</f>
        <v>0</v>
      </c>
      <c r="D637" s="3" t="str">
        <f>IF(配列!E637="",RIGHT(配列!D637&amp;配列!E637,4)&amp;"L",RIGHT(配列!D637&amp;配列!E637,5))</f>
        <v>L</v>
      </c>
      <c r="E637" s="3">
        <f t="shared" si="36"/>
        <v>0</v>
      </c>
      <c r="F637" s="3" t="e">
        <f>_xlfn.XLOOKUP(E637,セットアップレポート_紐づけ用!A:A,セットアップレポート_紐づけ用!J:J)</f>
        <v>#N/A</v>
      </c>
      <c r="G637" s="3" t="e">
        <f>_xlfn.XLOOKUP(E637,セットアップレポート_紐づけ用!A:A,セットアップレポート_紐づけ用!V:V)</f>
        <v>#N/A</v>
      </c>
      <c r="H637" s="3">
        <f t="shared" si="39"/>
        <v>-2</v>
      </c>
      <c r="I637" t="str">
        <f>IF(J637=0,"",IF(配列!E637="",マクロ実行!$A$16 &amp;" T"&amp;H637&amp;"-"&amp;RIGHT(配列!D637&amp;配列!E637,2),マクロ実行!$A$16 &amp;" T"&amp;H637&amp;"-"&amp;RIGHT(配列!D637&amp;配列!E637,3)))</f>
        <v/>
      </c>
      <c r="J637">
        <f>配列!F637</f>
        <v>0</v>
      </c>
      <c r="K637" s="2" t="e">
        <f>_xlfn.XLOOKUP(E637,セットアップレポート_紐づけ用!A:A,セットアップレポート_紐づけ用!R:R)</f>
        <v>#N/A</v>
      </c>
      <c r="L637" t="e">
        <f t="shared" si="37"/>
        <v>#N/A</v>
      </c>
      <c r="M637" t="e">
        <f>_xlfn.XLOOKUP(L637,EGPro!A:A,EGPro!D:D)</f>
        <v>#N/A</v>
      </c>
      <c r="N637" t="e">
        <f>_xlfn.XLOOKUP(L637,EGPro!A:A,EGPro!C:C)</f>
        <v>#N/A</v>
      </c>
      <c r="O637" t="e">
        <f t="shared" si="38"/>
        <v>#N/A</v>
      </c>
      <c r="P637" t="e">
        <f>_xlfn.XLOOKUP(O637,EGPro!A:A,EGPro!D:D)</f>
        <v>#N/A</v>
      </c>
      <c r="Q637" t="e">
        <f>_xlfn.XLOOKUP(O637,EGPro!A:A,EGPro!C:C)</f>
        <v>#N/A</v>
      </c>
    </row>
    <row r="638" spans="1:17" x14ac:dyDescent="0.45">
      <c r="A638" s="3">
        <f>配列!B638</f>
        <v>0</v>
      </c>
      <c r="B638" s="3" t="e">
        <f>_xlfn.XLOOKUP(A638,対応表!A:A,対応表!B:B)</f>
        <v>#N/A</v>
      </c>
      <c r="C638" s="3">
        <f>配列!C638</f>
        <v>0</v>
      </c>
      <c r="D638" s="3" t="str">
        <f>IF(配列!E638="",RIGHT(配列!D638&amp;配列!E638,4)&amp;"L",RIGHT(配列!D638&amp;配列!E638,5))</f>
        <v>L</v>
      </c>
      <c r="E638" s="3">
        <f t="shared" si="36"/>
        <v>0</v>
      </c>
      <c r="F638" s="3" t="e">
        <f>_xlfn.XLOOKUP(E638,セットアップレポート_紐づけ用!A:A,セットアップレポート_紐づけ用!J:J)</f>
        <v>#N/A</v>
      </c>
      <c r="G638" s="3" t="e">
        <f>_xlfn.XLOOKUP(E638,セットアップレポート_紐づけ用!A:A,セットアップレポート_紐づけ用!V:V)</f>
        <v>#N/A</v>
      </c>
      <c r="H638" s="3">
        <f t="shared" si="39"/>
        <v>-2</v>
      </c>
      <c r="I638" t="str">
        <f>IF(J638=0,"",IF(配列!E638="",マクロ実行!$A$16 &amp;" T"&amp;H638&amp;"-"&amp;RIGHT(配列!D638&amp;配列!E638,2),マクロ実行!$A$16 &amp;" T"&amp;H638&amp;"-"&amp;RIGHT(配列!D638&amp;配列!E638,3)))</f>
        <v/>
      </c>
      <c r="J638">
        <f>配列!F638</f>
        <v>0</v>
      </c>
      <c r="K638" s="2" t="e">
        <f>_xlfn.XLOOKUP(E638,セットアップレポート_紐づけ用!A:A,セットアップレポート_紐づけ用!R:R)</f>
        <v>#N/A</v>
      </c>
      <c r="L638" t="e">
        <f t="shared" si="37"/>
        <v>#N/A</v>
      </c>
      <c r="M638" t="e">
        <f>_xlfn.XLOOKUP(L638,EGPro!A:A,EGPro!D:D)</f>
        <v>#N/A</v>
      </c>
      <c r="N638" t="e">
        <f>_xlfn.XLOOKUP(L638,EGPro!A:A,EGPro!C:C)</f>
        <v>#N/A</v>
      </c>
      <c r="O638" t="e">
        <f t="shared" si="38"/>
        <v>#N/A</v>
      </c>
      <c r="P638" t="e">
        <f>_xlfn.XLOOKUP(O638,EGPro!A:A,EGPro!D:D)</f>
        <v>#N/A</v>
      </c>
      <c r="Q638" t="e">
        <f>_xlfn.XLOOKUP(O638,EGPro!A:A,EGPro!C:C)</f>
        <v>#N/A</v>
      </c>
    </row>
    <row r="639" spans="1:17" x14ac:dyDescent="0.45">
      <c r="A639" s="3">
        <f>配列!B599</f>
        <v>0</v>
      </c>
      <c r="B639" s="3" t="e">
        <f>_xlfn.XLOOKUP(A639,対応表!A:A,対応表!B:B)</f>
        <v>#N/A</v>
      </c>
      <c r="C639" s="3">
        <f>配列!C599</f>
        <v>0</v>
      </c>
      <c r="D639" s="3" t="str">
        <f>IF(配列!E599="",RIGHT(配列!D599&amp;配列!E599,4)&amp;"L",RIGHT(配列!D599&amp;配列!E599,5))</f>
        <v>L</v>
      </c>
      <c r="E639" s="3">
        <f t="shared" si="36"/>
        <v>0</v>
      </c>
      <c r="F639" s="3" t="e">
        <f>_xlfn.XLOOKUP(E639,セットアップレポート_紐づけ用!A:A,セットアップレポート_紐づけ用!J:J)</f>
        <v>#N/A</v>
      </c>
      <c r="G639" s="3" t="e">
        <f>_xlfn.XLOOKUP(E639,セットアップレポート_紐づけ用!A:A,セットアップレポート_紐づけ用!V:V)</f>
        <v>#N/A</v>
      </c>
      <c r="H639" s="3">
        <f t="shared" si="39"/>
        <v>-2</v>
      </c>
      <c r="I639" t="str">
        <f>IF(J639=0,"",IF(配列!E639="",マクロ実行!$A$16 &amp;" T"&amp;H639&amp;"-"&amp;RIGHT(配列!D639&amp;配列!E639,2),マクロ実行!$A$16 &amp;" T"&amp;H639&amp;"-"&amp;RIGHT(配列!D639&amp;配列!E639,3)))</f>
        <v/>
      </c>
      <c r="J639">
        <f>配列!F599</f>
        <v>0</v>
      </c>
      <c r="K639" s="2" t="e">
        <f>_xlfn.XLOOKUP(E639,セットアップレポート_紐づけ用!A:A,セットアップレポート_紐づけ用!R:R)</f>
        <v>#N/A</v>
      </c>
      <c r="L639" t="e">
        <f t="shared" si="37"/>
        <v>#N/A</v>
      </c>
      <c r="M639" t="e">
        <f>_xlfn.XLOOKUP(L639,EGPro!A:A,EGPro!D:D)</f>
        <v>#N/A</v>
      </c>
      <c r="N639" t="e">
        <f>_xlfn.XLOOKUP(L639,EGPro!A:A,EGPro!C:C)</f>
        <v>#N/A</v>
      </c>
      <c r="O639" t="e">
        <f t="shared" si="38"/>
        <v>#N/A</v>
      </c>
      <c r="P639" t="e">
        <f>_xlfn.XLOOKUP(O639,EGPro!A:A,EGPro!D:D)</f>
        <v>#N/A</v>
      </c>
      <c r="Q639" t="e">
        <f>_xlfn.XLOOKUP(O639,EGPro!A:A,EGPro!C:C)</f>
        <v>#N/A</v>
      </c>
    </row>
    <row r="640" spans="1:17" x14ac:dyDescent="0.45">
      <c r="A640" s="3">
        <f>配列!B600</f>
        <v>0</v>
      </c>
      <c r="B640" s="3" t="e">
        <f>_xlfn.XLOOKUP(A640,対応表!A:A,対応表!B:B)</f>
        <v>#N/A</v>
      </c>
      <c r="C640" s="3">
        <f>配列!C600</f>
        <v>0</v>
      </c>
      <c r="D640" s="3" t="str">
        <f>IF(配列!E600="",RIGHT(配列!D600&amp;配列!E600,4)&amp;"L",RIGHT(配列!D600&amp;配列!E600,5))</f>
        <v>L</v>
      </c>
      <c r="E640" s="3">
        <f t="shared" si="36"/>
        <v>0</v>
      </c>
      <c r="F640" s="3" t="e">
        <f>_xlfn.XLOOKUP(E640,セットアップレポート_紐づけ用!A:A,セットアップレポート_紐づけ用!J:J)</f>
        <v>#N/A</v>
      </c>
      <c r="G640" s="3" t="e">
        <f>_xlfn.XLOOKUP(E640,セットアップレポート_紐づけ用!A:A,セットアップレポート_紐づけ用!V:V)</f>
        <v>#N/A</v>
      </c>
      <c r="H640" s="3">
        <f t="shared" si="39"/>
        <v>-2</v>
      </c>
      <c r="I640" t="str">
        <f>IF(J640=0,"",IF(配列!E640="",マクロ実行!$A$16 &amp;" T"&amp;H640&amp;"-"&amp;RIGHT(配列!D640&amp;配列!E640,2),マクロ実行!$A$16 &amp;" T"&amp;H640&amp;"-"&amp;RIGHT(配列!D640&amp;配列!E640,3)))</f>
        <v/>
      </c>
      <c r="J640">
        <f>配列!F600</f>
        <v>0</v>
      </c>
      <c r="K640" s="2" t="e">
        <f>_xlfn.XLOOKUP(E640,セットアップレポート_紐づけ用!A:A,セットアップレポート_紐づけ用!R:R)</f>
        <v>#N/A</v>
      </c>
      <c r="L640" t="e">
        <f t="shared" si="37"/>
        <v>#N/A</v>
      </c>
      <c r="M640" t="e">
        <f>_xlfn.XLOOKUP(L640,EGPro!A:A,EGPro!D:D)</f>
        <v>#N/A</v>
      </c>
      <c r="N640" t="e">
        <f>_xlfn.XLOOKUP(L640,EGPro!A:A,EGPro!C:C)</f>
        <v>#N/A</v>
      </c>
      <c r="O640" t="e">
        <f t="shared" si="38"/>
        <v>#N/A</v>
      </c>
      <c r="P640" t="e">
        <f>_xlfn.XLOOKUP(O640,EGPro!A:A,EGPro!D:D)</f>
        <v>#N/A</v>
      </c>
      <c r="Q640" t="e">
        <f>_xlfn.XLOOKUP(O640,EGPro!A:A,EGPro!C:C)</f>
        <v>#N/A</v>
      </c>
    </row>
    <row r="641" spans="1:17" x14ac:dyDescent="0.45">
      <c r="A641" s="3">
        <f>配列!B601</f>
        <v>0</v>
      </c>
      <c r="B641" s="3" t="e">
        <f>_xlfn.XLOOKUP(A641,対応表!A:A,対応表!B:B)</f>
        <v>#N/A</v>
      </c>
      <c r="C641" s="3">
        <f>配列!C601</f>
        <v>0</v>
      </c>
      <c r="D641" s="3" t="str">
        <f>IF(配列!E601="",RIGHT(配列!D601&amp;配列!E601,4)&amp;"L",RIGHT(配列!D601&amp;配列!E601,5))</f>
        <v>L</v>
      </c>
      <c r="E641" s="3">
        <f t="shared" si="36"/>
        <v>0</v>
      </c>
      <c r="F641" s="3" t="e">
        <f>_xlfn.XLOOKUP(E641,セットアップレポート_紐づけ用!A:A,セットアップレポート_紐づけ用!J:J)</f>
        <v>#N/A</v>
      </c>
      <c r="G641" s="3" t="e">
        <f>_xlfn.XLOOKUP(E641,セットアップレポート_紐づけ用!A:A,セットアップレポート_紐づけ用!V:V)</f>
        <v>#N/A</v>
      </c>
      <c r="H641" s="3">
        <f t="shared" si="39"/>
        <v>-2</v>
      </c>
      <c r="I641" t="str">
        <f>IF(J641=0,"",IF(配列!E641="",マクロ実行!$A$16 &amp;" T"&amp;H641&amp;"-"&amp;RIGHT(配列!D641&amp;配列!E641,2),マクロ実行!$A$16 &amp;" T"&amp;H641&amp;"-"&amp;RIGHT(配列!D641&amp;配列!E641,3)))</f>
        <v/>
      </c>
      <c r="J641">
        <f>配列!F601</f>
        <v>0</v>
      </c>
      <c r="K641" s="2" t="e">
        <f>_xlfn.XLOOKUP(E641,セットアップレポート_紐づけ用!A:A,セットアップレポート_紐づけ用!R:R)</f>
        <v>#N/A</v>
      </c>
      <c r="L641" t="e">
        <f t="shared" si="37"/>
        <v>#N/A</v>
      </c>
      <c r="M641" t="e">
        <f>_xlfn.XLOOKUP(L641,EGPro!A:A,EGPro!D:D)</f>
        <v>#N/A</v>
      </c>
      <c r="N641" t="e">
        <f>_xlfn.XLOOKUP(L641,EGPro!A:A,EGPro!C:C)</f>
        <v>#N/A</v>
      </c>
      <c r="O641" t="e">
        <f t="shared" si="38"/>
        <v>#N/A</v>
      </c>
      <c r="P641" t="e">
        <f>_xlfn.XLOOKUP(O641,EGPro!A:A,EGPro!D:D)</f>
        <v>#N/A</v>
      </c>
      <c r="Q641" t="e">
        <f>_xlfn.XLOOKUP(O641,EGPro!A:A,EGPro!C:C)</f>
        <v>#N/A</v>
      </c>
    </row>
    <row r="642" spans="1:17" x14ac:dyDescent="0.45">
      <c r="A642" s="3">
        <f>配列!B602</f>
        <v>0</v>
      </c>
      <c r="B642" s="3" t="e">
        <f>_xlfn.XLOOKUP(A642,対応表!A:A,対応表!B:B)</f>
        <v>#N/A</v>
      </c>
      <c r="C642" s="3">
        <f>配列!C602</f>
        <v>0</v>
      </c>
      <c r="D642" s="3" t="str">
        <f>IF(配列!E602="",RIGHT(配列!D602&amp;配列!E602,4)&amp;"L",RIGHT(配列!D602&amp;配列!E602,5))</f>
        <v>L</v>
      </c>
      <c r="E642" s="3">
        <f t="shared" ref="E642:E705" si="40">IF(J642=0,,B642&amp;D642&amp;J642)</f>
        <v>0</v>
      </c>
      <c r="F642" s="3" t="e">
        <f>_xlfn.XLOOKUP(E642,セットアップレポート_紐づけ用!A:A,セットアップレポート_紐づけ用!J:J)</f>
        <v>#N/A</v>
      </c>
      <c r="G642" s="3" t="e">
        <f>_xlfn.XLOOKUP(E642,セットアップレポート_紐づけ用!A:A,セットアップレポート_紐づけ用!V:V)</f>
        <v>#N/A</v>
      </c>
      <c r="H642" s="3">
        <f t="shared" si="39"/>
        <v>-2</v>
      </c>
      <c r="I642" t="str">
        <f>IF(J642=0,"",IF(配列!E642="",マクロ実行!$A$16 &amp;" T"&amp;H642&amp;"-"&amp;RIGHT(配列!D642&amp;配列!E642,2),マクロ実行!$A$16 &amp;" T"&amp;H642&amp;"-"&amp;RIGHT(配列!D642&amp;配列!E642,3)))</f>
        <v/>
      </c>
      <c r="J642">
        <f>配列!F602</f>
        <v>0</v>
      </c>
      <c r="K642" s="2" t="e">
        <f>_xlfn.XLOOKUP(E642,セットアップレポート_紐づけ用!A:A,セットアップレポート_紐づけ用!R:R)</f>
        <v>#N/A</v>
      </c>
      <c r="L642" t="e">
        <f t="shared" ref="L642:L705" si="41">IF(LEN(F642)=13,"    "&amp;F642,F642)</f>
        <v>#N/A</v>
      </c>
      <c r="M642" t="e">
        <f>_xlfn.XLOOKUP(L642,EGPro!A:A,EGPro!D:D)</f>
        <v>#N/A</v>
      </c>
      <c r="N642" t="e">
        <f>_xlfn.XLOOKUP(L642,EGPro!A:A,EGPro!C:C)</f>
        <v>#N/A</v>
      </c>
      <c r="O642" t="e">
        <f t="shared" ref="O642:O705" si="42">IF(LEN(G642)=13,"    "&amp;G642,G642)</f>
        <v>#N/A</v>
      </c>
      <c r="P642" t="e">
        <f>_xlfn.XLOOKUP(O642,EGPro!A:A,EGPro!D:D)</f>
        <v>#N/A</v>
      </c>
      <c r="Q642" t="e">
        <f>_xlfn.XLOOKUP(O642,EGPro!A:A,EGPro!C:C)</f>
        <v>#N/A</v>
      </c>
    </row>
    <row r="643" spans="1:17" x14ac:dyDescent="0.45">
      <c r="A643" s="3">
        <f>配列!B603</f>
        <v>0</v>
      </c>
      <c r="B643" s="3" t="e">
        <f>_xlfn.XLOOKUP(A643,対応表!A:A,対応表!B:B)</f>
        <v>#N/A</v>
      </c>
      <c r="C643" s="3">
        <f>配列!C603</f>
        <v>0</v>
      </c>
      <c r="D643" s="3" t="str">
        <f>IF(配列!E603="",RIGHT(配列!D603&amp;配列!E603,4)&amp;"L",RIGHT(配列!D603&amp;配列!E603,5))</f>
        <v>L</v>
      </c>
      <c r="E643" s="3">
        <f t="shared" si="40"/>
        <v>0</v>
      </c>
      <c r="F643" s="3" t="e">
        <f>_xlfn.XLOOKUP(E643,セットアップレポート_紐づけ用!A:A,セットアップレポート_紐づけ用!J:J)</f>
        <v>#N/A</v>
      </c>
      <c r="G643" s="3" t="e">
        <f>_xlfn.XLOOKUP(E643,セットアップレポート_紐づけ用!A:A,セットアップレポート_紐づけ用!V:V)</f>
        <v>#N/A</v>
      </c>
      <c r="H643" s="3">
        <f t="shared" ref="H643:H706" si="43">2*RIGHT(A643,1)-2+C643</f>
        <v>-2</v>
      </c>
      <c r="I643" t="str">
        <f>IF(J643=0,"",IF(配列!E643="",マクロ実行!$A$16 &amp;" T"&amp;H643&amp;"-"&amp;RIGHT(配列!D643&amp;配列!E643,2),マクロ実行!$A$16 &amp;" T"&amp;H643&amp;"-"&amp;RIGHT(配列!D643&amp;配列!E643,3)))</f>
        <v/>
      </c>
      <c r="J643">
        <f>配列!F603</f>
        <v>0</v>
      </c>
      <c r="K643" s="2" t="e">
        <f>_xlfn.XLOOKUP(E643,セットアップレポート_紐づけ用!A:A,セットアップレポート_紐づけ用!R:R)</f>
        <v>#N/A</v>
      </c>
      <c r="L643" t="e">
        <f t="shared" si="41"/>
        <v>#N/A</v>
      </c>
      <c r="M643" t="e">
        <f>_xlfn.XLOOKUP(L643,EGPro!A:A,EGPro!D:D)</f>
        <v>#N/A</v>
      </c>
      <c r="N643" t="e">
        <f>_xlfn.XLOOKUP(L643,EGPro!A:A,EGPro!C:C)</f>
        <v>#N/A</v>
      </c>
      <c r="O643" t="e">
        <f t="shared" si="42"/>
        <v>#N/A</v>
      </c>
      <c r="P643" t="e">
        <f>_xlfn.XLOOKUP(O643,EGPro!A:A,EGPro!D:D)</f>
        <v>#N/A</v>
      </c>
      <c r="Q643" t="e">
        <f>_xlfn.XLOOKUP(O643,EGPro!A:A,EGPro!C:C)</f>
        <v>#N/A</v>
      </c>
    </row>
    <row r="644" spans="1:17" x14ac:dyDescent="0.45">
      <c r="A644" s="3">
        <f>配列!B604</f>
        <v>0</v>
      </c>
      <c r="B644" s="3" t="e">
        <f>_xlfn.XLOOKUP(A644,対応表!A:A,対応表!B:B)</f>
        <v>#N/A</v>
      </c>
      <c r="C644" s="3">
        <f>配列!C604</f>
        <v>0</v>
      </c>
      <c r="D644" s="3" t="str">
        <f>IF(配列!E604="",RIGHT(配列!D604&amp;配列!E604,4)&amp;"L",RIGHT(配列!D604&amp;配列!E604,5))</f>
        <v>L</v>
      </c>
      <c r="E644" s="3">
        <f t="shared" si="40"/>
        <v>0</v>
      </c>
      <c r="F644" s="3" t="e">
        <f>_xlfn.XLOOKUP(E644,セットアップレポート_紐づけ用!A:A,セットアップレポート_紐づけ用!J:J)</f>
        <v>#N/A</v>
      </c>
      <c r="G644" s="3" t="e">
        <f>_xlfn.XLOOKUP(E644,セットアップレポート_紐づけ用!A:A,セットアップレポート_紐づけ用!V:V)</f>
        <v>#N/A</v>
      </c>
      <c r="H644" s="3">
        <f t="shared" si="43"/>
        <v>-2</v>
      </c>
      <c r="I644" t="str">
        <f>IF(J644=0,"",IF(配列!E644="",マクロ実行!$A$16 &amp;" T"&amp;H644&amp;"-"&amp;RIGHT(配列!D644&amp;配列!E644,2),マクロ実行!$A$16 &amp;" T"&amp;H644&amp;"-"&amp;RIGHT(配列!D644&amp;配列!E644,3)))</f>
        <v/>
      </c>
      <c r="J644">
        <f>配列!F604</f>
        <v>0</v>
      </c>
      <c r="K644" s="2" t="e">
        <f>_xlfn.XLOOKUP(E644,セットアップレポート_紐づけ用!A:A,セットアップレポート_紐づけ用!R:R)</f>
        <v>#N/A</v>
      </c>
      <c r="L644" t="e">
        <f t="shared" si="41"/>
        <v>#N/A</v>
      </c>
      <c r="M644" t="e">
        <f>_xlfn.XLOOKUP(L644,EGPro!A:A,EGPro!D:D)</f>
        <v>#N/A</v>
      </c>
      <c r="N644" t="e">
        <f>_xlfn.XLOOKUP(L644,EGPro!A:A,EGPro!C:C)</f>
        <v>#N/A</v>
      </c>
      <c r="O644" t="e">
        <f t="shared" si="42"/>
        <v>#N/A</v>
      </c>
      <c r="P644" t="e">
        <f>_xlfn.XLOOKUP(O644,EGPro!A:A,EGPro!D:D)</f>
        <v>#N/A</v>
      </c>
      <c r="Q644" t="e">
        <f>_xlfn.XLOOKUP(O644,EGPro!A:A,EGPro!C:C)</f>
        <v>#N/A</v>
      </c>
    </row>
    <row r="645" spans="1:17" x14ac:dyDescent="0.45">
      <c r="A645" s="3">
        <f>配列!B605</f>
        <v>0</v>
      </c>
      <c r="B645" s="3" t="e">
        <f>_xlfn.XLOOKUP(A645,対応表!A:A,対応表!B:B)</f>
        <v>#N/A</v>
      </c>
      <c r="C645" s="3">
        <f>配列!C605</f>
        <v>0</v>
      </c>
      <c r="D645" s="3" t="str">
        <f>IF(配列!E605="",RIGHT(配列!D605&amp;配列!E605,4)&amp;"L",RIGHT(配列!D605&amp;配列!E605,5))</f>
        <v>L</v>
      </c>
      <c r="E645" s="3">
        <f t="shared" si="40"/>
        <v>0</v>
      </c>
      <c r="F645" s="3" t="e">
        <f>_xlfn.XLOOKUP(E645,セットアップレポート_紐づけ用!A:A,セットアップレポート_紐づけ用!J:J)</f>
        <v>#N/A</v>
      </c>
      <c r="G645" s="3" t="e">
        <f>_xlfn.XLOOKUP(E645,セットアップレポート_紐づけ用!A:A,セットアップレポート_紐づけ用!V:V)</f>
        <v>#N/A</v>
      </c>
      <c r="H645" s="3">
        <f t="shared" si="43"/>
        <v>-2</v>
      </c>
      <c r="I645" t="str">
        <f>IF(J645=0,"",IF(配列!E645="",マクロ実行!$A$16 &amp;" T"&amp;H645&amp;"-"&amp;RIGHT(配列!D645&amp;配列!E645,2),マクロ実行!$A$16 &amp;" T"&amp;H645&amp;"-"&amp;RIGHT(配列!D645&amp;配列!E645,3)))</f>
        <v/>
      </c>
      <c r="J645">
        <f>配列!F605</f>
        <v>0</v>
      </c>
      <c r="K645" s="2" t="e">
        <f>_xlfn.XLOOKUP(E645,セットアップレポート_紐づけ用!A:A,セットアップレポート_紐づけ用!R:R)</f>
        <v>#N/A</v>
      </c>
      <c r="L645" t="e">
        <f t="shared" si="41"/>
        <v>#N/A</v>
      </c>
      <c r="M645" t="e">
        <f>_xlfn.XLOOKUP(L645,EGPro!A:A,EGPro!D:D)</f>
        <v>#N/A</v>
      </c>
      <c r="N645" t="e">
        <f>_xlfn.XLOOKUP(L645,EGPro!A:A,EGPro!C:C)</f>
        <v>#N/A</v>
      </c>
      <c r="O645" t="e">
        <f t="shared" si="42"/>
        <v>#N/A</v>
      </c>
      <c r="P645" t="e">
        <f>_xlfn.XLOOKUP(O645,EGPro!A:A,EGPro!D:D)</f>
        <v>#N/A</v>
      </c>
      <c r="Q645" t="e">
        <f>_xlfn.XLOOKUP(O645,EGPro!A:A,EGPro!C:C)</f>
        <v>#N/A</v>
      </c>
    </row>
    <row r="646" spans="1:17" x14ac:dyDescent="0.45">
      <c r="A646" s="3">
        <f>配列!B606</f>
        <v>0</v>
      </c>
      <c r="B646" s="3" t="e">
        <f>_xlfn.XLOOKUP(A646,対応表!A:A,対応表!B:B)</f>
        <v>#N/A</v>
      </c>
      <c r="C646" s="3">
        <f>配列!C606</f>
        <v>0</v>
      </c>
      <c r="D646" s="3" t="str">
        <f>IF(配列!E606="",RIGHT(配列!D606&amp;配列!E606,4)&amp;"L",RIGHT(配列!D606&amp;配列!E606,5))</f>
        <v>L</v>
      </c>
      <c r="E646" s="3">
        <f t="shared" si="40"/>
        <v>0</v>
      </c>
      <c r="F646" s="3" t="e">
        <f>_xlfn.XLOOKUP(E646,セットアップレポート_紐づけ用!A:A,セットアップレポート_紐づけ用!J:J)</f>
        <v>#N/A</v>
      </c>
      <c r="G646" s="3" t="e">
        <f>_xlfn.XLOOKUP(E646,セットアップレポート_紐づけ用!A:A,セットアップレポート_紐づけ用!V:V)</f>
        <v>#N/A</v>
      </c>
      <c r="H646" s="3">
        <f t="shared" si="43"/>
        <v>-2</v>
      </c>
      <c r="I646" t="str">
        <f>IF(J646=0,"",IF(配列!E646="",マクロ実行!$A$16 &amp;" T"&amp;H646&amp;"-"&amp;RIGHT(配列!D646&amp;配列!E646,2),マクロ実行!$A$16 &amp;" T"&amp;H646&amp;"-"&amp;RIGHT(配列!D646&amp;配列!E646,3)))</f>
        <v/>
      </c>
      <c r="J646">
        <f>配列!F606</f>
        <v>0</v>
      </c>
      <c r="K646" s="2" t="e">
        <f>_xlfn.XLOOKUP(E646,セットアップレポート_紐づけ用!A:A,セットアップレポート_紐づけ用!R:R)</f>
        <v>#N/A</v>
      </c>
      <c r="L646" t="e">
        <f t="shared" si="41"/>
        <v>#N/A</v>
      </c>
      <c r="M646" t="e">
        <f>_xlfn.XLOOKUP(L646,EGPro!A:A,EGPro!D:D)</f>
        <v>#N/A</v>
      </c>
      <c r="N646" t="e">
        <f>_xlfn.XLOOKUP(L646,EGPro!A:A,EGPro!C:C)</f>
        <v>#N/A</v>
      </c>
      <c r="O646" t="e">
        <f t="shared" si="42"/>
        <v>#N/A</v>
      </c>
      <c r="P646" t="e">
        <f>_xlfn.XLOOKUP(O646,EGPro!A:A,EGPro!D:D)</f>
        <v>#N/A</v>
      </c>
      <c r="Q646" t="e">
        <f>_xlfn.XLOOKUP(O646,EGPro!A:A,EGPro!C:C)</f>
        <v>#N/A</v>
      </c>
    </row>
    <row r="647" spans="1:17" x14ac:dyDescent="0.45">
      <c r="A647" s="3">
        <f>配列!B607</f>
        <v>0</v>
      </c>
      <c r="B647" s="3" t="e">
        <f>_xlfn.XLOOKUP(A647,対応表!A:A,対応表!B:B)</f>
        <v>#N/A</v>
      </c>
      <c r="C647" s="3">
        <f>配列!C607</f>
        <v>0</v>
      </c>
      <c r="D647" s="3" t="str">
        <f>IF(配列!E607="",RIGHT(配列!D607&amp;配列!E607,4)&amp;"L",RIGHT(配列!D607&amp;配列!E607,5))</f>
        <v>L</v>
      </c>
      <c r="E647" s="3">
        <f t="shared" si="40"/>
        <v>0</v>
      </c>
      <c r="F647" s="3" t="e">
        <f>_xlfn.XLOOKUP(E647,セットアップレポート_紐づけ用!A:A,セットアップレポート_紐づけ用!J:J)</f>
        <v>#N/A</v>
      </c>
      <c r="G647" s="3" t="e">
        <f>_xlfn.XLOOKUP(E647,セットアップレポート_紐づけ用!A:A,セットアップレポート_紐づけ用!V:V)</f>
        <v>#N/A</v>
      </c>
      <c r="H647" s="3">
        <f t="shared" si="43"/>
        <v>-2</v>
      </c>
      <c r="I647" t="str">
        <f>IF(J647=0,"",IF(配列!E647="",マクロ実行!$A$16 &amp;" T"&amp;H647&amp;"-"&amp;RIGHT(配列!D647&amp;配列!E647,2),マクロ実行!$A$16 &amp;" T"&amp;H647&amp;"-"&amp;RIGHT(配列!D647&amp;配列!E647,3)))</f>
        <v/>
      </c>
      <c r="J647">
        <f>配列!F607</f>
        <v>0</v>
      </c>
      <c r="K647" s="2" t="e">
        <f>_xlfn.XLOOKUP(E647,セットアップレポート_紐づけ用!A:A,セットアップレポート_紐づけ用!R:R)</f>
        <v>#N/A</v>
      </c>
      <c r="L647" t="e">
        <f t="shared" si="41"/>
        <v>#N/A</v>
      </c>
      <c r="M647" t="e">
        <f>_xlfn.XLOOKUP(L647,EGPro!A:A,EGPro!D:D)</f>
        <v>#N/A</v>
      </c>
      <c r="N647" t="e">
        <f>_xlfn.XLOOKUP(L647,EGPro!A:A,EGPro!C:C)</f>
        <v>#N/A</v>
      </c>
      <c r="O647" t="e">
        <f t="shared" si="42"/>
        <v>#N/A</v>
      </c>
      <c r="P647" t="e">
        <f>_xlfn.XLOOKUP(O647,EGPro!A:A,EGPro!D:D)</f>
        <v>#N/A</v>
      </c>
      <c r="Q647" t="e">
        <f>_xlfn.XLOOKUP(O647,EGPro!A:A,EGPro!C:C)</f>
        <v>#N/A</v>
      </c>
    </row>
    <row r="648" spans="1:17" x14ac:dyDescent="0.45">
      <c r="A648" s="3">
        <f>配列!B608</f>
        <v>0</v>
      </c>
      <c r="B648" s="3" t="e">
        <f>_xlfn.XLOOKUP(A648,対応表!A:A,対応表!B:B)</f>
        <v>#N/A</v>
      </c>
      <c r="C648" s="3">
        <f>配列!C608</f>
        <v>0</v>
      </c>
      <c r="D648" s="3" t="str">
        <f>IF(配列!E608="",RIGHT(配列!D608&amp;配列!E608,4)&amp;"L",RIGHT(配列!D608&amp;配列!E608,5))</f>
        <v>L</v>
      </c>
      <c r="E648" s="3">
        <f t="shared" si="40"/>
        <v>0</v>
      </c>
      <c r="F648" s="3" t="e">
        <f>_xlfn.XLOOKUP(E648,セットアップレポート_紐づけ用!A:A,セットアップレポート_紐づけ用!J:J)</f>
        <v>#N/A</v>
      </c>
      <c r="G648" s="3" t="e">
        <f>_xlfn.XLOOKUP(E648,セットアップレポート_紐づけ用!A:A,セットアップレポート_紐づけ用!V:V)</f>
        <v>#N/A</v>
      </c>
      <c r="H648" s="3">
        <f t="shared" si="43"/>
        <v>-2</v>
      </c>
      <c r="I648" t="str">
        <f>IF(J648=0,"",IF(配列!E648="",マクロ実行!$A$16 &amp;" T"&amp;H648&amp;"-"&amp;RIGHT(配列!D648&amp;配列!E648,2),マクロ実行!$A$16 &amp;" T"&amp;H648&amp;"-"&amp;RIGHT(配列!D648&amp;配列!E648,3)))</f>
        <v/>
      </c>
      <c r="J648">
        <f>配列!F608</f>
        <v>0</v>
      </c>
      <c r="K648" s="2" t="e">
        <f>_xlfn.XLOOKUP(E648,セットアップレポート_紐づけ用!A:A,セットアップレポート_紐づけ用!R:R)</f>
        <v>#N/A</v>
      </c>
      <c r="L648" t="e">
        <f t="shared" si="41"/>
        <v>#N/A</v>
      </c>
      <c r="M648" t="e">
        <f>_xlfn.XLOOKUP(L648,EGPro!A:A,EGPro!D:D)</f>
        <v>#N/A</v>
      </c>
      <c r="N648" t="e">
        <f>_xlfn.XLOOKUP(L648,EGPro!A:A,EGPro!C:C)</f>
        <v>#N/A</v>
      </c>
      <c r="O648" t="e">
        <f t="shared" si="42"/>
        <v>#N/A</v>
      </c>
      <c r="P648" t="e">
        <f>_xlfn.XLOOKUP(O648,EGPro!A:A,EGPro!D:D)</f>
        <v>#N/A</v>
      </c>
      <c r="Q648" t="e">
        <f>_xlfn.XLOOKUP(O648,EGPro!A:A,EGPro!C:C)</f>
        <v>#N/A</v>
      </c>
    </row>
    <row r="649" spans="1:17" x14ac:dyDescent="0.45">
      <c r="A649" s="3">
        <f>配列!B609</f>
        <v>0</v>
      </c>
      <c r="B649" s="3" t="e">
        <f>_xlfn.XLOOKUP(A649,対応表!A:A,対応表!B:B)</f>
        <v>#N/A</v>
      </c>
      <c r="C649" s="3">
        <f>配列!C609</f>
        <v>0</v>
      </c>
      <c r="D649" s="3" t="str">
        <f>IF(配列!E609="",RIGHT(配列!D609&amp;配列!E609,4)&amp;"L",RIGHT(配列!D609&amp;配列!E609,5))</f>
        <v>L</v>
      </c>
      <c r="E649" s="3">
        <f t="shared" si="40"/>
        <v>0</v>
      </c>
      <c r="F649" s="3" t="e">
        <f>_xlfn.XLOOKUP(E649,セットアップレポート_紐づけ用!A:A,セットアップレポート_紐づけ用!J:J)</f>
        <v>#N/A</v>
      </c>
      <c r="G649" s="3" t="e">
        <f>_xlfn.XLOOKUP(E649,セットアップレポート_紐づけ用!A:A,セットアップレポート_紐づけ用!V:V)</f>
        <v>#N/A</v>
      </c>
      <c r="H649" s="3">
        <f t="shared" si="43"/>
        <v>-2</v>
      </c>
      <c r="I649" t="str">
        <f>IF(J649=0,"",IF(配列!E649="",マクロ実行!$A$16 &amp;" T"&amp;H649&amp;"-"&amp;RIGHT(配列!D649&amp;配列!E649,2),マクロ実行!$A$16 &amp;" T"&amp;H649&amp;"-"&amp;RIGHT(配列!D649&amp;配列!E649,3)))</f>
        <v/>
      </c>
      <c r="J649">
        <f>配列!F609</f>
        <v>0</v>
      </c>
      <c r="K649" s="2" t="e">
        <f>_xlfn.XLOOKUP(E649,セットアップレポート_紐づけ用!A:A,セットアップレポート_紐づけ用!R:R)</f>
        <v>#N/A</v>
      </c>
      <c r="L649" t="e">
        <f t="shared" si="41"/>
        <v>#N/A</v>
      </c>
      <c r="M649" t="e">
        <f>_xlfn.XLOOKUP(L649,EGPro!A:A,EGPro!D:D)</f>
        <v>#N/A</v>
      </c>
      <c r="N649" t="e">
        <f>_xlfn.XLOOKUP(L649,EGPro!A:A,EGPro!C:C)</f>
        <v>#N/A</v>
      </c>
      <c r="O649" t="e">
        <f t="shared" si="42"/>
        <v>#N/A</v>
      </c>
      <c r="P649" t="e">
        <f>_xlfn.XLOOKUP(O649,EGPro!A:A,EGPro!D:D)</f>
        <v>#N/A</v>
      </c>
      <c r="Q649" t="e">
        <f>_xlfn.XLOOKUP(O649,EGPro!A:A,EGPro!C:C)</f>
        <v>#N/A</v>
      </c>
    </row>
    <row r="650" spans="1:17" x14ac:dyDescent="0.45">
      <c r="A650" s="3">
        <f>配列!B610</f>
        <v>0</v>
      </c>
      <c r="B650" s="3" t="e">
        <f>_xlfn.XLOOKUP(A650,対応表!A:A,対応表!B:B)</f>
        <v>#N/A</v>
      </c>
      <c r="C650" s="3">
        <f>配列!C610</f>
        <v>0</v>
      </c>
      <c r="D650" s="3" t="str">
        <f>IF(配列!E610="",RIGHT(配列!D610&amp;配列!E610,4)&amp;"L",RIGHT(配列!D610&amp;配列!E610,5))</f>
        <v>L</v>
      </c>
      <c r="E650" s="3">
        <f t="shared" si="40"/>
        <v>0</v>
      </c>
      <c r="F650" s="3" t="e">
        <f>_xlfn.XLOOKUP(E650,セットアップレポート_紐づけ用!A:A,セットアップレポート_紐づけ用!J:J)</f>
        <v>#N/A</v>
      </c>
      <c r="G650" s="3" t="e">
        <f>_xlfn.XLOOKUP(E650,セットアップレポート_紐づけ用!A:A,セットアップレポート_紐づけ用!V:V)</f>
        <v>#N/A</v>
      </c>
      <c r="H650" s="3">
        <f t="shared" si="43"/>
        <v>-2</v>
      </c>
      <c r="I650" t="str">
        <f>IF(J650=0,"",IF(配列!E650="",マクロ実行!$A$16 &amp;" T"&amp;H650&amp;"-"&amp;RIGHT(配列!D650&amp;配列!E650,2),マクロ実行!$A$16 &amp;" T"&amp;H650&amp;"-"&amp;RIGHT(配列!D650&amp;配列!E650,3)))</f>
        <v/>
      </c>
      <c r="J650">
        <f>配列!F610</f>
        <v>0</v>
      </c>
      <c r="K650" s="2" t="e">
        <f>_xlfn.XLOOKUP(E650,セットアップレポート_紐づけ用!A:A,セットアップレポート_紐づけ用!R:R)</f>
        <v>#N/A</v>
      </c>
      <c r="L650" t="e">
        <f t="shared" si="41"/>
        <v>#N/A</v>
      </c>
      <c r="M650" t="e">
        <f>_xlfn.XLOOKUP(L650,EGPro!A:A,EGPro!D:D)</f>
        <v>#N/A</v>
      </c>
      <c r="N650" t="e">
        <f>_xlfn.XLOOKUP(L650,EGPro!A:A,EGPro!C:C)</f>
        <v>#N/A</v>
      </c>
      <c r="O650" t="e">
        <f t="shared" si="42"/>
        <v>#N/A</v>
      </c>
      <c r="P650" t="e">
        <f>_xlfn.XLOOKUP(O650,EGPro!A:A,EGPro!D:D)</f>
        <v>#N/A</v>
      </c>
      <c r="Q650" t="e">
        <f>_xlfn.XLOOKUP(O650,EGPro!A:A,EGPro!C:C)</f>
        <v>#N/A</v>
      </c>
    </row>
    <row r="651" spans="1:17" x14ac:dyDescent="0.45">
      <c r="A651" s="3">
        <f>配列!B611</f>
        <v>0</v>
      </c>
      <c r="B651" s="3" t="e">
        <f>_xlfn.XLOOKUP(A651,対応表!A:A,対応表!B:B)</f>
        <v>#N/A</v>
      </c>
      <c r="C651" s="3">
        <f>配列!C611</f>
        <v>0</v>
      </c>
      <c r="D651" s="3" t="str">
        <f>IF(配列!E611="",RIGHT(配列!D611&amp;配列!E611,4)&amp;"L",RIGHT(配列!D611&amp;配列!E611,5))</f>
        <v>L</v>
      </c>
      <c r="E651" s="3">
        <f t="shared" si="40"/>
        <v>0</v>
      </c>
      <c r="F651" s="3" t="e">
        <f>_xlfn.XLOOKUP(E651,セットアップレポート_紐づけ用!A:A,セットアップレポート_紐づけ用!J:J)</f>
        <v>#N/A</v>
      </c>
      <c r="G651" s="3" t="e">
        <f>_xlfn.XLOOKUP(E651,セットアップレポート_紐づけ用!A:A,セットアップレポート_紐づけ用!V:V)</f>
        <v>#N/A</v>
      </c>
      <c r="H651" s="3">
        <f t="shared" si="43"/>
        <v>-2</v>
      </c>
      <c r="I651" t="str">
        <f>IF(J651=0,"",IF(配列!E651="",マクロ実行!$A$16 &amp;" T"&amp;H651&amp;"-"&amp;RIGHT(配列!D651&amp;配列!E651,2),マクロ実行!$A$16 &amp;" T"&amp;H651&amp;"-"&amp;RIGHT(配列!D651&amp;配列!E651,3)))</f>
        <v/>
      </c>
      <c r="J651">
        <f>配列!F611</f>
        <v>0</v>
      </c>
      <c r="K651" s="2" t="e">
        <f>_xlfn.XLOOKUP(E651,セットアップレポート_紐づけ用!A:A,セットアップレポート_紐づけ用!R:R)</f>
        <v>#N/A</v>
      </c>
      <c r="L651" t="e">
        <f t="shared" si="41"/>
        <v>#N/A</v>
      </c>
      <c r="M651" t="e">
        <f>_xlfn.XLOOKUP(L651,EGPro!A:A,EGPro!D:D)</f>
        <v>#N/A</v>
      </c>
      <c r="N651" t="e">
        <f>_xlfn.XLOOKUP(L651,EGPro!A:A,EGPro!C:C)</f>
        <v>#N/A</v>
      </c>
      <c r="O651" t="e">
        <f t="shared" si="42"/>
        <v>#N/A</v>
      </c>
      <c r="P651" t="e">
        <f>_xlfn.XLOOKUP(O651,EGPro!A:A,EGPro!D:D)</f>
        <v>#N/A</v>
      </c>
      <c r="Q651" t="e">
        <f>_xlfn.XLOOKUP(O651,EGPro!A:A,EGPro!C:C)</f>
        <v>#N/A</v>
      </c>
    </row>
    <row r="652" spans="1:17" x14ac:dyDescent="0.45">
      <c r="A652" s="3">
        <f>配列!B612</f>
        <v>0</v>
      </c>
      <c r="B652" s="3" t="e">
        <f>_xlfn.XLOOKUP(A652,対応表!A:A,対応表!B:B)</f>
        <v>#N/A</v>
      </c>
      <c r="C652" s="3">
        <f>配列!C612</f>
        <v>0</v>
      </c>
      <c r="D652" s="3" t="str">
        <f>IF(配列!E612="",RIGHT(配列!D612&amp;配列!E612,4)&amp;"L",RIGHT(配列!D612&amp;配列!E612,5))</f>
        <v>L</v>
      </c>
      <c r="E652" s="3">
        <f t="shared" si="40"/>
        <v>0</v>
      </c>
      <c r="F652" s="3" t="e">
        <f>_xlfn.XLOOKUP(E652,セットアップレポート_紐づけ用!A:A,セットアップレポート_紐づけ用!J:J)</f>
        <v>#N/A</v>
      </c>
      <c r="G652" s="3" t="e">
        <f>_xlfn.XLOOKUP(E652,セットアップレポート_紐づけ用!A:A,セットアップレポート_紐づけ用!V:V)</f>
        <v>#N/A</v>
      </c>
      <c r="H652" s="3">
        <f t="shared" si="43"/>
        <v>-2</v>
      </c>
      <c r="I652" t="str">
        <f>IF(J652=0,"",IF(配列!E652="",マクロ実行!$A$16 &amp;" T"&amp;H652&amp;"-"&amp;RIGHT(配列!D652&amp;配列!E652,2),マクロ実行!$A$16 &amp;" T"&amp;H652&amp;"-"&amp;RIGHT(配列!D652&amp;配列!E652,3)))</f>
        <v/>
      </c>
      <c r="J652">
        <f>配列!F612</f>
        <v>0</v>
      </c>
      <c r="K652" s="2" t="e">
        <f>_xlfn.XLOOKUP(E652,セットアップレポート_紐づけ用!A:A,セットアップレポート_紐づけ用!R:R)</f>
        <v>#N/A</v>
      </c>
      <c r="L652" t="e">
        <f t="shared" si="41"/>
        <v>#N/A</v>
      </c>
      <c r="M652" t="e">
        <f>_xlfn.XLOOKUP(L652,EGPro!A:A,EGPro!D:D)</f>
        <v>#N/A</v>
      </c>
      <c r="N652" t="e">
        <f>_xlfn.XLOOKUP(L652,EGPro!A:A,EGPro!C:C)</f>
        <v>#N/A</v>
      </c>
      <c r="O652" t="e">
        <f t="shared" si="42"/>
        <v>#N/A</v>
      </c>
      <c r="P652" t="e">
        <f>_xlfn.XLOOKUP(O652,EGPro!A:A,EGPro!D:D)</f>
        <v>#N/A</v>
      </c>
      <c r="Q652" t="e">
        <f>_xlfn.XLOOKUP(O652,EGPro!A:A,EGPro!C:C)</f>
        <v>#N/A</v>
      </c>
    </row>
    <row r="653" spans="1:17" x14ac:dyDescent="0.45">
      <c r="A653" s="3">
        <f>配列!B613</f>
        <v>0</v>
      </c>
      <c r="B653" s="3" t="e">
        <f>_xlfn.XLOOKUP(A653,対応表!A:A,対応表!B:B)</f>
        <v>#N/A</v>
      </c>
      <c r="C653" s="3">
        <f>配列!C613</f>
        <v>0</v>
      </c>
      <c r="D653" s="3" t="str">
        <f>IF(配列!E613="",RIGHT(配列!D613&amp;配列!E613,4)&amp;"L",RIGHT(配列!D613&amp;配列!E613,5))</f>
        <v>L</v>
      </c>
      <c r="E653" s="3">
        <f t="shared" si="40"/>
        <v>0</v>
      </c>
      <c r="F653" s="3" t="e">
        <f>_xlfn.XLOOKUP(E653,セットアップレポート_紐づけ用!A:A,セットアップレポート_紐づけ用!J:J)</f>
        <v>#N/A</v>
      </c>
      <c r="G653" s="3" t="e">
        <f>_xlfn.XLOOKUP(E653,セットアップレポート_紐づけ用!A:A,セットアップレポート_紐づけ用!V:V)</f>
        <v>#N/A</v>
      </c>
      <c r="H653" s="3">
        <f t="shared" si="43"/>
        <v>-2</v>
      </c>
      <c r="I653" t="str">
        <f>IF(J653=0,"",IF(配列!E653="",マクロ実行!$A$16 &amp;" T"&amp;H653&amp;"-"&amp;RIGHT(配列!D653&amp;配列!E653,2),マクロ実行!$A$16 &amp;" T"&amp;H653&amp;"-"&amp;RIGHT(配列!D653&amp;配列!E653,3)))</f>
        <v/>
      </c>
      <c r="J653">
        <f>配列!F613</f>
        <v>0</v>
      </c>
      <c r="K653" s="2" t="e">
        <f>_xlfn.XLOOKUP(E653,セットアップレポート_紐づけ用!A:A,セットアップレポート_紐づけ用!R:R)</f>
        <v>#N/A</v>
      </c>
      <c r="L653" t="e">
        <f t="shared" si="41"/>
        <v>#N/A</v>
      </c>
      <c r="M653" t="e">
        <f>_xlfn.XLOOKUP(L653,EGPro!A:A,EGPro!D:D)</f>
        <v>#N/A</v>
      </c>
      <c r="N653" t="e">
        <f>_xlfn.XLOOKUP(L653,EGPro!A:A,EGPro!C:C)</f>
        <v>#N/A</v>
      </c>
      <c r="O653" t="e">
        <f t="shared" si="42"/>
        <v>#N/A</v>
      </c>
      <c r="P653" t="e">
        <f>_xlfn.XLOOKUP(O653,EGPro!A:A,EGPro!D:D)</f>
        <v>#N/A</v>
      </c>
      <c r="Q653" t="e">
        <f>_xlfn.XLOOKUP(O653,EGPro!A:A,EGPro!C:C)</f>
        <v>#N/A</v>
      </c>
    </row>
    <row r="654" spans="1:17" x14ac:dyDescent="0.45">
      <c r="A654" s="3">
        <f>配列!B614</f>
        <v>0</v>
      </c>
      <c r="B654" s="3" t="e">
        <f>_xlfn.XLOOKUP(A654,対応表!A:A,対応表!B:B)</f>
        <v>#N/A</v>
      </c>
      <c r="C654" s="3">
        <f>配列!C614</f>
        <v>0</v>
      </c>
      <c r="D654" s="3" t="str">
        <f>IF(配列!E614="",RIGHT(配列!D614&amp;配列!E614,4)&amp;"L",RIGHT(配列!D614&amp;配列!E614,5))</f>
        <v>L</v>
      </c>
      <c r="E654" s="3">
        <f t="shared" si="40"/>
        <v>0</v>
      </c>
      <c r="F654" s="3" t="e">
        <f>_xlfn.XLOOKUP(E654,セットアップレポート_紐づけ用!A:A,セットアップレポート_紐づけ用!J:J)</f>
        <v>#N/A</v>
      </c>
      <c r="G654" s="3" t="e">
        <f>_xlfn.XLOOKUP(E654,セットアップレポート_紐づけ用!A:A,セットアップレポート_紐づけ用!V:V)</f>
        <v>#N/A</v>
      </c>
      <c r="H654" s="3">
        <f t="shared" si="43"/>
        <v>-2</v>
      </c>
      <c r="I654" t="str">
        <f>IF(J654=0,"",IF(配列!E654="",マクロ実行!$A$16 &amp;" T"&amp;H654&amp;"-"&amp;RIGHT(配列!D654&amp;配列!E654,2),マクロ実行!$A$16 &amp;" T"&amp;H654&amp;"-"&amp;RIGHT(配列!D654&amp;配列!E654,3)))</f>
        <v/>
      </c>
      <c r="J654">
        <f>配列!F614</f>
        <v>0</v>
      </c>
      <c r="K654" s="2" t="e">
        <f>_xlfn.XLOOKUP(E654,セットアップレポート_紐づけ用!A:A,セットアップレポート_紐づけ用!R:R)</f>
        <v>#N/A</v>
      </c>
      <c r="L654" t="e">
        <f t="shared" si="41"/>
        <v>#N/A</v>
      </c>
      <c r="M654" t="e">
        <f>_xlfn.XLOOKUP(L654,EGPro!A:A,EGPro!D:D)</f>
        <v>#N/A</v>
      </c>
      <c r="N654" t="e">
        <f>_xlfn.XLOOKUP(L654,EGPro!A:A,EGPro!C:C)</f>
        <v>#N/A</v>
      </c>
      <c r="O654" t="e">
        <f t="shared" si="42"/>
        <v>#N/A</v>
      </c>
      <c r="P654" t="e">
        <f>_xlfn.XLOOKUP(O654,EGPro!A:A,EGPro!D:D)</f>
        <v>#N/A</v>
      </c>
      <c r="Q654" t="e">
        <f>_xlfn.XLOOKUP(O654,EGPro!A:A,EGPro!C:C)</f>
        <v>#N/A</v>
      </c>
    </row>
    <row r="655" spans="1:17" x14ac:dyDescent="0.45">
      <c r="A655" s="3">
        <f>配列!B615</f>
        <v>0</v>
      </c>
      <c r="B655" s="3" t="e">
        <f>_xlfn.XLOOKUP(A655,対応表!A:A,対応表!B:B)</f>
        <v>#N/A</v>
      </c>
      <c r="C655" s="3">
        <f>配列!C615</f>
        <v>0</v>
      </c>
      <c r="D655" s="3" t="str">
        <f>IF(配列!E615="",RIGHT(配列!D615&amp;配列!E615,4)&amp;"L",RIGHT(配列!D615&amp;配列!E615,5))</f>
        <v>L</v>
      </c>
      <c r="E655" s="3">
        <f t="shared" si="40"/>
        <v>0</v>
      </c>
      <c r="F655" s="3" t="e">
        <f>_xlfn.XLOOKUP(E655,セットアップレポート_紐づけ用!A:A,セットアップレポート_紐づけ用!J:J)</f>
        <v>#N/A</v>
      </c>
      <c r="G655" s="3" t="e">
        <f>_xlfn.XLOOKUP(E655,セットアップレポート_紐づけ用!A:A,セットアップレポート_紐づけ用!V:V)</f>
        <v>#N/A</v>
      </c>
      <c r="H655" s="3">
        <f t="shared" si="43"/>
        <v>-2</v>
      </c>
      <c r="I655" t="str">
        <f>IF(J655=0,"",IF(配列!E655="",マクロ実行!$A$16 &amp;" T"&amp;H655&amp;"-"&amp;RIGHT(配列!D655&amp;配列!E655,2),マクロ実行!$A$16 &amp;" T"&amp;H655&amp;"-"&amp;RIGHT(配列!D655&amp;配列!E655,3)))</f>
        <v/>
      </c>
      <c r="J655">
        <f>配列!F615</f>
        <v>0</v>
      </c>
      <c r="K655" s="2" t="e">
        <f>_xlfn.XLOOKUP(E655,セットアップレポート_紐づけ用!A:A,セットアップレポート_紐づけ用!R:R)</f>
        <v>#N/A</v>
      </c>
      <c r="L655" t="e">
        <f t="shared" si="41"/>
        <v>#N/A</v>
      </c>
      <c r="M655" t="e">
        <f>_xlfn.XLOOKUP(L655,EGPro!A:A,EGPro!D:D)</f>
        <v>#N/A</v>
      </c>
      <c r="N655" t="e">
        <f>_xlfn.XLOOKUP(L655,EGPro!A:A,EGPro!C:C)</f>
        <v>#N/A</v>
      </c>
      <c r="O655" t="e">
        <f t="shared" si="42"/>
        <v>#N/A</v>
      </c>
      <c r="P655" t="e">
        <f>_xlfn.XLOOKUP(O655,EGPro!A:A,EGPro!D:D)</f>
        <v>#N/A</v>
      </c>
      <c r="Q655" t="e">
        <f>_xlfn.XLOOKUP(O655,EGPro!A:A,EGPro!C:C)</f>
        <v>#N/A</v>
      </c>
    </row>
    <row r="656" spans="1:17" x14ac:dyDescent="0.45">
      <c r="A656" s="3">
        <f>配列!B616</f>
        <v>0</v>
      </c>
      <c r="B656" s="3" t="e">
        <f>_xlfn.XLOOKUP(A656,対応表!A:A,対応表!B:B)</f>
        <v>#N/A</v>
      </c>
      <c r="C656" s="3">
        <f>配列!C616</f>
        <v>0</v>
      </c>
      <c r="D656" s="3" t="str">
        <f>IF(配列!E616="",RIGHT(配列!D616&amp;配列!E616,4)&amp;"L",RIGHT(配列!D616&amp;配列!E616,5))</f>
        <v>L</v>
      </c>
      <c r="E656" s="3">
        <f t="shared" si="40"/>
        <v>0</v>
      </c>
      <c r="F656" s="3" t="e">
        <f>_xlfn.XLOOKUP(E656,セットアップレポート_紐づけ用!A:A,セットアップレポート_紐づけ用!J:J)</f>
        <v>#N/A</v>
      </c>
      <c r="G656" s="3" t="e">
        <f>_xlfn.XLOOKUP(E656,セットアップレポート_紐づけ用!A:A,セットアップレポート_紐づけ用!V:V)</f>
        <v>#N/A</v>
      </c>
      <c r="H656" s="3">
        <f t="shared" si="43"/>
        <v>-2</v>
      </c>
      <c r="I656" t="str">
        <f>IF(J656=0,"",IF(配列!E656="",マクロ実行!$A$16 &amp;" T"&amp;H656&amp;"-"&amp;RIGHT(配列!D656&amp;配列!E656,2),マクロ実行!$A$16 &amp;" T"&amp;H656&amp;"-"&amp;RIGHT(配列!D656&amp;配列!E656,3)))</f>
        <v/>
      </c>
      <c r="J656">
        <f>配列!F616</f>
        <v>0</v>
      </c>
      <c r="K656" s="2" t="e">
        <f>_xlfn.XLOOKUP(E656,セットアップレポート_紐づけ用!A:A,セットアップレポート_紐づけ用!R:R)</f>
        <v>#N/A</v>
      </c>
      <c r="L656" t="e">
        <f t="shared" si="41"/>
        <v>#N/A</v>
      </c>
      <c r="M656" t="e">
        <f>_xlfn.XLOOKUP(L656,EGPro!A:A,EGPro!D:D)</f>
        <v>#N/A</v>
      </c>
      <c r="N656" t="e">
        <f>_xlfn.XLOOKUP(L656,EGPro!A:A,EGPro!C:C)</f>
        <v>#N/A</v>
      </c>
      <c r="O656" t="e">
        <f t="shared" si="42"/>
        <v>#N/A</v>
      </c>
      <c r="P656" t="e">
        <f>_xlfn.XLOOKUP(O656,EGPro!A:A,EGPro!D:D)</f>
        <v>#N/A</v>
      </c>
      <c r="Q656" t="e">
        <f>_xlfn.XLOOKUP(O656,EGPro!A:A,EGPro!C:C)</f>
        <v>#N/A</v>
      </c>
    </row>
    <row r="657" spans="1:17" x14ac:dyDescent="0.45">
      <c r="A657" s="3">
        <f>配列!B617</f>
        <v>0</v>
      </c>
      <c r="B657" s="3" t="e">
        <f>_xlfn.XLOOKUP(A657,対応表!A:A,対応表!B:B)</f>
        <v>#N/A</v>
      </c>
      <c r="C657" s="3">
        <f>配列!C617</f>
        <v>0</v>
      </c>
      <c r="D657" s="3" t="str">
        <f>IF(配列!E617="",RIGHT(配列!D617&amp;配列!E617,4)&amp;"L",RIGHT(配列!D617&amp;配列!E617,5))</f>
        <v>L</v>
      </c>
      <c r="E657" s="3">
        <f t="shared" si="40"/>
        <v>0</v>
      </c>
      <c r="F657" s="3" t="e">
        <f>_xlfn.XLOOKUP(E657,セットアップレポート_紐づけ用!A:A,セットアップレポート_紐づけ用!J:J)</f>
        <v>#N/A</v>
      </c>
      <c r="G657" s="3" t="e">
        <f>_xlfn.XLOOKUP(E657,セットアップレポート_紐づけ用!A:A,セットアップレポート_紐づけ用!V:V)</f>
        <v>#N/A</v>
      </c>
      <c r="H657" s="3">
        <f t="shared" si="43"/>
        <v>-2</v>
      </c>
      <c r="I657" t="str">
        <f>IF(J657=0,"",IF(配列!E657="",マクロ実行!$A$16 &amp;" T"&amp;H657&amp;"-"&amp;RIGHT(配列!D657&amp;配列!E657,2),マクロ実行!$A$16 &amp;" T"&amp;H657&amp;"-"&amp;RIGHT(配列!D657&amp;配列!E657,3)))</f>
        <v/>
      </c>
      <c r="J657">
        <f>配列!F617</f>
        <v>0</v>
      </c>
      <c r="K657" s="2" t="e">
        <f>_xlfn.XLOOKUP(E657,セットアップレポート_紐づけ用!A:A,セットアップレポート_紐づけ用!R:R)</f>
        <v>#N/A</v>
      </c>
      <c r="L657" t="e">
        <f t="shared" si="41"/>
        <v>#N/A</v>
      </c>
      <c r="M657" t="e">
        <f>_xlfn.XLOOKUP(L657,EGPro!A:A,EGPro!D:D)</f>
        <v>#N/A</v>
      </c>
      <c r="N657" t="e">
        <f>_xlfn.XLOOKUP(L657,EGPro!A:A,EGPro!C:C)</f>
        <v>#N/A</v>
      </c>
      <c r="O657" t="e">
        <f t="shared" si="42"/>
        <v>#N/A</v>
      </c>
      <c r="P657" t="e">
        <f>_xlfn.XLOOKUP(O657,EGPro!A:A,EGPro!D:D)</f>
        <v>#N/A</v>
      </c>
      <c r="Q657" t="e">
        <f>_xlfn.XLOOKUP(O657,EGPro!A:A,EGPro!C:C)</f>
        <v>#N/A</v>
      </c>
    </row>
    <row r="658" spans="1:17" x14ac:dyDescent="0.45">
      <c r="A658" s="3">
        <f>配列!B618</f>
        <v>0</v>
      </c>
      <c r="B658" s="3" t="e">
        <f>_xlfn.XLOOKUP(A658,対応表!A:A,対応表!B:B)</f>
        <v>#N/A</v>
      </c>
      <c r="C658" s="3">
        <f>配列!C618</f>
        <v>0</v>
      </c>
      <c r="D658" s="3" t="str">
        <f>IF(配列!E618="",RIGHT(配列!D618&amp;配列!E618,4)&amp;"L",RIGHT(配列!D618&amp;配列!E618,5))</f>
        <v>L</v>
      </c>
      <c r="E658" s="3">
        <f t="shared" si="40"/>
        <v>0</v>
      </c>
      <c r="F658" s="3" t="e">
        <f>_xlfn.XLOOKUP(E658,セットアップレポート_紐づけ用!A:A,セットアップレポート_紐づけ用!J:J)</f>
        <v>#N/A</v>
      </c>
      <c r="G658" s="3" t="e">
        <f>_xlfn.XLOOKUP(E658,セットアップレポート_紐づけ用!A:A,セットアップレポート_紐づけ用!V:V)</f>
        <v>#N/A</v>
      </c>
      <c r="H658" s="3">
        <f t="shared" si="43"/>
        <v>-2</v>
      </c>
      <c r="I658" t="str">
        <f>IF(J658=0,"",IF(配列!E658="",マクロ実行!$A$16 &amp;" T"&amp;H658&amp;"-"&amp;RIGHT(配列!D658&amp;配列!E658,2),マクロ実行!$A$16 &amp;" T"&amp;H658&amp;"-"&amp;RIGHT(配列!D658&amp;配列!E658,3)))</f>
        <v/>
      </c>
      <c r="J658">
        <f>配列!F618</f>
        <v>0</v>
      </c>
      <c r="K658" s="2" t="e">
        <f>_xlfn.XLOOKUP(E658,セットアップレポート_紐づけ用!A:A,セットアップレポート_紐づけ用!R:R)</f>
        <v>#N/A</v>
      </c>
      <c r="L658" t="e">
        <f t="shared" si="41"/>
        <v>#N/A</v>
      </c>
      <c r="M658" t="e">
        <f>_xlfn.XLOOKUP(L658,EGPro!A:A,EGPro!D:D)</f>
        <v>#N/A</v>
      </c>
      <c r="N658" t="e">
        <f>_xlfn.XLOOKUP(L658,EGPro!A:A,EGPro!C:C)</f>
        <v>#N/A</v>
      </c>
      <c r="O658" t="e">
        <f t="shared" si="42"/>
        <v>#N/A</v>
      </c>
      <c r="P658" t="e">
        <f>_xlfn.XLOOKUP(O658,EGPro!A:A,EGPro!D:D)</f>
        <v>#N/A</v>
      </c>
      <c r="Q658" t="e">
        <f>_xlfn.XLOOKUP(O658,EGPro!A:A,EGPro!C:C)</f>
        <v>#N/A</v>
      </c>
    </row>
    <row r="659" spans="1:17" x14ac:dyDescent="0.45">
      <c r="A659" s="3">
        <f>配列!B619</f>
        <v>0</v>
      </c>
      <c r="B659" s="3" t="e">
        <f>_xlfn.XLOOKUP(A659,対応表!A:A,対応表!B:B)</f>
        <v>#N/A</v>
      </c>
      <c r="C659" s="3">
        <f>配列!C619</f>
        <v>0</v>
      </c>
      <c r="D659" s="3" t="str">
        <f>IF(配列!E619="",RIGHT(配列!D619&amp;配列!E619,4)&amp;"L",RIGHT(配列!D619&amp;配列!E619,5))</f>
        <v>L</v>
      </c>
      <c r="E659" s="3">
        <f t="shared" si="40"/>
        <v>0</v>
      </c>
      <c r="F659" s="3" t="e">
        <f>_xlfn.XLOOKUP(E659,セットアップレポート_紐づけ用!A:A,セットアップレポート_紐づけ用!J:J)</f>
        <v>#N/A</v>
      </c>
      <c r="G659" s="3" t="e">
        <f>_xlfn.XLOOKUP(E659,セットアップレポート_紐づけ用!A:A,セットアップレポート_紐づけ用!V:V)</f>
        <v>#N/A</v>
      </c>
      <c r="H659" s="3">
        <f t="shared" si="43"/>
        <v>-2</v>
      </c>
      <c r="I659" t="str">
        <f>IF(J659=0,"",IF(配列!E659="",マクロ実行!$A$16 &amp;" T"&amp;H659&amp;"-"&amp;RIGHT(配列!D659&amp;配列!E659,2),マクロ実行!$A$16 &amp;" T"&amp;H659&amp;"-"&amp;RIGHT(配列!D659&amp;配列!E659,3)))</f>
        <v/>
      </c>
      <c r="J659">
        <f>配列!F619</f>
        <v>0</v>
      </c>
      <c r="K659" s="2" t="e">
        <f>_xlfn.XLOOKUP(E659,セットアップレポート_紐づけ用!A:A,セットアップレポート_紐づけ用!R:R)</f>
        <v>#N/A</v>
      </c>
      <c r="L659" t="e">
        <f t="shared" si="41"/>
        <v>#N/A</v>
      </c>
      <c r="M659" t="e">
        <f>_xlfn.XLOOKUP(L659,EGPro!A:A,EGPro!D:D)</f>
        <v>#N/A</v>
      </c>
      <c r="N659" t="e">
        <f>_xlfn.XLOOKUP(L659,EGPro!A:A,EGPro!C:C)</f>
        <v>#N/A</v>
      </c>
      <c r="O659" t="e">
        <f t="shared" si="42"/>
        <v>#N/A</v>
      </c>
      <c r="P659" t="e">
        <f>_xlfn.XLOOKUP(O659,EGPro!A:A,EGPro!D:D)</f>
        <v>#N/A</v>
      </c>
      <c r="Q659" t="e">
        <f>_xlfn.XLOOKUP(O659,EGPro!A:A,EGPro!C:C)</f>
        <v>#N/A</v>
      </c>
    </row>
    <row r="660" spans="1:17" x14ac:dyDescent="0.45">
      <c r="A660" s="3">
        <f>配列!B620</f>
        <v>0</v>
      </c>
      <c r="B660" s="3" t="e">
        <f>_xlfn.XLOOKUP(A660,対応表!A:A,対応表!B:B)</f>
        <v>#N/A</v>
      </c>
      <c r="C660" s="3">
        <f>配列!C620</f>
        <v>0</v>
      </c>
      <c r="D660" s="3" t="str">
        <f>IF(配列!E620="",RIGHT(配列!D620&amp;配列!E620,4)&amp;"L",RIGHT(配列!D620&amp;配列!E620,5))</f>
        <v>L</v>
      </c>
      <c r="E660" s="3">
        <f t="shared" si="40"/>
        <v>0</v>
      </c>
      <c r="F660" s="3" t="e">
        <f>_xlfn.XLOOKUP(E660,セットアップレポート_紐づけ用!A:A,セットアップレポート_紐づけ用!J:J)</f>
        <v>#N/A</v>
      </c>
      <c r="G660" s="3" t="e">
        <f>_xlfn.XLOOKUP(E660,セットアップレポート_紐づけ用!A:A,セットアップレポート_紐づけ用!V:V)</f>
        <v>#N/A</v>
      </c>
      <c r="H660" s="3">
        <f t="shared" si="43"/>
        <v>-2</v>
      </c>
      <c r="I660" t="str">
        <f>IF(J660=0,"",IF(配列!E660="",マクロ実行!$A$16 &amp;" T"&amp;H660&amp;"-"&amp;RIGHT(配列!D660&amp;配列!E660,2),マクロ実行!$A$16 &amp;" T"&amp;H660&amp;"-"&amp;RIGHT(配列!D660&amp;配列!E660,3)))</f>
        <v/>
      </c>
      <c r="J660">
        <f>配列!F620</f>
        <v>0</v>
      </c>
      <c r="K660" s="2" t="e">
        <f>_xlfn.XLOOKUP(E660,セットアップレポート_紐づけ用!A:A,セットアップレポート_紐づけ用!R:R)</f>
        <v>#N/A</v>
      </c>
      <c r="L660" t="e">
        <f t="shared" si="41"/>
        <v>#N/A</v>
      </c>
      <c r="M660" t="e">
        <f>_xlfn.XLOOKUP(L660,EGPro!A:A,EGPro!D:D)</f>
        <v>#N/A</v>
      </c>
      <c r="N660" t="e">
        <f>_xlfn.XLOOKUP(L660,EGPro!A:A,EGPro!C:C)</f>
        <v>#N/A</v>
      </c>
      <c r="O660" t="e">
        <f t="shared" si="42"/>
        <v>#N/A</v>
      </c>
      <c r="P660" t="e">
        <f>_xlfn.XLOOKUP(O660,EGPro!A:A,EGPro!D:D)</f>
        <v>#N/A</v>
      </c>
      <c r="Q660" t="e">
        <f>_xlfn.XLOOKUP(O660,EGPro!A:A,EGPro!C:C)</f>
        <v>#N/A</v>
      </c>
    </row>
    <row r="661" spans="1:17" x14ac:dyDescent="0.45">
      <c r="A661" s="3">
        <f>配列!B621</f>
        <v>0</v>
      </c>
      <c r="B661" s="3" t="e">
        <f>_xlfn.XLOOKUP(A661,対応表!A:A,対応表!B:B)</f>
        <v>#N/A</v>
      </c>
      <c r="C661" s="3">
        <f>配列!C621</f>
        <v>0</v>
      </c>
      <c r="D661" s="3" t="str">
        <f>IF(配列!E621="",RIGHT(配列!D621&amp;配列!E621,4)&amp;"L",RIGHT(配列!D621&amp;配列!E621,5))</f>
        <v>L</v>
      </c>
      <c r="E661" s="3">
        <f t="shared" si="40"/>
        <v>0</v>
      </c>
      <c r="F661" s="3" t="e">
        <f>_xlfn.XLOOKUP(E661,セットアップレポート_紐づけ用!A:A,セットアップレポート_紐づけ用!J:J)</f>
        <v>#N/A</v>
      </c>
      <c r="G661" s="3" t="e">
        <f>_xlfn.XLOOKUP(E661,セットアップレポート_紐づけ用!A:A,セットアップレポート_紐づけ用!V:V)</f>
        <v>#N/A</v>
      </c>
      <c r="H661" s="3">
        <f t="shared" si="43"/>
        <v>-2</v>
      </c>
      <c r="I661" t="str">
        <f>IF(J661=0,"",IF(配列!E661="",マクロ実行!$A$16 &amp;" T"&amp;H661&amp;"-"&amp;RIGHT(配列!D661&amp;配列!E661,2),マクロ実行!$A$16 &amp;" T"&amp;H661&amp;"-"&amp;RIGHT(配列!D661&amp;配列!E661,3)))</f>
        <v/>
      </c>
      <c r="J661">
        <f>配列!F621</f>
        <v>0</v>
      </c>
      <c r="K661" s="2" t="e">
        <f>_xlfn.XLOOKUP(E661,セットアップレポート_紐づけ用!A:A,セットアップレポート_紐づけ用!R:R)</f>
        <v>#N/A</v>
      </c>
      <c r="L661" t="e">
        <f t="shared" si="41"/>
        <v>#N/A</v>
      </c>
      <c r="M661" t="e">
        <f>_xlfn.XLOOKUP(L661,EGPro!A:A,EGPro!D:D)</f>
        <v>#N/A</v>
      </c>
      <c r="N661" t="e">
        <f>_xlfn.XLOOKUP(L661,EGPro!A:A,EGPro!C:C)</f>
        <v>#N/A</v>
      </c>
      <c r="O661" t="e">
        <f t="shared" si="42"/>
        <v>#N/A</v>
      </c>
      <c r="P661" t="e">
        <f>_xlfn.XLOOKUP(O661,EGPro!A:A,EGPro!D:D)</f>
        <v>#N/A</v>
      </c>
      <c r="Q661" t="e">
        <f>_xlfn.XLOOKUP(O661,EGPro!A:A,EGPro!C:C)</f>
        <v>#N/A</v>
      </c>
    </row>
    <row r="662" spans="1:17" x14ac:dyDescent="0.45">
      <c r="A662" s="3">
        <f>配列!B622</f>
        <v>0</v>
      </c>
      <c r="B662" s="3" t="e">
        <f>_xlfn.XLOOKUP(A662,対応表!A:A,対応表!B:B)</f>
        <v>#N/A</v>
      </c>
      <c r="C662" s="3">
        <f>配列!C622</f>
        <v>0</v>
      </c>
      <c r="D662" s="3" t="str">
        <f>IF(配列!E622="",RIGHT(配列!D622&amp;配列!E622,4)&amp;"L",RIGHT(配列!D622&amp;配列!E622,5))</f>
        <v>L</v>
      </c>
      <c r="E662" s="3">
        <f t="shared" si="40"/>
        <v>0</v>
      </c>
      <c r="F662" s="3" t="e">
        <f>_xlfn.XLOOKUP(E662,セットアップレポート_紐づけ用!A:A,セットアップレポート_紐づけ用!J:J)</f>
        <v>#N/A</v>
      </c>
      <c r="G662" s="3" t="e">
        <f>_xlfn.XLOOKUP(E662,セットアップレポート_紐づけ用!A:A,セットアップレポート_紐づけ用!V:V)</f>
        <v>#N/A</v>
      </c>
      <c r="H662" s="3">
        <f t="shared" si="43"/>
        <v>-2</v>
      </c>
      <c r="I662" t="str">
        <f>IF(J662=0,"",IF(配列!E662="",マクロ実行!$A$16 &amp;" T"&amp;H662&amp;"-"&amp;RIGHT(配列!D662&amp;配列!E662,2),マクロ実行!$A$16 &amp;" T"&amp;H662&amp;"-"&amp;RIGHT(配列!D662&amp;配列!E662,3)))</f>
        <v/>
      </c>
      <c r="J662">
        <f>配列!F622</f>
        <v>0</v>
      </c>
      <c r="K662" s="2" t="e">
        <f>_xlfn.XLOOKUP(E662,セットアップレポート_紐づけ用!A:A,セットアップレポート_紐づけ用!R:R)</f>
        <v>#N/A</v>
      </c>
      <c r="L662" t="e">
        <f t="shared" si="41"/>
        <v>#N/A</v>
      </c>
      <c r="M662" t="e">
        <f>_xlfn.XLOOKUP(L662,EGPro!A:A,EGPro!D:D)</f>
        <v>#N/A</v>
      </c>
      <c r="N662" t="e">
        <f>_xlfn.XLOOKUP(L662,EGPro!A:A,EGPro!C:C)</f>
        <v>#N/A</v>
      </c>
      <c r="O662" t="e">
        <f t="shared" si="42"/>
        <v>#N/A</v>
      </c>
      <c r="P662" t="e">
        <f>_xlfn.XLOOKUP(O662,EGPro!A:A,EGPro!D:D)</f>
        <v>#N/A</v>
      </c>
      <c r="Q662" t="e">
        <f>_xlfn.XLOOKUP(O662,EGPro!A:A,EGPro!C:C)</f>
        <v>#N/A</v>
      </c>
    </row>
    <row r="663" spans="1:17" x14ac:dyDescent="0.45">
      <c r="A663" s="3">
        <f>配列!B623</f>
        <v>0</v>
      </c>
      <c r="B663" s="3" t="e">
        <f>_xlfn.XLOOKUP(A663,対応表!A:A,対応表!B:B)</f>
        <v>#N/A</v>
      </c>
      <c r="C663" s="3">
        <f>配列!C623</f>
        <v>0</v>
      </c>
      <c r="D663" s="3" t="str">
        <f>IF(配列!E623="",RIGHT(配列!D623&amp;配列!E623,4)&amp;"L",RIGHT(配列!D623&amp;配列!E623,5))</f>
        <v>L</v>
      </c>
      <c r="E663" s="3">
        <f t="shared" si="40"/>
        <v>0</v>
      </c>
      <c r="F663" s="3" t="e">
        <f>_xlfn.XLOOKUP(E663,セットアップレポート_紐づけ用!A:A,セットアップレポート_紐づけ用!J:J)</f>
        <v>#N/A</v>
      </c>
      <c r="G663" s="3" t="e">
        <f>_xlfn.XLOOKUP(E663,セットアップレポート_紐づけ用!A:A,セットアップレポート_紐づけ用!V:V)</f>
        <v>#N/A</v>
      </c>
      <c r="H663" s="3">
        <f t="shared" si="43"/>
        <v>-2</v>
      </c>
      <c r="I663" t="str">
        <f>IF(J663=0,"",IF(配列!E663="",マクロ実行!$A$16 &amp;" T"&amp;H663&amp;"-"&amp;RIGHT(配列!D663&amp;配列!E663,2),マクロ実行!$A$16 &amp;" T"&amp;H663&amp;"-"&amp;RIGHT(配列!D663&amp;配列!E663,3)))</f>
        <v/>
      </c>
      <c r="J663">
        <f>配列!F623</f>
        <v>0</v>
      </c>
      <c r="K663" s="2" t="e">
        <f>_xlfn.XLOOKUP(E663,セットアップレポート_紐づけ用!A:A,セットアップレポート_紐づけ用!R:R)</f>
        <v>#N/A</v>
      </c>
      <c r="L663" t="e">
        <f t="shared" si="41"/>
        <v>#N/A</v>
      </c>
      <c r="M663" t="e">
        <f>_xlfn.XLOOKUP(L663,EGPro!A:A,EGPro!D:D)</f>
        <v>#N/A</v>
      </c>
      <c r="N663" t="e">
        <f>_xlfn.XLOOKUP(L663,EGPro!A:A,EGPro!C:C)</f>
        <v>#N/A</v>
      </c>
      <c r="O663" t="e">
        <f t="shared" si="42"/>
        <v>#N/A</v>
      </c>
      <c r="P663" t="e">
        <f>_xlfn.XLOOKUP(O663,EGPro!A:A,EGPro!D:D)</f>
        <v>#N/A</v>
      </c>
      <c r="Q663" t="e">
        <f>_xlfn.XLOOKUP(O663,EGPro!A:A,EGPro!C:C)</f>
        <v>#N/A</v>
      </c>
    </row>
    <row r="664" spans="1:17" x14ac:dyDescent="0.45">
      <c r="A664" s="3">
        <f>配列!B624</f>
        <v>0</v>
      </c>
      <c r="B664" s="3" t="e">
        <f>_xlfn.XLOOKUP(A664,対応表!A:A,対応表!B:B)</f>
        <v>#N/A</v>
      </c>
      <c r="C664" s="3">
        <f>配列!C624</f>
        <v>0</v>
      </c>
      <c r="D664" s="3" t="str">
        <f>IF(配列!E624="",RIGHT(配列!D624&amp;配列!E624,4)&amp;"L",RIGHT(配列!D624&amp;配列!E624,5))</f>
        <v>L</v>
      </c>
      <c r="E664" s="3">
        <f t="shared" si="40"/>
        <v>0</v>
      </c>
      <c r="F664" s="3" t="e">
        <f>_xlfn.XLOOKUP(E664,セットアップレポート_紐づけ用!A:A,セットアップレポート_紐づけ用!J:J)</f>
        <v>#N/A</v>
      </c>
      <c r="G664" s="3" t="e">
        <f>_xlfn.XLOOKUP(E664,セットアップレポート_紐づけ用!A:A,セットアップレポート_紐づけ用!V:V)</f>
        <v>#N/A</v>
      </c>
      <c r="H664" s="3">
        <f t="shared" si="43"/>
        <v>-2</v>
      </c>
      <c r="I664" t="str">
        <f>IF(J664=0,"",IF(配列!E664="",マクロ実行!$A$16 &amp;" T"&amp;H664&amp;"-"&amp;RIGHT(配列!D664&amp;配列!E664,2),マクロ実行!$A$16 &amp;" T"&amp;H664&amp;"-"&amp;RIGHT(配列!D664&amp;配列!E664,3)))</f>
        <v/>
      </c>
      <c r="J664">
        <f>配列!F624</f>
        <v>0</v>
      </c>
      <c r="K664" s="2" t="e">
        <f>_xlfn.XLOOKUP(E664,セットアップレポート_紐づけ用!A:A,セットアップレポート_紐づけ用!R:R)</f>
        <v>#N/A</v>
      </c>
      <c r="L664" t="e">
        <f t="shared" si="41"/>
        <v>#N/A</v>
      </c>
      <c r="M664" t="e">
        <f>_xlfn.XLOOKUP(L664,EGPro!A:A,EGPro!D:D)</f>
        <v>#N/A</v>
      </c>
      <c r="N664" t="e">
        <f>_xlfn.XLOOKUP(L664,EGPro!A:A,EGPro!C:C)</f>
        <v>#N/A</v>
      </c>
      <c r="O664" t="e">
        <f t="shared" si="42"/>
        <v>#N/A</v>
      </c>
      <c r="P664" t="e">
        <f>_xlfn.XLOOKUP(O664,EGPro!A:A,EGPro!D:D)</f>
        <v>#N/A</v>
      </c>
      <c r="Q664" t="e">
        <f>_xlfn.XLOOKUP(O664,EGPro!A:A,EGPro!C:C)</f>
        <v>#N/A</v>
      </c>
    </row>
    <row r="665" spans="1:17" x14ac:dyDescent="0.45">
      <c r="A665" s="3">
        <f>配列!B625</f>
        <v>0</v>
      </c>
      <c r="B665" s="3" t="e">
        <f>_xlfn.XLOOKUP(A665,対応表!A:A,対応表!B:B)</f>
        <v>#N/A</v>
      </c>
      <c r="C665" s="3">
        <f>配列!C625</f>
        <v>0</v>
      </c>
      <c r="D665" s="3" t="str">
        <f>IF(配列!E625="",RIGHT(配列!D625&amp;配列!E625,4)&amp;"L",RIGHT(配列!D625&amp;配列!E625,5))</f>
        <v>L</v>
      </c>
      <c r="E665" s="3">
        <f t="shared" si="40"/>
        <v>0</v>
      </c>
      <c r="F665" s="3" t="e">
        <f>_xlfn.XLOOKUP(E665,セットアップレポート_紐づけ用!A:A,セットアップレポート_紐づけ用!J:J)</f>
        <v>#N/A</v>
      </c>
      <c r="G665" s="3" t="e">
        <f>_xlfn.XLOOKUP(E665,セットアップレポート_紐づけ用!A:A,セットアップレポート_紐づけ用!V:V)</f>
        <v>#N/A</v>
      </c>
      <c r="H665" s="3">
        <f t="shared" si="43"/>
        <v>-2</v>
      </c>
      <c r="I665" t="str">
        <f>IF(J665=0,"",IF(配列!E665="",マクロ実行!$A$16 &amp;" T"&amp;H665&amp;"-"&amp;RIGHT(配列!D665&amp;配列!E665,2),マクロ実行!$A$16 &amp;" T"&amp;H665&amp;"-"&amp;RIGHT(配列!D665&amp;配列!E665,3)))</f>
        <v/>
      </c>
      <c r="J665">
        <f>配列!F625</f>
        <v>0</v>
      </c>
      <c r="K665" s="2" t="e">
        <f>_xlfn.XLOOKUP(E665,セットアップレポート_紐づけ用!A:A,セットアップレポート_紐づけ用!R:R)</f>
        <v>#N/A</v>
      </c>
      <c r="L665" t="e">
        <f t="shared" si="41"/>
        <v>#N/A</v>
      </c>
      <c r="M665" t="e">
        <f>_xlfn.XLOOKUP(L665,EGPro!A:A,EGPro!D:D)</f>
        <v>#N/A</v>
      </c>
      <c r="N665" t="e">
        <f>_xlfn.XLOOKUP(L665,EGPro!A:A,EGPro!C:C)</f>
        <v>#N/A</v>
      </c>
      <c r="O665" t="e">
        <f t="shared" si="42"/>
        <v>#N/A</v>
      </c>
      <c r="P665" t="e">
        <f>_xlfn.XLOOKUP(O665,EGPro!A:A,EGPro!D:D)</f>
        <v>#N/A</v>
      </c>
      <c r="Q665" t="e">
        <f>_xlfn.XLOOKUP(O665,EGPro!A:A,EGPro!C:C)</f>
        <v>#N/A</v>
      </c>
    </row>
    <row r="666" spans="1:17" x14ac:dyDescent="0.45">
      <c r="A666" s="3">
        <f>配列!B626</f>
        <v>0</v>
      </c>
      <c r="B666" s="3" t="e">
        <f>_xlfn.XLOOKUP(A666,対応表!A:A,対応表!B:B)</f>
        <v>#N/A</v>
      </c>
      <c r="C666" s="3">
        <f>配列!C626</f>
        <v>0</v>
      </c>
      <c r="D666" s="3" t="str">
        <f>IF(配列!E626="",RIGHT(配列!D626&amp;配列!E626,4)&amp;"L",RIGHT(配列!D626&amp;配列!E626,5))</f>
        <v>L</v>
      </c>
      <c r="E666" s="3">
        <f t="shared" si="40"/>
        <v>0</v>
      </c>
      <c r="F666" s="3" t="e">
        <f>_xlfn.XLOOKUP(E666,セットアップレポート_紐づけ用!A:A,セットアップレポート_紐づけ用!J:J)</f>
        <v>#N/A</v>
      </c>
      <c r="G666" s="3" t="e">
        <f>_xlfn.XLOOKUP(E666,セットアップレポート_紐づけ用!A:A,セットアップレポート_紐づけ用!V:V)</f>
        <v>#N/A</v>
      </c>
      <c r="H666" s="3">
        <f t="shared" si="43"/>
        <v>-2</v>
      </c>
      <c r="I666" t="str">
        <f>IF(J666=0,"",IF(配列!E666="",マクロ実行!$A$16 &amp;" T"&amp;H666&amp;"-"&amp;RIGHT(配列!D666&amp;配列!E666,2),マクロ実行!$A$16 &amp;" T"&amp;H666&amp;"-"&amp;RIGHT(配列!D666&amp;配列!E666,3)))</f>
        <v/>
      </c>
      <c r="J666">
        <f>配列!F626</f>
        <v>0</v>
      </c>
      <c r="K666" s="2" t="e">
        <f>_xlfn.XLOOKUP(E666,セットアップレポート_紐づけ用!A:A,セットアップレポート_紐づけ用!R:R)</f>
        <v>#N/A</v>
      </c>
      <c r="L666" t="e">
        <f t="shared" si="41"/>
        <v>#N/A</v>
      </c>
      <c r="M666" t="e">
        <f>_xlfn.XLOOKUP(L666,EGPro!A:A,EGPro!D:D)</f>
        <v>#N/A</v>
      </c>
      <c r="N666" t="e">
        <f>_xlfn.XLOOKUP(L666,EGPro!A:A,EGPro!C:C)</f>
        <v>#N/A</v>
      </c>
      <c r="O666" t="e">
        <f t="shared" si="42"/>
        <v>#N/A</v>
      </c>
      <c r="P666" t="e">
        <f>_xlfn.XLOOKUP(O666,EGPro!A:A,EGPro!D:D)</f>
        <v>#N/A</v>
      </c>
      <c r="Q666" t="e">
        <f>_xlfn.XLOOKUP(O666,EGPro!A:A,EGPro!C:C)</f>
        <v>#N/A</v>
      </c>
    </row>
    <row r="667" spans="1:17" x14ac:dyDescent="0.45">
      <c r="A667" s="3">
        <f>配列!B627</f>
        <v>0</v>
      </c>
      <c r="B667" s="3" t="e">
        <f>_xlfn.XLOOKUP(A667,対応表!A:A,対応表!B:B)</f>
        <v>#N/A</v>
      </c>
      <c r="C667" s="3">
        <f>配列!C627</f>
        <v>0</v>
      </c>
      <c r="D667" s="3" t="str">
        <f>IF(配列!E627="",RIGHT(配列!D627&amp;配列!E627,4)&amp;"L",RIGHT(配列!D627&amp;配列!E627,5))</f>
        <v>L</v>
      </c>
      <c r="E667" s="3">
        <f t="shared" si="40"/>
        <v>0</v>
      </c>
      <c r="F667" s="3" t="e">
        <f>_xlfn.XLOOKUP(E667,セットアップレポート_紐づけ用!A:A,セットアップレポート_紐づけ用!J:J)</f>
        <v>#N/A</v>
      </c>
      <c r="G667" s="3" t="e">
        <f>_xlfn.XLOOKUP(E667,セットアップレポート_紐づけ用!A:A,セットアップレポート_紐づけ用!V:V)</f>
        <v>#N/A</v>
      </c>
      <c r="H667" s="3">
        <f t="shared" si="43"/>
        <v>-2</v>
      </c>
      <c r="I667" t="str">
        <f>IF(J667=0,"",IF(配列!E667="",マクロ実行!$A$16 &amp;" T"&amp;H667&amp;"-"&amp;RIGHT(配列!D667&amp;配列!E667,2),マクロ実行!$A$16 &amp;" T"&amp;H667&amp;"-"&amp;RIGHT(配列!D667&amp;配列!E667,3)))</f>
        <v/>
      </c>
      <c r="J667">
        <f>配列!F627</f>
        <v>0</v>
      </c>
      <c r="K667" s="2" t="e">
        <f>_xlfn.XLOOKUP(E667,セットアップレポート_紐づけ用!A:A,セットアップレポート_紐づけ用!R:R)</f>
        <v>#N/A</v>
      </c>
      <c r="L667" t="e">
        <f t="shared" si="41"/>
        <v>#N/A</v>
      </c>
      <c r="M667" t="e">
        <f>_xlfn.XLOOKUP(L667,EGPro!A:A,EGPro!D:D)</f>
        <v>#N/A</v>
      </c>
      <c r="N667" t="e">
        <f>_xlfn.XLOOKUP(L667,EGPro!A:A,EGPro!C:C)</f>
        <v>#N/A</v>
      </c>
      <c r="O667" t="e">
        <f t="shared" si="42"/>
        <v>#N/A</v>
      </c>
      <c r="P667" t="e">
        <f>_xlfn.XLOOKUP(O667,EGPro!A:A,EGPro!D:D)</f>
        <v>#N/A</v>
      </c>
      <c r="Q667" t="e">
        <f>_xlfn.XLOOKUP(O667,EGPro!A:A,EGPro!C:C)</f>
        <v>#N/A</v>
      </c>
    </row>
    <row r="668" spans="1:17" x14ac:dyDescent="0.45">
      <c r="A668" s="3">
        <f>配列!B628</f>
        <v>0</v>
      </c>
      <c r="B668" s="3" t="e">
        <f>_xlfn.XLOOKUP(A668,対応表!A:A,対応表!B:B)</f>
        <v>#N/A</v>
      </c>
      <c r="C668" s="3">
        <f>配列!C628</f>
        <v>0</v>
      </c>
      <c r="D668" s="3" t="str">
        <f>IF(配列!E628="",RIGHT(配列!D628&amp;配列!E628,4)&amp;"L",RIGHT(配列!D628&amp;配列!E628,5))</f>
        <v>L</v>
      </c>
      <c r="E668" s="3">
        <f t="shared" si="40"/>
        <v>0</v>
      </c>
      <c r="F668" s="3" t="e">
        <f>_xlfn.XLOOKUP(E668,セットアップレポート_紐づけ用!A:A,セットアップレポート_紐づけ用!J:J)</f>
        <v>#N/A</v>
      </c>
      <c r="G668" s="3" t="e">
        <f>_xlfn.XLOOKUP(E668,セットアップレポート_紐づけ用!A:A,セットアップレポート_紐づけ用!V:V)</f>
        <v>#N/A</v>
      </c>
      <c r="H668" s="3">
        <f t="shared" si="43"/>
        <v>-2</v>
      </c>
      <c r="I668" t="str">
        <f>IF(J668=0,"",IF(配列!E668="",マクロ実行!$A$16 &amp;" T"&amp;H668&amp;"-"&amp;RIGHT(配列!D668&amp;配列!E668,2),マクロ実行!$A$16 &amp;" T"&amp;H668&amp;"-"&amp;RIGHT(配列!D668&amp;配列!E668,3)))</f>
        <v/>
      </c>
      <c r="J668">
        <f>配列!F628</f>
        <v>0</v>
      </c>
      <c r="K668" s="2" t="e">
        <f>_xlfn.XLOOKUP(E668,セットアップレポート_紐づけ用!A:A,セットアップレポート_紐づけ用!R:R)</f>
        <v>#N/A</v>
      </c>
      <c r="L668" t="e">
        <f t="shared" si="41"/>
        <v>#N/A</v>
      </c>
      <c r="M668" t="e">
        <f>_xlfn.XLOOKUP(L668,EGPro!A:A,EGPro!D:D)</f>
        <v>#N/A</v>
      </c>
      <c r="N668" t="e">
        <f>_xlfn.XLOOKUP(L668,EGPro!A:A,EGPro!C:C)</f>
        <v>#N/A</v>
      </c>
      <c r="O668" t="e">
        <f t="shared" si="42"/>
        <v>#N/A</v>
      </c>
      <c r="P668" t="e">
        <f>_xlfn.XLOOKUP(O668,EGPro!A:A,EGPro!D:D)</f>
        <v>#N/A</v>
      </c>
      <c r="Q668" t="e">
        <f>_xlfn.XLOOKUP(O668,EGPro!A:A,EGPro!C:C)</f>
        <v>#N/A</v>
      </c>
    </row>
    <row r="669" spans="1:17" x14ac:dyDescent="0.45">
      <c r="A669" s="3">
        <f>配列!B629</f>
        <v>0</v>
      </c>
      <c r="B669" s="3" t="e">
        <f>_xlfn.XLOOKUP(A669,対応表!A:A,対応表!B:B)</f>
        <v>#N/A</v>
      </c>
      <c r="C669" s="3">
        <f>配列!C629</f>
        <v>0</v>
      </c>
      <c r="D669" s="3" t="str">
        <f>IF(配列!E629="",RIGHT(配列!D629&amp;配列!E629,4)&amp;"L",RIGHT(配列!D629&amp;配列!E629,5))</f>
        <v>L</v>
      </c>
      <c r="E669" s="3">
        <f t="shared" si="40"/>
        <v>0</v>
      </c>
      <c r="F669" s="3" t="e">
        <f>_xlfn.XLOOKUP(E669,セットアップレポート_紐づけ用!A:A,セットアップレポート_紐づけ用!J:J)</f>
        <v>#N/A</v>
      </c>
      <c r="G669" s="3" t="e">
        <f>_xlfn.XLOOKUP(E669,セットアップレポート_紐づけ用!A:A,セットアップレポート_紐づけ用!V:V)</f>
        <v>#N/A</v>
      </c>
      <c r="H669" s="3">
        <f t="shared" si="43"/>
        <v>-2</v>
      </c>
      <c r="I669" t="str">
        <f>IF(J669=0,"",IF(配列!E669="",マクロ実行!$A$16 &amp;" T"&amp;H669&amp;"-"&amp;RIGHT(配列!D669&amp;配列!E669,2),マクロ実行!$A$16 &amp;" T"&amp;H669&amp;"-"&amp;RIGHT(配列!D669&amp;配列!E669,3)))</f>
        <v/>
      </c>
      <c r="J669">
        <f>配列!F629</f>
        <v>0</v>
      </c>
      <c r="K669" s="2" t="e">
        <f>_xlfn.XLOOKUP(E669,セットアップレポート_紐づけ用!A:A,セットアップレポート_紐づけ用!R:R)</f>
        <v>#N/A</v>
      </c>
      <c r="L669" t="e">
        <f t="shared" si="41"/>
        <v>#N/A</v>
      </c>
      <c r="M669" t="e">
        <f>_xlfn.XLOOKUP(L669,EGPro!A:A,EGPro!D:D)</f>
        <v>#N/A</v>
      </c>
      <c r="N669" t="e">
        <f>_xlfn.XLOOKUP(L669,EGPro!A:A,EGPro!C:C)</f>
        <v>#N/A</v>
      </c>
      <c r="O669" t="e">
        <f t="shared" si="42"/>
        <v>#N/A</v>
      </c>
      <c r="P669" t="e">
        <f>_xlfn.XLOOKUP(O669,EGPro!A:A,EGPro!D:D)</f>
        <v>#N/A</v>
      </c>
      <c r="Q669" t="e">
        <f>_xlfn.XLOOKUP(O669,EGPro!A:A,EGPro!C:C)</f>
        <v>#N/A</v>
      </c>
    </row>
    <row r="670" spans="1:17" x14ac:dyDescent="0.45">
      <c r="A670" s="3">
        <f>配列!B630</f>
        <v>0</v>
      </c>
      <c r="B670" s="3" t="e">
        <f>_xlfn.XLOOKUP(A670,対応表!A:A,対応表!B:B)</f>
        <v>#N/A</v>
      </c>
      <c r="C670" s="3">
        <f>配列!C630</f>
        <v>0</v>
      </c>
      <c r="D670" s="3" t="str">
        <f>IF(配列!E630="",RIGHT(配列!D630&amp;配列!E630,4)&amp;"L",RIGHT(配列!D630&amp;配列!E630,5))</f>
        <v>L</v>
      </c>
      <c r="E670" s="3">
        <f t="shared" si="40"/>
        <v>0</v>
      </c>
      <c r="F670" s="3" t="e">
        <f>_xlfn.XLOOKUP(E670,セットアップレポート_紐づけ用!A:A,セットアップレポート_紐づけ用!J:J)</f>
        <v>#N/A</v>
      </c>
      <c r="G670" s="3" t="e">
        <f>_xlfn.XLOOKUP(E670,セットアップレポート_紐づけ用!A:A,セットアップレポート_紐づけ用!V:V)</f>
        <v>#N/A</v>
      </c>
      <c r="H670" s="3">
        <f t="shared" si="43"/>
        <v>-2</v>
      </c>
      <c r="I670" t="str">
        <f>IF(J670=0,"",IF(配列!E670="",マクロ実行!$A$16 &amp;" T"&amp;H670&amp;"-"&amp;RIGHT(配列!D670&amp;配列!E670,2),マクロ実行!$A$16 &amp;" T"&amp;H670&amp;"-"&amp;RIGHT(配列!D670&amp;配列!E670,3)))</f>
        <v/>
      </c>
      <c r="J670">
        <f>配列!F630</f>
        <v>0</v>
      </c>
      <c r="K670" s="2" t="e">
        <f>_xlfn.XLOOKUP(E670,セットアップレポート_紐づけ用!A:A,セットアップレポート_紐づけ用!R:R)</f>
        <v>#N/A</v>
      </c>
      <c r="L670" t="e">
        <f t="shared" si="41"/>
        <v>#N/A</v>
      </c>
      <c r="M670" t="e">
        <f>_xlfn.XLOOKUP(L670,EGPro!A:A,EGPro!D:D)</f>
        <v>#N/A</v>
      </c>
      <c r="N670" t="e">
        <f>_xlfn.XLOOKUP(L670,EGPro!A:A,EGPro!C:C)</f>
        <v>#N/A</v>
      </c>
      <c r="O670" t="e">
        <f t="shared" si="42"/>
        <v>#N/A</v>
      </c>
      <c r="P670" t="e">
        <f>_xlfn.XLOOKUP(O670,EGPro!A:A,EGPro!D:D)</f>
        <v>#N/A</v>
      </c>
      <c r="Q670" t="e">
        <f>_xlfn.XLOOKUP(O670,EGPro!A:A,EGPro!C:C)</f>
        <v>#N/A</v>
      </c>
    </row>
    <row r="671" spans="1:17" x14ac:dyDescent="0.45">
      <c r="A671" s="3">
        <f>配列!B631</f>
        <v>0</v>
      </c>
      <c r="B671" s="3" t="e">
        <f>_xlfn.XLOOKUP(A671,対応表!A:A,対応表!B:B)</f>
        <v>#N/A</v>
      </c>
      <c r="C671" s="3">
        <f>配列!C631</f>
        <v>0</v>
      </c>
      <c r="D671" s="3" t="str">
        <f>IF(配列!E631="",RIGHT(配列!D631&amp;配列!E631,4)&amp;"L",RIGHT(配列!D631&amp;配列!E631,5))</f>
        <v>L</v>
      </c>
      <c r="E671" s="3">
        <f t="shared" si="40"/>
        <v>0</v>
      </c>
      <c r="F671" s="3" t="e">
        <f>_xlfn.XLOOKUP(E671,セットアップレポート_紐づけ用!A:A,セットアップレポート_紐づけ用!J:J)</f>
        <v>#N/A</v>
      </c>
      <c r="G671" s="3" t="e">
        <f>_xlfn.XLOOKUP(E671,セットアップレポート_紐づけ用!A:A,セットアップレポート_紐づけ用!V:V)</f>
        <v>#N/A</v>
      </c>
      <c r="H671" s="3">
        <f t="shared" si="43"/>
        <v>-2</v>
      </c>
      <c r="I671" t="str">
        <f>IF(J671=0,"",IF(配列!E671="",マクロ実行!$A$16 &amp;" T"&amp;H671&amp;"-"&amp;RIGHT(配列!D671&amp;配列!E671,2),マクロ実行!$A$16 &amp;" T"&amp;H671&amp;"-"&amp;RIGHT(配列!D671&amp;配列!E671,3)))</f>
        <v/>
      </c>
      <c r="J671">
        <f>配列!F631</f>
        <v>0</v>
      </c>
      <c r="K671" s="2" t="e">
        <f>_xlfn.XLOOKUP(E671,セットアップレポート_紐づけ用!A:A,セットアップレポート_紐づけ用!R:R)</f>
        <v>#N/A</v>
      </c>
      <c r="L671" t="e">
        <f t="shared" si="41"/>
        <v>#N/A</v>
      </c>
      <c r="M671" t="e">
        <f>_xlfn.XLOOKUP(L671,EGPro!A:A,EGPro!D:D)</f>
        <v>#N/A</v>
      </c>
      <c r="N671" t="e">
        <f>_xlfn.XLOOKUP(L671,EGPro!A:A,EGPro!C:C)</f>
        <v>#N/A</v>
      </c>
      <c r="O671" t="e">
        <f t="shared" si="42"/>
        <v>#N/A</v>
      </c>
      <c r="P671" t="e">
        <f>_xlfn.XLOOKUP(O671,EGPro!A:A,EGPro!D:D)</f>
        <v>#N/A</v>
      </c>
      <c r="Q671" t="e">
        <f>_xlfn.XLOOKUP(O671,EGPro!A:A,EGPro!C:C)</f>
        <v>#N/A</v>
      </c>
    </row>
    <row r="672" spans="1:17" x14ac:dyDescent="0.45">
      <c r="A672" s="3">
        <f>配列!B632</f>
        <v>0</v>
      </c>
      <c r="B672" s="3" t="e">
        <f>_xlfn.XLOOKUP(A672,対応表!A:A,対応表!B:B)</f>
        <v>#N/A</v>
      </c>
      <c r="C672" s="3">
        <f>配列!C632</f>
        <v>0</v>
      </c>
      <c r="D672" s="3" t="str">
        <f>IF(配列!E632="",RIGHT(配列!D632&amp;配列!E632,4)&amp;"L",RIGHT(配列!D632&amp;配列!E632,5))</f>
        <v>L</v>
      </c>
      <c r="E672" s="3">
        <f t="shared" si="40"/>
        <v>0</v>
      </c>
      <c r="F672" s="3" t="e">
        <f>_xlfn.XLOOKUP(E672,セットアップレポート_紐づけ用!A:A,セットアップレポート_紐づけ用!J:J)</f>
        <v>#N/A</v>
      </c>
      <c r="G672" s="3" t="e">
        <f>_xlfn.XLOOKUP(E672,セットアップレポート_紐づけ用!A:A,セットアップレポート_紐づけ用!V:V)</f>
        <v>#N/A</v>
      </c>
      <c r="H672" s="3">
        <f t="shared" si="43"/>
        <v>-2</v>
      </c>
      <c r="I672" t="str">
        <f>IF(J672=0,"",IF(配列!E672="",マクロ実行!$A$16 &amp;" T"&amp;H672&amp;"-"&amp;RIGHT(配列!D672&amp;配列!E672,2),マクロ実行!$A$16 &amp;" T"&amp;H672&amp;"-"&amp;RIGHT(配列!D672&amp;配列!E672,3)))</f>
        <v/>
      </c>
      <c r="J672">
        <f>配列!F632</f>
        <v>0</v>
      </c>
      <c r="K672" s="2" t="e">
        <f>_xlfn.XLOOKUP(E672,セットアップレポート_紐づけ用!A:A,セットアップレポート_紐づけ用!R:R)</f>
        <v>#N/A</v>
      </c>
      <c r="L672" t="e">
        <f t="shared" si="41"/>
        <v>#N/A</v>
      </c>
      <c r="M672" t="e">
        <f>_xlfn.XLOOKUP(L672,EGPro!A:A,EGPro!D:D)</f>
        <v>#N/A</v>
      </c>
      <c r="N672" t="e">
        <f>_xlfn.XLOOKUP(L672,EGPro!A:A,EGPro!C:C)</f>
        <v>#N/A</v>
      </c>
      <c r="O672" t="e">
        <f t="shared" si="42"/>
        <v>#N/A</v>
      </c>
      <c r="P672" t="e">
        <f>_xlfn.XLOOKUP(O672,EGPro!A:A,EGPro!D:D)</f>
        <v>#N/A</v>
      </c>
      <c r="Q672" t="e">
        <f>_xlfn.XLOOKUP(O672,EGPro!A:A,EGPro!C:C)</f>
        <v>#N/A</v>
      </c>
    </row>
    <row r="673" spans="1:17" x14ac:dyDescent="0.45">
      <c r="A673" s="3">
        <f>配列!B633</f>
        <v>0</v>
      </c>
      <c r="B673" s="3" t="e">
        <f>_xlfn.XLOOKUP(A673,対応表!A:A,対応表!B:B)</f>
        <v>#N/A</v>
      </c>
      <c r="C673" s="3">
        <f>配列!C633</f>
        <v>0</v>
      </c>
      <c r="D673" s="3" t="str">
        <f>IF(配列!E633="",RIGHT(配列!D633&amp;配列!E633,4)&amp;"L",RIGHT(配列!D633&amp;配列!E633,5))</f>
        <v>L</v>
      </c>
      <c r="E673" s="3">
        <f t="shared" si="40"/>
        <v>0</v>
      </c>
      <c r="F673" s="3" t="e">
        <f>_xlfn.XLOOKUP(E673,セットアップレポート_紐づけ用!A:A,セットアップレポート_紐づけ用!J:J)</f>
        <v>#N/A</v>
      </c>
      <c r="G673" s="3" t="e">
        <f>_xlfn.XLOOKUP(E673,セットアップレポート_紐づけ用!A:A,セットアップレポート_紐づけ用!V:V)</f>
        <v>#N/A</v>
      </c>
      <c r="H673" s="3">
        <f t="shared" si="43"/>
        <v>-2</v>
      </c>
      <c r="I673" t="str">
        <f>IF(J673=0,"",IF(配列!E673="",マクロ実行!$A$16 &amp;" T"&amp;H673&amp;"-"&amp;RIGHT(配列!D673&amp;配列!E673,2),マクロ実行!$A$16 &amp;" T"&amp;H673&amp;"-"&amp;RIGHT(配列!D673&amp;配列!E673,3)))</f>
        <v/>
      </c>
      <c r="J673">
        <f>配列!F633</f>
        <v>0</v>
      </c>
      <c r="K673" s="2" t="e">
        <f>_xlfn.XLOOKUP(E673,セットアップレポート_紐づけ用!A:A,セットアップレポート_紐づけ用!R:R)</f>
        <v>#N/A</v>
      </c>
      <c r="L673" t="e">
        <f t="shared" si="41"/>
        <v>#N/A</v>
      </c>
      <c r="M673" t="e">
        <f>_xlfn.XLOOKUP(L673,EGPro!A:A,EGPro!D:D)</f>
        <v>#N/A</v>
      </c>
      <c r="N673" t="e">
        <f>_xlfn.XLOOKUP(L673,EGPro!A:A,EGPro!C:C)</f>
        <v>#N/A</v>
      </c>
      <c r="O673" t="e">
        <f t="shared" si="42"/>
        <v>#N/A</v>
      </c>
      <c r="P673" t="e">
        <f>_xlfn.XLOOKUP(O673,EGPro!A:A,EGPro!D:D)</f>
        <v>#N/A</v>
      </c>
      <c r="Q673" t="e">
        <f>_xlfn.XLOOKUP(O673,EGPro!A:A,EGPro!C:C)</f>
        <v>#N/A</v>
      </c>
    </row>
    <row r="674" spans="1:17" x14ac:dyDescent="0.45">
      <c r="A674" s="3">
        <f>配列!B634</f>
        <v>0</v>
      </c>
      <c r="B674" s="3" t="e">
        <f>_xlfn.XLOOKUP(A674,対応表!A:A,対応表!B:B)</f>
        <v>#N/A</v>
      </c>
      <c r="C674" s="3">
        <f>配列!C634</f>
        <v>0</v>
      </c>
      <c r="D674" s="3" t="str">
        <f>IF(配列!E634="",RIGHT(配列!D634&amp;配列!E634,4)&amp;"L",RIGHT(配列!D634&amp;配列!E634,5))</f>
        <v>L</v>
      </c>
      <c r="E674" s="3">
        <f t="shared" si="40"/>
        <v>0</v>
      </c>
      <c r="F674" s="3" t="e">
        <f>_xlfn.XLOOKUP(E674,セットアップレポート_紐づけ用!A:A,セットアップレポート_紐づけ用!J:J)</f>
        <v>#N/A</v>
      </c>
      <c r="G674" s="3" t="e">
        <f>_xlfn.XLOOKUP(E674,セットアップレポート_紐づけ用!A:A,セットアップレポート_紐づけ用!V:V)</f>
        <v>#N/A</v>
      </c>
      <c r="H674" s="3">
        <f t="shared" si="43"/>
        <v>-2</v>
      </c>
      <c r="I674" t="str">
        <f>IF(J674=0,"",IF(配列!E674="",マクロ実行!$A$16 &amp;" T"&amp;H674&amp;"-"&amp;RIGHT(配列!D674&amp;配列!E674,2),マクロ実行!$A$16 &amp;" T"&amp;H674&amp;"-"&amp;RIGHT(配列!D674&amp;配列!E674,3)))</f>
        <v/>
      </c>
      <c r="J674">
        <f>配列!F634</f>
        <v>0</v>
      </c>
      <c r="K674" s="2" t="e">
        <f>_xlfn.XLOOKUP(E674,セットアップレポート_紐づけ用!A:A,セットアップレポート_紐づけ用!R:R)</f>
        <v>#N/A</v>
      </c>
      <c r="L674" t="e">
        <f t="shared" si="41"/>
        <v>#N/A</v>
      </c>
      <c r="M674" t="e">
        <f>_xlfn.XLOOKUP(L674,EGPro!A:A,EGPro!D:D)</f>
        <v>#N/A</v>
      </c>
      <c r="N674" t="e">
        <f>_xlfn.XLOOKUP(L674,EGPro!A:A,EGPro!C:C)</f>
        <v>#N/A</v>
      </c>
      <c r="O674" t="e">
        <f t="shared" si="42"/>
        <v>#N/A</v>
      </c>
      <c r="P674" t="e">
        <f>_xlfn.XLOOKUP(O674,EGPro!A:A,EGPro!D:D)</f>
        <v>#N/A</v>
      </c>
      <c r="Q674" t="e">
        <f>_xlfn.XLOOKUP(O674,EGPro!A:A,EGPro!C:C)</f>
        <v>#N/A</v>
      </c>
    </row>
    <row r="675" spans="1:17" x14ac:dyDescent="0.45">
      <c r="A675" s="3">
        <f>配列!B635</f>
        <v>0</v>
      </c>
      <c r="B675" s="3" t="e">
        <f>_xlfn.XLOOKUP(A675,対応表!A:A,対応表!B:B)</f>
        <v>#N/A</v>
      </c>
      <c r="C675" s="3">
        <f>配列!C635</f>
        <v>0</v>
      </c>
      <c r="D675" s="3" t="str">
        <f>IF(配列!E635="",RIGHT(配列!D635&amp;配列!E635,4)&amp;"L",RIGHT(配列!D635&amp;配列!E635,5))</f>
        <v>L</v>
      </c>
      <c r="E675" s="3">
        <f t="shared" si="40"/>
        <v>0</v>
      </c>
      <c r="F675" s="3" t="e">
        <f>_xlfn.XLOOKUP(E675,セットアップレポート_紐づけ用!A:A,セットアップレポート_紐づけ用!J:J)</f>
        <v>#N/A</v>
      </c>
      <c r="G675" s="3" t="e">
        <f>_xlfn.XLOOKUP(E675,セットアップレポート_紐づけ用!A:A,セットアップレポート_紐づけ用!V:V)</f>
        <v>#N/A</v>
      </c>
      <c r="H675" s="3">
        <f t="shared" si="43"/>
        <v>-2</v>
      </c>
      <c r="I675" t="str">
        <f>IF(J675=0,"",IF(配列!E675="",マクロ実行!$A$16 &amp;" T"&amp;H675&amp;"-"&amp;RIGHT(配列!D675&amp;配列!E675,2),マクロ実行!$A$16 &amp;" T"&amp;H675&amp;"-"&amp;RIGHT(配列!D675&amp;配列!E675,3)))</f>
        <v/>
      </c>
      <c r="J675">
        <f>配列!F635</f>
        <v>0</v>
      </c>
      <c r="K675" s="2" t="e">
        <f>_xlfn.XLOOKUP(E675,セットアップレポート_紐づけ用!A:A,セットアップレポート_紐づけ用!R:R)</f>
        <v>#N/A</v>
      </c>
      <c r="L675" t="e">
        <f t="shared" si="41"/>
        <v>#N/A</v>
      </c>
      <c r="M675" t="e">
        <f>_xlfn.XLOOKUP(L675,EGPro!A:A,EGPro!D:D)</f>
        <v>#N/A</v>
      </c>
      <c r="N675" t="e">
        <f>_xlfn.XLOOKUP(L675,EGPro!A:A,EGPro!C:C)</f>
        <v>#N/A</v>
      </c>
      <c r="O675" t="e">
        <f t="shared" si="42"/>
        <v>#N/A</v>
      </c>
      <c r="P675" t="e">
        <f>_xlfn.XLOOKUP(O675,EGPro!A:A,EGPro!D:D)</f>
        <v>#N/A</v>
      </c>
      <c r="Q675" t="e">
        <f>_xlfn.XLOOKUP(O675,EGPro!A:A,EGPro!C:C)</f>
        <v>#N/A</v>
      </c>
    </row>
    <row r="676" spans="1:17" x14ac:dyDescent="0.45">
      <c r="A676" s="3">
        <f>配列!B636</f>
        <v>0</v>
      </c>
      <c r="B676" s="3" t="e">
        <f>_xlfn.XLOOKUP(A676,対応表!A:A,対応表!B:B)</f>
        <v>#N/A</v>
      </c>
      <c r="C676" s="3">
        <f>配列!C636</f>
        <v>0</v>
      </c>
      <c r="D676" s="3" t="str">
        <f>IF(配列!E636="",RIGHT(配列!D636&amp;配列!E636,4)&amp;"L",RIGHT(配列!D636&amp;配列!E636,5))</f>
        <v>L</v>
      </c>
      <c r="E676" s="3">
        <f t="shared" si="40"/>
        <v>0</v>
      </c>
      <c r="F676" s="3" t="e">
        <f>_xlfn.XLOOKUP(E676,セットアップレポート_紐づけ用!A:A,セットアップレポート_紐づけ用!J:J)</f>
        <v>#N/A</v>
      </c>
      <c r="G676" s="3" t="e">
        <f>_xlfn.XLOOKUP(E676,セットアップレポート_紐づけ用!A:A,セットアップレポート_紐づけ用!V:V)</f>
        <v>#N/A</v>
      </c>
      <c r="H676" s="3">
        <f t="shared" si="43"/>
        <v>-2</v>
      </c>
      <c r="I676" t="str">
        <f>IF(J676=0,"",IF(配列!E676="",マクロ実行!$A$16 &amp;" T"&amp;H676&amp;"-"&amp;RIGHT(配列!D676&amp;配列!E676,2),マクロ実行!$A$16 &amp;" T"&amp;H676&amp;"-"&amp;RIGHT(配列!D676&amp;配列!E676,3)))</f>
        <v/>
      </c>
      <c r="J676">
        <f>配列!F636</f>
        <v>0</v>
      </c>
      <c r="K676" s="2" t="e">
        <f>_xlfn.XLOOKUP(E676,セットアップレポート_紐づけ用!A:A,セットアップレポート_紐づけ用!R:R)</f>
        <v>#N/A</v>
      </c>
      <c r="L676" t="e">
        <f t="shared" si="41"/>
        <v>#N/A</v>
      </c>
      <c r="M676" t="e">
        <f>_xlfn.XLOOKUP(L676,EGPro!A:A,EGPro!D:D)</f>
        <v>#N/A</v>
      </c>
      <c r="N676" t="e">
        <f>_xlfn.XLOOKUP(L676,EGPro!A:A,EGPro!C:C)</f>
        <v>#N/A</v>
      </c>
      <c r="O676" t="e">
        <f t="shared" si="42"/>
        <v>#N/A</v>
      </c>
      <c r="P676" t="e">
        <f>_xlfn.XLOOKUP(O676,EGPro!A:A,EGPro!D:D)</f>
        <v>#N/A</v>
      </c>
      <c r="Q676" t="e">
        <f>_xlfn.XLOOKUP(O676,EGPro!A:A,EGPro!C:C)</f>
        <v>#N/A</v>
      </c>
    </row>
    <row r="677" spans="1:17" x14ac:dyDescent="0.45">
      <c r="A677" s="3">
        <f>配列!B637</f>
        <v>0</v>
      </c>
      <c r="B677" s="3" t="e">
        <f>_xlfn.XLOOKUP(A677,対応表!A:A,対応表!B:B)</f>
        <v>#N/A</v>
      </c>
      <c r="C677" s="3">
        <f>配列!C637</f>
        <v>0</v>
      </c>
      <c r="D677" s="3" t="str">
        <f>IF(配列!E637="",RIGHT(配列!D637&amp;配列!E637,4)&amp;"L",RIGHT(配列!D637&amp;配列!E637,5))</f>
        <v>L</v>
      </c>
      <c r="E677" s="3">
        <f t="shared" si="40"/>
        <v>0</v>
      </c>
      <c r="F677" s="3" t="e">
        <f>_xlfn.XLOOKUP(E677,セットアップレポート_紐づけ用!A:A,セットアップレポート_紐づけ用!J:J)</f>
        <v>#N/A</v>
      </c>
      <c r="G677" s="3" t="e">
        <f>_xlfn.XLOOKUP(E677,セットアップレポート_紐づけ用!A:A,セットアップレポート_紐づけ用!V:V)</f>
        <v>#N/A</v>
      </c>
      <c r="H677" s="3">
        <f t="shared" si="43"/>
        <v>-2</v>
      </c>
      <c r="I677" t="str">
        <f>IF(J677=0,"",IF(配列!E677="",マクロ実行!$A$16 &amp;" T"&amp;H677&amp;"-"&amp;RIGHT(配列!D677&amp;配列!E677,2),マクロ実行!$A$16 &amp;" T"&amp;H677&amp;"-"&amp;RIGHT(配列!D677&amp;配列!E677,3)))</f>
        <v/>
      </c>
      <c r="J677">
        <f>配列!F637</f>
        <v>0</v>
      </c>
      <c r="K677" s="2" t="e">
        <f>_xlfn.XLOOKUP(E677,セットアップレポート_紐づけ用!A:A,セットアップレポート_紐づけ用!R:R)</f>
        <v>#N/A</v>
      </c>
      <c r="L677" t="e">
        <f t="shared" si="41"/>
        <v>#N/A</v>
      </c>
      <c r="M677" t="e">
        <f>_xlfn.XLOOKUP(L677,EGPro!A:A,EGPro!D:D)</f>
        <v>#N/A</v>
      </c>
      <c r="N677" t="e">
        <f>_xlfn.XLOOKUP(L677,EGPro!A:A,EGPro!C:C)</f>
        <v>#N/A</v>
      </c>
      <c r="O677" t="e">
        <f t="shared" si="42"/>
        <v>#N/A</v>
      </c>
      <c r="P677" t="e">
        <f>_xlfn.XLOOKUP(O677,EGPro!A:A,EGPro!D:D)</f>
        <v>#N/A</v>
      </c>
      <c r="Q677" t="e">
        <f>_xlfn.XLOOKUP(O677,EGPro!A:A,EGPro!C:C)</f>
        <v>#N/A</v>
      </c>
    </row>
    <row r="678" spans="1:17" x14ac:dyDescent="0.45">
      <c r="A678" s="3">
        <f>配列!B638</f>
        <v>0</v>
      </c>
      <c r="B678" s="3" t="e">
        <f>_xlfn.XLOOKUP(A678,対応表!A:A,対応表!B:B)</f>
        <v>#N/A</v>
      </c>
      <c r="C678" s="3">
        <f>配列!C638</f>
        <v>0</v>
      </c>
      <c r="D678" s="3" t="str">
        <f>IF(配列!E638="",RIGHT(配列!D638&amp;配列!E638,4)&amp;"L",RIGHT(配列!D638&amp;配列!E638,5))</f>
        <v>L</v>
      </c>
      <c r="E678" s="3">
        <f t="shared" si="40"/>
        <v>0</v>
      </c>
      <c r="F678" s="3" t="e">
        <f>_xlfn.XLOOKUP(E678,セットアップレポート_紐づけ用!A:A,セットアップレポート_紐づけ用!J:J)</f>
        <v>#N/A</v>
      </c>
      <c r="G678" s="3" t="e">
        <f>_xlfn.XLOOKUP(E678,セットアップレポート_紐づけ用!A:A,セットアップレポート_紐づけ用!V:V)</f>
        <v>#N/A</v>
      </c>
      <c r="H678" s="3">
        <f t="shared" si="43"/>
        <v>-2</v>
      </c>
      <c r="I678" t="str">
        <f>IF(J678=0,"",IF(配列!E678="",マクロ実行!$A$16 &amp;" T"&amp;H678&amp;"-"&amp;RIGHT(配列!D678&amp;配列!E678,2),マクロ実行!$A$16 &amp;" T"&amp;H678&amp;"-"&amp;RIGHT(配列!D678&amp;配列!E678,3)))</f>
        <v/>
      </c>
      <c r="J678">
        <f>配列!F638</f>
        <v>0</v>
      </c>
      <c r="K678" s="2" t="e">
        <f>_xlfn.XLOOKUP(E678,セットアップレポート_紐づけ用!A:A,セットアップレポート_紐づけ用!R:R)</f>
        <v>#N/A</v>
      </c>
      <c r="L678" t="e">
        <f t="shared" si="41"/>
        <v>#N/A</v>
      </c>
      <c r="M678" t="e">
        <f>_xlfn.XLOOKUP(L678,EGPro!A:A,EGPro!D:D)</f>
        <v>#N/A</v>
      </c>
      <c r="N678" t="e">
        <f>_xlfn.XLOOKUP(L678,EGPro!A:A,EGPro!C:C)</f>
        <v>#N/A</v>
      </c>
      <c r="O678" t="e">
        <f t="shared" si="42"/>
        <v>#N/A</v>
      </c>
      <c r="P678" t="e">
        <f>_xlfn.XLOOKUP(O678,EGPro!A:A,EGPro!D:D)</f>
        <v>#N/A</v>
      </c>
      <c r="Q678" t="e">
        <f>_xlfn.XLOOKUP(O678,EGPro!A:A,EGPro!C:C)</f>
        <v>#N/A</v>
      </c>
    </row>
    <row r="679" spans="1:17" x14ac:dyDescent="0.45">
      <c r="A679" s="3">
        <f>配列!B639</f>
        <v>0</v>
      </c>
      <c r="B679" s="3" t="e">
        <f>_xlfn.XLOOKUP(A679,対応表!A:A,対応表!B:B)</f>
        <v>#N/A</v>
      </c>
      <c r="C679" s="3">
        <f>配列!C639</f>
        <v>0</v>
      </c>
      <c r="D679" s="3" t="str">
        <f>IF(配列!E639="",RIGHT(配列!D639&amp;配列!E639,4)&amp;"L",RIGHT(配列!D639&amp;配列!E639,5))</f>
        <v>L</v>
      </c>
      <c r="E679" s="3">
        <f t="shared" si="40"/>
        <v>0</v>
      </c>
      <c r="F679" s="3" t="e">
        <f>_xlfn.XLOOKUP(E679,セットアップレポート_紐づけ用!A:A,セットアップレポート_紐づけ用!J:J)</f>
        <v>#N/A</v>
      </c>
      <c r="G679" s="3" t="e">
        <f>_xlfn.XLOOKUP(E679,セットアップレポート_紐づけ用!A:A,セットアップレポート_紐づけ用!V:V)</f>
        <v>#N/A</v>
      </c>
      <c r="H679" s="3">
        <f t="shared" si="43"/>
        <v>-2</v>
      </c>
      <c r="I679" t="str">
        <f>IF(J679=0,"",IF(配列!E679="",マクロ実行!$A$16 &amp;" T"&amp;H679&amp;"-"&amp;RIGHT(配列!D679&amp;配列!E679,2),マクロ実行!$A$16 &amp;" T"&amp;H679&amp;"-"&amp;RIGHT(配列!D679&amp;配列!E679,3)))</f>
        <v/>
      </c>
      <c r="J679">
        <f>配列!F639</f>
        <v>0</v>
      </c>
      <c r="K679" s="2" t="e">
        <f>_xlfn.XLOOKUP(E679,セットアップレポート_紐づけ用!A:A,セットアップレポート_紐づけ用!R:R)</f>
        <v>#N/A</v>
      </c>
      <c r="L679" t="e">
        <f t="shared" si="41"/>
        <v>#N/A</v>
      </c>
      <c r="M679" t="e">
        <f>_xlfn.XLOOKUP(L679,EGPro!A:A,EGPro!D:D)</f>
        <v>#N/A</v>
      </c>
      <c r="N679" t="e">
        <f>_xlfn.XLOOKUP(L679,EGPro!A:A,EGPro!C:C)</f>
        <v>#N/A</v>
      </c>
      <c r="O679" t="e">
        <f t="shared" si="42"/>
        <v>#N/A</v>
      </c>
      <c r="P679" t="e">
        <f>_xlfn.XLOOKUP(O679,EGPro!A:A,EGPro!D:D)</f>
        <v>#N/A</v>
      </c>
      <c r="Q679" t="e">
        <f>_xlfn.XLOOKUP(O679,EGPro!A:A,EGPro!C:C)</f>
        <v>#N/A</v>
      </c>
    </row>
    <row r="680" spans="1:17" x14ac:dyDescent="0.45">
      <c r="A680" s="3">
        <f>配列!B640</f>
        <v>0</v>
      </c>
      <c r="B680" s="3" t="e">
        <f>_xlfn.XLOOKUP(A680,対応表!A:A,対応表!B:B)</f>
        <v>#N/A</v>
      </c>
      <c r="C680" s="3">
        <f>配列!C640</f>
        <v>0</v>
      </c>
      <c r="D680" s="3" t="str">
        <f>IF(配列!E640="",RIGHT(配列!D640&amp;配列!E640,4)&amp;"L",RIGHT(配列!D640&amp;配列!E640,5))</f>
        <v>L</v>
      </c>
      <c r="E680" s="3">
        <f t="shared" si="40"/>
        <v>0</v>
      </c>
      <c r="F680" s="3" t="e">
        <f>_xlfn.XLOOKUP(E680,セットアップレポート_紐づけ用!A:A,セットアップレポート_紐づけ用!J:J)</f>
        <v>#N/A</v>
      </c>
      <c r="G680" s="3" t="e">
        <f>_xlfn.XLOOKUP(E680,セットアップレポート_紐づけ用!A:A,セットアップレポート_紐づけ用!V:V)</f>
        <v>#N/A</v>
      </c>
      <c r="H680" s="3">
        <f t="shared" si="43"/>
        <v>-2</v>
      </c>
      <c r="I680" t="str">
        <f>IF(J680=0,"",IF(配列!E680="",マクロ実行!$A$16 &amp;" T"&amp;H680&amp;"-"&amp;RIGHT(配列!D680&amp;配列!E680,2),マクロ実行!$A$16 &amp;" T"&amp;H680&amp;"-"&amp;RIGHT(配列!D680&amp;配列!E680,3)))</f>
        <v/>
      </c>
      <c r="J680">
        <f>配列!F640</f>
        <v>0</v>
      </c>
      <c r="K680" s="2" t="e">
        <f>_xlfn.XLOOKUP(E680,セットアップレポート_紐づけ用!A:A,セットアップレポート_紐づけ用!R:R)</f>
        <v>#N/A</v>
      </c>
      <c r="L680" t="e">
        <f t="shared" si="41"/>
        <v>#N/A</v>
      </c>
      <c r="M680" t="e">
        <f>_xlfn.XLOOKUP(L680,EGPro!A:A,EGPro!D:D)</f>
        <v>#N/A</v>
      </c>
      <c r="N680" t="e">
        <f>_xlfn.XLOOKUP(L680,EGPro!A:A,EGPro!C:C)</f>
        <v>#N/A</v>
      </c>
      <c r="O680" t="e">
        <f t="shared" si="42"/>
        <v>#N/A</v>
      </c>
      <c r="P680" t="e">
        <f>_xlfn.XLOOKUP(O680,EGPro!A:A,EGPro!D:D)</f>
        <v>#N/A</v>
      </c>
      <c r="Q680" t="e">
        <f>_xlfn.XLOOKUP(O680,EGPro!A:A,EGPro!C:C)</f>
        <v>#N/A</v>
      </c>
    </row>
    <row r="681" spans="1:17" x14ac:dyDescent="0.45">
      <c r="A681" s="3">
        <f>配列!B641</f>
        <v>0</v>
      </c>
      <c r="B681" s="3" t="e">
        <f>_xlfn.XLOOKUP(A681,対応表!A:A,対応表!B:B)</f>
        <v>#N/A</v>
      </c>
      <c r="C681" s="3">
        <f>配列!C641</f>
        <v>0</v>
      </c>
      <c r="D681" s="3" t="str">
        <f>IF(配列!E641="",RIGHT(配列!D641&amp;配列!E641,4)&amp;"L",RIGHT(配列!D641&amp;配列!E641,5))</f>
        <v>L</v>
      </c>
      <c r="E681" s="3">
        <f t="shared" si="40"/>
        <v>0</v>
      </c>
      <c r="F681" s="3" t="e">
        <f>_xlfn.XLOOKUP(E681,セットアップレポート_紐づけ用!A:A,セットアップレポート_紐づけ用!J:J)</f>
        <v>#N/A</v>
      </c>
      <c r="G681" s="3" t="e">
        <f>_xlfn.XLOOKUP(E681,セットアップレポート_紐づけ用!A:A,セットアップレポート_紐づけ用!V:V)</f>
        <v>#N/A</v>
      </c>
      <c r="H681" s="3">
        <f t="shared" si="43"/>
        <v>-2</v>
      </c>
      <c r="I681" t="str">
        <f>IF(J681=0,"",IF(配列!E681="",マクロ実行!$A$16 &amp;" T"&amp;H681&amp;"-"&amp;RIGHT(配列!D681&amp;配列!E681,2),マクロ実行!$A$16 &amp;" T"&amp;H681&amp;"-"&amp;RIGHT(配列!D681&amp;配列!E681,3)))</f>
        <v/>
      </c>
      <c r="J681">
        <f>配列!F641</f>
        <v>0</v>
      </c>
      <c r="K681" s="2" t="e">
        <f>_xlfn.XLOOKUP(E681,セットアップレポート_紐づけ用!A:A,セットアップレポート_紐づけ用!R:R)</f>
        <v>#N/A</v>
      </c>
      <c r="L681" t="e">
        <f t="shared" si="41"/>
        <v>#N/A</v>
      </c>
      <c r="M681" t="e">
        <f>_xlfn.XLOOKUP(L681,EGPro!A:A,EGPro!D:D)</f>
        <v>#N/A</v>
      </c>
      <c r="N681" t="e">
        <f>_xlfn.XLOOKUP(L681,EGPro!A:A,EGPro!C:C)</f>
        <v>#N/A</v>
      </c>
      <c r="O681" t="e">
        <f t="shared" si="42"/>
        <v>#N/A</v>
      </c>
      <c r="P681" t="e">
        <f>_xlfn.XLOOKUP(O681,EGPro!A:A,EGPro!D:D)</f>
        <v>#N/A</v>
      </c>
      <c r="Q681" t="e">
        <f>_xlfn.XLOOKUP(O681,EGPro!A:A,EGPro!C:C)</f>
        <v>#N/A</v>
      </c>
    </row>
    <row r="682" spans="1:17" x14ac:dyDescent="0.45">
      <c r="A682" s="3">
        <f>配列!B642</f>
        <v>0</v>
      </c>
      <c r="B682" s="3" t="e">
        <f>_xlfn.XLOOKUP(A682,対応表!A:A,対応表!B:B)</f>
        <v>#N/A</v>
      </c>
      <c r="C682" s="3">
        <f>配列!C642</f>
        <v>0</v>
      </c>
      <c r="D682" s="3" t="str">
        <f>IF(配列!E642="",RIGHT(配列!D642&amp;配列!E642,4)&amp;"L",RIGHT(配列!D642&amp;配列!E642,5))</f>
        <v>L</v>
      </c>
      <c r="E682" s="3">
        <f t="shared" si="40"/>
        <v>0</v>
      </c>
      <c r="F682" s="3" t="e">
        <f>_xlfn.XLOOKUP(E682,セットアップレポート_紐づけ用!A:A,セットアップレポート_紐づけ用!J:J)</f>
        <v>#N/A</v>
      </c>
      <c r="G682" s="3" t="e">
        <f>_xlfn.XLOOKUP(E682,セットアップレポート_紐づけ用!A:A,セットアップレポート_紐づけ用!V:V)</f>
        <v>#N/A</v>
      </c>
      <c r="H682" s="3">
        <f t="shared" si="43"/>
        <v>-2</v>
      </c>
      <c r="I682" t="str">
        <f>IF(J682=0,"",IF(配列!E682="",マクロ実行!$A$16 &amp;" T"&amp;H682&amp;"-"&amp;RIGHT(配列!D682&amp;配列!E682,2),マクロ実行!$A$16 &amp;" T"&amp;H682&amp;"-"&amp;RIGHT(配列!D682&amp;配列!E682,3)))</f>
        <v/>
      </c>
      <c r="J682">
        <f>配列!F642</f>
        <v>0</v>
      </c>
      <c r="K682" s="2" t="e">
        <f>_xlfn.XLOOKUP(E682,セットアップレポート_紐づけ用!A:A,セットアップレポート_紐づけ用!R:R)</f>
        <v>#N/A</v>
      </c>
      <c r="L682" t="e">
        <f t="shared" si="41"/>
        <v>#N/A</v>
      </c>
      <c r="M682" t="e">
        <f>_xlfn.XLOOKUP(L682,EGPro!A:A,EGPro!D:D)</f>
        <v>#N/A</v>
      </c>
      <c r="N682" t="e">
        <f>_xlfn.XLOOKUP(L682,EGPro!A:A,EGPro!C:C)</f>
        <v>#N/A</v>
      </c>
      <c r="O682" t="e">
        <f t="shared" si="42"/>
        <v>#N/A</v>
      </c>
      <c r="P682" t="e">
        <f>_xlfn.XLOOKUP(O682,EGPro!A:A,EGPro!D:D)</f>
        <v>#N/A</v>
      </c>
      <c r="Q682" t="e">
        <f>_xlfn.XLOOKUP(O682,EGPro!A:A,EGPro!C:C)</f>
        <v>#N/A</v>
      </c>
    </row>
    <row r="683" spans="1:17" x14ac:dyDescent="0.45">
      <c r="A683" s="3">
        <f>配列!B643</f>
        <v>0</v>
      </c>
      <c r="B683" s="3" t="e">
        <f>_xlfn.XLOOKUP(A683,対応表!A:A,対応表!B:B)</f>
        <v>#N/A</v>
      </c>
      <c r="C683" s="3">
        <f>配列!C643</f>
        <v>0</v>
      </c>
      <c r="D683" s="3" t="str">
        <f>IF(配列!E643="",RIGHT(配列!D643&amp;配列!E643,4)&amp;"L",RIGHT(配列!D643&amp;配列!E643,5))</f>
        <v>L</v>
      </c>
      <c r="E683" s="3">
        <f t="shared" si="40"/>
        <v>0</v>
      </c>
      <c r="F683" s="3" t="e">
        <f>_xlfn.XLOOKUP(E683,セットアップレポート_紐づけ用!A:A,セットアップレポート_紐づけ用!J:J)</f>
        <v>#N/A</v>
      </c>
      <c r="G683" s="3" t="e">
        <f>_xlfn.XLOOKUP(E683,セットアップレポート_紐づけ用!A:A,セットアップレポート_紐づけ用!V:V)</f>
        <v>#N/A</v>
      </c>
      <c r="H683" s="3">
        <f t="shared" si="43"/>
        <v>-2</v>
      </c>
      <c r="I683" t="str">
        <f>IF(J683=0,"",IF(配列!E683="",マクロ実行!$A$16 &amp;" T"&amp;H683&amp;"-"&amp;RIGHT(配列!D683&amp;配列!E683,2),マクロ実行!$A$16 &amp;" T"&amp;H683&amp;"-"&amp;RIGHT(配列!D683&amp;配列!E683,3)))</f>
        <v/>
      </c>
      <c r="J683">
        <f>配列!F643</f>
        <v>0</v>
      </c>
      <c r="K683" s="2" t="e">
        <f>_xlfn.XLOOKUP(E683,セットアップレポート_紐づけ用!A:A,セットアップレポート_紐づけ用!R:R)</f>
        <v>#N/A</v>
      </c>
      <c r="L683" t="e">
        <f t="shared" si="41"/>
        <v>#N/A</v>
      </c>
      <c r="M683" t="e">
        <f>_xlfn.XLOOKUP(L683,EGPro!A:A,EGPro!D:D)</f>
        <v>#N/A</v>
      </c>
      <c r="N683" t="e">
        <f>_xlfn.XLOOKUP(L683,EGPro!A:A,EGPro!C:C)</f>
        <v>#N/A</v>
      </c>
      <c r="O683" t="e">
        <f t="shared" si="42"/>
        <v>#N/A</v>
      </c>
      <c r="P683" t="e">
        <f>_xlfn.XLOOKUP(O683,EGPro!A:A,EGPro!D:D)</f>
        <v>#N/A</v>
      </c>
      <c r="Q683" t="e">
        <f>_xlfn.XLOOKUP(O683,EGPro!A:A,EGPro!C:C)</f>
        <v>#N/A</v>
      </c>
    </row>
    <row r="684" spans="1:17" x14ac:dyDescent="0.45">
      <c r="A684" s="3">
        <f>配列!B644</f>
        <v>0</v>
      </c>
      <c r="B684" s="3" t="e">
        <f>_xlfn.XLOOKUP(A684,対応表!A:A,対応表!B:B)</f>
        <v>#N/A</v>
      </c>
      <c r="C684" s="3">
        <f>配列!C644</f>
        <v>0</v>
      </c>
      <c r="D684" s="3" t="str">
        <f>IF(配列!E644="",RIGHT(配列!D644&amp;配列!E644,4)&amp;"L",RIGHT(配列!D644&amp;配列!E644,5))</f>
        <v>L</v>
      </c>
      <c r="E684" s="3">
        <f t="shared" si="40"/>
        <v>0</v>
      </c>
      <c r="F684" s="3" t="e">
        <f>_xlfn.XLOOKUP(E684,セットアップレポート_紐づけ用!A:A,セットアップレポート_紐づけ用!J:J)</f>
        <v>#N/A</v>
      </c>
      <c r="G684" s="3" t="e">
        <f>_xlfn.XLOOKUP(E684,セットアップレポート_紐づけ用!A:A,セットアップレポート_紐づけ用!V:V)</f>
        <v>#N/A</v>
      </c>
      <c r="H684" s="3">
        <f t="shared" si="43"/>
        <v>-2</v>
      </c>
      <c r="I684" t="str">
        <f>IF(J684=0,"",IF(配列!E684="",マクロ実行!$A$16 &amp;" T"&amp;H684&amp;"-"&amp;RIGHT(配列!D684&amp;配列!E684,2),マクロ実行!$A$16 &amp;" T"&amp;H684&amp;"-"&amp;RIGHT(配列!D684&amp;配列!E684,3)))</f>
        <v/>
      </c>
      <c r="J684">
        <f>配列!F644</f>
        <v>0</v>
      </c>
      <c r="K684" s="2" t="e">
        <f>_xlfn.XLOOKUP(E684,セットアップレポート_紐づけ用!A:A,セットアップレポート_紐づけ用!R:R)</f>
        <v>#N/A</v>
      </c>
      <c r="L684" t="e">
        <f t="shared" si="41"/>
        <v>#N/A</v>
      </c>
      <c r="M684" t="e">
        <f>_xlfn.XLOOKUP(L684,EGPro!A:A,EGPro!D:D)</f>
        <v>#N/A</v>
      </c>
      <c r="N684" t="e">
        <f>_xlfn.XLOOKUP(L684,EGPro!A:A,EGPro!C:C)</f>
        <v>#N/A</v>
      </c>
      <c r="O684" t="e">
        <f t="shared" si="42"/>
        <v>#N/A</v>
      </c>
      <c r="P684" t="e">
        <f>_xlfn.XLOOKUP(O684,EGPro!A:A,EGPro!D:D)</f>
        <v>#N/A</v>
      </c>
      <c r="Q684" t="e">
        <f>_xlfn.XLOOKUP(O684,EGPro!A:A,EGPro!C:C)</f>
        <v>#N/A</v>
      </c>
    </row>
    <row r="685" spans="1:17" x14ac:dyDescent="0.45">
      <c r="A685" s="3">
        <f>配列!B645</f>
        <v>0</v>
      </c>
      <c r="B685" s="3" t="e">
        <f>_xlfn.XLOOKUP(A685,対応表!A:A,対応表!B:B)</f>
        <v>#N/A</v>
      </c>
      <c r="C685" s="3">
        <f>配列!C645</f>
        <v>0</v>
      </c>
      <c r="D685" s="3" t="str">
        <f>IF(配列!E645="",RIGHT(配列!D645&amp;配列!E645,4)&amp;"L",RIGHT(配列!D645&amp;配列!E645,5))</f>
        <v>L</v>
      </c>
      <c r="E685" s="3">
        <f t="shared" si="40"/>
        <v>0</v>
      </c>
      <c r="F685" s="3" t="e">
        <f>_xlfn.XLOOKUP(E685,セットアップレポート_紐づけ用!A:A,セットアップレポート_紐づけ用!J:J)</f>
        <v>#N/A</v>
      </c>
      <c r="G685" s="3" t="e">
        <f>_xlfn.XLOOKUP(E685,セットアップレポート_紐づけ用!A:A,セットアップレポート_紐づけ用!V:V)</f>
        <v>#N/A</v>
      </c>
      <c r="H685" s="3">
        <f t="shared" si="43"/>
        <v>-2</v>
      </c>
      <c r="I685" t="str">
        <f>IF(J685=0,"",IF(配列!E685="",マクロ実行!$A$16 &amp;" T"&amp;H685&amp;"-"&amp;RIGHT(配列!D685&amp;配列!E685,2),マクロ実行!$A$16 &amp;" T"&amp;H685&amp;"-"&amp;RIGHT(配列!D685&amp;配列!E685,3)))</f>
        <v/>
      </c>
      <c r="J685">
        <f>配列!F645</f>
        <v>0</v>
      </c>
      <c r="K685" s="2" t="e">
        <f>_xlfn.XLOOKUP(E685,セットアップレポート_紐づけ用!A:A,セットアップレポート_紐づけ用!R:R)</f>
        <v>#N/A</v>
      </c>
      <c r="L685" t="e">
        <f t="shared" si="41"/>
        <v>#N/A</v>
      </c>
      <c r="M685" t="e">
        <f>_xlfn.XLOOKUP(L685,EGPro!A:A,EGPro!D:D)</f>
        <v>#N/A</v>
      </c>
      <c r="N685" t="e">
        <f>_xlfn.XLOOKUP(L685,EGPro!A:A,EGPro!C:C)</f>
        <v>#N/A</v>
      </c>
      <c r="O685" t="e">
        <f t="shared" si="42"/>
        <v>#N/A</v>
      </c>
      <c r="P685" t="e">
        <f>_xlfn.XLOOKUP(O685,EGPro!A:A,EGPro!D:D)</f>
        <v>#N/A</v>
      </c>
      <c r="Q685" t="e">
        <f>_xlfn.XLOOKUP(O685,EGPro!A:A,EGPro!C:C)</f>
        <v>#N/A</v>
      </c>
    </row>
    <row r="686" spans="1:17" x14ac:dyDescent="0.45">
      <c r="A686" s="3">
        <f>配列!B646</f>
        <v>0</v>
      </c>
      <c r="B686" s="3" t="e">
        <f>_xlfn.XLOOKUP(A686,対応表!A:A,対応表!B:B)</f>
        <v>#N/A</v>
      </c>
      <c r="C686" s="3">
        <f>配列!C646</f>
        <v>0</v>
      </c>
      <c r="D686" s="3" t="str">
        <f>IF(配列!E646="",RIGHT(配列!D646&amp;配列!E646,4)&amp;"L",RIGHT(配列!D646&amp;配列!E646,5))</f>
        <v>L</v>
      </c>
      <c r="E686" s="3">
        <f t="shared" si="40"/>
        <v>0</v>
      </c>
      <c r="F686" s="3" t="e">
        <f>_xlfn.XLOOKUP(E686,セットアップレポート_紐づけ用!A:A,セットアップレポート_紐づけ用!J:J)</f>
        <v>#N/A</v>
      </c>
      <c r="G686" s="3" t="e">
        <f>_xlfn.XLOOKUP(E686,セットアップレポート_紐づけ用!A:A,セットアップレポート_紐づけ用!V:V)</f>
        <v>#N/A</v>
      </c>
      <c r="H686" s="3">
        <f t="shared" si="43"/>
        <v>-2</v>
      </c>
      <c r="I686" t="str">
        <f>IF(J686=0,"",IF(配列!E686="",マクロ実行!$A$16 &amp;" T"&amp;H686&amp;"-"&amp;RIGHT(配列!D686&amp;配列!E686,2),マクロ実行!$A$16 &amp;" T"&amp;H686&amp;"-"&amp;RIGHT(配列!D686&amp;配列!E686,3)))</f>
        <v/>
      </c>
      <c r="J686">
        <f>配列!F646</f>
        <v>0</v>
      </c>
      <c r="K686" s="2" t="e">
        <f>_xlfn.XLOOKUP(E686,セットアップレポート_紐づけ用!A:A,セットアップレポート_紐づけ用!R:R)</f>
        <v>#N/A</v>
      </c>
      <c r="L686" t="e">
        <f t="shared" si="41"/>
        <v>#N/A</v>
      </c>
      <c r="M686" t="e">
        <f>_xlfn.XLOOKUP(L686,EGPro!A:A,EGPro!D:D)</f>
        <v>#N/A</v>
      </c>
      <c r="N686" t="e">
        <f>_xlfn.XLOOKUP(L686,EGPro!A:A,EGPro!C:C)</f>
        <v>#N/A</v>
      </c>
      <c r="O686" t="e">
        <f t="shared" si="42"/>
        <v>#N/A</v>
      </c>
      <c r="P686" t="e">
        <f>_xlfn.XLOOKUP(O686,EGPro!A:A,EGPro!D:D)</f>
        <v>#N/A</v>
      </c>
      <c r="Q686" t="e">
        <f>_xlfn.XLOOKUP(O686,EGPro!A:A,EGPro!C:C)</f>
        <v>#N/A</v>
      </c>
    </row>
    <row r="687" spans="1:17" x14ac:dyDescent="0.45">
      <c r="A687" s="3">
        <f>配列!B647</f>
        <v>0</v>
      </c>
      <c r="B687" s="3" t="e">
        <f>_xlfn.XLOOKUP(A687,対応表!A:A,対応表!B:B)</f>
        <v>#N/A</v>
      </c>
      <c r="C687" s="3">
        <f>配列!C647</f>
        <v>0</v>
      </c>
      <c r="D687" s="3" t="str">
        <f>IF(配列!E647="",RIGHT(配列!D647&amp;配列!E647,4)&amp;"L",RIGHT(配列!D647&amp;配列!E647,5))</f>
        <v>L</v>
      </c>
      <c r="E687" s="3">
        <f t="shared" si="40"/>
        <v>0</v>
      </c>
      <c r="F687" s="3" t="e">
        <f>_xlfn.XLOOKUP(E687,セットアップレポート_紐づけ用!A:A,セットアップレポート_紐づけ用!J:J)</f>
        <v>#N/A</v>
      </c>
      <c r="G687" s="3" t="e">
        <f>_xlfn.XLOOKUP(E687,セットアップレポート_紐づけ用!A:A,セットアップレポート_紐づけ用!V:V)</f>
        <v>#N/A</v>
      </c>
      <c r="H687" s="3">
        <f t="shared" si="43"/>
        <v>-2</v>
      </c>
      <c r="I687" t="str">
        <f>IF(J687=0,"",IF(配列!E687="",マクロ実行!$A$16 &amp;" T"&amp;H687&amp;"-"&amp;RIGHT(配列!D687&amp;配列!E687,2),マクロ実行!$A$16 &amp;" T"&amp;H687&amp;"-"&amp;RIGHT(配列!D687&amp;配列!E687,3)))</f>
        <v/>
      </c>
      <c r="J687">
        <f>配列!F647</f>
        <v>0</v>
      </c>
      <c r="K687" s="2" t="e">
        <f>_xlfn.XLOOKUP(E687,セットアップレポート_紐づけ用!A:A,セットアップレポート_紐づけ用!R:R)</f>
        <v>#N/A</v>
      </c>
      <c r="L687" t="e">
        <f t="shared" si="41"/>
        <v>#N/A</v>
      </c>
      <c r="M687" t="e">
        <f>_xlfn.XLOOKUP(L687,EGPro!A:A,EGPro!D:D)</f>
        <v>#N/A</v>
      </c>
      <c r="N687" t="e">
        <f>_xlfn.XLOOKUP(L687,EGPro!A:A,EGPro!C:C)</f>
        <v>#N/A</v>
      </c>
      <c r="O687" t="e">
        <f t="shared" si="42"/>
        <v>#N/A</v>
      </c>
      <c r="P687" t="e">
        <f>_xlfn.XLOOKUP(O687,EGPro!A:A,EGPro!D:D)</f>
        <v>#N/A</v>
      </c>
      <c r="Q687" t="e">
        <f>_xlfn.XLOOKUP(O687,EGPro!A:A,EGPro!C:C)</f>
        <v>#N/A</v>
      </c>
    </row>
    <row r="688" spans="1:17" x14ac:dyDescent="0.45">
      <c r="A688" s="3">
        <f>配列!B648</f>
        <v>0</v>
      </c>
      <c r="B688" s="3" t="e">
        <f>_xlfn.XLOOKUP(A688,対応表!A:A,対応表!B:B)</f>
        <v>#N/A</v>
      </c>
      <c r="C688" s="3">
        <f>配列!C648</f>
        <v>0</v>
      </c>
      <c r="D688" s="3" t="str">
        <f>IF(配列!E648="",RIGHT(配列!D648&amp;配列!E648,4)&amp;"L",RIGHT(配列!D648&amp;配列!E648,5))</f>
        <v>L</v>
      </c>
      <c r="E688" s="3">
        <f t="shared" si="40"/>
        <v>0</v>
      </c>
      <c r="F688" s="3" t="e">
        <f>_xlfn.XLOOKUP(E688,セットアップレポート_紐づけ用!A:A,セットアップレポート_紐づけ用!J:J)</f>
        <v>#N/A</v>
      </c>
      <c r="G688" s="3" t="e">
        <f>_xlfn.XLOOKUP(E688,セットアップレポート_紐づけ用!A:A,セットアップレポート_紐づけ用!V:V)</f>
        <v>#N/A</v>
      </c>
      <c r="H688" s="3">
        <f t="shared" si="43"/>
        <v>-2</v>
      </c>
      <c r="I688" t="str">
        <f>IF(J688=0,"",IF(配列!E688="",マクロ実行!$A$16 &amp;" T"&amp;H688&amp;"-"&amp;RIGHT(配列!D688&amp;配列!E688,2),マクロ実行!$A$16 &amp;" T"&amp;H688&amp;"-"&amp;RIGHT(配列!D688&amp;配列!E688,3)))</f>
        <v/>
      </c>
      <c r="J688">
        <f>配列!F648</f>
        <v>0</v>
      </c>
      <c r="K688" s="2" t="e">
        <f>_xlfn.XLOOKUP(E688,セットアップレポート_紐づけ用!A:A,セットアップレポート_紐づけ用!R:R)</f>
        <v>#N/A</v>
      </c>
      <c r="L688" t="e">
        <f t="shared" si="41"/>
        <v>#N/A</v>
      </c>
      <c r="M688" t="e">
        <f>_xlfn.XLOOKUP(L688,EGPro!A:A,EGPro!D:D)</f>
        <v>#N/A</v>
      </c>
      <c r="N688" t="e">
        <f>_xlfn.XLOOKUP(L688,EGPro!A:A,EGPro!C:C)</f>
        <v>#N/A</v>
      </c>
      <c r="O688" t="e">
        <f t="shared" si="42"/>
        <v>#N/A</v>
      </c>
      <c r="P688" t="e">
        <f>_xlfn.XLOOKUP(O688,EGPro!A:A,EGPro!D:D)</f>
        <v>#N/A</v>
      </c>
      <c r="Q688" t="e">
        <f>_xlfn.XLOOKUP(O688,EGPro!A:A,EGPro!C:C)</f>
        <v>#N/A</v>
      </c>
    </row>
    <row r="689" spans="1:17" x14ac:dyDescent="0.45">
      <c r="A689" s="3">
        <f>配列!B649</f>
        <v>0</v>
      </c>
      <c r="B689" s="3" t="e">
        <f>_xlfn.XLOOKUP(A689,対応表!A:A,対応表!B:B)</f>
        <v>#N/A</v>
      </c>
      <c r="C689" s="3">
        <f>配列!C649</f>
        <v>0</v>
      </c>
      <c r="D689" s="3" t="str">
        <f>IF(配列!E649="",RIGHT(配列!D649&amp;配列!E649,4)&amp;"L",RIGHT(配列!D649&amp;配列!E649,5))</f>
        <v>L</v>
      </c>
      <c r="E689" s="3">
        <f t="shared" si="40"/>
        <v>0</v>
      </c>
      <c r="F689" s="3" t="e">
        <f>_xlfn.XLOOKUP(E689,セットアップレポート_紐づけ用!A:A,セットアップレポート_紐づけ用!J:J)</f>
        <v>#N/A</v>
      </c>
      <c r="G689" s="3" t="e">
        <f>_xlfn.XLOOKUP(E689,セットアップレポート_紐づけ用!A:A,セットアップレポート_紐づけ用!V:V)</f>
        <v>#N/A</v>
      </c>
      <c r="H689" s="3">
        <f t="shared" si="43"/>
        <v>-2</v>
      </c>
      <c r="I689" t="str">
        <f>IF(J689=0,"",IF(配列!E689="",マクロ実行!$A$16 &amp;" T"&amp;H689&amp;"-"&amp;RIGHT(配列!D689&amp;配列!E689,2),マクロ実行!$A$16 &amp;" T"&amp;H689&amp;"-"&amp;RIGHT(配列!D689&amp;配列!E689,3)))</f>
        <v/>
      </c>
      <c r="J689">
        <f>配列!F649</f>
        <v>0</v>
      </c>
      <c r="K689" s="2" t="e">
        <f>_xlfn.XLOOKUP(E689,セットアップレポート_紐づけ用!A:A,セットアップレポート_紐づけ用!R:R)</f>
        <v>#N/A</v>
      </c>
      <c r="L689" t="e">
        <f t="shared" si="41"/>
        <v>#N/A</v>
      </c>
      <c r="M689" t="e">
        <f>_xlfn.XLOOKUP(L689,EGPro!A:A,EGPro!D:D)</f>
        <v>#N/A</v>
      </c>
      <c r="N689" t="e">
        <f>_xlfn.XLOOKUP(L689,EGPro!A:A,EGPro!C:C)</f>
        <v>#N/A</v>
      </c>
      <c r="O689" t="e">
        <f t="shared" si="42"/>
        <v>#N/A</v>
      </c>
      <c r="P689" t="e">
        <f>_xlfn.XLOOKUP(O689,EGPro!A:A,EGPro!D:D)</f>
        <v>#N/A</v>
      </c>
      <c r="Q689" t="e">
        <f>_xlfn.XLOOKUP(O689,EGPro!A:A,EGPro!C:C)</f>
        <v>#N/A</v>
      </c>
    </row>
    <row r="690" spans="1:17" x14ac:dyDescent="0.45">
      <c r="A690" s="3">
        <f>配列!B650</f>
        <v>0</v>
      </c>
      <c r="B690" s="3" t="e">
        <f>_xlfn.XLOOKUP(A690,対応表!A:A,対応表!B:B)</f>
        <v>#N/A</v>
      </c>
      <c r="C690" s="3">
        <f>配列!C650</f>
        <v>0</v>
      </c>
      <c r="D690" s="3" t="str">
        <f>IF(配列!E650="",RIGHT(配列!D650&amp;配列!E650,4)&amp;"L",RIGHT(配列!D650&amp;配列!E650,5))</f>
        <v>L</v>
      </c>
      <c r="E690" s="3">
        <f t="shared" si="40"/>
        <v>0</v>
      </c>
      <c r="F690" s="3" t="e">
        <f>_xlfn.XLOOKUP(E690,セットアップレポート_紐づけ用!A:A,セットアップレポート_紐づけ用!J:J)</f>
        <v>#N/A</v>
      </c>
      <c r="G690" s="3" t="e">
        <f>_xlfn.XLOOKUP(E690,セットアップレポート_紐づけ用!A:A,セットアップレポート_紐づけ用!V:V)</f>
        <v>#N/A</v>
      </c>
      <c r="H690" s="3">
        <f t="shared" si="43"/>
        <v>-2</v>
      </c>
      <c r="I690" t="str">
        <f>IF(J690=0,"",IF(配列!E690="",マクロ実行!$A$16 &amp;" T"&amp;H690&amp;"-"&amp;RIGHT(配列!D690&amp;配列!E690,2),マクロ実行!$A$16 &amp;" T"&amp;H690&amp;"-"&amp;RIGHT(配列!D690&amp;配列!E690,3)))</f>
        <v/>
      </c>
      <c r="J690">
        <f>配列!F650</f>
        <v>0</v>
      </c>
      <c r="K690" s="2" t="e">
        <f>_xlfn.XLOOKUP(E690,セットアップレポート_紐づけ用!A:A,セットアップレポート_紐づけ用!R:R)</f>
        <v>#N/A</v>
      </c>
      <c r="L690" t="e">
        <f t="shared" si="41"/>
        <v>#N/A</v>
      </c>
      <c r="M690" t="e">
        <f>_xlfn.XLOOKUP(L690,EGPro!A:A,EGPro!D:D)</f>
        <v>#N/A</v>
      </c>
      <c r="N690" t="e">
        <f>_xlfn.XLOOKUP(L690,EGPro!A:A,EGPro!C:C)</f>
        <v>#N/A</v>
      </c>
      <c r="O690" t="e">
        <f t="shared" si="42"/>
        <v>#N/A</v>
      </c>
      <c r="P690" t="e">
        <f>_xlfn.XLOOKUP(O690,EGPro!A:A,EGPro!D:D)</f>
        <v>#N/A</v>
      </c>
      <c r="Q690" t="e">
        <f>_xlfn.XLOOKUP(O690,EGPro!A:A,EGPro!C:C)</f>
        <v>#N/A</v>
      </c>
    </row>
    <row r="691" spans="1:17" x14ac:dyDescent="0.45">
      <c r="A691" s="3">
        <f>配列!B651</f>
        <v>0</v>
      </c>
      <c r="B691" s="3" t="e">
        <f>_xlfn.XLOOKUP(A691,対応表!A:A,対応表!B:B)</f>
        <v>#N/A</v>
      </c>
      <c r="C691" s="3">
        <f>配列!C651</f>
        <v>0</v>
      </c>
      <c r="D691" s="3" t="str">
        <f>IF(配列!E651="",RIGHT(配列!D651&amp;配列!E651,4)&amp;"L",RIGHT(配列!D651&amp;配列!E651,5))</f>
        <v>L</v>
      </c>
      <c r="E691" s="3">
        <f t="shared" si="40"/>
        <v>0</v>
      </c>
      <c r="F691" s="3" t="e">
        <f>_xlfn.XLOOKUP(E691,セットアップレポート_紐づけ用!A:A,セットアップレポート_紐づけ用!J:J)</f>
        <v>#N/A</v>
      </c>
      <c r="G691" s="3" t="e">
        <f>_xlfn.XLOOKUP(E691,セットアップレポート_紐づけ用!A:A,セットアップレポート_紐づけ用!V:V)</f>
        <v>#N/A</v>
      </c>
      <c r="H691" s="3">
        <f t="shared" si="43"/>
        <v>-2</v>
      </c>
      <c r="I691" t="str">
        <f>IF(J691=0,"",IF(配列!E691="",マクロ実行!$A$16 &amp;" T"&amp;H691&amp;"-"&amp;RIGHT(配列!D691&amp;配列!E691,2),マクロ実行!$A$16 &amp;" T"&amp;H691&amp;"-"&amp;RIGHT(配列!D691&amp;配列!E691,3)))</f>
        <v/>
      </c>
      <c r="J691">
        <f>配列!F651</f>
        <v>0</v>
      </c>
      <c r="K691" s="2" t="e">
        <f>_xlfn.XLOOKUP(E691,セットアップレポート_紐づけ用!A:A,セットアップレポート_紐づけ用!R:R)</f>
        <v>#N/A</v>
      </c>
      <c r="L691" t="e">
        <f t="shared" si="41"/>
        <v>#N/A</v>
      </c>
      <c r="M691" t="e">
        <f>_xlfn.XLOOKUP(L691,EGPro!A:A,EGPro!D:D)</f>
        <v>#N/A</v>
      </c>
      <c r="N691" t="e">
        <f>_xlfn.XLOOKUP(L691,EGPro!A:A,EGPro!C:C)</f>
        <v>#N/A</v>
      </c>
      <c r="O691" t="e">
        <f t="shared" si="42"/>
        <v>#N/A</v>
      </c>
      <c r="P691" t="e">
        <f>_xlfn.XLOOKUP(O691,EGPro!A:A,EGPro!D:D)</f>
        <v>#N/A</v>
      </c>
      <c r="Q691" t="e">
        <f>_xlfn.XLOOKUP(O691,EGPro!A:A,EGPro!C:C)</f>
        <v>#N/A</v>
      </c>
    </row>
    <row r="692" spans="1:17" x14ac:dyDescent="0.45">
      <c r="A692" s="3">
        <f>配列!B652</f>
        <v>0</v>
      </c>
      <c r="B692" s="3" t="e">
        <f>_xlfn.XLOOKUP(A692,対応表!A:A,対応表!B:B)</f>
        <v>#N/A</v>
      </c>
      <c r="C692" s="3">
        <f>配列!C652</f>
        <v>0</v>
      </c>
      <c r="D692" s="3" t="str">
        <f>IF(配列!E652="",RIGHT(配列!D652&amp;配列!E652,4)&amp;"L",RIGHT(配列!D652&amp;配列!E652,5))</f>
        <v>L</v>
      </c>
      <c r="E692" s="3">
        <f t="shared" si="40"/>
        <v>0</v>
      </c>
      <c r="F692" s="3" t="e">
        <f>_xlfn.XLOOKUP(E692,セットアップレポート_紐づけ用!A:A,セットアップレポート_紐づけ用!J:J)</f>
        <v>#N/A</v>
      </c>
      <c r="G692" s="3" t="e">
        <f>_xlfn.XLOOKUP(E692,セットアップレポート_紐づけ用!A:A,セットアップレポート_紐づけ用!V:V)</f>
        <v>#N/A</v>
      </c>
      <c r="H692" s="3">
        <f t="shared" si="43"/>
        <v>-2</v>
      </c>
      <c r="I692" t="str">
        <f>IF(J692=0,"",IF(配列!E692="",マクロ実行!$A$16 &amp;" T"&amp;H692&amp;"-"&amp;RIGHT(配列!D692&amp;配列!E692,2),マクロ実行!$A$16 &amp;" T"&amp;H692&amp;"-"&amp;RIGHT(配列!D692&amp;配列!E692,3)))</f>
        <v/>
      </c>
      <c r="J692">
        <f>配列!F652</f>
        <v>0</v>
      </c>
      <c r="K692" s="2" t="e">
        <f>_xlfn.XLOOKUP(E692,セットアップレポート_紐づけ用!A:A,セットアップレポート_紐づけ用!R:R)</f>
        <v>#N/A</v>
      </c>
      <c r="L692" t="e">
        <f t="shared" si="41"/>
        <v>#N/A</v>
      </c>
      <c r="M692" t="e">
        <f>_xlfn.XLOOKUP(L692,EGPro!A:A,EGPro!D:D)</f>
        <v>#N/A</v>
      </c>
      <c r="N692" t="e">
        <f>_xlfn.XLOOKUP(L692,EGPro!A:A,EGPro!C:C)</f>
        <v>#N/A</v>
      </c>
      <c r="O692" t="e">
        <f t="shared" si="42"/>
        <v>#N/A</v>
      </c>
      <c r="P692" t="e">
        <f>_xlfn.XLOOKUP(O692,EGPro!A:A,EGPro!D:D)</f>
        <v>#N/A</v>
      </c>
      <c r="Q692" t="e">
        <f>_xlfn.XLOOKUP(O692,EGPro!A:A,EGPro!C:C)</f>
        <v>#N/A</v>
      </c>
    </row>
    <row r="693" spans="1:17" x14ac:dyDescent="0.45">
      <c r="A693" s="3">
        <f>配列!B653</f>
        <v>0</v>
      </c>
      <c r="B693" s="3" t="e">
        <f>_xlfn.XLOOKUP(A693,対応表!A:A,対応表!B:B)</f>
        <v>#N/A</v>
      </c>
      <c r="C693" s="3">
        <f>配列!C653</f>
        <v>0</v>
      </c>
      <c r="D693" s="3" t="str">
        <f>IF(配列!E653="",RIGHT(配列!D653&amp;配列!E653,4)&amp;"L",RIGHT(配列!D653&amp;配列!E653,5))</f>
        <v>L</v>
      </c>
      <c r="E693" s="3">
        <f t="shared" si="40"/>
        <v>0</v>
      </c>
      <c r="F693" s="3" t="e">
        <f>_xlfn.XLOOKUP(E693,セットアップレポート_紐づけ用!A:A,セットアップレポート_紐づけ用!J:J)</f>
        <v>#N/A</v>
      </c>
      <c r="G693" s="3" t="e">
        <f>_xlfn.XLOOKUP(E693,セットアップレポート_紐づけ用!A:A,セットアップレポート_紐づけ用!V:V)</f>
        <v>#N/A</v>
      </c>
      <c r="H693" s="3">
        <f t="shared" si="43"/>
        <v>-2</v>
      </c>
      <c r="I693" t="str">
        <f>IF(J693=0,"",IF(配列!E693="",マクロ実行!$A$16 &amp;" T"&amp;H693&amp;"-"&amp;RIGHT(配列!D693&amp;配列!E693,2),マクロ実行!$A$16 &amp;" T"&amp;H693&amp;"-"&amp;RIGHT(配列!D693&amp;配列!E693,3)))</f>
        <v/>
      </c>
      <c r="J693">
        <f>配列!F653</f>
        <v>0</v>
      </c>
      <c r="K693" s="2" t="e">
        <f>_xlfn.XLOOKUP(E693,セットアップレポート_紐づけ用!A:A,セットアップレポート_紐づけ用!R:R)</f>
        <v>#N/A</v>
      </c>
      <c r="L693" t="e">
        <f t="shared" si="41"/>
        <v>#N/A</v>
      </c>
      <c r="M693" t="e">
        <f>_xlfn.XLOOKUP(L693,EGPro!A:A,EGPro!D:D)</f>
        <v>#N/A</v>
      </c>
      <c r="N693" t="e">
        <f>_xlfn.XLOOKUP(L693,EGPro!A:A,EGPro!C:C)</f>
        <v>#N/A</v>
      </c>
      <c r="O693" t="e">
        <f t="shared" si="42"/>
        <v>#N/A</v>
      </c>
      <c r="P693" t="e">
        <f>_xlfn.XLOOKUP(O693,EGPro!A:A,EGPro!D:D)</f>
        <v>#N/A</v>
      </c>
      <c r="Q693" t="e">
        <f>_xlfn.XLOOKUP(O693,EGPro!A:A,EGPro!C:C)</f>
        <v>#N/A</v>
      </c>
    </row>
    <row r="694" spans="1:17" x14ac:dyDescent="0.45">
      <c r="A694" s="3">
        <f>配列!B654</f>
        <v>0</v>
      </c>
      <c r="B694" s="3" t="e">
        <f>_xlfn.XLOOKUP(A694,対応表!A:A,対応表!B:B)</f>
        <v>#N/A</v>
      </c>
      <c r="C694" s="3">
        <f>配列!C654</f>
        <v>0</v>
      </c>
      <c r="D694" s="3" t="str">
        <f>IF(配列!E654="",RIGHT(配列!D654&amp;配列!E654,4)&amp;"L",RIGHT(配列!D654&amp;配列!E654,5))</f>
        <v>L</v>
      </c>
      <c r="E694" s="3">
        <f t="shared" si="40"/>
        <v>0</v>
      </c>
      <c r="F694" s="3" t="e">
        <f>_xlfn.XLOOKUP(E694,セットアップレポート_紐づけ用!A:A,セットアップレポート_紐づけ用!J:J)</f>
        <v>#N/A</v>
      </c>
      <c r="G694" s="3" t="e">
        <f>_xlfn.XLOOKUP(E694,セットアップレポート_紐づけ用!A:A,セットアップレポート_紐づけ用!V:V)</f>
        <v>#N/A</v>
      </c>
      <c r="H694" s="3">
        <f t="shared" si="43"/>
        <v>-2</v>
      </c>
      <c r="I694" t="str">
        <f>IF(J694=0,"",IF(配列!E694="",マクロ実行!$A$16 &amp;" T"&amp;H694&amp;"-"&amp;RIGHT(配列!D694&amp;配列!E694,2),マクロ実行!$A$16 &amp;" T"&amp;H694&amp;"-"&amp;RIGHT(配列!D694&amp;配列!E694,3)))</f>
        <v/>
      </c>
      <c r="J694">
        <f>配列!F654</f>
        <v>0</v>
      </c>
      <c r="K694" s="2" t="e">
        <f>_xlfn.XLOOKUP(E694,セットアップレポート_紐づけ用!A:A,セットアップレポート_紐づけ用!R:R)</f>
        <v>#N/A</v>
      </c>
      <c r="L694" t="e">
        <f t="shared" si="41"/>
        <v>#N/A</v>
      </c>
      <c r="M694" t="e">
        <f>_xlfn.XLOOKUP(L694,EGPro!A:A,EGPro!D:D)</f>
        <v>#N/A</v>
      </c>
      <c r="N694" t="e">
        <f>_xlfn.XLOOKUP(L694,EGPro!A:A,EGPro!C:C)</f>
        <v>#N/A</v>
      </c>
      <c r="O694" t="e">
        <f t="shared" si="42"/>
        <v>#N/A</v>
      </c>
      <c r="P694" t="e">
        <f>_xlfn.XLOOKUP(O694,EGPro!A:A,EGPro!D:D)</f>
        <v>#N/A</v>
      </c>
      <c r="Q694" t="e">
        <f>_xlfn.XLOOKUP(O694,EGPro!A:A,EGPro!C:C)</f>
        <v>#N/A</v>
      </c>
    </row>
    <row r="695" spans="1:17" x14ac:dyDescent="0.45">
      <c r="A695" s="3">
        <f>配列!B655</f>
        <v>0</v>
      </c>
      <c r="B695" s="3" t="e">
        <f>_xlfn.XLOOKUP(A695,対応表!A:A,対応表!B:B)</f>
        <v>#N/A</v>
      </c>
      <c r="C695" s="3">
        <f>配列!C655</f>
        <v>0</v>
      </c>
      <c r="D695" s="3" t="str">
        <f>IF(配列!E655="",RIGHT(配列!D655&amp;配列!E655,4)&amp;"L",RIGHT(配列!D655&amp;配列!E655,5))</f>
        <v>L</v>
      </c>
      <c r="E695" s="3">
        <f t="shared" si="40"/>
        <v>0</v>
      </c>
      <c r="F695" s="3" t="e">
        <f>_xlfn.XLOOKUP(E695,セットアップレポート_紐づけ用!A:A,セットアップレポート_紐づけ用!J:J)</f>
        <v>#N/A</v>
      </c>
      <c r="G695" s="3" t="e">
        <f>_xlfn.XLOOKUP(E695,セットアップレポート_紐づけ用!A:A,セットアップレポート_紐づけ用!V:V)</f>
        <v>#N/A</v>
      </c>
      <c r="H695" s="3">
        <f t="shared" si="43"/>
        <v>-2</v>
      </c>
      <c r="I695" t="str">
        <f>IF(J695=0,"",IF(配列!E695="",マクロ実行!$A$16 &amp;" T"&amp;H695&amp;"-"&amp;RIGHT(配列!D695&amp;配列!E695,2),マクロ実行!$A$16 &amp;" T"&amp;H695&amp;"-"&amp;RIGHT(配列!D695&amp;配列!E695,3)))</f>
        <v/>
      </c>
      <c r="J695">
        <f>配列!F655</f>
        <v>0</v>
      </c>
      <c r="K695" s="2" t="e">
        <f>_xlfn.XLOOKUP(E695,セットアップレポート_紐づけ用!A:A,セットアップレポート_紐づけ用!R:R)</f>
        <v>#N/A</v>
      </c>
      <c r="L695" t="e">
        <f t="shared" si="41"/>
        <v>#N/A</v>
      </c>
      <c r="M695" t="e">
        <f>_xlfn.XLOOKUP(L695,EGPro!A:A,EGPro!D:D)</f>
        <v>#N/A</v>
      </c>
      <c r="N695" t="e">
        <f>_xlfn.XLOOKUP(L695,EGPro!A:A,EGPro!C:C)</f>
        <v>#N/A</v>
      </c>
      <c r="O695" t="e">
        <f t="shared" si="42"/>
        <v>#N/A</v>
      </c>
      <c r="P695" t="e">
        <f>_xlfn.XLOOKUP(O695,EGPro!A:A,EGPro!D:D)</f>
        <v>#N/A</v>
      </c>
      <c r="Q695" t="e">
        <f>_xlfn.XLOOKUP(O695,EGPro!A:A,EGPro!C:C)</f>
        <v>#N/A</v>
      </c>
    </row>
    <row r="696" spans="1:17" x14ac:dyDescent="0.45">
      <c r="A696" s="3">
        <f>配列!B656</f>
        <v>0</v>
      </c>
      <c r="B696" s="3" t="e">
        <f>_xlfn.XLOOKUP(A696,対応表!A:A,対応表!B:B)</f>
        <v>#N/A</v>
      </c>
      <c r="C696" s="3">
        <f>配列!C656</f>
        <v>0</v>
      </c>
      <c r="D696" s="3" t="str">
        <f>IF(配列!E656="",RIGHT(配列!D656&amp;配列!E656,4)&amp;"L",RIGHT(配列!D656&amp;配列!E656,5))</f>
        <v>L</v>
      </c>
      <c r="E696" s="3">
        <f t="shared" si="40"/>
        <v>0</v>
      </c>
      <c r="F696" s="3" t="e">
        <f>_xlfn.XLOOKUP(E696,セットアップレポート_紐づけ用!A:A,セットアップレポート_紐づけ用!J:J)</f>
        <v>#N/A</v>
      </c>
      <c r="G696" s="3" t="e">
        <f>_xlfn.XLOOKUP(E696,セットアップレポート_紐づけ用!A:A,セットアップレポート_紐づけ用!V:V)</f>
        <v>#N/A</v>
      </c>
      <c r="H696" s="3">
        <f t="shared" si="43"/>
        <v>-2</v>
      </c>
      <c r="I696" t="str">
        <f>IF(J696=0,"",IF(配列!E696="",マクロ実行!$A$16 &amp;" T"&amp;H696&amp;"-"&amp;RIGHT(配列!D696&amp;配列!E696,2),マクロ実行!$A$16 &amp;" T"&amp;H696&amp;"-"&amp;RIGHT(配列!D696&amp;配列!E696,3)))</f>
        <v/>
      </c>
      <c r="J696">
        <f>配列!F656</f>
        <v>0</v>
      </c>
      <c r="K696" s="2" t="e">
        <f>_xlfn.XLOOKUP(E696,セットアップレポート_紐づけ用!A:A,セットアップレポート_紐づけ用!R:R)</f>
        <v>#N/A</v>
      </c>
      <c r="L696" t="e">
        <f t="shared" si="41"/>
        <v>#N/A</v>
      </c>
      <c r="M696" t="e">
        <f>_xlfn.XLOOKUP(L696,EGPro!A:A,EGPro!D:D)</f>
        <v>#N/A</v>
      </c>
      <c r="N696" t="e">
        <f>_xlfn.XLOOKUP(L696,EGPro!A:A,EGPro!C:C)</f>
        <v>#N/A</v>
      </c>
      <c r="O696" t="e">
        <f t="shared" si="42"/>
        <v>#N/A</v>
      </c>
      <c r="P696" t="e">
        <f>_xlfn.XLOOKUP(O696,EGPro!A:A,EGPro!D:D)</f>
        <v>#N/A</v>
      </c>
      <c r="Q696" t="e">
        <f>_xlfn.XLOOKUP(O696,EGPro!A:A,EGPro!C:C)</f>
        <v>#N/A</v>
      </c>
    </row>
    <row r="697" spans="1:17" x14ac:dyDescent="0.45">
      <c r="A697" s="3">
        <f>配列!B657</f>
        <v>0</v>
      </c>
      <c r="B697" s="3" t="e">
        <f>_xlfn.XLOOKUP(A697,対応表!A:A,対応表!B:B)</f>
        <v>#N/A</v>
      </c>
      <c r="C697" s="3">
        <f>配列!C657</f>
        <v>0</v>
      </c>
      <c r="D697" s="3" t="str">
        <f>IF(配列!E657="",RIGHT(配列!D657&amp;配列!E657,4)&amp;"L",RIGHT(配列!D657&amp;配列!E657,5))</f>
        <v>L</v>
      </c>
      <c r="E697" s="3">
        <f t="shared" si="40"/>
        <v>0</v>
      </c>
      <c r="F697" s="3" t="e">
        <f>_xlfn.XLOOKUP(E697,セットアップレポート_紐づけ用!A:A,セットアップレポート_紐づけ用!J:J)</f>
        <v>#N/A</v>
      </c>
      <c r="G697" s="3" t="e">
        <f>_xlfn.XLOOKUP(E697,セットアップレポート_紐づけ用!A:A,セットアップレポート_紐づけ用!V:V)</f>
        <v>#N/A</v>
      </c>
      <c r="H697" s="3">
        <f t="shared" si="43"/>
        <v>-2</v>
      </c>
      <c r="I697" t="str">
        <f>IF(J697=0,"",IF(配列!E697="",マクロ実行!$A$16 &amp;" T"&amp;H697&amp;"-"&amp;RIGHT(配列!D697&amp;配列!E697,2),マクロ実行!$A$16 &amp;" T"&amp;H697&amp;"-"&amp;RIGHT(配列!D697&amp;配列!E697,3)))</f>
        <v/>
      </c>
      <c r="J697">
        <f>配列!F657</f>
        <v>0</v>
      </c>
      <c r="K697" s="2" t="e">
        <f>_xlfn.XLOOKUP(E697,セットアップレポート_紐づけ用!A:A,セットアップレポート_紐づけ用!R:R)</f>
        <v>#N/A</v>
      </c>
      <c r="L697" t="e">
        <f t="shared" si="41"/>
        <v>#N/A</v>
      </c>
      <c r="M697" t="e">
        <f>_xlfn.XLOOKUP(L697,EGPro!A:A,EGPro!D:D)</f>
        <v>#N/A</v>
      </c>
      <c r="N697" t="e">
        <f>_xlfn.XLOOKUP(L697,EGPro!A:A,EGPro!C:C)</f>
        <v>#N/A</v>
      </c>
      <c r="O697" t="e">
        <f t="shared" si="42"/>
        <v>#N/A</v>
      </c>
      <c r="P697" t="e">
        <f>_xlfn.XLOOKUP(O697,EGPro!A:A,EGPro!D:D)</f>
        <v>#N/A</v>
      </c>
      <c r="Q697" t="e">
        <f>_xlfn.XLOOKUP(O697,EGPro!A:A,EGPro!C:C)</f>
        <v>#N/A</v>
      </c>
    </row>
    <row r="698" spans="1:17" x14ac:dyDescent="0.45">
      <c r="A698" s="3">
        <f>配列!B658</f>
        <v>0</v>
      </c>
      <c r="B698" s="3" t="e">
        <f>_xlfn.XLOOKUP(A698,対応表!A:A,対応表!B:B)</f>
        <v>#N/A</v>
      </c>
      <c r="C698" s="3">
        <f>配列!C658</f>
        <v>0</v>
      </c>
      <c r="D698" s="3" t="str">
        <f>IF(配列!E658="",RIGHT(配列!D658&amp;配列!E658,4)&amp;"L",RIGHT(配列!D658&amp;配列!E658,5))</f>
        <v>L</v>
      </c>
      <c r="E698" s="3">
        <f t="shared" si="40"/>
        <v>0</v>
      </c>
      <c r="F698" s="3" t="e">
        <f>_xlfn.XLOOKUP(E698,セットアップレポート_紐づけ用!A:A,セットアップレポート_紐づけ用!J:J)</f>
        <v>#N/A</v>
      </c>
      <c r="G698" s="3" t="e">
        <f>_xlfn.XLOOKUP(E698,セットアップレポート_紐づけ用!A:A,セットアップレポート_紐づけ用!V:V)</f>
        <v>#N/A</v>
      </c>
      <c r="H698" s="3">
        <f t="shared" si="43"/>
        <v>-2</v>
      </c>
      <c r="I698" t="str">
        <f>IF(J698=0,"",IF(配列!E698="",マクロ実行!$A$16 &amp;" T"&amp;H698&amp;"-"&amp;RIGHT(配列!D698&amp;配列!E698,2),マクロ実行!$A$16 &amp;" T"&amp;H698&amp;"-"&amp;RIGHT(配列!D698&amp;配列!E698,3)))</f>
        <v/>
      </c>
      <c r="J698">
        <f>配列!F658</f>
        <v>0</v>
      </c>
      <c r="K698" s="2" t="e">
        <f>_xlfn.XLOOKUP(E698,セットアップレポート_紐づけ用!A:A,セットアップレポート_紐づけ用!R:R)</f>
        <v>#N/A</v>
      </c>
      <c r="L698" t="e">
        <f t="shared" si="41"/>
        <v>#N/A</v>
      </c>
      <c r="M698" t="e">
        <f>_xlfn.XLOOKUP(L698,EGPro!A:A,EGPro!D:D)</f>
        <v>#N/A</v>
      </c>
      <c r="N698" t="e">
        <f>_xlfn.XLOOKUP(L698,EGPro!A:A,EGPro!C:C)</f>
        <v>#N/A</v>
      </c>
      <c r="O698" t="e">
        <f t="shared" si="42"/>
        <v>#N/A</v>
      </c>
      <c r="P698" t="e">
        <f>_xlfn.XLOOKUP(O698,EGPro!A:A,EGPro!D:D)</f>
        <v>#N/A</v>
      </c>
      <c r="Q698" t="e">
        <f>_xlfn.XLOOKUP(O698,EGPro!A:A,EGPro!C:C)</f>
        <v>#N/A</v>
      </c>
    </row>
    <row r="699" spans="1:17" x14ac:dyDescent="0.45">
      <c r="A699" s="3">
        <f>配列!B659</f>
        <v>0</v>
      </c>
      <c r="B699" s="3" t="e">
        <f>_xlfn.XLOOKUP(A699,対応表!A:A,対応表!B:B)</f>
        <v>#N/A</v>
      </c>
      <c r="C699" s="3">
        <f>配列!C659</f>
        <v>0</v>
      </c>
      <c r="D699" s="3" t="str">
        <f>IF(配列!E659="",RIGHT(配列!D659&amp;配列!E659,4)&amp;"L",RIGHT(配列!D659&amp;配列!E659,5))</f>
        <v>L</v>
      </c>
      <c r="E699" s="3">
        <f t="shared" si="40"/>
        <v>0</v>
      </c>
      <c r="F699" s="3" t="e">
        <f>_xlfn.XLOOKUP(E699,セットアップレポート_紐づけ用!A:A,セットアップレポート_紐づけ用!J:J)</f>
        <v>#N/A</v>
      </c>
      <c r="G699" s="3" t="e">
        <f>_xlfn.XLOOKUP(E699,セットアップレポート_紐づけ用!A:A,セットアップレポート_紐づけ用!V:V)</f>
        <v>#N/A</v>
      </c>
      <c r="H699" s="3">
        <f t="shared" si="43"/>
        <v>-2</v>
      </c>
      <c r="I699" t="str">
        <f>IF(J699=0,"",IF(配列!E699="",マクロ実行!$A$16 &amp;" T"&amp;H699&amp;"-"&amp;RIGHT(配列!D699&amp;配列!E699,2),マクロ実行!$A$16 &amp;" T"&amp;H699&amp;"-"&amp;RIGHT(配列!D699&amp;配列!E699,3)))</f>
        <v/>
      </c>
      <c r="J699">
        <f>配列!F659</f>
        <v>0</v>
      </c>
      <c r="K699" s="2" t="e">
        <f>_xlfn.XLOOKUP(E699,セットアップレポート_紐づけ用!A:A,セットアップレポート_紐づけ用!R:R)</f>
        <v>#N/A</v>
      </c>
      <c r="L699" t="e">
        <f t="shared" si="41"/>
        <v>#N/A</v>
      </c>
      <c r="M699" t="e">
        <f>_xlfn.XLOOKUP(L699,EGPro!A:A,EGPro!D:D)</f>
        <v>#N/A</v>
      </c>
      <c r="N699" t="e">
        <f>_xlfn.XLOOKUP(L699,EGPro!A:A,EGPro!C:C)</f>
        <v>#N/A</v>
      </c>
      <c r="O699" t="e">
        <f t="shared" si="42"/>
        <v>#N/A</v>
      </c>
      <c r="P699" t="e">
        <f>_xlfn.XLOOKUP(O699,EGPro!A:A,EGPro!D:D)</f>
        <v>#N/A</v>
      </c>
      <c r="Q699" t="e">
        <f>_xlfn.XLOOKUP(O699,EGPro!A:A,EGPro!C:C)</f>
        <v>#N/A</v>
      </c>
    </row>
    <row r="700" spans="1:17" x14ac:dyDescent="0.45">
      <c r="A700" s="3">
        <f>配列!B660</f>
        <v>0</v>
      </c>
      <c r="B700" s="3" t="e">
        <f>_xlfn.XLOOKUP(A700,対応表!A:A,対応表!B:B)</f>
        <v>#N/A</v>
      </c>
      <c r="C700" s="3">
        <f>配列!C660</f>
        <v>0</v>
      </c>
      <c r="D700" s="3" t="str">
        <f>IF(配列!E660="",RIGHT(配列!D660&amp;配列!E660,4)&amp;"L",RIGHT(配列!D660&amp;配列!E660,5))</f>
        <v>L</v>
      </c>
      <c r="E700" s="3">
        <f t="shared" si="40"/>
        <v>0</v>
      </c>
      <c r="F700" s="3" t="e">
        <f>_xlfn.XLOOKUP(E700,セットアップレポート_紐づけ用!A:A,セットアップレポート_紐づけ用!J:J)</f>
        <v>#N/A</v>
      </c>
      <c r="G700" s="3" t="e">
        <f>_xlfn.XLOOKUP(E700,セットアップレポート_紐づけ用!A:A,セットアップレポート_紐づけ用!V:V)</f>
        <v>#N/A</v>
      </c>
      <c r="H700" s="3">
        <f t="shared" si="43"/>
        <v>-2</v>
      </c>
      <c r="I700" t="str">
        <f>IF(J700=0,"",IF(配列!E700="",マクロ実行!$A$16 &amp;" T"&amp;H700&amp;"-"&amp;RIGHT(配列!D700&amp;配列!E700,2),マクロ実行!$A$16 &amp;" T"&amp;H700&amp;"-"&amp;RIGHT(配列!D700&amp;配列!E700,3)))</f>
        <v/>
      </c>
      <c r="J700">
        <f>配列!F660</f>
        <v>0</v>
      </c>
      <c r="K700" s="2" t="e">
        <f>_xlfn.XLOOKUP(E700,セットアップレポート_紐づけ用!A:A,セットアップレポート_紐づけ用!R:R)</f>
        <v>#N/A</v>
      </c>
      <c r="L700" t="e">
        <f t="shared" si="41"/>
        <v>#N/A</v>
      </c>
      <c r="M700" t="e">
        <f>_xlfn.XLOOKUP(L700,EGPro!A:A,EGPro!D:D)</f>
        <v>#N/A</v>
      </c>
      <c r="N700" t="e">
        <f>_xlfn.XLOOKUP(L700,EGPro!A:A,EGPro!C:C)</f>
        <v>#N/A</v>
      </c>
      <c r="O700" t="e">
        <f t="shared" si="42"/>
        <v>#N/A</v>
      </c>
      <c r="P700" t="e">
        <f>_xlfn.XLOOKUP(O700,EGPro!A:A,EGPro!D:D)</f>
        <v>#N/A</v>
      </c>
      <c r="Q700" t="e">
        <f>_xlfn.XLOOKUP(O700,EGPro!A:A,EGPro!C:C)</f>
        <v>#N/A</v>
      </c>
    </row>
    <row r="701" spans="1:17" x14ac:dyDescent="0.45">
      <c r="A701" s="3">
        <f>配列!B661</f>
        <v>0</v>
      </c>
      <c r="B701" s="3" t="e">
        <f>_xlfn.XLOOKUP(A701,対応表!A:A,対応表!B:B)</f>
        <v>#N/A</v>
      </c>
      <c r="C701" s="3">
        <f>配列!C661</f>
        <v>0</v>
      </c>
      <c r="D701" s="3" t="str">
        <f>IF(配列!E661="",RIGHT(配列!D661&amp;配列!E661,4)&amp;"L",RIGHT(配列!D661&amp;配列!E661,5))</f>
        <v>L</v>
      </c>
      <c r="E701" s="3">
        <f t="shared" si="40"/>
        <v>0</v>
      </c>
      <c r="F701" s="3" t="e">
        <f>_xlfn.XLOOKUP(E701,セットアップレポート_紐づけ用!A:A,セットアップレポート_紐づけ用!J:J)</f>
        <v>#N/A</v>
      </c>
      <c r="G701" s="3" t="e">
        <f>_xlfn.XLOOKUP(E701,セットアップレポート_紐づけ用!A:A,セットアップレポート_紐づけ用!V:V)</f>
        <v>#N/A</v>
      </c>
      <c r="H701" s="3">
        <f t="shared" si="43"/>
        <v>-2</v>
      </c>
      <c r="I701" t="str">
        <f>IF(J701=0,"",IF(配列!E701="",マクロ実行!$A$16 &amp;" T"&amp;H701&amp;"-"&amp;RIGHT(配列!D701&amp;配列!E701,2),マクロ実行!$A$16 &amp;" T"&amp;H701&amp;"-"&amp;RIGHT(配列!D701&amp;配列!E701,3)))</f>
        <v/>
      </c>
      <c r="J701">
        <f>配列!F661</f>
        <v>0</v>
      </c>
      <c r="K701" s="2" t="e">
        <f>_xlfn.XLOOKUP(E701,セットアップレポート_紐づけ用!A:A,セットアップレポート_紐づけ用!R:R)</f>
        <v>#N/A</v>
      </c>
      <c r="L701" t="e">
        <f t="shared" si="41"/>
        <v>#N/A</v>
      </c>
      <c r="M701" t="e">
        <f>_xlfn.XLOOKUP(L701,EGPro!A:A,EGPro!D:D)</f>
        <v>#N/A</v>
      </c>
      <c r="N701" t="e">
        <f>_xlfn.XLOOKUP(L701,EGPro!A:A,EGPro!C:C)</f>
        <v>#N/A</v>
      </c>
      <c r="O701" t="e">
        <f t="shared" si="42"/>
        <v>#N/A</v>
      </c>
      <c r="P701" t="e">
        <f>_xlfn.XLOOKUP(O701,EGPro!A:A,EGPro!D:D)</f>
        <v>#N/A</v>
      </c>
      <c r="Q701" t="e">
        <f>_xlfn.XLOOKUP(O701,EGPro!A:A,EGPro!C:C)</f>
        <v>#N/A</v>
      </c>
    </row>
    <row r="702" spans="1:17" x14ac:dyDescent="0.45">
      <c r="A702" s="3">
        <f>配列!B662</f>
        <v>0</v>
      </c>
      <c r="B702" s="3" t="e">
        <f>_xlfn.XLOOKUP(A702,対応表!A:A,対応表!B:B)</f>
        <v>#N/A</v>
      </c>
      <c r="C702" s="3">
        <f>配列!C662</f>
        <v>0</v>
      </c>
      <c r="D702" s="3" t="str">
        <f>IF(配列!E662="",RIGHT(配列!D662&amp;配列!E662,4)&amp;"L",RIGHT(配列!D662&amp;配列!E662,5))</f>
        <v>L</v>
      </c>
      <c r="E702" s="3">
        <f t="shared" si="40"/>
        <v>0</v>
      </c>
      <c r="F702" s="3" t="e">
        <f>_xlfn.XLOOKUP(E702,セットアップレポート_紐づけ用!A:A,セットアップレポート_紐づけ用!J:J)</f>
        <v>#N/A</v>
      </c>
      <c r="G702" s="3" t="e">
        <f>_xlfn.XLOOKUP(E702,セットアップレポート_紐づけ用!A:A,セットアップレポート_紐づけ用!V:V)</f>
        <v>#N/A</v>
      </c>
      <c r="H702" s="3">
        <f t="shared" si="43"/>
        <v>-2</v>
      </c>
      <c r="I702" t="str">
        <f>IF(J702=0,"",IF(配列!E702="",マクロ実行!$A$16 &amp;" T"&amp;H702&amp;"-"&amp;RIGHT(配列!D702&amp;配列!E702,2),マクロ実行!$A$16 &amp;" T"&amp;H702&amp;"-"&amp;RIGHT(配列!D702&amp;配列!E702,3)))</f>
        <v/>
      </c>
      <c r="J702">
        <f>配列!F662</f>
        <v>0</v>
      </c>
      <c r="K702" s="2" t="e">
        <f>_xlfn.XLOOKUP(E702,セットアップレポート_紐づけ用!A:A,セットアップレポート_紐づけ用!R:R)</f>
        <v>#N/A</v>
      </c>
      <c r="L702" t="e">
        <f t="shared" si="41"/>
        <v>#N/A</v>
      </c>
      <c r="M702" t="e">
        <f>_xlfn.XLOOKUP(L702,EGPro!A:A,EGPro!D:D)</f>
        <v>#N/A</v>
      </c>
      <c r="N702" t="e">
        <f>_xlfn.XLOOKUP(L702,EGPro!A:A,EGPro!C:C)</f>
        <v>#N/A</v>
      </c>
      <c r="O702" t="e">
        <f t="shared" si="42"/>
        <v>#N/A</v>
      </c>
      <c r="P702" t="e">
        <f>_xlfn.XLOOKUP(O702,EGPro!A:A,EGPro!D:D)</f>
        <v>#N/A</v>
      </c>
      <c r="Q702" t="e">
        <f>_xlfn.XLOOKUP(O702,EGPro!A:A,EGPro!C:C)</f>
        <v>#N/A</v>
      </c>
    </row>
    <row r="703" spans="1:17" x14ac:dyDescent="0.45">
      <c r="A703" s="3">
        <f>配列!B663</f>
        <v>0</v>
      </c>
      <c r="B703" s="3" t="e">
        <f>_xlfn.XLOOKUP(A703,対応表!A:A,対応表!B:B)</f>
        <v>#N/A</v>
      </c>
      <c r="C703" s="3">
        <f>配列!C663</f>
        <v>0</v>
      </c>
      <c r="D703" s="3" t="str">
        <f>IF(配列!E663="",RIGHT(配列!D663&amp;配列!E663,4)&amp;"L",RIGHT(配列!D663&amp;配列!E663,5))</f>
        <v>L</v>
      </c>
      <c r="E703" s="3">
        <f t="shared" si="40"/>
        <v>0</v>
      </c>
      <c r="F703" s="3" t="e">
        <f>_xlfn.XLOOKUP(E703,セットアップレポート_紐づけ用!A:A,セットアップレポート_紐づけ用!J:J)</f>
        <v>#N/A</v>
      </c>
      <c r="G703" s="3" t="e">
        <f>_xlfn.XLOOKUP(E703,セットアップレポート_紐づけ用!A:A,セットアップレポート_紐づけ用!V:V)</f>
        <v>#N/A</v>
      </c>
      <c r="H703" s="3">
        <f t="shared" si="43"/>
        <v>-2</v>
      </c>
      <c r="I703" t="str">
        <f>IF(J703=0,"",IF(配列!E703="",マクロ実行!$A$16 &amp;" T"&amp;H703&amp;"-"&amp;RIGHT(配列!D703&amp;配列!E703,2),マクロ実行!$A$16 &amp;" T"&amp;H703&amp;"-"&amp;RIGHT(配列!D703&amp;配列!E703,3)))</f>
        <v/>
      </c>
      <c r="J703">
        <f>配列!F663</f>
        <v>0</v>
      </c>
      <c r="K703" s="2" t="e">
        <f>_xlfn.XLOOKUP(E703,セットアップレポート_紐づけ用!A:A,セットアップレポート_紐づけ用!R:R)</f>
        <v>#N/A</v>
      </c>
      <c r="L703" t="e">
        <f t="shared" si="41"/>
        <v>#N/A</v>
      </c>
      <c r="M703" t="e">
        <f>_xlfn.XLOOKUP(L703,EGPro!A:A,EGPro!D:D)</f>
        <v>#N/A</v>
      </c>
      <c r="N703" t="e">
        <f>_xlfn.XLOOKUP(L703,EGPro!A:A,EGPro!C:C)</f>
        <v>#N/A</v>
      </c>
      <c r="O703" t="e">
        <f t="shared" si="42"/>
        <v>#N/A</v>
      </c>
      <c r="P703" t="e">
        <f>_xlfn.XLOOKUP(O703,EGPro!A:A,EGPro!D:D)</f>
        <v>#N/A</v>
      </c>
      <c r="Q703" t="e">
        <f>_xlfn.XLOOKUP(O703,EGPro!A:A,EGPro!C:C)</f>
        <v>#N/A</v>
      </c>
    </row>
    <row r="704" spans="1:17" x14ac:dyDescent="0.45">
      <c r="A704" s="3">
        <f>配列!B664</f>
        <v>0</v>
      </c>
      <c r="B704" s="3" t="e">
        <f>_xlfn.XLOOKUP(A704,対応表!A:A,対応表!B:B)</f>
        <v>#N/A</v>
      </c>
      <c r="C704" s="3">
        <f>配列!C664</f>
        <v>0</v>
      </c>
      <c r="D704" s="3" t="str">
        <f>IF(配列!E664="",RIGHT(配列!D664&amp;配列!E664,4)&amp;"L",RIGHT(配列!D664&amp;配列!E664,5))</f>
        <v>L</v>
      </c>
      <c r="E704" s="3">
        <f t="shared" si="40"/>
        <v>0</v>
      </c>
      <c r="F704" s="3" t="e">
        <f>_xlfn.XLOOKUP(E704,セットアップレポート_紐づけ用!A:A,セットアップレポート_紐づけ用!J:J)</f>
        <v>#N/A</v>
      </c>
      <c r="G704" s="3" t="e">
        <f>_xlfn.XLOOKUP(E704,セットアップレポート_紐づけ用!A:A,セットアップレポート_紐づけ用!V:V)</f>
        <v>#N/A</v>
      </c>
      <c r="H704" s="3">
        <f t="shared" si="43"/>
        <v>-2</v>
      </c>
      <c r="I704" t="str">
        <f>IF(J704=0,"",IF(配列!E704="",マクロ実行!$A$16 &amp;" T"&amp;H704&amp;"-"&amp;RIGHT(配列!D704&amp;配列!E704,2),マクロ実行!$A$16 &amp;" T"&amp;H704&amp;"-"&amp;RIGHT(配列!D704&amp;配列!E704,3)))</f>
        <v/>
      </c>
      <c r="J704">
        <f>配列!F664</f>
        <v>0</v>
      </c>
      <c r="K704" s="2" t="e">
        <f>_xlfn.XLOOKUP(E704,セットアップレポート_紐づけ用!A:A,セットアップレポート_紐づけ用!R:R)</f>
        <v>#N/A</v>
      </c>
      <c r="L704" t="e">
        <f t="shared" si="41"/>
        <v>#N/A</v>
      </c>
      <c r="M704" t="e">
        <f>_xlfn.XLOOKUP(L704,EGPro!A:A,EGPro!D:D)</f>
        <v>#N/A</v>
      </c>
      <c r="N704" t="e">
        <f>_xlfn.XLOOKUP(L704,EGPro!A:A,EGPro!C:C)</f>
        <v>#N/A</v>
      </c>
      <c r="O704" t="e">
        <f t="shared" si="42"/>
        <v>#N/A</v>
      </c>
      <c r="P704" t="e">
        <f>_xlfn.XLOOKUP(O704,EGPro!A:A,EGPro!D:D)</f>
        <v>#N/A</v>
      </c>
      <c r="Q704" t="e">
        <f>_xlfn.XLOOKUP(O704,EGPro!A:A,EGPro!C:C)</f>
        <v>#N/A</v>
      </c>
    </row>
    <row r="705" spans="1:17" x14ac:dyDescent="0.45">
      <c r="A705" s="3">
        <f>配列!B665</f>
        <v>0</v>
      </c>
      <c r="B705" s="3" t="e">
        <f>_xlfn.XLOOKUP(A705,対応表!A:A,対応表!B:B)</f>
        <v>#N/A</v>
      </c>
      <c r="C705" s="3">
        <f>配列!C665</f>
        <v>0</v>
      </c>
      <c r="D705" s="3" t="str">
        <f>IF(配列!E665="",RIGHT(配列!D665&amp;配列!E665,4)&amp;"L",RIGHT(配列!D665&amp;配列!E665,5))</f>
        <v>L</v>
      </c>
      <c r="E705" s="3">
        <f t="shared" si="40"/>
        <v>0</v>
      </c>
      <c r="F705" s="3" t="e">
        <f>_xlfn.XLOOKUP(E705,セットアップレポート_紐づけ用!A:A,セットアップレポート_紐づけ用!J:J)</f>
        <v>#N/A</v>
      </c>
      <c r="G705" s="3" t="e">
        <f>_xlfn.XLOOKUP(E705,セットアップレポート_紐づけ用!A:A,セットアップレポート_紐づけ用!V:V)</f>
        <v>#N/A</v>
      </c>
      <c r="H705" s="3">
        <f t="shared" si="43"/>
        <v>-2</v>
      </c>
      <c r="I705" t="str">
        <f>IF(J705=0,"",IF(配列!E705="",マクロ実行!$A$16 &amp;" T"&amp;H705&amp;"-"&amp;RIGHT(配列!D705&amp;配列!E705,2),マクロ実行!$A$16 &amp;" T"&amp;H705&amp;"-"&amp;RIGHT(配列!D705&amp;配列!E705,3)))</f>
        <v/>
      </c>
      <c r="J705">
        <f>配列!F665</f>
        <v>0</v>
      </c>
      <c r="K705" s="2" t="e">
        <f>_xlfn.XLOOKUP(E705,セットアップレポート_紐づけ用!A:A,セットアップレポート_紐づけ用!R:R)</f>
        <v>#N/A</v>
      </c>
      <c r="L705" t="e">
        <f t="shared" si="41"/>
        <v>#N/A</v>
      </c>
      <c r="M705" t="e">
        <f>_xlfn.XLOOKUP(L705,EGPro!A:A,EGPro!D:D)</f>
        <v>#N/A</v>
      </c>
      <c r="N705" t="e">
        <f>_xlfn.XLOOKUP(L705,EGPro!A:A,EGPro!C:C)</f>
        <v>#N/A</v>
      </c>
      <c r="O705" t="e">
        <f t="shared" si="42"/>
        <v>#N/A</v>
      </c>
      <c r="P705" t="e">
        <f>_xlfn.XLOOKUP(O705,EGPro!A:A,EGPro!D:D)</f>
        <v>#N/A</v>
      </c>
      <c r="Q705" t="e">
        <f>_xlfn.XLOOKUP(O705,EGPro!A:A,EGPro!C:C)</f>
        <v>#N/A</v>
      </c>
    </row>
    <row r="706" spans="1:17" x14ac:dyDescent="0.45">
      <c r="A706" s="3">
        <f>配列!B666</f>
        <v>0</v>
      </c>
      <c r="B706" s="3" t="e">
        <f>_xlfn.XLOOKUP(A706,対応表!A:A,対応表!B:B)</f>
        <v>#N/A</v>
      </c>
      <c r="C706" s="3">
        <f>配列!C666</f>
        <v>0</v>
      </c>
      <c r="D706" s="3" t="str">
        <f>IF(配列!E666="",RIGHT(配列!D666&amp;配列!E666,4)&amp;"L",RIGHT(配列!D666&amp;配列!E666,5))</f>
        <v>L</v>
      </c>
      <c r="E706" s="3">
        <f t="shared" ref="E706:E769" si="44">IF(J706=0,,B706&amp;D706&amp;J706)</f>
        <v>0</v>
      </c>
      <c r="F706" s="3" t="e">
        <f>_xlfn.XLOOKUP(E706,セットアップレポート_紐づけ用!A:A,セットアップレポート_紐づけ用!J:J)</f>
        <v>#N/A</v>
      </c>
      <c r="G706" s="3" t="e">
        <f>_xlfn.XLOOKUP(E706,セットアップレポート_紐づけ用!A:A,セットアップレポート_紐づけ用!V:V)</f>
        <v>#N/A</v>
      </c>
      <c r="H706" s="3">
        <f t="shared" si="43"/>
        <v>-2</v>
      </c>
      <c r="I706" t="str">
        <f>IF(J706=0,"",IF(配列!E706="",マクロ実行!$A$16 &amp;" T"&amp;H706&amp;"-"&amp;RIGHT(配列!D706&amp;配列!E706,2),マクロ実行!$A$16 &amp;" T"&amp;H706&amp;"-"&amp;RIGHT(配列!D706&amp;配列!E706,3)))</f>
        <v/>
      </c>
      <c r="J706">
        <f>配列!F666</f>
        <v>0</v>
      </c>
      <c r="K706" s="2" t="e">
        <f>_xlfn.XLOOKUP(E706,セットアップレポート_紐づけ用!A:A,セットアップレポート_紐づけ用!R:R)</f>
        <v>#N/A</v>
      </c>
      <c r="L706" t="e">
        <f t="shared" ref="L706:L769" si="45">IF(LEN(F706)=13,"    "&amp;F706,F706)</f>
        <v>#N/A</v>
      </c>
      <c r="M706" t="e">
        <f>_xlfn.XLOOKUP(L706,EGPro!A:A,EGPro!D:D)</f>
        <v>#N/A</v>
      </c>
      <c r="N706" t="e">
        <f>_xlfn.XLOOKUP(L706,EGPro!A:A,EGPro!C:C)</f>
        <v>#N/A</v>
      </c>
      <c r="O706" t="e">
        <f t="shared" ref="O706:O769" si="46">IF(LEN(G706)=13,"    "&amp;G706,G706)</f>
        <v>#N/A</v>
      </c>
      <c r="P706" t="e">
        <f>_xlfn.XLOOKUP(O706,EGPro!A:A,EGPro!D:D)</f>
        <v>#N/A</v>
      </c>
      <c r="Q706" t="e">
        <f>_xlfn.XLOOKUP(O706,EGPro!A:A,EGPro!C:C)</f>
        <v>#N/A</v>
      </c>
    </row>
    <row r="707" spans="1:17" x14ac:dyDescent="0.45">
      <c r="A707" s="3">
        <f>配列!B667</f>
        <v>0</v>
      </c>
      <c r="B707" s="3" t="e">
        <f>_xlfn.XLOOKUP(A707,対応表!A:A,対応表!B:B)</f>
        <v>#N/A</v>
      </c>
      <c r="C707" s="3">
        <f>配列!C667</f>
        <v>0</v>
      </c>
      <c r="D707" s="3" t="str">
        <f>IF(配列!E667="",RIGHT(配列!D667&amp;配列!E667,4)&amp;"L",RIGHT(配列!D667&amp;配列!E667,5))</f>
        <v>L</v>
      </c>
      <c r="E707" s="3">
        <f t="shared" si="44"/>
        <v>0</v>
      </c>
      <c r="F707" s="3" t="e">
        <f>_xlfn.XLOOKUP(E707,セットアップレポート_紐づけ用!A:A,セットアップレポート_紐づけ用!J:J)</f>
        <v>#N/A</v>
      </c>
      <c r="G707" s="3" t="e">
        <f>_xlfn.XLOOKUP(E707,セットアップレポート_紐づけ用!A:A,セットアップレポート_紐づけ用!V:V)</f>
        <v>#N/A</v>
      </c>
      <c r="H707" s="3">
        <f t="shared" ref="H707:H770" si="47">2*RIGHT(A707,1)-2+C707</f>
        <v>-2</v>
      </c>
      <c r="I707" t="str">
        <f>IF(J707=0,"",IF(配列!E707="",マクロ実行!$A$16 &amp;" T"&amp;H707&amp;"-"&amp;RIGHT(配列!D707&amp;配列!E707,2),マクロ実行!$A$16 &amp;" T"&amp;H707&amp;"-"&amp;RIGHT(配列!D707&amp;配列!E707,3)))</f>
        <v/>
      </c>
      <c r="J707">
        <f>配列!F667</f>
        <v>0</v>
      </c>
      <c r="K707" s="2" t="e">
        <f>_xlfn.XLOOKUP(E707,セットアップレポート_紐づけ用!A:A,セットアップレポート_紐づけ用!R:R)</f>
        <v>#N/A</v>
      </c>
      <c r="L707" t="e">
        <f t="shared" si="45"/>
        <v>#N/A</v>
      </c>
      <c r="M707" t="e">
        <f>_xlfn.XLOOKUP(L707,EGPro!A:A,EGPro!D:D)</f>
        <v>#N/A</v>
      </c>
      <c r="N707" t="e">
        <f>_xlfn.XLOOKUP(L707,EGPro!A:A,EGPro!C:C)</f>
        <v>#N/A</v>
      </c>
      <c r="O707" t="e">
        <f t="shared" si="46"/>
        <v>#N/A</v>
      </c>
      <c r="P707" t="e">
        <f>_xlfn.XLOOKUP(O707,EGPro!A:A,EGPro!D:D)</f>
        <v>#N/A</v>
      </c>
      <c r="Q707" t="e">
        <f>_xlfn.XLOOKUP(O707,EGPro!A:A,EGPro!C:C)</f>
        <v>#N/A</v>
      </c>
    </row>
    <row r="708" spans="1:17" x14ac:dyDescent="0.45">
      <c r="A708" s="3">
        <f>配列!B668</f>
        <v>0</v>
      </c>
      <c r="B708" s="3" t="e">
        <f>_xlfn.XLOOKUP(A708,対応表!A:A,対応表!B:B)</f>
        <v>#N/A</v>
      </c>
      <c r="C708" s="3">
        <f>配列!C668</f>
        <v>0</v>
      </c>
      <c r="D708" s="3" t="str">
        <f>IF(配列!E668="",RIGHT(配列!D668&amp;配列!E668,4)&amp;"L",RIGHT(配列!D668&amp;配列!E668,5))</f>
        <v>L</v>
      </c>
      <c r="E708" s="3">
        <f t="shared" si="44"/>
        <v>0</v>
      </c>
      <c r="F708" s="3" t="e">
        <f>_xlfn.XLOOKUP(E708,セットアップレポート_紐づけ用!A:A,セットアップレポート_紐づけ用!J:J)</f>
        <v>#N/A</v>
      </c>
      <c r="G708" s="3" t="e">
        <f>_xlfn.XLOOKUP(E708,セットアップレポート_紐づけ用!A:A,セットアップレポート_紐づけ用!V:V)</f>
        <v>#N/A</v>
      </c>
      <c r="H708" s="3">
        <f t="shared" si="47"/>
        <v>-2</v>
      </c>
      <c r="I708" t="str">
        <f>IF(J708=0,"",IF(配列!E708="",マクロ実行!$A$16 &amp;" T"&amp;H708&amp;"-"&amp;RIGHT(配列!D708&amp;配列!E708,2),マクロ実行!$A$16 &amp;" T"&amp;H708&amp;"-"&amp;RIGHT(配列!D708&amp;配列!E708,3)))</f>
        <v/>
      </c>
      <c r="J708">
        <f>配列!F668</f>
        <v>0</v>
      </c>
      <c r="K708" s="2" t="e">
        <f>_xlfn.XLOOKUP(E708,セットアップレポート_紐づけ用!A:A,セットアップレポート_紐づけ用!R:R)</f>
        <v>#N/A</v>
      </c>
      <c r="L708" t="e">
        <f t="shared" si="45"/>
        <v>#N/A</v>
      </c>
      <c r="M708" t="e">
        <f>_xlfn.XLOOKUP(L708,EGPro!A:A,EGPro!D:D)</f>
        <v>#N/A</v>
      </c>
      <c r="N708" t="e">
        <f>_xlfn.XLOOKUP(L708,EGPro!A:A,EGPro!C:C)</f>
        <v>#N/A</v>
      </c>
      <c r="O708" t="e">
        <f t="shared" si="46"/>
        <v>#N/A</v>
      </c>
      <c r="P708" t="e">
        <f>_xlfn.XLOOKUP(O708,EGPro!A:A,EGPro!D:D)</f>
        <v>#N/A</v>
      </c>
      <c r="Q708" t="e">
        <f>_xlfn.XLOOKUP(O708,EGPro!A:A,EGPro!C:C)</f>
        <v>#N/A</v>
      </c>
    </row>
    <row r="709" spans="1:17" x14ac:dyDescent="0.45">
      <c r="A709" s="3">
        <f>配列!B669</f>
        <v>0</v>
      </c>
      <c r="B709" s="3" t="e">
        <f>_xlfn.XLOOKUP(A709,対応表!A:A,対応表!B:B)</f>
        <v>#N/A</v>
      </c>
      <c r="C709" s="3">
        <f>配列!C669</f>
        <v>0</v>
      </c>
      <c r="D709" s="3" t="str">
        <f>IF(配列!E669="",RIGHT(配列!D669&amp;配列!E669,4)&amp;"L",RIGHT(配列!D669&amp;配列!E669,5))</f>
        <v>L</v>
      </c>
      <c r="E709" s="3">
        <f t="shared" si="44"/>
        <v>0</v>
      </c>
      <c r="F709" s="3" t="e">
        <f>_xlfn.XLOOKUP(E709,セットアップレポート_紐づけ用!A:A,セットアップレポート_紐づけ用!J:J)</f>
        <v>#N/A</v>
      </c>
      <c r="G709" s="3" t="e">
        <f>_xlfn.XLOOKUP(E709,セットアップレポート_紐づけ用!A:A,セットアップレポート_紐づけ用!V:V)</f>
        <v>#N/A</v>
      </c>
      <c r="H709" s="3">
        <f t="shared" si="47"/>
        <v>-2</v>
      </c>
      <c r="I709" t="str">
        <f>IF(J709=0,"",IF(配列!E709="",マクロ実行!$A$16 &amp;" T"&amp;H709&amp;"-"&amp;RIGHT(配列!D709&amp;配列!E709,2),マクロ実行!$A$16 &amp;" T"&amp;H709&amp;"-"&amp;RIGHT(配列!D709&amp;配列!E709,3)))</f>
        <v/>
      </c>
      <c r="J709">
        <f>配列!F669</f>
        <v>0</v>
      </c>
      <c r="K709" s="2" t="e">
        <f>_xlfn.XLOOKUP(E709,セットアップレポート_紐づけ用!A:A,セットアップレポート_紐づけ用!R:R)</f>
        <v>#N/A</v>
      </c>
      <c r="L709" t="e">
        <f t="shared" si="45"/>
        <v>#N/A</v>
      </c>
      <c r="M709" t="e">
        <f>_xlfn.XLOOKUP(L709,EGPro!A:A,EGPro!D:D)</f>
        <v>#N/A</v>
      </c>
      <c r="N709" t="e">
        <f>_xlfn.XLOOKUP(L709,EGPro!A:A,EGPro!C:C)</f>
        <v>#N/A</v>
      </c>
      <c r="O709" t="e">
        <f t="shared" si="46"/>
        <v>#N/A</v>
      </c>
      <c r="P709" t="e">
        <f>_xlfn.XLOOKUP(O709,EGPro!A:A,EGPro!D:D)</f>
        <v>#N/A</v>
      </c>
      <c r="Q709" t="e">
        <f>_xlfn.XLOOKUP(O709,EGPro!A:A,EGPro!C:C)</f>
        <v>#N/A</v>
      </c>
    </row>
    <row r="710" spans="1:17" x14ac:dyDescent="0.45">
      <c r="A710" s="3">
        <f>配列!B670</f>
        <v>0</v>
      </c>
      <c r="B710" s="3" t="e">
        <f>_xlfn.XLOOKUP(A710,対応表!A:A,対応表!B:B)</f>
        <v>#N/A</v>
      </c>
      <c r="C710" s="3">
        <f>配列!C670</f>
        <v>0</v>
      </c>
      <c r="D710" s="3" t="str">
        <f>IF(配列!E670="",RIGHT(配列!D670&amp;配列!E670,4)&amp;"L",RIGHT(配列!D670&amp;配列!E670,5))</f>
        <v>L</v>
      </c>
      <c r="E710" s="3">
        <f t="shared" si="44"/>
        <v>0</v>
      </c>
      <c r="F710" s="3" t="e">
        <f>_xlfn.XLOOKUP(E710,セットアップレポート_紐づけ用!A:A,セットアップレポート_紐づけ用!J:J)</f>
        <v>#N/A</v>
      </c>
      <c r="G710" s="3" t="e">
        <f>_xlfn.XLOOKUP(E710,セットアップレポート_紐づけ用!A:A,セットアップレポート_紐づけ用!V:V)</f>
        <v>#N/A</v>
      </c>
      <c r="H710" s="3">
        <f t="shared" si="47"/>
        <v>-2</v>
      </c>
      <c r="I710" t="str">
        <f>IF(J710=0,"",IF(配列!E710="",マクロ実行!$A$16 &amp;" T"&amp;H710&amp;"-"&amp;RIGHT(配列!D710&amp;配列!E710,2),マクロ実行!$A$16 &amp;" T"&amp;H710&amp;"-"&amp;RIGHT(配列!D710&amp;配列!E710,3)))</f>
        <v/>
      </c>
      <c r="J710">
        <f>配列!F670</f>
        <v>0</v>
      </c>
      <c r="K710" s="2" t="e">
        <f>_xlfn.XLOOKUP(E710,セットアップレポート_紐づけ用!A:A,セットアップレポート_紐づけ用!R:R)</f>
        <v>#N/A</v>
      </c>
      <c r="L710" t="e">
        <f t="shared" si="45"/>
        <v>#N/A</v>
      </c>
      <c r="M710" t="e">
        <f>_xlfn.XLOOKUP(L710,EGPro!A:A,EGPro!D:D)</f>
        <v>#N/A</v>
      </c>
      <c r="N710" t="e">
        <f>_xlfn.XLOOKUP(L710,EGPro!A:A,EGPro!C:C)</f>
        <v>#N/A</v>
      </c>
      <c r="O710" t="e">
        <f t="shared" si="46"/>
        <v>#N/A</v>
      </c>
      <c r="P710" t="e">
        <f>_xlfn.XLOOKUP(O710,EGPro!A:A,EGPro!D:D)</f>
        <v>#N/A</v>
      </c>
      <c r="Q710" t="e">
        <f>_xlfn.XLOOKUP(O710,EGPro!A:A,EGPro!C:C)</f>
        <v>#N/A</v>
      </c>
    </row>
    <row r="711" spans="1:17" x14ac:dyDescent="0.45">
      <c r="A711" s="3">
        <f>配列!B671</f>
        <v>0</v>
      </c>
      <c r="B711" s="3" t="e">
        <f>_xlfn.XLOOKUP(A711,対応表!A:A,対応表!B:B)</f>
        <v>#N/A</v>
      </c>
      <c r="C711" s="3">
        <f>配列!C671</f>
        <v>0</v>
      </c>
      <c r="D711" s="3" t="str">
        <f>IF(配列!E671="",RIGHT(配列!D671&amp;配列!E671,4)&amp;"L",RIGHT(配列!D671&amp;配列!E671,5))</f>
        <v>L</v>
      </c>
      <c r="E711" s="3">
        <f t="shared" si="44"/>
        <v>0</v>
      </c>
      <c r="F711" s="3" t="e">
        <f>_xlfn.XLOOKUP(E711,セットアップレポート_紐づけ用!A:A,セットアップレポート_紐づけ用!J:J)</f>
        <v>#N/A</v>
      </c>
      <c r="G711" s="3" t="e">
        <f>_xlfn.XLOOKUP(E711,セットアップレポート_紐づけ用!A:A,セットアップレポート_紐づけ用!V:V)</f>
        <v>#N/A</v>
      </c>
      <c r="H711" s="3">
        <f t="shared" si="47"/>
        <v>-2</v>
      </c>
      <c r="I711" t="str">
        <f>IF(J711=0,"",IF(配列!E711="",マクロ実行!$A$16 &amp;" T"&amp;H711&amp;"-"&amp;RIGHT(配列!D711&amp;配列!E711,2),マクロ実行!$A$16 &amp;" T"&amp;H711&amp;"-"&amp;RIGHT(配列!D711&amp;配列!E711,3)))</f>
        <v/>
      </c>
      <c r="J711">
        <f>配列!F671</f>
        <v>0</v>
      </c>
      <c r="K711" s="2" t="e">
        <f>_xlfn.XLOOKUP(E711,セットアップレポート_紐づけ用!A:A,セットアップレポート_紐づけ用!R:R)</f>
        <v>#N/A</v>
      </c>
      <c r="L711" t="e">
        <f t="shared" si="45"/>
        <v>#N/A</v>
      </c>
      <c r="M711" t="e">
        <f>_xlfn.XLOOKUP(L711,EGPro!A:A,EGPro!D:D)</f>
        <v>#N/A</v>
      </c>
      <c r="N711" t="e">
        <f>_xlfn.XLOOKUP(L711,EGPro!A:A,EGPro!C:C)</f>
        <v>#N/A</v>
      </c>
      <c r="O711" t="e">
        <f t="shared" si="46"/>
        <v>#N/A</v>
      </c>
      <c r="P711" t="e">
        <f>_xlfn.XLOOKUP(O711,EGPro!A:A,EGPro!D:D)</f>
        <v>#N/A</v>
      </c>
      <c r="Q711" t="e">
        <f>_xlfn.XLOOKUP(O711,EGPro!A:A,EGPro!C:C)</f>
        <v>#N/A</v>
      </c>
    </row>
    <row r="712" spans="1:17" x14ac:dyDescent="0.45">
      <c r="A712" s="3">
        <f>配列!B672</f>
        <v>0</v>
      </c>
      <c r="B712" s="3" t="e">
        <f>_xlfn.XLOOKUP(A712,対応表!A:A,対応表!B:B)</f>
        <v>#N/A</v>
      </c>
      <c r="C712" s="3">
        <f>配列!C672</f>
        <v>0</v>
      </c>
      <c r="D712" s="3" t="str">
        <f>IF(配列!E672="",RIGHT(配列!D672&amp;配列!E672,4)&amp;"L",RIGHT(配列!D672&amp;配列!E672,5))</f>
        <v>L</v>
      </c>
      <c r="E712" s="3">
        <f t="shared" si="44"/>
        <v>0</v>
      </c>
      <c r="F712" s="3" t="e">
        <f>_xlfn.XLOOKUP(E712,セットアップレポート_紐づけ用!A:A,セットアップレポート_紐づけ用!J:J)</f>
        <v>#N/A</v>
      </c>
      <c r="G712" s="3" t="e">
        <f>_xlfn.XLOOKUP(E712,セットアップレポート_紐づけ用!A:A,セットアップレポート_紐づけ用!V:V)</f>
        <v>#N/A</v>
      </c>
      <c r="H712" s="3">
        <f t="shared" si="47"/>
        <v>-2</v>
      </c>
      <c r="I712" t="str">
        <f>IF(J712=0,"",IF(配列!E712="",マクロ実行!$A$16 &amp;" T"&amp;H712&amp;"-"&amp;RIGHT(配列!D712&amp;配列!E712,2),マクロ実行!$A$16 &amp;" T"&amp;H712&amp;"-"&amp;RIGHT(配列!D712&amp;配列!E712,3)))</f>
        <v/>
      </c>
      <c r="J712">
        <f>配列!F672</f>
        <v>0</v>
      </c>
      <c r="K712" s="2" t="e">
        <f>_xlfn.XLOOKUP(E712,セットアップレポート_紐づけ用!A:A,セットアップレポート_紐づけ用!R:R)</f>
        <v>#N/A</v>
      </c>
      <c r="L712" t="e">
        <f t="shared" si="45"/>
        <v>#N/A</v>
      </c>
      <c r="M712" t="e">
        <f>_xlfn.XLOOKUP(L712,EGPro!A:A,EGPro!D:D)</f>
        <v>#N/A</v>
      </c>
      <c r="N712" t="e">
        <f>_xlfn.XLOOKUP(L712,EGPro!A:A,EGPro!C:C)</f>
        <v>#N/A</v>
      </c>
      <c r="O712" t="e">
        <f t="shared" si="46"/>
        <v>#N/A</v>
      </c>
      <c r="P712" t="e">
        <f>_xlfn.XLOOKUP(O712,EGPro!A:A,EGPro!D:D)</f>
        <v>#N/A</v>
      </c>
      <c r="Q712" t="e">
        <f>_xlfn.XLOOKUP(O712,EGPro!A:A,EGPro!C:C)</f>
        <v>#N/A</v>
      </c>
    </row>
    <row r="713" spans="1:17" x14ac:dyDescent="0.45">
      <c r="A713" s="3">
        <f>配列!B673</f>
        <v>0</v>
      </c>
      <c r="B713" s="3" t="e">
        <f>_xlfn.XLOOKUP(A713,対応表!A:A,対応表!B:B)</f>
        <v>#N/A</v>
      </c>
      <c r="C713" s="3">
        <f>配列!C673</f>
        <v>0</v>
      </c>
      <c r="D713" s="3" t="str">
        <f>IF(配列!E673="",RIGHT(配列!D673&amp;配列!E673,4)&amp;"L",RIGHT(配列!D673&amp;配列!E673,5))</f>
        <v>L</v>
      </c>
      <c r="E713" s="3">
        <f t="shared" si="44"/>
        <v>0</v>
      </c>
      <c r="F713" s="3" t="e">
        <f>_xlfn.XLOOKUP(E713,セットアップレポート_紐づけ用!A:A,セットアップレポート_紐づけ用!J:J)</f>
        <v>#N/A</v>
      </c>
      <c r="G713" s="3" t="e">
        <f>_xlfn.XLOOKUP(E713,セットアップレポート_紐づけ用!A:A,セットアップレポート_紐づけ用!V:V)</f>
        <v>#N/A</v>
      </c>
      <c r="H713" s="3">
        <f t="shared" si="47"/>
        <v>-2</v>
      </c>
      <c r="I713" t="str">
        <f>IF(J713=0,"",IF(配列!E713="",マクロ実行!$A$16 &amp;" T"&amp;H713&amp;"-"&amp;RIGHT(配列!D713&amp;配列!E713,2),マクロ実行!$A$16 &amp;" T"&amp;H713&amp;"-"&amp;RIGHT(配列!D713&amp;配列!E713,3)))</f>
        <v/>
      </c>
      <c r="J713">
        <f>配列!F673</f>
        <v>0</v>
      </c>
      <c r="K713" s="2" t="e">
        <f>_xlfn.XLOOKUP(E713,セットアップレポート_紐づけ用!A:A,セットアップレポート_紐づけ用!R:R)</f>
        <v>#N/A</v>
      </c>
      <c r="L713" t="e">
        <f t="shared" si="45"/>
        <v>#N/A</v>
      </c>
      <c r="M713" t="e">
        <f>_xlfn.XLOOKUP(L713,EGPro!A:A,EGPro!D:D)</f>
        <v>#N/A</v>
      </c>
      <c r="N713" t="e">
        <f>_xlfn.XLOOKUP(L713,EGPro!A:A,EGPro!C:C)</f>
        <v>#N/A</v>
      </c>
      <c r="O713" t="e">
        <f t="shared" si="46"/>
        <v>#N/A</v>
      </c>
      <c r="P713" t="e">
        <f>_xlfn.XLOOKUP(O713,EGPro!A:A,EGPro!D:D)</f>
        <v>#N/A</v>
      </c>
      <c r="Q713" t="e">
        <f>_xlfn.XLOOKUP(O713,EGPro!A:A,EGPro!C:C)</f>
        <v>#N/A</v>
      </c>
    </row>
    <row r="714" spans="1:17" x14ac:dyDescent="0.45">
      <c r="A714" s="3">
        <f>配列!B674</f>
        <v>0</v>
      </c>
      <c r="B714" s="3" t="e">
        <f>_xlfn.XLOOKUP(A714,対応表!A:A,対応表!B:B)</f>
        <v>#N/A</v>
      </c>
      <c r="C714" s="3">
        <f>配列!C674</f>
        <v>0</v>
      </c>
      <c r="D714" s="3" t="str">
        <f>IF(配列!E674="",RIGHT(配列!D674&amp;配列!E674,4)&amp;"L",RIGHT(配列!D674&amp;配列!E674,5))</f>
        <v>L</v>
      </c>
      <c r="E714" s="3">
        <f t="shared" si="44"/>
        <v>0</v>
      </c>
      <c r="F714" s="3" t="e">
        <f>_xlfn.XLOOKUP(E714,セットアップレポート_紐づけ用!A:A,セットアップレポート_紐づけ用!J:J)</f>
        <v>#N/A</v>
      </c>
      <c r="G714" s="3" t="e">
        <f>_xlfn.XLOOKUP(E714,セットアップレポート_紐づけ用!A:A,セットアップレポート_紐づけ用!V:V)</f>
        <v>#N/A</v>
      </c>
      <c r="H714" s="3">
        <f t="shared" si="47"/>
        <v>-2</v>
      </c>
      <c r="I714" t="str">
        <f>IF(J714=0,"",IF(配列!E714="",マクロ実行!$A$16 &amp;" T"&amp;H714&amp;"-"&amp;RIGHT(配列!D714&amp;配列!E714,2),マクロ実行!$A$16 &amp;" T"&amp;H714&amp;"-"&amp;RIGHT(配列!D714&amp;配列!E714,3)))</f>
        <v/>
      </c>
      <c r="J714">
        <f>配列!F674</f>
        <v>0</v>
      </c>
      <c r="K714" s="2" t="e">
        <f>_xlfn.XLOOKUP(E714,セットアップレポート_紐づけ用!A:A,セットアップレポート_紐づけ用!R:R)</f>
        <v>#N/A</v>
      </c>
      <c r="L714" t="e">
        <f t="shared" si="45"/>
        <v>#N/A</v>
      </c>
      <c r="M714" t="e">
        <f>_xlfn.XLOOKUP(L714,EGPro!A:A,EGPro!D:D)</f>
        <v>#N/A</v>
      </c>
      <c r="N714" t="e">
        <f>_xlfn.XLOOKUP(L714,EGPro!A:A,EGPro!C:C)</f>
        <v>#N/A</v>
      </c>
      <c r="O714" t="e">
        <f t="shared" si="46"/>
        <v>#N/A</v>
      </c>
      <c r="P714" t="e">
        <f>_xlfn.XLOOKUP(O714,EGPro!A:A,EGPro!D:D)</f>
        <v>#N/A</v>
      </c>
      <c r="Q714" t="e">
        <f>_xlfn.XLOOKUP(O714,EGPro!A:A,EGPro!C:C)</f>
        <v>#N/A</v>
      </c>
    </row>
    <row r="715" spans="1:17" x14ac:dyDescent="0.45">
      <c r="A715" s="3">
        <f>配列!B675</f>
        <v>0</v>
      </c>
      <c r="B715" s="3" t="e">
        <f>_xlfn.XLOOKUP(A715,対応表!A:A,対応表!B:B)</f>
        <v>#N/A</v>
      </c>
      <c r="C715" s="3">
        <f>配列!C675</f>
        <v>0</v>
      </c>
      <c r="D715" s="3" t="str">
        <f>IF(配列!E675="",RIGHT(配列!D675&amp;配列!E675,4)&amp;"L",RIGHT(配列!D675&amp;配列!E675,5))</f>
        <v>L</v>
      </c>
      <c r="E715" s="3">
        <f t="shared" si="44"/>
        <v>0</v>
      </c>
      <c r="F715" s="3" t="e">
        <f>_xlfn.XLOOKUP(E715,セットアップレポート_紐づけ用!A:A,セットアップレポート_紐づけ用!J:J)</f>
        <v>#N/A</v>
      </c>
      <c r="G715" s="3" t="e">
        <f>_xlfn.XLOOKUP(E715,セットアップレポート_紐づけ用!A:A,セットアップレポート_紐づけ用!V:V)</f>
        <v>#N/A</v>
      </c>
      <c r="H715" s="3">
        <f t="shared" si="47"/>
        <v>-2</v>
      </c>
      <c r="I715" t="str">
        <f>IF(J715=0,"",IF(配列!E715="",マクロ実行!$A$16 &amp;" T"&amp;H715&amp;"-"&amp;RIGHT(配列!D715&amp;配列!E715,2),マクロ実行!$A$16 &amp;" T"&amp;H715&amp;"-"&amp;RIGHT(配列!D715&amp;配列!E715,3)))</f>
        <v/>
      </c>
      <c r="J715">
        <f>配列!F675</f>
        <v>0</v>
      </c>
      <c r="K715" s="2" t="e">
        <f>_xlfn.XLOOKUP(E715,セットアップレポート_紐づけ用!A:A,セットアップレポート_紐づけ用!R:R)</f>
        <v>#N/A</v>
      </c>
      <c r="L715" t="e">
        <f t="shared" si="45"/>
        <v>#N/A</v>
      </c>
      <c r="M715" t="e">
        <f>_xlfn.XLOOKUP(L715,EGPro!A:A,EGPro!D:D)</f>
        <v>#N/A</v>
      </c>
      <c r="N715" t="e">
        <f>_xlfn.XLOOKUP(L715,EGPro!A:A,EGPro!C:C)</f>
        <v>#N/A</v>
      </c>
      <c r="O715" t="e">
        <f t="shared" si="46"/>
        <v>#N/A</v>
      </c>
      <c r="P715" t="e">
        <f>_xlfn.XLOOKUP(O715,EGPro!A:A,EGPro!D:D)</f>
        <v>#N/A</v>
      </c>
      <c r="Q715" t="e">
        <f>_xlfn.XLOOKUP(O715,EGPro!A:A,EGPro!C:C)</f>
        <v>#N/A</v>
      </c>
    </row>
    <row r="716" spans="1:17" x14ac:dyDescent="0.45">
      <c r="A716" s="3">
        <f>配列!B676</f>
        <v>0</v>
      </c>
      <c r="B716" s="3" t="e">
        <f>_xlfn.XLOOKUP(A716,対応表!A:A,対応表!B:B)</f>
        <v>#N/A</v>
      </c>
      <c r="C716" s="3">
        <f>配列!C676</f>
        <v>0</v>
      </c>
      <c r="D716" s="3" t="str">
        <f>IF(配列!E676="",RIGHT(配列!D676&amp;配列!E676,4)&amp;"L",RIGHT(配列!D676&amp;配列!E676,5))</f>
        <v>L</v>
      </c>
      <c r="E716" s="3">
        <f t="shared" si="44"/>
        <v>0</v>
      </c>
      <c r="F716" s="3" t="e">
        <f>_xlfn.XLOOKUP(E716,セットアップレポート_紐づけ用!A:A,セットアップレポート_紐づけ用!J:J)</f>
        <v>#N/A</v>
      </c>
      <c r="G716" s="3" t="e">
        <f>_xlfn.XLOOKUP(E716,セットアップレポート_紐づけ用!A:A,セットアップレポート_紐づけ用!V:V)</f>
        <v>#N/A</v>
      </c>
      <c r="H716" s="3">
        <f t="shared" si="47"/>
        <v>-2</v>
      </c>
      <c r="I716" t="str">
        <f>IF(J716=0,"",IF(配列!E716="",マクロ実行!$A$16 &amp;" T"&amp;H716&amp;"-"&amp;RIGHT(配列!D716&amp;配列!E716,2),マクロ実行!$A$16 &amp;" T"&amp;H716&amp;"-"&amp;RIGHT(配列!D716&amp;配列!E716,3)))</f>
        <v/>
      </c>
      <c r="J716">
        <f>配列!F676</f>
        <v>0</v>
      </c>
      <c r="K716" s="2" t="e">
        <f>_xlfn.XLOOKUP(E716,セットアップレポート_紐づけ用!A:A,セットアップレポート_紐づけ用!R:R)</f>
        <v>#N/A</v>
      </c>
      <c r="L716" t="e">
        <f t="shared" si="45"/>
        <v>#N/A</v>
      </c>
      <c r="M716" t="e">
        <f>_xlfn.XLOOKUP(L716,EGPro!A:A,EGPro!D:D)</f>
        <v>#N/A</v>
      </c>
      <c r="N716" t="e">
        <f>_xlfn.XLOOKUP(L716,EGPro!A:A,EGPro!C:C)</f>
        <v>#N/A</v>
      </c>
      <c r="O716" t="e">
        <f t="shared" si="46"/>
        <v>#N/A</v>
      </c>
      <c r="P716" t="e">
        <f>_xlfn.XLOOKUP(O716,EGPro!A:A,EGPro!D:D)</f>
        <v>#N/A</v>
      </c>
      <c r="Q716" t="e">
        <f>_xlfn.XLOOKUP(O716,EGPro!A:A,EGPro!C:C)</f>
        <v>#N/A</v>
      </c>
    </row>
    <row r="717" spans="1:17" x14ac:dyDescent="0.45">
      <c r="A717" s="3">
        <f>配列!B677</f>
        <v>0</v>
      </c>
      <c r="B717" s="3" t="e">
        <f>_xlfn.XLOOKUP(A717,対応表!A:A,対応表!B:B)</f>
        <v>#N/A</v>
      </c>
      <c r="C717" s="3">
        <f>配列!C677</f>
        <v>0</v>
      </c>
      <c r="D717" s="3" t="str">
        <f>IF(配列!E677="",RIGHT(配列!D677&amp;配列!E677,4)&amp;"L",RIGHT(配列!D677&amp;配列!E677,5))</f>
        <v>L</v>
      </c>
      <c r="E717" s="3">
        <f t="shared" si="44"/>
        <v>0</v>
      </c>
      <c r="F717" s="3" t="e">
        <f>_xlfn.XLOOKUP(E717,セットアップレポート_紐づけ用!A:A,セットアップレポート_紐づけ用!J:J)</f>
        <v>#N/A</v>
      </c>
      <c r="G717" s="3" t="e">
        <f>_xlfn.XLOOKUP(E717,セットアップレポート_紐づけ用!A:A,セットアップレポート_紐づけ用!V:V)</f>
        <v>#N/A</v>
      </c>
      <c r="H717" s="3">
        <f t="shared" si="47"/>
        <v>-2</v>
      </c>
      <c r="I717" t="str">
        <f>IF(J717=0,"",IF(配列!E717="",マクロ実行!$A$16 &amp;" T"&amp;H717&amp;"-"&amp;RIGHT(配列!D717&amp;配列!E717,2),マクロ実行!$A$16 &amp;" T"&amp;H717&amp;"-"&amp;RIGHT(配列!D717&amp;配列!E717,3)))</f>
        <v/>
      </c>
      <c r="J717">
        <f>配列!F677</f>
        <v>0</v>
      </c>
      <c r="K717" s="2" t="e">
        <f>_xlfn.XLOOKUP(E717,セットアップレポート_紐づけ用!A:A,セットアップレポート_紐づけ用!R:R)</f>
        <v>#N/A</v>
      </c>
      <c r="L717" t="e">
        <f t="shared" si="45"/>
        <v>#N/A</v>
      </c>
      <c r="M717" t="e">
        <f>_xlfn.XLOOKUP(L717,EGPro!A:A,EGPro!D:D)</f>
        <v>#N/A</v>
      </c>
      <c r="N717" t="e">
        <f>_xlfn.XLOOKUP(L717,EGPro!A:A,EGPro!C:C)</f>
        <v>#N/A</v>
      </c>
      <c r="O717" t="e">
        <f t="shared" si="46"/>
        <v>#N/A</v>
      </c>
      <c r="P717" t="e">
        <f>_xlfn.XLOOKUP(O717,EGPro!A:A,EGPro!D:D)</f>
        <v>#N/A</v>
      </c>
      <c r="Q717" t="e">
        <f>_xlfn.XLOOKUP(O717,EGPro!A:A,EGPro!C:C)</f>
        <v>#N/A</v>
      </c>
    </row>
    <row r="718" spans="1:17" x14ac:dyDescent="0.45">
      <c r="A718" s="3">
        <f>配列!B678</f>
        <v>0</v>
      </c>
      <c r="B718" s="3" t="e">
        <f>_xlfn.XLOOKUP(A718,対応表!A:A,対応表!B:B)</f>
        <v>#N/A</v>
      </c>
      <c r="C718" s="3">
        <f>配列!C678</f>
        <v>0</v>
      </c>
      <c r="D718" s="3" t="str">
        <f>IF(配列!E678="",RIGHT(配列!D678&amp;配列!E678,4)&amp;"L",RIGHT(配列!D678&amp;配列!E678,5))</f>
        <v>L</v>
      </c>
      <c r="E718" s="3">
        <f t="shared" si="44"/>
        <v>0</v>
      </c>
      <c r="F718" s="3" t="e">
        <f>_xlfn.XLOOKUP(E718,セットアップレポート_紐づけ用!A:A,セットアップレポート_紐づけ用!J:J)</f>
        <v>#N/A</v>
      </c>
      <c r="G718" s="3" t="e">
        <f>_xlfn.XLOOKUP(E718,セットアップレポート_紐づけ用!A:A,セットアップレポート_紐づけ用!V:V)</f>
        <v>#N/A</v>
      </c>
      <c r="H718" s="3">
        <f t="shared" si="47"/>
        <v>-2</v>
      </c>
      <c r="I718" t="str">
        <f>IF(J718=0,"",IF(配列!E718="",マクロ実行!$A$16 &amp;" T"&amp;H718&amp;"-"&amp;RIGHT(配列!D718&amp;配列!E718,2),マクロ実行!$A$16 &amp;" T"&amp;H718&amp;"-"&amp;RIGHT(配列!D718&amp;配列!E718,3)))</f>
        <v/>
      </c>
      <c r="J718">
        <f>配列!F678</f>
        <v>0</v>
      </c>
      <c r="K718" s="2" t="e">
        <f>_xlfn.XLOOKUP(E718,セットアップレポート_紐づけ用!A:A,セットアップレポート_紐づけ用!R:R)</f>
        <v>#N/A</v>
      </c>
      <c r="L718" t="e">
        <f t="shared" si="45"/>
        <v>#N/A</v>
      </c>
      <c r="M718" t="e">
        <f>_xlfn.XLOOKUP(L718,EGPro!A:A,EGPro!D:D)</f>
        <v>#N/A</v>
      </c>
      <c r="N718" t="e">
        <f>_xlfn.XLOOKUP(L718,EGPro!A:A,EGPro!C:C)</f>
        <v>#N/A</v>
      </c>
      <c r="O718" t="e">
        <f t="shared" si="46"/>
        <v>#N/A</v>
      </c>
      <c r="P718" t="e">
        <f>_xlfn.XLOOKUP(O718,EGPro!A:A,EGPro!D:D)</f>
        <v>#N/A</v>
      </c>
      <c r="Q718" t="e">
        <f>_xlfn.XLOOKUP(O718,EGPro!A:A,EGPro!C:C)</f>
        <v>#N/A</v>
      </c>
    </row>
    <row r="719" spans="1:17" x14ac:dyDescent="0.45">
      <c r="A719" s="3">
        <f>配列!B679</f>
        <v>0</v>
      </c>
      <c r="B719" s="3" t="e">
        <f>_xlfn.XLOOKUP(A719,対応表!A:A,対応表!B:B)</f>
        <v>#N/A</v>
      </c>
      <c r="C719" s="3">
        <f>配列!C679</f>
        <v>0</v>
      </c>
      <c r="D719" s="3" t="str">
        <f>IF(配列!E679="",RIGHT(配列!D679&amp;配列!E679,4)&amp;"L",RIGHT(配列!D679&amp;配列!E679,5))</f>
        <v>L</v>
      </c>
      <c r="E719" s="3">
        <f t="shared" si="44"/>
        <v>0</v>
      </c>
      <c r="F719" s="3" t="e">
        <f>_xlfn.XLOOKUP(E719,セットアップレポート_紐づけ用!A:A,セットアップレポート_紐づけ用!J:J)</f>
        <v>#N/A</v>
      </c>
      <c r="G719" s="3" t="e">
        <f>_xlfn.XLOOKUP(E719,セットアップレポート_紐づけ用!A:A,セットアップレポート_紐づけ用!V:V)</f>
        <v>#N/A</v>
      </c>
      <c r="H719" s="3">
        <f t="shared" si="47"/>
        <v>-2</v>
      </c>
      <c r="I719" t="str">
        <f>IF(J719=0,"",IF(配列!E719="",マクロ実行!$A$16 &amp;" T"&amp;H719&amp;"-"&amp;RIGHT(配列!D719&amp;配列!E719,2),マクロ実行!$A$16 &amp;" T"&amp;H719&amp;"-"&amp;RIGHT(配列!D719&amp;配列!E719,3)))</f>
        <v/>
      </c>
      <c r="J719">
        <f>配列!F679</f>
        <v>0</v>
      </c>
      <c r="K719" s="2" t="e">
        <f>_xlfn.XLOOKUP(E719,セットアップレポート_紐づけ用!A:A,セットアップレポート_紐づけ用!R:R)</f>
        <v>#N/A</v>
      </c>
      <c r="L719" t="e">
        <f t="shared" si="45"/>
        <v>#N/A</v>
      </c>
      <c r="M719" t="e">
        <f>_xlfn.XLOOKUP(L719,EGPro!A:A,EGPro!D:D)</f>
        <v>#N/A</v>
      </c>
      <c r="N719" t="e">
        <f>_xlfn.XLOOKUP(L719,EGPro!A:A,EGPro!C:C)</f>
        <v>#N/A</v>
      </c>
      <c r="O719" t="e">
        <f t="shared" si="46"/>
        <v>#N/A</v>
      </c>
      <c r="P719" t="e">
        <f>_xlfn.XLOOKUP(O719,EGPro!A:A,EGPro!D:D)</f>
        <v>#N/A</v>
      </c>
      <c r="Q719" t="e">
        <f>_xlfn.XLOOKUP(O719,EGPro!A:A,EGPro!C:C)</f>
        <v>#N/A</v>
      </c>
    </row>
    <row r="720" spans="1:17" x14ac:dyDescent="0.45">
      <c r="A720" s="3">
        <f>配列!B680</f>
        <v>0</v>
      </c>
      <c r="B720" s="3" t="e">
        <f>_xlfn.XLOOKUP(A720,対応表!A:A,対応表!B:B)</f>
        <v>#N/A</v>
      </c>
      <c r="C720" s="3">
        <f>配列!C680</f>
        <v>0</v>
      </c>
      <c r="D720" s="3" t="str">
        <f>IF(配列!E680="",RIGHT(配列!D680&amp;配列!E680,4)&amp;"L",RIGHT(配列!D680&amp;配列!E680,5))</f>
        <v>L</v>
      </c>
      <c r="E720" s="3">
        <f t="shared" si="44"/>
        <v>0</v>
      </c>
      <c r="F720" s="3" t="e">
        <f>_xlfn.XLOOKUP(E720,セットアップレポート_紐づけ用!A:A,セットアップレポート_紐づけ用!J:J)</f>
        <v>#N/A</v>
      </c>
      <c r="G720" s="3" t="e">
        <f>_xlfn.XLOOKUP(E720,セットアップレポート_紐づけ用!A:A,セットアップレポート_紐づけ用!V:V)</f>
        <v>#N/A</v>
      </c>
      <c r="H720" s="3">
        <f t="shared" si="47"/>
        <v>-2</v>
      </c>
      <c r="I720" t="str">
        <f>IF(J720=0,"",IF(配列!E720="",マクロ実行!$A$16 &amp;" T"&amp;H720&amp;"-"&amp;RIGHT(配列!D720&amp;配列!E720,2),マクロ実行!$A$16 &amp;" T"&amp;H720&amp;"-"&amp;RIGHT(配列!D720&amp;配列!E720,3)))</f>
        <v/>
      </c>
      <c r="J720">
        <f>配列!F680</f>
        <v>0</v>
      </c>
      <c r="K720" s="2" t="e">
        <f>_xlfn.XLOOKUP(E720,セットアップレポート_紐づけ用!A:A,セットアップレポート_紐づけ用!R:R)</f>
        <v>#N/A</v>
      </c>
      <c r="L720" t="e">
        <f t="shared" si="45"/>
        <v>#N/A</v>
      </c>
      <c r="M720" t="e">
        <f>_xlfn.XLOOKUP(L720,EGPro!A:A,EGPro!D:D)</f>
        <v>#N/A</v>
      </c>
      <c r="N720" t="e">
        <f>_xlfn.XLOOKUP(L720,EGPro!A:A,EGPro!C:C)</f>
        <v>#N/A</v>
      </c>
      <c r="O720" t="e">
        <f t="shared" si="46"/>
        <v>#N/A</v>
      </c>
      <c r="P720" t="e">
        <f>_xlfn.XLOOKUP(O720,EGPro!A:A,EGPro!D:D)</f>
        <v>#N/A</v>
      </c>
      <c r="Q720" t="e">
        <f>_xlfn.XLOOKUP(O720,EGPro!A:A,EGPro!C:C)</f>
        <v>#N/A</v>
      </c>
    </row>
    <row r="721" spans="1:17" x14ac:dyDescent="0.45">
      <c r="A721" s="3">
        <f>配列!B681</f>
        <v>0</v>
      </c>
      <c r="B721" s="3" t="e">
        <f>_xlfn.XLOOKUP(A721,対応表!A:A,対応表!B:B)</f>
        <v>#N/A</v>
      </c>
      <c r="C721" s="3">
        <f>配列!C681</f>
        <v>0</v>
      </c>
      <c r="D721" s="3" t="str">
        <f>IF(配列!E681="",RIGHT(配列!D681&amp;配列!E681,4)&amp;"L",RIGHT(配列!D681&amp;配列!E681,5))</f>
        <v>L</v>
      </c>
      <c r="E721" s="3">
        <f t="shared" si="44"/>
        <v>0</v>
      </c>
      <c r="F721" s="3" t="e">
        <f>_xlfn.XLOOKUP(E721,セットアップレポート_紐づけ用!A:A,セットアップレポート_紐づけ用!J:J)</f>
        <v>#N/A</v>
      </c>
      <c r="G721" s="3" t="e">
        <f>_xlfn.XLOOKUP(E721,セットアップレポート_紐づけ用!A:A,セットアップレポート_紐づけ用!V:V)</f>
        <v>#N/A</v>
      </c>
      <c r="H721" s="3">
        <f t="shared" si="47"/>
        <v>-2</v>
      </c>
      <c r="I721" t="str">
        <f>IF(J721=0,"",IF(配列!E721="",マクロ実行!$A$16 &amp;" T"&amp;H721&amp;"-"&amp;RIGHT(配列!D721&amp;配列!E721,2),マクロ実行!$A$16 &amp;" T"&amp;H721&amp;"-"&amp;RIGHT(配列!D721&amp;配列!E721,3)))</f>
        <v/>
      </c>
      <c r="J721">
        <f>配列!F681</f>
        <v>0</v>
      </c>
      <c r="K721" s="2" t="e">
        <f>_xlfn.XLOOKUP(E721,セットアップレポート_紐づけ用!A:A,セットアップレポート_紐づけ用!R:R)</f>
        <v>#N/A</v>
      </c>
      <c r="L721" t="e">
        <f t="shared" si="45"/>
        <v>#N/A</v>
      </c>
      <c r="M721" t="e">
        <f>_xlfn.XLOOKUP(L721,EGPro!A:A,EGPro!D:D)</f>
        <v>#N/A</v>
      </c>
      <c r="N721" t="e">
        <f>_xlfn.XLOOKUP(L721,EGPro!A:A,EGPro!C:C)</f>
        <v>#N/A</v>
      </c>
      <c r="O721" t="e">
        <f t="shared" si="46"/>
        <v>#N/A</v>
      </c>
      <c r="P721" t="e">
        <f>_xlfn.XLOOKUP(O721,EGPro!A:A,EGPro!D:D)</f>
        <v>#N/A</v>
      </c>
      <c r="Q721" t="e">
        <f>_xlfn.XLOOKUP(O721,EGPro!A:A,EGPro!C:C)</f>
        <v>#N/A</v>
      </c>
    </row>
    <row r="722" spans="1:17" x14ac:dyDescent="0.45">
      <c r="A722" s="3">
        <f>配列!B682</f>
        <v>0</v>
      </c>
      <c r="B722" s="3" t="e">
        <f>_xlfn.XLOOKUP(A722,対応表!A:A,対応表!B:B)</f>
        <v>#N/A</v>
      </c>
      <c r="C722" s="3">
        <f>配列!C682</f>
        <v>0</v>
      </c>
      <c r="D722" s="3" t="str">
        <f>IF(配列!E682="",RIGHT(配列!D682&amp;配列!E682,4)&amp;"L",RIGHT(配列!D682&amp;配列!E682,5))</f>
        <v>L</v>
      </c>
      <c r="E722" s="3">
        <f t="shared" si="44"/>
        <v>0</v>
      </c>
      <c r="F722" s="3" t="e">
        <f>_xlfn.XLOOKUP(E722,セットアップレポート_紐づけ用!A:A,セットアップレポート_紐づけ用!J:J)</f>
        <v>#N/A</v>
      </c>
      <c r="G722" s="3" t="e">
        <f>_xlfn.XLOOKUP(E722,セットアップレポート_紐づけ用!A:A,セットアップレポート_紐づけ用!V:V)</f>
        <v>#N/A</v>
      </c>
      <c r="H722" s="3">
        <f t="shared" si="47"/>
        <v>-2</v>
      </c>
      <c r="I722" t="str">
        <f>IF(J722=0,"",IF(配列!E722="",マクロ実行!$A$16 &amp;" T"&amp;H722&amp;"-"&amp;RIGHT(配列!D722&amp;配列!E722,2),マクロ実行!$A$16 &amp;" T"&amp;H722&amp;"-"&amp;RIGHT(配列!D722&amp;配列!E722,3)))</f>
        <v/>
      </c>
      <c r="J722">
        <f>配列!F682</f>
        <v>0</v>
      </c>
      <c r="K722" s="2" t="e">
        <f>_xlfn.XLOOKUP(E722,セットアップレポート_紐づけ用!A:A,セットアップレポート_紐づけ用!R:R)</f>
        <v>#N/A</v>
      </c>
      <c r="L722" t="e">
        <f t="shared" si="45"/>
        <v>#N/A</v>
      </c>
      <c r="M722" t="e">
        <f>_xlfn.XLOOKUP(L722,EGPro!A:A,EGPro!D:D)</f>
        <v>#N/A</v>
      </c>
      <c r="N722" t="e">
        <f>_xlfn.XLOOKUP(L722,EGPro!A:A,EGPro!C:C)</f>
        <v>#N/A</v>
      </c>
      <c r="O722" t="e">
        <f t="shared" si="46"/>
        <v>#N/A</v>
      </c>
      <c r="P722" t="e">
        <f>_xlfn.XLOOKUP(O722,EGPro!A:A,EGPro!D:D)</f>
        <v>#N/A</v>
      </c>
      <c r="Q722" t="e">
        <f>_xlfn.XLOOKUP(O722,EGPro!A:A,EGPro!C:C)</f>
        <v>#N/A</v>
      </c>
    </row>
    <row r="723" spans="1:17" x14ac:dyDescent="0.45">
      <c r="A723" s="3">
        <f>配列!B683</f>
        <v>0</v>
      </c>
      <c r="B723" s="3" t="e">
        <f>_xlfn.XLOOKUP(A723,対応表!A:A,対応表!B:B)</f>
        <v>#N/A</v>
      </c>
      <c r="C723" s="3">
        <f>配列!C683</f>
        <v>0</v>
      </c>
      <c r="D723" s="3" t="str">
        <f>IF(配列!E683="",RIGHT(配列!D683&amp;配列!E683,4)&amp;"L",RIGHT(配列!D683&amp;配列!E683,5))</f>
        <v>L</v>
      </c>
      <c r="E723" s="3">
        <f t="shared" si="44"/>
        <v>0</v>
      </c>
      <c r="F723" s="3" t="e">
        <f>_xlfn.XLOOKUP(E723,セットアップレポート_紐づけ用!A:A,セットアップレポート_紐づけ用!J:J)</f>
        <v>#N/A</v>
      </c>
      <c r="G723" s="3" t="e">
        <f>_xlfn.XLOOKUP(E723,セットアップレポート_紐づけ用!A:A,セットアップレポート_紐づけ用!V:V)</f>
        <v>#N/A</v>
      </c>
      <c r="H723" s="3">
        <f t="shared" si="47"/>
        <v>-2</v>
      </c>
      <c r="I723" t="str">
        <f>IF(J723=0,"",IF(配列!E723="",マクロ実行!$A$16 &amp;" T"&amp;H723&amp;"-"&amp;RIGHT(配列!D723&amp;配列!E723,2),マクロ実行!$A$16 &amp;" T"&amp;H723&amp;"-"&amp;RIGHT(配列!D723&amp;配列!E723,3)))</f>
        <v/>
      </c>
      <c r="J723">
        <f>配列!F683</f>
        <v>0</v>
      </c>
      <c r="K723" s="2" t="e">
        <f>_xlfn.XLOOKUP(E723,セットアップレポート_紐づけ用!A:A,セットアップレポート_紐づけ用!R:R)</f>
        <v>#N/A</v>
      </c>
      <c r="L723" t="e">
        <f t="shared" si="45"/>
        <v>#N/A</v>
      </c>
      <c r="M723" t="e">
        <f>_xlfn.XLOOKUP(L723,EGPro!A:A,EGPro!D:D)</f>
        <v>#N/A</v>
      </c>
      <c r="N723" t="e">
        <f>_xlfn.XLOOKUP(L723,EGPro!A:A,EGPro!C:C)</f>
        <v>#N/A</v>
      </c>
      <c r="O723" t="e">
        <f t="shared" si="46"/>
        <v>#N/A</v>
      </c>
      <c r="P723" t="e">
        <f>_xlfn.XLOOKUP(O723,EGPro!A:A,EGPro!D:D)</f>
        <v>#N/A</v>
      </c>
      <c r="Q723" t="e">
        <f>_xlfn.XLOOKUP(O723,EGPro!A:A,EGPro!C:C)</f>
        <v>#N/A</v>
      </c>
    </row>
    <row r="724" spans="1:17" x14ac:dyDescent="0.45">
      <c r="A724" s="3">
        <f>配列!B684</f>
        <v>0</v>
      </c>
      <c r="B724" s="3" t="e">
        <f>_xlfn.XLOOKUP(A724,対応表!A:A,対応表!B:B)</f>
        <v>#N/A</v>
      </c>
      <c r="C724" s="3">
        <f>配列!C684</f>
        <v>0</v>
      </c>
      <c r="D724" s="3" t="str">
        <f>IF(配列!E684="",RIGHT(配列!D684&amp;配列!E684,4)&amp;"L",RIGHT(配列!D684&amp;配列!E684,5))</f>
        <v>L</v>
      </c>
      <c r="E724" s="3">
        <f t="shared" si="44"/>
        <v>0</v>
      </c>
      <c r="F724" s="3" t="e">
        <f>_xlfn.XLOOKUP(E724,セットアップレポート_紐づけ用!A:A,セットアップレポート_紐づけ用!J:J)</f>
        <v>#N/A</v>
      </c>
      <c r="G724" s="3" t="e">
        <f>_xlfn.XLOOKUP(E724,セットアップレポート_紐づけ用!A:A,セットアップレポート_紐づけ用!V:V)</f>
        <v>#N/A</v>
      </c>
      <c r="H724" s="3">
        <f t="shared" si="47"/>
        <v>-2</v>
      </c>
      <c r="I724" t="str">
        <f>IF(J724=0,"",IF(配列!E724="",マクロ実行!$A$16 &amp;" T"&amp;H724&amp;"-"&amp;RIGHT(配列!D724&amp;配列!E724,2),マクロ実行!$A$16 &amp;" T"&amp;H724&amp;"-"&amp;RIGHT(配列!D724&amp;配列!E724,3)))</f>
        <v/>
      </c>
      <c r="J724">
        <f>配列!F684</f>
        <v>0</v>
      </c>
      <c r="K724" s="2" t="e">
        <f>_xlfn.XLOOKUP(E724,セットアップレポート_紐づけ用!A:A,セットアップレポート_紐づけ用!R:R)</f>
        <v>#N/A</v>
      </c>
      <c r="L724" t="e">
        <f t="shared" si="45"/>
        <v>#N/A</v>
      </c>
      <c r="M724" t="e">
        <f>_xlfn.XLOOKUP(L724,EGPro!A:A,EGPro!D:D)</f>
        <v>#N/A</v>
      </c>
      <c r="N724" t="e">
        <f>_xlfn.XLOOKUP(L724,EGPro!A:A,EGPro!C:C)</f>
        <v>#N/A</v>
      </c>
      <c r="O724" t="e">
        <f t="shared" si="46"/>
        <v>#N/A</v>
      </c>
      <c r="P724" t="e">
        <f>_xlfn.XLOOKUP(O724,EGPro!A:A,EGPro!D:D)</f>
        <v>#N/A</v>
      </c>
      <c r="Q724" t="e">
        <f>_xlfn.XLOOKUP(O724,EGPro!A:A,EGPro!C:C)</f>
        <v>#N/A</v>
      </c>
    </row>
    <row r="725" spans="1:17" x14ac:dyDescent="0.45">
      <c r="A725" s="3">
        <f>配列!B685</f>
        <v>0</v>
      </c>
      <c r="B725" s="3" t="e">
        <f>_xlfn.XLOOKUP(A725,対応表!A:A,対応表!B:B)</f>
        <v>#N/A</v>
      </c>
      <c r="C725" s="3">
        <f>配列!C685</f>
        <v>0</v>
      </c>
      <c r="D725" s="3" t="str">
        <f>IF(配列!E685="",RIGHT(配列!D685&amp;配列!E685,4)&amp;"L",RIGHT(配列!D685&amp;配列!E685,5))</f>
        <v>L</v>
      </c>
      <c r="E725" s="3">
        <f t="shared" si="44"/>
        <v>0</v>
      </c>
      <c r="F725" s="3" t="e">
        <f>_xlfn.XLOOKUP(E725,セットアップレポート_紐づけ用!A:A,セットアップレポート_紐づけ用!J:J)</f>
        <v>#N/A</v>
      </c>
      <c r="G725" s="3" t="e">
        <f>_xlfn.XLOOKUP(E725,セットアップレポート_紐づけ用!A:A,セットアップレポート_紐づけ用!V:V)</f>
        <v>#N/A</v>
      </c>
      <c r="H725" s="3">
        <f t="shared" si="47"/>
        <v>-2</v>
      </c>
      <c r="I725" t="str">
        <f>IF(J725=0,"",IF(配列!E725="",マクロ実行!$A$16 &amp;" T"&amp;H725&amp;"-"&amp;RIGHT(配列!D725&amp;配列!E725,2),マクロ実行!$A$16 &amp;" T"&amp;H725&amp;"-"&amp;RIGHT(配列!D725&amp;配列!E725,3)))</f>
        <v/>
      </c>
      <c r="J725">
        <f>配列!F685</f>
        <v>0</v>
      </c>
      <c r="K725" s="2" t="e">
        <f>_xlfn.XLOOKUP(E725,セットアップレポート_紐づけ用!A:A,セットアップレポート_紐づけ用!R:R)</f>
        <v>#N/A</v>
      </c>
      <c r="L725" t="e">
        <f t="shared" si="45"/>
        <v>#N/A</v>
      </c>
      <c r="M725" t="e">
        <f>_xlfn.XLOOKUP(L725,EGPro!A:A,EGPro!D:D)</f>
        <v>#N/A</v>
      </c>
      <c r="N725" t="e">
        <f>_xlfn.XLOOKUP(L725,EGPro!A:A,EGPro!C:C)</f>
        <v>#N/A</v>
      </c>
      <c r="O725" t="e">
        <f t="shared" si="46"/>
        <v>#N/A</v>
      </c>
      <c r="P725" t="e">
        <f>_xlfn.XLOOKUP(O725,EGPro!A:A,EGPro!D:D)</f>
        <v>#N/A</v>
      </c>
      <c r="Q725" t="e">
        <f>_xlfn.XLOOKUP(O725,EGPro!A:A,EGPro!C:C)</f>
        <v>#N/A</v>
      </c>
    </row>
    <row r="726" spans="1:17" x14ac:dyDescent="0.45">
      <c r="A726" s="3">
        <f>配列!B686</f>
        <v>0</v>
      </c>
      <c r="B726" s="3" t="e">
        <f>_xlfn.XLOOKUP(A726,対応表!A:A,対応表!B:B)</f>
        <v>#N/A</v>
      </c>
      <c r="C726" s="3">
        <f>配列!C686</f>
        <v>0</v>
      </c>
      <c r="D726" s="3" t="str">
        <f>IF(配列!E686="",RIGHT(配列!D686&amp;配列!E686,4)&amp;"L",RIGHT(配列!D686&amp;配列!E686,5))</f>
        <v>L</v>
      </c>
      <c r="E726" s="3">
        <f t="shared" si="44"/>
        <v>0</v>
      </c>
      <c r="F726" s="3" t="e">
        <f>_xlfn.XLOOKUP(E726,セットアップレポート_紐づけ用!A:A,セットアップレポート_紐づけ用!J:J)</f>
        <v>#N/A</v>
      </c>
      <c r="G726" s="3" t="e">
        <f>_xlfn.XLOOKUP(E726,セットアップレポート_紐づけ用!A:A,セットアップレポート_紐づけ用!V:V)</f>
        <v>#N/A</v>
      </c>
      <c r="H726" s="3">
        <f t="shared" si="47"/>
        <v>-2</v>
      </c>
      <c r="I726" t="str">
        <f>IF(J726=0,"",IF(配列!E726="",マクロ実行!$A$16 &amp;" T"&amp;H726&amp;"-"&amp;RIGHT(配列!D726&amp;配列!E726,2),マクロ実行!$A$16 &amp;" T"&amp;H726&amp;"-"&amp;RIGHT(配列!D726&amp;配列!E726,3)))</f>
        <v/>
      </c>
      <c r="J726">
        <f>配列!F686</f>
        <v>0</v>
      </c>
      <c r="K726" s="2" t="e">
        <f>_xlfn.XLOOKUP(E726,セットアップレポート_紐づけ用!A:A,セットアップレポート_紐づけ用!R:R)</f>
        <v>#N/A</v>
      </c>
      <c r="L726" t="e">
        <f t="shared" si="45"/>
        <v>#N/A</v>
      </c>
      <c r="M726" t="e">
        <f>_xlfn.XLOOKUP(L726,EGPro!A:A,EGPro!D:D)</f>
        <v>#N/A</v>
      </c>
      <c r="N726" t="e">
        <f>_xlfn.XLOOKUP(L726,EGPro!A:A,EGPro!C:C)</f>
        <v>#N/A</v>
      </c>
      <c r="O726" t="e">
        <f t="shared" si="46"/>
        <v>#N/A</v>
      </c>
      <c r="P726" t="e">
        <f>_xlfn.XLOOKUP(O726,EGPro!A:A,EGPro!D:D)</f>
        <v>#N/A</v>
      </c>
      <c r="Q726" t="e">
        <f>_xlfn.XLOOKUP(O726,EGPro!A:A,EGPro!C:C)</f>
        <v>#N/A</v>
      </c>
    </row>
    <row r="727" spans="1:17" x14ac:dyDescent="0.45">
      <c r="A727" s="3">
        <f>配列!B687</f>
        <v>0</v>
      </c>
      <c r="B727" s="3" t="e">
        <f>_xlfn.XLOOKUP(A727,対応表!A:A,対応表!B:B)</f>
        <v>#N/A</v>
      </c>
      <c r="C727" s="3">
        <f>配列!C687</f>
        <v>0</v>
      </c>
      <c r="D727" s="3" t="str">
        <f>IF(配列!E687="",RIGHT(配列!D687&amp;配列!E687,4)&amp;"L",RIGHT(配列!D687&amp;配列!E687,5))</f>
        <v>L</v>
      </c>
      <c r="E727" s="3">
        <f t="shared" si="44"/>
        <v>0</v>
      </c>
      <c r="F727" s="3" t="e">
        <f>_xlfn.XLOOKUP(E727,セットアップレポート_紐づけ用!A:A,セットアップレポート_紐づけ用!J:J)</f>
        <v>#N/A</v>
      </c>
      <c r="G727" s="3" t="e">
        <f>_xlfn.XLOOKUP(E727,セットアップレポート_紐づけ用!A:A,セットアップレポート_紐づけ用!V:V)</f>
        <v>#N/A</v>
      </c>
      <c r="H727" s="3">
        <f t="shared" si="47"/>
        <v>-2</v>
      </c>
      <c r="I727" t="str">
        <f>IF(J727=0,"",IF(配列!E727="",マクロ実行!$A$16 &amp;" T"&amp;H727&amp;"-"&amp;RIGHT(配列!D727&amp;配列!E727,2),マクロ実行!$A$16 &amp;" T"&amp;H727&amp;"-"&amp;RIGHT(配列!D727&amp;配列!E727,3)))</f>
        <v/>
      </c>
      <c r="J727">
        <f>配列!F687</f>
        <v>0</v>
      </c>
      <c r="K727" s="2" t="e">
        <f>_xlfn.XLOOKUP(E727,セットアップレポート_紐づけ用!A:A,セットアップレポート_紐づけ用!R:R)</f>
        <v>#N/A</v>
      </c>
      <c r="L727" t="e">
        <f t="shared" si="45"/>
        <v>#N/A</v>
      </c>
      <c r="M727" t="e">
        <f>_xlfn.XLOOKUP(L727,EGPro!A:A,EGPro!D:D)</f>
        <v>#N/A</v>
      </c>
      <c r="N727" t="e">
        <f>_xlfn.XLOOKUP(L727,EGPro!A:A,EGPro!C:C)</f>
        <v>#N/A</v>
      </c>
      <c r="O727" t="e">
        <f t="shared" si="46"/>
        <v>#N/A</v>
      </c>
      <c r="P727" t="e">
        <f>_xlfn.XLOOKUP(O727,EGPro!A:A,EGPro!D:D)</f>
        <v>#N/A</v>
      </c>
      <c r="Q727" t="e">
        <f>_xlfn.XLOOKUP(O727,EGPro!A:A,EGPro!C:C)</f>
        <v>#N/A</v>
      </c>
    </row>
    <row r="728" spans="1:17" x14ac:dyDescent="0.45">
      <c r="A728" s="3">
        <f>配列!B688</f>
        <v>0</v>
      </c>
      <c r="B728" s="3" t="e">
        <f>_xlfn.XLOOKUP(A728,対応表!A:A,対応表!B:B)</f>
        <v>#N/A</v>
      </c>
      <c r="C728" s="3">
        <f>配列!C688</f>
        <v>0</v>
      </c>
      <c r="D728" s="3" t="str">
        <f>IF(配列!E688="",RIGHT(配列!D688&amp;配列!E688,4)&amp;"L",RIGHT(配列!D688&amp;配列!E688,5))</f>
        <v>L</v>
      </c>
      <c r="E728" s="3">
        <f t="shared" si="44"/>
        <v>0</v>
      </c>
      <c r="F728" s="3" t="e">
        <f>_xlfn.XLOOKUP(E728,セットアップレポート_紐づけ用!A:A,セットアップレポート_紐づけ用!J:J)</f>
        <v>#N/A</v>
      </c>
      <c r="G728" s="3" t="e">
        <f>_xlfn.XLOOKUP(E728,セットアップレポート_紐づけ用!A:A,セットアップレポート_紐づけ用!V:V)</f>
        <v>#N/A</v>
      </c>
      <c r="H728" s="3">
        <f t="shared" si="47"/>
        <v>-2</v>
      </c>
      <c r="I728" t="str">
        <f>IF(J728=0,"",IF(配列!E728="",マクロ実行!$A$16 &amp;" T"&amp;H728&amp;"-"&amp;RIGHT(配列!D728&amp;配列!E728,2),マクロ実行!$A$16 &amp;" T"&amp;H728&amp;"-"&amp;RIGHT(配列!D728&amp;配列!E728,3)))</f>
        <v/>
      </c>
      <c r="J728">
        <f>配列!F688</f>
        <v>0</v>
      </c>
      <c r="K728" s="2" t="e">
        <f>_xlfn.XLOOKUP(E728,セットアップレポート_紐づけ用!A:A,セットアップレポート_紐づけ用!R:R)</f>
        <v>#N/A</v>
      </c>
      <c r="L728" t="e">
        <f t="shared" si="45"/>
        <v>#N/A</v>
      </c>
      <c r="M728" t="e">
        <f>_xlfn.XLOOKUP(L728,EGPro!A:A,EGPro!D:D)</f>
        <v>#N/A</v>
      </c>
      <c r="N728" t="e">
        <f>_xlfn.XLOOKUP(L728,EGPro!A:A,EGPro!C:C)</f>
        <v>#N/A</v>
      </c>
      <c r="O728" t="e">
        <f t="shared" si="46"/>
        <v>#N/A</v>
      </c>
      <c r="P728" t="e">
        <f>_xlfn.XLOOKUP(O728,EGPro!A:A,EGPro!D:D)</f>
        <v>#N/A</v>
      </c>
      <c r="Q728" t="e">
        <f>_xlfn.XLOOKUP(O728,EGPro!A:A,EGPro!C:C)</f>
        <v>#N/A</v>
      </c>
    </row>
    <row r="729" spans="1:17" x14ac:dyDescent="0.45">
      <c r="A729" s="3">
        <f>配列!B689</f>
        <v>0</v>
      </c>
      <c r="B729" s="3" t="e">
        <f>_xlfn.XLOOKUP(A729,対応表!A:A,対応表!B:B)</f>
        <v>#N/A</v>
      </c>
      <c r="C729" s="3">
        <f>配列!C689</f>
        <v>0</v>
      </c>
      <c r="D729" s="3" t="str">
        <f>IF(配列!E689="",RIGHT(配列!D689&amp;配列!E689,4)&amp;"L",RIGHT(配列!D689&amp;配列!E689,5))</f>
        <v>L</v>
      </c>
      <c r="E729" s="3">
        <f t="shared" si="44"/>
        <v>0</v>
      </c>
      <c r="F729" s="3" t="e">
        <f>_xlfn.XLOOKUP(E729,セットアップレポート_紐づけ用!A:A,セットアップレポート_紐づけ用!J:J)</f>
        <v>#N/A</v>
      </c>
      <c r="G729" s="3" t="e">
        <f>_xlfn.XLOOKUP(E729,セットアップレポート_紐づけ用!A:A,セットアップレポート_紐づけ用!V:V)</f>
        <v>#N/A</v>
      </c>
      <c r="H729" s="3">
        <f t="shared" si="47"/>
        <v>-2</v>
      </c>
      <c r="I729" t="str">
        <f>IF(J729=0,"",IF(配列!E729="",マクロ実行!$A$16 &amp;" T"&amp;H729&amp;"-"&amp;RIGHT(配列!D729&amp;配列!E729,2),マクロ実行!$A$16 &amp;" T"&amp;H729&amp;"-"&amp;RIGHT(配列!D729&amp;配列!E729,3)))</f>
        <v/>
      </c>
      <c r="J729">
        <f>配列!F689</f>
        <v>0</v>
      </c>
      <c r="K729" s="2" t="e">
        <f>_xlfn.XLOOKUP(E729,セットアップレポート_紐づけ用!A:A,セットアップレポート_紐づけ用!R:R)</f>
        <v>#N/A</v>
      </c>
      <c r="L729" t="e">
        <f t="shared" si="45"/>
        <v>#N/A</v>
      </c>
      <c r="M729" t="e">
        <f>_xlfn.XLOOKUP(L729,EGPro!A:A,EGPro!D:D)</f>
        <v>#N/A</v>
      </c>
      <c r="N729" t="e">
        <f>_xlfn.XLOOKUP(L729,EGPro!A:A,EGPro!C:C)</f>
        <v>#N/A</v>
      </c>
      <c r="O729" t="e">
        <f t="shared" si="46"/>
        <v>#N/A</v>
      </c>
      <c r="P729" t="e">
        <f>_xlfn.XLOOKUP(O729,EGPro!A:A,EGPro!D:D)</f>
        <v>#N/A</v>
      </c>
      <c r="Q729" t="e">
        <f>_xlfn.XLOOKUP(O729,EGPro!A:A,EGPro!C:C)</f>
        <v>#N/A</v>
      </c>
    </row>
    <row r="730" spans="1:17" x14ac:dyDescent="0.45">
      <c r="A730" s="3">
        <f>配列!B690</f>
        <v>0</v>
      </c>
      <c r="B730" s="3" t="e">
        <f>_xlfn.XLOOKUP(A730,対応表!A:A,対応表!B:B)</f>
        <v>#N/A</v>
      </c>
      <c r="C730" s="3">
        <f>配列!C690</f>
        <v>0</v>
      </c>
      <c r="D730" s="3" t="str">
        <f>IF(配列!E690="",RIGHT(配列!D690&amp;配列!E690,4)&amp;"L",RIGHT(配列!D690&amp;配列!E690,5))</f>
        <v>L</v>
      </c>
      <c r="E730" s="3">
        <f t="shared" si="44"/>
        <v>0</v>
      </c>
      <c r="F730" s="3" t="e">
        <f>_xlfn.XLOOKUP(E730,セットアップレポート_紐づけ用!A:A,セットアップレポート_紐づけ用!J:J)</f>
        <v>#N/A</v>
      </c>
      <c r="G730" s="3" t="e">
        <f>_xlfn.XLOOKUP(E730,セットアップレポート_紐づけ用!A:A,セットアップレポート_紐づけ用!V:V)</f>
        <v>#N/A</v>
      </c>
      <c r="H730" s="3">
        <f t="shared" si="47"/>
        <v>-2</v>
      </c>
      <c r="I730" t="str">
        <f>IF(J730=0,"",IF(配列!E730="",マクロ実行!$A$16 &amp;" T"&amp;H730&amp;"-"&amp;RIGHT(配列!D730&amp;配列!E730,2),マクロ実行!$A$16 &amp;" T"&amp;H730&amp;"-"&amp;RIGHT(配列!D730&amp;配列!E730,3)))</f>
        <v/>
      </c>
      <c r="J730">
        <f>配列!F690</f>
        <v>0</v>
      </c>
      <c r="K730" s="2" t="e">
        <f>_xlfn.XLOOKUP(E730,セットアップレポート_紐づけ用!A:A,セットアップレポート_紐づけ用!R:R)</f>
        <v>#N/A</v>
      </c>
      <c r="L730" t="e">
        <f t="shared" si="45"/>
        <v>#N/A</v>
      </c>
      <c r="M730" t="e">
        <f>_xlfn.XLOOKUP(L730,EGPro!A:A,EGPro!D:D)</f>
        <v>#N/A</v>
      </c>
      <c r="N730" t="e">
        <f>_xlfn.XLOOKUP(L730,EGPro!A:A,EGPro!C:C)</f>
        <v>#N/A</v>
      </c>
      <c r="O730" t="e">
        <f t="shared" si="46"/>
        <v>#N/A</v>
      </c>
      <c r="P730" t="e">
        <f>_xlfn.XLOOKUP(O730,EGPro!A:A,EGPro!D:D)</f>
        <v>#N/A</v>
      </c>
      <c r="Q730" t="e">
        <f>_xlfn.XLOOKUP(O730,EGPro!A:A,EGPro!C:C)</f>
        <v>#N/A</v>
      </c>
    </row>
    <row r="731" spans="1:17" x14ac:dyDescent="0.45">
      <c r="A731" s="3">
        <f>配列!B691</f>
        <v>0</v>
      </c>
      <c r="B731" s="3" t="e">
        <f>_xlfn.XLOOKUP(A731,対応表!A:A,対応表!B:B)</f>
        <v>#N/A</v>
      </c>
      <c r="C731" s="3">
        <f>配列!C691</f>
        <v>0</v>
      </c>
      <c r="D731" s="3" t="str">
        <f>IF(配列!E691="",RIGHT(配列!D691&amp;配列!E691,4)&amp;"L",RIGHT(配列!D691&amp;配列!E691,5))</f>
        <v>L</v>
      </c>
      <c r="E731" s="3">
        <f t="shared" si="44"/>
        <v>0</v>
      </c>
      <c r="F731" s="3" t="e">
        <f>_xlfn.XLOOKUP(E731,セットアップレポート_紐づけ用!A:A,セットアップレポート_紐づけ用!J:J)</f>
        <v>#N/A</v>
      </c>
      <c r="G731" s="3" t="e">
        <f>_xlfn.XLOOKUP(E731,セットアップレポート_紐づけ用!A:A,セットアップレポート_紐づけ用!V:V)</f>
        <v>#N/A</v>
      </c>
      <c r="H731" s="3">
        <f t="shared" si="47"/>
        <v>-2</v>
      </c>
      <c r="I731" t="str">
        <f>IF(J731=0,"",IF(配列!E731="",マクロ実行!$A$16 &amp;" T"&amp;H731&amp;"-"&amp;RIGHT(配列!D731&amp;配列!E731,2),マクロ実行!$A$16 &amp;" T"&amp;H731&amp;"-"&amp;RIGHT(配列!D731&amp;配列!E731,3)))</f>
        <v/>
      </c>
      <c r="J731">
        <f>配列!F691</f>
        <v>0</v>
      </c>
      <c r="K731" s="2" t="e">
        <f>_xlfn.XLOOKUP(E731,セットアップレポート_紐づけ用!A:A,セットアップレポート_紐づけ用!R:R)</f>
        <v>#N/A</v>
      </c>
      <c r="L731" t="e">
        <f t="shared" si="45"/>
        <v>#N/A</v>
      </c>
      <c r="M731" t="e">
        <f>_xlfn.XLOOKUP(L731,EGPro!A:A,EGPro!D:D)</f>
        <v>#N/A</v>
      </c>
      <c r="N731" t="e">
        <f>_xlfn.XLOOKUP(L731,EGPro!A:A,EGPro!C:C)</f>
        <v>#N/A</v>
      </c>
      <c r="O731" t="e">
        <f t="shared" si="46"/>
        <v>#N/A</v>
      </c>
      <c r="P731" t="e">
        <f>_xlfn.XLOOKUP(O731,EGPro!A:A,EGPro!D:D)</f>
        <v>#N/A</v>
      </c>
      <c r="Q731" t="e">
        <f>_xlfn.XLOOKUP(O731,EGPro!A:A,EGPro!C:C)</f>
        <v>#N/A</v>
      </c>
    </row>
    <row r="732" spans="1:17" x14ac:dyDescent="0.45">
      <c r="A732" s="3">
        <f>配列!B692</f>
        <v>0</v>
      </c>
      <c r="B732" s="3" t="e">
        <f>_xlfn.XLOOKUP(A732,対応表!A:A,対応表!B:B)</f>
        <v>#N/A</v>
      </c>
      <c r="C732" s="3">
        <f>配列!C692</f>
        <v>0</v>
      </c>
      <c r="D732" s="3" t="str">
        <f>IF(配列!E692="",RIGHT(配列!D692&amp;配列!E692,4)&amp;"L",RIGHT(配列!D692&amp;配列!E692,5))</f>
        <v>L</v>
      </c>
      <c r="E732" s="3">
        <f t="shared" si="44"/>
        <v>0</v>
      </c>
      <c r="F732" s="3" t="e">
        <f>_xlfn.XLOOKUP(E732,セットアップレポート_紐づけ用!A:A,セットアップレポート_紐づけ用!J:J)</f>
        <v>#N/A</v>
      </c>
      <c r="G732" s="3" t="e">
        <f>_xlfn.XLOOKUP(E732,セットアップレポート_紐づけ用!A:A,セットアップレポート_紐づけ用!V:V)</f>
        <v>#N/A</v>
      </c>
      <c r="H732" s="3">
        <f t="shared" si="47"/>
        <v>-2</v>
      </c>
      <c r="I732" t="str">
        <f>IF(J732=0,"",IF(配列!E732="",マクロ実行!$A$16 &amp;" T"&amp;H732&amp;"-"&amp;RIGHT(配列!D732&amp;配列!E732,2),マクロ実行!$A$16 &amp;" T"&amp;H732&amp;"-"&amp;RIGHT(配列!D732&amp;配列!E732,3)))</f>
        <v/>
      </c>
      <c r="J732">
        <f>配列!F692</f>
        <v>0</v>
      </c>
      <c r="K732" s="2" t="e">
        <f>_xlfn.XLOOKUP(E732,セットアップレポート_紐づけ用!A:A,セットアップレポート_紐づけ用!R:R)</f>
        <v>#N/A</v>
      </c>
      <c r="L732" t="e">
        <f t="shared" si="45"/>
        <v>#N/A</v>
      </c>
      <c r="M732" t="e">
        <f>_xlfn.XLOOKUP(L732,EGPro!A:A,EGPro!D:D)</f>
        <v>#N/A</v>
      </c>
      <c r="N732" t="e">
        <f>_xlfn.XLOOKUP(L732,EGPro!A:A,EGPro!C:C)</f>
        <v>#N/A</v>
      </c>
      <c r="O732" t="e">
        <f t="shared" si="46"/>
        <v>#N/A</v>
      </c>
      <c r="P732" t="e">
        <f>_xlfn.XLOOKUP(O732,EGPro!A:A,EGPro!D:D)</f>
        <v>#N/A</v>
      </c>
      <c r="Q732" t="e">
        <f>_xlfn.XLOOKUP(O732,EGPro!A:A,EGPro!C:C)</f>
        <v>#N/A</v>
      </c>
    </row>
    <row r="733" spans="1:17" x14ac:dyDescent="0.45">
      <c r="A733" s="3">
        <f>配列!B693</f>
        <v>0</v>
      </c>
      <c r="B733" s="3" t="e">
        <f>_xlfn.XLOOKUP(A733,対応表!A:A,対応表!B:B)</f>
        <v>#N/A</v>
      </c>
      <c r="C733" s="3">
        <f>配列!C693</f>
        <v>0</v>
      </c>
      <c r="D733" s="3" t="str">
        <f>IF(配列!E693="",RIGHT(配列!D693&amp;配列!E693,4)&amp;"L",RIGHT(配列!D693&amp;配列!E693,5))</f>
        <v>L</v>
      </c>
      <c r="E733" s="3">
        <f t="shared" si="44"/>
        <v>0</v>
      </c>
      <c r="F733" s="3" t="e">
        <f>_xlfn.XLOOKUP(E733,セットアップレポート_紐づけ用!A:A,セットアップレポート_紐づけ用!J:J)</f>
        <v>#N/A</v>
      </c>
      <c r="G733" s="3" t="e">
        <f>_xlfn.XLOOKUP(E733,セットアップレポート_紐づけ用!A:A,セットアップレポート_紐づけ用!V:V)</f>
        <v>#N/A</v>
      </c>
      <c r="H733" s="3">
        <f t="shared" si="47"/>
        <v>-2</v>
      </c>
      <c r="I733" t="str">
        <f>IF(J733=0,"",IF(配列!E733="",マクロ実行!$A$16 &amp;" T"&amp;H733&amp;"-"&amp;RIGHT(配列!D733&amp;配列!E733,2),マクロ実行!$A$16 &amp;" T"&amp;H733&amp;"-"&amp;RIGHT(配列!D733&amp;配列!E733,3)))</f>
        <v/>
      </c>
      <c r="J733">
        <f>配列!F693</f>
        <v>0</v>
      </c>
      <c r="K733" s="2" t="e">
        <f>_xlfn.XLOOKUP(E733,セットアップレポート_紐づけ用!A:A,セットアップレポート_紐づけ用!R:R)</f>
        <v>#N/A</v>
      </c>
      <c r="L733" t="e">
        <f t="shared" si="45"/>
        <v>#N/A</v>
      </c>
      <c r="M733" t="e">
        <f>_xlfn.XLOOKUP(L733,EGPro!A:A,EGPro!D:D)</f>
        <v>#N/A</v>
      </c>
      <c r="N733" t="e">
        <f>_xlfn.XLOOKUP(L733,EGPro!A:A,EGPro!C:C)</f>
        <v>#N/A</v>
      </c>
      <c r="O733" t="e">
        <f t="shared" si="46"/>
        <v>#N/A</v>
      </c>
      <c r="P733" t="e">
        <f>_xlfn.XLOOKUP(O733,EGPro!A:A,EGPro!D:D)</f>
        <v>#N/A</v>
      </c>
      <c r="Q733" t="e">
        <f>_xlfn.XLOOKUP(O733,EGPro!A:A,EGPro!C:C)</f>
        <v>#N/A</v>
      </c>
    </row>
    <row r="734" spans="1:17" x14ac:dyDescent="0.45">
      <c r="A734" s="3">
        <f>配列!B694</f>
        <v>0</v>
      </c>
      <c r="B734" s="3" t="e">
        <f>_xlfn.XLOOKUP(A734,対応表!A:A,対応表!B:B)</f>
        <v>#N/A</v>
      </c>
      <c r="C734" s="3">
        <f>配列!C694</f>
        <v>0</v>
      </c>
      <c r="D734" s="3" t="str">
        <f>IF(配列!E694="",RIGHT(配列!D694&amp;配列!E694,4)&amp;"L",RIGHT(配列!D694&amp;配列!E694,5))</f>
        <v>L</v>
      </c>
      <c r="E734" s="3">
        <f t="shared" si="44"/>
        <v>0</v>
      </c>
      <c r="F734" s="3" t="e">
        <f>_xlfn.XLOOKUP(E734,セットアップレポート_紐づけ用!A:A,セットアップレポート_紐づけ用!J:J)</f>
        <v>#N/A</v>
      </c>
      <c r="G734" s="3" t="e">
        <f>_xlfn.XLOOKUP(E734,セットアップレポート_紐づけ用!A:A,セットアップレポート_紐づけ用!V:V)</f>
        <v>#N/A</v>
      </c>
      <c r="H734" s="3">
        <f t="shared" si="47"/>
        <v>-2</v>
      </c>
      <c r="I734" t="str">
        <f>IF(J734=0,"",IF(配列!E734="",マクロ実行!$A$16 &amp;" T"&amp;H734&amp;"-"&amp;RIGHT(配列!D734&amp;配列!E734,2),マクロ実行!$A$16 &amp;" T"&amp;H734&amp;"-"&amp;RIGHT(配列!D734&amp;配列!E734,3)))</f>
        <v/>
      </c>
      <c r="J734">
        <f>配列!F694</f>
        <v>0</v>
      </c>
      <c r="K734" s="2" t="e">
        <f>_xlfn.XLOOKUP(E734,セットアップレポート_紐づけ用!A:A,セットアップレポート_紐づけ用!R:R)</f>
        <v>#N/A</v>
      </c>
      <c r="L734" t="e">
        <f t="shared" si="45"/>
        <v>#N/A</v>
      </c>
      <c r="M734" t="e">
        <f>_xlfn.XLOOKUP(L734,EGPro!A:A,EGPro!D:D)</f>
        <v>#N/A</v>
      </c>
      <c r="N734" t="e">
        <f>_xlfn.XLOOKUP(L734,EGPro!A:A,EGPro!C:C)</f>
        <v>#N/A</v>
      </c>
      <c r="O734" t="e">
        <f t="shared" si="46"/>
        <v>#N/A</v>
      </c>
      <c r="P734" t="e">
        <f>_xlfn.XLOOKUP(O734,EGPro!A:A,EGPro!D:D)</f>
        <v>#N/A</v>
      </c>
      <c r="Q734" t="e">
        <f>_xlfn.XLOOKUP(O734,EGPro!A:A,EGPro!C:C)</f>
        <v>#N/A</v>
      </c>
    </row>
    <row r="735" spans="1:17" x14ac:dyDescent="0.45">
      <c r="A735" s="3">
        <f>配列!B695</f>
        <v>0</v>
      </c>
      <c r="B735" s="3" t="e">
        <f>_xlfn.XLOOKUP(A735,対応表!A:A,対応表!B:B)</f>
        <v>#N/A</v>
      </c>
      <c r="C735" s="3">
        <f>配列!C695</f>
        <v>0</v>
      </c>
      <c r="D735" s="3" t="str">
        <f>IF(配列!E695="",RIGHT(配列!D695&amp;配列!E695,4)&amp;"L",RIGHT(配列!D695&amp;配列!E695,5))</f>
        <v>L</v>
      </c>
      <c r="E735" s="3">
        <f t="shared" si="44"/>
        <v>0</v>
      </c>
      <c r="F735" s="3" t="e">
        <f>_xlfn.XLOOKUP(E735,セットアップレポート_紐づけ用!A:A,セットアップレポート_紐づけ用!J:J)</f>
        <v>#N/A</v>
      </c>
      <c r="G735" s="3" t="e">
        <f>_xlfn.XLOOKUP(E735,セットアップレポート_紐づけ用!A:A,セットアップレポート_紐づけ用!V:V)</f>
        <v>#N/A</v>
      </c>
      <c r="H735" s="3">
        <f t="shared" si="47"/>
        <v>-2</v>
      </c>
      <c r="I735" t="str">
        <f>IF(J735=0,"",IF(配列!E735="",マクロ実行!$A$16 &amp;" T"&amp;H735&amp;"-"&amp;RIGHT(配列!D735&amp;配列!E735,2),マクロ実行!$A$16 &amp;" T"&amp;H735&amp;"-"&amp;RIGHT(配列!D735&amp;配列!E735,3)))</f>
        <v/>
      </c>
      <c r="J735">
        <f>配列!F695</f>
        <v>0</v>
      </c>
      <c r="K735" s="2" t="e">
        <f>_xlfn.XLOOKUP(E735,セットアップレポート_紐づけ用!A:A,セットアップレポート_紐づけ用!R:R)</f>
        <v>#N/A</v>
      </c>
      <c r="L735" t="e">
        <f t="shared" si="45"/>
        <v>#N/A</v>
      </c>
      <c r="M735" t="e">
        <f>_xlfn.XLOOKUP(L735,EGPro!A:A,EGPro!D:D)</f>
        <v>#N/A</v>
      </c>
      <c r="N735" t="e">
        <f>_xlfn.XLOOKUP(L735,EGPro!A:A,EGPro!C:C)</f>
        <v>#N/A</v>
      </c>
      <c r="O735" t="e">
        <f t="shared" si="46"/>
        <v>#N/A</v>
      </c>
      <c r="P735" t="e">
        <f>_xlfn.XLOOKUP(O735,EGPro!A:A,EGPro!D:D)</f>
        <v>#N/A</v>
      </c>
      <c r="Q735" t="e">
        <f>_xlfn.XLOOKUP(O735,EGPro!A:A,EGPro!C:C)</f>
        <v>#N/A</v>
      </c>
    </row>
    <row r="736" spans="1:17" x14ac:dyDescent="0.45">
      <c r="A736" s="3">
        <f>配列!B696</f>
        <v>0</v>
      </c>
      <c r="B736" s="3" t="e">
        <f>_xlfn.XLOOKUP(A736,対応表!A:A,対応表!B:B)</f>
        <v>#N/A</v>
      </c>
      <c r="C736" s="3">
        <f>配列!C696</f>
        <v>0</v>
      </c>
      <c r="D736" s="3" t="str">
        <f>IF(配列!E696="",RIGHT(配列!D696&amp;配列!E696,4)&amp;"L",RIGHT(配列!D696&amp;配列!E696,5))</f>
        <v>L</v>
      </c>
      <c r="E736" s="3">
        <f t="shared" si="44"/>
        <v>0</v>
      </c>
      <c r="F736" s="3" t="e">
        <f>_xlfn.XLOOKUP(E736,セットアップレポート_紐づけ用!A:A,セットアップレポート_紐づけ用!J:J)</f>
        <v>#N/A</v>
      </c>
      <c r="G736" s="3" t="e">
        <f>_xlfn.XLOOKUP(E736,セットアップレポート_紐づけ用!A:A,セットアップレポート_紐づけ用!V:V)</f>
        <v>#N/A</v>
      </c>
      <c r="H736" s="3">
        <f t="shared" si="47"/>
        <v>-2</v>
      </c>
      <c r="I736" t="str">
        <f>IF(J736=0,"",IF(配列!E736="",マクロ実行!$A$16 &amp;" T"&amp;H736&amp;"-"&amp;RIGHT(配列!D736&amp;配列!E736,2),マクロ実行!$A$16 &amp;" T"&amp;H736&amp;"-"&amp;RIGHT(配列!D736&amp;配列!E736,3)))</f>
        <v/>
      </c>
      <c r="J736">
        <f>配列!F696</f>
        <v>0</v>
      </c>
      <c r="K736" s="2" t="e">
        <f>_xlfn.XLOOKUP(E736,セットアップレポート_紐づけ用!A:A,セットアップレポート_紐づけ用!R:R)</f>
        <v>#N/A</v>
      </c>
      <c r="L736" t="e">
        <f t="shared" si="45"/>
        <v>#N/A</v>
      </c>
      <c r="M736" t="e">
        <f>_xlfn.XLOOKUP(L736,EGPro!A:A,EGPro!D:D)</f>
        <v>#N/A</v>
      </c>
      <c r="N736" t="e">
        <f>_xlfn.XLOOKUP(L736,EGPro!A:A,EGPro!C:C)</f>
        <v>#N/A</v>
      </c>
      <c r="O736" t="e">
        <f t="shared" si="46"/>
        <v>#N/A</v>
      </c>
      <c r="P736" t="e">
        <f>_xlfn.XLOOKUP(O736,EGPro!A:A,EGPro!D:D)</f>
        <v>#N/A</v>
      </c>
      <c r="Q736" t="e">
        <f>_xlfn.XLOOKUP(O736,EGPro!A:A,EGPro!C:C)</f>
        <v>#N/A</v>
      </c>
    </row>
    <row r="737" spans="1:17" x14ac:dyDescent="0.45">
      <c r="A737" s="3">
        <f>配列!B697</f>
        <v>0</v>
      </c>
      <c r="B737" s="3" t="e">
        <f>_xlfn.XLOOKUP(A737,対応表!A:A,対応表!B:B)</f>
        <v>#N/A</v>
      </c>
      <c r="C737" s="3">
        <f>配列!C697</f>
        <v>0</v>
      </c>
      <c r="D737" s="3" t="str">
        <f>IF(配列!E697="",RIGHT(配列!D697&amp;配列!E697,4)&amp;"L",RIGHT(配列!D697&amp;配列!E697,5))</f>
        <v>L</v>
      </c>
      <c r="E737" s="3">
        <f t="shared" si="44"/>
        <v>0</v>
      </c>
      <c r="F737" s="3" t="e">
        <f>_xlfn.XLOOKUP(E737,セットアップレポート_紐づけ用!A:A,セットアップレポート_紐づけ用!J:J)</f>
        <v>#N/A</v>
      </c>
      <c r="G737" s="3" t="e">
        <f>_xlfn.XLOOKUP(E737,セットアップレポート_紐づけ用!A:A,セットアップレポート_紐づけ用!V:V)</f>
        <v>#N/A</v>
      </c>
      <c r="H737" s="3">
        <f t="shared" si="47"/>
        <v>-2</v>
      </c>
      <c r="I737" t="str">
        <f>IF(J737=0,"",IF(配列!E737="",マクロ実行!$A$16 &amp;" T"&amp;H737&amp;"-"&amp;RIGHT(配列!D737&amp;配列!E737,2),マクロ実行!$A$16 &amp;" T"&amp;H737&amp;"-"&amp;RIGHT(配列!D737&amp;配列!E737,3)))</f>
        <v/>
      </c>
      <c r="J737">
        <f>配列!F697</f>
        <v>0</v>
      </c>
      <c r="K737" s="2" t="e">
        <f>_xlfn.XLOOKUP(E737,セットアップレポート_紐づけ用!A:A,セットアップレポート_紐づけ用!R:R)</f>
        <v>#N/A</v>
      </c>
      <c r="L737" t="e">
        <f t="shared" si="45"/>
        <v>#N/A</v>
      </c>
      <c r="M737" t="e">
        <f>_xlfn.XLOOKUP(L737,EGPro!A:A,EGPro!D:D)</f>
        <v>#N/A</v>
      </c>
      <c r="N737" t="e">
        <f>_xlfn.XLOOKUP(L737,EGPro!A:A,EGPro!C:C)</f>
        <v>#N/A</v>
      </c>
      <c r="O737" t="e">
        <f t="shared" si="46"/>
        <v>#N/A</v>
      </c>
      <c r="P737" t="e">
        <f>_xlfn.XLOOKUP(O737,EGPro!A:A,EGPro!D:D)</f>
        <v>#N/A</v>
      </c>
      <c r="Q737" t="e">
        <f>_xlfn.XLOOKUP(O737,EGPro!A:A,EGPro!C:C)</f>
        <v>#N/A</v>
      </c>
    </row>
    <row r="738" spans="1:17" x14ac:dyDescent="0.45">
      <c r="A738" s="3">
        <f>配列!B698</f>
        <v>0</v>
      </c>
      <c r="B738" s="3" t="e">
        <f>_xlfn.XLOOKUP(A738,対応表!A:A,対応表!B:B)</f>
        <v>#N/A</v>
      </c>
      <c r="C738" s="3">
        <f>配列!C698</f>
        <v>0</v>
      </c>
      <c r="D738" s="3" t="str">
        <f>IF(配列!E698="",RIGHT(配列!D698&amp;配列!E698,4)&amp;"L",RIGHT(配列!D698&amp;配列!E698,5))</f>
        <v>L</v>
      </c>
      <c r="E738" s="3">
        <f t="shared" si="44"/>
        <v>0</v>
      </c>
      <c r="F738" s="3" t="e">
        <f>_xlfn.XLOOKUP(E738,セットアップレポート_紐づけ用!A:A,セットアップレポート_紐づけ用!J:J)</f>
        <v>#N/A</v>
      </c>
      <c r="G738" s="3" t="e">
        <f>_xlfn.XLOOKUP(E738,セットアップレポート_紐づけ用!A:A,セットアップレポート_紐づけ用!V:V)</f>
        <v>#N/A</v>
      </c>
      <c r="H738" s="3">
        <f t="shared" si="47"/>
        <v>-2</v>
      </c>
      <c r="I738" t="str">
        <f>IF(J738=0,"",IF(配列!E738="",マクロ実行!$A$16 &amp;" T"&amp;H738&amp;"-"&amp;RIGHT(配列!D738&amp;配列!E738,2),マクロ実行!$A$16 &amp;" T"&amp;H738&amp;"-"&amp;RIGHT(配列!D738&amp;配列!E738,3)))</f>
        <v/>
      </c>
      <c r="J738">
        <f>配列!F698</f>
        <v>0</v>
      </c>
      <c r="K738" s="2" t="e">
        <f>_xlfn.XLOOKUP(E738,セットアップレポート_紐づけ用!A:A,セットアップレポート_紐づけ用!R:R)</f>
        <v>#N/A</v>
      </c>
      <c r="L738" t="e">
        <f t="shared" si="45"/>
        <v>#N/A</v>
      </c>
      <c r="M738" t="e">
        <f>_xlfn.XLOOKUP(L738,EGPro!A:A,EGPro!D:D)</f>
        <v>#N/A</v>
      </c>
      <c r="N738" t="e">
        <f>_xlfn.XLOOKUP(L738,EGPro!A:A,EGPro!C:C)</f>
        <v>#N/A</v>
      </c>
      <c r="O738" t="e">
        <f t="shared" si="46"/>
        <v>#N/A</v>
      </c>
      <c r="P738" t="e">
        <f>_xlfn.XLOOKUP(O738,EGPro!A:A,EGPro!D:D)</f>
        <v>#N/A</v>
      </c>
      <c r="Q738" t="e">
        <f>_xlfn.XLOOKUP(O738,EGPro!A:A,EGPro!C:C)</f>
        <v>#N/A</v>
      </c>
    </row>
    <row r="739" spans="1:17" x14ac:dyDescent="0.45">
      <c r="A739" s="3">
        <f>配列!B699</f>
        <v>0</v>
      </c>
      <c r="B739" s="3" t="e">
        <f>_xlfn.XLOOKUP(A739,対応表!A:A,対応表!B:B)</f>
        <v>#N/A</v>
      </c>
      <c r="C739" s="3">
        <f>配列!C699</f>
        <v>0</v>
      </c>
      <c r="D739" s="3" t="str">
        <f>IF(配列!E699="",RIGHT(配列!D699&amp;配列!E699,4)&amp;"L",RIGHT(配列!D699&amp;配列!E699,5))</f>
        <v>L</v>
      </c>
      <c r="E739" s="3">
        <f t="shared" si="44"/>
        <v>0</v>
      </c>
      <c r="F739" s="3" t="e">
        <f>_xlfn.XLOOKUP(E739,セットアップレポート_紐づけ用!A:A,セットアップレポート_紐づけ用!J:J)</f>
        <v>#N/A</v>
      </c>
      <c r="G739" s="3" t="e">
        <f>_xlfn.XLOOKUP(E739,セットアップレポート_紐づけ用!A:A,セットアップレポート_紐づけ用!V:V)</f>
        <v>#N/A</v>
      </c>
      <c r="H739" s="3">
        <f t="shared" si="47"/>
        <v>-2</v>
      </c>
      <c r="I739" t="str">
        <f>IF(J739=0,"",IF(配列!E739="",マクロ実行!$A$16 &amp;" T"&amp;H739&amp;"-"&amp;RIGHT(配列!D739&amp;配列!E739,2),マクロ実行!$A$16 &amp;" T"&amp;H739&amp;"-"&amp;RIGHT(配列!D739&amp;配列!E739,3)))</f>
        <v/>
      </c>
      <c r="J739">
        <f>配列!F699</f>
        <v>0</v>
      </c>
      <c r="K739" s="2" t="e">
        <f>_xlfn.XLOOKUP(E739,セットアップレポート_紐づけ用!A:A,セットアップレポート_紐づけ用!R:R)</f>
        <v>#N/A</v>
      </c>
      <c r="L739" t="e">
        <f t="shared" si="45"/>
        <v>#N/A</v>
      </c>
      <c r="M739" t="e">
        <f>_xlfn.XLOOKUP(L739,EGPro!A:A,EGPro!D:D)</f>
        <v>#N/A</v>
      </c>
      <c r="N739" t="e">
        <f>_xlfn.XLOOKUP(L739,EGPro!A:A,EGPro!C:C)</f>
        <v>#N/A</v>
      </c>
      <c r="O739" t="e">
        <f t="shared" si="46"/>
        <v>#N/A</v>
      </c>
      <c r="P739" t="e">
        <f>_xlfn.XLOOKUP(O739,EGPro!A:A,EGPro!D:D)</f>
        <v>#N/A</v>
      </c>
      <c r="Q739" t="e">
        <f>_xlfn.XLOOKUP(O739,EGPro!A:A,EGPro!C:C)</f>
        <v>#N/A</v>
      </c>
    </row>
    <row r="740" spans="1:17" x14ac:dyDescent="0.45">
      <c r="A740" s="3">
        <f>配列!B700</f>
        <v>0</v>
      </c>
      <c r="B740" s="3" t="e">
        <f>_xlfn.XLOOKUP(A740,対応表!A:A,対応表!B:B)</f>
        <v>#N/A</v>
      </c>
      <c r="C740" s="3">
        <f>配列!C700</f>
        <v>0</v>
      </c>
      <c r="D740" s="3" t="str">
        <f>IF(配列!E700="",RIGHT(配列!D700&amp;配列!E700,4)&amp;"L",RIGHT(配列!D700&amp;配列!E700,5))</f>
        <v>L</v>
      </c>
      <c r="E740" s="3">
        <f t="shared" si="44"/>
        <v>0</v>
      </c>
      <c r="F740" s="3" t="e">
        <f>_xlfn.XLOOKUP(E740,セットアップレポート_紐づけ用!A:A,セットアップレポート_紐づけ用!J:J)</f>
        <v>#N/A</v>
      </c>
      <c r="G740" s="3" t="e">
        <f>_xlfn.XLOOKUP(E740,セットアップレポート_紐づけ用!A:A,セットアップレポート_紐づけ用!V:V)</f>
        <v>#N/A</v>
      </c>
      <c r="H740" s="3">
        <f t="shared" si="47"/>
        <v>-2</v>
      </c>
      <c r="I740" t="str">
        <f>IF(J740=0,"",IF(配列!E740="",マクロ実行!$A$16 &amp;" T"&amp;H740&amp;"-"&amp;RIGHT(配列!D740&amp;配列!E740,2),マクロ実行!$A$16 &amp;" T"&amp;H740&amp;"-"&amp;RIGHT(配列!D740&amp;配列!E740,3)))</f>
        <v/>
      </c>
      <c r="J740">
        <f>配列!F700</f>
        <v>0</v>
      </c>
      <c r="K740" s="2" t="e">
        <f>_xlfn.XLOOKUP(E740,セットアップレポート_紐づけ用!A:A,セットアップレポート_紐づけ用!R:R)</f>
        <v>#N/A</v>
      </c>
      <c r="L740" t="e">
        <f t="shared" si="45"/>
        <v>#N/A</v>
      </c>
      <c r="M740" t="e">
        <f>_xlfn.XLOOKUP(L740,EGPro!A:A,EGPro!D:D)</f>
        <v>#N/A</v>
      </c>
      <c r="N740" t="e">
        <f>_xlfn.XLOOKUP(L740,EGPro!A:A,EGPro!C:C)</f>
        <v>#N/A</v>
      </c>
      <c r="O740" t="e">
        <f t="shared" si="46"/>
        <v>#N/A</v>
      </c>
      <c r="P740" t="e">
        <f>_xlfn.XLOOKUP(O740,EGPro!A:A,EGPro!D:D)</f>
        <v>#N/A</v>
      </c>
      <c r="Q740" t="e">
        <f>_xlfn.XLOOKUP(O740,EGPro!A:A,EGPro!C:C)</f>
        <v>#N/A</v>
      </c>
    </row>
    <row r="741" spans="1:17" x14ac:dyDescent="0.45">
      <c r="A741" s="3">
        <f>配列!B701</f>
        <v>0</v>
      </c>
      <c r="B741" s="3" t="e">
        <f>_xlfn.XLOOKUP(A741,対応表!A:A,対応表!B:B)</f>
        <v>#N/A</v>
      </c>
      <c r="C741" s="3">
        <f>配列!C701</f>
        <v>0</v>
      </c>
      <c r="D741" s="3" t="str">
        <f>IF(配列!E701="",RIGHT(配列!D701&amp;配列!E701,4)&amp;"L",RIGHT(配列!D701&amp;配列!E701,5))</f>
        <v>L</v>
      </c>
      <c r="E741" s="3">
        <f t="shared" si="44"/>
        <v>0</v>
      </c>
      <c r="F741" s="3" t="e">
        <f>_xlfn.XLOOKUP(E741,セットアップレポート_紐づけ用!A:A,セットアップレポート_紐づけ用!J:J)</f>
        <v>#N/A</v>
      </c>
      <c r="G741" s="3" t="e">
        <f>_xlfn.XLOOKUP(E741,セットアップレポート_紐づけ用!A:A,セットアップレポート_紐づけ用!V:V)</f>
        <v>#N/A</v>
      </c>
      <c r="H741" s="3">
        <f t="shared" si="47"/>
        <v>-2</v>
      </c>
      <c r="I741" t="str">
        <f>IF(J741=0,"",IF(配列!E741="",マクロ実行!$A$16 &amp;" T"&amp;H741&amp;"-"&amp;RIGHT(配列!D741&amp;配列!E741,2),マクロ実行!$A$16 &amp;" T"&amp;H741&amp;"-"&amp;RIGHT(配列!D741&amp;配列!E741,3)))</f>
        <v/>
      </c>
      <c r="J741">
        <f>配列!F701</f>
        <v>0</v>
      </c>
      <c r="K741" s="2" t="e">
        <f>_xlfn.XLOOKUP(E741,セットアップレポート_紐づけ用!A:A,セットアップレポート_紐づけ用!R:R)</f>
        <v>#N/A</v>
      </c>
      <c r="L741" t="e">
        <f t="shared" si="45"/>
        <v>#N/A</v>
      </c>
      <c r="M741" t="e">
        <f>_xlfn.XLOOKUP(L741,EGPro!A:A,EGPro!D:D)</f>
        <v>#N/A</v>
      </c>
      <c r="N741" t="e">
        <f>_xlfn.XLOOKUP(L741,EGPro!A:A,EGPro!C:C)</f>
        <v>#N/A</v>
      </c>
      <c r="O741" t="e">
        <f t="shared" si="46"/>
        <v>#N/A</v>
      </c>
      <c r="P741" t="e">
        <f>_xlfn.XLOOKUP(O741,EGPro!A:A,EGPro!D:D)</f>
        <v>#N/A</v>
      </c>
      <c r="Q741" t="e">
        <f>_xlfn.XLOOKUP(O741,EGPro!A:A,EGPro!C:C)</f>
        <v>#N/A</v>
      </c>
    </row>
    <row r="742" spans="1:17" x14ac:dyDescent="0.45">
      <c r="A742" s="3">
        <f>配列!B702</f>
        <v>0</v>
      </c>
      <c r="B742" s="3" t="e">
        <f>_xlfn.XLOOKUP(A742,対応表!A:A,対応表!B:B)</f>
        <v>#N/A</v>
      </c>
      <c r="C742" s="3">
        <f>配列!C702</f>
        <v>0</v>
      </c>
      <c r="D742" s="3" t="str">
        <f>IF(配列!E702="",RIGHT(配列!D702&amp;配列!E702,4)&amp;"L",RIGHT(配列!D702&amp;配列!E702,5))</f>
        <v>L</v>
      </c>
      <c r="E742" s="3">
        <f t="shared" si="44"/>
        <v>0</v>
      </c>
      <c r="F742" s="3" t="e">
        <f>_xlfn.XLOOKUP(E742,セットアップレポート_紐づけ用!A:A,セットアップレポート_紐づけ用!J:J)</f>
        <v>#N/A</v>
      </c>
      <c r="G742" s="3" t="e">
        <f>_xlfn.XLOOKUP(E742,セットアップレポート_紐づけ用!A:A,セットアップレポート_紐づけ用!V:V)</f>
        <v>#N/A</v>
      </c>
      <c r="H742" s="3">
        <f t="shared" si="47"/>
        <v>-2</v>
      </c>
      <c r="I742" t="str">
        <f>IF(J742=0,"",IF(配列!E742="",マクロ実行!$A$16 &amp;" T"&amp;H742&amp;"-"&amp;RIGHT(配列!D742&amp;配列!E742,2),マクロ実行!$A$16 &amp;" T"&amp;H742&amp;"-"&amp;RIGHT(配列!D742&amp;配列!E742,3)))</f>
        <v/>
      </c>
      <c r="J742">
        <f>配列!F702</f>
        <v>0</v>
      </c>
      <c r="K742" s="2" t="e">
        <f>_xlfn.XLOOKUP(E742,セットアップレポート_紐づけ用!A:A,セットアップレポート_紐づけ用!R:R)</f>
        <v>#N/A</v>
      </c>
      <c r="L742" t="e">
        <f t="shared" si="45"/>
        <v>#N/A</v>
      </c>
      <c r="M742" t="e">
        <f>_xlfn.XLOOKUP(L742,EGPro!A:A,EGPro!D:D)</f>
        <v>#N/A</v>
      </c>
      <c r="N742" t="e">
        <f>_xlfn.XLOOKUP(L742,EGPro!A:A,EGPro!C:C)</f>
        <v>#N/A</v>
      </c>
      <c r="O742" t="e">
        <f t="shared" si="46"/>
        <v>#N/A</v>
      </c>
      <c r="P742" t="e">
        <f>_xlfn.XLOOKUP(O742,EGPro!A:A,EGPro!D:D)</f>
        <v>#N/A</v>
      </c>
      <c r="Q742" t="e">
        <f>_xlfn.XLOOKUP(O742,EGPro!A:A,EGPro!C:C)</f>
        <v>#N/A</v>
      </c>
    </row>
    <row r="743" spans="1:17" x14ac:dyDescent="0.45">
      <c r="A743" s="3">
        <f>配列!B703</f>
        <v>0</v>
      </c>
      <c r="B743" s="3" t="e">
        <f>_xlfn.XLOOKUP(A743,対応表!A:A,対応表!B:B)</f>
        <v>#N/A</v>
      </c>
      <c r="C743" s="3">
        <f>配列!C703</f>
        <v>0</v>
      </c>
      <c r="D743" s="3" t="str">
        <f>IF(配列!E703="",RIGHT(配列!D703&amp;配列!E703,4)&amp;"L",RIGHT(配列!D703&amp;配列!E703,5))</f>
        <v>L</v>
      </c>
      <c r="E743" s="3">
        <f t="shared" si="44"/>
        <v>0</v>
      </c>
      <c r="F743" s="3" t="e">
        <f>_xlfn.XLOOKUP(E743,セットアップレポート_紐づけ用!A:A,セットアップレポート_紐づけ用!J:J)</f>
        <v>#N/A</v>
      </c>
      <c r="G743" s="3" t="e">
        <f>_xlfn.XLOOKUP(E743,セットアップレポート_紐づけ用!A:A,セットアップレポート_紐づけ用!V:V)</f>
        <v>#N/A</v>
      </c>
      <c r="H743" s="3">
        <f t="shared" si="47"/>
        <v>-2</v>
      </c>
      <c r="I743" t="str">
        <f>IF(J743=0,"",IF(配列!E743="",マクロ実行!$A$16 &amp;" T"&amp;H743&amp;"-"&amp;RIGHT(配列!D743&amp;配列!E743,2),マクロ実行!$A$16 &amp;" T"&amp;H743&amp;"-"&amp;RIGHT(配列!D743&amp;配列!E743,3)))</f>
        <v/>
      </c>
      <c r="J743">
        <f>配列!F703</f>
        <v>0</v>
      </c>
      <c r="K743" s="2" t="e">
        <f>_xlfn.XLOOKUP(E743,セットアップレポート_紐づけ用!A:A,セットアップレポート_紐づけ用!R:R)</f>
        <v>#N/A</v>
      </c>
      <c r="L743" t="e">
        <f t="shared" si="45"/>
        <v>#N/A</v>
      </c>
      <c r="M743" t="e">
        <f>_xlfn.XLOOKUP(L743,EGPro!A:A,EGPro!D:D)</f>
        <v>#N/A</v>
      </c>
      <c r="N743" t="e">
        <f>_xlfn.XLOOKUP(L743,EGPro!A:A,EGPro!C:C)</f>
        <v>#N/A</v>
      </c>
      <c r="O743" t="e">
        <f t="shared" si="46"/>
        <v>#N/A</v>
      </c>
      <c r="P743" t="e">
        <f>_xlfn.XLOOKUP(O743,EGPro!A:A,EGPro!D:D)</f>
        <v>#N/A</v>
      </c>
      <c r="Q743" t="e">
        <f>_xlfn.XLOOKUP(O743,EGPro!A:A,EGPro!C:C)</f>
        <v>#N/A</v>
      </c>
    </row>
    <row r="744" spans="1:17" x14ac:dyDescent="0.45">
      <c r="A744" s="3">
        <f>配列!B704</f>
        <v>0</v>
      </c>
      <c r="B744" s="3" t="e">
        <f>_xlfn.XLOOKUP(A744,対応表!A:A,対応表!B:B)</f>
        <v>#N/A</v>
      </c>
      <c r="C744" s="3">
        <f>配列!C704</f>
        <v>0</v>
      </c>
      <c r="D744" s="3" t="str">
        <f>IF(配列!E704="",RIGHT(配列!D704&amp;配列!E704,4)&amp;"L",RIGHT(配列!D704&amp;配列!E704,5))</f>
        <v>L</v>
      </c>
      <c r="E744" s="3">
        <f t="shared" si="44"/>
        <v>0</v>
      </c>
      <c r="F744" s="3" t="e">
        <f>_xlfn.XLOOKUP(E744,セットアップレポート_紐づけ用!A:A,セットアップレポート_紐づけ用!J:J)</f>
        <v>#N/A</v>
      </c>
      <c r="G744" s="3" t="e">
        <f>_xlfn.XLOOKUP(E744,セットアップレポート_紐づけ用!A:A,セットアップレポート_紐づけ用!V:V)</f>
        <v>#N/A</v>
      </c>
      <c r="H744" s="3">
        <f t="shared" si="47"/>
        <v>-2</v>
      </c>
      <c r="I744" t="str">
        <f>IF(J744=0,"",IF(配列!E744="",マクロ実行!$A$16 &amp;" T"&amp;H744&amp;"-"&amp;RIGHT(配列!D744&amp;配列!E744,2),マクロ実行!$A$16 &amp;" T"&amp;H744&amp;"-"&amp;RIGHT(配列!D744&amp;配列!E744,3)))</f>
        <v/>
      </c>
      <c r="J744">
        <f>配列!F704</f>
        <v>0</v>
      </c>
      <c r="K744" s="2" t="e">
        <f>_xlfn.XLOOKUP(E744,セットアップレポート_紐づけ用!A:A,セットアップレポート_紐づけ用!R:R)</f>
        <v>#N/A</v>
      </c>
      <c r="L744" t="e">
        <f t="shared" si="45"/>
        <v>#N/A</v>
      </c>
      <c r="M744" t="e">
        <f>_xlfn.XLOOKUP(L744,EGPro!A:A,EGPro!D:D)</f>
        <v>#N/A</v>
      </c>
      <c r="N744" t="e">
        <f>_xlfn.XLOOKUP(L744,EGPro!A:A,EGPro!C:C)</f>
        <v>#N/A</v>
      </c>
      <c r="O744" t="e">
        <f t="shared" si="46"/>
        <v>#N/A</v>
      </c>
      <c r="P744" t="e">
        <f>_xlfn.XLOOKUP(O744,EGPro!A:A,EGPro!D:D)</f>
        <v>#N/A</v>
      </c>
      <c r="Q744" t="e">
        <f>_xlfn.XLOOKUP(O744,EGPro!A:A,EGPro!C:C)</f>
        <v>#N/A</v>
      </c>
    </row>
    <row r="745" spans="1:17" x14ac:dyDescent="0.45">
      <c r="A745" s="3">
        <f>配列!B705</f>
        <v>0</v>
      </c>
      <c r="B745" s="3" t="e">
        <f>_xlfn.XLOOKUP(A745,対応表!A:A,対応表!B:B)</f>
        <v>#N/A</v>
      </c>
      <c r="C745" s="3">
        <f>配列!C705</f>
        <v>0</v>
      </c>
      <c r="D745" s="3" t="str">
        <f>IF(配列!E705="",RIGHT(配列!D705&amp;配列!E705,4)&amp;"L",RIGHT(配列!D705&amp;配列!E705,5))</f>
        <v>L</v>
      </c>
      <c r="E745" s="3">
        <f t="shared" si="44"/>
        <v>0</v>
      </c>
      <c r="F745" s="3" t="e">
        <f>_xlfn.XLOOKUP(E745,セットアップレポート_紐づけ用!A:A,セットアップレポート_紐づけ用!J:J)</f>
        <v>#N/A</v>
      </c>
      <c r="G745" s="3" t="e">
        <f>_xlfn.XLOOKUP(E745,セットアップレポート_紐づけ用!A:A,セットアップレポート_紐づけ用!V:V)</f>
        <v>#N/A</v>
      </c>
      <c r="H745" s="3">
        <f t="shared" si="47"/>
        <v>-2</v>
      </c>
      <c r="I745" t="str">
        <f>IF(J745=0,"",IF(配列!E745="",マクロ実行!$A$16 &amp;" T"&amp;H745&amp;"-"&amp;RIGHT(配列!D745&amp;配列!E745,2),マクロ実行!$A$16 &amp;" T"&amp;H745&amp;"-"&amp;RIGHT(配列!D745&amp;配列!E745,3)))</f>
        <v/>
      </c>
      <c r="J745">
        <f>配列!F705</f>
        <v>0</v>
      </c>
      <c r="K745" s="2" t="e">
        <f>_xlfn.XLOOKUP(E745,セットアップレポート_紐づけ用!A:A,セットアップレポート_紐づけ用!R:R)</f>
        <v>#N/A</v>
      </c>
      <c r="L745" t="e">
        <f t="shared" si="45"/>
        <v>#N/A</v>
      </c>
      <c r="M745" t="e">
        <f>_xlfn.XLOOKUP(L745,EGPro!A:A,EGPro!D:D)</f>
        <v>#N/A</v>
      </c>
      <c r="N745" t="e">
        <f>_xlfn.XLOOKUP(L745,EGPro!A:A,EGPro!C:C)</f>
        <v>#N/A</v>
      </c>
      <c r="O745" t="e">
        <f t="shared" si="46"/>
        <v>#N/A</v>
      </c>
      <c r="P745" t="e">
        <f>_xlfn.XLOOKUP(O745,EGPro!A:A,EGPro!D:D)</f>
        <v>#N/A</v>
      </c>
      <c r="Q745" t="e">
        <f>_xlfn.XLOOKUP(O745,EGPro!A:A,EGPro!C:C)</f>
        <v>#N/A</v>
      </c>
    </row>
    <row r="746" spans="1:17" x14ac:dyDescent="0.45">
      <c r="A746" s="3">
        <f>配列!B706</f>
        <v>0</v>
      </c>
      <c r="B746" s="3" t="e">
        <f>_xlfn.XLOOKUP(A746,対応表!A:A,対応表!B:B)</f>
        <v>#N/A</v>
      </c>
      <c r="C746" s="3">
        <f>配列!C706</f>
        <v>0</v>
      </c>
      <c r="D746" s="3" t="str">
        <f>IF(配列!E706="",RIGHT(配列!D706&amp;配列!E706,4)&amp;"L",RIGHT(配列!D706&amp;配列!E706,5))</f>
        <v>L</v>
      </c>
      <c r="E746" s="3">
        <f t="shared" si="44"/>
        <v>0</v>
      </c>
      <c r="F746" s="3" t="e">
        <f>_xlfn.XLOOKUP(E746,セットアップレポート_紐づけ用!A:A,セットアップレポート_紐づけ用!J:J)</f>
        <v>#N/A</v>
      </c>
      <c r="G746" s="3" t="e">
        <f>_xlfn.XLOOKUP(E746,セットアップレポート_紐づけ用!A:A,セットアップレポート_紐づけ用!V:V)</f>
        <v>#N/A</v>
      </c>
      <c r="H746" s="3">
        <f t="shared" si="47"/>
        <v>-2</v>
      </c>
      <c r="I746" t="str">
        <f>IF(J746=0,"",IF(配列!E746="",マクロ実行!$A$16 &amp;" T"&amp;H746&amp;"-"&amp;RIGHT(配列!D746&amp;配列!E746,2),マクロ実行!$A$16 &amp;" T"&amp;H746&amp;"-"&amp;RIGHT(配列!D746&amp;配列!E746,3)))</f>
        <v/>
      </c>
      <c r="J746">
        <f>配列!F706</f>
        <v>0</v>
      </c>
      <c r="K746" s="2" t="e">
        <f>_xlfn.XLOOKUP(E746,セットアップレポート_紐づけ用!A:A,セットアップレポート_紐づけ用!R:R)</f>
        <v>#N/A</v>
      </c>
      <c r="L746" t="e">
        <f t="shared" si="45"/>
        <v>#N/A</v>
      </c>
      <c r="M746" t="e">
        <f>_xlfn.XLOOKUP(L746,EGPro!A:A,EGPro!D:D)</f>
        <v>#N/A</v>
      </c>
      <c r="N746" t="e">
        <f>_xlfn.XLOOKUP(L746,EGPro!A:A,EGPro!C:C)</f>
        <v>#N/A</v>
      </c>
      <c r="O746" t="e">
        <f t="shared" si="46"/>
        <v>#N/A</v>
      </c>
      <c r="P746" t="e">
        <f>_xlfn.XLOOKUP(O746,EGPro!A:A,EGPro!D:D)</f>
        <v>#N/A</v>
      </c>
      <c r="Q746" t="e">
        <f>_xlfn.XLOOKUP(O746,EGPro!A:A,EGPro!C:C)</f>
        <v>#N/A</v>
      </c>
    </row>
    <row r="747" spans="1:17" x14ac:dyDescent="0.45">
      <c r="A747" s="3">
        <f>配列!B707</f>
        <v>0</v>
      </c>
      <c r="B747" s="3" t="e">
        <f>_xlfn.XLOOKUP(A747,対応表!A:A,対応表!B:B)</f>
        <v>#N/A</v>
      </c>
      <c r="C747" s="3">
        <f>配列!C707</f>
        <v>0</v>
      </c>
      <c r="D747" s="3" t="str">
        <f>IF(配列!E707="",RIGHT(配列!D707&amp;配列!E707,4)&amp;"L",RIGHT(配列!D707&amp;配列!E707,5))</f>
        <v>L</v>
      </c>
      <c r="E747" s="3">
        <f t="shared" si="44"/>
        <v>0</v>
      </c>
      <c r="F747" s="3" t="e">
        <f>_xlfn.XLOOKUP(E747,セットアップレポート_紐づけ用!A:A,セットアップレポート_紐づけ用!J:J)</f>
        <v>#N/A</v>
      </c>
      <c r="G747" s="3" t="e">
        <f>_xlfn.XLOOKUP(E747,セットアップレポート_紐づけ用!A:A,セットアップレポート_紐づけ用!V:V)</f>
        <v>#N/A</v>
      </c>
      <c r="H747" s="3">
        <f t="shared" si="47"/>
        <v>-2</v>
      </c>
      <c r="I747" t="str">
        <f>IF(J747=0,"",IF(配列!E747="",マクロ実行!$A$16 &amp;" T"&amp;H747&amp;"-"&amp;RIGHT(配列!D747&amp;配列!E747,2),マクロ実行!$A$16 &amp;" T"&amp;H747&amp;"-"&amp;RIGHT(配列!D747&amp;配列!E747,3)))</f>
        <v/>
      </c>
      <c r="J747">
        <f>配列!F707</f>
        <v>0</v>
      </c>
      <c r="K747" s="2" t="e">
        <f>_xlfn.XLOOKUP(E747,セットアップレポート_紐づけ用!A:A,セットアップレポート_紐づけ用!R:R)</f>
        <v>#N/A</v>
      </c>
      <c r="L747" t="e">
        <f t="shared" si="45"/>
        <v>#N/A</v>
      </c>
      <c r="M747" t="e">
        <f>_xlfn.XLOOKUP(L747,EGPro!A:A,EGPro!D:D)</f>
        <v>#N/A</v>
      </c>
      <c r="N747" t="e">
        <f>_xlfn.XLOOKUP(L747,EGPro!A:A,EGPro!C:C)</f>
        <v>#N/A</v>
      </c>
      <c r="O747" t="e">
        <f t="shared" si="46"/>
        <v>#N/A</v>
      </c>
      <c r="P747" t="e">
        <f>_xlfn.XLOOKUP(O747,EGPro!A:A,EGPro!D:D)</f>
        <v>#N/A</v>
      </c>
      <c r="Q747" t="e">
        <f>_xlfn.XLOOKUP(O747,EGPro!A:A,EGPro!C:C)</f>
        <v>#N/A</v>
      </c>
    </row>
    <row r="748" spans="1:17" x14ac:dyDescent="0.45">
      <c r="A748" s="3">
        <f>配列!B708</f>
        <v>0</v>
      </c>
      <c r="B748" s="3" t="e">
        <f>_xlfn.XLOOKUP(A748,対応表!A:A,対応表!B:B)</f>
        <v>#N/A</v>
      </c>
      <c r="C748" s="3">
        <f>配列!C708</f>
        <v>0</v>
      </c>
      <c r="D748" s="3" t="str">
        <f>IF(配列!E708="",RIGHT(配列!D708&amp;配列!E708,4)&amp;"L",RIGHT(配列!D708&amp;配列!E708,5))</f>
        <v>L</v>
      </c>
      <c r="E748" s="3">
        <f t="shared" si="44"/>
        <v>0</v>
      </c>
      <c r="F748" s="3" t="e">
        <f>_xlfn.XLOOKUP(E748,セットアップレポート_紐づけ用!A:A,セットアップレポート_紐づけ用!J:J)</f>
        <v>#N/A</v>
      </c>
      <c r="G748" s="3" t="e">
        <f>_xlfn.XLOOKUP(E748,セットアップレポート_紐づけ用!A:A,セットアップレポート_紐づけ用!V:V)</f>
        <v>#N/A</v>
      </c>
      <c r="H748" s="3">
        <f t="shared" si="47"/>
        <v>-2</v>
      </c>
      <c r="I748" t="str">
        <f>IF(J748=0,"",IF(配列!E748="",マクロ実行!$A$16 &amp;" T"&amp;H748&amp;"-"&amp;RIGHT(配列!D748&amp;配列!E748,2),マクロ実行!$A$16 &amp;" T"&amp;H748&amp;"-"&amp;RIGHT(配列!D748&amp;配列!E748,3)))</f>
        <v/>
      </c>
      <c r="J748">
        <f>配列!F708</f>
        <v>0</v>
      </c>
      <c r="K748" s="2" t="e">
        <f>_xlfn.XLOOKUP(E748,セットアップレポート_紐づけ用!A:A,セットアップレポート_紐づけ用!R:R)</f>
        <v>#N/A</v>
      </c>
      <c r="L748" t="e">
        <f t="shared" si="45"/>
        <v>#N/A</v>
      </c>
      <c r="M748" t="e">
        <f>_xlfn.XLOOKUP(L748,EGPro!A:A,EGPro!D:D)</f>
        <v>#N/A</v>
      </c>
      <c r="N748" t="e">
        <f>_xlfn.XLOOKUP(L748,EGPro!A:A,EGPro!C:C)</f>
        <v>#N/A</v>
      </c>
      <c r="O748" t="e">
        <f t="shared" si="46"/>
        <v>#N/A</v>
      </c>
      <c r="P748" t="e">
        <f>_xlfn.XLOOKUP(O748,EGPro!A:A,EGPro!D:D)</f>
        <v>#N/A</v>
      </c>
      <c r="Q748" t="e">
        <f>_xlfn.XLOOKUP(O748,EGPro!A:A,EGPro!C:C)</f>
        <v>#N/A</v>
      </c>
    </row>
    <row r="749" spans="1:17" x14ac:dyDescent="0.45">
      <c r="A749" s="3">
        <f>配列!B709</f>
        <v>0</v>
      </c>
      <c r="B749" s="3" t="e">
        <f>_xlfn.XLOOKUP(A749,対応表!A:A,対応表!B:B)</f>
        <v>#N/A</v>
      </c>
      <c r="C749" s="3">
        <f>配列!C709</f>
        <v>0</v>
      </c>
      <c r="D749" s="3" t="str">
        <f>IF(配列!E709="",RIGHT(配列!D709&amp;配列!E709,4)&amp;"L",RIGHT(配列!D709&amp;配列!E709,5))</f>
        <v>L</v>
      </c>
      <c r="E749" s="3">
        <f t="shared" si="44"/>
        <v>0</v>
      </c>
      <c r="F749" s="3" t="e">
        <f>_xlfn.XLOOKUP(E749,セットアップレポート_紐づけ用!A:A,セットアップレポート_紐づけ用!J:J)</f>
        <v>#N/A</v>
      </c>
      <c r="G749" s="3" t="e">
        <f>_xlfn.XLOOKUP(E749,セットアップレポート_紐づけ用!A:A,セットアップレポート_紐づけ用!V:V)</f>
        <v>#N/A</v>
      </c>
      <c r="H749" s="3">
        <f t="shared" si="47"/>
        <v>-2</v>
      </c>
      <c r="I749" t="str">
        <f>IF(J749=0,"",IF(配列!E749="",マクロ実行!$A$16 &amp;" T"&amp;H749&amp;"-"&amp;RIGHT(配列!D749&amp;配列!E749,2),マクロ実行!$A$16 &amp;" T"&amp;H749&amp;"-"&amp;RIGHT(配列!D749&amp;配列!E749,3)))</f>
        <v/>
      </c>
      <c r="J749">
        <f>配列!F709</f>
        <v>0</v>
      </c>
      <c r="K749" s="2" t="e">
        <f>_xlfn.XLOOKUP(E749,セットアップレポート_紐づけ用!A:A,セットアップレポート_紐づけ用!R:R)</f>
        <v>#N/A</v>
      </c>
      <c r="L749" t="e">
        <f t="shared" si="45"/>
        <v>#N/A</v>
      </c>
      <c r="M749" t="e">
        <f>_xlfn.XLOOKUP(L749,EGPro!A:A,EGPro!D:D)</f>
        <v>#N/A</v>
      </c>
      <c r="N749" t="e">
        <f>_xlfn.XLOOKUP(L749,EGPro!A:A,EGPro!C:C)</f>
        <v>#N/A</v>
      </c>
      <c r="O749" t="e">
        <f t="shared" si="46"/>
        <v>#N/A</v>
      </c>
      <c r="P749" t="e">
        <f>_xlfn.XLOOKUP(O749,EGPro!A:A,EGPro!D:D)</f>
        <v>#N/A</v>
      </c>
      <c r="Q749" t="e">
        <f>_xlfn.XLOOKUP(O749,EGPro!A:A,EGPro!C:C)</f>
        <v>#N/A</v>
      </c>
    </row>
    <row r="750" spans="1:17" x14ac:dyDescent="0.45">
      <c r="A750" s="3">
        <f>配列!B710</f>
        <v>0</v>
      </c>
      <c r="B750" s="3" t="e">
        <f>_xlfn.XLOOKUP(A750,対応表!A:A,対応表!B:B)</f>
        <v>#N/A</v>
      </c>
      <c r="C750" s="3">
        <f>配列!C710</f>
        <v>0</v>
      </c>
      <c r="D750" s="3" t="str">
        <f>IF(配列!E710="",RIGHT(配列!D710&amp;配列!E710,4)&amp;"L",RIGHT(配列!D710&amp;配列!E710,5))</f>
        <v>L</v>
      </c>
      <c r="E750" s="3">
        <f t="shared" si="44"/>
        <v>0</v>
      </c>
      <c r="F750" s="3" t="e">
        <f>_xlfn.XLOOKUP(E750,セットアップレポート_紐づけ用!A:A,セットアップレポート_紐づけ用!J:J)</f>
        <v>#N/A</v>
      </c>
      <c r="G750" s="3" t="e">
        <f>_xlfn.XLOOKUP(E750,セットアップレポート_紐づけ用!A:A,セットアップレポート_紐づけ用!V:V)</f>
        <v>#N/A</v>
      </c>
      <c r="H750" s="3">
        <f t="shared" si="47"/>
        <v>-2</v>
      </c>
      <c r="I750" t="str">
        <f>IF(J750=0,"",IF(配列!E750="",マクロ実行!$A$16 &amp;" T"&amp;H750&amp;"-"&amp;RIGHT(配列!D750&amp;配列!E750,2),マクロ実行!$A$16 &amp;" T"&amp;H750&amp;"-"&amp;RIGHT(配列!D750&amp;配列!E750,3)))</f>
        <v/>
      </c>
      <c r="J750">
        <f>配列!F710</f>
        <v>0</v>
      </c>
      <c r="K750" s="2" t="e">
        <f>_xlfn.XLOOKUP(E750,セットアップレポート_紐づけ用!A:A,セットアップレポート_紐づけ用!R:R)</f>
        <v>#N/A</v>
      </c>
      <c r="L750" t="e">
        <f t="shared" si="45"/>
        <v>#N/A</v>
      </c>
      <c r="M750" t="e">
        <f>_xlfn.XLOOKUP(L750,EGPro!A:A,EGPro!D:D)</f>
        <v>#N/A</v>
      </c>
      <c r="N750" t="e">
        <f>_xlfn.XLOOKUP(L750,EGPro!A:A,EGPro!C:C)</f>
        <v>#N/A</v>
      </c>
      <c r="O750" t="e">
        <f t="shared" si="46"/>
        <v>#N/A</v>
      </c>
      <c r="P750" t="e">
        <f>_xlfn.XLOOKUP(O750,EGPro!A:A,EGPro!D:D)</f>
        <v>#N/A</v>
      </c>
      <c r="Q750" t="e">
        <f>_xlfn.XLOOKUP(O750,EGPro!A:A,EGPro!C:C)</f>
        <v>#N/A</v>
      </c>
    </row>
    <row r="751" spans="1:17" x14ac:dyDescent="0.45">
      <c r="A751" s="3">
        <f>配列!B711</f>
        <v>0</v>
      </c>
      <c r="B751" s="3" t="e">
        <f>_xlfn.XLOOKUP(A751,対応表!A:A,対応表!B:B)</f>
        <v>#N/A</v>
      </c>
      <c r="C751" s="3">
        <f>配列!C711</f>
        <v>0</v>
      </c>
      <c r="D751" s="3" t="str">
        <f>IF(配列!E711="",RIGHT(配列!D711&amp;配列!E711,4)&amp;"L",RIGHT(配列!D711&amp;配列!E711,5))</f>
        <v>L</v>
      </c>
      <c r="E751" s="3">
        <f t="shared" si="44"/>
        <v>0</v>
      </c>
      <c r="F751" s="3" t="e">
        <f>_xlfn.XLOOKUP(E751,セットアップレポート_紐づけ用!A:A,セットアップレポート_紐づけ用!J:J)</f>
        <v>#N/A</v>
      </c>
      <c r="G751" s="3" t="e">
        <f>_xlfn.XLOOKUP(E751,セットアップレポート_紐づけ用!A:A,セットアップレポート_紐づけ用!V:V)</f>
        <v>#N/A</v>
      </c>
      <c r="H751" s="3">
        <f t="shared" si="47"/>
        <v>-2</v>
      </c>
      <c r="I751" t="str">
        <f>IF(J751=0,"",IF(配列!E751="",マクロ実行!$A$16 &amp;" T"&amp;H751&amp;"-"&amp;RIGHT(配列!D751&amp;配列!E751,2),マクロ実行!$A$16 &amp;" T"&amp;H751&amp;"-"&amp;RIGHT(配列!D751&amp;配列!E751,3)))</f>
        <v/>
      </c>
      <c r="J751">
        <f>配列!F711</f>
        <v>0</v>
      </c>
      <c r="K751" s="2" t="e">
        <f>_xlfn.XLOOKUP(E751,セットアップレポート_紐づけ用!A:A,セットアップレポート_紐づけ用!R:R)</f>
        <v>#N/A</v>
      </c>
      <c r="L751" t="e">
        <f t="shared" si="45"/>
        <v>#N/A</v>
      </c>
      <c r="M751" t="e">
        <f>_xlfn.XLOOKUP(L751,EGPro!A:A,EGPro!D:D)</f>
        <v>#N/A</v>
      </c>
      <c r="N751" t="e">
        <f>_xlfn.XLOOKUP(L751,EGPro!A:A,EGPro!C:C)</f>
        <v>#N/A</v>
      </c>
      <c r="O751" t="e">
        <f t="shared" si="46"/>
        <v>#N/A</v>
      </c>
      <c r="P751" t="e">
        <f>_xlfn.XLOOKUP(O751,EGPro!A:A,EGPro!D:D)</f>
        <v>#N/A</v>
      </c>
      <c r="Q751" t="e">
        <f>_xlfn.XLOOKUP(O751,EGPro!A:A,EGPro!C:C)</f>
        <v>#N/A</v>
      </c>
    </row>
    <row r="752" spans="1:17" x14ac:dyDescent="0.45">
      <c r="A752" s="3">
        <f>配列!B712</f>
        <v>0</v>
      </c>
      <c r="B752" s="3" t="e">
        <f>_xlfn.XLOOKUP(A752,対応表!A:A,対応表!B:B)</f>
        <v>#N/A</v>
      </c>
      <c r="C752" s="3">
        <f>配列!C712</f>
        <v>0</v>
      </c>
      <c r="D752" s="3" t="str">
        <f>IF(配列!E712="",RIGHT(配列!D712&amp;配列!E712,4)&amp;"L",RIGHT(配列!D712&amp;配列!E712,5))</f>
        <v>L</v>
      </c>
      <c r="E752" s="3">
        <f t="shared" si="44"/>
        <v>0</v>
      </c>
      <c r="F752" s="3" t="e">
        <f>_xlfn.XLOOKUP(E752,セットアップレポート_紐づけ用!A:A,セットアップレポート_紐づけ用!J:J)</f>
        <v>#N/A</v>
      </c>
      <c r="G752" s="3" t="e">
        <f>_xlfn.XLOOKUP(E752,セットアップレポート_紐づけ用!A:A,セットアップレポート_紐づけ用!V:V)</f>
        <v>#N/A</v>
      </c>
      <c r="H752" s="3">
        <f t="shared" si="47"/>
        <v>-2</v>
      </c>
      <c r="I752" t="str">
        <f>IF(J752=0,"",IF(配列!E752="",マクロ実行!$A$16 &amp;" T"&amp;H752&amp;"-"&amp;RIGHT(配列!D752&amp;配列!E752,2),マクロ実行!$A$16 &amp;" T"&amp;H752&amp;"-"&amp;RIGHT(配列!D752&amp;配列!E752,3)))</f>
        <v/>
      </c>
      <c r="J752">
        <f>配列!F712</f>
        <v>0</v>
      </c>
      <c r="K752" s="2" t="e">
        <f>_xlfn.XLOOKUP(E752,セットアップレポート_紐づけ用!A:A,セットアップレポート_紐づけ用!R:R)</f>
        <v>#N/A</v>
      </c>
      <c r="L752" t="e">
        <f t="shared" si="45"/>
        <v>#N/A</v>
      </c>
      <c r="M752" t="e">
        <f>_xlfn.XLOOKUP(L752,EGPro!A:A,EGPro!D:D)</f>
        <v>#N/A</v>
      </c>
      <c r="N752" t="e">
        <f>_xlfn.XLOOKUP(L752,EGPro!A:A,EGPro!C:C)</f>
        <v>#N/A</v>
      </c>
      <c r="O752" t="e">
        <f t="shared" si="46"/>
        <v>#N/A</v>
      </c>
      <c r="P752" t="e">
        <f>_xlfn.XLOOKUP(O752,EGPro!A:A,EGPro!D:D)</f>
        <v>#N/A</v>
      </c>
      <c r="Q752" t="e">
        <f>_xlfn.XLOOKUP(O752,EGPro!A:A,EGPro!C:C)</f>
        <v>#N/A</v>
      </c>
    </row>
    <row r="753" spans="1:17" x14ac:dyDescent="0.45">
      <c r="A753" s="3">
        <f>配列!B713</f>
        <v>0</v>
      </c>
      <c r="B753" s="3" t="e">
        <f>_xlfn.XLOOKUP(A753,対応表!A:A,対応表!B:B)</f>
        <v>#N/A</v>
      </c>
      <c r="C753" s="3">
        <f>配列!C713</f>
        <v>0</v>
      </c>
      <c r="D753" s="3" t="str">
        <f>IF(配列!E713="",RIGHT(配列!D713&amp;配列!E713,4)&amp;"L",RIGHT(配列!D713&amp;配列!E713,5))</f>
        <v>L</v>
      </c>
      <c r="E753" s="3">
        <f t="shared" si="44"/>
        <v>0</v>
      </c>
      <c r="F753" s="3" t="e">
        <f>_xlfn.XLOOKUP(E753,セットアップレポート_紐づけ用!A:A,セットアップレポート_紐づけ用!J:J)</f>
        <v>#N/A</v>
      </c>
      <c r="G753" s="3" t="e">
        <f>_xlfn.XLOOKUP(E753,セットアップレポート_紐づけ用!A:A,セットアップレポート_紐づけ用!V:V)</f>
        <v>#N/A</v>
      </c>
      <c r="H753" s="3">
        <f t="shared" si="47"/>
        <v>-2</v>
      </c>
      <c r="I753" t="str">
        <f>IF(J753=0,"",IF(配列!E753="",マクロ実行!$A$16 &amp;" T"&amp;H753&amp;"-"&amp;RIGHT(配列!D753&amp;配列!E753,2),マクロ実行!$A$16 &amp;" T"&amp;H753&amp;"-"&amp;RIGHT(配列!D753&amp;配列!E753,3)))</f>
        <v/>
      </c>
      <c r="J753">
        <f>配列!F713</f>
        <v>0</v>
      </c>
      <c r="K753" s="2" t="e">
        <f>_xlfn.XLOOKUP(E753,セットアップレポート_紐づけ用!A:A,セットアップレポート_紐づけ用!R:R)</f>
        <v>#N/A</v>
      </c>
      <c r="L753" t="e">
        <f t="shared" si="45"/>
        <v>#N/A</v>
      </c>
      <c r="M753" t="e">
        <f>_xlfn.XLOOKUP(L753,EGPro!A:A,EGPro!D:D)</f>
        <v>#N/A</v>
      </c>
      <c r="N753" t="e">
        <f>_xlfn.XLOOKUP(L753,EGPro!A:A,EGPro!C:C)</f>
        <v>#N/A</v>
      </c>
      <c r="O753" t="e">
        <f t="shared" si="46"/>
        <v>#N/A</v>
      </c>
      <c r="P753" t="e">
        <f>_xlfn.XLOOKUP(O753,EGPro!A:A,EGPro!D:D)</f>
        <v>#N/A</v>
      </c>
      <c r="Q753" t="e">
        <f>_xlfn.XLOOKUP(O753,EGPro!A:A,EGPro!C:C)</f>
        <v>#N/A</v>
      </c>
    </row>
    <row r="754" spans="1:17" x14ac:dyDescent="0.45">
      <c r="A754" s="3">
        <f>配列!B714</f>
        <v>0</v>
      </c>
      <c r="B754" s="3" t="e">
        <f>_xlfn.XLOOKUP(A754,対応表!A:A,対応表!B:B)</f>
        <v>#N/A</v>
      </c>
      <c r="C754" s="3">
        <f>配列!C714</f>
        <v>0</v>
      </c>
      <c r="D754" s="3" t="str">
        <f>IF(配列!E714="",RIGHT(配列!D714&amp;配列!E714,4)&amp;"L",RIGHT(配列!D714&amp;配列!E714,5))</f>
        <v>L</v>
      </c>
      <c r="E754" s="3">
        <f t="shared" si="44"/>
        <v>0</v>
      </c>
      <c r="F754" s="3" t="e">
        <f>_xlfn.XLOOKUP(E754,セットアップレポート_紐づけ用!A:A,セットアップレポート_紐づけ用!J:J)</f>
        <v>#N/A</v>
      </c>
      <c r="G754" s="3" t="e">
        <f>_xlfn.XLOOKUP(E754,セットアップレポート_紐づけ用!A:A,セットアップレポート_紐づけ用!V:V)</f>
        <v>#N/A</v>
      </c>
      <c r="H754" s="3">
        <f t="shared" si="47"/>
        <v>-2</v>
      </c>
      <c r="I754" t="str">
        <f>IF(J754=0,"",IF(配列!E754="",マクロ実行!$A$16 &amp;" T"&amp;H754&amp;"-"&amp;RIGHT(配列!D754&amp;配列!E754,2),マクロ実行!$A$16 &amp;" T"&amp;H754&amp;"-"&amp;RIGHT(配列!D754&amp;配列!E754,3)))</f>
        <v/>
      </c>
      <c r="J754">
        <f>配列!F714</f>
        <v>0</v>
      </c>
      <c r="K754" s="2" t="e">
        <f>_xlfn.XLOOKUP(E754,セットアップレポート_紐づけ用!A:A,セットアップレポート_紐づけ用!R:R)</f>
        <v>#N/A</v>
      </c>
      <c r="L754" t="e">
        <f t="shared" si="45"/>
        <v>#N/A</v>
      </c>
      <c r="M754" t="e">
        <f>_xlfn.XLOOKUP(L754,EGPro!A:A,EGPro!D:D)</f>
        <v>#N/A</v>
      </c>
      <c r="N754" t="e">
        <f>_xlfn.XLOOKUP(L754,EGPro!A:A,EGPro!C:C)</f>
        <v>#N/A</v>
      </c>
      <c r="O754" t="e">
        <f t="shared" si="46"/>
        <v>#N/A</v>
      </c>
      <c r="P754" t="e">
        <f>_xlfn.XLOOKUP(O754,EGPro!A:A,EGPro!D:D)</f>
        <v>#N/A</v>
      </c>
      <c r="Q754" t="e">
        <f>_xlfn.XLOOKUP(O754,EGPro!A:A,EGPro!C:C)</f>
        <v>#N/A</v>
      </c>
    </row>
    <row r="755" spans="1:17" x14ac:dyDescent="0.45">
      <c r="A755" s="3">
        <f>配列!B715</f>
        <v>0</v>
      </c>
      <c r="B755" s="3" t="e">
        <f>_xlfn.XLOOKUP(A755,対応表!A:A,対応表!B:B)</f>
        <v>#N/A</v>
      </c>
      <c r="C755" s="3">
        <f>配列!C715</f>
        <v>0</v>
      </c>
      <c r="D755" s="3" t="str">
        <f>IF(配列!E715="",RIGHT(配列!D715&amp;配列!E715,4)&amp;"L",RIGHT(配列!D715&amp;配列!E715,5))</f>
        <v>L</v>
      </c>
      <c r="E755" s="3">
        <f t="shared" si="44"/>
        <v>0</v>
      </c>
      <c r="F755" s="3" t="e">
        <f>_xlfn.XLOOKUP(E755,セットアップレポート_紐づけ用!A:A,セットアップレポート_紐づけ用!J:J)</f>
        <v>#N/A</v>
      </c>
      <c r="G755" s="3" t="e">
        <f>_xlfn.XLOOKUP(E755,セットアップレポート_紐づけ用!A:A,セットアップレポート_紐づけ用!V:V)</f>
        <v>#N/A</v>
      </c>
      <c r="H755" s="3">
        <f t="shared" si="47"/>
        <v>-2</v>
      </c>
      <c r="I755" t="str">
        <f>IF(J755=0,"",IF(配列!E755="",マクロ実行!$A$16 &amp;" T"&amp;H755&amp;"-"&amp;RIGHT(配列!D755&amp;配列!E755,2),マクロ実行!$A$16 &amp;" T"&amp;H755&amp;"-"&amp;RIGHT(配列!D755&amp;配列!E755,3)))</f>
        <v/>
      </c>
      <c r="J755">
        <f>配列!F715</f>
        <v>0</v>
      </c>
      <c r="K755" s="2" t="e">
        <f>_xlfn.XLOOKUP(E755,セットアップレポート_紐づけ用!A:A,セットアップレポート_紐づけ用!R:R)</f>
        <v>#N/A</v>
      </c>
      <c r="L755" t="e">
        <f t="shared" si="45"/>
        <v>#N/A</v>
      </c>
      <c r="M755" t="e">
        <f>_xlfn.XLOOKUP(L755,EGPro!A:A,EGPro!D:D)</f>
        <v>#N/A</v>
      </c>
      <c r="N755" t="e">
        <f>_xlfn.XLOOKUP(L755,EGPro!A:A,EGPro!C:C)</f>
        <v>#N/A</v>
      </c>
      <c r="O755" t="e">
        <f t="shared" si="46"/>
        <v>#N/A</v>
      </c>
      <c r="P755" t="e">
        <f>_xlfn.XLOOKUP(O755,EGPro!A:A,EGPro!D:D)</f>
        <v>#N/A</v>
      </c>
      <c r="Q755" t="e">
        <f>_xlfn.XLOOKUP(O755,EGPro!A:A,EGPro!C:C)</f>
        <v>#N/A</v>
      </c>
    </row>
    <row r="756" spans="1:17" x14ac:dyDescent="0.45">
      <c r="A756" s="3">
        <f>配列!B716</f>
        <v>0</v>
      </c>
      <c r="B756" s="3" t="e">
        <f>_xlfn.XLOOKUP(A756,対応表!A:A,対応表!B:B)</f>
        <v>#N/A</v>
      </c>
      <c r="C756" s="3">
        <f>配列!C716</f>
        <v>0</v>
      </c>
      <c r="D756" s="3" t="str">
        <f>IF(配列!E716="",RIGHT(配列!D716&amp;配列!E716,4)&amp;"L",RIGHT(配列!D716&amp;配列!E716,5))</f>
        <v>L</v>
      </c>
      <c r="E756" s="3">
        <f t="shared" si="44"/>
        <v>0</v>
      </c>
      <c r="F756" s="3" t="e">
        <f>_xlfn.XLOOKUP(E756,セットアップレポート_紐づけ用!A:A,セットアップレポート_紐づけ用!J:J)</f>
        <v>#N/A</v>
      </c>
      <c r="G756" s="3" t="e">
        <f>_xlfn.XLOOKUP(E756,セットアップレポート_紐づけ用!A:A,セットアップレポート_紐づけ用!V:V)</f>
        <v>#N/A</v>
      </c>
      <c r="H756" s="3">
        <f t="shared" si="47"/>
        <v>-2</v>
      </c>
      <c r="I756" t="str">
        <f>IF(J756=0,"",IF(配列!E756="",マクロ実行!$A$16 &amp;" T"&amp;H756&amp;"-"&amp;RIGHT(配列!D756&amp;配列!E756,2),マクロ実行!$A$16 &amp;" T"&amp;H756&amp;"-"&amp;RIGHT(配列!D756&amp;配列!E756,3)))</f>
        <v/>
      </c>
      <c r="J756">
        <f>配列!F716</f>
        <v>0</v>
      </c>
      <c r="K756" s="2" t="e">
        <f>_xlfn.XLOOKUP(E756,セットアップレポート_紐づけ用!A:A,セットアップレポート_紐づけ用!R:R)</f>
        <v>#N/A</v>
      </c>
      <c r="L756" t="e">
        <f t="shared" si="45"/>
        <v>#N/A</v>
      </c>
      <c r="M756" t="e">
        <f>_xlfn.XLOOKUP(L756,EGPro!A:A,EGPro!D:D)</f>
        <v>#N/A</v>
      </c>
      <c r="N756" t="e">
        <f>_xlfn.XLOOKUP(L756,EGPro!A:A,EGPro!C:C)</f>
        <v>#N/A</v>
      </c>
      <c r="O756" t="e">
        <f t="shared" si="46"/>
        <v>#N/A</v>
      </c>
      <c r="P756" t="e">
        <f>_xlfn.XLOOKUP(O756,EGPro!A:A,EGPro!D:D)</f>
        <v>#N/A</v>
      </c>
      <c r="Q756" t="e">
        <f>_xlfn.XLOOKUP(O756,EGPro!A:A,EGPro!C:C)</f>
        <v>#N/A</v>
      </c>
    </row>
    <row r="757" spans="1:17" x14ac:dyDescent="0.45">
      <c r="A757" s="3">
        <f>配列!B717</f>
        <v>0</v>
      </c>
      <c r="B757" s="3" t="e">
        <f>_xlfn.XLOOKUP(A757,対応表!A:A,対応表!B:B)</f>
        <v>#N/A</v>
      </c>
      <c r="C757" s="3">
        <f>配列!C717</f>
        <v>0</v>
      </c>
      <c r="D757" s="3" t="str">
        <f>IF(配列!E717="",RIGHT(配列!D717&amp;配列!E717,4)&amp;"L",RIGHT(配列!D717&amp;配列!E717,5))</f>
        <v>L</v>
      </c>
      <c r="E757" s="3">
        <f t="shared" si="44"/>
        <v>0</v>
      </c>
      <c r="F757" s="3" t="e">
        <f>_xlfn.XLOOKUP(E757,セットアップレポート_紐づけ用!A:A,セットアップレポート_紐づけ用!J:J)</f>
        <v>#N/A</v>
      </c>
      <c r="G757" s="3" t="e">
        <f>_xlfn.XLOOKUP(E757,セットアップレポート_紐づけ用!A:A,セットアップレポート_紐づけ用!V:V)</f>
        <v>#N/A</v>
      </c>
      <c r="H757" s="3">
        <f t="shared" si="47"/>
        <v>-2</v>
      </c>
      <c r="I757" t="str">
        <f>IF(J757=0,"",IF(配列!E757="",マクロ実行!$A$16 &amp;" T"&amp;H757&amp;"-"&amp;RIGHT(配列!D757&amp;配列!E757,2),マクロ実行!$A$16 &amp;" T"&amp;H757&amp;"-"&amp;RIGHT(配列!D757&amp;配列!E757,3)))</f>
        <v/>
      </c>
      <c r="J757">
        <f>配列!F717</f>
        <v>0</v>
      </c>
      <c r="K757" s="2" t="e">
        <f>_xlfn.XLOOKUP(E757,セットアップレポート_紐づけ用!A:A,セットアップレポート_紐づけ用!R:R)</f>
        <v>#N/A</v>
      </c>
      <c r="L757" t="e">
        <f t="shared" si="45"/>
        <v>#N/A</v>
      </c>
      <c r="M757" t="e">
        <f>_xlfn.XLOOKUP(L757,EGPro!A:A,EGPro!D:D)</f>
        <v>#N/A</v>
      </c>
      <c r="N757" t="e">
        <f>_xlfn.XLOOKUP(L757,EGPro!A:A,EGPro!C:C)</f>
        <v>#N/A</v>
      </c>
      <c r="O757" t="e">
        <f t="shared" si="46"/>
        <v>#N/A</v>
      </c>
      <c r="P757" t="e">
        <f>_xlfn.XLOOKUP(O757,EGPro!A:A,EGPro!D:D)</f>
        <v>#N/A</v>
      </c>
      <c r="Q757" t="e">
        <f>_xlfn.XLOOKUP(O757,EGPro!A:A,EGPro!C:C)</f>
        <v>#N/A</v>
      </c>
    </row>
    <row r="758" spans="1:17" x14ac:dyDescent="0.45">
      <c r="A758" s="3">
        <f>配列!B718</f>
        <v>0</v>
      </c>
      <c r="B758" s="3" t="e">
        <f>_xlfn.XLOOKUP(A758,対応表!A:A,対応表!B:B)</f>
        <v>#N/A</v>
      </c>
      <c r="C758" s="3">
        <f>配列!C718</f>
        <v>0</v>
      </c>
      <c r="D758" s="3" t="str">
        <f>IF(配列!E718="",RIGHT(配列!D718&amp;配列!E718,4)&amp;"L",RIGHT(配列!D718&amp;配列!E718,5))</f>
        <v>L</v>
      </c>
      <c r="E758" s="3">
        <f t="shared" si="44"/>
        <v>0</v>
      </c>
      <c r="F758" s="3" t="e">
        <f>_xlfn.XLOOKUP(E758,セットアップレポート_紐づけ用!A:A,セットアップレポート_紐づけ用!J:J)</f>
        <v>#N/A</v>
      </c>
      <c r="G758" s="3" t="e">
        <f>_xlfn.XLOOKUP(E758,セットアップレポート_紐づけ用!A:A,セットアップレポート_紐づけ用!V:V)</f>
        <v>#N/A</v>
      </c>
      <c r="H758" s="3">
        <f t="shared" si="47"/>
        <v>-2</v>
      </c>
      <c r="I758" t="str">
        <f>IF(J758=0,"",IF(配列!E758="",マクロ実行!$A$16 &amp;" T"&amp;H758&amp;"-"&amp;RIGHT(配列!D758&amp;配列!E758,2),マクロ実行!$A$16 &amp;" T"&amp;H758&amp;"-"&amp;RIGHT(配列!D758&amp;配列!E758,3)))</f>
        <v/>
      </c>
      <c r="J758">
        <f>配列!F718</f>
        <v>0</v>
      </c>
      <c r="K758" s="2" t="e">
        <f>_xlfn.XLOOKUP(E758,セットアップレポート_紐づけ用!A:A,セットアップレポート_紐づけ用!R:R)</f>
        <v>#N/A</v>
      </c>
      <c r="L758" t="e">
        <f t="shared" si="45"/>
        <v>#N/A</v>
      </c>
      <c r="M758" t="e">
        <f>_xlfn.XLOOKUP(L758,EGPro!A:A,EGPro!D:D)</f>
        <v>#N/A</v>
      </c>
      <c r="N758" t="e">
        <f>_xlfn.XLOOKUP(L758,EGPro!A:A,EGPro!C:C)</f>
        <v>#N/A</v>
      </c>
      <c r="O758" t="e">
        <f t="shared" si="46"/>
        <v>#N/A</v>
      </c>
      <c r="P758" t="e">
        <f>_xlfn.XLOOKUP(O758,EGPro!A:A,EGPro!D:D)</f>
        <v>#N/A</v>
      </c>
      <c r="Q758" t="e">
        <f>_xlfn.XLOOKUP(O758,EGPro!A:A,EGPro!C:C)</f>
        <v>#N/A</v>
      </c>
    </row>
    <row r="759" spans="1:17" x14ac:dyDescent="0.45">
      <c r="A759" s="3">
        <f>配列!B719</f>
        <v>0</v>
      </c>
      <c r="B759" s="3" t="e">
        <f>_xlfn.XLOOKUP(A759,対応表!A:A,対応表!B:B)</f>
        <v>#N/A</v>
      </c>
      <c r="C759" s="3">
        <f>配列!C719</f>
        <v>0</v>
      </c>
      <c r="D759" s="3" t="str">
        <f>IF(配列!E719="",RIGHT(配列!D719&amp;配列!E719,4)&amp;"L",RIGHT(配列!D719&amp;配列!E719,5))</f>
        <v>L</v>
      </c>
      <c r="E759" s="3">
        <f t="shared" si="44"/>
        <v>0</v>
      </c>
      <c r="F759" s="3" t="e">
        <f>_xlfn.XLOOKUP(E759,セットアップレポート_紐づけ用!A:A,セットアップレポート_紐づけ用!J:J)</f>
        <v>#N/A</v>
      </c>
      <c r="G759" s="3" t="e">
        <f>_xlfn.XLOOKUP(E759,セットアップレポート_紐づけ用!A:A,セットアップレポート_紐づけ用!V:V)</f>
        <v>#N/A</v>
      </c>
      <c r="H759" s="3">
        <f t="shared" si="47"/>
        <v>-2</v>
      </c>
      <c r="I759" t="str">
        <f>IF(J759=0,"",IF(配列!E759="",マクロ実行!$A$16 &amp;" T"&amp;H759&amp;"-"&amp;RIGHT(配列!D759&amp;配列!E759,2),マクロ実行!$A$16 &amp;" T"&amp;H759&amp;"-"&amp;RIGHT(配列!D759&amp;配列!E759,3)))</f>
        <v/>
      </c>
      <c r="J759">
        <f>配列!F719</f>
        <v>0</v>
      </c>
      <c r="K759" s="2" t="e">
        <f>_xlfn.XLOOKUP(E759,セットアップレポート_紐づけ用!A:A,セットアップレポート_紐づけ用!R:R)</f>
        <v>#N/A</v>
      </c>
      <c r="L759" t="e">
        <f t="shared" si="45"/>
        <v>#N/A</v>
      </c>
      <c r="M759" t="e">
        <f>_xlfn.XLOOKUP(L759,EGPro!A:A,EGPro!D:D)</f>
        <v>#N/A</v>
      </c>
      <c r="N759" t="e">
        <f>_xlfn.XLOOKUP(L759,EGPro!A:A,EGPro!C:C)</f>
        <v>#N/A</v>
      </c>
      <c r="O759" t="e">
        <f t="shared" si="46"/>
        <v>#N/A</v>
      </c>
      <c r="P759" t="e">
        <f>_xlfn.XLOOKUP(O759,EGPro!A:A,EGPro!D:D)</f>
        <v>#N/A</v>
      </c>
      <c r="Q759" t="e">
        <f>_xlfn.XLOOKUP(O759,EGPro!A:A,EGPro!C:C)</f>
        <v>#N/A</v>
      </c>
    </row>
    <row r="760" spans="1:17" x14ac:dyDescent="0.45">
      <c r="A760" s="3">
        <f>配列!B720</f>
        <v>0</v>
      </c>
      <c r="B760" s="3" t="e">
        <f>_xlfn.XLOOKUP(A760,対応表!A:A,対応表!B:B)</f>
        <v>#N/A</v>
      </c>
      <c r="C760" s="3">
        <f>配列!C720</f>
        <v>0</v>
      </c>
      <c r="D760" s="3" t="str">
        <f>IF(配列!E720="",RIGHT(配列!D720&amp;配列!E720,4)&amp;"L",RIGHT(配列!D720&amp;配列!E720,5))</f>
        <v>L</v>
      </c>
      <c r="E760" s="3">
        <f t="shared" si="44"/>
        <v>0</v>
      </c>
      <c r="F760" s="3" t="e">
        <f>_xlfn.XLOOKUP(E760,セットアップレポート_紐づけ用!A:A,セットアップレポート_紐づけ用!J:J)</f>
        <v>#N/A</v>
      </c>
      <c r="G760" s="3" t="e">
        <f>_xlfn.XLOOKUP(E760,セットアップレポート_紐づけ用!A:A,セットアップレポート_紐づけ用!V:V)</f>
        <v>#N/A</v>
      </c>
      <c r="H760" s="3">
        <f t="shared" si="47"/>
        <v>-2</v>
      </c>
      <c r="I760" t="str">
        <f>IF(J760=0,"",IF(配列!E760="",マクロ実行!$A$16 &amp;" T"&amp;H760&amp;"-"&amp;RIGHT(配列!D760&amp;配列!E760,2),マクロ実行!$A$16 &amp;" T"&amp;H760&amp;"-"&amp;RIGHT(配列!D760&amp;配列!E760,3)))</f>
        <v/>
      </c>
      <c r="J760">
        <f>配列!F720</f>
        <v>0</v>
      </c>
      <c r="K760" s="2" t="e">
        <f>_xlfn.XLOOKUP(E760,セットアップレポート_紐づけ用!A:A,セットアップレポート_紐づけ用!R:R)</f>
        <v>#N/A</v>
      </c>
      <c r="L760" t="e">
        <f t="shared" si="45"/>
        <v>#N/A</v>
      </c>
      <c r="M760" t="e">
        <f>_xlfn.XLOOKUP(L760,EGPro!A:A,EGPro!D:D)</f>
        <v>#N/A</v>
      </c>
      <c r="N760" t="e">
        <f>_xlfn.XLOOKUP(L760,EGPro!A:A,EGPro!C:C)</f>
        <v>#N/A</v>
      </c>
      <c r="O760" t="e">
        <f t="shared" si="46"/>
        <v>#N/A</v>
      </c>
      <c r="P760" t="e">
        <f>_xlfn.XLOOKUP(O760,EGPro!A:A,EGPro!D:D)</f>
        <v>#N/A</v>
      </c>
      <c r="Q760" t="e">
        <f>_xlfn.XLOOKUP(O760,EGPro!A:A,EGPro!C:C)</f>
        <v>#N/A</v>
      </c>
    </row>
    <row r="761" spans="1:17" x14ac:dyDescent="0.45">
      <c r="A761" s="3">
        <f>配列!B721</f>
        <v>0</v>
      </c>
      <c r="B761" s="3" t="e">
        <f>_xlfn.XLOOKUP(A761,対応表!A:A,対応表!B:B)</f>
        <v>#N/A</v>
      </c>
      <c r="C761" s="3">
        <f>配列!C721</f>
        <v>0</v>
      </c>
      <c r="D761" s="3" t="str">
        <f>IF(配列!E721="",RIGHT(配列!D721&amp;配列!E721,4)&amp;"L",RIGHT(配列!D721&amp;配列!E721,5))</f>
        <v>L</v>
      </c>
      <c r="E761" s="3">
        <f t="shared" si="44"/>
        <v>0</v>
      </c>
      <c r="F761" s="3" t="e">
        <f>_xlfn.XLOOKUP(E761,セットアップレポート_紐づけ用!A:A,セットアップレポート_紐づけ用!J:J)</f>
        <v>#N/A</v>
      </c>
      <c r="G761" s="3" t="e">
        <f>_xlfn.XLOOKUP(E761,セットアップレポート_紐づけ用!A:A,セットアップレポート_紐づけ用!V:V)</f>
        <v>#N/A</v>
      </c>
      <c r="H761" s="3">
        <f t="shared" si="47"/>
        <v>-2</v>
      </c>
      <c r="I761" t="str">
        <f>IF(J761=0,"",IF(配列!E761="",マクロ実行!$A$16 &amp;" T"&amp;H761&amp;"-"&amp;RIGHT(配列!D761&amp;配列!E761,2),マクロ実行!$A$16 &amp;" T"&amp;H761&amp;"-"&amp;RIGHT(配列!D761&amp;配列!E761,3)))</f>
        <v/>
      </c>
      <c r="J761">
        <f>配列!F721</f>
        <v>0</v>
      </c>
      <c r="K761" s="2" t="e">
        <f>_xlfn.XLOOKUP(E761,セットアップレポート_紐づけ用!A:A,セットアップレポート_紐づけ用!R:R)</f>
        <v>#N/A</v>
      </c>
      <c r="L761" t="e">
        <f t="shared" si="45"/>
        <v>#N/A</v>
      </c>
      <c r="M761" t="e">
        <f>_xlfn.XLOOKUP(L761,EGPro!A:A,EGPro!D:D)</f>
        <v>#N/A</v>
      </c>
      <c r="N761" t="e">
        <f>_xlfn.XLOOKUP(L761,EGPro!A:A,EGPro!C:C)</f>
        <v>#N/A</v>
      </c>
      <c r="O761" t="e">
        <f t="shared" si="46"/>
        <v>#N/A</v>
      </c>
      <c r="P761" t="e">
        <f>_xlfn.XLOOKUP(O761,EGPro!A:A,EGPro!D:D)</f>
        <v>#N/A</v>
      </c>
      <c r="Q761" t="e">
        <f>_xlfn.XLOOKUP(O761,EGPro!A:A,EGPro!C:C)</f>
        <v>#N/A</v>
      </c>
    </row>
    <row r="762" spans="1:17" x14ac:dyDescent="0.45">
      <c r="A762" s="3">
        <f>配列!B722</f>
        <v>0</v>
      </c>
      <c r="B762" s="3" t="e">
        <f>_xlfn.XLOOKUP(A762,対応表!A:A,対応表!B:B)</f>
        <v>#N/A</v>
      </c>
      <c r="C762" s="3">
        <f>配列!C722</f>
        <v>0</v>
      </c>
      <c r="D762" s="3" t="str">
        <f>IF(配列!E722="",RIGHT(配列!D722&amp;配列!E722,4)&amp;"L",RIGHT(配列!D722&amp;配列!E722,5))</f>
        <v>L</v>
      </c>
      <c r="E762" s="3">
        <f t="shared" si="44"/>
        <v>0</v>
      </c>
      <c r="F762" s="3" t="e">
        <f>_xlfn.XLOOKUP(E762,セットアップレポート_紐づけ用!A:A,セットアップレポート_紐づけ用!J:J)</f>
        <v>#N/A</v>
      </c>
      <c r="G762" s="3" t="e">
        <f>_xlfn.XLOOKUP(E762,セットアップレポート_紐づけ用!A:A,セットアップレポート_紐づけ用!V:V)</f>
        <v>#N/A</v>
      </c>
      <c r="H762" s="3">
        <f t="shared" si="47"/>
        <v>-2</v>
      </c>
      <c r="I762" t="str">
        <f>IF(J762=0,"",IF(配列!E762="",マクロ実行!$A$16 &amp;" T"&amp;H762&amp;"-"&amp;RIGHT(配列!D762&amp;配列!E762,2),マクロ実行!$A$16 &amp;" T"&amp;H762&amp;"-"&amp;RIGHT(配列!D762&amp;配列!E762,3)))</f>
        <v/>
      </c>
      <c r="J762">
        <f>配列!F722</f>
        <v>0</v>
      </c>
      <c r="K762" s="2" t="e">
        <f>_xlfn.XLOOKUP(E762,セットアップレポート_紐づけ用!A:A,セットアップレポート_紐づけ用!R:R)</f>
        <v>#N/A</v>
      </c>
      <c r="L762" t="e">
        <f t="shared" si="45"/>
        <v>#N/A</v>
      </c>
      <c r="M762" t="e">
        <f>_xlfn.XLOOKUP(L762,EGPro!A:A,EGPro!D:D)</f>
        <v>#N/A</v>
      </c>
      <c r="N762" t="e">
        <f>_xlfn.XLOOKUP(L762,EGPro!A:A,EGPro!C:C)</f>
        <v>#N/A</v>
      </c>
      <c r="O762" t="e">
        <f t="shared" si="46"/>
        <v>#N/A</v>
      </c>
      <c r="P762" t="e">
        <f>_xlfn.XLOOKUP(O762,EGPro!A:A,EGPro!D:D)</f>
        <v>#N/A</v>
      </c>
      <c r="Q762" t="e">
        <f>_xlfn.XLOOKUP(O762,EGPro!A:A,EGPro!C:C)</f>
        <v>#N/A</v>
      </c>
    </row>
    <row r="763" spans="1:17" x14ac:dyDescent="0.45">
      <c r="A763" s="3">
        <f>配列!B723</f>
        <v>0</v>
      </c>
      <c r="B763" s="3" t="e">
        <f>_xlfn.XLOOKUP(A763,対応表!A:A,対応表!B:B)</f>
        <v>#N/A</v>
      </c>
      <c r="C763" s="3">
        <f>配列!C723</f>
        <v>0</v>
      </c>
      <c r="D763" s="3" t="str">
        <f>IF(配列!E723="",RIGHT(配列!D723&amp;配列!E723,4)&amp;"L",RIGHT(配列!D723&amp;配列!E723,5))</f>
        <v>L</v>
      </c>
      <c r="E763" s="3">
        <f t="shared" si="44"/>
        <v>0</v>
      </c>
      <c r="F763" s="3" t="e">
        <f>_xlfn.XLOOKUP(E763,セットアップレポート_紐づけ用!A:A,セットアップレポート_紐づけ用!J:J)</f>
        <v>#N/A</v>
      </c>
      <c r="G763" s="3" t="e">
        <f>_xlfn.XLOOKUP(E763,セットアップレポート_紐づけ用!A:A,セットアップレポート_紐づけ用!V:V)</f>
        <v>#N/A</v>
      </c>
      <c r="H763" s="3">
        <f t="shared" si="47"/>
        <v>-2</v>
      </c>
      <c r="I763" t="str">
        <f>IF(J763=0,"",IF(配列!E763="",マクロ実行!$A$16 &amp;" T"&amp;H763&amp;"-"&amp;RIGHT(配列!D763&amp;配列!E763,2),マクロ実行!$A$16 &amp;" T"&amp;H763&amp;"-"&amp;RIGHT(配列!D763&amp;配列!E763,3)))</f>
        <v/>
      </c>
      <c r="J763">
        <f>配列!F723</f>
        <v>0</v>
      </c>
      <c r="K763" s="2" t="e">
        <f>_xlfn.XLOOKUP(E763,セットアップレポート_紐づけ用!A:A,セットアップレポート_紐づけ用!R:R)</f>
        <v>#N/A</v>
      </c>
      <c r="L763" t="e">
        <f t="shared" si="45"/>
        <v>#N/A</v>
      </c>
      <c r="M763" t="e">
        <f>_xlfn.XLOOKUP(L763,EGPro!A:A,EGPro!D:D)</f>
        <v>#N/A</v>
      </c>
      <c r="N763" t="e">
        <f>_xlfn.XLOOKUP(L763,EGPro!A:A,EGPro!C:C)</f>
        <v>#N/A</v>
      </c>
      <c r="O763" t="e">
        <f t="shared" si="46"/>
        <v>#N/A</v>
      </c>
      <c r="P763" t="e">
        <f>_xlfn.XLOOKUP(O763,EGPro!A:A,EGPro!D:D)</f>
        <v>#N/A</v>
      </c>
      <c r="Q763" t="e">
        <f>_xlfn.XLOOKUP(O763,EGPro!A:A,EGPro!C:C)</f>
        <v>#N/A</v>
      </c>
    </row>
    <row r="764" spans="1:17" x14ac:dyDescent="0.45">
      <c r="A764" s="3">
        <f>配列!B724</f>
        <v>0</v>
      </c>
      <c r="B764" s="3" t="e">
        <f>_xlfn.XLOOKUP(A764,対応表!A:A,対応表!B:B)</f>
        <v>#N/A</v>
      </c>
      <c r="C764" s="3">
        <f>配列!C724</f>
        <v>0</v>
      </c>
      <c r="D764" s="3" t="str">
        <f>IF(配列!E724="",RIGHT(配列!D724&amp;配列!E724,4)&amp;"L",RIGHT(配列!D724&amp;配列!E724,5))</f>
        <v>L</v>
      </c>
      <c r="E764" s="3">
        <f t="shared" si="44"/>
        <v>0</v>
      </c>
      <c r="F764" s="3" t="e">
        <f>_xlfn.XLOOKUP(E764,セットアップレポート_紐づけ用!A:A,セットアップレポート_紐づけ用!J:J)</f>
        <v>#N/A</v>
      </c>
      <c r="G764" s="3" t="e">
        <f>_xlfn.XLOOKUP(E764,セットアップレポート_紐づけ用!A:A,セットアップレポート_紐づけ用!V:V)</f>
        <v>#N/A</v>
      </c>
      <c r="H764" s="3">
        <f t="shared" si="47"/>
        <v>-2</v>
      </c>
      <c r="I764" t="str">
        <f>IF(J764=0,"",IF(配列!E764="",マクロ実行!$A$16 &amp;" T"&amp;H764&amp;"-"&amp;RIGHT(配列!D764&amp;配列!E764,2),マクロ実行!$A$16 &amp;" T"&amp;H764&amp;"-"&amp;RIGHT(配列!D764&amp;配列!E764,3)))</f>
        <v/>
      </c>
      <c r="J764">
        <f>配列!F724</f>
        <v>0</v>
      </c>
      <c r="K764" s="2" t="e">
        <f>_xlfn.XLOOKUP(E764,セットアップレポート_紐づけ用!A:A,セットアップレポート_紐づけ用!R:R)</f>
        <v>#N/A</v>
      </c>
      <c r="L764" t="e">
        <f t="shared" si="45"/>
        <v>#N/A</v>
      </c>
      <c r="M764" t="e">
        <f>_xlfn.XLOOKUP(L764,EGPro!A:A,EGPro!D:D)</f>
        <v>#N/A</v>
      </c>
      <c r="N764" t="e">
        <f>_xlfn.XLOOKUP(L764,EGPro!A:A,EGPro!C:C)</f>
        <v>#N/A</v>
      </c>
      <c r="O764" t="e">
        <f t="shared" si="46"/>
        <v>#N/A</v>
      </c>
      <c r="P764" t="e">
        <f>_xlfn.XLOOKUP(O764,EGPro!A:A,EGPro!D:D)</f>
        <v>#N/A</v>
      </c>
      <c r="Q764" t="e">
        <f>_xlfn.XLOOKUP(O764,EGPro!A:A,EGPro!C:C)</f>
        <v>#N/A</v>
      </c>
    </row>
    <row r="765" spans="1:17" x14ac:dyDescent="0.45">
      <c r="A765" s="3">
        <f>配列!B725</f>
        <v>0</v>
      </c>
      <c r="B765" s="3" t="e">
        <f>_xlfn.XLOOKUP(A765,対応表!A:A,対応表!B:B)</f>
        <v>#N/A</v>
      </c>
      <c r="C765" s="3">
        <f>配列!C725</f>
        <v>0</v>
      </c>
      <c r="D765" s="3" t="str">
        <f>IF(配列!E725="",RIGHT(配列!D725&amp;配列!E725,4)&amp;"L",RIGHT(配列!D725&amp;配列!E725,5))</f>
        <v>L</v>
      </c>
      <c r="E765" s="3">
        <f t="shared" si="44"/>
        <v>0</v>
      </c>
      <c r="F765" s="3" t="e">
        <f>_xlfn.XLOOKUP(E765,セットアップレポート_紐づけ用!A:A,セットアップレポート_紐づけ用!J:J)</f>
        <v>#N/A</v>
      </c>
      <c r="G765" s="3" t="e">
        <f>_xlfn.XLOOKUP(E765,セットアップレポート_紐づけ用!A:A,セットアップレポート_紐づけ用!V:V)</f>
        <v>#N/A</v>
      </c>
      <c r="H765" s="3">
        <f t="shared" si="47"/>
        <v>-2</v>
      </c>
      <c r="I765" t="str">
        <f>IF(J765=0,"",IF(配列!E765="",マクロ実行!$A$16 &amp;" T"&amp;H765&amp;"-"&amp;RIGHT(配列!D765&amp;配列!E765,2),マクロ実行!$A$16 &amp;" T"&amp;H765&amp;"-"&amp;RIGHT(配列!D765&amp;配列!E765,3)))</f>
        <v/>
      </c>
      <c r="J765">
        <f>配列!F725</f>
        <v>0</v>
      </c>
      <c r="K765" s="2" t="e">
        <f>_xlfn.XLOOKUP(E765,セットアップレポート_紐づけ用!A:A,セットアップレポート_紐づけ用!R:R)</f>
        <v>#N/A</v>
      </c>
      <c r="L765" t="e">
        <f t="shared" si="45"/>
        <v>#N/A</v>
      </c>
      <c r="M765" t="e">
        <f>_xlfn.XLOOKUP(L765,EGPro!A:A,EGPro!D:D)</f>
        <v>#N/A</v>
      </c>
      <c r="N765" t="e">
        <f>_xlfn.XLOOKUP(L765,EGPro!A:A,EGPro!C:C)</f>
        <v>#N/A</v>
      </c>
      <c r="O765" t="e">
        <f t="shared" si="46"/>
        <v>#N/A</v>
      </c>
      <c r="P765" t="e">
        <f>_xlfn.XLOOKUP(O765,EGPro!A:A,EGPro!D:D)</f>
        <v>#N/A</v>
      </c>
      <c r="Q765" t="e">
        <f>_xlfn.XLOOKUP(O765,EGPro!A:A,EGPro!C:C)</f>
        <v>#N/A</v>
      </c>
    </row>
    <row r="766" spans="1:17" x14ac:dyDescent="0.45">
      <c r="A766" s="3">
        <f>配列!B726</f>
        <v>0</v>
      </c>
      <c r="B766" s="3" t="e">
        <f>_xlfn.XLOOKUP(A766,対応表!A:A,対応表!B:B)</f>
        <v>#N/A</v>
      </c>
      <c r="C766" s="3">
        <f>配列!C726</f>
        <v>0</v>
      </c>
      <c r="D766" s="3" t="str">
        <f>IF(配列!E726="",RIGHT(配列!D726&amp;配列!E726,4)&amp;"L",RIGHT(配列!D726&amp;配列!E726,5))</f>
        <v>L</v>
      </c>
      <c r="E766" s="3">
        <f t="shared" si="44"/>
        <v>0</v>
      </c>
      <c r="F766" s="3" t="e">
        <f>_xlfn.XLOOKUP(E766,セットアップレポート_紐づけ用!A:A,セットアップレポート_紐づけ用!J:J)</f>
        <v>#N/A</v>
      </c>
      <c r="G766" s="3" t="e">
        <f>_xlfn.XLOOKUP(E766,セットアップレポート_紐づけ用!A:A,セットアップレポート_紐づけ用!V:V)</f>
        <v>#N/A</v>
      </c>
      <c r="H766" s="3">
        <f t="shared" si="47"/>
        <v>-2</v>
      </c>
      <c r="I766" t="str">
        <f>IF(J766=0,"",IF(配列!E766="",マクロ実行!$A$16 &amp;" T"&amp;H766&amp;"-"&amp;RIGHT(配列!D766&amp;配列!E766,2),マクロ実行!$A$16 &amp;" T"&amp;H766&amp;"-"&amp;RIGHT(配列!D766&amp;配列!E766,3)))</f>
        <v/>
      </c>
      <c r="J766">
        <f>配列!F726</f>
        <v>0</v>
      </c>
      <c r="K766" s="2" t="e">
        <f>_xlfn.XLOOKUP(E766,セットアップレポート_紐づけ用!A:A,セットアップレポート_紐づけ用!R:R)</f>
        <v>#N/A</v>
      </c>
      <c r="L766" t="e">
        <f t="shared" si="45"/>
        <v>#N/A</v>
      </c>
      <c r="M766" t="e">
        <f>_xlfn.XLOOKUP(L766,EGPro!A:A,EGPro!D:D)</f>
        <v>#N/A</v>
      </c>
      <c r="N766" t="e">
        <f>_xlfn.XLOOKUP(L766,EGPro!A:A,EGPro!C:C)</f>
        <v>#N/A</v>
      </c>
      <c r="O766" t="e">
        <f t="shared" si="46"/>
        <v>#N/A</v>
      </c>
      <c r="P766" t="e">
        <f>_xlfn.XLOOKUP(O766,EGPro!A:A,EGPro!D:D)</f>
        <v>#N/A</v>
      </c>
      <c r="Q766" t="e">
        <f>_xlfn.XLOOKUP(O766,EGPro!A:A,EGPro!C:C)</f>
        <v>#N/A</v>
      </c>
    </row>
    <row r="767" spans="1:17" x14ac:dyDescent="0.45">
      <c r="A767" s="3">
        <f>配列!B727</f>
        <v>0</v>
      </c>
      <c r="B767" s="3" t="e">
        <f>_xlfn.XLOOKUP(A767,対応表!A:A,対応表!B:B)</f>
        <v>#N/A</v>
      </c>
      <c r="C767" s="3">
        <f>配列!C727</f>
        <v>0</v>
      </c>
      <c r="D767" s="3" t="str">
        <f>IF(配列!E727="",RIGHT(配列!D727&amp;配列!E727,4)&amp;"L",RIGHT(配列!D727&amp;配列!E727,5))</f>
        <v>L</v>
      </c>
      <c r="E767" s="3">
        <f t="shared" si="44"/>
        <v>0</v>
      </c>
      <c r="F767" s="3" t="e">
        <f>_xlfn.XLOOKUP(E767,セットアップレポート_紐づけ用!A:A,セットアップレポート_紐づけ用!J:J)</f>
        <v>#N/A</v>
      </c>
      <c r="G767" s="3" t="e">
        <f>_xlfn.XLOOKUP(E767,セットアップレポート_紐づけ用!A:A,セットアップレポート_紐づけ用!V:V)</f>
        <v>#N/A</v>
      </c>
      <c r="H767" s="3">
        <f t="shared" si="47"/>
        <v>-2</v>
      </c>
      <c r="I767" t="str">
        <f>IF(J767=0,"",IF(配列!E767="",マクロ実行!$A$16 &amp;" T"&amp;H767&amp;"-"&amp;RIGHT(配列!D767&amp;配列!E767,2),マクロ実行!$A$16 &amp;" T"&amp;H767&amp;"-"&amp;RIGHT(配列!D767&amp;配列!E767,3)))</f>
        <v/>
      </c>
      <c r="J767">
        <f>配列!F727</f>
        <v>0</v>
      </c>
      <c r="K767" s="2" t="e">
        <f>_xlfn.XLOOKUP(E767,セットアップレポート_紐づけ用!A:A,セットアップレポート_紐づけ用!R:R)</f>
        <v>#N/A</v>
      </c>
      <c r="L767" t="e">
        <f t="shared" si="45"/>
        <v>#N/A</v>
      </c>
      <c r="M767" t="e">
        <f>_xlfn.XLOOKUP(L767,EGPro!A:A,EGPro!D:D)</f>
        <v>#N/A</v>
      </c>
      <c r="N767" t="e">
        <f>_xlfn.XLOOKUP(L767,EGPro!A:A,EGPro!C:C)</f>
        <v>#N/A</v>
      </c>
      <c r="O767" t="e">
        <f t="shared" si="46"/>
        <v>#N/A</v>
      </c>
      <c r="P767" t="e">
        <f>_xlfn.XLOOKUP(O767,EGPro!A:A,EGPro!D:D)</f>
        <v>#N/A</v>
      </c>
      <c r="Q767" t="e">
        <f>_xlfn.XLOOKUP(O767,EGPro!A:A,EGPro!C:C)</f>
        <v>#N/A</v>
      </c>
    </row>
    <row r="768" spans="1:17" x14ac:dyDescent="0.45">
      <c r="A768" s="3">
        <f>配列!B728</f>
        <v>0</v>
      </c>
      <c r="B768" s="3" t="e">
        <f>_xlfn.XLOOKUP(A768,対応表!A:A,対応表!B:B)</f>
        <v>#N/A</v>
      </c>
      <c r="C768" s="3">
        <f>配列!C728</f>
        <v>0</v>
      </c>
      <c r="D768" s="3" t="str">
        <f>IF(配列!E728="",RIGHT(配列!D728&amp;配列!E728,4)&amp;"L",RIGHT(配列!D728&amp;配列!E728,5))</f>
        <v>L</v>
      </c>
      <c r="E768" s="3">
        <f t="shared" si="44"/>
        <v>0</v>
      </c>
      <c r="F768" s="3" t="e">
        <f>_xlfn.XLOOKUP(E768,セットアップレポート_紐づけ用!A:A,セットアップレポート_紐づけ用!J:J)</f>
        <v>#N/A</v>
      </c>
      <c r="G768" s="3" t="e">
        <f>_xlfn.XLOOKUP(E768,セットアップレポート_紐づけ用!A:A,セットアップレポート_紐づけ用!V:V)</f>
        <v>#N/A</v>
      </c>
      <c r="H768" s="3">
        <f t="shared" si="47"/>
        <v>-2</v>
      </c>
      <c r="I768" t="str">
        <f>IF(J768=0,"",IF(配列!E768="",マクロ実行!$A$16 &amp;" T"&amp;H768&amp;"-"&amp;RIGHT(配列!D768&amp;配列!E768,2),マクロ実行!$A$16 &amp;" T"&amp;H768&amp;"-"&amp;RIGHT(配列!D768&amp;配列!E768,3)))</f>
        <v/>
      </c>
      <c r="J768">
        <f>配列!F728</f>
        <v>0</v>
      </c>
      <c r="K768" s="2" t="e">
        <f>_xlfn.XLOOKUP(E768,セットアップレポート_紐づけ用!A:A,セットアップレポート_紐づけ用!R:R)</f>
        <v>#N/A</v>
      </c>
      <c r="L768" t="e">
        <f t="shared" si="45"/>
        <v>#N/A</v>
      </c>
      <c r="M768" t="e">
        <f>_xlfn.XLOOKUP(L768,EGPro!A:A,EGPro!D:D)</f>
        <v>#N/A</v>
      </c>
      <c r="N768" t="e">
        <f>_xlfn.XLOOKUP(L768,EGPro!A:A,EGPro!C:C)</f>
        <v>#N/A</v>
      </c>
      <c r="O768" t="e">
        <f t="shared" si="46"/>
        <v>#N/A</v>
      </c>
      <c r="P768" t="e">
        <f>_xlfn.XLOOKUP(O768,EGPro!A:A,EGPro!D:D)</f>
        <v>#N/A</v>
      </c>
      <c r="Q768" t="e">
        <f>_xlfn.XLOOKUP(O768,EGPro!A:A,EGPro!C:C)</f>
        <v>#N/A</v>
      </c>
    </row>
    <row r="769" spans="1:17" x14ac:dyDescent="0.45">
      <c r="A769" s="3">
        <f>配列!B729</f>
        <v>0</v>
      </c>
      <c r="B769" s="3" t="e">
        <f>_xlfn.XLOOKUP(A769,対応表!A:A,対応表!B:B)</f>
        <v>#N/A</v>
      </c>
      <c r="C769" s="3">
        <f>配列!C729</f>
        <v>0</v>
      </c>
      <c r="D769" s="3" t="str">
        <f>IF(配列!E729="",RIGHT(配列!D729&amp;配列!E729,4)&amp;"L",RIGHT(配列!D729&amp;配列!E729,5))</f>
        <v>L</v>
      </c>
      <c r="E769" s="3">
        <f t="shared" si="44"/>
        <v>0</v>
      </c>
      <c r="F769" s="3" t="e">
        <f>_xlfn.XLOOKUP(E769,セットアップレポート_紐づけ用!A:A,セットアップレポート_紐づけ用!J:J)</f>
        <v>#N/A</v>
      </c>
      <c r="G769" s="3" t="e">
        <f>_xlfn.XLOOKUP(E769,セットアップレポート_紐づけ用!A:A,セットアップレポート_紐づけ用!V:V)</f>
        <v>#N/A</v>
      </c>
      <c r="H769" s="3">
        <f t="shared" si="47"/>
        <v>-2</v>
      </c>
      <c r="I769" t="str">
        <f>IF(J769=0,"",IF(配列!E769="",マクロ実行!$A$16 &amp;" T"&amp;H769&amp;"-"&amp;RIGHT(配列!D769&amp;配列!E769,2),マクロ実行!$A$16 &amp;" T"&amp;H769&amp;"-"&amp;RIGHT(配列!D769&amp;配列!E769,3)))</f>
        <v/>
      </c>
      <c r="J769">
        <f>配列!F729</f>
        <v>0</v>
      </c>
      <c r="K769" s="2" t="e">
        <f>_xlfn.XLOOKUP(E769,セットアップレポート_紐づけ用!A:A,セットアップレポート_紐づけ用!R:R)</f>
        <v>#N/A</v>
      </c>
      <c r="L769" t="e">
        <f t="shared" si="45"/>
        <v>#N/A</v>
      </c>
      <c r="M769" t="e">
        <f>_xlfn.XLOOKUP(L769,EGPro!A:A,EGPro!D:D)</f>
        <v>#N/A</v>
      </c>
      <c r="N769" t="e">
        <f>_xlfn.XLOOKUP(L769,EGPro!A:A,EGPro!C:C)</f>
        <v>#N/A</v>
      </c>
      <c r="O769" t="e">
        <f t="shared" si="46"/>
        <v>#N/A</v>
      </c>
      <c r="P769" t="e">
        <f>_xlfn.XLOOKUP(O769,EGPro!A:A,EGPro!D:D)</f>
        <v>#N/A</v>
      </c>
      <c r="Q769" t="e">
        <f>_xlfn.XLOOKUP(O769,EGPro!A:A,EGPro!C:C)</f>
        <v>#N/A</v>
      </c>
    </row>
    <row r="770" spans="1:17" x14ac:dyDescent="0.45">
      <c r="A770" s="3">
        <f>配列!B730</f>
        <v>0</v>
      </c>
      <c r="B770" s="3" t="e">
        <f>_xlfn.XLOOKUP(A770,対応表!A:A,対応表!B:B)</f>
        <v>#N/A</v>
      </c>
      <c r="C770" s="3">
        <f>配列!C730</f>
        <v>0</v>
      </c>
      <c r="D770" s="3" t="str">
        <f>IF(配列!E730="",RIGHT(配列!D730&amp;配列!E730,4)&amp;"L",RIGHT(配列!D730&amp;配列!E730,5))</f>
        <v>L</v>
      </c>
      <c r="E770" s="3">
        <f t="shared" ref="E770:E833" si="48">IF(J770=0,,B770&amp;D770&amp;J770)</f>
        <v>0</v>
      </c>
      <c r="F770" s="3" t="e">
        <f>_xlfn.XLOOKUP(E770,セットアップレポート_紐づけ用!A:A,セットアップレポート_紐づけ用!J:J)</f>
        <v>#N/A</v>
      </c>
      <c r="G770" s="3" t="e">
        <f>_xlfn.XLOOKUP(E770,セットアップレポート_紐づけ用!A:A,セットアップレポート_紐づけ用!V:V)</f>
        <v>#N/A</v>
      </c>
      <c r="H770" s="3">
        <f t="shared" si="47"/>
        <v>-2</v>
      </c>
      <c r="I770" t="str">
        <f>IF(J770=0,"",IF(配列!E770="",マクロ実行!$A$16 &amp;" T"&amp;H770&amp;"-"&amp;RIGHT(配列!D770&amp;配列!E770,2),マクロ実行!$A$16 &amp;" T"&amp;H770&amp;"-"&amp;RIGHT(配列!D770&amp;配列!E770,3)))</f>
        <v/>
      </c>
      <c r="J770">
        <f>配列!F730</f>
        <v>0</v>
      </c>
      <c r="K770" s="2" t="e">
        <f>_xlfn.XLOOKUP(E770,セットアップレポート_紐づけ用!A:A,セットアップレポート_紐づけ用!R:R)</f>
        <v>#N/A</v>
      </c>
      <c r="L770" t="e">
        <f t="shared" ref="L770:L833" si="49">IF(LEN(F770)=13,"    "&amp;F770,F770)</f>
        <v>#N/A</v>
      </c>
      <c r="M770" t="e">
        <f>_xlfn.XLOOKUP(L770,EGPro!A:A,EGPro!D:D)</f>
        <v>#N/A</v>
      </c>
      <c r="N770" t="e">
        <f>_xlfn.XLOOKUP(L770,EGPro!A:A,EGPro!C:C)</f>
        <v>#N/A</v>
      </c>
      <c r="O770" t="e">
        <f t="shared" ref="O770:O833" si="50">IF(LEN(G770)=13,"    "&amp;G770,G770)</f>
        <v>#N/A</v>
      </c>
      <c r="P770" t="e">
        <f>_xlfn.XLOOKUP(O770,EGPro!A:A,EGPro!D:D)</f>
        <v>#N/A</v>
      </c>
      <c r="Q770" t="e">
        <f>_xlfn.XLOOKUP(O770,EGPro!A:A,EGPro!C:C)</f>
        <v>#N/A</v>
      </c>
    </row>
    <row r="771" spans="1:17" x14ac:dyDescent="0.45">
      <c r="A771" s="3">
        <f>配列!B731</f>
        <v>0</v>
      </c>
      <c r="B771" s="3" t="e">
        <f>_xlfn.XLOOKUP(A771,対応表!A:A,対応表!B:B)</f>
        <v>#N/A</v>
      </c>
      <c r="C771" s="3">
        <f>配列!C731</f>
        <v>0</v>
      </c>
      <c r="D771" s="3" t="str">
        <f>IF(配列!E731="",RIGHT(配列!D731&amp;配列!E731,4)&amp;"L",RIGHT(配列!D731&amp;配列!E731,5))</f>
        <v>L</v>
      </c>
      <c r="E771" s="3">
        <f t="shared" si="48"/>
        <v>0</v>
      </c>
      <c r="F771" s="3" t="e">
        <f>_xlfn.XLOOKUP(E771,セットアップレポート_紐づけ用!A:A,セットアップレポート_紐づけ用!J:J)</f>
        <v>#N/A</v>
      </c>
      <c r="G771" s="3" t="e">
        <f>_xlfn.XLOOKUP(E771,セットアップレポート_紐づけ用!A:A,セットアップレポート_紐づけ用!V:V)</f>
        <v>#N/A</v>
      </c>
      <c r="H771" s="3">
        <f t="shared" ref="H771:H834" si="51">2*RIGHT(A771,1)-2+C771</f>
        <v>-2</v>
      </c>
      <c r="I771" t="str">
        <f>IF(J771=0,"",IF(配列!E771="",マクロ実行!$A$16 &amp;" T"&amp;H771&amp;"-"&amp;RIGHT(配列!D771&amp;配列!E771,2),マクロ実行!$A$16 &amp;" T"&amp;H771&amp;"-"&amp;RIGHT(配列!D771&amp;配列!E771,3)))</f>
        <v/>
      </c>
      <c r="J771">
        <f>配列!F731</f>
        <v>0</v>
      </c>
      <c r="K771" s="2" t="e">
        <f>_xlfn.XLOOKUP(E771,セットアップレポート_紐づけ用!A:A,セットアップレポート_紐づけ用!R:R)</f>
        <v>#N/A</v>
      </c>
      <c r="L771" t="e">
        <f t="shared" si="49"/>
        <v>#N/A</v>
      </c>
      <c r="M771" t="e">
        <f>_xlfn.XLOOKUP(L771,EGPro!A:A,EGPro!D:D)</f>
        <v>#N/A</v>
      </c>
      <c r="N771" t="e">
        <f>_xlfn.XLOOKUP(L771,EGPro!A:A,EGPro!C:C)</f>
        <v>#N/A</v>
      </c>
      <c r="O771" t="e">
        <f t="shared" si="50"/>
        <v>#N/A</v>
      </c>
      <c r="P771" t="e">
        <f>_xlfn.XLOOKUP(O771,EGPro!A:A,EGPro!D:D)</f>
        <v>#N/A</v>
      </c>
      <c r="Q771" t="e">
        <f>_xlfn.XLOOKUP(O771,EGPro!A:A,EGPro!C:C)</f>
        <v>#N/A</v>
      </c>
    </row>
    <row r="772" spans="1:17" x14ac:dyDescent="0.45">
      <c r="A772" s="3">
        <f>配列!B732</f>
        <v>0</v>
      </c>
      <c r="B772" s="3" t="e">
        <f>_xlfn.XLOOKUP(A772,対応表!A:A,対応表!B:B)</f>
        <v>#N/A</v>
      </c>
      <c r="C772" s="3">
        <f>配列!C732</f>
        <v>0</v>
      </c>
      <c r="D772" s="3" t="str">
        <f>IF(配列!E732="",RIGHT(配列!D732&amp;配列!E732,4)&amp;"L",RIGHT(配列!D732&amp;配列!E732,5))</f>
        <v>L</v>
      </c>
      <c r="E772" s="3">
        <f t="shared" si="48"/>
        <v>0</v>
      </c>
      <c r="F772" s="3" t="e">
        <f>_xlfn.XLOOKUP(E772,セットアップレポート_紐づけ用!A:A,セットアップレポート_紐づけ用!J:J)</f>
        <v>#N/A</v>
      </c>
      <c r="G772" s="3" t="e">
        <f>_xlfn.XLOOKUP(E772,セットアップレポート_紐づけ用!A:A,セットアップレポート_紐づけ用!V:V)</f>
        <v>#N/A</v>
      </c>
      <c r="H772" s="3">
        <f t="shared" si="51"/>
        <v>-2</v>
      </c>
      <c r="I772" t="str">
        <f>IF(J772=0,"",IF(配列!E772="",マクロ実行!$A$16 &amp;" T"&amp;H772&amp;"-"&amp;RIGHT(配列!D772&amp;配列!E772,2),マクロ実行!$A$16 &amp;" T"&amp;H772&amp;"-"&amp;RIGHT(配列!D772&amp;配列!E772,3)))</f>
        <v/>
      </c>
      <c r="J772">
        <f>配列!F732</f>
        <v>0</v>
      </c>
      <c r="K772" s="2" t="e">
        <f>_xlfn.XLOOKUP(E772,セットアップレポート_紐づけ用!A:A,セットアップレポート_紐づけ用!R:R)</f>
        <v>#N/A</v>
      </c>
      <c r="L772" t="e">
        <f t="shared" si="49"/>
        <v>#N/A</v>
      </c>
      <c r="M772" t="e">
        <f>_xlfn.XLOOKUP(L772,EGPro!A:A,EGPro!D:D)</f>
        <v>#N/A</v>
      </c>
      <c r="N772" t="e">
        <f>_xlfn.XLOOKUP(L772,EGPro!A:A,EGPro!C:C)</f>
        <v>#N/A</v>
      </c>
      <c r="O772" t="e">
        <f t="shared" si="50"/>
        <v>#N/A</v>
      </c>
      <c r="P772" t="e">
        <f>_xlfn.XLOOKUP(O772,EGPro!A:A,EGPro!D:D)</f>
        <v>#N/A</v>
      </c>
      <c r="Q772" t="e">
        <f>_xlfn.XLOOKUP(O772,EGPro!A:A,EGPro!C:C)</f>
        <v>#N/A</v>
      </c>
    </row>
    <row r="773" spans="1:17" x14ac:dyDescent="0.45">
      <c r="A773" s="3">
        <f>配列!B733</f>
        <v>0</v>
      </c>
      <c r="B773" s="3" t="e">
        <f>_xlfn.XLOOKUP(A773,対応表!A:A,対応表!B:B)</f>
        <v>#N/A</v>
      </c>
      <c r="C773" s="3">
        <f>配列!C733</f>
        <v>0</v>
      </c>
      <c r="D773" s="3" t="str">
        <f>IF(配列!E733="",RIGHT(配列!D733&amp;配列!E733,4)&amp;"L",RIGHT(配列!D733&amp;配列!E733,5))</f>
        <v>L</v>
      </c>
      <c r="E773" s="3">
        <f t="shared" si="48"/>
        <v>0</v>
      </c>
      <c r="F773" s="3" t="e">
        <f>_xlfn.XLOOKUP(E773,セットアップレポート_紐づけ用!A:A,セットアップレポート_紐づけ用!J:J)</f>
        <v>#N/A</v>
      </c>
      <c r="G773" s="3" t="e">
        <f>_xlfn.XLOOKUP(E773,セットアップレポート_紐づけ用!A:A,セットアップレポート_紐づけ用!V:V)</f>
        <v>#N/A</v>
      </c>
      <c r="H773" s="3">
        <f t="shared" si="51"/>
        <v>-2</v>
      </c>
      <c r="I773" t="str">
        <f>IF(J773=0,"",IF(配列!E773="",マクロ実行!$A$16 &amp;" T"&amp;H773&amp;"-"&amp;RIGHT(配列!D773&amp;配列!E773,2),マクロ実行!$A$16 &amp;" T"&amp;H773&amp;"-"&amp;RIGHT(配列!D773&amp;配列!E773,3)))</f>
        <v/>
      </c>
      <c r="J773">
        <f>配列!F733</f>
        <v>0</v>
      </c>
      <c r="K773" s="2" t="e">
        <f>_xlfn.XLOOKUP(E773,セットアップレポート_紐づけ用!A:A,セットアップレポート_紐づけ用!R:R)</f>
        <v>#N/A</v>
      </c>
      <c r="L773" t="e">
        <f t="shared" si="49"/>
        <v>#N/A</v>
      </c>
      <c r="M773" t="e">
        <f>_xlfn.XLOOKUP(L773,EGPro!A:A,EGPro!D:D)</f>
        <v>#N/A</v>
      </c>
      <c r="N773" t="e">
        <f>_xlfn.XLOOKUP(L773,EGPro!A:A,EGPro!C:C)</f>
        <v>#N/A</v>
      </c>
      <c r="O773" t="e">
        <f t="shared" si="50"/>
        <v>#N/A</v>
      </c>
      <c r="P773" t="e">
        <f>_xlfn.XLOOKUP(O773,EGPro!A:A,EGPro!D:D)</f>
        <v>#N/A</v>
      </c>
      <c r="Q773" t="e">
        <f>_xlfn.XLOOKUP(O773,EGPro!A:A,EGPro!C:C)</f>
        <v>#N/A</v>
      </c>
    </row>
    <row r="774" spans="1:17" x14ac:dyDescent="0.45">
      <c r="A774" s="3">
        <f>配列!B734</f>
        <v>0</v>
      </c>
      <c r="B774" s="3" t="e">
        <f>_xlfn.XLOOKUP(A774,対応表!A:A,対応表!B:B)</f>
        <v>#N/A</v>
      </c>
      <c r="C774" s="3">
        <f>配列!C734</f>
        <v>0</v>
      </c>
      <c r="D774" s="3" t="str">
        <f>IF(配列!E734="",RIGHT(配列!D734&amp;配列!E734,4)&amp;"L",RIGHT(配列!D734&amp;配列!E734,5))</f>
        <v>L</v>
      </c>
      <c r="E774" s="3">
        <f t="shared" si="48"/>
        <v>0</v>
      </c>
      <c r="F774" s="3" t="e">
        <f>_xlfn.XLOOKUP(E774,セットアップレポート_紐づけ用!A:A,セットアップレポート_紐づけ用!J:J)</f>
        <v>#N/A</v>
      </c>
      <c r="G774" s="3" t="e">
        <f>_xlfn.XLOOKUP(E774,セットアップレポート_紐づけ用!A:A,セットアップレポート_紐づけ用!V:V)</f>
        <v>#N/A</v>
      </c>
      <c r="H774" s="3">
        <f t="shared" si="51"/>
        <v>-2</v>
      </c>
      <c r="I774" t="str">
        <f>IF(J774=0,"",IF(配列!E774="",マクロ実行!$A$16 &amp;" T"&amp;H774&amp;"-"&amp;RIGHT(配列!D774&amp;配列!E774,2),マクロ実行!$A$16 &amp;" T"&amp;H774&amp;"-"&amp;RIGHT(配列!D774&amp;配列!E774,3)))</f>
        <v/>
      </c>
      <c r="J774">
        <f>配列!F734</f>
        <v>0</v>
      </c>
      <c r="K774" s="2" t="e">
        <f>_xlfn.XLOOKUP(E774,セットアップレポート_紐づけ用!A:A,セットアップレポート_紐づけ用!R:R)</f>
        <v>#N/A</v>
      </c>
      <c r="L774" t="e">
        <f t="shared" si="49"/>
        <v>#N/A</v>
      </c>
      <c r="M774" t="e">
        <f>_xlfn.XLOOKUP(L774,EGPro!A:A,EGPro!D:D)</f>
        <v>#N/A</v>
      </c>
      <c r="N774" t="e">
        <f>_xlfn.XLOOKUP(L774,EGPro!A:A,EGPro!C:C)</f>
        <v>#N/A</v>
      </c>
      <c r="O774" t="e">
        <f t="shared" si="50"/>
        <v>#N/A</v>
      </c>
      <c r="P774" t="e">
        <f>_xlfn.XLOOKUP(O774,EGPro!A:A,EGPro!D:D)</f>
        <v>#N/A</v>
      </c>
      <c r="Q774" t="e">
        <f>_xlfn.XLOOKUP(O774,EGPro!A:A,EGPro!C:C)</f>
        <v>#N/A</v>
      </c>
    </row>
    <row r="775" spans="1:17" x14ac:dyDescent="0.45">
      <c r="A775" s="3">
        <f>配列!B735</f>
        <v>0</v>
      </c>
      <c r="B775" s="3" t="e">
        <f>_xlfn.XLOOKUP(A775,対応表!A:A,対応表!B:B)</f>
        <v>#N/A</v>
      </c>
      <c r="C775" s="3">
        <f>配列!C735</f>
        <v>0</v>
      </c>
      <c r="D775" s="3" t="str">
        <f>IF(配列!E735="",RIGHT(配列!D735&amp;配列!E735,4)&amp;"L",RIGHT(配列!D735&amp;配列!E735,5))</f>
        <v>L</v>
      </c>
      <c r="E775" s="3">
        <f t="shared" si="48"/>
        <v>0</v>
      </c>
      <c r="F775" s="3" t="e">
        <f>_xlfn.XLOOKUP(E775,セットアップレポート_紐づけ用!A:A,セットアップレポート_紐づけ用!J:J)</f>
        <v>#N/A</v>
      </c>
      <c r="G775" s="3" t="e">
        <f>_xlfn.XLOOKUP(E775,セットアップレポート_紐づけ用!A:A,セットアップレポート_紐づけ用!V:V)</f>
        <v>#N/A</v>
      </c>
      <c r="H775" s="3">
        <f t="shared" si="51"/>
        <v>-2</v>
      </c>
      <c r="I775" t="str">
        <f>IF(J775=0,"",IF(配列!E775="",マクロ実行!$A$16 &amp;" T"&amp;H775&amp;"-"&amp;RIGHT(配列!D775&amp;配列!E775,2),マクロ実行!$A$16 &amp;" T"&amp;H775&amp;"-"&amp;RIGHT(配列!D775&amp;配列!E775,3)))</f>
        <v/>
      </c>
      <c r="J775">
        <f>配列!F735</f>
        <v>0</v>
      </c>
      <c r="K775" s="2" t="e">
        <f>_xlfn.XLOOKUP(E775,セットアップレポート_紐づけ用!A:A,セットアップレポート_紐づけ用!R:R)</f>
        <v>#N/A</v>
      </c>
      <c r="L775" t="e">
        <f t="shared" si="49"/>
        <v>#N/A</v>
      </c>
      <c r="M775" t="e">
        <f>_xlfn.XLOOKUP(L775,EGPro!A:A,EGPro!D:D)</f>
        <v>#N/A</v>
      </c>
      <c r="N775" t="e">
        <f>_xlfn.XLOOKUP(L775,EGPro!A:A,EGPro!C:C)</f>
        <v>#N/A</v>
      </c>
      <c r="O775" t="e">
        <f t="shared" si="50"/>
        <v>#N/A</v>
      </c>
      <c r="P775" t="e">
        <f>_xlfn.XLOOKUP(O775,EGPro!A:A,EGPro!D:D)</f>
        <v>#N/A</v>
      </c>
      <c r="Q775" t="e">
        <f>_xlfn.XLOOKUP(O775,EGPro!A:A,EGPro!C:C)</f>
        <v>#N/A</v>
      </c>
    </row>
    <row r="776" spans="1:17" x14ac:dyDescent="0.45">
      <c r="A776" s="3">
        <f>配列!B736</f>
        <v>0</v>
      </c>
      <c r="B776" s="3" t="e">
        <f>_xlfn.XLOOKUP(A776,対応表!A:A,対応表!B:B)</f>
        <v>#N/A</v>
      </c>
      <c r="C776" s="3">
        <f>配列!C736</f>
        <v>0</v>
      </c>
      <c r="D776" s="3" t="str">
        <f>IF(配列!E736="",RIGHT(配列!D736&amp;配列!E736,4)&amp;"L",RIGHT(配列!D736&amp;配列!E736,5))</f>
        <v>L</v>
      </c>
      <c r="E776" s="3">
        <f t="shared" si="48"/>
        <v>0</v>
      </c>
      <c r="F776" s="3" t="e">
        <f>_xlfn.XLOOKUP(E776,セットアップレポート_紐づけ用!A:A,セットアップレポート_紐づけ用!J:J)</f>
        <v>#N/A</v>
      </c>
      <c r="G776" s="3" t="e">
        <f>_xlfn.XLOOKUP(E776,セットアップレポート_紐づけ用!A:A,セットアップレポート_紐づけ用!V:V)</f>
        <v>#N/A</v>
      </c>
      <c r="H776" s="3">
        <f t="shared" si="51"/>
        <v>-2</v>
      </c>
      <c r="I776" t="str">
        <f>IF(J776=0,"",IF(配列!E776="",マクロ実行!$A$16 &amp;" T"&amp;H776&amp;"-"&amp;RIGHT(配列!D776&amp;配列!E776,2),マクロ実行!$A$16 &amp;" T"&amp;H776&amp;"-"&amp;RIGHT(配列!D776&amp;配列!E776,3)))</f>
        <v/>
      </c>
      <c r="J776">
        <f>配列!F736</f>
        <v>0</v>
      </c>
      <c r="K776" s="2" t="e">
        <f>_xlfn.XLOOKUP(E776,セットアップレポート_紐づけ用!A:A,セットアップレポート_紐づけ用!R:R)</f>
        <v>#N/A</v>
      </c>
      <c r="L776" t="e">
        <f t="shared" si="49"/>
        <v>#N/A</v>
      </c>
      <c r="M776" t="e">
        <f>_xlfn.XLOOKUP(L776,EGPro!A:A,EGPro!D:D)</f>
        <v>#N/A</v>
      </c>
      <c r="N776" t="e">
        <f>_xlfn.XLOOKUP(L776,EGPro!A:A,EGPro!C:C)</f>
        <v>#N/A</v>
      </c>
      <c r="O776" t="e">
        <f t="shared" si="50"/>
        <v>#N/A</v>
      </c>
      <c r="P776" t="e">
        <f>_xlfn.XLOOKUP(O776,EGPro!A:A,EGPro!D:D)</f>
        <v>#N/A</v>
      </c>
      <c r="Q776" t="e">
        <f>_xlfn.XLOOKUP(O776,EGPro!A:A,EGPro!C:C)</f>
        <v>#N/A</v>
      </c>
    </row>
    <row r="777" spans="1:17" x14ac:dyDescent="0.45">
      <c r="A777" s="3">
        <f>配列!B737</f>
        <v>0</v>
      </c>
      <c r="B777" s="3" t="e">
        <f>_xlfn.XLOOKUP(A777,対応表!A:A,対応表!B:B)</f>
        <v>#N/A</v>
      </c>
      <c r="C777" s="3">
        <f>配列!C737</f>
        <v>0</v>
      </c>
      <c r="D777" s="3" t="str">
        <f>IF(配列!E737="",RIGHT(配列!D737&amp;配列!E737,4)&amp;"L",RIGHT(配列!D737&amp;配列!E737,5))</f>
        <v>L</v>
      </c>
      <c r="E777" s="3">
        <f t="shared" si="48"/>
        <v>0</v>
      </c>
      <c r="F777" s="3" t="e">
        <f>_xlfn.XLOOKUP(E777,セットアップレポート_紐づけ用!A:A,セットアップレポート_紐づけ用!J:J)</f>
        <v>#N/A</v>
      </c>
      <c r="G777" s="3" t="e">
        <f>_xlfn.XLOOKUP(E777,セットアップレポート_紐づけ用!A:A,セットアップレポート_紐づけ用!V:V)</f>
        <v>#N/A</v>
      </c>
      <c r="H777" s="3">
        <f t="shared" si="51"/>
        <v>-2</v>
      </c>
      <c r="I777" t="str">
        <f>IF(J777=0,"",IF(配列!E777="",マクロ実行!$A$16 &amp;" T"&amp;H777&amp;"-"&amp;RIGHT(配列!D777&amp;配列!E777,2),マクロ実行!$A$16 &amp;" T"&amp;H777&amp;"-"&amp;RIGHT(配列!D777&amp;配列!E777,3)))</f>
        <v/>
      </c>
      <c r="J777">
        <f>配列!F737</f>
        <v>0</v>
      </c>
      <c r="K777" s="2" t="e">
        <f>_xlfn.XLOOKUP(E777,セットアップレポート_紐づけ用!A:A,セットアップレポート_紐づけ用!R:R)</f>
        <v>#N/A</v>
      </c>
      <c r="L777" t="e">
        <f t="shared" si="49"/>
        <v>#N/A</v>
      </c>
      <c r="M777" t="e">
        <f>_xlfn.XLOOKUP(L777,EGPro!A:A,EGPro!D:D)</f>
        <v>#N/A</v>
      </c>
      <c r="N777" t="e">
        <f>_xlfn.XLOOKUP(L777,EGPro!A:A,EGPro!C:C)</f>
        <v>#N/A</v>
      </c>
      <c r="O777" t="e">
        <f t="shared" si="50"/>
        <v>#N/A</v>
      </c>
      <c r="P777" t="e">
        <f>_xlfn.XLOOKUP(O777,EGPro!A:A,EGPro!D:D)</f>
        <v>#N/A</v>
      </c>
      <c r="Q777" t="e">
        <f>_xlfn.XLOOKUP(O777,EGPro!A:A,EGPro!C:C)</f>
        <v>#N/A</v>
      </c>
    </row>
    <row r="778" spans="1:17" x14ac:dyDescent="0.45">
      <c r="A778" s="3">
        <f>配列!B738</f>
        <v>0</v>
      </c>
      <c r="B778" s="3" t="e">
        <f>_xlfn.XLOOKUP(A778,対応表!A:A,対応表!B:B)</f>
        <v>#N/A</v>
      </c>
      <c r="C778" s="3">
        <f>配列!C738</f>
        <v>0</v>
      </c>
      <c r="D778" s="3" t="str">
        <f>IF(配列!E738="",RIGHT(配列!D738&amp;配列!E738,4)&amp;"L",RIGHT(配列!D738&amp;配列!E738,5))</f>
        <v>L</v>
      </c>
      <c r="E778" s="3">
        <f t="shared" si="48"/>
        <v>0</v>
      </c>
      <c r="F778" s="3" t="e">
        <f>_xlfn.XLOOKUP(E778,セットアップレポート_紐づけ用!A:A,セットアップレポート_紐づけ用!J:J)</f>
        <v>#N/A</v>
      </c>
      <c r="G778" s="3" t="e">
        <f>_xlfn.XLOOKUP(E778,セットアップレポート_紐づけ用!A:A,セットアップレポート_紐づけ用!V:V)</f>
        <v>#N/A</v>
      </c>
      <c r="H778" s="3">
        <f t="shared" si="51"/>
        <v>-2</v>
      </c>
      <c r="I778" t="str">
        <f>IF(J778=0,"",IF(配列!E778="",マクロ実行!$A$16 &amp;" T"&amp;H778&amp;"-"&amp;RIGHT(配列!D778&amp;配列!E778,2),マクロ実行!$A$16 &amp;" T"&amp;H778&amp;"-"&amp;RIGHT(配列!D778&amp;配列!E778,3)))</f>
        <v/>
      </c>
      <c r="J778">
        <f>配列!F738</f>
        <v>0</v>
      </c>
      <c r="K778" s="2" t="e">
        <f>_xlfn.XLOOKUP(E778,セットアップレポート_紐づけ用!A:A,セットアップレポート_紐づけ用!R:R)</f>
        <v>#N/A</v>
      </c>
      <c r="L778" t="e">
        <f t="shared" si="49"/>
        <v>#N/A</v>
      </c>
      <c r="M778" t="e">
        <f>_xlfn.XLOOKUP(L778,EGPro!A:A,EGPro!D:D)</f>
        <v>#N/A</v>
      </c>
      <c r="N778" t="e">
        <f>_xlfn.XLOOKUP(L778,EGPro!A:A,EGPro!C:C)</f>
        <v>#N/A</v>
      </c>
      <c r="O778" t="e">
        <f t="shared" si="50"/>
        <v>#N/A</v>
      </c>
      <c r="P778" t="e">
        <f>_xlfn.XLOOKUP(O778,EGPro!A:A,EGPro!D:D)</f>
        <v>#N/A</v>
      </c>
      <c r="Q778" t="e">
        <f>_xlfn.XLOOKUP(O778,EGPro!A:A,EGPro!C:C)</f>
        <v>#N/A</v>
      </c>
    </row>
    <row r="779" spans="1:17" x14ac:dyDescent="0.45">
      <c r="A779" s="3">
        <f>配列!B739</f>
        <v>0</v>
      </c>
      <c r="B779" s="3" t="e">
        <f>_xlfn.XLOOKUP(A779,対応表!A:A,対応表!B:B)</f>
        <v>#N/A</v>
      </c>
      <c r="C779" s="3">
        <f>配列!C739</f>
        <v>0</v>
      </c>
      <c r="D779" s="3" t="str">
        <f>IF(配列!E739="",RIGHT(配列!D739&amp;配列!E739,4)&amp;"L",RIGHT(配列!D739&amp;配列!E739,5))</f>
        <v>L</v>
      </c>
      <c r="E779" s="3">
        <f t="shared" si="48"/>
        <v>0</v>
      </c>
      <c r="F779" s="3" t="e">
        <f>_xlfn.XLOOKUP(E779,セットアップレポート_紐づけ用!A:A,セットアップレポート_紐づけ用!J:J)</f>
        <v>#N/A</v>
      </c>
      <c r="G779" s="3" t="e">
        <f>_xlfn.XLOOKUP(E779,セットアップレポート_紐づけ用!A:A,セットアップレポート_紐づけ用!V:V)</f>
        <v>#N/A</v>
      </c>
      <c r="H779" s="3">
        <f t="shared" si="51"/>
        <v>-2</v>
      </c>
      <c r="I779" t="str">
        <f>IF(J779=0,"",IF(配列!E779="",マクロ実行!$A$16 &amp;" T"&amp;H779&amp;"-"&amp;RIGHT(配列!D779&amp;配列!E779,2),マクロ実行!$A$16 &amp;" T"&amp;H779&amp;"-"&amp;RIGHT(配列!D779&amp;配列!E779,3)))</f>
        <v/>
      </c>
      <c r="J779">
        <f>配列!F739</f>
        <v>0</v>
      </c>
      <c r="K779" s="2" t="e">
        <f>_xlfn.XLOOKUP(E779,セットアップレポート_紐づけ用!A:A,セットアップレポート_紐づけ用!R:R)</f>
        <v>#N/A</v>
      </c>
      <c r="L779" t="e">
        <f t="shared" si="49"/>
        <v>#N/A</v>
      </c>
      <c r="M779" t="e">
        <f>_xlfn.XLOOKUP(L779,EGPro!A:A,EGPro!D:D)</f>
        <v>#N/A</v>
      </c>
      <c r="N779" t="e">
        <f>_xlfn.XLOOKUP(L779,EGPro!A:A,EGPro!C:C)</f>
        <v>#N/A</v>
      </c>
      <c r="O779" t="e">
        <f t="shared" si="50"/>
        <v>#N/A</v>
      </c>
      <c r="P779" t="e">
        <f>_xlfn.XLOOKUP(O779,EGPro!A:A,EGPro!D:D)</f>
        <v>#N/A</v>
      </c>
      <c r="Q779" t="e">
        <f>_xlfn.XLOOKUP(O779,EGPro!A:A,EGPro!C:C)</f>
        <v>#N/A</v>
      </c>
    </row>
    <row r="780" spans="1:17" x14ac:dyDescent="0.45">
      <c r="A780" s="3">
        <f>配列!B740</f>
        <v>0</v>
      </c>
      <c r="B780" s="3" t="e">
        <f>_xlfn.XLOOKUP(A780,対応表!A:A,対応表!B:B)</f>
        <v>#N/A</v>
      </c>
      <c r="C780" s="3">
        <f>配列!C740</f>
        <v>0</v>
      </c>
      <c r="D780" s="3" t="str">
        <f>IF(配列!E740="",RIGHT(配列!D740&amp;配列!E740,4)&amp;"L",RIGHT(配列!D740&amp;配列!E740,5))</f>
        <v>L</v>
      </c>
      <c r="E780" s="3">
        <f t="shared" si="48"/>
        <v>0</v>
      </c>
      <c r="F780" s="3" t="e">
        <f>_xlfn.XLOOKUP(E780,セットアップレポート_紐づけ用!A:A,セットアップレポート_紐づけ用!J:J)</f>
        <v>#N/A</v>
      </c>
      <c r="G780" s="3" t="e">
        <f>_xlfn.XLOOKUP(E780,セットアップレポート_紐づけ用!A:A,セットアップレポート_紐づけ用!V:V)</f>
        <v>#N/A</v>
      </c>
      <c r="H780" s="3">
        <f t="shared" si="51"/>
        <v>-2</v>
      </c>
      <c r="I780" t="str">
        <f>IF(J780=0,"",IF(配列!E780="",マクロ実行!$A$16 &amp;" T"&amp;H780&amp;"-"&amp;RIGHT(配列!D780&amp;配列!E780,2),マクロ実行!$A$16 &amp;" T"&amp;H780&amp;"-"&amp;RIGHT(配列!D780&amp;配列!E780,3)))</f>
        <v/>
      </c>
      <c r="J780">
        <f>配列!F740</f>
        <v>0</v>
      </c>
      <c r="K780" s="2" t="e">
        <f>_xlfn.XLOOKUP(E780,セットアップレポート_紐づけ用!A:A,セットアップレポート_紐づけ用!R:R)</f>
        <v>#N/A</v>
      </c>
      <c r="L780" t="e">
        <f t="shared" si="49"/>
        <v>#N/A</v>
      </c>
      <c r="M780" t="e">
        <f>_xlfn.XLOOKUP(L780,EGPro!A:A,EGPro!D:D)</f>
        <v>#N/A</v>
      </c>
      <c r="N780" t="e">
        <f>_xlfn.XLOOKUP(L780,EGPro!A:A,EGPro!C:C)</f>
        <v>#N/A</v>
      </c>
      <c r="O780" t="e">
        <f t="shared" si="50"/>
        <v>#N/A</v>
      </c>
      <c r="P780" t="e">
        <f>_xlfn.XLOOKUP(O780,EGPro!A:A,EGPro!D:D)</f>
        <v>#N/A</v>
      </c>
      <c r="Q780" t="e">
        <f>_xlfn.XLOOKUP(O780,EGPro!A:A,EGPro!C:C)</f>
        <v>#N/A</v>
      </c>
    </row>
    <row r="781" spans="1:17" x14ac:dyDescent="0.45">
      <c r="A781" s="3">
        <f>配列!B741</f>
        <v>0</v>
      </c>
      <c r="B781" s="3" t="e">
        <f>_xlfn.XLOOKUP(A781,対応表!A:A,対応表!B:B)</f>
        <v>#N/A</v>
      </c>
      <c r="C781" s="3">
        <f>配列!C741</f>
        <v>0</v>
      </c>
      <c r="D781" s="3" t="str">
        <f>IF(配列!E741="",RIGHT(配列!D741&amp;配列!E741,4)&amp;"L",RIGHT(配列!D741&amp;配列!E741,5))</f>
        <v>L</v>
      </c>
      <c r="E781" s="3">
        <f t="shared" si="48"/>
        <v>0</v>
      </c>
      <c r="F781" s="3" t="e">
        <f>_xlfn.XLOOKUP(E781,セットアップレポート_紐づけ用!A:A,セットアップレポート_紐づけ用!J:J)</f>
        <v>#N/A</v>
      </c>
      <c r="G781" s="3" t="e">
        <f>_xlfn.XLOOKUP(E781,セットアップレポート_紐づけ用!A:A,セットアップレポート_紐づけ用!V:V)</f>
        <v>#N/A</v>
      </c>
      <c r="H781" s="3">
        <f t="shared" si="51"/>
        <v>-2</v>
      </c>
      <c r="I781" t="str">
        <f>IF(J781=0,"",IF(配列!E781="",マクロ実行!$A$16 &amp;" T"&amp;H781&amp;"-"&amp;RIGHT(配列!D781&amp;配列!E781,2),マクロ実行!$A$16 &amp;" T"&amp;H781&amp;"-"&amp;RIGHT(配列!D781&amp;配列!E781,3)))</f>
        <v/>
      </c>
      <c r="J781">
        <f>配列!F741</f>
        <v>0</v>
      </c>
      <c r="K781" s="2" t="e">
        <f>_xlfn.XLOOKUP(E781,セットアップレポート_紐づけ用!A:A,セットアップレポート_紐づけ用!R:R)</f>
        <v>#N/A</v>
      </c>
      <c r="L781" t="e">
        <f t="shared" si="49"/>
        <v>#N/A</v>
      </c>
      <c r="M781" t="e">
        <f>_xlfn.XLOOKUP(L781,EGPro!A:A,EGPro!D:D)</f>
        <v>#N/A</v>
      </c>
      <c r="N781" t="e">
        <f>_xlfn.XLOOKUP(L781,EGPro!A:A,EGPro!C:C)</f>
        <v>#N/A</v>
      </c>
      <c r="O781" t="e">
        <f t="shared" si="50"/>
        <v>#N/A</v>
      </c>
      <c r="P781" t="e">
        <f>_xlfn.XLOOKUP(O781,EGPro!A:A,EGPro!D:D)</f>
        <v>#N/A</v>
      </c>
      <c r="Q781" t="e">
        <f>_xlfn.XLOOKUP(O781,EGPro!A:A,EGPro!C:C)</f>
        <v>#N/A</v>
      </c>
    </row>
    <row r="782" spans="1:17" x14ac:dyDescent="0.45">
      <c r="A782" s="3">
        <f>配列!B742</f>
        <v>0</v>
      </c>
      <c r="B782" s="3" t="e">
        <f>_xlfn.XLOOKUP(A782,対応表!A:A,対応表!B:B)</f>
        <v>#N/A</v>
      </c>
      <c r="C782" s="3">
        <f>配列!C742</f>
        <v>0</v>
      </c>
      <c r="D782" s="3" t="str">
        <f>IF(配列!E742="",RIGHT(配列!D742&amp;配列!E742,4)&amp;"L",RIGHT(配列!D742&amp;配列!E742,5))</f>
        <v>L</v>
      </c>
      <c r="E782" s="3">
        <f t="shared" si="48"/>
        <v>0</v>
      </c>
      <c r="F782" s="3" t="e">
        <f>_xlfn.XLOOKUP(E782,セットアップレポート_紐づけ用!A:A,セットアップレポート_紐づけ用!J:J)</f>
        <v>#N/A</v>
      </c>
      <c r="G782" s="3" t="e">
        <f>_xlfn.XLOOKUP(E782,セットアップレポート_紐づけ用!A:A,セットアップレポート_紐づけ用!V:V)</f>
        <v>#N/A</v>
      </c>
      <c r="H782" s="3">
        <f t="shared" si="51"/>
        <v>-2</v>
      </c>
      <c r="I782" t="str">
        <f>IF(J782=0,"",IF(配列!E782="",マクロ実行!$A$16 &amp;" T"&amp;H782&amp;"-"&amp;RIGHT(配列!D782&amp;配列!E782,2),マクロ実行!$A$16 &amp;" T"&amp;H782&amp;"-"&amp;RIGHT(配列!D782&amp;配列!E782,3)))</f>
        <v/>
      </c>
      <c r="J782">
        <f>配列!F742</f>
        <v>0</v>
      </c>
      <c r="K782" s="2" t="e">
        <f>_xlfn.XLOOKUP(E782,セットアップレポート_紐づけ用!A:A,セットアップレポート_紐づけ用!R:R)</f>
        <v>#N/A</v>
      </c>
      <c r="L782" t="e">
        <f t="shared" si="49"/>
        <v>#N/A</v>
      </c>
      <c r="M782" t="e">
        <f>_xlfn.XLOOKUP(L782,EGPro!A:A,EGPro!D:D)</f>
        <v>#N/A</v>
      </c>
      <c r="N782" t="e">
        <f>_xlfn.XLOOKUP(L782,EGPro!A:A,EGPro!C:C)</f>
        <v>#N/A</v>
      </c>
      <c r="O782" t="e">
        <f t="shared" si="50"/>
        <v>#N/A</v>
      </c>
      <c r="P782" t="e">
        <f>_xlfn.XLOOKUP(O782,EGPro!A:A,EGPro!D:D)</f>
        <v>#N/A</v>
      </c>
      <c r="Q782" t="e">
        <f>_xlfn.XLOOKUP(O782,EGPro!A:A,EGPro!C:C)</f>
        <v>#N/A</v>
      </c>
    </row>
    <row r="783" spans="1:17" x14ac:dyDescent="0.45">
      <c r="A783" s="3">
        <f>配列!B743</f>
        <v>0</v>
      </c>
      <c r="B783" s="3" t="e">
        <f>_xlfn.XLOOKUP(A783,対応表!A:A,対応表!B:B)</f>
        <v>#N/A</v>
      </c>
      <c r="C783" s="3">
        <f>配列!C743</f>
        <v>0</v>
      </c>
      <c r="D783" s="3" t="str">
        <f>IF(配列!E743="",RIGHT(配列!D743&amp;配列!E743,4)&amp;"L",RIGHT(配列!D743&amp;配列!E743,5))</f>
        <v>L</v>
      </c>
      <c r="E783" s="3">
        <f t="shared" si="48"/>
        <v>0</v>
      </c>
      <c r="F783" s="3" t="e">
        <f>_xlfn.XLOOKUP(E783,セットアップレポート_紐づけ用!A:A,セットアップレポート_紐づけ用!J:J)</f>
        <v>#N/A</v>
      </c>
      <c r="G783" s="3" t="e">
        <f>_xlfn.XLOOKUP(E783,セットアップレポート_紐づけ用!A:A,セットアップレポート_紐づけ用!V:V)</f>
        <v>#N/A</v>
      </c>
      <c r="H783" s="3">
        <f t="shared" si="51"/>
        <v>-2</v>
      </c>
      <c r="I783" t="str">
        <f>IF(J783=0,"",IF(配列!E783="",マクロ実行!$A$16 &amp;" T"&amp;H783&amp;"-"&amp;RIGHT(配列!D783&amp;配列!E783,2),マクロ実行!$A$16 &amp;" T"&amp;H783&amp;"-"&amp;RIGHT(配列!D783&amp;配列!E783,3)))</f>
        <v/>
      </c>
      <c r="J783">
        <f>配列!F743</f>
        <v>0</v>
      </c>
      <c r="K783" s="2" t="e">
        <f>_xlfn.XLOOKUP(E783,セットアップレポート_紐づけ用!A:A,セットアップレポート_紐づけ用!R:R)</f>
        <v>#N/A</v>
      </c>
      <c r="L783" t="e">
        <f t="shared" si="49"/>
        <v>#N/A</v>
      </c>
      <c r="M783" t="e">
        <f>_xlfn.XLOOKUP(L783,EGPro!A:A,EGPro!D:D)</f>
        <v>#N/A</v>
      </c>
      <c r="N783" t="e">
        <f>_xlfn.XLOOKUP(L783,EGPro!A:A,EGPro!C:C)</f>
        <v>#N/A</v>
      </c>
      <c r="O783" t="e">
        <f t="shared" si="50"/>
        <v>#N/A</v>
      </c>
      <c r="P783" t="e">
        <f>_xlfn.XLOOKUP(O783,EGPro!A:A,EGPro!D:D)</f>
        <v>#N/A</v>
      </c>
      <c r="Q783" t="e">
        <f>_xlfn.XLOOKUP(O783,EGPro!A:A,EGPro!C:C)</f>
        <v>#N/A</v>
      </c>
    </row>
    <row r="784" spans="1:17" x14ac:dyDescent="0.45">
      <c r="A784" s="3">
        <f>配列!B744</f>
        <v>0</v>
      </c>
      <c r="B784" s="3" t="e">
        <f>_xlfn.XLOOKUP(A784,対応表!A:A,対応表!B:B)</f>
        <v>#N/A</v>
      </c>
      <c r="C784" s="3">
        <f>配列!C744</f>
        <v>0</v>
      </c>
      <c r="D784" s="3" t="str">
        <f>IF(配列!E744="",RIGHT(配列!D744&amp;配列!E744,4)&amp;"L",RIGHT(配列!D744&amp;配列!E744,5))</f>
        <v>L</v>
      </c>
      <c r="E784" s="3">
        <f t="shared" si="48"/>
        <v>0</v>
      </c>
      <c r="F784" s="3" t="e">
        <f>_xlfn.XLOOKUP(E784,セットアップレポート_紐づけ用!A:A,セットアップレポート_紐づけ用!J:J)</f>
        <v>#N/A</v>
      </c>
      <c r="G784" s="3" t="e">
        <f>_xlfn.XLOOKUP(E784,セットアップレポート_紐づけ用!A:A,セットアップレポート_紐づけ用!V:V)</f>
        <v>#N/A</v>
      </c>
      <c r="H784" s="3">
        <f t="shared" si="51"/>
        <v>-2</v>
      </c>
      <c r="I784" t="str">
        <f>IF(J784=0,"",IF(配列!E784="",マクロ実行!$A$16 &amp;" T"&amp;H784&amp;"-"&amp;RIGHT(配列!D784&amp;配列!E784,2),マクロ実行!$A$16 &amp;" T"&amp;H784&amp;"-"&amp;RIGHT(配列!D784&amp;配列!E784,3)))</f>
        <v/>
      </c>
      <c r="J784">
        <f>配列!F744</f>
        <v>0</v>
      </c>
      <c r="K784" s="2" t="e">
        <f>_xlfn.XLOOKUP(E784,セットアップレポート_紐づけ用!A:A,セットアップレポート_紐づけ用!R:R)</f>
        <v>#N/A</v>
      </c>
      <c r="L784" t="e">
        <f t="shared" si="49"/>
        <v>#N/A</v>
      </c>
      <c r="M784" t="e">
        <f>_xlfn.XLOOKUP(L784,EGPro!A:A,EGPro!D:D)</f>
        <v>#N/A</v>
      </c>
      <c r="N784" t="e">
        <f>_xlfn.XLOOKUP(L784,EGPro!A:A,EGPro!C:C)</f>
        <v>#N/A</v>
      </c>
      <c r="O784" t="e">
        <f t="shared" si="50"/>
        <v>#N/A</v>
      </c>
      <c r="P784" t="e">
        <f>_xlfn.XLOOKUP(O784,EGPro!A:A,EGPro!D:D)</f>
        <v>#N/A</v>
      </c>
      <c r="Q784" t="e">
        <f>_xlfn.XLOOKUP(O784,EGPro!A:A,EGPro!C:C)</f>
        <v>#N/A</v>
      </c>
    </row>
    <row r="785" spans="1:17" x14ac:dyDescent="0.45">
      <c r="A785" s="3">
        <f>配列!B745</f>
        <v>0</v>
      </c>
      <c r="B785" s="3" t="e">
        <f>_xlfn.XLOOKUP(A785,対応表!A:A,対応表!B:B)</f>
        <v>#N/A</v>
      </c>
      <c r="C785" s="3">
        <f>配列!C745</f>
        <v>0</v>
      </c>
      <c r="D785" s="3" t="str">
        <f>IF(配列!E745="",RIGHT(配列!D745&amp;配列!E745,4)&amp;"L",RIGHT(配列!D745&amp;配列!E745,5))</f>
        <v>L</v>
      </c>
      <c r="E785" s="3">
        <f t="shared" si="48"/>
        <v>0</v>
      </c>
      <c r="F785" s="3" t="e">
        <f>_xlfn.XLOOKUP(E785,セットアップレポート_紐づけ用!A:A,セットアップレポート_紐づけ用!J:J)</f>
        <v>#N/A</v>
      </c>
      <c r="G785" s="3" t="e">
        <f>_xlfn.XLOOKUP(E785,セットアップレポート_紐づけ用!A:A,セットアップレポート_紐づけ用!V:V)</f>
        <v>#N/A</v>
      </c>
      <c r="H785" s="3">
        <f t="shared" si="51"/>
        <v>-2</v>
      </c>
      <c r="I785" t="str">
        <f>IF(J785=0,"",IF(配列!E785="",マクロ実行!$A$16 &amp;" T"&amp;H785&amp;"-"&amp;RIGHT(配列!D785&amp;配列!E785,2),マクロ実行!$A$16 &amp;" T"&amp;H785&amp;"-"&amp;RIGHT(配列!D785&amp;配列!E785,3)))</f>
        <v/>
      </c>
      <c r="J785">
        <f>配列!F745</f>
        <v>0</v>
      </c>
      <c r="K785" s="2" t="e">
        <f>_xlfn.XLOOKUP(E785,セットアップレポート_紐づけ用!A:A,セットアップレポート_紐づけ用!R:R)</f>
        <v>#N/A</v>
      </c>
      <c r="L785" t="e">
        <f t="shared" si="49"/>
        <v>#N/A</v>
      </c>
      <c r="M785" t="e">
        <f>_xlfn.XLOOKUP(L785,EGPro!A:A,EGPro!D:D)</f>
        <v>#N/A</v>
      </c>
      <c r="N785" t="e">
        <f>_xlfn.XLOOKUP(L785,EGPro!A:A,EGPro!C:C)</f>
        <v>#N/A</v>
      </c>
      <c r="O785" t="e">
        <f t="shared" si="50"/>
        <v>#N/A</v>
      </c>
      <c r="P785" t="e">
        <f>_xlfn.XLOOKUP(O785,EGPro!A:A,EGPro!D:D)</f>
        <v>#N/A</v>
      </c>
      <c r="Q785" t="e">
        <f>_xlfn.XLOOKUP(O785,EGPro!A:A,EGPro!C:C)</f>
        <v>#N/A</v>
      </c>
    </row>
    <row r="786" spans="1:17" x14ac:dyDescent="0.45">
      <c r="A786" s="3">
        <f>配列!B746</f>
        <v>0</v>
      </c>
      <c r="B786" s="3" t="e">
        <f>_xlfn.XLOOKUP(A786,対応表!A:A,対応表!B:B)</f>
        <v>#N/A</v>
      </c>
      <c r="C786" s="3">
        <f>配列!C746</f>
        <v>0</v>
      </c>
      <c r="D786" s="3" t="str">
        <f>IF(配列!E746="",RIGHT(配列!D746&amp;配列!E746,4)&amp;"L",RIGHT(配列!D746&amp;配列!E746,5))</f>
        <v>L</v>
      </c>
      <c r="E786" s="3">
        <f t="shared" si="48"/>
        <v>0</v>
      </c>
      <c r="F786" s="3" t="e">
        <f>_xlfn.XLOOKUP(E786,セットアップレポート_紐づけ用!A:A,セットアップレポート_紐づけ用!J:J)</f>
        <v>#N/A</v>
      </c>
      <c r="G786" s="3" t="e">
        <f>_xlfn.XLOOKUP(E786,セットアップレポート_紐づけ用!A:A,セットアップレポート_紐づけ用!V:V)</f>
        <v>#N/A</v>
      </c>
      <c r="H786" s="3">
        <f t="shared" si="51"/>
        <v>-2</v>
      </c>
      <c r="I786" t="str">
        <f>IF(J786=0,"",IF(配列!E786="",マクロ実行!$A$16 &amp;" T"&amp;H786&amp;"-"&amp;RIGHT(配列!D786&amp;配列!E786,2),マクロ実行!$A$16 &amp;" T"&amp;H786&amp;"-"&amp;RIGHT(配列!D786&amp;配列!E786,3)))</f>
        <v/>
      </c>
      <c r="J786">
        <f>配列!F746</f>
        <v>0</v>
      </c>
      <c r="K786" s="2" t="e">
        <f>_xlfn.XLOOKUP(E786,セットアップレポート_紐づけ用!A:A,セットアップレポート_紐づけ用!R:R)</f>
        <v>#N/A</v>
      </c>
      <c r="L786" t="e">
        <f t="shared" si="49"/>
        <v>#N/A</v>
      </c>
      <c r="M786" t="e">
        <f>_xlfn.XLOOKUP(L786,EGPro!A:A,EGPro!D:D)</f>
        <v>#N/A</v>
      </c>
      <c r="N786" t="e">
        <f>_xlfn.XLOOKUP(L786,EGPro!A:A,EGPro!C:C)</f>
        <v>#N/A</v>
      </c>
      <c r="O786" t="e">
        <f t="shared" si="50"/>
        <v>#N/A</v>
      </c>
      <c r="P786" t="e">
        <f>_xlfn.XLOOKUP(O786,EGPro!A:A,EGPro!D:D)</f>
        <v>#N/A</v>
      </c>
      <c r="Q786" t="e">
        <f>_xlfn.XLOOKUP(O786,EGPro!A:A,EGPro!C:C)</f>
        <v>#N/A</v>
      </c>
    </row>
    <row r="787" spans="1:17" x14ac:dyDescent="0.45">
      <c r="A787" s="3">
        <f>配列!B747</f>
        <v>0</v>
      </c>
      <c r="B787" s="3" t="e">
        <f>_xlfn.XLOOKUP(A787,対応表!A:A,対応表!B:B)</f>
        <v>#N/A</v>
      </c>
      <c r="C787" s="3">
        <f>配列!C747</f>
        <v>0</v>
      </c>
      <c r="D787" s="3" t="str">
        <f>IF(配列!E747="",RIGHT(配列!D747&amp;配列!E747,4)&amp;"L",RIGHT(配列!D747&amp;配列!E747,5))</f>
        <v>L</v>
      </c>
      <c r="E787" s="3">
        <f t="shared" si="48"/>
        <v>0</v>
      </c>
      <c r="F787" s="3" t="e">
        <f>_xlfn.XLOOKUP(E787,セットアップレポート_紐づけ用!A:A,セットアップレポート_紐づけ用!J:J)</f>
        <v>#N/A</v>
      </c>
      <c r="G787" s="3" t="e">
        <f>_xlfn.XLOOKUP(E787,セットアップレポート_紐づけ用!A:A,セットアップレポート_紐づけ用!V:V)</f>
        <v>#N/A</v>
      </c>
      <c r="H787" s="3">
        <f t="shared" si="51"/>
        <v>-2</v>
      </c>
      <c r="I787" t="str">
        <f>IF(J787=0,"",IF(配列!E787="",マクロ実行!$A$16 &amp;" T"&amp;H787&amp;"-"&amp;RIGHT(配列!D787&amp;配列!E787,2),マクロ実行!$A$16 &amp;" T"&amp;H787&amp;"-"&amp;RIGHT(配列!D787&amp;配列!E787,3)))</f>
        <v/>
      </c>
      <c r="J787">
        <f>配列!F747</f>
        <v>0</v>
      </c>
      <c r="K787" s="2" t="e">
        <f>_xlfn.XLOOKUP(E787,セットアップレポート_紐づけ用!A:A,セットアップレポート_紐づけ用!R:R)</f>
        <v>#N/A</v>
      </c>
      <c r="L787" t="e">
        <f t="shared" si="49"/>
        <v>#N/A</v>
      </c>
      <c r="M787" t="e">
        <f>_xlfn.XLOOKUP(L787,EGPro!A:A,EGPro!D:D)</f>
        <v>#N/A</v>
      </c>
      <c r="N787" t="e">
        <f>_xlfn.XLOOKUP(L787,EGPro!A:A,EGPro!C:C)</f>
        <v>#N/A</v>
      </c>
      <c r="O787" t="e">
        <f t="shared" si="50"/>
        <v>#N/A</v>
      </c>
      <c r="P787" t="e">
        <f>_xlfn.XLOOKUP(O787,EGPro!A:A,EGPro!D:D)</f>
        <v>#N/A</v>
      </c>
      <c r="Q787" t="e">
        <f>_xlfn.XLOOKUP(O787,EGPro!A:A,EGPro!C:C)</f>
        <v>#N/A</v>
      </c>
    </row>
    <row r="788" spans="1:17" x14ac:dyDescent="0.45">
      <c r="A788" s="3">
        <f>配列!B748</f>
        <v>0</v>
      </c>
      <c r="B788" s="3" t="e">
        <f>_xlfn.XLOOKUP(A788,対応表!A:A,対応表!B:B)</f>
        <v>#N/A</v>
      </c>
      <c r="C788" s="3">
        <f>配列!C748</f>
        <v>0</v>
      </c>
      <c r="D788" s="3" t="str">
        <f>IF(配列!E748="",RIGHT(配列!D748&amp;配列!E748,4)&amp;"L",RIGHT(配列!D748&amp;配列!E748,5))</f>
        <v>L</v>
      </c>
      <c r="E788" s="3">
        <f t="shared" si="48"/>
        <v>0</v>
      </c>
      <c r="F788" s="3" t="e">
        <f>_xlfn.XLOOKUP(E788,セットアップレポート_紐づけ用!A:A,セットアップレポート_紐づけ用!J:J)</f>
        <v>#N/A</v>
      </c>
      <c r="G788" s="3" t="e">
        <f>_xlfn.XLOOKUP(E788,セットアップレポート_紐づけ用!A:A,セットアップレポート_紐づけ用!V:V)</f>
        <v>#N/A</v>
      </c>
      <c r="H788" s="3">
        <f t="shared" si="51"/>
        <v>-2</v>
      </c>
      <c r="I788" t="str">
        <f>IF(J788=0,"",IF(配列!E788="",マクロ実行!$A$16 &amp;" T"&amp;H788&amp;"-"&amp;RIGHT(配列!D788&amp;配列!E788,2),マクロ実行!$A$16 &amp;" T"&amp;H788&amp;"-"&amp;RIGHT(配列!D788&amp;配列!E788,3)))</f>
        <v/>
      </c>
      <c r="J788">
        <f>配列!F748</f>
        <v>0</v>
      </c>
      <c r="K788" s="2" t="e">
        <f>_xlfn.XLOOKUP(E788,セットアップレポート_紐づけ用!A:A,セットアップレポート_紐づけ用!R:R)</f>
        <v>#N/A</v>
      </c>
      <c r="L788" t="e">
        <f t="shared" si="49"/>
        <v>#N/A</v>
      </c>
      <c r="M788" t="e">
        <f>_xlfn.XLOOKUP(L788,EGPro!A:A,EGPro!D:D)</f>
        <v>#N/A</v>
      </c>
      <c r="N788" t="e">
        <f>_xlfn.XLOOKUP(L788,EGPro!A:A,EGPro!C:C)</f>
        <v>#N/A</v>
      </c>
      <c r="O788" t="e">
        <f t="shared" si="50"/>
        <v>#N/A</v>
      </c>
      <c r="P788" t="e">
        <f>_xlfn.XLOOKUP(O788,EGPro!A:A,EGPro!D:D)</f>
        <v>#N/A</v>
      </c>
      <c r="Q788" t="e">
        <f>_xlfn.XLOOKUP(O788,EGPro!A:A,EGPro!C:C)</f>
        <v>#N/A</v>
      </c>
    </row>
    <row r="789" spans="1:17" x14ac:dyDescent="0.45">
      <c r="A789" s="3">
        <f>配列!B749</f>
        <v>0</v>
      </c>
      <c r="B789" s="3" t="e">
        <f>_xlfn.XLOOKUP(A789,対応表!A:A,対応表!B:B)</f>
        <v>#N/A</v>
      </c>
      <c r="C789" s="3">
        <f>配列!C749</f>
        <v>0</v>
      </c>
      <c r="D789" s="3" t="str">
        <f>IF(配列!E749="",RIGHT(配列!D749&amp;配列!E749,4)&amp;"L",RIGHT(配列!D749&amp;配列!E749,5))</f>
        <v>L</v>
      </c>
      <c r="E789" s="3">
        <f t="shared" si="48"/>
        <v>0</v>
      </c>
      <c r="F789" s="3" t="e">
        <f>_xlfn.XLOOKUP(E789,セットアップレポート_紐づけ用!A:A,セットアップレポート_紐づけ用!J:J)</f>
        <v>#N/A</v>
      </c>
      <c r="G789" s="3" t="e">
        <f>_xlfn.XLOOKUP(E789,セットアップレポート_紐づけ用!A:A,セットアップレポート_紐づけ用!V:V)</f>
        <v>#N/A</v>
      </c>
      <c r="H789" s="3">
        <f t="shared" si="51"/>
        <v>-2</v>
      </c>
      <c r="I789" t="str">
        <f>IF(J789=0,"",IF(配列!E789="",マクロ実行!$A$16 &amp;" T"&amp;H789&amp;"-"&amp;RIGHT(配列!D789&amp;配列!E789,2),マクロ実行!$A$16 &amp;" T"&amp;H789&amp;"-"&amp;RIGHT(配列!D789&amp;配列!E789,3)))</f>
        <v/>
      </c>
      <c r="J789">
        <f>配列!F749</f>
        <v>0</v>
      </c>
      <c r="K789" s="2" t="e">
        <f>_xlfn.XLOOKUP(E789,セットアップレポート_紐づけ用!A:A,セットアップレポート_紐づけ用!R:R)</f>
        <v>#N/A</v>
      </c>
      <c r="L789" t="e">
        <f t="shared" si="49"/>
        <v>#N/A</v>
      </c>
      <c r="M789" t="e">
        <f>_xlfn.XLOOKUP(L789,EGPro!A:A,EGPro!D:D)</f>
        <v>#N/A</v>
      </c>
      <c r="N789" t="e">
        <f>_xlfn.XLOOKUP(L789,EGPro!A:A,EGPro!C:C)</f>
        <v>#N/A</v>
      </c>
      <c r="O789" t="e">
        <f t="shared" si="50"/>
        <v>#N/A</v>
      </c>
      <c r="P789" t="e">
        <f>_xlfn.XLOOKUP(O789,EGPro!A:A,EGPro!D:D)</f>
        <v>#N/A</v>
      </c>
      <c r="Q789" t="e">
        <f>_xlfn.XLOOKUP(O789,EGPro!A:A,EGPro!C:C)</f>
        <v>#N/A</v>
      </c>
    </row>
    <row r="790" spans="1:17" x14ac:dyDescent="0.45">
      <c r="A790" s="3">
        <f>配列!B750</f>
        <v>0</v>
      </c>
      <c r="B790" s="3" t="e">
        <f>_xlfn.XLOOKUP(A790,対応表!A:A,対応表!B:B)</f>
        <v>#N/A</v>
      </c>
      <c r="C790" s="3">
        <f>配列!C750</f>
        <v>0</v>
      </c>
      <c r="D790" s="3" t="str">
        <f>IF(配列!E750="",RIGHT(配列!D750&amp;配列!E750,4)&amp;"L",RIGHT(配列!D750&amp;配列!E750,5))</f>
        <v>L</v>
      </c>
      <c r="E790" s="3">
        <f t="shared" si="48"/>
        <v>0</v>
      </c>
      <c r="F790" s="3" t="e">
        <f>_xlfn.XLOOKUP(E790,セットアップレポート_紐づけ用!A:A,セットアップレポート_紐づけ用!J:J)</f>
        <v>#N/A</v>
      </c>
      <c r="G790" s="3" t="e">
        <f>_xlfn.XLOOKUP(E790,セットアップレポート_紐づけ用!A:A,セットアップレポート_紐づけ用!V:V)</f>
        <v>#N/A</v>
      </c>
      <c r="H790" s="3">
        <f t="shared" si="51"/>
        <v>-2</v>
      </c>
      <c r="I790" t="str">
        <f>IF(J790=0,"",IF(配列!E790="",マクロ実行!$A$16 &amp;" T"&amp;H790&amp;"-"&amp;RIGHT(配列!D790&amp;配列!E790,2),マクロ実行!$A$16 &amp;" T"&amp;H790&amp;"-"&amp;RIGHT(配列!D790&amp;配列!E790,3)))</f>
        <v/>
      </c>
      <c r="J790">
        <f>配列!F750</f>
        <v>0</v>
      </c>
      <c r="K790" s="2" t="e">
        <f>_xlfn.XLOOKUP(E790,セットアップレポート_紐づけ用!A:A,セットアップレポート_紐づけ用!R:R)</f>
        <v>#N/A</v>
      </c>
      <c r="L790" t="e">
        <f t="shared" si="49"/>
        <v>#N/A</v>
      </c>
      <c r="M790" t="e">
        <f>_xlfn.XLOOKUP(L790,EGPro!A:A,EGPro!D:D)</f>
        <v>#N/A</v>
      </c>
      <c r="N790" t="e">
        <f>_xlfn.XLOOKUP(L790,EGPro!A:A,EGPro!C:C)</f>
        <v>#N/A</v>
      </c>
      <c r="O790" t="e">
        <f t="shared" si="50"/>
        <v>#N/A</v>
      </c>
      <c r="P790" t="e">
        <f>_xlfn.XLOOKUP(O790,EGPro!A:A,EGPro!D:D)</f>
        <v>#N/A</v>
      </c>
      <c r="Q790" t="e">
        <f>_xlfn.XLOOKUP(O790,EGPro!A:A,EGPro!C:C)</f>
        <v>#N/A</v>
      </c>
    </row>
    <row r="791" spans="1:17" x14ac:dyDescent="0.45">
      <c r="A791" s="3">
        <f>配列!B751</f>
        <v>0</v>
      </c>
      <c r="B791" s="3" t="e">
        <f>_xlfn.XLOOKUP(A791,対応表!A:A,対応表!B:B)</f>
        <v>#N/A</v>
      </c>
      <c r="C791" s="3">
        <f>配列!C751</f>
        <v>0</v>
      </c>
      <c r="D791" s="3" t="str">
        <f>IF(配列!E751="",RIGHT(配列!D751&amp;配列!E751,4)&amp;"L",RIGHT(配列!D751&amp;配列!E751,5))</f>
        <v>L</v>
      </c>
      <c r="E791" s="3">
        <f t="shared" si="48"/>
        <v>0</v>
      </c>
      <c r="F791" s="3" t="e">
        <f>_xlfn.XLOOKUP(E791,セットアップレポート_紐づけ用!A:A,セットアップレポート_紐づけ用!J:J)</f>
        <v>#N/A</v>
      </c>
      <c r="G791" s="3" t="e">
        <f>_xlfn.XLOOKUP(E791,セットアップレポート_紐づけ用!A:A,セットアップレポート_紐づけ用!V:V)</f>
        <v>#N/A</v>
      </c>
      <c r="H791" s="3">
        <f t="shared" si="51"/>
        <v>-2</v>
      </c>
      <c r="I791" t="str">
        <f>IF(J791=0,"",IF(配列!E791="",マクロ実行!$A$16 &amp;" T"&amp;H791&amp;"-"&amp;RIGHT(配列!D791&amp;配列!E791,2),マクロ実行!$A$16 &amp;" T"&amp;H791&amp;"-"&amp;RIGHT(配列!D791&amp;配列!E791,3)))</f>
        <v/>
      </c>
      <c r="J791">
        <f>配列!F751</f>
        <v>0</v>
      </c>
      <c r="K791" s="2" t="e">
        <f>_xlfn.XLOOKUP(E791,セットアップレポート_紐づけ用!A:A,セットアップレポート_紐づけ用!R:R)</f>
        <v>#N/A</v>
      </c>
      <c r="L791" t="e">
        <f t="shared" si="49"/>
        <v>#N/A</v>
      </c>
      <c r="M791" t="e">
        <f>_xlfn.XLOOKUP(L791,EGPro!A:A,EGPro!D:D)</f>
        <v>#N/A</v>
      </c>
      <c r="N791" t="e">
        <f>_xlfn.XLOOKUP(L791,EGPro!A:A,EGPro!C:C)</f>
        <v>#N/A</v>
      </c>
      <c r="O791" t="e">
        <f t="shared" si="50"/>
        <v>#N/A</v>
      </c>
      <c r="P791" t="e">
        <f>_xlfn.XLOOKUP(O791,EGPro!A:A,EGPro!D:D)</f>
        <v>#N/A</v>
      </c>
      <c r="Q791" t="e">
        <f>_xlfn.XLOOKUP(O791,EGPro!A:A,EGPro!C:C)</f>
        <v>#N/A</v>
      </c>
    </row>
    <row r="792" spans="1:17" x14ac:dyDescent="0.45">
      <c r="A792" s="3">
        <f>配列!B752</f>
        <v>0</v>
      </c>
      <c r="B792" s="3" t="e">
        <f>_xlfn.XLOOKUP(A792,対応表!A:A,対応表!B:B)</f>
        <v>#N/A</v>
      </c>
      <c r="C792" s="3">
        <f>配列!C752</f>
        <v>0</v>
      </c>
      <c r="D792" s="3" t="str">
        <f>IF(配列!E752="",RIGHT(配列!D752&amp;配列!E752,4)&amp;"L",RIGHT(配列!D752&amp;配列!E752,5))</f>
        <v>L</v>
      </c>
      <c r="E792" s="3">
        <f t="shared" si="48"/>
        <v>0</v>
      </c>
      <c r="F792" s="3" t="e">
        <f>_xlfn.XLOOKUP(E792,セットアップレポート_紐づけ用!A:A,セットアップレポート_紐づけ用!J:J)</f>
        <v>#N/A</v>
      </c>
      <c r="G792" s="3" t="e">
        <f>_xlfn.XLOOKUP(E792,セットアップレポート_紐づけ用!A:A,セットアップレポート_紐づけ用!V:V)</f>
        <v>#N/A</v>
      </c>
      <c r="H792" s="3">
        <f t="shared" si="51"/>
        <v>-2</v>
      </c>
      <c r="I792" t="str">
        <f>IF(J792=0,"",IF(配列!E792="",マクロ実行!$A$16 &amp;" T"&amp;H792&amp;"-"&amp;RIGHT(配列!D792&amp;配列!E792,2),マクロ実行!$A$16 &amp;" T"&amp;H792&amp;"-"&amp;RIGHT(配列!D792&amp;配列!E792,3)))</f>
        <v/>
      </c>
      <c r="J792">
        <f>配列!F752</f>
        <v>0</v>
      </c>
      <c r="K792" s="2" t="e">
        <f>_xlfn.XLOOKUP(E792,セットアップレポート_紐づけ用!A:A,セットアップレポート_紐づけ用!R:R)</f>
        <v>#N/A</v>
      </c>
      <c r="L792" t="e">
        <f t="shared" si="49"/>
        <v>#N/A</v>
      </c>
      <c r="M792" t="e">
        <f>_xlfn.XLOOKUP(L792,EGPro!A:A,EGPro!D:D)</f>
        <v>#N/A</v>
      </c>
      <c r="N792" t="e">
        <f>_xlfn.XLOOKUP(L792,EGPro!A:A,EGPro!C:C)</f>
        <v>#N/A</v>
      </c>
      <c r="O792" t="e">
        <f t="shared" si="50"/>
        <v>#N/A</v>
      </c>
      <c r="P792" t="e">
        <f>_xlfn.XLOOKUP(O792,EGPro!A:A,EGPro!D:D)</f>
        <v>#N/A</v>
      </c>
      <c r="Q792" t="e">
        <f>_xlfn.XLOOKUP(O792,EGPro!A:A,EGPro!C:C)</f>
        <v>#N/A</v>
      </c>
    </row>
    <row r="793" spans="1:17" x14ac:dyDescent="0.45">
      <c r="A793" s="3">
        <f>配列!B753</f>
        <v>0</v>
      </c>
      <c r="B793" s="3" t="e">
        <f>_xlfn.XLOOKUP(A793,対応表!A:A,対応表!B:B)</f>
        <v>#N/A</v>
      </c>
      <c r="C793" s="3">
        <f>配列!C753</f>
        <v>0</v>
      </c>
      <c r="D793" s="3" t="str">
        <f>IF(配列!E753="",RIGHT(配列!D753&amp;配列!E753,4)&amp;"L",RIGHT(配列!D753&amp;配列!E753,5))</f>
        <v>L</v>
      </c>
      <c r="E793" s="3">
        <f t="shared" si="48"/>
        <v>0</v>
      </c>
      <c r="F793" s="3" t="e">
        <f>_xlfn.XLOOKUP(E793,セットアップレポート_紐づけ用!A:A,セットアップレポート_紐づけ用!J:J)</f>
        <v>#N/A</v>
      </c>
      <c r="G793" s="3" t="e">
        <f>_xlfn.XLOOKUP(E793,セットアップレポート_紐づけ用!A:A,セットアップレポート_紐づけ用!V:V)</f>
        <v>#N/A</v>
      </c>
      <c r="H793" s="3">
        <f t="shared" si="51"/>
        <v>-2</v>
      </c>
      <c r="I793" t="str">
        <f>IF(J793=0,"",IF(配列!E793="",マクロ実行!$A$16 &amp;" T"&amp;H793&amp;"-"&amp;RIGHT(配列!D793&amp;配列!E793,2),マクロ実行!$A$16 &amp;" T"&amp;H793&amp;"-"&amp;RIGHT(配列!D793&amp;配列!E793,3)))</f>
        <v/>
      </c>
      <c r="J793">
        <f>配列!F753</f>
        <v>0</v>
      </c>
      <c r="K793" s="2" t="e">
        <f>_xlfn.XLOOKUP(E793,セットアップレポート_紐づけ用!A:A,セットアップレポート_紐づけ用!R:R)</f>
        <v>#N/A</v>
      </c>
      <c r="L793" t="e">
        <f t="shared" si="49"/>
        <v>#N/A</v>
      </c>
      <c r="M793" t="e">
        <f>_xlfn.XLOOKUP(L793,EGPro!A:A,EGPro!D:D)</f>
        <v>#N/A</v>
      </c>
      <c r="N793" t="e">
        <f>_xlfn.XLOOKUP(L793,EGPro!A:A,EGPro!C:C)</f>
        <v>#N/A</v>
      </c>
      <c r="O793" t="e">
        <f t="shared" si="50"/>
        <v>#N/A</v>
      </c>
      <c r="P793" t="e">
        <f>_xlfn.XLOOKUP(O793,EGPro!A:A,EGPro!D:D)</f>
        <v>#N/A</v>
      </c>
      <c r="Q793" t="e">
        <f>_xlfn.XLOOKUP(O793,EGPro!A:A,EGPro!C:C)</f>
        <v>#N/A</v>
      </c>
    </row>
    <row r="794" spans="1:17" x14ac:dyDescent="0.45">
      <c r="A794" s="3">
        <f>配列!B754</f>
        <v>0</v>
      </c>
      <c r="B794" s="3" t="e">
        <f>_xlfn.XLOOKUP(A794,対応表!A:A,対応表!B:B)</f>
        <v>#N/A</v>
      </c>
      <c r="C794" s="3">
        <f>配列!C754</f>
        <v>0</v>
      </c>
      <c r="D794" s="3" t="str">
        <f>IF(配列!E754="",RIGHT(配列!D754&amp;配列!E754,4)&amp;"L",RIGHT(配列!D754&amp;配列!E754,5))</f>
        <v>L</v>
      </c>
      <c r="E794" s="3">
        <f t="shared" si="48"/>
        <v>0</v>
      </c>
      <c r="F794" s="3" t="e">
        <f>_xlfn.XLOOKUP(E794,セットアップレポート_紐づけ用!A:A,セットアップレポート_紐づけ用!J:J)</f>
        <v>#N/A</v>
      </c>
      <c r="G794" s="3" t="e">
        <f>_xlfn.XLOOKUP(E794,セットアップレポート_紐づけ用!A:A,セットアップレポート_紐づけ用!V:V)</f>
        <v>#N/A</v>
      </c>
      <c r="H794" s="3">
        <f t="shared" si="51"/>
        <v>-2</v>
      </c>
      <c r="I794" t="str">
        <f>IF(J794=0,"",IF(配列!E794="",マクロ実行!$A$16 &amp;" T"&amp;H794&amp;"-"&amp;RIGHT(配列!D794&amp;配列!E794,2),マクロ実行!$A$16 &amp;" T"&amp;H794&amp;"-"&amp;RIGHT(配列!D794&amp;配列!E794,3)))</f>
        <v/>
      </c>
      <c r="J794">
        <f>配列!F754</f>
        <v>0</v>
      </c>
      <c r="K794" s="2" t="e">
        <f>_xlfn.XLOOKUP(E794,セットアップレポート_紐づけ用!A:A,セットアップレポート_紐づけ用!R:R)</f>
        <v>#N/A</v>
      </c>
      <c r="L794" t="e">
        <f t="shared" si="49"/>
        <v>#N/A</v>
      </c>
      <c r="M794" t="e">
        <f>_xlfn.XLOOKUP(L794,EGPro!A:A,EGPro!D:D)</f>
        <v>#N/A</v>
      </c>
      <c r="N794" t="e">
        <f>_xlfn.XLOOKUP(L794,EGPro!A:A,EGPro!C:C)</f>
        <v>#N/A</v>
      </c>
      <c r="O794" t="e">
        <f t="shared" si="50"/>
        <v>#N/A</v>
      </c>
      <c r="P794" t="e">
        <f>_xlfn.XLOOKUP(O794,EGPro!A:A,EGPro!D:D)</f>
        <v>#N/A</v>
      </c>
      <c r="Q794" t="e">
        <f>_xlfn.XLOOKUP(O794,EGPro!A:A,EGPro!C:C)</f>
        <v>#N/A</v>
      </c>
    </row>
    <row r="795" spans="1:17" x14ac:dyDescent="0.45">
      <c r="A795" s="3">
        <f>配列!B755</f>
        <v>0</v>
      </c>
      <c r="B795" s="3" t="e">
        <f>_xlfn.XLOOKUP(A795,対応表!A:A,対応表!B:B)</f>
        <v>#N/A</v>
      </c>
      <c r="C795" s="3">
        <f>配列!C755</f>
        <v>0</v>
      </c>
      <c r="D795" s="3" t="str">
        <f>IF(配列!E755="",RIGHT(配列!D755&amp;配列!E755,4)&amp;"L",RIGHT(配列!D755&amp;配列!E755,5))</f>
        <v>L</v>
      </c>
      <c r="E795" s="3">
        <f t="shared" si="48"/>
        <v>0</v>
      </c>
      <c r="F795" s="3" t="e">
        <f>_xlfn.XLOOKUP(E795,セットアップレポート_紐づけ用!A:A,セットアップレポート_紐づけ用!J:J)</f>
        <v>#N/A</v>
      </c>
      <c r="G795" s="3" t="e">
        <f>_xlfn.XLOOKUP(E795,セットアップレポート_紐づけ用!A:A,セットアップレポート_紐づけ用!V:V)</f>
        <v>#N/A</v>
      </c>
      <c r="H795" s="3">
        <f t="shared" si="51"/>
        <v>-2</v>
      </c>
      <c r="I795" t="str">
        <f>IF(J795=0,"",IF(配列!E795="",マクロ実行!$A$16 &amp;" T"&amp;H795&amp;"-"&amp;RIGHT(配列!D795&amp;配列!E795,2),マクロ実行!$A$16 &amp;" T"&amp;H795&amp;"-"&amp;RIGHT(配列!D795&amp;配列!E795,3)))</f>
        <v/>
      </c>
      <c r="J795">
        <f>配列!F755</f>
        <v>0</v>
      </c>
      <c r="K795" s="2" t="e">
        <f>_xlfn.XLOOKUP(E795,セットアップレポート_紐づけ用!A:A,セットアップレポート_紐づけ用!R:R)</f>
        <v>#N/A</v>
      </c>
      <c r="L795" t="e">
        <f t="shared" si="49"/>
        <v>#N/A</v>
      </c>
      <c r="M795" t="e">
        <f>_xlfn.XLOOKUP(L795,EGPro!A:A,EGPro!D:D)</f>
        <v>#N/A</v>
      </c>
      <c r="N795" t="e">
        <f>_xlfn.XLOOKUP(L795,EGPro!A:A,EGPro!C:C)</f>
        <v>#N/A</v>
      </c>
      <c r="O795" t="e">
        <f t="shared" si="50"/>
        <v>#N/A</v>
      </c>
      <c r="P795" t="e">
        <f>_xlfn.XLOOKUP(O795,EGPro!A:A,EGPro!D:D)</f>
        <v>#N/A</v>
      </c>
      <c r="Q795" t="e">
        <f>_xlfn.XLOOKUP(O795,EGPro!A:A,EGPro!C:C)</f>
        <v>#N/A</v>
      </c>
    </row>
    <row r="796" spans="1:17" x14ac:dyDescent="0.45">
      <c r="A796" s="3">
        <f>配列!B756</f>
        <v>0</v>
      </c>
      <c r="B796" s="3" t="e">
        <f>_xlfn.XLOOKUP(A796,対応表!A:A,対応表!B:B)</f>
        <v>#N/A</v>
      </c>
      <c r="C796" s="3">
        <f>配列!C756</f>
        <v>0</v>
      </c>
      <c r="D796" s="3" t="str">
        <f>IF(配列!E756="",RIGHT(配列!D756&amp;配列!E756,4)&amp;"L",RIGHT(配列!D756&amp;配列!E756,5))</f>
        <v>L</v>
      </c>
      <c r="E796" s="3">
        <f t="shared" si="48"/>
        <v>0</v>
      </c>
      <c r="F796" s="3" t="e">
        <f>_xlfn.XLOOKUP(E796,セットアップレポート_紐づけ用!A:A,セットアップレポート_紐づけ用!J:J)</f>
        <v>#N/A</v>
      </c>
      <c r="G796" s="3" t="e">
        <f>_xlfn.XLOOKUP(E796,セットアップレポート_紐づけ用!A:A,セットアップレポート_紐づけ用!V:V)</f>
        <v>#N/A</v>
      </c>
      <c r="H796" s="3">
        <f t="shared" si="51"/>
        <v>-2</v>
      </c>
      <c r="I796" t="str">
        <f>IF(J796=0,"",IF(配列!E796="",マクロ実行!$A$16 &amp;" T"&amp;H796&amp;"-"&amp;RIGHT(配列!D796&amp;配列!E796,2),マクロ実行!$A$16 &amp;" T"&amp;H796&amp;"-"&amp;RIGHT(配列!D796&amp;配列!E796,3)))</f>
        <v/>
      </c>
      <c r="J796">
        <f>配列!F756</f>
        <v>0</v>
      </c>
      <c r="K796" s="2" t="e">
        <f>_xlfn.XLOOKUP(E796,セットアップレポート_紐づけ用!A:A,セットアップレポート_紐づけ用!R:R)</f>
        <v>#N/A</v>
      </c>
      <c r="L796" t="e">
        <f t="shared" si="49"/>
        <v>#N/A</v>
      </c>
      <c r="M796" t="e">
        <f>_xlfn.XLOOKUP(L796,EGPro!A:A,EGPro!D:D)</f>
        <v>#N/A</v>
      </c>
      <c r="N796" t="e">
        <f>_xlfn.XLOOKUP(L796,EGPro!A:A,EGPro!C:C)</f>
        <v>#N/A</v>
      </c>
      <c r="O796" t="e">
        <f t="shared" si="50"/>
        <v>#N/A</v>
      </c>
      <c r="P796" t="e">
        <f>_xlfn.XLOOKUP(O796,EGPro!A:A,EGPro!D:D)</f>
        <v>#N/A</v>
      </c>
      <c r="Q796" t="e">
        <f>_xlfn.XLOOKUP(O796,EGPro!A:A,EGPro!C:C)</f>
        <v>#N/A</v>
      </c>
    </row>
    <row r="797" spans="1:17" x14ac:dyDescent="0.45">
      <c r="A797" s="3">
        <f>配列!B757</f>
        <v>0</v>
      </c>
      <c r="B797" s="3" t="e">
        <f>_xlfn.XLOOKUP(A797,対応表!A:A,対応表!B:B)</f>
        <v>#N/A</v>
      </c>
      <c r="C797" s="3">
        <f>配列!C757</f>
        <v>0</v>
      </c>
      <c r="D797" s="3" t="str">
        <f>IF(配列!E757="",RIGHT(配列!D757&amp;配列!E757,4)&amp;"L",RIGHT(配列!D757&amp;配列!E757,5))</f>
        <v>L</v>
      </c>
      <c r="E797" s="3">
        <f t="shared" si="48"/>
        <v>0</v>
      </c>
      <c r="F797" s="3" t="e">
        <f>_xlfn.XLOOKUP(E797,セットアップレポート_紐づけ用!A:A,セットアップレポート_紐づけ用!J:J)</f>
        <v>#N/A</v>
      </c>
      <c r="G797" s="3" t="e">
        <f>_xlfn.XLOOKUP(E797,セットアップレポート_紐づけ用!A:A,セットアップレポート_紐づけ用!V:V)</f>
        <v>#N/A</v>
      </c>
      <c r="H797" s="3">
        <f t="shared" si="51"/>
        <v>-2</v>
      </c>
      <c r="I797" t="str">
        <f>IF(J797=0,"",IF(配列!E797="",マクロ実行!$A$16 &amp;" T"&amp;H797&amp;"-"&amp;RIGHT(配列!D797&amp;配列!E797,2),マクロ実行!$A$16 &amp;" T"&amp;H797&amp;"-"&amp;RIGHT(配列!D797&amp;配列!E797,3)))</f>
        <v/>
      </c>
      <c r="J797">
        <f>配列!F757</f>
        <v>0</v>
      </c>
      <c r="K797" s="2" t="e">
        <f>_xlfn.XLOOKUP(E797,セットアップレポート_紐づけ用!A:A,セットアップレポート_紐づけ用!R:R)</f>
        <v>#N/A</v>
      </c>
      <c r="L797" t="e">
        <f t="shared" si="49"/>
        <v>#N/A</v>
      </c>
      <c r="M797" t="e">
        <f>_xlfn.XLOOKUP(L797,EGPro!A:A,EGPro!D:D)</f>
        <v>#N/A</v>
      </c>
      <c r="N797" t="e">
        <f>_xlfn.XLOOKUP(L797,EGPro!A:A,EGPro!C:C)</f>
        <v>#N/A</v>
      </c>
      <c r="O797" t="e">
        <f t="shared" si="50"/>
        <v>#N/A</v>
      </c>
      <c r="P797" t="e">
        <f>_xlfn.XLOOKUP(O797,EGPro!A:A,EGPro!D:D)</f>
        <v>#N/A</v>
      </c>
      <c r="Q797" t="e">
        <f>_xlfn.XLOOKUP(O797,EGPro!A:A,EGPro!C:C)</f>
        <v>#N/A</v>
      </c>
    </row>
    <row r="798" spans="1:17" x14ac:dyDescent="0.45">
      <c r="A798" s="3">
        <f>配列!B758</f>
        <v>0</v>
      </c>
      <c r="B798" s="3" t="e">
        <f>_xlfn.XLOOKUP(A798,対応表!A:A,対応表!B:B)</f>
        <v>#N/A</v>
      </c>
      <c r="C798" s="3">
        <f>配列!C758</f>
        <v>0</v>
      </c>
      <c r="D798" s="3" t="str">
        <f>IF(配列!E758="",RIGHT(配列!D758&amp;配列!E758,4)&amp;"L",RIGHT(配列!D758&amp;配列!E758,5))</f>
        <v>L</v>
      </c>
      <c r="E798" s="3">
        <f t="shared" si="48"/>
        <v>0</v>
      </c>
      <c r="F798" s="3" t="e">
        <f>_xlfn.XLOOKUP(E798,セットアップレポート_紐づけ用!A:A,セットアップレポート_紐づけ用!J:J)</f>
        <v>#N/A</v>
      </c>
      <c r="G798" s="3" t="e">
        <f>_xlfn.XLOOKUP(E798,セットアップレポート_紐づけ用!A:A,セットアップレポート_紐づけ用!V:V)</f>
        <v>#N/A</v>
      </c>
      <c r="H798" s="3">
        <f t="shared" si="51"/>
        <v>-2</v>
      </c>
      <c r="I798" t="str">
        <f>IF(J798=0,"",IF(配列!E798="",マクロ実行!$A$16 &amp;" T"&amp;H798&amp;"-"&amp;RIGHT(配列!D798&amp;配列!E798,2),マクロ実行!$A$16 &amp;" T"&amp;H798&amp;"-"&amp;RIGHT(配列!D798&amp;配列!E798,3)))</f>
        <v/>
      </c>
      <c r="J798">
        <f>配列!F758</f>
        <v>0</v>
      </c>
      <c r="K798" s="2" t="e">
        <f>_xlfn.XLOOKUP(E798,セットアップレポート_紐づけ用!A:A,セットアップレポート_紐づけ用!R:R)</f>
        <v>#N/A</v>
      </c>
      <c r="L798" t="e">
        <f t="shared" si="49"/>
        <v>#N/A</v>
      </c>
      <c r="M798" t="e">
        <f>_xlfn.XLOOKUP(L798,EGPro!A:A,EGPro!D:D)</f>
        <v>#N/A</v>
      </c>
      <c r="N798" t="e">
        <f>_xlfn.XLOOKUP(L798,EGPro!A:A,EGPro!C:C)</f>
        <v>#N/A</v>
      </c>
      <c r="O798" t="e">
        <f t="shared" si="50"/>
        <v>#N/A</v>
      </c>
      <c r="P798" t="e">
        <f>_xlfn.XLOOKUP(O798,EGPro!A:A,EGPro!D:D)</f>
        <v>#N/A</v>
      </c>
      <c r="Q798" t="e">
        <f>_xlfn.XLOOKUP(O798,EGPro!A:A,EGPro!C:C)</f>
        <v>#N/A</v>
      </c>
    </row>
    <row r="799" spans="1:17" x14ac:dyDescent="0.45">
      <c r="A799" s="3">
        <f>配列!B759</f>
        <v>0</v>
      </c>
      <c r="B799" s="3" t="e">
        <f>_xlfn.XLOOKUP(A799,対応表!A:A,対応表!B:B)</f>
        <v>#N/A</v>
      </c>
      <c r="C799" s="3">
        <f>配列!C759</f>
        <v>0</v>
      </c>
      <c r="D799" s="3" t="str">
        <f>IF(配列!E759="",RIGHT(配列!D759&amp;配列!E759,4)&amp;"L",RIGHT(配列!D759&amp;配列!E759,5))</f>
        <v>L</v>
      </c>
      <c r="E799" s="3">
        <f t="shared" si="48"/>
        <v>0</v>
      </c>
      <c r="F799" s="3" t="e">
        <f>_xlfn.XLOOKUP(E799,セットアップレポート_紐づけ用!A:A,セットアップレポート_紐づけ用!J:J)</f>
        <v>#N/A</v>
      </c>
      <c r="G799" s="3" t="e">
        <f>_xlfn.XLOOKUP(E799,セットアップレポート_紐づけ用!A:A,セットアップレポート_紐づけ用!V:V)</f>
        <v>#N/A</v>
      </c>
      <c r="H799" s="3">
        <f t="shared" si="51"/>
        <v>-2</v>
      </c>
      <c r="I799" t="str">
        <f>IF(J799=0,"",IF(配列!E799="",マクロ実行!$A$16 &amp;" T"&amp;H799&amp;"-"&amp;RIGHT(配列!D799&amp;配列!E799,2),マクロ実行!$A$16 &amp;" T"&amp;H799&amp;"-"&amp;RIGHT(配列!D799&amp;配列!E799,3)))</f>
        <v/>
      </c>
      <c r="J799">
        <f>配列!F759</f>
        <v>0</v>
      </c>
      <c r="K799" s="2" t="e">
        <f>_xlfn.XLOOKUP(E799,セットアップレポート_紐づけ用!A:A,セットアップレポート_紐づけ用!R:R)</f>
        <v>#N/A</v>
      </c>
      <c r="L799" t="e">
        <f t="shared" si="49"/>
        <v>#N/A</v>
      </c>
      <c r="M799" t="e">
        <f>_xlfn.XLOOKUP(L799,EGPro!A:A,EGPro!D:D)</f>
        <v>#N/A</v>
      </c>
      <c r="N799" t="e">
        <f>_xlfn.XLOOKUP(L799,EGPro!A:A,EGPro!C:C)</f>
        <v>#N/A</v>
      </c>
      <c r="O799" t="e">
        <f t="shared" si="50"/>
        <v>#N/A</v>
      </c>
      <c r="P799" t="e">
        <f>_xlfn.XLOOKUP(O799,EGPro!A:A,EGPro!D:D)</f>
        <v>#N/A</v>
      </c>
      <c r="Q799" t="e">
        <f>_xlfn.XLOOKUP(O799,EGPro!A:A,EGPro!C:C)</f>
        <v>#N/A</v>
      </c>
    </row>
    <row r="800" spans="1:17" x14ac:dyDescent="0.45">
      <c r="A800" s="3">
        <f>配列!B760</f>
        <v>0</v>
      </c>
      <c r="B800" s="3" t="e">
        <f>_xlfn.XLOOKUP(A800,対応表!A:A,対応表!B:B)</f>
        <v>#N/A</v>
      </c>
      <c r="C800" s="3">
        <f>配列!C760</f>
        <v>0</v>
      </c>
      <c r="D800" s="3" t="str">
        <f>IF(配列!E760="",RIGHT(配列!D760&amp;配列!E760,4)&amp;"L",RIGHT(配列!D760&amp;配列!E760,5))</f>
        <v>L</v>
      </c>
      <c r="E800" s="3">
        <f t="shared" si="48"/>
        <v>0</v>
      </c>
      <c r="F800" s="3" t="e">
        <f>_xlfn.XLOOKUP(E800,セットアップレポート_紐づけ用!A:A,セットアップレポート_紐づけ用!J:J)</f>
        <v>#N/A</v>
      </c>
      <c r="G800" s="3" t="e">
        <f>_xlfn.XLOOKUP(E800,セットアップレポート_紐づけ用!A:A,セットアップレポート_紐づけ用!V:V)</f>
        <v>#N/A</v>
      </c>
      <c r="H800" s="3">
        <f t="shared" si="51"/>
        <v>-2</v>
      </c>
      <c r="I800" t="str">
        <f>IF(J800=0,"",IF(配列!E800="",マクロ実行!$A$16 &amp;" T"&amp;H800&amp;"-"&amp;RIGHT(配列!D800&amp;配列!E800,2),マクロ実行!$A$16 &amp;" T"&amp;H800&amp;"-"&amp;RIGHT(配列!D800&amp;配列!E800,3)))</f>
        <v/>
      </c>
      <c r="J800">
        <f>配列!F760</f>
        <v>0</v>
      </c>
      <c r="K800" s="2" t="e">
        <f>_xlfn.XLOOKUP(E800,セットアップレポート_紐づけ用!A:A,セットアップレポート_紐づけ用!R:R)</f>
        <v>#N/A</v>
      </c>
      <c r="L800" t="e">
        <f t="shared" si="49"/>
        <v>#N/A</v>
      </c>
      <c r="M800" t="e">
        <f>_xlfn.XLOOKUP(L800,EGPro!A:A,EGPro!D:D)</f>
        <v>#N/A</v>
      </c>
      <c r="N800" t="e">
        <f>_xlfn.XLOOKUP(L800,EGPro!A:A,EGPro!C:C)</f>
        <v>#N/A</v>
      </c>
      <c r="O800" t="e">
        <f t="shared" si="50"/>
        <v>#N/A</v>
      </c>
      <c r="P800" t="e">
        <f>_xlfn.XLOOKUP(O800,EGPro!A:A,EGPro!D:D)</f>
        <v>#N/A</v>
      </c>
      <c r="Q800" t="e">
        <f>_xlfn.XLOOKUP(O800,EGPro!A:A,EGPro!C:C)</f>
        <v>#N/A</v>
      </c>
    </row>
    <row r="801" spans="1:17" x14ac:dyDescent="0.45">
      <c r="A801" s="3">
        <f>配列!B761</f>
        <v>0</v>
      </c>
      <c r="B801" s="3" t="e">
        <f>_xlfn.XLOOKUP(A801,対応表!A:A,対応表!B:B)</f>
        <v>#N/A</v>
      </c>
      <c r="C801" s="3">
        <f>配列!C761</f>
        <v>0</v>
      </c>
      <c r="D801" s="3" t="str">
        <f>IF(配列!E761="",RIGHT(配列!D761&amp;配列!E761,4)&amp;"L",RIGHT(配列!D761&amp;配列!E761,5))</f>
        <v>L</v>
      </c>
      <c r="E801" s="3">
        <f t="shared" si="48"/>
        <v>0</v>
      </c>
      <c r="F801" s="3" t="e">
        <f>_xlfn.XLOOKUP(E801,セットアップレポート_紐づけ用!A:A,セットアップレポート_紐づけ用!J:J)</f>
        <v>#N/A</v>
      </c>
      <c r="G801" s="3" t="e">
        <f>_xlfn.XLOOKUP(E801,セットアップレポート_紐づけ用!A:A,セットアップレポート_紐づけ用!V:V)</f>
        <v>#N/A</v>
      </c>
      <c r="H801" s="3">
        <f t="shared" si="51"/>
        <v>-2</v>
      </c>
      <c r="I801" t="str">
        <f>IF(J801=0,"",IF(配列!E801="",マクロ実行!$A$16 &amp;" T"&amp;H801&amp;"-"&amp;RIGHT(配列!D801&amp;配列!E801,2),マクロ実行!$A$16 &amp;" T"&amp;H801&amp;"-"&amp;RIGHT(配列!D801&amp;配列!E801,3)))</f>
        <v/>
      </c>
      <c r="J801">
        <f>配列!F761</f>
        <v>0</v>
      </c>
      <c r="K801" s="2" t="e">
        <f>_xlfn.XLOOKUP(E801,セットアップレポート_紐づけ用!A:A,セットアップレポート_紐づけ用!R:R)</f>
        <v>#N/A</v>
      </c>
      <c r="L801" t="e">
        <f t="shared" si="49"/>
        <v>#N/A</v>
      </c>
      <c r="M801" t="e">
        <f>_xlfn.XLOOKUP(L801,EGPro!A:A,EGPro!D:D)</f>
        <v>#N/A</v>
      </c>
      <c r="N801" t="e">
        <f>_xlfn.XLOOKUP(L801,EGPro!A:A,EGPro!C:C)</f>
        <v>#N/A</v>
      </c>
      <c r="O801" t="e">
        <f t="shared" si="50"/>
        <v>#N/A</v>
      </c>
      <c r="P801" t="e">
        <f>_xlfn.XLOOKUP(O801,EGPro!A:A,EGPro!D:D)</f>
        <v>#N/A</v>
      </c>
      <c r="Q801" t="e">
        <f>_xlfn.XLOOKUP(O801,EGPro!A:A,EGPro!C:C)</f>
        <v>#N/A</v>
      </c>
    </row>
    <row r="802" spans="1:17" x14ac:dyDescent="0.45">
      <c r="A802" s="3">
        <f>配列!B762</f>
        <v>0</v>
      </c>
      <c r="B802" s="3" t="e">
        <f>_xlfn.XLOOKUP(A802,対応表!A:A,対応表!B:B)</f>
        <v>#N/A</v>
      </c>
      <c r="C802" s="3">
        <f>配列!C762</f>
        <v>0</v>
      </c>
      <c r="D802" s="3" t="str">
        <f>IF(配列!E762="",RIGHT(配列!D762&amp;配列!E762,4)&amp;"L",RIGHT(配列!D762&amp;配列!E762,5))</f>
        <v>L</v>
      </c>
      <c r="E802" s="3">
        <f t="shared" si="48"/>
        <v>0</v>
      </c>
      <c r="F802" s="3" t="e">
        <f>_xlfn.XLOOKUP(E802,セットアップレポート_紐づけ用!A:A,セットアップレポート_紐づけ用!J:J)</f>
        <v>#N/A</v>
      </c>
      <c r="G802" s="3" t="e">
        <f>_xlfn.XLOOKUP(E802,セットアップレポート_紐づけ用!A:A,セットアップレポート_紐づけ用!V:V)</f>
        <v>#N/A</v>
      </c>
      <c r="H802" s="3">
        <f t="shared" si="51"/>
        <v>-2</v>
      </c>
      <c r="I802" t="str">
        <f>IF(J802=0,"",IF(配列!E802="",マクロ実行!$A$16 &amp;" T"&amp;H802&amp;"-"&amp;RIGHT(配列!D802&amp;配列!E802,2),マクロ実行!$A$16 &amp;" T"&amp;H802&amp;"-"&amp;RIGHT(配列!D802&amp;配列!E802,3)))</f>
        <v/>
      </c>
      <c r="J802">
        <f>配列!F762</f>
        <v>0</v>
      </c>
      <c r="K802" s="2" t="e">
        <f>_xlfn.XLOOKUP(E802,セットアップレポート_紐づけ用!A:A,セットアップレポート_紐づけ用!R:R)</f>
        <v>#N/A</v>
      </c>
      <c r="L802" t="e">
        <f t="shared" si="49"/>
        <v>#N/A</v>
      </c>
      <c r="M802" t="e">
        <f>_xlfn.XLOOKUP(L802,EGPro!A:A,EGPro!D:D)</f>
        <v>#N/A</v>
      </c>
      <c r="N802" t="e">
        <f>_xlfn.XLOOKUP(L802,EGPro!A:A,EGPro!C:C)</f>
        <v>#N/A</v>
      </c>
      <c r="O802" t="e">
        <f t="shared" si="50"/>
        <v>#N/A</v>
      </c>
      <c r="P802" t="e">
        <f>_xlfn.XLOOKUP(O802,EGPro!A:A,EGPro!D:D)</f>
        <v>#N/A</v>
      </c>
      <c r="Q802" t="e">
        <f>_xlfn.XLOOKUP(O802,EGPro!A:A,EGPro!C:C)</f>
        <v>#N/A</v>
      </c>
    </row>
    <row r="803" spans="1:17" x14ac:dyDescent="0.45">
      <c r="A803" s="3">
        <f>配列!B763</f>
        <v>0</v>
      </c>
      <c r="B803" s="3" t="e">
        <f>_xlfn.XLOOKUP(A803,対応表!A:A,対応表!B:B)</f>
        <v>#N/A</v>
      </c>
      <c r="C803" s="3">
        <f>配列!C763</f>
        <v>0</v>
      </c>
      <c r="D803" s="3" t="str">
        <f>IF(配列!E763="",RIGHT(配列!D763&amp;配列!E763,4)&amp;"L",RIGHT(配列!D763&amp;配列!E763,5))</f>
        <v>L</v>
      </c>
      <c r="E803" s="3">
        <f t="shared" si="48"/>
        <v>0</v>
      </c>
      <c r="F803" s="3" t="e">
        <f>_xlfn.XLOOKUP(E803,セットアップレポート_紐づけ用!A:A,セットアップレポート_紐づけ用!J:J)</f>
        <v>#N/A</v>
      </c>
      <c r="G803" s="3" t="e">
        <f>_xlfn.XLOOKUP(E803,セットアップレポート_紐づけ用!A:A,セットアップレポート_紐づけ用!V:V)</f>
        <v>#N/A</v>
      </c>
      <c r="H803" s="3">
        <f t="shared" si="51"/>
        <v>-2</v>
      </c>
      <c r="I803" t="str">
        <f>IF(J803=0,"",IF(配列!E803="",マクロ実行!$A$16 &amp;" T"&amp;H803&amp;"-"&amp;RIGHT(配列!D803&amp;配列!E803,2),マクロ実行!$A$16 &amp;" T"&amp;H803&amp;"-"&amp;RIGHT(配列!D803&amp;配列!E803,3)))</f>
        <v/>
      </c>
      <c r="J803">
        <f>配列!F763</f>
        <v>0</v>
      </c>
      <c r="K803" s="2" t="e">
        <f>_xlfn.XLOOKUP(E803,セットアップレポート_紐づけ用!A:A,セットアップレポート_紐づけ用!R:R)</f>
        <v>#N/A</v>
      </c>
      <c r="L803" t="e">
        <f t="shared" si="49"/>
        <v>#N/A</v>
      </c>
      <c r="M803" t="e">
        <f>_xlfn.XLOOKUP(L803,EGPro!A:A,EGPro!D:D)</f>
        <v>#N/A</v>
      </c>
      <c r="N803" t="e">
        <f>_xlfn.XLOOKUP(L803,EGPro!A:A,EGPro!C:C)</f>
        <v>#N/A</v>
      </c>
      <c r="O803" t="e">
        <f t="shared" si="50"/>
        <v>#N/A</v>
      </c>
      <c r="P803" t="e">
        <f>_xlfn.XLOOKUP(O803,EGPro!A:A,EGPro!D:D)</f>
        <v>#N/A</v>
      </c>
      <c r="Q803" t="e">
        <f>_xlfn.XLOOKUP(O803,EGPro!A:A,EGPro!C:C)</f>
        <v>#N/A</v>
      </c>
    </row>
    <row r="804" spans="1:17" x14ac:dyDescent="0.45">
      <c r="A804" s="3">
        <f>配列!B764</f>
        <v>0</v>
      </c>
      <c r="B804" s="3" t="e">
        <f>_xlfn.XLOOKUP(A804,対応表!A:A,対応表!B:B)</f>
        <v>#N/A</v>
      </c>
      <c r="C804" s="3">
        <f>配列!C764</f>
        <v>0</v>
      </c>
      <c r="D804" s="3" t="str">
        <f>IF(配列!E764="",RIGHT(配列!D764&amp;配列!E764,4)&amp;"L",RIGHT(配列!D764&amp;配列!E764,5))</f>
        <v>L</v>
      </c>
      <c r="E804" s="3">
        <f t="shared" si="48"/>
        <v>0</v>
      </c>
      <c r="F804" s="3" t="e">
        <f>_xlfn.XLOOKUP(E804,セットアップレポート_紐づけ用!A:A,セットアップレポート_紐づけ用!J:J)</f>
        <v>#N/A</v>
      </c>
      <c r="G804" s="3" t="e">
        <f>_xlfn.XLOOKUP(E804,セットアップレポート_紐づけ用!A:A,セットアップレポート_紐づけ用!V:V)</f>
        <v>#N/A</v>
      </c>
      <c r="H804" s="3">
        <f t="shared" si="51"/>
        <v>-2</v>
      </c>
      <c r="I804" t="str">
        <f>IF(J804=0,"",IF(配列!E804="",マクロ実行!$A$16 &amp;" T"&amp;H804&amp;"-"&amp;RIGHT(配列!D804&amp;配列!E804,2),マクロ実行!$A$16 &amp;" T"&amp;H804&amp;"-"&amp;RIGHT(配列!D804&amp;配列!E804,3)))</f>
        <v/>
      </c>
      <c r="J804">
        <f>配列!F764</f>
        <v>0</v>
      </c>
      <c r="K804" s="2" t="e">
        <f>_xlfn.XLOOKUP(E804,セットアップレポート_紐づけ用!A:A,セットアップレポート_紐づけ用!R:R)</f>
        <v>#N/A</v>
      </c>
      <c r="L804" t="e">
        <f t="shared" si="49"/>
        <v>#N/A</v>
      </c>
      <c r="M804" t="e">
        <f>_xlfn.XLOOKUP(L804,EGPro!A:A,EGPro!D:D)</f>
        <v>#N/A</v>
      </c>
      <c r="N804" t="e">
        <f>_xlfn.XLOOKUP(L804,EGPro!A:A,EGPro!C:C)</f>
        <v>#N/A</v>
      </c>
      <c r="O804" t="e">
        <f t="shared" si="50"/>
        <v>#N/A</v>
      </c>
      <c r="P804" t="e">
        <f>_xlfn.XLOOKUP(O804,EGPro!A:A,EGPro!D:D)</f>
        <v>#N/A</v>
      </c>
      <c r="Q804" t="e">
        <f>_xlfn.XLOOKUP(O804,EGPro!A:A,EGPro!C:C)</f>
        <v>#N/A</v>
      </c>
    </row>
    <row r="805" spans="1:17" x14ac:dyDescent="0.45">
      <c r="A805" s="3">
        <f>配列!B765</f>
        <v>0</v>
      </c>
      <c r="B805" s="3" t="e">
        <f>_xlfn.XLOOKUP(A805,対応表!A:A,対応表!B:B)</f>
        <v>#N/A</v>
      </c>
      <c r="C805" s="3">
        <f>配列!C765</f>
        <v>0</v>
      </c>
      <c r="D805" s="3" t="str">
        <f>IF(配列!E765="",RIGHT(配列!D765&amp;配列!E765,4)&amp;"L",RIGHT(配列!D765&amp;配列!E765,5))</f>
        <v>L</v>
      </c>
      <c r="E805" s="3">
        <f t="shared" si="48"/>
        <v>0</v>
      </c>
      <c r="F805" s="3" t="e">
        <f>_xlfn.XLOOKUP(E805,セットアップレポート_紐づけ用!A:A,セットアップレポート_紐づけ用!J:J)</f>
        <v>#N/A</v>
      </c>
      <c r="G805" s="3" t="e">
        <f>_xlfn.XLOOKUP(E805,セットアップレポート_紐づけ用!A:A,セットアップレポート_紐づけ用!V:V)</f>
        <v>#N/A</v>
      </c>
      <c r="H805" s="3">
        <f t="shared" si="51"/>
        <v>-2</v>
      </c>
      <c r="I805" t="str">
        <f>IF(J805=0,"",IF(配列!E805="",マクロ実行!$A$16 &amp;" T"&amp;H805&amp;"-"&amp;RIGHT(配列!D805&amp;配列!E805,2),マクロ実行!$A$16 &amp;" T"&amp;H805&amp;"-"&amp;RIGHT(配列!D805&amp;配列!E805,3)))</f>
        <v/>
      </c>
      <c r="J805">
        <f>配列!F765</f>
        <v>0</v>
      </c>
      <c r="K805" s="2" t="e">
        <f>_xlfn.XLOOKUP(E805,セットアップレポート_紐づけ用!A:A,セットアップレポート_紐づけ用!R:R)</f>
        <v>#N/A</v>
      </c>
      <c r="L805" t="e">
        <f t="shared" si="49"/>
        <v>#N/A</v>
      </c>
      <c r="M805" t="e">
        <f>_xlfn.XLOOKUP(L805,EGPro!A:A,EGPro!D:D)</f>
        <v>#N/A</v>
      </c>
      <c r="N805" t="e">
        <f>_xlfn.XLOOKUP(L805,EGPro!A:A,EGPro!C:C)</f>
        <v>#N/A</v>
      </c>
      <c r="O805" t="e">
        <f t="shared" si="50"/>
        <v>#N/A</v>
      </c>
      <c r="P805" t="e">
        <f>_xlfn.XLOOKUP(O805,EGPro!A:A,EGPro!D:D)</f>
        <v>#N/A</v>
      </c>
      <c r="Q805" t="e">
        <f>_xlfn.XLOOKUP(O805,EGPro!A:A,EGPro!C:C)</f>
        <v>#N/A</v>
      </c>
    </row>
    <row r="806" spans="1:17" x14ac:dyDescent="0.45">
      <c r="A806" s="3">
        <f>配列!B766</f>
        <v>0</v>
      </c>
      <c r="B806" s="3" t="e">
        <f>_xlfn.XLOOKUP(A806,対応表!A:A,対応表!B:B)</f>
        <v>#N/A</v>
      </c>
      <c r="C806" s="3">
        <f>配列!C766</f>
        <v>0</v>
      </c>
      <c r="D806" s="3" t="str">
        <f>IF(配列!E766="",RIGHT(配列!D766&amp;配列!E766,4)&amp;"L",RIGHT(配列!D766&amp;配列!E766,5))</f>
        <v>L</v>
      </c>
      <c r="E806" s="3">
        <f t="shared" si="48"/>
        <v>0</v>
      </c>
      <c r="F806" s="3" t="e">
        <f>_xlfn.XLOOKUP(E806,セットアップレポート_紐づけ用!A:A,セットアップレポート_紐づけ用!J:J)</f>
        <v>#N/A</v>
      </c>
      <c r="G806" s="3" t="e">
        <f>_xlfn.XLOOKUP(E806,セットアップレポート_紐づけ用!A:A,セットアップレポート_紐づけ用!V:V)</f>
        <v>#N/A</v>
      </c>
      <c r="H806" s="3">
        <f t="shared" si="51"/>
        <v>-2</v>
      </c>
      <c r="I806" t="str">
        <f>IF(J806=0,"",IF(配列!E806="",マクロ実行!$A$16 &amp;" T"&amp;H806&amp;"-"&amp;RIGHT(配列!D806&amp;配列!E806,2),マクロ実行!$A$16 &amp;" T"&amp;H806&amp;"-"&amp;RIGHT(配列!D806&amp;配列!E806,3)))</f>
        <v/>
      </c>
      <c r="J806">
        <f>配列!F766</f>
        <v>0</v>
      </c>
      <c r="K806" s="2" t="e">
        <f>_xlfn.XLOOKUP(E806,セットアップレポート_紐づけ用!A:A,セットアップレポート_紐づけ用!R:R)</f>
        <v>#N/A</v>
      </c>
      <c r="L806" t="e">
        <f t="shared" si="49"/>
        <v>#N/A</v>
      </c>
      <c r="M806" t="e">
        <f>_xlfn.XLOOKUP(L806,EGPro!A:A,EGPro!D:D)</f>
        <v>#N/A</v>
      </c>
      <c r="N806" t="e">
        <f>_xlfn.XLOOKUP(L806,EGPro!A:A,EGPro!C:C)</f>
        <v>#N/A</v>
      </c>
      <c r="O806" t="e">
        <f t="shared" si="50"/>
        <v>#N/A</v>
      </c>
      <c r="P806" t="e">
        <f>_xlfn.XLOOKUP(O806,EGPro!A:A,EGPro!D:D)</f>
        <v>#N/A</v>
      </c>
      <c r="Q806" t="e">
        <f>_xlfn.XLOOKUP(O806,EGPro!A:A,EGPro!C:C)</f>
        <v>#N/A</v>
      </c>
    </row>
    <row r="807" spans="1:17" x14ac:dyDescent="0.45">
      <c r="A807" s="3">
        <f>配列!B767</f>
        <v>0</v>
      </c>
      <c r="B807" s="3" t="e">
        <f>_xlfn.XLOOKUP(A807,対応表!A:A,対応表!B:B)</f>
        <v>#N/A</v>
      </c>
      <c r="C807" s="3">
        <f>配列!C767</f>
        <v>0</v>
      </c>
      <c r="D807" s="3" t="str">
        <f>IF(配列!E767="",RIGHT(配列!D767&amp;配列!E767,4)&amp;"L",RIGHT(配列!D767&amp;配列!E767,5))</f>
        <v>L</v>
      </c>
      <c r="E807" s="3">
        <f t="shared" si="48"/>
        <v>0</v>
      </c>
      <c r="F807" s="3" t="e">
        <f>_xlfn.XLOOKUP(E807,セットアップレポート_紐づけ用!A:A,セットアップレポート_紐づけ用!J:J)</f>
        <v>#N/A</v>
      </c>
      <c r="G807" s="3" t="e">
        <f>_xlfn.XLOOKUP(E807,セットアップレポート_紐づけ用!A:A,セットアップレポート_紐づけ用!V:V)</f>
        <v>#N/A</v>
      </c>
      <c r="H807" s="3">
        <f t="shared" si="51"/>
        <v>-2</v>
      </c>
      <c r="I807" t="str">
        <f>IF(J807=0,"",IF(配列!E807="",マクロ実行!$A$16 &amp;" T"&amp;H807&amp;"-"&amp;RIGHT(配列!D807&amp;配列!E807,2),マクロ実行!$A$16 &amp;" T"&amp;H807&amp;"-"&amp;RIGHT(配列!D807&amp;配列!E807,3)))</f>
        <v/>
      </c>
      <c r="J807">
        <f>配列!F767</f>
        <v>0</v>
      </c>
      <c r="K807" s="2" t="e">
        <f>_xlfn.XLOOKUP(E807,セットアップレポート_紐づけ用!A:A,セットアップレポート_紐づけ用!R:R)</f>
        <v>#N/A</v>
      </c>
      <c r="L807" t="e">
        <f t="shared" si="49"/>
        <v>#N/A</v>
      </c>
      <c r="M807" t="e">
        <f>_xlfn.XLOOKUP(L807,EGPro!A:A,EGPro!D:D)</f>
        <v>#N/A</v>
      </c>
      <c r="N807" t="e">
        <f>_xlfn.XLOOKUP(L807,EGPro!A:A,EGPro!C:C)</f>
        <v>#N/A</v>
      </c>
      <c r="O807" t="e">
        <f t="shared" si="50"/>
        <v>#N/A</v>
      </c>
      <c r="P807" t="e">
        <f>_xlfn.XLOOKUP(O807,EGPro!A:A,EGPro!D:D)</f>
        <v>#N/A</v>
      </c>
      <c r="Q807" t="e">
        <f>_xlfn.XLOOKUP(O807,EGPro!A:A,EGPro!C:C)</f>
        <v>#N/A</v>
      </c>
    </row>
    <row r="808" spans="1:17" x14ac:dyDescent="0.45">
      <c r="A808" s="3">
        <f>配列!B768</f>
        <v>0</v>
      </c>
      <c r="B808" s="3" t="e">
        <f>_xlfn.XLOOKUP(A808,対応表!A:A,対応表!B:B)</f>
        <v>#N/A</v>
      </c>
      <c r="C808" s="3">
        <f>配列!C768</f>
        <v>0</v>
      </c>
      <c r="D808" s="3" t="str">
        <f>IF(配列!E768="",RIGHT(配列!D768&amp;配列!E768,4)&amp;"L",RIGHT(配列!D768&amp;配列!E768,5))</f>
        <v>L</v>
      </c>
      <c r="E808" s="3">
        <f t="shared" si="48"/>
        <v>0</v>
      </c>
      <c r="F808" s="3" t="e">
        <f>_xlfn.XLOOKUP(E808,セットアップレポート_紐づけ用!A:A,セットアップレポート_紐づけ用!J:J)</f>
        <v>#N/A</v>
      </c>
      <c r="G808" s="3" t="e">
        <f>_xlfn.XLOOKUP(E808,セットアップレポート_紐づけ用!A:A,セットアップレポート_紐づけ用!V:V)</f>
        <v>#N/A</v>
      </c>
      <c r="H808" s="3">
        <f t="shared" si="51"/>
        <v>-2</v>
      </c>
      <c r="I808" t="str">
        <f>IF(J808=0,"",IF(配列!E808="",マクロ実行!$A$16 &amp;" T"&amp;H808&amp;"-"&amp;RIGHT(配列!D808&amp;配列!E808,2),マクロ実行!$A$16 &amp;" T"&amp;H808&amp;"-"&amp;RIGHT(配列!D808&amp;配列!E808,3)))</f>
        <v/>
      </c>
      <c r="J808">
        <f>配列!F768</f>
        <v>0</v>
      </c>
      <c r="K808" s="2" t="e">
        <f>_xlfn.XLOOKUP(E808,セットアップレポート_紐づけ用!A:A,セットアップレポート_紐づけ用!R:R)</f>
        <v>#N/A</v>
      </c>
      <c r="L808" t="e">
        <f t="shared" si="49"/>
        <v>#N/A</v>
      </c>
      <c r="M808" t="e">
        <f>_xlfn.XLOOKUP(L808,EGPro!A:A,EGPro!D:D)</f>
        <v>#N/A</v>
      </c>
      <c r="N808" t="e">
        <f>_xlfn.XLOOKUP(L808,EGPro!A:A,EGPro!C:C)</f>
        <v>#N/A</v>
      </c>
      <c r="O808" t="e">
        <f t="shared" si="50"/>
        <v>#N/A</v>
      </c>
      <c r="P808" t="e">
        <f>_xlfn.XLOOKUP(O808,EGPro!A:A,EGPro!D:D)</f>
        <v>#N/A</v>
      </c>
      <c r="Q808" t="e">
        <f>_xlfn.XLOOKUP(O808,EGPro!A:A,EGPro!C:C)</f>
        <v>#N/A</v>
      </c>
    </row>
    <row r="809" spans="1:17" x14ac:dyDescent="0.45">
      <c r="A809" s="3">
        <f>配列!B769</f>
        <v>0</v>
      </c>
      <c r="B809" s="3" t="e">
        <f>_xlfn.XLOOKUP(A809,対応表!A:A,対応表!B:B)</f>
        <v>#N/A</v>
      </c>
      <c r="C809" s="3">
        <f>配列!C769</f>
        <v>0</v>
      </c>
      <c r="D809" s="3" t="str">
        <f>IF(配列!E769="",RIGHT(配列!D769&amp;配列!E769,4)&amp;"L",RIGHT(配列!D769&amp;配列!E769,5))</f>
        <v>L</v>
      </c>
      <c r="E809" s="3">
        <f t="shared" si="48"/>
        <v>0</v>
      </c>
      <c r="F809" s="3" t="e">
        <f>_xlfn.XLOOKUP(E809,セットアップレポート_紐づけ用!A:A,セットアップレポート_紐づけ用!J:J)</f>
        <v>#N/A</v>
      </c>
      <c r="G809" s="3" t="e">
        <f>_xlfn.XLOOKUP(E809,セットアップレポート_紐づけ用!A:A,セットアップレポート_紐づけ用!V:V)</f>
        <v>#N/A</v>
      </c>
      <c r="H809" s="3">
        <f t="shared" si="51"/>
        <v>-2</v>
      </c>
      <c r="I809" t="str">
        <f>IF(J809=0,"",IF(配列!E809="",マクロ実行!$A$16 &amp;" T"&amp;H809&amp;"-"&amp;RIGHT(配列!D809&amp;配列!E809,2),マクロ実行!$A$16 &amp;" T"&amp;H809&amp;"-"&amp;RIGHT(配列!D809&amp;配列!E809,3)))</f>
        <v/>
      </c>
      <c r="J809">
        <f>配列!F769</f>
        <v>0</v>
      </c>
      <c r="K809" s="2" t="e">
        <f>_xlfn.XLOOKUP(E809,セットアップレポート_紐づけ用!A:A,セットアップレポート_紐づけ用!R:R)</f>
        <v>#N/A</v>
      </c>
      <c r="L809" t="e">
        <f t="shared" si="49"/>
        <v>#N/A</v>
      </c>
      <c r="M809" t="e">
        <f>_xlfn.XLOOKUP(L809,EGPro!A:A,EGPro!D:D)</f>
        <v>#N/A</v>
      </c>
      <c r="N809" t="e">
        <f>_xlfn.XLOOKUP(L809,EGPro!A:A,EGPro!C:C)</f>
        <v>#N/A</v>
      </c>
      <c r="O809" t="e">
        <f t="shared" si="50"/>
        <v>#N/A</v>
      </c>
      <c r="P809" t="e">
        <f>_xlfn.XLOOKUP(O809,EGPro!A:A,EGPro!D:D)</f>
        <v>#N/A</v>
      </c>
      <c r="Q809" t="e">
        <f>_xlfn.XLOOKUP(O809,EGPro!A:A,EGPro!C:C)</f>
        <v>#N/A</v>
      </c>
    </row>
    <row r="810" spans="1:17" x14ac:dyDescent="0.45">
      <c r="A810" s="3">
        <f>配列!B770</f>
        <v>0</v>
      </c>
      <c r="B810" s="3" t="e">
        <f>_xlfn.XLOOKUP(A810,対応表!A:A,対応表!B:B)</f>
        <v>#N/A</v>
      </c>
      <c r="C810" s="3">
        <f>配列!C770</f>
        <v>0</v>
      </c>
      <c r="D810" s="3" t="str">
        <f>IF(配列!E770="",RIGHT(配列!D770&amp;配列!E770,4)&amp;"L",RIGHT(配列!D770&amp;配列!E770,5))</f>
        <v>L</v>
      </c>
      <c r="E810" s="3">
        <f t="shared" si="48"/>
        <v>0</v>
      </c>
      <c r="F810" s="3" t="e">
        <f>_xlfn.XLOOKUP(E810,セットアップレポート_紐づけ用!A:A,セットアップレポート_紐づけ用!J:J)</f>
        <v>#N/A</v>
      </c>
      <c r="G810" s="3" t="e">
        <f>_xlfn.XLOOKUP(E810,セットアップレポート_紐づけ用!A:A,セットアップレポート_紐づけ用!V:V)</f>
        <v>#N/A</v>
      </c>
      <c r="H810" s="3">
        <f t="shared" si="51"/>
        <v>-2</v>
      </c>
      <c r="I810" t="str">
        <f>IF(J810=0,"",IF(配列!E810="",マクロ実行!$A$16 &amp;" T"&amp;H810&amp;"-"&amp;RIGHT(配列!D810&amp;配列!E810,2),マクロ実行!$A$16 &amp;" T"&amp;H810&amp;"-"&amp;RIGHT(配列!D810&amp;配列!E810,3)))</f>
        <v/>
      </c>
      <c r="J810">
        <f>配列!F770</f>
        <v>0</v>
      </c>
      <c r="K810" s="2" t="e">
        <f>_xlfn.XLOOKUP(E810,セットアップレポート_紐づけ用!A:A,セットアップレポート_紐づけ用!R:R)</f>
        <v>#N/A</v>
      </c>
      <c r="L810" t="e">
        <f t="shared" si="49"/>
        <v>#N/A</v>
      </c>
      <c r="M810" t="e">
        <f>_xlfn.XLOOKUP(L810,EGPro!A:A,EGPro!D:D)</f>
        <v>#N/A</v>
      </c>
      <c r="N810" t="e">
        <f>_xlfn.XLOOKUP(L810,EGPro!A:A,EGPro!C:C)</f>
        <v>#N/A</v>
      </c>
      <c r="O810" t="e">
        <f t="shared" si="50"/>
        <v>#N/A</v>
      </c>
      <c r="P810" t="e">
        <f>_xlfn.XLOOKUP(O810,EGPro!A:A,EGPro!D:D)</f>
        <v>#N/A</v>
      </c>
      <c r="Q810" t="e">
        <f>_xlfn.XLOOKUP(O810,EGPro!A:A,EGPro!C:C)</f>
        <v>#N/A</v>
      </c>
    </row>
    <row r="811" spans="1:17" x14ac:dyDescent="0.45">
      <c r="A811" s="3">
        <f>配列!B771</f>
        <v>0</v>
      </c>
      <c r="B811" s="3" t="e">
        <f>_xlfn.XLOOKUP(A811,対応表!A:A,対応表!B:B)</f>
        <v>#N/A</v>
      </c>
      <c r="C811" s="3">
        <f>配列!C771</f>
        <v>0</v>
      </c>
      <c r="D811" s="3" t="str">
        <f>IF(配列!E771="",RIGHT(配列!D771&amp;配列!E771,4)&amp;"L",RIGHT(配列!D771&amp;配列!E771,5))</f>
        <v>L</v>
      </c>
      <c r="E811" s="3">
        <f t="shared" si="48"/>
        <v>0</v>
      </c>
      <c r="F811" s="3" t="e">
        <f>_xlfn.XLOOKUP(E811,セットアップレポート_紐づけ用!A:A,セットアップレポート_紐づけ用!J:J)</f>
        <v>#N/A</v>
      </c>
      <c r="G811" s="3" t="e">
        <f>_xlfn.XLOOKUP(E811,セットアップレポート_紐づけ用!A:A,セットアップレポート_紐づけ用!V:V)</f>
        <v>#N/A</v>
      </c>
      <c r="H811" s="3">
        <f t="shared" si="51"/>
        <v>-2</v>
      </c>
      <c r="I811" t="str">
        <f>IF(J811=0,"",IF(配列!E811="",マクロ実行!$A$16 &amp;" T"&amp;H811&amp;"-"&amp;RIGHT(配列!D811&amp;配列!E811,2),マクロ実行!$A$16 &amp;" T"&amp;H811&amp;"-"&amp;RIGHT(配列!D811&amp;配列!E811,3)))</f>
        <v/>
      </c>
      <c r="J811">
        <f>配列!F771</f>
        <v>0</v>
      </c>
      <c r="K811" s="2" t="e">
        <f>_xlfn.XLOOKUP(E811,セットアップレポート_紐づけ用!A:A,セットアップレポート_紐づけ用!R:R)</f>
        <v>#N/A</v>
      </c>
      <c r="L811" t="e">
        <f t="shared" si="49"/>
        <v>#N/A</v>
      </c>
      <c r="M811" t="e">
        <f>_xlfn.XLOOKUP(L811,EGPro!A:A,EGPro!D:D)</f>
        <v>#N/A</v>
      </c>
      <c r="N811" t="e">
        <f>_xlfn.XLOOKUP(L811,EGPro!A:A,EGPro!C:C)</f>
        <v>#N/A</v>
      </c>
      <c r="O811" t="e">
        <f t="shared" si="50"/>
        <v>#N/A</v>
      </c>
      <c r="P811" t="e">
        <f>_xlfn.XLOOKUP(O811,EGPro!A:A,EGPro!D:D)</f>
        <v>#N/A</v>
      </c>
      <c r="Q811" t="e">
        <f>_xlfn.XLOOKUP(O811,EGPro!A:A,EGPro!C:C)</f>
        <v>#N/A</v>
      </c>
    </row>
    <row r="812" spans="1:17" x14ac:dyDescent="0.45">
      <c r="A812" s="3">
        <f>配列!B772</f>
        <v>0</v>
      </c>
      <c r="B812" s="3" t="e">
        <f>_xlfn.XLOOKUP(A812,対応表!A:A,対応表!B:B)</f>
        <v>#N/A</v>
      </c>
      <c r="C812" s="3">
        <f>配列!C772</f>
        <v>0</v>
      </c>
      <c r="D812" s="3" t="str">
        <f>IF(配列!E772="",RIGHT(配列!D772&amp;配列!E772,4)&amp;"L",RIGHT(配列!D772&amp;配列!E772,5))</f>
        <v>L</v>
      </c>
      <c r="E812" s="3">
        <f t="shared" si="48"/>
        <v>0</v>
      </c>
      <c r="F812" s="3" t="e">
        <f>_xlfn.XLOOKUP(E812,セットアップレポート_紐づけ用!A:A,セットアップレポート_紐づけ用!J:J)</f>
        <v>#N/A</v>
      </c>
      <c r="G812" s="3" t="e">
        <f>_xlfn.XLOOKUP(E812,セットアップレポート_紐づけ用!A:A,セットアップレポート_紐づけ用!V:V)</f>
        <v>#N/A</v>
      </c>
      <c r="H812" s="3">
        <f t="shared" si="51"/>
        <v>-2</v>
      </c>
      <c r="I812" t="str">
        <f>IF(J812=0,"",IF(配列!E812="",マクロ実行!$A$16 &amp;" T"&amp;H812&amp;"-"&amp;RIGHT(配列!D812&amp;配列!E812,2),マクロ実行!$A$16 &amp;" T"&amp;H812&amp;"-"&amp;RIGHT(配列!D812&amp;配列!E812,3)))</f>
        <v/>
      </c>
      <c r="J812">
        <f>配列!F772</f>
        <v>0</v>
      </c>
      <c r="K812" s="2" t="e">
        <f>_xlfn.XLOOKUP(E812,セットアップレポート_紐づけ用!A:A,セットアップレポート_紐づけ用!R:R)</f>
        <v>#N/A</v>
      </c>
      <c r="L812" t="e">
        <f t="shared" si="49"/>
        <v>#N/A</v>
      </c>
      <c r="M812" t="e">
        <f>_xlfn.XLOOKUP(L812,EGPro!A:A,EGPro!D:D)</f>
        <v>#N/A</v>
      </c>
      <c r="N812" t="e">
        <f>_xlfn.XLOOKUP(L812,EGPro!A:A,EGPro!C:C)</f>
        <v>#N/A</v>
      </c>
      <c r="O812" t="e">
        <f t="shared" si="50"/>
        <v>#N/A</v>
      </c>
      <c r="P812" t="e">
        <f>_xlfn.XLOOKUP(O812,EGPro!A:A,EGPro!D:D)</f>
        <v>#N/A</v>
      </c>
      <c r="Q812" t="e">
        <f>_xlfn.XLOOKUP(O812,EGPro!A:A,EGPro!C:C)</f>
        <v>#N/A</v>
      </c>
    </row>
    <row r="813" spans="1:17" x14ac:dyDescent="0.45">
      <c r="A813" s="3">
        <f>配列!B773</f>
        <v>0</v>
      </c>
      <c r="B813" s="3" t="e">
        <f>_xlfn.XLOOKUP(A813,対応表!A:A,対応表!B:B)</f>
        <v>#N/A</v>
      </c>
      <c r="C813" s="3">
        <f>配列!C773</f>
        <v>0</v>
      </c>
      <c r="D813" s="3" t="str">
        <f>IF(配列!E773="",RIGHT(配列!D773&amp;配列!E773,4)&amp;"L",RIGHT(配列!D773&amp;配列!E773,5))</f>
        <v>L</v>
      </c>
      <c r="E813" s="3">
        <f t="shared" si="48"/>
        <v>0</v>
      </c>
      <c r="F813" s="3" t="e">
        <f>_xlfn.XLOOKUP(E813,セットアップレポート_紐づけ用!A:A,セットアップレポート_紐づけ用!J:J)</f>
        <v>#N/A</v>
      </c>
      <c r="G813" s="3" t="e">
        <f>_xlfn.XLOOKUP(E813,セットアップレポート_紐づけ用!A:A,セットアップレポート_紐づけ用!V:V)</f>
        <v>#N/A</v>
      </c>
      <c r="H813" s="3">
        <f t="shared" si="51"/>
        <v>-2</v>
      </c>
      <c r="I813" t="str">
        <f>IF(J813=0,"",IF(配列!E813="",マクロ実行!$A$16 &amp;" T"&amp;H813&amp;"-"&amp;RIGHT(配列!D813&amp;配列!E813,2),マクロ実行!$A$16 &amp;" T"&amp;H813&amp;"-"&amp;RIGHT(配列!D813&amp;配列!E813,3)))</f>
        <v/>
      </c>
      <c r="J813">
        <f>配列!F773</f>
        <v>0</v>
      </c>
      <c r="K813" s="2" t="e">
        <f>_xlfn.XLOOKUP(E813,セットアップレポート_紐づけ用!A:A,セットアップレポート_紐づけ用!R:R)</f>
        <v>#N/A</v>
      </c>
      <c r="L813" t="e">
        <f t="shared" si="49"/>
        <v>#N/A</v>
      </c>
      <c r="M813" t="e">
        <f>_xlfn.XLOOKUP(L813,EGPro!A:A,EGPro!D:D)</f>
        <v>#N/A</v>
      </c>
      <c r="N813" t="e">
        <f>_xlfn.XLOOKUP(L813,EGPro!A:A,EGPro!C:C)</f>
        <v>#N/A</v>
      </c>
      <c r="O813" t="e">
        <f t="shared" si="50"/>
        <v>#N/A</v>
      </c>
      <c r="P813" t="e">
        <f>_xlfn.XLOOKUP(O813,EGPro!A:A,EGPro!D:D)</f>
        <v>#N/A</v>
      </c>
      <c r="Q813" t="e">
        <f>_xlfn.XLOOKUP(O813,EGPro!A:A,EGPro!C:C)</f>
        <v>#N/A</v>
      </c>
    </row>
    <row r="814" spans="1:17" x14ac:dyDescent="0.45">
      <c r="A814" s="3">
        <f>配列!B774</f>
        <v>0</v>
      </c>
      <c r="B814" s="3" t="e">
        <f>_xlfn.XLOOKUP(A814,対応表!A:A,対応表!B:B)</f>
        <v>#N/A</v>
      </c>
      <c r="C814" s="3">
        <f>配列!C774</f>
        <v>0</v>
      </c>
      <c r="D814" s="3" t="str">
        <f>IF(配列!E774="",RIGHT(配列!D774&amp;配列!E774,4)&amp;"L",RIGHT(配列!D774&amp;配列!E774,5))</f>
        <v>L</v>
      </c>
      <c r="E814" s="3">
        <f t="shared" si="48"/>
        <v>0</v>
      </c>
      <c r="F814" s="3" t="e">
        <f>_xlfn.XLOOKUP(E814,セットアップレポート_紐づけ用!A:A,セットアップレポート_紐づけ用!J:J)</f>
        <v>#N/A</v>
      </c>
      <c r="G814" s="3" t="e">
        <f>_xlfn.XLOOKUP(E814,セットアップレポート_紐づけ用!A:A,セットアップレポート_紐づけ用!V:V)</f>
        <v>#N/A</v>
      </c>
      <c r="H814" s="3">
        <f t="shared" si="51"/>
        <v>-2</v>
      </c>
      <c r="I814" t="str">
        <f>IF(J814=0,"",IF(配列!E814="",マクロ実行!$A$16 &amp;" T"&amp;H814&amp;"-"&amp;RIGHT(配列!D814&amp;配列!E814,2),マクロ実行!$A$16 &amp;" T"&amp;H814&amp;"-"&amp;RIGHT(配列!D814&amp;配列!E814,3)))</f>
        <v/>
      </c>
      <c r="J814">
        <f>配列!F774</f>
        <v>0</v>
      </c>
      <c r="K814" s="2" t="e">
        <f>_xlfn.XLOOKUP(E814,セットアップレポート_紐づけ用!A:A,セットアップレポート_紐づけ用!R:R)</f>
        <v>#N/A</v>
      </c>
      <c r="L814" t="e">
        <f t="shared" si="49"/>
        <v>#N/A</v>
      </c>
      <c r="M814" t="e">
        <f>_xlfn.XLOOKUP(L814,EGPro!A:A,EGPro!D:D)</f>
        <v>#N/A</v>
      </c>
      <c r="N814" t="e">
        <f>_xlfn.XLOOKUP(L814,EGPro!A:A,EGPro!C:C)</f>
        <v>#N/A</v>
      </c>
      <c r="O814" t="e">
        <f t="shared" si="50"/>
        <v>#N/A</v>
      </c>
      <c r="P814" t="e">
        <f>_xlfn.XLOOKUP(O814,EGPro!A:A,EGPro!D:D)</f>
        <v>#N/A</v>
      </c>
      <c r="Q814" t="e">
        <f>_xlfn.XLOOKUP(O814,EGPro!A:A,EGPro!C:C)</f>
        <v>#N/A</v>
      </c>
    </row>
    <row r="815" spans="1:17" x14ac:dyDescent="0.45">
      <c r="A815" s="3">
        <f>配列!B775</f>
        <v>0</v>
      </c>
      <c r="B815" s="3" t="e">
        <f>_xlfn.XLOOKUP(A815,対応表!A:A,対応表!B:B)</f>
        <v>#N/A</v>
      </c>
      <c r="C815" s="3">
        <f>配列!C775</f>
        <v>0</v>
      </c>
      <c r="D815" s="3" t="str">
        <f>IF(配列!E775="",RIGHT(配列!D775&amp;配列!E775,4)&amp;"L",RIGHT(配列!D775&amp;配列!E775,5))</f>
        <v>L</v>
      </c>
      <c r="E815" s="3">
        <f t="shared" si="48"/>
        <v>0</v>
      </c>
      <c r="F815" s="3" t="e">
        <f>_xlfn.XLOOKUP(E815,セットアップレポート_紐づけ用!A:A,セットアップレポート_紐づけ用!J:J)</f>
        <v>#N/A</v>
      </c>
      <c r="G815" s="3" t="e">
        <f>_xlfn.XLOOKUP(E815,セットアップレポート_紐づけ用!A:A,セットアップレポート_紐づけ用!V:V)</f>
        <v>#N/A</v>
      </c>
      <c r="H815" s="3">
        <f t="shared" si="51"/>
        <v>-2</v>
      </c>
      <c r="I815" t="str">
        <f>IF(J815=0,"",IF(配列!E815="",マクロ実行!$A$16 &amp;" T"&amp;H815&amp;"-"&amp;RIGHT(配列!D815&amp;配列!E815,2),マクロ実行!$A$16 &amp;" T"&amp;H815&amp;"-"&amp;RIGHT(配列!D815&amp;配列!E815,3)))</f>
        <v/>
      </c>
      <c r="J815">
        <f>配列!F775</f>
        <v>0</v>
      </c>
      <c r="K815" s="2" t="e">
        <f>_xlfn.XLOOKUP(E815,セットアップレポート_紐づけ用!A:A,セットアップレポート_紐づけ用!R:R)</f>
        <v>#N/A</v>
      </c>
      <c r="L815" t="e">
        <f t="shared" si="49"/>
        <v>#N/A</v>
      </c>
      <c r="M815" t="e">
        <f>_xlfn.XLOOKUP(L815,EGPro!A:A,EGPro!D:D)</f>
        <v>#N/A</v>
      </c>
      <c r="N815" t="e">
        <f>_xlfn.XLOOKUP(L815,EGPro!A:A,EGPro!C:C)</f>
        <v>#N/A</v>
      </c>
      <c r="O815" t="e">
        <f t="shared" si="50"/>
        <v>#N/A</v>
      </c>
      <c r="P815" t="e">
        <f>_xlfn.XLOOKUP(O815,EGPro!A:A,EGPro!D:D)</f>
        <v>#N/A</v>
      </c>
      <c r="Q815" t="e">
        <f>_xlfn.XLOOKUP(O815,EGPro!A:A,EGPro!C:C)</f>
        <v>#N/A</v>
      </c>
    </row>
    <row r="816" spans="1:17" x14ac:dyDescent="0.45">
      <c r="A816" s="3">
        <f>配列!B776</f>
        <v>0</v>
      </c>
      <c r="B816" s="3" t="e">
        <f>_xlfn.XLOOKUP(A816,対応表!A:A,対応表!B:B)</f>
        <v>#N/A</v>
      </c>
      <c r="C816" s="3">
        <f>配列!C776</f>
        <v>0</v>
      </c>
      <c r="D816" s="3" t="str">
        <f>IF(配列!E776="",RIGHT(配列!D776&amp;配列!E776,4)&amp;"L",RIGHT(配列!D776&amp;配列!E776,5))</f>
        <v>L</v>
      </c>
      <c r="E816" s="3">
        <f t="shared" si="48"/>
        <v>0</v>
      </c>
      <c r="F816" s="3" t="e">
        <f>_xlfn.XLOOKUP(E816,セットアップレポート_紐づけ用!A:A,セットアップレポート_紐づけ用!J:J)</f>
        <v>#N/A</v>
      </c>
      <c r="G816" s="3" t="e">
        <f>_xlfn.XLOOKUP(E816,セットアップレポート_紐づけ用!A:A,セットアップレポート_紐づけ用!V:V)</f>
        <v>#N/A</v>
      </c>
      <c r="H816" s="3">
        <f t="shared" si="51"/>
        <v>-2</v>
      </c>
      <c r="I816" t="str">
        <f>IF(J816=0,"",IF(配列!E816="",マクロ実行!$A$16 &amp;" T"&amp;H816&amp;"-"&amp;RIGHT(配列!D816&amp;配列!E816,2),マクロ実行!$A$16 &amp;" T"&amp;H816&amp;"-"&amp;RIGHT(配列!D816&amp;配列!E816,3)))</f>
        <v/>
      </c>
      <c r="J816">
        <f>配列!F776</f>
        <v>0</v>
      </c>
      <c r="K816" s="2" t="e">
        <f>_xlfn.XLOOKUP(E816,セットアップレポート_紐づけ用!A:A,セットアップレポート_紐づけ用!R:R)</f>
        <v>#N/A</v>
      </c>
      <c r="L816" t="e">
        <f t="shared" si="49"/>
        <v>#N/A</v>
      </c>
      <c r="M816" t="e">
        <f>_xlfn.XLOOKUP(L816,EGPro!A:A,EGPro!D:D)</f>
        <v>#N/A</v>
      </c>
      <c r="N816" t="e">
        <f>_xlfn.XLOOKUP(L816,EGPro!A:A,EGPro!C:C)</f>
        <v>#N/A</v>
      </c>
      <c r="O816" t="e">
        <f t="shared" si="50"/>
        <v>#N/A</v>
      </c>
      <c r="P816" t="e">
        <f>_xlfn.XLOOKUP(O816,EGPro!A:A,EGPro!D:D)</f>
        <v>#N/A</v>
      </c>
      <c r="Q816" t="e">
        <f>_xlfn.XLOOKUP(O816,EGPro!A:A,EGPro!C:C)</f>
        <v>#N/A</v>
      </c>
    </row>
    <row r="817" spans="1:17" x14ac:dyDescent="0.45">
      <c r="A817" s="3">
        <f>配列!B777</f>
        <v>0</v>
      </c>
      <c r="B817" s="3" t="e">
        <f>_xlfn.XLOOKUP(A817,対応表!A:A,対応表!B:B)</f>
        <v>#N/A</v>
      </c>
      <c r="C817" s="3">
        <f>配列!C777</f>
        <v>0</v>
      </c>
      <c r="D817" s="3" t="str">
        <f>IF(配列!E777="",RIGHT(配列!D777&amp;配列!E777,4)&amp;"L",RIGHT(配列!D777&amp;配列!E777,5))</f>
        <v>L</v>
      </c>
      <c r="E817" s="3">
        <f t="shared" si="48"/>
        <v>0</v>
      </c>
      <c r="F817" s="3" t="e">
        <f>_xlfn.XLOOKUP(E817,セットアップレポート_紐づけ用!A:A,セットアップレポート_紐づけ用!J:J)</f>
        <v>#N/A</v>
      </c>
      <c r="G817" s="3" t="e">
        <f>_xlfn.XLOOKUP(E817,セットアップレポート_紐づけ用!A:A,セットアップレポート_紐づけ用!V:V)</f>
        <v>#N/A</v>
      </c>
      <c r="H817" s="3">
        <f t="shared" si="51"/>
        <v>-2</v>
      </c>
      <c r="I817" t="str">
        <f>IF(J817=0,"",IF(配列!E817="",マクロ実行!$A$16 &amp;" T"&amp;H817&amp;"-"&amp;RIGHT(配列!D817&amp;配列!E817,2),マクロ実行!$A$16 &amp;" T"&amp;H817&amp;"-"&amp;RIGHT(配列!D817&amp;配列!E817,3)))</f>
        <v/>
      </c>
      <c r="J817">
        <f>配列!F777</f>
        <v>0</v>
      </c>
      <c r="K817" s="2" t="e">
        <f>_xlfn.XLOOKUP(E817,セットアップレポート_紐づけ用!A:A,セットアップレポート_紐づけ用!R:R)</f>
        <v>#N/A</v>
      </c>
      <c r="L817" t="e">
        <f t="shared" si="49"/>
        <v>#N/A</v>
      </c>
      <c r="M817" t="e">
        <f>_xlfn.XLOOKUP(L817,EGPro!A:A,EGPro!D:D)</f>
        <v>#N/A</v>
      </c>
      <c r="N817" t="e">
        <f>_xlfn.XLOOKUP(L817,EGPro!A:A,EGPro!C:C)</f>
        <v>#N/A</v>
      </c>
      <c r="O817" t="e">
        <f t="shared" si="50"/>
        <v>#N/A</v>
      </c>
      <c r="P817" t="e">
        <f>_xlfn.XLOOKUP(O817,EGPro!A:A,EGPro!D:D)</f>
        <v>#N/A</v>
      </c>
      <c r="Q817" t="e">
        <f>_xlfn.XLOOKUP(O817,EGPro!A:A,EGPro!C:C)</f>
        <v>#N/A</v>
      </c>
    </row>
    <row r="818" spans="1:17" x14ac:dyDescent="0.45">
      <c r="A818" s="3">
        <f>配列!B778</f>
        <v>0</v>
      </c>
      <c r="B818" s="3" t="e">
        <f>_xlfn.XLOOKUP(A818,対応表!A:A,対応表!B:B)</f>
        <v>#N/A</v>
      </c>
      <c r="C818" s="3">
        <f>配列!C778</f>
        <v>0</v>
      </c>
      <c r="D818" s="3" t="str">
        <f>IF(配列!E778="",RIGHT(配列!D778&amp;配列!E778,4)&amp;"L",RIGHT(配列!D778&amp;配列!E778,5))</f>
        <v>L</v>
      </c>
      <c r="E818" s="3">
        <f t="shared" si="48"/>
        <v>0</v>
      </c>
      <c r="F818" s="3" t="e">
        <f>_xlfn.XLOOKUP(E818,セットアップレポート_紐づけ用!A:A,セットアップレポート_紐づけ用!J:J)</f>
        <v>#N/A</v>
      </c>
      <c r="G818" s="3" t="e">
        <f>_xlfn.XLOOKUP(E818,セットアップレポート_紐づけ用!A:A,セットアップレポート_紐づけ用!V:V)</f>
        <v>#N/A</v>
      </c>
      <c r="H818" s="3">
        <f t="shared" si="51"/>
        <v>-2</v>
      </c>
      <c r="I818" t="str">
        <f>IF(J818=0,"",IF(配列!E818="",マクロ実行!$A$16 &amp;" T"&amp;H818&amp;"-"&amp;RIGHT(配列!D818&amp;配列!E818,2),マクロ実行!$A$16 &amp;" T"&amp;H818&amp;"-"&amp;RIGHT(配列!D818&amp;配列!E818,3)))</f>
        <v/>
      </c>
      <c r="J818">
        <f>配列!F778</f>
        <v>0</v>
      </c>
      <c r="K818" s="2" t="e">
        <f>_xlfn.XLOOKUP(E818,セットアップレポート_紐づけ用!A:A,セットアップレポート_紐づけ用!R:R)</f>
        <v>#N/A</v>
      </c>
      <c r="L818" t="e">
        <f t="shared" si="49"/>
        <v>#N/A</v>
      </c>
      <c r="M818" t="e">
        <f>_xlfn.XLOOKUP(L818,EGPro!A:A,EGPro!D:D)</f>
        <v>#N/A</v>
      </c>
      <c r="N818" t="e">
        <f>_xlfn.XLOOKUP(L818,EGPro!A:A,EGPro!C:C)</f>
        <v>#N/A</v>
      </c>
      <c r="O818" t="e">
        <f t="shared" si="50"/>
        <v>#N/A</v>
      </c>
      <c r="P818" t="e">
        <f>_xlfn.XLOOKUP(O818,EGPro!A:A,EGPro!D:D)</f>
        <v>#N/A</v>
      </c>
      <c r="Q818" t="e">
        <f>_xlfn.XLOOKUP(O818,EGPro!A:A,EGPro!C:C)</f>
        <v>#N/A</v>
      </c>
    </row>
    <row r="819" spans="1:17" x14ac:dyDescent="0.45">
      <c r="A819" s="3">
        <f>配列!B779</f>
        <v>0</v>
      </c>
      <c r="B819" s="3" t="e">
        <f>_xlfn.XLOOKUP(A819,対応表!A:A,対応表!B:B)</f>
        <v>#N/A</v>
      </c>
      <c r="C819" s="3">
        <f>配列!C779</f>
        <v>0</v>
      </c>
      <c r="D819" s="3" t="str">
        <f>IF(配列!E779="",RIGHT(配列!D779&amp;配列!E779,4)&amp;"L",RIGHT(配列!D779&amp;配列!E779,5))</f>
        <v>L</v>
      </c>
      <c r="E819" s="3">
        <f t="shared" si="48"/>
        <v>0</v>
      </c>
      <c r="F819" s="3" t="e">
        <f>_xlfn.XLOOKUP(E819,セットアップレポート_紐づけ用!A:A,セットアップレポート_紐づけ用!J:J)</f>
        <v>#N/A</v>
      </c>
      <c r="G819" s="3" t="e">
        <f>_xlfn.XLOOKUP(E819,セットアップレポート_紐づけ用!A:A,セットアップレポート_紐づけ用!V:V)</f>
        <v>#N/A</v>
      </c>
      <c r="H819" s="3">
        <f t="shared" si="51"/>
        <v>-2</v>
      </c>
      <c r="I819" t="str">
        <f>IF(J819=0,"",IF(配列!E819="",マクロ実行!$A$16 &amp;" T"&amp;H819&amp;"-"&amp;RIGHT(配列!D819&amp;配列!E819,2),マクロ実行!$A$16 &amp;" T"&amp;H819&amp;"-"&amp;RIGHT(配列!D819&amp;配列!E819,3)))</f>
        <v/>
      </c>
      <c r="J819">
        <f>配列!F779</f>
        <v>0</v>
      </c>
      <c r="K819" s="2" t="e">
        <f>_xlfn.XLOOKUP(E819,セットアップレポート_紐づけ用!A:A,セットアップレポート_紐づけ用!R:R)</f>
        <v>#N/A</v>
      </c>
      <c r="L819" t="e">
        <f t="shared" si="49"/>
        <v>#N/A</v>
      </c>
      <c r="M819" t="e">
        <f>_xlfn.XLOOKUP(L819,EGPro!A:A,EGPro!D:D)</f>
        <v>#N/A</v>
      </c>
      <c r="N819" t="e">
        <f>_xlfn.XLOOKUP(L819,EGPro!A:A,EGPro!C:C)</f>
        <v>#N/A</v>
      </c>
      <c r="O819" t="e">
        <f t="shared" si="50"/>
        <v>#N/A</v>
      </c>
      <c r="P819" t="e">
        <f>_xlfn.XLOOKUP(O819,EGPro!A:A,EGPro!D:D)</f>
        <v>#N/A</v>
      </c>
      <c r="Q819" t="e">
        <f>_xlfn.XLOOKUP(O819,EGPro!A:A,EGPro!C:C)</f>
        <v>#N/A</v>
      </c>
    </row>
    <row r="820" spans="1:17" x14ac:dyDescent="0.45">
      <c r="A820" s="3">
        <f>配列!B780</f>
        <v>0</v>
      </c>
      <c r="B820" s="3" t="e">
        <f>_xlfn.XLOOKUP(A820,対応表!A:A,対応表!B:B)</f>
        <v>#N/A</v>
      </c>
      <c r="C820" s="3">
        <f>配列!C780</f>
        <v>0</v>
      </c>
      <c r="D820" s="3" t="str">
        <f>IF(配列!E780="",RIGHT(配列!D780&amp;配列!E780,4)&amp;"L",RIGHT(配列!D780&amp;配列!E780,5))</f>
        <v>L</v>
      </c>
      <c r="E820" s="3">
        <f t="shared" si="48"/>
        <v>0</v>
      </c>
      <c r="F820" s="3" t="e">
        <f>_xlfn.XLOOKUP(E820,セットアップレポート_紐づけ用!A:A,セットアップレポート_紐づけ用!J:J)</f>
        <v>#N/A</v>
      </c>
      <c r="G820" s="3" t="e">
        <f>_xlfn.XLOOKUP(E820,セットアップレポート_紐づけ用!A:A,セットアップレポート_紐づけ用!V:V)</f>
        <v>#N/A</v>
      </c>
      <c r="H820" s="3">
        <f t="shared" si="51"/>
        <v>-2</v>
      </c>
      <c r="I820" t="str">
        <f>IF(J820=0,"",IF(配列!E820="",マクロ実行!$A$16 &amp;" T"&amp;H820&amp;"-"&amp;RIGHT(配列!D820&amp;配列!E820,2),マクロ実行!$A$16 &amp;" T"&amp;H820&amp;"-"&amp;RIGHT(配列!D820&amp;配列!E820,3)))</f>
        <v/>
      </c>
      <c r="J820">
        <f>配列!F780</f>
        <v>0</v>
      </c>
      <c r="K820" s="2" t="e">
        <f>_xlfn.XLOOKUP(E820,セットアップレポート_紐づけ用!A:A,セットアップレポート_紐づけ用!R:R)</f>
        <v>#N/A</v>
      </c>
      <c r="L820" t="e">
        <f t="shared" si="49"/>
        <v>#N/A</v>
      </c>
      <c r="M820" t="e">
        <f>_xlfn.XLOOKUP(L820,EGPro!A:A,EGPro!D:D)</f>
        <v>#N/A</v>
      </c>
      <c r="N820" t="e">
        <f>_xlfn.XLOOKUP(L820,EGPro!A:A,EGPro!C:C)</f>
        <v>#N/A</v>
      </c>
      <c r="O820" t="e">
        <f t="shared" si="50"/>
        <v>#N/A</v>
      </c>
      <c r="P820" t="e">
        <f>_xlfn.XLOOKUP(O820,EGPro!A:A,EGPro!D:D)</f>
        <v>#N/A</v>
      </c>
      <c r="Q820" t="e">
        <f>_xlfn.XLOOKUP(O820,EGPro!A:A,EGPro!C:C)</f>
        <v>#N/A</v>
      </c>
    </row>
    <row r="821" spans="1:17" x14ac:dyDescent="0.45">
      <c r="A821" s="3">
        <f>配列!B781</f>
        <v>0</v>
      </c>
      <c r="B821" s="3" t="e">
        <f>_xlfn.XLOOKUP(A821,対応表!A:A,対応表!B:B)</f>
        <v>#N/A</v>
      </c>
      <c r="C821" s="3">
        <f>配列!C781</f>
        <v>0</v>
      </c>
      <c r="D821" s="3" t="str">
        <f>IF(配列!E781="",RIGHT(配列!D781&amp;配列!E781,4)&amp;"L",RIGHT(配列!D781&amp;配列!E781,5))</f>
        <v>L</v>
      </c>
      <c r="E821" s="3">
        <f t="shared" si="48"/>
        <v>0</v>
      </c>
      <c r="F821" s="3" t="e">
        <f>_xlfn.XLOOKUP(E821,セットアップレポート_紐づけ用!A:A,セットアップレポート_紐づけ用!J:J)</f>
        <v>#N/A</v>
      </c>
      <c r="G821" s="3" t="e">
        <f>_xlfn.XLOOKUP(E821,セットアップレポート_紐づけ用!A:A,セットアップレポート_紐づけ用!V:V)</f>
        <v>#N/A</v>
      </c>
      <c r="H821" s="3">
        <f t="shared" si="51"/>
        <v>-2</v>
      </c>
      <c r="I821" t="str">
        <f>IF(J821=0,"",IF(配列!E821="",マクロ実行!$A$16 &amp;" T"&amp;H821&amp;"-"&amp;RIGHT(配列!D821&amp;配列!E821,2),マクロ実行!$A$16 &amp;" T"&amp;H821&amp;"-"&amp;RIGHT(配列!D821&amp;配列!E821,3)))</f>
        <v/>
      </c>
      <c r="J821">
        <f>配列!F781</f>
        <v>0</v>
      </c>
      <c r="K821" s="2" t="e">
        <f>_xlfn.XLOOKUP(E821,セットアップレポート_紐づけ用!A:A,セットアップレポート_紐づけ用!R:R)</f>
        <v>#N/A</v>
      </c>
      <c r="L821" t="e">
        <f t="shared" si="49"/>
        <v>#N/A</v>
      </c>
      <c r="M821" t="e">
        <f>_xlfn.XLOOKUP(L821,EGPro!A:A,EGPro!D:D)</f>
        <v>#N/A</v>
      </c>
      <c r="N821" t="e">
        <f>_xlfn.XLOOKUP(L821,EGPro!A:A,EGPro!C:C)</f>
        <v>#N/A</v>
      </c>
      <c r="O821" t="e">
        <f t="shared" si="50"/>
        <v>#N/A</v>
      </c>
      <c r="P821" t="e">
        <f>_xlfn.XLOOKUP(O821,EGPro!A:A,EGPro!D:D)</f>
        <v>#N/A</v>
      </c>
      <c r="Q821" t="e">
        <f>_xlfn.XLOOKUP(O821,EGPro!A:A,EGPro!C:C)</f>
        <v>#N/A</v>
      </c>
    </row>
    <row r="822" spans="1:17" x14ac:dyDescent="0.45">
      <c r="A822" s="3">
        <f>配列!B782</f>
        <v>0</v>
      </c>
      <c r="B822" s="3" t="e">
        <f>_xlfn.XLOOKUP(A822,対応表!A:A,対応表!B:B)</f>
        <v>#N/A</v>
      </c>
      <c r="C822" s="3">
        <f>配列!C782</f>
        <v>0</v>
      </c>
      <c r="D822" s="3" t="str">
        <f>IF(配列!E782="",RIGHT(配列!D782&amp;配列!E782,4)&amp;"L",RIGHT(配列!D782&amp;配列!E782,5))</f>
        <v>L</v>
      </c>
      <c r="E822" s="3">
        <f t="shared" si="48"/>
        <v>0</v>
      </c>
      <c r="F822" s="3" t="e">
        <f>_xlfn.XLOOKUP(E822,セットアップレポート_紐づけ用!A:A,セットアップレポート_紐づけ用!J:J)</f>
        <v>#N/A</v>
      </c>
      <c r="G822" s="3" t="e">
        <f>_xlfn.XLOOKUP(E822,セットアップレポート_紐づけ用!A:A,セットアップレポート_紐づけ用!V:V)</f>
        <v>#N/A</v>
      </c>
      <c r="H822" s="3">
        <f t="shared" si="51"/>
        <v>-2</v>
      </c>
      <c r="I822" t="str">
        <f>IF(J822=0,"",IF(配列!E822="",マクロ実行!$A$16 &amp;" T"&amp;H822&amp;"-"&amp;RIGHT(配列!D822&amp;配列!E822,2),マクロ実行!$A$16 &amp;" T"&amp;H822&amp;"-"&amp;RIGHT(配列!D822&amp;配列!E822,3)))</f>
        <v/>
      </c>
      <c r="J822">
        <f>配列!F782</f>
        <v>0</v>
      </c>
      <c r="K822" s="2" t="e">
        <f>_xlfn.XLOOKUP(E822,セットアップレポート_紐づけ用!A:A,セットアップレポート_紐づけ用!R:R)</f>
        <v>#N/A</v>
      </c>
      <c r="L822" t="e">
        <f t="shared" si="49"/>
        <v>#N/A</v>
      </c>
      <c r="M822" t="e">
        <f>_xlfn.XLOOKUP(L822,EGPro!A:A,EGPro!D:D)</f>
        <v>#N/A</v>
      </c>
      <c r="N822" t="e">
        <f>_xlfn.XLOOKUP(L822,EGPro!A:A,EGPro!C:C)</f>
        <v>#N/A</v>
      </c>
      <c r="O822" t="e">
        <f t="shared" si="50"/>
        <v>#N/A</v>
      </c>
      <c r="P822" t="e">
        <f>_xlfn.XLOOKUP(O822,EGPro!A:A,EGPro!D:D)</f>
        <v>#N/A</v>
      </c>
      <c r="Q822" t="e">
        <f>_xlfn.XLOOKUP(O822,EGPro!A:A,EGPro!C:C)</f>
        <v>#N/A</v>
      </c>
    </row>
    <row r="823" spans="1:17" x14ac:dyDescent="0.45">
      <c r="A823" s="3">
        <f>配列!B783</f>
        <v>0</v>
      </c>
      <c r="B823" s="3" t="e">
        <f>_xlfn.XLOOKUP(A823,対応表!A:A,対応表!B:B)</f>
        <v>#N/A</v>
      </c>
      <c r="C823" s="3">
        <f>配列!C783</f>
        <v>0</v>
      </c>
      <c r="D823" s="3" t="str">
        <f>IF(配列!E783="",RIGHT(配列!D783&amp;配列!E783,4)&amp;"L",RIGHT(配列!D783&amp;配列!E783,5))</f>
        <v>L</v>
      </c>
      <c r="E823" s="3">
        <f t="shared" si="48"/>
        <v>0</v>
      </c>
      <c r="F823" s="3" t="e">
        <f>_xlfn.XLOOKUP(E823,セットアップレポート_紐づけ用!A:A,セットアップレポート_紐づけ用!J:J)</f>
        <v>#N/A</v>
      </c>
      <c r="G823" s="3" t="e">
        <f>_xlfn.XLOOKUP(E823,セットアップレポート_紐づけ用!A:A,セットアップレポート_紐づけ用!V:V)</f>
        <v>#N/A</v>
      </c>
      <c r="H823" s="3">
        <f t="shared" si="51"/>
        <v>-2</v>
      </c>
      <c r="I823" t="str">
        <f>IF(J823=0,"",IF(配列!E823="",マクロ実行!$A$16 &amp;" T"&amp;H823&amp;"-"&amp;RIGHT(配列!D823&amp;配列!E823,2),マクロ実行!$A$16 &amp;" T"&amp;H823&amp;"-"&amp;RIGHT(配列!D823&amp;配列!E823,3)))</f>
        <v/>
      </c>
      <c r="J823">
        <f>配列!F783</f>
        <v>0</v>
      </c>
      <c r="K823" s="2" t="e">
        <f>_xlfn.XLOOKUP(E823,セットアップレポート_紐づけ用!A:A,セットアップレポート_紐づけ用!R:R)</f>
        <v>#N/A</v>
      </c>
      <c r="L823" t="e">
        <f t="shared" si="49"/>
        <v>#N/A</v>
      </c>
      <c r="M823" t="e">
        <f>_xlfn.XLOOKUP(L823,EGPro!A:A,EGPro!D:D)</f>
        <v>#N/A</v>
      </c>
      <c r="N823" t="e">
        <f>_xlfn.XLOOKUP(L823,EGPro!A:A,EGPro!C:C)</f>
        <v>#N/A</v>
      </c>
      <c r="O823" t="e">
        <f t="shared" si="50"/>
        <v>#N/A</v>
      </c>
      <c r="P823" t="e">
        <f>_xlfn.XLOOKUP(O823,EGPro!A:A,EGPro!D:D)</f>
        <v>#N/A</v>
      </c>
      <c r="Q823" t="e">
        <f>_xlfn.XLOOKUP(O823,EGPro!A:A,EGPro!C:C)</f>
        <v>#N/A</v>
      </c>
    </row>
    <row r="824" spans="1:17" x14ac:dyDescent="0.45">
      <c r="A824" s="3">
        <f>配列!B784</f>
        <v>0</v>
      </c>
      <c r="B824" s="3" t="e">
        <f>_xlfn.XLOOKUP(A824,対応表!A:A,対応表!B:B)</f>
        <v>#N/A</v>
      </c>
      <c r="C824" s="3">
        <f>配列!C784</f>
        <v>0</v>
      </c>
      <c r="D824" s="3" t="str">
        <f>IF(配列!E784="",RIGHT(配列!D784&amp;配列!E784,4)&amp;"L",RIGHT(配列!D784&amp;配列!E784,5))</f>
        <v>L</v>
      </c>
      <c r="E824" s="3">
        <f t="shared" si="48"/>
        <v>0</v>
      </c>
      <c r="F824" s="3" t="e">
        <f>_xlfn.XLOOKUP(E824,セットアップレポート_紐づけ用!A:A,セットアップレポート_紐づけ用!J:J)</f>
        <v>#N/A</v>
      </c>
      <c r="G824" s="3" t="e">
        <f>_xlfn.XLOOKUP(E824,セットアップレポート_紐づけ用!A:A,セットアップレポート_紐づけ用!V:V)</f>
        <v>#N/A</v>
      </c>
      <c r="H824" s="3">
        <f t="shared" si="51"/>
        <v>-2</v>
      </c>
      <c r="I824" t="str">
        <f>IF(J824=0,"",IF(配列!E824="",マクロ実行!$A$16 &amp;" T"&amp;H824&amp;"-"&amp;RIGHT(配列!D824&amp;配列!E824,2),マクロ実行!$A$16 &amp;" T"&amp;H824&amp;"-"&amp;RIGHT(配列!D824&amp;配列!E824,3)))</f>
        <v/>
      </c>
      <c r="J824">
        <f>配列!F784</f>
        <v>0</v>
      </c>
      <c r="K824" s="2" t="e">
        <f>_xlfn.XLOOKUP(E824,セットアップレポート_紐づけ用!A:A,セットアップレポート_紐づけ用!R:R)</f>
        <v>#N/A</v>
      </c>
      <c r="L824" t="e">
        <f t="shared" si="49"/>
        <v>#N/A</v>
      </c>
      <c r="M824" t="e">
        <f>_xlfn.XLOOKUP(L824,EGPro!A:A,EGPro!D:D)</f>
        <v>#N/A</v>
      </c>
      <c r="N824" t="e">
        <f>_xlfn.XLOOKUP(L824,EGPro!A:A,EGPro!C:C)</f>
        <v>#N/A</v>
      </c>
      <c r="O824" t="e">
        <f t="shared" si="50"/>
        <v>#N/A</v>
      </c>
      <c r="P824" t="e">
        <f>_xlfn.XLOOKUP(O824,EGPro!A:A,EGPro!D:D)</f>
        <v>#N/A</v>
      </c>
      <c r="Q824" t="e">
        <f>_xlfn.XLOOKUP(O824,EGPro!A:A,EGPro!C:C)</f>
        <v>#N/A</v>
      </c>
    </row>
    <row r="825" spans="1:17" x14ac:dyDescent="0.45">
      <c r="A825" s="3">
        <f>配列!B785</f>
        <v>0</v>
      </c>
      <c r="B825" s="3" t="e">
        <f>_xlfn.XLOOKUP(A825,対応表!A:A,対応表!B:B)</f>
        <v>#N/A</v>
      </c>
      <c r="C825" s="3">
        <f>配列!C785</f>
        <v>0</v>
      </c>
      <c r="D825" s="3" t="str">
        <f>IF(配列!E785="",RIGHT(配列!D785&amp;配列!E785,4)&amp;"L",RIGHT(配列!D785&amp;配列!E785,5))</f>
        <v>L</v>
      </c>
      <c r="E825" s="3">
        <f t="shared" si="48"/>
        <v>0</v>
      </c>
      <c r="F825" s="3" t="e">
        <f>_xlfn.XLOOKUP(E825,セットアップレポート_紐づけ用!A:A,セットアップレポート_紐づけ用!J:J)</f>
        <v>#N/A</v>
      </c>
      <c r="G825" s="3" t="e">
        <f>_xlfn.XLOOKUP(E825,セットアップレポート_紐づけ用!A:A,セットアップレポート_紐づけ用!V:V)</f>
        <v>#N/A</v>
      </c>
      <c r="H825" s="3">
        <f t="shared" si="51"/>
        <v>-2</v>
      </c>
      <c r="I825" t="str">
        <f>IF(J825=0,"",IF(配列!E825="",マクロ実行!$A$16 &amp;" T"&amp;H825&amp;"-"&amp;RIGHT(配列!D825&amp;配列!E825,2),マクロ実行!$A$16 &amp;" T"&amp;H825&amp;"-"&amp;RIGHT(配列!D825&amp;配列!E825,3)))</f>
        <v/>
      </c>
      <c r="J825">
        <f>配列!F785</f>
        <v>0</v>
      </c>
      <c r="K825" s="2" t="e">
        <f>_xlfn.XLOOKUP(E825,セットアップレポート_紐づけ用!A:A,セットアップレポート_紐づけ用!R:R)</f>
        <v>#N/A</v>
      </c>
      <c r="L825" t="e">
        <f t="shared" si="49"/>
        <v>#N/A</v>
      </c>
      <c r="M825" t="e">
        <f>_xlfn.XLOOKUP(L825,EGPro!A:A,EGPro!D:D)</f>
        <v>#N/A</v>
      </c>
      <c r="N825" t="e">
        <f>_xlfn.XLOOKUP(L825,EGPro!A:A,EGPro!C:C)</f>
        <v>#N/A</v>
      </c>
      <c r="O825" t="e">
        <f t="shared" si="50"/>
        <v>#N/A</v>
      </c>
      <c r="P825" t="e">
        <f>_xlfn.XLOOKUP(O825,EGPro!A:A,EGPro!D:D)</f>
        <v>#N/A</v>
      </c>
      <c r="Q825" t="e">
        <f>_xlfn.XLOOKUP(O825,EGPro!A:A,EGPro!C:C)</f>
        <v>#N/A</v>
      </c>
    </row>
    <row r="826" spans="1:17" x14ac:dyDescent="0.45">
      <c r="A826" s="3">
        <f>配列!B786</f>
        <v>0</v>
      </c>
      <c r="B826" s="3" t="e">
        <f>_xlfn.XLOOKUP(A826,対応表!A:A,対応表!B:B)</f>
        <v>#N/A</v>
      </c>
      <c r="C826" s="3">
        <f>配列!C786</f>
        <v>0</v>
      </c>
      <c r="D826" s="3" t="str">
        <f>IF(配列!E786="",RIGHT(配列!D786&amp;配列!E786,4)&amp;"L",RIGHT(配列!D786&amp;配列!E786,5))</f>
        <v>L</v>
      </c>
      <c r="E826" s="3">
        <f t="shared" si="48"/>
        <v>0</v>
      </c>
      <c r="F826" s="3" t="e">
        <f>_xlfn.XLOOKUP(E826,セットアップレポート_紐づけ用!A:A,セットアップレポート_紐づけ用!J:J)</f>
        <v>#N/A</v>
      </c>
      <c r="G826" s="3" t="e">
        <f>_xlfn.XLOOKUP(E826,セットアップレポート_紐づけ用!A:A,セットアップレポート_紐づけ用!V:V)</f>
        <v>#N/A</v>
      </c>
      <c r="H826" s="3">
        <f t="shared" si="51"/>
        <v>-2</v>
      </c>
      <c r="I826" t="str">
        <f>IF(J826=0,"",IF(配列!E826="",マクロ実行!$A$16 &amp;" T"&amp;H826&amp;"-"&amp;RIGHT(配列!D826&amp;配列!E826,2),マクロ実行!$A$16 &amp;" T"&amp;H826&amp;"-"&amp;RIGHT(配列!D826&amp;配列!E826,3)))</f>
        <v/>
      </c>
      <c r="J826">
        <f>配列!F786</f>
        <v>0</v>
      </c>
      <c r="K826" s="2" t="e">
        <f>_xlfn.XLOOKUP(E826,セットアップレポート_紐づけ用!A:A,セットアップレポート_紐づけ用!R:R)</f>
        <v>#N/A</v>
      </c>
      <c r="L826" t="e">
        <f t="shared" si="49"/>
        <v>#N/A</v>
      </c>
      <c r="M826" t="e">
        <f>_xlfn.XLOOKUP(L826,EGPro!A:A,EGPro!D:D)</f>
        <v>#N/A</v>
      </c>
      <c r="N826" t="e">
        <f>_xlfn.XLOOKUP(L826,EGPro!A:A,EGPro!C:C)</f>
        <v>#N/A</v>
      </c>
      <c r="O826" t="e">
        <f t="shared" si="50"/>
        <v>#N/A</v>
      </c>
      <c r="P826" t="e">
        <f>_xlfn.XLOOKUP(O826,EGPro!A:A,EGPro!D:D)</f>
        <v>#N/A</v>
      </c>
      <c r="Q826" t="e">
        <f>_xlfn.XLOOKUP(O826,EGPro!A:A,EGPro!C:C)</f>
        <v>#N/A</v>
      </c>
    </row>
    <row r="827" spans="1:17" x14ac:dyDescent="0.45">
      <c r="A827" s="3">
        <f>配列!B787</f>
        <v>0</v>
      </c>
      <c r="B827" s="3" t="e">
        <f>_xlfn.XLOOKUP(A827,対応表!A:A,対応表!B:B)</f>
        <v>#N/A</v>
      </c>
      <c r="C827" s="3">
        <f>配列!C787</f>
        <v>0</v>
      </c>
      <c r="D827" s="3" t="str">
        <f>IF(配列!E787="",RIGHT(配列!D787&amp;配列!E787,4)&amp;"L",RIGHT(配列!D787&amp;配列!E787,5))</f>
        <v>L</v>
      </c>
      <c r="E827" s="3">
        <f t="shared" si="48"/>
        <v>0</v>
      </c>
      <c r="F827" s="3" t="e">
        <f>_xlfn.XLOOKUP(E827,セットアップレポート_紐づけ用!A:A,セットアップレポート_紐づけ用!J:J)</f>
        <v>#N/A</v>
      </c>
      <c r="G827" s="3" t="e">
        <f>_xlfn.XLOOKUP(E827,セットアップレポート_紐づけ用!A:A,セットアップレポート_紐づけ用!V:V)</f>
        <v>#N/A</v>
      </c>
      <c r="H827" s="3">
        <f t="shared" si="51"/>
        <v>-2</v>
      </c>
      <c r="I827" t="str">
        <f>IF(J827=0,"",IF(配列!E827="",マクロ実行!$A$16 &amp;" T"&amp;H827&amp;"-"&amp;RIGHT(配列!D827&amp;配列!E827,2),マクロ実行!$A$16 &amp;" T"&amp;H827&amp;"-"&amp;RIGHT(配列!D827&amp;配列!E827,3)))</f>
        <v/>
      </c>
      <c r="J827">
        <f>配列!F787</f>
        <v>0</v>
      </c>
      <c r="K827" s="2" t="e">
        <f>_xlfn.XLOOKUP(E827,セットアップレポート_紐づけ用!A:A,セットアップレポート_紐づけ用!R:R)</f>
        <v>#N/A</v>
      </c>
      <c r="L827" t="e">
        <f t="shared" si="49"/>
        <v>#N/A</v>
      </c>
      <c r="M827" t="e">
        <f>_xlfn.XLOOKUP(L827,EGPro!A:A,EGPro!D:D)</f>
        <v>#N/A</v>
      </c>
      <c r="N827" t="e">
        <f>_xlfn.XLOOKUP(L827,EGPro!A:A,EGPro!C:C)</f>
        <v>#N/A</v>
      </c>
      <c r="O827" t="e">
        <f t="shared" si="50"/>
        <v>#N/A</v>
      </c>
      <c r="P827" t="e">
        <f>_xlfn.XLOOKUP(O827,EGPro!A:A,EGPro!D:D)</f>
        <v>#N/A</v>
      </c>
      <c r="Q827" t="e">
        <f>_xlfn.XLOOKUP(O827,EGPro!A:A,EGPro!C:C)</f>
        <v>#N/A</v>
      </c>
    </row>
    <row r="828" spans="1:17" x14ac:dyDescent="0.45">
      <c r="A828" s="3">
        <f>配列!B788</f>
        <v>0</v>
      </c>
      <c r="B828" s="3" t="e">
        <f>_xlfn.XLOOKUP(A828,対応表!A:A,対応表!B:B)</f>
        <v>#N/A</v>
      </c>
      <c r="C828" s="3">
        <f>配列!C788</f>
        <v>0</v>
      </c>
      <c r="D828" s="3" t="str">
        <f>IF(配列!E788="",RIGHT(配列!D788&amp;配列!E788,4)&amp;"L",RIGHT(配列!D788&amp;配列!E788,5))</f>
        <v>L</v>
      </c>
      <c r="E828" s="3">
        <f t="shared" si="48"/>
        <v>0</v>
      </c>
      <c r="F828" s="3" t="e">
        <f>_xlfn.XLOOKUP(E828,セットアップレポート_紐づけ用!A:A,セットアップレポート_紐づけ用!J:J)</f>
        <v>#N/A</v>
      </c>
      <c r="G828" s="3" t="e">
        <f>_xlfn.XLOOKUP(E828,セットアップレポート_紐づけ用!A:A,セットアップレポート_紐づけ用!V:V)</f>
        <v>#N/A</v>
      </c>
      <c r="H828" s="3">
        <f t="shared" si="51"/>
        <v>-2</v>
      </c>
      <c r="I828" t="str">
        <f>IF(J828=0,"",IF(配列!E828="",マクロ実行!$A$16 &amp;" T"&amp;H828&amp;"-"&amp;RIGHT(配列!D828&amp;配列!E828,2),マクロ実行!$A$16 &amp;" T"&amp;H828&amp;"-"&amp;RIGHT(配列!D828&amp;配列!E828,3)))</f>
        <v/>
      </c>
      <c r="J828">
        <f>配列!F788</f>
        <v>0</v>
      </c>
      <c r="K828" s="2" t="e">
        <f>_xlfn.XLOOKUP(E828,セットアップレポート_紐づけ用!A:A,セットアップレポート_紐づけ用!R:R)</f>
        <v>#N/A</v>
      </c>
      <c r="L828" t="e">
        <f t="shared" si="49"/>
        <v>#N/A</v>
      </c>
      <c r="M828" t="e">
        <f>_xlfn.XLOOKUP(L828,EGPro!A:A,EGPro!D:D)</f>
        <v>#N/A</v>
      </c>
      <c r="N828" t="e">
        <f>_xlfn.XLOOKUP(L828,EGPro!A:A,EGPro!C:C)</f>
        <v>#N/A</v>
      </c>
      <c r="O828" t="e">
        <f t="shared" si="50"/>
        <v>#N/A</v>
      </c>
      <c r="P828" t="e">
        <f>_xlfn.XLOOKUP(O828,EGPro!A:A,EGPro!D:D)</f>
        <v>#N/A</v>
      </c>
      <c r="Q828" t="e">
        <f>_xlfn.XLOOKUP(O828,EGPro!A:A,EGPro!C:C)</f>
        <v>#N/A</v>
      </c>
    </row>
    <row r="829" spans="1:17" x14ac:dyDescent="0.45">
      <c r="A829" s="3">
        <f>配列!B789</f>
        <v>0</v>
      </c>
      <c r="B829" s="3" t="e">
        <f>_xlfn.XLOOKUP(A829,対応表!A:A,対応表!B:B)</f>
        <v>#N/A</v>
      </c>
      <c r="C829" s="3">
        <f>配列!C789</f>
        <v>0</v>
      </c>
      <c r="D829" s="3" t="str">
        <f>IF(配列!E789="",RIGHT(配列!D789&amp;配列!E789,4)&amp;"L",RIGHT(配列!D789&amp;配列!E789,5))</f>
        <v>L</v>
      </c>
      <c r="E829" s="3">
        <f t="shared" si="48"/>
        <v>0</v>
      </c>
      <c r="F829" s="3" t="e">
        <f>_xlfn.XLOOKUP(E829,セットアップレポート_紐づけ用!A:A,セットアップレポート_紐づけ用!J:J)</f>
        <v>#N/A</v>
      </c>
      <c r="G829" s="3" t="e">
        <f>_xlfn.XLOOKUP(E829,セットアップレポート_紐づけ用!A:A,セットアップレポート_紐づけ用!V:V)</f>
        <v>#N/A</v>
      </c>
      <c r="H829" s="3">
        <f t="shared" si="51"/>
        <v>-2</v>
      </c>
      <c r="I829" t="str">
        <f>IF(J829=0,"",IF(配列!E829="",マクロ実行!$A$16 &amp;" T"&amp;H829&amp;"-"&amp;RIGHT(配列!D829&amp;配列!E829,2),マクロ実行!$A$16 &amp;" T"&amp;H829&amp;"-"&amp;RIGHT(配列!D829&amp;配列!E829,3)))</f>
        <v/>
      </c>
      <c r="J829">
        <f>配列!F789</f>
        <v>0</v>
      </c>
      <c r="K829" s="2" t="e">
        <f>_xlfn.XLOOKUP(E829,セットアップレポート_紐づけ用!A:A,セットアップレポート_紐づけ用!R:R)</f>
        <v>#N/A</v>
      </c>
      <c r="L829" t="e">
        <f t="shared" si="49"/>
        <v>#N/A</v>
      </c>
      <c r="M829" t="e">
        <f>_xlfn.XLOOKUP(L829,EGPro!A:A,EGPro!D:D)</f>
        <v>#N/A</v>
      </c>
      <c r="N829" t="e">
        <f>_xlfn.XLOOKUP(L829,EGPro!A:A,EGPro!C:C)</f>
        <v>#N/A</v>
      </c>
      <c r="O829" t="e">
        <f t="shared" si="50"/>
        <v>#N/A</v>
      </c>
      <c r="P829" t="e">
        <f>_xlfn.XLOOKUP(O829,EGPro!A:A,EGPro!D:D)</f>
        <v>#N/A</v>
      </c>
      <c r="Q829" t="e">
        <f>_xlfn.XLOOKUP(O829,EGPro!A:A,EGPro!C:C)</f>
        <v>#N/A</v>
      </c>
    </row>
    <row r="830" spans="1:17" x14ac:dyDescent="0.45">
      <c r="A830" s="3">
        <f>配列!B790</f>
        <v>0</v>
      </c>
      <c r="B830" s="3" t="e">
        <f>_xlfn.XLOOKUP(A830,対応表!A:A,対応表!B:B)</f>
        <v>#N/A</v>
      </c>
      <c r="C830" s="3">
        <f>配列!C790</f>
        <v>0</v>
      </c>
      <c r="D830" s="3" t="str">
        <f>IF(配列!E790="",RIGHT(配列!D790&amp;配列!E790,4)&amp;"L",RIGHT(配列!D790&amp;配列!E790,5))</f>
        <v>L</v>
      </c>
      <c r="E830" s="3">
        <f t="shared" si="48"/>
        <v>0</v>
      </c>
      <c r="F830" s="3" t="e">
        <f>_xlfn.XLOOKUP(E830,セットアップレポート_紐づけ用!A:A,セットアップレポート_紐づけ用!J:J)</f>
        <v>#N/A</v>
      </c>
      <c r="G830" s="3" t="e">
        <f>_xlfn.XLOOKUP(E830,セットアップレポート_紐づけ用!A:A,セットアップレポート_紐づけ用!V:V)</f>
        <v>#N/A</v>
      </c>
      <c r="H830" s="3">
        <f t="shared" si="51"/>
        <v>-2</v>
      </c>
      <c r="I830" t="str">
        <f>IF(J830=0,"",IF(配列!E830="",マクロ実行!$A$16 &amp;" T"&amp;H830&amp;"-"&amp;RIGHT(配列!D830&amp;配列!E830,2),マクロ実行!$A$16 &amp;" T"&amp;H830&amp;"-"&amp;RIGHT(配列!D830&amp;配列!E830,3)))</f>
        <v/>
      </c>
      <c r="J830">
        <f>配列!F790</f>
        <v>0</v>
      </c>
      <c r="K830" s="2" t="e">
        <f>_xlfn.XLOOKUP(E830,セットアップレポート_紐づけ用!A:A,セットアップレポート_紐づけ用!R:R)</f>
        <v>#N/A</v>
      </c>
      <c r="L830" t="e">
        <f t="shared" si="49"/>
        <v>#N/A</v>
      </c>
      <c r="M830" t="e">
        <f>_xlfn.XLOOKUP(L830,EGPro!A:A,EGPro!D:D)</f>
        <v>#N/A</v>
      </c>
      <c r="N830" t="e">
        <f>_xlfn.XLOOKUP(L830,EGPro!A:A,EGPro!C:C)</f>
        <v>#N/A</v>
      </c>
      <c r="O830" t="e">
        <f t="shared" si="50"/>
        <v>#N/A</v>
      </c>
      <c r="P830" t="e">
        <f>_xlfn.XLOOKUP(O830,EGPro!A:A,EGPro!D:D)</f>
        <v>#N/A</v>
      </c>
      <c r="Q830" t="e">
        <f>_xlfn.XLOOKUP(O830,EGPro!A:A,EGPro!C:C)</f>
        <v>#N/A</v>
      </c>
    </row>
    <row r="831" spans="1:17" x14ac:dyDescent="0.45">
      <c r="A831" s="3">
        <f>配列!B791</f>
        <v>0</v>
      </c>
      <c r="B831" s="3" t="e">
        <f>_xlfn.XLOOKUP(A831,対応表!A:A,対応表!B:B)</f>
        <v>#N/A</v>
      </c>
      <c r="C831" s="3">
        <f>配列!C791</f>
        <v>0</v>
      </c>
      <c r="D831" s="3" t="str">
        <f>IF(配列!E791="",RIGHT(配列!D791&amp;配列!E791,4)&amp;"L",RIGHT(配列!D791&amp;配列!E791,5))</f>
        <v>L</v>
      </c>
      <c r="E831" s="3">
        <f t="shared" si="48"/>
        <v>0</v>
      </c>
      <c r="F831" s="3" t="e">
        <f>_xlfn.XLOOKUP(E831,セットアップレポート_紐づけ用!A:A,セットアップレポート_紐づけ用!J:J)</f>
        <v>#N/A</v>
      </c>
      <c r="G831" s="3" t="e">
        <f>_xlfn.XLOOKUP(E831,セットアップレポート_紐づけ用!A:A,セットアップレポート_紐づけ用!V:V)</f>
        <v>#N/A</v>
      </c>
      <c r="H831" s="3">
        <f t="shared" si="51"/>
        <v>-2</v>
      </c>
      <c r="I831" t="str">
        <f>IF(J831=0,"",IF(配列!E831="",マクロ実行!$A$16 &amp;" T"&amp;H831&amp;"-"&amp;RIGHT(配列!D831&amp;配列!E831,2),マクロ実行!$A$16 &amp;" T"&amp;H831&amp;"-"&amp;RIGHT(配列!D831&amp;配列!E831,3)))</f>
        <v/>
      </c>
      <c r="J831">
        <f>配列!F791</f>
        <v>0</v>
      </c>
      <c r="K831" s="2" t="e">
        <f>_xlfn.XLOOKUP(E831,セットアップレポート_紐づけ用!A:A,セットアップレポート_紐づけ用!R:R)</f>
        <v>#N/A</v>
      </c>
      <c r="L831" t="e">
        <f t="shared" si="49"/>
        <v>#N/A</v>
      </c>
      <c r="M831" t="e">
        <f>_xlfn.XLOOKUP(L831,EGPro!A:A,EGPro!D:D)</f>
        <v>#N/A</v>
      </c>
      <c r="N831" t="e">
        <f>_xlfn.XLOOKUP(L831,EGPro!A:A,EGPro!C:C)</f>
        <v>#N/A</v>
      </c>
      <c r="O831" t="e">
        <f t="shared" si="50"/>
        <v>#N/A</v>
      </c>
      <c r="P831" t="e">
        <f>_xlfn.XLOOKUP(O831,EGPro!A:A,EGPro!D:D)</f>
        <v>#N/A</v>
      </c>
      <c r="Q831" t="e">
        <f>_xlfn.XLOOKUP(O831,EGPro!A:A,EGPro!C:C)</f>
        <v>#N/A</v>
      </c>
    </row>
    <row r="832" spans="1:17" x14ac:dyDescent="0.45">
      <c r="A832" s="3">
        <f>配列!B792</f>
        <v>0</v>
      </c>
      <c r="B832" s="3" t="e">
        <f>_xlfn.XLOOKUP(A832,対応表!A:A,対応表!B:B)</f>
        <v>#N/A</v>
      </c>
      <c r="C832" s="3">
        <f>配列!C792</f>
        <v>0</v>
      </c>
      <c r="D832" s="3" t="str">
        <f>IF(配列!E792="",RIGHT(配列!D792&amp;配列!E792,4)&amp;"L",RIGHT(配列!D792&amp;配列!E792,5))</f>
        <v>L</v>
      </c>
      <c r="E832" s="3">
        <f t="shared" si="48"/>
        <v>0</v>
      </c>
      <c r="F832" s="3" t="e">
        <f>_xlfn.XLOOKUP(E832,セットアップレポート_紐づけ用!A:A,セットアップレポート_紐づけ用!J:J)</f>
        <v>#N/A</v>
      </c>
      <c r="G832" s="3" t="e">
        <f>_xlfn.XLOOKUP(E832,セットアップレポート_紐づけ用!A:A,セットアップレポート_紐づけ用!V:V)</f>
        <v>#N/A</v>
      </c>
      <c r="H832" s="3">
        <f t="shared" si="51"/>
        <v>-2</v>
      </c>
      <c r="I832" t="str">
        <f>IF(J832=0,"",IF(配列!E832="",マクロ実行!$A$16 &amp;" T"&amp;H832&amp;"-"&amp;RIGHT(配列!D832&amp;配列!E832,2),マクロ実行!$A$16 &amp;" T"&amp;H832&amp;"-"&amp;RIGHT(配列!D832&amp;配列!E832,3)))</f>
        <v/>
      </c>
      <c r="J832">
        <f>配列!F792</f>
        <v>0</v>
      </c>
      <c r="K832" s="2" t="e">
        <f>_xlfn.XLOOKUP(E832,セットアップレポート_紐づけ用!A:A,セットアップレポート_紐づけ用!R:R)</f>
        <v>#N/A</v>
      </c>
      <c r="L832" t="e">
        <f t="shared" si="49"/>
        <v>#N/A</v>
      </c>
      <c r="M832" t="e">
        <f>_xlfn.XLOOKUP(L832,EGPro!A:A,EGPro!D:D)</f>
        <v>#N/A</v>
      </c>
      <c r="N832" t="e">
        <f>_xlfn.XLOOKUP(L832,EGPro!A:A,EGPro!C:C)</f>
        <v>#N/A</v>
      </c>
      <c r="O832" t="e">
        <f t="shared" si="50"/>
        <v>#N/A</v>
      </c>
      <c r="P832" t="e">
        <f>_xlfn.XLOOKUP(O832,EGPro!A:A,EGPro!D:D)</f>
        <v>#N/A</v>
      </c>
      <c r="Q832" t="e">
        <f>_xlfn.XLOOKUP(O832,EGPro!A:A,EGPro!C:C)</f>
        <v>#N/A</v>
      </c>
    </row>
    <row r="833" spans="1:17" x14ac:dyDescent="0.45">
      <c r="A833" s="3">
        <f>配列!B793</f>
        <v>0</v>
      </c>
      <c r="B833" s="3" t="e">
        <f>_xlfn.XLOOKUP(A833,対応表!A:A,対応表!B:B)</f>
        <v>#N/A</v>
      </c>
      <c r="C833" s="3">
        <f>配列!C793</f>
        <v>0</v>
      </c>
      <c r="D833" s="3" t="str">
        <f>IF(配列!E793="",RIGHT(配列!D793&amp;配列!E793,4)&amp;"L",RIGHT(配列!D793&amp;配列!E793,5))</f>
        <v>L</v>
      </c>
      <c r="E833" s="3">
        <f t="shared" si="48"/>
        <v>0</v>
      </c>
      <c r="F833" s="3" t="e">
        <f>_xlfn.XLOOKUP(E833,セットアップレポート_紐づけ用!A:A,セットアップレポート_紐づけ用!J:J)</f>
        <v>#N/A</v>
      </c>
      <c r="G833" s="3" t="e">
        <f>_xlfn.XLOOKUP(E833,セットアップレポート_紐づけ用!A:A,セットアップレポート_紐づけ用!V:V)</f>
        <v>#N/A</v>
      </c>
      <c r="H833" s="3">
        <f t="shared" si="51"/>
        <v>-2</v>
      </c>
      <c r="I833" t="str">
        <f>IF(J833=0,"",IF(配列!E833="",マクロ実行!$A$16 &amp;" T"&amp;H833&amp;"-"&amp;RIGHT(配列!D833&amp;配列!E833,2),マクロ実行!$A$16 &amp;" T"&amp;H833&amp;"-"&amp;RIGHT(配列!D833&amp;配列!E833,3)))</f>
        <v/>
      </c>
      <c r="J833">
        <f>配列!F793</f>
        <v>0</v>
      </c>
      <c r="K833" s="2" t="e">
        <f>_xlfn.XLOOKUP(E833,セットアップレポート_紐づけ用!A:A,セットアップレポート_紐づけ用!R:R)</f>
        <v>#N/A</v>
      </c>
      <c r="L833" t="e">
        <f t="shared" si="49"/>
        <v>#N/A</v>
      </c>
      <c r="M833" t="e">
        <f>_xlfn.XLOOKUP(L833,EGPro!A:A,EGPro!D:D)</f>
        <v>#N/A</v>
      </c>
      <c r="N833" t="e">
        <f>_xlfn.XLOOKUP(L833,EGPro!A:A,EGPro!C:C)</f>
        <v>#N/A</v>
      </c>
      <c r="O833" t="e">
        <f t="shared" si="50"/>
        <v>#N/A</v>
      </c>
      <c r="P833" t="e">
        <f>_xlfn.XLOOKUP(O833,EGPro!A:A,EGPro!D:D)</f>
        <v>#N/A</v>
      </c>
      <c r="Q833" t="e">
        <f>_xlfn.XLOOKUP(O833,EGPro!A:A,EGPro!C:C)</f>
        <v>#N/A</v>
      </c>
    </row>
    <row r="834" spans="1:17" x14ac:dyDescent="0.45">
      <c r="A834" s="3">
        <f>配列!B794</f>
        <v>0</v>
      </c>
      <c r="B834" s="3" t="e">
        <f>_xlfn.XLOOKUP(A834,対応表!A:A,対応表!B:B)</f>
        <v>#N/A</v>
      </c>
      <c r="C834" s="3">
        <f>配列!C794</f>
        <v>0</v>
      </c>
      <c r="D834" s="3" t="str">
        <f>IF(配列!E794="",RIGHT(配列!D794&amp;配列!E794,4)&amp;"L",RIGHT(配列!D794&amp;配列!E794,5))</f>
        <v>L</v>
      </c>
      <c r="E834" s="3">
        <f t="shared" ref="E834:E897" si="52">IF(J834=0,,B834&amp;D834&amp;J834)</f>
        <v>0</v>
      </c>
      <c r="F834" s="3" t="e">
        <f>_xlfn.XLOOKUP(E834,セットアップレポート_紐づけ用!A:A,セットアップレポート_紐づけ用!J:J)</f>
        <v>#N/A</v>
      </c>
      <c r="G834" s="3" t="e">
        <f>_xlfn.XLOOKUP(E834,セットアップレポート_紐づけ用!A:A,セットアップレポート_紐づけ用!V:V)</f>
        <v>#N/A</v>
      </c>
      <c r="H834" s="3">
        <f t="shared" si="51"/>
        <v>-2</v>
      </c>
      <c r="I834" t="str">
        <f>IF(J834=0,"",IF(配列!E834="",マクロ実行!$A$16 &amp;" T"&amp;H834&amp;"-"&amp;RIGHT(配列!D834&amp;配列!E834,2),マクロ実行!$A$16 &amp;" T"&amp;H834&amp;"-"&amp;RIGHT(配列!D834&amp;配列!E834,3)))</f>
        <v/>
      </c>
      <c r="J834">
        <f>配列!F794</f>
        <v>0</v>
      </c>
      <c r="K834" s="2" t="e">
        <f>_xlfn.XLOOKUP(E834,セットアップレポート_紐づけ用!A:A,セットアップレポート_紐づけ用!R:R)</f>
        <v>#N/A</v>
      </c>
      <c r="L834" t="e">
        <f t="shared" ref="L834:L897" si="53">IF(LEN(F834)=13,"    "&amp;F834,F834)</f>
        <v>#N/A</v>
      </c>
      <c r="M834" t="e">
        <f>_xlfn.XLOOKUP(L834,EGPro!A:A,EGPro!D:D)</f>
        <v>#N/A</v>
      </c>
      <c r="N834" t="e">
        <f>_xlfn.XLOOKUP(L834,EGPro!A:A,EGPro!C:C)</f>
        <v>#N/A</v>
      </c>
      <c r="O834" t="e">
        <f t="shared" ref="O834:O897" si="54">IF(LEN(G834)=13,"    "&amp;G834,G834)</f>
        <v>#N/A</v>
      </c>
      <c r="P834" t="e">
        <f>_xlfn.XLOOKUP(O834,EGPro!A:A,EGPro!D:D)</f>
        <v>#N/A</v>
      </c>
      <c r="Q834" t="e">
        <f>_xlfn.XLOOKUP(O834,EGPro!A:A,EGPro!C:C)</f>
        <v>#N/A</v>
      </c>
    </row>
    <row r="835" spans="1:17" x14ac:dyDescent="0.45">
      <c r="A835" s="3">
        <f>配列!B795</f>
        <v>0</v>
      </c>
      <c r="B835" s="3" t="e">
        <f>_xlfn.XLOOKUP(A835,対応表!A:A,対応表!B:B)</f>
        <v>#N/A</v>
      </c>
      <c r="C835" s="3">
        <f>配列!C795</f>
        <v>0</v>
      </c>
      <c r="D835" s="3" t="str">
        <f>IF(配列!E795="",RIGHT(配列!D795&amp;配列!E795,4)&amp;"L",RIGHT(配列!D795&amp;配列!E795,5))</f>
        <v>L</v>
      </c>
      <c r="E835" s="3">
        <f t="shared" si="52"/>
        <v>0</v>
      </c>
      <c r="F835" s="3" t="e">
        <f>_xlfn.XLOOKUP(E835,セットアップレポート_紐づけ用!A:A,セットアップレポート_紐づけ用!J:J)</f>
        <v>#N/A</v>
      </c>
      <c r="G835" s="3" t="e">
        <f>_xlfn.XLOOKUP(E835,セットアップレポート_紐づけ用!A:A,セットアップレポート_紐づけ用!V:V)</f>
        <v>#N/A</v>
      </c>
      <c r="H835" s="3">
        <f t="shared" ref="H835:H898" si="55">2*RIGHT(A835,1)-2+C835</f>
        <v>-2</v>
      </c>
      <c r="I835" t="str">
        <f>IF(J835=0,"",IF(配列!E835="",マクロ実行!$A$16 &amp;" T"&amp;H835&amp;"-"&amp;RIGHT(配列!D835&amp;配列!E835,2),マクロ実行!$A$16 &amp;" T"&amp;H835&amp;"-"&amp;RIGHT(配列!D835&amp;配列!E835,3)))</f>
        <v/>
      </c>
      <c r="J835">
        <f>配列!F795</f>
        <v>0</v>
      </c>
      <c r="K835" s="2" t="e">
        <f>_xlfn.XLOOKUP(E835,セットアップレポート_紐づけ用!A:A,セットアップレポート_紐づけ用!R:R)</f>
        <v>#N/A</v>
      </c>
      <c r="L835" t="e">
        <f t="shared" si="53"/>
        <v>#N/A</v>
      </c>
      <c r="M835" t="e">
        <f>_xlfn.XLOOKUP(L835,EGPro!A:A,EGPro!D:D)</f>
        <v>#N/A</v>
      </c>
      <c r="N835" t="e">
        <f>_xlfn.XLOOKUP(L835,EGPro!A:A,EGPro!C:C)</f>
        <v>#N/A</v>
      </c>
      <c r="O835" t="e">
        <f t="shared" si="54"/>
        <v>#N/A</v>
      </c>
      <c r="P835" t="e">
        <f>_xlfn.XLOOKUP(O835,EGPro!A:A,EGPro!D:D)</f>
        <v>#N/A</v>
      </c>
      <c r="Q835" t="e">
        <f>_xlfn.XLOOKUP(O835,EGPro!A:A,EGPro!C:C)</f>
        <v>#N/A</v>
      </c>
    </row>
    <row r="836" spans="1:17" x14ac:dyDescent="0.45">
      <c r="A836" s="3">
        <f>配列!B796</f>
        <v>0</v>
      </c>
      <c r="B836" s="3" t="e">
        <f>_xlfn.XLOOKUP(A836,対応表!A:A,対応表!B:B)</f>
        <v>#N/A</v>
      </c>
      <c r="C836" s="3">
        <f>配列!C796</f>
        <v>0</v>
      </c>
      <c r="D836" s="3" t="str">
        <f>IF(配列!E796="",RIGHT(配列!D796&amp;配列!E796,4)&amp;"L",RIGHT(配列!D796&amp;配列!E796,5))</f>
        <v>L</v>
      </c>
      <c r="E836" s="3">
        <f t="shared" si="52"/>
        <v>0</v>
      </c>
      <c r="F836" s="3" t="e">
        <f>_xlfn.XLOOKUP(E836,セットアップレポート_紐づけ用!A:A,セットアップレポート_紐づけ用!J:J)</f>
        <v>#N/A</v>
      </c>
      <c r="G836" s="3" t="e">
        <f>_xlfn.XLOOKUP(E836,セットアップレポート_紐づけ用!A:A,セットアップレポート_紐づけ用!V:V)</f>
        <v>#N/A</v>
      </c>
      <c r="H836" s="3">
        <f t="shared" si="55"/>
        <v>-2</v>
      </c>
      <c r="I836" t="str">
        <f>IF(J836=0,"",IF(配列!E836="",マクロ実行!$A$16 &amp;" T"&amp;H836&amp;"-"&amp;RIGHT(配列!D836&amp;配列!E836,2),マクロ実行!$A$16 &amp;" T"&amp;H836&amp;"-"&amp;RIGHT(配列!D836&amp;配列!E836,3)))</f>
        <v/>
      </c>
      <c r="J836">
        <f>配列!F796</f>
        <v>0</v>
      </c>
      <c r="K836" s="2" t="e">
        <f>_xlfn.XLOOKUP(E836,セットアップレポート_紐づけ用!A:A,セットアップレポート_紐づけ用!R:R)</f>
        <v>#N/A</v>
      </c>
      <c r="L836" t="e">
        <f t="shared" si="53"/>
        <v>#N/A</v>
      </c>
      <c r="M836" t="e">
        <f>_xlfn.XLOOKUP(L836,EGPro!A:A,EGPro!D:D)</f>
        <v>#N/A</v>
      </c>
      <c r="N836" t="e">
        <f>_xlfn.XLOOKUP(L836,EGPro!A:A,EGPro!C:C)</f>
        <v>#N/A</v>
      </c>
      <c r="O836" t="e">
        <f t="shared" si="54"/>
        <v>#N/A</v>
      </c>
      <c r="P836" t="e">
        <f>_xlfn.XLOOKUP(O836,EGPro!A:A,EGPro!D:D)</f>
        <v>#N/A</v>
      </c>
      <c r="Q836" t="e">
        <f>_xlfn.XLOOKUP(O836,EGPro!A:A,EGPro!C:C)</f>
        <v>#N/A</v>
      </c>
    </row>
    <row r="837" spans="1:17" x14ac:dyDescent="0.45">
      <c r="A837" s="3">
        <f>配列!B797</f>
        <v>0</v>
      </c>
      <c r="B837" s="3" t="e">
        <f>_xlfn.XLOOKUP(A837,対応表!A:A,対応表!B:B)</f>
        <v>#N/A</v>
      </c>
      <c r="C837" s="3">
        <f>配列!C797</f>
        <v>0</v>
      </c>
      <c r="D837" s="3" t="str">
        <f>IF(配列!E797="",RIGHT(配列!D797&amp;配列!E797,4)&amp;"L",RIGHT(配列!D797&amp;配列!E797,5))</f>
        <v>L</v>
      </c>
      <c r="E837" s="3">
        <f t="shared" si="52"/>
        <v>0</v>
      </c>
      <c r="F837" s="3" t="e">
        <f>_xlfn.XLOOKUP(E837,セットアップレポート_紐づけ用!A:A,セットアップレポート_紐づけ用!J:J)</f>
        <v>#N/A</v>
      </c>
      <c r="G837" s="3" t="e">
        <f>_xlfn.XLOOKUP(E837,セットアップレポート_紐づけ用!A:A,セットアップレポート_紐づけ用!V:V)</f>
        <v>#N/A</v>
      </c>
      <c r="H837" s="3">
        <f t="shared" si="55"/>
        <v>-2</v>
      </c>
      <c r="I837" t="str">
        <f>IF(J837=0,"",IF(配列!E837="",マクロ実行!$A$16 &amp;" T"&amp;H837&amp;"-"&amp;RIGHT(配列!D837&amp;配列!E837,2),マクロ実行!$A$16 &amp;" T"&amp;H837&amp;"-"&amp;RIGHT(配列!D837&amp;配列!E837,3)))</f>
        <v/>
      </c>
      <c r="J837">
        <f>配列!F797</f>
        <v>0</v>
      </c>
      <c r="K837" s="2" t="e">
        <f>_xlfn.XLOOKUP(E837,セットアップレポート_紐づけ用!A:A,セットアップレポート_紐づけ用!R:R)</f>
        <v>#N/A</v>
      </c>
      <c r="L837" t="e">
        <f t="shared" si="53"/>
        <v>#N/A</v>
      </c>
      <c r="M837" t="e">
        <f>_xlfn.XLOOKUP(L837,EGPro!A:A,EGPro!D:D)</f>
        <v>#N/A</v>
      </c>
      <c r="N837" t="e">
        <f>_xlfn.XLOOKUP(L837,EGPro!A:A,EGPro!C:C)</f>
        <v>#N/A</v>
      </c>
      <c r="O837" t="e">
        <f t="shared" si="54"/>
        <v>#N/A</v>
      </c>
      <c r="P837" t="e">
        <f>_xlfn.XLOOKUP(O837,EGPro!A:A,EGPro!D:D)</f>
        <v>#N/A</v>
      </c>
      <c r="Q837" t="e">
        <f>_xlfn.XLOOKUP(O837,EGPro!A:A,EGPro!C:C)</f>
        <v>#N/A</v>
      </c>
    </row>
    <row r="838" spans="1:17" x14ac:dyDescent="0.45">
      <c r="A838" s="3">
        <f>配列!B798</f>
        <v>0</v>
      </c>
      <c r="B838" s="3" t="e">
        <f>_xlfn.XLOOKUP(A838,対応表!A:A,対応表!B:B)</f>
        <v>#N/A</v>
      </c>
      <c r="C838" s="3">
        <f>配列!C798</f>
        <v>0</v>
      </c>
      <c r="D838" s="3" t="str">
        <f>IF(配列!E798="",RIGHT(配列!D798&amp;配列!E798,4)&amp;"L",RIGHT(配列!D798&amp;配列!E798,5))</f>
        <v>L</v>
      </c>
      <c r="E838" s="3">
        <f t="shared" si="52"/>
        <v>0</v>
      </c>
      <c r="F838" s="3" t="e">
        <f>_xlfn.XLOOKUP(E838,セットアップレポート_紐づけ用!A:A,セットアップレポート_紐づけ用!J:J)</f>
        <v>#N/A</v>
      </c>
      <c r="G838" s="3" t="e">
        <f>_xlfn.XLOOKUP(E838,セットアップレポート_紐づけ用!A:A,セットアップレポート_紐づけ用!V:V)</f>
        <v>#N/A</v>
      </c>
      <c r="H838" s="3">
        <f t="shared" si="55"/>
        <v>-2</v>
      </c>
      <c r="I838" t="str">
        <f>IF(J838=0,"",IF(配列!E838="",マクロ実行!$A$16 &amp;" T"&amp;H838&amp;"-"&amp;RIGHT(配列!D838&amp;配列!E838,2),マクロ実行!$A$16 &amp;" T"&amp;H838&amp;"-"&amp;RIGHT(配列!D838&amp;配列!E838,3)))</f>
        <v/>
      </c>
      <c r="J838">
        <f>配列!F798</f>
        <v>0</v>
      </c>
      <c r="K838" s="2" t="e">
        <f>_xlfn.XLOOKUP(E838,セットアップレポート_紐づけ用!A:A,セットアップレポート_紐づけ用!R:R)</f>
        <v>#N/A</v>
      </c>
      <c r="L838" t="e">
        <f t="shared" si="53"/>
        <v>#N/A</v>
      </c>
      <c r="M838" t="e">
        <f>_xlfn.XLOOKUP(L838,EGPro!A:A,EGPro!D:D)</f>
        <v>#N/A</v>
      </c>
      <c r="N838" t="e">
        <f>_xlfn.XLOOKUP(L838,EGPro!A:A,EGPro!C:C)</f>
        <v>#N/A</v>
      </c>
      <c r="O838" t="e">
        <f t="shared" si="54"/>
        <v>#N/A</v>
      </c>
      <c r="P838" t="e">
        <f>_xlfn.XLOOKUP(O838,EGPro!A:A,EGPro!D:D)</f>
        <v>#N/A</v>
      </c>
      <c r="Q838" t="e">
        <f>_xlfn.XLOOKUP(O838,EGPro!A:A,EGPro!C:C)</f>
        <v>#N/A</v>
      </c>
    </row>
    <row r="839" spans="1:17" x14ac:dyDescent="0.45">
      <c r="A839" s="3">
        <f>配列!B799</f>
        <v>0</v>
      </c>
      <c r="B839" s="3" t="e">
        <f>_xlfn.XLOOKUP(A839,対応表!A:A,対応表!B:B)</f>
        <v>#N/A</v>
      </c>
      <c r="C839" s="3">
        <f>配列!C799</f>
        <v>0</v>
      </c>
      <c r="D839" s="3" t="str">
        <f>IF(配列!E799="",RIGHT(配列!D799&amp;配列!E799,4)&amp;"L",RIGHT(配列!D799&amp;配列!E799,5))</f>
        <v>L</v>
      </c>
      <c r="E839" s="3">
        <f t="shared" si="52"/>
        <v>0</v>
      </c>
      <c r="F839" s="3" t="e">
        <f>_xlfn.XLOOKUP(E839,セットアップレポート_紐づけ用!A:A,セットアップレポート_紐づけ用!J:J)</f>
        <v>#N/A</v>
      </c>
      <c r="G839" s="3" t="e">
        <f>_xlfn.XLOOKUP(E839,セットアップレポート_紐づけ用!A:A,セットアップレポート_紐づけ用!V:V)</f>
        <v>#N/A</v>
      </c>
      <c r="H839" s="3">
        <f t="shared" si="55"/>
        <v>-2</v>
      </c>
      <c r="I839" t="str">
        <f>IF(J839=0,"",IF(配列!E839="",マクロ実行!$A$16 &amp;" T"&amp;H839&amp;"-"&amp;RIGHT(配列!D839&amp;配列!E839,2),マクロ実行!$A$16 &amp;" T"&amp;H839&amp;"-"&amp;RIGHT(配列!D839&amp;配列!E839,3)))</f>
        <v/>
      </c>
      <c r="J839">
        <f>配列!F799</f>
        <v>0</v>
      </c>
      <c r="K839" s="2" t="e">
        <f>_xlfn.XLOOKUP(E839,セットアップレポート_紐づけ用!A:A,セットアップレポート_紐づけ用!R:R)</f>
        <v>#N/A</v>
      </c>
      <c r="L839" t="e">
        <f t="shared" si="53"/>
        <v>#N/A</v>
      </c>
      <c r="M839" t="e">
        <f>_xlfn.XLOOKUP(L839,EGPro!A:A,EGPro!D:D)</f>
        <v>#N/A</v>
      </c>
      <c r="N839" t="e">
        <f>_xlfn.XLOOKUP(L839,EGPro!A:A,EGPro!C:C)</f>
        <v>#N/A</v>
      </c>
      <c r="O839" t="e">
        <f t="shared" si="54"/>
        <v>#N/A</v>
      </c>
      <c r="P839" t="e">
        <f>_xlfn.XLOOKUP(O839,EGPro!A:A,EGPro!D:D)</f>
        <v>#N/A</v>
      </c>
      <c r="Q839" t="e">
        <f>_xlfn.XLOOKUP(O839,EGPro!A:A,EGPro!C:C)</f>
        <v>#N/A</v>
      </c>
    </row>
    <row r="840" spans="1:17" x14ac:dyDescent="0.45">
      <c r="A840" s="3">
        <f>配列!B800</f>
        <v>0</v>
      </c>
      <c r="B840" s="3" t="e">
        <f>_xlfn.XLOOKUP(A840,対応表!A:A,対応表!B:B)</f>
        <v>#N/A</v>
      </c>
      <c r="C840" s="3">
        <f>配列!C800</f>
        <v>0</v>
      </c>
      <c r="D840" s="3" t="str">
        <f>IF(配列!E800="",RIGHT(配列!D800&amp;配列!E800,4)&amp;"L",RIGHT(配列!D800&amp;配列!E800,5))</f>
        <v>L</v>
      </c>
      <c r="E840" s="3">
        <f t="shared" si="52"/>
        <v>0</v>
      </c>
      <c r="F840" s="3" t="e">
        <f>_xlfn.XLOOKUP(E840,セットアップレポート_紐づけ用!A:A,セットアップレポート_紐づけ用!J:J)</f>
        <v>#N/A</v>
      </c>
      <c r="G840" s="3" t="e">
        <f>_xlfn.XLOOKUP(E840,セットアップレポート_紐づけ用!A:A,セットアップレポート_紐づけ用!V:V)</f>
        <v>#N/A</v>
      </c>
      <c r="H840" s="3">
        <f t="shared" si="55"/>
        <v>-2</v>
      </c>
      <c r="I840" t="str">
        <f>IF(J840=0,"",IF(配列!E840="",マクロ実行!$A$16 &amp;" T"&amp;H840&amp;"-"&amp;RIGHT(配列!D840&amp;配列!E840,2),マクロ実行!$A$16 &amp;" T"&amp;H840&amp;"-"&amp;RIGHT(配列!D840&amp;配列!E840,3)))</f>
        <v/>
      </c>
      <c r="J840">
        <f>配列!F800</f>
        <v>0</v>
      </c>
      <c r="K840" s="2" t="e">
        <f>_xlfn.XLOOKUP(E840,セットアップレポート_紐づけ用!A:A,セットアップレポート_紐づけ用!R:R)</f>
        <v>#N/A</v>
      </c>
      <c r="L840" t="e">
        <f t="shared" si="53"/>
        <v>#N/A</v>
      </c>
      <c r="M840" t="e">
        <f>_xlfn.XLOOKUP(L840,EGPro!A:A,EGPro!D:D)</f>
        <v>#N/A</v>
      </c>
      <c r="N840" t="e">
        <f>_xlfn.XLOOKUP(L840,EGPro!A:A,EGPro!C:C)</f>
        <v>#N/A</v>
      </c>
      <c r="O840" t="e">
        <f t="shared" si="54"/>
        <v>#N/A</v>
      </c>
      <c r="P840" t="e">
        <f>_xlfn.XLOOKUP(O840,EGPro!A:A,EGPro!D:D)</f>
        <v>#N/A</v>
      </c>
      <c r="Q840" t="e">
        <f>_xlfn.XLOOKUP(O840,EGPro!A:A,EGPro!C:C)</f>
        <v>#N/A</v>
      </c>
    </row>
    <row r="841" spans="1:17" x14ac:dyDescent="0.45">
      <c r="A841" s="3">
        <f>配列!B801</f>
        <v>0</v>
      </c>
      <c r="B841" s="3" t="e">
        <f>_xlfn.XLOOKUP(A841,対応表!A:A,対応表!B:B)</f>
        <v>#N/A</v>
      </c>
      <c r="C841" s="3">
        <f>配列!C801</f>
        <v>0</v>
      </c>
      <c r="D841" s="3" t="str">
        <f>IF(配列!E801="",RIGHT(配列!D801&amp;配列!E801,4)&amp;"L",RIGHT(配列!D801&amp;配列!E801,5))</f>
        <v>L</v>
      </c>
      <c r="E841" s="3">
        <f t="shared" si="52"/>
        <v>0</v>
      </c>
      <c r="F841" s="3" t="e">
        <f>_xlfn.XLOOKUP(E841,セットアップレポート_紐づけ用!A:A,セットアップレポート_紐づけ用!J:J)</f>
        <v>#N/A</v>
      </c>
      <c r="G841" s="3" t="e">
        <f>_xlfn.XLOOKUP(E841,セットアップレポート_紐づけ用!A:A,セットアップレポート_紐づけ用!V:V)</f>
        <v>#N/A</v>
      </c>
      <c r="H841" s="3">
        <f t="shared" si="55"/>
        <v>-2</v>
      </c>
      <c r="I841" t="str">
        <f>IF(J841=0,"",IF(配列!E841="",マクロ実行!$A$16 &amp;" T"&amp;H841&amp;"-"&amp;RIGHT(配列!D841&amp;配列!E841,2),マクロ実行!$A$16 &amp;" T"&amp;H841&amp;"-"&amp;RIGHT(配列!D841&amp;配列!E841,3)))</f>
        <v/>
      </c>
      <c r="J841">
        <f>配列!F801</f>
        <v>0</v>
      </c>
      <c r="K841" s="2" t="e">
        <f>_xlfn.XLOOKUP(E841,セットアップレポート_紐づけ用!A:A,セットアップレポート_紐づけ用!R:R)</f>
        <v>#N/A</v>
      </c>
      <c r="L841" t="e">
        <f t="shared" si="53"/>
        <v>#N/A</v>
      </c>
      <c r="M841" t="e">
        <f>_xlfn.XLOOKUP(L841,EGPro!A:A,EGPro!D:D)</f>
        <v>#N/A</v>
      </c>
      <c r="N841" t="e">
        <f>_xlfn.XLOOKUP(L841,EGPro!A:A,EGPro!C:C)</f>
        <v>#N/A</v>
      </c>
      <c r="O841" t="e">
        <f t="shared" si="54"/>
        <v>#N/A</v>
      </c>
      <c r="P841" t="e">
        <f>_xlfn.XLOOKUP(O841,EGPro!A:A,EGPro!D:D)</f>
        <v>#N/A</v>
      </c>
      <c r="Q841" t="e">
        <f>_xlfn.XLOOKUP(O841,EGPro!A:A,EGPro!C:C)</f>
        <v>#N/A</v>
      </c>
    </row>
    <row r="842" spans="1:17" x14ac:dyDescent="0.45">
      <c r="A842" s="3">
        <f>配列!B802</f>
        <v>0</v>
      </c>
      <c r="B842" s="3" t="e">
        <f>_xlfn.XLOOKUP(A842,対応表!A:A,対応表!B:B)</f>
        <v>#N/A</v>
      </c>
      <c r="C842" s="3">
        <f>配列!C802</f>
        <v>0</v>
      </c>
      <c r="D842" s="3" t="str">
        <f>IF(配列!E802="",RIGHT(配列!D802&amp;配列!E802,4)&amp;"L",RIGHT(配列!D802&amp;配列!E802,5))</f>
        <v>L</v>
      </c>
      <c r="E842" s="3">
        <f t="shared" si="52"/>
        <v>0</v>
      </c>
      <c r="F842" s="3" t="e">
        <f>_xlfn.XLOOKUP(E842,セットアップレポート_紐づけ用!A:A,セットアップレポート_紐づけ用!J:J)</f>
        <v>#N/A</v>
      </c>
      <c r="G842" s="3" t="e">
        <f>_xlfn.XLOOKUP(E842,セットアップレポート_紐づけ用!A:A,セットアップレポート_紐づけ用!V:V)</f>
        <v>#N/A</v>
      </c>
      <c r="H842" s="3">
        <f t="shared" si="55"/>
        <v>-2</v>
      </c>
      <c r="I842" t="str">
        <f>IF(J842=0,"",IF(配列!E842="",マクロ実行!$A$16 &amp;" T"&amp;H842&amp;"-"&amp;RIGHT(配列!D842&amp;配列!E842,2),マクロ実行!$A$16 &amp;" T"&amp;H842&amp;"-"&amp;RIGHT(配列!D842&amp;配列!E842,3)))</f>
        <v/>
      </c>
      <c r="J842">
        <f>配列!F802</f>
        <v>0</v>
      </c>
      <c r="K842" s="2" t="e">
        <f>_xlfn.XLOOKUP(E842,セットアップレポート_紐づけ用!A:A,セットアップレポート_紐づけ用!R:R)</f>
        <v>#N/A</v>
      </c>
      <c r="L842" t="e">
        <f t="shared" si="53"/>
        <v>#N/A</v>
      </c>
      <c r="M842" t="e">
        <f>_xlfn.XLOOKUP(L842,EGPro!A:A,EGPro!D:D)</f>
        <v>#N/A</v>
      </c>
      <c r="N842" t="e">
        <f>_xlfn.XLOOKUP(L842,EGPro!A:A,EGPro!C:C)</f>
        <v>#N/A</v>
      </c>
      <c r="O842" t="e">
        <f t="shared" si="54"/>
        <v>#N/A</v>
      </c>
      <c r="P842" t="e">
        <f>_xlfn.XLOOKUP(O842,EGPro!A:A,EGPro!D:D)</f>
        <v>#N/A</v>
      </c>
      <c r="Q842" t="e">
        <f>_xlfn.XLOOKUP(O842,EGPro!A:A,EGPro!C:C)</f>
        <v>#N/A</v>
      </c>
    </row>
    <row r="843" spans="1:17" x14ac:dyDescent="0.45">
      <c r="A843" s="3">
        <f>配列!B803</f>
        <v>0</v>
      </c>
      <c r="B843" s="3" t="e">
        <f>_xlfn.XLOOKUP(A843,対応表!A:A,対応表!B:B)</f>
        <v>#N/A</v>
      </c>
      <c r="C843" s="3">
        <f>配列!C803</f>
        <v>0</v>
      </c>
      <c r="D843" s="3" t="str">
        <f>IF(配列!E803="",RIGHT(配列!D803&amp;配列!E803,4)&amp;"L",RIGHT(配列!D803&amp;配列!E803,5))</f>
        <v>L</v>
      </c>
      <c r="E843" s="3">
        <f t="shared" si="52"/>
        <v>0</v>
      </c>
      <c r="F843" s="3" t="e">
        <f>_xlfn.XLOOKUP(E843,セットアップレポート_紐づけ用!A:A,セットアップレポート_紐づけ用!J:J)</f>
        <v>#N/A</v>
      </c>
      <c r="G843" s="3" t="e">
        <f>_xlfn.XLOOKUP(E843,セットアップレポート_紐づけ用!A:A,セットアップレポート_紐づけ用!V:V)</f>
        <v>#N/A</v>
      </c>
      <c r="H843" s="3">
        <f t="shared" si="55"/>
        <v>-2</v>
      </c>
      <c r="I843" t="str">
        <f>IF(J843=0,"",IF(配列!E843="",マクロ実行!$A$16 &amp;" T"&amp;H843&amp;"-"&amp;RIGHT(配列!D843&amp;配列!E843,2),マクロ実行!$A$16 &amp;" T"&amp;H843&amp;"-"&amp;RIGHT(配列!D843&amp;配列!E843,3)))</f>
        <v/>
      </c>
      <c r="J843">
        <f>配列!F803</f>
        <v>0</v>
      </c>
      <c r="K843" s="2" t="e">
        <f>_xlfn.XLOOKUP(E843,セットアップレポート_紐づけ用!A:A,セットアップレポート_紐づけ用!R:R)</f>
        <v>#N/A</v>
      </c>
      <c r="L843" t="e">
        <f t="shared" si="53"/>
        <v>#N/A</v>
      </c>
      <c r="M843" t="e">
        <f>_xlfn.XLOOKUP(L843,EGPro!A:A,EGPro!D:D)</f>
        <v>#N/A</v>
      </c>
      <c r="N843" t="e">
        <f>_xlfn.XLOOKUP(L843,EGPro!A:A,EGPro!C:C)</f>
        <v>#N/A</v>
      </c>
      <c r="O843" t="e">
        <f t="shared" si="54"/>
        <v>#N/A</v>
      </c>
      <c r="P843" t="e">
        <f>_xlfn.XLOOKUP(O843,EGPro!A:A,EGPro!D:D)</f>
        <v>#N/A</v>
      </c>
      <c r="Q843" t="e">
        <f>_xlfn.XLOOKUP(O843,EGPro!A:A,EGPro!C:C)</f>
        <v>#N/A</v>
      </c>
    </row>
    <row r="844" spans="1:17" x14ac:dyDescent="0.45">
      <c r="A844" s="3">
        <f>配列!B804</f>
        <v>0</v>
      </c>
      <c r="B844" s="3" t="e">
        <f>_xlfn.XLOOKUP(A844,対応表!A:A,対応表!B:B)</f>
        <v>#N/A</v>
      </c>
      <c r="C844" s="3">
        <f>配列!C804</f>
        <v>0</v>
      </c>
      <c r="D844" s="3" t="str">
        <f>IF(配列!E804="",RIGHT(配列!D804&amp;配列!E804,4)&amp;"L",RIGHT(配列!D804&amp;配列!E804,5))</f>
        <v>L</v>
      </c>
      <c r="E844" s="3">
        <f t="shared" si="52"/>
        <v>0</v>
      </c>
      <c r="F844" s="3" t="e">
        <f>_xlfn.XLOOKUP(E844,セットアップレポート_紐づけ用!A:A,セットアップレポート_紐づけ用!J:J)</f>
        <v>#N/A</v>
      </c>
      <c r="G844" s="3" t="e">
        <f>_xlfn.XLOOKUP(E844,セットアップレポート_紐づけ用!A:A,セットアップレポート_紐づけ用!V:V)</f>
        <v>#N/A</v>
      </c>
      <c r="H844" s="3">
        <f t="shared" si="55"/>
        <v>-2</v>
      </c>
      <c r="I844" t="str">
        <f>IF(J844=0,"",IF(配列!E844="",マクロ実行!$A$16 &amp;" T"&amp;H844&amp;"-"&amp;RIGHT(配列!D844&amp;配列!E844,2),マクロ実行!$A$16 &amp;" T"&amp;H844&amp;"-"&amp;RIGHT(配列!D844&amp;配列!E844,3)))</f>
        <v/>
      </c>
      <c r="J844">
        <f>配列!F804</f>
        <v>0</v>
      </c>
      <c r="K844" s="2" t="e">
        <f>_xlfn.XLOOKUP(E844,セットアップレポート_紐づけ用!A:A,セットアップレポート_紐づけ用!R:R)</f>
        <v>#N/A</v>
      </c>
      <c r="L844" t="e">
        <f t="shared" si="53"/>
        <v>#N/A</v>
      </c>
      <c r="M844" t="e">
        <f>_xlfn.XLOOKUP(L844,EGPro!A:A,EGPro!D:D)</f>
        <v>#N/A</v>
      </c>
      <c r="N844" t="e">
        <f>_xlfn.XLOOKUP(L844,EGPro!A:A,EGPro!C:C)</f>
        <v>#N/A</v>
      </c>
      <c r="O844" t="e">
        <f t="shared" si="54"/>
        <v>#N/A</v>
      </c>
      <c r="P844" t="e">
        <f>_xlfn.XLOOKUP(O844,EGPro!A:A,EGPro!D:D)</f>
        <v>#N/A</v>
      </c>
      <c r="Q844" t="e">
        <f>_xlfn.XLOOKUP(O844,EGPro!A:A,EGPro!C:C)</f>
        <v>#N/A</v>
      </c>
    </row>
    <row r="845" spans="1:17" x14ac:dyDescent="0.45">
      <c r="A845" s="3">
        <f>配列!B805</f>
        <v>0</v>
      </c>
      <c r="B845" s="3" t="e">
        <f>_xlfn.XLOOKUP(A845,対応表!A:A,対応表!B:B)</f>
        <v>#N/A</v>
      </c>
      <c r="C845" s="3">
        <f>配列!C805</f>
        <v>0</v>
      </c>
      <c r="D845" s="3" t="str">
        <f>IF(配列!E805="",RIGHT(配列!D805&amp;配列!E805,4)&amp;"L",RIGHT(配列!D805&amp;配列!E805,5))</f>
        <v>L</v>
      </c>
      <c r="E845" s="3">
        <f t="shared" si="52"/>
        <v>0</v>
      </c>
      <c r="F845" s="3" t="e">
        <f>_xlfn.XLOOKUP(E845,セットアップレポート_紐づけ用!A:A,セットアップレポート_紐づけ用!J:J)</f>
        <v>#N/A</v>
      </c>
      <c r="G845" s="3" t="e">
        <f>_xlfn.XLOOKUP(E845,セットアップレポート_紐づけ用!A:A,セットアップレポート_紐づけ用!V:V)</f>
        <v>#N/A</v>
      </c>
      <c r="H845" s="3">
        <f t="shared" si="55"/>
        <v>-2</v>
      </c>
      <c r="I845" t="str">
        <f>IF(J845=0,"",IF(配列!E845="",マクロ実行!$A$16 &amp;" T"&amp;H845&amp;"-"&amp;RIGHT(配列!D845&amp;配列!E845,2),マクロ実行!$A$16 &amp;" T"&amp;H845&amp;"-"&amp;RIGHT(配列!D845&amp;配列!E845,3)))</f>
        <v/>
      </c>
      <c r="J845">
        <f>配列!F805</f>
        <v>0</v>
      </c>
      <c r="K845" s="2" t="e">
        <f>_xlfn.XLOOKUP(E845,セットアップレポート_紐づけ用!A:A,セットアップレポート_紐づけ用!R:R)</f>
        <v>#N/A</v>
      </c>
      <c r="L845" t="e">
        <f t="shared" si="53"/>
        <v>#N/A</v>
      </c>
      <c r="M845" t="e">
        <f>_xlfn.XLOOKUP(L845,EGPro!A:A,EGPro!D:D)</f>
        <v>#N/A</v>
      </c>
      <c r="N845" t="e">
        <f>_xlfn.XLOOKUP(L845,EGPro!A:A,EGPro!C:C)</f>
        <v>#N/A</v>
      </c>
      <c r="O845" t="e">
        <f t="shared" si="54"/>
        <v>#N/A</v>
      </c>
      <c r="P845" t="e">
        <f>_xlfn.XLOOKUP(O845,EGPro!A:A,EGPro!D:D)</f>
        <v>#N/A</v>
      </c>
      <c r="Q845" t="e">
        <f>_xlfn.XLOOKUP(O845,EGPro!A:A,EGPro!C:C)</f>
        <v>#N/A</v>
      </c>
    </row>
    <row r="846" spans="1:17" x14ac:dyDescent="0.45">
      <c r="A846" s="3">
        <f>配列!B806</f>
        <v>0</v>
      </c>
      <c r="B846" s="3" t="e">
        <f>_xlfn.XLOOKUP(A846,対応表!A:A,対応表!B:B)</f>
        <v>#N/A</v>
      </c>
      <c r="C846" s="3">
        <f>配列!C806</f>
        <v>0</v>
      </c>
      <c r="D846" s="3" t="str">
        <f>IF(配列!E806="",RIGHT(配列!D806&amp;配列!E806,4)&amp;"L",RIGHT(配列!D806&amp;配列!E806,5))</f>
        <v>L</v>
      </c>
      <c r="E846" s="3">
        <f t="shared" si="52"/>
        <v>0</v>
      </c>
      <c r="F846" s="3" t="e">
        <f>_xlfn.XLOOKUP(E846,セットアップレポート_紐づけ用!A:A,セットアップレポート_紐づけ用!J:J)</f>
        <v>#N/A</v>
      </c>
      <c r="G846" s="3" t="e">
        <f>_xlfn.XLOOKUP(E846,セットアップレポート_紐づけ用!A:A,セットアップレポート_紐づけ用!V:V)</f>
        <v>#N/A</v>
      </c>
      <c r="H846" s="3">
        <f t="shared" si="55"/>
        <v>-2</v>
      </c>
      <c r="I846" t="str">
        <f>IF(J846=0,"",IF(配列!E846="",マクロ実行!$A$16 &amp;" T"&amp;H846&amp;"-"&amp;RIGHT(配列!D846&amp;配列!E846,2),マクロ実行!$A$16 &amp;" T"&amp;H846&amp;"-"&amp;RIGHT(配列!D846&amp;配列!E846,3)))</f>
        <v/>
      </c>
      <c r="J846">
        <f>配列!F806</f>
        <v>0</v>
      </c>
      <c r="K846" s="2" t="e">
        <f>_xlfn.XLOOKUP(E846,セットアップレポート_紐づけ用!A:A,セットアップレポート_紐づけ用!R:R)</f>
        <v>#N/A</v>
      </c>
      <c r="L846" t="e">
        <f t="shared" si="53"/>
        <v>#N/A</v>
      </c>
      <c r="M846" t="e">
        <f>_xlfn.XLOOKUP(L846,EGPro!A:A,EGPro!D:D)</f>
        <v>#N/A</v>
      </c>
      <c r="N846" t="e">
        <f>_xlfn.XLOOKUP(L846,EGPro!A:A,EGPro!C:C)</f>
        <v>#N/A</v>
      </c>
      <c r="O846" t="e">
        <f t="shared" si="54"/>
        <v>#N/A</v>
      </c>
      <c r="P846" t="e">
        <f>_xlfn.XLOOKUP(O846,EGPro!A:A,EGPro!D:D)</f>
        <v>#N/A</v>
      </c>
      <c r="Q846" t="e">
        <f>_xlfn.XLOOKUP(O846,EGPro!A:A,EGPro!C:C)</f>
        <v>#N/A</v>
      </c>
    </row>
    <row r="847" spans="1:17" x14ac:dyDescent="0.45">
      <c r="A847" s="3">
        <f>配列!B807</f>
        <v>0</v>
      </c>
      <c r="B847" s="3" t="e">
        <f>_xlfn.XLOOKUP(A847,対応表!A:A,対応表!B:B)</f>
        <v>#N/A</v>
      </c>
      <c r="C847" s="3">
        <f>配列!C807</f>
        <v>0</v>
      </c>
      <c r="D847" s="3" t="str">
        <f>IF(配列!E807="",RIGHT(配列!D807&amp;配列!E807,4)&amp;"L",RIGHT(配列!D807&amp;配列!E807,5))</f>
        <v>L</v>
      </c>
      <c r="E847" s="3">
        <f t="shared" si="52"/>
        <v>0</v>
      </c>
      <c r="F847" s="3" t="e">
        <f>_xlfn.XLOOKUP(E847,セットアップレポート_紐づけ用!A:A,セットアップレポート_紐づけ用!J:J)</f>
        <v>#N/A</v>
      </c>
      <c r="G847" s="3" t="e">
        <f>_xlfn.XLOOKUP(E847,セットアップレポート_紐づけ用!A:A,セットアップレポート_紐づけ用!V:V)</f>
        <v>#N/A</v>
      </c>
      <c r="H847" s="3">
        <f t="shared" si="55"/>
        <v>-2</v>
      </c>
      <c r="I847" t="str">
        <f>IF(J847=0,"",IF(配列!E847="",マクロ実行!$A$16 &amp;" T"&amp;H847&amp;"-"&amp;RIGHT(配列!D847&amp;配列!E847,2),マクロ実行!$A$16 &amp;" T"&amp;H847&amp;"-"&amp;RIGHT(配列!D847&amp;配列!E847,3)))</f>
        <v/>
      </c>
      <c r="J847">
        <f>配列!F807</f>
        <v>0</v>
      </c>
      <c r="K847" s="2" t="e">
        <f>_xlfn.XLOOKUP(E847,セットアップレポート_紐づけ用!A:A,セットアップレポート_紐づけ用!R:R)</f>
        <v>#N/A</v>
      </c>
      <c r="L847" t="e">
        <f t="shared" si="53"/>
        <v>#N/A</v>
      </c>
      <c r="M847" t="e">
        <f>_xlfn.XLOOKUP(L847,EGPro!A:A,EGPro!D:D)</f>
        <v>#N/A</v>
      </c>
      <c r="N847" t="e">
        <f>_xlfn.XLOOKUP(L847,EGPro!A:A,EGPro!C:C)</f>
        <v>#N/A</v>
      </c>
      <c r="O847" t="e">
        <f t="shared" si="54"/>
        <v>#N/A</v>
      </c>
      <c r="P847" t="e">
        <f>_xlfn.XLOOKUP(O847,EGPro!A:A,EGPro!D:D)</f>
        <v>#N/A</v>
      </c>
      <c r="Q847" t="e">
        <f>_xlfn.XLOOKUP(O847,EGPro!A:A,EGPro!C:C)</f>
        <v>#N/A</v>
      </c>
    </row>
    <row r="848" spans="1:17" x14ac:dyDescent="0.45">
      <c r="A848" s="3">
        <f>配列!B808</f>
        <v>0</v>
      </c>
      <c r="B848" s="3" t="e">
        <f>_xlfn.XLOOKUP(A848,対応表!A:A,対応表!B:B)</f>
        <v>#N/A</v>
      </c>
      <c r="C848" s="3">
        <f>配列!C808</f>
        <v>0</v>
      </c>
      <c r="D848" s="3" t="str">
        <f>IF(配列!E808="",RIGHT(配列!D808&amp;配列!E808,4)&amp;"L",RIGHT(配列!D808&amp;配列!E808,5))</f>
        <v>L</v>
      </c>
      <c r="E848" s="3">
        <f t="shared" si="52"/>
        <v>0</v>
      </c>
      <c r="F848" s="3" t="e">
        <f>_xlfn.XLOOKUP(E848,セットアップレポート_紐づけ用!A:A,セットアップレポート_紐づけ用!J:J)</f>
        <v>#N/A</v>
      </c>
      <c r="G848" s="3" t="e">
        <f>_xlfn.XLOOKUP(E848,セットアップレポート_紐づけ用!A:A,セットアップレポート_紐づけ用!V:V)</f>
        <v>#N/A</v>
      </c>
      <c r="H848" s="3">
        <f t="shared" si="55"/>
        <v>-2</v>
      </c>
      <c r="I848" t="str">
        <f>IF(J848=0,"",IF(配列!E848="",マクロ実行!$A$16 &amp;" T"&amp;H848&amp;"-"&amp;RIGHT(配列!D848&amp;配列!E848,2),マクロ実行!$A$16 &amp;" T"&amp;H848&amp;"-"&amp;RIGHT(配列!D848&amp;配列!E848,3)))</f>
        <v/>
      </c>
      <c r="J848">
        <f>配列!F808</f>
        <v>0</v>
      </c>
      <c r="K848" s="2" t="e">
        <f>_xlfn.XLOOKUP(E848,セットアップレポート_紐づけ用!A:A,セットアップレポート_紐づけ用!R:R)</f>
        <v>#N/A</v>
      </c>
      <c r="L848" t="e">
        <f t="shared" si="53"/>
        <v>#N/A</v>
      </c>
      <c r="M848" t="e">
        <f>_xlfn.XLOOKUP(L848,EGPro!A:A,EGPro!D:D)</f>
        <v>#N/A</v>
      </c>
      <c r="N848" t="e">
        <f>_xlfn.XLOOKUP(L848,EGPro!A:A,EGPro!C:C)</f>
        <v>#N/A</v>
      </c>
      <c r="O848" t="e">
        <f t="shared" si="54"/>
        <v>#N/A</v>
      </c>
      <c r="P848" t="e">
        <f>_xlfn.XLOOKUP(O848,EGPro!A:A,EGPro!D:D)</f>
        <v>#N/A</v>
      </c>
      <c r="Q848" t="e">
        <f>_xlfn.XLOOKUP(O848,EGPro!A:A,EGPro!C:C)</f>
        <v>#N/A</v>
      </c>
    </row>
    <row r="849" spans="1:17" x14ac:dyDescent="0.45">
      <c r="A849" s="3">
        <f>配列!B809</f>
        <v>0</v>
      </c>
      <c r="B849" s="3" t="e">
        <f>_xlfn.XLOOKUP(A849,対応表!A:A,対応表!B:B)</f>
        <v>#N/A</v>
      </c>
      <c r="C849" s="3">
        <f>配列!C809</f>
        <v>0</v>
      </c>
      <c r="D849" s="3" t="str">
        <f>IF(配列!E809="",RIGHT(配列!D809&amp;配列!E809,4)&amp;"L",RIGHT(配列!D809&amp;配列!E809,5))</f>
        <v>L</v>
      </c>
      <c r="E849" s="3">
        <f t="shared" si="52"/>
        <v>0</v>
      </c>
      <c r="F849" s="3" t="e">
        <f>_xlfn.XLOOKUP(E849,セットアップレポート_紐づけ用!A:A,セットアップレポート_紐づけ用!J:J)</f>
        <v>#N/A</v>
      </c>
      <c r="G849" s="3" t="e">
        <f>_xlfn.XLOOKUP(E849,セットアップレポート_紐づけ用!A:A,セットアップレポート_紐づけ用!V:V)</f>
        <v>#N/A</v>
      </c>
      <c r="H849" s="3">
        <f t="shared" si="55"/>
        <v>-2</v>
      </c>
      <c r="I849" t="str">
        <f>IF(J849=0,"",IF(配列!E849="",マクロ実行!$A$16 &amp;" T"&amp;H849&amp;"-"&amp;RIGHT(配列!D849&amp;配列!E849,2),マクロ実行!$A$16 &amp;" T"&amp;H849&amp;"-"&amp;RIGHT(配列!D849&amp;配列!E849,3)))</f>
        <v/>
      </c>
      <c r="J849">
        <f>配列!F809</f>
        <v>0</v>
      </c>
      <c r="K849" s="2" t="e">
        <f>_xlfn.XLOOKUP(E849,セットアップレポート_紐づけ用!A:A,セットアップレポート_紐づけ用!R:R)</f>
        <v>#N/A</v>
      </c>
      <c r="L849" t="e">
        <f t="shared" si="53"/>
        <v>#N/A</v>
      </c>
      <c r="M849" t="e">
        <f>_xlfn.XLOOKUP(L849,EGPro!A:A,EGPro!D:D)</f>
        <v>#N/A</v>
      </c>
      <c r="N849" t="e">
        <f>_xlfn.XLOOKUP(L849,EGPro!A:A,EGPro!C:C)</f>
        <v>#N/A</v>
      </c>
      <c r="O849" t="e">
        <f t="shared" si="54"/>
        <v>#N/A</v>
      </c>
      <c r="P849" t="e">
        <f>_xlfn.XLOOKUP(O849,EGPro!A:A,EGPro!D:D)</f>
        <v>#N/A</v>
      </c>
      <c r="Q849" t="e">
        <f>_xlfn.XLOOKUP(O849,EGPro!A:A,EGPro!C:C)</f>
        <v>#N/A</v>
      </c>
    </row>
    <row r="850" spans="1:17" x14ac:dyDescent="0.45">
      <c r="A850" s="3">
        <f>配列!B810</f>
        <v>0</v>
      </c>
      <c r="B850" s="3" t="e">
        <f>_xlfn.XLOOKUP(A850,対応表!A:A,対応表!B:B)</f>
        <v>#N/A</v>
      </c>
      <c r="C850" s="3">
        <f>配列!C810</f>
        <v>0</v>
      </c>
      <c r="D850" s="3" t="str">
        <f>IF(配列!E810="",RIGHT(配列!D810&amp;配列!E810,4)&amp;"L",RIGHT(配列!D810&amp;配列!E810,5))</f>
        <v>L</v>
      </c>
      <c r="E850" s="3">
        <f t="shared" si="52"/>
        <v>0</v>
      </c>
      <c r="F850" s="3" t="e">
        <f>_xlfn.XLOOKUP(E850,セットアップレポート_紐づけ用!A:A,セットアップレポート_紐づけ用!J:J)</f>
        <v>#N/A</v>
      </c>
      <c r="G850" s="3" t="e">
        <f>_xlfn.XLOOKUP(E850,セットアップレポート_紐づけ用!A:A,セットアップレポート_紐づけ用!V:V)</f>
        <v>#N/A</v>
      </c>
      <c r="H850" s="3">
        <f t="shared" si="55"/>
        <v>-2</v>
      </c>
      <c r="I850" t="str">
        <f>IF(J850=0,"",IF(配列!E850="",マクロ実行!$A$16 &amp;" T"&amp;H850&amp;"-"&amp;RIGHT(配列!D850&amp;配列!E850,2),マクロ実行!$A$16 &amp;" T"&amp;H850&amp;"-"&amp;RIGHT(配列!D850&amp;配列!E850,3)))</f>
        <v/>
      </c>
      <c r="J850">
        <f>配列!F810</f>
        <v>0</v>
      </c>
      <c r="K850" s="2" t="e">
        <f>_xlfn.XLOOKUP(E850,セットアップレポート_紐づけ用!A:A,セットアップレポート_紐づけ用!R:R)</f>
        <v>#N/A</v>
      </c>
      <c r="L850" t="e">
        <f t="shared" si="53"/>
        <v>#N/A</v>
      </c>
      <c r="M850" t="e">
        <f>_xlfn.XLOOKUP(L850,EGPro!A:A,EGPro!D:D)</f>
        <v>#N/A</v>
      </c>
      <c r="N850" t="e">
        <f>_xlfn.XLOOKUP(L850,EGPro!A:A,EGPro!C:C)</f>
        <v>#N/A</v>
      </c>
      <c r="O850" t="e">
        <f t="shared" si="54"/>
        <v>#N/A</v>
      </c>
      <c r="P850" t="e">
        <f>_xlfn.XLOOKUP(O850,EGPro!A:A,EGPro!D:D)</f>
        <v>#N/A</v>
      </c>
      <c r="Q850" t="e">
        <f>_xlfn.XLOOKUP(O850,EGPro!A:A,EGPro!C:C)</f>
        <v>#N/A</v>
      </c>
    </row>
    <row r="851" spans="1:17" x14ac:dyDescent="0.45">
      <c r="A851" s="3">
        <f>配列!B811</f>
        <v>0</v>
      </c>
      <c r="B851" s="3" t="e">
        <f>_xlfn.XLOOKUP(A851,対応表!A:A,対応表!B:B)</f>
        <v>#N/A</v>
      </c>
      <c r="C851" s="3">
        <f>配列!C811</f>
        <v>0</v>
      </c>
      <c r="D851" s="3" t="str">
        <f>IF(配列!E811="",RIGHT(配列!D811&amp;配列!E811,4)&amp;"L",RIGHT(配列!D811&amp;配列!E811,5))</f>
        <v>L</v>
      </c>
      <c r="E851" s="3">
        <f t="shared" si="52"/>
        <v>0</v>
      </c>
      <c r="F851" s="3" t="e">
        <f>_xlfn.XLOOKUP(E851,セットアップレポート_紐づけ用!A:A,セットアップレポート_紐づけ用!J:J)</f>
        <v>#N/A</v>
      </c>
      <c r="G851" s="3" t="e">
        <f>_xlfn.XLOOKUP(E851,セットアップレポート_紐づけ用!A:A,セットアップレポート_紐づけ用!V:V)</f>
        <v>#N/A</v>
      </c>
      <c r="H851" s="3">
        <f t="shared" si="55"/>
        <v>-2</v>
      </c>
      <c r="I851" t="str">
        <f>IF(J851=0,"",IF(配列!E851="",マクロ実行!$A$16 &amp;" T"&amp;H851&amp;"-"&amp;RIGHT(配列!D851&amp;配列!E851,2),マクロ実行!$A$16 &amp;" T"&amp;H851&amp;"-"&amp;RIGHT(配列!D851&amp;配列!E851,3)))</f>
        <v/>
      </c>
      <c r="J851">
        <f>配列!F811</f>
        <v>0</v>
      </c>
      <c r="K851" s="2" t="e">
        <f>_xlfn.XLOOKUP(E851,セットアップレポート_紐づけ用!A:A,セットアップレポート_紐づけ用!R:R)</f>
        <v>#N/A</v>
      </c>
      <c r="L851" t="e">
        <f t="shared" si="53"/>
        <v>#N/A</v>
      </c>
      <c r="M851" t="e">
        <f>_xlfn.XLOOKUP(L851,EGPro!A:A,EGPro!D:D)</f>
        <v>#N/A</v>
      </c>
      <c r="N851" t="e">
        <f>_xlfn.XLOOKUP(L851,EGPro!A:A,EGPro!C:C)</f>
        <v>#N/A</v>
      </c>
      <c r="O851" t="e">
        <f t="shared" si="54"/>
        <v>#N/A</v>
      </c>
      <c r="P851" t="e">
        <f>_xlfn.XLOOKUP(O851,EGPro!A:A,EGPro!D:D)</f>
        <v>#N/A</v>
      </c>
      <c r="Q851" t="e">
        <f>_xlfn.XLOOKUP(O851,EGPro!A:A,EGPro!C:C)</f>
        <v>#N/A</v>
      </c>
    </row>
    <row r="852" spans="1:17" x14ac:dyDescent="0.45">
      <c r="A852" s="3">
        <f>配列!B812</f>
        <v>0</v>
      </c>
      <c r="B852" s="3" t="e">
        <f>_xlfn.XLOOKUP(A852,対応表!A:A,対応表!B:B)</f>
        <v>#N/A</v>
      </c>
      <c r="C852" s="3">
        <f>配列!C812</f>
        <v>0</v>
      </c>
      <c r="D852" s="3" t="str">
        <f>IF(配列!E812="",RIGHT(配列!D812&amp;配列!E812,4)&amp;"L",RIGHT(配列!D812&amp;配列!E812,5))</f>
        <v>L</v>
      </c>
      <c r="E852" s="3">
        <f t="shared" si="52"/>
        <v>0</v>
      </c>
      <c r="F852" s="3" t="e">
        <f>_xlfn.XLOOKUP(E852,セットアップレポート_紐づけ用!A:A,セットアップレポート_紐づけ用!J:J)</f>
        <v>#N/A</v>
      </c>
      <c r="G852" s="3" t="e">
        <f>_xlfn.XLOOKUP(E852,セットアップレポート_紐づけ用!A:A,セットアップレポート_紐づけ用!V:V)</f>
        <v>#N/A</v>
      </c>
      <c r="H852" s="3">
        <f t="shared" si="55"/>
        <v>-2</v>
      </c>
      <c r="I852" t="str">
        <f>IF(J852=0,"",IF(配列!E852="",マクロ実行!$A$16 &amp;" T"&amp;H852&amp;"-"&amp;RIGHT(配列!D852&amp;配列!E852,2),マクロ実行!$A$16 &amp;" T"&amp;H852&amp;"-"&amp;RIGHT(配列!D852&amp;配列!E852,3)))</f>
        <v/>
      </c>
      <c r="J852">
        <f>配列!F812</f>
        <v>0</v>
      </c>
      <c r="K852" s="2" t="e">
        <f>_xlfn.XLOOKUP(E852,セットアップレポート_紐づけ用!A:A,セットアップレポート_紐づけ用!R:R)</f>
        <v>#N/A</v>
      </c>
      <c r="L852" t="e">
        <f t="shared" si="53"/>
        <v>#N/A</v>
      </c>
      <c r="M852" t="e">
        <f>_xlfn.XLOOKUP(L852,EGPro!A:A,EGPro!D:D)</f>
        <v>#N/A</v>
      </c>
      <c r="N852" t="e">
        <f>_xlfn.XLOOKUP(L852,EGPro!A:A,EGPro!C:C)</f>
        <v>#N/A</v>
      </c>
      <c r="O852" t="e">
        <f t="shared" si="54"/>
        <v>#N/A</v>
      </c>
      <c r="P852" t="e">
        <f>_xlfn.XLOOKUP(O852,EGPro!A:A,EGPro!D:D)</f>
        <v>#N/A</v>
      </c>
      <c r="Q852" t="e">
        <f>_xlfn.XLOOKUP(O852,EGPro!A:A,EGPro!C:C)</f>
        <v>#N/A</v>
      </c>
    </row>
    <row r="853" spans="1:17" x14ac:dyDescent="0.45">
      <c r="A853" s="3">
        <f>配列!B813</f>
        <v>0</v>
      </c>
      <c r="B853" s="3" t="e">
        <f>_xlfn.XLOOKUP(A853,対応表!A:A,対応表!B:B)</f>
        <v>#N/A</v>
      </c>
      <c r="C853" s="3">
        <f>配列!C813</f>
        <v>0</v>
      </c>
      <c r="D853" s="3" t="str">
        <f>IF(配列!E813="",RIGHT(配列!D813&amp;配列!E813,4)&amp;"L",RIGHT(配列!D813&amp;配列!E813,5))</f>
        <v>L</v>
      </c>
      <c r="E853" s="3">
        <f t="shared" si="52"/>
        <v>0</v>
      </c>
      <c r="F853" s="3" t="e">
        <f>_xlfn.XLOOKUP(E853,セットアップレポート_紐づけ用!A:A,セットアップレポート_紐づけ用!J:J)</f>
        <v>#N/A</v>
      </c>
      <c r="G853" s="3" t="e">
        <f>_xlfn.XLOOKUP(E853,セットアップレポート_紐づけ用!A:A,セットアップレポート_紐づけ用!V:V)</f>
        <v>#N/A</v>
      </c>
      <c r="H853" s="3">
        <f t="shared" si="55"/>
        <v>-2</v>
      </c>
      <c r="I853" t="str">
        <f>IF(J853=0,"",IF(配列!E853="",マクロ実行!$A$16 &amp;" T"&amp;H853&amp;"-"&amp;RIGHT(配列!D853&amp;配列!E853,2),マクロ実行!$A$16 &amp;" T"&amp;H853&amp;"-"&amp;RIGHT(配列!D853&amp;配列!E853,3)))</f>
        <v/>
      </c>
      <c r="J853">
        <f>配列!F813</f>
        <v>0</v>
      </c>
      <c r="K853" s="2" t="e">
        <f>_xlfn.XLOOKUP(E853,セットアップレポート_紐づけ用!A:A,セットアップレポート_紐づけ用!R:R)</f>
        <v>#N/A</v>
      </c>
      <c r="L853" t="e">
        <f t="shared" si="53"/>
        <v>#N/A</v>
      </c>
      <c r="M853" t="e">
        <f>_xlfn.XLOOKUP(L853,EGPro!A:A,EGPro!D:D)</f>
        <v>#N/A</v>
      </c>
      <c r="N853" t="e">
        <f>_xlfn.XLOOKUP(L853,EGPro!A:A,EGPro!C:C)</f>
        <v>#N/A</v>
      </c>
      <c r="O853" t="e">
        <f t="shared" si="54"/>
        <v>#N/A</v>
      </c>
      <c r="P853" t="e">
        <f>_xlfn.XLOOKUP(O853,EGPro!A:A,EGPro!D:D)</f>
        <v>#N/A</v>
      </c>
      <c r="Q853" t="e">
        <f>_xlfn.XLOOKUP(O853,EGPro!A:A,EGPro!C:C)</f>
        <v>#N/A</v>
      </c>
    </row>
    <row r="854" spans="1:17" x14ac:dyDescent="0.45">
      <c r="A854" s="3">
        <f>配列!B814</f>
        <v>0</v>
      </c>
      <c r="B854" s="3" t="e">
        <f>_xlfn.XLOOKUP(A854,対応表!A:A,対応表!B:B)</f>
        <v>#N/A</v>
      </c>
      <c r="C854" s="3">
        <f>配列!C814</f>
        <v>0</v>
      </c>
      <c r="D854" s="3" t="str">
        <f>IF(配列!E814="",RIGHT(配列!D814&amp;配列!E814,4)&amp;"L",RIGHT(配列!D814&amp;配列!E814,5))</f>
        <v>L</v>
      </c>
      <c r="E854" s="3">
        <f t="shared" si="52"/>
        <v>0</v>
      </c>
      <c r="F854" s="3" t="e">
        <f>_xlfn.XLOOKUP(E854,セットアップレポート_紐づけ用!A:A,セットアップレポート_紐づけ用!J:J)</f>
        <v>#N/A</v>
      </c>
      <c r="G854" s="3" t="e">
        <f>_xlfn.XLOOKUP(E854,セットアップレポート_紐づけ用!A:A,セットアップレポート_紐づけ用!V:V)</f>
        <v>#N/A</v>
      </c>
      <c r="H854" s="3">
        <f t="shared" si="55"/>
        <v>-2</v>
      </c>
      <c r="I854" t="str">
        <f>IF(J854=0,"",IF(配列!E854="",マクロ実行!$A$16 &amp;" T"&amp;H854&amp;"-"&amp;RIGHT(配列!D854&amp;配列!E854,2),マクロ実行!$A$16 &amp;" T"&amp;H854&amp;"-"&amp;RIGHT(配列!D854&amp;配列!E854,3)))</f>
        <v/>
      </c>
      <c r="J854">
        <f>配列!F814</f>
        <v>0</v>
      </c>
      <c r="K854" s="2" t="e">
        <f>_xlfn.XLOOKUP(E854,セットアップレポート_紐づけ用!A:A,セットアップレポート_紐づけ用!R:R)</f>
        <v>#N/A</v>
      </c>
      <c r="L854" t="e">
        <f t="shared" si="53"/>
        <v>#N/A</v>
      </c>
      <c r="M854" t="e">
        <f>_xlfn.XLOOKUP(L854,EGPro!A:A,EGPro!D:D)</f>
        <v>#N/A</v>
      </c>
      <c r="N854" t="e">
        <f>_xlfn.XLOOKUP(L854,EGPro!A:A,EGPro!C:C)</f>
        <v>#N/A</v>
      </c>
      <c r="O854" t="e">
        <f t="shared" si="54"/>
        <v>#N/A</v>
      </c>
      <c r="P854" t="e">
        <f>_xlfn.XLOOKUP(O854,EGPro!A:A,EGPro!D:D)</f>
        <v>#N/A</v>
      </c>
      <c r="Q854" t="e">
        <f>_xlfn.XLOOKUP(O854,EGPro!A:A,EGPro!C:C)</f>
        <v>#N/A</v>
      </c>
    </row>
    <row r="855" spans="1:17" x14ac:dyDescent="0.45">
      <c r="A855" s="3">
        <f>配列!B815</f>
        <v>0</v>
      </c>
      <c r="B855" s="3" t="e">
        <f>_xlfn.XLOOKUP(A855,対応表!A:A,対応表!B:B)</f>
        <v>#N/A</v>
      </c>
      <c r="C855" s="3">
        <f>配列!C815</f>
        <v>0</v>
      </c>
      <c r="D855" s="3" t="str">
        <f>IF(配列!E815="",RIGHT(配列!D815&amp;配列!E815,4)&amp;"L",RIGHT(配列!D815&amp;配列!E815,5))</f>
        <v>L</v>
      </c>
      <c r="E855" s="3">
        <f t="shared" si="52"/>
        <v>0</v>
      </c>
      <c r="F855" s="3" t="e">
        <f>_xlfn.XLOOKUP(E855,セットアップレポート_紐づけ用!A:A,セットアップレポート_紐づけ用!J:J)</f>
        <v>#N/A</v>
      </c>
      <c r="G855" s="3" t="e">
        <f>_xlfn.XLOOKUP(E855,セットアップレポート_紐づけ用!A:A,セットアップレポート_紐づけ用!V:V)</f>
        <v>#N/A</v>
      </c>
      <c r="H855" s="3">
        <f t="shared" si="55"/>
        <v>-2</v>
      </c>
      <c r="I855" t="str">
        <f>IF(J855=0,"",IF(配列!E855="",マクロ実行!$A$16 &amp;" T"&amp;H855&amp;"-"&amp;RIGHT(配列!D855&amp;配列!E855,2),マクロ実行!$A$16 &amp;" T"&amp;H855&amp;"-"&amp;RIGHT(配列!D855&amp;配列!E855,3)))</f>
        <v/>
      </c>
      <c r="J855">
        <f>配列!F815</f>
        <v>0</v>
      </c>
      <c r="K855" s="2" t="e">
        <f>_xlfn.XLOOKUP(E855,セットアップレポート_紐づけ用!A:A,セットアップレポート_紐づけ用!R:R)</f>
        <v>#N/A</v>
      </c>
      <c r="L855" t="e">
        <f t="shared" si="53"/>
        <v>#N/A</v>
      </c>
      <c r="M855" t="e">
        <f>_xlfn.XLOOKUP(L855,EGPro!A:A,EGPro!D:D)</f>
        <v>#N/A</v>
      </c>
      <c r="N855" t="e">
        <f>_xlfn.XLOOKUP(L855,EGPro!A:A,EGPro!C:C)</f>
        <v>#N/A</v>
      </c>
      <c r="O855" t="e">
        <f t="shared" si="54"/>
        <v>#N/A</v>
      </c>
      <c r="P855" t="e">
        <f>_xlfn.XLOOKUP(O855,EGPro!A:A,EGPro!D:D)</f>
        <v>#N/A</v>
      </c>
      <c r="Q855" t="e">
        <f>_xlfn.XLOOKUP(O855,EGPro!A:A,EGPro!C:C)</f>
        <v>#N/A</v>
      </c>
    </row>
    <row r="856" spans="1:17" x14ac:dyDescent="0.45">
      <c r="A856" s="3">
        <f>配列!B816</f>
        <v>0</v>
      </c>
      <c r="B856" s="3" t="e">
        <f>_xlfn.XLOOKUP(A856,対応表!A:A,対応表!B:B)</f>
        <v>#N/A</v>
      </c>
      <c r="C856" s="3">
        <f>配列!C816</f>
        <v>0</v>
      </c>
      <c r="D856" s="3" t="str">
        <f>IF(配列!E816="",RIGHT(配列!D816&amp;配列!E816,4)&amp;"L",RIGHT(配列!D816&amp;配列!E816,5))</f>
        <v>L</v>
      </c>
      <c r="E856" s="3">
        <f t="shared" si="52"/>
        <v>0</v>
      </c>
      <c r="F856" s="3" t="e">
        <f>_xlfn.XLOOKUP(E856,セットアップレポート_紐づけ用!A:A,セットアップレポート_紐づけ用!J:J)</f>
        <v>#N/A</v>
      </c>
      <c r="G856" s="3" t="e">
        <f>_xlfn.XLOOKUP(E856,セットアップレポート_紐づけ用!A:A,セットアップレポート_紐づけ用!V:V)</f>
        <v>#N/A</v>
      </c>
      <c r="H856" s="3">
        <f t="shared" si="55"/>
        <v>-2</v>
      </c>
      <c r="I856" t="str">
        <f>IF(J856=0,"",IF(配列!E856="",マクロ実行!$A$16 &amp;" T"&amp;H856&amp;"-"&amp;RIGHT(配列!D856&amp;配列!E856,2),マクロ実行!$A$16 &amp;" T"&amp;H856&amp;"-"&amp;RIGHT(配列!D856&amp;配列!E856,3)))</f>
        <v/>
      </c>
      <c r="J856">
        <f>配列!F816</f>
        <v>0</v>
      </c>
      <c r="K856" s="2" t="e">
        <f>_xlfn.XLOOKUP(E856,セットアップレポート_紐づけ用!A:A,セットアップレポート_紐づけ用!R:R)</f>
        <v>#N/A</v>
      </c>
      <c r="L856" t="e">
        <f t="shared" si="53"/>
        <v>#N/A</v>
      </c>
      <c r="M856" t="e">
        <f>_xlfn.XLOOKUP(L856,EGPro!A:A,EGPro!D:D)</f>
        <v>#N/A</v>
      </c>
      <c r="N856" t="e">
        <f>_xlfn.XLOOKUP(L856,EGPro!A:A,EGPro!C:C)</f>
        <v>#N/A</v>
      </c>
      <c r="O856" t="e">
        <f t="shared" si="54"/>
        <v>#N/A</v>
      </c>
      <c r="P856" t="e">
        <f>_xlfn.XLOOKUP(O856,EGPro!A:A,EGPro!D:D)</f>
        <v>#N/A</v>
      </c>
      <c r="Q856" t="e">
        <f>_xlfn.XLOOKUP(O856,EGPro!A:A,EGPro!C:C)</f>
        <v>#N/A</v>
      </c>
    </row>
    <row r="857" spans="1:17" x14ac:dyDescent="0.45">
      <c r="A857" s="3">
        <f>配列!B817</f>
        <v>0</v>
      </c>
      <c r="B857" s="3" t="e">
        <f>_xlfn.XLOOKUP(A857,対応表!A:A,対応表!B:B)</f>
        <v>#N/A</v>
      </c>
      <c r="C857" s="3">
        <f>配列!C817</f>
        <v>0</v>
      </c>
      <c r="D857" s="3" t="str">
        <f>IF(配列!E817="",RIGHT(配列!D817&amp;配列!E817,4)&amp;"L",RIGHT(配列!D817&amp;配列!E817,5))</f>
        <v>L</v>
      </c>
      <c r="E857" s="3">
        <f t="shared" si="52"/>
        <v>0</v>
      </c>
      <c r="F857" s="3" t="e">
        <f>_xlfn.XLOOKUP(E857,セットアップレポート_紐づけ用!A:A,セットアップレポート_紐づけ用!J:J)</f>
        <v>#N/A</v>
      </c>
      <c r="G857" s="3" t="e">
        <f>_xlfn.XLOOKUP(E857,セットアップレポート_紐づけ用!A:A,セットアップレポート_紐づけ用!V:V)</f>
        <v>#N/A</v>
      </c>
      <c r="H857" s="3">
        <f t="shared" si="55"/>
        <v>-2</v>
      </c>
      <c r="I857" t="str">
        <f>IF(J857=0,"",IF(配列!E857="",マクロ実行!$A$16 &amp;" T"&amp;H857&amp;"-"&amp;RIGHT(配列!D857&amp;配列!E857,2),マクロ実行!$A$16 &amp;" T"&amp;H857&amp;"-"&amp;RIGHT(配列!D857&amp;配列!E857,3)))</f>
        <v/>
      </c>
      <c r="J857">
        <f>配列!F817</f>
        <v>0</v>
      </c>
      <c r="K857" s="2" t="e">
        <f>_xlfn.XLOOKUP(E857,セットアップレポート_紐づけ用!A:A,セットアップレポート_紐づけ用!R:R)</f>
        <v>#N/A</v>
      </c>
      <c r="L857" t="e">
        <f t="shared" si="53"/>
        <v>#N/A</v>
      </c>
      <c r="M857" t="e">
        <f>_xlfn.XLOOKUP(L857,EGPro!A:A,EGPro!D:D)</f>
        <v>#N/A</v>
      </c>
      <c r="N857" t="e">
        <f>_xlfn.XLOOKUP(L857,EGPro!A:A,EGPro!C:C)</f>
        <v>#N/A</v>
      </c>
      <c r="O857" t="e">
        <f t="shared" si="54"/>
        <v>#N/A</v>
      </c>
      <c r="P857" t="e">
        <f>_xlfn.XLOOKUP(O857,EGPro!A:A,EGPro!D:D)</f>
        <v>#N/A</v>
      </c>
      <c r="Q857" t="e">
        <f>_xlfn.XLOOKUP(O857,EGPro!A:A,EGPro!C:C)</f>
        <v>#N/A</v>
      </c>
    </row>
    <row r="858" spans="1:17" x14ac:dyDescent="0.45">
      <c r="A858" s="3">
        <f>配列!B818</f>
        <v>0</v>
      </c>
      <c r="B858" s="3" t="e">
        <f>_xlfn.XLOOKUP(A858,対応表!A:A,対応表!B:B)</f>
        <v>#N/A</v>
      </c>
      <c r="C858" s="3">
        <f>配列!C818</f>
        <v>0</v>
      </c>
      <c r="D858" s="3" t="str">
        <f>IF(配列!E818="",RIGHT(配列!D818&amp;配列!E818,4)&amp;"L",RIGHT(配列!D818&amp;配列!E818,5))</f>
        <v>L</v>
      </c>
      <c r="E858" s="3">
        <f t="shared" si="52"/>
        <v>0</v>
      </c>
      <c r="F858" s="3" t="e">
        <f>_xlfn.XLOOKUP(E858,セットアップレポート_紐づけ用!A:A,セットアップレポート_紐づけ用!J:J)</f>
        <v>#N/A</v>
      </c>
      <c r="G858" s="3" t="e">
        <f>_xlfn.XLOOKUP(E858,セットアップレポート_紐づけ用!A:A,セットアップレポート_紐づけ用!V:V)</f>
        <v>#N/A</v>
      </c>
      <c r="H858" s="3">
        <f t="shared" si="55"/>
        <v>-2</v>
      </c>
      <c r="I858" t="str">
        <f>IF(J858=0,"",IF(配列!E858="",マクロ実行!$A$16 &amp;" T"&amp;H858&amp;"-"&amp;RIGHT(配列!D858&amp;配列!E858,2),マクロ実行!$A$16 &amp;" T"&amp;H858&amp;"-"&amp;RIGHT(配列!D858&amp;配列!E858,3)))</f>
        <v/>
      </c>
      <c r="J858">
        <f>配列!F818</f>
        <v>0</v>
      </c>
      <c r="K858" s="2" t="e">
        <f>_xlfn.XLOOKUP(E858,セットアップレポート_紐づけ用!A:A,セットアップレポート_紐づけ用!R:R)</f>
        <v>#N/A</v>
      </c>
      <c r="L858" t="e">
        <f t="shared" si="53"/>
        <v>#N/A</v>
      </c>
      <c r="M858" t="e">
        <f>_xlfn.XLOOKUP(L858,EGPro!A:A,EGPro!D:D)</f>
        <v>#N/A</v>
      </c>
      <c r="N858" t="e">
        <f>_xlfn.XLOOKUP(L858,EGPro!A:A,EGPro!C:C)</f>
        <v>#N/A</v>
      </c>
      <c r="O858" t="e">
        <f t="shared" si="54"/>
        <v>#N/A</v>
      </c>
      <c r="P858" t="e">
        <f>_xlfn.XLOOKUP(O858,EGPro!A:A,EGPro!D:D)</f>
        <v>#N/A</v>
      </c>
      <c r="Q858" t="e">
        <f>_xlfn.XLOOKUP(O858,EGPro!A:A,EGPro!C:C)</f>
        <v>#N/A</v>
      </c>
    </row>
    <row r="859" spans="1:17" x14ac:dyDescent="0.45">
      <c r="A859" s="3">
        <f>配列!B819</f>
        <v>0</v>
      </c>
      <c r="B859" s="3" t="e">
        <f>_xlfn.XLOOKUP(A859,対応表!A:A,対応表!B:B)</f>
        <v>#N/A</v>
      </c>
      <c r="C859" s="3">
        <f>配列!C819</f>
        <v>0</v>
      </c>
      <c r="D859" s="3" t="str">
        <f>IF(配列!E819="",RIGHT(配列!D819&amp;配列!E819,4)&amp;"L",RIGHT(配列!D819&amp;配列!E819,5))</f>
        <v>L</v>
      </c>
      <c r="E859" s="3">
        <f t="shared" si="52"/>
        <v>0</v>
      </c>
      <c r="F859" s="3" t="e">
        <f>_xlfn.XLOOKUP(E859,セットアップレポート_紐づけ用!A:A,セットアップレポート_紐づけ用!J:J)</f>
        <v>#N/A</v>
      </c>
      <c r="G859" s="3" t="e">
        <f>_xlfn.XLOOKUP(E859,セットアップレポート_紐づけ用!A:A,セットアップレポート_紐づけ用!V:V)</f>
        <v>#N/A</v>
      </c>
      <c r="H859" s="3">
        <f t="shared" si="55"/>
        <v>-2</v>
      </c>
      <c r="I859" t="str">
        <f>IF(J859=0,"",IF(配列!E859="",マクロ実行!$A$16 &amp;" T"&amp;H859&amp;"-"&amp;RIGHT(配列!D859&amp;配列!E859,2),マクロ実行!$A$16 &amp;" T"&amp;H859&amp;"-"&amp;RIGHT(配列!D859&amp;配列!E859,3)))</f>
        <v/>
      </c>
      <c r="J859">
        <f>配列!F819</f>
        <v>0</v>
      </c>
      <c r="K859" s="2" t="e">
        <f>_xlfn.XLOOKUP(E859,セットアップレポート_紐づけ用!A:A,セットアップレポート_紐づけ用!R:R)</f>
        <v>#N/A</v>
      </c>
      <c r="L859" t="e">
        <f t="shared" si="53"/>
        <v>#N/A</v>
      </c>
      <c r="M859" t="e">
        <f>_xlfn.XLOOKUP(L859,EGPro!A:A,EGPro!D:D)</f>
        <v>#N/A</v>
      </c>
      <c r="N859" t="e">
        <f>_xlfn.XLOOKUP(L859,EGPro!A:A,EGPro!C:C)</f>
        <v>#N/A</v>
      </c>
      <c r="O859" t="e">
        <f t="shared" si="54"/>
        <v>#N/A</v>
      </c>
      <c r="P859" t="e">
        <f>_xlfn.XLOOKUP(O859,EGPro!A:A,EGPro!D:D)</f>
        <v>#N/A</v>
      </c>
      <c r="Q859" t="e">
        <f>_xlfn.XLOOKUP(O859,EGPro!A:A,EGPro!C:C)</f>
        <v>#N/A</v>
      </c>
    </row>
    <row r="860" spans="1:17" x14ac:dyDescent="0.45">
      <c r="A860" s="3">
        <f>配列!B820</f>
        <v>0</v>
      </c>
      <c r="B860" s="3" t="e">
        <f>_xlfn.XLOOKUP(A860,対応表!A:A,対応表!B:B)</f>
        <v>#N/A</v>
      </c>
      <c r="C860" s="3">
        <f>配列!C820</f>
        <v>0</v>
      </c>
      <c r="D860" s="3" t="str">
        <f>IF(配列!E820="",RIGHT(配列!D820&amp;配列!E820,4)&amp;"L",RIGHT(配列!D820&amp;配列!E820,5))</f>
        <v>L</v>
      </c>
      <c r="E860" s="3">
        <f t="shared" si="52"/>
        <v>0</v>
      </c>
      <c r="F860" s="3" t="e">
        <f>_xlfn.XLOOKUP(E860,セットアップレポート_紐づけ用!A:A,セットアップレポート_紐づけ用!J:J)</f>
        <v>#N/A</v>
      </c>
      <c r="G860" s="3" t="e">
        <f>_xlfn.XLOOKUP(E860,セットアップレポート_紐づけ用!A:A,セットアップレポート_紐づけ用!V:V)</f>
        <v>#N/A</v>
      </c>
      <c r="H860" s="3">
        <f t="shared" si="55"/>
        <v>-2</v>
      </c>
      <c r="I860" t="str">
        <f>IF(J860=0,"",IF(配列!E860="",マクロ実行!$A$16 &amp;" T"&amp;H860&amp;"-"&amp;RIGHT(配列!D860&amp;配列!E860,2),マクロ実行!$A$16 &amp;" T"&amp;H860&amp;"-"&amp;RIGHT(配列!D860&amp;配列!E860,3)))</f>
        <v/>
      </c>
      <c r="J860">
        <f>配列!F820</f>
        <v>0</v>
      </c>
      <c r="K860" s="2" t="e">
        <f>_xlfn.XLOOKUP(E860,セットアップレポート_紐づけ用!A:A,セットアップレポート_紐づけ用!R:R)</f>
        <v>#N/A</v>
      </c>
      <c r="L860" t="e">
        <f t="shared" si="53"/>
        <v>#N/A</v>
      </c>
      <c r="M860" t="e">
        <f>_xlfn.XLOOKUP(L860,EGPro!A:A,EGPro!D:D)</f>
        <v>#N/A</v>
      </c>
      <c r="N860" t="e">
        <f>_xlfn.XLOOKUP(L860,EGPro!A:A,EGPro!C:C)</f>
        <v>#N/A</v>
      </c>
      <c r="O860" t="e">
        <f t="shared" si="54"/>
        <v>#N/A</v>
      </c>
      <c r="P860" t="e">
        <f>_xlfn.XLOOKUP(O860,EGPro!A:A,EGPro!D:D)</f>
        <v>#N/A</v>
      </c>
      <c r="Q860" t="e">
        <f>_xlfn.XLOOKUP(O860,EGPro!A:A,EGPro!C:C)</f>
        <v>#N/A</v>
      </c>
    </row>
    <row r="861" spans="1:17" x14ac:dyDescent="0.45">
      <c r="A861" s="3">
        <f>配列!B821</f>
        <v>0</v>
      </c>
      <c r="B861" s="3" t="e">
        <f>_xlfn.XLOOKUP(A861,対応表!A:A,対応表!B:B)</f>
        <v>#N/A</v>
      </c>
      <c r="C861" s="3">
        <f>配列!C821</f>
        <v>0</v>
      </c>
      <c r="D861" s="3" t="str">
        <f>IF(配列!E821="",RIGHT(配列!D821&amp;配列!E821,4)&amp;"L",RIGHT(配列!D821&amp;配列!E821,5))</f>
        <v>L</v>
      </c>
      <c r="E861" s="3">
        <f t="shared" si="52"/>
        <v>0</v>
      </c>
      <c r="F861" s="3" t="e">
        <f>_xlfn.XLOOKUP(E861,セットアップレポート_紐づけ用!A:A,セットアップレポート_紐づけ用!J:J)</f>
        <v>#N/A</v>
      </c>
      <c r="G861" s="3" t="e">
        <f>_xlfn.XLOOKUP(E861,セットアップレポート_紐づけ用!A:A,セットアップレポート_紐づけ用!V:V)</f>
        <v>#N/A</v>
      </c>
      <c r="H861" s="3">
        <f t="shared" si="55"/>
        <v>-2</v>
      </c>
      <c r="I861" t="str">
        <f>IF(J861=0,"",IF(配列!E861="",マクロ実行!$A$16 &amp;" T"&amp;H861&amp;"-"&amp;RIGHT(配列!D861&amp;配列!E861,2),マクロ実行!$A$16 &amp;" T"&amp;H861&amp;"-"&amp;RIGHT(配列!D861&amp;配列!E861,3)))</f>
        <v/>
      </c>
      <c r="J861">
        <f>配列!F821</f>
        <v>0</v>
      </c>
      <c r="K861" s="2" t="e">
        <f>_xlfn.XLOOKUP(E861,セットアップレポート_紐づけ用!A:A,セットアップレポート_紐づけ用!R:R)</f>
        <v>#N/A</v>
      </c>
      <c r="L861" t="e">
        <f t="shared" si="53"/>
        <v>#N/A</v>
      </c>
      <c r="M861" t="e">
        <f>_xlfn.XLOOKUP(L861,EGPro!A:A,EGPro!D:D)</f>
        <v>#N/A</v>
      </c>
      <c r="N861" t="e">
        <f>_xlfn.XLOOKUP(L861,EGPro!A:A,EGPro!C:C)</f>
        <v>#N/A</v>
      </c>
      <c r="O861" t="e">
        <f t="shared" si="54"/>
        <v>#N/A</v>
      </c>
      <c r="P861" t="e">
        <f>_xlfn.XLOOKUP(O861,EGPro!A:A,EGPro!D:D)</f>
        <v>#N/A</v>
      </c>
      <c r="Q861" t="e">
        <f>_xlfn.XLOOKUP(O861,EGPro!A:A,EGPro!C:C)</f>
        <v>#N/A</v>
      </c>
    </row>
    <row r="862" spans="1:17" x14ac:dyDescent="0.45">
      <c r="A862" s="3">
        <f>配列!B822</f>
        <v>0</v>
      </c>
      <c r="B862" s="3" t="e">
        <f>_xlfn.XLOOKUP(A862,対応表!A:A,対応表!B:B)</f>
        <v>#N/A</v>
      </c>
      <c r="C862" s="3">
        <f>配列!C822</f>
        <v>0</v>
      </c>
      <c r="D862" s="3" t="str">
        <f>IF(配列!E822="",RIGHT(配列!D822&amp;配列!E822,4)&amp;"L",RIGHT(配列!D822&amp;配列!E822,5))</f>
        <v>L</v>
      </c>
      <c r="E862" s="3">
        <f t="shared" si="52"/>
        <v>0</v>
      </c>
      <c r="F862" s="3" t="e">
        <f>_xlfn.XLOOKUP(E862,セットアップレポート_紐づけ用!A:A,セットアップレポート_紐づけ用!J:J)</f>
        <v>#N/A</v>
      </c>
      <c r="G862" s="3" t="e">
        <f>_xlfn.XLOOKUP(E862,セットアップレポート_紐づけ用!A:A,セットアップレポート_紐づけ用!V:V)</f>
        <v>#N/A</v>
      </c>
      <c r="H862" s="3">
        <f t="shared" si="55"/>
        <v>-2</v>
      </c>
      <c r="I862" t="str">
        <f>IF(J862=0,"",IF(配列!E862="",マクロ実行!$A$16 &amp;" T"&amp;H862&amp;"-"&amp;RIGHT(配列!D862&amp;配列!E862,2),マクロ実行!$A$16 &amp;" T"&amp;H862&amp;"-"&amp;RIGHT(配列!D862&amp;配列!E862,3)))</f>
        <v/>
      </c>
      <c r="J862">
        <f>配列!F822</f>
        <v>0</v>
      </c>
      <c r="K862" s="2" t="e">
        <f>_xlfn.XLOOKUP(E862,セットアップレポート_紐づけ用!A:A,セットアップレポート_紐づけ用!R:R)</f>
        <v>#N/A</v>
      </c>
      <c r="L862" t="e">
        <f t="shared" si="53"/>
        <v>#N/A</v>
      </c>
      <c r="M862" t="e">
        <f>_xlfn.XLOOKUP(L862,EGPro!A:A,EGPro!D:D)</f>
        <v>#N/A</v>
      </c>
      <c r="N862" t="e">
        <f>_xlfn.XLOOKUP(L862,EGPro!A:A,EGPro!C:C)</f>
        <v>#N/A</v>
      </c>
      <c r="O862" t="e">
        <f t="shared" si="54"/>
        <v>#N/A</v>
      </c>
      <c r="P862" t="e">
        <f>_xlfn.XLOOKUP(O862,EGPro!A:A,EGPro!D:D)</f>
        <v>#N/A</v>
      </c>
      <c r="Q862" t="e">
        <f>_xlfn.XLOOKUP(O862,EGPro!A:A,EGPro!C:C)</f>
        <v>#N/A</v>
      </c>
    </row>
    <row r="863" spans="1:17" x14ac:dyDescent="0.45">
      <c r="A863" s="3">
        <f>配列!B823</f>
        <v>0</v>
      </c>
      <c r="B863" s="3" t="e">
        <f>_xlfn.XLOOKUP(A863,対応表!A:A,対応表!B:B)</f>
        <v>#N/A</v>
      </c>
      <c r="C863" s="3">
        <f>配列!C823</f>
        <v>0</v>
      </c>
      <c r="D863" s="3" t="str">
        <f>IF(配列!E823="",RIGHT(配列!D823&amp;配列!E823,4)&amp;"L",RIGHT(配列!D823&amp;配列!E823,5))</f>
        <v>L</v>
      </c>
      <c r="E863" s="3">
        <f t="shared" si="52"/>
        <v>0</v>
      </c>
      <c r="F863" s="3" t="e">
        <f>_xlfn.XLOOKUP(E863,セットアップレポート_紐づけ用!A:A,セットアップレポート_紐づけ用!J:J)</f>
        <v>#N/A</v>
      </c>
      <c r="G863" s="3" t="e">
        <f>_xlfn.XLOOKUP(E863,セットアップレポート_紐づけ用!A:A,セットアップレポート_紐づけ用!V:V)</f>
        <v>#N/A</v>
      </c>
      <c r="H863" s="3">
        <f t="shared" si="55"/>
        <v>-2</v>
      </c>
      <c r="I863" t="str">
        <f>IF(J863=0,"",IF(配列!E863="",マクロ実行!$A$16 &amp;" T"&amp;H863&amp;"-"&amp;RIGHT(配列!D863&amp;配列!E863,2),マクロ実行!$A$16 &amp;" T"&amp;H863&amp;"-"&amp;RIGHT(配列!D863&amp;配列!E863,3)))</f>
        <v/>
      </c>
      <c r="J863">
        <f>配列!F823</f>
        <v>0</v>
      </c>
      <c r="K863" s="2" t="e">
        <f>_xlfn.XLOOKUP(E863,セットアップレポート_紐づけ用!A:A,セットアップレポート_紐づけ用!R:R)</f>
        <v>#N/A</v>
      </c>
      <c r="L863" t="e">
        <f t="shared" si="53"/>
        <v>#N/A</v>
      </c>
      <c r="M863" t="e">
        <f>_xlfn.XLOOKUP(L863,EGPro!A:A,EGPro!D:D)</f>
        <v>#N/A</v>
      </c>
      <c r="N863" t="e">
        <f>_xlfn.XLOOKUP(L863,EGPro!A:A,EGPro!C:C)</f>
        <v>#N/A</v>
      </c>
      <c r="O863" t="e">
        <f t="shared" si="54"/>
        <v>#N/A</v>
      </c>
      <c r="P863" t="e">
        <f>_xlfn.XLOOKUP(O863,EGPro!A:A,EGPro!D:D)</f>
        <v>#N/A</v>
      </c>
      <c r="Q863" t="e">
        <f>_xlfn.XLOOKUP(O863,EGPro!A:A,EGPro!C:C)</f>
        <v>#N/A</v>
      </c>
    </row>
    <row r="864" spans="1:17" x14ac:dyDescent="0.45">
      <c r="A864" s="3">
        <f>配列!B824</f>
        <v>0</v>
      </c>
      <c r="B864" s="3" t="e">
        <f>_xlfn.XLOOKUP(A864,対応表!A:A,対応表!B:B)</f>
        <v>#N/A</v>
      </c>
      <c r="C864" s="3">
        <f>配列!C824</f>
        <v>0</v>
      </c>
      <c r="D864" s="3" t="str">
        <f>IF(配列!E824="",RIGHT(配列!D824&amp;配列!E824,4)&amp;"L",RIGHT(配列!D824&amp;配列!E824,5))</f>
        <v>L</v>
      </c>
      <c r="E864" s="3">
        <f t="shared" si="52"/>
        <v>0</v>
      </c>
      <c r="F864" s="3" t="e">
        <f>_xlfn.XLOOKUP(E864,セットアップレポート_紐づけ用!A:A,セットアップレポート_紐づけ用!J:J)</f>
        <v>#N/A</v>
      </c>
      <c r="G864" s="3" t="e">
        <f>_xlfn.XLOOKUP(E864,セットアップレポート_紐づけ用!A:A,セットアップレポート_紐づけ用!V:V)</f>
        <v>#N/A</v>
      </c>
      <c r="H864" s="3">
        <f t="shared" si="55"/>
        <v>-2</v>
      </c>
      <c r="I864" t="str">
        <f>IF(J864=0,"",IF(配列!E864="",マクロ実行!$A$16 &amp;" T"&amp;H864&amp;"-"&amp;RIGHT(配列!D864&amp;配列!E864,2),マクロ実行!$A$16 &amp;" T"&amp;H864&amp;"-"&amp;RIGHT(配列!D864&amp;配列!E864,3)))</f>
        <v/>
      </c>
      <c r="J864">
        <f>配列!F824</f>
        <v>0</v>
      </c>
      <c r="K864" s="2" t="e">
        <f>_xlfn.XLOOKUP(E864,セットアップレポート_紐づけ用!A:A,セットアップレポート_紐づけ用!R:R)</f>
        <v>#N/A</v>
      </c>
      <c r="L864" t="e">
        <f t="shared" si="53"/>
        <v>#N/A</v>
      </c>
      <c r="M864" t="e">
        <f>_xlfn.XLOOKUP(L864,EGPro!A:A,EGPro!D:D)</f>
        <v>#N/A</v>
      </c>
      <c r="N864" t="e">
        <f>_xlfn.XLOOKUP(L864,EGPro!A:A,EGPro!C:C)</f>
        <v>#N/A</v>
      </c>
      <c r="O864" t="e">
        <f t="shared" si="54"/>
        <v>#N/A</v>
      </c>
      <c r="P864" t="e">
        <f>_xlfn.XLOOKUP(O864,EGPro!A:A,EGPro!D:D)</f>
        <v>#N/A</v>
      </c>
      <c r="Q864" t="e">
        <f>_xlfn.XLOOKUP(O864,EGPro!A:A,EGPro!C:C)</f>
        <v>#N/A</v>
      </c>
    </row>
    <row r="865" spans="1:17" x14ac:dyDescent="0.45">
      <c r="A865" s="3">
        <f>配列!B825</f>
        <v>0</v>
      </c>
      <c r="B865" s="3" t="e">
        <f>_xlfn.XLOOKUP(A865,対応表!A:A,対応表!B:B)</f>
        <v>#N/A</v>
      </c>
      <c r="C865" s="3">
        <f>配列!C825</f>
        <v>0</v>
      </c>
      <c r="D865" s="3" t="str">
        <f>IF(配列!E825="",RIGHT(配列!D825&amp;配列!E825,4)&amp;"L",RIGHT(配列!D825&amp;配列!E825,5))</f>
        <v>L</v>
      </c>
      <c r="E865" s="3">
        <f t="shared" si="52"/>
        <v>0</v>
      </c>
      <c r="F865" s="3" t="e">
        <f>_xlfn.XLOOKUP(E865,セットアップレポート_紐づけ用!A:A,セットアップレポート_紐づけ用!J:J)</f>
        <v>#N/A</v>
      </c>
      <c r="G865" s="3" t="e">
        <f>_xlfn.XLOOKUP(E865,セットアップレポート_紐づけ用!A:A,セットアップレポート_紐づけ用!V:V)</f>
        <v>#N/A</v>
      </c>
      <c r="H865" s="3">
        <f t="shared" si="55"/>
        <v>-2</v>
      </c>
      <c r="I865" t="str">
        <f>IF(J865=0,"",IF(配列!E865="",マクロ実行!$A$16 &amp;" T"&amp;H865&amp;"-"&amp;RIGHT(配列!D865&amp;配列!E865,2),マクロ実行!$A$16 &amp;" T"&amp;H865&amp;"-"&amp;RIGHT(配列!D865&amp;配列!E865,3)))</f>
        <v/>
      </c>
      <c r="J865">
        <f>配列!F825</f>
        <v>0</v>
      </c>
      <c r="K865" s="2" t="e">
        <f>_xlfn.XLOOKUP(E865,セットアップレポート_紐づけ用!A:A,セットアップレポート_紐づけ用!R:R)</f>
        <v>#N/A</v>
      </c>
      <c r="L865" t="e">
        <f t="shared" si="53"/>
        <v>#N/A</v>
      </c>
      <c r="M865" t="e">
        <f>_xlfn.XLOOKUP(L865,EGPro!A:A,EGPro!D:D)</f>
        <v>#N/A</v>
      </c>
      <c r="N865" t="e">
        <f>_xlfn.XLOOKUP(L865,EGPro!A:A,EGPro!C:C)</f>
        <v>#N/A</v>
      </c>
      <c r="O865" t="e">
        <f t="shared" si="54"/>
        <v>#N/A</v>
      </c>
      <c r="P865" t="e">
        <f>_xlfn.XLOOKUP(O865,EGPro!A:A,EGPro!D:D)</f>
        <v>#N/A</v>
      </c>
      <c r="Q865" t="e">
        <f>_xlfn.XLOOKUP(O865,EGPro!A:A,EGPro!C:C)</f>
        <v>#N/A</v>
      </c>
    </row>
    <row r="866" spans="1:17" x14ac:dyDescent="0.45">
      <c r="A866" s="3">
        <f>配列!B826</f>
        <v>0</v>
      </c>
      <c r="B866" s="3" t="e">
        <f>_xlfn.XLOOKUP(A866,対応表!A:A,対応表!B:B)</f>
        <v>#N/A</v>
      </c>
      <c r="C866" s="3">
        <f>配列!C826</f>
        <v>0</v>
      </c>
      <c r="D866" s="3" t="str">
        <f>IF(配列!E826="",RIGHT(配列!D826&amp;配列!E826,4)&amp;"L",RIGHT(配列!D826&amp;配列!E826,5))</f>
        <v>L</v>
      </c>
      <c r="E866" s="3">
        <f t="shared" si="52"/>
        <v>0</v>
      </c>
      <c r="F866" s="3" t="e">
        <f>_xlfn.XLOOKUP(E866,セットアップレポート_紐づけ用!A:A,セットアップレポート_紐づけ用!J:J)</f>
        <v>#N/A</v>
      </c>
      <c r="G866" s="3" t="e">
        <f>_xlfn.XLOOKUP(E866,セットアップレポート_紐づけ用!A:A,セットアップレポート_紐づけ用!V:V)</f>
        <v>#N/A</v>
      </c>
      <c r="H866" s="3">
        <f t="shared" si="55"/>
        <v>-2</v>
      </c>
      <c r="I866" t="str">
        <f>IF(J866=0,"",IF(配列!E866="",マクロ実行!$A$16 &amp;" T"&amp;H866&amp;"-"&amp;RIGHT(配列!D866&amp;配列!E866,2),マクロ実行!$A$16 &amp;" T"&amp;H866&amp;"-"&amp;RIGHT(配列!D866&amp;配列!E866,3)))</f>
        <v/>
      </c>
      <c r="J866">
        <f>配列!F826</f>
        <v>0</v>
      </c>
      <c r="K866" s="2" t="e">
        <f>_xlfn.XLOOKUP(E866,セットアップレポート_紐づけ用!A:A,セットアップレポート_紐づけ用!R:R)</f>
        <v>#N/A</v>
      </c>
      <c r="L866" t="e">
        <f t="shared" si="53"/>
        <v>#N/A</v>
      </c>
      <c r="M866" t="e">
        <f>_xlfn.XLOOKUP(L866,EGPro!A:A,EGPro!D:D)</f>
        <v>#N/A</v>
      </c>
      <c r="N866" t="e">
        <f>_xlfn.XLOOKUP(L866,EGPro!A:A,EGPro!C:C)</f>
        <v>#N/A</v>
      </c>
      <c r="O866" t="e">
        <f t="shared" si="54"/>
        <v>#N/A</v>
      </c>
      <c r="P866" t="e">
        <f>_xlfn.XLOOKUP(O866,EGPro!A:A,EGPro!D:D)</f>
        <v>#N/A</v>
      </c>
      <c r="Q866" t="e">
        <f>_xlfn.XLOOKUP(O866,EGPro!A:A,EGPro!C:C)</f>
        <v>#N/A</v>
      </c>
    </row>
    <row r="867" spans="1:17" x14ac:dyDescent="0.45">
      <c r="A867" s="3">
        <f>配列!B827</f>
        <v>0</v>
      </c>
      <c r="B867" s="3" t="e">
        <f>_xlfn.XLOOKUP(A867,対応表!A:A,対応表!B:B)</f>
        <v>#N/A</v>
      </c>
      <c r="C867" s="3">
        <f>配列!C827</f>
        <v>0</v>
      </c>
      <c r="D867" s="3" t="str">
        <f>IF(配列!E827="",RIGHT(配列!D827&amp;配列!E827,4)&amp;"L",RIGHT(配列!D827&amp;配列!E827,5))</f>
        <v>L</v>
      </c>
      <c r="E867" s="3">
        <f t="shared" si="52"/>
        <v>0</v>
      </c>
      <c r="F867" s="3" t="e">
        <f>_xlfn.XLOOKUP(E867,セットアップレポート_紐づけ用!A:A,セットアップレポート_紐づけ用!J:J)</f>
        <v>#N/A</v>
      </c>
      <c r="G867" s="3" t="e">
        <f>_xlfn.XLOOKUP(E867,セットアップレポート_紐づけ用!A:A,セットアップレポート_紐づけ用!V:V)</f>
        <v>#N/A</v>
      </c>
      <c r="H867" s="3">
        <f t="shared" si="55"/>
        <v>-2</v>
      </c>
      <c r="I867" t="str">
        <f>IF(J867=0,"",IF(配列!E867="",マクロ実行!$A$16 &amp;" T"&amp;H867&amp;"-"&amp;RIGHT(配列!D867&amp;配列!E867,2),マクロ実行!$A$16 &amp;" T"&amp;H867&amp;"-"&amp;RIGHT(配列!D867&amp;配列!E867,3)))</f>
        <v/>
      </c>
      <c r="J867">
        <f>配列!F827</f>
        <v>0</v>
      </c>
      <c r="K867" s="2" t="e">
        <f>_xlfn.XLOOKUP(E867,セットアップレポート_紐づけ用!A:A,セットアップレポート_紐づけ用!R:R)</f>
        <v>#N/A</v>
      </c>
      <c r="L867" t="e">
        <f t="shared" si="53"/>
        <v>#N/A</v>
      </c>
      <c r="M867" t="e">
        <f>_xlfn.XLOOKUP(L867,EGPro!A:A,EGPro!D:D)</f>
        <v>#N/A</v>
      </c>
      <c r="N867" t="e">
        <f>_xlfn.XLOOKUP(L867,EGPro!A:A,EGPro!C:C)</f>
        <v>#N/A</v>
      </c>
      <c r="O867" t="e">
        <f t="shared" si="54"/>
        <v>#N/A</v>
      </c>
      <c r="P867" t="e">
        <f>_xlfn.XLOOKUP(O867,EGPro!A:A,EGPro!D:D)</f>
        <v>#N/A</v>
      </c>
      <c r="Q867" t="e">
        <f>_xlfn.XLOOKUP(O867,EGPro!A:A,EGPro!C:C)</f>
        <v>#N/A</v>
      </c>
    </row>
    <row r="868" spans="1:17" x14ac:dyDescent="0.45">
      <c r="A868" s="3">
        <f>配列!B828</f>
        <v>0</v>
      </c>
      <c r="B868" s="3" t="e">
        <f>_xlfn.XLOOKUP(A868,対応表!A:A,対応表!B:B)</f>
        <v>#N/A</v>
      </c>
      <c r="C868" s="3">
        <f>配列!C828</f>
        <v>0</v>
      </c>
      <c r="D868" s="3" t="str">
        <f>IF(配列!E828="",RIGHT(配列!D828&amp;配列!E828,4)&amp;"L",RIGHT(配列!D828&amp;配列!E828,5))</f>
        <v>L</v>
      </c>
      <c r="E868" s="3">
        <f t="shared" si="52"/>
        <v>0</v>
      </c>
      <c r="F868" s="3" t="e">
        <f>_xlfn.XLOOKUP(E868,セットアップレポート_紐づけ用!A:A,セットアップレポート_紐づけ用!J:J)</f>
        <v>#N/A</v>
      </c>
      <c r="G868" s="3" t="e">
        <f>_xlfn.XLOOKUP(E868,セットアップレポート_紐づけ用!A:A,セットアップレポート_紐づけ用!V:V)</f>
        <v>#N/A</v>
      </c>
      <c r="H868" s="3">
        <f t="shared" si="55"/>
        <v>-2</v>
      </c>
      <c r="I868" t="str">
        <f>IF(J868=0,"",IF(配列!E868="",マクロ実行!$A$16 &amp;" T"&amp;H868&amp;"-"&amp;RIGHT(配列!D868&amp;配列!E868,2),マクロ実行!$A$16 &amp;" T"&amp;H868&amp;"-"&amp;RIGHT(配列!D868&amp;配列!E868,3)))</f>
        <v/>
      </c>
      <c r="J868">
        <f>配列!F828</f>
        <v>0</v>
      </c>
      <c r="K868" s="2" t="e">
        <f>_xlfn.XLOOKUP(E868,セットアップレポート_紐づけ用!A:A,セットアップレポート_紐づけ用!R:R)</f>
        <v>#N/A</v>
      </c>
      <c r="L868" t="e">
        <f t="shared" si="53"/>
        <v>#N/A</v>
      </c>
      <c r="M868" t="e">
        <f>_xlfn.XLOOKUP(L868,EGPro!A:A,EGPro!D:D)</f>
        <v>#N/A</v>
      </c>
      <c r="N868" t="e">
        <f>_xlfn.XLOOKUP(L868,EGPro!A:A,EGPro!C:C)</f>
        <v>#N/A</v>
      </c>
      <c r="O868" t="e">
        <f t="shared" si="54"/>
        <v>#N/A</v>
      </c>
      <c r="P868" t="e">
        <f>_xlfn.XLOOKUP(O868,EGPro!A:A,EGPro!D:D)</f>
        <v>#N/A</v>
      </c>
      <c r="Q868" t="e">
        <f>_xlfn.XLOOKUP(O868,EGPro!A:A,EGPro!C:C)</f>
        <v>#N/A</v>
      </c>
    </row>
    <row r="869" spans="1:17" x14ac:dyDescent="0.45">
      <c r="A869" s="3">
        <f>配列!B829</f>
        <v>0</v>
      </c>
      <c r="B869" s="3" t="e">
        <f>_xlfn.XLOOKUP(A869,対応表!A:A,対応表!B:B)</f>
        <v>#N/A</v>
      </c>
      <c r="C869" s="3">
        <f>配列!C829</f>
        <v>0</v>
      </c>
      <c r="D869" s="3" t="str">
        <f>IF(配列!E829="",RIGHT(配列!D829&amp;配列!E829,4)&amp;"L",RIGHT(配列!D829&amp;配列!E829,5))</f>
        <v>L</v>
      </c>
      <c r="E869" s="3">
        <f t="shared" si="52"/>
        <v>0</v>
      </c>
      <c r="F869" s="3" t="e">
        <f>_xlfn.XLOOKUP(E869,セットアップレポート_紐づけ用!A:A,セットアップレポート_紐づけ用!J:J)</f>
        <v>#N/A</v>
      </c>
      <c r="G869" s="3" t="e">
        <f>_xlfn.XLOOKUP(E869,セットアップレポート_紐づけ用!A:A,セットアップレポート_紐づけ用!V:V)</f>
        <v>#N/A</v>
      </c>
      <c r="H869" s="3">
        <f t="shared" si="55"/>
        <v>-2</v>
      </c>
      <c r="I869" t="str">
        <f>IF(J869=0,"",IF(配列!E869="",マクロ実行!$A$16 &amp;" T"&amp;H869&amp;"-"&amp;RIGHT(配列!D869&amp;配列!E869,2),マクロ実行!$A$16 &amp;" T"&amp;H869&amp;"-"&amp;RIGHT(配列!D869&amp;配列!E869,3)))</f>
        <v/>
      </c>
      <c r="J869">
        <f>配列!F829</f>
        <v>0</v>
      </c>
      <c r="K869" s="2" t="e">
        <f>_xlfn.XLOOKUP(E869,セットアップレポート_紐づけ用!A:A,セットアップレポート_紐づけ用!R:R)</f>
        <v>#N/A</v>
      </c>
      <c r="L869" t="e">
        <f t="shared" si="53"/>
        <v>#N/A</v>
      </c>
      <c r="M869" t="e">
        <f>_xlfn.XLOOKUP(L869,EGPro!A:A,EGPro!D:D)</f>
        <v>#N/A</v>
      </c>
      <c r="N869" t="e">
        <f>_xlfn.XLOOKUP(L869,EGPro!A:A,EGPro!C:C)</f>
        <v>#N/A</v>
      </c>
      <c r="O869" t="e">
        <f t="shared" si="54"/>
        <v>#N/A</v>
      </c>
      <c r="P869" t="e">
        <f>_xlfn.XLOOKUP(O869,EGPro!A:A,EGPro!D:D)</f>
        <v>#N/A</v>
      </c>
      <c r="Q869" t="e">
        <f>_xlfn.XLOOKUP(O869,EGPro!A:A,EGPro!C:C)</f>
        <v>#N/A</v>
      </c>
    </row>
    <row r="870" spans="1:17" x14ac:dyDescent="0.45">
      <c r="A870" s="3">
        <f>配列!B830</f>
        <v>0</v>
      </c>
      <c r="B870" s="3" t="e">
        <f>_xlfn.XLOOKUP(A870,対応表!A:A,対応表!B:B)</f>
        <v>#N/A</v>
      </c>
      <c r="C870" s="3">
        <f>配列!C830</f>
        <v>0</v>
      </c>
      <c r="D870" s="3" t="str">
        <f>IF(配列!E830="",RIGHT(配列!D830&amp;配列!E830,4)&amp;"L",RIGHT(配列!D830&amp;配列!E830,5))</f>
        <v>L</v>
      </c>
      <c r="E870" s="3">
        <f t="shared" si="52"/>
        <v>0</v>
      </c>
      <c r="F870" s="3" t="e">
        <f>_xlfn.XLOOKUP(E870,セットアップレポート_紐づけ用!A:A,セットアップレポート_紐づけ用!J:J)</f>
        <v>#N/A</v>
      </c>
      <c r="G870" s="3" t="e">
        <f>_xlfn.XLOOKUP(E870,セットアップレポート_紐づけ用!A:A,セットアップレポート_紐づけ用!V:V)</f>
        <v>#N/A</v>
      </c>
      <c r="H870" s="3">
        <f t="shared" si="55"/>
        <v>-2</v>
      </c>
      <c r="I870" t="str">
        <f>IF(J870=0,"",IF(配列!E870="",マクロ実行!$A$16 &amp;" T"&amp;H870&amp;"-"&amp;RIGHT(配列!D870&amp;配列!E870,2),マクロ実行!$A$16 &amp;" T"&amp;H870&amp;"-"&amp;RIGHT(配列!D870&amp;配列!E870,3)))</f>
        <v/>
      </c>
      <c r="J870">
        <f>配列!F830</f>
        <v>0</v>
      </c>
      <c r="K870" s="2" t="e">
        <f>_xlfn.XLOOKUP(E870,セットアップレポート_紐づけ用!A:A,セットアップレポート_紐づけ用!R:R)</f>
        <v>#N/A</v>
      </c>
      <c r="L870" t="e">
        <f t="shared" si="53"/>
        <v>#N/A</v>
      </c>
      <c r="M870" t="e">
        <f>_xlfn.XLOOKUP(L870,EGPro!A:A,EGPro!D:D)</f>
        <v>#N/A</v>
      </c>
      <c r="N870" t="e">
        <f>_xlfn.XLOOKUP(L870,EGPro!A:A,EGPro!C:C)</f>
        <v>#N/A</v>
      </c>
      <c r="O870" t="e">
        <f t="shared" si="54"/>
        <v>#N/A</v>
      </c>
      <c r="P870" t="e">
        <f>_xlfn.XLOOKUP(O870,EGPro!A:A,EGPro!D:D)</f>
        <v>#N/A</v>
      </c>
      <c r="Q870" t="e">
        <f>_xlfn.XLOOKUP(O870,EGPro!A:A,EGPro!C:C)</f>
        <v>#N/A</v>
      </c>
    </row>
    <row r="871" spans="1:17" x14ac:dyDescent="0.45">
      <c r="A871" s="3">
        <f>配列!B831</f>
        <v>0</v>
      </c>
      <c r="B871" s="3" t="e">
        <f>_xlfn.XLOOKUP(A871,対応表!A:A,対応表!B:B)</f>
        <v>#N/A</v>
      </c>
      <c r="C871" s="3">
        <f>配列!C831</f>
        <v>0</v>
      </c>
      <c r="D871" s="3" t="str">
        <f>IF(配列!E831="",RIGHT(配列!D831&amp;配列!E831,4)&amp;"L",RIGHT(配列!D831&amp;配列!E831,5))</f>
        <v>L</v>
      </c>
      <c r="E871" s="3">
        <f t="shared" si="52"/>
        <v>0</v>
      </c>
      <c r="F871" s="3" t="e">
        <f>_xlfn.XLOOKUP(E871,セットアップレポート_紐づけ用!A:A,セットアップレポート_紐づけ用!J:J)</f>
        <v>#N/A</v>
      </c>
      <c r="G871" s="3" t="e">
        <f>_xlfn.XLOOKUP(E871,セットアップレポート_紐づけ用!A:A,セットアップレポート_紐づけ用!V:V)</f>
        <v>#N/A</v>
      </c>
      <c r="H871" s="3">
        <f t="shared" si="55"/>
        <v>-2</v>
      </c>
      <c r="I871" t="str">
        <f>IF(J871=0,"",IF(配列!E871="",マクロ実行!$A$16 &amp;" T"&amp;H871&amp;"-"&amp;RIGHT(配列!D871&amp;配列!E871,2),マクロ実行!$A$16 &amp;" T"&amp;H871&amp;"-"&amp;RIGHT(配列!D871&amp;配列!E871,3)))</f>
        <v/>
      </c>
      <c r="J871">
        <f>配列!F831</f>
        <v>0</v>
      </c>
      <c r="K871" s="2" t="e">
        <f>_xlfn.XLOOKUP(E871,セットアップレポート_紐づけ用!A:A,セットアップレポート_紐づけ用!R:R)</f>
        <v>#N/A</v>
      </c>
      <c r="L871" t="e">
        <f t="shared" si="53"/>
        <v>#N/A</v>
      </c>
      <c r="M871" t="e">
        <f>_xlfn.XLOOKUP(L871,EGPro!A:A,EGPro!D:D)</f>
        <v>#N/A</v>
      </c>
      <c r="N871" t="e">
        <f>_xlfn.XLOOKUP(L871,EGPro!A:A,EGPro!C:C)</f>
        <v>#N/A</v>
      </c>
      <c r="O871" t="e">
        <f t="shared" si="54"/>
        <v>#N/A</v>
      </c>
      <c r="P871" t="e">
        <f>_xlfn.XLOOKUP(O871,EGPro!A:A,EGPro!D:D)</f>
        <v>#N/A</v>
      </c>
      <c r="Q871" t="e">
        <f>_xlfn.XLOOKUP(O871,EGPro!A:A,EGPro!C:C)</f>
        <v>#N/A</v>
      </c>
    </row>
    <row r="872" spans="1:17" x14ac:dyDescent="0.45">
      <c r="A872" s="3">
        <f>配列!B832</f>
        <v>0</v>
      </c>
      <c r="B872" s="3" t="e">
        <f>_xlfn.XLOOKUP(A872,対応表!A:A,対応表!B:B)</f>
        <v>#N/A</v>
      </c>
      <c r="C872" s="3">
        <f>配列!C832</f>
        <v>0</v>
      </c>
      <c r="D872" s="3" t="str">
        <f>IF(配列!E832="",RIGHT(配列!D832&amp;配列!E832,4)&amp;"L",RIGHT(配列!D832&amp;配列!E832,5))</f>
        <v>L</v>
      </c>
      <c r="E872" s="3">
        <f t="shared" si="52"/>
        <v>0</v>
      </c>
      <c r="F872" s="3" t="e">
        <f>_xlfn.XLOOKUP(E872,セットアップレポート_紐づけ用!A:A,セットアップレポート_紐づけ用!J:J)</f>
        <v>#N/A</v>
      </c>
      <c r="G872" s="3" t="e">
        <f>_xlfn.XLOOKUP(E872,セットアップレポート_紐づけ用!A:A,セットアップレポート_紐づけ用!V:V)</f>
        <v>#N/A</v>
      </c>
      <c r="H872" s="3">
        <f t="shared" si="55"/>
        <v>-2</v>
      </c>
      <c r="I872" t="str">
        <f>IF(J872=0,"",IF(配列!E872="",マクロ実行!$A$16 &amp;" T"&amp;H872&amp;"-"&amp;RIGHT(配列!D872&amp;配列!E872,2),マクロ実行!$A$16 &amp;" T"&amp;H872&amp;"-"&amp;RIGHT(配列!D872&amp;配列!E872,3)))</f>
        <v/>
      </c>
      <c r="J872">
        <f>配列!F832</f>
        <v>0</v>
      </c>
      <c r="K872" s="2" t="e">
        <f>_xlfn.XLOOKUP(E872,セットアップレポート_紐づけ用!A:A,セットアップレポート_紐づけ用!R:R)</f>
        <v>#N/A</v>
      </c>
      <c r="L872" t="e">
        <f t="shared" si="53"/>
        <v>#N/A</v>
      </c>
      <c r="M872" t="e">
        <f>_xlfn.XLOOKUP(L872,EGPro!A:A,EGPro!D:D)</f>
        <v>#N/A</v>
      </c>
      <c r="N872" t="e">
        <f>_xlfn.XLOOKUP(L872,EGPro!A:A,EGPro!C:C)</f>
        <v>#N/A</v>
      </c>
      <c r="O872" t="e">
        <f t="shared" si="54"/>
        <v>#N/A</v>
      </c>
      <c r="P872" t="e">
        <f>_xlfn.XLOOKUP(O872,EGPro!A:A,EGPro!D:D)</f>
        <v>#N/A</v>
      </c>
      <c r="Q872" t="e">
        <f>_xlfn.XLOOKUP(O872,EGPro!A:A,EGPro!C:C)</f>
        <v>#N/A</v>
      </c>
    </row>
    <row r="873" spans="1:17" x14ac:dyDescent="0.45">
      <c r="A873" s="3">
        <f>配列!B833</f>
        <v>0</v>
      </c>
      <c r="B873" s="3" t="e">
        <f>_xlfn.XLOOKUP(A873,対応表!A:A,対応表!B:B)</f>
        <v>#N/A</v>
      </c>
      <c r="C873" s="3">
        <f>配列!C833</f>
        <v>0</v>
      </c>
      <c r="D873" s="3" t="str">
        <f>IF(配列!E833="",RIGHT(配列!D833&amp;配列!E833,4)&amp;"L",RIGHT(配列!D833&amp;配列!E833,5))</f>
        <v>L</v>
      </c>
      <c r="E873" s="3">
        <f t="shared" si="52"/>
        <v>0</v>
      </c>
      <c r="F873" s="3" t="e">
        <f>_xlfn.XLOOKUP(E873,セットアップレポート_紐づけ用!A:A,セットアップレポート_紐づけ用!J:J)</f>
        <v>#N/A</v>
      </c>
      <c r="G873" s="3" t="e">
        <f>_xlfn.XLOOKUP(E873,セットアップレポート_紐づけ用!A:A,セットアップレポート_紐づけ用!V:V)</f>
        <v>#N/A</v>
      </c>
      <c r="H873" s="3">
        <f t="shared" si="55"/>
        <v>-2</v>
      </c>
      <c r="I873" t="str">
        <f>IF(J873=0,"",IF(配列!E873="",マクロ実行!$A$16 &amp;" T"&amp;H873&amp;"-"&amp;RIGHT(配列!D873&amp;配列!E873,2),マクロ実行!$A$16 &amp;" T"&amp;H873&amp;"-"&amp;RIGHT(配列!D873&amp;配列!E873,3)))</f>
        <v/>
      </c>
      <c r="J873">
        <f>配列!F833</f>
        <v>0</v>
      </c>
      <c r="K873" s="2" t="e">
        <f>_xlfn.XLOOKUP(E873,セットアップレポート_紐づけ用!A:A,セットアップレポート_紐づけ用!R:R)</f>
        <v>#N/A</v>
      </c>
      <c r="L873" t="e">
        <f t="shared" si="53"/>
        <v>#N/A</v>
      </c>
      <c r="M873" t="e">
        <f>_xlfn.XLOOKUP(L873,EGPro!A:A,EGPro!D:D)</f>
        <v>#N/A</v>
      </c>
      <c r="N873" t="e">
        <f>_xlfn.XLOOKUP(L873,EGPro!A:A,EGPro!C:C)</f>
        <v>#N/A</v>
      </c>
      <c r="O873" t="e">
        <f t="shared" si="54"/>
        <v>#N/A</v>
      </c>
      <c r="P873" t="e">
        <f>_xlfn.XLOOKUP(O873,EGPro!A:A,EGPro!D:D)</f>
        <v>#N/A</v>
      </c>
      <c r="Q873" t="e">
        <f>_xlfn.XLOOKUP(O873,EGPro!A:A,EGPro!C:C)</f>
        <v>#N/A</v>
      </c>
    </row>
    <row r="874" spans="1:17" x14ac:dyDescent="0.45">
      <c r="A874" s="3">
        <f>配列!B834</f>
        <v>0</v>
      </c>
      <c r="B874" s="3" t="e">
        <f>_xlfn.XLOOKUP(A874,対応表!A:A,対応表!B:B)</f>
        <v>#N/A</v>
      </c>
      <c r="C874" s="3">
        <f>配列!C834</f>
        <v>0</v>
      </c>
      <c r="D874" s="3" t="str">
        <f>IF(配列!E834="",RIGHT(配列!D834&amp;配列!E834,4)&amp;"L",RIGHT(配列!D834&amp;配列!E834,5))</f>
        <v>L</v>
      </c>
      <c r="E874" s="3">
        <f t="shared" si="52"/>
        <v>0</v>
      </c>
      <c r="F874" s="3" t="e">
        <f>_xlfn.XLOOKUP(E874,セットアップレポート_紐づけ用!A:A,セットアップレポート_紐づけ用!J:J)</f>
        <v>#N/A</v>
      </c>
      <c r="G874" s="3" t="e">
        <f>_xlfn.XLOOKUP(E874,セットアップレポート_紐づけ用!A:A,セットアップレポート_紐づけ用!V:V)</f>
        <v>#N/A</v>
      </c>
      <c r="H874" s="3">
        <f t="shared" si="55"/>
        <v>-2</v>
      </c>
      <c r="I874" t="str">
        <f>IF(J874=0,"",IF(配列!E874="",マクロ実行!$A$16 &amp;" T"&amp;H874&amp;"-"&amp;RIGHT(配列!D874&amp;配列!E874,2),マクロ実行!$A$16 &amp;" T"&amp;H874&amp;"-"&amp;RIGHT(配列!D874&amp;配列!E874,3)))</f>
        <v/>
      </c>
      <c r="J874">
        <f>配列!F834</f>
        <v>0</v>
      </c>
      <c r="K874" s="2" t="e">
        <f>_xlfn.XLOOKUP(E874,セットアップレポート_紐づけ用!A:A,セットアップレポート_紐づけ用!R:R)</f>
        <v>#N/A</v>
      </c>
      <c r="L874" t="e">
        <f t="shared" si="53"/>
        <v>#N/A</v>
      </c>
      <c r="M874" t="e">
        <f>_xlfn.XLOOKUP(L874,EGPro!A:A,EGPro!D:D)</f>
        <v>#N/A</v>
      </c>
      <c r="N874" t="e">
        <f>_xlfn.XLOOKUP(L874,EGPro!A:A,EGPro!C:C)</f>
        <v>#N/A</v>
      </c>
      <c r="O874" t="e">
        <f t="shared" si="54"/>
        <v>#N/A</v>
      </c>
      <c r="P874" t="e">
        <f>_xlfn.XLOOKUP(O874,EGPro!A:A,EGPro!D:D)</f>
        <v>#N/A</v>
      </c>
      <c r="Q874" t="e">
        <f>_xlfn.XLOOKUP(O874,EGPro!A:A,EGPro!C:C)</f>
        <v>#N/A</v>
      </c>
    </row>
    <row r="875" spans="1:17" x14ac:dyDescent="0.45">
      <c r="A875" s="3">
        <f>配列!B835</f>
        <v>0</v>
      </c>
      <c r="B875" s="3" t="e">
        <f>_xlfn.XLOOKUP(A875,対応表!A:A,対応表!B:B)</f>
        <v>#N/A</v>
      </c>
      <c r="C875" s="3">
        <f>配列!C835</f>
        <v>0</v>
      </c>
      <c r="D875" s="3" t="str">
        <f>IF(配列!E835="",RIGHT(配列!D835&amp;配列!E835,4)&amp;"L",RIGHT(配列!D835&amp;配列!E835,5))</f>
        <v>L</v>
      </c>
      <c r="E875" s="3">
        <f t="shared" si="52"/>
        <v>0</v>
      </c>
      <c r="F875" s="3" t="e">
        <f>_xlfn.XLOOKUP(E875,セットアップレポート_紐づけ用!A:A,セットアップレポート_紐づけ用!J:J)</f>
        <v>#N/A</v>
      </c>
      <c r="G875" s="3" t="e">
        <f>_xlfn.XLOOKUP(E875,セットアップレポート_紐づけ用!A:A,セットアップレポート_紐づけ用!V:V)</f>
        <v>#N/A</v>
      </c>
      <c r="H875" s="3">
        <f t="shared" si="55"/>
        <v>-2</v>
      </c>
      <c r="I875" t="str">
        <f>IF(J875=0,"",IF(配列!E875="",マクロ実行!$A$16 &amp;" T"&amp;H875&amp;"-"&amp;RIGHT(配列!D875&amp;配列!E875,2),マクロ実行!$A$16 &amp;" T"&amp;H875&amp;"-"&amp;RIGHT(配列!D875&amp;配列!E875,3)))</f>
        <v/>
      </c>
      <c r="J875">
        <f>配列!F835</f>
        <v>0</v>
      </c>
      <c r="K875" s="2" t="e">
        <f>_xlfn.XLOOKUP(E875,セットアップレポート_紐づけ用!A:A,セットアップレポート_紐づけ用!R:R)</f>
        <v>#N/A</v>
      </c>
      <c r="L875" t="e">
        <f t="shared" si="53"/>
        <v>#N/A</v>
      </c>
      <c r="M875" t="e">
        <f>_xlfn.XLOOKUP(L875,EGPro!A:A,EGPro!D:D)</f>
        <v>#N/A</v>
      </c>
      <c r="N875" t="e">
        <f>_xlfn.XLOOKUP(L875,EGPro!A:A,EGPro!C:C)</f>
        <v>#N/A</v>
      </c>
      <c r="O875" t="e">
        <f t="shared" si="54"/>
        <v>#N/A</v>
      </c>
      <c r="P875" t="e">
        <f>_xlfn.XLOOKUP(O875,EGPro!A:A,EGPro!D:D)</f>
        <v>#N/A</v>
      </c>
      <c r="Q875" t="e">
        <f>_xlfn.XLOOKUP(O875,EGPro!A:A,EGPro!C:C)</f>
        <v>#N/A</v>
      </c>
    </row>
    <row r="876" spans="1:17" x14ac:dyDescent="0.45">
      <c r="A876" s="3">
        <f>配列!B836</f>
        <v>0</v>
      </c>
      <c r="B876" s="3" t="e">
        <f>_xlfn.XLOOKUP(A876,対応表!A:A,対応表!B:B)</f>
        <v>#N/A</v>
      </c>
      <c r="C876" s="3">
        <f>配列!C836</f>
        <v>0</v>
      </c>
      <c r="D876" s="3" t="str">
        <f>IF(配列!E836="",RIGHT(配列!D836&amp;配列!E836,4)&amp;"L",RIGHT(配列!D836&amp;配列!E836,5))</f>
        <v>L</v>
      </c>
      <c r="E876" s="3">
        <f t="shared" si="52"/>
        <v>0</v>
      </c>
      <c r="F876" s="3" t="e">
        <f>_xlfn.XLOOKUP(E876,セットアップレポート_紐づけ用!A:A,セットアップレポート_紐づけ用!J:J)</f>
        <v>#N/A</v>
      </c>
      <c r="G876" s="3" t="e">
        <f>_xlfn.XLOOKUP(E876,セットアップレポート_紐づけ用!A:A,セットアップレポート_紐づけ用!V:V)</f>
        <v>#N/A</v>
      </c>
      <c r="H876" s="3">
        <f t="shared" si="55"/>
        <v>-2</v>
      </c>
      <c r="I876" t="str">
        <f>IF(J876=0,"",IF(配列!E876="",マクロ実行!$A$16 &amp;" T"&amp;H876&amp;"-"&amp;RIGHT(配列!D876&amp;配列!E876,2),マクロ実行!$A$16 &amp;" T"&amp;H876&amp;"-"&amp;RIGHT(配列!D876&amp;配列!E876,3)))</f>
        <v/>
      </c>
      <c r="J876">
        <f>配列!F836</f>
        <v>0</v>
      </c>
      <c r="K876" s="2" t="e">
        <f>_xlfn.XLOOKUP(E876,セットアップレポート_紐づけ用!A:A,セットアップレポート_紐づけ用!R:R)</f>
        <v>#N/A</v>
      </c>
      <c r="L876" t="e">
        <f t="shared" si="53"/>
        <v>#N/A</v>
      </c>
      <c r="M876" t="e">
        <f>_xlfn.XLOOKUP(L876,EGPro!A:A,EGPro!D:D)</f>
        <v>#N/A</v>
      </c>
      <c r="N876" t="e">
        <f>_xlfn.XLOOKUP(L876,EGPro!A:A,EGPro!C:C)</f>
        <v>#N/A</v>
      </c>
      <c r="O876" t="e">
        <f t="shared" si="54"/>
        <v>#N/A</v>
      </c>
      <c r="P876" t="e">
        <f>_xlfn.XLOOKUP(O876,EGPro!A:A,EGPro!D:D)</f>
        <v>#N/A</v>
      </c>
      <c r="Q876" t="e">
        <f>_xlfn.XLOOKUP(O876,EGPro!A:A,EGPro!C:C)</f>
        <v>#N/A</v>
      </c>
    </row>
    <row r="877" spans="1:17" x14ac:dyDescent="0.45">
      <c r="A877" s="3">
        <f>配列!B837</f>
        <v>0</v>
      </c>
      <c r="B877" s="3" t="e">
        <f>_xlfn.XLOOKUP(A877,対応表!A:A,対応表!B:B)</f>
        <v>#N/A</v>
      </c>
      <c r="C877" s="3">
        <f>配列!C837</f>
        <v>0</v>
      </c>
      <c r="D877" s="3" t="str">
        <f>IF(配列!E837="",RIGHT(配列!D837&amp;配列!E837,4)&amp;"L",RIGHT(配列!D837&amp;配列!E837,5))</f>
        <v>L</v>
      </c>
      <c r="E877" s="3">
        <f t="shared" si="52"/>
        <v>0</v>
      </c>
      <c r="F877" s="3" t="e">
        <f>_xlfn.XLOOKUP(E877,セットアップレポート_紐づけ用!A:A,セットアップレポート_紐づけ用!J:J)</f>
        <v>#N/A</v>
      </c>
      <c r="G877" s="3" t="e">
        <f>_xlfn.XLOOKUP(E877,セットアップレポート_紐づけ用!A:A,セットアップレポート_紐づけ用!V:V)</f>
        <v>#N/A</v>
      </c>
      <c r="H877" s="3">
        <f t="shared" si="55"/>
        <v>-2</v>
      </c>
      <c r="I877" t="str">
        <f>IF(J877=0,"",IF(配列!E877="",マクロ実行!$A$16 &amp;" T"&amp;H877&amp;"-"&amp;RIGHT(配列!D877&amp;配列!E877,2),マクロ実行!$A$16 &amp;" T"&amp;H877&amp;"-"&amp;RIGHT(配列!D877&amp;配列!E877,3)))</f>
        <v/>
      </c>
      <c r="J877">
        <f>配列!F837</f>
        <v>0</v>
      </c>
      <c r="K877" s="2" t="e">
        <f>_xlfn.XLOOKUP(E877,セットアップレポート_紐づけ用!A:A,セットアップレポート_紐づけ用!R:R)</f>
        <v>#N/A</v>
      </c>
      <c r="L877" t="e">
        <f t="shared" si="53"/>
        <v>#N/A</v>
      </c>
      <c r="M877" t="e">
        <f>_xlfn.XLOOKUP(L877,EGPro!A:A,EGPro!D:D)</f>
        <v>#N/A</v>
      </c>
      <c r="N877" t="e">
        <f>_xlfn.XLOOKUP(L877,EGPro!A:A,EGPro!C:C)</f>
        <v>#N/A</v>
      </c>
      <c r="O877" t="e">
        <f t="shared" si="54"/>
        <v>#N/A</v>
      </c>
      <c r="P877" t="e">
        <f>_xlfn.XLOOKUP(O877,EGPro!A:A,EGPro!D:D)</f>
        <v>#N/A</v>
      </c>
      <c r="Q877" t="e">
        <f>_xlfn.XLOOKUP(O877,EGPro!A:A,EGPro!C:C)</f>
        <v>#N/A</v>
      </c>
    </row>
    <row r="878" spans="1:17" x14ac:dyDescent="0.45">
      <c r="A878" s="3">
        <f>配列!B838</f>
        <v>0</v>
      </c>
      <c r="B878" s="3" t="e">
        <f>_xlfn.XLOOKUP(A878,対応表!A:A,対応表!B:B)</f>
        <v>#N/A</v>
      </c>
      <c r="C878" s="3">
        <f>配列!C838</f>
        <v>0</v>
      </c>
      <c r="D878" s="3" t="str">
        <f>IF(配列!E838="",RIGHT(配列!D838&amp;配列!E838,4)&amp;"L",RIGHT(配列!D838&amp;配列!E838,5))</f>
        <v>L</v>
      </c>
      <c r="E878" s="3">
        <f t="shared" si="52"/>
        <v>0</v>
      </c>
      <c r="F878" s="3" t="e">
        <f>_xlfn.XLOOKUP(E878,セットアップレポート_紐づけ用!A:A,セットアップレポート_紐づけ用!J:J)</f>
        <v>#N/A</v>
      </c>
      <c r="G878" s="3" t="e">
        <f>_xlfn.XLOOKUP(E878,セットアップレポート_紐づけ用!A:A,セットアップレポート_紐づけ用!V:V)</f>
        <v>#N/A</v>
      </c>
      <c r="H878" s="3">
        <f t="shared" si="55"/>
        <v>-2</v>
      </c>
      <c r="I878" t="str">
        <f>IF(J878=0,"",IF(配列!E878="",マクロ実行!$A$16 &amp;" T"&amp;H878&amp;"-"&amp;RIGHT(配列!D878&amp;配列!E878,2),マクロ実行!$A$16 &amp;" T"&amp;H878&amp;"-"&amp;RIGHT(配列!D878&amp;配列!E878,3)))</f>
        <v/>
      </c>
      <c r="J878">
        <f>配列!F838</f>
        <v>0</v>
      </c>
      <c r="K878" s="2" t="e">
        <f>_xlfn.XLOOKUP(E878,セットアップレポート_紐づけ用!A:A,セットアップレポート_紐づけ用!R:R)</f>
        <v>#N/A</v>
      </c>
      <c r="L878" t="e">
        <f t="shared" si="53"/>
        <v>#N/A</v>
      </c>
      <c r="M878" t="e">
        <f>_xlfn.XLOOKUP(L878,EGPro!A:A,EGPro!D:D)</f>
        <v>#N/A</v>
      </c>
      <c r="N878" t="e">
        <f>_xlfn.XLOOKUP(L878,EGPro!A:A,EGPro!C:C)</f>
        <v>#N/A</v>
      </c>
      <c r="O878" t="e">
        <f t="shared" si="54"/>
        <v>#N/A</v>
      </c>
      <c r="P878" t="e">
        <f>_xlfn.XLOOKUP(O878,EGPro!A:A,EGPro!D:D)</f>
        <v>#N/A</v>
      </c>
      <c r="Q878" t="e">
        <f>_xlfn.XLOOKUP(O878,EGPro!A:A,EGPro!C:C)</f>
        <v>#N/A</v>
      </c>
    </row>
    <row r="879" spans="1:17" x14ac:dyDescent="0.45">
      <c r="A879" s="3">
        <f>配列!B839</f>
        <v>0</v>
      </c>
      <c r="B879" s="3" t="e">
        <f>_xlfn.XLOOKUP(A879,対応表!A:A,対応表!B:B)</f>
        <v>#N/A</v>
      </c>
      <c r="C879" s="3">
        <f>配列!C839</f>
        <v>0</v>
      </c>
      <c r="D879" s="3" t="str">
        <f>IF(配列!E839="",RIGHT(配列!D839&amp;配列!E839,4)&amp;"L",RIGHT(配列!D839&amp;配列!E839,5))</f>
        <v>L</v>
      </c>
      <c r="E879" s="3">
        <f t="shared" si="52"/>
        <v>0</v>
      </c>
      <c r="F879" s="3" t="e">
        <f>_xlfn.XLOOKUP(E879,セットアップレポート_紐づけ用!A:A,セットアップレポート_紐づけ用!J:J)</f>
        <v>#N/A</v>
      </c>
      <c r="G879" s="3" t="e">
        <f>_xlfn.XLOOKUP(E879,セットアップレポート_紐づけ用!A:A,セットアップレポート_紐づけ用!V:V)</f>
        <v>#N/A</v>
      </c>
      <c r="H879" s="3">
        <f t="shared" si="55"/>
        <v>-2</v>
      </c>
      <c r="I879" t="str">
        <f>IF(J879=0,"",IF(配列!E879="",マクロ実行!$A$16 &amp;" T"&amp;H879&amp;"-"&amp;RIGHT(配列!D879&amp;配列!E879,2),マクロ実行!$A$16 &amp;" T"&amp;H879&amp;"-"&amp;RIGHT(配列!D879&amp;配列!E879,3)))</f>
        <v/>
      </c>
      <c r="J879">
        <f>配列!F839</f>
        <v>0</v>
      </c>
      <c r="K879" s="2" t="e">
        <f>_xlfn.XLOOKUP(E879,セットアップレポート_紐づけ用!A:A,セットアップレポート_紐づけ用!R:R)</f>
        <v>#N/A</v>
      </c>
      <c r="L879" t="e">
        <f t="shared" si="53"/>
        <v>#N/A</v>
      </c>
      <c r="M879" t="e">
        <f>_xlfn.XLOOKUP(L879,EGPro!A:A,EGPro!D:D)</f>
        <v>#N/A</v>
      </c>
      <c r="N879" t="e">
        <f>_xlfn.XLOOKUP(L879,EGPro!A:A,EGPro!C:C)</f>
        <v>#N/A</v>
      </c>
      <c r="O879" t="e">
        <f t="shared" si="54"/>
        <v>#N/A</v>
      </c>
      <c r="P879" t="e">
        <f>_xlfn.XLOOKUP(O879,EGPro!A:A,EGPro!D:D)</f>
        <v>#N/A</v>
      </c>
      <c r="Q879" t="e">
        <f>_xlfn.XLOOKUP(O879,EGPro!A:A,EGPro!C:C)</f>
        <v>#N/A</v>
      </c>
    </row>
    <row r="880" spans="1:17" x14ac:dyDescent="0.45">
      <c r="A880" s="3">
        <f>配列!B840</f>
        <v>0</v>
      </c>
      <c r="B880" s="3" t="e">
        <f>_xlfn.XLOOKUP(A880,対応表!A:A,対応表!B:B)</f>
        <v>#N/A</v>
      </c>
      <c r="C880" s="3">
        <f>配列!C840</f>
        <v>0</v>
      </c>
      <c r="D880" s="3" t="str">
        <f>IF(配列!E840="",RIGHT(配列!D840&amp;配列!E840,4)&amp;"L",RIGHT(配列!D840&amp;配列!E840,5))</f>
        <v>L</v>
      </c>
      <c r="E880" s="3">
        <f t="shared" si="52"/>
        <v>0</v>
      </c>
      <c r="F880" s="3" t="e">
        <f>_xlfn.XLOOKUP(E880,セットアップレポート_紐づけ用!A:A,セットアップレポート_紐づけ用!J:J)</f>
        <v>#N/A</v>
      </c>
      <c r="G880" s="3" t="e">
        <f>_xlfn.XLOOKUP(E880,セットアップレポート_紐づけ用!A:A,セットアップレポート_紐づけ用!V:V)</f>
        <v>#N/A</v>
      </c>
      <c r="H880" s="3">
        <f t="shared" si="55"/>
        <v>-2</v>
      </c>
      <c r="I880" t="str">
        <f>IF(J880=0,"",IF(配列!E880="",マクロ実行!$A$16 &amp;" T"&amp;H880&amp;"-"&amp;RIGHT(配列!D880&amp;配列!E880,2),マクロ実行!$A$16 &amp;" T"&amp;H880&amp;"-"&amp;RIGHT(配列!D880&amp;配列!E880,3)))</f>
        <v/>
      </c>
      <c r="J880">
        <f>配列!F840</f>
        <v>0</v>
      </c>
      <c r="K880" s="2" t="e">
        <f>_xlfn.XLOOKUP(E880,セットアップレポート_紐づけ用!A:A,セットアップレポート_紐づけ用!R:R)</f>
        <v>#N/A</v>
      </c>
      <c r="L880" t="e">
        <f t="shared" si="53"/>
        <v>#N/A</v>
      </c>
      <c r="M880" t="e">
        <f>_xlfn.XLOOKUP(L880,EGPro!A:A,EGPro!D:D)</f>
        <v>#N/A</v>
      </c>
      <c r="N880" t="e">
        <f>_xlfn.XLOOKUP(L880,EGPro!A:A,EGPro!C:C)</f>
        <v>#N/A</v>
      </c>
      <c r="O880" t="e">
        <f t="shared" si="54"/>
        <v>#N/A</v>
      </c>
      <c r="P880" t="e">
        <f>_xlfn.XLOOKUP(O880,EGPro!A:A,EGPro!D:D)</f>
        <v>#N/A</v>
      </c>
      <c r="Q880" t="e">
        <f>_xlfn.XLOOKUP(O880,EGPro!A:A,EGPro!C:C)</f>
        <v>#N/A</v>
      </c>
    </row>
    <row r="881" spans="1:17" x14ac:dyDescent="0.45">
      <c r="A881" s="3">
        <f>配列!B841</f>
        <v>0</v>
      </c>
      <c r="B881" s="3" t="e">
        <f>_xlfn.XLOOKUP(A881,対応表!A:A,対応表!B:B)</f>
        <v>#N/A</v>
      </c>
      <c r="C881" s="3">
        <f>配列!C841</f>
        <v>0</v>
      </c>
      <c r="D881" s="3" t="str">
        <f>IF(配列!E841="",RIGHT(配列!D841&amp;配列!E841,4)&amp;"L",RIGHT(配列!D841&amp;配列!E841,5))</f>
        <v>L</v>
      </c>
      <c r="E881" s="3">
        <f t="shared" si="52"/>
        <v>0</v>
      </c>
      <c r="F881" s="3" t="e">
        <f>_xlfn.XLOOKUP(E881,セットアップレポート_紐づけ用!A:A,セットアップレポート_紐づけ用!J:J)</f>
        <v>#N/A</v>
      </c>
      <c r="G881" s="3" t="e">
        <f>_xlfn.XLOOKUP(E881,セットアップレポート_紐づけ用!A:A,セットアップレポート_紐づけ用!V:V)</f>
        <v>#N/A</v>
      </c>
      <c r="H881" s="3">
        <f t="shared" si="55"/>
        <v>-2</v>
      </c>
      <c r="I881" t="str">
        <f>IF(J881=0,"",IF(配列!E881="",マクロ実行!$A$16 &amp;" T"&amp;H881&amp;"-"&amp;RIGHT(配列!D881&amp;配列!E881,2),マクロ実行!$A$16 &amp;" T"&amp;H881&amp;"-"&amp;RIGHT(配列!D881&amp;配列!E881,3)))</f>
        <v/>
      </c>
      <c r="J881">
        <f>配列!F841</f>
        <v>0</v>
      </c>
      <c r="K881" s="2" t="e">
        <f>_xlfn.XLOOKUP(E881,セットアップレポート_紐づけ用!A:A,セットアップレポート_紐づけ用!R:R)</f>
        <v>#N/A</v>
      </c>
      <c r="L881" t="e">
        <f t="shared" si="53"/>
        <v>#N/A</v>
      </c>
      <c r="M881" t="e">
        <f>_xlfn.XLOOKUP(L881,EGPro!A:A,EGPro!D:D)</f>
        <v>#N/A</v>
      </c>
      <c r="N881" t="e">
        <f>_xlfn.XLOOKUP(L881,EGPro!A:A,EGPro!C:C)</f>
        <v>#N/A</v>
      </c>
      <c r="O881" t="e">
        <f t="shared" si="54"/>
        <v>#N/A</v>
      </c>
      <c r="P881" t="e">
        <f>_xlfn.XLOOKUP(O881,EGPro!A:A,EGPro!D:D)</f>
        <v>#N/A</v>
      </c>
      <c r="Q881" t="e">
        <f>_xlfn.XLOOKUP(O881,EGPro!A:A,EGPro!C:C)</f>
        <v>#N/A</v>
      </c>
    </row>
    <row r="882" spans="1:17" x14ac:dyDescent="0.45">
      <c r="A882" s="3">
        <f>配列!B842</f>
        <v>0</v>
      </c>
      <c r="B882" s="3" t="e">
        <f>_xlfn.XLOOKUP(A882,対応表!A:A,対応表!B:B)</f>
        <v>#N/A</v>
      </c>
      <c r="C882" s="3">
        <f>配列!C842</f>
        <v>0</v>
      </c>
      <c r="D882" s="3" t="str">
        <f>IF(配列!E842="",RIGHT(配列!D842&amp;配列!E842,4)&amp;"L",RIGHT(配列!D842&amp;配列!E842,5))</f>
        <v>L</v>
      </c>
      <c r="E882" s="3">
        <f t="shared" si="52"/>
        <v>0</v>
      </c>
      <c r="F882" s="3" t="e">
        <f>_xlfn.XLOOKUP(E882,セットアップレポート_紐づけ用!A:A,セットアップレポート_紐づけ用!J:J)</f>
        <v>#N/A</v>
      </c>
      <c r="G882" s="3" t="e">
        <f>_xlfn.XLOOKUP(E882,セットアップレポート_紐づけ用!A:A,セットアップレポート_紐づけ用!V:V)</f>
        <v>#N/A</v>
      </c>
      <c r="H882" s="3">
        <f t="shared" si="55"/>
        <v>-2</v>
      </c>
      <c r="I882" t="str">
        <f>IF(J882=0,"",IF(配列!E882="",マクロ実行!$A$16 &amp;" T"&amp;H882&amp;"-"&amp;RIGHT(配列!D882&amp;配列!E882,2),マクロ実行!$A$16 &amp;" T"&amp;H882&amp;"-"&amp;RIGHT(配列!D882&amp;配列!E882,3)))</f>
        <v/>
      </c>
      <c r="J882">
        <f>配列!F842</f>
        <v>0</v>
      </c>
      <c r="K882" s="2" t="e">
        <f>_xlfn.XLOOKUP(E882,セットアップレポート_紐づけ用!A:A,セットアップレポート_紐づけ用!R:R)</f>
        <v>#N/A</v>
      </c>
      <c r="L882" t="e">
        <f t="shared" si="53"/>
        <v>#N/A</v>
      </c>
      <c r="M882" t="e">
        <f>_xlfn.XLOOKUP(L882,EGPro!A:A,EGPro!D:D)</f>
        <v>#N/A</v>
      </c>
      <c r="N882" t="e">
        <f>_xlfn.XLOOKUP(L882,EGPro!A:A,EGPro!C:C)</f>
        <v>#N/A</v>
      </c>
      <c r="O882" t="e">
        <f t="shared" si="54"/>
        <v>#N/A</v>
      </c>
      <c r="P882" t="e">
        <f>_xlfn.XLOOKUP(O882,EGPro!A:A,EGPro!D:D)</f>
        <v>#N/A</v>
      </c>
      <c r="Q882" t="e">
        <f>_xlfn.XLOOKUP(O882,EGPro!A:A,EGPro!C:C)</f>
        <v>#N/A</v>
      </c>
    </row>
    <row r="883" spans="1:17" x14ac:dyDescent="0.45">
      <c r="A883" s="3">
        <f>配列!B843</f>
        <v>0</v>
      </c>
      <c r="B883" s="3" t="e">
        <f>_xlfn.XLOOKUP(A883,対応表!A:A,対応表!B:B)</f>
        <v>#N/A</v>
      </c>
      <c r="C883" s="3">
        <f>配列!C843</f>
        <v>0</v>
      </c>
      <c r="D883" s="3" t="str">
        <f>IF(配列!E843="",RIGHT(配列!D843&amp;配列!E843,4)&amp;"L",RIGHT(配列!D843&amp;配列!E843,5))</f>
        <v>L</v>
      </c>
      <c r="E883" s="3">
        <f t="shared" si="52"/>
        <v>0</v>
      </c>
      <c r="F883" s="3" t="e">
        <f>_xlfn.XLOOKUP(E883,セットアップレポート_紐づけ用!A:A,セットアップレポート_紐づけ用!J:J)</f>
        <v>#N/A</v>
      </c>
      <c r="G883" s="3" t="e">
        <f>_xlfn.XLOOKUP(E883,セットアップレポート_紐づけ用!A:A,セットアップレポート_紐づけ用!V:V)</f>
        <v>#N/A</v>
      </c>
      <c r="H883" s="3">
        <f t="shared" si="55"/>
        <v>-2</v>
      </c>
      <c r="I883" t="str">
        <f>IF(J883=0,"",IF(配列!E883="",マクロ実行!$A$16 &amp;" T"&amp;H883&amp;"-"&amp;RIGHT(配列!D883&amp;配列!E883,2),マクロ実行!$A$16 &amp;" T"&amp;H883&amp;"-"&amp;RIGHT(配列!D883&amp;配列!E883,3)))</f>
        <v/>
      </c>
      <c r="J883">
        <f>配列!F843</f>
        <v>0</v>
      </c>
      <c r="K883" s="2" t="e">
        <f>_xlfn.XLOOKUP(E883,セットアップレポート_紐づけ用!A:A,セットアップレポート_紐づけ用!R:R)</f>
        <v>#N/A</v>
      </c>
      <c r="L883" t="e">
        <f t="shared" si="53"/>
        <v>#N/A</v>
      </c>
      <c r="M883" t="e">
        <f>_xlfn.XLOOKUP(L883,EGPro!A:A,EGPro!D:D)</f>
        <v>#N/A</v>
      </c>
      <c r="N883" t="e">
        <f>_xlfn.XLOOKUP(L883,EGPro!A:A,EGPro!C:C)</f>
        <v>#N/A</v>
      </c>
      <c r="O883" t="e">
        <f t="shared" si="54"/>
        <v>#N/A</v>
      </c>
      <c r="P883" t="e">
        <f>_xlfn.XLOOKUP(O883,EGPro!A:A,EGPro!D:D)</f>
        <v>#N/A</v>
      </c>
      <c r="Q883" t="e">
        <f>_xlfn.XLOOKUP(O883,EGPro!A:A,EGPro!C:C)</f>
        <v>#N/A</v>
      </c>
    </row>
    <row r="884" spans="1:17" x14ac:dyDescent="0.45">
      <c r="A884" s="3">
        <f>配列!B844</f>
        <v>0</v>
      </c>
      <c r="B884" s="3" t="e">
        <f>_xlfn.XLOOKUP(A884,対応表!A:A,対応表!B:B)</f>
        <v>#N/A</v>
      </c>
      <c r="C884" s="3">
        <f>配列!C844</f>
        <v>0</v>
      </c>
      <c r="D884" s="3" t="str">
        <f>IF(配列!E844="",RIGHT(配列!D844&amp;配列!E844,4)&amp;"L",RIGHT(配列!D844&amp;配列!E844,5))</f>
        <v>L</v>
      </c>
      <c r="E884" s="3">
        <f t="shared" si="52"/>
        <v>0</v>
      </c>
      <c r="F884" s="3" t="e">
        <f>_xlfn.XLOOKUP(E884,セットアップレポート_紐づけ用!A:A,セットアップレポート_紐づけ用!J:J)</f>
        <v>#N/A</v>
      </c>
      <c r="G884" s="3" t="e">
        <f>_xlfn.XLOOKUP(E884,セットアップレポート_紐づけ用!A:A,セットアップレポート_紐づけ用!V:V)</f>
        <v>#N/A</v>
      </c>
      <c r="H884" s="3">
        <f t="shared" si="55"/>
        <v>-2</v>
      </c>
      <c r="I884" t="str">
        <f>IF(J884=0,"",IF(配列!E884="",マクロ実行!$A$16 &amp;" T"&amp;H884&amp;"-"&amp;RIGHT(配列!D884&amp;配列!E884,2),マクロ実行!$A$16 &amp;" T"&amp;H884&amp;"-"&amp;RIGHT(配列!D884&amp;配列!E884,3)))</f>
        <v/>
      </c>
      <c r="J884">
        <f>配列!F844</f>
        <v>0</v>
      </c>
      <c r="K884" s="2" t="e">
        <f>_xlfn.XLOOKUP(E884,セットアップレポート_紐づけ用!A:A,セットアップレポート_紐づけ用!R:R)</f>
        <v>#N/A</v>
      </c>
      <c r="L884" t="e">
        <f t="shared" si="53"/>
        <v>#N/A</v>
      </c>
      <c r="M884" t="e">
        <f>_xlfn.XLOOKUP(L884,EGPro!A:A,EGPro!D:D)</f>
        <v>#N/A</v>
      </c>
      <c r="N884" t="e">
        <f>_xlfn.XLOOKUP(L884,EGPro!A:A,EGPro!C:C)</f>
        <v>#N/A</v>
      </c>
      <c r="O884" t="e">
        <f t="shared" si="54"/>
        <v>#N/A</v>
      </c>
      <c r="P884" t="e">
        <f>_xlfn.XLOOKUP(O884,EGPro!A:A,EGPro!D:D)</f>
        <v>#N/A</v>
      </c>
      <c r="Q884" t="e">
        <f>_xlfn.XLOOKUP(O884,EGPro!A:A,EGPro!C:C)</f>
        <v>#N/A</v>
      </c>
    </row>
    <row r="885" spans="1:17" x14ac:dyDescent="0.45">
      <c r="A885" s="3">
        <f>配列!B845</f>
        <v>0</v>
      </c>
      <c r="B885" s="3" t="e">
        <f>_xlfn.XLOOKUP(A885,対応表!A:A,対応表!B:B)</f>
        <v>#N/A</v>
      </c>
      <c r="C885" s="3">
        <f>配列!C845</f>
        <v>0</v>
      </c>
      <c r="D885" s="3" t="str">
        <f>IF(配列!E845="",RIGHT(配列!D845&amp;配列!E845,4)&amp;"L",RIGHT(配列!D845&amp;配列!E845,5))</f>
        <v>L</v>
      </c>
      <c r="E885" s="3">
        <f t="shared" si="52"/>
        <v>0</v>
      </c>
      <c r="F885" s="3" t="e">
        <f>_xlfn.XLOOKUP(E885,セットアップレポート_紐づけ用!A:A,セットアップレポート_紐づけ用!J:J)</f>
        <v>#N/A</v>
      </c>
      <c r="G885" s="3" t="e">
        <f>_xlfn.XLOOKUP(E885,セットアップレポート_紐づけ用!A:A,セットアップレポート_紐づけ用!V:V)</f>
        <v>#N/A</v>
      </c>
      <c r="H885" s="3">
        <f t="shared" si="55"/>
        <v>-2</v>
      </c>
      <c r="I885" t="str">
        <f>IF(J885=0,"",IF(配列!E885="",マクロ実行!$A$16 &amp;" T"&amp;H885&amp;"-"&amp;RIGHT(配列!D885&amp;配列!E885,2),マクロ実行!$A$16 &amp;" T"&amp;H885&amp;"-"&amp;RIGHT(配列!D885&amp;配列!E885,3)))</f>
        <v/>
      </c>
      <c r="J885">
        <f>配列!F845</f>
        <v>0</v>
      </c>
      <c r="K885" s="2" t="e">
        <f>_xlfn.XLOOKUP(E885,セットアップレポート_紐づけ用!A:A,セットアップレポート_紐づけ用!R:R)</f>
        <v>#N/A</v>
      </c>
      <c r="L885" t="e">
        <f t="shared" si="53"/>
        <v>#N/A</v>
      </c>
      <c r="M885" t="e">
        <f>_xlfn.XLOOKUP(L885,EGPro!A:A,EGPro!D:D)</f>
        <v>#N/A</v>
      </c>
      <c r="N885" t="e">
        <f>_xlfn.XLOOKUP(L885,EGPro!A:A,EGPro!C:C)</f>
        <v>#N/A</v>
      </c>
      <c r="O885" t="e">
        <f t="shared" si="54"/>
        <v>#N/A</v>
      </c>
      <c r="P885" t="e">
        <f>_xlfn.XLOOKUP(O885,EGPro!A:A,EGPro!D:D)</f>
        <v>#N/A</v>
      </c>
      <c r="Q885" t="e">
        <f>_xlfn.XLOOKUP(O885,EGPro!A:A,EGPro!C:C)</f>
        <v>#N/A</v>
      </c>
    </row>
    <row r="886" spans="1:17" x14ac:dyDescent="0.45">
      <c r="A886" s="3">
        <f>配列!B846</f>
        <v>0</v>
      </c>
      <c r="B886" s="3" t="e">
        <f>_xlfn.XLOOKUP(A886,対応表!A:A,対応表!B:B)</f>
        <v>#N/A</v>
      </c>
      <c r="C886" s="3">
        <f>配列!C846</f>
        <v>0</v>
      </c>
      <c r="D886" s="3" t="str">
        <f>IF(配列!E846="",RIGHT(配列!D846&amp;配列!E846,4)&amp;"L",RIGHT(配列!D846&amp;配列!E846,5))</f>
        <v>L</v>
      </c>
      <c r="E886" s="3">
        <f t="shared" si="52"/>
        <v>0</v>
      </c>
      <c r="F886" s="3" t="e">
        <f>_xlfn.XLOOKUP(E886,セットアップレポート_紐づけ用!A:A,セットアップレポート_紐づけ用!J:J)</f>
        <v>#N/A</v>
      </c>
      <c r="G886" s="3" t="e">
        <f>_xlfn.XLOOKUP(E886,セットアップレポート_紐づけ用!A:A,セットアップレポート_紐づけ用!V:V)</f>
        <v>#N/A</v>
      </c>
      <c r="H886" s="3">
        <f t="shared" si="55"/>
        <v>-2</v>
      </c>
      <c r="I886" t="str">
        <f>IF(J886=0,"",IF(配列!E886="",マクロ実行!$A$16 &amp;" T"&amp;H886&amp;"-"&amp;RIGHT(配列!D886&amp;配列!E886,2),マクロ実行!$A$16 &amp;" T"&amp;H886&amp;"-"&amp;RIGHT(配列!D886&amp;配列!E886,3)))</f>
        <v/>
      </c>
      <c r="J886">
        <f>配列!F846</f>
        <v>0</v>
      </c>
      <c r="K886" s="2" t="e">
        <f>_xlfn.XLOOKUP(E886,セットアップレポート_紐づけ用!A:A,セットアップレポート_紐づけ用!R:R)</f>
        <v>#N/A</v>
      </c>
      <c r="L886" t="e">
        <f t="shared" si="53"/>
        <v>#N/A</v>
      </c>
      <c r="M886" t="e">
        <f>_xlfn.XLOOKUP(L886,EGPro!A:A,EGPro!D:D)</f>
        <v>#N/A</v>
      </c>
      <c r="N886" t="e">
        <f>_xlfn.XLOOKUP(L886,EGPro!A:A,EGPro!C:C)</f>
        <v>#N/A</v>
      </c>
      <c r="O886" t="e">
        <f t="shared" si="54"/>
        <v>#N/A</v>
      </c>
      <c r="P886" t="e">
        <f>_xlfn.XLOOKUP(O886,EGPro!A:A,EGPro!D:D)</f>
        <v>#N/A</v>
      </c>
      <c r="Q886" t="e">
        <f>_xlfn.XLOOKUP(O886,EGPro!A:A,EGPro!C:C)</f>
        <v>#N/A</v>
      </c>
    </row>
    <row r="887" spans="1:17" x14ac:dyDescent="0.45">
      <c r="A887" s="3">
        <f>配列!B847</f>
        <v>0</v>
      </c>
      <c r="B887" s="3" t="e">
        <f>_xlfn.XLOOKUP(A887,対応表!A:A,対応表!B:B)</f>
        <v>#N/A</v>
      </c>
      <c r="C887" s="3">
        <f>配列!C847</f>
        <v>0</v>
      </c>
      <c r="D887" s="3" t="str">
        <f>IF(配列!E847="",RIGHT(配列!D847&amp;配列!E847,4)&amp;"L",RIGHT(配列!D847&amp;配列!E847,5))</f>
        <v>L</v>
      </c>
      <c r="E887" s="3">
        <f t="shared" si="52"/>
        <v>0</v>
      </c>
      <c r="F887" s="3" t="e">
        <f>_xlfn.XLOOKUP(E887,セットアップレポート_紐づけ用!A:A,セットアップレポート_紐づけ用!J:J)</f>
        <v>#N/A</v>
      </c>
      <c r="G887" s="3" t="e">
        <f>_xlfn.XLOOKUP(E887,セットアップレポート_紐づけ用!A:A,セットアップレポート_紐づけ用!V:V)</f>
        <v>#N/A</v>
      </c>
      <c r="H887" s="3">
        <f t="shared" si="55"/>
        <v>-2</v>
      </c>
      <c r="I887" t="str">
        <f>IF(J887=0,"",IF(配列!E887="",マクロ実行!$A$16 &amp;" T"&amp;H887&amp;"-"&amp;RIGHT(配列!D887&amp;配列!E887,2),マクロ実行!$A$16 &amp;" T"&amp;H887&amp;"-"&amp;RIGHT(配列!D887&amp;配列!E887,3)))</f>
        <v/>
      </c>
      <c r="J887">
        <f>配列!F847</f>
        <v>0</v>
      </c>
      <c r="K887" s="2" t="e">
        <f>_xlfn.XLOOKUP(E887,セットアップレポート_紐づけ用!A:A,セットアップレポート_紐づけ用!R:R)</f>
        <v>#N/A</v>
      </c>
      <c r="L887" t="e">
        <f t="shared" si="53"/>
        <v>#N/A</v>
      </c>
      <c r="M887" t="e">
        <f>_xlfn.XLOOKUP(L887,EGPro!A:A,EGPro!D:D)</f>
        <v>#N/A</v>
      </c>
      <c r="N887" t="e">
        <f>_xlfn.XLOOKUP(L887,EGPro!A:A,EGPro!C:C)</f>
        <v>#N/A</v>
      </c>
      <c r="O887" t="e">
        <f t="shared" si="54"/>
        <v>#N/A</v>
      </c>
      <c r="P887" t="e">
        <f>_xlfn.XLOOKUP(O887,EGPro!A:A,EGPro!D:D)</f>
        <v>#N/A</v>
      </c>
      <c r="Q887" t="e">
        <f>_xlfn.XLOOKUP(O887,EGPro!A:A,EGPro!C:C)</f>
        <v>#N/A</v>
      </c>
    </row>
    <row r="888" spans="1:17" x14ac:dyDescent="0.45">
      <c r="A888" s="3">
        <f>配列!B848</f>
        <v>0</v>
      </c>
      <c r="B888" s="3" t="e">
        <f>_xlfn.XLOOKUP(A888,対応表!A:A,対応表!B:B)</f>
        <v>#N/A</v>
      </c>
      <c r="C888" s="3">
        <f>配列!C848</f>
        <v>0</v>
      </c>
      <c r="D888" s="3" t="str">
        <f>IF(配列!E848="",RIGHT(配列!D848&amp;配列!E848,4)&amp;"L",RIGHT(配列!D848&amp;配列!E848,5))</f>
        <v>L</v>
      </c>
      <c r="E888" s="3">
        <f t="shared" si="52"/>
        <v>0</v>
      </c>
      <c r="F888" s="3" t="e">
        <f>_xlfn.XLOOKUP(E888,セットアップレポート_紐づけ用!A:A,セットアップレポート_紐づけ用!J:J)</f>
        <v>#N/A</v>
      </c>
      <c r="G888" s="3" t="e">
        <f>_xlfn.XLOOKUP(E888,セットアップレポート_紐づけ用!A:A,セットアップレポート_紐づけ用!V:V)</f>
        <v>#N/A</v>
      </c>
      <c r="H888" s="3">
        <f t="shared" si="55"/>
        <v>-2</v>
      </c>
      <c r="I888" t="str">
        <f>IF(J888=0,"",IF(配列!E888="",マクロ実行!$A$16 &amp;" T"&amp;H888&amp;"-"&amp;RIGHT(配列!D888&amp;配列!E888,2),マクロ実行!$A$16 &amp;" T"&amp;H888&amp;"-"&amp;RIGHT(配列!D888&amp;配列!E888,3)))</f>
        <v/>
      </c>
      <c r="J888">
        <f>配列!F848</f>
        <v>0</v>
      </c>
      <c r="K888" s="2" t="e">
        <f>_xlfn.XLOOKUP(E888,セットアップレポート_紐づけ用!A:A,セットアップレポート_紐づけ用!R:R)</f>
        <v>#N/A</v>
      </c>
      <c r="L888" t="e">
        <f t="shared" si="53"/>
        <v>#N/A</v>
      </c>
      <c r="M888" t="e">
        <f>_xlfn.XLOOKUP(L888,EGPro!A:A,EGPro!D:D)</f>
        <v>#N/A</v>
      </c>
      <c r="N888" t="e">
        <f>_xlfn.XLOOKUP(L888,EGPro!A:A,EGPro!C:C)</f>
        <v>#N/A</v>
      </c>
      <c r="O888" t="e">
        <f t="shared" si="54"/>
        <v>#N/A</v>
      </c>
      <c r="P888" t="e">
        <f>_xlfn.XLOOKUP(O888,EGPro!A:A,EGPro!D:D)</f>
        <v>#N/A</v>
      </c>
      <c r="Q888" t="e">
        <f>_xlfn.XLOOKUP(O888,EGPro!A:A,EGPro!C:C)</f>
        <v>#N/A</v>
      </c>
    </row>
    <row r="889" spans="1:17" x14ac:dyDescent="0.45">
      <c r="A889" s="3">
        <f>配列!B849</f>
        <v>0</v>
      </c>
      <c r="B889" s="3" t="e">
        <f>_xlfn.XLOOKUP(A889,対応表!A:A,対応表!B:B)</f>
        <v>#N/A</v>
      </c>
      <c r="C889" s="3">
        <f>配列!C849</f>
        <v>0</v>
      </c>
      <c r="D889" s="3" t="str">
        <f>IF(配列!E849="",RIGHT(配列!D849&amp;配列!E849,4)&amp;"L",RIGHT(配列!D849&amp;配列!E849,5))</f>
        <v>L</v>
      </c>
      <c r="E889" s="3">
        <f t="shared" si="52"/>
        <v>0</v>
      </c>
      <c r="F889" s="3" t="e">
        <f>_xlfn.XLOOKUP(E889,セットアップレポート_紐づけ用!A:A,セットアップレポート_紐づけ用!J:J)</f>
        <v>#N/A</v>
      </c>
      <c r="G889" s="3" t="e">
        <f>_xlfn.XLOOKUP(E889,セットアップレポート_紐づけ用!A:A,セットアップレポート_紐づけ用!V:V)</f>
        <v>#N/A</v>
      </c>
      <c r="H889" s="3">
        <f t="shared" si="55"/>
        <v>-2</v>
      </c>
      <c r="I889" t="str">
        <f>IF(J889=0,"",IF(配列!E889="",マクロ実行!$A$16 &amp;" T"&amp;H889&amp;"-"&amp;RIGHT(配列!D889&amp;配列!E889,2),マクロ実行!$A$16 &amp;" T"&amp;H889&amp;"-"&amp;RIGHT(配列!D889&amp;配列!E889,3)))</f>
        <v/>
      </c>
      <c r="J889">
        <f>配列!F849</f>
        <v>0</v>
      </c>
      <c r="K889" s="2" t="e">
        <f>_xlfn.XLOOKUP(E889,セットアップレポート_紐づけ用!A:A,セットアップレポート_紐づけ用!R:R)</f>
        <v>#N/A</v>
      </c>
      <c r="L889" t="e">
        <f t="shared" si="53"/>
        <v>#N/A</v>
      </c>
      <c r="M889" t="e">
        <f>_xlfn.XLOOKUP(L889,EGPro!A:A,EGPro!D:D)</f>
        <v>#N/A</v>
      </c>
      <c r="N889" t="e">
        <f>_xlfn.XLOOKUP(L889,EGPro!A:A,EGPro!C:C)</f>
        <v>#N/A</v>
      </c>
      <c r="O889" t="e">
        <f t="shared" si="54"/>
        <v>#N/A</v>
      </c>
      <c r="P889" t="e">
        <f>_xlfn.XLOOKUP(O889,EGPro!A:A,EGPro!D:D)</f>
        <v>#N/A</v>
      </c>
      <c r="Q889" t="e">
        <f>_xlfn.XLOOKUP(O889,EGPro!A:A,EGPro!C:C)</f>
        <v>#N/A</v>
      </c>
    </row>
    <row r="890" spans="1:17" x14ac:dyDescent="0.45">
      <c r="A890" s="3">
        <f>配列!B850</f>
        <v>0</v>
      </c>
      <c r="B890" s="3" t="e">
        <f>_xlfn.XLOOKUP(A890,対応表!A:A,対応表!B:B)</f>
        <v>#N/A</v>
      </c>
      <c r="C890" s="3">
        <f>配列!C850</f>
        <v>0</v>
      </c>
      <c r="D890" s="3" t="str">
        <f>IF(配列!E850="",RIGHT(配列!D850&amp;配列!E850,4)&amp;"L",RIGHT(配列!D850&amp;配列!E850,5))</f>
        <v>L</v>
      </c>
      <c r="E890" s="3">
        <f t="shared" si="52"/>
        <v>0</v>
      </c>
      <c r="F890" s="3" t="e">
        <f>_xlfn.XLOOKUP(E890,セットアップレポート_紐づけ用!A:A,セットアップレポート_紐づけ用!J:J)</f>
        <v>#N/A</v>
      </c>
      <c r="G890" s="3" t="e">
        <f>_xlfn.XLOOKUP(E890,セットアップレポート_紐づけ用!A:A,セットアップレポート_紐づけ用!V:V)</f>
        <v>#N/A</v>
      </c>
      <c r="H890" s="3">
        <f t="shared" si="55"/>
        <v>-2</v>
      </c>
      <c r="I890" t="str">
        <f>IF(J890=0,"",IF(配列!E890="",マクロ実行!$A$16 &amp;" T"&amp;H890&amp;"-"&amp;RIGHT(配列!D890&amp;配列!E890,2),マクロ実行!$A$16 &amp;" T"&amp;H890&amp;"-"&amp;RIGHT(配列!D890&amp;配列!E890,3)))</f>
        <v/>
      </c>
      <c r="J890">
        <f>配列!F850</f>
        <v>0</v>
      </c>
      <c r="K890" s="2" t="e">
        <f>_xlfn.XLOOKUP(E890,セットアップレポート_紐づけ用!A:A,セットアップレポート_紐づけ用!R:R)</f>
        <v>#N/A</v>
      </c>
      <c r="L890" t="e">
        <f t="shared" si="53"/>
        <v>#N/A</v>
      </c>
      <c r="M890" t="e">
        <f>_xlfn.XLOOKUP(L890,EGPro!A:A,EGPro!D:D)</f>
        <v>#N/A</v>
      </c>
      <c r="N890" t="e">
        <f>_xlfn.XLOOKUP(L890,EGPro!A:A,EGPro!C:C)</f>
        <v>#N/A</v>
      </c>
      <c r="O890" t="e">
        <f t="shared" si="54"/>
        <v>#N/A</v>
      </c>
      <c r="P890" t="e">
        <f>_xlfn.XLOOKUP(O890,EGPro!A:A,EGPro!D:D)</f>
        <v>#N/A</v>
      </c>
      <c r="Q890" t="e">
        <f>_xlfn.XLOOKUP(O890,EGPro!A:A,EGPro!C:C)</f>
        <v>#N/A</v>
      </c>
    </row>
    <row r="891" spans="1:17" x14ac:dyDescent="0.45">
      <c r="A891" s="3">
        <f>配列!B851</f>
        <v>0</v>
      </c>
      <c r="B891" s="3" t="e">
        <f>_xlfn.XLOOKUP(A891,対応表!A:A,対応表!B:B)</f>
        <v>#N/A</v>
      </c>
      <c r="C891" s="3">
        <f>配列!C851</f>
        <v>0</v>
      </c>
      <c r="D891" s="3" t="str">
        <f>IF(配列!E851="",RIGHT(配列!D851&amp;配列!E851,4)&amp;"L",RIGHT(配列!D851&amp;配列!E851,5))</f>
        <v>L</v>
      </c>
      <c r="E891" s="3">
        <f t="shared" si="52"/>
        <v>0</v>
      </c>
      <c r="F891" s="3" t="e">
        <f>_xlfn.XLOOKUP(E891,セットアップレポート_紐づけ用!A:A,セットアップレポート_紐づけ用!J:J)</f>
        <v>#N/A</v>
      </c>
      <c r="G891" s="3" t="e">
        <f>_xlfn.XLOOKUP(E891,セットアップレポート_紐づけ用!A:A,セットアップレポート_紐づけ用!V:V)</f>
        <v>#N/A</v>
      </c>
      <c r="H891" s="3">
        <f t="shared" si="55"/>
        <v>-2</v>
      </c>
      <c r="I891" t="str">
        <f>IF(J891=0,"",IF(配列!E891="",マクロ実行!$A$16 &amp;" T"&amp;H891&amp;"-"&amp;RIGHT(配列!D891&amp;配列!E891,2),マクロ実行!$A$16 &amp;" T"&amp;H891&amp;"-"&amp;RIGHT(配列!D891&amp;配列!E891,3)))</f>
        <v/>
      </c>
      <c r="J891">
        <f>配列!F851</f>
        <v>0</v>
      </c>
      <c r="K891" s="2" t="e">
        <f>_xlfn.XLOOKUP(E891,セットアップレポート_紐づけ用!A:A,セットアップレポート_紐づけ用!R:R)</f>
        <v>#N/A</v>
      </c>
      <c r="L891" t="e">
        <f t="shared" si="53"/>
        <v>#N/A</v>
      </c>
      <c r="M891" t="e">
        <f>_xlfn.XLOOKUP(L891,EGPro!A:A,EGPro!D:D)</f>
        <v>#N/A</v>
      </c>
      <c r="N891" t="e">
        <f>_xlfn.XLOOKUP(L891,EGPro!A:A,EGPro!C:C)</f>
        <v>#N/A</v>
      </c>
      <c r="O891" t="e">
        <f t="shared" si="54"/>
        <v>#N/A</v>
      </c>
      <c r="P891" t="e">
        <f>_xlfn.XLOOKUP(O891,EGPro!A:A,EGPro!D:D)</f>
        <v>#N/A</v>
      </c>
      <c r="Q891" t="e">
        <f>_xlfn.XLOOKUP(O891,EGPro!A:A,EGPro!C:C)</f>
        <v>#N/A</v>
      </c>
    </row>
    <row r="892" spans="1:17" x14ac:dyDescent="0.45">
      <c r="A892" s="3">
        <f>配列!B852</f>
        <v>0</v>
      </c>
      <c r="B892" s="3" t="e">
        <f>_xlfn.XLOOKUP(A892,対応表!A:A,対応表!B:B)</f>
        <v>#N/A</v>
      </c>
      <c r="C892" s="3">
        <f>配列!C852</f>
        <v>0</v>
      </c>
      <c r="D892" s="3" t="str">
        <f>IF(配列!E852="",RIGHT(配列!D852&amp;配列!E852,4)&amp;"L",RIGHT(配列!D852&amp;配列!E852,5))</f>
        <v>L</v>
      </c>
      <c r="E892" s="3">
        <f t="shared" si="52"/>
        <v>0</v>
      </c>
      <c r="F892" s="3" t="e">
        <f>_xlfn.XLOOKUP(E892,セットアップレポート_紐づけ用!A:A,セットアップレポート_紐づけ用!J:J)</f>
        <v>#N/A</v>
      </c>
      <c r="G892" s="3" t="e">
        <f>_xlfn.XLOOKUP(E892,セットアップレポート_紐づけ用!A:A,セットアップレポート_紐づけ用!V:V)</f>
        <v>#N/A</v>
      </c>
      <c r="H892" s="3">
        <f t="shared" si="55"/>
        <v>-2</v>
      </c>
      <c r="I892" t="str">
        <f>IF(J892=0,"",IF(配列!E892="",マクロ実行!$A$16 &amp;" T"&amp;H892&amp;"-"&amp;RIGHT(配列!D892&amp;配列!E892,2),マクロ実行!$A$16 &amp;" T"&amp;H892&amp;"-"&amp;RIGHT(配列!D892&amp;配列!E892,3)))</f>
        <v/>
      </c>
      <c r="J892">
        <f>配列!F852</f>
        <v>0</v>
      </c>
      <c r="K892" s="2" t="e">
        <f>_xlfn.XLOOKUP(E892,セットアップレポート_紐づけ用!A:A,セットアップレポート_紐づけ用!R:R)</f>
        <v>#N/A</v>
      </c>
      <c r="L892" t="e">
        <f t="shared" si="53"/>
        <v>#N/A</v>
      </c>
      <c r="M892" t="e">
        <f>_xlfn.XLOOKUP(L892,EGPro!A:A,EGPro!D:D)</f>
        <v>#N/A</v>
      </c>
      <c r="N892" t="e">
        <f>_xlfn.XLOOKUP(L892,EGPro!A:A,EGPro!C:C)</f>
        <v>#N/A</v>
      </c>
      <c r="O892" t="e">
        <f t="shared" si="54"/>
        <v>#N/A</v>
      </c>
      <c r="P892" t="e">
        <f>_xlfn.XLOOKUP(O892,EGPro!A:A,EGPro!D:D)</f>
        <v>#N/A</v>
      </c>
      <c r="Q892" t="e">
        <f>_xlfn.XLOOKUP(O892,EGPro!A:A,EGPro!C:C)</f>
        <v>#N/A</v>
      </c>
    </row>
    <row r="893" spans="1:17" x14ac:dyDescent="0.45">
      <c r="A893" s="3">
        <f>配列!B853</f>
        <v>0</v>
      </c>
      <c r="B893" s="3" t="e">
        <f>_xlfn.XLOOKUP(A893,対応表!A:A,対応表!B:B)</f>
        <v>#N/A</v>
      </c>
      <c r="C893" s="3">
        <f>配列!C853</f>
        <v>0</v>
      </c>
      <c r="D893" s="3" t="str">
        <f>IF(配列!E853="",RIGHT(配列!D853&amp;配列!E853,4)&amp;"L",RIGHT(配列!D853&amp;配列!E853,5))</f>
        <v>L</v>
      </c>
      <c r="E893" s="3">
        <f t="shared" si="52"/>
        <v>0</v>
      </c>
      <c r="F893" s="3" t="e">
        <f>_xlfn.XLOOKUP(E893,セットアップレポート_紐づけ用!A:A,セットアップレポート_紐づけ用!J:J)</f>
        <v>#N/A</v>
      </c>
      <c r="G893" s="3" t="e">
        <f>_xlfn.XLOOKUP(E893,セットアップレポート_紐づけ用!A:A,セットアップレポート_紐づけ用!V:V)</f>
        <v>#N/A</v>
      </c>
      <c r="H893" s="3">
        <f t="shared" si="55"/>
        <v>-2</v>
      </c>
      <c r="I893" t="str">
        <f>IF(J893=0,"",IF(配列!E893="",マクロ実行!$A$16 &amp;" T"&amp;H893&amp;"-"&amp;RIGHT(配列!D893&amp;配列!E893,2),マクロ実行!$A$16 &amp;" T"&amp;H893&amp;"-"&amp;RIGHT(配列!D893&amp;配列!E893,3)))</f>
        <v/>
      </c>
      <c r="J893">
        <f>配列!F853</f>
        <v>0</v>
      </c>
      <c r="K893" s="2" t="e">
        <f>_xlfn.XLOOKUP(E893,セットアップレポート_紐づけ用!A:A,セットアップレポート_紐づけ用!R:R)</f>
        <v>#N/A</v>
      </c>
      <c r="L893" t="e">
        <f t="shared" si="53"/>
        <v>#N/A</v>
      </c>
      <c r="M893" t="e">
        <f>_xlfn.XLOOKUP(L893,EGPro!A:A,EGPro!D:D)</f>
        <v>#N/A</v>
      </c>
      <c r="N893" t="e">
        <f>_xlfn.XLOOKUP(L893,EGPro!A:A,EGPro!C:C)</f>
        <v>#N/A</v>
      </c>
      <c r="O893" t="e">
        <f t="shared" si="54"/>
        <v>#N/A</v>
      </c>
      <c r="P893" t="e">
        <f>_xlfn.XLOOKUP(O893,EGPro!A:A,EGPro!D:D)</f>
        <v>#N/A</v>
      </c>
      <c r="Q893" t="e">
        <f>_xlfn.XLOOKUP(O893,EGPro!A:A,EGPro!C:C)</f>
        <v>#N/A</v>
      </c>
    </row>
    <row r="894" spans="1:17" x14ac:dyDescent="0.45">
      <c r="A894" s="3">
        <f>配列!B854</f>
        <v>0</v>
      </c>
      <c r="B894" s="3" t="e">
        <f>_xlfn.XLOOKUP(A894,対応表!A:A,対応表!B:B)</f>
        <v>#N/A</v>
      </c>
      <c r="C894" s="3">
        <f>配列!C854</f>
        <v>0</v>
      </c>
      <c r="D894" s="3" t="str">
        <f>IF(配列!E854="",RIGHT(配列!D854&amp;配列!E854,4)&amp;"L",RIGHT(配列!D854&amp;配列!E854,5))</f>
        <v>L</v>
      </c>
      <c r="E894" s="3">
        <f t="shared" si="52"/>
        <v>0</v>
      </c>
      <c r="F894" s="3" t="e">
        <f>_xlfn.XLOOKUP(E894,セットアップレポート_紐づけ用!A:A,セットアップレポート_紐づけ用!J:J)</f>
        <v>#N/A</v>
      </c>
      <c r="G894" s="3" t="e">
        <f>_xlfn.XLOOKUP(E894,セットアップレポート_紐づけ用!A:A,セットアップレポート_紐づけ用!V:V)</f>
        <v>#N/A</v>
      </c>
      <c r="H894" s="3">
        <f t="shared" si="55"/>
        <v>-2</v>
      </c>
      <c r="I894" t="str">
        <f>IF(J894=0,"",IF(配列!E894="",マクロ実行!$A$16 &amp;" T"&amp;H894&amp;"-"&amp;RIGHT(配列!D894&amp;配列!E894,2),マクロ実行!$A$16 &amp;" T"&amp;H894&amp;"-"&amp;RIGHT(配列!D894&amp;配列!E894,3)))</f>
        <v/>
      </c>
      <c r="J894">
        <f>配列!F854</f>
        <v>0</v>
      </c>
      <c r="K894" s="2" t="e">
        <f>_xlfn.XLOOKUP(E894,セットアップレポート_紐づけ用!A:A,セットアップレポート_紐づけ用!R:R)</f>
        <v>#N/A</v>
      </c>
      <c r="L894" t="e">
        <f t="shared" si="53"/>
        <v>#N/A</v>
      </c>
      <c r="M894" t="e">
        <f>_xlfn.XLOOKUP(L894,EGPro!A:A,EGPro!D:D)</f>
        <v>#N/A</v>
      </c>
      <c r="N894" t="e">
        <f>_xlfn.XLOOKUP(L894,EGPro!A:A,EGPro!C:C)</f>
        <v>#N/A</v>
      </c>
      <c r="O894" t="e">
        <f t="shared" si="54"/>
        <v>#N/A</v>
      </c>
      <c r="P894" t="e">
        <f>_xlfn.XLOOKUP(O894,EGPro!A:A,EGPro!D:D)</f>
        <v>#N/A</v>
      </c>
      <c r="Q894" t="e">
        <f>_xlfn.XLOOKUP(O894,EGPro!A:A,EGPro!C:C)</f>
        <v>#N/A</v>
      </c>
    </row>
    <row r="895" spans="1:17" x14ac:dyDescent="0.45">
      <c r="A895" s="3">
        <f>配列!B855</f>
        <v>0</v>
      </c>
      <c r="B895" s="3" t="e">
        <f>_xlfn.XLOOKUP(A895,対応表!A:A,対応表!B:B)</f>
        <v>#N/A</v>
      </c>
      <c r="C895" s="3">
        <f>配列!C855</f>
        <v>0</v>
      </c>
      <c r="D895" s="3" t="str">
        <f>IF(配列!E855="",RIGHT(配列!D855&amp;配列!E855,4)&amp;"L",RIGHT(配列!D855&amp;配列!E855,5))</f>
        <v>L</v>
      </c>
      <c r="E895" s="3">
        <f t="shared" si="52"/>
        <v>0</v>
      </c>
      <c r="F895" s="3" t="e">
        <f>_xlfn.XLOOKUP(E895,セットアップレポート_紐づけ用!A:A,セットアップレポート_紐づけ用!J:J)</f>
        <v>#N/A</v>
      </c>
      <c r="G895" s="3" t="e">
        <f>_xlfn.XLOOKUP(E895,セットアップレポート_紐づけ用!A:A,セットアップレポート_紐づけ用!V:V)</f>
        <v>#N/A</v>
      </c>
      <c r="H895" s="3">
        <f t="shared" si="55"/>
        <v>-2</v>
      </c>
      <c r="I895" t="str">
        <f>IF(J895=0,"",IF(配列!E895="",マクロ実行!$A$16 &amp;" T"&amp;H895&amp;"-"&amp;RIGHT(配列!D895&amp;配列!E895,2),マクロ実行!$A$16 &amp;" T"&amp;H895&amp;"-"&amp;RIGHT(配列!D895&amp;配列!E895,3)))</f>
        <v/>
      </c>
      <c r="J895">
        <f>配列!F855</f>
        <v>0</v>
      </c>
      <c r="K895" s="2" t="e">
        <f>_xlfn.XLOOKUP(E895,セットアップレポート_紐づけ用!A:A,セットアップレポート_紐づけ用!R:R)</f>
        <v>#N/A</v>
      </c>
      <c r="L895" t="e">
        <f t="shared" si="53"/>
        <v>#N/A</v>
      </c>
      <c r="M895" t="e">
        <f>_xlfn.XLOOKUP(L895,EGPro!A:A,EGPro!D:D)</f>
        <v>#N/A</v>
      </c>
      <c r="N895" t="e">
        <f>_xlfn.XLOOKUP(L895,EGPro!A:A,EGPro!C:C)</f>
        <v>#N/A</v>
      </c>
      <c r="O895" t="e">
        <f t="shared" si="54"/>
        <v>#N/A</v>
      </c>
      <c r="P895" t="e">
        <f>_xlfn.XLOOKUP(O895,EGPro!A:A,EGPro!D:D)</f>
        <v>#N/A</v>
      </c>
      <c r="Q895" t="e">
        <f>_xlfn.XLOOKUP(O895,EGPro!A:A,EGPro!C:C)</f>
        <v>#N/A</v>
      </c>
    </row>
    <row r="896" spans="1:17" x14ac:dyDescent="0.45">
      <c r="A896" s="3">
        <f>配列!B856</f>
        <v>0</v>
      </c>
      <c r="B896" s="3" t="e">
        <f>_xlfn.XLOOKUP(A896,対応表!A:A,対応表!B:B)</f>
        <v>#N/A</v>
      </c>
      <c r="C896" s="3">
        <f>配列!C856</f>
        <v>0</v>
      </c>
      <c r="D896" s="3" t="str">
        <f>IF(配列!E856="",RIGHT(配列!D856&amp;配列!E856,4)&amp;"L",RIGHT(配列!D856&amp;配列!E856,5))</f>
        <v>L</v>
      </c>
      <c r="E896" s="3">
        <f t="shared" si="52"/>
        <v>0</v>
      </c>
      <c r="F896" s="3" t="e">
        <f>_xlfn.XLOOKUP(E896,セットアップレポート_紐づけ用!A:A,セットアップレポート_紐づけ用!J:J)</f>
        <v>#N/A</v>
      </c>
      <c r="G896" s="3" t="e">
        <f>_xlfn.XLOOKUP(E896,セットアップレポート_紐づけ用!A:A,セットアップレポート_紐づけ用!V:V)</f>
        <v>#N/A</v>
      </c>
      <c r="H896" s="3">
        <f t="shared" si="55"/>
        <v>-2</v>
      </c>
      <c r="I896" t="str">
        <f>IF(J896=0,"",IF(配列!E896="",マクロ実行!$A$16 &amp;" T"&amp;H896&amp;"-"&amp;RIGHT(配列!D896&amp;配列!E896,2),マクロ実行!$A$16 &amp;" T"&amp;H896&amp;"-"&amp;RIGHT(配列!D896&amp;配列!E896,3)))</f>
        <v/>
      </c>
      <c r="J896">
        <f>配列!F856</f>
        <v>0</v>
      </c>
      <c r="K896" s="2" t="e">
        <f>_xlfn.XLOOKUP(E896,セットアップレポート_紐づけ用!A:A,セットアップレポート_紐づけ用!R:R)</f>
        <v>#N/A</v>
      </c>
      <c r="L896" t="e">
        <f t="shared" si="53"/>
        <v>#N/A</v>
      </c>
      <c r="M896" t="e">
        <f>_xlfn.XLOOKUP(L896,EGPro!A:A,EGPro!D:D)</f>
        <v>#N/A</v>
      </c>
      <c r="N896" t="e">
        <f>_xlfn.XLOOKUP(L896,EGPro!A:A,EGPro!C:C)</f>
        <v>#N/A</v>
      </c>
      <c r="O896" t="e">
        <f t="shared" si="54"/>
        <v>#N/A</v>
      </c>
      <c r="P896" t="e">
        <f>_xlfn.XLOOKUP(O896,EGPro!A:A,EGPro!D:D)</f>
        <v>#N/A</v>
      </c>
      <c r="Q896" t="e">
        <f>_xlfn.XLOOKUP(O896,EGPro!A:A,EGPro!C:C)</f>
        <v>#N/A</v>
      </c>
    </row>
    <row r="897" spans="1:17" x14ac:dyDescent="0.45">
      <c r="A897" s="3">
        <f>配列!B857</f>
        <v>0</v>
      </c>
      <c r="B897" s="3" t="e">
        <f>_xlfn.XLOOKUP(A897,対応表!A:A,対応表!B:B)</f>
        <v>#N/A</v>
      </c>
      <c r="C897" s="3">
        <f>配列!C857</f>
        <v>0</v>
      </c>
      <c r="D897" s="3" t="str">
        <f>IF(配列!E857="",RIGHT(配列!D857&amp;配列!E857,4)&amp;"L",RIGHT(配列!D857&amp;配列!E857,5))</f>
        <v>L</v>
      </c>
      <c r="E897" s="3">
        <f t="shared" si="52"/>
        <v>0</v>
      </c>
      <c r="F897" s="3" t="e">
        <f>_xlfn.XLOOKUP(E897,セットアップレポート_紐づけ用!A:A,セットアップレポート_紐づけ用!J:J)</f>
        <v>#N/A</v>
      </c>
      <c r="G897" s="3" t="e">
        <f>_xlfn.XLOOKUP(E897,セットアップレポート_紐づけ用!A:A,セットアップレポート_紐づけ用!V:V)</f>
        <v>#N/A</v>
      </c>
      <c r="H897" s="3">
        <f t="shared" si="55"/>
        <v>-2</v>
      </c>
      <c r="I897" t="str">
        <f>IF(J897=0,"",IF(配列!E897="",マクロ実行!$A$16 &amp;" T"&amp;H897&amp;"-"&amp;RIGHT(配列!D897&amp;配列!E897,2),マクロ実行!$A$16 &amp;" T"&amp;H897&amp;"-"&amp;RIGHT(配列!D897&amp;配列!E897,3)))</f>
        <v/>
      </c>
      <c r="J897">
        <f>配列!F857</f>
        <v>0</v>
      </c>
      <c r="K897" s="2" t="e">
        <f>_xlfn.XLOOKUP(E897,セットアップレポート_紐づけ用!A:A,セットアップレポート_紐づけ用!R:R)</f>
        <v>#N/A</v>
      </c>
      <c r="L897" t="e">
        <f t="shared" si="53"/>
        <v>#N/A</v>
      </c>
      <c r="M897" t="e">
        <f>_xlfn.XLOOKUP(L897,EGPro!A:A,EGPro!D:D)</f>
        <v>#N/A</v>
      </c>
      <c r="N897" t="e">
        <f>_xlfn.XLOOKUP(L897,EGPro!A:A,EGPro!C:C)</f>
        <v>#N/A</v>
      </c>
      <c r="O897" t="e">
        <f t="shared" si="54"/>
        <v>#N/A</v>
      </c>
      <c r="P897" t="e">
        <f>_xlfn.XLOOKUP(O897,EGPro!A:A,EGPro!D:D)</f>
        <v>#N/A</v>
      </c>
      <c r="Q897" t="e">
        <f>_xlfn.XLOOKUP(O897,EGPro!A:A,EGPro!C:C)</f>
        <v>#N/A</v>
      </c>
    </row>
    <row r="898" spans="1:17" x14ac:dyDescent="0.45">
      <c r="A898" s="3">
        <f>配列!B858</f>
        <v>0</v>
      </c>
      <c r="B898" s="3" t="e">
        <f>_xlfn.XLOOKUP(A898,対応表!A:A,対応表!B:B)</f>
        <v>#N/A</v>
      </c>
      <c r="C898" s="3">
        <f>配列!C858</f>
        <v>0</v>
      </c>
      <c r="D898" s="3" t="str">
        <f>IF(配列!E858="",RIGHT(配列!D858&amp;配列!E858,4)&amp;"L",RIGHT(配列!D858&amp;配列!E858,5))</f>
        <v>L</v>
      </c>
      <c r="E898" s="3">
        <f t="shared" ref="E898:E961" si="56">IF(J898=0,,B898&amp;D898&amp;J898)</f>
        <v>0</v>
      </c>
      <c r="F898" s="3" t="e">
        <f>_xlfn.XLOOKUP(E898,セットアップレポート_紐づけ用!A:A,セットアップレポート_紐づけ用!J:J)</f>
        <v>#N/A</v>
      </c>
      <c r="G898" s="3" t="e">
        <f>_xlfn.XLOOKUP(E898,セットアップレポート_紐づけ用!A:A,セットアップレポート_紐づけ用!V:V)</f>
        <v>#N/A</v>
      </c>
      <c r="H898" s="3">
        <f t="shared" si="55"/>
        <v>-2</v>
      </c>
      <c r="I898" t="str">
        <f>IF(J898=0,"",IF(配列!E898="",マクロ実行!$A$16 &amp;" T"&amp;H898&amp;"-"&amp;RIGHT(配列!D898&amp;配列!E898,2),マクロ実行!$A$16 &amp;" T"&amp;H898&amp;"-"&amp;RIGHT(配列!D898&amp;配列!E898,3)))</f>
        <v/>
      </c>
      <c r="J898">
        <f>配列!F858</f>
        <v>0</v>
      </c>
      <c r="K898" s="2" t="e">
        <f>_xlfn.XLOOKUP(E898,セットアップレポート_紐づけ用!A:A,セットアップレポート_紐づけ用!R:R)</f>
        <v>#N/A</v>
      </c>
      <c r="L898" t="e">
        <f t="shared" ref="L898:L962" si="57">IF(LEN(F898)=13,"    "&amp;F898,F898)</f>
        <v>#N/A</v>
      </c>
      <c r="M898" t="e">
        <f>_xlfn.XLOOKUP(L898,EGPro!A:A,EGPro!D:D)</f>
        <v>#N/A</v>
      </c>
      <c r="N898" t="e">
        <f>_xlfn.XLOOKUP(L898,EGPro!A:A,EGPro!C:C)</f>
        <v>#N/A</v>
      </c>
      <c r="O898" t="e">
        <f t="shared" ref="O898:O961" si="58">IF(LEN(G898)=13,"    "&amp;G898,G898)</f>
        <v>#N/A</v>
      </c>
      <c r="P898" t="e">
        <f>_xlfn.XLOOKUP(O898,EGPro!A:A,EGPro!D:D)</f>
        <v>#N/A</v>
      </c>
      <c r="Q898" t="e">
        <f>_xlfn.XLOOKUP(O898,EGPro!A:A,EGPro!C:C)</f>
        <v>#N/A</v>
      </c>
    </row>
    <row r="899" spans="1:17" x14ac:dyDescent="0.45">
      <c r="A899" s="3">
        <f>配列!B859</f>
        <v>0</v>
      </c>
      <c r="B899" s="3" t="e">
        <f>_xlfn.XLOOKUP(A899,対応表!A:A,対応表!B:B)</f>
        <v>#N/A</v>
      </c>
      <c r="C899" s="3">
        <f>配列!C859</f>
        <v>0</v>
      </c>
      <c r="D899" s="3" t="str">
        <f>IF(配列!E859="",RIGHT(配列!D859&amp;配列!E859,4)&amp;"L",RIGHT(配列!D859&amp;配列!E859,5))</f>
        <v>L</v>
      </c>
      <c r="E899" s="3">
        <f t="shared" si="56"/>
        <v>0</v>
      </c>
      <c r="F899" s="3" t="e">
        <f>_xlfn.XLOOKUP(E899,セットアップレポート_紐づけ用!A:A,セットアップレポート_紐づけ用!J:J)</f>
        <v>#N/A</v>
      </c>
      <c r="G899" s="3" t="e">
        <f>_xlfn.XLOOKUP(E899,セットアップレポート_紐づけ用!A:A,セットアップレポート_紐づけ用!V:V)</f>
        <v>#N/A</v>
      </c>
      <c r="H899" s="3">
        <f t="shared" ref="H899:H962" si="59">2*RIGHT(A899,1)-2+C899</f>
        <v>-2</v>
      </c>
      <c r="I899" t="str">
        <f>IF(J899=0,"",IF(配列!E899="",マクロ実行!$A$16 &amp;" T"&amp;H899&amp;"-"&amp;RIGHT(配列!D899&amp;配列!E899,2),マクロ実行!$A$16 &amp;" T"&amp;H899&amp;"-"&amp;RIGHT(配列!D899&amp;配列!E899,3)))</f>
        <v/>
      </c>
      <c r="J899">
        <f>配列!F859</f>
        <v>0</v>
      </c>
      <c r="K899" s="2" t="e">
        <f>_xlfn.XLOOKUP(E899,セットアップレポート_紐づけ用!A:A,セットアップレポート_紐づけ用!R:R)</f>
        <v>#N/A</v>
      </c>
      <c r="L899" t="e">
        <f t="shared" si="57"/>
        <v>#N/A</v>
      </c>
      <c r="M899" t="e">
        <f>_xlfn.XLOOKUP(L899,EGPro!A:A,EGPro!D:D)</f>
        <v>#N/A</v>
      </c>
      <c r="N899" t="e">
        <f>_xlfn.XLOOKUP(L899,EGPro!A:A,EGPro!C:C)</f>
        <v>#N/A</v>
      </c>
      <c r="O899" t="e">
        <f t="shared" si="58"/>
        <v>#N/A</v>
      </c>
      <c r="P899" t="e">
        <f>_xlfn.XLOOKUP(O899,EGPro!A:A,EGPro!D:D)</f>
        <v>#N/A</v>
      </c>
      <c r="Q899" t="e">
        <f>_xlfn.XLOOKUP(O899,EGPro!A:A,EGPro!C:C)</f>
        <v>#N/A</v>
      </c>
    </row>
    <row r="900" spans="1:17" x14ac:dyDescent="0.45">
      <c r="A900" s="3">
        <f>配列!B860</f>
        <v>0</v>
      </c>
      <c r="B900" s="3" t="e">
        <f>_xlfn.XLOOKUP(A900,対応表!A:A,対応表!B:B)</f>
        <v>#N/A</v>
      </c>
      <c r="C900" s="3">
        <f>配列!C860</f>
        <v>0</v>
      </c>
      <c r="D900" s="3" t="str">
        <f>IF(配列!E860="",RIGHT(配列!D860&amp;配列!E860,4)&amp;"L",RIGHT(配列!D860&amp;配列!E860,5))</f>
        <v>L</v>
      </c>
      <c r="E900" s="3">
        <f t="shared" si="56"/>
        <v>0</v>
      </c>
      <c r="F900" s="3" t="e">
        <f>_xlfn.XLOOKUP(E900,セットアップレポート_紐づけ用!A:A,セットアップレポート_紐づけ用!J:J)</f>
        <v>#N/A</v>
      </c>
      <c r="G900" s="3" t="e">
        <f>_xlfn.XLOOKUP(E900,セットアップレポート_紐づけ用!A:A,セットアップレポート_紐づけ用!V:V)</f>
        <v>#N/A</v>
      </c>
      <c r="H900" s="3">
        <f t="shared" si="59"/>
        <v>-2</v>
      </c>
      <c r="I900" t="str">
        <f>IF(J900=0,"",IF(配列!E900="",マクロ実行!$A$16 &amp;" T"&amp;H900&amp;"-"&amp;RIGHT(配列!D900&amp;配列!E900,2),マクロ実行!$A$16 &amp;" T"&amp;H900&amp;"-"&amp;RIGHT(配列!D900&amp;配列!E900,3)))</f>
        <v/>
      </c>
      <c r="J900">
        <f>配列!F860</f>
        <v>0</v>
      </c>
      <c r="K900" s="2" t="e">
        <f>_xlfn.XLOOKUP(E900,セットアップレポート_紐づけ用!A:A,セットアップレポート_紐づけ用!R:R)</f>
        <v>#N/A</v>
      </c>
      <c r="L900" t="e">
        <f t="shared" si="57"/>
        <v>#N/A</v>
      </c>
      <c r="M900" t="e">
        <f>_xlfn.XLOOKUP(L900,EGPro!A:A,EGPro!D:D)</f>
        <v>#N/A</v>
      </c>
      <c r="N900" t="e">
        <f>_xlfn.XLOOKUP(L900,EGPro!A:A,EGPro!C:C)</f>
        <v>#N/A</v>
      </c>
      <c r="O900" t="e">
        <f t="shared" si="58"/>
        <v>#N/A</v>
      </c>
      <c r="P900" t="e">
        <f>_xlfn.XLOOKUP(O900,EGPro!A:A,EGPro!D:D)</f>
        <v>#N/A</v>
      </c>
      <c r="Q900" t="e">
        <f>_xlfn.XLOOKUP(O900,EGPro!A:A,EGPro!C:C)</f>
        <v>#N/A</v>
      </c>
    </row>
    <row r="901" spans="1:17" x14ac:dyDescent="0.45">
      <c r="A901" s="3">
        <f>配列!B861</f>
        <v>0</v>
      </c>
      <c r="B901" s="3" t="e">
        <f>_xlfn.XLOOKUP(A901,対応表!A:A,対応表!B:B)</f>
        <v>#N/A</v>
      </c>
      <c r="C901" s="3">
        <f>配列!C861</f>
        <v>0</v>
      </c>
      <c r="D901" s="3" t="str">
        <f>IF(配列!E861="",RIGHT(配列!D861&amp;配列!E861,4)&amp;"L",RIGHT(配列!D861&amp;配列!E861,5))</f>
        <v>L</v>
      </c>
      <c r="E901" s="3">
        <f t="shared" si="56"/>
        <v>0</v>
      </c>
      <c r="F901" s="3" t="e">
        <f>_xlfn.XLOOKUP(E901,セットアップレポート_紐づけ用!A:A,セットアップレポート_紐づけ用!J:J)</f>
        <v>#N/A</v>
      </c>
      <c r="G901" s="3" t="e">
        <f>_xlfn.XLOOKUP(E901,セットアップレポート_紐づけ用!A:A,セットアップレポート_紐づけ用!V:V)</f>
        <v>#N/A</v>
      </c>
      <c r="H901" s="3">
        <f t="shared" si="59"/>
        <v>-2</v>
      </c>
      <c r="I901" t="str">
        <f>IF(J901=0,"",IF(配列!E901="",マクロ実行!$A$16 &amp;" T"&amp;H901&amp;"-"&amp;RIGHT(配列!D901&amp;配列!E901,2),マクロ実行!$A$16 &amp;" T"&amp;H901&amp;"-"&amp;RIGHT(配列!D901&amp;配列!E901,3)))</f>
        <v/>
      </c>
      <c r="J901">
        <f>配列!F861</f>
        <v>0</v>
      </c>
      <c r="K901" s="2" t="e">
        <f>_xlfn.XLOOKUP(E901,セットアップレポート_紐づけ用!A:A,セットアップレポート_紐づけ用!R:R)</f>
        <v>#N/A</v>
      </c>
      <c r="L901" t="e">
        <f t="shared" si="57"/>
        <v>#N/A</v>
      </c>
      <c r="M901" t="e">
        <f>_xlfn.XLOOKUP(L901,EGPro!A:A,EGPro!D:D)</f>
        <v>#N/A</v>
      </c>
      <c r="N901" t="e">
        <f>_xlfn.XLOOKUP(L901,EGPro!A:A,EGPro!C:C)</f>
        <v>#N/A</v>
      </c>
      <c r="O901" t="e">
        <f t="shared" si="58"/>
        <v>#N/A</v>
      </c>
      <c r="P901" t="e">
        <f>_xlfn.XLOOKUP(O901,EGPro!A:A,EGPro!D:D)</f>
        <v>#N/A</v>
      </c>
      <c r="Q901" t="e">
        <f>_xlfn.XLOOKUP(O901,EGPro!A:A,EGPro!C:C)</f>
        <v>#N/A</v>
      </c>
    </row>
    <row r="902" spans="1:17" x14ac:dyDescent="0.45">
      <c r="A902" s="3">
        <f>配列!B862</f>
        <v>0</v>
      </c>
      <c r="B902" s="3" t="e">
        <f>_xlfn.XLOOKUP(A902,対応表!A:A,対応表!B:B)</f>
        <v>#N/A</v>
      </c>
      <c r="C902" s="3">
        <f>配列!C862</f>
        <v>0</v>
      </c>
      <c r="D902" s="3" t="str">
        <f>IF(配列!E862="",RIGHT(配列!D862&amp;配列!E862,4)&amp;"L",RIGHT(配列!D862&amp;配列!E862,5))</f>
        <v>L</v>
      </c>
      <c r="E902" s="3">
        <f t="shared" si="56"/>
        <v>0</v>
      </c>
      <c r="F902" s="3" t="e">
        <f>_xlfn.XLOOKUP(E902,セットアップレポート_紐づけ用!A:A,セットアップレポート_紐づけ用!J:J)</f>
        <v>#N/A</v>
      </c>
      <c r="G902" s="3" t="e">
        <f>_xlfn.XLOOKUP(E902,セットアップレポート_紐づけ用!A:A,セットアップレポート_紐づけ用!V:V)</f>
        <v>#N/A</v>
      </c>
      <c r="H902" s="3">
        <f t="shared" si="59"/>
        <v>-2</v>
      </c>
      <c r="I902" t="str">
        <f>IF(J902=0,"",IF(配列!E902="",マクロ実行!$A$16 &amp;" T"&amp;H902&amp;"-"&amp;RIGHT(配列!D902&amp;配列!E902,2),マクロ実行!$A$16 &amp;" T"&amp;H902&amp;"-"&amp;RIGHT(配列!D902&amp;配列!E902,3)))</f>
        <v/>
      </c>
      <c r="J902">
        <f>配列!F862</f>
        <v>0</v>
      </c>
      <c r="K902" s="2" t="e">
        <f>_xlfn.XLOOKUP(E902,セットアップレポート_紐づけ用!A:A,セットアップレポート_紐づけ用!R:R)</f>
        <v>#N/A</v>
      </c>
      <c r="L902" t="e">
        <f t="shared" si="57"/>
        <v>#N/A</v>
      </c>
      <c r="M902" t="e">
        <f>_xlfn.XLOOKUP(L902,EGPro!A:A,EGPro!D:D)</f>
        <v>#N/A</v>
      </c>
      <c r="N902" t="e">
        <f>_xlfn.XLOOKUP(L902,EGPro!A:A,EGPro!C:C)</f>
        <v>#N/A</v>
      </c>
      <c r="O902" t="e">
        <f t="shared" si="58"/>
        <v>#N/A</v>
      </c>
      <c r="P902" t="e">
        <f>_xlfn.XLOOKUP(O902,EGPro!A:A,EGPro!D:D)</f>
        <v>#N/A</v>
      </c>
      <c r="Q902" t="e">
        <f>_xlfn.XLOOKUP(O902,EGPro!A:A,EGPro!C:C)</f>
        <v>#N/A</v>
      </c>
    </row>
    <row r="903" spans="1:17" x14ac:dyDescent="0.45">
      <c r="A903" s="3">
        <f>配列!B863</f>
        <v>0</v>
      </c>
      <c r="B903" s="3" t="e">
        <f>_xlfn.XLOOKUP(A903,対応表!A:A,対応表!B:B)</f>
        <v>#N/A</v>
      </c>
      <c r="C903" s="3">
        <f>配列!C863</f>
        <v>0</v>
      </c>
      <c r="D903" s="3" t="str">
        <f>IF(配列!E863="",RIGHT(配列!D863&amp;配列!E863,4)&amp;"L",RIGHT(配列!D863&amp;配列!E863,5))</f>
        <v>L</v>
      </c>
      <c r="E903" s="3">
        <f t="shared" si="56"/>
        <v>0</v>
      </c>
      <c r="F903" s="3" t="e">
        <f>_xlfn.XLOOKUP(E903,セットアップレポート_紐づけ用!A:A,セットアップレポート_紐づけ用!J:J)</f>
        <v>#N/A</v>
      </c>
      <c r="G903" s="3" t="e">
        <f>_xlfn.XLOOKUP(E903,セットアップレポート_紐づけ用!A:A,セットアップレポート_紐づけ用!V:V)</f>
        <v>#N/A</v>
      </c>
      <c r="H903" s="3">
        <f t="shared" si="59"/>
        <v>-2</v>
      </c>
      <c r="I903" t="str">
        <f>IF(J903=0,"",IF(配列!E903="",マクロ実行!$A$16 &amp;" T"&amp;H903&amp;"-"&amp;RIGHT(配列!D903&amp;配列!E903,2),マクロ実行!$A$16 &amp;" T"&amp;H903&amp;"-"&amp;RIGHT(配列!D903&amp;配列!E903,3)))</f>
        <v/>
      </c>
      <c r="J903">
        <f>配列!F863</f>
        <v>0</v>
      </c>
      <c r="K903" s="2" t="e">
        <f>_xlfn.XLOOKUP(E903,セットアップレポート_紐づけ用!A:A,セットアップレポート_紐づけ用!R:R)</f>
        <v>#N/A</v>
      </c>
      <c r="L903" t="e">
        <f t="shared" si="57"/>
        <v>#N/A</v>
      </c>
      <c r="M903" t="e">
        <f>_xlfn.XLOOKUP(L903,EGPro!A:A,EGPro!D:D)</f>
        <v>#N/A</v>
      </c>
      <c r="N903" t="e">
        <f>_xlfn.XLOOKUP(L903,EGPro!A:A,EGPro!C:C)</f>
        <v>#N/A</v>
      </c>
      <c r="O903" t="e">
        <f t="shared" si="58"/>
        <v>#N/A</v>
      </c>
      <c r="P903" t="e">
        <f>_xlfn.XLOOKUP(O903,EGPro!A:A,EGPro!D:D)</f>
        <v>#N/A</v>
      </c>
      <c r="Q903" t="e">
        <f>_xlfn.XLOOKUP(O903,EGPro!A:A,EGPro!C:C)</f>
        <v>#N/A</v>
      </c>
    </row>
    <row r="904" spans="1:17" x14ac:dyDescent="0.45">
      <c r="A904" s="3">
        <f>配列!B864</f>
        <v>0</v>
      </c>
      <c r="B904" s="3" t="e">
        <f>_xlfn.XLOOKUP(A904,対応表!A:A,対応表!B:B)</f>
        <v>#N/A</v>
      </c>
      <c r="C904" s="3">
        <f>配列!C864</f>
        <v>0</v>
      </c>
      <c r="D904" s="3" t="str">
        <f>IF(配列!E864="",RIGHT(配列!D864&amp;配列!E864,4)&amp;"L",RIGHT(配列!D864&amp;配列!E864,5))</f>
        <v>L</v>
      </c>
      <c r="E904" s="3">
        <f t="shared" si="56"/>
        <v>0</v>
      </c>
      <c r="F904" s="3" t="e">
        <f>_xlfn.XLOOKUP(E904,セットアップレポート_紐づけ用!A:A,セットアップレポート_紐づけ用!J:J)</f>
        <v>#N/A</v>
      </c>
      <c r="G904" s="3" t="e">
        <f>_xlfn.XLOOKUP(E904,セットアップレポート_紐づけ用!A:A,セットアップレポート_紐づけ用!V:V)</f>
        <v>#N/A</v>
      </c>
      <c r="H904" s="3">
        <f t="shared" si="59"/>
        <v>-2</v>
      </c>
      <c r="I904" t="str">
        <f>IF(J904=0,"",IF(配列!E904="",マクロ実行!$A$16 &amp;" T"&amp;H904&amp;"-"&amp;RIGHT(配列!D904&amp;配列!E904,2),マクロ実行!$A$16 &amp;" T"&amp;H904&amp;"-"&amp;RIGHT(配列!D904&amp;配列!E904,3)))</f>
        <v/>
      </c>
      <c r="J904">
        <f>配列!F864</f>
        <v>0</v>
      </c>
      <c r="K904" s="2" t="e">
        <f>_xlfn.XLOOKUP(E904,セットアップレポート_紐づけ用!A:A,セットアップレポート_紐づけ用!R:R)</f>
        <v>#N/A</v>
      </c>
      <c r="L904" t="e">
        <f t="shared" si="57"/>
        <v>#N/A</v>
      </c>
      <c r="M904" t="e">
        <f>_xlfn.XLOOKUP(L904,EGPro!A:A,EGPro!D:D)</f>
        <v>#N/A</v>
      </c>
      <c r="N904" t="e">
        <f>_xlfn.XLOOKUP(L904,EGPro!A:A,EGPro!C:C)</f>
        <v>#N/A</v>
      </c>
      <c r="O904" t="e">
        <f t="shared" si="58"/>
        <v>#N/A</v>
      </c>
      <c r="P904" t="e">
        <f>_xlfn.XLOOKUP(O904,EGPro!A:A,EGPro!D:D)</f>
        <v>#N/A</v>
      </c>
      <c r="Q904" t="e">
        <f>_xlfn.XLOOKUP(O904,EGPro!A:A,EGPro!C:C)</f>
        <v>#N/A</v>
      </c>
    </row>
    <row r="905" spans="1:17" x14ac:dyDescent="0.45">
      <c r="A905" s="3">
        <f>配列!B865</f>
        <v>0</v>
      </c>
      <c r="B905" s="3" t="e">
        <f>_xlfn.XLOOKUP(A905,対応表!A:A,対応表!B:B)</f>
        <v>#N/A</v>
      </c>
      <c r="C905" s="3">
        <f>配列!C865</f>
        <v>0</v>
      </c>
      <c r="D905" s="3" t="str">
        <f>IF(配列!E865="",RIGHT(配列!D865&amp;配列!E865,4)&amp;"L",RIGHT(配列!D865&amp;配列!E865,5))</f>
        <v>L</v>
      </c>
      <c r="E905" s="3">
        <f t="shared" si="56"/>
        <v>0</v>
      </c>
      <c r="F905" s="3" t="e">
        <f>_xlfn.XLOOKUP(E905,セットアップレポート_紐づけ用!A:A,セットアップレポート_紐づけ用!J:J)</f>
        <v>#N/A</v>
      </c>
      <c r="G905" s="3" t="e">
        <f>_xlfn.XLOOKUP(E905,セットアップレポート_紐づけ用!A:A,セットアップレポート_紐づけ用!V:V)</f>
        <v>#N/A</v>
      </c>
      <c r="H905" s="3">
        <f t="shared" si="59"/>
        <v>-2</v>
      </c>
      <c r="I905" t="str">
        <f>IF(J905=0,"",IF(配列!E905="",マクロ実行!$A$16 &amp;" T"&amp;H905&amp;"-"&amp;RIGHT(配列!D905&amp;配列!E905,2),マクロ実行!$A$16 &amp;" T"&amp;H905&amp;"-"&amp;RIGHT(配列!D905&amp;配列!E905,3)))</f>
        <v/>
      </c>
      <c r="J905">
        <f>配列!F865</f>
        <v>0</v>
      </c>
      <c r="K905" s="2" t="e">
        <f>_xlfn.XLOOKUP(E905,セットアップレポート_紐づけ用!A:A,セットアップレポート_紐づけ用!R:R)</f>
        <v>#N/A</v>
      </c>
      <c r="L905" t="e">
        <f t="shared" si="57"/>
        <v>#N/A</v>
      </c>
      <c r="M905" t="e">
        <f>_xlfn.XLOOKUP(L905,EGPro!A:A,EGPro!D:D)</f>
        <v>#N/A</v>
      </c>
      <c r="N905" t="e">
        <f>_xlfn.XLOOKUP(L905,EGPro!A:A,EGPro!C:C)</f>
        <v>#N/A</v>
      </c>
      <c r="O905" t="e">
        <f t="shared" si="58"/>
        <v>#N/A</v>
      </c>
      <c r="P905" t="e">
        <f>_xlfn.XLOOKUP(O905,EGPro!A:A,EGPro!D:D)</f>
        <v>#N/A</v>
      </c>
      <c r="Q905" t="e">
        <f>_xlfn.XLOOKUP(O905,EGPro!A:A,EGPro!C:C)</f>
        <v>#N/A</v>
      </c>
    </row>
    <row r="906" spans="1:17" x14ac:dyDescent="0.45">
      <c r="A906" s="3">
        <f>配列!B866</f>
        <v>0</v>
      </c>
      <c r="B906" s="3" t="e">
        <f>_xlfn.XLOOKUP(A906,対応表!A:A,対応表!B:B)</f>
        <v>#N/A</v>
      </c>
      <c r="C906" s="3">
        <f>配列!C866</f>
        <v>0</v>
      </c>
      <c r="D906" s="3" t="str">
        <f>IF(配列!E866="",RIGHT(配列!D866&amp;配列!E866,4)&amp;"L",RIGHT(配列!D866&amp;配列!E866,5))</f>
        <v>L</v>
      </c>
      <c r="E906" s="3">
        <f t="shared" si="56"/>
        <v>0</v>
      </c>
      <c r="F906" s="3" t="e">
        <f>_xlfn.XLOOKUP(E906,セットアップレポート_紐づけ用!A:A,セットアップレポート_紐づけ用!J:J)</f>
        <v>#N/A</v>
      </c>
      <c r="G906" s="3" t="e">
        <f>_xlfn.XLOOKUP(E906,セットアップレポート_紐づけ用!A:A,セットアップレポート_紐づけ用!V:V)</f>
        <v>#N/A</v>
      </c>
      <c r="H906" s="3">
        <f t="shared" si="59"/>
        <v>-2</v>
      </c>
      <c r="I906" t="str">
        <f>IF(J906=0,"",IF(配列!E906="",マクロ実行!$A$16 &amp;" T"&amp;H906&amp;"-"&amp;RIGHT(配列!D906&amp;配列!E906,2),マクロ実行!$A$16 &amp;" T"&amp;H906&amp;"-"&amp;RIGHT(配列!D906&amp;配列!E906,3)))</f>
        <v/>
      </c>
      <c r="J906">
        <f>配列!F866</f>
        <v>0</v>
      </c>
      <c r="K906" s="2" t="e">
        <f>_xlfn.XLOOKUP(E906,セットアップレポート_紐づけ用!A:A,セットアップレポート_紐づけ用!R:R)</f>
        <v>#N/A</v>
      </c>
      <c r="L906" t="e">
        <f t="shared" si="57"/>
        <v>#N/A</v>
      </c>
      <c r="M906" t="e">
        <f>_xlfn.XLOOKUP(L906,EGPro!A:A,EGPro!D:D)</f>
        <v>#N/A</v>
      </c>
      <c r="N906" t="e">
        <f>_xlfn.XLOOKUP(L906,EGPro!A:A,EGPro!C:C)</f>
        <v>#N/A</v>
      </c>
      <c r="O906" t="e">
        <f t="shared" si="58"/>
        <v>#N/A</v>
      </c>
      <c r="P906" t="e">
        <f>_xlfn.XLOOKUP(O906,EGPro!A:A,EGPro!D:D)</f>
        <v>#N/A</v>
      </c>
      <c r="Q906" t="e">
        <f>_xlfn.XLOOKUP(O906,EGPro!A:A,EGPro!C:C)</f>
        <v>#N/A</v>
      </c>
    </row>
    <row r="907" spans="1:17" x14ac:dyDescent="0.45">
      <c r="A907" s="3">
        <f>配列!B867</f>
        <v>0</v>
      </c>
      <c r="B907" s="3" t="e">
        <f>_xlfn.XLOOKUP(A907,対応表!A:A,対応表!B:B)</f>
        <v>#N/A</v>
      </c>
      <c r="C907" s="3">
        <f>配列!C867</f>
        <v>0</v>
      </c>
      <c r="D907" s="3" t="str">
        <f>IF(配列!E867="",RIGHT(配列!D867&amp;配列!E867,4)&amp;"L",RIGHT(配列!D867&amp;配列!E867,5))</f>
        <v>L</v>
      </c>
      <c r="E907" s="3">
        <f t="shared" si="56"/>
        <v>0</v>
      </c>
      <c r="F907" s="3" t="e">
        <f>_xlfn.XLOOKUP(E907,セットアップレポート_紐づけ用!A:A,セットアップレポート_紐づけ用!J:J)</f>
        <v>#N/A</v>
      </c>
      <c r="G907" s="3" t="e">
        <f>_xlfn.XLOOKUP(E907,セットアップレポート_紐づけ用!A:A,セットアップレポート_紐づけ用!V:V)</f>
        <v>#N/A</v>
      </c>
      <c r="H907" s="3">
        <f t="shared" si="59"/>
        <v>-2</v>
      </c>
      <c r="I907" t="str">
        <f>IF(J907=0,"",IF(配列!E907="",マクロ実行!$A$16 &amp;" T"&amp;H907&amp;"-"&amp;RIGHT(配列!D907&amp;配列!E907,2),マクロ実行!$A$16 &amp;" T"&amp;H907&amp;"-"&amp;RIGHT(配列!D907&amp;配列!E907,3)))</f>
        <v/>
      </c>
      <c r="J907">
        <f>配列!F867</f>
        <v>0</v>
      </c>
      <c r="K907" s="2" t="e">
        <f>_xlfn.XLOOKUP(E907,セットアップレポート_紐づけ用!A:A,セットアップレポート_紐づけ用!R:R)</f>
        <v>#N/A</v>
      </c>
      <c r="L907" t="e">
        <f t="shared" si="57"/>
        <v>#N/A</v>
      </c>
      <c r="M907" t="e">
        <f>_xlfn.XLOOKUP(L907,EGPro!A:A,EGPro!D:D)</f>
        <v>#N/A</v>
      </c>
      <c r="N907" t="e">
        <f>_xlfn.XLOOKUP(L907,EGPro!A:A,EGPro!C:C)</f>
        <v>#N/A</v>
      </c>
      <c r="O907" t="e">
        <f t="shared" si="58"/>
        <v>#N/A</v>
      </c>
      <c r="P907" t="e">
        <f>_xlfn.XLOOKUP(O907,EGPro!A:A,EGPro!D:D)</f>
        <v>#N/A</v>
      </c>
      <c r="Q907" t="e">
        <f>_xlfn.XLOOKUP(O907,EGPro!A:A,EGPro!C:C)</f>
        <v>#N/A</v>
      </c>
    </row>
    <row r="908" spans="1:17" x14ac:dyDescent="0.45">
      <c r="A908" s="3">
        <f>配列!B868</f>
        <v>0</v>
      </c>
      <c r="B908" s="3" t="e">
        <f>_xlfn.XLOOKUP(A908,対応表!A:A,対応表!B:B)</f>
        <v>#N/A</v>
      </c>
      <c r="C908" s="3">
        <f>配列!C868</f>
        <v>0</v>
      </c>
      <c r="D908" s="3" t="str">
        <f>IF(配列!E868="",RIGHT(配列!D868&amp;配列!E868,4)&amp;"L",RIGHT(配列!D868&amp;配列!E868,5))</f>
        <v>L</v>
      </c>
      <c r="E908" s="3">
        <f t="shared" si="56"/>
        <v>0</v>
      </c>
      <c r="F908" s="3" t="e">
        <f>_xlfn.XLOOKUP(E908,セットアップレポート_紐づけ用!A:A,セットアップレポート_紐づけ用!J:J)</f>
        <v>#N/A</v>
      </c>
      <c r="G908" s="3" t="e">
        <f>_xlfn.XLOOKUP(E908,セットアップレポート_紐づけ用!A:A,セットアップレポート_紐づけ用!V:V)</f>
        <v>#N/A</v>
      </c>
      <c r="H908" s="3">
        <f t="shared" si="59"/>
        <v>-2</v>
      </c>
      <c r="I908" t="str">
        <f>IF(J908=0,"",IF(配列!E908="",マクロ実行!$A$16 &amp;" T"&amp;H908&amp;"-"&amp;RIGHT(配列!D908&amp;配列!E908,2),マクロ実行!$A$16 &amp;" T"&amp;H908&amp;"-"&amp;RIGHT(配列!D908&amp;配列!E908,3)))</f>
        <v/>
      </c>
      <c r="J908">
        <f>配列!F868</f>
        <v>0</v>
      </c>
      <c r="K908" s="2" t="e">
        <f>_xlfn.XLOOKUP(E908,セットアップレポート_紐づけ用!A:A,セットアップレポート_紐づけ用!R:R)</f>
        <v>#N/A</v>
      </c>
      <c r="L908" t="e">
        <f t="shared" si="57"/>
        <v>#N/A</v>
      </c>
      <c r="M908" t="e">
        <f>_xlfn.XLOOKUP(L908,EGPro!A:A,EGPro!D:D)</f>
        <v>#N/A</v>
      </c>
      <c r="N908" t="e">
        <f>_xlfn.XLOOKUP(L908,EGPro!A:A,EGPro!C:C)</f>
        <v>#N/A</v>
      </c>
      <c r="O908" t="e">
        <f t="shared" si="58"/>
        <v>#N/A</v>
      </c>
      <c r="P908" t="e">
        <f>_xlfn.XLOOKUP(O908,EGPro!A:A,EGPro!D:D)</f>
        <v>#N/A</v>
      </c>
      <c r="Q908" t="e">
        <f>_xlfn.XLOOKUP(O908,EGPro!A:A,EGPro!C:C)</f>
        <v>#N/A</v>
      </c>
    </row>
    <row r="909" spans="1:17" x14ac:dyDescent="0.45">
      <c r="A909" s="3">
        <f>配列!B869</f>
        <v>0</v>
      </c>
      <c r="B909" s="3" t="e">
        <f>_xlfn.XLOOKUP(A909,対応表!A:A,対応表!B:B)</f>
        <v>#N/A</v>
      </c>
      <c r="C909" s="3">
        <f>配列!C869</f>
        <v>0</v>
      </c>
      <c r="D909" s="3" t="str">
        <f>IF(配列!E869="",RIGHT(配列!D869&amp;配列!E869,4)&amp;"L",RIGHT(配列!D869&amp;配列!E869,5))</f>
        <v>L</v>
      </c>
      <c r="E909" s="3">
        <f t="shared" si="56"/>
        <v>0</v>
      </c>
      <c r="F909" s="3" t="e">
        <f>_xlfn.XLOOKUP(E909,セットアップレポート_紐づけ用!A:A,セットアップレポート_紐づけ用!J:J)</f>
        <v>#N/A</v>
      </c>
      <c r="G909" s="3" t="e">
        <f>_xlfn.XLOOKUP(E909,セットアップレポート_紐づけ用!A:A,セットアップレポート_紐づけ用!V:V)</f>
        <v>#N/A</v>
      </c>
      <c r="H909" s="3">
        <f t="shared" si="59"/>
        <v>-2</v>
      </c>
      <c r="I909" t="str">
        <f>IF(J909=0,"",IF(配列!E909="",マクロ実行!$A$16 &amp;" T"&amp;H909&amp;"-"&amp;RIGHT(配列!D909&amp;配列!E909,2),マクロ実行!$A$16 &amp;" T"&amp;H909&amp;"-"&amp;RIGHT(配列!D909&amp;配列!E909,3)))</f>
        <v/>
      </c>
      <c r="J909">
        <f>配列!F869</f>
        <v>0</v>
      </c>
      <c r="K909" s="2" t="e">
        <f>_xlfn.XLOOKUP(E909,セットアップレポート_紐づけ用!A:A,セットアップレポート_紐づけ用!R:R)</f>
        <v>#N/A</v>
      </c>
      <c r="L909" t="e">
        <f t="shared" si="57"/>
        <v>#N/A</v>
      </c>
      <c r="M909" t="e">
        <f>_xlfn.XLOOKUP(L909,EGPro!A:A,EGPro!D:D)</f>
        <v>#N/A</v>
      </c>
      <c r="N909" t="e">
        <f>_xlfn.XLOOKUP(L909,EGPro!A:A,EGPro!C:C)</f>
        <v>#N/A</v>
      </c>
      <c r="O909" t="e">
        <f t="shared" si="58"/>
        <v>#N/A</v>
      </c>
      <c r="P909" t="e">
        <f>_xlfn.XLOOKUP(O909,EGPro!A:A,EGPro!D:D)</f>
        <v>#N/A</v>
      </c>
      <c r="Q909" t="e">
        <f>_xlfn.XLOOKUP(O909,EGPro!A:A,EGPro!C:C)</f>
        <v>#N/A</v>
      </c>
    </row>
    <row r="910" spans="1:17" x14ac:dyDescent="0.45">
      <c r="A910" s="3">
        <f>配列!B870</f>
        <v>0</v>
      </c>
      <c r="B910" s="3" t="e">
        <f>_xlfn.XLOOKUP(A910,対応表!A:A,対応表!B:B)</f>
        <v>#N/A</v>
      </c>
      <c r="C910" s="3">
        <f>配列!C870</f>
        <v>0</v>
      </c>
      <c r="D910" s="3" t="str">
        <f>IF(配列!E870="",RIGHT(配列!D870&amp;配列!E870,4)&amp;"L",RIGHT(配列!D870&amp;配列!E870,5))</f>
        <v>L</v>
      </c>
      <c r="E910" s="3">
        <f t="shared" si="56"/>
        <v>0</v>
      </c>
      <c r="F910" s="3" t="e">
        <f>_xlfn.XLOOKUP(E910,セットアップレポート_紐づけ用!A:A,セットアップレポート_紐づけ用!J:J)</f>
        <v>#N/A</v>
      </c>
      <c r="G910" s="3" t="e">
        <f>_xlfn.XLOOKUP(E910,セットアップレポート_紐づけ用!A:A,セットアップレポート_紐づけ用!V:V)</f>
        <v>#N/A</v>
      </c>
      <c r="H910" s="3">
        <f t="shared" si="59"/>
        <v>-2</v>
      </c>
      <c r="I910" t="str">
        <f>IF(J910=0,"",IF(配列!E910="",マクロ実行!$A$16 &amp;" T"&amp;H910&amp;"-"&amp;RIGHT(配列!D910&amp;配列!E910,2),マクロ実行!$A$16 &amp;" T"&amp;H910&amp;"-"&amp;RIGHT(配列!D910&amp;配列!E910,3)))</f>
        <v/>
      </c>
      <c r="J910">
        <f>配列!F870</f>
        <v>0</v>
      </c>
      <c r="K910" s="2" t="e">
        <f>_xlfn.XLOOKUP(E910,セットアップレポート_紐づけ用!A:A,セットアップレポート_紐づけ用!R:R)</f>
        <v>#N/A</v>
      </c>
      <c r="L910" t="e">
        <f t="shared" si="57"/>
        <v>#N/A</v>
      </c>
      <c r="M910" t="e">
        <f>_xlfn.XLOOKUP(L910,EGPro!A:A,EGPro!D:D)</f>
        <v>#N/A</v>
      </c>
      <c r="N910" t="e">
        <f>_xlfn.XLOOKUP(L910,EGPro!A:A,EGPro!C:C)</f>
        <v>#N/A</v>
      </c>
      <c r="O910" t="e">
        <f t="shared" si="58"/>
        <v>#N/A</v>
      </c>
      <c r="P910" t="e">
        <f>_xlfn.XLOOKUP(O910,EGPro!A:A,EGPro!D:D)</f>
        <v>#N/A</v>
      </c>
      <c r="Q910" t="e">
        <f>_xlfn.XLOOKUP(O910,EGPro!A:A,EGPro!C:C)</f>
        <v>#N/A</v>
      </c>
    </row>
    <row r="911" spans="1:17" x14ac:dyDescent="0.45">
      <c r="A911" s="3">
        <f>配列!B871</f>
        <v>0</v>
      </c>
      <c r="B911" s="3" t="e">
        <f>_xlfn.XLOOKUP(A911,対応表!A:A,対応表!B:B)</f>
        <v>#N/A</v>
      </c>
      <c r="C911" s="3">
        <f>配列!C871</f>
        <v>0</v>
      </c>
      <c r="D911" s="3" t="str">
        <f>IF(配列!E871="",RIGHT(配列!D871&amp;配列!E871,4)&amp;"L",RIGHT(配列!D871&amp;配列!E871,5))</f>
        <v>L</v>
      </c>
      <c r="E911" s="3">
        <f t="shared" si="56"/>
        <v>0</v>
      </c>
      <c r="F911" s="3" t="e">
        <f>_xlfn.XLOOKUP(E911,セットアップレポート_紐づけ用!A:A,セットアップレポート_紐づけ用!J:J)</f>
        <v>#N/A</v>
      </c>
      <c r="G911" s="3" t="e">
        <f>_xlfn.XLOOKUP(E911,セットアップレポート_紐づけ用!A:A,セットアップレポート_紐づけ用!V:V)</f>
        <v>#N/A</v>
      </c>
      <c r="H911" s="3">
        <f t="shared" si="59"/>
        <v>-2</v>
      </c>
      <c r="I911" t="str">
        <f>IF(J911=0,"",IF(配列!E911="",マクロ実行!$A$16 &amp;" T"&amp;H911&amp;"-"&amp;RIGHT(配列!D911&amp;配列!E911,2),マクロ実行!$A$16 &amp;" T"&amp;H911&amp;"-"&amp;RIGHT(配列!D911&amp;配列!E911,3)))</f>
        <v/>
      </c>
      <c r="J911">
        <f>配列!F871</f>
        <v>0</v>
      </c>
      <c r="K911" s="2" t="e">
        <f>_xlfn.XLOOKUP(E911,セットアップレポート_紐づけ用!A:A,セットアップレポート_紐づけ用!R:R)</f>
        <v>#N/A</v>
      </c>
      <c r="L911" t="e">
        <f t="shared" si="57"/>
        <v>#N/A</v>
      </c>
      <c r="M911" t="e">
        <f>_xlfn.XLOOKUP(L911,EGPro!A:A,EGPro!D:D)</f>
        <v>#N/A</v>
      </c>
      <c r="N911" t="e">
        <f>_xlfn.XLOOKUP(L911,EGPro!A:A,EGPro!C:C)</f>
        <v>#N/A</v>
      </c>
      <c r="O911" t="e">
        <f t="shared" si="58"/>
        <v>#N/A</v>
      </c>
      <c r="P911" t="e">
        <f>_xlfn.XLOOKUP(O911,EGPro!A:A,EGPro!D:D)</f>
        <v>#N/A</v>
      </c>
      <c r="Q911" t="e">
        <f>_xlfn.XLOOKUP(O911,EGPro!A:A,EGPro!C:C)</f>
        <v>#N/A</v>
      </c>
    </row>
    <row r="912" spans="1:17" x14ac:dyDescent="0.45">
      <c r="A912" s="3">
        <f>配列!B872</f>
        <v>0</v>
      </c>
      <c r="B912" s="3" t="e">
        <f>_xlfn.XLOOKUP(A912,対応表!A:A,対応表!B:B)</f>
        <v>#N/A</v>
      </c>
      <c r="C912" s="3">
        <f>配列!C872</f>
        <v>0</v>
      </c>
      <c r="D912" s="3" t="str">
        <f>IF(配列!E872="",RIGHT(配列!D872&amp;配列!E872,4)&amp;"L",RIGHT(配列!D872&amp;配列!E872,5))</f>
        <v>L</v>
      </c>
      <c r="E912" s="3">
        <f t="shared" si="56"/>
        <v>0</v>
      </c>
      <c r="F912" s="3" t="e">
        <f>_xlfn.XLOOKUP(E912,セットアップレポート_紐づけ用!A:A,セットアップレポート_紐づけ用!J:J)</f>
        <v>#N/A</v>
      </c>
      <c r="G912" s="3" t="e">
        <f>_xlfn.XLOOKUP(E912,セットアップレポート_紐づけ用!A:A,セットアップレポート_紐づけ用!V:V)</f>
        <v>#N/A</v>
      </c>
      <c r="H912" s="3">
        <f t="shared" si="59"/>
        <v>-2</v>
      </c>
      <c r="I912" t="str">
        <f>IF(J912=0,"",IF(配列!E912="",マクロ実行!$A$16 &amp;" T"&amp;H912&amp;"-"&amp;RIGHT(配列!D912&amp;配列!E912,2),マクロ実行!$A$16 &amp;" T"&amp;H912&amp;"-"&amp;RIGHT(配列!D912&amp;配列!E912,3)))</f>
        <v/>
      </c>
      <c r="J912">
        <f>配列!F872</f>
        <v>0</v>
      </c>
      <c r="K912" s="2" t="e">
        <f>_xlfn.XLOOKUP(E912,セットアップレポート_紐づけ用!A:A,セットアップレポート_紐づけ用!R:R)</f>
        <v>#N/A</v>
      </c>
      <c r="L912" t="e">
        <f t="shared" si="57"/>
        <v>#N/A</v>
      </c>
      <c r="M912" t="e">
        <f>_xlfn.XLOOKUP(L912,EGPro!A:A,EGPro!D:D)</f>
        <v>#N/A</v>
      </c>
      <c r="N912" t="e">
        <f>_xlfn.XLOOKUP(L912,EGPro!A:A,EGPro!C:C)</f>
        <v>#N/A</v>
      </c>
      <c r="O912" t="e">
        <f t="shared" si="58"/>
        <v>#N/A</v>
      </c>
      <c r="P912" t="e">
        <f>_xlfn.XLOOKUP(O912,EGPro!A:A,EGPro!D:D)</f>
        <v>#N/A</v>
      </c>
      <c r="Q912" t="e">
        <f>_xlfn.XLOOKUP(O912,EGPro!A:A,EGPro!C:C)</f>
        <v>#N/A</v>
      </c>
    </row>
    <row r="913" spans="1:17" x14ac:dyDescent="0.45">
      <c r="A913" s="3">
        <f>配列!B873</f>
        <v>0</v>
      </c>
      <c r="B913" s="3" t="e">
        <f>_xlfn.XLOOKUP(A913,対応表!A:A,対応表!B:B)</f>
        <v>#N/A</v>
      </c>
      <c r="C913" s="3">
        <f>配列!C873</f>
        <v>0</v>
      </c>
      <c r="D913" s="3" t="str">
        <f>IF(配列!E873="",RIGHT(配列!D873&amp;配列!E873,4)&amp;"L",RIGHT(配列!D873&amp;配列!E873,5))</f>
        <v>L</v>
      </c>
      <c r="E913" s="3">
        <f t="shared" si="56"/>
        <v>0</v>
      </c>
      <c r="F913" s="3" t="e">
        <f>_xlfn.XLOOKUP(E913,セットアップレポート_紐づけ用!A:A,セットアップレポート_紐づけ用!J:J)</f>
        <v>#N/A</v>
      </c>
      <c r="G913" s="3" t="e">
        <f>_xlfn.XLOOKUP(E913,セットアップレポート_紐づけ用!A:A,セットアップレポート_紐づけ用!V:V)</f>
        <v>#N/A</v>
      </c>
      <c r="H913" s="3">
        <f t="shared" si="59"/>
        <v>-2</v>
      </c>
      <c r="I913" t="str">
        <f>IF(J913=0,"",IF(配列!E913="",マクロ実行!$A$16 &amp;" T"&amp;H913&amp;"-"&amp;RIGHT(配列!D913&amp;配列!E913,2),マクロ実行!$A$16 &amp;" T"&amp;H913&amp;"-"&amp;RIGHT(配列!D913&amp;配列!E913,3)))</f>
        <v/>
      </c>
      <c r="J913">
        <f>配列!F873</f>
        <v>0</v>
      </c>
      <c r="K913" s="2" t="e">
        <f>_xlfn.XLOOKUP(E913,セットアップレポート_紐づけ用!A:A,セットアップレポート_紐づけ用!R:R)</f>
        <v>#N/A</v>
      </c>
      <c r="L913" t="e">
        <f t="shared" si="57"/>
        <v>#N/A</v>
      </c>
      <c r="M913" t="e">
        <f>_xlfn.XLOOKUP(L913,EGPro!A:A,EGPro!D:D)</f>
        <v>#N/A</v>
      </c>
      <c r="N913" t="e">
        <f>_xlfn.XLOOKUP(L913,EGPro!A:A,EGPro!C:C)</f>
        <v>#N/A</v>
      </c>
      <c r="O913" t="e">
        <f t="shared" si="58"/>
        <v>#N/A</v>
      </c>
      <c r="P913" t="e">
        <f>_xlfn.XLOOKUP(O913,EGPro!A:A,EGPro!D:D)</f>
        <v>#N/A</v>
      </c>
      <c r="Q913" t="e">
        <f>_xlfn.XLOOKUP(O913,EGPro!A:A,EGPro!C:C)</f>
        <v>#N/A</v>
      </c>
    </row>
    <row r="914" spans="1:17" x14ac:dyDescent="0.45">
      <c r="A914" s="3">
        <f>配列!B874</f>
        <v>0</v>
      </c>
      <c r="B914" s="3" t="e">
        <f>_xlfn.XLOOKUP(A914,対応表!A:A,対応表!B:B)</f>
        <v>#N/A</v>
      </c>
      <c r="C914" s="3">
        <f>配列!C874</f>
        <v>0</v>
      </c>
      <c r="D914" s="3" t="str">
        <f>IF(配列!E874="",RIGHT(配列!D874&amp;配列!E874,4)&amp;"L",RIGHT(配列!D874&amp;配列!E874,5))</f>
        <v>L</v>
      </c>
      <c r="E914" s="3">
        <f t="shared" si="56"/>
        <v>0</v>
      </c>
      <c r="F914" s="3" t="e">
        <f>_xlfn.XLOOKUP(E914,セットアップレポート_紐づけ用!A:A,セットアップレポート_紐づけ用!J:J)</f>
        <v>#N/A</v>
      </c>
      <c r="G914" s="3" t="e">
        <f>_xlfn.XLOOKUP(E914,セットアップレポート_紐づけ用!A:A,セットアップレポート_紐づけ用!V:V)</f>
        <v>#N/A</v>
      </c>
      <c r="H914" s="3">
        <f t="shared" si="59"/>
        <v>-2</v>
      </c>
      <c r="I914" t="str">
        <f>IF(J914=0,"",IF(配列!E914="",マクロ実行!$A$16 &amp;" T"&amp;H914&amp;"-"&amp;RIGHT(配列!D914&amp;配列!E914,2),マクロ実行!$A$16 &amp;" T"&amp;H914&amp;"-"&amp;RIGHT(配列!D914&amp;配列!E914,3)))</f>
        <v/>
      </c>
      <c r="J914">
        <f>配列!F874</f>
        <v>0</v>
      </c>
      <c r="K914" s="2" t="e">
        <f>_xlfn.XLOOKUP(E914,セットアップレポート_紐づけ用!A:A,セットアップレポート_紐づけ用!R:R)</f>
        <v>#N/A</v>
      </c>
      <c r="L914" t="e">
        <f t="shared" si="57"/>
        <v>#N/A</v>
      </c>
      <c r="M914" t="e">
        <f>_xlfn.XLOOKUP(L914,EGPro!A:A,EGPro!D:D)</f>
        <v>#N/A</v>
      </c>
      <c r="N914" t="e">
        <f>_xlfn.XLOOKUP(L914,EGPro!A:A,EGPro!C:C)</f>
        <v>#N/A</v>
      </c>
      <c r="O914" t="e">
        <f t="shared" si="58"/>
        <v>#N/A</v>
      </c>
      <c r="P914" t="e">
        <f>_xlfn.XLOOKUP(O914,EGPro!A:A,EGPro!D:D)</f>
        <v>#N/A</v>
      </c>
      <c r="Q914" t="e">
        <f>_xlfn.XLOOKUP(O914,EGPro!A:A,EGPro!C:C)</f>
        <v>#N/A</v>
      </c>
    </row>
    <row r="915" spans="1:17" x14ac:dyDescent="0.45">
      <c r="A915" s="3">
        <f>配列!B875</f>
        <v>0</v>
      </c>
      <c r="B915" s="3" t="e">
        <f>_xlfn.XLOOKUP(A915,対応表!A:A,対応表!B:B)</f>
        <v>#N/A</v>
      </c>
      <c r="C915" s="3">
        <f>配列!C875</f>
        <v>0</v>
      </c>
      <c r="D915" s="3" t="str">
        <f>IF(配列!E875="",RIGHT(配列!D875&amp;配列!E875,4)&amp;"L",RIGHT(配列!D875&amp;配列!E875,5))</f>
        <v>L</v>
      </c>
      <c r="E915" s="3">
        <f t="shared" si="56"/>
        <v>0</v>
      </c>
      <c r="F915" s="3" t="e">
        <f>_xlfn.XLOOKUP(E915,セットアップレポート_紐づけ用!A:A,セットアップレポート_紐づけ用!J:J)</f>
        <v>#N/A</v>
      </c>
      <c r="G915" s="3" t="e">
        <f>_xlfn.XLOOKUP(E915,セットアップレポート_紐づけ用!A:A,セットアップレポート_紐づけ用!V:V)</f>
        <v>#N/A</v>
      </c>
      <c r="H915" s="3">
        <f t="shared" si="59"/>
        <v>-2</v>
      </c>
      <c r="I915" t="str">
        <f>IF(J915=0,"",IF(配列!E915="",マクロ実行!$A$16 &amp;" T"&amp;H915&amp;"-"&amp;RIGHT(配列!D915&amp;配列!E915,2),マクロ実行!$A$16 &amp;" T"&amp;H915&amp;"-"&amp;RIGHT(配列!D915&amp;配列!E915,3)))</f>
        <v/>
      </c>
      <c r="J915">
        <f>配列!F875</f>
        <v>0</v>
      </c>
      <c r="K915" s="2" t="e">
        <f>_xlfn.XLOOKUP(E915,セットアップレポート_紐づけ用!A:A,セットアップレポート_紐づけ用!R:R)</f>
        <v>#N/A</v>
      </c>
      <c r="L915" t="e">
        <f t="shared" si="57"/>
        <v>#N/A</v>
      </c>
      <c r="M915" t="e">
        <f>_xlfn.XLOOKUP(L915,EGPro!A:A,EGPro!D:D)</f>
        <v>#N/A</v>
      </c>
      <c r="N915" t="e">
        <f>_xlfn.XLOOKUP(L915,EGPro!A:A,EGPro!C:C)</f>
        <v>#N/A</v>
      </c>
      <c r="O915" t="e">
        <f t="shared" si="58"/>
        <v>#N/A</v>
      </c>
      <c r="P915" t="e">
        <f>_xlfn.XLOOKUP(O915,EGPro!A:A,EGPro!D:D)</f>
        <v>#N/A</v>
      </c>
      <c r="Q915" t="e">
        <f>_xlfn.XLOOKUP(O915,EGPro!A:A,EGPro!C:C)</f>
        <v>#N/A</v>
      </c>
    </row>
    <row r="916" spans="1:17" x14ac:dyDescent="0.45">
      <c r="A916" s="3">
        <f>配列!B876</f>
        <v>0</v>
      </c>
      <c r="B916" s="3" t="e">
        <f>_xlfn.XLOOKUP(A916,対応表!A:A,対応表!B:B)</f>
        <v>#N/A</v>
      </c>
      <c r="C916" s="3">
        <f>配列!C876</f>
        <v>0</v>
      </c>
      <c r="D916" s="3" t="str">
        <f>IF(配列!E876="",RIGHT(配列!D876&amp;配列!E876,4)&amp;"L",RIGHT(配列!D876&amp;配列!E876,5))</f>
        <v>L</v>
      </c>
      <c r="E916" s="3">
        <f t="shared" si="56"/>
        <v>0</v>
      </c>
      <c r="F916" s="3" t="e">
        <f>_xlfn.XLOOKUP(E916,セットアップレポート_紐づけ用!A:A,セットアップレポート_紐づけ用!J:J)</f>
        <v>#N/A</v>
      </c>
      <c r="G916" s="3" t="e">
        <f>_xlfn.XLOOKUP(E916,セットアップレポート_紐づけ用!A:A,セットアップレポート_紐づけ用!V:V)</f>
        <v>#N/A</v>
      </c>
      <c r="H916" s="3">
        <f t="shared" si="59"/>
        <v>-2</v>
      </c>
      <c r="I916" t="str">
        <f>IF(J916=0,"",IF(配列!E916="",マクロ実行!$A$16 &amp;" T"&amp;H916&amp;"-"&amp;RIGHT(配列!D916&amp;配列!E916,2),マクロ実行!$A$16 &amp;" T"&amp;H916&amp;"-"&amp;RIGHT(配列!D916&amp;配列!E916,3)))</f>
        <v/>
      </c>
      <c r="J916">
        <f>配列!F876</f>
        <v>0</v>
      </c>
      <c r="K916" s="2" t="e">
        <f>_xlfn.XLOOKUP(E916,セットアップレポート_紐づけ用!A:A,セットアップレポート_紐づけ用!R:R)</f>
        <v>#N/A</v>
      </c>
      <c r="L916" t="e">
        <f t="shared" si="57"/>
        <v>#N/A</v>
      </c>
      <c r="M916" t="e">
        <f>_xlfn.XLOOKUP(L916,EGPro!A:A,EGPro!D:D)</f>
        <v>#N/A</v>
      </c>
      <c r="N916" t="e">
        <f>_xlfn.XLOOKUP(L916,EGPro!A:A,EGPro!C:C)</f>
        <v>#N/A</v>
      </c>
      <c r="O916" t="e">
        <f t="shared" si="58"/>
        <v>#N/A</v>
      </c>
      <c r="P916" t="e">
        <f>_xlfn.XLOOKUP(O916,EGPro!A:A,EGPro!D:D)</f>
        <v>#N/A</v>
      </c>
      <c r="Q916" t="e">
        <f>_xlfn.XLOOKUP(O916,EGPro!A:A,EGPro!C:C)</f>
        <v>#N/A</v>
      </c>
    </row>
    <row r="917" spans="1:17" x14ac:dyDescent="0.45">
      <c r="A917" s="3">
        <f>配列!B877</f>
        <v>0</v>
      </c>
      <c r="B917" s="3" t="e">
        <f>_xlfn.XLOOKUP(A917,対応表!A:A,対応表!B:B)</f>
        <v>#N/A</v>
      </c>
      <c r="C917" s="3">
        <f>配列!C877</f>
        <v>0</v>
      </c>
      <c r="D917" s="3" t="str">
        <f>IF(配列!E877="",RIGHT(配列!D877&amp;配列!E877,4)&amp;"L",RIGHT(配列!D877&amp;配列!E877,5))</f>
        <v>L</v>
      </c>
      <c r="E917" s="3">
        <f t="shared" si="56"/>
        <v>0</v>
      </c>
      <c r="F917" s="3" t="e">
        <f>_xlfn.XLOOKUP(E917,セットアップレポート_紐づけ用!A:A,セットアップレポート_紐づけ用!J:J)</f>
        <v>#N/A</v>
      </c>
      <c r="G917" s="3" t="e">
        <f>_xlfn.XLOOKUP(E917,セットアップレポート_紐づけ用!A:A,セットアップレポート_紐づけ用!V:V)</f>
        <v>#N/A</v>
      </c>
      <c r="H917" s="3">
        <f t="shared" si="59"/>
        <v>-2</v>
      </c>
      <c r="I917" t="str">
        <f>IF(J917=0,"",IF(配列!E917="",マクロ実行!$A$16 &amp;" T"&amp;H917&amp;"-"&amp;RIGHT(配列!D917&amp;配列!E917,2),マクロ実行!$A$16 &amp;" T"&amp;H917&amp;"-"&amp;RIGHT(配列!D917&amp;配列!E917,3)))</f>
        <v/>
      </c>
      <c r="J917">
        <f>配列!F877</f>
        <v>0</v>
      </c>
      <c r="K917" s="2" t="e">
        <f>_xlfn.XLOOKUP(E917,セットアップレポート_紐づけ用!A:A,セットアップレポート_紐づけ用!R:R)</f>
        <v>#N/A</v>
      </c>
      <c r="L917" t="e">
        <f t="shared" si="57"/>
        <v>#N/A</v>
      </c>
      <c r="M917" t="e">
        <f>_xlfn.XLOOKUP(L917,EGPro!A:A,EGPro!D:D)</f>
        <v>#N/A</v>
      </c>
      <c r="N917" t="e">
        <f>_xlfn.XLOOKUP(L917,EGPro!A:A,EGPro!C:C)</f>
        <v>#N/A</v>
      </c>
      <c r="O917" t="e">
        <f t="shared" si="58"/>
        <v>#N/A</v>
      </c>
      <c r="P917" t="e">
        <f>_xlfn.XLOOKUP(O917,EGPro!A:A,EGPro!D:D)</f>
        <v>#N/A</v>
      </c>
      <c r="Q917" t="e">
        <f>_xlfn.XLOOKUP(O917,EGPro!A:A,EGPro!C:C)</f>
        <v>#N/A</v>
      </c>
    </row>
    <row r="918" spans="1:17" x14ac:dyDescent="0.45">
      <c r="A918" s="3">
        <f>配列!B878</f>
        <v>0</v>
      </c>
      <c r="B918" s="3" t="e">
        <f>_xlfn.XLOOKUP(A918,対応表!A:A,対応表!B:B)</f>
        <v>#N/A</v>
      </c>
      <c r="C918" s="3">
        <f>配列!C878</f>
        <v>0</v>
      </c>
      <c r="D918" s="3" t="str">
        <f>IF(配列!E878="",RIGHT(配列!D878&amp;配列!E878,4)&amp;"L",RIGHT(配列!D878&amp;配列!E878,5))</f>
        <v>L</v>
      </c>
      <c r="E918" s="3">
        <f t="shared" si="56"/>
        <v>0</v>
      </c>
      <c r="F918" s="3" t="e">
        <f>_xlfn.XLOOKUP(E918,セットアップレポート_紐づけ用!A:A,セットアップレポート_紐づけ用!J:J)</f>
        <v>#N/A</v>
      </c>
      <c r="G918" s="3" t="e">
        <f>_xlfn.XLOOKUP(E918,セットアップレポート_紐づけ用!A:A,セットアップレポート_紐づけ用!V:V)</f>
        <v>#N/A</v>
      </c>
      <c r="H918" s="3">
        <f t="shared" si="59"/>
        <v>-2</v>
      </c>
      <c r="I918" t="str">
        <f>IF(J918=0,"",IF(配列!E918="",マクロ実行!$A$16 &amp;" T"&amp;H918&amp;"-"&amp;RIGHT(配列!D918&amp;配列!E918,2),マクロ実行!$A$16 &amp;" T"&amp;H918&amp;"-"&amp;RIGHT(配列!D918&amp;配列!E918,3)))</f>
        <v/>
      </c>
      <c r="J918">
        <f>配列!F878</f>
        <v>0</v>
      </c>
      <c r="K918" s="2" t="e">
        <f>_xlfn.XLOOKUP(E918,セットアップレポート_紐づけ用!A:A,セットアップレポート_紐づけ用!R:R)</f>
        <v>#N/A</v>
      </c>
      <c r="L918" t="e">
        <f t="shared" si="57"/>
        <v>#N/A</v>
      </c>
      <c r="M918" t="e">
        <f>_xlfn.XLOOKUP(L918,EGPro!A:A,EGPro!D:D)</f>
        <v>#N/A</v>
      </c>
      <c r="N918" t="e">
        <f>_xlfn.XLOOKUP(L918,EGPro!A:A,EGPro!C:C)</f>
        <v>#N/A</v>
      </c>
      <c r="O918" t="e">
        <f t="shared" si="58"/>
        <v>#N/A</v>
      </c>
      <c r="P918" t="e">
        <f>_xlfn.XLOOKUP(O918,EGPro!A:A,EGPro!D:D)</f>
        <v>#N/A</v>
      </c>
      <c r="Q918" t="e">
        <f>_xlfn.XLOOKUP(O918,EGPro!A:A,EGPro!C:C)</f>
        <v>#N/A</v>
      </c>
    </row>
    <row r="919" spans="1:17" x14ac:dyDescent="0.45">
      <c r="A919" s="3">
        <f>配列!B879</f>
        <v>0</v>
      </c>
      <c r="B919" s="3" t="e">
        <f>_xlfn.XLOOKUP(A919,対応表!A:A,対応表!B:B)</f>
        <v>#N/A</v>
      </c>
      <c r="C919" s="3">
        <f>配列!C879</f>
        <v>0</v>
      </c>
      <c r="D919" s="3" t="str">
        <f>IF(配列!E879="",RIGHT(配列!D879&amp;配列!E879,4)&amp;"L",RIGHT(配列!D879&amp;配列!E879,5))</f>
        <v>L</v>
      </c>
      <c r="E919" s="3">
        <f t="shared" si="56"/>
        <v>0</v>
      </c>
      <c r="F919" s="3" t="e">
        <f>_xlfn.XLOOKUP(E919,セットアップレポート_紐づけ用!A:A,セットアップレポート_紐づけ用!J:J)</f>
        <v>#N/A</v>
      </c>
      <c r="G919" s="3" t="e">
        <f>_xlfn.XLOOKUP(E919,セットアップレポート_紐づけ用!A:A,セットアップレポート_紐づけ用!V:V)</f>
        <v>#N/A</v>
      </c>
      <c r="H919" s="3">
        <f t="shared" si="59"/>
        <v>-2</v>
      </c>
      <c r="I919" t="str">
        <f>IF(J919=0,"",IF(配列!E919="",マクロ実行!$A$16 &amp;" T"&amp;H919&amp;"-"&amp;RIGHT(配列!D919&amp;配列!E919,2),マクロ実行!$A$16 &amp;" T"&amp;H919&amp;"-"&amp;RIGHT(配列!D919&amp;配列!E919,3)))</f>
        <v/>
      </c>
      <c r="J919">
        <f>配列!F879</f>
        <v>0</v>
      </c>
      <c r="K919" s="2" t="e">
        <f>_xlfn.XLOOKUP(E919,セットアップレポート_紐づけ用!A:A,セットアップレポート_紐づけ用!R:R)</f>
        <v>#N/A</v>
      </c>
      <c r="L919" t="e">
        <f t="shared" si="57"/>
        <v>#N/A</v>
      </c>
      <c r="M919" t="e">
        <f>_xlfn.XLOOKUP(L919,EGPro!A:A,EGPro!D:D)</f>
        <v>#N/A</v>
      </c>
      <c r="N919" t="e">
        <f>_xlfn.XLOOKUP(L919,EGPro!A:A,EGPro!C:C)</f>
        <v>#N/A</v>
      </c>
      <c r="O919" t="e">
        <f t="shared" si="58"/>
        <v>#N/A</v>
      </c>
      <c r="P919" t="e">
        <f>_xlfn.XLOOKUP(O919,EGPro!A:A,EGPro!D:D)</f>
        <v>#N/A</v>
      </c>
      <c r="Q919" t="e">
        <f>_xlfn.XLOOKUP(O919,EGPro!A:A,EGPro!C:C)</f>
        <v>#N/A</v>
      </c>
    </row>
    <row r="920" spans="1:17" x14ac:dyDescent="0.45">
      <c r="A920" s="3">
        <f>配列!B880</f>
        <v>0</v>
      </c>
      <c r="B920" s="3" t="e">
        <f>_xlfn.XLOOKUP(A920,対応表!A:A,対応表!B:B)</f>
        <v>#N/A</v>
      </c>
      <c r="C920" s="3">
        <f>配列!C880</f>
        <v>0</v>
      </c>
      <c r="D920" s="3" t="str">
        <f>IF(配列!E880="",RIGHT(配列!D880&amp;配列!E880,4)&amp;"L",RIGHT(配列!D880&amp;配列!E880,5))</f>
        <v>L</v>
      </c>
      <c r="E920" s="3">
        <f t="shared" si="56"/>
        <v>0</v>
      </c>
      <c r="F920" s="3" t="e">
        <f>_xlfn.XLOOKUP(E920,セットアップレポート_紐づけ用!A:A,セットアップレポート_紐づけ用!J:J)</f>
        <v>#N/A</v>
      </c>
      <c r="G920" s="3" t="e">
        <f>_xlfn.XLOOKUP(E920,セットアップレポート_紐づけ用!A:A,セットアップレポート_紐づけ用!V:V)</f>
        <v>#N/A</v>
      </c>
      <c r="H920" s="3">
        <f t="shared" si="59"/>
        <v>-2</v>
      </c>
      <c r="I920" t="str">
        <f>IF(J920=0,"",IF(配列!E920="",マクロ実行!$A$16 &amp;" T"&amp;H920&amp;"-"&amp;RIGHT(配列!D920&amp;配列!E920,2),マクロ実行!$A$16 &amp;" T"&amp;H920&amp;"-"&amp;RIGHT(配列!D920&amp;配列!E920,3)))</f>
        <v/>
      </c>
      <c r="J920">
        <f>配列!F880</f>
        <v>0</v>
      </c>
      <c r="K920" s="2" t="e">
        <f>_xlfn.XLOOKUP(E920,セットアップレポート_紐づけ用!A:A,セットアップレポート_紐づけ用!R:R)</f>
        <v>#N/A</v>
      </c>
      <c r="L920" t="e">
        <f t="shared" si="57"/>
        <v>#N/A</v>
      </c>
      <c r="M920" t="e">
        <f>_xlfn.XLOOKUP(L920,EGPro!A:A,EGPro!D:D)</f>
        <v>#N/A</v>
      </c>
      <c r="N920" t="e">
        <f>_xlfn.XLOOKUP(L920,EGPro!A:A,EGPro!C:C)</f>
        <v>#N/A</v>
      </c>
      <c r="O920" t="e">
        <f t="shared" si="58"/>
        <v>#N/A</v>
      </c>
      <c r="P920" t="e">
        <f>_xlfn.XLOOKUP(O920,EGPro!A:A,EGPro!D:D)</f>
        <v>#N/A</v>
      </c>
      <c r="Q920" t="e">
        <f>_xlfn.XLOOKUP(O920,EGPro!A:A,EGPro!C:C)</f>
        <v>#N/A</v>
      </c>
    </row>
    <row r="921" spans="1:17" x14ac:dyDescent="0.45">
      <c r="A921" s="3">
        <f>配列!B881</f>
        <v>0</v>
      </c>
      <c r="B921" s="3" t="e">
        <f>_xlfn.XLOOKUP(A921,対応表!A:A,対応表!B:B)</f>
        <v>#N/A</v>
      </c>
      <c r="C921" s="3">
        <f>配列!C881</f>
        <v>0</v>
      </c>
      <c r="D921" s="3" t="str">
        <f>IF(配列!E881="",RIGHT(配列!D881&amp;配列!E881,4)&amp;"L",RIGHT(配列!D881&amp;配列!E881,5))</f>
        <v>L</v>
      </c>
      <c r="E921" s="3">
        <f t="shared" si="56"/>
        <v>0</v>
      </c>
      <c r="F921" s="3" t="e">
        <f>_xlfn.XLOOKUP(E921,セットアップレポート_紐づけ用!A:A,セットアップレポート_紐づけ用!J:J)</f>
        <v>#N/A</v>
      </c>
      <c r="G921" s="3" t="e">
        <f>_xlfn.XLOOKUP(E921,セットアップレポート_紐づけ用!A:A,セットアップレポート_紐づけ用!V:V)</f>
        <v>#N/A</v>
      </c>
      <c r="H921" s="3">
        <f t="shared" si="59"/>
        <v>-2</v>
      </c>
      <c r="I921" t="str">
        <f>IF(J921=0,"",IF(配列!E921="",マクロ実行!$A$16 &amp;" T"&amp;H921&amp;"-"&amp;RIGHT(配列!D921&amp;配列!E921,2),マクロ実行!$A$16 &amp;" T"&amp;H921&amp;"-"&amp;RIGHT(配列!D921&amp;配列!E921,3)))</f>
        <v/>
      </c>
      <c r="J921">
        <f>配列!F881</f>
        <v>0</v>
      </c>
      <c r="K921" s="2" t="e">
        <f>_xlfn.XLOOKUP(E921,セットアップレポート_紐づけ用!A:A,セットアップレポート_紐づけ用!R:R)</f>
        <v>#N/A</v>
      </c>
      <c r="L921" t="e">
        <f t="shared" si="57"/>
        <v>#N/A</v>
      </c>
      <c r="M921" t="e">
        <f>_xlfn.XLOOKUP(L921,EGPro!A:A,EGPro!D:D)</f>
        <v>#N/A</v>
      </c>
      <c r="N921" t="e">
        <f>_xlfn.XLOOKUP(L921,EGPro!A:A,EGPro!C:C)</f>
        <v>#N/A</v>
      </c>
      <c r="O921" t="e">
        <f t="shared" si="58"/>
        <v>#N/A</v>
      </c>
      <c r="P921" t="e">
        <f>_xlfn.XLOOKUP(O921,EGPro!A:A,EGPro!D:D)</f>
        <v>#N/A</v>
      </c>
      <c r="Q921" t="e">
        <f>_xlfn.XLOOKUP(O921,EGPro!A:A,EGPro!C:C)</f>
        <v>#N/A</v>
      </c>
    </row>
    <row r="922" spans="1:17" x14ac:dyDescent="0.45">
      <c r="A922" s="3">
        <f>配列!B882</f>
        <v>0</v>
      </c>
      <c r="B922" s="3" t="e">
        <f>_xlfn.XLOOKUP(A922,対応表!A:A,対応表!B:B)</f>
        <v>#N/A</v>
      </c>
      <c r="C922" s="3">
        <f>配列!C882</f>
        <v>0</v>
      </c>
      <c r="D922" s="3" t="str">
        <f>IF(配列!E882="",RIGHT(配列!D882&amp;配列!E882,4)&amp;"L",RIGHT(配列!D882&amp;配列!E882,5))</f>
        <v>L</v>
      </c>
      <c r="E922" s="3">
        <f t="shared" si="56"/>
        <v>0</v>
      </c>
      <c r="F922" s="3" t="e">
        <f>_xlfn.XLOOKUP(E922,セットアップレポート_紐づけ用!A:A,セットアップレポート_紐づけ用!J:J)</f>
        <v>#N/A</v>
      </c>
      <c r="G922" s="3" t="e">
        <f>_xlfn.XLOOKUP(E922,セットアップレポート_紐づけ用!A:A,セットアップレポート_紐づけ用!V:V)</f>
        <v>#N/A</v>
      </c>
      <c r="H922" s="3">
        <f t="shared" si="59"/>
        <v>-2</v>
      </c>
      <c r="I922" t="str">
        <f>IF(J922=0,"",IF(配列!E922="",マクロ実行!$A$16 &amp;" T"&amp;H922&amp;"-"&amp;RIGHT(配列!D922&amp;配列!E922,2),マクロ実行!$A$16 &amp;" T"&amp;H922&amp;"-"&amp;RIGHT(配列!D922&amp;配列!E922,3)))</f>
        <v/>
      </c>
      <c r="J922">
        <f>配列!F882</f>
        <v>0</v>
      </c>
      <c r="K922" s="2" t="e">
        <f>_xlfn.XLOOKUP(E922,セットアップレポート_紐づけ用!A:A,セットアップレポート_紐づけ用!R:R)</f>
        <v>#N/A</v>
      </c>
      <c r="L922" t="e">
        <f t="shared" si="57"/>
        <v>#N/A</v>
      </c>
      <c r="M922" t="e">
        <f>_xlfn.XLOOKUP(L922,EGPro!A:A,EGPro!D:D)</f>
        <v>#N/A</v>
      </c>
      <c r="N922" t="e">
        <f>_xlfn.XLOOKUP(L922,EGPro!A:A,EGPro!C:C)</f>
        <v>#N/A</v>
      </c>
      <c r="O922" t="e">
        <f t="shared" si="58"/>
        <v>#N/A</v>
      </c>
      <c r="P922" t="e">
        <f>_xlfn.XLOOKUP(O922,EGPro!A:A,EGPro!D:D)</f>
        <v>#N/A</v>
      </c>
      <c r="Q922" t="e">
        <f>_xlfn.XLOOKUP(O922,EGPro!A:A,EGPro!C:C)</f>
        <v>#N/A</v>
      </c>
    </row>
    <row r="923" spans="1:17" x14ac:dyDescent="0.45">
      <c r="A923" s="3">
        <f>配列!B883</f>
        <v>0</v>
      </c>
      <c r="B923" s="3" t="e">
        <f>_xlfn.XLOOKUP(A923,対応表!A:A,対応表!B:B)</f>
        <v>#N/A</v>
      </c>
      <c r="C923" s="3">
        <f>配列!C883</f>
        <v>0</v>
      </c>
      <c r="D923" s="3" t="str">
        <f>IF(配列!E883="",RIGHT(配列!D883&amp;配列!E883,4)&amp;"L",RIGHT(配列!D883&amp;配列!E883,5))</f>
        <v>L</v>
      </c>
      <c r="E923" s="3">
        <f t="shared" si="56"/>
        <v>0</v>
      </c>
      <c r="F923" s="3" t="e">
        <f>_xlfn.XLOOKUP(E923,セットアップレポート_紐づけ用!A:A,セットアップレポート_紐づけ用!J:J)</f>
        <v>#N/A</v>
      </c>
      <c r="G923" s="3" t="e">
        <f>_xlfn.XLOOKUP(E923,セットアップレポート_紐づけ用!A:A,セットアップレポート_紐づけ用!V:V)</f>
        <v>#N/A</v>
      </c>
      <c r="H923" s="3">
        <f t="shared" si="59"/>
        <v>-2</v>
      </c>
      <c r="I923" t="str">
        <f>IF(J923=0,"",IF(配列!E923="",マクロ実行!$A$16 &amp;" T"&amp;H923&amp;"-"&amp;RIGHT(配列!D923&amp;配列!E923,2),マクロ実行!$A$16 &amp;" T"&amp;H923&amp;"-"&amp;RIGHT(配列!D923&amp;配列!E923,3)))</f>
        <v/>
      </c>
      <c r="J923">
        <f>配列!F883</f>
        <v>0</v>
      </c>
      <c r="K923" s="2" t="e">
        <f>_xlfn.XLOOKUP(E923,セットアップレポート_紐づけ用!A:A,セットアップレポート_紐づけ用!R:R)</f>
        <v>#N/A</v>
      </c>
      <c r="L923" t="e">
        <f t="shared" si="57"/>
        <v>#N/A</v>
      </c>
      <c r="M923" t="e">
        <f>_xlfn.XLOOKUP(L923,EGPro!A:A,EGPro!D:D)</f>
        <v>#N/A</v>
      </c>
      <c r="N923" t="e">
        <f>_xlfn.XLOOKUP(L923,EGPro!A:A,EGPro!C:C)</f>
        <v>#N/A</v>
      </c>
      <c r="O923" t="e">
        <f t="shared" si="58"/>
        <v>#N/A</v>
      </c>
      <c r="P923" t="e">
        <f>_xlfn.XLOOKUP(O923,EGPro!A:A,EGPro!D:D)</f>
        <v>#N/A</v>
      </c>
      <c r="Q923" t="e">
        <f>_xlfn.XLOOKUP(O923,EGPro!A:A,EGPro!C:C)</f>
        <v>#N/A</v>
      </c>
    </row>
    <row r="924" spans="1:17" x14ac:dyDescent="0.45">
      <c r="A924" s="3">
        <f>配列!B884</f>
        <v>0</v>
      </c>
      <c r="B924" s="3" t="e">
        <f>_xlfn.XLOOKUP(A924,対応表!A:A,対応表!B:B)</f>
        <v>#N/A</v>
      </c>
      <c r="C924" s="3">
        <f>配列!C884</f>
        <v>0</v>
      </c>
      <c r="D924" s="3" t="str">
        <f>IF(配列!E884="",RIGHT(配列!D884&amp;配列!E884,4)&amp;"L",RIGHT(配列!D884&amp;配列!E884,5))</f>
        <v>L</v>
      </c>
      <c r="E924" s="3">
        <f t="shared" si="56"/>
        <v>0</v>
      </c>
      <c r="F924" s="3" t="e">
        <f>_xlfn.XLOOKUP(E924,セットアップレポート_紐づけ用!A:A,セットアップレポート_紐づけ用!J:J)</f>
        <v>#N/A</v>
      </c>
      <c r="G924" s="3" t="e">
        <f>_xlfn.XLOOKUP(E924,セットアップレポート_紐づけ用!A:A,セットアップレポート_紐づけ用!V:V)</f>
        <v>#N/A</v>
      </c>
      <c r="H924" s="3">
        <f t="shared" si="59"/>
        <v>-2</v>
      </c>
      <c r="I924" t="str">
        <f>IF(J924=0,"",IF(配列!E924="",マクロ実行!$A$16 &amp;" T"&amp;H924&amp;"-"&amp;RIGHT(配列!D924&amp;配列!E924,2),マクロ実行!$A$16 &amp;" T"&amp;H924&amp;"-"&amp;RIGHT(配列!D924&amp;配列!E924,3)))</f>
        <v/>
      </c>
      <c r="J924">
        <f>配列!F884</f>
        <v>0</v>
      </c>
      <c r="K924" s="2" t="e">
        <f>_xlfn.XLOOKUP(E924,セットアップレポート_紐づけ用!A:A,セットアップレポート_紐づけ用!R:R)</f>
        <v>#N/A</v>
      </c>
      <c r="L924" t="e">
        <f t="shared" si="57"/>
        <v>#N/A</v>
      </c>
      <c r="M924" t="e">
        <f>_xlfn.XLOOKUP(L924,EGPro!A:A,EGPro!D:D)</f>
        <v>#N/A</v>
      </c>
      <c r="N924" t="e">
        <f>_xlfn.XLOOKUP(L924,EGPro!A:A,EGPro!C:C)</f>
        <v>#N/A</v>
      </c>
      <c r="O924" t="e">
        <f t="shared" si="58"/>
        <v>#N/A</v>
      </c>
      <c r="P924" t="e">
        <f>_xlfn.XLOOKUP(O924,EGPro!A:A,EGPro!D:D)</f>
        <v>#N/A</v>
      </c>
      <c r="Q924" t="e">
        <f>_xlfn.XLOOKUP(O924,EGPro!A:A,EGPro!C:C)</f>
        <v>#N/A</v>
      </c>
    </row>
    <row r="925" spans="1:17" x14ac:dyDescent="0.45">
      <c r="A925" s="3">
        <f>配列!B885</f>
        <v>0</v>
      </c>
      <c r="B925" s="3" t="e">
        <f>_xlfn.XLOOKUP(A925,対応表!A:A,対応表!B:B)</f>
        <v>#N/A</v>
      </c>
      <c r="C925" s="3">
        <f>配列!C885</f>
        <v>0</v>
      </c>
      <c r="D925" s="3" t="str">
        <f>IF(配列!E885="",RIGHT(配列!D885&amp;配列!E885,4)&amp;"L",RIGHT(配列!D885&amp;配列!E885,5))</f>
        <v>L</v>
      </c>
      <c r="E925" s="3">
        <f t="shared" si="56"/>
        <v>0</v>
      </c>
      <c r="F925" s="3" t="e">
        <f>_xlfn.XLOOKUP(E925,セットアップレポート_紐づけ用!A:A,セットアップレポート_紐づけ用!J:J)</f>
        <v>#N/A</v>
      </c>
      <c r="G925" s="3" t="e">
        <f>_xlfn.XLOOKUP(E925,セットアップレポート_紐づけ用!A:A,セットアップレポート_紐づけ用!V:V)</f>
        <v>#N/A</v>
      </c>
      <c r="H925" s="3">
        <f t="shared" si="59"/>
        <v>-2</v>
      </c>
      <c r="I925" t="str">
        <f>IF(J925=0,"",IF(配列!E925="",マクロ実行!$A$16 &amp;" T"&amp;H925&amp;"-"&amp;RIGHT(配列!D925&amp;配列!E925,2),マクロ実行!$A$16 &amp;" T"&amp;H925&amp;"-"&amp;RIGHT(配列!D925&amp;配列!E925,3)))</f>
        <v/>
      </c>
      <c r="J925">
        <f>配列!F885</f>
        <v>0</v>
      </c>
      <c r="K925" s="2" t="e">
        <f>_xlfn.XLOOKUP(E925,セットアップレポート_紐づけ用!A:A,セットアップレポート_紐づけ用!R:R)</f>
        <v>#N/A</v>
      </c>
      <c r="L925" t="e">
        <f t="shared" si="57"/>
        <v>#N/A</v>
      </c>
      <c r="M925" t="e">
        <f>_xlfn.XLOOKUP(L925,EGPro!A:A,EGPro!D:D)</f>
        <v>#N/A</v>
      </c>
      <c r="N925" t="e">
        <f>_xlfn.XLOOKUP(L925,EGPro!A:A,EGPro!C:C)</f>
        <v>#N/A</v>
      </c>
      <c r="O925" t="e">
        <f t="shared" si="58"/>
        <v>#N/A</v>
      </c>
      <c r="P925" t="e">
        <f>_xlfn.XLOOKUP(O925,EGPro!A:A,EGPro!D:D)</f>
        <v>#N/A</v>
      </c>
      <c r="Q925" t="e">
        <f>_xlfn.XLOOKUP(O925,EGPro!A:A,EGPro!C:C)</f>
        <v>#N/A</v>
      </c>
    </row>
    <row r="926" spans="1:17" x14ac:dyDescent="0.45">
      <c r="A926" s="3">
        <f>配列!B886</f>
        <v>0</v>
      </c>
      <c r="B926" s="3" t="e">
        <f>_xlfn.XLOOKUP(A926,対応表!A:A,対応表!B:B)</f>
        <v>#N/A</v>
      </c>
      <c r="C926" s="3">
        <f>配列!C886</f>
        <v>0</v>
      </c>
      <c r="D926" s="3" t="str">
        <f>IF(配列!E886="",RIGHT(配列!D886&amp;配列!E886,4)&amp;"L",RIGHT(配列!D886&amp;配列!E886,5))</f>
        <v>L</v>
      </c>
      <c r="E926" s="3">
        <f t="shared" si="56"/>
        <v>0</v>
      </c>
      <c r="F926" s="3" t="e">
        <f>_xlfn.XLOOKUP(E926,セットアップレポート_紐づけ用!A:A,セットアップレポート_紐づけ用!J:J)</f>
        <v>#N/A</v>
      </c>
      <c r="G926" s="3" t="e">
        <f>_xlfn.XLOOKUP(E926,セットアップレポート_紐づけ用!A:A,セットアップレポート_紐づけ用!V:V)</f>
        <v>#N/A</v>
      </c>
      <c r="H926" s="3">
        <f t="shared" si="59"/>
        <v>-2</v>
      </c>
      <c r="I926" t="str">
        <f>IF(J926=0,"",IF(配列!E926="",マクロ実行!$A$16 &amp;" T"&amp;H926&amp;"-"&amp;RIGHT(配列!D926&amp;配列!E926,2),マクロ実行!$A$16 &amp;" T"&amp;H926&amp;"-"&amp;RIGHT(配列!D926&amp;配列!E926,3)))</f>
        <v/>
      </c>
      <c r="J926">
        <f>配列!F886</f>
        <v>0</v>
      </c>
      <c r="K926" s="2" t="e">
        <f>_xlfn.XLOOKUP(E926,セットアップレポート_紐づけ用!A:A,セットアップレポート_紐づけ用!R:R)</f>
        <v>#N/A</v>
      </c>
      <c r="L926" t="e">
        <f t="shared" si="57"/>
        <v>#N/A</v>
      </c>
      <c r="M926" t="e">
        <f>_xlfn.XLOOKUP(L926,EGPro!A:A,EGPro!D:D)</f>
        <v>#N/A</v>
      </c>
      <c r="N926" t="e">
        <f>_xlfn.XLOOKUP(L926,EGPro!A:A,EGPro!C:C)</f>
        <v>#N/A</v>
      </c>
      <c r="O926" t="e">
        <f t="shared" si="58"/>
        <v>#N/A</v>
      </c>
      <c r="P926" t="e">
        <f>_xlfn.XLOOKUP(O926,EGPro!A:A,EGPro!D:D)</f>
        <v>#N/A</v>
      </c>
      <c r="Q926" t="e">
        <f>_xlfn.XLOOKUP(O926,EGPro!A:A,EGPro!C:C)</f>
        <v>#N/A</v>
      </c>
    </row>
    <row r="927" spans="1:17" x14ac:dyDescent="0.45">
      <c r="A927" s="3">
        <f>配列!B887</f>
        <v>0</v>
      </c>
      <c r="B927" s="3" t="e">
        <f>_xlfn.XLOOKUP(A927,対応表!A:A,対応表!B:B)</f>
        <v>#N/A</v>
      </c>
      <c r="C927" s="3">
        <f>配列!C887</f>
        <v>0</v>
      </c>
      <c r="D927" s="3" t="str">
        <f>IF(配列!E887="",RIGHT(配列!D887&amp;配列!E887,4)&amp;"L",RIGHT(配列!D887&amp;配列!E887,5))</f>
        <v>L</v>
      </c>
      <c r="E927" s="3">
        <f t="shared" si="56"/>
        <v>0</v>
      </c>
      <c r="F927" s="3" t="e">
        <f>_xlfn.XLOOKUP(E927,セットアップレポート_紐づけ用!A:A,セットアップレポート_紐づけ用!J:J)</f>
        <v>#N/A</v>
      </c>
      <c r="G927" s="3" t="e">
        <f>_xlfn.XLOOKUP(E927,セットアップレポート_紐づけ用!A:A,セットアップレポート_紐づけ用!V:V)</f>
        <v>#N/A</v>
      </c>
      <c r="H927" s="3">
        <f t="shared" si="59"/>
        <v>-2</v>
      </c>
      <c r="I927" t="str">
        <f>IF(J927=0,"",IF(配列!E927="",マクロ実行!$A$16 &amp;" T"&amp;H927&amp;"-"&amp;RIGHT(配列!D927&amp;配列!E927,2),マクロ実行!$A$16 &amp;" T"&amp;H927&amp;"-"&amp;RIGHT(配列!D927&amp;配列!E927,3)))</f>
        <v/>
      </c>
      <c r="J927">
        <f>配列!F887</f>
        <v>0</v>
      </c>
      <c r="K927" s="2" t="e">
        <f>_xlfn.XLOOKUP(E927,セットアップレポート_紐づけ用!A:A,セットアップレポート_紐づけ用!R:R)</f>
        <v>#N/A</v>
      </c>
      <c r="L927" t="e">
        <f t="shared" si="57"/>
        <v>#N/A</v>
      </c>
      <c r="M927" t="e">
        <f>_xlfn.XLOOKUP(L927,EGPro!A:A,EGPro!D:D)</f>
        <v>#N/A</v>
      </c>
      <c r="N927" t="e">
        <f>_xlfn.XLOOKUP(L927,EGPro!A:A,EGPro!C:C)</f>
        <v>#N/A</v>
      </c>
      <c r="O927" t="e">
        <f t="shared" si="58"/>
        <v>#N/A</v>
      </c>
      <c r="P927" t="e">
        <f>_xlfn.XLOOKUP(O927,EGPro!A:A,EGPro!D:D)</f>
        <v>#N/A</v>
      </c>
      <c r="Q927" t="e">
        <f>_xlfn.XLOOKUP(O927,EGPro!A:A,EGPro!C:C)</f>
        <v>#N/A</v>
      </c>
    </row>
    <row r="928" spans="1:17" x14ac:dyDescent="0.45">
      <c r="A928" s="3">
        <f>配列!B888</f>
        <v>0</v>
      </c>
      <c r="B928" s="3" t="e">
        <f>_xlfn.XLOOKUP(A928,対応表!A:A,対応表!B:B)</f>
        <v>#N/A</v>
      </c>
      <c r="C928" s="3">
        <f>配列!C888</f>
        <v>0</v>
      </c>
      <c r="D928" s="3" t="str">
        <f>IF(配列!E888="",RIGHT(配列!D888&amp;配列!E888,4)&amp;"L",RIGHT(配列!D888&amp;配列!E888,5))</f>
        <v>L</v>
      </c>
      <c r="E928" s="3">
        <f t="shared" si="56"/>
        <v>0</v>
      </c>
      <c r="F928" s="3" t="e">
        <f>_xlfn.XLOOKUP(E928,セットアップレポート_紐づけ用!A:A,セットアップレポート_紐づけ用!J:J)</f>
        <v>#N/A</v>
      </c>
      <c r="G928" s="3" t="e">
        <f>_xlfn.XLOOKUP(E928,セットアップレポート_紐づけ用!A:A,セットアップレポート_紐づけ用!V:V)</f>
        <v>#N/A</v>
      </c>
      <c r="H928" s="3">
        <f t="shared" si="59"/>
        <v>-2</v>
      </c>
      <c r="I928" t="str">
        <f>IF(J928=0,"",IF(配列!E928="",マクロ実行!$A$16 &amp;" T"&amp;H928&amp;"-"&amp;RIGHT(配列!D928&amp;配列!E928,2),マクロ実行!$A$16 &amp;" T"&amp;H928&amp;"-"&amp;RIGHT(配列!D928&amp;配列!E928,3)))</f>
        <v/>
      </c>
      <c r="J928">
        <f>配列!F888</f>
        <v>0</v>
      </c>
      <c r="K928" s="2" t="e">
        <f>_xlfn.XLOOKUP(E928,セットアップレポート_紐づけ用!A:A,セットアップレポート_紐づけ用!R:R)</f>
        <v>#N/A</v>
      </c>
      <c r="L928" t="e">
        <f t="shared" si="57"/>
        <v>#N/A</v>
      </c>
      <c r="M928" t="e">
        <f>_xlfn.XLOOKUP(L928,EGPro!A:A,EGPro!D:D)</f>
        <v>#N/A</v>
      </c>
      <c r="N928" t="e">
        <f>_xlfn.XLOOKUP(L928,EGPro!A:A,EGPro!C:C)</f>
        <v>#N/A</v>
      </c>
      <c r="O928" t="e">
        <f t="shared" si="58"/>
        <v>#N/A</v>
      </c>
      <c r="P928" t="e">
        <f>_xlfn.XLOOKUP(O928,EGPro!A:A,EGPro!D:D)</f>
        <v>#N/A</v>
      </c>
      <c r="Q928" t="e">
        <f>_xlfn.XLOOKUP(O928,EGPro!A:A,EGPro!C:C)</f>
        <v>#N/A</v>
      </c>
    </row>
    <row r="929" spans="1:17" x14ac:dyDescent="0.45">
      <c r="A929" s="3">
        <f>配列!B889</f>
        <v>0</v>
      </c>
      <c r="B929" s="3" t="e">
        <f>_xlfn.XLOOKUP(A929,対応表!A:A,対応表!B:B)</f>
        <v>#N/A</v>
      </c>
      <c r="C929" s="3">
        <f>配列!C889</f>
        <v>0</v>
      </c>
      <c r="D929" s="3" t="str">
        <f>IF(配列!E889="",RIGHT(配列!D889&amp;配列!E889,4)&amp;"L",RIGHT(配列!D889&amp;配列!E889,5))</f>
        <v>L</v>
      </c>
      <c r="E929" s="3">
        <f t="shared" si="56"/>
        <v>0</v>
      </c>
      <c r="F929" s="3" t="e">
        <f>_xlfn.XLOOKUP(E929,セットアップレポート_紐づけ用!A:A,セットアップレポート_紐づけ用!J:J)</f>
        <v>#N/A</v>
      </c>
      <c r="G929" s="3" t="e">
        <f>_xlfn.XLOOKUP(E929,セットアップレポート_紐づけ用!A:A,セットアップレポート_紐づけ用!V:V)</f>
        <v>#N/A</v>
      </c>
      <c r="H929" s="3">
        <f t="shared" si="59"/>
        <v>-2</v>
      </c>
      <c r="I929" t="str">
        <f>IF(J929=0,"",IF(配列!E929="",マクロ実行!$A$16 &amp;" T"&amp;H929&amp;"-"&amp;RIGHT(配列!D929&amp;配列!E929,2),マクロ実行!$A$16 &amp;" T"&amp;H929&amp;"-"&amp;RIGHT(配列!D929&amp;配列!E929,3)))</f>
        <v/>
      </c>
      <c r="J929">
        <f>配列!F889</f>
        <v>0</v>
      </c>
      <c r="K929" s="2" t="e">
        <f>_xlfn.XLOOKUP(E929,セットアップレポート_紐づけ用!A:A,セットアップレポート_紐づけ用!R:R)</f>
        <v>#N/A</v>
      </c>
      <c r="L929" t="e">
        <f t="shared" si="57"/>
        <v>#N/A</v>
      </c>
      <c r="M929" t="e">
        <f>_xlfn.XLOOKUP(L929,EGPro!A:A,EGPro!D:D)</f>
        <v>#N/A</v>
      </c>
      <c r="N929" t="e">
        <f>_xlfn.XLOOKUP(L929,EGPro!A:A,EGPro!C:C)</f>
        <v>#N/A</v>
      </c>
      <c r="O929" t="e">
        <f t="shared" si="58"/>
        <v>#N/A</v>
      </c>
      <c r="P929" t="e">
        <f>_xlfn.XLOOKUP(O929,EGPro!A:A,EGPro!D:D)</f>
        <v>#N/A</v>
      </c>
      <c r="Q929" t="e">
        <f>_xlfn.XLOOKUP(O929,EGPro!A:A,EGPro!C:C)</f>
        <v>#N/A</v>
      </c>
    </row>
    <row r="930" spans="1:17" x14ac:dyDescent="0.45">
      <c r="A930" s="3">
        <f>配列!B890</f>
        <v>0</v>
      </c>
      <c r="B930" s="3" t="e">
        <f>_xlfn.XLOOKUP(A930,対応表!A:A,対応表!B:B)</f>
        <v>#N/A</v>
      </c>
      <c r="C930" s="3">
        <f>配列!C890</f>
        <v>0</v>
      </c>
      <c r="D930" s="3" t="str">
        <f>IF(配列!E890="",RIGHT(配列!D890&amp;配列!E890,4)&amp;"L",RIGHT(配列!D890&amp;配列!E890,5))</f>
        <v>L</v>
      </c>
      <c r="E930" s="3">
        <f t="shared" si="56"/>
        <v>0</v>
      </c>
      <c r="F930" s="3" t="e">
        <f>_xlfn.XLOOKUP(E930,セットアップレポート_紐づけ用!A:A,セットアップレポート_紐づけ用!J:J)</f>
        <v>#N/A</v>
      </c>
      <c r="G930" s="3" t="e">
        <f>_xlfn.XLOOKUP(E930,セットアップレポート_紐づけ用!A:A,セットアップレポート_紐づけ用!V:V)</f>
        <v>#N/A</v>
      </c>
      <c r="H930" s="3">
        <f t="shared" si="59"/>
        <v>-2</v>
      </c>
      <c r="I930" t="str">
        <f>IF(J930=0,"",IF(配列!E930="",マクロ実行!$A$16 &amp;" T"&amp;H930&amp;"-"&amp;RIGHT(配列!D930&amp;配列!E930,2),マクロ実行!$A$16 &amp;" T"&amp;H930&amp;"-"&amp;RIGHT(配列!D930&amp;配列!E930,3)))</f>
        <v/>
      </c>
      <c r="J930">
        <f>配列!F890</f>
        <v>0</v>
      </c>
      <c r="K930" s="2" t="e">
        <f>_xlfn.XLOOKUP(E930,セットアップレポート_紐づけ用!A:A,セットアップレポート_紐づけ用!R:R)</f>
        <v>#N/A</v>
      </c>
      <c r="L930" t="e">
        <f t="shared" si="57"/>
        <v>#N/A</v>
      </c>
      <c r="M930" t="e">
        <f>_xlfn.XLOOKUP(L930,EGPro!A:A,EGPro!D:D)</f>
        <v>#N/A</v>
      </c>
      <c r="N930" t="e">
        <f>_xlfn.XLOOKUP(L930,EGPro!A:A,EGPro!C:C)</f>
        <v>#N/A</v>
      </c>
      <c r="O930" t="e">
        <f t="shared" si="58"/>
        <v>#N/A</v>
      </c>
      <c r="P930" t="e">
        <f>_xlfn.XLOOKUP(O930,EGPro!A:A,EGPro!D:D)</f>
        <v>#N/A</v>
      </c>
      <c r="Q930" t="e">
        <f>_xlfn.XLOOKUP(O930,EGPro!A:A,EGPro!C:C)</f>
        <v>#N/A</v>
      </c>
    </row>
    <row r="931" spans="1:17" x14ac:dyDescent="0.45">
      <c r="A931" s="3">
        <f>配列!B891</f>
        <v>0</v>
      </c>
      <c r="B931" s="3" t="e">
        <f>_xlfn.XLOOKUP(A931,対応表!A:A,対応表!B:B)</f>
        <v>#N/A</v>
      </c>
      <c r="C931" s="3">
        <f>配列!C891</f>
        <v>0</v>
      </c>
      <c r="D931" s="3" t="str">
        <f>IF(配列!E891="",RIGHT(配列!D891&amp;配列!E891,4)&amp;"L",RIGHT(配列!D891&amp;配列!E891,5))</f>
        <v>L</v>
      </c>
      <c r="E931" s="3">
        <f t="shared" si="56"/>
        <v>0</v>
      </c>
      <c r="F931" s="3" t="e">
        <f>_xlfn.XLOOKUP(E931,セットアップレポート_紐づけ用!A:A,セットアップレポート_紐づけ用!J:J)</f>
        <v>#N/A</v>
      </c>
      <c r="G931" s="3" t="e">
        <f>_xlfn.XLOOKUP(E931,セットアップレポート_紐づけ用!A:A,セットアップレポート_紐づけ用!V:V)</f>
        <v>#N/A</v>
      </c>
      <c r="H931" s="3">
        <f t="shared" si="59"/>
        <v>-2</v>
      </c>
      <c r="I931" t="str">
        <f>IF(J931=0,"",IF(配列!E931="",マクロ実行!$A$16 &amp;" T"&amp;H931&amp;"-"&amp;RIGHT(配列!D931&amp;配列!E931,2),マクロ実行!$A$16 &amp;" T"&amp;H931&amp;"-"&amp;RIGHT(配列!D931&amp;配列!E931,3)))</f>
        <v/>
      </c>
      <c r="J931">
        <f>配列!F891</f>
        <v>0</v>
      </c>
      <c r="K931" s="2" t="e">
        <f>_xlfn.XLOOKUP(E931,セットアップレポート_紐づけ用!A:A,セットアップレポート_紐づけ用!R:R)</f>
        <v>#N/A</v>
      </c>
      <c r="L931" t="e">
        <f t="shared" si="57"/>
        <v>#N/A</v>
      </c>
      <c r="M931" t="e">
        <f>_xlfn.XLOOKUP(L931,EGPro!A:A,EGPro!D:D)</f>
        <v>#N/A</v>
      </c>
      <c r="N931" t="e">
        <f>_xlfn.XLOOKUP(L931,EGPro!A:A,EGPro!C:C)</f>
        <v>#N/A</v>
      </c>
      <c r="O931" t="e">
        <f t="shared" si="58"/>
        <v>#N/A</v>
      </c>
      <c r="P931" t="e">
        <f>_xlfn.XLOOKUP(O931,EGPro!A:A,EGPro!D:D)</f>
        <v>#N/A</v>
      </c>
      <c r="Q931" t="e">
        <f>_xlfn.XLOOKUP(O931,EGPro!A:A,EGPro!C:C)</f>
        <v>#N/A</v>
      </c>
    </row>
    <row r="932" spans="1:17" x14ac:dyDescent="0.45">
      <c r="A932" s="3">
        <f>配列!B892</f>
        <v>0</v>
      </c>
      <c r="B932" s="3" t="e">
        <f>_xlfn.XLOOKUP(A932,対応表!A:A,対応表!B:B)</f>
        <v>#N/A</v>
      </c>
      <c r="C932" s="3">
        <f>配列!C892</f>
        <v>0</v>
      </c>
      <c r="D932" s="3" t="str">
        <f>IF(配列!E892="",RIGHT(配列!D892&amp;配列!E892,4)&amp;"L",RIGHT(配列!D892&amp;配列!E892,5))</f>
        <v>L</v>
      </c>
      <c r="E932" s="3">
        <f t="shared" si="56"/>
        <v>0</v>
      </c>
      <c r="F932" s="3" t="e">
        <f>_xlfn.XLOOKUP(E932,セットアップレポート_紐づけ用!A:A,セットアップレポート_紐づけ用!J:J)</f>
        <v>#N/A</v>
      </c>
      <c r="G932" s="3" t="e">
        <f>_xlfn.XLOOKUP(E932,セットアップレポート_紐づけ用!A:A,セットアップレポート_紐づけ用!V:V)</f>
        <v>#N/A</v>
      </c>
      <c r="H932" s="3">
        <f t="shared" si="59"/>
        <v>-2</v>
      </c>
      <c r="I932" t="str">
        <f>IF(J932=0,"",IF(配列!E932="",マクロ実行!$A$16 &amp;" T"&amp;H932&amp;"-"&amp;RIGHT(配列!D932&amp;配列!E932,2),マクロ実行!$A$16 &amp;" T"&amp;H932&amp;"-"&amp;RIGHT(配列!D932&amp;配列!E932,3)))</f>
        <v/>
      </c>
      <c r="J932">
        <f>配列!F892</f>
        <v>0</v>
      </c>
      <c r="K932" s="2" t="e">
        <f>_xlfn.XLOOKUP(E932,セットアップレポート_紐づけ用!A:A,セットアップレポート_紐づけ用!R:R)</f>
        <v>#N/A</v>
      </c>
      <c r="L932" t="e">
        <f t="shared" si="57"/>
        <v>#N/A</v>
      </c>
      <c r="M932" t="e">
        <f>_xlfn.XLOOKUP(L932,EGPro!A:A,EGPro!D:D)</f>
        <v>#N/A</v>
      </c>
      <c r="N932" t="e">
        <f>_xlfn.XLOOKUP(L932,EGPro!A:A,EGPro!C:C)</f>
        <v>#N/A</v>
      </c>
      <c r="O932" t="e">
        <f t="shared" si="58"/>
        <v>#N/A</v>
      </c>
      <c r="P932" t="e">
        <f>_xlfn.XLOOKUP(O932,EGPro!A:A,EGPro!D:D)</f>
        <v>#N/A</v>
      </c>
      <c r="Q932" t="e">
        <f>_xlfn.XLOOKUP(O932,EGPro!A:A,EGPro!C:C)</f>
        <v>#N/A</v>
      </c>
    </row>
    <row r="933" spans="1:17" x14ac:dyDescent="0.45">
      <c r="A933" s="3">
        <f>配列!B893</f>
        <v>0</v>
      </c>
      <c r="B933" s="3" t="e">
        <f>_xlfn.XLOOKUP(A933,対応表!A:A,対応表!B:B)</f>
        <v>#N/A</v>
      </c>
      <c r="C933" s="3">
        <f>配列!C893</f>
        <v>0</v>
      </c>
      <c r="D933" s="3" t="str">
        <f>IF(配列!E893="",RIGHT(配列!D893&amp;配列!E893,4)&amp;"L",RIGHT(配列!D893&amp;配列!E893,5))</f>
        <v>L</v>
      </c>
      <c r="E933" s="3">
        <f t="shared" si="56"/>
        <v>0</v>
      </c>
      <c r="F933" s="3" t="e">
        <f>_xlfn.XLOOKUP(E933,セットアップレポート_紐づけ用!A:A,セットアップレポート_紐づけ用!J:J)</f>
        <v>#N/A</v>
      </c>
      <c r="G933" s="3" t="e">
        <f>_xlfn.XLOOKUP(E933,セットアップレポート_紐づけ用!A:A,セットアップレポート_紐づけ用!V:V)</f>
        <v>#N/A</v>
      </c>
      <c r="H933" s="3">
        <f t="shared" si="59"/>
        <v>-2</v>
      </c>
      <c r="I933" t="str">
        <f>IF(J933=0,"",IF(配列!E933="",マクロ実行!$A$16 &amp;" T"&amp;H933&amp;"-"&amp;RIGHT(配列!D933&amp;配列!E933,2),マクロ実行!$A$16 &amp;" T"&amp;H933&amp;"-"&amp;RIGHT(配列!D933&amp;配列!E933,3)))</f>
        <v/>
      </c>
      <c r="J933">
        <f>配列!F893</f>
        <v>0</v>
      </c>
      <c r="K933" s="2" t="e">
        <f>_xlfn.XLOOKUP(E933,セットアップレポート_紐づけ用!A:A,セットアップレポート_紐づけ用!R:R)</f>
        <v>#N/A</v>
      </c>
      <c r="L933" t="e">
        <f t="shared" si="57"/>
        <v>#N/A</v>
      </c>
      <c r="M933" t="e">
        <f>_xlfn.XLOOKUP(L933,EGPro!A:A,EGPro!D:D)</f>
        <v>#N/A</v>
      </c>
      <c r="N933" t="e">
        <f>_xlfn.XLOOKUP(L933,EGPro!A:A,EGPro!C:C)</f>
        <v>#N/A</v>
      </c>
      <c r="O933" t="e">
        <f t="shared" si="58"/>
        <v>#N/A</v>
      </c>
      <c r="P933" t="e">
        <f>_xlfn.XLOOKUP(O933,EGPro!A:A,EGPro!D:D)</f>
        <v>#N/A</v>
      </c>
      <c r="Q933" t="e">
        <f>_xlfn.XLOOKUP(O933,EGPro!A:A,EGPro!C:C)</f>
        <v>#N/A</v>
      </c>
    </row>
    <row r="934" spans="1:17" x14ac:dyDescent="0.45">
      <c r="A934" s="3">
        <f>配列!B894</f>
        <v>0</v>
      </c>
      <c r="B934" s="3" t="e">
        <f>_xlfn.XLOOKUP(A934,対応表!A:A,対応表!B:B)</f>
        <v>#N/A</v>
      </c>
      <c r="C934" s="3">
        <f>配列!C894</f>
        <v>0</v>
      </c>
      <c r="D934" s="3" t="str">
        <f>IF(配列!E894="",RIGHT(配列!D894&amp;配列!E894,4)&amp;"L",RIGHT(配列!D894&amp;配列!E894,5))</f>
        <v>L</v>
      </c>
      <c r="E934" s="3">
        <f t="shared" si="56"/>
        <v>0</v>
      </c>
      <c r="F934" s="3" t="e">
        <f>_xlfn.XLOOKUP(E934,セットアップレポート_紐づけ用!A:A,セットアップレポート_紐づけ用!J:J)</f>
        <v>#N/A</v>
      </c>
      <c r="G934" s="3" t="e">
        <f>_xlfn.XLOOKUP(E934,セットアップレポート_紐づけ用!A:A,セットアップレポート_紐づけ用!V:V)</f>
        <v>#N/A</v>
      </c>
      <c r="H934" s="3">
        <f t="shared" si="59"/>
        <v>-2</v>
      </c>
      <c r="I934" t="str">
        <f>IF(J934=0,"",IF(配列!E934="",マクロ実行!$A$16 &amp;" T"&amp;H934&amp;"-"&amp;RIGHT(配列!D934&amp;配列!E934,2),マクロ実行!$A$16 &amp;" T"&amp;H934&amp;"-"&amp;RIGHT(配列!D934&amp;配列!E934,3)))</f>
        <v/>
      </c>
      <c r="J934">
        <f>配列!F894</f>
        <v>0</v>
      </c>
      <c r="K934" s="2" t="e">
        <f>_xlfn.XLOOKUP(E934,セットアップレポート_紐づけ用!A:A,セットアップレポート_紐づけ用!R:R)</f>
        <v>#N/A</v>
      </c>
      <c r="L934" t="e">
        <f t="shared" si="57"/>
        <v>#N/A</v>
      </c>
      <c r="M934" t="e">
        <f>_xlfn.XLOOKUP(L934,EGPro!A:A,EGPro!D:D)</f>
        <v>#N/A</v>
      </c>
      <c r="N934" t="e">
        <f>_xlfn.XLOOKUP(L934,EGPro!A:A,EGPro!C:C)</f>
        <v>#N/A</v>
      </c>
      <c r="O934" t="e">
        <f t="shared" si="58"/>
        <v>#N/A</v>
      </c>
      <c r="P934" t="e">
        <f>_xlfn.XLOOKUP(O934,EGPro!A:A,EGPro!D:D)</f>
        <v>#N/A</v>
      </c>
      <c r="Q934" t="e">
        <f>_xlfn.XLOOKUP(O934,EGPro!A:A,EGPro!C:C)</f>
        <v>#N/A</v>
      </c>
    </row>
    <row r="935" spans="1:17" x14ac:dyDescent="0.45">
      <c r="A935" s="3">
        <f>配列!B895</f>
        <v>0</v>
      </c>
      <c r="B935" s="3" t="e">
        <f>_xlfn.XLOOKUP(A935,対応表!A:A,対応表!B:B)</f>
        <v>#N/A</v>
      </c>
      <c r="C935" s="3">
        <f>配列!C895</f>
        <v>0</v>
      </c>
      <c r="D935" s="3" t="str">
        <f>IF(配列!E895="",RIGHT(配列!D895&amp;配列!E895,4)&amp;"L",RIGHT(配列!D895&amp;配列!E895,5))</f>
        <v>L</v>
      </c>
      <c r="E935" s="3">
        <f t="shared" si="56"/>
        <v>0</v>
      </c>
      <c r="F935" s="3" t="e">
        <f>_xlfn.XLOOKUP(E935,セットアップレポート_紐づけ用!A:A,セットアップレポート_紐づけ用!J:J)</f>
        <v>#N/A</v>
      </c>
      <c r="G935" s="3" t="e">
        <f>_xlfn.XLOOKUP(E935,セットアップレポート_紐づけ用!A:A,セットアップレポート_紐づけ用!V:V)</f>
        <v>#N/A</v>
      </c>
      <c r="H935" s="3">
        <f t="shared" si="59"/>
        <v>-2</v>
      </c>
      <c r="I935" t="str">
        <f>IF(J935=0,"",IF(配列!E935="",マクロ実行!$A$16 &amp;" T"&amp;H935&amp;"-"&amp;RIGHT(配列!D935&amp;配列!E935,2),マクロ実行!$A$16 &amp;" T"&amp;H935&amp;"-"&amp;RIGHT(配列!D935&amp;配列!E935,3)))</f>
        <v/>
      </c>
      <c r="J935">
        <f>配列!F895</f>
        <v>0</v>
      </c>
      <c r="K935" s="2" t="e">
        <f>_xlfn.XLOOKUP(E935,セットアップレポート_紐づけ用!A:A,セットアップレポート_紐づけ用!R:R)</f>
        <v>#N/A</v>
      </c>
      <c r="L935" t="e">
        <f t="shared" si="57"/>
        <v>#N/A</v>
      </c>
      <c r="M935" t="e">
        <f>_xlfn.XLOOKUP(L935,EGPro!A:A,EGPro!D:D)</f>
        <v>#N/A</v>
      </c>
      <c r="N935" t="e">
        <f>_xlfn.XLOOKUP(L935,EGPro!A:A,EGPro!C:C)</f>
        <v>#N/A</v>
      </c>
      <c r="O935" t="e">
        <f t="shared" si="58"/>
        <v>#N/A</v>
      </c>
      <c r="P935" t="e">
        <f>_xlfn.XLOOKUP(O935,EGPro!A:A,EGPro!D:D)</f>
        <v>#N/A</v>
      </c>
      <c r="Q935" t="e">
        <f>_xlfn.XLOOKUP(O935,EGPro!A:A,EGPro!C:C)</f>
        <v>#N/A</v>
      </c>
    </row>
    <row r="936" spans="1:17" x14ac:dyDescent="0.45">
      <c r="A936" s="3">
        <f>配列!B896</f>
        <v>0</v>
      </c>
      <c r="B936" s="3" t="e">
        <f>_xlfn.XLOOKUP(A936,対応表!A:A,対応表!B:B)</f>
        <v>#N/A</v>
      </c>
      <c r="C936" s="3">
        <f>配列!C896</f>
        <v>0</v>
      </c>
      <c r="D936" s="3" t="str">
        <f>IF(配列!E896="",RIGHT(配列!D896&amp;配列!E896,4)&amp;"L",RIGHT(配列!D896&amp;配列!E896,5))</f>
        <v>L</v>
      </c>
      <c r="E936" s="3">
        <f t="shared" si="56"/>
        <v>0</v>
      </c>
      <c r="F936" s="3" t="e">
        <f>_xlfn.XLOOKUP(E936,セットアップレポート_紐づけ用!A:A,セットアップレポート_紐づけ用!J:J)</f>
        <v>#N/A</v>
      </c>
      <c r="G936" s="3" t="e">
        <f>_xlfn.XLOOKUP(E936,セットアップレポート_紐づけ用!A:A,セットアップレポート_紐づけ用!V:V)</f>
        <v>#N/A</v>
      </c>
      <c r="H936" s="3">
        <f t="shared" si="59"/>
        <v>-2</v>
      </c>
      <c r="I936" t="str">
        <f>IF(J936=0,"",IF(配列!E936="",マクロ実行!$A$16 &amp;" T"&amp;H936&amp;"-"&amp;RIGHT(配列!D936&amp;配列!E936,2),マクロ実行!$A$16 &amp;" T"&amp;H936&amp;"-"&amp;RIGHT(配列!D936&amp;配列!E936,3)))</f>
        <v/>
      </c>
      <c r="J936">
        <f>配列!F896</f>
        <v>0</v>
      </c>
      <c r="K936" s="2" t="e">
        <f>_xlfn.XLOOKUP(E936,セットアップレポート_紐づけ用!A:A,セットアップレポート_紐づけ用!R:R)</f>
        <v>#N/A</v>
      </c>
      <c r="L936" t="e">
        <f t="shared" si="57"/>
        <v>#N/A</v>
      </c>
      <c r="M936" t="e">
        <f>_xlfn.XLOOKUP(L936,EGPro!A:A,EGPro!D:D)</f>
        <v>#N/A</v>
      </c>
      <c r="N936" t="e">
        <f>_xlfn.XLOOKUP(L936,EGPro!A:A,EGPro!C:C)</f>
        <v>#N/A</v>
      </c>
      <c r="O936" t="e">
        <f t="shared" si="58"/>
        <v>#N/A</v>
      </c>
      <c r="P936" t="e">
        <f>_xlfn.XLOOKUP(O936,EGPro!A:A,EGPro!D:D)</f>
        <v>#N/A</v>
      </c>
      <c r="Q936" t="e">
        <f>_xlfn.XLOOKUP(O936,EGPro!A:A,EGPro!C:C)</f>
        <v>#N/A</v>
      </c>
    </row>
    <row r="937" spans="1:17" x14ac:dyDescent="0.45">
      <c r="A937" s="3">
        <f>配列!B897</f>
        <v>0</v>
      </c>
      <c r="B937" s="3" t="e">
        <f>_xlfn.XLOOKUP(A937,対応表!A:A,対応表!B:B)</f>
        <v>#N/A</v>
      </c>
      <c r="C937" s="3">
        <f>配列!C897</f>
        <v>0</v>
      </c>
      <c r="D937" s="3" t="str">
        <f>IF(配列!E897="",RIGHT(配列!D897&amp;配列!E897,4)&amp;"L",RIGHT(配列!D897&amp;配列!E897,5))</f>
        <v>L</v>
      </c>
      <c r="E937" s="3">
        <f t="shared" si="56"/>
        <v>0</v>
      </c>
      <c r="F937" s="3" t="e">
        <f>_xlfn.XLOOKUP(E937,セットアップレポート_紐づけ用!A:A,セットアップレポート_紐づけ用!J:J)</f>
        <v>#N/A</v>
      </c>
      <c r="G937" s="3" t="e">
        <f>_xlfn.XLOOKUP(E937,セットアップレポート_紐づけ用!A:A,セットアップレポート_紐づけ用!V:V)</f>
        <v>#N/A</v>
      </c>
      <c r="H937" s="3">
        <f t="shared" si="59"/>
        <v>-2</v>
      </c>
      <c r="I937" t="str">
        <f>IF(J937=0,"",IF(配列!E937="",マクロ実行!$A$16 &amp;" T"&amp;H937&amp;"-"&amp;RIGHT(配列!D937&amp;配列!E937,2),マクロ実行!$A$16 &amp;" T"&amp;H937&amp;"-"&amp;RIGHT(配列!D937&amp;配列!E937,3)))</f>
        <v/>
      </c>
      <c r="J937">
        <f>配列!F897</f>
        <v>0</v>
      </c>
      <c r="K937" s="2" t="e">
        <f>_xlfn.XLOOKUP(E937,セットアップレポート_紐づけ用!A:A,セットアップレポート_紐づけ用!R:R)</f>
        <v>#N/A</v>
      </c>
      <c r="L937" t="e">
        <f t="shared" si="57"/>
        <v>#N/A</v>
      </c>
      <c r="M937" t="e">
        <f>_xlfn.XLOOKUP(L937,EGPro!A:A,EGPro!D:D)</f>
        <v>#N/A</v>
      </c>
      <c r="N937" t="e">
        <f>_xlfn.XLOOKUP(L937,EGPro!A:A,EGPro!C:C)</f>
        <v>#N/A</v>
      </c>
      <c r="O937" t="e">
        <f t="shared" si="58"/>
        <v>#N/A</v>
      </c>
      <c r="P937" t="e">
        <f>_xlfn.XLOOKUP(O937,EGPro!A:A,EGPro!D:D)</f>
        <v>#N/A</v>
      </c>
      <c r="Q937" t="e">
        <f>_xlfn.XLOOKUP(O937,EGPro!A:A,EGPro!C:C)</f>
        <v>#N/A</v>
      </c>
    </row>
    <row r="938" spans="1:17" x14ac:dyDescent="0.45">
      <c r="A938" s="3">
        <f>配列!B898</f>
        <v>0</v>
      </c>
      <c r="B938" s="3" t="e">
        <f>_xlfn.XLOOKUP(A938,対応表!A:A,対応表!B:B)</f>
        <v>#N/A</v>
      </c>
      <c r="C938" s="3">
        <f>配列!C898</f>
        <v>0</v>
      </c>
      <c r="D938" s="3" t="str">
        <f>IF(配列!E898="",RIGHT(配列!D898&amp;配列!E898,4)&amp;"L",RIGHT(配列!D898&amp;配列!E898,5))</f>
        <v>L</v>
      </c>
      <c r="E938" s="3">
        <f t="shared" si="56"/>
        <v>0</v>
      </c>
      <c r="F938" s="3" t="e">
        <f>_xlfn.XLOOKUP(E938,セットアップレポート_紐づけ用!A:A,セットアップレポート_紐づけ用!J:J)</f>
        <v>#N/A</v>
      </c>
      <c r="G938" s="3" t="e">
        <f>_xlfn.XLOOKUP(E938,セットアップレポート_紐づけ用!A:A,セットアップレポート_紐づけ用!V:V)</f>
        <v>#N/A</v>
      </c>
      <c r="H938" s="3">
        <f t="shared" si="59"/>
        <v>-2</v>
      </c>
      <c r="I938" t="str">
        <f>IF(J938=0,"",IF(配列!E938="",マクロ実行!$A$16 &amp;" T"&amp;H938&amp;"-"&amp;RIGHT(配列!D938&amp;配列!E938,2),マクロ実行!$A$16 &amp;" T"&amp;H938&amp;"-"&amp;RIGHT(配列!D938&amp;配列!E938,3)))</f>
        <v/>
      </c>
      <c r="J938">
        <f>配列!F898</f>
        <v>0</v>
      </c>
      <c r="K938" s="2" t="e">
        <f>_xlfn.XLOOKUP(E938,セットアップレポート_紐づけ用!A:A,セットアップレポート_紐づけ用!R:R)</f>
        <v>#N/A</v>
      </c>
      <c r="L938" t="e">
        <f t="shared" si="57"/>
        <v>#N/A</v>
      </c>
      <c r="M938" t="e">
        <f>_xlfn.XLOOKUP(L938,EGPro!A:A,EGPro!D:D)</f>
        <v>#N/A</v>
      </c>
      <c r="N938" t="e">
        <f>_xlfn.XLOOKUP(L938,EGPro!A:A,EGPro!C:C)</f>
        <v>#N/A</v>
      </c>
      <c r="O938" t="e">
        <f t="shared" si="58"/>
        <v>#N/A</v>
      </c>
      <c r="P938" t="e">
        <f>_xlfn.XLOOKUP(O938,EGPro!A:A,EGPro!D:D)</f>
        <v>#N/A</v>
      </c>
      <c r="Q938" t="e">
        <f>_xlfn.XLOOKUP(O938,EGPro!A:A,EGPro!C:C)</f>
        <v>#N/A</v>
      </c>
    </row>
    <row r="939" spans="1:17" x14ac:dyDescent="0.45">
      <c r="A939" s="3">
        <f>配列!B899</f>
        <v>0</v>
      </c>
      <c r="B939" s="3" t="e">
        <f>_xlfn.XLOOKUP(A939,対応表!A:A,対応表!B:B)</f>
        <v>#N/A</v>
      </c>
      <c r="C939" s="3">
        <f>配列!C899</f>
        <v>0</v>
      </c>
      <c r="D939" s="3" t="str">
        <f>IF(配列!E899="",RIGHT(配列!D899&amp;配列!E899,4)&amp;"L",RIGHT(配列!D899&amp;配列!E899,5))</f>
        <v>L</v>
      </c>
      <c r="E939" s="3">
        <f t="shared" si="56"/>
        <v>0</v>
      </c>
      <c r="F939" s="3" t="e">
        <f>_xlfn.XLOOKUP(E939,セットアップレポート_紐づけ用!A:A,セットアップレポート_紐づけ用!J:J)</f>
        <v>#N/A</v>
      </c>
      <c r="G939" s="3" t="e">
        <f>_xlfn.XLOOKUP(E939,セットアップレポート_紐づけ用!A:A,セットアップレポート_紐づけ用!V:V)</f>
        <v>#N/A</v>
      </c>
      <c r="H939" s="3">
        <f t="shared" si="59"/>
        <v>-2</v>
      </c>
      <c r="I939" t="str">
        <f>IF(J939=0,"",IF(配列!E939="",マクロ実行!$A$16 &amp;" T"&amp;H939&amp;"-"&amp;RIGHT(配列!D939&amp;配列!E939,2),マクロ実行!$A$16 &amp;" T"&amp;H939&amp;"-"&amp;RIGHT(配列!D939&amp;配列!E939,3)))</f>
        <v/>
      </c>
      <c r="J939">
        <f>配列!F899</f>
        <v>0</v>
      </c>
      <c r="K939" s="2" t="e">
        <f>_xlfn.XLOOKUP(E939,セットアップレポート_紐づけ用!A:A,セットアップレポート_紐づけ用!R:R)</f>
        <v>#N/A</v>
      </c>
      <c r="L939" t="e">
        <f t="shared" si="57"/>
        <v>#N/A</v>
      </c>
      <c r="M939" t="e">
        <f>_xlfn.XLOOKUP(L939,EGPro!A:A,EGPro!D:D)</f>
        <v>#N/A</v>
      </c>
      <c r="N939" t="e">
        <f>_xlfn.XLOOKUP(L939,EGPro!A:A,EGPro!C:C)</f>
        <v>#N/A</v>
      </c>
      <c r="O939" t="e">
        <f t="shared" si="58"/>
        <v>#N/A</v>
      </c>
      <c r="P939" t="e">
        <f>_xlfn.XLOOKUP(O939,EGPro!A:A,EGPro!D:D)</f>
        <v>#N/A</v>
      </c>
      <c r="Q939" t="e">
        <f>_xlfn.XLOOKUP(O939,EGPro!A:A,EGPro!C:C)</f>
        <v>#N/A</v>
      </c>
    </row>
    <row r="940" spans="1:17" x14ac:dyDescent="0.45">
      <c r="A940" s="3">
        <f>配列!B900</f>
        <v>0</v>
      </c>
      <c r="B940" s="3" t="e">
        <f>_xlfn.XLOOKUP(A940,対応表!A:A,対応表!B:B)</f>
        <v>#N/A</v>
      </c>
      <c r="C940" s="3">
        <f>配列!C900</f>
        <v>0</v>
      </c>
      <c r="D940" s="3" t="str">
        <f>IF(配列!E900="",RIGHT(配列!D900&amp;配列!E900,4)&amp;"L",RIGHT(配列!D900&amp;配列!E900,5))</f>
        <v>L</v>
      </c>
      <c r="E940" s="3">
        <f t="shared" si="56"/>
        <v>0</v>
      </c>
      <c r="F940" s="3" t="e">
        <f>_xlfn.XLOOKUP(E940,セットアップレポート_紐づけ用!A:A,セットアップレポート_紐づけ用!J:J)</f>
        <v>#N/A</v>
      </c>
      <c r="G940" s="3" t="e">
        <f>_xlfn.XLOOKUP(E940,セットアップレポート_紐づけ用!A:A,セットアップレポート_紐づけ用!V:V)</f>
        <v>#N/A</v>
      </c>
      <c r="H940" s="3">
        <f t="shared" si="59"/>
        <v>-2</v>
      </c>
      <c r="I940" t="str">
        <f>IF(J940=0,"",IF(配列!E940="",マクロ実行!$A$16 &amp;" T"&amp;H940&amp;"-"&amp;RIGHT(配列!D940&amp;配列!E940,2),マクロ実行!$A$16 &amp;" T"&amp;H940&amp;"-"&amp;RIGHT(配列!D940&amp;配列!E940,3)))</f>
        <v/>
      </c>
      <c r="J940">
        <f>配列!F900</f>
        <v>0</v>
      </c>
      <c r="K940" s="2" t="e">
        <f>_xlfn.XLOOKUP(E940,セットアップレポート_紐づけ用!A:A,セットアップレポート_紐づけ用!R:R)</f>
        <v>#N/A</v>
      </c>
      <c r="L940" t="e">
        <f t="shared" si="57"/>
        <v>#N/A</v>
      </c>
      <c r="M940" t="e">
        <f>_xlfn.XLOOKUP(L940,EGPro!A:A,EGPro!D:D)</f>
        <v>#N/A</v>
      </c>
      <c r="N940" t="e">
        <f>_xlfn.XLOOKUP(L940,EGPro!A:A,EGPro!C:C)</f>
        <v>#N/A</v>
      </c>
      <c r="O940" t="e">
        <f t="shared" si="58"/>
        <v>#N/A</v>
      </c>
      <c r="P940" t="e">
        <f>_xlfn.XLOOKUP(O940,EGPro!A:A,EGPro!D:D)</f>
        <v>#N/A</v>
      </c>
      <c r="Q940" t="e">
        <f>_xlfn.XLOOKUP(O940,EGPro!A:A,EGPro!C:C)</f>
        <v>#N/A</v>
      </c>
    </row>
    <row r="941" spans="1:17" x14ac:dyDescent="0.45">
      <c r="A941" s="3">
        <f>配列!B901</f>
        <v>0</v>
      </c>
      <c r="B941" s="3" t="e">
        <f>_xlfn.XLOOKUP(A941,対応表!A:A,対応表!B:B)</f>
        <v>#N/A</v>
      </c>
      <c r="C941" s="3">
        <f>配列!C901</f>
        <v>0</v>
      </c>
      <c r="D941" s="3" t="str">
        <f>IF(配列!E901="",RIGHT(配列!D901&amp;配列!E901,4)&amp;"L",RIGHT(配列!D901&amp;配列!E901,5))</f>
        <v>L</v>
      </c>
      <c r="E941" s="3">
        <f t="shared" si="56"/>
        <v>0</v>
      </c>
      <c r="F941" s="3" t="e">
        <f>_xlfn.XLOOKUP(E941,セットアップレポート_紐づけ用!A:A,セットアップレポート_紐づけ用!J:J)</f>
        <v>#N/A</v>
      </c>
      <c r="G941" s="3" t="e">
        <f>_xlfn.XLOOKUP(E941,セットアップレポート_紐づけ用!A:A,セットアップレポート_紐づけ用!V:V)</f>
        <v>#N/A</v>
      </c>
      <c r="H941" s="3">
        <f t="shared" si="59"/>
        <v>-2</v>
      </c>
      <c r="I941" t="str">
        <f>IF(J941=0,"",IF(配列!E941="",マクロ実行!$A$16 &amp;" T"&amp;H941&amp;"-"&amp;RIGHT(配列!D941&amp;配列!E941,2),マクロ実行!$A$16 &amp;" T"&amp;H941&amp;"-"&amp;RIGHT(配列!D941&amp;配列!E941,3)))</f>
        <v/>
      </c>
      <c r="J941">
        <f>配列!F901</f>
        <v>0</v>
      </c>
      <c r="K941" s="2" t="e">
        <f>_xlfn.XLOOKUP(E941,セットアップレポート_紐づけ用!A:A,セットアップレポート_紐づけ用!R:R)</f>
        <v>#N/A</v>
      </c>
      <c r="L941" t="e">
        <f t="shared" si="57"/>
        <v>#N/A</v>
      </c>
      <c r="M941" t="e">
        <f>_xlfn.XLOOKUP(L941,EGPro!A:A,EGPro!D:D)</f>
        <v>#N/A</v>
      </c>
      <c r="N941" t="e">
        <f>_xlfn.XLOOKUP(L941,EGPro!A:A,EGPro!C:C)</f>
        <v>#N/A</v>
      </c>
      <c r="O941" t="e">
        <f t="shared" si="58"/>
        <v>#N/A</v>
      </c>
      <c r="P941" t="e">
        <f>_xlfn.XLOOKUP(O941,EGPro!A:A,EGPro!D:D)</f>
        <v>#N/A</v>
      </c>
      <c r="Q941" t="e">
        <f>_xlfn.XLOOKUP(O941,EGPro!A:A,EGPro!C:C)</f>
        <v>#N/A</v>
      </c>
    </row>
    <row r="942" spans="1:17" x14ac:dyDescent="0.45">
      <c r="A942" s="3">
        <f>配列!B902</f>
        <v>0</v>
      </c>
      <c r="B942" s="3" t="e">
        <f>_xlfn.XLOOKUP(A942,対応表!A:A,対応表!B:B)</f>
        <v>#N/A</v>
      </c>
      <c r="C942" s="3">
        <f>配列!C902</f>
        <v>0</v>
      </c>
      <c r="D942" s="3" t="str">
        <f>IF(配列!E902="",RIGHT(配列!D902&amp;配列!E902,4)&amp;"L",RIGHT(配列!D902&amp;配列!E902,5))</f>
        <v>L</v>
      </c>
      <c r="E942" s="3">
        <f t="shared" si="56"/>
        <v>0</v>
      </c>
      <c r="F942" s="3" t="e">
        <f>_xlfn.XLOOKUP(E942,セットアップレポート_紐づけ用!A:A,セットアップレポート_紐づけ用!J:J)</f>
        <v>#N/A</v>
      </c>
      <c r="G942" s="3" t="e">
        <f>_xlfn.XLOOKUP(E942,セットアップレポート_紐づけ用!A:A,セットアップレポート_紐づけ用!V:V)</f>
        <v>#N/A</v>
      </c>
      <c r="H942" s="3">
        <f t="shared" si="59"/>
        <v>-2</v>
      </c>
      <c r="I942" t="str">
        <f>IF(J942=0,"",IF(配列!E942="",マクロ実行!$A$16 &amp;" T"&amp;H942&amp;"-"&amp;RIGHT(配列!D942&amp;配列!E942,2),マクロ実行!$A$16 &amp;" T"&amp;H942&amp;"-"&amp;RIGHT(配列!D942&amp;配列!E942,3)))</f>
        <v/>
      </c>
      <c r="J942">
        <f>配列!F902</f>
        <v>0</v>
      </c>
      <c r="K942" s="2" t="e">
        <f>_xlfn.XLOOKUP(E942,セットアップレポート_紐づけ用!A:A,セットアップレポート_紐づけ用!R:R)</f>
        <v>#N/A</v>
      </c>
      <c r="L942" t="e">
        <f t="shared" si="57"/>
        <v>#N/A</v>
      </c>
      <c r="M942" t="e">
        <f>_xlfn.XLOOKUP(L942,EGPro!A:A,EGPro!D:D)</f>
        <v>#N/A</v>
      </c>
      <c r="N942" t="e">
        <f>_xlfn.XLOOKUP(L942,EGPro!A:A,EGPro!C:C)</f>
        <v>#N/A</v>
      </c>
      <c r="O942" t="e">
        <f t="shared" si="58"/>
        <v>#N/A</v>
      </c>
      <c r="P942" t="e">
        <f>_xlfn.XLOOKUP(O942,EGPro!A:A,EGPro!D:D)</f>
        <v>#N/A</v>
      </c>
      <c r="Q942" t="e">
        <f>_xlfn.XLOOKUP(O942,EGPro!A:A,EGPro!C:C)</f>
        <v>#N/A</v>
      </c>
    </row>
    <row r="943" spans="1:17" x14ac:dyDescent="0.45">
      <c r="A943" s="3">
        <f>配列!B903</f>
        <v>0</v>
      </c>
      <c r="B943" s="3" t="e">
        <f>_xlfn.XLOOKUP(A943,対応表!A:A,対応表!B:B)</f>
        <v>#N/A</v>
      </c>
      <c r="C943" s="3">
        <f>配列!C903</f>
        <v>0</v>
      </c>
      <c r="D943" s="3" t="str">
        <f>IF(配列!E903="",RIGHT(配列!D903&amp;配列!E903,4)&amp;"L",RIGHT(配列!D903&amp;配列!E903,5))</f>
        <v>L</v>
      </c>
      <c r="E943" s="3">
        <f t="shared" si="56"/>
        <v>0</v>
      </c>
      <c r="F943" s="3" t="e">
        <f>_xlfn.XLOOKUP(E943,セットアップレポート_紐づけ用!A:A,セットアップレポート_紐づけ用!J:J)</f>
        <v>#N/A</v>
      </c>
      <c r="G943" s="3" t="e">
        <f>_xlfn.XLOOKUP(E943,セットアップレポート_紐づけ用!A:A,セットアップレポート_紐づけ用!V:V)</f>
        <v>#N/A</v>
      </c>
      <c r="H943" s="3">
        <f t="shared" si="59"/>
        <v>-2</v>
      </c>
      <c r="I943" t="str">
        <f>IF(J943=0,"",IF(配列!E943="",マクロ実行!$A$16 &amp;" T"&amp;H943&amp;"-"&amp;RIGHT(配列!D943&amp;配列!E943,2),マクロ実行!$A$16 &amp;" T"&amp;H943&amp;"-"&amp;RIGHT(配列!D943&amp;配列!E943,3)))</f>
        <v/>
      </c>
      <c r="J943">
        <f>配列!F903</f>
        <v>0</v>
      </c>
      <c r="K943" s="2" t="e">
        <f>_xlfn.XLOOKUP(E943,セットアップレポート_紐づけ用!A:A,セットアップレポート_紐づけ用!R:R)</f>
        <v>#N/A</v>
      </c>
      <c r="L943" t="e">
        <f t="shared" si="57"/>
        <v>#N/A</v>
      </c>
      <c r="M943" t="e">
        <f>_xlfn.XLOOKUP(L943,EGPro!A:A,EGPro!D:D)</f>
        <v>#N/A</v>
      </c>
      <c r="N943" t="e">
        <f>_xlfn.XLOOKUP(L943,EGPro!A:A,EGPro!C:C)</f>
        <v>#N/A</v>
      </c>
      <c r="O943" t="e">
        <f t="shared" si="58"/>
        <v>#N/A</v>
      </c>
      <c r="P943" t="e">
        <f>_xlfn.XLOOKUP(O943,EGPro!A:A,EGPro!D:D)</f>
        <v>#N/A</v>
      </c>
      <c r="Q943" t="e">
        <f>_xlfn.XLOOKUP(O943,EGPro!A:A,EGPro!C:C)</f>
        <v>#N/A</v>
      </c>
    </row>
    <row r="944" spans="1:17" x14ac:dyDescent="0.45">
      <c r="A944" s="3">
        <f>配列!B904</f>
        <v>0</v>
      </c>
      <c r="B944" s="3" t="e">
        <f>_xlfn.XLOOKUP(A944,対応表!A:A,対応表!B:B)</f>
        <v>#N/A</v>
      </c>
      <c r="C944" s="3">
        <f>配列!C904</f>
        <v>0</v>
      </c>
      <c r="D944" s="3" t="str">
        <f>IF(配列!E904="",RIGHT(配列!D904&amp;配列!E904,4)&amp;"L",RIGHT(配列!D904&amp;配列!E904,5))</f>
        <v>L</v>
      </c>
      <c r="E944" s="3">
        <f t="shared" si="56"/>
        <v>0</v>
      </c>
      <c r="F944" s="3" t="e">
        <f>_xlfn.XLOOKUP(E944,セットアップレポート_紐づけ用!A:A,セットアップレポート_紐づけ用!J:J)</f>
        <v>#N/A</v>
      </c>
      <c r="G944" s="3" t="e">
        <f>_xlfn.XLOOKUP(E944,セットアップレポート_紐づけ用!A:A,セットアップレポート_紐づけ用!V:V)</f>
        <v>#N/A</v>
      </c>
      <c r="H944" s="3">
        <f t="shared" si="59"/>
        <v>-2</v>
      </c>
      <c r="I944" t="str">
        <f>IF(J944=0,"",IF(配列!E944="",マクロ実行!$A$16 &amp;" T"&amp;H944&amp;"-"&amp;RIGHT(配列!D944&amp;配列!E944,2),マクロ実行!$A$16 &amp;" T"&amp;H944&amp;"-"&amp;RIGHT(配列!D944&amp;配列!E944,3)))</f>
        <v/>
      </c>
      <c r="J944">
        <f>配列!F904</f>
        <v>0</v>
      </c>
      <c r="K944" s="2" t="e">
        <f>_xlfn.XLOOKUP(E944,セットアップレポート_紐づけ用!A:A,セットアップレポート_紐づけ用!R:R)</f>
        <v>#N/A</v>
      </c>
      <c r="L944" t="e">
        <f t="shared" si="57"/>
        <v>#N/A</v>
      </c>
      <c r="M944" t="e">
        <f>_xlfn.XLOOKUP(L944,EGPro!A:A,EGPro!D:D)</f>
        <v>#N/A</v>
      </c>
      <c r="N944" t="e">
        <f>_xlfn.XLOOKUP(L944,EGPro!A:A,EGPro!C:C)</f>
        <v>#N/A</v>
      </c>
      <c r="O944" t="e">
        <f t="shared" si="58"/>
        <v>#N/A</v>
      </c>
      <c r="P944" t="e">
        <f>_xlfn.XLOOKUP(O944,EGPro!A:A,EGPro!D:D)</f>
        <v>#N/A</v>
      </c>
      <c r="Q944" t="e">
        <f>_xlfn.XLOOKUP(O944,EGPro!A:A,EGPro!C:C)</f>
        <v>#N/A</v>
      </c>
    </row>
    <row r="945" spans="1:17" x14ac:dyDescent="0.45">
      <c r="A945" s="3">
        <f>配列!B905</f>
        <v>0</v>
      </c>
      <c r="B945" s="3" t="e">
        <f>_xlfn.XLOOKUP(A945,対応表!A:A,対応表!B:B)</f>
        <v>#N/A</v>
      </c>
      <c r="C945" s="3">
        <f>配列!C905</f>
        <v>0</v>
      </c>
      <c r="D945" s="3" t="str">
        <f>IF(配列!E905="",RIGHT(配列!D905&amp;配列!E905,4)&amp;"L",RIGHT(配列!D905&amp;配列!E905,5))</f>
        <v>L</v>
      </c>
      <c r="E945" s="3">
        <f t="shared" si="56"/>
        <v>0</v>
      </c>
      <c r="F945" s="3" t="e">
        <f>_xlfn.XLOOKUP(E945,セットアップレポート_紐づけ用!A:A,セットアップレポート_紐づけ用!J:J)</f>
        <v>#N/A</v>
      </c>
      <c r="G945" s="3" t="e">
        <f>_xlfn.XLOOKUP(E945,セットアップレポート_紐づけ用!A:A,セットアップレポート_紐づけ用!V:V)</f>
        <v>#N/A</v>
      </c>
      <c r="H945" s="3">
        <f t="shared" si="59"/>
        <v>-2</v>
      </c>
      <c r="I945" t="str">
        <f>IF(J945=0,"",IF(配列!E945="",マクロ実行!$A$16 &amp;" T"&amp;H945&amp;"-"&amp;RIGHT(配列!D945&amp;配列!E945,2),マクロ実行!$A$16 &amp;" T"&amp;H945&amp;"-"&amp;RIGHT(配列!D945&amp;配列!E945,3)))</f>
        <v/>
      </c>
      <c r="J945">
        <f>配列!F905</f>
        <v>0</v>
      </c>
      <c r="K945" s="2" t="e">
        <f>_xlfn.XLOOKUP(E945,セットアップレポート_紐づけ用!A:A,セットアップレポート_紐づけ用!R:R)</f>
        <v>#N/A</v>
      </c>
      <c r="L945" t="e">
        <f t="shared" si="57"/>
        <v>#N/A</v>
      </c>
      <c r="M945" t="e">
        <f>_xlfn.XLOOKUP(L945,EGPro!A:A,EGPro!D:D)</f>
        <v>#N/A</v>
      </c>
      <c r="N945" t="e">
        <f>_xlfn.XLOOKUP(L945,EGPro!A:A,EGPro!C:C)</f>
        <v>#N/A</v>
      </c>
      <c r="O945" t="e">
        <f t="shared" si="58"/>
        <v>#N/A</v>
      </c>
      <c r="P945" t="e">
        <f>_xlfn.XLOOKUP(O945,EGPro!A:A,EGPro!D:D)</f>
        <v>#N/A</v>
      </c>
      <c r="Q945" t="e">
        <f>_xlfn.XLOOKUP(O945,EGPro!A:A,EGPro!C:C)</f>
        <v>#N/A</v>
      </c>
    </row>
    <row r="946" spans="1:17" x14ac:dyDescent="0.45">
      <c r="A946" s="3">
        <f>配列!B906</f>
        <v>0</v>
      </c>
      <c r="B946" s="3" t="e">
        <f>_xlfn.XLOOKUP(A946,対応表!A:A,対応表!B:B)</f>
        <v>#N/A</v>
      </c>
      <c r="C946" s="3">
        <f>配列!C906</f>
        <v>0</v>
      </c>
      <c r="D946" s="3" t="str">
        <f>IF(配列!E906="",RIGHT(配列!D906&amp;配列!E906,4)&amp;"L",RIGHT(配列!D906&amp;配列!E906,5))</f>
        <v>L</v>
      </c>
      <c r="E946" s="3">
        <f t="shared" si="56"/>
        <v>0</v>
      </c>
      <c r="F946" s="3" t="e">
        <f>_xlfn.XLOOKUP(E946,セットアップレポート_紐づけ用!A:A,セットアップレポート_紐づけ用!J:J)</f>
        <v>#N/A</v>
      </c>
      <c r="G946" s="3" t="e">
        <f>_xlfn.XLOOKUP(E946,セットアップレポート_紐づけ用!A:A,セットアップレポート_紐づけ用!V:V)</f>
        <v>#N/A</v>
      </c>
      <c r="H946" s="3">
        <f t="shared" si="59"/>
        <v>-2</v>
      </c>
      <c r="I946" t="str">
        <f>IF(J946=0,"",IF(配列!E946="",マクロ実行!$A$16 &amp;" T"&amp;H946&amp;"-"&amp;RIGHT(配列!D946&amp;配列!E946,2),マクロ実行!$A$16 &amp;" T"&amp;H946&amp;"-"&amp;RIGHT(配列!D946&amp;配列!E946,3)))</f>
        <v/>
      </c>
      <c r="J946">
        <f>配列!F906</f>
        <v>0</v>
      </c>
      <c r="K946" s="2" t="e">
        <f>_xlfn.XLOOKUP(E946,セットアップレポート_紐づけ用!A:A,セットアップレポート_紐づけ用!R:R)</f>
        <v>#N/A</v>
      </c>
      <c r="L946" t="e">
        <f t="shared" si="57"/>
        <v>#N/A</v>
      </c>
      <c r="M946" t="e">
        <f>_xlfn.XLOOKUP(L946,EGPro!A:A,EGPro!D:D)</f>
        <v>#N/A</v>
      </c>
      <c r="N946" t="e">
        <f>_xlfn.XLOOKUP(L946,EGPro!A:A,EGPro!C:C)</f>
        <v>#N/A</v>
      </c>
      <c r="O946" t="e">
        <f t="shared" si="58"/>
        <v>#N/A</v>
      </c>
      <c r="P946" t="e">
        <f>_xlfn.XLOOKUP(O946,EGPro!A:A,EGPro!D:D)</f>
        <v>#N/A</v>
      </c>
      <c r="Q946" t="e">
        <f>_xlfn.XLOOKUP(O946,EGPro!A:A,EGPro!C:C)</f>
        <v>#N/A</v>
      </c>
    </row>
    <row r="947" spans="1:17" x14ac:dyDescent="0.45">
      <c r="A947" s="3">
        <f>配列!B907</f>
        <v>0</v>
      </c>
      <c r="B947" s="3" t="e">
        <f>_xlfn.XLOOKUP(A947,対応表!A:A,対応表!B:B)</f>
        <v>#N/A</v>
      </c>
      <c r="C947" s="3">
        <f>配列!C907</f>
        <v>0</v>
      </c>
      <c r="D947" s="3" t="str">
        <f>IF(配列!E907="",RIGHT(配列!D907&amp;配列!E907,4)&amp;"L",RIGHT(配列!D907&amp;配列!E907,5))</f>
        <v>L</v>
      </c>
      <c r="E947" s="3">
        <f t="shared" si="56"/>
        <v>0</v>
      </c>
      <c r="F947" s="3" t="e">
        <f>_xlfn.XLOOKUP(E947,セットアップレポート_紐づけ用!A:A,セットアップレポート_紐づけ用!J:J)</f>
        <v>#N/A</v>
      </c>
      <c r="G947" s="3" t="e">
        <f>_xlfn.XLOOKUP(E947,セットアップレポート_紐づけ用!A:A,セットアップレポート_紐づけ用!V:V)</f>
        <v>#N/A</v>
      </c>
      <c r="H947" s="3">
        <f t="shared" si="59"/>
        <v>-2</v>
      </c>
      <c r="I947" t="str">
        <f>IF(J947=0,"",IF(配列!E947="",マクロ実行!$A$16 &amp;" T"&amp;H947&amp;"-"&amp;RIGHT(配列!D947&amp;配列!E947,2),マクロ実行!$A$16 &amp;" T"&amp;H947&amp;"-"&amp;RIGHT(配列!D947&amp;配列!E947,3)))</f>
        <v/>
      </c>
      <c r="J947">
        <f>配列!F907</f>
        <v>0</v>
      </c>
      <c r="K947" s="2" t="e">
        <f>_xlfn.XLOOKUP(E947,セットアップレポート_紐づけ用!A:A,セットアップレポート_紐づけ用!R:R)</f>
        <v>#N/A</v>
      </c>
      <c r="L947" t="e">
        <f t="shared" si="57"/>
        <v>#N/A</v>
      </c>
      <c r="M947" t="e">
        <f>_xlfn.XLOOKUP(L947,EGPro!A:A,EGPro!D:D)</f>
        <v>#N/A</v>
      </c>
      <c r="N947" t="e">
        <f>_xlfn.XLOOKUP(L947,EGPro!A:A,EGPro!C:C)</f>
        <v>#N/A</v>
      </c>
      <c r="O947" t="e">
        <f t="shared" si="58"/>
        <v>#N/A</v>
      </c>
      <c r="P947" t="e">
        <f>_xlfn.XLOOKUP(O947,EGPro!A:A,EGPro!D:D)</f>
        <v>#N/A</v>
      </c>
      <c r="Q947" t="e">
        <f>_xlfn.XLOOKUP(O947,EGPro!A:A,EGPro!C:C)</f>
        <v>#N/A</v>
      </c>
    </row>
    <row r="948" spans="1:17" x14ac:dyDescent="0.45">
      <c r="A948" s="3">
        <f>配列!B908</f>
        <v>0</v>
      </c>
      <c r="B948" s="3" t="e">
        <f>_xlfn.XLOOKUP(A948,対応表!A:A,対応表!B:B)</f>
        <v>#N/A</v>
      </c>
      <c r="C948" s="3">
        <f>配列!C908</f>
        <v>0</v>
      </c>
      <c r="D948" s="3" t="str">
        <f>IF(配列!E908="",RIGHT(配列!D908&amp;配列!E908,4)&amp;"L",RIGHT(配列!D908&amp;配列!E908,5))</f>
        <v>L</v>
      </c>
      <c r="E948" s="3">
        <f t="shared" si="56"/>
        <v>0</v>
      </c>
      <c r="F948" s="3" t="e">
        <f>_xlfn.XLOOKUP(E948,セットアップレポート_紐づけ用!A:A,セットアップレポート_紐づけ用!J:J)</f>
        <v>#N/A</v>
      </c>
      <c r="G948" s="3" t="e">
        <f>_xlfn.XLOOKUP(E948,セットアップレポート_紐づけ用!A:A,セットアップレポート_紐づけ用!V:V)</f>
        <v>#N/A</v>
      </c>
      <c r="H948" s="3">
        <f t="shared" si="59"/>
        <v>-2</v>
      </c>
      <c r="I948" t="str">
        <f>IF(J948=0,"",IF(配列!E948="",マクロ実行!$A$16 &amp;" T"&amp;H948&amp;"-"&amp;RIGHT(配列!D948&amp;配列!E948,2),マクロ実行!$A$16 &amp;" T"&amp;H948&amp;"-"&amp;RIGHT(配列!D948&amp;配列!E948,3)))</f>
        <v/>
      </c>
      <c r="J948">
        <f>配列!F908</f>
        <v>0</v>
      </c>
      <c r="K948" s="2" t="e">
        <f>_xlfn.XLOOKUP(E948,セットアップレポート_紐づけ用!A:A,セットアップレポート_紐づけ用!R:R)</f>
        <v>#N/A</v>
      </c>
      <c r="L948" t="e">
        <f t="shared" si="57"/>
        <v>#N/A</v>
      </c>
      <c r="M948" t="e">
        <f>_xlfn.XLOOKUP(L948,EGPro!A:A,EGPro!D:D)</f>
        <v>#N/A</v>
      </c>
      <c r="N948" t="e">
        <f>_xlfn.XLOOKUP(L948,EGPro!A:A,EGPro!C:C)</f>
        <v>#N/A</v>
      </c>
      <c r="O948" t="e">
        <f t="shared" si="58"/>
        <v>#N/A</v>
      </c>
      <c r="P948" t="e">
        <f>_xlfn.XLOOKUP(O948,EGPro!A:A,EGPro!D:D)</f>
        <v>#N/A</v>
      </c>
      <c r="Q948" t="e">
        <f>_xlfn.XLOOKUP(O948,EGPro!A:A,EGPro!C:C)</f>
        <v>#N/A</v>
      </c>
    </row>
    <row r="949" spans="1:17" x14ac:dyDescent="0.45">
      <c r="A949" s="3">
        <f>配列!B909</f>
        <v>0</v>
      </c>
      <c r="B949" s="3" t="e">
        <f>_xlfn.XLOOKUP(A949,対応表!A:A,対応表!B:B)</f>
        <v>#N/A</v>
      </c>
      <c r="C949" s="3">
        <f>配列!C909</f>
        <v>0</v>
      </c>
      <c r="D949" s="3" t="str">
        <f>IF(配列!E909="",RIGHT(配列!D909&amp;配列!E909,4)&amp;"L",RIGHT(配列!D909&amp;配列!E909,5))</f>
        <v>L</v>
      </c>
      <c r="E949" s="3">
        <f t="shared" si="56"/>
        <v>0</v>
      </c>
      <c r="F949" s="3" t="e">
        <f>_xlfn.XLOOKUP(E949,セットアップレポート_紐づけ用!A:A,セットアップレポート_紐づけ用!J:J)</f>
        <v>#N/A</v>
      </c>
      <c r="G949" s="3" t="e">
        <f>_xlfn.XLOOKUP(E949,セットアップレポート_紐づけ用!A:A,セットアップレポート_紐づけ用!V:V)</f>
        <v>#N/A</v>
      </c>
      <c r="H949" s="3">
        <f t="shared" si="59"/>
        <v>-2</v>
      </c>
      <c r="I949" t="str">
        <f>IF(J949=0,"",IF(配列!E949="",マクロ実行!$A$16 &amp;" T"&amp;H949&amp;"-"&amp;RIGHT(配列!D949&amp;配列!E949,2),マクロ実行!$A$16 &amp;" T"&amp;H949&amp;"-"&amp;RIGHT(配列!D949&amp;配列!E949,3)))</f>
        <v/>
      </c>
      <c r="J949">
        <f>配列!F909</f>
        <v>0</v>
      </c>
      <c r="K949" s="2" t="e">
        <f>_xlfn.XLOOKUP(E949,セットアップレポート_紐づけ用!A:A,セットアップレポート_紐づけ用!R:R)</f>
        <v>#N/A</v>
      </c>
      <c r="L949" t="e">
        <f t="shared" si="57"/>
        <v>#N/A</v>
      </c>
      <c r="M949" t="e">
        <f>_xlfn.XLOOKUP(L949,EGPro!A:A,EGPro!D:D)</f>
        <v>#N/A</v>
      </c>
      <c r="N949" t="e">
        <f>_xlfn.XLOOKUP(L949,EGPro!A:A,EGPro!C:C)</f>
        <v>#N/A</v>
      </c>
      <c r="O949" t="e">
        <f t="shared" si="58"/>
        <v>#N/A</v>
      </c>
      <c r="P949" t="e">
        <f>_xlfn.XLOOKUP(O949,EGPro!A:A,EGPro!D:D)</f>
        <v>#N/A</v>
      </c>
      <c r="Q949" t="e">
        <f>_xlfn.XLOOKUP(O949,EGPro!A:A,EGPro!C:C)</f>
        <v>#N/A</v>
      </c>
    </row>
    <row r="950" spans="1:17" x14ac:dyDescent="0.45">
      <c r="A950" s="3">
        <f>配列!B910</f>
        <v>0</v>
      </c>
      <c r="B950" s="3" t="e">
        <f>_xlfn.XLOOKUP(A950,対応表!A:A,対応表!B:B)</f>
        <v>#N/A</v>
      </c>
      <c r="C950" s="3">
        <f>配列!C910</f>
        <v>0</v>
      </c>
      <c r="D950" s="3" t="str">
        <f>IF(配列!E910="",RIGHT(配列!D910&amp;配列!E910,4)&amp;"L",RIGHT(配列!D910&amp;配列!E910,5))</f>
        <v>L</v>
      </c>
      <c r="E950" s="3">
        <f t="shared" si="56"/>
        <v>0</v>
      </c>
      <c r="F950" s="3" t="e">
        <f>_xlfn.XLOOKUP(E950,セットアップレポート_紐づけ用!A:A,セットアップレポート_紐づけ用!J:J)</f>
        <v>#N/A</v>
      </c>
      <c r="G950" s="3" t="e">
        <f>_xlfn.XLOOKUP(E950,セットアップレポート_紐づけ用!A:A,セットアップレポート_紐づけ用!V:V)</f>
        <v>#N/A</v>
      </c>
      <c r="H950" s="3">
        <f t="shared" si="59"/>
        <v>-2</v>
      </c>
      <c r="I950" t="str">
        <f>IF(J950=0,"",IF(配列!E950="",マクロ実行!$A$16 &amp;" T"&amp;H950&amp;"-"&amp;RIGHT(配列!D950&amp;配列!E950,2),マクロ実行!$A$16 &amp;" T"&amp;H950&amp;"-"&amp;RIGHT(配列!D950&amp;配列!E950,3)))</f>
        <v/>
      </c>
      <c r="J950">
        <f>配列!F910</f>
        <v>0</v>
      </c>
      <c r="K950" s="2" t="e">
        <f>_xlfn.XLOOKUP(E950,セットアップレポート_紐づけ用!A:A,セットアップレポート_紐づけ用!R:R)</f>
        <v>#N/A</v>
      </c>
      <c r="L950" t="e">
        <f t="shared" si="57"/>
        <v>#N/A</v>
      </c>
      <c r="M950" t="e">
        <f>_xlfn.XLOOKUP(L950,EGPro!A:A,EGPro!D:D)</f>
        <v>#N/A</v>
      </c>
      <c r="N950" t="e">
        <f>_xlfn.XLOOKUP(L950,EGPro!A:A,EGPro!C:C)</f>
        <v>#N/A</v>
      </c>
      <c r="O950" t="e">
        <f t="shared" si="58"/>
        <v>#N/A</v>
      </c>
      <c r="P950" t="e">
        <f>_xlfn.XLOOKUP(O950,EGPro!A:A,EGPro!D:D)</f>
        <v>#N/A</v>
      </c>
      <c r="Q950" t="e">
        <f>_xlfn.XLOOKUP(O950,EGPro!A:A,EGPro!C:C)</f>
        <v>#N/A</v>
      </c>
    </row>
    <row r="951" spans="1:17" x14ac:dyDescent="0.45">
      <c r="A951" s="3">
        <f>配列!B911</f>
        <v>0</v>
      </c>
      <c r="B951" s="3" t="e">
        <f>_xlfn.XLOOKUP(A951,対応表!A:A,対応表!B:B)</f>
        <v>#N/A</v>
      </c>
      <c r="C951" s="3">
        <f>配列!C911</f>
        <v>0</v>
      </c>
      <c r="D951" s="3" t="str">
        <f>IF(配列!E911="",RIGHT(配列!D911&amp;配列!E911,4)&amp;"L",RIGHT(配列!D911&amp;配列!E911,5))</f>
        <v>L</v>
      </c>
      <c r="E951" s="3">
        <f t="shared" si="56"/>
        <v>0</v>
      </c>
      <c r="F951" s="3" t="e">
        <f>_xlfn.XLOOKUP(E951,セットアップレポート_紐づけ用!A:A,セットアップレポート_紐づけ用!J:J)</f>
        <v>#N/A</v>
      </c>
      <c r="G951" s="3" t="e">
        <f>_xlfn.XLOOKUP(E951,セットアップレポート_紐づけ用!A:A,セットアップレポート_紐づけ用!V:V)</f>
        <v>#N/A</v>
      </c>
      <c r="H951" s="3">
        <f t="shared" si="59"/>
        <v>-2</v>
      </c>
      <c r="I951" t="str">
        <f>IF(J951=0,"",IF(配列!E951="",マクロ実行!$A$16 &amp;" T"&amp;H951&amp;"-"&amp;RIGHT(配列!D951&amp;配列!E951,2),マクロ実行!$A$16 &amp;" T"&amp;H951&amp;"-"&amp;RIGHT(配列!D951&amp;配列!E951,3)))</f>
        <v/>
      </c>
      <c r="J951">
        <f>配列!F911</f>
        <v>0</v>
      </c>
      <c r="K951" s="2" t="e">
        <f>_xlfn.XLOOKUP(E951,セットアップレポート_紐づけ用!A:A,セットアップレポート_紐づけ用!R:R)</f>
        <v>#N/A</v>
      </c>
      <c r="L951" t="e">
        <f t="shared" si="57"/>
        <v>#N/A</v>
      </c>
      <c r="M951" t="e">
        <f>_xlfn.XLOOKUP(L951,EGPro!A:A,EGPro!D:D)</f>
        <v>#N/A</v>
      </c>
      <c r="N951" t="e">
        <f>_xlfn.XLOOKUP(L951,EGPro!A:A,EGPro!C:C)</f>
        <v>#N/A</v>
      </c>
      <c r="O951" t="e">
        <f t="shared" si="58"/>
        <v>#N/A</v>
      </c>
      <c r="P951" t="e">
        <f>_xlfn.XLOOKUP(O951,EGPro!A:A,EGPro!D:D)</f>
        <v>#N/A</v>
      </c>
      <c r="Q951" t="e">
        <f>_xlfn.XLOOKUP(O951,EGPro!A:A,EGPro!C:C)</f>
        <v>#N/A</v>
      </c>
    </row>
    <row r="952" spans="1:17" x14ac:dyDescent="0.45">
      <c r="A952" s="3">
        <f>配列!B912</f>
        <v>0</v>
      </c>
      <c r="B952" s="3" t="e">
        <f>_xlfn.XLOOKUP(A952,対応表!A:A,対応表!B:B)</f>
        <v>#N/A</v>
      </c>
      <c r="C952" s="3">
        <f>配列!C912</f>
        <v>0</v>
      </c>
      <c r="D952" s="3" t="str">
        <f>IF(配列!E912="",RIGHT(配列!D912&amp;配列!E912,4)&amp;"L",RIGHT(配列!D912&amp;配列!E912,5))</f>
        <v>L</v>
      </c>
      <c r="E952" s="3">
        <f t="shared" si="56"/>
        <v>0</v>
      </c>
      <c r="F952" s="3" t="e">
        <f>_xlfn.XLOOKUP(E952,セットアップレポート_紐づけ用!A:A,セットアップレポート_紐づけ用!J:J)</f>
        <v>#N/A</v>
      </c>
      <c r="G952" s="3" t="e">
        <f>_xlfn.XLOOKUP(E952,セットアップレポート_紐づけ用!A:A,セットアップレポート_紐づけ用!V:V)</f>
        <v>#N/A</v>
      </c>
      <c r="H952" s="3">
        <f t="shared" si="59"/>
        <v>-2</v>
      </c>
      <c r="I952" t="str">
        <f>IF(J952=0,"",IF(配列!E952="",マクロ実行!$A$16 &amp;" T"&amp;H952&amp;"-"&amp;RIGHT(配列!D952&amp;配列!E952,2),マクロ実行!$A$16 &amp;" T"&amp;H952&amp;"-"&amp;RIGHT(配列!D952&amp;配列!E952,3)))</f>
        <v/>
      </c>
      <c r="J952">
        <f>配列!F912</f>
        <v>0</v>
      </c>
      <c r="K952" s="2" t="e">
        <f>_xlfn.XLOOKUP(E952,セットアップレポート_紐づけ用!A:A,セットアップレポート_紐づけ用!R:R)</f>
        <v>#N/A</v>
      </c>
      <c r="L952" t="e">
        <f t="shared" si="57"/>
        <v>#N/A</v>
      </c>
      <c r="M952" t="e">
        <f>_xlfn.XLOOKUP(L952,EGPro!A:A,EGPro!D:D)</f>
        <v>#N/A</v>
      </c>
      <c r="N952" t="e">
        <f>_xlfn.XLOOKUP(L952,EGPro!A:A,EGPro!C:C)</f>
        <v>#N/A</v>
      </c>
      <c r="O952" t="e">
        <f t="shared" si="58"/>
        <v>#N/A</v>
      </c>
      <c r="P952" t="e">
        <f>_xlfn.XLOOKUP(O952,EGPro!A:A,EGPro!D:D)</f>
        <v>#N/A</v>
      </c>
      <c r="Q952" t="e">
        <f>_xlfn.XLOOKUP(O952,EGPro!A:A,EGPro!C:C)</f>
        <v>#N/A</v>
      </c>
    </row>
    <row r="953" spans="1:17" x14ac:dyDescent="0.45">
      <c r="A953" s="3">
        <f>配列!B913</f>
        <v>0</v>
      </c>
      <c r="B953" s="3" t="e">
        <f>_xlfn.XLOOKUP(A953,対応表!A:A,対応表!B:B)</f>
        <v>#N/A</v>
      </c>
      <c r="C953" s="3">
        <f>配列!C913</f>
        <v>0</v>
      </c>
      <c r="D953" s="3" t="str">
        <f>IF(配列!E913="",RIGHT(配列!D913&amp;配列!E913,4)&amp;"L",RIGHT(配列!D913&amp;配列!E913,5))</f>
        <v>L</v>
      </c>
      <c r="E953" s="3">
        <f t="shared" si="56"/>
        <v>0</v>
      </c>
      <c r="F953" s="3" t="e">
        <f>_xlfn.XLOOKUP(E953,セットアップレポート_紐づけ用!A:A,セットアップレポート_紐づけ用!J:J)</f>
        <v>#N/A</v>
      </c>
      <c r="G953" s="3" t="e">
        <f>_xlfn.XLOOKUP(E953,セットアップレポート_紐づけ用!A:A,セットアップレポート_紐づけ用!V:V)</f>
        <v>#N/A</v>
      </c>
      <c r="H953" s="3">
        <f t="shared" si="59"/>
        <v>-2</v>
      </c>
      <c r="I953" t="str">
        <f>IF(J953=0,"",IF(配列!E953="",マクロ実行!$A$16 &amp;" T"&amp;H953&amp;"-"&amp;RIGHT(配列!D953&amp;配列!E953,2),マクロ実行!$A$16 &amp;" T"&amp;H953&amp;"-"&amp;RIGHT(配列!D953&amp;配列!E953,3)))</f>
        <v/>
      </c>
      <c r="J953">
        <f>配列!F913</f>
        <v>0</v>
      </c>
      <c r="K953" s="2" t="e">
        <f>_xlfn.XLOOKUP(E953,セットアップレポート_紐づけ用!A:A,セットアップレポート_紐づけ用!R:R)</f>
        <v>#N/A</v>
      </c>
      <c r="L953" t="e">
        <f t="shared" si="57"/>
        <v>#N/A</v>
      </c>
      <c r="M953" t="e">
        <f>_xlfn.XLOOKUP(L953,EGPro!A:A,EGPro!D:D)</f>
        <v>#N/A</v>
      </c>
      <c r="N953" t="e">
        <f>_xlfn.XLOOKUP(L953,EGPro!A:A,EGPro!C:C)</f>
        <v>#N/A</v>
      </c>
      <c r="O953" t="e">
        <f t="shared" si="58"/>
        <v>#N/A</v>
      </c>
      <c r="P953" t="e">
        <f>_xlfn.XLOOKUP(O953,EGPro!A:A,EGPro!D:D)</f>
        <v>#N/A</v>
      </c>
      <c r="Q953" t="e">
        <f>_xlfn.XLOOKUP(O953,EGPro!A:A,EGPro!C:C)</f>
        <v>#N/A</v>
      </c>
    </row>
    <row r="954" spans="1:17" x14ac:dyDescent="0.45">
      <c r="A954" s="3">
        <f>配列!B914</f>
        <v>0</v>
      </c>
      <c r="B954" s="3" t="e">
        <f>_xlfn.XLOOKUP(A954,対応表!A:A,対応表!B:B)</f>
        <v>#N/A</v>
      </c>
      <c r="C954" s="3">
        <f>配列!C914</f>
        <v>0</v>
      </c>
      <c r="D954" s="3" t="str">
        <f>IF(配列!E914="",RIGHT(配列!D914&amp;配列!E914,4)&amp;"L",RIGHT(配列!D914&amp;配列!E914,5))</f>
        <v>L</v>
      </c>
      <c r="E954" s="3">
        <f t="shared" si="56"/>
        <v>0</v>
      </c>
      <c r="F954" s="3" t="e">
        <f>_xlfn.XLOOKUP(E954,セットアップレポート_紐づけ用!A:A,セットアップレポート_紐づけ用!J:J)</f>
        <v>#N/A</v>
      </c>
      <c r="G954" s="3" t="e">
        <f>_xlfn.XLOOKUP(E954,セットアップレポート_紐づけ用!A:A,セットアップレポート_紐づけ用!V:V)</f>
        <v>#N/A</v>
      </c>
      <c r="H954" s="3">
        <f t="shared" si="59"/>
        <v>-2</v>
      </c>
      <c r="I954" t="str">
        <f>IF(J954=0,"",IF(配列!E954="",マクロ実行!$A$16 &amp;" T"&amp;H954&amp;"-"&amp;RIGHT(配列!D954&amp;配列!E954,2),マクロ実行!$A$16 &amp;" T"&amp;H954&amp;"-"&amp;RIGHT(配列!D954&amp;配列!E954,3)))</f>
        <v/>
      </c>
      <c r="J954">
        <f>配列!F914</f>
        <v>0</v>
      </c>
      <c r="K954" s="2" t="e">
        <f>_xlfn.XLOOKUP(E954,セットアップレポート_紐づけ用!A:A,セットアップレポート_紐づけ用!R:R)</f>
        <v>#N/A</v>
      </c>
      <c r="L954" t="e">
        <f t="shared" si="57"/>
        <v>#N/A</v>
      </c>
      <c r="M954" t="e">
        <f>_xlfn.XLOOKUP(L954,EGPro!A:A,EGPro!D:D)</f>
        <v>#N/A</v>
      </c>
      <c r="N954" t="e">
        <f>_xlfn.XLOOKUP(L954,EGPro!A:A,EGPro!C:C)</f>
        <v>#N/A</v>
      </c>
      <c r="O954" t="e">
        <f t="shared" si="58"/>
        <v>#N/A</v>
      </c>
      <c r="P954" t="e">
        <f>_xlfn.XLOOKUP(O954,EGPro!A:A,EGPro!D:D)</f>
        <v>#N/A</v>
      </c>
      <c r="Q954" t="e">
        <f>_xlfn.XLOOKUP(O954,EGPro!A:A,EGPro!C:C)</f>
        <v>#N/A</v>
      </c>
    </row>
    <row r="955" spans="1:17" x14ac:dyDescent="0.45">
      <c r="A955" s="3">
        <f>配列!B915</f>
        <v>0</v>
      </c>
      <c r="B955" s="3" t="e">
        <f>_xlfn.XLOOKUP(A955,対応表!A:A,対応表!B:B)</f>
        <v>#N/A</v>
      </c>
      <c r="C955" s="3">
        <f>配列!C915</f>
        <v>0</v>
      </c>
      <c r="D955" s="3" t="str">
        <f>IF(配列!E915="",RIGHT(配列!D915&amp;配列!E915,4)&amp;"L",RIGHT(配列!D915&amp;配列!E915,5))</f>
        <v>L</v>
      </c>
      <c r="E955" s="3">
        <f t="shared" si="56"/>
        <v>0</v>
      </c>
      <c r="F955" s="3" t="e">
        <f>_xlfn.XLOOKUP(E955,セットアップレポート_紐づけ用!A:A,セットアップレポート_紐づけ用!J:J)</f>
        <v>#N/A</v>
      </c>
      <c r="G955" s="3" t="e">
        <f>_xlfn.XLOOKUP(E955,セットアップレポート_紐づけ用!A:A,セットアップレポート_紐づけ用!V:V)</f>
        <v>#N/A</v>
      </c>
      <c r="H955" s="3">
        <f t="shared" si="59"/>
        <v>-2</v>
      </c>
      <c r="I955" t="str">
        <f>IF(J955=0,"",IF(配列!E955="",マクロ実行!$A$16 &amp;" T"&amp;H955&amp;"-"&amp;RIGHT(配列!D955&amp;配列!E955,2),マクロ実行!$A$16 &amp;" T"&amp;H955&amp;"-"&amp;RIGHT(配列!D955&amp;配列!E955,3)))</f>
        <v/>
      </c>
      <c r="J955">
        <f>配列!F915</f>
        <v>0</v>
      </c>
      <c r="K955" s="2" t="e">
        <f>_xlfn.XLOOKUP(E955,セットアップレポート_紐づけ用!A:A,セットアップレポート_紐づけ用!R:R)</f>
        <v>#N/A</v>
      </c>
      <c r="L955" t="e">
        <f t="shared" si="57"/>
        <v>#N/A</v>
      </c>
      <c r="M955" t="e">
        <f>_xlfn.XLOOKUP(L955,EGPro!A:A,EGPro!D:D)</f>
        <v>#N/A</v>
      </c>
      <c r="N955" t="e">
        <f>_xlfn.XLOOKUP(L955,EGPro!A:A,EGPro!C:C)</f>
        <v>#N/A</v>
      </c>
      <c r="O955" t="e">
        <f t="shared" si="58"/>
        <v>#N/A</v>
      </c>
      <c r="P955" t="e">
        <f>_xlfn.XLOOKUP(O955,EGPro!A:A,EGPro!D:D)</f>
        <v>#N/A</v>
      </c>
      <c r="Q955" t="e">
        <f>_xlfn.XLOOKUP(O955,EGPro!A:A,EGPro!C:C)</f>
        <v>#N/A</v>
      </c>
    </row>
    <row r="956" spans="1:17" x14ac:dyDescent="0.45">
      <c r="A956" s="3">
        <f>配列!B916</f>
        <v>0</v>
      </c>
      <c r="B956" s="3" t="e">
        <f>_xlfn.XLOOKUP(A956,対応表!A:A,対応表!B:B)</f>
        <v>#N/A</v>
      </c>
      <c r="C956" s="3">
        <f>配列!C916</f>
        <v>0</v>
      </c>
      <c r="D956" s="3" t="str">
        <f>IF(配列!E916="",RIGHT(配列!D916&amp;配列!E916,4)&amp;"L",RIGHT(配列!D916&amp;配列!E916,5))</f>
        <v>L</v>
      </c>
      <c r="E956" s="3">
        <f t="shared" si="56"/>
        <v>0</v>
      </c>
      <c r="F956" s="3" t="e">
        <f>_xlfn.XLOOKUP(E956,セットアップレポート_紐づけ用!A:A,セットアップレポート_紐づけ用!J:J)</f>
        <v>#N/A</v>
      </c>
      <c r="G956" s="3" t="e">
        <f>_xlfn.XLOOKUP(E956,セットアップレポート_紐づけ用!A:A,セットアップレポート_紐づけ用!V:V)</f>
        <v>#N/A</v>
      </c>
      <c r="H956" s="3">
        <f t="shared" si="59"/>
        <v>-2</v>
      </c>
      <c r="I956" t="str">
        <f>IF(J956=0,"",IF(配列!E956="",マクロ実行!$A$16 &amp;" T"&amp;H956&amp;"-"&amp;RIGHT(配列!D956&amp;配列!E956,2),マクロ実行!$A$16 &amp;" T"&amp;H956&amp;"-"&amp;RIGHT(配列!D956&amp;配列!E956,3)))</f>
        <v/>
      </c>
      <c r="J956">
        <f>配列!F916</f>
        <v>0</v>
      </c>
      <c r="K956" s="2" t="e">
        <f>_xlfn.XLOOKUP(E956,セットアップレポート_紐づけ用!A:A,セットアップレポート_紐づけ用!R:R)</f>
        <v>#N/A</v>
      </c>
      <c r="L956" t="e">
        <f t="shared" si="57"/>
        <v>#N/A</v>
      </c>
      <c r="M956" t="e">
        <f>_xlfn.XLOOKUP(L956,EGPro!A:A,EGPro!D:D)</f>
        <v>#N/A</v>
      </c>
      <c r="N956" t="e">
        <f>_xlfn.XLOOKUP(L956,EGPro!A:A,EGPro!C:C)</f>
        <v>#N/A</v>
      </c>
      <c r="O956" t="e">
        <f t="shared" si="58"/>
        <v>#N/A</v>
      </c>
      <c r="P956" t="e">
        <f>_xlfn.XLOOKUP(O956,EGPro!A:A,EGPro!D:D)</f>
        <v>#N/A</v>
      </c>
      <c r="Q956" t="e">
        <f>_xlfn.XLOOKUP(O956,EGPro!A:A,EGPro!C:C)</f>
        <v>#N/A</v>
      </c>
    </row>
    <row r="957" spans="1:17" x14ac:dyDescent="0.45">
      <c r="A957" s="3">
        <f>配列!B917</f>
        <v>0</v>
      </c>
      <c r="B957" s="3" t="e">
        <f>_xlfn.XLOOKUP(A957,対応表!A:A,対応表!B:B)</f>
        <v>#N/A</v>
      </c>
      <c r="C957" s="3">
        <f>配列!C917</f>
        <v>0</v>
      </c>
      <c r="D957" s="3" t="str">
        <f>IF(配列!E917="",RIGHT(配列!D917&amp;配列!E917,4)&amp;"L",RIGHT(配列!D917&amp;配列!E917,5))</f>
        <v>L</v>
      </c>
      <c r="E957" s="3">
        <f t="shared" si="56"/>
        <v>0</v>
      </c>
      <c r="F957" s="3" t="e">
        <f>_xlfn.XLOOKUP(E957,セットアップレポート_紐づけ用!A:A,セットアップレポート_紐づけ用!J:J)</f>
        <v>#N/A</v>
      </c>
      <c r="G957" s="3" t="e">
        <f>_xlfn.XLOOKUP(E957,セットアップレポート_紐づけ用!A:A,セットアップレポート_紐づけ用!V:V)</f>
        <v>#N/A</v>
      </c>
      <c r="H957" s="3">
        <f t="shared" si="59"/>
        <v>-2</v>
      </c>
      <c r="I957" t="str">
        <f>IF(J957=0,"",IF(配列!E957="",マクロ実行!$A$16 &amp;" T"&amp;H957&amp;"-"&amp;RIGHT(配列!D957&amp;配列!E957,2),マクロ実行!$A$16 &amp;" T"&amp;H957&amp;"-"&amp;RIGHT(配列!D957&amp;配列!E957,3)))</f>
        <v/>
      </c>
      <c r="J957">
        <f>配列!F917</f>
        <v>0</v>
      </c>
      <c r="K957" s="2" t="e">
        <f>_xlfn.XLOOKUP(E957,セットアップレポート_紐づけ用!A:A,セットアップレポート_紐づけ用!R:R)</f>
        <v>#N/A</v>
      </c>
      <c r="L957" t="e">
        <f t="shared" si="57"/>
        <v>#N/A</v>
      </c>
      <c r="M957" t="e">
        <f>_xlfn.XLOOKUP(L957,EGPro!A:A,EGPro!D:D)</f>
        <v>#N/A</v>
      </c>
      <c r="N957" t="e">
        <f>_xlfn.XLOOKUP(L957,EGPro!A:A,EGPro!C:C)</f>
        <v>#N/A</v>
      </c>
      <c r="O957" t="e">
        <f t="shared" si="58"/>
        <v>#N/A</v>
      </c>
      <c r="P957" t="e">
        <f>_xlfn.XLOOKUP(O957,EGPro!A:A,EGPro!D:D)</f>
        <v>#N/A</v>
      </c>
      <c r="Q957" t="e">
        <f>_xlfn.XLOOKUP(O957,EGPro!A:A,EGPro!C:C)</f>
        <v>#N/A</v>
      </c>
    </row>
    <row r="958" spans="1:17" x14ac:dyDescent="0.45">
      <c r="A958" s="3">
        <f>配列!B918</f>
        <v>0</v>
      </c>
      <c r="B958" s="3" t="e">
        <f>_xlfn.XLOOKUP(A958,対応表!A:A,対応表!B:B)</f>
        <v>#N/A</v>
      </c>
      <c r="C958" s="3">
        <f>配列!C918</f>
        <v>0</v>
      </c>
      <c r="D958" s="3" t="str">
        <f>IF(配列!E918="",RIGHT(配列!D918&amp;配列!E918,4)&amp;"L",RIGHT(配列!D918&amp;配列!E918,5))</f>
        <v>L</v>
      </c>
      <c r="E958" s="3">
        <f t="shared" si="56"/>
        <v>0</v>
      </c>
      <c r="F958" s="3" t="e">
        <f>_xlfn.XLOOKUP(E958,セットアップレポート_紐づけ用!A:A,セットアップレポート_紐づけ用!J:J)</f>
        <v>#N/A</v>
      </c>
      <c r="G958" s="3" t="e">
        <f>_xlfn.XLOOKUP(E958,セットアップレポート_紐づけ用!A:A,セットアップレポート_紐づけ用!V:V)</f>
        <v>#N/A</v>
      </c>
      <c r="H958" s="3">
        <f t="shared" si="59"/>
        <v>-2</v>
      </c>
      <c r="I958" t="str">
        <f>IF(J958=0,"",IF(配列!E958="",マクロ実行!$A$16 &amp;" T"&amp;H958&amp;"-"&amp;RIGHT(配列!D958&amp;配列!E958,2),マクロ実行!$A$16 &amp;" T"&amp;H958&amp;"-"&amp;RIGHT(配列!D958&amp;配列!E958,3)))</f>
        <v/>
      </c>
      <c r="J958">
        <f>配列!F918</f>
        <v>0</v>
      </c>
      <c r="K958" s="2" t="e">
        <f>_xlfn.XLOOKUP(E958,セットアップレポート_紐づけ用!A:A,セットアップレポート_紐づけ用!R:R)</f>
        <v>#N/A</v>
      </c>
      <c r="L958" t="e">
        <f t="shared" si="57"/>
        <v>#N/A</v>
      </c>
      <c r="M958" t="e">
        <f>_xlfn.XLOOKUP(L958,EGPro!A:A,EGPro!D:D)</f>
        <v>#N/A</v>
      </c>
      <c r="N958" t="e">
        <f>_xlfn.XLOOKUP(L958,EGPro!A:A,EGPro!C:C)</f>
        <v>#N/A</v>
      </c>
      <c r="O958" t="e">
        <f t="shared" si="58"/>
        <v>#N/A</v>
      </c>
      <c r="P958" t="e">
        <f>_xlfn.XLOOKUP(O958,EGPro!A:A,EGPro!D:D)</f>
        <v>#N/A</v>
      </c>
      <c r="Q958" t="e">
        <f>_xlfn.XLOOKUP(O958,EGPro!A:A,EGPro!C:C)</f>
        <v>#N/A</v>
      </c>
    </row>
    <row r="959" spans="1:17" x14ac:dyDescent="0.45">
      <c r="A959" s="3">
        <f>配列!B919</f>
        <v>0</v>
      </c>
      <c r="B959" s="3" t="e">
        <f>_xlfn.XLOOKUP(A959,対応表!A:A,対応表!B:B)</f>
        <v>#N/A</v>
      </c>
      <c r="C959" s="3">
        <f>配列!C919</f>
        <v>0</v>
      </c>
      <c r="D959" s="3" t="str">
        <f>IF(配列!E919="",RIGHT(配列!D919&amp;配列!E919,4)&amp;"L",RIGHT(配列!D919&amp;配列!E919,5))</f>
        <v>L</v>
      </c>
      <c r="E959" s="3">
        <f t="shared" si="56"/>
        <v>0</v>
      </c>
      <c r="F959" s="3" t="e">
        <f>_xlfn.XLOOKUP(E959,セットアップレポート_紐づけ用!A:A,セットアップレポート_紐づけ用!J:J)</f>
        <v>#N/A</v>
      </c>
      <c r="G959" s="3" t="e">
        <f>_xlfn.XLOOKUP(E959,セットアップレポート_紐づけ用!A:A,セットアップレポート_紐づけ用!V:V)</f>
        <v>#N/A</v>
      </c>
      <c r="H959" s="3">
        <f t="shared" si="59"/>
        <v>-2</v>
      </c>
      <c r="I959" t="str">
        <f>IF(J959=0,"",IF(配列!E959="",マクロ実行!$A$16 &amp;" T"&amp;H959&amp;"-"&amp;RIGHT(配列!D959&amp;配列!E959,2),マクロ実行!$A$16 &amp;" T"&amp;H959&amp;"-"&amp;RIGHT(配列!D959&amp;配列!E959,3)))</f>
        <v/>
      </c>
      <c r="J959">
        <f>配列!F919</f>
        <v>0</v>
      </c>
      <c r="K959" s="2" t="e">
        <f>_xlfn.XLOOKUP(E959,セットアップレポート_紐づけ用!A:A,セットアップレポート_紐づけ用!R:R)</f>
        <v>#N/A</v>
      </c>
      <c r="L959" t="e">
        <f t="shared" si="57"/>
        <v>#N/A</v>
      </c>
      <c r="M959" t="e">
        <f>_xlfn.XLOOKUP(L959,EGPro!A:A,EGPro!D:D)</f>
        <v>#N/A</v>
      </c>
      <c r="N959" t="e">
        <f>_xlfn.XLOOKUP(L959,EGPro!A:A,EGPro!C:C)</f>
        <v>#N/A</v>
      </c>
      <c r="O959" t="e">
        <f t="shared" si="58"/>
        <v>#N/A</v>
      </c>
      <c r="P959" t="e">
        <f>_xlfn.XLOOKUP(O959,EGPro!A:A,EGPro!D:D)</f>
        <v>#N/A</v>
      </c>
      <c r="Q959" t="e">
        <f>_xlfn.XLOOKUP(O959,EGPro!A:A,EGPro!C:C)</f>
        <v>#N/A</v>
      </c>
    </row>
    <row r="960" spans="1:17" x14ac:dyDescent="0.45">
      <c r="A960" s="3">
        <f>配列!B920</f>
        <v>0</v>
      </c>
      <c r="B960" s="3" t="e">
        <f>_xlfn.XLOOKUP(A960,対応表!A:A,対応表!B:B)</f>
        <v>#N/A</v>
      </c>
      <c r="C960" s="3">
        <f>配列!C920</f>
        <v>0</v>
      </c>
      <c r="D960" s="3" t="str">
        <f>IF(配列!E920="",RIGHT(配列!D920&amp;配列!E920,4)&amp;"L",RIGHT(配列!D920&amp;配列!E920,5))</f>
        <v>L</v>
      </c>
      <c r="E960" s="3">
        <f t="shared" si="56"/>
        <v>0</v>
      </c>
      <c r="F960" s="3" t="e">
        <f>_xlfn.XLOOKUP(E960,セットアップレポート_紐づけ用!A:A,セットアップレポート_紐づけ用!J:J)</f>
        <v>#N/A</v>
      </c>
      <c r="G960" s="3" t="e">
        <f>_xlfn.XLOOKUP(E960,セットアップレポート_紐づけ用!A:A,セットアップレポート_紐づけ用!V:V)</f>
        <v>#N/A</v>
      </c>
      <c r="H960" s="3">
        <f t="shared" si="59"/>
        <v>-2</v>
      </c>
      <c r="I960" t="str">
        <f>IF(J960=0,"",IF(配列!E960="",マクロ実行!$A$16 &amp;" T"&amp;H960&amp;"-"&amp;RIGHT(配列!D960&amp;配列!E960,2),マクロ実行!$A$16 &amp;" T"&amp;H960&amp;"-"&amp;RIGHT(配列!D960&amp;配列!E960,3)))</f>
        <v/>
      </c>
      <c r="J960">
        <f>配列!F920</f>
        <v>0</v>
      </c>
      <c r="K960" s="2" t="e">
        <f>_xlfn.XLOOKUP(E960,セットアップレポート_紐づけ用!A:A,セットアップレポート_紐づけ用!R:R)</f>
        <v>#N/A</v>
      </c>
      <c r="L960" t="e">
        <f t="shared" si="57"/>
        <v>#N/A</v>
      </c>
      <c r="M960" t="e">
        <f>_xlfn.XLOOKUP(L960,EGPro!A:A,EGPro!D:D)</f>
        <v>#N/A</v>
      </c>
      <c r="N960" t="e">
        <f>_xlfn.XLOOKUP(L960,EGPro!A:A,EGPro!C:C)</f>
        <v>#N/A</v>
      </c>
      <c r="O960" t="e">
        <f t="shared" si="58"/>
        <v>#N/A</v>
      </c>
      <c r="P960" t="e">
        <f>_xlfn.XLOOKUP(O960,EGPro!A:A,EGPro!D:D)</f>
        <v>#N/A</v>
      </c>
      <c r="Q960" t="e">
        <f>_xlfn.XLOOKUP(O960,EGPro!A:A,EGPro!C:C)</f>
        <v>#N/A</v>
      </c>
    </row>
    <row r="961" spans="1:17" x14ac:dyDescent="0.45">
      <c r="A961" s="3">
        <f>配列!B921</f>
        <v>0</v>
      </c>
      <c r="B961" s="3" t="e">
        <f>_xlfn.XLOOKUP(A961,対応表!A:A,対応表!B:B)</f>
        <v>#N/A</v>
      </c>
      <c r="C961" s="3">
        <f>配列!C921</f>
        <v>0</v>
      </c>
      <c r="D961" s="3" t="str">
        <f>IF(配列!E921="",RIGHT(配列!D921&amp;配列!E921,4)&amp;"L",RIGHT(配列!D921&amp;配列!E921,5))</f>
        <v>L</v>
      </c>
      <c r="E961" s="3">
        <f t="shared" si="56"/>
        <v>0</v>
      </c>
      <c r="F961" s="3" t="e">
        <f>_xlfn.XLOOKUP(E961,セットアップレポート_紐づけ用!A:A,セットアップレポート_紐づけ用!J:J)</f>
        <v>#N/A</v>
      </c>
      <c r="G961" s="3" t="e">
        <f>_xlfn.XLOOKUP(E961,セットアップレポート_紐づけ用!A:A,セットアップレポート_紐づけ用!V:V)</f>
        <v>#N/A</v>
      </c>
      <c r="H961" s="3">
        <f t="shared" si="59"/>
        <v>-2</v>
      </c>
      <c r="I961" t="str">
        <f>IF(J961=0,"",IF(配列!E961="",マクロ実行!$A$16 &amp;" T"&amp;H961&amp;"-"&amp;RIGHT(配列!D961&amp;配列!E961,2),マクロ実行!$A$16 &amp;" T"&amp;H961&amp;"-"&amp;RIGHT(配列!D961&amp;配列!E961,3)))</f>
        <v/>
      </c>
      <c r="J961">
        <f>配列!F921</f>
        <v>0</v>
      </c>
      <c r="K961" s="2" t="e">
        <f>_xlfn.XLOOKUP(E961,セットアップレポート_紐づけ用!A:A,セットアップレポート_紐づけ用!R:R)</f>
        <v>#N/A</v>
      </c>
      <c r="L961" t="e">
        <f t="shared" si="57"/>
        <v>#N/A</v>
      </c>
      <c r="M961" t="e">
        <f>_xlfn.XLOOKUP(L961,EGPro!A:A,EGPro!D:D)</f>
        <v>#N/A</v>
      </c>
      <c r="N961" t="e">
        <f>_xlfn.XLOOKUP(L961,EGPro!A:A,EGPro!C:C)</f>
        <v>#N/A</v>
      </c>
      <c r="O961" t="e">
        <f t="shared" si="58"/>
        <v>#N/A</v>
      </c>
      <c r="P961" t="e">
        <f>_xlfn.XLOOKUP(O961,EGPro!A:A,EGPro!D:D)</f>
        <v>#N/A</v>
      </c>
      <c r="Q961" t="e">
        <f>_xlfn.XLOOKUP(O961,EGPro!A:A,EGPro!C:C)</f>
        <v>#N/A</v>
      </c>
    </row>
    <row r="962" spans="1:17" x14ac:dyDescent="0.45">
      <c r="A962" s="3">
        <f>配列!B922</f>
        <v>0</v>
      </c>
      <c r="B962" s="3" t="e">
        <f>_xlfn.XLOOKUP(A962,対応表!A:A,対応表!B:B)</f>
        <v>#N/A</v>
      </c>
      <c r="C962" s="3">
        <f>配列!C922</f>
        <v>0</v>
      </c>
      <c r="D962" s="3" t="str">
        <f>IF(配列!E922="",RIGHT(配列!D922&amp;配列!E922,4)&amp;"L",RIGHT(配列!D922&amp;配列!E922,5))</f>
        <v>L</v>
      </c>
      <c r="E962" s="3">
        <f t="shared" ref="E962:E1000" si="60">IF(J962=0,,B962&amp;D962&amp;J962)</f>
        <v>0</v>
      </c>
      <c r="F962" s="3" t="e">
        <f>_xlfn.XLOOKUP(E962,セットアップレポート_紐づけ用!A:A,セットアップレポート_紐づけ用!J:J)</f>
        <v>#N/A</v>
      </c>
      <c r="G962" s="3" t="e">
        <f>_xlfn.XLOOKUP(E962,セットアップレポート_紐づけ用!A:A,セットアップレポート_紐づけ用!V:V)</f>
        <v>#N/A</v>
      </c>
      <c r="H962" s="3">
        <f t="shared" si="59"/>
        <v>-2</v>
      </c>
      <c r="I962" t="str">
        <f>IF(J962=0,"",IF(配列!E962="",マクロ実行!$A$16 &amp;" T"&amp;H962&amp;"-"&amp;RIGHT(配列!D962&amp;配列!E962,2),マクロ実行!$A$16 &amp;" T"&amp;H962&amp;"-"&amp;RIGHT(配列!D962&amp;配列!E962,3)))</f>
        <v/>
      </c>
      <c r="J962">
        <f>配列!F922</f>
        <v>0</v>
      </c>
      <c r="K962" s="2" t="e">
        <f>_xlfn.XLOOKUP(E962,セットアップレポート_紐づけ用!A:A,セットアップレポート_紐づけ用!R:R)</f>
        <v>#N/A</v>
      </c>
      <c r="L962" t="e">
        <f t="shared" si="57"/>
        <v>#N/A</v>
      </c>
      <c r="M962" t="e">
        <f>_xlfn.XLOOKUP(L962,EGPro!A:A,EGPro!D:D)</f>
        <v>#N/A</v>
      </c>
      <c r="N962" t="e">
        <f>_xlfn.XLOOKUP(L962,EGPro!A:A,EGPro!C:C)</f>
        <v>#N/A</v>
      </c>
      <c r="O962" t="e">
        <f t="shared" ref="O962:O1000" si="61">IF(LEN(G962)=13,"    "&amp;G962,G962)</f>
        <v>#N/A</v>
      </c>
      <c r="P962" t="e">
        <f>_xlfn.XLOOKUP(O962,EGPro!A:A,EGPro!D:D)</f>
        <v>#N/A</v>
      </c>
      <c r="Q962" t="e">
        <f>_xlfn.XLOOKUP(O962,EGPro!A:A,EGPro!C:C)</f>
        <v>#N/A</v>
      </c>
    </row>
    <row r="963" spans="1:17" x14ac:dyDescent="0.45">
      <c r="A963" s="3">
        <f>配列!B923</f>
        <v>0</v>
      </c>
      <c r="B963" s="3" t="e">
        <f>_xlfn.XLOOKUP(A963,対応表!A:A,対応表!B:B)</f>
        <v>#N/A</v>
      </c>
      <c r="C963" s="3">
        <f>配列!C923</f>
        <v>0</v>
      </c>
      <c r="D963" s="3" t="str">
        <f>IF(配列!E923="",RIGHT(配列!D923&amp;配列!E923,4)&amp;"L",RIGHT(配列!D923&amp;配列!E923,5))</f>
        <v>L</v>
      </c>
      <c r="E963" s="3">
        <f t="shared" si="60"/>
        <v>0</v>
      </c>
      <c r="F963" s="3" t="e">
        <f>_xlfn.XLOOKUP(E963,セットアップレポート_紐づけ用!A:A,セットアップレポート_紐づけ用!J:J)</f>
        <v>#N/A</v>
      </c>
      <c r="G963" s="3" t="e">
        <f>_xlfn.XLOOKUP(E963,セットアップレポート_紐づけ用!A:A,セットアップレポート_紐づけ用!V:V)</f>
        <v>#N/A</v>
      </c>
      <c r="H963" s="3">
        <f t="shared" ref="H963:H1000" si="62">2*RIGHT(A963,1)-2+C963</f>
        <v>-2</v>
      </c>
      <c r="I963" t="str">
        <f>IF(J963=0,"",IF(配列!E963="",マクロ実行!$A$16 &amp;" T"&amp;H963&amp;"-"&amp;RIGHT(配列!D963&amp;配列!E963,2),マクロ実行!$A$16 &amp;" T"&amp;H963&amp;"-"&amp;RIGHT(配列!D963&amp;配列!E963,3)))</f>
        <v/>
      </c>
      <c r="J963">
        <f>配列!F923</f>
        <v>0</v>
      </c>
      <c r="K963" s="2" t="e">
        <f>_xlfn.XLOOKUP(E963,セットアップレポート_紐づけ用!A:A,セットアップレポート_紐づけ用!R:R)</f>
        <v>#N/A</v>
      </c>
      <c r="L963" t="e">
        <f t="shared" ref="L963:L1000" si="63">IF(LEN(F963)=13,"    "&amp;F963,F963)</f>
        <v>#N/A</v>
      </c>
      <c r="M963" t="e">
        <f>_xlfn.XLOOKUP(L963,EGPro!A:A,EGPro!D:D)</f>
        <v>#N/A</v>
      </c>
      <c r="N963" t="e">
        <f>_xlfn.XLOOKUP(L963,EGPro!A:A,EGPro!C:C)</f>
        <v>#N/A</v>
      </c>
      <c r="O963" t="e">
        <f t="shared" si="61"/>
        <v>#N/A</v>
      </c>
      <c r="P963" t="e">
        <f>_xlfn.XLOOKUP(O963,EGPro!A:A,EGPro!D:D)</f>
        <v>#N/A</v>
      </c>
      <c r="Q963" t="e">
        <f>_xlfn.XLOOKUP(O963,EGPro!A:A,EGPro!C:C)</f>
        <v>#N/A</v>
      </c>
    </row>
    <row r="964" spans="1:17" x14ac:dyDescent="0.45">
      <c r="A964" s="3">
        <f>配列!B924</f>
        <v>0</v>
      </c>
      <c r="B964" s="3" t="e">
        <f>_xlfn.XLOOKUP(A964,対応表!A:A,対応表!B:B)</f>
        <v>#N/A</v>
      </c>
      <c r="C964" s="3">
        <f>配列!C924</f>
        <v>0</v>
      </c>
      <c r="D964" s="3" t="str">
        <f>IF(配列!E924="",RIGHT(配列!D924&amp;配列!E924,4)&amp;"L",RIGHT(配列!D924&amp;配列!E924,5))</f>
        <v>L</v>
      </c>
      <c r="E964" s="3">
        <f t="shared" si="60"/>
        <v>0</v>
      </c>
      <c r="F964" s="3" t="e">
        <f>_xlfn.XLOOKUP(E964,セットアップレポート_紐づけ用!A:A,セットアップレポート_紐づけ用!J:J)</f>
        <v>#N/A</v>
      </c>
      <c r="G964" s="3" t="e">
        <f>_xlfn.XLOOKUP(E964,セットアップレポート_紐づけ用!A:A,セットアップレポート_紐づけ用!V:V)</f>
        <v>#N/A</v>
      </c>
      <c r="H964" s="3">
        <f t="shared" si="62"/>
        <v>-2</v>
      </c>
      <c r="I964" t="str">
        <f>IF(J964=0,"",IF(配列!E964="",マクロ実行!$A$16 &amp;" T"&amp;H964&amp;"-"&amp;RIGHT(配列!D964&amp;配列!E964,2),マクロ実行!$A$16 &amp;" T"&amp;H964&amp;"-"&amp;RIGHT(配列!D964&amp;配列!E964,3)))</f>
        <v/>
      </c>
      <c r="J964">
        <f>配列!F924</f>
        <v>0</v>
      </c>
      <c r="K964" s="2" t="e">
        <f>_xlfn.XLOOKUP(E964,セットアップレポート_紐づけ用!A:A,セットアップレポート_紐づけ用!R:R)</f>
        <v>#N/A</v>
      </c>
      <c r="L964" t="e">
        <f t="shared" si="63"/>
        <v>#N/A</v>
      </c>
      <c r="M964" t="e">
        <f>_xlfn.XLOOKUP(L964,EGPro!A:A,EGPro!D:D)</f>
        <v>#N/A</v>
      </c>
      <c r="N964" t="e">
        <f>_xlfn.XLOOKUP(L964,EGPro!A:A,EGPro!C:C)</f>
        <v>#N/A</v>
      </c>
      <c r="O964" t="e">
        <f t="shared" si="61"/>
        <v>#N/A</v>
      </c>
      <c r="P964" t="e">
        <f>_xlfn.XLOOKUP(O964,EGPro!A:A,EGPro!D:D)</f>
        <v>#N/A</v>
      </c>
      <c r="Q964" t="e">
        <f>_xlfn.XLOOKUP(O964,EGPro!A:A,EGPro!C:C)</f>
        <v>#N/A</v>
      </c>
    </row>
    <row r="965" spans="1:17" x14ac:dyDescent="0.45">
      <c r="A965" s="3">
        <f>配列!B925</f>
        <v>0</v>
      </c>
      <c r="B965" s="3" t="e">
        <f>_xlfn.XLOOKUP(A965,対応表!A:A,対応表!B:B)</f>
        <v>#N/A</v>
      </c>
      <c r="C965" s="3">
        <f>配列!C925</f>
        <v>0</v>
      </c>
      <c r="D965" s="3" t="str">
        <f>IF(配列!E925="",RIGHT(配列!D925&amp;配列!E925,4)&amp;"L",RIGHT(配列!D925&amp;配列!E925,5))</f>
        <v>L</v>
      </c>
      <c r="E965" s="3">
        <f t="shared" si="60"/>
        <v>0</v>
      </c>
      <c r="F965" s="3" t="e">
        <f>_xlfn.XLOOKUP(E965,セットアップレポート_紐づけ用!A:A,セットアップレポート_紐づけ用!J:J)</f>
        <v>#N/A</v>
      </c>
      <c r="G965" s="3" t="e">
        <f>_xlfn.XLOOKUP(E965,セットアップレポート_紐づけ用!A:A,セットアップレポート_紐づけ用!V:V)</f>
        <v>#N/A</v>
      </c>
      <c r="H965" s="3">
        <f t="shared" si="62"/>
        <v>-2</v>
      </c>
      <c r="I965" t="str">
        <f>IF(J965=0,"",IF(配列!E965="",マクロ実行!$A$16 &amp;" T"&amp;H965&amp;"-"&amp;RIGHT(配列!D965&amp;配列!E965,2),マクロ実行!$A$16 &amp;" T"&amp;H965&amp;"-"&amp;RIGHT(配列!D965&amp;配列!E965,3)))</f>
        <v/>
      </c>
      <c r="J965">
        <f>配列!F925</f>
        <v>0</v>
      </c>
      <c r="K965" s="2" t="e">
        <f>_xlfn.XLOOKUP(E965,セットアップレポート_紐づけ用!A:A,セットアップレポート_紐づけ用!R:R)</f>
        <v>#N/A</v>
      </c>
      <c r="L965" t="e">
        <f t="shared" si="63"/>
        <v>#N/A</v>
      </c>
      <c r="M965" t="e">
        <f>_xlfn.XLOOKUP(L965,EGPro!A:A,EGPro!D:D)</f>
        <v>#N/A</v>
      </c>
      <c r="N965" t="e">
        <f>_xlfn.XLOOKUP(L965,EGPro!A:A,EGPro!C:C)</f>
        <v>#N/A</v>
      </c>
      <c r="O965" t="e">
        <f t="shared" si="61"/>
        <v>#N/A</v>
      </c>
      <c r="P965" t="e">
        <f>_xlfn.XLOOKUP(O965,EGPro!A:A,EGPro!D:D)</f>
        <v>#N/A</v>
      </c>
      <c r="Q965" t="e">
        <f>_xlfn.XLOOKUP(O965,EGPro!A:A,EGPro!C:C)</f>
        <v>#N/A</v>
      </c>
    </row>
    <row r="966" spans="1:17" x14ac:dyDescent="0.45">
      <c r="A966" s="3">
        <f>配列!B926</f>
        <v>0</v>
      </c>
      <c r="B966" s="3" t="e">
        <f>_xlfn.XLOOKUP(A966,対応表!A:A,対応表!B:B)</f>
        <v>#N/A</v>
      </c>
      <c r="C966" s="3">
        <f>配列!C926</f>
        <v>0</v>
      </c>
      <c r="D966" s="3" t="str">
        <f>IF(配列!E926="",RIGHT(配列!D926&amp;配列!E926,4)&amp;"L",RIGHT(配列!D926&amp;配列!E926,5))</f>
        <v>L</v>
      </c>
      <c r="E966" s="3">
        <f t="shared" si="60"/>
        <v>0</v>
      </c>
      <c r="F966" s="3" t="e">
        <f>_xlfn.XLOOKUP(E966,セットアップレポート_紐づけ用!A:A,セットアップレポート_紐づけ用!J:J)</f>
        <v>#N/A</v>
      </c>
      <c r="G966" s="3" t="e">
        <f>_xlfn.XLOOKUP(E966,セットアップレポート_紐づけ用!A:A,セットアップレポート_紐づけ用!V:V)</f>
        <v>#N/A</v>
      </c>
      <c r="H966" s="3">
        <f t="shared" si="62"/>
        <v>-2</v>
      </c>
      <c r="I966" t="str">
        <f>IF(J966=0,"",IF(配列!E966="",マクロ実行!$A$16 &amp;" T"&amp;H966&amp;"-"&amp;RIGHT(配列!D966&amp;配列!E966,2),マクロ実行!$A$16 &amp;" T"&amp;H966&amp;"-"&amp;RIGHT(配列!D966&amp;配列!E966,3)))</f>
        <v/>
      </c>
      <c r="J966">
        <f>配列!F926</f>
        <v>0</v>
      </c>
      <c r="K966" s="2" t="e">
        <f>_xlfn.XLOOKUP(E966,セットアップレポート_紐づけ用!A:A,セットアップレポート_紐づけ用!R:R)</f>
        <v>#N/A</v>
      </c>
      <c r="L966" t="e">
        <f t="shared" si="63"/>
        <v>#N/A</v>
      </c>
      <c r="M966" t="e">
        <f>_xlfn.XLOOKUP(L966,EGPro!A:A,EGPro!D:D)</f>
        <v>#N/A</v>
      </c>
      <c r="N966" t="e">
        <f>_xlfn.XLOOKUP(L966,EGPro!A:A,EGPro!C:C)</f>
        <v>#N/A</v>
      </c>
      <c r="O966" t="e">
        <f t="shared" si="61"/>
        <v>#N/A</v>
      </c>
      <c r="P966" t="e">
        <f>_xlfn.XLOOKUP(O966,EGPro!A:A,EGPro!D:D)</f>
        <v>#N/A</v>
      </c>
      <c r="Q966" t="e">
        <f>_xlfn.XLOOKUP(O966,EGPro!A:A,EGPro!C:C)</f>
        <v>#N/A</v>
      </c>
    </row>
    <row r="967" spans="1:17" x14ac:dyDescent="0.45">
      <c r="A967" s="3">
        <f>配列!B927</f>
        <v>0</v>
      </c>
      <c r="B967" s="3" t="e">
        <f>_xlfn.XLOOKUP(A967,対応表!A:A,対応表!B:B)</f>
        <v>#N/A</v>
      </c>
      <c r="C967" s="3">
        <f>配列!C927</f>
        <v>0</v>
      </c>
      <c r="D967" s="3" t="str">
        <f>IF(配列!E927="",RIGHT(配列!D927&amp;配列!E927,4)&amp;"L",RIGHT(配列!D927&amp;配列!E927,5))</f>
        <v>L</v>
      </c>
      <c r="E967" s="3">
        <f t="shared" si="60"/>
        <v>0</v>
      </c>
      <c r="F967" s="3" t="e">
        <f>_xlfn.XLOOKUP(E967,セットアップレポート_紐づけ用!A:A,セットアップレポート_紐づけ用!J:J)</f>
        <v>#N/A</v>
      </c>
      <c r="G967" s="3" t="e">
        <f>_xlfn.XLOOKUP(E967,セットアップレポート_紐づけ用!A:A,セットアップレポート_紐づけ用!V:V)</f>
        <v>#N/A</v>
      </c>
      <c r="H967" s="3">
        <f t="shared" si="62"/>
        <v>-2</v>
      </c>
      <c r="I967" t="str">
        <f>IF(J967=0,"",IF(配列!E967="",マクロ実行!$A$16 &amp;" T"&amp;H967&amp;"-"&amp;RIGHT(配列!D967&amp;配列!E967,2),マクロ実行!$A$16 &amp;" T"&amp;H967&amp;"-"&amp;RIGHT(配列!D967&amp;配列!E967,3)))</f>
        <v/>
      </c>
      <c r="J967">
        <f>配列!F927</f>
        <v>0</v>
      </c>
      <c r="K967" s="2" t="e">
        <f>_xlfn.XLOOKUP(E967,セットアップレポート_紐づけ用!A:A,セットアップレポート_紐づけ用!R:R)</f>
        <v>#N/A</v>
      </c>
      <c r="L967" t="e">
        <f t="shared" si="63"/>
        <v>#N/A</v>
      </c>
      <c r="M967" t="e">
        <f>_xlfn.XLOOKUP(L967,EGPro!A:A,EGPro!D:D)</f>
        <v>#N/A</v>
      </c>
      <c r="N967" t="e">
        <f>_xlfn.XLOOKUP(L967,EGPro!A:A,EGPro!C:C)</f>
        <v>#N/A</v>
      </c>
      <c r="O967" t="e">
        <f t="shared" si="61"/>
        <v>#N/A</v>
      </c>
      <c r="P967" t="e">
        <f>_xlfn.XLOOKUP(O967,EGPro!A:A,EGPro!D:D)</f>
        <v>#N/A</v>
      </c>
      <c r="Q967" t="e">
        <f>_xlfn.XLOOKUP(O967,EGPro!A:A,EGPro!C:C)</f>
        <v>#N/A</v>
      </c>
    </row>
    <row r="968" spans="1:17" x14ac:dyDescent="0.45">
      <c r="A968" s="3">
        <f>配列!B928</f>
        <v>0</v>
      </c>
      <c r="B968" s="3" t="e">
        <f>_xlfn.XLOOKUP(A968,対応表!A:A,対応表!B:B)</f>
        <v>#N/A</v>
      </c>
      <c r="C968" s="3">
        <f>配列!C928</f>
        <v>0</v>
      </c>
      <c r="D968" s="3" t="str">
        <f>IF(配列!E928="",RIGHT(配列!D928&amp;配列!E928,4)&amp;"L",RIGHT(配列!D928&amp;配列!E928,5))</f>
        <v>L</v>
      </c>
      <c r="E968" s="3">
        <f t="shared" si="60"/>
        <v>0</v>
      </c>
      <c r="F968" s="3" t="e">
        <f>_xlfn.XLOOKUP(E968,セットアップレポート_紐づけ用!A:A,セットアップレポート_紐づけ用!J:J)</f>
        <v>#N/A</v>
      </c>
      <c r="G968" s="3" t="e">
        <f>_xlfn.XLOOKUP(E968,セットアップレポート_紐づけ用!A:A,セットアップレポート_紐づけ用!V:V)</f>
        <v>#N/A</v>
      </c>
      <c r="H968" s="3">
        <f t="shared" si="62"/>
        <v>-2</v>
      </c>
      <c r="I968" t="str">
        <f>IF(J968=0,"",IF(配列!E968="",マクロ実行!$A$16 &amp;" T"&amp;H968&amp;"-"&amp;RIGHT(配列!D968&amp;配列!E968,2),マクロ実行!$A$16 &amp;" T"&amp;H968&amp;"-"&amp;RIGHT(配列!D968&amp;配列!E968,3)))</f>
        <v/>
      </c>
      <c r="J968">
        <f>配列!F928</f>
        <v>0</v>
      </c>
      <c r="K968" s="2" t="e">
        <f>_xlfn.XLOOKUP(E968,セットアップレポート_紐づけ用!A:A,セットアップレポート_紐づけ用!R:R)</f>
        <v>#N/A</v>
      </c>
      <c r="L968" t="e">
        <f t="shared" si="63"/>
        <v>#N/A</v>
      </c>
      <c r="M968" t="e">
        <f>_xlfn.XLOOKUP(L968,EGPro!A:A,EGPro!D:D)</f>
        <v>#N/A</v>
      </c>
      <c r="N968" t="e">
        <f>_xlfn.XLOOKUP(L968,EGPro!A:A,EGPro!C:C)</f>
        <v>#N/A</v>
      </c>
      <c r="O968" t="e">
        <f t="shared" si="61"/>
        <v>#N/A</v>
      </c>
      <c r="P968" t="e">
        <f>_xlfn.XLOOKUP(O968,EGPro!A:A,EGPro!D:D)</f>
        <v>#N/A</v>
      </c>
      <c r="Q968" t="e">
        <f>_xlfn.XLOOKUP(O968,EGPro!A:A,EGPro!C:C)</f>
        <v>#N/A</v>
      </c>
    </row>
    <row r="969" spans="1:17" x14ac:dyDescent="0.45">
      <c r="A969" s="3">
        <f>配列!B929</f>
        <v>0</v>
      </c>
      <c r="B969" s="3" t="e">
        <f>_xlfn.XLOOKUP(A969,対応表!A:A,対応表!B:B)</f>
        <v>#N/A</v>
      </c>
      <c r="C969" s="3">
        <f>配列!C929</f>
        <v>0</v>
      </c>
      <c r="D969" s="3" t="str">
        <f>IF(配列!E929="",RIGHT(配列!D929&amp;配列!E929,4)&amp;"L",RIGHT(配列!D929&amp;配列!E929,5))</f>
        <v>L</v>
      </c>
      <c r="E969" s="3">
        <f t="shared" si="60"/>
        <v>0</v>
      </c>
      <c r="F969" s="3" t="e">
        <f>_xlfn.XLOOKUP(E969,セットアップレポート_紐づけ用!A:A,セットアップレポート_紐づけ用!J:J)</f>
        <v>#N/A</v>
      </c>
      <c r="G969" s="3" t="e">
        <f>_xlfn.XLOOKUP(E969,セットアップレポート_紐づけ用!A:A,セットアップレポート_紐づけ用!V:V)</f>
        <v>#N/A</v>
      </c>
      <c r="H969" s="3">
        <f t="shared" si="62"/>
        <v>-2</v>
      </c>
      <c r="I969" t="str">
        <f>IF(J969=0,"",IF(配列!E969="",マクロ実行!$A$16 &amp;" T"&amp;H969&amp;"-"&amp;RIGHT(配列!D969&amp;配列!E969,2),マクロ実行!$A$16 &amp;" T"&amp;H969&amp;"-"&amp;RIGHT(配列!D969&amp;配列!E969,3)))</f>
        <v/>
      </c>
      <c r="J969">
        <f>配列!F929</f>
        <v>0</v>
      </c>
      <c r="K969" s="2" t="e">
        <f>_xlfn.XLOOKUP(E969,セットアップレポート_紐づけ用!A:A,セットアップレポート_紐づけ用!R:R)</f>
        <v>#N/A</v>
      </c>
      <c r="L969" t="e">
        <f t="shared" si="63"/>
        <v>#N/A</v>
      </c>
      <c r="M969" t="e">
        <f>_xlfn.XLOOKUP(L969,EGPro!A:A,EGPro!D:D)</f>
        <v>#N/A</v>
      </c>
      <c r="N969" t="e">
        <f>_xlfn.XLOOKUP(L969,EGPro!A:A,EGPro!C:C)</f>
        <v>#N/A</v>
      </c>
      <c r="O969" t="e">
        <f t="shared" si="61"/>
        <v>#N/A</v>
      </c>
      <c r="P969" t="e">
        <f>_xlfn.XLOOKUP(O969,EGPro!A:A,EGPro!D:D)</f>
        <v>#N/A</v>
      </c>
      <c r="Q969" t="e">
        <f>_xlfn.XLOOKUP(O969,EGPro!A:A,EGPro!C:C)</f>
        <v>#N/A</v>
      </c>
    </row>
    <row r="970" spans="1:17" x14ac:dyDescent="0.45">
      <c r="A970" s="3">
        <f>配列!B930</f>
        <v>0</v>
      </c>
      <c r="B970" s="3" t="e">
        <f>_xlfn.XLOOKUP(A970,対応表!A:A,対応表!B:B)</f>
        <v>#N/A</v>
      </c>
      <c r="C970" s="3">
        <f>配列!C930</f>
        <v>0</v>
      </c>
      <c r="D970" s="3" t="str">
        <f>IF(配列!E930="",RIGHT(配列!D930&amp;配列!E930,4)&amp;"L",RIGHT(配列!D930&amp;配列!E930,5))</f>
        <v>L</v>
      </c>
      <c r="E970" s="3">
        <f t="shared" si="60"/>
        <v>0</v>
      </c>
      <c r="F970" s="3" t="e">
        <f>_xlfn.XLOOKUP(E970,セットアップレポート_紐づけ用!A:A,セットアップレポート_紐づけ用!J:J)</f>
        <v>#N/A</v>
      </c>
      <c r="G970" s="3" t="e">
        <f>_xlfn.XLOOKUP(E970,セットアップレポート_紐づけ用!A:A,セットアップレポート_紐づけ用!V:V)</f>
        <v>#N/A</v>
      </c>
      <c r="H970" s="3">
        <f t="shared" si="62"/>
        <v>-2</v>
      </c>
      <c r="I970" t="str">
        <f>IF(J970=0,"",IF(配列!E970="",マクロ実行!$A$16 &amp;" T"&amp;H970&amp;"-"&amp;RIGHT(配列!D970&amp;配列!E970,2),マクロ実行!$A$16 &amp;" T"&amp;H970&amp;"-"&amp;RIGHT(配列!D970&amp;配列!E970,3)))</f>
        <v/>
      </c>
      <c r="J970">
        <f>配列!F930</f>
        <v>0</v>
      </c>
      <c r="K970" s="2" t="e">
        <f>_xlfn.XLOOKUP(E970,セットアップレポート_紐づけ用!A:A,セットアップレポート_紐づけ用!R:R)</f>
        <v>#N/A</v>
      </c>
      <c r="L970" t="e">
        <f t="shared" si="63"/>
        <v>#N/A</v>
      </c>
      <c r="M970" t="e">
        <f>_xlfn.XLOOKUP(L970,EGPro!A:A,EGPro!D:D)</f>
        <v>#N/A</v>
      </c>
      <c r="N970" t="e">
        <f>_xlfn.XLOOKUP(L970,EGPro!A:A,EGPro!C:C)</f>
        <v>#N/A</v>
      </c>
      <c r="O970" t="e">
        <f t="shared" si="61"/>
        <v>#N/A</v>
      </c>
      <c r="P970" t="e">
        <f>_xlfn.XLOOKUP(O970,EGPro!A:A,EGPro!D:D)</f>
        <v>#N/A</v>
      </c>
      <c r="Q970" t="e">
        <f>_xlfn.XLOOKUP(O970,EGPro!A:A,EGPro!C:C)</f>
        <v>#N/A</v>
      </c>
    </row>
    <row r="971" spans="1:17" x14ac:dyDescent="0.45">
      <c r="A971" s="3">
        <f>配列!B931</f>
        <v>0</v>
      </c>
      <c r="B971" s="3" t="e">
        <f>_xlfn.XLOOKUP(A971,対応表!A:A,対応表!B:B)</f>
        <v>#N/A</v>
      </c>
      <c r="C971" s="3">
        <f>配列!C931</f>
        <v>0</v>
      </c>
      <c r="D971" s="3" t="str">
        <f>IF(配列!E931="",RIGHT(配列!D931&amp;配列!E931,4)&amp;"L",RIGHT(配列!D931&amp;配列!E931,5))</f>
        <v>L</v>
      </c>
      <c r="E971" s="3">
        <f t="shared" si="60"/>
        <v>0</v>
      </c>
      <c r="F971" s="3" t="e">
        <f>_xlfn.XLOOKUP(E971,セットアップレポート_紐づけ用!A:A,セットアップレポート_紐づけ用!J:J)</f>
        <v>#N/A</v>
      </c>
      <c r="G971" s="3" t="e">
        <f>_xlfn.XLOOKUP(E971,セットアップレポート_紐づけ用!A:A,セットアップレポート_紐づけ用!V:V)</f>
        <v>#N/A</v>
      </c>
      <c r="H971" s="3">
        <f t="shared" si="62"/>
        <v>-2</v>
      </c>
      <c r="I971" t="str">
        <f>IF(J971=0,"",IF(配列!E971="",マクロ実行!$A$16 &amp;" T"&amp;H971&amp;"-"&amp;RIGHT(配列!D971&amp;配列!E971,2),マクロ実行!$A$16 &amp;" T"&amp;H971&amp;"-"&amp;RIGHT(配列!D971&amp;配列!E971,3)))</f>
        <v/>
      </c>
      <c r="J971">
        <f>配列!F931</f>
        <v>0</v>
      </c>
      <c r="K971" s="2" t="e">
        <f>_xlfn.XLOOKUP(E971,セットアップレポート_紐づけ用!A:A,セットアップレポート_紐づけ用!R:R)</f>
        <v>#N/A</v>
      </c>
      <c r="L971" t="e">
        <f t="shared" si="63"/>
        <v>#N/A</v>
      </c>
      <c r="M971" t="e">
        <f>_xlfn.XLOOKUP(L971,EGPro!A:A,EGPro!D:D)</f>
        <v>#N/A</v>
      </c>
      <c r="N971" t="e">
        <f>_xlfn.XLOOKUP(L971,EGPro!A:A,EGPro!C:C)</f>
        <v>#N/A</v>
      </c>
      <c r="O971" t="e">
        <f t="shared" si="61"/>
        <v>#N/A</v>
      </c>
      <c r="P971" t="e">
        <f>_xlfn.XLOOKUP(O971,EGPro!A:A,EGPro!D:D)</f>
        <v>#N/A</v>
      </c>
      <c r="Q971" t="e">
        <f>_xlfn.XLOOKUP(O971,EGPro!A:A,EGPro!C:C)</f>
        <v>#N/A</v>
      </c>
    </row>
    <row r="972" spans="1:17" x14ac:dyDescent="0.45">
      <c r="A972" s="3">
        <f>配列!B932</f>
        <v>0</v>
      </c>
      <c r="B972" s="3" t="e">
        <f>_xlfn.XLOOKUP(A972,対応表!A:A,対応表!B:B)</f>
        <v>#N/A</v>
      </c>
      <c r="C972" s="3">
        <f>配列!C932</f>
        <v>0</v>
      </c>
      <c r="D972" s="3" t="str">
        <f>IF(配列!E932="",RIGHT(配列!D932&amp;配列!E932,4)&amp;"L",RIGHT(配列!D932&amp;配列!E932,5))</f>
        <v>L</v>
      </c>
      <c r="E972" s="3">
        <f t="shared" si="60"/>
        <v>0</v>
      </c>
      <c r="F972" s="3" t="e">
        <f>_xlfn.XLOOKUP(E972,セットアップレポート_紐づけ用!A:A,セットアップレポート_紐づけ用!J:J)</f>
        <v>#N/A</v>
      </c>
      <c r="G972" s="3" t="e">
        <f>_xlfn.XLOOKUP(E972,セットアップレポート_紐づけ用!A:A,セットアップレポート_紐づけ用!V:V)</f>
        <v>#N/A</v>
      </c>
      <c r="H972" s="3">
        <f t="shared" si="62"/>
        <v>-2</v>
      </c>
      <c r="I972" t="str">
        <f>IF(J972=0,"",IF(配列!E972="",マクロ実行!$A$16 &amp;" T"&amp;H972&amp;"-"&amp;RIGHT(配列!D972&amp;配列!E972,2),マクロ実行!$A$16 &amp;" T"&amp;H972&amp;"-"&amp;RIGHT(配列!D972&amp;配列!E972,3)))</f>
        <v/>
      </c>
      <c r="J972">
        <f>配列!F932</f>
        <v>0</v>
      </c>
      <c r="K972" s="2" t="e">
        <f>_xlfn.XLOOKUP(E972,セットアップレポート_紐づけ用!A:A,セットアップレポート_紐づけ用!R:R)</f>
        <v>#N/A</v>
      </c>
      <c r="L972" t="e">
        <f t="shared" si="63"/>
        <v>#N/A</v>
      </c>
      <c r="M972" t="e">
        <f>_xlfn.XLOOKUP(L972,EGPro!A:A,EGPro!D:D)</f>
        <v>#N/A</v>
      </c>
      <c r="N972" t="e">
        <f>_xlfn.XLOOKUP(L972,EGPro!A:A,EGPro!C:C)</f>
        <v>#N/A</v>
      </c>
      <c r="O972" t="e">
        <f t="shared" si="61"/>
        <v>#N/A</v>
      </c>
      <c r="P972" t="e">
        <f>_xlfn.XLOOKUP(O972,EGPro!A:A,EGPro!D:D)</f>
        <v>#N/A</v>
      </c>
      <c r="Q972" t="e">
        <f>_xlfn.XLOOKUP(O972,EGPro!A:A,EGPro!C:C)</f>
        <v>#N/A</v>
      </c>
    </row>
    <row r="973" spans="1:17" x14ac:dyDescent="0.45">
      <c r="A973" s="3">
        <f>配列!B933</f>
        <v>0</v>
      </c>
      <c r="B973" s="3" t="e">
        <f>_xlfn.XLOOKUP(A973,対応表!A:A,対応表!B:B)</f>
        <v>#N/A</v>
      </c>
      <c r="C973" s="3">
        <f>配列!C933</f>
        <v>0</v>
      </c>
      <c r="D973" s="3" t="str">
        <f>IF(配列!E933="",RIGHT(配列!D933&amp;配列!E933,4)&amp;"L",RIGHT(配列!D933&amp;配列!E933,5))</f>
        <v>L</v>
      </c>
      <c r="E973" s="3">
        <f t="shared" si="60"/>
        <v>0</v>
      </c>
      <c r="F973" s="3" t="e">
        <f>_xlfn.XLOOKUP(E973,セットアップレポート_紐づけ用!A:A,セットアップレポート_紐づけ用!J:J)</f>
        <v>#N/A</v>
      </c>
      <c r="G973" s="3" t="e">
        <f>_xlfn.XLOOKUP(E973,セットアップレポート_紐づけ用!A:A,セットアップレポート_紐づけ用!V:V)</f>
        <v>#N/A</v>
      </c>
      <c r="H973" s="3">
        <f t="shared" si="62"/>
        <v>-2</v>
      </c>
      <c r="I973" t="str">
        <f>IF(J973=0,"",IF(配列!E973="",マクロ実行!$A$16 &amp;" T"&amp;H973&amp;"-"&amp;RIGHT(配列!D973&amp;配列!E973,2),マクロ実行!$A$16 &amp;" T"&amp;H973&amp;"-"&amp;RIGHT(配列!D973&amp;配列!E973,3)))</f>
        <v/>
      </c>
      <c r="J973">
        <f>配列!F933</f>
        <v>0</v>
      </c>
      <c r="K973" s="2" t="e">
        <f>_xlfn.XLOOKUP(E973,セットアップレポート_紐づけ用!A:A,セットアップレポート_紐づけ用!R:R)</f>
        <v>#N/A</v>
      </c>
      <c r="L973" t="e">
        <f t="shared" si="63"/>
        <v>#N/A</v>
      </c>
      <c r="M973" t="e">
        <f>_xlfn.XLOOKUP(L973,EGPro!A:A,EGPro!D:D)</f>
        <v>#N/A</v>
      </c>
      <c r="N973" t="e">
        <f>_xlfn.XLOOKUP(L973,EGPro!A:A,EGPro!C:C)</f>
        <v>#N/A</v>
      </c>
      <c r="O973" t="e">
        <f t="shared" si="61"/>
        <v>#N/A</v>
      </c>
      <c r="P973" t="e">
        <f>_xlfn.XLOOKUP(O973,EGPro!A:A,EGPro!D:D)</f>
        <v>#N/A</v>
      </c>
      <c r="Q973" t="e">
        <f>_xlfn.XLOOKUP(O973,EGPro!A:A,EGPro!C:C)</f>
        <v>#N/A</v>
      </c>
    </row>
    <row r="974" spans="1:17" x14ac:dyDescent="0.45">
      <c r="A974" s="3">
        <f>配列!B934</f>
        <v>0</v>
      </c>
      <c r="B974" s="3" t="e">
        <f>_xlfn.XLOOKUP(A974,対応表!A:A,対応表!B:B)</f>
        <v>#N/A</v>
      </c>
      <c r="C974" s="3">
        <f>配列!C934</f>
        <v>0</v>
      </c>
      <c r="D974" s="3" t="str">
        <f>IF(配列!E934="",RIGHT(配列!D934&amp;配列!E934,4)&amp;"L",RIGHT(配列!D934&amp;配列!E934,5))</f>
        <v>L</v>
      </c>
      <c r="E974" s="3">
        <f t="shared" si="60"/>
        <v>0</v>
      </c>
      <c r="F974" s="3" t="e">
        <f>_xlfn.XLOOKUP(E974,セットアップレポート_紐づけ用!A:A,セットアップレポート_紐づけ用!J:J)</f>
        <v>#N/A</v>
      </c>
      <c r="G974" s="3" t="e">
        <f>_xlfn.XLOOKUP(E974,セットアップレポート_紐づけ用!A:A,セットアップレポート_紐づけ用!V:V)</f>
        <v>#N/A</v>
      </c>
      <c r="H974" s="3">
        <f t="shared" si="62"/>
        <v>-2</v>
      </c>
      <c r="I974" t="str">
        <f>IF(J974=0,"",IF(配列!E974="",マクロ実行!$A$16 &amp;" T"&amp;H974&amp;"-"&amp;RIGHT(配列!D974&amp;配列!E974,2),マクロ実行!$A$16 &amp;" T"&amp;H974&amp;"-"&amp;RIGHT(配列!D974&amp;配列!E974,3)))</f>
        <v/>
      </c>
      <c r="J974">
        <f>配列!F934</f>
        <v>0</v>
      </c>
      <c r="K974" s="2" t="e">
        <f>_xlfn.XLOOKUP(E974,セットアップレポート_紐づけ用!A:A,セットアップレポート_紐づけ用!R:R)</f>
        <v>#N/A</v>
      </c>
      <c r="L974" t="e">
        <f t="shared" si="63"/>
        <v>#N/A</v>
      </c>
      <c r="M974" t="e">
        <f>_xlfn.XLOOKUP(L974,EGPro!A:A,EGPro!D:D)</f>
        <v>#N/A</v>
      </c>
      <c r="N974" t="e">
        <f>_xlfn.XLOOKUP(L974,EGPro!A:A,EGPro!C:C)</f>
        <v>#N/A</v>
      </c>
      <c r="O974" t="e">
        <f t="shared" si="61"/>
        <v>#N/A</v>
      </c>
      <c r="P974" t="e">
        <f>_xlfn.XLOOKUP(O974,EGPro!A:A,EGPro!D:D)</f>
        <v>#N/A</v>
      </c>
      <c r="Q974" t="e">
        <f>_xlfn.XLOOKUP(O974,EGPro!A:A,EGPro!C:C)</f>
        <v>#N/A</v>
      </c>
    </row>
    <row r="975" spans="1:17" x14ac:dyDescent="0.45">
      <c r="A975" s="3">
        <f>配列!B935</f>
        <v>0</v>
      </c>
      <c r="B975" s="3" t="e">
        <f>_xlfn.XLOOKUP(A975,対応表!A:A,対応表!B:B)</f>
        <v>#N/A</v>
      </c>
      <c r="C975" s="3">
        <f>配列!C935</f>
        <v>0</v>
      </c>
      <c r="D975" s="3" t="str">
        <f>IF(配列!E935="",RIGHT(配列!D935&amp;配列!E935,4)&amp;"L",RIGHT(配列!D935&amp;配列!E935,5))</f>
        <v>L</v>
      </c>
      <c r="E975" s="3">
        <f t="shared" si="60"/>
        <v>0</v>
      </c>
      <c r="F975" s="3" t="e">
        <f>_xlfn.XLOOKUP(E975,セットアップレポート_紐づけ用!A:A,セットアップレポート_紐づけ用!J:J)</f>
        <v>#N/A</v>
      </c>
      <c r="G975" s="3" t="e">
        <f>_xlfn.XLOOKUP(E975,セットアップレポート_紐づけ用!A:A,セットアップレポート_紐づけ用!V:V)</f>
        <v>#N/A</v>
      </c>
      <c r="H975" s="3">
        <f t="shared" si="62"/>
        <v>-2</v>
      </c>
      <c r="I975" t="str">
        <f>IF(J975=0,"",IF(配列!E975="",マクロ実行!$A$16 &amp;" T"&amp;H975&amp;"-"&amp;RIGHT(配列!D975&amp;配列!E975,2),マクロ実行!$A$16 &amp;" T"&amp;H975&amp;"-"&amp;RIGHT(配列!D975&amp;配列!E975,3)))</f>
        <v/>
      </c>
      <c r="J975">
        <f>配列!F935</f>
        <v>0</v>
      </c>
      <c r="K975" s="2" t="e">
        <f>_xlfn.XLOOKUP(E975,セットアップレポート_紐づけ用!A:A,セットアップレポート_紐づけ用!R:R)</f>
        <v>#N/A</v>
      </c>
      <c r="L975" t="e">
        <f t="shared" si="63"/>
        <v>#N/A</v>
      </c>
      <c r="M975" t="e">
        <f>_xlfn.XLOOKUP(L975,EGPro!A:A,EGPro!D:D)</f>
        <v>#N/A</v>
      </c>
      <c r="N975" t="e">
        <f>_xlfn.XLOOKUP(L975,EGPro!A:A,EGPro!C:C)</f>
        <v>#N/A</v>
      </c>
      <c r="O975" t="e">
        <f t="shared" si="61"/>
        <v>#N/A</v>
      </c>
      <c r="P975" t="e">
        <f>_xlfn.XLOOKUP(O975,EGPro!A:A,EGPro!D:D)</f>
        <v>#N/A</v>
      </c>
      <c r="Q975" t="e">
        <f>_xlfn.XLOOKUP(O975,EGPro!A:A,EGPro!C:C)</f>
        <v>#N/A</v>
      </c>
    </row>
    <row r="976" spans="1:17" x14ac:dyDescent="0.45">
      <c r="A976" s="3">
        <f>配列!B936</f>
        <v>0</v>
      </c>
      <c r="B976" s="3" t="e">
        <f>_xlfn.XLOOKUP(A976,対応表!A:A,対応表!B:B)</f>
        <v>#N/A</v>
      </c>
      <c r="C976" s="3">
        <f>配列!C936</f>
        <v>0</v>
      </c>
      <c r="D976" s="3" t="str">
        <f>IF(配列!E936="",RIGHT(配列!D936&amp;配列!E936,4)&amp;"L",RIGHT(配列!D936&amp;配列!E936,5))</f>
        <v>L</v>
      </c>
      <c r="E976" s="3">
        <f t="shared" si="60"/>
        <v>0</v>
      </c>
      <c r="F976" s="3" t="e">
        <f>_xlfn.XLOOKUP(E976,セットアップレポート_紐づけ用!A:A,セットアップレポート_紐づけ用!J:J)</f>
        <v>#N/A</v>
      </c>
      <c r="G976" s="3" t="e">
        <f>_xlfn.XLOOKUP(E976,セットアップレポート_紐づけ用!A:A,セットアップレポート_紐づけ用!V:V)</f>
        <v>#N/A</v>
      </c>
      <c r="H976" s="3">
        <f t="shared" si="62"/>
        <v>-2</v>
      </c>
      <c r="I976" t="str">
        <f>IF(J976=0,"",IF(配列!E976="",マクロ実行!$A$16 &amp;" T"&amp;H976&amp;"-"&amp;RIGHT(配列!D976&amp;配列!E976,2),マクロ実行!$A$16 &amp;" T"&amp;H976&amp;"-"&amp;RIGHT(配列!D976&amp;配列!E976,3)))</f>
        <v/>
      </c>
      <c r="J976">
        <f>配列!F936</f>
        <v>0</v>
      </c>
      <c r="K976" s="2" t="e">
        <f>_xlfn.XLOOKUP(E976,セットアップレポート_紐づけ用!A:A,セットアップレポート_紐づけ用!R:R)</f>
        <v>#N/A</v>
      </c>
      <c r="L976" t="e">
        <f t="shared" si="63"/>
        <v>#N/A</v>
      </c>
      <c r="M976" t="e">
        <f>_xlfn.XLOOKUP(L976,EGPro!A:A,EGPro!D:D)</f>
        <v>#N/A</v>
      </c>
      <c r="N976" t="e">
        <f>_xlfn.XLOOKUP(L976,EGPro!A:A,EGPro!C:C)</f>
        <v>#N/A</v>
      </c>
      <c r="O976" t="e">
        <f t="shared" si="61"/>
        <v>#N/A</v>
      </c>
      <c r="P976" t="e">
        <f>_xlfn.XLOOKUP(O976,EGPro!A:A,EGPro!D:D)</f>
        <v>#N/A</v>
      </c>
      <c r="Q976" t="e">
        <f>_xlfn.XLOOKUP(O976,EGPro!A:A,EGPro!C:C)</f>
        <v>#N/A</v>
      </c>
    </row>
    <row r="977" spans="1:17" x14ac:dyDescent="0.45">
      <c r="A977" s="3">
        <f>配列!B937</f>
        <v>0</v>
      </c>
      <c r="B977" s="3" t="e">
        <f>_xlfn.XLOOKUP(A977,対応表!A:A,対応表!B:B)</f>
        <v>#N/A</v>
      </c>
      <c r="C977" s="3">
        <f>配列!C937</f>
        <v>0</v>
      </c>
      <c r="D977" s="3" t="str">
        <f>IF(配列!E937="",RIGHT(配列!D937&amp;配列!E937,4)&amp;"L",RIGHT(配列!D937&amp;配列!E937,5))</f>
        <v>L</v>
      </c>
      <c r="E977" s="3">
        <f t="shared" si="60"/>
        <v>0</v>
      </c>
      <c r="F977" s="3" t="e">
        <f>_xlfn.XLOOKUP(E977,セットアップレポート_紐づけ用!A:A,セットアップレポート_紐づけ用!J:J)</f>
        <v>#N/A</v>
      </c>
      <c r="G977" s="3" t="e">
        <f>_xlfn.XLOOKUP(E977,セットアップレポート_紐づけ用!A:A,セットアップレポート_紐づけ用!V:V)</f>
        <v>#N/A</v>
      </c>
      <c r="H977" s="3">
        <f t="shared" si="62"/>
        <v>-2</v>
      </c>
      <c r="I977" t="str">
        <f>IF(J977=0,"",IF(配列!E977="",マクロ実行!$A$16 &amp;" T"&amp;H977&amp;"-"&amp;RIGHT(配列!D977&amp;配列!E977,2),マクロ実行!$A$16 &amp;" T"&amp;H977&amp;"-"&amp;RIGHT(配列!D977&amp;配列!E977,3)))</f>
        <v/>
      </c>
      <c r="J977">
        <f>配列!F937</f>
        <v>0</v>
      </c>
      <c r="K977" s="2" t="e">
        <f>_xlfn.XLOOKUP(E977,セットアップレポート_紐づけ用!A:A,セットアップレポート_紐づけ用!R:R)</f>
        <v>#N/A</v>
      </c>
      <c r="L977" t="e">
        <f t="shared" si="63"/>
        <v>#N/A</v>
      </c>
      <c r="M977" t="e">
        <f>_xlfn.XLOOKUP(L977,EGPro!A:A,EGPro!D:D)</f>
        <v>#N/A</v>
      </c>
      <c r="N977" t="e">
        <f>_xlfn.XLOOKUP(L977,EGPro!A:A,EGPro!C:C)</f>
        <v>#N/A</v>
      </c>
      <c r="O977" t="e">
        <f t="shared" si="61"/>
        <v>#N/A</v>
      </c>
      <c r="P977" t="e">
        <f>_xlfn.XLOOKUP(O977,EGPro!A:A,EGPro!D:D)</f>
        <v>#N/A</v>
      </c>
      <c r="Q977" t="e">
        <f>_xlfn.XLOOKUP(O977,EGPro!A:A,EGPro!C:C)</f>
        <v>#N/A</v>
      </c>
    </row>
    <row r="978" spans="1:17" x14ac:dyDescent="0.45">
      <c r="A978" s="3">
        <f>配列!B938</f>
        <v>0</v>
      </c>
      <c r="B978" s="3" t="e">
        <f>_xlfn.XLOOKUP(A978,対応表!A:A,対応表!B:B)</f>
        <v>#N/A</v>
      </c>
      <c r="C978" s="3">
        <f>配列!C938</f>
        <v>0</v>
      </c>
      <c r="D978" s="3" t="str">
        <f>IF(配列!E938="",RIGHT(配列!D938&amp;配列!E938,4)&amp;"L",RIGHT(配列!D938&amp;配列!E938,5))</f>
        <v>L</v>
      </c>
      <c r="E978" s="3">
        <f t="shared" si="60"/>
        <v>0</v>
      </c>
      <c r="F978" s="3" t="e">
        <f>_xlfn.XLOOKUP(E978,セットアップレポート_紐づけ用!A:A,セットアップレポート_紐づけ用!J:J)</f>
        <v>#N/A</v>
      </c>
      <c r="G978" s="3" t="e">
        <f>_xlfn.XLOOKUP(E978,セットアップレポート_紐づけ用!A:A,セットアップレポート_紐づけ用!V:V)</f>
        <v>#N/A</v>
      </c>
      <c r="H978" s="3">
        <f t="shared" si="62"/>
        <v>-2</v>
      </c>
      <c r="I978" t="str">
        <f>IF(J978=0,"",IF(配列!E978="",マクロ実行!$A$16 &amp;" T"&amp;H978&amp;"-"&amp;RIGHT(配列!D978&amp;配列!E978,2),マクロ実行!$A$16 &amp;" T"&amp;H978&amp;"-"&amp;RIGHT(配列!D978&amp;配列!E978,3)))</f>
        <v/>
      </c>
      <c r="J978">
        <f>配列!F938</f>
        <v>0</v>
      </c>
      <c r="K978" s="2" t="e">
        <f>_xlfn.XLOOKUP(E978,セットアップレポート_紐づけ用!A:A,セットアップレポート_紐づけ用!R:R)</f>
        <v>#N/A</v>
      </c>
      <c r="L978" t="e">
        <f t="shared" si="63"/>
        <v>#N/A</v>
      </c>
      <c r="M978" t="e">
        <f>_xlfn.XLOOKUP(L978,EGPro!A:A,EGPro!D:D)</f>
        <v>#N/A</v>
      </c>
      <c r="N978" t="e">
        <f>_xlfn.XLOOKUP(L978,EGPro!A:A,EGPro!C:C)</f>
        <v>#N/A</v>
      </c>
      <c r="O978" t="e">
        <f t="shared" si="61"/>
        <v>#N/A</v>
      </c>
      <c r="P978" t="e">
        <f>_xlfn.XLOOKUP(O978,EGPro!A:A,EGPro!D:D)</f>
        <v>#N/A</v>
      </c>
      <c r="Q978" t="e">
        <f>_xlfn.XLOOKUP(O978,EGPro!A:A,EGPro!C:C)</f>
        <v>#N/A</v>
      </c>
    </row>
    <row r="979" spans="1:17" x14ac:dyDescent="0.45">
      <c r="A979" s="3">
        <f>配列!B939</f>
        <v>0</v>
      </c>
      <c r="B979" s="3" t="e">
        <f>_xlfn.XLOOKUP(A979,対応表!A:A,対応表!B:B)</f>
        <v>#N/A</v>
      </c>
      <c r="C979" s="3">
        <f>配列!C939</f>
        <v>0</v>
      </c>
      <c r="D979" s="3" t="str">
        <f>IF(配列!E939="",RIGHT(配列!D939&amp;配列!E939,4)&amp;"L",RIGHT(配列!D939&amp;配列!E939,5))</f>
        <v>L</v>
      </c>
      <c r="E979" s="3">
        <f t="shared" si="60"/>
        <v>0</v>
      </c>
      <c r="F979" s="3" t="e">
        <f>_xlfn.XLOOKUP(E979,セットアップレポート_紐づけ用!A:A,セットアップレポート_紐づけ用!J:J)</f>
        <v>#N/A</v>
      </c>
      <c r="G979" s="3" t="e">
        <f>_xlfn.XLOOKUP(E979,セットアップレポート_紐づけ用!A:A,セットアップレポート_紐づけ用!V:V)</f>
        <v>#N/A</v>
      </c>
      <c r="H979" s="3">
        <f t="shared" si="62"/>
        <v>-2</v>
      </c>
      <c r="I979" t="str">
        <f>IF(J979=0,"",IF(配列!E979="",マクロ実行!$A$16 &amp;" T"&amp;H979&amp;"-"&amp;RIGHT(配列!D979&amp;配列!E979,2),マクロ実行!$A$16 &amp;" T"&amp;H979&amp;"-"&amp;RIGHT(配列!D979&amp;配列!E979,3)))</f>
        <v/>
      </c>
      <c r="J979">
        <f>配列!F939</f>
        <v>0</v>
      </c>
      <c r="K979" s="2" t="e">
        <f>_xlfn.XLOOKUP(E979,セットアップレポート_紐づけ用!A:A,セットアップレポート_紐づけ用!R:R)</f>
        <v>#N/A</v>
      </c>
      <c r="L979" t="e">
        <f t="shared" si="63"/>
        <v>#N/A</v>
      </c>
      <c r="M979" t="e">
        <f>_xlfn.XLOOKUP(L979,EGPro!A:A,EGPro!D:D)</f>
        <v>#N/A</v>
      </c>
      <c r="N979" t="e">
        <f>_xlfn.XLOOKUP(L979,EGPro!A:A,EGPro!C:C)</f>
        <v>#N/A</v>
      </c>
      <c r="O979" t="e">
        <f t="shared" si="61"/>
        <v>#N/A</v>
      </c>
      <c r="P979" t="e">
        <f>_xlfn.XLOOKUP(O979,EGPro!A:A,EGPro!D:D)</f>
        <v>#N/A</v>
      </c>
      <c r="Q979" t="e">
        <f>_xlfn.XLOOKUP(O979,EGPro!A:A,EGPro!C:C)</f>
        <v>#N/A</v>
      </c>
    </row>
    <row r="980" spans="1:17" x14ac:dyDescent="0.45">
      <c r="A980" s="3">
        <f>配列!B940</f>
        <v>0</v>
      </c>
      <c r="B980" s="3" t="e">
        <f>_xlfn.XLOOKUP(A980,対応表!A:A,対応表!B:B)</f>
        <v>#N/A</v>
      </c>
      <c r="C980" s="3">
        <f>配列!C940</f>
        <v>0</v>
      </c>
      <c r="D980" s="3" t="str">
        <f>IF(配列!E940="",RIGHT(配列!D940&amp;配列!E940,4)&amp;"L",RIGHT(配列!D940&amp;配列!E940,5))</f>
        <v>L</v>
      </c>
      <c r="E980" s="3">
        <f t="shared" si="60"/>
        <v>0</v>
      </c>
      <c r="F980" s="3" t="e">
        <f>_xlfn.XLOOKUP(E980,セットアップレポート_紐づけ用!A:A,セットアップレポート_紐づけ用!J:J)</f>
        <v>#N/A</v>
      </c>
      <c r="G980" s="3" t="e">
        <f>_xlfn.XLOOKUP(E980,セットアップレポート_紐づけ用!A:A,セットアップレポート_紐づけ用!V:V)</f>
        <v>#N/A</v>
      </c>
      <c r="H980" s="3">
        <f t="shared" si="62"/>
        <v>-2</v>
      </c>
      <c r="I980" t="str">
        <f>IF(J980=0,"",IF(配列!E980="",マクロ実行!$A$16 &amp;" T"&amp;H980&amp;"-"&amp;RIGHT(配列!D980&amp;配列!E980,2),マクロ実行!$A$16 &amp;" T"&amp;H980&amp;"-"&amp;RIGHT(配列!D980&amp;配列!E980,3)))</f>
        <v/>
      </c>
      <c r="J980">
        <f>配列!F940</f>
        <v>0</v>
      </c>
      <c r="K980" s="2" t="e">
        <f>_xlfn.XLOOKUP(E980,セットアップレポート_紐づけ用!A:A,セットアップレポート_紐づけ用!R:R)</f>
        <v>#N/A</v>
      </c>
      <c r="L980" t="e">
        <f t="shared" si="63"/>
        <v>#N/A</v>
      </c>
      <c r="M980" t="e">
        <f>_xlfn.XLOOKUP(L980,EGPro!A:A,EGPro!D:D)</f>
        <v>#N/A</v>
      </c>
      <c r="N980" t="e">
        <f>_xlfn.XLOOKUP(L980,EGPro!A:A,EGPro!C:C)</f>
        <v>#N/A</v>
      </c>
      <c r="O980" t="e">
        <f t="shared" si="61"/>
        <v>#N/A</v>
      </c>
      <c r="P980" t="e">
        <f>_xlfn.XLOOKUP(O980,EGPro!A:A,EGPro!D:D)</f>
        <v>#N/A</v>
      </c>
      <c r="Q980" t="e">
        <f>_xlfn.XLOOKUP(O980,EGPro!A:A,EGPro!C:C)</f>
        <v>#N/A</v>
      </c>
    </row>
    <row r="981" spans="1:17" x14ac:dyDescent="0.45">
      <c r="A981" s="3">
        <f>配列!B941</f>
        <v>0</v>
      </c>
      <c r="B981" s="3" t="e">
        <f>_xlfn.XLOOKUP(A981,対応表!A:A,対応表!B:B)</f>
        <v>#N/A</v>
      </c>
      <c r="C981" s="3">
        <f>配列!C941</f>
        <v>0</v>
      </c>
      <c r="D981" s="3" t="str">
        <f>IF(配列!E941="",RIGHT(配列!D941&amp;配列!E941,4)&amp;"L",RIGHT(配列!D941&amp;配列!E941,5))</f>
        <v>L</v>
      </c>
      <c r="E981" s="3">
        <f t="shared" si="60"/>
        <v>0</v>
      </c>
      <c r="F981" s="3" t="e">
        <f>_xlfn.XLOOKUP(E981,セットアップレポート_紐づけ用!A:A,セットアップレポート_紐づけ用!J:J)</f>
        <v>#N/A</v>
      </c>
      <c r="G981" s="3" t="e">
        <f>_xlfn.XLOOKUP(E981,セットアップレポート_紐づけ用!A:A,セットアップレポート_紐づけ用!V:V)</f>
        <v>#N/A</v>
      </c>
      <c r="H981" s="3">
        <f t="shared" si="62"/>
        <v>-2</v>
      </c>
      <c r="I981" t="str">
        <f>IF(J981=0,"",IF(配列!E981="",マクロ実行!$A$16 &amp;" T"&amp;H981&amp;"-"&amp;RIGHT(配列!D981&amp;配列!E981,2),マクロ実行!$A$16 &amp;" T"&amp;H981&amp;"-"&amp;RIGHT(配列!D981&amp;配列!E981,3)))</f>
        <v/>
      </c>
      <c r="J981">
        <f>配列!F941</f>
        <v>0</v>
      </c>
      <c r="K981" s="2" t="e">
        <f>_xlfn.XLOOKUP(E981,セットアップレポート_紐づけ用!A:A,セットアップレポート_紐づけ用!R:R)</f>
        <v>#N/A</v>
      </c>
      <c r="L981" t="e">
        <f t="shared" si="63"/>
        <v>#N/A</v>
      </c>
      <c r="M981" t="e">
        <f>_xlfn.XLOOKUP(L981,EGPro!A:A,EGPro!D:D)</f>
        <v>#N/A</v>
      </c>
      <c r="N981" t="e">
        <f>_xlfn.XLOOKUP(L981,EGPro!A:A,EGPro!C:C)</f>
        <v>#N/A</v>
      </c>
      <c r="O981" t="e">
        <f t="shared" si="61"/>
        <v>#N/A</v>
      </c>
      <c r="P981" t="e">
        <f>_xlfn.XLOOKUP(O981,EGPro!A:A,EGPro!D:D)</f>
        <v>#N/A</v>
      </c>
      <c r="Q981" t="e">
        <f>_xlfn.XLOOKUP(O981,EGPro!A:A,EGPro!C:C)</f>
        <v>#N/A</v>
      </c>
    </row>
    <row r="982" spans="1:17" x14ac:dyDescent="0.45">
      <c r="A982" s="3">
        <f>配列!B942</f>
        <v>0</v>
      </c>
      <c r="B982" s="3" t="e">
        <f>_xlfn.XLOOKUP(A982,対応表!A:A,対応表!B:B)</f>
        <v>#N/A</v>
      </c>
      <c r="C982" s="3">
        <f>配列!C942</f>
        <v>0</v>
      </c>
      <c r="D982" s="3" t="str">
        <f>IF(配列!E942="",RIGHT(配列!D942&amp;配列!E942,4)&amp;"L",RIGHT(配列!D942&amp;配列!E942,5))</f>
        <v>L</v>
      </c>
      <c r="E982" s="3">
        <f t="shared" si="60"/>
        <v>0</v>
      </c>
      <c r="F982" s="3" t="e">
        <f>_xlfn.XLOOKUP(E982,セットアップレポート_紐づけ用!A:A,セットアップレポート_紐づけ用!J:J)</f>
        <v>#N/A</v>
      </c>
      <c r="G982" s="3" t="e">
        <f>_xlfn.XLOOKUP(E982,セットアップレポート_紐づけ用!A:A,セットアップレポート_紐づけ用!V:V)</f>
        <v>#N/A</v>
      </c>
      <c r="H982" s="3">
        <f t="shared" si="62"/>
        <v>-2</v>
      </c>
      <c r="I982" t="str">
        <f>IF(J982=0,"",IF(配列!E982="",マクロ実行!$A$16 &amp;" T"&amp;H982&amp;"-"&amp;RIGHT(配列!D982&amp;配列!E982,2),マクロ実行!$A$16 &amp;" T"&amp;H982&amp;"-"&amp;RIGHT(配列!D982&amp;配列!E982,3)))</f>
        <v/>
      </c>
      <c r="J982">
        <f>配列!F942</f>
        <v>0</v>
      </c>
      <c r="K982" s="2" t="e">
        <f>_xlfn.XLOOKUP(E982,セットアップレポート_紐づけ用!A:A,セットアップレポート_紐づけ用!R:R)</f>
        <v>#N/A</v>
      </c>
      <c r="L982" t="e">
        <f t="shared" si="63"/>
        <v>#N/A</v>
      </c>
      <c r="M982" t="e">
        <f>_xlfn.XLOOKUP(L982,EGPro!A:A,EGPro!D:D)</f>
        <v>#N/A</v>
      </c>
      <c r="N982" t="e">
        <f>_xlfn.XLOOKUP(L982,EGPro!A:A,EGPro!C:C)</f>
        <v>#N/A</v>
      </c>
      <c r="O982" t="e">
        <f t="shared" si="61"/>
        <v>#N/A</v>
      </c>
      <c r="P982" t="e">
        <f>_xlfn.XLOOKUP(O982,EGPro!A:A,EGPro!D:D)</f>
        <v>#N/A</v>
      </c>
      <c r="Q982" t="e">
        <f>_xlfn.XLOOKUP(O982,EGPro!A:A,EGPro!C:C)</f>
        <v>#N/A</v>
      </c>
    </row>
    <row r="983" spans="1:17" x14ac:dyDescent="0.45">
      <c r="A983" s="3">
        <f>配列!B943</f>
        <v>0</v>
      </c>
      <c r="B983" s="3" t="e">
        <f>_xlfn.XLOOKUP(A983,対応表!A:A,対応表!B:B)</f>
        <v>#N/A</v>
      </c>
      <c r="C983" s="3">
        <f>配列!C943</f>
        <v>0</v>
      </c>
      <c r="D983" s="3" t="str">
        <f>IF(配列!E943="",RIGHT(配列!D943&amp;配列!E943,4)&amp;"L",RIGHT(配列!D943&amp;配列!E943,5))</f>
        <v>L</v>
      </c>
      <c r="E983" s="3">
        <f t="shared" si="60"/>
        <v>0</v>
      </c>
      <c r="F983" s="3" t="e">
        <f>_xlfn.XLOOKUP(E983,セットアップレポート_紐づけ用!A:A,セットアップレポート_紐づけ用!J:J)</f>
        <v>#N/A</v>
      </c>
      <c r="G983" s="3" t="e">
        <f>_xlfn.XLOOKUP(E983,セットアップレポート_紐づけ用!A:A,セットアップレポート_紐づけ用!V:V)</f>
        <v>#N/A</v>
      </c>
      <c r="H983" s="3">
        <f t="shared" si="62"/>
        <v>-2</v>
      </c>
      <c r="I983" t="str">
        <f>IF(J983=0,"",IF(配列!E983="",マクロ実行!$A$16 &amp;" T"&amp;H983&amp;"-"&amp;RIGHT(配列!D983&amp;配列!E983,2),マクロ実行!$A$16 &amp;" T"&amp;H983&amp;"-"&amp;RIGHT(配列!D983&amp;配列!E983,3)))</f>
        <v/>
      </c>
      <c r="J983">
        <f>配列!F943</f>
        <v>0</v>
      </c>
      <c r="K983" s="2" t="e">
        <f>_xlfn.XLOOKUP(E983,セットアップレポート_紐づけ用!A:A,セットアップレポート_紐づけ用!R:R)</f>
        <v>#N/A</v>
      </c>
      <c r="L983" t="e">
        <f t="shared" si="63"/>
        <v>#N/A</v>
      </c>
      <c r="M983" t="e">
        <f>_xlfn.XLOOKUP(L983,EGPro!A:A,EGPro!D:D)</f>
        <v>#N/A</v>
      </c>
      <c r="N983" t="e">
        <f>_xlfn.XLOOKUP(L983,EGPro!A:A,EGPro!C:C)</f>
        <v>#N/A</v>
      </c>
      <c r="O983" t="e">
        <f t="shared" si="61"/>
        <v>#N/A</v>
      </c>
      <c r="P983" t="e">
        <f>_xlfn.XLOOKUP(O983,EGPro!A:A,EGPro!D:D)</f>
        <v>#N/A</v>
      </c>
      <c r="Q983" t="e">
        <f>_xlfn.XLOOKUP(O983,EGPro!A:A,EGPro!C:C)</f>
        <v>#N/A</v>
      </c>
    </row>
    <row r="984" spans="1:17" x14ac:dyDescent="0.45">
      <c r="A984" s="3">
        <f>配列!B944</f>
        <v>0</v>
      </c>
      <c r="B984" s="3" t="e">
        <f>_xlfn.XLOOKUP(A984,対応表!A:A,対応表!B:B)</f>
        <v>#N/A</v>
      </c>
      <c r="C984" s="3">
        <f>配列!C944</f>
        <v>0</v>
      </c>
      <c r="D984" s="3" t="str">
        <f>IF(配列!E944="",RIGHT(配列!D944&amp;配列!E944,4)&amp;"L",RIGHT(配列!D944&amp;配列!E944,5))</f>
        <v>L</v>
      </c>
      <c r="E984" s="3">
        <f t="shared" si="60"/>
        <v>0</v>
      </c>
      <c r="F984" s="3" t="e">
        <f>_xlfn.XLOOKUP(E984,セットアップレポート_紐づけ用!A:A,セットアップレポート_紐づけ用!J:J)</f>
        <v>#N/A</v>
      </c>
      <c r="G984" s="3" t="e">
        <f>_xlfn.XLOOKUP(E984,セットアップレポート_紐づけ用!A:A,セットアップレポート_紐づけ用!V:V)</f>
        <v>#N/A</v>
      </c>
      <c r="H984" s="3">
        <f t="shared" si="62"/>
        <v>-2</v>
      </c>
      <c r="I984" t="str">
        <f>IF(J984=0,"",IF(配列!E984="",マクロ実行!$A$16 &amp;" T"&amp;H984&amp;"-"&amp;RIGHT(配列!D984&amp;配列!E984,2),マクロ実行!$A$16 &amp;" T"&amp;H984&amp;"-"&amp;RIGHT(配列!D984&amp;配列!E984,3)))</f>
        <v/>
      </c>
      <c r="J984">
        <f>配列!F944</f>
        <v>0</v>
      </c>
      <c r="K984" s="2" t="e">
        <f>_xlfn.XLOOKUP(E984,セットアップレポート_紐づけ用!A:A,セットアップレポート_紐づけ用!R:R)</f>
        <v>#N/A</v>
      </c>
      <c r="L984" t="e">
        <f t="shared" si="63"/>
        <v>#N/A</v>
      </c>
      <c r="M984" t="e">
        <f>_xlfn.XLOOKUP(L984,EGPro!A:A,EGPro!D:D)</f>
        <v>#N/A</v>
      </c>
      <c r="N984" t="e">
        <f>_xlfn.XLOOKUP(L984,EGPro!A:A,EGPro!C:C)</f>
        <v>#N/A</v>
      </c>
      <c r="O984" t="e">
        <f t="shared" si="61"/>
        <v>#N/A</v>
      </c>
      <c r="P984" t="e">
        <f>_xlfn.XLOOKUP(O984,EGPro!A:A,EGPro!D:D)</f>
        <v>#N/A</v>
      </c>
      <c r="Q984" t="e">
        <f>_xlfn.XLOOKUP(O984,EGPro!A:A,EGPro!C:C)</f>
        <v>#N/A</v>
      </c>
    </row>
    <row r="985" spans="1:17" x14ac:dyDescent="0.45">
      <c r="A985" s="3">
        <f>配列!B945</f>
        <v>0</v>
      </c>
      <c r="B985" s="3" t="e">
        <f>_xlfn.XLOOKUP(A985,対応表!A:A,対応表!B:B)</f>
        <v>#N/A</v>
      </c>
      <c r="C985" s="3">
        <f>配列!C945</f>
        <v>0</v>
      </c>
      <c r="D985" s="3" t="str">
        <f>IF(配列!E945="",RIGHT(配列!D945&amp;配列!E945,4)&amp;"L",RIGHT(配列!D945&amp;配列!E945,5))</f>
        <v>L</v>
      </c>
      <c r="E985" s="3">
        <f t="shared" si="60"/>
        <v>0</v>
      </c>
      <c r="F985" s="3" t="e">
        <f>_xlfn.XLOOKUP(E985,セットアップレポート_紐づけ用!A:A,セットアップレポート_紐づけ用!J:J)</f>
        <v>#N/A</v>
      </c>
      <c r="G985" s="3" t="e">
        <f>_xlfn.XLOOKUP(E985,セットアップレポート_紐づけ用!A:A,セットアップレポート_紐づけ用!V:V)</f>
        <v>#N/A</v>
      </c>
      <c r="H985" s="3">
        <f t="shared" si="62"/>
        <v>-2</v>
      </c>
      <c r="I985" t="str">
        <f>IF(J985=0,"",IF(配列!E985="",マクロ実行!$A$16 &amp;" T"&amp;H985&amp;"-"&amp;RIGHT(配列!D985&amp;配列!E985,2),マクロ実行!$A$16 &amp;" T"&amp;H985&amp;"-"&amp;RIGHT(配列!D985&amp;配列!E985,3)))</f>
        <v/>
      </c>
      <c r="J985">
        <f>配列!F945</f>
        <v>0</v>
      </c>
      <c r="K985" s="2" t="e">
        <f>_xlfn.XLOOKUP(E985,セットアップレポート_紐づけ用!A:A,セットアップレポート_紐づけ用!R:R)</f>
        <v>#N/A</v>
      </c>
      <c r="L985" t="e">
        <f t="shared" si="63"/>
        <v>#N/A</v>
      </c>
      <c r="M985" t="e">
        <f>_xlfn.XLOOKUP(L985,EGPro!A:A,EGPro!D:D)</f>
        <v>#N/A</v>
      </c>
      <c r="N985" t="e">
        <f>_xlfn.XLOOKUP(L985,EGPro!A:A,EGPro!C:C)</f>
        <v>#N/A</v>
      </c>
      <c r="O985" t="e">
        <f t="shared" si="61"/>
        <v>#N/A</v>
      </c>
      <c r="P985" t="e">
        <f>_xlfn.XLOOKUP(O985,EGPro!A:A,EGPro!D:D)</f>
        <v>#N/A</v>
      </c>
      <c r="Q985" t="e">
        <f>_xlfn.XLOOKUP(O985,EGPro!A:A,EGPro!C:C)</f>
        <v>#N/A</v>
      </c>
    </row>
    <row r="986" spans="1:17" x14ac:dyDescent="0.45">
      <c r="A986" s="3">
        <f>配列!B946</f>
        <v>0</v>
      </c>
      <c r="B986" s="3" t="e">
        <f>_xlfn.XLOOKUP(A986,対応表!A:A,対応表!B:B)</f>
        <v>#N/A</v>
      </c>
      <c r="C986" s="3">
        <f>配列!C946</f>
        <v>0</v>
      </c>
      <c r="D986" s="3" t="str">
        <f>IF(配列!E946="",RIGHT(配列!D946&amp;配列!E946,4)&amp;"L",RIGHT(配列!D946&amp;配列!E946,5))</f>
        <v>L</v>
      </c>
      <c r="E986" s="3">
        <f t="shared" si="60"/>
        <v>0</v>
      </c>
      <c r="F986" s="3" t="e">
        <f>_xlfn.XLOOKUP(E986,セットアップレポート_紐づけ用!A:A,セットアップレポート_紐づけ用!J:J)</f>
        <v>#N/A</v>
      </c>
      <c r="G986" s="3" t="e">
        <f>_xlfn.XLOOKUP(E986,セットアップレポート_紐づけ用!A:A,セットアップレポート_紐づけ用!V:V)</f>
        <v>#N/A</v>
      </c>
      <c r="H986" s="3">
        <f t="shared" si="62"/>
        <v>-2</v>
      </c>
      <c r="I986" t="str">
        <f>IF(J986=0,"",IF(配列!E986="",マクロ実行!$A$16 &amp;" T"&amp;H986&amp;"-"&amp;RIGHT(配列!D986&amp;配列!E986,2),マクロ実行!$A$16 &amp;" T"&amp;H986&amp;"-"&amp;RIGHT(配列!D986&amp;配列!E986,3)))</f>
        <v/>
      </c>
      <c r="J986">
        <f>配列!F946</f>
        <v>0</v>
      </c>
      <c r="K986" s="2" t="e">
        <f>_xlfn.XLOOKUP(E986,セットアップレポート_紐づけ用!A:A,セットアップレポート_紐づけ用!R:R)</f>
        <v>#N/A</v>
      </c>
      <c r="L986" t="e">
        <f t="shared" si="63"/>
        <v>#N/A</v>
      </c>
      <c r="M986" t="e">
        <f>_xlfn.XLOOKUP(L986,EGPro!A:A,EGPro!D:D)</f>
        <v>#N/A</v>
      </c>
      <c r="N986" t="e">
        <f>_xlfn.XLOOKUP(L986,EGPro!A:A,EGPro!C:C)</f>
        <v>#N/A</v>
      </c>
      <c r="O986" t="e">
        <f t="shared" si="61"/>
        <v>#N/A</v>
      </c>
      <c r="P986" t="e">
        <f>_xlfn.XLOOKUP(O986,EGPro!A:A,EGPro!D:D)</f>
        <v>#N/A</v>
      </c>
      <c r="Q986" t="e">
        <f>_xlfn.XLOOKUP(O986,EGPro!A:A,EGPro!C:C)</f>
        <v>#N/A</v>
      </c>
    </row>
    <row r="987" spans="1:17" x14ac:dyDescent="0.45">
      <c r="A987" s="3">
        <f>配列!B947</f>
        <v>0</v>
      </c>
      <c r="B987" s="3" t="e">
        <f>_xlfn.XLOOKUP(A987,対応表!A:A,対応表!B:B)</f>
        <v>#N/A</v>
      </c>
      <c r="C987" s="3">
        <f>配列!C947</f>
        <v>0</v>
      </c>
      <c r="D987" s="3" t="str">
        <f>IF(配列!E947="",RIGHT(配列!D947&amp;配列!E947,4)&amp;"L",RIGHT(配列!D947&amp;配列!E947,5))</f>
        <v>L</v>
      </c>
      <c r="E987" s="3">
        <f t="shared" si="60"/>
        <v>0</v>
      </c>
      <c r="F987" s="3" t="e">
        <f>_xlfn.XLOOKUP(E987,セットアップレポート_紐づけ用!A:A,セットアップレポート_紐づけ用!J:J)</f>
        <v>#N/A</v>
      </c>
      <c r="G987" s="3" t="e">
        <f>_xlfn.XLOOKUP(E987,セットアップレポート_紐づけ用!A:A,セットアップレポート_紐づけ用!V:V)</f>
        <v>#N/A</v>
      </c>
      <c r="H987" s="3">
        <f t="shared" si="62"/>
        <v>-2</v>
      </c>
      <c r="I987" t="str">
        <f>IF(J987=0,"",IF(配列!E987="",マクロ実行!$A$16 &amp;" T"&amp;H987&amp;"-"&amp;RIGHT(配列!D987&amp;配列!E987,2),マクロ実行!$A$16 &amp;" T"&amp;H987&amp;"-"&amp;RIGHT(配列!D987&amp;配列!E987,3)))</f>
        <v/>
      </c>
      <c r="J987">
        <f>配列!F947</f>
        <v>0</v>
      </c>
      <c r="K987" s="2" t="e">
        <f>_xlfn.XLOOKUP(E987,セットアップレポート_紐づけ用!A:A,セットアップレポート_紐づけ用!R:R)</f>
        <v>#N/A</v>
      </c>
      <c r="L987" t="e">
        <f t="shared" si="63"/>
        <v>#N/A</v>
      </c>
      <c r="M987" t="e">
        <f>_xlfn.XLOOKUP(L987,EGPro!A:A,EGPro!D:D)</f>
        <v>#N/A</v>
      </c>
      <c r="N987" t="e">
        <f>_xlfn.XLOOKUP(L987,EGPro!A:A,EGPro!C:C)</f>
        <v>#N/A</v>
      </c>
      <c r="O987" t="e">
        <f t="shared" si="61"/>
        <v>#N/A</v>
      </c>
      <c r="P987" t="e">
        <f>_xlfn.XLOOKUP(O987,EGPro!A:A,EGPro!D:D)</f>
        <v>#N/A</v>
      </c>
      <c r="Q987" t="e">
        <f>_xlfn.XLOOKUP(O987,EGPro!A:A,EGPro!C:C)</f>
        <v>#N/A</v>
      </c>
    </row>
    <row r="988" spans="1:17" x14ac:dyDescent="0.45">
      <c r="A988" s="3">
        <f>配列!B948</f>
        <v>0</v>
      </c>
      <c r="B988" s="3" t="e">
        <f>_xlfn.XLOOKUP(A988,対応表!A:A,対応表!B:B)</f>
        <v>#N/A</v>
      </c>
      <c r="C988" s="3">
        <f>配列!C948</f>
        <v>0</v>
      </c>
      <c r="D988" s="3" t="str">
        <f>IF(配列!E948="",RIGHT(配列!D948&amp;配列!E948,4)&amp;"L",RIGHT(配列!D948&amp;配列!E948,5))</f>
        <v>L</v>
      </c>
      <c r="E988" s="3">
        <f t="shared" si="60"/>
        <v>0</v>
      </c>
      <c r="F988" s="3" t="e">
        <f>_xlfn.XLOOKUP(E988,セットアップレポート_紐づけ用!A:A,セットアップレポート_紐づけ用!J:J)</f>
        <v>#N/A</v>
      </c>
      <c r="G988" s="3" t="e">
        <f>_xlfn.XLOOKUP(E988,セットアップレポート_紐づけ用!A:A,セットアップレポート_紐づけ用!V:V)</f>
        <v>#N/A</v>
      </c>
      <c r="H988" s="3">
        <f t="shared" si="62"/>
        <v>-2</v>
      </c>
      <c r="I988" t="str">
        <f>IF(J988=0,"",IF(配列!E988="",マクロ実行!$A$16 &amp;" T"&amp;H988&amp;"-"&amp;RIGHT(配列!D988&amp;配列!E988,2),マクロ実行!$A$16 &amp;" T"&amp;H988&amp;"-"&amp;RIGHT(配列!D988&amp;配列!E988,3)))</f>
        <v/>
      </c>
      <c r="J988">
        <f>配列!F948</f>
        <v>0</v>
      </c>
      <c r="K988" s="2" t="e">
        <f>_xlfn.XLOOKUP(E988,セットアップレポート_紐づけ用!A:A,セットアップレポート_紐づけ用!R:R)</f>
        <v>#N/A</v>
      </c>
      <c r="L988" t="e">
        <f t="shared" si="63"/>
        <v>#N/A</v>
      </c>
      <c r="M988" t="e">
        <f>_xlfn.XLOOKUP(L988,EGPro!A:A,EGPro!D:D)</f>
        <v>#N/A</v>
      </c>
      <c r="N988" t="e">
        <f>_xlfn.XLOOKUP(L988,EGPro!A:A,EGPro!C:C)</f>
        <v>#N/A</v>
      </c>
      <c r="O988" t="e">
        <f t="shared" si="61"/>
        <v>#N/A</v>
      </c>
      <c r="P988" t="e">
        <f>_xlfn.XLOOKUP(O988,EGPro!A:A,EGPro!D:D)</f>
        <v>#N/A</v>
      </c>
      <c r="Q988" t="e">
        <f>_xlfn.XLOOKUP(O988,EGPro!A:A,EGPro!C:C)</f>
        <v>#N/A</v>
      </c>
    </row>
    <row r="989" spans="1:17" x14ac:dyDescent="0.45">
      <c r="A989" s="3">
        <f>配列!B949</f>
        <v>0</v>
      </c>
      <c r="B989" s="3" t="e">
        <f>_xlfn.XLOOKUP(A989,対応表!A:A,対応表!B:B)</f>
        <v>#N/A</v>
      </c>
      <c r="C989" s="3">
        <f>配列!C949</f>
        <v>0</v>
      </c>
      <c r="D989" s="3" t="str">
        <f>IF(配列!E949="",RIGHT(配列!D949&amp;配列!E949,4)&amp;"L",RIGHT(配列!D949&amp;配列!E949,5))</f>
        <v>L</v>
      </c>
      <c r="E989" s="3">
        <f t="shared" si="60"/>
        <v>0</v>
      </c>
      <c r="F989" s="3" t="e">
        <f>_xlfn.XLOOKUP(E989,セットアップレポート_紐づけ用!A:A,セットアップレポート_紐づけ用!J:J)</f>
        <v>#N/A</v>
      </c>
      <c r="G989" s="3" t="e">
        <f>_xlfn.XLOOKUP(E989,セットアップレポート_紐づけ用!A:A,セットアップレポート_紐づけ用!V:V)</f>
        <v>#N/A</v>
      </c>
      <c r="H989" s="3">
        <f t="shared" si="62"/>
        <v>-2</v>
      </c>
      <c r="I989" t="str">
        <f>IF(J989=0,"",IF(配列!E989="",マクロ実行!$A$16 &amp;" T"&amp;H989&amp;"-"&amp;RIGHT(配列!D989&amp;配列!E989,2),マクロ実行!$A$16 &amp;" T"&amp;H989&amp;"-"&amp;RIGHT(配列!D989&amp;配列!E989,3)))</f>
        <v/>
      </c>
      <c r="J989">
        <f>配列!F949</f>
        <v>0</v>
      </c>
      <c r="K989" s="2" t="e">
        <f>_xlfn.XLOOKUP(E989,セットアップレポート_紐づけ用!A:A,セットアップレポート_紐づけ用!R:R)</f>
        <v>#N/A</v>
      </c>
      <c r="L989" t="e">
        <f t="shared" si="63"/>
        <v>#N/A</v>
      </c>
      <c r="M989" t="e">
        <f>_xlfn.XLOOKUP(L989,EGPro!A:A,EGPro!D:D)</f>
        <v>#N/A</v>
      </c>
      <c r="N989" t="e">
        <f>_xlfn.XLOOKUP(L989,EGPro!A:A,EGPro!C:C)</f>
        <v>#N/A</v>
      </c>
      <c r="O989" t="e">
        <f t="shared" si="61"/>
        <v>#N/A</v>
      </c>
      <c r="P989" t="e">
        <f>_xlfn.XLOOKUP(O989,EGPro!A:A,EGPro!D:D)</f>
        <v>#N/A</v>
      </c>
      <c r="Q989" t="e">
        <f>_xlfn.XLOOKUP(O989,EGPro!A:A,EGPro!C:C)</f>
        <v>#N/A</v>
      </c>
    </row>
    <row r="990" spans="1:17" x14ac:dyDescent="0.45">
      <c r="A990" s="3">
        <f>配列!B950</f>
        <v>0</v>
      </c>
      <c r="B990" s="3" t="e">
        <f>_xlfn.XLOOKUP(A990,対応表!A:A,対応表!B:B)</f>
        <v>#N/A</v>
      </c>
      <c r="C990" s="3">
        <f>配列!C950</f>
        <v>0</v>
      </c>
      <c r="D990" s="3" t="str">
        <f>IF(配列!E950="",RIGHT(配列!D950&amp;配列!E950,4)&amp;"L",RIGHT(配列!D950&amp;配列!E950,5))</f>
        <v>L</v>
      </c>
      <c r="E990" s="3">
        <f t="shared" si="60"/>
        <v>0</v>
      </c>
      <c r="F990" s="3" t="e">
        <f>_xlfn.XLOOKUP(E990,セットアップレポート_紐づけ用!A:A,セットアップレポート_紐づけ用!J:J)</f>
        <v>#N/A</v>
      </c>
      <c r="G990" s="3" t="e">
        <f>_xlfn.XLOOKUP(E990,セットアップレポート_紐づけ用!A:A,セットアップレポート_紐づけ用!V:V)</f>
        <v>#N/A</v>
      </c>
      <c r="H990" s="3">
        <f t="shared" si="62"/>
        <v>-2</v>
      </c>
      <c r="I990" t="str">
        <f>IF(J990=0,"",IF(配列!E990="",マクロ実行!$A$16 &amp;" T"&amp;H990&amp;"-"&amp;RIGHT(配列!D990&amp;配列!E990,2),マクロ実行!$A$16 &amp;" T"&amp;H990&amp;"-"&amp;RIGHT(配列!D990&amp;配列!E990,3)))</f>
        <v/>
      </c>
      <c r="J990">
        <f>配列!F950</f>
        <v>0</v>
      </c>
      <c r="K990" s="2" t="e">
        <f>_xlfn.XLOOKUP(E990,セットアップレポート_紐づけ用!A:A,セットアップレポート_紐づけ用!R:R)</f>
        <v>#N/A</v>
      </c>
      <c r="L990" t="e">
        <f t="shared" si="63"/>
        <v>#N/A</v>
      </c>
      <c r="M990" t="e">
        <f>_xlfn.XLOOKUP(L990,EGPro!A:A,EGPro!D:D)</f>
        <v>#N/A</v>
      </c>
      <c r="N990" t="e">
        <f>_xlfn.XLOOKUP(L990,EGPro!A:A,EGPro!C:C)</f>
        <v>#N/A</v>
      </c>
      <c r="O990" t="e">
        <f t="shared" si="61"/>
        <v>#N/A</v>
      </c>
      <c r="P990" t="e">
        <f>_xlfn.XLOOKUP(O990,EGPro!A:A,EGPro!D:D)</f>
        <v>#N/A</v>
      </c>
      <c r="Q990" t="e">
        <f>_xlfn.XLOOKUP(O990,EGPro!A:A,EGPro!C:C)</f>
        <v>#N/A</v>
      </c>
    </row>
    <row r="991" spans="1:17" x14ac:dyDescent="0.45">
      <c r="A991" s="3">
        <f>配列!B951</f>
        <v>0</v>
      </c>
      <c r="B991" s="3" t="e">
        <f>_xlfn.XLOOKUP(A991,対応表!A:A,対応表!B:B)</f>
        <v>#N/A</v>
      </c>
      <c r="C991" s="3">
        <f>配列!C951</f>
        <v>0</v>
      </c>
      <c r="D991" s="3" t="str">
        <f>IF(配列!E951="",RIGHT(配列!D951&amp;配列!E951,4)&amp;"L",RIGHT(配列!D951&amp;配列!E951,5))</f>
        <v>L</v>
      </c>
      <c r="E991" s="3">
        <f t="shared" si="60"/>
        <v>0</v>
      </c>
      <c r="F991" s="3" t="e">
        <f>_xlfn.XLOOKUP(E991,セットアップレポート_紐づけ用!A:A,セットアップレポート_紐づけ用!J:J)</f>
        <v>#N/A</v>
      </c>
      <c r="G991" s="3" t="e">
        <f>_xlfn.XLOOKUP(E991,セットアップレポート_紐づけ用!A:A,セットアップレポート_紐づけ用!V:V)</f>
        <v>#N/A</v>
      </c>
      <c r="H991" s="3">
        <f t="shared" si="62"/>
        <v>-2</v>
      </c>
      <c r="I991" t="str">
        <f>IF(J991=0,"",IF(配列!E991="",マクロ実行!$A$16 &amp;" T"&amp;H991&amp;"-"&amp;RIGHT(配列!D991&amp;配列!E991,2),マクロ実行!$A$16 &amp;" T"&amp;H991&amp;"-"&amp;RIGHT(配列!D991&amp;配列!E991,3)))</f>
        <v/>
      </c>
      <c r="J991">
        <f>配列!F951</f>
        <v>0</v>
      </c>
      <c r="K991" s="2" t="e">
        <f>_xlfn.XLOOKUP(E991,セットアップレポート_紐づけ用!A:A,セットアップレポート_紐づけ用!R:R)</f>
        <v>#N/A</v>
      </c>
      <c r="L991" t="e">
        <f t="shared" si="63"/>
        <v>#N/A</v>
      </c>
      <c r="M991" t="e">
        <f>_xlfn.XLOOKUP(L991,EGPro!A:A,EGPro!D:D)</f>
        <v>#N/A</v>
      </c>
      <c r="N991" t="e">
        <f>_xlfn.XLOOKUP(L991,EGPro!A:A,EGPro!C:C)</f>
        <v>#N/A</v>
      </c>
      <c r="O991" t="e">
        <f t="shared" si="61"/>
        <v>#N/A</v>
      </c>
      <c r="P991" t="e">
        <f>_xlfn.XLOOKUP(O991,EGPro!A:A,EGPro!D:D)</f>
        <v>#N/A</v>
      </c>
      <c r="Q991" t="e">
        <f>_xlfn.XLOOKUP(O991,EGPro!A:A,EGPro!C:C)</f>
        <v>#N/A</v>
      </c>
    </row>
    <row r="992" spans="1:17" x14ac:dyDescent="0.45">
      <c r="A992" s="3">
        <f>配列!B952</f>
        <v>0</v>
      </c>
      <c r="B992" s="3" t="e">
        <f>_xlfn.XLOOKUP(A992,対応表!A:A,対応表!B:B)</f>
        <v>#N/A</v>
      </c>
      <c r="C992" s="3">
        <f>配列!C952</f>
        <v>0</v>
      </c>
      <c r="D992" s="3" t="str">
        <f>IF(配列!E952="",RIGHT(配列!D952&amp;配列!E952,4)&amp;"L",RIGHT(配列!D952&amp;配列!E952,5))</f>
        <v>L</v>
      </c>
      <c r="E992" s="3">
        <f t="shared" si="60"/>
        <v>0</v>
      </c>
      <c r="F992" s="3" t="e">
        <f>_xlfn.XLOOKUP(E992,セットアップレポート_紐づけ用!A:A,セットアップレポート_紐づけ用!J:J)</f>
        <v>#N/A</v>
      </c>
      <c r="G992" s="3" t="e">
        <f>_xlfn.XLOOKUP(E992,セットアップレポート_紐づけ用!A:A,セットアップレポート_紐づけ用!V:V)</f>
        <v>#N/A</v>
      </c>
      <c r="H992" s="3">
        <f t="shared" si="62"/>
        <v>-2</v>
      </c>
      <c r="I992" t="str">
        <f>IF(J992=0,"",IF(配列!E992="",マクロ実行!$A$16 &amp;" T"&amp;H992&amp;"-"&amp;RIGHT(配列!D992&amp;配列!E992,2),マクロ実行!$A$16 &amp;" T"&amp;H992&amp;"-"&amp;RIGHT(配列!D992&amp;配列!E992,3)))</f>
        <v/>
      </c>
      <c r="J992">
        <f>配列!F952</f>
        <v>0</v>
      </c>
      <c r="K992" s="2" t="e">
        <f>_xlfn.XLOOKUP(E992,セットアップレポート_紐づけ用!A:A,セットアップレポート_紐づけ用!R:R)</f>
        <v>#N/A</v>
      </c>
      <c r="L992" t="e">
        <f t="shared" si="63"/>
        <v>#N/A</v>
      </c>
      <c r="M992" t="e">
        <f>_xlfn.XLOOKUP(L992,EGPro!A:A,EGPro!D:D)</f>
        <v>#N/A</v>
      </c>
      <c r="N992" t="e">
        <f>_xlfn.XLOOKUP(L992,EGPro!A:A,EGPro!C:C)</f>
        <v>#N/A</v>
      </c>
      <c r="O992" t="e">
        <f t="shared" si="61"/>
        <v>#N/A</v>
      </c>
      <c r="P992" t="e">
        <f>_xlfn.XLOOKUP(O992,EGPro!A:A,EGPro!D:D)</f>
        <v>#N/A</v>
      </c>
      <c r="Q992" t="e">
        <f>_xlfn.XLOOKUP(O992,EGPro!A:A,EGPro!C:C)</f>
        <v>#N/A</v>
      </c>
    </row>
    <row r="993" spans="1:17" x14ac:dyDescent="0.45">
      <c r="A993" s="3">
        <f>配列!B953</f>
        <v>0</v>
      </c>
      <c r="B993" s="3" t="e">
        <f>_xlfn.XLOOKUP(A993,対応表!A:A,対応表!B:B)</f>
        <v>#N/A</v>
      </c>
      <c r="C993" s="3">
        <f>配列!C953</f>
        <v>0</v>
      </c>
      <c r="D993" s="3" t="str">
        <f>IF(配列!E953="",RIGHT(配列!D953&amp;配列!E953,4)&amp;"L",RIGHT(配列!D953&amp;配列!E953,5))</f>
        <v>L</v>
      </c>
      <c r="E993" s="3">
        <f t="shared" si="60"/>
        <v>0</v>
      </c>
      <c r="F993" s="3" t="e">
        <f>_xlfn.XLOOKUP(E993,セットアップレポート_紐づけ用!A:A,セットアップレポート_紐づけ用!J:J)</f>
        <v>#N/A</v>
      </c>
      <c r="G993" s="3" t="e">
        <f>_xlfn.XLOOKUP(E993,セットアップレポート_紐づけ用!A:A,セットアップレポート_紐づけ用!V:V)</f>
        <v>#N/A</v>
      </c>
      <c r="H993" s="3">
        <f t="shared" si="62"/>
        <v>-2</v>
      </c>
      <c r="I993" t="str">
        <f>IF(J993=0,"",IF(配列!E993="",マクロ実行!$A$16 &amp;" T"&amp;H993&amp;"-"&amp;RIGHT(配列!D993&amp;配列!E993,2),マクロ実行!$A$16 &amp;" T"&amp;H993&amp;"-"&amp;RIGHT(配列!D993&amp;配列!E993,3)))</f>
        <v/>
      </c>
      <c r="J993">
        <f>配列!F953</f>
        <v>0</v>
      </c>
      <c r="K993" s="2" t="e">
        <f>_xlfn.XLOOKUP(E993,セットアップレポート_紐づけ用!A:A,セットアップレポート_紐づけ用!R:R)</f>
        <v>#N/A</v>
      </c>
      <c r="L993" t="e">
        <f t="shared" si="63"/>
        <v>#N/A</v>
      </c>
      <c r="M993" t="e">
        <f>_xlfn.XLOOKUP(L993,EGPro!A:A,EGPro!D:D)</f>
        <v>#N/A</v>
      </c>
      <c r="N993" t="e">
        <f>_xlfn.XLOOKUP(L993,EGPro!A:A,EGPro!C:C)</f>
        <v>#N/A</v>
      </c>
      <c r="O993" t="e">
        <f t="shared" si="61"/>
        <v>#N/A</v>
      </c>
      <c r="P993" t="e">
        <f>_xlfn.XLOOKUP(O993,EGPro!A:A,EGPro!D:D)</f>
        <v>#N/A</v>
      </c>
      <c r="Q993" t="e">
        <f>_xlfn.XLOOKUP(O993,EGPro!A:A,EGPro!C:C)</f>
        <v>#N/A</v>
      </c>
    </row>
    <row r="994" spans="1:17" x14ac:dyDescent="0.45">
      <c r="A994" s="3">
        <f>配列!B954</f>
        <v>0</v>
      </c>
      <c r="B994" s="3" t="e">
        <f>_xlfn.XLOOKUP(A994,対応表!A:A,対応表!B:B)</f>
        <v>#N/A</v>
      </c>
      <c r="C994" s="3">
        <f>配列!C954</f>
        <v>0</v>
      </c>
      <c r="D994" s="3" t="str">
        <f>IF(配列!E954="",RIGHT(配列!D954&amp;配列!E954,4)&amp;"L",RIGHT(配列!D954&amp;配列!E954,5))</f>
        <v>L</v>
      </c>
      <c r="E994" s="3">
        <f t="shared" si="60"/>
        <v>0</v>
      </c>
      <c r="F994" s="3" t="e">
        <f>_xlfn.XLOOKUP(E994,セットアップレポート_紐づけ用!A:A,セットアップレポート_紐づけ用!J:J)</f>
        <v>#N/A</v>
      </c>
      <c r="G994" s="3" t="e">
        <f>_xlfn.XLOOKUP(E994,セットアップレポート_紐づけ用!A:A,セットアップレポート_紐づけ用!V:V)</f>
        <v>#N/A</v>
      </c>
      <c r="H994" s="3">
        <f t="shared" si="62"/>
        <v>-2</v>
      </c>
      <c r="I994" t="str">
        <f>IF(J994=0,"",IF(配列!E994="",マクロ実行!$A$16 &amp;" T"&amp;H994&amp;"-"&amp;RIGHT(配列!D994&amp;配列!E994,2),マクロ実行!$A$16 &amp;" T"&amp;H994&amp;"-"&amp;RIGHT(配列!D994&amp;配列!E994,3)))</f>
        <v/>
      </c>
      <c r="J994">
        <f>配列!F954</f>
        <v>0</v>
      </c>
      <c r="K994" s="2" t="e">
        <f>_xlfn.XLOOKUP(E994,セットアップレポート_紐づけ用!A:A,セットアップレポート_紐づけ用!R:R)</f>
        <v>#N/A</v>
      </c>
      <c r="L994" t="e">
        <f t="shared" si="63"/>
        <v>#N/A</v>
      </c>
      <c r="M994" t="e">
        <f>_xlfn.XLOOKUP(L994,EGPro!A:A,EGPro!D:D)</f>
        <v>#N/A</v>
      </c>
      <c r="N994" t="e">
        <f>_xlfn.XLOOKUP(L994,EGPro!A:A,EGPro!C:C)</f>
        <v>#N/A</v>
      </c>
      <c r="O994" t="e">
        <f t="shared" si="61"/>
        <v>#N/A</v>
      </c>
      <c r="P994" t="e">
        <f>_xlfn.XLOOKUP(O994,EGPro!A:A,EGPro!D:D)</f>
        <v>#N/A</v>
      </c>
      <c r="Q994" t="e">
        <f>_xlfn.XLOOKUP(O994,EGPro!A:A,EGPro!C:C)</f>
        <v>#N/A</v>
      </c>
    </row>
    <row r="995" spans="1:17" x14ac:dyDescent="0.45">
      <c r="A995" s="3">
        <f>配列!B955</f>
        <v>0</v>
      </c>
      <c r="B995" s="3" t="e">
        <f>_xlfn.XLOOKUP(A995,対応表!A:A,対応表!B:B)</f>
        <v>#N/A</v>
      </c>
      <c r="C995" s="3">
        <f>配列!C955</f>
        <v>0</v>
      </c>
      <c r="D995" s="3" t="str">
        <f>IF(配列!E955="",RIGHT(配列!D955&amp;配列!E955,4)&amp;"L",RIGHT(配列!D955&amp;配列!E955,5))</f>
        <v>L</v>
      </c>
      <c r="E995" s="3">
        <f t="shared" si="60"/>
        <v>0</v>
      </c>
      <c r="F995" s="3" t="e">
        <f>_xlfn.XLOOKUP(E995,セットアップレポート_紐づけ用!A:A,セットアップレポート_紐づけ用!J:J)</f>
        <v>#N/A</v>
      </c>
      <c r="G995" s="3" t="e">
        <f>_xlfn.XLOOKUP(E995,セットアップレポート_紐づけ用!A:A,セットアップレポート_紐づけ用!V:V)</f>
        <v>#N/A</v>
      </c>
      <c r="H995" s="3">
        <f t="shared" si="62"/>
        <v>-2</v>
      </c>
      <c r="I995" t="str">
        <f>IF(J995=0,"",IF(配列!E995="",マクロ実行!$A$16 &amp;" T"&amp;H995&amp;"-"&amp;RIGHT(配列!D995&amp;配列!E995,2),マクロ実行!$A$16 &amp;" T"&amp;H995&amp;"-"&amp;RIGHT(配列!D995&amp;配列!E995,3)))</f>
        <v/>
      </c>
      <c r="J995">
        <f>配列!F955</f>
        <v>0</v>
      </c>
      <c r="K995" s="2" t="e">
        <f>_xlfn.XLOOKUP(E995,セットアップレポート_紐づけ用!A:A,セットアップレポート_紐づけ用!R:R)</f>
        <v>#N/A</v>
      </c>
      <c r="L995" t="e">
        <f t="shared" si="63"/>
        <v>#N/A</v>
      </c>
      <c r="M995" t="e">
        <f>_xlfn.XLOOKUP(L995,EGPro!A:A,EGPro!D:D)</f>
        <v>#N/A</v>
      </c>
      <c r="N995" t="e">
        <f>_xlfn.XLOOKUP(L995,EGPro!A:A,EGPro!C:C)</f>
        <v>#N/A</v>
      </c>
      <c r="O995" t="e">
        <f t="shared" si="61"/>
        <v>#N/A</v>
      </c>
      <c r="P995" t="e">
        <f>_xlfn.XLOOKUP(O995,EGPro!A:A,EGPro!D:D)</f>
        <v>#N/A</v>
      </c>
      <c r="Q995" t="e">
        <f>_xlfn.XLOOKUP(O995,EGPro!A:A,EGPro!C:C)</f>
        <v>#N/A</v>
      </c>
    </row>
    <row r="996" spans="1:17" x14ac:dyDescent="0.45">
      <c r="A996" s="3">
        <f>配列!B956</f>
        <v>0</v>
      </c>
      <c r="B996" s="3" t="e">
        <f>_xlfn.XLOOKUP(A996,対応表!A:A,対応表!B:B)</f>
        <v>#N/A</v>
      </c>
      <c r="C996" s="3">
        <f>配列!C956</f>
        <v>0</v>
      </c>
      <c r="D996" s="3" t="str">
        <f>IF(配列!E956="",RIGHT(配列!D956&amp;配列!E956,4)&amp;"L",RIGHT(配列!D956&amp;配列!E956,5))</f>
        <v>L</v>
      </c>
      <c r="E996" s="3">
        <f t="shared" si="60"/>
        <v>0</v>
      </c>
      <c r="F996" s="3" t="e">
        <f>_xlfn.XLOOKUP(E996,セットアップレポート_紐づけ用!A:A,セットアップレポート_紐づけ用!J:J)</f>
        <v>#N/A</v>
      </c>
      <c r="G996" s="3" t="e">
        <f>_xlfn.XLOOKUP(E996,セットアップレポート_紐づけ用!A:A,セットアップレポート_紐づけ用!V:V)</f>
        <v>#N/A</v>
      </c>
      <c r="H996" s="3">
        <f t="shared" si="62"/>
        <v>-2</v>
      </c>
      <c r="I996" t="str">
        <f>IF(J996=0,"",IF(配列!E996="",マクロ実行!$A$16 &amp;" T"&amp;H996&amp;"-"&amp;RIGHT(配列!D996&amp;配列!E996,2),マクロ実行!$A$16 &amp;" T"&amp;H996&amp;"-"&amp;RIGHT(配列!D996&amp;配列!E996,3)))</f>
        <v/>
      </c>
      <c r="J996">
        <f>配列!F956</f>
        <v>0</v>
      </c>
      <c r="K996" s="2" t="e">
        <f>_xlfn.XLOOKUP(E996,セットアップレポート_紐づけ用!A:A,セットアップレポート_紐づけ用!R:R)</f>
        <v>#N/A</v>
      </c>
      <c r="L996" t="e">
        <f t="shared" si="63"/>
        <v>#N/A</v>
      </c>
      <c r="M996" t="e">
        <f>_xlfn.XLOOKUP(L996,EGPro!A:A,EGPro!D:D)</f>
        <v>#N/A</v>
      </c>
      <c r="N996" t="e">
        <f>_xlfn.XLOOKUP(L996,EGPro!A:A,EGPro!C:C)</f>
        <v>#N/A</v>
      </c>
      <c r="O996" t="e">
        <f t="shared" si="61"/>
        <v>#N/A</v>
      </c>
      <c r="P996" t="e">
        <f>_xlfn.XLOOKUP(O996,EGPro!A:A,EGPro!D:D)</f>
        <v>#N/A</v>
      </c>
      <c r="Q996" t="e">
        <f>_xlfn.XLOOKUP(O996,EGPro!A:A,EGPro!C:C)</f>
        <v>#N/A</v>
      </c>
    </row>
    <row r="997" spans="1:17" x14ac:dyDescent="0.45">
      <c r="A997" s="3">
        <f>配列!B957</f>
        <v>0</v>
      </c>
      <c r="B997" s="3" t="e">
        <f>_xlfn.XLOOKUP(A997,対応表!A:A,対応表!B:B)</f>
        <v>#N/A</v>
      </c>
      <c r="C997" s="3">
        <f>配列!C957</f>
        <v>0</v>
      </c>
      <c r="D997" s="3" t="str">
        <f>IF(配列!E957="",RIGHT(配列!D957&amp;配列!E957,4)&amp;"L",RIGHT(配列!D957&amp;配列!E957,5))</f>
        <v>L</v>
      </c>
      <c r="E997" s="3">
        <f t="shared" si="60"/>
        <v>0</v>
      </c>
      <c r="F997" s="3" t="e">
        <f>_xlfn.XLOOKUP(E997,セットアップレポート_紐づけ用!A:A,セットアップレポート_紐づけ用!J:J)</f>
        <v>#N/A</v>
      </c>
      <c r="G997" s="3" t="e">
        <f>_xlfn.XLOOKUP(E997,セットアップレポート_紐づけ用!A:A,セットアップレポート_紐づけ用!V:V)</f>
        <v>#N/A</v>
      </c>
      <c r="H997" s="3">
        <f t="shared" si="62"/>
        <v>-2</v>
      </c>
      <c r="I997" t="str">
        <f>IF(J997=0,"",IF(配列!E997="",マクロ実行!$A$16 &amp;" T"&amp;H997&amp;"-"&amp;RIGHT(配列!D997&amp;配列!E997,2),マクロ実行!$A$16 &amp;" T"&amp;H997&amp;"-"&amp;RIGHT(配列!D997&amp;配列!E997,3)))</f>
        <v/>
      </c>
      <c r="J997">
        <f>配列!F957</f>
        <v>0</v>
      </c>
      <c r="K997" s="2" t="e">
        <f>_xlfn.XLOOKUP(E997,セットアップレポート_紐づけ用!A:A,セットアップレポート_紐づけ用!R:R)</f>
        <v>#N/A</v>
      </c>
      <c r="L997" t="e">
        <f t="shared" si="63"/>
        <v>#N/A</v>
      </c>
      <c r="M997" t="e">
        <f>_xlfn.XLOOKUP(L997,EGPro!A:A,EGPro!D:D)</f>
        <v>#N/A</v>
      </c>
      <c r="N997" t="e">
        <f>_xlfn.XLOOKUP(L997,EGPro!A:A,EGPro!C:C)</f>
        <v>#N/A</v>
      </c>
      <c r="O997" t="e">
        <f t="shared" si="61"/>
        <v>#N/A</v>
      </c>
      <c r="P997" t="e">
        <f>_xlfn.XLOOKUP(O997,EGPro!A:A,EGPro!D:D)</f>
        <v>#N/A</v>
      </c>
      <c r="Q997" t="e">
        <f>_xlfn.XLOOKUP(O997,EGPro!A:A,EGPro!C:C)</f>
        <v>#N/A</v>
      </c>
    </row>
    <row r="998" spans="1:17" x14ac:dyDescent="0.45">
      <c r="A998" s="3">
        <f>配列!B958</f>
        <v>0</v>
      </c>
      <c r="B998" s="3" t="e">
        <f>_xlfn.XLOOKUP(A998,対応表!A:A,対応表!B:B)</f>
        <v>#N/A</v>
      </c>
      <c r="C998" s="3">
        <f>配列!C958</f>
        <v>0</v>
      </c>
      <c r="D998" s="3" t="str">
        <f>IF(配列!E958="",RIGHT(配列!D958&amp;配列!E958,4)&amp;"L",RIGHT(配列!D958&amp;配列!E958,5))</f>
        <v>L</v>
      </c>
      <c r="E998" s="3">
        <f t="shared" si="60"/>
        <v>0</v>
      </c>
      <c r="F998" s="3" t="e">
        <f>_xlfn.XLOOKUP(E998,セットアップレポート_紐づけ用!A:A,セットアップレポート_紐づけ用!J:J)</f>
        <v>#N/A</v>
      </c>
      <c r="G998" s="3" t="e">
        <f>_xlfn.XLOOKUP(E998,セットアップレポート_紐づけ用!A:A,セットアップレポート_紐づけ用!V:V)</f>
        <v>#N/A</v>
      </c>
      <c r="H998" s="3">
        <f t="shared" si="62"/>
        <v>-2</v>
      </c>
      <c r="I998" t="str">
        <f>IF(J998=0,"",IF(配列!E998="",マクロ実行!$A$16 &amp;" T"&amp;H998&amp;"-"&amp;RIGHT(配列!D998&amp;配列!E998,2),マクロ実行!$A$16 &amp;" T"&amp;H998&amp;"-"&amp;RIGHT(配列!D998&amp;配列!E998,3)))</f>
        <v/>
      </c>
      <c r="J998">
        <f>配列!F958</f>
        <v>0</v>
      </c>
      <c r="K998" s="2" t="e">
        <f>_xlfn.XLOOKUP(E998,セットアップレポート_紐づけ用!A:A,セットアップレポート_紐づけ用!R:R)</f>
        <v>#N/A</v>
      </c>
      <c r="L998" t="e">
        <f t="shared" si="63"/>
        <v>#N/A</v>
      </c>
      <c r="M998" t="e">
        <f>_xlfn.XLOOKUP(L998,EGPro!A:A,EGPro!D:D)</f>
        <v>#N/A</v>
      </c>
      <c r="N998" t="e">
        <f>_xlfn.XLOOKUP(L998,EGPro!A:A,EGPro!C:C)</f>
        <v>#N/A</v>
      </c>
      <c r="O998" t="e">
        <f t="shared" si="61"/>
        <v>#N/A</v>
      </c>
      <c r="P998" t="e">
        <f>_xlfn.XLOOKUP(O998,EGPro!A:A,EGPro!D:D)</f>
        <v>#N/A</v>
      </c>
      <c r="Q998" t="e">
        <f>_xlfn.XLOOKUP(O998,EGPro!A:A,EGPro!C:C)</f>
        <v>#N/A</v>
      </c>
    </row>
    <row r="999" spans="1:17" x14ac:dyDescent="0.45">
      <c r="A999" s="3">
        <f>配列!B959</f>
        <v>0</v>
      </c>
      <c r="B999" s="3" t="e">
        <f>_xlfn.XLOOKUP(A999,対応表!A:A,対応表!B:B)</f>
        <v>#N/A</v>
      </c>
      <c r="C999" s="3">
        <f>配列!C959</f>
        <v>0</v>
      </c>
      <c r="D999" s="3" t="str">
        <f>IF(配列!E959="",RIGHT(配列!D959&amp;配列!E959,4)&amp;"L",RIGHT(配列!D959&amp;配列!E959,5))</f>
        <v>L</v>
      </c>
      <c r="E999" s="3">
        <f t="shared" si="60"/>
        <v>0</v>
      </c>
      <c r="F999" s="3" t="e">
        <f>_xlfn.XLOOKUP(E999,セットアップレポート_紐づけ用!A:A,セットアップレポート_紐づけ用!J:J)</f>
        <v>#N/A</v>
      </c>
      <c r="G999" s="3" t="e">
        <f>_xlfn.XLOOKUP(E999,セットアップレポート_紐づけ用!A:A,セットアップレポート_紐づけ用!V:V)</f>
        <v>#N/A</v>
      </c>
      <c r="H999" s="3">
        <f t="shared" si="62"/>
        <v>-2</v>
      </c>
      <c r="I999" t="str">
        <f>IF(J999=0,"",IF(配列!E999="",マクロ実行!$A$16 &amp;" T"&amp;H999&amp;"-"&amp;RIGHT(配列!D999&amp;配列!E999,2),マクロ実行!$A$16 &amp;" T"&amp;H999&amp;"-"&amp;RIGHT(配列!D999&amp;配列!E999,3)))</f>
        <v/>
      </c>
      <c r="J999">
        <f>配列!F959</f>
        <v>0</v>
      </c>
      <c r="K999" s="2" t="e">
        <f>_xlfn.XLOOKUP(E999,セットアップレポート_紐づけ用!A:A,セットアップレポート_紐づけ用!R:R)</f>
        <v>#N/A</v>
      </c>
      <c r="L999" t="e">
        <f t="shared" si="63"/>
        <v>#N/A</v>
      </c>
      <c r="M999" t="e">
        <f>_xlfn.XLOOKUP(L999,EGPro!A:A,EGPro!D:D)</f>
        <v>#N/A</v>
      </c>
      <c r="N999" t="e">
        <f>_xlfn.XLOOKUP(L999,EGPro!A:A,EGPro!C:C)</f>
        <v>#N/A</v>
      </c>
      <c r="O999" t="e">
        <f t="shared" si="61"/>
        <v>#N/A</v>
      </c>
      <c r="P999" t="e">
        <f>_xlfn.XLOOKUP(O999,EGPro!A:A,EGPro!D:D)</f>
        <v>#N/A</v>
      </c>
      <c r="Q999" t="e">
        <f>_xlfn.XLOOKUP(O999,EGPro!A:A,EGPro!C:C)</f>
        <v>#N/A</v>
      </c>
    </row>
    <row r="1000" spans="1:17" x14ac:dyDescent="0.45">
      <c r="A1000" s="3">
        <f>配列!B960</f>
        <v>0</v>
      </c>
      <c r="B1000" s="3" t="e">
        <f>_xlfn.XLOOKUP(A1000,対応表!A:A,対応表!B:B)</f>
        <v>#N/A</v>
      </c>
      <c r="C1000" s="3">
        <f>配列!C960</f>
        <v>0</v>
      </c>
      <c r="D1000" s="3" t="str">
        <f>IF(配列!E960="",RIGHT(配列!D960&amp;配列!E960,4)&amp;"L",RIGHT(配列!D960&amp;配列!E960,5))</f>
        <v>L</v>
      </c>
      <c r="E1000" s="3">
        <f t="shared" si="60"/>
        <v>0</v>
      </c>
      <c r="F1000" s="3" t="e">
        <f>_xlfn.XLOOKUP(E1000,セットアップレポート_紐づけ用!A:A,セットアップレポート_紐づけ用!J:J)</f>
        <v>#N/A</v>
      </c>
      <c r="G1000" s="3" t="e">
        <f>_xlfn.XLOOKUP(E1000,セットアップレポート_紐づけ用!A:A,セットアップレポート_紐づけ用!V:V)</f>
        <v>#N/A</v>
      </c>
      <c r="H1000" s="3">
        <f t="shared" si="62"/>
        <v>-2</v>
      </c>
      <c r="I1000" t="str">
        <f>IF(J1000=0,"",IF(配列!E1000="",マクロ実行!$A$16 &amp;" T"&amp;H1000&amp;"-"&amp;RIGHT(配列!D1000&amp;配列!E1000,2),マクロ実行!$A$16 &amp;" T"&amp;H1000&amp;"-"&amp;RIGHT(配列!D1000&amp;配列!E1000,3)))</f>
        <v/>
      </c>
      <c r="J1000">
        <f>配列!F960</f>
        <v>0</v>
      </c>
      <c r="K1000" s="2" t="e">
        <f>_xlfn.XLOOKUP(E1000,セットアップレポート_紐づけ用!A:A,セットアップレポート_紐づけ用!R:R)</f>
        <v>#N/A</v>
      </c>
      <c r="L1000" t="e">
        <f t="shared" si="63"/>
        <v>#N/A</v>
      </c>
      <c r="M1000" t="e">
        <f>_xlfn.XLOOKUP(L1000,EGPro!A:A,EGPro!D:D)</f>
        <v>#N/A</v>
      </c>
      <c r="N1000" t="e">
        <f>_xlfn.XLOOKUP(L1000,EGPro!A:A,EGPro!C:C)</f>
        <v>#N/A</v>
      </c>
      <c r="O1000" t="e">
        <f t="shared" si="61"/>
        <v>#N/A</v>
      </c>
      <c r="P1000" t="e">
        <f>_xlfn.XLOOKUP(O1000,EGPro!A:A,EGPro!D:D)</f>
        <v>#N/A</v>
      </c>
      <c r="Q1000" t="e">
        <f>_xlfn.XLOOKUP(O1000,EGPro!A:A,EGPro!C:C)</f>
        <v>#N/A</v>
      </c>
    </row>
  </sheetData>
  <autoFilter ref="A1:Q1000" xr:uid="{DA9250DD-CB09-4A51-BBD9-D63FC9CB2DDE}"/>
  <phoneticPr fontId="1"/>
  <pageMargins left="0.7" right="0.7" top="0.75" bottom="0.75" header="0.3" footer="0.3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F594-AC21-4EE0-B241-34ECCAFD9E5C}">
  <sheetPr codeName="Sheet7" filterMode="1">
    <tabColor theme="0" tint="-0.499984740745262"/>
    <pageSetUpPr fitToPage="1"/>
  </sheetPr>
  <dimension ref="A1:T1000"/>
  <sheetViews>
    <sheetView topLeftCell="L1" zoomScaleNormal="100" workbookViewId="0">
      <pane ySplit="1" topLeftCell="A2004" activePane="bottomLeft" state="frozen"/>
      <selection pane="bottomLeft" activeCell="S13" sqref="S13"/>
    </sheetView>
  </sheetViews>
  <sheetFormatPr defaultRowHeight="18" x14ac:dyDescent="0.45"/>
  <cols>
    <col min="1" max="7" width="6.09765625" hidden="1" customWidth="1"/>
    <col min="8" max="8" width="11.69921875" style="16" bestFit="1" customWidth="1"/>
    <col min="9" max="9" width="20.09765625" style="15" bestFit="1" customWidth="1"/>
    <col min="10" max="10" width="15" style="15" bestFit="1" customWidth="1"/>
    <col min="11" max="11" width="25.69921875" style="24" hidden="1" customWidth="1"/>
    <col min="12" max="12" width="22.5" style="16" customWidth="1"/>
    <col min="13" max="13" width="14.69921875" style="15" hidden="1" customWidth="1"/>
    <col min="14" max="14" width="25.69921875" style="15" hidden="1" customWidth="1"/>
    <col min="15" max="15" width="22.09765625" style="16" customWidth="1"/>
    <col min="16" max="16" width="23.69921875" hidden="1" customWidth="1"/>
    <col min="17" max="17" width="32" hidden="1" customWidth="1"/>
    <col min="18" max="18" width="18.19921875" style="17" hidden="1" customWidth="1"/>
    <col min="19" max="19" width="22.69921875" style="17" customWidth="1"/>
    <col min="20" max="20" width="21.8984375" style="17" customWidth="1"/>
  </cols>
  <sheetData>
    <row r="1" spans="1:20" s="22" customFormat="1" x14ac:dyDescent="0.45">
      <c r="A1" s="14" t="str">
        <f>IF(IF(ISNA(計算結果!A1),"",計算結果!A1)=0,"",IF(ISNA(計算結果!A1),"",計算結果!A1))</f>
        <v>配列_ゾーン名</v>
      </c>
      <c r="B1" s="14" t="str">
        <f>IF(IF(ISNA(計算結果!B1),"",計算結果!B1)=0,"",IF(ISNA(計算結果!B1),"",計算結果!B1))</f>
        <v>数式_セットアップレポート変換</v>
      </c>
      <c r="C1" s="14" t="str">
        <f>IF(IF(ISNA(計算結果!C1),"",計算結果!C1)=0,"",IF(ISNA(計算結果!C1),"",計算結果!C1))</f>
        <v>配列_テーブル</v>
      </c>
      <c r="D1" s="14" t="str">
        <f>IF(IF(ISNA(計算結果!D1),"",計算結果!D1)=0,"",IF(ISNA(計算結果!D1),"",計算結果!D1))</f>
        <v>配列_Z/PU番号</v>
      </c>
      <c r="E1" s="14" t="str">
        <f>IF(IF(ISNA(計算結果!E1),"",計算結果!E1)=0,"",IF(ISNA(計算結果!E1),"",計算結果!E1))</f>
        <v>数式_紐づけ用</v>
      </c>
      <c r="F1" s="14" t="str">
        <f>IF(IF(ISNA(計算結果!F1),"",計算結果!F1)=0,"",IF(ISNA(計算結果!F1),"",計算結果!F1))</f>
        <v>取り付け部品シリアル_変換前</v>
      </c>
      <c r="G1" s="14" t="str">
        <f>IF(IF(ISNA(計算結果!G1),"",計算結果!G1)=0,"",IF(ISNA(計算結果!G1),"",計算結果!G1))</f>
        <v>スプライシング部品シリアル_変換前</v>
      </c>
      <c r="H1" s="11" t="str">
        <f>IF(IF(ISNA(計算結果!H1),"",計算結果!H1)=0,"",IF(ISNA(計算結果!H1),"",計算結果!H1))</f>
        <v>テーブル番号</v>
      </c>
      <c r="I1" s="11" t="s">
        <v>8</v>
      </c>
      <c r="J1" s="11" t="str">
        <f>IF(IF(ISNA(計算結果!J1),"",計算結果!J1)=0,"",IF(ISNA(計算結果!J1),"",計算結果!J1))</f>
        <v>配列_部品</v>
      </c>
      <c r="K1" s="21" t="str">
        <f>IF(IF(ISNA(計算結果!K1),"",計算結果!K1)=0,"",IF(ISNA(計算結果!K1),"",計算結果!K1))</f>
        <v>セットアップ情報取得日時</v>
      </c>
      <c r="L1" s="11" t="str">
        <f>IF(IF(ISNA(計算結果!L1),"",計算結果!L1)=0,"",IF(ISNA(計算結果!L1),"",計算結果!L1))</f>
        <v>取り付け部品シリアル</v>
      </c>
      <c r="M1" s="11" t="str">
        <f>IF(IF(ISNA(計算結果!M1),"",計算結果!M1)=0,"",IF(ISNA(計算結果!M1),"",計算結果!M1))</f>
        <v>取り付け部品在庫</v>
      </c>
      <c r="N1" s="14" t="str">
        <f>IF(IF(ISNA(計算結果!N1),"",計算結果!N1)=0,"",IF(ISNA(計算結果!N1),"",計算結果!N1))</f>
        <v>取り付け部品入庫時の数量</v>
      </c>
      <c r="O1" s="11" t="str">
        <f>IF(IF(ISNA(計算結果!O1),"",計算結果!O1)=0,"",IF(ISNA(計算結果!O1),"",計算結果!O1))</f>
        <v>スプライシング部品シリアル</v>
      </c>
      <c r="P1" s="14" t="str">
        <f>IF(IF(ISNA(計算結果!P1),"",計算結果!P1)=0,"",IF(ISNA(計算結果!P1),"",計算結果!P1))</f>
        <v>スプライシング部品在庫</v>
      </c>
      <c r="Q1" s="14" t="str">
        <f>IF(IF(ISNA(計算結果!Q1),"",計算結果!Q1)=0,"",IF(ISNA(計算結果!Q1),"",計算結果!Q1))</f>
        <v>スプライシング部品入庫時の数量</v>
      </c>
      <c r="R1" s="11" t="s">
        <v>17</v>
      </c>
      <c r="S1" s="11" t="s">
        <v>18</v>
      </c>
      <c r="T1" s="11" t="s">
        <v>19</v>
      </c>
    </row>
    <row r="2" spans="1:20" hidden="1" x14ac:dyDescent="0.45">
      <c r="A2" s="10" t="str">
        <f>IF(IF(ISNA(計算結果!A2),"",計算結果!A2)=0,"",IF(ISNA(計算結果!A2),"",計算結果!A2))</f>
        <v/>
      </c>
      <c r="B2" s="10" t="str">
        <f>IF(IF(ISNA(計算結果!B2),"",計算結果!B2)=0,"",IF(ISNA(計算結果!B2),"",計算結果!B2))</f>
        <v/>
      </c>
      <c r="C2" s="10" t="str">
        <f>IF(IF(ISNA(計算結果!C2),"",計算結果!C2)=0,"",IF(ISNA(計算結果!C2),"",計算結果!C2))</f>
        <v/>
      </c>
      <c r="D2" s="10" t="str">
        <f>IF(IF(ISNA(計算結果!D2),"",計算結果!D2)=0,"",IF(ISNA(計算結果!D2),"",計算結果!D2))</f>
        <v>L</v>
      </c>
      <c r="E2" s="10" t="str">
        <f>IF(IF(ISNA(計算結果!E2),"",計算結果!E2)=0,"",IF(ISNA(計算結果!E2),"",計算結果!E2))</f>
        <v/>
      </c>
      <c r="F2" s="10" t="str">
        <f>IF(IF(ISNA(計算結果!F2),"",計算結果!F2)=0,"",IF(ISNA(計算結果!F2),"",計算結果!F2))</f>
        <v/>
      </c>
      <c r="G2" s="10" t="str">
        <f>IF(IF(ISNA(計算結果!G2),"",計算結果!G2)=0,"",IF(ISNA(計算結果!G2),"",計算結果!G2))</f>
        <v/>
      </c>
      <c r="H2" s="13">
        <f>IF(IF(ISNA(計算結果!H2),"",計算結果!H2)=0,"",IF(ISNA(計算結果!H2),"",計算結果!H2))</f>
        <v>-2</v>
      </c>
      <c r="I2" s="12" t="str">
        <f>IF(IF(ISNA(計算結果!I2),"",計算結果!I2)=0,"",IF(ISNA(計算結果!I2),"",計算結果!I2))</f>
        <v/>
      </c>
      <c r="J2" s="12" t="str">
        <f>IF(IF(ISNA(計算結果!J2),"",計算結果!J2)=0,"",IF(ISNA(計算結果!J2),"",計算結果!J2))</f>
        <v/>
      </c>
      <c r="K2" s="23" t="str">
        <f>IF(IF(ISNA(計算結果!K2),"",計算結果!K2)=0,"",IF(ISNA(計算結果!K2),"",計算結果!K2))</f>
        <v/>
      </c>
      <c r="L2" s="13" t="str">
        <f>IF(IF(ISNA(計算結果!L2),"",計算結果!L2)=0,"",IF(ISNA(計算結果!L2),"",計算結果!L2))</f>
        <v/>
      </c>
      <c r="M2" s="10" t="str">
        <f>IF(IF(ISNA(計算結果!M2),"",計算結果!M2)=0,"",IF(ISNA(計算結果!M2),"",計算結果!M2))</f>
        <v/>
      </c>
      <c r="N2" s="10" t="str">
        <f>IF(IF(ISNA(計算結果!N2),"",計算結果!N2)=0,"",IF(ISNA(計算結果!N2),"",計算結果!N2))</f>
        <v/>
      </c>
      <c r="O2" s="13" t="str">
        <f>IF(IF(ISNA(計算結果!O2),"",計算結果!O2)=0,"",IF(ISNA(計算結果!O2),"",計算結果!O2))</f>
        <v/>
      </c>
      <c r="P2" s="10" t="str">
        <f>IF(IF(ISNA(計算結果!P2),"",計算結果!P2)=0,"",IF(ISNA(計算結果!P2),"",計算結果!P2))</f>
        <v/>
      </c>
      <c r="Q2" s="10" t="str">
        <f>IF(IF(ISNA(計算結果!Q2),"",計算結果!Q2)=0,"",IF(ISNA(計算結果!Q2),"",計算結果!Q2))</f>
        <v/>
      </c>
      <c r="R2" s="14" t="str">
        <f>IF(AND(M2&lt;&gt;"",M2=N2),"◯","")</f>
        <v/>
      </c>
      <c r="S2" s="14" t="str">
        <f>IF(M2="","◯","")</f>
        <v>◯</v>
      </c>
      <c r="T2" s="14" t="str">
        <f>IF(AND(P2&lt;&gt;"",P2&lt;&gt;Q2),"◯","")</f>
        <v/>
      </c>
    </row>
    <row r="3" spans="1:20" hidden="1" x14ac:dyDescent="0.45">
      <c r="A3" s="10" t="str">
        <f>IF(IF(ISNA(計算結果!A3),"",計算結果!A3)=0,"",IF(ISNA(計算結果!A3),"",計算結果!A3))</f>
        <v/>
      </c>
      <c r="B3" s="10" t="str">
        <f>IF(IF(ISNA(計算結果!B3),"",計算結果!B3)=0,"",IF(ISNA(計算結果!B3),"",計算結果!B3))</f>
        <v/>
      </c>
      <c r="C3" s="10" t="str">
        <f>IF(IF(ISNA(計算結果!C3),"",計算結果!C3)=0,"",IF(ISNA(計算結果!C3),"",計算結果!C3))</f>
        <v/>
      </c>
      <c r="D3" s="10" t="str">
        <f>IF(IF(ISNA(計算結果!D3),"",計算結果!D3)=0,"",IF(ISNA(計算結果!D3),"",計算結果!D3))</f>
        <v>L</v>
      </c>
      <c r="E3" s="10" t="str">
        <f>IF(IF(ISNA(計算結果!E3),"",計算結果!E3)=0,"",IF(ISNA(計算結果!E3),"",計算結果!E3))</f>
        <v/>
      </c>
      <c r="F3" s="10" t="str">
        <f>IF(IF(ISNA(計算結果!F3),"",計算結果!F3)=0,"",IF(ISNA(計算結果!F3),"",計算結果!F3))</f>
        <v/>
      </c>
      <c r="G3" s="10" t="str">
        <f>IF(IF(ISNA(計算結果!G3),"",計算結果!G3)=0,"",IF(ISNA(計算結果!G3),"",計算結果!G3))</f>
        <v/>
      </c>
      <c r="H3" s="13">
        <f>IF(IF(ISNA(計算結果!H3),"",計算結果!H3)=0,"",IF(ISNA(計算結果!H3),"",計算結果!H3))</f>
        <v>-2</v>
      </c>
      <c r="I3" s="12" t="str">
        <f>IF(IF(ISNA(計算結果!I3),"",計算結果!I3)=0,"",IF(ISNA(計算結果!I3),"",計算結果!I3))</f>
        <v/>
      </c>
      <c r="J3" s="12" t="str">
        <f>IF(IF(ISNA(計算結果!J3),"",計算結果!J3)=0,"",IF(ISNA(計算結果!J3),"",計算結果!J3))</f>
        <v/>
      </c>
      <c r="K3" s="23" t="str">
        <f>IF(IF(ISNA(計算結果!K3),"",計算結果!K3)=0,"",IF(ISNA(計算結果!K3),"",計算結果!K3))</f>
        <v/>
      </c>
      <c r="L3" s="13" t="str">
        <f>IF(IF(ISNA(計算結果!L3),"",計算結果!L3)=0,"",IF(ISNA(計算結果!L3),"",計算結果!L3))</f>
        <v/>
      </c>
      <c r="M3" s="10" t="str">
        <f>IF(IF(ISNA(計算結果!M3),"",計算結果!M3)=0,"",IF(ISNA(計算結果!M3),"",計算結果!M3))</f>
        <v/>
      </c>
      <c r="N3" s="10" t="str">
        <f>IF(IF(ISNA(計算結果!N3),"",計算結果!N3)=0,"",IF(ISNA(計算結果!N3),"",計算結果!N3))</f>
        <v/>
      </c>
      <c r="O3" s="13" t="str">
        <f>IF(IF(ISNA(計算結果!O3),"",計算結果!O3)=0,"",IF(ISNA(計算結果!O3),"",計算結果!O3))</f>
        <v/>
      </c>
      <c r="P3" s="10" t="str">
        <f>IF(IF(ISNA(計算結果!P3),"",計算結果!P3)=0,"",IF(ISNA(計算結果!P3),"",計算結果!P3))</f>
        <v/>
      </c>
      <c r="Q3" s="10" t="str">
        <f>IF(IF(ISNA(計算結果!Q3),"",計算結果!Q3)=0,"",IF(ISNA(計算結果!Q3),"",計算結果!Q3))</f>
        <v/>
      </c>
      <c r="R3" s="14" t="str">
        <f t="shared" ref="R3:R66" si="0">IF(AND(M3&lt;&gt;"",M3=N3),"◯","")</f>
        <v/>
      </c>
      <c r="S3" s="14" t="str">
        <f>IF(M3="","◯","")</f>
        <v>◯</v>
      </c>
      <c r="T3" s="14" t="str">
        <f>IF(AND(P3&lt;&gt;"",P3&lt;&gt;Q3),"◯","")</f>
        <v/>
      </c>
    </row>
    <row r="4" spans="1:20" hidden="1" x14ac:dyDescent="0.45">
      <c r="A4" s="10" t="str">
        <f>IF(IF(ISNA(計算結果!A4),"",計算結果!A4)=0,"",IF(ISNA(計算結果!A4),"",計算結果!A4))</f>
        <v/>
      </c>
      <c r="B4" s="10" t="str">
        <f>IF(IF(ISNA(計算結果!B4),"",計算結果!B4)=0,"",IF(ISNA(計算結果!B4),"",計算結果!B4))</f>
        <v/>
      </c>
      <c r="C4" s="10" t="str">
        <f>IF(IF(ISNA(計算結果!C4),"",計算結果!C4)=0,"",IF(ISNA(計算結果!C4),"",計算結果!C4))</f>
        <v/>
      </c>
      <c r="D4" s="10" t="str">
        <f>IF(IF(ISNA(計算結果!D4),"",計算結果!D4)=0,"",IF(ISNA(計算結果!D4),"",計算結果!D4))</f>
        <v>L</v>
      </c>
      <c r="E4" s="10" t="str">
        <f>IF(IF(ISNA(計算結果!E4),"",計算結果!E4)=0,"",IF(ISNA(計算結果!E4),"",計算結果!E4))</f>
        <v/>
      </c>
      <c r="F4" s="10" t="str">
        <f>IF(IF(ISNA(計算結果!F4),"",計算結果!F4)=0,"",IF(ISNA(計算結果!F4),"",計算結果!F4))</f>
        <v/>
      </c>
      <c r="G4" s="10" t="str">
        <f>IF(IF(ISNA(計算結果!G4),"",計算結果!G4)=0,"",IF(ISNA(計算結果!G4),"",計算結果!G4))</f>
        <v/>
      </c>
      <c r="H4" s="13">
        <f>IF(IF(ISNA(計算結果!H4),"",計算結果!H4)=0,"",IF(ISNA(計算結果!H4),"",計算結果!H4))</f>
        <v>-2</v>
      </c>
      <c r="I4" s="12" t="str">
        <f>IF(IF(ISNA(計算結果!I4),"",計算結果!I4)=0,"",IF(ISNA(計算結果!I4),"",計算結果!I4))</f>
        <v/>
      </c>
      <c r="J4" s="12" t="str">
        <f>IF(IF(ISNA(計算結果!J4),"",計算結果!J4)=0,"",IF(ISNA(計算結果!J4),"",計算結果!J4))</f>
        <v/>
      </c>
      <c r="K4" s="23" t="str">
        <f>IF(IF(ISNA(計算結果!K4),"",計算結果!K4)=0,"",IF(ISNA(計算結果!K4),"",計算結果!K4))</f>
        <v/>
      </c>
      <c r="L4" s="13" t="str">
        <f>IF(IF(ISNA(計算結果!L4),"",計算結果!L4)=0,"",IF(ISNA(計算結果!L4),"",計算結果!L4))</f>
        <v/>
      </c>
      <c r="M4" s="10" t="str">
        <f>IF(IF(ISNA(計算結果!M4),"",計算結果!M4)=0,"",IF(ISNA(計算結果!M4),"",計算結果!M4))</f>
        <v/>
      </c>
      <c r="N4" s="10" t="str">
        <f>IF(IF(ISNA(計算結果!N4),"",計算結果!N4)=0,"",IF(ISNA(計算結果!N4),"",計算結果!N4))</f>
        <v/>
      </c>
      <c r="O4" s="13" t="str">
        <f>IF(IF(ISNA(計算結果!O4),"",計算結果!O4)=0,"",IF(ISNA(計算結果!O4),"",計算結果!O4))</f>
        <v/>
      </c>
      <c r="P4" s="10" t="str">
        <f>IF(IF(ISNA(計算結果!P4),"",計算結果!P4)=0,"",IF(ISNA(計算結果!P4),"",計算結果!P4))</f>
        <v/>
      </c>
      <c r="Q4" s="10" t="str">
        <f>IF(IF(ISNA(計算結果!Q4),"",計算結果!Q4)=0,"",IF(ISNA(計算結果!Q4),"",計算結果!Q4))</f>
        <v/>
      </c>
      <c r="R4" s="14" t="str">
        <f t="shared" si="0"/>
        <v/>
      </c>
      <c r="S4" s="14" t="str">
        <f t="shared" ref="S4:S66" si="1">IF(M4="","◯","")</f>
        <v>◯</v>
      </c>
      <c r="T4" s="14" t="str">
        <f t="shared" ref="T4:T66" si="2">IF(AND(P4&lt;&gt;"",P4&lt;&gt;Q4),"◯","")</f>
        <v/>
      </c>
    </row>
    <row r="5" spans="1:20" hidden="1" x14ac:dyDescent="0.45">
      <c r="A5" s="10" t="str">
        <f>IF(IF(ISNA(計算結果!A5),"",計算結果!A5)=0,"",IF(ISNA(計算結果!A5),"",計算結果!A5))</f>
        <v/>
      </c>
      <c r="B5" s="10" t="str">
        <f>IF(IF(ISNA(計算結果!B5),"",計算結果!B5)=0,"",IF(ISNA(計算結果!B5),"",計算結果!B5))</f>
        <v/>
      </c>
      <c r="C5" s="10" t="str">
        <f>IF(IF(ISNA(計算結果!C5),"",計算結果!C5)=0,"",IF(ISNA(計算結果!C5),"",計算結果!C5))</f>
        <v/>
      </c>
      <c r="D5" s="10" t="str">
        <f>IF(IF(ISNA(計算結果!D5),"",計算結果!D5)=0,"",IF(ISNA(計算結果!D5),"",計算結果!D5))</f>
        <v>L</v>
      </c>
      <c r="E5" s="10" t="str">
        <f>IF(IF(ISNA(計算結果!E5),"",計算結果!E5)=0,"",IF(ISNA(計算結果!E5),"",計算結果!E5))</f>
        <v/>
      </c>
      <c r="F5" s="10" t="str">
        <f>IF(IF(ISNA(計算結果!F5),"",計算結果!F5)=0,"",IF(ISNA(計算結果!F5),"",計算結果!F5))</f>
        <v/>
      </c>
      <c r="G5" s="10" t="str">
        <f>IF(IF(ISNA(計算結果!G5),"",計算結果!G5)=0,"",IF(ISNA(計算結果!G5),"",計算結果!G5))</f>
        <v/>
      </c>
      <c r="H5" s="13">
        <f>IF(IF(ISNA(計算結果!H5),"",計算結果!H5)=0,"",IF(ISNA(計算結果!H5),"",計算結果!H5))</f>
        <v>-2</v>
      </c>
      <c r="I5" s="12" t="str">
        <f>IF(IF(ISNA(計算結果!I5),"",計算結果!I5)=0,"",IF(ISNA(計算結果!I5),"",計算結果!I5))</f>
        <v/>
      </c>
      <c r="J5" s="12" t="str">
        <f>IF(IF(ISNA(計算結果!J5),"",計算結果!J5)=0,"",IF(ISNA(計算結果!J5),"",計算結果!J5))</f>
        <v/>
      </c>
      <c r="K5" s="23" t="str">
        <f>IF(IF(ISNA(計算結果!K5),"",計算結果!K5)=0,"",IF(ISNA(計算結果!K5),"",計算結果!K5))</f>
        <v/>
      </c>
      <c r="L5" s="13" t="str">
        <f>IF(IF(ISNA(計算結果!L5),"",計算結果!L5)=0,"",IF(ISNA(計算結果!L5),"",計算結果!L5))</f>
        <v/>
      </c>
      <c r="M5" s="10" t="str">
        <f>IF(IF(ISNA(計算結果!M5),"",計算結果!M5)=0,"",IF(ISNA(計算結果!M5),"",計算結果!M5))</f>
        <v/>
      </c>
      <c r="N5" s="10" t="str">
        <f>IF(IF(ISNA(計算結果!N5),"",計算結果!N5)=0,"",IF(ISNA(計算結果!N5),"",計算結果!N5))</f>
        <v/>
      </c>
      <c r="O5" s="13" t="str">
        <f>IF(IF(ISNA(計算結果!O5),"",計算結果!O5)=0,"",IF(ISNA(計算結果!O5),"",計算結果!O5))</f>
        <v/>
      </c>
      <c r="P5" s="10" t="str">
        <f>IF(IF(ISNA(計算結果!P5),"",計算結果!P5)=0,"",IF(ISNA(計算結果!P5),"",計算結果!P5))</f>
        <v/>
      </c>
      <c r="Q5" s="10" t="str">
        <f>IF(IF(ISNA(計算結果!Q5),"",計算結果!Q5)=0,"",IF(ISNA(計算結果!Q5),"",計算結果!Q5))</f>
        <v/>
      </c>
      <c r="R5" s="14" t="str">
        <f t="shared" si="0"/>
        <v/>
      </c>
      <c r="S5" s="14" t="str">
        <f t="shared" si="1"/>
        <v>◯</v>
      </c>
      <c r="T5" s="14" t="str">
        <f t="shared" si="2"/>
        <v/>
      </c>
    </row>
    <row r="6" spans="1:20" hidden="1" x14ac:dyDescent="0.45">
      <c r="A6" s="10" t="str">
        <f>IF(IF(ISNA(計算結果!A6),"",計算結果!A6)=0,"",IF(ISNA(計算結果!A6),"",計算結果!A6))</f>
        <v/>
      </c>
      <c r="B6" s="10" t="str">
        <f>IF(IF(ISNA(計算結果!B6),"",計算結果!B6)=0,"",IF(ISNA(計算結果!B6),"",計算結果!B6))</f>
        <v/>
      </c>
      <c r="C6" s="10" t="str">
        <f>IF(IF(ISNA(計算結果!C6),"",計算結果!C6)=0,"",IF(ISNA(計算結果!C6),"",計算結果!C6))</f>
        <v/>
      </c>
      <c r="D6" s="10" t="str">
        <f>IF(IF(ISNA(計算結果!D6),"",計算結果!D6)=0,"",IF(ISNA(計算結果!D6),"",計算結果!D6))</f>
        <v>L</v>
      </c>
      <c r="E6" s="10" t="str">
        <f>IF(IF(ISNA(計算結果!E6),"",計算結果!E6)=0,"",IF(ISNA(計算結果!E6),"",計算結果!E6))</f>
        <v/>
      </c>
      <c r="F6" s="10" t="str">
        <f>IF(IF(ISNA(計算結果!F6),"",計算結果!F6)=0,"",IF(ISNA(計算結果!F6),"",計算結果!F6))</f>
        <v/>
      </c>
      <c r="G6" s="10" t="str">
        <f>IF(IF(ISNA(計算結果!G6),"",計算結果!G6)=0,"",IF(ISNA(計算結果!G6),"",計算結果!G6))</f>
        <v/>
      </c>
      <c r="H6" s="13">
        <f>IF(IF(ISNA(計算結果!H6),"",計算結果!H6)=0,"",IF(ISNA(計算結果!H6),"",計算結果!H6))</f>
        <v>-2</v>
      </c>
      <c r="I6" s="12" t="str">
        <f>IF(IF(ISNA(計算結果!I6),"",計算結果!I6)=0,"",IF(ISNA(計算結果!I6),"",計算結果!I6))</f>
        <v/>
      </c>
      <c r="J6" s="12" t="str">
        <f>IF(IF(ISNA(計算結果!J6),"",計算結果!J6)=0,"",IF(ISNA(計算結果!J6),"",計算結果!J6))</f>
        <v/>
      </c>
      <c r="K6" s="23" t="str">
        <f>IF(IF(ISNA(計算結果!K6),"",計算結果!K6)=0,"",IF(ISNA(計算結果!K6),"",計算結果!K6))</f>
        <v/>
      </c>
      <c r="L6" s="13" t="str">
        <f>IF(IF(ISNA(計算結果!L6),"",計算結果!L6)=0,"",IF(ISNA(計算結果!L6),"",計算結果!L6))</f>
        <v/>
      </c>
      <c r="M6" s="10" t="str">
        <f>IF(IF(ISNA(計算結果!M6),"",計算結果!M6)=0,"",IF(ISNA(計算結果!M6),"",計算結果!M6))</f>
        <v/>
      </c>
      <c r="N6" s="10" t="str">
        <f>IF(IF(ISNA(計算結果!N6),"",計算結果!N6)=0,"",IF(ISNA(計算結果!N6),"",計算結果!N6))</f>
        <v/>
      </c>
      <c r="O6" s="13" t="str">
        <f>IF(IF(ISNA(計算結果!O6),"",計算結果!O6)=0,"",IF(ISNA(計算結果!O6),"",計算結果!O6))</f>
        <v/>
      </c>
      <c r="P6" s="10" t="str">
        <f>IF(IF(ISNA(計算結果!P6),"",計算結果!P6)=0,"",IF(ISNA(計算結果!P6),"",計算結果!P6))</f>
        <v/>
      </c>
      <c r="Q6" s="10" t="str">
        <f>IF(IF(ISNA(計算結果!Q6),"",計算結果!Q6)=0,"",IF(ISNA(計算結果!Q6),"",計算結果!Q6))</f>
        <v/>
      </c>
      <c r="R6" s="14" t="str">
        <f t="shared" si="0"/>
        <v/>
      </c>
      <c r="S6" s="14" t="str">
        <f t="shared" si="1"/>
        <v>◯</v>
      </c>
      <c r="T6" s="14" t="str">
        <f t="shared" si="2"/>
        <v/>
      </c>
    </row>
    <row r="7" spans="1:20" hidden="1" x14ac:dyDescent="0.45">
      <c r="A7" s="10" t="str">
        <f>IF(IF(ISNA(計算結果!A7),"",計算結果!A7)=0,"",IF(ISNA(計算結果!A7),"",計算結果!A7))</f>
        <v/>
      </c>
      <c r="B7" s="10" t="str">
        <f>IF(IF(ISNA(計算結果!B7),"",計算結果!B7)=0,"",IF(ISNA(計算結果!B7),"",計算結果!B7))</f>
        <v/>
      </c>
      <c r="C7" s="10" t="str">
        <f>IF(IF(ISNA(計算結果!C7),"",計算結果!C7)=0,"",IF(ISNA(計算結果!C7),"",計算結果!C7))</f>
        <v/>
      </c>
      <c r="D7" s="10" t="str">
        <f>IF(IF(ISNA(計算結果!D7),"",計算結果!D7)=0,"",IF(ISNA(計算結果!D7),"",計算結果!D7))</f>
        <v>L</v>
      </c>
      <c r="E7" s="10" t="str">
        <f>IF(IF(ISNA(計算結果!E7),"",計算結果!E7)=0,"",IF(ISNA(計算結果!E7),"",計算結果!E7))</f>
        <v/>
      </c>
      <c r="F7" s="10" t="str">
        <f>IF(IF(ISNA(計算結果!F7),"",計算結果!F7)=0,"",IF(ISNA(計算結果!F7),"",計算結果!F7))</f>
        <v/>
      </c>
      <c r="G7" s="10" t="str">
        <f>IF(IF(ISNA(計算結果!G7),"",計算結果!G7)=0,"",IF(ISNA(計算結果!G7),"",計算結果!G7))</f>
        <v/>
      </c>
      <c r="H7" s="13">
        <f>IF(IF(ISNA(計算結果!H7),"",計算結果!H7)=0,"",IF(ISNA(計算結果!H7),"",計算結果!H7))</f>
        <v>-2</v>
      </c>
      <c r="I7" s="12" t="str">
        <f>IF(IF(ISNA(計算結果!I7),"",計算結果!I7)=0,"",IF(ISNA(計算結果!I7),"",計算結果!I7))</f>
        <v/>
      </c>
      <c r="J7" s="12" t="str">
        <f>IF(IF(ISNA(計算結果!J7),"",計算結果!J7)=0,"",IF(ISNA(計算結果!J7),"",計算結果!J7))</f>
        <v/>
      </c>
      <c r="K7" s="23" t="str">
        <f>IF(IF(ISNA(計算結果!K7),"",計算結果!K7)=0,"",IF(ISNA(計算結果!K7),"",計算結果!K7))</f>
        <v/>
      </c>
      <c r="L7" s="13" t="str">
        <f>IF(IF(ISNA(計算結果!L7),"",計算結果!L7)=0,"",IF(ISNA(計算結果!L7),"",計算結果!L7))</f>
        <v/>
      </c>
      <c r="M7" s="10" t="str">
        <f>IF(IF(ISNA(計算結果!M7),"",計算結果!M7)=0,"",IF(ISNA(計算結果!M7),"",計算結果!M7))</f>
        <v/>
      </c>
      <c r="N7" s="10" t="str">
        <f>IF(IF(ISNA(計算結果!N7),"",計算結果!N7)=0,"",IF(ISNA(計算結果!N7),"",計算結果!N7))</f>
        <v/>
      </c>
      <c r="O7" s="13" t="str">
        <f>IF(IF(ISNA(計算結果!O7),"",計算結果!O7)=0,"",IF(ISNA(計算結果!O7),"",計算結果!O7))</f>
        <v/>
      </c>
      <c r="P7" s="10" t="str">
        <f>IF(IF(ISNA(計算結果!P7),"",計算結果!P7)=0,"",IF(ISNA(計算結果!P7),"",計算結果!P7))</f>
        <v/>
      </c>
      <c r="Q7" s="10" t="str">
        <f>IF(IF(ISNA(計算結果!Q7),"",計算結果!Q7)=0,"",IF(ISNA(計算結果!Q7),"",計算結果!Q7))</f>
        <v/>
      </c>
      <c r="R7" s="14" t="str">
        <f t="shared" si="0"/>
        <v/>
      </c>
      <c r="S7" s="14" t="str">
        <f t="shared" si="1"/>
        <v>◯</v>
      </c>
      <c r="T7" s="14" t="str">
        <f t="shared" si="2"/>
        <v/>
      </c>
    </row>
    <row r="8" spans="1:20" hidden="1" x14ac:dyDescent="0.45">
      <c r="A8" s="10" t="str">
        <f>IF(IF(ISNA(計算結果!A8),"",計算結果!A8)=0,"",IF(ISNA(計算結果!A8),"",計算結果!A8))</f>
        <v/>
      </c>
      <c r="B8" s="10" t="str">
        <f>IF(IF(ISNA(計算結果!B8),"",計算結果!B8)=0,"",IF(ISNA(計算結果!B8),"",計算結果!B8))</f>
        <v/>
      </c>
      <c r="C8" s="10" t="str">
        <f>IF(IF(ISNA(計算結果!C8),"",計算結果!C8)=0,"",IF(ISNA(計算結果!C8),"",計算結果!C8))</f>
        <v/>
      </c>
      <c r="D8" s="10" t="str">
        <f>IF(IF(ISNA(計算結果!D8),"",計算結果!D8)=0,"",IF(ISNA(計算結果!D8),"",計算結果!D8))</f>
        <v>L</v>
      </c>
      <c r="E8" s="10" t="str">
        <f>IF(IF(ISNA(計算結果!E8),"",計算結果!E8)=0,"",IF(ISNA(計算結果!E8),"",計算結果!E8))</f>
        <v/>
      </c>
      <c r="F8" s="10" t="str">
        <f>IF(IF(ISNA(計算結果!F8),"",計算結果!F8)=0,"",IF(ISNA(計算結果!F8),"",計算結果!F8))</f>
        <v/>
      </c>
      <c r="G8" s="10" t="str">
        <f>IF(IF(ISNA(計算結果!G8),"",計算結果!G8)=0,"",IF(ISNA(計算結果!G8),"",計算結果!G8))</f>
        <v/>
      </c>
      <c r="H8" s="13">
        <f>IF(IF(ISNA(計算結果!H8),"",計算結果!H8)=0,"",IF(ISNA(計算結果!H8),"",計算結果!H8))</f>
        <v>-2</v>
      </c>
      <c r="I8" s="12" t="str">
        <f>IF(IF(ISNA(計算結果!I8),"",計算結果!I8)=0,"",IF(ISNA(計算結果!I8),"",計算結果!I8))</f>
        <v/>
      </c>
      <c r="J8" s="12" t="str">
        <f>IF(IF(ISNA(計算結果!J8),"",計算結果!J8)=0,"",IF(ISNA(計算結果!J8),"",計算結果!J8))</f>
        <v/>
      </c>
      <c r="K8" s="23" t="str">
        <f>IF(IF(ISNA(計算結果!K8),"",計算結果!K8)=0,"",IF(ISNA(計算結果!K8),"",計算結果!K8))</f>
        <v/>
      </c>
      <c r="L8" s="13" t="str">
        <f>IF(IF(ISNA(計算結果!L8),"",計算結果!L8)=0,"",IF(ISNA(計算結果!L8),"",計算結果!L8))</f>
        <v/>
      </c>
      <c r="M8" s="10" t="str">
        <f>IF(IF(ISNA(計算結果!M8),"",計算結果!M8)=0,"",IF(ISNA(計算結果!M8),"",計算結果!M8))</f>
        <v/>
      </c>
      <c r="N8" s="10" t="str">
        <f>IF(IF(ISNA(計算結果!N8),"",計算結果!N8)=0,"",IF(ISNA(計算結果!N8),"",計算結果!N8))</f>
        <v/>
      </c>
      <c r="O8" s="13" t="str">
        <f>IF(IF(ISNA(計算結果!O8),"",計算結果!O8)=0,"",IF(ISNA(計算結果!O8),"",計算結果!O8))</f>
        <v/>
      </c>
      <c r="P8" s="10" t="str">
        <f>IF(IF(ISNA(計算結果!P8),"",計算結果!P8)=0,"",IF(ISNA(計算結果!P8),"",計算結果!P8))</f>
        <v/>
      </c>
      <c r="Q8" s="10" t="str">
        <f>IF(IF(ISNA(計算結果!Q8),"",計算結果!Q8)=0,"",IF(ISNA(計算結果!Q8),"",計算結果!Q8))</f>
        <v/>
      </c>
      <c r="R8" s="14" t="str">
        <f t="shared" si="0"/>
        <v/>
      </c>
      <c r="S8" s="14" t="str">
        <f t="shared" si="1"/>
        <v>◯</v>
      </c>
      <c r="T8" s="14" t="str">
        <f t="shared" si="2"/>
        <v/>
      </c>
    </row>
    <row r="9" spans="1:20" hidden="1" x14ac:dyDescent="0.45">
      <c r="A9" s="10" t="str">
        <f>IF(IF(ISNA(計算結果!A9),"",計算結果!A9)=0,"",IF(ISNA(計算結果!A9),"",計算結果!A9))</f>
        <v/>
      </c>
      <c r="B9" s="10" t="str">
        <f>IF(IF(ISNA(計算結果!B9),"",計算結果!B9)=0,"",IF(ISNA(計算結果!B9),"",計算結果!B9))</f>
        <v/>
      </c>
      <c r="C9" s="10" t="str">
        <f>IF(IF(ISNA(計算結果!C9),"",計算結果!C9)=0,"",IF(ISNA(計算結果!C9),"",計算結果!C9))</f>
        <v/>
      </c>
      <c r="D9" s="10" t="str">
        <f>IF(IF(ISNA(計算結果!D9),"",計算結果!D9)=0,"",IF(ISNA(計算結果!D9),"",計算結果!D9))</f>
        <v>L</v>
      </c>
      <c r="E9" s="10" t="str">
        <f>IF(IF(ISNA(計算結果!E9),"",計算結果!E9)=0,"",IF(ISNA(計算結果!E9),"",計算結果!E9))</f>
        <v/>
      </c>
      <c r="F9" s="10" t="str">
        <f>IF(IF(ISNA(計算結果!F9),"",計算結果!F9)=0,"",IF(ISNA(計算結果!F9),"",計算結果!F9))</f>
        <v/>
      </c>
      <c r="G9" s="10" t="str">
        <f>IF(IF(ISNA(計算結果!G9),"",計算結果!G9)=0,"",IF(ISNA(計算結果!G9),"",計算結果!G9))</f>
        <v/>
      </c>
      <c r="H9" s="13">
        <f>IF(IF(ISNA(計算結果!H9),"",計算結果!H9)=0,"",IF(ISNA(計算結果!H9),"",計算結果!H9))</f>
        <v>-2</v>
      </c>
      <c r="I9" s="12" t="str">
        <f>IF(IF(ISNA(計算結果!I9),"",計算結果!I9)=0,"",IF(ISNA(計算結果!I9),"",計算結果!I9))</f>
        <v/>
      </c>
      <c r="J9" s="12" t="str">
        <f>IF(IF(ISNA(計算結果!J9),"",計算結果!J9)=0,"",IF(ISNA(計算結果!J9),"",計算結果!J9))</f>
        <v/>
      </c>
      <c r="K9" s="23" t="str">
        <f>IF(IF(ISNA(計算結果!K9),"",計算結果!K9)=0,"",IF(ISNA(計算結果!K9),"",計算結果!K9))</f>
        <v/>
      </c>
      <c r="L9" s="13" t="str">
        <f>IF(IF(ISNA(計算結果!L9),"",計算結果!L9)=0,"",IF(ISNA(計算結果!L9),"",計算結果!L9))</f>
        <v/>
      </c>
      <c r="M9" s="10" t="str">
        <f>IF(IF(ISNA(計算結果!M9),"",計算結果!M9)=0,"",IF(ISNA(計算結果!M9),"",計算結果!M9))</f>
        <v/>
      </c>
      <c r="N9" s="10" t="str">
        <f>IF(IF(ISNA(計算結果!N9),"",計算結果!N9)=0,"",IF(ISNA(計算結果!N9),"",計算結果!N9))</f>
        <v/>
      </c>
      <c r="O9" s="13" t="str">
        <f>IF(IF(ISNA(計算結果!O9),"",計算結果!O9)=0,"",IF(ISNA(計算結果!O9),"",計算結果!O9))</f>
        <v/>
      </c>
      <c r="P9" s="10" t="str">
        <f>IF(IF(ISNA(計算結果!P9),"",計算結果!P9)=0,"",IF(ISNA(計算結果!P9),"",計算結果!P9))</f>
        <v/>
      </c>
      <c r="Q9" s="10" t="str">
        <f>IF(IF(ISNA(計算結果!Q9),"",計算結果!Q9)=0,"",IF(ISNA(計算結果!Q9),"",計算結果!Q9))</f>
        <v/>
      </c>
      <c r="R9" s="14" t="str">
        <f t="shared" si="0"/>
        <v/>
      </c>
      <c r="S9" s="14" t="str">
        <f t="shared" si="1"/>
        <v>◯</v>
      </c>
      <c r="T9" s="14" t="str">
        <f t="shared" si="2"/>
        <v/>
      </c>
    </row>
    <row r="10" spans="1:20" hidden="1" x14ac:dyDescent="0.45">
      <c r="A10" s="10" t="str">
        <f>IF(IF(ISNA(計算結果!A10),"",計算結果!A10)=0,"",IF(ISNA(計算結果!A10),"",計算結果!A10))</f>
        <v/>
      </c>
      <c r="B10" s="10" t="str">
        <f>IF(IF(ISNA(計算結果!B10),"",計算結果!B10)=0,"",IF(ISNA(計算結果!B10),"",計算結果!B10))</f>
        <v/>
      </c>
      <c r="C10" s="10" t="str">
        <f>IF(IF(ISNA(計算結果!C10),"",計算結果!C10)=0,"",IF(ISNA(計算結果!C10),"",計算結果!C10))</f>
        <v/>
      </c>
      <c r="D10" s="10" t="str">
        <f>IF(IF(ISNA(計算結果!D10),"",計算結果!D10)=0,"",IF(ISNA(計算結果!D10),"",計算結果!D10))</f>
        <v>L</v>
      </c>
      <c r="E10" s="10" t="str">
        <f>IF(IF(ISNA(計算結果!E10),"",計算結果!E10)=0,"",IF(ISNA(計算結果!E10),"",計算結果!E10))</f>
        <v/>
      </c>
      <c r="F10" s="10" t="str">
        <f>IF(IF(ISNA(計算結果!F10),"",計算結果!F10)=0,"",IF(ISNA(計算結果!F10),"",計算結果!F10))</f>
        <v/>
      </c>
      <c r="G10" s="10" t="str">
        <f>IF(IF(ISNA(計算結果!G10),"",計算結果!G10)=0,"",IF(ISNA(計算結果!G10),"",計算結果!G10))</f>
        <v/>
      </c>
      <c r="H10" s="13">
        <f>IF(IF(ISNA(計算結果!H10),"",計算結果!H10)=0,"",IF(ISNA(計算結果!H10),"",計算結果!H10))</f>
        <v>-2</v>
      </c>
      <c r="I10" s="12" t="str">
        <f>IF(IF(ISNA(計算結果!I10),"",計算結果!I10)=0,"",IF(ISNA(計算結果!I10),"",計算結果!I10))</f>
        <v/>
      </c>
      <c r="J10" s="12" t="str">
        <f>IF(IF(ISNA(計算結果!J10),"",計算結果!J10)=0,"",IF(ISNA(計算結果!J10),"",計算結果!J10))</f>
        <v/>
      </c>
      <c r="K10" s="23" t="str">
        <f>IF(IF(ISNA(計算結果!K10),"",計算結果!K10)=0,"",IF(ISNA(計算結果!K10),"",計算結果!K10))</f>
        <v/>
      </c>
      <c r="L10" s="13" t="str">
        <f>IF(IF(ISNA(計算結果!L10),"",計算結果!L10)=0,"",IF(ISNA(計算結果!L10),"",計算結果!L10))</f>
        <v/>
      </c>
      <c r="M10" s="10" t="str">
        <f>IF(IF(ISNA(計算結果!M10),"",計算結果!M10)=0,"",IF(ISNA(計算結果!M10),"",計算結果!M10))</f>
        <v/>
      </c>
      <c r="N10" s="10" t="str">
        <f>IF(IF(ISNA(計算結果!N10),"",計算結果!N10)=0,"",IF(ISNA(計算結果!N10),"",計算結果!N10))</f>
        <v/>
      </c>
      <c r="O10" s="13" t="str">
        <f>IF(IF(ISNA(計算結果!O10),"",計算結果!O10)=0,"",IF(ISNA(計算結果!O10),"",計算結果!O10))</f>
        <v/>
      </c>
      <c r="P10" s="10" t="str">
        <f>IF(IF(ISNA(計算結果!P10),"",計算結果!P10)=0,"",IF(ISNA(計算結果!P10),"",計算結果!P10))</f>
        <v/>
      </c>
      <c r="Q10" s="10" t="str">
        <f>IF(IF(ISNA(計算結果!Q10),"",計算結果!Q10)=0,"",IF(ISNA(計算結果!Q10),"",計算結果!Q10))</f>
        <v/>
      </c>
      <c r="R10" s="14" t="str">
        <f t="shared" si="0"/>
        <v/>
      </c>
      <c r="S10" s="14" t="str">
        <f t="shared" si="1"/>
        <v>◯</v>
      </c>
      <c r="T10" s="14" t="str">
        <f t="shared" si="2"/>
        <v/>
      </c>
    </row>
    <row r="11" spans="1:20" hidden="1" x14ac:dyDescent="0.45">
      <c r="A11" s="10" t="str">
        <f>IF(IF(ISNA(計算結果!A11),"",計算結果!A11)=0,"",IF(ISNA(計算結果!A11),"",計算結果!A11))</f>
        <v/>
      </c>
      <c r="B11" s="10" t="str">
        <f>IF(IF(ISNA(計算結果!B11),"",計算結果!B11)=0,"",IF(ISNA(計算結果!B11),"",計算結果!B11))</f>
        <v/>
      </c>
      <c r="C11" s="10" t="str">
        <f>IF(IF(ISNA(計算結果!C11),"",計算結果!C11)=0,"",IF(ISNA(計算結果!C11),"",計算結果!C11))</f>
        <v/>
      </c>
      <c r="D11" s="10" t="str">
        <f>IF(IF(ISNA(計算結果!D11),"",計算結果!D11)=0,"",IF(ISNA(計算結果!D11),"",計算結果!D11))</f>
        <v>L</v>
      </c>
      <c r="E11" s="10" t="str">
        <f>IF(IF(ISNA(計算結果!E11),"",計算結果!E11)=0,"",IF(ISNA(計算結果!E11),"",計算結果!E11))</f>
        <v/>
      </c>
      <c r="F11" s="10" t="str">
        <f>IF(IF(ISNA(計算結果!F11),"",計算結果!F11)=0,"",IF(ISNA(計算結果!F11),"",計算結果!F11))</f>
        <v/>
      </c>
      <c r="G11" s="10" t="str">
        <f>IF(IF(ISNA(計算結果!G11),"",計算結果!G11)=0,"",IF(ISNA(計算結果!G11),"",計算結果!G11))</f>
        <v/>
      </c>
      <c r="H11" s="13">
        <f>IF(IF(ISNA(計算結果!H11),"",計算結果!H11)=0,"",IF(ISNA(計算結果!H11),"",計算結果!H11))</f>
        <v>-2</v>
      </c>
      <c r="I11" s="12" t="str">
        <f>IF(IF(ISNA(計算結果!I11),"",計算結果!I11)=0,"",IF(ISNA(計算結果!I11),"",計算結果!I11))</f>
        <v/>
      </c>
      <c r="J11" s="12" t="str">
        <f>IF(IF(ISNA(計算結果!J11),"",計算結果!J11)=0,"",IF(ISNA(計算結果!J11),"",計算結果!J11))</f>
        <v/>
      </c>
      <c r="K11" s="23" t="str">
        <f>IF(IF(ISNA(計算結果!K11),"",計算結果!K11)=0,"",IF(ISNA(計算結果!K11),"",計算結果!K11))</f>
        <v/>
      </c>
      <c r="L11" s="13" t="str">
        <f>IF(IF(ISNA(計算結果!L11),"",計算結果!L11)=0,"",IF(ISNA(計算結果!L11),"",計算結果!L11))</f>
        <v/>
      </c>
      <c r="M11" s="10" t="str">
        <f>IF(IF(ISNA(計算結果!M11),"",計算結果!M11)=0,"",IF(ISNA(計算結果!M11),"",計算結果!M11))</f>
        <v/>
      </c>
      <c r="N11" s="10" t="str">
        <f>IF(IF(ISNA(計算結果!N11),"",計算結果!N11)=0,"",IF(ISNA(計算結果!N11),"",計算結果!N11))</f>
        <v/>
      </c>
      <c r="O11" s="13" t="str">
        <f>IF(IF(ISNA(計算結果!O11),"",計算結果!O11)=0,"",IF(ISNA(計算結果!O11),"",計算結果!O11))</f>
        <v/>
      </c>
      <c r="P11" s="10" t="str">
        <f>IF(IF(ISNA(計算結果!P11),"",計算結果!P11)=0,"",IF(ISNA(計算結果!P11),"",計算結果!P11))</f>
        <v/>
      </c>
      <c r="Q11" s="10" t="str">
        <f>IF(IF(ISNA(計算結果!Q11),"",計算結果!Q11)=0,"",IF(ISNA(計算結果!Q11),"",計算結果!Q11))</f>
        <v/>
      </c>
      <c r="R11" s="14" t="str">
        <f t="shared" si="0"/>
        <v/>
      </c>
      <c r="S11" s="14" t="str">
        <f t="shared" si="1"/>
        <v>◯</v>
      </c>
      <c r="T11" s="14" t="str">
        <f t="shared" si="2"/>
        <v/>
      </c>
    </row>
    <row r="12" spans="1:20" hidden="1" x14ac:dyDescent="0.45">
      <c r="A12" s="10" t="str">
        <f>IF(IF(ISNA(計算結果!A12),"",計算結果!A12)=0,"",IF(ISNA(計算結果!A12),"",計算結果!A12))</f>
        <v/>
      </c>
      <c r="B12" s="10" t="str">
        <f>IF(IF(ISNA(計算結果!B12),"",計算結果!B12)=0,"",IF(ISNA(計算結果!B12),"",計算結果!B12))</f>
        <v/>
      </c>
      <c r="C12" s="10" t="str">
        <f>IF(IF(ISNA(計算結果!C12),"",計算結果!C12)=0,"",IF(ISNA(計算結果!C12),"",計算結果!C12))</f>
        <v/>
      </c>
      <c r="D12" s="10" t="str">
        <f>IF(IF(ISNA(計算結果!D12),"",計算結果!D12)=0,"",IF(ISNA(計算結果!D12),"",計算結果!D12))</f>
        <v>L</v>
      </c>
      <c r="E12" s="10" t="str">
        <f>IF(IF(ISNA(計算結果!E12),"",計算結果!E12)=0,"",IF(ISNA(計算結果!E12),"",計算結果!E12))</f>
        <v/>
      </c>
      <c r="F12" s="10" t="str">
        <f>IF(IF(ISNA(計算結果!F12),"",計算結果!F12)=0,"",IF(ISNA(計算結果!F12),"",計算結果!F12))</f>
        <v/>
      </c>
      <c r="G12" s="10" t="str">
        <f>IF(IF(ISNA(計算結果!G12),"",計算結果!G12)=0,"",IF(ISNA(計算結果!G12),"",計算結果!G12))</f>
        <v/>
      </c>
      <c r="H12" s="13">
        <f>IF(IF(ISNA(計算結果!H12),"",計算結果!H12)=0,"",IF(ISNA(計算結果!H12),"",計算結果!H12))</f>
        <v>-2</v>
      </c>
      <c r="I12" s="12" t="str">
        <f>IF(IF(ISNA(計算結果!I12),"",計算結果!I12)=0,"",IF(ISNA(計算結果!I12),"",計算結果!I12))</f>
        <v/>
      </c>
      <c r="J12" s="12" t="str">
        <f>IF(IF(ISNA(計算結果!J12),"",計算結果!J12)=0,"",IF(ISNA(計算結果!J12),"",計算結果!J12))</f>
        <v/>
      </c>
      <c r="K12" s="23" t="str">
        <f>IF(IF(ISNA(計算結果!K12),"",計算結果!K12)=0,"",IF(ISNA(計算結果!K12),"",計算結果!K12))</f>
        <v/>
      </c>
      <c r="L12" s="13" t="str">
        <f>IF(IF(ISNA(計算結果!L12),"",計算結果!L12)=0,"",IF(ISNA(計算結果!L12),"",計算結果!L12))</f>
        <v/>
      </c>
      <c r="M12" s="10" t="str">
        <f>IF(IF(ISNA(計算結果!M12),"",計算結果!M12)=0,"",IF(ISNA(計算結果!M12),"",計算結果!M12))</f>
        <v/>
      </c>
      <c r="N12" s="10" t="str">
        <f>IF(IF(ISNA(計算結果!N12),"",計算結果!N12)=0,"",IF(ISNA(計算結果!N12),"",計算結果!N12))</f>
        <v/>
      </c>
      <c r="O12" s="13" t="str">
        <f>IF(IF(ISNA(計算結果!O12),"",計算結果!O12)=0,"",IF(ISNA(計算結果!O12),"",計算結果!O12))</f>
        <v/>
      </c>
      <c r="P12" s="10" t="str">
        <f>IF(IF(ISNA(計算結果!P12),"",計算結果!P12)=0,"",IF(ISNA(計算結果!P12),"",計算結果!P12))</f>
        <v/>
      </c>
      <c r="Q12" s="10" t="str">
        <f>IF(IF(ISNA(計算結果!Q12),"",計算結果!Q12)=0,"",IF(ISNA(計算結果!Q12),"",計算結果!Q12))</f>
        <v/>
      </c>
      <c r="R12" s="14" t="str">
        <f t="shared" si="0"/>
        <v/>
      </c>
      <c r="S12" s="14" t="str">
        <f t="shared" si="1"/>
        <v>◯</v>
      </c>
      <c r="T12" s="14" t="str">
        <f t="shared" si="2"/>
        <v/>
      </c>
    </row>
    <row r="13" spans="1:20" hidden="1" x14ac:dyDescent="0.45">
      <c r="A13" s="10" t="str">
        <f>IF(IF(ISNA(計算結果!A13),"",計算結果!A13)=0,"",IF(ISNA(計算結果!A13),"",計算結果!A13))</f>
        <v/>
      </c>
      <c r="B13" s="10" t="str">
        <f>IF(IF(ISNA(計算結果!B13),"",計算結果!B13)=0,"",IF(ISNA(計算結果!B13),"",計算結果!B13))</f>
        <v/>
      </c>
      <c r="C13" s="10" t="str">
        <f>IF(IF(ISNA(計算結果!C13),"",計算結果!C13)=0,"",IF(ISNA(計算結果!C13),"",計算結果!C13))</f>
        <v/>
      </c>
      <c r="D13" s="10" t="str">
        <f>IF(IF(ISNA(計算結果!D13),"",計算結果!D13)=0,"",IF(ISNA(計算結果!D13),"",計算結果!D13))</f>
        <v>L</v>
      </c>
      <c r="E13" s="10" t="str">
        <f>IF(IF(ISNA(計算結果!E13),"",計算結果!E13)=0,"",IF(ISNA(計算結果!E13),"",計算結果!E13))</f>
        <v/>
      </c>
      <c r="F13" s="10" t="str">
        <f>IF(IF(ISNA(計算結果!F13),"",計算結果!F13)=0,"",IF(ISNA(計算結果!F13),"",計算結果!F13))</f>
        <v/>
      </c>
      <c r="G13" s="10" t="str">
        <f>IF(IF(ISNA(計算結果!G13),"",計算結果!G13)=0,"",IF(ISNA(計算結果!G13),"",計算結果!G13))</f>
        <v/>
      </c>
      <c r="H13" s="13">
        <f>IF(IF(ISNA(計算結果!H13),"",計算結果!H13)=0,"",IF(ISNA(計算結果!H13),"",計算結果!H13))</f>
        <v>-2</v>
      </c>
      <c r="I13" s="12" t="str">
        <f>IF(IF(ISNA(計算結果!I13),"",計算結果!I13)=0,"",IF(ISNA(計算結果!I13),"",計算結果!I13))</f>
        <v/>
      </c>
      <c r="J13" s="12" t="str">
        <f>IF(IF(ISNA(計算結果!J13),"",計算結果!J13)=0,"",IF(ISNA(計算結果!J13),"",計算結果!J13))</f>
        <v/>
      </c>
      <c r="K13" s="23" t="str">
        <f>IF(IF(ISNA(計算結果!K13),"",計算結果!K13)=0,"",IF(ISNA(計算結果!K13),"",計算結果!K13))</f>
        <v/>
      </c>
      <c r="L13" s="13" t="str">
        <f>IF(IF(ISNA(計算結果!L13),"",計算結果!L13)=0,"",IF(ISNA(計算結果!L13),"",計算結果!L13))</f>
        <v/>
      </c>
      <c r="M13" s="10" t="str">
        <f>IF(IF(ISNA(計算結果!M13),"",計算結果!M13)=0,"",IF(ISNA(計算結果!M13),"",計算結果!M13))</f>
        <v/>
      </c>
      <c r="N13" s="10" t="str">
        <f>IF(IF(ISNA(計算結果!N13),"",計算結果!N13)=0,"",IF(ISNA(計算結果!N13),"",計算結果!N13))</f>
        <v/>
      </c>
      <c r="O13" s="13" t="str">
        <f>IF(IF(ISNA(計算結果!O13),"",計算結果!O13)=0,"",IF(ISNA(計算結果!O13),"",計算結果!O13))</f>
        <v/>
      </c>
      <c r="P13" s="10" t="str">
        <f>IF(IF(ISNA(計算結果!P13),"",計算結果!P13)=0,"",IF(ISNA(計算結果!P13),"",計算結果!P13))</f>
        <v/>
      </c>
      <c r="Q13" s="10" t="str">
        <f>IF(IF(ISNA(計算結果!Q13),"",計算結果!Q13)=0,"",IF(ISNA(計算結果!Q13),"",計算結果!Q13))</f>
        <v/>
      </c>
      <c r="R13" s="14" t="str">
        <f t="shared" si="0"/>
        <v/>
      </c>
      <c r="S13" s="14" t="str">
        <f t="shared" si="1"/>
        <v>◯</v>
      </c>
      <c r="T13" s="14" t="str">
        <f t="shared" si="2"/>
        <v/>
      </c>
    </row>
    <row r="14" spans="1:20" hidden="1" x14ac:dyDescent="0.45">
      <c r="A14" s="10" t="str">
        <f>IF(IF(ISNA(計算結果!A14),"",計算結果!A14)=0,"",IF(ISNA(計算結果!A14),"",計算結果!A14))</f>
        <v/>
      </c>
      <c r="B14" s="10" t="str">
        <f>IF(IF(ISNA(計算結果!B14),"",計算結果!B14)=0,"",IF(ISNA(計算結果!B14),"",計算結果!B14))</f>
        <v/>
      </c>
      <c r="C14" s="10" t="str">
        <f>IF(IF(ISNA(計算結果!C14),"",計算結果!C14)=0,"",IF(ISNA(計算結果!C14),"",計算結果!C14))</f>
        <v/>
      </c>
      <c r="D14" s="10" t="str">
        <f>IF(IF(ISNA(計算結果!D14),"",計算結果!D14)=0,"",IF(ISNA(計算結果!D14),"",計算結果!D14))</f>
        <v>L</v>
      </c>
      <c r="E14" s="10" t="str">
        <f>IF(IF(ISNA(計算結果!E14),"",計算結果!E14)=0,"",IF(ISNA(計算結果!E14),"",計算結果!E14))</f>
        <v/>
      </c>
      <c r="F14" s="10" t="str">
        <f>IF(IF(ISNA(計算結果!F14),"",計算結果!F14)=0,"",IF(ISNA(計算結果!F14),"",計算結果!F14))</f>
        <v/>
      </c>
      <c r="G14" s="10" t="str">
        <f>IF(IF(ISNA(計算結果!G14),"",計算結果!G14)=0,"",IF(ISNA(計算結果!G14),"",計算結果!G14))</f>
        <v/>
      </c>
      <c r="H14" s="13">
        <f>IF(IF(ISNA(計算結果!H14),"",計算結果!H14)=0,"",IF(ISNA(計算結果!H14),"",計算結果!H14))</f>
        <v>-2</v>
      </c>
      <c r="I14" s="12" t="str">
        <f>IF(IF(ISNA(計算結果!I14),"",計算結果!I14)=0,"",IF(ISNA(計算結果!I14),"",計算結果!I14))</f>
        <v/>
      </c>
      <c r="J14" s="12" t="str">
        <f>IF(IF(ISNA(計算結果!J14),"",計算結果!J14)=0,"",IF(ISNA(計算結果!J14),"",計算結果!J14))</f>
        <v/>
      </c>
      <c r="K14" s="23" t="str">
        <f>IF(IF(ISNA(計算結果!K14),"",計算結果!K14)=0,"",IF(ISNA(計算結果!K14),"",計算結果!K14))</f>
        <v/>
      </c>
      <c r="L14" s="13" t="str">
        <f>IF(IF(ISNA(計算結果!L14),"",計算結果!L14)=0,"",IF(ISNA(計算結果!L14),"",計算結果!L14))</f>
        <v/>
      </c>
      <c r="M14" s="10" t="str">
        <f>IF(IF(ISNA(計算結果!M14),"",計算結果!M14)=0,"",IF(ISNA(計算結果!M14),"",計算結果!M14))</f>
        <v/>
      </c>
      <c r="N14" s="10" t="str">
        <f>IF(IF(ISNA(計算結果!N14),"",計算結果!N14)=0,"",IF(ISNA(計算結果!N14),"",計算結果!N14))</f>
        <v/>
      </c>
      <c r="O14" s="13" t="str">
        <f>IF(IF(ISNA(計算結果!O14),"",計算結果!O14)=0,"",IF(ISNA(計算結果!O14),"",計算結果!O14))</f>
        <v/>
      </c>
      <c r="P14" s="10" t="str">
        <f>IF(IF(ISNA(計算結果!P14),"",計算結果!P14)=0,"",IF(ISNA(計算結果!P14),"",計算結果!P14))</f>
        <v/>
      </c>
      <c r="Q14" s="10" t="str">
        <f>IF(IF(ISNA(計算結果!Q14),"",計算結果!Q14)=0,"",IF(ISNA(計算結果!Q14),"",計算結果!Q14))</f>
        <v/>
      </c>
      <c r="R14" s="14" t="str">
        <f t="shared" si="0"/>
        <v/>
      </c>
      <c r="S14" s="14" t="str">
        <f t="shared" si="1"/>
        <v>◯</v>
      </c>
      <c r="T14" s="14" t="str">
        <f t="shared" si="2"/>
        <v/>
      </c>
    </row>
    <row r="15" spans="1:20" hidden="1" x14ac:dyDescent="0.45">
      <c r="A15" s="10" t="str">
        <f>IF(IF(ISNA(計算結果!A15),"",計算結果!A15)=0,"",IF(ISNA(計算結果!A15),"",計算結果!A15))</f>
        <v/>
      </c>
      <c r="B15" s="10" t="str">
        <f>IF(IF(ISNA(計算結果!B15),"",計算結果!B15)=0,"",IF(ISNA(計算結果!B15),"",計算結果!B15))</f>
        <v/>
      </c>
      <c r="C15" s="10" t="str">
        <f>IF(IF(ISNA(計算結果!C15),"",計算結果!C15)=0,"",IF(ISNA(計算結果!C15),"",計算結果!C15))</f>
        <v/>
      </c>
      <c r="D15" s="10" t="str">
        <f>IF(IF(ISNA(計算結果!D15),"",計算結果!D15)=0,"",IF(ISNA(計算結果!D15),"",計算結果!D15))</f>
        <v>L</v>
      </c>
      <c r="E15" s="10" t="str">
        <f>IF(IF(ISNA(計算結果!E15),"",計算結果!E15)=0,"",IF(ISNA(計算結果!E15),"",計算結果!E15))</f>
        <v/>
      </c>
      <c r="F15" s="10" t="str">
        <f>IF(IF(ISNA(計算結果!F15),"",計算結果!F15)=0,"",IF(ISNA(計算結果!F15),"",計算結果!F15))</f>
        <v/>
      </c>
      <c r="G15" s="10" t="str">
        <f>IF(IF(ISNA(計算結果!G15),"",計算結果!G15)=0,"",IF(ISNA(計算結果!G15),"",計算結果!G15))</f>
        <v/>
      </c>
      <c r="H15" s="13">
        <f>IF(IF(ISNA(計算結果!H15),"",計算結果!H15)=0,"",IF(ISNA(計算結果!H15),"",計算結果!H15))</f>
        <v>-2</v>
      </c>
      <c r="I15" s="12" t="str">
        <f>IF(IF(ISNA(計算結果!I15),"",計算結果!I15)=0,"",IF(ISNA(計算結果!I15),"",計算結果!I15))</f>
        <v/>
      </c>
      <c r="J15" s="12" t="str">
        <f>IF(IF(ISNA(計算結果!J15),"",計算結果!J15)=0,"",IF(ISNA(計算結果!J15),"",計算結果!J15))</f>
        <v/>
      </c>
      <c r="K15" s="23" t="str">
        <f>IF(IF(ISNA(計算結果!K15),"",計算結果!K15)=0,"",IF(ISNA(計算結果!K15),"",計算結果!K15))</f>
        <v/>
      </c>
      <c r="L15" s="13" t="str">
        <f>IF(IF(ISNA(計算結果!L15),"",計算結果!L15)=0,"",IF(ISNA(計算結果!L15),"",計算結果!L15))</f>
        <v/>
      </c>
      <c r="M15" s="10" t="str">
        <f>IF(IF(ISNA(計算結果!M15),"",計算結果!M15)=0,"",IF(ISNA(計算結果!M15),"",計算結果!M15))</f>
        <v/>
      </c>
      <c r="N15" s="10" t="str">
        <f>IF(IF(ISNA(計算結果!N15),"",計算結果!N15)=0,"",IF(ISNA(計算結果!N15),"",計算結果!N15))</f>
        <v/>
      </c>
      <c r="O15" s="13" t="str">
        <f>IF(IF(ISNA(計算結果!O15),"",計算結果!O15)=0,"",IF(ISNA(計算結果!O15),"",計算結果!O15))</f>
        <v/>
      </c>
      <c r="P15" s="10" t="str">
        <f>IF(IF(ISNA(計算結果!P15),"",計算結果!P15)=0,"",IF(ISNA(計算結果!P15),"",計算結果!P15))</f>
        <v/>
      </c>
      <c r="Q15" s="10" t="str">
        <f>IF(IF(ISNA(計算結果!Q15),"",計算結果!Q15)=0,"",IF(ISNA(計算結果!Q15),"",計算結果!Q15))</f>
        <v/>
      </c>
      <c r="R15" s="14" t="str">
        <f t="shared" si="0"/>
        <v/>
      </c>
      <c r="S15" s="14" t="str">
        <f t="shared" si="1"/>
        <v>◯</v>
      </c>
      <c r="T15" s="14" t="str">
        <f t="shared" si="2"/>
        <v/>
      </c>
    </row>
    <row r="16" spans="1:20" hidden="1" x14ac:dyDescent="0.45">
      <c r="A16" s="10" t="str">
        <f>IF(IF(ISNA(計算結果!A16),"",計算結果!A16)=0,"",IF(ISNA(計算結果!A16),"",計算結果!A16))</f>
        <v/>
      </c>
      <c r="B16" s="10" t="str">
        <f>IF(IF(ISNA(計算結果!B16),"",計算結果!B16)=0,"",IF(ISNA(計算結果!B16),"",計算結果!B16))</f>
        <v/>
      </c>
      <c r="C16" s="10" t="str">
        <f>IF(IF(ISNA(計算結果!C16),"",計算結果!C16)=0,"",IF(ISNA(計算結果!C16),"",計算結果!C16))</f>
        <v/>
      </c>
      <c r="D16" s="10" t="str">
        <f>IF(IF(ISNA(計算結果!D16),"",計算結果!D16)=0,"",IF(ISNA(計算結果!D16),"",計算結果!D16))</f>
        <v>L</v>
      </c>
      <c r="E16" s="10" t="str">
        <f>IF(IF(ISNA(計算結果!E16),"",計算結果!E16)=0,"",IF(ISNA(計算結果!E16),"",計算結果!E16))</f>
        <v/>
      </c>
      <c r="F16" s="10" t="str">
        <f>IF(IF(ISNA(計算結果!F16),"",計算結果!F16)=0,"",IF(ISNA(計算結果!F16),"",計算結果!F16))</f>
        <v/>
      </c>
      <c r="G16" s="10" t="str">
        <f>IF(IF(ISNA(計算結果!G16),"",計算結果!G16)=0,"",IF(ISNA(計算結果!G16),"",計算結果!G16))</f>
        <v/>
      </c>
      <c r="H16" s="13">
        <f>IF(IF(ISNA(計算結果!H16),"",計算結果!H16)=0,"",IF(ISNA(計算結果!H16),"",計算結果!H16))</f>
        <v>-2</v>
      </c>
      <c r="I16" s="12" t="str">
        <f>IF(IF(ISNA(計算結果!I16),"",計算結果!I16)=0,"",IF(ISNA(計算結果!I16),"",計算結果!I16))</f>
        <v/>
      </c>
      <c r="J16" s="12" t="str">
        <f>IF(IF(ISNA(計算結果!J16),"",計算結果!J16)=0,"",IF(ISNA(計算結果!J16),"",計算結果!J16))</f>
        <v/>
      </c>
      <c r="K16" s="23" t="str">
        <f>IF(IF(ISNA(計算結果!K16),"",計算結果!K16)=0,"",IF(ISNA(計算結果!K16),"",計算結果!K16))</f>
        <v/>
      </c>
      <c r="L16" s="13" t="str">
        <f>IF(IF(ISNA(計算結果!L16),"",計算結果!L16)=0,"",IF(ISNA(計算結果!L16),"",計算結果!L16))</f>
        <v/>
      </c>
      <c r="M16" s="10" t="str">
        <f>IF(IF(ISNA(計算結果!M16),"",計算結果!M16)=0,"",IF(ISNA(計算結果!M16),"",計算結果!M16))</f>
        <v/>
      </c>
      <c r="N16" s="10" t="str">
        <f>IF(IF(ISNA(計算結果!N16),"",計算結果!N16)=0,"",IF(ISNA(計算結果!N16),"",計算結果!N16))</f>
        <v/>
      </c>
      <c r="O16" s="13" t="str">
        <f>IF(IF(ISNA(計算結果!O16),"",計算結果!O16)=0,"",IF(ISNA(計算結果!O16),"",計算結果!O16))</f>
        <v/>
      </c>
      <c r="P16" s="10" t="str">
        <f>IF(IF(ISNA(計算結果!P16),"",計算結果!P16)=0,"",IF(ISNA(計算結果!P16),"",計算結果!P16))</f>
        <v/>
      </c>
      <c r="Q16" s="10" t="str">
        <f>IF(IF(ISNA(計算結果!Q16),"",計算結果!Q16)=0,"",IF(ISNA(計算結果!Q16),"",計算結果!Q16))</f>
        <v/>
      </c>
      <c r="R16" s="14" t="str">
        <f t="shared" si="0"/>
        <v/>
      </c>
      <c r="S16" s="14" t="str">
        <f t="shared" si="1"/>
        <v>◯</v>
      </c>
      <c r="T16" s="14" t="str">
        <f t="shared" si="2"/>
        <v/>
      </c>
    </row>
    <row r="17" spans="1:20" hidden="1" x14ac:dyDescent="0.45">
      <c r="A17" s="10" t="str">
        <f>IF(IF(ISNA(計算結果!A17),"",計算結果!A17)=0,"",IF(ISNA(計算結果!A17),"",計算結果!A17))</f>
        <v/>
      </c>
      <c r="B17" s="10" t="str">
        <f>IF(IF(ISNA(計算結果!B17),"",計算結果!B17)=0,"",IF(ISNA(計算結果!B17),"",計算結果!B17))</f>
        <v/>
      </c>
      <c r="C17" s="10" t="str">
        <f>IF(IF(ISNA(計算結果!C17),"",計算結果!C17)=0,"",IF(ISNA(計算結果!C17),"",計算結果!C17))</f>
        <v/>
      </c>
      <c r="D17" s="10" t="str">
        <f>IF(IF(ISNA(計算結果!D17),"",計算結果!D17)=0,"",IF(ISNA(計算結果!D17),"",計算結果!D17))</f>
        <v>L</v>
      </c>
      <c r="E17" s="10" t="str">
        <f>IF(IF(ISNA(計算結果!E17),"",計算結果!E17)=0,"",IF(ISNA(計算結果!E17),"",計算結果!E17))</f>
        <v/>
      </c>
      <c r="F17" s="10" t="str">
        <f>IF(IF(ISNA(計算結果!F17),"",計算結果!F17)=0,"",IF(ISNA(計算結果!F17),"",計算結果!F17))</f>
        <v/>
      </c>
      <c r="G17" s="10" t="str">
        <f>IF(IF(ISNA(計算結果!G17),"",計算結果!G17)=0,"",IF(ISNA(計算結果!G17),"",計算結果!G17))</f>
        <v/>
      </c>
      <c r="H17" s="13">
        <f>IF(IF(ISNA(計算結果!H17),"",計算結果!H17)=0,"",IF(ISNA(計算結果!H17),"",計算結果!H17))</f>
        <v>-2</v>
      </c>
      <c r="I17" s="12" t="str">
        <f>IF(IF(ISNA(計算結果!I17),"",計算結果!I17)=0,"",IF(ISNA(計算結果!I17),"",計算結果!I17))</f>
        <v/>
      </c>
      <c r="J17" s="12" t="str">
        <f>IF(IF(ISNA(計算結果!J17),"",計算結果!J17)=0,"",IF(ISNA(計算結果!J17),"",計算結果!J17))</f>
        <v/>
      </c>
      <c r="K17" s="23" t="str">
        <f>IF(IF(ISNA(計算結果!K17),"",計算結果!K17)=0,"",IF(ISNA(計算結果!K17),"",計算結果!K17))</f>
        <v/>
      </c>
      <c r="L17" s="13" t="str">
        <f>IF(IF(ISNA(計算結果!L17),"",計算結果!L17)=0,"",IF(ISNA(計算結果!L17),"",計算結果!L17))</f>
        <v/>
      </c>
      <c r="M17" s="10" t="str">
        <f>IF(IF(ISNA(計算結果!M17),"",計算結果!M17)=0,"",IF(ISNA(計算結果!M17),"",計算結果!M17))</f>
        <v/>
      </c>
      <c r="N17" s="10" t="str">
        <f>IF(IF(ISNA(計算結果!N17),"",計算結果!N17)=0,"",IF(ISNA(計算結果!N17),"",計算結果!N17))</f>
        <v/>
      </c>
      <c r="O17" s="13" t="str">
        <f>IF(IF(ISNA(計算結果!O17),"",計算結果!O17)=0,"",IF(ISNA(計算結果!O17),"",計算結果!O17))</f>
        <v/>
      </c>
      <c r="P17" s="10" t="str">
        <f>IF(IF(ISNA(計算結果!P17),"",計算結果!P17)=0,"",IF(ISNA(計算結果!P17),"",計算結果!P17))</f>
        <v/>
      </c>
      <c r="Q17" s="10" t="str">
        <f>IF(IF(ISNA(計算結果!Q17),"",計算結果!Q17)=0,"",IF(ISNA(計算結果!Q17),"",計算結果!Q17))</f>
        <v/>
      </c>
      <c r="R17" s="14" t="str">
        <f t="shared" si="0"/>
        <v/>
      </c>
      <c r="S17" s="14" t="str">
        <f t="shared" si="1"/>
        <v>◯</v>
      </c>
      <c r="T17" s="14" t="str">
        <f t="shared" si="2"/>
        <v/>
      </c>
    </row>
    <row r="18" spans="1:20" hidden="1" x14ac:dyDescent="0.45">
      <c r="A18" s="10" t="str">
        <f>IF(IF(ISNA(計算結果!A18),"",計算結果!A18)=0,"",IF(ISNA(計算結果!A18),"",計算結果!A18))</f>
        <v/>
      </c>
      <c r="B18" s="10" t="str">
        <f>IF(IF(ISNA(計算結果!B18),"",計算結果!B18)=0,"",IF(ISNA(計算結果!B18),"",計算結果!B18))</f>
        <v/>
      </c>
      <c r="C18" s="10" t="str">
        <f>IF(IF(ISNA(計算結果!C18),"",計算結果!C18)=0,"",IF(ISNA(計算結果!C18),"",計算結果!C18))</f>
        <v/>
      </c>
      <c r="D18" s="10" t="str">
        <f>IF(IF(ISNA(計算結果!D18),"",計算結果!D18)=0,"",IF(ISNA(計算結果!D18),"",計算結果!D18))</f>
        <v>L</v>
      </c>
      <c r="E18" s="10" t="str">
        <f>IF(IF(ISNA(計算結果!E18),"",計算結果!E18)=0,"",IF(ISNA(計算結果!E18),"",計算結果!E18))</f>
        <v/>
      </c>
      <c r="F18" s="10" t="str">
        <f>IF(IF(ISNA(計算結果!F18),"",計算結果!F18)=0,"",IF(ISNA(計算結果!F18),"",計算結果!F18))</f>
        <v/>
      </c>
      <c r="G18" s="10" t="str">
        <f>IF(IF(ISNA(計算結果!G18),"",計算結果!G18)=0,"",IF(ISNA(計算結果!G18),"",計算結果!G18))</f>
        <v/>
      </c>
      <c r="H18" s="13">
        <f>IF(IF(ISNA(計算結果!H18),"",計算結果!H18)=0,"",IF(ISNA(計算結果!H18),"",計算結果!H18))</f>
        <v>-2</v>
      </c>
      <c r="I18" s="12" t="str">
        <f>IF(IF(ISNA(計算結果!I18),"",計算結果!I18)=0,"",IF(ISNA(計算結果!I18),"",計算結果!I18))</f>
        <v/>
      </c>
      <c r="J18" s="12" t="str">
        <f>IF(IF(ISNA(計算結果!J18),"",計算結果!J18)=0,"",IF(ISNA(計算結果!J18),"",計算結果!J18))</f>
        <v/>
      </c>
      <c r="K18" s="23" t="str">
        <f>IF(IF(ISNA(計算結果!K18),"",計算結果!K18)=0,"",IF(ISNA(計算結果!K18),"",計算結果!K18))</f>
        <v/>
      </c>
      <c r="L18" s="13" t="str">
        <f>IF(IF(ISNA(計算結果!L18),"",計算結果!L18)=0,"",IF(ISNA(計算結果!L18),"",計算結果!L18))</f>
        <v/>
      </c>
      <c r="M18" s="10" t="str">
        <f>IF(IF(ISNA(計算結果!M18),"",計算結果!M18)=0,"",IF(ISNA(計算結果!M18),"",計算結果!M18))</f>
        <v/>
      </c>
      <c r="N18" s="10" t="str">
        <f>IF(IF(ISNA(計算結果!N18),"",計算結果!N18)=0,"",IF(ISNA(計算結果!N18),"",計算結果!N18))</f>
        <v/>
      </c>
      <c r="O18" s="13" t="str">
        <f>IF(IF(ISNA(計算結果!O18),"",計算結果!O18)=0,"",IF(ISNA(計算結果!O18),"",計算結果!O18))</f>
        <v/>
      </c>
      <c r="P18" s="10" t="str">
        <f>IF(IF(ISNA(計算結果!P18),"",計算結果!P18)=0,"",IF(ISNA(計算結果!P18),"",計算結果!P18))</f>
        <v/>
      </c>
      <c r="Q18" s="10" t="str">
        <f>IF(IF(ISNA(計算結果!Q18),"",計算結果!Q18)=0,"",IF(ISNA(計算結果!Q18),"",計算結果!Q18))</f>
        <v/>
      </c>
      <c r="R18" s="14" t="str">
        <f t="shared" si="0"/>
        <v/>
      </c>
      <c r="S18" s="14" t="str">
        <f t="shared" si="1"/>
        <v>◯</v>
      </c>
      <c r="T18" s="14" t="str">
        <f t="shared" si="2"/>
        <v/>
      </c>
    </row>
    <row r="19" spans="1:20" hidden="1" x14ac:dyDescent="0.45">
      <c r="A19" s="10" t="str">
        <f>IF(IF(ISNA(計算結果!A19),"",計算結果!A19)=0,"",IF(ISNA(計算結果!A19),"",計算結果!A19))</f>
        <v/>
      </c>
      <c r="B19" s="10" t="str">
        <f>IF(IF(ISNA(計算結果!B19),"",計算結果!B19)=0,"",IF(ISNA(計算結果!B19),"",計算結果!B19))</f>
        <v/>
      </c>
      <c r="C19" s="10" t="str">
        <f>IF(IF(ISNA(計算結果!C19),"",計算結果!C19)=0,"",IF(ISNA(計算結果!C19),"",計算結果!C19))</f>
        <v/>
      </c>
      <c r="D19" s="10" t="str">
        <f>IF(IF(ISNA(計算結果!D19),"",計算結果!D19)=0,"",IF(ISNA(計算結果!D19),"",計算結果!D19))</f>
        <v>L</v>
      </c>
      <c r="E19" s="10" t="str">
        <f>IF(IF(ISNA(計算結果!E19),"",計算結果!E19)=0,"",IF(ISNA(計算結果!E19),"",計算結果!E19))</f>
        <v/>
      </c>
      <c r="F19" s="10" t="str">
        <f>IF(IF(ISNA(計算結果!F19),"",計算結果!F19)=0,"",IF(ISNA(計算結果!F19),"",計算結果!F19))</f>
        <v/>
      </c>
      <c r="G19" s="10" t="str">
        <f>IF(IF(ISNA(計算結果!G19),"",計算結果!G19)=0,"",IF(ISNA(計算結果!G19),"",計算結果!G19))</f>
        <v/>
      </c>
      <c r="H19" s="13">
        <f>IF(IF(ISNA(計算結果!H19),"",計算結果!H19)=0,"",IF(ISNA(計算結果!H19),"",計算結果!H19))</f>
        <v>-2</v>
      </c>
      <c r="I19" s="12" t="str">
        <f>IF(IF(ISNA(計算結果!I19),"",計算結果!I19)=0,"",IF(ISNA(計算結果!I19),"",計算結果!I19))</f>
        <v/>
      </c>
      <c r="J19" s="12" t="str">
        <f>IF(IF(ISNA(計算結果!J19),"",計算結果!J19)=0,"",IF(ISNA(計算結果!J19),"",計算結果!J19))</f>
        <v/>
      </c>
      <c r="K19" s="23" t="str">
        <f>IF(IF(ISNA(計算結果!K19),"",計算結果!K19)=0,"",IF(ISNA(計算結果!K19),"",計算結果!K19))</f>
        <v/>
      </c>
      <c r="L19" s="13" t="str">
        <f>IF(IF(ISNA(計算結果!L19),"",計算結果!L19)=0,"",IF(ISNA(計算結果!L19),"",計算結果!L19))</f>
        <v/>
      </c>
      <c r="M19" s="10" t="str">
        <f>IF(IF(ISNA(計算結果!M19),"",計算結果!M19)=0,"",IF(ISNA(計算結果!M19),"",計算結果!M19))</f>
        <v/>
      </c>
      <c r="N19" s="10" t="str">
        <f>IF(IF(ISNA(計算結果!N19),"",計算結果!N19)=0,"",IF(ISNA(計算結果!N19),"",計算結果!N19))</f>
        <v/>
      </c>
      <c r="O19" s="13" t="str">
        <f>IF(IF(ISNA(計算結果!O19),"",計算結果!O19)=0,"",IF(ISNA(計算結果!O19),"",計算結果!O19))</f>
        <v/>
      </c>
      <c r="P19" s="10" t="str">
        <f>IF(IF(ISNA(計算結果!P19),"",計算結果!P19)=0,"",IF(ISNA(計算結果!P19),"",計算結果!P19))</f>
        <v/>
      </c>
      <c r="Q19" s="10" t="str">
        <f>IF(IF(ISNA(計算結果!Q19),"",計算結果!Q19)=0,"",IF(ISNA(計算結果!Q19),"",計算結果!Q19))</f>
        <v/>
      </c>
      <c r="R19" s="14" t="str">
        <f t="shared" si="0"/>
        <v/>
      </c>
      <c r="S19" s="14" t="str">
        <f t="shared" si="1"/>
        <v>◯</v>
      </c>
      <c r="T19" s="14" t="str">
        <f t="shared" si="2"/>
        <v/>
      </c>
    </row>
    <row r="20" spans="1:20" hidden="1" x14ac:dyDescent="0.45">
      <c r="A20" s="10" t="str">
        <f>IF(IF(ISNA(計算結果!A20),"",計算結果!A20)=0,"",IF(ISNA(計算結果!A20),"",計算結果!A20))</f>
        <v/>
      </c>
      <c r="B20" s="10" t="str">
        <f>IF(IF(ISNA(計算結果!B20),"",計算結果!B20)=0,"",IF(ISNA(計算結果!B20),"",計算結果!B20))</f>
        <v/>
      </c>
      <c r="C20" s="10" t="str">
        <f>IF(IF(ISNA(計算結果!C20),"",計算結果!C20)=0,"",IF(ISNA(計算結果!C20),"",計算結果!C20))</f>
        <v/>
      </c>
      <c r="D20" s="10" t="str">
        <f>IF(IF(ISNA(計算結果!D20),"",計算結果!D20)=0,"",IF(ISNA(計算結果!D20),"",計算結果!D20))</f>
        <v>L</v>
      </c>
      <c r="E20" s="10" t="str">
        <f>IF(IF(ISNA(計算結果!E20),"",計算結果!E20)=0,"",IF(ISNA(計算結果!E20),"",計算結果!E20))</f>
        <v/>
      </c>
      <c r="F20" s="10" t="str">
        <f>IF(IF(ISNA(計算結果!F20),"",計算結果!F20)=0,"",IF(ISNA(計算結果!F20),"",計算結果!F20))</f>
        <v/>
      </c>
      <c r="G20" s="10" t="str">
        <f>IF(IF(ISNA(計算結果!G20),"",計算結果!G20)=0,"",IF(ISNA(計算結果!G20),"",計算結果!G20))</f>
        <v/>
      </c>
      <c r="H20" s="13">
        <f>IF(IF(ISNA(計算結果!H20),"",計算結果!H20)=0,"",IF(ISNA(計算結果!H20),"",計算結果!H20))</f>
        <v>-2</v>
      </c>
      <c r="I20" s="12" t="str">
        <f>IF(IF(ISNA(計算結果!I20),"",計算結果!I20)=0,"",IF(ISNA(計算結果!I20),"",計算結果!I20))</f>
        <v/>
      </c>
      <c r="J20" s="12" t="str">
        <f>IF(IF(ISNA(計算結果!J20),"",計算結果!J20)=0,"",IF(ISNA(計算結果!J20),"",計算結果!J20))</f>
        <v/>
      </c>
      <c r="K20" s="23" t="str">
        <f>IF(IF(ISNA(計算結果!K20),"",計算結果!K20)=0,"",IF(ISNA(計算結果!K20),"",計算結果!K20))</f>
        <v/>
      </c>
      <c r="L20" s="13" t="str">
        <f>IF(IF(ISNA(計算結果!L20),"",計算結果!L20)=0,"",IF(ISNA(計算結果!L20),"",計算結果!L20))</f>
        <v/>
      </c>
      <c r="M20" s="10" t="str">
        <f>IF(IF(ISNA(計算結果!M20),"",計算結果!M20)=0,"",IF(ISNA(計算結果!M20),"",計算結果!M20))</f>
        <v/>
      </c>
      <c r="N20" s="10" t="str">
        <f>IF(IF(ISNA(計算結果!N20),"",計算結果!N20)=0,"",IF(ISNA(計算結果!N20),"",計算結果!N20))</f>
        <v/>
      </c>
      <c r="O20" s="13" t="str">
        <f>IF(IF(ISNA(計算結果!O20),"",計算結果!O20)=0,"",IF(ISNA(計算結果!O20),"",計算結果!O20))</f>
        <v/>
      </c>
      <c r="P20" s="10" t="str">
        <f>IF(IF(ISNA(計算結果!P20),"",計算結果!P20)=0,"",IF(ISNA(計算結果!P20),"",計算結果!P20))</f>
        <v/>
      </c>
      <c r="Q20" s="10" t="str">
        <f>IF(IF(ISNA(計算結果!Q20),"",計算結果!Q20)=0,"",IF(ISNA(計算結果!Q20),"",計算結果!Q20))</f>
        <v/>
      </c>
      <c r="R20" s="14" t="str">
        <f t="shared" si="0"/>
        <v/>
      </c>
      <c r="S20" s="14" t="str">
        <f t="shared" si="1"/>
        <v>◯</v>
      </c>
      <c r="T20" s="14" t="str">
        <f t="shared" si="2"/>
        <v/>
      </c>
    </row>
    <row r="21" spans="1:20" hidden="1" x14ac:dyDescent="0.45">
      <c r="A21" s="10" t="str">
        <f>IF(IF(ISNA(計算結果!A21),"",計算結果!A21)=0,"",IF(ISNA(計算結果!A21),"",計算結果!A21))</f>
        <v/>
      </c>
      <c r="B21" s="10" t="str">
        <f>IF(IF(ISNA(計算結果!B21),"",計算結果!B21)=0,"",IF(ISNA(計算結果!B21),"",計算結果!B21))</f>
        <v/>
      </c>
      <c r="C21" s="10" t="str">
        <f>IF(IF(ISNA(計算結果!C21),"",計算結果!C21)=0,"",IF(ISNA(計算結果!C21),"",計算結果!C21))</f>
        <v/>
      </c>
      <c r="D21" s="10" t="str">
        <f>IF(IF(ISNA(計算結果!D21),"",計算結果!D21)=0,"",IF(ISNA(計算結果!D21),"",計算結果!D21))</f>
        <v>L</v>
      </c>
      <c r="E21" s="10" t="str">
        <f>IF(IF(ISNA(計算結果!E21),"",計算結果!E21)=0,"",IF(ISNA(計算結果!E21),"",計算結果!E21))</f>
        <v/>
      </c>
      <c r="F21" s="10" t="str">
        <f>IF(IF(ISNA(計算結果!F21),"",計算結果!F21)=0,"",IF(ISNA(計算結果!F21),"",計算結果!F21))</f>
        <v/>
      </c>
      <c r="G21" s="10" t="str">
        <f>IF(IF(ISNA(計算結果!G21),"",計算結果!G21)=0,"",IF(ISNA(計算結果!G21),"",計算結果!G21))</f>
        <v/>
      </c>
      <c r="H21" s="13">
        <f>IF(IF(ISNA(計算結果!H21),"",計算結果!H21)=0,"",IF(ISNA(計算結果!H21),"",計算結果!H21))</f>
        <v>-2</v>
      </c>
      <c r="I21" s="12" t="str">
        <f>IF(IF(ISNA(計算結果!I21),"",計算結果!I21)=0,"",IF(ISNA(計算結果!I21),"",計算結果!I21))</f>
        <v/>
      </c>
      <c r="J21" s="12" t="str">
        <f>IF(IF(ISNA(計算結果!J21),"",計算結果!J21)=0,"",IF(ISNA(計算結果!J21),"",計算結果!J21))</f>
        <v/>
      </c>
      <c r="K21" s="23" t="str">
        <f>IF(IF(ISNA(計算結果!K21),"",計算結果!K21)=0,"",IF(ISNA(計算結果!K21),"",計算結果!K21))</f>
        <v/>
      </c>
      <c r="L21" s="13" t="str">
        <f>IF(IF(ISNA(計算結果!L21),"",計算結果!L21)=0,"",IF(ISNA(計算結果!L21),"",計算結果!L21))</f>
        <v/>
      </c>
      <c r="M21" s="10" t="str">
        <f>IF(IF(ISNA(計算結果!M21),"",計算結果!M21)=0,"",IF(ISNA(計算結果!M21),"",計算結果!M21))</f>
        <v/>
      </c>
      <c r="N21" s="10" t="str">
        <f>IF(IF(ISNA(計算結果!N21),"",計算結果!N21)=0,"",IF(ISNA(計算結果!N21),"",計算結果!N21))</f>
        <v/>
      </c>
      <c r="O21" s="13" t="str">
        <f>IF(IF(ISNA(計算結果!O21),"",計算結果!O21)=0,"",IF(ISNA(計算結果!O21),"",計算結果!O21))</f>
        <v/>
      </c>
      <c r="P21" s="10" t="str">
        <f>IF(IF(ISNA(計算結果!P21),"",計算結果!P21)=0,"",IF(ISNA(計算結果!P21),"",計算結果!P21))</f>
        <v/>
      </c>
      <c r="Q21" s="10" t="str">
        <f>IF(IF(ISNA(計算結果!Q21),"",計算結果!Q21)=0,"",IF(ISNA(計算結果!Q21),"",計算結果!Q21))</f>
        <v/>
      </c>
      <c r="R21" s="14" t="str">
        <f t="shared" si="0"/>
        <v/>
      </c>
      <c r="S21" s="14" t="str">
        <f t="shared" si="1"/>
        <v>◯</v>
      </c>
      <c r="T21" s="14" t="str">
        <f t="shared" si="2"/>
        <v/>
      </c>
    </row>
    <row r="22" spans="1:20" hidden="1" x14ac:dyDescent="0.45">
      <c r="A22" s="10" t="str">
        <f>IF(IF(ISNA(計算結果!A22),"",計算結果!A22)=0,"",IF(ISNA(計算結果!A22),"",計算結果!A22))</f>
        <v/>
      </c>
      <c r="B22" s="10" t="str">
        <f>IF(IF(ISNA(計算結果!B22),"",計算結果!B22)=0,"",IF(ISNA(計算結果!B22),"",計算結果!B22))</f>
        <v/>
      </c>
      <c r="C22" s="10" t="str">
        <f>IF(IF(ISNA(計算結果!C22),"",計算結果!C22)=0,"",IF(ISNA(計算結果!C22),"",計算結果!C22))</f>
        <v/>
      </c>
      <c r="D22" s="10" t="str">
        <f>IF(IF(ISNA(計算結果!D22),"",計算結果!D22)=0,"",IF(ISNA(計算結果!D22),"",計算結果!D22))</f>
        <v>L</v>
      </c>
      <c r="E22" s="10" t="str">
        <f>IF(IF(ISNA(計算結果!E22),"",計算結果!E22)=0,"",IF(ISNA(計算結果!E22),"",計算結果!E22))</f>
        <v/>
      </c>
      <c r="F22" s="10" t="str">
        <f>IF(IF(ISNA(計算結果!F22),"",計算結果!F22)=0,"",IF(ISNA(計算結果!F22),"",計算結果!F22))</f>
        <v/>
      </c>
      <c r="G22" s="10" t="str">
        <f>IF(IF(ISNA(計算結果!G22),"",計算結果!G22)=0,"",IF(ISNA(計算結果!G22),"",計算結果!G22))</f>
        <v/>
      </c>
      <c r="H22" s="13">
        <f>IF(IF(ISNA(計算結果!H22),"",計算結果!H22)=0,"",IF(ISNA(計算結果!H22),"",計算結果!H22))</f>
        <v>-2</v>
      </c>
      <c r="I22" s="12" t="str">
        <f>IF(IF(ISNA(計算結果!I22),"",計算結果!I22)=0,"",IF(ISNA(計算結果!I22),"",計算結果!I22))</f>
        <v/>
      </c>
      <c r="J22" s="12" t="str">
        <f>IF(IF(ISNA(計算結果!J22),"",計算結果!J22)=0,"",IF(ISNA(計算結果!J22),"",計算結果!J22))</f>
        <v/>
      </c>
      <c r="K22" s="23" t="str">
        <f>IF(IF(ISNA(計算結果!K22),"",計算結果!K22)=0,"",IF(ISNA(計算結果!K22),"",計算結果!K22))</f>
        <v/>
      </c>
      <c r="L22" s="13" t="str">
        <f>IF(IF(ISNA(計算結果!L22),"",計算結果!L22)=0,"",IF(ISNA(計算結果!L22),"",計算結果!L22))</f>
        <v/>
      </c>
      <c r="M22" s="10" t="str">
        <f>IF(IF(ISNA(計算結果!M22),"",計算結果!M22)=0,"",IF(ISNA(計算結果!M22),"",計算結果!M22))</f>
        <v/>
      </c>
      <c r="N22" s="10" t="str">
        <f>IF(IF(ISNA(計算結果!N22),"",計算結果!N22)=0,"",IF(ISNA(計算結果!N22),"",計算結果!N22))</f>
        <v/>
      </c>
      <c r="O22" s="13" t="str">
        <f>IF(IF(ISNA(計算結果!O22),"",計算結果!O22)=0,"",IF(ISNA(計算結果!O22),"",計算結果!O22))</f>
        <v/>
      </c>
      <c r="P22" s="10" t="str">
        <f>IF(IF(ISNA(計算結果!P22),"",計算結果!P22)=0,"",IF(ISNA(計算結果!P22),"",計算結果!P22))</f>
        <v/>
      </c>
      <c r="Q22" s="10" t="str">
        <f>IF(IF(ISNA(計算結果!Q22),"",計算結果!Q22)=0,"",IF(ISNA(計算結果!Q22),"",計算結果!Q22))</f>
        <v/>
      </c>
      <c r="R22" s="14" t="str">
        <f t="shared" si="0"/>
        <v/>
      </c>
      <c r="S22" s="14" t="str">
        <f t="shared" si="1"/>
        <v>◯</v>
      </c>
      <c r="T22" s="14" t="str">
        <f t="shared" si="2"/>
        <v/>
      </c>
    </row>
    <row r="23" spans="1:20" hidden="1" x14ac:dyDescent="0.45">
      <c r="A23" s="10" t="str">
        <f>IF(IF(ISNA(計算結果!A23),"",計算結果!A23)=0,"",IF(ISNA(計算結果!A23),"",計算結果!A23))</f>
        <v/>
      </c>
      <c r="B23" s="10" t="str">
        <f>IF(IF(ISNA(計算結果!B23),"",計算結果!B23)=0,"",IF(ISNA(計算結果!B23),"",計算結果!B23))</f>
        <v/>
      </c>
      <c r="C23" s="10" t="str">
        <f>IF(IF(ISNA(計算結果!C23),"",計算結果!C23)=0,"",IF(ISNA(計算結果!C23),"",計算結果!C23))</f>
        <v/>
      </c>
      <c r="D23" s="10" t="str">
        <f>IF(IF(ISNA(計算結果!D23),"",計算結果!D23)=0,"",IF(ISNA(計算結果!D23),"",計算結果!D23))</f>
        <v>L</v>
      </c>
      <c r="E23" s="10" t="str">
        <f>IF(IF(ISNA(計算結果!E23),"",計算結果!E23)=0,"",IF(ISNA(計算結果!E23),"",計算結果!E23))</f>
        <v/>
      </c>
      <c r="F23" s="10" t="str">
        <f>IF(IF(ISNA(計算結果!F23),"",計算結果!F23)=0,"",IF(ISNA(計算結果!F23),"",計算結果!F23))</f>
        <v/>
      </c>
      <c r="G23" s="10" t="str">
        <f>IF(IF(ISNA(計算結果!G23),"",計算結果!G23)=0,"",IF(ISNA(計算結果!G23),"",計算結果!G23))</f>
        <v/>
      </c>
      <c r="H23" s="13">
        <f>IF(IF(ISNA(計算結果!H23),"",計算結果!H23)=0,"",IF(ISNA(計算結果!H23),"",計算結果!H23))</f>
        <v>-2</v>
      </c>
      <c r="I23" s="12" t="str">
        <f>IF(IF(ISNA(計算結果!I23),"",計算結果!I23)=0,"",IF(ISNA(計算結果!I23),"",計算結果!I23))</f>
        <v/>
      </c>
      <c r="J23" s="12" t="str">
        <f>IF(IF(ISNA(計算結果!J23),"",計算結果!J23)=0,"",IF(ISNA(計算結果!J23),"",計算結果!J23))</f>
        <v/>
      </c>
      <c r="K23" s="23" t="str">
        <f>IF(IF(ISNA(計算結果!K23),"",計算結果!K23)=0,"",IF(ISNA(計算結果!K23),"",計算結果!K23))</f>
        <v/>
      </c>
      <c r="L23" s="13" t="str">
        <f>IF(IF(ISNA(計算結果!L23),"",計算結果!L23)=0,"",IF(ISNA(計算結果!L23),"",計算結果!L23))</f>
        <v/>
      </c>
      <c r="M23" s="10" t="str">
        <f>IF(IF(ISNA(計算結果!M23),"",計算結果!M23)=0,"",IF(ISNA(計算結果!M23),"",計算結果!M23))</f>
        <v/>
      </c>
      <c r="N23" s="10" t="str">
        <f>IF(IF(ISNA(計算結果!N23),"",計算結果!N23)=0,"",IF(ISNA(計算結果!N23),"",計算結果!N23))</f>
        <v/>
      </c>
      <c r="O23" s="13" t="str">
        <f>IF(IF(ISNA(計算結果!O23),"",計算結果!O23)=0,"",IF(ISNA(計算結果!O23),"",計算結果!O23))</f>
        <v/>
      </c>
      <c r="P23" s="10" t="str">
        <f>IF(IF(ISNA(計算結果!P23),"",計算結果!P23)=0,"",IF(ISNA(計算結果!P23),"",計算結果!P23))</f>
        <v/>
      </c>
      <c r="Q23" s="10" t="str">
        <f>IF(IF(ISNA(計算結果!Q23),"",計算結果!Q23)=0,"",IF(ISNA(計算結果!Q23),"",計算結果!Q23))</f>
        <v/>
      </c>
      <c r="R23" s="14" t="str">
        <f t="shared" si="0"/>
        <v/>
      </c>
      <c r="S23" s="14" t="str">
        <f t="shared" si="1"/>
        <v>◯</v>
      </c>
      <c r="T23" s="14" t="str">
        <f t="shared" si="2"/>
        <v/>
      </c>
    </row>
    <row r="24" spans="1:20" hidden="1" x14ac:dyDescent="0.45">
      <c r="A24" s="10" t="str">
        <f>IF(IF(ISNA(計算結果!A24),"",計算結果!A24)=0,"",IF(ISNA(計算結果!A24),"",計算結果!A24))</f>
        <v/>
      </c>
      <c r="B24" s="10" t="str">
        <f>IF(IF(ISNA(計算結果!B24),"",計算結果!B24)=0,"",IF(ISNA(計算結果!B24),"",計算結果!B24))</f>
        <v/>
      </c>
      <c r="C24" s="10" t="str">
        <f>IF(IF(ISNA(計算結果!C24),"",計算結果!C24)=0,"",IF(ISNA(計算結果!C24),"",計算結果!C24))</f>
        <v/>
      </c>
      <c r="D24" s="10" t="str">
        <f>IF(IF(ISNA(計算結果!D24),"",計算結果!D24)=0,"",IF(ISNA(計算結果!D24),"",計算結果!D24))</f>
        <v>L</v>
      </c>
      <c r="E24" s="10" t="str">
        <f>IF(IF(ISNA(計算結果!E24),"",計算結果!E24)=0,"",IF(ISNA(計算結果!E24),"",計算結果!E24))</f>
        <v/>
      </c>
      <c r="F24" s="10" t="str">
        <f>IF(IF(ISNA(計算結果!F24),"",計算結果!F24)=0,"",IF(ISNA(計算結果!F24),"",計算結果!F24))</f>
        <v/>
      </c>
      <c r="G24" s="10" t="str">
        <f>IF(IF(ISNA(計算結果!G24),"",計算結果!G24)=0,"",IF(ISNA(計算結果!G24),"",計算結果!G24))</f>
        <v/>
      </c>
      <c r="H24" s="13">
        <f>IF(IF(ISNA(計算結果!H24),"",計算結果!H24)=0,"",IF(ISNA(計算結果!H24),"",計算結果!H24))</f>
        <v>-2</v>
      </c>
      <c r="I24" s="12" t="str">
        <f>IF(IF(ISNA(計算結果!I24),"",計算結果!I24)=0,"",IF(ISNA(計算結果!I24),"",計算結果!I24))</f>
        <v/>
      </c>
      <c r="J24" s="12" t="str">
        <f>IF(IF(ISNA(計算結果!J24),"",計算結果!J24)=0,"",IF(ISNA(計算結果!J24),"",計算結果!J24))</f>
        <v/>
      </c>
      <c r="K24" s="23" t="str">
        <f>IF(IF(ISNA(計算結果!K24),"",計算結果!K24)=0,"",IF(ISNA(計算結果!K24),"",計算結果!K24))</f>
        <v/>
      </c>
      <c r="L24" s="13" t="str">
        <f>IF(IF(ISNA(計算結果!L24),"",計算結果!L24)=0,"",IF(ISNA(計算結果!L24),"",計算結果!L24))</f>
        <v/>
      </c>
      <c r="M24" s="10" t="str">
        <f>IF(IF(ISNA(計算結果!M24),"",計算結果!M24)=0,"",IF(ISNA(計算結果!M24),"",計算結果!M24))</f>
        <v/>
      </c>
      <c r="N24" s="10" t="str">
        <f>IF(IF(ISNA(計算結果!N24),"",計算結果!N24)=0,"",IF(ISNA(計算結果!N24),"",計算結果!N24))</f>
        <v/>
      </c>
      <c r="O24" s="13" t="str">
        <f>IF(IF(ISNA(計算結果!O24),"",計算結果!O24)=0,"",IF(ISNA(計算結果!O24),"",計算結果!O24))</f>
        <v/>
      </c>
      <c r="P24" s="10" t="str">
        <f>IF(IF(ISNA(計算結果!P24),"",計算結果!P24)=0,"",IF(ISNA(計算結果!P24),"",計算結果!P24))</f>
        <v/>
      </c>
      <c r="Q24" s="10" t="str">
        <f>IF(IF(ISNA(計算結果!Q24),"",計算結果!Q24)=0,"",IF(ISNA(計算結果!Q24),"",計算結果!Q24))</f>
        <v/>
      </c>
      <c r="R24" s="14" t="str">
        <f t="shared" si="0"/>
        <v/>
      </c>
      <c r="S24" s="14" t="str">
        <f t="shared" si="1"/>
        <v>◯</v>
      </c>
      <c r="T24" s="14" t="str">
        <f t="shared" si="2"/>
        <v/>
      </c>
    </row>
    <row r="25" spans="1:20" hidden="1" x14ac:dyDescent="0.45">
      <c r="A25" s="10" t="str">
        <f>IF(IF(ISNA(計算結果!A25),"",計算結果!A25)=0,"",IF(ISNA(計算結果!A25),"",計算結果!A25))</f>
        <v/>
      </c>
      <c r="B25" s="10" t="str">
        <f>IF(IF(ISNA(計算結果!B25),"",計算結果!B25)=0,"",IF(ISNA(計算結果!B25),"",計算結果!B25))</f>
        <v/>
      </c>
      <c r="C25" s="10" t="str">
        <f>IF(IF(ISNA(計算結果!C25),"",計算結果!C25)=0,"",IF(ISNA(計算結果!C25),"",計算結果!C25))</f>
        <v/>
      </c>
      <c r="D25" s="10" t="str">
        <f>IF(IF(ISNA(計算結果!D25),"",計算結果!D25)=0,"",IF(ISNA(計算結果!D25),"",計算結果!D25))</f>
        <v>L</v>
      </c>
      <c r="E25" s="10" t="str">
        <f>IF(IF(ISNA(計算結果!E25),"",計算結果!E25)=0,"",IF(ISNA(計算結果!E25),"",計算結果!E25))</f>
        <v/>
      </c>
      <c r="F25" s="10" t="str">
        <f>IF(IF(ISNA(計算結果!F25),"",計算結果!F25)=0,"",IF(ISNA(計算結果!F25),"",計算結果!F25))</f>
        <v/>
      </c>
      <c r="G25" s="10" t="str">
        <f>IF(IF(ISNA(計算結果!G25),"",計算結果!G25)=0,"",IF(ISNA(計算結果!G25),"",計算結果!G25))</f>
        <v/>
      </c>
      <c r="H25" s="13">
        <f>IF(IF(ISNA(計算結果!H25),"",計算結果!H25)=0,"",IF(ISNA(計算結果!H25),"",計算結果!H25))</f>
        <v>-2</v>
      </c>
      <c r="I25" s="12" t="str">
        <f>IF(IF(ISNA(計算結果!I25),"",計算結果!I25)=0,"",IF(ISNA(計算結果!I25),"",計算結果!I25))</f>
        <v/>
      </c>
      <c r="J25" s="12" t="str">
        <f>IF(IF(ISNA(計算結果!J25),"",計算結果!J25)=0,"",IF(ISNA(計算結果!J25),"",計算結果!J25))</f>
        <v/>
      </c>
      <c r="K25" s="23" t="str">
        <f>IF(IF(ISNA(計算結果!K25),"",計算結果!K25)=0,"",IF(ISNA(計算結果!K25),"",計算結果!K25))</f>
        <v/>
      </c>
      <c r="L25" s="13" t="str">
        <f>IF(IF(ISNA(計算結果!L25),"",計算結果!L25)=0,"",IF(ISNA(計算結果!L25),"",計算結果!L25))</f>
        <v/>
      </c>
      <c r="M25" s="10" t="str">
        <f>IF(IF(ISNA(計算結果!M25),"",計算結果!M25)=0,"",IF(ISNA(計算結果!M25),"",計算結果!M25))</f>
        <v/>
      </c>
      <c r="N25" s="10" t="str">
        <f>IF(IF(ISNA(計算結果!N25),"",計算結果!N25)=0,"",IF(ISNA(計算結果!N25),"",計算結果!N25))</f>
        <v/>
      </c>
      <c r="O25" s="13" t="str">
        <f>IF(IF(ISNA(計算結果!O25),"",計算結果!O25)=0,"",IF(ISNA(計算結果!O25),"",計算結果!O25))</f>
        <v/>
      </c>
      <c r="P25" s="10" t="str">
        <f>IF(IF(ISNA(計算結果!P25),"",計算結果!P25)=0,"",IF(ISNA(計算結果!P25),"",計算結果!P25))</f>
        <v/>
      </c>
      <c r="Q25" s="10" t="str">
        <f>IF(IF(ISNA(計算結果!Q25),"",計算結果!Q25)=0,"",IF(ISNA(計算結果!Q25),"",計算結果!Q25))</f>
        <v/>
      </c>
      <c r="R25" s="14" t="str">
        <f t="shared" si="0"/>
        <v/>
      </c>
      <c r="S25" s="14" t="str">
        <f t="shared" si="1"/>
        <v>◯</v>
      </c>
      <c r="T25" s="14" t="str">
        <f t="shared" si="2"/>
        <v/>
      </c>
    </row>
    <row r="26" spans="1:20" hidden="1" x14ac:dyDescent="0.45">
      <c r="A26" s="10" t="str">
        <f>IF(IF(ISNA(計算結果!A26),"",計算結果!A26)=0,"",IF(ISNA(計算結果!A26),"",計算結果!A26))</f>
        <v/>
      </c>
      <c r="B26" s="10" t="str">
        <f>IF(IF(ISNA(計算結果!B26),"",計算結果!B26)=0,"",IF(ISNA(計算結果!B26),"",計算結果!B26))</f>
        <v/>
      </c>
      <c r="C26" s="10" t="str">
        <f>IF(IF(ISNA(計算結果!C26),"",計算結果!C26)=0,"",IF(ISNA(計算結果!C26),"",計算結果!C26))</f>
        <v/>
      </c>
      <c r="D26" s="10" t="str">
        <f>IF(IF(ISNA(計算結果!D26),"",計算結果!D26)=0,"",IF(ISNA(計算結果!D26),"",計算結果!D26))</f>
        <v>L</v>
      </c>
      <c r="E26" s="10" t="str">
        <f>IF(IF(ISNA(計算結果!E26),"",計算結果!E26)=0,"",IF(ISNA(計算結果!E26),"",計算結果!E26))</f>
        <v/>
      </c>
      <c r="F26" s="10" t="str">
        <f>IF(IF(ISNA(計算結果!F26),"",計算結果!F26)=0,"",IF(ISNA(計算結果!F26),"",計算結果!F26))</f>
        <v/>
      </c>
      <c r="G26" s="10" t="str">
        <f>IF(IF(ISNA(計算結果!G26),"",計算結果!G26)=0,"",IF(ISNA(計算結果!G26),"",計算結果!G26))</f>
        <v/>
      </c>
      <c r="H26" s="13">
        <f>IF(IF(ISNA(計算結果!H26),"",計算結果!H26)=0,"",IF(ISNA(計算結果!H26),"",計算結果!H26))</f>
        <v>-2</v>
      </c>
      <c r="I26" s="12" t="str">
        <f>IF(IF(ISNA(計算結果!I26),"",計算結果!I26)=0,"",IF(ISNA(計算結果!I26),"",計算結果!I26))</f>
        <v/>
      </c>
      <c r="J26" s="12" t="str">
        <f>IF(IF(ISNA(計算結果!J26),"",計算結果!J26)=0,"",IF(ISNA(計算結果!J26),"",計算結果!J26))</f>
        <v/>
      </c>
      <c r="K26" s="23" t="str">
        <f>IF(IF(ISNA(計算結果!K26),"",計算結果!K26)=0,"",IF(ISNA(計算結果!K26),"",計算結果!K26))</f>
        <v/>
      </c>
      <c r="L26" s="13" t="str">
        <f>IF(IF(ISNA(計算結果!L26),"",計算結果!L26)=0,"",IF(ISNA(計算結果!L26),"",計算結果!L26))</f>
        <v/>
      </c>
      <c r="M26" s="10" t="str">
        <f>IF(IF(ISNA(計算結果!M26),"",計算結果!M26)=0,"",IF(ISNA(計算結果!M26),"",計算結果!M26))</f>
        <v/>
      </c>
      <c r="N26" s="10" t="str">
        <f>IF(IF(ISNA(計算結果!N26),"",計算結果!N26)=0,"",IF(ISNA(計算結果!N26),"",計算結果!N26))</f>
        <v/>
      </c>
      <c r="O26" s="13" t="str">
        <f>IF(IF(ISNA(計算結果!O26),"",計算結果!O26)=0,"",IF(ISNA(計算結果!O26),"",計算結果!O26))</f>
        <v/>
      </c>
      <c r="P26" s="10" t="str">
        <f>IF(IF(ISNA(計算結果!P26),"",計算結果!P26)=0,"",IF(ISNA(計算結果!P26),"",計算結果!P26))</f>
        <v/>
      </c>
      <c r="Q26" s="10" t="str">
        <f>IF(IF(ISNA(計算結果!Q26),"",計算結果!Q26)=0,"",IF(ISNA(計算結果!Q26),"",計算結果!Q26))</f>
        <v/>
      </c>
      <c r="R26" s="14" t="str">
        <f t="shared" si="0"/>
        <v/>
      </c>
      <c r="S26" s="14" t="str">
        <f t="shared" si="1"/>
        <v>◯</v>
      </c>
      <c r="T26" s="14" t="str">
        <f t="shared" si="2"/>
        <v/>
      </c>
    </row>
    <row r="27" spans="1:20" hidden="1" x14ac:dyDescent="0.45">
      <c r="A27" s="10" t="str">
        <f>IF(IF(ISNA(計算結果!A27),"",計算結果!A27)=0,"",IF(ISNA(計算結果!A27),"",計算結果!A27))</f>
        <v/>
      </c>
      <c r="B27" s="10" t="str">
        <f>IF(IF(ISNA(計算結果!B27),"",計算結果!B27)=0,"",IF(ISNA(計算結果!B27),"",計算結果!B27))</f>
        <v/>
      </c>
      <c r="C27" s="10" t="str">
        <f>IF(IF(ISNA(計算結果!C27),"",計算結果!C27)=0,"",IF(ISNA(計算結果!C27),"",計算結果!C27))</f>
        <v/>
      </c>
      <c r="D27" s="10" t="str">
        <f>IF(IF(ISNA(計算結果!D27),"",計算結果!D27)=0,"",IF(ISNA(計算結果!D27),"",計算結果!D27))</f>
        <v>L</v>
      </c>
      <c r="E27" s="10" t="str">
        <f>IF(IF(ISNA(計算結果!E27),"",計算結果!E27)=0,"",IF(ISNA(計算結果!E27),"",計算結果!E27))</f>
        <v/>
      </c>
      <c r="F27" s="10" t="str">
        <f>IF(IF(ISNA(計算結果!F27),"",計算結果!F27)=0,"",IF(ISNA(計算結果!F27),"",計算結果!F27))</f>
        <v/>
      </c>
      <c r="G27" s="10" t="str">
        <f>IF(IF(ISNA(計算結果!G27),"",計算結果!G27)=0,"",IF(ISNA(計算結果!G27),"",計算結果!G27))</f>
        <v/>
      </c>
      <c r="H27" s="13">
        <f>IF(IF(ISNA(計算結果!H27),"",計算結果!H27)=0,"",IF(ISNA(計算結果!H27),"",計算結果!H27))</f>
        <v>-2</v>
      </c>
      <c r="I27" s="12" t="str">
        <f>IF(IF(ISNA(計算結果!I27),"",計算結果!I27)=0,"",IF(ISNA(計算結果!I27),"",計算結果!I27))</f>
        <v/>
      </c>
      <c r="J27" s="12" t="str">
        <f>IF(IF(ISNA(計算結果!J27),"",計算結果!J27)=0,"",IF(ISNA(計算結果!J27),"",計算結果!J27))</f>
        <v/>
      </c>
      <c r="K27" s="23" t="str">
        <f>IF(IF(ISNA(計算結果!K27),"",計算結果!K27)=0,"",IF(ISNA(計算結果!K27),"",計算結果!K27))</f>
        <v/>
      </c>
      <c r="L27" s="13" t="str">
        <f>IF(IF(ISNA(計算結果!L27),"",計算結果!L27)=0,"",IF(ISNA(計算結果!L27),"",計算結果!L27))</f>
        <v/>
      </c>
      <c r="M27" s="10" t="str">
        <f>IF(IF(ISNA(計算結果!M27),"",計算結果!M27)=0,"",IF(ISNA(計算結果!M27),"",計算結果!M27))</f>
        <v/>
      </c>
      <c r="N27" s="10" t="str">
        <f>IF(IF(ISNA(計算結果!N27),"",計算結果!N27)=0,"",IF(ISNA(計算結果!N27),"",計算結果!N27))</f>
        <v/>
      </c>
      <c r="O27" s="13" t="str">
        <f>IF(IF(ISNA(計算結果!O27),"",計算結果!O27)=0,"",IF(ISNA(計算結果!O27),"",計算結果!O27))</f>
        <v/>
      </c>
      <c r="P27" s="10" t="str">
        <f>IF(IF(ISNA(計算結果!P27),"",計算結果!P27)=0,"",IF(ISNA(計算結果!P27),"",計算結果!P27))</f>
        <v/>
      </c>
      <c r="Q27" s="10" t="str">
        <f>IF(IF(ISNA(計算結果!Q27),"",計算結果!Q27)=0,"",IF(ISNA(計算結果!Q27),"",計算結果!Q27))</f>
        <v/>
      </c>
      <c r="R27" s="14" t="str">
        <f t="shared" si="0"/>
        <v/>
      </c>
      <c r="S27" s="14" t="str">
        <f t="shared" si="1"/>
        <v>◯</v>
      </c>
      <c r="T27" s="14" t="str">
        <f t="shared" si="2"/>
        <v/>
      </c>
    </row>
    <row r="28" spans="1:20" hidden="1" x14ac:dyDescent="0.45">
      <c r="A28" s="10" t="str">
        <f>IF(IF(ISNA(計算結果!A28),"",計算結果!A28)=0,"",IF(ISNA(計算結果!A28),"",計算結果!A28))</f>
        <v/>
      </c>
      <c r="B28" s="10" t="str">
        <f>IF(IF(ISNA(計算結果!B28),"",計算結果!B28)=0,"",IF(ISNA(計算結果!B28),"",計算結果!B28))</f>
        <v/>
      </c>
      <c r="C28" s="10" t="str">
        <f>IF(IF(ISNA(計算結果!C28),"",計算結果!C28)=0,"",IF(ISNA(計算結果!C28),"",計算結果!C28))</f>
        <v/>
      </c>
      <c r="D28" s="10" t="str">
        <f>IF(IF(ISNA(計算結果!D28),"",計算結果!D28)=0,"",IF(ISNA(計算結果!D28),"",計算結果!D28))</f>
        <v>L</v>
      </c>
      <c r="E28" s="10" t="str">
        <f>IF(IF(ISNA(計算結果!E28),"",計算結果!E28)=0,"",IF(ISNA(計算結果!E28),"",計算結果!E28))</f>
        <v/>
      </c>
      <c r="F28" s="10" t="str">
        <f>IF(IF(ISNA(計算結果!F28),"",計算結果!F28)=0,"",IF(ISNA(計算結果!F28),"",計算結果!F28))</f>
        <v/>
      </c>
      <c r="G28" s="10" t="str">
        <f>IF(IF(ISNA(計算結果!G28),"",計算結果!G28)=0,"",IF(ISNA(計算結果!G28),"",計算結果!G28))</f>
        <v/>
      </c>
      <c r="H28" s="13">
        <f>IF(IF(ISNA(計算結果!H28),"",計算結果!H28)=0,"",IF(ISNA(計算結果!H28),"",計算結果!H28))</f>
        <v>-2</v>
      </c>
      <c r="I28" s="12" t="str">
        <f>IF(IF(ISNA(計算結果!I28),"",計算結果!I28)=0,"",IF(ISNA(計算結果!I28),"",計算結果!I28))</f>
        <v/>
      </c>
      <c r="J28" s="12" t="str">
        <f>IF(IF(ISNA(計算結果!J28),"",計算結果!J28)=0,"",IF(ISNA(計算結果!J28),"",計算結果!J28))</f>
        <v/>
      </c>
      <c r="K28" s="23" t="str">
        <f>IF(IF(ISNA(計算結果!K28),"",計算結果!K28)=0,"",IF(ISNA(計算結果!K28),"",計算結果!K28))</f>
        <v/>
      </c>
      <c r="L28" s="13" t="str">
        <f>IF(IF(ISNA(計算結果!L28),"",計算結果!L28)=0,"",IF(ISNA(計算結果!L28),"",計算結果!L28))</f>
        <v/>
      </c>
      <c r="M28" s="10" t="str">
        <f>IF(IF(ISNA(計算結果!M28),"",計算結果!M28)=0,"",IF(ISNA(計算結果!M28),"",計算結果!M28))</f>
        <v/>
      </c>
      <c r="N28" s="10" t="str">
        <f>IF(IF(ISNA(計算結果!N28),"",計算結果!N28)=0,"",IF(ISNA(計算結果!N28),"",計算結果!N28))</f>
        <v/>
      </c>
      <c r="O28" s="13" t="str">
        <f>IF(IF(ISNA(計算結果!O28),"",計算結果!O28)=0,"",IF(ISNA(計算結果!O28),"",計算結果!O28))</f>
        <v/>
      </c>
      <c r="P28" s="10" t="str">
        <f>IF(IF(ISNA(計算結果!P28),"",計算結果!P28)=0,"",IF(ISNA(計算結果!P28),"",計算結果!P28))</f>
        <v/>
      </c>
      <c r="Q28" s="10" t="str">
        <f>IF(IF(ISNA(計算結果!Q28),"",計算結果!Q28)=0,"",IF(ISNA(計算結果!Q28),"",計算結果!Q28))</f>
        <v/>
      </c>
      <c r="R28" s="14" t="str">
        <f t="shared" si="0"/>
        <v/>
      </c>
      <c r="S28" s="14" t="str">
        <f t="shared" si="1"/>
        <v>◯</v>
      </c>
      <c r="T28" s="14" t="str">
        <f t="shared" si="2"/>
        <v/>
      </c>
    </row>
    <row r="29" spans="1:20" hidden="1" x14ac:dyDescent="0.45">
      <c r="A29" s="10" t="str">
        <f>IF(IF(ISNA(計算結果!A29),"",計算結果!A29)=0,"",IF(ISNA(計算結果!A29),"",計算結果!A29))</f>
        <v/>
      </c>
      <c r="B29" s="10" t="str">
        <f>IF(IF(ISNA(計算結果!B29),"",計算結果!B29)=0,"",IF(ISNA(計算結果!B29),"",計算結果!B29))</f>
        <v/>
      </c>
      <c r="C29" s="10" t="str">
        <f>IF(IF(ISNA(計算結果!C29),"",計算結果!C29)=0,"",IF(ISNA(計算結果!C29),"",計算結果!C29))</f>
        <v/>
      </c>
      <c r="D29" s="10" t="str">
        <f>IF(IF(ISNA(計算結果!D29),"",計算結果!D29)=0,"",IF(ISNA(計算結果!D29),"",計算結果!D29))</f>
        <v>L</v>
      </c>
      <c r="E29" s="10" t="str">
        <f>IF(IF(ISNA(計算結果!E29),"",計算結果!E29)=0,"",IF(ISNA(計算結果!E29),"",計算結果!E29))</f>
        <v/>
      </c>
      <c r="F29" s="10" t="str">
        <f>IF(IF(ISNA(計算結果!F29),"",計算結果!F29)=0,"",IF(ISNA(計算結果!F29),"",計算結果!F29))</f>
        <v/>
      </c>
      <c r="G29" s="10" t="str">
        <f>IF(IF(ISNA(計算結果!G29),"",計算結果!G29)=0,"",IF(ISNA(計算結果!G29),"",計算結果!G29))</f>
        <v/>
      </c>
      <c r="H29" s="13">
        <f>IF(IF(ISNA(計算結果!H29),"",計算結果!H29)=0,"",IF(ISNA(計算結果!H29),"",計算結果!H29))</f>
        <v>-2</v>
      </c>
      <c r="I29" s="12" t="str">
        <f>IF(IF(ISNA(計算結果!I29),"",計算結果!I29)=0,"",IF(ISNA(計算結果!I29),"",計算結果!I29))</f>
        <v/>
      </c>
      <c r="J29" s="12" t="str">
        <f>IF(IF(ISNA(計算結果!J29),"",計算結果!J29)=0,"",IF(ISNA(計算結果!J29),"",計算結果!J29))</f>
        <v/>
      </c>
      <c r="K29" s="23" t="str">
        <f>IF(IF(ISNA(計算結果!K29),"",計算結果!K29)=0,"",IF(ISNA(計算結果!K29),"",計算結果!K29))</f>
        <v/>
      </c>
      <c r="L29" s="13" t="str">
        <f>IF(IF(ISNA(計算結果!L29),"",計算結果!L29)=0,"",IF(ISNA(計算結果!L29),"",計算結果!L29))</f>
        <v/>
      </c>
      <c r="M29" s="10" t="str">
        <f>IF(IF(ISNA(計算結果!M29),"",計算結果!M29)=0,"",IF(ISNA(計算結果!M29),"",計算結果!M29))</f>
        <v/>
      </c>
      <c r="N29" s="10" t="str">
        <f>IF(IF(ISNA(計算結果!N29),"",計算結果!N29)=0,"",IF(ISNA(計算結果!N29),"",計算結果!N29))</f>
        <v/>
      </c>
      <c r="O29" s="13" t="str">
        <f>IF(IF(ISNA(計算結果!O29),"",計算結果!O29)=0,"",IF(ISNA(計算結果!O29),"",計算結果!O29))</f>
        <v/>
      </c>
      <c r="P29" s="10" t="str">
        <f>IF(IF(ISNA(計算結果!P29),"",計算結果!P29)=0,"",IF(ISNA(計算結果!P29),"",計算結果!P29))</f>
        <v/>
      </c>
      <c r="Q29" s="10" t="str">
        <f>IF(IF(ISNA(計算結果!Q29),"",計算結果!Q29)=0,"",IF(ISNA(計算結果!Q29),"",計算結果!Q29))</f>
        <v/>
      </c>
      <c r="R29" s="14" t="str">
        <f t="shared" si="0"/>
        <v/>
      </c>
      <c r="S29" s="14" t="str">
        <f t="shared" si="1"/>
        <v>◯</v>
      </c>
      <c r="T29" s="14" t="str">
        <f t="shared" si="2"/>
        <v/>
      </c>
    </row>
    <row r="30" spans="1:20" hidden="1" x14ac:dyDescent="0.45">
      <c r="A30" s="10" t="str">
        <f>IF(IF(ISNA(計算結果!A30),"",計算結果!A30)=0,"",IF(ISNA(計算結果!A30),"",計算結果!A30))</f>
        <v/>
      </c>
      <c r="B30" s="10" t="str">
        <f>IF(IF(ISNA(計算結果!B30),"",計算結果!B30)=0,"",IF(ISNA(計算結果!B30),"",計算結果!B30))</f>
        <v/>
      </c>
      <c r="C30" s="10" t="str">
        <f>IF(IF(ISNA(計算結果!C30),"",計算結果!C30)=0,"",IF(ISNA(計算結果!C30),"",計算結果!C30))</f>
        <v/>
      </c>
      <c r="D30" s="10" t="str">
        <f>IF(IF(ISNA(計算結果!D30),"",計算結果!D30)=0,"",IF(ISNA(計算結果!D30),"",計算結果!D30))</f>
        <v>L</v>
      </c>
      <c r="E30" s="10" t="str">
        <f>IF(IF(ISNA(計算結果!E30),"",計算結果!E30)=0,"",IF(ISNA(計算結果!E30),"",計算結果!E30))</f>
        <v/>
      </c>
      <c r="F30" s="10" t="str">
        <f>IF(IF(ISNA(計算結果!F30),"",計算結果!F30)=0,"",IF(ISNA(計算結果!F30),"",計算結果!F30))</f>
        <v/>
      </c>
      <c r="G30" s="10" t="str">
        <f>IF(IF(ISNA(計算結果!G30),"",計算結果!G30)=0,"",IF(ISNA(計算結果!G30),"",計算結果!G30))</f>
        <v/>
      </c>
      <c r="H30" s="13">
        <f>IF(IF(ISNA(計算結果!H30),"",計算結果!H30)=0,"",IF(ISNA(計算結果!H30),"",計算結果!H30))</f>
        <v>-2</v>
      </c>
      <c r="I30" s="12" t="str">
        <f>IF(IF(ISNA(計算結果!I30),"",計算結果!I30)=0,"",IF(ISNA(計算結果!I30),"",計算結果!I30))</f>
        <v/>
      </c>
      <c r="J30" s="12" t="str">
        <f>IF(IF(ISNA(計算結果!J30),"",計算結果!J30)=0,"",IF(ISNA(計算結果!J30),"",計算結果!J30))</f>
        <v/>
      </c>
      <c r="K30" s="23" t="str">
        <f>IF(IF(ISNA(計算結果!K30),"",計算結果!K30)=0,"",IF(ISNA(計算結果!K30),"",計算結果!K30))</f>
        <v/>
      </c>
      <c r="L30" s="13" t="str">
        <f>IF(IF(ISNA(計算結果!L30),"",計算結果!L30)=0,"",IF(ISNA(計算結果!L30),"",計算結果!L30))</f>
        <v/>
      </c>
      <c r="M30" s="10" t="str">
        <f>IF(IF(ISNA(計算結果!M30),"",計算結果!M30)=0,"",IF(ISNA(計算結果!M30),"",計算結果!M30))</f>
        <v/>
      </c>
      <c r="N30" s="10" t="str">
        <f>IF(IF(ISNA(計算結果!N30),"",計算結果!N30)=0,"",IF(ISNA(計算結果!N30),"",計算結果!N30))</f>
        <v/>
      </c>
      <c r="O30" s="13" t="str">
        <f>IF(IF(ISNA(計算結果!O30),"",計算結果!O30)=0,"",IF(ISNA(計算結果!O30),"",計算結果!O30))</f>
        <v/>
      </c>
      <c r="P30" s="10" t="str">
        <f>IF(IF(ISNA(計算結果!P30),"",計算結果!P30)=0,"",IF(ISNA(計算結果!P30),"",計算結果!P30))</f>
        <v/>
      </c>
      <c r="Q30" s="10" t="str">
        <f>IF(IF(ISNA(計算結果!Q30),"",計算結果!Q30)=0,"",IF(ISNA(計算結果!Q30),"",計算結果!Q30))</f>
        <v/>
      </c>
      <c r="R30" s="14" t="str">
        <f t="shared" si="0"/>
        <v/>
      </c>
      <c r="S30" s="14" t="str">
        <f t="shared" si="1"/>
        <v>◯</v>
      </c>
      <c r="T30" s="14" t="str">
        <f t="shared" si="2"/>
        <v/>
      </c>
    </row>
    <row r="31" spans="1:20" hidden="1" x14ac:dyDescent="0.45">
      <c r="A31" s="10" t="str">
        <f>IF(IF(ISNA(計算結果!A31),"",計算結果!A31)=0,"",IF(ISNA(計算結果!A31),"",計算結果!A31))</f>
        <v/>
      </c>
      <c r="B31" s="10" t="str">
        <f>IF(IF(ISNA(計算結果!B31),"",計算結果!B31)=0,"",IF(ISNA(計算結果!B31),"",計算結果!B31))</f>
        <v/>
      </c>
      <c r="C31" s="10" t="str">
        <f>IF(IF(ISNA(計算結果!C31),"",計算結果!C31)=0,"",IF(ISNA(計算結果!C31),"",計算結果!C31))</f>
        <v/>
      </c>
      <c r="D31" s="10" t="str">
        <f>IF(IF(ISNA(計算結果!D31),"",計算結果!D31)=0,"",IF(ISNA(計算結果!D31),"",計算結果!D31))</f>
        <v>L</v>
      </c>
      <c r="E31" s="10" t="str">
        <f>IF(IF(ISNA(計算結果!E31),"",計算結果!E31)=0,"",IF(ISNA(計算結果!E31),"",計算結果!E31))</f>
        <v/>
      </c>
      <c r="F31" s="10" t="str">
        <f>IF(IF(ISNA(計算結果!F31),"",計算結果!F31)=0,"",IF(ISNA(計算結果!F31),"",計算結果!F31))</f>
        <v/>
      </c>
      <c r="G31" s="10" t="str">
        <f>IF(IF(ISNA(計算結果!G31),"",計算結果!G31)=0,"",IF(ISNA(計算結果!G31),"",計算結果!G31))</f>
        <v/>
      </c>
      <c r="H31" s="13">
        <f>IF(IF(ISNA(計算結果!H31),"",計算結果!H31)=0,"",IF(ISNA(計算結果!H31),"",計算結果!H31))</f>
        <v>-2</v>
      </c>
      <c r="I31" s="12" t="str">
        <f>IF(IF(ISNA(計算結果!I31),"",計算結果!I31)=0,"",IF(ISNA(計算結果!I31),"",計算結果!I31))</f>
        <v/>
      </c>
      <c r="J31" s="12" t="str">
        <f>IF(IF(ISNA(計算結果!J31),"",計算結果!J31)=0,"",IF(ISNA(計算結果!J31),"",計算結果!J31))</f>
        <v/>
      </c>
      <c r="K31" s="23" t="str">
        <f>IF(IF(ISNA(計算結果!K31),"",計算結果!K31)=0,"",IF(ISNA(計算結果!K31),"",計算結果!K31))</f>
        <v/>
      </c>
      <c r="L31" s="13" t="str">
        <f>IF(IF(ISNA(計算結果!L31),"",計算結果!L31)=0,"",IF(ISNA(計算結果!L31),"",計算結果!L31))</f>
        <v/>
      </c>
      <c r="M31" s="10" t="str">
        <f>IF(IF(ISNA(計算結果!M31),"",計算結果!M31)=0,"",IF(ISNA(計算結果!M31),"",計算結果!M31))</f>
        <v/>
      </c>
      <c r="N31" s="10" t="str">
        <f>IF(IF(ISNA(計算結果!N31),"",計算結果!N31)=0,"",IF(ISNA(計算結果!N31),"",計算結果!N31))</f>
        <v/>
      </c>
      <c r="O31" s="13" t="str">
        <f>IF(IF(ISNA(計算結果!O31),"",計算結果!O31)=0,"",IF(ISNA(計算結果!O31),"",計算結果!O31))</f>
        <v/>
      </c>
      <c r="P31" s="10" t="str">
        <f>IF(IF(ISNA(計算結果!P31),"",計算結果!P31)=0,"",IF(ISNA(計算結果!P31),"",計算結果!P31))</f>
        <v/>
      </c>
      <c r="Q31" s="10" t="str">
        <f>IF(IF(ISNA(計算結果!Q31),"",計算結果!Q31)=0,"",IF(ISNA(計算結果!Q31),"",計算結果!Q31))</f>
        <v/>
      </c>
      <c r="R31" s="14" t="str">
        <f t="shared" si="0"/>
        <v/>
      </c>
      <c r="S31" s="14" t="str">
        <f t="shared" si="1"/>
        <v>◯</v>
      </c>
      <c r="T31" s="14" t="str">
        <f t="shared" si="2"/>
        <v/>
      </c>
    </row>
    <row r="32" spans="1:20" hidden="1" x14ac:dyDescent="0.45">
      <c r="A32" s="10" t="str">
        <f>IF(IF(ISNA(計算結果!A32),"",計算結果!A32)=0,"",IF(ISNA(計算結果!A32),"",計算結果!A32))</f>
        <v/>
      </c>
      <c r="B32" s="10" t="str">
        <f>IF(IF(ISNA(計算結果!B32),"",計算結果!B32)=0,"",IF(ISNA(計算結果!B32),"",計算結果!B32))</f>
        <v/>
      </c>
      <c r="C32" s="10" t="str">
        <f>IF(IF(ISNA(計算結果!C32),"",計算結果!C32)=0,"",IF(ISNA(計算結果!C32),"",計算結果!C32))</f>
        <v/>
      </c>
      <c r="D32" s="10" t="str">
        <f>IF(IF(ISNA(計算結果!D32),"",計算結果!D32)=0,"",IF(ISNA(計算結果!D32),"",計算結果!D32))</f>
        <v>L</v>
      </c>
      <c r="E32" s="10" t="str">
        <f>IF(IF(ISNA(計算結果!E32),"",計算結果!E32)=0,"",IF(ISNA(計算結果!E32),"",計算結果!E32))</f>
        <v/>
      </c>
      <c r="F32" s="10" t="str">
        <f>IF(IF(ISNA(計算結果!F32),"",計算結果!F32)=0,"",IF(ISNA(計算結果!F32),"",計算結果!F32))</f>
        <v/>
      </c>
      <c r="G32" s="10" t="str">
        <f>IF(IF(ISNA(計算結果!G32),"",計算結果!G32)=0,"",IF(ISNA(計算結果!G32),"",計算結果!G32))</f>
        <v/>
      </c>
      <c r="H32" s="13">
        <f>IF(IF(ISNA(計算結果!H32),"",計算結果!H32)=0,"",IF(ISNA(計算結果!H32),"",計算結果!H32))</f>
        <v>-2</v>
      </c>
      <c r="I32" s="12" t="str">
        <f>IF(IF(ISNA(計算結果!I32),"",計算結果!I32)=0,"",IF(ISNA(計算結果!I32),"",計算結果!I32))</f>
        <v/>
      </c>
      <c r="J32" s="12" t="str">
        <f>IF(IF(ISNA(計算結果!J32),"",計算結果!J32)=0,"",IF(ISNA(計算結果!J32),"",計算結果!J32))</f>
        <v/>
      </c>
      <c r="K32" s="23" t="str">
        <f>IF(IF(ISNA(計算結果!K32),"",計算結果!K32)=0,"",IF(ISNA(計算結果!K32),"",計算結果!K32))</f>
        <v/>
      </c>
      <c r="L32" s="13" t="str">
        <f>IF(IF(ISNA(計算結果!L32),"",計算結果!L32)=0,"",IF(ISNA(計算結果!L32),"",計算結果!L32))</f>
        <v/>
      </c>
      <c r="M32" s="10" t="str">
        <f>IF(IF(ISNA(計算結果!M32),"",計算結果!M32)=0,"",IF(ISNA(計算結果!M32),"",計算結果!M32))</f>
        <v/>
      </c>
      <c r="N32" s="10" t="str">
        <f>IF(IF(ISNA(計算結果!N32),"",計算結果!N32)=0,"",IF(ISNA(計算結果!N32),"",計算結果!N32))</f>
        <v/>
      </c>
      <c r="O32" s="13" t="str">
        <f>IF(IF(ISNA(計算結果!O32),"",計算結果!O32)=0,"",IF(ISNA(計算結果!O32),"",計算結果!O32))</f>
        <v/>
      </c>
      <c r="P32" s="10" t="str">
        <f>IF(IF(ISNA(計算結果!P32),"",計算結果!P32)=0,"",IF(ISNA(計算結果!P32),"",計算結果!P32))</f>
        <v/>
      </c>
      <c r="Q32" s="10" t="str">
        <f>IF(IF(ISNA(計算結果!Q32),"",計算結果!Q32)=0,"",IF(ISNA(計算結果!Q32),"",計算結果!Q32))</f>
        <v/>
      </c>
      <c r="R32" s="14" t="str">
        <f t="shared" si="0"/>
        <v/>
      </c>
      <c r="S32" s="14" t="str">
        <f t="shared" si="1"/>
        <v>◯</v>
      </c>
      <c r="T32" s="14" t="str">
        <f t="shared" si="2"/>
        <v/>
      </c>
    </row>
    <row r="33" spans="1:20" hidden="1" x14ac:dyDescent="0.45">
      <c r="A33" s="10" t="str">
        <f>IF(IF(ISNA(計算結果!A33),"",計算結果!A33)=0,"",IF(ISNA(計算結果!A33),"",計算結果!A33))</f>
        <v/>
      </c>
      <c r="B33" s="10" t="str">
        <f>IF(IF(ISNA(計算結果!B33),"",計算結果!B33)=0,"",IF(ISNA(計算結果!B33),"",計算結果!B33))</f>
        <v/>
      </c>
      <c r="C33" s="10" t="str">
        <f>IF(IF(ISNA(計算結果!C33),"",計算結果!C33)=0,"",IF(ISNA(計算結果!C33),"",計算結果!C33))</f>
        <v/>
      </c>
      <c r="D33" s="10" t="str">
        <f>IF(IF(ISNA(計算結果!D33),"",計算結果!D33)=0,"",IF(ISNA(計算結果!D33),"",計算結果!D33))</f>
        <v>L</v>
      </c>
      <c r="E33" s="10" t="str">
        <f>IF(IF(ISNA(計算結果!E33),"",計算結果!E33)=0,"",IF(ISNA(計算結果!E33),"",計算結果!E33))</f>
        <v/>
      </c>
      <c r="F33" s="10" t="str">
        <f>IF(IF(ISNA(計算結果!F33),"",計算結果!F33)=0,"",IF(ISNA(計算結果!F33),"",計算結果!F33))</f>
        <v/>
      </c>
      <c r="G33" s="10" t="str">
        <f>IF(IF(ISNA(計算結果!G33),"",計算結果!G33)=0,"",IF(ISNA(計算結果!G33),"",計算結果!G33))</f>
        <v/>
      </c>
      <c r="H33" s="13">
        <f>IF(IF(ISNA(計算結果!H33),"",計算結果!H33)=0,"",IF(ISNA(計算結果!H33),"",計算結果!H33))</f>
        <v>-2</v>
      </c>
      <c r="I33" s="12" t="str">
        <f>IF(IF(ISNA(計算結果!I33),"",計算結果!I33)=0,"",IF(ISNA(計算結果!I33),"",計算結果!I33))</f>
        <v/>
      </c>
      <c r="J33" s="12" t="str">
        <f>IF(IF(ISNA(計算結果!J33),"",計算結果!J33)=0,"",IF(ISNA(計算結果!J33),"",計算結果!J33))</f>
        <v/>
      </c>
      <c r="K33" s="23" t="str">
        <f>IF(IF(ISNA(計算結果!K33),"",計算結果!K33)=0,"",IF(ISNA(計算結果!K33),"",計算結果!K33))</f>
        <v/>
      </c>
      <c r="L33" s="13" t="str">
        <f>IF(IF(ISNA(計算結果!L33),"",計算結果!L33)=0,"",IF(ISNA(計算結果!L33),"",計算結果!L33))</f>
        <v/>
      </c>
      <c r="M33" s="10" t="str">
        <f>IF(IF(ISNA(計算結果!M33),"",計算結果!M33)=0,"",IF(ISNA(計算結果!M33),"",計算結果!M33))</f>
        <v/>
      </c>
      <c r="N33" s="10" t="str">
        <f>IF(IF(ISNA(計算結果!N33),"",計算結果!N33)=0,"",IF(ISNA(計算結果!N33),"",計算結果!N33))</f>
        <v/>
      </c>
      <c r="O33" s="13" t="str">
        <f>IF(IF(ISNA(計算結果!O33),"",計算結果!O33)=0,"",IF(ISNA(計算結果!O33),"",計算結果!O33))</f>
        <v/>
      </c>
      <c r="P33" s="10" t="str">
        <f>IF(IF(ISNA(計算結果!P33),"",計算結果!P33)=0,"",IF(ISNA(計算結果!P33),"",計算結果!P33))</f>
        <v/>
      </c>
      <c r="Q33" s="10" t="str">
        <f>IF(IF(ISNA(計算結果!Q33),"",計算結果!Q33)=0,"",IF(ISNA(計算結果!Q33),"",計算結果!Q33))</f>
        <v/>
      </c>
      <c r="R33" s="14" t="str">
        <f t="shared" si="0"/>
        <v/>
      </c>
      <c r="S33" s="14" t="str">
        <f t="shared" si="1"/>
        <v>◯</v>
      </c>
      <c r="T33" s="14" t="str">
        <f t="shared" si="2"/>
        <v/>
      </c>
    </row>
    <row r="34" spans="1:20" hidden="1" x14ac:dyDescent="0.45">
      <c r="A34" s="10" t="str">
        <f>IF(IF(ISNA(計算結果!A34),"",計算結果!A34)=0,"",IF(ISNA(計算結果!A34),"",計算結果!A34))</f>
        <v/>
      </c>
      <c r="B34" s="10" t="str">
        <f>IF(IF(ISNA(計算結果!B34),"",計算結果!B34)=0,"",IF(ISNA(計算結果!B34),"",計算結果!B34))</f>
        <v/>
      </c>
      <c r="C34" s="10" t="str">
        <f>IF(IF(ISNA(計算結果!C34),"",計算結果!C34)=0,"",IF(ISNA(計算結果!C34),"",計算結果!C34))</f>
        <v/>
      </c>
      <c r="D34" s="10" t="str">
        <f>IF(IF(ISNA(計算結果!D34),"",計算結果!D34)=0,"",IF(ISNA(計算結果!D34),"",計算結果!D34))</f>
        <v>L</v>
      </c>
      <c r="E34" s="10" t="str">
        <f>IF(IF(ISNA(計算結果!E34),"",計算結果!E34)=0,"",IF(ISNA(計算結果!E34),"",計算結果!E34))</f>
        <v/>
      </c>
      <c r="F34" s="10" t="str">
        <f>IF(IF(ISNA(計算結果!F34),"",計算結果!F34)=0,"",IF(ISNA(計算結果!F34),"",計算結果!F34))</f>
        <v/>
      </c>
      <c r="G34" s="10" t="str">
        <f>IF(IF(ISNA(計算結果!G34),"",計算結果!G34)=0,"",IF(ISNA(計算結果!G34),"",計算結果!G34))</f>
        <v/>
      </c>
      <c r="H34" s="13">
        <f>IF(IF(ISNA(計算結果!H34),"",計算結果!H34)=0,"",IF(ISNA(計算結果!H34),"",計算結果!H34))</f>
        <v>-2</v>
      </c>
      <c r="I34" s="12" t="str">
        <f>IF(IF(ISNA(計算結果!I34),"",計算結果!I34)=0,"",IF(ISNA(計算結果!I34),"",計算結果!I34))</f>
        <v/>
      </c>
      <c r="J34" s="12" t="str">
        <f>IF(IF(ISNA(計算結果!J34),"",計算結果!J34)=0,"",IF(ISNA(計算結果!J34),"",計算結果!J34))</f>
        <v/>
      </c>
      <c r="K34" s="23" t="str">
        <f>IF(IF(ISNA(計算結果!K34),"",計算結果!K34)=0,"",IF(ISNA(計算結果!K34),"",計算結果!K34))</f>
        <v/>
      </c>
      <c r="L34" s="13" t="str">
        <f>IF(IF(ISNA(計算結果!L34),"",計算結果!L34)=0,"",IF(ISNA(計算結果!L34),"",計算結果!L34))</f>
        <v/>
      </c>
      <c r="M34" s="10" t="str">
        <f>IF(IF(ISNA(計算結果!M34),"",計算結果!M34)=0,"",IF(ISNA(計算結果!M34),"",計算結果!M34))</f>
        <v/>
      </c>
      <c r="N34" s="10" t="str">
        <f>IF(IF(ISNA(計算結果!N34),"",計算結果!N34)=0,"",IF(ISNA(計算結果!N34),"",計算結果!N34))</f>
        <v/>
      </c>
      <c r="O34" s="13" t="str">
        <f>IF(IF(ISNA(計算結果!O34),"",計算結果!O34)=0,"",IF(ISNA(計算結果!O34),"",計算結果!O34))</f>
        <v/>
      </c>
      <c r="P34" s="10" t="str">
        <f>IF(IF(ISNA(計算結果!P34),"",計算結果!P34)=0,"",IF(ISNA(計算結果!P34),"",計算結果!P34))</f>
        <v/>
      </c>
      <c r="Q34" s="10" t="str">
        <f>IF(IF(ISNA(計算結果!Q34),"",計算結果!Q34)=0,"",IF(ISNA(計算結果!Q34),"",計算結果!Q34))</f>
        <v/>
      </c>
      <c r="R34" s="14" t="str">
        <f t="shared" si="0"/>
        <v/>
      </c>
      <c r="S34" s="14" t="str">
        <f t="shared" si="1"/>
        <v>◯</v>
      </c>
      <c r="T34" s="14" t="str">
        <f t="shared" si="2"/>
        <v/>
      </c>
    </row>
    <row r="35" spans="1:20" hidden="1" x14ac:dyDescent="0.45">
      <c r="A35" s="10" t="str">
        <f>IF(IF(ISNA(計算結果!A35),"",計算結果!A35)=0,"",IF(ISNA(計算結果!A35),"",計算結果!A35))</f>
        <v/>
      </c>
      <c r="B35" s="10" t="str">
        <f>IF(IF(ISNA(計算結果!B35),"",計算結果!B35)=0,"",IF(ISNA(計算結果!B35),"",計算結果!B35))</f>
        <v/>
      </c>
      <c r="C35" s="10" t="str">
        <f>IF(IF(ISNA(計算結果!C35),"",計算結果!C35)=0,"",IF(ISNA(計算結果!C35),"",計算結果!C35))</f>
        <v/>
      </c>
      <c r="D35" s="10" t="str">
        <f>IF(IF(ISNA(計算結果!D35),"",計算結果!D35)=0,"",IF(ISNA(計算結果!D35),"",計算結果!D35))</f>
        <v>L</v>
      </c>
      <c r="E35" s="10" t="str">
        <f>IF(IF(ISNA(計算結果!E35),"",計算結果!E35)=0,"",IF(ISNA(計算結果!E35),"",計算結果!E35))</f>
        <v/>
      </c>
      <c r="F35" s="10" t="str">
        <f>IF(IF(ISNA(計算結果!F35),"",計算結果!F35)=0,"",IF(ISNA(計算結果!F35),"",計算結果!F35))</f>
        <v/>
      </c>
      <c r="G35" s="10" t="str">
        <f>IF(IF(ISNA(計算結果!G35),"",計算結果!G35)=0,"",IF(ISNA(計算結果!G35),"",計算結果!G35))</f>
        <v/>
      </c>
      <c r="H35" s="13">
        <f>IF(IF(ISNA(計算結果!H35),"",計算結果!H35)=0,"",IF(ISNA(計算結果!H35),"",計算結果!H35))</f>
        <v>-2</v>
      </c>
      <c r="I35" s="12" t="str">
        <f>IF(IF(ISNA(計算結果!I35),"",計算結果!I35)=0,"",IF(ISNA(計算結果!I35),"",計算結果!I35))</f>
        <v/>
      </c>
      <c r="J35" s="12" t="str">
        <f>IF(IF(ISNA(計算結果!J35),"",計算結果!J35)=0,"",IF(ISNA(計算結果!J35),"",計算結果!J35))</f>
        <v/>
      </c>
      <c r="K35" s="23" t="str">
        <f>IF(IF(ISNA(計算結果!K35),"",計算結果!K35)=0,"",IF(ISNA(計算結果!K35),"",計算結果!K35))</f>
        <v/>
      </c>
      <c r="L35" s="13" t="str">
        <f>IF(IF(ISNA(計算結果!L35),"",計算結果!L35)=0,"",IF(ISNA(計算結果!L35),"",計算結果!L35))</f>
        <v/>
      </c>
      <c r="M35" s="10" t="str">
        <f>IF(IF(ISNA(計算結果!M35),"",計算結果!M35)=0,"",IF(ISNA(計算結果!M35),"",計算結果!M35))</f>
        <v/>
      </c>
      <c r="N35" s="10" t="str">
        <f>IF(IF(ISNA(計算結果!N35),"",計算結果!N35)=0,"",IF(ISNA(計算結果!N35),"",計算結果!N35))</f>
        <v/>
      </c>
      <c r="O35" s="13" t="str">
        <f>IF(IF(ISNA(計算結果!O35),"",計算結果!O35)=0,"",IF(ISNA(計算結果!O35),"",計算結果!O35))</f>
        <v/>
      </c>
      <c r="P35" s="10" t="str">
        <f>IF(IF(ISNA(計算結果!P35),"",計算結果!P35)=0,"",IF(ISNA(計算結果!P35),"",計算結果!P35))</f>
        <v/>
      </c>
      <c r="Q35" s="10" t="str">
        <f>IF(IF(ISNA(計算結果!Q35),"",計算結果!Q35)=0,"",IF(ISNA(計算結果!Q35),"",計算結果!Q35))</f>
        <v/>
      </c>
      <c r="R35" s="14" t="str">
        <f t="shared" si="0"/>
        <v/>
      </c>
      <c r="S35" s="14" t="str">
        <f t="shared" si="1"/>
        <v>◯</v>
      </c>
      <c r="T35" s="14" t="str">
        <f t="shared" si="2"/>
        <v/>
      </c>
    </row>
    <row r="36" spans="1:20" hidden="1" x14ac:dyDescent="0.45">
      <c r="A36" s="10" t="str">
        <f>IF(IF(ISNA(計算結果!A36),"",計算結果!A36)=0,"",IF(ISNA(計算結果!A36),"",計算結果!A36))</f>
        <v/>
      </c>
      <c r="B36" s="10" t="str">
        <f>IF(IF(ISNA(計算結果!B36),"",計算結果!B36)=0,"",IF(ISNA(計算結果!B36),"",計算結果!B36))</f>
        <v/>
      </c>
      <c r="C36" s="10" t="str">
        <f>IF(IF(ISNA(計算結果!C36),"",計算結果!C36)=0,"",IF(ISNA(計算結果!C36),"",計算結果!C36))</f>
        <v/>
      </c>
      <c r="D36" s="10" t="str">
        <f>IF(IF(ISNA(計算結果!D36),"",計算結果!D36)=0,"",IF(ISNA(計算結果!D36),"",計算結果!D36))</f>
        <v>L</v>
      </c>
      <c r="E36" s="10" t="str">
        <f>IF(IF(ISNA(計算結果!E36),"",計算結果!E36)=0,"",IF(ISNA(計算結果!E36),"",計算結果!E36))</f>
        <v/>
      </c>
      <c r="F36" s="10" t="str">
        <f>IF(IF(ISNA(計算結果!F36),"",計算結果!F36)=0,"",IF(ISNA(計算結果!F36),"",計算結果!F36))</f>
        <v/>
      </c>
      <c r="G36" s="10" t="str">
        <f>IF(IF(ISNA(計算結果!G36),"",計算結果!G36)=0,"",IF(ISNA(計算結果!G36),"",計算結果!G36))</f>
        <v/>
      </c>
      <c r="H36" s="13">
        <f>IF(IF(ISNA(計算結果!H36),"",計算結果!H36)=0,"",IF(ISNA(計算結果!H36),"",計算結果!H36))</f>
        <v>-2</v>
      </c>
      <c r="I36" s="12" t="str">
        <f>IF(IF(ISNA(計算結果!I36),"",計算結果!I36)=0,"",IF(ISNA(計算結果!I36),"",計算結果!I36))</f>
        <v/>
      </c>
      <c r="J36" s="12" t="str">
        <f>IF(IF(ISNA(計算結果!J36),"",計算結果!J36)=0,"",IF(ISNA(計算結果!J36),"",計算結果!J36))</f>
        <v/>
      </c>
      <c r="K36" s="23" t="str">
        <f>IF(IF(ISNA(計算結果!K36),"",計算結果!K36)=0,"",IF(ISNA(計算結果!K36),"",計算結果!K36))</f>
        <v/>
      </c>
      <c r="L36" s="13" t="str">
        <f>IF(IF(ISNA(計算結果!L36),"",計算結果!L36)=0,"",IF(ISNA(計算結果!L36),"",計算結果!L36))</f>
        <v/>
      </c>
      <c r="M36" s="10" t="str">
        <f>IF(IF(ISNA(計算結果!M36),"",計算結果!M36)=0,"",IF(ISNA(計算結果!M36),"",計算結果!M36))</f>
        <v/>
      </c>
      <c r="N36" s="10" t="str">
        <f>IF(IF(ISNA(計算結果!N36),"",計算結果!N36)=0,"",IF(ISNA(計算結果!N36),"",計算結果!N36))</f>
        <v/>
      </c>
      <c r="O36" s="13" t="str">
        <f>IF(IF(ISNA(計算結果!O36),"",計算結果!O36)=0,"",IF(ISNA(計算結果!O36),"",計算結果!O36))</f>
        <v/>
      </c>
      <c r="P36" s="10" t="str">
        <f>IF(IF(ISNA(計算結果!P36),"",計算結果!P36)=0,"",IF(ISNA(計算結果!P36),"",計算結果!P36))</f>
        <v/>
      </c>
      <c r="Q36" s="10" t="str">
        <f>IF(IF(ISNA(計算結果!Q36),"",計算結果!Q36)=0,"",IF(ISNA(計算結果!Q36),"",計算結果!Q36))</f>
        <v/>
      </c>
      <c r="R36" s="14" t="str">
        <f t="shared" si="0"/>
        <v/>
      </c>
      <c r="S36" s="14" t="str">
        <f t="shared" si="1"/>
        <v>◯</v>
      </c>
      <c r="T36" s="14" t="str">
        <f t="shared" si="2"/>
        <v/>
      </c>
    </row>
    <row r="37" spans="1:20" hidden="1" x14ac:dyDescent="0.45">
      <c r="A37" s="10" t="str">
        <f>IF(IF(ISNA(計算結果!A37),"",計算結果!A37)=0,"",IF(ISNA(計算結果!A37),"",計算結果!A37))</f>
        <v/>
      </c>
      <c r="B37" s="10" t="str">
        <f>IF(IF(ISNA(計算結果!B37),"",計算結果!B37)=0,"",IF(ISNA(計算結果!B37),"",計算結果!B37))</f>
        <v/>
      </c>
      <c r="C37" s="10" t="str">
        <f>IF(IF(ISNA(計算結果!C37),"",計算結果!C37)=0,"",IF(ISNA(計算結果!C37),"",計算結果!C37))</f>
        <v/>
      </c>
      <c r="D37" s="10" t="str">
        <f>IF(IF(ISNA(計算結果!D37),"",計算結果!D37)=0,"",IF(ISNA(計算結果!D37),"",計算結果!D37))</f>
        <v>L</v>
      </c>
      <c r="E37" s="10" t="str">
        <f>IF(IF(ISNA(計算結果!E37),"",計算結果!E37)=0,"",IF(ISNA(計算結果!E37),"",計算結果!E37))</f>
        <v/>
      </c>
      <c r="F37" s="10" t="str">
        <f>IF(IF(ISNA(計算結果!F37),"",計算結果!F37)=0,"",IF(ISNA(計算結果!F37),"",計算結果!F37))</f>
        <v/>
      </c>
      <c r="G37" s="10" t="str">
        <f>IF(IF(ISNA(計算結果!G37),"",計算結果!G37)=0,"",IF(ISNA(計算結果!G37),"",計算結果!G37))</f>
        <v/>
      </c>
      <c r="H37" s="13">
        <f>IF(IF(ISNA(計算結果!H37),"",計算結果!H37)=0,"",IF(ISNA(計算結果!H37),"",計算結果!H37))</f>
        <v>-2</v>
      </c>
      <c r="I37" s="12" t="str">
        <f>IF(IF(ISNA(計算結果!I37),"",計算結果!I37)=0,"",IF(ISNA(計算結果!I37),"",計算結果!I37))</f>
        <v/>
      </c>
      <c r="J37" s="12" t="str">
        <f>IF(IF(ISNA(計算結果!J37),"",計算結果!J37)=0,"",IF(ISNA(計算結果!J37),"",計算結果!J37))</f>
        <v/>
      </c>
      <c r="K37" s="23" t="str">
        <f>IF(IF(ISNA(計算結果!K37),"",計算結果!K37)=0,"",IF(ISNA(計算結果!K37),"",計算結果!K37))</f>
        <v/>
      </c>
      <c r="L37" s="13" t="str">
        <f>IF(IF(ISNA(計算結果!L37),"",計算結果!L37)=0,"",IF(ISNA(計算結果!L37),"",計算結果!L37))</f>
        <v/>
      </c>
      <c r="M37" s="10" t="str">
        <f>IF(IF(ISNA(計算結果!M37),"",計算結果!M37)=0,"",IF(ISNA(計算結果!M37),"",計算結果!M37))</f>
        <v/>
      </c>
      <c r="N37" s="10" t="str">
        <f>IF(IF(ISNA(計算結果!N37),"",計算結果!N37)=0,"",IF(ISNA(計算結果!N37),"",計算結果!N37))</f>
        <v/>
      </c>
      <c r="O37" s="13" t="str">
        <f>IF(IF(ISNA(計算結果!O37),"",計算結果!O37)=0,"",IF(ISNA(計算結果!O37),"",計算結果!O37))</f>
        <v/>
      </c>
      <c r="P37" s="10" t="str">
        <f>IF(IF(ISNA(計算結果!P37),"",計算結果!P37)=0,"",IF(ISNA(計算結果!P37),"",計算結果!P37))</f>
        <v/>
      </c>
      <c r="Q37" s="10" t="str">
        <f>IF(IF(ISNA(計算結果!Q37),"",計算結果!Q37)=0,"",IF(ISNA(計算結果!Q37),"",計算結果!Q37))</f>
        <v/>
      </c>
      <c r="R37" s="14" t="str">
        <f t="shared" si="0"/>
        <v/>
      </c>
      <c r="S37" s="14" t="str">
        <f t="shared" si="1"/>
        <v>◯</v>
      </c>
      <c r="T37" s="14" t="str">
        <f t="shared" si="2"/>
        <v/>
      </c>
    </row>
    <row r="38" spans="1:20" hidden="1" x14ac:dyDescent="0.45">
      <c r="A38" s="10" t="str">
        <f>IF(IF(ISNA(計算結果!A38),"",計算結果!A38)=0,"",IF(ISNA(計算結果!A38),"",計算結果!A38))</f>
        <v/>
      </c>
      <c r="B38" s="10" t="str">
        <f>IF(IF(ISNA(計算結果!B38),"",計算結果!B38)=0,"",IF(ISNA(計算結果!B38),"",計算結果!B38))</f>
        <v/>
      </c>
      <c r="C38" s="10" t="str">
        <f>IF(IF(ISNA(計算結果!C38),"",計算結果!C38)=0,"",IF(ISNA(計算結果!C38),"",計算結果!C38))</f>
        <v/>
      </c>
      <c r="D38" s="10" t="str">
        <f>IF(IF(ISNA(計算結果!D38),"",計算結果!D38)=0,"",IF(ISNA(計算結果!D38),"",計算結果!D38))</f>
        <v>L</v>
      </c>
      <c r="E38" s="10" t="str">
        <f>IF(IF(ISNA(計算結果!E38),"",計算結果!E38)=0,"",IF(ISNA(計算結果!E38),"",計算結果!E38))</f>
        <v/>
      </c>
      <c r="F38" s="10" t="str">
        <f>IF(IF(ISNA(計算結果!F38),"",計算結果!F38)=0,"",IF(ISNA(計算結果!F38),"",計算結果!F38))</f>
        <v/>
      </c>
      <c r="G38" s="10" t="str">
        <f>IF(IF(ISNA(計算結果!G38),"",計算結果!G38)=0,"",IF(ISNA(計算結果!G38),"",計算結果!G38))</f>
        <v/>
      </c>
      <c r="H38" s="13">
        <f>IF(IF(ISNA(計算結果!H38),"",計算結果!H38)=0,"",IF(ISNA(計算結果!H38),"",計算結果!H38))</f>
        <v>-2</v>
      </c>
      <c r="I38" s="12" t="str">
        <f>IF(IF(ISNA(計算結果!I38),"",計算結果!I38)=0,"",IF(ISNA(計算結果!I38),"",計算結果!I38))</f>
        <v/>
      </c>
      <c r="J38" s="12" t="str">
        <f>IF(IF(ISNA(計算結果!J38),"",計算結果!J38)=0,"",IF(ISNA(計算結果!J38),"",計算結果!J38))</f>
        <v/>
      </c>
      <c r="K38" s="23" t="str">
        <f>IF(IF(ISNA(計算結果!K38),"",計算結果!K38)=0,"",IF(ISNA(計算結果!K38),"",計算結果!K38))</f>
        <v/>
      </c>
      <c r="L38" s="13" t="str">
        <f>IF(IF(ISNA(計算結果!L38),"",計算結果!L38)=0,"",IF(ISNA(計算結果!L38),"",計算結果!L38))</f>
        <v/>
      </c>
      <c r="M38" s="10" t="str">
        <f>IF(IF(ISNA(計算結果!M38),"",計算結果!M38)=0,"",IF(ISNA(計算結果!M38),"",計算結果!M38))</f>
        <v/>
      </c>
      <c r="N38" s="10" t="str">
        <f>IF(IF(ISNA(計算結果!N38),"",計算結果!N38)=0,"",IF(ISNA(計算結果!N38),"",計算結果!N38))</f>
        <v/>
      </c>
      <c r="O38" s="13" t="str">
        <f>IF(IF(ISNA(計算結果!O38),"",計算結果!O38)=0,"",IF(ISNA(計算結果!O38),"",計算結果!O38))</f>
        <v/>
      </c>
      <c r="P38" s="10" t="str">
        <f>IF(IF(ISNA(計算結果!P38),"",計算結果!P38)=0,"",IF(ISNA(計算結果!P38),"",計算結果!P38))</f>
        <v/>
      </c>
      <c r="Q38" s="10" t="str">
        <f>IF(IF(ISNA(計算結果!Q38),"",計算結果!Q38)=0,"",IF(ISNA(計算結果!Q38),"",計算結果!Q38))</f>
        <v/>
      </c>
      <c r="R38" s="14" t="str">
        <f t="shared" si="0"/>
        <v/>
      </c>
      <c r="S38" s="14" t="str">
        <f t="shared" si="1"/>
        <v>◯</v>
      </c>
      <c r="T38" s="14" t="str">
        <f t="shared" si="2"/>
        <v/>
      </c>
    </row>
    <row r="39" spans="1:20" hidden="1" x14ac:dyDescent="0.45">
      <c r="A39" s="10" t="str">
        <f>IF(IF(ISNA(計算結果!A39),"",計算結果!A39)=0,"",IF(ISNA(計算結果!A39),"",計算結果!A39))</f>
        <v/>
      </c>
      <c r="B39" s="10" t="str">
        <f>IF(IF(ISNA(計算結果!B39),"",計算結果!B39)=0,"",IF(ISNA(計算結果!B39),"",計算結果!B39))</f>
        <v/>
      </c>
      <c r="C39" s="10" t="str">
        <f>IF(IF(ISNA(計算結果!C39),"",計算結果!C39)=0,"",IF(ISNA(計算結果!C39),"",計算結果!C39))</f>
        <v/>
      </c>
      <c r="D39" s="10" t="str">
        <f>IF(IF(ISNA(計算結果!D39),"",計算結果!D39)=0,"",IF(ISNA(計算結果!D39),"",計算結果!D39))</f>
        <v>L</v>
      </c>
      <c r="E39" s="10" t="str">
        <f>IF(IF(ISNA(計算結果!E39),"",計算結果!E39)=0,"",IF(ISNA(計算結果!E39),"",計算結果!E39))</f>
        <v/>
      </c>
      <c r="F39" s="10" t="str">
        <f>IF(IF(ISNA(計算結果!F39),"",計算結果!F39)=0,"",IF(ISNA(計算結果!F39),"",計算結果!F39))</f>
        <v/>
      </c>
      <c r="G39" s="10" t="str">
        <f>IF(IF(ISNA(計算結果!G39),"",計算結果!G39)=0,"",IF(ISNA(計算結果!G39),"",計算結果!G39))</f>
        <v/>
      </c>
      <c r="H39" s="13">
        <f>IF(IF(ISNA(計算結果!H39),"",計算結果!H39)=0,"",IF(ISNA(計算結果!H39),"",計算結果!H39))</f>
        <v>-2</v>
      </c>
      <c r="I39" s="12" t="str">
        <f>IF(IF(ISNA(計算結果!I39),"",計算結果!I39)=0,"",IF(ISNA(計算結果!I39),"",計算結果!I39))</f>
        <v/>
      </c>
      <c r="J39" s="12" t="str">
        <f>IF(IF(ISNA(計算結果!J39),"",計算結果!J39)=0,"",IF(ISNA(計算結果!J39),"",計算結果!J39))</f>
        <v/>
      </c>
      <c r="K39" s="23" t="str">
        <f>IF(IF(ISNA(計算結果!K39),"",計算結果!K39)=0,"",IF(ISNA(計算結果!K39),"",計算結果!K39))</f>
        <v/>
      </c>
      <c r="L39" s="13" t="str">
        <f>IF(IF(ISNA(計算結果!L39),"",計算結果!L39)=0,"",IF(ISNA(計算結果!L39),"",計算結果!L39))</f>
        <v/>
      </c>
      <c r="M39" s="10" t="str">
        <f>IF(IF(ISNA(計算結果!M39),"",計算結果!M39)=0,"",IF(ISNA(計算結果!M39),"",計算結果!M39))</f>
        <v/>
      </c>
      <c r="N39" s="10" t="str">
        <f>IF(IF(ISNA(計算結果!N39),"",計算結果!N39)=0,"",IF(ISNA(計算結果!N39),"",計算結果!N39))</f>
        <v/>
      </c>
      <c r="O39" s="13" t="str">
        <f>IF(IF(ISNA(計算結果!O39),"",計算結果!O39)=0,"",IF(ISNA(計算結果!O39),"",計算結果!O39))</f>
        <v/>
      </c>
      <c r="P39" s="10" t="str">
        <f>IF(IF(ISNA(計算結果!P39),"",計算結果!P39)=0,"",IF(ISNA(計算結果!P39),"",計算結果!P39))</f>
        <v/>
      </c>
      <c r="Q39" s="10" t="str">
        <f>IF(IF(ISNA(計算結果!Q39),"",計算結果!Q39)=0,"",IF(ISNA(計算結果!Q39),"",計算結果!Q39))</f>
        <v/>
      </c>
      <c r="R39" s="14" t="str">
        <f t="shared" si="0"/>
        <v/>
      </c>
      <c r="S39" s="14" t="str">
        <f t="shared" si="1"/>
        <v>◯</v>
      </c>
      <c r="T39" s="14" t="str">
        <f t="shared" si="2"/>
        <v/>
      </c>
    </row>
    <row r="40" spans="1:20" hidden="1" x14ac:dyDescent="0.45">
      <c r="A40" s="10" t="str">
        <f>IF(IF(ISNA(計算結果!A40),"",計算結果!A40)=0,"",IF(ISNA(計算結果!A40),"",計算結果!A40))</f>
        <v/>
      </c>
      <c r="B40" s="10" t="str">
        <f>IF(IF(ISNA(計算結果!B40),"",計算結果!B40)=0,"",IF(ISNA(計算結果!B40),"",計算結果!B40))</f>
        <v/>
      </c>
      <c r="C40" s="10" t="str">
        <f>IF(IF(ISNA(計算結果!C40),"",計算結果!C40)=0,"",IF(ISNA(計算結果!C40),"",計算結果!C40))</f>
        <v/>
      </c>
      <c r="D40" s="10" t="str">
        <f>IF(IF(ISNA(計算結果!D40),"",計算結果!D40)=0,"",IF(ISNA(計算結果!D40),"",計算結果!D40))</f>
        <v>L</v>
      </c>
      <c r="E40" s="10" t="str">
        <f>IF(IF(ISNA(計算結果!E40),"",計算結果!E40)=0,"",IF(ISNA(計算結果!E40),"",計算結果!E40))</f>
        <v/>
      </c>
      <c r="F40" s="10" t="str">
        <f>IF(IF(ISNA(計算結果!F40),"",計算結果!F40)=0,"",IF(ISNA(計算結果!F40),"",計算結果!F40))</f>
        <v/>
      </c>
      <c r="G40" s="10" t="str">
        <f>IF(IF(ISNA(計算結果!G40),"",計算結果!G40)=0,"",IF(ISNA(計算結果!G40),"",計算結果!G40))</f>
        <v/>
      </c>
      <c r="H40" s="13">
        <f>IF(IF(ISNA(計算結果!H40),"",計算結果!H40)=0,"",IF(ISNA(計算結果!H40),"",計算結果!H40))</f>
        <v>-2</v>
      </c>
      <c r="I40" s="12" t="str">
        <f>IF(IF(ISNA(計算結果!I40),"",計算結果!I40)=0,"",IF(ISNA(計算結果!I40),"",計算結果!I40))</f>
        <v/>
      </c>
      <c r="J40" s="12" t="str">
        <f>IF(IF(ISNA(計算結果!J40),"",計算結果!J40)=0,"",IF(ISNA(計算結果!J40),"",計算結果!J40))</f>
        <v/>
      </c>
      <c r="K40" s="23" t="str">
        <f>IF(IF(ISNA(計算結果!K40),"",計算結果!K40)=0,"",IF(ISNA(計算結果!K40),"",計算結果!K40))</f>
        <v/>
      </c>
      <c r="L40" s="13" t="str">
        <f>IF(IF(ISNA(計算結果!L40),"",計算結果!L40)=0,"",IF(ISNA(計算結果!L40),"",計算結果!L40))</f>
        <v/>
      </c>
      <c r="M40" s="10" t="str">
        <f>IF(IF(ISNA(計算結果!M40),"",計算結果!M40)=0,"",IF(ISNA(計算結果!M40),"",計算結果!M40))</f>
        <v/>
      </c>
      <c r="N40" s="10" t="str">
        <f>IF(IF(ISNA(計算結果!N40),"",計算結果!N40)=0,"",IF(ISNA(計算結果!N40),"",計算結果!N40))</f>
        <v/>
      </c>
      <c r="O40" s="13" t="str">
        <f>IF(IF(ISNA(計算結果!O40),"",計算結果!O40)=0,"",IF(ISNA(計算結果!O40),"",計算結果!O40))</f>
        <v/>
      </c>
      <c r="P40" s="10" t="str">
        <f>IF(IF(ISNA(計算結果!P40),"",計算結果!P40)=0,"",IF(ISNA(計算結果!P40),"",計算結果!P40))</f>
        <v/>
      </c>
      <c r="Q40" s="10" t="str">
        <f>IF(IF(ISNA(計算結果!Q40),"",計算結果!Q40)=0,"",IF(ISNA(計算結果!Q40),"",計算結果!Q40))</f>
        <v/>
      </c>
      <c r="R40" s="14" t="str">
        <f t="shared" si="0"/>
        <v/>
      </c>
      <c r="S40" s="14" t="str">
        <f t="shared" si="1"/>
        <v>◯</v>
      </c>
      <c r="T40" s="14" t="str">
        <f t="shared" si="2"/>
        <v/>
      </c>
    </row>
    <row r="41" spans="1:20" hidden="1" x14ac:dyDescent="0.45">
      <c r="A41" s="10" t="str">
        <f>IF(IF(ISNA(計算結果!A41),"",計算結果!A41)=0,"",IF(ISNA(計算結果!A41),"",計算結果!A41))</f>
        <v/>
      </c>
      <c r="B41" s="10" t="str">
        <f>IF(IF(ISNA(計算結果!B41),"",計算結果!B41)=0,"",IF(ISNA(計算結果!B41),"",計算結果!B41))</f>
        <v/>
      </c>
      <c r="C41" s="10" t="str">
        <f>IF(IF(ISNA(計算結果!C41),"",計算結果!C41)=0,"",IF(ISNA(計算結果!C41),"",計算結果!C41))</f>
        <v/>
      </c>
      <c r="D41" s="10" t="str">
        <f>IF(IF(ISNA(計算結果!D41),"",計算結果!D41)=0,"",IF(ISNA(計算結果!D41),"",計算結果!D41))</f>
        <v>L</v>
      </c>
      <c r="E41" s="10" t="str">
        <f>IF(IF(ISNA(計算結果!E41),"",計算結果!E41)=0,"",IF(ISNA(計算結果!E41),"",計算結果!E41))</f>
        <v/>
      </c>
      <c r="F41" s="10" t="str">
        <f>IF(IF(ISNA(計算結果!F41),"",計算結果!F41)=0,"",IF(ISNA(計算結果!F41),"",計算結果!F41))</f>
        <v/>
      </c>
      <c r="G41" s="10" t="str">
        <f>IF(IF(ISNA(計算結果!G41),"",計算結果!G41)=0,"",IF(ISNA(計算結果!G41),"",計算結果!G41))</f>
        <v/>
      </c>
      <c r="H41" s="13">
        <f>IF(IF(ISNA(計算結果!H41),"",計算結果!H41)=0,"",IF(ISNA(計算結果!H41),"",計算結果!H41))</f>
        <v>-2</v>
      </c>
      <c r="I41" s="12" t="str">
        <f>IF(IF(ISNA(計算結果!I41),"",計算結果!I41)=0,"",IF(ISNA(計算結果!I41),"",計算結果!I41))</f>
        <v/>
      </c>
      <c r="J41" s="12" t="str">
        <f>IF(IF(ISNA(計算結果!J41),"",計算結果!J41)=0,"",IF(ISNA(計算結果!J41),"",計算結果!J41))</f>
        <v/>
      </c>
      <c r="K41" s="23" t="str">
        <f>IF(IF(ISNA(計算結果!K41),"",計算結果!K41)=0,"",IF(ISNA(計算結果!K41),"",計算結果!K41))</f>
        <v/>
      </c>
      <c r="L41" s="13" t="str">
        <f>IF(IF(ISNA(計算結果!L41),"",計算結果!L41)=0,"",IF(ISNA(計算結果!L41),"",計算結果!L41))</f>
        <v/>
      </c>
      <c r="M41" s="10" t="str">
        <f>IF(IF(ISNA(計算結果!M41),"",計算結果!M41)=0,"",IF(ISNA(計算結果!M41),"",計算結果!M41))</f>
        <v/>
      </c>
      <c r="N41" s="10" t="str">
        <f>IF(IF(ISNA(計算結果!N41),"",計算結果!N41)=0,"",IF(ISNA(計算結果!N41),"",計算結果!N41))</f>
        <v/>
      </c>
      <c r="O41" s="13" t="str">
        <f>IF(IF(ISNA(計算結果!O41),"",計算結果!O41)=0,"",IF(ISNA(計算結果!O41),"",計算結果!O41))</f>
        <v/>
      </c>
      <c r="P41" s="10" t="str">
        <f>IF(IF(ISNA(計算結果!P41),"",計算結果!P41)=0,"",IF(ISNA(計算結果!P41),"",計算結果!P41))</f>
        <v/>
      </c>
      <c r="Q41" s="10" t="str">
        <f>IF(IF(ISNA(計算結果!Q41),"",計算結果!Q41)=0,"",IF(ISNA(計算結果!Q41),"",計算結果!Q41))</f>
        <v/>
      </c>
      <c r="R41" s="14" t="str">
        <f t="shared" si="0"/>
        <v/>
      </c>
      <c r="S41" s="14" t="str">
        <f t="shared" si="1"/>
        <v>◯</v>
      </c>
      <c r="T41" s="14" t="str">
        <f t="shared" si="2"/>
        <v/>
      </c>
    </row>
    <row r="42" spans="1:20" hidden="1" x14ac:dyDescent="0.45">
      <c r="A42" s="10" t="str">
        <f>IF(IF(ISNA(計算結果!A42),"",計算結果!A42)=0,"",IF(ISNA(計算結果!A42),"",計算結果!A42))</f>
        <v/>
      </c>
      <c r="B42" s="10" t="str">
        <f>IF(IF(ISNA(計算結果!B42),"",計算結果!B42)=0,"",IF(ISNA(計算結果!B42),"",計算結果!B42))</f>
        <v/>
      </c>
      <c r="C42" s="10" t="str">
        <f>IF(IF(ISNA(計算結果!C42),"",計算結果!C42)=0,"",IF(ISNA(計算結果!C42),"",計算結果!C42))</f>
        <v/>
      </c>
      <c r="D42" s="10" t="str">
        <f>IF(IF(ISNA(計算結果!D42),"",計算結果!D42)=0,"",IF(ISNA(計算結果!D42),"",計算結果!D42))</f>
        <v>L</v>
      </c>
      <c r="E42" s="10" t="str">
        <f>IF(IF(ISNA(計算結果!E42),"",計算結果!E42)=0,"",IF(ISNA(計算結果!E42),"",計算結果!E42))</f>
        <v/>
      </c>
      <c r="F42" s="10" t="str">
        <f>IF(IF(ISNA(計算結果!F42),"",計算結果!F42)=0,"",IF(ISNA(計算結果!F42),"",計算結果!F42))</f>
        <v/>
      </c>
      <c r="G42" s="10" t="str">
        <f>IF(IF(ISNA(計算結果!G42),"",計算結果!G42)=0,"",IF(ISNA(計算結果!G42),"",計算結果!G42))</f>
        <v/>
      </c>
      <c r="H42" s="13">
        <f>IF(IF(ISNA(計算結果!H42),"",計算結果!H42)=0,"",IF(ISNA(計算結果!H42),"",計算結果!H42))</f>
        <v>-2</v>
      </c>
      <c r="I42" s="12" t="str">
        <f>IF(IF(ISNA(計算結果!I42),"",計算結果!I42)=0,"",IF(ISNA(計算結果!I42),"",計算結果!I42))</f>
        <v/>
      </c>
      <c r="J42" s="12" t="str">
        <f>IF(IF(ISNA(計算結果!J42),"",計算結果!J42)=0,"",IF(ISNA(計算結果!J42),"",計算結果!J42))</f>
        <v/>
      </c>
      <c r="K42" s="23" t="str">
        <f>IF(IF(ISNA(計算結果!K42),"",計算結果!K42)=0,"",IF(ISNA(計算結果!K42),"",計算結果!K42))</f>
        <v/>
      </c>
      <c r="L42" s="13" t="str">
        <f>IF(IF(ISNA(計算結果!L42),"",計算結果!L42)=0,"",IF(ISNA(計算結果!L42),"",計算結果!L42))</f>
        <v/>
      </c>
      <c r="M42" s="10" t="str">
        <f>IF(IF(ISNA(計算結果!M42),"",計算結果!M42)=0,"",IF(ISNA(計算結果!M42),"",計算結果!M42))</f>
        <v/>
      </c>
      <c r="N42" s="10" t="str">
        <f>IF(IF(ISNA(計算結果!N42),"",計算結果!N42)=0,"",IF(ISNA(計算結果!N42),"",計算結果!N42))</f>
        <v/>
      </c>
      <c r="O42" s="13" t="str">
        <f>IF(IF(ISNA(計算結果!O42),"",計算結果!O42)=0,"",IF(ISNA(計算結果!O42),"",計算結果!O42))</f>
        <v/>
      </c>
      <c r="P42" s="10" t="str">
        <f>IF(IF(ISNA(計算結果!P42),"",計算結果!P42)=0,"",IF(ISNA(計算結果!P42),"",計算結果!P42))</f>
        <v/>
      </c>
      <c r="Q42" s="10" t="str">
        <f>IF(IF(ISNA(計算結果!Q42),"",計算結果!Q42)=0,"",IF(ISNA(計算結果!Q42),"",計算結果!Q42))</f>
        <v/>
      </c>
      <c r="R42" s="14" t="str">
        <f t="shared" si="0"/>
        <v/>
      </c>
      <c r="S42" s="14" t="str">
        <f t="shared" si="1"/>
        <v>◯</v>
      </c>
      <c r="T42" s="14" t="str">
        <f t="shared" si="2"/>
        <v/>
      </c>
    </row>
    <row r="43" spans="1:20" hidden="1" x14ac:dyDescent="0.45">
      <c r="A43" s="10" t="str">
        <f>IF(IF(ISNA(計算結果!A43),"",計算結果!A43)=0,"",IF(ISNA(計算結果!A43),"",計算結果!A43))</f>
        <v/>
      </c>
      <c r="B43" s="10" t="str">
        <f>IF(IF(ISNA(計算結果!B43),"",計算結果!B43)=0,"",IF(ISNA(計算結果!B43),"",計算結果!B43))</f>
        <v/>
      </c>
      <c r="C43" s="10" t="str">
        <f>IF(IF(ISNA(計算結果!C43),"",計算結果!C43)=0,"",IF(ISNA(計算結果!C43),"",計算結果!C43))</f>
        <v/>
      </c>
      <c r="D43" s="10" t="str">
        <f>IF(IF(ISNA(計算結果!D43),"",計算結果!D43)=0,"",IF(ISNA(計算結果!D43),"",計算結果!D43))</f>
        <v>L</v>
      </c>
      <c r="E43" s="10" t="str">
        <f>IF(IF(ISNA(計算結果!E43),"",計算結果!E43)=0,"",IF(ISNA(計算結果!E43),"",計算結果!E43))</f>
        <v/>
      </c>
      <c r="F43" s="10" t="str">
        <f>IF(IF(ISNA(計算結果!F43),"",計算結果!F43)=0,"",IF(ISNA(計算結果!F43),"",計算結果!F43))</f>
        <v/>
      </c>
      <c r="G43" s="10" t="str">
        <f>IF(IF(ISNA(計算結果!G43),"",計算結果!G43)=0,"",IF(ISNA(計算結果!G43),"",計算結果!G43))</f>
        <v/>
      </c>
      <c r="H43" s="13">
        <f>IF(IF(ISNA(計算結果!H43),"",計算結果!H43)=0,"",IF(ISNA(計算結果!H43),"",計算結果!H43))</f>
        <v>-2</v>
      </c>
      <c r="I43" s="12" t="str">
        <f>IF(IF(ISNA(計算結果!I43),"",計算結果!I43)=0,"",IF(ISNA(計算結果!I43),"",計算結果!I43))</f>
        <v/>
      </c>
      <c r="J43" s="12" t="str">
        <f>IF(IF(ISNA(計算結果!J43),"",計算結果!J43)=0,"",IF(ISNA(計算結果!J43),"",計算結果!J43))</f>
        <v/>
      </c>
      <c r="K43" s="23" t="str">
        <f>IF(IF(ISNA(計算結果!K43),"",計算結果!K43)=0,"",IF(ISNA(計算結果!K43),"",計算結果!K43))</f>
        <v/>
      </c>
      <c r="L43" s="13" t="str">
        <f>IF(IF(ISNA(計算結果!L43),"",計算結果!L43)=0,"",IF(ISNA(計算結果!L43),"",計算結果!L43))</f>
        <v/>
      </c>
      <c r="M43" s="10" t="str">
        <f>IF(IF(ISNA(計算結果!M43),"",計算結果!M43)=0,"",IF(ISNA(計算結果!M43),"",計算結果!M43))</f>
        <v/>
      </c>
      <c r="N43" s="10" t="str">
        <f>IF(IF(ISNA(計算結果!N43),"",計算結果!N43)=0,"",IF(ISNA(計算結果!N43),"",計算結果!N43))</f>
        <v/>
      </c>
      <c r="O43" s="13" t="str">
        <f>IF(IF(ISNA(計算結果!O43),"",計算結果!O43)=0,"",IF(ISNA(計算結果!O43),"",計算結果!O43))</f>
        <v/>
      </c>
      <c r="P43" s="10" t="str">
        <f>IF(IF(ISNA(計算結果!P43),"",計算結果!P43)=0,"",IF(ISNA(計算結果!P43),"",計算結果!P43))</f>
        <v/>
      </c>
      <c r="Q43" s="10" t="str">
        <f>IF(IF(ISNA(計算結果!Q43),"",計算結果!Q43)=0,"",IF(ISNA(計算結果!Q43),"",計算結果!Q43))</f>
        <v/>
      </c>
      <c r="R43" s="14" t="str">
        <f t="shared" si="0"/>
        <v/>
      </c>
      <c r="S43" s="14" t="str">
        <f t="shared" si="1"/>
        <v>◯</v>
      </c>
      <c r="T43" s="14" t="str">
        <f t="shared" si="2"/>
        <v/>
      </c>
    </row>
    <row r="44" spans="1:20" hidden="1" x14ac:dyDescent="0.45">
      <c r="A44" s="10" t="str">
        <f>IF(IF(ISNA(計算結果!A44),"",計算結果!A44)=0,"",IF(ISNA(計算結果!A44),"",計算結果!A44))</f>
        <v/>
      </c>
      <c r="B44" s="10" t="str">
        <f>IF(IF(ISNA(計算結果!B44),"",計算結果!B44)=0,"",IF(ISNA(計算結果!B44),"",計算結果!B44))</f>
        <v/>
      </c>
      <c r="C44" s="10" t="str">
        <f>IF(IF(ISNA(計算結果!C44),"",計算結果!C44)=0,"",IF(ISNA(計算結果!C44),"",計算結果!C44))</f>
        <v/>
      </c>
      <c r="D44" s="10" t="str">
        <f>IF(IF(ISNA(計算結果!D44),"",計算結果!D44)=0,"",IF(ISNA(計算結果!D44),"",計算結果!D44))</f>
        <v>L</v>
      </c>
      <c r="E44" s="10" t="str">
        <f>IF(IF(ISNA(計算結果!E44),"",計算結果!E44)=0,"",IF(ISNA(計算結果!E44),"",計算結果!E44))</f>
        <v/>
      </c>
      <c r="F44" s="10" t="str">
        <f>IF(IF(ISNA(計算結果!F44),"",計算結果!F44)=0,"",IF(ISNA(計算結果!F44),"",計算結果!F44))</f>
        <v/>
      </c>
      <c r="G44" s="10" t="str">
        <f>IF(IF(ISNA(計算結果!G44),"",計算結果!G44)=0,"",IF(ISNA(計算結果!G44),"",計算結果!G44))</f>
        <v/>
      </c>
      <c r="H44" s="13">
        <f>IF(IF(ISNA(計算結果!H44),"",計算結果!H44)=0,"",IF(ISNA(計算結果!H44),"",計算結果!H44))</f>
        <v>-2</v>
      </c>
      <c r="I44" s="12" t="str">
        <f>IF(IF(ISNA(計算結果!I44),"",計算結果!I44)=0,"",IF(ISNA(計算結果!I44),"",計算結果!I44))</f>
        <v/>
      </c>
      <c r="J44" s="12" t="str">
        <f>IF(IF(ISNA(計算結果!J44),"",計算結果!J44)=0,"",IF(ISNA(計算結果!J44),"",計算結果!J44))</f>
        <v/>
      </c>
      <c r="K44" s="23" t="str">
        <f>IF(IF(ISNA(計算結果!K44),"",計算結果!K44)=0,"",IF(ISNA(計算結果!K44),"",計算結果!K44))</f>
        <v/>
      </c>
      <c r="L44" s="13" t="str">
        <f>IF(IF(ISNA(計算結果!L44),"",計算結果!L44)=0,"",IF(ISNA(計算結果!L44),"",計算結果!L44))</f>
        <v/>
      </c>
      <c r="M44" s="10" t="str">
        <f>IF(IF(ISNA(計算結果!M44),"",計算結果!M44)=0,"",IF(ISNA(計算結果!M44),"",計算結果!M44))</f>
        <v/>
      </c>
      <c r="N44" s="10" t="str">
        <f>IF(IF(ISNA(計算結果!N44),"",計算結果!N44)=0,"",IF(ISNA(計算結果!N44),"",計算結果!N44))</f>
        <v/>
      </c>
      <c r="O44" s="13" t="str">
        <f>IF(IF(ISNA(計算結果!O44),"",計算結果!O44)=0,"",IF(ISNA(計算結果!O44),"",計算結果!O44))</f>
        <v/>
      </c>
      <c r="P44" s="10" t="str">
        <f>IF(IF(ISNA(計算結果!P44),"",計算結果!P44)=0,"",IF(ISNA(計算結果!P44),"",計算結果!P44))</f>
        <v/>
      </c>
      <c r="Q44" s="10" t="str">
        <f>IF(IF(ISNA(計算結果!Q44),"",計算結果!Q44)=0,"",IF(ISNA(計算結果!Q44),"",計算結果!Q44))</f>
        <v/>
      </c>
      <c r="R44" s="14" t="str">
        <f t="shared" si="0"/>
        <v/>
      </c>
      <c r="S44" s="14" t="str">
        <f t="shared" si="1"/>
        <v>◯</v>
      </c>
      <c r="T44" s="14" t="str">
        <f t="shared" si="2"/>
        <v/>
      </c>
    </row>
    <row r="45" spans="1:20" hidden="1" x14ac:dyDescent="0.45">
      <c r="A45" s="10" t="str">
        <f>IF(IF(ISNA(計算結果!A45),"",計算結果!A45)=0,"",IF(ISNA(計算結果!A45),"",計算結果!A45))</f>
        <v/>
      </c>
      <c r="B45" s="10" t="str">
        <f>IF(IF(ISNA(計算結果!B45),"",計算結果!B45)=0,"",IF(ISNA(計算結果!B45),"",計算結果!B45))</f>
        <v/>
      </c>
      <c r="C45" s="10" t="str">
        <f>IF(IF(ISNA(計算結果!C45),"",計算結果!C45)=0,"",IF(ISNA(計算結果!C45),"",計算結果!C45))</f>
        <v/>
      </c>
      <c r="D45" s="10" t="str">
        <f>IF(IF(ISNA(計算結果!D45),"",計算結果!D45)=0,"",IF(ISNA(計算結果!D45),"",計算結果!D45))</f>
        <v>L</v>
      </c>
      <c r="E45" s="10" t="str">
        <f>IF(IF(ISNA(計算結果!E45),"",計算結果!E45)=0,"",IF(ISNA(計算結果!E45),"",計算結果!E45))</f>
        <v/>
      </c>
      <c r="F45" s="10" t="str">
        <f>IF(IF(ISNA(計算結果!F45),"",計算結果!F45)=0,"",IF(ISNA(計算結果!F45),"",計算結果!F45))</f>
        <v/>
      </c>
      <c r="G45" s="10" t="str">
        <f>IF(IF(ISNA(計算結果!G45),"",計算結果!G45)=0,"",IF(ISNA(計算結果!G45),"",計算結果!G45))</f>
        <v/>
      </c>
      <c r="H45" s="13">
        <f>IF(IF(ISNA(計算結果!H45),"",計算結果!H45)=0,"",IF(ISNA(計算結果!H45),"",計算結果!H45))</f>
        <v>-2</v>
      </c>
      <c r="I45" s="12" t="str">
        <f>IF(IF(ISNA(計算結果!I45),"",計算結果!I45)=0,"",IF(ISNA(計算結果!I45),"",計算結果!I45))</f>
        <v/>
      </c>
      <c r="J45" s="12" t="str">
        <f>IF(IF(ISNA(計算結果!J45),"",計算結果!J45)=0,"",IF(ISNA(計算結果!J45),"",計算結果!J45))</f>
        <v/>
      </c>
      <c r="K45" s="23" t="str">
        <f>IF(IF(ISNA(計算結果!K45),"",計算結果!K45)=0,"",IF(ISNA(計算結果!K45),"",計算結果!K45))</f>
        <v/>
      </c>
      <c r="L45" s="13" t="str">
        <f>IF(IF(ISNA(計算結果!L45),"",計算結果!L45)=0,"",IF(ISNA(計算結果!L45),"",計算結果!L45))</f>
        <v/>
      </c>
      <c r="M45" s="10" t="str">
        <f>IF(IF(ISNA(計算結果!M45),"",計算結果!M45)=0,"",IF(ISNA(計算結果!M45),"",計算結果!M45))</f>
        <v/>
      </c>
      <c r="N45" s="10" t="str">
        <f>IF(IF(ISNA(計算結果!N45),"",計算結果!N45)=0,"",IF(ISNA(計算結果!N45),"",計算結果!N45))</f>
        <v/>
      </c>
      <c r="O45" s="13" t="str">
        <f>IF(IF(ISNA(計算結果!O45),"",計算結果!O45)=0,"",IF(ISNA(計算結果!O45),"",計算結果!O45))</f>
        <v/>
      </c>
      <c r="P45" s="10" t="str">
        <f>IF(IF(ISNA(計算結果!P45),"",計算結果!P45)=0,"",IF(ISNA(計算結果!P45),"",計算結果!P45))</f>
        <v/>
      </c>
      <c r="Q45" s="10" t="str">
        <f>IF(IF(ISNA(計算結果!Q45),"",計算結果!Q45)=0,"",IF(ISNA(計算結果!Q45),"",計算結果!Q45))</f>
        <v/>
      </c>
      <c r="R45" s="14" t="str">
        <f t="shared" si="0"/>
        <v/>
      </c>
      <c r="S45" s="14" t="str">
        <f t="shared" si="1"/>
        <v>◯</v>
      </c>
      <c r="T45" s="14" t="str">
        <f t="shared" si="2"/>
        <v/>
      </c>
    </row>
    <row r="46" spans="1:20" hidden="1" x14ac:dyDescent="0.45">
      <c r="A46" s="10" t="str">
        <f>IF(IF(ISNA(計算結果!A46),"",計算結果!A46)=0,"",IF(ISNA(計算結果!A46),"",計算結果!A46))</f>
        <v/>
      </c>
      <c r="B46" s="10" t="str">
        <f>IF(IF(ISNA(計算結果!B46),"",計算結果!B46)=0,"",IF(ISNA(計算結果!B46),"",計算結果!B46))</f>
        <v/>
      </c>
      <c r="C46" s="10" t="str">
        <f>IF(IF(ISNA(計算結果!C46),"",計算結果!C46)=0,"",IF(ISNA(計算結果!C46),"",計算結果!C46))</f>
        <v/>
      </c>
      <c r="D46" s="10" t="str">
        <f>IF(IF(ISNA(計算結果!D46),"",計算結果!D46)=0,"",IF(ISNA(計算結果!D46),"",計算結果!D46))</f>
        <v>L</v>
      </c>
      <c r="E46" s="10" t="str">
        <f>IF(IF(ISNA(計算結果!E46),"",計算結果!E46)=0,"",IF(ISNA(計算結果!E46),"",計算結果!E46))</f>
        <v/>
      </c>
      <c r="F46" s="10" t="str">
        <f>IF(IF(ISNA(計算結果!F46),"",計算結果!F46)=0,"",IF(ISNA(計算結果!F46),"",計算結果!F46))</f>
        <v/>
      </c>
      <c r="G46" s="10" t="str">
        <f>IF(IF(ISNA(計算結果!G46),"",計算結果!G46)=0,"",IF(ISNA(計算結果!G46),"",計算結果!G46))</f>
        <v/>
      </c>
      <c r="H46" s="13">
        <f>IF(IF(ISNA(計算結果!H46),"",計算結果!H46)=0,"",IF(ISNA(計算結果!H46),"",計算結果!H46))</f>
        <v>-2</v>
      </c>
      <c r="I46" s="12" t="str">
        <f>IF(IF(ISNA(計算結果!I46),"",計算結果!I46)=0,"",IF(ISNA(計算結果!I46),"",計算結果!I46))</f>
        <v/>
      </c>
      <c r="J46" s="12" t="str">
        <f>IF(IF(ISNA(計算結果!J46),"",計算結果!J46)=0,"",IF(ISNA(計算結果!J46),"",計算結果!J46))</f>
        <v/>
      </c>
      <c r="K46" s="23" t="str">
        <f>IF(IF(ISNA(計算結果!K46),"",計算結果!K46)=0,"",IF(ISNA(計算結果!K46),"",計算結果!K46))</f>
        <v/>
      </c>
      <c r="L46" s="13" t="str">
        <f>IF(IF(ISNA(計算結果!L46),"",計算結果!L46)=0,"",IF(ISNA(計算結果!L46),"",計算結果!L46))</f>
        <v/>
      </c>
      <c r="M46" s="10" t="str">
        <f>IF(IF(ISNA(計算結果!M46),"",計算結果!M46)=0,"",IF(ISNA(計算結果!M46),"",計算結果!M46))</f>
        <v/>
      </c>
      <c r="N46" s="10" t="str">
        <f>IF(IF(ISNA(計算結果!N46),"",計算結果!N46)=0,"",IF(ISNA(計算結果!N46),"",計算結果!N46))</f>
        <v/>
      </c>
      <c r="O46" s="13" t="str">
        <f>IF(IF(ISNA(計算結果!O46),"",計算結果!O46)=0,"",IF(ISNA(計算結果!O46),"",計算結果!O46))</f>
        <v/>
      </c>
      <c r="P46" s="10" t="str">
        <f>IF(IF(ISNA(計算結果!P46),"",計算結果!P46)=0,"",IF(ISNA(計算結果!P46),"",計算結果!P46))</f>
        <v/>
      </c>
      <c r="Q46" s="10" t="str">
        <f>IF(IF(ISNA(計算結果!Q46),"",計算結果!Q46)=0,"",IF(ISNA(計算結果!Q46),"",計算結果!Q46))</f>
        <v/>
      </c>
      <c r="R46" s="14" t="str">
        <f t="shared" si="0"/>
        <v/>
      </c>
      <c r="S46" s="14" t="str">
        <f t="shared" si="1"/>
        <v>◯</v>
      </c>
      <c r="T46" s="14" t="str">
        <f t="shared" si="2"/>
        <v/>
      </c>
    </row>
    <row r="47" spans="1:20" hidden="1" x14ac:dyDescent="0.45">
      <c r="A47" s="10" t="str">
        <f>IF(IF(ISNA(計算結果!A47),"",計算結果!A47)=0,"",IF(ISNA(計算結果!A47),"",計算結果!A47))</f>
        <v/>
      </c>
      <c r="B47" s="10" t="str">
        <f>IF(IF(ISNA(計算結果!B47),"",計算結果!B47)=0,"",IF(ISNA(計算結果!B47),"",計算結果!B47))</f>
        <v/>
      </c>
      <c r="C47" s="10" t="str">
        <f>IF(IF(ISNA(計算結果!C47),"",計算結果!C47)=0,"",IF(ISNA(計算結果!C47),"",計算結果!C47))</f>
        <v/>
      </c>
      <c r="D47" s="10" t="str">
        <f>IF(IF(ISNA(計算結果!D47),"",計算結果!D47)=0,"",IF(ISNA(計算結果!D47),"",計算結果!D47))</f>
        <v>L</v>
      </c>
      <c r="E47" s="10" t="str">
        <f>IF(IF(ISNA(計算結果!E47),"",計算結果!E47)=0,"",IF(ISNA(計算結果!E47),"",計算結果!E47))</f>
        <v/>
      </c>
      <c r="F47" s="10" t="str">
        <f>IF(IF(ISNA(計算結果!F47),"",計算結果!F47)=0,"",IF(ISNA(計算結果!F47),"",計算結果!F47))</f>
        <v/>
      </c>
      <c r="G47" s="10" t="str">
        <f>IF(IF(ISNA(計算結果!G47),"",計算結果!G47)=0,"",IF(ISNA(計算結果!G47),"",計算結果!G47))</f>
        <v/>
      </c>
      <c r="H47" s="13">
        <f>IF(IF(ISNA(計算結果!H47),"",計算結果!H47)=0,"",IF(ISNA(計算結果!H47),"",計算結果!H47))</f>
        <v>-2</v>
      </c>
      <c r="I47" s="12" t="str">
        <f>IF(IF(ISNA(計算結果!I47),"",計算結果!I47)=0,"",IF(ISNA(計算結果!I47),"",計算結果!I47))</f>
        <v/>
      </c>
      <c r="J47" s="12" t="str">
        <f>IF(IF(ISNA(計算結果!J47),"",計算結果!J47)=0,"",IF(ISNA(計算結果!J47),"",計算結果!J47))</f>
        <v/>
      </c>
      <c r="K47" s="23" t="str">
        <f>IF(IF(ISNA(計算結果!K47),"",計算結果!K47)=0,"",IF(ISNA(計算結果!K47),"",計算結果!K47))</f>
        <v/>
      </c>
      <c r="L47" s="13" t="str">
        <f>IF(IF(ISNA(計算結果!L47),"",計算結果!L47)=0,"",IF(ISNA(計算結果!L47),"",計算結果!L47))</f>
        <v/>
      </c>
      <c r="M47" s="10" t="str">
        <f>IF(IF(ISNA(計算結果!M47),"",計算結果!M47)=0,"",IF(ISNA(計算結果!M47),"",計算結果!M47))</f>
        <v/>
      </c>
      <c r="N47" s="10" t="str">
        <f>IF(IF(ISNA(計算結果!N47),"",計算結果!N47)=0,"",IF(ISNA(計算結果!N47),"",計算結果!N47))</f>
        <v/>
      </c>
      <c r="O47" s="13" t="str">
        <f>IF(IF(ISNA(計算結果!O47),"",計算結果!O47)=0,"",IF(ISNA(計算結果!O47),"",計算結果!O47))</f>
        <v/>
      </c>
      <c r="P47" s="10" t="str">
        <f>IF(IF(ISNA(計算結果!P47),"",計算結果!P47)=0,"",IF(ISNA(計算結果!P47),"",計算結果!P47))</f>
        <v/>
      </c>
      <c r="Q47" s="10" t="str">
        <f>IF(IF(ISNA(計算結果!Q47),"",計算結果!Q47)=0,"",IF(ISNA(計算結果!Q47),"",計算結果!Q47))</f>
        <v/>
      </c>
      <c r="R47" s="14" t="str">
        <f t="shared" si="0"/>
        <v/>
      </c>
      <c r="S47" s="14" t="str">
        <f t="shared" si="1"/>
        <v>◯</v>
      </c>
      <c r="T47" s="14" t="str">
        <f t="shared" si="2"/>
        <v/>
      </c>
    </row>
    <row r="48" spans="1:20" hidden="1" x14ac:dyDescent="0.45">
      <c r="A48" s="10" t="str">
        <f>IF(IF(ISNA(計算結果!A48),"",計算結果!A48)=0,"",IF(ISNA(計算結果!A48),"",計算結果!A48))</f>
        <v/>
      </c>
      <c r="B48" s="10" t="str">
        <f>IF(IF(ISNA(計算結果!B48),"",計算結果!B48)=0,"",IF(ISNA(計算結果!B48),"",計算結果!B48))</f>
        <v/>
      </c>
      <c r="C48" s="10" t="str">
        <f>IF(IF(ISNA(計算結果!C48),"",計算結果!C48)=0,"",IF(ISNA(計算結果!C48),"",計算結果!C48))</f>
        <v/>
      </c>
      <c r="D48" s="10" t="str">
        <f>IF(IF(ISNA(計算結果!D48),"",計算結果!D48)=0,"",IF(ISNA(計算結果!D48),"",計算結果!D48))</f>
        <v>L</v>
      </c>
      <c r="E48" s="10" t="str">
        <f>IF(IF(ISNA(計算結果!E48),"",計算結果!E48)=0,"",IF(ISNA(計算結果!E48),"",計算結果!E48))</f>
        <v/>
      </c>
      <c r="F48" s="10" t="str">
        <f>IF(IF(ISNA(計算結果!F48),"",計算結果!F48)=0,"",IF(ISNA(計算結果!F48),"",計算結果!F48))</f>
        <v/>
      </c>
      <c r="G48" s="10" t="str">
        <f>IF(IF(ISNA(計算結果!G48),"",計算結果!G48)=0,"",IF(ISNA(計算結果!G48),"",計算結果!G48))</f>
        <v/>
      </c>
      <c r="H48" s="13">
        <f>IF(IF(ISNA(計算結果!H48),"",計算結果!H48)=0,"",IF(ISNA(計算結果!H48),"",計算結果!H48))</f>
        <v>-2</v>
      </c>
      <c r="I48" s="12" t="str">
        <f>IF(IF(ISNA(計算結果!I48),"",計算結果!I48)=0,"",IF(ISNA(計算結果!I48),"",計算結果!I48))</f>
        <v/>
      </c>
      <c r="J48" s="12" t="str">
        <f>IF(IF(ISNA(計算結果!J48),"",計算結果!J48)=0,"",IF(ISNA(計算結果!J48),"",計算結果!J48))</f>
        <v/>
      </c>
      <c r="K48" s="23" t="str">
        <f>IF(IF(ISNA(計算結果!K48),"",計算結果!K48)=0,"",IF(ISNA(計算結果!K48),"",計算結果!K48))</f>
        <v/>
      </c>
      <c r="L48" s="13" t="str">
        <f>IF(IF(ISNA(計算結果!L48),"",計算結果!L48)=0,"",IF(ISNA(計算結果!L48),"",計算結果!L48))</f>
        <v/>
      </c>
      <c r="M48" s="10" t="str">
        <f>IF(IF(ISNA(計算結果!M48),"",計算結果!M48)=0,"",IF(ISNA(計算結果!M48),"",計算結果!M48))</f>
        <v/>
      </c>
      <c r="N48" s="10" t="str">
        <f>IF(IF(ISNA(計算結果!N48),"",計算結果!N48)=0,"",IF(ISNA(計算結果!N48),"",計算結果!N48))</f>
        <v/>
      </c>
      <c r="O48" s="13" t="str">
        <f>IF(IF(ISNA(計算結果!O48),"",計算結果!O48)=0,"",IF(ISNA(計算結果!O48),"",計算結果!O48))</f>
        <v/>
      </c>
      <c r="P48" s="10" t="str">
        <f>IF(IF(ISNA(計算結果!P48),"",計算結果!P48)=0,"",IF(ISNA(計算結果!P48),"",計算結果!P48))</f>
        <v/>
      </c>
      <c r="Q48" s="10" t="str">
        <f>IF(IF(ISNA(計算結果!Q48),"",計算結果!Q48)=0,"",IF(ISNA(計算結果!Q48),"",計算結果!Q48))</f>
        <v/>
      </c>
      <c r="R48" s="14" t="str">
        <f t="shared" si="0"/>
        <v/>
      </c>
      <c r="S48" s="14" t="str">
        <f t="shared" si="1"/>
        <v>◯</v>
      </c>
      <c r="T48" s="14" t="str">
        <f t="shared" si="2"/>
        <v/>
      </c>
    </row>
    <row r="49" spans="1:20" hidden="1" x14ac:dyDescent="0.45">
      <c r="A49" s="10" t="str">
        <f>IF(IF(ISNA(計算結果!A49),"",計算結果!A49)=0,"",IF(ISNA(計算結果!A49),"",計算結果!A49))</f>
        <v/>
      </c>
      <c r="B49" s="10" t="str">
        <f>IF(IF(ISNA(計算結果!B49),"",計算結果!B49)=0,"",IF(ISNA(計算結果!B49),"",計算結果!B49))</f>
        <v/>
      </c>
      <c r="C49" s="10" t="str">
        <f>IF(IF(ISNA(計算結果!C49),"",計算結果!C49)=0,"",IF(ISNA(計算結果!C49),"",計算結果!C49))</f>
        <v/>
      </c>
      <c r="D49" s="10" t="str">
        <f>IF(IF(ISNA(計算結果!D49),"",計算結果!D49)=0,"",IF(ISNA(計算結果!D49),"",計算結果!D49))</f>
        <v>L</v>
      </c>
      <c r="E49" s="10" t="str">
        <f>IF(IF(ISNA(計算結果!E49),"",計算結果!E49)=0,"",IF(ISNA(計算結果!E49),"",計算結果!E49))</f>
        <v/>
      </c>
      <c r="F49" s="10" t="str">
        <f>IF(IF(ISNA(計算結果!F49),"",計算結果!F49)=0,"",IF(ISNA(計算結果!F49),"",計算結果!F49))</f>
        <v/>
      </c>
      <c r="G49" s="10" t="str">
        <f>IF(IF(ISNA(計算結果!G49),"",計算結果!G49)=0,"",IF(ISNA(計算結果!G49),"",計算結果!G49))</f>
        <v/>
      </c>
      <c r="H49" s="13">
        <f>IF(IF(ISNA(計算結果!H49),"",計算結果!H49)=0,"",IF(ISNA(計算結果!H49),"",計算結果!H49))</f>
        <v>-2</v>
      </c>
      <c r="I49" s="12" t="str">
        <f>IF(IF(ISNA(計算結果!I49),"",計算結果!I49)=0,"",IF(ISNA(計算結果!I49),"",計算結果!I49))</f>
        <v/>
      </c>
      <c r="J49" s="12" t="str">
        <f>IF(IF(ISNA(計算結果!J49),"",計算結果!J49)=0,"",IF(ISNA(計算結果!J49),"",計算結果!J49))</f>
        <v/>
      </c>
      <c r="K49" s="23" t="str">
        <f>IF(IF(ISNA(計算結果!K49),"",計算結果!K49)=0,"",IF(ISNA(計算結果!K49),"",計算結果!K49))</f>
        <v/>
      </c>
      <c r="L49" s="13" t="str">
        <f>IF(IF(ISNA(計算結果!L49),"",計算結果!L49)=0,"",IF(ISNA(計算結果!L49),"",計算結果!L49))</f>
        <v/>
      </c>
      <c r="M49" s="10" t="str">
        <f>IF(IF(ISNA(計算結果!M49),"",計算結果!M49)=0,"",IF(ISNA(計算結果!M49),"",計算結果!M49))</f>
        <v/>
      </c>
      <c r="N49" s="10" t="str">
        <f>IF(IF(ISNA(計算結果!N49),"",計算結果!N49)=0,"",IF(ISNA(計算結果!N49),"",計算結果!N49))</f>
        <v/>
      </c>
      <c r="O49" s="13" t="str">
        <f>IF(IF(ISNA(計算結果!O49),"",計算結果!O49)=0,"",IF(ISNA(計算結果!O49),"",計算結果!O49))</f>
        <v/>
      </c>
      <c r="P49" s="10" t="str">
        <f>IF(IF(ISNA(計算結果!P49),"",計算結果!P49)=0,"",IF(ISNA(計算結果!P49),"",計算結果!P49))</f>
        <v/>
      </c>
      <c r="Q49" s="10" t="str">
        <f>IF(IF(ISNA(計算結果!Q49),"",計算結果!Q49)=0,"",IF(ISNA(計算結果!Q49),"",計算結果!Q49))</f>
        <v/>
      </c>
      <c r="R49" s="14" t="str">
        <f t="shared" si="0"/>
        <v/>
      </c>
      <c r="S49" s="14" t="str">
        <f t="shared" si="1"/>
        <v>◯</v>
      </c>
      <c r="T49" s="14" t="str">
        <f t="shared" si="2"/>
        <v/>
      </c>
    </row>
    <row r="50" spans="1:20" hidden="1" x14ac:dyDescent="0.45">
      <c r="A50" s="10" t="str">
        <f>IF(IF(ISNA(計算結果!A50),"",計算結果!A50)=0,"",IF(ISNA(計算結果!A50),"",計算結果!A50))</f>
        <v/>
      </c>
      <c r="B50" s="10" t="str">
        <f>IF(IF(ISNA(計算結果!B50),"",計算結果!B50)=0,"",IF(ISNA(計算結果!B50),"",計算結果!B50))</f>
        <v/>
      </c>
      <c r="C50" s="10" t="str">
        <f>IF(IF(ISNA(計算結果!C50),"",計算結果!C50)=0,"",IF(ISNA(計算結果!C50),"",計算結果!C50))</f>
        <v/>
      </c>
      <c r="D50" s="10" t="str">
        <f>IF(IF(ISNA(計算結果!D50),"",計算結果!D50)=0,"",IF(ISNA(計算結果!D50),"",計算結果!D50))</f>
        <v>L</v>
      </c>
      <c r="E50" s="10" t="str">
        <f>IF(IF(ISNA(計算結果!E50),"",計算結果!E50)=0,"",IF(ISNA(計算結果!E50),"",計算結果!E50))</f>
        <v/>
      </c>
      <c r="F50" s="10" t="str">
        <f>IF(IF(ISNA(計算結果!F50),"",計算結果!F50)=0,"",IF(ISNA(計算結果!F50),"",計算結果!F50))</f>
        <v/>
      </c>
      <c r="G50" s="10" t="str">
        <f>IF(IF(ISNA(計算結果!G50),"",計算結果!G50)=0,"",IF(ISNA(計算結果!G50),"",計算結果!G50))</f>
        <v/>
      </c>
      <c r="H50" s="13">
        <f>IF(IF(ISNA(計算結果!H50),"",計算結果!H50)=0,"",IF(ISNA(計算結果!H50),"",計算結果!H50))</f>
        <v>-2</v>
      </c>
      <c r="I50" s="12" t="str">
        <f>IF(IF(ISNA(計算結果!I50),"",計算結果!I50)=0,"",IF(ISNA(計算結果!I50),"",計算結果!I50))</f>
        <v/>
      </c>
      <c r="J50" s="12" t="str">
        <f>IF(IF(ISNA(計算結果!J50),"",計算結果!J50)=0,"",IF(ISNA(計算結果!J50),"",計算結果!J50))</f>
        <v/>
      </c>
      <c r="K50" s="23" t="str">
        <f>IF(IF(ISNA(計算結果!K50),"",計算結果!K50)=0,"",IF(ISNA(計算結果!K50),"",計算結果!K50))</f>
        <v/>
      </c>
      <c r="L50" s="13" t="str">
        <f>IF(IF(ISNA(計算結果!L50),"",計算結果!L50)=0,"",IF(ISNA(計算結果!L50),"",計算結果!L50))</f>
        <v/>
      </c>
      <c r="M50" s="10" t="str">
        <f>IF(IF(ISNA(計算結果!M50),"",計算結果!M50)=0,"",IF(ISNA(計算結果!M50),"",計算結果!M50))</f>
        <v/>
      </c>
      <c r="N50" s="10" t="str">
        <f>IF(IF(ISNA(計算結果!N50),"",計算結果!N50)=0,"",IF(ISNA(計算結果!N50),"",計算結果!N50))</f>
        <v/>
      </c>
      <c r="O50" s="13" t="str">
        <f>IF(IF(ISNA(計算結果!O50),"",計算結果!O50)=0,"",IF(ISNA(計算結果!O50),"",計算結果!O50))</f>
        <v/>
      </c>
      <c r="P50" s="10" t="str">
        <f>IF(IF(ISNA(計算結果!P50),"",計算結果!P50)=0,"",IF(ISNA(計算結果!P50),"",計算結果!P50))</f>
        <v/>
      </c>
      <c r="Q50" s="10" t="str">
        <f>IF(IF(ISNA(計算結果!Q50),"",計算結果!Q50)=0,"",IF(ISNA(計算結果!Q50),"",計算結果!Q50))</f>
        <v/>
      </c>
      <c r="R50" s="14" t="str">
        <f t="shared" si="0"/>
        <v/>
      </c>
      <c r="S50" s="14" t="str">
        <f t="shared" si="1"/>
        <v>◯</v>
      </c>
      <c r="T50" s="14" t="str">
        <f t="shared" si="2"/>
        <v/>
      </c>
    </row>
    <row r="51" spans="1:20" hidden="1" x14ac:dyDescent="0.45">
      <c r="A51" s="10" t="str">
        <f>IF(IF(ISNA(計算結果!A51),"",計算結果!A51)=0,"",IF(ISNA(計算結果!A51),"",計算結果!A51))</f>
        <v/>
      </c>
      <c r="B51" s="10" t="str">
        <f>IF(IF(ISNA(計算結果!B51),"",計算結果!B51)=0,"",IF(ISNA(計算結果!B51),"",計算結果!B51))</f>
        <v/>
      </c>
      <c r="C51" s="10" t="str">
        <f>IF(IF(ISNA(計算結果!C51),"",計算結果!C51)=0,"",IF(ISNA(計算結果!C51),"",計算結果!C51))</f>
        <v/>
      </c>
      <c r="D51" s="10" t="str">
        <f>IF(IF(ISNA(計算結果!D51),"",計算結果!D51)=0,"",IF(ISNA(計算結果!D51),"",計算結果!D51))</f>
        <v>L</v>
      </c>
      <c r="E51" s="10" t="str">
        <f>IF(IF(ISNA(計算結果!E51),"",計算結果!E51)=0,"",IF(ISNA(計算結果!E51),"",計算結果!E51))</f>
        <v/>
      </c>
      <c r="F51" s="10" t="str">
        <f>IF(IF(ISNA(計算結果!F51),"",計算結果!F51)=0,"",IF(ISNA(計算結果!F51),"",計算結果!F51))</f>
        <v/>
      </c>
      <c r="G51" s="10" t="str">
        <f>IF(IF(ISNA(計算結果!G51),"",計算結果!G51)=0,"",IF(ISNA(計算結果!G51),"",計算結果!G51))</f>
        <v/>
      </c>
      <c r="H51" s="13">
        <f>IF(IF(ISNA(計算結果!H51),"",計算結果!H51)=0,"",IF(ISNA(計算結果!H51),"",計算結果!H51))</f>
        <v>-2</v>
      </c>
      <c r="I51" s="12" t="str">
        <f>IF(IF(ISNA(計算結果!I51),"",計算結果!I51)=0,"",IF(ISNA(計算結果!I51),"",計算結果!I51))</f>
        <v/>
      </c>
      <c r="J51" s="12" t="str">
        <f>IF(IF(ISNA(計算結果!J51),"",計算結果!J51)=0,"",IF(ISNA(計算結果!J51),"",計算結果!J51))</f>
        <v/>
      </c>
      <c r="K51" s="23" t="str">
        <f>IF(IF(ISNA(計算結果!K51),"",計算結果!K51)=0,"",IF(ISNA(計算結果!K51),"",計算結果!K51))</f>
        <v/>
      </c>
      <c r="L51" s="13" t="str">
        <f>IF(IF(ISNA(計算結果!L51),"",計算結果!L51)=0,"",IF(ISNA(計算結果!L51),"",計算結果!L51))</f>
        <v/>
      </c>
      <c r="M51" s="10" t="str">
        <f>IF(IF(ISNA(計算結果!M51),"",計算結果!M51)=0,"",IF(ISNA(計算結果!M51),"",計算結果!M51))</f>
        <v/>
      </c>
      <c r="N51" s="10" t="str">
        <f>IF(IF(ISNA(計算結果!N51),"",計算結果!N51)=0,"",IF(ISNA(計算結果!N51),"",計算結果!N51))</f>
        <v/>
      </c>
      <c r="O51" s="13" t="str">
        <f>IF(IF(ISNA(計算結果!O51),"",計算結果!O51)=0,"",IF(ISNA(計算結果!O51),"",計算結果!O51))</f>
        <v/>
      </c>
      <c r="P51" s="10" t="str">
        <f>IF(IF(ISNA(計算結果!P51),"",計算結果!P51)=0,"",IF(ISNA(計算結果!P51),"",計算結果!P51))</f>
        <v/>
      </c>
      <c r="Q51" s="10" t="str">
        <f>IF(IF(ISNA(計算結果!Q51),"",計算結果!Q51)=0,"",IF(ISNA(計算結果!Q51),"",計算結果!Q51))</f>
        <v/>
      </c>
      <c r="R51" s="14" t="str">
        <f t="shared" si="0"/>
        <v/>
      </c>
      <c r="S51" s="14" t="str">
        <f t="shared" si="1"/>
        <v>◯</v>
      </c>
      <c r="T51" s="14" t="str">
        <f t="shared" si="2"/>
        <v/>
      </c>
    </row>
    <row r="52" spans="1:20" hidden="1" x14ac:dyDescent="0.45">
      <c r="A52" s="10" t="str">
        <f>IF(IF(ISNA(計算結果!A52),"",計算結果!A52)=0,"",IF(ISNA(計算結果!A52),"",計算結果!A52))</f>
        <v/>
      </c>
      <c r="B52" s="10" t="str">
        <f>IF(IF(ISNA(計算結果!B52),"",計算結果!B52)=0,"",IF(ISNA(計算結果!B52),"",計算結果!B52))</f>
        <v/>
      </c>
      <c r="C52" s="10" t="str">
        <f>IF(IF(ISNA(計算結果!C52),"",計算結果!C52)=0,"",IF(ISNA(計算結果!C52),"",計算結果!C52))</f>
        <v/>
      </c>
      <c r="D52" s="10" t="str">
        <f>IF(IF(ISNA(計算結果!D52),"",計算結果!D52)=0,"",IF(ISNA(計算結果!D52),"",計算結果!D52))</f>
        <v>L</v>
      </c>
      <c r="E52" s="10" t="str">
        <f>IF(IF(ISNA(計算結果!E52),"",計算結果!E52)=0,"",IF(ISNA(計算結果!E52),"",計算結果!E52))</f>
        <v/>
      </c>
      <c r="F52" s="10" t="str">
        <f>IF(IF(ISNA(計算結果!F52),"",計算結果!F52)=0,"",IF(ISNA(計算結果!F52),"",計算結果!F52))</f>
        <v/>
      </c>
      <c r="G52" s="10" t="str">
        <f>IF(IF(ISNA(計算結果!G52),"",計算結果!G52)=0,"",IF(ISNA(計算結果!G52),"",計算結果!G52))</f>
        <v/>
      </c>
      <c r="H52" s="13">
        <f>IF(IF(ISNA(計算結果!H52),"",計算結果!H52)=0,"",IF(ISNA(計算結果!H52),"",計算結果!H52))</f>
        <v>-2</v>
      </c>
      <c r="I52" s="12" t="str">
        <f>IF(IF(ISNA(計算結果!I52),"",計算結果!I52)=0,"",IF(ISNA(計算結果!I52),"",計算結果!I52))</f>
        <v/>
      </c>
      <c r="J52" s="12" t="str">
        <f>IF(IF(ISNA(計算結果!J52),"",計算結果!J52)=0,"",IF(ISNA(計算結果!J52),"",計算結果!J52))</f>
        <v/>
      </c>
      <c r="K52" s="23" t="str">
        <f>IF(IF(ISNA(計算結果!K52),"",計算結果!K52)=0,"",IF(ISNA(計算結果!K52),"",計算結果!K52))</f>
        <v/>
      </c>
      <c r="L52" s="13" t="str">
        <f>IF(IF(ISNA(計算結果!L52),"",計算結果!L52)=0,"",IF(ISNA(計算結果!L52),"",計算結果!L52))</f>
        <v/>
      </c>
      <c r="M52" s="10" t="str">
        <f>IF(IF(ISNA(計算結果!M52),"",計算結果!M52)=0,"",IF(ISNA(計算結果!M52),"",計算結果!M52))</f>
        <v/>
      </c>
      <c r="N52" s="10" t="str">
        <f>IF(IF(ISNA(計算結果!N52),"",計算結果!N52)=0,"",IF(ISNA(計算結果!N52),"",計算結果!N52))</f>
        <v/>
      </c>
      <c r="O52" s="13" t="str">
        <f>IF(IF(ISNA(計算結果!O52),"",計算結果!O52)=0,"",IF(ISNA(計算結果!O52),"",計算結果!O52))</f>
        <v/>
      </c>
      <c r="P52" s="10" t="str">
        <f>IF(IF(ISNA(計算結果!P52),"",計算結果!P52)=0,"",IF(ISNA(計算結果!P52),"",計算結果!P52))</f>
        <v/>
      </c>
      <c r="Q52" s="10" t="str">
        <f>IF(IF(ISNA(計算結果!Q52),"",計算結果!Q52)=0,"",IF(ISNA(計算結果!Q52),"",計算結果!Q52))</f>
        <v/>
      </c>
      <c r="R52" s="14" t="str">
        <f t="shared" si="0"/>
        <v/>
      </c>
      <c r="S52" s="14" t="str">
        <f t="shared" si="1"/>
        <v>◯</v>
      </c>
      <c r="T52" s="14" t="str">
        <f t="shared" si="2"/>
        <v/>
      </c>
    </row>
    <row r="53" spans="1:20" hidden="1" x14ac:dyDescent="0.45">
      <c r="A53" s="10" t="str">
        <f>IF(IF(ISNA(計算結果!A53),"",計算結果!A53)=0,"",IF(ISNA(計算結果!A53),"",計算結果!A53))</f>
        <v/>
      </c>
      <c r="B53" s="10" t="str">
        <f>IF(IF(ISNA(計算結果!B53),"",計算結果!B53)=0,"",IF(ISNA(計算結果!B53),"",計算結果!B53))</f>
        <v/>
      </c>
      <c r="C53" s="10" t="str">
        <f>IF(IF(ISNA(計算結果!C53),"",計算結果!C53)=0,"",IF(ISNA(計算結果!C53),"",計算結果!C53))</f>
        <v/>
      </c>
      <c r="D53" s="10" t="str">
        <f>IF(IF(ISNA(計算結果!D53),"",計算結果!D53)=0,"",IF(ISNA(計算結果!D53),"",計算結果!D53))</f>
        <v>L</v>
      </c>
      <c r="E53" s="10" t="str">
        <f>IF(IF(ISNA(計算結果!E53),"",計算結果!E53)=0,"",IF(ISNA(計算結果!E53),"",計算結果!E53))</f>
        <v/>
      </c>
      <c r="F53" s="10" t="str">
        <f>IF(IF(ISNA(計算結果!F53),"",計算結果!F53)=0,"",IF(ISNA(計算結果!F53),"",計算結果!F53))</f>
        <v/>
      </c>
      <c r="G53" s="10" t="str">
        <f>IF(IF(ISNA(計算結果!G53),"",計算結果!G53)=0,"",IF(ISNA(計算結果!G53),"",計算結果!G53))</f>
        <v/>
      </c>
      <c r="H53" s="13">
        <f>IF(IF(ISNA(計算結果!H53),"",計算結果!H53)=0,"",IF(ISNA(計算結果!H53),"",計算結果!H53))</f>
        <v>-2</v>
      </c>
      <c r="I53" s="12" t="str">
        <f>IF(IF(ISNA(計算結果!I53),"",計算結果!I53)=0,"",IF(ISNA(計算結果!I53),"",計算結果!I53))</f>
        <v/>
      </c>
      <c r="J53" s="12" t="str">
        <f>IF(IF(ISNA(計算結果!J53),"",計算結果!J53)=0,"",IF(ISNA(計算結果!J53),"",計算結果!J53))</f>
        <v/>
      </c>
      <c r="K53" s="23" t="str">
        <f>IF(IF(ISNA(計算結果!K53),"",計算結果!K53)=0,"",IF(ISNA(計算結果!K53),"",計算結果!K53))</f>
        <v/>
      </c>
      <c r="L53" s="13" t="str">
        <f>IF(IF(ISNA(計算結果!L53),"",計算結果!L53)=0,"",IF(ISNA(計算結果!L53),"",計算結果!L53))</f>
        <v/>
      </c>
      <c r="M53" s="10" t="str">
        <f>IF(IF(ISNA(計算結果!M53),"",計算結果!M53)=0,"",IF(ISNA(計算結果!M53),"",計算結果!M53))</f>
        <v/>
      </c>
      <c r="N53" s="10" t="str">
        <f>IF(IF(ISNA(計算結果!N53),"",計算結果!N53)=0,"",IF(ISNA(計算結果!N53),"",計算結果!N53))</f>
        <v/>
      </c>
      <c r="O53" s="13" t="str">
        <f>IF(IF(ISNA(計算結果!O53),"",計算結果!O53)=0,"",IF(ISNA(計算結果!O53),"",計算結果!O53))</f>
        <v/>
      </c>
      <c r="P53" s="10" t="str">
        <f>IF(IF(ISNA(計算結果!P53),"",計算結果!P53)=0,"",IF(ISNA(計算結果!P53),"",計算結果!P53))</f>
        <v/>
      </c>
      <c r="Q53" s="10" t="str">
        <f>IF(IF(ISNA(計算結果!Q53),"",計算結果!Q53)=0,"",IF(ISNA(計算結果!Q53),"",計算結果!Q53))</f>
        <v/>
      </c>
      <c r="R53" s="14" t="str">
        <f t="shared" si="0"/>
        <v/>
      </c>
      <c r="S53" s="14" t="str">
        <f t="shared" si="1"/>
        <v>◯</v>
      </c>
      <c r="T53" s="14" t="str">
        <f t="shared" si="2"/>
        <v/>
      </c>
    </row>
    <row r="54" spans="1:20" hidden="1" x14ac:dyDescent="0.45">
      <c r="A54" s="10" t="str">
        <f>IF(IF(ISNA(計算結果!A54),"",計算結果!A54)=0,"",IF(ISNA(計算結果!A54),"",計算結果!A54))</f>
        <v/>
      </c>
      <c r="B54" s="10" t="str">
        <f>IF(IF(ISNA(計算結果!B54),"",計算結果!B54)=0,"",IF(ISNA(計算結果!B54),"",計算結果!B54))</f>
        <v/>
      </c>
      <c r="C54" s="10" t="str">
        <f>IF(IF(ISNA(計算結果!C54),"",計算結果!C54)=0,"",IF(ISNA(計算結果!C54),"",計算結果!C54))</f>
        <v/>
      </c>
      <c r="D54" s="10" t="str">
        <f>IF(IF(ISNA(計算結果!D54),"",計算結果!D54)=0,"",IF(ISNA(計算結果!D54),"",計算結果!D54))</f>
        <v>L</v>
      </c>
      <c r="E54" s="10" t="str">
        <f>IF(IF(ISNA(計算結果!E54),"",計算結果!E54)=0,"",IF(ISNA(計算結果!E54),"",計算結果!E54))</f>
        <v/>
      </c>
      <c r="F54" s="10" t="str">
        <f>IF(IF(ISNA(計算結果!F54),"",計算結果!F54)=0,"",IF(ISNA(計算結果!F54),"",計算結果!F54))</f>
        <v/>
      </c>
      <c r="G54" s="10" t="str">
        <f>IF(IF(ISNA(計算結果!G54),"",計算結果!G54)=0,"",IF(ISNA(計算結果!G54),"",計算結果!G54))</f>
        <v/>
      </c>
      <c r="H54" s="13">
        <f>IF(IF(ISNA(計算結果!H54),"",計算結果!H54)=0,"",IF(ISNA(計算結果!H54),"",計算結果!H54))</f>
        <v>-2</v>
      </c>
      <c r="I54" s="12" t="str">
        <f>IF(IF(ISNA(計算結果!I54),"",計算結果!I54)=0,"",IF(ISNA(計算結果!I54),"",計算結果!I54))</f>
        <v/>
      </c>
      <c r="J54" s="12" t="str">
        <f>IF(IF(ISNA(計算結果!J54),"",計算結果!J54)=0,"",IF(ISNA(計算結果!J54),"",計算結果!J54))</f>
        <v/>
      </c>
      <c r="K54" s="23" t="str">
        <f>IF(IF(ISNA(計算結果!K54),"",計算結果!K54)=0,"",IF(ISNA(計算結果!K54),"",計算結果!K54))</f>
        <v/>
      </c>
      <c r="L54" s="13" t="str">
        <f>IF(IF(ISNA(計算結果!L54),"",計算結果!L54)=0,"",IF(ISNA(計算結果!L54),"",計算結果!L54))</f>
        <v/>
      </c>
      <c r="M54" s="10" t="str">
        <f>IF(IF(ISNA(計算結果!M54),"",計算結果!M54)=0,"",IF(ISNA(計算結果!M54),"",計算結果!M54))</f>
        <v/>
      </c>
      <c r="N54" s="10" t="str">
        <f>IF(IF(ISNA(計算結果!N54),"",計算結果!N54)=0,"",IF(ISNA(計算結果!N54),"",計算結果!N54))</f>
        <v/>
      </c>
      <c r="O54" s="13" t="str">
        <f>IF(IF(ISNA(計算結果!O54),"",計算結果!O54)=0,"",IF(ISNA(計算結果!O54),"",計算結果!O54))</f>
        <v/>
      </c>
      <c r="P54" s="10" t="str">
        <f>IF(IF(ISNA(計算結果!P54),"",計算結果!P54)=0,"",IF(ISNA(計算結果!P54),"",計算結果!P54))</f>
        <v/>
      </c>
      <c r="Q54" s="10" t="str">
        <f>IF(IF(ISNA(計算結果!Q54),"",計算結果!Q54)=0,"",IF(ISNA(計算結果!Q54),"",計算結果!Q54))</f>
        <v/>
      </c>
      <c r="R54" s="14" t="str">
        <f t="shared" si="0"/>
        <v/>
      </c>
      <c r="S54" s="14" t="str">
        <f t="shared" si="1"/>
        <v>◯</v>
      </c>
      <c r="T54" s="14" t="str">
        <f t="shared" si="2"/>
        <v/>
      </c>
    </row>
    <row r="55" spans="1:20" hidden="1" x14ac:dyDescent="0.45">
      <c r="A55" s="10" t="str">
        <f>IF(IF(ISNA(計算結果!A55),"",計算結果!A55)=0,"",IF(ISNA(計算結果!A55),"",計算結果!A55))</f>
        <v/>
      </c>
      <c r="B55" s="10" t="str">
        <f>IF(IF(ISNA(計算結果!B55),"",計算結果!B55)=0,"",IF(ISNA(計算結果!B55),"",計算結果!B55))</f>
        <v/>
      </c>
      <c r="C55" s="10" t="str">
        <f>IF(IF(ISNA(計算結果!C55),"",計算結果!C55)=0,"",IF(ISNA(計算結果!C55),"",計算結果!C55))</f>
        <v/>
      </c>
      <c r="D55" s="10" t="str">
        <f>IF(IF(ISNA(計算結果!D55),"",計算結果!D55)=0,"",IF(ISNA(計算結果!D55),"",計算結果!D55))</f>
        <v>L</v>
      </c>
      <c r="E55" s="10" t="str">
        <f>IF(IF(ISNA(計算結果!E55),"",計算結果!E55)=0,"",IF(ISNA(計算結果!E55),"",計算結果!E55))</f>
        <v/>
      </c>
      <c r="F55" s="10" t="str">
        <f>IF(IF(ISNA(計算結果!F55),"",計算結果!F55)=0,"",IF(ISNA(計算結果!F55),"",計算結果!F55))</f>
        <v/>
      </c>
      <c r="G55" s="10" t="str">
        <f>IF(IF(ISNA(計算結果!G55),"",計算結果!G55)=0,"",IF(ISNA(計算結果!G55),"",計算結果!G55))</f>
        <v/>
      </c>
      <c r="H55" s="13">
        <f>IF(IF(ISNA(計算結果!H55),"",計算結果!H55)=0,"",IF(ISNA(計算結果!H55),"",計算結果!H55))</f>
        <v>-2</v>
      </c>
      <c r="I55" s="12" t="str">
        <f>IF(IF(ISNA(計算結果!I55),"",計算結果!I55)=0,"",IF(ISNA(計算結果!I55),"",計算結果!I55))</f>
        <v/>
      </c>
      <c r="J55" s="12" t="str">
        <f>IF(IF(ISNA(計算結果!J55),"",計算結果!J55)=0,"",IF(ISNA(計算結果!J55),"",計算結果!J55))</f>
        <v/>
      </c>
      <c r="K55" s="23" t="str">
        <f>IF(IF(ISNA(計算結果!K55),"",計算結果!K55)=0,"",IF(ISNA(計算結果!K55),"",計算結果!K55))</f>
        <v/>
      </c>
      <c r="L55" s="13" t="str">
        <f>IF(IF(ISNA(計算結果!L55),"",計算結果!L55)=0,"",IF(ISNA(計算結果!L55),"",計算結果!L55))</f>
        <v/>
      </c>
      <c r="M55" s="10" t="str">
        <f>IF(IF(ISNA(計算結果!M55),"",計算結果!M55)=0,"",IF(ISNA(計算結果!M55),"",計算結果!M55))</f>
        <v/>
      </c>
      <c r="N55" s="10" t="str">
        <f>IF(IF(ISNA(計算結果!N55),"",計算結果!N55)=0,"",IF(ISNA(計算結果!N55),"",計算結果!N55))</f>
        <v/>
      </c>
      <c r="O55" s="13" t="str">
        <f>IF(IF(ISNA(計算結果!O55),"",計算結果!O55)=0,"",IF(ISNA(計算結果!O55),"",計算結果!O55))</f>
        <v/>
      </c>
      <c r="P55" s="10" t="str">
        <f>IF(IF(ISNA(計算結果!P55),"",計算結果!P55)=0,"",IF(ISNA(計算結果!P55),"",計算結果!P55))</f>
        <v/>
      </c>
      <c r="Q55" s="10" t="str">
        <f>IF(IF(ISNA(計算結果!Q55),"",計算結果!Q55)=0,"",IF(ISNA(計算結果!Q55),"",計算結果!Q55))</f>
        <v/>
      </c>
      <c r="R55" s="14" t="str">
        <f t="shared" si="0"/>
        <v/>
      </c>
      <c r="S55" s="14" t="str">
        <f t="shared" si="1"/>
        <v>◯</v>
      </c>
      <c r="T55" s="14" t="str">
        <f t="shared" si="2"/>
        <v/>
      </c>
    </row>
    <row r="56" spans="1:20" hidden="1" x14ac:dyDescent="0.45">
      <c r="A56" s="10" t="str">
        <f>IF(IF(ISNA(計算結果!A56),"",計算結果!A56)=0,"",IF(ISNA(計算結果!A56),"",計算結果!A56))</f>
        <v/>
      </c>
      <c r="B56" s="10" t="str">
        <f>IF(IF(ISNA(計算結果!B56),"",計算結果!B56)=0,"",IF(ISNA(計算結果!B56),"",計算結果!B56))</f>
        <v/>
      </c>
      <c r="C56" s="10" t="str">
        <f>IF(IF(ISNA(計算結果!C56),"",計算結果!C56)=0,"",IF(ISNA(計算結果!C56),"",計算結果!C56))</f>
        <v/>
      </c>
      <c r="D56" s="10" t="str">
        <f>IF(IF(ISNA(計算結果!D56),"",計算結果!D56)=0,"",IF(ISNA(計算結果!D56),"",計算結果!D56))</f>
        <v>L</v>
      </c>
      <c r="E56" s="10" t="str">
        <f>IF(IF(ISNA(計算結果!E56),"",計算結果!E56)=0,"",IF(ISNA(計算結果!E56),"",計算結果!E56))</f>
        <v/>
      </c>
      <c r="F56" s="10" t="str">
        <f>IF(IF(ISNA(計算結果!F56),"",計算結果!F56)=0,"",IF(ISNA(計算結果!F56),"",計算結果!F56))</f>
        <v/>
      </c>
      <c r="G56" s="10" t="str">
        <f>IF(IF(ISNA(計算結果!G56),"",計算結果!G56)=0,"",IF(ISNA(計算結果!G56),"",計算結果!G56))</f>
        <v/>
      </c>
      <c r="H56" s="13">
        <f>IF(IF(ISNA(計算結果!H56),"",計算結果!H56)=0,"",IF(ISNA(計算結果!H56),"",計算結果!H56))</f>
        <v>-2</v>
      </c>
      <c r="I56" s="12" t="str">
        <f>IF(IF(ISNA(計算結果!I56),"",計算結果!I56)=0,"",IF(ISNA(計算結果!I56),"",計算結果!I56))</f>
        <v/>
      </c>
      <c r="J56" s="12" t="str">
        <f>IF(IF(ISNA(計算結果!J56),"",計算結果!J56)=0,"",IF(ISNA(計算結果!J56),"",計算結果!J56))</f>
        <v/>
      </c>
      <c r="K56" s="23" t="str">
        <f>IF(IF(ISNA(計算結果!K56),"",計算結果!K56)=0,"",IF(ISNA(計算結果!K56),"",計算結果!K56))</f>
        <v/>
      </c>
      <c r="L56" s="13" t="str">
        <f>IF(IF(ISNA(計算結果!L56),"",計算結果!L56)=0,"",IF(ISNA(計算結果!L56),"",計算結果!L56))</f>
        <v/>
      </c>
      <c r="M56" s="10" t="str">
        <f>IF(IF(ISNA(計算結果!M56),"",計算結果!M56)=0,"",IF(ISNA(計算結果!M56),"",計算結果!M56))</f>
        <v/>
      </c>
      <c r="N56" s="10" t="str">
        <f>IF(IF(ISNA(計算結果!N56),"",計算結果!N56)=0,"",IF(ISNA(計算結果!N56),"",計算結果!N56))</f>
        <v/>
      </c>
      <c r="O56" s="13" t="str">
        <f>IF(IF(ISNA(計算結果!O56),"",計算結果!O56)=0,"",IF(ISNA(計算結果!O56),"",計算結果!O56))</f>
        <v/>
      </c>
      <c r="P56" s="10" t="str">
        <f>IF(IF(ISNA(計算結果!P56),"",計算結果!P56)=0,"",IF(ISNA(計算結果!P56),"",計算結果!P56))</f>
        <v/>
      </c>
      <c r="Q56" s="10" t="str">
        <f>IF(IF(ISNA(計算結果!Q56),"",計算結果!Q56)=0,"",IF(ISNA(計算結果!Q56),"",計算結果!Q56))</f>
        <v/>
      </c>
      <c r="R56" s="14" t="str">
        <f t="shared" si="0"/>
        <v/>
      </c>
      <c r="S56" s="14" t="str">
        <f t="shared" si="1"/>
        <v>◯</v>
      </c>
      <c r="T56" s="14" t="str">
        <f t="shared" si="2"/>
        <v/>
      </c>
    </row>
    <row r="57" spans="1:20" hidden="1" x14ac:dyDescent="0.45">
      <c r="A57" s="10" t="str">
        <f>IF(IF(ISNA(計算結果!A57),"",計算結果!A57)=0,"",IF(ISNA(計算結果!A57),"",計算結果!A57))</f>
        <v/>
      </c>
      <c r="B57" s="10" t="str">
        <f>IF(IF(ISNA(計算結果!B57),"",計算結果!B57)=0,"",IF(ISNA(計算結果!B57),"",計算結果!B57))</f>
        <v/>
      </c>
      <c r="C57" s="10" t="str">
        <f>IF(IF(ISNA(計算結果!C57),"",計算結果!C57)=0,"",IF(ISNA(計算結果!C57),"",計算結果!C57))</f>
        <v/>
      </c>
      <c r="D57" s="10" t="str">
        <f>IF(IF(ISNA(計算結果!D57),"",計算結果!D57)=0,"",IF(ISNA(計算結果!D57),"",計算結果!D57))</f>
        <v>L</v>
      </c>
      <c r="E57" s="10" t="str">
        <f>IF(IF(ISNA(計算結果!E57),"",計算結果!E57)=0,"",IF(ISNA(計算結果!E57),"",計算結果!E57))</f>
        <v/>
      </c>
      <c r="F57" s="10" t="str">
        <f>IF(IF(ISNA(計算結果!F57),"",計算結果!F57)=0,"",IF(ISNA(計算結果!F57),"",計算結果!F57))</f>
        <v/>
      </c>
      <c r="G57" s="10" t="str">
        <f>IF(IF(ISNA(計算結果!G57),"",計算結果!G57)=0,"",IF(ISNA(計算結果!G57),"",計算結果!G57))</f>
        <v/>
      </c>
      <c r="H57" s="13">
        <f>IF(IF(ISNA(計算結果!H57),"",計算結果!H57)=0,"",IF(ISNA(計算結果!H57),"",計算結果!H57))</f>
        <v>-2</v>
      </c>
      <c r="I57" s="12" t="str">
        <f>IF(IF(ISNA(計算結果!I57),"",計算結果!I57)=0,"",IF(ISNA(計算結果!I57),"",計算結果!I57))</f>
        <v/>
      </c>
      <c r="J57" s="12" t="str">
        <f>IF(IF(ISNA(計算結果!J57),"",計算結果!J57)=0,"",IF(ISNA(計算結果!J57),"",計算結果!J57))</f>
        <v/>
      </c>
      <c r="K57" s="23" t="str">
        <f>IF(IF(ISNA(計算結果!K57),"",計算結果!K57)=0,"",IF(ISNA(計算結果!K57),"",計算結果!K57))</f>
        <v/>
      </c>
      <c r="L57" s="13" t="str">
        <f>IF(IF(ISNA(計算結果!L57),"",計算結果!L57)=0,"",IF(ISNA(計算結果!L57),"",計算結果!L57))</f>
        <v/>
      </c>
      <c r="M57" s="10" t="str">
        <f>IF(IF(ISNA(計算結果!M57),"",計算結果!M57)=0,"",IF(ISNA(計算結果!M57),"",計算結果!M57))</f>
        <v/>
      </c>
      <c r="N57" s="10" t="str">
        <f>IF(IF(ISNA(計算結果!N57),"",計算結果!N57)=0,"",IF(ISNA(計算結果!N57),"",計算結果!N57))</f>
        <v/>
      </c>
      <c r="O57" s="13" t="str">
        <f>IF(IF(ISNA(計算結果!O57),"",計算結果!O57)=0,"",IF(ISNA(計算結果!O57),"",計算結果!O57))</f>
        <v/>
      </c>
      <c r="P57" s="10" t="str">
        <f>IF(IF(ISNA(計算結果!P57),"",計算結果!P57)=0,"",IF(ISNA(計算結果!P57),"",計算結果!P57))</f>
        <v/>
      </c>
      <c r="Q57" s="10" t="str">
        <f>IF(IF(ISNA(計算結果!Q57),"",計算結果!Q57)=0,"",IF(ISNA(計算結果!Q57),"",計算結果!Q57))</f>
        <v/>
      </c>
      <c r="R57" s="14" t="str">
        <f t="shared" si="0"/>
        <v/>
      </c>
      <c r="S57" s="14" t="str">
        <f t="shared" si="1"/>
        <v>◯</v>
      </c>
      <c r="T57" s="14" t="str">
        <f t="shared" si="2"/>
        <v/>
      </c>
    </row>
    <row r="58" spans="1:20" hidden="1" x14ac:dyDescent="0.45">
      <c r="A58" s="10" t="str">
        <f>IF(IF(ISNA(計算結果!A58),"",計算結果!A58)=0,"",IF(ISNA(計算結果!A58),"",計算結果!A58))</f>
        <v/>
      </c>
      <c r="B58" s="10" t="str">
        <f>IF(IF(ISNA(計算結果!B58),"",計算結果!B58)=0,"",IF(ISNA(計算結果!B58),"",計算結果!B58))</f>
        <v/>
      </c>
      <c r="C58" s="10" t="str">
        <f>IF(IF(ISNA(計算結果!C58),"",計算結果!C58)=0,"",IF(ISNA(計算結果!C58),"",計算結果!C58))</f>
        <v/>
      </c>
      <c r="D58" s="10" t="str">
        <f>IF(IF(ISNA(計算結果!D58),"",計算結果!D58)=0,"",IF(ISNA(計算結果!D58),"",計算結果!D58))</f>
        <v>L</v>
      </c>
      <c r="E58" s="10" t="str">
        <f>IF(IF(ISNA(計算結果!E58),"",計算結果!E58)=0,"",IF(ISNA(計算結果!E58),"",計算結果!E58))</f>
        <v/>
      </c>
      <c r="F58" s="10" t="str">
        <f>IF(IF(ISNA(計算結果!F58),"",計算結果!F58)=0,"",IF(ISNA(計算結果!F58),"",計算結果!F58))</f>
        <v/>
      </c>
      <c r="G58" s="10" t="str">
        <f>IF(IF(ISNA(計算結果!G58),"",計算結果!G58)=0,"",IF(ISNA(計算結果!G58),"",計算結果!G58))</f>
        <v/>
      </c>
      <c r="H58" s="13">
        <f>IF(IF(ISNA(計算結果!H58),"",計算結果!H58)=0,"",IF(ISNA(計算結果!H58),"",計算結果!H58))</f>
        <v>-2</v>
      </c>
      <c r="I58" s="12" t="str">
        <f>IF(IF(ISNA(計算結果!I58),"",計算結果!I58)=0,"",IF(ISNA(計算結果!I58),"",計算結果!I58))</f>
        <v/>
      </c>
      <c r="J58" s="12" t="str">
        <f>IF(IF(ISNA(計算結果!J58),"",計算結果!J58)=0,"",IF(ISNA(計算結果!J58),"",計算結果!J58))</f>
        <v/>
      </c>
      <c r="K58" s="23" t="str">
        <f>IF(IF(ISNA(計算結果!K58),"",計算結果!K58)=0,"",IF(ISNA(計算結果!K58),"",計算結果!K58))</f>
        <v/>
      </c>
      <c r="L58" s="13" t="str">
        <f>IF(IF(ISNA(計算結果!L58),"",計算結果!L58)=0,"",IF(ISNA(計算結果!L58),"",計算結果!L58))</f>
        <v/>
      </c>
      <c r="M58" s="10" t="str">
        <f>IF(IF(ISNA(計算結果!M58),"",計算結果!M58)=0,"",IF(ISNA(計算結果!M58),"",計算結果!M58))</f>
        <v/>
      </c>
      <c r="N58" s="10" t="str">
        <f>IF(IF(ISNA(計算結果!N58),"",計算結果!N58)=0,"",IF(ISNA(計算結果!N58),"",計算結果!N58))</f>
        <v/>
      </c>
      <c r="O58" s="13" t="str">
        <f>IF(IF(ISNA(計算結果!O58),"",計算結果!O58)=0,"",IF(ISNA(計算結果!O58),"",計算結果!O58))</f>
        <v/>
      </c>
      <c r="P58" s="10" t="str">
        <f>IF(IF(ISNA(計算結果!P58),"",計算結果!P58)=0,"",IF(ISNA(計算結果!P58),"",計算結果!P58))</f>
        <v/>
      </c>
      <c r="Q58" s="10" t="str">
        <f>IF(IF(ISNA(計算結果!Q58),"",計算結果!Q58)=0,"",IF(ISNA(計算結果!Q58),"",計算結果!Q58))</f>
        <v/>
      </c>
      <c r="R58" s="14" t="str">
        <f t="shared" si="0"/>
        <v/>
      </c>
      <c r="S58" s="14" t="str">
        <f t="shared" si="1"/>
        <v>◯</v>
      </c>
      <c r="T58" s="14" t="str">
        <f t="shared" si="2"/>
        <v/>
      </c>
    </row>
    <row r="59" spans="1:20" hidden="1" x14ac:dyDescent="0.45">
      <c r="A59" s="10" t="str">
        <f>IF(IF(ISNA(計算結果!A59),"",計算結果!A59)=0,"",IF(ISNA(計算結果!A59),"",計算結果!A59))</f>
        <v/>
      </c>
      <c r="B59" s="10" t="str">
        <f>IF(IF(ISNA(計算結果!B59),"",計算結果!B59)=0,"",IF(ISNA(計算結果!B59),"",計算結果!B59))</f>
        <v/>
      </c>
      <c r="C59" s="10" t="str">
        <f>IF(IF(ISNA(計算結果!C59),"",計算結果!C59)=0,"",IF(ISNA(計算結果!C59),"",計算結果!C59))</f>
        <v/>
      </c>
      <c r="D59" s="10" t="str">
        <f>IF(IF(ISNA(計算結果!D59),"",計算結果!D59)=0,"",IF(ISNA(計算結果!D59),"",計算結果!D59))</f>
        <v>L</v>
      </c>
      <c r="E59" s="10" t="str">
        <f>IF(IF(ISNA(計算結果!E59),"",計算結果!E59)=0,"",IF(ISNA(計算結果!E59),"",計算結果!E59))</f>
        <v/>
      </c>
      <c r="F59" s="10" t="str">
        <f>IF(IF(ISNA(計算結果!F59),"",計算結果!F59)=0,"",IF(ISNA(計算結果!F59),"",計算結果!F59))</f>
        <v/>
      </c>
      <c r="G59" s="10" t="str">
        <f>IF(IF(ISNA(計算結果!G59),"",計算結果!G59)=0,"",IF(ISNA(計算結果!G59),"",計算結果!G59))</f>
        <v/>
      </c>
      <c r="H59" s="13">
        <f>IF(IF(ISNA(計算結果!H59),"",計算結果!H59)=0,"",IF(ISNA(計算結果!H59),"",計算結果!H59))</f>
        <v>-2</v>
      </c>
      <c r="I59" s="12" t="str">
        <f>IF(IF(ISNA(計算結果!I59),"",計算結果!I59)=0,"",IF(ISNA(計算結果!I59),"",計算結果!I59))</f>
        <v/>
      </c>
      <c r="J59" s="12" t="str">
        <f>IF(IF(ISNA(計算結果!J59),"",計算結果!J59)=0,"",IF(ISNA(計算結果!J59),"",計算結果!J59))</f>
        <v/>
      </c>
      <c r="K59" s="23" t="str">
        <f>IF(IF(ISNA(計算結果!K59),"",計算結果!K59)=0,"",IF(ISNA(計算結果!K59),"",計算結果!K59))</f>
        <v/>
      </c>
      <c r="L59" s="13" t="str">
        <f>IF(IF(ISNA(計算結果!L59),"",計算結果!L59)=0,"",IF(ISNA(計算結果!L59),"",計算結果!L59))</f>
        <v/>
      </c>
      <c r="M59" s="10" t="str">
        <f>IF(IF(ISNA(計算結果!M59),"",計算結果!M59)=0,"",IF(ISNA(計算結果!M59),"",計算結果!M59))</f>
        <v/>
      </c>
      <c r="N59" s="10" t="str">
        <f>IF(IF(ISNA(計算結果!N59),"",計算結果!N59)=0,"",IF(ISNA(計算結果!N59),"",計算結果!N59))</f>
        <v/>
      </c>
      <c r="O59" s="13" t="str">
        <f>IF(IF(ISNA(計算結果!O59),"",計算結果!O59)=0,"",IF(ISNA(計算結果!O59),"",計算結果!O59))</f>
        <v/>
      </c>
      <c r="P59" s="10" t="str">
        <f>IF(IF(ISNA(計算結果!P59),"",計算結果!P59)=0,"",IF(ISNA(計算結果!P59),"",計算結果!P59))</f>
        <v/>
      </c>
      <c r="Q59" s="10" t="str">
        <f>IF(IF(ISNA(計算結果!Q59),"",計算結果!Q59)=0,"",IF(ISNA(計算結果!Q59),"",計算結果!Q59))</f>
        <v/>
      </c>
      <c r="R59" s="14" t="str">
        <f t="shared" si="0"/>
        <v/>
      </c>
      <c r="S59" s="14" t="str">
        <f t="shared" si="1"/>
        <v>◯</v>
      </c>
      <c r="T59" s="14" t="str">
        <f t="shared" si="2"/>
        <v/>
      </c>
    </row>
    <row r="60" spans="1:20" hidden="1" x14ac:dyDescent="0.45">
      <c r="A60" s="10" t="str">
        <f>IF(IF(ISNA(計算結果!A60),"",計算結果!A60)=0,"",IF(ISNA(計算結果!A60),"",計算結果!A60))</f>
        <v/>
      </c>
      <c r="B60" s="10" t="str">
        <f>IF(IF(ISNA(計算結果!B60),"",計算結果!B60)=0,"",IF(ISNA(計算結果!B60),"",計算結果!B60))</f>
        <v/>
      </c>
      <c r="C60" s="10" t="str">
        <f>IF(IF(ISNA(計算結果!C60),"",計算結果!C60)=0,"",IF(ISNA(計算結果!C60),"",計算結果!C60))</f>
        <v/>
      </c>
      <c r="D60" s="10" t="str">
        <f>IF(IF(ISNA(計算結果!D60),"",計算結果!D60)=0,"",IF(ISNA(計算結果!D60),"",計算結果!D60))</f>
        <v>L</v>
      </c>
      <c r="E60" s="10" t="str">
        <f>IF(IF(ISNA(計算結果!E60),"",計算結果!E60)=0,"",IF(ISNA(計算結果!E60),"",計算結果!E60))</f>
        <v/>
      </c>
      <c r="F60" s="10" t="str">
        <f>IF(IF(ISNA(計算結果!F60),"",計算結果!F60)=0,"",IF(ISNA(計算結果!F60),"",計算結果!F60))</f>
        <v/>
      </c>
      <c r="G60" s="10" t="str">
        <f>IF(IF(ISNA(計算結果!G60),"",計算結果!G60)=0,"",IF(ISNA(計算結果!G60),"",計算結果!G60))</f>
        <v/>
      </c>
      <c r="H60" s="13">
        <f>IF(IF(ISNA(計算結果!H60),"",計算結果!H60)=0,"",IF(ISNA(計算結果!H60),"",計算結果!H60))</f>
        <v>-2</v>
      </c>
      <c r="I60" s="12" t="str">
        <f>IF(IF(ISNA(計算結果!I60),"",計算結果!I60)=0,"",IF(ISNA(計算結果!I60),"",計算結果!I60))</f>
        <v/>
      </c>
      <c r="J60" s="12" t="str">
        <f>IF(IF(ISNA(計算結果!J60),"",計算結果!J60)=0,"",IF(ISNA(計算結果!J60),"",計算結果!J60))</f>
        <v/>
      </c>
      <c r="K60" s="23" t="str">
        <f>IF(IF(ISNA(計算結果!K60),"",計算結果!K60)=0,"",IF(ISNA(計算結果!K60),"",計算結果!K60))</f>
        <v/>
      </c>
      <c r="L60" s="13" t="str">
        <f>IF(IF(ISNA(計算結果!L60),"",計算結果!L60)=0,"",IF(ISNA(計算結果!L60),"",計算結果!L60))</f>
        <v/>
      </c>
      <c r="M60" s="10" t="str">
        <f>IF(IF(ISNA(計算結果!M60),"",計算結果!M60)=0,"",IF(ISNA(計算結果!M60),"",計算結果!M60))</f>
        <v/>
      </c>
      <c r="N60" s="10" t="str">
        <f>IF(IF(ISNA(計算結果!N60),"",計算結果!N60)=0,"",IF(ISNA(計算結果!N60),"",計算結果!N60))</f>
        <v/>
      </c>
      <c r="O60" s="13" t="str">
        <f>IF(IF(ISNA(計算結果!O60),"",計算結果!O60)=0,"",IF(ISNA(計算結果!O60),"",計算結果!O60))</f>
        <v/>
      </c>
      <c r="P60" s="10" t="str">
        <f>IF(IF(ISNA(計算結果!P60),"",計算結果!P60)=0,"",IF(ISNA(計算結果!P60),"",計算結果!P60))</f>
        <v/>
      </c>
      <c r="Q60" s="10" t="str">
        <f>IF(IF(ISNA(計算結果!Q60),"",計算結果!Q60)=0,"",IF(ISNA(計算結果!Q60),"",計算結果!Q60))</f>
        <v/>
      </c>
      <c r="R60" s="14" t="str">
        <f t="shared" si="0"/>
        <v/>
      </c>
      <c r="S60" s="14" t="str">
        <f t="shared" si="1"/>
        <v>◯</v>
      </c>
      <c r="T60" s="14" t="str">
        <f t="shared" si="2"/>
        <v/>
      </c>
    </row>
    <row r="61" spans="1:20" hidden="1" x14ac:dyDescent="0.45">
      <c r="A61" s="10" t="str">
        <f>IF(IF(ISNA(計算結果!A61),"",計算結果!A61)=0,"",IF(ISNA(計算結果!A61),"",計算結果!A61))</f>
        <v/>
      </c>
      <c r="B61" s="10" t="str">
        <f>IF(IF(ISNA(計算結果!B61),"",計算結果!B61)=0,"",IF(ISNA(計算結果!B61),"",計算結果!B61))</f>
        <v/>
      </c>
      <c r="C61" s="10" t="str">
        <f>IF(IF(ISNA(計算結果!C61),"",計算結果!C61)=0,"",IF(ISNA(計算結果!C61),"",計算結果!C61))</f>
        <v/>
      </c>
      <c r="D61" s="10" t="str">
        <f>IF(IF(ISNA(計算結果!D61),"",計算結果!D61)=0,"",IF(ISNA(計算結果!D61),"",計算結果!D61))</f>
        <v>L</v>
      </c>
      <c r="E61" s="10" t="str">
        <f>IF(IF(ISNA(計算結果!E61),"",計算結果!E61)=0,"",IF(ISNA(計算結果!E61),"",計算結果!E61))</f>
        <v/>
      </c>
      <c r="F61" s="10" t="str">
        <f>IF(IF(ISNA(計算結果!F61),"",計算結果!F61)=0,"",IF(ISNA(計算結果!F61),"",計算結果!F61))</f>
        <v/>
      </c>
      <c r="G61" s="10" t="str">
        <f>IF(IF(ISNA(計算結果!G61),"",計算結果!G61)=0,"",IF(ISNA(計算結果!G61),"",計算結果!G61))</f>
        <v/>
      </c>
      <c r="H61" s="13">
        <f>IF(IF(ISNA(計算結果!H61),"",計算結果!H61)=0,"",IF(ISNA(計算結果!H61),"",計算結果!H61))</f>
        <v>-2</v>
      </c>
      <c r="I61" s="12" t="str">
        <f>IF(IF(ISNA(計算結果!I61),"",計算結果!I61)=0,"",IF(ISNA(計算結果!I61),"",計算結果!I61))</f>
        <v/>
      </c>
      <c r="J61" s="12" t="str">
        <f>IF(IF(ISNA(計算結果!J61),"",計算結果!J61)=0,"",IF(ISNA(計算結果!J61),"",計算結果!J61))</f>
        <v/>
      </c>
      <c r="K61" s="23" t="str">
        <f>IF(IF(ISNA(計算結果!K61),"",計算結果!K61)=0,"",IF(ISNA(計算結果!K61),"",計算結果!K61))</f>
        <v/>
      </c>
      <c r="L61" s="13" t="str">
        <f>IF(IF(ISNA(計算結果!L61),"",計算結果!L61)=0,"",IF(ISNA(計算結果!L61),"",計算結果!L61))</f>
        <v/>
      </c>
      <c r="M61" s="10" t="str">
        <f>IF(IF(ISNA(計算結果!M61),"",計算結果!M61)=0,"",IF(ISNA(計算結果!M61),"",計算結果!M61))</f>
        <v/>
      </c>
      <c r="N61" s="10" t="str">
        <f>IF(IF(ISNA(計算結果!N61),"",計算結果!N61)=0,"",IF(ISNA(計算結果!N61),"",計算結果!N61))</f>
        <v/>
      </c>
      <c r="O61" s="13" t="str">
        <f>IF(IF(ISNA(計算結果!O61),"",計算結果!O61)=0,"",IF(ISNA(計算結果!O61),"",計算結果!O61))</f>
        <v/>
      </c>
      <c r="P61" s="10" t="str">
        <f>IF(IF(ISNA(計算結果!P61),"",計算結果!P61)=0,"",IF(ISNA(計算結果!P61),"",計算結果!P61))</f>
        <v/>
      </c>
      <c r="Q61" s="10" t="str">
        <f>IF(IF(ISNA(計算結果!Q61),"",計算結果!Q61)=0,"",IF(ISNA(計算結果!Q61),"",計算結果!Q61))</f>
        <v/>
      </c>
      <c r="R61" s="14" t="str">
        <f t="shared" si="0"/>
        <v/>
      </c>
      <c r="S61" s="14" t="str">
        <f t="shared" si="1"/>
        <v>◯</v>
      </c>
      <c r="T61" s="14" t="str">
        <f t="shared" si="2"/>
        <v/>
      </c>
    </row>
    <row r="62" spans="1:20" hidden="1" x14ac:dyDescent="0.45">
      <c r="A62" s="10" t="str">
        <f>IF(IF(ISNA(計算結果!A62),"",計算結果!A62)=0,"",IF(ISNA(計算結果!A62),"",計算結果!A62))</f>
        <v/>
      </c>
      <c r="B62" s="10" t="str">
        <f>IF(IF(ISNA(計算結果!B62),"",計算結果!B62)=0,"",IF(ISNA(計算結果!B62),"",計算結果!B62))</f>
        <v/>
      </c>
      <c r="C62" s="10" t="str">
        <f>IF(IF(ISNA(計算結果!C62),"",計算結果!C62)=0,"",IF(ISNA(計算結果!C62),"",計算結果!C62))</f>
        <v/>
      </c>
      <c r="D62" s="10" t="str">
        <f>IF(IF(ISNA(計算結果!D62),"",計算結果!D62)=0,"",IF(ISNA(計算結果!D62),"",計算結果!D62))</f>
        <v>L</v>
      </c>
      <c r="E62" s="10" t="str">
        <f>IF(IF(ISNA(計算結果!E62),"",計算結果!E62)=0,"",IF(ISNA(計算結果!E62),"",計算結果!E62))</f>
        <v/>
      </c>
      <c r="F62" s="10" t="str">
        <f>IF(IF(ISNA(計算結果!F62),"",計算結果!F62)=0,"",IF(ISNA(計算結果!F62),"",計算結果!F62))</f>
        <v/>
      </c>
      <c r="G62" s="10" t="str">
        <f>IF(IF(ISNA(計算結果!G62),"",計算結果!G62)=0,"",IF(ISNA(計算結果!G62),"",計算結果!G62))</f>
        <v/>
      </c>
      <c r="H62" s="13">
        <f>IF(IF(ISNA(計算結果!H62),"",計算結果!H62)=0,"",IF(ISNA(計算結果!H62),"",計算結果!H62))</f>
        <v>-2</v>
      </c>
      <c r="I62" s="12" t="str">
        <f>IF(IF(ISNA(計算結果!I62),"",計算結果!I62)=0,"",IF(ISNA(計算結果!I62),"",計算結果!I62))</f>
        <v/>
      </c>
      <c r="J62" s="12" t="str">
        <f>IF(IF(ISNA(計算結果!J62),"",計算結果!J62)=0,"",IF(ISNA(計算結果!J62),"",計算結果!J62))</f>
        <v/>
      </c>
      <c r="K62" s="23" t="str">
        <f>IF(IF(ISNA(計算結果!K62),"",計算結果!K62)=0,"",IF(ISNA(計算結果!K62),"",計算結果!K62))</f>
        <v/>
      </c>
      <c r="L62" s="13" t="str">
        <f>IF(IF(ISNA(計算結果!L62),"",計算結果!L62)=0,"",IF(ISNA(計算結果!L62),"",計算結果!L62))</f>
        <v/>
      </c>
      <c r="M62" s="10" t="str">
        <f>IF(IF(ISNA(計算結果!M62),"",計算結果!M62)=0,"",IF(ISNA(計算結果!M62),"",計算結果!M62))</f>
        <v/>
      </c>
      <c r="N62" s="10" t="str">
        <f>IF(IF(ISNA(計算結果!N62),"",計算結果!N62)=0,"",IF(ISNA(計算結果!N62),"",計算結果!N62))</f>
        <v/>
      </c>
      <c r="O62" s="13" t="str">
        <f>IF(IF(ISNA(計算結果!O62),"",計算結果!O62)=0,"",IF(ISNA(計算結果!O62),"",計算結果!O62))</f>
        <v/>
      </c>
      <c r="P62" s="10" t="str">
        <f>IF(IF(ISNA(計算結果!P62),"",計算結果!P62)=0,"",IF(ISNA(計算結果!P62),"",計算結果!P62))</f>
        <v/>
      </c>
      <c r="Q62" s="10" t="str">
        <f>IF(IF(ISNA(計算結果!Q62),"",計算結果!Q62)=0,"",IF(ISNA(計算結果!Q62),"",計算結果!Q62))</f>
        <v/>
      </c>
      <c r="R62" s="14" t="str">
        <f t="shared" si="0"/>
        <v/>
      </c>
      <c r="S62" s="14" t="str">
        <f t="shared" si="1"/>
        <v>◯</v>
      </c>
      <c r="T62" s="14" t="str">
        <f t="shared" si="2"/>
        <v/>
      </c>
    </row>
    <row r="63" spans="1:20" hidden="1" x14ac:dyDescent="0.45">
      <c r="A63" s="10" t="str">
        <f>IF(IF(ISNA(計算結果!A63),"",計算結果!A63)=0,"",IF(ISNA(計算結果!A63),"",計算結果!A63))</f>
        <v/>
      </c>
      <c r="B63" s="10" t="str">
        <f>IF(IF(ISNA(計算結果!B63),"",計算結果!B63)=0,"",IF(ISNA(計算結果!B63),"",計算結果!B63))</f>
        <v/>
      </c>
      <c r="C63" s="10" t="str">
        <f>IF(IF(ISNA(計算結果!C63),"",計算結果!C63)=0,"",IF(ISNA(計算結果!C63),"",計算結果!C63))</f>
        <v/>
      </c>
      <c r="D63" s="10" t="str">
        <f>IF(IF(ISNA(計算結果!D63),"",計算結果!D63)=0,"",IF(ISNA(計算結果!D63),"",計算結果!D63))</f>
        <v>L</v>
      </c>
      <c r="E63" s="10" t="str">
        <f>IF(IF(ISNA(計算結果!E63),"",計算結果!E63)=0,"",IF(ISNA(計算結果!E63),"",計算結果!E63))</f>
        <v/>
      </c>
      <c r="F63" s="10" t="str">
        <f>IF(IF(ISNA(計算結果!F63),"",計算結果!F63)=0,"",IF(ISNA(計算結果!F63),"",計算結果!F63))</f>
        <v/>
      </c>
      <c r="G63" s="10" t="str">
        <f>IF(IF(ISNA(計算結果!G63),"",計算結果!G63)=0,"",IF(ISNA(計算結果!G63),"",計算結果!G63))</f>
        <v/>
      </c>
      <c r="H63" s="13">
        <f>IF(IF(ISNA(計算結果!H63),"",計算結果!H63)=0,"",IF(ISNA(計算結果!H63),"",計算結果!H63))</f>
        <v>-2</v>
      </c>
      <c r="I63" s="12" t="str">
        <f>IF(IF(ISNA(計算結果!I63),"",計算結果!I63)=0,"",IF(ISNA(計算結果!I63),"",計算結果!I63))</f>
        <v/>
      </c>
      <c r="J63" s="12" t="str">
        <f>IF(IF(ISNA(計算結果!J63),"",計算結果!J63)=0,"",IF(ISNA(計算結果!J63),"",計算結果!J63))</f>
        <v/>
      </c>
      <c r="K63" s="23" t="str">
        <f>IF(IF(ISNA(計算結果!K63),"",計算結果!K63)=0,"",IF(ISNA(計算結果!K63),"",計算結果!K63))</f>
        <v/>
      </c>
      <c r="L63" s="13" t="str">
        <f>IF(IF(ISNA(計算結果!L63),"",計算結果!L63)=0,"",IF(ISNA(計算結果!L63),"",計算結果!L63))</f>
        <v/>
      </c>
      <c r="M63" s="10" t="str">
        <f>IF(IF(ISNA(計算結果!M63),"",計算結果!M63)=0,"",IF(ISNA(計算結果!M63),"",計算結果!M63))</f>
        <v/>
      </c>
      <c r="N63" s="10" t="str">
        <f>IF(IF(ISNA(計算結果!N63),"",計算結果!N63)=0,"",IF(ISNA(計算結果!N63),"",計算結果!N63))</f>
        <v/>
      </c>
      <c r="O63" s="13" t="str">
        <f>IF(IF(ISNA(計算結果!O63),"",計算結果!O63)=0,"",IF(ISNA(計算結果!O63),"",計算結果!O63))</f>
        <v/>
      </c>
      <c r="P63" s="10" t="str">
        <f>IF(IF(ISNA(計算結果!P63),"",計算結果!P63)=0,"",IF(ISNA(計算結果!P63),"",計算結果!P63))</f>
        <v/>
      </c>
      <c r="Q63" s="10" t="str">
        <f>IF(IF(ISNA(計算結果!Q63),"",計算結果!Q63)=0,"",IF(ISNA(計算結果!Q63),"",計算結果!Q63))</f>
        <v/>
      </c>
      <c r="R63" s="14" t="str">
        <f t="shared" si="0"/>
        <v/>
      </c>
      <c r="S63" s="14" t="str">
        <f t="shared" si="1"/>
        <v>◯</v>
      </c>
      <c r="T63" s="14" t="str">
        <f t="shared" si="2"/>
        <v/>
      </c>
    </row>
    <row r="64" spans="1:20" hidden="1" x14ac:dyDescent="0.45">
      <c r="A64" s="10" t="str">
        <f>IF(IF(ISNA(計算結果!A64),"",計算結果!A64)=0,"",IF(ISNA(計算結果!A64),"",計算結果!A64))</f>
        <v/>
      </c>
      <c r="B64" s="10" t="str">
        <f>IF(IF(ISNA(計算結果!B64),"",計算結果!B64)=0,"",IF(ISNA(計算結果!B64),"",計算結果!B64))</f>
        <v/>
      </c>
      <c r="C64" s="10" t="str">
        <f>IF(IF(ISNA(計算結果!C64),"",計算結果!C64)=0,"",IF(ISNA(計算結果!C64),"",計算結果!C64))</f>
        <v/>
      </c>
      <c r="D64" s="10" t="str">
        <f>IF(IF(ISNA(計算結果!D64),"",計算結果!D64)=0,"",IF(ISNA(計算結果!D64),"",計算結果!D64))</f>
        <v>L</v>
      </c>
      <c r="E64" s="10" t="str">
        <f>IF(IF(ISNA(計算結果!E64),"",計算結果!E64)=0,"",IF(ISNA(計算結果!E64),"",計算結果!E64))</f>
        <v/>
      </c>
      <c r="F64" s="10" t="str">
        <f>IF(IF(ISNA(計算結果!F64),"",計算結果!F64)=0,"",IF(ISNA(計算結果!F64),"",計算結果!F64))</f>
        <v/>
      </c>
      <c r="G64" s="10" t="str">
        <f>IF(IF(ISNA(計算結果!G64),"",計算結果!G64)=0,"",IF(ISNA(計算結果!G64),"",計算結果!G64))</f>
        <v/>
      </c>
      <c r="H64" s="13">
        <f>IF(IF(ISNA(計算結果!H64),"",計算結果!H64)=0,"",IF(ISNA(計算結果!H64),"",計算結果!H64))</f>
        <v>-2</v>
      </c>
      <c r="I64" s="12" t="str">
        <f>IF(IF(ISNA(計算結果!I64),"",計算結果!I64)=0,"",IF(ISNA(計算結果!I64),"",計算結果!I64))</f>
        <v/>
      </c>
      <c r="J64" s="12" t="str">
        <f>IF(IF(ISNA(計算結果!J64),"",計算結果!J64)=0,"",IF(ISNA(計算結果!J64),"",計算結果!J64))</f>
        <v/>
      </c>
      <c r="K64" s="23" t="str">
        <f>IF(IF(ISNA(計算結果!K64),"",計算結果!K64)=0,"",IF(ISNA(計算結果!K64),"",計算結果!K64))</f>
        <v/>
      </c>
      <c r="L64" s="13" t="str">
        <f>IF(IF(ISNA(計算結果!L64),"",計算結果!L64)=0,"",IF(ISNA(計算結果!L64),"",計算結果!L64))</f>
        <v/>
      </c>
      <c r="M64" s="10" t="str">
        <f>IF(IF(ISNA(計算結果!M64),"",計算結果!M64)=0,"",IF(ISNA(計算結果!M64),"",計算結果!M64))</f>
        <v/>
      </c>
      <c r="N64" s="10" t="str">
        <f>IF(IF(ISNA(計算結果!N64),"",計算結果!N64)=0,"",IF(ISNA(計算結果!N64),"",計算結果!N64))</f>
        <v/>
      </c>
      <c r="O64" s="13" t="str">
        <f>IF(IF(ISNA(計算結果!O64),"",計算結果!O64)=0,"",IF(ISNA(計算結果!O64),"",計算結果!O64))</f>
        <v/>
      </c>
      <c r="P64" s="10" t="str">
        <f>IF(IF(ISNA(計算結果!P64),"",計算結果!P64)=0,"",IF(ISNA(計算結果!P64),"",計算結果!P64))</f>
        <v/>
      </c>
      <c r="Q64" s="10" t="str">
        <f>IF(IF(ISNA(計算結果!Q64),"",計算結果!Q64)=0,"",IF(ISNA(計算結果!Q64),"",計算結果!Q64))</f>
        <v/>
      </c>
      <c r="R64" s="14" t="str">
        <f t="shared" si="0"/>
        <v/>
      </c>
      <c r="S64" s="14" t="str">
        <f t="shared" si="1"/>
        <v>◯</v>
      </c>
      <c r="T64" s="14" t="str">
        <f t="shared" si="2"/>
        <v/>
      </c>
    </row>
    <row r="65" spans="1:20" hidden="1" x14ac:dyDescent="0.45">
      <c r="A65" s="10" t="str">
        <f>IF(IF(ISNA(計算結果!A65),"",計算結果!A65)=0,"",IF(ISNA(計算結果!A65),"",計算結果!A65))</f>
        <v/>
      </c>
      <c r="B65" s="10" t="str">
        <f>IF(IF(ISNA(計算結果!B65),"",計算結果!B65)=0,"",IF(ISNA(計算結果!B65),"",計算結果!B65))</f>
        <v/>
      </c>
      <c r="C65" s="10" t="str">
        <f>IF(IF(ISNA(計算結果!C65),"",計算結果!C65)=0,"",IF(ISNA(計算結果!C65),"",計算結果!C65))</f>
        <v/>
      </c>
      <c r="D65" s="10" t="str">
        <f>IF(IF(ISNA(計算結果!D65),"",計算結果!D65)=0,"",IF(ISNA(計算結果!D65),"",計算結果!D65))</f>
        <v>L</v>
      </c>
      <c r="E65" s="10" t="str">
        <f>IF(IF(ISNA(計算結果!E65),"",計算結果!E65)=0,"",IF(ISNA(計算結果!E65),"",計算結果!E65))</f>
        <v/>
      </c>
      <c r="F65" s="10" t="str">
        <f>IF(IF(ISNA(計算結果!F65),"",計算結果!F65)=0,"",IF(ISNA(計算結果!F65),"",計算結果!F65))</f>
        <v/>
      </c>
      <c r="G65" s="10" t="str">
        <f>IF(IF(ISNA(計算結果!G65),"",計算結果!G65)=0,"",IF(ISNA(計算結果!G65),"",計算結果!G65))</f>
        <v/>
      </c>
      <c r="H65" s="13">
        <f>IF(IF(ISNA(計算結果!H65),"",計算結果!H65)=0,"",IF(ISNA(計算結果!H65),"",計算結果!H65))</f>
        <v>-2</v>
      </c>
      <c r="I65" s="12" t="str">
        <f>IF(IF(ISNA(計算結果!I65),"",計算結果!I65)=0,"",IF(ISNA(計算結果!I65),"",計算結果!I65))</f>
        <v/>
      </c>
      <c r="J65" s="12" t="str">
        <f>IF(IF(ISNA(計算結果!J65),"",計算結果!J65)=0,"",IF(ISNA(計算結果!J65),"",計算結果!J65))</f>
        <v/>
      </c>
      <c r="K65" s="23" t="str">
        <f>IF(IF(ISNA(計算結果!K65),"",計算結果!K65)=0,"",IF(ISNA(計算結果!K65),"",計算結果!K65))</f>
        <v/>
      </c>
      <c r="L65" s="13" t="str">
        <f>IF(IF(ISNA(計算結果!L65),"",計算結果!L65)=0,"",IF(ISNA(計算結果!L65),"",計算結果!L65))</f>
        <v/>
      </c>
      <c r="M65" s="10" t="str">
        <f>IF(IF(ISNA(計算結果!M65),"",計算結果!M65)=0,"",IF(ISNA(計算結果!M65),"",計算結果!M65))</f>
        <v/>
      </c>
      <c r="N65" s="10" t="str">
        <f>IF(IF(ISNA(計算結果!N65),"",計算結果!N65)=0,"",IF(ISNA(計算結果!N65),"",計算結果!N65))</f>
        <v/>
      </c>
      <c r="O65" s="13" t="str">
        <f>IF(IF(ISNA(計算結果!O65),"",計算結果!O65)=0,"",IF(ISNA(計算結果!O65),"",計算結果!O65))</f>
        <v/>
      </c>
      <c r="P65" s="10" t="str">
        <f>IF(IF(ISNA(計算結果!P65),"",計算結果!P65)=0,"",IF(ISNA(計算結果!P65),"",計算結果!P65))</f>
        <v/>
      </c>
      <c r="Q65" s="10" t="str">
        <f>IF(IF(ISNA(計算結果!Q65),"",計算結果!Q65)=0,"",IF(ISNA(計算結果!Q65),"",計算結果!Q65))</f>
        <v/>
      </c>
      <c r="R65" s="14" t="str">
        <f t="shared" si="0"/>
        <v/>
      </c>
      <c r="S65" s="14" t="str">
        <f t="shared" si="1"/>
        <v>◯</v>
      </c>
      <c r="T65" s="14" t="str">
        <f t="shared" si="2"/>
        <v/>
      </c>
    </row>
    <row r="66" spans="1:20" hidden="1" x14ac:dyDescent="0.45">
      <c r="A66" s="10" t="str">
        <f>IF(IF(ISNA(計算結果!A66),"",計算結果!A66)=0,"",IF(ISNA(計算結果!A66),"",計算結果!A66))</f>
        <v/>
      </c>
      <c r="B66" s="10" t="str">
        <f>IF(IF(ISNA(計算結果!B66),"",計算結果!B66)=0,"",IF(ISNA(計算結果!B66),"",計算結果!B66))</f>
        <v/>
      </c>
      <c r="C66" s="10" t="str">
        <f>IF(IF(ISNA(計算結果!C66),"",計算結果!C66)=0,"",IF(ISNA(計算結果!C66),"",計算結果!C66))</f>
        <v/>
      </c>
      <c r="D66" s="10" t="str">
        <f>IF(IF(ISNA(計算結果!D66),"",計算結果!D66)=0,"",IF(ISNA(計算結果!D66),"",計算結果!D66))</f>
        <v>L</v>
      </c>
      <c r="E66" s="10" t="str">
        <f>IF(IF(ISNA(計算結果!E66),"",計算結果!E66)=0,"",IF(ISNA(計算結果!E66),"",計算結果!E66))</f>
        <v/>
      </c>
      <c r="F66" s="10" t="str">
        <f>IF(IF(ISNA(計算結果!F66),"",計算結果!F66)=0,"",IF(ISNA(計算結果!F66),"",計算結果!F66))</f>
        <v/>
      </c>
      <c r="G66" s="10" t="str">
        <f>IF(IF(ISNA(計算結果!G66),"",計算結果!G66)=0,"",IF(ISNA(計算結果!G66),"",計算結果!G66))</f>
        <v/>
      </c>
      <c r="H66" s="13">
        <f>IF(IF(ISNA(計算結果!H66),"",計算結果!H66)=0,"",IF(ISNA(計算結果!H66),"",計算結果!H66))</f>
        <v>-2</v>
      </c>
      <c r="I66" s="12" t="str">
        <f>IF(IF(ISNA(計算結果!I66),"",計算結果!I66)=0,"",IF(ISNA(計算結果!I66),"",計算結果!I66))</f>
        <v/>
      </c>
      <c r="J66" s="12" t="str">
        <f>IF(IF(ISNA(計算結果!J66),"",計算結果!J66)=0,"",IF(ISNA(計算結果!J66),"",計算結果!J66))</f>
        <v/>
      </c>
      <c r="K66" s="23" t="str">
        <f>IF(IF(ISNA(計算結果!K66),"",計算結果!K66)=0,"",IF(ISNA(計算結果!K66),"",計算結果!K66))</f>
        <v/>
      </c>
      <c r="L66" s="13" t="str">
        <f>IF(IF(ISNA(計算結果!L66),"",計算結果!L66)=0,"",IF(ISNA(計算結果!L66),"",計算結果!L66))</f>
        <v/>
      </c>
      <c r="M66" s="10" t="str">
        <f>IF(IF(ISNA(計算結果!M66),"",計算結果!M66)=0,"",IF(ISNA(計算結果!M66),"",計算結果!M66))</f>
        <v/>
      </c>
      <c r="N66" s="10" t="str">
        <f>IF(IF(ISNA(計算結果!N66),"",計算結果!N66)=0,"",IF(ISNA(計算結果!N66),"",計算結果!N66))</f>
        <v/>
      </c>
      <c r="O66" s="13" t="str">
        <f>IF(IF(ISNA(計算結果!O66),"",計算結果!O66)=0,"",IF(ISNA(計算結果!O66),"",計算結果!O66))</f>
        <v/>
      </c>
      <c r="P66" s="10" t="str">
        <f>IF(IF(ISNA(計算結果!P66),"",計算結果!P66)=0,"",IF(ISNA(計算結果!P66),"",計算結果!P66))</f>
        <v/>
      </c>
      <c r="Q66" s="10" t="str">
        <f>IF(IF(ISNA(計算結果!Q66),"",計算結果!Q66)=0,"",IF(ISNA(計算結果!Q66),"",計算結果!Q66))</f>
        <v/>
      </c>
      <c r="R66" s="14" t="str">
        <f t="shared" si="0"/>
        <v/>
      </c>
      <c r="S66" s="14" t="str">
        <f t="shared" si="1"/>
        <v>◯</v>
      </c>
      <c r="T66" s="14" t="str">
        <f t="shared" si="2"/>
        <v/>
      </c>
    </row>
    <row r="67" spans="1:20" hidden="1" x14ac:dyDescent="0.45">
      <c r="A67" s="10" t="str">
        <f>IF(IF(ISNA(計算結果!A67),"",計算結果!A67)=0,"",IF(ISNA(計算結果!A67),"",計算結果!A67))</f>
        <v/>
      </c>
      <c r="B67" s="10" t="str">
        <f>IF(IF(ISNA(計算結果!B67),"",計算結果!B67)=0,"",IF(ISNA(計算結果!B67),"",計算結果!B67))</f>
        <v/>
      </c>
      <c r="C67" s="10" t="str">
        <f>IF(IF(ISNA(計算結果!C67),"",計算結果!C67)=0,"",IF(ISNA(計算結果!C67),"",計算結果!C67))</f>
        <v/>
      </c>
      <c r="D67" s="10" t="str">
        <f>IF(IF(ISNA(計算結果!D67),"",計算結果!D67)=0,"",IF(ISNA(計算結果!D67),"",計算結果!D67))</f>
        <v>L</v>
      </c>
      <c r="E67" s="10" t="str">
        <f>IF(IF(ISNA(計算結果!E67),"",計算結果!E67)=0,"",IF(ISNA(計算結果!E67),"",計算結果!E67))</f>
        <v/>
      </c>
      <c r="F67" s="10" t="str">
        <f>IF(IF(ISNA(計算結果!F67),"",計算結果!F67)=0,"",IF(ISNA(計算結果!F67),"",計算結果!F67))</f>
        <v/>
      </c>
      <c r="G67" s="10" t="str">
        <f>IF(IF(ISNA(計算結果!G67),"",計算結果!G67)=0,"",IF(ISNA(計算結果!G67),"",計算結果!G67))</f>
        <v/>
      </c>
      <c r="H67" s="13">
        <f>IF(IF(ISNA(計算結果!H67),"",計算結果!H67)=0,"",IF(ISNA(計算結果!H67),"",計算結果!H67))</f>
        <v>-2</v>
      </c>
      <c r="I67" s="12" t="str">
        <f>IF(IF(ISNA(計算結果!I67),"",計算結果!I67)=0,"",IF(ISNA(計算結果!I67),"",計算結果!I67))</f>
        <v/>
      </c>
      <c r="J67" s="12" t="str">
        <f>IF(IF(ISNA(計算結果!J67),"",計算結果!J67)=0,"",IF(ISNA(計算結果!J67),"",計算結果!J67))</f>
        <v/>
      </c>
      <c r="K67" s="23" t="str">
        <f>IF(IF(ISNA(計算結果!K67),"",計算結果!K67)=0,"",IF(ISNA(計算結果!K67),"",計算結果!K67))</f>
        <v/>
      </c>
      <c r="L67" s="13" t="str">
        <f>IF(IF(ISNA(計算結果!L67),"",計算結果!L67)=0,"",IF(ISNA(計算結果!L67),"",計算結果!L67))</f>
        <v/>
      </c>
      <c r="M67" s="10" t="str">
        <f>IF(IF(ISNA(計算結果!M67),"",計算結果!M67)=0,"",IF(ISNA(計算結果!M67),"",計算結果!M67))</f>
        <v/>
      </c>
      <c r="N67" s="10" t="str">
        <f>IF(IF(ISNA(計算結果!N67),"",計算結果!N67)=0,"",IF(ISNA(計算結果!N67),"",計算結果!N67))</f>
        <v/>
      </c>
      <c r="O67" s="13" t="str">
        <f>IF(IF(ISNA(計算結果!O67),"",計算結果!O67)=0,"",IF(ISNA(計算結果!O67),"",計算結果!O67))</f>
        <v/>
      </c>
      <c r="P67" s="10" t="str">
        <f>IF(IF(ISNA(計算結果!P67),"",計算結果!P67)=0,"",IF(ISNA(計算結果!P67),"",計算結果!P67))</f>
        <v/>
      </c>
      <c r="Q67" s="10" t="str">
        <f>IF(IF(ISNA(計算結果!Q67),"",計算結果!Q67)=0,"",IF(ISNA(計算結果!Q67),"",計算結果!Q67))</f>
        <v/>
      </c>
      <c r="R67" s="14" t="str">
        <f t="shared" ref="R67:R130" si="3">IF(AND(M67&lt;&gt;"",M67=N67),"◯","")</f>
        <v/>
      </c>
      <c r="S67" s="14" t="str">
        <f t="shared" ref="S67:S130" si="4">IF(M67="","◯","")</f>
        <v>◯</v>
      </c>
      <c r="T67" s="14" t="str">
        <f t="shared" ref="T67:T130" si="5">IF(AND(P67&lt;&gt;"",P67&lt;&gt;Q67),"◯","")</f>
        <v/>
      </c>
    </row>
    <row r="68" spans="1:20" hidden="1" x14ac:dyDescent="0.45">
      <c r="A68" s="10" t="str">
        <f>IF(IF(ISNA(計算結果!A68),"",計算結果!A68)=0,"",IF(ISNA(計算結果!A68),"",計算結果!A68))</f>
        <v/>
      </c>
      <c r="B68" s="10" t="str">
        <f>IF(IF(ISNA(計算結果!B68),"",計算結果!B68)=0,"",IF(ISNA(計算結果!B68),"",計算結果!B68))</f>
        <v/>
      </c>
      <c r="C68" s="10" t="str">
        <f>IF(IF(ISNA(計算結果!C68),"",計算結果!C68)=0,"",IF(ISNA(計算結果!C68),"",計算結果!C68))</f>
        <v/>
      </c>
      <c r="D68" s="10" t="str">
        <f>IF(IF(ISNA(計算結果!D68),"",計算結果!D68)=0,"",IF(ISNA(計算結果!D68),"",計算結果!D68))</f>
        <v>L</v>
      </c>
      <c r="E68" s="10" t="str">
        <f>IF(IF(ISNA(計算結果!E68),"",計算結果!E68)=0,"",IF(ISNA(計算結果!E68),"",計算結果!E68))</f>
        <v/>
      </c>
      <c r="F68" s="10" t="str">
        <f>IF(IF(ISNA(計算結果!F68),"",計算結果!F68)=0,"",IF(ISNA(計算結果!F68),"",計算結果!F68))</f>
        <v/>
      </c>
      <c r="G68" s="10" t="str">
        <f>IF(IF(ISNA(計算結果!G68),"",計算結果!G68)=0,"",IF(ISNA(計算結果!G68),"",計算結果!G68))</f>
        <v/>
      </c>
      <c r="H68" s="13">
        <f>IF(IF(ISNA(計算結果!H68),"",計算結果!H68)=0,"",IF(ISNA(計算結果!H68),"",計算結果!H68))</f>
        <v>-2</v>
      </c>
      <c r="I68" s="12" t="str">
        <f>IF(IF(ISNA(計算結果!I68),"",計算結果!I68)=0,"",IF(ISNA(計算結果!I68),"",計算結果!I68))</f>
        <v/>
      </c>
      <c r="J68" s="12" t="str">
        <f>IF(IF(ISNA(計算結果!J68),"",計算結果!J68)=0,"",IF(ISNA(計算結果!J68),"",計算結果!J68))</f>
        <v/>
      </c>
      <c r="K68" s="23" t="str">
        <f>IF(IF(ISNA(計算結果!K68),"",計算結果!K68)=0,"",IF(ISNA(計算結果!K68),"",計算結果!K68))</f>
        <v/>
      </c>
      <c r="L68" s="13" t="str">
        <f>IF(IF(ISNA(計算結果!L68),"",計算結果!L68)=0,"",IF(ISNA(計算結果!L68),"",計算結果!L68))</f>
        <v/>
      </c>
      <c r="M68" s="10" t="str">
        <f>IF(IF(ISNA(計算結果!M68),"",計算結果!M68)=0,"",IF(ISNA(計算結果!M68),"",計算結果!M68))</f>
        <v/>
      </c>
      <c r="N68" s="10" t="str">
        <f>IF(IF(ISNA(計算結果!N68),"",計算結果!N68)=0,"",IF(ISNA(計算結果!N68),"",計算結果!N68))</f>
        <v/>
      </c>
      <c r="O68" s="13" t="str">
        <f>IF(IF(ISNA(計算結果!O68),"",計算結果!O68)=0,"",IF(ISNA(計算結果!O68),"",計算結果!O68))</f>
        <v/>
      </c>
      <c r="P68" s="10" t="str">
        <f>IF(IF(ISNA(計算結果!P68),"",計算結果!P68)=0,"",IF(ISNA(計算結果!P68),"",計算結果!P68))</f>
        <v/>
      </c>
      <c r="Q68" s="10" t="str">
        <f>IF(IF(ISNA(計算結果!Q68),"",計算結果!Q68)=0,"",IF(ISNA(計算結果!Q68),"",計算結果!Q68))</f>
        <v/>
      </c>
      <c r="R68" s="14" t="str">
        <f t="shared" si="3"/>
        <v/>
      </c>
      <c r="S68" s="14" t="str">
        <f t="shared" si="4"/>
        <v>◯</v>
      </c>
      <c r="T68" s="14" t="str">
        <f t="shared" si="5"/>
        <v/>
      </c>
    </row>
    <row r="69" spans="1:20" hidden="1" x14ac:dyDescent="0.45">
      <c r="A69" s="10" t="str">
        <f>IF(IF(ISNA(計算結果!A69),"",計算結果!A69)=0,"",IF(ISNA(計算結果!A69),"",計算結果!A69))</f>
        <v/>
      </c>
      <c r="B69" s="10" t="str">
        <f>IF(IF(ISNA(計算結果!B69),"",計算結果!B69)=0,"",IF(ISNA(計算結果!B69),"",計算結果!B69))</f>
        <v/>
      </c>
      <c r="C69" s="10" t="str">
        <f>IF(IF(ISNA(計算結果!C69),"",計算結果!C69)=0,"",IF(ISNA(計算結果!C69),"",計算結果!C69))</f>
        <v/>
      </c>
      <c r="D69" s="10" t="str">
        <f>IF(IF(ISNA(計算結果!D69),"",計算結果!D69)=0,"",IF(ISNA(計算結果!D69),"",計算結果!D69))</f>
        <v>L</v>
      </c>
      <c r="E69" s="10" t="str">
        <f>IF(IF(ISNA(計算結果!E69),"",計算結果!E69)=0,"",IF(ISNA(計算結果!E69),"",計算結果!E69))</f>
        <v/>
      </c>
      <c r="F69" s="10" t="str">
        <f>IF(IF(ISNA(計算結果!F69),"",計算結果!F69)=0,"",IF(ISNA(計算結果!F69),"",計算結果!F69))</f>
        <v/>
      </c>
      <c r="G69" s="10" t="str">
        <f>IF(IF(ISNA(計算結果!G69),"",計算結果!G69)=0,"",IF(ISNA(計算結果!G69),"",計算結果!G69))</f>
        <v/>
      </c>
      <c r="H69" s="13">
        <f>IF(IF(ISNA(計算結果!H69),"",計算結果!H69)=0,"",IF(ISNA(計算結果!H69),"",計算結果!H69))</f>
        <v>-2</v>
      </c>
      <c r="I69" s="12" t="str">
        <f>IF(IF(ISNA(計算結果!I69),"",計算結果!I69)=0,"",IF(ISNA(計算結果!I69),"",計算結果!I69))</f>
        <v/>
      </c>
      <c r="J69" s="12" t="str">
        <f>IF(IF(ISNA(計算結果!J69),"",計算結果!J69)=0,"",IF(ISNA(計算結果!J69),"",計算結果!J69))</f>
        <v/>
      </c>
      <c r="K69" s="23" t="str">
        <f>IF(IF(ISNA(計算結果!K69),"",計算結果!K69)=0,"",IF(ISNA(計算結果!K69),"",計算結果!K69))</f>
        <v/>
      </c>
      <c r="L69" s="13" t="str">
        <f>IF(IF(ISNA(計算結果!L69),"",計算結果!L69)=0,"",IF(ISNA(計算結果!L69),"",計算結果!L69))</f>
        <v/>
      </c>
      <c r="M69" s="10" t="str">
        <f>IF(IF(ISNA(計算結果!M69),"",計算結果!M69)=0,"",IF(ISNA(計算結果!M69),"",計算結果!M69))</f>
        <v/>
      </c>
      <c r="N69" s="10" t="str">
        <f>IF(IF(ISNA(計算結果!N69),"",計算結果!N69)=0,"",IF(ISNA(計算結果!N69),"",計算結果!N69))</f>
        <v/>
      </c>
      <c r="O69" s="13" t="str">
        <f>IF(IF(ISNA(計算結果!O69),"",計算結果!O69)=0,"",IF(ISNA(計算結果!O69),"",計算結果!O69))</f>
        <v/>
      </c>
      <c r="P69" s="10" t="str">
        <f>IF(IF(ISNA(計算結果!P69),"",計算結果!P69)=0,"",IF(ISNA(計算結果!P69),"",計算結果!P69))</f>
        <v/>
      </c>
      <c r="Q69" s="10" t="str">
        <f>IF(IF(ISNA(計算結果!Q69),"",計算結果!Q69)=0,"",IF(ISNA(計算結果!Q69),"",計算結果!Q69))</f>
        <v/>
      </c>
      <c r="R69" s="14" t="str">
        <f t="shared" si="3"/>
        <v/>
      </c>
      <c r="S69" s="14" t="str">
        <f t="shared" si="4"/>
        <v>◯</v>
      </c>
      <c r="T69" s="14" t="str">
        <f t="shared" si="5"/>
        <v/>
      </c>
    </row>
    <row r="70" spans="1:20" hidden="1" x14ac:dyDescent="0.45">
      <c r="A70" s="10" t="str">
        <f>IF(IF(ISNA(計算結果!A70),"",計算結果!A70)=0,"",IF(ISNA(計算結果!A70),"",計算結果!A70))</f>
        <v/>
      </c>
      <c r="B70" s="10" t="str">
        <f>IF(IF(ISNA(計算結果!B70),"",計算結果!B70)=0,"",IF(ISNA(計算結果!B70),"",計算結果!B70))</f>
        <v/>
      </c>
      <c r="C70" s="10" t="str">
        <f>IF(IF(ISNA(計算結果!C70),"",計算結果!C70)=0,"",IF(ISNA(計算結果!C70),"",計算結果!C70))</f>
        <v/>
      </c>
      <c r="D70" s="10" t="str">
        <f>IF(IF(ISNA(計算結果!D70),"",計算結果!D70)=0,"",IF(ISNA(計算結果!D70),"",計算結果!D70))</f>
        <v>L</v>
      </c>
      <c r="E70" s="10" t="str">
        <f>IF(IF(ISNA(計算結果!E70),"",計算結果!E70)=0,"",IF(ISNA(計算結果!E70),"",計算結果!E70))</f>
        <v/>
      </c>
      <c r="F70" s="10" t="str">
        <f>IF(IF(ISNA(計算結果!F70),"",計算結果!F70)=0,"",IF(ISNA(計算結果!F70),"",計算結果!F70))</f>
        <v/>
      </c>
      <c r="G70" s="10" t="str">
        <f>IF(IF(ISNA(計算結果!G70),"",計算結果!G70)=0,"",IF(ISNA(計算結果!G70),"",計算結果!G70))</f>
        <v/>
      </c>
      <c r="H70" s="13">
        <f>IF(IF(ISNA(計算結果!H70),"",計算結果!H70)=0,"",IF(ISNA(計算結果!H70),"",計算結果!H70))</f>
        <v>-2</v>
      </c>
      <c r="I70" s="12" t="str">
        <f>IF(IF(ISNA(計算結果!I70),"",計算結果!I70)=0,"",IF(ISNA(計算結果!I70),"",計算結果!I70))</f>
        <v/>
      </c>
      <c r="J70" s="12" t="str">
        <f>IF(IF(ISNA(計算結果!J70),"",計算結果!J70)=0,"",IF(ISNA(計算結果!J70),"",計算結果!J70))</f>
        <v/>
      </c>
      <c r="K70" s="23" t="str">
        <f>IF(IF(ISNA(計算結果!K70),"",計算結果!K70)=0,"",IF(ISNA(計算結果!K70),"",計算結果!K70))</f>
        <v/>
      </c>
      <c r="L70" s="13" t="str">
        <f>IF(IF(ISNA(計算結果!L70),"",計算結果!L70)=0,"",IF(ISNA(計算結果!L70),"",計算結果!L70))</f>
        <v/>
      </c>
      <c r="M70" s="10" t="str">
        <f>IF(IF(ISNA(計算結果!M70),"",計算結果!M70)=0,"",IF(ISNA(計算結果!M70),"",計算結果!M70))</f>
        <v/>
      </c>
      <c r="N70" s="10" t="str">
        <f>IF(IF(ISNA(計算結果!N70),"",計算結果!N70)=0,"",IF(ISNA(計算結果!N70),"",計算結果!N70))</f>
        <v/>
      </c>
      <c r="O70" s="13" t="str">
        <f>IF(IF(ISNA(計算結果!O70),"",計算結果!O70)=0,"",IF(ISNA(計算結果!O70),"",計算結果!O70))</f>
        <v/>
      </c>
      <c r="P70" s="10" t="str">
        <f>IF(IF(ISNA(計算結果!P70),"",計算結果!P70)=0,"",IF(ISNA(計算結果!P70),"",計算結果!P70))</f>
        <v/>
      </c>
      <c r="Q70" s="10" t="str">
        <f>IF(IF(ISNA(計算結果!Q70),"",計算結果!Q70)=0,"",IF(ISNA(計算結果!Q70),"",計算結果!Q70))</f>
        <v/>
      </c>
      <c r="R70" s="14" t="str">
        <f t="shared" si="3"/>
        <v/>
      </c>
      <c r="S70" s="14" t="str">
        <f t="shared" si="4"/>
        <v>◯</v>
      </c>
      <c r="T70" s="14" t="str">
        <f t="shared" si="5"/>
        <v/>
      </c>
    </row>
    <row r="71" spans="1:20" hidden="1" x14ac:dyDescent="0.45">
      <c r="A71" s="10" t="str">
        <f>IF(IF(ISNA(計算結果!A71),"",計算結果!A71)=0,"",IF(ISNA(計算結果!A71),"",計算結果!A71))</f>
        <v/>
      </c>
      <c r="B71" s="10" t="str">
        <f>IF(IF(ISNA(計算結果!B71),"",計算結果!B71)=0,"",IF(ISNA(計算結果!B71),"",計算結果!B71))</f>
        <v/>
      </c>
      <c r="C71" s="10" t="str">
        <f>IF(IF(ISNA(計算結果!C71),"",計算結果!C71)=0,"",IF(ISNA(計算結果!C71),"",計算結果!C71))</f>
        <v/>
      </c>
      <c r="D71" s="10" t="str">
        <f>IF(IF(ISNA(計算結果!D71),"",計算結果!D71)=0,"",IF(ISNA(計算結果!D71),"",計算結果!D71))</f>
        <v>L</v>
      </c>
      <c r="E71" s="10" t="str">
        <f>IF(IF(ISNA(計算結果!E71),"",計算結果!E71)=0,"",IF(ISNA(計算結果!E71),"",計算結果!E71))</f>
        <v/>
      </c>
      <c r="F71" s="10" t="str">
        <f>IF(IF(ISNA(計算結果!F71),"",計算結果!F71)=0,"",IF(ISNA(計算結果!F71),"",計算結果!F71))</f>
        <v/>
      </c>
      <c r="G71" s="10" t="str">
        <f>IF(IF(ISNA(計算結果!G71),"",計算結果!G71)=0,"",IF(ISNA(計算結果!G71),"",計算結果!G71))</f>
        <v/>
      </c>
      <c r="H71" s="13">
        <f>IF(IF(ISNA(計算結果!H71),"",計算結果!H71)=0,"",IF(ISNA(計算結果!H71),"",計算結果!H71))</f>
        <v>-2</v>
      </c>
      <c r="I71" s="12" t="str">
        <f>IF(IF(ISNA(計算結果!I71),"",計算結果!I71)=0,"",IF(ISNA(計算結果!I71),"",計算結果!I71))</f>
        <v/>
      </c>
      <c r="J71" s="12" t="str">
        <f>IF(IF(ISNA(計算結果!J71),"",計算結果!J71)=0,"",IF(ISNA(計算結果!J71),"",計算結果!J71))</f>
        <v/>
      </c>
      <c r="K71" s="23" t="str">
        <f>IF(IF(ISNA(計算結果!K71),"",計算結果!K71)=0,"",IF(ISNA(計算結果!K71),"",計算結果!K71))</f>
        <v/>
      </c>
      <c r="L71" s="13" t="str">
        <f>IF(IF(ISNA(計算結果!L71),"",計算結果!L71)=0,"",IF(ISNA(計算結果!L71),"",計算結果!L71))</f>
        <v/>
      </c>
      <c r="M71" s="10" t="str">
        <f>IF(IF(ISNA(計算結果!M71),"",計算結果!M71)=0,"",IF(ISNA(計算結果!M71),"",計算結果!M71))</f>
        <v/>
      </c>
      <c r="N71" s="10" t="str">
        <f>IF(IF(ISNA(計算結果!N71),"",計算結果!N71)=0,"",IF(ISNA(計算結果!N71),"",計算結果!N71))</f>
        <v/>
      </c>
      <c r="O71" s="13" t="str">
        <f>IF(IF(ISNA(計算結果!O71),"",計算結果!O71)=0,"",IF(ISNA(計算結果!O71),"",計算結果!O71))</f>
        <v/>
      </c>
      <c r="P71" s="10" t="str">
        <f>IF(IF(ISNA(計算結果!P71),"",計算結果!P71)=0,"",IF(ISNA(計算結果!P71),"",計算結果!P71))</f>
        <v/>
      </c>
      <c r="Q71" s="10" t="str">
        <f>IF(IF(ISNA(計算結果!Q71),"",計算結果!Q71)=0,"",IF(ISNA(計算結果!Q71),"",計算結果!Q71))</f>
        <v/>
      </c>
      <c r="R71" s="14" t="str">
        <f t="shared" si="3"/>
        <v/>
      </c>
      <c r="S71" s="14" t="str">
        <f t="shared" si="4"/>
        <v>◯</v>
      </c>
      <c r="T71" s="14" t="str">
        <f t="shared" si="5"/>
        <v/>
      </c>
    </row>
    <row r="72" spans="1:20" hidden="1" x14ac:dyDescent="0.45">
      <c r="A72" s="10" t="str">
        <f>IF(IF(ISNA(計算結果!A72),"",計算結果!A72)=0,"",IF(ISNA(計算結果!A72),"",計算結果!A72))</f>
        <v/>
      </c>
      <c r="B72" s="10" t="str">
        <f>IF(IF(ISNA(計算結果!B72),"",計算結果!B72)=0,"",IF(ISNA(計算結果!B72),"",計算結果!B72))</f>
        <v/>
      </c>
      <c r="C72" s="10" t="str">
        <f>IF(IF(ISNA(計算結果!C72),"",計算結果!C72)=0,"",IF(ISNA(計算結果!C72),"",計算結果!C72))</f>
        <v/>
      </c>
      <c r="D72" s="10" t="str">
        <f>IF(IF(ISNA(計算結果!D72),"",計算結果!D72)=0,"",IF(ISNA(計算結果!D72),"",計算結果!D72))</f>
        <v>L</v>
      </c>
      <c r="E72" s="10" t="str">
        <f>IF(IF(ISNA(計算結果!E72),"",計算結果!E72)=0,"",IF(ISNA(計算結果!E72),"",計算結果!E72))</f>
        <v/>
      </c>
      <c r="F72" s="10" t="str">
        <f>IF(IF(ISNA(計算結果!F72),"",計算結果!F72)=0,"",IF(ISNA(計算結果!F72),"",計算結果!F72))</f>
        <v/>
      </c>
      <c r="G72" s="10" t="str">
        <f>IF(IF(ISNA(計算結果!G72),"",計算結果!G72)=0,"",IF(ISNA(計算結果!G72),"",計算結果!G72))</f>
        <v/>
      </c>
      <c r="H72" s="13">
        <f>IF(IF(ISNA(計算結果!H72),"",計算結果!H72)=0,"",IF(ISNA(計算結果!H72),"",計算結果!H72))</f>
        <v>-2</v>
      </c>
      <c r="I72" s="12" t="str">
        <f>IF(IF(ISNA(計算結果!I72),"",計算結果!I72)=0,"",IF(ISNA(計算結果!I72),"",計算結果!I72))</f>
        <v/>
      </c>
      <c r="J72" s="12" t="str">
        <f>IF(IF(ISNA(計算結果!J72),"",計算結果!J72)=0,"",IF(ISNA(計算結果!J72),"",計算結果!J72))</f>
        <v/>
      </c>
      <c r="K72" s="23" t="str">
        <f>IF(IF(ISNA(計算結果!K72),"",計算結果!K72)=0,"",IF(ISNA(計算結果!K72),"",計算結果!K72))</f>
        <v/>
      </c>
      <c r="L72" s="13" t="str">
        <f>IF(IF(ISNA(計算結果!L72),"",計算結果!L72)=0,"",IF(ISNA(計算結果!L72),"",計算結果!L72))</f>
        <v/>
      </c>
      <c r="M72" s="10" t="str">
        <f>IF(IF(ISNA(計算結果!M72),"",計算結果!M72)=0,"",IF(ISNA(計算結果!M72),"",計算結果!M72))</f>
        <v/>
      </c>
      <c r="N72" s="10" t="str">
        <f>IF(IF(ISNA(計算結果!N72),"",計算結果!N72)=0,"",IF(ISNA(計算結果!N72),"",計算結果!N72))</f>
        <v/>
      </c>
      <c r="O72" s="13" t="str">
        <f>IF(IF(ISNA(計算結果!O72),"",計算結果!O72)=0,"",IF(ISNA(計算結果!O72),"",計算結果!O72))</f>
        <v/>
      </c>
      <c r="P72" s="10" t="str">
        <f>IF(IF(ISNA(計算結果!P72),"",計算結果!P72)=0,"",IF(ISNA(計算結果!P72),"",計算結果!P72))</f>
        <v/>
      </c>
      <c r="Q72" s="10" t="str">
        <f>IF(IF(ISNA(計算結果!Q72),"",計算結果!Q72)=0,"",IF(ISNA(計算結果!Q72),"",計算結果!Q72))</f>
        <v/>
      </c>
      <c r="R72" s="14" t="str">
        <f t="shared" si="3"/>
        <v/>
      </c>
      <c r="S72" s="14" t="str">
        <f t="shared" si="4"/>
        <v>◯</v>
      </c>
      <c r="T72" s="14" t="str">
        <f t="shared" si="5"/>
        <v/>
      </c>
    </row>
    <row r="73" spans="1:20" hidden="1" x14ac:dyDescent="0.45">
      <c r="A73" s="10" t="str">
        <f>IF(IF(ISNA(計算結果!A73),"",計算結果!A73)=0,"",IF(ISNA(計算結果!A73),"",計算結果!A73))</f>
        <v/>
      </c>
      <c r="B73" s="10" t="str">
        <f>IF(IF(ISNA(計算結果!B73),"",計算結果!B73)=0,"",IF(ISNA(計算結果!B73),"",計算結果!B73))</f>
        <v/>
      </c>
      <c r="C73" s="10" t="str">
        <f>IF(IF(ISNA(計算結果!C73),"",計算結果!C73)=0,"",IF(ISNA(計算結果!C73),"",計算結果!C73))</f>
        <v/>
      </c>
      <c r="D73" s="10" t="str">
        <f>IF(IF(ISNA(計算結果!D73),"",計算結果!D73)=0,"",IF(ISNA(計算結果!D73),"",計算結果!D73))</f>
        <v>L</v>
      </c>
      <c r="E73" s="10" t="str">
        <f>IF(IF(ISNA(計算結果!E73),"",計算結果!E73)=0,"",IF(ISNA(計算結果!E73),"",計算結果!E73))</f>
        <v/>
      </c>
      <c r="F73" s="10" t="str">
        <f>IF(IF(ISNA(計算結果!F73),"",計算結果!F73)=0,"",IF(ISNA(計算結果!F73),"",計算結果!F73))</f>
        <v/>
      </c>
      <c r="G73" s="10" t="str">
        <f>IF(IF(ISNA(計算結果!G73),"",計算結果!G73)=0,"",IF(ISNA(計算結果!G73),"",計算結果!G73))</f>
        <v/>
      </c>
      <c r="H73" s="13">
        <f>IF(IF(ISNA(計算結果!H73),"",計算結果!H73)=0,"",IF(ISNA(計算結果!H73),"",計算結果!H73))</f>
        <v>-2</v>
      </c>
      <c r="I73" s="12" t="str">
        <f>IF(IF(ISNA(計算結果!I73),"",計算結果!I73)=0,"",IF(ISNA(計算結果!I73),"",計算結果!I73))</f>
        <v/>
      </c>
      <c r="J73" s="12" t="str">
        <f>IF(IF(ISNA(計算結果!J73),"",計算結果!J73)=0,"",IF(ISNA(計算結果!J73),"",計算結果!J73))</f>
        <v/>
      </c>
      <c r="K73" s="23" t="str">
        <f>IF(IF(ISNA(計算結果!K73),"",計算結果!K73)=0,"",IF(ISNA(計算結果!K73),"",計算結果!K73))</f>
        <v/>
      </c>
      <c r="L73" s="13" t="str">
        <f>IF(IF(ISNA(計算結果!L73),"",計算結果!L73)=0,"",IF(ISNA(計算結果!L73),"",計算結果!L73))</f>
        <v/>
      </c>
      <c r="M73" s="10" t="str">
        <f>IF(IF(ISNA(計算結果!M73),"",計算結果!M73)=0,"",IF(ISNA(計算結果!M73),"",計算結果!M73))</f>
        <v/>
      </c>
      <c r="N73" s="10" t="str">
        <f>IF(IF(ISNA(計算結果!N73),"",計算結果!N73)=0,"",IF(ISNA(計算結果!N73),"",計算結果!N73))</f>
        <v/>
      </c>
      <c r="O73" s="13" t="str">
        <f>IF(IF(ISNA(計算結果!O73),"",計算結果!O73)=0,"",IF(ISNA(計算結果!O73),"",計算結果!O73))</f>
        <v/>
      </c>
      <c r="P73" s="10" t="str">
        <f>IF(IF(ISNA(計算結果!P73),"",計算結果!P73)=0,"",IF(ISNA(計算結果!P73),"",計算結果!P73))</f>
        <v/>
      </c>
      <c r="Q73" s="10" t="str">
        <f>IF(IF(ISNA(計算結果!Q73),"",計算結果!Q73)=0,"",IF(ISNA(計算結果!Q73),"",計算結果!Q73))</f>
        <v/>
      </c>
      <c r="R73" s="14" t="str">
        <f t="shared" si="3"/>
        <v/>
      </c>
      <c r="S73" s="14" t="str">
        <f t="shared" si="4"/>
        <v>◯</v>
      </c>
      <c r="T73" s="14" t="str">
        <f t="shared" si="5"/>
        <v/>
      </c>
    </row>
    <row r="74" spans="1:20" hidden="1" x14ac:dyDescent="0.45">
      <c r="A74" s="10" t="str">
        <f>IF(IF(ISNA(計算結果!A74),"",計算結果!A74)=0,"",IF(ISNA(計算結果!A74),"",計算結果!A74))</f>
        <v/>
      </c>
      <c r="B74" s="10" t="str">
        <f>IF(IF(ISNA(計算結果!B74),"",計算結果!B74)=0,"",IF(ISNA(計算結果!B74),"",計算結果!B74))</f>
        <v/>
      </c>
      <c r="C74" s="10" t="str">
        <f>IF(IF(ISNA(計算結果!C74),"",計算結果!C74)=0,"",IF(ISNA(計算結果!C74),"",計算結果!C74))</f>
        <v/>
      </c>
      <c r="D74" s="10" t="str">
        <f>IF(IF(ISNA(計算結果!D74),"",計算結果!D74)=0,"",IF(ISNA(計算結果!D74),"",計算結果!D74))</f>
        <v>L</v>
      </c>
      <c r="E74" s="10" t="str">
        <f>IF(IF(ISNA(計算結果!E74),"",計算結果!E74)=0,"",IF(ISNA(計算結果!E74),"",計算結果!E74))</f>
        <v/>
      </c>
      <c r="F74" s="10" t="str">
        <f>IF(IF(ISNA(計算結果!F74),"",計算結果!F74)=0,"",IF(ISNA(計算結果!F74),"",計算結果!F74))</f>
        <v/>
      </c>
      <c r="G74" s="10" t="str">
        <f>IF(IF(ISNA(計算結果!G74),"",計算結果!G74)=0,"",IF(ISNA(計算結果!G74),"",計算結果!G74))</f>
        <v/>
      </c>
      <c r="H74" s="13">
        <f>IF(IF(ISNA(計算結果!H74),"",計算結果!H74)=0,"",IF(ISNA(計算結果!H74),"",計算結果!H74))</f>
        <v>-2</v>
      </c>
      <c r="I74" s="12" t="str">
        <f>IF(IF(ISNA(計算結果!I74),"",計算結果!I74)=0,"",IF(ISNA(計算結果!I74),"",計算結果!I74))</f>
        <v/>
      </c>
      <c r="J74" s="12" t="str">
        <f>IF(IF(ISNA(計算結果!J74),"",計算結果!J74)=0,"",IF(ISNA(計算結果!J74),"",計算結果!J74))</f>
        <v/>
      </c>
      <c r="K74" s="23" t="str">
        <f>IF(IF(ISNA(計算結果!K74),"",計算結果!K74)=0,"",IF(ISNA(計算結果!K74),"",計算結果!K74))</f>
        <v/>
      </c>
      <c r="L74" s="13" t="str">
        <f>IF(IF(ISNA(計算結果!L74),"",計算結果!L74)=0,"",IF(ISNA(計算結果!L74),"",計算結果!L74))</f>
        <v/>
      </c>
      <c r="M74" s="10" t="str">
        <f>IF(IF(ISNA(計算結果!M74),"",計算結果!M74)=0,"",IF(ISNA(計算結果!M74),"",計算結果!M74))</f>
        <v/>
      </c>
      <c r="N74" s="10" t="str">
        <f>IF(IF(ISNA(計算結果!N74),"",計算結果!N74)=0,"",IF(ISNA(計算結果!N74),"",計算結果!N74))</f>
        <v/>
      </c>
      <c r="O74" s="13" t="str">
        <f>IF(IF(ISNA(計算結果!O74),"",計算結果!O74)=0,"",IF(ISNA(計算結果!O74),"",計算結果!O74))</f>
        <v/>
      </c>
      <c r="P74" s="10" t="str">
        <f>IF(IF(ISNA(計算結果!P74),"",計算結果!P74)=0,"",IF(ISNA(計算結果!P74),"",計算結果!P74))</f>
        <v/>
      </c>
      <c r="Q74" s="10" t="str">
        <f>IF(IF(ISNA(計算結果!Q74),"",計算結果!Q74)=0,"",IF(ISNA(計算結果!Q74),"",計算結果!Q74))</f>
        <v/>
      </c>
      <c r="R74" s="14" t="str">
        <f t="shared" si="3"/>
        <v/>
      </c>
      <c r="S74" s="14" t="str">
        <f t="shared" si="4"/>
        <v>◯</v>
      </c>
      <c r="T74" s="14" t="str">
        <f t="shared" si="5"/>
        <v/>
      </c>
    </row>
    <row r="75" spans="1:20" hidden="1" x14ac:dyDescent="0.45">
      <c r="A75" s="10" t="str">
        <f>IF(IF(ISNA(計算結果!A75),"",計算結果!A75)=0,"",IF(ISNA(計算結果!A75),"",計算結果!A75))</f>
        <v/>
      </c>
      <c r="B75" s="10" t="str">
        <f>IF(IF(ISNA(計算結果!B75),"",計算結果!B75)=0,"",IF(ISNA(計算結果!B75),"",計算結果!B75))</f>
        <v/>
      </c>
      <c r="C75" s="10" t="str">
        <f>IF(IF(ISNA(計算結果!C75),"",計算結果!C75)=0,"",IF(ISNA(計算結果!C75),"",計算結果!C75))</f>
        <v/>
      </c>
      <c r="D75" s="10" t="str">
        <f>IF(IF(ISNA(計算結果!D75),"",計算結果!D75)=0,"",IF(ISNA(計算結果!D75),"",計算結果!D75))</f>
        <v>L</v>
      </c>
      <c r="E75" s="10" t="str">
        <f>IF(IF(ISNA(計算結果!E75),"",計算結果!E75)=0,"",IF(ISNA(計算結果!E75),"",計算結果!E75))</f>
        <v/>
      </c>
      <c r="F75" s="10" t="str">
        <f>IF(IF(ISNA(計算結果!F75),"",計算結果!F75)=0,"",IF(ISNA(計算結果!F75),"",計算結果!F75))</f>
        <v/>
      </c>
      <c r="G75" s="10" t="str">
        <f>IF(IF(ISNA(計算結果!G75),"",計算結果!G75)=0,"",IF(ISNA(計算結果!G75),"",計算結果!G75))</f>
        <v/>
      </c>
      <c r="H75" s="13">
        <f>IF(IF(ISNA(計算結果!H75),"",計算結果!H75)=0,"",IF(ISNA(計算結果!H75),"",計算結果!H75))</f>
        <v>-2</v>
      </c>
      <c r="I75" s="12" t="str">
        <f>IF(IF(ISNA(計算結果!I75),"",計算結果!I75)=0,"",IF(ISNA(計算結果!I75),"",計算結果!I75))</f>
        <v/>
      </c>
      <c r="J75" s="12" t="str">
        <f>IF(IF(ISNA(計算結果!J75),"",計算結果!J75)=0,"",IF(ISNA(計算結果!J75),"",計算結果!J75))</f>
        <v/>
      </c>
      <c r="K75" s="23" t="str">
        <f>IF(IF(ISNA(計算結果!K75),"",計算結果!K75)=0,"",IF(ISNA(計算結果!K75),"",計算結果!K75))</f>
        <v/>
      </c>
      <c r="L75" s="13" t="str">
        <f>IF(IF(ISNA(計算結果!L75),"",計算結果!L75)=0,"",IF(ISNA(計算結果!L75),"",計算結果!L75))</f>
        <v/>
      </c>
      <c r="M75" s="10" t="str">
        <f>IF(IF(ISNA(計算結果!M75),"",計算結果!M75)=0,"",IF(ISNA(計算結果!M75),"",計算結果!M75))</f>
        <v/>
      </c>
      <c r="N75" s="10" t="str">
        <f>IF(IF(ISNA(計算結果!N75),"",計算結果!N75)=0,"",IF(ISNA(計算結果!N75),"",計算結果!N75))</f>
        <v/>
      </c>
      <c r="O75" s="13" t="str">
        <f>IF(IF(ISNA(計算結果!O75),"",計算結果!O75)=0,"",IF(ISNA(計算結果!O75),"",計算結果!O75))</f>
        <v/>
      </c>
      <c r="P75" s="10" t="str">
        <f>IF(IF(ISNA(計算結果!P75),"",計算結果!P75)=0,"",IF(ISNA(計算結果!P75),"",計算結果!P75))</f>
        <v/>
      </c>
      <c r="Q75" s="10" t="str">
        <f>IF(IF(ISNA(計算結果!Q75),"",計算結果!Q75)=0,"",IF(ISNA(計算結果!Q75),"",計算結果!Q75))</f>
        <v/>
      </c>
      <c r="R75" s="14" t="str">
        <f t="shared" si="3"/>
        <v/>
      </c>
      <c r="S75" s="14" t="str">
        <f t="shared" si="4"/>
        <v>◯</v>
      </c>
      <c r="T75" s="14" t="str">
        <f t="shared" si="5"/>
        <v/>
      </c>
    </row>
    <row r="76" spans="1:20" hidden="1" x14ac:dyDescent="0.45">
      <c r="A76" s="10" t="str">
        <f>IF(IF(ISNA(計算結果!A76),"",計算結果!A76)=0,"",IF(ISNA(計算結果!A76),"",計算結果!A76))</f>
        <v/>
      </c>
      <c r="B76" s="10" t="str">
        <f>IF(IF(ISNA(計算結果!B76),"",計算結果!B76)=0,"",IF(ISNA(計算結果!B76),"",計算結果!B76))</f>
        <v/>
      </c>
      <c r="C76" s="10" t="str">
        <f>IF(IF(ISNA(計算結果!C76),"",計算結果!C76)=0,"",IF(ISNA(計算結果!C76),"",計算結果!C76))</f>
        <v/>
      </c>
      <c r="D76" s="10" t="str">
        <f>IF(IF(ISNA(計算結果!D76),"",計算結果!D76)=0,"",IF(ISNA(計算結果!D76),"",計算結果!D76))</f>
        <v>L</v>
      </c>
      <c r="E76" s="10" t="str">
        <f>IF(IF(ISNA(計算結果!E76),"",計算結果!E76)=0,"",IF(ISNA(計算結果!E76),"",計算結果!E76))</f>
        <v/>
      </c>
      <c r="F76" s="10" t="str">
        <f>IF(IF(ISNA(計算結果!F76),"",計算結果!F76)=0,"",IF(ISNA(計算結果!F76),"",計算結果!F76))</f>
        <v/>
      </c>
      <c r="G76" s="10" t="str">
        <f>IF(IF(ISNA(計算結果!G76),"",計算結果!G76)=0,"",IF(ISNA(計算結果!G76),"",計算結果!G76))</f>
        <v/>
      </c>
      <c r="H76" s="13">
        <f>IF(IF(ISNA(計算結果!H76),"",計算結果!H76)=0,"",IF(ISNA(計算結果!H76),"",計算結果!H76))</f>
        <v>-2</v>
      </c>
      <c r="I76" s="12" t="str">
        <f>IF(IF(ISNA(計算結果!I76),"",計算結果!I76)=0,"",IF(ISNA(計算結果!I76),"",計算結果!I76))</f>
        <v/>
      </c>
      <c r="J76" s="12" t="str">
        <f>IF(IF(ISNA(計算結果!J76),"",計算結果!J76)=0,"",IF(ISNA(計算結果!J76),"",計算結果!J76))</f>
        <v/>
      </c>
      <c r="K76" s="23" t="str">
        <f>IF(IF(ISNA(計算結果!K76),"",計算結果!K76)=0,"",IF(ISNA(計算結果!K76),"",計算結果!K76))</f>
        <v/>
      </c>
      <c r="L76" s="13" t="str">
        <f>IF(IF(ISNA(計算結果!L76),"",計算結果!L76)=0,"",IF(ISNA(計算結果!L76),"",計算結果!L76))</f>
        <v/>
      </c>
      <c r="M76" s="10" t="str">
        <f>IF(IF(ISNA(計算結果!M76),"",計算結果!M76)=0,"",IF(ISNA(計算結果!M76),"",計算結果!M76))</f>
        <v/>
      </c>
      <c r="N76" s="10" t="str">
        <f>IF(IF(ISNA(計算結果!N76),"",計算結果!N76)=0,"",IF(ISNA(計算結果!N76),"",計算結果!N76))</f>
        <v/>
      </c>
      <c r="O76" s="13" t="str">
        <f>IF(IF(ISNA(計算結果!O76),"",計算結果!O76)=0,"",IF(ISNA(計算結果!O76),"",計算結果!O76))</f>
        <v/>
      </c>
      <c r="P76" s="10" t="str">
        <f>IF(IF(ISNA(計算結果!P76),"",計算結果!P76)=0,"",IF(ISNA(計算結果!P76),"",計算結果!P76))</f>
        <v/>
      </c>
      <c r="Q76" s="10" t="str">
        <f>IF(IF(ISNA(計算結果!Q76),"",計算結果!Q76)=0,"",IF(ISNA(計算結果!Q76),"",計算結果!Q76))</f>
        <v/>
      </c>
      <c r="R76" s="14" t="str">
        <f t="shared" si="3"/>
        <v/>
      </c>
      <c r="S76" s="14" t="str">
        <f t="shared" si="4"/>
        <v>◯</v>
      </c>
      <c r="T76" s="14" t="str">
        <f t="shared" si="5"/>
        <v/>
      </c>
    </row>
    <row r="77" spans="1:20" hidden="1" x14ac:dyDescent="0.45">
      <c r="A77" s="10" t="str">
        <f>IF(IF(ISNA(計算結果!A77),"",計算結果!A77)=0,"",IF(ISNA(計算結果!A77),"",計算結果!A77))</f>
        <v/>
      </c>
      <c r="B77" s="10" t="str">
        <f>IF(IF(ISNA(計算結果!B77),"",計算結果!B77)=0,"",IF(ISNA(計算結果!B77),"",計算結果!B77))</f>
        <v/>
      </c>
      <c r="C77" s="10" t="str">
        <f>IF(IF(ISNA(計算結果!C77),"",計算結果!C77)=0,"",IF(ISNA(計算結果!C77),"",計算結果!C77))</f>
        <v/>
      </c>
      <c r="D77" s="10" t="str">
        <f>IF(IF(ISNA(計算結果!D77),"",計算結果!D77)=0,"",IF(ISNA(計算結果!D77),"",計算結果!D77))</f>
        <v>L</v>
      </c>
      <c r="E77" s="10" t="str">
        <f>IF(IF(ISNA(計算結果!E77),"",計算結果!E77)=0,"",IF(ISNA(計算結果!E77),"",計算結果!E77))</f>
        <v/>
      </c>
      <c r="F77" s="10" t="str">
        <f>IF(IF(ISNA(計算結果!F77),"",計算結果!F77)=0,"",IF(ISNA(計算結果!F77),"",計算結果!F77))</f>
        <v/>
      </c>
      <c r="G77" s="10" t="str">
        <f>IF(IF(ISNA(計算結果!G77),"",計算結果!G77)=0,"",IF(ISNA(計算結果!G77),"",計算結果!G77))</f>
        <v/>
      </c>
      <c r="H77" s="13">
        <f>IF(IF(ISNA(計算結果!H77),"",計算結果!H77)=0,"",IF(ISNA(計算結果!H77),"",計算結果!H77))</f>
        <v>-2</v>
      </c>
      <c r="I77" s="12" t="str">
        <f>IF(IF(ISNA(計算結果!I77),"",計算結果!I77)=0,"",IF(ISNA(計算結果!I77),"",計算結果!I77))</f>
        <v/>
      </c>
      <c r="J77" s="12" t="str">
        <f>IF(IF(ISNA(計算結果!J77),"",計算結果!J77)=0,"",IF(ISNA(計算結果!J77),"",計算結果!J77))</f>
        <v/>
      </c>
      <c r="K77" s="23" t="str">
        <f>IF(IF(ISNA(計算結果!K77),"",計算結果!K77)=0,"",IF(ISNA(計算結果!K77),"",計算結果!K77))</f>
        <v/>
      </c>
      <c r="L77" s="13" t="str">
        <f>IF(IF(ISNA(計算結果!L77),"",計算結果!L77)=0,"",IF(ISNA(計算結果!L77),"",計算結果!L77))</f>
        <v/>
      </c>
      <c r="M77" s="10" t="str">
        <f>IF(IF(ISNA(計算結果!M77),"",計算結果!M77)=0,"",IF(ISNA(計算結果!M77),"",計算結果!M77))</f>
        <v/>
      </c>
      <c r="N77" s="10" t="str">
        <f>IF(IF(ISNA(計算結果!N77),"",計算結果!N77)=0,"",IF(ISNA(計算結果!N77),"",計算結果!N77))</f>
        <v/>
      </c>
      <c r="O77" s="13" t="str">
        <f>IF(IF(ISNA(計算結果!O77),"",計算結果!O77)=0,"",IF(ISNA(計算結果!O77),"",計算結果!O77))</f>
        <v/>
      </c>
      <c r="P77" s="10" t="str">
        <f>IF(IF(ISNA(計算結果!P77),"",計算結果!P77)=0,"",IF(ISNA(計算結果!P77),"",計算結果!P77))</f>
        <v/>
      </c>
      <c r="Q77" s="10" t="str">
        <f>IF(IF(ISNA(計算結果!Q77),"",計算結果!Q77)=0,"",IF(ISNA(計算結果!Q77),"",計算結果!Q77))</f>
        <v/>
      </c>
      <c r="R77" s="14" t="str">
        <f t="shared" si="3"/>
        <v/>
      </c>
      <c r="S77" s="14" t="str">
        <f t="shared" si="4"/>
        <v>◯</v>
      </c>
      <c r="T77" s="14" t="str">
        <f t="shared" si="5"/>
        <v/>
      </c>
    </row>
    <row r="78" spans="1:20" hidden="1" x14ac:dyDescent="0.45">
      <c r="A78" s="10" t="str">
        <f>IF(IF(ISNA(計算結果!A78),"",計算結果!A78)=0,"",IF(ISNA(計算結果!A78),"",計算結果!A78))</f>
        <v/>
      </c>
      <c r="B78" s="10" t="str">
        <f>IF(IF(ISNA(計算結果!B78),"",計算結果!B78)=0,"",IF(ISNA(計算結果!B78),"",計算結果!B78))</f>
        <v/>
      </c>
      <c r="C78" s="10" t="str">
        <f>IF(IF(ISNA(計算結果!C78),"",計算結果!C78)=0,"",IF(ISNA(計算結果!C78),"",計算結果!C78))</f>
        <v/>
      </c>
      <c r="D78" s="10" t="str">
        <f>IF(IF(ISNA(計算結果!D78),"",計算結果!D78)=0,"",IF(ISNA(計算結果!D78),"",計算結果!D78))</f>
        <v>L</v>
      </c>
      <c r="E78" s="10" t="str">
        <f>IF(IF(ISNA(計算結果!E78),"",計算結果!E78)=0,"",IF(ISNA(計算結果!E78),"",計算結果!E78))</f>
        <v/>
      </c>
      <c r="F78" s="10" t="str">
        <f>IF(IF(ISNA(計算結果!F78),"",計算結果!F78)=0,"",IF(ISNA(計算結果!F78),"",計算結果!F78))</f>
        <v/>
      </c>
      <c r="G78" s="10" t="str">
        <f>IF(IF(ISNA(計算結果!G78),"",計算結果!G78)=0,"",IF(ISNA(計算結果!G78),"",計算結果!G78))</f>
        <v/>
      </c>
      <c r="H78" s="13">
        <f>IF(IF(ISNA(計算結果!H78),"",計算結果!H78)=0,"",IF(ISNA(計算結果!H78),"",計算結果!H78))</f>
        <v>-2</v>
      </c>
      <c r="I78" s="12" t="str">
        <f>IF(IF(ISNA(計算結果!I78),"",計算結果!I78)=0,"",IF(ISNA(計算結果!I78),"",計算結果!I78))</f>
        <v/>
      </c>
      <c r="J78" s="12" t="str">
        <f>IF(IF(ISNA(計算結果!J78),"",計算結果!J78)=0,"",IF(ISNA(計算結果!J78),"",計算結果!J78))</f>
        <v/>
      </c>
      <c r="K78" s="23" t="str">
        <f>IF(IF(ISNA(計算結果!K78),"",計算結果!K78)=0,"",IF(ISNA(計算結果!K78),"",計算結果!K78))</f>
        <v/>
      </c>
      <c r="L78" s="13" t="str">
        <f>IF(IF(ISNA(計算結果!L78),"",計算結果!L78)=0,"",IF(ISNA(計算結果!L78),"",計算結果!L78))</f>
        <v/>
      </c>
      <c r="M78" s="10" t="str">
        <f>IF(IF(ISNA(計算結果!M78),"",計算結果!M78)=0,"",IF(ISNA(計算結果!M78),"",計算結果!M78))</f>
        <v/>
      </c>
      <c r="N78" s="10" t="str">
        <f>IF(IF(ISNA(計算結果!N78),"",計算結果!N78)=0,"",IF(ISNA(計算結果!N78),"",計算結果!N78))</f>
        <v/>
      </c>
      <c r="O78" s="13" t="str">
        <f>IF(IF(ISNA(計算結果!O78),"",計算結果!O78)=0,"",IF(ISNA(計算結果!O78),"",計算結果!O78))</f>
        <v/>
      </c>
      <c r="P78" s="10" t="str">
        <f>IF(IF(ISNA(計算結果!P78),"",計算結果!P78)=0,"",IF(ISNA(計算結果!P78),"",計算結果!P78))</f>
        <v/>
      </c>
      <c r="Q78" s="10" t="str">
        <f>IF(IF(ISNA(計算結果!Q78),"",計算結果!Q78)=0,"",IF(ISNA(計算結果!Q78),"",計算結果!Q78))</f>
        <v/>
      </c>
      <c r="R78" s="14" t="str">
        <f t="shared" si="3"/>
        <v/>
      </c>
      <c r="S78" s="14" t="str">
        <f t="shared" si="4"/>
        <v>◯</v>
      </c>
      <c r="T78" s="14" t="str">
        <f t="shared" si="5"/>
        <v/>
      </c>
    </row>
    <row r="79" spans="1:20" hidden="1" x14ac:dyDescent="0.45">
      <c r="A79" s="10" t="str">
        <f>IF(IF(ISNA(計算結果!A79),"",計算結果!A79)=0,"",IF(ISNA(計算結果!A79),"",計算結果!A79))</f>
        <v/>
      </c>
      <c r="B79" s="10" t="str">
        <f>IF(IF(ISNA(計算結果!B79),"",計算結果!B79)=0,"",IF(ISNA(計算結果!B79),"",計算結果!B79))</f>
        <v/>
      </c>
      <c r="C79" s="10" t="str">
        <f>IF(IF(ISNA(計算結果!C79),"",計算結果!C79)=0,"",IF(ISNA(計算結果!C79),"",計算結果!C79))</f>
        <v/>
      </c>
      <c r="D79" s="10" t="str">
        <f>IF(IF(ISNA(計算結果!D79),"",計算結果!D79)=0,"",IF(ISNA(計算結果!D79),"",計算結果!D79))</f>
        <v>L</v>
      </c>
      <c r="E79" s="10" t="str">
        <f>IF(IF(ISNA(計算結果!E79),"",計算結果!E79)=0,"",IF(ISNA(計算結果!E79),"",計算結果!E79))</f>
        <v/>
      </c>
      <c r="F79" s="10" t="str">
        <f>IF(IF(ISNA(計算結果!F79),"",計算結果!F79)=0,"",IF(ISNA(計算結果!F79),"",計算結果!F79))</f>
        <v/>
      </c>
      <c r="G79" s="10" t="str">
        <f>IF(IF(ISNA(計算結果!G79),"",計算結果!G79)=0,"",IF(ISNA(計算結果!G79),"",計算結果!G79))</f>
        <v/>
      </c>
      <c r="H79" s="13">
        <f>IF(IF(ISNA(計算結果!H79),"",計算結果!H79)=0,"",IF(ISNA(計算結果!H79),"",計算結果!H79))</f>
        <v>-2</v>
      </c>
      <c r="I79" s="12" t="str">
        <f>IF(IF(ISNA(計算結果!I79),"",計算結果!I79)=0,"",IF(ISNA(計算結果!I79),"",計算結果!I79))</f>
        <v/>
      </c>
      <c r="J79" s="12" t="str">
        <f>IF(IF(ISNA(計算結果!J79),"",計算結果!J79)=0,"",IF(ISNA(計算結果!J79),"",計算結果!J79))</f>
        <v/>
      </c>
      <c r="K79" s="23" t="str">
        <f>IF(IF(ISNA(計算結果!K79),"",計算結果!K79)=0,"",IF(ISNA(計算結果!K79),"",計算結果!K79))</f>
        <v/>
      </c>
      <c r="L79" s="13" t="str">
        <f>IF(IF(ISNA(計算結果!L79),"",計算結果!L79)=0,"",IF(ISNA(計算結果!L79),"",計算結果!L79))</f>
        <v/>
      </c>
      <c r="M79" s="10" t="str">
        <f>IF(IF(ISNA(計算結果!M79),"",計算結果!M79)=0,"",IF(ISNA(計算結果!M79),"",計算結果!M79))</f>
        <v/>
      </c>
      <c r="N79" s="10" t="str">
        <f>IF(IF(ISNA(計算結果!N79),"",計算結果!N79)=0,"",IF(ISNA(計算結果!N79),"",計算結果!N79))</f>
        <v/>
      </c>
      <c r="O79" s="13" t="str">
        <f>IF(IF(ISNA(計算結果!O79),"",計算結果!O79)=0,"",IF(ISNA(計算結果!O79),"",計算結果!O79))</f>
        <v/>
      </c>
      <c r="P79" s="10" t="str">
        <f>IF(IF(ISNA(計算結果!P79),"",計算結果!P79)=0,"",IF(ISNA(計算結果!P79),"",計算結果!P79))</f>
        <v/>
      </c>
      <c r="Q79" s="10" t="str">
        <f>IF(IF(ISNA(計算結果!Q79),"",計算結果!Q79)=0,"",IF(ISNA(計算結果!Q79),"",計算結果!Q79))</f>
        <v/>
      </c>
      <c r="R79" s="14" t="str">
        <f t="shared" si="3"/>
        <v/>
      </c>
      <c r="S79" s="14" t="str">
        <f t="shared" si="4"/>
        <v>◯</v>
      </c>
      <c r="T79" s="14" t="str">
        <f t="shared" si="5"/>
        <v/>
      </c>
    </row>
    <row r="80" spans="1:20" hidden="1" x14ac:dyDescent="0.45">
      <c r="A80" s="10" t="str">
        <f>IF(IF(ISNA(計算結果!A80),"",計算結果!A80)=0,"",IF(ISNA(計算結果!A80),"",計算結果!A80))</f>
        <v/>
      </c>
      <c r="B80" s="10" t="str">
        <f>IF(IF(ISNA(計算結果!B80),"",計算結果!B80)=0,"",IF(ISNA(計算結果!B80),"",計算結果!B80))</f>
        <v/>
      </c>
      <c r="C80" s="10" t="str">
        <f>IF(IF(ISNA(計算結果!C80),"",計算結果!C80)=0,"",IF(ISNA(計算結果!C80),"",計算結果!C80))</f>
        <v/>
      </c>
      <c r="D80" s="10" t="str">
        <f>IF(IF(ISNA(計算結果!D80),"",計算結果!D80)=0,"",IF(ISNA(計算結果!D80),"",計算結果!D80))</f>
        <v>L</v>
      </c>
      <c r="E80" s="10" t="str">
        <f>IF(IF(ISNA(計算結果!E80),"",計算結果!E80)=0,"",IF(ISNA(計算結果!E80),"",計算結果!E80))</f>
        <v/>
      </c>
      <c r="F80" s="10" t="str">
        <f>IF(IF(ISNA(計算結果!F80),"",計算結果!F80)=0,"",IF(ISNA(計算結果!F80),"",計算結果!F80))</f>
        <v/>
      </c>
      <c r="G80" s="10" t="str">
        <f>IF(IF(ISNA(計算結果!G80),"",計算結果!G80)=0,"",IF(ISNA(計算結果!G80),"",計算結果!G80))</f>
        <v/>
      </c>
      <c r="H80" s="13">
        <f>IF(IF(ISNA(計算結果!H80),"",計算結果!H80)=0,"",IF(ISNA(計算結果!H80),"",計算結果!H80))</f>
        <v>-2</v>
      </c>
      <c r="I80" s="12" t="str">
        <f>IF(IF(ISNA(計算結果!I80),"",計算結果!I80)=0,"",IF(ISNA(計算結果!I80),"",計算結果!I80))</f>
        <v/>
      </c>
      <c r="J80" s="12" t="str">
        <f>IF(IF(ISNA(計算結果!J80),"",計算結果!J80)=0,"",IF(ISNA(計算結果!J80),"",計算結果!J80))</f>
        <v/>
      </c>
      <c r="K80" s="23" t="str">
        <f>IF(IF(ISNA(計算結果!K80),"",計算結果!K80)=0,"",IF(ISNA(計算結果!K80),"",計算結果!K80))</f>
        <v/>
      </c>
      <c r="L80" s="13" t="str">
        <f>IF(IF(ISNA(計算結果!L80),"",計算結果!L80)=0,"",IF(ISNA(計算結果!L80),"",計算結果!L80))</f>
        <v/>
      </c>
      <c r="M80" s="10" t="str">
        <f>IF(IF(ISNA(計算結果!M80),"",計算結果!M80)=0,"",IF(ISNA(計算結果!M80),"",計算結果!M80))</f>
        <v/>
      </c>
      <c r="N80" s="10" t="str">
        <f>IF(IF(ISNA(計算結果!N80),"",計算結果!N80)=0,"",IF(ISNA(計算結果!N80),"",計算結果!N80))</f>
        <v/>
      </c>
      <c r="O80" s="13" t="str">
        <f>IF(IF(ISNA(計算結果!O80),"",計算結果!O80)=0,"",IF(ISNA(計算結果!O80),"",計算結果!O80))</f>
        <v/>
      </c>
      <c r="P80" s="10" t="str">
        <f>IF(IF(ISNA(計算結果!P80),"",計算結果!P80)=0,"",IF(ISNA(計算結果!P80),"",計算結果!P80))</f>
        <v/>
      </c>
      <c r="Q80" s="10" t="str">
        <f>IF(IF(ISNA(計算結果!Q80),"",計算結果!Q80)=0,"",IF(ISNA(計算結果!Q80),"",計算結果!Q80))</f>
        <v/>
      </c>
      <c r="R80" s="14" t="str">
        <f t="shared" si="3"/>
        <v/>
      </c>
      <c r="S80" s="14" t="str">
        <f t="shared" si="4"/>
        <v>◯</v>
      </c>
      <c r="T80" s="14" t="str">
        <f t="shared" si="5"/>
        <v/>
      </c>
    </row>
    <row r="81" spans="1:20" hidden="1" x14ac:dyDescent="0.45">
      <c r="A81" s="10" t="str">
        <f>IF(IF(ISNA(計算結果!A81),"",計算結果!A81)=0,"",IF(ISNA(計算結果!A81),"",計算結果!A81))</f>
        <v/>
      </c>
      <c r="B81" s="10" t="str">
        <f>IF(IF(ISNA(計算結果!B81),"",計算結果!B81)=0,"",IF(ISNA(計算結果!B81),"",計算結果!B81))</f>
        <v/>
      </c>
      <c r="C81" s="10" t="str">
        <f>IF(IF(ISNA(計算結果!C81),"",計算結果!C81)=0,"",IF(ISNA(計算結果!C81),"",計算結果!C81))</f>
        <v/>
      </c>
      <c r="D81" s="10" t="str">
        <f>IF(IF(ISNA(計算結果!D81),"",計算結果!D81)=0,"",IF(ISNA(計算結果!D81),"",計算結果!D81))</f>
        <v>L</v>
      </c>
      <c r="E81" s="10" t="str">
        <f>IF(IF(ISNA(計算結果!E81),"",計算結果!E81)=0,"",IF(ISNA(計算結果!E81),"",計算結果!E81))</f>
        <v/>
      </c>
      <c r="F81" s="10" t="str">
        <f>IF(IF(ISNA(計算結果!F81),"",計算結果!F81)=0,"",IF(ISNA(計算結果!F81),"",計算結果!F81))</f>
        <v/>
      </c>
      <c r="G81" s="10" t="str">
        <f>IF(IF(ISNA(計算結果!G81),"",計算結果!G81)=0,"",IF(ISNA(計算結果!G81),"",計算結果!G81))</f>
        <v/>
      </c>
      <c r="H81" s="13">
        <f>IF(IF(ISNA(計算結果!H81),"",計算結果!H81)=0,"",IF(ISNA(計算結果!H81),"",計算結果!H81))</f>
        <v>-2</v>
      </c>
      <c r="I81" s="12" t="str">
        <f>IF(IF(ISNA(計算結果!I81),"",計算結果!I81)=0,"",IF(ISNA(計算結果!I81),"",計算結果!I81))</f>
        <v/>
      </c>
      <c r="J81" s="12" t="str">
        <f>IF(IF(ISNA(計算結果!J81),"",計算結果!J81)=0,"",IF(ISNA(計算結果!J81),"",計算結果!J81))</f>
        <v/>
      </c>
      <c r="K81" s="23" t="str">
        <f>IF(IF(ISNA(計算結果!K81),"",計算結果!K81)=0,"",IF(ISNA(計算結果!K81),"",計算結果!K81))</f>
        <v/>
      </c>
      <c r="L81" s="13" t="str">
        <f>IF(IF(ISNA(計算結果!L81),"",計算結果!L81)=0,"",IF(ISNA(計算結果!L81),"",計算結果!L81))</f>
        <v/>
      </c>
      <c r="M81" s="10" t="str">
        <f>IF(IF(ISNA(計算結果!M81),"",計算結果!M81)=0,"",IF(ISNA(計算結果!M81),"",計算結果!M81))</f>
        <v/>
      </c>
      <c r="N81" s="10" t="str">
        <f>IF(IF(ISNA(計算結果!N81),"",計算結果!N81)=0,"",IF(ISNA(計算結果!N81),"",計算結果!N81))</f>
        <v/>
      </c>
      <c r="O81" s="13" t="str">
        <f>IF(IF(ISNA(計算結果!O81),"",計算結果!O81)=0,"",IF(ISNA(計算結果!O81),"",計算結果!O81))</f>
        <v/>
      </c>
      <c r="P81" s="10" t="str">
        <f>IF(IF(ISNA(計算結果!P81),"",計算結果!P81)=0,"",IF(ISNA(計算結果!P81),"",計算結果!P81))</f>
        <v/>
      </c>
      <c r="Q81" s="10" t="str">
        <f>IF(IF(ISNA(計算結果!Q81),"",計算結果!Q81)=0,"",IF(ISNA(計算結果!Q81),"",計算結果!Q81))</f>
        <v/>
      </c>
      <c r="R81" s="14" t="str">
        <f t="shared" si="3"/>
        <v/>
      </c>
      <c r="S81" s="14" t="str">
        <f t="shared" si="4"/>
        <v>◯</v>
      </c>
      <c r="T81" s="14" t="str">
        <f t="shared" si="5"/>
        <v/>
      </c>
    </row>
    <row r="82" spans="1:20" hidden="1" x14ac:dyDescent="0.45">
      <c r="A82" s="10" t="str">
        <f>IF(IF(ISNA(計算結果!A82),"",計算結果!A82)=0,"",IF(ISNA(計算結果!A82),"",計算結果!A82))</f>
        <v/>
      </c>
      <c r="B82" s="10" t="str">
        <f>IF(IF(ISNA(計算結果!B82),"",計算結果!B82)=0,"",IF(ISNA(計算結果!B82),"",計算結果!B82))</f>
        <v/>
      </c>
      <c r="C82" s="10" t="str">
        <f>IF(IF(ISNA(計算結果!C82),"",計算結果!C82)=0,"",IF(ISNA(計算結果!C82),"",計算結果!C82))</f>
        <v/>
      </c>
      <c r="D82" s="10" t="str">
        <f>IF(IF(ISNA(計算結果!D82),"",計算結果!D82)=0,"",IF(ISNA(計算結果!D82),"",計算結果!D82))</f>
        <v>L</v>
      </c>
      <c r="E82" s="10" t="str">
        <f>IF(IF(ISNA(計算結果!E82),"",計算結果!E82)=0,"",IF(ISNA(計算結果!E82),"",計算結果!E82))</f>
        <v/>
      </c>
      <c r="F82" s="10" t="str">
        <f>IF(IF(ISNA(計算結果!F82),"",計算結果!F82)=0,"",IF(ISNA(計算結果!F82),"",計算結果!F82))</f>
        <v/>
      </c>
      <c r="G82" s="10" t="str">
        <f>IF(IF(ISNA(計算結果!G82),"",計算結果!G82)=0,"",IF(ISNA(計算結果!G82),"",計算結果!G82))</f>
        <v/>
      </c>
      <c r="H82" s="13">
        <f>IF(IF(ISNA(計算結果!H82),"",計算結果!H82)=0,"",IF(ISNA(計算結果!H82),"",計算結果!H82))</f>
        <v>-2</v>
      </c>
      <c r="I82" s="12" t="str">
        <f>IF(IF(ISNA(計算結果!I82),"",計算結果!I82)=0,"",IF(ISNA(計算結果!I82),"",計算結果!I82))</f>
        <v/>
      </c>
      <c r="J82" s="12" t="str">
        <f>IF(IF(ISNA(計算結果!J82),"",計算結果!J82)=0,"",IF(ISNA(計算結果!J82),"",計算結果!J82))</f>
        <v/>
      </c>
      <c r="K82" s="23" t="str">
        <f>IF(IF(ISNA(計算結果!K82),"",計算結果!K82)=0,"",IF(ISNA(計算結果!K82),"",計算結果!K82))</f>
        <v/>
      </c>
      <c r="L82" s="13" t="str">
        <f>IF(IF(ISNA(計算結果!L82),"",計算結果!L82)=0,"",IF(ISNA(計算結果!L82),"",計算結果!L82))</f>
        <v/>
      </c>
      <c r="M82" s="10" t="str">
        <f>IF(IF(ISNA(計算結果!M82),"",計算結果!M82)=0,"",IF(ISNA(計算結果!M82),"",計算結果!M82))</f>
        <v/>
      </c>
      <c r="N82" s="10" t="str">
        <f>IF(IF(ISNA(計算結果!N82),"",計算結果!N82)=0,"",IF(ISNA(計算結果!N82),"",計算結果!N82))</f>
        <v/>
      </c>
      <c r="O82" s="13" t="str">
        <f>IF(IF(ISNA(計算結果!O82),"",計算結果!O82)=0,"",IF(ISNA(計算結果!O82),"",計算結果!O82))</f>
        <v/>
      </c>
      <c r="P82" s="10" t="str">
        <f>IF(IF(ISNA(計算結果!P82),"",計算結果!P82)=0,"",IF(ISNA(計算結果!P82),"",計算結果!P82))</f>
        <v/>
      </c>
      <c r="Q82" s="10" t="str">
        <f>IF(IF(ISNA(計算結果!Q82),"",計算結果!Q82)=0,"",IF(ISNA(計算結果!Q82),"",計算結果!Q82))</f>
        <v/>
      </c>
      <c r="R82" s="14" t="str">
        <f t="shared" si="3"/>
        <v/>
      </c>
      <c r="S82" s="14" t="str">
        <f t="shared" si="4"/>
        <v>◯</v>
      </c>
      <c r="T82" s="14" t="str">
        <f t="shared" si="5"/>
        <v/>
      </c>
    </row>
    <row r="83" spans="1:20" hidden="1" x14ac:dyDescent="0.45">
      <c r="A83" s="10" t="str">
        <f>IF(IF(ISNA(計算結果!A83),"",計算結果!A83)=0,"",IF(ISNA(計算結果!A83),"",計算結果!A83))</f>
        <v/>
      </c>
      <c r="B83" s="10" t="str">
        <f>IF(IF(ISNA(計算結果!B83),"",計算結果!B83)=0,"",IF(ISNA(計算結果!B83),"",計算結果!B83))</f>
        <v/>
      </c>
      <c r="C83" s="10" t="str">
        <f>IF(IF(ISNA(計算結果!C83),"",計算結果!C83)=0,"",IF(ISNA(計算結果!C83),"",計算結果!C83))</f>
        <v/>
      </c>
      <c r="D83" s="10" t="str">
        <f>IF(IF(ISNA(計算結果!D83),"",計算結果!D83)=0,"",IF(ISNA(計算結果!D83),"",計算結果!D83))</f>
        <v>L</v>
      </c>
      <c r="E83" s="10" t="str">
        <f>IF(IF(ISNA(計算結果!E83),"",計算結果!E83)=0,"",IF(ISNA(計算結果!E83),"",計算結果!E83))</f>
        <v/>
      </c>
      <c r="F83" s="10" t="str">
        <f>IF(IF(ISNA(計算結果!F83),"",計算結果!F83)=0,"",IF(ISNA(計算結果!F83),"",計算結果!F83))</f>
        <v/>
      </c>
      <c r="G83" s="10" t="str">
        <f>IF(IF(ISNA(計算結果!G83),"",計算結果!G83)=0,"",IF(ISNA(計算結果!G83),"",計算結果!G83))</f>
        <v/>
      </c>
      <c r="H83" s="13">
        <f>IF(IF(ISNA(計算結果!H83),"",計算結果!H83)=0,"",IF(ISNA(計算結果!H83),"",計算結果!H83))</f>
        <v>-2</v>
      </c>
      <c r="I83" s="12" t="str">
        <f>IF(IF(ISNA(計算結果!I83),"",計算結果!I83)=0,"",IF(ISNA(計算結果!I83),"",計算結果!I83))</f>
        <v/>
      </c>
      <c r="J83" s="12" t="str">
        <f>IF(IF(ISNA(計算結果!J83),"",計算結果!J83)=0,"",IF(ISNA(計算結果!J83),"",計算結果!J83))</f>
        <v/>
      </c>
      <c r="K83" s="23" t="str">
        <f>IF(IF(ISNA(計算結果!K83),"",計算結果!K83)=0,"",IF(ISNA(計算結果!K83),"",計算結果!K83))</f>
        <v/>
      </c>
      <c r="L83" s="13" t="str">
        <f>IF(IF(ISNA(計算結果!L83),"",計算結果!L83)=0,"",IF(ISNA(計算結果!L83),"",計算結果!L83))</f>
        <v/>
      </c>
      <c r="M83" s="10" t="str">
        <f>IF(IF(ISNA(計算結果!M83),"",計算結果!M83)=0,"",IF(ISNA(計算結果!M83),"",計算結果!M83))</f>
        <v/>
      </c>
      <c r="N83" s="10" t="str">
        <f>IF(IF(ISNA(計算結果!N83),"",計算結果!N83)=0,"",IF(ISNA(計算結果!N83),"",計算結果!N83))</f>
        <v/>
      </c>
      <c r="O83" s="13" t="str">
        <f>IF(IF(ISNA(計算結果!O83),"",計算結果!O83)=0,"",IF(ISNA(計算結果!O83),"",計算結果!O83))</f>
        <v/>
      </c>
      <c r="P83" s="10" t="str">
        <f>IF(IF(ISNA(計算結果!P83),"",計算結果!P83)=0,"",IF(ISNA(計算結果!P83),"",計算結果!P83))</f>
        <v/>
      </c>
      <c r="Q83" s="10" t="str">
        <f>IF(IF(ISNA(計算結果!Q83),"",計算結果!Q83)=0,"",IF(ISNA(計算結果!Q83),"",計算結果!Q83))</f>
        <v/>
      </c>
      <c r="R83" s="14" t="str">
        <f t="shared" si="3"/>
        <v/>
      </c>
      <c r="S83" s="14" t="str">
        <f t="shared" si="4"/>
        <v>◯</v>
      </c>
      <c r="T83" s="14" t="str">
        <f t="shared" si="5"/>
        <v/>
      </c>
    </row>
    <row r="84" spans="1:20" hidden="1" x14ac:dyDescent="0.45">
      <c r="A84" s="10" t="str">
        <f>IF(IF(ISNA(計算結果!A84),"",計算結果!A84)=0,"",IF(ISNA(計算結果!A84),"",計算結果!A84))</f>
        <v/>
      </c>
      <c r="B84" s="10" t="str">
        <f>IF(IF(ISNA(計算結果!B84),"",計算結果!B84)=0,"",IF(ISNA(計算結果!B84),"",計算結果!B84))</f>
        <v/>
      </c>
      <c r="C84" s="10" t="str">
        <f>IF(IF(ISNA(計算結果!C84),"",計算結果!C84)=0,"",IF(ISNA(計算結果!C84),"",計算結果!C84))</f>
        <v/>
      </c>
      <c r="D84" s="10" t="str">
        <f>IF(IF(ISNA(計算結果!D84),"",計算結果!D84)=0,"",IF(ISNA(計算結果!D84),"",計算結果!D84))</f>
        <v>L</v>
      </c>
      <c r="E84" s="10" t="str">
        <f>IF(IF(ISNA(計算結果!E84),"",計算結果!E84)=0,"",IF(ISNA(計算結果!E84),"",計算結果!E84))</f>
        <v/>
      </c>
      <c r="F84" s="10" t="str">
        <f>IF(IF(ISNA(計算結果!F84),"",計算結果!F84)=0,"",IF(ISNA(計算結果!F84),"",計算結果!F84))</f>
        <v/>
      </c>
      <c r="G84" s="10" t="str">
        <f>IF(IF(ISNA(計算結果!G84),"",計算結果!G84)=0,"",IF(ISNA(計算結果!G84),"",計算結果!G84))</f>
        <v/>
      </c>
      <c r="H84" s="13">
        <f>IF(IF(ISNA(計算結果!H84),"",計算結果!H84)=0,"",IF(ISNA(計算結果!H84),"",計算結果!H84))</f>
        <v>-2</v>
      </c>
      <c r="I84" s="12" t="str">
        <f>IF(IF(ISNA(計算結果!I84),"",計算結果!I84)=0,"",IF(ISNA(計算結果!I84),"",計算結果!I84))</f>
        <v/>
      </c>
      <c r="J84" s="12" t="str">
        <f>IF(IF(ISNA(計算結果!J84),"",計算結果!J84)=0,"",IF(ISNA(計算結果!J84),"",計算結果!J84))</f>
        <v/>
      </c>
      <c r="K84" s="23" t="str">
        <f>IF(IF(ISNA(計算結果!K84),"",計算結果!K84)=0,"",IF(ISNA(計算結果!K84),"",計算結果!K84))</f>
        <v/>
      </c>
      <c r="L84" s="13" t="str">
        <f>IF(IF(ISNA(計算結果!L84),"",計算結果!L84)=0,"",IF(ISNA(計算結果!L84),"",計算結果!L84))</f>
        <v/>
      </c>
      <c r="M84" s="10" t="str">
        <f>IF(IF(ISNA(計算結果!M84),"",計算結果!M84)=0,"",IF(ISNA(計算結果!M84),"",計算結果!M84))</f>
        <v/>
      </c>
      <c r="N84" s="10" t="str">
        <f>IF(IF(ISNA(計算結果!N84),"",計算結果!N84)=0,"",IF(ISNA(計算結果!N84),"",計算結果!N84))</f>
        <v/>
      </c>
      <c r="O84" s="13" t="str">
        <f>IF(IF(ISNA(計算結果!O84),"",計算結果!O84)=0,"",IF(ISNA(計算結果!O84),"",計算結果!O84))</f>
        <v/>
      </c>
      <c r="P84" s="10" t="str">
        <f>IF(IF(ISNA(計算結果!P84),"",計算結果!P84)=0,"",IF(ISNA(計算結果!P84),"",計算結果!P84))</f>
        <v/>
      </c>
      <c r="Q84" s="10" t="str">
        <f>IF(IF(ISNA(計算結果!Q84),"",計算結果!Q84)=0,"",IF(ISNA(計算結果!Q84),"",計算結果!Q84))</f>
        <v/>
      </c>
      <c r="R84" s="14" t="str">
        <f t="shared" si="3"/>
        <v/>
      </c>
      <c r="S84" s="14" t="str">
        <f t="shared" si="4"/>
        <v>◯</v>
      </c>
      <c r="T84" s="14" t="str">
        <f t="shared" si="5"/>
        <v/>
      </c>
    </row>
    <row r="85" spans="1:20" hidden="1" x14ac:dyDescent="0.45">
      <c r="A85" s="10" t="str">
        <f>IF(IF(ISNA(計算結果!A85),"",計算結果!A85)=0,"",IF(ISNA(計算結果!A85),"",計算結果!A85))</f>
        <v/>
      </c>
      <c r="B85" s="10" t="str">
        <f>IF(IF(ISNA(計算結果!B85),"",計算結果!B85)=0,"",IF(ISNA(計算結果!B85),"",計算結果!B85))</f>
        <v/>
      </c>
      <c r="C85" s="10" t="str">
        <f>IF(IF(ISNA(計算結果!C85),"",計算結果!C85)=0,"",IF(ISNA(計算結果!C85),"",計算結果!C85))</f>
        <v/>
      </c>
      <c r="D85" s="10" t="str">
        <f>IF(IF(ISNA(計算結果!D85),"",計算結果!D85)=0,"",IF(ISNA(計算結果!D85),"",計算結果!D85))</f>
        <v>L</v>
      </c>
      <c r="E85" s="10" t="str">
        <f>IF(IF(ISNA(計算結果!E85),"",計算結果!E85)=0,"",IF(ISNA(計算結果!E85),"",計算結果!E85))</f>
        <v/>
      </c>
      <c r="F85" s="10" t="str">
        <f>IF(IF(ISNA(計算結果!F85),"",計算結果!F85)=0,"",IF(ISNA(計算結果!F85),"",計算結果!F85))</f>
        <v/>
      </c>
      <c r="G85" s="10" t="str">
        <f>IF(IF(ISNA(計算結果!G85),"",計算結果!G85)=0,"",IF(ISNA(計算結果!G85),"",計算結果!G85))</f>
        <v/>
      </c>
      <c r="H85" s="13">
        <f>IF(IF(ISNA(計算結果!H85),"",計算結果!H85)=0,"",IF(ISNA(計算結果!H85),"",計算結果!H85))</f>
        <v>-2</v>
      </c>
      <c r="I85" s="12" t="str">
        <f>IF(IF(ISNA(計算結果!I85),"",計算結果!I85)=0,"",IF(ISNA(計算結果!I85),"",計算結果!I85))</f>
        <v/>
      </c>
      <c r="J85" s="12" t="str">
        <f>IF(IF(ISNA(計算結果!J85),"",計算結果!J85)=0,"",IF(ISNA(計算結果!J85),"",計算結果!J85))</f>
        <v/>
      </c>
      <c r="K85" s="23" t="str">
        <f>IF(IF(ISNA(計算結果!K85),"",計算結果!K85)=0,"",IF(ISNA(計算結果!K85),"",計算結果!K85))</f>
        <v/>
      </c>
      <c r="L85" s="13" t="str">
        <f>IF(IF(ISNA(計算結果!L85),"",計算結果!L85)=0,"",IF(ISNA(計算結果!L85),"",計算結果!L85))</f>
        <v/>
      </c>
      <c r="M85" s="10" t="str">
        <f>IF(IF(ISNA(計算結果!M85),"",計算結果!M85)=0,"",IF(ISNA(計算結果!M85),"",計算結果!M85))</f>
        <v/>
      </c>
      <c r="N85" s="10" t="str">
        <f>IF(IF(ISNA(計算結果!N85),"",計算結果!N85)=0,"",IF(ISNA(計算結果!N85),"",計算結果!N85))</f>
        <v/>
      </c>
      <c r="O85" s="13" t="str">
        <f>IF(IF(ISNA(計算結果!O85),"",計算結果!O85)=0,"",IF(ISNA(計算結果!O85),"",計算結果!O85))</f>
        <v/>
      </c>
      <c r="P85" s="10" t="str">
        <f>IF(IF(ISNA(計算結果!P85),"",計算結果!P85)=0,"",IF(ISNA(計算結果!P85),"",計算結果!P85))</f>
        <v/>
      </c>
      <c r="Q85" s="10" t="str">
        <f>IF(IF(ISNA(計算結果!Q85),"",計算結果!Q85)=0,"",IF(ISNA(計算結果!Q85),"",計算結果!Q85))</f>
        <v/>
      </c>
      <c r="R85" s="14" t="str">
        <f t="shared" si="3"/>
        <v/>
      </c>
      <c r="S85" s="14" t="str">
        <f t="shared" si="4"/>
        <v>◯</v>
      </c>
      <c r="T85" s="14" t="str">
        <f t="shared" si="5"/>
        <v/>
      </c>
    </row>
    <row r="86" spans="1:20" hidden="1" x14ac:dyDescent="0.45">
      <c r="A86" s="10" t="str">
        <f>IF(IF(ISNA(計算結果!A86),"",計算結果!A86)=0,"",IF(ISNA(計算結果!A86),"",計算結果!A86))</f>
        <v/>
      </c>
      <c r="B86" s="10" t="str">
        <f>IF(IF(ISNA(計算結果!B86),"",計算結果!B86)=0,"",IF(ISNA(計算結果!B86),"",計算結果!B86))</f>
        <v/>
      </c>
      <c r="C86" s="10" t="str">
        <f>IF(IF(ISNA(計算結果!C86),"",計算結果!C86)=0,"",IF(ISNA(計算結果!C86),"",計算結果!C86))</f>
        <v/>
      </c>
      <c r="D86" s="10" t="str">
        <f>IF(IF(ISNA(計算結果!D86),"",計算結果!D86)=0,"",IF(ISNA(計算結果!D86),"",計算結果!D86))</f>
        <v>L</v>
      </c>
      <c r="E86" s="10" t="str">
        <f>IF(IF(ISNA(計算結果!E86),"",計算結果!E86)=0,"",IF(ISNA(計算結果!E86),"",計算結果!E86))</f>
        <v/>
      </c>
      <c r="F86" s="10" t="str">
        <f>IF(IF(ISNA(計算結果!F86),"",計算結果!F86)=0,"",IF(ISNA(計算結果!F86),"",計算結果!F86))</f>
        <v/>
      </c>
      <c r="G86" s="10" t="str">
        <f>IF(IF(ISNA(計算結果!G86),"",計算結果!G86)=0,"",IF(ISNA(計算結果!G86),"",計算結果!G86))</f>
        <v/>
      </c>
      <c r="H86" s="13">
        <f>IF(IF(ISNA(計算結果!H86),"",計算結果!H86)=0,"",IF(ISNA(計算結果!H86),"",計算結果!H86))</f>
        <v>-2</v>
      </c>
      <c r="I86" s="12" t="str">
        <f>IF(IF(ISNA(計算結果!I86),"",計算結果!I86)=0,"",IF(ISNA(計算結果!I86),"",計算結果!I86))</f>
        <v/>
      </c>
      <c r="J86" s="12" t="str">
        <f>IF(IF(ISNA(計算結果!J86),"",計算結果!J86)=0,"",IF(ISNA(計算結果!J86),"",計算結果!J86))</f>
        <v/>
      </c>
      <c r="K86" s="23" t="str">
        <f>IF(IF(ISNA(計算結果!K86),"",計算結果!K86)=0,"",IF(ISNA(計算結果!K86),"",計算結果!K86))</f>
        <v/>
      </c>
      <c r="L86" s="13" t="str">
        <f>IF(IF(ISNA(計算結果!L86),"",計算結果!L86)=0,"",IF(ISNA(計算結果!L86),"",計算結果!L86))</f>
        <v/>
      </c>
      <c r="M86" s="10" t="str">
        <f>IF(IF(ISNA(計算結果!M86),"",計算結果!M86)=0,"",IF(ISNA(計算結果!M86),"",計算結果!M86))</f>
        <v/>
      </c>
      <c r="N86" s="10" t="str">
        <f>IF(IF(ISNA(計算結果!N86),"",計算結果!N86)=0,"",IF(ISNA(計算結果!N86),"",計算結果!N86))</f>
        <v/>
      </c>
      <c r="O86" s="13" t="str">
        <f>IF(IF(ISNA(計算結果!O86),"",計算結果!O86)=0,"",IF(ISNA(計算結果!O86),"",計算結果!O86))</f>
        <v/>
      </c>
      <c r="P86" s="10" t="str">
        <f>IF(IF(ISNA(計算結果!P86),"",計算結果!P86)=0,"",IF(ISNA(計算結果!P86),"",計算結果!P86))</f>
        <v/>
      </c>
      <c r="Q86" s="10" t="str">
        <f>IF(IF(ISNA(計算結果!Q86),"",計算結果!Q86)=0,"",IF(ISNA(計算結果!Q86),"",計算結果!Q86))</f>
        <v/>
      </c>
      <c r="R86" s="14" t="str">
        <f t="shared" si="3"/>
        <v/>
      </c>
      <c r="S86" s="14" t="str">
        <f t="shared" si="4"/>
        <v>◯</v>
      </c>
      <c r="T86" s="14" t="str">
        <f t="shared" si="5"/>
        <v/>
      </c>
    </row>
    <row r="87" spans="1:20" hidden="1" x14ac:dyDescent="0.45">
      <c r="A87" s="10" t="str">
        <f>IF(IF(ISNA(計算結果!A87),"",計算結果!A87)=0,"",IF(ISNA(計算結果!A87),"",計算結果!A87))</f>
        <v/>
      </c>
      <c r="B87" s="10" t="str">
        <f>IF(IF(ISNA(計算結果!B87),"",計算結果!B87)=0,"",IF(ISNA(計算結果!B87),"",計算結果!B87))</f>
        <v/>
      </c>
      <c r="C87" s="10" t="str">
        <f>IF(IF(ISNA(計算結果!C87),"",計算結果!C87)=0,"",IF(ISNA(計算結果!C87),"",計算結果!C87))</f>
        <v/>
      </c>
      <c r="D87" s="10" t="str">
        <f>IF(IF(ISNA(計算結果!D87),"",計算結果!D87)=0,"",IF(ISNA(計算結果!D87),"",計算結果!D87))</f>
        <v>L</v>
      </c>
      <c r="E87" s="10" t="str">
        <f>IF(IF(ISNA(計算結果!E87),"",計算結果!E87)=0,"",IF(ISNA(計算結果!E87),"",計算結果!E87))</f>
        <v/>
      </c>
      <c r="F87" s="10" t="str">
        <f>IF(IF(ISNA(計算結果!F87),"",計算結果!F87)=0,"",IF(ISNA(計算結果!F87),"",計算結果!F87))</f>
        <v/>
      </c>
      <c r="G87" s="10" t="str">
        <f>IF(IF(ISNA(計算結果!G87),"",計算結果!G87)=0,"",IF(ISNA(計算結果!G87),"",計算結果!G87))</f>
        <v/>
      </c>
      <c r="H87" s="13">
        <f>IF(IF(ISNA(計算結果!H87),"",計算結果!H87)=0,"",IF(ISNA(計算結果!H87),"",計算結果!H87))</f>
        <v>-2</v>
      </c>
      <c r="I87" s="12" t="str">
        <f>IF(IF(ISNA(計算結果!I87),"",計算結果!I87)=0,"",IF(ISNA(計算結果!I87),"",計算結果!I87))</f>
        <v/>
      </c>
      <c r="J87" s="12" t="str">
        <f>IF(IF(ISNA(計算結果!J87),"",計算結果!J87)=0,"",IF(ISNA(計算結果!J87),"",計算結果!J87))</f>
        <v/>
      </c>
      <c r="K87" s="23" t="str">
        <f>IF(IF(ISNA(計算結果!K87),"",計算結果!K87)=0,"",IF(ISNA(計算結果!K87),"",計算結果!K87))</f>
        <v/>
      </c>
      <c r="L87" s="13" t="str">
        <f>IF(IF(ISNA(計算結果!L87),"",計算結果!L87)=0,"",IF(ISNA(計算結果!L87),"",計算結果!L87))</f>
        <v/>
      </c>
      <c r="M87" s="10" t="str">
        <f>IF(IF(ISNA(計算結果!M87),"",計算結果!M87)=0,"",IF(ISNA(計算結果!M87),"",計算結果!M87))</f>
        <v/>
      </c>
      <c r="N87" s="10" t="str">
        <f>IF(IF(ISNA(計算結果!N87),"",計算結果!N87)=0,"",IF(ISNA(計算結果!N87),"",計算結果!N87))</f>
        <v/>
      </c>
      <c r="O87" s="13" t="str">
        <f>IF(IF(ISNA(計算結果!O87),"",計算結果!O87)=0,"",IF(ISNA(計算結果!O87),"",計算結果!O87))</f>
        <v/>
      </c>
      <c r="P87" s="10" t="str">
        <f>IF(IF(ISNA(計算結果!P87),"",計算結果!P87)=0,"",IF(ISNA(計算結果!P87),"",計算結果!P87))</f>
        <v/>
      </c>
      <c r="Q87" s="10" t="str">
        <f>IF(IF(ISNA(計算結果!Q87),"",計算結果!Q87)=0,"",IF(ISNA(計算結果!Q87),"",計算結果!Q87))</f>
        <v/>
      </c>
      <c r="R87" s="14" t="str">
        <f t="shared" si="3"/>
        <v/>
      </c>
      <c r="S87" s="14" t="str">
        <f t="shared" si="4"/>
        <v>◯</v>
      </c>
      <c r="T87" s="14" t="str">
        <f t="shared" si="5"/>
        <v/>
      </c>
    </row>
    <row r="88" spans="1:20" hidden="1" x14ac:dyDescent="0.45">
      <c r="A88" s="10" t="str">
        <f>IF(IF(ISNA(計算結果!A88),"",計算結果!A88)=0,"",IF(ISNA(計算結果!A88),"",計算結果!A88))</f>
        <v/>
      </c>
      <c r="B88" s="10" t="str">
        <f>IF(IF(ISNA(計算結果!B88),"",計算結果!B88)=0,"",IF(ISNA(計算結果!B88),"",計算結果!B88))</f>
        <v/>
      </c>
      <c r="C88" s="10" t="str">
        <f>IF(IF(ISNA(計算結果!C88),"",計算結果!C88)=0,"",IF(ISNA(計算結果!C88),"",計算結果!C88))</f>
        <v/>
      </c>
      <c r="D88" s="10" t="str">
        <f>IF(IF(ISNA(計算結果!D88),"",計算結果!D88)=0,"",IF(ISNA(計算結果!D88),"",計算結果!D88))</f>
        <v>L</v>
      </c>
      <c r="E88" s="10" t="str">
        <f>IF(IF(ISNA(計算結果!E88),"",計算結果!E88)=0,"",IF(ISNA(計算結果!E88),"",計算結果!E88))</f>
        <v/>
      </c>
      <c r="F88" s="10" t="str">
        <f>IF(IF(ISNA(計算結果!F88),"",計算結果!F88)=0,"",IF(ISNA(計算結果!F88),"",計算結果!F88))</f>
        <v/>
      </c>
      <c r="G88" s="10" t="str">
        <f>IF(IF(ISNA(計算結果!G88),"",計算結果!G88)=0,"",IF(ISNA(計算結果!G88),"",計算結果!G88))</f>
        <v/>
      </c>
      <c r="H88" s="13">
        <f>IF(IF(ISNA(計算結果!H88),"",計算結果!H88)=0,"",IF(ISNA(計算結果!H88),"",計算結果!H88))</f>
        <v>-2</v>
      </c>
      <c r="I88" s="12" t="str">
        <f>IF(IF(ISNA(計算結果!I88),"",計算結果!I88)=0,"",IF(ISNA(計算結果!I88),"",計算結果!I88))</f>
        <v/>
      </c>
      <c r="J88" s="12" t="str">
        <f>IF(IF(ISNA(計算結果!J88),"",計算結果!J88)=0,"",IF(ISNA(計算結果!J88),"",計算結果!J88))</f>
        <v/>
      </c>
      <c r="K88" s="23" t="str">
        <f>IF(IF(ISNA(計算結果!K88),"",計算結果!K88)=0,"",IF(ISNA(計算結果!K88),"",計算結果!K88))</f>
        <v/>
      </c>
      <c r="L88" s="13" t="str">
        <f>IF(IF(ISNA(計算結果!L88),"",計算結果!L88)=0,"",IF(ISNA(計算結果!L88),"",計算結果!L88))</f>
        <v/>
      </c>
      <c r="M88" s="10" t="str">
        <f>IF(IF(ISNA(計算結果!M88),"",計算結果!M88)=0,"",IF(ISNA(計算結果!M88),"",計算結果!M88))</f>
        <v/>
      </c>
      <c r="N88" s="10" t="str">
        <f>IF(IF(ISNA(計算結果!N88),"",計算結果!N88)=0,"",IF(ISNA(計算結果!N88),"",計算結果!N88))</f>
        <v/>
      </c>
      <c r="O88" s="13" t="str">
        <f>IF(IF(ISNA(計算結果!O88),"",計算結果!O88)=0,"",IF(ISNA(計算結果!O88),"",計算結果!O88))</f>
        <v/>
      </c>
      <c r="P88" s="10" t="str">
        <f>IF(IF(ISNA(計算結果!P88),"",計算結果!P88)=0,"",IF(ISNA(計算結果!P88),"",計算結果!P88))</f>
        <v/>
      </c>
      <c r="Q88" s="10" t="str">
        <f>IF(IF(ISNA(計算結果!Q88),"",計算結果!Q88)=0,"",IF(ISNA(計算結果!Q88),"",計算結果!Q88))</f>
        <v/>
      </c>
      <c r="R88" s="14" t="str">
        <f t="shared" si="3"/>
        <v/>
      </c>
      <c r="S88" s="14" t="str">
        <f t="shared" si="4"/>
        <v>◯</v>
      </c>
      <c r="T88" s="14" t="str">
        <f t="shared" si="5"/>
        <v/>
      </c>
    </row>
    <row r="89" spans="1:20" hidden="1" x14ac:dyDescent="0.45">
      <c r="A89" s="10" t="str">
        <f>IF(IF(ISNA(計算結果!A89),"",計算結果!A89)=0,"",IF(ISNA(計算結果!A89),"",計算結果!A89))</f>
        <v/>
      </c>
      <c r="B89" s="10" t="str">
        <f>IF(IF(ISNA(計算結果!B89),"",計算結果!B89)=0,"",IF(ISNA(計算結果!B89),"",計算結果!B89))</f>
        <v/>
      </c>
      <c r="C89" s="10" t="str">
        <f>IF(IF(ISNA(計算結果!C89),"",計算結果!C89)=0,"",IF(ISNA(計算結果!C89),"",計算結果!C89))</f>
        <v/>
      </c>
      <c r="D89" s="10" t="str">
        <f>IF(IF(ISNA(計算結果!D89),"",計算結果!D89)=0,"",IF(ISNA(計算結果!D89),"",計算結果!D89))</f>
        <v>L</v>
      </c>
      <c r="E89" s="10" t="str">
        <f>IF(IF(ISNA(計算結果!E89),"",計算結果!E89)=0,"",IF(ISNA(計算結果!E89),"",計算結果!E89))</f>
        <v/>
      </c>
      <c r="F89" s="10" t="str">
        <f>IF(IF(ISNA(計算結果!F89),"",計算結果!F89)=0,"",IF(ISNA(計算結果!F89),"",計算結果!F89))</f>
        <v/>
      </c>
      <c r="G89" s="10" t="str">
        <f>IF(IF(ISNA(計算結果!G89),"",計算結果!G89)=0,"",IF(ISNA(計算結果!G89),"",計算結果!G89))</f>
        <v/>
      </c>
      <c r="H89" s="13">
        <f>IF(IF(ISNA(計算結果!H89),"",計算結果!H89)=0,"",IF(ISNA(計算結果!H89),"",計算結果!H89))</f>
        <v>-2</v>
      </c>
      <c r="I89" s="12" t="str">
        <f>IF(IF(ISNA(計算結果!I89),"",計算結果!I89)=0,"",IF(ISNA(計算結果!I89),"",計算結果!I89))</f>
        <v/>
      </c>
      <c r="J89" s="12" t="str">
        <f>IF(IF(ISNA(計算結果!J89),"",計算結果!J89)=0,"",IF(ISNA(計算結果!J89),"",計算結果!J89))</f>
        <v/>
      </c>
      <c r="K89" s="23" t="str">
        <f>IF(IF(ISNA(計算結果!K89),"",計算結果!K89)=0,"",IF(ISNA(計算結果!K89),"",計算結果!K89))</f>
        <v/>
      </c>
      <c r="L89" s="13" t="str">
        <f>IF(IF(ISNA(計算結果!L89),"",計算結果!L89)=0,"",IF(ISNA(計算結果!L89),"",計算結果!L89))</f>
        <v/>
      </c>
      <c r="M89" s="10" t="str">
        <f>IF(IF(ISNA(計算結果!M89),"",計算結果!M89)=0,"",IF(ISNA(計算結果!M89),"",計算結果!M89))</f>
        <v/>
      </c>
      <c r="N89" s="10" t="str">
        <f>IF(IF(ISNA(計算結果!N89),"",計算結果!N89)=0,"",IF(ISNA(計算結果!N89),"",計算結果!N89))</f>
        <v/>
      </c>
      <c r="O89" s="13" t="str">
        <f>IF(IF(ISNA(計算結果!O89),"",計算結果!O89)=0,"",IF(ISNA(計算結果!O89),"",計算結果!O89))</f>
        <v/>
      </c>
      <c r="P89" s="10" t="str">
        <f>IF(IF(ISNA(計算結果!P89),"",計算結果!P89)=0,"",IF(ISNA(計算結果!P89),"",計算結果!P89))</f>
        <v/>
      </c>
      <c r="Q89" s="10" t="str">
        <f>IF(IF(ISNA(計算結果!Q89),"",計算結果!Q89)=0,"",IF(ISNA(計算結果!Q89),"",計算結果!Q89))</f>
        <v/>
      </c>
      <c r="R89" s="14" t="str">
        <f t="shared" si="3"/>
        <v/>
      </c>
      <c r="S89" s="14" t="str">
        <f t="shared" si="4"/>
        <v>◯</v>
      </c>
      <c r="T89" s="14" t="str">
        <f t="shared" si="5"/>
        <v/>
      </c>
    </row>
    <row r="90" spans="1:20" hidden="1" x14ac:dyDescent="0.45">
      <c r="A90" s="10" t="str">
        <f>IF(IF(ISNA(計算結果!A90),"",計算結果!A90)=0,"",IF(ISNA(計算結果!A90),"",計算結果!A90))</f>
        <v/>
      </c>
      <c r="B90" s="10" t="str">
        <f>IF(IF(ISNA(計算結果!B90),"",計算結果!B90)=0,"",IF(ISNA(計算結果!B90),"",計算結果!B90))</f>
        <v/>
      </c>
      <c r="C90" s="10" t="str">
        <f>IF(IF(ISNA(計算結果!C90),"",計算結果!C90)=0,"",IF(ISNA(計算結果!C90),"",計算結果!C90))</f>
        <v/>
      </c>
      <c r="D90" s="10" t="str">
        <f>IF(IF(ISNA(計算結果!D90),"",計算結果!D90)=0,"",IF(ISNA(計算結果!D90),"",計算結果!D90))</f>
        <v>L</v>
      </c>
      <c r="E90" s="10" t="str">
        <f>IF(IF(ISNA(計算結果!E90),"",計算結果!E90)=0,"",IF(ISNA(計算結果!E90),"",計算結果!E90))</f>
        <v/>
      </c>
      <c r="F90" s="10" t="str">
        <f>IF(IF(ISNA(計算結果!F90),"",計算結果!F90)=0,"",IF(ISNA(計算結果!F90),"",計算結果!F90))</f>
        <v/>
      </c>
      <c r="G90" s="10" t="str">
        <f>IF(IF(ISNA(計算結果!G90),"",計算結果!G90)=0,"",IF(ISNA(計算結果!G90),"",計算結果!G90))</f>
        <v/>
      </c>
      <c r="H90" s="13">
        <f>IF(IF(ISNA(計算結果!H90),"",計算結果!H90)=0,"",IF(ISNA(計算結果!H90),"",計算結果!H90))</f>
        <v>-2</v>
      </c>
      <c r="I90" s="12" t="str">
        <f>IF(IF(ISNA(計算結果!I90),"",計算結果!I90)=0,"",IF(ISNA(計算結果!I90),"",計算結果!I90))</f>
        <v/>
      </c>
      <c r="J90" s="12" t="str">
        <f>IF(IF(ISNA(計算結果!J90),"",計算結果!J90)=0,"",IF(ISNA(計算結果!J90),"",計算結果!J90))</f>
        <v/>
      </c>
      <c r="K90" s="23" t="str">
        <f>IF(IF(ISNA(計算結果!K90),"",計算結果!K90)=0,"",IF(ISNA(計算結果!K90),"",計算結果!K90))</f>
        <v/>
      </c>
      <c r="L90" s="13" t="str">
        <f>IF(IF(ISNA(計算結果!L90),"",計算結果!L90)=0,"",IF(ISNA(計算結果!L90),"",計算結果!L90))</f>
        <v/>
      </c>
      <c r="M90" s="10" t="str">
        <f>IF(IF(ISNA(計算結果!M90),"",計算結果!M90)=0,"",IF(ISNA(計算結果!M90),"",計算結果!M90))</f>
        <v/>
      </c>
      <c r="N90" s="10" t="str">
        <f>IF(IF(ISNA(計算結果!N90),"",計算結果!N90)=0,"",IF(ISNA(計算結果!N90),"",計算結果!N90))</f>
        <v/>
      </c>
      <c r="O90" s="13" t="str">
        <f>IF(IF(ISNA(計算結果!O90),"",計算結果!O90)=0,"",IF(ISNA(計算結果!O90),"",計算結果!O90))</f>
        <v/>
      </c>
      <c r="P90" s="10" t="str">
        <f>IF(IF(ISNA(計算結果!P90),"",計算結果!P90)=0,"",IF(ISNA(計算結果!P90),"",計算結果!P90))</f>
        <v/>
      </c>
      <c r="Q90" s="10" t="str">
        <f>IF(IF(ISNA(計算結果!Q90),"",計算結果!Q90)=0,"",IF(ISNA(計算結果!Q90),"",計算結果!Q90))</f>
        <v/>
      </c>
      <c r="R90" s="14" t="str">
        <f t="shared" si="3"/>
        <v/>
      </c>
      <c r="S90" s="14" t="str">
        <f t="shared" si="4"/>
        <v>◯</v>
      </c>
      <c r="T90" s="14" t="str">
        <f t="shared" si="5"/>
        <v/>
      </c>
    </row>
    <row r="91" spans="1:20" hidden="1" x14ac:dyDescent="0.45">
      <c r="A91" s="10" t="str">
        <f>IF(IF(ISNA(計算結果!A91),"",計算結果!A91)=0,"",IF(ISNA(計算結果!A91),"",計算結果!A91))</f>
        <v/>
      </c>
      <c r="B91" s="10" t="str">
        <f>IF(IF(ISNA(計算結果!B91),"",計算結果!B91)=0,"",IF(ISNA(計算結果!B91),"",計算結果!B91))</f>
        <v/>
      </c>
      <c r="C91" s="10" t="str">
        <f>IF(IF(ISNA(計算結果!C91),"",計算結果!C91)=0,"",IF(ISNA(計算結果!C91),"",計算結果!C91))</f>
        <v/>
      </c>
      <c r="D91" s="10" t="str">
        <f>IF(IF(ISNA(計算結果!D91),"",計算結果!D91)=0,"",IF(ISNA(計算結果!D91),"",計算結果!D91))</f>
        <v>L</v>
      </c>
      <c r="E91" s="10" t="str">
        <f>IF(IF(ISNA(計算結果!E91),"",計算結果!E91)=0,"",IF(ISNA(計算結果!E91),"",計算結果!E91))</f>
        <v/>
      </c>
      <c r="F91" s="10" t="str">
        <f>IF(IF(ISNA(計算結果!F91),"",計算結果!F91)=0,"",IF(ISNA(計算結果!F91),"",計算結果!F91))</f>
        <v/>
      </c>
      <c r="G91" s="10" t="str">
        <f>IF(IF(ISNA(計算結果!G91),"",計算結果!G91)=0,"",IF(ISNA(計算結果!G91),"",計算結果!G91))</f>
        <v/>
      </c>
      <c r="H91" s="13">
        <f>IF(IF(ISNA(計算結果!H91),"",計算結果!H91)=0,"",IF(ISNA(計算結果!H91),"",計算結果!H91))</f>
        <v>-2</v>
      </c>
      <c r="I91" s="12" t="str">
        <f>IF(IF(ISNA(計算結果!I91),"",計算結果!I91)=0,"",IF(ISNA(計算結果!I91),"",計算結果!I91))</f>
        <v/>
      </c>
      <c r="J91" s="12" t="str">
        <f>IF(IF(ISNA(計算結果!J91),"",計算結果!J91)=0,"",IF(ISNA(計算結果!J91),"",計算結果!J91))</f>
        <v/>
      </c>
      <c r="K91" s="23" t="str">
        <f>IF(IF(ISNA(計算結果!K91),"",計算結果!K91)=0,"",IF(ISNA(計算結果!K91),"",計算結果!K91))</f>
        <v/>
      </c>
      <c r="L91" s="13" t="str">
        <f>IF(IF(ISNA(計算結果!L91),"",計算結果!L91)=0,"",IF(ISNA(計算結果!L91),"",計算結果!L91))</f>
        <v/>
      </c>
      <c r="M91" s="10" t="str">
        <f>IF(IF(ISNA(計算結果!M91),"",計算結果!M91)=0,"",IF(ISNA(計算結果!M91),"",計算結果!M91))</f>
        <v/>
      </c>
      <c r="N91" s="10" t="str">
        <f>IF(IF(ISNA(計算結果!N91),"",計算結果!N91)=0,"",IF(ISNA(計算結果!N91),"",計算結果!N91))</f>
        <v/>
      </c>
      <c r="O91" s="13" t="str">
        <f>IF(IF(ISNA(計算結果!O91),"",計算結果!O91)=0,"",IF(ISNA(計算結果!O91),"",計算結果!O91))</f>
        <v/>
      </c>
      <c r="P91" s="10" t="str">
        <f>IF(IF(ISNA(計算結果!P91),"",計算結果!P91)=0,"",IF(ISNA(計算結果!P91),"",計算結果!P91))</f>
        <v/>
      </c>
      <c r="Q91" s="10" t="str">
        <f>IF(IF(ISNA(計算結果!Q91),"",計算結果!Q91)=0,"",IF(ISNA(計算結果!Q91),"",計算結果!Q91))</f>
        <v/>
      </c>
      <c r="R91" s="14" t="str">
        <f t="shared" si="3"/>
        <v/>
      </c>
      <c r="S91" s="14" t="str">
        <f t="shared" si="4"/>
        <v>◯</v>
      </c>
      <c r="T91" s="14" t="str">
        <f t="shared" si="5"/>
        <v/>
      </c>
    </row>
    <row r="92" spans="1:20" hidden="1" x14ac:dyDescent="0.45">
      <c r="A92" s="10" t="str">
        <f>IF(IF(ISNA(計算結果!A92),"",計算結果!A92)=0,"",IF(ISNA(計算結果!A92),"",計算結果!A92))</f>
        <v/>
      </c>
      <c r="B92" s="10" t="str">
        <f>IF(IF(ISNA(計算結果!B92),"",計算結果!B92)=0,"",IF(ISNA(計算結果!B92),"",計算結果!B92))</f>
        <v/>
      </c>
      <c r="C92" s="10" t="str">
        <f>IF(IF(ISNA(計算結果!C92),"",計算結果!C92)=0,"",IF(ISNA(計算結果!C92),"",計算結果!C92))</f>
        <v/>
      </c>
      <c r="D92" s="10" t="str">
        <f>IF(IF(ISNA(計算結果!D92),"",計算結果!D92)=0,"",IF(ISNA(計算結果!D92),"",計算結果!D92))</f>
        <v>L</v>
      </c>
      <c r="E92" s="10" t="str">
        <f>IF(IF(ISNA(計算結果!E92),"",計算結果!E92)=0,"",IF(ISNA(計算結果!E92),"",計算結果!E92))</f>
        <v/>
      </c>
      <c r="F92" s="10" t="str">
        <f>IF(IF(ISNA(計算結果!F92),"",計算結果!F92)=0,"",IF(ISNA(計算結果!F92),"",計算結果!F92))</f>
        <v/>
      </c>
      <c r="G92" s="10" t="str">
        <f>IF(IF(ISNA(計算結果!G92),"",計算結果!G92)=0,"",IF(ISNA(計算結果!G92),"",計算結果!G92))</f>
        <v/>
      </c>
      <c r="H92" s="13">
        <f>IF(IF(ISNA(計算結果!H92),"",計算結果!H92)=0,"",IF(ISNA(計算結果!H92),"",計算結果!H92))</f>
        <v>-2</v>
      </c>
      <c r="I92" s="12" t="str">
        <f>IF(IF(ISNA(計算結果!I92),"",計算結果!I92)=0,"",IF(ISNA(計算結果!I92),"",計算結果!I92))</f>
        <v/>
      </c>
      <c r="J92" s="12" t="str">
        <f>IF(IF(ISNA(計算結果!J92),"",計算結果!J92)=0,"",IF(ISNA(計算結果!J92),"",計算結果!J92))</f>
        <v/>
      </c>
      <c r="K92" s="23" t="str">
        <f>IF(IF(ISNA(計算結果!K92),"",計算結果!K92)=0,"",IF(ISNA(計算結果!K92),"",計算結果!K92))</f>
        <v/>
      </c>
      <c r="L92" s="13" t="str">
        <f>IF(IF(ISNA(計算結果!L92),"",計算結果!L92)=0,"",IF(ISNA(計算結果!L92),"",計算結果!L92))</f>
        <v/>
      </c>
      <c r="M92" s="10" t="str">
        <f>IF(IF(ISNA(計算結果!M92),"",計算結果!M92)=0,"",IF(ISNA(計算結果!M92),"",計算結果!M92))</f>
        <v/>
      </c>
      <c r="N92" s="10" t="str">
        <f>IF(IF(ISNA(計算結果!N92),"",計算結果!N92)=0,"",IF(ISNA(計算結果!N92),"",計算結果!N92))</f>
        <v/>
      </c>
      <c r="O92" s="13" t="str">
        <f>IF(IF(ISNA(計算結果!O92),"",計算結果!O92)=0,"",IF(ISNA(計算結果!O92),"",計算結果!O92))</f>
        <v/>
      </c>
      <c r="P92" s="10" t="str">
        <f>IF(IF(ISNA(計算結果!P92),"",計算結果!P92)=0,"",IF(ISNA(計算結果!P92),"",計算結果!P92))</f>
        <v/>
      </c>
      <c r="Q92" s="10" t="str">
        <f>IF(IF(ISNA(計算結果!Q92),"",計算結果!Q92)=0,"",IF(ISNA(計算結果!Q92),"",計算結果!Q92))</f>
        <v/>
      </c>
      <c r="R92" s="14" t="str">
        <f t="shared" si="3"/>
        <v/>
      </c>
      <c r="S92" s="14" t="str">
        <f t="shared" si="4"/>
        <v>◯</v>
      </c>
      <c r="T92" s="14" t="str">
        <f t="shared" si="5"/>
        <v/>
      </c>
    </row>
    <row r="93" spans="1:20" hidden="1" x14ac:dyDescent="0.45">
      <c r="A93" s="10" t="str">
        <f>IF(IF(ISNA(計算結果!A93),"",計算結果!A93)=0,"",IF(ISNA(計算結果!A93),"",計算結果!A93))</f>
        <v/>
      </c>
      <c r="B93" s="10" t="str">
        <f>IF(IF(ISNA(計算結果!B93),"",計算結果!B93)=0,"",IF(ISNA(計算結果!B93),"",計算結果!B93))</f>
        <v/>
      </c>
      <c r="C93" s="10" t="str">
        <f>IF(IF(ISNA(計算結果!C93),"",計算結果!C93)=0,"",IF(ISNA(計算結果!C93),"",計算結果!C93))</f>
        <v/>
      </c>
      <c r="D93" s="10" t="str">
        <f>IF(IF(ISNA(計算結果!D93),"",計算結果!D93)=0,"",IF(ISNA(計算結果!D93),"",計算結果!D93))</f>
        <v>L</v>
      </c>
      <c r="E93" s="10" t="str">
        <f>IF(IF(ISNA(計算結果!E93),"",計算結果!E93)=0,"",IF(ISNA(計算結果!E93),"",計算結果!E93))</f>
        <v/>
      </c>
      <c r="F93" s="10" t="str">
        <f>IF(IF(ISNA(計算結果!F93),"",計算結果!F93)=0,"",IF(ISNA(計算結果!F93),"",計算結果!F93))</f>
        <v/>
      </c>
      <c r="G93" s="10" t="str">
        <f>IF(IF(ISNA(計算結果!G93),"",計算結果!G93)=0,"",IF(ISNA(計算結果!G93),"",計算結果!G93))</f>
        <v/>
      </c>
      <c r="H93" s="13">
        <f>IF(IF(ISNA(計算結果!H93),"",計算結果!H93)=0,"",IF(ISNA(計算結果!H93),"",計算結果!H93))</f>
        <v>-2</v>
      </c>
      <c r="I93" s="12" t="str">
        <f>IF(IF(ISNA(計算結果!I93),"",計算結果!I93)=0,"",IF(ISNA(計算結果!I93),"",計算結果!I93))</f>
        <v/>
      </c>
      <c r="J93" s="12" t="str">
        <f>IF(IF(ISNA(計算結果!J93),"",計算結果!J93)=0,"",IF(ISNA(計算結果!J93),"",計算結果!J93))</f>
        <v/>
      </c>
      <c r="K93" s="23" t="str">
        <f>IF(IF(ISNA(計算結果!K93),"",計算結果!K93)=0,"",IF(ISNA(計算結果!K93),"",計算結果!K93))</f>
        <v/>
      </c>
      <c r="L93" s="13" t="str">
        <f>IF(IF(ISNA(計算結果!L93),"",計算結果!L93)=0,"",IF(ISNA(計算結果!L93),"",計算結果!L93))</f>
        <v/>
      </c>
      <c r="M93" s="10" t="str">
        <f>IF(IF(ISNA(計算結果!M93),"",計算結果!M93)=0,"",IF(ISNA(計算結果!M93),"",計算結果!M93))</f>
        <v/>
      </c>
      <c r="N93" s="10" t="str">
        <f>IF(IF(ISNA(計算結果!N93),"",計算結果!N93)=0,"",IF(ISNA(計算結果!N93),"",計算結果!N93))</f>
        <v/>
      </c>
      <c r="O93" s="13" t="str">
        <f>IF(IF(ISNA(計算結果!O93),"",計算結果!O93)=0,"",IF(ISNA(計算結果!O93),"",計算結果!O93))</f>
        <v/>
      </c>
      <c r="P93" s="10" t="str">
        <f>IF(IF(ISNA(計算結果!P93),"",計算結果!P93)=0,"",IF(ISNA(計算結果!P93),"",計算結果!P93))</f>
        <v/>
      </c>
      <c r="Q93" s="10" t="str">
        <f>IF(IF(ISNA(計算結果!Q93),"",計算結果!Q93)=0,"",IF(ISNA(計算結果!Q93),"",計算結果!Q93))</f>
        <v/>
      </c>
      <c r="R93" s="14" t="str">
        <f t="shared" si="3"/>
        <v/>
      </c>
      <c r="S93" s="14" t="str">
        <f t="shared" si="4"/>
        <v>◯</v>
      </c>
      <c r="T93" s="14" t="str">
        <f t="shared" si="5"/>
        <v/>
      </c>
    </row>
    <row r="94" spans="1:20" hidden="1" x14ac:dyDescent="0.45">
      <c r="A94" s="10" t="str">
        <f>IF(IF(ISNA(計算結果!A94),"",計算結果!A94)=0,"",IF(ISNA(計算結果!A94),"",計算結果!A94))</f>
        <v/>
      </c>
      <c r="B94" s="10" t="str">
        <f>IF(IF(ISNA(計算結果!B94),"",計算結果!B94)=0,"",IF(ISNA(計算結果!B94),"",計算結果!B94))</f>
        <v/>
      </c>
      <c r="C94" s="10" t="str">
        <f>IF(IF(ISNA(計算結果!C94),"",計算結果!C94)=0,"",IF(ISNA(計算結果!C94),"",計算結果!C94))</f>
        <v/>
      </c>
      <c r="D94" s="10" t="str">
        <f>IF(IF(ISNA(計算結果!D94),"",計算結果!D94)=0,"",IF(ISNA(計算結果!D94),"",計算結果!D94))</f>
        <v>L</v>
      </c>
      <c r="E94" s="10" t="str">
        <f>IF(IF(ISNA(計算結果!E94),"",計算結果!E94)=0,"",IF(ISNA(計算結果!E94),"",計算結果!E94))</f>
        <v/>
      </c>
      <c r="F94" s="10" t="str">
        <f>IF(IF(ISNA(計算結果!F94),"",計算結果!F94)=0,"",IF(ISNA(計算結果!F94),"",計算結果!F94))</f>
        <v/>
      </c>
      <c r="G94" s="10" t="str">
        <f>IF(IF(ISNA(計算結果!G94),"",計算結果!G94)=0,"",IF(ISNA(計算結果!G94),"",計算結果!G94))</f>
        <v/>
      </c>
      <c r="H94" s="13">
        <f>IF(IF(ISNA(計算結果!H94),"",計算結果!H94)=0,"",IF(ISNA(計算結果!H94),"",計算結果!H94))</f>
        <v>-2</v>
      </c>
      <c r="I94" s="12" t="str">
        <f>IF(IF(ISNA(計算結果!I94),"",計算結果!I94)=0,"",IF(ISNA(計算結果!I94),"",計算結果!I94))</f>
        <v/>
      </c>
      <c r="J94" s="12" t="str">
        <f>IF(IF(ISNA(計算結果!J94),"",計算結果!J94)=0,"",IF(ISNA(計算結果!J94),"",計算結果!J94))</f>
        <v/>
      </c>
      <c r="K94" s="23" t="str">
        <f>IF(IF(ISNA(計算結果!K94),"",計算結果!K94)=0,"",IF(ISNA(計算結果!K94),"",計算結果!K94))</f>
        <v/>
      </c>
      <c r="L94" s="13" t="str">
        <f>IF(IF(ISNA(計算結果!L94),"",計算結果!L94)=0,"",IF(ISNA(計算結果!L94),"",計算結果!L94))</f>
        <v/>
      </c>
      <c r="M94" s="10" t="str">
        <f>IF(IF(ISNA(計算結果!M94),"",計算結果!M94)=0,"",IF(ISNA(計算結果!M94),"",計算結果!M94))</f>
        <v/>
      </c>
      <c r="N94" s="10" t="str">
        <f>IF(IF(ISNA(計算結果!N94),"",計算結果!N94)=0,"",IF(ISNA(計算結果!N94),"",計算結果!N94))</f>
        <v/>
      </c>
      <c r="O94" s="13" t="str">
        <f>IF(IF(ISNA(計算結果!O94),"",計算結果!O94)=0,"",IF(ISNA(計算結果!O94),"",計算結果!O94))</f>
        <v/>
      </c>
      <c r="P94" s="10" t="str">
        <f>IF(IF(ISNA(計算結果!P94),"",計算結果!P94)=0,"",IF(ISNA(計算結果!P94),"",計算結果!P94))</f>
        <v/>
      </c>
      <c r="Q94" s="10" t="str">
        <f>IF(IF(ISNA(計算結果!Q94),"",計算結果!Q94)=0,"",IF(ISNA(計算結果!Q94),"",計算結果!Q94))</f>
        <v/>
      </c>
      <c r="R94" s="14" t="str">
        <f t="shared" si="3"/>
        <v/>
      </c>
      <c r="S94" s="14" t="str">
        <f t="shared" si="4"/>
        <v>◯</v>
      </c>
      <c r="T94" s="14" t="str">
        <f t="shared" si="5"/>
        <v/>
      </c>
    </row>
    <row r="95" spans="1:20" hidden="1" x14ac:dyDescent="0.45">
      <c r="A95" s="10" t="str">
        <f>IF(IF(ISNA(計算結果!A95),"",計算結果!A95)=0,"",IF(ISNA(計算結果!A95),"",計算結果!A95))</f>
        <v/>
      </c>
      <c r="B95" s="10" t="str">
        <f>IF(IF(ISNA(計算結果!B95),"",計算結果!B95)=0,"",IF(ISNA(計算結果!B95),"",計算結果!B95))</f>
        <v/>
      </c>
      <c r="C95" s="10" t="str">
        <f>IF(IF(ISNA(計算結果!C95),"",計算結果!C95)=0,"",IF(ISNA(計算結果!C95),"",計算結果!C95))</f>
        <v/>
      </c>
      <c r="D95" s="10" t="str">
        <f>IF(IF(ISNA(計算結果!D95),"",計算結果!D95)=0,"",IF(ISNA(計算結果!D95),"",計算結果!D95))</f>
        <v>L</v>
      </c>
      <c r="E95" s="10" t="str">
        <f>IF(IF(ISNA(計算結果!E95),"",計算結果!E95)=0,"",IF(ISNA(計算結果!E95),"",計算結果!E95))</f>
        <v/>
      </c>
      <c r="F95" s="10" t="str">
        <f>IF(IF(ISNA(計算結果!F95),"",計算結果!F95)=0,"",IF(ISNA(計算結果!F95),"",計算結果!F95))</f>
        <v/>
      </c>
      <c r="G95" s="10" t="str">
        <f>IF(IF(ISNA(計算結果!G95),"",計算結果!G95)=0,"",IF(ISNA(計算結果!G95),"",計算結果!G95))</f>
        <v/>
      </c>
      <c r="H95" s="13">
        <f>IF(IF(ISNA(計算結果!H95),"",計算結果!H95)=0,"",IF(ISNA(計算結果!H95),"",計算結果!H95))</f>
        <v>-2</v>
      </c>
      <c r="I95" s="12" t="str">
        <f>IF(IF(ISNA(計算結果!I95),"",計算結果!I95)=0,"",IF(ISNA(計算結果!I95),"",計算結果!I95))</f>
        <v/>
      </c>
      <c r="J95" s="12" t="str">
        <f>IF(IF(ISNA(計算結果!J95),"",計算結果!J95)=0,"",IF(ISNA(計算結果!J95),"",計算結果!J95))</f>
        <v/>
      </c>
      <c r="K95" s="23" t="str">
        <f>IF(IF(ISNA(計算結果!K95),"",計算結果!K95)=0,"",IF(ISNA(計算結果!K95),"",計算結果!K95))</f>
        <v/>
      </c>
      <c r="L95" s="13" t="str">
        <f>IF(IF(ISNA(計算結果!L95),"",計算結果!L95)=0,"",IF(ISNA(計算結果!L95),"",計算結果!L95))</f>
        <v/>
      </c>
      <c r="M95" s="10" t="str">
        <f>IF(IF(ISNA(計算結果!M95),"",計算結果!M95)=0,"",IF(ISNA(計算結果!M95),"",計算結果!M95))</f>
        <v/>
      </c>
      <c r="N95" s="10" t="str">
        <f>IF(IF(ISNA(計算結果!N95),"",計算結果!N95)=0,"",IF(ISNA(計算結果!N95),"",計算結果!N95))</f>
        <v/>
      </c>
      <c r="O95" s="13" t="str">
        <f>IF(IF(ISNA(計算結果!O95),"",計算結果!O95)=0,"",IF(ISNA(計算結果!O95),"",計算結果!O95))</f>
        <v/>
      </c>
      <c r="P95" s="10" t="str">
        <f>IF(IF(ISNA(計算結果!P95),"",計算結果!P95)=0,"",IF(ISNA(計算結果!P95),"",計算結果!P95))</f>
        <v/>
      </c>
      <c r="Q95" s="10" t="str">
        <f>IF(IF(ISNA(計算結果!Q95),"",計算結果!Q95)=0,"",IF(ISNA(計算結果!Q95),"",計算結果!Q95))</f>
        <v/>
      </c>
      <c r="R95" s="14" t="str">
        <f t="shared" si="3"/>
        <v/>
      </c>
      <c r="S95" s="14" t="str">
        <f t="shared" si="4"/>
        <v>◯</v>
      </c>
      <c r="T95" s="14" t="str">
        <f t="shared" si="5"/>
        <v/>
      </c>
    </row>
    <row r="96" spans="1:20" hidden="1" x14ac:dyDescent="0.45">
      <c r="A96" s="10" t="str">
        <f>IF(IF(ISNA(計算結果!A96),"",計算結果!A96)=0,"",IF(ISNA(計算結果!A96),"",計算結果!A96))</f>
        <v/>
      </c>
      <c r="B96" s="10" t="str">
        <f>IF(IF(ISNA(計算結果!B96),"",計算結果!B96)=0,"",IF(ISNA(計算結果!B96),"",計算結果!B96))</f>
        <v/>
      </c>
      <c r="C96" s="10" t="str">
        <f>IF(IF(ISNA(計算結果!C96),"",計算結果!C96)=0,"",IF(ISNA(計算結果!C96),"",計算結果!C96))</f>
        <v/>
      </c>
      <c r="D96" s="10" t="str">
        <f>IF(IF(ISNA(計算結果!D96),"",計算結果!D96)=0,"",IF(ISNA(計算結果!D96),"",計算結果!D96))</f>
        <v>L</v>
      </c>
      <c r="E96" s="10" t="str">
        <f>IF(IF(ISNA(計算結果!E96),"",計算結果!E96)=0,"",IF(ISNA(計算結果!E96),"",計算結果!E96))</f>
        <v/>
      </c>
      <c r="F96" s="10" t="str">
        <f>IF(IF(ISNA(計算結果!F96),"",計算結果!F96)=0,"",IF(ISNA(計算結果!F96),"",計算結果!F96))</f>
        <v/>
      </c>
      <c r="G96" s="10" t="str">
        <f>IF(IF(ISNA(計算結果!G96),"",計算結果!G96)=0,"",IF(ISNA(計算結果!G96),"",計算結果!G96))</f>
        <v/>
      </c>
      <c r="H96" s="13">
        <f>IF(IF(ISNA(計算結果!H96),"",計算結果!H96)=0,"",IF(ISNA(計算結果!H96),"",計算結果!H96))</f>
        <v>-2</v>
      </c>
      <c r="I96" s="12" t="str">
        <f>IF(IF(ISNA(計算結果!I96),"",計算結果!I96)=0,"",IF(ISNA(計算結果!I96),"",計算結果!I96))</f>
        <v/>
      </c>
      <c r="J96" s="12" t="str">
        <f>IF(IF(ISNA(計算結果!J96),"",計算結果!J96)=0,"",IF(ISNA(計算結果!J96),"",計算結果!J96))</f>
        <v/>
      </c>
      <c r="K96" s="23" t="str">
        <f>IF(IF(ISNA(計算結果!K96),"",計算結果!K96)=0,"",IF(ISNA(計算結果!K96),"",計算結果!K96))</f>
        <v/>
      </c>
      <c r="L96" s="13" t="str">
        <f>IF(IF(ISNA(計算結果!L96),"",計算結果!L96)=0,"",IF(ISNA(計算結果!L96),"",計算結果!L96))</f>
        <v/>
      </c>
      <c r="M96" s="10" t="str">
        <f>IF(IF(ISNA(計算結果!M96),"",計算結果!M96)=0,"",IF(ISNA(計算結果!M96),"",計算結果!M96))</f>
        <v/>
      </c>
      <c r="N96" s="10" t="str">
        <f>IF(IF(ISNA(計算結果!N96),"",計算結果!N96)=0,"",IF(ISNA(計算結果!N96),"",計算結果!N96))</f>
        <v/>
      </c>
      <c r="O96" s="13" t="str">
        <f>IF(IF(ISNA(計算結果!O96),"",計算結果!O96)=0,"",IF(ISNA(計算結果!O96),"",計算結果!O96))</f>
        <v/>
      </c>
      <c r="P96" s="10" t="str">
        <f>IF(IF(ISNA(計算結果!P96),"",計算結果!P96)=0,"",IF(ISNA(計算結果!P96),"",計算結果!P96))</f>
        <v/>
      </c>
      <c r="Q96" s="10" t="str">
        <f>IF(IF(ISNA(計算結果!Q96),"",計算結果!Q96)=0,"",IF(ISNA(計算結果!Q96),"",計算結果!Q96))</f>
        <v/>
      </c>
      <c r="R96" s="14" t="str">
        <f t="shared" si="3"/>
        <v/>
      </c>
      <c r="S96" s="14" t="str">
        <f t="shared" si="4"/>
        <v>◯</v>
      </c>
      <c r="T96" s="14" t="str">
        <f t="shared" si="5"/>
        <v/>
      </c>
    </row>
    <row r="97" spans="1:20" hidden="1" x14ac:dyDescent="0.45">
      <c r="A97" s="10" t="str">
        <f>IF(IF(ISNA(計算結果!A97),"",計算結果!A97)=0,"",IF(ISNA(計算結果!A97),"",計算結果!A97))</f>
        <v/>
      </c>
      <c r="B97" s="10" t="str">
        <f>IF(IF(ISNA(計算結果!B97),"",計算結果!B97)=0,"",IF(ISNA(計算結果!B97),"",計算結果!B97))</f>
        <v/>
      </c>
      <c r="C97" s="10" t="str">
        <f>IF(IF(ISNA(計算結果!C97),"",計算結果!C97)=0,"",IF(ISNA(計算結果!C97),"",計算結果!C97))</f>
        <v/>
      </c>
      <c r="D97" s="10" t="str">
        <f>IF(IF(ISNA(計算結果!D97),"",計算結果!D97)=0,"",IF(ISNA(計算結果!D97),"",計算結果!D97))</f>
        <v>L</v>
      </c>
      <c r="E97" s="10" t="str">
        <f>IF(IF(ISNA(計算結果!E97),"",計算結果!E97)=0,"",IF(ISNA(計算結果!E97),"",計算結果!E97))</f>
        <v/>
      </c>
      <c r="F97" s="10" t="str">
        <f>IF(IF(ISNA(計算結果!F97),"",計算結果!F97)=0,"",IF(ISNA(計算結果!F97),"",計算結果!F97))</f>
        <v/>
      </c>
      <c r="G97" s="10" t="str">
        <f>IF(IF(ISNA(計算結果!G97),"",計算結果!G97)=0,"",IF(ISNA(計算結果!G97),"",計算結果!G97))</f>
        <v/>
      </c>
      <c r="H97" s="13">
        <f>IF(IF(ISNA(計算結果!H97),"",計算結果!H97)=0,"",IF(ISNA(計算結果!H97),"",計算結果!H97))</f>
        <v>-2</v>
      </c>
      <c r="I97" s="12" t="str">
        <f>IF(IF(ISNA(計算結果!I97),"",計算結果!I97)=0,"",IF(ISNA(計算結果!I97),"",計算結果!I97))</f>
        <v/>
      </c>
      <c r="J97" s="12" t="str">
        <f>IF(IF(ISNA(計算結果!J97),"",計算結果!J97)=0,"",IF(ISNA(計算結果!J97),"",計算結果!J97))</f>
        <v/>
      </c>
      <c r="K97" s="23" t="str">
        <f>IF(IF(ISNA(計算結果!K97),"",計算結果!K97)=0,"",IF(ISNA(計算結果!K97),"",計算結果!K97))</f>
        <v/>
      </c>
      <c r="L97" s="13" t="str">
        <f>IF(IF(ISNA(計算結果!L97),"",計算結果!L97)=0,"",IF(ISNA(計算結果!L97),"",計算結果!L97))</f>
        <v/>
      </c>
      <c r="M97" s="10" t="str">
        <f>IF(IF(ISNA(計算結果!M97),"",計算結果!M97)=0,"",IF(ISNA(計算結果!M97),"",計算結果!M97))</f>
        <v/>
      </c>
      <c r="N97" s="10" t="str">
        <f>IF(IF(ISNA(計算結果!N97),"",計算結果!N97)=0,"",IF(ISNA(計算結果!N97),"",計算結果!N97))</f>
        <v/>
      </c>
      <c r="O97" s="13" t="str">
        <f>IF(IF(ISNA(計算結果!O97),"",計算結果!O97)=0,"",IF(ISNA(計算結果!O97),"",計算結果!O97))</f>
        <v/>
      </c>
      <c r="P97" s="10" t="str">
        <f>IF(IF(ISNA(計算結果!P97),"",計算結果!P97)=0,"",IF(ISNA(計算結果!P97),"",計算結果!P97))</f>
        <v/>
      </c>
      <c r="Q97" s="10" t="str">
        <f>IF(IF(ISNA(計算結果!Q97),"",計算結果!Q97)=0,"",IF(ISNA(計算結果!Q97),"",計算結果!Q97))</f>
        <v/>
      </c>
      <c r="R97" s="14" t="str">
        <f t="shared" si="3"/>
        <v/>
      </c>
      <c r="S97" s="14" t="str">
        <f t="shared" si="4"/>
        <v>◯</v>
      </c>
      <c r="T97" s="14" t="str">
        <f t="shared" si="5"/>
        <v/>
      </c>
    </row>
    <row r="98" spans="1:20" hidden="1" x14ac:dyDescent="0.45">
      <c r="A98" s="10" t="str">
        <f>IF(IF(ISNA(計算結果!A98),"",計算結果!A98)=0,"",IF(ISNA(計算結果!A98),"",計算結果!A98))</f>
        <v/>
      </c>
      <c r="B98" s="10" t="str">
        <f>IF(IF(ISNA(計算結果!B98),"",計算結果!B98)=0,"",IF(ISNA(計算結果!B98),"",計算結果!B98))</f>
        <v/>
      </c>
      <c r="C98" s="10" t="str">
        <f>IF(IF(ISNA(計算結果!C98),"",計算結果!C98)=0,"",IF(ISNA(計算結果!C98),"",計算結果!C98))</f>
        <v/>
      </c>
      <c r="D98" s="10" t="str">
        <f>IF(IF(ISNA(計算結果!D98),"",計算結果!D98)=0,"",IF(ISNA(計算結果!D98),"",計算結果!D98))</f>
        <v>L</v>
      </c>
      <c r="E98" s="10" t="str">
        <f>IF(IF(ISNA(計算結果!E98),"",計算結果!E98)=0,"",IF(ISNA(計算結果!E98),"",計算結果!E98))</f>
        <v/>
      </c>
      <c r="F98" s="10" t="str">
        <f>IF(IF(ISNA(計算結果!F98),"",計算結果!F98)=0,"",IF(ISNA(計算結果!F98),"",計算結果!F98))</f>
        <v/>
      </c>
      <c r="G98" s="10" t="str">
        <f>IF(IF(ISNA(計算結果!G98),"",計算結果!G98)=0,"",IF(ISNA(計算結果!G98),"",計算結果!G98))</f>
        <v/>
      </c>
      <c r="H98" s="13">
        <f>IF(IF(ISNA(計算結果!H98),"",計算結果!H98)=0,"",IF(ISNA(計算結果!H98),"",計算結果!H98))</f>
        <v>-2</v>
      </c>
      <c r="I98" s="12" t="str">
        <f>IF(IF(ISNA(計算結果!I98),"",計算結果!I98)=0,"",IF(ISNA(計算結果!I98),"",計算結果!I98))</f>
        <v/>
      </c>
      <c r="J98" s="12" t="str">
        <f>IF(IF(ISNA(計算結果!J98),"",計算結果!J98)=0,"",IF(ISNA(計算結果!J98),"",計算結果!J98))</f>
        <v/>
      </c>
      <c r="K98" s="23" t="str">
        <f>IF(IF(ISNA(計算結果!K98),"",計算結果!K98)=0,"",IF(ISNA(計算結果!K98),"",計算結果!K98))</f>
        <v/>
      </c>
      <c r="L98" s="13" t="str">
        <f>IF(IF(ISNA(計算結果!L98),"",計算結果!L98)=0,"",IF(ISNA(計算結果!L98),"",計算結果!L98))</f>
        <v/>
      </c>
      <c r="M98" s="10" t="str">
        <f>IF(IF(ISNA(計算結果!M98),"",計算結果!M98)=0,"",IF(ISNA(計算結果!M98),"",計算結果!M98))</f>
        <v/>
      </c>
      <c r="N98" s="10" t="str">
        <f>IF(IF(ISNA(計算結果!N98),"",計算結果!N98)=0,"",IF(ISNA(計算結果!N98),"",計算結果!N98))</f>
        <v/>
      </c>
      <c r="O98" s="13" t="str">
        <f>IF(IF(ISNA(計算結果!O98),"",計算結果!O98)=0,"",IF(ISNA(計算結果!O98),"",計算結果!O98))</f>
        <v/>
      </c>
      <c r="P98" s="10" t="str">
        <f>IF(IF(ISNA(計算結果!P98),"",計算結果!P98)=0,"",IF(ISNA(計算結果!P98),"",計算結果!P98))</f>
        <v/>
      </c>
      <c r="Q98" s="10" t="str">
        <f>IF(IF(ISNA(計算結果!Q98),"",計算結果!Q98)=0,"",IF(ISNA(計算結果!Q98),"",計算結果!Q98))</f>
        <v/>
      </c>
      <c r="R98" s="14" t="str">
        <f t="shared" si="3"/>
        <v/>
      </c>
      <c r="S98" s="14" t="str">
        <f t="shared" si="4"/>
        <v>◯</v>
      </c>
      <c r="T98" s="14" t="str">
        <f t="shared" si="5"/>
        <v/>
      </c>
    </row>
    <row r="99" spans="1:20" hidden="1" x14ac:dyDescent="0.45">
      <c r="A99" s="10" t="str">
        <f>IF(IF(ISNA(計算結果!A99),"",計算結果!A99)=0,"",IF(ISNA(計算結果!A99),"",計算結果!A99))</f>
        <v/>
      </c>
      <c r="B99" s="10" t="str">
        <f>IF(IF(ISNA(計算結果!B99),"",計算結果!B99)=0,"",IF(ISNA(計算結果!B99),"",計算結果!B99))</f>
        <v/>
      </c>
      <c r="C99" s="10" t="str">
        <f>IF(IF(ISNA(計算結果!C99),"",計算結果!C99)=0,"",IF(ISNA(計算結果!C99),"",計算結果!C99))</f>
        <v/>
      </c>
      <c r="D99" s="10" t="str">
        <f>IF(IF(ISNA(計算結果!D99),"",計算結果!D99)=0,"",IF(ISNA(計算結果!D99),"",計算結果!D99))</f>
        <v>L</v>
      </c>
      <c r="E99" s="10" t="str">
        <f>IF(IF(ISNA(計算結果!E99),"",計算結果!E99)=0,"",IF(ISNA(計算結果!E99),"",計算結果!E99))</f>
        <v/>
      </c>
      <c r="F99" s="10" t="str">
        <f>IF(IF(ISNA(計算結果!F99),"",計算結果!F99)=0,"",IF(ISNA(計算結果!F99),"",計算結果!F99))</f>
        <v/>
      </c>
      <c r="G99" s="10" t="str">
        <f>IF(IF(ISNA(計算結果!G99),"",計算結果!G99)=0,"",IF(ISNA(計算結果!G99),"",計算結果!G99))</f>
        <v/>
      </c>
      <c r="H99" s="13">
        <f>IF(IF(ISNA(計算結果!H99),"",計算結果!H99)=0,"",IF(ISNA(計算結果!H99),"",計算結果!H99))</f>
        <v>-2</v>
      </c>
      <c r="I99" s="12" t="str">
        <f>IF(IF(ISNA(計算結果!I99),"",計算結果!I99)=0,"",IF(ISNA(計算結果!I99),"",計算結果!I99))</f>
        <v/>
      </c>
      <c r="J99" s="12" t="str">
        <f>IF(IF(ISNA(計算結果!J99),"",計算結果!J99)=0,"",IF(ISNA(計算結果!J99),"",計算結果!J99))</f>
        <v/>
      </c>
      <c r="K99" s="23" t="str">
        <f>IF(IF(ISNA(計算結果!K99),"",計算結果!K99)=0,"",IF(ISNA(計算結果!K99),"",計算結果!K99))</f>
        <v/>
      </c>
      <c r="L99" s="13" t="str">
        <f>IF(IF(ISNA(計算結果!L99),"",計算結果!L99)=0,"",IF(ISNA(計算結果!L99),"",計算結果!L99))</f>
        <v/>
      </c>
      <c r="M99" s="10" t="str">
        <f>IF(IF(ISNA(計算結果!M99),"",計算結果!M99)=0,"",IF(ISNA(計算結果!M99),"",計算結果!M99))</f>
        <v/>
      </c>
      <c r="N99" s="10" t="str">
        <f>IF(IF(ISNA(計算結果!N99),"",計算結果!N99)=0,"",IF(ISNA(計算結果!N99),"",計算結果!N99))</f>
        <v/>
      </c>
      <c r="O99" s="13" t="str">
        <f>IF(IF(ISNA(計算結果!O99),"",計算結果!O99)=0,"",IF(ISNA(計算結果!O99),"",計算結果!O99))</f>
        <v/>
      </c>
      <c r="P99" s="10" t="str">
        <f>IF(IF(ISNA(計算結果!P99),"",計算結果!P99)=0,"",IF(ISNA(計算結果!P99),"",計算結果!P99))</f>
        <v/>
      </c>
      <c r="Q99" s="10" t="str">
        <f>IF(IF(ISNA(計算結果!Q99),"",計算結果!Q99)=0,"",IF(ISNA(計算結果!Q99),"",計算結果!Q99))</f>
        <v/>
      </c>
      <c r="R99" s="14" t="str">
        <f t="shared" si="3"/>
        <v/>
      </c>
      <c r="S99" s="14" t="str">
        <f t="shared" si="4"/>
        <v>◯</v>
      </c>
      <c r="T99" s="14" t="str">
        <f t="shared" si="5"/>
        <v/>
      </c>
    </row>
    <row r="100" spans="1:20" hidden="1" x14ac:dyDescent="0.45">
      <c r="A100" s="10" t="str">
        <f>IF(IF(ISNA(計算結果!A100),"",計算結果!A100)=0,"",IF(ISNA(計算結果!A100),"",計算結果!A100))</f>
        <v/>
      </c>
      <c r="B100" s="10" t="str">
        <f>IF(IF(ISNA(計算結果!B100),"",計算結果!B100)=0,"",IF(ISNA(計算結果!B100),"",計算結果!B100))</f>
        <v/>
      </c>
      <c r="C100" s="10" t="str">
        <f>IF(IF(ISNA(計算結果!C100),"",計算結果!C100)=0,"",IF(ISNA(計算結果!C100),"",計算結果!C100))</f>
        <v/>
      </c>
      <c r="D100" s="10" t="str">
        <f>IF(IF(ISNA(計算結果!D100),"",計算結果!D100)=0,"",IF(ISNA(計算結果!D100),"",計算結果!D100))</f>
        <v>L</v>
      </c>
      <c r="E100" s="10" t="str">
        <f>IF(IF(ISNA(計算結果!E100),"",計算結果!E100)=0,"",IF(ISNA(計算結果!E100),"",計算結果!E100))</f>
        <v/>
      </c>
      <c r="F100" s="10" t="str">
        <f>IF(IF(ISNA(計算結果!F100),"",計算結果!F100)=0,"",IF(ISNA(計算結果!F100),"",計算結果!F100))</f>
        <v/>
      </c>
      <c r="G100" s="10" t="str">
        <f>IF(IF(ISNA(計算結果!G100),"",計算結果!G100)=0,"",IF(ISNA(計算結果!G100),"",計算結果!G100))</f>
        <v/>
      </c>
      <c r="H100" s="13">
        <f>IF(IF(ISNA(計算結果!H100),"",計算結果!H100)=0,"",IF(ISNA(計算結果!H100),"",計算結果!H100))</f>
        <v>-2</v>
      </c>
      <c r="I100" s="12" t="str">
        <f>IF(IF(ISNA(計算結果!I100),"",計算結果!I100)=0,"",IF(ISNA(計算結果!I100),"",計算結果!I100))</f>
        <v/>
      </c>
      <c r="J100" s="12" t="str">
        <f>IF(IF(ISNA(計算結果!J100),"",計算結果!J100)=0,"",IF(ISNA(計算結果!J100),"",計算結果!J100))</f>
        <v/>
      </c>
      <c r="K100" s="23" t="str">
        <f>IF(IF(ISNA(計算結果!K100),"",計算結果!K100)=0,"",IF(ISNA(計算結果!K100),"",計算結果!K100))</f>
        <v/>
      </c>
      <c r="L100" s="13" t="str">
        <f>IF(IF(ISNA(計算結果!L100),"",計算結果!L100)=0,"",IF(ISNA(計算結果!L100),"",計算結果!L100))</f>
        <v/>
      </c>
      <c r="M100" s="10" t="str">
        <f>IF(IF(ISNA(計算結果!M100),"",計算結果!M100)=0,"",IF(ISNA(計算結果!M100),"",計算結果!M100))</f>
        <v/>
      </c>
      <c r="N100" s="10" t="str">
        <f>IF(IF(ISNA(計算結果!N100),"",計算結果!N100)=0,"",IF(ISNA(計算結果!N100),"",計算結果!N100))</f>
        <v/>
      </c>
      <c r="O100" s="13" t="str">
        <f>IF(IF(ISNA(計算結果!O100),"",計算結果!O100)=0,"",IF(ISNA(計算結果!O100),"",計算結果!O100))</f>
        <v/>
      </c>
      <c r="P100" s="10" t="str">
        <f>IF(IF(ISNA(計算結果!P100),"",計算結果!P100)=0,"",IF(ISNA(計算結果!P100),"",計算結果!P100))</f>
        <v/>
      </c>
      <c r="Q100" s="10" t="str">
        <f>IF(IF(ISNA(計算結果!Q100),"",計算結果!Q100)=0,"",IF(ISNA(計算結果!Q100),"",計算結果!Q100))</f>
        <v/>
      </c>
      <c r="R100" s="14" t="str">
        <f t="shared" si="3"/>
        <v/>
      </c>
      <c r="S100" s="14" t="str">
        <f t="shared" si="4"/>
        <v>◯</v>
      </c>
      <c r="T100" s="14" t="str">
        <f t="shared" si="5"/>
        <v/>
      </c>
    </row>
    <row r="101" spans="1:20" hidden="1" x14ac:dyDescent="0.45">
      <c r="A101" s="10" t="str">
        <f>IF(IF(ISNA(計算結果!A101),"",計算結果!A101)=0,"",IF(ISNA(計算結果!A101),"",計算結果!A101))</f>
        <v/>
      </c>
      <c r="B101" s="10" t="str">
        <f>IF(IF(ISNA(計算結果!B101),"",計算結果!B101)=0,"",IF(ISNA(計算結果!B101),"",計算結果!B101))</f>
        <v/>
      </c>
      <c r="C101" s="10" t="str">
        <f>IF(IF(ISNA(計算結果!C101),"",計算結果!C101)=0,"",IF(ISNA(計算結果!C101),"",計算結果!C101))</f>
        <v/>
      </c>
      <c r="D101" s="10" t="str">
        <f>IF(IF(ISNA(計算結果!D101),"",計算結果!D101)=0,"",IF(ISNA(計算結果!D101),"",計算結果!D101))</f>
        <v>L</v>
      </c>
      <c r="E101" s="10" t="str">
        <f>IF(IF(ISNA(計算結果!E101),"",計算結果!E101)=0,"",IF(ISNA(計算結果!E101),"",計算結果!E101))</f>
        <v/>
      </c>
      <c r="F101" s="10" t="str">
        <f>IF(IF(ISNA(計算結果!F101),"",計算結果!F101)=0,"",IF(ISNA(計算結果!F101),"",計算結果!F101))</f>
        <v/>
      </c>
      <c r="G101" s="10" t="str">
        <f>IF(IF(ISNA(計算結果!G101),"",計算結果!G101)=0,"",IF(ISNA(計算結果!G101),"",計算結果!G101))</f>
        <v/>
      </c>
      <c r="H101" s="13">
        <f>IF(IF(ISNA(計算結果!H101),"",計算結果!H101)=0,"",IF(ISNA(計算結果!H101),"",計算結果!H101))</f>
        <v>-2</v>
      </c>
      <c r="I101" s="12" t="str">
        <f>IF(IF(ISNA(計算結果!I101),"",計算結果!I101)=0,"",IF(ISNA(計算結果!I101),"",計算結果!I101))</f>
        <v/>
      </c>
      <c r="J101" s="12" t="str">
        <f>IF(IF(ISNA(計算結果!J101),"",計算結果!J101)=0,"",IF(ISNA(計算結果!J101),"",計算結果!J101))</f>
        <v/>
      </c>
      <c r="K101" s="23" t="str">
        <f>IF(IF(ISNA(計算結果!K101),"",計算結果!K101)=0,"",IF(ISNA(計算結果!K101),"",計算結果!K101))</f>
        <v/>
      </c>
      <c r="L101" s="13" t="str">
        <f>IF(IF(ISNA(計算結果!L101),"",計算結果!L101)=0,"",IF(ISNA(計算結果!L101),"",計算結果!L101))</f>
        <v/>
      </c>
      <c r="M101" s="10" t="str">
        <f>IF(IF(ISNA(計算結果!M101),"",計算結果!M101)=0,"",IF(ISNA(計算結果!M101),"",計算結果!M101))</f>
        <v/>
      </c>
      <c r="N101" s="10" t="str">
        <f>IF(IF(ISNA(計算結果!N101),"",計算結果!N101)=0,"",IF(ISNA(計算結果!N101),"",計算結果!N101))</f>
        <v/>
      </c>
      <c r="O101" s="13" t="str">
        <f>IF(IF(ISNA(計算結果!O101),"",計算結果!O101)=0,"",IF(ISNA(計算結果!O101),"",計算結果!O101))</f>
        <v/>
      </c>
      <c r="P101" s="10" t="str">
        <f>IF(IF(ISNA(計算結果!P101),"",計算結果!P101)=0,"",IF(ISNA(計算結果!P101),"",計算結果!P101))</f>
        <v/>
      </c>
      <c r="Q101" s="10" t="str">
        <f>IF(IF(ISNA(計算結果!Q101),"",計算結果!Q101)=0,"",IF(ISNA(計算結果!Q101),"",計算結果!Q101))</f>
        <v/>
      </c>
      <c r="R101" s="14" t="str">
        <f t="shared" si="3"/>
        <v/>
      </c>
      <c r="S101" s="14" t="str">
        <f t="shared" si="4"/>
        <v>◯</v>
      </c>
      <c r="T101" s="14" t="str">
        <f t="shared" si="5"/>
        <v/>
      </c>
    </row>
    <row r="102" spans="1:20" hidden="1" x14ac:dyDescent="0.45">
      <c r="A102" s="10" t="str">
        <f>IF(IF(ISNA(計算結果!A102),"",計算結果!A102)=0,"",IF(ISNA(計算結果!A102),"",計算結果!A102))</f>
        <v/>
      </c>
      <c r="B102" s="10" t="str">
        <f>IF(IF(ISNA(計算結果!B102),"",計算結果!B102)=0,"",IF(ISNA(計算結果!B102),"",計算結果!B102))</f>
        <v/>
      </c>
      <c r="C102" s="10" t="str">
        <f>IF(IF(ISNA(計算結果!C102),"",計算結果!C102)=0,"",IF(ISNA(計算結果!C102),"",計算結果!C102))</f>
        <v/>
      </c>
      <c r="D102" s="10" t="str">
        <f>IF(IF(ISNA(計算結果!D102),"",計算結果!D102)=0,"",IF(ISNA(計算結果!D102),"",計算結果!D102))</f>
        <v>L</v>
      </c>
      <c r="E102" s="10" t="str">
        <f>IF(IF(ISNA(計算結果!E102),"",計算結果!E102)=0,"",IF(ISNA(計算結果!E102),"",計算結果!E102))</f>
        <v/>
      </c>
      <c r="F102" s="10" t="str">
        <f>IF(IF(ISNA(計算結果!F102),"",計算結果!F102)=0,"",IF(ISNA(計算結果!F102),"",計算結果!F102))</f>
        <v/>
      </c>
      <c r="G102" s="10" t="str">
        <f>IF(IF(ISNA(計算結果!G102),"",計算結果!G102)=0,"",IF(ISNA(計算結果!G102),"",計算結果!G102))</f>
        <v/>
      </c>
      <c r="H102" s="13">
        <f>IF(IF(ISNA(計算結果!H102),"",計算結果!H102)=0,"",IF(ISNA(計算結果!H102),"",計算結果!H102))</f>
        <v>-2</v>
      </c>
      <c r="I102" s="12" t="str">
        <f>IF(IF(ISNA(計算結果!I102),"",計算結果!I102)=0,"",IF(ISNA(計算結果!I102),"",計算結果!I102))</f>
        <v/>
      </c>
      <c r="J102" s="12" t="str">
        <f>IF(IF(ISNA(計算結果!J102),"",計算結果!J102)=0,"",IF(ISNA(計算結果!J102),"",計算結果!J102))</f>
        <v/>
      </c>
      <c r="K102" s="23" t="str">
        <f>IF(IF(ISNA(計算結果!K102),"",計算結果!K102)=0,"",IF(ISNA(計算結果!K102),"",計算結果!K102))</f>
        <v/>
      </c>
      <c r="L102" s="13" t="str">
        <f>IF(IF(ISNA(計算結果!L102),"",計算結果!L102)=0,"",IF(ISNA(計算結果!L102),"",計算結果!L102))</f>
        <v/>
      </c>
      <c r="M102" s="10" t="str">
        <f>IF(IF(ISNA(計算結果!M102),"",計算結果!M102)=0,"",IF(ISNA(計算結果!M102),"",計算結果!M102))</f>
        <v/>
      </c>
      <c r="N102" s="10" t="str">
        <f>IF(IF(ISNA(計算結果!N102),"",計算結果!N102)=0,"",IF(ISNA(計算結果!N102),"",計算結果!N102))</f>
        <v/>
      </c>
      <c r="O102" s="13" t="str">
        <f>IF(IF(ISNA(計算結果!O102),"",計算結果!O102)=0,"",IF(ISNA(計算結果!O102),"",計算結果!O102))</f>
        <v/>
      </c>
      <c r="P102" s="10" t="str">
        <f>IF(IF(ISNA(計算結果!P102),"",計算結果!P102)=0,"",IF(ISNA(計算結果!P102),"",計算結果!P102))</f>
        <v/>
      </c>
      <c r="Q102" s="10" t="str">
        <f>IF(IF(ISNA(計算結果!Q102),"",計算結果!Q102)=0,"",IF(ISNA(計算結果!Q102),"",計算結果!Q102))</f>
        <v/>
      </c>
      <c r="R102" s="14" t="str">
        <f t="shared" si="3"/>
        <v/>
      </c>
      <c r="S102" s="14" t="str">
        <f t="shared" si="4"/>
        <v>◯</v>
      </c>
      <c r="T102" s="14" t="str">
        <f t="shared" si="5"/>
        <v/>
      </c>
    </row>
    <row r="103" spans="1:20" hidden="1" x14ac:dyDescent="0.45">
      <c r="A103" s="10" t="str">
        <f>IF(IF(ISNA(計算結果!A103),"",計算結果!A103)=0,"",IF(ISNA(計算結果!A103),"",計算結果!A103))</f>
        <v/>
      </c>
      <c r="B103" s="10" t="str">
        <f>IF(IF(ISNA(計算結果!B103),"",計算結果!B103)=0,"",IF(ISNA(計算結果!B103),"",計算結果!B103))</f>
        <v/>
      </c>
      <c r="C103" s="10" t="str">
        <f>IF(IF(ISNA(計算結果!C103),"",計算結果!C103)=0,"",IF(ISNA(計算結果!C103),"",計算結果!C103))</f>
        <v/>
      </c>
      <c r="D103" s="10" t="str">
        <f>IF(IF(ISNA(計算結果!D103),"",計算結果!D103)=0,"",IF(ISNA(計算結果!D103),"",計算結果!D103))</f>
        <v>L</v>
      </c>
      <c r="E103" s="10" t="str">
        <f>IF(IF(ISNA(計算結果!E103),"",計算結果!E103)=0,"",IF(ISNA(計算結果!E103),"",計算結果!E103))</f>
        <v/>
      </c>
      <c r="F103" s="10" t="str">
        <f>IF(IF(ISNA(計算結果!F103),"",計算結果!F103)=0,"",IF(ISNA(計算結果!F103),"",計算結果!F103))</f>
        <v/>
      </c>
      <c r="G103" s="10" t="str">
        <f>IF(IF(ISNA(計算結果!G103),"",計算結果!G103)=0,"",IF(ISNA(計算結果!G103),"",計算結果!G103))</f>
        <v/>
      </c>
      <c r="H103" s="13">
        <f>IF(IF(ISNA(計算結果!H103),"",計算結果!H103)=0,"",IF(ISNA(計算結果!H103),"",計算結果!H103))</f>
        <v>-2</v>
      </c>
      <c r="I103" s="12" t="str">
        <f>IF(IF(ISNA(計算結果!I103),"",計算結果!I103)=0,"",IF(ISNA(計算結果!I103),"",計算結果!I103))</f>
        <v/>
      </c>
      <c r="J103" s="12" t="str">
        <f>IF(IF(ISNA(計算結果!J103),"",計算結果!J103)=0,"",IF(ISNA(計算結果!J103),"",計算結果!J103))</f>
        <v/>
      </c>
      <c r="K103" s="23" t="str">
        <f>IF(IF(ISNA(計算結果!K103),"",計算結果!K103)=0,"",IF(ISNA(計算結果!K103),"",計算結果!K103))</f>
        <v/>
      </c>
      <c r="L103" s="13" t="str">
        <f>IF(IF(ISNA(計算結果!L103),"",計算結果!L103)=0,"",IF(ISNA(計算結果!L103),"",計算結果!L103))</f>
        <v/>
      </c>
      <c r="M103" s="10" t="str">
        <f>IF(IF(ISNA(計算結果!M103),"",計算結果!M103)=0,"",IF(ISNA(計算結果!M103),"",計算結果!M103))</f>
        <v/>
      </c>
      <c r="N103" s="10" t="str">
        <f>IF(IF(ISNA(計算結果!N103),"",計算結果!N103)=0,"",IF(ISNA(計算結果!N103),"",計算結果!N103))</f>
        <v/>
      </c>
      <c r="O103" s="13" t="str">
        <f>IF(IF(ISNA(計算結果!O103),"",計算結果!O103)=0,"",IF(ISNA(計算結果!O103),"",計算結果!O103))</f>
        <v/>
      </c>
      <c r="P103" s="10" t="str">
        <f>IF(IF(ISNA(計算結果!P103),"",計算結果!P103)=0,"",IF(ISNA(計算結果!P103),"",計算結果!P103))</f>
        <v/>
      </c>
      <c r="Q103" s="10" t="str">
        <f>IF(IF(ISNA(計算結果!Q103),"",計算結果!Q103)=0,"",IF(ISNA(計算結果!Q103),"",計算結果!Q103))</f>
        <v/>
      </c>
      <c r="R103" s="14" t="str">
        <f t="shared" si="3"/>
        <v/>
      </c>
      <c r="S103" s="14" t="str">
        <f t="shared" si="4"/>
        <v>◯</v>
      </c>
      <c r="T103" s="14" t="str">
        <f t="shared" si="5"/>
        <v/>
      </c>
    </row>
    <row r="104" spans="1:20" hidden="1" x14ac:dyDescent="0.45">
      <c r="A104" s="10" t="str">
        <f>IF(IF(ISNA(計算結果!A104),"",計算結果!A104)=0,"",IF(ISNA(計算結果!A104),"",計算結果!A104))</f>
        <v/>
      </c>
      <c r="B104" s="10" t="str">
        <f>IF(IF(ISNA(計算結果!B104),"",計算結果!B104)=0,"",IF(ISNA(計算結果!B104),"",計算結果!B104))</f>
        <v/>
      </c>
      <c r="C104" s="10" t="str">
        <f>IF(IF(ISNA(計算結果!C104),"",計算結果!C104)=0,"",IF(ISNA(計算結果!C104),"",計算結果!C104))</f>
        <v/>
      </c>
      <c r="D104" s="10" t="str">
        <f>IF(IF(ISNA(計算結果!D104),"",計算結果!D104)=0,"",IF(ISNA(計算結果!D104),"",計算結果!D104))</f>
        <v>L</v>
      </c>
      <c r="E104" s="10" t="str">
        <f>IF(IF(ISNA(計算結果!E104),"",計算結果!E104)=0,"",IF(ISNA(計算結果!E104),"",計算結果!E104))</f>
        <v/>
      </c>
      <c r="F104" s="10" t="str">
        <f>IF(IF(ISNA(計算結果!F104),"",計算結果!F104)=0,"",IF(ISNA(計算結果!F104),"",計算結果!F104))</f>
        <v/>
      </c>
      <c r="G104" s="10" t="str">
        <f>IF(IF(ISNA(計算結果!G104),"",計算結果!G104)=0,"",IF(ISNA(計算結果!G104),"",計算結果!G104))</f>
        <v/>
      </c>
      <c r="H104" s="13">
        <f>IF(IF(ISNA(計算結果!H104),"",計算結果!H104)=0,"",IF(ISNA(計算結果!H104),"",計算結果!H104))</f>
        <v>-2</v>
      </c>
      <c r="I104" s="12" t="str">
        <f>IF(IF(ISNA(計算結果!I104),"",計算結果!I104)=0,"",IF(ISNA(計算結果!I104),"",計算結果!I104))</f>
        <v/>
      </c>
      <c r="J104" s="12" t="str">
        <f>IF(IF(ISNA(計算結果!J104),"",計算結果!J104)=0,"",IF(ISNA(計算結果!J104),"",計算結果!J104))</f>
        <v/>
      </c>
      <c r="K104" s="23" t="str">
        <f>IF(IF(ISNA(計算結果!K104),"",計算結果!K104)=0,"",IF(ISNA(計算結果!K104),"",計算結果!K104))</f>
        <v/>
      </c>
      <c r="L104" s="13" t="str">
        <f>IF(IF(ISNA(計算結果!L104),"",計算結果!L104)=0,"",IF(ISNA(計算結果!L104),"",計算結果!L104))</f>
        <v/>
      </c>
      <c r="M104" s="10" t="str">
        <f>IF(IF(ISNA(計算結果!M104),"",計算結果!M104)=0,"",IF(ISNA(計算結果!M104),"",計算結果!M104))</f>
        <v/>
      </c>
      <c r="N104" s="10" t="str">
        <f>IF(IF(ISNA(計算結果!N104),"",計算結果!N104)=0,"",IF(ISNA(計算結果!N104),"",計算結果!N104))</f>
        <v/>
      </c>
      <c r="O104" s="13" t="str">
        <f>IF(IF(ISNA(計算結果!O104),"",計算結果!O104)=0,"",IF(ISNA(計算結果!O104),"",計算結果!O104))</f>
        <v/>
      </c>
      <c r="P104" s="10" t="str">
        <f>IF(IF(ISNA(計算結果!P104),"",計算結果!P104)=0,"",IF(ISNA(計算結果!P104),"",計算結果!P104))</f>
        <v/>
      </c>
      <c r="Q104" s="10" t="str">
        <f>IF(IF(ISNA(計算結果!Q104),"",計算結果!Q104)=0,"",IF(ISNA(計算結果!Q104),"",計算結果!Q104))</f>
        <v/>
      </c>
      <c r="R104" s="14" t="str">
        <f t="shared" si="3"/>
        <v/>
      </c>
      <c r="S104" s="14" t="str">
        <f t="shared" si="4"/>
        <v>◯</v>
      </c>
      <c r="T104" s="14" t="str">
        <f t="shared" si="5"/>
        <v/>
      </c>
    </row>
    <row r="105" spans="1:20" hidden="1" x14ac:dyDescent="0.45">
      <c r="A105" s="10" t="str">
        <f>IF(IF(ISNA(計算結果!A105),"",計算結果!A105)=0,"",IF(ISNA(計算結果!A105),"",計算結果!A105))</f>
        <v/>
      </c>
      <c r="B105" s="10" t="str">
        <f>IF(IF(ISNA(計算結果!B105),"",計算結果!B105)=0,"",IF(ISNA(計算結果!B105),"",計算結果!B105))</f>
        <v/>
      </c>
      <c r="C105" s="10" t="str">
        <f>IF(IF(ISNA(計算結果!C105),"",計算結果!C105)=0,"",IF(ISNA(計算結果!C105),"",計算結果!C105))</f>
        <v/>
      </c>
      <c r="D105" s="10" t="str">
        <f>IF(IF(ISNA(計算結果!D105),"",計算結果!D105)=0,"",IF(ISNA(計算結果!D105),"",計算結果!D105))</f>
        <v>L</v>
      </c>
      <c r="E105" s="10" t="str">
        <f>IF(IF(ISNA(計算結果!E105),"",計算結果!E105)=0,"",IF(ISNA(計算結果!E105),"",計算結果!E105))</f>
        <v/>
      </c>
      <c r="F105" s="10" t="str">
        <f>IF(IF(ISNA(計算結果!F105),"",計算結果!F105)=0,"",IF(ISNA(計算結果!F105),"",計算結果!F105))</f>
        <v/>
      </c>
      <c r="G105" s="10" t="str">
        <f>IF(IF(ISNA(計算結果!G105),"",計算結果!G105)=0,"",IF(ISNA(計算結果!G105),"",計算結果!G105))</f>
        <v/>
      </c>
      <c r="H105" s="13">
        <f>IF(IF(ISNA(計算結果!H105),"",計算結果!H105)=0,"",IF(ISNA(計算結果!H105),"",計算結果!H105))</f>
        <v>-2</v>
      </c>
      <c r="I105" s="12" t="str">
        <f>IF(IF(ISNA(計算結果!I105),"",計算結果!I105)=0,"",IF(ISNA(計算結果!I105),"",計算結果!I105))</f>
        <v/>
      </c>
      <c r="J105" s="12" t="str">
        <f>IF(IF(ISNA(計算結果!J105),"",計算結果!J105)=0,"",IF(ISNA(計算結果!J105),"",計算結果!J105))</f>
        <v/>
      </c>
      <c r="K105" s="23" t="str">
        <f>IF(IF(ISNA(計算結果!K105),"",計算結果!K105)=0,"",IF(ISNA(計算結果!K105),"",計算結果!K105))</f>
        <v/>
      </c>
      <c r="L105" s="13" t="str">
        <f>IF(IF(ISNA(計算結果!L105),"",計算結果!L105)=0,"",IF(ISNA(計算結果!L105),"",計算結果!L105))</f>
        <v/>
      </c>
      <c r="M105" s="10" t="str">
        <f>IF(IF(ISNA(計算結果!M105),"",計算結果!M105)=0,"",IF(ISNA(計算結果!M105),"",計算結果!M105))</f>
        <v/>
      </c>
      <c r="N105" s="10" t="str">
        <f>IF(IF(ISNA(計算結果!N105),"",計算結果!N105)=0,"",IF(ISNA(計算結果!N105),"",計算結果!N105))</f>
        <v/>
      </c>
      <c r="O105" s="13" t="str">
        <f>IF(IF(ISNA(計算結果!O105),"",計算結果!O105)=0,"",IF(ISNA(計算結果!O105),"",計算結果!O105))</f>
        <v/>
      </c>
      <c r="P105" s="10" t="str">
        <f>IF(IF(ISNA(計算結果!P105),"",計算結果!P105)=0,"",IF(ISNA(計算結果!P105),"",計算結果!P105))</f>
        <v/>
      </c>
      <c r="Q105" s="10" t="str">
        <f>IF(IF(ISNA(計算結果!Q105),"",計算結果!Q105)=0,"",IF(ISNA(計算結果!Q105),"",計算結果!Q105))</f>
        <v/>
      </c>
      <c r="R105" s="14" t="str">
        <f t="shared" si="3"/>
        <v/>
      </c>
      <c r="S105" s="14" t="str">
        <f t="shared" si="4"/>
        <v>◯</v>
      </c>
      <c r="T105" s="14" t="str">
        <f t="shared" si="5"/>
        <v/>
      </c>
    </row>
    <row r="106" spans="1:20" hidden="1" x14ac:dyDescent="0.45">
      <c r="A106" s="10" t="str">
        <f>IF(IF(ISNA(計算結果!A106),"",計算結果!A106)=0,"",IF(ISNA(計算結果!A106),"",計算結果!A106))</f>
        <v/>
      </c>
      <c r="B106" s="10" t="str">
        <f>IF(IF(ISNA(計算結果!B106),"",計算結果!B106)=0,"",IF(ISNA(計算結果!B106),"",計算結果!B106))</f>
        <v/>
      </c>
      <c r="C106" s="10" t="str">
        <f>IF(IF(ISNA(計算結果!C106),"",計算結果!C106)=0,"",IF(ISNA(計算結果!C106),"",計算結果!C106))</f>
        <v/>
      </c>
      <c r="D106" s="10" t="str">
        <f>IF(IF(ISNA(計算結果!D106),"",計算結果!D106)=0,"",IF(ISNA(計算結果!D106),"",計算結果!D106))</f>
        <v>L</v>
      </c>
      <c r="E106" s="10" t="str">
        <f>IF(IF(ISNA(計算結果!E106),"",計算結果!E106)=0,"",IF(ISNA(計算結果!E106),"",計算結果!E106))</f>
        <v/>
      </c>
      <c r="F106" s="10" t="str">
        <f>IF(IF(ISNA(計算結果!F106),"",計算結果!F106)=0,"",IF(ISNA(計算結果!F106),"",計算結果!F106))</f>
        <v/>
      </c>
      <c r="G106" s="10" t="str">
        <f>IF(IF(ISNA(計算結果!G106),"",計算結果!G106)=0,"",IF(ISNA(計算結果!G106),"",計算結果!G106))</f>
        <v/>
      </c>
      <c r="H106" s="13">
        <f>IF(IF(ISNA(計算結果!H106),"",計算結果!H106)=0,"",IF(ISNA(計算結果!H106),"",計算結果!H106))</f>
        <v>-2</v>
      </c>
      <c r="I106" s="12" t="str">
        <f>IF(IF(ISNA(計算結果!I106),"",計算結果!I106)=0,"",IF(ISNA(計算結果!I106),"",計算結果!I106))</f>
        <v/>
      </c>
      <c r="J106" s="12" t="str">
        <f>IF(IF(ISNA(計算結果!J106),"",計算結果!J106)=0,"",IF(ISNA(計算結果!J106),"",計算結果!J106))</f>
        <v/>
      </c>
      <c r="K106" s="23" t="str">
        <f>IF(IF(ISNA(計算結果!K106),"",計算結果!K106)=0,"",IF(ISNA(計算結果!K106),"",計算結果!K106))</f>
        <v/>
      </c>
      <c r="L106" s="13" t="str">
        <f>IF(IF(ISNA(計算結果!L106),"",計算結果!L106)=0,"",IF(ISNA(計算結果!L106),"",計算結果!L106))</f>
        <v/>
      </c>
      <c r="M106" s="10" t="str">
        <f>IF(IF(ISNA(計算結果!M106),"",計算結果!M106)=0,"",IF(ISNA(計算結果!M106),"",計算結果!M106))</f>
        <v/>
      </c>
      <c r="N106" s="10" t="str">
        <f>IF(IF(ISNA(計算結果!N106),"",計算結果!N106)=0,"",IF(ISNA(計算結果!N106),"",計算結果!N106))</f>
        <v/>
      </c>
      <c r="O106" s="13" t="str">
        <f>IF(IF(ISNA(計算結果!O106),"",計算結果!O106)=0,"",IF(ISNA(計算結果!O106),"",計算結果!O106))</f>
        <v/>
      </c>
      <c r="P106" s="10" t="str">
        <f>IF(IF(ISNA(計算結果!P106),"",計算結果!P106)=0,"",IF(ISNA(計算結果!P106),"",計算結果!P106))</f>
        <v/>
      </c>
      <c r="Q106" s="10" t="str">
        <f>IF(IF(ISNA(計算結果!Q106),"",計算結果!Q106)=0,"",IF(ISNA(計算結果!Q106),"",計算結果!Q106))</f>
        <v/>
      </c>
      <c r="R106" s="14" t="str">
        <f t="shared" si="3"/>
        <v/>
      </c>
      <c r="S106" s="14" t="str">
        <f t="shared" si="4"/>
        <v>◯</v>
      </c>
      <c r="T106" s="14" t="str">
        <f t="shared" si="5"/>
        <v/>
      </c>
    </row>
    <row r="107" spans="1:20" hidden="1" x14ac:dyDescent="0.45">
      <c r="A107" s="10" t="str">
        <f>IF(IF(ISNA(計算結果!A107),"",計算結果!A107)=0,"",IF(ISNA(計算結果!A107),"",計算結果!A107))</f>
        <v/>
      </c>
      <c r="B107" s="10" t="str">
        <f>IF(IF(ISNA(計算結果!B107),"",計算結果!B107)=0,"",IF(ISNA(計算結果!B107),"",計算結果!B107))</f>
        <v/>
      </c>
      <c r="C107" s="10" t="str">
        <f>IF(IF(ISNA(計算結果!C107),"",計算結果!C107)=0,"",IF(ISNA(計算結果!C107),"",計算結果!C107))</f>
        <v/>
      </c>
      <c r="D107" s="10" t="str">
        <f>IF(IF(ISNA(計算結果!D107),"",計算結果!D107)=0,"",IF(ISNA(計算結果!D107),"",計算結果!D107))</f>
        <v>L</v>
      </c>
      <c r="E107" s="10" t="str">
        <f>IF(IF(ISNA(計算結果!E107),"",計算結果!E107)=0,"",IF(ISNA(計算結果!E107),"",計算結果!E107))</f>
        <v/>
      </c>
      <c r="F107" s="10" t="str">
        <f>IF(IF(ISNA(計算結果!F107),"",計算結果!F107)=0,"",IF(ISNA(計算結果!F107),"",計算結果!F107))</f>
        <v/>
      </c>
      <c r="G107" s="10" t="str">
        <f>IF(IF(ISNA(計算結果!G107),"",計算結果!G107)=0,"",IF(ISNA(計算結果!G107),"",計算結果!G107))</f>
        <v/>
      </c>
      <c r="H107" s="13">
        <f>IF(IF(ISNA(計算結果!H107),"",計算結果!H107)=0,"",IF(ISNA(計算結果!H107),"",計算結果!H107))</f>
        <v>-2</v>
      </c>
      <c r="I107" s="12" t="str">
        <f>IF(IF(ISNA(計算結果!I107),"",計算結果!I107)=0,"",IF(ISNA(計算結果!I107),"",計算結果!I107))</f>
        <v/>
      </c>
      <c r="J107" s="12" t="str">
        <f>IF(IF(ISNA(計算結果!J107),"",計算結果!J107)=0,"",IF(ISNA(計算結果!J107),"",計算結果!J107))</f>
        <v/>
      </c>
      <c r="K107" s="23" t="str">
        <f>IF(IF(ISNA(計算結果!K107),"",計算結果!K107)=0,"",IF(ISNA(計算結果!K107),"",計算結果!K107))</f>
        <v/>
      </c>
      <c r="L107" s="13" t="str">
        <f>IF(IF(ISNA(計算結果!L107),"",計算結果!L107)=0,"",IF(ISNA(計算結果!L107),"",計算結果!L107))</f>
        <v/>
      </c>
      <c r="M107" s="10" t="str">
        <f>IF(IF(ISNA(計算結果!M107),"",計算結果!M107)=0,"",IF(ISNA(計算結果!M107),"",計算結果!M107))</f>
        <v/>
      </c>
      <c r="N107" s="10" t="str">
        <f>IF(IF(ISNA(計算結果!N107),"",計算結果!N107)=0,"",IF(ISNA(計算結果!N107),"",計算結果!N107))</f>
        <v/>
      </c>
      <c r="O107" s="13" t="str">
        <f>IF(IF(ISNA(計算結果!O107),"",計算結果!O107)=0,"",IF(ISNA(計算結果!O107),"",計算結果!O107))</f>
        <v/>
      </c>
      <c r="P107" s="10" t="str">
        <f>IF(IF(ISNA(計算結果!P107),"",計算結果!P107)=0,"",IF(ISNA(計算結果!P107),"",計算結果!P107))</f>
        <v/>
      </c>
      <c r="Q107" s="10" t="str">
        <f>IF(IF(ISNA(計算結果!Q107),"",計算結果!Q107)=0,"",IF(ISNA(計算結果!Q107),"",計算結果!Q107))</f>
        <v/>
      </c>
      <c r="R107" s="14" t="str">
        <f t="shared" si="3"/>
        <v/>
      </c>
      <c r="S107" s="14" t="str">
        <f t="shared" si="4"/>
        <v>◯</v>
      </c>
      <c r="T107" s="14" t="str">
        <f t="shared" si="5"/>
        <v/>
      </c>
    </row>
    <row r="108" spans="1:20" hidden="1" x14ac:dyDescent="0.45">
      <c r="A108" s="10" t="str">
        <f>IF(IF(ISNA(計算結果!A108),"",計算結果!A108)=0,"",IF(ISNA(計算結果!A108),"",計算結果!A108))</f>
        <v/>
      </c>
      <c r="B108" s="10" t="str">
        <f>IF(IF(ISNA(計算結果!B108),"",計算結果!B108)=0,"",IF(ISNA(計算結果!B108),"",計算結果!B108))</f>
        <v/>
      </c>
      <c r="C108" s="10" t="str">
        <f>IF(IF(ISNA(計算結果!C108),"",計算結果!C108)=0,"",IF(ISNA(計算結果!C108),"",計算結果!C108))</f>
        <v/>
      </c>
      <c r="D108" s="10" t="str">
        <f>IF(IF(ISNA(計算結果!D108),"",計算結果!D108)=0,"",IF(ISNA(計算結果!D108),"",計算結果!D108))</f>
        <v>L</v>
      </c>
      <c r="E108" s="10" t="str">
        <f>IF(IF(ISNA(計算結果!E108),"",計算結果!E108)=0,"",IF(ISNA(計算結果!E108),"",計算結果!E108))</f>
        <v/>
      </c>
      <c r="F108" s="10" t="str">
        <f>IF(IF(ISNA(計算結果!F108),"",計算結果!F108)=0,"",IF(ISNA(計算結果!F108),"",計算結果!F108))</f>
        <v/>
      </c>
      <c r="G108" s="10" t="str">
        <f>IF(IF(ISNA(計算結果!G108),"",計算結果!G108)=0,"",IF(ISNA(計算結果!G108),"",計算結果!G108))</f>
        <v/>
      </c>
      <c r="H108" s="13">
        <f>IF(IF(ISNA(計算結果!H108),"",計算結果!H108)=0,"",IF(ISNA(計算結果!H108),"",計算結果!H108))</f>
        <v>-2</v>
      </c>
      <c r="I108" s="12" t="str">
        <f>IF(IF(ISNA(計算結果!I108),"",計算結果!I108)=0,"",IF(ISNA(計算結果!I108),"",計算結果!I108))</f>
        <v/>
      </c>
      <c r="J108" s="12" t="str">
        <f>IF(IF(ISNA(計算結果!J108),"",計算結果!J108)=0,"",IF(ISNA(計算結果!J108),"",計算結果!J108))</f>
        <v/>
      </c>
      <c r="K108" s="23" t="str">
        <f>IF(IF(ISNA(計算結果!K108),"",計算結果!K108)=0,"",IF(ISNA(計算結果!K108),"",計算結果!K108))</f>
        <v/>
      </c>
      <c r="L108" s="13" t="str">
        <f>IF(IF(ISNA(計算結果!L108),"",計算結果!L108)=0,"",IF(ISNA(計算結果!L108),"",計算結果!L108))</f>
        <v/>
      </c>
      <c r="M108" s="10" t="str">
        <f>IF(IF(ISNA(計算結果!M108),"",計算結果!M108)=0,"",IF(ISNA(計算結果!M108),"",計算結果!M108))</f>
        <v/>
      </c>
      <c r="N108" s="10" t="str">
        <f>IF(IF(ISNA(計算結果!N108),"",計算結果!N108)=0,"",IF(ISNA(計算結果!N108),"",計算結果!N108))</f>
        <v/>
      </c>
      <c r="O108" s="13" t="str">
        <f>IF(IF(ISNA(計算結果!O108),"",計算結果!O108)=0,"",IF(ISNA(計算結果!O108),"",計算結果!O108))</f>
        <v/>
      </c>
      <c r="P108" s="10" t="str">
        <f>IF(IF(ISNA(計算結果!P108),"",計算結果!P108)=0,"",IF(ISNA(計算結果!P108),"",計算結果!P108))</f>
        <v/>
      </c>
      <c r="Q108" s="10" t="str">
        <f>IF(IF(ISNA(計算結果!Q108),"",計算結果!Q108)=0,"",IF(ISNA(計算結果!Q108),"",計算結果!Q108))</f>
        <v/>
      </c>
      <c r="R108" s="14" t="str">
        <f t="shared" si="3"/>
        <v/>
      </c>
      <c r="S108" s="14" t="str">
        <f t="shared" si="4"/>
        <v>◯</v>
      </c>
      <c r="T108" s="14" t="str">
        <f t="shared" si="5"/>
        <v/>
      </c>
    </row>
    <row r="109" spans="1:20" hidden="1" x14ac:dyDescent="0.45">
      <c r="A109" s="10" t="str">
        <f>IF(IF(ISNA(計算結果!A109),"",計算結果!A109)=0,"",IF(ISNA(計算結果!A109),"",計算結果!A109))</f>
        <v/>
      </c>
      <c r="B109" s="10" t="str">
        <f>IF(IF(ISNA(計算結果!B109),"",計算結果!B109)=0,"",IF(ISNA(計算結果!B109),"",計算結果!B109))</f>
        <v/>
      </c>
      <c r="C109" s="10" t="str">
        <f>IF(IF(ISNA(計算結果!C109),"",計算結果!C109)=0,"",IF(ISNA(計算結果!C109),"",計算結果!C109))</f>
        <v/>
      </c>
      <c r="D109" s="10" t="str">
        <f>IF(IF(ISNA(計算結果!D109),"",計算結果!D109)=0,"",IF(ISNA(計算結果!D109),"",計算結果!D109))</f>
        <v>L</v>
      </c>
      <c r="E109" s="10" t="str">
        <f>IF(IF(ISNA(計算結果!E109),"",計算結果!E109)=0,"",IF(ISNA(計算結果!E109),"",計算結果!E109))</f>
        <v/>
      </c>
      <c r="F109" s="10" t="str">
        <f>IF(IF(ISNA(計算結果!F109),"",計算結果!F109)=0,"",IF(ISNA(計算結果!F109),"",計算結果!F109))</f>
        <v/>
      </c>
      <c r="G109" s="10" t="str">
        <f>IF(IF(ISNA(計算結果!G109),"",計算結果!G109)=0,"",IF(ISNA(計算結果!G109),"",計算結果!G109))</f>
        <v/>
      </c>
      <c r="H109" s="13">
        <f>IF(IF(ISNA(計算結果!H109),"",計算結果!H109)=0,"",IF(ISNA(計算結果!H109),"",計算結果!H109))</f>
        <v>-2</v>
      </c>
      <c r="I109" s="12" t="str">
        <f>IF(IF(ISNA(計算結果!I109),"",計算結果!I109)=0,"",IF(ISNA(計算結果!I109),"",計算結果!I109))</f>
        <v/>
      </c>
      <c r="J109" s="12" t="str">
        <f>IF(IF(ISNA(計算結果!J109),"",計算結果!J109)=0,"",IF(ISNA(計算結果!J109),"",計算結果!J109))</f>
        <v/>
      </c>
      <c r="K109" s="23" t="str">
        <f>IF(IF(ISNA(計算結果!K109),"",計算結果!K109)=0,"",IF(ISNA(計算結果!K109),"",計算結果!K109))</f>
        <v/>
      </c>
      <c r="L109" s="13" t="str">
        <f>IF(IF(ISNA(計算結果!L109),"",計算結果!L109)=0,"",IF(ISNA(計算結果!L109),"",計算結果!L109))</f>
        <v/>
      </c>
      <c r="M109" s="10" t="str">
        <f>IF(IF(ISNA(計算結果!M109),"",計算結果!M109)=0,"",IF(ISNA(計算結果!M109),"",計算結果!M109))</f>
        <v/>
      </c>
      <c r="N109" s="10" t="str">
        <f>IF(IF(ISNA(計算結果!N109),"",計算結果!N109)=0,"",IF(ISNA(計算結果!N109),"",計算結果!N109))</f>
        <v/>
      </c>
      <c r="O109" s="13" t="str">
        <f>IF(IF(ISNA(計算結果!O109),"",計算結果!O109)=0,"",IF(ISNA(計算結果!O109),"",計算結果!O109))</f>
        <v/>
      </c>
      <c r="P109" s="10" t="str">
        <f>IF(IF(ISNA(計算結果!P109),"",計算結果!P109)=0,"",IF(ISNA(計算結果!P109),"",計算結果!P109))</f>
        <v/>
      </c>
      <c r="Q109" s="10" t="str">
        <f>IF(IF(ISNA(計算結果!Q109),"",計算結果!Q109)=0,"",IF(ISNA(計算結果!Q109),"",計算結果!Q109))</f>
        <v/>
      </c>
      <c r="R109" s="14" t="str">
        <f t="shared" si="3"/>
        <v/>
      </c>
      <c r="S109" s="14" t="str">
        <f t="shared" si="4"/>
        <v>◯</v>
      </c>
      <c r="T109" s="14" t="str">
        <f t="shared" si="5"/>
        <v/>
      </c>
    </row>
    <row r="110" spans="1:20" hidden="1" x14ac:dyDescent="0.45">
      <c r="A110" s="10" t="str">
        <f>IF(IF(ISNA(計算結果!A110),"",計算結果!A110)=0,"",IF(ISNA(計算結果!A110),"",計算結果!A110))</f>
        <v/>
      </c>
      <c r="B110" s="10" t="str">
        <f>IF(IF(ISNA(計算結果!B110),"",計算結果!B110)=0,"",IF(ISNA(計算結果!B110),"",計算結果!B110))</f>
        <v/>
      </c>
      <c r="C110" s="10" t="str">
        <f>IF(IF(ISNA(計算結果!C110),"",計算結果!C110)=0,"",IF(ISNA(計算結果!C110),"",計算結果!C110))</f>
        <v/>
      </c>
      <c r="D110" s="10" t="str">
        <f>IF(IF(ISNA(計算結果!D110),"",計算結果!D110)=0,"",IF(ISNA(計算結果!D110),"",計算結果!D110))</f>
        <v>L</v>
      </c>
      <c r="E110" s="10" t="str">
        <f>IF(IF(ISNA(計算結果!E110),"",計算結果!E110)=0,"",IF(ISNA(計算結果!E110),"",計算結果!E110))</f>
        <v/>
      </c>
      <c r="F110" s="10" t="str">
        <f>IF(IF(ISNA(計算結果!F110),"",計算結果!F110)=0,"",IF(ISNA(計算結果!F110),"",計算結果!F110))</f>
        <v/>
      </c>
      <c r="G110" s="10" t="str">
        <f>IF(IF(ISNA(計算結果!G110),"",計算結果!G110)=0,"",IF(ISNA(計算結果!G110),"",計算結果!G110))</f>
        <v/>
      </c>
      <c r="H110" s="13">
        <f>IF(IF(ISNA(計算結果!H110),"",計算結果!H110)=0,"",IF(ISNA(計算結果!H110),"",計算結果!H110))</f>
        <v>-2</v>
      </c>
      <c r="I110" s="12" t="str">
        <f>IF(IF(ISNA(計算結果!I110),"",計算結果!I110)=0,"",IF(ISNA(計算結果!I110),"",計算結果!I110))</f>
        <v/>
      </c>
      <c r="J110" s="12" t="str">
        <f>IF(IF(ISNA(計算結果!J110),"",計算結果!J110)=0,"",IF(ISNA(計算結果!J110),"",計算結果!J110))</f>
        <v/>
      </c>
      <c r="K110" s="23" t="str">
        <f>IF(IF(ISNA(計算結果!K110),"",計算結果!K110)=0,"",IF(ISNA(計算結果!K110),"",計算結果!K110))</f>
        <v/>
      </c>
      <c r="L110" s="13" t="str">
        <f>IF(IF(ISNA(計算結果!L110),"",計算結果!L110)=0,"",IF(ISNA(計算結果!L110),"",計算結果!L110))</f>
        <v/>
      </c>
      <c r="M110" s="10" t="str">
        <f>IF(IF(ISNA(計算結果!M110),"",計算結果!M110)=0,"",IF(ISNA(計算結果!M110),"",計算結果!M110))</f>
        <v/>
      </c>
      <c r="N110" s="10" t="str">
        <f>IF(IF(ISNA(計算結果!N110),"",計算結果!N110)=0,"",IF(ISNA(計算結果!N110),"",計算結果!N110))</f>
        <v/>
      </c>
      <c r="O110" s="13" t="str">
        <f>IF(IF(ISNA(計算結果!O110),"",計算結果!O110)=0,"",IF(ISNA(計算結果!O110),"",計算結果!O110))</f>
        <v/>
      </c>
      <c r="P110" s="10" t="str">
        <f>IF(IF(ISNA(計算結果!P110),"",計算結果!P110)=0,"",IF(ISNA(計算結果!P110),"",計算結果!P110))</f>
        <v/>
      </c>
      <c r="Q110" s="10" t="str">
        <f>IF(IF(ISNA(計算結果!Q110),"",計算結果!Q110)=0,"",IF(ISNA(計算結果!Q110),"",計算結果!Q110))</f>
        <v/>
      </c>
      <c r="R110" s="14" t="str">
        <f t="shared" si="3"/>
        <v/>
      </c>
      <c r="S110" s="14" t="str">
        <f t="shared" si="4"/>
        <v>◯</v>
      </c>
      <c r="T110" s="14" t="str">
        <f t="shared" si="5"/>
        <v/>
      </c>
    </row>
    <row r="111" spans="1:20" hidden="1" x14ac:dyDescent="0.45">
      <c r="A111" s="10" t="str">
        <f>IF(IF(ISNA(計算結果!A111),"",計算結果!A111)=0,"",IF(ISNA(計算結果!A111),"",計算結果!A111))</f>
        <v/>
      </c>
      <c r="B111" s="10" t="str">
        <f>IF(IF(ISNA(計算結果!B111),"",計算結果!B111)=0,"",IF(ISNA(計算結果!B111),"",計算結果!B111))</f>
        <v/>
      </c>
      <c r="C111" s="10" t="str">
        <f>IF(IF(ISNA(計算結果!C111),"",計算結果!C111)=0,"",IF(ISNA(計算結果!C111),"",計算結果!C111))</f>
        <v/>
      </c>
      <c r="D111" s="10" t="str">
        <f>IF(IF(ISNA(計算結果!D111),"",計算結果!D111)=0,"",IF(ISNA(計算結果!D111),"",計算結果!D111))</f>
        <v>L</v>
      </c>
      <c r="E111" s="10" t="str">
        <f>IF(IF(ISNA(計算結果!E111),"",計算結果!E111)=0,"",IF(ISNA(計算結果!E111),"",計算結果!E111))</f>
        <v/>
      </c>
      <c r="F111" s="10" t="str">
        <f>IF(IF(ISNA(計算結果!F111),"",計算結果!F111)=0,"",IF(ISNA(計算結果!F111),"",計算結果!F111))</f>
        <v/>
      </c>
      <c r="G111" s="10" t="str">
        <f>IF(IF(ISNA(計算結果!G111),"",計算結果!G111)=0,"",IF(ISNA(計算結果!G111),"",計算結果!G111))</f>
        <v/>
      </c>
      <c r="H111" s="13">
        <f>IF(IF(ISNA(計算結果!H111),"",計算結果!H111)=0,"",IF(ISNA(計算結果!H111),"",計算結果!H111))</f>
        <v>-2</v>
      </c>
      <c r="I111" s="12" t="str">
        <f>IF(IF(ISNA(計算結果!I111),"",計算結果!I111)=0,"",IF(ISNA(計算結果!I111),"",計算結果!I111))</f>
        <v/>
      </c>
      <c r="J111" s="12" t="str">
        <f>IF(IF(ISNA(計算結果!J111),"",計算結果!J111)=0,"",IF(ISNA(計算結果!J111),"",計算結果!J111))</f>
        <v/>
      </c>
      <c r="K111" s="23" t="str">
        <f>IF(IF(ISNA(計算結果!K111),"",計算結果!K111)=0,"",IF(ISNA(計算結果!K111),"",計算結果!K111))</f>
        <v/>
      </c>
      <c r="L111" s="13" t="str">
        <f>IF(IF(ISNA(計算結果!L111),"",計算結果!L111)=0,"",IF(ISNA(計算結果!L111),"",計算結果!L111))</f>
        <v/>
      </c>
      <c r="M111" s="10" t="str">
        <f>IF(IF(ISNA(計算結果!M111),"",計算結果!M111)=0,"",IF(ISNA(計算結果!M111),"",計算結果!M111))</f>
        <v/>
      </c>
      <c r="N111" s="10" t="str">
        <f>IF(IF(ISNA(計算結果!N111),"",計算結果!N111)=0,"",IF(ISNA(計算結果!N111),"",計算結果!N111))</f>
        <v/>
      </c>
      <c r="O111" s="13" t="str">
        <f>IF(IF(ISNA(計算結果!O111),"",計算結果!O111)=0,"",IF(ISNA(計算結果!O111),"",計算結果!O111))</f>
        <v/>
      </c>
      <c r="P111" s="10" t="str">
        <f>IF(IF(ISNA(計算結果!P111),"",計算結果!P111)=0,"",IF(ISNA(計算結果!P111),"",計算結果!P111))</f>
        <v/>
      </c>
      <c r="Q111" s="10" t="str">
        <f>IF(IF(ISNA(計算結果!Q111),"",計算結果!Q111)=0,"",IF(ISNA(計算結果!Q111),"",計算結果!Q111))</f>
        <v/>
      </c>
      <c r="R111" s="14" t="str">
        <f t="shared" si="3"/>
        <v/>
      </c>
      <c r="S111" s="14" t="str">
        <f t="shared" si="4"/>
        <v>◯</v>
      </c>
      <c r="T111" s="14" t="str">
        <f t="shared" si="5"/>
        <v/>
      </c>
    </row>
    <row r="112" spans="1:20" hidden="1" x14ac:dyDescent="0.45">
      <c r="A112" s="10" t="str">
        <f>IF(IF(ISNA(計算結果!A112),"",計算結果!A112)=0,"",IF(ISNA(計算結果!A112),"",計算結果!A112))</f>
        <v/>
      </c>
      <c r="B112" s="10" t="str">
        <f>IF(IF(ISNA(計算結果!B112),"",計算結果!B112)=0,"",IF(ISNA(計算結果!B112),"",計算結果!B112))</f>
        <v/>
      </c>
      <c r="C112" s="10" t="str">
        <f>IF(IF(ISNA(計算結果!C112),"",計算結果!C112)=0,"",IF(ISNA(計算結果!C112),"",計算結果!C112))</f>
        <v/>
      </c>
      <c r="D112" s="10" t="str">
        <f>IF(IF(ISNA(計算結果!D112),"",計算結果!D112)=0,"",IF(ISNA(計算結果!D112),"",計算結果!D112))</f>
        <v>L</v>
      </c>
      <c r="E112" s="10" t="str">
        <f>IF(IF(ISNA(計算結果!E112),"",計算結果!E112)=0,"",IF(ISNA(計算結果!E112),"",計算結果!E112))</f>
        <v/>
      </c>
      <c r="F112" s="10" t="str">
        <f>IF(IF(ISNA(計算結果!F112),"",計算結果!F112)=0,"",IF(ISNA(計算結果!F112),"",計算結果!F112))</f>
        <v/>
      </c>
      <c r="G112" s="10" t="str">
        <f>IF(IF(ISNA(計算結果!G112),"",計算結果!G112)=0,"",IF(ISNA(計算結果!G112),"",計算結果!G112))</f>
        <v/>
      </c>
      <c r="H112" s="13">
        <f>IF(IF(ISNA(計算結果!H112),"",計算結果!H112)=0,"",IF(ISNA(計算結果!H112),"",計算結果!H112))</f>
        <v>-2</v>
      </c>
      <c r="I112" s="12" t="str">
        <f>IF(IF(ISNA(計算結果!I112),"",計算結果!I112)=0,"",IF(ISNA(計算結果!I112),"",計算結果!I112))</f>
        <v/>
      </c>
      <c r="J112" s="12" t="str">
        <f>IF(IF(ISNA(計算結果!J112),"",計算結果!J112)=0,"",IF(ISNA(計算結果!J112),"",計算結果!J112))</f>
        <v/>
      </c>
      <c r="K112" s="23" t="str">
        <f>IF(IF(ISNA(計算結果!K112),"",計算結果!K112)=0,"",IF(ISNA(計算結果!K112),"",計算結果!K112))</f>
        <v/>
      </c>
      <c r="L112" s="13" t="str">
        <f>IF(IF(ISNA(計算結果!L112),"",計算結果!L112)=0,"",IF(ISNA(計算結果!L112),"",計算結果!L112))</f>
        <v/>
      </c>
      <c r="M112" s="10" t="str">
        <f>IF(IF(ISNA(計算結果!M112),"",計算結果!M112)=0,"",IF(ISNA(計算結果!M112),"",計算結果!M112))</f>
        <v/>
      </c>
      <c r="N112" s="10" t="str">
        <f>IF(IF(ISNA(計算結果!N112),"",計算結果!N112)=0,"",IF(ISNA(計算結果!N112),"",計算結果!N112))</f>
        <v/>
      </c>
      <c r="O112" s="13" t="str">
        <f>IF(IF(ISNA(計算結果!O112),"",計算結果!O112)=0,"",IF(ISNA(計算結果!O112),"",計算結果!O112))</f>
        <v/>
      </c>
      <c r="P112" s="10" t="str">
        <f>IF(IF(ISNA(計算結果!P112),"",計算結果!P112)=0,"",IF(ISNA(計算結果!P112),"",計算結果!P112))</f>
        <v/>
      </c>
      <c r="Q112" s="10" t="str">
        <f>IF(IF(ISNA(計算結果!Q112),"",計算結果!Q112)=0,"",IF(ISNA(計算結果!Q112),"",計算結果!Q112))</f>
        <v/>
      </c>
      <c r="R112" s="14" t="str">
        <f t="shared" si="3"/>
        <v/>
      </c>
      <c r="S112" s="14" t="str">
        <f t="shared" si="4"/>
        <v>◯</v>
      </c>
      <c r="T112" s="14" t="str">
        <f t="shared" si="5"/>
        <v/>
      </c>
    </row>
    <row r="113" spans="1:20" hidden="1" x14ac:dyDescent="0.45">
      <c r="A113" s="10" t="str">
        <f>IF(IF(ISNA(計算結果!A113),"",計算結果!A113)=0,"",IF(ISNA(計算結果!A113),"",計算結果!A113))</f>
        <v/>
      </c>
      <c r="B113" s="10" t="str">
        <f>IF(IF(ISNA(計算結果!B113),"",計算結果!B113)=0,"",IF(ISNA(計算結果!B113),"",計算結果!B113))</f>
        <v/>
      </c>
      <c r="C113" s="10" t="str">
        <f>IF(IF(ISNA(計算結果!C113),"",計算結果!C113)=0,"",IF(ISNA(計算結果!C113),"",計算結果!C113))</f>
        <v/>
      </c>
      <c r="D113" s="10" t="str">
        <f>IF(IF(ISNA(計算結果!D113),"",計算結果!D113)=0,"",IF(ISNA(計算結果!D113),"",計算結果!D113))</f>
        <v>L</v>
      </c>
      <c r="E113" s="10" t="str">
        <f>IF(IF(ISNA(計算結果!E113),"",計算結果!E113)=0,"",IF(ISNA(計算結果!E113),"",計算結果!E113))</f>
        <v/>
      </c>
      <c r="F113" s="10" t="str">
        <f>IF(IF(ISNA(計算結果!F113),"",計算結果!F113)=0,"",IF(ISNA(計算結果!F113),"",計算結果!F113))</f>
        <v/>
      </c>
      <c r="G113" s="10" t="str">
        <f>IF(IF(ISNA(計算結果!G113),"",計算結果!G113)=0,"",IF(ISNA(計算結果!G113),"",計算結果!G113))</f>
        <v/>
      </c>
      <c r="H113" s="13">
        <f>IF(IF(ISNA(計算結果!H113),"",計算結果!H113)=0,"",IF(ISNA(計算結果!H113),"",計算結果!H113))</f>
        <v>-2</v>
      </c>
      <c r="I113" s="12" t="str">
        <f>IF(IF(ISNA(計算結果!I113),"",計算結果!I113)=0,"",IF(ISNA(計算結果!I113),"",計算結果!I113))</f>
        <v/>
      </c>
      <c r="J113" s="12" t="str">
        <f>IF(IF(ISNA(計算結果!J113),"",計算結果!J113)=0,"",IF(ISNA(計算結果!J113),"",計算結果!J113))</f>
        <v/>
      </c>
      <c r="K113" s="23" t="str">
        <f>IF(IF(ISNA(計算結果!K113),"",計算結果!K113)=0,"",IF(ISNA(計算結果!K113),"",計算結果!K113))</f>
        <v/>
      </c>
      <c r="L113" s="13" t="str">
        <f>IF(IF(ISNA(計算結果!L113),"",計算結果!L113)=0,"",IF(ISNA(計算結果!L113),"",計算結果!L113))</f>
        <v/>
      </c>
      <c r="M113" s="10" t="str">
        <f>IF(IF(ISNA(計算結果!M113),"",計算結果!M113)=0,"",IF(ISNA(計算結果!M113),"",計算結果!M113))</f>
        <v/>
      </c>
      <c r="N113" s="10" t="str">
        <f>IF(IF(ISNA(計算結果!N113),"",計算結果!N113)=0,"",IF(ISNA(計算結果!N113),"",計算結果!N113))</f>
        <v/>
      </c>
      <c r="O113" s="13" t="str">
        <f>IF(IF(ISNA(計算結果!O113),"",計算結果!O113)=0,"",IF(ISNA(計算結果!O113),"",計算結果!O113))</f>
        <v/>
      </c>
      <c r="P113" s="10" t="str">
        <f>IF(IF(ISNA(計算結果!P113),"",計算結果!P113)=0,"",IF(ISNA(計算結果!P113),"",計算結果!P113))</f>
        <v/>
      </c>
      <c r="Q113" s="10" t="str">
        <f>IF(IF(ISNA(計算結果!Q113),"",計算結果!Q113)=0,"",IF(ISNA(計算結果!Q113),"",計算結果!Q113))</f>
        <v/>
      </c>
      <c r="R113" s="14" t="str">
        <f t="shared" si="3"/>
        <v/>
      </c>
      <c r="S113" s="14" t="str">
        <f t="shared" si="4"/>
        <v>◯</v>
      </c>
      <c r="T113" s="14" t="str">
        <f t="shared" si="5"/>
        <v/>
      </c>
    </row>
    <row r="114" spans="1:20" hidden="1" x14ac:dyDescent="0.45">
      <c r="A114" s="10" t="str">
        <f>IF(IF(ISNA(計算結果!A114),"",計算結果!A114)=0,"",IF(ISNA(計算結果!A114),"",計算結果!A114))</f>
        <v/>
      </c>
      <c r="B114" s="10" t="str">
        <f>IF(IF(ISNA(計算結果!B114),"",計算結果!B114)=0,"",IF(ISNA(計算結果!B114),"",計算結果!B114))</f>
        <v/>
      </c>
      <c r="C114" s="10" t="str">
        <f>IF(IF(ISNA(計算結果!C114),"",計算結果!C114)=0,"",IF(ISNA(計算結果!C114),"",計算結果!C114))</f>
        <v/>
      </c>
      <c r="D114" s="10" t="str">
        <f>IF(IF(ISNA(計算結果!D114),"",計算結果!D114)=0,"",IF(ISNA(計算結果!D114),"",計算結果!D114))</f>
        <v>L</v>
      </c>
      <c r="E114" s="10" t="str">
        <f>IF(IF(ISNA(計算結果!E114),"",計算結果!E114)=0,"",IF(ISNA(計算結果!E114),"",計算結果!E114))</f>
        <v/>
      </c>
      <c r="F114" s="10" t="str">
        <f>IF(IF(ISNA(計算結果!F114),"",計算結果!F114)=0,"",IF(ISNA(計算結果!F114),"",計算結果!F114))</f>
        <v/>
      </c>
      <c r="G114" s="10" t="str">
        <f>IF(IF(ISNA(計算結果!G114),"",計算結果!G114)=0,"",IF(ISNA(計算結果!G114),"",計算結果!G114))</f>
        <v/>
      </c>
      <c r="H114" s="13">
        <f>IF(IF(ISNA(計算結果!H114),"",計算結果!H114)=0,"",IF(ISNA(計算結果!H114),"",計算結果!H114))</f>
        <v>-2</v>
      </c>
      <c r="I114" s="12" t="str">
        <f>IF(IF(ISNA(計算結果!I114),"",計算結果!I114)=0,"",IF(ISNA(計算結果!I114),"",計算結果!I114))</f>
        <v/>
      </c>
      <c r="J114" s="12" t="str">
        <f>IF(IF(ISNA(計算結果!J114),"",計算結果!J114)=0,"",IF(ISNA(計算結果!J114),"",計算結果!J114))</f>
        <v/>
      </c>
      <c r="K114" s="23" t="str">
        <f>IF(IF(ISNA(計算結果!K114),"",計算結果!K114)=0,"",IF(ISNA(計算結果!K114),"",計算結果!K114))</f>
        <v/>
      </c>
      <c r="L114" s="13" t="str">
        <f>IF(IF(ISNA(計算結果!L114),"",計算結果!L114)=0,"",IF(ISNA(計算結果!L114),"",計算結果!L114))</f>
        <v/>
      </c>
      <c r="M114" s="10" t="str">
        <f>IF(IF(ISNA(計算結果!M114),"",計算結果!M114)=0,"",IF(ISNA(計算結果!M114),"",計算結果!M114))</f>
        <v/>
      </c>
      <c r="N114" s="10" t="str">
        <f>IF(IF(ISNA(計算結果!N114),"",計算結果!N114)=0,"",IF(ISNA(計算結果!N114),"",計算結果!N114))</f>
        <v/>
      </c>
      <c r="O114" s="13" t="str">
        <f>IF(IF(ISNA(計算結果!O114),"",計算結果!O114)=0,"",IF(ISNA(計算結果!O114),"",計算結果!O114))</f>
        <v/>
      </c>
      <c r="P114" s="10" t="str">
        <f>IF(IF(ISNA(計算結果!P114),"",計算結果!P114)=0,"",IF(ISNA(計算結果!P114),"",計算結果!P114))</f>
        <v/>
      </c>
      <c r="Q114" s="10" t="str">
        <f>IF(IF(ISNA(計算結果!Q114),"",計算結果!Q114)=0,"",IF(ISNA(計算結果!Q114),"",計算結果!Q114))</f>
        <v/>
      </c>
      <c r="R114" s="14" t="str">
        <f t="shared" si="3"/>
        <v/>
      </c>
      <c r="S114" s="14" t="str">
        <f t="shared" si="4"/>
        <v>◯</v>
      </c>
      <c r="T114" s="14" t="str">
        <f t="shared" si="5"/>
        <v/>
      </c>
    </row>
    <row r="115" spans="1:20" hidden="1" x14ac:dyDescent="0.45">
      <c r="A115" s="10" t="str">
        <f>IF(IF(ISNA(計算結果!A115),"",計算結果!A115)=0,"",IF(ISNA(計算結果!A115),"",計算結果!A115))</f>
        <v/>
      </c>
      <c r="B115" s="10" t="str">
        <f>IF(IF(ISNA(計算結果!B115),"",計算結果!B115)=0,"",IF(ISNA(計算結果!B115),"",計算結果!B115))</f>
        <v/>
      </c>
      <c r="C115" s="10" t="str">
        <f>IF(IF(ISNA(計算結果!C115),"",計算結果!C115)=0,"",IF(ISNA(計算結果!C115),"",計算結果!C115))</f>
        <v/>
      </c>
      <c r="D115" s="10" t="str">
        <f>IF(IF(ISNA(計算結果!D115),"",計算結果!D115)=0,"",IF(ISNA(計算結果!D115),"",計算結果!D115))</f>
        <v>L</v>
      </c>
      <c r="E115" s="10" t="str">
        <f>IF(IF(ISNA(計算結果!E115),"",計算結果!E115)=0,"",IF(ISNA(計算結果!E115),"",計算結果!E115))</f>
        <v/>
      </c>
      <c r="F115" s="10" t="str">
        <f>IF(IF(ISNA(計算結果!F115),"",計算結果!F115)=0,"",IF(ISNA(計算結果!F115),"",計算結果!F115))</f>
        <v/>
      </c>
      <c r="G115" s="10" t="str">
        <f>IF(IF(ISNA(計算結果!G115),"",計算結果!G115)=0,"",IF(ISNA(計算結果!G115),"",計算結果!G115))</f>
        <v/>
      </c>
      <c r="H115" s="13">
        <f>IF(IF(ISNA(計算結果!H115),"",計算結果!H115)=0,"",IF(ISNA(計算結果!H115),"",計算結果!H115))</f>
        <v>-2</v>
      </c>
      <c r="I115" s="12" t="str">
        <f>IF(IF(ISNA(計算結果!I115),"",計算結果!I115)=0,"",IF(ISNA(計算結果!I115),"",計算結果!I115))</f>
        <v/>
      </c>
      <c r="J115" s="12" t="str">
        <f>IF(IF(ISNA(計算結果!J115),"",計算結果!J115)=0,"",IF(ISNA(計算結果!J115),"",計算結果!J115))</f>
        <v/>
      </c>
      <c r="K115" s="23" t="str">
        <f>IF(IF(ISNA(計算結果!K115),"",計算結果!K115)=0,"",IF(ISNA(計算結果!K115),"",計算結果!K115))</f>
        <v/>
      </c>
      <c r="L115" s="13" t="str">
        <f>IF(IF(ISNA(計算結果!L115),"",計算結果!L115)=0,"",IF(ISNA(計算結果!L115),"",計算結果!L115))</f>
        <v/>
      </c>
      <c r="M115" s="10" t="str">
        <f>IF(IF(ISNA(計算結果!M115),"",計算結果!M115)=0,"",IF(ISNA(計算結果!M115),"",計算結果!M115))</f>
        <v/>
      </c>
      <c r="N115" s="10" t="str">
        <f>IF(IF(ISNA(計算結果!N115),"",計算結果!N115)=0,"",IF(ISNA(計算結果!N115),"",計算結果!N115))</f>
        <v/>
      </c>
      <c r="O115" s="13" t="str">
        <f>IF(IF(ISNA(計算結果!O115),"",計算結果!O115)=0,"",IF(ISNA(計算結果!O115),"",計算結果!O115))</f>
        <v/>
      </c>
      <c r="P115" s="10" t="str">
        <f>IF(IF(ISNA(計算結果!P115),"",計算結果!P115)=0,"",IF(ISNA(計算結果!P115),"",計算結果!P115))</f>
        <v/>
      </c>
      <c r="Q115" s="10" t="str">
        <f>IF(IF(ISNA(計算結果!Q115),"",計算結果!Q115)=0,"",IF(ISNA(計算結果!Q115),"",計算結果!Q115))</f>
        <v/>
      </c>
      <c r="R115" s="14" t="str">
        <f t="shared" si="3"/>
        <v/>
      </c>
      <c r="S115" s="14" t="str">
        <f t="shared" si="4"/>
        <v>◯</v>
      </c>
      <c r="T115" s="14" t="str">
        <f t="shared" si="5"/>
        <v/>
      </c>
    </row>
    <row r="116" spans="1:20" hidden="1" x14ac:dyDescent="0.45">
      <c r="A116" s="10" t="str">
        <f>IF(IF(ISNA(計算結果!A116),"",計算結果!A116)=0,"",IF(ISNA(計算結果!A116),"",計算結果!A116))</f>
        <v/>
      </c>
      <c r="B116" s="10" t="str">
        <f>IF(IF(ISNA(計算結果!B116),"",計算結果!B116)=0,"",IF(ISNA(計算結果!B116),"",計算結果!B116))</f>
        <v/>
      </c>
      <c r="C116" s="10" t="str">
        <f>IF(IF(ISNA(計算結果!C116),"",計算結果!C116)=0,"",IF(ISNA(計算結果!C116),"",計算結果!C116))</f>
        <v/>
      </c>
      <c r="D116" s="10" t="str">
        <f>IF(IF(ISNA(計算結果!D116),"",計算結果!D116)=0,"",IF(ISNA(計算結果!D116),"",計算結果!D116))</f>
        <v>L</v>
      </c>
      <c r="E116" s="10" t="str">
        <f>IF(IF(ISNA(計算結果!E116),"",計算結果!E116)=0,"",IF(ISNA(計算結果!E116),"",計算結果!E116))</f>
        <v/>
      </c>
      <c r="F116" s="10" t="str">
        <f>IF(IF(ISNA(計算結果!F116),"",計算結果!F116)=0,"",IF(ISNA(計算結果!F116),"",計算結果!F116))</f>
        <v/>
      </c>
      <c r="G116" s="10" t="str">
        <f>IF(IF(ISNA(計算結果!G116),"",計算結果!G116)=0,"",IF(ISNA(計算結果!G116),"",計算結果!G116))</f>
        <v/>
      </c>
      <c r="H116" s="13">
        <f>IF(IF(ISNA(計算結果!H116),"",計算結果!H116)=0,"",IF(ISNA(計算結果!H116),"",計算結果!H116))</f>
        <v>-2</v>
      </c>
      <c r="I116" s="12" t="str">
        <f>IF(IF(ISNA(計算結果!I116),"",計算結果!I116)=0,"",IF(ISNA(計算結果!I116),"",計算結果!I116))</f>
        <v/>
      </c>
      <c r="J116" s="12" t="str">
        <f>IF(IF(ISNA(計算結果!J116),"",計算結果!J116)=0,"",IF(ISNA(計算結果!J116),"",計算結果!J116))</f>
        <v/>
      </c>
      <c r="K116" s="23" t="str">
        <f>IF(IF(ISNA(計算結果!K116),"",計算結果!K116)=0,"",IF(ISNA(計算結果!K116),"",計算結果!K116))</f>
        <v/>
      </c>
      <c r="L116" s="13" t="str">
        <f>IF(IF(ISNA(計算結果!L116),"",計算結果!L116)=0,"",IF(ISNA(計算結果!L116),"",計算結果!L116))</f>
        <v/>
      </c>
      <c r="M116" s="10" t="str">
        <f>IF(IF(ISNA(計算結果!M116),"",計算結果!M116)=0,"",IF(ISNA(計算結果!M116),"",計算結果!M116))</f>
        <v/>
      </c>
      <c r="N116" s="10" t="str">
        <f>IF(IF(ISNA(計算結果!N116),"",計算結果!N116)=0,"",IF(ISNA(計算結果!N116),"",計算結果!N116))</f>
        <v/>
      </c>
      <c r="O116" s="13" t="str">
        <f>IF(IF(ISNA(計算結果!O116),"",計算結果!O116)=0,"",IF(ISNA(計算結果!O116),"",計算結果!O116))</f>
        <v/>
      </c>
      <c r="P116" s="10" t="str">
        <f>IF(IF(ISNA(計算結果!P116),"",計算結果!P116)=0,"",IF(ISNA(計算結果!P116),"",計算結果!P116))</f>
        <v/>
      </c>
      <c r="Q116" s="10" t="str">
        <f>IF(IF(ISNA(計算結果!Q116),"",計算結果!Q116)=0,"",IF(ISNA(計算結果!Q116),"",計算結果!Q116))</f>
        <v/>
      </c>
      <c r="R116" s="14" t="str">
        <f t="shared" si="3"/>
        <v/>
      </c>
      <c r="S116" s="14" t="str">
        <f t="shared" si="4"/>
        <v>◯</v>
      </c>
      <c r="T116" s="14" t="str">
        <f t="shared" si="5"/>
        <v/>
      </c>
    </row>
    <row r="117" spans="1:20" hidden="1" x14ac:dyDescent="0.45">
      <c r="A117" s="10" t="str">
        <f>IF(IF(ISNA(計算結果!A117),"",計算結果!A117)=0,"",IF(ISNA(計算結果!A117),"",計算結果!A117))</f>
        <v/>
      </c>
      <c r="B117" s="10" t="str">
        <f>IF(IF(ISNA(計算結果!B117),"",計算結果!B117)=0,"",IF(ISNA(計算結果!B117),"",計算結果!B117))</f>
        <v/>
      </c>
      <c r="C117" s="10" t="str">
        <f>IF(IF(ISNA(計算結果!C117),"",計算結果!C117)=0,"",IF(ISNA(計算結果!C117),"",計算結果!C117))</f>
        <v/>
      </c>
      <c r="D117" s="10" t="str">
        <f>IF(IF(ISNA(計算結果!D117),"",計算結果!D117)=0,"",IF(ISNA(計算結果!D117),"",計算結果!D117))</f>
        <v>L</v>
      </c>
      <c r="E117" s="10" t="str">
        <f>IF(IF(ISNA(計算結果!E117),"",計算結果!E117)=0,"",IF(ISNA(計算結果!E117),"",計算結果!E117))</f>
        <v/>
      </c>
      <c r="F117" s="10" t="str">
        <f>IF(IF(ISNA(計算結果!F117),"",計算結果!F117)=0,"",IF(ISNA(計算結果!F117),"",計算結果!F117))</f>
        <v/>
      </c>
      <c r="G117" s="10" t="str">
        <f>IF(IF(ISNA(計算結果!G117),"",計算結果!G117)=0,"",IF(ISNA(計算結果!G117),"",計算結果!G117))</f>
        <v/>
      </c>
      <c r="H117" s="13">
        <f>IF(IF(ISNA(計算結果!H117),"",計算結果!H117)=0,"",IF(ISNA(計算結果!H117),"",計算結果!H117))</f>
        <v>-2</v>
      </c>
      <c r="I117" s="12" t="str">
        <f>IF(IF(ISNA(計算結果!I117),"",計算結果!I117)=0,"",IF(ISNA(計算結果!I117),"",計算結果!I117))</f>
        <v/>
      </c>
      <c r="J117" s="12" t="str">
        <f>IF(IF(ISNA(計算結果!J117),"",計算結果!J117)=0,"",IF(ISNA(計算結果!J117),"",計算結果!J117))</f>
        <v/>
      </c>
      <c r="K117" s="23" t="str">
        <f>IF(IF(ISNA(計算結果!K117),"",計算結果!K117)=0,"",IF(ISNA(計算結果!K117),"",計算結果!K117))</f>
        <v/>
      </c>
      <c r="L117" s="13" t="str">
        <f>IF(IF(ISNA(計算結果!L117),"",計算結果!L117)=0,"",IF(ISNA(計算結果!L117),"",計算結果!L117))</f>
        <v/>
      </c>
      <c r="M117" s="10" t="str">
        <f>IF(IF(ISNA(計算結果!M117),"",計算結果!M117)=0,"",IF(ISNA(計算結果!M117),"",計算結果!M117))</f>
        <v/>
      </c>
      <c r="N117" s="10" t="str">
        <f>IF(IF(ISNA(計算結果!N117),"",計算結果!N117)=0,"",IF(ISNA(計算結果!N117),"",計算結果!N117))</f>
        <v/>
      </c>
      <c r="O117" s="13" t="str">
        <f>IF(IF(ISNA(計算結果!O117),"",計算結果!O117)=0,"",IF(ISNA(計算結果!O117),"",計算結果!O117))</f>
        <v/>
      </c>
      <c r="P117" s="10" t="str">
        <f>IF(IF(ISNA(計算結果!P117),"",計算結果!P117)=0,"",IF(ISNA(計算結果!P117),"",計算結果!P117))</f>
        <v/>
      </c>
      <c r="Q117" s="10" t="str">
        <f>IF(IF(ISNA(計算結果!Q117),"",計算結果!Q117)=0,"",IF(ISNA(計算結果!Q117),"",計算結果!Q117))</f>
        <v/>
      </c>
      <c r="R117" s="14" t="str">
        <f t="shared" si="3"/>
        <v/>
      </c>
      <c r="S117" s="14" t="str">
        <f t="shared" si="4"/>
        <v>◯</v>
      </c>
      <c r="T117" s="14" t="str">
        <f t="shared" si="5"/>
        <v/>
      </c>
    </row>
    <row r="118" spans="1:20" hidden="1" x14ac:dyDescent="0.45">
      <c r="A118" s="10" t="str">
        <f>IF(IF(ISNA(計算結果!A118),"",計算結果!A118)=0,"",IF(ISNA(計算結果!A118),"",計算結果!A118))</f>
        <v/>
      </c>
      <c r="B118" s="10" t="str">
        <f>IF(IF(ISNA(計算結果!B118),"",計算結果!B118)=0,"",IF(ISNA(計算結果!B118),"",計算結果!B118))</f>
        <v/>
      </c>
      <c r="C118" s="10" t="str">
        <f>IF(IF(ISNA(計算結果!C118),"",計算結果!C118)=0,"",IF(ISNA(計算結果!C118),"",計算結果!C118))</f>
        <v/>
      </c>
      <c r="D118" s="10" t="str">
        <f>IF(IF(ISNA(計算結果!D118),"",計算結果!D118)=0,"",IF(ISNA(計算結果!D118),"",計算結果!D118))</f>
        <v>L</v>
      </c>
      <c r="E118" s="10" t="str">
        <f>IF(IF(ISNA(計算結果!E118),"",計算結果!E118)=0,"",IF(ISNA(計算結果!E118),"",計算結果!E118))</f>
        <v/>
      </c>
      <c r="F118" s="10" t="str">
        <f>IF(IF(ISNA(計算結果!F118),"",計算結果!F118)=0,"",IF(ISNA(計算結果!F118),"",計算結果!F118))</f>
        <v/>
      </c>
      <c r="G118" s="10" t="str">
        <f>IF(IF(ISNA(計算結果!G118),"",計算結果!G118)=0,"",IF(ISNA(計算結果!G118),"",計算結果!G118))</f>
        <v/>
      </c>
      <c r="H118" s="13">
        <f>IF(IF(ISNA(計算結果!H118),"",計算結果!H118)=0,"",IF(ISNA(計算結果!H118),"",計算結果!H118))</f>
        <v>-2</v>
      </c>
      <c r="I118" s="12" t="str">
        <f>IF(IF(ISNA(計算結果!I118),"",計算結果!I118)=0,"",IF(ISNA(計算結果!I118),"",計算結果!I118))</f>
        <v/>
      </c>
      <c r="J118" s="12" t="str">
        <f>IF(IF(ISNA(計算結果!J118),"",計算結果!J118)=0,"",IF(ISNA(計算結果!J118),"",計算結果!J118))</f>
        <v/>
      </c>
      <c r="K118" s="23" t="str">
        <f>IF(IF(ISNA(計算結果!K118),"",計算結果!K118)=0,"",IF(ISNA(計算結果!K118),"",計算結果!K118))</f>
        <v/>
      </c>
      <c r="L118" s="13" t="str">
        <f>IF(IF(ISNA(計算結果!L118),"",計算結果!L118)=0,"",IF(ISNA(計算結果!L118),"",計算結果!L118))</f>
        <v/>
      </c>
      <c r="M118" s="10" t="str">
        <f>IF(IF(ISNA(計算結果!M118),"",計算結果!M118)=0,"",IF(ISNA(計算結果!M118),"",計算結果!M118))</f>
        <v/>
      </c>
      <c r="N118" s="10" t="str">
        <f>IF(IF(ISNA(計算結果!N118),"",計算結果!N118)=0,"",IF(ISNA(計算結果!N118),"",計算結果!N118))</f>
        <v/>
      </c>
      <c r="O118" s="13" t="str">
        <f>IF(IF(ISNA(計算結果!O118),"",計算結果!O118)=0,"",IF(ISNA(計算結果!O118),"",計算結果!O118))</f>
        <v/>
      </c>
      <c r="P118" s="10" t="str">
        <f>IF(IF(ISNA(計算結果!P118),"",計算結果!P118)=0,"",IF(ISNA(計算結果!P118),"",計算結果!P118))</f>
        <v/>
      </c>
      <c r="Q118" s="10" t="str">
        <f>IF(IF(ISNA(計算結果!Q118),"",計算結果!Q118)=0,"",IF(ISNA(計算結果!Q118),"",計算結果!Q118))</f>
        <v/>
      </c>
      <c r="R118" s="14" t="str">
        <f t="shared" si="3"/>
        <v/>
      </c>
      <c r="S118" s="14" t="str">
        <f t="shared" si="4"/>
        <v>◯</v>
      </c>
      <c r="T118" s="14" t="str">
        <f t="shared" si="5"/>
        <v/>
      </c>
    </row>
    <row r="119" spans="1:20" hidden="1" x14ac:dyDescent="0.45">
      <c r="A119" s="10" t="str">
        <f>IF(IF(ISNA(計算結果!A119),"",計算結果!A119)=0,"",IF(ISNA(計算結果!A119),"",計算結果!A119))</f>
        <v/>
      </c>
      <c r="B119" s="10" t="str">
        <f>IF(IF(ISNA(計算結果!B119),"",計算結果!B119)=0,"",IF(ISNA(計算結果!B119),"",計算結果!B119))</f>
        <v/>
      </c>
      <c r="C119" s="10" t="str">
        <f>IF(IF(ISNA(計算結果!C119),"",計算結果!C119)=0,"",IF(ISNA(計算結果!C119),"",計算結果!C119))</f>
        <v/>
      </c>
      <c r="D119" s="10" t="str">
        <f>IF(IF(ISNA(計算結果!D119),"",計算結果!D119)=0,"",IF(ISNA(計算結果!D119),"",計算結果!D119))</f>
        <v>L</v>
      </c>
      <c r="E119" s="10" t="str">
        <f>IF(IF(ISNA(計算結果!E119),"",計算結果!E119)=0,"",IF(ISNA(計算結果!E119),"",計算結果!E119))</f>
        <v/>
      </c>
      <c r="F119" s="10" t="str">
        <f>IF(IF(ISNA(計算結果!F119),"",計算結果!F119)=0,"",IF(ISNA(計算結果!F119),"",計算結果!F119))</f>
        <v/>
      </c>
      <c r="G119" s="10" t="str">
        <f>IF(IF(ISNA(計算結果!G119),"",計算結果!G119)=0,"",IF(ISNA(計算結果!G119),"",計算結果!G119))</f>
        <v/>
      </c>
      <c r="H119" s="13">
        <f>IF(IF(ISNA(計算結果!H119),"",計算結果!H119)=0,"",IF(ISNA(計算結果!H119),"",計算結果!H119))</f>
        <v>-2</v>
      </c>
      <c r="I119" s="12" t="str">
        <f>IF(IF(ISNA(計算結果!I119),"",計算結果!I119)=0,"",IF(ISNA(計算結果!I119),"",計算結果!I119))</f>
        <v/>
      </c>
      <c r="J119" s="12" t="str">
        <f>IF(IF(ISNA(計算結果!J119),"",計算結果!J119)=0,"",IF(ISNA(計算結果!J119),"",計算結果!J119))</f>
        <v/>
      </c>
      <c r="K119" s="23" t="str">
        <f>IF(IF(ISNA(計算結果!K119),"",計算結果!K119)=0,"",IF(ISNA(計算結果!K119),"",計算結果!K119))</f>
        <v/>
      </c>
      <c r="L119" s="13" t="str">
        <f>IF(IF(ISNA(計算結果!L119),"",計算結果!L119)=0,"",IF(ISNA(計算結果!L119),"",計算結果!L119))</f>
        <v/>
      </c>
      <c r="M119" s="10" t="str">
        <f>IF(IF(ISNA(計算結果!M119),"",計算結果!M119)=0,"",IF(ISNA(計算結果!M119),"",計算結果!M119))</f>
        <v/>
      </c>
      <c r="N119" s="10" t="str">
        <f>IF(IF(ISNA(計算結果!N119),"",計算結果!N119)=0,"",IF(ISNA(計算結果!N119),"",計算結果!N119))</f>
        <v/>
      </c>
      <c r="O119" s="13" t="str">
        <f>IF(IF(ISNA(計算結果!O119),"",計算結果!O119)=0,"",IF(ISNA(計算結果!O119),"",計算結果!O119))</f>
        <v/>
      </c>
      <c r="P119" s="10" t="str">
        <f>IF(IF(ISNA(計算結果!P119),"",計算結果!P119)=0,"",IF(ISNA(計算結果!P119),"",計算結果!P119))</f>
        <v/>
      </c>
      <c r="Q119" s="10" t="str">
        <f>IF(IF(ISNA(計算結果!Q119),"",計算結果!Q119)=0,"",IF(ISNA(計算結果!Q119),"",計算結果!Q119))</f>
        <v/>
      </c>
      <c r="R119" s="14" t="str">
        <f t="shared" si="3"/>
        <v/>
      </c>
      <c r="S119" s="14" t="str">
        <f t="shared" si="4"/>
        <v>◯</v>
      </c>
      <c r="T119" s="14" t="str">
        <f t="shared" si="5"/>
        <v/>
      </c>
    </row>
    <row r="120" spans="1:20" hidden="1" x14ac:dyDescent="0.45">
      <c r="A120" s="10" t="str">
        <f>IF(IF(ISNA(計算結果!A120),"",計算結果!A120)=0,"",IF(ISNA(計算結果!A120),"",計算結果!A120))</f>
        <v/>
      </c>
      <c r="B120" s="10" t="str">
        <f>IF(IF(ISNA(計算結果!B120),"",計算結果!B120)=0,"",IF(ISNA(計算結果!B120),"",計算結果!B120))</f>
        <v/>
      </c>
      <c r="C120" s="10" t="str">
        <f>IF(IF(ISNA(計算結果!C120),"",計算結果!C120)=0,"",IF(ISNA(計算結果!C120),"",計算結果!C120))</f>
        <v/>
      </c>
      <c r="D120" s="10" t="str">
        <f>IF(IF(ISNA(計算結果!D120),"",計算結果!D120)=0,"",IF(ISNA(計算結果!D120),"",計算結果!D120))</f>
        <v>L</v>
      </c>
      <c r="E120" s="10" t="str">
        <f>IF(IF(ISNA(計算結果!E120),"",計算結果!E120)=0,"",IF(ISNA(計算結果!E120),"",計算結果!E120))</f>
        <v/>
      </c>
      <c r="F120" s="10" t="str">
        <f>IF(IF(ISNA(計算結果!F120),"",計算結果!F120)=0,"",IF(ISNA(計算結果!F120),"",計算結果!F120))</f>
        <v/>
      </c>
      <c r="G120" s="10" t="str">
        <f>IF(IF(ISNA(計算結果!G120),"",計算結果!G120)=0,"",IF(ISNA(計算結果!G120),"",計算結果!G120))</f>
        <v/>
      </c>
      <c r="H120" s="13">
        <f>IF(IF(ISNA(計算結果!H120),"",計算結果!H120)=0,"",IF(ISNA(計算結果!H120),"",計算結果!H120))</f>
        <v>-2</v>
      </c>
      <c r="I120" s="12" t="str">
        <f>IF(IF(ISNA(計算結果!I120),"",計算結果!I120)=0,"",IF(ISNA(計算結果!I120),"",計算結果!I120))</f>
        <v/>
      </c>
      <c r="J120" s="12" t="str">
        <f>IF(IF(ISNA(計算結果!J120),"",計算結果!J120)=0,"",IF(ISNA(計算結果!J120),"",計算結果!J120))</f>
        <v/>
      </c>
      <c r="K120" s="23" t="str">
        <f>IF(IF(ISNA(計算結果!K120),"",計算結果!K120)=0,"",IF(ISNA(計算結果!K120),"",計算結果!K120))</f>
        <v/>
      </c>
      <c r="L120" s="13" t="str">
        <f>IF(IF(ISNA(計算結果!L120),"",計算結果!L120)=0,"",IF(ISNA(計算結果!L120),"",計算結果!L120))</f>
        <v/>
      </c>
      <c r="M120" s="10" t="str">
        <f>IF(IF(ISNA(計算結果!M120),"",計算結果!M120)=0,"",IF(ISNA(計算結果!M120),"",計算結果!M120))</f>
        <v/>
      </c>
      <c r="N120" s="10" t="str">
        <f>IF(IF(ISNA(計算結果!N120),"",計算結果!N120)=0,"",IF(ISNA(計算結果!N120),"",計算結果!N120))</f>
        <v/>
      </c>
      <c r="O120" s="13" t="str">
        <f>IF(IF(ISNA(計算結果!O120),"",計算結果!O120)=0,"",IF(ISNA(計算結果!O120),"",計算結果!O120))</f>
        <v/>
      </c>
      <c r="P120" s="10" t="str">
        <f>IF(IF(ISNA(計算結果!P120),"",計算結果!P120)=0,"",IF(ISNA(計算結果!P120),"",計算結果!P120))</f>
        <v/>
      </c>
      <c r="Q120" s="10" t="str">
        <f>IF(IF(ISNA(計算結果!Q120),"",計算結果!Q120)=0,"",IF(ISNA(計算結果!Q120),"",計算結果!Q120))</f>
        <v/>
      </c>
      <c r="R120" s="14" t="str">
        <f t="shared" si="3"/>
        <v/>
      </c>
      <c r="S120" s="14" t="str">
        <f t="shared" si="4"/>
        <v>◯</v>
      </c>
      <c r="T120" s="14" t="str">
        <f t="shared" si="5"/>
        <v/>
      </c>
    </row>
    <row r="121" spans="1:20" hidden="1" x14ac:dyDescent="0.45">
      <c r="A121" s="10" t="str">
        <f>IF(IF(ISNA(計算結果!A121),"",計算結果!A121)=0,"",IF(ISNA(計算結果!A121),"",計算結果!A121))</f>
        <v/>
      </c>
      <c r="B121" s="10" t="str">
        <f>IF(IF(ISNA(計算結果!B121),"",計算結果!B121)=0,"",IF(ISNA(計算結果!B121),"",計算結果!B121))</f>
        <v/>
      </c>
      <c r="C121" s="10" t="str">
        <f>IF(IF(ISNA(計算結果!C121),"",計算結果!C121)=0,"",IF(ISNA(計算結果!C121),"",計算結果!C121))</f>
        <v/>
      </c>
      <c r="D121" s="10" t="str">
        <f>IF(IF(ISNA(計算結果!D121),"",計算結果!D121)=0,"",IF(ISNA(計算結果!D121),"",計算結果!D121))</f>
        <v>L</v>
      </c>
      <c r="E121" s="10" t="str">
        <f>IF(IF(ISNA(計算結果!E121),"",計算結果!E121)=0,"",IF(ISNA(計算結果!E121),"",計算結果!E121))</f>
        <v/>
      </c>
      <c r="F121" s="10" t="str">
        <f>IF(IF(ISNA(計算結果!F121),"",計算結果!F121)=0,"",IF(ISNA(計算結果!F121),"",計算結果!F121))</f>
        <v/>
      </c>
      <c r="G121" s="10" t="str">
        <f>IF(IF(ISNA(計算結果!G121),"",計算結果!G121)=0,"",IF(ISNA(計算結果!G121),"",計算結果!G121))</f>
        <v/>
      </c>
      <c r="H121" s="13">
        <f>IF(IF(ISNA(計算結果!H121),"",計算結果!H121)=0,"",IF(ISNA(計算結果!H121),"",計算結果!H121))</f>
        <v>-2</v>
      </c>
      <c r="I121" s="12" t="str">
        <f>IF(IF(ISNA(計算結果!I121),"",計算結果!I121)=0,"",IF(ISNA(計算結果!I121),"",計算結果!I121))</f>
        <v/>
      </c>
      <c r="J121" s="12" t="str">
        <f>IF(IF(ISNA(計算結果!J121),"",計算結果!J121)=0,"",IF(ISNA(計算結果!J121),"",計算結果!J121))</f>
        <v/>
      </c>
      <c r="K121" s="23" t="str">
        <f>IF(IF(ISNA(計算結果!K121),"",計算結果!K121)=0,"",IF(ISNA(計算結果!K121),"",計算結果!K121))</f>
        <v/>
      </c>
      <c r="L121" s="13" t="str">
        <f>IF(IF(ISNA(計算結果!L121),"",計算結果!L121)=0,"",IF(ISNA(計算結果!L121),"",計算結果!L121))</f>
        <v/>
      </c>
      <c r="M121" s="10" t="str">
        <f>IF(IF(ISNA(計算結果!M121),"",計算結果!M121)=0,"",IF(ISNA(計算結果!M121),"",計算結果!M121))</f>
        <v/>
      </c>
      <c r="N121" s="10" t="str">
        <f>IF(IF(ISNA(計算結果!N121),"",計算結果!N121)=0,"",IF(ISNA(計算結果!N121),"",計算結果!N121))</f>
        <v/>
      </c>
      <c r="O121" s="13" t="str">
        <f>IF(IF(ISNA(計算結果!O121),"",計算結果!O121)=0,"",IF(ISNA(計算結果!O121),"",計算結果!O121))</f>
        <v/>
      </c>
      <c r="P121" s="10" t="str">
        <f>IF(IF(ISNA(計算結果!P121),"",計算結果!P121)=0,"",IF(ISNA(計算結果!P121),"",計算結果!P121))</f>
        <v/>
      </c>
      <c r="Q121" s="10" t="str">
        <f>IF(IF(ISNA(計算結果!Q121),"",計算結果!Q121)=0,"",IF(ISNA(計算結果!Q121),"",計算結果!Q121))</f>
        <v/>
      </c>
      <c r="R121" s="14" t="str">
        <f t="shared" si="3"/>
        <v/>
      </c>
      <c r="S121" s="14" t="str">
        <f t="shared" si="4"/>
        <v>◯</v>
      </c>
      <c r="T121" s="14" t="str">
        <f t="shared" si="5"/>
        <v/>
      </c>
    </row>
    <row r="122" spans="1:20" hidden="1" x14ac:dyDescent="0.45">
      <c r="A122" s="10" t="str">
        <f>IF(IF(ISNA(計算結果!A122),"",計算結果!A122)=0,"",IF(ISNA(計算結果!A122),"",計算結果!A122))</f>
        <v/>
      </c>
      <c r="B122" s="10" t="str">
        <f>IF(IF(ISNA(計算結果!B122),"",計算結果!B122)=0,"",IF(ISNA(計算結果!B122),"",計算結果!B122))</f>
        <v/>
      </c>
      <c r="C122" s="10" t="str">
        <f>IF(IF(ISNA(計算結果!C122),"",計算結果!C122)=0,"",IF(ISNA(計算結果!C122),"",計算結果!C122))</f>
        <v/>
      </c>
      <c r="D122" s="10" t="str">
        <f>IF(IF(ISNA(計算結果!D122),"",計算結果!D122)=0,"",IF(ISNA(計算結果!D122),"",計算結果!D122))</f>
        <v>L</v>
      </c>
      <c r="E122" s="10" t="str">
        <f>IF(IF(ISNA(計算結果!E122),"",計算結果!E122)=0,"",IF(ISNA(計算結果!E122),"",計算結果!E122))</f>
        <v/>
      </c>
      <c r="F122" s="10" t="str">
        <f>IF(IF(ISNA(計算結果!F122),"",計算結果!F122)=0,"",IF(ISNA(計算結果!F122),"",計算結果!F122))</f>
        <v/>
      </c>
      <c r="G122" s="10" t="str">
        <f>IF(IF(ISNA(計算結果!G122),"",計算結果!G122)=0,"",IF(ISNA(計算結果!G122),"",計算結果!G122))</f>
        <v/>
      </c>
      <c r="H122" s="13">
        <f>IF(IF(ISNA(計算結果!H122),"",計算結果!H122)=0,"",IF(ISNA(計算結果!H122),"",計算結果!H122))</f>
        <v>-2</v>
      </c>
      <c r="I122" s="12" t="str">
        <f>IF(IF(ISNA(計算結果!I122),"",計算結果!I122)=0,"",IF(ISNA(計算結果!I122),"",計算結果!I122))</f>
        <v/>
      </c>
      <c r="J122" s="12" t="str">
        <f>IF(IF(ISNA(計算結果!J122),"",計算結果!J122)=0,"",IF(ISNA(計算結果!J122),"",計算結果!J122))</f>
        <v/>
      </c>
      <c r="K122" s="23" t="str">
        <f>IF(IF(ISNA(計算結果!K122),"",計算結果!K122)=0,"",IF(ISNA(計算結果!K122),"",計算結果!K122))</f>
        <v/>
      </c>
      <c r="L122" s="13" t="str">
        <f>IF(IF(ISNA(計算結果!L122),"",計算結果!L122)=0,"",IF(ISNA(計算結果!L122),"",計算結果!L122))</f>
        <v/>
      </c>
      <c r="M122" s="10" t="str">
        <f>IF(IF(ISNA(計算結果!M122),"",計算結果!M122)=0,"",IF(ISNA(計算結果!M122),"",計算結果!M122))</f>
        <v/>
      </c>
      <c r="N122" s="10" t="str">
        <f>IF(IF(ISNA(計算結果!N122),"",計算結果!N122)=0,"",IF(ISNA(計算結果!N122),"",計算結果!N122))</f>
        <v/>
      </c>
      <c r="O122" s="13" t="str">
        <f>IF(IF(ISNA(計算結果!O122),"",計算結果!O122)=0,"",IF(ISNA(計算結果!O122),"",計算結果!O122))</f>
        <v/>
      </c>
      <c r="P122" s="10" t="str">
        <f>IF(IF(ISNA(計算結果!P122),"",計算結果!P122)=0,"",IF(ISNA(計算結果!P122),"",計算結果!P122))</f>
        <v/>
      </c>
      <c r="Q122" s="10" t="str">
        <f>IF(IF(ISNA(計算結果!Q122),"",計算結果!Q122)=0,"",IF(ISNA(計算結果!Q122),"",計算結果!Q122))</f>
        <v/>
      </c>
      <c r="R122" s="14" t="str">
        <f t="shared" si="3"/>
        <v/>
      </c>
      <c r="S122" s="14" t="str">
        <f t="shared" si="4"/>
        <v>◯</v>
      </c>
      <c r="T122" s="14" t="str">
        <f t="shared" si="5"/>
        <v/>
      </c>
    </row>
    <row r="123" spans="1:20" hidden="1" x14ac:dyDescent="0.45">
      <c r="A123" s="10" t="str">
        <f>IF(IF(ISNA(計算結果!A123),"",計算結果!A123)=0,"",IF(ISNA(計算結果!A123),"",計算結果!A123))</f>
        <v/>
      </c>
      <c r="B123" s="10" t="str">
        <f>IF(IF(ISNA(計算結果!B123),"",計算結果!B123)=0,"",IF(ISNA(計算結果!B123),"",計算結果!B123))</f>
        <v/>
      </c>
      <c r="C123" s="10" t="str">
        <f>IF(IF(ISNA(計算結果!C123),"",計算結果!C123)=0,"",IF(ISNA(計算結果!C123),"",計算結果!C123))</f>
        <v/>
      </c>
      <c r="D123" s="10" t="str">
        <f>IF(IF(ISNA(計算結果!D123),"",計算結果!D123)=0,"",IF(ISNA(計算結果!D123),"",計算結果!D123))</f>
        <v>L</v>
      </c>
      <c r="E123" s="10" t="str">
        <f>IF(IF(ISNA(計算結果!E123),"",計算結果!E123)=0,"",IF(ISNA(計算結果!E123),"",計算結果!E123))</f>
        <v/>
      </c>
      <c r="F123" s="10" t="str">
        <f>IF(IF(ISNA(計算結果!F123),"",計算結果!F123)=0,"",IF(ISNA(計算結果!F123),"",計算結果!F123))</f>
        <v/>
      </c>
      <c r="G123" s="10" t="str">
        <f>IF(IF(ISNA(計算結果!G123),"",計算結果!G123)=0,"",IF(ISNA(計算結果!G123),"",計算結果!G123))</f>
        <v/>
      </c>
      <c r="H123" s="13">
        <f>IF(IF(ISNA(計算結果!H123),"",計算結果!H123)=0,"",IF(ISNA(計算結果!H123),"",計算結果!H123))</f>
        <v>-2</v>
      </c>
      <c r="I123" s="12" t="str">
        <f>IF(IF(ISNA(計算結果!I123),"",計算結果!I123)=0,"",IF(ISNA(計算結果!I123),"",計算結果!I123))</f>
        <v/>
      </c>
      <c r="J123" s="12" t="str">
        <f>IF(IF(ISNA(計算結果!J123),"",計算結果!J123)=0,"",IF(ISNA(計算結果!J123),"",計算結果!J123))</f>
        <v/>
      </c>
      <c r="K123" s="23" t="str">
        <f>IF(IF(ISNA(計算結果!K123),"",計算結果!K123)=0,"",IF(ISNA(計算結果!K123),"",計算結果!K123))</f>
        <v/>
      </c>
      <c r="L123" s="13" t="str">
        <f>IF(IF(ISNA(計算結果!L123),"",計算結果!L123)=0,"",IF(ISNA(計算結果!L123),"",計算結果!L123))</f>
        <v/>
      </c>
      <c r="M123" s="10" t="str">
        <f>IF(IF(ISNA(計算結果!M123),"",計算結果!M123)=0,"",IF(ISNA(計算結果!M123),"",計算結果!M123))</f>
        <v/>
      </c>
      <c r="N123" s="10" t="str">
        <f>IF(IF(ISNA(計算結果!N123),"",計算結果!N123)=0,"",IF(ISNA(計算結果!N123),"",計算結果!N123))</f>
        <v/>
      </c>
      <c r="O123" s="13" t="str">
        <f>IF(IF(ISNA(計算結果!O123),"",計算結果!O123)=0,"",IF(ISNA(計算結果!O123),"",計算結果!O123))</f>
        <v/>
      </c>
      <c r="P123" s="10" t="str">
        <f>IF(IF(ISNA(計算結果!P123),"",計算結果!P123)=0,"",IF(ISNA(計算結果!P123),"",計算結果!P123))</f>
        <v/>
      </c>
      <c r="Q123" s="10" t="str">
        <f>IF(IF(ISNA(計算結果!Q123),"",計算結果!Q123)=0,"",IF(ISNA(計算結果!Q123),"",計算結果!Q123))</f>
        <v/>
      </c>
      <c r="R123" s="14" t="str">
        <f t="shared" si="3"/>
        <v/>
      </c>
      <c r="S123" s="14" t="str">
        <f t="shared" si="4"/>
        <v>◯</v>
      </c>
      <c r="T123" s="14" t="str">
        <f t="shared" si="5"/>
        <v/>
      </c>
    </row>
    <row r="124" spans="1:20" hidden="1" x14ac:dyDescent="0.45">
      <c r="A124" s="10" t="str">
        <f>IF(IF(ISNA(計算結果!A124),"",計算結果!A124)=0,"",IF(ISNA(計算結果!A124),"",計算結果!A124))</f>
        <v/>
      </c>
      <c r="B124" s="10" t="str">
        <f>IF(IF(ISNA(計算結果!B124),"",計算結果!B124)=0,"",IF(ISNA(計算結果!B124),"",計算結果!B124))</f>
        <v/>
      </c>
      <c r="C124" s="10" t="str">
        <f>IF(IF(ISNA(計算結果!C124),"",計算結果!C124)=0,"",IF(ISNA(計算結果!C124),"",計算結果!C124))</f>
        <v/>
      </c>
      <c r="D124" s="10" t="str">
        <f>IF(IF(ISNA(計算結果!D124),"",計算結果!D124)=0,"",IF(ISNA(計算結果!D124),"",計算結果!D124))</f>
        <v>L</v>
      </c>
      <c r="E124" s="10" t="str">
        <f>IF(IF(ISNA(計算結果!E124),"",計算結果!E124)=0,"",IF(ISNA(計算結果!E124),"",計算結果!E124))</f>
        <v/>
      </c>
      <c r="F124" s="10" t="str">
        <f>IF(IF(ISNA(計算結果!F124),"",計算結果!F124)=0,"",IF(ISNA(計算結果!F124),"",計算結果!F124))</f>
        <v/>
      </c>
      <c r="G124" s="10" t="str">
        <f>IF(IF(ISNA(計算結果!G124),"",計算結果!G124)=0,"",IF(ISNA(計算結果!G124),"",計算結果!G124))</f>
        <v/>
      </c>
      <c r="H124" s="13">
        <f>IF(IF(ISNA(計算結果!H124),"",計算結果!H124)=0,"",IF(ISNA(計算結果!H124),"",計算結果!H124))</f>
        <v>-2</v>
      </c>
      <c r="I124" s="12" t="str">
        <f>IF(IF(ISNA(計算結果!I124),"",計算結果!I124)=0,"",IF(ISNA(計算結果!I124),"",計算結果!I124))</f>
        <v/>
      </c>
      <c r="J124" s="12" t="str">
        <f>IF(IF(ISNA(計算結果!J124),"",計算結果!J124)=0,"",IF(ISNA(計算結果!J124),"",計算結果!J124))</f>
        <v/>
      </c>
      <c r="K124" s="23" t="str">
        <f>IF(IF(ISNA(計算結果!K124),"",計算結果!K124)=0,"",IF(ISNA(計算結果!K124),"",計算結果!K124))</f>
        <v/>
      </c>
      <c r="L124" s="13" t="str">
        <f>IF(IF(ISNA(計算結果!L124),"",計算結果!L124)=0,"",IF(ISNA(計算結果!L124),"",計算結果!L124))</f>
        <v/>
      </c>
      <c r="M124" s="10" t="str">
        <f>IF(IF(ISNA(計算結果!M124),"",計算結果!M124)=0,"",IF(ISNA(計算結果!M124),"",計算結果!M124))</f>
        <v/>
      </c>
      <c r="N124" s="10" t="str">
        <f>IF(IF(ISNA(計算結果!N124),"",計算結果!N124)=0,"",IF(ISNA(計算結果!N124),"",計算結果!N124))</f>
        <v/>
      </c>
      <c r="O124" s="13" t="str">
        <f>IF(IF(ISNA(計算結果!O124),"",計算結果!O124)=0,"",IF(ISNA(計算結果!O124),"",計算結果!O124))</f>
        <v/>
      </c>
      <c r="P124" s="10" t="str">
        <f>IF(IF(ISNA(計算結果!P124),"",計算結果!P124)=0,"",IF(ISNA(計算結果!P124),"",計算結果!P124))</f>
        <v/>
      </c>
      <c r="Q124" s="10" t="str">
        <f>IF(IF(ISNA(計算結果!Q124),"",計算結果!Q124)=0,"",IF(ISNA(計算結果!Q124),"",計算結果!Q124))</f>
        <v/>
      </c>
      <c r="R124" s="14" t="str">
        <f t="shared" si="3"/>
        <v/>
      </c>
      <c r="S124" s="14" t="str">
        <f t="shared" si="4"/>
        <v>◯</v>
      </c>
      <c r="T124" s="14" t="str">
        <f t="shared" si="5"/>
        <v/>
      </c>
    </row>
    <row r="125" spans="1:20" hidden="1" x14ac:dyDescent="0.45">
      <c r="A125" s="10" t="str">
        <f>IF(IF(ISNA(計算結果!A125),"",計算結果!A125)=0,"",IF(ISNA(計算結果!A125),"",計算結果!A125))</f>
        <v/>
      </c>
      <c r="B125" s="10" t="str">
        <f>IF(IF(ISNA(計算結果!B125),"",計算結果!B125)=0,"",IF(ISNA(計算結果!B125),"",計算結果!B125))</f>
        <v/>
      </c>
      <c r="C125" s="10" t="str">
        <f>IF(IF(ISNA(計算結果!C125),"",計算結果!C125)=0,"",IF(ISNA(計算結果!C125),"",計算結果!C125))</f>
        <v/>
      </c>
      <c r="D125" s="10" t="str">
        <f>IF(IF(ISNA(計算結果!D125),"",計算結果!D125)=0,"",IF(ISNA(計算結果!D125),"",計算結果!D125))</f>
        <v>L</v>
      </c>
      <c r="E125" s="10" t="str">
        <f>IF(IF(ISNA(計算結果!E125),"",計算結果!E125)=0,"",IF(ISNA(計算結果!E125),"",計算結果!E125))</f>
        <v/>
      </c>
      <c r="F125" s="10" t="str">
        <f>IF(IF(ISNA(計算結果!F125),"",計算結果!F125)=0,"",IF(ISNA(計算結果!F125),"",計算結果!F125))</f>
        <v/>
      </c>
      <c r="G125" s="10" t="str">
        <f>IF(IF(ISNA(計算結果!G125),"",計算結果!G125)=0,"",IF(ISNA(計算結果!G125),"",計算結果!G125))</f>
        <v/>
      </c>
      <c r="H125" s="13">
        <f>IF(IF(ISNA(計算結果!H125),"",計算結果!H125)=0,"",IF(ISNA(計算結果!H125),"",計算結果!H125))</f>
        <v>-2</v>
      </c>
      <c r="I125" s="12" t="str">
        <f>IF(IF(ISNA(計算結果!I125),"",計算結果!I125)=0,"",IF(ISNA(計算結果!I125),"",計算結果!I125))</f>
        <v/>
      </c>
      <c r="J125" s="12" t="str">
        <f>IF(IF(ISNA(計算結果!J125),"",計算結果!J125)=0,"",IF(ISNA(計算結果!J125),"",計算結果!J125))</f>
        <v/>
      </c>
      <c r="K125" s="23" t="str">
        <f>IF(IF(ISNA(計算結果!K125),"",計算結果!K125)=0,"",IF(ISNA(計算結果!K125),"",計算結果!K125))</f>
        <v/>
      </c>
      <c r="L125" s="13" t="str">
        <f>IF(IF(ISNA(計算結果!L125),"",計算結果!L125)=0,"",IF(ISNA(計算結果!L125),"",計算結果!L125))</f>
        <v/>
      </c>
      <c r="M125" s="10" t="str">
        <f>IF(IF(ISNA(計算結果!M125),"",計算結果!M125)=0,"",IF(ISNA(計算結果!M125),"",計算結果!M125))</f>
        <v/>
      </c>
      <c r="N125" s="10" t="str">
        <f>IF(IF(ISNA(計算結果!N125),"",計算結果!N125)=0,"",IF(ISNA(計算結果!N125),"",計算結果!N125))</f>
        <v/>
      </c>
      <c r="O125" s="13" t="str">
        <f>IF(IF(ISNA(計算結果!O125),"",計算結果!O125)=0,"",IF(ISNA(計算結果!O125),"",計算結果!O125))</f>
        <v/>
      </c>
      <c r="P125" s="10" t="str">
        <f>IF(IF(ISNA(計算結果!P125),"",計算結果!P125)=0,"",IF(ISNA(計算結果!P125),"",計算結果!P125))</f>
        <v/>
      </c>
      <c r="Q125" s="10" t="str">
        <f>IF(IF(ISNA(計算結果!Q125),"",計算結果!Q125)=0,"",IF(ISNA(計算結果!Q125),"",計算結果!Q125))</f>
        <v/>
      </c>
      <c r="R125" s="14" t="str">
        <f t="shared" si="3"/>
        <v/>
      </c>
      <c r="S125" s="14" t="str">
        <f t="shared" si="4"/>
        <v>◯</v>
      </c>
      <c r="T125" s="14" t="str">
        <f t="shared" si="5"/>
        <v/>
      </c>
    </row>
    <row r="126" spans="1:20" hidden="1" x14ac:dyDescent="0.45">
      <c r="A126" s="10" t="str">
        <f>IF(IF(ISNA(計算結果!A126),"",計算結果!A126)=0,"",IF(ISNA(計算結果!A126),"",計算結果!A126))</f>
        <v/>
      </c>
      <c r="B126" s="10" t="str">
        <f>IF(IF(ISNA(計算結果!B126),"",計算結果!B126)=0,"",IF(ISNA(計算結果!B126),"",計算結果!B126))</f>
        <v/>
      </c>
      <c r="C126" s="10" t="str">
        <f>IF(IF(ISNA(計算結果!C126),"",計算結果!C126)=0,"",IF(ISNA(計算結果!C126),"",計算結果!C126))</f>
        <v/>
      </c>
      <c r="D126" s="10" t="str">
        <f>IF(IF(ISNA(計算結果!D126),"",計算結果!D126)=0,"",IF(ISNA(計算結果!D126),"",計算結果!D126))</f>
        <v>L</v>
      </c>
      <c r="E126" s="10" t="str">
        <f>IF(IF(ISNA(計算結果!E126),"",計算結果!E126)=0,"",IF(ISNA(計算結果!E126),"",計算結果!E126))</f>
        <v/>
      </c>
      <c r="F126" s="10" t="str">
        <f>IF(IF(ISNA(計算結果!F126),"",計算結果!F126)=0,"",IF(ISNA(計算結果!F126),"",計算結果!F126))</f>
        <v/>
      </c>
      <c r="G126" s="10" t="str">
        <f>IF(IF(ISNA(計算結果!G126),"",計算結果!G126)=0,"",IF(ISNA(計算結果!G126),"",計算結果!G126))</f>
        <v/>
      </c>
      <c r="H126" s="13">
        <f>IF(IF(ISNA(計算結果!H126),"",計算結果!H126)=0,"",IF(ISNA(計算結果!H126),"",計算結果!H126))</f>
        <v>-2</v>
      </c>
      <c r="I126" s="12" t="str">
        <f>IF(IF(ISNA(計算結果!I126),"",計算結果!I126)=0,"",IF(ISNA(計算結果!I126),"",計算結果!I126))</f>
        <v/>
      </c>
      <c r="J126" s="12" t="str">
        <f>IF(IF(ISNA(計算結果!J126),"",計算結果!J126)=0,"",IF(ISNA(計算結果!J126),"",計算結果!J126))</f>
        <v/>
      </c>
      <c r="K126" s="23" t="str">
        <f>IF(IF(ISNA(計算結果!K126),"",計算結果!K126)=0,"",IF(ISNA(計算結果!K126),"",計算結果!K126))</f>
        <v/>
      </c>
      <c r="L126" s="13" t="str">
        <f>IF(IF(ISNA(計算結果!L126),"",計算結果!L126)=0,"",IF(ISNA(計算結果!L126),"",計算結果!L126))</f>
        <v/>
      </c>
      <c r="M126" s="10" t="str">
        <f>IF(IF(ISNA(計算結果!M126),"",計算結果!M126)=0,"",IF(ISNA(計算結果!M126),"",計算結果!M126))</f>
        <v/>
      </c>
      <c r="N126" s="10" t="str">
        <f>IF(IF(ISNA(計算結果!N126),"",計算結果!N126)=0,"",IF(ISNA(計算結果!N126),"",計算結果!N126))</f>
        <v/>
      </c>
      <c r="O126" s="13" t="str">
        <f>IF(IF(ISNA(計算結果!O126),"",計算結果!O126)=0,"",IF(ISNA(計算結果!O126),"",計算結果!O126))</f>
        <v/>
      </c>
      <c r="P126" s="10" t="str">
        <f>IF(IF(ISNA(計算結果!P126),"",計算結果!P126)=0,"",IF(ISNA(計算結果!P126),"",計算結果!P126))</f>
        <v/>
      </c>
      <c r="Q126" s="10" t="str">
        <f>IF(IF(ISNA(計算結果!Q126),"",計算結果!Q126)=0,"",IF(ISNA(計算結果!Q126),"",計算結果!Q126))</f>
        <v/>
      </c>
      <c r="R126" s="14" t="str">
        <f t="shared" si="3"/>
        <v/>
      </c>
      <c r="S126" s="14" t="str">
        <f t="shared" si="4"/>
        <v>◯</v>
      </c>
      <c r="T126" s="14" t="str">
        <f t="shared" si="5"/>
        <v/>
      </c>
    </row>
    <row r="127" spans="1:20" hidden="1" x14ac:dyDescent="0.45">
      <c r="A127" s="10" t="str">
        <f>IF(IF(ISNA(計算結果!A127),"",計算結果!A127)=0,"",IF(ISNA(計算結果!A127),"",計算結果!A127))</f>
        <v/>
      </c>
      <c r="B127" s="10" t="str">
        <f>IF(IF(ISNA(計算結果!B127),"",計算結果!B127)=0,"",IF(ISNA(計算結果!B127),"",計算結果!B127))</f>
        <v/>
      </c>
      <c r="C127" s="10" t="str">
        <f>IF(IF(ISNA(計算結果!C127),"",計算結果!C127)=0,"",IF(ISNA(計算結果!C127),"",計算結果!C127))</f>
        <v/>
      </c>
      <c r="D127" s="10" t="str">
        <f>IF(IF(ISNA(計算結果!D127),"",計算結果!D127)=0,"",IF(ISNA(計算結果!D127),"",計算結果!D127))</f>
        <v>L</v>
      </c>
      <c r="E127" s="10" t="str">
        <f>IF(IF(ISNA(計算結果!E127),"",計算結果!E127)=0,"",IF(ISNA(計算結果!E127),"",計算結果!E127))</f>
        <v/>
      </c>
      <c r="F127" s="10" t="str">
        <f>IF(IF(ISNA(計算結果!F127),"",計算結果!F127)=0,"",IF(ISNA(計算結果!F127),"",計算結果!F127))</f>
        <v/>
      </c>
      <c r="G127" s="10" t="str">
        <f>IF(IF(ISNA(計算結果!G127),"",計算結果!G127)=0,"",IF(ISNA(計算結果!G127),"",計算結果!G127))</f>
        <v/>
      </c>
      <c r="H127" s="13">
        <f>IF(IF(ISNA(計算結果!H127),"",計算結果!H127)=0,"",IF(ISNA(計算結果!H127),"",計算結果!H127))</f>
        <v>-2</v>
      </c>
      <c r="I127" s="12" t="str">
        <f>IF(IF(ISNA(計算結果!I127),"",計算結果!I127)=0,"",IF(ISNA(計算結果!I127),"",計算結果!I127))</f>
        <v/>
      </c>
      <c r="J127" s="12" t="str">
        <f>IF(IF(ISNA(計算結果!J127),"",計算結果!J127)=0,"",IF(ISNA(計算結果!J127),"",計算結果!J127))</f>
        <v/>
      </c>
      <c r="K127" s="23" t="str">
        <f>IF(IF(ISNA(計算結果!K127),"",計算結果!K127)=0,"",IF(ISNA(計算結果!K127),"",計算結果!K127))</f>
        <v/>
      </c>
      <c r="L127" s="13" t="str">
        <f>IF(IF(ISNA(計算結果!L127),"",計算結果!L127)=0,"",IF(ISNA(計算結果!L127),"",計算結果!L127))</f>
        <v/>
      </c>
      <c r="M127" s="10" t="str">
        <f>IF(IF(ISNA(計算結果!M127),"",計算結果!M127)=0,"",IF(ISNA(計算結果!M127),"",計算結果!M127))</f>
        <v/>
      </c>
      <c r="N127" s="10" t="str">
        <f>IF(IF(ISNA(計算結果!N127),"",計算結果!N127)=0,"",IF(ISNA(計算結果!N127),"",計算結果!N127))</f>
        <v/>
      </c>
      <c r="O127" s="13" t="str">
        <f>IF(IF(ISNA(計算結果!O127),"",計算結果!O127)=0,"",IF(ISNA(計算結果!O127),"",計算結果!O127))</f>
        <v/>
      </c>
      <c r="P127" s="10" t="str">
        <f>IF(IF(ISNA(計算結果!P127),"",計算結果!P127)=0,"",IF(ISNA(計算結果!P127),"",計算結果!P127))</f>
        <v/>
      </c>
      <c r="Q127" s="10" t="str">
        <f>IF(IF(ISNA(計算結果!Q127),"",計算結果!Q127)=0,"",IF(ISNA(計算結果!Q127),"",計算結果!Q127))</f>
        <v/>
      </c>
      <c r="R127" s="14" t="str">
        <f t="shared" si="3"/>
        <v/>
      </c>
      <c r="S127" s="14" t="str">
        <f t="shared" si="4"/>
        <v>◯</v>
      </c>
      <c r="T127" s="14" t="str">
        <f t="shared" si="5"/>
        <v/>
      </c>
    </row>
    <row r="128" spans="1:20" hidden="1" x14ac:dyDescent="0.45">
      <c r="A128" s="10" t="str">
        <f>IF(IF(ISNA(計算結果!A128),"",計算結果!A128)=0,"",IF(ISNA(計算結果!A128),"",計算結果!A128))</f>
        <v/>
      </c>
      <c r="B128" s="10" t="str">
        <f>IF(IF(ISNA(計算結果!B128),"",計算結果!B128)=0,"",IF(ISNA(計算結果!B128),"",計算結果!B128))</f>
        <v/>
      </c>
      <c r="C128" s="10" t="str">
        <f>IF(IF(ISNA(計算結果!C128),"",計算結果!C128)=0,"",IF(ISNA(計算結果!C128),"",計算結果!C128))</f>
        <v/>
      </c>
      <c r="D128" s="10" t="str">
        <f>IF(IF(ISNA(計算結果!D128),"",計算結果!D128)=0,"",IF(ISNA(計算結果!D128),"",計算結果!D128))</f>
        <v>L</v>
      </c>
      <c r="E128" s="10" t="str">
        <f>IF(IF(ISNA(計算結果!E128),"",計算結果!E128)=0,"",IF(ISNA(計算結果!E128),"",計算結果!E128))</f>
        <v/>
      </c>
      <c r="F128" s="10" t="str">
        <f>IF(IF(ISNA(計算結果!F128),"",計算結果!F128)=0,"",IF(ISNA(計算結果!F128),"",計算結果!F128))</f>
        <v/>
      </c>
      <c r="G128" s="10" t="str">
        <f>IF(IF(ISNA(計算結果!G128),"",計算結果!G128)=0,"",IF(ISNA(計算結果!G128),"",計算結果!G128))</f>
        <v/>
      </c>
      <c r="H128" s="13">
        <f>IF(IF(ISNA(計算結果!H128),"",計算結果!H128)=0,"",IF(ISNA(計算結果!H128),"",計算結果!H128))</f>
        <v>-2</v>
      </c>
      <c r="I128" s="12" t="str">
        <f>IF(IF(ISNA(計算結果!I128),"",計算結果!I128)=0,"",IF(ISNA(計算結果!I128),"",計算結果!I128))</f>
        <v/>
      </c>
      <c r="J128" s="12" t="str">
        <f>IF(IF(ISNA(計算結果!J128),"",計算結果!J128)=0,"",IF(ISNA(計算結果!J128),"",計算結果!J128))</f>
        <v/>
      </c>
      <c r="K128" s="23" t="str">
        <f>IF(IF(ISNA(計算結果!K128),"",計算結果!K128)=0,"",IF(ISNA(計算結果!K128),"",計算結果!K128))</f>
        <v/>
      </c>
      <c r="L128" s="13" t="str">
        <f>IF(IF(ISNA(計算結果!L128),"",計算結果!L128)=0,"",IF(ISNA(計算結果!L128),"",計算結果!L128))</f>
        <v/>
      </c>
      <c r="M128" s="10" t="str">
        <f>IF(IF(ISNA(計算結果!M128),"",計算結果!M128)=0,"",IF(ISNA(計算結果!M128),"",計算結果!M128))</f>
        <v/>
      </c>
      <c r="N128" s="10" t="str">
        <f>IF(IF(ISNA(計算結果!N128),"",計算結果!N128)=0,"",IF(ISNA(計算結果!N128),"",計算結果!N128))</f>
        <v/>
      </c>
      <c r="O128" s="13" t="str">
        <f>IF(IF(ISNA(計算結果!O128),"",計算結果!O128)=0,"",IF(ISNA(計算結果!O128),"",計算結果!O128))</f>
        <v/>
      </c>
      <c r="P128" s="10" t="str">
        <f>IF(IF(ISNA(計算結果!P128),"",計算結果!P128)=0,"",IF(ISNA(計算結果!P128),"",計算結果!P128))</f>
        <v/>
      </c>
      <c r="Q128" s="10" t="str">
        <f>IF(IF(ISNA(計算結果!Q128),"",計算結果!Q128)=0,"",IF(ISNA(計算結果!Q128),"",計算結果!Q128))</f>
        <v/>
      </c>
      <c r="R128" s="14" t="str">
        <f t="shared" si="3"/>
        <v/>
      </c>
      <c r="S128" s="14" t="str">
        <f t="shared" si="4"/>
        <v>◯</v>
      </c>
      <c r="T128" s="14" t="str">
        <f t="shared" si="5"/>
        <v/>
      </c>
    </row>
    <row r="129" spans="1:20" hidden="1" x14ac:dyDescent="0.45">
      <c r="A129" s="10" t="str">
        <f>IF(IF(ISNA(計算結果!A129),"",計算結果!A129)=0,"",IF(ISNA(計算結果!A129),"",計算結果!A129))</f>
        <v/>
      </c>
      <c r="B129" s="10" t="str">
        <f>IF(IF(ISNA(計算結果!B129),"",計算結果!B129)=0,"",IF(ISNA(計算結果!B129),"",計算結果!B129))</f>
        <v/>
      </c>
      <c r="C129" s="10" t="str">
        <f>IF(IF(ISNA(計算結果!C129),"",計算結果!C129)=0,"",IF(ISNA(計算結果!C129),"",計算結果!C129))</f>
        <v/>
      </c>
      <c r="D129" s="10" t="str">
        <f>IF(IF(ISNA(計算結果!D129),"",計算結果!D129)=0,"",IF(ISNA(計算結果!D129),"",計算結果!D129))</f>
        <v>L</v>
      </c>
      <c r="E129" s="10" t="str">
        <f>IF(IF(ISNA(計算結果!E129),"",計算結果!E129)=0,"",IF(ISNA(計算結果!E129),"",計算結果!E129))</f>
        <v/>
      </c>
      <c r="F129" s="10" t="str">
        <f>IF(IF(ISNA(計算結果!F129),"",計算結果!F129)=0,"",IF(ISNA(計算結果!F129),"",計算結果!F129))</f>
        <v/>
      </c>
      <c r="G129" s="10" t="str">
        <f>IF(IF(ISNA(計算結果!G129),"",計算結果!G129)=0,"",IF(ISNA(計算結果!G129),"",計算結果!G129))</f>
        <v/>
      </c>
      <c r="H129" s="13">
        <f>IF(IF(ISNA(計算結果!H129),"",計算結果!H129)=0,"",IF(ISNA(計算結果!H129),"",計算結果!H129))</f>
        <v>-2</v>
      </c>
      <c r="I129" s="12" t="str">
        <f>IF(IF(ISNA(計算結果!I129),"",計算結果!I129)=0,"",IF(ISNA(計算結果!I129),"",計算結果!I129))</f>
        <v/>
      </c>
      <c r="J129" s="12" t="str">
        <f>IF(IF(ISNA(計算結果!J129),"",計算結果!J129)=0,"",IF(ISNA(計算結果!J129),"",計算結果!J129))</f>
        <v/>
      </c>
      <c r="K129" s="23" t="str">
        <f>IF(IF(ISNA(計算結果!K129),"",計算結果!K129)=0,"",IF(ISNA(計算結果!K129),"",計算結果!K129))</f>
        <v/>
      </c>
      <c r="L129" s="13" t="str">
        <f>IF(IF(ISNA(計算結果!L129),"",計算結果!L129)=0,"",IF(ISNA(計算結果!L129),"",計算結果!L129))</f>
        <v/>
      </c>
      <c r="M129" s="10" t="str">
        <f>IF(IF(ISNA(計算結果!M129),"",計算結果!M129)=0,"",IF(ISNA(計算結果!M129),"",計算結果!M129))</f>
        <v/>
      </c>
      <c r="N129" s="10" t="str">
        <f>IF(IF(ISNA(計算結果!N129),"",計算結果!N129)=0,"",IF(ISNA(計算結果!N129),"",計算結果!N129))</f>
        <v/>
      </c>
      <c r="O129" s="13" t="str">
        <f>IF(IF(ISNA(計算結果!O129),"",計算結果!O129)=0,"",IF(ISNA(計算結果!O129),"",計算結果!O129))</f>
        <v/>
      </c>
      <c r="P129" s="10" t="str">
        <f>IF(IF(ISNA(計算結果!P129),"",計算結果!P129)=0,"",IF(ISNA(計算結果!P129),"",計算結果!P129))</f>
        <v/>
      </c>
      <c r="Q129" s="10" t="str">
        <f>IF(IF(ISNA(計算結果!Q129),"",計算結果!Q129)=0,"",IF(ISNA(計算結果!Q129),"",計算結果!Q129))</f>
        <v/>
      </c>
      <c r="R129" s="14" t="str">
        <f t="shared" si="3"/>
        <v/>
      </c>
      <c r="S129" s="14" t="str">
        <f t="shared" si="4"/>
        <v>◯</v>
      </c>
      <c r="T129" s="14" t="str">
        <f t="shared" si="5"/>
        <v/>
      </c>
    </row>
    <row r="130" spans="1:20" hidden="1" x14ac:dyDescent="0.45">
      <c r="A130" s="10" t="str">
        <f>IF(IF(ISNA(計算結果!A130),"",計算結果!A130)=0,"",IF(ISNA(計算結果!A130),"",計算結果!A130))</f>
        <v/>
      </c>
      <c r="B130" s="10" t="str">
        <f>IF(IF(ISNA(計算結果!B130),"",計算結果!B130)=0,"",IF(ISNA(計算結果!B130),"",計算結果!B130))</f>
        <v/>
      </c>
      <c r="C130" s="10" t="str">
        <f>IF(IF(ISNA(計算結果!C130),"",計算結果!C130)=0,"",IF(ISNA(計算結果!C130),"",計算結果!C130))</f>
        <v/>
      </c>
      <c r="D130" s="10" t="str">
        <f>IF(IF(ISNA(計算結果!D130),"",計算結果!D130)=0,"",IF(ISNA(計算結果!D130),"",計算結果!D130))</f>
        <v>L</v>
      </c>
      <c r="E130" s="10" t="str">
        <f>IF(IF(ISNA(計算結果!E130),"",計算結果!E130)=0,"",IF(ISNA(計算結果!E130),"",計算結果!E130))</f>
        <v/>
      </c>
      <c r="F130" s="10" t="str">
        <f>IF(IF(ISNA(計算結果!F130),"",計算結果!F130)=0,"",IF(ISNA(計算結果!F130),"",計算結果!F130))</f>
        <v/>
      </c>
      <c r="G130" s="10" t="str">
        <f>IF(IF(ISNA(計算結果!G130),"",計算結果!G130)=0,"",IF(ISNA(計算結果!G130),"",計算結果!G130))</f>
        <v/>
      </c>
      <c r="H130" s="13">
        <f>IF(IF(ISNA(計算結果!H130),"",計算結果!H130)=0,"",IF(ISNA(計算結果!H130),"",計算結果!H130))</f>
        <v>-2</v>
      </c>
      <c r="I130" s="12" t="str">
        <f>IF(IF(ISNA(計算結果!I130),"",計算結果!I130)=0,"",IF(ISNA(計算結果!I130),"",計算結果!I130))</f>
        <v/>
      </c>
      <c r="J130" s="12" t="str">
        <f>IF(IF(ISNA(計算結果!J130),"",計算結果!J130)=0,"",IF(ISNA(計算結果!J130),"",計算結果!J130))</f>
        <v/>
      </c>
      <c r="K130" s="23" t="str">
        <f>IF(IF(ISNA(計算結果!K130),"",計算結果!K130)=0,"",IF(ISNA(計算結果!K130),"",計算結果!K130))</f>
        <v/>
      </c>
      <c r="L130" s="13" t="str">
        <f>IF(IF(ISNA(計算結果!L130),"",計算結果!L130)=0,"",IF(ISNA(計算結果!L130),"",計算結果!L130))</f>
        <v/>
      </c>
      <c r="M130" s="10" t="str">
        <f>IF(IF(ISNA(計算結果!M130),"",計算結果!M130)=0,"",IF(ISNA(計算結果!M130),"",計算結果!M130))</f>
        <v/>
      </c>
      <c r="N130" s="10" t="str">
        <f>IF(IF(ISNA(計算結果!N130),"",計算結果!N130)=0,"",IF(ISNA(計算結果!N130),"",計算結果!N130))</f>
        <v/>
      </c>
      <c r="O130" s="13" t="str">
        <f>IF(IF(ISNA(計算結果!O130),"",計算結果!O130)=0,"",IF(ISNA(計算結果!O130),"",計算結果!O130))</f>
        <v/>
      </c>
      <c r="P130" s="10" t="str">
        <f>IF(IF(ISNA(計算結果!P130),"",計算結果!P130)=0,"",IF(ISNA(計算結果!P130),"",計算結果!P130))</f>
        <v/>
      </c>
      <c r="Q130" s="10" t="str">
        <f>IF(IF(ISNA(計算結果!Q130),"",計算結果!Q130)=0,"",IF(ISNA(計算結果!Q130),"",計算結果!Q130))</f>
        <v/>
      </c>
      <c r="R130" s="14" t="str">
        <f t="shared" si="3"/>
        <v/>
      </c>
      <c r="S130" s="14" t="str">
        <f t="shared" si="4"/>
        <v>◯</v>
      </c>
      <c r="T130" s="14" t="str">
        <f t="shared" si="5"/>
        <v/>
      </c>
    </row>
    <row r="131" spans="1:20" hidden="1" x14ac:dyDescent="0.45">
      <c r="A131" s="10" t="str">
        <f>IF(IF(ISNA(計算結果!A131),"",計算結果!A131)=0,"",IF(ISNA(計算結果!A131),"",計算結果!A131))</f>
        <v/>
      </c>
      <c r="B131" s="10" t="str">
        <f>IF(IF(ISNA(計算結果!B131),"",計算結果!B131)=0,"",IF(ISNA(計算結果!B131),"",計算結果!B131))</f>
        <v/>
      </c>
      <c r="C131" s="10" t="str">
        <f>IF(IF(ISNA(計算結果!C131),"",計算結果!C131)=0,"",IF(ISNA(計算結果!C131),"",計算結果!C131))</f>
        <v/>
      </c>
      <c r="D131" s="10" t="str">
        <f>IF(IF(ISNA(計算結果!D131),"",計算結果!D131)=0,"",IF(ISNA(計算結果!D131),"",計算結果!D131))</f>
        <v>L</v>
      </c>
      <c r="E131" s="10" t="str">
        <f>IF(IF(ISNA(計算結果!E131),"",計算結果!E131)=0,"",IF(ISNA(計算結果!E131),"",計算結果!E131))</f>
        <v/>
      </c>
      <c r="F131" s="10" t="str">
        <f>IF(IF(ISNA(計算結果!F131),"",計算結果!F131)=0,"",IF(ISNA(計算結果!F131),"",計算結果!F131))</f>
        <v/>
      </c>
      <c r="G131" s="10" t="str">
        <f>IF(IF(ISNA(計算結果!G131),"",計算結果!G131)=0,"",IF(ISNA(計算結果!G131),"",計算結果!G131))</f>
        <v/>
      </c>
      <c r="H131" s="13">
        <f>IF(IF(ISNA(計算結果!H131),"",計算結果!H131)=0,"",IF(ISNA(計算結果!H131),"",計算結果!H131))</f>
        <v>-2</v>
      </c>
      <c r="I131" s="12" t="str">
        <f>IF(IF(ISNA(計算結果!I131),"",計算結果!I131)=0,"",IF(ISNA(計算結果!I131),"",計算結果!I131))</f>
        <v/>
      </c>
      <c r="J131" s="12" t="str">
        <f>IF(IF(ISNA(計算結果!J131),"",計算結果!J131)=0,"",IF(ISNA(計算結果!J131),"",計算結果!J131))</f>
        <v/>
      </c>
      <c r="K131" s="23" t="str">
        <f>IF(IF(ISNA(計算結果!K131),"",計算結果!K131)=0,"",IF(ISNA(計算結果!K131),"",計算結果!K131))</f>
        <v/>
      </c>
      <c r="L131" s="13" t="str">
        <f>IF(IF(ISNA(計算結果!L131),"",計算結果!L131)=0,"",IF(ISNA(計算結果!L131),"",計算結果!L131))</f>
        <v/>
      </c>
      <c r="M131" s="10" t="str">
        <f>IF(IF(ISNA(計算結果!M131),"",計算結果!M131)=0,"",IF(ISNA(計算結果!M131),"",計算結果!M131))</f>
        <v/>
      </c>
      <c r="N131" s="10" t="str">
        <f>IF(IF(ISNA(計算結果!N131),"",計算結果!N131)=0,"",IF(ISNA(計算結果!N131),"",計算結果!N131))</f>
        <v/>
      </c>
      <c r="O131" s="13" t="str">
        <f>IF(IF(ISNA(計算結果!O131),"",計算結果!O131)=0,"",IF(ISNA(計算結果!O131),"",計算結果!O131))</f>
        <v/>
      </c>
      <c r="P131" s="10" t="str">
        <f>IF(IF(ISNA(計算結果!P131),"",計算結果!P131)=0,"",IF(ISNA(計算結果!P131),"",計算結果!P131))</f>
        <v/>
      </c>
      <c r="Q131" s="10" t="str">
        <f>IF(IF(ISNA(計算結果!Q131),"",計算結果!Q131)=0,"",IF(ISNA(計算結果!Q131),"",計算結果!Q131))</f>
        <v/>
      </c>
      <c r="R131" s="14" t="str">
        <f t="shared" ref="R131:R194" si="6">IF(AND(M131&lt;&gt;"",M131=N131),"◯","")</f>
        <v/>
      </c>
      <c r="S131" s="14" t="str">
        <f t="shared" ref="S131:S194" si="7">IF(M131="","◯","")</f>
        <v>◯</v>
      </c>
      <c r="T131" s="14" t="str">
        <f t="shared" ref="T131:T194" si="8">IF(AND(P131&lt;&gt;"",P131&lt;&gt;Q131),"◯","")</f>
        <v/>
      </c>
    </row>
    <row r="132" spans="1:20" hidden="1" x14ac:dyDescent="0.45">
      <c r="A132" s="10" t="str">
        <f>IF(IF(ISNA(計算結果!A132),"",計算結果!A132)=0,"",IF(ISNA(計算結果!A132),"",計算結果!A132))</f>
        <v/>
      </c>
      <c r="B132" s="10" t="str">
        <f>IF(IF(ISNA(計算結果!B132),"",計算結果!B132)=0,"",IF(ISNA(計算結果!B132),"",計算結果!B132))</f>
        <v/>
      </c>
      <c r="C132" s="10" t="str">
        <f>IF(IF(ISNA(計算結果!C132),"",計算結果!C132)=0,"",IF(ISNA(計算結果!C132),"",計算結果!C132))</f>
        <v/>
      </c>
      <c r="D132" s="10" t="str">
        <f>IF(IF(ISNA(計算結果!D132),"",計算結果!D132)=0,"",IF(ISNA(計算結果!D132),"",計算結果!D132))</f>
        <v>L</v>
      </c>
      <c r="E132" s="10" t="str">
        <f>IF(IF(ISNA(計算結果!E132),"",計算結果!E132)=0,"",IF(ISNA(計算結果!E132),"",計算結果!E132))</f>
        <v/>
      </c>
      <c r="F132" s="10" t="str">
        <f>IF(IF(ISNA(計算結果!F132),"",計算結果!F132)=0,"",IF(ISNA(計算結果!F132),"",計算結果!F132))</f>
        <v/>
      </c>
      <c r="G132" s="10" t="str">
        <f>IF(IF(ISNA(計算結果!G132),"",計算結果!G132)=0,"",IF(ISNA(計算結果!G132),"",計算結果!G132))</f>
        <v/>
      </c>
      <c r="H132" s="13">
        <f>IF(IF(ISNA(計算結果!H132),"",計算結果!H132)=0,"",IF(ISNA(計算結果!H132),"",計算結果!H132))</f>
        <v>-2</v>
      </c>
      <c r="I132" s="12" t="str">
        <f>IF(IF(ISNA(計算結果!I132),"",計算結果!I132)=0,"",IF(ISNA(計算結果!I132),"",計算結果!I132))</f>
        <v/>
      </c>
      <c r="J132" s="12" t="str">
        <f>IF(IF(ISNA(計算結果!J132),"",計算結果!J132)=0,"",IF(ISNA(計算結果!J132),"",計算結果!J132))</f>
        <v/>
      </c>
      <c r="K132" s="23" t="str">
        <f>IF(IF(ISNA(計算結果!K132),"",計算結果!K132)=0,"",IF(ISNA(計算結果!K132),"",計算結果!K132))</f>
        <v/>
      </c>
      <c r="L132" s="13" t="str">
        <f>IF(IF(ISNA(計算結果!L132),"",計算結果!L132)=0,"",IF(ISNA(計算結果!L132),"",計算結果!L132))</f>
        <v/>
      </c>
      <c r="M132" s="10" t="str">
        <f>IF(IF(ISNA(計算結果!M132),"",計算結果!M132)=0,"",IF(ISNA(計算結果!M132),"",計算結果!M132))</f>
        <v/>
      </c>
      <c r="N132" s="10" t="str">
        <f>IF(IF(ISNA(計算結果!N132),"",計算結果!N132)=0,"",IF(ISNA(計算結果!N132),"",計算結果!N132))</f>
        <v/>
      </c>
      <c r="O132" s="13" t="str">
        <f>IF(IF(ISNA(計算結果!O132),"",計算結果!O132)=0,"",IF(ISNA(計算結果!O132),"",計算結果!O132))</f>
        <v/>
      </c>
      <c r="P132" s="10" t="str">
        <f>IF(IF(ISNA(計算結果!P132),"",計算結果!P132)=0,"",IF(ISNA(計算結果!P132),"",計算結果!P132))</f>
        <v/>
      </c>
      <c r="Q132" s="10" t="str">
        <f>IF(IF(ISNA(計算結果!Q132),"",計算結果!Q132)=0,"",IF(ISNA(計算結果!Q132),"",計算結果!Q132))</f>
        <v/>
      </c>
      <c r="R132" s="14" t="str">
        <f t="shared" si="6"/>
        <v/>
      </c>
      <c r="S132" s="14" t="str">
        <f t="shared" si="7"/>
        <v>◯</v>
      </c>
      <c r="T132" s="14" t="str">
        <f t="shared" si="8"/>
        <v/>
      </c>
    </row>
    <row r="133" spans="1:20" hidden="1" x14ac:dyDescent="0.45">
      <c r="A133" s="10" t="str">
        <f>IF(IF(ISNA(計算結果!A133),"",計算結果!A133)=0,"",IF(ISNA(計算結果!A133),"",計算結果!A133))</f>
        <v/>
      </c>
      <c r="B133" s="10" t="str">
        <f>IF(IF(ISNA(計算結果!B133),"",計算結果!B133)=0,"",IF(ISNA(計算結果!B133),"",計算結果!B133))</f>
        <v/>
      </c>
      <c r="C133" s="10" t="str">
        <f>IF(IF(ISNA(計算結果!C133),"",計算結果!C133)=0,"",IF(ISNA(計算結果!C133),"",計算結果!C133))</f>
        <v/>
      </c>
      <c r="D133" s="10" t="str">
        <f>IF(IF(ISNA(計算結果!D133),"",計算結果!D133)=0,"",IF(ISNA(計算結果!D133),"",計算結果!D133))</f>
        <v>L</v>
      </c>
      <c r="E133" s="10" t="str">
        <f>IF(IF(ISNA(計算結果!E133),"",計算結果!E133)=0,"",IF(ISNA(計算結果!E133),"",計算結果!E133))</f>
        <v/>
      </c>
      <c r="F133" s="10" t="str">
        <f>IF(IF(ISNA(計算結果!F133),"",計算結果!F133)=0,"",IF(ISNA(計算結果!F133),"",計算結果!F133))</f>
        <v/>
      </c>
      <c r="G133" s="10" t="str">
        <f>IF(IF(ISNA(計算結果!G133),"",計算結果!G133)=0,"",IF(ISNA(計算結果!G133),"",計算結果!G133))</f>
        <v/>
      </c>
      <c r="H133" s="13">
        <f>IF(IF(ISNA(計算結果!H133),"",計算結果!H133)=0,"",IF(ISNA(計算結果!H133),"",計算結果!H133))</f>
        <v>-2</v>
      </c>
      <c r="I133" s="12" t="str">
        <f>IF(IF(ISNA(計算結果!I133),"",計算結果!I133)=0,"",IF(ISNA(計算結果!I133),"",計算結果!I133))</f>
        <v/>
      </c>
      <c r="J133" s="12" t="str">
        <f>IF(IF(ISNA(計算結果!J133),"",計算結果!J133)=0,"",IF(ISNA(計算結果!J133),"",計算結果!J133))</f>
        <v/>
      </c>
      <c r="K133" s="23" t="str">
        <f>IF(IF(ISNA(計算結果!K133),"",計算結果!K133)=0,"",IF(ISNA(計算結果!K133),"",計算結果!K133))</f>
        <v/>
      </c>
      <c r="L133" s="13" t="str">
        <f>IF(IF(ISNA(計算結果!L133),"",計算結果!L133)=0,"",IF(ISNA(計算結果!L133),"",計算結果!L133))</f>
        <v/>
      </c>
      <c r="M133" s="10" t="str">
        <f>IF(IF(ISNA(計算結果!M133),"",計算結果!M133)=0,"",IF(ISNA(計算結果!M133),"",計算結果!M133))</f>
        <v/>
      </c>
      <c r="N133" s="10" t="str">
        <f>IF(IF(ISNA(計算結果!N133),"",計算結果!N133)=0,"",IF(ISNA(計算結果!N133),"",計算結果!N133))</f>
        <v/>
      </c>
      <c r="O133" s="13" t="str">
        <f>IF(IF(ISNA(計算結果!O133),"",計算結果!O133)=0,"",IF(ISNA(計算結果!O133),"",計算結果!O133))</f>
        <v/>
      </c>
      <c r="P133" s="10" t="str">
        <f>IF(IF(ISNA(計算結果!P133),"",計算結果!P133)=0,"",IF(ISNA(計算結果!P133),"",計算結果!P133))</f>
        <v/>
      </c>
      <c r="Q133" s="10" t="str">
        <f>IF(IF(ISNA(計算結果!Q133),"",計算結果!Q133)=0,"",IF(ISNA(計算結果!Q133),"",計算結果!Q133))</f>
        <v/>
      </c>
      <c r="R133" s="14" t="str">
        <f t="shared" si="6"/>
        <v/>
      </c>
      <c r="S133" s="14" t="str">
        <f t="shared" si="7"/>
        <v>◯</v>
      </c>
      <c r="T133" s="14" t="str">
        <f t="shared" si="8"/>
        <v/>
      </c>
    </row>
    <row r="134" spans="1:20" hidden="1" x14ac:dyDescent="0.45">
      <c r="A134" s="10" t="str">
        <f>IF(IF(ISNA(計算結果!A134),"",計算結果!A134)=0,"",IF(ISNA(計算結果!A134),"",計算結果!A134))</f>
        <v/>
      </c>
      <c r="B134" s="10" t="str">
        <f>IF(IF(ISNA(計算結果!B134),"",計算結果!B134)=0,"",IF(ISNA(計算結果!B134),"",計算結果!B134))</f>
        <v/>
      </c>
      <c r="C134" s="10" t="str">
        <f>IF(IF(ISNA(計算結果!C134),"",計算結果!C134)=0,"",IF(ISNA(計算結果!C134),"",計算結果!C134))</f>
        <v/>
      </c>
      <c r="D134" s="10" t="str">
        <f>IF(IF(ISNA(計算結果!D134),"",計算結果!D134)=0,"",IF(ISNA(計算結果!D134),"",計算結果!D134))</f>
        <v>L</v>
      </c>
      <c r="E134" s="10" t="str">
        <f>IF(IF(ISNA(計算結果!E134),"",計算結果!E134)=0,"",IF(ISNA(計算結果!E134),"",計算結果!E134))</f>
        <v/>
      </c>
      <c r="F134" s="10" t="str">
        <f>IF(IF(ISNA(計算結果!F134),"",計算結果!F134)=0,"",IF(ISNA(計算結果!F134),"",計算結果!F134))</f>
        <v/>
      </c>
      <c r="G134" s="10" t="str">
        <f>IF(IF(ISNA(計算結果!G134),"",計算結果!G134)=0,"",IF(ISNA(計算結果!G134),"",計算結果!G134))</f>
        <v/>
      </c>
      <c r="H134" s="13">
        <f>IF(IF(ISNA(計算結果!H134),"",計算結果!H134)=0,"",IF(ISNA(計算結果!H134),"",計算結果!H134))</f>
        <v>-2</v>
      </c>
      <c r="I134" s="12" t="str">
        <f>IF(IF(ISNA(計算結果!I134),"",計算結果!I134)=0,"",IF(ISNA(計算結果!I134),"",計算結果!I134))</f>
        <v/>
      </c>
      <c r="J134" s="12" t="str">
        <f>IF(IF(ISNA(計算結果!J134),"",計算結果!J134)=0,"",IF(ISNA(計算結果!J134),"",計算結果!J134))</f>
        <v/>
      </c>
      <c r="K134" s="23" t="str">
        <f>IF(IF(ISNA(計算結果!K134),"",計算結果!K134)=0,"",IF(ISNA(計算結果!K134),"",計算結果!K134))</f>
        <v/>
      </c>
      <c r="L134" s="13" t="str">
        <f>IF(IF(ISNA(計算結果!L134),"",計算結果!L134)=0,"",IF(ISNA(計算結果!L134),"",計算結果!L134))</f>
        <v/>
      </c>
      <c r="M134" s="10" t="str">
        <f>IF(IF(ISNA(計算結果!M134),"",計算結果!M134)=0,"",IF(ISNA(計算結果!M134),"",計算結果!M134))</f>
        <v/>
      </c>
      <c r="N134" s="10" t="str">
        <f>IF(IF(ISNA(計算結果!N134),"",計算結果!N134)=0,"",IF(ISNA(計算結果!N134),"",計算結果!N134))</f>
        <v/>
      </c>
      <c r="O134" s="13" t="str">
        <f>IF(IF(ISNA(計算結果!O134),"",計算結果!O134)=0,"",IF(ISNA(計算結果!O134),"",計算結果!O134))</f>
        <v/>
      </c>
      <c r="P134" s="10" t="str">
        <f>IF(IF(ISNA(計算結果!P134),"",計算結果!P134)=0,"",IF(ISNA(計算結果!P134),"",計算結果!P134))</f>
        <v/>
      </c>
      <c r="Q134" s="10" t="str">
        <f>IF(IF(ISNA(計算結果!Q134),"",計算結果!Q134)=0,"",IF(ISNA(計算結果!Q134),"",計算結果!Q134))</f>
        <v/>
      </c>
      <c r="R134" s="14" t="str">
        <f t="shared" si="6"/>
        <v/>
      </c>
      <c r="S134" s="14" t="str">
        <f t="shared" si="7"/>
        <v>◯</v>
      </c>
      <c r="T134" s="14" t="str">
        <f t="shared" si="8"/>
        <v/>
      </c>
    </row>
    <row r="135" spans="1:20" hidden="1" x14ac:dyDescent="0.45">
      <c r="A135" s="10" t="str">
        <f>IF(IF(ISNA(計算結果!A135),"",計算結果!A135)=0,"",IF(ISNA(計算結果!A135),"",計算結果!A135))</f>
        <v/>
      </c>
      <c r="B135" s="10" t="str">
        <f>IF(IF(ISNA(計算結果!B135),"",計算結果!B135)=0,"",IF(ISNA(計算結果!B135),"",計算結果!B135))</f>
        <v/>
      </c>
      <c r="C135" s="10" t="str">
        <f>IF(IF(ISNA(計算結果!C135),"",計算結果!C135)=0,"",IF(ISNA(計算結果!C135),"",計算結果!C135))</f>
        <v/>
      </c>
      <c r="D135" s="10" t="str">
        <f>IF(IF(ISNA(計算結果!D135),"",計算結果!D135)=0,"",IF(ISNA(計算結果!D135),"",計算結果!D135))</f>
        <v>L</v>
      </c>
      <c r="E135" s="10" t="str">
        <f>IF(IF(ISNA(計算結果!E135),"",計算結果!E135)=0,"",IF(ISNA(計算結果!E135),"",計算結果!E135))</f>
        <v/>
      </c>
      <c r="F135" s="10" t="str">
        <f>IF(IF(ISNA(計算結果!F135),"",計算結果!F135)=0,"",IF(ISNA(計算結果!F135),"",計算結果!F135))</f>
        <v/>
      </c>
      <c r="G135" s="10" t="str">
        <f>IF(IF(ISNA(計算結果!G135),"",計算結果!G135)=0,"",IF(ISNA(計算結果!G135),"",計算結果!G135))</f>
        <v/>
      </c>
      <c r="H135" s="13">
        <f>IF(IF(ISNA(計算結果!H135),"",計算結果!H135)=0,"",IF(ISNA(計算結果!H135),"",計算結果!H135))</f>
        <v>-2</v>
      </c>
      <c r="I135" s="12" t="str">
        <f>IF(IF(ISNA(計算結果!I135),"",計算結果!I135)=0,"",IF(ISNA(計算結果!I135),"",計算結果!I135))</f>
        <v/>
      </c>
      <c r="J135" s="12" t="str">
        <f>IF(IF(ISNA(計算結果!J135),"",計算結果!J135)=0,"",IF(ISNA(計算結果!J135),"",計算結果!J135))</f>
        <v/>
      </c>
      <c r="K135" s="23" t="str">
        <f>IF(IF(ISNA(計算結果!K135),"",計算結果!K135)=0,"",IF(ISNA(計算結果!K135),"",計算結果!K135))</f>
        <v/>
      </c>
      <c r="L135" s="13" t="str">
        <f>IF(IF(ISNA(計算結果!L135),"",計算結果!L135)=0,"",IF(ISNA(計算結果!L135),"",計算結果!L135))</f>
        <v/>
      </c>
      <c r="M135" s="10" t="str">
        <f>IF(IF(ISNA(計算結果!M135),"",計算結果!M135)=0,"",IF(ISNA(計算結果!M135),"",計算結果!M135))</f>
        <v/>
      </c>
      <c r="N135" s="10" t="str">
        <f>IF(IF(ISNA(計算結果!N135),"",計算結果!N135)=0,"",IF(ISNA(計算結果!N135),"",計算結果!N135))</f>
        <v/>
      </c>
      <c r="O135" s="13" t="str">
        <f>IF(IF(ISNA(計算結果!O135),"",計算結果!O135)=0,"",IF(ISNA(計算結果!O135),"",計算結果!O135))</f>
        <v/>
      </c>
      <c r="P135" s="10" t="str">
        <f>IF(IF(ISNA(計算結果!P135),"",計算結果!P135)=0,"",IF(ISNA(計算結果!P135),"",計算結果!P135))</f>
        <v/>
      </c>
      <c r="Q135" s="10" t="str">
        <f>IF(IF(ISNA(計算結果!Q135),"",計算結果!Q135)=0,"",IF(ISNA(計算結果!Q135),"",計算結果!Q135))</f>
        <v/>
      </c>
      <c r="R135" s="14" t="str">
        <f t="shared" si="6"/>
        <v/>
      </c>
      <c r="S135" s="14" t="str">
        <f t="shared" si="7"/>
        <v>◯</v>
      </c>
      <c r="T135" s="14" t="str">
        <f t="shared" si="8"/>
        <v/>
      </c>
    </row>
    <row r="136" spans="1:20" hidden="1" x14ac:dyDescent="0.45">
      <c r="A136" s="10" t="str">
        <f>IF(IF(ISNA(計算結果!A136),"",計算結果!A136)=0,"",IF(ISNA(計算結果!A136),"",計算結果!A136))</f>
        <v/>
      </c>
      <c r="B136" s="10" t="str">
        <f>IF(IF(ISNA(計算結果!B136),"",計算結果!B136)=0,"",IF(ISNA(計算結果!B136),"",計算結果!B136))</f>
        <v/>
      </c>
      <c r="C136" s="10" t="str">
        <f>IF(IF(ISNA(計算結果!C136),"",計算結果!C136)=0,"",IF(ISNA(計算結果!C136),"",計算結果!C136))</f>
        <v/>
      </c>
      <c r="D136" s="10" t="str">
        <f>IF(IF(ISNA(計算結果!D136),"",計算結果!D136)=0,"",IF(ISNA(計算結果!D136),"",計算結果!D136))</f>
        <v>L</v>
      </c>
      <c r="E136" s="10" t="str">
        <f>IF(IF(ISNA(計算結果!E136),"",計算結果!E136)=0,"",IF(ISNA(計算結果!E136),"",計算結果!E136))</f>
        <v/>
      </c>
      <c r="F136" s="10" t="str">
        <f>IF(IF(ISNA(計算結果!F136),"",計算結果!F136)=0,"",IF(ISNA(計算結果!F136),"",計算結果!F136))</f>
        <v/>
      </c>
      <c r="G136" s="10" t="str">
        <f>IF(IF(ISNA(計算結果!G136),"",計算結果!G136)=0,"",IF(ISNA(計算結果!G136),"",計算結果!G136))</f>
        <v/>
      </c>
      <c r="H136" s="13">
        <f>IF(IF(ISNA(計算結果!H136),"",計算結果!H136)=0,"",IF(ISNA(計算結果!H136),"",計算結果!H136))</f>
        <v>-2</v>
      </c>
      <c r="I136" s="12" t="str">
        <f>IF(IF(ISNA(計算結果!I136),"",計算結果!I136)=0,"",IF(ISNA(計算結果!I136),"",計算結果!I136))</f>
        <v/>
      </c>
      <c r="J136" s="12" t="str">
        <f>IF(IF(ISNA(計算結果!J136),"",計算結果!J136)=0,"",IF(ISNA(計算結果!J136),"",計算結果!J136))</f>
        <v/>
      </c>
      <c r="K136" s="23" t="str">
        <f>IF(IF(ISNA(計算結果!K136),"",計算結果!K136)=0,"",IF(ISNA(計算結果!K136),"",計算結果!K136))</f>
        <v/>
      </c>
      <c r="L136" s="13" t="str">
        <f>IF(IF(ISNA(計算結果!L136),"",計算結果!L136)=0,"",IF(ISNA(計算結果!L136),"",計算結果!L136))</f>
        <v/>
      </c>
      <c r="M136" s="10" t="str">
        <f>IF(IF(ISNA(計算結果!M136),"",計算結果!M136)=0,"",IF(ISNA(計算結果!M136),"",計算結果!M136))</f>
        <v/>
      </c>
      <c r="N136" s="10" t="str">
        <f>IF(IF(ISNA(計算結果!N136),"",計算結果!N136)=0,"",IF(ISNA(計算結果!N136),"",計算結果!N136))</f>
        <v/>
      </c>
      <c r="O136" s="13" t="str">
        <f>IF(IF(ISNA(計算結果!O136),"",計算結果!O136)=0,"",IF(ISNA(計算結果!O136),"",計算結果!O136))</f>
        <v/>
      </c>
      <c r="P136" s="10" t="str">
        <f>IF(IF(ISNA(計算結果!P136),"",計算結果!P136)=0,"",IF(ISNA(計算結果!P136),"",計算結果!P136))</f>
        <v/>
      </c>
      <c r="Q136" s="10" t="str">
        <f>IF(IF(ISNA(計算結果!Q136),"",計算結果!Q136)=0,"",IF(ISNA(計算結果!Q136),"",計算結果!Q136))</f>
        <v/>
      </c>
      <c r="R136" s="14" t="str">
        <f t="shared" si="6"/>
        <v/>
      </c>
      <c r="S136" s="14" t="str">
        <f t="shared" si="7"/>
        <v>◯</v>
      </c>
      <c r="T136" s="14" t="str">
        <f t="shared" si="8"/>
        <v/>
      </c>
    </row>
    <row r="137" spans="1:20" hidden="1" x14ac:dyDescent="0.45">
      <c r="A137" s="10" t="str">
        <f>IF(IF(ISNA(計算結果!A137),"",計算結果!A137)=0,"",IF(ISNA(計算結果!A137),"",計算結果!A137))</f>
        <v/>
      </c>
      <c r="B137" s="10" t="str">
        <f>IF(IF(ISNA(計算結果!B137),"",計算結果!B137)=0,"",IF(ISNA(計算結果!B137),"",計算結果!B137))</f>
        <v/>
      </c>
      <c r="C137" s="10" t="str">
        <f>IF(IF(ISNA(計算結果!C137),"",計算結果!C137)=0,"",IF(ISNA(計算結果!C137),"",計算結果!C137))</f>
        <v/>
      </c>
      <c r="D137" s="10" t="str">
        <f>IF(IF(ISNA(計算結果!D137),"",計算結果!D137)=0,"",IF(ISNA(計算結果!D137),"",計算結果!D137))</f>
        <v>L</v>
      </c>
      <c r="E137" s="10" t="str">
        <f>IF(IF(ISNA(計算結果!E137),"",計算結果!E137)=0,"",IF(ISNA(計算結果!E137),"",計算結果!E137))</f>
        <v/>
      </c>
      <c r="F137" s="10" t="str">
        <f>IF(IF(ISNA(計算結果!F137),"",計算結果!F137)=0,"",IF(ISNA(計算結果!F137),"",計算結果!F137))</f>
        <v/>
      </c>
      <c r="G137" s="10" t="str">
        <f>IF(IF(ISNA(計算結果!G137),"",計算結果!G137)=0,"",IF(ISNA(計算結果!G137),"",計算結果!G137))</f>
        <v/>
      </c>
      <c r="H137" s="13">
        <f>IF(IF(ISNA(計算結果!H137),"",計算結果!H137)=0,"",IF(ISNA(計算結果!H137),"",計算結果!H137))</f>
        <v>-2</v>
      </c>
      <c r="I137" s="12" t="str">
        <f>IF(IF(ISNA(計算結果!I137),"",計算結果!I137)=0,"",IF(ISNA(計算結果!I137),"",計算結果!I137))</f>
        <v/>
      </c>
      <c r="J137" s="12" t="str">
        <f>IF(IF(ISNA(計算結果!J137),"",計算結果!J137)=0,"",IF(ISNA(計算結果!J137),"",計算結果!J137))</f>
        <v/>
      </c>
      <c r="K137" s="23" t="str">
        <f>IF(IF(ISNA(計算結果!K137),"",計算結果!K137)=0,"",IF(ISNA(計算結果!K137),"",計算結果!K137))</f>
        <v/>
      </c>
      <c r="L137" s="13" t="str">
        <f>IF(IF(ISNA(計算結果!L137),"",計算結果!L137)=0,"",IF(ISNA(計算結果!L137),"",計算結果!L137))</f>
        <v/>
      </c>
      <c r="M137" s="10" t="str">
        <f>IF(IF(ISNA(計算結果!M137),"",計算結果!M137)=0,"",IF(ISNA(計算結果!M137),"",計算結果!M137))</f>
        <v/>
      </c>
      <c r="N137" s="10" t="str">
        <f>IF(IF(ISNA(計算結果!N137),"",計算結果!N137)=0,"",IF(ISNA(計算結果!N137),"",計算結果!N137))</f>
        <v/>
      </c>
      <c r="O137" s="13" t="str">
        <f>IF(IF(ISNA(計算結果!O137),"",計算結果!O137)=0,"",IF(ISNA(計算結果!O137),"",計算結果!O137))</f>
        <v/>
      </c>
      <c r="P137" s="10" t="str">
        <f>IF(IF(ISNA(計算結果!P137),"",計算結果!P137)=0,"",IF(ISNA(計算結果!P137),"",計算結果!P137))</f>
        <v/>
      </c>
      <c r="Q137" s="10" t="str">
        <f>IF(IF(ISNA(計算結果!Q137),"",計算結果!Q137)=0,"",IF(ISNA(計算結果!Q137),"",計算結果!Q137))</f>
        <v/>
      </c>
      <c r="R137" s="14" t="str">
        <f t="shared" si="6"/>
        <v/>
      </c>
      <c r="S137" s="14" t="str">
        <f t="shared" si="7"/>
        <v>◯</v>
      </c>
      <c r="T137" s="14" t="str">
        <f t="shared" si="8"/>
        <v/>
      </c>
    </row>
    <row r="138" spans="1:20" hidden="1" x14ac:dyDescent="0.45">
      <c r="A138" s="10" t="str">
        <f>IF(IF(ISNA(計算結果!A138),"",計算結果!A138)=0,"",IF(ISNA(計算結果!A138),"",計算結果!A138))</f>
        <v/>
      </c>
      <c r="B138" s="10" t="str">
        <f>IF(IF(ISNA(計算結果!B138),"",計算結果!B138)=0,"",IF(ISNA(計算結果!B138),"",計算結果!B138))</f>
        <v/>
      </c>
      <c r="C138" s="10" t="str">
        <f>IF(IF(ISNA(計算結果!C138),"",計算結果!C138)=0,"",IF(ISNA(計算結果!C138),"",計算結果!C138))</f>
        <v/>
      </c>
      <c r="D138" s="10" t="str">
        <f>IF(IF(ISNA(計算結果!D138),"",計算結果!D138)=0,"",IF(ISNA(計算結果!D138),"",計算結果!D138))</f>
        <v>L</v>
      </c>
      <c r="E138" s="10" t="str">
        <f>IF(IF(ISNA(計算結果!E138),"",計算結果!E138)=0,"",IF(ISNA(計算結果!E138),"",計算結果!E138))</f>
        <v/>
      </c>
      <c r="F138" s="10" t="str">
        <f>IF(IF(ISNA(計算結果!F138),"",計算結果!F138)=0,"",IF(ISNA(計算結果!F138),"",計算結果!F138))</f>
        <v/>
      </c>
      <c r="G138" s="10" t="str">
        <f>IF(IF(ISNA(計算結果!G138),"",計算結果!G138)=0,"",IF(ISNA(計算結果!G138),"",計算結果!G138))</f>
        <v/>
      </c>
      <c r="H138" s="13">
        <f>IF(IF(ISNA(計算結果!H138),"",計算結果!H138)=0,"",IF(ISNA(計算結果!H138),"",計算結果!H138))</f>
        <v>-2</v>
      </c>
      <c r="I138" s="12" t="str">
        <f>IF(IF(ISNA(計算結果!I138),"",計算結果!I138)=0,"",IF(ISNA(計算結果!I138),"",計算結果!I138))</f>
        <v/>
      </c>
      <c r="J138" s="12" t="str">
        <f>IF(IF(ISNA(計算結果!J138),"",計算結果!J138)=0,"",IF(ISNA(計算結果!J138),"",計算結果!J138))</f>
        <v/>
      </c>
      <c r="K138" s="23" t="str">
        <f>IF(IF(ISNA(計算結果!K138),"",計算結果!K138)=0,"",IF(ISNA(計算結果!K138),"",計算結果!K138))</f>
        <v/>
      </c>
      <c r="L138" s="13" t="str">
        <f>IF(IF(ISNA(計算結果!L138),"",計算結果!L138)=0,"",IF(ISNA(計算結果!L138),"",計算結果!L138))</f>
        <v/>
      </c>
      <c r="M138" s="10" t="str">
        <f>IF(IF(ISNA(計算結果!M138),"",計算結果!M138)=0,"",IF(ISNA(計算結果!M138),"",計算結果!M138))</f>
        <v/>
      </c>
      <c r="N138" s="10" t="str">
        <f>IF(IF(ISNA(計算結果!N138),"",計算結果!N138)=0,"",IF(ISNA(計算結果!N138),"",計算結果!N138))</f>
        <v/>
      </c>
      <c r="O138" s="13" t="str">
        <f>IF(IF(ISNA(計算結果!O138),"",計算結果!O138)=0,"",IF(ISNA(計算結果!O138),"",計算結果!O138))</f>
        <v/>
      </c>
      <c r="P138" s="10" t="str">
        <f>IF(IF(ISNA(計算結果!P138),"",計算結果!P138)=0,"",IF(ISNA(計算結果!P138),"",計算結果!P138))</f>
        <v/>
      </c>
      <c r="Q138" s="10" t="str">
        <f>IF(IF(ISNA(計算結果!Q138),"",計算結果!Q138)=0,"",IF(ISNA(計算結果!Q138),"",計算結果!Q138))</f>
        <v/>
      </c>
      <c r="R138" s="14" t="str">
        <f t="shared" si="6"/>
        <v/>
      </c>
      <c r="S138" s="14" t="str">
        <f t="shared" si="7"/>
        <v>◯</v>
      </c>
      <c r="T138" s="14" t="str">
        <f t="shared" si="8"/>
        <v/>
      </c>
    </row>
    <row r="139" spans="1:20" hidden="1" x14ac:dyDescent="0.45">
      <c r="A139" s="10" t="str">
        <f>IF(IF(ISNA(計算結果!A139),"",計算結果!A139)=0,"",IF(ISNA(計算結果!A139),"",計算結果!A139))</f>
        <v/>
      </c>
      <c r="B139" s="10" t="str">
        <f>IF(IF(ISNA(計算結果!B139),"",計算結果!B139)=0,"",IF(ISNA(計算結果!B139),"",計算結果!B139))</f>
        <v/>
      </c>
      <c r="C139" s="10" t="str">
        <f>IF(IF(ISNA(計算結果!C139),"",計算結果!C139)=0,"",IF(ISNA(計算結果!C139),"",計算結果!C139))</f>
        <v/>
      </c>
      <c r="D139" s="10" t="str">
        <f>IF(IF(ISNA(計算結果!D139),"",計算結果!D139)=0,"",IF(ISNA(計算結果!D139),"",計算結果!D139))</f>
        <v>L</v>
      </c>
      <c r="E139" s="10" t="str">
        <f>IF(IF(ISNA(計算結果!E139),"",計算結果!E139)=0,"",IF(ISNA(計算結果!E139),"",計算結果!E139))</f>
        <v/>
      </c>
      <c r="F139" s="10" t="str">
        <f>IF(IF(ISNA(計算結果!F139),"",計算結果!F139)=0,"",IF(ISNA(計算結果!F139),"",計算結果!F139))</f>
        <v/>
      </c>
      <c r="G139" s="10" t="str">
        <f>IF(IF(ISNA(計算結果!G139),"",計算結果!G139)=0,"",IF(ISNA(計算結果!G139),"",計算結果!G139))</f>
        <v/>
      </c>
      <c r="H139" s="13">
        <f>IF(IF(ISNA(計算結果!H139),"",計算結果!H139)=0,"",IF(ISNA(計算結果!H139),"",計算結果!H139))</f>
        <v>-2</v>
      </c>
      <c r="I139" s="12" t="str">
        <f>IF(IF(ISNA(計算結果!I139),"",計算結果!I139)=0,"",IF(ISNA(計算結果!I139),"",計算結果!I139))</f>
        <v/>
      </c>
      <c r="J139" s="12" t="str">
        <f>IF(IF(ISNA(計算結果!J139),"",計算結果!J139)=0,"",IF(ISNA(計算結果!J139),"",計算結果!J139))</f>
        <v/>
      </c>
      <c r="K139" s="23" t="str">
        <f>IF(IF(ISNA(計算結果!K139),"",計算結果!K139)=0,"",IF(ISNA(計算結果!K139),"",計算結果!K139))</f>
        <v/>
      </c>
      <c r="L139" s="13" t="str">
        <f>IF(IF(ISNA(計算結果!L139),"",計算結果!L139)=0,"",IF(ISNA(計算結果!L139),"",計算結果!L139))</f>
        <v/>
      </c>
      <c r="M139" s="10" t="str">
        <f>IF(IF(ISNA(計算結果!M139),"",計算結果!M139)=0,"",IF(ISNA(計算結果!M139),"",計算結果!M139))</f>
        <v/>
      </c>
      <c r="N139" s="10" t="str">
        <f>IF(IF(ISNA(計算結果!N139),"",計算結果!N139)=0,"",IF(ISNA(計算結果!N139),"",計算結果!N139))</f>
        <v/>
      </c>
      <c r="O139" s="13" t="str">
        <f>IF(IF(ISNA(計算結果!O139),"",計算結果!O139)=0,"",IF(ISNA(計算結果!O139),"",計算結果!O139))</f>
        <v/>
      </c>
      <c r="P139" s="10" t="str">
        <f>IF(IF(ISNA(計算結果!P139),"",計算結果!P139)=0,"",IF(ISNA(計算結果!P139),"",計算結果!P139))</f>
        <v/>
      </c>
      <c r="Q139" s="10" t="str">
        <f>IF(IF(ISNA(計算結果!Q139),"",計算結果!Q139)=0,"",IF(ISNA(計算結果!Q139),"",計算結果!Q139))</f>
        <v/>
      </c>
      <c r="R139" s="14" t="str">
        <f t="shared" si="6"/>
        <v/>
      </c>
      <c r="S139" s="14" t="str">
        <f t="shared" si="7"/>
        <v>◯</v>
      </c>
      <c r="T139" s="14" t="str">
        <f t="shared" si="8"/>
        <v/>
      </c>
    </row>
    <row r="140" spans="1:20" hidden="1" x14ac:dyDescent="0.45">
      <c r="A140" s="10" t="str">
        <f>IF(IF(ISNA(計算結果!A140),"",計算結果!A140)=0,"",IF(ISNA(計算結果!A140),"",計算結果!A140))</f>
        <v/>
      </c>
      <c r="B140" s="10" t="str">
        <f>IF(IF(ISNA(計算結果!B140),"",計算結果!B140)=0,"",IF(ISNA(計算結果!B140),"",計算結果!B140))</f>
        <v/>
      </c>
      <c r="C140" s="10" t="str">
        <f>IF(IF(ISNA(計算結果!C140),"",計算結果!C140)=0,"",IF(ISNA(計算結果!C140),"",計算結果!C140))</f>
        <v/>
      </c>
      <c r="D140" s="10" t="str">
        <f>IF(IF(ISNA(計算結果!D140),"",計算結果!D140)=0,"",IF(ISNA(計算結果!D140),"",計算結果!D140))</f>
        <v>L</v>
      </c>
      <c r="E140" s="10" t="str">
        <f>IF(IF(ISNA(計算結果!E140),"",計算結果!E140)=0,"",IF(ISNA(計算結果!E140),"",計算結果!E140))</f>
        <v/>
      </c>
      <c r="F140" s="10" t="str">
        <f>IF(IF(ISNA(計算結果!F140),"",計算結果!F140)=0,"",IF(ISNA(計算結果!F140),"",計算結果!F140))</f>
        <v/>
      </c>
      <c r="G140" s="10" t="str">
        <f>IF(IF(ISNA(計算結果!G140),"",計算結果!G140)=0,"",IF(ISNA(計算結果!G140),"",計算結果!G140))</f>
        <v/>
      </c>
      <c r="H140" s="13">
        <f>IF(IF(ISNA(計算結果!H140),"",計算結果!H140)=0,"",IF(ISNA(計算結果!H140),"",計算結果!H140))</f>
        <v>-2</v>
      </c>
      <c r="I140" s="12" t="str">
        <f>IF(IF(ISNA(計算結果!I140),"",計算結果!I140)=0,"",IF(ISNA(計算結果!I140),"",計算結果!I140))</f>
        <v/>
      </c>
      <c r="J140" s="12" t="str">
        <f>IF(IF(ISNA(計算結果!J140),"",計算結果!J140)=0,"",IF(ISNA(計算結果!J140),"",計算結果!J140))</f>
        <v/>
      </c>
      <c r="K140" s="23" t="str">
        <f>IF(IF(ISNA(計算結果!K140),"",計算結果!K140)=0,"",IF(ISNA(計算結果!K140),"",計算結果!K140))</f>
        <v/>
      </c>
      <c r="L140" s="13" t="str">
        <f>IF(IF(ISNA(計算結果!L140),"",計算結果!L140)=0,"",IF(ISNA(計算結果!L140),"",計算結果!L140))</f>
        <v/>
      </c>
      <c r="M140" s="10" t="str">
        <f>IF(IF(ISNA(計算結果!M140),"",計算結果!M140)=0,"",IF(ISNA(計算結果!M140),"",計算結果!M140))</f>
        <v/>
      </c>
      <c r="N140" s="10" t="str">
        <f>IF(IF(ISNA(計算結果!N140),"",計算結果!N140)=0,"",IF(ISNA(計算結果!N140),"",計算結果!N140))</f>
        <v/>
      </c>
      <c r="O140" s="13" t="str">
        <f>IF(IF(ISNA(計算結果!O140),"",計算結果!O140)=0,"",IF(ISNA(計算結果!O140),"",計算結果!O140))</f>
        <v/>
      </c>
      <c r="P140" s="10" t="str">
        <f>IF(IF(ISNA(計算結果!P140),"",計算結果!P140)=0,"",IF(ISNA(計算結果!P140),"",計算結果!P140))</f>
        <v/>
      </c>
      <c r="Q140" s="10" t="str">
        <f>IF(IF(ISNA(計算結果!Q140),"",計算結果!Q140)=0,"",IF(ISNA(計算結果!Q140),"",計算結果!Q140))</f>
        <v/>
      </c>
      <c r="R140" s="14" t="str">
        <f t="shared" si="6"/>
        <v/>
      </c>
      <c r="S140" s="14" t="str">
        <f t="shared" si="7"/>
        <v>◯</v>
      </c>
      <c r="T140" s="14" t="str">
        <f t="shared" si="8"/>
        <v/>
      </c>
    </row>
    <row r="141" spans="1:20" hidden="1" x14ac:dyDescent="0.45">
      <c r="A141" s="10" t="str">
        <f>IF(IF(ISNA(計算結果!A141),"",計算結果!A141)=0,"",IF(ISNA(計算結果!A141),"",計算結果!A141))</f>
        <v/>
      </c>
      <c r="B141" s="10" t="str">
        <f>IF(IF(ISNA(計算結果!B141),"",計算結果!B141)=0,"",IF(ISNA(計算結果!B141),"",計算結果!B141))</f>
        <v/>
      </c>
      <c r="C141" s="10" t="str">
        <f>IF(IF(ISNA(計算結果!C141),"",計算結果!C141)=0,"",IF(ISNA(計算結果!C141),"",計算結果!C141))</f>
        <v/>
      </c>
      <c r="D141" s="10" t="str">
        <f>IF(IF(ISNA(計算結果!D141),"",計算結果!D141)=0,"",IF(ISNA(計算結果!D141),"",計算結果!D141))</f>
        <v>L</v>
      </c>
      <c r="E141" s="10" t="str">
        <f>IF(IF(ISNA(計算結果!E141),"",計算結果!E141)=0,"",IF(ISNA(計算結果!E141),"",計算結果!E141))</f>
        <v/>
      </c>
      <c r="F141" s="10" t="str">
        <f>IF(IF(ISNA(計算結果!F141),"",計算結果!F141)=0,"",IF(ISNA(計算結果!F141),"",計算結果!F141))</f>
        <v/>
      </c>
      <c r="G141" s="10" t="str">
        <f>IF(IF(ISNA(計算結果!G141),"",計算結果!G141)=0,"",IF(ISNA(計算結果!G141),"",計算結果!G141))</f>
        <v/>
      </c>
      <c r="H141" s="13">
        <f>IF(IF(ISNA(計算結果!H141),"",計算結果!H141)=0,"",IF(ISNA(計算結果!H141),"",計算結果!H141))</f>
        <v>-2</v>
      </c>
      <c r="I141" s="12" t="str">
        <f>IF(IF(ISNA(計算結果!I141),"",計算結果!I141)=0,"",IF(ISNA(計算結果!I141),"",計算結果!I141))</f>
        <v/>
      </c>
      <c r="J141" s="12" t="str">
        <f>IF(IF(ISNA(計算結果!J141),"",計算結果!J141)=0,"",IF(ISNA(計算結果!J141),"",計算結果!J141))</f>
        <v/>
      </c>
      <c r="K141" s="23" t="str">
        <f>IF(IF(ISNA(計算結果!K141),"",計算結果!K141)=0,"",IF(ISNA(計算結果!K141),"",計算結果!K141))</f>
        <v/>
      </c>
      <c r="L141" s="13" t="str">
        <f>IF(IF(ISNA(計算結果!L141),"",計算結果!L141)=0,"",IF(ISNA(計算結果!L141),"",計算結果!L141))</f>
        <v/>
      </c>
      <c r="M141" s="10" t="str">
        <f>IF(IF(ISNA(計算結果!M141),"",計算結果!M141)=0,"",IF(ISNA(計算結果!M141),"",計算結果!M141))</f>
        <v/>
      </c>
      <c r="N141" s="10" t="str">
        <f>IF(IF(ISNA(計算結果!N141),"",計算結果!N141)=0,"",IF(ISNA(計算結果!N141),"",計算結果!N141))</f>
        <v/>
      </c>
      <c r="O141" s="13" t="str">
        <f>IF(IF(ISNA(計算結果!O141),"",計算結果!O141)=0,"",IF(ISNA(計算結果!O141),"",計算結果!O141))</f>
        <v/>
      </c>
      <c r="P141" s="10" t="str">
        <f>IF(IF(ISNA(計算結果!P141),"",計算結果!P141)=0,"",IF(ISNA(計算結果!P141),"",計算結果!P141))</f>
        <v/>
      </c>
      <c r="Q141" s="10" t="str">
        <f>IF(IF(ISNA(計算結果!Q141),"",計算結果!Q141)=0,"",IF(ISNA(計算結果!Q141),"",計算結果!Q141))</f>
        <v/>
      </c>
      <c r="R141" s="14" t="str">
        <f t="shared" si="6"/>
        <v/>
      </c>
      <c r="S141" s="14" t="str">
        <f t="shared" si="7"/>
        <v>◯</v>
      </c>
      <c r="T141" s="14" t="str">
        <f t="shared" si="8"/>
        <v/>
      </c>
    </row>
    <row r="142" spans="1:20" hidden="1" x14ac:dyDescent="0.45">
      <c r="A142" s="10" t="str">
        <f>IF(IF(ISNA(計算結果!A142),"",計算結果!A142)=0,"",IF(ISNA(計算結果!A142),"",計算結果!A142))</f>
        <v/>
      </c>
      <c r="B142" s="10" t="str">
        <f>IF(IF(ISNA(計算結果!B142),"",計算結果!B142)=0,"",IF(ISNA(計算結果!B142),"",計算結果!B142))</f>
        <v/>
      </c>
      <c r="C142" s="10" t="str">
        <f>IF(IF(ISNA(計算結果!C142),"",計算結果!C142)=0,"",IF(ISNA(計算結果!C142),"",計算結果!C142))</f>
        <v/>
      </c>
      <c r="D142" s="10" t="str">
        <f>IF(IF(ISNA(計算結果!D142),"",計算結果!D142)=0,"",IF(ISNA(計算結果!D142),"",計算結果!D142))</f>
        <v>L</v>
      </c>
      <c r="E142" s="10" t="str">
        <f>IF(IF(ISNA(計算結果!E142),"",計算結果!E142)=0,"",IF(ISNA(計算結果!E142),"",計算結果!E142))</f>
        <v/>
      </c>
      <c r="F142" s="10" t="str">
        <f>IF(IF(ISNA(計算結果!F142),"",計算結果!F142)=0,"",IF(ISNA(計算結果!F142),"",計算結果!F142))</f>
        <v/>
      </c>
      <c r="G142" s="10" t="str">
        <f>IF(IF(ISNA(計算結果!G142),"",計算結果!G142)=0,"",IF(ISNA(計算結果!G142),"",計算結果!G142))</f>
        <v/>
      </c>
      <c r="H142" s="13">
        <f>IF(IF(ISNA(計算結果!H142),"",計算結果!H142)=0,"",IF(ISNA(計算結果!H142),"",計算結果!H142))</f>
        <v>-2</v>
      </c>
      <c r="I142" s="12" t="str">
        <f>IF(IF(ISNA(計算結果!I142),"",計算結果!I142)=0,"",IF(ISNA(計算結果!I142),"",計算結果!I142))</f>
        <v/>
      </c>
      <c r="J142" s="12" t="str">
        <f>IF(IF(ISNA(計算結果!J142),"",計算結果!J142)=0,"",IF(ISNA(計算結果!J142),"",計算結果!J142))</f>
        <v/>
      </c>
      <c r="K142" s="23" t="str">
        <f>IF(IF(ISNA(計算結果!K142),"",計算結果!K142)=0,"",IF(ISNA(計算結果!K142),"",計算結果!K142))</f>
        <v/>
      </c>
      <c r="L142" s="13" t="str">
        <f>IF(IF(ISNA(計算結果!L142),"",計算結果!L142)=0,"",IF(ISNA(計算結果!L142),"",計算結果!L142))</f>
        <v/>
      </c>
      <c r="M142" s="10" t="str">
        <f>IF(IF(ISNA(計算結果!M142),"",計算結果!M142)=0,"",IF(ISNA(計算結果!M142),"",計算結果!M142))</f>
        <v/>
      </c>
      <c r="N142" s="10" t="str">
        <f>IF(IF(ISNA(計算結果!N142),"",計算結果!N142)=0,"",IF(ISNA(計算結果!N142),"",計算結果!N142))</f>
        <v/>
      </c>
      <c r="O142" s="13" t="str">
        <f>IF(IF(ISNA(計算結果!O142),"",計算結果!O142)=0,"",IF(ISNA(計算結果!O142),"",計算結果!O142))</f>
        <v/>
      </c>
      <c r="P142" s="10" t="str">
        <f>IF(IF(ISNA(計算結果!P142),"",計算結果!P142)=0,"",IF(ISNA(計算結果!P142),"",計算結果!P142))</f>
        <v/>
      </c>
      <c r="Q142" s="10" t="str">
        <f>IF(IF(ISNA(計算結果!Q142),"",計算結果!Q142)=0,"",IF(ISNA(計算結果!Q142),"",計算結果!Q142))</f>
        <v/>
      </c>
      <c r="R142" s="14" t="str">
        <f t="shared" si="6"/>
        <v/>
      </c>
      <c r="S142" s="14" t="str">
        <f t="shared" si="7"/>
        <v>◯</v>
      </c>
      <c r="T142" s="14" t="str">
        <f t="shared" si="8"/>
        <v/>
      </c>
    </row>
    <row r="143" spans="1:20" hidden="1" x14ac:dyDescent="0.45">
      <c r="A143" s="10" t="str">
        <f>IF(IF(ISNA(計算結果!A143),"",計算結果!A143)=0,"",IF(ISNA(計算結果!A143),"",計算結果!A143))</f>
        <v/>
      </c>
      <c r="B143" s="10" t="str">
        <f>IF(IF(ISNA(計算結果!B143),"",計算結果!B143)=0,"",IF(ISNA(計算結果!B143),"",計算結果!B143))</f>
        <v/>
      </c>
      <c r="C143" s="10" t="str">
        <f>IF(IF(ISNA(計算結果!C143),"",計算結果!C143)=0,"",IF(ISNA(計算結果!C143),"",計算結果!C143))</f>
        <v/>
      </c>
      <c r="D143" s="10" t="str">
        <f>IF(IF(ISNA(計算結果!D143),"",計算結果!D143)=0,"",IF(ISNA(計算結果!D143),"",計算結果!D143))</f>
        <v>L</v>
      </c>
      <c r="E143" s="10" t="str">
        <f>IF(IF(ISNA(計算結果!E143),"",計算結果!E143)=0,"",IF(ISNA(計算結果!E143),"",計算結果!E143))</f>
        <v/>
      </c>
      <c r="F143" s="10" t="str">
        <f>IF(IF(ISNA(計算結果!F143),"",計算結果!F143)=0,"",IF(ISNA(計算結果!F143),"",計算結果!F143))</f>
        <v/>
      </c>
      <c r="G143" s="10" t="str">
        <f>IF(IF(ISNA(計算結果!G143),"",計算結果!G143)=0,"",IF(ISNA(計算結果!G143),"",計算結果!G143))</f>
        <v/>
      </c>
      <c r="H143" s="13">
        <f>IF(IF(ISNA(計算結果!H143),"",計算結果!H143)=0,"",IF(ISNA(計算結果!H143),"",計算結果!H143))</f>
        <v>-2</v>
      </c>
      <c r="I143" s="12" t="str">
        <f>IF(IF(ISNA(計算結果!I143),"",計算結果!I143)=0,"",IF(ISNA(計算結果!I143),"",計算結果!I143))</f>
        <v/>
      </c>
      <c r="J143" s="12" t="str">
        <f>IF(IF(ISNA(計算結果!J143),"",計算結果!J143)=0,"",IF(ISNA(計算結果!J143),"",計算結果!J143))</f>
        <v/>
      </c>
      <c r="K143" s="23" t="str">
        <f>IF(IF(ISNA(計算結果!K143),"",計算結果!K143)=0,"",IF(ISNA(計算結果!K143),"",計算結果!K143))</f>
        <v/>
      </c>
      <c r="L143" s="13" t="str">
        <f>IF(IF(ISNA(計算結果!L143),"",計算結果!L143)=0,"",IF(ISNA(計算結果!L143),"",計算結果!L143))</f>
        <v/>
      </c>
      <c r="M143" s="10" t="str">
        <f>IF(IF(ISNA(計算結果!M143),"",計算結果!M143)=0,"",IF(ISNA(計算結果!M143),"",計算結果!M143))</f>
        <v/>
      </c>
      <c r="N143" s="10" t="str">
        <f>IF(IF(ISNA(計算結果!N143),"",計算結果!N143)=0,"",IF(ISNA(計算結果!N143),"",計算結果!N143))</f>
        <v/>
      </c>
      <c r="O143" s="13" t="str">
        <f>IF(IF(ISNA(計算結果!O143),"",計算結果!O143)=0,"",IF(ISNA(計算結果!O143),"",計算結果!O143))</f>
        <v/>
      </c>
      <c r="P143" s="10" t="str">
        <f>IF(IF(ISNA(計算結果!P143),"",計算結果!P143)=0,"",IF(ISNA(計算結果!P143),"",計算結果!P143))</f>
        <v/>
      </c>
      <c r="Q143" s="10" t="str">
        <f>IF(IF(ISNA(計算結果!Q143),"",計算結果!Q143)=0,"",IF(ISNA(計算結果!Q143),"",計算結果!Q143))</f>
        <v/>
      </c>
      <c r="R143" s="14" t="str">
        <f t="shared" si="6"/>
        <v/>
      </c>
      <c r="S143" s="14" t="str">
        <f t="shared" si="7"/>
        <v>◯</v>
      </c>
      <c r="T143" s="14" t="str">
        <f t="shared" si="8"/>
        <v/>
      </c>
    </row>
    <row r="144" spans="1:20" hidden="1" x14ac:dyDescent="0.45">
      <c r="A144" s="10" t="str">
        <f>IF(IF(ISNA(計算結果!A144),"",計算結果!A144)=0,"",IF(ISNA(計算結果!A144),"",計算結果!A144))</f>
        <v/>
      </c>
      <c r="B144" s="10" t="str">
        <f>IF(IF(ISNA(計算結果!B144),"",計算結果!B144)=0,"",IF(ISNA(計算結果!B144),"",計算結果!B144))</f>
        <v/>
      </c>
      <c r="C144" s="10" t="str">
        <f>IF(IF(ISNA(計算結果!C144),"",計算結果!C144)=0,"",IF(ISNA(計算結果!C144),"",計算結果!C144))</f>
        <v/>
      </c>
      <c r="D144" s="10" t="str">
        <f>IF(IF(ISNA(計算結果!D144),"",計算結果!D144)=0,"",IF(ISNA(計算結果!D144),"",計算結果!D144))</f>
        <v>L</v>
      </c>
      <c r="E144" s="10" t="str">
        <f>IF(IF(ISNA(計算結果!E144),"",計算結果!E144)=0,"",IF(ISNA(計算結果!E144),"",計算結果!E144))</f>
        <v/>
      </c>
      <c r="F144" s="10" t="str">
        <f>IF(IF(ISNA(計算結果!F144),"",計算結果!F144)=0,"",IF(ISNA(計算結果!F144),"",計算結果!F144))</f>
        <v/>
      </c>
      <c r="G144" s="10" t="str">
        <f>IF(IF(ISNA(計算結果!G144),"",計算結果!G144)=0,"",IF(ISNA(計算結果!G144),"",計算結果!G144))</f>
        <v/>
      </c>
      <c r="H144" s="13">
        <f>IF(IF(ISNA(計算結果!H144),"",計算結果!H144)=0,"",IF(ISNA(計算結果!H144),"",計算結果!H144))</f>
        <v>-2</v>
      </c>
      <c r="I144" s="12" t="str">
        <f>IF(IF(ISNA(計算結果!I144),"",計算結果!I144)=0,"",IF(ISNA(計算結果!I144),"",計算結果!I144))</f>
        <v/>
      </c>
      <c r="J144" s="12" t="str">
        <f>IF(IF(ISNA(計算結果!J144),"",計算結果!J144)=0,"",IF(ISNA(計算結果!J144),"",計算結果!J144))</f>
        <v/>
      </c>
      <c r="K144" s="23" t="str">
        <f>IF(IF(ISNA(計算結果!K144),"",計算結果!K144)=0,"",IF(ISNA(計算結果!K144),"",計算結果!K144))</f>
        <v/>
      </c>
      <c r="L144" s="13" t="str">
        <f>IF(IF(ISNA(計算結果!L144),"",計算結果!L144)=0,"",IF(ISNA(計算結果!L144),"",計算結果!L144))</f>
        <v/>
      </c>
      <c r="M144" s="10" t="str">
        <f>IF(IF(ISNA(計算結果!M144),"",計算結果!M144)=0,"",IF(ISNA(計算結果!M144),"",計算結果!M144))</f>
        <v/>
      </c>
      <c r="N144" s="10" t="str">
        <f>IF(IF(ISNA(計算結果!N144),"",計算結果!N144)=0,"",IF(ISNA(計算結果!N144),"",計算結果!N144))</f>
        <v/>
      </c>
      <c r="O144" s="13" t="str">
        <f>IF(IF(ISNA(計算結果!O144),"",計算結果!O144)=0,"",IF(ISNA(計算結果!O144),"",計算結果!O144))</f>
        <v/>
      </c>
      <c r="P144" s="10" t="str">
        <f>IF(IF(ISNA(計算結果!P144),"",計算結果!P144)=0,"",IF(ISNA(計算結果!P144),"",計算結果!P144))</f>
        <v/>
      </c>
      <c r="Q144" s="10" t="str">
        <f>IF(IF(ISNA(計算結果!Q144),"",計算結果!Q144)=0,"",IF(ISNA(計算結果!Q144),"",計算結果!Q144))</f>
        <v/>
      </c>
      <c r="R144" s="14" t="str">
        <f t="shared" si="6"/>
        <v/>
      </c>
      <c r="S144" s="14" t="str">
        <f t="shared" si="7"/>
        <v>◯</v>
      </c>
      <c r="T144" s="14" t="str">
        <f t="shared" si="8"/>
        <v/>
      </c>
    </row>
    <row r="145" spans="1:20" hidden="1" x14ac:dyDescent="0.45">
      <c r="A145" s="10" t="str">
        <f>IF(IF(ISNA(計算結果!A145),"",計算結果!A145)=0,"",IF(ISNA(計算結果!A145),"",計算結果!A145))</f>
        <v/>
      </c>
      <c r="B145" s="10" t="str">
        <f>IF(IF(ISNA(計算結果!B145),"",計算結果!B145)=0,"",IF(ISNA(計算結果!B145),"",計算結果!B145))</f>
        <v/>
      </c>
      <c r="C145" s="10" t="str">
        <f>IF(IF(ISNA(計算結果!C145),"",計算結果!C145)=0,"",IF(ISNA(計算結果!C145),"",計算結果!C145))</f>
        <v/>
      </c>
      <c r="D145" s="10" t="str">
        <f>IF(IF(ISNA(計算結果!D145),"",計算結果!D145)=0,"",IF(ISNA(計算結果!D145),"",計算結果!D145))</f>
        <v>L</v>
      </c>
      <c r="E145" s="10" t="str">
        <f>IF(IF(ISNA(計算結果!E145),"",計算結果!E145)=0,"",IF(ISNA(計算結果!E145),"",計算結果!E145))</f>
        <v/>
      </c>
      <c r="F145" s="10" t="str">
        <f>IF(IF(ISNA(計算結果!F145),"",計算結果!F145)=0,"",IF(ISNA(計算結果!F145),"",計算結果!F145))</f>
        <v/>
      </c>
      <c r="G145" s="10" t="str">
        <f>IF(IF(ISNA(計算結果!G145),"",計算結果!G145)=0,"",IF(ISNA(計算結果!G145),"",計算結果!G145))</f>
        <v/>
      </c>
      <c r="H145" s="13">
        <f>IF(IF(ISNA(計算結果!H145),"",計算結果!H145)=0,"",IF(ISNA(計算結果!H145),"",計算結果!H145))</f>
        <v>-2</v>
      </c>
      <c r="I145" s="12" t="str">
        <f>IF(IF(ISNA(計算結果!I145),"",計算結果!I145)=0,"",IF(ISNA(計算結果!I145),"",計算結果!I145))</f>
        <v/>
      </c>
      <c r="J145" s="12" t="str">
        <f>IF(IF(ISNA(計算結果!J145),"",計算結果!J145)=0,"",IF(ISNA(計算結果!J145),"",計算結果!J145))</f>
        <v/>
      </c>
      <c r="K145" s="23" t="str">
        <f>IF(IF(ISNA(計算結果!K145),"",計算結果!K145)=0,"",IF(ISNA(計算結果!K145),"",計算結果!K145))</f>
        <v/>
      </c>
      <c r="L145" s="13" t="str">
        <f>IF(IF(ISNA(計算結果!L145),"",計算結果!L145)=0,"",IF(ISNA(計算結果!L145),"",計算結果!L145))</f>
        <v/>
      </c>
      <c r="M145" s="10" t="str">
        <f>IF(IF(ISNA(計算結果!M145),"",計算結果!M145)=0,"",IF(ISNA(計算結果!M145),"",計算結果!M145))</f>
        <v/>
      </c>
      <c r="N145" s="10" t="str">
        <f>IF(IF(ISNA(計算結果!N145),"",計算結果!N145)=0,"",IF(ISNA(計算結果!N145),"",計算結果!N145))</f>
        <v/>
      </c>
      <c r="O145" s="13" t="str">
        <f>IF(IF(ISNA(計算結果!O145),"",計算結果!O145)=0,"",IF(ISNA(計算結果!O145),"",計算結果!O145))</f>
        <v/>
      </c>
      <c r="P145" s="10" t="str">
        <f>IF(IF(ISNA(計算結果!P145),"",計算結果!P145)=0,"",IF(ISNA(計算結果!P145),"",計算結果!P145))</f>
        <v/>
      </c>
      <c r="Q145" s="10" t="str">
        <f>IF(IF(ISNA(計算結果!Q145),"",計算結果!Q145)=0,"",IF(ISNA(計算結果!Q145),"",計算結果!Q145))</f>
        <v/>
      </c>
      <c r="R145" s="14" t="str">
        <f t="shared" si="6"/>
        <v/>
      </c>
      <c r="S145" s="14" t="str">
        <f t="shared" si="7"/>
        <v>◯</v>
      </c>
      <c r="T145" s="14" t="str">
        <f t="shared" si="8"/>
        <v/>
      </c>
    </row>
    <row r="146" spans="1:20" hidden="1" x14ac:dyDescent="0.45">
      <c r="A146" s="10" t="str">
        <f>IF(IF(ISNA(計算結果!A146),"",計算結果!A146)=0,"",IF(ISNA(計算結果!A146),"",計算結果!A146))</f>
        <v/>
      </c>
      <c r="B146" s="10" t="str">
        <f>IF(IF(ISNA(計算結果!B146),"",計算結果!B146)=0,"",IF(ISNA(計算結果!B146),"",計算結果!B146))</f>
        <v/>
      </c>
      <c r="C146" s="10" t="str">
        <f>IF(IF(ISNA(計算結果!C146),"",計算結果!C146)=0,"",IF(ISNA(計算結果!C146),"",計算結果!C146))</f>
        <v/>
      </c>
      <c r="D146" s="10" t="str">
        <f>IF(IF(ISNA(計算結果!D146),"",計算結果!D146)=0,"",IF(ISNA(計算結果!D146),"",計算結果!D146))</f>
        <v>L</v>
      </c>
      <c r="E146" s="10" t="str">
        <f>IF(IF(ISNA(計算結果!E146),"",計算結果!E146)=0,"",IF(ISNA(計算結果!E146),"",計算結果!E146))</f>
        <v/>
      </c>
      <c r="F146" s="10" t="str">
        <f>IF(IF(ISNA(計算結果!F146),"",計算結果!F146)=0,"",IF(ISNA(計算結果!F146),"",計算結果!F146))</f>
        <v/>
      </c>
      <c r="G146" s="10" t="str">
        <f>IF(IF(ISNA(計算結果!G146),"",計算結果!G146)=0,"",IF(ISNA(計算結果!G146),"",計算結果!G146))</f>
        <v/>
      </c>
      <c r="H146" s="13">
        <f>IF(IF(ISNA(計算結果!H146),"",計算結果!H146)=0,"",IF(ISNA(計算結果!H146),"",計算結果!H146))</f>
        <v>-2</v>
      </c>
      <c r="I146" s="12" t="str">
        <f>IF(IF(ISNA(計算結果!I146),"",計算結果!I146)=0,"",IF(ISNA(計算結果!I146),"",計算結果!I146))</f>
        <v/>
      </c>
      <c r="J146" s="12" t="str">
        <f>IF(IF(ISNA(計算結果!J146),"",計算結果!J146)=0,"",IF(ISNA(計算結果!J146),"",計算結果!J146))</f>
        <v/>
      </c>
      <c r="K146" s="23" t="str">
        <f>IF(IF(ISNA(計算結果!K146),"",計算結果!K146)=0,"",IF(ISNA(計算結果!K146),"",計算結果!K146))</f>
        <v/>
      </c>
      <c r="L146" s="13" t="str">
        <f>IF(IF(ISNA(計算結果!L146),"",計算結果!L146)=0,"",IF(ISNA(計算結果!L146),"",計算結果!L146))</f>
        <v/>
      </c>
      <c r="M146" s="10" t="str">
        <f>IF(IF(ISNA(計算結果!M146),"",計算結果!M146)=0,"",IF(ISNA(計算結果!M146),"",計算結果!M146))</f>
        <v/>
      </c>
      <c r="N146" s="10" t="str">
        <f>IF(IF(ISNA(計算結果!N146),"",計算結果!N146)=0,"",IF(ISNA(計算結果!N146),"",計算結果!N146))</f>
        <v/>
      </c>
      <c r="O146" s="13" t="str">
        <f>IF(IF(ISNA(計算結果!O146),"",計算結果!O146)=0,"",IF(ISNA(計算結果!O146),"",計算結果!O146))</f>
        <v/>
      </c>
      <c r="P146" s="10" t="str">
        <f>IF(IF(ISNA(計算結果!P146),"",計算結果!P146)=0,"",IF(ISNA(計算結果!P146),"",計算結果!P146))</f>
        <v/>
      </c>
      <c r="Q146" s="10" t="str">
        <f>IF(IF(ISNA(計算結果!Q146),"",計算結果!Q146)=0,"",IF(ISNA(計算結果!Q146),"",計算結果!Q146))</f>
        <v/>
      </c>
      <c r="R146" s="14" t="str">
        <f t="shared" si="6"/>
        <v/>
      </c>
      <c r="S146" s="14" t="str">
        <f t="shared" si="7"/>
        <v>◯</v>
      </c>
      <c r="T146" s="14" t="str">
        <f t="shared" si="8"/>
        <v/>
      </c>
    </row>
    <row r="147" spans="1:20" hidden="1" x14ac:dyDescent="0.45">
      <c r="A147" s="10" t="str">
        <f>IF(IF(ISNA(計算結果!A147),"",計算結果!A147)=0,"",IF(ISNA(計算結果!A147),"",計算結果!A147))</f>
        <v/>
      </c>
      <c r="B147" s="10" t="str">
        <f>IF(IF(ISNA(計算結果!B147),"",計算結果!B147)=0,"",IF(ISNA(計算結果!B147),"",計算結果!B147))</f>
        <v/>
      </c>
      <c r="C147" s="10" t="str">
        <f>IF(IF(ISNA(計算結果!C147),"",計算結果!C147)=0,"",IF(ISNA(計算結果!C147),"",計算結果!C147))</f>
        <v/>
      </c>
      <c r="D147" s="10" t="str">
        <f>IF(IF(ISNA(計算結果!D147),"",計算結果!D147)=0,"",IF(ISNA(計算結果!D147),"",計算結果!D147))</f>
        <v>L</v>
      </c>
      <c r="E147" s="10" t="str">
        <f>IF(IF(ISNA(計算結果!E147),"",計算結果!E147)=0,"",IF(ISNA(計算結果!E147),"",計算結果!E147))</f>
        <v/>
      </c>
      <c r="F147" s="10" t="str">
        <f>IF(IF(ISNA(計算結果!F147),"",計算結果!F147)=0,"",IF(ISNA(計算結果!F147),"",計算結果!F147))</f>
        <v/>
      </c>
      <c r="G147" s="10" t="str">
        <f>IF(IF(ISNA(計算結果!G147),"",計算結果!G147)=0,"",IF(ISNA(計算結果!G147),"",計算結果!G147))</f>
        <v/>
      </c>
      <c r="H147" s="13">
        <f>IF(IF(ISNA(計算結果!H147),"",計算結果!H147)=0,"",IF(ISNA(計算結果!H147),"",計算結果!H147))</f>
        <v>-2</v>
      </c>
      <c r="I147" s="12" t="str">
        <f>IF(IF(ISNA(計算結果!I147),"",計算結果!I147)=0,"",IF(ISNA(計算結果!I147),"",計算結果!I147))</f>
        <v/>
      </c>
      <c r="J147" s="12" t="str">
        <f>IF(IF(ISNA(計算結果!J147),"",計算結果!J147)=0,"",IF(ISNA(計算結果!J147),"",計算結果!J147))</f>
        <v/>
      </c>
      <c r="K147" s="23" t="str">
        <f>IF(IF(ISNA(計算結果!K147),"",計算結果!K147)=0,"",IF(ISNA(計算結果!K147),"",計算結果!K147))</f>
        <v/>
      </c>
      <c r="L147" s="13" t="str">
        <f>IF(IF(ISNA(計算結果!L147),"",計算結果!L147)=0,"",IF(ISNA(計算結果!L147),"",計算結果!L147))</f>
        <v/>
      </c>
      <c r="M147" s="10" t="str">
        <f>IF(IF(ISNA(計算結果!M147),"",計算結果!M147)=0,"",IF(ISNA(計算結果!M147),"",計算結果!M147))</f>
        <v/>
      </c>
      <c r="N147" s="10" t="str">
        <f>IF(IF(ISNA(計算結果!N147),"",計算結果!N147)=0,"",IF(ISNA(計算結果!N147),"",計算結果!N147))</f>
        <v/>
      </c>
      <c r="O147" s="13" t="str">
        <f>IF(IF(ISNA(計算結果!O147),"",計算結果!O147)=0,"",IF(ISNA(計算結果!O147),"",計算結果!O147))</f>
        <v/>
      </c>
      <c r="P147" s="10" t="str">
        <f>IF(IF(ISNA(計算結果!P147),"",計算結果!P147)=0,"",IF(ISNA(計算結果!P147),"",計算結果!P147))</f>
        <v/>
      </c>
      <c r="Q147" s="10" t="str">
        <f>IF(IF(ISNA(計算結果!Q147),"",計算結果!Q147)=0,"",IF(ISNA(計算結果!Q147),"",計算結果!Q147))</f>
        <v/>
      </c>
      <c r="R147" s="14" t="str">
        <f t="shared" si="6"/>
        <v/>
      </c>
      <c r="S147" s="14" t="str">
        <f t="shared" si="7"/>
        <v>◯</v>
      </c>
      <c r="T147" s="14" t="str">
        <f t="shared" si="8"/>
        <v/>
      </c>
    </row>
    <row r="148" spans="1:20" hidden="1" x14ac:dyDescent="0.45">
      <c r="A148" s="10" t="str">
        <f>IF(IF(ISNA(計算結果!A148),"",計算結果!A148)=0,"",IF(ISNA(計算結果!A148),"",計算結果!A148))</f>
        <v/>
      </c>
      <c r="B148" s="10" t="str">
        <f>IF(IF(ISNA(計算結果!B148),"",計算結果!B148)=0,"",IF(ISNA(計算結果!B148),"",計算結果!B148))</f>
        <v/>
      </c>
      <c r="C148" s="10" t="str">
        <f>IF(IF(ISNA(計算結果!C148),"",計算結果!C148)=0,"",IF(ISNA(計算結果!C148),"",計算結果!C148))</f>
        <v/>
      </c>
      <c r="D148" s="10" t="str">
        <f>IF(IF(ISNA(計算結果!D148),"",計算結果!D148)=0,"",IF(ISNA(計算結果!D148),"",計算結果!D148))</f>
        <v>L</v>
      </c>
      <c r="E148" s="10" t="str">
        <f>IF(IF(ISNA(計算結果!E148),"",計算結果!E148)=0,"",IF(ISNA(計算結果!E148),"",計算結果!E148))</f>
        <v/>
      </c>
      <c r="F148" s="10" t="str">
        <f>IF(IF(ISNA(計算結果!F148),"",計算結果!F148)=0,"",IF(ISNA(計算結果!F148),"",計算結果!F148))</f>
        <v/>
      </c>
      <c r="G148" s="10" t="str">
        <f>IF(IF(ISNA(計算結果!G148),"",計算結果!G148)=0,"",IF(ISNA(計算結果!G148),"",計算結果!G148))</f>
        <v/>
      </c>
      <c r="H148" s="13">
        <f>IF(IF(ISNA(計算結果!H148),"",計算結果!H148)=0,"",IF(ISNA(計算結果!H148),"",計算結果!H148))</f>
        <v>-2</v>
      </c>
      <c r="I148" s="12" t="str">
        <f>IF(IF(ISNA(計算結果!I148),"",計算結果!I148)=0,"",IF(ISNA(計算結果!I148),"",計算結果!I148))</f>
        <v/>
      </c>
      <c r="J148" s="12" t="str">
        <f>IF(IF(ISNA(計算結果!J148),"",計算結果!J148)=0,"",IF(ISNA(計算結果!J148),"",計算結果!J148))</f>
        <v/>
      </c>
      <c r="K148" s="23" t="str">
        <f>IF(IF(ISNA(計算結果!K148),"",計算結果!K148)=0,"",IF(ISNA(計算結果!K148),"",計算結果!K148))</f>
        <v/>
      </c>
      <c r="L148" s="13" t="str">
        <f>IF(IF(ISNA(計算結果!L148),"",計算結果!L148)=0,"",IF(ISNA(計算結果!L148),"",計算結果!L148))</f>
        <v/>
      </c>
      <c r="M148" s="10" t="str">
        <f>IF(IF(ISNA(計算結果!M148),"",計算結果!M148)=0,"",IF(ISNA(計算結果!M148),"",計算結果!M148))</f>
        <v/>
      </c>
      <c r="N148" s="10" t="str">
        <f>IF(IF(ISNA(計算結果!N148),"",計算結果!N148)=0,"",IF(ISNA(計算結果!N148),"",計算結果!N148))</f>
        <v/>
      </c>
      <c r="O148" s="13" t="str">
        <f>IF(IF(ISNA(計算結果!O148),"",計算結果!O148)=0,"",IF(ISNA(計算結果!O148),"",計算結果!O148))</f>
        <v/>
      </c>
      <c r="P148" s="10" t="str">
        <f>IF(IF(ISNA(計算結果!P148),"",計算結果!P148)=0,"",IF(ISNA(計算結果!P148),"",計算結果!P148))</f>
        <v/>
      </c>
      <c r="Q148" s="10" t="str">
        <f>IF(IF(ISNA(計算結果!Q148),"",計算結果!Q148)=0,"",IF(ISNA(計算結果!Q148),"",計算結果!Q148))</f>
        <v/>
      </c>
      <c r="R148" s="14" t="str">
        <f t="shared" si="6"/>
        <v/>
      </c>
      <c r="S148" s="14" t="str">
        <f t="shared" si="7"/>
        <v>◯</v>
      </c>
      <c r="T148" s="14" t="str">
        <f t="shared" si="8"/>
        <v/>
      </c>
    </row>
    <row r="149" spans="1:20" hidden="1" x14ac:dyDescent="0.45">
      <c r="A149" s="10" t="str">
        <f>IF(IF(ISNA(計算結果!A149),"",計算結果!A149)=0,"",IF(ISNA(計算結果!A149),"",計算結果!A149))</f>
        <v/>
      </c>
      <c r="B149" s="10" t="str">
        <f>IF(IF(ISNA(計算結果!B149),"",計算結果!B149)=0,"",IF(ISNA(計算結果!B149),"",計算結果!B149))</f>
        <v/>
      </c>
      <c r="C149" s="10" t="str">
        <f>IF(IF(ISNA(計算結果!C149),"",計算結果!C149)=0,"",IF(ISNA(計算結果!C149),"",計算結果!C149))</f>
        <v/>
      </c>
      <c r="D149" s="10" t="str">
        <f>IF(IF(ISNA(計算結果!D149),"",計算結果!D149)=0,"",IF(ISNA(計算結果!D149),"",計算結果!D149))</f>
        <v>L</v>
      </c>
      <c r="E149" s="10" t="str">
        <f>IF(IF(ISNA(計算結果!E149),"",計算結果!E149)=0,"",IF(ISNA(計算結果!E149),"",計算結果!E149))</f>
        <v/>
      </c>
      <c r="F149" s="10" t="str">
        <f>IF(IF(ISNA(計算結果!F149),"",計算結果!F149)=0,"",IF(ISNA(計算結果!F149),"",計算結果!F149))</f>
        <v/>
      </c>
      <c r="G149" s="10" t="str">
        <f>IF(IF(ISNA(計算結果!G149),"",計算結果!G149)=0,"",IF(ISNA(計算結果!G149),"",計算結果!G149))</f>
        <v/>
      </c>
      <c r="H149" s="13">
        <f>IF(IF(ISNA(計算結果!H149),"",計算結果!H149)=0,"",IF(ISNA(計算結果!H149),"",計算結果!H149))</f>
        <v>-2</v>
      </c>
      <c r="I149" s="12" t="str">
        <f>IF(IF(ISNA(計算結果!I149),"",計算結果!I149)=0,"",IF(ISNA(計算結果!I149),"",計算結果!I149))</f>
        <v/>
      </c>
      <c r="J149" s="12" t="str">
        <f>IF(IF(ISNA(計算結果!J149),"",計算結果!J149)=0,"",IF(ISNA(計算結果!J149),"",計算結果!J149))</f>
        <v/>
      </c>
      <c r="K149" s="23" t="str">
        <f>IF(IF(ISNA(計算結果!K149),"",計算結果!K149)=0,"",IF(ISNA(計算結果!K149),"",計算結果!K149))</f>
        <v/>
      </c>
      <c r="L149" s="13" t="str">
        <f>IF(IF(ISNA(計算結果!L149),"",計算結果!L149)=0,"",IF(ISNA(計算結果!L149),"",計算結果!L149))</f>
        <v/>
      </c>
      <c r="M149" s="10" t="str">
        <f>IF(IF(ISNA(計算結果!M149),"",計算結果!M149)=0,"",IF(ISNA(計算結果!M149),"",計算結果!M149))</f>
        <v/>
      </c>
      <c r="N149" s="10" t="str">
        <f>IF(IF(ISNA(計算結果!N149),"",計算結果!N149)=0,"",IF(ISNA(計算結果!N149),"",計算結果!N149))</f>
        <v/>
      </c>
      <c r="O149" s="13" t="str">
        <f>IF(IF(ISNA(計算結果!O149),"",計算結果!O149)=0,"",IF(ISNA(計算結果!O149),"",計算結果!O149))</f>
        <v/>
      </c>
      <c r="P149" s="10" t="str">
        <f>IF(IF(ISNA(計算結果!P149),"",計算結果!P149)=0,"",IF(ISNA(計算結果!P149),"",計算結果!P149))</f>
        <v/>
      </c>
      <c r="Q149" s="10" t="str">
        <f>IF(IF(ISNA(計算結果!Q149),"",計算結果!Q149)=0,"",IF(ISNA(計算結果!Q149),"",計算結果!Q149))</f>
        <v/>
      </c>
      <c r="R149" s="14" t="str">
        <f t="shared" si="6"/>
        <v/>
      </c>
      <c r="S149" s="14" t="str">
        <f t="shared" si="7"/>
        <v>◯</v>
      </c>
      <c r="T149" s="14" t="str">
        <f t="shared" si="8"/>
        <v/>
      </c>
    </row>
    <row r="150" spans="1:20" hidden="1" x14ac:dyDescent="0.45">
      <c r="A150" s="10" t="str">
        <f>IF(IF(ISNA(計算結果!A150),"",計算結果!A150)=0,"",IF(ISNA(計算結果!A150),"",計算結果!A150))</f>
        <v/>
      </c>
      <c r="B150" s="10" t="str">
        <f>IF(IF(ISNA(計算結果!B150),"",計算結果!B150)=0,"",IF(ISNA(計算結果!B150),"",計算結果!B150))</f>
        <v/>
      </c>
      <c r="C150" s="10" t="str">
        <f>IF(IF(ISNA(計算結果!C150),"",計算結果!C150)=0,"",IF(ISNA(計算結果!C150),"",計算結果!C150))</f>
        <v/>
      </c>
      <c r="D150" s="10" t="str">
        <f>IF(IF(ISNA(計算結果!D150),"",計算結果!D150)=0,"",IF(ISNA(計算結果!D150),"",計算結果!D150))</f>
        <v>L</v>
      </c>
      <c r="E150" s="10" t="str">
        <f>IF(IF(ISNA(計算結果!E150),"",計算結果!E150)=0,"",IF(ISNA(計算結果!E150),"",計算結果!E150))</f>
        <v/>
      </c>
      <c r="F150" s="10" t="str">
        <f>IF(IF(ISNA(計算結果!F150),"",計算結果!F150)=0,"",IF(ISNA(計算結果!F150),"",計算結果!F150))</f>
        <v/>
      </c>
      <c r="G150" s="10" t="str">
        <f>IF(IF(ISNA(計算結果!G150),"",計算結果!G150)=0,"",IF(ISNA(計算結果!G150),"",計算結果!G150))</f>
        <v/>
      </c>
      <c r="H150" s="13">
        <f>IF(IF(ISNA(計算結果!H150),"",計算結果!H150)=0,"",IF(ISNA(計算結果!H150),"",計算結果!H150))</f>
        <v>-2</v>
      </c>
      <c r="I150" s="12" t="str">
        <f>IF(IF(ISNA(計算結果!I150),"",計算結果!I150)=0,"",IF(ISNA(計算結果!I150),"",計算結果!I150))</f>
        <v/>
      </c>
      <c r="J150" s="12" t="str">
        <f>IF(IF(ISNA(計算結果!J150),"",計算結果!J150)=0,"",IF(ISNA(計算結果!J150),"",計算結果!J150))</f>
        <v/>
      </c>
      <c r="K150" s="23" t="str">
        <f>IF(IF(ISNA(計算結果!K150),"",計算結果!K150)=0,"",IF(ISNA(計算結果!K150),"",計算結果!K150))</f>
        <v/>
      </c>
      <c r="L150" s="13" t="str">
        <f>IF(IF(ISNA(計算結果!L150),"",計算結果!L150)=0,"",IF(ISNA(計算結果!L150),"",計算結果!L150))</f>
        <v/>
      </c>
      <c r="M150" s="10" t="str">
        <f>IF(IF(ISNA(計算結果!M150),"",計算結果!M150)=0,"",IF(ISNA(計算結果!M150),"",計算結果!M150))</f>
        <v/>
      </c>
      <c r="N150" s="10" t="str">
        <f>IF(IF(ISNA(計算結果!N150),"",計算結果!N150)=0,"",IF(ISNA(計算結果!N150),"",計算結果!N150))</f>
        <v/>
      </c>
      <c r="O150" s="13" t="str">
        <f>IF(IF(ISNA(計算結果!O150),"",計算結果!O150)=0,"",IF(ISNA(計算結果!O150),"",計算結果!O150))</f>
        <v/>
      </c>
      <c r="P150" s="10" t="str">
        <f>IF(IF(ISNA(計算結果!P150),"",計算結果!P150)=0,"",IF(ISNA(計算結果!P150),"",計算結果!P150))</f>
        <v/>
      </c>
      <c r="Q150" s="10" t="str">
        <f>IF(IF(ISNA(計算結果!Q150),"",計算結果!Q150)=0,"",IF(ISNA(計算結果!Q150),"",計算結果!Q150))</f>
        <v/>
      </c>
      <c r="R150" s="14" t="str">
        <f t="shared" si="6"/>
        <v/>
      </c>
      <c r="S150" s="14" t="str">
        <f t="shared" si="7"/>
        <v>◯</v>
      </c>
      <c r="T150" s="14" t="str">
        <f t="shared" si="8"/>
        <v/>
      </c>
    </row>
    <row r="151" spans="1:20" hidden="1" x14ac:dyDescent="0.45">
      <c r="A151" s="10" t="str">
        <f>IF(IF(ISNA(計算結果!A151),"",計算結果!A151)=0,"",IF(ISNA(計算結果!A151),"",計算結果!A151))</f>
        <v/>
      </c>
      <c r="B151" s="10" t="str">
        <f>IF(IF(ISNA(計算結果!B151),"",計算結果!B151)=0,"",IF(ISNA(計算結果!B151),"",計算結果!B151))</f>
        <v/>
      </c>
      <c r="C151" s="10" t="str">
        <f>IF(IF(ISNA(計算結果!C151),"",計算結果!C151)=0,"",IF(ISNA(計算結果!C151),"",計算結果!C151))</f>
        <v/>
      </c>
      <c r="D151" s="10" t="str">
        <f>IF(IF(ISNA(計算結果!D151),"",計算結果!D151)=0,"",IF(ISNA(計算結果!D151),"",計算結果!D151))</f>
        <v>L</v>
      </c>
      <c r="E151" s="10" t="str">
        <f>IF(IF(ISNA(計算結果!E151),"",計算結果!E151)=0,"",IF(ISNA(計算結果!E151),"",計算結果!E151))</f>
        <v/>
      </c>
      <c r="F151" s="10" t="str">
        <f>IF(IF(ISNA(計算結果!F151),"",計算結果!F151)=0,"",IF(ISNA(計算結果!F151),"",計算結果!F151))</f>
        <v/>
      </c>
      <c r="G151" s="10" t="str">
        <f>IF(IF(ISNA(計算結果!G151),"",計算結果!G151)=0,"",IF(ISNA(計算結果!G151),"",計算結果!G151))</f>
        <v/>
      </c>
      <c r="H151" s="13">
        <f>IF(IF(ISNA(計算結果!H151),"",計算結果!H151)=0,"",IF(ISNA(計算結果!H151),"",計算結果!H151))</f>
        <v>-2</v>
      </c>
      <c r="I151" s="12" t="str">
        <f>IF(IF(ISNA(計算結果!I151),"",計算結果!I151)=0,"",IF(ISNA(計算結果!I151),"",計算結果!I151))</f>
        <v/>
      </c>
      <c r="J151" s="12" t="str">
        <f>IF(IF(ISNA(計算結果!J151),"",計算結果!J151)=0,"",IF(ISNA(計算結果!J151),"",計算結果!J151))</f>
        <v/>
      </c>
      <c r="K151" s="23" t="str">
        <f>IF(IF(ISNA(計算結果!K151),"",計算結果!K151)=0,"",IF(ISNA(計算結果!K151),"",計算結果!K151))</f>
        <v/>
      </c>
      <c r="L151" s="13" t="str">
        <f>IF(IF(ISNA(計算結果!L151),"",計算結果!L151)=0,"",IF(ISNA(計算結果!L151),"",計算結果!L151))</f>
        <v/>
      </c>
      <c r="M151" s="10" t="str">
        <f>IF(IF(ISNA(計算結果!M151),"",計算結果!M151)=0,"",IF(ISNA(計算結果!M151),"",計算結果!M151))</f>
        <v/>
      </c>
      <c r="N151" s="10" t="str">
        <f>IF(IF(ISNA(計算結果!N151),"",計算結果!N151)=0,"",IF(ISNA(計算結果!N151),"",計算結果!N151))</f>
        <v/>
      </c>
      <c r="O151" s="13" t="str">
        <f>IF(IF(ISNA(計算結果!O151),"",計算結果!O151)=0,"",IF(ISNA(計算結果!O151),"",計算結果!O151))</f>
        <v/>
      </c>
      <c r="P151" s="10" t="str">
        <f>IF(IF(ISNA(計算結果!P151),"",計算結果!P151)=0,"",IF(ISNA(計算結果!P151),"",計算結果!P151))</f>
        <v/>
      </c>
      <c r="Q151" s="10" t="str">
        <f>IF(IF(ISNA(計算結果!Q151),"",計算結果!Q151)=0,"",IF(ISNA(計算結果!Q151),"",計算結果!Q151))</f>
        <v/>
      </c>
      <c r="R151" s="14" t="str">
        <f t="shared" si="6"/>
        <v/>
      </c>
      <c r="S151" s="14" t="str">
        <f t="shared" si="7"/>
        <v>◯</v>
      </c>
      <c r="T151" s="14" t="str">
        <f t="shared" si="8"/>
        <v/>
      </c>
    </row>
    <row r="152" spans="1:20" hidden="1" x14ac:dyDescent="0.45">
      <c r="A152" s="10" t="str">
        <f>IF(IF(ISNA(計算結果!A152),"",計算結果!A152)=0,"",IF(ISNA(計算結果!A152),"",計算結果!A152))</f>
        <v/>
      </c>
      <c r="B152" s="10" t="str">
        <f>IF(IF(ISNA(計算結果!B152),"",計算結果!B152)=0,"",IF(ISNA(計算結果!B152),"",計算結果!B152))</f>
        <v/>
      </c>
      <c r="C152" s="10" t="str">
        <f>IF(IF(ISNA(計算結果!C152),"",計算結果!C152)=0,"",IF(ISNA(計算結果!C152),"",計算結果!C152))</f>
        <v/>
      </c>
      <c r="D152" s="10" t="str">
        <f>IF(IF(ISNA(計算結果!D152),"",計算結果!D152)=0,"",IF(ISNA(計算結果!D152),"",計算結果!D152))</f>
        <v>L</v>
      </c>
      <c r="E152" s="10" t="str">
        <f>IF(IF(ISNA(計算結果!E152),"",計算結果!E152)=0,"",IF(ISNA(計算結果!E152),"",計算結果!E152))</f>
        <v/>
      </c>
      <c r="F152" s="10" t="str">
        <f>IF(IF(ISNA(計算結果!F152),"",計算結果!F152)=0,"",IF(ISNA(計算結果!F152),"",計算結果!F152))</f>
        <v/>
      </c>
      <c r="G152" s="10" t="str">
        <f>IF(IF(ISNA(計算結果!G152),"",計算結果!G152)=0,"",IF(ISNA(計算結果!G152),"",計算結果!G152))</f>
        <v/>
      </c>
      <c r="H152" s="13">
        <f>IF(IF(ISNA(計算結果!H152),"",計算結果!H152)=0,"",IF(ISNA(計算結果!H152),"",計算結果!H152))</f>
        <v>-2</v>
      </c>
      <c r="I152" s="12" t="str">
        <f>IF(IF(ISNA(計算結果!I152),"",計算結果!I152)=0,"",IF(ISNA(計算結果!I152),"",計算結果!I152))</f>
        <v/>
      </c>
      <c r="J152" s="12" t="str">
        <f>IF(IF(ISNA(計算結果!J152),"",計算結果!J152)=0,"",IF(ISNA(計算結果!J152),"",計算結果!J152))</f>
        <v/>
      </c>
      <c r="K152" s="23" t="str">
        <f>IF(IF(ISNA(計算結果!K152),"",計算結果!K152)=0,"",IF(ISNA(計算結果!K152),"",計算結果!K152))</f>
        <v/>
      </c>
      <c r="L152" s="13" t="str">
        <f>IF(IF(ISNA(計算結果!L152),"",計算結果!L152)=0,"",IF(ISNA(計算結果!L152),"",計算結果!L152))</f>
        <v/>
      </c>
      <c r="M152" s="10" t="str">
        <f>IF(IF(ISNA(計算結果!M152),"",計算結果!M152)=0,"",IF(ISNA(計算結果!M152),"",計算結果!M152))</f>
        <v/>
      </c>
      <c r="N152" s="10" t="str">
        <f>IF(IF(ISNA(計算結果!N152),"",計算結果!N152)=0,"",IF(ISNA(計算結果!N152),"",計算結果!N152))</f>
        <v/>
      </c>
      <c r="O152" s="13" t="str">
        <f>IF(IF(ISNA(計算結果!O152),"",計算結果!O152)=0,"",IF(ISNA(計算結果!O152),"",計算結果!O152))</f>
        <v/>
      </c>
      <c r="P152" s="10" t="str">
        <f>IF(IF(ISNA(計算結果!P152),"",計算結果!P152)=0,"",IF(ISNA(計算結果!P152),"",計算結果!P152))</f>
        <v/>
      </c>
      <c r="Q152" s="10" t="str">
        <f>IF(IF(ISNA(計算結果!Q152),"",計算結果!Q152)=0,"",IF(ISNA(計算結果!Q152),"",計算結果!Q152))</f>
        <v/>
      </c>
      <c r="R152" s="14" t="str">
        <f t="shared" si="6"/>
        <v/>
      </c>
      <c r="S152" s="14" t="str">
        <f t="shared" si="7"/>
        <v>◯</v>
      </c>
      <c r="T152" s="14" t="str">
        <f t="shared" si="8"/>
        <v/>
      </c>
    </row>
    <row r="153" spans="1:20" hidden="1" x14ac:dyDescent="0.45">
      <c r="A153" s="10" t="str">
        <f>IF(IF(ISNA(計算結果!A153),"",計算結果!A153)=0,"",IF(ISNA(計算結果!A153),"",計算結果!A153))</f>
        <v/>
      </c>
      <c r="B153" s="10" t="str">
        <f>IF(IF(ISNA(計算結果!B153),"",計算結果!B153)=0,"",IF(ISNA(計算結果!B153),"",計算結果!B153))</f>
        <v/>
      </c>
      <c r="C153" s="10" t="str">
        <f>IF(IF(ISNA(計算結果!C153),"",計算結果!C153)=0,"",IF(ISNA(計算結果!C153),"",計算結果!C153))</f>
        <v/>
      </c>
      <c r="D153" s="10" t="str">
        <f>IF(IF(ISNA(計算結果!D153),"",計算結果!D153)=0,"",IF(ISNA(計算結果!D153),"",計算結果!D153))</f>
        <v>L</v>
      </c>
      <c r="E153" s="10" t="str">
        <f>IF(IF(ISNA(計算結果!E153),"",計算結果!E153)=0,"",IF(ISNA(計算結果!E153),"",計算結果!E153))</f>
        <v/>
      </c>
      <c r="F153" s="10" t="str">
        <f>IF(IF(ISNA(計算結果!F153),"",計算結果!F153)=0,"",IF(ISNA(計算結果!F153),"",計算結果!F153))</f>
        <v/>
      </c>
      <c r="G153" s="10" t="str">
        <f>IF(IF(ISNA(計算結果!G153),"",計算結果!G153)=0,"",IF(ISNA(計算結果!G153),"",計算結果!G153))</f>
        <v/>
      </c>
      <c r="H153" s="13">
        <f>IF(IF(ISNA(計算結果!H153),"",計算結果!H153)=0,"",IF(ISNA(計算結果!H153),"",計算結果!H153))</f>
        <v>-2</v>
      </c>
      <c r="I153" s="12" t="str">
        <f>IF(IF(ISNA(計算結果!I153),"",計算結果!I153)=0,"",IF(ISNA(計算結果!I153),"",計算結果!I153))</f>
        <v/>
      </c>
      <c r="J153" s="12" t="str">
        <f>IF(IF(ISNA(計算結果!J153),"",計算結果!J153)=0,"",IF(ISNA(計算結果!J153),"",計算結果!J153))</f>
        <v/>
      </c>
      <c r="K153" s="23" t="str">
        <f>IF(IF(ISNA(計算結果!K153),"",計算結果!K153)=0,"",IF(ISNA(計算結果!K153),"",計算結果!K153))</f>
        <v/>
      </c>
      <c r="L153" s="13" t="str">
        <f>IF(IF(ISNA(計算結果!L153),"",計算結果!L153)=0,"",IF(ISNA(計算結果!L153),"",計算結果!L153))</f>
        <v/>
      </c>
      <c r="M153" s="10" t="str">
        <f>IF(IF(ISNA(計算結果!M153),"",計算結果!M153)=0,"",IF(ISNA(計算結果!M153),"",計算結果!M153))</f>
        <v/>
      </c>
      <c r="N153" s="10" t="str">
        <f>IF(IF(ISNA(計算結果!N153),"",計算結果!N153)=0,"",IF(ISNA(計算結果!N153),"",計算結果!N153))</f>
        <v/>
      </c>
      <c r="O153" s="13" t="str">
        <f>IF(IF(ISNA(計算結果!O153),"",計算結果!O153)=0,"",IF(ISNA(計算結果!O153),"",計算結果!O153))</f>
        <v/>
      </c>
      <c r="P153" s="10" t="str">
        <f>IF(IF(ISNA(計算結果!P153),"",計算結果!P153)=0,"",IF(ISNA(計算結果!P153),"",計算結果!P153))</f>
        <v/>
      </c>
      <c r="Q153" s="10" t="str">
        <f>IF(IF(ISNA(計算結果!Q153),"",計算結果!Q153)=0,"",IF(ISNA(計算結果!Q153),"",計算結果!Q153))</f>
        <v/>
      </c>
      <c r="R153" s="14" t="str">
        <f t="shared" si="6"/>
        <v/>
      </c>
      <c r="S153" s="14" t="str">
        <f t="shared" si="7"/>
        <v>◯</v>
      </c>
      <c r="T153" s="14" t="str">
        <f t="shared" si="8"/>
        <v/>
      </c>
    </row>
    <row r="154" spans="1:20" hidden="1" x14ac:dyDescent="0.45">
      <c r="A154" s="10" t="str">
        <f>IF(IF(ISNA(計算結果!A154),"",計算結果!A154)=0,"",IF(ISNA(計算結果!A154),"",計算結果!A154))</f>
        <v/>
      </c>
      <c r="B154" s="10" t="str">
        <f>IF(IF(ISNA(計算結果!B154),"",計算結果!B154)=0,"",IF(ISNA(計算結果!B154),"",計算結果!B154))</f>
        <v/>
      </c>
      <c r="C154" s="10" t="str">
        <f>IF(IF(ISNA(計算結果!C154),"",計算結果!C154)=0,"",IF(ISNA(計算結果!C154),"",計算結果!C154))</f>
        <v/>
      </c>
      <c r="D154" s="10" t="str">
        <f>IF(IF(ISNA(計算結果!D154),"",計算結果!D154)=0,"",IF(ISNA(計算結果!D154),"",計算結果!D154))</f>
        <v>L</v>
      </c>
      <c r="E154" s="10" t="str">
        <f>IF(IF(ISNA(計算結果!E154),"",計算結果!E154)=0,"",IF(ISNA(計算結果!E154),"",計算結果!E154))</f>
        <v/>
      </c>
      <c r="F154" s="10" t="str">
        <f>IF(IF(ISNA(計算結果!F154),"",計算結果!F154)=0,"",IF(ISNA(計算結果!F154),"",計算結果!F154))</f>
        <v/>
      </c>
      <c r="G154" s="10" t="str">
        <f>IF(IF(ISNA(計算結果!G154),"",計算結果!G154)=0,"",IF(ISNA(計算結果!G154),"",計算結果!G154))</f>
        <v/>
      </c>
      <c r="H154" s="13">
        <f>IF(IF(ISNA(計算結果!H154),"",計算結果!H154)=0,"",IF(ISNA(計算結果!H154),"",計算結果!H154))</f>
        <v>-2</v>
      </c>
      <c r="I154" s="12" t="str">
        <f>IF(IF(ISNA(計算結果!I154),"",計算結果!I154)=0,"",IF(ISNA(計算結果!I154),"",計算結果!I154))</f>
        <v/>
      </c>
      <c r="J154" s="12" t="str">
        <f>IF(IF(ISNA(計算結果!J154),"",計算結果!J154)=0,"",IF(ISNA(計算結果!J154),"",計算結果!J154))</f>
        <v/>
      </c>
      <c r="K154" s="23" t="str">
        <f>IF(IF(ISNA(計算結果!K154),"",計算結果!K154)=0,"",IF(ISNA(計算結果!K154),"",計算結果!K154))</f>
        <v/>
      </c>
      <c r="L154" s="13" t="str">
        <f>IF(IF(ISNA(計算結果!L154),"",計算結果!L154)=0,"",IF(ISNA(計算結果!L154),"",計算結果!L154))</f>
        <v/>
      </c>
      <c r="M154" s="10" t="str">
        <f>IF(IF(ISNA(計算結果!M154),"",計算結果!M154)=0,"",IF(ISNA(計算結果!M154),"",計算結果!M154))</f>
        <v/>
      </c>
      <c r="N154" s="10" t="str">
        <f>IF(IF(ISNA(計算結果!N154),"",計算結果!N154)=0,"",IF(ISNA(計算結果!N154),"",計算結果!N154))</f>
        <v/>
      </c>
      <c r="O154" s="13" t="str">
        <f>IF(IF(ISNA(計算結果!O154),"",計算結果!O154)=0,"",IF(ISNA(計算結果!O154),"",計算結果!O154))</f>
        <v/>
      </c>
      <c r="P154" s="10" t="str">
        <f>IF(IF(ISNA(計算結果!P154),"",計算結果!P154)=0,"",IF(ISNA(計算結果!P154),"",計算結果!P154))</f>
        <v/>
      </c>
      <c r="Q154" s="10" t="str">
        <f>IF(IF(ISNA(計算結果!Q154),"",計算結果!Q154)=0,"",IF(ISNA(計算結果!Q154),"",計算結果!Q154))</f>
        <v/>
      </c>
      <c r="R154" s="14" t="str">
        <f t="shared" si="6"/>
        <v/>
      </c>
      <c r="S154" s="14" t="str">
        <f t="shared" si="7"/>
        <v>◯</v>
      </c>
      <c r="T154" s="14" t="str">
        <f t="shared" si="8"/>
        <v/>
      </c>
    </row>
    <row r="155" spans="1:20" hidden="1" x14ac:dyDescent="0.45">
      <c r="A155" s="10" t="str">
        <f>IF(IF(ISNA(計算結果!A155),"",計算結果!A155)=0,"",IF(ISNA(計算結果!A155),"",計算結果!A155))</f>
        <v/>
      </c>
      <c r="B155" s="10" t="str">
        <f>IF(IF(ISNA(計算結果!B155),"",計算結果!B155)=0,"",IF(ISNA(計算結果!B155),"",計算結果!B155))</f>
        <v/>
      </c>
      <c r="C155" s="10" t="str">
        <f>IF(IF(ISNA(計算結果!C155),"",計算結果!C155)=0,"",IF(ISNA(計算結果!C155),"",計算結果!C155))</f>
        <v/>
      </c>
      <c r="D155" s="10" t="str">
        <f>IF(IF(ISNA(計算結果!D155),"",計算結果!D155)=0,"",IF(ISNA(計算結果!D155),"",計算結果!D155))</f>
        <v>L</v>
      </c>
      <c r="E155" s="10" t="str">
        <f>IF(IF(ISNA(計算結果!E155),"",計算結果!E155)=0,"",IF(ISNA(計算結果!E155),"",計算結果!E155))</f>
        <v/>
      </c>
      <c r="F155" s="10" t="str">
        <f>IF(IF(ISNA(計算結果!F155),"",計算結果!F155)=0,"",IF(ISNA(計算結果!F155),"",計算結果!F155))</f>
        <v/>
      </c>
      <c r="G155" s="10" t="str">
        <f>IF(IF(ISNA(計算結果!G155),"",計算結果!G155)=0,"",IF(ISNA(計算結果!G155),"",計算結果!G155))</f>
        <v/>
      </c>
      <c r="H155" s="13">
        <f>IF(IF(ISNA(計算結果!H155),"",計算結果!H155)=0,"",IF(ISNA(計算結果!H155),"",計算結果!H155))</f>
        <v>-2</v>
      </c>
      <c r="I155" s="12" t="str">
        <f>IF(IF(ISNA(計算結果!I155),"",計算結果!I155)=0,"",IF(ISNA(計算結果!I155),"",計算結果!I155))</f>
        <v/>
      </c>
      <c r="J155" s="12" t="str">
        <f>IF(IF(ISNA(計算結果!J155),"",計算結果!J155)=0,"",IF(ISNA(計算結果!J155),"",計算結果!J155))</f>
        <v/>
      </c>
      <c r="K155" s="23" t="str">
        <f>IF(IF(ISNA(計算結果!K155),"",計算結果!K155)=0,"",IF(ISNA(計算結果!K155),"",計算結果!K155))</f>
        <v/>
      </c>
      <c r="L155" s="13" t="str">
        <f>IF(IF(ISNA(計算結果!L155),"",計算結果!L155)=0,"",IF(ISNA(計算結果!L155),"",計算結果!L155))</f>
        <v/>
      </c>
      <c r="M155" s="10" t="str">
        <f>IF(IF(ISNA(計算結果!M155),"",計算結果!M155)=0,"",IF(ISNA(計算結果!M155),"",計算結果!M155))</f>
        <v/>
      </c>
      <c r="N155" s="10" t="str">
        <f>IF(IF(ISNA(計算結果!N155),"",計算結果!N155)=0,"",IF(ISNA(計算結果!N155),"",計算結果!N155))</f>
        <v/>
      </c>
      <c r="O155" s="13" t="str">
        <f>IF(IF(ISNA(計算結果!O155),"",計算結果!O155)=0,"",IF(ISNA(計算結果!O155),"",計算結果!O155))</f>
        <v/>
      </c>
      <c r="P155" s="10" t="str">
        <f>IF(IF(ISNA(計算結果!P155),"",計算結果!P155)=0,"",IF(ISNA(計算結果!P155),"",計算結果!P155))</f>
        <v/>
      </c>
      <c r="Q155" s="10" t="str">
        <f>IF(IF(ISNA(計算結果!Q155),"",計算結果!Q155)=0,"",IF(ISNA(計算結果!Q155),"",計算結果!Q155))</f>
        <v/>
      </c>
      <c r="R155" s="14" t="str">
        <f t="shared" si="6"/>
        <v/>
      </c>
      <c r="S155" s="14" t="str">
        <f t="shared" si="7"/>
        <v>◯</v>
      </c>
      <c r="T155" s="14" t="str">
        <f t="shared" si="8"/>
        <v/>
      </c>
    </row>
    <row r="156" spans="1:20" hidden="1" x14ac:dyDescent="0.45">
      <c r="A156" s="10" t="str">
        <f>IF(IF(ISNA(計算結果!A156),"",計算結果!A156)=0,"",IF(ISNA(計算結果!A156),"",計算結果!A156))</f>
        <v/>
      </c>
      <c r="B156" s="10" t="str">
        <f>IF(IF(ISNA(計算結果!B156),"",計算結果!B156)=0,"",IF(ISNA(計算結果!B156),"",計算結果!B156))</f>
        <v/>
      </c>
      <c r="C156" s="10" t="str">
        <f>IF(IF(ISNA(計算結果!C156),"",計算結果!C156)=0,"",IF(ISNA(計算結果!C156),"",計算結果!C156))</f>
        <v/>
      </c>
      <c r="D156" s="10" t="str">
        <f>IF(IF(ISNA(計算結果!D156),"",計算結果!D156)=0,"",IF(ISNA(計算結果!D156),"",計算結果!D156))</f>
        <v>L</v>
      </c>
      <c r="E156" s="10" t="str">
        <f>IF(IF(ISNA(計算結果!E156),"",計算結果!E156)=0,"",IF(ISNA(計算結果!E156),"",計算結果!E156))</f>
        <v/>
      </c>
      <c r="F156" s="10" t="str">
        <f>IF(IF(ISNA(計算結果!F156),"",計算結果!F156)=0,"",IF(ISNA(計算結果!F156),"",計算結果!F156))</f>
        <v/>
      </c>
      <c r="G156" s="10" t="str">
        <f>IF(IF(ISNA(計算結果!G156),"",計算結果!G156)=0,"",IF(ISNA(計算結果!G156),"",計算結果!G156))</f>
        <v/>
      </c>
      <c r="H156" s="13">
        <f>IF(IF(ISNA(計算結果!H156),"",計算結果!H156)=0,"",IF(ISNA(計算結果!H156),"",計算結果!H156))</f>
        <v>-2</v>
      </c>
      <c r="I156" s="12" t="str">
        <f>IF(IF(ISNA(計算結果!I156),"",計算結果!I156)=0,"",IF(ISNA(計算結果!I156),"",計算結果!I156))</f>
        <v/>
      </c>
      <c r="J156" s="12" t="str">
        <f>IF(IF(ISNA(計算結果!J156),"",計算結果!J156)=0,"",IF(ISNA(計算結果!J156),"",計算結果!J156))</f>
        <v/>
      </c>
      <c r="K156" s="23" t="str">
        <f>IF(IF(ISNA(計算結果!K156),"",計算結果!K156)=0,"",IF(ISNA(計算結果!K156),"",計算結果!K156))</f>
        <v/>
      </c>
      <c r="L156" s="13" t="str">
        <f>IF(IF(ISNA(計算結果!L156),"",計算結果!L156)=0,"",IF(ISNA(計算結果!L156),"",計算結果!L156))</f>
        <v/>
      </c>
      <c r="M156" s="10" t="str">
        <f>IF(IF(ISNA(計算結果!M156),"",計算結果!M156)=0,"",IF(ISNA(計算結果!M156),"",計算結果!M156))</f>
        <v/>
      </c>
      <c r="N156" s="10" t="str">
        <f>IF(IF(ISNA(計算結果!N156),"",計算結果!N156)=0,"",IF(ISNA(計算結果!N156),"",計算結果!N156))</f>
        <v/>
      </c>
      <c r="O156" s="13" t="str">
        <f>IF(IF(ISNA(計算結果!O156),"",計算結果!O156)=0,"",IF(ISNA(計算結果!O156),"",計算結果!O156))</f>
        <v/>
      </c>
      <c r="P156" s="10" t="str">
        <f>IF(IF(ISNA(計算結果!P156),"",計算結果!P156)=0,"",IF(ISNA(計算結果!P156),"",計算結果!P156))</f>
        <v/>
      </c>
      <c r="Q156" s="10" t="str">
        <f>IF(IF(ISNA(計算結果!Q156),"",計算結果!Q156)=0,"",IF(ISNA(計算結果!Q156),"",計算結果!Q156))</f>
        <v/>
      </c>
      <c r="R156" s="14" t="str">
        <f t="shared" si="6"/>
        <v/>
      </c>
      <c r="S156" s="14" t="str">
        <f t="shared" si="7"/>
        <v>◯</v>
      </c>
      <c r="T156" s="14" t="str">
        <f t="shared" si="8"/>
        <v/>
      </c>
    </row>
    <row r="157" spans="1:20" hidden="1" x14ac:dyDescent="0.45">
      <c r="A157" s="10" t="str">
        <f>IF(IF(ISNA(計算結果!A157),"",計算結果!A157)=0,"",IF(ISNA(計算結果!A157),"",計算結果!A157))</f>
        <v/>
      </c>
      <c r="B157" s="10" t="str">
        <f>IF(IF(ISNA(計算結果!B157),"",計算結果!B157)=0,"",IF(ISNA(計算結果!B157),"",計算結果!B157))</f>
        <v/>
      </c>
      <c r="C157" s="10" t="str">
        <f>IF(IF(ISNA(計算結果!C157),"",計算結果!C157)=0,"",IF(ISNA(計算結果!C157),"",計算結果!C157))</f>
        <v/>
      </c>
      <c r="D157" s="10" t="str">
        <f>IF(IF(ISNA(計算結果!D157),"",計算結果!D157)=0,"",IF(ISNA(計算結果!D157),"",計算結果!D157))</f>
        <v>L</v>
      </c>
      <c r="E157" s="10" t="str">
        <f>IF(IF(ISNA(計算結果!E157),"",計算結果!E157)=0,"",IF(ISNA(計算結果!E157),"",計算結果!E157))</f>
        <v/>
      </c>
      <c r="F157" s="10" t="str">
        <f>IF(IF(ISNA(計算結果!F157),"",計算結果!F157)=0,"",IF(ISNA(計算結果!F157),"",計算結果!F157))</f>
        <v/>
      </c>
      <c r="G157" s="10" t="str">
        <f>IF(IF(ISNA(計算結果!G157),"",計算結果!G157)=0,"",IF(ISNA(計算結果!G157),"",計算結果!G157))</f>
        <v/>
      </c>
      <c r="H157" s="13">
        <f>IF(IF(ISNA(計算結果!H157),"",計算結果!H157)=0,"",IF(ISNA(計算結果!H157),"",計算結果!H157))</f>
        <v>-2</v>
      </c>
      <c r="I157" s="12" t="str">
        <f>IF(IF(ISNA(計算結果!I157),"",計算結果!I157)=0,"",IF(ISNA(計算結果!I157),"",計算結果!I157))</f>
        <v/>
      </c>
      <c r="J157" s="12" t="str">
        <f>IF(IF(ISNA(計算結果!J157),"",計算結果!J157)=0,"",IF(ISNA(計算結果!J157),"",計算結果!J157))</f>
        <v/>
      </c>
      <c r="K157" s="23" t="str">
        <f>IF(IF(ISNA(計算結果!K157),"",計算結果!K157)=0,"",IF(ISNA(計算結果!K157),"",計算結果!K157))</f>
        <v/>
      </c>
      <c r="L157" s="13" t="str">
        <f>IF(IF(ISNA(計算結果!L157),"",計算結果!L157)=0,"",IF(ISNA(計算結果!L157),"",計算結果!L157))</f>
        <v/>
      </c>
      <c r="M157" s="10" t="str">
        <f>IF(IF(ISNA(計算結果!M157),"",計算結果!M157)=0,"",IF(ISNA(計算結果!M157),"",計算結果!M157))</f>
        <v/>
      </c>
      <c r="N157" s="10" t="str">
        <f>IF(IF(ISNA(計算結果!N157),"",計算結果!N157)=0,"",IF(ISNA(計算結果!N157),"",計算結果!N157))</f>
        <v/>
      </c>
      <c r="O157" s="13" t="str">
        <f>IF(IF(ISNA(計算結果!O157),"",計算結果!O157)=0,"",IF(ISNA(計算結果!O157),"",計算結果!O157))</f>
        <v/>
      </c>
      <c r="P157" s="10" t="str">
        <f>IF(IF(ISNA(計算結果!P157),"",計算結果!P157)=0,"",IF(ISNA(計算結果!P157),"",計算結果!P157))</f>
        <v/>
      </c>
      <c r="Q157" s="10" t="str">
        <f>IF(IF(ISNA(計算結果!Q157),"",計算結果!Q157)=0,"",IF(ISNA(計算結果!Q157),"",計算結果!Q157))</f>
        <v/>
      </c>
      <c r="R157" s="14" t="str">
        <f t="shared" si="6"/>
        <v/>
      </c>
      <c r="S157" s="14" t="str">
        <f t="shared" si="7"/>
        <v>◯</v>
      </c>
      <c r="T157" s="14" t="str">
        <f t="shared" si="8"/>
        <v/>
      </c>
    </row>
    <row r="158" spans="1:20" hidden="1" x14ac:dyDescent="0.45">
      <c r="A158" s="10" t="str">
        <f>IF(IF(ISNA(計算結果!A158),"",計算結果!A158)=0,"",IF(ISNA(計算結果!A158),"",計算結果!A158))</f>
        <v/>
      </c>
      <c r="B158" s="10" t="str">
        <f>IF(IF(ISNA(計算結果!B158),"",計算結果!B158)=0,"",IF(ISNA(計算結果!B158),"",計算結果!B158))</f>
        <v/>
      </c>
      <c r="C158" s="10" t="str">
        <f>IF(IF(ISNA(計算結果!C158),"",計算結果!C158)=0,"",IF(ISNA(計算結果!C158),"",計算結果!C158))</f>
        <v/>
      </c>
      <c r="D158" s="10" t="str">
        <f>IF(IF(ISNA(計算結果!D158),"",計算結果!D158)=0,"",IF(ISNA(計算結果!D158),"",計算結果!D158))</f>
        <v>L</v>
      </c>
      <c r="E158" s="10" t="str">
        <f>IF(IF(ISNA(計算結果!E158),"",計算結果!E158)=0,"",IF(ISNA(計算結果!E158),"",計算結果!E158))</f>
        <v/>
      </c>
      <c r="F158" s="10" t="str">
        <f>IF(IF(ISNA(計算結果!F158),"",計算結果!F158)=0,"",IF(ISNA(計算結果!F158),"",計算結果!F158))</f>
        <v/>
      </c>
      <c r="G158" s="10" t="str">
        <f>IF(IF(ISNA(計算結果!G158),"",計算結果!G158)=0,"",IF(ISNA(計算結果!G158),"",計算結果!G158))</f>
        <v/>
      </c>
      <c r="H158" s="13">
        <f>IF(IF(ISNA(計算結果!H158),"",計算結果!H158)=0,"",IF(ISNA(計算結果!H158),"",計算結果!H158))</f>
        <v>-2</v>
      </c>
      <c r="I158" s="12" t="str">
        <f>IF(IF(ISNA(計算結果!I158),"",計算結果!I158)=0,"",IF(ISNA(計算結果!I158),"",計算結果!I158))</f>
        <v/>
      </c>
      <c r="J158" s="12" t="str">
        <f>IF(IF(ISNA(計算結果!J158),"",計算結果!J158)=0,"",IF(ISNA(計算結果!J158),"",計算結果!J158))</f>
        <v/>
      </c>
      <c r="K158" s="23" t="str">
        <f>IF(IF(ISNA(計算結果!K158),"",計算結果!K158)=0,"",IF(ISNA(計算結果!K158),"",計算結果!K158))</f>
        <v/>
      </c>
      <c r="L158" s="13" t="str">
        <f>IF(IF(ISNA(計算結果!L158),"",計算結果!L158)=0,"",IF(ISNA(計算結果!L158),"",計算結果!L158))</f>
        <v/>
      </c>
      <c r="M158" s="10" t="str">
        <f>IF(IF(ISNA(計算結果!M158),"",計算結果!M158)=0,"",IF(ISNA(計算結果!M158),"",計算結果!M158))</f>
        <v/>
      </c>
      <c r="N158" s="10" t="str">
        <f>IF(IF(ISNA(計算結果!N158),"",計算結果!N158)=0,"",IF(ISNA(計算結果!N158),"",計算結果!N158))</f>
        <v/>
      </c>
      <c r="O158" s="13" t="str">
        <f>IF(IF(ISNA(計算結果!O158),"",計算結果!O158)=0,"",IF(ISNA(計算結果!O158),"",計算結果!O158))</f>
        <v/>
      </c>
      <c r="P158" s="10" t="str">
        <f>IF(IF(ISNA(計算結果!P158),"",計算結果!P158)=0,"",IF(ISNA(計算結果!P158),"",計算結果!P158))</f>
        <v/>
      </c>
      <c r="Q158" s="10" t="str">
        <f>IF(IF(ISNA(計算結果!Q158),"",計算結果!Q158)=0,"",IF(ISNA(計算結果!Q158),"",計算結果!Q158))</f>
        <v/>
      </c>
      <c r="R158" s="14" t="str">
        <f t="shared" si="6"/>
        <v/>
      </c>
      <c r="S158" s="14" t="str">
        <f t="shared" si="7"/>
        <v>◯</v>
      </c>
      <c r="T158" s="14" t="str">
        <f t="shared" si="8"/>
        <v/>
      </c>
    </row>
    <row r="159" spans="1:20" hidden="1" x14ac:dyDescent="0.45">
      <c r="A159" s="10" t="str">
        <f>IF(IF(ISNA(計算結果!A159),"",計算結果!A159)=0,"",IF(ISNA(計算結果!A159),"",計算結果!A159))</f>
        <v/>
      </c>
      <c r="B159" s="10" t="str">
        <f>IF(IF(ISNA(計算結果!B159),"",計算結果!B159)=0,"",IF(ISNA(計算結果!B159),"",計算結果!B159))</f>
        <v/>
      </c>
      <c r="C159" s="10" t="str">
        <f>IF(IF(ISNA(計算結果!C159),"",計算結果!C159)=0,"",IF(ISNA(計算結果!C159),"",計算結果!C159))</f>
        <v/>
      </c>
      <c r="D159" s="10" t="str">
        <f>IF(IF(ISNA(計算結果!D159),"",計算結果!D159)=0,"",IF(ISNA(計算結果!D159),"",計算結果!D159))</f>
        <v>L</v>
      </c>
      <c r="E159" s="10" t="str">
        <f>IF(IF(ISNA(計算結果!E159),"",計算結果!E159)=0,"",IF(ISNA(計算結果!E159),"",計算結果!E159))</f>
        <v/>
      </c>
      <c r="F159" s="10" t="str">
        <f>IF(IF(ISNA(計算結果!F159),"",計算結果!F159)=0,"",IF(ISNA(計算結果!F159),"",計算結果!F159))</f>
        <v/>
      </c>
      <c r="G159" s="10" t="str">
        <f>IF(IF(ISNA(計算結果!G159),"",計算結果!G159)=0,"",IF(ISNA(計算結果!G159),"",計算結果!G159))</f>
        <v/>
      </c>
      <c r="H159" s="13">
        <f>IF(IF(ISNA(計算結果!H159),"",計算結果!H159)=0,"",IF(ISNA(計算結果!H159),"",計算結果!H159))</f>
        <v>-2</v>
      </c>
      <c r="I159" s="12" t="str">
        <f>IF(IF(ISNA(計算結果!I159),"",計算結果!I159)=0,"",IF(ISNA(計算結果!I159),"",計算結果!I159))</f>
        <v/>
      </c>
      <c r="J159" s="12" t="str">
        <f>IF(IF(ISNA(計算結果!J159),"",計算結果!J159)=0,"",IF(ISNA(計算結果!J159),"",計算結果!J159))</f>
        <v/>
      </c>
      <c r="K159" s="23" t="str">
        <f>IF(IF(ISNA(計算結果!K159),"",計算結果!K159)=0,"",IF(ISNA(計算結果!K159),"",計算結果!K159))</f>
        <v/>
      </c>
      <c r="L159" s="13" t="str">
        <f>IF(IF(ISNA(計算結果!L159),"",計算結果!L159)=0,"",IF(ISNA(計算結果!L159),"",計算結果!L159))</f>
        <v/>
      </c>
      <c r="M159" s="10" t="str">
        <f>IF(IF(ISNA(計算結果!M159),"",計算結果!M159)=0,"",IF(ISNA(計算結果!M159),"",計算結果!M159))</f>
        <v/>
      </c>
      <c r="N159" s="10" t="str">
        <f>IF(IF(ISNA(計算結果!N159),"",計算結果!N159)=0,"",IF(ISNA(計算結果!N159),"",計算結果!N159))</f>
        <v/>
      </c>
      <c r="O159" s="13" t="str">
        <f>IF(IF(ISNA(計算結果!O159),"",計算結果!O159)=0,"",IF(ISNA(計算結果!O159),"",計算結果!O159))</f>
        <v/>
      </c>
      <c r="P159" s="10" t="str">
        <f>IF(IF(ISNA(計算結果!P159),"",計算結果!P159)=0,"",IF(ISNA(計算結果!P159),"",計算結果!P159))</f>
        <v/>
      </c>
      <c r="Q159" s="10" t="str">
        <f>IF(IF(ISNA(計算結果!Q159),"",計算結果!Q159)=0,"",IF(ISNA(計算結果!Q159),"",計算結果!Q159))</f>
        <v/>
      </c>
      <c r="R159" s="14" t="str">
        <f t="shared" si="6"/>
        <v/>
      </c>
      <c r="S159" s="14" t="str">
        <f t="shared" si="7"/>
        <v>◯</v>
      </c>
      <c r="T159" s="14" t="str">
        <f t="shared" si="8"/>
        <v/>
      </c>
    </row>
    <row r="160" spans="1:20" hidden="1" x14ac:dyDescent="0.45">
      <c r="A160" s="10" t="str">
        <f>IF(IF(ISNA(計算結果!A160),"",計算結果!A160)=0,"",IF(ISNA(計算結果!A160),"",計算結果!A160))</f>
        <v/>
      </c>
      <c r="B160" s="10" t="str">
        <f>IF(IF(ISNA(計算結果!B160),"",計算結果!B160)=0,"",IF(ISNA(計算結果!B160),"",計算結果!B160))</f>
        <v/>
      </c>
      <c r="C160" s="10" t="str">
        <f>IF(IF(ISNA(計算結果!C160),"",計算結果!C160)=0,"",IF(ISNA(計算結果!C160),"",計算結果!C160))</f>
        <v/>
      </c>
      <c r="D160" s="10" t="str">
        <f>IF(IF(ISNA(計算結果!D160),"",計算結果!D160)=0,"",IF(ISNA(計算結果!D160),"",計算結果!D160))</f>
        <v>L</v>
      </c>
      <c r="E160" s="10" t="str">
        <f>IF(IF(ISNA(計算結果!E160),"",計算結果!E160)=0,"",IF(ISNA(計算結果!E160),"",計算結果!E160))</f>
        <v/>
      </c>
      <c r="F160" s="10" t="str">
        <f>IF(IF(ISNA(計算結果!F160),"",計算結果!F160)=0,"",IF(ISNA(計算結果!F160),"",計算結果!F160))</f>
        <v/>
      </c>
      <c r="G160" s="10" t="str">
        <f>IF(IF(ISNA(計算結果!G160),"",計算結果!G160)=0,"",IF(ISNA(計算結果!G160),"",計算結果!G160))</f>
        <v/>
      </c>
      <c r="H160" s="13">
        <f>IF(IF(ISNA(計算結果!H160),"",計算結果!H160)=0,"",IF(ISNA(計算結果!H160),"",計算結果!H160))</f>
        <v>-2</v>
      </c>
      <c r="I160" s="12" t="str">
        <f>IF(IF(ISNA(計算結果!I160),"",計算結果!I160)=0,"",IF(ISNA(計算結果!I160),"",計算結果!I160))</f>
        <v/>
      </c>
      <c r="J160" s="12" t="str">
        <f>IF(IF(ISNA(計算結果!J160),"",計算結果!J160)=0,"",IF(ISNA(計算結果!J160),"",計算結果!J160))</f>
        <v/>
      </c>
      <c r="K160" s="23" t="str">
        <f>IF(IF(ISNA(計算結果!K160),"",計算結果!K160)=0,"",IF(ISNA(計算結果!K160),"",計算結果!K160))</f>
        <v/>
      </c>
      <c r="L160" s="13" t="str">
        <f>IF(IF(ISNA(計算結果!L160),"",計算結果!L160)=0,"",IF(ISNA(計算結果!L160),"",計算結果!L160))</f>
        <v/>
      </c>
      <c r="M160" s="10" t="str">
        <f>IF(IF(ISNA(計算結果!M160),"",計算結果!M160)=0,"",IF(ISNA(計算結果!M160),"",計算結果!M160))</f>
        <v/>
      </c>
      <c r="N160" s="10" t="str">
        <f>IF(IF(ISNA(計算結果!N160),"",計算結果!N160)=0,"",IF(ISNA(計算結果!N160),"",計算結果!N160))</f>
        <v/>
      </c>
      <c r="O160" s="13" t="str">
        <f>IF(IF(ISNA(計算結果!O160),"",計算結果!O160)=0,"",IF(ISNA(計算結果!O160),"",計算結果!O160))</f>
        <v/>
      </c>
      <c r="P160" s="10" t="str">
        <f>IF(IF(ISNA(計算結果!P160),"",計算結果!P160)=0,"",IF(ISNA(計算結果!P160),"",計算結果!P160))</f>
        <v/>
      </c>
      <c r="Q160" s="10" t="str">
        <f>IF(IF(ISNA(計算結果!Q160),"",計算結果!Q160)=0,"",IF(ISNA(計算結果!Q160),"",計算結果!Q160))</f>
        <v/>
      </c>
      <c r="R160" s="14" t="str">
        <f t="shared" si="6"/>
        <v/>
      </c>
      <c r="S160" s="14" t="str">
        <f t="shared" si="7"/>
        <v>◯</v>
      </c>
      <c r="T160" s="14" t="str">
        <f t="shared" si="8"/>
        <v/>
      </c>
    </row>
    <row r="161" spans="1:20" hidden="1" x14ac:dyDescent="0.45">
      <c r="A161" s="10" t="str">
        <f>IF(IF(ISNA(計算結果!A161),"",計算結果!A161)=0,"",IF(ISNA(計算結果!A161),"",計算結果!A161))</f>
        <v/>
      </c>
      <c r="B161" s="10" t="str">
        <f>IF(IF(ISNA(計算結果!B161),"",計算結果!B161)=0,"",IF(ISNA(計算結果!B161),"",計算結果!B161))</f>
        <v/>
      </c>
      <c r="C161" s="10" t="str">
        <f>IF(IF(ISNA(計算結果!C161),"",計算結果!C161)=0,"",IF(ISNA(計算結果!C161),"",計算結果!C161))</f>
        <v/>
      </c>
      <c r="D161" s="10" t="str">
        <f>IF(IF(ISNA(計算結果!D161),"",計算結果!D161)=0,"",IF(ISNA(計算結果!D161),"",計算結果!D161))</f>
        <v>L</v>
      </c>
      <c r="E161" s="10" t="str">
        <f>IF(IF(ISNA(計算結果!E161),"",計算結果!E161)=0,"",IF(ISNA(計算結果!E161),"",計算結果!E161))</f>
        <v/>
      </c>
      <c r="F161" s="10" t="str">
        <f>IF(IF(ISNA(計算結果!F161),"",計算結果!F161)=0,"",IF(ISNA(計算結果!F161),"",計算結果!F161))</f>
        <v/>
      </c>
      <c r="G161" s="10" t="str">
        <f>IF(IF(ISNA(計算結果!G161),"",計算結果!G161)=0,"",IF(ISNA(計算結果!G161),"",計算結果!G161))</f>
        <v/>
      </c>
      <c r="H161" s="13">
        <f>IF(IF(ISNA(計算結果!H161),"",計算結果!H161)=0,"",IF(ISNA(計算結果!H161),"",計算結果!H161))</f>
        <v>-2</v>
      </c>
      <c r="I161" s="12" t="str">
        <f>IF(IF(ISNA(計算結果!I161),"",計算結果!I161)=0,"",IF(ISNA(計算結果!I161),"",計算結果!I161))</f>
        <v/>
      </c>
      <c r="J161" s="12" t="str">
        <f>IF(IF(ISNA(計算結果!J161),"",計算結果!J161)=0,"",IF(ISNA(計算結果!J161),"",計算結果!J161))</f>
        <v/>
      </c>
      <c r="K161" s="23" t="str">
        <f>IF(IF(ISNA(計算結果!K161),"",計算結果!K161)=0,"",IF(ISNA(計算結果!K161),"",計算結果!K161))</f>
        <v/>
      </c>
      <c r="L161" s="13" t="str">
        <f>IF(IF(ISNA(計算結果!L161),"",計算結果!L161)=0,"",IF(ISNA(計算結果!L161),"",計算結果!L161))</f>
        <v/>
      </c>
      <c r="M161" s="10" t="str">
        <f>IF(IF(ISNA(計算結果!M161),"",計算結果!M161)=0,"",IF(ISNA(計算結果!M161),"",計算結果!M161))</f>
        <v/>
      </c>
      <c r="N161" s="10" t="str">
        <f>IF(IF(ISNA(計算結果!N161),"",計算結果!N161)=0,"",IF(ISNA(計算結果!N161),"",計算結果!N161))</f>
        <v/>
      </c>
      <c r="O161" s="13" t="str">
        <f>IF(IF(ISNA(計算結果!O161),"",計算結果!O161)=0,"",IF(ISNA(計算結果!O161),"",計算結果!O161))</f>
        <v/>
      </c>
      <c r="P161" s="10" t="str">
        <f>IF(IF(ISNA(計算結果!P161),"",計算結果!P161)=0,"",IF(ISNA(計算結果!P161),"",計算結果!P161))</f>
        <v/>
      </c>
      <c r="Q161" s="10" t="str">
        <f>IF(IF(ISNA(計算結果!Q161),"",計算結果!Q161)=0,"",IF(ISNA(計算結果!Q161),"",計算結果!Q161))</f>
        <v/>
      </c>
      <c r="R161" s="14" t="str">
        <f t="shared" si="6"/>
        <v/>
      </c>
      <c r="S161" s="14" t="str">
        <f t="shared" si="7"/>
        <v>◯</v>
      </c>
      <c r="T161" s="14" t="str">
        <f t="shared" si="8"/>
        <v/>
      </c>
    </row>
    <row r="162" spans="1:20" hidden="1" x14ac:dyDescent="0.45">
      <c r="A162" s="10" t="str">
        <f>IF(IF(ISNA(計算結果!A162),"",計算結果!A162)=0,"",IF(ISNA(計算結果!A162),"",計算結果!A162))</f>
        <v/>
      </c>
      <c r="B162" s="10" t="str">
        <f>IF(IF(ISNA(計算結果!B162),"",計算結果!B162)=0,"",IF(ISNA(計算結果!B162),"",計算結果!B162))</f>
        <v/>
      </c>
      <c r="C162" s="10" t="str">
        <f>IF(IF(ISNA(計算結果!C162),"",計算結果!C162)=0,"",IF(ISNA(計算結果!C162),"",計算結果!C162))</f>
        <v/>
      </c>
      <c r="D162" s="10" t="str">
        <f>IF(IF(ISNA(計算結果!D162),"",計算結果!D162)=0,"",IF(ISNA(計算結果!D162),"",計算結果!D162))</f>
        <v>L</v>
      </c>
      <c r="E162" s="10" t="str">
        <f>IF(IF(ISNA(計算結果!E162),"",計算結果!E162)=0,"",IF(ISNA(計算結果!E162),"",計算結果!E162))</f>
        <v/>
      </c>
      <c r="F162" s="10" t="str">
        <f>IF(IF(ISNA(計算結果!F162),"",計算結果!F162)=0,"",IF(ISNA(計算結果!F162),"",計算結果!F162))</f>
        <v/>
      </c>
      <c r="G162" s="10" t="str">
        <f>IF(IF(ISNA(計算結果!G162),"",計算結果!G162)=0,"",IF(ISNA(計算結果!G162),"",計算結果!G162))</f>
        <v/>
      </c>
      <c r="H162" s="13">
        <f>IF(IF(ISNA(計算結果!H162),"",計算結果!H162)=0,"",IF(ISNA(計算結果!H162),"",計算結果!H162))</f>
        <v>-2</v>
      </c>
      <c r="I162" s="12" t="str">
        <f>IF(IF(ISNA(計算結果!I162),"",計算結果!I162)=0,"",IF(ISNA(計算結果!I162),"",計算結果!I162))</f>
        <v/>
      </c>
      <c r="J162" s="12" t="str">
        <f>IF(IF(ISNA(計算結果!J162),"",計算結果!J162)=0,"",IF(ISNA(計算結果!J162),"",計算結果!J162))</f>
        <v/>
      </c>
      <c r="K162" s="23" t="str">
        <f>IF(IF(ISNA(計算結果!K162),"",計算結果!K162)=0,"",IF(ISNA(計算結果!K162),"",計算結果!K162))</f>
        <v/>
      </c>
      <c r="L162" s="13" t="str">
        <f>IF(IF(ISNA(計算結果!L162),"",計算結果!L162)=0,"",IF(ISNA(計算結果!L162),"",計算結果!L162))</f>
        <v/>
      </c>
      <c r="M162" s="10" t="str">
        <f>IF(IF(ISNA(計算結果!M162),"",計算結果!M162)=0,"",IF(ISNA(計算結果!M162),"",計算結果!M162))</f>
        <v/>
      </c>
      <c r="N162" s="10" t="str">
        <f>IF(IF(ISNA(計算結果!N162),"",計算結果!N162)=0,"",IF(ISNA(計算結果!N162),"",計算結果!N162))</f>
        <v/>
      </c>
      <c r="O162" s="13" t="str">
        <f>IF(IF(ISNA(計算結果!O162),"",計算結果!O162)=0,"",IF(ISNA(計算結果!O162),"",計算結果!O162))</f>
        <v/>
      </c>
      <c r="P162" s="10" t="str">
        <f>IF(IF(ISNA(計算結果!P162),"",計算結果!P162)=0,"",IF(ISNA(計算結果!P162),"",計算結果!P162))</f>
        <v/>
      </c>
      <c r="Q162" s="10" t="str">
        <f>IF(IF(ISNA(計算結果!Q162),"",計算結果!Q162)=0,"",IF(ISNA(計算結果!Q162),"",計算結果!Q162))</f>
        <v/>
      </c>
      <c r="R162" s="14" t="str">
        <f t="shared" si="6"/>
        <v/>
      </c>
      <c r="S162" s="14" t="str">
        <f t="shared" si="7"/>
        <v>◯</v>
      </c>
      <c r="T162" s="14" t="str">
        <f t="shared" si="8"/>
        <v/>
      </c>
    </row>
    <row r="163" spans="1:20" hidden="1" x14ac:dyDescent="0.45">
      <c r="A163" s="10" t="str">
        <f>IF(IF(ISNA(計算結果!A163),"",計算結果!A163)=0,"",IF(ISNA(計算結果!A163),"",計算結果!A163))</f>
        <v/>
      </c>
      <c r="B163" s="10" t="str">
        <f>IF(IF(ISNA(計算結果!B163),"",計算結果!B163)=0,"",IF(ISNA(計算結果!B163),"",計算結果!B163))</f>
        <v/>
      </c>
      <c r="C163" s="10" t="str">
        <f>IF(IF(ISNA(計算結果!C163),"",計算結果!C163)=0,"",IF(ISNA(計算結果!C163),"",計算結果!C163))</f>
        <v/>
      </c>
      <c r="D163" s="10" t="str">
        <f>IF(IF(ISNA(計算結果!D163),"",計算結果!D163)=0,"",IF(ISNA(計算結果!D163),"",計算結果!D163))</f>
        <v>L</v>
      </c>
      <c r="E163" s="10" t="str">
        <f>IF(IF(ISNA(計算結果!E163),"",計算結果!E163)=0,"",IF(ISNA(計算結果!E163),"",計算結果!E163))</f>
        <v/>
      </c>
      <c r="F163" s="10" t="str">
        <f>IF(IF(ISNA(計算結果!F163),"",計算結果!F163)=0,"",IF(ISNA(計算結果!F163),"",計算結果!F163))</f>
        <v/>
      </c>
      <c r="G163" s="10" t="str">
        <f>IF(IF(ISNA(計算結果!G163),"",計算結果!G163)=0,"",IF(ISNA(計算結果!G163),"",計算結果!G163))</f>
        <v/>
      </c>
      <c r="H163" s="13">
        <f>IF(IF(ISNA(計算結果!H163),"",計算結果!H163)=0,"",IF(ISNA(計算結果!H163),"",計算結果!H163))</f>
        <v>-2</v>
      </c>
      <c r="I163" s="12" t="str">
        <f>IF(IF(ISNA(計算結果!I163),"",計算結果!I163)=0,"",IF(ISNA(計算結果!I163),"",計算結果!I163))</f>
        <v/>
      </c>
      <c r="J163" s="12" t="str">
        <f>IF(IF(ISNA(計算結果!J163),"",計算結果!J163)=0,"",IF(ISNA(計算結果!J163),"",計算結果!J163))</f>
        <v/>
      </c>
      <c r="K163" s="23" t="str">
        <f>IF(IF(ISNA(計算結果!K163),"",計算結果!K163)=0,"",IF(ISNA(計算結果!K163),"",計算結果!K163))</f>
        <v/>
      </c>
      <c r="L163" s="13" t="str">
        <f>IF(IF(ISNA(計算結果!L163),"",計算結果!L163)=0,"",IF(ISNA(計算結果!L163),"",計算結果!L163))</f>
        <v/>
      </c>
      <c r="M163" s="10" t="str">
        <f>IF(IF(ISNA(計算結果!M163),"",計算結果!M163)=0,"",IF(ISNA(計算結果!M163),"",計算結果!M163))</f>
        <v/>
      </c>
      <c r="N163" s="10" t="str">
        <f>IF(IF(ISNA(計算結果!N163),"",計算結果!N163)=0,"",IF(ISNA(計算結果!N163),"",計算結果!N163))</f>
        <v/>
      </c>
      <c r="O163" s="13" t="str">
        <f>IF(IF(ISNA(計算結果!O163),"",計算結果!O163)=0,"",IF(ISNA(計算結果!O163),"",計算結果!O163))</f>
        <v/>
      </c>
      <c r="P163" s="10" t="str">
        <f>IF(IF(ISNA(計算結果!P163),"",計算結果!P163)=0,"",IF(ISNA(計算結果!P163),"",計算結果!P163))</f>
        <v/>
      </c>
      <c r="Q163" s="10" t="str">
        <f>IF(IF(ISNA(計算結果!Q163),"",計算結果!Q163)=0,"",IF(ISNA(計算結果!Q163),"",計算結果!Q163))</f>
        <v/>
      </c>
      <c r="R163" s="14" t="str">
        <f t="shared" si="6"/>
        <v/>
      </c>
      <c r="S163" s="14" t="str">
        <f t="shared" si="7"/>
        <v>◯</v>
      </c>
      <c r="T163" s="14" t="str">
        <f t="shared" si="8"/>
        <v/>
      </c>
    </row>
    <row r="164" spans="1:20" hidden="1" x14ac:dyDescent="0.45">
      <c r="A164" s="10" t="str">
        <f>IF(IF(ISNA(計算結果!A164),"",計算結果!A164)=0,"",IF(ISNA(計算結果!A164),"",計算結果!A164))</f>
        <v/>
      </c>
      <c r="B164" s="10" t="str">
        <f>IF(IF(ISNA(計算結果!B164),"",計算結果!B164)=0,"",IF(ISNA(計算結果!B164),"",計算結果!B164))</f>
        <v/>
      </c>
      <c r="C164" s="10" t="str">
        <f>IF(IF(ISNA(計算結果!C164),"",計算結果!C164)=0,"",IF(ISNA(計算結果!C164),"",計算結果!C164))</f>
        <v/>
      </c>
      <c r="D164" s="10" t="str">
        <f>IF(IF(ISNA(計算結果!D164),"",計算結果!D164)=0,"",IF(ISNA(計算結果!D164),"",計算結果!D164))</f>
        <v>L</v>
      </c>
      <c r="E164" s="10" t="str">
        <f>IF(IF(ISNA(計算結果!E164),"",計算結果!E164)=0,"",IF(ISNA(計算結果!E164),"",計算結果!E164))</f>
        <v/>
      </c>
      <c r="F164" s="10" t="str">
        <f>IF(IF(ISNA(計算結果!F164),"",計算結果!F164)=0,"",IF(ISNA(計算結果!F164),"",計算結果!F164))</f>
        <v/>
      </c>
      <c r="G164" s="10" t="str">
        <f>IF(IF(ISNA(計算結果!G164),"",計算結果!G164)=0,"",IF(ISNA(計算結果!G164),"",計算結果!G164))</f>
        <v/>
      </c>
      <c r="H164" s="13">
        <f>IF(IF(ISNA(計算結果!H164),"",計算結果!H164)=0,"",IF(ISNA(計算結果!H164),"",計算結果!H164))</f>
        <v>-2</v>
      </c>
      <c r="I164" s="12" t="str">
        <f>IF(IF(ISNA(計算結果!I164),"",計算結果!I164)=0,"",IF(ISNA(計算結果!I164),"",計算結果!I164))</f>
        <v/>
      </c>
      <c r="J164" s="12" t="str">
        <f>IF(IF(ISNA(計算結果!J164),"",計算結果!J164)=0,"",IF(ISNA(計算結果!J164),"",計算結果!J164))</f>
        <v/>
      </c>
      <c r="K164" s="23" t="str">
        <f>IF(IF(ISNA(計算結果!K164),"",計算結果!K164)=0,"",IF(ISNA(計算結果!K164),"",計算結果!K164))</f>
        <v/>
      </c>
      <c r="L164" s="13" t="str">
        <f>IF(IF(ISNA(計算結果!L164),"",計算結果!L164)=0,"",IF(ISNA(計算結果!L164),"",計算結果!L164))</f>
        <v/>
      </c>
      <c r="M164" s="10" t="str">
        <f>IF(IF(ISNA(計算結果!M164),"",計算結果!M164)=0,"",IF(ISNA(計算結果!M164),"",計算結果!M164))</f>
        <v/>
      </c>
      <c r="N164" s="10" t="str">
        <f>IF(IF(ISNA(計算結果!N164),"",計算結果!N164)=0,"",IF(ISNA(計算結果!N164),"",計算結果!N164))</f>
        <v/>
      </c>
      <c r="O164" s="13" t="str">
        <f>IF(IF(ISNA(計算結果!O164),"",計算結果!O164)=0,"",IF(ISNA(計算結果!O164),"",計算結果!O164))</f>
        <v/>
      </c>
      <c r="P164" s="10" t="str">
        <f>IF(IF(ISNA(計算結果!P164),"",計算結果!P164)=0,"",IF(ISNA(計算結果!P164),"",計算結果!P164))</f>
        <v/>
      </c>
      <c r="Q164" s="10" t="str">
        <f>IF(IF(ISNA(計算結果!Q164),"",計算結果!Q164)=0,"",IF(ISNA(計算結果!Q164),"",計算結果!Q164))</f>
        <v/>
      </c>
      <c r="R164" s="14" t="str">
        <f t="shared" si="6"/>
        <v/>
      </c>
      <c r="S164" s="14" t="str">
        <f t="shared" si="7"/>
        <v>◯</v>
      </c>
      <c r="T164" s="14" t="str">
        <f t="shared" si="8"/>
        <v/>
      </c>
    </row>
    <row r="165" spans="1:20" hidden="1" x14ac:dyDescent="0.45">
      <c r="A165" s="10" t="str">
        <f>IF(IF(ISNA(計算結果!A165),"",計算結果!A165)=0,"",IF(ISNA(計算結果!A165),"",計算結果!A165))</f>
        <v/>
      </c>
      <c r="B165" s="10" t="str">
        <f>IF(IF(ISNA(計算結果!B165),"",計算結果!B165)=0,"",IF(ISNA(計算結果!B165),"",計算結果!B165))</f>
        <v/>
      </c>
      <c r="C165" s="10" t="str">
        <f>IF(IF(ISNA(計算結果!C165),"",計算結果!C165)=0,"",IF(ISNA(計算結果!C165),"",計算結果!C165))</f>
        <v/>
      </c>
      <c r="D165" s="10" t="str">
        <f>IF(IF(ISNA(計算結果!D165),"",計算結果!D165)=0,"",IF(ISNA(計算結果!D165),"",計算結果!D165))</f>
        <v>L</v>
      </c>
      <c r="E165" s="10" t="str">
        <f>IF(IF(ISNA(計算結果!E165),"",計算結果!E165)=0,"",IF(ISNA(計算結果!E165),"",計算結果!E165))</f>
        <v/>
      </c>
      <c r="F165" s="10" t="str">
        <f>IF(IF(ISNA(計算結果!F165),"",計算結果!F165)=0,"",IF(ISNA(計算結果!F165),"",計算結果!F165))</f>
        <v/>
      </c>
      <c r="G165" s="10" t="str">
        <f>IF(IF(ISNA(計算結果!G165),"",計算結果!G165)=0,"",IF(ISNA(計算結果!G165),"",計算結果!G165))</f>
        <v/>
      </c>
      <c r="H165" s="13">
        <f>IF(IF(ISNA(計算結果!H165),"",計算結果!H165)=0,"",IF(ISNA(計算結果!H165),"",計算結果!H165))</f>
        <v>-2</v>
      </c>
      <c r="I165" s="12" t="str">
        <f>IF(IF(ISNA(計算結果!I165),"",計算結果!I165)=0,"",IF(ISNA(計算結果!I165),"",計算結果!I165))</f>
        <v/>
      </c>
      <c r="J165" s="12" t="str">
        <f>IF(IF(ISNA(計算結果!J165),"",計算結果!J165)=0,"",IF(ISNA(計算結果!J165),"",計算結果!J165))</f>
        <v/>
      </c>
      <c r="K165" s="23" t="str">
        <f>IF(IF(ISNA(計算結果!K165),"",計算結果!K165)=0,"",IF(ISNA(計算結果!K165),"",計算結果!K165))</f>
        <v/>
      </c>
      <c r="L165" s="13" t="str">
        <f>IF(IF(ISNA(計算結果!L165),"",計算結果!L165)=0,"",IF(ISNA(計算結果!L165),"",計算結果!L165))</f>
        <v/>
      </c>
      <c r="M165" s="10" t="str">
        <f>IF(IF(ISNA(計算結果!M165),"",計算結果!M165)=0,"",IF(ISNA(計算結果!M165),"",計算結果!M165))</f>
        <v/>
      </c>
      <c r="N165" s="10" t="str">
        <f>IF(IF(ISNA(計算結果!N165),"",計算結果!N165)=0,"",IF(ISNA(計算結果!N165),"",計算結果!N165))</f>
        <v/>
      </c>
      <c r="O165" s="13" t="str">
        <f>IF(IF(ISNA(計算結果!O165),"",計算結果!O165)=0,"",IF(ISNA(計算結果!O165),"",計算結果!O165))</f>
        <v/>
      </c>
      <c r="P165" s="10" t="str">
        <f>IF(IF(ISNA(計算結果!P165),"",計算結果!P165)=0,"",IF(ISNA(計算結果!P165),"",計算結果!P165))</f>
        <v/>
      </c>
      <c r="Q165" s="10" t="str">
        <f>IF(IF(ISNA(計算結果!Q165),"",計算結果!Q165)=0,"",IF(ISNA(計算結果!Q165),"",計算結果!Q165))</f>
        <v/>
      </c>
      <c r="R165" s="14" t="str">
        <f t="shared" si="6"/>
        <v/>
      </c>
      <c r="S165" s="14" t="str">
        <f t="shared" si="7"/>
        <v>◯</v>
      </c>
      <c r="T165" s="14" t="str">
        <f t="shared" si="8"/>
        <v/>
      </c>
    </row>
    <row r="166" spans="1:20" hidden="1" x14ac:dyDescent="0.45">
      <c r="A166" s="10" t="str">
        <f>IF(IF(ISNA(計算結果!A166),"",計算結果!A166)=0,"",IF(ISNA(計算結果!A166),"",計算結果!A166))</f>
        <v/>
      </c>
      <c r="B166" s="10" t="str">
        <f>IF(IF(ISNA(計算結果!B166),"",計算結果!B166)=0,"",IF(ISNA(計算結果!B166),"",計算結果!B166))</f>
        <v/>
      </c>
      <c r="C166" s="10" t="str">
        <f>IF(IF(ISNA(計算結果!C166),"",計算結果!C166)=0,"",IF(ISNA(計算結果!C166),"",計算結果!C166))</f>
        <v/>
      </c>
      <c r="D166" s="10" t="str">
        <f>IF(IF(ISNA(計算結果!D166),"",計算結果!D166)=0,"",IF(ISNA(計算結果!D166),"",計算結果!D166))</f>
        <v>L</v>
      </c>
      <c r="E166" s="10" t="str">
        <f>IF(IF(ISNA(計算結果!E166),"",計算結果!E166)=0,"",IF(ISNA(計算結果!E166),"",計算結果!E166))</f>
        <v/>
      </c>
      <c r="F166" s="10" t="str">
        <f>IF(IF(ISNA(計算結果!F166),"",計算結果!F166)=0,"",IF(ISNA(計算結果!F166),"",計算結果!F166))</f>
        <v/>
      </c>
      <c r="G166" s="10" t="str">
        <f>IF(IF(ISNA(計算結果!G166),"",計算結果!G166)=0,"",IF(ISNA(計算結果!G166),"",計算結果!G166))</f>
        <v/>
      </c>
      <c r="H166" s="13">
        <f>IF(IF(ISNA(計算結果!H166),"",計算結果!H166)=0,"",IF(ISNA(計算結果!H166),"",計算結果!H166))</f>
        <v>-2</v>
      </c>
      <c r="I166" s="12" t="str">
        <f>IF(IF(ISNA(計算結果!I166),"",計算結果!I166)=0,"",IF(ISNA(計算結果!I166),"",計算結果!I166))</f>
        <v/>
      </c>
      <c r="J166" s="12" t="str">
        <f>IF(IF(ISNA(計算結果!J166),"",計算結果!J166)=0,"",IF(ISNA(計算結果!J166),"",計算結果!J166))</f>
        <v/>
      </c>
      <c r="K166" s="23" t="str">
        <f>IF(IF(ISNA(計算結果!K166),"",計算結果!K166)=0,"",IF(ISNA(計算結果!K166),"",計算結果!K166))</f>
        <v/>
      </c>
      <c r="L166" s="13" t="str">
        <f>IF(IF(ISNA(計算結果!L166),"",計算結果!L166)=0,"",IF(ISNA(計算結果!L166),"",計算結果!L166))</f>
        <v/>
      </c>
      <c r="M166" s="10" t="str">
        <f>IF(IF(ISNA(計算結果!M166),"",計算結果!M166)=0,"",IF(ISNA(計算結果!M166),"",計算結果!M166))</f>
        <v/>
      </c>
      <c r="N166" s="10" t="str">
        <f>IF(IF(ISNA(計算結果!N166),"",計算結果!N166)=0,"",IF(ISNA(計算結果!N166),"",計算結果!N166))</f>
        <v/>
      </c>
      <c r="O166" s="13" t="str">
        <f>IF(IF(ISNA(計算結果!O166),"",計算結果!O166)=0,"",IF(ISNA(計算結果!O166),"",計算結果!O166))</f>
        <v/>
      </c>
      <c r="P166" s="10" t="str">
        <f>IF(IF(ISNA(計算結果!P166),"",計算結果!P166)=0,"",IF(ISNA(計算結果!P166),"",計算結果!P166))</f>
        <v/>
      </c>
      <c r="Q166" s="10" t="str">
        <f>IF(IF(ISNA(計算結果!Q166),"",計算結果!Q166)=0,"",IF(ISNA(計算結果!Q166),"",計算結果!Q166))</f>
        <v/>
      </c>
      <c r="R166" s="14" t="str">
        <f t="shared" si="6"/>
        <v/>
      </c>
      <c r="S166" s="14" t="str">
        <f t="shared" si="7"/>
        <v>◯</v>
      </c>
      <c r="T166" s="14" t="str">
        <f t="shared" si="8"/>
        <v/>
      </c>
    </row>
    <row r="167" spans="1:20" hidden="1" x14ac:dyDescent="0.45">
      <c r="A167" s="10" t="str">
        <f>IF(IF(ISNA(計算結果!A167),"",計算結果!A167)=0,"",IF(ISNA(計算結果!A167),"",計算結果!A167))</f>
        <v/>
      </c>
      <c r="B167" s="10" t="str">
        <f>IF(IF(ISNA(計算結果!B167),"",計算結果!B167)=0,"",IF(ISNA(計算結果!B167),"",計算結果!B167))</f>
        <v/>
      </c>
      <c r="C167" s="10" t="str">
        <f>IF(IF(ISNA(計算結果!C167),"",計算結果!C167)=0,"",IF(ISNA(計算結果!C167),"",計算結果!C167))</f>
        <v/>
      </c>
      <c r="D167" s="10" t="str">
        <f>IF(IF(ISNA(計算結果!D167),"",計算結果!D167)=0,"",IF(ISNA(計算結果!D167),"",計算結果!D167))</f>
        <v>L</v>
      </c>
      <c r="E167" s="10" t="str">
        <f>IF(IF(ISNA(計算結果!E167),"",計算結果!E167)=0,"",IF(ISNA(計算結果!E167),"",計算結果!E167))</f>
        <v/>
      </c>
      <c r="F167" s="10" t="str">
        <f>IF(IF(ISNA(計算結果!F167),"",計算結果!F167)=0,"",IF(ISNA(計算結果!F167),"",計算結果!F167))</f>
        <v/>
      </c>
      <c r="G167" s="10" t="str">
        <f>IF(IF(ISNA(計算結果!G167),"",計算結果!G167)=0,"",IF(ISNA(計算結果!G167),"",計算結果!G167))</f>
        <v/>
      </c>
      <c r="H167" s="13">
        <f>IF(IF(ISNA(計算結果!H167),"",計算結果!H167)=0,"",IF(ISNA(計算結果!H167),"",計算結果!H167))</f>
        <v>-2</v>
      </c>
      <c r="I167" s="12" t="str">
        <f>IF(IF(ISNA(計算結果!I167),"",計算結果!I167)=0,"",IF(ISNA(計算結果!I167),"",計算結果!I167))</f>
        <v/>
      </c>
      <c r="J167" s="12" t="str">
        <f>IF(IF(ISNA(計算結果!J167),"",計算結果!J167)=0,"",IF(ISNA(計算結果!J167),"",計算結果!J167))</f>
        <v/>
      </c>
      <c r="K167" s="23" t="str">
        <f>IF(IF(ISNA(計算結果!K167),"",計算結果!K167)=0,"",IF(ISNA(計算結果!K167),"",計算結果!K167))</f>
        <v/>
      </c>
      <c r="L167" s="13" t="str">
        <f>IF(IF(ISNA(計算結果!L167),"",計算結果!L167)=0,"",IF(ISNA(計算結果!L167),"",計算結果!L167))</f>
        <v/>
      </c>
      <c r="M167" s="10" t="str">
        <f>IF(IF(ISNA(計算結果!M167),"",計算結果!M167)=0,"",IF(ISNA(計算結果!M167),"",計算結果!M167))</f>
        <v/>
      </c>
      <c r="N167" s="10" t="str">
        <f>IF(IF(ISNA(計算結果!N167),"",計算結果!N167)=0,"",IF(ISNA(計算結果!N167),"",計算結果!N167))</f>
        <v/>
      </c>
      <c r="O167" s="13" t="str">
        <f>IF(IF(ISNA(計算結果!O167),"",計算結果!O167)=0,"",IF(ISNA(計算結果!O167),"",計算結果!O167))</f>
        <v/>
      </c>
      <c r="P167" s="10" t="str">
        <f>IF(IF(ISNA(計算結果!P167),"",計算結果!P167)=0,"",IF(ISNA(計算結果!P167),"",計算結果!P167))</f>
        <v/>
      </c>
      <c r="Q167" s="10" t="str">
        <f>IF(IF(ISNA(計算結果!Q167),"",計算結果!Q167)=0,"",IF(ISNA(計算結果!Q167),"",計算結果!Q167))</f>
        <v/>
      </c>
      <c r="R167" s="14" t="str">
        <f t="shared" si="6"/>
        <v/>
      </c>
      <c r="S167" s="14" t="str">
        <f t="shared" si="7"/>
        <v>◯</v>
      </c>
      <c r="T167" s="14" t="str">
        <f t="shared" si="8"/>
        <v/>
      </c>
    </row>
    <row r="168" spans="1:20" hidden="1" x14ac:dyDescent="0.45">
      <c r="A168" s="10" t="str">
        <f>IF(IF(ISNA(計算結果!A168),"",計算結果!A168)=0,"",IF(ISNA(計算結果!A168),"",計算結果!A168))</f>
        <v/>
      </c>
      <c r="B168" s="10" t="str">
        <f>IF(IF(ISNA(計算結果!B168),"",計算結果!B168)=0,"",IF(ISNA(計算結果!B168),"",計算結果!B168))</f>
        <v/>
      </c>
      <c r="C168" s="10" t="str">
        <f>IF(IF(ISNA(計算結果!C168),"",計算結果!C168)=0,"",IF(ISNA(計算結果!C168),"",計算結果!C168))</f>
        <v/>
      </c>
      <c r="D168" s="10" t="str">
        <f>IF(IF(ISNA(計算結果!D168),"",計算結果!D168)=0,"",IF(ISNA(計算結果!D168),"",計算結果!D168))</f>
        <v>L</v>
      </c>
      <c r="E168" s="10" t="str">
        <f>IF(IF(ISNA(計算結果!E168),"",計算結果!E168)=0,"",IF(ISNA(計算結果!E168),"",計算結果!E168))</f>
        <v/>
      </c>
      <c r="F168" s="10" t="str">
        <f>IF(IF(ISNA(計算結果!F168),"",計算結果!F168)=0,"",IF(ISNA(計算結果!F168),"",計算結果!F168))</f>
        <v/>
      </c>
      <c r="G168" s="10" t="str">
        <f>IF(IF(ISNA(計算結果!G168),"",計算結果!G168)=0,"",IF(ISNA(計算結果!G168),"",計算結果!G168))</f>
        <v/>
      </c>
      <c r="H168" s="13">
        <f>IF(IF(ISNA(計算結果!H168),"",計算結果!H168)=0,"",IF(ISNA(計算結果!H168),"",計算結果!H168))</f>
        <v>-2</v>
      </c>
      <c r="I168" s="12" t="str">
        <f>IF(IF(ISNA(計算結果!I168),"",計算結果!I168)=0,"",IF(ISNA(計算結果!I168),"",計算結果!I168))</f>
        <v/>
      </c>
      <c r="J168" s="12" t="str">
        <f>IF(IF(ISNA(計算結果!J168),"",計算結果!J168)=0,"",IF(ISNA(計算結果!J168),"",計算結果!J168))</f>
        <v/>
      </c>
      <c r="K168" s="23" t="str">
        <f>IF(IF(ISNA(計算結果!K168),"",計算結果!K168)=0,"",IF(ISNA(計算結果!K168),"",計算結果!K168))</f>
        <v/>
      </c>
      <c r="L168" s="13" t="str">
        <f>IF(IF(ISNA(計算結果!L168),"",計算結果!L168)=0,"",IF(ISNA(計算結果!L168),"",計算結果!L168))</f>
        <v/>
      </c>
      <c r="M168" s="10" t="str">
        <f>IF(IF(ISNA(計算結果!M168),"",計算結果!M168)=0,"",IF(ISNA(計算結果!M168),"",計算結果!M168))</f>
        <v/>
      </c>
      <c r="N168" s="10" t="str">
        <f>IF(IF(ISNA(計算結果!N168),"",計算結果!N168)=0,"",IF(ISNA(計算結果!N168),"",計算結果!N168))</f>
        <v/>
      </c>
      <c r="O168" s="13" t="str">
        <f>IF(IF(ISNA(計算結果!O168),"",計算結果!O168)=0,"",IF(ISNA(計算結果!O168),"",計算結果!O168))</f>
        <v/>
      </c>
      <c r="P168" s="10" t="str">
        <f>IF(IF(ISNA(計算結果!P168),"",計算結果!P168)=0,"",IF(ISNA(計算結果!P168),"",計算結果!P168))</f>
        <v/>
      </c>
      <c r="Q168" s="10" t="str">
        <f>IF(IF(ISNA(計算結果!Q168),"",計算結果!Q168)=0,"",IF(ISNA(計算結果!Q168),"",計算結果!Q168))</f>
        <v/>
      </c>
      <c r="R168" s="14" t="str">
        <f t="shared" si="6"/>
        <v/>
      </c>
      <c r="S168" s="14" t="str">
        <f t="shared" si="7"/>
        <v>◯</v>
      </c>
      <c r="T168" s="14" t="str">
        <f t="shared" si="8"/>
        <v/>
      </c>
    </row>
    <row r="169" spans="1:20" hidden="1" x14ac:dyDescent="0.45">
      <c r="A169" s="10" t="str">
        <f>IF(IF(ISNA(計算結果!A169),"",計算結果!A169)=0,"",IF(ISNA(計算結果!A169),"",計算結果!A169))</f>
        <v/>
      </c>
      <c r="B169" s="10" t="str">
        <f>IF(IF(ISNA(計算結果!B169),"",計算結果!B169)=0,"",IF(ISNA(計算結果!B169),"",計算結果!B169))</f>
        <v/>
      </c>
      <c r="C169" s="10" t="str">
        <f>IF(IF(ISNA(計算結果!C169),"",計算結果!C169)=0,"",IF(ISNA(計算結果!C169),"",計算結果!C169))</f>
        <v/>
      </c>
      <c r="D169" s="10" t="str">
        <f>IF(IF(ISNA(計算結果!D169),"",計算結果!D169)=0,"",IF(ISNA(計算結果!D169),"",計算結果!D169))</f>
        <v>L</v>
      </c>
      <c r="E169" s="10" t="str">
        <f>IF(IF(ISNA(計算結果!E169),"",計算結果!E169)=0,"",IF(ISNA(計算結果!E169),"",計算結果!E169))</f>
        <v/>
      </c>
      <c r="F169" s="10" t="str">
        <f>IF(IF(ISNA(計算結果!F169),"",計算結果!F169)=0,"",IF(ISNA(計算結果!F169),"",計算結果!F169))</f>
        <v/>
      </c>
      <c r="G169" s="10" t="str">
        <f>IF(IF(ISNA(計算結果!G169),"",計算結果!G169)=0,"",IF(ISNA(計算結果!G169),"",計算結果!G169))</f>
        <v/>
      </c>
      <c r="H169" s="13">
        <f>IF(IF(ISNA(計算結果!H169),"",計算結果!H169)=0,"",IF(ISNA(計算結果!H169),"",計算結果!H169))</f>
        <v>-2</v>
      </c>
      <c r="I169" s="12" t="str">
        <f>IF(IF(ISNA(計算結果!I169),"",計算結果!I169)=0,"",IF(ISNA(計算結果!I169),"",計算結果!I169))</f>
        <v/>
      </c>
      <c r="J169" s="12" t="str">
        <f>IF(IF(ISNA(計算結果!J169),"",計算結果!J169)=0,"",IF(ISNA(計算結果!J169),"",計算結果!J169))</f>
        <v/>
      </c>
      <c r="K169" s="23" t="str">
        <f>IF(IF(ISNA(計算結果!K169),"",計算結果!K169)=0,"",IF(ISNA(計算結果!K169),"",計算結果!K169))</f>
        <v/>
      </c>
      <c r="L169" s="13" t="str">
        <f>IF(IF(ISNA(計算結果!L169),"",計算結果!L169)=0,"",IF(ISNA(計算結果!L169),"",計算結果!L169))</f>
        <v/>
      </c>
      <c r="M169" s="10" t="str">
        <f>IF(IF(ISNA(計算結果!M169),"",計算結果!M169)=0,"",IF(ISNA(計算結果!M169),"",計算結果!M169))</f>
        <v/>
      </c>
      <c r="N169" s="10" t="str">
        <f>IF(IF(ISNA(計算結果!N169),"",計算結果!N169)=0,"",IF(ISNA(計算結果!N169),"",計算結果!N169))</f>
        <v/>
      </c>
      <c r="O169" s="13" t="str">
        <f>IF(IF(ISNA(計算結果!O169),"",計算結果!O169)=0,"",IF(ISNA(計算結果!O169),"",計算結果!O169))</f>
        <v/>
      </c>
      <c r="P169" s="10" t="str">
        <f>IF(IF(ISNA(計算結果!P169),"",計算結果!P169)=0,"",IF(ISNA(計算結果!P169),"",計算結果!P169))</f>
        <v/>
      </c>
      <c r="Q169" s="10" t="str">
        <f>IF(IF(ISNA(計算結果!Q169),"",計算結果!Q169)=0,"",IF(ISNA(計算結果!Q169),"",計算結果!Q169))</f>
        <v/>
      </c>
      <c r="R169" s="14" t="str">
        <f t="shared" si="6"/>
        <v/>
      </c>
      <c r="S169" s="14" t="str">
        <f t="shared" si="7"/>
        <v>◯</v>
      </c>
      <c r="T169" s="14" t="str">
        <f t="shared" si="8"/>
        <v/>
      </c>
    </row>
    <row r="170" spans="1:20" hidden="1" x14ac:dyDescent="0.45">
      <c r="A170" s="10" t="str">
        <f>IF(IF(ISNA(計算結果!A170),"",計算結果!A170)=0,"",IF(ISNA(計算結果!A170),"",計算結果!A170))</f>
        <v/>
      </c>
      <c r="B170" s="10" t="str">
        <f>IF(IF(ISNA(計算結果!B170),"",計算結果!B170)=0,"",IF(ISNA(計算結果!B170),"",計算結果!B170))</f>
        <v/>
      </c>
      <c r="C170" s="10" t="str">
        <f>IF(IF(ISNA(計算結果!C170),"",計算結果!C170)=0,"",IF(ISNA(計算結果!C170),"",計算結果!C170))</f>
        <v/>
      </c>
      <c r="D170" s="10" t="str">
        <f>IF(IF(ISNA(計算結果!D170),"",計算結果!D170)=0,"",IF(ISNA(計算結果!D170),"",計算結果!D170))</f>
        <v>L</v>
      </c>
      <c r="E170" s="10" t="str">
        <f>IF(IF(ISNA(計算結果!E170),"",計算結果!E170)=0,"",IF(ISNA(計算結果!E170),"",計算結果!E170))</f>
        <v/>
      </c>
      <c r="F170" s="10" t="str">
        <f>IF(IF(ISNA(計算結果!F170),"",計算結果!F170)=0,"",IF(ISNA(計算結果!F170),"",計算結果!F170))</f>
        <v/>
      </c>
      <c r="G170" s="10" t="str">
        <f>IF(IF(ISNA(計算結果!G170),"",計算結果!G170)=0,"",IF(ISNA(計算結果!G170),"",計算結果!G170))</f>
        <v/>
      </c>
      <c r="H170" s="13">
        <f>IF(IF(ISNA(計算結果!H170),"",計算結果!H170)=0,"",IF(ISNA(計算結果!H170),"",計算結果!H170))</f>
        <v>-2</v>
      </c>
      <c r="I170" s="12" t="str">
        <f>IF(IF(ISNA(計算結果!I170),"",計算結果!I170)=0,"",IF(ISNA(計算結果!I170),"",計算結果!I170))</f>
        <v/>
      </c>
      <c r="J170" s="12" t="str">
        <f>IF(IF(ISNA(計算結果!J170),"",計算結果!J170)=0,"",IF(ISNA(計算結果!J170),"",計算結果!J170))</f>
        <v/>
      </c>
      <c r="K170" s="23" t="str">
        <f>IF(IF(ISNA(計算結果!K170),"",計算結果!K170)=0,"",IF(ISNA(計算結果!K170),"",計算結果!K170))</f>
        <v/>
      </c>
      <c r="L170" s="13" t="str">
        <f>IF(IF(ISNA(計算結果!L170),"",計算結果!L170)=0,"",IF(ISNA(計算結果!L170),"",計算結果!L170))</f>
        <v/>
      </c>
      <c r="M170" s="10" t="str">
        <f>IF(IF(ISNA(計算結果!M170),"",計算結果!M170)=0,"",IF(ISNA(計算結果!M170),"",計算結果!M170))</f>
        <v/>
      </c>
      <c r="N170" s="10" t="str">
        <f>IF(IF(ISNA(計算結果!N170),"",計算結果!N170)=0,"",IF(ISNA(計算結果!N170),"",計算結果!N170))</f>
        <v/>
      </c>
      <c r="O170" s="13" t="str">
        <f>IF(IF(ISNA(計算結果!O170),"",計算結果!O170)=0,"",IF(ISNA(計算結果!O170),"",計算結果!O170))</f>
        <v/>
      </c>
      <c r="P170" s="10" t="str">
        <f>IF(IF(ISNA(計算結果!P170),"",計算結果!P170)=0,"",IF(ISNA(計算結果!P170),"",計算結果!P170))</f>
        <v/>
      </c>
      <c r="Q170" s="10" t="str">
        <f>IF(IF(ISNA(計算結果!Q170),"",計算結果!Q170)=0,"",IF(ISNA(計算結果!Q170),"",計算結果!Q170))</f>
        <v/>
      </c>
      <c r="R170" s="14" t="str">
        <f t="shared" si="6"/>
        <v/>
      </c>
      <c r="S170" s="14" t="str">
        <f t="shared" si="7"/>
        <v>◯</v>
      </c>
      <c r="T170" s="14" t="str">
        <f t="shared" si="8"/>
        <v/>
      </c>
    </row>
    <row r="171" spans="1:20" hidden="1" x14ac:dyDescent="0.45">
      <c r="A171" s="10" t="str">
        <f>IF(IF(ISNA(計算結果!A171),"",計算結果!A171)=0,"",IF(ISNA(計算結果!A171),"",計算結果!A171))</f>
        <v/>
      </c>
      <c r="B171" s="10" t="str">
        <f>IF(IF(ISNA(計算結果!B171),"",計算結果!B171)=0,"",IF(ISNA(計算結果!B171),"",計算結果!B171))</f>
        <v/>
      </c>
      <c r="C171" s="10" t="str">
        <f>IF(IF(ISNA(計算結果!C171),"",計算結果!C171)=0,"",IF(ISNA(計算結果!C171),"",計算結果!C171))</f>
        <v/>
      </c>
      <c r="D171" s="10" t="str">
        <f>IF(IF(ISNA(計算結果!D171),"",計算結果!D171)=0,"",IF(ISNA(計算結果!D171),"",計算結果!D171))</f>
        <v>L</v>
      </c>
      <c r="E171" s="10" t="str">
        <f>IF(IF(ISNA(計算結果!E171),"",計算結果!E171)=0,"",IF(ISNA(計算結果!E171),"",計算結果!E171))</f>
        <v/>
      </c>
      <c r="F171" s="10" t="str">
        <f>IF(IF(ISNA(計算結果!F171),"",計算結果!F171)=0,"",IF(ISNA(計算結果!F171),"",計算結果!F171))</f>
        <v/>
      </c>
      <c r="G171" s="10" t="str">
        <f>IF(IF(ISNA(計算結果!G171),"",計算結果!G171)=0,"",IF(ISNA(計算結果!G171),"",計算結果!G171))</f>
        <v/>
      </c>
      <c r="H171" s="13">
        <f>IF(IF(ISNA(計算結果!H171),"",計算結果!H171)=0,"",IF(ISNA(計算結果!H171),"",計算結果!H171))</f>
        <v>-2</v>
      </c>
      <c r="I171" s="12" t="str">
        <f>IF(IF(ISNA(計算結果!I171),"",計算結果!I171)=0,"",IF(ISNA(計算結果!I171),"",計算結果!I171))</f>
        <v/>
      </c>
      <c r="J171" s="12" t="str">
        <f>IF(IF(ISNA(計算結果!J171),"",計算結果!J171)=0,"",IF(ISNA(計算結果!J171),"",計算結果!J171))</f>
        <v/>
      </c>
      <c r="K171" s="23" t="str">
        <f>IF(IF(ISNA(計算結果!K171),"",計算結果!K171)=0,"",IF(ISNA(計算結果!K171),"",計算結果!K171))</f>
        <v/>
      </c>
      <c r="L171" s="13" t="str">
        <f>IF(IF(ISNA(計算結果!L171),"",計算結果!L171)=0,"",IF(ISNA(計算結果!L171),"",計算結果!L171))</f>
        <v/>
      </c>
      <c r="M171" s="10" t="str">
        <f>IF(IF(ISNA(計算結果!M171),"",計算結果!M171)=0,"",IF(ISNA(計算結果!M171),"",計算結果!M171))</f>
        <v/>
      </c>
      <c r="N171" s="10" t="str">
        <f>IF(IF(ISNA(計算結果!N171),"",計算結果!N171)=0,"",IF(ISNA(計算結果!N171),"",計算結果!N171))</f>
        <v/>
      </c>
      <c r="O171" s="13" t="str">
        <f>IF(IF(ISNA(計算結果!O171),"",計算結果!O171)=0,"",IF(ISNA(計算結果!O171),"",計算結果!O171))</f>
        <v/>
      </c>
      <c r="P171" s="10" t="str">
        <f>IF(IF(ISNA(計算結果!P171),"",計算結果!P171)=0,"",IF(ISNA(計算結果!P171),"",計算結果!P171))</f>
        <v/>
      </c>
      <c r="Q171" s="10" t="str">
        <f>IF(IF(ISNA(計算結果!Q171),"",計算結果!Q171)=0,"",IF(ISNA(計算結果!Q171),"",計算結果!Q171))</f>
        <v/>
      </c>
      <c r="R171" s="14" t="str">
        <f t="shared" si="6"/>
        <v/>
      </c>
      <c r="S171" s="14" t="str">
        <f t="shared" si="7"/>
        <v>◯</v>
      </c>
      <c r="T171" s="14" t="str">
        <f t="shared" si="8"/>
        <v/>
      </c>
    </row>
    <row r="172" spans="1:20" hidden="1" x14ac:dyDescent="0.45">
      <c r="A172" s="10" t="str">
        <f>IF(IF(ISNA(計算結果!A172),"",計算結果!A172)=0,"",IF(ISNA(計算結果!A172),"",計算結果!A172))</f>
        <v/>
      </c>
      <c r="B172" s="10" t="str">
        <f>IF(IF(ISNA(計算結果!B172),"",計算結果!B172)=0,"",IF(ISNA(計算結果!B172),"",計算結果!B172))</f>
        <v/>
      </c>
      <c r="C172" s="10" t="str">
        <f>IF(IF(ISNA(計算結果!C172),"",計算結果!C172)=0,"",IF(ISNA(計算結果!C172),"",計算結果!C172))</f>
        <v/>
      </c>
      <c r="D172" s="10" t="str">
        <f>IF(IF(ISNA(計算結果!D172),"",計算結果!D172)=0,"",IF(ISNA(計算結果!D172),"",計算結果!D172))</f>
        <v>L</v>
      </c>
      <c r="E172" s="10" t="str">
        <f>IF(IF(ISNA(計算結果!E172),"",計算結果!E172)=0,"",IF(ISNA(計算結果!E172),"",計算結果!E172))</f>
        <v/>
      </c>
      <c r="F172" s="10" t="str">
        <f>IF(IF(ISNA(計算結果!F172),"",計算結果!F172)=0,"",IF(ISNA(計算結果!F172),"",計算結果!F172))</f>
        <v/>
      </c>
      <c r="G172" s="10" t="str">
        <f>IF(IF(ISNA(計算結果!G172),"",計算結果!G172)=0,"",IF(ISNA(計算結果!G172),"",計算結果!G172))</f>
        <v/>
      </c>
      <c r="H172" s="13">
        <f>IF(IF(ISNA(計算結果!H172),"",計算結果!H172)=0,"",IF(ISNA(計算結果!H172),"",計算結果!H172))</f>
        <v>-2</v>
      </c>
      <c r="I172" s="12" t="str">
        <f>IF(IF(ISNA(計算結果!I172),"",計算結果!I172)=0,"",IF(ISNA(計算結果!I172),"",計算結果!I172))</f>
        <v/>
      </c>
      <c r="J172" s="12" t="str">
        <f>IF(IF(ISNA(計算結果!J172),"",計算結果!J172)=0,"",IF(ISNA(計算結果!J172),"",計算結果!J172))</f>
        <v/>
      </c>
      <c r="K172" s="23" t="str">
        <f>IF(IF(ISNA(計算結果!K172),"",計算結果!K172)=0,"",IF(ISNA(計算結果!K172),"",計算結果!K172))</f>
        <v/>
      </c>
      <c r="L172" s="13" t="str">
        <f>IF(IF(ISNA(計算結果!L172),"",計算結果!L172)=0,"",IF(ISNA(計算結果!L172),"",計算結果!L172))</f>
        <v/>
      </c>
      <c r="M172" s="10" t="str">
        <f>IF(IF(ISNA(計算結果!M172),"",計算結果!M172)=0,"",IF(ISNA(計算結果!M172),"",計算結果!M172))</f>
        <v/>
      </c>
      <c r="N172" s="10" t="str">
        <f>IF(IF(ISNA(計算結果!N172),"",計算結果!N172)=0,"",IF(ISNA(計算結果!N172),"",計算結果!N172))</f>
        <v/>
      </c>
      <c r="O172" s="13" t="str">
        <f>IF(IF(ISNA(計算結果!O172),"",計算結果!O172)=0,"",IF(ISNA(計算結果!O172),"",計算結果!O172))</f>
        <v/>
      </c>
      <c r="P172" s="10" t="str">
        <f>IF(IF(ISNA(計算結果!P172),"",計算結果!P172)=0,"",IF(ISNA(計算結果!P172),"",計算結果!P172))</f>
        <v/>
      </c>
      <c r="Q172" s="10" t="str">
        <f>IF(IF(ISNA(計算結果!Q172),"",計算結果!Q172)=0,"",IF(ISNA(計算結果!Q172),"",計算結果!Q172))</f>
        <v/>
      </c>
      <c r="R172" s="14" t="str">
        <f t="shared" si="6"/>
        <v/>
      </c>
      <c r="S172" s="14" t="str">
        <f t="shared" si="7"/>
        <v>◯</v>
      </c>
      <c r="T172" s="14" t="str">
        <f t="shared" si="8"/>
        <v/>
      </c>
    </row>
    <row r="173" spans="1:20" hidden="1" x14ac:dyDescent="0.45">
      <c r="A173" s="10" t="str">
        <f>IF(IF(ISNA(計算結果!A173),"",計算結果!A173)=0,"",IF(ISNA(計算結果!A173),"",計算結果!A173))</f>
        <v/>
      </c>
      <c r="B173" s="10" t="str">
        <f>IF(IF(ISNA(計算結果!B173),"",計算結果!B173)=0,"",IF(ISNA(計算結果!B173),"",計算結果!B173))</f>
        <v/>
      </c>
      <c r="C173" s="10" t="str">
        <f>IF(IF(ISNA(計算結果!C173),"",計算結果!C173)=0,"",IF(ISNA(計算結果!C173),"",計算結果!C173))</f>
        <v/>
      </c>
      <c r="D173" s="10" t="str">
        <f>IF(IF(ISNA(計算結果!D173),"",計算結果!D173)=0,"",IF(ISNA(計算結果!D173),"",計算結果!D173))</f>
        <v>L</v>
      </c>
      <c r="E173" s="10" t="str">
        <f>IF(IF(ISNA(計算結果!E173),"",計算結果!E173)=0,"",IF(ISNA(計算結果!E173),"",計算結果!E173))</f>
        <v/>
      </c>
      <c r="F173" s="10" t="str">
        <f>IF(IF(ISNA(計算結果!F173),"",計算結果!F173)=0,"",IF(ISNA(計算結果!F173),"",計算結果!F173))</f>
        <v/>
      </c>
      <c r="G173" s="10" t="str">
        <f>IF(IF(ISNA(計算結果!G173),"",計算結果!G173)=0,"",IF(ISNA(計算結果!G173),"",計算結果!G173))</f>
        <v/>
      </c>
      <c r="H173" s="13">
        <f>IF(IF(ISNA(計算結果!H173),"",計算結果!H173)=0,"",IF(ISNA(計算結果!H173),"",計算結果!H173))</f>
        <v>-2</v>
      </c>
      <c r="I173" s="12" t="str">
        <f>IF(IF(ISNA(計算結果!I173),"",計算結果!I173)=0,"",IF(ISNA(計算結果!I173),"",計算結果!I173))</f>
        <v/>
      </c>
      <c r="J173" s="12" t="str">
        <f>IF(IF(ISNA(計算結果!J173),"",計算結果!J173)=0,"",IF(ISNA(計算結果!J173),"",計算結果!J173))</f>
        <v/>
      </c>
      <c r="K173" s="23" t="str">
        <f>IF(IF(ISNA(計算結果!K173),"",計算結果!K173)=0,"",IF(ISNA(計算結果!K173),"",計算結果!K173))</f>
        <v/>
      </c>
      <c r="L173" s="13" t="str">
        <f>IF(IF(ISNA(計算結果!L173),"",計算結果!L173)=0,"",IF(ISNA(計算結果!L173),"",計算結果!L173))</f>
        <v/>
      </c>
      <c r="M173" s="10" t="str">
        <f>IF(IF(ISNA(計算結果!M173),"",計算結果!M173)=0,"",IF(ISNA(計算結果!M173),"",計算結果!M173))</f>
        <v/>
      </c>
      <c r="N173" s="10" t="str">
        <f>IF(IF(ISNA(計算結果!N173),"",計算結果!N173)=0,"",IF(ISNA(計算結果!N173),"",計算結果!N173))</f>
        <v/>
      </c>
      <c r="O173" s="13" t="str">
        <f>IF(IF(ISNA(計算結果!O173),"",計算結果!O173)=0,"",IF(ISNA(計算結果!O173),"",計算結果!O173))</f>
        <v/>
      </c>
      <c r="P173" s="10" t="str">
        <f>IF(IF(ISNA(計算結果!P173),"",計算結果!P173)=0,"",IF(ISNA(計算結果!P173),"",計算結果!P173))</f>
        <v/>
      </c>
      <c r="Q173" s="10" t="str">
        <f>IF(IF(ISNA(計算結果!Q173),"",計算結果!Q173)=0,"",IF(ISNA(計算結果!Q173),"",計算結果!Q173))</f>
        <v/>
      </c>
      <c r="R173" s="14" t="str">
        <f t="shared" si="6"/>
        <v/>
      </c>
      <c r="S173" s="14" t="str">
        <f t="shared" si="7"/>
        <v>◯</v>
      </c>
      <c r="T173" s="14" t="str">
        <f t="shared" si="8"/>
        <v/>
      </c>
    </row>
    <row r="174" spans="1:20" hidden="1" x14ac:dyDescent="0.45">
      <c r="A174" s="10" t="str">
        <f>IF(IF(ISNA(計算結果!A174),"",計算結果!A174)=0,"",IF(ISNA(計算結果!A174),"",計算結果!A174))</f>
        <v/>
      </c>
      <c r="B174" s="10" t="str">
        <f>IF(IF(ISNA(計算結果!B174),"",計算結果!B174)=0,"",IF(ISNA(計算結果!B174),"",計算結果!B174))</f>
        <v/>
      </c>
      <c r="C174" s="10" t="str">
        <f>IF(IF(ISNA(計算結果!C174),"",計算結果!C174)=0,"",IF(ISNA(計算結果!C174),"",計算結果!C174))</f>
        <v/>
      </c>
      <c r="D174" s="10" t="str">
        <f>IF(IF(ISNA(計算結果!D174),"",計算結果!D174)=0,"",IF(ISNA(計算結果!D174),"",計算結果!D174))</f>
        <v>L</v>
      </c>
      <c r="E174" s="10" t="str">
        <f>IF(IF(ISNA(計算結果!E174),"",計算結果!E174)=0,"",IF(ISNA(計算結果!E174),"",計算結果!E174))</f>
        <v/>
      </c>
      <c r="F174" s="10" t="str">
        <f>IF(IF(ISNA(計算結果!F174),"",計算結果!F174)=0,"",IF(ISNA(計算結果!F174),"",計算結果!F174))</f>
        <v/>
      </c>
      <c r="G174" s="10" t="str">
        <f>IF(IF(ISNA(計算結果!G174),"",計算結果!G174)=0,"",IF(ISNA(計算結果!G174),"",計算結果!G174))</f>
        <v/>
      </c>
      <c r="H174" s="13">
        <f>IF(IF(ISNA(計算結果!H174),"",計算結果!H174)=0,"",IF(ISNA(計算結果!H174),"",計算結果!H174))</f>
        <v>-2</v>
      </c>
      <c r="I174" s="12" t="str">
        <f>IF(IF(ISNA(計算結果!I174),"",計算結果!I174)=0,"",IF(ISNA(計算結果!I174),"",計算結果!I174))</f>
        <v/>
      </c>
      <c r="J174" s="12" t="str">
        <f>IF(IF(ISNA(計算結果!J174),"",計算結果!J174)=0,"",IF(ISNA(計算結果!J174),"",計算結果!J174))</f>
        <v/>
      </c>
      <c r="K174" s="23" t="str">
        <f>IF(IF(ISNA(計算結果!K174),"",計算結果!K174)=0,"",IF(ISNA(計算結果!K174),"",計算結果!K174))</f>
        <v/>
      </c>
      <c r="L174" s="13" t="str">
        <f>IF(IF(ISNA(計算結果!L174),"",計算結果!L174)=0,"",IF(ISNA(計算結果!L174),"",計算結果!L174))</f>
        <v/>
      </c>
      <c r="M174" s="10" t="str">
        <f>IF(IF(ISNA(計算結果!M174),"",計算結果!M174)=0,"",IF(ISNA(計算結果!M174),"",計算結果!M174))</f>
        <v/>
      </c>
      <c r="N174" s="10" t="str">
        <f>IF(IF(ISNA(計算結果!N174),"",計算結果!N174)=0,"",IF(ISNA(計算結果!N174),"",計算結果!N174))</f>
        <v/>
      </c>
      <c r="O174" s="13" t="str">
        <f>IF(IF(ISNA(計算結果!O174),"",計算結果!O174)=0,"",IF(ISNA(計算結果!O174),"",計算結果!O174))</f>
        <v/>
      </c>
      <c r="P174" s="10" t="str">
        <f>IF(IF(ISNA(計算結果!P174),"",計算結果!P174)=0,"",IF(ISNA(計算結果!P174),"",計算結果!P174))</f>
        <v/>
      </c>
      <c r="Q174" s="10" t="str">
        <f>IF(IF(ISNA(計算結果!Q174),"",計算結果!Q174)=0,"",IF(ISNA(計算結果!Q174),"",計算結果!Q174))</f>
        <v/>
      </c>
      <c r="R174" s="14" t="str">
        <f t="shared" si="6"/>
        <v/>
      </c>
      <c r="S174" s="14" t="str">
        <f t="shared" si="7"/>
        <v>◯</v>
      </c>
      <c r="T174" s="14" t="str">
        <f t="shared" si="8"/>
        <v/>
      </c>
    </row>
    <row r="175" spans="1:20" hidden="1" x14ac:dyDescent="0.45">
      <c r="A175" s="10" t="str">
        <f>IF(IF(ISNA(計算結果!A175),"",計算結果!A175)=0,"",IF(ISNA(計算結果!A175),"",計算結果!A175))</f>
        <v/>
      </c>
      <c r="B175" s="10" t="str">
        <f>IF(IF(ISNA(計算結果!B175),"",計算結果!B175)=0,"",IF(ISNA(計算結果!B175),"",計算結果!B175))</f>
        <v/>
      </c>
      <c r="C175" s="10" t="str">
        <f>IF(IF(ISNA(計算結果!C175),"",計算結果!C175)=0,"",IF(ISNA(計算結果!C175),"",計算結果!C175))</f>
        <v/>
      </c>
      <c r="D175" s="10" t="str">
        <f>IF(IF(ISNA(計算結果!D175),"",計算結果!D175)=0,"",IF(ISNA(計算結果!D175),"",計算結果!D175))</f>
        <v>L</v>
      </c>
      <c r="E175" s="10" t="str">
        <f>IF(IF(ISNA(計算結果!E175),"",計算結果!E175)=0,"",IF(ISNA(計算結果!E175),"",計算結果!E175))</f>
        <v/>
      </c>
      <c r="F175" s="10" t="str">
        <f>IF(IF(ISNA(計算結果!F175),"",計算結果!F175)=0,"",IF(ISNA(計算結果!F175),"",計算結果!F175))</f>
        <v/>
      </c>
      <c r="G175" s="10" t="str">
        <f>IF(IF(ISNA(計算結果!G175),"",計算結果!G175)=0,"",IF(ISNA(計算結果!G175),"",計算結果!G175))</f>
        <v/>
      </c>
      <c r="H175" s="13">
        <f>IF(IF(ISNA(計算結果!H175),"",計算結果!H175)=0,"",IF(ISNA(計算結果!H175),"",計算結果!H175))</f>
        <v>-2</v>
      </c>
      <c r="I175" s="12" t="str">
        <f>IF(IF(ISNA(計算結果!I175),"",計算結果!I175)=0,"",IF(ISNA(計算結果!I175),"",計算結果!I175))</f>
        <v/>
      </c>
      <c r="J175" s="12" t="str">
        <f>IF(IF(ISNA(計算結果!J175),"",計算結果!J175)=0,"",IF(ISNA(計算結果!J175),"",計算結果!J175))</f>
        <v/>
      </c>
      <c r="K175" s="23" t="str">
        <f>IF(IF(ISNA(計算結果!K175),"",計算結果!K175)=0,"",IF(ISNA(計算結果!K175),"",計算結果!K175))</f>
        <v/>
      </c>
      <c r="L175" s="13" t="str">
        <f>IF(IF(ISNA(計算結果!L175),"",計算結果!L175)=0,"",IF(ISNA(計算結果!L175),"",計算結果!L175))</f>
        <v/>
      </c>
      <c r="M175" s="10" t="str">
        <f>IF(IF(ISNA(計算結果!M175),"",計算結果!M175)=0,"",IF(ISNA(計算結果!M175),"",計算結果!M175))</f>
        <v/>
      </c>
      <c r="N175" s="10" t="str">
        <f>IF(IF(ISNA(計算結果!N175),"",計算結果!N175)=0,"",IF(ISNA(計算結果!N175),"",計算結果!N175))</f>
        <v/>
      </c>
      <c r="O175" s="13" t="str">
        <f>IF(IF(ISNA(計算結果!O175),"",計算結果!O175)=0,"",IF(ISNA(計算結果!O175),"",計算結果!O175))</f>
        <v/>
      </c>
      <c r="P175" s="10" t="str">
        <f>IF(IF(ISNA(計算結果!P175),"",計算結果!P175)=0,"",IF(ISNA(計算結果!P175),"",計算結果!P175))</f>
        <v/>
      </c>
      <c r="Q175" s="10" t="str">
        <f>IF(IF(ISNA(計算結果!Q175),"",計算結果!Q175)=0,"",IF(ISNA(計算結果!Q175),"",計算結果!Q175))</f>
        <v/>
      </c>
      <c r="R175" s="14" t="str">
        <f t="shared" si="6"/>
        <v/>
      </c>
      <c r="S175" s="14" t="str">
        <f t="shared" si="7"/>
        <v>◯</v>
      </c>
      <c r="T175" s="14" t="str">
        <f t="shared" si="8"/>
        <v/>
      </c>
    </row>
    <row r="176" spans="1:20" hidden="1" x14ac:dyDescent="0.45">
      <c r="A176" s="10" t="str">
        <f>IF(IF(ISNA(計算結果!A176),"",計算結果!A176)=0,"",IF(ISNA(計算結果!A176),"",計算結果!A176))</f>
        <v/>
      </c>
      <c r="B176" s="10" t="str">
        <f>IF(IF(ISNA(計算結果!B176),"",計算結果!B176)=0,"",IF(ISNA(計算結果!B176),"",計算結果!B176))</f>
        <v/>
      </c>
      <c r="C176" s="10" t="str">
        <f>IF(IF(ISNA(計算結果!C176),"",計算結果!C176)=0,"",IF(ISNA(計算結果!C176),"",計算結果!C176))</f>
        <v/>
      </c>
      <c r="D176" s="10" t="str">
        <f>IF(IF(ISNA(計算結果!D176),"",計算結果!D176)=0,"",IF(ISNA(計算結果!D176),"",計算結果!D176))</f>
        <v>L</v>
      </c>
      <c r="E176" s="10" t="str">
        <f>IF(IF(ISNA(計算結果!E176),"",計算結果!E176)=0,"",IF(ISNA(計算結果!E176),"",計算結果!E176))</f>
        <v/>
      </c>
      <c r="F176" s="10" t="str">
        <f>IF(IF(ISNA(計算結果!F176),"",計算結果!F176)=0,"",IF(ISNA(計算結果!F176),"",計算結果!F176))</f>
        <v/>
      </c>
      <c r="G176" s="10" t="str">
        <f>IF(IF(ISNA(計算結果!G176),"",計算結果!G176)=0,"",IF(ISNA(計算結果!G176),"",計算結果!G176))</f>
        <v/>
      </c>
      <c r="H176" s="13">
        <f>IF(IF(ISNA(計算結果!H176),"",計算結果!H176)=0,"",IF(ISNA(計算結果!H176),"",計算結果!H176))</f>
        <v>-2</v>
      </c>
      <c r="I176" s="12" t="str">
        <f>IF(IF(ISNA(計算結果!I176),"",計算結果!I176)=0,"",IF(ISNA(計算結果!I176),"",計算結果!I176))</f>
        <v/>
      </c>
      <c r="J176" s="12" t="str">
        <f>IF(IF(ISNA(計算結果!J176),"",計算結果!J176)=0,"",IF(ISNA(計算結果!J176),"",計算結果!J176))</f>
        <v/>
      </c>
      <c r="K176" s="23" t="str">
        <f>IF(IF(ISNA(計算結果!K176),"",計算結果!K176)=0,"",IF(ISNA(計算結果!K176),"",計算結果!K176))</f>
        <v/>
      </c>
      <c r="L176" s="13" t="str">
        <f>IF(IF(ISNA(計算結果!L176),"",計算結果!L176)=0,"",IF(ISNA(計算結果!L176),"",計算結果!L176))</f>
        <v/>
      </c>
      <c r="M176" s="10" t="str">
        <f>IF(IF(ISNA(計算結果!M176),"",計算結果!M176)=0,"",IF(ISNA(計算結果!M176),"",計算結果!M176))</f>
        <v/>
      </c>
      <c r="N176" s="10" t="str">
        <f>IF(IF(ISNA(計算結果!N176),"",計算結果!N176)=0,"",IF(ISNA(計算結果!N176),"",計算結果!N176))</f>
        <v/>
      </c>
      <c r="O176" s="13" t="str">
        <f>IF(IF(ISNA(計算結果!O176),"",計算結果!O176)=0,"",IF(ISNA(計算結果!O176),"",計算結果!O176))</f>
        <v/>
      </c>
      <c r="P176" s="10" t="str">
        <f>IF(IF(ISNA(計算結果!P176),"",計算結果!P176)=0,"",IF(ISNA(計算結果!P176),"",計算結果!P176))</f>
        <v/>
      </c>
      <c r="Q176" s="10" t="str">
        <f>IF(IF(ISNA(計算結果!Q176),"",計算結果!Q176)=0,"",IF(ISNA(計算結果!Q176),"",計算結果!Q176))</f>
        <v/>
      </c>
      <c r="R176" s="14" t="str">
        <f t="shared" si="6"/>
        <v/>
      </c>
      <c r="S176" s="14" t="str">
        <f t="shared" si="7"/>
        <v>◯</v>
      </c>
      <c r="T176" s="14" t="str">
        <f t="shared" si="8"/>
        <v/>
      </c>
    </row>
    <row r="177" spans="1:20" hidden="1" x14ac:dyDescent="0.45">
      <c r="A177" s="10" t="str">
        <f>IF(IF(ISNA(計算結果!A177),"",計算結果!A177)=0,"",IF(ISNA(計算結果!A177),"",計算結果!A177))</f>
        <v/>
      </c>
      <c r="B177" s="10" t="str">
        <f>IF(IF(ISNA(計算結果!B177),"",計算結果!B177)=0,"",IF(ISNA(計算結果!B177),"",計算結果!B177))</f>
        <v/>
      </c>
      <c r="C177" s="10" t="str">
        <f>IF(IF(ISNA(計算結果!C177),"",計算結果!C177)=0,"",IF(ISNA(計算結果!C177),"",計算結果!C177))</f>
        <v/>
      </c>
      <c r="D177" s="10" t="str">
        <f>IF(IF(ISNA(計算結果!D177),"",計算結果!D177)=0,"",IF(ISNA(計算結果!D177),"",計算結果!D177))</f>
        <v>L</v>
      </c>
      <c r="E177" s="10" t="str">
        <f>IF(IF(ISNA(計算結果!E177),"",計算結果!E177)=0,"",IF(ISNA(計算結果!E177),"",計算結果!E177))</f>
        <v/>
      </c>
      <c r="F177" s="10" t="str">
        <f>IF(IF(ISNA(計算結果!F177),"",計算結果!F177)=0,"",IF(ISNA(計算結果!F177),"",計算結果!F177))</f>
        <v/>
      </c>
      <c r="G177" s="10" t="str">
        <f>IF(IF(ISNA(計算結果!G177),"",計算結果!G177)=0,"",IF(ISNA(計算結果!G177),"",計算結果!G177))</f>
        <v/>
      </c>
      <c r="H177" s="13">
        <f>IF(IF(ISNA(計算結果!H177),"",計算結果!H177)=0,"",IF(ISNA(計算結果!H177),"",計算結果!H177))</f>
        <v>-2</v>
      </c>
      <c r="I177" s="12" t="str">
        <f>IF(IF(ISNA(計算結果!I177),"",計算結果!I177)=0,"",IF(ISNA(計算結果!I177),"",計算結果!I177))</f>
        <v/>
      </c>
      <c r="J177" s="12" t="str">
        <f>IF(IF(ISNA(計算結果!J177),"",計算結果!J177)=0,"",IF(ISNA(計算結果!J177),"",計算結果!J177))</f>
        <v/>
      </c>
      <c r="K177" s="23" t="str">
        <f>IF(IF(ISNA(計算結果!K177),"",計算結果!K177)=0,"",IF(ISNA(計算結果!K177),"",計算結果!K177))</f>
        <v/>
      </c>
      <c r="L177" s="13" t="str">
        <f>IF(IF(ISNA(計算結果!L177),"",計算結果!L177)=0,"",IF(ISNA(計算結果!L177),"",計算結果!L177))</f>
        <v/>
      </c>
      <c r="M177" s="10" t="str">
        <f>IF(IF(ISNA(計算結果!M177),"",計算結果!M177)=0,"",IF(ISNA(計算結果!M177),"",計算結果!M177))</f>
        <v/>
      </c>
      <c r="N177" s="10" t="str">
        <f>IF(IF(ISNA(計算結果!N177),"",計算結果!N177)=0,"",IF(ISNA(計算結果!N177),"",計算結果!N177))</f>
        <v/>
      </c>
      <c r="O177" s="13" t="str">
        <f>IF(IF(ISNA(計算結果!O177),"",計算結果!O177)=0,"",IF(ISNA(計算結果!O177),"",計算結果!O177))</f>
        <v/>
      </c>
      <c r="P177" s="10" t="str">
        <f>IF(IF(ISNA(計算結果!P177),"",計算結果!P177)=0,"",IF(ISNA(計算結果!P177),"",計算結果!P177))</f>
        <v/>
      </c>
      <c r="Q177" s="10" t="str">
        <f>IF(IF(ISNA(計算結果!Q177),"",計算結果!Q177)=0,"",IF(ISNA(計算結果!Q177),"",計算結果!Q177))</f>
        <v/>
      </c>
      <c r="R177" s="14" t="str">
        <f t="shared" si="6"/>
        <v/>
      </c>
      <c r="S177" s="14" t="str">
        <f t="shared" si="7"/>
        <v>◯</v>
      </c>
      <c r="T177" s="14" t="str">
        <f t="shared" si="8"/>
        <v/>
      </c>
    </row>
    <row r="178" spans="1:20" hidden="1" x14ac:dyDescent="0.45">
      <c r="A178" s="10" t="str">
        <f>IF(IF(ISNA(計算結果!A178),"",計算結果!A178)=0,"",IF(ISNA(計算結果!A178),"",計算結果!A178))</f>
        <v/>
      </c>
      <c r="B178" s="10" t="str">
        <f>IF(IF(ISNA(計算結果!B178),"",計算結果!B178)=0,"",IF(ISNA(計算結果!B178),"",計算結果!B178))</f>
        <v/>
      </c>
      <c r="C178" s="10" t="str">
        <f>IF(IF(ISNA(計算結果!C178),"",計算結果!C178)=0,"",IF(ISNA(計算結果!C178),"",計算結果!C178))</f>
        <v/>
      </c>
      <c r="D178" s="10" t="str">
        <f>IF(IF(ISNA(計算結果!D178),"",計算結果!D178)=0,"",IF(ISNA(計算結果!D178),"",計算結果!D178))</f>
        <v>L</v>
      </c>
      <c r="E178" s="10" t="str">
        <f>IF(IF(ISNA(計算結果!E178),"",計算結果!E178)=0,"",IF(ISNA(計算結果!E178),"",計算結果!E178))</f>
        <v/>
      </c>
      <c r="F178" s="10" t="str">
        <f>IF(IF(ISNA(計算結果!F178),"",計算結果!F178)=0,"",IF(ISNA(計算結果!F178),"",計算結果!F178))</f>
        <v/>
      </c>
      <c r="G178" s="10" t="str">
        <f>IF(IF(ISNA(計算結果!G178),"",計算結果!G178)=0,"",IF(ISNA(計算結果!G178),"",計算結果!G178))</f>
        <v/>
      </c>
      <c r="H178" s="13">
        <f>IF(IF(ISNA(計算結果!H178),"",計算結果!H178)=0,"",IF(ISNA(計算結果!H178),"",計算結果!H178))</f>
        <v>-2</v>
      </c>
      <c r="I178" s="12" t="str">
        <f>IF(IF(ISNA(計算結果!I178),"",計算結果!I178)=0,"",IF(ISNA(計算結果!I178),"",計算結果!I178))</f>
        <v/>
      </c>
      <c r="J178" s="12" t="str">
        <f>IF(IF(ISNA(計算結果!J178),"",計算結果!J178)=0,"",IF(ISNA(計算結果!J178),"",計算結果!J178))</f>
        <v/>
      </c>
      <c r="K178" s="23" t="str">
        <f>IF(IF(ISNA(計算結果!K178),"",計算結果!K178)=0,"",IF(ISNA(計算結果!K178),"",計算結果!K178))</f>
        <v/>
      </c>
      <c r="L178" s="13" t="str">
        <f>IF(IF(ISNA(計算結果!L178),"",計算結果!L178)=0,"",IF(ISNA(計算結果!L178),"",計算結果!L178))</f>
        <v/>
      </c>
      <c r="M178" s="10" t="str">
        <f>IF(IF(ISNA(計算結果!M178),"",計算結果!M178)=0,"",IF(ISNA(計算結果!M178),"",計算結果!M178))</f>
        <v/>
      </c>
      <c r="N178" s="10" t="str">
        <f>IF(IF(ISNA(計算結果!N178),"",計算結果!N178)=0,"",IF(ISNA(計算結果!N178),"",計算結果!N178))</f>
        <v/>
      </c>
      <c r="O178" s="13" t="str">
        <f>IF(IF(ISNA(計算結果!O178),"",計算結果!O178)=0,"",IF(ISNA(計算結果!O178),"",計算結果!O178))</f>
        <v/>
      </c>
      <c r="P178" s="10" t="str">
        <f>IF(IF(ISNA(計算結果!P178),"",計算結果!P178)=0,"",IF(ISNA(計算結果!P178),"",計算結果!P178))</f>
        <v/>
      </c>
      <c r="Q178" s="10" t="str">
        <f>IF(IF(ISNA(計算結果!Q178),"",計算結果!Q178)=0,"",IF(ISNA(計算結果!Q178),"",計算結果!Q178))</f>
        <v/>
      </c>
      <c r="R178" s="14" t="str">
        <f t="shared" si="6"/>
        <v/>
      </c>
      <c r="S178" s="14" t="str">
        <f t="shared" si="7"/>
        <v>◯</v>
      </c>
      <c r="T178" s="14" t="str">
        <f t="shared" si="8"/>
        <v/>
      </c>
    </row>
    <row r="179" spans="1:20" hidden="1" x14ac:dyDescent="0.45">
      <c r="A179" s="10" t="str">
        <f>IF(IF(ISNA(計算結果!A179),"",計算結果!A179)=0,"",IF(ISNA(計算結果!A179),"",計算結果!A179))</f>
        <v/>
      </c>
      <c r="B179" s="10" t="str">
        <f>IF(IF(ISNA(計算結果!B179),"",計算結果!B179)=0,"",IF(ISNA(計算結果!B179),"",計算結果!B179))</f>
        <v/>
      </c>
      <c r="C179" s="10" t="str">
        <f>IF(IF(ISNA(計算結果!C179),"",計算結果!C179)=0,"",IF(ISNA(計算結果!C179),"",計算結果!C179))</f>
        <v/>
      </c>
      <c r="D179" s="10" t="str">
        <f>IF(IF(ISNA(計算結果!D179),"",計算結果!D179)=0,"",IF(ISNA(計算結果!D179),"",計算結果!D179))</f>
        <v>L</v>
      </c>
      <c r="E179" s="10" t="str">
        <f>IF(IF(ISNA(計算結果!E179),"",計算結果!E179)=0,"",IF(ISNA(計算結果!E179),"",計算結果!E179))</f>
        <v/>
      </c>
      <c r="F179" s="10" t="str">
        <f>IF(IF(ISNA(計算結果!F179),"",計算結果!F179)=0,"",IF(ISNA(計算結果!F179),"",計算結果!F179))</f>
        <v/>
      </c>
      <c r="G179" s="10" t="str">
        <f>IF(IF(ISNA(計算結果!G179),"",計算結果!G179)=0,"",IF(ISNA(計算結果!G179),"",計算結果!G179))</f>
        <v/>
      </c>
      <c r="H179" s="13">
        <f>IF(IF(ISNA(計算結果!H179),"",計算結果!H179)=0,"",IF(ISNA(計算結果!H179),"",計算結果!H179))</f>
        <v>-2</v>
      </c>
      <c r="I179" s="12" t="str">
        <f>IF(IF(ISNA(計算結果!I179),"",計算結果!I179)=0,"",IF(ISNA(計算結果!I179),"",計算結果!I179))</f>
        <v/>
      </c>
      <c r="J179" s="12" t="str">
        <f>IF(IF(ISNA(計算結果!J179),"",計算結果!J179)=0,"",IF(ISNA(計算結果!J179),"",計算結果!J179))</f>
        <v/>
      </c>
      <c r="K179" s="23" t="str">
        <f>IF(IF(ISNA(計算結果!K179),"",計算結果!K179)=0,"",IF(ISNA(計算結果!K179),"",計算結果!K179))</f>
        <v/>
      </c>
      <c r="L179" s="13" t="str">
        <f>IF(IF(ISNA(計算結果!L179),"",計算結果!L179)=0,"",IF(ISNA(計算結果!L179),"",計算結果!L179))</f>
        <v/>
      </c>
      <c r="M179" s="10" t="str">
        <f>IF(IF(ISNA(計算結果!M179),"",計算結果!M179)=0,"",IF(ISNA(計算結果!M179),"",計算結果!M179))</f>
        <v/>
      </c>
      <c r="N179" s="10" t="str">
        <f>IF(IF(ISNA(計算結果!N179),"",計算結果!N179)=0,"",IF(ISNA(計算結果!N179),"",計算結果!N179))</f>
        <v/>
      </c>
      <c r="O179" s="13" t="str">
        <f>IF(IF(ISNA(計算結果!O179),"",計算結果!O179)=0,"",IF(ISNA(計算結果!O179),"",計算結果!O179))</f>
        <v/>
      </c>
      <c r="P179" s="10" t="str">
        <f>IF(IF(ISNA(計算結果!P179),"",計算結果!P179)=0,"",IF(ISNA(計算結果!P179),"",計算結果!P179))</f>
        <v/>
      </c>
      <c r="Q179" s="10" t="str">
        <f>IF(IF(ISNA(計算結果!Q179),"",計算結果!Q179)=0,"",IF(ISNA(計算結果!Q179),"",計算結果!Q179))</f>
        <v/>
      </c>
      <c r="R179" s="14" t="str">
        <f t="shared" si="6"/>
        <v/>
      </c>
      <c r="S179" s="14" t="str">
        <f t="shared" si="7"/>
        <v>◯</v>
      </c>
      <c r="T179" s="14" t="str">
        <f t="shared" si="8"/>
        <v/>
      </c>
    </row>
    <row r="180" spans="1:20" hidden="1" x14ac:dyDescent="0.45">
      <c r="A180" s="10" t="str">
        <f>IF(IF(ISNA(計算結果!A180),"",計算結果!A180)=0,"",IF(ISNA(計算結果!A180),"",計算結果!A180))</f>
        <v/>
      </c>
      <c r="B180" s="10" t="str">
        <f>IF(IF(ISNA(計算結果!B180),"",計算結果!B180)=0,"",IF(ISNA(計算結果!B180),"",計算結果!B180))</f>
        <v/>
      </c>
      <c r="C180" s="10" t="str">
        <f>IF(IF(ISNA(計算結果!C180),"",計算結果!C180)=0,"",IF(ISNA(計算結果!C180),"",計算結果!C180))</f>
        <v/>
      </c>
      <c r="D180" s="10" t="str">
        <f>IF(IF(ISNA(計算結果!D180),"",計算結果!D180)=0,"",IF(ISNA(計算結果!D180),"",計算結果!D180))</f>
        <v>L</v>
      </c>
      <c r="E180" s="10" t="str">
        <f>IF(IF(ISNA(計算結果!E180),"",計算結果!E180)=0,"",IF(ISNA(計算結果!E180),"",計算結果!E180))</f>
        <v/>
      </c>
      <c r="F180" s="10" t="str">
        <f>IF(IF(ISNA(計算結果!F180),"",計算結果!F180)=0,"",IF(ISNA(計算結果!F180),"",計算結果!F180))</f>
        <v/>
      </c>
      <c r="G180" s="10" t="str">
        <f>IF(IF(ISNA(計算結果!G180),"",計算結果!G180)=0,"",IF(ISNA(計算結果!G180),"",計算結果!G180))</f>
        <v/>
      </c>
      <c r="H180" s="13">
        <f>IF(IF(ISNA(計算結果!H180),"",計算結果!H180)=0,"",IF(ISNA(計算結果!H180),"",計算結果!H180))</f>
        <v>-2</v>
      </c>
      <c r="I180" s="12" t="str">
        <f>IF(IF(ISNA(計算結果!I180),"",計算結果!I180)=0,"",IF(ISNA(計算結果!I180),"",計算結果!I180))</f>
        <v/>
      </c>
      <c r="J180" s="12" t="str">
        <f>IF(IF(ISNA(計算結果!J180),"",計算結果!J180)=0,"",IF(ISNA(計算結果!J180),"",計算結果!J180))</f>
        <v/>
      </c>
      <c r="K180" s="23" t="str">
        <f>IF(IF(ISNA(計算結果!K180),"",計算結果!K180)=0,"",IF(ISNA(計算結果!K180),"",計算結果!K180))</f>
        <v/>
      </c>
      <c r="L180" s="13" t="str">
        <f>IF(IF(ISNA(計算結果!L180),"",計算結果!L180)=0,"",IF(ISNA(計算結果!L180),"",計算結果!L180))</f>
        <v/>
      </c>
      <c r="M180" s="10" t="str">
        <f>IF(IF(ISNA(計算結果!M180),"",計算結果!M180)=0,"",IF(ISNA(計算結果!M180),"",計算結果!M180))</f>
        <v/>
      </c>
      <c r="N180" s="10" t="str">
        <f>IF(IF(ISNA(計算結果!N180),"",計算結果!N180)=0,"",IF(ISNA(計算結果!N180),"",計算結果!N180))</f>
        <v/>
      </c>
      <c r="O180" s="13" t="str">
        <f>IF(IF(ISNA(計算結果!O180),"",計算結果!O180)=0,"",IF(ISNA(計算結果!O180),"",計算結果!O180))</f>
        <v/>
      </c>
      <c r="P180" s="10" t="str">
        <f>IF(IF(ISNA(計算結果!P180),"",計算結果!P180)=0,"",IF(ISNA(計算結果!P180),"",計算結果!P180))</f>
        <v/>
      </c>
      <c r="Q180" s="10" t="str">
        <f>IF(IF(ISNA(計算結果!Q180),"",計算結果!Q180)=0,"",IF(ISNA(計算結果!Q180),"",計算結果!Q180))</f>
        <v/>
      </c>
      <c r="R180" s="14" t="str">
        <f t="shared" si="6"/>
        <v/>
      </c>
      <c r="S180" s="14" t="str">
        <f t="shared" si="7"/>
        <v>◯</v>
      </c>
      <c r="T180" s="14" t="str">
        <f t="shared" si="8"/>
        <v/>
      </c>
    </row>
    <row r="181" spans="1:20" hidden="1" x14ac:dyDescent="0.45">
      <c r="A181" s="10" t="str">
        <f>IF(IF(ISNA(計算結果!A181),"",計算結果!A181)=0,"",IF(ISNA(計算結果!A181),"",計算結果!A181))</f>
        <v/>
      </c>
      <c r="B181" s="10" t="str">
        <f>IF(IF(ISNA(計算結果!B181),"",計算結果!B181)=0,"",IF(ISNA(計算結果!B181),"",計算結果!B181))</f>
        <v/>
      </c>
      <c r="C181" s="10" t="str">
        <f>IF(IF(ISNA(計算結果!C181),"",計算結果!C181)=0,"",IF(ISNA(計算結果!C181),"",計算結果!C181))</f>
        <v/>
      </c>
      <c r="D181" s="10" t="str">
        <f>IF(IF(ISNA(計算結果!D181),"",計算結果!D181)=0,"",IF(ISNA(計算結果!D181),"",計算結果!D181))</f>
        <v>L</v>
      </c>
      <c r="E181" s="10" t="str">
        <f>IF(IF(ISNA(計算結果!E181),"",計算結果!E181)=0,"",IF(ISNA(計算結果!E181),"",計算結果!E181))</f>
        <v/>
      </c>
      <c r="F181" s="10" t="str">
        <f>IF(IF(ISNA(計算結果!F181),"",計算結果!F181)=0,"",IF(ISNA(計算結果!F181),"",計算結果!F181))</f>
        <v/>
      </c>
      <c r="G181" s="10" t="str">
        <f>IF(IF(ISNA(計算結果!G181),"",計算結果!G181)=0,"",IF(ISNA(計算結果!G181),"",計算結果!G181))</f>
        <v/>
      </c>
      <c r="H181" s="13">
        <f>IF(IF(ISNA(計算結果!H181),"",計算結果!H181)=0,"",IF(ISNA(計算結果!H181),"",計算結果!H181))</f>
        <v>-2</v>
      </c>
      <c r="I181" s="12" t="str">
        <f>IF(IF(ISNA(計算結果!I181),"",計算結果!I181)=0,"",IF(ISNA(計算結果!I181),"",計算結果!I181))</f>
        <v/>
      </c>
      <c r="J181" s="12" t="str">
        <f>IF(IF(ISNA(計算結果!J181),"",計算結果!J181)=0,"",IF(ISNA(計算結果!J181),"",計算結果!J181))</f>
        <v/>
      </c>
      <c r="K181" s="23" t="str">
        <f>IF(IF(ISNA(計算結果!K181),"",計算結果!K181)=0,"",IF(ISNA(計算結果!K181),"",計算結果!K181))</f>
        <v/>
      </c>
      <c r="L181" s="13" t="str">
        <f>IF(IF(ISNA(計算結果!L181),"",計算結果!L181)=0,"",IF(ISNA(計算結果!L181),"",計算結果!L181))</f>
        <v/>
      </c>
      <c r="M181" s="10" t="str">
        <f>IF(IF(ISNA(計算結果!M181),"",計算結果!M181)=0,"",IF(ISNA(計算結果!M181),"",計算結果!M181))</f>
        <v/>
      </c>
      <c r="N181" s="10" t="str">
        <f>IF(IF(ISNA(計算結果!N181),"",計算結果!N181)=0,"",IF(ISNA(計算結果!N181),"",計算結果!N181))</f>
        <v/>
      </c>
      <c r="O181" s="13" t="str">
        <f>IF(IF(ISNA(計算結果!O181),"",計算結果!O181)=0,"",IF(ISNA(計算結果!O181),"",計算結果!O181))</f>
        <v/>
      </c>
      <c r="P181" s="10" t="str">
        <f>IF(IF(ISNA(計算結果!P181),"",計算結果!P181)=0,"",IF(ISNA(計算結果!P181),"",計算結果!P181))</f>
        <v/>
      </c>
      <c r="Q181" s="10" t="str">
        <f>IF(IF(ISNA(計算結果!Q181),"",計算結果!Q181)=0,"",IF(ISNA(計算結果!Q181),"",計算結果!Q181))</f>
        <v/>
      </c>
      <c r="R181" s="14" t="str">
        <f t="shared" si="6"/>
        <v/>
      </c>
      <c r="S181" s="14" t="str">
        <f t="shared" si="7"/>
        <v>◯</v>
      </c>
      <c r="T181" s="14" t="str">
        <f t="shared" si="8"/>
        <v/>
      </c>
    </row>
    <row r="182" spans="1:20" hidden="1" x14ac:dyDescent="0.45">
      <c r="A182" s="10" t="str">
        <f>IF(IF(ISNA(計算結果!A182),"",計算結果!A182)=0,"",IF(ISNA(計算結果!A182),"",計算結果!A182))</f>
        <v/>
      </c>
      <c r="B182" s="10" t="str">
        <f>IF(IF(ISNA(計算結果!B182),"",計算結果!B182)=0,"",IF(ISNA(計算結果!B182),"",計算結果!B182))</f>
        <v/>
      </c>
      <c r="C182" s="10" t="str">
        <f>IF(IF(ISNA(計算結果!C182),"",計算結果!C182)=0,"",IF(ISNA(計算結果!C182),"",計算結果!C182))</f>
        <v/>
      </c>
      <c r="D182" s="10" t="str">
        <f>IF(IF(ISNA(計算結果!D182),"",計算結果!D182)=0,"",IF(ISNA(計算結果!D182),"",計算結果!D182))</f>
        <v>L</v>
      </c>
      <c r="E182" s="10" t="str">
        <f>IF(IF(ISNA(計算結果!E182),"",計算結果!E182)=0,"",IF(ISNA(計算結果!E182),"",計算結果!E182))</f>
        <v/>
      </c>
      <c r="F182" s="10" t="str">
        <f>IF(IF(ISNA(計算結果!F182),"",計算結果!F182)=0,"",IF(ISNA(計算結果!F182),"",計算結果!F182))</f>
        <v/>
      </c>
      <c r="G182" s="10" t="str">
        <f>IF(IF(ISNA(計算結果!G182),"",計算結果!G182)=0,"",IF(ISNA(計算結果!G182),"",計算結果!G182))</f>
        <v/>
      </c>
      <c r="H182" s="13">
        <f>IF(IF(ISNA(計算結果!H182),"",計算結果!H182)=0,"",IF(ISNA(計算結果!H182),"",計算結果!H182))</f>
        <v>-2</v>
      </c>
      <c r="I182" s="12" t="str">
        <f>IF(IF(ISNA(計算結果!I182),"",計算結果!I182)=0,"",IF(ISNA(計算結果!I182),"",計算結果!I182))</f>
        <v/>
      </c>
      <c r="J182" s="12" t="str">
        <f>IF(IF(ISNA(計算結果!J182),"",計算結果!J182)=0,"",IF(ISNA(計算結果!J182),"",計算結果!J182))</f>
        <v/>
      </c>
      <c r="K182" s="23" t="str">
        <f>IF(IF(ISNA(計算結果!K182),"",計算結果!K182)=0,"",IF(ISNA(計算結果!K182),"",計算結果!K182))</f>
        <v/>
      </c>
      <c r="L182" s="13" t="str">
        <f>IF(IF(ISNA(計算結果!L182),"",計算結果!L182)=0,"",IF(ISNA(計算結果!L182),"",計算結果!L182))</f>
        <v/>
      </c>
      <c r="M182" s="10" t="str">
        <f>IF(IF(ISNA(計算結果!M182),"",計算結果!M182)=0,"",IF(ISNA(計算結果!M182),"",計算結果!M182))</f>
        <v/>
      </c>
      <c r="N182" s="10" t="str">
        <f>IF(IF(ISNA(計算結果!N182),"",計算結果!N182)=0,"",IF(ISNA(計算結果!N182),"",計算結果!N182))</f>
        <v/>
      </c>
      <c r="O182" s="13" t="str">
        <f>IF(IF(ISNA(計算結果!O182),"",計算結果!O182)=0,"",IF(ISNA(計算結果!O182),"",計算結果!O182))</f>
        <v/>
      </c>
      <c r="P182" s="10" t="str">
        <f>IF(IF(ISNA(計算結果!P182),"",計算結果!P182)=0,"",IF(ISNA(計算結果!P182),"",計算結果!P182))</f>
        <v/>
      </c>
      <c r="Q182" s="10" t="str">
        <f>IF(IF(ISNA(計算結果!Q182),"",計算結果!Q182)=0,"",IF(ISNA(計算結果!Q182),"",計算結果!Q182))</f>
        <v/>
      </c>
      <c r="R182" s="14" t="str">
        <f t="shared" si="6"/>
        <v/>
      </c>
      <c r="S182" s="14" t="str">
        <f t="shared" si="7"/>
        <v>◯</v>
      </c>
      <c r="T182" s="14" t="str">
        <f t="shared" si="8"/>
        <v/>
      </c>
    </row>
    <row r="183" spans="1:20" hidden="1" x14ac:dyDescent="0.45">
      <c r="A183" s="10" t="str">
        <f>IF(IF(ISNA(計算結果!A183),"",計算結果!A183)=0,"",IF(ISNA(計算結果!A183),"",計算結果!A183))</f>
        <v/>
      </c>
      <c r="B183" s="10" t="str">
        <f>IF(IF(ISNA(計算結果!B183),"",計算結果!B183)=0,"",IF(ISNA(計算結果!B183),"",計算結果!B183))</f>
        <v/>
      </c>
      <c r="C183" s="10" t="str">
        <f>IF(IF(ISNA(計算結果!C183),"",計算結果!C183)=0,"",IF(ISNA(計算結果!C183),"",計算結果!C183))</f>
        <v/>
      </c>
      <c r="D183" s="10" t="str">
        <f>IF(IF(ISNA(計算結果!D183),"",計算結果!D183)=0,"",IF(ISNA(計算結果!D183),"",計算結果!D183))</f>
        <v>L</v>
      </c>
      <c r="E183" s="10" t="str">
        <f>IF(IF(ISNA(計算結果!E183),"",計算結果!E183)=0,"",IF(ISNA(計算結果!E183),"",計算結果!E183))</f>
        <v/>
      </c>
      <c r="F183" s="10" t="str">
        <f>IF(IF(ISNA(計算結果!F183),"",計算結果!F183)=0,"",IF(ISNA(計算結果!F183),"",計算結果!F183))</f>
        <v/>
      </c>
      <c r="G183" s="10" t="str">
        <f>IF(IF(ISNA(計算結果!G183),"",計算結果!G183)=0,"",IF(ISNA(計算結果!G183),"",計算結果!G183))</f>
        <v/>
      </c>
      <c r="H183" s="13">
        <f>IF(IF(ISNA(計算結果!H183),"",計算結果!H183)=0,"",IF(ISNA(計算結果!H183),"",計算結果!H183))</f>
        <v>-2</v>
      </c>
      <c r="I183" s="12" t="str">
        <f>IF(IF(ISNA(計算結果!I183),"",計算結果!I183)=0,"",IF(ISNA(計算結果!I183),"",計算結果!I183))</f>
        <v/>
      </c>
      <c r="J183" s="12" t="str">
        <f>IF(IF(ISNA(計算結果!J183),"",計算結果!J183)=0,"",IF(ISNA(計算結果!J183),"",計算結果!J183))</f>
        <v/>
      </c>
      <c r="K183" s="23" t="str">
        <f>IF(IF(ISNA(計算結果!K183),"",計算結果!K183)=0,"",IF(ISNA(計算結果!K183),"",計算結果!K183))</f>
        <v/>
      </c>
      <c r="L183" s="13" t="str">
        <f>IF(IF(ISNA(計算結果!L183),"",計算結果!L183)=0,"",IF(ISNA(計算結果!L183),"",計算結果!L183))</f>
        <v/>
      </c>
      <c r="M183" s="10" t="str">
        <f>IF(IF(ISNA(計算結果!M183),"",計算結果!M183)=0,"",IF(ISNA(計算結果!M183),"",計算結果!M183))</f>
        <v/>
      </c>
      <c r="N183" s="10" t="str">
        <f>IF(IF(ISNA(計算結果!N183),"",計算結果!N183)=0,"",IF(ISNA(計算結果!N183),"",計算結果!N183))</f>
        <v/>
      </c>
      <c r="O183" s="13" t="str">
        <f>IF(IF(ISNA(計算結果!O183),"",計算結果!O183)=0,"",IF(ISNA(計算結果!O183),"",計算結果!O183))</f>
        <v/>
      </c>
      <c r="P183" s="10" t="str">
        <f>IF(IF(ISNA(計算結果!P183),"",計算結果!P183)=0,"",IF(ISNA(計算結果!P183),"",計算結果!P183))</f>
        <v/>
      </c>
      <c r="Q183" s="10" t="str">
        <f>IF(IF(ISNA(計算結果!Q183),"",計算結果!Q183)=0,"",IF(ISNA(計算結果!Q183),"",計算結果!Q183))</f>
        <v/>
      </c>
      <c r="R183" s="14" t="str">
        <f t="shared" si="6"/>
        <v/>
      </c>
      <c r="S183" s="14" t="str">
        <f t="shared" si="7"/>
        <v>◯</v>
      </c>
      <c r="T183" s="14" t="str">
        <f t="shared" si="8"/>
        <v/>
      </c>
    </row>
    <row r="184" spans="1:20" hidden="1" x14ac:dyDescent="0.45">
      <c r="A184" s="10" t="str">
        <f>IF(IF(ISNA(計算結果!A184),"",計算結果!A184)=0,"",IF(ISNA(計算結果!A184),"",計算結果!A184))</f>
        <v/>
      </c>
      <c r="B184" s="10" t="str">
        <f>IF(IF(ISNA(計算結果!B184),"",計算結果!B184)=0,"",IF(ISNA(計算結果!B184),"",計算結果!B184))</f>
        <v/>
      </c>
      <c r="C184" s="10" t="str">
        <f>IF(IF(ISNA(計算結果!C184),"",計算結果!C184)=0,"",IF(ISNA(計算結果!C184),"",計算結果!C184))</f>
        <v/>
      </c>
      <c r="D184" s="10" t="str">
        <f>IF(IF(ISNA(計算結果!D184),"",計算結果!D184)=0,"",IF(ISNA(計算結果!D184),"",計算結果!D184))</f>
        <v>L</v>
      </c>
      <c r="E184" s="10" t="str">
        <f>IF(IF(ISNA(計算結果!E184),"",計算結果!E184)=0,"",IF(ISNA(計算結果!E184),"",計算結果!E184))</f>
        <v/>
      </c>
      <c r="F184" s="10" t="str">
        <f>IF(IF(ISNA(計算結果!F184),"",計算結果!F184)=0,"",IF(ISNA(計算結果!F184),"",計算結果!F184))</f>
        <v/>
      </c>
      <c r="G184" s="10" t="str">
        <f>IF(IF(ISNA(計算結果!G184),"",計算結果!G184)=0,"",IF(ISNA(計算結果!G184),"",計算結果!G184))</f>
        <v/>
      </c>
      <c r="H184" s="13">
        <f>IF(IF(ISNA(計算結果!H184),"",計算結果!H184)=0,"",IF(ISNA(計算結果!H184),"",計算結果!H184))</f>
        <v>-2</v>
      </c>
      <c r="I184" s="12" t="str">
        <f>IF(IF(ISNA(計算結果!I184),"",計算結果!I184)=0,"",IF(ISNA(計算結果!I184),"",計算結果!I184))</f>
        <v/>
      </c>
      <c r="J184" s="12" t="str">
        <f>IF(IF(ISNA(計算結果!J184),"",計算結果!J184)=0,"",IF(ISNA(計算結果!J184),"",計算結果!J184))</f>
        <v/>
      </c>
      <c r="K184" s="23" t="str">
        <f>IF(IF(ISNA(計算結果!K184),"",計算結果!K184)=0,"",IF(ISNA(計算結果!K184),"",計算結果!K184))</f>
        <v/>
      </c>
      <c r="L184" s="13" t="str">
        <f>IF(IF(ISNA(計算結果!L184),"",計算結果!L184)=0,"",IF(ISNA(計算結果!L184),"",計算結果!L184))</f>
        <v/>
      </c>
      <c r="M184" s="10" t="str">
        <f>IF(IF(ISNA(計算結果!M184),"",計算結果!M184)=0,"",IF(ISNA(計算結果!M184),"",計算結果!M184))</f>
        <v/>
      </c>
      <c r="N184" s="10" t="str">
        <f>IF(IF(ISNA(計算結果!N184),"",計算結果!N184)=0,"",IF(ISNA(計算結果!N184),"",計算結果!N184))</f>
        <v/>
      </c>
      <c r="O184" s="13" t="str">
        <f>IF(IF(ISNA(計算結果!O184),"",計算結果!O184)=0,"",IF(ISNA(計算結果!O184),"",計算結果!O184))</f>
        <v/>
      </c>
      <c r="P184" s="10" t="str">
        <f>IF(IF(ISNA(計算結果!P184),"",計算結果!P184)=0,"",IF(ISNA(計算結果!P184),"",計算結果!P184))</f>
        <v/>
      </c>
      <c r="Q184" s="10" t="str">
        <f>IF(IF(ISNA(計算結果!Q184),"",計算結果!Q184)=0,"",IF(ISNA(計算結果!Q184),"",計算結果!Q184))</f>
        <v/>
      </c>
      <c r="R184" s="14" t="str">
        <f t="shared" si="6"/>
        <v/>
      </c>
      <c r="S184" s="14" t="str">
        <f t="shared" si="7"/>
        <v>◯</v>
      </c>
      <c r="T184" s="14" t="str">
        <f t="shared" si="8"/>
        <v/>
      </c>
    </row>
    <row r="185" spans="1:20" hidden="1" x14ac:dyDescent="0.45">
      <c r="A185" s="10" t="str">
        <f>IF(IF(ISNA(計算結果!A185),"",計算結果!A185)=0,"",IF(ISNA(計算結果!A185),"",計算結果!A185))</f>
        <v/>
      </c>
      <c r="B185" s="10" t="str">
        <f>IF(IF(ISNA(計算結果!B185),"",計算結果!B185)=0,"",IF(ISNA(計算結果!B185),"",計算結果!B185))</f>
        <v/>
      </c>
      <c r="C185" s="10" t="str">
        <f>IF(IF(ISNA(計算結果!C185),"",計算結果!C185)=0,"",IF(ISNA(計算結果!C185),"",計算結果!C185))</f>
        <v/>
      </c>
      <c r="D185" s="10" t="str">
        <f>IF(IF(ISNA(計算結果!D185),"",計算結果!D185)=0,"",IF(ISNA(計算結果!D185),"",計算結果!D185))</f>
        <v>L</v>
      </c>
      <c r="E185" s="10" t="str">
        <f>IF(IF(ISNA(計算結果!E185),"",計算結果!E185)=0,"",IF(ISNA(計算結果!E185),"",計算結果!E185))</f>
        <v/>
      </c>
      <c r="F185" s="10" t="str">
        <f>IF(IF(ISNA(計算結果!F185),"",計算結果!F185)=0,"",IF(ISNA(計算結果!F185),"",計算結果!F185))</f>
        <v/>
      </c>
      <c r="G185" s="10" t="str">
        <f>IF(IF(ISNA(計算結果!G185),"",計算結果!G185)=0,"",IF(ISNA(計算結果!G185),"",計算結果!G185))</f>
        <v/>
      </c>
      <c r="H185" s="13">
        <f>IF(IF(ISNA(計算結果!H185),"",計算結果!H185)=0,"",IF(ISNA(計算結果!H185),"",計算結果!H185))</f>
        <v>-2</v>
      </c>
      <c r="I185" s="12" t="str">
        <f>IF(IF(ISNA(計算結果!I185),"",計算結果!I185)=0,"",IF(ISNA(計算結果!I185),"",計算結果!I185))</f>
        <v/>
      </c>
      <c r="J185" s="12" t="str">
        <f>IF(IF(ISNA(計算結果!J185),"",計算結果!J185)=0,"",IF(ISNA(計算結果!J185),"",計算結果!J185))</f>
        <v/>
      </c>
      <c r="K185" s="23" t="str">
        <f>IF(IF(ISNA(計算結果!K185),"",計算結果!K185)=0,"",IF(ISNA(計算結果!K185),"",計算結果!K185))</f>
        <v/>
      </c>
      <c r="L185" s="13" t="str">
        <f>IF(IF(ISNA(計算結果!L185),"",計算結果!L185)=0,"",IF(ISNA(計算結果!L185),"",計算結果!L185))</f>
        <v/>
      </c>
      <c r="M185" s="10" t="str">
        <f>IF(IF(ISNA(計算結果!M185),"",計算結果!M185)=0,"",IF(ISNA(計算結果!M185),"",計算結果!M185))</f>
        <v/>
      </c>
      <c r="N185" s="10" t="str">
        <f>IF(IF(ISNA(計算結果!N185),"",計算結果!N185)=0,"",IF(ISNA(計算結果!N185),"",計算結果!N185))</f>
        <v/>
      </c>
      <c r="O185" s="13" t="str">
        <f>IF(IF(ISNA(計算結果!O185),"",計算結果!O185)=0,"",IF(ISNA(計算結果!O185),"",計算結果!O185))</f>
        <v/>
      </c>
      <c r="P185" s="10" t="str">
        <f>IF(IF(ISNA(計算結果!P185),"",計算結果!P185)=0,"",IF(ISNA(計算結果!P185),"",計算結果!P185))</f>
        <v/>
      </c>
      <c r="Q185" s="10" t="str">
        <f>IF(IF(ISNA(計算結果!Q185),"",計算結果!Q185)=0,"",IF(ISNA(計算結果!Q185),"",計算結果!Q185))</f>
        <v/>
      </c>
      <c r="R185" s="14" t="str">
        <f t="shared" si="6"/>
        <v/>
      </c>
      <c r="S185" s="14" t="str">
        <f t="shared" si="7"/>
        <v>◯</v>
      </c>
      <c r="T185" s="14" t="str">
        <f t="shared" si="8"/>
        <v/>
      </c>
    </row>
    <row r="186" spans="1:20" hidden="1" x14ac:dyDescent="0.45">
      <c r="A186" s="10" t="str">
        <f>IF(IF(ISNA(計算結果!A186),"",計算結果!A186)=0,"",IF(ISNA(計算結果!A186),"",計算結果!A186))</f>
        <v/>
      </c>
      <c r="B186" s="10" t="str">
        <f>IF(IF(ISNA(計算結果!B186),"",計算結果!B186)=0,"",IF(ISNA(計算結果!B186),"",計算結果!B186))</f>
        <v/>
      </c>
      <c r="C186" s="10" t="str">
        <f>IF(IF(ISNA(計算結果!C186),"",計算結果!C186)=0,"",IF(ISNA(計算結果!C186),"",計算結果!C186))</f>
        <v/>
      </c>
      <c r="D186" s="10" t="str">
        <f>IF(IF(ISNA(計算結果!D186),"",計算結果!D186)=0,"",IF(ISNA(計算結果!D186),"",計算結果!D186))</f>
        <v>L</v>
      </c>
      <c r="E186" s="10" t="str">
        <f>IF(IF(ISNA(計算結果!E186),"",計算結果!E186)=0,"",IF(ISNA(計算結果!E186),"",計算結果!E186))</f>
        <v/>
      </c>
      <c r="F186" s="10" t="str">
        <f>IF(IF(ISNA(計算結果!F186),"",計算結果!F186)=0,"",IF(ISNA(計算結果!F186),"",計算結果!F186))</f>
        <v/>
      </c>
      <c r="G186" s="10" t="str">
        <f>IF(IF(ISNA(計算結果!G186),"",計算結果!G186)=0,"",IF(ISNA(計算結果!G186),"",計算結果!G186))</f>
        <v/>
      </c>
      <c r="H186" s="13">
        <f>IF(IF(ISNA(計算結果!H186),"",計算結果!H186)=0,"",IF(ISNA(計算結果!H186),"",計算結果!H186))</f>
        <v>-2</v>
      </c>
      <c r="I186" s="12" t="str">
        <f>IF(IF(ISNA(計算結果!I186),"",計算結果!I186)=0,"",IF(ISNA(計算結果!I186),"",計算結果!I186))</f>
        <v/>
      </c>
      <c r="J186" s="12" t="str">
        <f>IF(IF(ISNA(計算結果!J186),"",計算結果!J186)=0,"",IF(ISNA(計算結果!J186),"",計算結果!J186))</f>
        <v/>
      </c>
      <c r="K186" s="23" t="str">
        <f>IF(IF(ISNA(計算結果!K186),"",計算結果!K186)=0,"",IF(ISNA(計算結果!K186),"",計算結果!K186))</f>
        <v/>
      </c>
      <c r="L186" s="13" t="str">
        <f>IF(IF(ISNA(計算結果!L186),"",計算結果!L186)=0,"",IF(ISNA(計算結果!L186),"",計算結果!L186))</f>
        <v/>
      </c>
      <c r="M186" s="10" t="str">
        <f>IF(IF(ISNA(計算結果!M186),"",計算結果!M186)=0,"",IF(ISNA(計算結果!M186),"",計算結果!M186))</f>
        <v/>
      </c>
      <c r="N186" s="10" t="str">
        <f>IF(IF(ISNA(計算結果!N186),"",計算結果!N186)=0,"",IF(ISNA(計算結果!N186),"",計算結果!N186))</f>
        <v/>
      </c>
      <c r="O186" s="13" t="str">
        <f>IF(IF(ISNA(計算結果!O186),"",計算結果!O186)=0,"",IF(ISNA(計算結果!O186),"",計算結果!O186))</f>
        <v/>
      </c>
      <c r="P186" s="10" t="str">
        <f>IF(IF(ISNA(計算結果!P186),"",計算結果!P186)=0,"",IF(ISNA(計算結果!P186),"",計算結果!P186))</f>
        <v/>
      </c>
      <c r="Q186" s="10" t="str">
        <f>IF(IF(ISNA(計算結果!Q186),"",計算結果!Q186)=0,"",IF(ISNA(計算結果!Q186),"",計算結果!Q186))</f>
        <v/>
      </c>
      <c r="R186" s="14" t="str">
        <f t="shared" si="6"/>
        <v/>
      </c>
      <c r="S186" s="14" t="str">
        <f t="shared" si="7"/>
        <v>◯</v>
      </c>
      <c r="T186" s="14" t="str">
        <f t="shared" si="8"/>
        <v/>
      </c>
    </row>
    <row r="187" spans="1:20" hidden="1" x14ac:dyDescent="0.45">
      <c r="A187" s="10" t="str">
        <f>IF(IF(ISNA(計算結果!A187),"",計算結果!A187)=0,"",IF(ISNA(計算結果!A187),"",計算結果!A187))</f>
        <v/>
      </c>
      <c r="B187" s="10" t="str">
        <f>IF(IF(ISNA(計算結果!B187),"",計算結果!B187)=0,"",IF(ISNA(計算結果!B187),"",計算結果!B187))</f>
        <v/>
      </c>
      <c r="C187" s="10" t="str">
        <f>IF(IF(ISNA(計算結果!C187),"",計算結果!C187)=0,"",IF(ISNA(計算結果!C187),"",計算結果!C187))</f>
        <v/>
      </c>
      <c r="D187" s="10" t="str">
        <f>IF(IF(ISNA(計算結果!D187),"",計算結果!D187)=0,"",IF(ISNA(計算結果!D187),"",計算結果!D187))</f>
        <v>L</v>
      </c>
      <c r="E187" s="10" t="str">
        <f>IF(IF(ISNA(計算結果!E187),"",計算結果!E187)=0,"",IF(ISNA(計算結果!E187),"",計算結果!E187))</f>
        <v/>
      </c>
      <c r="F187" s="10" t="str">
        <f>IF(IF(ISNA(計算結果!F187),"",計算結果!F187)=0,"",IF(ISNA(計算結果!F187),"",計算結果!F187))</f>
        <v/>
      </c>
      <c r="G187" s="10" t="str">
        <f>IF(IF(ISNA(計算結果!G187),"",計算結果!G187)=0,"",IF(ISNA(計算結果!G187),"",計算結果!G187))</f>
        <v/>
      </c>
      <c r="H187" s="13">
        <f>IF(IF(ISNA(計算結果!H187),"",計算結果!H187)=0,"",IF(ISNA(計算結果!H187),"",計算結果!H187))</f>
        <v>-2</v>
      </c>
      <c r="I187" s="12" t="str">
        <f>IF(IF(ISNA(計算結果!I187),"",計算結果!I187)=0,"",IF(ISNA(計算結果!I187),"",計算結果!I187))</f>
        <v/>
      </c>
      <c r="J187" s="12" t="str">
        <f>IF(IF(ISNA(計算結果!J187),"",計算結果!J187)=0,"",IF(ISNA(計算結果!J187),"",計算結果!J187))</f>
        <v/>
      </c>
      <c r="K187" s="23" t="str">
        <f>IF(IF(ISNA(計算結果!K187),"",計算結果!K187)=0,"",IF(ISNA(計算結果!K187),"",計算結果!K187))</f>
        <v/>
      </c>
      <c r="L187" s="13" t="str">
        <f>IF(IF(ISNA(計算結果!L187),"",計算結果!L187)=0,"",IF(ISNA(計算結果!L187),"",計算結果!L187))</f>
        <v/>
      </c>
      <c r="M187" s="10" t="str">
        <f>IF(IF(ISNA(計算結果!M187),"",計算結果!M187)=0,"",IF(ISNA(計算結果!M187),"",計算結果!M187))</f>
        <v/>
      </c>
      <c r="N187" s="10" t="str">
        <f>IF(IF(ISNA(計算結果!N187),"",計算結果!N187)=0,"",IF(ISNA(計算結果!N187),"",計算結果!N187))</f>
        <v/>
      </c>
      <c r="O187" s="13" t="str">
        <f>IF(IF(ISNA(計算結果!O187),"",計算結果!O187)=0,"",IF(ISNA(計算結果!O187),"",計算結果!O187))</f>
        <v/>
      </c>
      <c r="P187" s="10" t="str">
        <f>IF(IF(ISNA(計算結果!P187),"",計算結果!P187)=0,"",IF(ISNA(計算結果!P187),"",計算結果!P187))</f>
        <v/>
      </c>
      <c r="Q187" s="10" t="str">
        <f>IF(IF(ISNA(計算結果!Q187),"",計算結果!Q187)=0,"",IF(ISNA(計算結果!Q187),"",計算結果!Q187))</f>
        <v/>
      </c>
      <c r="R187" s="14" t="str">
        <f t="shared" si="6"/>
        <v/>
      </c>
      <c r="S187" s="14" t="str">
        <f t="shared" si="7"/>
        <v>◯</v>
      </c>
      <c r="T187" s="14" t="str">
        <f t="shared" si="8"/>
        <v/>
      </c>
    </row>
    <row r="188" spans="1:20" hidden="1" x14ac:dyDescent="0.45">
      <c r="A188" s="10" t="str">
        <f>IF(IF(ISNA(計算結果!A188),"",計算結果!A188)=0,"",IF(ISNA(計算結果!A188),"",計算結果!A188))</f>
        <v/>
      </c>
      <c r="B188" s="10" t="str">
        <f>IF(IF(ISNA(計算結果!B188),"",計算結果!B188)=0,"",IF(ISNA(計算結果!B188),"",計算結果!B188))</f>
        <v/>
      </c>
      <c r="C188" s="10" t="str">
        <f>IF(IF(ISNA(計算結果!C188),"",計算結果!C188)=0,"",IF(ISNA(計算結果!C188),"",計算結果!C188))</f>
        <v/>
      </c>
      <c r="D188" s="10" t="str">
        <f>IF(IF(ISNA(計算結果!D188),"",計算結果!D188)=0,"",IF(ISNA(計算結果!D188),"",計算結果!D188))</f>
        <v>L</v>
      </c>
      <c r="E188" s="10" t="str">
        <f>IF(IF(ISNA(計算結果!E188),"",計算結果!E188)=0,"",IF(ISNA(計算結果!E188),"",計算結果!E188))</f>
        <v/>
      </c>
      <c r="F188" s="10" t="str">
        <f>IF(IF(ISNA(計算結果!F188),"",計算結果!F188)=0,"",IF(ISNA(計算結果!F188),"",計算結果!F188))</f>
        <v/>
      </c>
      <c r="G188" s="10" t="str">
        <f>IF(IF(ISNA(計算結果!G188),"",計算結果!G188)=0,"",IF(ISNA(計算結果!G188),"",計算結果!G188))</f>
        <v/>
      </c>
      <c r="H188" s="13">
        <f>IF(IF(ISNA(計算結果!H188),"",計算結果!H188)=0,"",IF(ISNA(計算結果!H188),"",計算結果!H188))</f>
        <v>-2</v>
      </c>
      <c r="I188" s="12" t="str">
        <f>IF(IF(ISNA(計算結果!I188),"",計算結果!I188)=0,"",IF(ISNA(計算結果!I188),"",計算結果!I188))</f>
        <v/>
      </c>
      <c r="J188" s="12" t="str">
        <f>IF(IF(ISNA(計算結果!J188),"",計算結果!J188)=0,"",IF(ISNA(計算結果!J188),"",計算結果!J188))</f>
        <v/>
      </c>
      <c r="K188" s="23" t="str">
        <f>IF(IF(ISNA(計算結果!K188),"",計算結果!K188)=0,"",IF(ISNA(計算結果!K188),"",計算結果!K188))</f>
        <v/>
      </c>
      <c r="L188" s="13" t="str">
        <f>IF(IF(ISNA(計算結果!L188),"",計算結果!L188)=0,"",IF(ISNA(計算結果!L188),"",計算結果!L188))</f>
        <v/>
      </c>
      <c r="M188" s="10" t="str">
        <f>IF(IF(ISNA(計算結果!M188),"",計算結果!M188)=0,"",IF(ISNA(計算結果!M188),"",計算結果!M188))</f>
        <v/>
      </c>
      <c r="N188" s="10" t="str">
        <f>IF(IF(ISNA(計算結果!N188),"",計算結果!N188)=0,"",IF(ISNA(計算結果!N188),"",計算結果!N188))</f>
        <v/>
      </c>
      <c r="O188" s="13" t="str">
        <f>IF(IF(ISNA(計算結果!O188),"",計算結果!O188)=0,"",IF(ISNA(計算結果!O188),"",計算結果!O188))</f>
        <v/>
      </c>
      <c r="P188" s="10" t="str">
        <f>IF(IF(ISNA(計算結果!P188),"",計算結果!P188)=0,"",IF(ISNA(計算結果!P188),"",計算結果!P188))</f>
        <v/>
      </c>
      <c r="Q188" s="10" t="str">
        <f>IF(IF(ISNA(計算結果!Q188),"",計算結果!Q188)=0,"",IF(ISNA(計算結果!Q188),"",計算結果!Q188))</f>
        <v/>
      </c>
      <c r="R188" s="14" t="str">
        <f t="shared" si="6"/>
        <v/>
      </c>
      <c r="S188" s="14" t="str">
        <f t="shared" si="7"/>
        <v>◯</v>
      </c>
      <c r="T188" s="14" t="str">
        <f t="shared" si="8"/>
        <v/>
      </c>
    </row>
    <row r="189" spans="1:20" hidden="1" x14ac:dyDescent="0.45">
      <c r="A189" s="10" t="str">
        <f>IF(IF(ISNA(計算結果!A189),"",計算結果!A189)=0,"",IF(ISNA(計算結果!A189),"",計算結果!A189))</f>
        <v/>
      </c>
      <c r="B189" s="10" t="str">
        <f>IF(IF(ISNA(計算結果!B189),"",計算結果!B189)=0,"",IF(ISNA(計算結果!B189),"",計算結果!B189))</f>
        <v/>
      </c>
      <c r="C189" s="10" t="str">
        <f>IF(IF(ISNA(計算結果!C189),"",計算結果!C189)=0,"",IF(ISNA(計算結果!C189),"",計算結果!C189))</f>
        <v/>
      </c>
      <c r="D189" s="10" t="str">
        <f>IF(IF(ISNA(計算結果!D189),"",計算結果!D189)=0,"",IF(ISNA(計算結果!D189),"",計算結果!D189))</f>
        <v>L</v>
      </c>
      <c r="E189" s="10" t="str">
        <f>IF(IF(ISNA(計算結果!E189),"",計算結果!E189)=0,"",IF(ISNA(計算結果!E189),"",計算結果!E189))</f>
        <v/>
      </c>
      <c r="F189" s="10" t="str">
        <f>IF(IF(ISNA(計算結果!F189),"",計算結果!F189)=0,"",IF(ISNA(計算結果!F189),"",計算結果!F189))</f>
        <v/>
      </c>
      <c r="G189" s="10" t="str">
        <f>IF(IF(ISNA(計算結果!G189),"",計算結果!G189)=0,"",IF(ISNA(計算結果!G189),"",計算結果!G189))</f>
        <v/>
      </c>
      <c r="H189" s="13">
        <f>IF(IF(ISNA(計算結果!H189),"",計算結果!H189)=0,"",IF(ISNA(計算結果!H189),"",計算結果!H189))</f>
        <v>-2</v>
      </c>
      <c r="I189" s="12" t="str">
        <f>IF(IF(ISNA(計算結果!I189),"",計算結果!I189)=0,"",IF(ISNA(計算結果!I189),"",計算結果!I189))</f>
        <v/>
      </c>
      <c r="J189" s="12" t="str">
        <f>IF(IF(ISNA(計算結果!J189),"",計算結果!J189)=0,"",IF(ISNA(計算結果!J189),"",計算結果!J189))</f>
        <v/>
      </c>
      <c r="K189" s="23" t="str">
        <f>IF(IF(ISNA(計算結果!K189),"",計算結果!K189)=0,"",IF(ISNA(計算結果!K189),"",計算結果!K189))</f>
        <v/>
      </c>
      <c r="L189" s="13" t="str">
        <f>IF(IF(ISNA(計算結果!L189),"",計算結果!L189)=0,"",IF(ISNA(計算結果!L189),"",計算結果!L189))</f>
        <v/>
      </c>
      <c r="M189" s="10" t="str">
        <f>IF(IF(ISNA(計算結果!M189),"",計算結果!M189)=0,"",IF(ISNA(計算結果!M189),"",計算結果!M189))</f>
        <v/>
      </c>
      <c r="N189" s="10" t="str">
        <f>IF(IF(ISNA(計算結果!N189),"",計算結果!N189)=0,"",IF(ISNA(計算結果!N189),"",計算結果!N189))</f>
        <v/>
      </c>
      <c r="O189" s="13" t="str">
        <f>IF(IF(ISNA(計算結果!O189),"",計算結果!O189)=0,"",IF(ISNA(計算結果!O189),"",計算結果!O189))</f>
        <v/>
      </c>
      <c r="P189" s="10" t="str">
        <f>IF(IF(ISNA(計算結果!P189),"",計算結果!P189)=0,"",IF(ISNA(計算結果!P189),"",計算結果!P189))</f>
        <v/>
      </c>
      <c r="Q189" s="10" t="str">
        <f>IF(IF(ISNA(計算結果!Q189),"",計算結果!Q189)=0,"",IF(ISNA(計算結果!Q189),"",計算結果!Q189))</f>
        <v/>
      </c>
      <c r="R189" s="14" t="str">
        <f t="shared" si="6"/>
        <v/>
      </c>
      <c r="S189" s="14" t="str">
        <f t="shared" si="7"/>
        <v>◯</v>
      </c>
      <c r="T189" s="14" t="str">
        <f t="shared" si="8"/>
        <v/>
      </c>
    </row>
    <row r="190" spans="1:20" hidden="1" x14ac:dyDescent="0.45">
      <c r="A190" s="10" t="str">
        <f>IF(IF(ISNA(計算結果!A190),"",計算結果!A190)=0,"",IF(ISNA(計算結果!A190),"",計算結果!A190))</f>
        <v/>
      </c>
      <c r="B190" s="10" t="str">
        <f>IF(IF(ISNA(計算結果!B190),"",計算結果!B190)=0,"",IF(ISNA(計算結果!B190),"",計算結果!B190))</f>
        <v/>
      </c>
      <c r="C190" s="10" t="str">
        <f>IF(IF(ISNA(計算結果!C190),"",計算結果!C190)=0,"",IF(ISNA(計算結果!C190),"",計算結果!C190))</f>
        <v/>
      </c>
      <c r="D190" s="10" t="str">
        <f>IF(IF(ISNA(計算結果!D190),"",計算結果!D190)=0,"",IF(ISNA(計算結果!D190),"",計算結果!D190))</f>
        <v>L</v>
      </c>
      <c r="E190" s="10" t="str">
        <f>IF(IF(ISNA(計算結果!E190),"",計算結果!E190)=0,"",IF(ISNA(計算結果!E190),"",計算結果!E190))</f>
        <v/>
      </c>
      <c r="F190" s="10" t="str">
        <f>IF(IF(ISNA(計算結果!F190),"",計算結果!F190)=0,"",IF(ISNA(計算結果!F190),"",計算結果!F190))</f>
        <v/>
      </c>
      <c r="G190" s="10" t="str">
        <f>IF(IF(ISNA(計算結果!G190),"",計算結果!G190)=0,"",IF(ISNA(計算結果!G190),"",計算結果!G190))</f>
        <v/>
      </c>
      <c r="H190" s="13">
        <f>IF(IF(ISNA(計算結果!H190),"",計算結果!H190)=0,"",IF(ISNA(計算結果!H190),"",計算結果!H190))</f>
        <v>-2</v>
      </c>
      <c r="I190" s="12" t="str">
        <f>IF(IF(ISNA(計算結果!I190),"",計算結果!I190)=0,"",IF(ISNA(計算結果!I190),"",計算結果!I190))</f>
        <v/>
      </c>
      <c r="J190" s="12" t="str">
        <f>IF(IF(ISNA(計算結果!J190),"",計算結果!J190)=0,"",IF(ISNA(計算結果!J190),"",計算結果!J190))</f>
        <v/>
      </c>
      <c r="K190" s="23" t="str">
        <f>IF(IF(ISNA(計算結果!K190),"",計算結果!K190)=0,"",IF(ISNA(計算結果!K190),"",計算結果!K190))</f>
        <v/>
      </c>
      <c r="L190" s="13" t="str">
        <f>IF(IF(ISNA(計算結果!L190),"",計算結果!L190)=0,"",IF(ISNA(計算結果!L190),"",計算結果!L190))</f>
        <v/>
      </c>
      <c r="M190" s="10" t="str">
        <f>IF(IF(ISNA(計算結果!M190),"",計算結果!M190)=0,"",IF(ISNA(計算結果!M190),"",計算結果!M190))</f>
        <v/>
      </c>
      <c r="N190" s="10" t="str">
        <f>IF(IF(ISNA(計算結果!N190),"",計算結果!N190)=0,"",IF(ISNA(計算結果!N190),"",計算結果!N190))</f>
        <v/>
      </c>
      <c r="O190" s="13" t="str">
        <f>IF(IF(ISNA(計算結果!O190),"",計算結果!O190)=0,"",IF(ISNA(計算結果!O190),"",計算結果!O190))</f>
        <v/>
      </c>
      <c r="P190" s="10" t="str">
        <f>IF(IF(ISNA(計算結果!P190),"",計算結果!P190)=0,"",IF(ISNA(計算結果!P190),"",計算結果!P190))</f>
        <v/>
      </c>
      <c r="Q190" s="10" t="str">
        <f>IF(IF(ISNA(計算結果!Q190),"",計算結果!Q190)=0,"",IF(ISNA(計算結果!Q190),"",計算結果!Q190))</f>
        <v/>
      </c>
      <c r="R190" s="14" t="str">
        <f t="shared" si="6"/>
        <v/>
      </c>
      <c r="S190" s="14" t="str">
        <f t="shared" si="7"/>
        <v>◯</v>
      </c>
      <c r="T190" s="14" t="str">
        <f t="shared" si="8"/>
        <v/>
      </c>
    </row>
    <row r="191" spans="1:20" hidden="1" x14ac:dyDescent="0.45">
      <c r="A191" s="10" t="str">
        <f>IF(IF(ISNA(計算結果!A191),"",計算結果!A191)=0,"",IF(ISNA(計算結果!A191),"",計算結果!A191))</f>
        <v/>
      </c>
      <c r="B191" s="10" t="str">
        <f>IF(IF(ISNA(計算結果!B191),"",計算結果!B191)=0,"",IF(ISNA(計算結果!B191),"",計算結果!B191))</f>
        <v/>
      </c>
      <c r="C191" s="10" t="str">
        <f>IF(IF(ISNA(計算結果!C191),"",計算結果!C191)=0,"",IF(ISNA(計算結果!C191),"",計算結果!C191))</f>
        <v/>
      </c>
      <c r="D191" s="10" t="str">
        <f>IF(IF(ISNA(計算結果!D191),"",計算結果!D191)=0,"",IF(ISNA(計算結果!D191),"",計算結果!D191))</f>
        <v>L</v>
      </c>
      <c r="E191" s="10" t="str">
        <f>IF(IF(ISNA(計算結果!E191),"",計算結果!E191)=0,"",IF(ISNA(計算結果!E191),"",計算結果!E191))</f>
        <v/>
      </c>
      <c r="F191" s="10" t="str">
        <f>IF(IF(ISNA(計算結果!F191),"",計算結果!F191)=0,"",IF(ISNA(計算結果!F191),"",計算結果!F191))</f>
        <v/>
      </c>
      <c r="G191" s="10" t="str">
        <f>IF(IF(ISNA(計算結果!G191),"",計算結果!G191)=0,"",IF(ISNA(計算結果!G191),"",計算結果!G191))</f>
        <v/>
      </c>
      <c r="H191" s="13">
        <f>IF(IF(ISNA(計算結果!H191),"",計算結果!H191)=0,"",IF(ISNA(計算結果!H191),"",計算結果!H191))</f>
        <v>-2</v>
      </c>
      <c r="I191" s="12" t="str">
        <f>IF(IF(ISNA(計算結果!I191),"",計算結果!I191)=0,"",IF(ISNA(計算結果!I191),"",計算結果!I191))</f>
        <v/>
      </c>
      <c r="J191" s="12" t="str">
        <f>IF(IF(ISNA(計算結果!J191),"",計算結果!J191)=0,"",IF(ISNA(計算結果!J191),"",計算結果!J191))</f>
        <v/>
      </c>
      <c r="K191" s="23" t="str">
        <f>IF(IF(ISNA(計算結果!K191),"",計算結果!K191)=0,"",IF(ISNA(計算結果!K191),"",計算結果!K191))</f>
        <v/>
      </c>
      <c r="L191" s="13" t="str">
        <f>IF(IF(ISNA(計算結果!L191),"",計算結果!L191)=0,"",IF(ISNA(計算結果!L191),"",計算結果!L191))</f>
        <v/>
      </c>
      <c r="M191" s="10" t="str">
        <f>IF(IF(ISNA(計算結果!M191),"",計算結果!M191)=0,"",IF(ISNA(計算結果!M191),"",計算結果!M191))</f>
        <v/>
      </c>
      <c r="N191" s="10" t="str">
        <f>IF(IF(ISNA(計算結果!N191),"",計算結果!N191)=0,"",IF(ISNA(計算結果!N191),"",計算結果!N191))</f>
        <v/>
      </c>
      <c r="O191" s="13" t="str">
        <f>IF(IF(ISNA(計算結果!O191),"",計算結果!O191)=0,"",IF(ISNA(計算結果!O191),"",計算結果!O191))</f>
        <v/>
      </c>
      <c r="P191" s="10" t="str">
        <f>IF(IF(ISNA(計算結果!P191),"",計算結果!P191)=0,"",IF(ISNA(計算結果!P191),"",計算結果!P191))</f>
        <v/>
      </c>
      <c r="Q191" s="10" t="str">
        <f>IF(IF(ISNA(計算結果!Q191),"",計算結果!Q191)=0,"",IF(ISNA(計算結果!Q191),"",計算結果!Q191))</f>
        <v/>
      </c>
      <c r="R191" s="14" t="str">
        <f t="shared" si="6"/>
        <v/>
      </c>
      <c r="S191" s="14" t="str">
        <f t="shared" si="7"/>
        <v>◯</v>
      </c>
      <c r="T191" s="14" t="str">
        <f t="shared" si="8"/>
        <v/>
      </c>
    </row>
    <row r="192" spans="1:20" hidden="1" x14ac:dyDescent="0.45">
      <c r="A192" s="10" t="str">
        <f>IF(IF(ISNA(計算結果!A192),"",計算結果!A192)=0,"",IF(ISNA(計算結果!A192),"",計算結果!A192))</f>
        <v/>
      </c>
      <c r="B192" s="10" t="str">
        <f>IF(IF(ISNA(計算結果!B192),"",計算結果!B192)=0,"",IF(ISNA(計算結果!B192),"",計算結果!B192))</f>
        <v/>
      </c>
      <c r="C192" s="10" t="str">
        <f>IF(IF(ISNA(計算結果!C192),"",計算結果!C192)=0,"",IF(ISNA(計算結果!C192),"",計算結果!C192))</f>
        <v/>
      </c>
      <c r="D192" s="10" t="str">
        <f>IF(IF(ISNA(計算結果!D192),"",計算結果!D192)=0,"",IF(ISNA(計算結果!D192),"",計算結果!D192))</f>
        <v>L</v>
      </c>
      <c r="E192" s="10" t="str">
        <f>IF(IF(ISNA(計算結果!E192),"",計算結果!E192)=0,"",IF(ISNA(計算結果!E192),"",計算結果!E192))</f>
        <v/>
      </c>
      <c r="F192" s="10" t="str">
        <f>IF(IF(ISNA(計算結果!F192),"",計算結果!F192)=0,"",IF(ISNA(計算結果!F192),"",計算結果!F192))</f>
        <v/>
      </c>
      <c r="G192" s="10" t="str">
        <f>IF(IF(ISNA(計算結果!G192),"",計算結果!G192)=0,"",IF(ISNA(計算結果!G192),"",計算結果!G192))</f>
        <v/>
      </c>
      <c r="H192" s="13">
        <f>IF(IF(ISNA(計算結果!H192),"",計算結果!H192)=0,"",IF(ISNA(計算結果!H192),"",計算結果!H192))</f>
        <v>-2</v>
      </c>
      <c r="I192" s="12" t="str">
        <f>IF(IF(ISNA(計算結果!I192),"",計算結果!I192)=0,"",IF(ISNA(計算結果!I192),"",計算結果!I192))</f>
        <v/>
      </c>
      <c r="J192" s="12" t="str">
        <f>IF(IF(ISNA(計算結果!J192),"",計算結果!J192)=0,"",IF(ISNA(計算結果!J192),"",計算結果!J192))</f>
        <v/>
      </c>
      <c r="K192" s="23" t="str">
        <f>IF(IF(ISNA(計算結果!K192),"",計算結果!K192)=0,"",IF(ISNA(計算結果!K192),"",計算結果!K192))</f>
        <v/>
      </c>
      <c r="L192" s="13" t="str">
        <f>IF(IF(ISNA(計算結果!L192),"",計算結果!L192)=0,"",IF(ISNA(計算結果!L192),"",計算結果!L192))</f>
        <v/>
      </c>
      <c r="M192" s="10" t="str">
        <f>IF(IF(ISNA(計算結果!M192),"",計算結果!M192)=0,"",IF(ISNA(計算結果!M192),"",計算結果!M192))</f>
        <v/>
      </c>
      <c r="N192" s="10" t="str">
        <f>IF(IF(ISNA(計算結果!N192),"",計算結果!N192)=0,"",IF(ISNA(計算結果!N192),"",計算結果!N192))</f>
        <v/>
      </c>
      <c r="O192" s="13" t="str">
        <f>IF(IF(ISNA(計算結果!O192),"",計算結果!O192)=0,"",IF(ISNA(計算結果!O192),"",計算結果!O192))</f>
        <v/>
      </c>
      <c r="P192" s="10" t="str">
        <f>IF(IF(ISNA(計算結果!P192),"",計算結果!P192)=0,"",IF(ISNA(計算結果!P192),"",計算結果!P192))</f>
        <v/>
      </c>
      <c r="Q192" s="10" t="str">
        <f>IF(IF(ISNA(計算結果!Q192),"",計算結果!Q192)=0,"",IF(ISNA(計算結果!Q192),"",計算結果!Q192))</f>
        <v/>
      </c>
      <c r="R192" s="14" t="str">
        <f t="shared" si="6"/>
        <v/>
      </c>
      <c r="S192" s="14" t="str">
        <f t="shared" si="7"/>
        <v>◯</v>
      </c>
      <c r="T192" s="14" t="str">
        <f t="shared" si="8"/>
        <v/>
      </c>
    </row>
    <row r="193" spans="1:20" hidden="1" x14ac:dyDescent="0.45">
      <c r="A193" s="10" t="str">
        <f>IF(IF(ISNA(計算結果!A193),"",計算結果!A193)=0,"",IF(ISNA(計算結果!A193),"",計算結果!A193))</f>
        <v/>
      </c>
      <c r="B193" s="10" t="str">
        <f>IF(IF(ISNA(計算結果!B193),"",計算結果!B193)=0,"",IF(ISNA(計算結果!B193),"",計算結果!B193))</f>
        <v/>
      </c>
      <c r="C193" s="10" t="str">
        <f>IF(IF(ISNA(計算結果!C193),"",計算結果!C193)=0,"",IF(ISNA(計算結果!C193),"",計算結果!C193))</f>
        <v/>
      </c>
      <c r="D193" s="10" t="str">
        <f>IF(IF(ISNA(計算結果!D193),"",計算結果!D193)=0,"",IF(ISNA(計算結果!D193),"",計算結果!D193))</f>
        <v>L</v>
      </c>
      <c r="E193" s="10" t="str">
        <f>IF(IF(ISNA(計算結果!E193),"",計算結果!E193)=0,"",IF(ISNA(計算結果!E193),"",計算結果!E193))</f>
        <v/>
      </c>
      <c r="F193" s="10" t="str">
        <f>IF(IF(ISNA(計算結果!F193),"",計算結果!F193)=0,"",IF(ISNA(計算結果!F193),"",計算結果!F193))</f>
        <v/>
      </c>
      <c r="G193" s="10" t="str">
        <f>IF(IF(ISNA(計算結果!G193),"",計算結果!G193)=0,"",IF(ISNA(計算結果!G193),"",計算結果!G193))</f>
        <v/>
      </c>
      <c r="H193" s="13">
        <f>IF(IF(ISNA(計算結果!H193),"",計算結果!H193)=0,"",IF(ISNA(計算結果!H193),"",計算結果!H193))</f>
        <v>-2</v>
      </c>
      <c r="I193" s="12" t="str">
        <f>IF(IF(ISNA(計算結果!I193),"",計算結果!I193)=0,"",IF(ISNA(計算結果!I193),"",計算結果!I193))</f>
        <v/>
      </c>
      <c r="J193" s="12" t="str">
        <f>IF(IF(ISNA(計算結果!J193),"",計算結果!J193)=0,"",IF(ISNA(計算結果!J193),"",計算結果!J193))</f>
        <v/>
      </c>
      <c r="K193" s="23" t="str">
        <f>IF(IF(ISNA(計算結果!K193),"",計算結果!K193)=0,"",IF(ISNA(計算結果!K193),"",計算結果!K193))</f>
        <v/>
      </c>
      <c r="L193" s="13" t="str">
        <f>IF(IF(ISNA(計算結果!L193),"",計算結果!L193)=0,"",IF(ISNA(計算結果!L193),"",計算結果!L193))</f>
        <v/>
      </c>
      <c r="M193" s="10" t="str">
        <f>IF(IF(ISNA(計算結果!M193),"",計算結果!M193)=0,"",IF(ISNA(計算結果!M193),"",計算結果!M193))</f>
        <v/>
      </c>
      <c r="N193" s="10" t="str">
        <f>IF(IF(ISNA(計算結果!N193),"",計算結果!N193)=0,"",IF(ISNA(計算結果!N193),"",計算結果!N193))</f>
        <v/>
      </c>
      <c r="O193" s="13" t="str">
        <f>IF(IF(ISNA(計算結果!O193),"",計算結果!O193)=0,"",IF(ISNA(計算結果!O193),"",計算結果!O193))</f>
        <v/>
      </c>
      <c r="P193" s="10" t="str">
        <f>IF(IF(ISNA(計算結果!P193),"",計算結果!P193)=0,"",IF(ISNA(計算結果!P193),"",計算結果!P193))</f>
        <v/>
      </c>
      <c r="Q193" s="10" t="str">
        <f>IF(IF(ISNA(計算結果!Q193),"",計算結果!Q193)=0,"",IF(ISNA(計算結果!Q193),"",計算結果!Q193))</f>
        <v/>
      </c>
      <c r="R193" s="14" t="str">
        <f t="shared" si="6"/>
        <v/>
      </c>
      <c r="S193" s="14" t="str">
        <f t="shared" si="7"/>
        <v>◯</v>
      </c>
      <c r="T193" s="14" t="str">
        <f t="shared" si="8"/>
        <v/>
      </c>
    </row>
    <row r="194" spans="1:20" hidden="1" x14ac:dyDescent="0.45">
      <c r="A194" s="10" t="str">
        <f>IF(IF(ISNA(計算結果!A194),"",計算結果!A194)=0,"",IF(ISNA(計算結果!A194),"",計算結果!A194))</f>
        <v/>
      </c>
      <c r="B194" s="10" t="str">
        <f>IF(IF(ISNA(計算結果!B194),"",計算結果!B194)=0,"",IF(ISNA(計算結果!B194),"",計算結果!B194))</f>
        <v/>
      </c>
      <c r="C194" s="10" t="str">
        <f>IF(IF(ISNA(計算結果!C194),"",計算結果!C194)=0,"",IF(ISNA(計算結果!C194),"",計算結果!C194))</f>
        <v/>
      </c>
      <c r="D194" s="10" t="str">
        <f>IF(IF(ISNA(計算結果!D194),"",計算結果!D194)=0,"",IF(ISNA(計算結果!D194),"",計算結果!D194))</f>
        <v>L</v>
      </c>
      <c r="E194" s="10" t="str">
        <f>IF(IF(ISNA(計算結果!E194),"",計算結果!E194)=0,"",IF(ISNA(計算結果!E194),"",計算結果!E194))</f>
        <v/>
      </c>
      <c r="F194" s="10" t="str">
        <f>IF(IF(ISNA(計算結果!F194),"",計算結果!F194)=0,"",IF(ISNA(計算結果!F194),"",計算結果!F194))</f>
        <v/>
      </c>
      <c r="G194" s="10" t="str">
        <f>IF(IF(ISNA(計算結果!G194),"",計算結果!G194)=0,"",IF(ISNA(計算結果!G194),"",計算結果!G194))</f>
        <v/>
      </c>
      <c r="H194" s="13">
        <f>IF(IF(ISNA(計算結果!H194),"",計算結果!H194)=0,"",IF(ISNA(計算結果!H194),"",計算結果!H194))</f>
        <v>-2</v>
      </c>
      <c r="I194" s="12" t="str">
        <f>IF(IF(ISNA(計算結果!I194),"",計算結果!I194)=0,"",IF(ISNA(計算結果!I194),"",計算結果!I194))</f>
        <v/>
      </c>
      <c r="J194" s="12" t="str">
        <f>IF(IF(ISNA(計算結果!J194),"",計算結果!J194)=0,"",IF(ISNA(計算結果!J194),"",計算結果!J194))</f>
        <v/>
      </c>
      <c r="K194" s="23" t="str">
        <f>IF(IF(ISNA(計算結果!K194),"",計算結果!K194)=0,"",IF(ISNA(計算結果!K194),"",計算結果!K194))</f>
        <v/>
      </c>
      <c r="L194" s="13" t="str">
        <f>IF(IF(ISNA(計算結果!L194),"",計算結果!L194)=0,"",IF(ISNA(計算結果!L194),"",計算結果!L194))</f>
        <v/>
      </c>
      <c r="M194" s="10" t="str">
        <f>IF(IF(ISNA(計算結果!M194),"",計算結果!M194)=0,"",IF(ISNA(計算結果!M194),"",計算結果!M194))</f>
        <v/>
      </c>
      <c r="N194" s="10" t="str">
        <f>IF(IF(ISNA(計算結果!N194),"",計算結果!N194)=0,"",IF(ISNA(計算結果!N194),"",計算結果!N194))</f>
        <v/>
      </c>
      <c r="O194" s="13" t="str">
        <f>IF(IF(ISNA(計算結果!O194),"",計算結果!O194)=0,"",IF(ISNA(計算結果!O194),"",計算結果!O194))</f>
        <v/>
      </c>
      <c r="P194" s="10" t="str">
        <f>IF(IF(ISNA(計算結果!P194),"",計算結果!P194)=0,"",IF(ISNA(計算結果!P194),"",計算結果!P194))</f>
        <v/>
      </c>
      <c r="Q194" s="10" t="str">
        <f>IF(IF(ISNA(計算結果!Q194),"",計算結果!Q194)=0,"",IF(ISNA(計算結果!Q194),"",計算結果!Q194))</f>
        <v/>
      </c>
      <c r="R194" s="14" t="str">
        <f t="shared" si="6"/>
        <v/>
      </c>
      <c r="S194" s="14" t="str">
        <f t="shared" si="7"/>
        <v>◯</v>
      </c>
      <c r="T194" s="14" t="str">
        <f t="shared" si="8"/>
        <v/>
      </c>
    </row>
    <row r="195" spans="1:20" hidden="1" x14ac:dyDescent="0.45">
      <c r="A195" s="10" t="str">
        <f>IF(IF(ISNA(計算結果!A195),"",計算結果!A195)=0,"",IF(ISNA(計算結果!A195),"",計算結果!A195))</f>
        <v/>
      </c>
      <c r="B195" s="10" t="str">
        <f>IF(IF(ISNA(計算結果!B195),"",計算結果!B195)=0,"",IF(ISNA(計算結果!B195),"",計算結果!B195))</f>
        <v/>
      </c>
      <c r="C195" s="10" t="str">
        <f>IF(IF(ISNA(計算結果!C195),"",計算結果!C195)=0,"",IF(ISNA(計算結果!C195),"",計算結果!C195))</f>
        <v/>
      </c>
      <c r="D195" s="10" t="str">
        <f>IF(IF(ISNA(計算結果!D195),"",計算結果!D195)=0,"",IF(ISNA(計算結果!D195),"",計算結果!D195))</f>
        <v>L</v>
      </c>
      <c r="E195" s="10" t="str">
        <f>IF(IF(ISNA(計算結果!E195),"",計算結果!E195)=0,"",IF(ISNA(計算結果!E195),"",計算結果!E195))</f>
        <v/>
      </c>
      <c r="F195" s="10" t="str">
        <f>IF(IF(ISNA(計算結果!F195),"",計算結果!F195)=0,"",IF(ISNA(計算結果!F195),"",計算結果!F195))</f>
        <v/>
      </c>
      <c r="G195" s="10" t="str">
        <f>IF(IF(ISNA(計算結果!G195),"",計算結果!G195)=0,"",IF(ISNA(計算結果!G195),"",計算結果!G195))</f>
        <v/>
      </c>
      <c r="H195" s="13">
        <f>IF(IF(ISNA(計算結果!H195),"",計算結果!H195)=0,"",IF(ISNA(計算結果!H195),"",計算結果!H195))</f>
        <v>-2</v>
      </c>
      <c r="I195" s="12" t="str">
        <f>IF(IF(ISNA(計算結果!I195),"",計算結果!I195)=0,"",IF(ISNA(計算結果!I195),"",計算結果!I195))</f>
        <v/>
      </c>
      <c r="J195" s="12" t="str">
        <f>IF(IF(ISNA(計算結果!J195),"",計算結果!J195)=0,"",IF(ISNA(計算結果!J195),"",計算結果!J195))</f>
        <v/>
      </c>
      <c r="K195" s="23" t="str">
        <f>IF(IF(ISNA(計算結果!K195),"",計算結果!K195)=0,"",IF(ISNA(計算結果!K195),"",計算結果!K195))</f>
        <v/>
      </c>
      <c r="L195" s="13" t="str">
        <f>IF(IF(ISNA(計算結果!L195),"",計算結果!L195)=0,"",IF(ISNA(計算結果!L195),"",計算結果!L195))</f>
        <v/>
      </c>
      <c r="M195" s="10" t="str">
        <f>IF(IF(ISNA(計算結果!M195),"",計算結果!M195)=0,"",IF(ISNA(計算結果!M195),"",計算結果!M195))</f>
        <v/>
      </c>
      <c r="N195" s="10" t="str">
        <f>IF(IF(ISNA(計算結果!N195),"",計算結果!N195)=0,"",IF(ISNA(計算結果!N195),"",計算結果!N195))</f>
        <v/>
      </c>
      <c r="O195" s="13" t="str">
        <f>IF(IF(ISNA(計算結果!O195),"",計算結果!O195)=0,"",IF(ISNA(計算結果!O195),"",計算結果!O195))</f>
        <v/>
      </c>
      <c r="P195" s="10" t="str">
        <f>IF(IF(ISNA(計算結果!P195),"",計算結果!P195)=0,"",IF(ISNA(計算結果!P195),"",計算結果!P195))</f>
        <v/>
      </c>
      <c r="Q195" s="10" t="str">
        <f>IF(IF(ISNA(計算結果!Q195),"",計算結果!Q195)=0,"",IF(ISNA(計算結果!Q195),"",計算結果!Q195))</f>
        <v/>
      </c>
      <c r="R195" s="14" t="str">
        <f t="shared" ref="R195:R258" si="9">IF(AND(M195&lt;&gt;"",M195=N195),"◯","")</f>
        <v/>
      </c>
      <c r="S195" s="14" t="str">
        <f t="shared" ref="S195:S258" si="10">IF(M195="","◯","")</f>
        <v>◯</v>
      </c>
      <c r="T195" s="14" t="str">
        <f t="shared" ref="T195:T258" si="11">IF(AND(P195&lt;&gt;"",P195&lt;&gt;Q195),"◯","")</f>
        <v/>
      </c>
    </row>
    <row r="196" spans="1:20" hidden="1" x14ac:dyDescent="0.45">
      <c r="A196" s="10" t="str">
        <f>IF(IF(ISNA(計算結果!A196),"",計算結果!A196)=0,"",IF(ISNA(計算結果!A196),"",計算結果!A196))</f>
        <v/>
      </c>
      <c r="B196" s="10" t="str">
        <f>IF(IF(ISNA(計算結果!B196),"",計算結果!B196)=0,"",IF(ISNA(計算結果!B196),"",計算結果!B196))</f>
        <v/>
      </c>
      <c r="C196" s="10" t="str">
        <f>IF(IF(ISNA(計算結果!C196),"",計算結果!C196)=0,"",IF(ISNA(計算結果!C196),"",計算結果!C196))</f>
        <v/>
      </c>
      <c r="D196" s="10" t="str">
        <f>IF(IF(ISNA(計算結果!D196),"",計算結果!D196)=0,"",IF(ISNA(計算結果!D196),"",計算結果!D196))</f>
        <v>L</v>
      </c>
      <c r="E196" s="10" t="str">
        <f>IF(IF(ISNA(計算結果!E196),"",計算結果!E196)=0,"",IF(ISNA(計算結果!E196),"",計算結果!E196))</f>
        <v/>
      </c>
      <c r="F196" s="10" t="str">
        <f>IF(IF(ISNA(計算結果!F196),"",計算結果!F196)=0,"",IF(ISNA(計算結果!F196),"",計算結果!F196))</f>
        <v/>
      </c>
      <c r="G196" s="10" t="str">
        <f>IF(IF(ISNA(計算結果!G196),"",計算結果!G196)=0,"",IF(ISNA(計算結果!G196),"",計算結果!G196))</f>
        <v/>
      </c>
      <c r="H196" s="13">
        <f>IF(IF(ISNA(計算結果!H196),"",計算結果!H196)=0,"",IF(ISNA(計算結果!H196),"",計算結果!H196))</f>
        <v>-2</v>
      </c>
      <c r="I196" s="12" t="str">
        <f>IF(IF(ISNA(計算結果!I196),"",計算結果!I196)=0,"",IF(ISNA(計算結果!I196),"",計算結果!I196))</f>
        <v/>
      </c>
      <c r="J196" s="12" t="str">
        <f>IF(IF(ISNA(計算結果!J196),"",計算結果!J196)=0,"",IF(ISNA(計算結果!J196),"",計算結果!J196))</f>
        <v/>
      </c>
      <c r="K196" s="23" t="str">
        <f>IF(IF(ISNA(計算結果!K196),"",計算結果!K196)=0,"",IF(ISNA(計算結果!K196),"",計算結果!K196))</f>
        <v/>
      </c>
      <c r="L196" s="13" t="str">
        <f>IF(IF(ISNA(計算結果!L196),"",計算結果!L196)=0,"",IF(ISNA(計算結果!L196),"",計算結果!L196))</f>
        <v/>
      </c>
      <c r="M196" s="10" t="str">
        <f>IF(IF(ISNA(計算結果!M196),"",計算結果!M196)=0,"",IF(ISNA(計算結果!M196),"",計算結果!M196))</f>
        <v/>
      </c>
      <c r="N196" s="10" t="str">
        <f>IF(IF(ISNA(計算結果!N196),"",計算結果!N196)=0,"",IF(ISNA(計算結果!N196),"",計算結果!N196))</f>
        <v/>
      </c>
      <c r="O196" s="13" t="str">
        <f>IF(IF(ISNA(計算結果!O196),"",計算結果!O196)=0,"",IF(ISNA(計算結果!O196),"",計算結果!O196))</f>
        <v/>
      </c>
      <c r="P196" s="10" t="str">
        <f>IF(IF(ISNA(計算結果!P196),"",計算結果!P196)=0,"",IF(ISNA(計算結果!P196),"",計算結果!P196))</f>
        <v/>
      </c>
      <c r="Q196" s="10" t="str">
        <f>IF(IF(ISNA(計算結果!Q196),"",計算結果!Q196)=0,"",IF(ISNA(計算結果!Q196),"",計算結果!Q196))</f>
        <v/>
      </c>
      <c r="R196" s="14" t="str">
        <f t="shared" si="9"/>
        <v/>
      </c>
      <c r="S196" s="14" t="str">
        <f t="shared" si="10"/>
        <v>◯</v>
      </c>
      <c r="T196" s="14" t="str">
        <f t="shared" si="11"/>
        <v/>
      </c>
    </row>
    <row r="197" spans="1:20" hidden="1" x14ac:dyDescent="0.45">
      <c r="A197" s="10" t="str">
        <f>IF(IF(ISNA(計算結果!A197),"",計算結果!A197)=0,"",IF(ISNA(計算結果!A197),"",計算結果!A197))</f>
        <v/>
      </c>
      <c r="B197" s="10" t="str">
        <f>IF(IF(ISNA(計算結果!B197),"",計算結果!B197)=0,"",IF(ISNA(計算結果!B197),"",計算結果!B197))</f>
        <v/>
      </c>
      <c r="C197" s="10" t="str">
        <f>IF(IF(ISNA(計算結果!C197),"",計算結果!C197)=0,"",IF(ISNA(計算結果!C197),"",計算結果!C197))</f>
        <v/>
      </c>
      <c r="D197" s="10" t="str">
        <f>IF(IF(ISNA(計算結果!D197),"",計算結果!D197)=0,"",IF(ISNA(計算結果!D197),"",計算結果!D197))</f>
        <v>L</v>
      </c>
      <c r="E197" s="10" t="str">
        <f>IF(IF(ISNA(計算結果!E197),"",計算結果!E197)=0,"",IF(ISNA(計算結果!E197),"",計算結果!E197))</f>
        <v/>
      </c>
      <c r="F197" s="10" t="str">
        <f>IF(IF(ISNA(計算結果!F197),"",計算結果!F197)=0,"",IF(ISNA(計算結果!F197),"",計算結果!F197))</f>
        <v/>
      </c>
      <c r="G197" s="10" t="str">
        <f>IF(IF(ISNA(計算結果!G197),"",計算結果!G197)=0,"",IF(ISNA(計算結果!G197),"",計算結果!G197))</f>
        <v/>
      </c>
      <c r="H197" s="13">
        <f>IF(IF(ISNA(計算結果!H197),"",計算結果!H197)=0,"",IF(ISNA(計算結果!H197),"",計算結果!H197))</f>
        <v>-2</v>
      </c>
      <c r="I197" s="12" t="str">
        <f>IF(IF(ISNA(計算結果!I197),"",計算結果!I197)=0,"",IF(ISNA(計算結果!I197),"",計算結果!I197))</f>
        <v/>
      </c>
      <c r="J197" s="12" t="str">
        <f>IF(IF(ISNA(計算結果!J197),"",計算結果!J197)=0,"",IF(ISNA(計算結果!J197),"",計算結果!J197))</f>
        <v/>
      </c>
      <c r="K197" s="23" t="str">
        <f>IF(IF(ISNA(計算結果!K197),"",計算結果!K197)=0,"",IF(ISNA(計算結果!K197),"",計算結果!K197))</f>
        <v/>
      </c>
      <c r="L197" s="13" t="str">
        <f>IF(IF(ISNA(計算結果!L197),"",計算結果!L197)=0,"",IF(ISNA(計算結果!L197),"",計算結果!L197))</f>
        <v/>
      </c>
      <c r="M197" s="10" t="str">
        <f>IF(IF(ISNA(計算結果!M197),"",計算結果!M197)=0,"",IF(ISNA(計算結果!M197),"",計算結果!M197))</f>
        <v/>
      </c>
      <c r="N197" s="10" t="str">
        <f>IF(IF(ISNA(計算結果!N197),"",計算結果!N197)=0,"",IF(ISNA(計算結果!N197),"",計算結果!N197))</f>
        <v/>
      </c>
      <c r="O197" s="13" t="str">
        <f>IF(IF(ISNA(計算結果!O197),"",計算結果!O197)=0,"",IF(ISNA(計算結果!O197),"",計算結果!O197))</f>
        <v/>
      </c>
      <c r="P197" s="10" t="str">
        <f>IF(IF(ISNA(計算結果!P197),"",計算結果!P197)=0,"",IF(ISNA(計算結果!P197),"",計算結果!P197))</f>
        <v/>
      </c>
      <c r="Q197" s="10" t="str">
        <f>IF(IF(ISNA(計算結果!Q197),"",計算結果!Q197)=0,"",IF(ISNA(計算結果!Q197),"",計算結果!Q197))</f>
        <v/>
      </c>
      <c r="R197" s="14" t="str">
        <f t="shared" si="9"/>
        <v/>
      </c>
      <c r="S197" s="14" t="str">
        <f t="shared" si="10"/>
        <v>◯</v>
      </c>
      <c r="T197" s="14" t="str">
        <f t="shared" si="11"/>
        <v/>
      </c>
    </row>
    <row r="198" spans="1:20" hidden="1" x14ac:dyDescent="0.45">
      <c r="A198" s="10" t="str">
        <f>IF(IF(ISNA(計算結果!A198),"",計算結果!A198)=0,"",IF(ISNA(計算結果!A198),"",計算結果!A198))</f>
        <v/>
      </c>
      <c r="B198" s="10" t="str">
        <f>IF(IF(ISNA(計算結果!B198),"",計算結果!B198)=0,"",IF(ISNA(計算結果!B198),"",計算結果!B198))</f>
        <v/>
      </c>
      <c r="C198" s="10" t="str">
        <f>IF(IF(ISNA(計算結果!C198),"",計算結果!C198)=0,"",IF(ISNA(計算結果!C198),"",計算結果!C198))</f>
        <v/>
      </c>
      <c r="D198" s="10" t="str">
        <f>IF(IF(ISNA(計算結果!D198),"",計算結果!D198)=0,"",IF(ISNA(計算結果!D198),"",計算結果!D198))</f>
        <v>L</v>
      </c>
      <c r="E198" s="10" t="str">
        <f>IF(IF(ISNA(計算結果!E198),"",計算結果!E198)=0,"",IF(ISNA(計算結果!E198),"",計算結果!E198))</f>
        <v/>
      </c>
      <c r="F198" s="10" t="str">
        <f>IF(IF(ISNA(計算結果!F198),"",計算結果!F198)=0,"",IF(ISNA(計算結果!F198),"",計算結果!F198))</f>
        <v/>
      </c>
      <c r="G198" s="10" t="str">
        <f>IF(IF(ISNA(計算結果!G198),"",計算結果!G198)=0,"",IF(ISNA(計算結果!G198),"",計算結果!G198))</f>
        <v/>
      </c>
      <c r="H198" s="13">
        <f>IF(IF(ISNA(計算結果!H198),"",計算結果!H198)=0,"",IF(ISNA(計算結果!H198),"",計算結果!H198))</f>
        <v>-2</v>
      </c>
      <c r="I198" s="12" t="str">
        <f>IF(IF(ISNA(計算結果!I198),"",計算結果!I198)=0,"",IF(ISNA(計算結果!I198),"",計算結果!I198))</f>
        <v/>
      </c>
      <c r="J198" s="12" t="str">
        <f>IF(IF(ISNA(計算結果!J198),"",計算結果!J198)=0,"",IF(ISNA(計算結果!J198),"",計算結果!J198))</f>
        <v/>
      </c>
      <c r="K198" s="23" t="str">
        <f>IF(IF(ISNA(計算結果!K198),"",計算結果!K198)=0,"",IF(ISNA(計算結果!K198),"",計算結果!K198))</f>
        <v/>
      </c>
      <c r="L198" s="13" t="str">
        <f>IF(IF(ISNA(計算結果!L198),"",計算結果!L198)=0,"",IF(ISNA(計算結果!L198),"",計算結果!L198))</f>
        <v/>
      </c>
      <c r="M198" s="10" t="str">
        <f>IF(IF(ISNA(計算結果!M198),"",計算結果!M198)=0,"",IF(ISNA(計算結果!M198),"",計算結果!M198))</f>
        <v/>
      </c>
      <c r="N198" s="10" t="str">
        <f>IF(IF(ISNA(計算結果!N198),"",計算結果!N198)=0,"",IF(ISNA(計算結果!N198),"",計算結果!N198))</f>
        <v/>
      </c>
      <c r="O198" s="13" t="str">
        <f>IF(IF(ISNA(計算結果!O198),"",計算結果!O198)=0,"",IF(ISNA(計算結果!O198),"",計算結果!O198))</f>
        <v/>
      </c>
      <c r="P198" s="10" t="str">
        <f>IF(IF(ISNA(計算結果!P198),"",計算結果!P198)=0,"",IF(ISNA(計算結果!P198),"",計算結果!P198))</f>
        <v/>
      </c>
      <c r="Q198" s="10" t="str">
        <f>IF(IF(ISNA(計算結果!Q198),"",計算結果!Q198)=0,"",IF(ISNA(計算結果!Q198),"",計算結果!Q198))</f>
        <v/>
      </c>
      <c r="R198" s="14" t="str">
        <f t="shared" si="9"/>
        <v/>
      </c>
      <c r="S198" s="14" t="str">
        <f t="shared" si="10"/>
        <v>◯</v>
      </c>
      <c r="T198" s="14" t="str">
        <f t="shared" si="11"/>
        <v/>
      </c>
    </row>
    <row r="199" spans="1:20" hidden="1" x14ac:dyDescent="0.45">
      <c r="A199" s="10" t="str">
        <f>IF(IF(ISNA(計算結果!A199),"",計算結果!A199)=0,"",IF(ISNA(計算結果!A199),"",計算結果!A199))</f>
        <v/>
      </c>
      <c r="B199" s="10" t="str">
        <f>IF(IF(ISNA(計算結果!B199),"",計算結果!B199)=0,"",IF(ISNA(計算結果!B199),"",計算結果!B199))</f>
        <v/>
      </c>
      <c r="C199" s="10" t="str">
        <f>IF(IF(ISNA(計算結果!C199),"",計算結果!C199)=0,"",IF(ISNA(計算結果!C199),"",計算結果!C199))</f>
        <v/>
      </c>
      <c r="D199" s="10" t="str">
        <f>IF(IF(ISNA(計算結果!D199),"",計算結果!D199)=0,"",IF(ISNA(計算結果!D199),"",計算結果!D199))</f>
        <v>L</v>
      </c>
      <c r="E199" s="10" t="str">
        <f>IF(IF(ISNA(計算結果!E199),"",計算結果!E199)=0,"",IF(ISNA(計算結果!E199),"",計算結果!E199))</f>
        <v/>
      </c>
      <c r="F199" s="10" t="str">
        <f>IF(IF(ISNA(計算結果!F199),"",計算結果!F199)=0,"",IF(ISNA(計算結果!F199),"",計算結果!F199))</f>
        <v/>
      </c>
      <c r="G199" s="10" t="str">
        <f>IF(IF(ISNA(計算結果!G199),"",計算結果!G199)=0,"",IF(ISNA(計算結果!G199),"",計算結果!G199))</f>
        <v/>
      </c>
      <c r="H199" s="13">
        <f>IF(IF(ISNA(計算結果!H199),"",計算結果!H199)=0,"",IF(ISNA(計算結果!H199),"",計算結果!H199))</f>
        <v>-2</v>
      </c>
      <c r="I199" s="12" t="str">
        <f>IF(IF(ISNA(計算結果!I199),"",計算結果!I199)=0,"",IF(ISNA(計算結果!I199),"",計算結果!I199))</f>
        <v/>
      </c>
      <c r="J199" s="12" t="str">
        <f>IF(IF(ISNA(計算結果!J199),"",計算結果!J199)=0,"",IF(ISNA(計算結果!J199),"",計算結果!J199))</f>
        <v/>
      </c>
      <c r="K199" s="23" t="str">
        <f>IF(IF(ISNA(計算結果!K199),"",計算結果!K199)=0,"",IF(ISNA(計算結果!K199),"",計算結果!K199))</f>
        <v/>
      </c>
      <c r="L199" s="13" t="str">
        <f>IF(IF(ISNA(計算結果!L199),"",計算結果!L199)=0,"",IF(ISNA(計算結果!L199),"",計算結果!L199))</f>
        <v/>
      </c>
      <c r="M199" s="10" t="str">
        <f>IF(IF(ISNA(計算結果!M199),"",計算結果!M199)=0,"",IF(ISNA(計算結果!M199),"",計算結果!M199))</f>
        <v/>
      </c>
      <c r="N199" s="10" t="str">
        <f>IF(IF(ISNA(計算結果!N199),"",計算結果!N199)=0,"",IF(ISNA(計算結果!N199),"",計算結果!N199))</f>
        <v/>
      </c>
      <c r="O199" s="13" t="str">
        <f>IF(IF(ISNA(計算結果!O199),"",計算結果!O199)=0,"",IF(ISNA(計算結果!O199),"",計算結果!O199))</f>
        <v/>
      </c>
      <c r="P199" s="10" t="str">
        <f>IF(IF(ISNA(計算結果!P199),"",計算結果!P199)=0,"",IF(ISNA(計算結果!P199),"",計算結果!P199))</f>
        <v/>
      </c>
      <c r="Q199" s="10" t="str">
        <f>IF(IF(ISNA(計算結果!Q199),"",計算結果!Q199)=0,"",IF(ISNA(計算結果!Q199),"",計算結果!Q199))</f>
        <v/>
      </c>
      <c r="R199" s="14" t="str">
        <f t="shared" si="9"/>
        <v/>
      </c>
      <c r="S199" s="14" t="str">
        <f t="shared" si="10"/>
        <v>◯</v>
      </c>
      <c r="T199" s="14" t="str">
        <f t="shared" si="11"/>
        <v/>
      </c>
    </row>
    <row r="200" spans="1:20" hidden="1" x14ac:dyDescent="0.45">
      <c r="A200" s="10" t="str">
        <f>IF(IF(ISNA(計算結果!A200),"",計算結果!A200)=0,"",IF(ISNA(計算結果!A200),"",計算結果!A200))</f>
        <v/>
      </c>
      <c r="B200" s="10" t="str">
        <f>IF(IF(ISNA(計算結果!B200),"",計算結果!B200)=0,"",IF(ISNA(計算結果!B200),"",計算結果!B200))</f>
        <v/>
      </c>
      <c r="C200" s="10" t="str">
        <f>IF(IF(ISNA(計算結果!C200),"",計算結果!C200)=0,"",IF(ISNA(計算結果!C200),"",計算結果!C200))</f>
        <v/>
      </c>
      <c r="D200" s="10" t="str">
        <f>IF(IF(ISNA(計算結果!D200),"",計算結果!D200)=0,"",IF(ISNA(計算結果!D200),"",計算結果!D200))</f>
        <v>L</v>
      </c>
      <c r="E200" s="10" t="str">
        <f>IF(IF(ISNA(計算結果!E200),"",計算結果!E200)=0,"",IF(ISNA(計算結果!E200),"",計算結果!E200))</f>
        <v/>
      </c>
      <c r="F200" s="10" t="str">
        <f>IF(IF(ISNA(計算結果!F200),"",計算結果!F200)=0,"",IF(ISNA(計算結果!F200),"",計算結果!F200))</f>
        <v/>
      </c>
      <c r="G200" s="10" t="str">
        <f>IF(IF(ISNA(計算結果!G200),"",計算結果!G200)=0,"",IF(ISNA(計算結果!G200),"",計算結果!G200))</f>
        <v/>
      </c>
      <c r="H200" s="13">
        <f>IF(IF(ISNA(計算結果!H200),"",計算結果!H200)=0,"",IF(ISNA(計算結果!H200),"",計算結果!H200))</f>
        <v>-2</v>
      </c>
      <c r="I200" s="12" t="str">
        <f>IF(IF(ISNA(計算結果!I200),"",計算結果!I200)=0,"",IF(ISNA(計算結果!I200),"",計算結果!I200))</f>
        <v/>
      </c>
      <c r="J200" s="12" t="str">
        <f>IF(IF(ISNA(計算結果!J200),"",計算結果!J200)=0,"",IF(ISNA(計算結果!J200),"",計算結果!J200))</f>
        <v/>
      </c>
      <c r="K200" s="23" t="str">
        <f>IF(IF(ISNA(計算結果!K200),"",計算結果!K200)=0,"",IF(ISNA(計算結果!K200),"",計算結果!K200))</f>
        <v/>
      </c>
      <c r="L200" s="13" t="str">
        <f>IF(IF(ISNA(計算結果!L200),"",計算結果!L200)=0,"",IF(ISNA(計算結果!L200),"",計算結果!L200))</f>
        <v/>
      </c>
      <c r="M200" s="10" t="str">
        <f>IF(IF(ISNA(計算結果!M200),"",計算結果!M200)=0,"",IF(ISNA(計算結果!M200),"",計算結果!M200))</f>
        <v/>
      </c>
      <c r="N200" s="10" t="str">
        <f>IF(IF(ISNA(計算結果!N200),"",計算結果!N200)=0,"",IF(ISNA(計算結果!N200),"",計算結果!N200))</f>
        <v/>
      </c>
      <c r="O200" s="13" t="str">
        <f>IF(IF(ISNA(計算結果!O200),"",計算結果!O200)=0,"",IF(ISNA(計算結果!O200),"",計算結果!O200))</f>
        <v/>
      </c>
      <c r="P200" s="10" t="str">
        <f>IF(IF(ISNA(計算結果!P200),"",計算結果!P200)=0,"",IF(ISNA(計算結果!P200),"",計算結果!P200))</f>
        <v/>
      </c>
      <c r="Q200" s="10" t="str">
        <f>IF(IF(ISNA(計算結果!Q200),"",計算結果!Q200)=0,"",IF(ISNA(計算結果!Q200),"",計算結果!Q200))</f>
        <v/>
      </c>
      <c r="R200" s="14" t="str">
        <f t="shared" si="9"/>
        <v/>
      </c>
      <c r="S200" s="14" t="str">
        <f t="shared" si="10"/>
        <v>◯</v>
      </c>
      <c r="T200" s="14" t="str">
        <f t="shared" si="11"/>
        <v/>
      </c>
    </row>
    <row r="201" spans="1:20" hidden="1" x14ac:dyDescent="0.45">
      <c r="A201" s="10" t="str">
        <f>IF(IF(ISNA(計算結果!A201),"",計算結果!A201)=0,"",IF(ISNA(計算結果!A201),"",計算結果!A201))</f>
        <v/>
      </c>
      <c r="B201" s="10" t="str">
        <f>IF(IF(ISNA(計算結果!B201),"",計算結果!B201)=0,"",IF(ISNA(計算結果!B201),"",計算結果!B201))</f>
        <v/>
      </c>
      <c r="C201" s="10" t="str">
        <f>IF(IF(ISNA(計算結果!C201),"",計算結果!C201)=0,"",IF(ISNA(計算結果!C201),"",計算結果!C201))</f>
        <v/>
      </c>
      <c r="D201" s="10" t="str">
        <f>IF(IF(ISNA(計算結果!D201),"",計算結果!D201)=0,"",IF(ISNA(計算結果!D201),"",計算結果!D201))</f>
        <v>L</v>
      </c>
      <c r="E201" s="10" t="str">
        <f>IF(IF(ISNA(計算結果!E201),"",計算結果!E201)=0,"",IF(ISNA(計算結果!E201),"",計算結果!E201))</f>
        <v/>
      </c>
      <c r="F201" s="10" t="str">
        <f>IF(IF(ISNA(計算結果!F201),"",計算結果!F201)=0,"",IF(ISNA(計算結果!F201),"",計算結果!F201))</f>
        <v/>
      </c>
      <c r="G201" s="10" t="str">
        <f>IF(IF(ISNA(計算結果!G201),"",計算結果!G201)=0,"",IF(ISNA(計算結果!G201),"",計算結果!G201))</f>
        <v/>
      </c>
      <c r="H201" s="13">
        <f>IF(IF(ISNA(計算結果!H201),"",計算結果!H201)=0,"",IF(ISNA(計算結果!H201),"",計算結果!H201))</f>
        <v>-2</v>
      </c>
      <c r="I201" s="12" t="str">
        <f>IF(IF(ISNA(計算結果!I201),"",計算結果!I201)=0,"",IF(ISNA(計算結果!I201),"",計算結果!I201))</f>
        <v/>
      </c>
      <c r="J201" s="12" t="str">
        <f>IF(IF(ISNA(計算結果!J201),"",計算結果!J201)=0,"",IF(ISNA(計算結果!J201),"",計算結果!J201))</f>
        <v/>
      </c>
      <c r="K201" s="23" t="str">
        <f>IF(IF(ISNA(計算結果!K201),"",計算結果!K201)=0,"",IF(ISNA(計算結果!K201),"",計算結果!K201))</f>
        <v/>
      </c>
      <c r="L201" s="13" t="str">
        <f>IF(IF(ISNA(計算結果!L201),"",計算結果!L201)=0,"",IF(ISNA(計算結果!L201),"",計算結果!L201))</f>
        <v/>
      </c>
      <c r="M201" s="10" t="str">
        <f>IF(IF(ISNA(計算結果!M201),"",計算結果!M201)=0,"",IF(ISNA(計算結果!M201),"",計算結果!M201))</f>
        <v/>
      </c>
      <c r="N201" s="10" t="str">
        <f>IF(IF(ISNA(計算結果!N201),"",計算結果!N201)=0,"",IF(ISNA(計算結果!N201),"",計算結果!N201))</f>
        <v/>
      </c>
      <c r="O201" s="13" t="str">
        <f>IF(IF(ISNA(計算結果!O201),"",計算結果!O201)=0,"",IF(ISNA(計算結果!O201),"",計算結果!O201))</f>
        <v/>
      </c>
      <c r="P201" s="10" t="str">
        <f>IF(IF(ISNA(計算結果!P201),"",計算結果!P201)=0,"",IF(ISNA(計算結果!P201),"",計算結果!P201))</f>
        <v/>
      </c>
      <c r="Q201" s="10" t="str">
        <f>IF(IF(ISNA(計算結果!Q201),"",計算結果!Q201)=0,"",IF(ISNA(計算結果!Q201),"",計算結果!Q201))</f>
        <v/>
      </c>
      <c r="R201" s="14" t="str">
        <f t="shared" si="9"/>
        <v/>
      </c>
      <c r="S201" s="14" t="str">
        <f t="shared" si="10"/>
        <v>◯</v>
      </c>
      <c r="T201" s="14" t="str">
        <f t="shared" si="11"/>
        <v/>
      </c>
    </row>
    <row r="202" spans="1:20" hidden="1" x14ac:dyDescent="0.45">
      <c r="A202" s="10" t="str">
        <f>IF(IF(ISNA(計算結果!A202),"",計算結果!A202)=0,"",IF(ISNA(計算結果!A202),"",計算結果!A202))</f>
        <v/>
      </c>
      <c r="B202" s="10" t="str">
        <f>IF(IF(ISNA(計算結果!B202),"",計算結果!B202)=0,"",IF(ISNA(計算結果!B202),"",計算結果!B202))</f>
        <v/>
      </c>
      <c r="C202" s="10" t="str">
        <f>IF(IF(ISNA(計算結果!C202),"",計算結果!C202)=0,"",IF(ISNA(計算結果!C202),"",計算結果!C202))</f>
        <v/>
      </c>
      <c r="D202" s="10" t="str">
        <f>IF(IF(ISNA(計算結果!D202),"",計算結果!D202)=0,"",IF(ISNA(計算結果!D202),"",計算結果!D202))</f>
        <v>L</v>
      </c>
      <c r="E202" s="10" t="str">
        <f>IF(IF(ISNA(計算結果!E202),"",計算結果!E202)=0,"",IF(ISNA(計算結果!E202),"",計算結果!E202))</f>
        <v/>
      </c>
      <c r="F202" s="10" t="str">
        <f>IF(IF(ISNA(計算結果!F202),"",計算結果!F202)=0,"",IF(ISNA(計算結果!F202),"",計算結果!F202))</f>
        <v/>
      </c>
      <c r="G202" s="10" t="str">
        <f>IF(IF(ISNA(計算結果!G202),"",計算結果!G202)=0,"",IF(ISNA(計算結果!G202),"",計算結果!G202))</f>
        <v/>
      </c>
      <c r="H202" s="13">
        <f>IF(IF(ISNA(計算結果!H202),"",計算結果!H202)=0,"",IF(ISNA(計算結果!H202),"",計算結果!H202))</f>
        <v>-2</v>
      </c>
      <c r="I202" s="12" t="str">
        <f>IF(IF(ISNA(計算結果!I202),"",計算結果!I202)=0,"",IF(ISNA(計算結果!I202),"",計算結果!I202))</f>
        <v/>
      </c>
      <c r="J202" s="12" t="str">
        <f>IF(IF(ISNA(計算結果!J202),"",計算結果!J202)=0,"",IF(ISNA(計算結果!J202),"",計算結果!J202))</f>
        <v/>
      </c>
      <c r="K202" s="23" t="str">
        <f>IF(IF(ISNA(計算結果!K202),"",計算結果!K202)=0,"",IF(ISNA(計算結果!K202),"",計算結果!K202))</f>
        <v/>
      </c>
      <c r="L202" s="13" t="str">
        <f>IF(IF(ISNA(計算結果!L202),"",計算結果!L202)=0,"",IF(ISNA(計算結果!L202),"",計算結果!L202))</f>
        <v/>
      </c>
      <c r="M202" s="10" t="str">
        <f>IF(IF(ISNA(計算結果!M202),"",計算結果!M202)=0,"",IF(ISNA(計算結果!M202),"",計算結果!M202))</f>
        <v/>
      </c>
      <c r="N202" s="10" t="str">
        <f>IF(IF(ISNA(計算結果!N202),"",計算結果!N202)=0,"",IF(ISNA(計算結果!N202),"",計算結果!N202))</f>
        <v/>
      </c>
      <c r="O202" s="13" t="str">
        <f>IF(IF(ISNA(計算結果!O202),"",計算結果!O202)=0,"",IF(ISNA(計算結果!O202),"",計算結果!O202))</f>
        <v/>
      </c>
      <c r="P202" s="10" t="str">
        <f>IF(IF(ISNA(計算結果!P202),"",計算結果!P202)=0,"",IF(ISNA(計算結果!P202),"",計算結果!P202))</f>
        <v/>
      </c>
      <c r="Q202" s="10" t="str">
        <f>IF(IF(ISNA(計算結果!Q202),"",計算結果!Q202)=0,"",IF(ISNA(計算結果!Q202),"",計算結果!Q202))</f>
        <v/>
      </c>
      <c r="R202" s="14" t="str">
        <f t="shared" si="9"/>
        <v/>
      </c>
      <c r="S202" s="14" t="str">
        <f t="shared" si="10"/>
        <v>◯</v>
      </c>
      <c r="T202" s="14" t="str">
        <f t="shared" si="11"/>
        <v/>
      </c>
    </row>
    <row r="203" spans="1:20" hidden="1" x14ac:dyDescent="0.45">
      <c r="A203" s="10" t="str">
        <f>IF(IF(ISNA(計算結果!A203),"",計算結果!A203)=0,"",IF(ISNA(計算結果!A203),"",計算結果!A203))</f>
        <v/>
      </c>
      <c r="B203" s="10" t="str">
        <f>IF(IF(ISNA(計算結果!B203),"",計算結果!B203)=0,"",IF(ISNA(計算結果!B203),"",計算結果!B203))</f>
        <v/>
      </c>
      <c r="C203" s="10" t="str">
        <f>IF(IF(ISNA(計算結果!C203),"",計算結果!C203)=0,"",IF(ISNA(計算結果!C203),"",計算結果!C203))</f>
        <v/>
      </c>
      <c r="D203" s="10" t="str">
        <f>IF(IF(ISNA(計算結果!D203),"",計算結果!D203)=0,"",IF(ISNA(計算結果!D203),"",計算結果!D203))</f>
        <v>L</v>
      </c>
      <c r="E203" s="10" t="str">
        <f>IF(IF(ISNA(計算結果!E203),"",計算結果!E203)=0,"",IF(ISNA(計算結果!E203),"",計算結果!E203))</f>
        <v/>
      </c>
      <c r="F203" s="10" t="str">
        <f>IF(IF(ISNA(計算結果!F203),"",計算結果!F203)=0,"",IF(ISNA(計算結果!F203),"",計算結果!F203))</f>
        <v/>
      </c>
      <c r="G203" s="10" t="str">
        <f>IF(IF(ISNA(計算結果!G203),"",計算結果!G203)=0,"",IF(ISNA(計算結果!G203),"",計算結果!G203))</f>
        <v/>
      </c>
      <c r="H203" s="13">
        <f>IF(IF(ISNA(計算結果!H203),"",計算結果!H203)=0,"",IF(ISNA(計算結果!H203),"",計算結果!H203))</f>
        <v>-2</v>
      </c>
      <c r="I203" s="12" t="str">
        <f>IF(IF(ISNA(計算結果!I203),"",計算結果!I203)=0,"",IF(ISNA(計算結果!I203),"",計算結果!I203))</f>
        <v/>
      </c>
      <c r="J203" s="12" t="str">
        <f>IF(IF(ISNA(計算結果!J203),"",計算結果!J203)=0,"",IF(ISNA(計算結果!J203),"",計算結果!J203))</f>
        <v/>
      </c>
      <c r="K203" s="23" t="str">
        <f>IF(IF(ISNA(計算結果!K203),"",計算結果!K203)=0,"",IF(ISNA(計算結果!K203),"",計算結果!K203))</f>
        <v/>
      </c>
      <c r="L203" s="13" t="str">
        <f>IF(IF(ISNA(計算結果!L203),"",計算結果!L203)=0,"",IF(ISNA(計算結果!L203),"",計算結果!L203))</f>
        <v/>
      </c>
      <c r="M203" s="10" t="str">
        <f>IF(IF(ISNA(計算結果!M203),"",計算結果!M203)=0,"",IF(ISNA(計算結果!M203),"",計算結果!M203))</f>
        <v/>
      </c>
      <c r="N203" s="10" t="str">
        <f>IF(IF(ISNA(計算結果!N203),"",計算結果!N203)=0,"",IF(ISNA(計算結果!N203),"",計算結果!N203))</f>
        <v/>
      </c>
      <c r="O203" s="13" t="str">
        <f>IF(IF(ISNA(計算結果!O203),"",計算結果!O203)=0,"",IF(ISNA(計算結果!O203),"",計算結果!O203))</f>
        <v/>
      </c>
      <c r="P203" s="10" t="str">
        <f>IF(IF(ISNA(計算結果!P203),"",計算結果!P203)=0,"",IF(ISNA(計算結果!P203),"",計算結果!P203))</f>
        <v/>
      </c>
      <c r="Q203" s="10" t="str">
        <f>IF(IF(ISNA(計算結果!Q203),"",計算結果!Q203)=0,"",IF(ISNA(計算結果!Q203),"",計算結果!Q203))</f>
        <v/>
      </c>
      <c r="R203" s="14" t="str">
        <f t="shared" si="9"/>
        <v/>
      </c>
      <c r="S203" s="14" t="str">
        <f t="shared" si="10"/>
        <v>◯</v>
      </c>
      <c r="T203" s="14" t="str">
        <f t="shared" si="11"/>
        <v/>
      </c>
    </row>
    <row r="204" spans="1:20" hidden="1" x14ac:dyDescent="0.45">
      <c r="A204" s="10" t="str">
        <f>IF(IF(ISNA(計算結果!A204),"",計算結果!A204)=0,"",IF(ISNA(計算結果!A204),"",計算結果!A204))</f>
        <v/>
      </c>
      <c r="B204" s="10" t="str">
        <f>IF(IF(ISNA(計算結果!B204),"",計算結果!B204)=0,"",IF(ISNA(計算結果!B204),"",計算結果!B204))</f>
        <v/>
      </c>
      <c r="C204" s="10" t="str">
        <f>IF(IF(ISNA(計算結果!C204),"",計算結果!C204)=0,"",IF(ISNA(計算結果!C204),"",計算結果!C204))</f>
        <v/>
      </c>
      <c r="D204" s="10" t="str">
        <f>IF(IF(ISNA(計算結果!D204),"",計算結果!D204)=0,"",IF(ISNA(計算結果!D204),"",計算結果!D204))</f>
        <v>L</v>
      </c>
      <c r="E204" s="10" t="str">
        <f>IF(IF(ISNA(計算結果!E204),"",計算結果!E204)=0,"",IF(ISNA(計算結果!E204),"",計算結果!E204))</f>
        <v/>
      </c>
      <c r="F204" s="10" t="str">
        <f>IF(IF(ISNA(計算結果!F204),"",計算結果!F204)=0,"",IF(ISNA(計算結果!F204),"",計算結果!F204))</f>
        <v/>
      </c>
      <c r="G204" s="10" t="str">
        <f>IF(IF(ISNA(計算結果!G204),"",計算結果!G204)=0,"",IF(ISNA(計算結果!G204),"",計算結果!G204))</f>
        <v/>
      </c>
      <c r="H204" s="13">
        <f>IF(IF(ISNA(計算結果!H204),"",計算結果!H204)=0,"",IF(ISNA(計算結果!H204),"",計算結果!H204))</f>
        <v>-2</v>
      </c>
      <c r="I204" s="12" t="str">
        <f>IF(IF(ISNA(計算結果!I204),"",計算結果!I204)=0,"",IF(ISNA(計算結果!I204),"",計算結果!I204))</f>
        <v/>
      </c>
      <c r="J204" s="12" t="str">
        <f>IF(IF(ISNA(計算結果!J204),"",計算結果!J204)=0,"",IF(ISNA(計算結果!J204),"",計算結果!J204))</f>
        <v/>
      </c>
      <c r="K204" s="23" t="str">
        <f>IF(IF(ISNA(計算結果!K204),"",計算結果!K204)=0,"",IF(ISNA(計算結果!K204),"",計算結果!K204))</f>
        <v/>
      </c>
      <c r="L204" s="13" t="str">
        <f>IF(IF(ISNA(計算結果!L204),"",計算結果!L204)=0,"",IF(ISNA(計算結果!L204),"",計算結果!L204))</f>
        <v/>
      </c>
      <c r="M204" s="10" t="str">
        <f>IF(IF(ISNA(計算結果!M204),"",計算結果!M204)=0,"",IF(ISNA(計算結果!M204),"",計算結果!M204))</f>
        <v/>
      </c>
      <c r="N204" s="10" t="str">
        <f>IF(IF(ISNA(計算結果!N204),"",計算結果!N204)=0,"",IF(ISNA(計算結果!N204),"",計算結果!N204))</f>
        <v/>
      </c>
      <c r="O204" s="13" t="str">
        <f>IF(IF(ISNA(計算結果!O204),"",計算結果!O204)=0,"",IF(ISNA(計算結果!O204),"",計算結果!O204))</f>
        <v/>
      </c>
      <c r="P204" s="10" t="str">
        <f>IF(IF(ISNA(計算結果!P204),"",計算結果!P204)=0,"",IF(ISNA(計算結果!P204),"",計算結果!P204))</f>
        <v/>
      </c>
      <c r="Q204" s="10" t="str">
        <f>IF(IF(ISNA(計算結果!Q204),"",計算結果!Q204)=0,"",IF(ISNA(計算結果!Q204),"",計算結果!Q204))</f>
        <v/>
      </c>
      <c r="R204" s="14" t="str">
        <f t="shared" si="9"/>
        <v/>
      </c>
      <c r="S204" s="14" t="str">
        <f t="shared" si="10"/>
        <v>◯</v>
      </c>
      <c r="T204" s="14" t="str">
        <f t="shared" si="11"/>
        <v/>
      </c>
    </row>
    <row r="205" spans="1:20" hidden="1" x14ac:dyDescent="0.45">
      <c r="A205" s="10" t="str">
        <f>IF(IF(ISNA(計算結果!A205),"",計算結果!A205)=0,"",IF(ISNA(計算結果!A205),"",計算結果!A205))</f>
        <v/>
      </c>
      <c r="B205" s="10" t="str">
        <f>IF(IF(ISNA(計算結果!B205),"",計算結果!B205)=0,"",IF(ISNA(計算結果!B205),"",計算結果!B205))</f>
        <v/>
      </c>
      <c r="C205" s="10" t="str">
        <f>IF(IF(ISNA(計算結果!C205),"",計算結果!C205)=0,"",IF(ISNA(計算結果!C205),"",計算結果!C205))</f>
        <v/>
      </c>
      <c r="D205" s="10" t="str">
        <f>IF(IF(ISNA(計算結果!D205),"",計算結果!D205)=0,"",IF(ISNA(計算結果!D205),"",計算結果!D205))</f>
        <v>L</v>
      </c>
      <c r="E205" s="10" t="str">
        <f>IF(IF(ISNA(計算結果!E205),"",計算結果!E205)=0,"",IF(ISNA(計算結果!E205),"",計算結果!E205))</f>
        <v/>
      </c>
      <c r="F205" s="10" t="str">
        <f>IF(IF(ISNA(計算結果!F205),"",計算結果!F205)=0,"",IF(ISNA(計算結果!F205),"",計算結果!F205))</f>
        <v/>
      </c>
      <c r="G205" s="10" t="str">
        <f>IF(IF(ISNA(計算結果!G205),"",計算結果!G205)=0,"",IF(ISNA(計算結果!G205),"",計算結果!G205))</f>
        <v/>
      </c>
      <c r="H205" s="13">
        <f>IF(IF(ISNA(計算結果!H205),"",計算結果!H205)=0,"",IF(ISNA(計算結果!H205),"",計算結果!H205))</f>
        <v>-2</v>
      </c>
      <c r="I205" s="12" t="str">
        <f>IF(IF(ISNA(計算結果!I205),"",計算結果!I205)=0,"",IF(ISNA(計算結果!I205),"",計算結果!I205))</f>
        <v/>
      </c>
      <c r="J205" s="12" t="str">
        <f>IF(IF(ISNA(計算結果!J205),"",計算結果!J205)=0,"",IF(ISNA(計算結果!J205),"",計算結果!J205))</f>
        <v/>
      </c>
      <c r="K205" s="23" t="str">
        <f>IF(IF(ISNA(計算結果!K205),"",計算結果!K205)=0,"",IF(ISNA(計算結果!K205),"",計算結果!K205))</f>
        <v/>
      </c>
      <c r="L205" s="13" t="str">
        <f>IF(IF(ISNA(計算結果!L205),"",計算結果!L205)=0,"",IF(ISNA(計算結果!L205),"",計算結果!L205))</f>
        <v/>
      </c>
      <c r="M205" s="10" t="str">
        <f>IF(IF(ISNA(計算結果!M205),"",計算結果!M205)=0,"",IF(ISNA(計算結果!M205),"",計算結果!M205))</f>
        <v/>
      </c>
      <c r="N205" s="10" t="str">
        <f>IF(IF(ISNA(計算結果!N205),"",計算結果!N205)=0,"",IF(ISNA(計算結果!N205),"",計算結果!N205))</f>
        <v/>
      </c>
      <c r="O205" s="13" t="str">
        <f>IF(IF(ISNA(計算結果!O205),"",計算結果!O205)=0,"",IF(ISNA(計算結果!O205),"",計算結果!O205))</f>
        <v/>
      </c>
      <c r="P205" s="10" t="str">
        <f>IF(IF(ISNA(計算結果!P205),"",計算結果!P205)=0,"",IF(ISNA(計算結果!P205),"",計算結果!P205))</f>
        <v/>
      </c>
      <c r="Q205" s="10" t="str">
        <f>IF(IF(ISNA(計算結果!Q205),"",計算結果!Q205)=0,"",IF(ISNA(計算結果!Q205),"",計算結果!Q205))</f>
        <v/>
      </c>
      <c r="R205" s="14" t="str">
        <f t="shared" si="9"/>
        <v/>
      </c>
      <c r="S205" s="14" t="str">
        <f t="shared" si="10"/>
        <v>◯</v>
      </c>
      <c r="T205" s="14" t="str">
        <f t="shared" si="11"/>
        <v/>
      </c>
    </row>
    <row r="206" spans="1:20" hidden="1" x14ac:dyDescent="0.45">
      <c r="A206" s="10" t="str">
        <f>IF(IF(ISNA(計算結果!A206),"",計算結果!A206)=0,"",IF(ISNA(計算結果!A206),"",計算結果!A206))</f>
        <v/>
      </c>
      <c r="B206" s="10" t="str">
        <f>IF(IF(ISNA(計算結果!B206),"",計算結果!B206)=0,"",IF(ISNA(計算結果!B206),"",計算結果!B206))</f>
        <v/>
      </c>
      <c r="C206" s="10" t="str">
        <f>IF(IF(ISNA(計算結果!C206),"",計算結果!C206)=0,"",IF(ISNA(計算結果!C206),"",計算結果!C206))</f>
        <v/>
      </c>
      <c r="D206" s="10" t="str">
        <f>IF(IF(ISNA(計算結果!D206),"",計算結果!D206)=0,"",IF(ISNA(計算結果!D206),"",計算結果!D206))</f>
        <v>L</v>
      </c>
      <c r="E206" s="10" t="str">
        <f>IF(IF(ISNA(計算結果!E206),"",計算結果!E206)=0,"",IF(ISNA(計算結果!E206),"",計算結果!E206))</f>
        <v/>
      </c>
      <c r="F206" s="10" t="str">
        <f>IF(IF(ISNA(計算結果!F206),"",計算結果!F206)=0,"",IF(ISNA(計算結果!F206),"",計算結果!F206))</f>
        <v/>
      </c>
      <c r="G206" s="10" t="str">
        <f>IF(IF(ISNA(計算結果!G206),"",計算結果!G206)=0,"",IF(ISNA(計算結果!G206),"",計算結果!G206))</f>
        <v/>
      </c>
      <c r="H206" s="13">
        <f>IF(IF(ISNA(計算結果!H206),"",計算結果!H206)=0,"",IF(ISNA(計算結果!H206),"",計算結果!H206))</f>
        <v>-2</v>
      </c>
      <c r="I206" s="12" t="str">
        <f>IF(IF(ISNA(計算結果!I206),"",計算結果!I206)=0,"",IF(ISNA(計算結果!I206),"",計算結果!I206))</f>
        <v/>
      </c>
      <c r="J206" s="12" t="str">
        <f>IF(IF(ISNA(計算結果!J206),"",計算結果!J206)=0,"",IF(ISNA(計算結果!J206),"",計算結果!J206))</f>
        <v/>
      </c>
      <c r="K206" s="23" t="str">
        <f>IF(IF(ISNA(計算結果!K206),"",計算結果!K206)=0,"",IF(ISNA(計算結果!K206),"",計算結果!K206))</f>
        <v/>
      </c>
      <c r="L206" s="13" t="str">
        <f>IF(IF(ISNA(計算結果!L206),"",計算結果!L206)=0,"",IF(ISNA(計算結果!L206),"",計算結果!L206))</f>
        <v/>
      </c>
      <c r="M206" s="10" t="str">
        <f>IF(IF(ISNA(計算結果!M206),"",計算結果!M206)=0,"",IF(ISNA(計算結果!M206),"",計算結果!M206))</f>
        <v/>
      </c>
      <c r="N206" s="10" t="str">
        <f>IF(IF(ISNA(計算結果!N206),"",計算結果!N206)=0,"",IF(ISNA(計算結果!N206),"",計算結果!N206))</f>
        <v/>
      </c>
      <c r="O206" s="13" t="str">
        <f>IF(IF(ISNA(計算結果!O206),"",計算結果!O206)=0,"",IF(ISNA(計算結果!O206),"",計算結果!O206))</f>
        <v/>
      </c>
      <c r="P206" s="10" t="str">
        <f>IF(IF(ISNA(計算結果!P206),"",計算結果!P206)=0,"",IF(ISNA(計算結果!P206),"",計算結果!P206))</f>
        <v/>
      </c>
      <c r="Q206" s="10" t="str">
        <f>IF(IF(ISNA(計算結果!Q206),"",計算結果!Q206)=0,"",IF(ISNA(計算結果!Q206),"",計算結果!Q206))</f>
        <v/>
      </c>
      <c r="R206" s="14" t="str">
        <f t="shared" si="9"/>
        <v/>
      </c>
      <c r="S206" s="14" t="str">
        <f t="shared" si="10"/>
        <v>◯</v>
      </c>
      <c r="T206" s="14" t="str">
        <f t="shared" si="11"/>
        <v/>
      </c>
    </row>
    <row r="207" spans="1:20" hidden="1" x14ac:dyDescent="0.45">
      <c r="A207" s="10" t="str">
        <f>IF(IF(ISNA(計算結果!A207),"",計算結果!A207)=0,"",IF(ISNA(計算結果!A207),"",計算結果!A207))</f>
        <v/>
      </c>
      <c r="B207" s="10" t="str">
        <f>IF(IF(ISNA(計算結果!B207),"",計算結果!B207)=0,"",IF(ISNA(計算結果!B207),"",計算結果!B207))</f>
        <v/>
      </c>
      <c r="C207" s="10" t="str">
        <f>IF(IF(ISNA(計算結果!C207),"",計算結果!C207)=0,"",IF(ISNA(計算結果!C207),"",計算結果!C207))</f>
        <v/>
      </c>
      <c r="D207" s="10" t="str">
        <f>IF(IF(ISNA(計算結果!D207),"",計算結果!D207)=0,"",IF(ISNA(計算結果!D207),"",計算結果!D207))</f>
        <v>L</v>
      </c>
      <c r="E207" s="10" t="str">
        <f>IF(IF(ISNA(計算結果!E207),"",計算結果!E207)=0,"",IF(ISNA(計算結果!E207),"",計算結果!E207))</f>
        <v/>
      </c>
      <c r="F207" s="10" t="str">
        <f>IF(IF(ISNA(計算結果!F207),"",計算結果!F207)=0,"",IF(ISNA(計算結果!F207),"",計算結果!F207))</f>
        <v/>
      </c>
      <c r="G207" s="10" t="str">
        <f>IF(IF(ISNA(計算結果!G207),"",計算結果!G207)=0,"",IF(ISNA(計算結果!G207),"",計算結果!G207))</f>
        <v/>
      </c>
      <c r="H207" s="13">
        <f>IF(IF(ISNA(計算結果!H207),"",計算結果!H207)=0,"",IF(ISNA(計算結果!H207),"",計算結果!H207))</f>
        <v>-2</v>
      </c>
      <c r="I207" s="12" t="str">
        <f>IF(IF(ISNA(計算結果!I207),"",計算結果!I207)=0,"",IF(ISNA(計算結果!I207),"",計算結果!I207))</f>
        <v/>
      </c>
      <c r="J207" s="12" t="str">
        <f>IF(IF(ISNA(計算結果!J207),"",計算結果!J207)=0,"",IF(ISNA(計算結果!J207),"",計算結果!J207))</f>
        <v/>
      </c>
      <c r="K207" s="23" t="str">
        <f>IF(IF(ISNA(計算結果!K207),"",計算結果!K207)=0,"",IF(ISNA(計算結果!K207),"",計算結果!K207))</f>
        <v/>
      </c>
      <c r="L207" s="13" t="str">
        <f>IF(IF(ISNA(計算結果!L207),"",計算結果!L207)=0,"",IF(ISNA(計算結果!L207),"",計算結果!L207))</f>
        <v/>
      </c>
      <c r="M207" s="10" t="str">
        <f>IF(IF(ISNA(計算結果!M207),"",計算結果!M207)=0,"",IF(ISNA(計算結果!M207),"",計算結果!M207))</f>
        <v/>
      </c>
      <c r="N207" s="10" t="str">
        <f>IF(IF(ISNA(計算結果!N207),"",計算結果!N207)=0,"",IF(ISNA(計算結果!N207),"",計算結果!N207))</f>
        <v/>
      </c>
      <c r="O207" s="13" t="str">
        <f>IF(IF(ISNA(計算結果!O207),"",計算結果!O207)=0,"",IF(ISNA(計算結果!O207),"",計算結果!O207))</f>
        <v/>
      </c>
      <c r="P207" s="10" t="str">
        <f>IF(IF(ISNA(計算結果!P207),"",計算結果!P207)=0,"",IF(ISNA(計算結果!P207),"",計算結果!P207))</f>
        <v/>
      </c>
      <c r="Q207" s="10" t="str">
        <f>IF(IF(ISNA(計算結果!Q207),"",計算結果!Q207)=0,"",IF(ISNA(計算結果!Q207),"",計算結果!Q207))</f>
        <v/>
      </c>
      <c r="R207" s="14" t="str">
        <f t="shared" si="9"/>
        <v/>
      </c>
      <c r="S207" s="14" t="str">
        <f t="shared" si="10"/>
        <v>◯</v>
      </c>
      <c r="T207" s="14" t="str">
        <f t="shared" si="11"/>
        <v/>
      </c>
    </row>
    <row r="208" spans="1:20" hidden="1" x14ac:dyDescent="0.45">
      <c r="A208" s="10" t="str">
        <f>IF(IF(ISNA(計算結果!A208),"",計算結果!A208)=0,"",IF(ISNA(計算結果!A208),"",計算結果!A208))</f>
        <v/>
      </c>
      <c r="B208" s="10" t="str">
        <f>IF(IF(ISNA(計算結果!B208),"",計算結果!B208)=0,"",IF(ISNA(計算結果!B208),"",計算結果!B208))</f>
        <v/>
      </c>
      <c r="C208" s="10" t="str">
        <f>IF(IF(ISNA(計算結果!C208),"",計算結果!C208)=0,"",IF(ISNA(計算結果!C208),"",計算結果!C208))</f>
        <v/>
      </c>
      <c r="D208" s="10" t="str">
        <f>IF(IF(ISNA(計算結果!D208),"",計算結果!D208)=0,"",IF(ISNA(計算結果!D208),"",計算結果!D208))</f>
        <v>L</v>
      </c>
      <c r="E208" s="10" t="str">
        <f>IF(IF(ISNA(計算結果!E208),"",計算結果!E208)=0,"",IF(ISNA(計算結果!E208),"",計算結果!E208))</f>
        <v/>
      </c>
      <c r="F208" s="10" t="str">
        <f>IF(IF(ISNA(計算結果!F208),"",計算結果!F208)=0,"",IF(ISNA(計算結果!F208),"",計算結果!F208))</f>
        <v/>
      </c>
      <c r="G208" s="10" t="str">
        <f>IF(IF(ISNA(計算結果!G208),"",計算結果!G208)=0,"",IF(ISNA(計算結果!G208),"",計算結果!G208))</f>
        <v/>
      </c>
      <c r="H208" s="13">
        <f>IF(IF(ISNA(計算結果!H208),"",計算結果!H208)=0,"",IF(ISNA(計算結果!H208),"",計算結果!H208))</f>
        <v>-2</v>
      </c>
      <c r="I208" s="12" t="str">
        <f>IF(IF(ISNA(計算結果!I208),"",計算結果!I208)=0,"",IF(ISNA(計算結果!I208),"",計算結果!I208))</f>
        <v/>
      </c>
      <c r="J208" s="12" t="str">
        <f>IF(IF(ISNA(計算結果!J208),"",計算結果!J208)=0,"",IF(ISNA(計算結果!J208),"",計算結果!J208))</f>
        <v/>
      </c>
      <c r="K208" s="23" t="str">
        <f>IF(IF(ISNA(計算結果!K208),"",計算結果!K208)=0,"",IF(ISNA(計算結果!K208),"",計算結果!K208))</f>
        <v/>
      </c>
      <c r="L208" s="13" t="str">
        <f>IF(IF(ISNA(計算結果!L208),"",計算結果!L208)=0,"",IF(ISNA(計算結果!L208),"",計算結果!L208))</f>
        <v/>
      </c>
      <c r="M208" s="10" t="str">
        <f>IF(IF(ISNA(計算結果!M208),"",計算結果!M208)=0,"",IF(ISNA(計算結果!M208),"",計算結果!M208))</f>
        <v/>
      </c>
      <c r="N208" s="10" t="str">
        <f>IF(IF(ISNA(計算結果!N208),"",計算結果!N208)=0,"",IF(ISNA(計算結果!N208),"",計算結果!N208))</f>
        <v/>
      </c>
      <c r="O208" s="13" t="str">
        <f>IF(IF(ISNA(計算結果!O208),"",計算結果!O208)=0,"",IF(ISNA(計算結果!O208),"",計算結果!O208))</f>
        <v/>
      </c>
      <c r="P208" s="10" t="str">
        <f>IF(IF(ISNA(計算結果!P208),"",計算結果!P208)=0,"",IF(ISNA(計算結果!P208),"",計算結果!P208))</f>
        <v/>
      </c>
      <c r="Q208" s="10" t="str">
        <f>IF(IF(ISNA(計算結果!Q208),"",計算結果!Q208)=0,"",IF(ISNA(計算結果!Q208),"",計算結果!Q208))</f>
        <v/>
      </c>
      <c r="R208" s="14" t="str">
        <f t="shared" si="9"/>
        <v/>
      </c>
      <c r="S208" s="14" t="str">
        <f t="shared" si="10"/>
        <v>◯</v>
      </c>
      <c r="T208" s="14" t="str">
        <f t="shared" si="11"/>
        <v/>
      </c>
    </row>
    <row r="209" spans="1:20" hidden="1" x14ac:dyDescent="0.45">
      <c r="A209" s="10" t="str">
        <f>IF(IF(ISNA(計算結果!A209),"",計算結果!A209)=0,"",IF(ISNA(計算結果!A209),"",計算結果!A209))</f>
        <v/>
      </c>
      <c r="B209" s="10" t="str">
        <f>IF(IF(ISNA(計算結果!B209),"",計算結果!B209)=0,"",IF(ISNA(計算結果!B209),"",計算結果!B209))</f>
        <v/>
      </c>
      <c r="C209" s="10" t="str">
        <f>IF(IF(ISNA(計算結果!C209),"",計算結果!C209)=0,"",IF(ISNA(計算結果!C209),"",計算結果!C209))</f>
        <v/>
      </c>
      <c r="D209" s="10" t="str">
        <f>IF(IF(ISNA(計算結果!D209),"",計算結果!D209)=0,"",IF(ISNA(計算結果!D209),"",計算結果!D209))</f>
        <v>L</v>
      </c>
      <c r="E209" s="10" t="str">
        <f>IF(IF(ISNA(計算結果!E209),"",計算結果!E209)=0,"",IF(ISNA(計算結果!E209),"",計算結果!E209))</f>
        <v/>
      </c>
      <c r="F209" s="10" t="str">
        <f>IF(IF(ISNA(計算結果!F209),"",計算結果!F209)=0,"",IF(ISNA(計算結果!F209),"",計算結果!F209))</f>
        <v/>
      </c>
      <c r="G209" s="10" t="str">
        <f>IF(IF(ISNA(計算結果!G209),"",計算結果!G209)=0,"",IF(ISNA(計算結果!G209),"",計算結果!G209))</f>
        <v/>
      </c>
      <c r="H209" s="13">
        <f>IF(IF(ISNA(計算結果!H209),"",計算結果!H209)=0,"",IF(ISNA(計算結果!H209),"",計算結果!H209))</f>
        <v>-2</v>
      </c>
      <c r="I209" s="12" t="str">
        <f>IF(IF(ISNA(計算結果!I209),"",計算結果!I209)=0,"",IF(ISNA(計算結果!I209),"",計算結果!I209))</f>
        <v/>
      </c>
      <c r="J209" s="12" t="str">
        <f>IF(IF(ISNA(計算結果!J209),"",計算結果!J209)=0,"",IF(ISNA(計算結果!J209),"",計算結果!J209))</f>
        <v/>
      </c>
      <c r="K209" s="23" t="str">
        <f>IF(IF(ISNA(計算結果!K209),"",計算結果!K209)=0,"",IF(ISNA(計算結果!K209),"",計算結果!K209))</f>
        <v/>
      </c>
      <c r="L209" s="13" t="str">
        <f>IF(IF(ISNA(計算結果!L209),"",計算結果!L209)=0,"",IF(ISNA(計算結果!L209),"",計算結果!L209))</f>
        <v/>
      </c>
      <c r="M209" s="10" t="str">
        <f>IF(IF(ISNA(計算結果!M209),"",計算結果!M209)=0,"",IF(ISNA(計算結果!M209),"",計算結果!M209))</f>
        <v/>
      </c>
      <c r="N209" s="10" t="str">
        <f>IF(IF(ISNA(計算結果!N209),"",計算結果!N209)=0,"",IF(ISNA(計算結果!N209),"",計算結果!N209))</f>
        <v/>
      </c>
      <c r="O209" s="13" t="str">
        <f>IF(IF(ISNA(計算結果!O209),"",計算結果!O209)=0,"",IF(ISNA(計算結果!O209),"",計算結果!O209))</f>
        <v/>
      </c>
      <c r="P209" s="10" t="str">
        <f>IF(IF(ISNA(計算結果!P209),"",計算結果!P209)=0,"",IF(ISNA(計算結果!P209),"",計算結果!P209))</f>
        <v/>
      </c>
      <c r="Q209" s="10" t="str">
        <f>IF(IF(ISNA(計算結果!Q209),"",計算結果!Q209)=0,"",IF(ISNA(計算結果!Q209),"",計算結果!Q209))</f>
        <v/>
      </c>
      <c r="R209" s="14" t="str">
        <f t="shared" si="9"/>
        <v/>
      </c>
      <c r="S209" s="14" t="str">
        <f t="shared" si="10"/>
        <v>◯</v>
      </c>
      <c r="T209" s="14" t="str">
        <f t="shared" si="11"/>
        <v/>
      </c>
    </row>
    <row r="210" spans="1:20" hidden="1" x14ac:dyDescent="0.45">
      <c r="A210" s="10" t="str">
        <f>IF(IF(ISNA(計算結果!A210),"",計算結果!A210)=0,"",IF(ISNA(計算結果!A210),"",計算結果!A210))</f>
        <v/>
      </c>
      <c r="B210" s="10" t="str">
        <f>IF(IF(ISNA(計算結果!B210),"",計算結果!B210)=0,"",IF(ISNA(計算結果!B210),"",計算結果!B210))</f>
        <v/>
      </c>
      <c r="C210" s="10" t="str">
        <f>IF(IF(ISNA(計算結果!C210),"",計算結果!C210)=0,"",IF(ISNA(計算結果!C210),"",計算結果!C210))</f>
        <v/>
      </c>
      <c r="D210" s="10" t="str">
        <f>IF(IF(ISNA(計算結果!D210),"",計算結果!D210)=0,"",IF(ISNA(計算結果!D210),"",計算結果!D210))</f>
        <v>L</v>
      </c>
      <c r="E210" s="10" t="str">
        <f>IF(IF(ISNA(計算結果!E210),"",計算結果!E210)=0,"",IF(ISNA(計算結果!E210),"",計算結果!E210))</f>
        <v/>
      </c>
      <c r="F210" s="10" t="str">
        <f>IF(IF(ISNA(計算結果!F210),"",計算結果!F210)=0,"",IF(ISNA(計算結果!F210),"",計算結果!F210))</f>
        <v/>
      </c>
      <c r="G210" s="10" t="str">
        <f>IF(IF(ISNA(計算結果!G210),"",計算結果!G210)=0,"",IF(ISNA(計算結果!G210),"",計算結果!G210))</f>
        <v/>
      </c>
      <c r="H210" s="13">
        <f>IF(IF(ISNA(計算結果!H210),"",計算結果!H210)=0,"",IF(ISNA(計算結果!H210),"",計算結果!H210))</f>
        <v>-2</v>
      </c>
      <c r="I210" s="12" t="str">
        <f>IF(IF(ISNA(計算結果!I210),"",計算結果!I210)=0,"",IF(ISNA(計算結果!I210),"",計算結果!I210))</f>
        <v/>
      </c>
      <c r="J210" s="12" t="str">
        <f>IF(IF(ISNA(計算結果!J210),"",計算結果!J210)=0,"",IF(ISNA(計算結果!J210),"",計算結果!J210))</f>
        <v/>
      </c>
      <c r="K210" s="23" t="str">
        <f>IF(IF(ISNA(計算結果!K210),"",計算結果!K210)=0,"",IF(ISNA(計算結果!K210),"",計算結果!K210))</f>
        <v/>
      </c>
      <c r="L210" s="13" t="str">
        <f>IF(IF(ISNA(計算結果!L210),"",計算結果!L210)=0,"",IF(ISNA(計算結果!L210),"",計算結果!L210))</f>
        <v/>
      </c>
      <c r="M210" s="10" t="str">
        <f>IF(IF(ISNA(計算結果!M210),"",計算結果!M210)=0,"",IF(ISNA(計算結果!M210),"",計算結果!M210))</f>
        <v/>
      </c>
      <c r="N210" s="10" t="str">
        <f>IF(IF(ISNA(計算結果!N210),"",計算結果!N210)=0,"",IF(ISNA(計算結果!N210),"",計算結果!N210))</f>
        <v/>
      </c>
      <c r="O210" s="13" t="str">
        <f>IF(IF(ISNA(計算結果!O210),"",計算結果!O210)=0,"",IF(ISNA(計算結果!O210),"",計算結果!O210))</f>
        <v/>
      </c>
      <c r="P210" s="10" t="str">
        <f>IF(IF(ISNA(計算結果!P210),"",計算結果!P210)=0,"",IF(ISNA(計算結果!P210),"",計算結果!P210))</f>
        <v/>
      </c>
      <c r="Q210" s="10" t="str">
        <f>IF(IF(ISNA(計算結果!Q210),"",計算結果!Q210)=0,"",IF(ISNA(計算結果!Q210),"",計算結果!Q210))</f>
        <v/>
      </c>
      <c r="R210" s="14" t="str">
        <f t="shared" si="9"/>
        <v/>
      </c>
      <c r="S210" s="14" t="str">
        <f t="shared" si="10"/>
        <v>◯</v>
      </c>
      <c r="T210" s="14" t="str">
        <f t="shared" si="11"/>
        <v/>
      </c>
    </row>
    <row r="211" spans="1:20" hidden="1" x14ac:dyDescent="0.45">
      <c r="A211" s="10" t="str">
        <f>IF(IF(ISNA(計算結果!A211),"",計算結果!A211)=0,"",IF(ISNA(計算結果!A211),"",計算結果!A211))</f>
        <v/>
      </c>
      <c r="B211" s="10" t="str">
        <f>IF(IF(ISNA(計算結果!B211),"",計算結果!B211)=0,"",IF(ISNA(計算結果!B211),"",計算結果!B211))</f>
        <v/>
      </c>
      <c r="C211" s="10" t="str">
        <f>IF(IF(ISNA(計算結果!C211),"",計算結果!C211)=0,"",IF(ISNA(計算結果!C211),"",計算結果!C211))</f>
        <v/>
      </c>
      <c r="D211" s="10" t="str">
        <f>IF(IF(ISNA(計算結果!D211),"",計算結果!D211)=0,"",IF(ISNA(計算結果!D211),"",計算結果!D211))</f>
        <v>L</v>
      </c>
      <c r="E211" s="10" t="str">
        <f>IF(IF(ISNA(計算結果!E211),"",計算結果!E211)=0,"",IF(ISNA(計算結果!E211),"",計算結果!E211))</f>
        <v/>
      </c>
      <c r="F211" s="10" t="str">
        <f>IF(IF(ISNA(計算結果!F211),"",計算結果!F211)=0,"",IF(ISNA(計算結果!F211),"",計算結果!F211))</f>
        <v/>
      </c>
      <c r="G211" s="10" t="str">
        <f>IF(IF(ISNA(計算結果!G211),"",計算結果!G211)=0,"",IF(ISNA(計算結果!G211),"",計算結果!G211))</f>
        <v/>
      </c>
      <c r="H211" s="13">
        <f>IF(IF(ISNA(計算結果!H211),"",計算結果!H211)=0,"",IF(ISNA(計算結果!H211),"",計算結果!H211))</f>
        <v>-2</v>
      </c>
      <c r="I211" s="12" t="str">
        <f>IF(IF(ISNA(計算結果!I211),"",計算結果!I211)=0,"",IF(ISNA(計算結果!I211),"",計算結果!I211))</f>
        <v/>
      </c>
      <c r="J211" s="12" t="str">
        <f>IF(IF(ISNA(計算結果!J211),"",計算結果!J211)=0,"",IF(ISNA(計算結果!J211),"",計算結果!J211))</f>
        <v/>
      </c>
      <c r="K211" s="23" t="str">
        <f>IF(IF(ISNA(計算結果!K211),"",計算結果!K211)=0,"",IF(ISNA(計算結果!K211),"",計算結果!K211))</f>
        <v/>
      </c>
      <c r="L211" s="13" t="str">
        <f>IF(IF(ISNA(計算結果!L211),"",計算結果!L211)=0,"",IF(ISNA(計算結果!L211),"",計算結果!L211))</f>
        <v/>
      </c>
      <c r="M211" s="10" t="str">
        <f>IF(IF(ISNA(計算結果!M211),"",計算結果!M211)=0,"",IF(ISNA(計算結果!M211),"",計算結果!M211))</f>
        <v/>
      </c>
      <c r="N211" s="10" t="str">
        <f>IF(IF(ISNA(計算結果!N211),"",計算結果!N211)=0,"",IF(ISNA(計算結果!N211),"",計算結果!N211))</f>
        <v/>
      </c>
      <c r="O211" s="13" t="str">
        <f>IF(IF(ISNA(計算結果!O211),"",計算結果!O211)=0,"",IF(ISNA(計算結果!O211),"",計算結果!O211))</f>
        <v/>
      </c>
      <c r="P211" s="10" t="str">
        <f>IF(IF(ISNA(計算結果!P211),"",計算結果!P211)=0,"",IF(ISNA(計算結果!P211),"",計算結果!P211))</f>
        <v/>
      </c>
      <c r="Q211" s="10" t="str">
        <f>IF(IF(ISNA(計算結果!Q211),"",計算結果!Q211)=0,"",IF(ISNA(計算結果!Q211),"",計算結果!Q211))</f>
        <v/>
      </c>
      <c r="R211" s="14" t="str">
        <f t="shared" si="9"/>
        <v/>
      </c>
      <c r="S211" s="14" t="str">
        <f t="shared" si="10"/>
        <v>◯</v>
      </c>
      <c r="T211" s="14" t="str">
        <f t="shared" si="11"/>
        <v/>
      </c>
    </row>
    <row r="212" spans="1:20" hidden="1" x14ac:dyDescent="0.45">
      <c r="A212" s="10" t="str">
        <f>IF(IF(ISNA(計算結果!A212),"",計算結果!A212)=0,"",IF(ISNA(計算結果!A212),"",計算結果!A212))</f>
        <v/>
      </c>
      <c r="B212" s="10" t="str">
        <f>IF(IF(ISNA(計算結果!B212),"",計算結果!B212)=0,"",IF(ISNA(計算結果!B212),"",計算結果!B212))</f>
        <v/>
      </c>
      <c r="C212" s="10" t="str">
        <f>IF(IF(ISNA(計算結果!C212),"",計算結果!C212)=0,"",IF(ISNA(計算結果!C212),"",計算結果!C212))</f>
        <v/>
      </c>
      <c r="D212" s="10" t="str">
        <f>IF(IF(ISNA(計算結果!D212),"",計算結果!D212)=0,"",IF(ISNA(計算結果!D212),"",計算結果!D212))</f>
        <v>L</v>
      </c>
      <c r="E212" s="10" t="str">
        <f>IF(IF(ISNA(計算結果!E212),"",計算結果!E212)=0,"",IF(ISNA(計算結果!E212),"",計算結果!E212))</f>
        <v/>
      </c>
      <c r="F212" s="10" t="str">
        <f>IF(IF(ISNA(計算結果!F212),"",計算結果!F212)=0,"",IF(ISNA(計算結果!F212),"",計算結果!F212))</f>
        <v/>
      </c>
      <c r="G212" s="10" t="str">
        <f>IF(IF(ISNA(計算結果!G212),"",計算結果!G212)=0,"",IF(ISNA(計算結果!G212),"",計算結果!G212))</f>
        <v/>
      </c>
      <c r="H212" s="13">
        <f>IF(IF(ISNA(計算結果!H212),"",計算結果!H212)=0,"",IF(ISNA(計算結果!H212),"",計算結果!H212))</f>
        <v>-2</v>
      </c>
      <c r="I212" s="12" t="str">
        <f>IF(IF(ISNA(計算結果!I212),"",計算結果!I212)=0,"",IF(ISNA(計算結果!I212),"",計算結果!I212))</f>
        <v/>
      </c>
      <c r="J212" s="12" t="str">
        <f>IF(IF(ISNA(計算結果!J212),"",計算結果!J212)=0,"",IF(ISNA(計算結果!J212),"",計算結果!J212))</f>
        <v/>
      </c>
      <c r="K212" s="23" t="str">
        <f>IF(IF(ISNA(計算結果!K212),"",計算結果!K212)=0,"",IF(ISNA(計算結果!K212),"",計算結果!K212))</f>
        <v/>
      </c>
      <c r="L212" s="13" t="str">
        <f>IF(IF(ISNA(計算結果!L212),"",計算結果!L212)=0,"",IF(ISNA(計算結果!L212),"",計算結果!L212))</f>
        <v/>
      </c>
      <c r="M212" s="10" t="str">
        <f>IF(IF(ISNA(計算結果!M212),"",計算結果!M212)=0,"",IF(ISNA(計算結果!M212),"",計算結果!M212))</f>
        <v/>
      </c>
      <c r="N212" s="10" t="str">
        <f>IF(IF(ISNA(計算結果!N212),"",計算結果!N212)=0,"",IF(ISNA(計算結果!N212),"",計算結果!N212))</f>
        <v/>
      </c>
      <c r="O212" s="13" t="str">
        <f>IF(IF(ISNA(計算結果!O212),"",計算結果!O212)=0,"",IF(ISNA(計算結果!O212),"",計算結果!O212))</f>
        <v/>
      </c>
      <c r="P212" s="10" t="str">
        <f>IF(IF(ISNA(計算結果!P212),"",計算結果!P212)=0,"",IF(ISNA(計算結果!P212),"",計算結果!P212))</f>
        <v/>
      </c>
      <c r="Q212" s="10" t="str">
        <f>IF(IF(ISNA(計算結果!Q212),"",計算結果!Q212)=0,"",IF(ISNA(計算結果!Q212),"",計算結果!Q212))</f>
        <v/>
      </c>
      <c r="R212" s="14" t="str">
        <f t="shared" si="9"/>
        <v/>
      </c>
      <c r="S212" s="14" t="str">
        <f t="shared" si="10"/>
        <v>◯</v>
      </c>
      <c r="T212" s="14" t="str">
        <f t="shared" si="11"/>
        <v/>
      </c>
    </row>
    <row r="213" spans="1:20" hidden="1" x14ac:dyDescent="0.45">
      <c r="A213" s="10" t="str">
        <f>IF(IF(ISNA(計算結果!A213),"",計算結果!A213)=0,"",IF(ISNA(計算結果!A213),"",計算結果!A213))</f>
        <v/>
      </c>
      <c r="B213" s="10" t="str">
        <f>IF(IF(ISNA(計算結果!B213),"",計算結果!B213)=0,"",IF(ISNA(計算結果!B213),"",計算結果!B213))</f>
        <v/>
      </c>
      <c r="C213" s="10" t="str">
        <f>IF(IF(ISNA(計算結果!C213),"",計算結果!C213)=0,"",IF(ISNA(計算結果!C213),"",計算結果!C213))</f>
        <v/>
      </c>
      <c r="D213" s="10" t="str">
        <f>IF(IF(ISNA(計算結果!D213),"",計算結果!D213)=0,"",IF(ISNA(計算結果!D213),"",計算結果!D213))</f>
        <v>L</v>
      </c>
      <c r="E213" s="10" t="str">
        <f>IF(IF(ISNA(計算結果!E213),"",計算結果!E213)=0,"",IF(ISNA(計算結果!E213),"",計算結果!E213))</f>
        <v/>
      </c>
      <c r="F213" s="10" t="str">
        <f>IF(IF(ISNA(計算結果!F213),"",計算結果!F213)=0,"",IF(ISNA(計算結果!F213),"",計算結果!F213))</f>
        <v/>
      </c>
      <c r="G213" s="10" t="str">
        <f>IF(IF(ISNA(計算結果!G213),"",計算結果!G213)=0,"",IF(ISNA(計算結果!G213),"",計算結果!G213))</f>
        <v/>
      </c>
      <c r="H213" s="13">
        <f>IF(IF(ISNA(計算結果!H213),"",計算結果!H213)=0,"",IF(ISNA(計算結果!H213),"",計算結果!H213))</f>
        <v>-2</v>
      </c>
      <c r="I213" s="12" t="str">
        <f>IF(IF(ISNA(計算結果!I213),"",計算結果!I213)=0,"",IF(ISNA(計算結果!I213),"",計算結果!I213))</f>
        <v/>
      </c>
      <c r="J213" s="12" t="str">
        <f>IF(IF(ISNA(計算結果!J213),"",計算結果!J213)=0,"",IF(ISNA(計算結果!J213),"",計算結果!J213))</f>
        <v/>
      </c>
      <c r="K213" s="23" t="str">
        <f>IF(IF(ISNA(計算結果!K213),"",計算結果!K213)=0,"",IF(ISNA(計算結果!K213),"",計算結果!K213))</f>
        <v/>
      </c>
      <c r="L213" s="13" t="str">
        <f>IF(IF(ISNA(計算結果!L213),"",計算結果!L213)=0,"",IF(ISNA(計算結果!L213),"",計算結果!L213))</f>
        <v/>
      </c>
      <c r="M213" s="10" t="str">
        <f>IF(IF(ISNA(計算結果!M213),"",計算結果!M213)=0,"",IF(ISNA(計算結果!M213),"",計算結果!M213))</f>
        <v/>
      </c>
      <c r="N213" s="10" t="str">
        <f>IF(IF(ISNA(計算結果!N213),"",計算結果!N213)=0,"",IF(ISNA(計算結果!N213),"",計算結果!N213))</f>
        <v/>
      </c>
      <c r="O213" s="13" t="str">
        <f>IF(IF(ISNA(計算結果!O213),"",計算結果!O213)=0,"",IF(ISNA(計算結果!O213),"",計算結果!O213))</f>
        <v/>
      </c>
      <c r="P213" s="10" t="str">
        <f>IF(IF(ISNA(計算結果!P213),"",計算結果!P213)=0,"",IF(ISNA(計算結果!P213),"",計算結果!P213))</f>
        <v/>
      </c>
      <c r="Q213" s="10" t="str">
        <f>IF(IF(ISNA(計算結果!Q213),"",計算結果!Q213)=0,"",IF(ISNA(計算結果!Q213),"",計算結果!Q213))</f>
        <v/>
      </c>
      <c r="R213" s="14" t="str">
        <f t="shared" si="9"/>
        <v/>
      </c>
      <c r="S213" s="14" t="str">
        <f t="shared" si="10"/>
        <v>◯</v>
      </c>
      <c r="T213" s="14" t="str">
        <f t="shared" si="11"/>
        <v/>
      </c>
    </row>
    <row r="214" spans="1:20" hidden="1" x14ac:dyDescent="0.45">
      <c r="A214" s="10" t="str">
        <f>IF(IF(ISNA(計算結果!A214),"",計算結果!A214)=0,"",IF(ISNA(計算結果!A214),"",計算結果!A214))</f>
        <v/>
      </c>
      <c r="B214" s="10" t="str">
        <f>IF(IF(ISNA(計算結果!B214),"",計算結果!B214)=0,"",IF(ISNA(計算結果!B214),"",計算結果!B214))</f>
        <v/>
      </c>
      <c r="C214" s="10" t="str">
        <f>IF(IF(ISNA(計算結果!C214),"",計算結果!C214)=0,"",IF(ISNA(計算結果!C214),"",計算結果!C214))</f>
        <v/>
      </c>
      <c r="D214" s="10" t="str">
        <f>IF(IF(ISNA(計算結果!D214),"",計算結果!D214)=0,"",IF(ISNA(計算結果!D214),"",計算結果!D214))</f>
        <v>L</v>
      </c>
      <c r="E214" s="10" t="str">
        <f>IF(IF(ISNA(計算結果!E214),"",計算結果!E214)=0,"",IF(ISNA(計算結果!E214),"",計算結果!E214))</f>
        <v/>
      </c>
      <c r="F214" s="10" t="str">
        <f>IF(IF(ISNA(計算結果!F214),"",計算結果!F214)=0,"",IF(ISNA(計算結果!F214),"",計算結果!F214))</f>
        <v/>
      </c>
      <c r="G214" s="10" t="str">
        <f>IF(IF(ISNA(計算結果!G214),"",計算結果!G214)=0,"",IF(ISNA(計算結果!G214),"",計算結果!G214))</f>
        <v/>
      </c>
      <c r="H214" s="13">
        <f>IF(IF(ISNA(計算結果!H214),"",計算結果!H214)=0,"",IF(ISNA(計算結果!H214),"",計算結果!H214))</f>
        <v>-2</v>
      </c>
      <c r="I214" s="12" t="str">
        <f>IF(IF(ISNA(計算結果!I214),"",計算結果!I214)=0,"",IF(ISNA(計算結果!I214),"",計算結果!I214))</f>
        <v/>
      </c>
      <c r="J214" s="12" t="str">
        <f>IF(IF(ISNA(計算結果!J214),"",計算結果!J214)=0,"",IF(ISNA(計算結果!J214),"",計算結果!J214))</f>
        <v/>
      </c>
      <c r="K214" s="23" t="str">
        <f>IF(IF(ISNA(計算結果!K214),"",計算結果!K214)=0,"",IF(ISNA(計算結果!K214),"",計算結果!K214))</f>
        <v/>
      </c>
      <c r="L214" s="13" t="str">
        <f>IF(IF(ISNA(計算結果!L214),"",計算結果!L214)=0,"",IF(ISNA(計算結果!L214),"",計算結果!L214))</f>
        <v/>
      </c>
      <c r="M214" s="10" t="str">
        <f>IF(IF(ISNA(計算結果!M214),"",計算結果!M214)=0,"",IF(ISNA(計算結果!M214),"",計算結果!M214))</f>
        <v/>
      </c>
      <c r="N214" s="10" t="str">
        <f>IF(IF(ISNA(計算結果!N214),"",計算結果!N214)=0,"",IF(ISNA(計算結果!N214),"",計算結果!N214))</f>
        <v/>
      </c>
      <c r="O214" s="13" t="str">
        <f>IF(IF(ISNA(計算結果!O214),"",計算結果!O214)=0,"",IF(ISNA(計算結果!O214),"",計算結果!O214))</f>
        <v/>
      </c>
      <c r="P214" s="10" t="str">
        <f>IF(IF(ISNA(計算結果!P214),"",計算結果!P214)=0,"",IF(ISNA(計算結果!P214),"",計算結果!P214))</f>
        <v/>
      </c>
      <c r="Q214" s="10" t="str">
        <f>IF(IF(ISNA(計算結果!Q214),"",計算結果!Q214)=0,"",IF(ISNA(計算結果!Q214),"",計算結果!Q214))</f>
        <v/>
      </c>
      <c r="R214" s="14" t="str">
        <f t="shared" si="9"/>
        <v/>
      </c>
      <c r="S214" s="14" t="str">
        <f t="shared" si="10"/>
        <v>◯</v>
      </c>
      <c r="T214" s="14" t="str">
        <f t="shared" si="11"/>
        <v/>
      </c>
    </row>
    <row r="215" spans="1:20" hidden="1" x14ac:dyDescent="0.45">
      <c r="A215" s="10" t="str">
        <f>IF(IF(ISNA(計算結果!A215),"",計算結果!A215)=0,"",IF(ISNA(計算結果!A215),"",計算結果!A215))</f>
        <v/>
      </c>
      <c r="B215" s="10" t="str">
        <f>IF(IF(ISNA(計算結果!B215),"",計算結果!B215)=0,"",IF(ISNA(計算結果!B215),"",計算結果!B215))</f>
        <v/>
      </c>
      <c r="C215" s="10" t="str">
        <f>IF(IF(ISNA(計算結果!C215),"",計算結果!C215)=0,"",IF(ISNA(計算結果!C215),"",計算結果!C215))</f>
        <v/>
      </c>
      <c r="D215" s="10" t="str">
        <f>IF(IF(ISNA(計算結果!D215),"",計算結果!D215)=0,"",IF(ISNA(計算結果!D215),"",計算結果!D215))</f>
        <v>L</v>
      </c>
      <c r="E215" s="10" t="str">
        <f>IF(IF(ISNA(計算結果!E215),"",計算結果!E215)=0,"",IF(ISNA(計算結果!E215),"",計算結果!E215))</f>
        <v/>
      </c>
      <c r="F215" s="10" t="str">
        <f>IF(IF(ISNA(計算結果!F215),"",計算結果!F215)=0,"",IF(ISNA(計算結果!F215),"",計算結果!F215))</f>
        <v/>
      </c>
      <c r="G215" s="10" t="str">
        <f>IF(IF(ISNA(計算結果!G215),"",計算結果!G215)=0,"",IF(ISNA(計算結果!G215),"",計算結果!G215))</f>
        <v/>
      </c>
      <c r="H215" s="13">
        <f>IF(IF(ISNA(計算結果!H215),"",計算結果!H215)=0,"",IF(ISNA(計算結果!H215),"",計算結果!H215))</f>
        <v>-2</v>
      </c>
      <c r="I215" s="12" t="str">
        <f>IF(IF(ISNA(計算結果!I215),"",計算結果!I215)=0,"",IF(ISNA(計算結果!I215),"",計算結果!I215))</f>
        <v/>
      </c>
      <c r="J215" s="12" t="str">
        <f>IF(IF(ISNA(計算結果!J215),"",計算結果!J215)=0,"",IF(ISNA(計算結果!J215),"",計算結果!J215))</f>
        <v/>
      </c>
      <c r="K215" s="23" t="str">
        <f>IF(IF(ISNA(計算結果!K215),"",計算結果!K215)=0,"",IF(ISNA(計算結果!K215),"",計算結果!K215))</f>
        <v/>
      </c>
      <c r="L215" s="13" t="str">
        <f>IF(IF(ISNA(計算結果!L215),"",計算結果!L215)=0,"",IF(ISNA(計算結果!L215),"",計算結果!L215))</f>
        <v/>
      </c>
      <c r="M215" s="10" t="str">
        <f>IF(IF(ISNA(計算結果!M215),"",計算結果!M215)=0,"",IF(ISNA(計算結果!M215),"",計算結果!M215))</f>
        <v/>
      </c>
      <c r="N215" s="10" t="str">
        <f>IF(IF(ISNA(計算結果!N215),"",計算結果!N215)=0,"",IF(ISNA(計算結果!N215),"",計算結果!N215))</f>
        <v/>
      </c>
      <c r="O215" s="13" t="str">
        <f>IF(IF(ISNA(計算結果!O215),"",計算結果!O215)=0,"",IF(ISNA(計算結果!O215),"",計算結果!O215))</f>
        <v/>
      </c>
      <c r="P215" s="10" t="str">
        <f>IF(IF(ISNA(計算結果!P215),"",計算結果!P215)=0,"",IF(ISNA(計算結果!P215),"",計算結果!P215))</f>
        <v/>
      </c>
      <c r="Q215" s="10" t="str">
        <f>IF(IF(ISNA(計算結果!Q215),"",計算結果!Q215)=0,"",IF(ISNA(計算結果!Q215),"",計算結果!Q215))</f>
        <v/>
      </c>
      <c r="R215" s="14" t="str">
        <f t="shared" si="9"/>
        <v/>
      </c>
      <c r="S215" s="14" t="str">
        <f t="shared" si="10"/>
        <v>◯</v>
      </c>
      <c r="T215" s="14" t="str">
        <f t="shared" si="11"/>
        <v/>
      </c>
    </row>
    <row r="216" spans="1:20" hidden="1" x14ac:dyDescent="0.45">
      <c r="A216" s="10" t="str">
        <f>IF(IF(ISNA(計算結果!A216),"",計算結果!A216)=0,"",IF(ISNA(計算結果!A216),"",計算結果!A216))</f>
        <v/>
      </c>
      <c r="B216" s="10" t="str">
        <f>IF(IF(ISNA(計算結果!B216),"",計算結果!B216)=0,"",IF(ISNA(計算結果!B216),"",計算結果!B216))</f>
        <v/>
      </c>
      <c r="C216" s="10" t="str">
        <f>IF(IF(ISNA(計算結果!C216),"",計算結果!C216)=0,"",IF(ISNA(計算結果!C216),"",計算結果!C216))</f>
        <v/>
      </c>
      <c r="D216" s="10" t="str">
        <f>IF(IF(ISNA(計算結果!D216),"",計算結果!D216)=0,"",IF(ISNA(計算結果!D216),"",計算結果!D216))</f>
        <v>L</v>
      </c>
      <c r="E216" s="10" t="str">
        <f>IF(IF(ISNA(計算結果!E216),"",計算結果!E216)=0,"",IF(ISNA(計算結果!E216),"",計算結果!E216))</f>
        <v/>
      </c>
      <c r="F216" s="10" t="str">
        <f>IF(IF(ISNA(計算結果!F216),"",計算結果!F216)=0,"",IF(ISNA(計算結果!F216),"",計算結果!F216))</f>
        <v/>
      </c>
      <c r="G216" s="10" t="str">
        <f>IF(IF(ISNA(計算結果!G216),"",計算結果!G216)=0,"",IF(ISNA(計算結果!G216),"",計算結果!G216))</f>
        <v/>
      </c>
      <c r="H216" s="13">
        <f>IF(IF(ISNA(計算結果!H216),"",計算結果!H216)=0,"",IF(ISNA(計算結果!H216),"",計算結果!H216))</f>
        <v>-2</v>
      </c>
      <c r="I216" s="12" t="str">
        <f>IF(IF(ISNA(計算結果!I216),"",計算結果!I216)=0,"",IF(ISNA(計算結果!I216),"",計算結果!I216))</f>
        <v/>
      </c>
      <c r="J216" s="12" t="str">
        <f>IF(IF(ISNA(計算結果!J216),"",計算結果!J216)=0,"",IF(ISNA(計算結果!J216),"",計算結果!J216))</f>
        <v/>
      </c>
      <c r="K216" s="23" t="str">
        <f>IF(IF(ISNA(計算結果!K216),"",計算結果!K216)=0,"",IF(ISNA(計算結果!K216),"",計算結果!K216))</f>
        <v/>
      </c>
      <c r="L216" s="13" t="str">
        <f>IF(IF(ISNA(計算結果!L216),"",計算結果!L216)=0,"",IF(ISNA(計算結果!L216),"",計算結果!L216))</f>
        <v/>
      </c>
      <c r="M216" s="10" t="str">
        <f>IF(IF(ISNA(計算結果!M216),"",計算結果!M216)=0,"",IF(ISNA(計算結果!M216),"",計算結果!M216))</f>
        <v/>
      </c>
      <c r="N216" s="10" t="str">
        <f>IF(IF(ISNA(計算結果!N216),"",計算結果!N216)=0,"",IF(ISNA(計算結果!N216),"",計算結果!N216))</f>
        <v/>
      </c>
      <c r="O216" s="13" t="str">
        <f>IF(IF(ISNA(計算結果!O216),"",計算結果!O216)=0,"",IF(ISNA(計算結果!O216),"",計算結果!O216))</f>
        <v/>
      </c>
      <c r="P216" s="10" t="str">
        <f>IF(IF(ISNA(計算結果!P216),"",計算結果!P216)=0,"",IF(ISNA(計算結果!P216),"",計算結果!P216))</f>
        <v/>
      </c>
      <c r="Q216" s="10" t="str">
        <f>IF(IF(ISNA(計算結果!Q216),"",計算結果!Q216)=0,"",IF(ISNA(計算結果!Q216),"",計算結果!Q216))</f>
        <v/>
      </c>
      <c r="R216" s="14" t="str">
        <f t="shared" si="9"/>
        <v/>
      </c>
      <c r="S216" s="14" t="str">
        <f t="shared" si="10"/>
        <v>◯</v>
      </c>
      <c r="T216" s="14" t="str">
        <f t="shared" si="11"/>
        <v/>
      </c>
    </row>
    <row r="217" spans="1:20" hidden="1" x14ac:dyDescent="0.45">
      <c r="A217" s="10" t="str">
        <f>IF(IF(ISNA(計算結果!A217),"",計算結果!A217)=0,"",IF(ISNA(計算結果!A217),"",計算結果!A217))</f>
        <v/>
      </c>
      <c r="B217" s="10" t="str">
        <f>IF(IF(ISNA(計算結果!B217),"",計算結果!B217)=0,"",IF(ISNA(計算結果!B217),"",計算結果!B217))</f>
        <v/>
      </c>
      <c r="C217" s="10" t="str">
        <f>IF(IF(ISNA(計算結果!C217),"",計算結果!C217)=0,"",IF(ISNA(計算結果!C217),"",計算結果!C217))</f>
        <v/>
      </c>
      <c r="D217" s="10" t="str">
        <f>IF(IF(ISNA(計算結果!D217),"",計算結果!D217)=0,"",IF(ISNA(計算結果!D217),"",計算結果!D217))</f>
        <v>L</v>
      </c>
      <c r="E217" s="10" t="str">
        <f>IF(IF(ISNA(計算結果!E217),"",計算結果!E217)=0,"",IF(ISNA(計算結果!E217),"",計算結果!E217))</f>
        <v/>
      </c>
      <c r="F217" s="10" t="str">
        <f>IF(IF(ISNA(計算結果!F217),"",計算結果!F217)=0,"",IF(ISNA(計算結果!F217),"",計算結果!F217))</f>
        <v/>
      </c>
      <c r="G217" s="10" t="str">
        <f>IF(IF(ISNA(計算結果!G217),"",計算結果!G217)=0,"",IF(ISNA(計算結果!G217),"",計算結果!G217))</f>
        <v/>
      </c>
      <c r="H217" s="13">
        <f>IF(IF(ISNA(計算結果!H217),"",計算結果!H217)=0,"",IF(ISNA(計算結果!H217),"",計算結果!H217))</f>
        <v>-2</v>
      </c>
      <c r="I217" s="12" t="str">
        <f>IF(IF(ISNA(計算結果!I217),"",計算結果!I217)=0,"",IF(ISNA(計算結果!I217),"",計算結果!I217))</f>
        <v/>
      </c>
      <c r="J217" s="12" t="str">
        <f>IF(IF(ISNA(計算結果!J217),"",計算結果!J217)=0,"",IF(ISNA(計算結果!J217),"",計算結果!J217))</f>
        <v/>
      </c>
      <c r="K217" s="23" t="str">
        <f>IF(IF(ISNA(計算結果!K217),"",計算結果!K217)=0,"",IF(ISNA(計算結果!K217),"",計算結果!K217))</f>
        <v/>
      </c>
      <c r="L217" s="13" t="str">
        <f>IF(IF(ISNA(計算結果!L217),"",計算結果!L217)=0,"",IF(ISNA(計算結果!L217),"",計算結果!L217))</f>
        <v/>
      </c>
      <c r="M217" s="10" t="str">
        <f>IF(IF(ISNA(計算結果!M217),"",計算結果!M217)=0,"",IF(ISNA(計算結果!M217),"",計算結果!M217))</f>
        <v/>
      </c>
      <c r="N217" s="10" t="str">
        <f>IF(IF(ISNA(計算結果!N217),"",計算結果!N217)=0,"",IF(ISNA(計算結果!N217),"",計算結果!N217))</f>
        <v/>
      </c>
      <c r="O217" s="13" t="str">
        <f>IF(IF(ISNA(計算結果!O217),"",計算結果!O217)=0,"",IF(ISNA(計算結果!O217),"",計算結果!O217))</f>
        <v/>
      </c>
      <c r="P217" s="10" t="str">
        <f>IF(IF(ISNA(計算結果!P217),"",計算結果!P217)=0,"",IF(ISNA(計算結果!P217),"",計算結果!P217))</f>
        <v/>
      </c>
      <c r="Q217" s="10" t="str">
        <f>IF(IF(ISNA(計算結果!Q217),"",計算結果!Q217)=0,"",IF(ISNA(計算結果!Q217),"",計算結果!Q217))</f>
        <v/>
      </c>
      <c r="R217" s="14" t="str">
        <f t="shared" si="9"/>
        <v/>
      </c>
      <c r="S217" s="14" t="str">
        <f t="shared" si="10"/>
        <v>◯</v>
      </c>
      <c r="T217" s="14" t="str">
        <f t="shared" si="11"/>
        <v/>
      </c>
    </row>
    <row r="218" spans="1:20" hidden="1" x14ac:dyDescent="0.45">
      <c r="A218" s="10" t="str">
        <f>IF(IF(ISNA(計算結果!A218),"",計算結果!A218)=0,"",IF(ISNA(計算結果!A218),"",計算結果!A218))</f>
        <v/>
      </c>
      <c r="B218" s="10" t="str">
        <f>IF(IF(ISNA(計算結果!B218),"",計算結果!B218)=0,"",IF(ISNA(計算結果!B218),"",計算結果!B218))</f>
        <v/>
      </c>
      <c r="C218" s="10" t="str">
        <f>IF(IF(ISNA(計算結果!C218),"",計算結果!C218)=0,"",IF(ISNA(計算結果!C218),"",計算結果!C218))</f>
        <v/>
      </c>
      <c r="D218" s="10" t="str">
        <f>IF(IF(ISNA(計算結果!D218),"",計算結果!D218)=0,"",IF(ISNA(計算結果!D218),"",計算結果!D218))</f>
        <v>L</v>
      </c>
      <c r="E218" s="10" t="str">
        <f>IF(IF(ISNA(計算結果!E218),"",計算結果!E218)=0,"",IF(ISNA(計算結果!E218),"",計算結果!E218))</f>
        <v/>
      </c>
      <c r="F218" s="10" t="str">
        <f>IF(IF(ISNA(計算結果!F218),"",計算結果!F218)=0,"",IF(ISNA(計算結果!F218),"",計算結果!F218))</f>
        <v/>
      </c>
      <c r="G218" s="10" t="str">
        <f>IF(IF(ISNA(計算結果!G218),"",計算結果!G218)=0,"",IF(ISNA(計算結果!G218),"",計算結果!G218))</f>
        <v/>
      </c>
      <c r="H218" s="13">
        <f>IF(IF(ISNA(計算結果!H218),"",計算結果!H218)=0,"",IF(ISNA(計算結果!H218),"",計算結果!H218))</f>
        <v>-2</v>
      </c>
      <c r="I218" s="12" t="str">
        <f>IF(IF(ISNA(計算結果!I218),"",計算結果!I218)=0,"",IF(ISNA(計算結果!I218),"",計算結果!I218))</f>
        <v/>
      </c>
      <c r="J218" s="12" t="str">
        <f>IF(IF(ISNA(計算結果!J218),"",計算結果!J218)=0,"",IF(ISNA(計算結果!J218),"",計算結果!J218))</f>
        <v/>
      </c>
      <c r="K218" s="23" t="str">
        <f>IF(IF(ISNA(計算結果!K218),"",計算結果!K218)=0,"",IF(ISNA(計算結果!K218),"",計算結果!K218))</f>
        <v/>
      </c>
      <c r="L218" s="13" t="str">
        <f>IF(IF(ISNA(計算結果!L218),"",計算結果!L218)=0,"",IF(ISNA(計算結果!L218),"",計算結果!L218))</f>
        <v/>
      </c>
      <c r="M218" s="10" t="str">
        <f>IF(IF(ISNA(計算結果!M218),"",計算結果!M218)=0,"",IF(ISNA(計算結果!M218),"",計算結果!M218))</f>
        <v/>
      </c>
      <c r="N218" s="10" t="str">
        <f>IF(IF(ISNA(計算結果!N218),"",計算結果!N218)=0,"",IF(ISNA(計算結果!N218),"",計算結果!N218))</f>
        <v/>
      </c>
      <c r="O218" s="13" t="str">
        <f>IF(IF(ISNA(計算結果!O218),"",計算結果!O218)=0,"",IF(ISNA(計算結果!O218),"",計算結果!O218))</f>
        <v/>
      </c>
      <c r="P218" s="10" t="str">
        <f>IF(IF(ISNA(計算結果!P218),"",計算結果!P218)=0,"",IF(ISNA(計算結果!P218),"",計算結果!P218))</f>
        <v/>
      </c>
      <c r="Q218" s="10" t="str">
        <f>IF(IF(ISNA(計算結果!Q218),"",計算結果!Q218)=0,"",IF(ISNA(計算結果!Q218),"",計算結果!Q218))</f>
        <v/>
      </c>
      <c r="R218" s="14" t="str">
        <f t="shared" si="9"/>
        <v/>
      </c>
      <c r="S218" s="14" t="str">
        <f t="shared" si="10"/>
        <v>◯</v>
      </c>
      <c r="T218" s="14" t="str">
        <f t="shared" si="11"/>
        <v/>
      </c>
    </row>
    <row r="219" spans="1:20" hidden="1" x14ac:dyDescent="0.45">
      <c r="A219" s="10" t="str">
        <f>IF(IF(ISNA(計算結果!A219),"",計算結果!A219)=0,"",IF(ISNA(計算結果!A219),"",計算結果!A219))</f>
        <v/>
      </c>
      <c r="B219" s="10" t="str">
        <f>IF(IF(ISNA(計算結果!B219),"",計算結果!B219)=0,"",IF(ISNA(計算結果!B219),"",計算結果!B219))</f>
        <v/>
      </c>
      <c r="C219" s="10" t="str">
        <f>IF(IF(ISNA(計算結果!C219),"",計算結果!C219)=0,"",IF(ISNA(計算結果!C219),"",計算結果!C219))</f>
        <v/>
      </c>
      <c r="D219" s="10" t="str">
        <f>IF(IF(ISNA(計算結果!D219),"",計算結果!D219)=0,"",IF(ISNA(計算結果!D219),"",計算結果!D219))</f>
        <v>L</v>
      </c>
      <c r="E219" s="10" t="str">
        <f>IF(IF(ISNA(計算結果!E219),"",計算結果!E219)=0,"",IF(ISNA(計算結果!E219),"",計算結果!E219))</f>
        <v/>
      </c>
      <c r="F219" s="10" t="str">
        <f>IF(IF(ISNA(計算結果!F219),"",計算結果!F219)=0,"",IF(ISNA(計算結果!F219),"",計算結果!F219))</f>
        <v/>
      </c>
      <c r="G219" s="10" t="str">
        <f>IF(IF(ISNA(計算結果!G219),"",計算結果!G219)=0,"",IF(ISNA(計算結果!G219),"",計算結果!G219))</f>
        <v/>
      </c>
      <c r="H219" s="13">
        <f>IF(IF(ISNA(計算結果!H219),"",計算結果!H219)=0,"",IF(ISNA(計算結果!H219),"",計算結果!H219))</f>
        <v>-2</v>
      </c>
      <c r="I219" s="12" t="str">
        <f>IF(IF(ISNA(計算結果!I219),"",計算結果!I219)=0,"",IF(ISNA(計算結果!I219),"",計算結果!I219))</f>
        <v/>
      </c>
      <c r="J219" s="12" t="str">
        <f>IF(IF(ISNA(計算結果!J219),"",計算結果!J219)=0,"",IF(ISNA(計算結果!J219),"",計算結果!J219))</f>
        <v/>
      </c>
      <c r="K219" s="23" t="str">
        <f>IF(IF(ISNA(計算結果!K219),"",計算結果!K219)=0,"",IF(ISNA(計算結果!K219),"",計算結果!K219))</f>
        <v/>
      </c>
      <c r="L219" s="13" t="str">
        <f>IF(IF(ISNA(計算結果!L219),"",計算結果!L219)=0,"",IF(ISNA(計算結果!L219),"",計算結果!L219))</f>
        <v/>
      </c>
      <c r="M219" s="10" t="str">
        <f>IF(IF(ISNA(計算結果!M219),"",計算結果!M219)=0,"",IF(ISNA(計算結果!M219),"",計算結果!M219))</f>
        <v/>
      </c>
      <c r="N219" s="10" t="str">
        <f>IF(IF(ISNA(計算結果!N219),"",計算結果!N219)=0,"",IF(ISNA(計算結果!N219),"",計算結果!N219))</f>
        <v/>
      </c>
      <c r="O219" s="13" t="str">
        <f>IF(IF(ISNA(計算結果!O219),"",計算結果!O219)=0,"",IF(ISNA(計算結果!O219),"",計算結果!O219))</f>
        <v/>
      </c>
      <c r="P219" s="10" t="str">
        <f>IF(IF(ISNA(計算結果!P219),"",計算結果!P219)=0,"",IF(ISNA(計算結果!P219),"",計算結果!P219))</f>
        <v/>
      </c>
      <c r="Q219" s="10" t="str">
        <f>IF(IF(ISNA(計算結果!Q219),"",計算結果!Q219)=0,"",IF(ISNA(計算結果!Q219),"",計算結果!Q219))</f>
        <v/>
      </c>
      <c r="R219" s="14" t="str">
        <f t="shared" si="9"/>
        <v/>
      </c>
      <c r="S219" s="14" t="str">
        <f t="shared" si="10"/>
        <v>◯</v>
      </c>
      <c r="T219" s="14" t="str">
        <f t="shared" si="11"/>
        <v/>
      </c>
    </row>
    <row r="220" spans="1:20" hidden="1" x14ac:dyDescent="0.45">
      <c r="A220" s="10" t="str">
        <f>IF(IF(ISNA(計算結果!A220),"",計算結果!A220)=0,"",IF(ISNA(計算結果!A220),"",計算結果!A220))</f>
        <v/>
      </c>
      <c r="B220" s="10" t="str">
        <f>IF(IF(ISNA(計算結果!B220),"",計算結果!B220)=0,"",IF(ISNA(計算結果!B220),"",計算結果!B220))</f>
        <v/>
      </c>
      <c r="C220" s="10" t="str">
        <f>IF(IF(ISNA(計算結果!C220),"",計算結果!C220)=0,"",IF(ISNA(計算結果!C220),"",計算結果!C220))</f>
        <v/>
      </c>
      <c r="D220" s="10" t="str">
        <f>IF(IF(ISNA(計算結果!D220),"",計算結果!D220)=0,"",IF(ISNA(計算結果!D220),"",計算結果!D220))</f>
        <v>L</v>
      </c>
      <c r="E220" s="10" t="str">
        <f>IF(IF(ISNA(計算結果!E220),"",計算結果!E220)=0,"",IF(ISNA(計算結果!E220),"",計算結果!E220))</f>
        <v/>
      </c>
      <c r="F220" s="10" t="str">
        <f>IF(IF(ISNA(計算結果!F220),"",計算結果!F220)=0,"",IF(ISNA(計算結果!F220),"",計算結果!F220))</f>
        <v/>
      </c>
      <c r="G220" s="10" t="str">
        <f>IF(IF(ISNA(計算結果!G220),"",計算結果!G220)=0,"",IF(ISNA(計算結果!G220),"",計算結果!G220))</f>
        <v/>
      </c>
      <c r="H220" s="13">
        <f>IF(IF(ISNA(計算結果!H220),"",計算結果!H220)=0,"",IF(ISNA(計算結果!H220),"",計算結果!H220))</f>
        <v>-2</v>
      </c>
      <c r="I220" s="12" t="str">
        <f>IF(IF(ISNA(計算結果!I220),"",計算結果!I220)=0,"",IF(ISNA(計算結果!I220),"",計算結果!I220))</f>
        <v/>
      </c>
      <c r="J220" s="12" t="str">
        <f>IF(IF(ISNA(計算結果!J220),"",計算結果!J220)=0,"",IF(ISNA(計算結果!J220),"",計算結果!J220))</f>
        <v/>
      </c>
      <c r="K220" s="23" t="str">
        <f>IF(IF(ISNA(計算結果!K220),"",計算結果!K220)=0,"",IF(ISNA(計算結果!K220),"",計算結果!K220))</f>
        <v/>
      </c>
      <c r="L220" s="13" t="str">
        <f>IF(IF(ISNA(計算結果!L220),"",計算結果!L220)=0,"",IF(ISNA(計算結果!L220),"",計算結果!L220))</f>
        <v/>
      </c>
      <c r="M220" s="10" t="str">
        <f>IF(IF(ISNA(計算結果!M220),"",計算結果!M220)=0,"",IF(ISNA(計算結果!M220),"",計算結果!M220))</f>
        <v/>
      </c>
      <c r="N220" s="10" t="str">
        <f>IF(IF(ISNA(計算結果!N220),"",計算結果!N220)=0,"",IF(ISNA(計算結果!N220),"",計算結果!N220))</f>
        <v/>
      </c>
      <c r="O220" s="13" t="str">
        <f>IF(IF(ISNA(計算結果!O220),"",計算結果!O220)=0,"",IF(ISNA(計算結果!O220),"",計算結果!O220))</f>
        <v/>
      </c>
      <c r="P220" s="10" t="str">
        <f>IF(IF(ISNA(計算結果!P220),"",計算結果!P220)=0,"",IF(ISNA(計算結果!P220),"",計算結果!P220))</f>
        <v/>
      </c>
      <c r="Q220" s="10" t="str">
        <f>IF(IF(ISNA(計算結果!Q220),"",計算結果!Q220)=0,"",IF(ISNA(計算結果!Q220),"",計算結果!Q220))</f>
        <v/>
      </c>
      <c r="R220" s="14" t="str">
        <f t="shared" si="9"/>
        <v/>
      </c>
      <c r="S220" s="14" t="str">
        <f t="shared" si="10"/>
        <v>◯</v>
      </c>
      <c r="T220" s="14" t="str">
        <f t="shared" si="11"/>
        <v/>
      </c>
    </row>
    <row r="221" spans="1:20" hidden="1" x14ac:dyDescent="0.45">
      <c r="A221" s="10" t="str">
        <f>IF(IF(ISNA(計算結果!A221),"",計算結果!A221)=0,"",IF(ISNA(計算結果!A221),"",計算結果!A221))</f>
        <v/>
      </c>
      <c r="B221" s="10" t="str">
        <f>IF(IF(ISNA(計算結果!B221),"",計算結果!B221)=0,"",IF(ISNA(計算結果!B221),"",計算結果!B221))</f>
        <v/>
      </c>
      <c r="C221" s="10" t="str">
        <f>IF(IF(ISNA(計算結果!C221),"",計算結果!C221)=0,"",IF(ISNA(計算結果!C221),"",計算結果!C221))</f>
        <v/>
      </c>
      <c r="D221" s="10" t="str">
        <f>IF(IF(ISNA(計算結果!D221),"",計算結果!D221)=0,"",IF(ISNA(計算結果!D221),"",計算結果!D221))</f>
        <v>L</v>
      </c>
      <c r="E221" s="10" t="str">
        <f>IF(IF(ISNA(計算結果!E221),"",計算結果!E221)=0,"",IF(ISNA(計算結果!E221),"",計算結果!E221))</f>
        <v/>
      </c>
      <c r="F221" s="10" t="str">
        <f>IF(IF(ISNA(計算結果!F221),"",計算結果!F221)=0,"",IF(ISNA(計算結果!F221),"",計算結果!F221))</f>
        <v/>
      </c>
      <c r="G221" s="10" t="str">
        <f>IF(IF(ISNA(計算結果!G221),"",計算結果!G221)=0,"",IF(ISNA(計算結果!G221),"",計算結果!G221))</f>
        <v/>
      </c>
      <c r="H221" s="13">
        <f>IF(IF(ISNA(計算結果!H221),"",計算結果!H221)=0,"",IF(ISNA(計算結果!H221),"",計算結果!H221))</f>
        <v>-2</v>
      </c>
      <c r="I221" s="12" t="str">
        <f>IF(IF(ISNA(計算結果!I221),"",計算結果!I221)=0,"",IF(ISNA(計算結果!I221),"",計算結果!I221))</f>
        <v/>
      </c>
      <c r="J221" s="12" t="str">
        <f>IF(IF(ISNA(計算結果!J221),"",計算結果!J221)=0,"",IF(ISNA(計算結果!J221),"",計算結果!J221))</f>
        <v/>
      </c>
      <c r="K221" s="23" t="str">
        <f>IF(IF(ISNA(計算結果!K221),"",計算結果!K221)=0,"",IF(ISNA(計算結果!K221),"",計算結果!K221))</f>
        <v/>
      </c>
      <c r="L221" s="13" t="str">
        <f>IF(IF(ISNA(計算結果!L221),"",計算結果!L221)=0,"",IF(ISNA(計算結果!L221),"",計算結果!L221))</f>
        <v/>
      </c>
      <c r="M221" s="10" t="str">
        <f>IF(IF(ISNA(計算結果!M221),"",計算結果!M221)=0,"",IF(ISNA(計算結果!M221),"",計算結果!M221))</f>
        <v/>
      </c>
      <c r="N221" s="10" t="str">
        <f>IF(IF(ISNA(計算結果!N221),"",計算結果!N221)=0,"",IF(ISNA(計算結果!N221),"",計算結果!N221))</f>
        <v/>
      </c>
      <c r="O221" s="13" t="str">
        <f>IF(IF(ISNA(計算結果!O221),"",計算結果!O221)=0,"",IF(ISNA(計算結果!O221),"",計算結果!O221))</f>
        <v/>
      </c>
      <c r="P221" s="10" t="str">
        <f>IF(IF(ISNA(計算結果!P221),"",計算結果!P221)=0,"",IF(ISNA(計算結果!P221),"",計算結果!P221))</f>
        <v/>
      </c>
      <c r="Q221" s="10" t="str">
        <f>IF(IF(ISNA(計算結果!Q221),"",計算結果!Q221)=0,"",IF(ISNA(計算結果!Q221),"",計算結果!Q221))</f>
        <v/>
      </c>
      <c r="R221" s="14" t="str">
        <f t="shared" si="9"/>
        <v/>
      </c>
      <c r="S221" s="14" t="str">
        <f t="shared" si="10"/>
        <v>◯</v>
      </c>
      <c r="T221" s="14" t="str">
        <f t="shared" si="11"/>
        <v/>
      </c>
    </row>
    <row r="222" spans="1:20" hidden="1" x14ac:dyDescent="0.45">
      <c r="A222" s="10" t="str">
        <f>IF(IF(ISNA(計算結果!A222),"",計算結果!A222)=0,"",IF(ISNA(計算結果!A222),"",計算結果!A222))</f>
        <v/>
      </c>
      <c r="B222" s="10" t="str">
        <f>IF(IF(ISNA(計算結果!B222),"",計算結果!B222)=0,"",IF(ISNA(計算結果!B222),"",計算結果!B222))</f>
        <v/>
      </c>
      <c r="C222" s="10" t="str">
        <f>IF(IF(ISNA(計算結果!C222),"",計算結果!C222)=0,"",IF(ISNA(計算結果!C222),"",計算結果!C222))</f>
        <v/>
      </c>
      <c r="D222" s="10" t="str">
        <f>IF(IF(ISNA(計算結果!D222),"",計算結果!D222)=0,"",IF(ISNA(計算結果!D222),"",計算結果!D222))</f>
        <v>L</v>
      </c>
      <c r="E222" s="10" t="str">
        <f>IF(IF(ISNA(計算結果!E222),"",計算結果!E222)=0,"",IF(ISNA(計算結果!E222),"",計算結果!E222))</f>
        <v/>
      </c>
      <c r="F222" s="10" t="str">
        <f>IF(IF(ISNA(計算結果!F222),"",計算結果!F222)=0,"",IF(ISNA(計算結果!F222),"",計算結果!F222))</f>
        <v/>
      </c>
      <c r="G222" s="10" t="str">
        <f>IF(IF(ISNA(計算結果!G222),"",計算結果!G222)=0,"",IF(ISNA(計算結果!G222),"",計算結果!G222))</f>
        <v/>
      </c>
      <c r="H222" s="13">
        <f>IF(IF(ISNA(計算結果!H222),"",計算結果!H222)=0,"",IF(ISNA(計算結果!H222),"",計算結果!H222))</f>
        <v>-2</v>
      </c>
      <c r="I222" s="12" t="str">
        <f>IF(IF(ISNA(計算結果!I222),"",計算結果!I222)=0,"",IF(ISNA(計算結果!I222),"",計算結果!I222))</f>
        <v/>
      </c>
      <c r="J222" s="12" t="str">
        <f>IF(IF(ISNA(計算結果!J222),"",計算結果!J222)=0,"",IF(ISNA(計算結果!J222),"",計算結果!J222))</f>
        <v/>
      </c>
      <c r="K222" s="23" t="str">
        <f>IF(IF(ISNA(計算結果!K222),"",計算結果!K222)=0,"",IF(ISNA(計算結果!K222),"",計算結果!K222))</f>
        <v/>
      </c>
      <c r="L222" s="13" t="str">
        <f>IF(IF(ISNA(計算結果!L222),"",計算結果!L222)=0,"",IF(ISNA(計算結果!L222),"",計算結果!L222))</f>
        <v/>
      </c>
      <c r="M222" s="10" t="str">
        <f>IF(IF(ISNA(計算結果!M222),"",計算結果!M222)=0,"",IF(ISNA(計算結果!M222),"",計算結果!M222))</f>
        <v/>
      </c>
      <c r="N222" s="10" t="str">
        <f>IF(IF(ISNA(計算結果!N222),"",計算結果!N222)=0,"",IF(ISNA(計算結果!N222),"",計算結果!N222))</f>
        <v/>
      </c>
      <c r="O222" s="13" t="str">
        <f>IF(IF(ISNA(計算結果!O222),"",計算結果!O222)=0,"",IF(ISNA(計算結果!O222),"",計算結果!O222))</f>
        <v/>
      </c>
      <c r="P222" s="10" t="str">
        <f>IF(IF(ISNA(計算結果!P222),"",計算結果!P222)=0,"",IF(ISNA(計算結果!P222),"",計算結果!P222))</f>
        <v/>
      </c>
      <c r="Q222" s="10" t="str">
        <f>IF(IF(ISNA(計算結果!Q222),"",計算結果!Q222)=0,"",IF(ISNA(計算結果!Q222),"",計算結果!Q222))</f>
        <v/>
      </c>
      <c r="R222" s="14" t="str">
        <f t="shared" si="9"/>
        <v/>
      </c>
      <c r="S222" s="14" t="str">
        <f t="shared" si="10"/>
        <v>◯</v>
      </c>
      <c r="T222" s="14" t="str">
        <f t="shared" si="11"/>
        <v/>
      </c>
    </row>
    <row r="223" spans="1:20" hidden="1" x14ac:dyDescent="0.45">
      <c r="A223" s="10" t="str">
        <f>IF(IF(ISNA(計算結果!A223),"",計算結果!A223)=0,"",IF(ISNA(計算結果!A223),"",計算結果!A223))</f>
        <v/>
      </c>
      <c r="B223" s="10" t="str">
        <f>IF(IF(ISNA(計算結果!B223),"",計算結果!B223)=0,"",IF(ISNA(計算結果!B223),"",計算結果!B223))</f>
        <v/>
      </c>
      <c r="C223" s="10" t="str">
        <f>IF(IF(ISNA(計算結果!C223),"",計算結果!C223)=0,"",IF(ISNA(計算結果!C223),"",計算結果!C223))</f>
        <v/>
      </c>
      <c r="D223" s="10" t="str">
        <f>IF(IF(ISNA(計算結果!D223),"",計算結果!D223)=0,"",IF(ISNA(計算結果!D223),"",計算結果!D223))</f>
        <v>L</v>
      </c>
      <c r="E223" s="10" t="str">
        <f>IF(IF(ISNA(計算結果!E223),"",計算結果!E223)=0,"",IF(ISNA(計算結果!E223),"",計算結果!E223))</f>
        <v/>
      </c>
      <c r="F223" s="10" t="str">
        <f>IF(IF(ISNA(計算結果!F223),"",計算結果!F223)=0,"",IF(ISNA(計算結果!F223),"",計算結果!F223))</f>
        <v/>
      </c>
      <c r="G223" s="10" t="str">
        <f>IF(IF(ISNA(計算結果!G223),"",計算結果!G223)=0,"",IF(ISNA(計算結果!G223),"",計算結果!G223))</f>
        <v/>
      </c>
      <c r="H223" s="13">
        <f>IF(IF(ISNA(計算結果!H223),"",計算結果!H223)=0,"",IF(ISNA(計算結果!H223),"",計算結果!H223))</f>
        <v>-2</v>
      </c>
      <c r="I223" s="12" t="str">
        <f>IF(IF(ISNA(計算結果!I223),"",計算結果!I223)=0,"",IF(ISNA(計算結果!I223),"",計算結果!I223))</f>
        <v/>
      </c>
      <c r="J223" s="12" t="str">
        <f>IF(IF(ISNA(計算結果!J223),"",計算結果!J223)=0,"",IF(ISNA(計算結果!J223),"",計算結果!J223))</f>
        <v/>
      </c>
      <c r="K223" s="23" t="str">
        <f>IF(IF(ISNA(計算結果!K223),"",計算結果!K223)=0,"",IF(ISNA(計算結果!K223),"",計算結果!K223))</f>
        <v/>
      </c>
      <c r="L223" s="13" t="str">
        <f>IF(IF(ISNA(計算結果!L223),"",計算結果!L223)=0,"",IF(ISNA(計算結果!L223),"",計算結果!L223))</f>
        <v/>
      </c>
      <c r="M223" s="10" t="str">
        <f>IF(IF(ISNA(計算結果!M223),"",計算結果!M223)=0,"",IF(ISNA(計算結果!M223),"",計算結果!M223))</f>
        <v/>
      </c>
      <c r="N223" s="10" t="str">
        <f>IF(IF(ISNA(計算結果!N223),"",計算結果!N223)=0,"",IF(ISNA(計算結果!N223),"",計算結果!N223))</f>
        <v/>
      </c>
      <c r="O223" s="13" t="str">
        <f>IF(IF(ISNA(計算結果!O223),"",計算結果!O223)=0,"",IF(ISNA(計算結果!O223),"",計算結果!O223))</f>
        <v/>
      </c>
      <c r="P223" s="10" t="str">
        <f>IF(IF(ISNA(計算結果!P223),"",計算結果!P223)=0,"",IF(ISNA(計算結果!P223),"",計算結果!P223))</f>
        <v/>
      </c>
      <c r="Q223" s="10" t="str">
        <f>IF(IF(ISNA(計算結果!Q223),"",計算結果!Q223)=0,"",IF(ISNA(計算結果!Q223),"",計算結果!Q223))</f>
        <v/>
      </c>
      <c r="R223" s="14" t="str">
        <f t="shared" si="9"/>
        <v/>
      </c>
      <c r="S223" s="14" t="str">
        <f t="shared" si="10"/>
        <v>◯</v>
      </c>
      <c r="T223" s="14" t="str">
        <f t="shared" si="11"/>
        <v/>
      </c>
    </row>
    <row r="224" spans="1:20" hidden="1" x14ac:dyDescent="0.45">
      <c r="A224" s="10" t="str">
        <f>IF(IF(ISNA(計算結果!A224),"",計算結果!A224)=0,"",IF(ISNA(計算結果!A224),"",計算結果!A224))</f>
        <v/>
      </c>
      <c r="B224" s="10" t="str">
        <f>IF(IF(ISNA(計算結果!B224),"",計算結果!B224)=0,"",IF(ISNA(計算結果!B224),"",計算結果!B224))</f>
        <v/>
      </c>
      <c r="C224" s="10" t="str">
        <f>IF(IF(ISNA(計算結果!C224),"",計算結果!C224)=0,"",IF(ISNA(計算結果!C224),"",計算結果!C224))</f>
        <v/>
      </c>
      <c r="D224" s="10" t="str">
        <f>IF(IF(ISNA(計算結果!D224),"",計算結果!D224)=0,"",IF(ISNA(計算結果!D224),"",計算結果!D224))</f>
        <v>L</v>
      </c>
      <c r="E224" s="10" t="str">
        <f>IF(IF(ISNA(計算結果!E224),"",計算結果!E224)=0,"",IF(ISNA(計算結果!E224),"",計算結果!E224))</f>
        <v/>
      </c>
      <c r="F224" s="10" t="str">
        <f>IF(IF(ISNA(計算結果!F224),"",計算結果!F224)=0,"",IF(ISNA(計算結果!F224),"",計算結果!F224))</f>
        <v/>
      </c>
      <c r="G224" s="10" t="str">
        <f>IF(IF(ISNA(計算結果!G224),"",計算結果!G224)=0,"",IF(ISNA(計算結果!G224),"",計算結果!G224))</f>
        <v/>
      </c>
      <c r="H224" s="13">
        <f>IF(IF(ISNA(計算結果!H224),"",計算結果!H224)=0,"",IF(ISNA(計算結果!H224),"",計算結果!H224))</f>
        <v>-2</v>
      </c>
      <c r="I224" s="12" t="str">
        <f>IF(IF(ISNA(計算結果!I224),"",計算結果!I224)=0,"",IF(ISNA(計算結果!I224),"",計算結果!I224))</f>
        <v/>
      </c>
      <c r="J224" s="12" t="str">
        <f>IF(IF(ISNA(計算結果!J224),"",計算結果!J224)=0,"",IF(ISNA(計算結果!J224),"",計算結果!J224))</f>
        <v/>
      </c>
      <c r="K224" s="23" t="str">
        <f>IF(IF(ISNA(計算結果!K224),"",計算結果!K224)=0,"",IF(ISNA(計算結果!K224),"",計算結果!K224))</f>
        <v/>
      </c>
      <c r="L224" s="13" t="str">
        <f>IF(IF(ISNA(計算結果!L224),"",計算結果!L224)=0,"",IF(ISNA(計算結果!L224),"",計算結果!L224))</f>
        <v/>
      </c>
      <c r="M224" s="10" t="str">
        <f>IF(IF(ISNA(計算結果!M224),"",計算結果!M224)=0,"",IF(ISNA(計算結果!M224),"",計算結果!M224))</f>
        <v/>
      </c>
      <c r="N224" s="10" t="str">
        <f>IF(IF(ISNA(計算結果!N224),"",計算結果!N224)=0,"",IF(ISNA(計算結果!N224),"",計算結果!N224))</f>
        <v/>
      </c>
      <c r="O224" s="13" t="str">
        <f>IF(IF(ISNA(計算結果!O224),"",計算結果!O224)=0,"",IF(ISNA(計算結果!O224),"",計算結果!O224))</f>
        <v/>
      </c>
      <c r="P224" s="10" t="str">
        <f>IF(IF(ISNA(計算結果!P224),"",計算結果!P224)=0,"",IF(ISNA(計算結果!P224),"",計算結果!P224))</f>
        <v/>
      </c>
      <c r="Q224" s="10" t="str">
        <f>IF(IF(ISNA(計算結果!Q224),"",計算結果!Q224)=0,"",IF(ISNA(計算結果!Q224),"",計算結果!Q224))</f>
        <v/>
      </c>
      <c r="R224" s="14" t="str">
        <f t="shared" si="9"/>
        <v/>
      </c>
      <c r="S224" s="14" t="str">
        <f t="shared" si="10"/>
        <v>◯</v>
      </c>
      <c r="T224" s="14" t="str">
        <f t="shared" si="11"/>
        <v/>
      </c>
    </row>
    <row r="225" spans="1:20" hidden="1" x14ac:dyDescent="0.45">
      <c r="A225" s="10" t="str">
        <f>IF(IF(ISNA(計算結果!A225),"",計算結果!A225)=0,"",IF(ISNA(計算結果!A225),"",計算結果!A225))</f>
        <v/>
      </c>
      <c r="B225" s="10" t="str">
        <f>IF(IF(ISNA(計算結果!B225),"",計算結果!B225)=0,"",IF(ISNA(計算結果!B225),"",計算結果!B225))</f>
        <v/>
      </c>
      <c r="C225" s="10" t="str">
        <f>IF(IF(ISNA(計算結果!C225),"",計算結果!C225)=0,"",IF(ISNA(計算結果!C225),"",計算結果!C225))</f>
        <v/>
      </c>
      <c r="D225" s="10" t="str">
        <f>IF(IF(ISNA(計算結果!D225),"",計算結果!D225)=0,"",IF(ISNA(計算結果!D225),"",計算結果!D225))</f>
        <v>L</v>
      </c>
      <c r="E225" s="10" t="str">
        <f>IF(IF(ISNA(計算結果!E225),"",計算結果!E225)=0,"",IF(ISNA(計算結果!E225),"",計算結果!E225))</f>
        <v/>
      </c>
      <c r="F225" s="10" t="str">
        <f>IF(IF(ISNA(計算結果!F225),"",計算結果!F225)=0,"",IF(ISNA(計算結果!F225),"",計算結果!F225))</f>
        <v/>
      </c>
      <c r="G225" s="10" t="str">
        <f>IF(IF(ISNA(計算結果!G225),"",計算結果!G225)=0,"",IF(ISNA(計算結果!G225),"",計算結果!G225))</f>
        <v/>
      </c>
      <c r="H225" s="13">
        <f>IF(IF(ISNA(計算結果!H225),"",計算結果!H225)=0,"",IF(ISNA(計算結果!H225),"",計算結果!H225))</f>
        <v>-2</v>
      </c>
      <c r="I225" s="12" t="str">
        <f>IF(IF(ISNA(計算結果!I225),"",計算結果!I225)=0,"",IF(ISNA(計算結果!I225),"",計算結果!I225))</f>
        <v/>
      </c>
      <c r="J225" s="12" t="str">
        <f>IF(IF(ISNA(計算結果!J225),"",計算結果!J225)=0,"",IF(ISNA(計算結果!J225),"",計算結果!J225))</f>
        <v/>
      </c>
      <c r="K225" s="23" t="str">
        <f>IF(IF(ISNA(計算結果!K225),"",計算結果!K225)=0,"",IF(ISNA(計算結果!K225),"",計算結果!K225))</f>
        <v/>
      </c>
      <c r="L225" s="13" t="str">
        <f>IF(IF(ISNA(計算結果!L225),"",計算結果!L225)=0,"",IF(ISNA(計算結果!L225),"",計算結果!L225))</f>
        <v/>
      </c>
      <c r="M225" s="10" t="str">
        <f>IF(IF(ISNA(計算結果!M225),"",計算結果!M225)=0,"",IF(ISNA(計算結果!M225),"",計算結果!M225))</f>
        <v/>
      </c>
      <c r="N225" s="10" t="str">
        <f>IF(IF(ISNA(計算結果!N225),"",計算結果!N225)=0,"",IF(ISNA(計算結果!N225),"",計算結果!N225))</f>
        <v/>
      </c>
      <c r="O225" s="13" t="str">
        <f>IF(IF(ISNA(計算結果!O225),"",計算結果!O225)=0,"",IF(ISNA(計算結果!O225),"",計算結果!O225))</f>
        <v/>
      </c>
      <c r="P225" s="10" t="str">
        <f>IF(IF(ISNA(計算結果!P225),"",計算結果!P225)=0,"",IF(ISNA(計算結果!P225),"",計算結果!P225))</f>
        <v/>
      </c>
      <c r="Q225" s="10" t="str">
        <f>IF(IF(ISNA(計算結果!Q225),"",計算結果!Q225)=0,"",IF(ISNA(計算結果!Q225),"",計算結果!Q225))</f>
        <v/>
      </c>
      <c r="R225" s="14" t="str">
        <f t="shared" si="9"/>
        <v/>
      </c>
      <c r="S225" s="14" t="str">
        <f t="shared" si="10"/>
        <v>◯</v>
      </c>
      <c r="T225" s="14" t="str">
        <f t="shared" si="11"/>
        <v/>
      </c>
    </row>
    <row r="226" spans="1:20" hidden="1" x14ac:dyDescent="0.45">
      <c r="A226" s="10" t="str">
        <f>IF(IF(ISNA(計算結果!A226),"",計算結果!A226)=0,"",IF(ISNA(計算結果!A226),"",計算結果!A226))</f>
        <v/>
      </c>
      <c r="B226" s="10" t="str">
        <f>IF(IF(ISNA(計算結果!B226),"",計算結果!B226)=0,"",IF(ISNA(計算結果!B226),"",計算結果!B226))</f>
        <v/>
      </c>
      <c r="C226" s="10" t="str">
        <f>IF(IF(ISNA(計算結果!C226),"",計算結果!C226)=0,"",IF(ISNA(計算結果!C226),"",計算結果!C226))</f>
        <v/>
      </c>
      <c r="D226" s="10" t="str">
        <f>IF(IF(ISNA(計算結果!D226),"",計算結果!D226)=0,"",IF(ISNA(計算結果!D226),"",計算結果!D226))</f>
        <v>L</v>
      </c>
      <c r="E226" s="10" t="str">
        <f>IF(IF(ISNA(計算結果!E226),"",計算結果!E226)=0,"",IF(ISNA(計算結果!E226),"",計算結果!E226))</f>
        <v/>
      </c>
      <c r="F226" s="10" t="str">
        <f>IF(IF(ISNA(計算結果!F226),"",計算結果!F226)=0,"",IF(ISNA(計算結果!F226),"",計算結果!F226))</f>
        <v/>
      </c>
      <c r="G226" s="10" t="str">
        <f>IF(IF(ISNA(計算結果!G226),"",計算結果!G226)=0,"",IF(ISNA(計算結果!G226),"",計算結果!G226))</f>
        <v/>
      </c>
      <c r="H226" s="13">
        <f>IF(IF(ISNA(計算結果!H226),"",計算結果!H226)=0,"",IF(ISNA(計算結果!H226),"",計算結果!H226))</f>
        <v>-2</v>
      </c>
      <c r="I226" s="12" t="str">
        <f>IF(IF(ISNA(計算結果!I226),"",計算結果!I226)=0,"",IF(ISNA(計算結果!I226),"",計算結果!I226))</f>
        <v/>
      </c>
      <c r="J226" s="12" t="str">
        <f>IF(IF(ISNA(計算結果!J226),"",計算結果!J226)=0,"",IF(ISNA(計算結果!J226),"",計算結果!J226))</f>
        <v/>
      </c>
      <c r="K226" s="23" t="str">
        <f>IF(IF(ISNA(計算結果!K226),"",計算結果!K226)=0,"",IF(ISNA(計算結果!K226),"",計算結果!K226))</f>
        <v/>
      </c>
      <c r="L226" s="13" t="str">
        <f>IF(IF(ISNA(計算結果!L226),"",計算結果!L226)=0,"",IF(ISNA(計算結果!L226),"",計算結果!L226))</f>
        <v/>
      </c>
      <c r="M226" s="10" t="str">
        <f>IF(IF(ISNA(計算結果!M226),"",計算結果!M226)=0,"",IF(ISNA(計算結果!M226),"",計算結果!M226))</f>
        <v/>
      </c>
      <c r="N226" s="10" t="str">
        <f>IF(IF(ISNA(計算結果!N226),"",計算結果!N226)=0,"",IF(ISNA(計算結果!N226),"",計算結果!N226))</f>
        <v/>
      </c>
      <c r="O226" s="13" t="str">
        <f>IF(IF(ISNA(計算結果!O226),"",計算結果!O226)=0,"",IF(ISNA(計算結果!O226),"",計算結果!O226))</f>
        <v/>
      </c>
      <c r="P226" s="10" t="str">
        <f>IF(IF(ISNA(計算結果!P226),"",計算結果!P226)=0,"",IF(ISNA(計算結果!P226),"",計算結果!P226))</f>
        <v/>
      </c>
      <c r="Q226" s="10" t="str">
        <f>IF(IF(ISNA(計算結果!Q226),"",計算結果!Q226)=0,"",IF(ISNA(計算結果!Q226),"",計算結果!Q226))</f>
        <v/>
      </c>
      <c r="R226" s="14" t="str">
        <f t="shared" si="9"/>
        <v/>
      </c>
      <c r="S226" s="14" t="str">
        <f t="shared" si="10"/>
        <v>◯</v>
      </c>
      <c r="T226" s="14" t="str">
        <f t="shared" si="11"/>
        <v/>
      </c>
    </row>
    <row r="227" spans="1:20" hidden="1" x14ac:dyDescent="0.45">
      <c r="A227" s="10" t="str">
        <f>IF(IF(ISNA(計算結果!A227),"",計算結果!A227)=0,"",IF(ISNA(計算結果!A227),"",計算結果!A227))</f>
        <v/>
      </c>
      <c r="B227" s="10" t="str">
        <f>IF(IF(ISNA(計算結果!B227),"",計算結果!B227)=0,"",IF(ISNA(計算結果!B227),"",計算結果!B227))</f>
        <v/>
      </c>
      <c r="C227" s="10" t="str">
        <f>IF(IF(ISNA(計算結果!C227),"",計算結果!C227)=0,"",IF(ISNA(計算結果!C227),"",計算結果!C227))</f>
        <v/>
      </c>
      <c r="D227" s="10" t="str">
        <f>IF(IF(ISNA(計算結果!D227),"",計算結果!D227)=0,"",IF(ISNA(計算結果!D227),"",計算結果!D227))</f>
        <v>L</v>
      </c>
      <c r="E227" s="10" t="str">
        <f>IF(IF(ISNA(計算結果!E227),"",計算結果!E227)=0,"",IF(ISNA(計算結果!E227),"",計算結果!E227))</f>
        <v/>
      </c>
      <c r="F227" s="10" t="str">
        <f>IF(IF(ISNA(計算結果!F227),"",計算結果!F227)=0,"",IF(ISNA(計算結果!F227),"",計算結果!F227))</f>
        <v/>
      </c>
      <c r="G227" s="10" t="str">
        <f>IF(IF(ISNA(計算結果!G227),"",計算結果!G227)=0,"",IF(ISNA(計算結果!G227),"",計算結果!G227))</f>
        <v/>
      </c>
      <c r="H227" s="13">
        <f>IF(IF(ISNA(計算結果!H227),"",計算結果!H227)=0,"",IF(ISNA(計算結果!H227),"",計算結果!H227))</f>
        <v>-2</v>
      </c>
      <c r="I227" s="12" t="str">
        <f>IF(IF(ISNA(計算結果!I227),"",計算結果!I227)=0,"",IF(ISNA(計算結果!I227),"",計算結果!I227))</f>
        <v/>
      </c>
      <c r="J227" s="12" t="str">
        <f>IF(IF(ISNA(計算結果!J227),"",計算結果!J227)=0,"",IF(ISNA(計算結果!J227),"",計算結果!J227))</f>
        <v/>
      </c>
      <c r="K227" s="23" t="str">
        <f>IF(IF(ISNA(計算結果!K227),"",計算結果!K227)=0,"",IF(ISNA(計算結果!K227),"",計算結果!K227))</f>
        <v/>
      </c>
      <c r="L227" s="13" t="str">
        <f>IF(IF(ISNA(計算結果!L227),"",計算結果!L227)=0,"",IF(ISNA(計算結果!L227),"",計算結果!L227))</f>
        <v/>
      </c>
      <c r="M227" s="10" t="str">
        <f>IF(IF(ISNA(計算結果!M227),"",計算結果!M227)=0,"",IF(ISNA(計算結果!M227),"",計算結果!M227))</f>
        <v/>
      </c>
      <c r="N227" s="10" t="str">
        <f>IF(IF(ISNA(計算結果!N227),"",計算結果!N227)=0,"",IF(ISNA(計算結果!N227),"",計算結果!N227))</f>
        <v/>
      </c>
      <c r="O227" s="13" t="str">
        <f>IF(IF(ISNA(計算結果!O227),"",計算結果!O227)=0,"",IF(ISNA(計算結果!O227),"",計算結果!O227))</f>
        <v/>
      </c>
      <c r="P227" s="10" t="str">
        <f>IF(IF(ISNA(計算結果!P227),"",計算結果!P227)=0,"",IF(ISNA(計算結果!P227),"",計算結果!P227))</f>
        <v/>
      </c>
      <c r="Q227" s="10" t="str">
        <f>IF(IF(ISNA(計算結果!Q227),"",計算結果!Q227)=0,"",IF(ISNA(計算結果!Q227),"",計算結果!Q227))</f>
        <v/>
      </c>
      <c r="R227" s="14" t="str">
        <f t="shared" si="9"/>
        <v/>
      </c>
      <c r="S227" s="14" t="str">
        <f t="shared" si="10"/>
        <v>◯</v>
      </c>
      <c r="T227" s="14" t="str">
        <f t="shared" si="11"/>
        <v/>
      </c>
    </row>
    <row r="228" spans="1:20" hidden="1" x14ac:dyDescent="0.45">
      <c r="A228" s="10" t="str">
        <f>IF(IF(ISNA(計算結果!A228),"",計算結果!A228)=0,"",IF(ISNA(計算結果!A228),"",計算結果!A228))</f>
        <v/>
      </c>
      <c r="B228" s="10" t="str">
        <f>IF(IF(ISNA(計算結果!B228),"",計算結果!B228)=0,"",IF(ISNA(計算結果!B228),"",計算結果!B228))</f>
        <v/>
      </c>
      <c r="C228" s="10" t="str">
        <f>IF(IF(ISNA(計算結果!C228),"",計算結果!C228)=0,"",IF(ISNA(計算結果!C228),"",計算結果!C228))</f>
        <v/>
      </c>
      <c r="D228" s="10" t="str">
        <f>IF(IF(ISNA(計算結果!D228),"",計算結果!D228)=0,"",IF(ISNA(計算結果!D228),"",計算結果!D228))</f>
        <v>L</v>
      </c>
      <c r="E228" s="10" t="str">
        <f>IF(IF(ISNA(計算結果!E228),"",計算結果!E228)=0,"",IF(ISNA(計算結果!E228),"",計算結果!E228))</f>
        <v/>
      </c>
      <c r="F228" s="10" t="str">
        <f>IF(IF(ISNA(計算結果!F228),"",計算結果!F228)=0,"",IF(ISNA(計算結果!F228),"",計算結果!F228))</f>
        <v/>
      </c>
      <c r="G228" s="10" t="str">
        <f>IF(IF(ISNA(計算結果!G228),"",計算結果!G228)=0,"",IF(ISNA(計算結果!G228),"",計算結果!G228))</f>
        <v/>
      </c>
      <c r="H228" s="13">
        <f>IF(IF(ISNA(計算結果!H228),"",計算結果!H228)=0,"",IF(ISNA(計算結果!H228),"",計算結果!H228))</f>
        <v>-2</v>
      </c>
      <c r="I228" s="12" t="str">
        <f>IF(IF(ISNA(計算結果!I228),"",計算結果!I228)=0,"",IF(ISNA(計算結果!I228),"",計算結果!I228))</f>
        <v/>
      </c>
      <c r="J228" s="12" t="str">
        <f>IF(IF(ISNA(計算結果!J228),"",計算結果!J228)=0,"",IF(ISNA(計算結果!J228),"",計算結果!J228))</f>
        <v/>
      </c>
      <c r="K228" s="23" t="str">
        <f>IF(IF(ISNA(計算結果!K228),"",計算結果!K228)=0,"",IF(ISNA(計算結果!K228),"",計算結果!K228))</f>
        <v/>
      </c>
      <c r="L228" s="13" t="str">
        <f>IF(IF(ISNA(計算結果!L228),"",計算結果!L228)=0,"",IF(ISNA(計算結果!L228),"",計算結果!L228))</f>
        <v/>
      </c>
      <c r="M228" s="10" t="str">
        <f>IF(IF(ISNA(計算結果!M228),"",計算結果!M228)=0,"",IF(ISNA(計算結果!M228),"",計算結果!M228))</f>
        <v/>
      </c>
      <c r="N228" s="10" t="str">
        <f>IF(IF(ISNA(計算結果!N228),"",計算結果!N228)=0,"",IF(ISNA(計算結果!N228),"",計算結果!N228))</f>
        <v/>
      </c>
      <c r="O228" s="13" t="str">
        <f>IF(IF(ISNA(計算結果!O228),"",計算結果!O228)=0,"",IF(ISNA(計算結果!O228),"",計算結果!O228))</f>
        <v/>
      </c>
      <c r="P228" s="10" t="str">
        <f>IF(IF(ISNA(計算結果!P228),"",計算結果!P228)=0,"",IF(ISNA(計算結果!P228),"",計算結果!P228))</f>
        <v/>
      </c>
      <c r="Q228" s="10" t="str">
        <f>IF(IF(ISNA(計算結果!Q228),"",計算結果!Q228)=0,"",IF(ISNA(計算結果!Q228),"",計算結果!Q228))</f>
        <v/>
      </c>
      <c r="R228" s="14" t="str">
        <f t="shared" si="9"/>
        <v/>
      </c>
      <c r="S228" s="14" t="str">
        <f t="shared" si="10"/>
        <v>◯</v>
      </c>
      <c r="T228" s="14" t="str">
        <f t="shared" si="11"/>
        <v/>
      </c>
    </row>
    <row r="229" spans="1:20" hidden="1" x14ac:dyDescent="0.45">
      <c r="A229" s="10" t="str">
        <f>IF(IF(ISNA(計算結果!A229),"",計算結果!A229)=0,"",IF(ISNA(計算結果!A229),"",計算結果!A229))</f>
        <v/>
      </c>
      <c r="B229" s="10" t="str">
        <f>IF(IF(ISNA(計算結果!B229),"",計算結果!B229)=0,"",IF(ISNA(計算結果!B229),"",計算結果!B229))</f>
        <v/>
      </c>
      <c r="C229" s="10" t="str">
        <f>IF(IF(ISNA(計算結果!C229),"",計算結果!C229)=0,"",IF(ISNA(計算結果!C229),"",計算結果!C229))</f>
        <v/>
      </c>
      <c r="D229" s="10" t="str">
        <f>IF(IF(ISNA(計算結果!D229),"",計算結果!D229)=0,"",IF(ISNA(計算結果!D229),"",計算結果!D229))</f>
        <v>L</v>
      </c>
      <c r="E229" s="10" t="str">
        <f>IF(IF(ISNA(計算結果!E229),"",計算結果!E229)=0,"",IF(ISNA(計算結果!E229),"",計算結果!E229))</f>
        <v/>
      </c>
      <c r="F229" s="10" t="str">
        <f>IF(IF(ISNA(計算結果!F229),"",計算結果!F229)=0,"",IF(ISNA(計算結果!F229),"",計算結果!F229))</f>
        <v/>
      </c>
      <c r="G229" s="10" t="str">
        <f>IF(IF(ISNA(計算結果!G229),"",計算結果!G229)=0,"",IF(ISNA(計算結果!G229),"",計算結果!G229))</f>
        <v/>
      </c>
      <c r="H229" s="13">
        <f>IF(IF(ISNA(計算結果!H229),"",計算結果!H229)=0,"",IF(ISNA(計算結果!H229),"",計算結果!H229))</f>
        <v>-2</v>
      </c>
      <c r="I229" s="12" t="str">
        <f>IF(IF(ISNA(計算結果!I229),"",計算結果!I229)=0,"",IF(ISNA(計算結果!I229),"",計算結果!I229))</f>
        <v/>
      </c>
      <c r="J229" s="12" t="str">
        <f>IF(IF(ISNA(計算結果!J229),"",計算結果!J229)=0,"",IF(ISNA(計算結果!J229),"",計算結果!J229))</f>
        <v/>
      </c>
      <c r="K229" s="23" t="str">
        <f>IF(IF(ISNA(計算結果!K229),"",計算結果!K229)=0,"",IF(ISNA(計算結果!K229),"",計算結果!K229))</f>
        <v/>
      </c>
      <c r="L229" s="13" t="str">
        <f>IF(IF(ISNA(計算結果!L229),"",計算結果!L229)=0,"",IF(ISNA(計算結果!L229),"",計算結果!L229))</f>
        <v/>
      </c>
      <c r="M229" s="10" t="str">
        <f>IF(IF(ISNA(計算結果!M229),"",計算結果!M229)=0,"",IF(ISNA(計算結果!M229),"",計算結果!M229))</f>
        <v/>
      </c>
      <c r="N229" s="10" t="str">
        <f>IF(IF(ISNA(計算結果!N229),"",計算結果!N229)=0,"",IF(ISNA(計算結果!N229),"",計算結果!N229))</f>
        <v/>
      </c>
      <c r="O229" s="13" t="str">
        <f>IF(IF(ISNA(計算結果!O229),"",計算結果!O229)=0,"",IF(ISNA(計算結果!O229),"",計算結果!O229))</f>
        <v/>
      </c>
      <c r="P229" s="10" t="str">
        <f>IF(IF(ISNA(計算結果!P229),"",計算結果!P229)=0,"",IF(ISNA(計算結果!P229),"",計算結果!P229))</f>
        <v/>
      </c>
      <c r="Q229" s="10" t="str">
        <f>IF(IF(ISNA(計算結果!Q229),"",計算結果!Q229)=0,"",IF(ISNA(計算結果!Q229),"",計算結果!Q229))</f>
        <v/>
      </c>
      <c r="R229" s="14" t="str">
        <f t="shared" si="9"/>
        <v/>
      </c>
      <c r="S229" s="14" t="str">
        <f t="shared" si="10"/>
        <v>◯</v>
      </c>
      <c r="T229" s="14" t="str">
        <f t="shared" si="11"/>
        <v/>
      </c>
    </row>
    <row r="230" spans="1:20" hidden="1" x14ac:dyDescent="0.45">
      <c r="A230" s="10" t="str">
        <f>IF(IF(ISNA(計算結果!A230),"",計算結果!A230)=0,"",IF(ISNA(計算結果!A230),"",計算結果!A230))</f>
        <v/>
      </c>
      <c r="B230" s="10" t="str">
        <f>IF(IF(ISNA(計算結果!B230),"",計算結果!B230)=0,"",IF(ISNA(計算結果!B230),"",計算結果!B230))</f>
        <v/>
      </c>
      <c r="C230" s="10" t="str">
        <f>IF(IF(ISNA(計算結果!C230),"",計算結果!C230)=0,"",IF(ISNA(計算結果!C230),"",計算結果!C230))</f>
        <v/>
      </c>
      <c r="D230" s="10" t="str">
        <f>IF(IF(ISNA(計算結果!D230),"",計算結果!D230)=0,"",IF(ISNA(計算結果!D230),"",計算結果!D230))</f>
        <v>L</v>
      </c>
      <c r="E230" s="10" t="str">
        <f>IF(IF(ISNA(計算結果!E230),"",計算結果!E230)=0,"",IF(ISNA(計算結果!E230),"",計算結果!E230))</f>
        <v/>
      </c>
      <c r="F230" s="10" t="str">
        <f>IF(IF(ISNA(計算結果!F230),"",計算結果!F230)=0,"",IF(ISNA(計算結果!F230),"",計算結果!F230))</f>
        <v/>
      </c>
      <c r="G230" s="10" t="str">
        <f>IF(IF(ISNA(計算結果!G230),"",計算結果!G230)=0,"",IF(ISNA(計算結果!G230),"",計算結果!G230))</f>
        <v/>
      </c>
      <c r="H230" s="13">
        <f>IF(IF(ISNA(計算結果!H230),"",計算結果!H230)=0,"",IF(ISNA(計算結果!H230),"",計算結果!H230))</f>
        <v>-2</v>
      </c>
      <c r="I230" s="12" t="str">
        <f>IF(IF(ISNA(計算結果!I230),"",計算結果!I230)=0,"",IF(ISNA(計算結果!I230),"",計算結果!I230))</f>
        <v/>
      </c>
      <c r="J230" s="12" t="str">
        <f>IF(IF(ISNA(計算結果!J230),"",計算結果!J230)=0,"",IF(ISNA(計算結果!J230),"",計算結果!J230))</f>
        <v/>
      </c>
      <c r="K230" s="23" t="str">
        <f>IF(IF(ISNA(計算結果!K230),"",計算結果!K230)=0,"",IF(ISNA(計算結果!K230),"",計算結果!K230))</f>
        <v/>
      </c>
      <c r="L230" s="13" t="str">
        <f>IF(IF(ISNA(計算結果!L230),"",計算結果!L230)=0,"",IF(ISNA(計算結果!L230),"",計算結果!L230))</f>
        <v/>
      </c>
      <c r="M230" s="10" t="str">
        <f>IF(IF(ISNA(計算結果!M230),"",計算結果!M230)=0,"",IF(ISNA(計算結果!M230),"",計算結果!M230))</f>
        <v/>
      </c>
      <c r="N230" s="10" t="str">
        <f>IF(IF(ISNA(計算結果!N230),"",計算結果!N230)=0,"",IF(ISNA(計算結果!N230),"",計算結果!N230))</f>
        <v/>
      </c>
      <c r="O230" s="13" t="str">
        <f>IF(IF(ISNA(計算結果!O230),"",計算結果!O230)=0,"",IF(ISNA(計算結果!O230),"",計算結果!O230))</f>
        <v/>
      </c>
      <c r="P230" s="10" t="str">
        <f>IF(IF(ISNA(計算結果!P230),"",計算結果!P230)=0,"",IF(ISNA(計算結果!P230),"",計算結果!P230))</f>
        <v/>
      </c>
      <c r="Q230" s="10" t="str">
        <f>IF(IF(ISNA(計算結果!Q230),"",計算結果!Q230)=0,"",IF(ISNA(計算結果!Q230),"",計算結果!Q230))</f>
        <v/>
      </c>
      <c r="R230" s="14" t="str">
        <f t="shared" si="9"/>
        <v/>
      </c>
      <c r="S230" s="14" t="str">
        <f t="shared" si="10"/>
        <v>◯</v>
      </c>
      <c r="T230" s="14" t="str">
        <f t="shared" si="11"/>
        <v/>
      </c>
    </row>
    <row r="231" spans="1:20" hidden="1" x14ac:dyDescent="0.45">
      <c r="A231" s="10" t="str">
        <f>IF(IF(ISNA(計算結果!A231),"",計算結果!A231)=0,"",IF(ISNA(計算結果!A231),"",計算結果!A231))</f>
        <v/>
      </c>
      <c r="B231" s="10" t="str">
        <f>IF(IF(ISNA(計算結果!B231),"",計算結果!B231)=0,"",IF(ISNA(計算結果!B231),"",計算結果!B231))</f>
        <v/>
      </c>
      <c r="C231" s="10" t="str">
        <f>IF(IF(ISNA(計算結果!C231),"",計算結果!C231)=0,"",IF(ISNA(計算結果!C231),"",計算結果!C231))</f>
        <v/>
      </c>
      <c r="D231" s="10" t="str">
        <f>IF(IF(ISNA(計算結果!D231),"",計算結果!D231)=0,"",IF(ISNA(計算結果!D231),"",計算結果!D231))</f>
        <v>L</v>
      </c>
      <c r="E231" s="10" t="str">
        <f>IF(IF(ISNA(計算結果!E231),"",計算結果!E231)=0,"",IF(ISNA(計算結果!E231),"",計算結果!E231))</f>
        <v/>
      </c>
      <c r="F231" s="10" t="str">
        <f>IF(IF(ISNA(計算結果!F231),"",計算結果!F231)=0,"",IF(ISNA(計算結果!F231),"",計算結果!F231))</f>
        <v/>
      </c>
      <c r="G231" s="10" t="str">
        <f>IF(IF(ISNA(計算結果!G231),"",計算結果!G231)=0,"",IF(ISNA(計算結果!G231),"",計算結果!G231))</f>
        <v/>
      </c>
      <c r="H231" s="13">
        <f>IF(IF(ISNA(計算結果!H231),"",計算結果!H231)=0,"",IF(ISNA(計算結果!H231),"",計算結果!H231))</f>
        <v>-2</v>
      </c>
      <c r="I231" s="12" t="str">
        <f>IF(IF(ISNA(計算結果!I231),"",計算結果!I231)=0,"",IF(ISNA(計算結果!I231),"",計算結果!I231))</f>
        <v/>
      </c>
      <c r="J231" s="12" t="str">
        <f>IF(IF(ISNA(計算結果!J231),"",計算結果!J231)=0,"",IF(ISNA(計算結果!J231),"",計算結果!J231))</f>
        <v/>
      </c>
      <c r="K231" s="23" t="str">
        <f>IF(IF(ISNA(計算結果!K231),"",計算結果!K231)=0,"",IF(ISNA(計算結果!K231),"",計算結果!K231))</f>
        <v/>
      </c>
      <c r="L231" s="13" t="str">
        <f>IF(IF(ISNA(計算結果!L231),"",計算結果!L231)=0,"",IF(ISNA(計算結果!L231),"",計算結果!L231))</f>
        <v/>
      </c>
      <c r="M231" s="10" t="str">
        <f>IF(IF(ISNA(計算結果!M231),"",計算結果!M231)=0,"",IF(ISNA(計算結果!M231),"",計算結果!M231))</f>
        <v/>
      </c>
      <c r="N231" s="10" t="str">
        <f>IF(IF(ISNA(計算結果!N231),"",計算結果!N231)=0,"",IF(ISNA(計算結果!N231),"",計算結果!N231))</f>
        <v/>
      </c>
      <c r="O231" s="13" t="str">
        <f>IF(IF(ISNA(計算結果!O231),"",計算結果!O231)=0,"",IF(ISNA(計算結果!O231),"",計算結果!O231))</f>
        <v/>
      </c>
      <c r="P231" s="10" t="str">
        <f>IF(IF(ISNA(計算結果!P231),"",計算結果!P231)=0,"",IF(ISNA(計算結果!P231),"",計算結果!P231))</f>
        <v/>
      </c>
      <c r="Q231" s="10" t="str">
        <f>IF(IF(ISNA(計算結果!Q231),"",計算結果!Q231)=0,"",IF(ISNA(計算結果!Q231),"",計算結果!Q231))</f>
        <v/>
      </c>
      <c r="R231" s="14" t="str">
        <f t="shared" si="9"/>
        <v/>
      </c>
      <c r="S231" s="14" t="str">
        <f t="shared" si="10"/>
        <v>◯</v>
      </c>
      <c r="T231" s="14" t="str">
        <f t="shared" si="11"/>
        <v/>
      </c>
    </row>
    <row r="232" spans="1:20" hidden="1" x14ac:dyDescent="0.45">
      <c r="A232" s="10" t="str">
        <f>IF(IF(ISNA(計算結果!A232),"",計算結果!A232)=0,"",IF(ISNA(計算結果!A232),"",計算結果!A232))</f>
        <v/>
      </c>
      <c r="B232" s="10" t="str">
        <f>IF(IF(ISNA(計算結果!B232),"",計算結果!B232)=0,"",IF(ISNA(計算結果!B232),"",計算結果!B232))</f>
        <v/>
      </c>
      <c r="C232" s="10" t="str">
        <f>IF(IF(ISNA(計算結果!C232),"",計算結果!C232)=0,"",IF(ISNA(計算結果!C232),"",計算結果!C232))</f>
        <v/>
      </c>
      <c r="D232" s="10" t="str">
        <f>IF(IF(ISNA(計算結果!D232),"",計算結果!D232)=0,"",IF(ISNA(計算結果!D232),"",計算結果!D232))</f>
        <v>L</v>
      </c>
      <c r="E232" s="10" t="str">
        <f>IF(IF(ISNA(計算結果!E232),"",計算結果!E232)=0,"",IF(ISNA(計算結果!E232),"",計算結果!E232))</f>
        <v/>
      </c>
      <c r="F232" s="10" t="str">
        <f>IF(IF(ISNA(計算結果!F232),"",計算結果!F232)=0,"",IF(ISNA(計算結果!F232),"",計算結果!F232))</f>
        <v/>
      </c>
      <c r="G232" s="10" t="str">
        <f>IF(IF(ISNA(計算結果!G232),"",計算結果!G232)=0,"",IF(ISNA(計算結果!G232),"",計算結果!G232))</f>
        <v/>
      </c>
      <c r="H232" s="13">
        <f>IF(IF(ISNA(計算結果!H232),"",計算結果!H232)=0,"",IF(ISNA(計算結果!H232),"",計算結果!H232))</f>
        <v>-2</v>
      </c>
      <c r="I232" s="12" t="str">
        <f>IF(IF(ISNA(計算結果!I232),"",計算結果!I232)=0,"",IF(ISNA(計算結果!I232),"",計算結果!I232))</f>
        <v/>
      </c>
      <c r="J232" s="12" t="str">
        <f>IF(IF(ISNA(計算結果!J232),"",計算結果!J232)=0,"",IF(ISNA(計算結果!J232),"",計算結果!J232))</f>
        <v/>
      </c>
      <c r="K232" s="23" t="str">
        <f>IF(IF(ISNA(計算結果!K232),"",計算結果!K232)=0,"",IF(ISNA(計算結果!K232),"",計算結果!K232))</f>
        <v/>
      </c>
      <c r="L232" s="13" t="str">
        <f>IF(IF(ISNA(計算結果!L232),"",計算結果!L232)=0,"",IF(ISNA(計算結果!L232),"",計算結果!L232))</f>
        <v/>
      </c>
      <c r="M232" s="10" t="str">
        <f>IF(IF(ISNA(計算結果!M232),"",計算結果!M232)=0,"",IF(ISNA(計算結果!M232),"",計算結果!M232))</f>
        <v/>
      </c>
      <c r="N232" s="10" t="str">
        <f>IF(IF(ISNA(計算結果!N232),"",計算結果!N232)=0,"",IF(ISNA(計算結果!N232),"",計算結果!N232))</f>
        <v/>
      </c>
      <c r="O232" s="13" t="str">
        <f>IF(IF(ISNA(計算結果!O232),"",計算結果!O232)=0,"",IF(ISNA(計算結果!O232),"",計算結果!O232))</f>
        <v/>
      </c>
      <c r="P232" s="10" t="str">
        <f>IF(IF(ISNA(計算結果!P232),"",計算結果!P232)=0,"",IF(ISNA(計算結果!P232),"",計算結果!P232))</f>
        <v/>
      </c>
      <c r="Q232" s="10" t="str">
        <f>IF(IF(ISNA(計算結果!Q232),"",計算結果!Q232)=0,"",IF(ISNA(計算結果!Q232),"",計算結果!Q232))</f>
        <v/>
      </c>
      <c r="R232" s="14" t="str">
        <f t="shared" si="9"/>
        <v/>
      </c>
      <c r="S232" s="14" t="str">
        <f t="shared" si="10"/>
        <v>◯</v>
      </c>
      <c r="T232" s="14" t="str">
        <f t="shared" si="11"/>
        <v/>
      </c>
    </row>
    <row r="233" spans="1:20" hidden="1" x14ac:dyDescent="0.45">
      <c r="A233" s="10" t="str">
        <f>IF(IF(ISNA(計算結果!A233),"",計算結果!A233)=0,"",IF(ISNA(計算結果!A233),"",計算結果!A233))</f>
        <v/>
      </c>
      <c r="B233" s="10" t="str">
        <f>IF(IF(ISNA(計算結果!B233),"",計算結果!B233)=0,"",IF(ISNA(計算結果!B233),"",計算結果!B233))</f>
        <v/>
      </c>
      <c r="C233" s="10" t="str">
        <f>IF(IF(ISNA(計算結果!C233),"",計算結果!C233)=0,"",IF(ISNA(計算結果!C233),"",計算結果!C233))</f>
        <v/>
      </c>
      <c r="D233" s="10" t="str">
        <f>IF(IF(ISNA(計算結果!D233),"",計算結果!D233)=0,"",IF(ISNA(計算結果!D233),"",計算結果!D233))</f>
        <v>L</v>
      </c>
      <c r="E233" s="10" t="str">
        <f>IF(IF(ISNA(計算結果!E233),"",計算結果!E233)=0,"",IF(ISNA(計算結果!E233),"",計算結果!E233))</f>
        <v/>
      </c>
      <c r="F233" s="10" t="str">
        <f>IF(IF(ISNA(計算結果!F233),"",計算結果!F233)=0,"",IF(ISNA(計算結果!F233),"",計算結果!F233))</f>
        <v/>
      </c>
      <c r="G233" s="10" t="str">
        <f>IF(IF(ISNA(計算結果!G233),"",計算結果!G233)=0,"",IF(ISNA(計算結果!G233),"",計算結果!G233))</f>
        <v/>
      </c>
      <c r="H233" s="13">
        <f>IF(IF(ISNA(計算結果!H233),"",計算結果!H233)=0,"",IF(ISNA(計算結果!H233),"",計算結果!H233))</f>
        <v>-2</v>
      </c>
      <c r="I233" s="12" t="str">
        <f>IF(IF(ISNA(計算結果!I233),"",計算結果!I233)=0,"",IF(ISNA(計算結果!I233),"",計算結果!I233))</f>
        <v/>
      </c>
      <c r="J233" s="12" t="str">
        <f>IF(IF(ISNA(計算結果!J233),"",計算結果!J233)=0,"",IF(ISNA(計算結果!J233),"",計算結果!J233))</f>
        <v/>
      </c>
      <c r="K233" s="23" t="str">
        <f>IF(IF(ISNA(計算結果!K233),"",計算結果!K233)=0,"",IF(ISNA(計算結果!K233),"",計算結果!K233))</f>
        <v/>
      </c>
      <c r="L233" s="13" t="str">
        <f>IF(IF(ISNA(計算結果!L233),"",計算結果!L233)=0,"",IF(ISNA(計算結果!L233),"",計算結果!L233))</f>
        <v/>
      </c>
      <c r="M233" s="10" t="str">
        <f>IF(IF(ISNA(計算結果!M233),"",計算結果!M233)=0,"",IF(ISNA(計算結果!M233),"",計算結果!M233))</f>
        <v/>
      </c>
      <c r="N233" s="10" t="str">
        <f>IF(IF(ISNA(計算結果!N233),"",計算結果!N233)=0,"",IF(ISNA(計算結果!N233),"",計算結果!N233))</f>
        <v/>
      </c>
      <c r="O233" s="13" t="str">
        <f>IF(IF(ISNA(計算結果!O233),"",計算結果!O233)=0,"",IF(ISNA(計算結果!O233),"",計算結果!O233))</f>
        <v/>
      </c>
      <c r="P233" s="10" t="str">
        <f>IF(IF(ISNA(計算結果!P233),"",計算結果!P233)=0,"",IF(ISNA(計算結果!P233),"",計算結果!P233))</f>
        <v/>
      </c>
      <c r="Q233" s="10" t="str">
        <f>IF(IF(ISNA(計算結果!Q233),"",計算結果!Q233)=0,"",IF(ISNA(計算結果!Q233),"",計算結果!Q233))</f>
        <v/>
      </c>
      <c r="R233" s="14" t="str">
        <f t="shared" si="9"/>
        <v/>
      </c>
      <c r="S233" s="14" t="str">
        <f t="shared" si="10"/>
        <v>◯</v>
      </c>
      <c r="T233" s="14" t="str">
        <f t="shared" si="11"/>
        <v/>
      </c>
    </row>
    <row r="234" spans="1:20" hidden="1" x14ac:dyDescent="0.45">
      <c r="A234" s="10" t="str">
        <f>IF(IF(ISNA(計算結果!A234),"",計算結果!A234)=0,"",IF(ISNA(計算結果!A234),"",計算結果!A234))</f>
        <v/>
      </c>
      <c r="B234" s="10" t="str">
        <f>IF(IF(ISNA(計算結果!B234),"",計算結果!B234)=0,"",IF(ISNA(計算結果!B234),"",計算結果!B234))</f>
        <v/>
      </c>
      <c r="C234" s="10" t="str">
        <f>IF(IF(ISNA(計算結果!C234),"",計算結果!C234)=0,"",IF(ISNA(計算結果!C234),"",計算結果!C234))</f>
        <v/>
      </c>
      <c r="D234" s="10" t="str">
        <f>IF(IF(ISNA(計算結果!D234),"",計算結果!D234)=0,"",IF(ISNA(計算結果!D234),"",計算結果!D234))</f>
        <v>L</v>
      </c>
      <c r="E234" s="10" t="str">
        <f>IF(IF(ISNA(計算結果!E234),"",計算結果!E234)=0,"",IF(ISNA(計算結果!E234),"",計算結果!E234))</f>
        <v/>
      </c>
      <c r="F234" s="10" t="str">
        <f>IF(IF(ISNA(計算結果!F234),"",計算結果!F234)=0,"",IF(ISNA(計算結果!F234),"",計算結果!F234))</f>
        <v/>
      </c>
      <c r="G234" s="10" t="str">
        <f>IF(IF(ISNA(計算結果!G234),"",計算結果!G234)=0,"",IF(ISNA(計算結果!G234),"",計算結果!G234))</f>
        <v/>
      </c>
      <c r="H234" s="13">
        <f>IF(IF(ISNA(計算結果!H234),"",計算結果!H234)=0,"",IF(ISNA(計算結果!H234),"",計算結果!H234))</f>
        <v>-2</v>
      </c>
      <c r="I234" s="12" t="str">
        <f>IF(IF(ISNA(計算結果!I234),"",計算結果!I234)=0,"",IF(ISNA(計算結果!I234),"",計算結果!I234))</f>
        <v/>
      </c>
      <c r="J234" s="12" t="str">
        <f>IF(IF(ISNA(計算結果!J234),"",計算結果!J234)=0,"",IF(ISNA(計算結果!J234),"",計算結果!J234))</f>
        <v/>
      </c>
      <c r="K234" s="23" t="str">
        <f>IF(IF(ISNA(計算結果!K234),"",計算結果!K234)=0,"",IF(ISNA(計算結果!K234),"",計算結果!K234))</f>
        <v/>
      </c>
      <c r="L234" s="13" t="str">
        <f>IF(IF(ISNA(計算結果!L234),"",計算結果!L234)=0,"",IF(ISNA(計算結果!L234),"",計算結果!L234))</f>
        <v/>
      </c>
      <c r="M234" s="10" t="str">
        <f>IF(IF(ISNA(計算結果!M234),"",計算結果!M234)=0,"",IF(ISNA(計算結果!M234),"",計算結果!M234))</f>
        <v/>
      </c>
      <c r="N234" s="10" t="str">
        <f>IF(IF(ISNA(計算結果!N234),"",計算結果!N234)=0,"",IF(ISNA(計算結果!N234),"",計算結果!N234))</f>
        <v/>
      </c>
      <c r="O234" s="13" t="str">
        <f>IF(IF(ISNA(計算結果!O234),"",計算結果!O234)=0,"",IF(ISNA(計算結果!O234),"",計算結果!O234))</f>
        <v/>
      </c>
      <c r="P234" s="10" t="str">
        <f>IF(IF(ISNA(計算結果!P234),"",計算結果!P234)=0,"",IF(ISNA(計算結果!P234),"",計算結果!P234))</f>
        <v/>
      </c>
      <c r="Q234" s="10" t="str">
        <f>IF(IF(ISNA(計算結果!Q234),"",計算結果!Q234)=0,"",IF(ISNA(計算結果!Q234),"",計算結果!Q234))</f>
        <v/>
      </c>
      <c r="R234" s="14" t="str">
        <f t="shared" si="9"/>
        <v/>
      </c>
      <c r="S234" s="14" t="str">
        <f t="shared" si="10"/>
        <v>◯</v>
      </c>
      <c r="T234" s="14" t="str">
        <f t="shared" si="11"/>
        <v/>
      </c>
    </row>
    <row r="235" spans="1:20" hidden="1" x14ac:dyDescent="0.45">
      <c r="A235" s="10" t="str">
        <f>IF(IF(ISNA(計算結果!A235),"",計算結果!A235)=0,"",IF(ISNA(計算結果!A235),"",計算結果!A235))</f>
        <v/>
      </c>
      <c r="B235" s="10" t="str">
        <f>IF(IF(ISNA(計算結果!B235),"",計算結果!B235)=0,"",IF(ISNA(計算結果!B235),"",計算結果!B235))</f>
        <v/>
      </c>
      <c r="C235" s="10" t="str">
        <f>IF(IF(ISNA(計算結果!C235),"",計算結果!C235)=0,"",IF(ISNA(計算結果!C235),"",計算結果!C235))</f>
        <v/>
      </c>
      <c r="D235" s="10" t="str">
        <f>IF(IF(ISNA(計算結果!D235),"",計算結果!D235)=0,"",IF(ISNA(計算結果!D235),"",計算結果!D235))</f>
        <v>L</v>
      </c>
      <c r="E235" s="10" t="str">
        <f>IF(IF(ISNA(計算結果!E235),"",計算結果!E235)=0,"",IF(ISNA(計算結果!E235),"",計算結果!E235))</f>
        <v/>
      </c>
      <c r="F235" s="10" t="str">
        <f>IF(IF(ISNA(計算結果!F235),"",計算結果!F235)=0,"",IF(ISNA(計算結果!F235),"",計算結果!F235))</f>
        <v/>
      </c>
      <c r="G235" s="10" t="str">
        <f>IF(IF(ISNA(計算結果!G235),"",計算結果!G235)=0,"",IF(ISNA(計算結果!G235),"",計算結果!G235))</f>
        <v/>
      </c>
      <c r="H235" s="13">
        <f>IF(IF(ISNA(計算結果!H235),"",計算結果!H235)=0,"",IF(ISNA(計算結果!H235),"",計算結果!H235))</f>
        <v>-2</v>
      </c>
      <c r="I235" s="12" t="str">
        <f>IF(IF(ISNA(計算結果!I235),"",計算結果!I235)=0,"",IF(ISNA(計算結果!I235),"",計算結果!I235))</f>
        <v/>
      </c>
      <c r="J235" s="12" t="str">
        <f>IF(IF(ISNA(計算結果!J235),"",計算結果!J235)=0,"",IF(ISNA(計算結果!J235),"",計算結果!J235))</f>
        <v/>
      </c>
      <c r="K235" s="23" t="str">
        <f>IF(IF(ISNA(計算結果!K235),"",計算結果!K235)=0,"",IF(ISNA(計算結果!K235),"",計算結果!K235))</f>
        <v/>
      </c>
      <c r="L235" s="13" t="str">
        <f>IF(IF(ISNA(計算結果!L235),"",計算結果!L235)=0,"",IF(ISNA(計算結果!L235),"",計算結果!L235))</f>
        <v/>
      </c>
      <c r="M235" s="10" t="str">
        <f>IF(IF(ISNA(計算結果!M235),"",計算結果!M235)=0,"",IF(ISNA(計算結果!M235),"",計算結果!M235))</f>
        <v/>
      </c>
      <c r="N235" s="10" t="str">
        <f>IF(IF(ISNA(計算結果!N235),"",計算結果!N235)=0,"",IF(ISNA(計算結果!N235),"",計算結果!N235))</f>
        <v/>
      </c>
      <c r="O235" s="13" t="str">
        <f>IF(IF(ISNA(計算結果!O235),"",計算結果!O235)=0,"",IF(ISNA(計算結果!O235),"",計算結果!O235))</f>
        <v/>
      </c>
      <c r="P235" s="10" t="str">
        <f>IF(IF(ISNA(計算結果!P235),"",計算結果!P235)=0,"",IF(ISNA(計算結果!P235),"",計算結果!P235))</f>
        <v/>
      </c>
      <c r="Q235" s="10" t="str">
        <f>IF(IF(ISNA(計算結果!Q235),"",計算結果!Q235)=0,"",IF(ISNA(計算結果!Q235),"",計算結果!Q235))</f>
        <v/>
      </c>
      <c r="R235" s="14" t="str">
        <f t="shared" si="9"/>
        <v/>
      </c>
      <c r="S235" s="14" t="str">
        <f t="shared" si="10"/>
        <v>◯</v>
      </c>
      <c r="T235" s="14" t="str">
        <f t="shared" si="11"/>
        <v/>
      </c>
    </row>
    <row r="236" spans="1:20" hidden="1" x14ac:dyDescent="0.45">
      <c r="A236" s="10" t="str">
        <f>IF(IF(ISNA(計算結果!A236),"",計算結果!A236)=0,"",IF(ISNA(計算結果!A236),"",計算結果!A236))</f>
        <v/>
      </c>
      <c r="B236" s="10" t="str">
        <f>IF(IF(ISNA(計算結果!B236),"",計算結果!B236)=0,"",IF(ISNA(計算結果!B236),"",計算結果!B236))</f>
        <v/>
      </c>
      <c r="C236" s="10" t="str">
        <f>IF(IF(ISNA(計算結果!C236),"",計算結果!C236)=0,"",IF(ISNA(計算結果!C236),"",計算結果!C236))</f>
        <v/>
      </c>
      <c r="D236" s="10" t="str">
        <f>IF(IF(ISNA(計算結果!D236),"",計算結果!D236)=0,"",IF(ISNA(計算結果!D236),"",計算結果!D236))</f>
        <v>L</v>
      </c>
      <c r="E236" s="10" t="str">
        <f>IF(IF(ISNA(計算結果!E236),"",計算結果!E236)=0,"",IF(ISNA(計算結果!E236),"",計算結果!E236))</f>
        <v/>
      </c>
      <c r="F236" s="10" t="str">
        <f>IF(IF(ISNA(計算結果!F236),"",計算結果!F236)=0,"",IF(ISNA(計算結果!F236),"",計算結果!F236))</f>
        <v/>
      </c>
      <c r="G236" s="10" t="str">
        <f>IF(IF(ISNA(計算結果!G236),"",計算結果!G236)=0,"",IF(ISNA(計算結果!G236),"",計算結果!G236))</f>
        <v/>
      </c>
      <c r="H236" s="13">
        <f>IF(IF(ISNA(計算結果!H236),"",計算結果!H236)=0,"",IF(ISNA(計算結果!H236),"",計算結果!H236))</f>
        <v>-2</v>
      </c>
      <c r="I236" s="12" t="str">
        <f>IF(IF(ISNA(計算結果!I236),"",計算結果!I236)=0,"",IF(ISNA(計算結果!I236),"",計算結果!I236))</f>
        <v/>
      </c>
      <c r="J236" s="12" t="str">
        <f>IF(IF(ISNA(計算結果!J236),"",計算結果!J236)=0,"",IF(ISNA(計算結果!J236),"",計算結果!J236))</f>
        <v/>
      </c>
      <c r="K236" s="23" t="str">
        <f>IF(IF(ISNA(計算結果!K236),"",計算結果!K236)=0,"",IF(ISNA(計算結果!K236),"",計算結果!K236))</f>
        <v/>
      </c>
      <c r="L236" s="13" t="str">
        <f>IF(IF(ISNA(計算結果!L236),"",計算結果!L236)=0,"",IF(ISNA(計算結果!L236),"",計算結果!L236))</f>
        <v/>
      </c>
      <c r="M236" s="10" t="str">
        <f>IF(IF(ISNA(計算結果!M236),"",計算結果!M236)=0,"",IF(ISNA(計算結果!M236),"",計算結果!M236))</f>
        <v/>
      </c>
      <c r="N236" s="10" t="str">
        <f>IF(IF(ISNA(計算結果!N236),"",計算結果!N236)=0,"",IF(ISNA(計算結果!N236),"",計算結果!N236))</f>
        <v/>
      </c>
      <c r="O236" s="13" t="str">
        <f>IF(IF(ISNA(計算結果!O236),"",計算結果!O236)=0,"",IF(ISNA(計算結果!O236),"",計算結果!O236))</f>
        <v/>
      </c>
      <c r="P236" s="10" t="str">
        <f>IF(IF(ISNA(計算結果!P236),"",計算結果!P236)=0,"",IF(ISNA(計算結果!P236),"",計算結果!P236))</f>
        <v/>
      </c>
      <c r="Q236" s="10" t="str">
        <f>IF(IF(ISNA(計算結果!Q236),"",計算結果!Q236)=0,"",IF(ISNA(計算結果!Q236),"",計算結果!Q236))</f>
        <v/>
      </c>
      <c r="R236" s="14" t="str">
        <f t="shared" si="9"/>
        <v/>
      </c>
      <c r="S236" s="14" t="str">
        <f t="shared" si="10"/>
        <v>◯</v>
      </c>
      <c r="T236" s="14" t="str">
        <f t="shared" si="11"/>
        <v/>
      </c>
    </row>
    <row r="237" spans="1:20" hidden="1" x14ac:dyDescent="0.45">
      <c r="A237" s="10" t="str">
        <f>IF(IF(ISNA(計算結果!A237),"",計算結果!A237)=0,"",IF(ISNA(計算結果!A237),"",計算結果!A237))</f>
        <v/>
      </c>
      <c r="B237" s="10" t="str">
        <f>IF(IF(ISNA(計算結果!B237),"",計算結果!B237)=0,"",IF(ISNA(計算結果!B237),"",計算結果!B237))</f>
        <v/>
      </c>
      <c r="C237" s="10" t="str">
        <f>IF(IF(ISNA(計算結果!C237),"",計算結果!C237)=0,"",IF(ISNA(計算結果!C237),"",計算結果!C237))</f>
        <v/>
      </c>
      <c r="D237" s="10" t="str">
        <f>IF(IF(ISNA(計算結果!D237),"",計算結果!D237)=0,"",IF(ISNA(計算結果!D237),"",計算結果!D237))</f>
        <v>L</v>
      </c>
      <c r="E237" s="10" t="str">
        <f>IF(IF(ISNA(計算結果!E237),"",計算結果!E237)=0,"",IF(ISNA(計算結果!E237),"",計算結果!E237))</f>
        <v/>
      </c>
      <c r="F237" s="10" t="str">
        <f>IF(IF(ISNA(計算結果!F237),"",計算結果!F237)=0,"",IF(ISNA(計算結果!F237),"",計算結果!F237))</f>
        <v/>
      </c>
      <c r="G237" s="10" t="str">
        <f>IF(IF(ISNA(計算結果!G237),"",計算結果!G237)=0,"",IF(ISNA(計算結果!G237),"",計算結果!G237))</f>
        <v/>
      </c>
      <c r="H237" s="13">
        <f>IF(IF(ISNA(計算結果!H237),"",計算結果!H237)=0,"",IF(ISNA(計算結果!H237),"",計算結果!H237))</f>
        <v>-2</v>
      </c>
      <c r="I237" s="12" t="str">
        <f>IF(IF(ISNA(計算結果!I237),"",計算結果!I237)=0,"",IF(ISNA(計算結果!I237),"",計算結果!I237))</f>
        <v/>
      </c>
      <c r="J237" s="12" t="str">
        <f>IF(IF(ISNA(計算結果!J237),"",計算結果!J237)=0,"",IF(ISNA(計算結果!J237),"",計算結果!J237))</f>
        <v/>
      </c>
      <c r="K237" s="23" t="str">
        <f>IF(IF(ISNA(計算結果!K237),"",計算結果!K237)=0,"",IF(ISNA(計算結果!K237),"",計算結果!K237))</f>
        <v/>
      </c>
      <c r="L237" s="13" t="str">
        <f>IF(IF(ISNA(計算結果!L237),"",計算結果!L237)=0,"",IF(ISNA(計算結果!L237),"",計算結果!L237))</f>
        <v/>
      </c>
      <c r="M237" s="10" t="str">
        <f>IF(IF(ISNA(計算結果!M237),"",計算結果!M237)=0,"",IF(ISNA(計算結果!M237),"",計算結果!M237))</f>
        <v/>
      </c>
      <c r="N237" s="10" t="str">
        <f>IF(IF(ISNA(計算結果!N237),"",計算結果!N237)=0,"",IF(ISNA(計算結果!N237),"",計算結果!N237))</f>
        <v/>
      </c>
      <c r="O237" s="13" t="str">
        <f>IF(IF(ISNA(計算結果!O237),"",計算結果!O237)=0,"",IF(ISNA(計算結果!O237),"",計算結果!O237))</f>
        <v/>
      </c>
      <c r="P237" s="10" t="str">
        <f>IF(IF(ISNA(計算結果!P237),"",計算結果!P237)=0,"",IF(ISNA(計算結果!P237),"",計算結果!P237))</f>
        <v/>
      </c>
      <c r="Q237" s="10" t="str">
        <f>IF(IF(ISNA(計算結果!Q237),"",計算結果!Q237)=0,"",IF(ISNA(計算結果!Q237),"",計算結果!Q237))</f>
        <v/>
      </c>
      <c r="R237" s="14" t="str">
        <f t="shared" si="9"/>
        <v/>
      </c>
      <c r="S237" s="14" t="str">
        <f t="shared" si="10"/>
        <v>◯</v>
      </c>
      <c r="T237" s="14" t="str">
        <f t="shared" si="11"/>
        <v/>
      </c>
    </row>
    <row r="238" spans="1:20" hidden="1" x14ac:dyDescent="0.45">
      <c r="A238" s="10" t="str">
        <f>IF(IF(ISNA(計算結果!A238),"",計算結果!A238)=0,"",IF(ISNA(計算結果!A238),"",計算結果!A238))</f>
        <v/>
      </c>
      <c r="B238" s="10" t="str">
        <f>IF(IF(ISNA(計算結果!B238),"",計算結果!B238)=0,"",IF(ISNA(計算結果!B238),"",計算結果!B238))</f>
        <v/>
      </c>
      <c r="C238" s="10" t="str">
        <f>IF(IF(ISNA(計算結果!C238),"",計算結果!C238)=0,"",IF(ISNA(計算結果!C238),"",計算結果!C238))</f>
        <v/>
      </c>
      <c r="D238" s="10" t="str">
        <f>IF(IF(ISNA(計算結果!D238),"",計算結果!D238)=0,"",IF(ISNA(計算結果!D238),"",計算結果!D238))</f>
        <v>L</v>
      </c>
      <c r="E238" s="10" t="str">
        <f>IF(IF(ISNA(計算結果!E238),"",計算結果!E238)=0,"",IF(ISNA(計算結果!E238),"",計算結果!E238))</f>
        <v/>
      </c>
      <c r="F238" s="10" t="str">
        <f>IF(IF(ISNA(計算結果!F238),"",計算結果!F238)=0,"",IF(ISNA(計算結果!F238),"",計算結果!F238))</f>
        <v/>
      </c>
      <c r="G238" s="10" t="str">
        <f>IF(IF(ISNA(計算結果!G238),"",計算結果!G238)=0,"",IF(ISNA(計算結果!G238),"",計算結果!G238))</f>
        <v/>
      </c>
      <c r="H238" s="13">
        <f>IF(IF(ISNA(計算結果!H238),"",計算結果!H238)=0,"",IF(ISNA(計算結果!H238),"",計算結果!H238))</f>
        <v>-2</v>
      </c>
      <c r="I238" s="12" t="str">
        <f>IF(IF(ISNA(計算結果!I238),"",計算結果!I238)=0,"",IF(ISNA(計算結果!I238),"",計算結果!I238))</f>
        <v/>
      </c>
      <c r="J238" s="12" t="str">
        <f>IF(IF(ISNA(計算結果!J238),"",計算結果!J238)=0,"",IF(ISNA(計算結果!J238),"",計算結果!J238))</f>
        <v/>
      </c>
      <c r="K238" s="23" t="str">
        <f>IF(IF(ISNA(計算結果!K238),"",計算結果!K238)=0,"",IF(ISNA(計算結果!K238),"",計算結果!K238))</f>
        <v/>
      </c>
      <c r="L238" s="13" t="str">
        <f>IF(IF(ISNA(計算結果!L238),"",計算結果!L238)=0,"",IF(ISNA(計算結果!L238),"",計算結果!L238))</f>
        <v/>
      </c>
      <c r="M238" s="10" t="str">
        <f>IF(IF(ISNA(計算結果!M238),"",計算結果!M238)=0,"",IF(ISNA(計算結果!M238),"",計算結果!M238))</f>
        <v/>
      </c>
      <c r="N238" s="10" t="str">
        <f>IF(IF(ISNA(計算結果!N238),"",計算結果!N238)=0,"",IF(ISNA(計算結果!N238),"",計算結果!N238))</f>
        <v/>
      </c>
      <c r="O238" s="13" t="str">
        <f>IF(IF(ISNA(計算結果!O238),"",計算結果!O238)=0,"",IF(ISNA(計算結果!O238),"",計算結果!O238))</f>
        <v/>
      </c>
      <c r="P238" s="10" t="str">
        <f>IF(IF(ISNA(計算結果!P238),"",計算結果!P238)=0,"",IF(ISNA(計算結果!P238),"",計算結果!P238))</f>
        <v/>
      </c>
      <c r="Q238" s="10" t="str">
        <f>IF(IF(ISNA(計算結果!Q238),"",計算結果!Q238)=0,"",IF(ISNA(計算結果!Q238),"",計算結果!Q238))</f>
        <v/>
      </c>
      <c r="R238" s="14" t="str">
        <f t="shared" si="9"/>
        <v/>
      </c>
      <c r="S238" s="14" t="str">
        <f t="shared" si="10"/>
        <v>◯</v>
      </c>
      <c r="T238" s="14" t="str">
        <f t="shared" si="11"/>
        <v/>
      </c>
    </row>
    <row r="239" spans="1:20" hidden="1" x14ac:dyDescent="0.45">
      <c r="A239" s="10" t="str">
        <f>IF(IF(ISNA(計算結果!A239),"",計算結果!A239)=0,"",IF(ISNA(計算結果!A239),"",計算結果!A239))</f>
        <v/>
      </c>
      <c r="B239" s="10" t="str">
        <f>IF(IF(ISNA(計算結果!B239),"",計算結果!B239)=0,"",IF(ISNA(計算結果!B239),"",計算結果!B239))</f>
        <v/>
      </c>
      <c r="C239" s="10" t="str">
        <f>IF(IF(ISNA(計算結果!C239),"",計算結果!C239)=0,"",IF(ISNA(計算結果!C239),"",計算結果!C239))</f>
        <v/>
      </c>
      <c r="D239" s="10" t="str">
        <f>IF(IF(ISNA(計算結果!D239),"",計算結果!D239)=0,"",IF(ISNA(計算結果!D239),"",計算結果!D239))</f>
        <v>L</v>
      </c>
      <c r="E239" s="10" t="str">
        <f>IF(IF(ISNA(計算結果!E239),"",計算結果!E239)=0,"",IF(ISNA(計算結果!E239),"",計算結果!E239))</f>
        <v/>
      </c>
      <c r="F239" s="10" t="str">
        <f>IF(IF(ISNA(計算結果!F239),"",計算結果!F239)=0,"",IF(ISNA(計算結果!F239),"",計算結果!F239))</f>
        <v/>
      </c>
      <c r="G239" s="10" t="str">
        <f>IF(IF(ISNA(計算結果!G239),"",計算結果!G239)=0,"",IF(ISNA(計算結果!G239),"",計算結果!G239))</f>
        <v/>
      </c>
      <c r="H239" s="13">
        <f>IF(IF(ISNA(計算結果!H239),"",計算結果!H239)=0,"",IF(ISNA(計算結果!H239),"",計算結果!H239))</f>
        <v>-2</v>
      </c>
      <c r="I239" s="12" t="str">
        <f>IF(IF(ISNA(計算結果!I239),"",計算結果!I239)=0,"",IF(ISNA(計算結果!I239),"",計算結果!I239))</f>
        <v/>
      </c>
      <c r="J239" s="12" t="str">
        <f>IF(IF(ISNA(計算結果!J239),"",計算結果!J239)=0,"",IF(ISNA(計算結果!J239),"",計算結果!J239))</f>
        <v/>
      </c>
      <c r="K239" s="23" t="str">
        <f>IF(IF(ISNA(計算結果!K239),"",計算結果!K239)=0,"",IF(ISNA(計算結果!K239),"",計算結果!K239))</f>
        <v/>
      </c>
      <c r="L239" s="13" t="str">
        <f>IF(IF(ISNA(計算結果!L239),"",計算結果!L239)=0,"",IF(ISNA(計算結果!L239),"",計算結果!L239))</f>
        <v/>
      </c>
      <c r="M239" s="10" t="str">
        <f>IF(IF(ISNA(計算結果!M239),"",計算結果!M239)=0,"",IF(ISNA(計算結果!M239),"",計算結果!M239))</f>
        <v/>
      </c>
      <c r="N239" s="10" t="str">
        <f>IF(IF(ISNA(計算結果!N239),"",計算結果!N239)=0,"",IF(ISNA(計算結果!N239),"",計算結果!N239))</f>
        <v/>
      </c>
      <c r="O239" s="13" t="str">
        <f>IF(IF(ISNA(計算結果!O239),"",計算結果!O239)=0,"",IF(ISNA(計算結果!O239),"",計算結果!O239))</f>
        <v/>
      </c>
      <c r="P239" s="10" t="str">
        <f>IF(IF(ISNA(計算結果!P239),"",計算結果!P239)=0,"",IF(ISNA(計算結果!P239),"",計算結果!P239))</f>
        <v/>
      </c>
      <c r="Q239" s="10" t="str">
        <f>IF(IF(ISNA(計算結果!Q239),"",計算結果!Q239)=0,"",IF(ISNA(計算結果!Q239),"",計算結果!Q239))</f>
        <v/>
      </c>
      <c r="R239" s="14" t="str">
        <f t="shared" si="9"/>
        <v/>
      </c>
      <c r="S239" s="14" t="str">
        <f t="shared" si="10"/>
        <v>◯</v>
      </c>
      <c r="T239" s="14" t="str">
        <f t="shared" si="11"/>
        <v/>
      </c>
    </row>
    <row r="240" spans="1:20" hidden="1" x14ac:dyDescent="0.45">
      <c r="A240" s="10" t="str">
        <f>IF(IF(ISNA(計算結果!A240),"",計算結果!A240)=0,"",IF(ISNA(計算結果!A240),"",計算結果!A240))</f>
        <v/>
      </c>
      <c r="B240" s="10" t="str">
        <f>IF(IF(ISNA(計算結果!B240),"",計算結果!B240)=0,"",IF(ISNA(計算結果!B240),"",計算結果!B240))</f>
        <v/>
      </c>
      <c r="C240" s="10" t="str">
        <f>IF(IF(ISNA(計算結果!C240),"",計算結果!C240)=0,"",IF(ISNA(計算結果!C240),"",計算結果!C240))</f>
        <v/>
      </c>
      <c r="D240" s="10" t="str">
        <f>IF(IF(ISNA(計算結果!D240),"",計算結果!D240)=0,"",IF(ISNA(計算結果!D240),"",計算結果!D240))</f>
        <v>L</v>
      </c>
      <c r="E240" s="10" t="str">
        <f>IF(IF(ISNA(計算結果!E240),"",計算結果!E240)=0,"",IF(ISNA(計算結果!E240),"",計算結果!E240))</f>
        <v/>
      </c>
      <c r="F240" s="10" t="str">
        <f>IF(IF(ISNA(計算結果!F240),"",計算結果!F240)=0,"",IF(ISNA(計算結果!F240),"",計算結果!F240))</f>
        <v/>
      </c>
      <c r="G240" s="10" t="str">
        <f>IF(IF(ISNA(計算結果!G240),"",計算結果!G240)=0,"",IF(ISNA(計算結果!G240),"",計算結果!G240))</f>
        <v/>
      </c>
      <c r="H240" s="13">
        <f>IF(IF(ISNA(計算結果!H240),"",計算結果!H240)=0,"",IF(ISNA(計算結果!H240),"",計算結果!H240))</f>
        <v>-2</v>
      </c>
      <c r="I240" s="12" t="str">
        <f>IF(IF(ISNA(計算結果!I240),"",計算結果!I240)=0,"",IF(ISNA(計算結果!I240),"",計算結果!I240))</f>
        <v/>
      </c>
      <c r="J240" s="12" t="str">
        <f>IF(IF(ISNA(計算結果!J240),"",計算結果!J240)=0,"",IF(ISNA(計算結果!J240),"",計算結果!J240))</f>
        <v/>
      </c>
      <c r="K240" s="23" t="str">
        <f>IF(IF(ISNA(計算結果!K240),"",計算結果!K240)=0,"",IF(ISNA(計算結果!K240),"",計算結果!K240))</f>
        <v/>
      </c>
      <c r="L240" s="13" t="str">
        <f>IF(IF(ISNA(計算結果!L240),"",計算結果!L240)=0,"",IF(ISNA(計算結果!L240),"",計算結果!L240))</f>
        <v/>
      </c>
      <c r="M240" s="10" t="str">
        <f>IF(IF(ISNA(計算結果!M240),"",計算結果!M240)=0,"",IF(ISNA(計算結果!M240),"",計算結果!M240))</f>
        <v/>
      </c>
      <c r="N240" s="10" t="str">
        <f>IF(IF(ISNA(計算結果!N240),"",計算結果!N240)=0,"",IF(ISNA(計算結果!N240),"",計算結果!N240))</f>
        <v/>
      </c>
      <c r="O240" s="13" t="str">
        <f>IF(IF(ISNA(計算結果!O240),"",計算結果!O240)=0,"",IF(ISNA(計算結果!O240),"",計算結果!O240))</f>
        <v/>
      </c>
      <c r="P240" s="10" t="str">
        <f>IF(IF(ISNA(計算結果!P240),"",計算結果!P240)=0,"",IF(ISNA(計算結果!P240),"",計算結果!P240))</f>
        <v/>
      </c>
      <c r="Q240" s="10" t="str">
        <f>IF(IF(ISNA(計算結果!Q240),"",計算結果!Q240)=0,"",IF(ISNA(計算結果!Q240),"",計算結果!Q240))</f>
        <v/>
      </c>
      <c r="R240" s="14" t="str">
        <f t="shared" si="9"/>
        <v/>
      </c>
      <c r="S240" s="14" t="str">
        <f t="shared" si="10"/>
        <v>◯</v>
      </c>
      <c r="T240" s="14" t="str">
        <f t="shared" si="11"/>
        <v/>
      </c>
    </row>
    <row r="241" spans="1:20" hidden="1" x14ac:dyDescent="0.45">
      <c r="A241" s="10" t="str">
        <f>IF(IF(ISNA(計算結果!A241),"",計算結果!A241)=0,"",IF(ISNA(計算結果!A241),"",計算結果!A241))</f>
        <v/>
      </c>
      <c r="B241" s="10" t="str">
        <f>IF(IF(ISNA(計算結果!B241),"",計算結果!B241)=0,"",IF(ISNA(計算結果!B241),"",計算結果!B241))</f>
        <v/>
      </c>
      <c r="C241" s="10" t="str">
        <f>IF(IF(ISNA(計算結果!C241),"",計算結果!C241)=0,"",IF(ISNA(計算結果!C241),"",計算結果!C241))</f>
        <v/>
      </c>
      <c r="D241" s="10" t="str">
        <f>IF(IF(ISNA(計算結果!D241),"",計算結果!D241)=0,"",IF(ISNA(計算結果!D241),"",計算結果!D241))</f>
        <v>L</v>
      </c>
      <c r="E241" s="10" t="str">
        <f>IF(IF(ISNA(計算結果!E241),"",計算結果!E241)=0,"",IF(ISNA(計算結果!E241),"",計算結果!E241))</f>
        <v/>
      </c>
      <c r="F241" s="10" t="str">
        <f>IF(IF(ISNA(計算結果!F241),"",計算結果!F241)=0,"",IF(ISNA(計算結果!F241),"",計算結果!F241))</f>
        <v/>
      </c>
      <c r="G241" s="10" t="str">
        <f>IF(IF(ISNA(計算結果!G241),"",計算結果!G241)=0,"",IF(ISNA(計算結果!G241),"",計算結果!G241))</f>
        <v/>
      </c>
      <c r="H241" s="13">
        <f>IF(IF(ISNA(計算結果!H241),"",計算結果!H241)=0,"",IF(ISNA(計算結果!H241),"",計算結果!H241))</f>
        <v>-2</v>
      </c>
      <c r="I241" s="12" t="str">
        <f>IF(IF(ISNA(計算結果!I241),"",計算結果!I241)=0,"",IF(ISNA(計算結果!I241),"",計算結果!I241))</f>
        <v/>
      </c>
      <c r="J241" s="12" t="str">
        <f>IF(IF(ISNA(計算結果!J241),"",計算結果!J241)=0,"",IF(ISNA(計算結果!J241),"",計算結果!J241))</f>
        <v/>
      </c>
      <c r="K241" s="23" t="str">
        <f>IF(IF(ISNA(計算結果!K241),"",計算結果!K241)=0,"",IF(ISNA(計算結果!K241),"",計算結果!K241))</f>
        <v/>
      </c>
      <c r="L241" s="13" t="str">
        <f>IF(IF(ISNA(計算結果!L241),"",計算結果!L241)=0,"",IF(ISNA(計算結果!L241),"",計算結果!L241))</f>
        <v/>
      </c>
      <c r="M241" s="10" t="str">
        <f>IF(IF(ISNA(計算結果!M241),"",計算結果!M241)=0,"",IF(ISNA(計算結果!M241),"",計算結果!M241))</f>
        <v/>
      </c>
      <c r="N241" s="10" t="str">
        <f>IF(IF(ISNA(計算結果!N241),"",計算結果!N241)=0,"",IF(ISNA(計算結果!N241),"",計算結果!N241))</f>
        <v/>
      </c>
      <c r="O241" s="13" t="str">
        <f>IF(IF(ISNA(計算結果!O241),"",計算結果!O241)=0,"",IF(ISNA(計算結果!O241),"",計算結果!O241))</f>
        <v/>
      </c>
      <c r="P241" s="10" t="str">
        <f>IF(IF(ISNA(計算結果!P241),"",計算結果!P241)=0,"",IF(ISNA(計算結果!P241),"",計算結果!P241))</f>
        <v/>
      </c>
      <c r="Q241" s="10" t="str">
        <f>IF(IF(ISNA(計算結果!Q241),"",計算結果!Q241)=0,"",IF(ISNA(計算結果!Q241),"",計算結果!Q241))</f>
        <v/>
      </c>
      <c r="R241" s="14" t="str">
        <f t="shared" si="9"/>
        <v/>
      </c>
      <c r="S241" s="14" t="str">
        <f t="shared" si="10"/>
        <v>◯</v>
      </c>
      <c r="T241" s="14" t="str">
        <f t="shared" si="11"/>
        <v/>
      </c>
    </row>
    <row r="242" spans="1:20" hidden="1" x14ac:dyDescent="0.45">
      <c r="A242" s="10" t="str">
        <f>IF(IF(ISNA(計算結果!A242),"",計算結果!A242)=0,"",IF(ISNA(計算結果!A242),"",計算結果!A242))</f>
        <v/>
      </c>
      <c r="B242" s="10" t="str">
        <f>IF(IF(ISNA(計算結果!B242),"",計算結果!B242)=0,"",IF(ISNA(計算結果!B242),"",計算結果!B242))</f>
        <v/>
      </c>
      <c r="C242" s="10" t="str">
        <f>IF(IF(ISNA(計算結果!C242),"",計算結果!C242)=0,"",IF(ISNA(計算結果!C242),"",計算結果!C242))</f>
        <v/>
      </c>
      <c r="D242" s="10" t="str">
        <f>IF(IF(ISNA(計算結果!D242),"",計算結果!D242)=0,"",IF(ISNA(計算結果!D242),"",計算結果!D242))</f>
        <v>L</v>
      </c>
      <c r="E242" s="10" t="str">
        <f>IF(IF(ISNA(計算結果!E242),"",計算結果!E242)=0,"",IF(ISNA(計算結果!E242),"",計算結果!E242))</f>
        <v/>
      </c>
      <c r="F242" s="10" t="str">
        <f>IF(IF(ISNA(計算結果!F242),"",計算結果!F242)=0,"",IF(ISNA(計算結果!F242),"",計算結果!F242))</f>
        <v/>
      </c>
      <c r="G242" s="10" t="str">
        <f>IF(IF(ISNA(計算結果!G242),"",計算結果!G242)=0,"",IF(ISNA(計算結果!G242),"",計算結果!G242))</f>
        <v/>
      </c>
      <c r="H242" s="13">
        <f>IF(IF(ISNA(計算結果!H242),"",計算結果!H242)=0,"",IF(ISNA(計算結果!H242),"",計算結果!H242))</f>
        <v>-2</v>
      </c>
      <c r="I242" s="12" t="str">
        <f>IF(IF(ISNA(計算結果!I242),"",計算結果!I242)=0,"",IF(ISNA(計算結果!I242),"",計算結果!I242))</f>
        <v/>
      </c>
      <c r="J242" s="12" t="str">
        <f>IF(IF(ISNA(計算結果!J242),"",計算結果!J242)=0,"",IF(ISNA(計算結果!J242),"",計算結果!J242))</f>
        <v/>
      </c>
      <c r="K242" s="23" t="str">
        <f>IF(IF(ISNA(計算結果!K242),"",計算結果!K242)=0,"",IF(ISNA(計算結果!K242),"",計算結果!K242))</f>
        <v/>
      </c>
      <c r="L242" s="13" t="str">
        <f>IF(IF(ISNA(計算結果!L242),"",計算結果!L242)=0,"",IF(ISNA(計算結果!L242),"",計算結果!L242))</f>
        <v/>
      </c>
      <c r="M242" s="10" t="str">
        <f>IF(IF(ISNA(計算結果!M242),"",計算結果!M242)=0,"",IF(ISNA(計算結果!M242),"",計算結果!M242))</f>
        <v/>
      </c>
      <c r="N242" s="10" t="str">
        <f>IF(IF(ISNA(計算結果!N242),"",計算結果!N242)=0,"",IF(ISNA(計算結果!N242),"",計算結果!N242))</f>
        <v/>
      </c>
      <c r="O242" s="13" t="str">
        <f>IF(IF(ISNA(計算結果!O242),"",計算結果!O242)=0,"",IF(ISNA(計算結果!O242),"",計算結果!O242))</f>
        <v/>
      </c>
      <c r="P242" s="10" t="str">
        <f>IF(IF(ISNA(計算結果!P242),"",計算結果!P242)=0,"",IF(ISNA(計算結果!P242),"",計算結果!P242))</f>
        <v/>
      </c>
      <c r="Q242" s="10" t="str">
        <f>IF(IF(ISNA(計算結果!Q242),"",計算結果!Q242)=0,"",IF(ISNA(計算結果!Q242),"",計算結果!Q242))</f>
        <v/>
      </c>
      <c r="R242" s="14" t="str">
        <f t="shared" si="9"/>
        <v/>
      </c>
      <c r="S242" s="14" t="str">
        <f t="shared" si="10"/>
        <v>◯</v>
      </c>
      <c r="T242" s="14" t="str">
        <f t="shared" si="11"/>
        <v/>
      </c>
    </row>
    <row r="243" spans="1:20" hidden="1" x14ac:dyDescent="0.45">
      <c r="A243" s="10" t="str">
        <f>IF(IF(ISNA(計算結果!A243),"",計算結果!A243)=0,"",IF(ISNA(計算結果!A243),"",計算結果!A243))</f>
        <v/>
      </c>
      <c r="B243" s="10" t="str">
        <f>IF(IF(ISNA(計算結果!B243),"",計算結果!B243)=0,"",IF(ISNA(計算結果!B243),"",計算結果!B243))</f>
        <v/>
      </c>
      <c r="C243" s="10" t="str">
        <f>IF(IF(ISNA(計算結果!C243),"",計算結果!C243)=0,"",IF(ISNA(計算結果!C243),"",計算結果!C243))</f>
        <v/>
      </c>
      <c r="D243" s="10" t="str">
        <f>IF(IF(ISNA(計算結果!D243),"",計算結果!D243)=0,"",IF(ISNA(計算結果!D243),"",計算結果!D243))</f>
        <v>L</v>
      </c>
      <c r="E243" s="10" t="str">
        <f>IF(IF(ISNA(計算結果!E243),"",計算結果!E243)=0,"",IF(ISNA(計算結果!E243),"",計算結果!E243))</f>
        <v/>
      </c>
      <c r="F243" s="10" t="str">
        <f>IF(IF(ISNA(計算結果!F243),"",計算結果!F243)=0,"",IF(ISNA(計算結果!F243),"",計算結果!F243))</f>
        <v/>
      </c>
      <c r="G243" s="10" t="str">
        <f>IF(IF(ISNA(計算結果!G243),"",計算結果!G243)=0,"",IF(ISNA(計算結果!G243),"",計算結果!G243))</f>
        <v/>
      </c>
      <c r="H243" s="13">
        <f>IF(IF(ISNA(計算結果!H243),"",計算結果!H243)=0,"",IF(ISNA(計算結果!H243),"",計算結果!H243))</f>
        <v>-2</v>
      </c>
      <c r="I243" s="12" t="str">
        <f>IF(IF(ISNA(計算結果!I243),"",計算結果!I243)=0,"",IF(ISNA(計算結果!I243),"",計算結果!I243))</f>
        <v/>
      </c>
      <c r="J243" s="12" t="str">
        <f>IF(IF(ISNA(計算結果!J243),"",計算結果!J243)=0,"",IF(ISNA(計算結果!J243),"",計算結果!J243))</f>
        <v/>
      </c>
      <c r="K243" s="23" t="str">
        <f>IF(IF(ISNA(計算結果!K243),"",計算結果!K243)=0,"",IF(ISNA(計算結果!K243),"",計算結果!K243))</f>
        <v/>
      </c>
      <c r="L243" s="13" t="str">
        <f>IF(IF(ISNA(計算結果!L243),"",計算結果!L243)=0,"",IF(ISNA(計算結果!L243),"",計算結果!L243))</f>
        <v/>
      </c>
      <c r="M243" s="10" t="str">
        <f>IF(IF(ISNA(計算結果!M243),"",計算結果!M243)=0,"",IF(ISNA(計算結果!M243),"",計算結果!M243))</f>
        <v/>
      </c>
      <c r="N243" s="10" t="str">
        <f>IF(IF(ISNA(計算結果!N243),"",計算結果!N243)=0,"",IF(ISNA(計算結果!N243),"",計算結果!N243))</f>
        <v/>
      </c>
      <c r="O243" s="13" t="str">
        <f>IF(IF(ISNA(計算結果!O243),"",計算結果!O243)=0,"",IF(ISNA(計算結果!O243),"",計算結果!O243))</f>
        <v/>
      </c>
      <c r="P243" s="10" t="str">
        <f>IF(IF(ISNA(計算結果!P243),"",計算結果!P243)=0,"",IF(ISNA(計算結果!P243),"",計算結果!P243))</f>
        <v/>
      </c>
      <c r="Q243" s="10" t="str">
        <f>IF(IF(ISNA(計算結果!Q243),"",計算結果!Q243)=0,"",IF(ISNA(計算結果!Q243),"",計算結果!Q243))</f>
        <v/>
      </c>
      <c r="R243" s="14" t="str">
        <f t="shared" si="9"/>
        <v/>
      </c>
      <c r="S243" s="14" t="str">
        <f t="shared" si="10"/>
        <v>◯</v>
      </c>
      <c r="T243" s="14" t="str">
        <f t="shared" si="11"/>
        <v/>
      </c>
    </row>
    <row r="244" spans="1:20" hidden="1" x14ac:dyDescent="0.45">
      <c r="A244" s="10" t="str">
        <f>IF(IF(ISNA(計算結果!A244),"",計算結果!A244)=0,"",IF(ISNA(計算結果!A244),"",計算結果!A244))</f>
        <v/>
      </c>
      <c r="B244" s="10" t="str">
        <f>IF(IF(ISNA(計算結果!B244),"",計算結果!B244)=0,"",IF(ISNA(計算結果!B244),"",計算結果!B244))</f>
        <v/>
      </c>
      <c r="C244" s="10" t="str">
        <f>IF(IF(ISNA(計算結果!C244),"",計算結果!C244)=0,"",IF(ISNA(計算結果!C244),"",計算結果!C244))</f>
        <v/>
      </c>
      <c r="D244" s="10" t="str">
        <f>IF(IF(ISNA(計算結果!D244),"",計算結果!D244)=0,"",IF(ISNA(計算結果!D244),"",計算結果!D244))</f>
        <v>L</v>
      </c>
      <c r="E244" s="10" t="str">
        <f>IF(IF(ISNA(計算結果!E244),"",計算結果!E244)=0,"",IF(ISNA(計算結果!E244),"",計算結果!E244))</f>
        <v/>
      </c>
      <c r="F244" s="10" t="str">
        <f>IF(IF(ISNA(計算結果!F244),"",計算結果!F244)=0,"",IF(ISNA(計算結果!F244),"",計算結果!F244))</f>
        <v/>
      </c>
      <c r="G244" s="10" t="str">
        <f>IF(IF(ISNA(計算結果!G244),"",計算結果!G244)=0,"",IF(ISNA(計算結果!G244),"",計算結果!G244))</f>
        <v/>
      </c>
      <c r="H244" s="13">
        <f>IF(IF(ISNA(計算結果!H244),"",計算結果!H244)=0,"",IF(ISNA(計算結果!H244),"",計算結果!H244))</f>
        <v>-2</v>
      </c>
      <c r="I244" s="12" t="str">
        <f>IF(IF(ISNA(計算結果!I244),"",計算結果!I244)=0,"",IF(ISNA(計算結果!I244),"",計算結果!I244))</f>
        <v/>
      </c>
      <c r="J244" s="12" t="str">
        <f>IF(IF(ISNA(計算結果!J244),"",計算結果!J244)=0,"",IF(ISNA(計算結果!J244),"",計算結果!J244))</f>
        <v/>
      </c>
      <c r="K244" s="23" t="str">
        <f>IF(IF(ISNA(計算結果!K244),"",計算結果!K244)=0,"",IF(ISNA(計算結果!K244),"",計算結果!K244))</f>
        <v/>
      </c>
      <c r="L244" s="13" t="str">
        <f>IF(IF(ISNA(計算結果!L244),"",計算結果!L244)=0,"",IF(ISNA(計算結果!L244),"",計算結果!L244))</f>
        <v/>
      </c>
      <c r="M244" s="10" t="str">
        <f>IF(IF(ISNA(計算結果!M244),"",計算結果!M244)=0,"",IF(ISNA(計算結果!M244),"",計算結果!M244))</f>
        <v/>
      </c>
      <c r="N244" s="10" t="str">
        <f>IF(IF(ISNA(計算結果!N244),"",計算結果!N244)=0,"",IF(ISNA(計算結果!N244),"",計算結果!N244))</f>
        <v/>
      </c>
      <c r="O244" s="13" t="str">
        <f>IF(IF(ISNA(計算結果!O244),"",計算結果!O244)=0,"",IF(ISNA(計算結果!O244),"",計算結果!O244))</f>
        <v/>
      </c>
      <c r="P244" s="10" t="str">
        <f>IF(IF(ISNA(計算結果!P244),"",計算結果!P244)=0,"",IF(ISNA(計算結果!P244),"",計算結果!P244))</f>
        <v/>
      </c>
      <c r="Q244" s="10" t="str">
        <f>IF(IF(ISNA(計算結果!Q244),"",計算結果!Q244)=0,"",IF(ISNA(計算結果!Q244),"",計算結果!Q244))</f>
        <v/>
      </c>
      <c r="R244" s="14" t="str">
        <f t="shared" si="9"/>
        <v/>
      </c>
      <c r="S244" s="14" t="str">
        <f t="shared" si="10"/>
        <v>◯</v>
      </c>
      <c r="T244" s="14" t="str">
        <f t="shared" si="11"/>
        <v/>
      </c>
    </row>
    <row r="245" spans="1:20" hidden="1" x14ac:dyDescent="0.45">
      <c r="A245" s="10" t="str">
        <f>IF(IF(ISNA(計算結果!A245),"",計算結果!A245)=0,"",IF(ISNA(計算結果!A245),"",計算結果!A245))</f>
        <v/>
      </c>
      <c r="B245" s="10" t="str">
        <f>IF(IF(ISNA(計算結果!B245),"",計算結果!B245)=0,"",IF(ISNA(計算結果!B245),"",計算結果!B245))</f>
        <v/>
      </c>
      <c r="C245" s="10" t="str">
        <f>IF(IF(ISNA(計算結果!C245),"",計算結果!C245)=0,"",IF(ISNA(計算結果!C245),"",計算結果!C245))</f>
        <v/>
      </c>
      <c r="D245" s="10" t="str">
        <f>IF(IF(ISNA(計算結果!D245),"",計算結果!D245)=0,"",IF(ISNA(計算結果!D245),"",計算結果!D245))</f>
        <v>L</v>
      </c>
      <c r="E245" s="10" t="str">
        <f>IF(IF(ISNA(計算結果!E245),"",計算結果!E245)=0,"",IF(ISNA(計算結果!E245),"",計算結果!E245))</f>
        <v/>
      </c>
      <c r="F245" s="10" t="str">
        <f>IF(IF(ISNA(計算結果!F245),"",計算結果!F245)=0,"",IF(ISNA(計算結果!F245),"",計算結果!F245))</f>
        <v/>
      </c>
      <c r="G245" s="10" t="str">
        <f>IF(IF(ISNA(計算結果!G245),"",計算結果!G245)=0,"",IF(ISNA(計算結果!G245),"",計算結果!G245))</f>
        <v/>
      </c>
      <c r="H245" s="13">
        <f>IF(IF(ISNA(計算結果!H245),"",計算結果!H245)=0,"",IF(ISNA(計算結果!H245),"",計算結果!H245))</f>
        <v>-2</v>
      </c>
      <c r="I245" s="12" t="str">
        <f>IF(IF(ISNA(計算結果!I245),"",計算結果!I245)=0,"",IF(ISNA(計算結果!I245),"",計算結果!I245))</f>
        <v/>
      </c>
      <c r="J245" s="12" t="str">
        <f>IF(IF(ISNA(計算結果!J245),"",計算結果!J245)=0,"",IF(ISNA(計算結果!J245),"",計算結果!J245))</f>
        <v/>
      </c>
      <c r="K245" s="23" t="str">
        <f>IF(IF(ISNA(計算結果!K245),"",計算結果!K245)=0,"",IF(ISNA(計算結果!K245),"",計算結果!K245))</f>
        <v/>
      </c>
      <c r="L245" s="13" t="str">
        <f>IF(IF(ISNA(計算結果!L245),"",計算結果!L245)=0,"",IF(ISNA(計算結果!L245),"",計算結果!L245))</f>
        <v/>
      </c>
      <c r="M245" s="10" t="str">
        <f>IF(IF(ISNA(計算結果!M245),"",計算結果!M245)=0,"",IF(ISNA(計算結果!M245),"",計算結果!M245))</f>
        <v/>
      </c>
      <c r="N245" s="10" t="str">
        <f>IF(IF(ISNA(計算結果!N245),"",計算結果!N245)=0,"",IF(ISNA(計算結果!N245),"",計算結果!N245))</f>
        <v/>
      </c>
      <c r="O245" s="13" t="str">
        <f>IF(IF(ISNA(計算結果!O245),"",計算結果!O245)=0,"",IF(ISNA(計算結果!O245),"",計算結果!O245))</f>
        <v/>
      </c>
      <c r="P245" s="10" t="str">
        <f>IF(IF(ISNA(計算結果!P245),"",計算結果!P245)=0,"",IF(ISNA(計算結果!P245),"",計算結果!P245))</f>
        <v/>
      </c>
      <c r="Q245" s="10" t="str">
        <f>IF(IF(ISNA(計算結果!Q245),"",計算結果!Q245)=0,"",IF(ISNA(計算結果!Q245),"",計算結果!Q245))</f>
        <v/>
      </c>
      <c r="R245" s="14" t="str">
        <f t="shared" si="9"/>
        <v/>
      </c>
      <c r="S245" s="14" t="str">
        <f t="shared" si="10"/>
        <v>◯</v>
      </c>
      <c r="T245" s="14" t="str">
        <f t="shared" si="11"/>
        <v/>
      </c>
    </row>
    <row r="246" spans="1:20" hidden="1" x14ac:dyDescent="0.45">
      <c r="A246" s="10" t="str">
        <f>IF(IF(ISNA(計算結果!A246),"",計算結果!A246)=0,"",IF(ISNA(計算結果!A246),"",計算結果!A246))</f>
        <v/>
      </c>
      <c r="B246" s="10" t="str">
        <f>IF(IF(ISNA(計算結果!B246),"",計算結果!B246)=0,"",IF(ISNA(計算結果!B246),"",計算結果!B246))</f>
        <v/>
      </c>
      <c r="C246" s="10" t="str">
        <f>IF(IF(ISNA(計算結果!C246),"",計算結果!C246)=0,"",IF(ISNA(計算結果!C246),"",計算結果!C246))</f>
        <v/>
      </c>
      <c r="D246" s="10" t="str">
        <f>IF(IF(ISNA(計算結果!D246),"",計算結果!D246)=0,"",IF(ISNA(計算結果!D246),"",計算結果!D246))</f>
        <v>L</v>
      </c>
      <c r="E246" s="10" t="str">
        <f>IF(IF(ISNA(計算結果!E246),"",計算結果!E246)=0,"",IF(ISNA(計算結果!E246),"",計算結果!E246))</f>
        <v/>
      </c>
      <c r="F246" s="10" t="str">
        <f>IF(IF(ISNA(計算結果!F246),"",計算結果!F246)=0,"",IF(ISNA(計算結果!F246),"",計算結果!F246))</f>
        <v/>
      </c>
      <c r="G246" s="10" t="str">
        <f>IF(IF(ISNA(計算結果!G246),"",計算結果!G246)=0,"",IF(ISNA(計算結果!G246),"",計算結果!G246))</f>
        <v/>
      </c>
      <c r="H246" s="13">
        <f>IF(IF(ISNA(計算結果!H246),"",計算結果!H246)=0,"",IF(ISNA(計算結果!H246),"",計算結果!H246))</f>
        <v>-2</v>
      </c>
      <c r="I246" s="12" t="str">
        <f>IF(IF(ISNA(計算結果!I246),"",計算結果!I246)=0,"",IF(ISNA(計算結果!I246),"",計算結果!I246))</f>
        <v/>
      </c>
      <c r="J246" s="12" t="str">
        <f>IF(IF(ISNA(計算結果!J246),"",計算結果!J246)=0,"",IF(ISNA(計算結果!J246),"",計算結果!J246))</f>
        <v/>
      </c>
      <c r="K246" s="23" t="str">
        <f>IF(IF(ISNA(計算結果!K246),"",計算結果!K246)=0,"",IF(ISNA(計算結果!K246),"",計算結果!K246))</f>
        <v/>
      </c>
      <c r="L246" s="13" t="str">
        <f>IF(IF(ISNA(計算結果!L246),"",計算結果!L246)=0,"",IF(ISNA(計算結果!L246),"",計算結果!L246))</f>
        <v/>
      </c>
      <c r="M246" s="10" t="str">
        <f>IF(IF(ISNA(計算結果!M246),"",計算結果!M246)=0,"",IF(ISNA(計算結果!M246),"",計算結果!M246))</f>
        <v/>
      </c>
      <c r="N246" s="10" t="str">
        <f>IF(IF(ISNA(計算結果!N246),"",計算結果!N246)=0,"",IF(ISNA(計算結果!N246),"",計算結果!N246))</f>
        <v/>
      </c>
      <c r="O246" s="13" t="str">
        <f>IF(IF(ISNA(計算結果!O246),"",計算結果!O246)=0,"",IF(ISNA(計算結果!O246),"",計算結果!O246))</f>
        <v/>
      </c>
      <c r="P246" s="10" t="str">
        <f>IF(IF(ISNA(計算結果!P246),"",計算結果!P246)=0,"",IF(ISNA(計算結果!P246),"",計算結果!P246))</f>
        <v/>
      </c>
      <c r="Q246" s="10" t="str">
        <f>IF(IF(ISNA(計算結果!Q246),"",計算結果!Q246)=0,"",IF(ISNA(計算結果!Q246),"",計算結果!Q246))</f>
        <v/>
      </c>
      <c r="R246" s="14" t="str">
        <f t="shared" si="9"/>
        <v/>
      </c>
      <c r="S246" s="14" t="str">
        <f t="shared" si="10"/>
        <v>◯</v>
      </c>
      <c r="T246" s="14" t="str">
        <f t="shared" si="11"/>
        <v/>
      </c>
    </row>
    <row r="247" spans="1:20" hidden="1" x14ac:dyDescent="0.45">
      <c r="A247" s="10" t="str">
        <f>IF(IF(ISNA(計算結果!A247),"",計算結果!A247)=0,"",IF(ISNA(計算結果!A247),"",計算結果!A247))</f>
        <v/>
      </c>
      <c r="B247" s="10" t="str">
        <f>IF(IF(ISNA(計算結果!B247),"",計算結果!B247)=0,"",IF(ISNA(計算結果!B247),"",計算結果!B247))</f>
        <v/>
      </c>
      <c r="C247" s="10" t="str">
        <f>IF(IF(ISNA(計算結果!C247),"",計算結果!C247)=0,"",IF(ISNA(計算結果!C247),"",計算結果!C247))</f>
        <v/>
      </c>
      <c r="D247" s="10" t="str">
        <f>IF(IF(ISNA(計算結果!D247),"",計算結果!D247)=0,"",IF(ISNA(計算結果!D247),"",計算結果!D247))</f>
        <v>L</v>
      </c>
      <c r="E247" s="10" t="str">
        <f>IF(IF(ISNA(計算結果!E247),"",計算結果!E247)=0,"",IF(ISNA(計算結果!E247),"",計算結果!E247))</f>
        <v/>
      </c>
      <c r="F247" s="10" t="str">
        <f>IF(IF(ISNA(計算結果!F247),"",計算結果!F247)=0,"",IF(ISNA(計算結果!F247),"",計算結果!F247))</f>
        <v/>
      </c>
      <c r="G247" s="10" t="str">
        <f>IF(IF(ISNA(計算結果!G247),"",計算結果!G247)=0,"",IF(ISNA(計算結果!G247),"",計算結果!G247))</f>
        <v/>
      </c>
      <c r="H247" s="13">
        <f>IF(IF(ISNA(計算結果!H247),"",計算結果!H247)=0,"",IF(ISNA(計算結果!H247),"",計算結果!H247))</f>
        <v>-2</v>
      </c>
      <c r="I247" s="12" t="str">
        <f>IF(IF(ISNA(計算結果!I247),"",計算結果!I247)=0,"",IF(ISNA(計算結果!I247),"",計算結果!I247))</f>
        <v/>
      </c>
      <c r="J247" s="12" t="str">
        <f>IF(IF(ISNA(計算結果!J247),"",計算結果!J247)=0,"",IF(ISNA(計算結果!J247),"",計算結果!J247))</f>
        <v/>
      </c>
      <c r="K247" s="23" t="str">
        <f>IF(IF(ISNA(計算結果!K247),"",計算結果!K247)=0,"",IF(ISNA(計算結果!K247),"",計算結果!K247))</f>
        <v/>
      </c>
      <c r="L247" s="13" t="str">
        <f>IF(IF(ISNA(計算結果!L247),"",計算結果!L247)=0,"",IF(ISNA(計算結果!L247),"",計算結果!L247))</f>
        <v/>
      </c>
      <c r="M247" s="10" t="str">
        <f>IF(IF(ISNA(計算結果!M247),"",計算結果!M247)=0,"",IF(ISNA(計算結果!M247),"",計算結果!M247))</f>
        <v/>
      </c>
      <c r="N247" s="10" t="str">
        <f>IF(IF(ISNA(計算結果!N247),"",計算結果!N247)=0,"",IF(ISNA(計算結果!N247),"",計算結果!N247))</f>
        <v/>
      </c>
      <c r="O247" s="13" t="str">
        <f>IF(IF(ISNA(計算結果!O247),"",計算結果!O247)=0,"",IF(ISNA(計算結果!O247),"",計算結果!O247))</f>
        <v/>
      </c>
      <c r="P247" s="10" t="str">
        <f>IF(IF(ISNA(計算結果!P247),"",計算結果!P247)=0,"",IF(ISNA(計算結果!P247),"",計算結果!P247))</f>
        <v/>
      </c>
      <c r="Q247" s="10" t="str">
        <f>IF(IF(ISNA(計算結果!Q247),"",計算結果!Q247)=0,"",IF(ISNA(計算結果!Q247),"",計算結果!Q247))</f>
        <v/>
      </c>
      <c r="R247" s="14" t="str">
        <f t="shared" si="9"/>
        <v/>
      </c>
      <c r="S247" s="14" t="str">
        <f t="shared" si="10"/>
        <v>◯</v>
      </c>
      <c r="T247" s="14" t="str">
        <f t="shared" si="11"/>
        <v/>
      </c>
    </row>
    <row r="248" spans="1:20" hidden="1" x14ac:dyDescent="0.45">
      <c r="A248" s="10" t="str">
        <f>IF(IF(ISNA(計算結果!A248),"",計算結果!A248)=0,"",IF(ISNA(計算結果!A248),"",計算結果!A248))</f>
        <v/>
      </c>
      <c r="B248" s="10" t="str">
        <f>IF(IF(ISNA(計算結果!B248),"",計算結果!B248)=0,"",IF(ISNA(計算結果!B248),"",計算結果!B248))</f>
        <v/>
      </c>
      <c r="C248" s="10" t="str">
        <f>IF(IF(ISNA(計算結果!C248),"",計算結果!C248)=0,"",IF(ISNA(計算結果!C248),"",計算結果!C248))</f>
        <v/>
      </c>
      <c r="D248" s="10" t="str">
        <f>IF(IF(ISNA(計算結果!D248),"",計算結果!D248)=0,"",IF(ISNA(計算結果!D248),"",計算結果!D248))</f>
        <v>L</v>
      </c>
      <c r="E248" s="10" t="str">
        <f>IF(IF(ISNA(計算結果!E248),"",計算結果!E248)=0,"",IF(ISNA(計算結果!E248),"",計算結果!E248))</f>
        <v/>
      </c>
      <c r="F248" s="10" t="str">
        <f>IF(IF(ISNA(計算結果!F248),"",計算結果!F248)=0,"",IF(ISNA(計算結果!F248),"",計算結果!F248))</f>
        <v/>
      </c>
      <c r="G248" s="10" t="str">
        <f>IF(IF(ISNA(計算結果!G248),"",計算結果!G248)=0,"",IF(ISNA(計算結果!G248),"",計算結果!G248))</f>
        <v/>
      </c>
      <c r="H248" s="13">
        <f>IF(IF(ISNA(計算結果!H248),"",計算結果!H248)=0,"",IF(ISNA(計算結果!H248),"",計算結果!H248))</f>
        <v>-2</v>
      </c>
      <c r="I248" s="12" t="str">
        <f>IF(IF(ISNA(計算結果!I248),"",計算結果!I248)=0,"",IF(ISNA(計算結果!I248),"",計算結果!I248))</f>
        <v/>
      </c>
      <c r="J248" s="12" t="str">
        <f>IF(IF(ISNA(計算結果!J248),"",計算結果!J248)=0,"",IF(ISNA(計算結果!J248),"",計算結果!J248))</f>
        <v/>
      </c>
      <c r="K248" s="23" t="str">
        <f>IF(IF(ISNA(計算結果!K248),"",計算結果!K248)=0,"",IF(ISNA(計算結果!K248),"",計算結果!K248))</f>
        <v/>
      </c>
      <c r="L248" s="13" t="str">
        <f>IF(IF(ISNA(計算結果!L248),"",計算結果!L248)=0,"",IF(ISNA(計算結果!L248),"",計算結果!L248))</f>
        <v/>
      </c>
      <c r="M248" s="10" t="str">
        <f>IF(IF(ISNA(計算結果!M248),"",計算結果!M248)=0,"",IF(ISNA(計算結果!M248),"",計算結果!M248))</f>
        <v/>
      </c>
      <c r="N248" s="10" t="str">
        <f>IF(IF(ISNA(計算結果!N248),"",計算結果!N248)=0,"",IF(ISNA(計算結果!N248),"",計算結果!N248))</f>
        <v/>
      </c>
      <c r="O248" s="13" t="str">
        <f>IF(IF(ISNA(計算結果!O248),"",計算結果!O248)=0,"",IF(ISNA(計算結果!O248),"",計算結果!O248))</f>
        <v/>
      </c>
      <c r="P248" s="10" t="str">
        <f>IF(IF(ISNA(計算結果!P248),"",計算結果!P248)=0,"",IF(ISNA(計算結果!P248),"",計算結果!P248))</f>
        <v/>
      </c>
      <c r="Q248" s="10" t="str">
        <f>IF(IF(ISNA(計算結果!Q248),"",計算結果!Q248)=0,"",IF(ISNA(計算結果!Q248),"",計算結果!Q248))</f>
        <v/>
      </c>
      <c r="R248" s="14" t="str">
        <f t="shared" si="9"/>
        <v/>
      </c>
      <c r="S248" s="14" t="str">
        <f t="shared" si="10"/>
        <v>◯</v>
      </c>
      <c r="T248" s="14" t="str">
        <f t="shared" si="11"/>
        <v/>
      </c>
    </row>
    <row r="249" spans="1:20" hidden="1" x14ac:dyDescent="0.45">
      <c r="A249" s="10" t="str">
        <f>IF(IF(ISNA(計算結果!A249),"",計算結果!A249)=0,"",IF(ISNA(計算結果!A249),"",計算結果!A249))</f>
        <v/>
      </c>
      <c r="B249" s="10" t="str">
        <f>IF(IF(ISNA(計算結果!B249),"",計算結果!B249)=0,"",IF(ISNA(計算結果!B249),"",計算結果!B249))</f>
        <v/>
      </c>
      <c r="C249" s="10" t="str">
        <f>IF(IF(ISNA(計算結果!C249),"",計算結果!C249)=0,"",IF(ISNA(計算結果!C249),"",計算結果!C249))</f>
        <v/>
      </c>
      <c r="D249" s="10" t="str">
        <f>IF(IF(ISNA(計算結果!D249),"",計算結果!D249)=0,"",IF(ISNA(計算結果!D249),"",計算結果!D249))</f>
        <v>L</v>
      </c>
      <c r="E249" s="10" t="str">
        <f>IF(IF(ISNA(計算結果!E249),"",計算結果!E249)=0,"",IF(ISNA(計算結果!E249),"",計算結果!E249))</f>
        <v/>
      </c>
      <c r="F249" s="10" t="str">
        <f>IF(IF(ISNA(計算結果!F249),"",計算結果!F249)=0,"",IF(ISNA(計算結果!F249),"",計算結果!F249))</f>
        <v/>
      </c>
      <c r="G249" s="10" t="str">
        <f>IF(IF(ISNA(計算結果!G249),"",計算結果!G249)=0,"",IF(ISNA(計算結果!G249),"",計算結果!G249))</f>
        <v/>
      </c>
      <c r="H249" s="13">
        <f>IF(IF(ISNA(計算結果!H249),"",計算結果!H249)=0,"",IF(ISNA(計算結果!H249),"",計算結果!H249))</f>
        <v>-2</v>
      </c>
      <c r="I249" s="12" t="str">
        <f>IF(IF(ISNA(計算結果!I249),"",計算結果!I249)=0,"",IF(ISNA(計算結果!I249),"",計算結果!I249))</f>
        <v/>
      </c>
      <c r="J249" s="12" t="str">
        <f>IF(IF(ISNA(計算結果!J249),"",計算結果!J249)=0,"",IF(ISNA(計算結果!J249),"",計算結果!J249))</f>
        <v/>
      </c>
      <c r="K249" s="23" t="str">
        <f>IF(IF(ISNA(計算結果!K249),"",計算結果!K249)=0,"",IF(ISNA(計算結果!K249),"",計算結果!K249))</f>
        <v/>
      </c>
      <c r="L249" s="13" t="str">
        <f>IF(IF(ISNA(計算結果!L249),"",計算結果!L249)=0,"",IF(ISNA(計算結果!L249),"",計算結果!L249))</f>
        <v/>
      </c>
      <c r="M249" s="10" t="str">
        <f>IF(IF(ISNA(計算結果!M249),"",計算結果!M249)=0,"",IF(ISNA(計算結果!M249),"",計算結果!M249))</f>
        <v/>
      </c>
      <c r="N249" s="10" t="str">
        <f>IF(IF(ISNA(計算結果!N249),"",計算結果!N249)=0,"",IF(ISNA(計算結果!N249),"",計算結果!N249))</f>
        <v/>
      </c>
      <c r="O249" s="13" t="str">
        <f>IF(IF(ISNA(計算結果!O249),"",計算結果!O249)=0,"",IF(ISNA(計算結果!O249),"",計算結果!O249))</f>
        <v/>
      </c>
      <c r="P249" s="10" t="str">
        <f>IF(IF(ISNA(計算結果!P249),"",計算結果!P249)=0,"",IF(ISNA(計算結果!P249),"",計算結果!P249))</f>
        <v/>
      </c>
      <c r="Q249" s="10" t="str">
        <f>IF(IF(ISNA(計算結果!Q249),"",計算結果!Q249)=0,"",IF(ISNA(計算結果!Q249),"",計算結果!Q249))</f>
        <v/>
      </c>
      <c r="R249" s="14" t="str">
        <f t="shared" si="9"/>
        <v/>
      </c>
      <c r="S249" s="14" t="str">
        <f t="shared" si="10"/>
        <v>◯</v>
      </c>
      <c r="T249" s="14" t="str">
        <f t="shared" si="11"/>
        <v/>
      </c>
    </row>
    <row r="250" spans="1:20" hidden="1" x14ac:dyDescent="0.45">
      <c r="A250" s="10" t="str">
        <f>IF(IF(ISNA(計算結果!A250),"",計算結果!A250)=0,"",IF(ISNA(計算結果!A250),"",計算結果!A250))</f>
        <v/>
      </c>
      <c r="B250" s="10" t="str">
        <f>IF(IF(ISNA(計算結果!B250),"",計算結果!B250)=0,"",IF(ISNA(計算結果!B250),"",計算結果!B250))</f>
        <v/>
      </c>
      <c r="C250" s="10" t="str">
        <f>IF(IF(ISNA(計算結果!C250),"",計算結果!C250)=0,"",IF(ISNA(計算結果!C250),"",計算結果!C250))</f>
        <v/>
      </c>
      <c r="D250" s="10" t="str">
        <f>IF(IF(ISNA(計算結果!D250),"",計算結果!D250)=0,"",IF(ISNA(計算結果!D250),"",計算結果!D250))</f>
        <v>L</v>
      </c>
      <c r="E250" s="10" t="str">
        <f>IF(IF(ISNA(計算結果!E250),"",計算結果!E250)=0,"",IF(ISNA(計算結果!E250),"",計算結果!E250))</f>
        <v/>
      </c>
      <c r="F250" s="10" t="str">
        <f>IF(IF(ISNA(計算結果!F250),"",計算結果!F250)=0,"",IF(ISNA(計算結果!F250),"",計算結果!F250))</f>
        <v/>
      </c>
      <c r="G250" s="10" t="str">
        <f>IF(IF(ISNA(計算結果!G250),"",計算結果!G250)=0,"",IF(ISNA(計算結果!G250),"",計算結果!G250))</f>
        <v/>
      </c>
      <c r="H250" s="13">
        <f>IF(IF(ISNA(計算結果!H250),"",計算結果!H250)=0,"",IF(ISNA(計算結果!H250),"",計算結果!H250))</f>
        <v>-2</v>
      </c>
      <c r="I250" s="12" t="str">
        <f>IF(IF(ISNA(計算結果!I250),"",計算結果!I250)=0,"",IF(ISNA(計算結果!I250),"",計算結果!I250))</f>
        <v/>
      </c>
      <c r="J250" s="12" t="str">
        <f>IF(IF(ISNA(計算結果!J250),"",計算結果!J250)=0,"",IF(ISNA(計算結果!J250),"",計算結果!J250))</f>
        <v/>
      </c>
      <c r="K250" s="23" t="str">
        <f>IF(IF(ISNA(計算結果!K250),"",計算結果!K250)=0,"",IF(ISNA(計算結果!K250),"",計算結果!K250))</f>
        <v/>
      </c>
      <c r="L250" s="13" t="str">
        <f>IF(IF(ISNA(計算結果!L250),"",計算結果!L250)=0,"",IF(ISNA(計算結果!L250),"",計算結果!L250))</f>
        <v/>
      </c>
      <c r="M250" s="10" t="str">
        <f>IF(IF(ISNA(計算結果!M250),"",計算結果!M250)=0,"",IF(ISNA(計算結果!M250),"",計算結果!M250))</f>
        <v/>
      </c>
      <c r="N250" s="10" t="str">
        <f>IF(IF(ISNA(計算結果!N250),"",計算結果!N250)=0,"",IF(ISNA(計算結果!N250),"",計算結果!N250))</f>
        <v/>
      </c>
      <c r="O250" s="13" t="str">
        <f>IF(IF(ISNA(計算結果!O250),"",計算結果!O250)=0,"",IF(ISNA(計算結果!O250),"",計算結果!O250))</f>
        <v/>
      </c>
      <c r="P250" s="10" t="str">
        <f>IF(IF(ISNA(計算結果!P250),"",計算結果!P250)=0,"",IF(ISNA(計算結果!P250),"",計算結果!P250))</f>
        <v/>
      </c>
      <c r="Q250" s="10" t="str">
        <f>IF(IF(ISNA(計算結果!Q250),"",計算結果!Q250)=0,"",IF(ISNA(計算結果!Q250),"",計算結果!Q250))</f>
        <v/>
      </c>
      <c r="R250" s="14" t="str">
        <f t="shared" si="9"/>
        <v/>
      </c>
      <c r="S250" s="14" t="str">
        <f t="shared" si="10"/>
        <v>◯</v>
      </c>
      <c r="T250" s="14" t="str">
        <f t="shared" si="11"/>
        <v/>
      </c>
    </row>
    <row r="251" spans="1:20" hidden="1" x14ac:dyDescent="0.45">
      <c r="A251" s="10" t="str">
        <f>IF(IF(ISNA(計算結果!A251),"",計算結果!A251)=0,"",IF(ISNA(計算結果!A251),"",計算結果!A251))</f>
        <v/>
      </c>
      <c r="B251" s="10" t="str">
        <f>IF(IF(ISNA(計算結果!B251),"",計算結果!B251)=0,"",IF(ISNA(計算結果!B251),"",計算結果!B251))</f>
        <v/>
      </c>
      <c r="C251" s="10" t="str">
        <f>IF(IF(ISNA(計算結果!C251),"",計算結果!C251)=0,"",IF(ISNA(計算結果!C251),"",計算結果!C251))</f>
        <v/>
      </c>
      <c r="D251" s="10" t="str">
        <f>IF(IF(ISNA(計算結果!D251),"",計算結果!D251)=0,"",IF(ISNA(計算結果!D251),"",計算結果!D251))</f>
        <v>L</v>
      </c>
      <c r="E251" s="10" t="str">
        <f>IF(IF(ISNA(計算結果!E251),"",計算結果!E251)=0,"",IF(ISNA(計算結果!E251),"",計算結果!E251))</f>
        <v/>
      </c>
      <c r="F251" s="10" t="str">
        <f>IF(IF(ISNA(計算結果!F251),"",計算結果!F251)=0,"",IF(ISNA(計算結果!F251),"",計算結果!F251))</f>
        <v/>
      </c>
      <c r="G251" s="10" t="str">
        <f>IF(IF(ISNA(計算結果!G251),"",計算結果!G251)=0,"",IF(ISNA(計算結果!G251),"",計算結果!G251))</f>
        <v/>
      </c>
      <c r="H251" s="13">
        <f>IF(IF(ISNA(計算結果!H251),"",計算結果!H251)=0,"",IF(ISNA(計算結果!H251),"",計算結果!H251))</f>
        <v>-2</v>
      </c>
      <c r="I251" s="12" t="str">
        <f>IF(IF(ISNA(計算結果!I251),"",計算結果!I251)=0,"",IF(ISNA(計算結果!I251),"",計算結果!I251))</f>
        <v/>
      </c>
      <c r="J251" s="12" t="str">
        <f>IF(IF(ISNA(計算結果!J251),"",計算結果!J251)=0,"",IF(ISNA(計算結果!J251),"",計算結果!J251))</f>
        <v/>
      </c>
      <c r="K251" s="23" t="str">
        <f>IF(IF(ISNA(計算結果!K251),"",計算結果!K251)=0,"",IF(ISNA(計算結果!K251),"",計算結果!K251))</f>
        <v/>
      </c>
      <c r="L251" s="13" t="str">
        <f>IF(IF(ISNA(計算結果!L251),"",計算結果!L251)=0,"",IF(ISNA(計算結果!L251),"",計算結果!L251))</f>
        <v/>
      </c>
      <c r="M251" s="10" t="str">
        <f>IF(IF(ISNA(計算結果!M251),"",計算結果!M251)=0,"",IF(ISNA(計算結果!M251),"",計算結果!M251))</f>
        <v/>
      </c>
      <c r="N251" s="10" t="str">
        <f>IF(IF(ISNA(計算結果!N251),"",計算結果!N251)=0,"",IF(ISNA(計算結果!N251),"",計算結果!N251))</f>
        <v/>
      </c>
      <c r="O251" s="13" t="str">
        <f>IF(IF(ISNA(計算結果!O251),"",計算結果!O251)=0,"",IF(ISNA(計算結果!O251),"",計算結果!O251))</f>
        <v/>
      </c>
      <c r="P251" s="10" t="str">
        <f>IF(IF(ISNA(計算結果!P251),"",計算結果!P251)=0,"",IF(ISNA(計算結果!P251),"",計算結果!P251))</f>
        <v/>
      </c>
      <c r="Q251" s="10" t="str">
        <f>IF(IF(ISNA(計算結果!Q251),"",計算結果!Q251)=0,"",IF(ISNA(計算結果!Q251),"",計算結果!Q251))</f>
        <v/>
      </c>
      <c r="R251" s="14" t="str">
        <f t="shared" si="9"/>
        <v/>
      </c>
      <c r="S251" s="14" t="str">
        <f t="shared" si="10"/>
        <v>◯</v>
      </c>
      <c r="T251" s="14" t="str">
        <f t="shared" si="11"/>
        <v/>
      </c>
    </row>
    <row r="252" spans="1:20" hidden="1" x14ac:dyDescent="0.45">
      <c r="A252" s="10" t="str">
        <f>IF(IF(ISNA(計算結果!A252),"",計算結果!A252)=0,"",IF(ISNA(計算結果!A252),"",計算結果!A252))</f>
        <v/>
      </c>
      <c r="B252" s="10" t="str">
        <f>IF(IF(ISNA(計算結果!B252),"",計算結果!B252)=0,"",IF(ISNA(計算結果!B252),"",計算結果!B252))</f>
        <v/>
      </c>
      <c r="C252" s="10" t="str">
        <f>IF(IF(ISNA(計算結果!C252),"",計算結果!C252)=0,"",IF(ISNA(計算結果!C252),"",計算結果!C252))</f>
        <v/>
      </c>
      <c r="D252" s="10" t="str">
        <f>IF(IF(ISNA(計算結果!D252),"",計算結果!D252)=0,"",IF(ISNA(計算結果!D252),"",計算結果!D252))</f>
        <v>L</v>
      </c>
      <c r="E252" s="10" t="str">
        <f>IF(IF(ISNA(計算結果!E252),"",計算結果!E252)=0,"",IF(ISNA(計算結果!E252),"",計算結果!E252))</f>
        <v/>
      </c>
      <c r="F252" s="10" t="str">
        <f>IF(IF(ISNA(計算結果!F252),"",計算結果!F252)=0,"",IF(ISNA(計算結果!F252),"",計算結果!F252))</f>
        <v/>
      </c>
      <c r="G252" s="10" t="str">
        <f>IF(IF(ISNA(計算結果!G252),"",計算結果!G252)=0,"",IF(ISNA(計算結果!G252),"",計算結果!G252))</f>
        <v/>
      </c>
      <c r="H252" s="13">
        <f>IF(IF(ISNA(計算結果!H252),"",計算結果!H252)=0,"",IF(ISNA(計算結果!H252),"",計算結果!H252))</f>
        <v>-2</v>
      </c>
      <c r="I252" s="12" t="str">
        <f>IF(IF(ISNA(計算結果!I252),"",計算結果!I252)=0,"",IF(ISNA(計算結果!I252),"",計算結果!I252))</f>
        <v/>
      </c>
      <c r="J252" s="12" t="str">
        <f>IF(IF(ISNA(計算結果!J252),"",計算結果!J252)=0,"",IF(ISNA(計算結果!J252),"",計算結果!J252))</f>
        <v/>
      </c>
      <c r="K252" s="23" t="str">
        <f>IF(IF(ISNA(計算結果!K252),"",計算結果!K252)=0,"",IF(ISNA(計算結果!K252),"",計算結果!K252))</f>
        <v/>
      </c>
      <c r="L252" s="13" t="str">
        <f>IF(IF(ISNA(計算結果!L252),"",計算結果!L252)=0,"",IF(ISNA(計算結果!L252),"",計算結果!L252))</f>
        <v/>
      </c>
      <c r="M252" s="10" t="str">
        <f>IF(IF(ISNA(計算結果!M252),"",計算結果!M252)=0,"",IF(ISNA(計算結果!M252),"",計算結果!M252))</f>
        <v/>
      </c>
      <c r="N252" s="10" t="str">
        <f>IF(IF(ISNA(計算結果!N252),"",計算結果!N252)=0,"",IF(ISNA(計算結果!N252),"",計算結果!N252))</f>
        <v/>
      </c>
      <c r="O252" s="13" t="str">
        <f>IF(IF(ISNA(計算結果!O252),"",計算結果!O252)=0,"",IF(ISNA(計算結果!O252),"",計算結果!O252))</f>
        <v/>
      </c>
      <c r="P252" s="10" t="str">
        <f>IF(IF(ISNA(計算結果!P252),"",計算結果!P252)=0,"",IF(ISNA(計算結果!P252),"",計算結果!P252))</f>
        <v/>
      </c>
      <c r="Q252" s="10" t="str">
        <f>IF(IF(ISNA(計算結果!Q252),"",計算結果!Q252)=0,"",IF(ISNA(計算結果!Q252),"",計算結果!Q252))</f>
        <v/>
      </c>
      <c r="R252" s="14" t="str">
        <f t="shared" si="9"/>
        <v/>
      </c>
      <c r="S252" s="14" t="str">
        <f t="shared" si="10"/>
        <v>◯</v>
      </c>
      <c r="T252" s="14" t="str">
        <f t="shared" si="11"/>
        <v/>
      </c>
    </row>
    <row r="253" spans="1:20" hidden="1" x14ac:dyDescent="0.45">
      <c r="A253" s="10" t="str">
        <f>IF(IF(ISNA(計算結果!A253),"",計算結果!A253)=0,"",IF(ISNA(計算結果!A253),"",計算結果!A253))</f>
        <v/>
      </c>
      <c r="B253" s="10" t="str">
        <f>IF(IF(ISNA(計算結果!B253),"",計算結果!B253)=0,"",IF(ISNA(計算結果!B253),"",計算結果!B253))</f>
        <v/>
      </c>
      <c r="C253" s="10" t="str">
        <f>IF(IF(ISNA(計算結果!C253),"",計算結果!C253)=0,"",IF(ISNA(計算結果!C253),"",計算結果!C253))</f>
        <v/>
      </c>
      <c r="D253" s="10" t="str">
        <f>IF(IF(ISNA(計算結果!D253),"",計算結果!D253)=0,"",IF(ISNA(計算結果!D253),"",計算結果!D253))</f>
        <v>L</v>
      </c>
      <c r="E253" s="10" t="str">
        <f>IF(IF(ISNA(計算結果!E253),"",計算結果!E253)=0,"",IF(ISNA(計算結果!E253),"",計算結果!E253))</f>
        <v/>
      </c>
      <c r="F253" s="10" t="str">
        <f>IF(IF(ISNA(計算結果!F253),"",計算結果!F253)=0,"",IF(ISNA(計算結果!F253),"",計算結果!F253))</f>
        <v/>
      </c>
      <c r="G253" s="10" t="str">
        <f>IF(IF(ISNA(計算結果!G253),"",計算結果!G253)=0,"",IF(ISNA(計算結果!G253),"",計算結果!G253))</f>
        <v/>
      </c>
      <c r="H253" s="13">
        <f>IF(IF(ISNA(計算結果!H253),"",計算結果!H253)=0,"",IF(ISNA(計算結果!H253),"",計算結果!H253))</f>
        <v>-2</v>
      </c>
      <c r="I253" s="12" t="str">
        <f>IF(IF(ISNA(計算結果!I253),"",計算結果!I253)=0,"",IF(ISNA(計算結果!I253),"",計算結果!I253))</f>
        <v/>
      </c>
      <c r="J253" s="12" t="str">
        <f>IF(IF(ISNA(計算結果!J253),"",計算結果!J253)=0,"",IF(ISNA(計算結果!J253),"",計算結果!J253))</f>
        <v/>
      </c>
      <c r="K253" s="23" t="str">
        <f>IF(IF(ISNA(計算結果!K253),"",計算結果!K253)=0,"",IF(ISNA(計算結果!K253),"",計算結果!K253))</f>
        <v/>
      </c>
      <c r="L253" s="13" t="str">
        <f>IF(IF(ISNA(計算結果!L253),"",計算結果!L253)=0,"",IF(ISNA(計算結果!L253),"",計算結果!L253))</f>
        <v/>
      </c>
      <c r="M253" s="10" t="str">
        <f>IF(IF(ISNA(計算結果!M253),"",計算結果!M253)=0,"",IF(ISNA(計算結果!M253),"",計算結果!M253))</f>
        <v/>
      </c>
      <c r="N253" s="10" t="str">
        <f>IF(IF(ISNA(計算結果!N253),"",計算結果!N253)=0,"",IF(ISNA(計算結果!N253),"",計算結果!N253))</f>
        <v/>
      </c>
      <c r="O253" s="13" t="str">
        <f>IF(IF(ISNA(計算結果!O253),"",計算結果!O253)=0,"",IF(ISNA(計算結果!O253),"",計算結果!O253))</f>
        <v/>
      </c>
      <c r="P253" s="10" t="str">
        <f>IF(IF(ISNA(計算結果!P253),"",計算結果!P253)=0,"",IF(ISNA(計算結果!P253),"",計算結果!P253))</f>
        <v/>
      </c>
      <c r="Q253" s="10" t="str">
        <f>IF(IF(ISNA(計算結果!Q253),"",計算結果!Q253)=0,"",IF(ISNA(計算結果!Q253),"",計算結果!Q253))</f>
        <v/>
      </c>
      <c r="R253" s="14" t="str">
        <f t="shared" si="9"/>
        <v/>
      </c>
      <c r="S253" s="14" t="str">
        <f t="shared" si="10"/>
        <v>◯</v>
      </c>
      <c r="T253" s="14" t="str">
        <f t="shared" si="11"/>
        <v/>
      </c>
    </row>
    <row r="254" spans="1:20" hidden="1" x14ac:dyDescent="0.45">
      <c r="A254" s="10" t="str">
        <f>IF(IF(ISNA(計算結果!A254),"",計算結果!A254)=0,"",IF(ISNA(計算結果!A254),"",計算結果!A254))</f>
        <v/>
      </c>
      <c r="B254" s="10" t="str">
        <f>IF(IF(ISNA(計算結果!B254),"",計算結果!B254)=0,"",IF(ISNA(計算結果!B254),"",計算結果!B254))</f>
        <v/>
      </c>
      <c r="C254" s="10" t="str">
        <f>IF(IF(ISNA(計算結果!C254),"",計算結果!C254)=0,"",IF(ISNA(計算結果!C254),"",計算結果!C254))</f>
        <v/>
      </c>
      <c r="D254" s="10" t="str">
        <f>IF(IF(ISNA(計算結果!D254),"",計算結果!D254)=0,"",IF(ISNA(計算結果!D254),"",計算結果!D254))</f>
        <v>L</v>
      </c>
      <c r="E254" s="10" t="str">
        <f>IF(IF(ISNA(計算結果!E254),"",計算結果!E254)=0,"",IF(ISNA(計算結果!E254),"",計算結果!E254))</f>
        <v/>
      </c>
      <c r="F254" s="10" t="str">
        <f>IF(IF(ISNA(計算結果!F254),"",計算結果!F254)=0,"",IF(ISNA(計算結果!F254),"",計算結果!F254))</f>
        <v/>
      </c>
      <c r="G254" s="10" t="str">
        <f>IF(IF(ISNA(計算結果!G254),"",計算結果!G254)=0,"",IF(ISNA(計算結果!G254),"",計算結果!G254))</f>
        <v/>
      </c>
      <c r="H254" s="13">
        <f>IF(IF(ISNA(計算結果!H254),"",計算結果!H254)=0,"",IF(ISNA(計算結果!H254),"",計算結果!H254))</f>
        <v>-2</v>
      </c>
      <c r="I254" s="12" t="str">
        <f>IF(IF(ISNA(計算結果!I254),"",計算結果!I254)=0,"",IF(ISNA(計算結果!I254),"",計算結果!I254))</f>
        <v/>
      </c>
      <c r="J254" s="12" t="str">
        <f>IF(IF(ISNA(計算結果!J254),"",計算結果!J254)=0,"",IF(ISNA(計算結果!J254),"",計算結果!J254))</f>
        <v/>
      </c>
      <c r="K254" s="23" t="str">
        <f>IF(IF(ISNA(計算結果!K254),"",計算結果!K254)=0,"",IF(ISNA(計算結果!K254),"",計算結果!K254))</f>
        <v/>
      </c>
      <c r="L254" s="13" t="str">
        <f>IF(IF(ISNA(計算結果!L254),"",計算結果!L254)=0,"",IF(ISNA(計算結果!L254),"",計算結果!L254))</f>
        <v/>
      </c>
      <c r="M254" s="10" t="str">
        <f>IF(IF(ISNA(計算結果!M254),"",計算結果!M254)=0,"",IF(ISNA(計算結果!M254),"",計算結果!M254))</f>
        <v/>
      </c>
      <c r="N254" s="10" t="str">
        <f>IF(IF(ISNA(計算結果!N254),"",計算結果!N254)=0,"",IF(ISNA(計算結果!N254),"",計算結果!N254))</f>
        <v/>
      </c>
      <c r="O254" s="13" t="str">
        <f>IF(IF(ISNA(計算結果!O254),"",計算結果!O254)=0,"",IF(ISNA(計算結果!O254),"",計算結果!O254))</f>
        <v/>
      </c>
      <c r="P254" s="10" t="str">
        <f>IF(IF(ISNA(計算結果!P254),"",計算結果!P254)=0,"",IF(ISNA(計算結果!P254),"",計算結果!P254))</f>
        <v/>
      </c>
      <c r="Q254" s="10" t="str">
        <f>IF(IF(ISNA(計算結果!Q254),"",計算結果!Q254)=0,"",IF(ISNA(計算結果!Q254),"",計算結果!Q254))</f>
        <v/>
      </c>
      <c r="R254" s="14" t="str">
        <f t="shared" si="9"/>
        <v/>
      </c>
      <c r="S254" s="14" t="str">
        <f t="shared" si="10"/>
        <v>◯</v>
      </c>
      <c r="T254" s="14" t="str">
        <f t="shared" si="11"/>
        <v/>
      </c>
    </row>
    <row r="255" spans="1:20" hidden="1" x14ac:dyDescent="0.45">
      <c r="A255" s="10" t="str">
        <f>IF(IF(ISNA(計算結果!A255),"",計算結果!A255)=0,"",IF(ISNA(計算結果!A255),"",計算結果!A255))</f>
        <v/>
      </c>
      <c r="B255" s="10" t="str">
        <f>IF(IF(ISNA(計算結果!B255),"",計算結果!B255)=0,"",IF(ISNA(計算結果!B255),"",計算結果!B255))</f>
        <v/>
      </c>
      <c r="C255" s="10" t="str">
        <f>IF(IF(ISNA(計算結果!C255),"",計算結果!C255)=0,"",IF(ISNA(計算結果!C255),"",計算結果!C255))</f>
        <v/>
      </c>
      <c r="D255" s="10" t="str">
        <f>IF(IF(ISNA(計算結果!D255),"",計算結果!D255)=0,"",IF(ISNA(計算結果!D255),"",計算結果!D255))</f>
        <v>L</v>
      </c>
      <c r="E255" s="10" t="str">
        <f>IF(IF(ISNA(計算結果!E255),"",計算結果!E255)=0,"",IF(ISNA(計算結果!E255),"",計算結果!E255))</f>
        <v/>
      </c>
      <c r="F255" s="10" t="str">
        <f>IF(IF(ISNA(計算結果!F255),"",計算結果!F255)=0,"",IF(ISNA(計算結果!F255),"",計算結果!F255))</f>
        <v/>
      </c>
      <c r="G255" s="10" t="str">
        <f>IF(IF(ISNA(計算結果!G255),"",計算結果!G255)=0,"",IF(ISNA(計算結果!G255),"",計算結果!G255))</f>
        <v/>
      </c>
      <c r="H255" s="13">
        <f>IF(IF(ISNA(計算結果!H255),"",計算結果!H255)=0,"",IF(ISNA(計算結果!H255),"",計算結果!H255))</f>
        <v>-2</v>
      </c>
      <c r="I255" s="12" t="str">
        <f>IF(IF(ISNA(計算結果!I255),"",計算結果!I255)=0,"",IF(ISNA(計算結果!I255),"",計算結果!I255))</f>
        <v/>
      </c>
      <c r="J255" s="12" t="str">
        <f>IF(IF(ISNA(計算結果!J255),"",計算結果!J255)=0,"",IF(ISNA(計算結果!J255),"",計算結果!J255))</f>
        <v/>
      </c>
      <c r="K255" s="23" t="str">
        <f>IF(IF(ISNA(計算結果!K255),"",計算結果!K255)=0,"",IF(ISNA(計算結果!K255),"",計算結果!K255))</f>
        <v/>
      </c>
      <c r="L255" s="13" t="str">
        <f>IF(IF(ISNA(計算結果!L255),"",計算結果!L255)=0,"",IF(ISNA(計算結果!L255),"",計算結果!L255))</f>
        <v/>
      </c>
      <c r="M255" s="10" t="str">
        <f>IF(IF(ISNA(計算結果!M255),"",計算結果!M255)=0,"",IF(ISNA(計算結果!M255),"",計算結果!M255))</f>
        <v/>
      </c>
      <c r="N255" s="10" t="str">
        <f>IF(IF(ISNA(計算結果!N255),"",計算結果!N255)=0,"",IF(ISNA(計算結果!N255),"",計算結果!N255))</f>
        <v/>
      </c>
      <c r="O255" s="13" t="str">
        <f>IF(IF(ISNA(計算結果!O255),"",計算結果!O255)=0,"",IF(ISNA(計算結果!O255),"",計算結果!O255))</f>
        <v/>
      </c>
      <c r="P255" s="10" t="str">
        <f>IF(IF(ISNA(計算結果!P255),"",計算結果!P255)=0,"",IF(ISNA(計算結果!P255),"",計算結果!P255))</f>
        <v/>
      </c>
      <c r="Q255" s="10" t="str">
        <f>IF(IF(ISNA(計算結果!Q255),"",計算結果!Q255)=0,"",IF(ISNA(計算結果!Q255),"",計算結果!Q255))</f>
        <v/>
      </c>
      <c r="R255" s="14" t="str">
        <f t="shared" si="9"/>
        <v/>
      </c>
      <c r="S255" s="14" t="str">
        <f t="shared" si="10"/>
        <v>◯</v>
      </c>
      <c r="T255" s="14" t="str">
        <f t="shared" si="11"/>
        <v/>
      </c>
    </row>
    <row r="256" spans="1:20" hidden="1" x14ac:dyDescent="0.45">
      <c r="A256" s="10" t="str">
        <f>IF(IF(ISNA(計算結果!A256),"",計算結果!A256)=0,"",IF(ISNA(計算結果!A256),"",計算結果!A256))</f>
        <v/>
      </c>
      <c r="B256" s="10" t="str">
        <f>IF(IF(ISNA(計算結果!B256),"",計算結果!B256)=0,"",IF(ISNA(計算結果!B256),"",計算結果!B256))</f>
        <v/>
      </c>
      <c r="C256" s="10" t="str">
        <f>IF(IF(ISNA(計算結果!C256),"",計算結果!C256)=0,"",IF(ISNA(計算結果!C256),"",計算結果!C256))</f>
        <v/>
      </c>
      <c r="D256" s="10" t="str">
        <f>IF(IF(ISNA(計算結果!D256),"",計算結果!D256)=0,"",IF(ISNA(計算結果!D256),"",計算結果!D256))</f>
        <v>L</v>
      </c>
      <c r="E256" s="10" t="str">
        <f>IF(IF(ISNA(計算結果!E256),"",計算結果!E256)=0,"",IF(ISNA(計算結果!E256),"",計算結果!E256))</f>
        <v/>
      </c>
      <c r="F256" s="10" t="str">
        <f>IF(IF(ISNA(計算結果!F256),"",計算結果!F256)=0,"",IF(ISNA(計算結果!F256),"",計算結果!F256))</f>
        <v/>
      </c>
      <c r="G256" s="10" t="str">
        <f>IF(IF(ISNA(計算結果!G256),"",計算結果!G256)=0,"",IF(ISNA(計算結果!G256),"",計算結果!G256))</f>
        <v/>
      </c>
      <c r="H256" s="13">
        <f>IF(IF(ISNA(計算結果!H256),"",計算結果!H256)=0,"",IF(ISNA(計算結果!H256),"",計算結果!H256))</f>
        <v>-2</v>
      </c>
      <c r="I256" s="12" t="str">
        <f>IF(IF(ISNA(計算結果!I256),"",計算結果!I256)=0,"",IF(ISNA(計算結果!I256),"",計算結果!I256))</f>
        <v/>
      </c>
      <c r="J256" s="12" t="str">
        <f>IF(IF(ISNA(計算結果!J256),"",計算結果!J256)=0,"",IF(ISNA(計算結果!J256),"",計算結果!J256))</f>
        <v/>
      </c>
      <c r="K256" s="23" t="str">
        <f>IF(IF(ISNA(計算結果!K256),"",計算結果!K256)=0,"",IF(ISNA(計算結果!K256),"",計算結果!K256))</f>
        <v/>
      </c>
      <c r="L256" s="13" t="str">
        <f>IF(IF(ISNA(計算結果!L256),"",計算結果!L256)=0,"",IF(ISNA(計算結果!L256),"",計算結果!L256))</f>
        <v/>
      </c>
      <c r="M256" s="10" t="str">
        <f>IF(IF(ISNA(計算結果!M256),"",計算結果!M256)=0,"",IF(ISNA(計算結果!M256),"",計算結果!M256))</f>
        <v/>
      </c>
      <c r="N256" s="10" t="str">
        <f>IF(IF(ISNA(計算結果!N256),"",計算結果!N256)=0,"",IF(ISNA(計算結果!N256),"",計算結果!N256))</f>
        <v/>
      </c>
      <c r="O256" s="13" t="str">
        <f>IF(IF(ISNA(計算結果!O256),"",計算結果!O256)=0,"",IF(ISNA(計算結果!O256),"",計算結果!O256))</f>
        <v/>
      </c>
      <c r="P256" s="10" t="str">
        <f>IF(IF(ISNA(計算結果!P256),"",計算結果!P256)=0,"",IF(ISNA(計算結果!P256),"",計算結果!P256))</f>
        <v/>
      </c>
      <c r="Q256" s="10" t="str">
        <f>IF(IF(ISNA(計算結果!Q256),"",計算結果!Q256)=0,"",IF(ISNA(計算結果!Q256),"",計算結果!Q256))</f>
        <v/>
      </c>
      <c r="R256" s="14" t="str">
        <f t="shared" si="9"/>
        <v/>
      </c>
      <c r="S256" s="14" t="str">
        <f t="shared" si="10"/>
        <v>◯</v>
      </c>
      <c r="T256" s="14" t="str">
        <f t="shared" si="11"/>
        <v/>
      </c>
    </row>
    <row r="257" spans="1:20" hidden="1" x14ac:dyDescent="0.45">
      <c r="A257" s="10" t="str">
        <f>IF(IF(ISNA(計算結果!A257),"",計算結果!A257)=0,"",IF(ISNA(計算結果!A257),"",計算結果!A257))</f>
        <v/>
      </c>
      <c r="B257" s="10" t="str">
        <f>IF(IF(ISNA(計算結果!B257),"",計算結果!B257)=0,"",IF(ISNA(計算結果!B257),"",計算結果!B257))</f>
        <v/>
      </c>
      <c r="C257" s="10" t="str">
        <f>IF(IF(ISNA(計算結果!C257),"",計算結果!C257)=0,"",IF(ISNA(計算結果!C257),"",計算結果!C257))</f>
        <v/>
      </c>
      <c r="D257" s="10" t="str">
        <f>IF(IF(ISNA(計算結果!D257),"",計算結果!D257)=0,"",IF(ISNA(計算結果!D257),"",計算結果!D257))</f>
        <v>L</v>
      </c>
      <c r="E257" s="10" t="str">
        <f>IF(IF(ISNA(計算結果!E257),"",計算結果!E257)=0,"",IF(ISNA(計算結果!E257),"",計算結果!E257))</f>
        <v/>
      </c>
      <c r="F257" s="10" t="str">
        <f>IF(IF(ISNA(計算結果!F257),"",計算結果!F257)=0,"",IF(ISNA(計算結果!F257),"",計算結果!F257))</f>
        <v/>
      </c>
      <c r="G257" s="10" t="str">
        <f>IF(IF(ISNA(計算結果!G257),"",計算結果!G257)=0,"",IF(ISNA(計算結果!G257),"",計算結果!G257))</f>
        <v/>
      </c>
      <c r="H257" s="13">
        <f>IF(IF(ISNA(計算結果!H257),"",計算結果!H257)=0,"",IF(ISNA(計算結果!H257),"",計算結果!H257))</f>
        <v>-2</v>
      </c>
      <c r="I257" s="12" t="str">
        <f>IF(IF(ISNA(計算結果!I257),"",計算結果!I257)=0,"",IF(ISNA(計算結果!I257),"",計算結果!I257))</f>
        <v/>
      </c>
      <c r="J257" s="12" t="str">
        <f>IF(IF(ISNA(計算結果!J257),"",計算結果!J257)=0,"",IF(ISNA(計算結果!J257),"",計算結果!J257))</f>
        <v/>
      </c>
      <c r="K257" s="23" t="str">
        <f>IF(IF(ISNA(計算結果!K257),"",計算結果!K257)=0,"",IF(ISNA(計算結果!K257),"",計算結果!K257))</f>
        <v/>
      </c>
      <c r="L257" s="13" t="str">
        <f>IF(IF(ISNA(計算結果!L257),"",計算結果!L257)=0,"",IF(ISNA(計算結果!L257),"",計算結果!L257))</f>
        <v/>
      </c>
      <c r="M257" s="10" t="str">
        <f>IF(IF(ISNA(計算結果!M257),"",計算結果!M257)=0,"",IF(ISNA(計算結果!M257),"",計算結果!M257))</f>
        <v/>
      </c>
      <c r="N257" s="10" t="str">
        <f>IF(IF(ISNA(計算結果!N257),"",計算結果!N257)=0,"",IF(ISNA(計算結果!N257),"",計算結果!N257))</f>
        <v/>
      </c>
      <c r="O257" s="13" t="str">
        <f>IF(IF(ISNA(計算結果!O257),"",計算結果!O257)=0,"",IF(ISNA(計算結果!O257),"",計算結果!O257))</f>
        <v/>
      </c>
      <c r="P257" s="10" t="str">
        <f>IF(IF(ISNA(計算結果!P257),"",計算結果!P257)=0,"",IF(ISNA(計算結果!P257),"",計算結果!P257))</f>
        <v/>
      </c>
      <c r="Q257" s="10" t="str">
        <f>IF(IF(ISNA(計算結果!Q257),"",計算結果!Q257)=0,"",IF(ISNA(計算結果!Q257),"",計算結果!Q257))</f>
        <v/>
      </c>
      <c r="R257" s="14" t="str">
        <f t="shared" si="9"/>
        <v/>
      </c>
      <c r="S257" s="14" t="str">
        <f t="shared" si="10"/>
        <v>◯</v>
      </c>
      <c r="T257" s="14" t="str">
        <f t="shared" si="11"/>
        <v/>
      </c>
    </row>
    <row r="258" spans="1:20" hidden="1" x14ac:dyDescent="0.45">
      <c r="A258" s="10" t="str">
        <f>IF(IF(ISNA(計算結果!A258),"",計算結果!A258)=0,"",IF(ISNA(計算結果!A258),"",計算結果!A258))</f>
        <v/>
      </c>
      <c r="B258" s="10" t="str">
        <f>IF(IF(ISNA(計算結果!B258),"",計算結果!B258)=0,"",IF(ISNA(計算結果!B258),"",計算結果!B258))</f>
        <v/>
      </c>
      <c r="C258" s="10" t="str">
        <f>IF(IF(ISNA(計算結果!C258),"",計算結果!C258)=0,"",IF(ISNA(計算結果!C258),"",計算結果!C258))</f>
        <v/>
      </c>
      <c r="D258" s="10" t="str">
        <f>IF(IF(ISNA(計算結果!D258),"",計算結果!D258)=0,"",IF(ISNA(計算結果!D258),"",計算結果!D258))</f>
        <v>L</v>
      </c>
      <c r="E258" s="10" t="str">
        <f>IF(IF(ISNA(計算結果!E258),"",計算結果!E258)=0,"",IF(ISNA(計算結果!E258),"",計算結果!E258))</f>
        <v/>
      </c>
      <c r="F258" s="10" t="str">
        <f>IF(IF(ISNA(計算結果!F258),"",計算結果!F258)=0,"",IF(ISNA(計算結果!F258),"",計算結果!F258))</f>
        <v/>
      </c>
      <c r="G258" s="10" t="str">
        <f>IF(IF(ISNA(計算結果!G258),"",計算結果!G258)=0,"",IF(ISNA(計算結果!G258),"",計算結果!G258))</f>
        <v/>
      </c>
      <c r="H258" s="13">
        <f>IF(IF(ISNA(計算結果!H258),"",計算結果!H258)=0,"",IF(ISNA(計算結果!H258),"",計算結果!H258))</f>
        <v>-2</v>
      </c>
      <c r="I258" s="12" t="str">
        <f>IF(IF(ISNA(計算結果!I258),"",計算結果!I258)=0,"",IF(ISNA(計算結果!I258),"",計算結果!I258))</f>
        <v/>
      </c>
      <c r="J258" s="12" t="str">
        <f>IF(IF(ISNA(計算結果!J258),"",計算結果!J258)=0,"",IF(ISNA(計算結果!J258),"",計算結果!J258))</f>
        <v/>
      </c>
      <c r="K258" s="23" t="str">
        <f>IF(IF(ISNA(計算結果!K258),"",計算結果!K258)=0,"",IF(ISNA(計算結果!K258),"",計算結果!K258))</f>
        <v/>
      </c>
      <c r="L258" s="13" t="str">
        <f>IF(IF(ISNA(計算結果!L258),"",計算結果!L258)=0,"",IF(ISNA(計算結果!L258),"",計算結果!L258))</f>
        <v/>
      </c>
      <c r="M258" s="10" t="str">
        <f>IF(IF(ISNA(計算結果!M258),"",計算結果!M258)=0,"",IF(ISNA(計算結果!M258),"",計算結果!M258))</f>
        <v/>
      </c>
      <c r="N258" s="10" t="str">
        <f>IF(IF(ISNA(計算結果!N258),"",計算結果!N258)=0,"",IF(ISNA(計算結果!N258),"",計算結果!N258))</f>
        <v/>
      </c>
      <c r="O258" s="13" t="str">
        <f>IF(IF(ISNA(計算結果!O258),"",計算結果!O258)=0,"",IF(ISNA(計算結果!O258),"",計算結果!O258))</f>
        <v/>
      </c>
      <c r="P258" s="10" t="str">
        <f>IF(IF(ISNA(計算結果!P258),"",計算結果!P258)=0,"",IF(ISNA(計算結果!P258),"",計算結果!P258))</f>
        <v/>
      </c>
      <c r="Q258" s="10" t="str">
        <f>IF(IF(ISNA(計算結果!Q258),"",計算結果!Q258)=0,"",IF(ISNA(計算結果!Q258),"",計算結果!Q258))</f>
        <v/>
      </c>
      <c r="R258" s="14" t="str">
        <f t="shared" si="9"/>
        <v/>
      </c>
      <c r="S258" s="14" t="str">
        <f t="shared" si="10"/>
        <v>◯</v>
      </c>
      <c r="T258" s="14" t="str">
        <f t="shared" si="11"/>
        <v/>
      </c>
    </row>
    <row r="259" spans="1:20" hidden="1" x14ac:dyDescent="0.45">
      <c r="A259" s="10" t="str">
        <f>IF(IF(ISNA(計算結果!A259),"",計算結果!A259)=0,"",IF(ISNA(計算結果!A259),"",計算結果!A259))</f>
        <v/>
      </c>
      <c r="B259" s="10" t="str">
        <f>IF(IF(ISNA(計算結果!B259),"",計算結果!B259)=0,"",IF(ISNA(計算結果!B259),"",計算結果!B259))</f>
        <v/>
      </c>
      <c r="C259" s="10" t="str">
        <f>IF(IF(ISNA(計算結果!C259),"",計算結果!C259)=0,"",IF(ISNA(計算結果!C259),"",計算結果!C259))</f>
        <v/>
      </c>
      <c r="D259" s="10" t="str">
        <f>IF(IF(ISNA(計算結果!D259),"",計算結果!D259)=0,"",IF(ISNA(計算結果!D259),"",計算結果!D259))</f>
        <v>L</v>
      </c>
      <c r="E259" s="10" t="str">
        <f>IF(IF(ISNA(計算結果!E259),"",計算結果!E259)=0,"",IF(ISNA(計算結果!E259),"",計算結果!E259))</f>
        <v/>
      </c>
      <c r="F259" s="10" t="str">
        <f>IF(IF(ISNA(計算結果!F259),"",計算結果!F259)=0,"",IF(ISNA(計算結果!F259),"",計算結果!F259))</f>
        <v/>
      </c>
      <c r="G259" s="10" t="str">
        <f>IF(IF(ISNA(計算結果!G259),"",計算結果!G259)=0,"",IF(ISNA(計算結果!G259),"",計算結果!G259))</f>
        <v/>
      </c>
      <c r="H259" s="13">
        <f>IF(IF(ISNA(計算結果!H259),"",計算結果!H259)=0,"",IF(ISNA(計算結果!H259),"",計算結果!H259))</f>
        <v>-2</v>
      </c>
      <c r="I259" s="12" t="str">
        <f>IF(IF(ISNA(計算結果!I259),"",計算結果!I259)=0,"",IF(ISNA(計算結果!I259),"",計算結果!I259))</f>
        <v/>
      </c>
      <c r="J259" s="12" t="str">
        <f>IF(IF(ISNA(計算結果!J259),"",計算結果!J259)=0,"",IF(ISNA(計算結果!J259),"",計算結果!J259))</f>
        <v/>
      </c>
      <c r="K259" s="23" t="str">
        <f>IF(IF(ISNA(計算結果!K259),"",計算結果!K259)=0,"",IF(ISNA(計算結果!K259),"",計算結果!K259))</f>
        <v/>
      </c>
      <c r="L259" s="13" t="str">
        <f>IF(IF(ISNA(計算結果!L259),"",計算結果!L259)=0,"",IF(ISNA(計算結果!L259),"",計算結果!L259))</f>
        <v/>
      </c>
      <c r="M259" s="10" t="str">
        <f>IF(IF(ISNA(計算結果!M259),"",計算結果!M259)=0,"",IF(ISNA(計算結果!M259),"",計算結果!M259))</f>
        <v/>
      </c>
      <c r="N259" s="10" t="str">
        <f>IF(IF(ISNA(計算結果!N259),"",計算結果!N259)=0,"",IF(ISNA(計算結果!N259),"",計算結果!N259))</f>
        <v/>
      </c>
      <c r="O259" s="13" t="str">
        <f>IF(IF(ISNA(計算結果!O259),"",計算結果!O259)=0,"",IF(ISNA(計算結果!O259),"",計算結果!O259))</f>
        <v/>
      </c>
      <c r="P259" s="10" t="str">
        <f>IF(IF(ISNA(計算結果!P259),"",計算結果!P259)=0,"",IF(ISNA(計算結果!P259),"",計算結果!P259))</f>
        <v/>
      </c>
      <c r="Q259" s="10" t="str">
        <f>IF(IF(ISNA(計算結果!Q259),"",計算結果!Q259)=0,"",IF(ISNA(計算結果!Q259),"",計算結果!Q259))</f>
        <v/>
      </c>
      <c r="R259" s="14" t="str">
        <f t="shared" ref="R259:R322" si="12">IF(AND(M259&lt;&gt;"",M259=N259),"◯","")</f>
        <v/>
      </c>
      <c r="S259" s="14" t="str">
        <f t="shared" ref="S259:S322" si="13">IF(M259="","◯","")</f>
        <v>◯</v>
      </c>
      <c r="T259" s="14" t="str">
        <f t="shared" ref="T259:T322" si="14">IF(AND(P259&lt;&gt;"",P259&lt;&gt;Q259),"◯","")</f>
        <v/>
      </c>
    </row>
    <row r="260" spans="1:20" hidden="1" x14ac:dyDescent="0.45">
      <c r="A260" s="10" t="str">
        <f>IF(IF(ISNA(計算結果!A260),"",計算結果!A260)=0,"",IF(ISNA(計算結果!A260),"",計算結果!A260))</f>
        <v/>
      </c>
      <c r="B260" s="10" t="str">
        <f>IF(IF(ISNA(計算結果!B260),"",計算結果!B260)=0,"",IF(ISNA(計算結果!B260),"",計算結果!B260))</f>
        <v/>
      </c>
      <c r="C260" s="10" t="str">
        <f>IF(IF(ISNA(計算結果!C260),"",計算結果!C260)=0,"",IF(ISNA(計算結果!C260),"",計算結果!C260))</f>
        <v/>
      </c>
      <c r="D260" s="10" t="str">
        <f>IF(IF(ISNA(計算結果!D260),"",計算結果!D260)=0,"",IF(ISNA(計算結果!D260),"",計算結果!D260))</f>
        <v>L</v>
      </c>
      <c r="E260" s="10" t="str">
        <f>IF(IF(ISNA(計算結果!E260),"",計算結果!E260)=0,"",IF(ISNA(計算結果!E260),"",計算結果!E260))</f>
        <v/>
      </c>
      <c r="F260" s="10" t="str">
        <f>IF(IF(ISNA(計算結果!F260),"",計算結果!F260)=0,"",IF(ISNA(計算結果!F260),"",計算結果!F260))</f>
        <v/>
      </c>
      <c r="G260" s="10" t="str">
        <f>IF(IF(ISNA(計算結果!G260),"",計算結果!G260)=0,"",IF(ISNA(計算結果!G260),"",計算結果!G260))</f>
        <v/>
      </c>
      <c r="H260" s="13">
        <f>IF(IF(ISNA(計算結果!H260),"",計算結果!H260)=0,"",IF(ISNA(計算結果!H260),"",計算結果!H260))</f>
        <v>-2</v>
      </c>
      <c r="I260" s="12" t="str">
        <f>IF(IF(ISNA(計算結果!I260),"",計算結果!I260)=0,"",IF(ISNA(計算結果!I260),"",計算結果!I260))</f>
        <v/>
      </c>
      <c r="J260" s="12" t="str">
        <f>IF(IF(ISNA(計算結果!J260),"",計算結果!J260)=0,"",IF(ISNA(計算結果!J260),"",計算結果!J260))</f>
        <v/>
      </c>
      <c r="K260" s="23" t="str">
        <f>IF(IF(ISNA(計算結果!K260),"",計算結果!K260)=0,"",IF(ISNA(計算結果!K260),"",計算結果!K260))</f>
        <v/>
      </c>
      <c r="L260" s="13" t="str">
        <f>IF(IF(ISNA(計算結果!L260),"",計算結果!L260)=0,"",IF(ISNA(計算結果!L260),"",計算結果!L260))</f>
        <v/>
      </c>
      <c r="M260" s="10" t="str">
        <f>IF(IF(ISNA(計算結果!M260),"",計算結果!M260)=0,"",IF(ISNA(計算結果!M260),"",計算結果!M260))</f>
        <v/>
      </c>
      <c r="N260" s="10" t="str">
        <f>IF(IF(ISNA(計算結果!N260),"",計算結果!N260)=0,"",IF(ISNA(計算結果!N260),"",計算結果!N260))</f>
        <v/>
      </c>
      <c r="O260" s="13" t="str">
        <f>IF(IF(ISNA(計算結果!O260),"",計算結果!O260)=0,"",IF(ISNA(計算結果!O260),"",計算結果!O260))</f>
        <v/>
      </c>
      <c r="P260" s="10" t="str">
        <f>IF(IF(ISNA(計算結果!P260),"",計算結果!P260)=0,"",IF(ISNA(計算結果!P260),"",計算結果!P260))</f>
        <v/>
      </c>
      <c r="Q260" s="10" t="str">
        <f>IF(IF(ISNA(計算結果!Q260),"",計算結果!Q260)=0,"",IF(ISNA(計算結果!Q260),"",計算結果!Q260))</f>
        <v/>
      </c>
      <c r="R260" s="14" t="str">
        <f t="shared" si="12"/>
        <v/>
      </c>
      <c r="S260" s="14" t="str">
        <f t="shared" si="13"/>
        <v>◯</v>
      </c>
      <c r="T260" s="14" t="str">
        <f t="shared" si="14"/>
        <v/>
      </c>
    </row>
    <row r="261" spans="1:20" hidden="1" x14ac:dyDescent="0.45">
      <c r="A261" s="10" t="str">
        <f>IF(IF(ISNA(計算結果!A261),"",計算結果!A261)=0,"",IF(ISNA(計算結果!A261),"",計算結果!A261))</f>
        <v/>
      </c>
      <c r="B261" s="10" t="str">
        <f>IF(IF(ISNA(計算結果!B261),"",計算結果!B261)=0,"",IF(ISNA(計算結果!B261),"",計算結果!B261))</f>
        <v/>
      </c>
      <c r="C261" s="10" t="str">
        <f>IF(IF(ISNA(計算結果!C261),"",計算結果!C261)=0,"",IF(ISNA(計算結果!C261),"",計算結果!C261))</f>
        <v/>
      </c>
      <c r="D261" s="10" t="str">
        <f>IF(IF(ISNA(計算結果!D261),"",計算結果!D261)=0,"",IF(ISNA(計算結果!D261),"",計算結果!D261))</f>
        <v>L</v>
      </c>
      <c r="E261" s="10" t="str">
        <f>IF(IF(ISNA(計算結果!E261),"",計算結果!E261)=0,"",IF(ISNA(計算結果!E261),"",計算結果!E261))</f>
        <v/>
      </c>
      <c r="F261" s="10" t="str">
        <f>IF(IF(ISNA(計算結果!F261),"",計算結果!F261)=0,"",IF(ISNA(計算結果!F261),"",計算結果!F261))</f>
        <v/>
      </c>
      <c r="G261" s="10" t="str">
        <f>IF(IF(ISNA(計算結果!G261),"",計算結果!G261)=0,"",IF(ISNA(計算結果!G261),"",計算結果!G261))</f>
        <v/>
      </c>
      <c r="H261" s="13">
        <f>IF(IF(ISNA(計算結果!H261),"",計算結果!H261)=0,"",IF(ISNA(計算結果!H261),"",計算結果!H261))</f>
        <v>-2</v>
      </c>
      <c r="I261" s="12" t="str">
        <f>IF(IF(ISNA(計算結果!I261),"",計算結果!I261)=0,"",IF(ISNA(計算結果!I261),"",計算結果!I261))</f>
        <v/>
      </c>
      <c r="J261" s="12" t="str">
        <f>IF(IF(ISNA(計算結果!J261),"",計算結果!J261)=0,"",IF(ISNA(計算結果!J261),"",計算結果!J261))</f>
        <v/>
      </c>
      <c r="K261" s="23" t="str">
        <f>IF(IF(ISNA(計算結果!K261),"",計算結果!K261)=0,"",IF(ISNA(計算結果!K261),"",計算結果!K261))</f>
        <v/>
      </c>
      <c r="L261" s="13" t="str">
        <f>IF(IF(ISNA(計算結果!L261),"",計算結果!L261)=0,"",IF(ISNA(計算結果!L261),"",計算結果!L261))</f>
        <v/>
      </c>
      <c r="M261" s="10" t="str">
        <f>IF(IF(ISNA(計算結果!M261),"",計算結果!M261)=0,"",IF(ISNA(計算結果!M261),"",計算結果!M261))</f>
        <v/>
      </c>
      <c r="N261" s="10" t="str">
        <f>IF(IF(ISNA(計算結果!N261),"",計算結果!N261)=0,"",IF(ISNA(計算結果!N261),"",計算結果!N261))</f>
        <v/>
      </c>
      <c r="O261" s="13" t="str">
        <f>IF(IF(ISNA(計算結果!O261),"",計算結果!O261)=0,"",IF(ISNA(計算結果!O261),"",計算結果!O261))</f>
        <v/>
      </c>
      <c r="P261" s="10" t="str">
        <f>IF(IF(ISNA(計算結果!P261),"",計算結果!P261)=0,"",IF(ISNA(計算結果!P261),"",計算結果!P261))</f>
        <v/>
      </c>
      <c r="Q261" s="10" t="str">
        <f>IF(IF(ISNA(計算結果!Q261),"",計算結果!Q261)=0,"",IF(ISNA(計算結果!Q261),"",計算結果!Q261))</f>
        <v/>
      </c>
      <c r="R261" s="14" t="str">
        <f t="shared" si="12"/>
        <v/>
      </c>
      <c r="S261" s="14" t="str">
        <f t="shared" si="13"/>
        <v>◯</v>
      </c>
      <c r="T261" s="14" t="str">
        <f t="shared" si="14"/>
        <v/>
      </c>
    </row>
    <row r="262" spans="1:20" hidden="1" x14ac:dyDescent="0.45">
      <c r="A262" s="10" t="str">
        <f>IF(IF(ISNA(計算結果!A262),"",計算結果!A262)=0,"",IF(ISNA(計算結果!A262),"",計算結果!A262))</f>
        <v/>
      </c>
      <c r="B262" s="10" t="str">
        <f>IF(IF(ISNA(計算結果!B262),"",計算結果!B262)=0,"",IF(ISNA(計算結果!B262),"",計算結果!B262))</f>
        <v/>
      </c>
      <c r="C262" s="10" t="str">
        <f>IF(IF(ISNA(計算結果!C262),"",計算結果!C262)=0,"",IF(ISNA(計算結果!C262),"",計算結果!C262))</f>
        <v/>
      </c>
      <c r="D262" s="10" t="str">
        <f>IF(IF(ISNA(計算結果!D262),"",計算結果!D262)=0,"",IF(ISNA(計算結果!D262),"",計算結果!D262))</f>
        <v>L</v>
      </c>
      <c r="E262" s="10" t="str">
        <f>IF(IF(ISNA(計算結果!E262),"",計算結果!E262)=0,"",IF(ISNA(計算結果!E262),"",計算結果!E262))</f>
        <v/>
      </c>
      <c r="F262" s="10" t="str">
        <f>IF(IF(ISNA(計算結果!F262),"",計算結果!F262)=0,"",IF(ISNA(計算結果!F262),"",計算結果!F262))</f>
        <v/>
      </c>
      <c r="G262" s="10" t="str">
        <f>IF(IF(ISNA(計算結果!G262),"",計算結果!G262)=0,"",IF(ISNA(計算結果!G262),"",計算結果!G262))</f>
        <v/>
      </c>
      <c r="H262" s="13">
        <f>IF(IF(ISNA(計算結果!H262),"",計算結果!H262)=0,"",IF(ISNA(計算結果!H262),"",計算結果!H262))</f>
        <v>-2</v>
      </c>
      <c r="I262" s="12" t="str">
        <f>IF(IF(ISNA(計算結果!I262),"",計算結果!I262)=0,"",IF(ISNA(計算結果!I262),"",計算結果!I262))</f>
        <v/>
      </c>
      <c r="J262" s="12" t="str">
        <f>IF(IF(ISNA(計算結果!J262),"",計算結果!J262)=0,"",IF(ISNA(計算結果!J262),"",計算結果!J262))</f>
        <v/>
      </c>
      <c r="K262" s="23" t="str">
        <f>IF(IF(ISNA(計算結果!K262),"",計算結果!K262)=0,"",IF(ISNA(計算結果!K262),"",計算結果!K262))</f>
        <v/>
      </c>
      <c r="L262" s="13" t="str">
        <f>IF(IF(ISNA(計算結果!L262),"",計算結果!L262)=0,"",IF(ISNA(計算結果!L262),"",計算結果!L262))</f>
        <v/>
      </c>
      <c r="M262" s="10" t="str">
        <f>IF(IF(ISNA(計算結果!M262),"",計算結果!M262)=0,"",IF(ISNA(計算結果!M262),"",計算結果!M262))</f>
        <v/>
      </c>
      <c r="N262" s="10" t="str">
        <f>IF(IF(ISNA(計算結果!N262),"",計算結果!N262)=0,"",IF(ISNA(計算結果!N262),"",計算結果!N262))</f>
        <v/>
      </c>
      <c r="O262" s="13" t="str">
        <f>IF(IF(ISNA(計算結果!O262),"",計算結果!O262)=0,"",IF(ISNA(計算結果!O262),"",計算結果!O262))</f>
        <v/>
      </c>
      <c r="P262" s="10" t="str">
        <f>IF(IF(ISNA(計算結果!P262),"",計算結果!P262)=0,"",IF(ISNA(計算結果!P262),"",計算結果!P262))</f>
        <v/>
      </c>
      <c r="Q262" s="10" t="str">
        <f>IF(IF(ISNA(計算結果!Q262),"",計算結果!Q262)=0,"",IF(ISNA(計算結果!Q262),"",計算結果!Q262))</f>
        <v/>
      </c>
      <c r="R262" s="14" t="str">
        <f t="shared" si="12"/>
        <v/>
      </c>
      <c r="S262" s="14" t="str">
        <f t="shared" si="13"/>
        <v>◯</v>
      </c>
      <c r="T262" s="14" t="str">
        <f t="shared" si="14"/>
        <v/>
      </c>
    </row>
    <row r="263" spans="1:20" hidden="1" x14ac:dyDescent="0.45">
      <c r="A263" s="10" t="str">
        <f>IF(IF(ISNA(計算結果!A263),"",計算結果!A263)=0,"",IF(ISNA(計算結果!A263),"",計算結果!A263))</f>
        <v/>
      </c>
      <c r="B263" s="10" t="str">
        <f>IF(IF(ISNA(計算結果!B263),"",計算結果!B263)=0,"",IF(ISNA(計算結果!B263),"",計算結果!B263))</f>
        <v/>
      </c>
      <c r="C263" s="10" t="str">
        <f>IF(IF(ISNA(計算結果!C263),"",計算結果!C263)=0,"",IF(ISNA(計算結果!C263),"",計算結果!C263))</f>
        <v/>
      </c>
      <c r="D263" s="10" t="str">
        <f>IF(IF(ISNA(計算結果!D263),"",計算結果!D263)=0,"",IF(ISNA(計算結果!D263),"",計算結果!D263))</f>
        <v>L</v>
      </c>
      <c r="E263" s="10" t="str">
        <f>IF(IF(ISNA(計算結果!E263),"",計算結果!E263)=0,"",IF(ISNA(計算結果!E263),"",計算結果!E263))</f>
        <v/>
      </c>
      <c r="F263" s="10" t="str">
        <f>IF(IF(ISNA(計算結果!F263),"",計算結果!F263)=0,"",IF(ISNA(計算結果!F263),"",計算結果!F263))</f>
        <v/>
      </c>
      <c r="G263" s="10" t="str">
        <f>IF(IF(ISNA(計算結果!G263),"",計算結果!G263)=0,"",IF(ISNA(計算結果!G263),"",計算結果!G263))</f>
        <v/>
      </c>
      <c r="H263" s="13">
        <f>IF(IF(ISNA(計算結果!H263),"",計算結果!H263)=0,"",IF(ISNA(計算結果!H263),"",計算結果!H263))</f>
        <v>-2</v>
      </c>
      <c r="I263" s="12" t="str">
        <f>IF(IF(ISNA(計算結果!I263),"",計算結果!I263)=0,"",IF(ISNA(計算結果!I263),"",計算結果!I263))</f>
        <v/>
      </c>
      <c r="J263" s="12" t="str">
        <f>IF(IF(ISNA(計算結果!J263),"",計算結果!J263)=0,"",IF(ISNA(計算結果!J263),"",計算結果!J263))</f>
        <v/>
      </c>
      <c r="K263" s="23" t="str">
        <f>IF(IF(ISNA(計算結果!K263),"",計算結果!K263)=0,"",IF(ISNA(計算結果!K263),"",計算結果!K263))</f>
        <v/>
      </c>
      <c r="L263" s="13" t="str">
        <f>IF(IF(ISNA(計算結果!L263),"",計算結果!L263)=0,"",IF(ISNA(計算結果!L263),"",計算結果!L263))</f>
        <v/>
      </c>
      <c r="M263" s="10" t="str">
        <f>IF(IF(ISNA(計算結果!M263),"",計算結果!M263)=0,"",IF(ISNA(計算結果!M263),"",計算結果!M263))</f>
        <v/>
      </c>
      <c r="N263" s="10" t="str">
        <f>IF(IF(ISNA(計算結果!N263),"",計算結果!N263)=0,"",IF(ISNA(計算結果!N263),"",計算結果!N263))</f>
        <v/>
      </c>
      <c r="O263" s="13" t="str">
        <f>IF(IF(ISNA(計算結果!O263),"",計算結果!O263)=0,"",IF(ISNA(計算結果!O263),"",計算結果!O263))</f>
        <v/>
      </c>
      <c r="P263" s="10" t="str">
        <f>IF(IF(ISNA(計算結果!P263),"",計算結果!P263)=0,"",IF(ISNA(計算結果!P263),"",計算結果!P263))</f>
        <v/>
      </c>
      <c r="Q263" s="10" t="str">
        <f>IF(IF(ISNA(計算結果!Q263),"",計算結果!Q263)=0,"",IF(ISNA(計算結果!Q263),"",計算結果!Q263))</f>
        <v/>
      </c>
      <c r="R263" s="14" t="str">
        <f t="shared" si="12"/>
        <v/>
      </c>
      <c r="S263" s="14" t="str">
        <f t="shared" si="13"/>
        <v>◯</v>
      </c>
      <c r="T263" s="14" t="str">
        <f t="shared" si="14"/>
        <v/>
      </c>
    </row>
    <row r="264" spans="1:20" hidden="1" x14ac:dyDescent="0.45">
      <c r="A264" s="10" t="str">
        <f>IF(IF(ISNA(計算結果!A264),"",計算結果!A264)=0,"",IF(ISNA(計算結果!A264),"",計算結果!A264))</f>
        <v/>
      </c>
      <c r="B264" s="10" t="str">
        <f>IF(IF(ISNA(計算結果!B264),"",計算結果!B264)=0,"",IF(ISNA(計算結果!B264),"",計算結果!B264))</f>
        <v/>
      </c>
      <c r="C264" s="10" t="str">
        <f>IF(IF(ISNA(計算結果!C264),"",計算結果!C264)=0,"",IF(ISNA(計算結果!C264),"",計算結果!C264))</f>
        <v/>
      </c>
      <c r="D264" s="10" t="str">
        <f>IF(IF(ISNA(計算結果!D264),"",計算結果!D264)=0,"",IF(ISNA(計算結果!D264),"",計算結果!D264))</f>
        <v>L</v>
      </c>
      <c r="E264" s="10" t="str">
        <f>IF(IF(ISNA(計算結果!E264),"",計算結果!E264)=0,"",IF(ISNA(計算結果!E264),"",計算結果!E264))</f>
        <v/>
      </c>
      <c r="F264" s="10" t="str">
        <f>IF(IF(ISNA(計算結果!F264),"",計算結果!F264)=0,"",IF(ISNA(計算結果!F264),"",計算結果!F264))</f>
        <v/>
      </c>
      <c r="G264" s="10" t="str">
        <f>IF(IF(ISNA(計算結果!G264),"",計算結果!G264)=0,"",IF(ISNA(計算結果!G264),"",計算結果!G264))</f>
        <v/>
      </c>
      <c r="H264" s="13">
        <f>IF(IF(ISNA(計算結果!H264),"",計算結果!H264)=0,"",IF(ISNA(計算結果!H264),"",計算結果!H264))</f>
        <v>-2</v>
      </c>
      <c r="I264" s="12" t="str">
        <f>IF(IF(ISNA(計算結果!I264),"",計算結果!I264)=0,"",IF(ISNA(計算結果!I264),"",計算結果!I264))</f>
        <v/>
      </c>
      <c r="J264" s="12" t="str">
        <f>IF(IF(ISNA(計算結果!J264),"",計算結果!J264)=0,"",IF(ISNA(計算結果!J264),"",計算結果!J264))</f>
        <v/>
      </c>
      <c r="K264" s="23" t="str">
        <f>IF(IF(ISNA(計算結果!K264),"",計算結果!K264)=0,"",IF(ISNA(計算結果!K264),"",計算結果!K264))</f>
        <v/>
      </c>
      <c r="L264" s="13" t="str">
        <f>IF(IF(ISNA(計算結果!L264),"",計算結果!L264)=0,"",IF(ISNA(計算結果!L264),"",計算結果!L264))</f>
        <v/>
      </c>
      <c r="M264" s="10" t="str">
        <f>IF(IF(ISNA(計算結果!M264),"",計算結果!M264)=0,"",IF(ISNA(計算結果!M264),"",計算結果!M264))</f>
        <v/>
      </c>
      <c r="N264" s="10" t="str">
        <f>IF(IF(ISNA(計算結果!N264),"",計算結果!N264)=0,"",IF(ISNA(計算結果!N264),"",計算結果!N264))</f>
        <v/>
      </c>
      <c r="O264" s="13" t="str">
        <f>IF(IF(ISNA(計算結果!O264),"",計算結果!O264)=0,"",IF(ISNA(計算結果!O264),"",計算結果!O264))</f>
        <v/>
      </c>
      <c r="P264" s="10" t="str">
        <f>IF(IF(ISNA(計算結果!P264),"",計算結果!P264)=0,"",IF(ISNA(計算結果!P264),"",計算結果!P264))</f>
        <v/>
      </c>
      <c r="Q264" s="10" t="str">
        <f>IF(IF(ISNA(計算結果!Q264),"",計算結果!Q264)=0,"",IF(ISNA(計算結果!Q264),"",計算結果!Q264))</f>
        <v/>
      </c>
      <c r="R264" s="14" t="str">
        <f t="shared" si="12"/>
        <v/>
      </c>
      <c r="S264" s="14" t="str">
        <f t="shared" si="13"/>
        <v>◯</v>
      </c>
      <c r="T264" s="14" t="str">
        <f t="shared" si="14"/>
        <v/>
      </c>
    </row>
    <row r="265" spans="1:20" hidden="1" x14ac:dyDescent="0.45">
      <c r="A265" s="10" t="str">
        <f>IF(IF(ISNA(計算結果!A265),"",計算結果!A265)=0,"",IF(ISNA(計算結果!A265),"",計算結果!A265))</f>
        <v/>
      </c>
      <c r="B265" s="10" t="str">
        <f>IF(IF(ISNA(計算結果!B265),"",計算結果!B265)=0,"",IF(ISNA(計算結果!B265),"",計算結果!B265))</f>
        <v/>
      </c>
      <c r="C265" s="10" t="str">
        <f>IF(IF(ISNA(計算結果!C265),"",計算結果!C265)=0,"",IF(ISNA(計算結果!C265),"",計算結果!C265))</f>
        <v/>
      </c>
      <c r="D265" s="10" t="str">
        <f>IF(IF(ISNA(計算結果!D265),"",計算結果!D265)=0,"",IF(ISNA(計算結果!D265),"",計算結果!D265))</f>
        <v>L</v>
      </c>
      <c r="E265" s="10" t="str">
        <f>IF(IF(ISNA(計算結果!E265),"",計算結果!E265)=0,"",IF(ISNA(計算結果!E265),"",計算結果!E265))</f>
        <v/>
      </c>
      <c r="F265" s="10" t="str">
        <f>IF(IF(ISNA(計算結果!F265),"",計算結果!F265)=0,"",IF(ISNA(計算結果!F265),"",計算結果!F265))</f>
        <v/>
      </c>
      <c r="G265" s="10" t="str">
        <f>IF(IF(ISNA(計算結果!G265),"",計算結果!G265)=0,"",IF(ISNA(計算結果!G265),"",計算結果!G265))</f>
        <v/>
      </c>
      <c r="H265" s="13">
        <f>IF(IF(ISNA(計算結果!H265),"",計算結果!H265)=0,"",IF(ISNA(計算結果!H265),"",計算結果!H265))</f>
        <v>-2</v>
      </c>
      <c r="I265" s="12" t="str">
        <f>IF(IF(ISNA(計算結果!I265),"",計算結果!I265)=0,"",IF(ISNA(計算結果!I265),"",計算結果!I265))</f>
        <v/>
      </c>
      <c r="J265" s="12" t="str">
        <f>IF(IF(ISNA(計算結果!J265),"",計算結果!J265)=0,"",IF(ISNA(計算結果!J265),"",計算結果!J265))</f>
        <v/>
      </c>
      <c r="K265" s="23" t="str">
        <f>IF(IF(ISNA(計算結果!K265),"",計算結果!K265)=0,"",IF(ISNA(計算結果!K265),"",計算結果!K265))</f>
        <v/>
      </c>
      <c r="L265" s="13" t="str">
        <f>IF(IF(ISNA(計算結果!L265),"",計算結果!L265)=0,"",IF(ISNA(計算結果!L265),"",計算結果!L265))</f>
        <v/>
      </c>
      <c r="M265" s="10" t="str">
        <f>IF(IF(ISNA(計算結果!M265),"",計算結果!M265)=0,"",IF(ISNA(計算結果!M265),"",計算結果!M265))</f>
        <v/>
      </c>
      <c r="N265" s="10" t="str">
        <f>IF(IF(ISNA(計算結果!N265),"",計算結果!N265)=0,"",IF(ISNA(計算結果!N265),"",計算結果!N265))</f>
        <v/>
      </c>
      <c r="O265" s="13" t="str">
        <f>IF(IF(ISNA(計算結果!O265),"",計算結果!O265)=0,"",IF(ISNA(計算結果!O265),"",計算結果!O265))</f>
        <v/>
      </c>
      <c r="P265" s="10" t="str">
        <f>IF(IF(ISNA(計算結果!P265),"",計算結果!P265)=0,"",IF(ISNA(計算結果!P265),"",計算結果!P265))</f>
        <v/>
      </c>
      <c r="Q265" s="10" t="str">
        <f>IF(IF(ISNA(計算結果!Q265),"",計算結果!Q265)=0,"",IF(ISNA(計算結果!Q265),"",計算結果!Q265))</f>
        <v/>
      </c>
      <c r="R265" s="14" t="str">
        <f t="shared" si="12"/>
        <v/>
      </c>
      <c r="S265" s="14" t="str">
        <f t="shared" si="13"/>
        <v>◯</v>
      </c>
      <c r="T265" s="14" t="str">
        <f t="shared" si="14"/>
        <v/>
      </c>
    </row>
    <row r="266" spans="1:20" hidden="1" x14ac:dyDescent="0.45">
      <c r="A266" s="10" t="str">
        <f>IF(IF(ISNA(計算結果!A266),"",計算結果!A266)=0,"",IF(ISNA(計算結果!A266),"",計算結果!A266))</f>
        <v/>
      </c>
      <c r="B266" s="10" t="str">
        <f>IF(IF(ISNA(計算結果!B266),"",計算結果!B266)=0,"",IF(ISNA(計算結果!B266),"",計算結果!B266))</f>
        <v/>
      </c>
      <c r="C266" s="10" t="str">
        <f>IF(IF(ISNA(計算結果!C266),"",計算結果!C266)=0,"",IF(ISNA(計算結果!C266),"",計算結果!C266))</f>
        <v/>
      </c>
      <c r="D266" s="10" t="str">
        <f>IF(IF(ISNA(計算結果!D266),"",計算結果!D266)=0,"",IF(ISNA(計算結果!D266),"",計算結果!D266))</f>
        <v>L</v>
      </c>
      <c r="E266" s="10" t="str">
        <f>IF(IF(ISNA(計算結果!E266),"",計算結果!E266)=0,"",IF(ISNA(計算結果!E266),"",計算結果!E266))</f>
        <v/>
      </c>
      <c r="F266" s="10" t="str">
        <f>IF(IF(ISNA(計算結果!F266),"",計算結果!F266)=0,"",IF(ISNA(計算結果!F266),"",計算結果!F266))</f>
        <v/>
      </c>
      <c r="G266" s="10" t="str">
        <f>IF(IF(ISNA(計算結果!G266),"",計算結果!G266)=0,"",IF(ISNA(計算結果!G266),"",計算結果!G266))</f>
        <v/>
      </c>
      <c r="H266" s="13">
        <f>IF(IF(ISNA(計算結果!H266),"",計算結果!H266)=0,"",IF(ISNA(計算結果!H266),"",計算結果!H266))</f>
        <v>-2</v>
      </c>
      <c r="I266" s="12" t="str">
        <f>IF(IF(ISNA(計算結果!I266),"",計算結果!I266)=0,"",IF(ISNA(計算結果!I266),"",計算結果!I266))</f>
        <v/>
      </c>
      <c r="J266" s="12" t="str">
        <f>IF(IF(ISNA(計算結果!J266),"",計算結果!J266)=0,"",IF(ISNA(計算結果!J266),"",計算結果!J266))</f>
        <v/>
      </c>
      <c r="K266" s="23" t="str">
        <f>IF(IF(ISNA(計算結果!K266),"",計算結果!K266)=0,"",IF(ISNA(計算結果!K266),"",計算結果!K266))</f>
        <v/>
      </c>
      <c r="L266" s="13" t="str">
        <f>IF(IF(ISNA(計算結果!L266),"",計算結果!L266)=0,"",IF(ISNA(計算結果!L266),"",計算結果!L266))</f>
        <v/>
      </c>
      <c r="M266" s="10" t="str">
        <f>IF(IF(ISNA(計算結果!M266),"",計算結果!M266)=0,"",IF(ISNA(計算結果!M266),"",計算結果!M266))</f>
        <v/>
      </c>
      <c r="N266" s="10" t="str">
        <f>IF(IF(ISNA(計算結果!N266),"",計算結果!N266)=0,"",IF(ISNA(計算結果!N266),"",計算結果!N266))</f>
        <v/>
      </c>
      <c r="O266" s="13" t="str">
        <f>IF(IF(ISNA(計算結果!O266),"",計算結果!O266)=0,"",IF(ISNA(計算結果!O266),"",計算結果!O266))</f>
        <v/>
      </c>
      <c r="P266" s="10" t="str">
        <f>IF(IF(ISNA(計算結果!P266),"",計算結果!P266)=0,"",IF(ISNA(計算結果!P266),"",計算結果!P266))</f>
        <v/>
      </c>
      <c r="Q266" s="10" t="str">
        <f>IF(IF(ISNA(計算結果!Q266),"",計算結果!Q266)=0,"",IF(ISNA(計算結果!Q266),"",計算結果!Q266))</f>
        <v/>
      </c>
      <c r="R266" s="14" t="str">
        <f t="shared" si="12"/>
        <v/>
      </c>
      <c r="S266" s="14" t="str">
        <f t="shared" si="13"/>
        <v>◯</v>
      </c>
      <c r="T266" s="14" t="str">
        <f t="shared" si="14"/>
        <v/>
      </c>
    </row>
    <row r="267" spans="1:20" hidden="1" x14ac:dyDescent="0.45">
      <c r="A267" s="10" t="str">
        <f>IF(IF(ISNA(計算結果!A267),"",計算結果!A267)=0,"",IF(ISNA(計算結果!A267),"",計算結果!A267))</f>
        <v/>
      </c>
      <c r="B267" s="10" t="str">
        <f>IF(IF(ISNA(計算結果!B267),"",計算結果!B267)=0,"",IF(ISNA(計算結果!B267),"",計算結果!B267))</f>
        <v/>
      </c>
      <c r="C267" s="10" t="str">
        <f>IF(IF(ISNA(計算結果!C267),"",計算結果!C267)=0,"",IF(ISNA(計算結果!C267),"",計算結果!C267))</f>
        <v/>
      </c>
      <c r="D267" s="10" t="str">
        <f>IF(IF(ISNA(計算結果!D267),"",計算結果!D267)=0,"",IF(ISNA(計算結果!D267),"",計算結果!D267))</f>
        <v>L</v>
      </c>
      <c r="E267" s="10" t="str">
        <f>IF(IF(ISNA(計算結果!E267),"",計算結果!E267)=0,"",IF(ISNA(計算結果!E267),"",計算結果!E267))</f>
        <v/>
      </c>
      <c r="F267" s="10" t="str">
        <f>IF(IF(ISNA(計算結果!F267),"",計算結果!F267)=0,"",IF(ISNA(計算結果!F267),"",計算結果!F267))</f>
        <v/>
      </c>
      <c r="G267" s="10" t="str">
        <f>IF(IF(ISNA(計算結果!G267),"",計算結果!G267)=0,"",IF(ISNA(計算結果!G267),"",計算結果!G267))</f>
        <v/>
      </c>
      <c r="H267" s="13">
        <f>IF(IF(ISNA(計算結果!H267),"",計算結果!H267)=0,"",IF(ISNA(計算結果!H267),"",計算結果!H267))</f>
        <v>-2</v>
      </c>
      <c r="I267" s="12" t="str">
        <f>IF(IF(ISNA(計算結果!I267),"",計算結果!I267)=0,"",IF(ISNA(計算結果!I267),"",計算結果!I267))</f>
        <v/>
      </c>
      <c r="J267" s="12" t="str">
        <f>IF(IF(ISNA(計算結果!J267),"",計算結果!J267)=0,"",IF(ISNA(計算結果!J267),"",計算結果!J267))</f>
        <v/>
      </c>
      <c r="K267" s="23" t="str">
        <f>IF(IF(ISNA(計算結果!K267),"",計算結果!K267)=0,"",IF(ISNA(計算結果!K267),"",計算結果!K267))</f>
        <v/>
      </c>
      <c r="L267" s="13" t="str">
        <f>IF(IF(ISNA(計算結果!L267),"",計算結果!L267)=0,"",IF(ISNA(計算結果!L267),"",計算結果!L267))</f>
        <v/>
      </c>
      <c r="M267" s="10" t="str">
        <f>IF(IF(ISNA(計算結果!M267),"",計算結果!M267)=0,"",IF(ISNA(計算結果!M267),"",計算結果!M267))</f>
        <v/>
      </c>
      <c r="N267" s="10" t="str">
        <f>IF(IF(ISNA(計算結果!N267),"",計算結果!N267)=0,"",IF(ISNA(計算結果!N267),"",計算結果!N267))</f>
        <v/>
      </c>
      <c r="O267" s="13" t="str">
        <f>IF(IF(ISNA(計算結果!O267),"",計算結果!O267)=0,"",IF(ISNA(計算結果!O267),"",計算結果!O267))</f>
        <v/>
      </c>
      <c r="P267" s="10" t="str">
        <f>IF(IF(ISNA(計算結果!P267),"",計算結果!P267)=0,"",IF(ISNA(計算結果!P267),"",計算結果!P267))</f>
        <v/>
      </c>
      <c r="Q267" s="10" t="str">
        <f>IF(IF(ISNA(計算結果!Q267),"",計算結果!Q267)=0,"",IF(ISNA(計算結果!Q267),"",計算結果!Q267))</f>
        <v/>
      </c>
      <c r="R267" s="14" t="str">
        <f t="shared" si="12"/>
        <v/>
      </c>
      <c r="S267" s="14" t="str">
        <f t="shared" si="13"/>
        <v>◯</v>
      </c>
      <c r="T267" s="14" t="str">
        <f t="shared" si="14"/>
        <v/>
      </c>
    </row>
    <row r="268" spans="1:20" hidden="1" x14ac:dyDescent="0.45">
      <c r="A268" s="10" t="str">
        <f>IF(IF(ISNA(計算結果!A268),"",計算結果!A268)=0,"",IF(ISNA(計算結果!A268),"",計算結果!A268))</f>
        <v/>
      </c>
      <c r="B268" s="10" t="str">
        <f>IF(IF(ISNA(計算結果!B268),"",計算結果!B268)=0,"",IF(ISNA(計算結果!B268),"",計算結果!B268))</f>
        <v/>
      </c>
      <c r="C268" s="10" t="str">
        <f>IF(IF(ISNA(計算結果!C268),"",計算結果!C268)=0,"",IF(ISNA(計算結果!C268),"",計算結果!C268))</f>
        <v/>
      </c>
      <c r="D268" s="10" t="str">
        <f>IF(IF(ISNA(計算結果!D268),"",計算結果!D268)=0,"",IF(ISNA(計算結果!D268),"",計算結果!D268))</f>
        <v>L</v>
      </c>
      <c r="E268" s="10" t="str">
        <f>IF(IF(ISNA(計算結果!E268),"",計算結果!E268)=0,"",IF(ISNA(計算結果!E268),"",計算結果!E268))</f>
        <v/>
      </c>
      <c r="F268" s="10" t="str">
        <f>IF(IF(ISNA(計算結果!F268),"",計算結果!F268)=0,"",IF(ISNA(計算結果!F268),"",計算結果!F268))</f>
        <v/>
      </c>
      <c r="G268" s="10" t="str">
        <f>IF(IF(ISNA(計算結果!G268),"",計算結果!G268)=0,"",IF(ISNA(計算結果!G268),"",計算結果!G268))</f>
        <v/>
      </c>
      <c r="H268" s="13">
        <f>IF(IF(ISNA(計算結果!H268),"",計算結果!H268)=0,"",IF(ISNA(計算結果!H268),"",計算結果!H268))</f>
        <v>-2</v>
      </c>
      <c r="I268" s="12" t="str">
        <f>IF(IF(ISNA(計算結果!I268),"",計算結果!I268)=0,"",IF(ISNA(計算結果!I268),"",計算結果!I268))</f>
        <v/>
      </c>
      <c r="J268" s="12" t="str">
        <f>IF(IF(ISNA(計算結果!J268),"",計算結果!J268)=0,"",IF(ISNA(計算結果!J268),"",計算結果!J268))</f>
        <v/>
      </c>
      <c r="K268" s="23" t="str">
        <f>IF(IF(ISNA(計算結果!K268),"",計算結果!K268)=0,"",IF(ISNA(計算結果!K268),"",計算結果!K268))</f>
        <v/>
      </c>
      <c r="L268" s="13" t="str">
        <f>IF(IF(ISNA(計算結果!L268),"",計算結果!L268)=0,"",IF(ISNA(計算結果!L268),"",計算結果!L268))</f>
        <v/>
      </c>
      <c r="M268" s="10" t="str">
        <f>IF(IF(ISNA(計算結果!M268),"",計算結果!M268)=0,"",IF(ISNA(計算結果!M268),"",計算結果!M268))</f>
        <v/>
      </c>
      <c r="N268" s="10" t="str">
        <f>IF(IF(ISNA(計算結果!N268),"",計算結果!N268)=0,"",IF(ISNA(計算結果!N268),"",計算結果!N268))</f>
        <v/>
      </c>
      <c r="O268" s="13" t="str">
        <f>IF(IF(ISNA(計算結果!O268),"",計算結果!O268)=0,"",IF(ISNA(計算結果!O268),"",計算結果!O268))</f>
        <v/>
      </c>
      <c r="P268" s="10" t="str">
        <f>IF(IF(ISNA(計算結果!P268),"",計算結果!P268)=0,"",IF(ISNA(計算結果!P268),"",計算結果!P268))</f>
        <v/>
      </c>
      <c r="Q268" s="10" t="str">
        <f>IF(IF(ISNA(計算結果!Q268),"",計算結果!Q268)=0,"",IF(ISNA(計算結果!Q268),"",計算結果!Q268))</f>
        <v/>
      </c>
      <c r="R268" s="14" t="str">
        <f t="shared" si="12"/>
        <v/>
      </c>
      <c r="S268" s="14" t="str">
        <f t="shared" si="13"/>
        <v>◯</v>
      </c>
      <c r="T268" s="14" t="str">
        <f t="shared" si="14"/>
        <v/>
      </c>
    </row>
    <row r="269" spans="1:20" hidden="1" x14ac:dyDescent="0.45">
      <c r="A269" s="10" t="str">
        <f>IF(IF(ISNA(計算結果!A269),"",計算結果!A269)=0,"",IF(ISNA(計算結果!A269),"",計算結果!A269))</f>
        <v/>
      </c>
      <c r="B269" s="10" t="str">
        <f>IF(IF(ISNA(計算結果!B269),"",計算結果!B269)=0,"",IF(ISNA(計算結果!B269),"",計算結果!B269))</f>
        <v/>
      </c>
      <c r="C269" s="10" t="str">
        <f>IF(IF(ISNA(計算結果!C269),"",計算結果!C269)=0,"",IF(ISNA(計算結果!C269),"",計算結果!C269))</f>
        <v/>
      </c>
      <c r="D269" s="10" t="str">
        <f>IF(IF(ISNA(計算結果!D269),"",計算結果!D269)=0,"",IF(ISNA(計算結果!D269),"",計算結果!D269))</f>
        <v>L</v>
      </c>
      <c r="E269" s="10" t="str">
        <f>IF(IF(ISNA(計算結果!E269),"",計算結果!E269)=0,"",IF(ISNA(計算結果!E269),"",計算結果!E269))</f>
        <v/>
      </c>
      <c r="F269" s="10" t="str">
        <f>IF(IF(ISNA(計算結果!F269),"",計算結果!F269)=0,"",IF(ISNA(計算結果!F269),"",計算結果!F269))</f>
        <v/>
      </c>
      <c r="G269" s="10" t="str">
        <f>IF(IF(ISNA(計算結果!G269),"",計算結果!G269)=0,"",IF(ISNA(計算結果!G269),"",計算結果!G269))</f>
        <v/>
      </c>
      <c r="H269" s="13">
        <f>IF(IF(ISNA(計算結果!H269),"",計算結果!H269)=0,"",IF(ISNA(計算結果!H269),"",計算結果!H269))</f>
        <v>-2</v>
      </c>
      <c r="I269" s="12" t="str">
        <f>IF(IF(ISNA(計算結果!I269),"",計算結果!I269)=0,"",IF(ISNA(計算結果!I269),"",計算結果!I269))</f>
        <v/>
      </c>
      <c r="J269" s="12" t="str">
        <f>IF(IF(ISNA(計算結果!J269),"",計算結果!J269)=0,"",IF(ISNA(計算結果!J269),"",計算結果!J269))</f>
        <v/>
      </c>
      <c r="K269" s="23" t="str">
        <f>IF(IF(ISNA(計算結果!K269),"",計算結果!K269)=0,"",IF(ISNA(計算結果!K269),"",計算結果!K269))</f>
        <v/>
      </c>
      <c r="L269" s="13" t="str">
        <f>IF(IF(ISNA(計算結果!L269),"",計算結果!L269)=0,"",IF(ISNA(計算結果!L269),"",計算結果!L269))</f>
        <v/>
      </c>
      <c r="M269" s="10" t="str">
        <f>IF(IF(ISNA(計算結果!M269),"",計算結果!M269)=0,"",IF(ISNA(計算結果!M269),"",計算結果!M269))</f>
        <v/>
      </c>
      <c r="N269" s="10" t="str">
        <f>IF(IF(ISNA(計算結果!N269),"",計算結果!N269)=0,"",IF(ISNA(計算結果!N269),"",計算結果!N269))</f>
        <v/>
      </c>
      <c r="O269" s="13" t="str">
        <f>IF(IF(ISNA(計算結果!O269),"",計算結果!O269)=0,"",IF(ISNA(計算結果!O269),"",計算結果!O269))</f>
        <v/>
      </c>
      <c r="P269" s="10" t="str">
        <f>IF(IF(ISNA(計算結果!P269),"",計算結果!P269)=0,"",IF(ISNA(計算結果!P269),"",計算結果!P269))</f>
        <v/>
      </c>
      <c r="Q269" s="10" t="str">
        <f>IF(IF(ISNA(計算結果!Q269),"",計算結果!Q269)=0,"",IF(ISNA(計算結果!Q269),"",計算結果!Q269))</f>
        <v/>
      </c>
      <c r="R269" s="14" t="str">
        <f t="shared" si="12"/>
        <v/>
      </c>
      <c r="S269" s="14" t="str">
        <f t="shared" si="13"/>
        <v>◯</v>
      </c>
      <c r="T269" s="14" t="str">
        <f t="shared" si="14"/>
        <v/>
      </c>
    </row>
    <row r="270" spans="1:20" hidden="1" x14ac:dyDescent="0.45">
      <c r="A270" s="10" t="str">
        <f>IF(IF(ISNA(計算結果!A270),"",計算結果!A270)=0,"",IF(ISNA(計算結果!A270),"",計算結果!A270))</f>
        <v/>
      </c>
      <c r="B270" s="10" t="str">
        <f>IF(IF(ISNA(計算結果!B270),"",計算結果!B270)=0,"",IF(ISNA(計算結果!B270),"",計算結果!B270))</f>
        <v/>
      </c>
      <c r="C270" s="10" t="str">
        <f>IF(IF(ISNA(計算結果!C270),"",計算結果!C270)=0,"",IF(ISNA(計算結果!C270),"",計算結果!C270))</f>
        <v/>
      </c>
      <c r="D270" s="10" t="str">
        <f>IF(IF(ISNA(計算結果!D270),"",計算結果!D270)=0,"",IF(ISNA(計算結果!D270),"",計算結果!D270))</f>
        <v>L</v>
      </c>
      <c r="E270" s="10" t="str">
        <f>IF(IF(ISNA(計算結果!E270),"",計算結果!E270)=0,"",IF(ISNA(計算結果!E270),"",計算結果!E270))</f>
        <v/>
      </c>
      <c r="F270" s="10" t="str">
        <f>IF(IF(ISNA(計算結果!F270),"",計算結果!F270)=0,"",IF(ISNA(計算結果!F270),"",計算結果!F270))</f>
        <v/>
      </c>
      <c r="G270" s="10" t="str">
        <f>IF(IF(ISNA(計算結果!G270),"",計算結果!G270)=0,"",IF(ISNA(計算結果!G270),"",計算結果!G270))</f>
        <v/>
      </c>
      <c r="H270" s="13">
        <f>IF(IF(ISNA(計算結果!H270),"",計算結果!H270)=0,"",IF(ISNA(計算結果!H270),"",計算結果!H270))</f>
        <v>-2</v>
      </c>
      <c r="I270" s="12" t="str">
        <f>IF(IF(ISNA(計算結果!I270),"",計算結果!I270)=0,"",IF(ISNA(計算結果!I270),"",計算結果!I270))</f>
        <v/>
      </c>
      <c r="J270" s="12" t="str">
        <f>IF(IF(ISNA(計算結果!J270),"",計算結果!J270)=0,"",IF(ISNA(計算結果!J270),"",計算結果!J270))</f>
        <v/>
      </c>
      <c r="K270" s="23" t="str">
        <f>IF(IF(ISNA(計算結果!K270),"",計算結果!K270)=0,"",IF(ISNA(計算結果!K270),"",計算結果!K270))</f>
        <v/>
      </c>
      <c r="L270" s="13" t="str">
        <f>IF(IF(ISNA(計算結果!L270),"",計算結果!L270)=0,"",IF(ISNA(計算結果!L270),"",計算結果!L270))</f>
        <v/>
      </c>
      <c r="M270" s="10" t="str">
        <f>IF(IF(ISNA(計算結果!M270),"",計算結果!M270)=0,"",IF(ISNA(計算結果!M270),"",計算結果!M270))</f>
        <v/>
      </c>
      <c r="N270" s="10" t="str">
        <f>IF(IF(ISNA(計算結果!N270),"",計算結果!N270)=0,"",IF(ISNA(計算結果!N270),"",計算結果!N270))</f>
        <v/>
      </c>
      <c r="O270" s="13" t="str">
        <f>IF(IF(ISNA(計算結果!O270),"",計算結果!O270)=0,"",IF(ISNA(計算結果!O270),"",計算結果!O270))</f>
        <v/>
      </c>
      <c r="P270" s="10" t="str">
        <f>IF(IF(ISNA(計算結果!P270),"",計算結果!P270)=0,"",IF(ISNA(計算結果!P270),"",計算結果!P270))</f>
        <v/>
      </c>
      <c r="Q270" s="10" t="str">
        <f>IF(IF(ISNA(計算結果!Q270),"",計算結果!Q270)=0,"",IF(ISNA(計算結果!Q270),"",計算結果!Q270))</f>
        <v/>
      </c>
      <c r="R270" s="14" t="str">
        <f t="shared" si="12"/>
        <v/>
      </c>
      <c r="S270" s="14" t="str">
        <f t="shared" si="13"/>
        <v>◯</v>
      </c>
      <c r="T270" s="14" t="str">
        <f t="shared" si="14"/>
        <v/>
      </c>
    </row>
    <row r="271" spans="1:20" hidden="1" x14ac:dyDescent="0.45">
      <c r="A271" s="10" t="str">
        <f>IF(IF(ISNA(計算結果!A271),"",計算結果!A271)=0,"",IF(ISNA(計算結果!A271),"",計算結果!A271))</f>
        <v/>
      </c>
      <c r="B271" s="10" t="str">
        <f>IF(IF(ISNA(計算結果!B271),"",計算結果!B271)=0,"",IF(ISNA(計算結果!B271),"",計算結果!B271))</f>
        <v/>
      </c>
      <c r="C271" s="10" t="str">
        <f>IF(IF(ISNA(計算結果!C271),"",計算結果!C271)=0,"",IF(ISNA(計算結果!C271),"",計算結果!C271))</f>
        <v/>
      </c>
      <c r="D271" s="10" t="str">
        <f>IF(IF(ISNA(計算結果!D271),"",計算結果!D271)=0,"",IF(ISNA(計算結果!D271),"",計算結果!D271))</f>
        <v>L</v>
      </c>
      <c r="E271" s="10" t="str">
        <f>IF(IF(ISNA(計算結果!E271),"",計算結果!E271)=0,"",IF(ISNA(計算結果!E271),"",計算結果!E271))</f>
        <v/>
      </c>
      <c r="F271" s="10" t="str">
        <f>IF(IF(ISNA(計算結果!F271),"",計算結果!F271)=0,"",IF(ISNA(計算結果!F271),"",計算結果!F271))</f>
        <v/>
      </c>
      <c r="G271" s="10" t="str">
        <f>IF(IF(ISNA(計算結果!G271),"",計算結果!G271)=0,"",IF(ISNA(計算結果!G271),"",計算結果!G271))</f>
        <v/>
      </c>
      <c r="H271" s="13">
        <f>IF(IF(ISNA(計算結果!H271),"",計算結果!H271)=0,"",IF(ISNA(計算結果!H271),"",計算結果!H271))</f>
        <v>-2</v>
      </c>
      <c r="I271" s="12" t="str">
        <f>IF(IF(ISNA(計算結果!I271),"",計算結果!I271)=0,"",IF(ISNA(計算結果!I271),"",計算結果!I271))</f>
        <v/>
      </c>
      <c r="J271" s="12" t="str">
        <f>IF(IF(ISNA(計算結果!J271),"",計算結果!J271)=0,"",IF(ISNA(計算結果!J271),"",計算結果!J271))</f>
        <v/>
      </c>
      <c r="K271" s="23" t="str">
        <f>IF(IF(ISNA(計算結果!K271),"",計算結果!K271)=0,"",IF(ISNA(計算結果!K271),"",計算結果!K271))</f>
        <v/>
      </c>
      <c r="L271" s="13" t="str">
        <f>IF(IF(ISNA(計算結果!L271),"",計算結果!L271)=0,"",IF(ISNA(計算結果!L271),"",計算結果!L271))</f>
        <v/>
      </c>
      <c r="M271" s="10" t="str">
        <f>IF(IF(ISNA(計算結果!M271),"",計算結果!M271)=0,"",IF(ISNA(計算結果!M271),"",計算結果!M271))</f>
        <v/>
      </c>
      <c r="N271" s="10" t="str">
        <f>IF(IF(ISNA(計算結果!N271),"",計算結果!N271)=0,"",IF(ISNA(計算結果!N271),"",計算結果!N271))</f>
        <v/>
      </c>
      <c r="O271" s="13" t="str">
        <f>IF(IF(ISNA(計算結果!O271),"",計算結果!O271)=0,"",IF(ISNA(計算結果!O271),"",計算結果!O271))</f>
        <v/>
      </c>
      <c r="P271" s="10" t="str">
        <f>IF(IF(ISNA(計算結果!P271),"",計算結果!P271)=0,"",IF(ISNA(計算結果!P271),"",計算結果!P271))</f>
        <v/>
      </c>
      <c r="Q271" s="10" t="str">
        <f>IF(IF(ISNA(計算結果!Q271),"",計算結果!Q271)=0,"",IF(ISNA(計算結果!Q271),"",計算結果!Q271))</f>
        <v/>
      </c>
      <c r="R271" s="14" t="str">
        <f t="shared" si="12"/>
        <v/>
      </c>
      <c r="S271" s="14" t="str">
        <f t="shared" si="13"/>
        <v>◯</v>
      </c>
      <c r="T271" s="14" t="str">
        <f t="shared" si="14"/>
        <v/>
      </c>
    </row>
    <row r="272" spans="1:20" hidden="1" x14ac:dyDescent="0.45">
      <c r="A272" s="10" t="str">
        <f>IF(IF(ISNA(計算結果!A272),"",計算結果!A272)=0,"",IF(ISNA(計算結果!A272),"",計算結果!A272))</f>
        <v/>
      </c>
      <c r="B272" s="10" t="str">
        <f>IF(IF(ISNA(計算結果!B272),"",計算結果!B272)=0,"",IF(ISNA(計算結果!B272),"",計算結果!B272))</f>
        <v/>
      </c>
      <c r="C272" s="10" t="str">
        <f>IF(IF(ISNA(計算結果!C272),"",計算結果!C272)=0,"",IF(ISNA(計算結果!C272),"",計算結果!C272))</f>
        <v/>
      </c>
      <c r="D272" s="10" t="str">
        <f>IF(IF(ISNA(計算結果!D272),"",計算結果!D272)=0,"",IF(ISNA(計算結果!D272),"",計算結果!D272))</f>
        <v>L</v>
      </c>
      <c r="E272" s="10" t="str">
        <f>IF(IF(ISNA(計算結果!E272),"",計算結果!E272)=0,"",IF(ISNA(計算結果!E272),"",計算結果!E272))</f>
        <v/>
      </c>
      <c r="F272" s="10" t="str">
        <f>IF(IF(ISNA(計算結果!F272),"",計算結果!F272)=0,"",IF(ISNA(計算結果!F272),"",計算結果!F272))</f>
        <v/>
      </c>
      <c r="G272" s="10" t="str">
        <f>IF(IF(ISNA(計算結果!G272),"",計算結果!G272)=0,"",IF(ISNA(計算結果!G272),"",計算結果!G272))</f>
        <v/>
      </c>
      <c r="H272" s="13">
        <f>IF(IF(ISNA(計算結果!H272),"",計算結果!H272)=0,"",IF(ISNA(計算結果!H272),"",計算結果!H272))</f>
        <v>-2</v>
      </c>
      <c r="I272" s="12" t="str">
        <f>IF(IF(ISNA(計算結果!I272),"",計算結果!I272)=0,"",IF(ISNA(計算結果!I272),"",計算結果!I272))</f>
        <v/>
      </c>
      <c r="J272" s="12" t="str">
        <f>IF(IF(ISNA(計算結果!J272),"",計算結果!J272)=0,"",IF(ISNA(計算結果!J272),"",計算結果!J272))</f>
        <v/>
      </c>
      <c r="K272" s="23" t="str">
        <f>IF(IF(ISNA(計算結果!K272),"",計算結果!K272)=0,"",IF(ISNA(計算結果!K272),"",計算結果!K272))</f>
        <v/>
      </c>
      <c r="L272" s="13" t="str">
        <f>IF(IF(ISNA(計算結果!L272),"",計算結果!L272)=0,"",IF(ISNA(計算結果!L272),"",計算結果!L272))</f>
        <v/>
      </c>
      <c r="M272" s="10" t="str">
        <f>IF(IF(ISNA(計算結果!M272),"",計算結果!M272)=0,"",IF(ISNA(計算結果!M272),"",計算結果!M272))</f>
        <v/>
      </c>
      <c r="N272" s="10" t="str">
        <f>IF(IF(ISNA(計算結果!N272),"",計算結果!N272)=0,"",IF(ISNA(計算結果!N272),"",計算結果!N272))</f>
        <v/>
      </c>
      <c r="O272" s="13" t="str">
        <f>IF(IF(ISNA(計算結果!O272),"",計算結果!O272)=0,"",IF(ISNA(計算結果!O272),"",計算結果!O272))</f>
        <v/>
      </c>
      <c r="P272" s="10" t="str">
        <f>IF(IF(ISNA(計算結果!P272),"",計算結果!P272)=0,"",IF(ISNA(計算結果!P272),"",計算結果!P272))</f>
        <v/>
      </c>
      <c r="Q272" s="10" t="str">
        <f>IF(IF(ISNA(計算結果!Q272),"",計算結果!Q272)=0,"",IF(ISNA(計算結果!Q272),"",計算結果!Q272))</f>
        <v/>
      </c>
      <c r="R272" s="14" t="str">
        <f t="shared" si="12"/>
        <v/>
      </c>
      <c r="S272" s="14" t="str">
        <f t="shared" si="13"/>
        <v>◯</v>
      </c>
      <c r="T272" s="14" t="str">
        <f t="shared" si="14"/>
        <v/>
      </c>
    </row>
    <row r="273" spans="1:20" hidden="1" x14ac:dyDescent="0.45">
      <c r="A273" s="10" t="str">
        <f>IF(IF(ISNA(計算結果!A273),"",計算結果!A273)=0,"",IF(ISNA(計算結果!A273),"",計算結果!A273))</f>
        <v/>
      </c>
      <c r="B273" s="10" t="str">
        <f>IF(IF(ISNA(計算結果!B273),"",計算結果!B273)=0,"",IF(ISNA(計算結果!B273),"",計算結果!B273))</f>
        <v/>
      </c>
      <c r="C273" s="10" t="str">
        <f>IF(IF(ISNA(計算結果!C273),"",計算結果!C273)=0,"",IF(ISNA(計算結果!C273),"",計算結果!C273))</f>
        <v/>
      </c>
      <c r="D273" s="10" t="str">
        <f>IF(IF(ISNA(計算結果!D273),"",計算結果!D273)=0,"",IF(ISNA(計算結果!D273),"",計算結果!D273))</f>
        <v>L</v>
      </c>
      <c r="E273" s="10" t="str">
        <f>IF(IF(ISNA(計算結果!E273),"",計算結果!E273)=0,"",IF(ISNA(計算結果!E273),"",計算結果!E273))</f>
        <v/>
      </c>
      <c r="F273" s="10" t="str">
        <f>IF(IF(ISNA(計算結果!F273),"",計算結果!F273)=0,"",IF(ISNA(計算結果!F273),"",計算結果!F273))</f>
        <v/>
      </c>
      <c r="G273" s="10" t="str">
        <f>IF(IF(ISNA(計算結果!G273),"",計算結果!G273)=0,"",IF(ISNA(計算結果!G273),"",計算結果!G273))</f>
        <v/>
      </c>
      <c r="H273" s="13">
        <f>IF(IF(ISNA(計算結果!H273),"",計算結果!H273)=0,"",IF(ISNA(計算結果!H273),"",計算結果!H273))</f>
        <v>-2</v>
      </c>
      <c r="I273" s="12" t="str">
        <f>IF(IF(ISNA(計算結果!I273),"",計算結果!I273)=0,"",IF(ISNA(計算結果!I273),"",計算結果!I273))</f>
        <v/>
      </c>
      <c r="J273" s="12" t="str">
        <f>IF(IF(ISNA(計算結果!J273),"",計算結果!J273)=0,"",IF(ISNA(計算結果!J273),"",計算結果!J273))</f>
        <v/>
      </c>
      <c r="K273" s="23" t="str">
        <f>IF(IF(ISNA(計算結果!K273),"",計算結果!K273)=0,"",IF(ISNA(計算結果!K273),"",計算結果!K273))</f>
        <v/>
      </c>
      <c r="L273" s="13" t="str">
        <f>IF(IF(ISNA(計算結果!L273),"",計算結果!L273)=0,"",IF(ISNA(計算結果!L273),"",計算結果!L273))</f>
        <v/>
      </c>
      <c r="M273" s="10" t="str">
        <f>IF(IF(ISNA(計算結果!M273),"",計算結果!M273)=0,"",IF(ISNA(計算結果!M273),"",計算結果!M273))</f>
        <v/>
      </c>
      <c r="N273" s="10" t="str">
        <f>IF(IF(ISNA(計算結果!N273),"",計算結果!N273)=0,"",IF(ISNA(計算結果!N273),"",計算結果!N273))</f>
        <v/>
      </c>
      <c r="O273" s="13" t="str">
        <f>IF(IF(ISNA(計算結果!O273),"",計算結果!O273)=0,"",IF(ISNA(計算結果!O273),"",計算結果!O273))</f>
        <v/>
      </c>
      <c r="P273" s="10" t="str">
        <f>IF(IF(ISNA(計算結果!P273),"",計算結果!P273)=0,"",IF(ISNA(計算結果!P273),"",計算結果!P273))</f>
        <v/>
      </c>
      <c r="Q273" s="10" t="str">
        <f>IF(IF(ISNA(計算結果!Q273),"",計算結果!Q273)=0,"",IF(ISNA(計算結果!Q273),"",計算結果!Q273))</f>
        <v/>
      </c>
      <c r="R273" s="14" t="str">
        <f t="shared" si="12"/>
        <v/>
      </c>
      <c r="S273" s="14" t="str">
        <f t="shared" si="13"/>
        <v>◯</v>
      </c>
      <c r="T273" s="14" t="str">
        <f t="shared" si="14"/>
        <v/>
      </c>
    </row>
    <row r="274" spans="1:20" hidden="1" x14ac:dyDescent="0.45">
      <c r="A274" s="10" t="str">
        <f>IF(IF(ISNA(計算結果!A274),"",計算結果!A274)=0,"",IF(ISNA(計算結果!A274),"",計算結果!A274))</f>
        <v/>
      </c>
      <c r="B274" s="10" t="str">
        <f>IF(IF(ISNA(計算結果!B274),"",計算結果!B274)=0,"",IF(ISNA(計算結果!B274),"",計算結果!B274))</f>
        <v/>
      </c>
      <c r="C274" s="10" t="str">
        <f>IF(IF(ISNA(計算結果!C274),"",計算結果!C274)=0,"",IF(ISNA(計算結果!C274),"",計算結果!C274))</f>
        <v/>
      </c>
      <c r="D274" s="10" t="str">
        <f>IF(IF(ISNA(計算結果!D274),"",計算結果!D274)=0,"",IF(ISNA(計算結果!D274),"",計算結果!D274))</f>
        <v>L</v>
      </c>
      <c r="E274" s="10" t="str">
        <f>IF(IF(ISNA(計算結果!E274),"",計算結果!E274)=0,"",IF(ISNA(計算結果!E274),"",計算結果!E274))</f>
        <v/>
      </c>
      <c r="F274" s="10" t="str">
        <f>IF(IF(ISNA(計算結果!F274),"",計算結果!F274)=0,"",IF(ISNA(計算結果!F274),"",計算結果!F274))</f>
        <v/>
      </c>
      <c r="G274" s="10" t="str">
        <f>IF(IF(ISNA(計算結果!G274),"",計算結果!G274)=0,"",IF(ISNA(計算結果!G274),"",計算結果!G274))</f>
        <v/>
      </c>
      <c r="H274" s="13">
        <f>IF(IF(ISNA(計算結果!H274),"",計算結果!H274)=0,"",IF(ISNA(計算結果!H274),"",計算結果!H274))</f>
        <v>-2</v>
      </c>
      <c r="I274" s="12" t="str">
        <f>IF(IF(ISNA(計算結果!I274),"",計算結果!I274)=0,"",IF(ISNA(計算結果!I274),"",計算結果!I274))</f>
        <v/>
      </c>
      <c r="J274" s="12" t="str">
        <f>IF(IF(ISNA(計算結果!J274),"",計算結果!J274)=0,"",IF(ISNA(計算結果!J274),"",計算結果!J274))</f>
        <v/>
      </c>
      <c r="K274" s="23" t="str">
        <f>IF(IF(ISNA(計算結果!K274),"",計算結果!K274)=0,"",IF(ISNA(計算結果!K274),"",計算結果!K274))</f>
        <v/>
      </c>
      <c r="L274" s="13" t="str">
        <f>IF(IF(ISNA(計算結果!L274),"",計算結果!L274)=0,"",IF(ISNA(計算結果!L274),"",計算結果!L274))</f>
        <v/>
      </c>
      <c r="M274" s="10" t="str">
        <f>IF(IF(ISNA(計算結果!M274),"",計算結果!M274)=0,"",IF(ISNA(計算結果!M274),"",計算結果!M274))</f>
        <v/>
      </c>
      <c r="N274" s="10" t="str">
        <f>IF(IF(ISNA(計算結果!N274),"",計算結果!N274)=0,"",IF(ISNA(計算結果!N274),"",計算結果!N274))</f>
        <v/>
      </c>
      <c r="O274" s="13" t="str">
        <f>IF(IF(ISNA(計算結果!O274),"",計算結果!O274)=0,"",IF(ISNA(計算結果!O274),"",計算結果!O274))</f>
        <v/>
      </c>
      <c r="P274" s="10" t="str">
        <f>IF(IF(ISNA(計算結果!P274),"",計算結果!P274)=0,"",IF(ISNA(計算結果!P274),"",計算結果!P274))</f>
        <v/>
      </c>
      <c r="Q274" s="10" t="str">
        <f>IF(IF(ISNA(計算結果!Q274),"",計算結果!Q274)=0,"",IF(ISNA(計算結果!Q274),"",計算結果!Q274))</f>
        <v/>
      </c>
      <c r="R274" s="14" t="str">
        <f t="shared" si="12"/>
        <v/>
      </c>
      <c r="S274" s="14" t="str">
        <f t="shared" si="13"/>
        <v>◯</v>
      </c>
      <c r="T274" s="14" t="str">
        <f t="shared" si="14"/>
        <v/>
      </c>
    </row>
    <row r="275" spans="1:20" hidden="1" x14ac:dyDescent="0.45">
      <c r="A275" s="10" t="str">
        <f>IF(IF(ISNA(計算結果!A275),"",計算結果!A275)=0,"",IF(ISNA(計算結果!A275),"",計算結果!A275))</f>
        <v/>
      </c>
      <c r="B275" s="10" t="str">
        <f>IF(IF(ISNA(計算結果!B275),"",計算結果!B275)=0,"",IF(ISNA(計算結果!B275),"",計算結果!B275))</f>
        <v/>
      </c>
      <c r="C275" s="10" t="str">
        <f>IF(IF(ISNA(計算結果!C275),"",計算結果!C275)=0,"",IF(ISNA(計算結果!C275),"",計算結果!C275))</f>
        <v/>
      </c>
      <c r="D275" s="10" t="str">
        <f>IF(IF(ISNA(計算結果!D275),"",計算結果!D275)=0,"",IF(ISNA(計算結果!D275),"",計算結果!D275))</f>
        <v>L</v>
      </c>
      <c r="E275" s="10" t="str">
        <f>IF(IF(ISNA(計算結果!E275),"",計算結果!E275)=0,"",IF(ISNA(計算結果!E275),"",計算結果!E275))</f>
        <v/>
      </c>
      <c r="F275" s="10" t="str">
        <f>IF(IF(ISNA(計算結果!F275),"",計算結果!F275)=0,"",IF(ISNA(計算結果!F275),"",計算結果!F275))</f>
        <v/>
      </c>
      <c r="G275" s="10" t="str">
        <f>IF(IF(ISNA(計算結果!G275),"",計算結果!G275)=0,"",IF(ISNA(計算結果!G275),"",計算結果!G275))</f>
        <v/>
      </c>
      <c r="H275" s="13">
        <f>IF(IF(ISNA(計算結果!H275),"",計算結果!H275)=0,"",IF(ISNA(計算結果!H275),"",計算結果!H275))</f>
        <v>-2</v>
      </c>
      <c r="I275" s="12" t="str">
        <f>IF(IF(ISNA(計算結果!I275),"",計算結果!I275)=0,"",IF(ISNA(計算結果!I275),"",計算結果!I275))</f>
        <v/>
      </c>
      <c r="J275" s="12" t="str">
        <f>IF(IF(ISNA(計算結果!J275),"",計算結果!J275)=0,"",IF(ISNA(計算結果!J275),"",計算結果!J275))</f>
        <v/>
      </c>
      <c r="K275" s="23" t="str">
        <f>IF(IF(ISNA(計算結果!K275),"",計算結果!K275)=0,"",IF(ISNA(計算結果!K275),"",計算結果!K275))</f>
        <v/>
      </c>
      <c r="L275" s="13" t="str">
        <f>IF(IF(ISNA(計算結果!L275),"",計算結果!L275)=0,"",IF(ISNA(計算結果!L275),"",計算結果!L275))</f>
        <v/>
      </c>
      <c r="M275" s="10" t="str">
        <f>IF(IF(ISNA(計算結果!M275),"",計算結果!M275)=0,"",IF(ISNA(計算結果!M275),"",計算結果!M275))</f>
        <v/>
      </c>
      <c r="N275" s="10" t="str">
        <f>IF(IF(ISNA(計算結果!N275),"",計算結果!N275)=0,"",IF(ISNA(計算結果!N275),"",計算結果!N275))</f>
        <v/>
      </c>
      <c r="O275" s="13" t="str">
        <f>IF(IF(ISNA(計算結果!O275),"",計算結果!O275)=0,"",IF(ISNA(計算結果!O275),"",計算結果!O275))</f>
        <v/>
      </c>
      <c r="P275" s="10" t="str">
        <f>IF(IF(ISNA(計算結果!P275),"",計算結果!P275)=0,"",IF(ISNA(計算結果!P275),"",計算結果!P275))</f>
        <v/>
      </c>
      <c r="Q275" s="10" t="str">
        <f>IF(IF(ISNA(計算結果!Q275),"",計算結果!Q275)=0,"",IF(ISNA(計算結果!Q275),"",計算結果!Q275))</f>
        <v/>
      </c>
      <c r="R275" s="14" t="str">
        <f t="shared" si="12"/>
        <v/>
      </c>
      <c r="S275" s="14" t="str">
        <f t="shared" si="13"/>
        <v>◯</v>
      </c>
      <c r="T275" s="14" t="str">
        <f t="shared" si="14"/>
        <v/>
      </c>
    </row>
    <row r="276" spans="1:20" hidden="1" x14ac:dyDescent="0.45">
      <c r="A276" s="10" t="str">
        <f>IF(IF(ISNA(計算結果!A276),"",計算結果!A276)=0,"",IF(ISNA(計算結果!A276),"",計算結果!A276))</f>
        <v/>
      </c>
      <c r="B276" s="10" t="str">
        <f>IF(IF(ISNA(計算結果!B276),"",計算結果!B276)=0,"",IF(ISNA(計算結果!B276),"",計算結果!B276))</f>
        <v/>
      </c>
      <c r="C276" s="10" t="str">
        <f>IF(IF(ISNA(計算結果!C276),"",計算結果!C276)=0,"",IF(ISNA(計算結果!C276),"",計算結果!C276))</f>
        <v/>
      </c>
      <c r="D276" s="10" t="str">
        <f>IF(IF(ISNA(計算結果!D276),"",計算結果!D276)=0,"",IF(ISNA(計算結果!D276),"",計算結果!D276))</f>
        <v>L</v>
      </c>
      <c r="E276" s="10" t="str">
        <f>IF(IF(ISNA(計算結果!E276),"",計算結果!E276)=0,"",IF(ISNA(計算結果!E276),"",計算結果!E276))</f>
        <v/>
      </c>
      <c r="F276" s="10" t="str">
        <f>IF(IF(ISNA(計算結果!F276),"",計算結果!F276)=0,"",IF(ISNA(計算結果!F276),"",計算結果!F276))</f>
        <v/>
      </c>
      <c r="G276" s="10" t="str">
        <f>IF(IF(ISNA(計算結果!G276),"",計算結果!G276)=0,"",IF(ISNA(計算結果!G276),"",計算結果!G276))</f>
        <v/>
      </c>
      <c r="H276" s="13">
        <f>IF(IF(ISNA(計算結果!H276),"",計算結果!H276)=0,"",IF(ISNA(計算結果!H276),"",計算結果!H276))</f>
        <v>-2</v>
      </c>
      <c r="I276" s="12" t="str">
        <f>IF(IF(ISNA(計算結果!I276),"",計算結果!I276)=0,"",IF(ISNA(計算結果!I276),"",計算結果!I276))</f>
        <v/>
      </c>
      <c r="J276" s="12" t="str">
        <f>IF(IF(ISNA(計算結果!J276),"",計算結果!J276)=0,"",IF(ISNA(計算結果!J276),"",計算結果!J276))</f>
        <v/>
      </c>
      <c r="K276" s="23" t="str">
        <f>IF(IF(ISNA(計算結果!K276),"",計算結果!K276)=0,"",IF(ISNA(計算結果!K276),"",計算結果!K276))</f>
        <v/>
      </c>
      <c r="L276" s="13" t="str">
        <f>IF(IF(ISNA(計算結果!L276),"",計算結果!L276)=0,"",IF(ISNA(計算結果!L276),"",計算結果!L276))</f>
        <v/>
      </c>
      <c r="M276" s="10" t="str">
        <f>IF(IF(ISNA(計算結果!M276),"",計算結果!M276)=0,"",IF(ISNA(計算結果!M276),"",計算結果!M276))</f>
        <v/>
      </c>
      <c r="N276" s="10" t="str">
        <f>IF(IF(ISNA(計算結果!N276),"",計算結果!N276)=0,"",IF(ISNA(計算結果!N276),"",計算結果!N276))</f>
        <v/>
      </c>
      <c r="O276" s="13" t="str">
        <f>IF(IF(ISNA(計算結果!O276),"",計算結果!O276)=0,"",IF(ISNA(計算結果!O276),"",計算結果!O276))</f>
        <v/>
      </c>
      <c r="P276" s="10" t="str">
        <f>IF(IF(ISNA(計算結果!P276),"",計算結果!P276)=0,"",IF(ISNA(計算結果!P276),"",計算結果!P276))</f>
        <v/>
      </c>
      <c r="Q276" s="10" t="str">
        <f>IF(IF(ISNA(計算結果!Q276),"",計算結果!Q276)=0,"",IF(ISNA(計算結果!Q276),"",計算結果!Q276))</f>
        <v/>
      </c>
      <c r="R276" s="14" t="str">
        <f t="shared" si="12"/>
        <v/>
      </c>
      <c r="S276" s="14" t="str">
        <f t="shared" si="13"/>
        <v>◯</v>
      </c>
      <c r="T276" s="14" t="str">
        <f t="shared" si="14"/>
        <v/>
      </c>
    </row>
    <row r="277" spans="1:20" hidden="1" x14ac:dyDescent="0.45">
      <c r="A277" s="10" t="str">
        <f>IF(IF(ISNA(計算結果!A277),"",計算結果!A277)=0,"",IF(ISNA(計算結果!A277),"",計算結果!A277))</f>
        <v/>
      </c>
      <c r="B277" s="10" t="str">
        <f>IF(IF(ISNA(計算結果!B277),"",計算結果!B277)=0,"",IF(ISNA(計算結果!B277),"",計算結果!B277))</f>
        <v/>
      </c>
      <c r="C277" s="10" t="str">
        <f>IF(IF(ISNA(計算結果!C277),"",計算結果!C277)=0,"",IF(ISNA(計算結果!C277),"",計算結果!C277))</f>
        <v/>
      </c>
      <c r="D277" s="10" t="str">
        <f>IF(IF(ISNA(計算結果!D277),"",計算結果!D277)=0,"",IF(ISNA(計算結果!D277),"",計算結果!D277))</f>
        <v>L</v>
      </c>
      <c r="E277" s="10" t="str">
        <f>IF(IF(ISNA(計算結果!E277),"",計算結果!E277)=0,"",IF(ISNA(計算結果!E277),"",計算結果!E277))</f>
        <v/>
      </c>
      <c r="F277" s="10" t="str">
        <f>IF(IF(ISNA(計算結果!F277),"",計算結果!F277)=0,"",IF(ISNA(計算結果!F277),"",計算結果!F277))</f>
        <v/>
      </c>
      <c r="G277" s="10" t="str">
        <f>IF(IF(ISNA(計算結果!G277),"",計算結果!G277)=0,"",IF(ISNA(計算結果!G277),"",計算結果!G277))</f>
        <v/>
      </c>
      <c r="H277" s="13">
        <f>IF(IF(ISNA(計算結果!H277),"",計算結果!H277)=0,"",IF(ISNA(計算結果!H277),"",計算結果!H277))</f>
        <v>-2</v>
      </c>
      <c r="I277" s="12" t="str">
        <f>IF(IF(ISNA(計算結果!I277),"",計算結果!I277)=0,"",IF(ISNA(計算結果!I277),"",計算結果!I277))</f>
        <v/>
      </c>
      <c r="J277" s="12" t="str">
        <f>IF(IF(ISNA(計算結果!J277),"",計算結果!J277)=0,"",IF(ISNA(計算結果!J277),"",計算結果!J277))</f>
        <v/>
      </c>
      <c r="K277" s="23" t="str">
        <f>IF(IF(ISNA(計算結果!K277),"",計算結果!K277)=0,"",IF(ISNA(計算結果!K277),"",計算結果!K277))</f>
        <v/>
      </c>
      <c r="L277" s="13" t="str">
        <f>IF(IF(ISNA(計算結果!L277),"",計算結果!L277)=0,"",IF(ISNA(計算結果!L277),"",計算結果!L277))</f>
        <v/>
      </c>
      <c r="M277" s="10" t="str">
        <f>IF(IF(ISNA(計算結果!M277),"",計算結果!M277)=0,"",IF(ISNA(計算結果!M277),"",計算結果!M277))</f>
        <v/>
      </c>
      <c r="N277" s="10" t="str">
        <f>IF(IF(ISNA(計算結果!N277),"",計算結果!N277)=0,"",IF(ISNA(計算結果!N277),"",計算結果!N277))</f>
        <v/>
      </c>
      <c r="O277" s="13" t="str">
        <f>IF(IF(ISNA(計算結果!O277),"",計算結果!O277)=0,"",IF(ISNA(計算結果!O277),"",計算結果!O277))</f>
        <v/>
      </c>
      <c r="P277" s="10" t="str">
        <f>IF(IF(ISNA(計算結果!P277),"",計算結果!P277)=0,"",IF(ISNA(計算結果!P277),"",計算結果!P277))</f>
        <v/>
      </c>
      <c r="Q277" s="10" t="str">
        <f>IF(IF(ISNA(計算結果!Q277),"",計算結果!Q277)=0,"",IF(ISNA(計算結果!Q277),"",計算結果!Q277))</f>
        <v/>
      </c>
      <c r="R277" s="14" t="str">
        <f t="shared" si="12"/>
        <v/>
      </c>
      <c r="S277" s="14" t="str">
        <f t="shared" si="13"/>
        <v>◯</v>
      </c>
      <c r="T277" s="14" t="str">
        <f t="shared" si="14"/>
        <v/>
      </c>
    </row>
    <row r="278" spans="1:20" hidden="1" x14ac:dyDescent="0.45">
      <c r="A278" s="10" t="str">
        <f>IF(IF(ISNA(計算結果!A278),"",計算結果!A278)=0,"",IF(ISNA(計算結果!A278),"",計算結果!A278))</f>
        <v/>
      </c>
      <c r="B278" s="10" t="str">
        <f>IF(IF(ISNA(計算結果!B278),"",計算結果!B278)=0,"",IF(ISNA(計算結果!B278),"",計算結果!B278))</f>
        <v/>
      </c>
      <c r="C278" s="10" t="str">
        <f>IF(IF(ISNA(計算結果!C278),"",計算結果!C278)=0,"",IF(ISNA(計算結果!C278),"",計算結果!C278))</f>
        <v/>
      </c>
      <c r="D278" s="10" t="str">
        <f>IF(IF(ISNA(計算結果!D278),"",計算結果!D278)=0,"",IF(ISNA(計算結果!D278),"",計算結果!D278))</f>
        <v>L</v>
      </c>
      <c r="E278" s="10" t="str">
        <f>IF(IF(ISNA(計算結果!E278),"",計算結果!E278)=0,"",IF(ISNA(計算結果!E278),"",計算結果!E278))</f>
        <v/>
      </c>
      <c r="F278" s="10" t="str">
        <f>IF(IF(ISNA(計算結果!F278),"",計算結果!F278)=0,"",IF(ISNA(計算結果!F278),"",計算結果!F278))</f>
        <v/>
      </c>
      <c r="G278" s="10" t="str">
        <f>IF(IF(ISNA(計算結果!G278),"",計算結果!G278)=0,"",IF(ISNA(計算結果!G278),"",計算結果!G278))</f>
        <v/>
      </c>
      <c r="H278" s="13">
        <f>IF(IF(ISNA(計算結果!H278),"",計算結果!H278)=0,"",IF(ISNA(計算結果!H278),"",計算結果!H278))</f>
        <v>-2</v>
      </c>
      <c r="I278" s="12" t="str">
        <f>IF(IF(ISNA(計算結果!I278),"",計算結果!I278)=0,"",IF(ISNA(計算結果!I278),"",計算結果!I278))</f>
        <v/>
      </c>
      <c r="J278" s="12" t="str">
        <f>IF(IF(ISNA(計算結果!J278),"",計算結果!J278)=0,"",IF(ISNA(計算結果!J278),"",計算結果!J278))</f>
        <v/>
      </c>
      <c r="K278" s="23" t="str">
        <f>IF(IF(ISNA(計算結果!K278),"",計算結果!K278)=0,"",IF(ISNA(計算結果!K278),"",計算結果!K278))</f>
        <v/>
      </c>
      <c r="L278" s="13" t="str">
        <f>IF(IF(ISNA(計算結果!L278),"",計算結果!L278)=0,"",IF(ISNA(計算結果!L278),"",計算結果!L278))</f>
        <v/>
      </c>
      <c r="M278" s="10" t="str">
        <f>IF(IF(ISNA(計算結果!M278),"",計算結果!M278)=0,"",IF(ISNA(計算結果!M278),"",計算結果!M278))</f>
        <v/>
      </c>
      <c r="N278" s="10" t="str">
        <f>IF(IF(ISNA(計算結果!N278),"",計算結果!N278)=0,"",IF(ISNA(計算結果!N278),"",計算結果!N278))</f>
        <v/>
      </c>
      <c r="O278" s="13" t="str">
        <f>IF(IF(ISNA(計算結果!O278),"",計算結果!O278)=0,"",IF(ISNA(計算結果!O278),"",計算結果!O278))</f>
        <v/>
      </c>
      <c r="P278" s="10" t="str">
        <f>IF(IF(ISNA(計算結果!P278),"",計算結果!P278)=0,"",IF(ISNA(計算結果!P278),"",計算結果!P278))</f>
        <v/>
      </c>
      <c r="Q278" s="10" t="str">
        <f>IF(IF(ISNA(計算結果!Q278),"",計算結果!Q278)=0,"",IF(ISNA(計算結果!Q278),"",計算結果!Q278))</f>
        <v/>
      </c>
      <c r="R278" s="14" t="str">
        <f t="shared" si="12"/>
        <v/>
      </c>
      <c r="S278" s="14" t="str">
        <f t="shared" si="13"/>
        <v>◯</v>
      </c>
      <c r="T278" s="14" t="str">
        <f t="shared" si="14"/>
        <v/>
      </c>
    </row>
    <row r="279" spans="1:20" hidden="1" x14ac:dyDescent="0.45">
      <c r="A279" s="10" t="str">
        <f>IF(IF(ISNA(計算結果!A279),"",計算結果!A279)=0,"",IF(ISNA(計算結果!A279),"",計算結果!A279))</f>
        <v/>
      </c>
      <c r="B279" s="10" t="str">
        <f>IF(IF(ISNA(計算結果!B279),"",計算結果!B279)=0,"",IF(ISNA(計算結果!B279),"",計算結果!B279))</f>
        <v/>
      </c>
      <c r="C279" s="10" t="str">
        <f>IF(IF(ISNA(計算結果!C279),"",計算結果!C279)=0,"",IF(ISNA(計算結果!C279),"",計算結果!C279))</f>
        <v/>
      </c>
      <c r="D279" s="10" t="str">
        <f>IF(IF(ISNA(計算結果!D279),"",計算結果!D279)=0,"",IF(ISNA(計算結果!D279),"",計算結果!D279))</f>
        <v>L</v>
      </c>
      <c r="E279" s="10" t="str">
        <f>IF(IF(ISNA(計算結果!E279),"",計算結果!E279)=0,"",IF(ISNA(計算結果!E279),"",計算結果!E279))</f>
        <v/>
      </c>
      <c r="F279" s="10" t="str">
        <f>IF(IF(ISNA(計算結果!F279),"",計算結果!F279)=0,"",IF(ISNA(計算結果!F279),"",計算結果!F279))</f>
        <v/>
      </c>
      <c r="G279" s="10" t="str">
        <f>IF(IF(ISNA(計算結果!G279),"",計算結果!G279)=0,"",IF(ISNA(計算結果!G279),"",計算結果!G279))</f>
        <v/>
      </c>
      <c r="H279" s="13">
        <f>IF(IF(ISNA(計算結果!H279),"",計算結果!H279)=0,"",IF(ISNA(計算結果!H279),"",計算結果!H279))</f>
        <v>-2</v>
      </c>
      <c r="I279" s="12" t="str">
        <f>IF(IF(ISNA(計算結果!I279),"",計算結果!I279)=0,"",IF(ISNA(計算結果!I279),"",計算結果!I279))</f>
        <v/>
      </c>
      <c r="J279" s="12" t="str">
        <f>IF(IF(ISNA(計算結果!J279),"",計算結果!J279)=0,"",IF(ISNA(計算結果!J279),"",計算結果!J279))</f>
        <v/>
      </c>
      <c r="K279" s="23" t="str">
        <f>IF(IF(ISNA(計算結果!K279),"",計算結果!K279)=0,"",IF(ISNA(計算結果!K279),"",計算結果!K279))</f>
        <v/>
      </c>
      <c r="L279" s="13" t="str">
        <f>IF(IF(ISNA(計算結果!L279),"",計算結果!L279)=0,"",IF(ISNA(計算結果!L279),"",計算結果!L279))</f>
        <v/>
      </c>
      <c r="M279" s="10" t="str">
        <f>IF(IF(ISNA(計算結果!M279),"",計算結果!M279)=0,"",IF(ISNA(計算結果!M279),"",計算結果!M279))</f>
        <v/>
      </c>
      <c r="N279" s="10" t="str">
        <f>IF(IF(ISNA(計算結果!N279),"",計算結果!N279)=0,"",IF(ISNA(計算結果!N279),"",計算結果!N279))</f>
        <v/>
      </c>
      <c r="O279" s="13" t="str">
        <f>IF(IF(ISNA(計算結果!O279),"",計算結果!O279)=0,"",IF(ISNA(計算結果!O279),"",計算結果!O279))</f>
        <v/>
      </c>
      <c r="P279" s="10" t="str">
        <f>IF(IF(ISNA(計算結果!P279),"",計算結果!P279)=0,"",IF(ISNA(計算結果!P279),"",計算結果!P279))</f>
        <v/>
      </c>
      <c r="Q279" s="10" t="str">
        <f>IF(IF(ISNA(計算結果!Q279),"",計算結果!Q279)=0,"",IF(ISNA(計算結果!Q279),"",計算結果!Q279))</f>
        <v/>
      </c>
      <c r="R279" s="14" t="str">
        <f t="shared" si="12"/>
        <v/>
      </c>
      <c r="S279" s="14" t="str">
        <f t="shared" si="13"/>
        <v>◯</v>
      </c>
      <c r="T279" s="14" t="str">
        <f t="shared" si="14"/>
        <v/>
      </c>
    </row>
    <row r="280" spans="1:20" hidden="1" x14ac:dyDescent="0.45">
      <c r="A280" s="10" t="str">
        <f>IF(IF(ISNA(計算結果!A280),"",計算結果!A280)=0,"",IF(ISNA(計算結果!A280),"",計算結果!A280))</f>
        <v/>
      </c>
      <c r="B280" s="10" t="str">
        <f>IF(IF(ISNA(計算結果!B280),"",計算結果!B280)=0,"",IF(ISNA(計算結果!B280),"",計算結果!B280))</f>
        <v/>
      </c>
      <c r="C280" s="10" t="str">
        <f>IF(IF(ISNA(計算結果!C280),"",計算結果!C280)=0,"",IF(ISNA(計算結果!C280),"",計算結果!C280))</f>
        <v/>
      </c>
      <c r="D280" s="10" t="str">
        <f>IF(IF(ISNA(計算結果!D280),"",計算結果!D280)=0,"",IF(ISNA(計算結果!D280),"",計算結果!D280))</f>
        <v>L</v>
      </c>
      <c r="E280" s="10" t="str">
        <f>IF(IF(ISNA(計算結果!E280),"",計算結果!E280)=0,"",IF(ISNA(計算結果!E280),"",計算結果!E280))</f>
        <v/>
      </c>
      <c r="F280" s="10" t="str">
        <f>IF(IF(ISNA(計算結果!F280),"",計算結果!F280)=0,"",IF(ISNA(計算結果!F280),"",計算結果!F280))</f>
        <v/>
      </c>
      <c r="G280" s="10" t="str">
        <f>IF(IF(ISNA(計算結果!G280),"",計算結果!G280)=0,"",IF(ISNA(計算結果!G280),"",計算結果!G280))</f>
        <v/>
      </c>
      <c r="H280" s="13">
        <f>IF(IF(ISNA(計算結果!H280),"",計算結果!H280)=0,"",IF(ISNA(計算結果!H280),"",計算結果!H280))</f>
        <v>-2</v>
      </c>
      <c r="I280" s="12" t="str">
        <f>IF(IF(ISNA(計算結果!I280),"",計算結果!I280)=0,"",IF(ISNA(計算結果!I280),"",計算結果!I280))</f>
        <v/>
      </c>
      <c r="J280" s="12" t="str">
        <f>IF(IF(ISNA(計算結果!J280),"",計算結果!J280)=0,"",IF(ISNA(計算結果!J280),"",計算結果!J280))</f>
        <v/>
      </c>
      <c r="K280" s="23" t="str">
        <f>IF(IF(ISNA(計算結果!K280),"",計算結果!K280)=0,"",IF(ISNA(計算結果!K280),"",計算結果!K280))</f>
        <v/>
      </c>
      <c r="L280" s="13" t="str">
        <f>IF(IF(ISNA(計算結果!L280),"",計算結果!L280)=0,"",IF(ISNA(計算結果!L280),"",計算結果!L280))</f>
        <v/>
      </c>
      <c r="M280" s="10" t="str">
        <f>IF(IF(ISNA(計算結果!M280),"",計算結果!M280)=0,"",IF(ISNA(計算結果!M280),"",計算結果!M280))</f>
        <v/>
      </c>
      <c r="N280" s="10" t="str">
        <f>IF(IF(ISNA(計算結果!N280),"",計算結果!N280)=0,"",IF(ISNA(計算結果!N280),"",計算結果!N280))</f>
        <v/>
      </c>
      <c r="O280" s="13" t="str">
        <f>IF(IF(ISNA(計算結果!O280),"",計算結果!O280)=0,"",IF(ISNA(計算結果!O280),"",計算結果!O280))</f>
        <v/>
      </c>
      <c r="P280" s="10" t="str">
        <f>IF(IF(ISNA(計算結果!P280),"",計算結果!P280)=0,"",IF(ISNA(計算結果!P280),"",計算結果!P280))</f>
        <v/>
      </c>
      <c r="Q280" s="10" t="str">
        <f>IF(IF(ISNA(計算結果!Q280),"",計算結果!Q280)=0,"",IF(ISNA(計算結果!Q280),"",計算結果!Q280))</f>
        <v/>
      </c>
      <c r="R280" s="14" t="str">
        <f t="shared" si="12"/>
        <v/>
      </c>
      <c r="S280" s="14" t="str">
        <f t="shared" si="13"/>
        <v>◯</v>
      </c>
      <c r="T280" s="14" t="str">
        <f t="shared" si="14"/>
        <v/>
      </c>
    </row>
    <row r="281" spans="1:20" hidden="1" x14ac:dyDescent="0.45">
      <c r="A281" s="10" t="str">
        <f>IF(IF(ISNA(計算結果!A281),"",計算結果!A281)=0,"",IF(ISNA(計算結果!A281),"",計算結果!A281))</f>
        <v/>
      </c>
      <c r="B281" s="10" t="str">
        <f>IF(IF(ISNA(計算結果!B281),"",計算結果!B281)=0,"",IF(ISNA(計算結果!B281),"",計算結果!B281))</f>
        <v/>
      </c>
      <c r="C281" s="10" t="str">
        <f>IF(IF(ISNA(計算結果!C281),"",計算結果!C281)=0,"",IF(ISNA(計算結果!C281),"",計算結果!C281))</f>
        <v/>
      </c>
      <c r="D281" s="10" t="str">
        <f>IF(IF(ISNA(計算結果!D281),"",計算結果!D281)=0,"",IF(ISNA(計算結果!D281),"",計算結果!D281))</f>
        <v>L</v>
      </c>
      <c r="E281" s="10" t="str">
        <f>IF(IF(ISNA(計算結果!E281),"",計算結果!E281)=0,"",IF(ISNA(計算結果!E281),"",計算結果!E281))</f>
        <v/>
      </c>
      <c r="F281" s="10" t="str">
        <f>IF(IF(ISNA(計算結果!F281),"",計算結果!F281)=0,"",IF(ISNA(計算結果!F281),"",計算結果!F281))</f>
        <v/>
      </c>
      <c r="G281" s="10" t="str">
        <f>IF(IF(ISNA(計算結果!G281),"",計算結果!G281)=0,"",IF(ISNA(計算結果!G281),"",計算結果!G281))</f>
        <v/>
      </c>
      <c r="H281" s="13">
        <f>IF(IF(ISNA(計算結果!H281),"",計算結果!H281)=0,"",IF(ISNA(計算結果!H281),"",計算結果!H281))</f>
        <v>-2</v>
      </c>
      <c r="I281" s="12" t="str">
        <f>IF(IF(ISNA(計算結果!I281),"",計算結果!I281)=0,"",IF(ISNA(計算結果!I281),"",計算結果!I281))</f>
        <v/>
      </c>
      <c r="J281" s="12" t="str">
        <f>IF(IF(ISNA(計算結果!J281),"",計算結果!J281)=0,"",IF(ISNA(計算結果!J281),"",計算結果!J281))</f>
        <v/>
      </c>
      <c r="K281" s="23" t="str">
        <f>IF(IF(ISNA(計算結果!K281),"",計算結果!K281)=0,"",IF(ISNA(計算結果!K281),"",計算結果!K281))</f>
        <v/>
      </c>
      <c r="L281" s="13" t="str">
        <f>IF(IF(ISNA(計算結果!L281),"",計算結果!L281)=0,"",IF(ISNA(計算結果!L281),"",計算結果!L281))</f>
        <v/>
      </c>
      <c r="M281" s="10" t="str">
        <f>IF(IF(ISNA(計算結果!M281),"",計算結果!M281)=0,"",IF(ISNA(計算結果!M281),"",計算結果!M281))</f>
        <v/>
      </c>
      <c r="N281" s="10" t="str">
        <f>IF(IF(ISNA(計算結果!N281),"",計算結果!N281)=0,"",IF(ISNA(計算結果!N281),"",計算結果!N281))</f>
        <v/>
      </c>
      <c r="O281" s="13" t="str">
        <f>IF(IF(ISNA(計算結果!O281),"",計算結果!O281)=0,"",IF(ISNA(計算結果!O281),"",計算結果!O281))</f>
        <v/>
      </c>
      <c r="P281" s="10" t="str">
        <f>IF(IF(ISNA(計算結果!P281),"",計算結果!P281)=0,"",IF(ISNA(計算結果!P281),"",計算結果!P281))</f>
        <v/>
      </c>
      <c r="Q281" s="10" t="str">
        <f>IF(IF(ISNA(計算結果!Q281),"",計算結果!Q281)=0,"",IF(ISNA(計算結果!Q281),"",計算結果!Q281))</f>
        <v/>
      </c>
      <c r="R281" s="14" t="str">
        <f t="shared" si="12"/>
        <v/>
      </c>
      <c r="S281" s="14" t="str">
        <f t="shared" si="13"/>
        <v>◯</v>
      </c>
      <c r="T281" s="14" t="str">
        <f t="shared" si="14"/>
        <v/>
      </c>
    </row>
    <row r="282" spans="1:20" hidden="1" x14ac:dyDescent="0.45">
      <c r="A282" s="10" t="str">
        <f>IF(IF(ISNA(計算結果!A282),"",計算結果!A282)=0,"",IF(ISNA(計算結果!A282),"",計算結果!A282))</f>
        <v/>
      </c>
      <c r="B282" s="10" t="str">
        <f>IF(IF(ISNA(計算結果!B282),"",計算結果!B282)=0,"",IF(ISNA(計算結果!B282),"",計算結果!B282))</f>
        <v/>
      </c>
      <c r="C282" s="10" t="str">
        <f>IF(IF(ISNA(計算結果!C282),"",計算結果!C282)=0,"",IF(ISNA(計算結果!C282),"",計算結果!C282))</f>
        <v/>
      </c>
      <c r="D282" s="10" t="str">
        <f>IF(IF(ISNA(計算結果!D282),"",計算結果!D282)=0,"",IF(ISNA(計算結果!D282),"",計算結果!D282))</f>
        <v>L</v>
      </c>
      <c r="E282" s="10" t="str">
        <f>IF(IF(ISNA(計算結果!E282),"",計算結果!E282)=0,"",IF(ISNA(計算結果!E282),"",計算結果!E282))</f>
        <v/>
      </c>
      <c r="F282" s="10" t="str">
        <f>IF(IF(ISNA(計算結果!F282),"",計算結果!F282)=0,"",IF(ISNA(計算結果!F282),"",計算結果!F282))</f>
        <v/>
      </c>
      <c r="G282" s="10" t="str">
        <f>IF(IF(ISNA(計算結果!G282),"",計算結果!G282)=0,"",IF(ISNA(計算結果!G282),"",計算結果!G282))</f>
        <v/>
      </c>
      <c r="H282" s="13">
        <f>IF(IF(ISNA(計算結果!H282),"",計算結果!H282)=0,"",IF(ISNA(計算結果!H282),"",計算結果!H282))</f>
        <v>-2</v>
      </c>
      <c r="I282" s="12" t="str">
        <f>IF(IF(ISNA(計算結果!I282),"",計算結果!I282)=0,"",IF(ISNA(計算結果!I282),"",計算結果!I282))</f>
        <v/>
      </c>
      <c r="J282" s="12" t="str">
        <f>IF(IF(ISNA(計算結果!J282),"",計算結果!J282)=0,"",IF(ISNA(計算結果!J282),"",計算結果!J282))</f>
        <v/>
      </c>
      <c r="K282" s="23" t="str">
        <f>IF(IF(ISNA(計算結果!K282),"",計算結果!K282)=0,"",IF(ISNA(計算結果!K282),"",計算結果!K282))</f>
        <v/>
      </c>
      <c r="L282" s="13" t="str">
        <f>IF(IF(ISNA(計算結果!L282),"",計算結果!L282)=0,"",IF(ISNA(計算結果!L282),"",計算結果!L282))</f>
        <v/>
      </c>
      <c r="M282" s="10" t="str">
        <f>IF(IF(ISNA(計算結果!M282),"",計算結果!M282)=0,"",IF(ISNA(計算結果!M282),"",計算結果!M282))</f>
        <v/>
      </c>
      <c r="N282" s="10" t="str">
        <f>IF(IF(ISNA(計算結果!N282),"",計算結果!N282)=0,"",IF(ISNA(計算結果!N282),"",計算結果!N282))</f>
        <v/>
      </c>
      <c r="O282" s="13" t="str">
        <f>IF(IF(ISNA(計算結果!O282),"",計算結果!O282)=0,"",IF(ISNA(計算結果!O282),"",計算結果!O282))</f>
        <v/>
      </c>
      <c r="P282" s="10" t="str">
        <f>IF(IF(ISNA(計算結果!P282),"",計算結果!P282)=0,"",IF(ISNA(計算結果!P282),"",計算結果!P282))</f>
        <v/>
      </c>
      <c r="Q282" s="10" t="str">
        <f>IF(IF(ISNA(計算結果!Q282),"",計算結果!Q282)=0,"",IF(ISNA(計算結果!Q282),"",計算結果!Q282))</f>
        <v/>
      </c>
      <c r="R282" s="14" t="str">
        <f t="shared" si="12"/>
        <v/>
      </c>
      <c r="S282" s="14" t="str">
        <f t="shared" si="13"/>
        <v>◯</v>
      </c>
      <c r="T282" s="14" t="str">
        <f t="shared" si="14"/>
        <v/>
      </c>
    </row>
    <row r="283" spans="1:20" hidden="1" x14ac:dyDescent="0.45">
      <c r="A283" s="10" t="str">
        <f>IF(IF(ISNA(計算結果!A283),"",計算結果!A283)=0,"",IF(ISNA(計算結果!A283),"",計算結果!A283))</f>
        <v/>
      </c>
      <c r="B283" s="10" t="str">
        <f>IF(IF(ISNA(計算結果!B283),"",計算結果!B283)=0,"",IF(ISNA(計算結果!B283),"",計算結果!B283))</f>
        <v/>
      </c>
      <c r="C283" s="10" t="str">
        <f>IF(IF(ISNA(計算結果!C283),"",計算結果!C283)=0,"",IF(ISNA(計算結果!C283),"",計算結果!C283))</f>
        <v/>
      </c>
      <c r="D283" s="10" t="str">
        <f>IF(IF(ISNA(計算結果!D283),"",計算結果!D283)=0,"",IF(ISNA(計算結果!D283),"",計算結果!D283))</f>
        <v>L</v>
      </c>
      <c r="E283" s="10" t="str">
        <f>IF(IF(ISNA(計算結果!E283),"",計算結果!E283)=0,"",IF(ISNA(計算結果!E283),"",計算結果!E283))</f>
        <v/>
      </c>
      <c r="F283" s="10" t="str">
        <f>IF(IF(ISNA(計算結果!F283),"",計算結果!F283)=0,"",IF(ISNA(計算結果!F283),"",計算結果!F283))</f>
        <v/>
      </c>
      <c r="G283" s="10" t="str">
        <f>IF(IF(ISNA(計算結果!G283),"",計算結果!G283)=0,"",IF(ISNA(計算結果!G283),"",計算結果!G283))</f>
        <v/>
      </c>
      <c r="H283" s="13">
        <f>IF(IF(ISNA(計算結果!H283),"",計算結果!H283)=0,"",IF(ISNA(計算結果!H283),"",計算結果!H283))</f>
        <v>-2</v>
      </c>
      <c r="I283" s="12" t="str">
        <f>IF(IF(ISNA(計算結果!I283),"",計算結果!I283)=0,"",IF(ISNA(計算結果!I283),"",計算結果!I283))</f>
        <v/>
      </c>
      <c r="J283" s="12" t="str">
        <f>IF(IF(ISNA(計算結果!J283),"",計算結果!J283)=0,"",IF(ISNA(計算結果!J283),"",計算結果!J283))</f>
        <v/>
      </c>
      <c r="K283" s="23" t="str">
        <f>IF(IF(ISNA(計算結果!K283),"",計算結果!K283)=0,"",IF(ISNA(計算結果!K283),"",計算結果!K283))</f>
        <v/>
      </c>
      <c r="L283" s="13" t="str">
        <f>IF(IF(ISNA(計算結果!L283),"",計算結果!L283)=0,"",IF(ISNA(計算結果!L283),"",計算結果!L283))</f>
        <v/>
      </c>
      <c r="M283" s="10" t="str">
        <f>IF(IF(ISNA(計算結果!M283),"",計算結果!M283)=0,"",IF(ISNA(計算結果!M283),"",計算結果!M283))</f>
        <v/>
      </c>
      <c r="N283" s="10" t="str">
        <f>IF(IF(ISNA(計算結果!N283),"",計算結果!N283)=0,"",IF(ISNA(計算結果!N283),"",計算結果!N283))</f>
        <v/>
      </c>
      <c r="O283" s="13" t="str">
        <f>IF(IF(ISNA(計算結果!O283),"",計算結果!O283)=0,"",IF(ISNA(計算結果!O283),"",計算結果!O283))</f>
        <v/>
      </c>
      <c r="P283" s="10" t="str">
        <f>IF(IF(ISNA(計算結果!P283),"",計算結果!P283)=0,"",IF(ISNA(計算結果!P283),"",計算結果!P283))</f>
        <v/>
      </c>
      <c r="Q283" s="10" t="str">
        <f>IF(IF(ISNA(計算結果!Q283),"",計算結果!Q283)=0,"",IF(ISNA(計算結果!Q283),"",計算結果!Q283))</f>
        <v/>
      </c>
      <c r="R283" s="14" t="str">
        <f t="shared" si="12"/>
        <v/>
      </c>
      <c r="S283" s="14" t="str">
        <f t="shared" si="13"/>
        <v>◯</v>
      </c>
      <c r="T283" s="14" t="str">
        <f t="shared" si="14"/>
        <v/>
      </c>
    </row>
    <row r="284" spans="1:20" hidden="1" x14ac:dyDescent="0.45">
      <c r="A284" s="10" t="str">
        <f>IF(IF(ISNA(計算結果!A284),"",計算結果!A284)=0,"",IF(ISNA(計算結果!A284),"",計算結果!A284))</f>
        <v/>
      </c>
      <c r="B284" s="10" t="str">
        <f>IF(IF(ISNA(計算結果!B284),"",計算結果!B284)=0,"",IF(ISNA(計算結果!B284),"",計算結果!B284))</f>
        <v/>
      </c>
      <c r="C284" s="10" t="str">
        <f>IF(IF(ISNA(計算結果!C284),"",計算結果!C284)=0,"",IF(ISNA(計算結果!C284),"",計算結果!C284))</f>
        <v/>
      </c>
      <c r="D284" s="10" t="str">
        <f>IF(IF(ISNA(計算結果!D284),"",計算結果!D284)=0,"",IF(ISNA(計算結果!D284),"",計算結果!D284))</f>
        <v>L</v>
      </c>
      <c r="E284" s="10" t="str">
        <f>IF(IF(ISNA(計算結果!E284),"",計算結果!E284)=0,"",IF(ISNA(計算結果!E284),"",計算結果!E284))</f>
        <v/>
      </c>
      <c r="F284" s="10" t="str">
        <f>IF(IF(ISNA(計算結果!F284),"",計算結果!F284)=0,"",IF(ISNA(計算結果!F284),"",計算結果!F284))</f>
        <v/>
      </c>
      <c r="G284" s="10" t="str">
        <f>IF(IF(ISNA(計算結果!G284),"",計算結果!G284)=0,"",IF(ISNA(計算結果!G284),"",計算結果!G284))</f>
        <v/>
      </c>
      <c r="H284" s="13">
        <f>IF(IF(ISNA(計算結果!H284),"",計算結果!H284)=0,"",IF(ISNA(計算結果!H284),"",計算結果!H284))</f>
        <v>-2</v>
      </c>
      <c r="I284" s="12" t="str">
        <f>IF(IF(ISNA(計算結果!I284),"",計算結果!I284)=0,"",IF(ISNA(計算結果!I284),"",計算結果!I284))</f>
        <v/>
      </c>
      <c r="J284" s="12" t="str">
        <f>IF(IF(ISNA(計算結果!J284),"",計算結果!J284)=0,"",IF(ISNA(計算結果!J284),"",計算結果!J284))</f>
        <v/>
      </c>
      <c r="K284" s="23" t="str">
        <f>IF(IF(ISNA(計算結果!K284),"",計算結果!K284)=0,"",IF(ISNA(計算結果!K284),"",計算結果!K284))</f>
        <v/>
      </c>
      <c r="L284" s="13" t="str">
        <f>IF(IF(ISNA(計算結果!L284),"",計算結果!L284)=0,"",IF(ISNA(計算結果!L284),"",計算結果!L284))</f>
        <v/>
      </c>
      <c r="M284" s="10" t="str">
        <f>IF(IF(ISNA(計算結果!M284),"",計算結果!M284)=0,"",IF(ISNA(計算結果!M284),"",計算結果!M284))</f>
        <v/>
      </c>
      <c r="N284" s="10" t="str">
        <f>IF(IF(ISNA(計算結果!N284),"",計算結果!N284)=0,"",IF(ISNA(計算結果!N284),"",計算結果!N284))</f>
        <v/>
      </c>
      <c r="O284" s="13" t="str">
        <f>IF(IF(ISNA(計算結果!O284),"",計算結果!O284)=0,"",IF(ISNA(計算結果!O284),"",計算結果!O284))</f>
        <v/>
      </c>
      <c r="P284" s="10" t="str">
        <f>IF(IF(ISNA(計算結果!P284),"",計算結果!P284)=0,"",IF(ISNA(計算結果!P284),"",計算結果!P284))</f>
        <v/>
      </c>
      <c r="Q284" s="10" t="str">
        <f>IF(IF(ISNA(計算結果!Q284),"",計算結果!Q284)=0,"",IF(ISNA(計算結果!Q284),"",計算結果!Q284))</f>
        <v/>
      </c>
      <c r="R284" s="14" t="str">
        <f t="shared" si="12"/>
        <v/>
      </c>
      <c r="S284" s="14" t="str">
        <f t="shared" si="13"/>
        <v>◯</v>
      </c>
      <c r="T284" s="14" t="str">
        <f t="shared" si="14"/>
        <v/>
      </c>
    </row>
    <row r="285" spans="1:20" hidden="1" x14ac:dyDescent="0.45">
      <c r="A285" s="10" t="str">
        <f>IF(IF(ISNA(計算結果!A285),"",計算結果!A285)=0,"",IF(ISNA(計算結果!A285),"",計算結果!A285))</f>
        <v/>
      </c>
      <c r="B285" s="10" t="str">
        <f>IF(IF(ISNA(計算結果!B285),"",計算結果!B285)=0,"",IF(ISNA(計算結果!B285),"",計算結果!B285))</f>
        <v/>
      </c>
      <c r="C285" s="10" t="str">
        <f>IF(IF(ISNA(計算結果!C285),"",計算結果!C285)=0,"",IF(ISNA(計算結果!C285),"",計算結果!C285))</f>
        <v/>
      </c>
      <c r="D285" s="10" t="str">
        <f>IF(IF(ISNA(計算結果!D285),"",計算結果!D285)=0,"",IF(ISNA(計算結果!D285),"",計算結果!D285))</f>
        <v>L</v>
      </c>
      <c r="E285" s="10" t="str">
        <f>IF(IF(ISNA(計算結果!E285),"",計算結果!E285)=0,"",IF(ISNA(計算結果!E285),"",計算結果!E285))</f>
        <v/>
      </c>
      <c r="F285" s="10" t="str">
        <f>IF(IF(ISNA(計算結果!F285),"",計算結果!F285)=0,"",IF(ISNA(計算結果!F285),"",計算結果!F285))</f>
        <v/>
      </c>
      <c r="G285" s="10" t="str">
        <f>IF(IF(ISNA(計算結果!G285),"",計算結果!G285)=0,"",IF(ISNA(計算結果!G285),"",計算結果!G285))</f>
        <v/>
      </c>
      <c r="H285" s="13">
        <f>IF(IF(ISNA(計算結果!H285),"",計算結果!H285)=0,"",IF(ISNA(計算結果!H285),"",計算結果!H285))</f>
        <v>-2</v>
      </c>
      <c r="I285" s="12" t="str">
        <f>IF(IF(ISNA(計算結果!I285),"",計算結果!I285)=0,"",IF(ISNA(計算結果!I285),"",計算結果!I285))</f>
        <v/>
      </c>
      <c r="J285" s="12" t="str">
        <f>IF(IF(ISNA(計算結果!J285),"",計算結果!J285)=0,"",IF(ISNA(計算結果!J285),"",計算結果!J285))</f>
        <v/>
      </c>
      <c r="K285" s="23" t="str">
        <f>IF(IF(ISNA(計算結果!K285),"",計算結果!K285)=0,"",IF(ISNA(計算結果!K285),"",計算結果!K285))</f>
        <v/>
      </c>
      <c r="L285" s="13" t="str">
        <f>IF(IF(ISNA(計算結果!L285),"",計算結果!L285)=0,"",IF(ISNA(計算結果!L285),"",計算結果!L285))</f>
        <v/>
      </c>
      <c r="M285" s="10" t="str">
        <f>IF(IF(ISNA(計算結果!M285),"",計算結果!M285)=0,"",IF(ISNA(計算結果!M285),"",計算結果!M285))</f>
        <v/>
      </c>
      <c r="N285" s="10" t="str">
        <f>IF(IF(ISNA(計算結果!N285),"",計算結果!N285)=0,"",IF(ISNA(計算結果!N285),"",計算結果!N285))</f>
        <v/>
      </c>
      <c r="O285" s="13" t="str">
        <f>IF(IF(ISNA(計算結果!O285),"",計算結果!O285)=0,"",IF(ISNA(計算結果!O285),"",計算結果!O285))</f>
        <v/>
      </c>
      <c r="P285" s="10" t="str">
        <f>IF(IF(ISNA(計算結果!P285),"",計算結果!P285)=0,"",IF(ISNA(計算結果!P285),"",計算結果!P285))</f>
        <v/>
      </c>
      <c r="Q285" s="10" t="str">
        <f>IF(IF(ISNA(計算結果!Q285),"",計算結果!Q285)=0,"",IF(ISNA(計算結果!Q285),"",計算結果!Q285))</f>
        <v/>
      </c>
      <c r="R285" s="14" t="str">
        <f t="shared" si="12"/>
        <v/>
      </c>
      <c r="S285" s="14" t="str">
        <f t="shared" si="13"/>
        <v>◯</v>
      </c>
      <c r="T285" s="14" t="str">
        <f t="shared" si="14"/>
        <v/>
      </c>
    </row>
    <row r="286" spans="1:20" hidden="1" x14ac:dyDescent="0.45">
      <c r="A286" s="10" t="str">
        <f>IF(IF(ISNA(計算結果!A286),"",計算結果!A286)=0,"",IF(ISNA(計算結果!A286),"",計算結果!A286))</f>
        <v/>
      </c>
      <c r="B286" s="10" t="str">
        <f>IF(IF(ISNA(計算結果!B286),"",計算結果!B286)=0,"",IF(ISNA(計算結果!B286),"",計算結果!B286))</f>
        <v/>
      </c>
      <c r="C286" s="10" t="str">
        <f>IF(IF(ISNA(計算結果!C286),"",計算結果!C286)=0,"",IF(ISNA(計算結果!C286),"",計算結果!C286))</f>
        <v/>
      </c>
      <c r="D286" s="10" t="str">
        <f>IF(IF(ISNA(計算結果!D286),"",計算結果!D286)=0,"",IF(ISNA(計算結果!D286),"",計算結果!D286))</f>
        <v>L</v>
      </c>
      <c r="E286" s="10" t="str">
        <f>IF(IF(ISNA(計算結果!E286),"",計算結果!E286)=0,"",IF(ISNA(計算結果!E286),"",計算結果!E286))</f>
        <v/>
      </c>
      <c r="F286" s="10" t="str">
        <f>IF(IF(ISNA(計算結果!F286),"",計算結果!F286)=0,"",IF(ISNA(計算結果!F286),"",計算結果!F286))</f>
        <v/>
      </c>
      <c r="G286" s="10" t="str">
        <f>IF(IF(ISNA(計算結果!G286),"",計算結果!G286)=0,"",IF(ISNA(計算結果!G286),"",計算結果!G286))</f>
        <v/>
      </c>
      <c r="H286" s="13">
        <f>IF(IF(ISNA(計算結果!H286),"",計算結果!H286)=0,"",IF(ISNA(計算結果!H286),"",計算結果!H286))</f>
        <v>-2</v>
      </c>
      <c r="I286" s="12" t="str">
        <f>IF(IF(ISNA(計算結果!I286),"",計算結果!I286)=0,"",IF(ISNA(計算結果!I286),"",計算結果!I286))</f>
        <v/>
      </c>
      <c r="J286" s="12" t="str">
        <f>IF(IF(ISNA(計算結果!J286),"",計算結果!J286)=0,"",IF(ISNA(計算結果!J286),"",計算結果!J286))</f>
        <v/>
      </c>
      <c r="K286" s="23" t="str">
        <f>IF(IF(ISNA(計算結果!K286),"",計算結果!K286)=0,"",IF(ISNA(計算結果!K286),"",計算結果!K286))</f>
        <v/>
      </c>
      <c r="L286" s="13" t="str">
        <f>IF(IF(ISNA(計算結果!L286),"",計算結果!L286)=0,"",IF(ISNA(計算結果!L286),"",計算結果!L286))</f>
        <v/>
      </c>
      <c r="M286" s="10" t="str">
        <f>IF(IF(ISNA(計算結果!M286),"",計算結果!M286)=0,"",IF(ISNA(計算結果!M286),"",計算結果!M286))</f>
        <v/>
      </c>
      <c r="N286" s="10" t="str">
        <f>IF(IF(ISNA(計算結果!N286),"",計算結果!N286)=0,"",IF(ISNA(計算結果!N286),"",計算結果!N286))</f>
        <v/>
      </c>
      <c r="O286" s="13" t="str">
        <f>IF(IF(ISNA(計算結果!O286),"",計算結果!O286)=0,"",IF(ISNA(計算結果!O286),"",計算結果!O286))</f>
        <v/>
      </c>
      <c r="P286" s="10" t="str">
        <f>IF(IF(ISNA(計算結果!P286),"",計算結果!P286)=0,"",IF(ISNA(計算結果!P286),"",計算結果!P286))</f>
        <v/>
      </c>
      <c r="Q286" s="10" t="str">
        <f>IF(IF(ISNA(計算結果!Q286),"",計算結果!Q286)=0,"",IF(ISNA(計算結果!Q286),"",計算結果!Q286))</f>
        <v/>
      </c>
      <c r="R286" s="14" t="str">
        <f t="shared" si="12"/>
        <v/>
      </c>
      <c r="S286" s="14" t="str">
        <f t="shared" si="13"/>
        <v>◯</v>
      </c>
      <c r="T286" s="14" t="str">
        <f t="shared" si="14"/>
        <v/>
      </c>
    </row>
    <row r="287" spans="1:20" hidden="1" x14ac:dyDescent="0.45">
      <c r="A287" s="10" t="str">
        <f>IF(IF(ISNA(計算結果!A287),"",計算結果!A287)=0,"",IF(ISNA(計算結果!A287),"",計算結果!A287))</f>
        <v/>
      </c>
      <c r="B287" s="10" t="str">
        <f>IF(IF(ISNA(計算結果!B287),"",計算結果!B287)=0,"",IF(ISNA(計算結果!B287),"",計算結果!B287))</f>
        <v/>
      </c>
      <c r="C287" s="10" t="str">
        <f>IF(IF(ISNA(計算結果!C287),"",計算結果!C287)=0,"",IF(ISNA(計算結果!C287),"",計算結果!C287))</f>
        <v/>
      </c>
      <c r="D287" s="10" t="str">
        <f>IF(IF(ISNA(計算結果!D287),"",計算結果!D287)=0,"",IF(ISNA(計算結果!D287),"",計算結果!D287))</f>
        <v>L</v>
      </c>
      <c r="E287" s="10" t="str">
        <f>IF(IF(ISNA(計算結果!E287),"",計算結果!E287)=0,"",IF(ISNA(計算結果!E287),"",計算結果!E287))</f>
        <v/>
      </c>
      <c r="F287" s="10" t="str">
        <f>IF(IF(ISNA(計算結果!F287),"",計算結果!F287)=0,"",IF(ISNA(計算結果!F287),"",計算結果!F287))</f>
        <v/>
      </c>
      <c r="G287" s="10" t="str">
        <f>IF(IF(ISNA(計算結果!G287),"",計算結果!G287)=0,"",IF(ISNA(計算結果!G287),"",計算結果!G287))</f>
        <v/>
      </c>
      <c r="H287" s="13">
        <f>IF(IF(ISNA(計算結果!H287),"",計算結果!H287)=0,"",IF(ISNA(計算結果!H287),"",計算結果!H287))</f>
        <v>-2</v>
      </c>
      <c r="I287" s="12" t="str">
        <f>IF(IF(ISNA(計算結果!I287),"",計算結果!I287)=0,"",IF(ISNA(計算結果!I287),"",計算結果!I287))</f>
        <v/>
      </c>
      <c r="J287" s="12" t="str">
        <f>IF(IF(ISNA(計算結果!J287),"",計算結果!J287)=0,"",IF(ISNA(計算結果!J287),"",計算結果!J287))</f>
        <v/>
      </c>
      <c r="K287" s="23" t="str">
        <f>IF(IF(ISNA(計算結果!K287),"",計算結果!K287)=0,"",IF(ISNA(計算結果!K287),"",計算結果!K287))</f>
        <v/>
      </c>
      <c r="L287" s="13" t="str">
        <f>IF(IF(ISNA(計算結果!L287),"",計算結果!L287)=0,"",IF(ISNA(計算結果!L287),"",計算結果!L287))</f>
        <v/>
      </c>
      <c r="M287" s="10" t="str">
        <f>IF(IF(ISNA(計算結果!M287),"",計算結果!M287)=0,"",IF(ISNA(計算結果!M287),"",計算結果!M287))</f>
        <v/>
      </c>
      <c r="N287" s="10" t="str">
        <f>IF(IF(ISNA(計算結果!N287),"",計算結果!N287)=0,"",IF(ISNA(計算結果!N287),"",計算結果!N287))</f>
        <v/>
      </c>
      <c r="O287" s="13" t="str">
        <f>IF(IF(ISNA(計算結果!O287),"",計算結果!O287)=0,"",IF(ISNA(計算結果!O287),"",計算結果!O287))</f>
        <v/>
      </c>
      <c r="P287" s="10" t="str">
        <f>IF(IF(ISNA(計算結果!P287),"",計算結果!P287)=0,"",IF(ISNA(計算結果!P287),"",計算結果!P287))</f>
        <v/>
      </c>
      <c r="Q287" s="10" t="str">
        <f>IF(IF(ISNA(計算結果!Q287),"",計算結果!Q287)=0,"",IF(ISNA(計算結果!Q287),"",計算結果!Q287))</f>
        <v/>
      </c>
      <c r="R287" s="14" t="str">
        <f t="shared" si="12"/>
        <v/>
      </c>
      <c r="S287" s="14" t="str">
        <f t="shared" si="13"/>
        <v>◯</v>
      </c>
      <c r="T287" s="14" t="str">
        <f t="shared" si="14"/>
        <v/>
      </c>
    </row>
    <row r="288" spans="1:20" hidden="1" x14ac:dyDescent="0.45">
      <c r="A288" s="10" t="str">
        <f>IF(IF(ISNA(計算結果!A288),"",計算結果!A288)=0,"",IF(ISNA(計算結果!A288),"",計算結果!A288))</f>
        <v/>
      </c>
      <c r="B288" s="10" t="str">
        <f>IF(IF(ISNA(計算結果!B288),"",計算結果!B288)=0,"",IF(ISNA(計算結果!B288),"",計算結果!B288))</f>
        <v/>
      </c>
      <c r="C288" s="10" t="str">
        <f>IF(IF(ISNA(計算結果!C288),"",計算結果!C288)=0,"",IF(ISNA(計算結果!C288),"",計算結果!C288))</f>
        <v/>
      </c>
      <c r="D288" s="10" t="str">
        <f>IF(IF(ISNA(計算結果!D288),"",計算結果!D288)=0,"",IF(ISNA(計算結果!D288),"",計算結果!D288))</f>
        <v>L</v>
      </c>
      <c r="E288" s="10" t="str">
        <f>IF(IF(ISNA(計算結果!E288),"",計算結果!E288)=0,"",IF(ISNA(計算結果!E288),"",計算結果!E288))</f>
        <v/>
      </c>
      <c r="F288" s="10" t="str">
        <f>IF(IF(ISNA(計算結果!F288),"",計算結果!F288)=0,"",IF(ISNA(計算結果!F288),"",計算結果!F288))</f>
        <v/>
      </c>
      <c r="G288" s="10" t="str">
        <f>IF(IF(ISNA(計算結果!G288),"",計算結果!G288)=0,"",IF(ISNA(計算結果!G288),"",計算結果!G288))</f>
        <v/>
      </c>
      <c r="H288" s="13">
        <f>IF(IF(ISNA(計算結果!H288),"",計算結果!H288)=0,"",IF(ISNA(計算結果!H288),"",計算結果!H288))</f>
        <v>-2</v>
      </c>
      <c r="I288" s="12" t="str">
        <f>IF(IF(ISNA(計算結果!I288),"",計算結果!I288)=0,"",IF(ISNA(計算結果!I288),"",計算結果!I288))</f>
        <v/>
      </c>
      <c r="J288" s="12" t="str">
        <f>IF(IF(ISNA(計算結果!J288),"",計算結果!J288)=0,"",IF(ISNA(計算結果!J288),"",計算結果!J288))</f>
        <v/>
      </c>
      <c r="K288" s="23" t="str">
        <f>IF(IF(ISNA(計算結果!K288),"",計算結果!K288)=0,"",IF(ISNA(計算結果!K288),"",計算結果!K288))</f>
        <v/>
      </c>
      <c r="L288" s="13" t="str">
        <f>IF(IF(ISNA(計算結果!L288),"",計算結果!L288)=0,"",IF(ISNA(計算結果!L288),"",計算結果!L288))</f>
        <v/>
      </c>
      <c r="M288" s="10" t="str">
        <f>IF(IF(ISNA(計算結果!M288),"",計算結果!M288)=0,"",IF(ISNA(計算結果!M288),"",計算結果!M288))</f>
        <v/>
      </c>
      <c r="N288" s="10" t="str">
        <f>IF(IF(ISNA(計算結果!N288),"",計算結果!N288)=0,"",IF(ISNA(計算結果!N288),"",計算結果!N288))</f>
        <v/>
      </c>
      <c r="O288" s="13" t="str">
        <f>IF(IF(ISNA(計算結果!O288),"",計算結果!O288)=0,"",IF(ISNA(計算結果!O288),"",計算結果!O288))</f>
        <v/>
      </c>
      <c r="P288" s="10" t="str">
        <f>IF(IF(ISNA(計算結果!P288),"",計算結果!P288)=0,"",IF(ISNA(計算結果!P288),"",計算結果!P288))</f>
        <v/>
      </c>
      <c r="Q288" s="10" t="str">
        <f>IF(IF(ISNA(計算結果!Q288),"",計算結果!Q288)=0,"",IF(ISNA(計算結果!Q288),"",計算結果!Q288))</f>
        <v/>
      </c>
      <c r="R288" s="14" t="str">
        <f t="shared" si="12"/>
        <v/>
      </c>
      <c r="S288" s="14" t="str">
        <f t="shared" si="13"/>
        <v>◯</v>
      </c>
      <c r="T288" s="14" t="str">
        <f t="shared" si="14"/>
        <v/>
      </c>
    </row>
    <row r="289" spans="1:20" hidden="1" x14ac:dyDescent="0.45">
      <c r="A289" s="10" t="str">
        <f>IF(IF(ISNA(計算結果!A289),"",計算結果!A289)=0,"",IF(ISNA(計算結果!A289),"",計算結果!A289))</f>
        <v/>
      </c>
      <c r="B289" s="10" t="str">
        <f>IF(IF(ISNA(計算結果!B289),"",計算結果!B289)=0,"",IF(ISNA(計算結果!B289),"",計算結果!B289))</f>
        <v/>
      </c>
      <c r="C289" s="10" t="str">
        <f>IF(IF(ISNA(計算結果!C289),"",計算結果!C289)=0,"",IF(ISNA(計算結果!C289),"",計算結果!C289))</f>
        <v/>
      </c>
      <c r="D289" s="10" t="str">
        <f>IF(IF(ISNA(計算結果!D289),"",計算結果!D289)=0,"",IF(ISNA(計算結果!D289),"",計算結果!D289))</f>
        <v>L</v>
      </c>
      <c r="E289" s="10" t="str">
        <f>IF(IF(ISNA(計算結果!E289),"",計算結果!E289)=0,"",IF(ISNA(計算結果!E289),"",計算結果!E289))</f>
        <v/>
      </c>
      <c r="F289" s="10" t="str">
        <f>IF(IF(ISNA(計算結果!F289),"",計算結果!F289)=0,"",IF(ISNA(計算結果!F289),"",計算結果!F289))</f>
        <v/>
      </c>
      <c r="G289" s="10" t="str">
        <f>IF(IF(ISNA(計算結果!G289),"",計算結果!G289)=0,"",IF(ISNA(計算結果!G289),"",計算結果!G289))</f>
        <v/>
      </c>
      <c r="H289" s="13">
        <f>IF(IF(ISNA(計算結果!H289),"",計算結果!H289)=0,"",IF(ISNA(計算結果!H289),"",計算結果!H289))</f>
        <v>-2</v>
      </c>
      <c r="I289" s="12" t="str">
        <f>IF(IF(ISNA(計算結果!I289),"",計算結果!I289)=0,"",IF(ISNA(計算結果!I289),"",計算結果!I289))</f>
        <v/>
      </c>
      <c r="J289" s="12" t="str">
        <f>IF(IF(ISNA(計算結果!J289),"",計算結果!J289)=0,"",IF(ISNA(計算結果!J289),"",計算結果!J289))</f>
        <v/>
      </c>
      <c r="K289" s="23" t="str">
        <f>IF(IF(ISNA(計算結果!K289),"",計算結果!K289)=0,"",IF(ISNA(計算結果!K289),"",計算結果!K289))</f>
        <v/>
      </c>
      <c r="L289" s="13" t="str">
        <f>IF(IF(ISNA(計算結果!L289),"",計算結果!L289)=0,"",IF(ISNA(計算結果!L289),"",計算結果!L289))</f>
        <v/>
      </c>
      <c r="M289" s="10" t="str">
        <f>IF(IF(ISNA(計算結果!M289),"",計算結果!M289)=0,"",IF(ISNA(計算結果!M289),"",計算結果!M289))</f>
        <v/>
      </c>
      <c r="N289" s="10" t="str">
        <f>IF(IF(ISNA(計算結果!N289),"",計算結果!N289)=0,"",IF(ISNA(計算結果!N289),"",計算結果!N289))</f>
        <v/>
      </c>
      <c r="O289" s="13" t="str">
        <f>IF(IF(ISNA(計算結果!O289),"",計算結果!O289)=0,"",IF(ISNA(計算結果!O289),"",計算結果!O289))</f>
        <v/>
      </c>
      <c r="P289" s="10" t="str">
        <f>IF(IF(ISNA(計算結果!P289),"",計算結果!P289)=0,"",IF(ISNA(計算結果!P289),"",計算結果!P289))</f>
        <v/>
      </c>
      <c r="Q289" s="10" t="str">
        <f>IF(IF(ISNA(計算結果!Q289),"",計算結果!Q289)=0,"",IF(ISNA(計算結果!Q289),"",計算結果!Q289))</f>
        <v/>
      </c>
      <c r="R289" s="14" t="str">
        <f t="shared" si="12"/>
        <v/>
      </c>
      <c r="S289" s="14" t="str">
        <f t="shared" si="13"/>
        <v>◯</v>
      </c>
      <c r="T289" s="14" t="str">
        <f t="shared" si="14"/>
        <v/>
      </c>
    </row>
    <row r="290" spans="1:20" hidden="1" x14ac:dyDescent="0.45">
      <c r="A290" s="10" t="str">
        <f>IF(IF(ISNA(計算結果!A290),"",計算結果!A290)=0,"",IF(ISNA(計算結果!A290),"",計算結果!A290))</f>
        <v/>
      </c>
      <c r="B290" s="10" t="str">
        <f>IF(IF(ISNA(計算結果!B290),"",計算結果!B290)=0,"",IF(ISNA(計算結果!B290),"",計算結果!B290))</f>
        <v/>
      </c>
      <c r="C290" s="10" t="str">
        <f>IF(IF(ISNA(計算結果!C290),"",計算結果!C290)=0,"",IF(ISNA(計算結果!C290),"",計算結果!C290))</f>
        <v/>
      </c>
      <c r="D290" s="10" t="str">
        <f>IF(IF(ISNA(計算結果!D290),"",計算結果!D290)=0,"",IF(ISNA(計算結果!D290),"",計算結果!D290))</f>
        <v>L</v>
      </c>
      <c r="E290" s="10" t="str">
        <f>IF(IF(ISNA(計算結果!E290),"",計算結果!E290)=0,"",IF(ISNA(計算結果!E290),"",計算結果!E290))</f>
        <v/>
      </c>
      <c r="F290" s="10" t="str">
        <f>IF(IF(ISNA(計算結果!F290),"",計算結果!F290)=0,"",IF(ISNA(計算結果!F290),"",計算結果!F290))</f>
        <v/>
      </c>
      <c r="G290" s="10" t="str">
        <f>IF(IF(ISNA(計算結果!G290),"",計算結果!G290)=0,"",IF(ISNA(計算結果!G290),"",計算結果!G290))</f>
        <v/>
      </c>
      <c r="H290" s="13">
        <f>IF(IF(ISNA(計算結果!H290),"",計算結果!H290)=0,"",IF(ISNA(計算結果!H290),"",計算結果!H290))</f>
        <v>-2</v>
      </c>
      <c r="I290" s="12" t="str">
        <f>IF(IF(ISNA(計算結果!I290),"",計算結果!I290)=0,"",IF(ISNA(計算結果!I290),"",計算結果!I290))</f>
        <v/>
      </c>
      <c r="J290" s="12" t="str">
        <f>IF(IF(ISNA(計算結果!J290),"",計算結果!J290)=0,"",IF(ISNA(計算結果!J290),"",計算結果!J290))</f>
        <v/>
      </c>
      <c r="K290" s="23" t="str">
        <f>IF(IF(ISNA(計算結果!K290),"",計算結果!K290)=0,"",IF(ISNA(計算結果!K290),"",計算結果!K290))</f>
        <v/>
      </c>
      <c r="L290" s="13" t="str">
        <f>IF(IF(ISNA(計算結果!L290),"",計算結果!L290)=0,"",IF(ISNA(計算結果!L290),"",計算結果!L290))</f>
        <v/>
      </c>
      <c r="M290" s="10" t="str">
        <f>IF(IF(ISNA(計算結果!M290),"",計算結果!M290)=0,"",IF(ISNA(計算結果!M290),"",計算結果!M290))</f>
        <v/>
      </c>
      <c r="N290" s="10" t="str">
        <f>IF(IF(ISNA(計算結果!N290),"",計算結果!N290)=0,"",IF(ISNA(計算結果!N290),"",計算結果!N290))</f>
        <v/>
      </c>
      <c r="O290" s="13" t="str">
        <f>IF(IF(ISNA(計算結果!O290),"",計算結果!O290)=0,"",IF(ISNA(計算結果!O290),"",計算結果!O290))</f>
        <v/>
      </c>
      <c r="P290" s="10" t="str">
        <f>IF(IF(ISNA(計算結果!P290),"",計算結果!P290)=0,"",IF(ISNA(計算結果!P290),"",計算結果!P290))</f>
        <v/>
      </c>
      <c r="Q290" s="10" t="str">
        <f>IF(IF(ISNA(計算結果!Q290),"",計算結果!Q290)=0,"",IF(ISNA(計算結果!Q290),"",計算結果!Q290))</f>
        <v/>
      </c>
      <c r="R290" s="14" t="str">
        <f t="shared" si="12"/>
        <v/>
      </c>
      <c r="S290" s="14" t="str">
        <f t="shared" si="13"/>
        <v>◯</v>
      </c>
      <c r="T290" s="14" t="str">
        <f t="shared" si="14"/>
        <v/>
      </c>
    </row>
    <row r="291" spans="1:20" hidden="1" x14ac:dyDescent="0.45">
      <c r="A291" s="10" t="str">
        <f>IF(IF(ISNA(計算結果!A291),"",計算結果!A291)=0,"",IF(ISNA(計算結果!A291),"",計算結果!A291))</f>
        <v/>
      </c>
      <c r="B291" s="10" t="str">
        <f>IF(IF(ISNA(計算結果!B291),"",計算結果!B291)=0,"",IF(ISNA(計算結果!B291),"",計算結果!B291))</f>
        <v/>
      </c>
      <c r="C291" s="10" t="str">
        <f>IF(IF(ISNA(計算結果!C291),"",計算結果!C291)=0,"",IF(ISNA(計算結果!C291),"",計算結果!C291))</f>
        <v/>
      </c>
      <c r="D291" s="10" t="str">
        <f>IF(IF(ISNA(計算結果!D291),"",計算結果!D291)=0,"",IF(ISNA(計算結果!D291),"",計算結果!D291))</f>
        <v>L</v>
      </c>
      <c r="E291" s="10" t="str">
        <f>IF(IF(ISNA(計算結果!E291),"",計算結果!E291)=0,"",IF(ISNA(計算結果!E291),"",計算結果!E291))</f>
        <v/>
      </c>
      <c r="F291" s="10" t="str">
        <f>IF(IF(ISNA(計算結果!F291),"",計算結果!F291)=0,"",IF(ISNA(計算結果!F291),"",計算結果!F291))</f>
        <v/>
      </c>
      <c r="G291" s="10" t="str">
        <f>IF(IF(ISNA(計算結果!G291),"",計算結果!G291)=0,"",IF(ISNA(計算結果!G291),"",計算結果!G291))</f>
        <v/>
      </c>
      <c r="H291" s="13">
        <f>IF(IF(ISNA(計算結果!H291),"",計算結果!H291)=0,"",IF(ISNA(計算結果!H291),"",計算結果!H291))</f>
        <v>-2</v>
      </c>
      <c r="I291" s="12" t="str">
        <f>IF(IF(ISNA(計算結果!I291),"",計算結果!I291)=0,"",IF(ISNA(計算結果!I291),"",計算結果!I291))</f>
        <v/>
      </c>
      <c r="J291" s="12" t="str">
        <f>IF(IF(ISNA(計算結果!J291),"",計算結果!J291)=0,"",IF(ISNA(計算結果!J291),"",計算結果!J291))</f>
        <v/>
      </c>
      <c r="K291" s="23" t="str">
        <f>IF(IF(ISNA(計算結果!K291),"",計算結果!K291)=0,"",IF(ISNA(計算結果!K291),"",計算結果!K291))</f>
        <v/>
      </c>
      <c r="L291" s="13" t="str">
        <f>IF(IF(ISNA(計算結果!L291),"",計算結果!L291)=0,"",IF(ISNA(計算結果!L291),"",計算結果!L291))</f>
        <v/>
      </c>
      <c r="M291" s="10" t="str">
        <f>IF(IF(ISNA(計算結果!M291),"",計算結果!M291)=0,"",IF(ISNA(計算結果!M291),"",計算結果!M291))</f>
        <v/>
      </c>
      <c r="N291" s="10" t="str">
        <f>IF(IF(ISNA(計算結果!N291),"",計算結果!N291)=0,"",IF(ISNA(計算結果!N291),"",計算結果!N291))</f>
        <v/>
      </c>
      <c r="O291" s="13" t="str">
        <f>IF(IF(ISNA(計算結果!O291),"",計算結果!O291)=0,"",IF(ISNA(計算結果!O291),"",計算結果!O291))</f>
        <v/>
      </c>
      <c r="P291" s="10" t="str">
        <f>IF(IF(ISNA(計算結果!P291),"",計算結果!P291)=0,"",IF(ISNA(計算結果!P291),"",計算結果!P291))</f>
        <v/>
      </c>
      <c r="Q291" s="10" t="str">
        <f>IF(IF(ISNA(計算結果!Q291),"",計算結果!Q291)=0,"",IF(ISNA(計算結果!Q291),"",計算結果!Q291))</f>
        <v/>
      </c>
      <c r="R291" s="14" t="str">
        <f t="shared" si="12"/>
        <v/>
      </c>
      <c r="S291" s="14" t="str">
        <f t="shared" si="13"/>
        <v>◯</v>
      </c>
      <c r="T291" s="14" t="str">
        <f t="shared" si="14"/>
        <v/>
      </c>
    </row>
    <row r="292" spans="1:20" hidden="1" x14ac:dyDescent="0.45">
      <c r="A292" s="10" t="str">
        <f>IF(IF(ISNA(計算結果!A292),"",計算結果!A292)=0,"",IF(ISNA(計算結果!A292),"",計算結果!A292))</f>
        <v/>
      </c>
      <c r="B292" s="10" t="str">
        <f>IF(IF(ISNA(計算結果!B292),"",計算結果!B292)=0,"",IF(ISNA(計算結果!B292),"",計算結果!B292))</f>
        <v/>
      </c>
      <c r="C292" s="10" t="str">
        <f>IF(IF(ISNA(計算結果!C292),"",計算結果!C292)=0,"",IF(ISNA(計算結果!C292),"",計算結果!C292))</f>
        <v/>
      </c>
      <c r="D292" s="10" t="str">
        <f>IF(IF(ISNA(計算結果!D292),"",計算結果!D292)=0,"",IF(ISNA(計算結果!D292),"",計算結果!D292))</f>
        <v>L</v>
      </c>
      <c r="E292" s="10" t="str">
        <f>IF(IF(ISNA(計算結果!E292),"",計算結果!E292)=0,"",IF(ISNA(計算結果!E292),"",計算結果!E292))</f>
        <v/>
      </c>
      <c r="F292" s="10" t="str">
        <f>IF(IF(ISNA(計算結果!F292),"",計算結果!F292)=0,"",IF(ISNA(計算結果!F292),"",計算結果!F292))</f>
        <v/>
      </c>
      <c r="G292" s="10" t="str">
        <f>IF(IF(ISNA(計算結果!G292),"",計算結果!G292)=0,"",IF(ISNA(計算結果!G292),"",計算結果!G292))</f>
        <v/>
      </c>
      <c r="H292" s="13">
        <f>IF(IF(ISNA(計算結果!H292),"",計算結果!H292)=0,"",IF(ISNA(計算結果!H292),"",計算結果!H292))</f>
        <v>-2</v>
      </c>
      <c r="I292" s="12" t="str">
        <f>IF(IF(ISNA(計算結果!I292),"",計算結果!I292)=0,"",IF(ISNA(計算結果!I292),"",計算結果!I292))</f>
        <v/>
      </c>
      <c r="J292" s="12" t="str">
        <f>IF(IF(ISNA(計算結果!J292),"",計算結果!J292)=0,"",IF(ISNA(計算結果!J292),"",計算結果!J292))</f>
        <v/>
      </c>
      <c r="K292" s="23" t="str">
        <f>IF(IF(ISNA(計算結果!K292),"",計算結果!K292)=0,"",IF(ISNA(計算結果!K292),"",計算結果!K292))</f>
        <v/>
      </c>
      <c r="L292" s="13" t="str">
        <f>IF(IF(ISNA(計算結果!L292),"",計算結果!L292)=0,"",IF(ISNA(計算結果!L292),"",計算結果!L292))</f>
        <v/>
      </c>
      <c r="M292" s="10" t="str">
        <f>IF(IF(ISNA(計算結果!M292),"",計算結果!M292)=0,"",IF(ISNA(計算結果!M292),"",計算結果!M292))</f>
        <v/>
      </c>
      <c r="N292" s="10" t="str">
        <f>IF(IF(ISNA(計算結果!N292),"",計算結果!N292)=0,"",IF(ISNA(計算結果!N292),"",計算結果!N292))</f>
        <v/>
      </c>
      <c r="O292" s="13" t="str">
        <f>IF(IF(ISNA(計算結果!O292),"",計算結果!O292)=0,"",IF(ISNA(計算結果!O292),"",計算結果!O292))</f>
        <v/>
      </c>
      <c r="P292" s="10" t="str">
        <f>IF(IF(ISNA(計算結果!P292),"",計算結果!P292)=0,"",IF(ISNA(計算結果!P292),"",計算結果!P292))</f>
        <v/>
      </c>
      <c r="Q292" s="10" t="str">
        <f>IF(IF(ISNA(計算結果!Q292),"",計算結果!Q292)=0,"",IF(ISNA(計算結果!Q292),"",計算結果!Q292))</f>
        <v/>
      </c>
      <c r="R292" s="14" t="str">
        <f t="shared" si="12"/>
        <v/>
      </c>
      <c r="S292" s="14" t="str">
        <f t="shared" si="13"/>
        <v>◯</v>
      </c>
      <c r="T292" s="14" t="str">
        <f t="shared" si="14"/>
        <v/>
      </c>
    </row>
    <row r="293" spans="1:20" hidden="1" x14ac:dyDescent="0.45">
      <c r="A293" s="10" t="str">
        <f>IF(IF(ISNA(計算結果!A293),"",計算結果!A293)=0,"",IF(ISNA(計算結果!A293),"",計算結果!A293))</f>
        <v/>
      </c>
      <c r="B293" s="10" t="str">
        <f>IF(IF(ISNA(計算結果!B293),"",計算結果!B293)=0,"",IF(ISNA(計算結果!B293),"",計算結果!B293))</f>
        <v/>
      </c>
      <c r="C293" s="10" t="str">
        <f>IF(IF(ISNA(計算結果!C293),"",計算結果!C293)=0,"",IF(ISNA(計算結果!C293),"",計算結果!C293))</f>
        <v/>
      </c>
      <c r="D293" s="10" t="str">
        <f>IF(IF(ISNA(計算結果!D293),"",計算結果!D293)=0,"",IF(ISNA(計算結果!D293),"",計算結果!D293))</f>
        <v>L</v>
      </c>
      <c r="E293" s="10" t="str">
        <f>IF(IF(ISNA(計算結果!E293),"",計算結果!E293)=0,"",IF(ISNA(計算結果!E293),"",計算結果!E293))</f>
        <v/>
      </c>
      <c r="F293" s="10" t="str">
        <f>IF(IF(ISNA(計算結果!F293),"",計算結果!F293)=0,"",IF(ISNA(計算結果!F293),"",計算結果!F293))</f>
        <v/>
      </c>
      <c r="G293" s="10" t="str">
        <f>IF(IF(ISNA(計算結果!G293),"",計算結果!G293)=0,"",IF(ISNA(計算結果!G293),"",計算結果!G293))</f>
        <v/>
      </c>
      <c r="H293" s="13">
        <f>IF(IF(ISNA(計算結果!H293),"",計算結果!H293)=0,"",IF(ISNA(計算結果!H293),"",計算結果!H293))</f>
        <v>-2</v>
      </c>
      <c r="I293" s="12" t="str">
        <f>IF(IF(ISNA(計算結果!I293),"",計算結果!I293)=0,"",IF(ISNA(計算結果!I293),"",計算結果!I293))</f>
        <v/>
      </c>
      <c r="J293" s="12" t="str">
        <f>IF(IF(ISNA(計算結果!J293),"",計算結果!J293)=0,"",IF(ISNA(計算結果!J293),"",計算結果!J293))</f>
        <v/>
      </c>
      <c r="K293" s="23" t="str">
        <f>IF(IF(ISNA(計算結果!K293),"",計算結果!K293)=0,"",IF(ISNA(計算結果!K293),"",計算結果!K293))</f>
        <v/>
      </c>
      <c r="L293" s="13" t="str">
        <f>IF(IF(ISNA(計算結果!L293),"",計算結果!L293)=0,"",IF(ISNA(計算結果!L293),"",計算結果!L293))</f>
        <v/>
      </c>
      <c r="M293" s="10" t="str">
        <f>IF(IF(ISNA(計算結果!M293),"",計算結果!M293)=0,"",IF(ISNA(計算結果!M293),"",計算結果!M293))</f>
        <v/>
      </c>
      <c r="N293" s="10" t="str">
        <f>IF(IF(ISNA(計算結果!N293),"",計算結果!N293)=0,"",IF(ISNA(計算結果!N293),"",計算結果!N293))</f>
        <v/>
      </c>
      <c r="O293" s="13" t="str">
        <f>IF(IF(ISNA(計算結果!O293),"",計算結果!O293)=0,"",IF(ISNA(計算結果!O293),"",計算結果!O293))</f>
        <v/>
      </c>
      <c r="P293" s="10" t="str">
        <f>IF(IF(ISNA(計算結果!P293),"",計算結果!P293)=0,"",IF(ISNA(計算結果!P293),"",計算結果!P293))</f>
        <v/>
      </c>
      <c r="Q293" s="10" t="str">
        <f>IF(IF(ISNA(計算結果!Q293),"",計算結果!Q293)=0,"",IF(ISNA(計算結果!Q293),"",計算結果!Q293))</f>
        <v/>
      </c>
      <c r="R293" s="14" t="str">
        <f t="shared" si="12"/>
        <v/>
      </c>
      <c r="S293" s="14" t="str">
        <f t="shared" si="13"/>
        <v>◯</v>
      </c>
      <c r="T293" s="14" t="str">
        <f t="shared" si="14"/>
        <v/>
      </c>
    </row>
    <row r="294" spans="1:20" hidden="1" x14ac:dyDescent="0.45">
      <c r="A294" s="10" t="str">
        <f>IF(IF(ISNA(計算結果!A294),"",計算結果!A294)=0,"",IF(ISNA(計算結果!A294),"",計算結果!A294))</f>
        <v/>
      </c>
      <c r="B294" s="10" t="str">
        <f>IF(IF(ISNA(計算結果!B294),"",計算結果!B294)=0,"",IF(ISNA(計算結果!B294),"",計算結果!B294))</f>
        <v/>
      </c>
      <c r="C294" s="10" t="str">
        <f>IF(IF(ISNA(計算結果!C294),"",計算結果!C294)=0,"",IF(ISNA(計算結果!C294),"",計算結果!C294))</f>
        <v/>
      </c>
      <c r="D294" s="10" t="str">
        <f>IF(IF(ISNA(計算結果!D294),"",計算結果!D294)=0,"",IF(ISNA(計算結果!D294),"",計算結果!D294))</f>
        <v>L</v>
      </c>
      <c r="E294" s="10" t="str">
        <f>IF(IF(ISNA(計算結果!E294),"",計算結果!E294)=0,"",IF(ISNA(計算結果!E294),"",計算結果!E294))</f>
        <v/>
      </c>
      <c r="F294" s="10" t="str">
        <f>IF(IF(ISNA(計算結果!F294),"",計算結果!F294)=0,"",IF(ISNA(計算結果!F294),"",計算結果!F294))</f>
        <v/>
      </c>
      <c r="G294" s="10" t="str">
        <f>IF(IF(ISNA(計算結果!G294),"",計算結果!G294)=0,"",IF(ISNA(計算結果!G294),"",計算結果!G294))</f>
        <v/>
      </c>
      <c r="H294" s="13">
        <f>IF(IF(ISNA(計算結果!H294),"",計算結果!H294)=0,"",IF(ISNA(計算結果!H294),"",計算結果!H294))</f>
        <v>-2</v>
      </c>
      <c r="I294" s="12" t="str">
        <f>IF(IF(ISNA(計算結果!I294),"",計算結果!I294)=0,"",IF(ISNA(計算結果!I294),"",計算結果!I294))</f>
        <v/>
      </c>
      <c r="J294" s="12" t="str">
        <f>IF(IF(ISNA(計算結果!J294),"",計算結果!J294)=0,"",IF(ISNA(計算結果!J294),"",計算結果!J294))</f>
        <v/>
      </c>
      <c r="K294" s="23" t="str">
        <f>IF(IF(ISNA(計算結果!K294),"",計算結果!K294)=0,"",IF(ISNA(計算結果!K294),"",計算結果!K294))</f>
        <v/>
      </c>
      <c r="L294" s="13" t="str">
        <f>IF(IF(ISNA(計算結果!L294),"",計算結果!L294)=0,"",IF(ISNA(計算結果!L294),"",計算結果!L294))</f>
        <v/>
      </c>
      <c r="M294" s="10" t="str">
        <f>IF(IF(ISNA(計算結果!M294),"",計算結果!M294)=0,"",IF(ISNA(計算結果!M294),"",計算結果!M294))</f>
        <v/>
      </c>
      <c r="N294" s="10" t="str">
        <f>IF(IF(ISNA(計算結果!N294),"",計算結果!N294)=0,"",IF(ISNA(計算結果!N294),"",計算結果!N294))</f>
        <v/>
      </c>
      <c r="O294" s="13" t="str">
        <f>IF(IF(ISNA(計算結果!O294),"",計算結果!O294)=0,"",IF(ISNA(計算結果!O294),"",計算結果!O294))</f>
        <v/>
      </c>
      <c r="P294" s="10" t="str">
        <f>IF(IF(ISNA(計算結果!P294),"",計算結果!P294)=0,"",IF(ISNA(計算結果!P294),"",計算結果!P294))</f>
        <v/>
      </c>
      <c r="Q294" s="10" t="str">
        <f>IF(IF(ISNA(計算結果!Q294),"",計算結果!Q294)=0,"",IF(ISNA(計算結果!Q294),"",計算結果!Q294))</f>
        <v/>
      </c>
      <c r="R294" s="14" t="str">
        <f t="shared" si="12"/>
        <v/>
      </c>
      <c r="S294" s="14" t="str">
        <f t="shared" si="13"/>
        <v>◯</v>
      </c>
      <c r="T294" s="14" t="str">
        <f t="shared" si="14"/>
        <v/>
      </c>
    </row>
    <row r="295" spans="1:20" hidden="1" x14ac:dyDescent="0.45">
      <c r="A295" s="10" t="str">
        <f>IF(IF(ISNA(計算結果!A295),"",計算結果!A295)=0,"",IF(ISNA(計算結果!A295),"",計算結果!A295))</f>
        <v/>
      </c>
      <c r="B295" s="10" t="str">
        <f>IF(IF(ISNA(計算結果!B295),"",計算結果!B295)=0,"",IF(ISNA(計算結果!B295),"",計算結果!B295))</f>
        <v/>
      </c>
      <c r="C295" s="10" t="str">
        <f>IF(IF(ISNA(計算結果!C295),"",計算結果!C295)=0,"",IF(ISNA(計算結果!C295),"",計算結果!C295))</f>
        <v/>
      </c>
      <c r="D295" s="10" t="str">
        <f>IF(IF(ISNA(計算結果!D295),"",計算結果!D295)=0,"",IF(ISNA(計算結果!D295),"",計算結果!D295))</f>
        <v>L</v>
      </c>
      <c r="E295" s="10" t="str">
        <f>IF(IF(ISNA(計算結果!E295),"",計算結果!E295)=0,"",IF(ISNA(計算結果!E295),"",計算結果!E295))</f>
        <v/>
      </c>
      <c r="F295" s="10" t="str">
        <f>IF(IF(ISNA(計算結果!F295),"",計算結果!F295)=0,"",IF(ISNA(計算結果!F295),"",計算結果!F295))</f>
        <v/>
      </c>
      <c r="G295" s="10" t="str">
        <f>IF(IF(ISNA(計算結果!G295),"",計算結果!G295)=0,"",IF(ISNA(計算結果!G295),"",計算結果!G295))</f>
        <v/>
      </c>
      <c r="H295" s="13">
        <f>IF(IF(ISNA(計算結果!H295),"",計算結果!H295)=0,"",IF(ISNA(計算結果!H295),"",計算結果!H295))</f>
        <v>-2</v>
      </c>
      <c r="I295" s="12" t="str">
        <f>IF(IF(ISNA(計算結果!I295),"",計算結果!I295)=0,"",IF(ISNA(計算結果!I295),"",計算結果!I295))</f>
        <v/>
      </c>
      <c r="J295" s="12" t="str">
        <f>IF(IF(ISNA(計算結果!J295),"",計算結果!J295)=0,"",IF(ISNA(計算結果!J295),"",計算結果!J295))</f>
        <v/>
      </c>
      <c r="K295" s="23" t="str">
        <f>IF(IF(ISNA(計算結果!K295),"",計算結果!K295)=0,"",IF(ISNA(計算結果!K295),"",計算結果!K295))</f>
        <v/>
      </c>
      <c r="L295" s="13" t="str">
        <f>IF(IF(ISNA(計算結果!L295),"",計算結果!L295)=0,"",IF(ISNA(計算結果!L295),"",計算結果!L295))</f>
        <v/>
      </c>
      <c r="M295" s="10" t="str">
        <f>IF(IF(ISNA(計算結果!M295),"",計算結果!M295)=0,"",IF(ISNA(計算結果!M295),"",計算結果!M295))</f>
        <v/>
      </c>
      <c r="N295" s="10" t="str">
        <f>IF(IF(ISNA(計算結果!N295),"",計算結果!N295)=0,"",IF(ISNA(計算結果!N295),"",計算結果!N295))</f>
        <v/>
      </c>
      <c r="O295" s="13" t="str">
        <f>IF(IF(ISNA(計算結果!O295),"",計算結果!O295)=0,"",IF(ISNA(計算結果!O295),"",計算結果!O295))</f>
        <v/>
      </c>
      <c r="P295" s="10" t="str">
        <f>IF(IF(ISNA(計算結果!P295),"",計算結果!P295)=0,"",IF(ISNA(計算結果!P295),"",計算結果!P295))</f>
        <v/>
      </c>
      <c r="Q295" s="10" t="str">
        <f>IF(IF(ISNA(計算結果!Q295),"",計算結果!Q295)=0,"",IF(ISNA(計算結果!Q295),"",計算結果!Q295))</f>
        <v/>
      </c>
      <c r="R295" s="14" t="str">
        <f t="shared" si="12"/>
        <v/>
      </c>
      <c r="S295" s="14" t="str">
        <f t="shared" si="13"/>
        <v>◯</v>
      </c>
      <c r="T295" s="14" t="str">
        <f t="shared" si="14"/>
        <v/>
      </c>
    </row>
    <row r="296" spans="1:20" hidden="1" x14ac:dyDescent="0.45">
      <c r="A296" s="10" t="str">
        <f>IF(IF(ISNA(計算結果!A296),"",計算結果!A296)=0,"",IF(ISNA(計算結果!A296),"",計算結果!A296))</f>
        <v/>
      </c>
      <c r="B296" s="10" t="str">
        <f>IF(IF(ISNA(計算結果!B296),"",計算結果!B296)=0,"",IF(ISNA(計算結果!B296),"",計算結果!B296))</f>
        <v/>
      </c>
      <c r="C296" s="10" t="str">
        <f>IF(IF(ISNA(計算結果!C296),"",計算結果!C296)=0,"",IF(ISNA(計算結果!C296),"",計算結果!C296))</f>
        <v/>
      </c>
      <c r="D296" s="10" t="str">
        <f>IF(IF(ISNA(計算結果!D296),"",計算結果!D296)=0,"",IF(ISNA(計算結果!D296),"",計算結果!D296))</f>
        <v>L</v>
      </c>
      <c r="E296" s="10" t="str">
        <f>IF(IF(ISNA(計算結果!E296),"",計算結果!E296)=0,"",IF(ISNA(計算結果!E296),"",計算結果!E296))</f>
        <v/>
      </c>
      <c r="F296" s="10" t="str">
        <f>IF(IF(ISNA(計算結果!F296),"",計算結果!F296)=0,"",IF(ISNA(計算結果!F296),"",計算結果!F296))</f>
        <v/>
      </c>
      <c r="G296" s="10" t="str">
        <f>IF(IF(ISNA(計算結果!G296),"",計算結果!G296)=0,"",IF(ISNA(計算結果!G296),"",計算結果!G296))</f>
        <v/>
      </c>
      <c r="H296" s="13">
        <f>IF(IF(ISNA(計算結果!H296),"",計算結果!H296)=0,"",IF(ISNA(計算結果!H296),"",計算結果!H296))</f>
        <v>-2</v>
      </c>
      <c r="I296" s="12" t="str">
        <f>IF(IF(ISNA(計算結果!I296),"",計算結果!I296)=0,"",IF(ISNA(計算結果!I296),"",計算結果!I296))</f>
        <v/>
      </c>
      <c r="J296" s="12" t="str">
        <f>IF(IF(ISNA(計算結果!J296),"",計算結果!J296)=0,"",IF(ISNA(計算結果!J296),"",計算結果!J296))</f>
        <v/>
      </c>
      <c r="K296" s="23" t="str">
        <f>IF(IF(ISNA(計算結果!K296),"",計算結果!K296)=0,"",IF(ISNA(計算結果!K296),"",計算結果!K296))</f>
        <v/>
      </c>
      <c r="L296" s="13" t="str">
        <f>IF(IF(ISNA(計算結果!L296),"",計算結果!L296)=0,"",IF(ISNA(計算結果!L296),"",計算結果!L296))</f>
        <v/>
      </c>
      <c r="M296" s="10" t="str">
        <f>IF(IF(ISNA(計算結果!M296),"",計算結果!M296)=0,"",IF(ISNA(計算結果!M296),"",計算結果!M296))</f>
        <v/>
      </c>
      <c r="N296" s="10" t="str">
        <f>IF(IF(ISNA(計算結果!N296),"",計算結果!N296)=0,"",IF(ISNA(計算結果!N296),"",計算結果!N296))</f>
        <v/>
      </c>
      <c r="O296" s="13" t="str">
        <f>IF(IF(ISNA(計算結果!O296),"",計算結果!O296)=0,"",IF(ISNA(計算結果!O296),"",計算結果!O296))</f>
        <v/>
      </c>
      <c r="P296" s="10" t="str">
        <f>IF(IF(ISNA(計算結果!P296),"",計算結果!P296)=0,"",IF(ISNA(計算結果!P296),"",計算結果!P296))</f>
        <v/>
      </c>
      <c r="Q296" s="10" t="str">
        <f>IF(IF(ISNA(計算結果!Q296),"",計算結果!Q296)=0,"",IF(ISNA(計算結果!Q296),"",計算結果!Q296))</f>
        <v/>
      </c>
      <c r="R296" s="14" t="str">
        <f t="shared" si="12"/>
        <v/>
      </c>
      <c r="S296" s="14" t="str">
        <f t="shared" si="13"/>
        <v>◯</v>
      </c>
      <c r="T296" s="14" t="str">
        <f t="shared" si="14"/>
        <v/>
      </c>
    </row>
    <row r="297" spans="1:20" hidden="1" x14ac:dyDescent="0.45">
      <c r="A297" s="10" t="str">
        <f>IF(IF(ISNA(計算結果!A297),"",計算結果!A297)=0,"",IF(ISNA(計算結果!A297),"",計算結果!A297))</f>
        <v/>
      </c>
      <c r="B297" s="10" t="str">
        <f>IF(IF(ISNA(計算結果!B297),"",計算結果!B297)=0,"",IF(ISNA(計算結果!B297),"",計算結果!B297))</f>
        <v/>
      </c>
      <c r="C297" s="10" t="str">
        <f>IF(IF(ISNA(計算結果!C297),"",計算結果!C297)=0,"",IF(ISNA(計算結果!C297),"",計算結果!C297))</f>
        <v/>
      </c>
      <c r="D297" s="10" t="str">
        <f>IF(IF(ISNA(計算結果!D297),"",計算結果!D297)=0,"",IF(ISNA(計算結果!D297),"",計算結果!D297))</f>
        <v>L</v>
      </c>
      <c r="E297" s="10" t="str">
        <f>IF(IF(ISNA(計算結果!E297),"",計算結果!E297)=0,"",IF(ISNA(計算結果!E297),"",計算結果!E297))</f>
        <v/>
      </c>
      <c r="F297" s="10" t="str">
        <f>IF(IF(ISNA(計算結果!F297),"",計算結果!F297)=0,"",IF(ISNA(計算結果!F297),"",計算結果!F297))</f>
        <v/>
      </c>
      <c r="G297" s="10" t="str">
        <f>IF(IF(ISNA(計算結果!G297),"",計算結果!G297)=0,"",IF(ISNA(計算結果!G297),"",計算結果!G297))</f>
        <v/>
      </c>
      <c r="H297" s="13">
        <f>IF(IF(ISNA(計算結果!H297),"",計算結果!H297)=0,"",IF(ISNA(計算結果!H297),"",計算結果!H297))</f>
        <v>-2</v>
      </c>
      <c r="I297" s="12" t="str">
        <f>IF(IF(ISNA(計算結果!I297),"",計算結果!I297)=0,"",IF(ISNA(計算結果!I297),"",計算結果!I297))</f>
        <v/>
      </c>
      <c r="J297" s="12" t="str">
        <f>IF(IF(ISNA(計算結果!J297),"",計算結果!J297)=0,"",IF(ISNA(計算結果!J297),"",計算結果!J297))</f>
        <v/>
      </c>
      <c r="K297" s="23" t="str">
        <f>IF(IF(ISNA(計算結果!K297),"",計算結果!K297)=0,"",IF(ISNA(計算結果!K297),"",計算結果!K297))</f>
        <v/>
      </c>
      <c r="L297" s="13" t="str">
        <f>IF(IF(ISNA(計算結果!L297),"",計算結果!L297)=0,"",IF(ISNA(計算結果!L297),"",計算結果!L297))</f>
        <v/>
      </c>
      <c r="M297" s="10" t="str">
        <f>IF(IF(ISNA(計算結果!M297),"",計算結果!M297)=0,"",IF(ISNA(計算結果!M297),"",計算結果!M297))</f>
        <v/>
      </c>
      <c r="N297" s="10" t="str">
        <f>IF(IF(ISNA(計算結果!N297),"",計算結果!N297)=0,"",IF(ISNA(計算結果!N297),"",計算結果!N297))</f>
        <v/>
      </c>
      <c r="O297" s="13" t="str">
        <f>IF(IF(ISNA(計算結果!O297),"",計算結果!O297)=0,"",IF(ISNA(計算結果!O297),"",計算結果!O297))</f>
        <v/>
      </c>
      <c r="P297" s="10" t="str">
        <f>IF(IF(ISNA(計算結果!P297),"",計算結果!P297)=0,"",IF(ISNA(計算結果!P297),"",計算結果!P297))</f>
        <v/>
      </c>
      <c r="Q297" s="10" t="str">
        <f>IF(IF(ISNA(計算結果!Q297),"",計算結果!Q297)=0,"",IF(ISNA(計算結果!Q297),"",計算結果!Q297))</f>
        <v/>
      </c>
      <c r="R297" s="14" t="str">
        <f t="shared" si="12"/>
        <v/>
      </c>
      <c r="S297" s="14" t="str">
        <f t="shared" si="13"/>
        <v>◯</v>
      </c>
      <c r="T297" s="14" t="str">
        <f t="shared" si="14"/>
        <v/>
      </c>
    </row>
    <row r="298" spans="1:20" hidden="1" x14ac:dyDescent="0.45">
      <c r="A298" s="10" t="str">
        <f>IF(IF(ISNA(計算結果!A298),"",計算結果!A298)=0,"",IF(ISNA(計算結果!A298),"",計算結果!A298))</f>
        <v/>
      </c>
      <c r="B298" s="10" t="str">
        <f>IF(IF(ISNA(計算結果!B298),"",計算結果!B298)=0,"",IF(ISNA(計算結果!B298),"",計算結果!B298))</f>
        <v/>
      </c>
      <c r="C298" s="10" t="str">
        <f>IF(IF(ISNA(計算結果!C298),"",計算結果!C298)=0,"",IF(ISNA(計算結果!C298),"",計算結果!C298))</f>
        <v/>
      </c>
      <c r="D298" s="10" t="str">
        <f>IF(IF(ISNA(計算結果!D298),"",計算結果!D298)=0,"",IF(ISNA(計算結果!D298),"",計算結果!D298))</f>
        <v>L</v>
      </c>
      <c r="E298" s="10" t="str">
        <f>IF(IF(ISNA(計算結果!E298),"",計算結果!E298)=0,"",IF(ISNA(計算結果!E298),"",計算結果!E298))</f>
        <v/>
      </c>
      <c r="F298" s="10" t="str">
        <f>IF(IF(ISNA(計算結果!F298),"",計算結果!F298)=0,"",IF(ISNA(計算結果!F298),"",計算結果!F298))</f>
        <v/>
      </c>
      <c r="G298" s="10" t="str">
        <f>IF(IF(ISNA(計算結果!G298),"",計算結果!G298)=0,"",IF(ISNA(計算結果!G298),"",計算結果!G298))</f>
        <v/>
      </c>
      <c r="H298" s="13">
        <f>IF(IF(ISNA(計算結果!H298),"",計算結果!H298)=0,"",IF(ISNA(計算結果!H298),"",計算結果!H298))</f>
        <v>-2</v>
      </c>
      <c r="I298" s="12" t="str">
        <f>IF(IF(ISNA(計算結果!I298),"",計算結果!I298)=0,"",IF(ISNA(計算結果!I298),"",計算結果!I298))</f>
        <v/>
      </c>
      <c r="J298" s="12" t="str">
        <f>IF(IF(ISNA(計算結果!J298),"",計算結果!J298)=0,"",IF(ISNA(計算結果!J298),"",計算結果!J298))</f>
        <v/>
      </c>
      <c r="K298" s="23" t="str">
        <f>IF(IF(ISNA(計算結果!K298),"",計算結果!K298)=0,"",IF(ISNA(計算結果!K298),"",計算結果!K298))</f>
        <v/>
      </c>
      <c r="L298" s="13" t="str">
        <f>IF(IF(ISNA(計算結果!L298),"",計算結果!L298)=0,"",IF(ISNA(計算結果!L298),"",計算結果!L298))</f>
        <v/>
      </c>
      <c r="M298" s="10" t="str">
        <f>IF(IF(ISNA(計算結果!M298),"",計算結果!M298)=0,"",IF(ISNA(計算結果!M298),"",計算結果!M298))</f>
        <v/>
      </c>
      <c r="N298" s="10" t="str">
        <f>IF(IF(ISNA(計算結果!N298),"",計算結果!N298)=0,"",IF(ISNA(計算結果!N298),"",計算結果!N298))</f>
        <v/>
      </c>
      <c r="O298" s="13" t="str">
        <f>IF(IF(ISNA(計算結果!O298),"",計算結果!O298)=0,"",IF(ISNA(計算結果!O298),"",計算結果!O298))</f>
        <v/>
      </c>
      <c r="P298" s="10" t="str">
        <f>IF(IF(ISNA(計算結果!P298),"",計算結果!P298)=0,"",IF(ISNA(計算結果!P298),"",計算結果!P298))</f>
        <v/>
      </c>
      <c r="Q298" s="10" t="str">
        <f>IF(IF(ISNA(計算結果!Q298),"",計算結果!Q298)=0,"",IF(ISNA(計算結果!Q298),"",計算結果!Q298))</f>
        <v/>
      </c>
      <c r="R298" s="14" t="str">
        <f t="shared" si="12"/>
        <v/>
      </c>
      <c r="S298" s="14" t="str">
        <f t="shared" si="13"/>
        <v>◯</v>
      </c>
      <c r="T298" s="14" t="str">
        <f t="shared" si="14"/>
        <v/>
      </c>
    </row>
    <row r="299" spans="1:20" hidden="1" x14ac:dyDescent="0.45">
      <c r="A299" s="10" t="str">
        <f>IF(IF(ISNA(計算結果!A299),"",計算結果!A299)=0,"",IF(ISNA(計算結果!A299),"",計算結果!A299))</f>
        <v/>
      </c>
      <c r="B299" s="10" t="str">
        <f>IF(IF(ISNA(計算結果!B299),"",計算結果!B299)=0,"",IF(ISNA(計算結果!B299),"",計算結果!B299))</f>
        <v/>
      </c>
      <c r="C299" s="10" t="str">
        <f>IF(IF(ISNA(計算結果!C299),"",計算結果!C299)=0,"",IF(ISNA(計算結果!C299),"",計算結果!C299))</f>
        <v/>
      </c>
      <c r="D299" s="10" t="str">
        <f>IF(IF(ISNA(計算結果!D299),"",計算結果!D299)=0,"",IF(ISNA(計算結果!D299),"",計算結果!D299))</f>
        <v>L</v>
      </c>
      <c r="E299" s="10" t="str">
        <f>IF(IF(ISNA(計算結果!E299),"",計算結果!E299)=0,"",IF(ISNA(計算結果!E299),"",計算結果!E299))</f>
        <v/>
      </c>
      <c r="F299" s="10" t="str">
        <f>IF(IF(ISNA(計算結果!F299),"",計算結果!F299)=0,"",IF(ISNA(計算結果!F299),"",計算結果!F299))</f>
        <v/>
      </c>
      <c r="G299" s="10" t="str">
        <f>IF(IF(ISNA(計算結果!G299),"",計算結果!G299)=0,"",IF(ISNA(計算結果!G299),"",計算結果!G299))</f>
        <v/>
      </c>
      <c r="H299" s="13">
        <f>IF(IF(ISNA(計算結果!H299),"",計算結果!H299)=0,"",IF(ISNA(計算結果!H299),"",計算結果!H299))</f>
        <v>-2</v>
      </c>
      <c r="I299" s="12" t="str">
        <f>IF(IF(ISNA(計算結果!I299),"",計算結果!I299)=0,"",IF(ISNA(計算結果!I299),"",計算結果!I299))</f>
        <v/>
      </c>
      <c r="J299" s="12" t="str">
        <f>IF(IF(ISNA(計算結果!J299),"",計算結果!J299)=0,"",IF(ISNA(計算結果!J299),"",計算結果!J299))</f>
        <v/>
      </c>
      <c r="K299" s="23" t="str">
        <f>IF(IF(ISNA(計算結果!K299),"",計算結果!K299)=0,"",IF(ISNA(計算結果!K299),"",計算結果!K299))</f>
        <v/>
      </c>
      <c r="L299" s="13" t="str">
        <f>IF(IF(ISNA(計算結果!L299),"",計算結果!L299)=0,"",IF(ISNA(計算結果!L299),"",計算結果!L299))</f>
        <v/>
      </c>
      <c r="M299" s="10" t="str">
        <f>IF(IF(ISNA(計算結果!M299),"",計算結果!M299)=0,"",IF(ISNA(計算結果!M299),"",計算結果!M299))</f>
        <v/>
      </c>
      <c r="N299" s="10" t="str">
        <f>IF(IF(ISNA(計算結果!N299),"",計算結果!N299)=0,"",IF(ISNA(計算結果!N299),"",計算結果!N299))</f>
        <v/>
      </c>
      <c r="O299" s="13" t="str">
        <f>IF(IF(ISNA(計算結果!O299),"",計算結果!O299)=0,"",IF(ISNA(計算結果!O299),"",計算結果!O299))</f>
        <v/>
      </c>
      <c r="P299" s="10" t="str">
        <f>IF(IF(ISNA(計算結果!P299),"",計算結果!P299)=0,"",IF(ISNA(計算結果!P299),"",計算結果!P299))</f>
        <v/>
      </c>
      <c r="Q299" s="10" t="str">
        <f>IF(IF(ISNA(計算結果!Q299),"",計算結果!Q299)=0,"",IF(ISNA(計算結果!Q299),"",計算結果!Q299))</f>
        <v/>
      </c>
      <c r="R299" s="14" t="str">
        <f t="shared" si="12"/>
        <v/>
      </c>
      <c r="S299" s="14" t="str">
        <f t="shared" si="13"/>
        <v>◯</v>
      </c>
      <c r="T299" s="14" t="str">
        <f t="shared" si="14"/>
        <v/>
      </c>
    </row>
    <row r="300" spans="1:20" hidden="1" x14ac:dyDescent="0.45">
      <c r="A300" s="10" t="str">
        <f>IF(IF(ISNA(計算結果!A300),"",計算結果!A300)=0,"",IF(ISNA(計算結果!A300),"",計算結果!A300))</f>
        <v/>
      </c>
      <c r="B300" s="10" t="str">
        <f>IF(IF(ISNA(計算結果!B300),"",計算結果!B300)=0,"",IF(ISNA(計算結果!B300),"",計算結果!B300))</f>
        <v/>
      </c>
      <c r="C300" s="10" t="str">
        <f>IF(IF(ISNA(計算結果!C300),"",計算結果!C300)=0,"",IF(ISNA(計算結果!C300),"",計算結果!C300))</f>
        <v/>
      </c>
      <c r="D300" s="10" t="str">
        <f>IF(IF(ISNA(計算結果!D300),"",計算結果!D300)=0,"",IF(ISNA(計算結果!D300),"",計算結果!D300))</f>
        <v>L</v>
      </c>
      <c r="E300" s="10" t="str">
        <f>IF(IF(ISNA(計算結果!E300),"",計算結果!E300)=0,"",IF(ISNA(計算結果!E300),"",計算結果!E300))</f>
        <v/>
      </c>
      <c r="F300" s="10" t="str">
        <f>IF(IF(ISNA(計算結果!F300),"",計算結果!F300)=0,"",IF(ISNA(計算結果!F300),"",計算結果!F300))</f>
        <v/>
      </c>
      <c r="G300" s="10" t="str">
        <f>IF(IF(ISNA(計算結果!G300),"",計算結果!G300)=0,"",IF(ISNA(計算結果!G300),"",計算結果!G300))</f>
        <v/>
      </c>
      <c r="H300" s="13">
        <f>IF(IF(ISNA(計算結果!H300),"",計算結果!H300)=0,"",IF(ISNA(計算結果!H300),"",計算結果!H300))</f>
        <v>-2</v>
      </c>
      <c r="I300" s="12" t="str">
        <f>IF(IF(ISNA(計算結果!I300),"",計算結果!I300)=0,"",IF(ISNA(計算結果!I300),"",計算結果!I300))</f>
        <v/>
      </c>
      <c r="J300" s="12" t="str">
        <f>IF(IF(ISNA(計算結果!J300),"",計算結果!J300)=0,"",IF(ISNA(計算結果!J300),"",計算結果!J300))</f>
        <v/>
      </c>
      <c r="K300" s="23" t="str">
        <f>IF(IF(ISNA(計算結果!K300),"",計算結果!K300)=0,"",IF(ISNA(計算結果!K300),"",計算結果!K300))</f>
        <v/>
      </c>
      <c r="L300" s="13" t="str">
        <f>IF(IF(ISNA(計算結果!L300),"",計算結果!L300)=0,"",IF(ISNA(計算結果!L300),"",計算結果!L300))</f>
        <v/>
      </c>
      <c r="M300" s="10" t="str">
        <f>IF(IF(ISNA(計算結果!M300),"",計算結果!M300)=0,"",IF(ISNA(計算結果!M300),"",計算結果!M300))</f>
        <v/>
      </c>
      <c r="N300" s="10" t="str">
        <f>IF(IF(ISNA(計算結果!N300),"",計算結果!N300)=0,"",IF(ISNA(計算結果!N300),"",計算結果!N300))</f>
        <v/>
      </c>
      <c r="O300" s="13" t="str">
        <f>IF(IF(ISNA(計算結果!O300),"",計算結果!O300)=0,"",IF(ISNA(計算結果!O300),"",計算結果!O300))</f>
        <v/>
      </c>
      <c r="P300" s="10" t="str">
        <f>IF(IF(ISNA(計算結果!P300),"",計算結果!P300)=0,"",IF(ISNA(計算結果!P300),"",計算結果!P300))</f>
        <v/>
      </c>
      <c r="Q300" s="10" t="str">
        <f>IF(IF(ISNA(計算結果!Q300),"",計算結果!Q300)=0,"",IF(ISNA(計算結果!Q300),"",計算結果!Q300))</f>
        <v/>
      </c>
      <c r="R300" s="14" t="str">
        <f t="shared" si="12"/>
        <v/>
      </c>
      <c r="S300" s="14" t="str">
        <f t="shared" si="13"/>
        <v>◯</v>
      </c>
      <c r="T300" s="14" t="str">
        <f t="shared" si="14"/>
        <v/>
      </c>
    </row>
    <row r="301" spans="1:20" hidden="1" x14ac:dyDescent="0.45">
      <c r="A301" s="10" t="str">
        <f>IF(IF(ISNA(計算結果!A301),"",計算結果!A301)=0,"",IF(ISNA(計算結果!A301),"",計算結果!A301))</f>
        <v/>
      </c>
      <c r="B301" s="10" t="str">
        <f>IF(IF(ISNA(計算結果!B301),"",計算結果!B301)=0,"",IF(ISNA(計算結果!B301),"",計算結果!B301))</f>
        <v/>
      </c>
      <c r="C301" s="10" t="str">
        <f>IF(IF(ISNA(計算結果!C301),"",計算結果!C301)=0,"",IF(ISNA(計算結果!C301),"",計算結果!C301))</f>
        <v/>
      </c>
      <c r="D301" s="10" t="str">
        <f>IF(IF(ISNA(計算結果!D301),"",計算結果!D301)=0,"",IF(ISNA(計算結果!D301),"",計算結果!D301))</f>
        <v>L</v>
      </c>
      <c r="E301" s="10" t="str">
        <f>IF(IF(ISNA(計算結果!E301),"",計算結果!E301)=0,"",IF(ISNA(計算結果!E301),"",計算結果!E301))</f>
        <v/>
      </c>
      <c r="F301" s="10" t="str">
        <f>IF(IF(ISNA(計算結果!F301),"",計算結果!F301)=0,"",IF(ISNA(計算結果!F301),"",計算結果!F301))</f>
        <v/>
      </c>
      <c r="G301" s="10" t="str">
        <f>IF(IF(ISNA(計算結果!G301),"",計算結果!G301)=0,"",IF(ISNA(計算結果!G301),"",計算結果!G301))</f>
        <v/>
      </c>
      <c r="H301" s="13">
        <f>IF(IF(ISNA(計算結果!H301),"",計算結果!H301)=0,"",IF(ISNA(計算結果!H301),"",計算結果!H301))</f>
        <v>-2</v>
      </c>
      <c r="I301" s="12" t="str">
        <f>IF(IF(ISNA(計算結果!I301),"",計算結果!I301)=0,"",IF(ISNA(計算結果!I301),"",計算結果!I301))</f>
        <v/>
      </c>
      <c r="J301" s="12" t="str">
        <f>IF(IF(ISNA(計算結果!J301),"",計算結果!J301)=0,"",IF(ISNA(計算結果!J301),"",計算結果!J301))</f>
        <v/>
      </c>
      <c r="K301" s="23" t="str">
        <f>IF(IF(ISNA(計算結果!K301),"",計算結果!K301)=0,"",IF(ISNA(計算結果!K301),"",計算結果!K301))</f>
        <v/>
      </c>
      <c r="L301" s="13" t="str">
        <f>IF(IF(ISNA(計算結果!L301),"",計算結果!L301)=0,"",IF(ISNA(計算結果!L301),"",計算結果!L301))</f>
        <v/>
      </c>
      <c r="M301" s="10" t="str">
        <f>IF(IF(ISNA(計算結果!M301),"",計算結果!M301)=0,"",IF(ISNA(計算結果!M301),"",計算結果!M301))</f>
        <v/>
      </c>
      <c r="N301" s="10" t="str">
        <f>IF(IF(ISNA(計算結果!N301),"",計算結果!N301)=0,"",IF(ISNA(計算結果!N301),"",計算結果!N301))</f>
        <v/>
      </c>
      <c r="O301" s="13" t="str">
        <f>IF(IF(ISNA(計算結果!O301),"",計算結果!O301)=0,"",IF(ISNA(計算結果!O301),"",計算結果!O301))</f>
        <v/>
      </c>
      <c r="P301" s="10" t="str">
        <f>IF(IF(ISNA(計算結果!P301),"",計算結果!P301)=0,"",IF(ISNA(計算結果!P301),"",計算結果!P301))</f>
        <v/>
      </c>
      <c r="Q301" s="10" t="str">
        <f>IF(IF(ISNA(計算結果!Q301),"",計算結果!Q301)=0,"",IF(ISNA(計算結果!Q301),"",計算結果!Q301))</f>
        <v/>
      </c>
      <c r="R301" s="14" t="str">
        <f t="shared" si="12"/>
        <v/>
      </c>
      <c r="S301" s="14" t="str">
        <f t="shared" si="13"/>
        <v>◯</v>
      </c>
      <c r="T301" s="14" t="str">
        <f t="shared" si="14"/>
        <v/>
      </c>
    </row>
    <row r="302" spans="1:20" hidden="1" x14ac:dyDescent="0.45">
      <c r="A302" s="10" t="str">
        <f>IF(IF(ISNA(計算結果!A302),"",計算結果!A302)=0,"",IF(ISNA(計算結果!A302),"",計算結果!A302))</f>
        <v/>
      </c>
      <c r="B302" s="10" t="str">
        <f>IF(IF(ISNA(計算結果!B302),"",計算結果!B302)=0,"",IF(ISNA(計算結果!B302),"",計算結果!B302))</f>
        <v/>
      </c>
      <c r="C302" s="10" t="str">
        <f>IF(IF(ISNA(計算結果!C302),"",計算結果!C302)=0,"",IF(ISNA(計算結果!C302),"",計算結果!C302))</f>
        <v/>
      </c>
      <c r="D302" s="10" t="str">
        <f>IF(IF(ISNA(計算結果!D302),"",計算結果!D302)=0,"",IF(ISNA(計算結果!D302),"",計算結果!D302))</f>
        <v>L</v>
      </c>
      <c r="E302" s="10" t="str">
        <f>IF(IF(ISNA(計算結果!E302),"",計算結果!E302)=0,"",IF(ISNA(計算結果!E302),"",計算結果!E302))</f>
        <v/>
      </c>
      <c r="F302" s="10" t="str">
        <f>IF(IF(ISNA(計算結果!F302),"",計算結果!F302)=0,"",IF(ISNA(計算結果!F302),"",計算結果!F302))</f>
        <v/>
      </c>
      <c r="G302" s="10" t="str">
        <f>IF(IF(ISNA(計算結果!G302),"",計算結果!G302)=0,"",IF(ISNA(計算結果!G302),"",計算結果!G302))</f>
        <v/>
      </c>
      <c r="H302" s="13">
        <f>IF(IF(ISNA(計算結果!H302),"",計算結果!H302)=0,"",IF(ISNA(計算結果!H302),"",計算結果!H302))</f>
        <v>-2</v>
      </c>
      <c r="I302" s="12" t="str">
        <f>IF(IF(ISNA(計算結果!I302),"",計算結果!I302)=0,"",IF(ISNA(計算結果!I302),"",計算結果!I302))</f>
        <v/>
      </c>
      <c r="J302" s="12" t="str">
        <f>IF(IF(ISNA(計算結果!J302),"",計算結果!J302)=0,"",IF(ISNA(計算結果!J302),"",計算結果!J302))</f>
        <v/>
      </c>
      <c r="K302" s="23" t="str">
        <f>IF(IF(ISNA(計算結果!K302),"",計算結果!K302)=0,"",IF(ISNA(計算結果!K302),"",計算結果!K302))</f>
        <v/>
      </c>
      <c r="L302" s="13" t="str">
        <f>IF(IF(ISNA(計算結果!L302),"",計算結果!L302)=0,"",IF(ISNA(計算結果!L302),"",計算結果!L302))</f>
        <v/>
      </c>
      <c r="M302" s="10" t="str">
        <f>IF(IF(ISNA(計算結果!M302),"",計算結果!M302)=0,"",IF(ISNA(計算結果!M302),"",計算結果!M302))</f>
        <v/>
      </c>
      <c r="N302" s="10" t="str">
        <f>IF(IF(ISNA(計算結果!N302),"",計算結果!N302)=0,"",IF(ISNA(計算結果!N302),"",計算結果!N302))</f>
        <v/>
      </c>
      <c r="O302" s="13" t="str">
        <f>IF(IF(ISNA(計算結果!O302),"",計算結果!O302)=0,"",IF(ISNA(計算結果!O302),"",計算結果!O302))</f>
        <v/>
      </c>
      <c r="P302" s="10" t="str">
        <f>IF(IF(ISNA(計算結果!P302),"",計算結果!P302)=0,"",IF(ISNA(計算結果!P302),"",計算結果!P302))</f>
        <v/>
      </c>
      <c r="Q302" s="10" t="str">
        <f>IF(IF(ISNA(計算結果!Q302),"",計算結果!Q302)=0,"",IF(ISNA(計算結果!Q302),"",計算結果!Q302))</f>
        <v/>
      </c>
      <c r="R302" s="14" t="str">
        <f t="shared" si="12"/>
        <v/>
      </c>
      <c r="S302" s="14" t="str">
        <f t="shared" si="13"/>
        <v>◯</v>
      </c>
      <c r="T302" s="14" t="str">
        <f t="shared" si="14"/>
        <v/>
      </c>
    </row>
    <row r="303" spans="1:20" hidden="1" x14ac:dyDescent="0.45">
      <c r="A303" s="10" t="str">
        <f>IF(IF(ISNA(計算結果!A303),"",計算結果!A303)=0,"",IF(ISNA(計算結果!A303),"",計算結果!A303))</f>
        <v/>
      </c>
      <c r="B303" s="10" t="str">
        <f>IF(IF(ISNA(計算結果!B303),"",計算結果!B303)=0,"",IF(ISNA(計算結果!B303),"",計算結果!B303))</f>
        <v/>
      </c>
      <c r="C303" s="10" t="str">
        <f>IF(IF(ISNA(計算結果!C303),"",計算結果!C303)=0,"",IF(ISNA(計算結果!C303),"",計算結果!C303))</f>
        <v/>
      </c>
      <c r="D303" s="10" t="str">
        <f>IF(IF(ISNA(計算結果!D303),"",計算結果!D303)=0,"",IF(ISNA(計算結果!D303),"",計算結果!D303))</f>
        <v>L</v>
      </c>
      <c r="E303" s="10" t="str">
        <f>IF(IF(ISNA(計算結果!E303),"",計算結果!E303)=0,"",IF(ISNA(計算結果!E303),"",計算結果!E303))</f>
        <v/>
      </c>
      <c r="F303" s="10" t="str">
        <f>IF(IF(ISNA(計算結果!F303),"",計算結果!F303)=0,"",IF(ISNA(計算結果!F303),"",計算結果!F303))</f>
        <v/>
      </c>
      <c r="G303" s="10" t="str">
        <f>IF(IF(ISNA(計算結果!G303),"",計算結果!G303)=0,"",IF(ISNA(計算結果!G303),"",計算結果!G303))</f>
        <v/>
      </c>
      <c r="H303" s="13">
        <f>IF(IF(ISNA(計算結果!H303),"",計算結果!H303)=0,"",IF(ISNA(計算結果!H303),"",計算結果!H303))</f>
        <v>-2</v>
      </c>
      <c r="I303" s="12" t="str">
        <f>IF(IF(ISNA(計算結果!I303),"",計算結果!I303)=0,"",IF(ISNA(計算結果!I303),"",計算結果!I303))</f>
        <v/>
      </c>
      <c r="J303" s="12" t="str">
        <f>IF(IF(ISNA(計算結果!J303),"",計算結果!J303)=0,"",IF(ISNA(計算結果!J303),"",計算結果!J303))</f>
        <v/>
      </c>
      <c r="K303" s="23" t="str">
        <f>IF(IF(ISNA(計算結果!K303),"",計算結果!K303)=0,"",IF(ISNA(計算結果!K303),"",計算結果!K303))</f>
        <v/>
      </c>
      <c r="L303" s="13" t="str">
        <f>IF(IF(ISNA(計算結果!L303),"",計算結果!L303)=0,"",IF(ISNA(計算結果!L303),"",計算結果!L303))</f>
        <v/>
      </c>
      <c r="M303" s="10" t="str">
        <f>IF(IF(ISNA(計算結果!M303),"",計算結果!M303)=0,"",IF(ISNA(計算結果!M303),"",計算結果!M303))</f>
        <v/>
      </c>
      <c r="N303" s="10" t="str">
        <f>IF(IF(ISNA(計算結果!N303),"",計算結果!N303)=0,"",IF(ISNA(計算結果!N303),"",計算結果!N303))</f>
        <v/>
      </c>
      <c r="O303" s="13" t="str">
        <f>IF(IF(ISNA(計算結果!O303),"",計算結果!O303)=0,"",IF(ISNA(計算結果!O303),"",計算結果!O303))</f>
        <v/>
      </c>
      <c r="P303" s="10" t="str">
        <f>IF(IF(ISNA(計算結果!P303),"",計算結果!P303)=0,"",IF(ISNA(計算結果!P303),"",計算結果!P303))</f>
        <v/>
      </c>
      <c r="Q303" s="10" t="str">
        <f>IF(IF(ISNA(計算結果!Q303),"",計算結果!Q303)=0,"",IF(ISNA(計算結果!Q303),"",計算結果!Q303))</f>
        <v/>
      </c>
      <c r="R303" s="14" t="str">
        <f t="shared" si="12"/>
        <v/>
      </c>
      <c r="S303" s="14" t="str">
        <f t="shared" si="13"/>
        <v>◯</v>
      </c>
      <c r="T303" s="14" t="str">
        <f t="shared" si="14"/>
        <v/>
      </c>
    </row>
    <row r="304" spans="1:20" hidden="1" x14ac:dyDescent="0.45">
      <c r="A304" s="10" t="str">
        <f>IF(IF(ISNA(計算結果!A304),"",計算結果!A304)=0,"",IF(ISNA(計算結果!A304),"",計算結果!A304))</f>
        <v/>
      </c>
      <c r="B304" s="10" t="str">
        <f>IF(IF(ISNA(計算結果!B304),"",計算結果!B304)=0,"",IF(ISNA(計算結果!B304),"",計算結果!B304))</f>
        <v/>
      </c>
      <c r="C304" s="10" t="str">
        <f>IF(IF(ISNA(計算結果!C304),"",計算結果!C304)=0,"",IF(ISNA(計算結果!C304),"",計算結果!C304))</f>
        <v/>
      </c>
      <c r="D304" s="10" t="str">
        <f>IF(IF(ISNA(計算結果!D304),"",計算結果!D304)=0,"",IF(ISNA(計算結果!D304),"",計算結果!D304))</f>
        <v>L</v>
      </c>
      <c r="E304" s="10" t="str">
        <f>IF(IF(ISNA(計算結果!E304),"",計算結果!E304)=0,"",IF(ISNA(計算結果!E304),"",計算結果!E304))</f>
        <v/>
      </c>
      <c r="F304" s="10" t="str">
        <f>IF(IF(ISNA(計算結果!F304),"",計算結果!F304)=0,"",IF(ISNA(計算結果!F304),"",計算結果!F304))</f>
        <v/>
      </c>
      <c r="G304" s="10" t="str">
        <f>IF(IF(ISNA(計算結果!G304),"",計算結果!G304)=0,"",IF(ISNA(計算結果!G304),"",計算結果!G304))</f>
        <v/>
      </c>
      <c r="H304" s="13">
        <f>IF(IF(ISNA(計算結果!H304),"",計算結果!H304)=0,"",IF(ISNA(計算結果!H304),"",計算結果!H304))</f>
        <v>-2</v>
      </c>
      <c r="I304" s="12" t="str">
        <f>IF(IF(ISNA(計算結果!I304),"",計算結果!I304)=0,"",IF(ISNA(計算結果!I304),"",計算結果!I304))</f>
        <v/>
      </c>
      <c r="J304" s="12" t="str">
        <f>IF(IF(ISNA(計算結果!J304),"",計算結果!J304)=0,"",IF(ISNA(計算結果!J304),"",計算結果!J304))</f>
        <v/>
      </c>
      <c r="K304" s="23" t="str">
        <f>IF(IF(ISNA(計算結果!K304),"",計算結果!K304)=0,"",IF(ISNA(計算結果!K304),"",計算結果!K304))</f>
        <v/>
      </c>
      <c r="L304" s="13" t="str">
        <f>IF(IF(ISNA(計算結果!L304),"",計算結果!L304)=0,"",IF(ISNA(計算結果!L304),"",計算結果!L304))</f>
        <v/>
      </c>
      <c r="M304" s="10" t="str">
        <f>IF(IF(ISNA(計算結果!M304),"",計算結果!M304)=0,"",IF(ISNA(計算結果!M304),"",計算結果!M304))</f>
        <v/>
      </c>
      <c r="N304" s="10" t="str">
        <f>IF(IF(ISNA(計算結果!N304),"",計算結果!N304)=0,"",IF(ISNA(計算結果!N304),"",計算結果!N304))</f>
        <v/>
      </c>
      <c r="O304" s="13" t="str">
        <f>IF(IF(ISNA(計算結果!O304),"",計算結果!O304)=0,"",IF(ISNA(計算結果!O304),"",計算結果!O304))</f>
        <v/>
      </c>
      <c r="P304" s="10" t="str">
        <f>IF(IF(ISNA(計算結果!P304),"",計算結果!P304)=0,"",IF(ISNA(計算結果!P304),"",計算結果!P304))</f>
        <v/>
      </c>
      <c r="Q304" s="10" t="str">
        <f>IF(IF(ISNA(計算結果!Q304),"",計算結果!Q304)=0,"",IF(ISNA(計算結果!Q304),"",計算結果!Q304))</f>
        <v/>
      </c>
      <c r="R304" s="14" t="str">
        <f t="shared" si="12"/>
        <v/>
      </c>
      <c r="S304" s="14" t="str">
        <f t="shared" si="13"/>
        <v>◯</v>
      </c>
      <c r="T304" s="14" t="str">
        <f t="shared" si="14"/>
        <v/>
      </c>
    </row>
    <row r="305" spans="1:20" hidden="1" x14ac:dyDescent="0.45">
      <c r="A305" s="10" t="str">
        <f>IF(IF(ISNA(計算結果!A305),"",計算結果!A305)=0,"",IF(ISNA(計算結果!A305),"",計算結果!A305))</f>
        <v/>
      </c>
      <c r="B305" s="10" t="str">
        <f>IF(IF(ISNA(計算結果!B305),"",計算結果!B305)=0,"",IF(ISNA(計算結果!B305),"",計算結果!B305))</f>
        <v/>
      </c>
      <c r="C305" s="10" t="str">
        <f>IF(IF(ISNA(計算結果!C305),"",計算結果!C305)=0,"",IF(ISNA(計算結果!C305),"",計算結果!C305))</f>
        <v/>
      </c>
      <c r="D305" s="10" t="str">
        <f>IF(IF(ISNA(計算結果!D305),"",計算結果!D305)=0,"",IF(ISNA(計算結果!D305),"",計算結果!D305))</f>
        <v>L</v>
      </c>
      <c r="E305" s="10" t="str">
        <f>IF(IF(ISNA(計算結果!E305),"",計算結果!E305)=0,"",IF(ISNA(計算結果!E305),"",計算結果!E305))</f>
        <v/>
      </c>
      <c r="F305" s="10" t="str">
        <f>IF(IF(ISNA(計算結果!F305),"",計算結果!F305)=0,"",IF(ISNA(計算結果!F305),"",計算結果!F305))</f>
        <v/>
      </c>
      <c r="G305" s="10" t="str">
        <f>IF(IF(ISNA(計算結果!G305),"",計算結果!G305)=0,"",IF(ISNA(計算結果!G305),"",計算結果!G305))</f>
        <v/>
      </c>
      <c r="H305" s="13">
        <f>IF(IF(ISNA(計算結果!H305),"",計算結果!H305)=0,"",IF(ISNA(計算結果!H305),"",計算結果!H305))</f>
        <v>-2</v>
      </c>
      <c r="I305" s="12" t="str">
        <f>IF(IF(ISNA(計算結果!I305),"",計算結果!I305)=0,"",IF(ISNA(計算結果!I305),"",計算結果!I305))</f>
        <v/>
      </c>
      <c r="J305" s="12" t="str">
        <f>IF(IF(ISNA(計算結果!J305),"",計算結果!J305)=0,"",IF(ISNA(計算結果!J305),"",計算結果!J305))</f>
        <v/>
      </c>
      <c r="K305" s="23" t="str">
        <f>IF(IF(ISNA(計算結果!K305),"",計算結果!K305)=0,"",IF(ISNA(計算結果!K305),"",計算結果!K305))</f>
        <v/>
      </c>
      <c r="L305" s="13" t="str">
        <f>IF(IF(ISNA(計算結果!L305),"",計算結果!L305)=0,"",IF(ISNA(計算結果!L305),"",計算結果!L305))</f>
        <v/>
      </c>
      <c r="M305" s="10" t="str">
        <f>IF(IF(ISNA(計算結果!M305),"",計算結果!M305)=0,"",IF(ISNA(計算結果!M305),"",計算結果!M305))</f>
        <v/>
      </c>
      <c r="N305" s="10" t="str">
        <f>IF(IF(ISNA(計算結果!N305),"",計算結果!N305)=0,"",IF(ISNA(計算結果!N305),"",計算結果!N305))</f>
        <v/>
      </c>
      <c r="O305" s="13" t="str">
        <f>IF(IF(ISNA(計算結果!O305),"",計算結果!O305)=0,"",IF(ISNA(計算結果!O305),"",計算結果!O305))</f>
        <v/>
      </c>
      <c r="P305" s="10" t="str">
        <f>IF(IF(ISNA(計算結果!P305),"",計算結果!P305)=0,"",IF(ISNA(計算結果!P305),"",計算結果!P305))</f>
        <v/>
      </c>
      <c r="Q305" s="10" t="str">
        <f>IF(IF(ISNA(計算結果!Q305),"",計算結果!Q305)=0,"",IF(ISNA(計算結果!Q305),"",計算結果!Q305))</f>
        <v/>
      </c>
      <c r="R305" s="14" t="str">
        <f t="shared" si="12"/>
        <v/>
      </c>
      <c r="S305" s="14" t="str">
        <f t="shared" si="13"/>
        <v>◯</v>
      </c>
      <c r="T305" s="14" t="str">
        <f t="shared" si="14"/>
        <v/>
      </c>
    </row>
    <row r="306" spans="1:20" hidden="1" x14ac:dyDescent="0.45">
      <c r="A306" s="10" t="str">
        <f>IF(IF(ISNA(計算結果!A306),"",計算結果!A306)=0,"",IF(ISNA(計算結果!A306),"",計算結果!A306))</f>
        <v/>
      </c>
      <c r="B306" s="10" t="str">
        <f>IF(IF(ISNA(計算結果!B306),"",計算結果!B306)=0,"",IF(ISNA(計算結果!B306),"",計算結果!B306))</f>
        <v/>
      </c>
      <c r="C306" s="10" t="str">
        <f>IF(IF(ISNA(計算結果!C306),"",計算結果!C306)=0,"",IF(ISNA(計算結果!C306),"",計算結果!C306))</f>
        <v/>
      </c>
      <c r="D306" s="10" t="str">
        <f>IF(IF(ISNA(計算結果!D306),"",計算結果!D306)=0,"",IF(ISNA(計算結果!D306),"",計算結果!D306))</f>
        <v>L</v>
      </c>
      <c r="E306" s="10" t="str">
        <f>IF(IF(ISNA(計算結果!E306),"",計算結果!E306)=0,"",IF(ISNA(計算結果!E306),"",計算結果!E306))</f>
        <v/>
      </c>
      <c r="F306" s="10" t="str">
        <f>IF(IF(ISNA(計算結果!F306),"",計算結果!F306)=0,"",IF(ISNA(計算結果!F306),"",計算結果!F306))</f>
        <v/>
      </c>
      <c r="G306" s="10" t="str">
        <f>IF(IF(ISNA(計算結果!G306),"",計算結果!G306)=0,"",IF(ISNA(計算結果!G306),"",計算結果!G306))</f>
        <v/>
      </c>
      <c r="H306" s="13">
        <f>IF(IF(ISNA(計算結果!H306),"",計算結果!H306)=0,"",IF(ISNA(計算結果!H306),"",計算結果!H306))</f>
        <v>-2</v>
      </c>
      <c r="I306" s="12" t="str">
        <f>IF(IF(ISNA(計算結果!I306),"",計算結果!I306)=0,"",IF(ISNA(計算結果!I306),"",計算結果!I306))</f>
        <v/>
      </c>
      <c r="J306" s="12" t="str">
        <f>IF(IF(ISNA(計算結果!J306),"",計算結果!J306)=0,"",IF(ISNA(計算結果!J306),"",計算結果!J306))</f>
        <v/>
      </c>
      <c r="K306" s="23" t="str">
        <f>IF(IF(ISNA(計算結果!K306),"",計算結果!K306)=0,"",IF(ISNA(計算結果!K306),"",計算結果!K306))</f>
        <v/>
      </c>
      <c r="L306" s="13" t="str">
        <f>IF(IF(ISNA(計算結果!L306),"",計算結果!L306)=0,"",IF(ISNA(計算結果!L306),"",計算結果!L306))</f>
        <v/>
      </c>
      <c r="M306" s="10" t="str">
        <f>IF(IF(ISNA(計算結果!M306),"",計算結果!M306)=0,"",IF(ISNA(計算結果!M306),"",計算結果!M306))</f>
        <v/>
      </c>
      <c r="N306" s="10" t="str">
        <f>IF(IF(ISNA(計算結果!N306),"",計算結果!N306)=0,"",IF(ISNA(計算結果!N306),"",計算結果!N306))</f>
        <v/>
      </c>
      <c r="O306" s="13" t="str">
        <f>IF(IF(ISNA(計算結果!O306),"",計算結果!O306)=0,"",IF(ISNA(計算結果!O306),"",計算結果!O306))</f>
        <v/>
      </c>
      <c r="P306" s="10" t="str">
        <f>IF(IF(ISNA(計算結果!P306),"",計算結果!P306)=0,"",IF(ISNA(計算結果!P306),"",計算結果!P306))</f>
        <v/>
      </c>
      <c r="Q306" s="10" t="str">
        <f>IF(IF(ISNA(計算結果!Q306),"",計算結果!Q306)=0,"",IF(ISNA(計算結果!Q306),"",計算結果!Q306))</f>
        <v/>
      </c>
      <c r="R306" s="14" t="str">
        <f t="shared" si="12"/>
        <v/>
      </c>
      <c r="S306" s="14" t="str">
        <f t="shared" si="13"/>
        <v>◯</v>
      </c>
      <c r="T306" s="14" t="str">
        <f t="shared" si="14"/>
        <v/>
      </c>
    </row>
    <row r="307" spans="1:20" hidden="1" x14ac:dyDescent="0.45">
      <c r="A307" s="10" t="str">
        <f>IF(IF(ISNA(計算結果!A307),"",計算結果!A307)=0,"",IF(ISNA(計算結果!A307),"",計算結果!A307))</f>
        <v/>
      </c>
      <c r="B307" s="10" t="str">
        <f>IF(IF(ISNA(計算結果!B307),"",計算結果!B307)=0,"",IF(ISNA(計算結果!B307),"",計算結果!B307))</f>
        <v/>
      </c>
      <c r="C307" s="10" t="str">
        <f>IF(IF(ISNA(計算結果!C307),"",計算結果!C307)=0,"",IF(ISNA(計算結果!C307),"",計算結果!C307))</f>
        <v/>
      </c>
      <c r="D307" s="10" t="str">
        <f>IF(IF(ISNA(計算結果!D307),"",計算結果!D307)=0,"",IF(ISNA(計算結果!D307),"",計算結果!D307))</f>
        <v>L</v>
      </c>
      <c r="E307" s="10" t="str">
        <f>IF(IF(ISNA(計算結果!E307),"",計算結果!E307)=0,"",IF(ISNA(計算結果!E307),"",計算結果!E307))</f>
        <v/>
      </c>
      <c r="F307" s="10" t="str">
        <f>IF(IF(ISNA(計算結果!F307),"",計算結果!F307)=0,"",IF(ISNA(計算結果!F307),"",計算結果!F307))</f>
        <v/>
      </c>
      <c r="G307" s="10" t="str">
        <f>IF(IF(ISNA(計算結果!G307),"",計算結果!G307)=0,"",IF(ISNA(計算結果!G307),"",計算結果!G307))</f>
        <v/>
      </c>
      <c r="H307" s="13">
        <f>IF(IF(ISNA(計算結果!H307),"",計算結果!H307)=0,"",IF(ISNA(計算結果!H307),"",計算結果!H307))</f>
        <v>-2</v>
      </c>
      <c r="I307" s="12" t="str">
        <f>IF(IF(ISNA(計算結果!I307),"",計算結果!I307)=0,"",IF(ISNA(計算結果!I307),"",計算結果!I307))</f>
        <v/>
      </c>
      <c r="J307" s="12" t="str">
        <f>IF(IF(ISNA(計算結果!J307),"",計算結果!J307)=0,"",IF(ISNA(計算結果!J307),"",計算結果!J307))</f>
        <v/>
      </c>
      <c r="K307" s="23" t="str">
        <f>IF(IF(ISNA(計算結果!K307),"",計算結果!K307)=0,"",IF(ISNA(計算結果!K307),"",計算結果!K307))</f>
        <v/>
      </c>
      <c r="L307" s="13" t="str">
        <f>IF(IF(ISNA(計算結果!L307),"",計算結果!L307)=0,"",IF(ISNA(計算結果!L307),"",計算結果!L307))</f>
        <v/>
      </c>
      <c r="M307" s="10" t="str">
        <f>IF(IF(ISNA(計算結果!M307),"",計算結果!M307)=0,"",IF(ISNA(計算結果!M307),"",計算結果!M307))</f>
        <v/>
      </c>
      <c r="N307" s="10" t="str">
        <f>IF(IF(ISNA(計算結果!N307),"",計算結果!N307)=0,"",IF(ISNA(計算結果!N307),"",計算結果!N307))</f>
        <v/>
      </c>
      <c r="O307" s="13" t="str">
        <f>IF(IF(ISNA(計算結果!O307),"",計算結果!O307)=0,"",IF(ISNA(計算結果!O307),"",計算結果!O307))</f>
        <v/>
      </c>
      <c r="P307" s="10" t="str">
        <f>IF(IF(ISNA(計算結果!P307),"",計算結果!P307)=0,"",IF(ISNA(計算結果!P307),"",計算結果!P307))</f>
        <v/>
      </c>
      <c r="Q307" s="10" t="str">
        <f>IF(IF(ISNA(計算結果!Q307),"",計算結果!Q307)=0,"",IF(ISNA(計算結果!Q307),"",計算結果!Q307))</f>
        <v/>
      </c>
      <c r="R307" s="14" t="str">
        <f t="shared" si="12"/>
        <v/>
      </c>
      <c r="S307" s="14" t="str">
        <f t="shared" si="13"/>
        <v>◯</v>
      </c>
      <c r="T307" s="14" t="str">
        <f t="shared" si="14"/>
        <v/>
      </c>
    </row>
    <row r="308" spans="1:20" hidden="1" x14ac:dyDescent="0.45">
      <c r="A308" s="10" t="str">
        <f>IF(IF(ISNA(計算結果!A308),"",計算結果!A308)=0,"",IF(ISNA(計算結果!A308),"",計算結果!A308))</f>
        <v/>
      </c>
      <c r="B308" s="10" t="str">
        <f>IF(IF(ISNA(計算結果!B308),"",計算結果!B308)=0,"",IF(ISNA(計算結果!B308),"",計算結果!B308))</f>
        <v/>
      </c>
      <c r="C308" s="10" t="str">
        <f>IF(IF(ISNA(計算結果!C308),"",計算結果!C308)=0,"",IF(ISNA(計算結果!C308),"",計算結果!C308))</f>
        <v/>
      </c>
      <c r="D308" s="10" t="str">
        <f>IF(IF(ISNA(計算結果!D308),"",計算結果!D308)=0,"",IF(ISNA(計算結果!D308),"",計算結果!D308))</f>
        <v>L</v>
      </c>
      <c r="E308" s="10" t="str">
        <f>IF(IF(ISNA(計算結果!E308),"",計算結果!E308)=0,"",IF(ISNA(計算結果!E308),"",計算結果!E308))</f>
        <v/>
      </c>
      <c r="F308" s="10" t="str">
        <f>IF(IF(ISNA(計算結果!F308),"",計算結果!F308)=0,"",IF(ISNA(計算結果!F308),"",計算結果!F308))</f>
        <v/>
      </c>
      <c r="G308" s="10" t="str">
        <f>IF(IF(ISNA(計算結果!G308),"",計算結果!G308)=0,"",IF(ISNA(計算結果!G308),"",計算結果!G308))</f>
        <v/>
      </c>
      <c r="H308" s="13">
        <f>IF(IF(ISNA(計算結果!H308),"",計算結果!H308)=0,"",IF(ISNA(計算結果!H308),"",計算結果!H308))</f>
        <v>-2</v>
      </c>
      <c r="I308" s="12" t="str">
        <f>IF(IF(ISNA(計算結果!I308),"",計算結果!I308)=0,"",IF(ISNA(計算結果!I308),"",計算結果!I308))</f>
        <v/>
      </c>
      <c r="J308" s="12" t="str">
        <f>IF(IF(ISNA(計算結果!J308),"",計算結果!J308)=0,"",IF(ISNA(計算結果!J308),"",計算結果!J308))</f>
        <v/>
      </c>
      <c r="K308" s="23" t="str">
        <f>IF(IF(ISNA(計算結果!K308),"",計算結果!K308)=0,"",IF(ISNA(計算結果!K308),"",計算結果!K308))</f>
        <v/>
      </c>
      <c r="L308" s="13" t="str">
        <f>IF(IF(ISNA(計算結果!L308),"",計算結果!L308)=0,"",IF(ISNA(計算結果!L308),"",計算結果!L308))</f>
        <v/>
      </c>
      <c r="M308" s="10" t="str">
        <f>IF(IF(ISNA(計算結果!M308),"",計算結果!M308)=0,"",IF(ISNA(計算結果!M308),"",計算結果!M308))</f>
        <v/>
      </c>
      <c r="N308" s="10" t="str">
        <f>IF(IF(ISNA(計算結果!N308),"",計算結果!N308)=0,"",IF(ISNA(計算結果!N308),"",計算結果!N308))</f>
        <v/>
      </c>
      <c r="O308" s="13" t="str">
        <f>IF(IF(ISNA(計算結果!O308),"",計算結果!O308)=0,"",IF(ISNA(計算結果!O308),"",計算結果!O308))</f>
        <v/>
      </c>
      <c r="P308" s="10" t="str">
        <f>IF(IF(ISNA(計算結果!P308),"",計算結果!P308)=0,"",IF(ISNA(計算結果!P308),"",計算結果!P308))</f>
        <v/>
      </c>
      <c r="Q308" s="10" t="str">
        <f>IF(IF(ISNA(計算結果!Q308),"",計算結果!Q308)=0,"",IF(ISNA(計算結果!Q308),"",計算結果!Q308))</f>
        <v/>
      </c>
      <c r="R308" s="14" t="str">
        <f t="shared" si="12"/>
        <v/>
      </c>
      <c r="S308" s="14" t="str">
        <f t="shared" si="13"/>
        <v>◯</v>
      </c>
      <c r="T308" s="14" t="str">
        <f t="shared" si="14"/>
        <v/>
      </c>
    </row>
    <row r="309" spans="1:20" hidden="1" x14ac:dyDescent="0.45">
      <c r="A309" s="10" t="str">
        <f>IF(IF(ISNA(計算結果!A309),"",計算結果!A309)=0,"",IF(ISNA(計算結果!A309),"",計算結果!A309))</f>
        <v/>
      </c>
      <c r="B309" s="10" t="str">
        <f>IF(IF(ISNA(計算結果!B309),"",計算結果!B309)=0,"",IF(ISNA(計算結果!B309),"",計算結果!B309))</f>
        <v/>
      </c>
      <c r="C309" s="10" t="str">
        <f>IF(IF(ISNA(計算結果!C309),"",計算結果!C309)=0,"",IF(ISNA(計算結果!C309),"",計算結果!C309))</f>
        <v/>
      </c>
      <c r="D309" s="10" t="str">
        <f>IF(IF(ISNA(計算結果!D309),"",計算結果!D309)=0,"",IF(ISNA(計算結果!D309),"",計算結果!D309))</f>
        <v>L</v>
      </c>
      <c r="E309" s="10" t="str">
        <f>IF(IF(ISNA(計算結果!E309),"",計算結果!E309)=0,"",IF(ISNA(計算結果!E309),"",計算結果!E309))</f>
        <v/>
      </c>
      <c r="F309" s="10" t="str">
        <f>IF(IF(ISNA(計算結果!F309),"",計算結果!F309)=0,"",IF(ISNA(計算結果!F309),"",計算結果!F309))</f>
        <v/>
      </c>
      <c r="G309" s="10" t="str">
        <f>IF(IF(ISNA(計算結果!G309),"",計算結果!G309)=0,"",IF(ISNA(計算結果!G309),"",計算結果!G309))</f>
        <v/>
      </c>
      <c r="H309" s="13">
        <f>IF(IF(ISNA(計算結果!H309),"",計算結果!H309)=0,"",IF(ISNA(計算結果!H309),"",計算結果!H309))</f>
        <v>-2</v>
      </c>
      <c r="I309" s="12" t="str">
        <f>IF(IF(ISNA(計算結果!I309),"",計算結果!I309)=0,"",IF(ISNA(計算結果!I309),"",計算結果!I309))</f>
        <v/>
      </c>
      <c r="J309" s="12" t="str">
        <f>IF(IF(ISNA(計算結果!J309),"",計算結果!J309)=0,"",IF(ISNA(計算結果!J309),"",計算結果!J309))</f>
        <v/>
      </c>
      <c r="K309" s="23" t="str">
        <f>IF(IF(ISNA(計算結果!K309),"",計算結果!K309)=0,"",IF(ISNA(計算結果!K309),"",計算結果!K309))</f>
        <v/>
      </c>
      <c r="L309" s="13" t="str">
        <f>IF(IF(ISNA(計算結果!L309),"",計算結果!L309)=0,"",IF(ISNA(計算結果!L309),"",計算結果!L309))</f>
        <v/>
      </c>
      <c r="M309" s="10" t="str">
        <f>IF(IF(ISNA(計算結果!M309),"",計算結果!M309)=0,"",IF(ISNA(計算結果!M309),"",計算結果!M309))</f>
        <v/>
      </c>
      <c r="N309" s="10" t="str">
        <f>IF(IF(ISNA(計算結果!N309),"",計算結果!N309)=0,"",IF(ISNA(計算結果!N309),"",計算結果!N309))</f>
        <v/>
      </c>
      <c r="O309" s="13" t="str">
        <f>IF(IF(ISNA(計算結果!O309),"",計算結果!O309)=0,"",IF(ISNA(計算結果!O309),"",計算結果!O309))</f>
        <v/>
      </c>
      <c r="P309" s="10" t="str">
        <f>IF(IF(ISNA(計算結果!P309),"",計算結果!P309)=0,"",IF(ISNA(計算結果!P309),"",計算結果!P309))</f>
        <v/>
      </c>
      <c r="Q309" s="10" t="str">
        <f>IF(IF(ISNA(計算結果!Q309),"",計算結果!Q309)=0,"",IF(ISNA(計算結果!Q309),"",計算結果!Q309))</f>
        <v/>
      </c>
      <c r="R309" s="14" t="str">
        <f t="shared" si="12"/>
        <v/>
      </c>
      <c r="S309" s="14" t="str">
        <f t="shared" si="13"/>
        <v>◯</v>
      </c>
      <c r="T309" s="14" t="str">
        <f t="shared" si="14"/>
        <v/>
      </c>
    </row>
    <row r="310" spans="1:20" hidden="1" x14ac:dyDescent="0.45">
      <c r="A310" s="10" t="str">
        <f>IF(IF(ISNA(計算結果!A310),"",計算結果!A310)=0,"",IF(ISNA(計算結果!A310),"",計算結果!A310))</f>
        <v/>
      </c>
      <c r="B310" s="10" t="str">
        <f>IF(IF(ISNA(計算結果!B310),"",計算結果!B310)=0,"",IF(ISNA(計算結果!B310),"",計算結果!B310))</f>
        <v/>
      </c>
      <c r="C310" s="10" t="str">
        <f>IF(IF(ISNA(計算結果!C310),"",計算結果!C310)=0,"",IF(ISNA(計算結果!C310),"",計算結果!C310))</f>
        <v/>
      </c>
      <c r="D310" s="10" t="str">
        <f>IF(IF(ISNA(計算結果!D310),"",計算結果!D310)=0,"",IF(ISNA(計算結果!D310),"",計算結果!D310))</f>
        <v>L</v>
      </c>
      <c r="E310" s="10" t="str">
        <f>IF(IF(ISNA(計算結果!E310),"",計算結果!E310)=0,"",IF(ISNA(計算結果!E310),"",計算結果!E310))</f>
        <v/>
      </c>
      <c r="F310" s="10" t="str">
        <f>IF(IF(ISNA(計算結果!F310),"",計算結果!F310)=0,"",IF(ISNA(計算結果!F310),"",計算結果!F310))</f>
        <v/>
      </c>
      <c r="G310" s="10" t="str">
        <f>IF(IF(ISNA(計算結果!G310),"",計算結果!G310)=0,"",IF(ISNA(計算結果!G310),"",計算結果!G310))</f>
        <v/>
      </c>
      <c r="H310" s="13">
        <f>IF(IF(ISNA(計算結果!H310),"",計算結果!H310)=0,"",IF(ISNA(計算結果!H310),"",計算結果!H310))</f>
        <v>-2</v>
      </c>
      <c r="I310" s="12" t="str">
        <f>IF(IF(ISNA(計算結果!I310),"",計算結果!I310)=0,"",IF(ISNA(計算結果!I310),"",計算結果!I310))</f>
        <v/>
      </c>
      <c r="J310" s="12" t="str">
        <f>IF(IF(ISNA(計算結果!J310),"",計算結果!J310)=0,"",IF(ISNA(計算結果!J310),"",計算結果!J310))</f>
        <v/>
      </c>
      <c r="K310" s="23" t="str">
        <f>IF(IF(ISNA(計算結果!K310),"",計算結果!K310)=0,"",IF(ISNA(計算結果!K310),"",計算結果!K310))</f>
        <v/>
      </c>
      <c r="L310" s="13" t="str">
        <f>IF(IF(ISNA(計算結果!L310),"",計算結果!L310)=0,"",IF(ISNA(計算結果!L310),"",計算結果!L310))</f>
        <v/>
      </c>
      <c r="M310" s="10" t="str">
        <f>IF(IF(ISNA(計算結果!M310),"",計算結果!M310)=0,"",IF(ISNA(計算結果!M310),"",計算結果!M310))</f>
        <v/>
      </c>
      <c r="N310" s="10" t="str">
        <f>IF(IF(ISNA(計算結果!N310),"",計算結果!N310)=0,"",IF(ISNA(計算結果!N310),"",計算結果!N310))</f>
        <v/>
      </c>
      <c r="O310" s="13" t="str">
        <f>IF(IF(ISNA(計算結果!O310),"",計算結果!O310)=0,"",IF(ISNA(計算結果!O310),"",計算結果!O310))</f>
        <v/>
      </c>
      <c r="P310" s="10" t="str">
        <f>IF(IF(ISNA(計算結果!P310),"",計算結果!P310)=0,"",IF(ISNA(計算結果!P310),"",計算結果!P310))</f>
        <v/>
      </c>
      <c r="Q310" s="10" t="str">
        <f>IF(IF(ISNA(計算結果!Q310),"",計算結果!Q310)=0,"",IF(ISNA(計算結果!Q310),"",計算結果!Q310))</f>
        <v/>
      </c>
      <c r="R310" s="14" t="str">
        <f t="shared" si="12"/>
        <v/>
      </c>
      <c r="S310" s="14" t="str">
        <f t="shared" si="13"/>
        <v>◯</v>
      </c>
      <c r="T310" s="14" t="str">
        <f t="shared" si="14"/>
        <v/>
      </c>
    </row>
    <row r="311" spans="1:20" hidden="1" x14ac:dyDescent="0.45">
      <c r="A311" s="10" t="str">
        <f>IF(IF(ISNA(計算結果!A311),"",計算結果!A311)=0,"",IF(ISNA(計算結果!A311),"",計算結果!A311))</f>
        <v/>
      </c>
      <c r="B311" s="10" t="str">
        <f>IF(IF(ISNA(計算結果!B311),"",計算結果!B311)=0,"",IF(ISNA(計算結果!B311),"",計算結果!B311))</f>
        <v/>
      </c>
      <c r="C311" s="10" t="str">
        <f>IF(IF(ISNA(計算結果!C311),"",計算結果!C311)=0,"",IF(ISNA(計算結果!C311),"",計算結果!C311))</f>
        <v/>
      </c>
      <c r="D311" s="10" t="str">
        <f>IF(IF(ISNA(計算結果!D311),"",計算結果!D311)=0,"",IF(ISNA(計算結果!D311),"",計算結果!D311))</f>
        <v>L</v>
      </c>
      <c r="E311" s="10" t="str">
        <f>IF(IF(ISNA(計算結果!E311),"",計算結果!E311)=0,"",IF(ISNA(計算結果!E311),"",計算結果!E311))</f>
        <v/>
      </c>
      <c r="F311" s="10" t="str">
        <f>IF(IF(ISNA(計算結果!F311),"",計算結果!F311)=0,"",IF(ISNA(計算結果!F311),"",計算結果!F311))</f>
        <v/>
      </c>
      <c r="G311" s="10" t="str">
        <f>IF(IF(ISNA(計算結果!G311),"",計算結果!G311)=0,"",IF(ISNA(計算結果!G311),"",計算結果!G311))</f>
        <v/>
      </c>
      <c r="H311" s="13">
        <f>IF(IF(ISNA(計算結果!H311),"",計算結果!H311)=0,"",IF(ISNA(計算結果!H311),"",計算結果!H311))</f>
        <v>-2</v>
      </c>
      <c r="I311" s="12" t="str">
        <f>IF(IF(ISNA(計算結果!I311),"",計算結果!I311)=0,"",IF(ISNA(計算結果!I311),"",計算結果!I311))</f>
        <v/>
      </c>
      <c r="J311" s="12" t="str">
        <f>IF(IF(ISNA(計算結果!J311),"",計算結果!J311)=0,"",IF(ISNA(計算結果!J311),"",計算結果!J311))</f>
        <v/>
      </c>
      <c r="K311" s="23" t="str">
        <f>IF(IF(ISNA(計算結果!K311),"",計算結果!K311)=0,"",IF(ISNA(計算結果!K311),"",計算結果!K311))</f>
        <v/>
      </c>
      <c r="L311" s="13" t="str">
        <f>IF(IF(ISNA(計算結果!L311),"",計算結果!L311)=0,"",IF(ISNA(計算結果!L311),"",計算結果!L311))</f>
        <v/>
      </c>
      <c r="M311" s="10" t="str">
        <f>IF(IF(ISNA(計算結果!M311),"",計算結果!M311)=0,"",IF(ISNA(計算結果!M311),"",計算結果!M311))</f>
        <v/>
      </c>
      <c r="N311" s="10" t="str">
        <f>IF(IF(ISNA(計算結果!N311),"",計算結果!N311)=0,"",IF(ISNA(計算結果!N311),"",計算結果!N311))</f>
        <v/>
      </c>
      <c r="O311" s="13" t="str">
        <f>IF(IF(ISNA(計算結果!O311),"",計算結果!O311)=0,"",IF(ISNA(計算結果!O311),"",計算結果!O311))</f>
        <v/>
      </c>
      <c r="P311" s="10" t="str">
        <f>IF(IF(ISNA(計算結果!P311),"",計算結果!P311)=0,"",IF(ISNA(計算結果!P311),"",計算結果!P311))</f>
        <v/>
      </c>
      <c r="Q311" s="10" t="str">
        <f>IF(IF(ISNA(計算結果!Q311),"",計算結果!Q311)=0,"",IF(ISNA(計算結果!Q311),"",計算結果!Q311))</f>
        <v/>
      </c>
      <c r="R311" s="14" t="str">
        <f t="shared" si="12"/>
        <v/>
      </c>
      <c r="S311" s="14" t="str">
        <f t="shared" si="13"/>
        <v>◯</v>
      </c>
      <c r="T311" s="14" t="str">
        <f t="shared" si="14"/>
        <v/>
      </c>
    </row>
    <row r="312" spans="1:20" hidden="1" x14ac:dyDescent="0.45">
      <c r="A312" s="10" t="str">
        <f>IF(IF(ISNA(計算結果!A312),"",計算結果!A312)=0,"",IF(ISNA(計算結果!A312),"",計算結果!A312))</f>
        <v/>
      </c>
      <c r="B312" s="10" t="str">
        <f>IF(IF(ISNA(計算結果!B312),"",計算結果!B312)=0,"",IF(ISNA(計算結果!B312),"",計算結果!B312))</f>
        <v/>
      </c>
      <c r="C312" s="10" t="str">
        <f>IF(IF(ISNA(計算結果!C312),"",計算結果!C312)=0,"",IF(ISNA(計算結果!C312),"",計算結果!C312))</f>
        <v/>
      </c>
      <c r="D312" s="10" t="str">
        <f>IF(IF(ISNA(計算結果!D312),"",計算結果!D312)=0,"",IF(ISNA(計算結果!D312),"",計算結果!D312))</f>
        <v>L</v>
      </c>
      <c r="E312" s="10" t="str">
        <f>IF(IF(ISNA(計算結果!E312),"",計算結果!E312)=0,"",IF(ISNA(計算結果!E312),"",計算結果!E312))</f>
        <v/>
      </c>
      <c r="F312" s="10" t="str">
        <f>IF(IF(ISNA(計算結果!F312),"",計算結果!F312)=0,"",IF(ISNA(計算結果!F312),"",計算結果!F312))</f>
        <v/>
      </c>
      <c r="G312" s="10" t="str">
        <f>IF(IF(ISNA(計算結果!G312),"",計算結果!G312)=0,"",IF(ISNA(計算結果!G312),"",計算結果!G312))</f>
        <v/>
      </c>
      <c r="H312" s="13">
        <f>IF(IF(ISNA(計算結果!H312),"",計算結果!H312)=0,"",IF(ISNA(計算結果!H312),"",計算結果!H312))</f>
        <v>-2</v>
      </c>
      <c r="I312" s="12" t="str">
        <f>IF(IF(ISNA(計算結果!I312),"",計算結果!I312)=0,"",IF(ISNA(計算結果!I312),"",計算結果!I312))</f>
        <v/>
      </c>
      <c r="J312" s="12" t="str">
        <f>IF(IF(ISNA(計算結果!J312),"",計算結果!J312)=0,"",IF(ISNA(計算結果!J312),"",計算結果!J312))</f>
        <v/>
      </c>
      <c r="K312" s="23" t="str">
        <f>IF(IF(ISNA(計算結果!K312),"",計算結果!K312)=0,"",IF(ISNA(計算結果!K312),"",計算結果!K312))</f>
        <v/>
      </c>
      <c r="L312" s="13" t="str">
        <f>IF(IF(ISNA(計算結果!L312),"",計算結果!L312)=0,"",IF(ISNA(計算結果!L312),"",計算結果!L312))</f>
        <v/>
      </c>
      <c r="M312" s="10" t="str">
        <f>IF(IF(ISNA(計算結果!M312),"",計算結果!M312)=0,"",IF(ISNA(計算結果!M312),"",計算結果!M312))</f>
        <v/>
      </c>
      <c r="N312" s="10" t="str">
        <f>IF(IF(ISNA(計算結果!N312),"",計算結果!N312)=0,"",IF(ISNA(計算結果!N312),"",計算結果!N312))</f>
        <v/>
      </c>
      <c r="O312" s="13" t="str">
        <f>IF(IF(ISNA(計算結果!O312),"",計算結果!O312)=0,"",IF(ISNA(計算結果!O312),"",計算結果!O312))</f>
        <v/>
      </c>
      <c r="P312" s="10" t="str">
        <f>IF(IF(ISNA(計算結果!P312),"",計算結果!P312)=0,"",IF(ISNA(計算結果!P312),"",計算結果!P312))</f>
        <v/>
      </c>
      <c r="Q312" s="10" t="str">
        <f>IF(IF(ISNA(計算結果!Q312),"",計算結果!Q312)=0,"",IF(ISNA(計算結果!Q312),"",計算結果!Q312))</f>
        <v/>
      </c>
      <c r="R312" s="14" t="str">
        <f t="shared" si="12"/>
        <v/>
      </c>
      <c r="S312" s="14" t="str">
        <f t="shared" si="13"/>
        <v>◯</v>
      </c>
      <c r="T312" s="14" t="str">
        <f t="shared" si="14"/>
        <v/>
      </c>
    </row>
    <row r="313" spans="1:20" hidden="1" x14ac:dyDescent="0.45">
      <c r="A313" s="10" t="str">
        <f>IF(IF(ISNA(計算結果!A313),"",計算結果!A313)=0,"",IF(ISNA(計算結果!A313),"",計算結果!A313))</f>
        <v/>
      </c>
      <c r="B313" s="10" t="str">
        <f>IF(IF(ISNA(計算結果!B313),"",計算結果!B313)=0,"",IF(ISNA(計算結果!B313),"",計算結果!B313))</f>
        <v/>
      </c>
      <c r="C313" s="10" t="str">
        <f>IF(IF(ISNA(計算結果!C313),"",計算結果!C313)=0,"",IF(ISNA(計算結果!C313),"",計算結果!C313))</f>
        <v/>
      </c>
      <c r="D313" s="10" t="str">
        <f>IF(IF(ISNA(計算結果!D313),"",計算結果!D313)=0,"",IF(ISNA(計算結果!D313),"",計算結果!D313))</f>
        <v>L</v>
      </c>
      <c r="E313" s="10" t="str">
        <f>IF(IF(ISNA(計算結果!E313),"",計算結果!E313)=0,"",IF(ISNA(計算結果!E313),"",計算結果!E313))</f>
        <v/>
      </c>
      <c r="F313" s="10" t="str">
        <f>IF(IF(ISNA(計算結果!F313),"",計算結果!F313)=0,"",IF(ISNA(計算結果!F313),"",計算結果!F313))</f>
        <v/>
      </c>
      <c r="G313" s="10" t="str">
        <f>IF(IF(ISNA(計算結果!G313),"",計算結果!G313)=0,"",IF(ISNA(計算結果!G313),"",計算結果!G313))</f>
        <v/>
      </c>
      <c r="H313" s="13">
        <f>IF(IF(ISNA(計算結果!H313),"",計算結果!H313)=0,"",IF(ISNA(計算結果!H313),"",計算結果!H313))</f>
        <v>-2</v>
      </c>
      <c r="I313" s="12" t="str">
        <f>IF(IF(ISNA(計算結果!I313),"",計算結果!I313)=0,"",IF(ISNA(計算結果!I313),"",計算結果!I313))</f>
        <v/>
      </c>
      <c r="J313" s="12" t="str">
        <f>IF(IF(ISNA(計算結果!J313),"",計算結果!J313)=0,"",IF(ISNA(計算結果!J313),"",計算結果!J313))</f>
        <v/>
      </c>
      <c r="K313" s="23" t="str">
        <f>IF(IF(ISNA(計算結果!K313),"",計算結果!K313)=0,"",IF(ISNA(計算結果!K313),"",計算結果!K313))</f>
        <v/>
      </c>
      <c r="L313" s="13" t="str">
        <f>IF(IF(ISNA(計算結果!L313),"",計算結果!L313)=0,"",IF(ISNA(計算結果!L313),"",計算結果!L313))</f>
        <v/>
      </c>
      <c r="M313" s="10" t="str">
        <f>IF(IF(ISNA(計算結果!M313),"",計算結果!M313)=0,"",IF(ISNA(計算結果!M313),"",計算結果!M313))</f>
        <v/>
      </c>
      <c r="N313" s="10" t="str">
        <f>IF(IF(ISNA(計算結果!N313),"",計算結果!N313)=0,"",IF(ISNA(計算結果!N313),"",計算結果!N313))</f>
        <v/>
      </c>
      <c r="O313" s="13" t="str">
        <f>IF(IF(ISNA(計算結果!O313),"",計算結果!O313)=0,"",IF(ISNA(計算結果!O313),"",計算結果!O313))</f>
        <v/>
      </c>
      <c r="P313" s="10" t="str">
        <f>IF(IF(ISNA(計算結果!P313),"",計算結果!P313)=0,"",IF(ISNA(計算結果!P313),"",計算結果!P313))</f>
        <v/>
      </c>
      <c r="Q313" s="10" t="str">
        <f>IF(IF(ISNA(計算結果!Q313),"",計算結果!Q313)=0,"",IF(ISNA(計算結果!Q313),"",計算結果!Q313))</f>
        <v/>
      </c>
      <c r="R313" s="14" t="str">
        <f t="shared" si="12"/>
        <v/>
      </c>
      <c r="S313" s="14" t="str">
        <f t="shared" si="13"/>
        <v>◯</v>
      </c>
      <c r="T313" s="14" t="str">
        <f t="shared" si="14"/>
        <v/>
      </c>
    </row>
    <row r="314" spans="1:20" hidden="1" x14ac:dyDescent="0.45">
      <c r="A314" s="10" t="str">
        <f>IF(IF(ISNA(計算結果!A314),"",計算結果!A314)=0,"",IF(ISNA(計算結果!A314),"",計算結果!A314))</f>
        <v/>
      </c>
      <c r="B314" s="10" t="str">
        <f>IF(IF(ISNA(計算結果!B314),"",計算結果!B314)=0,"",IF(ISNA(計算結果!B314),"",計算結果!B314))</f>
        <v/>
      </c>
      <c r="C314" s="10" t="str">
        <f>IF(IF(ISNA(計算結果!C314),"",計算結果!C314)=0,"",IF(ISNA(計算結果!C314),"",計算結果!C314))</f>
        <v/>
      </c>
      <c r="D314" s="10" t="str">
        <f>IF(IF(ISNA(計算結果!D314),"",計算結果!D314)=0,"",IF(ISNA(計算結果!D314),"",計算結果!D314))</f>
        <v>L</v>
      </c>
      <c r="E314" s="10" t="str">
        <f>IF(IF(ISNA(計算結果!E314),"",計算結果!E314)=0,"",IF(ISNA(計算結果!E314),"",計算結果!E314))</f>
        <v/>
      </c>
      <c r="F314" s="10" t="str">
        <f>IF(IF(ISNA(計算結果!F314),"",計算結果!F314)=0,"",IF(ISNA(計算結果!F314),"",計算結果!F314))</f>
        <v/>
      </c>
      <c r="G314" s="10" t="str">
        <f>IF(IF(ISNA(計算結果!G314),"",計算結果!G314)=0,"",IF(ISNA(計算結果!G314),"",計算結果!G314))</f>
        <v/>
      </c>
      <c r="H314" s="13">
        <f>IF(IF(ISNA(計算結果!H314),"",計算結果!H314)=0,"",IF(ISNA(計算結果!H314),"",計算結果!H314))</f>
        <v>-2</v>
      </c>
      <c r="I314" s="12" t="str">
        <f>IF(IF(ISNA(計算結果!I314),"",計算結果!I314)=0,"",IF(ISNA(計算結果!I314),"",計算結果!I314))</f>
        <v/>
      </c>
      <c r="J314" s="12" t="str">
        <f>IF(IF(ISNA(計算結果!J314),"",計算結果!J314)=0,"",IF(ISNA(計算結果!J314),"",計算結果!J314))</f>
        <v/>
      </c>
      <c r="K314" s="23" t="str">
        <f>IF(IF(ISNA(計算結果!K314),"",計算結果!K314)=0,"",IF(ISNA(計算結果!K314),"",計算結果!K314))</f>
        <v/>
      </c>
      <c r="L314" s="13" t="str">
        <f>IF(IF(ISNA(計算結果!L314),"",計算結果!L314)=0,"",IF(ISNA(計算結果!L314),"",計算結果!L314))</f>
        <v/>
      </c>
      <c r="M314" s="10" t="str">
        <f>IF(IF(ISNA(計算結果!M314),"",計算結果!M314)=0,"",IF(ISNA(計算結果!M314),"",計算結果!M314))</f>
        <v/>
      </c>
      <c r="N314" s="10" t="str">
        <f>IF(IF(ISNA(計算結果!N314),"",計算結果!N314)=0,"",IF(ISNA(計算結果!N314),"",計算結果!N314))</f>
        <v/>
      </c>
      <c r="O314" s="13" t="str">
        <f>IF(IF(ISNA(計算結果!O314),"",計算結果!O314)=0,"",IF(ISNA(計算結果!O314),"",計算結果!O314))</f>
        <v/>
      </c>
      <c r="P314" s="10" t="str">
        <f>IF(IF(ISNA(計算結果!P314),"",計算結果!P314)=0,"",IF(ISNA(計算結果!P314),"",計算結果!P314))</f>
        <v/>
      </c>
      <c r="Q314" s="10" t="str">
        <f>IF(IF(ISNA(計算結果!Q314),"",計算結果!Q314)=0,"",IF(ISNA(計算結果!Q314),"",計算結果!Q314))</f>
        <v/>
      </c>
      <c r="R314" s="14" t="str">
        <f t="shared" si="12"/>
        <v/>
      </c>
      <c r="S314" s="14" t="str">
        <f t="shared" si="13"/>
        <v>◯</v>
      </c>
      <c r="T314" s="14" t="str">
        <f t="shared" si="14"/>
        <v/>
      </c>
    </row>
    <row r="315" spans="1:20" hidden="1" x14ac:dyDescent="0.45">
      <c r="A315" s="10" t="str">
        <f>IF(IF(ISNA(計算結果!A315),"",計算結果!A315)=0,"",IF(ISNA(計算結果!A315),"",計算結果!A315))</f>
        <v/>
      </c>
      <c r="B315" s="10" t="str">
        <f>IF(IF(ISNA(計算結果!B315),"",計算結果!B315)=0,"",IF(ISNA(計算結果!B315),"",計算結果!B315))</f>
        <v/>
      </c>
      <c r="C315" s="10" t="str">
        <f>IF(IF(ISNA(計算結果!C315),"",計算結果!C315)=0,"",IF(ISNA(計算結果!C315),"",計算結果!C315))</f>
        <v/>
      </c>
      <c r="D315" s="10" t="str">
        <f>IF(IF(ISNA(計算結果!D315),"",計算結果!D315)=0,"",IF(ISNA(計算結果!D315),"",計算結果!D315))</f>
        <v>L</v>
      </c>
      <c r="E315" s="10" t="str">
        <f>IF(IF(ISNA(計算結果!E315),"",計算結果!E315)=0,"",IF(ISNA(計算結果!E315),"",計算結果!E315))</f>
        <v/>
      </c>
      <c r="F315" s="10" t="str">
        <f>IF(IF(ISNA(計算結果!F315),"",計算結果!F315)=0,"",IF(ISNA(計算結果!F315),"",計算結果!F315))</f>
        <v/>
      </c>
      <c r="G315" s="10" t="str">
        <f>IF(IF(ISNA(計算結果!G315),"",計算結果!G315)=0,"",IF(ISNA(計算結果!G315),"",計算結果!G315))</f>
        <v/>
      </c>
      <c r="H315" s="13">
        <f>IF(IF(ISNA(計算結果!H315),"",計算結果!H315)=0,"",IF(ISNA(計算結果!H315),"",計算結果!H315))</f>
        <v>-2</v>
      </c>
      <c r="I315" s="12" t="str">
        <f>IF(IF(ISNA(計算結果!I315),"",計算結果!I315)=0,"",IF(ISNA(計算結果!I315),"",計算結果!I315))</f>
        <v/>
      </c>
      <c r="J315" s="12" t="str">
        <f>IF(IF(ISNA(計算結果!J315),"",計算結果!J315)=0,"",IF(ISNA(計算結果!J315),"",計算結果!J315))</f>
        <v/>
      </c>
      <c r="K315" s="23" t="str">
        <f>IF(IF(ISNA(計算結果!K315),"",計算結果!K315)=0,"",IF(ISNA(計算結果!K315),"",計算結果!K315))</f>
        <v/>
      </c>
      <c r="L315" s="13" t="str">
        <f>IF(IF(ISNA(計算結果!L315),"",計算結果!L315)=0,"",IF(ISNA(計算結果!L315),"",計算結果!L315))</f>
        <v/>
      </c>
      <c r="M315" s="10" t="str">
        <f>IF(IF(ISNA(計算結果!M315),"",計算結果!M315)=0,"",IF(ISNA(計算結果!M315),"",計算結果!M315))</f>
        <v/>
      </c>
      <c r="N315" s="10" t="str">
        <f>IF(IF(ISNA(計算結果!N315),"",計算結果!N315)=0,"",IF(ISNA(計算結果!N315),"",計算結果!N315))</f>
        <v/>
      </c>
      <c r="O315" s="13" t="str">
        <f>IF(IF(ISNA(計算結果!O315),"",計算結果!O315)=0,"",IF(ISNA(計算結果!O315),"",計算結果!O315))</f>
        <v/>
      </c>
      <c r="P315" s="10" t="str">
        <f>IF(IF(ISNA(計算結果!P315),"",計算結果!P315)=0,"",IF(ISNA(計算結果!P315),"",計算結果!P315))</f>
        <v/>
      </c>
      <c r="Q315" s="10" t="str">
        <f>IF(IF(ISNA(計算結果!Q315),"",計算結果!Q315)=0,"",IF(ISNA(計算結果!Q315),"",計算結果!Q315))</f>
        <v/>
      </c>
      <c r="R315" s="14" t="str">
        <f t="shared" si="12"/>
        <v/>
      </c>
      <c r="S315" s="14" t="str">
        <f t="shared" si="13"/>
        <v>◯</v>
      </c>
      <c r="T315" s="14" t="str">
        <f t="shared" si="14"/>
        <v/>
      </c>
    </row>
    <row r="316" spans="1:20" hidden="1" x14ac:dyDescent="0.45">
      <c r="A316" s="10" t="str">
        <f>IF(IF(ISNA(計算結果!A316),"",計算結果!A316)=0,"",IF(ISNA(計算結果!A316),"",計算結果!A316))</f>
        <v/>
      </c>
      <c r="B316" s="10" t="str">
        <f>IF(IF(ISNA(計算結果!B316),"",計算結果!B316)=0,"",IF(ISNA(計算結果!B316),"",計算結果!B316))</f>
        <v/>
      </c>
      <c r="C316" s="10" t="str">
        <f>IF(IF(ISNA(計算結果!C316),"",計算結果!C316)=0,"",IF(ISNA(計算結果!C316),"",計算結果!C316))</f>
        <v/>
      </c>
      <c r="D316" s="10" t="str">
        <f>IF(IF(ISNA(計算結果!D316),"",計算結果!D316)=0,"",IF(ISNA(計算結果!D316),"",計算結果!D316))</f>
        <v>L</v>
      </c>
      <c r="E316" s="10" t="str">
        <f>IF(IF(ISNA(計算結果!E316),"",計算結果!E316)=0,"",IF(ISNA(計算結果!E316),"",計算結果!E316))</f>
        <v/>
      </c>
      <c r="F316" s="10" t="str">
        <f>IF(IF(ISNA(計算結果!F316),"",計算結果!F316)=0,"",IF(ISNA(計算結果!F316),"",計算結果!F316))</f>
        <v/>
      </c>
      <c r="G316" s="10" t="str">
        <f>IF(IF(ISNA(計算結果!G316),"",計算結果!G316)=0,"",IF(ISNA(計算結果!G316),"",計算結果!G316))</f>
        <v/>
      </c>
      <c r="H316" s="13">
        <f>IF(IF(ISNA(計算結果!H316),"",計算結果!H316)=0,"",IF(ISNA(計算結果!H316),"",計算結果!H316))</f>
        <v>-2</v>
      </c>
      <c r="I316" s="12" t="str">
        <f>IF(IF(ISNA(計算結果!I316),"",計算結果!I316)=0,"",IF(ISNA(計算結果!I316),"",計算結果!I316))</f>
        <v/>
      </c>
      <c r="J316" s="12" t="str">
        <f>IF(IF(ISNA(計算結果!J316),"",計算結果!J316)=0,"",IF(ISNA(計算結果!J316),"",計算結果!J316))</f>
        <v/>
      </c>
      <c r="K316" s="23" t="str">
        <f>IF(IF(ISNA(計算結果!K316),"",計算結果!K316)=0,"",IF(ISNA(計算結果!K316),"",計算結果!K316))</f>
        <v/>
      </c>
      <c r="L316" s="13" t="str">
        <f>IF(IF(ISNA(計算結果!L316),"",計算結果!L316)=0,"",IF(ISNA(計算結果!L316),"",計算結果!L316))</f>
        <v/>
      </c>
      <c r="M316" s="10" t="str">
        <f>IF(IF(ISNA(計算結果!M316),"",計算結果!M316)=0,"",IF(ISNA(計算結果!M316),"",計算結果!M316))</f>
        <v/>
      </c>
      <c r="N316" s="10" t="str">
        <f>IF(IF(ISNA(計算結果!N316),"",計算結果!N316)=0,"",IF(ISNA(計算結果!N316),"",計算結果!N316))</f>
        <v/>
      </c>
      <c r="O316" s="13" t="str">
        <f>IF(IF(ISNA(計算結果!O316),"",計算結果!O316)=0,"",IF(ISNA(計算結果!O316),"",計算結果!O316))</f>
        <v/>
      </c>
      <c r="P316" s="10" t="str">
        <f>IF(IF(ISNA(計算結果!P316),"",計算結果!P316)=0,"",IF(ISNA(計算結果!P316),"",計算結果!P316))</f>
        <v/>
      </c>
      <c r="Q316" s="10" t="str">
        <f>IF(IF(ISNA(計算結果!Q316),"",計算結果!Q316)=0,"",IF(ISNA(計算結果!Q316),"",計算結果!Q316))</f>
        <v/>
      </c>
      <c r="R316" s="14" t="str">
        <f t="shared" si="12"/>
        <v/>
      </c>
      <c r="S316" s="14" t="str">
        <f t="shared" si="13"/>
        <v>◯</v>
      </c>
      <c r="T316" s="14" t="str">
        <f t="shared" si="14"/>
        <v/>
      </c>
    </row>
    <row r="317" spans="1:20" hidden="1" x14ac:dyDescent="0.45">
      <c r="A317" s="10" t="str">
        <f>IF(IF(ISNA(計算結果!A317),"",計算結果!A317)=0,"",IF(ISNA(計算結果!A317),"",計算結果!A317))</f>
        <v/>
      </c>
      <c r="B317" s="10" t="str">
        <f>IF(IF(ISNA(計算結果!B317),"",計算結果!B317)=0,"",IF(ISNA(計算結果!B317),"",計算結果!B317))</f>
        <v/>
      </c>
      <c r="C317" s="10" t="str">
        <f>IF(IF(ISNA(計算結果!C317),"",計算結果!C317)=0,"",IF(ISNA(計算結果!C317),"",計算結果!C317))</f>
        <v/>
      </c>
      <c r="D317" s="10" t="str">
        <f>IF(IF(ISNA(計算結果!D317),"",計算結果!D317)=0,"",IF(ISNA(計算結果!D317),"",計算結果!D317))</f>
        <v>L</v>
      </c>
      <c r="E317" s="10" t="str">
        <f>IF(IF(ISNA(計算結果!E317),"",計算結果!E317)=0,"",IF(ISNA(計算結果!E317),"",計算結果!E317))</f>
        <v/>
      </c>
      <c r="F317" s="10" t="str">
        <f>IF(IF(ISNA(計算結果!F317),"",計算結果!F317)=0,"",IF(ISNA(計算結果!F317),"",計算結果!F317))</f>
        <v/>
      </c>
      <c r="G317" s="10" t="str">
        <f>IF(IF(ISNA(計算結果!G317),"",計算結果!G317)=0,"",IF(ISNA(計算結果!G317),"",計算結果!G317))</f>
        <v/>
      </c>
      <c r="H317" s="13">
        <f>IF(IF(ISNA(計算結果!H317),"",計算結果!H317)=0,"",IF(ISNA(計算結果!H317),"",計算結果!H317))</f>
        <v>-2</v>
      </c>
      <c r="I317" s="12" t="str">
        <f>IF(IF(ISNA(計算結果!I317),"",計算結果!I317)=0,"",IF(ISNA(計算結果!I317),"",計算結果!I317))</f>
        <v/>
      </c>
      <c r="J317" s="12" t="str">
        <f>IF(IF(ISNA(計算結果!J317),"",計算結果!J317)=0,"",IF(ISNA(計算結果!J317),"",計算結果!J317))</f>
        <v/>
      </c>
      <c r="K317" s="23" t="str">
        <f>IF(IF(ISNA(計算結果!K317),"",計算結果!K317)=0,"",IF(ISNA(計算結果!K317),"",計算結果!K317))</f>
        <v/>
      </c>
      <c r="L317" s="13" t="str">
        <f>IF(IF(ISNA(計算結果!L317),"",計算結果!L317)=0,"",IF(ISNA(計算結果!L317),"",計算結果!L317))</f>
        <v/>
      </c>
      <c r="M317" s="10" t="str">
        <f>IF(IF(ISNA(計算結果!M317),"",計算結果!M317)=0,"",IF(ISNA(計算結果!M317),"",計算結果!M317))</f>
        <v/>
      </c>
      <c r="N317" s="10" t="str">
        <f>IF(IF(ISNA(計算結果!N317),"",計算結果!N317)=0,"",IF(ISNA(計算結果!N317),"",計算結果!N317))</f>
        <v/>
      </c>
      <c r="O317" s="13" t="str">
        <f>IF(IF(ISNA(計算結果!O317),"",計算結果!O317)=0,"",IF(ISNA(計算結果!O317),"",計算結果!O317))</f>
        <v/>
      </c>
      <c r="P317" s="10" t="str">
        <f>IF(IF(ISNA(計算結果!P317),"",計算結果!P317)=0,"",IF(ISNA(計算結果!P317),"",計算結果!P317))</f>
        <v/>
      </c>
      <c r="Q317" s="10" t="str">
        <f>IF(IF(ISNA(計算結果!Q317),"",計算結果!Q317)=0,"",IF(ISNA(計算結果!Q317),"",計算結果!Q317))</f>
        <v/>
      </c>
      <c r="R317" s="14" t="str">
        <f t="shared" si="12"/>
        <v/>
      </c>
      <c r="S317" s="14" t="str">
        <f t="shared" si="13"/>
        <v>◯</v>
      </c>
      <c r="T317" s="14" t="str">
        <f t="shared" si="14"/>
        <v/>
      </c>
    </row>
    <row r="318" spans="1:20" hidden="1" x14ac:dyDescent="0.45">
      <c r="A318" s="10" t="str">
        <f>IF(IF(ISNA(計算結果!A318),"",計算結果!A318)=0,"",IF(ISNA(計算結果!A318),"",計算結果!A318))</f>
        <v/>
      </c>
      <c r="B318" s="10" t="str">
        <f>IF(IF(ISNA(計算結果!B318),"",計算結果!B318)=0,"",IF(ISNA(計算結果!B318),"",計算結果!B318))</f>
        <v/>
      </c>
      <c r="C318" s="10" t="str">
        <f>IF(IF(ISNA(計算結果!C318),"",計算結果!C318)=0,"",IF(ISNA(計算結果!C318),"",計算結果!C318))</f>
        <v/>
      </c>
      <c r="D318" s="10" t="str">
        <f>IF(IF(ISNA(計算結果!D318),"",計算結果!D318)=0,"",IF(ISNA(計算結果!D318),"",計算結果!D318))</f>
        <v>L</v>
      </c>
      <c r="E318" s="10" t="str">
        <f>IF(IF(ISNA(計算結果!E318),"",計算結果!E318)=0,"",IF(ISNA(計算結果!E318),"",計算結果!E318))</f>
        <v/>
      </c>
      <c r="F318" s="10" t="str">
        <f>IF(IF(ISNA(計算結果!F318),"",計算結果!F318)=0,"",IF(ISNA(計算結果!F318),"",計算結果!F318))</f>
        <v/>
      </c>
      <c r="G318" s="10" t="str">
        <f>IF(IF(ISNA(計算結果!G318),"",計算結果!G318)=0,"",IF(ISNA(計算結果!G318),"",計算結果!G318))</f>
        <v/>
      </c>
      <c r="H318" s="13">
        <f>IF(IF(ISNA(計算結果!H318),"",計算結果!H318)=0,"",IF(ISNA(計算結果!H318),"",計算結果!H318))</f>
        <v>-2</v>
      </c>
      <c r="I318" s="12" t="str">
        <f>IF(IF(ISNA(計算結果!I318),"",計算結果!I318)=0,"",IF(ISNA(計算結果!I318),"",計算結果!I318))</f>
        <v/>
      </c>
      <c r="J318" s="12" t="str">
        <f>IF(IF(ISNA(計算結果!J318),"",計算結果!J318)=0,"",IF(ISNA(計算結果!J318),"",計算結果!J318))</f>
        <v/>
      </c>
      <c r="K318" s="23" t="str">
        <f>IF(IF(ISNA(計算結果!K318),"",計算結果!K318)=0,"",IF(ISNA(計算結果!K318),"",計算結果!K318))</f>
        <v/>
      </c>
      <c r="L318" s="13" t="str">
        <f>IF(IF(ISNA(計算結果!L318),"",計算結果!L318)=0,"",IF(ISNA(計算結果!L318),"",計算結果!L318))</f>
        <v/>
      </c>
      <c r="M318" s="10" t="str">
        <f>IF(IF(ISNA(計算結果!M318),"",計算結果!M318)=0,"",IF(ISNA(計算結果!M318),"",計算結果!M318))</f>
        <v/>
      </c>
      <c r="N318" s="10" t="str">
        <f>IF(IF(ISNA(計算結果!N318),"",計算結果!N318)=0,"",IF(ISNA(計算結果!N318),"",計算結果!N318))</f>
        <v/>
      </c>
      <c r="O318" s="13" t="str">
        <f>IF(IF(ISNA(計算結果!O318),"",計算結果!O318)=0,"",IF(ISNA(計算結果!O318),"",計算結果!O318))</f>
        <v/>
      </c>
      <c r="P318" s="10" t="str">
        <f>IF(IF(ISNA(計算結果!P318),"",計算結果!P318)=0,"",IF(ISNA(計算結果!P318),"",計算結果!P318))</f>
        <v/>
      </c>
      <c r="Q318" s="10" t="str">
        <f>IF(IF(ISNA(計算結果!Q318),"",計算結果!Q318)=0,"",IF(ISNA(計算結果!Q318),"",計算結果!Q318))</f>
        <v/>
      </c>
      <c r="R318" s="14" t="str">
        <f t="shared" si="12"/>
        <v/>
      </c>
      <c r="S318" s="14" t="str">
        <f t="shared" si="13"/>
        <v>◯</v>
      </c>
      <c r="T318" s="14" t="str">
        <f t="shared" si="14"/>
        <v/>
      </c>
    </row>
    <row r="319" spans="1:20" hidden="1" x14ac:dyDescent="0.45">
      <c r="A319" s="10" t="str">
        <f>IF(IF(ISNA(計算結果!A319),"",計算結果!A319)=0,"",IF(ISNA(計算結果!A319),"",計算結果!A319))</f>
        <v/>
      </c>
      <c r="B319" s="10" t="str">
        <f>IF(IF(ISNA(計算結果!B319),"",計算結果!B319)=0,"",IF(ISNA(計算結果!B319),"",計算結果!B319))</f>
        <v/>
      </c>
      <c r="C319" s="10" t="str">
        <f>IF(IF(ISNA(計算結果!C319),"",計算結果!C319)=0,"",IF(ISNA(計算結果!C319),"",計算結果!C319))</f>
        <v/>
      </c>
      <c r="D319" s="10" t="str">
        <f>IF(IF(ISNA(計算結果!D319),"",計算結果!D319)=0,"",IF(ISNA(計算結果!D319),"",計算結果!D319))</f>
        <v>L</v>
      </c>
      <c r="E319" s="10" t="str">
        <f>IF(IF(ISNA(計算結果!E319),"",計算結果!E319)=0,"",IF(ISNA(計算結果!E319),"",計算結果!E319))</f>
        <v/>
      </c>
      <c r="F319" s="10" t="str">
        <f>IF(IF(ISNA(計算結果!F319),"",計算結果!F319)=0,"",IF(ISNA(計算結果!F319),"",計算結果!F319))</f>
        <v/>
      </c>
      <c r="G319" s="10" t="str">
        <f>IF(IF(ISNA(計算結果!G319),"",計算結果!G319)=0,"",IF(ISNA(計算結果!G319),"",計算結果!G319))</f>
        <v/>
      </c>
      <c r="H319" s="13">
        <f>IF(IF(ISNA(計算結果!H319),"",計算結果!H319)=0,"",IF(ISNA(計算結果!H319),"",計算結果!H319))</f>
        <v>-2</v>
      </c>
      <c r="I319" s="12" t="str">
        <f>IF(IF(ISNA(計算結果!I319),"",計算結果!I319)=0,"",IF(ISNA(計算結果!I319),"",計算結果!I319))</f>
        <v/>
      </c>
      <c r="J319" s="12" t="str">
        <f>IF(IF(ISNA(計算結果!J319),"",計算結果!J319)=0,"",IF(ISNA(計算結果!J319),"",計算結果!J319))</f>
        <v/>
      </c>
      <c r="K319" s="23" t="str">
        <f>IF(IF(ISNA(計算結果!K319),"",計算結果!K319)=0,"",IF(ISNA(計算結果!K319),"",計算結果!K319))</f>
        <v/>
      </c>
      <c r="L319" s="13" t="str">
        <f>IF(IF(ISNA(計算結果!L319),"",計算結果!L319)=0,"",IF(ISNA(計算結果!L319),"",計算結果!L319))</f>
        <v/>
      </c>
      <c r="M319" s="10" t="str">
        <f>IF(IF(ISNA(計算結果!M319),"",計算結果!M319)=0,"",IF(ISNA(計算結果!M319),"",計算結果!M319))</f>
        <v/>
      </c>
      <c r="N319" s="10" t="str">
        <f>IF(IF(ISNA(計算結果!N319),"",計算結果!N319)=0,"",IF(ISNA(計算結果!N319),"",計算結果!N319))</f>
        <v/>
      </c>
      <c r="O319" s="13" t="str">
        <f>IF(IF(ISNA(計算結果!O319),"",計算結果!O319)=0,"",IF(ISNA(計算結果!O319),"",計算結果!O319))</f>
        <v/>
      </c>
      <c r="P319" s="10" t="str">
        <f>IF(IF(ISNA(計算結果!P319),"",計算結果!P319)=0,"",IF(ISNA(計算結果!P319),"",計算結果!P319))</f>
        <v/>
      </c>
      <c r="Q319" s="10" t="str">
        <f>IF(IF(ISNA(計算結果!Q319),"",計算結果!Q319)=0,"",IF(ISNA(計算結果!Q319),"",計算結果!Q319))</f>
        <v/>
      </c>
      <c r="R319" s="14" t="str">
        <f t="shared" si="12"/>
        <v/>
      </c>
      <c r="S319" s="14" t="str">
        <f t="shared" si="13"/>
        <v>◯</v>
      </c>
      <c r="T319" s="14" t="str">
        <f t="shared" si="14"/>
        <v/>
      </c>
    </row>
    <row r="320" spans="1:20" hidden="1" x14ac:dyDescent="0.45">
      <c r="A320" s="10" t="str">
        <f>IF(IF(ISNA(計算結果!A320),"",計算結果!A320)=0,"",IF(ISNA(計算結果!A320),"",計算結果!A320))</f>
        <v/>
      </c>
      <c r="B320" s="10" t="str">
        <f>IF(IF(ISNA(計算結果!B320),"",計算結果!B320)=0,"",IF(ISNA(計算結果!B320),"",計算結果!B320))</f>
        <v/>
      </c>
      <c r="C320" s="10" t="str">
        <f>IF(IF(ISNA(計算結果!C320),"",計算結果!C320)=0,"",IF(ISNA(計算結果!C320),"",計算結果!C320))</f>
        <v/>
      </c>
      <c r="D320" s="10" t="str">
        <f>IF(IF(ISNA(計算結果!D320),"",計算結果!D320)=0,"",IF(ISNA(計算結果!D320),"",計算結果!D320))</f>
        <v>L</v>
      </c>
      <c r="E320" s="10" t="str">
        <f>IF(IF(ISNA(計算結果!E320),"",計算結果!E320)=0,"",IF(ISNA(計算結果!E320),"",計算結果!E320))</f>
        <v/>
      </c>
      <c r="F320" s="10" t="str">
        <f>IF(IF(ISNA(計算結果!F320),"",計算結果!F320)=0,"",IF(ISNA(計算結果!F320),"",計算結果!F320))</f>
        <v/>
      </c>
      <c r="G320" s="10" t="str">
        <f>IF(IF(ISNA(計算結果!G320),"",計算結果!G320)=0,"",IF(ISNA(計算結果!G320),"",計算結果!G320))</f>
        <v/>
      </c>
      <c r="H320" s="13">
        <f>IF(IF(ISNA(計算結果!H320),"",計算結果!H320)=0,"",IF(ISNA(計算結果!H320),"",計算結果!H320))</f>
        <v>-2</v>
      </c>
      <c r="I320" s="12" t="str">
        <f>IF(IF(ISNA(計算結果!I320),"",計算結果!I320)=0,"",IF(ISNA(計算結果!I320),"",計算結果!I320))</f>
        <v/>
      </c>
      <c r="J320" s="12" t="str">
        <f>IF(IF(ISNA(計算結果!J320),"",計算結果!J320)=0,"",IF(ISNA(計算結果!J320),"",計算結果!J320))</f>
        <v/>
      </c>
      <c r="K320" s="23" t="str">
        <f>IF(IF(ISNA(計算結果!K320),"",計算結果!K320)=0,"",IF(ISNA(計算結果!K320),"",計算結果!K320))</f>
        <v/>
      </c>
      <c r="L320" s="13" t="str">
        <f>IF(IF(ISNA(計算結果!L320),"",計算結果!L320)=0,"",IF(ISNA(計算結果!L320),"",計算結果!L320))</f>
        <v/>
      </c>
      <c r="M320" s="10" t="str">
        <f>IF(IF(ISNA(計算結果!M320),"",計算結果!M320)=0,"",IF(ISNA(計算結果!M320),"",計算結果!M320))</f>
        <v/>
      </c>
      <c r="N320" s="10" t="str">
        <f>IF(IF(ISNA(計算結果!N320),"",計算結果!N320)=0,"",IF(ISNA(計算結果!N320),"",計算結果!N320))</f>
        <v/>
      </c>
      <c r="O320" s="13" t="str">
        <f>IF(IF(ISNA(計算結果!O320),"",計算結果!O320)=0,"",IF(ISNA(計算結果!O320),"",計算結果!O320))</f>
        <v/>
      </c>
      <c r="P320" s="10" t="str">
        <f>IF(IF(ISNA(計算結果!P320),"",計算結果!P320)=0,"",IF(ISNA(計算結果!P320),"",計算結果!P320))</f>
        <v/>
      </c>
      <c r="Q320" s="10" t="str">
        <f>IF(IF(ISNA(計算結果!Q320),"",計算結果!Q320)=0,"",IF(ISNA(計算結果!Q320),"",計算結果!Q320))</f>
        <v/>
      </c>
      <c r="R320" s="14" t="str">
        <f t="shared" si="12"/>
        <v/>
      </c>
      <c r="S320" s="14" t="str">
        <f t="shared" si="13"/>
        <v>◯</v>
      </c>
      <c r="T320" s="14" t="str">
        <f t="shared" si="14"/>
        <v/>
      </c>
    </row>
    <row r="321" spans="1:20" hidden="1" x14ac:dyDescent="0.45">
      <c r="A321" s="10" t="str">
        <f>IF(IF(ISNA(計算結果!A321),"",計算結果!A321)=0,"",IF(ISNA(計算結果!A321),"",計算結果!A321))</f>
        <v/>
      </c>
      <c r="B321" s="10" t="str">
        <f>IF(IF(ISNA(計算結果!B321),"",計算結果!B321)=0,"",IF(ISNA(計算結果!B321),"",計算結果!B321))</f>
        <v/>
      </c>
      <c r="C321" s="10" t="str">
        <f>IF(IF(ISNA(計算結果!C321),"",計算結果!C321)=0,"",IF(ISNA(計算結果!C321),"",計算結果!C321))</f>
        <v/>
      </c>
      <c r="D321" s="10" t="str">
        <f>IF(IF(ISNA(計算結果!D321),"",計算結果!D321)=0,"",IF(ISNA(計算結果!D321),"",計算結果!D321))</f>
        <v>L</v>
      </c>
      <c r="E321" s="10" t="str">
        <f>IF(IF(ISNA(計算結果!E321),"",計算結果!E321)=0,"",IF(ISNA(計算結果!E321),"",計算結果!E321))</f>
        <v/>
      </c>
      <c r="F321" s="10" t="str">
        <f>IF(IF(ISNA(計算結果!F321),"",計算結果!F321)=0,"",IF(ISNA(計算結果!F321),"",計算結果!F321))</f>
        <v/>
      </c>
      <c r="G321" s="10" t="str">
        <f>IF(IF(ISNA(計算結果!G321),"",計算結果!G321)=0,"",IF(ISNA(計算結果!G321),"",計算結果!G321))</f>
        <v/>
      </c>
      <c r="H321" s="13">
        <f>IF(IF(ISNA(計算結果!H321),"",計算結果!H321)=0,"",IF(ISNA(計算結果!H321),"",計算結果!H321))</f>
        <v>-2</v>
      </c>
      <c r="I321" s="12" t="str">
        <f>IF(IF(ISNA(計算結果!I321),"",計算結果!I321)=0,"",IF(ISNA(計算結果!I321),"",計算結果!I321))</f>
        <v/>
      </c>
      <c r="J321" s="12" t="str">
        <f>IF(IF(ISNA(計算結果!J321),"",計算結果!J321)=0,"",IF(ISNA(計算結果!J321),"",計算結果!J321))</f>
        <v/>
      </c>
      <c r="K321" s="23" t="str">
        <f>IF(IF(ISNA(計算結果!K321),"",計算結果!K321)=0,"",IF(ISNA(計算結果!K321),"",計算結果!K321))</f>
        <v/>
      </c>
      <c r="L321" s="13" t="str">
        <f>IF(IF(ISNA(計算結果!L321),"",計算結果!L321)=0,"",IF(ISNA(計算結果!L321),"",計算結果!L321))</f>
        <v/>
      </c>
      <c r="M321" s="10" t="str">
        <f>IF(IF(ISNA(計算結果!M321),"",計算結果!M321)=0,"",IF(ISNA(計算結果!M321),"",計算結果!M321))</f>
        <v/>
      </c>
      <c r="N321" s="10" t="str">
        <f>IF(IF(ISNA(計算結果!N321),"",計算結果!N321)=0,"",IF(ISNA(計算結果!N321),"",計算結果!N321))</f>
        <v/>
      </c>
      <c r="O321" s="13" t="str">
        <f>IF(IF(ISNA(計算結果!O321),"",計算結果!O321)=0,"",IF(ISNA(計算結果!O321),"",計算結果!O321))</f>
        <v/>
      </c>
      <c r="P321" s="10" t="str">
        <f>IF(IF(ISNA(計算結果!P321),"",計算結果!P321)=0,"",IF(ISNA(計算結果!P321),"",計算結果!P321))</f>
        <v/>
      </c>
      <c r="Q321" s="10" t="str">
        <f>IF(IF(ISNA(計算結果!Q321),"",計算結果!Q321)=0,"",IF(ISNA(計算結果!Q321),"",計算結果!Q321))</f>
        <v/>
      </c>
      <c r="R321" s="14" t="str">
        <f t="shared" si="12"/>
        <v/>
      </c>
      <c r="S321" s="14" t="str">
        <f t="shared" si="13"/>
        <v>◯</v>
      </c>
      <c r="T321" s="14" t="str">
        <f t="shared" si="14"/>
        <v/>
      </c>
    </row>
    <row r="322" spans="1:20" hidden="1" x14ac:dyDescent="0.45">
      <c r="A322" s="10" t="str">
        <f>IF(IF(ISNA(計算結果!A322),"",計算結果!A322)=0,"",IF(ISNA(計算結果!A322),"",計算結果!A322))</f>
        <v/>
      </c>
      <c r="B322" s="10" t="str">
        <f>IF(IF(ISNA(計算結果!B322),"",計算結果!B322)=0,"",IF(ISNA(計算結果!B322),"",計算結果!B322))</f>
        <v/>
      </c>
      <c r="C322" s="10" t="str">
        <f>IF(IF(ISNA(計算結果!C322),"",計算結果!C322)=0,"",IF(ISNA(計算結果!C322),"",計算結果!C322))</f>
        <v/>
      </c>
      <c r="D322" s="10" t="str">
        <f>IF(IF(ISNA(計算結果!D322),"",計算結果!D322)=0,"",IF(ISNA(計算結果!D322),"",計算結果!D322))</f>
        <v>L</v>
      </c>
      <c r="E322" s="10" t="str">
        <f>IF(IF(ISNA(計算結果!E322),"",計算結果!E322)=0,"",IF(ISNA(計算結果!E322),"",計算結果!E322))</f>
        <v/>
      </c>
      <c r="F322" s="10" t="str">
        <f>IF(IF(ISNA(計算結果!F322),"",計算結果!F322)=0,"",IF(ISNA(計算結果!F322),"",計算結果!F322))</f>
        <v/>
      </c>
      <c r="G322" s="10" t="str">
        <f>IF(IF(ISNA(計算結果!G322),"",計算結果!G322)=0,"",IF(ISNA(計算結果!G322),"",計算結果!G322))</f>
        <v/>
      </c>
      <c r="H322" s="13">
        <f>IF(IF(ISNA(計算結果!H322),"",計算結果!H322)=0,"",IF(ISNA(計算結果!H322),"",計算結果!H322))</f>
        <v>-2</v>
      </c>
      <c r="I322" s="12" t="str">
        <f>IF(IF(ISNA(計算結果!I322),"",計算結果!I322)=0,"",IF(ISNA(計算結果!I322),"",計算結果!I322))</f>
        <v/>
      </c>
      <c r="J322" s="12" t="str">
        <f>IF(IF(ISNA(計算結果!J322),"",計算結果!J322)=0,"",IF(ISNA(計算結果!J322),"",計算結果!J322))</f>
        <v/>
      </c>
      <c r="K322" s="23" t="str">
        <f>IF(IF(ISNA(計算結果!K322),"",計算結果!K322)=0,"",IF(ISNA(計算結果!K322),"",計算結果!K322))</f>
        <v/>
      </c>
      <c r="L322" s="13" t="str">
        <f>IF(IF(ISNA(計算結果!L322),"",計算結果!L322)=0,"",IF(ISNA(計算結果!L322),"",計算結果!L322))</f>
        <v/>
      </c>
      <c r="M322" s="10" t="str">
        <f>IF(IF(ISNA(計算結果!M322),"",計算結果!M322)=0,"",IF(ISNA(計算結果!M322),"",計算結果!M322))</f>
        <v/>
      </c>
      <c r="N322" s="10" t="str">
        <f>IF(IF(ISNA(計算結果!N322),"",計算結果!N322)=0,"",IF(ISNA(計算結果!N322),"",計算結果!N322))</f>
        <v/>
      </c>
      <c r="O322" s="13" t="str">
        <f>IF(IF(ISNA(計算結果!O322),"",計算結果!O322)=0,"",IF(ISNA(計算結果!O322),"",計算結果!O322))</f>
        <v/>
      </c>
      <c r="P322" s="10" t="str">
        <f>IF(IF(ISNA(計算結果!P322),"",計算結果!P322)=0,"",IF(ISNA(計算結果!P322),"",計算結果!P322))</f>
        <v/>
      </c>
      <c r="Q322" s="10" t="str">
        <f>IF(IF(ISNA(計算結果!Q322),"",計算結果!Q322)=0,"",IF(ISNA(計算結果!Q322),"",計算結果!Q322))</f>
        <v/>
      </c>
      <c r="R322" s="14" t="str">
        <f t="shared" si="12"/>
        <v/>
      </c>
      <c r="S322" s="14" t="str">
        <f t="shared" si="13"/>
        <v>◯</v>
      </c>
      <c r="T322" s="14" t="str">
        <f t="shared" si="14"/>
        <v/>
      </c>
    </row>
    <row r="323" spans="1:20" hidden="1" x14ac:dyDescent="0.45">
      <c r="A323" s="10" t="str">
        <f>IF(IF(ISNA(計算結果!A323),"",計算結果!A323)=0,"",IF(ISNA(計算結果!A323),"",計算結果!A323))</f>
        <v/>
      </c>
      <c r="B323" s="10" t="str">
        <f>IF(IF(ISNA(計算結果!B323),"",計算結果!B323)=0,"",IF(ISNA(計算結果!B323),"",計算結果!B323))</f>
        <v/>
      </c>
      <c r="C323" s="10" t="str">
        <f>IF(IF(ISNA(計算結果!C323),"",計算結果!C323)=0,"",IF(ISNA(計算結果!C323),"",計算結果!C323))</f>
        <v/>
      </c>
      <c r="D323" s="10" t="str">
        <f>IF(IF(ISNA(計算結果!D323),"",計算結果!D323)=0,"",IF(ISNA(計算結果!D323),"",計算結果!D323))</f>
        <v>L</v>
      </c>
      <c r="E323" s="10" t="str">
        <f>IF(IF(ISNA(計算結果!E323),"",計算結果!E323)=0,"",IF(ISNA(計算結果!E323),"",計算結果!E323))</f>
        <v/>
      </c>
      <c r="F323" s="10" t="str">
        <f>IF(IF(ISNA(計算結果!F323),"",計算結果!F323)=0,"",IF(ISNA(計算結果!F323),"",計算結果!F323))</f>
        <v/>
      </c>
      <c r="G323" s="10" t="str">
        <f>IF(IF(ISNA(計算結果!G323),"",計算結果!G323)=0,"",IF(ISNA(計算結果!G323),"",計算結果!G323))</f>
        <v/>
      </c>
      <c r="H323" s="13">
        <f>IF(IF(ISNA(計算結果!H323),"",計算結果!H323)=0,"",IF(ISNA(計算結果!H323),"",計算結果!H323))</f>
        <v>-2</v>
      </c>
      <c r="I323" s="12" t="str">
        <f>IF(IF(ISNA(計算結果!I323),"",計算結果!I323)=0,"",IF(ISNA(計算結果!I323),"",計算結果!I323))</f>
        <v/>
      </c>
      <c r="J323" s="12" t="str">
        <f>IF(IF(ISNA(計算結果!J323),"",計算結果!J323)=0,"",IF(ISNA(計算結果!J323),"",計算結果!J323))</f>
        <v/>
      </c>
      <c r="K323" s="23" t="str">
        <f>IF(IF(ISNA(計算結果!K323),"",計算結果!K323)=0,"",IF(ISNA(計算結果!K323),"",計算結果!K323))</f>
        <v/>
      </c>
      <c r="L323" s="13" t="str">
        <f>IF(IF(ISNA(計算結果!L323),"",計算結果!L323)=0,"",IF(ISNA(計算結果!L323),"",計算結果!L323))</f>
        <v/>
      </c>
      <c r="M323" s="10" t="str">
        <f>IF(IF(ISNA(計算結果!M323),"",計算結果!M323)=0,"",IF(ISNA(計算結果!M323),"",計算結果!M323))</f>
        <v/>
      </c>
      <c r="N323" s="10" t="str">
        <f>IF(IF(ISNA(計算結果!N323),"",計算結果!N323)=0,"",IF(ISNA(計算結果!N323),"",計算結果!N323))</f>
        <v/>
      </c>
      <c r="O323" s="13" t="str">
        <f>IF(IF(ISNA(計算結果!O323),"",計算結果!O323)=0,"",IF(ISNA(計算結果!O323),"",計算結果!O323))</f>
        <v/>
      </c>
      <c r="P323" s="10" t="str">
        <f>IF(IF(ISNA(計算結果!P323),"",計算結果!P323)=0,"",IF(ISNA(計算結果!P323),"",計算結果!P323))</f>
        <v/>
      </c>
      <c r="Q323" s="10" t="str">
        <f>IF(IF(ISNA(計算結果!Q323),"",計算結果!Q323)=0,"",IF(ISNA(計算結果!Q323),"",計算結果!Q323))</f>
        <v/>
      </c>
      <c r="R323" s="14" t="str">
        <f t="shared" ref="R323:R386" si="15">IF(AND(M323&lt;&gt;"",M323=N323),"◯","")</f>
        <v/>
      </c>
      <c r="S323" s="14" t="str">
        <f t="shared" ref="S323:S386" si="16">IF(M323="","◯","")</f>
        <v>◯</v>
      </c>
      <c r="T323" s="14" t="str">
        <f t="shared" ref="T323:T386" si="17">IF(AND(P323&lt;&gt;"",P323&lt;&gt;Q323),"◯","")</f>
        <v/>
      </c>
    </row>
    <row r="324" spans="1:20" hidden="1" x14ac:dyDescent="0.45">
      <c r="A324" s="10" t="str">
        <f>IF(IF(ISNA(計算結果!A324),"",計算結果!A324)=0,"",IF(ISNA(計算結果!A324),"",計算結果!A324))</f>
        <v/>
      </c>
      <c r="B324" s="10" t="str">
        <f>IF(IF(ISNA(計算結果!B324),"",計算結果!B324)=0,"",IF(ISNA(計算結果!B324),"",計算結果!B324))</f>
        <v/>
      </c>
      <c r="C324" s="10" t="str">
        <f>IF(IF(ISNA(計算結果!C324),"",計算結果!C324)=0,"",IF(ISNA(計算結果!C324),"",計算結果!C324))</f>
        <v/>
      </c>
      <c r="D324" s="10" t="str">
        <f>IF(IF(ISNA(計算結果!D324),"",計算結果!D324)=0,"",IF(ISNA(計算結果!D324),"",計算結果!D324))</f>
        <v>L</v>
      </c>
      <c r="E324" s="10" t="str">
        <f>IF(IF(ISNA(計算結果!E324),"",計算結果!E324)=0,"",IF(ISNA(計算結果!E324),"",計算結果!E324))</f>
        <v/>
      </c>
      <c r="F324" s="10" t="str">
        <f>IF(IF(ISNA(計算結果!F324),"",計算結果!F324)=0,"",IF(ISNA(計算結果!F324),"",計算結果!F324))</f>
        <v/>
      </c>
      <c r="G324" s="10" t="str">
        <f>IF(IF(ISNA(計算結果!G324),"",計算結果!G324)=0,"",IF(ISNA(計算結果!G324),"",計算結果!G324))</f>
        <v/>
      </c>
      <c r="H324" s="13">
        <f>IF(IF(ISNA(計算結果!H324),"",計算結果!H324)=0,"",IF(ISNA(計算結果!H324),"",計算結果!H324))</f>
        <v>-2</v>
      </c>
      <c r="I324" s="12" t="str">
        <f>IF(IF(ISNA(計算結果!I324),"",計算結果!I324)=0,"",IF(ISNA(計算結果!I324),"",計算結果!I324))</f>
        <v/>
      </c>
      <c r="J324" s="12" t="str">
        <f>IF(IF(ISNA(計算結果!J324),"",計算結果!J324)=0,"",IF(ISNA(計算結果!J324),"",計算結果!J324))</f>
        <v/>
      </c>
      <c r="K324" s="23" t="str">
        <f>IF(IF(ISNA(計算結果!K324),"",計算結果!K324)=0,"",IF(ISNA(計算結果!K324),"",計算結果!K324))</f>
        <v/>
      </c>
      <c r="L324" s="13" t="str">
        <f>IF(IF(ISNA(計算結果!L324),"",計算結果!L324)=0,"",IF(ISNA(計算結果!L324),"",計算結果!L324))</f>
        <v/>
      </c>
      <c r="M324" s="10" t="str">
        <f>IF(IF(ISNA(計算結果!M324),"",計算結果!M324)=0,"",IF(ISNA(計算結果!M324),"",計算結果!M324))</f>
        <v/>
      </c>
      <c r="N324" s="10" t="str">
        <f>IF(IF(ISNA(計算結果!N324),"",計算結果!N324)=0,"",IF(ISNA(計算結果!N324),"",計算結果!N324))</f>
        <v/>
      </c>
      <c r="O324" s="13" t="str">
        <f>IF(IF(ISNA(計算結果!O324),"",計算結果!O324)=0,"",IF(ISNA(計算結果!O324),"",計算結果!O324))</f>
        <v/>
      </c>
      <c r="P324" s="10" t="str">
        <f>IF(IF(ISNA(計算結果!P324),"",計算結果!P324)=0,"",IF(ISNA(計算結果!P324),"",計算結果!P324))</f>
        <v/>
      </c>
      <c r="Q324" s="10" t="str">
        <f>IF(IF(ISNA(計算結果!Q324),"",計算結果!Q324)=0,"",IF(ISNA(計算結果!Q324),"",計算結果!Q324))</f>
        <v/>
      </c>
      <c r="R324" s="14" t="str">
        <f t="shared" si="15"/>
        <v/>
      </c>
      <c r="S324" s="14" t="str">
        <f t="shared" si="16"/>
        <v>◯</v>
      </c>
      <c r="T324" s="14" t="str">
        <f t="shared" si="17"/>
        <v/>
      </c>
    </row>
    <row r="325" spans="1:20" hidden="1" x14ac:dyDescent="0.45">
      <c r="A325" s="10" t="str">
        <f>IF(IF(ISNA(計算結果!A325),"",計算結果!A325)=0,"",IF(ISNA(計算結果!A325),"",計算結果!A325))</f>
        <v/>
      </c>
      <c r="B325" s="10" t="str">
        <f>IF(IF(ISNA(計算結果!B325),"",計算結果!B325)=0,"",IF(ISNA(計算結果!B325),"",計算結果!B325))</f>
        <v/>
      </c>
      <c r="C325" s="10" t="str">
        <f>IF(IF(ISNA(計算結果!C325),"",計算結果!C325)=0,"",IF(ISNA(計算結果!C325),"",計算結果!C325))</f>
        <v/>
      </c>
      <c r="D325" s="10" t="str">
        <f>IF(IF(ISNA(計算結果!D325),"",計算結果!D325)=0,"",IF(ISNA(計算結果!D325),"",計算結果!D325))</f>
        <v>L</v>
      </c>
      <c r="E325" s="10" t="str">
        <f>IF(IF(ISNA(計算結果!E325),"",計算結果!E325)=0,"",IF(ISNA(計算結果!E325),"",計算結果!E325))</f>
        <v/>
      </c>
      <c r="F325" s="10" t="str">
        <f>IF(IF(ISNA(計算結果!F325),"",計算結果!F325)=0,"",IF(ISNA(計算結果!F325),"",計算結果!F325))</f>
        <v/>
      </c>
      <c r="G325" s="10" t="str">
        <f>IF(IF(ISNA(計算結果!G325),"",計算結果!G325)=0,"",IF(ISNA(計算結果!G325),"",計算結果!G325))</f>
        <v/>
      </c>
      <c r="H325" s="13">
        <f>IF(IF(ISNA(計算結果!H325),"",計算結果!H325)=0,"",IF(ISNA(計算結果!H325),"",計算結果!H325))</f>
        <v>-2</v>
      </c>
      <c r="I325" s="12" t="str">
        <f>IF(IF(ISNA(計算結果!I325),"",計算結果!I325)=0,"",IF(ISNA(計算結果!I325),"",計算結果!I325))</f>
        <v/>
      </c>
      <c r="J325" s="12" t="str">
        <f>IF(IF(ISNA(計算結果!J325),"",計算結果!J325)=0,"",IF(ISNA(計算結果!J325),"",計算結果!J325))</f>
        <v/>
      </c>
      <c r="K325" s="23" t="str">
        <f>IF(IF(ISNA(計算結果!K325),"",計算結果!K325)=0,"",IF(ISNA(計算結果!K325),"",計算結果!K325))</f>
        <v/>
      </c>
      <c r="L325" s="13" t="str">
        <f>IF(IF(ISNA(計算結果!L325),"",計算結果!L325)=0,"",IF(ISNA(計算結果!L325),"",計算結果!L325))</f>
        <v/>
      </c>
      <c r="M325" s="10" t="str">
        <f>IF(IF(ISNA(計算結果!M325),"",計算結果!M325)=0,"",IF(ISNA(計算結果!M325),"",計算結果!M325))</f>
        <v/>
      </c>
      <c r="N325" s="10" t="str">
        <f>IF(IF(ISNA(計算結果!N325),"",計算結果!N325)=0,"",IF(ISNA(計算結果!N325),"",計算結果!N325))</f>
        <v/>
      </c>
      <c r="O325" s="13" t="str">
        <f>IF(IF(ISNA(計算結果!O325),"",計算結果!O325)=0,"",IF(ISNA(計算結果!O325),"",計算結果!O325))</f>
        <v/>
      </c>
      <c r="P325" s="10" t="str">
        <f>IF(IF(ISNA(計算結果!P325),"",計算結果!P325)=0,"",IF(ISNA(計算結果!P325),"",計算結果!P325))</f>
        <v/>
      </c>
      <c r="Q325" s="10" t="str">
        <f>IF(IF(ISNA(計算結果!Q325),"",計算結果!Q325)=0,"",IF(ISNA(計算結果!Q325),"",計算結果!Q325))</f>
        <v/>
      </c>
      <c r="R325" s="14" t="str">
        <f t="shared" si="15"/>
        <v/>
      </c>
      <c r="S325" s="14" t="str">
        <f t="shared" si="16"/>
        <v>◯</v>
      </c>
      <c r="T325" s="14" t="str">
        <f t="shared" si="17"/>
        <v/>
      </c>
    </row>
    <row r="326" spans="1:20" hidden="1" x14ac:dyDescent="0.45">
      <c r="A326" s="10" t="str">
        <f>IF(IF(ISNA(計算結果!A326),"",計算結果!A326)=0,"",IF(ISNA(計算結果!A326),"",計算結果!A326))</f>
        <v/>
      </c>
      <c r="B326" s="10" t="str">
        <f>IF(IF(ISNA(計算結果!B326),"",計算結果!B326)=0,"",IF(ISNA(計算結果!B326),"",計算結果!B326))</f>
        <v/>
      </c>
      <c r="C326" s="10" t="str">
        <f>IF(IF(ISNA(計算結果!C326),"",計算結果!C326)=0,"",IF(ISNA(計算結果!C326),"",計算結果!C326))</f>
        <v/>
      </c>
      <c r="D326" s="10" t="str">
        <f>IF(IF(ISNA(計算結果!D326),"",計算結果!D326)=0,"",IF(ISNA(計算結果!D326),"",計算結果!D326))</f>
        <v>L</v>
      </c>
      <c r="E326" s="10" t="str">
        <f>IF(IF(ISNA(計算結果!E326),"",計算結果!E326)=0,"",IF(ISNA(計算結果!E326),"",計算結果!E326))</f>
        <v/>
      </c>
      <c r="F326" s="10" t="str">
        <f>IF(IF(ISNA(計算結果!F326),"",計算結果!F326)=0,"",IF(ISNA(計算結果!F326),"",計算結果!F326))</f>
        <v/>
      </c>
      <c r="G326" s="10" t="str">
        <f>IF(IF(ISNA(計算結果!G326),"",計算結果!G326)=0,"",IF(ISNA(計算結果!G326),"",計算結果!G326))</f>
        <v/>
      </c>
      <c r="H326" s="13">
        <f>IF(IF(ISNA(計算結果!H326),"",計算結果!H326)=0,"",IF(ISNA(計算結果!H326),"",計算結果!H326))</f>
        <v>-2</v>
      </c>
      <c r="I326" s="12" t="str">
        <f>IF(IF(ISNA(計算結果!I326),"",計算結果!I326)=0,"",IF(ISNA(計算結果!I326),"",計算結果!I326))</f>
        <v/>
      </c>
      <c r="J326" s="12" t="str">
        <f>IF(IF(ISNA(計算結果!J326),"",計算結果!J326)=0,"",IF(ISNA(計算結果!J326),"",計算結果!J326))</f>
        <v/>
      </c>
      <c r="K326" s="23" t="str">
        <f>IF(IF(ISNA(計算結果!K326),"",計算結果!K326)=0,"",IF(ISNA(計算結果!K326),"",計算結果!K326))</f>
        <v/>
      </c>
      <c r="L326" s="13" t="str">
        <f>IF(IF(ISNA(計算結果!L326),"",計算結果!L326)=0,"",IF(ISNA(計算結果!L326),"",計算結果!L326))</f>
        <v/>
      </c>
      <c r="M326" s="10" t="str">
        <f>IF(IF(ISNA(計算結果!M326),"",計算結果!M326)=0,"",IF(ISNA(計算結果!M326),"",計算結果!M326))</f>
        <v/>
      </c>
      <c r="N326" s="10" t="str">
        <f>IF(IF(ISNA(計算結果!N326),"",計算結果!N326)=0,"",IF(ISNA(計算結果!N326),"",計算結果!N326))</f>
        <v/>
      </c>
      <c r="O326" s="13" t="str">
        <f>IF(IF(ISNA(計算結果!O326),"",計算結果!O326)=0,"",IF(ISNA(計算結果!O326),"",計算結果!O326))</f>
        <v/>
      </c>
      <c r="P326" s="10" t="str">
        <f>IF(IF(ISNA(計算結果!P326),"",計算結果!P326)=0,"",IF(ISNA(計算結果!P326),"",計算結果!P326))</f>
        <v/>
      </c>
      <c r="Q326" s="10" t="str">
        <f>IF(IF(ISNA(計算結果!Q326),"",計算結果!Q326)=0,"",IF(ISNA(計算結果!Q326),"",計算結果!Q326))</f>
        <v/>
      </c>
      <c r="R326" s="14" t="str">
        <f t="shared" si="15"/>
        <v/>
      </c>
      <c r="S326" s="14" t="str">
        <f t="shared" si="16"/>
        <v>◯</v>
      </c>
      <c r="T326" s="14" t="str">
        <f t="shared" si="17"/>
        <v/>
      </c>
    </row>
    <row r="327" spans="1:20" hidden="1" x14ac:dyDescent="0.45">
      <c r="A327" s="10" t="str">
        <f>IF(IF(ISNA(計算結果!A327),"",計算結果!A327)=0,"",IF(ISNA(計算結果!A327),"",計算結果!A327))</f>
        <v/>
      </c>
      <c r="B327" s="10" t="str">
        <f>IF(IF(ISNA(計算結果!B327),"",計算結果!B327)=0,"",IF(ISNA(計算結果!B327),"",計算結果!B327))</f>
        <v/>
      </c>
      <c r="C327" s="10" t="str">
        <f>IF(IF(ISNA(計算結果!C327),"",計算結果!C327)=0,"",IF(ISNA(計算結果!C327),"",計算結果!C327))</f>
        <v/>
      </c>
      <c r="D327" s="10" t="str">
        <f>IF(IF(ISNA(計算結果!D327),"",計算結果!D327)=0,"",IF(ISNA(計算結果!D327),"",計算結果!D327))</f>
        <v>L</v>
      </c>
      <c r="E327" s="10" t="str">
        <f>IF(IF(ISNA(計算結果!E327),"",計算結果!E327)=0,"",IF(ISNA(計算結果!E327),"",計算結果!E327))</f>
        <v/>
      </c>
      <c r="F327" s="10" t="str">
        <f>IF(IF(ISNA(計算結果!F327),"",計算結果!F327)=0,"",IF(ISNA(計算結果!F327),"",計算結果!F327))</f>
        <v/>
      </c>
      <c r="G327" s="10" t="str">
        <f>IF(IF(ISNA(計算結果!G327),"",計算結果!G327)=0,"",IF(ISNA(計算結果!G327),"",計算結果!G327))</f>
        <v/>
      </c>
      <c r="H327" s="13">
        <f>IF(IF(ISNA(計算結果!H327),"",計算結果!H327)=0,"",IF(ISNA(計算結果!H327),"",計算結果!H327))</f>
        <v>-2</v>
      </c>
      <c r="I327" s="12" t="str">
        <f>IF(IF(ISNA(計算結果!I327),"",計算結果!I327)=0,"",IF(ISNA(計算結果!I327),"",計算結果!I327))</f>
        <v/>
      </c>
      <c r="J327" s="12" t="str">
        <f>IF(IF(ISNA(計算結果!J327),"",計算結果!J327)=0,"",IF(ISNA(計算結果!J327),"",計算結果!J327))</f>
        <v/>
      </c>
      <c r="K327" s="23" t="str">
        <f>IF(IF(ISNA(計算結果!K327),"",計算結果!K327)=0,"",IF(ISNA(計算結果!K327),"",計算結果!K327))</f>
        <v/>
      </c>
      <c r="L327" s="13" t="str">
        <f>IF(IF(ISNA(計算結果!L327),"",計算結果!L327)=0,"",IF(ISNA(計算結果!L327),"",計算結果!L327))</f>
        <v/>
      </c>
      <c r="M327" s="10" t="str">
        <f>IF(IF(ISNA(計算結果!M327),"",計算結果!M327)=0,"",IF(ISNA(計算結果!M327),"",計算結果!M327))</f>
        <v/>
      </c>
      <c r="N327" s="10" t="str">
        <f>IF(IF(ISNA(計算結果!N327),"",計算結果!N327)=0,"",IF(ISNA(計算結果!N327),"",計算結果!N327))</f>
        <v/>
      </c>
      <c r="O327" s="13" t="str">
        <f>IF(IF(ISNA(計算結果!O327),"",計算結果!O327)=0,"",IF(ISNA(計算結果!O327),"",計算結果!O327))</f>
        <v/>
      </c>
      <c r="P327" s="10" t="str">
        <f>IF(IF(ISNA(計算結果!P327),"",計算結果!P327)=0,"",IF(ISNA(計算結果!P327),"",計算結果!P327))</f>
        <v/>
      </c>
      <c r="Q327" s="10" t="str">
        <f>IF(IF(ISNA(計算結果!Q327),"",計算結果!Q327)=0,"",IF(ISNA(計算結果!Q327),"",計算結果!Q327))</f>
        <v/>
      </c>
      <c r="R327" s="14" t="str">
        <f t="shared" si="15"/>
        <v/>
      </c>
      <c r="S327" s="14" t="str">
        <f t="shared" si="16"/>
        <v>◯</v>
      </c>
      <c r="T327" s="14" t="str">
        <f t="shared" si="17"/>
        <v/>
      </c>
    </row>
    <row r="328" spans="1:20" hidden="1" x14ac:dyDescent="0.45">
      <c r="A328" s="10" t="str">
        <f>IF(IF(ISNA(計算結果!A328),"",計算結果!A328)=0,"",IF(ISNA(計算結果!A328),"",計算結果!A328))</f>
        <v/>
      </c>
      <c r="B328" s="10" t="str">
        <f>IF(IF(ISNA(計算結果!B328),"",計算結果!B328)=0,"",IF(ISNA(計算結果!B328),"",計算結果!B328))</f>
        <v/>
      </c>
      <c r="C328" s="10" t="str">
        <f>IF(IF(ISNA(計算結果!C328),"",計算結果!C328)=0,"",IF(ISNA(計算結果!C328),"",計算結果!C328))</f>
        <v/>
      </c>
      <c r="D328" s="10" t="str">
        <f>IF(IF(ISNA(計算結果!D328),"",計算結果!D328)=0,"",IF(ISNA(計算結果!D328),"",計算結果!D328))</f>
        <v>L</v>
      </c>
      <c r="E328" s="10" t="str">
        <f>IF(IF(ISNA(計算結果!E328),"",計算結果!E328)=0,"",IF(ISNA(計算結果!E328),"",計算結果!E328))</f>
        <v/>
      </c>
      <c r="F328" s="10" t="str">
        <f>IF(IF(ISNA(計算結果!F328),"",計算結果!F328)=0,"",IF(ISNA(計算結果!F328),"",計算結果!F328))</f>
        <v/>
      </c>
      <c r="G328" s="10" t="str">
        <f>IF(IF(ISNA(計算結果!G328),"",計算結果!G328)=0,"",IF(ISNA(計算結果!G328),"",計算結果!G328))</f>
        <v/>
      </c>
      <c r="H328" s="13">
        <f>IF(IF(ISNA(計算結果!H328),"",計算結果!H328)=0,"",IF(ISNA(計算結果!H328),"",計算結果!H328))</f>
        <v>-2</v>
      </c>
      <c r="I328" s="12" t="str">
        <f>IF(IF(ISNA(計算結果!I328),"",計算結果!I328)=0,"",IF(ISNA(計算結果!I328),"",計算結果!I328))</f>
        <v/>
      </c>
      <c r="J328" s="12" t="str">
        <f>IF(IF(ISNA(計算結果!J328),"",計算結果!J328)=0,"",IF(ISNA(計算結果!J328),"",計算結果!J328))</f>
        <v/>
      </c>
      <c r="K328" s="23" t="str">
        <f>IF(IF(ISNA(計算結果!K328),"",計算結果!K328)=0,"",IF(ISNA(計算結果!K328),"",計算結果!K328))</f>
        <v/>
      </c>
      <c r="L328" s="13" t="str">
        <f>IF(IF(ISNA(計算結果!L328),"",計算結果!L328)=0,"",IF(ISNA(計算結果!L328),"",計算結果!L328))</f>
        <v/>
      </c>
      <c r="M328" s="10" t="str">
        <f>IF(IF(ISNA(計算結果!M328),"",計算結果!M328)=0,"",IF(ISNA(計算結果!M328),"",計算結果!M328))</f>
        <v/>
      </c>
      <c r="N328" s="10" t="str">
        <f>IF(IF(ISNA(計算結果!N328),"",計算結果!N328)=0,"",IF(ISNA(計算結果!N328),"",計算結果!N328))</f>
        <v/>
      </c>
      <c r="O328" s="13" t="str">
        <f>IF(IF(ISNA(計算結果!O328),"",計算結果!O328)=0,"",IF(ISNA(計算結果!O328),"",計算結果!O328))</f>
        <v/>
      </c>
      <c r="P328" s="10" t="str">
        <f>IF(IF(ISNA(計算結果!P328),"",計算結果!P328)=0,"",IF(ISNA(計算結果!P328),"",計算結果!P328))</f>
        <v/>
      </c>
      <c r="Q328" s="10" t="str">
        <f>IF(IF(ISNA(計算結果!Q328),"",計算結果!Q328)=0,"",IF(ISNA(計算結果!Q328),"",計算結果!Q328))</f>
        <v/>
      </c>
      <c r="R328" s="14" t="str">
        <f t="shared" si="15"/>
        <v/>
      </c>
      <c r="S328" s="14" t="str">
        <f t="shared" si="16"/>
        <v>◯</v>
      </c>
      <c r="T328" s="14" t="str">
        <f t="shared" si="17"/>
        <v/>
      </c>
    </row>
    <row r="329" spans="1:20" hidden="1" x14ac:dyDescent="0.45">
      <c r="A329" s="10" t="str">
        <f>IF(IF(ISNA(計算結果!A329),"",計算結果!A329)=0,"",IF(ISNA(計算結果!A329),"",計算結果!A329))</f>
        <v/>
      </c>
      <c r="B329" s="10" t="str">
        <f>IF(IF(ISNA(計算結果!B329),"",計算結果!B329)=0,"",IF(ISNA(計算結果!B329),"",計算結果!B329))</f>
        <v/>
      </c>
      <c r="C329" s="10" t="str">
        <f>IF(IF(ISNA(計算結果!C329),"",計算結果!C329)=0,"",IF(ISNA(計算結果!C329),"",計算結果!C329))</f>
        <v/>
      </c>
      <c r="D329" s="10" t="str">
        <f>IF(IF(ISNA(計算結果!D329),"",計算結果!D329)=0,"",IF(ISNA(計算結果!D329),"",計算結果!D329))</f>
        <v>L</v>
      </c>
      <c r="E329" s="10" t="str">
        <f>IF(IF(ISNA(計算結果!E329),"",計算結果!E329)=0,"",IF(ISNA(計算結果!E329),"",計算結果!E329))</f>
        <v/>
      </c>
      <c r="F329" s="10" t="str">
        <f>IF(IF(ISNA(計算結果!F329),"",計算結果!F329)=0,"",IF(ISNA(計算結果!F329),"",計算結果!F329))</f>
        <v/>
      </c>
      <c r="G329" s="10" t="str">
        <f>IF(IF(ISNA(計算結果!G329),"",計算結果!G329)=0,"",IF(ISNA(計算結果!G329),"",計算結果!G329))</f>
        <v/>
      </c>
      <c r="H329" s="13">
        <f>IF(IF(ISNA(計算結果!H329),"",計算結果!H329)=0,"",IF(ISNA(計算結果!H329),"",計算結果!H329))</f>
        <v>-2</v>
      </c>
      <c r="I329" s="12" t="str">
        <f>IF(IF(ISNA(計算結果!I329),"",計算結果!I329)=0,"",IF(ISNA(計算結果!I329),"",計算結果!I329))</f>
        <v/>
      </c>
      <c r="J329" s="12" t="str">
        <f>IF(IF(ISNA(計算結果!J329),"",計算結果!J329)=0,"",IF(ISNA(計算結果!J329),"",計算結果!J329))</f>
        <v/>
      </c>
      <c r="K329" s="23" t="str">
        <f>IF(IF(ISNA(計算結果!K329),"",計算結果!K329)=0,"",IF(ISNA(計算結果!K329),"",計算結果!K329))</f>
        <v/>
      </c>
      <c r="L329" s="13" t="str">
        <f>IF(IF(ISNA(計算結果!L329),"",計算結果!L329)=0,"",IF(ISNA(計算結果!L329),"",計算結果!L329))</f>
        <v/>
      </c>
      <c r="M329" s="10" t="str">
        <f>IF(IF(ISNA(計算結果!M329),"",計算結果!M329)=0,"",IF(ISNA(計算結果!M329),"",計算結果!M329))</f>
        <v/>
      </c>
      <c r="N329" s="10" t="str">
        <f>IF(IF(ISNA(計算結果!N329),"",計算結果!N329)=0,"",IF(ISNA(計算結果!N329),"",計算結果!N329))</f>
        <v/>
      </c>
      <c r="O329" s="13" t="str">
        <f>IF(IF(ISNA(計算結果!O329),"",計算結果!O329)=0,"",IF(ISNA(計算結果!O329),"",計算結果!O329))</f>
        <v/>
      </c>
      <c r="P329" s="10" t="str">
        <f>IF(IF(ISNA(計算結果!P329),"",計算結果!P329)=0,"",IF(ISNA(計算結果!P329),"",計算結果!P329))</f>
        <v/>
      </c>
      <c r="Q329" s="10" t="str">
        <f>IF(IF(ISNA(計算結果!Q329),"",計算結果!Q329)=0,"",IF(ISNA(計算結果!Q329),"",計算結果!Q329))</f>
        <v/>
      </c>
      <c r="R329" s="14" t="str">
        <f t="shared" si="15"/>
        <v/>
      </c>
      <c r="S329" s="14" t="str">
        <f t="shared" si="16"/>
        <v>◯</v>
      </c>
      <c r="T329" s="14" t="str">
        <f t="shared" si="17"/>
        <v/>
      </c>
    </row>
    <row r="330" spans="1:20" hidden="1" x14ac:dyDescent="0.45">
      <c r="A330" s="10" t="str">
        <f>IF(IF(ISNA(計算結果!A330),"",計算結果!A330)=0,"",IF(ISNA(計算結果!A330),"",計算結果!A330))</f>
        <v/>
      </c>
      <c r="B330" s="10" t="str">
        <f>IF(IF(ISNA(計算結果!B330),"",計算結果!B330)=0,"",IF(ISNA(計算結果!B330),"",計算結果!B330))</f>
        <v/>
      </c>
      <c r="C330" s="10" t="str">
        <f>IF(IF(ISNA(計算結果!C330),"",計算結果!C330)=0,"",IF(ISNA(計算結果!C330),"",計算結果!C330))</f>
        <v/>
      </c>
      <c r="D330" s="10" t="str">
        <f>IF(IF(ISNA(計算結果!D330),"",計算結果!D330)=0,"",IF(ISNA(計算結果!D330),"",計算結果!D330))</f>
        <v>L</v>
      </c>
      <c r="E330" s="10" t="str">
        <f>IF(IF(ISNA(計算結果!E330),"",計算結果!E330)=0,"",IF(ISNA(計算結果!E330),"",計算結果!E330))</f>
        <v/>
      </c>
      <c r="F330" s="10" t="str">
        <f>IF(IF(ISNA(計算結果!F330),"",計算結果!F330)=0,"",IF(ISNA(計算結果!F330),"",計算結果!F330))</f>
        <v/>
      </c>
      <c r="G330" s="10" t="str">
        <f>IF(IF(ISNA(計算結果!G330),"",計算結果!G330)=0,"",IF(ISNA(計算結果!G330),"",計算結果!G330))</f>
        <v/>
      </c>
      <c r="H330" s="13">
        <f>IF(IF(ISNA(計算結果!H330),"",計算結果!H330)=0,"",IF(ISNA(計算結果!H330),"",計算結果!H330))</f>
        <v>-2</v>
      </c>
      <c r="I330" s="12" t="str">
        <f>IF(IF(ISNA(計算結果!I330),"",計算結果!I330)=0,"",IF(ISNA(計算結果!I330),"",計算結果!I330))</f>
        <v/>
      </c>
      <c r="J330" s="12" t="str">
        <f>IF(IF(ISNA(計算結果!J330),"",計算結果!J330)=0,"",IF(ISNA(計算結果!J330),"",計算結果!J330))</f>
        <v/>
      </c>
      <c r="K330" s="23" t="str">
        <f>IF(IF(ISNA(計算結果!K330),"",計算結果!K330)=0,"",IF(ISNA(計算結果!K330),"",計算結果!K330))</f>
        <v/>
      </c>
      <c r="L330" s="13" t="str">
        <f>IF(IF(ISNA(計算結果!L330),"",計算結果!L330)=0,"",IF(ISNA(計算結果!L330),"",計算結果!L330))</f>
        <v/>
      </c>
      <c r="M330" s="10" t="str">
        <f>IF(IF(ISNA(計算結果!M330),"",計算結果!M330)=0,"",IF(ISNA(計算結果!M330),"",計算結果!M330))</f>
        <v/>
      </c>
      <c r="N330" s="10" t="str">
        <f>IF(IF(ISNA(計算結果!N330),"",計算結果!N330)=0,"",IF(ISNA(計算結果!N330),"",計算結果!N330))</f>
        <v/>
      </c>
      <c r="O330" s="13" t="str">
        <f>IF(IF(ISNA(計算結果!O330),"",計算結果!O330)=0,"",IF(ISNA(計算結果!O330),"",計算結果!O330))</f>
        <v/>
      </c>
      <c r="P330" s="10" t="str">
        <f>IF(IF(ISNA(計算結果!P330),"",計算結果!P330)=0,"",IF(ISNA(計算結果!P330),"",計算結果!P330))</f>
        <v/>
      </c>
      <c r="Q330" s="10" t="str">
        <f>IF(IF(ISNA(計算結果!Q330),"",計算結果!Q330)=0,"",IF(ISNA(計算結果!Q330),"",計算結果!Q330))</f>
        <v/>
      </c>
      <c r="R330" s="14" t="str">
        <f t="shared" si="15"/>
        <v/>
      </c>
      <c r="S330" s="14" t="str">
        <f t="shared" si="16"/>
        <v>◯</v>
      </c>
      <c r="T330" s="14" t="str">
        <f t="shared" si="17"/>
        <v/>
      </c>
    </row>
    <row r="331" spans="1:20" hidden="1" x14ac:dyDescent="0.45">
      <c r="A331" s="10" t="str">
        <f>IF(IF(ISNA(計算結果!A331),"",計算結果!A331)=0,"",IF(ISNA(計算結果!A331),"",計算結果!A331))</f>
        <v/>
      </c>
      <c r="B331" s="10" t="str">
        <f>IF(IF(ISNA(計算結果!B331),"",計算結果!B331)=0,"",IF(ISNA(計算結果!B331),"",計算結果!B331))</f>
        <v/>
      </c>
      <c r="C331" s="10" t="str">
        <f>IF(IF(ISNA(計算結果!C331),"",計算結果!C331)=0,"",IF(ISNA(計算結果!C331),"",計算結果!C331))</f>
        <v/>
      </c>
      <c r="D331" s="10" t="str">
        <f>IF(IF(ISNA(計算結果!D331),"",計算結果!D331)=0,"",IF(ISNA(計算結果!D331),"",計算結果!D331))</f>
        <v>L</v>
      </c>
      <c r="E331" s="10" t="str">
        <f>IF(IF(ISNA(計算結果!E331),"",計算結果!E331)=0,"",IF(ISNA(計算結果!E331),"",計算結果!E331))</f>
        <v/>
      </c>
      <c r="F331" s="10" t="str">
        <f>IF(IF(ISNA(計算結果!F331),"",計算結果!F331)=0,"",IF(ISNA(計算結果!F331),"",計算結果!F331))</f>
        <v/>
      </c>
      <c r="G331" s="10" t="str">
        <f>IF(IF(ISNA(計算結果!G331),"",計算結果!G331)=0,"",IF(ISNA(計算結果!G331),"",計算結果!G331))</f>
        <v/>
      </c>
      <c r="H331" s="13">
        <f>IF(IF(ISNA(計算結果!H331),"",計算結果!H331)=0,"",IF(ISNA(計算結果!H331),"",計算結果!H331))</f>
        <v>-2</v>
      </c>
      <c r="I331" s="12" t="str">
        <f>IF(IF(ISNA(計算結果!I331),"",計算結果!I331)=0,"",IF(ISNA(計算結果!I331),"",計算結果!I331))</f>
        <v/>
      </c>
      <c r="J331" s="12" t="str">
        <f>IF(IF(ISNA(計算結果!J331),"",計算結果!J331)=0,"",IF(ISNA(計算結果!J331),"",計算結果!J331))</f>
        <v/>
      </c>
      <c r="K331" s="23" t="str">
        <f>IF(IF(ISNA(計算結果!K331),"",計算結果!K331)=0,"",IF(ISNA(計算結果!K331),"",計算結果!K331))</f>
        <v/>
      </c>
      <c r="L331" s="13" t="str">
        <f>IF(IF(ISNA(計算結果!L331),"",計算結果!L331)=0,"",IF(ISNA(計算結果!L331),"",計算結果!L331))</f>
        <v/>
      </c>
      <c r="M331" s="10" t="str">
        <f>IF(IF(ISNA(計算結果!M331),"",計算結果!M331)=0,"",IF(ISNA(計算結果!M331),"",計算結果!M331))</f>
        <v/>
      </c>
      <c r="N331" s="10" t="str">
        <f>IF(IF(ISNA(計算結果!N331),"",計算結果!N331)=0,"",IF(ISNA(計算結果!N331),"",計算結果!N331))</f>
        <v/>
      </c>
      <c r="O331" s="13" t="str">
        <f>IF(IF(ISNA(計算結果!O331),"",計算結果!O331)=0,"",IF(ISNA(計算結果!O331),"",計算結果!O331))</f>
        <v/>
      </c>
      <c r="P331" s="10" t="str">
        <f>IF(IF(ISNA(計算結果!P331),"",計算結果!P331)=0,"",IF(ISNA(計算結果!P331),"",計算結果!P331))</f>
        <v/>
      </c>
      <c r="Q331" s="10" t="str">
        <f>IF(IF(ISNA(計算結果!Q331),"",計算結果!Q331)=0,"",IF(ISNA(計算結果!Q331),"",計算結果!Q331))</f>
        <v/>
      </c>
      <c r="R331" s="14" t="str">
        <f t="shared" si="15"/>
        <v/>
      </c>
      <c r="S331" s="14" t="str">
        <f t="shared" si="16"/>
        <v>◯</v>
      </c>
      <c r="T331" s="14" t="str">
        <f t="shared" si="17"/>
        <v/>
      </c>
    </row>
    <row r="332" spans="1:20" hidden="1" x14ac:dyDescent="0.45">
      <c r="A332" s="10" t="str">
        <f>IF(IF(ISNA(計算結果!A332),"",計算結果!A332)=0,"",IF(ISNA(計算結果!A332),"",計算結果!A332))</f>
        <v/>
      </c>
      <c r="B332" s="10" t="str">
        <f>IF(IF(ISNA(計算結果!B332),"",計算結果!B332)=0,"",IF(ISNA(計算結果!B332),"",計算結果!B332))</f>
        <v/>
      </c>
      <c r="C332" s="10" t="str">
        <f>IF(IF(ISNA(計算結果!C332),"",計算結果!C332)=0,"",IF(ISNA(計算結果!C332),"",計算結果!C332))</f>
        <v/>
      </c>
      <c r="D332" s="10" t="str">
        <f>IF(IF(ISNA(計算結果!D332),"",計算結果!D332)=0,"",IF(ISNA(計算結果!D332),"",計算結果!D332))</f>
        <v>L</v>
      </c>
      <c r="E332" s="10" t="str">
        <f>IF(IF(ISNA(計算結果!E332),"",計算結果!E332)=0,"",IF(ISNA(計算結果!E332),"",計算結果!E332))</f>
        <v/>
      </c>
      <c r="F332" s="10" t="str">
        <f>IF(IF(ISNA(計算結果!F332),"",計算結果!F332)=0,"",IF(ISNA(計算結果!F332),"",計算結果!F332))</f>
        <v/>
      </c>
      <c r="G332" s="10" t="str">
        <f>IF(IF(ISNA(計算結果!G332),"",計算結果!G332)=0,"",IF(ISNA(計算結果!G332),"",計算結果!G332))</f>
        <v/>
      </c>
      <c r="H332" s="13">
        <f>IF(IF(ISNA(計算結果!H332),"",計算結果!H332)=0,"",IF(ISNA(計算結果!H332),"",計算結果!H332))</f>
        <v>-2</v>
      </c>
      <c r="I332" s="12" t="str">
        <f>IF(IF(ISNA(計算結果!I332),"",計算結果!I332)=0,"",IF(ISNA(計算結果!I332),"",計算結果!I332))</f>
        <v/>
      </c>
      <c r="J332" s="12" t="str">
        <f>IF(IF(ISNA(計算結果!J332),"",計算結果!J332)=0,"",IF(ISNA(計算結果!J332),"",計算結果!J332))</f>
        <v/>
      </c>
      <c r="K332" s="23" t="str">
        <f>IF(IF(ISNA(計算結果!K332),"",計算結果!K332)=0,"",IF(ISNA(計算結果!K332),"",計算結果!K332))</f>
        <v/>
      </c>
      <c r="L332" s="13" t="str">
        <f>IF(IF(ISNA(計算結果!L332),"",計算結果!L332)=0,"",IF(ISNA(計算結果!L332),"",計算結果!L332))</f>
        <v/>
      </c>
      <c r="M332" s="10" t="str">
        <f>IF(IF(ISNA(計算結果!M332),"",計算結果!M332)=0,"",IF(ISNA(計算結果!M332),"",計算結果!M332))</f>
        <v/>
      </c>
      <c r="N332" s="10" t="str">
        <f>IF(IF(ISNA(計算結果!N332),"",計算結果!N332)=0,"",IF(ISNA(計算結果!N332),"",計算結果!N332))</f>
        <v/>
      </c>
      <c r="O332" s="13" t="str">
        <f>IF(IF(ISNA(計算結果!O332),"",計算結果!O332)=0,"",IF(ISNA(計算結果!O332),"",計算結果!O332))</f>
        <v/>
      </c>
      <c r="P332" s="10" t="str">
        <f>IF(IF(ISNA(計算結果!P332),"",計算結果!P332)=0,"",IF(ISNA(計算結果!P332),"",計算結果!P332))</f>
        <v/>
      </c>
      <c r="Q332" s="10" t="str">
        <f>IF(IF(ISNA(計算結果!Q332),"",計算結果!Q332)=0,"",IF(ISNA(計算結果!Q332),"",計算結果!Q332))</f>
        <v/>
      </c>
      <c r="R332" s="14" t="str">
        <f t="shared" si="15"/>
        <v/>
      </c>
      <c r="S332" s="14" t="str">
        <f t="shared" si="16"/>
        <v>◯</v>
      </c>
      <c r="T332" s="14" t="str">
        <f t="shared" si="17"/>
        <v/>
      </c>
    </row>
    <row r="333" spans="1:20" hidden="1" x14ac:dyDescent="0.45">
      <c r="A333" s="10" t="str">
        <f>IF(IF(ISNA(計算結果!A333),"",計算結果!A333)=0,"",IF(ISNA(計算結果!A333),"",計算結果!A333))</f>
        <v/>
      </c>
      <c r="B333" s="10" t="str">
        <f>IF(IF(ISNA(計算結果!B333),"",計算結果!B333)=0,"",IF(ISNA(計算結果!B333),"",計算結果!B333))</f>
        <v/>
      </c>
      <c r="C333" s="10" t="str">
        <f>IF(IF(ISNA(計算結果!C333),"",計算結果!C333)=0,"",IF(ISNA(計算結果!C333),"",計算結果!C333))</f>
        <v/>
      </c>
      <c r="D333" s="10" t="str">
        <f>IF(IF(ISNA(計算結果!D333),"",計算結果!D333)=0,"",IF(ISNA(計算結果!D333),"",計算結果!D333))</f>
        <v>L</v>
      </c>
      <c r="E333" s="10" t="str">
        <f>IF(IF(ISNA(計算結果!E333),"",計算結果!E333)=0,"",IF(ISNA(計算結果!E333),"",計算結果!E333))</f>
        <v/>
      </c>
      <c r="F333" s="10" t="str">
        <f>IF(IF(ISNA(計算結果!F333),"",計算結果!F333)=0,"",IF(ISNA(計算結果!F333),"",計算結果!F333))</f>
        <v/>
      </c>
      <c r="G333" s="10" t="str">
        <f>IF(IF(ISNA(計算結果!G333),"",計算結果!G333)=0,"",IF(ISNA(計算結果!G333),"",計算結果!G333))</f>
        <v/>
      </c>
      <c r="H333" s="13">
        <f>IF(IF(ISNA(計算結果!H333),"",計算結果!H333)=0,"",IF(ISNA(計算結果!H333),"",計算結果!H333))</f>
        <v>-2</v>
      </c>
      <c r="I333" s="12" t="str">
        <f>IF(IF(ISNA(計算結果!I333),"",計算結果!I333)=0,"",IF(ISNA(計算結果!I333),"",計算結果!I333))</f>
        <v/>
      </c>
      <c r="J333" s="12" t="str">
        <f>IF(IF(ISNA(計算結果!J333),"",計算結果!J333)=0,"",IF(ISNA(計算結果!J333),"",計算結果!J333))</f>
        <v/>
      </c>
      <c r="K333" s="23" t="str">
        <f>IF(IF(ISNA(計算結果!K333),"",計算結果!K333)=0,"",IF(ISNA(計算結果!K333),"",計算結果!K333))</f>
        <v/>
      </c>
      <c r="L333" s="13" t="str">
        <f>IF(IF(ISNA(計算結果!L333),"",計算結果!L333)=0,"",IF(ISNA(計算結果!L333),"",計算結果!L333))</f>
        <v/>
      </c>
      <c r="M333" s="10" t="str">
        <f>IF(IF(ISNA(計算結果!M333),"",計算結果!M333)=0,"",IF(ISNA(計算結果!M333),"",計算結果!M333))</f>
        <v/>
      </c>
      <c r="N333" s="10" t="str">
        <f>IF(IF(ISNA(計算結果!N333),"",計算結果!N333)=0,"",IF(ISNA(計算結果!N333),"",計算結果!N333))</f>
        <v/>
      </c>
      <c r="O333" s="13" t="str">
        <f>IF(IF(ISNA(計算結果!O333),"",計算結果!O333)=0,"",IF(ISNA(計算結果!O333),"",計算結果!O333))</f>
        <v/>
      </c>
      <c r="P333" s="10" t="str">
        <f>IF(IF(ISNA(計算結果!P333),"",計算結果!P333)=0,"",IF(ISNA(計算結果!P333),"",計算結果!P333))</f>
        <v/>
      </c>
      <c r="Q333" s="10" t="str">
        <f>IF(IF(ISNA(計算結果!Q333),"",計算結果!Q333)=0,"",IF(ISNA(計算結果!Q333),"",計算結果!Q333))</f>
        <v/>
      </c>
      <c r="R333" s="14" t="str">
        <f t="shared" si="15"/>
        <v/>
      </c>
      <c r="S333" s="14" t="str">
        <f t="shared" si="16"/>
        <v>◯</v>
      </c>
      <c r="T333" s="14" t="str">
        <f t="shared" si="17"/>
        <v/>
      </c>
    </row>
    <row r="334" spans="1:20" hidden="1" x14ac:dyDescent="0.45">
      <c r="A334" s="10" t="str">
        <f>IF(IF(ISNA(計算結果!A334),"",計算結果!A334)=0,"",IF(ISNA(計算結果!A334),"",計算結果!A334))</f>
        <v/>
      </c>
      <c r="B334" s="10" t="str">
        <f>IF(IF(ISNA(計算結果!B334),"",計算結果!B334)=0,"",IF(ISNA(計算結果!B334),"",計算結果!B334))</f>
        <v/>
      </c>
      <c r="C334" s="10" t="str">
        <f>IF(IF(ISNA(計算結果!C334),"",計算結果!C334)=0,"",IF(ISNA(計算結果!C334),"",計算結果!C334))</f>
        <v/>
      </c>
      <c r="D334" s="10" t="str">
        <f>IF(IF(ISNA(計算結果!D334),"",計算結果!D334)=0,"",IF(ISNA(計算結果!D334),"",計算結果!D334))</f>
        <v>L</v>
      </c>
      <c r="E334" s="10" t="str">
        <f>IF(IF(ISNA(計算結果!E334),"",計算結果!E334)=0,"",IF(ISNA(計算結果!E334),"",計算結果!E334))</f>
        <v/>
      </c>
      <c r="F334" s="10" t="str">
        <f>IF(IF(ISNA(計算結果!F334),"",計算結果!F334)=0,"",IF(ISNA(計算結果!F334),"",計算結果!F334))</f>
        <v/>
      </c>
      <c r="G334" s="10" t="str">
        <f>IF(IF(ISNA(計算結果!G334),"",計算結果!G334)=0,"",IF(ISNA(計算結果!G334),"",計算結果!G334))</f>
        <v/>
      </c>
      <c r="H334" s="13">
        <f>IF(IF(ISNA(計算結果!H334),"",計算結果!H334)=0,"",IF(ISNA(計算結果!H334),"",計算結果!H334))</f>
        <v>-2</v>
      </c>
      <c r="I334" s="12" t="str">
        <f>IF(IF(ISNA(計算結果!I334),"",計算結果!I334)=0,"",IF(ISNA(計算結果!I334),"",計算結果!I334))</f>
        <v/>
      </c>
      <c r="J334" s="12" t="str">
        <f>IF(IF(ISNA(計算結果!J334),"",計算結果!J334)=0,"",IF(ISNA(計算結果!J334),"",計算結果!J334))</f>
        <v/>
      </c>
      <c r="K334" s="23" t="str">
        <f>IF(IF(ISNA(計算結果!K334),"",計算結果!K334)=0,"",IF(ISNA(計算結果!K334),"",計算結果!K334))</f>
        <v/>
      </c>
      <c r="L334" s="13" t="str">
        <f>IF(IF(ISNA(計算結果!L334),"",計算結果!L334)=0,"",IF(ISNA(計算結果!L334),"",計算結果!L334))</f>
        <v/>
      </c>
      <c r="M334" s="10" t="str">
        <f>IF(IF(ISNA(計算結果!M334),"",計算結果!M334)=0,"",IF(ISNA(計算結果!M334),"",計算結果!M334))</f>
        <v/>
      </c>
      <c r="N334" s="10" t="str">
        <f>IF(IF(ISNA(計算結果!N334),"",計算結果!N334)=0,"",IF(ISNA(計算結果!N334),"",計算結果!N334))</f>
        <v/>
      </c>
      <c r="O334" s="13" t="str">
        <f>IF(IF(ISNA(計算結果!O334),"",計算結果!O334)=0,"",IF(ISNA(計算結果!O334),"",計算結果!O334))</f>
        <v/>
      </c>
      <c r="P334" s="10" t="str">
        <f>IF(IF(ISNA(計算結果!P334),"",計算結果!P334)=0,"",IF(ISNA(計算結果!P334),"",計算結果!P334))</f>
        <v/>
      </c>
      <c r="Q334" s="10" t="str">
        <f>IF(IF(ISNA(計算結果!Q334),"",計算結果!Q334)=0,"",IF(ISNA(計算結果!Q334),"",計算結果!Q334))</f>
        <v/>
      </c>
      <c r="R334" s="14" t="str">
        <f t="shared" si="15"/>
        <v/>
      </c>
      <c r="S334" s="14" t="str">
        <f t="shared" si="16"/>
        <v>◯</v>
      </c>
      <c r="T334" s="14" t="str">
        <f t="shared" si="17"/>
        <v/>
      </c>
    </row>
    <row r="335" spans="1:20" hidden="1" x14ac:dyDescent="0.45">
      <c r="A335" s="10" t="str">
        <f>IF(IF(ISNA(計算結果!A335),"",計算結果!A335)=0,"",IF(ISNA(計算結果!A335),"",計算結果!A335))</f>
        <v/>
      </c>
      <c r="B335" s="10" t="str">
        <f>IF(IF(ISNA(計算結果!B335),"",計算結果!B335)=0,"",IF(ISNA(計算結果!B335),"",計算結果!B335))</f>
        <v/>
      </c>
      <c r="C335" s="10" t="str">
        <f>IF(IF(ISNA(計算結果!C335),"",計算結果!C335)=0,"",IF(ISNA(計算結果!C335),"",計算結果!C335))</f>
        <v/>
      </c>
      <c r="D335" s="10" t="str">
        <f>IF(IF(ISNA(計算結果!D335),"",計算結果!D335)=0,"",IF(ISNA(計算結果!D335),"",計算結果!D335))</f>
        <v>L</v>
      </c>
      <c r="E335" s="10" t="str">
        <f>IF(IF(ISNA(計算結果!E335),"",計算結果!E335)=0,"",IF(ISNA(計算結果!E335),"",計算結果!E335))</f>
        <v/>
      </c>
      <c r="F335" s="10" t="str">
        <f>IF(IF(ISNA(計算結果!F335),"",計算結果!F335)=0,"",IF(ISNA(計算結果!F335),"",計算結果!F335))</f>
        <v/>
      </c>
      <c r="G335" s="10" t="str">
        <f>IF(IF(ISNA(計算結果!G335),"",計算結果!G335)=0,"",IF(ISNA(計算結果!G335),"",計算結果!G335))</f>
        <v/>
      </c>
      <c r="H335" s="13">
        <f>IF(IF(ISNA(計算結果!H335),"",計算結果!H335)=0,"",IF(ISNA(計算結果!H335),"",計算結果!H335))</f>
        <v>-2</v>
      </c>
      <c r="I335" s="12" t="str">
        <f>IF(IF(ISNA(計算結果!I335),"",計算結果!I335)=0,"",IF(ISNA(計算結果!I335),"",計算結果!I335))</f>
        <v/>
      </c>
      <c r="J335" s="12" t="str">
        <f>IF(IF(ISNA(計算結果!J335),"",計算結果!J335)=0,"",IF(ISNA(計算結果!J335),"",計算結果!J335))</f>
        <v/>
      </c>
      <c r="K335" s="23" t="str">
        <f>IF(IF(ISNA(計算結果!K335),"",計算結果!K335)=0,"",IF(ISNA(計算結果!K335),"",計算結果!K335))</f>
        <v/>
      </c>
      <c r="L335" s="13" t="str">
        <f>IF(IF(ISNA(計算結果!L335),"",計算結果!L335)=0,"",IF(ISNA(計算結果!L335),"",計算結果!L335))</f>
        <v/>
      </c>
      <c r="M335" s="10" t="str">
        <f>IF(IF(ISNA(計算結果!M335),"",計算結果!M335)=0,"",IF(ISNA(計算結果!M335),"",計算結果!M335))</f>
        <v/>
      </c>
      <c r="N335" s="10" t="str">
        <f>IF(IF(ISNA(計算結果!N335),"",計算結果!N335)=0,"",IF(ISNA(計算結果!N335),"",計算結果!N335))</f>
        <v/>
      </c>
      <c r="O335" s="13" t="str">
        <f>IF(IF(ISNA(計算結果!O335),"",計算結果!O335)=0,"",IF(ISNA(計算結果!O335),"",計算結果!O335))</f>
        <v/>
      </c>
      <c r="P335" s="10" t="str">
        <f>IF(IF(ISNA(計算結果!P335),"",計算結果!P335)=0,"",IF(ISNA(計算結果!P335),"",計算結果!P335))</f>
        <v/>
      </c>
      <c r="Q335" s="10" t="str">
        <f>IF(IF(ISNA(計算結果!Q335),"",計算結果!Q335)=0,"",IF(ISNA(計算結果!Q335),"",計算結果!Q335))</f>
        <v/>
      </c>
      <c r="R335" s="14" t="str">
        <f t="shared" si="15"/>
        <v/>
      </c>
      <c r="S335" s="14" t="str">
        <f t="shared" si="16"/>
        <v>◯</v>
      </c>
      <c r="T335" s="14" t="str">
        <f t="shared" si="17"/>
        <v/>
      </c>
    </row>
    <row r="336" spans="1:20" hidden="1" x14ac:dyDescent="0.45">
      <c r="A336" s="10" t="str">
        <f>IF(IF(ISNA(計算結果!A336),"",計算結果!A336)=0,"",IF(ISNA(計算結果!A336),"",計算結果!A336))</f>
        <v/>
      </c>
      <c r="B336" s="10" t="str">
        <f>IF(IF(ISNA(計算結果!B336),"",計算結果!B336)=0,"",IF(ISNA(計算結果!B336),"",計算結果!B336))</f>
        <v/>
      </c>
      <c r="C336" s="10" t="str">
        <f>IF(IF(ISNA(計算結果!C336),"",計算結果!C336)=0,"",IF(ISNA(計算結果!C336),"",計算結果!C336))</f>
        <v/>
      </c>
      <c r="D336" s="10" t="str">
        <f>IF(IF(ISNA(計算結果!D336),"",計算結果!D336)=0,"",IF(ISNA(計算結果!D336),"",計算結果!D336))</f>
        <v>L</v>
      </c>
      <c r="E336" s="10" t="str">
        <f>IF(IF(ISNA(計算結果!E336),"",計算結果!E336)=0,"",IF(ISNA(計算結果!E336),"",計算結果!E336))</f>
        <v/>
      </c>
      <c r="F336" s="10" t="str">
        <f>IF(IF(ISNA(計算結果!F336),"",計算結果!F336)=0,"",IF(ISNA(計算結果!F336),"",計算結果!F336))</f>
        <v/>
      </c>
      <c r="G336" s="10" t="str">
        <f>IF(IF(ISNA(計算結果!G336),"",計算結果!G336)=0,"",IF(ISNA(計算結果!G336),"",計算結果!G336))</f>
        <v/>
      </c>
      <c r="H336" s="13">
        <f>IF(IF(ISNA(計算結果!H336),"",計算結果!H336)=0,"",IF(ISNA(計算結果!H336),"",計算結果!H336))</f>
        <v>-2</v>
      </c>
      <c r="I336" s="12" t="str">
        <f>IF(IF(ISNA(計算結果!I336),"",計算結果!I336)=0,"",IF(ISNA(計算結果!I336),"",計算結果!I336))</f>
        <v/>
      </c>
      <c r="J336" s="12" t="str">
        <f>IF(IF(ISNA(計算結果!J336),"",計算結果!J336)=0,"",IF(ISNA(計算結果!J336),"",計算結果!J336))</f>
        <v/>
      </c>
      <c r="K336" s="23" t="str">
        <f>IF(IF(ISNA(計算結果!K336),"",計算結果!K336)=0,"",IF(ISNA(計算結果!K336),"",計算結果!K336))</f>
        <v/>
      </c>
      <c r="L336" s="13" t="str">
        <f>IF(IF(ISNA(計算結果!L336),"",計算結果!L336)=0,"",IF(ISNA(計算結果!L336),"",計算結果!L336))</f>
        <v/>
      </c>
      <c r="M336" s="10" t="str">
        <f>IF(IF(ISNA(計算結果!M336),"",計算結果!M336)=0,"",IF(ISNA(計算結果!M336),"",計算結果!M336))</f>
        <v/>
      </c>
      <c r="N336" s="10" t="str">
        <f>IF(IF(ISNA(計算結果!N336),"",計算結果!N336)=0,"",IF(ISNA(計算結果!N336),"",計算結果!N336))</f>
        <v/>
      </c>
      <c r="O336" s="13" t="str">
        <f>IF(IF(ISNA(計算結果!O336),"",計算結果!O336)=0,"",IF(ISNA(計算結果!O336),"",計算結果!O336))</f>
        <v/>
      </c>
      <c r="P336" s="10" t="str">
        <f>IF(IF(ISNA(計算結果!P336),"",計算結果!P336)=0,"",IF(ISNA(計算結果!P336),"",計算結果!P336))</f>
        <v/>
      </c>
      <c r="Q336" s="10" t="str">
        <f>IF(IF(ISNA(計算結果!Q336),"",計算結果!Q336)=0,"",IF(ISNA(計算結果!Q336),"",計算結果!Q336))</f>
        <v/>
      </c>
      <c r="R336" s="14" t="str">
        <f t="shared" si="15"/>
        <v/>
      </c>
      <c r="S336" s="14" t="str">
        <f t="shared" si="16"/>
        <v>◯</v>
      </c>
      <c r="T336" s="14" t="str">
        <f t="shared" si="17"/>
        <v/>
      </c>
    </row>
    <row r="337" spans="1:20" hidden="1" x14ac:dyDescent="0.45">
      <c r="A337" s="10" t="str">
        <f>IF(IF(ISNA(計算結果!A337),"",計算結果!A337)=0,"",IF(ISNA(計算結果!A337),"",計算結果!A337))</f>
        <v/>
      </c>
      <c r="B337" s="10" t="str">
        <f>IF(IF(ISNA(計算結果!B337),"",計算結果!B337)=0,"",IF(ISNA(計算結果!B337),"",計算結果!B337))</f>
        <v/>
      </c>
      <c r="C337" s="10" t="str">
        <f>IF(IF(ISNA(計算結果!C337),"",計算結果!C337)=0,"",IF(ISNA(計算結果!C337),"",計算結果!C337))</f>
        <v/>
      </c>
      <c r="D337" s="10" t="str">
        <f>IF(IF(ISNA(計算結果!D337),"",計算結果!D337)=0,"",IF(ISNA(計算結果!D337),"",計算結果!D337))</f>
        <v>L</v>
      </c>
      <c r="E337" s="10" t="str">
        <f>IF(IF(ISNA(計算結果!E337),"",計算結果!E337)=0,"",IF(ISNA(計算結果!E337),"",計算結果!E337))</f>
        <v/>
      </c>
      <c r="F337" s="10" t="str">
        <f>IF(IF(ISNA(計算結果!F337),"",計算結果!F337)=0,"",IF(ISNA(計算結果!F337),"",計算結果!F337))</f>
        <v/>
      </c>
      <c r="G337" s="10" t="str">
        <f>IF(IF(ISNA(計算結果!G337),"",計算結果!G337)=0,"",IF(ISNA(計算結果!G337),"",計算結果!G337))</f>
        <v/>
      </c>
      <c r="H337" s="13">
        <f>IF(IF(ISNA(計算結果!H337),"",計算結果!H337)=0,"",IF(ISNA(計算結果!H337),"",計算結果!H337))</f>
        <v>-2</v>
      </c>
      <c r="I337" s="12" t="str">
        <f>IF(IF(ISNA(計算結果!I337),"",計算結果!I337)=0,"",IF(ISNA(計算結果!I337),"",計算結果!I337))</f>
        <v/>
      </c>
      <c r="J337" s="12" t="str">
        <f>IF(IF(ISNA(計算結果!J337),"",計算結果!J337)=0,"",IF(ISNA(計算結果!J337),"",計算結果!J337))</f>
        <v/>
      </c>
      <c r="K337" s="23" t="str">
        <f>IF(IF(ISNA(計算結果!K337),"",計算結果!K337)=0,"",IF(ISNA(計算結果!K337),"",計算結果!K337))</f>
        <v/>
      </c>
      <c r="L337" s="13" t="str">
        <f>IF(IF(ISNA(計算結果!L337),"",計算結果!L337)=0,"",IF(ISNA(計算結果!L337),"",計算結果!L337))</f>
        <v/>
      </c>
      <c r="M337" s="10" t="str">
        <f>IF(IF(ISNA(計算結果!M337),"",計算結果!M337)=0,"",IF(ISNA(計算結果!M337),"",計算結果!M337))</f>
        <v/>
      </c>
      <c r="N337" s="10" t="str">
        <f>IF(IF(ISNA(計算結果!N337),"",計算結果!N337)=0,"",IF(ISNA(計算結果!N337),"",計算結果!N337))</f>
        <v/>
      </c>
      <c r="O337" s="13" t="str">
        <f>IF(IF(ISNA(計算結果!O337),"",計算結果!O337)=0,"",IF(ISNA(計算結果!O337),"",計算結果!O337))</f>
        <v/>
      </c>
      <c r="P337" s="10" t="str">
        <f>IF(IF(ISNA(計算結果!P337),"",計算結果!P337)=0,"",IF(ISNA(計算結果!P337),"",計算結果!P337))</f>
        <v/>
      </c>
      <c r="Q337" s="10" t="str">
        <f>IF(IF(ISNA(計算結果!Q337),"",計算結果!Q337)=0,"",IF(ISNA(計算結果!Q337),"",計算結果!Q337))</f>
        <v/>
      </c>
      <c r="R337" s="14" t="str">
        <f t="shared" si="15"/>
        <v/>
      </c>
      <c r="S337" s="14" t="str">
        <f t="shared" si="16"/>
        <v>◯</v>
      </c>
      <c r="T337" s="14" t="str">
        <f t="shared" si="17"/>
        <v/>
      </c>
    </row>
    <row r="338" spans="1:20" hidden="1" x14ac:dyDescent="0.45">
      <c r="A338" s="10" t="str">
        <f>IF(IF(ISNA(計算結果!A338),"",計算結果!A338)=0,"",IF(ISNA(計算結果!A338),"",計算結果!A338))</f>
        <v/>
      </c>
      <c r="B338" s="10" t="str">
        <f>IF(IF(ISNA(計算結果!B338),"",計算結果!B338)=0,"",IF(ISNA(計算結果!B338),"",計算結果!B338))</f>
        <v/>
      </c>
      <c r="C338" s="10" t="str">
        <f>IF(IF(ISNA(計算結果!C338),"",計算結果!C338)=0,"",IF(ISNA(計算結果!C338),"",計算結果!C338))</f>
        <v/>
      </c>
      <c r="D338" s="10" t="str">
        <f>IF(IF(ISNA(計算結果!D338),"",計算結果!D338)=0,"",IF(ISNA(計算結果!D338),"",計算結果!D338))</f>
        <v>L</v>
      </c>
      <c r="E338" s="10" t="str">
        <f>IF(IF(ISNA(計算結果!E338),"",計算結果!E338)=0,"",IF(ISNA(計算結果!E338),"",計算結果!E338))</f>
        <v/>
      </c>
      <c r="F338" s="10" t="str">
        <f>IF(IF(ISNA(計算結果!F338),"",計算結果!F338)=0,"",IF(ISNA(計算結果!F338),"",計算結果!F338))</f>
        <v/>
      </c>
      <c r="G338" s="10" t="str">
        <f>IF(IF(ISNA(計算結果!G338),"",計算結果!G338)=0,"",IF(ISNA(計算結果!G338),"",計算結果!G338))</f>
        <v/>
      </c>
      <c r="H338" s="13">
        <f>IF(IF(ISNA(計算結果!H338),"",計算結果!H338)=0,"",IF(ISNA(計算結果!H338),"",計算結果!H338))</f>
        <v>-2</v>
      </c>
      <c r="I338" s="12" t="str">
        <f>IF(IF(ISNA(計算結果!I338),"",計算結果!I338)=0,"",IF(ISNA(計算結果!I338),"",計算結果!I338))</f>
        <v/>
      </c>
      <c r="J338" s="12" t="str">
        <f>IF(IF(ISNA(計算結果!J338),"",計算結果!J338)=0,"",IF(ISNA(計算結果!J338),"",計算結果!J338))</f>
        <v/>
      </c>
      <c r="K338" s="23" t="str">
        <f>IF(IF(ISNA(計算結果!K338),"",計算結果!K338)=0,"",IF(ISNA(計算結果!K338),"",計算結果!K338))</f>
        <v/>
      </c>
      <c r="L338" s="13" t="str">
        <f>IF(IF(ISNA(計算結果!L338),"",計算結果!L338)=0,"",IF(ISNA(計算結果!L338),"",計算結果!L338))</f>
        <v/>
      </c>
      <c r="M338" s="10" t="str">
        <f>IF(IF(ISNA(計算結果!M338),"",計算結果!M338)=0,"",IF(ISNA(計算結果!M338),"",計算結果!M338))</f>
        <v/>
      </c>
      <c r="N338" s="10" t="str">
        <f>IF(IF(ISNA(計算結果!N338),"",計算結果!N338)=0,"",IF(ISNA(計算結果!N338),"",計算結果!N338))</f>
        <v/>
      </c>
      <c r="O338" s="13" t="str">
        <f>IF(IF(ISNA(計算結果!O338),"",計算結果!O338)=0,"",IF(ISNA(計算結果!O338),"",計算結果!O338))</f>
        <v/>
      </c>
      <c r="P338" s="10" t="str">
        <f>IF(IF(ISNA(計算結果!P338),"",計算結果!P338)=0,"",IF(ISNA(計算結果!P338),"",計算結果!P338))</f>
        <v/>
      </c>
      <c r="Q338" s="10" t="str">
        <f>IF(IF(ISNA(計算結果!Q338),"",計算結果!Q338)=0,"",IF(ISNA(計算結果!Q338),"",計算結果!Q338))</f>
        <v/>
      </c>
      <c r="R338" s="14" t="str">
        <f t="shared" si="15"/>
        <v/>
      </c>
      <c r="S338" s="14" t="str">
        <f t="shared" si="16"/>
        <v>◯</v>
      </c>
      <c r="T338" s="14" t="str">
        <f t="shared" si="17"/>
        <v/>
      </c>
    </row>
    <row r="339" spans="1:20" hidden="1" x14ac:dyDescent="0.45">
      <c r="A339" s="10" t="str">
        <f>IF(IF(ISNA(計算結果!A339),"",計算結果!A339)=0,"",IF(ISNA(計算結果!A339),"",計算結果!A339))</f>
        <v/>
      </c>
      <c r="B339" s="10" t="str">
        <f>IF(IF(ISNA(計算結果!B339),"",計算結果!B339)=0,"",IF(ISNA(計算結果!B339),"",計算結果!B339))</f>
        <v/>
      </c>
      <c r="C339" s="10" t="str">
        <f>IF(IF(ISNA(計算結果!C339),"",計算結果!C339)=0,"",IF(ISNA(計算結果!C339),"",計算結果!C339))</f>
        <v/>
      </c>
      <c r="D339" s="10" t="str">
        <f>IF(IF(ISNA(計算結果!D339),"",計算結果!D339)=0,"",IF(ISNA(計算結果!D339),"",計算結果!D339))</f>
        <v>L</v>
      </c>
      <c r="E339" s="10" t="str">
        <f>IF(IF(ISNA(計算結果!E339),"",計算結果!E339)=0,"",IF(ISNA(計算結果!E339),"",計算結果!E339))</f>
        <v/>
      </c>
      <c r="F339" s="10" t="str">
        <f>IF(IF(ISNA(計算結果!F339),"",計算結果!F339)=0,"",IF(ISNA(計算結果!F339),"",計算結果!F339))</f>
        <v/>
      </c>
      <c r="G339" s="10" t="str">
        <f>IF(IF(ISNA(計算結果!G339),"",計算結果!G339)=0,"",IF(ISNA(計算結果!G339),"",計算結果!G339))</f>
        <v/>
      </c>
      <c r="H339" s="13">
        <f>IF(IF(ISNA(計算結果!H339),"",計算結果!H339)=0,"",IF(ISNA(計算結果!H339),"",計算結果!H339))</f>
        <v>-2</v>
      </c>
      <c r="I339" s="12" t="str">
        <f>IF(IF(ISNA(計算結果!I339),"",計算結果!I339)=0,"",IF(ISNA(計算結果!I339),"",計算結果!I339))</f>
        <v/>
      </c>
      <c r="J339" s="12" t="str">
        <f>IF(IF(ISNA(計算結果!J339),"",計算結果!J339)=0,"",IF(ISNA(計算結果!J339),"",計算結果!J339))</f>
        <v/>
      </c>
      <c r="K339" s="23" t="str">
        <f>IF(IF(ISNA(計算結果!K339),"",計算結果!K339)=0,"",IF(ISNA(計算結果!K339),"",計算結果!K339))</f>
        <v/>
      </c>
      <c r="L339" s="13" t="str">
        <f>IF(IF(ISNA(計算結果!L339),"",計算結果!L339)=0,"",IF(ISNA(計算結果!L339),"",計算結果!L339))</f>
        <v/>
      </c>
      <c r="M339" s="10" t="str">
        <f>IF(IF(ISNA(計算結果!M339),"",計算結果!M339)=0,"",IF(ISNA(計算結果!M339),"",計算結果!M339))</f>
        <v/>
      </c>
      <c r="N339" s="10" t="str">
        <f>IF(IF(ISNA(計算結果!N339),"",計算結果!N339)=0,"",IF(ISNA(計算結果!N339),"",計算結果!N339))</f>
        <v/>
      </c>
      <c r="O339" s="13" t="str">
        <f>IF(IF(ISNA(計算結果!O339),"",計算結果!O339)=0,"",IF(ISNA(計算結果!O339),"",計算結果!O339))</f>
        <v/>
      </c>
      <c r="P339" s="10" t="str">
        <f>IF(IF(ISNA(計算結果!P339),"",計算結果!P339)=0,"",IF(ISNA(計算結果!P339),"",計算結果!P339))</f>
        <v/>
      </c>
      <c r="Q339" s="10" t="str">
        <f>IF(IF(ISNA(計算結果!Q339),"",計算結果!Q339)=0,"",IF(ISNA(計算結果!Q339),"",計算結果!Q339))</f>
        <v/>
      </c>
      <c r="R339" s="14" t="str">
        <f t="shared" si="15"/>
        <v/>
      </c>
      <c r="S339" s="14" t="str">
        <f t="shared" si="16"/>
        <v>◯</v>
      </c>
      <c r="T339" s="14" t="str">
        <f t="shared" si="17"/>
        <v/>
      </c>
    </row>
    <row r="340" spans="1:20" hidden="1" x14ac:dyDescent="0.45">
      <c r="A340" s="10" t="str">
        <f>IF(IF(ISNA(計算結果!A340),"",計算結果!A340)=0,"",IF(ISNA(計算結果!A340),"",計算結果!A340))</f>
        <v/>
      </c>
      <c r="B340" s="10" t="str">
        <f>IF(IF(ISNA(計算結果!B340),"",計算結果!B340)=0,"",IF(ISNA(計算結果!B340),"",計算結果!B340))</f>
        <v/>
      </c>
      <c r="C340" s="10" t="str">
        <f>IF(IF(ISNA(計算結果!C340),"",計算結果!C340)=0,"",IF(ISNA(計算結果!C340),"",計算結果!C340))</f>
        <v/>
      </c>
      <c r="D340" s="10" t="str">
        <f>IF(IF(ISNA(計算結果!D340),"",計算結果!D340)=0,"",IF(ISNA(計算結果!D340),"",計算結果!D340))</f>
        <v>L</v>
      </c>
      <c r="E340" s="10" t="str">
        <f>IF(IF(ISNA(計算結果!E340),"",計算結果!E340)=0,"",IF(ISNA(計算結果!E340),"",計算結果!E340))</f>
        <v/>
      </c>
      <c r="F340" s="10" t="str">
        <f>IF(IF(ISNA(計算結果!F340),"",計算結果!F340)=0,"",IF(ISNA(計算結果!F340),"",計算結果!F340))</f>
        <v/>
      </c>
      <c r="G340" s="10" t="str">
        <f>IF(IF(ISNA(計算結果!G340),"",計算結果!G340)=0,"",IF(ISNA(計算結果!G340),"",計算結果!G340))</f>
        <v/>
      </c>
      <c r="H340" s="13">
        <f>IF(IF(ISNA(計算結果!H340),"",計算結果!H340)=0,"",IF(ISNA(計算結果!H340),"",計算結果!H340))</f>
        <v>-2</v>
      </c>
      <c r="I340" s="12" t="str">
        <f>IF(IF(ISNA(計算結果!I340),"",計算結果!I340)=0,"",IF(ISNA(計算結果!I340),"",計算結果!I340))</f>
        <v/>
      </c>
      <c r="J340" s="12" t="str">
        <f>IF(IF(ISNA(計算結果!J340),"",計算結果!J340)=0,"",IF(ISNA(計算結果!J340),"",計算結果!J340))</f>
        <v/>
      </c>
      <c r="K340" s="23" t="str">
        <f>IF(IF(ISNA(計算結果!K340),"",計算結果!K340)=0,"",IF(ISNA(計算結果!K340),"",計算結果!K340))</f>
        <v/>
      </c>
      <c r="L340" s="13" t="str">
        <f>IF(IF(ISNA(計算結果!L340),"",計算結果!L340)=0,"",IF(ISNA(計算結果!L340),"",計算結果!L340))</f>
        <v/>
      </c>
      <c r="M340" s="10" t="str">
        <f>IF(IF(ISNA(計算結果!M340),"",計算結果!M340)=0,"",IF(ISNA(計算結果!M340),"",計算結果!M340))</f>
        <v/>
      </c>
      <c r="N340" s="10" t="str">
        <f>IF(IF(ISNA(計算結果!N340),"",計算結果!N340)=0,"",IF(ISNA(計算結果!N340),"",計算結果!N340))</f>
        <v/>
      </c>
      <c r="O340" s="13" t="str">
        <f>IF(IF(ISNA(計算結果!O340),"",計算結果!O340)=0,"",IF(ISNA(計算結果!O340),"",計算結果!O340))</f>
        <v/>
      </c>
      <c r="P340" s="10" t="str">
        <f>IF(IF(ISNA(計算結果!P340),"",計算結果!P340)=0,"",IF(ISNA(計算結果!P340),"",計算結果!P340))</f>
        <v/>
      </c>
      <c r="Q340" s="10" t="str">
        <f>IF(IF(ISNA(計算結果!Q340),"",計算結果!Q340)=0,"",IF(ISNA(計算結果!Q340),"",計算結果!Q340))</f>
        <v/>
      </c>
      <c r="R340" s="14" t="str">
        <f t="shared" si="15"/>
        <v/>
      </c>
      <c r="S340" s="14" t="str">
        <f t="shared" si="16"/>
        <v>◯</v>
      </c>
      <c r="T340" s="14" t="str">
        <f t="shared" si="17"/>
        <v/>
      </c>
    </row>
    <row r="341" spans="1:20" hidden="1" x14ac:dyDescent="0.45">
      <c r="A341" s="10" t="str">
        <f>IF(IF(ISNA(計算結果!A341),"",計算結果!A341)=0,"",IF(ISNA(計算結果!A341),"",計算結果!A341))</f>
        <v/>
      </c>
      <c r="B341" s="10" t="str">
        <f>IF(IF(ISNA(計算結果!B341),"",計算結果!B341)=0,"",IF(ISNA(計算結果!B341),"",計算結果!B341))</f>
        <v/>
      </c>
      <c r="C341" s="10" t="str">
        <f>IF(IF(ISNA(計算結果!C341),"",計算結果!C341)=0,"",IF(ISNA(計算結果!C341),"",計算結果!C341))</f>
        <v/>
      </c>
      <c r="D341" s="10" t="str">
        <f>IF(IF(ISNA(計算結果!D341),"",計算結果!D341)=0,"",IF(ISNA(計算結果!D341),"",計算結果!D341))</f>
        <v>L</v>
      </c>
      <c r="E341" s="10" t="str">
        <f>IF(IF(ISNA(計算結果!E341),"",計算結果!E341)=0,"",IF(ISNA(計算結果!E341),"",計算結果!E341))</f>
        <v/>
      </c>
      <c r="F341" s="10" t="str">
        <f>IF(IF(ISNA(計算結果!F341),"",計算結果!F341)=0,"",IF(ISNA(計算結果!F341),"",計算結果!F341))</f>
        <v/>
      </c>
      <c r="G341" s="10" t="str">
        <f>IF(IF(ISNA(計算結果!G341),"",計算結果!G341)=0,"",IF(ISNA(計算結果!G341),"",計算結果!G341))</f>
        <v/>
      </c>
      <c r="H341" s="13">
        <f>IF(IF(ISNA(計算結果!H341),"",計算結果!H341)=0,"",IF(ISNA(計算結果!H341),"",計算結果!H341))</f>
        <v>-2</v>
      </c>
      <c r="I341" s="12" t="str">
        <f>IF(IF(ISNA(計算結果!I341),"",計算結果!I341)=0,"",IF(ISNA(計算結果!I341),"",計算結果!I341))</f>
        <v/>
      </c>
      <c r="J341" s="12" t="str">
        <f>IF(IF(ISNA(計算結果!J341),"",計算結果!J341)=0,"",IF(ISNA(計算結果!J341),"",計算結果!J341))</f>
        <v/>
      </c>
      <c r="K341" s="23" t="str">
        <f>IF(IF(ISNA(計算結果!K341),"",計算結果!K341)=0,"",IF(ISNA(計算結果!K341),"",計算結果!K341))</f>
        <v/>
      </c>
      <c r="L341" s="13" t="str">
        <f>IF(IF(ISNA(計算結果!L341),"",計算結果!L341)=0,"",IF(ISNA(計算結果!L341),"",計算結果!L341))</f>
        <v/>
      </c>
      <c r="M341" s="10" t="str">
        <f>IF(IF(ISNA(計算結果!M341),"",計算結果!M341)=0,"",IF(ISNA(計算結果!M341),"",計算結果!M341))</f>
        <v/>
      </c>
      <c r="N341" s="10" t="str">
        <f>IF(IF(ISNA(計算結果!N341),"",計算結果!N341)=0,"",IF(ISNA(計算結果!N341),"",計算結果!N341))</f>
        <v/>
      </c>
      <c r="O341" s="13" t="str">
        <f>IF(IF(ISNA(計算結果!O341),"",計算結果!O341)=0,"",IF(ISNA(計算結果!O341),"",計算結果!O341))</f>
        <v/>
      </c>
      <c r="P341" s="10" t="str">
        <f>IF(IF(ISNA(計算結果!P341),"",計算結果!P341)=0,"",IF(ISNA(計算結果!P341),"",計算結果!P341))</f>
        <v/>
      </c>
      <c r="Q341" s="10" t="str">
        <f>IF(IF(ISNA(計算結果!Q341),"",計算結果!Q341)=0,"",IF(ISNA(計算結果!Q341),"",計算結果!Q341))</f>
        <v/>
      </c>
      <c r="R341" s="14" t="str">
        <f t="shared" si="15"/>
        <v/>
      </c>
      <c r="S341" s="14" t="str">
        <f t="shared" si="16"/>
        <v>◯</v>
      </c>
      <c r="T341" s="14" t="str">
        <f t="shared" si="17"/>
        <v/>
      </c>
    </row>
    <row r="342" spans="1:20" hidden="1" x14ac:dyDescent="0.45">
      <c r="A342" s="10" t="str">
        <f>IF(IF(ISNA(計算結果!A342),"",計算結果!A342)=0,"",IF(ISNA(計算結果!A342),"",計算結果!A342))</f>
        <v/>
      </c>
      <c r="B342" s="10" t="str">
        <f>IF(IF(ISNA(計算結果!B342),"",計算結果!B342)=0,"",IF(ISNA(計算結果!B342),"",計算結果!B342))</f>
        <v/>
      </c>
      <c r="C342" s="10" t="str">
        <f>IF(IF(ISNA(計算結果!C342),"",計算結果!C342)=0,"",IF(ISNA(計算結果!C342),"",計算結果!C342))</f>
        <v/>
      </c>
      <c r="D342" s="10" t="str">
        <f>IF(IF(ISNA(計算結果!D342),"",計算結果!D342)=0,"",IF(ISNA(計算結果!D342),"",計算結果!D342))</f>
        <v>L</v>
      </c>
      <c r="E342" s="10" t="str">
        <f>IF(IF(ISNA(計算結果!E342),"",計算結果!E342)=0,"",IF(ISNA(計算結果!E342),"",計算結果!E342))</f>
        <v/>
      </c>
      <c r="F342" s="10" t="str">
        <f>IF(IF(ISNA(計算結果!F342),"",計算結果!F342)=0,"",IF(ISNA(計算結果!F342),"",計算結果!F342))</f>
        <v/>
      </c>
      <c r="G342" s="10" t="str">
        <f>IF(IF(ISNA(計算結果!G342),"",計算結果!G342)=0,"",IF(ISNA(計算結果!G342),"",計算結果!G342))</f>
        <v/>
      </c>
      <c r="H342" s="13">
        <f>IF(IF(ISNA(計算結果!H342),"",計算結果!H342)=0,"",IF(ISNA(計算結果!H342),"",計算結果!H342))</f>
        <v>-2</v>
      </c>
      <c r="I342" s="12" t="str">
        <f>IF(IF(ISNA(計算結果!I342),"",計算結果!I342)=0,"",IF(ISNA(計算結果!I342),"",計算結果!I342))</f>
        <v/>
      </c>
      <c r="J342" s="12" t="str">
        <f>IF(IF(ISNA(計算結果!J342),"",計算結果!J342)=0,"",IF(ISNA(計算結果!J342),"",計算結果!J342))</f>
        <v/>
      </c>
      <c r="K342" s="23" t="str">
        <f>IF(IF(ISNA(計算結果!K342),"",計算結果!K342)=0,"",IF(ISNA(計算結果!K342),"",計算結果!K342))</f>
        <v/>
      </c>
      <c r="L342" s="13" t="str">
        <f>IF(IF(ISNA(計算結果!L342),"",計算結果!L342)=0,"",IF(ISNA(計算結果!L342),"",計算結果!L342))</f>
        <v/>
      </c>
      <c r="M342" s="10" t="str">
        <f>IF(IF(ISNA(計算結果!M342),"",計算結果!M342)=0,"",IF(ISNA(計算結果!M342),"",計算結果!M342))</f>
        <v/>
      </c>
      <c r="N342" s="10" t="str">
        <f>IF(IF(ISNA(計算結果!N342),"",計算結果!N342)=0,"",IF(ISNA(計算結果!N342),"",計算結果!N342))</f>
        <v/>
      </c>
      <c r="O342" s="13" t="str">
        <f>IF(IF(ISNA(計算結果!O342),"",計算結果!O342)=0,"",IF(ISNA(計算結果!O342),"",計算結果!O342))</f>
        <v/>
      </c>
      <c r="P342" s="10" t="str">
        <f>IF(IF(ISNA(計算結果!P342),"",計算結果!P342)=0,"",IF(ISNA(計算結果!P342),"",計算結果!P342))</f>
        <v/>
      </c>
      <c r="Q342" s="10" t="str">
        <f>IF(IF(ISNA(計算結果!Q342),"",計算結果!Q342)=0,"",IF(ISNA(計算結果!Q342),"",計算結果!Q342))</f>
        <v/>
      </c>
      <c r="R342" s="14" t="str">
        <f t="shared" si="15"/>
        <v/>
      </c>
      <c r="S342" s="14" t="str">
        <f t="shared" si="16"/>
        <v>◯</v>
      </c>
      <c r="T342" s="14" t="str">
        <f t="shared" si="17"/>
        <v/>
      </c>
    </row>
    <row r="343" spans="1:20" hidden="1" x14ac:dyDescent="0.45">
      <c r="A343" s="10" t="str">
        <f>IF(IF(ISNA(計算結果!A343),"",計算結果!A343)=0,"",IF(ISNA(計算結果!A343),"",計算結果!A343))</f>
        <v/>
      </c>
      <c r="B343" s="10" t="str">
        <f>IF(IF(ISNA(計算結果!B343),"",計算結果!B343)=0,"",IF(ISNA(計算結果!B343),"",計算結果!B343))</f>
        <v/>
      </c>
      <c r="C343" s="10" t="str">
        <f>IF(IF(ISNA(計算結果!C343),"",計算結果!C343)=0,"",IF(ISNA(計算結果!C343),"",計算結果!C343))</f>
        <v/>
      </c>
      <c r="D343" s="10" t="str">
        <f>IF(IF(ISNA(計算結果!D343),"",計算結果!D343)=0,"",IF(ISNA(計算結果!D343),"",計算結果!D343))</f>
        <v>L</v>
      </c>
      <c r="E343" s="10" t="str">
        <f>IF(IF(ISNA(計算結果!E343),"",計算結果!E343)=0,"",IF(ISNA(計算結果!E343),"",計算結果!E343))</f>
        <v/>
      </c>
      <c r="F343" s="10" t="str">
        <f>IF(IF(ISNA(計算結果!F343),"",計算結果!F343)=0,"",IF(ISNA(計算結果!F343),"",計算結果!F343))</f>
        <v/>
      </c>
      <c r="G343" s="10" t="str">
        <f>IF(IF(ISNA(計算結果!G343),"",計算結果!G343)=0,"",IF(ISNA(計算結果!G343),"",計算結果!G343))</f>
        <v/>
      </c>
      <c r="H343" s="13">
        <f>IF(IF(ISNA(計算結果!H343),"",計算結果!H343)=0,"",IF(ISNA(計算結果!H343),"",計算結果!H343))</f>
        <v>-2</v>
      </c>
      <c r="I343" s="12" t="str">
        <f>IF(IF(ISNA(計算結果!I343),"",計算結果!I343)=0,"",IF(ISNA(計算結果!I343),"",計算結果!I343))</f>
        <v/>
      </c>
      <c r="J343" s="12" t="str">
        <f>IF(IF(ISNA(計算結果!J343),"",計算結果!J343)=0,"",IF(ISNA(計算結果!J343),"",計算結果!J343))</f>
        <v/>
      </c>
      <c r="K343" s="23" t="str">
        <f>IF(IF(ISNA(計算結果!K343),"",計算結果!K343)=0,"",IF(ISNA(計算結果!K343),"",計算結果!K343))</f>
        <v/>
      </c>
      <c r="L343" s="13" t="str">
        <f>IF(IF(ISNA(計算結果!L343),"",計算結果!L343)=0,"",IF(ISNA(計算結果!L343),"",計算結果!L343))</f>
        <v/>
      </c>
      <c r="M343" s="10" t="str">
        <f>IF(IF(ISNA(計算結果!M343),"",計算結果!M343)=0,"",IF(ISNA(計算結果!M343),"",計算結果!M343))</f>
        <v/>
      </c>
      <c r="N343" s="10" t="str">
        <f>IF(IF(ISNA(計算結果!N343),"",計算結果!N343)=0,"",IF(ISNA(計算結果!N343),"",計算結果!N343))</f>
        <v/>
      </c>
      <c r="O343" s="13" t="str">
        <f>IF(IF(ISNA(計算結果!O343),"",計算結果!O343)=0,"",IF(ISNA(計算結果!O343),"",計算結果!O343))</f>
        <v/>
      </c>
      <c r="P343" s="10" t="str">
        <f>IF(IF(ISNA(計算結果!P343),"",計算結果!P343)=0,"",IF(ISNA(計算結果!P343),"",計算結果!P343))</f>
        <v/>
      </c>
      <c r="Q343" s="10" t="str">
        <f>IF(IF(ISNA(計算結果!Q343),"",計算結果!Q343)=0,"",IF(ISNA(計算結果!Q343),"",計算結果!Q343))</f>
        <v/>
      </c>
      <c r="R343" s="14" t="str">
        <f t="shared" si="15"/>
        <v/>
      </c>
      <c r="S343" s="14" t="str">
        <f t="shared" si="16"/>
        <v>◯</v>
      </c>
      <c r="T343" s="14" t="str">
        <f t="shared" si="17"/>
        <v/>
      </c>
    </row>
    <row r="344" spans="1:20" hidden="1" x14ac:dyDescent="0.45">
      <c r="A344" s="10" t="str">
        <f>IF(IF(ISNA(計算結果!A344),"",計算結果!A344)=0,"",IF(ISNA(計算結果!A344),"",計算結果!A344))</f>
        <v/>
      </c>
      <c r="B344" s="10" t="str">
        <f>IF(IF(ISNA(計算結果!B344),"",計算結果!B344)=0,"",IF(ISNA(計算結果!B344),"",計算結果!B344))</f>
        <v/>
      </c>
      <c r="C344" s="10" t="str">
        <f>IF(IF(ISNA(計算結果!C344),"",計算結果!C344)=0,"",IF(ISNA(計算結果!C344),"",計算結果!C344))</f>
        <v/>
      </c>
      <c r="D344" s="10" t="str">
        <f>IF(IF(ISNA(計算結果!D344),"",計算結果!D344)=0,"",IF(ISNA(計算結果!D344),"",計算結果!D344))</f>
        <v>L</v>
      </c>
      <c r="E344" s="10" t="str">
        <f>IF(IF(ISNA(計算結果!E344),"",計算結果!E344)=0,"",IF(ISNA(計算結果!E344),"",計算結果!E344))</f>
        <v/>
      </c>
      <c r="F344" s="10" t="str">
        <f>IF(IF(ISNA(計算結果!F344),"",計算結果!F344)=0,"",IF(ISNA(計算結果!F344),"",計算結果!F344))</f>
        <v/>
      </c>
      <c r="G344" s="10" t="str">
        <f>IF(IF(ISNA(計算結果!G344),"",計算結果!G344)=0,"",IF(ISNA(計算結果!G344),"",計算結果!G344))</f>
        <v/>
      </c>
      <c r="H344" s="13">
        <f>IF(IF(ISNA(計算結果!H344),"",計算結果!H344)=0,"",IF(ISNA(計算結果!H344),"",計算結果!H344))</f>
        <v>-2</v>
      </c>
      <c r="I344" s="12" t="str">
        <f>IF(IF(ISNA(計算結果!I344),"",計算結果!I344)=0,"",IF(ISNA(計算結果!I344),"",計算結果!I344))</f>
        <v/>
      </c>
      <c r="J344" s="12" t="str">
        <f>IF(IF(ISNA(計算結果!J344),"",計算結果!J344)=0,"",IF(ISNA(計算結果!J344),"",計算結果!J344))</f>
        <v/>
      </c>
      <c r="K344" s="23" t="str">
        <f>IF(IF(ISNA(計算結果!K344),"",計算結果!K344)=0,"",IF(ISNA(計算結果!K344),"",計算結果!K344))</f>
        <v/>
      </c>
      <c r="L344" s="13" t="str">
        <f>IF(IF(ISNA(計算結果!L344),"",計算結果!L344)=0,"",IF(ISNA(計算結果!L344),"",計算結果!L344))</f>
        <v/>
      </c>
      <c r="M344" s="10" t="str">
        <f>IF(IF(ISNA(計算結果!M344),"",計算結果!M344)=0,"",IF(ISNA(計算結果!M344),"",計算結果!M344))</f>
        <v/>
      </c>
      <c r="N344" s="10" t="str">
        <f>IF(IF(ISNA(計算結果!N344),"",計算結果!N344)=0,"",IF(ISNA(計算結果!N344),"",計算結果!N344))</f>
        <v/>
      </c>
      <c r="O344" s="13" t="str">
        <f>IF(IF(ISNA(計算結果!O344),"",計算結果!O344)=0,"",IF(ISNA(計算結果!O344),"",計算結果!O344))</f>
        <v/>
      </c>
      <c r="P344" s="10" t="str">
        <f>IF(IF(ISNA(計算結果!P344),"",計算結果!P344)=0,"",IF(ISNA(計算結果!P344),"",計算結果!P344))</f>
        <v/>
      </c>
      <c r="Q344" s="10" t="str">
        <f>IF(IF(ISNA(計算結果!Q344),"",計算結果!Q344)=0,"",IF(ISNA(計算結果!Q344),"",計算結果!Q344))</f>
        <v/>
      </c>
      <c r="R344" s="14" t="str">
        <f t="shared" si="15"/>
        <v/>
      </c>
      <c r="S344" s="14" t="str">
        <f t="shared" si="16"/>
        <v>◯</v>
      </c>
      <c r="T344" s="14" t="str">
        <f t="shared" si="17"/>
        <v/>
      </c>
    </row>
    <row r="345" spans="1:20" hidden="1" x14ac:dyDescent="0.45">
      <c r="A345" s="10" t="str">
        <f>IF(IF(ISNA(計算結果!A345),"",計算結果!A345)=0,"",IF(ISNA(計算結果!A345),"",計算結果!A345))</f>
        <v/>
      </c>
      <c r="B345" s="10" t="str">
        <f>IF(IF(ISNA(計算結果!B345),"",計算結果!B345)=0,"",IF(ISNA(計算結果!B345),"",計算結果!B345))</f>
        <v/>
      </c>
      <c r="C345" s="10" t="str">
        <f>IF(IF(ISNA(計算結果!C345),"",計算結果!C345)=0,"",IF(ISNA(計算結果!C345),"",計算結果!C345))</f>
        <v/>
      </c>
      <c r="D345" s="10" t="str">
        <f>IF(IF(ISNA(計算結果!D345),"",計算結果!D345)=0,"",IF(ISNA(計算結果!D345),"",計算結果!D345))</f>
        <v>L</v>
      </c>
      <c r="E345" s="10" t="str">
        <f>IF(IF(ISNA(計算結果!E345),"",計算結果!E345)=0,"",IF(ISNA(計算結果!E345),"",計算結果!E345))</f>
        <v/>
      </c>
      <c r="F345" s="10" t="str">
        <f>IF(IF(ISNA(計算結果!F345),"",計算結果!F345)=0,"",IF(ISNA(計算結果!F345),"",計算結果!F345))</f>
        <v/>
      </c>
      <c r="G345" s="10" t="str">
        <f>IF(IF(ISNA(計算結果!G345),"",計算結果!G345)=0,"",IF(ISNA(計算結果!G345),"",計算結果!G345))</f>
        <v/>
      </c>
      <c r="H345" s="13">
        <f>IF(IF(ISNA(計算結果!H345),"",計算結果!H345)=0,"",IF(ISNA(計算結果!H345),"",計算結果!H345))</f>
        <v>-2</v>
      </c>
      <c r="I345" s="12" t="str">
        <f>IF(IF(ISNA(計算結果!I345),"",計算結果!I345)=0,"",IF(ISNA(計算結果!I345),"",計算結果!I345))</f>
        <v/>
      </c>
      <c r="J345" s="12" t="str">
        <f>IF(IF(ISNA(計算結果!J345),"",計算結果!J345)=0,"",IF(ISNA(計算結果!J345),"",計算結果!J345))</f>
        <v/>
      </c>
      <c r="K345" s="23" t="str">
        <f>IF(IF(ISNA(計算結果!K345),"",計算結果!K345)=0,"",IF(ISNA(計算結果!K345),"",計算結果!K345))</f>
        <v/>
      </c>
      <c r="L345" s="13" t="str">
        <f>IF(IF(ISNA(計算結果!L345),"",計算結果!L345)=0,"",IF(ISNA(計算結果!L345),"",計算結果!L345))</f>
        <v/>
      </c>
      <c r="M345" s="10" t="str">
        <f>IF(IF(ISNA(計算結果!M345),"",計算結果!M345)=0,"",IF(ISNA(計算結果!M345),"",計算結果!M345))</f>
        <v/>
      </c>
      <c r="N345" s="10" t="str">
        <f>IF(IF(ISNA(計算結果!N345),"",計算結果!N345)=0,"",IF(ISNA(計算結果!N345),"",計算結果!N345))</f>
        <v/>
      </c>
      <c r="O345" s="13" t="str">
        <f>IF(IF(ISNA(計算結果!O345),"",計算結果!O345)=0,"",IF(ISNA(計算結果!O345),"",計算結果!O345))</f>
        <v/>
      </c>
      <c r="P345" s="10" t="str">
        <f>IF(IF(ISNA(計算結果!P345),"",計算結果!P345)=0,"",IF(ISNA(計算結果!P345),"",計算結果!P345))</f>
        <v/>
      </c>
      <c r="Q345" s="10" t="str">
        <f>IF(IF(ISNA(計算結果!Q345),"",計算結果!Q345)=0,"",IF(ISNA(計算結果!Q345),"",計算結果!Q345))</f>
        <v/>
      </c>
      <c r="R345" s="14" t="str">
        <f t="shared" si="15"/>
        <v/>
      </c>
      <c r="S345" s="14" t="str">
        <f t="shared" si="16"/>
        <v>◯</v>
      </c>
      <c r="T345" s="14" t="str">
        <f t="shared" si="17"/>
        <v/>
      </c>
    </row>
    <row r="346" spans="1:20" hidden="1" x14ac:dyDescent="0.45">
      <c r="A346" s="10" t="str">
        <f>IF(IF(ISNA(計算結果!A346),"",計算結果!A346)=0,"",IF(ISNA(計算結果!A346),"",計算結果!A346))</f>
        <v/>
      </c>
      <c r="B346" s="10" t="str">
        <f>IF(IF(ISNA(計算結果!B346),"",計算結果!B346)=0,"",IF(ISNA(計算結果!B346),"",計算結果!B346))</f>
        <v/>
      </c>
      <c r="C346" s="10" t="str">
        <f>IF(IF(ISNA(計算結果!C346),"",計算結果!C346)=0,"",IF(ISNA(計算結果!C346),"",計算結果!C346))</f>
        <v/>
      </c>
      <c r="D346" s="10" t="str">
        <f>IF(IF(ISNA(計算結果!D346),"",計算結果!D346)=0,"",IF(ISNA(計算結果!D346),"",計算結果!D346))</f>
        <v>L</v>
      </c>
      <c r="E346" s="10" t="str">
        <f>IF(IF(ISNA(計算結果!E346),"",計算結果!E346)=0,"",IF(ISNA(計算結果!E346),"",計算結果!E346))</f>
        <v/>
      </c>
      <c r="F346" s="10" t="str">
        <f>IF(IF(ISNA(計算結果!F346),"",計算結果!F346)=0,"",IF(ISNA(計算結果!F346),"",計算結果!F346))</f>
        <v/>
      </c>
      <c r="G346" s="10" t="str">
        <f>IF(IF(ISNA(計算結果!G346),"",計算結果!G346)=0,"",IF(ISNA(計算結果!G346),"",計算結果!G346))</f>
        <v/>
      </c>
      <c r="H346" s="13">
        <f>IF(IF(ISNA(計算結果!H346),"",計算結果!H346)=0,"",IF(ISNA(計算結果!H346),"",計算結果!H346))</f>
        <v>-2</v>
      </c>
      <c r="I346" s="12" t="str">
        <f>IF(IF(ISNA(計算結果!I346),"",計算結果!I346)=0,"",IF(ISNA(計算結果!I346),"",計算結果!I346))</f>
        <v/>
      </c>
      <c r="J346" s="12" t="str">
        <f>IF(IF(ISNA(計算結果!J346),"",計算結果!J346)=0,"",IF(ISNA(計算結果!J346),"",計算結果!J346))</f>
        <v/>
      </c>
      <c r="K346" s="23" t="str">
        <f>IF(IF(ISNA(計算結果!K346),"",計算結果!K346)=0,"",IF(ISNA(計算結果!K346),"",計算結果!K346))</f>
        <v/>
      </c>
      <c r="L346" s="13" t="str">
        <f>IF(IF(ISNA(計算結果!L346),"",計算結果!L346)=0,"",IF(ISNA(計算結果!L346),"",計算結果!L346))</f>
        <v/>
      </c>
      <c r="M346" s="10" t="str">
        <f>IF(IF(ISNA(計算結果!M346),"",計算結果!M346)=0,"",IF(ISNA(計算結果!M346),"",計算結果!M346))</f>
        <v/>
      </c>
      <c r="N346" s="10" t="str">
        <f>IF(IF(ISNA(計算結果!N346),"",計算結果!N346)=0,"",IF(ISNA(計算結果!N346),"",計算結果!N346))</f>
        <v/>
      </c>
      <c r="O346" s="13" t="str">
        <f>IF(IF(ISNA(計算結果!O346),"",計算結果!O346)=0,"",IF(ISNA(計算結果!O346),"",計算結果!O346))</f>
        <v/>
      </c>
      <c r="P346" s="10" t="str">
        <f>IF(IF(ISNA(計算結果!P346),"",計算結果!P346)=0,"",IF(ISNA(計算結果!P346),"",計算結果!P346))</f>
        <v/>
      </c>
      <c r="Q346" s="10" t="str">
        <f>IF(IF(ISNA(計算結果!Q346),"",計算結果!Q346)=0,"",IF(ISNA(計算結果!Q346),"",計算結果!Q346))</f>
        <v/>
      </c>
      <c r="R346" s="14" t="str">
        <f t="shared" si="15"/>
        <v/>
      </c>
      <c r="S346" s="14" t="str">
        <f t="shared" si="16"/>
        <v>◯</v>
      </c>
      <c r="T346" s="14" t="str">
        <f t="shared" si="17"/>
        <v/>
      </c>
    </row>
    <row r="347" spans="1:20" hidden="1" x14ac:dyDescent="0.45">
      <c r="A347" s="10" t="str">
        <f>IF(IF(ISNA(計算結果!A347),"",計算結果!A347)=0,"",IF(ISNA(計算結果!A347),"",計算結果!A347))</f>
        <v/>
      </c>
      <c r="B347" s="10" t="str">
        <f>IF(IF(ISNA(計算結果!B347),"",計算結果!B347)=0,"",IF(ISNA(計算結果!B347),"",計算結果!B347))</f>
        <v/>
      </c>
      <c r="C347" s="10" t="str">
        <f>IF(IF(ISNA(計算結果!C347),"",計算結果!C347)=0,"",IF(ISNA(計算結果!C347),"",計算結果!C347))</f>
        <v/>
      </c>
      <c r="D347" s="10" t="str">
        <f>IF(IF(ISNA(計算結果!D347),"",計算結果!D347)=0,"",IF(ISNA(計算結果!D347),"",計算結果!D347))</f>
        <v>L</v>
      </c>
      <c r="E347" s="10" t="str">
        <f>IF(IF(ISNA(計算結果!E347),"",計算結果!E347)=0,"",IF(ISNA(計算結果!E347),"",計算結果!E347))</f>
        <v/>
      </c>
      <c r="F347" s="10" t="str">
        <f>IF(IF(ISNA(計算結果!F347),"",計算結果!F347)=0,"",IF(ISNA(計算結果!F347),"",計算結果!F347))</f>
        <v/>
      </c>
      <c r="G347" s="10" t="str">
        <f>IF(IF(ISNA(計算結果!G347),"",計算結果!G347)=0,"",IF(ISNA(計算結果!G347),"",計算結果!G347))</f>
        <v/>
      </c>
      <c r="H347" s="13">
        <f>IF(IF(ISNA(計算結果!H347),"",計算結果!H347)=0,"",IF(ISNA(計算結果!H347),"",計算結果!H347))</f>
        <v>-2</v>
      </c>
      <c r="I347" s="12" t="str">
        <f>IF(IF(ISNA(計算結果!I347),"",計算結果!I347)=0,"",IF(ISNA(計算結果!I347),"",計算結果!I347))</f>
        <v/>
      </c>
      <c r="J347" s="12" t="str">
        <f>IF(IF(ISNA(計算結果!J347),"",計算結果!J347)=0,"",IF(ISNA(計算結果!J347),"",計算結果!J347))</f>
        <v/>
      </c>
      <c r="K347" s="23" t="str">
        <f>IF(IF(ISNA(計算結果!K347),"",計算結果!K347)=0,"",IF(ISNA(計算結果!K347),"",計算結果!K347))</f>
        <v/>
      </c>
      <c r="L347" s="13" t="str">
        <f>IF(IF(ISNA(計算結果!L347),"",計算結果!L347)=0,"",IF(ISNA(計算結果!L347),"",計算結果!L347))</f>
        <v/>
      </c>
      <c r="M347" s="10" t="str">
        <f>IF(IF(ISNA(計算結果!M347),"",計算結果!M347)=0,"",IF(ISNA(計算結果!M347),"",計算結果!M347))</f>
        <v/>
      </c>
      <c r="N347" s="10" t="str">
        <f>IF(IF(ISNA(計算結果!N347),"",計算結果!N347)=0,"",IF(ISNA(計算結果!N347),"",計算結果!N347))</f>
        <v/>
      </c>
      <c r="O347" s="13" t="str">
        <f>IF(IF(ISNA(計算結果!O347),"",計算結果!O347)=0,"",IF(ISNA(計算結果!O347),"",計算結果!O347))</f>
        <v/>
      </c>
      <c r="P347" s="10" t="str">
        <f>IF(IF(ISNA(計算結果!P347),"",計算結果!P347)=0,"",IF(ISNA(計算結果!P347),"",計算結果!P347))</f>
        <v/>
      </c>
      <c r="Q347" s="10" t="str">
        <f>IF(IF(ISNA(計算結果!Q347),"",計算結果!Q347)=0,"",IF(ISNA(計算結果!Q347),"",計算結果!Q347))</f>
        <v/>
      </c>
      <c r="R347" s="14" t="str">
        <f t="shared" si="15"/>
        <v/>
      </c>
      <c r="S347" s="14" t="str">
        <f t="shared" si="16"/>
        <v>◯</v>
      </c>
      <c r="T347" s="14" t="str">
        <f t="shared" si="17"/>
        <v/>
      </c>
    </row>
    <row r="348" spans="1:20" hidden="1" x14ac:dyDescent="0.45">
      <c r="A348" s="10" t="str">
        <f>IF(IF(ISNA(計算結果!A348),"",計算結果!A348)=0,"",IF(ISNA(計算結果!A348),"",計算結果!A348))</f>
        <v/>
      </c>
      <c r="B348" s="10" t="str">
        <f>IF(IF(ISNA(計算結果!B348),"",計算結果!B348)=0,"",IF(ISNA(計算結果!B348),"",計算結果!B348))</f>
        <v/>
      </c>
      <c r="C348" s="10" t="str">
        <f>IF(IF(ISNA(計算結果!C348),"",計算結果!C348)=0,"",IF(ISNA(計算結果!C348),"",計算結果!C348))</f>
        <v/>
      </c>
      <c r="D348" s="10" t="str">
        <f>IF(IF(ISNA(計算結果!D348),"",計算結果!D348)=0,"",IF(ISNA(計算結果!D348),"",計算結果!D348))</f>
        <v>L</v>
      </c>
      <c r="E348" s="10" t="str">
        <f>IF(IF(ISNA(計算結果!E348),"",計算結果!E348)=0,"",IF(ISNA(計算結果!E348),"",計算結果!E348))</f>
        <v/>
      </c>
      <c r="F348" s="10" t="str">
        <f>IF(IF(ISNA(計算結果!F348),"",計算結果!F348)=0,"",IF(ISNA(計算結果!F348),"",計算結果!F348))</f>
        <v/>
      </c>
      <c r="G348" s="10" t="str">
        <f>IF(IF(ISNA(計算結果!G348),"",計算結果!G348)=0,"",IF(ISNA(計算結果!G348),"",計算結果!G348))</f>
        <v/>
      </c>
      <c r="H348" s="13">
        <f>IF(IF(ISNA(計算結果!H348),"",計算結果!H348)=0,"",IF(ISNA(計算結果!H348),"",計算結果!H348))</f>
        <v>-2</v>
      </c>
      <c r="I348" s="12" t="str">
        <f>IF(IF(ISNA(計算結果!I348),"",計算結果!I348)=0,"",IF(ISNA(計算結果!I348),"",計算結果!I348))</f>
        <v/>
      </c>
      <c r="J348" s="12" t="str">
        <f>IF(IF(ISNA(計算結果!J348),"",計算結果!J348)=0,"",IF(ISNA(計算結果!J348),"",計算結果!J348))</f>
        <v/>
      </c>
      <c r="K348" s="23" t="str">
        <f>IF(IF(ISNA(計算結果!K348),"",計算結果!K348)=0,"",IF(ISNA(計算結果!K348),"",計算結果!K348))</f>
        <v/>
      </c>
      <c r="L348" s="13" t="str">
        <f>IF(IF(ISNA(計算結果!L348),"",計算結果!L348)=0,"",IF(ISNA(計算結果!L348),"",計算結果!L348))</f>
        <v/>
      </c>
      <c r="M348" s="10" t="str">
        <f>IF(IF(ISNA(計算結果!M348),"",計算結果!M348)=0,"",IF(ISNA(計算結果!M348),"",計算結果!M348))</f>
        <v/>
      </c>
      <c r="N348" s="10" t="str">
        <f>IF(IF(ISNA(計算結果!N348),"",計算結果!N348)=0,"",IF(ISNA(計算結果!N348),"",計算結果!N348))</f>
        <v/>
      </c>
      <c r="O348" s="13" t="str">
        <f>IF(IF(ISNA(計算結果!O348),"",計算結果!O348)=0,"",IF(ISNA(計算結果!O348),"",計算結果!O348))</f>
        <v/>
      </c>
      <c r="P348" s="10" t="str">
        <f>IF(IF(ISNA(計算結果!P348),"",計算結果!P348)=0,"",IF(ISNA(計算結果!P348),"",計算結果!P348))</f>
        <v/>
      </c>
      <c r="Q348" s="10" t="str">
        <f>IF(IF(ISNA(計算結果!Q348),"",計算結果!Q348)=0,"",IF(ISNA(計算結果!Q348),"",計算結果!Q348))</f>
        <v/>
      </c>
      <c r="R348" s="14" t="str">
        <f t="shared" si="15"/>
        <v/>
      </c>
      <c r="S348" s="14" t="str">
        <f t="shared" si="16"/>
        <v>◯</v>
      </c>
      <c r="T348" s="14" t="str">
        <f t="shared" si="17"/>
        <v/>
      </c>
    </row>
    <row r="349" spans="1:20" hidden="1" x14ac:dyDescent="0.45">
      <c r="A349" s="10" t="str">
        <f>IF(IF(ISNA(計算結果!A349),"",計算結果!A349)=0,"",IF(ISNA(計算結果!A349),"",計算結果!A349))</f>
        <v/>
      </c>
      <c r="B349" s="10" t="str">
        <f>IF(IF(ISNA(計算結果!B349),"",計算結果!B349)=0,"",IF(ISNA(計算結果!B349),"",計算結果!B349))</f>
        <v/>
      </c>
      <c r="C349" s="10" t="str">
        <f>IF(IF(ISNA(計算結果!C349),"",計算結果!C349)=0,"",IF(ISNA(計算結果!C349),"",計算結果!C349))</f>
        <v/>
      </c>
      <c r="D349" s="10" t="str">
        <f>IF(IF(ISNA(計算結果!D349),"",計算結果!D349)=0,"",IF(ISNA(計算結果!D349),"",計算結果!D349))</f>
        <v>L</v>
      </c>
      <c r="E349" s="10" t="str">
        <f>IF(IF(ISNA(計算結果!E349),"",計算結果!E349)=0,"",IF(ISNA(計算結果!E349),"",計算結果!E349))</f>
        <v/>
      </c>
      <c r="F349" s="10" t="str">
        <f>IF(IF(ISNA(計算結果!F349),"",計算結果!F349)=0,"",IF(ISNA(計算結果!F349),"",計算結果!F349))</f>
        <v/>
      </c>
      <c r="G349" s="10" t="str">
        <f>IF(IF(ISNA(計算結果!G349),"",計算結果!G349)=0,"",IF(ISNA(計算結果!G349),"",計算結果!G349))</f>
        <v/>
      </c>
      <c r="H349" s="13">
        <f>IF(IF(ISNA(計算結果!H349),"",計算結果!H349)=0,"",IF(ISNA(計算結果!H349),"",計算結果!H349))</f>
        <v>-2</v>
      </c>
      <c r="I349" s="12" t="str">
        <f>IF(IF(ISNA(計算結果!I349),"",計算結果!I349)=0,"",IF(ISNA(計算結果!I349),"",計算結果!I349))</f>
        <v/>
      </c>
      <c r="J349" s="12" t="str">
        <f>IF(IF(ISNA(計算結果!J349),"",計算結果!J349)=0,"",IF(ISNA(計算結果!J349),"",計算結果!J349))</f>
        <v/>
      </c>
      <c r="K349" s="23" t="str">
        <f>IF(IF(ISNA(計算結果!K349),"",計算結果!K349)=0,"",IF(ISNA(計算結果!K349),"",計算結果!K349))</f>
        <v/>
      </c>
      <c r="L349" s="13" t="str">
        <f>IF(IF(ISNA(計算結果!L349),"",計算結果!L349)=0,"",IF(ISNA(計算結果!L349),"",計算結果!L349))</f>
        <v/>
      </c>
      <c r="M349" s="10" t="str">
        <f>IF(IF(ISNA(計算結果!M349),"",計算結果!M349)=0,"",IF(ISNA(計算結果!M349),"",計算結果!M349))</f>
        <v/>
      </c>
      <c r="N349" s="10" t="str">
        <f>IF(IF(ISNA(計算結果!N349),"",計算結果!N349)=0,"",IF(ISNA(計算結果!N349),"",計算結果!N349))</f>
        <v/>
      </c>
      <c r="O349" s="13" t="str">
        <f>IF(IF(ISNA(計算結果!O349),"",計算結果!O349)=0,"",IF(ISNA(計算結果!O349),"",計算結果!O349))</f>
        <v/>
      </c>
      <c r="P349" s="10" t="str">
        <f>IF(IF(ISNA(計算結果!P349),"",計算結果!P349)=0,"",IF(ISNA(計算結果!P349),"",計算結果!P349))</f>
        <v/>
      </c>
      <c r="Q349" s="10" t="str">
        <f>IF(IF(ISNA(計算結果!Q349),"",計算結果!Q349)=0,"",IF(ISNA(計算結果!Q349),"",計算結果!Q349))</f>
        <v/>
      </c>
      <c r="R349" s="14" t="str">
        <f t="shared" si="15"/>
        <v/>
      </c>
      <c r="S349" s="14" t="str">
        <f t="shared" si="16"/>
        <v>◯</v>
      </c>
      <c r="T349" s="14" t="str">
        <f t="shared" si="17"/>
        <v/>
      </c>
    </row>
    <row r="350" spans="1:20" hidden="1" x14ac:dyDescent="0.45">
      <c r="A350" s="10" t="str">
        <f>IF(IF(ISNA(計算結果!A350),"",計算結果!A350)=0,"",IF(ISNA(計算結果!A350),"",計算結果!A350))</f>
        <v/>
      </c>
      <c r="B350" s="10" t="str">
        <f>IF(IF(ISNA(計算結果!B350),"",計算結果!B350)=0,"",IF(ISNA(計算結果!B350),"",計算結果!B350))</f>
        <v/>
      </c>
      <c r="C350" s="10" t="str">
        <f>IF(IF(ISNA(計算結果!C350),"",計算結果!C350)=0,"",IF(ISNA(計算結果!C350),"",計算結果!C350))</f>
        <v/>
      </c>
      <c r="D350" s="10" t="str">
        <f>IF(IF(ISNA(計算結果!D350),"",計算結果!D350)=0,"",IF(ISNA(計算結果!D350),"",計算結果!D350))</f>
        <v>L</v>
      </c>
      <c r="E350" s="10" t="str">
        <f>IF(IF(ISNA(計算結果!E350),"",計算結果!E350)=0,"",IF(ISNA(計算結果!E350),"",計算結果!E350))</f>
        <v/>
      </c>
      <c r="F350" s="10" t="str">
        <f>IF(IF(ISNA(計算結果!F350),"",計算結果!F350)=0,"",IF(ISNA(計算結果!F350),"",計算結果!F350))</f>
        <v/>
      </c>
      <c r="G350" s="10" t="str">
        <f>IF(IF(ISNA(計算結果!G350),"",計算結果!G350)=0,"",IF(ISNA(計算結果!G350),"",計算結果!G350))</f>
        <v/>
      </c>
      <c r="H350" s="13">
        <f>IF(IF(ISNA(計算結果!H350),"",計算結果!H350)=0,"",IF(ISNA(計算結果!H350),"",計算結果!H350))</f>
        <v>-2</v>
      </c>
      <c r="I350" s="12" t="str">
        <f>IF(IF(ISNA(計算結果!I350),"",計算結果!I350)=0,"",IF(ISNA(計算結果!I350),"",計算結果!I350))</f>
        <v/>
      </c>
      <c r="J350" s="12" t="str">
        <f>IF(IF(ISNA(計算結果!J350),"",計算結果!J350)=0,"",IF(ISNA(計算結果!J350),"",計算結果!J350))</f>
        <v/>
      </c>
      <c r="K350" s="23" t="str">
        <f>IF(IF(ISNA(計算結果!K350),"",計算結果!K350)=0,"",IF(ISNA(計算結果!K350),"",計算結果!K350))</f>
        <v/>
      </c>
      <c r="L350" s="13" t="str">
        <f>IF(IF(ISNA(計算結果!L350),"",計算結果!L350)=0,"",IF(ISNA(計算結果!L350),"",計算結果!L350))</f>
        <v/>
      </c>
      <c r="M350" s="10" t="str">
        <f>IF(IF(ISNA(計算結果!M350),"",計算結果!M350)=0,"",IF(ISNA(計算結果!M350),"",計算結果!M350))</f>
        <v/>
      </c>
      <c r="N350" s="10" t="str">
        <f>IF(IF(ISNA(計算結果!N350),"",計算結果!N350)=0,"",IF(ISNA(計算結果!N350),"",計算結果!N350))</f>
        <v/>
      </c>
      <c r="O350" s="13" t="str">
        <f>IF(IF(ISNA(計算結果!O350),"",計算結果!O350)=0,"",IF(ISNA(計算結果!O350),"",計算結果!O350))</f>
        <v/>
      </c>
      <c r="P350" s="10" t="str">
        <f>IF(IF(ISNA(計算結果!P350),"",計算結果!P350)=0,"",IF(ISNA(計算結果!P350),"",計算結果!P350))</f>
        <v/>
      </c>
      <c r="Q350" s="10" t="str">
        <f>IF(IF(ISNA(計算結果!Q350),"",計算結果!Q350)=0,"",IF(ISNA(計算結果!Q350),"",計算結果!Q350))</f>
        <v/>
      </c>
      <c r="R350" s="14" t="str">
        <f t="shared" si="15"/>
        <v/>
      </c>
      <c r="S350" s="14" t="str">
        <f t="shared" si="16"/>
        <v>◯</v>
      </c>
      <c r="T350" s="14" t="str">
        <f t="shared" si="17"/>
        <v/>
      </c>
    </row>
    <row r="351" spans="1:20" hidden="1" x14ac:dyDescent="0.45">
      <c r="A351" s="10" t="str">
        <f>IF(IF(ISNA(計算結果!A351),"",計算結果!A351)=0,"",IF(ISNA(計算結果!A351),"",計算結果!A351))</f>
        <v/>
      </c>
      <c r="B351" s="10" t="str">
        <f>IF(IF(ISNA(計算結果!B351),"",計算結果!B351)=0,"",IF(ISNA(計算結果!B351),"",計算結果!B351))</f>
        <v/>
      </c>
      <c r="C351" s="10" t="str">
        <f>IF(IF(ISNA(計算結果!C351),"",計算結果!C351)=0,"",IF(ISNA(計算結果!C351),"",計算結果!C351))</f>
        <v/>
      </c>
      <c r="D351" s="10" t="str">
        <f>IF(IF(ISNA(計算結果!D351),"",計算結果!D351)=0,"",IF(ISNA(計算結果!D351),"",計算結果!D351))</f>
        <v>L</v>
      </c>
      <c r="E351" s="10" t="str">
        <f>IF(IF(ISNA(計算結果!E351),"",計算結果!E351)=0,"",IF(ISNA(計算結果!E351),"",計算結果!E351))</f>
        <v/>
      </c>
      <c r="F351" s="10" t="str">
        <f>IF(IF(ISNA(計算結果!F351),"",計算結果!F351)=0,"",IF(ISNA(計算結果!F351),"",計算結果!F351))</f>
        <v/>
      </c>
      <c r="G351" s="10" t="str">
        <f>IF(IF(ISNA(計算結果!G351),"",計算結果!G351)=0,"",IF(ISNA(計算結果!G351),"",計算結果!G351))</f>
        <v/>
      </c>
      <c r="H351" s="13">
        <f>IF(IF(ISNA(計算結果!H351),"",計算結果!H351)=0,"",IF(ISNA(計算結果!H351),"",計算結果!H351))</f>
        <v>-2</v>
      </c>
      <c r="I351" s="12" t="str">
        <f>IF(IF(ISNA(計算結果!I351),"",計算結果!I351)=0,"",IF(ISNA(計算結果!I351),"",計算結果!I351))</f>
        <v/>
      </c>
      <c r="J351" s="12" t="str">
        <f>IF(IF(ISNA(計算結果!J351),"",計算結果!J351)=0,"",IF(ISNA(計算結果!J351),"",計算結果!J351))</f>
        <v/>
      </c>
      <c r="K351" s="23" t="str">
        <f>IF(IF(ISNA(計算結果!K351),"",計算結果!K351)=0,"",IF(ISNA(計算結果!K351),"",計算結果!K351))</f>
        <v/>
      </c>
      <c r="L351" s="13" t="str">
        <f>IF(IF(ISNA(計算結果!L351),"",計算結果!L351)=0,"",IF(ISNA(計算結果!L351),"",計算結果!L351))</f>
        <v/>
      </c>
      <c r="M351" s="10" t="str">
        <f>IF(IF(ISNA(計算結果!M351),"",計算結果!M351)=0,"",IF(ISNA(計算結果!M351),"",計算結果!M351))</f>
        <v/>
      </c>
      <c r="N351" s="10" t="str">
        <f>IF(IF(ISNA(計算結果!N351),"",計算結果!N351)=0,"",IF(ISNA(計算結果!N351),"",計算結果!N351))</f>
        <v/>
      </c>
      <c r="O351" s="13" t="str">
        <f>IF(IF(ISNA(計算結果!O351),"",計算結果!O351)=0,"",IF(ISNA(計算結果!O351),"",計算結果!O351))</f>
        <v/>
      </c>
      <c r="P351" s="10" t="str">
        <f>IF(IF(ISNA(計算結果!P351),"",計算結果!P351)=0,"",IF(ISNA(計算結果!P351),"",計算結果!P351))</f>
        <v/>
      </c>
      <c r="Q351" s="10" t="str">
        <f>IF(IF(ISNA(計算結果!Q351),"",計算結果!Q351)=0,"",IF(ISNA(計算結果!Q351),"",計算結果!Q351))</f>
        <v/>
      </c>
      <c r="R351" s="14" t="str">
        <f t="shared" si="15"/>
        <v/>
      </c>
      <c r="S351" s="14" t="str">
        <f t="shared" si="16"/>
        <v>◯</v>
      </c>
      <c r="T351" s="14" t="str">
        <f t="shared" si="17"/>
        <v/>
      </c>
    </row>
    <row r="352" spans="1:20" hidden="1" x14ac:dyDescent="0.45">
      <c r="A352" s="10" t="str">
        <f>IF(IF(ISNA(計算結果!A352),"",計算結果!A352)=0,"",IF(ISNA(計算結果!A352),"",計算結果!A352))</f>
        <v/>
      </c>
      <c r="B352" s="10" t="str">
        <f>IF(IF(ISNA(計算結果!B352),"",計算結果!B352)=0,"",IF(ISNA(計算結果!B352),"",計算結果!B352))</f>
        <v/>
      </c>
      <c r="C352" s="10" t="str">
        <f>IF(IF(ISNA(計算結果!C352),"",計算結果!C352)=0,"",IF(ISNA(計算結果!C352),"",計算結果!C352))</f>
        <v/>
      </c>
      <c r="D352" s="10" t="str">
        <f>IF(IF(ISNA(計算結果!D352),"",計算結果!D352)=0,"",IF(ISNA(計算結果!D352),"",計算結果!D352))</f>
        <v>L</v>
      </c>
      <c r="E352" s="10" t="str">
        <f>IF(IF(ISNA(計算結果!E352),"",計算結果!E352)=0,"",IF(ISNA(計算結果!E352),"",計算結果!E352))</f>
        <v/>
      </c>
      <c r="F352" s="10" t="str">
        <f>IF(IF(ISNA(計算結果!F352),"",計算結果!F352)=0,"",IF(ISNA(計算結果!F352),"",計算結果!F352))</f>
        <v/>
      </c>
      <c r="G352" s="10" t="str">
        <f>IF(IF(ISNA(計算結果!G352),"",計算結果!G352)=0,"",IF(ISNA(計算結果!G352),"",計算結果!G352))</f>
        <v/>
      </c>
      <c r="H352" s="13">
        <f>IF(IF(ISNA(計算結果!H352),"",計算結果!H352)=0,"",IF(ISNA(計算結果!H352),"",計算結果!H352))</f>
        <v>-2</v>
      </c>
      <c r="I352" s="12" t="str">
        <f>IF(IF(ISNA(計算結果!I352),"",計算結果!I352)=0,"",IF(ISNA(計算結果!I352),"",計算結果!I352))</f>
        <v/>
      </c>
      <c r="J352" s="12" t="str">
        <f>IF(IF(ISNA(計算結果!J352),"",計算結果!J352)=0,"",IF(ISNA(計算結果!J352),"",計算結果!J352))</f>
        <v/>
      </c>
      <c r="K352" s="23" t="str">
        <f>IF(IF(ISNA(計算結果!K352),"",計算結果!K352)=0,"",IF(ISNA(計算結果!K352),"",計算結果!K352))</f>
        <v/>
      </c>
      <c r="L352" s="13" t="str">
        <f>IF(IF(ISNA(計算結果!L352),"",計算結果!L352)=0,"",IF(ISNA(計算結果!L352),"",計算結果!L352))</f>
        <v/>
      </c>
      <c r="M352" s="10" t="str">
        <f>IF(IF(ISNA(計算結果!M352),"",計算結果!M352)=0,"",IF(ISNA(計算結果!M352),"",計算結果!M352))</f>
        <v/>
      </c>
      <c r="N352" s="10" t="str">
        <f>IF(IF(ISNA(計算結果!N352),"",計算結果!N352)=0,"",IF(ISNA(計算結果!N352),"",計算結果!N352))</f>
        <v/>
      </c>
      <c r="O352" s="13" t="str">
        <f>IF(IF(ISNA(計算結果!O352),"",計算結果!O352)=0,"",IF(ISNA(計算結果!O352),"",計算結果!O352))</f>
        <v/>
      </c>
      <c r="P352" s="10" t="str">
        <f>IF(IF(ISNA(計算結果!P352),"",計算結果!P352)=0,"",IF(ISNA(計算結果!P352),"",計算結果!P352))</f>
        <v/>
      </c>
      <c r="Q352" s="10" t="str">
        <f>IF(IF(ISNA(計算結果!Q352),"",計算結果!Q352)=0,"",IF(ISNA(計算結果!Q352),"",計算結果!Q352))</f>
        <v/>
      </c>
      <c r="R352" s="14" t="str">
        <f t="shared" si="15"/>
        <v/>
      </c>
      <c r="S352" s="14" t="str">
        <f t="shared" si="16"/>
        <v>◯</v>
      </c>
      <c r="T352" s="14" t="str">
        <f t="shared" si="17"/>
        <v/>
      </c>
    </row>
    <row r="353" spans="1:20" hidden="1" x14ac:dyDescent="0.45">
      <c r="A353" s="10" t="str">
        <f>IF(IF(ISNA(計算結果!A353),"",計算結果!A353)=0,"",IF(ISNA(計算結果!A353),"",計算結果!A353))</f>
        <v/>
      </c>
      <c r="B353" s="10" t="str">
        <f>IF(IF(ISNA(計算結果!B353),"",計算結果!B353)=0,"",IF(ISNA(計算結果!B353),"",計算結果!B353))</f>
        <v/>
      </c>
      <c r="C353" s="10" t="str">
        <f>IF(IF(ISNA(計算結果!C353),"",計算結果!C353)=0,"",IF(ISNA(計算結果!C353),"",計算結果!C353))</f>
        <v/>
      </c>
      <c r="D353" s="10" t="str">
        <f>IF(IF(ISNA(計算結果!D353),"",計算結果!D353)=0,"",IF(ISNA(計算結果!D353),"",計算結果!D353))</f>
        <v>L</v>
      </c>
      <c r="E353" s="10" t="str">
        <f>IF(IF(ISNA(計算結果!E353),"",計算結果!E353)=0,"",IF(ISNA(計算結果!E353),"",計算結果!E353))</f>
        <v/>
      </c>
      <c r="F353" s="10" t="str">
        <f>IF(IF(ISNA(計算結果!F353),"",計算結果!F353)=0,"",IF(ISNA(計算結果!F353),"",計算結果!F353))</f>
        <v/>
      </c>
      <c r="G353" s="10" t="str">
        <f>IF(IF(ISNA(計算結果!G353),"",計算結果!G353)=0,"",IF(ISNA(計算結果!G353),"",計算結果!G353))</f>
        <v/>
      </c>
      <c r="H353" s="13">
        <f>IF(IF(ISNA(計算結果!H353),"",計算結果!H353)=0,"",IF(ISNA(計算結果!H353),"",計算結果!H353))</f>
        <v>-2</v>
      </c>
      <c r="I353" s="12" t="str">
        <f>IF(IF(ISNA(計算結果!I353),"",計算結果!I353)=0,"",IF(ISNA(計算結果!I353),"",計算結果!I353))</f>
        <v/>
      </c>
      <c r="J353" s="12" t="str">
        <f>IF(IF(ISNA(計算結果!J353),"",計算結果!J353)=0,"",IF(ISNA(計算結果!J353),"",計算結果!J353))</f>
        <v/>
      </c>
      <c r="K353" s="23" t="str">
        <f>IF(IF(ISNA(計算結果!K353),"",計算結果!K353)=0,"",IF(ISNA(計算結果!K353),"",計算結果!K353))</f>
        <v/>
      </c>
      <c r="L353" s="13" t="str">
        <f>IF(IF(ISNA(計算結果!L353),"",計算結果!L353)=0,"",IF(ISNA(計算結果!L353),"",計算結果!L353))</f>
        <v/>
      </c>
      <c r="M353" s="10" t="str">
        <f>IF(IF(ISNA(計算結果!M353),"",計算結果!M353)=0,"",IF(ISNA(計算結果!M353),"",計算結果!M353))</f>
        <v/>
      </c>
      <c r="N353" s="10" t="str">
        <f>IF(IF(ISNA(計算結果!N353),"",計算結果!N353)=0,"",IF(ISNA(計算結果!N353),"",計算結果!N353))</f>
        <v/>
      </c>
      <c r="O353" s="13" t="str">
        <f>IF(IF(ISNA(計算結果!O353),"",計算結果!O353)=0,"",IF(ISNA(計算結果!O353),"",計算結果!O353))</f>
        <v/>
      </c>
      <c r="P353" s="10" t="str">
        <f>IF(IF(ISNA(計算結果!P353),"",計算結果!P353)=0,"",IF(ISNA(計算結果!P353),"",計算結果!P353))</f>
        <v/>
      </c>
      <c r="Q353" s="10" t="str">
        <f>IF(IF(ISNA(計算結果!Q353),"",計算結果!Q353)=0,"",IF(ISNA(計算結果!Q353),"",計算結果!Q353))</f>
        <v/>
      </c>
      <c r="R353" s="14" t="str">
        <f t="shared" si="15"/>
        <v/>
      </c>
      <c r="S353" s="14" t="str">
        <f t="shared" si="16"/>
        <v>◯</v>
      </c>
      <c r="T353" s="14" t="str">
        <f t="shared" si="17"/>
        <v/>
      </c>
    </row>
    <row r="354" spans="1:20" hidden="1" x14ac:dyDescent="0.45">
      <c r="A354" s="10" t="str">
        <f>IF(IF(ISNA(計算結果!A354),"",計算結果!A354)=0,"",IF(ISNA(計算結果!A354),"",計算結果!A354))</f>
        <v/>
      </c>
      <c r="B354" s="10" t="str">
        <f>IF(IF(ISNA(計算結果!B354),"",計算結果!B354)=0,"",IF(ISNA(計算結果!B354),"",計算結果!B354))</f>
        <v/>
      </c>
      <c r="C354" s="10" t="str">
        <f>IF(IF(ISNA(計算結果!C354),"",計算結果!C354)=0,"",IF(ISNA(計算結果!C354),"",計算結果!C354))</f>
        <v/>
      </c>
      <c r="D354" s="10" t="str">
        <f>IF(IF(ISNA(計算結果!D354),"",計算結果!D354)=0,"",IF(ISNA(計算結果!D354),"",計算結果!D354))</f>
        <v>L</v>
      </c>
      <c r="E354" s="10" t="str">
        <f>IF(IF(ISNA(計算結果!E354),"",計算結果!E354)=0,"",IF(ISNA(計算結果!E354),"",計算結果!E354))</f>
        <v/>
      </c>
      <c r="F354" s="10" t="str">
        <f>IF(IF(ISNA(計算結果!F354),"",計算結果!F354)=0,"",IF(ISNA(計算結果!F354),"",計算結果!F354))</f>
        <v/>
      </c>
      <c r="G354" s="10" t="str">
        <f>IF(IF(ISNA(計算結果!G354),"",計算結果!G354)=0,"",IF(ISNA(計算結果!G354),"",計算結果!G354))</f>
        <v/>
      </c>
      <c r="H354" s="13">
        <f>IF(IF(ISNA(計算結果!H354),"",計算結果!H354)=0,"",IF(ISNA(計算結果!H354),"",計算結果!H354))</f>
        <v>-2</v>
      </c>
      <c r="I354" s="12" t="str">
        <f>IF(IF(ISNA(計算結果!I354),"",計算結果!I354)=0,"",IF(ISNA(計算結果!I354),"",計算結果!I354))</f>
        <v/>
      </c>
      <c r="J354" s="12" t="str">
        <f>IF(IF(ISNA(計算結果!J354),"",計算結果!J354)=0,"",IF(ISNA(計算結果!J354),"",計算結果!J354))</f>
        <v/>
      </c>
      <c r="K354" s="23" t="str">
        <f>IF(IF(ISNA(計算結果!K354),"",計算結果!K354)=0,"",IF(ISNA(計算結果!K354),"",計算結果!K354))</f>
        <v/>
      </c>
      <c r="L354" s="13" t="str">
        <f>IF(IF(ISNA(計算結果!L354),"",計算結果!L354)=0,"",IF(ISNA(計算結果!L354),"",計算結果!L354))</f>
        <v/>
      </c>
      <c r="M354" s="10" t="str">
        <f>IF(IF(ISNA(計算結果!M354),"",計算結果!M354)=0,"",IF(ISNA(計算結果!M354),"",計算結果!M354))</f>
        <v/>
      </c>
      <c r="N354" s="10" t="str">
        <f>IF(IF(ISNA(計算結果!N354),"",計算結果!N354)=0,"",IF(ISNA(計算結果!N354),"",計算結果!N354))</f>
        <v/>
      </c>
      <c r="O354" s="13" t="str">
        <f>IF(IF(ISNA(計算結果!O354),"",計算結果!O354)=0,"",IF(ISNA(計算結果!O354),"",計算結果!O354))</f>
        <v/>
      </c>
      <c r="P354" s="10" t="str">
        <f>IF(IF(ISNA(計算結果!P354),"",計算結果!P354)=0,"",IF(ISNA(計算結果!P354),"",計算結果!P354))</f>
        <v/>
      </c>
      <c r="Q354" s="10" t="str">
        <f>IF(IF(ISNA(計算結果!Q354),"",計算結果!Q354)=0,"",IF(ISNA(計算結果!Q354),"",計算結果!Q354))</f>
        <v/>
      </c>
      <c r="R354" s="14" t="str">
        <f t="shared" si="15"/>
        <v/>
      </c>
      <c r="S354" s="14" t="str">
        <f t="shared" si="16"/>
        <v>◯</v>
      </c>
      <c r="T354" s="14" t="str">
        <f t="shared" si="17"/>
        <v/>
      </c>
    </row>
    <row r="355" spans="1:20" hidden="1" x14ac:dyDescent="0.45">
      <c r="A355" s="10" t="str">
        <f>IF(IF(ISNA(計算結果!A355),"",計算結果!A355)=0,"",IF(ISNA(計算結果!A355),"",計算結果!A355))</f>
        <v/>
      </c>
      <c r="B355" s="10" t="str">
        <f>IF(IF(ISNA(計算結果!B355),"",計算結果!B355)=0,"",IF(ISNA(計算結果!B355),"",計算結果!B355))</f>
        <v/>
      </c>
      <c r="C355" s="10" t="str">
        <f>IF(IF(ISNA(計算結果!C355),"",計算結果!C355)=0,"",IF(ISNA(計算結果!C355),"",計算結果!C355))</f>
        <v/>
      </c>
      <c r="D355" s="10" t="str">
        <f>IF(IF(ISNA(計算結果!D355),"",計算結果!D355)=0,"",IF(ISNA(計算結果!D355),"",計算結果!D355))</f>
        <v>L</v>
      </c>
      <c r="E355" s="10" t="str">
        <f>IF(IF(ISNA(計算結果!E355),"",計算結果!E355)=0,"",IF(ISNA(計算結果!E355),"",計算結果!E355))</f>
        <v/>
      </c>
      <c r="F355" s="10" t="str">
        <f>IF(IF(ISNA(計算結果!F355),"",計算結果!F355)=0,"",IF(ISNA(計算結果!F355),"",計算結果!F355))</f>
        <v/>
      </c>
      <c r="G355" s="10" t="str">
        <f>IF(IF(ISNA(計算結果!G355),"",計算結果!G355)=0,"",IF(ISNA(計算結果!G355),"",計算結果!G355))</f>
        <v/>
      </c>
      <c r="H355" s="13">
        <f>IF(IF(ISNA(計算結果!H355),"",計算結果!H355)=0,"",IF(ISNA(計算結果!H355),"",計算結果!H355))</f>
        <v>-2</v>
      </c>
      <c r="I355" s="12" t="str">
        <f>IF(IF(ISNA(計算結果!I355),"",計算結果!I355)=0,"",IF(ISNA(計算結果!I355),"",計算結果!I355))</f>
        <v/>
      </c>
      <c r="J355" s="12" t="str">
        <f>IF(IF(ISNA(計算結果!J355),"",計算結果!J355)=0,"",IF(ISNA(計算結果!J355),"",計算結果!J355))</f>
        <v/>
      </c>
      <c r="K355" s="23" t="str">
        <f>IF(IF(ISNA(計算結果!K355),"",計算結果!K355)=0,"",IF(ISNA(計算結果!K355),"",計算結果!K355))</f>
        <v/>
      </c>
      <c r="L355" s="13" t="str">
        <f>IF(IF(ISNA(計算結果!L355),"",計算結果!L355)=0,"",IF(ISNA(計算結果!L355),"",計算結果!L355))</f>
        <v/>
      </c>
      <c r="M355" s="10" t="str">
        <f>IF(IF(ISNA(計算結果!M355),"",計算結果!M355)=0,"",IF(ISNA(計算結果!M355),"",計算結果!M355))</f>
        <v/>
      </c>
      <c r="N355" s="10" t="str">
        <f>IF(IF(ISNA(計算結果!N355),"",計算結果!N355)=0,"",IF(ISNA(計算結果!N355),"",計算結果!N355))</f>
        <v/>
      </c>
      <c r="O355" s="13" t="str">
        <f>IF(IF(ISNA(計算結果!O355),"",計算結果!O355)=0,"",IF(ISNA(計算結果!O355),"",計算結果!O355))</f>
        <v/>
      </c>
      <c r="P355" s="10" t="str">
        <f>IF(IF(ISNA(計算結果!P355),"",計算結果!P355)=0,"",IF(ISNA(計算結果!P355),"",計算結果!P355))</f>
        <v/>
      </c>
      <c r="Q355" s="10" t="str">
        <f>IF(IF(ISNA(計算結果!Q355),"",計算結果!Q355)=0,"",IF(ISNA(計算結果!Q355),"",計算結果!Q355))</f>
        <v/>
      </c>
      <c r="R355" s="14" t="str">
        <f t="shared" si="15"/>
        <v/>
      </c>
      <c r="S355" s="14" t="str">
        <f t="shared" si="16"/>
        <v>◯</v>
      </c>
      <c r="T355" s="14" t="str">
        <f t="shared" si="17"/>
        <v/>
      </c>
    </row>
    <row r="356" spans="1:20" hidden="1" x14ac:dyDescent="0.45">
      <c r="A356" s="10" t="str">
        <f>IF(IF(ISNA(計算結果!A356),"",計算結果!A356)=0,"",IF(ISNA(計算結果!A356),"",計算結果!A356))</f>
        <v/>
      </c>
      <c r="B356" s="10" t="str">
        <f>IF(IF(ISNA(計算結果!B356),"",計算結果!B356)=0,"",IF(ISNA(計算結果!B356),"",計算結果!B356))</f>
        <v/>
      </c>
      <c r="C356" s="10" t="str">
        <f>IF(IF(ISNA(計算結果!C356),"",計算結果!C356)=0,"",IF(ISNA(計算結果!C356),"",計算結果!C356))</f>
        <v/>
      </c>
      <c r="D356" s="10" t="str">
        <f>IF(IF(ISNA(計算結果!D356),"",計算結果!D356)=0,"",IF(ISNA(計算結果!D356),"",計算結果!D356))</f>
        <v>L</v>
      </c>
      <c r="E356" s="10" t="str">
        <f>IF(IF(ISNA(計算結果!E356),"",計算結果!E356)=0,"",IF(ISNA(計算結果!E356),"",計算結果!E356))</f>
        <v/>
      </c>
      <c r="F356" s="10" t="str">
        <f>IF(IF(ISNA(計算結果!F356),"",計算結果!F356)=0,"",IF(ISNA(計算結果!F356),"",計算結果!F356))</f>
        <v/>
      </c>
      <c r="G356" s="10" t="str">
        <f>IF(IF(ISNA(計算結果!G356),"",計算結果!G356)=0,"",IF(ISNA(計算結果!G356),"",計算結果!G356))</f>
        <v/>
      </c>
      <c r="H356" s="13">
        <f>IF(IF(ISNA(計算結果!H356),"",計算結果!H356)=0,"",IF(ISNA(計算結果!H356),"",計算結果!H356))</f>
        <v>-2</v>
      </c>
      <c r="I356" s="12" t="str">
        <f>IF(IF(ISNA(計算結果!I356),"",計算結果!I356)=0,"",IF(ISNA(計算結果!I356),"",計算結果!I356))</f>
        <v/>
      </c>
      <c r="J356" s="12" t="str">
        <f>IF(IF(ISNA(計算結果!J356),"",計算結果!J356)=0,"",IF(ISNA(計算結果!J356),"",計算結果!J356))</f>
        <v/>
      </c>
      <c r="K356" s="23" t="str">
        <f>IF(IF(ISNA(計算結果!K356),"",計算結果!K356)=0,"",IF(ISNA(計算結果!K356),"",計算結果!K356))</f>
        <v/>
      </c>
      <c r="L356" s="13" t="str">
        <f>IF(IF(ISNA(計算結果!L356),"",計算結果!L356)=0,"",IF(ISNA(計算結果!L356),"",計算結果!L356))</f>
        <v/>
      </c>
      <c r="M356" s="10" t="str">
        <f>IF(IF(ISNA(計算結果!M356),"",計算結果!M356)=0,"",IF(ISNA(計算結果!M356),"",計算結果!M356))</f>
        <v/>
      </c>
      <c r="N356" s="10" t="str">
        <f>IF(IF(ISNA(計算結果!N356),"",計算結果!N356)=0,"",IF(ISNA(計算結果!N356),"",計算結果!N356))</f>
        <v/>
      </c>
      <c r="O356" s="13" t="str">
        <f>IF(IF(ISNA(計算結果!O356),"",計算結果!O356)=0,"",IF(ISNA(計算結果!O356),"",計算結果!O356))</f>
        <v/>
      </c>
      <c r="P356" s="10" t="str">
        <f>IF(IF(ISNA(計算結果!P356),"",計算結果!P356)=0,"",IF(ISNA(計算結果!P356),"",計算結果!P356))</f>
        <v/>
      </c>
      <c r="Q356" s="10" t="str">
        <f>IF(IF(ISNA(計算結果!Q356),"",計算結果!Q356)=0,"",IF(ISNA(計算結果!Q356),"",計算結果!Q356))</f>
        <v/>
      </c>
      <c r="R356" s="14" t="str">
        <f t="shared" si="15"/>
        <v/>
      </c>
      <c r="S356" s="14" t="str">
        <f t="shared" si="16"/>
        <v>◯</v>
      </c>
      <c r="T356" s="14" t="str">
        <f t="shared" si="17"/>
        <v/>
      </c>
    </row>
    <row r="357" spans="1:20" hidden="1" x14ac:dyDescent="0.45">
      <c r="A357" s="10" t="str">
        <f>IF(IF(ISNA(計算結果!A357),"",計算結果!A357)=0,"",IF(ISNA(計算結果!A357),"",計算結果!A357))</f>
        <v/>
      </c>
      <c r="B357" s="10" t="str">
        <f>IF(IF(ISNA(計算結果!B357),"",計算結果!B357)=0,"",IF(ISNA(計算結果!B357),"",計算結果!B357))</f>
        <v/>
      </c>
      <c r="C357" s="10" t="str">
        <f>IF(IF(ISNA(計算結果!C357),"",計算結果!C357)=0,"",IF(ISNA(計算結果!C357),"",計算結果!C357))</f>
        <v/>
      </c>
      <c r="D357" s="10" t="str">
        <f>IF(IF(ISNA(計算結果!D357),"",計算結果!D357)=0,"",IF(ISNA(計算結果!D357),"",計算結果!D357))</f>
        <v>L</v>
      </c>
      <c r="E357" s="10" t="str">
        <f>IF(IF(ISNA(計算結果!E357),"",計算結果!E357)=0,"",IF(ISNA(計算結果!E357),"",計算結果!E357))</f>
        <v/>
      </c>
      <c r="F357" s="10" t="str">
        <f>IF(IF(ISNA(計算結果!F357),"",計算結果!F357)=0,"",IF(ISNA(計算結果!F357),"",計算結果!F357))</f>
        <v/>
      </c>
      <c r="G357" s="10" t="str">
        <f>IF(IF(ISNA(計算結果!G357),"",計算結果!G357)=0,"",IF(ISNA(計算結果!G357),"",計算結果!G357))</f>
        <v/>
      </c>
      <c r="H357" s="13">
        <f>IF(IF(ISNA(計算結果!H357),"",計算結果!H357)=0,"",IF(ISNA(計算結果!H357),"",計算結果!H357))</f>
        <v>-2</v>
      </c>
      <c r="I357" s="12" t="str">
        <f>IF(IF(ISNA(計算結果!I357),"",計算結果!I357)=0,"",IF(ISNA(計算結果!I357),"",計算結果!I357))</f>
        <v/>
      </c>
      <c r="J357" s="12" t="str">
        <f>IF(IF(ISNA(計算結果!J357),"",計算結果!J357)=0,"",IF(ISNA(計算結果!J357),"",計算結果!J357))</f>
        <v/>
      </c>
      <c r="K357" s="23" t="str">
        <f>IF(IF(ISNA(計算結果!K357),"",計算結果!K357)=0,"",IF(ISNA(計算結果!K357),"",計算結果!K357))</f>
        <v/>
      </c>
      <c r="L357" s="13" t="str">
        <f>IF(IF(ISNA(計算結果!L357),"",計算結果!L357)=0,"",IF(ISNA(計算結果!L357),"",計算結果!L357))</f>
        <v/>
      </c>
      <c r="M357" s="10" t="str">
        <f>IF(IF(ISNA(計算結果!M357),"",計算結果!M357)=0,"",IF(ISNA(計算結果!M357),"",計算結果!M357))</f>
        <v/>
      </c>
      <c r="N357" s="10" t="str">
        <f>IF(IF(ISNA(計算結果!N357),"",計算結果!N357)=0,"",IF(ISNA(計算結果!N357),"",計算結果!N357))</f>
        <v/>
      </c>
      <c r="O357" s="13" t="str">
        <f>IF(IF(ISNA(計算結果!O357),"",計算結果!O357)=0,"",IF(ISNA(計算結果!O357),"",計算結果!O357))</f>
        <v/>
      </c>
      <c r="P357" s="10" t="str">
        <f>IF(IF(ISNA(計算結果!P357),"",計算結果!P357)=0,"",IF(ISNA(計算結果!P357),"",計算結果!P357))</f>
        <v/>
      </c>
      <c r="Q357" s="10" t="str">
        <f>IF(IF(ISNA(計算結果!Q357),"",計算結果!Q357)=0,"",IF(ISNA(計算結果!Q357),"",計算結果!Q357))</f>
        <v/>
      </c>
      <c r="R357" s="14" t="str">
        <f t="shared" si="15"/>
        <v/>
      </c>
      <c r="S357" s="14" t="str">
        <f t="shared" si="16"/>
        <v>◯</v>
      </c>
      <c r="T357" s="14" t="str">
        <f t="shared" si="17"/>
        <v/>
      </c>
    </row>
    <row r="358" spans="1:20" hidden="1" x14ac:dyDescent="0.45">
      <c r="A358" s="10" t="str">
        <f>IF(IF(ISNA(計算結果!A358),"",計算結果!A358)=0,"",IF(ISNA(計算結果!A358),"",計算結果!A358))</f>
        <v/>
      </c>
      <c r="B358" s="10" t="str">
        <f>IF(IF(ISNA(計算結果!B358),"",計算結果!B358)=0,"",IF(ISNA(計算結果!B358),"",計算結果!B358))</f>
        <v/>
      </c>
      <c r="C358" s="10" t="str">
        <f>IF(IF(ISNA(計算結果!C358),"",計算結果!C358)=0,"",IF(ISNA(計算結果!C358),"",計算結果!C358))</f>
        <v/>
      </c>
      <c r="D358" s="10" t="str">
        <f>IF(IF(ISNA(計算結果!D358),"",計算結果!D358)=0,"",IF(ISNA(計算結果!D358),"",計算結果!D358))</f>
        <v>L</v>
      </c>
      <c r="E358" s="10" t="str">
        <f>IF(IF(ISNA(計算結果!E358),"",計算結果!E358)=0,"",IF(ISNA(計算結果!E358),"",計算結果!E358))</f>
        <v/>
      </c>
      <c r="F358" s="10" t="str">
        <f>IF(IF(ISNA(計算結果!F358),"",計算結果!F358)=0,"",IF(ISNA(計算結果!F358),"",計算結果!F358))</f>
        <v/>
      </c>
      <c r="G358" s="10" t="str">
        <f>IF(IF(ISNA(計算結果!G358),"",計算結果!G358)=0,"",IF(ISNA(計算結果!G358),"",計算結果!G358))</f>
        <v/>
      </c>
      <c r="H358" s="13">
        <f>IF(IF(ISNA(計算結果!H358),"",計算結果!H358)=0,"",IF(ISNA(計算結果!H358),"",計算結果!H358))</f>
        <v>-2</v>
      </c>
      <c r="I358" s="12" t="str">
        <f>IF(IF(ISNA(計算結果!I358),"",計算結果!I358)=0,"",IF(ISNA(計算結果!I358),"",計算結果!I358))</f>
        <v/>
      </c>
      <c r="J358" s="12" t="str">
        <f>IF(IF(ISNA(計算結果!J358),"",計算結果!J358)=0,"",IF(ISNA(計算結果!J358),"",計算結果!J358))</f>
        <v/>
      </c>
      <c r="K358" s="23" t="str">
        <f>IF(IF(ISNA(計算結果!K358),"",計算結果!K358)=0,"",IF(ISNA(計算結果!K358),"",計算結果!K358))</f>
        <v/>
      </c>
      <c r="L358" s="13" t="str">
        <f>IF(IF(ISNA(計算結果!L358),"",計算結果!L358)=0,"",IF(ISNA(計算結果!L358),"",計算結果!L358))</f>
        <v/>
      </c>
      <c r="M358" s="10" t="str">
        <f>IF(IF(ISNA(計算結果!M358),"",計算結果!M358)=0,"",IF(ISNA(計算結果!M358),"",計算結果!M358))</f>
        <v/>
      </c>
      <c r="N358" s="10" t="str">
        <f>IF(IF(ISNA(計算結果!N358),"",計算結果!N358)=0,"",IF(ISNA(計算結果!N358),"",計算結果!N358))</f>
        <v/>
      </c>
      <c r="O358" s="13" t="str">
        <f>IF(IF(ISNA(計算結果!O358),"",計算結果!O358)=0,"",IF(ISNA(計算結果!O358),"",計算結果!O358))</f>
        <v/>
      </c>
      <c r="P358" s="10" t="str">
        <f>IF(IF(ISNA(計算結果!P358),"",計算結果!P358)=0,"",IF(ISNA(計算結果!P358),"",計算結果!P358))</f>
        <v/>
      </c>
      <c r="Q358" s="10" t="str">
        <f>IF(IF(ISNA(計算結果!Q358),"",計算結果!Q358)=0,"",IF(ISNA(計算結果!Q358),"",計算結果!Q358))</f>
        <v/>
      </c>
      <c r="R358" s="14" t="str">
        <f t="shared" si="15"/>
        <v/>
      </c>
      <c r="S358" s="14" t="str">
        <f t="shared" si="16"/>
        <v>◯</v>
      </c>
      <c r="T358" s="14" t="str">
        <f t="shared" si="17"/>
        <v/>
      </c>
    </row>
    <row r="359" spans="1:20" hidden="1" x14ac:dyDescent="0.45">
      <c r="A359" s="10" t="str">
        <f>IF(IF(ISNA(計算結果!A359),"",計算結果!A359)=0,"",IF(ISNA(計算結果!A359),"",計算結果!A359))</f>
        <v/>
      </c>
      <c r="B359" s="10" t="str">
        <f>IF(IF(ISNA(計算結果!B359),"",計算結果!B359)=0,"",IF(ISNA(計算結果!B359),"",計算結果!B359))</f>
        <v/>
      </c>
      <c r="C359" s="10" t="str">
        <f>IF(IF(ISNA(計算結果!C359),"",計算結果!C359)=0,"",IF(ISNA(計算結果!C359),"",計算結果!C359))</f>
        <v/>
      </c>
      <c r="D359" s="10" t="str">
        <f>IF(IF(ISNA(計算結果!D359),"",計算結果!D359)=0,"",IF(ISNA(計算結果!D359),"",計算結果!D359))</f>
        <v>L</v>
      </c>
      <c r="E359" s="10" t="str">
        <f>IF(IF(ISNA(計算結果!E359),"",計算結果!E359)=0,"",IF(ISNA(計算結果!E359),"",計算結果!E359))</f>
        <v/>
      </c>
      <c r="F359" s="10" t="str">
        <f>IF(IF(ISNA(計算結果!F359),"",計算結果!F359)=0,"",IF(ISNA(計算結果!F359),"",計算結果!F359))</f>
        <v/>
      </c>
      <c r="G359" s="10" t="str">
        <f>IF(IF(ISNA(計算結果!G359),"",計算結果!G359)=0,"",IF(ISNA(計算結果!G359),"",計算結果!G359))</f>
        <v/>
      </c>
      <c r="H359" s="13">
        <f>IF(IF(ISNA(計算結果!H359),"",計算結果!H359)=0,"",IF(ISNA(計算結果!H359),"",計算結果!H359))</f>
        <v>-2</v>
      </c>
      <c r="I359" s="12" t="str">
        <f>IF(IF(ISNA(計算結果!I359),"",計算結果!I359)=0,"",IF(ISNA(計算結果!I359),"",計算結果!I359))</f>
        <v/>
      </c>
      <c r="J359" s="12" t="str">
        <f>IF(IF(ISNA(計算結果!J359),"",計算結果!J359)=0,"",IF(ISNA(計算結果!J359),"",計算結果!J359))</f>
        <v/>
      </c>
      <c r="K359" s="23" t="str">
        <f>IF(IF(ISNA(計算結果!K359),"",計算結果!K359)=0,"",IF(ISNA(計算結果!K359),"",計算結果!K359))</f>
        <v/>
      </c>
      <c r="L359" s="13" t="str">
        <f>IF(IF(ISNA(計算結果!L359),"",計算結果!L359)=0,"",IF(ISNA(計算結果!L359),"",計算結果!L359))</f>
        <v/>
      </c>
      <c r="M359" s="10" t="str">
        <f>IF(IF(ISNA(計算結果!M359),"",計算結果!M359)=0,"",IF(ISNA(計算結果!M359),"",計算結果!M359))</f>
        <v/>
      </c>
      <c r="N359" s="10" t="str">
        <f>IF(IF(ISNA(計算結果!N359),"",計算結果!N359)=0,"",IF(ISNA(計算結果!N359),"",計算結果!N359))</f>
        <v/>
      </c>
      <c r="O359" s="13" t="str">
        <f>IF(IF(ISNA(計算結果!O359),"",計算結果!O359)=0,"",IF(ISNA(計算結果!O359),"",計算結果!O359))</f>
        <v/>
      </c>
      <c r="P359" s="10" t="str">
        <f>IF(IF(ISNA(計算結果!P359),"",計算結果!P359)=0,"",IF(ISNA(計算結果!P359),"",計算結果!P359))</f>
        <v/>
      </c>
      <c r="Q359" s="10" t="str">
        <f>IF(IF(ISNA(計算結果!Q359),"",計算結果!Q359)=0,"",IF(ISNA(計算結果!Q359),"",計算結果!Q359))</f>
        <v/>
      </c>
      <c r="R359" s="14" t="str">
        <f t="shared" si="15"/>
        <v/>
      </c>
      <c r="S359" s="14" t="str">
        <f t="shared" si="16"/>
        <v>◯</v>
      </c>
      <c r="T359" s="14" t="str">
        <f t="shared" si="17"/>
        <v/>
      </c>
    </row>
    <row r="360" spans="1:20" hidden="1" x14ac:dyDescent="0.45">
      <c r="A360" s="10" t="str">
        <f>IF(IF(ISNA(計算結果!A360),"",計算結果!A360)=0,"",IF(ISNA(計算結果!A360),"",計算結果!A360))</f>
        <v/>
      </c>
      <c r="B360" s="10" t="str">
        <f>IF(IF(ISNA(計算結果!B360),"",計算結果!B360)=0,"",IF(ISNA(計算結果!B360),"",計算結果!B360))</f>
        <v/>
      </c>
      <c r="C360" s="10" t="str">
        <f>IF(IF(ISNA(計算結果!C360),"",計算結果!C360)=0,"",IF(ISNA(計算結果!C360),"",計算結果!C360))</f>
        <v/>
      </c>
      <c r="D360" s="10" t="str">
        <f>IF(IF(ISNA(計算結果!D360),"",計算結果!D360)=0,"",IF(ISNA(計算結果!D360),"",計算結果!D360))</f>
        <v>L</v>
      </c>
      <c r="E360" s="10" t="str">
        <f>IF(IF(ISNA(計算結果!E360),"",計算結果!E360)=0,"",IF(ISNA(計算結果!E360),"",計算結果!E360))</f>
        <v/>
      </c>
      <c r="F360" s="10" t="str">
        <f>IF(IF(ISNA(計算結果!F360),"",計算結果!F360)=0,"",IF(ISNA(計算結果!F360),"",計算結果!F360))</f>
        <v/>
      </c>
      <c r="G360" s="10" t="str">
        <f>IF(IF(ISNA(計算結果!G360),"",計算結果!G360)=0,"",IF(ISNA(計算結果!G360),"",計算結果!G360))</f>
        <v/>
      </c>
      <c r="H360" s="13">
        <f>IF(IF(ISNA(計算結果!H360),"",計算結果!H360)=0,"",IF(ISNA(計算結果!H360),"",計算結果!H360))</f>
        <v>-2</v>
      </c>
      <c r="I360" s="12" t="str">
        <f>IF(IF(ISNA(計算結果!I360),"",計算結果!I360)=0,"",IF(ISNA(計算結果!I360),"",計算結果!I360))</f>
        <v/>
      </c>
      <c r="J360" s="12" t="str">
        <f>IF(IF(ISNA(計算結果!J360),"",計算結果!J360)=0,"",IF(ISNA(計算結果!J360),"",計算結果!J360))</f>
        <v/>
      </c>
      <c r="K360" s="23" t="str">
        <f>IF(IF(ISNA(計算結果!K360),"",計算結果!K360)=0,"",IF(ISNA(計算結果!K360),"",計算結果!K360))</f>
        <v/>
      </c>
      <c r="L360" s="13" t="str">
        <f>IF(IF(ISNA(計算結果!L360),"",計算結果!L360)=0,"",IF(ISNA(計算結果!L360),"",計算結果!L360))</f>
        <v/>
      </c>
      <c r="M360" s="10" t="str">
        <f>IF(IF(ISNA(計算結果!M360),"",計算結果!M360)=0,"",IF(ISNA(計算結果!M360),"",計算結果!M360))</f>
        <v/>
      </c>
      <c r="N360" s="10" t="str">
        <f>IF(IF(ISNA(計算結果!N360),"",計算結果!N360)=0,"",IF(ISNA(計算結果!N360),"",計算結果!N360))</f>
        <v/>
      </c>
      <c r="O360" s="13" t="str">
        <f>IF(IF(ISNA(計算結果!O360),"",計算結果!O360)=0,"",IF(ISNA(計算結果!O360),"",計算結果!O360))</f>
        <v/>
      </c>
      <c r="P360" s="10" t="str">
        <f>IF(IF(ISNA(計算結果!P360),"",計算結果!P360)=0,"",IF(ISNA(計算結果!P360),"",計算結果!P360))</f>
        <v/>
      </c>
      <c r="Q360" s="10" t="str">
        <f>IF(IF(ISNA(計算結果!Q360),"",計算結果!Q360)=0,"",IF(ISNA(計算結果!Q360),"",計算結果!Q360))</f>
        <v/>
      </c>
      <c r="R360" s="14" t="str">
        <f t="shared" si="15"/>
        <v/>
      </c>
      <c r="S360" s="14" t="str">
        <f t="shared" si="16"/>
        <v>◯</v>
      </c>
      <c r="T360" s="14" t="str">
        <f t="shared" si="17"/>
        <v/>
      </c>
    </row>
    <row r="361" spans="1:20" hidden="1" x14ac:dyDescent="0.45">
      <c r="A361" s="10" t="str">
        <f>IF(IF(ISNA(計算結果!A361),"",計算結果!A361)=0,"",IF(ISNA(計算結果!A361),"",計算結果!A361))</f>
        <v/>
      </c>
      <c r="B361" s="10" t="str">
        <f>IF(IF(ISNA(計算結果!B361),"",計算結果!B361)=0,"",IF(ISNA(計算結果!B361),"",計算結果!B361))</f>
        <v/>
      </c>
      <c r="C361" s="10" t="str">
        <f>IF(IF(ISNA(計算結果!C361),"",計算結果!C361)=0,"",IF(ISNA(計算結果!C361),"",計算結果!C361))</f>
        <v/>
      </c>
      <c r="D361" s="10" t="str">
        <f>IF(IF(ISNA(計算結果!D361),"",計算結果!D361)=0,"",IF(ISNA(計算結果!D361),"",計算結果!D361))</f>
        <v>L</v>
      </c>
      <c r="E361" s="10" t="str">
        <f>IF(IF(ISNA(計算結果!E361),"",計算結果!E361)=0,"",IF(ISNA(計算結果!E361),"",計算結果!E361))</f>
        <v/>
      </c>
      <c r="F361" s="10" t="str">
        <f>IF(IF(ISNA(計算結果!F361),"",計算結果!F361)=0,"",IF(ISNA(計算結果!F361),"",計算結果!F361))</f>
        <v/>
      </c>
      <c r="G361" s="10" t="str">
        <f>IF(IF(ISNA(計算結果!G361),"",計算結果!G361)=0,"",IF(ISNA(計算結果!G361),"",計算結果!G361))</f>
        <v/>
      </c>
      <c r="H361" s="13">
        <f>IF(IF(ISNA(計算結果!H361),"",計算結果!H361)=0,"",IF(ISNA(計算結果!H361),"",計算結果!H361))</f>
        <v>-2</v>
      </c>
      <c r="I361" s="12" t="str">
        <f>IF(IF(ISNA(計算結果!I361),"",計算結果!I361)=0,"",IF(ISNA(計算結果!I361),"",計算結果!I361))</f>
        <v/>
      </c>
      <c r="J361" s="12" t="str">
        <f>IF(IF(ISNA(計算結果!J361),"",計算結果!J361)=0,"",IF(ISNA(計算結果!J361),"",計算結果!J361))</f>
        <v/>
      </c>
      <c r="K361" s="23" t="str">
        <f>IF(IF(ISNA(計算結果!K361),"",計算結果!K361)=0,"",IF(ISNA(計算結果!K361),"",計算結果!K361))</f>
        <v/>
      </c>
      <c r="L361" s="13" t="str">
        <f>IF(IF(ISNA(計算結果!L361),"",計算結果!L361)=0,"",IF(ISNA(計算結果!L361),"",計算結果!L361))</f>
        <v/>
      </c>
      <c r="M361" s="10" t="str">
        <f>IF(IF(ISNA(計算結果!M361),"",計算結果!M361)=0,"",IF(ISNA(計算結果!M361),"",計算結果!M361))</f>
        <v/>
      </c>
      <c r="N361" s="10" t="str">
        <f>IF(IF(ISNA(計算結果!N361),"",計算結果!N361)=0,"",IF(ISNA(計算結果!N361),"",計算結果!N361))</f>
        <v/>
      </c>
      <c r="O361" s="13" t="str">
        <f>IF(IF(ISNA(計算結果!O361),"",計算結果!O361)=0,"",IF(ISNA(計算結果!O361),"",計算結果!O361))</f>
        <v/>
      </c>
      <c r="P361" s="10" t="str">
        <f>IF(IF(ISNA(計算結果!P361),"",計算結果!P361)=0,"",IF(ISNA(計算結果!P361),"",計算結果!P361))</f>
        <v/>
      </c>
      <c r="Q361" s="10" t="str">
        <f>IF(IF(ISNA(計算結果!Q361),"",計算結果!Q361)=0,"",IF(ISNA(計算結果!Q361),"",計算結果!Q361))</f>
        <v/>
      </c>
      <c r="R361" s="14" t="str">
        <f t="shared" si="15"/>
        <v/>
      </c>
      <c r="S361" s="14" t="str">
        <f t="shared" si="16"/>
        <v>◯</v>
      </c>
      <c r="T361" s="14" t="str">
        <f t="shared" si="17"/>
        <v/>
      </c>
    </row>
    <row r="362" spans="1:20" hidden="1" x14ac:dyDescent="0.45">
      <c r="A362" s="10" t="str">
        <f>IF(IF(ISNA(計算結果!A362),"",計算結果!A362)=0,"",IF(ISNA(計算結果!A362),"",計算結果!A362))</f>
        <v/>
      </c>
      <c r="B362" s="10" t="str">
        <f>IF(IF(ISNA(計算結果!B362),"",計算結果!B362)=0,"",IF(ISNA(計算結果!B362),"",計算結果!B362))</f>
        <v/>
      </c>
      <c r="C362" s="10" t="str">
        <f>IF(IF(ISNA(計算結果!C362),"",計算結果!C362)=0,"",IF(ISNA(計算結果!C362),"",計算結果!C362))</f>
        <v/>
      </c>
      <c r="D362" s="10" t="str">
        <f>IF(IF(ISNA(計算結果!D362),"",計算結果!D362)=0,"",IF(ISNA(計算結果!D362),"",計算結果!D362))</f>
        <v>L</v>
      </c>
      <c r="E362" s="10" t="str">
        <f>IF(IF(ISNA(計算結果!E362),"",計算結果!E362)=0,"",IF(ISNA(計算結果!E362),"",計算結果!E362))</f>
        <v/>
      </c>
      <c r="F362" s="10" t="str">
        <f>IF(IF(ISNA(計算結果!F362),"",計算結果!F362)=0,"",IF(ISNA(計算結果!F362),"",計算結果!F362))</f>
        <v/>
      </c>
      <c r="G362" s="10" t="str">
        <f>IF(IF(ISNA(計算結果!G362),"",計算結果!G362)=0,"",IF(ISNA(計算結果!G362),"",計算結果!G362))</f>
        <v/>
      </c>
      <c r="H362" s="13">
        <f>IF(IF(ISNA(計算結果!H362),"",計算結果!H362)=0,"",IF(ISNA(計算結果!H362),"",計算結果!H362))</f>
        <v>-2</v>
      </c>
      <c r="I362" s="12" t="str">
        <f>IF(IF(ISNA(計算結果!I362),"",計算結果!I362)=0,"",IF(ISNA(計算結果!I362),"",計算結果!I362))</f>
        <v/>
      </c>
      <c r="J362" s="12" t="str">
        <f>IF(IF(ISNA(計算結果!J362),"",計算結果!J362)=0,"",IF(ISNA(計算結果!J362),"",計算結果!J362))</f>
        <v/>
      </c>
      <c r="K362" s="23" t="str">
        <f>IF(IF(ISNA(計算結果!K362),"",計算結果!K362)=0,"",IF(ISNA(計算結果!K362),"",計算結果!K362))</f>
        <v/>
      </c>
      <c r="L362" s="13" t="str">
        <f>IF(IF(ISNA(計算結果!L362),"",計算結果!L362)=0,"",IF(ISNA(計算結果!L362),"",計算結果!L362))</f>
        <v/>
      </c>
      <c r="M362" s="10" t="str">
        <f>IF(IF(ISNA(計算結果!M362),"",計算結果!M362)=0,"",IF(ISNA(計算結果!M362),"",計算結果!M362))</f>
        <v/>
      </c>
      <c r="N362" s="10" t="str">
        <f>IF(IF(ISNA(計算結果!N362),"",計算結果!N362)=0,"",IF(ISNA(計算結果!N362),"",計算結果!N362))</f>
        <v/>
      </c>
      <c r="O362" s="13" t="str">
        <f>IF(IF(ISNA(計算結果!O362),"",計算結果!O362)=0,"",IF(ISNA(計算結果!O362),"",計算結果!O362))</f>
        <v/>
      </c>
      <c r="P362" s="10" t="str">
        <f>IF(IF(ISNA(計算結果!P362),"",計算結果!P362)=0,"",IF(ISNA(計算結果!P362),"",計算結果!P362))</f>
        <v/>
      </c>
      <c r="Q362" s="10" t="str">
        <f>IF(IF(ISNA(計算結果!Q362),"",計算結果!Q362)=0,"",IF(ISNA(計算結果!Q362),"",計算結果!Q362))</f>
        <v/>
      </c>
      <c r="R362" s="14" t="str">
        <f t="shared" si="15"/>
        <v/>
      </c>
      <c r="S362" s="14" t="str">
        <f t="shared" si="16"/>
        <v>◯</v>
      </c>
      <c r="T362" s="14" t="str">
        <f t="shared" si="17"/>
        <v/>
      </c>
    </row>
    <row r="363" spans="1:20" hidden="1" x14ac:dyDescent="0.45">
      <c r="A363" s="10" t="str">
        <f>IF(IF(ISNA(計算結果!A363),"",計算結果!A363)=0,"",IF(ISNA(計算結果!A363),"",計算結果!A363))</f>
        <v/>
      </c>
      <c r="B363" s="10" t="str">
        <f>IF(IF(ISNA(計算結果!B363),"",計算結果!B363)=0,"",IF(ISNA(計算結果!B363),"",計算結果!B363))</f>
        <v/>
      </c>
      <c r="C363" s="10" t="str">
        <f>IF(IF(ISNA(計算結果!C363),"",計算結果!C363)=0,"",IF(ISNA(計算結果!C363),"",計算結果!C363))</f>
        <v/>
      </c>
      <c r="D363" s="10" t="str">
        <f>IF(IF(ISNA(計算結果!D363),"",計算結果!D363)=0,"",IF(ISNA(計算結果!D363),"",計算結果!D363))</f>
        <v>L</v>
      </c>
      <c r="E363" s="10" t="str">
        <f>IF(IF(ISNA(計算結果!E363),"",計算結果!E363)=0,"",IF(ISNA(計算結果!E363),"",計算結果!E363))</f>
        <v/>
      </c>
      <c r="F363" s="10" t="str">
        <f>IF(IF(ISNA(計算結果!F363),"",計算結果!F363)=0,"",IF(ISNA(計算結果!F363),"",計算結果!F363))</f>
        <v/>
      </c>
      <c r="G363" s="10" t="str">
        <f>IF(IF(ISNA(計算結果!G363),"",計算結果!G363)=0,"",IF(ISNA(計算結果!G363),"",計算結果!G363))</f>
        <v/>
      </c>
      <c r="H363" s="13">
        <f>IF(IF(ISNA(計算結果!H363),"",計算結果!H363)=0,"",IF(ISNA(計算結果!H363),"",計算結果!H363))</f>
        <v>-2</v>
      </c>
      <c r="I363" s="12" t="str">
        <f>IF(IF(ISNA(計算結果!I363),"",計算結果!I363)=0,"",IF(ISNA(計算結果!I363),"",計算結果!I363))</f>
        <v/>
      </c>
      <c r="J363" s="12" t="str">
        <f>IF(IF(ISNA(計算結果!J363),"",計算結果!J363)=0,"",IF(ISNA(計算結果!J363),"",計算結果!J363))</f>
        <v/>
      </c>
      <c r="K363" s="23" t="str">
        <f>IF(IF(ISNA(計算結果!K363),"",計算結果!K363)=0,"",IF(ISNA(計算結果!K363),"",計算結果!K363))</f>
        <v/>
      </c>
      <c r="L363" s="13" t="str">
        <f>IF(IF(ISNA(計算結果!L363),"",計算結果!L363)=0,"",IF(ISNA(計算結果!L363),"",計算結果!L363))</f>
        <v/>
      </c>
      <c r="M363" s="10" t="str">
        <f>IF(IF(ISNA(計算結果!M363),"",計算結果!M363)=0,"",IF(ISNA(計算結果!M363),"",計算結果!M363))</f>
        <v/>
      </c>
      <c r="N363" s="10" t="str">
        <f>IF(IF(ISNA(計算結果!N363),"",計算結果!N363)=0,"",IF(ISNA(計算結果!N363),"",計算結果!N363))</f>
        <v/>
      </c>
      <c r="O363" s="13" t="str">
        <f>IF(IF(ISNA(計算結果!O363),"",計算結果!O363)=0,"",IF(ISNA(計算結果!O363),"",計算結果!O363))</f>
        <v/>
      </c>
      <c r="P363" s="10" t="str">
        <f>IF(IF(ISNA(計算結果!P363),"",計算結果!P363)=0,"",IF(ISNA(計算結果!P363),"",計算結果!P363))</f>
        <v/>
      </c>
      <c r="Q363" s="10" t="str">
        <f>IF(IF(ISNA(計算結果!Q363),"",計算結果!Q363)=0,"",IF(ISNA(計算結果!Q363),"",計算結果!Q363))</f>
        <v/>
      </c>
      <c r="R363" s="14" t="str">
        <f t="shared" si="15"/>
        <v/>
      </c>
      <c r="S363" s="14" t="str">
        <f t="shared" si="16"/>
        <v>◯</v>
      </c>
      <c r="T363" s="14" t="str">
        <f t="shared" si="17"/>
        <v/>
      </c>
    </row>
    <row r="364" spans="1:20" hidden="1" x14ac:dyDescent="0.45">
      <c r="A364" s="10" t="str">
        <f>IF(IF(ISNA(計算結果!A364),"",計算結果!A364)=0,"",IF(ISNA(計算結果!A364),"",計算結果!A364))</f>
        <v/>
      </c>
      <c r="B364" s="10" t="str">
        <f>IF(IF(ISNA(計算結果!B364),"",計算結果!B364)=0,"",IF(ISNA(計算結果!B364),"",計算結果!B364))</f>
        <v/>
      </c>
      <c r="C364" s="10" t="str">
        <f>IF(IF(ISNA(計算結果!C364),"",計算結果!C364)=0,"",IF(ISNA(計算結果!C364),"",計算結果!C364))</f>
        <v/>
      </c>
      <c r="D364" s="10" t="str">
        <f>IF(IF(ISNA(計算結果!D364),"",計算結果!D364)=0,"",IF(ISNA(計算結果!D364),"",計算結果!D364))</f>
        <v>L</v>
      </c>
      <c r="E364" s="10" t="str">
        <f>IF(IF(ISNA(計算結果!E364),"",計算結果!E364)=0,"",IF(ISNA(計算結果!E364),"",計算結果!E364))</f>
        <v/>
      </c>
      <c r="F364" s="10" t="str">
        <f>IF(IF(ISNA(計算結果!F364),"",計算結果!F364)=0,"",IF(ISNA(計算結果!F364),"",計算結果!F364))</f>
        <v/>
      </c>
      <c r="G364" s="10" t="str">
        <f>IF(IF(ISNA(計算結果!G364),"",計算結果!G364)=0,"",IF(ISNA(計算結果!G364),"",計算結果!G364))</f>
        <v/>
      </c>
      <c r="H364" s="13">
        <f>IF(IF(ISNA(計算結果!H364),"",計算結果!H364)=0,"",IF(ISNA(計算結果!H364),"",計算結果!H364))</f>
        <v>-2</v>
      </c>
      <c r="I364" s="12" t="str">
        <f>IF(IF(ISNA(計算結果!I364),"",計算結果!I364)=0,"",IF(ISNA(計算結果!I364),"",計算結果!I364))</f>
        <v/>
      </c>
      <c r="J364" s="12" t="str">
        <f>IF(IF(ISNA(計算結果!J364),"",計算結果!J364)=0,"",IF(ISNA(計算結果!J364),"",計算結果!J364))</f>
        <v/>
      </c>
      <c r="K364" s="23" t="str">
        <f>IF(IF(ISNA(計算結果!K364),"",計算結果!K364)=0,"",IF(ISNA(計算結果!K364),"",計算結果!K364))</f>
        <v/>
      </c>
      <c r="L364" s="13" t="str">
        <f>IF(IF(ISNA(計算結果!L364),"",計算結果!L364)=0,"",IF(ISNA(計算結果!L364),"",計算結果!L364))</f>
        <v/>
      </c>
      <c r="M364" s="10" t="str">
        <f>IF(IF(ISNA(計算結果!M364),"",計算結果!M364)=0,"",IF(ISNA(計算結果!M364),"",計算結果!M364))</f>
        <v/>
      </c>
      <c r="N364" s="10" t="str">
        <f>IF(IF(ISNA(計算結果!N364),"",計算結果!N364)=0,"",IF(ISNA(計算結果!N364),"",計算結果!N364))</f>
        <v/>
      </c>
      <c r="O364" s="13" t="str">
        <f>IF(IF(ISNA(計算結果!O364),"",計算結果!O364)=0,"",IF(ISNA(計算結果!O364),"",計算結果!O364))</f>
        <v/>
      </c>
      <c r="P364" s="10" t="str">
        <f>IF(IF(ISNA(計算結果!P364),"",計算結果!P364)=0,"",IF(ISNA(計算結果!P364),"",計算結果!P364))</f>
        <v/>
      </c>
      <c r="Q364" s="10" t="str">
        <f>IF(IF(ISNA(計算結果!Q364),"",計算結果!Q364)=0,"",IF(ISNA(計算結果!Q364),"",計算結果!Q364))</f>
        <v/>
      </c>
      <c r="R364" s="14" t="str">
        <f t="shared" si="15"/>
        <v/>
      </c>
      <c r="S364" s="14" t="str">
        <f t="shared" si="16"/>
        <v>◯</v>
      </c>
      <c r="T364" s="14" t="str">
        <f t="shared" si="17"/>
        <v/>
      </c>
    </row>
    <row r="365" spans="1:20" hidden="1" x14ac:dyDescent="0.45">
      <c r="A365" s="10" t="str">
        <f>IF(IF(ISNA(計算結果!A365),"",計算結果!A365)=0,"",IF(ISNA(計算結果!A365),"",計算結果!A365))</f>
        <v/>
      </c>
      <c r="B365" s="10" t="str">
        <f>IF(IF(ISNA(計算結果!B365),"",計算結果!B365)=0,"",IF(ISNA(計算結果!B365),"",計算結果!B365))</f>
        <v/>
      </c>
      <c r="C365" s="10" t="str">
        <f>IF(IF(ISNA(計算結果!C365),"",計算結果!C365)=0,"",IF(ISNA(計算結果!C365),"",計算結果!C365))</f>
        <v/>
      </c>
      <c r="D365" s="10" t="str">
        <f>IF(IF(ISNA(計算結果!D365),"",計算結果!D365)=0,"",IF(ISNA(計算結果!D365),"",計算結果!D365))</f>
        <v>L</v>
      </c>
      <c r="E365" s="10" t="str">
        <f>IF(IF(ISNA(計算結果!E365),"",計算結果!E365)=0,"",IF(ISNA(計算結果!E365),"",計算結果!E365))</f>
        <v/>
      </c>
      <c r="F365" s="10" t="str">
        <f>IF(IF(ISNA(計算結果!F365),"",計算結果!F365)=0,"",IF(ISNA(計算結果!F365),"",計算結果!F365))</f>
        <v/>
      </c>
      <c r="G365" s="10" t="str">
        <f>IF(IF(ISNA(計算結果!G365),"",計算結果!G365)=0,"",IF(ISNA(計算結果!G365),"",計算結果!G365))</f>
        <v/>
      </c>
      <c r="H365" s="13">
        <f>IF(IF(ISNA(計算結果!H365),"",計算結果!H365)=0,"",IF(ISNA(計算結果!H365),"",計算結果!H365))</f>
        <v>-2</v>
      </c>
      <c r="I365" s="12" t="str">
        <f>IF(IF(ISNA(計算結果!I365),"",計算結果!I365)=0,"",IF(ISNA(計算結果!I365),"",計算結果!I365))</f>
        <v/>
      </c>
      <c r="J365" s="12" t="str">
        <f>IF(IF(ISNA(計算結果!J365),"",計算結果!J365)=0,"",IF(ISNA(計算結果!J365),"",計算結果!J365))</f>
        <v/>
      </c>
      <c r="K365" s="23" t="str">
        <f>IF(IF(ISNA(計算結果!K365),"",計算結果!K365)=0,"",IF(ISNA(計算結果!K365),"",計算結果!K365))</f>
        <v/>
      </c>
      <c r="L365" s="13" t="str">
        <f>IF(IF(ISNA(計算結果!L365),"",計算結果!L365)=0,"",IF(ISNA(計算結果!L365),"",計算結果!L365))</f>
        <v/>
      </c>
      <c r="M365" s="10" t="str">
        <f>IF(IF(ISNA(計算結果!M365),"",計算結果!M365)=0,"",IF(ISNA(計算結果!M365),"",計算結果!M365))</f>
        <v/>
      </c>
      <c r="N365" s="10" t="str">
        <f>IF(IF(ISNA(計算結果!N365),"",計算結果!N365)=0,"",IF(ISNA(計算結果!N365),"",計算結果!N365))</f>
        <v/>
      </c>
      <c r="O365" s="13" t="str">
        <f>IF(IF(ISNA(計算結果!O365),"",計算結果!O365)=0,"",IF(ISNA(計算結果!O365),"",計算結果!O365))</f>
        <v/>
      </c>
      <c r="P365" s="10" t="str">
        <f>IF(IF(ISNA(計算結果!P365),"",計算結果!P365)=0,"",IF(ISNA(計算結果!P365),"",計算結果!P365))</f>
        <v/>
      </c>
      <c r="Q365" s="10" t="str">
        <f>IF(IF(ISNA(計算結果!Q365),"",計算結果!Q365)=0,"",IF(ISNA(計算結果!Q365),"",計算結果!Q365))</f>
        <v/>
      </c>
      <c r="R365" s="14" t="str">
        <f t="shared" si="15"/>
        <v/>
      </c>
      <c r="S365" s="14" t="str">
        <f t="shared" si="16"/>
        <v>◯</v>
      </c>
      <c r="T365" s="14" t="str">
        <f t="shared" si="17"/>
        <v/>
      </c>
    </row>
    <row r="366" spans="1:20" hidden="1" x14ac:dyDescent="0.45">
      <c r="A366" s="10" t="str">
        <f>IF(IF(ISNA(計算結果!A366),"",計算結果!A366)=0,"",IF(ISNA(計算結果!A366),"",計算結果!A366))</f>
        <v/>
      </c>
      <c r="B366" s="10" t="str">
        <f>IF(IF(ISNA(計算結果!B366),"",計算結果!B366)=0,"",IF(ISNA(計算結果!B366),"",計算結果!B366))</f>
        <v/>
      </c>
      <c r="C366" s="10" t="str">
        <f>IF(IF(ISNA(計算結果!C366),"",計算結果!C366)=0,"",IF(ISNA(計算結果!C366),"",計算結果!C366))</f>
        <v/>
      </c>
      <c r="D366" s="10" t="str">
        <f>IF(IF(ISNA(計算結果!D366),"",計算結果!D366)=0,"",IF(ISNA(計算結果!D366),"",計算結果!D366))</f>
        <v>L</v>
      </c>
      <c r="E366" s="10" t="str">
        <f>IF(IF(ISNA(計算結果!E366),"",計算結果!E366)=0,"",IF(ISNA(計算結果!E366),"",計算結果!E366))</f>
        <v/>
      </c>
      <c r="F366" s="10" t="str">
        <f>IF(IF(ISNA(計算結果!F366),"",計算結果!F366)=0,"",IF(ISNA(計算結果!F366),"",計算結果!F366))</f>
        <v/>
      </c>
      <c r="G366" s="10" t="str">
        <f>IF(IF(ISNA(計算結果!G366),"",計算結果!G366)=0,"",IF(ISNA(計算結果!G366),"",計算結果!G366))</f>
        <v/>
      </c>
      <c r="H366" s="13">
        <f>IF(IF(ISNA(計算結果!H366),"",計算結果!H366)=0,"",IF(ISNA(計算結果!H366),"",計算結果!H366))</f>
        <v>-2</v>
      </c>
      <c r="I366" s="12" t="str">
        <f>IF(IF(ISNA(計算結果!I366),"",計算結果!I366)=0,"",IF(ISNA(計算結果!I366),"",計算結果!I366))</f>
        <v/>
      </c>
      <c r="J366" s="12" t="str">
        <f>IF(IF(ISNA(計算結果!J366),"",計算結果!J366)=0,"",IF(ISNA(計算結果!J366),"",計算結果!J366))</f>
        <v/>
      </c>
      <c r="K366" s="23" t="str">
        <f>IF(IF(ISNA(計算結果!K366),"",計算結果!K366)=0,"",IF(ISNA(計算結果!K366),"",計算結果!K366))</f>
        <v/>
      </c>
      <c r="L366" s="13" t="str">
        <f>IF(IF(ISNA(計算結果!L366),"",計算結果!L366)=0,"",IF(ISNA(計算結果!L366),"",計算結果!L366))</f>
        <v/>
      </c>
      <c r="M366" s="10" t="str">
        <f>IF(IF(ISNA(計算結果!M366),"",計算結果!M366)=0,"",IF(ISNA(計算結果!M366),"",計算結果!M366))</f>
        <v/>
      </c>
      <c r="N366" s="10" t="str">
        <f>IF(IF(ISNA(計算結果!N366),"",計算結果!N366)=0,"",IF(ISNA(計算結果!N366),"",計算結果!N366))</f>
        <v/>
      </c>
      <c r="O366" s="13" t="str">
        <f>IF(IF(ISNA(計算結果!O366),"",計算結果!O366)=0,"",IF(ISNA(計算結果!O366),"",計算結果!O366))</f>
        <v/>
      </c>
      <c r="P366" s="10" t="str">
        <f>IF(IF(ISNA(計算結果!P366),"",計算結果!P366)=0,"",IF(ISNA(計算結果!P366),"",計算結果!P366))</f>
        <v/>
      </c>
      <c r="Q366" s="10" t="str">
        <f>IF(IF(ISNA(計算結果!Q366),"",計算結果!Q366)=0,"",IF(ISNA(計算結果!Q366),"",計算結果!Q366))</f>
        <v/>
      </c>
      <c r="R366" s="14" t="str">
        <f t="shared" si="15"/>
        <v/>
      </c>
      <c r="S366" s="14" t="str">
        <f t="shared" si="16"/>
        <v>◯</v>
      </c>
      <c r="T366" s="14" t="str">
        <f t="shared" si="17"/>
        <v/>
      </c>
    </row>
    <row r="367" spans="1:20" hidden="1" x14ac:dyDescent="0.45">
      <c r="A367" s="10" t="str">
        <f>IF(IF(ISNA(計算結果!A367),"",計算結果!A367)=0,"",IF(ISNA(計算結果!A367),"",計算結果!A367))</f>
        <v/>
      </c>
      <c r="B367" s="10" t="str">
        <f>IF(IF(ISNA(計算結果!B367),"",計算結果!B367)=0,"",IF(ISNA(計算結果!B367),"",計算結果!B367))</f>
        <v/>
      </c>
      <c r="C367" s="10" t="str">
        <f>IF(IF(ISNA(計算結果!C367),"",計算結果!C367)=0,"",IF(ISNA(計算結果!C367),"",計算結果!C367))</f>
        <v/>
      </c>
      <c r="D367" s="10" t="str">
        <f>IF(IF(ISNA(計算結果!D367),"",計算結果!D367)=0,"",IF(ISNA(計算結果!D367),"",計算結果!D367))</f>
        <v>L</v>
      </c>
      <c r="E367" s="10" t="str">
        <f>IF(IF(ISNA(計算結果!E367),"",計算結果!E367)=0,"",IF(ISNA(計算結果!E367),"",計算結果!E367))</f>
        <v/>
      </c>
      <c r="F367" s="10" t="str">
        <f>IF(IF(ISNA(計算結果!F367),"",計算結果!F367)=0,"",IF(ISNA(計算結果!F367),"",計算結果!F367))</f>
        <v/>
      </c>
      <c r="G367" s="10" t="str">
        <f>IF(IF(ISNA(計算結果!G367),"",計算結果!G367)=0,"",IF(ISNA(計算結果!G367),"",計算結果!G367))</f>
        <v/>
      </c>
      <c r="H367" s="13">
        <f>IF(IF(ISNA(計算結果!H367),"",計算結果!H367)=0,"",IF(ISNA(計算結果!H367),"",計算結果!H367))</f>
        <v>-2</v>
      </c>
      <c r="I367" s="12" t="str">
        <f>IF(IF(ISNA(計算結果!I367),"",計算結果!I367)=0,"",IF(ISNA(計算結果!I367),"",計算結果!I367))</f>
        <v/>
      </c>
      <c r="J367" s="12" t="str">
        <f>IF(IF(ISNA(計算結果!J367),"",計算結果!J367)=0,"",IF(ISNA(計算結果!J367),"",計算結果!J367))</f>
        <v/>
      </c>
      <c r="K367" s="23" t="str">
        <f>IF(IF(ISNA(計算結果!K367),"",計算結果!K367)=0,"",IF(ISNA(計算結果!K367),"",計算結果!K367))</f>
        <v/>
      </c>
      <c r="L367" s="13" t="str">
        <f>IF(IF(ISNA(計算結果!L367),"",計算結果!L367)=0,"",IF(ISNA(計算結果!L367),"",計算結果!L367))</f>
        <v/>
      </c>
      <c r="M367" s="10" t="str">
        <f>IF(IF(ISNA(計算結果!M367),"",計算結果!M367)=0,"",IF(ISNA(計算結果!M367),"",計算結果!M367))</f>
        <v/>
      </c>
      <c r="N367" s="10" t="str">
        <f>IF(IF(ISNA(計算結果!N367),"",計算結果!N367)=0,"",IF(ISNA(計算結果!N367),"",計算結果!N367))</f>
        <v/>
      </c>
      <c r="O367" s="13" t="str">
        <f>IF(IF(ISNA(計算結果!O367),"",計算結果!O367)=0,"",IF(ISNA(計算結果!O367),"",計算結果!O367))</f>
        <v/>
      </c>
      <c r="P367" s="10" t="str">
        <f>IF(IF(ISNA(計算結果!P367),"",計算結果!P367)=0,"",IF(ISNA(計算結果!P367),"",計算結果!P367))</f>
        <v/>
      </c>
      <c r="Q367" s="10" t="str">
        <f>IF(IF(ISNA(計算結果!Q367),"",計算結果!Q367)=0,"",IF(ISNA(計算結果!Q367),"",計算結果!Q367))</f>
        <v/>
      </c>
      <c r="R367" s="14" t="str">
        <f t="shared" si="15"/>
        <v/>
      </c>
      <c r="S367" s="14" t="str">
        <f t="shared" si="16"/>
        <v>◯</v>
      </c>
      <c r="T367" s="14" t="str">
        <f t="shared" si="17"/>
        <v/>
      </c>
    </row>
    <row r="368" spans="1:20" hidden="1" x14ac:dyDescent="0.45">
      <c r="A368" s="10" t="str">
        <f>IF(IF(ISNA(計算結果!A368),"",計算結果!A368)=0,"",IF(ISNA(計算結果!A368),"",計算結果!A368))</f>
        <v/>
      </c>
      <c r="B368" s="10" t="str">
        <f>IF(IF(ISNA(計算結果!B368),"",計算結果!B368)=0,"",IF(ISNA(計算結果!B368),"",計算結果!B368))</f>
        <v/>
      </c>
      <c r="C368" s="10" t="str">
        <f>IF(IF(ISNA(計算結果!C368),"",計算結果!C368)=0,"",IF(ISNA(計算結果!C368),"",計算結果!C368))</f>
        <v/>
      </c>
      <c r="D368" s="10" t="str">
        <f>IF(IF(ISNA(計算結果!D368),"",計算結果!D368)=0,"",IF(ISNA(計算結果!D368),"",計算結果!D368))</f>
        <v>L</v>
      </c>
      <c r="E368" s="10" t="str">
        <f>IF(IF(ISNA(計算結果!E368),"",計算結果!E368)=0,"",IF(ISNA(計算結果!E368),"",計算結果!E368))</f>
        <v/>
      </c>
      <c r="F368" s="10" t="str">
        <f>IF(IF(ISNA(計算結果!F368),"",計算結果!F368)=0,"",IF(ISNA(計算結果!F368),"",計算結果!F368))</f>
        <v/>
      </c>
      <c r="G368" s="10" t="str">
        <f>IF(IF(ISNA(計算結果!G368),"",計算結果!G368)=0,"",IF(ISNA(計算結果!G368),"",計算結果!G368))</f>
        <v/>
      </c>
      <c r="H368" s="13">
        <f>IF(IF(ISNA(計算結果!H368),"",計算結果!H368)=0,"",IF(ISNA(計算結果!H368),"",計算結果!H368))</f>
        <v>-2</v>
      </c>
      <c r="I368" s="12" t="str">
        <f>IF(IF(ISNA(計算結果!I368),"",計算結果!I368)=0,"",IF(ISNA(計算結果!I368),"",計算結果!I368))</f>
        <v/>
      </c>
      <c r="J368" s="12" t="str">
        <f>IF(IF(ISNA(計算結果!J368),"",計算結果!J368)=0,"",IF(ISNA(計算結果!J368),"",計算結果!J368))</f>
        <v/>
      </c>
      <c r="K368" s="23" t="str">
        <f>IF(IF(ISNA(計算結果!K368),"",計算結果!K368)=0,"",IF(ISNA(計算結果!K368),"",計算結果!K368))</f>
        <v/>
      </c>
      <c r="L368" s="13" t="str">
        <f>IF(IF(ISNA(計算結果!L368),"",計算結果!L368)=0,"",IF(ISNA(計算結果!L368),"",計算結果!L368))</f>
        <v/>
      </c>
      <c r="M368" s="10" t="str">
        <f>IF(IF(ISNA(計算結果!M368),"",計算結果!M368)=0,"",IF(ISNA(計算結果!M368),"",計算結果!M368))</f>
        <v/>
      </c>
      <c r="N368" s="10" t="str">
        <f>IF(IF(ISNA(計算結果!N368),"",計算結果!N368)=0,"",IF(ISNA(計算結果!N368),"",計算結果!N368))</f>
        <v/>
      </c>
      <c r="O368" s="13" t="str">
        <f>IF(IF(ISNA(計算結果!O368),"",計算結果!O368)=0,"",IF(ISNA(計算結果!O368),"",計算結果!O368))</f>
        <v/>
      </c>
      <c r="P368" s="10" t="str">
        <f>IF(IF(ISNA(計算結果!P368),"",計算結果!P368)=0,"",IF(ISNA(計算結果!P368),"",計算結果!P368))</f>
        <v/>
      </c>
      <c r="Q368" s="10" t="str">
        <f>IF(IF(ISNA(計算結果!Q368),"",計算結果!Q368)=0,"",IF(ISNA(計算結果!Q368),"",計算結果!Q368))</f>
        <v/>
      </c>
      <c r="R368" s="14" t="str">
        <f t="shared" si="15"/>
        <v/>
      </c>
      <c r="S368" s="14" t="str">
        <f t="shared" si="16"/>
        <v>◯</v>
      </c>
      <c r="T368" s="14" t="str">
        <f t="shared" si="17"/>
        <v/>
      </c>
    </row>
    <row r="369" spans="1:20" hidden="1" x14ac:dyDescent="0.45">
      <c r="A369" s="10" t="str">
        <f>IF(IF(ISNA(計算結果!A369),"",計算結果!A369)=0,"",IF(ISNA(計算結果!A369),"",計算結果!A369))</f>
        <v/>
      </c>
      <c r="B369" s="10" t="str">
        <f>IF(IF(ISNA(計算結果!B369),"",計算結果!B369)=0,"",IF(ISNA(計算結果!B369),"",計算結果!B369))</f>
        <v/>
      </c>
      <c r="C369" s="10" t="str">
        <f>IF(IF(ISNA(計算結果!C369),"",計算結果!C369)=0,"",IF(ISNA(計算結果!C369),"",計算結果!C369))</f>
        <v/>
      </c>
      <c r="D369" s="10" t="str">
        <f>IF(IF(ISNA(計算結果!D369),"",計算結果!D369)=0,"",IF(ISNA(計算結果!D369),"",計算結果!D369))</f>
        <v>L</v>
      </c>
      <c r="E369" s="10" t="str">
        <f>IF(IF(ISNA(計算結果!E369),"",計算結果!E369)=0,"",IF(ISNA(計算結果!E369),"",計算結果!E369))</f>
        <v/>
      </c>
      <c r="F369" s="10" t="str">
        <f>IF(IF(ISNA(計算結果!F369),"",計算結果!F369)=0,"",IF(ISNA(計算結果!F369),"",計算結果!F369))</f>
        <v/>
      </c>
      <c r="G369" s="10" t="str">
        <f>IF(IF(ISNA(計算結果!G369),"",計算結果!G369)=0,"",IF(ISNA(計算結果!G369),"",計算結果!G369))</f>
        <v/>
      </c>
      <c r="H369" s="13">
        <f>IF(IF(ISNA(計算結果!H369),"",計算結果!H369)=0,"",IF(ISNA(計算結果!H369),"",計算結果!H369))</f>
        <v>-2</v>
      </c>
      <c r="I369" s="12" t="str">
        <f>IF(IF(ISNA(計算結果!I369),"",計算結果!I369)=0,"",IF(ISNA(計算結果!I369),"",計算結果!I369))</f>
        <v/>
      </c>
      <c r="J369" s="12" t="str">
        <f>IF(IF(ISNA(計算結果!J369),"",計算結果!J369)=0,"",IF(ISNA(計算結果!J369),"",計算結果!J369))</f>
        <v/>
      </c>
      <c r="K369" s="23" t="str">
        <f>IF(IF(ISNA(計算結果!K369),"",計算結果!K369)=0,"",IF(ISNA(計算結果!K369),"",計算結果!K369))</f>
        <v/>
      </c>
      <c r="L369" s="13" t="str">
        <f>IF(IF(ISNA(計算結果!L369),"",計算結果!L369)=0,"",IF(ISNA(計算結果!L369),"",計算結果!L369))</f>
        <v/>
      </c>
      <c r="M369" s="10" t="str">
        <f>IF(IF(ISNA(計算結果!M369),"",計算結果!M369)=0,"",IF(ISNA(計算結果!M369),"",計算結果!M369))</f>
        <v/>
      </c>
      <c r="N369" s="10" t="str">
        <f>IF(IF(ISNA(計算結果!N369),"",計算結果!N369)=0,"",IF(ISNA(計算結果!N369),"",計算結果!N369))</f>
        <v/>
      </c>
      <c r="O369" s="13" t="str">
        <f>IF(IF(ISNA(計算結果!O369),"",計算結果!O369)=0,"",IF(ISNA(計算結果!O369),"",計算結果!O369))</f>
        <v/>
      </c>
      <c r="P369" s="10" t="str">
        <f>IF(IF(ISNA(計算結果!P369),"",計算結果!P369)=0,"",IF(ISNA(計算結果!P369),"",計算結果!P369))</f>
        <v/>
      </c>
      <c r="Q369" s="10" t="str">
        <f>IF(IF(ISNA(計算結果!Q369),"",計算結果!Q369)=0,"",IF(ISNA(計算結果!Q369),"",計算結果!Q369))</f>
        <v/>
      </c>
      <c r="R369" s="14" t="str">
        <f t="shared" si="15"/>
        <v/>
      </c>
      <c r="S369" s="14" t="str">
        <f t="shared" si="16"/>
        <v>◯</v>
      </c>
      <c r="T369" s="14" t="str">
        <f t="shared" si="17"/>
        <v/>
      </c>
    </row>
    <row r="370" spans="1:20" hidden="1" x14ac:dyDescent="0.45">
      <c r="A370" s="10" t="str">
        <f>IF(IF(ISNA(計算結果!A370),"",計算結果!A370)=0,"",IF(ISNA(計算結果!A370),"",計算結果!A370))</f>
        <v/>
      </c>
      <c r="B370" s="10" t="str">
        <f>IF(IF(ISNA(計算結果!B370),"",計算結果!B370)=0,"",IF(ISNA(計算結果!B370),"",計算結果!B370))</f>
        <v/>
      </c>
      <c r="C370" s="10" t="str">
        <f>IF(IF(ISNA(計算結果!C370),"",計算結果!C370)=0,"",IF(ISNA(計算結果!C370),"",計算結果!C370))</f>
        <v/>
      </c>
      <c r="D370" s="10" t="str">
        <f>IF(IF(ISNA(計算結果!D370),"",計算結果!D370)=0,"",IF(ISNA(計算結果!D370),"",計算結果!D370))</f>
        <v>L</v>
      </c>
      <c r="E370" s="10" t="str">
        <f>IF(IF(ISNA(計算結果!E370),"",計算結果!E370)=0,"",IF(ISNA(計算結果!E370),"",計算結果!E370))</f>
        <v/>
      </c>
      <c r="F370" s="10" t="str">
        <f>IF(IF(ISNA(計算結果!F370),"",計算結果!F370)=0,"",IF(ISNA(計算結果!F370),"",計算結果!F370))</f>
        <v/>
      </c>
      <c r="G370" s="10" t="str">
        <f>IF(IF(ISNA(計算結果!G370),"",計算結果!G370)=0,"",IF(ISNA(計算結果!G370),"",計算結果!G370))</f>
        <v/>
      </c>
      <c r="H370" s="13">
        <f>IF(IF(ISNA(計算結果!H370),"",計算結果!H370)=0,"",IF(ISNA(計算結果!H370),"",計算結果!H370))</f>
        <v>-2</v>
      </c>
      <c r="I370" s="12" t="str">
        <f>IF(IF(ISNA(計算結果!I370),"",計算結果!I370)=0,"",IF(ISNA(計算結果!I370),"",計算結果!I370))</f>
        <v/>
      </c>
      <c r="J370" s="12" t="str">
        <f>IF(IF(ISNA(計算結果!J370),"",計算結果!J370)=0,"",IF(ISNA(計算結果!J370),"",計算結果!J370))</f>
        <v/>
      </c>
      <c r="K370" s="23" t="str">
        <f>IF(IF(ISNA(計算結果!K370),"",計算結果!K370)=0,"",IF(ISNA(計算結果!K370),"",計算結果!K370))</f>
        <v/>
      </c>
      <c r="L370" s="13" t="str">
        <f>IF(IF(ISNA(計算結果!L370),"",計算結果!L370)=0,"",IF(ISNA(計算結果!L370),"",計算結果!L370))</f>
        <v/>
      </c>
      <c r="M370" s="10" t="str">
        <f>IF(IF(ISNA(計算結果!M370),"",計算結果!M370)=0,"",IF(ISNA(計算結果!M370),"",計算結果!M370))</f>
        <v/>
      </c>
      <c r="N370" s="10" t="str">
        <f>IF(IF(ISNA(計算結果!N370),"",計算結果!N370)=0,"",IF(ISNA(計算結果!N370),"",計算結果!N370))</f>
        <v/>
      </c>
      <c r="O370" s="13" t="str">
        <f>IF(IF(ISNA(計算結果!O370),"",計算結果!O370)=0,"",IF(ISNA(計算結果!O370),"",計算結果!O370))</f>
        <v/>
      </c>
      <c r="P370" s="10" t="str">
        <f>IF(IF(ISNA(計算結果!P370),"",計算結果!P370)=0,"",IF(ISNA(計算結果!P370),"",計算結果!P370))</f>
        <v/>
      </c>
      <c r="Q370" s="10" t="str">
        <f>IF(IF(ISNA(計算結果!Q370),"",計算結果!Q370)=0,"",IF(ISNA(計算結果!Q370),"",計算結果!Q370))</f>
        <v/>
      </c>
      <c r="R370" s="14" t="str">
        <f t="shared" si="15"/>
        <v/>
      </c>
      <c r="S370" s="14" t="str">
        <f t="shared" si="16"/>
        <v>◯</v>
      </c>
      <c r="T370" s="14" t="str">
        <f t="shared" si="17"/>
        <v/>
      </c>
    </row>
    <row r="371" spans="1:20" hidden="1" x14ac:dyDescent="0.45">
      <c r="A371" s="10" t="str">
        <f>IF(IF(ISNA(計算結果!A371),"",計算結果!A371)=0,"",IF(ISNA(計算結果!A371),"",計算結果!A371))</f>
        <v/>
      </c>
      <c r="B371" s="10" t="str">
        <f>IF(IF(ISNA(計算結果!B371),"",計算結果!B371)=0,"",IF(ISNA(計算結果!B371),"",計算結果!B371))</f>
        <v/>
      </c>
      <c r="C371" s="10" t="str">
        <f>IF(IF(ISNA(計算結果!C371),"",計算結果!C371)=0,"",IF(ISNA(計算結果!C371),"",計算結果!C371))</f>
        <v/>
      </c>
      <c r="D371" s="10" t="str">
        <f>IF(IF(ISNA(計算結果!D371),"",計算結果!D371)=0,"",IF(ISNA(計算結果!D371),"",計算結果!D371))</f>
        <v>L</v>
      </c>
      <c r="E371" s="10" t="str">
        <f>IF(IF(ISNA(計算結果!E371),"",計算結果!E371)=0,"",IF(ISNA(計算結果!E371),"",計算結果!E371))</f>
        <v/>
      </c>
      <c r="F371" s="10" t="str">
        <f>IF(IF(ISNA(計算結果!F371),"",計算結果!F371)=0,"",IF(ISNA(計算結果!F371),"",計算結果!F371))</f>
        <v/>
      </c>
      <c r="G371" s="10" t="str">
        <f>IF(IF(ISNA(計算結果!G371),"",計算結果!G371)=0,"",IF(ISNA(計算結果!G371),"",計算結果!G371))</f>
        <v/>
      </c>
      <c r="H371" s="13">
        <f>IF(IF(ISNA(計算結果!H371),"",計算結果!H371)=0,"",IF(ISNA(計算結果!H371),"",計算結果!H371))</f>
        <v>-2</v>
      </c>
      <c r="I371" s="12" t="str">
        <f>IF(IF(ISNA(計算結果!I371),"",計算結果!I371)=0,"",IF(ISNA(計算結果!I371),"",計算結果!I371))</f>
        <v/>
      </c>
      <c r="J371" s="12" t="str">
        <f>IF(IF(ISNA(計算結果!J371),"",計算結果!J371)=0,"",IF(ISNA(計算結果!J371),"",計算結果!J371))</f>
        <v/>
      </c>
      <c r="K371" s="23" t="str">
        <f>IF(IF(ISNA(計算結果!K371),"",計算結果!K371)=0,"",IF(ISNA(計算結果!K371),"",計算結果!K371))</f>
        <v/>
      </c>
      <c r="L371" s="13" t="str">
        <f>IF(IF(ISNA(計算結果!L371),"",計算結果!L371)=0,"",IF(ISNA(計算結果!L371),"",計算結果!L371))</f>
        <v/>
      </c>
      <c r="M371" s="10" t="str">
        <f>IF(IF(ISNA(計算結果!M371),"",計算結果!M371)=0,"",IF(ISNA(計算結果!M371),"",計算結果!M371))</f>
        <v/>
      </c>
      <c r="N371" s="10" t="str">
        <f>IF(IF(ISNA(計算結果!N371),"",計算結果!N371)=0,"",IF(ISNA(計算結果!N371),"",計算結果!N371))</f>
        <v/>
      </c>
      <c r="O371" s="13" t="str">
        <f>IF(IF(ISNA(計算結果!O371),"",計算結果!O371)=0,"",IF(ISNA(計算結果!O371),"",計算結果!O371))</f>
        <v/>
      </c>
      <c r="P371" s="10" t="str">
        <f>IF(IF(ISNA(計算結果!P371),"",計算結果!P371)=0,"",IF(ISNA(計算結果!P371),"",計算結果!P371))</f>
        <v/>
      </c>
      <c r="Q371" s="10" t="str">
        <f>IF(IF(ISNA(計算結果!Q371),"",計算結果!Q371)=0,"",IF(ISNA(計算結果!Q371),"",計算結果!Q371))</f>
        <v/>
      </c>
      <c r="R371" s="14" t="str">
        <f t="shared" si="15"/>
        <v/>
      </c>
      <c r="S371" s="14" t="str">
        <f t="shared" si="16"/>
        <v>◯</v>
      </c>
      <c r="T371" s="14" t="str">
        <f t="shared" si="17"/>
        <v/>
      </c>
    </row>
    <row r="372" spans="1:20" hidden="1" x14ac:dyDescent="0.45">
      <c r="A372" s="10" t="str">
        <f>IF(IF(ISNA(計算結果!A372),"",計算結果!A372)=0,"",IF(ISNA(計算結果!A372),"",計算結果!A372))</f>
        <v/>
      </c>
      <c r="B372" s="10" t="str">
        <f>IF(IF(ISNA(計算結果!B372),"",計算結果!B372)=0,"",IF(ISNA(計算結果!B372),"",計算結果!B372))</f>
        <v/>
      </c>
      <c r="C372" s="10" t="str">
        <f>IF(IF(ISNA(計算結果!C372),"",計算結果!C372)=0,"",IF(ISNA(計算結果!C372),"",計算結果!C372))</f>
        <v/>
      </c>
      <c r="D372" s="10" t="str">
        <f>IF(IF(ISNA(計算結果!D372),"",計算結果!D372)=0,"",IF(ISNA(計算結果!D372),"",計算結果!D372))</f>
        <v>L</v>
      </c>
      <c r="E372" s="10" t="str">
        <f>IF(IF(ISNA(計算結果!E372),"",計算結果!E372)=0,"",IF(ISNA(計算結果!E372),"",計算結果!E372))</f>
        <v/>
      </c>
      <c r="F372" s="10" t="str">
        <f>IF(IF(ISNA(計算結果!F372),"",計算結果!F372)=0,"",IF(ISNA(計算結果!F372),"",計算結果!F372))</f>
        <v/>
      </c>
      <c r="G372" s="10" t="str">
        <f>IF(IF(ISNA(計算結果!G372),"",計算結果!G372)=0,"",IF(ISNA(計算結果!G372),"",計算結果!G372))</f>
        <v/>
      </c>
      <c r="H372" s="13">
        <f>IF(IF(ISNA(計算結果!H372),"",計算結果!H372)=0,"",IF(ISNA(計算結果!H372),"",計算結果!H372))</f>
        <v>-2</v>
      </c>
      <c r="I372" s="12" t="str">
        <f>IF(IF(ISNA(計算結果!I372),"",計算結果!I372)=0,"",IF(ISNA(計算結果!I372),"",計算結果!I372))</f>
        <v/>
      </c>
      <c r="J372" s="12" t="str">
        <f>IF(IF(ISNA(計算結果!J372),"",計算結果!J372)=0,"",IF(ISNA(計算結果!J372),"",計算結果!J372))</f>
        <v/>
      </c>
      <c r="K372" s="23" t="str">
        <f>IF(IF(ISNA(計算結果!K372),"",計算結果!K372)=0,"",IF(ISNA(計算結果!K372),"",計算結果!K372))</f>
        <v/>
      </c>
      <c r="L372" s="13" t="str">
        <f>IF(IF(ISNA(計算結果!L372),"",計算結果!L372)=0,"",IF(ISNA(計算結果!L372),"",計算結果!L372))</f>
        <v/>
      </c>
      <c r="M372" s="10" t="str">
        <f>IF(IF(ISNA(計算結果!M372),"",計算結果!M372)=0,"",IF(ISNA(計算結果!M372),"",計算結果!M372))</f>
        <v/>
      </c>
      <c r="N372" s="10" t="str">
        <f>IF(IF(ISNA(計算結果!N372),"",計算結果!N372)=0,"",IF(ISNA(計算結果!N372),"",計算結果!N372))</f>
        <v/>
      </c>
      <c r="O372" s="13" t="str">
        <f>IF(IF(ISNA(計算結果!O372),"",計算結果!O372)=0,"",IF(ISNA(計算結果!O372),"",計算結果!O372))</f>
        <v/>
      </c>
      <c r="P372" s="10" t="str">
        <f>IF(IF(ISNA(計算結果!P372),"",計算結果!P372)=0,"",IF(ISNA(計算結果!P372),"",計算結果!P372))</f>
        <v/>
      </c>
      <c r="Q372" s="10" t="str">
        <f>IF(IF(ISNA(計算結果!Q372),"",計算結果!Q372)=0,"",IF(ISNA(計算結果!Q372),"",計算結果!Q372))</f>
        <v/>
      </c>
      <c r="R372" s="14" t="str">
        <f t="shared" si="15"/>
        <v/>
      </c>
      <c r="S372" s="14" t="str">
        <f t="shared" si="16"/>
        <v>◯</v>
      </c>
      <c r="T372" s="14" t="str">
        <f t="shared" si="17"/>
        <v/>
      </c>
    </row>
    <row r="373" spans="1:20" hidden="1" x14ac:dyDescent="0.45">
      <c r="A373" s="10" t="str">
        <f>IF(IF(ISNA(計算結果!A373),"",計算結果!A373)=0,"",IF(ISNA(計算結果!A373),"",計算結果!A373))</f>
        <v/>
      </c>
      <c r="B373" s="10" t="str">
        <f>IF(IF(ISNA(計算結果!B373),"",計算結果!B373)=0,"",IF(ISNA(計算結果!B373),"",計算結果!B373))</f>
        <v/>
      </c>
      <c r="C373" s="10" t="str">
        <f>IF(IF(ISNA(計算結果!C373),"",計算結果!C373)=0,"",IF(ISNA(計算結果!C373),"",計算結果!C373))</f>
        <v/>
      </c>
      <c r="D373" s="10" t="str">
        <f>IF(IF(ISNA(計算結果!D373),"",計算結果!D373)=0,"",IF(ISNA(計算結果!D373),"",計算結果!D373))</f>
        <v>L</v>
      </c>
      <c r="E373" s="10" t="str">
        <f>IF(IF(ISNA(計算結果!E373),"",計算結果!E373)=0,"",IF(ISNA(計算結果!E373),"",計算結果!E373))</f>
        <v/>
      </c>
      <c r="F373" s="10" t="str">
        <f>IF(IF(ISNA(計算結果!F373),"",計算結果!F373)=0,"",IF(ISNA(計算結果!F373),"",計算結果!F373))</f>
        <v/>
      </c>
      <c r="G373" s="10" t="str">
        <f>IF(IF(ISNA(計算結果!G373),"",計算結果!G373)=0,"",IF(ISNA(計算結果!G373),"",計算結果!G373))</f>
        <v/>
      </c>
      <c r="H373" s="13">
        <f>IF(IF(ISNA(計算結果!H373),"",計算結果!H373)=0,"",IF(ISNA(計算結果!H373),"",計算結果!H373))</f>
        <v>-2</v>
      </c>
      <c r="I373" s="12" t="str">
        <f>IF(IF(ISNA(計算結果!I373),"",計算結果!I373)=0,"",IF(ISNA(計算結果!I373),"",計算結果!I373))</f>
        <v/>
      </c>
      <c r="J373" s="12" t="str">
        <f>IF(IF(ISNA(計算結果!J373),"",計算結果!J373)=0,"",IF(ISNA(計算結果!J373),"",計算結果!J373))</f>
        <v/>
      </c>
      <c r="K373" s="23" t="str">
        <f>IF(IF(ISNA(計算結果!K373),"",計算結果!K373)=0,"",IF(ISNA(計算結果!K373),"",計算結果!K373))</f>
        <v/>
      </c>
      <c r="L373" s="13" t="str">
        <f>IF(IF(ISNA(計算結果!L373),"",計算結果!L373)=0,"",IF(ISNA(計算結果!L373),"",計算結果!L373))</f>
        <v/>
      </c>
      <c r="M373" s="10" t="str">
        <f>IF(IF(ISNA(計算結果!M373),"",計算結果!M373)=0,"",IF(ISNA(計算結果!M373),"",計算結果!M373))</f>
        <v/>
      </c>
      <c r="N373" s="10" t="str">
        <f>IF(IF(ISNA(計算結果!N373),"",計算結果!N373)=0,"",IF(ISNA(計算結果!N373),"",計算結果!N373))</f>
        <v/>
      </c>
      <c r="O373" s="13" t="str">
        <f>IF(IF(ISNA(計算結果!O373),"",計算結果!O373)=0,"",IF(ISNA(計算結果!O373),"",計算結果!O373))</f>
        <v/>
      </c>
      <c r="P373" s="10" t="str">
        <f>IF(IF(ISNA(計算結果!P373),"",計算結果!P373)=0,"",IF(ISNA(計算結果!P373),"",計算結果!P373))</f>
        <v/>
      </c>
      <c r="Q373" s="10" t="str">
        <f>IF(IF(ISNA(計算結果!Q373),"",計算結果!Q373)=0,"",IF(ISNA(計算結果!Q373),"",計算結果!Q373))</f>
        <v/>
      </c>
      <c r="R373" s="14" t="str">
        <f t="shared" si="15"/>
        <v/>
      </c>
      <c r="S373" s="14" t="str">
        <f t="shared" si="16"/>
        <v>◯</v>
      </c>
      <c r="T373" s="14" t="str">
        <f t="shared" si="17"/>
        <v/>
      </c>
    </row>
    <row r="374" spans="1:20" hidden="1" x14ac:dyDescent="0.45">
      <c r="A374" s="10" t="str">
        <f>IF(IF(ISNA(計算結果!A374),"",計算結果!A374)=0,"",IF(ISNA(計算結果!A374),"",計算結果!A374))</f>
        <v/>
      </c>
      <c r="B374" s="10" t="str">
        <f>IF(IF(ISNA(計算結果!B374),"",計算結果!B374)=0,"",IF(ISNA(計算結果!B374),"",計算結果!B374))</f>
        <v/>
      </c>
      <c r="C374" s="10" t="str">
        <f>IF(IF(ISNA(計算結果!C374),"",計算結果!C374)=0,"",IF(ISNA(計算結果!C374),"",計算結果!C374))</f>
        <v/>
      </c>
      <c r="D374" s="10" t="str">
        <f>IF(IF(ISNA(計算結果!D374),"",計算結果!D374)=0,"",IF(ISNA(計算結果!D374),"",計算結果!D374))</f>
        <v>L</v>
      </c>
      <c r="E374" s="10" t="str">
        <f>IF(IF(ISNA(計算結果!E374),"",計算結果!E374)=0,"",IF(ISNA(計算結果!E374),"",計算結果!E374))</f>
        <v/>
      </c>
      <c r="F374" s="10" t="str">
        <f>IF(IF(ISNA(計算結果!F374),"",計算結果!F374)=0,"",IF(ISNA(計算結果!F374),"",計算結果!F374))</f>
        <v/>
      </c>
      <c r="G374" s="10" t="str">
        <f>IF(IF(ISNA(計算結果!G374),"",計算結果!G374)=0,"",IF(ISNA(計算結果!G374),"",計算結果!G374))</f>
        <v/>
      </c>
      <c r="H374" s="13">
        <f>IF(IF(ISNA(計算結果!H374),"",計算結果!H374)=0,"",IF(ISNA(計算結果!H374),"",計算結果!H374))</f>
        <v>-2</v>
      </c>
      <c r="I374" s="12" t="str">
        <f>IF(IF(ISNA(計算結果!I374),"",計算結果!I374)=0,"",IF(ISNA(計算結果!I374),"",計算結果!I374))</f>
        <v/>
      </c>
      <c r="J374" s="12" t="str">
        <f>IF(IF(ISNA(計算結果!J374),"",計算結果!J374)=0,"",IF(ISNA(計算結果!J374),"",計算結果!J374))</f>
        <v/>
      </c>
      <c r="K374" s="23" t="str">
        <f>IF(IF(ISNA(計算結果!K374),"",計算結果!K374)=0,"",IF(ISNA(計算結果!K374),"",計算結果!K374))</f>
        <v/>
      </c>
      <c r="L374" s="13" t="str">
        <f>IF(IF(ISNA(計算結果!L374),"",計算結果!L374)=0,"",IF(ISNA(計算結果!L374),"",計算結果!L374))</f>
        <v/>
      </c>
      <c r="M374" s="10" t="str">
        <f>IF(IF(ISNA(計算結果!M374),"",計算結果!M374)=0,"",IF(ISNA(計算結果!M374),"",計算結果!M374))</f>
        <v/>
      </c>
      <c r="N374" s="10" t="str">
        <f>IF(IF(ISNA(計算結果!N374),"",計算結果!N374)=0,"",IF(ISNA(計算結果!N374),"",計算結果!N374))</f>
        <v/>
      </c>
      <c r="O374" s="13" t="str">
        <f>IF(IF(ISNA(計算結果!O374),"",計算結果!O374)=0,"",IF(ISNA(計算結果!O374),"",計算結果!O374))</f>
        <v/>
      </c>
      <c r="P374" s="10" t="str">
        <f>IF(IF(ISNA(計算結果!P374),"",計算結果!P374)=0,"",IF(ISNA(計算結果!P374),"",計算結果!P374))</f>
        <v/>
      </c>
      <c r="Q374" s="10" t="str">
        <f>IF(IF(ISNA(計算結果!Q374),"",計算結果!Q374)=0,"",IF(ISNA(計算結果!Q374),"",計算結果!Q374))</f>
        <v/>
      </c>
      <c r="R374" s="14" t="str">
        <f t="shared" si="15"/>
        <v/>
      </c>
      <c r="S374" s="14" t="str">
        <f t="shared" si="16"/>
        <v>◯</v>
      </c>
      <c r="T374" s="14" t="str">
        <f t="shared" si="17"/>
        <v/>
      </c>
    </row>
    <row r="375" spans="1:20" hidden="1" x14ac:dyDescent="0.45">
      <c r="A375" s="10" t="str">
        <f>IF(IF(ISNA(計算結果!A375),"",計算結果!A375)=0,"",IF(ISNA(計算結果!A375),"",計算結果!A375))</f>
        <v/>
      </c>
      <c r="B375" s="10" t="str">
        <f>IF(IF(ISNA(計算結果!B375),"",計算結果!B375)=0,"",IF(ISNA(計算結果!B375),"",計算結果!B375))</f>
        <v/>
      </c>
      <c r="C375" s="10" t="str">
        <f>IF(IF(ISNA(計算結果!C375),"",計算結果!C375)=0,"",IF(ISNA(計算結果!C375),"",計算結果!C375))</f>
        <v/>
      </c>
      <c r="D375" s="10" t="str">
        <f>IF(IF(ISNA(計算結果!D375),"",計算結果!D375)=0,"",IF(ISNA(計算結果!D375),"",計算結果!D375))</f>
        <v>L</v>
      </c>
      <c r="E375" s="10" t="str">
        <f>IF(IF(ISNA(計算結果!E375),"",計算結果!E375)=0,"",IF(ISNA(計算結果!E375),"",計算結果!E375))</f>
        <v/>
      </c>
      <c r="F375" s="10" t="str">
        <f>IF(IF(ISNA(計算結果!F375),"",計算結果!F375)=0,"",IF(ISNA(計算結果!F375),"",計算結果!F375))</f>
        <v/>
      </c>
      <c r="G375" s="10" t="str">
        <f>IF(IF(ISNA(計算結果!G375),"",計算結果!G375)=0,"",IF(ISNA(計算結果!G375),"",計算結果!G375))</f>
        <v/>
      </c>
      <c r="H375" s="13">
        <f>IF(IF(ISNA(計算結果!H375),"",計算結果!H375)=0,"",IF(ISNA(計算結果!H375),"",計算結果!H375))</f>
        <v>-2</v>
      </c>
      <c r="I375" s="12" t="str">
        <f>IF(IF(ISNA(計算結果!I375),"",計算結果!I375)=0,"",IF(ISNA(計算結果!I375),"",計算結果!I375))</f>
        <v/>
      </c>
      <c r="J375" s="12" t="str">
        <f>IF(IF(ISNA(計算結果!J375),"",計算結果!J375)=0,"",IF(ISNA(計算結果!J375),"",計算結果!J375))</f>
        <v/>
      </c>
      <c r="K375" s="23" t="str">
        <f>IF(IF(ISNA(計算結果!K375),"",計算結果!K375)=0,"",IF(ISNA(計算結果!K375),"",計算結果!K375))</f>
        <v/>
      </c>
      <c r="L375" s="13" t="str">
        <f>IF(IF(ISNA(計算結果!L375),"",計算結果!L375)=0,"",IF(ISNA(計算結果!L375),"",計算結果!L375))</f>
        <v/>
      </c>
      <c r="M375" s="10" t="str">
        <f>IF(IF(ISNA(計算結果!M375),"",計算結果!M375)=0,"",IF(ISNA(計算結果!M375),"",計算結果!M375))</f>
        <v/>
      </c>
      <c r="N375" s="10" t="str">
        <f>IF(IF(ISNA(計算結果!N375),"",計算結果!N375)=0,"",IF(ISNA(計算結果!N375),"",計算結果!N375))</f>
        <v/>
      </c>
      <c r="O375" s="13" t="str">
        <f>IF(IF(ISNA(計算結果!O375),"",計算結果!O375)=0,"",IF(ISNA(計算結果!O375),"",計算結果!O375))</f>
        <v/>
      </c>
      <c r="P375" s="10" t="str">
        <f>IF(IF(ISNA(計算結果!P375),"",計算結果!P375)=0,"",IF(ISNA(計算結果!P375),"",計算結果!P375))</f>
        <v/>
      </c>
      <c r="Q375" s="10" t="str">
        <f>IF(IF(ISNA(計算結果!Q375),"",計算結果!Q375)=0,"",IF(ISNA(計算結果!Q375),"",計算結果!Q375))</f>
        <v/>
      </c>
      <c r="R375" s="14" t="str">
        <f t="shared" si="15"/>
        <v/>
      </c>
      <c r="S375" s="14" t="str">
        <f t="shared" si="16"/>
        <v>◯</v>
      </c>
      <c r="T375" s="14" t="str">
        <f t="shared" si="17"/>
        <v/>
      </c>
    </row>
    <row r="376" spans="1:20" hidden="1" x14ac:dyDescent="0.45">
      <c r="A376" s="10" t="str">
        <f>IF(IF(ISNA(計算結果!A376),"",計算結果!A376)=0,"",IF(ISNA(計算結果!A376),"",計算結果!A376))</f>
        <v/>
      </c>
      <c r="B376" s="10" t="str">
        <f>IF(IF(ISNA(計算結果!B376),"",計算結果!B376)=0,"",IF(ISNA(計算結果!B376),"",計算結果!B376))</f>
        <v/>
      </c>
      <c r="C376" s="10" t="str">
        <f>IF(IF(ISNA(計算結果!C376),"",計算結果!C376)=0,"",IF(ISNA(計算結果!C376),"",計算結果!C376))</f>
        <v/>
      </c>
      <c r="D376" s="10" t="str">
        <f>IF(IF(ISNA(計算結果!D376),"",計算結果!D376)=0,"",IF(ISNA(計算結果!D376),"",計算結果!D376))</f>
        <v>L</v>
      </c>
      <c r="E376" s="10" t="str">
        <f>IF(IF(ISNA(計算結果!E376),"",計算結果!E376)=0,"",IF(ISNA(計算結果!E376),"",計算結果!E376))</f>
        <v/>
      </c>
      <c r="F376" s="10" t="str">
        <f>IF(IF(ISNA(計算結果!F376),"",計算結果!F376)=0,"",IF(ISNA(計算結果!F376),"",計算結果!F376))</f>
        <v/>
      </c>
      <c r="G376" s="10" t="str">
        <f>IF(IF(ISNA(計算結果!G376),"",計算結果!G376)=0,"",IF(ISNA(計算結果!G376),"",計算結果!G376))</f>
        <v/>
      </c>
      <c r="H376" s="13">
        <f>IF(IF(ISNA(計算結果!H376),"",計算結果!H376)=0,"",IF(ISNA(計算結果!H376),"",計算結果!H376))</f>
        <v>-2</v>
      </c>
      <c r="I376" s="12" t="str">
        <f>IF(IF(ISNA(計算結果!I376),"",計算結果!I376)=0,"",IF(ISNA(計算結果!I376),"",計算結果!I376))</f>
        <v/>
      </c>
      <c r="J376" s="12" t="str">
        <f>IF(IF(ISNA(計算結果!J376),"",計算結果!J376)=0,"",IF(ISNA(計算結果!J376),"",計算結果!J376))</f>
        <v/>
      </c>
      <c r="K376" s="23" t="str">
        <f>IF(IF(ISNA(計算結果!K376),"",計算結果!K376)=0,"",IF(ISNA(計算結果!K376),"",計算結果!K376))</f>
        <v/>
      </c>
      <c r="L376" s="13" t="str">
        <f>IF(IF(ISNA(計算結果!L376),"",計算結果!L376)=0,"",IF(ISNA(計算結果!L376),"",計算結果!L376))</f>
        <v/>
      </c>
      <c r="M376" s="10" t="str">
        <f>IF(IF(ISNA(計算結果!M376),"",計算結果!M376)=0,"",IF(ISNA(計算結果!M376),"",計算結果!M376))</f>
        <v/>
      </c>
      <c r="N376" s="10" t="str">
        <f>IF(IF(ISNA(計算結果!N376),"",計算結果!N376)=0,"",IF(ISNA(計算結果!N376),"",計算結果!N376))</f>
        <v/>
      </c>
      <c r="O376" s="13" t="str">
        <f>IF(IF(ISNA(計算結果!O376),"",計算結果!O376)=0,"",IF(ISNA(計算結果!O376),"",計算結果!O376))</f>
        <v/>
      </c>
      <c r="P376" s="10" t="str">
        <f>IF(IF(ISNA(計算結果!P376),"",計算結果!P376)=0,"",IF(ISNA(計算結果!P376),"",計算結果!P376))</f>
        <v/>
      </c>
      <c r="Q376" s="10" t="str">
        <f>IF(IF(ISNA(計算結果!Q376),"",計算結果!Q376)=0,"",IF(ISNA(計算結果!Q376),"",計算結果!Q376))</f>
        <v/>
      </c>
      <c r="R376" s="14" t="str">
        <f t="shared" si="15"/>
        <v/>
      </c>
      <c r="S376" s="14" t="str">
        <f t="shared" si="16"/>
        <v>◯</v>
      </c>
      <c r="T376" s="14" t="str">
        <f t="shared" si="17"/>
        <v/>
      </c>
    </row>
    <row r="377" spans="1:20" hidden="1" x14ac:dyDescent="0.45">
      <c r="A377" s="10" t="str">
        <f>IF(IF(ISNA(計算結果!A377),"",計算結果!A377)=0,"",IF(ISNA(計算結果!A377),"",計算結果!A377))</f>
        <v/>
      </c>
      <c r="B377" s="10" t="str">
        <f>IF(IF(ISNA(計算結果!B377),"",計算結果!B377)=0,"",IF(ISNA(計算結果!B377),"",計算結果!B377))</f>
        <v/>
      </c>
      <c r="C377" s="10" t="str">
        <f>IF(IF(ISNA(計算結果!C377),"",計算結果!C377)=0,"",IF(ISNA(計算結果!C377),"",計算結果!C377))</f>
        <v/>
      </c>
      <c r="D377" s="10" t="str">
        <f>IF(IF(ISNA(計算結果!D377),"",計算結果!D377)=0,"",IF(ISNA(計算結果!D377),"",計算結果!D377))</f>
        <v>L</v>
      </c>
      <c r="E377" s="10" t="str">
        <f>IF(IF(ISNA(計算結果!E377),"",計算結果!E377)=0,"",IF(ISNA(計算結果!E377),"",計算結果!E377))</f>
        <v/>
      </c>
      <c r="F377" s="10" t="str">
        <f>IF(IF(ISNA(計算結果!F377),"",計算結果!F377)=0,"",IF(ISNA(計算結果!F377),"",計算結果!F377))</f>
        <v/>
      </c>
      <c r="G377" s="10" t="str">
        <f>IF(IF(ISNA(計算結果!G377),"",計算結果!G377)=0,"",IF(ISNA(計算結果!G377),"",計算結果!G377))</f>
        <v/>
      </c>
      <c r="H377" s="13">
        <f>IF(IF(ISNA(計算結果!H377),"",計算結果!H377)=0,"",IF(ISNA(計算結果!H377),"",計算結果!H377))</f>
        <v>-2</v>
      </c>
      <c r="I377" s="12" t="str">
        <f>IF(IF(ISNA(計算結果!I377),"",計算結果!I377)=0,"",IF(ISNA(計算結果!I377),"",計算結果!I377))</f>
        <v/>
      </c>
      <c r="J377" s="12" t="str">
        <f>IF(IF(ISNA(計算結果!J377),"",計算結果!J377)=0,"",IF(ISNA(計算結果!J377),"",計算結果!J377))</f>
        <v/>
      </c>
      <c r="K377" s="23" t="str">
        <f>IF(IF(ISNA(計算結果!K377),"",計算結果!K377)=0,"",IF(ISNA(計算結果!K377),"",計算結果!K377))</f>
        <v/>
      </c>
      <c r="L377" s="13" t="str">
        <f>IF(IF(ISNA(計算結果!L377),"",計算結果!L377)=0,"",IF(ISNA(計算結果!L377),"",計算結果!L377))</f>
        <v/>
      </c>
      <c r="M377" s="10" t="str">
        <f>IF(IF(ISNA(計算結果!M377),"",計算結果!M377)=0,"",IF(ISNA(計算結果!M377),"",計算結果!M377))</f>
        <v/>
      </c>
      <c r="N377" s="10" t="str">
        <f>IF(IF(ISNA(計算結果!N377),"",計算結果!N377)=0,"",IF(ISNA(計算結果!N377),"",計算結果!N377))</f>
        <v/>
      </c>
      <c r="O377" s="13" t="str">
        <f>IF(IF(ISNA(計算結果!O377),"",計算結果!O377)=0,"",IF(ISNA(計算結果!O377),"",計算結果!O377))</f>
        <v/>
      </c>
      <c r="P377" s="10" t="str">
        <f>IF(IF(ISNA(計算結果!P377),"",計算結果!P377)=0,"",IF(ISNA(計算結果!P377),"",計算結果!P377))</f>
        <v/>
      </c>
      <c r="Q377" s="10" t="str">
        <f>IF(IF(ISNA(計算結果!Q377),"",計算結果!Q377)=0,"",IF(ISNA(計算結果!Q377),"",計算結果!Q377))</f>
        <v/>
      </c>
      <c r="R377" s="14" t="str">
        <f t="shared" si="15"/>
        <v/>
      </c>
      <c r="S377" s="14" t="str">
        <f t="shared" si="16"/>
        <v>◯</v>
      </c>
      <c r="T377" s="14" t="str">
        <f t="shared" si="17"/>
        <v/>
      </c>
    </row>
    <row r="378" spans="1:20" hidden="1" x14ac:dyDescent="0.45">
      <c r="A378" s="10" t="str">
        <f>IF(IF(ISNA(計算結果!A378),"",計算結果!A378)=0,"",IF(ISNA(計算結果!A378),"",計算結果!A378))</f>
        <v/>
      </c>
      <c r="B378" s="10" t="str">
        <f>IF(IF(ISNA(計算結果!B378),"",計算結果!B378)=0,"",IF(ISNA(計算結果!B378),"",計算結果!B378))</f>
        <v/>
      </c>
      <c r="C378" s="10" t="str">
        <f>IF(IF(ISNA(計算結果!C378),"",計算結果!C378)=0,"",IF(ISNA(計算結果!C378),"",計算結果!C378))</f>
        <v/>
      </c>
      <c r="D378" s="10" t="str">
        <f>IF(IF(ISNA(計算結果!D378),"",計算結果!D378)=0,"",IF(ISNA(計算結果!D378),"",計算結果!D378))</f>
        <v>L</v>
      </c>
      <c r="E378" s="10" t="str">
        <f>IF(IF(ISNA(計算結果!E378),"",計算結果!E378)=0,"",IF(ISNA(計算結果!E378),"",計算結果!E378))</f>
        <v/>
      </c>
      <c r="F378" s="10" t="str">
        <f>IF(IF(ISNA(計算結果!F378),"",計算結果!F378)=0,"",IF(ISNA(計算結果!F378),"",計算結果!F378))</f>
        <v/>
      </c>
      <c r="G378" s="10" t="str">
        <f>IF(IF(ISNA(計算結果!G378),"",計算結果!G378)=0,"",IF(ISNA(計算結果!G378),"",計算結果!G378))</f>
        <v/>
      </c>
      <c r="H378" s="13">
        <f>IF(IF(ISNA(計算結果!H378),"",計算結果!H378)=0,"",IF(ISNA(計算結果!H378),"",計算結果!H378))</f>
        <v>-2</v>
      </c>
      <c r="I378" s="12" t="str">
        <f>IF(IF(ISNA(計算結果!I378),"",計算結果!I378)=0,"",IF(ISNA(計算結果!I378),"",計算結果!I378))</f>
        <v/>
      </c>
      <c r="J378" s="12" t="str">
        <f>IF(IF(ISNA(計算結果!J378),"",計算結果!J378)=0,"",IF(ISNA(計算結果!J378),"",計算結果!J378))</f>
        <v/>
      </c>
      <c r="K378" s="23" t="str">
        <f>IF(IF(ISNA(計算結果!K378),"",計算結果!K378)=0,"",IF(ISNA(計算結果!K378),"",計算結果!K378))</f>
        <v/>
      </c>
      <c r="L378" s="13" t="str">
        <f>IF(IF(ISNA(計算結果!L378),"",計算結果!L378)=0,"",IF(ISNA(計算結果!L378),"",計算結果!L378))</f>
        <v/>
      </c>
      <c r="M378" s="10" t="str">
        <f>IF(IF(ISNA(計算結果!M378),"",計算結果!M378)=0,"",IF(ISNA(計算結果!M378),"",計算結果!M378))</f>
        <v/>
      </c>
      <c r="N378" s="10" t="str">
        <f>IF(IF(ISNA(計算結果!N378),"",計算結果!N378)=0,"",IF(ISNA(計算結果!N378),"",計算結果!N378))</f>
        <v/>
      </c>
      <c r="O378" s="13" t="str">
        <f>IF(IF(ISNA(計算結果!O378),"",計算結果!O378)=0,"",IF(ISNA(計算結果!O378),"",計算結果!O378))</f>
        <v/>
      </c>
      <c r="P378" s="10" t="str">
        <f>IF(IF(ISNA(計算結果!P378),"",計算結果!P378)=0,"",IF(ISNA(計算結果!P378),"",計算結果!P378))</f>
        <v/>
      </c>
      <c r="Q378" s="10" t="str">
        <f>IF(IF(ISNA(計算結果!Q378),"",計算結果!Q378)=0,"",IF(ISNA(計算結果!Q378),"",計算結果!Q378))</f>
        <v/>
      </c>
      <c r="R378" s="14" t="str">
        <f t="shared" si="15"/>
        <v/>
      </c>
      <c r="S378" s="14" t="str">
        <f t="shared" si="16"/>
        <v>◯</v>
      </c>
      <c r="T378" s="14" t="str">
        <f t="shared" si="17"/>
        <v/>
      </c>
    </row>
    <row r="379" spans="1:20" hidden="1" x14ac:dyDescent="0.45">
      <c r="A379" s="10" t="str">
        <f>IF(IF(ISNA(計算結果!A379),"",計算結果!A379)=0,"",IF(ISNA(計算結果!A379),"",計算結果!A379))</f>
        <v/>
      </c>
      <c r="B379" s="10" t="str">
        <f>IF(IF(ISNA(計算結果!B379),"",計算結果!B379)=0,"",IF(ISNA(計算結果!B379),"",計算結果!B379))</f>
        <v/>
      </c>
      <c r="C379" s="10" t="str">
        <f>IF(IF(ISNA(計算結果!C379),"",計算結果!C379)=0,"",IF(ISNA(計算結果!C379),"",計算結果!C379))</f>
        <v/>
      </c>
      <c r="D379" s="10" t="str">
        <f>IF(IF(ISNA(計算結果!D379),"",計算結果!D379)=0,"",IF(ISNA(計算結果!D379),"",計算結果!D379))</f>
        <v>L</v>
      </c>
      <c r="E379" s="10" t="str">
        <f>IF(IF(ISNA(計算結果!E379),"",計算結果!E379)=0,"",IF(ISNA(計算結果!E379),"",計算結果!E379))</f>
        <v/>
      </c>
      <c r="F379" s="10" t="str">
        <f>IF(IF(ISNA(計算結果!F379),"",計算結果!F379)=0,"",IF(ISNA(計算結果!F379),"",計算結果!F379))</f>
        <v/>
      </c>
      <c r="G379" s="10" t="str">
        <f>IF(IF(ISNA(計算結果!G379),"",計算結果!G379)=0,"",IF(ISNA(計算結果!G379),"",計算結果!G379))</f>
        <v/>
      </c>
      <c r="H379" s="13">
        <f>IF(IF(ISNA(計算結果!H379),"",計算結果!H379)=0,"",IF(ISNA(計算結果!H379),"",計算結果!H379))</f>
        <v>-2</v>
      </c>
      <c r="I379" s="12" t="str">
        <f>IF(IF(ISNA(計算結果!I379),"",計算結果!I379)=0,"",IF(ISNA(計算結果!I379),"",計算結果!I379))</f>
        <v/>
      </c>
      <c r="J379" s="12" t="str">
        <f>IF(IF(ISNA(計算結果!J379),"",計算結果!J379)=0,"",IF(ISNA(計算結果!J379),"",計算結果!J379))</f>
        <v/>
      </c>
      <c r="K379" s="23" t="str">
        <f>IF(IF(ISNA(計算結果!K379),"",計算結果!K379)=0,"",IF(ISNA(計算結果!K379),"",計算結果!K379))</f>
        <v/>
      </c>
      <c r="L379" s="13" t="str">
        <f>IF(IF(ISNA(計算結果!L379),"",計算結果!L379)=0,"",IF(ISNA(計算結果!L379),"",計算結果!L379))</f>
        <v/>
      </c>
      <c r="M379" s="10" t="str">
        <f>IF(IF(ISNA(計算結果!M379),"",計算結果!M379)=0,"",IF(ISNA(計算結果!M379),"",計算結果!M379))</f>
        <v/>
      </c>
      <c r="N379" s="10" t="str">
        <f>IF(IF(ISNA(計算結果!N379),"",計算結果!N379)=0,"",IF(ISNA(計算結果!N379),"",計算結果!N379))</f>
        <v/>
      </c>
      <c r="O379" s="13" t="str">
        <f>IF(IF(ISNA(計算結果!O379),"",計算結果!O379)=0,"",IF(ISNA(計算結果!O379),"",計算結果!O379))</f>
        <v/>
      </c>
      <c r="P379" s="10" t="str">
        <f>IF(IF(ISNA(計算結果!P379),"",計算結果!P379)=0,"",IF(ISNA(計算結果!P379),"",計算結果!P379))</f>
        <v/>
      </c>
      <c r="Q379" s="10" t="str">
        <f>IF(IF(ISNA(計算結果!Q379),"",計算結果!Q379)=0,"",IF(ISNA(計算結果!Q379),"",計算結果!Q379))</f>
        <v/>
      </c>
      <c r="R379" s="14" t="str">
        <f t="shared" si="15"/>
        <v/>
      </c>
      <c r="S379" s="14" t="str">
        <f t="shared" si="16"/>
        <v>◯</v>
      </c>
      <c r="T379" s="14" t="str">
        <f t="shared" si="17"/>
        <v/>
      </c>
    </row>
    <row r="380" spans="1:20" hidden="1" x14ac:dyDescent="0.45">
      <c r="A380" s="10" t="str">
        <f>IF(IF(ISNA(計算結果!A380),"",計算結果!A380)=0,"",IF(ISNA(計算結果!A380),"",計算結果!A380))</f>
        <v/>
      </c>
      <c r="B380" s="10" t="str">
        <f>IF(IF(ISNA(計算結果!B380),"",計算結果!B380)=0,"",IF(ISNA(計算結果!B380),"",計算結果!B380))</f>
        <v/>
      </c>
      <c r="C380" s="10" t="str">
        <f>IF(IF(ISNA(計算結果!C380),"",計算結果!C380)=0,"",IF(ISNA(計算結果!C380),"",計算結果!C380))</f>
        <v/>
      </c>
      <c r="D380" s="10" t="str">
        <f>IF(IF(ISNA(計算結果!D380),"",計算結果!D380)=0,"",IF(ISNA(計算結果!D380),"",計算結果!D380))</f>
        <v>L</v>
      </c>
      <c r="E380" s="10" t="str">
        <f>IF(IF(ISNA(計算結果!E380),"",計算結果!E380)=0,"",IF(ISNA(計算結果!E380),"",計算結果!E380))</f>
        <v/>
      </c>
      <c r="F380" s="10" t="str">
        <f>IF(IF(ISNA(計算結果!F380),"",計算結果!F380)=0,"",IF(ISNA(計算結果!F380),"",計算結果!F380))</f>
        <v/>
      </c>
      <c r="G380" s="10" t="str">
        <f>IF(IF(ISNA(計算結果!G380),"",計算結果!G380)=0,"",IF(ISNA(計算結果!G380),"",計算結果!G380))</f>
        <v/>
      </c>
      <c r="H380" s="13">
        <f>IF(IF(ISNA(計算結果!H380),"",計算結果!H380)=0,"",IF(ISNA(計算結果!H380),"",計算結果!H380))</f>
        <v>-2</v>
      </c>
      <c r="I380" s="12" t="str">
        <f>IF(IF(ISNA(計算結果!I380),"",計算結果!I380)=0,"",IF(ISNA(計算結果!I380),"",計算結果!I380))</f>
        <v/>
      </c>
      <c r="J380" s="12" t="str">
        <f>IF(IF(ISNA(計算結果!J380),"",計算結果!J380)=0,"",IF(ISNA(計算結果!J380),"",計算結果!J380))</f>
        <v/>
      </c>
      <c r="K380" s="23" t="str">
        <f>IF(IF(ISNA(計算結果!K380),"",計算結果!K380)=0,"",IF(ISNA(計算結果!K380),"",計算結果!K380))</f>
        <v/>
      </c>
      <c r="L380" s="13" t="str">
        <f>IF(IF(ISNA(計算結果!L380),"",計算結果!L380)=0,"",IF(ISNA(計算結果!L380),"",計算結果!L380))</f>
        <v/>
      </c>
      <c r="M380" s="10" t="str">
        <f>IF(IF(ISNA(計算結果!M380),"",計算結果!M380)=0,"",IF(ISNA(計算結果!M380),"",計算結果!M380))</f>
        <v/>
      </c>
      <c r="N380" s="10" t="str">
        <f>IF(IF(ISNA(計算結果!N380),"",計算結果!N380)=0,"",IF(ISNA(計算結果!N380),"",計算結果!N380))</f>
        <v/>
      </c>
      <c r="O380" s="13" t="str">
        <f>IF(IF(ISNA(計算結果!O380),"",計算結果!O380)=0,"",IF(ISNA(計算結果!O380),"",計算結果!O380))</f>
        <v/>
      </c>
      <c r="P380" s="10" t="str">
        <f>IF(IF(ISNA(計算結果!P380),"",計算結果!P380)=0,"",IF(ISNA(計算結果!P380),"",計算結果!P380))</f>
        <v/>
      </c>
      <c r="Q380" s="10" t="str">
        <f>IF(IF(ISNA(計算結果!Q380),"",計算結果!Q380)=0,"",IF(ISNA(計算結果!Q380),"",計算結果!Q380))</f>
        <v/>
      </c>
      <c r="R380" s="14" t="str">
        <f t="shared" si="15"/>
        <v/>
      </c>
      <c r="S380" s="14" t="str">
        <f t="shared" si="16"/>
        <v>◯</v>
      </c>
      <c r="T380" s="14" t="str">
        <f t="shared" si="17"/>
        <v/>
      </c>
    </row>
    <row r="381" spans="1:20" hidden="1" x14ac:dyDescent="0.45">
      <c r="A381" s="10" t="str">
        <f>IF(IF(ISNA(計算結果!A381),"",計算結果!A381)=0,"",IF(ISNA(計算結果!A381),"",計算結果!A381))</f>
        <v/>
      </c>
      <c r="B381" s="10" t="str">
        <f>IF(IF(ISNA(計算結果!B381),"",計算結果!B381)=0,"",IF(ISNA(計算結果!B381),"",計算結果!B381))</f>
        <v/>
      </c>
      <c r="C381" s="10" t="str">
        <f>IF(IF(ISNA(計算結果!C381),"",計算結果!C381)=0,"",IF(ISNA(計算結果!C381),"",計算結果!C381))</f>
        <v/>
      </c>
      <c r="D381" s="10" t="str">
        <f>IF(IF(ISNA(計算結果!D381),"",計算結果!D381)=0,"",IF(ISNA(計算結果!D381),"",計算結果!D381))</f>
        <v>L</v>
      </c>
      <c r="E381" s="10" t="str">
        <f>IF(IF(ISNA(計算結果!E381),"",計算結果!E381)=0,"",IF(ISNA(計算結果!E381),"",計算結果!E381))</f>
        <v/>
      </c>
      <c r="F381" s="10" t="str">
        <f>IF(IF(ISNA(計算結果!F381),"",計算結果!F381)=0,"",IF(ISNA(計算結果!F381),"",計算結果!F381))</f>
        <v/>
      </c>
      <c r="G381" s="10" t="str">
        <f>IF(IF(ISNA(計算結果!G381),"",計算結果!G381)=0,"",IF(ISNA(計算結果!G381),"",計算結果!G381))</f>
        <v/>
      </c>
      <c r="H381" s="13">
        <f>IF(IF(ISNA(計算結果!H381),"",計算結果!H381)=0,"",IF(ISNA(計算結果!H381),"",計算結果!H381))</f>
        <v>-2</v>
      </c>
      <c r="I381" s="12" t="str">
        <f>IF(IF(ISNA(計算結果!I381),"",計算結果!I381)=0,"",IF(ISNA(計算結果!I381),"",計算結果!I381))</f>
        <v/>
      </c>
      <c r="J381" s="12" t="str">
        <f>IF(IF(ISNA(計算結果!J381),"",計算結果!J381)=0,"",IF(ISNA(計算結果!J381),"",計算結果!J381))</f>
        <v/>
      </c>
      <c r="K381" s="23" t="str">
        <f>IF(IF(ISNA(計算結果!K381),"",計算結果!K381)=0,"",IF(ISNA(計算結果!K381),"",計算結果!K381))</f>
        <v/>
      </c>
      <c r="L381" s="13" t="str">
        <f>IF(IF(ISNA(計算結果!L381),"",計算結果!L381)=0,"",IF(ISNA(計算結果!L381),"",計算結果!L381))</f>
        <v/>
      </c>
      <c r="M381" s="10" t="str">
        <f>IF(IF(ISNA(計算結果!M381),"",計算結果!M381)=0,"",IF(ISNA(計算結果!M381),"",計算結果!M381))</f>
        <v/>
      </c>
      <c r="N381" s="10" t="str">
        <f>IF(IF(ISNA(計算結果!N381),"",計算結果!N381)=0,"",IF(ISNA(計算結果!N381),"",計算結果!N381))</f>
        <v/>
      </c>
      <c r="O381" s="13" t="str">
        <f>IF(IF(ISNA(計算結果!O381),"",計算結果!O381)=0,"",IF(ISNA(計算結果!O381),"",計算結果!O381))</f>
        <v/>
      </c>
      <c r="P381" s="10" t="str">
        <f>IF(IF(ISNA(計算結果!P381),"",計算結果!P381)=0,"",IF(ISNA(計算結果!P381),"",計算結果!P381))</f>
        <v/>
      </c>
      <c r="Q381" s="10" t="str">
        <f>IF(IF(ISNA(計算結果!Q381),"",計算結果!Q381)=0,"",IF(ISNA(計算結果!Q381),"",計算結果!Q381))</f>
        <v/>
      </c>
      <c r="R381" s="14" t="str">
        <f t="shared" si="15"/>
        <v/>
      </c>
      <c r="S381" s="14" t="str">
        <f t="shared" si="16"/>
        <v>◯</v>
      </c>
      <c r="T381" s="14" t="str">
        <f t="shared" si="17"/>
        <v/>
      </c>
    </row>
    <row r="382" spans="1:20" hidden="1" x14ac:dyDescent="0.45">
      <c r="A382" s="10" t="str">
        <f>IF(IF(ISNA(計算結果!A382),"",計算結果!A382)=0,"",IF(ISNA(計算結果!A382),"",計算結果!A382))</f>
        <v/>
      </c>
      <c r="B382" s="10" t="str">
        <f>IF(IF(ISNA(計算結果!B382),"",計算結果!B382)=0,"",IF(ISNA(計算結果!B382),"",計算結果!B382))</f>
        <v/>
      </c>
      <c r="C382" s="10" t="str">
        <f>IF(IF(ISNA(計算結果!C382),"",計算結果!C382)=0,"",IF(ISNA(計算結果!C382),"",計算結果!C382))</f>
        <v/>
      </c>
      <c r="D382" s="10" t="str">
        <f>IF(IF(ISNA(計算結果!D382),"",計算結果!D382)=0,"",IF(ISNA(計算結果!D382),"",計算結果!D382))</f>
        <v>L</v>
      </c>
      <c r="E382" s="10" t="str">
        <f>IF(IF(ISNA(計算結果!E382),"",計算結果!E382)=0,"",IF(ISNA(計算結果!E382),"",計算結果!E382))</f>
        <v/>
      </c>
      <c r="F382" s="10" t="str">
        <f>IF(IF(ISNA(計算結果!F382),"",計算結果!F382)=0,"",IF(ISNA(計算結果!F382),"",計算結果!F382))</f>
        <v/>
      </c>
      <c r="G382" s="10" t="str">
        <f>IF(IF(ISNA(計算結果!G382),"",計算結果!G382)=0,"",IF(ISNA(計算結果!G382),"",計算結果!G382))</f>
        <v/>
      </c>
      <c r="H382" s="13">
        <f>IF(IF(ISNA(計算結果!H382),"",計算結果!H382)=0,"",IF(ISNA(計算結果!H382),"",計算結果!H382))</f>
        <v>-2</v>
      </c>
      <c r="I382" s="12" t="str">
        <f>IF(IF(ISNA(計算結果!I382),"",計算結果!I382)=0,"",IF(ISNA(計算結果!I382),"",計算結果!I382))</f>
        <v/>
      </c>
      <c r="J382" s="12" t="str">
        <f>IF(IF(ISNA(計算結果!J382),"",計算結果!J382)=0,"",IF(ISNA(計算結果!J382),"",計算結果!J382))</f>
        <v/>
      </c>
      <c r="K382" s="23" t="str">
        <f>IF(IF(ISNA(計算結果!K382),"",計算結果!K382)=0,"",IF(ISNA(計算結果!K382),"",計算結果!K382))</f>
        <v/>
      </c>
      <c r="L382" s="13" t="str">
        <f>IF(IF(ISNA(計算結果!L382),"",計算結果!L382)=0,"",IF(ISNA(計算結果!L382),"",計算結果!L382))</f>
        <v/>
      </c>
      <c r="M382" s="10" t="str">
        <f>IF(IF(ISNA(計算結果!M382),"",計算結果!M382)=0,"",IF(ISNA(計算結果!M382),"",計算結果!M382))</f>
        <v/>
      </c>
      <c r="N382" s="10" t="str">
        <f>IF(IF(ISNA(計算結果!N382),"",計算結果!N382)=0,"",IF(ISNA(計算結果!N382),"",計算結果!N382))</f>
        <v/>
      </c>
      <c r="O382" s="13" t="str">
        <f>IF(IF(ISNA(計算結果!O382),"",計算結果!O382)=0,"",IF(ISNA(計算結果!O382),"",計算結果!O382))</f>
        <v/>
      </c>
      <c r="P382" s="10" t="str">
        <f>IF(IF(ISNA(計算結果!P382),"",計算結果!P382)=0,"",IF(ISNA(計算結果!P382),"",計算結果!P382))</f>
        <v/>
      </c>
      <c r="Q382" s="10" t="str">
        <f>IF(IF(ISNA(計算結果!Q382),"",計算結果!Q382)=0,"",IF(ISNA(計算結果!Q382),"",計算結果!Q382))</f>
        <v/>
      </c>
      <c r="R382" s="14" t="str">
        <f t="shared" si="15"/>
        <v/>
      </c>
      <c r="S382" s="14" t="str">
        <f t="shared" si="16"/>
        <v>◯</v>
      </c>
      <c r="T382" s="14" t="str">
        <f t="shared" si="17"/>
        <v/>
      </c>
    </row>
    <row r="383" spans="1:20" hidden="1" x14ac:dyDescent="0.45">
      <c r="A383" s="10" t="str">
        <f>IF(IF(ISNA(計算結果!A383),"",計算結果!A383)=0,"",IF(ISNA(計算結果!A383),"",計算結果!A383))</f>
        <v/>
      </c>
      <c r="B383" s="10" t="str">
        <f>IF(IF(ISNA(計算結果!B383),"",計算結果!B383)=0,"",IF(ISNA(計算結果!B383),"",計算結果!B383))</f>
        <v/>
      </c>
      <c r="C383" s="10" t="str">
        <f>IF(IF(ISNA(計算結果!C383),"",計算結果!C383)=0,"",IF(ISNA(計算結果!C383),"",計算結果!C383))</f>
        <v/>
      </c>
      <c r="D383" s="10" t="str">
        <f>IF(IF(ISNA(計算結果!D383),"",計算結果!D383)=0,"",IF(ISNA(計算結果!D383),"",計算結果!D383))</f>
        <v>L</v>
      </c>
      <c r="E383" s="10" t="str">
        <f>IF(IF(ISNA(計算結果!E383),"",計算結果!E383)=0,"",IF(ISNA(計算結果!E383),"",計算結果!E383))</f>
        <v/>
      </c>
      <c r="F383" s="10" t="str">
        <f>IF(IF(ISNA(計算結果!F383),"",計算結果!F383)=0,"",IF(ISNA(計算結果!F383),"",計算結果!F383))</f>
        <v/>
      </c>
      <c r="G383" s="10" t="str">
        <f>IF(IF(ISNA(計算結果!G383),"",計算結果!G383)=0,"",IF(ISNA(計算結果!G383),"",計算結果!G383))</f>
        <v/>
      </c>
      <c r="H383" s="13">
        <f>IF(IF(ISNA(計算結果!H383),"",計算結果!H383)=0,"",IF(ISNA(計算結果!H383),"",計算結果!H383))</f>
        <v>-2</v>
      </c>
      <c r="I383" s="12" t="str">
        <f>IF(IF(ISNA(計算結果!I383),"",計算結果!I383)=0,"",IF(ISNA(計算結果!I383),"",計算結果!I383))</f>
        <v/>
      </c>
      <c r="J383" s="12" t="str">
        <f>IF(IF(ISNA(計算結果!J383),"",計算結果!J383)=0,"",IF(ISNA(計算結果!J383),"",計算結果!J383))</f>
        <v/>
      </c>
      <c r="K383" s="23" t="str">
        <f>IF(IF(ISNA(計算結果!K383),"",計算結果!K383)=0,"",IF(ISNA(計算結果!K383),"",計算結果!K383))</f>
        <v/>
      </c>
      <c r="L383" s="13" t="str">
        <f>IF(IF(ISNA(計算結果!L383),"",計算結果!L383)=0,"",IF(ISNA(計算結果!L383),"",計算結果!L383))</f>
        <v/>
      </c>
      <c r="M383" s="10" t="str">
        <f>IF(IF(ISNA(計算結果!M383),"",計算結果!M383)=0,"",IF(ISNA(計算結果!M383),"",計算結果!M383))</f>
        <v/>
      </c>
      <c r="N383" s="10" t="str">
        <f>IF(IF(ISNA(計算結果!N383),"",計算結果!N383)=0,"",IF(ISNA(計算結果!N383),"",計算結果!N383))</f>
        <v/>
      </c>
      <c r="O383" s="13" t="str">
        <f>IF(IF(ISNA(計算結果!O383),"",計算結果!O383)=0,"",IF(ISNA(計算結果!O383),"",計算結果!O383))</f>
        <v/>
      </c>
      <c r="P383" s="10" t="str">
        <f>IF(IF(ISNA(計算結果!P383),"",計算結果!P383)=0,"",IF(ISNA(計算結果!P383),"",計算結果!P383))</f>
        <v/>
      </c>
      <c r="Q383" s="10" t="str">
        <f>IF(IF(ISNA(計算結果!Q383),"",計算結果!Q383)=0,"",IF(ISNA(計算結果!Q383),"",計算結果!Q383))</f>
        <v/>
      </c>
      <c r="R383" s="14" t="str">
        <f t="shared" si="15"/>
        <v/>
      </c>
      <c r="S383" s="14" t="str">
        <f t="shared" si="16"/>
        <v>◯</v>
      </c>
      <c r="T383" s="14" t="str">
        <f t="shared" si="17"/>
        <v/>
      </c>
    </row>
    <row r="384" spans="1:20" hidden="1" x14ac:dyDescent="0.45">
      <c r="A384" s="10" t="str">
        <f>IF(IF(ISNA(計算結果!A384),"",計算結果!A384)=0,"",IF(ISNA(計算結果!A384),"",計算結果!A384))</f>
        <v/>
      </c>
      <c r="B384" s="10" t="str">
        <f>IF(IF(ISNA(計算結果!B384),"",計算結果!B384)=0,"",IF(ISNA(計算結果!B384),"",計算結果!B384))</f>
        <v/>
      </c>
      <c r="C384" s="10" t="str">
        <f>IF(IF(ISNA(計算結果!C384),"",計算結果!C384)=0,"",IF(ISNA(計算結果!C384),"",計算結果!C384))</f>
        <v/>
      </c>
      <c r="D384" s="10" t="str">
        <f>IF(IF(ISNA(計算結果!D384),"",計算結果!D384)=0,"",IF(ISNA(計算結果!D384),"",計算結果!D384))</f>
        <v>L</v>
      </c>
      <c r="E384" s="10" t="str">
        <f>IF(IF(ISNA(計算結果!E384),"",計算結果!E384)=0,"",IF(ISNA(計算結果!E384),"",計算結果!E384))</f>
        <v/>
      </c>
      <c r="F384" s="10" t="str">
        <f>IF(IF(ISNA(計算結果!F384),"",計算結果!F384)=0,"",IF(ISNA(計算結果!F384),"",計算結果!F384))</f>
        <v/>
      </c>
      <c r="G384" s="10" t="str">
        <f>IF(IF(ISNA(計算結果!G384),"",計算結果!G384)=0,"",IF(ISNA(計算結果!G384),"",計算結果!G384))</f>
        <v/>
      </c>
      <c r="H384" s="13">
        <f>IF(IF(ISNA(計算結果!H384),"",計算結果!H384)=0,"",IF(ISNA(計算結果!H384),"",計算結果!H384))</f>
        <v>-2</v>
      </c>
      <c r="I384" s="12" t="str">
        <f>IF(IF(ISNA(計算結果!I384),"",計算結果!I384)=0,"",IF(ISNA(計算結果!I384),"",計算結果!I384))</f>
        <v/>
      </c>
      <c r="J384" s="12" t="str">
        <f>IF(IF(ISNA(計算結果!J384),"",計算結果!J384)=0,"",IF(ISNA(計算結果!J384),"",計算結果!J384))</f>
        <v/>
      </c>
      <c r="K384" s="23" t="str">
        <f>IF(IF(ISNA(計算結果!K384),"",計算結果!K384)=0,"",IF(ISNA(計算結果!K384),"",計算結果!K384))</f>
        <v/>
      </c>
      <c r="L384" s="13" t="str">
        <f>IF(IF(ISNA(計算結果!L384),"",計算結果!L384)=0,"",IF(ISNA(計算結果!L384),"",計算結果!L384))</f>
        <v/>
      </c>
      <c r="M384" s="10" t="str">
        <f>IF(IF(ISNA(計算結果!M384),"",計算結果!M384)=0,"",IF(ISNA(計算結果!M384),"",計算結果!M384))</f>
        <v/>
      </c>
      <c r="N384" s="10" t="str">
        <f>IF(IF(ISNA(計算結果!N384),"",計算結果!N384)=0,"",IF(ISNA(計算結果!N384),"",計算結果!N384))</f>
        <v/>
      </c>
      <c r="O384" s="13" t="str">
        <f>IF(IF(ISNA(計算結果!O384),"",計算結果!O384)=0,"",IF(ISNA(計算結果!O384),"",計算結果!O384))</f>
        <v/>
      </c>
      <c r="P384" s="10" t="str">
        <f>IF(IF(ISNA(計算結果!P384),"",計算結果!P384)=0,"",IF(ISNA(計算結果!P384),"",計算結果!P384))</f>
        <v/>
      </c>
      <c r="Q384" s="10" t="str">
        <f>IF(IF(ISNA(計算結果!Q384),"",計算結果!Q384)=0,"",IF(ISNA(計算結果!Q384),"",計算結果!Q384))</f>
        <v/>
      </c>
      <c r="R384" s="14" t="str">
        <f t="shared" si="15"/>
        <v/>
      </c>
      <c r="S384" s="14" t="str">
        <f t="shared" si="16"/>
        <v>◯</v>
      </c>
      <c r="T384" s="14" t="str">
        <f t="shared" si="17"/>
        <v/>
      </c>
    </row>
    <row r="385" spans="1:20" hidden="1" x14ac:dyDescent="0.45">
      <c r="A385" s="10" t="str">
        <f>IF(IF(ISNA(計算結果!A385),"",計算結果!A385)=0,"",IF(ISNA(計算結果!A385),"",計算結果!A385))</f>
        <v/>
      </c>
      <c r="B385" s="10" t="str">
        <f>IF(IF(ISNA(計算結果!B385),"",計算結果!B385)=0,"",IF(ISNA(計算結果!B385),"",計算結果!B385))</f>
        <v/>
      </c>
      <c r="C385" s="10" t="str">
        <f>IF(IF(ISNA(計算結果!C385),"",計算結果!C385)=0,"",IF(ISNA(計算結果!C385),"",計算結果!C385))</f>
        <v/>
      </c>
      <c r="D385" s="10" t="str">
        <f>IF(IF(ISNA(計算結果!D385),"",計算結果!D385)=0,"",IF(ISNA(計算結果!D385),"",計算結果!D385))</f>
        <v>L</v>
      </c>
      <c r="E385" s="10" t="str">
        <f>IF(IF(ISNA(計算結果!E385),"",計算結果!E385)=0,"",IF(ISNA(計算結果!E385),"",計算結果!E385))</f>
        <v/>
      </c>
      <c r="F385" s="10" t="str">
        <f>IF(IF(ISNA(計算結果!F385),"",計算結果!F385)=0,"",IF(ISNA(計算結果!F385),"",計算結果!F385))</f>
        <v/>
      </c>
      <c r="G385" s="10" t="str">
        <f>IF(IF(ISNA(計算結果!G385),"",計算結果!G385)=0,"",IF(ISNA(計算結果!G385),"",計算結果!G385))</f>
        <v/>
      </c>
      <c r="H385" s="13">
        <f>IF(IF(ISNA(計算結果!H385),"",計算結果!H385)=0,"",IF(ISNA(計算結果!H385),"",計算結果!H385))</f>
        <v>-2</v>
      </c>
      <c r="I385" s="12" t="str">
        <f>IF(IF(ISNA(計算結果!I385),"",計算結果!I385)=0,"",IF(ISNA(計算結果!I385),"",計算結果!I385))</f>
        <v/>
      </c>
      <c r="J385" s="12" t="str">
        <f>IF(IF(ISNA(計算結果!J385),"",計算結果!J385)=0,"",IF(ISNA(計算結果!J385),"",計算結果!J385))</f>
        <v/>
      </c>
      <c r="K385" s="23" t="str">
        <f>IF(IF(ISNA(計算結果!K385),"",計算結果!K385)=0,"",IF(ISNA(計算結果!K385),"",計算結果!K385))</f>
        <v/>
      </c>
      <c r="L385" s="13" t="str">
        <f>IF(IF(ISNA(計算結果!L385),"",計算結果!L385)=0,"",IF(ISNA(計算結果!L385),"",計算結果!L385))</f>
        <v/>
      </c>
      <c r="M385" s="10" t="str">
        <f>IF(IF(ISNA(計算結果!M385),"",計算結果!M385)=0,"",IF(ISNA(計算結果!M385),"",計算結果!M385))</f>
        <v/>
      </c>
      <c r="N385" s="10" t="str">
        <f>IF(IF(ISNA(計算結果!N385),"",計算結果!N385)=0,"",IF(ISNA(計算結果!N385),"",計算結果!N385))</f>
        <v/>
      </c>
      <c r="O385" s="13" t="str">
        <f>IF(IF(ISNA(計算結果!O385),"",計算結果!O385)=0,"",IF(ISNA(計算結果!O385),"",計算結果!O385))</f>
        <v/>
      </c>
      <c r="P385" s="10" t="str">
        <f>IF(IF(ISNA(計算結果!P385),"",計算結果!P385)=0,"",IF(ISNA(計算結果!P385),"",計算結果!P385))</f>
        <v/>
      </c>
      <c r="Q385" s="10" t="str">
        <f>IF(IF(ISNA(計算結果!Q385),"",計算結果!Q385)=0,"",IF(ISNA(計算結果!Q385),"",計算結果!Q385))</f>
        <v/>
      </c>
      <c r="R385" s="14" t="str">
        <f t="shared" si="15"/>
        <v/>
      </c>
      <c r="S385" s="14" t="str">
        <f t="shared" si="16"/>
        <v>◯</v>
      </c>
      <c r="T385" s="14" t="str">
        <f t="shared" si="17"/>
        <v/>
      </c>
    </row>
    <row r="386" spans="1:20" hidden="1" x14ac:dyDescent="0.45">
      <c r="A386" s="10" t="str">
        <f>IF(IF(ISNA(計算結果!A386),"",計算結果!A386)=0,"",IF(ISNA(計算結果!A386),"",計算結果!A386))</f>
        <v/>
      </c>
      <c r="B386" s="10" t="str">
        <f>IF(IF(ISNA(計算結果!B386),"",計算結果!B386)=0,"",IF(ISNA(計算結果!B386),"",計算結果!B386))</f>
        <v/>
      </c>
      <c r="C386" s="10" t="str">
        <f>IF(IF(ISNA(計算結果!C386),"",計算結果!C386)=0,"",IF(ISNA(計算結果!C386),"",計算結果!C386))</f>
        <v/>
      </c>
      <c r="D386" s="10" t="str">
        <f>IF(IF(ISNA(計算結果!D386),"",計算結果!D386)=0,"",IF(ISNA(計算結果!D386),"",計算結果!D386))</f>
        <v>L</v>
      </c>
      <c r="E386" s="10" t="str">
        <f>IF(IF(ISNA(計算結果!E386),"",計算結果!E386)=0,"",IF(ISNA(計算結果!E386),"",計算結果!E386))</f>
        <v/>
      </c>
      <c r="F386" s="10" t="str">
        <f>IF(IF(ISNA(計算結果!F386),"",計算結果!F386)=0,"",IF(ISNA(計算結果!F386),"",計算結果!F386))</f>
        <v/>
      </c>
      <c r="G386" s="10" t="str">
        <f>IF(IF(ISNA(計算結果!G386),"",計算結果!G386)=0,"",IF(ISNA(計算結果!G386),"",計算結果!G386))</f>
        <v/>
      </c>
      <c r="H386" s="13">
        <f>IF(IF(ISNA(計算結果!H386),"",計算結果!H386)=0,"",IF(ISNA(計算結果!H386),"",計算結果!H386))</f>
        <v>-2</v>
      </c>
      <c r="I386" s="12" t="str">
        <f>IF(IF(ISNA(計算結果!I386),"",計算結果!I386)=0,"",IF(ISNA(計算結果!I386),"",計算結果!I386))</f>
        <v/>
      </c>
      <c r="J386" s="12" t="str">
        <f>IF(IF(ISNA(計算結果!J386),"",計算結果!J386)=0,"",IF(ISNA(計算結果!J386),"",計算結果!J386))</f>
        <v/>
      </c>
      <c r="K386" s="23" t="str">
        <f>IF(IF(ISNA(計算結果!K386),"",計算結果!K386)=0,"",IF(ISNA(計算結果!K386),"",計算結果!K386))</f>
        <v/>
      </c>
      <c r="L386" s="13" t="str">
        <f>IF(IF(ISNA(計算結果!L386),"",計算結果!L386)=0,"",IF(ISNA(計算結果!L386),"",計算結果!L386))</f>
        <v/>
      </c>
      <c r="M386" s="10" t="str">
        <f>IF(IF(ISNA(計算結果!M386),"",計算結果!M386)=0,"",IF(ISNA(計算結果!M386),"",計算結果!M386))</f>
        <v/>
      </c>
      <c r="N386" s="10" t="str">
        <f>IF(IF(ISNA(計算結果!N386),"",計算結果!N386)=0,"",IF(ISNA(計算結果!N386),"",計算結果!N386))</f>
        <v/>
      </c>
      <c r="O386" s="13" t="str">
        <f>IF(IF(ISNA(計算結果!O386),"",計算結果!O386)=0,"",IF(ISNA(計算結果!O386),"",計算結果!O386))</f>
        <v/>
      </c>
      <c r="P386" s="10" t="str">
        <f>IF(IF(ISNA(計算結果!P386),"",計算結果!P386)=0,"",IF(ISNA(計算結果!P386),"",計算結果!P386))</f>
        <v/>
      </c>
      <c r="Q386" s="10" t="str">
        <f>IF(IF(ISNA(計算結果!Q386),"",計算結果!Q386)=0,"",IF(ISNA(計算結果!Q386),"",計算結果!Q386))</f>
        <v/>
      </c>
      <c r="R386" s="14" t="str">
        <f t="shared" si="15"/>
        <v/>
      </c>
      <c r="S386" s="14" t="str">
        <f t="shared" si="16"/>
        <v>◯</v>
      </c>
      <c r="T386" s="14" t="str">
        <f t="shared" si="17"/>
        <v/>
      </c>
    </row>
    <row r="387" spans="1:20" hidden="1" x14ac:dyDescent="0.45">
      <c r="A387" s="10" t="str">
        <f>IF(IF(ISNA(計算結果!A387),"",計算結果!A387)=0,"",IF(ISNA(計算結果!A387),"",計算結果!A387))</f>
        <v/>
      </c>
      <c r="B387" s="10" t="str">
        <f>IF(IF(ISNA(計算結果!B387),"",計算結果!B387)=0,"",IF(ISNA(計算結果!B387),"",計算結果!B387))</f>
        <v/>
      </c>
      <c r="C387" s="10" t="str">
        <f>IF(IF(ISNA(計算結果!C387),"",計算結果!C387)=0,"",IF(ISNA(計算結果!C387),"",計算結果!C387))</f>
        <v/>
      </c>
      <c r="D387" s="10" t="str">
        <f>IF(IF(ISNA(計算結果!D387),"",計算結果!D387)=0,"",IF(ISNA(計算結果!D387),"",計算結果!D387))</f>
        <v>L</v>
      </c>
      <c r="E387" s="10" t="str">
        <f>IF(IF(ISNA(計算結果!E387),"",計算結果!E387)=0,"",IF(ISNA(計算結果!E387),"",計算結果!E387))</f>
        <v/>
      </c>
      <c r="F387" s="10" t="str">
        <f>IF(IF(ISNA(計算結果!F387),"",計算結果!F387)=0,"",IF(ISNA(計算結果!F387),"",計算結果!F387))</f>
        <v/>
      </c>
      <c r="G387" s="10" t="str">
        <f>IF(IF(ISNA(計算結果!G387),"",計算結果!G387)=0,"",IF(ISNA(計算結果!G387),"",計算結果!G387))</f>
        <v/>
      </c>
      <c r="H387" s="13">
        <f>IF(IF(ISNA(計算結果!H387),"",計算結果!H387)=0,"",IF(ISNA(計算結果!H387),"",計算結果!H387))</f>
        <v>-2</v>
      </c>
      <c r="I387" s="12" t="str">
        <f>IF(IF(ISNA(計算結果!I387),"",計算結果!I387)=0,"",IF(ISNA(計算結果!I387),"",計算結果!I387))</f>
        <v/>
      </c>
      <c r="J387" s="12" t="str">
        <f>IF(IF(ISNA(計算結果!J387),"",計算結果!J387)=0,"",IF(ISNA(計算結果!J387),"",計算結果!J387))</f>
        <v/>
      </c>
      <c r="K387" s="23" t="str">
        <f>IF(IF(ISNA(計算結果!K387),"",計算結果!K387)=0,"",IF(ISNA(計算結果!K387),"",計算結果!K387))</f>
        <v/>
      </c>
      <c r="L387" s="13" t="str">
        <f>IF(IF(ISNA(計算結果!L387),"",計算結果!L387)=0,"",IF(ISNA(計算結果!L387),"",計算結果!L387))</f>
        <v/>
      </c>
      <c r="M387" s="10" t="str">
        <f>IF(IF(ISNA(計算結果!M387),"",計算結果!M387)=0,"",IF(ISNA(計算結果!M387),"",計算結果!M387))</f>
        <v/>
      </c>
      <c r="N387" s="10" t="str">
        <f>IF(IF(ISNA(計算結果!N387),"",計算結果!N387)=0,"",IF(ISNA(計算結果!N387),"",計算結果!N387))</f>
        <v/>
      </c>
      <c r="O387" s="13" t="str">
        <f>IF(IF(ISNA(計算結果!O387),"",計算結果!O387)=0,"",IF(ISNA(計算結果!O387),"",計算結果!O387))</f>
        <v/>
      </c>
      <c r="P387" s="10" t="str">
        <f>IF(IF(ISNA(計算結果!P387),"",計算結果!P387)=0,"",IF(ISNA(計算結果!P387),"",計算結果!P387))</f>
        <v/>
      </c>
      <c r="Q387" s="10" t="str">
        <f>IF(IF(ISNA(計算結果!Q387),"",計算結果!Q387)=0,"",IF(ISNA(計算結果!Q387),"",計算結果!Q387))</f>
        <v/>
      </c>
      <c r="R387" s="14" t="str">
        <f t="shared" ref="R387:R450" si="18">IF(AND(M387&lt;&gt;"",M387=N387),"◯","")</f>
        <v/>
      </c>
      <c r="S387" s="14" t="str">
        <f t="shared" ref="S387:S450" si="19">IF(M387="","◯","")</f>
        <v>◯</v>
      </c>
      <c r="T387" s="14" t="str">
        <f t="shared" ref="T387:T450" si="20">IF(AND(P387&lt;&gt;"",P387&lt;&gt;Q387),"◯","")</f>
        <v/>
      </c>
    </row>
    <row r="388" spans="1:20" hidden="1" x14ac:dyDescent="0.45">
      <c r="A388" s="10" t="str">
        <f>IF(IF(ISNA(計算結果!A388),"",計算結果!A388)=0,"",IF(ISNA(計算結果!A388),"",計算結果!A388))</f>
        <v/>
      </c>
      <c r="B388" s="10" t="str">
        <f>IF(IF(ISNA(計算結果!B388),"",計算結果!B388)=0,"",IF(ISNA(計算結果!B388),"",計算結果!B388))</f>
        <v/>
      </c>
      <c r="C388" s="10" t="str">
        <f>IF(IF(ISNA(計算結果!C388),"",計算結果!C388)=0,"",IF(ISNA(計算結果!C388),"",計算結果!C388))</f>
        <v/>
      </c>
      <c r="D388" s="10" t="str">
        <f>IF(IF(ISNA(計算結果!D388),"",計算結果!D388)=0,"",IF(ISNA(計算結果!D388),"",計算結果!D388))</f>
        <v>L</v>
      </c>
      <c r="E388" s="10" t="str">
        <f>IF(IF(ISNA(計算結果!E388),"",計算結果!E388)=0,"",IF(ISNA(計算結果!E388),"",計算結果!E388))</f>
        <v/>
      </c>
      <c r="F388" s="10" t="str">
        <f>IF(IF(ISNA(計算結果!F388),"",計算結果!F388)=0,"",IF(ISNA(計算結果!F388),"",計算結果!F388))</f>
        <v/>
      </c>
      <c r="G388" s="10" t="str">
        <f>IF(IF(ISNA(計算結果!G388),"",計算結果!G388)=0,"",IF(ISNA(計算結果!G388),"",計算結果!G388))</f>
        <v/>
      </c>
      <c r="H388" s="13">
        <f>IF(IF(ISNA(計算結果!H388),"",計算結果!H388)=0,"",IF(ISNA(計算結果!H388),"",計算結果!H388))</f>
        <v>-2</v>
      </c>
      <c r="I388" s="12" t="str">
        <f>IF(IF(ISNA(計算結果!I388),"",計算結果!I388)=0,"",IF(ISNA(計算結果!I388),"",計算結果!I388))</f>
        <v/>
      </c>
      <c r="J388" s="12" t="str">
        <f>IF(IF(ISNA(計算結果!J388),"",計算結果!J388)=0,"",IF(ISNA(計算結果!J388),"",計算結果!J388))</f>
        <v/>
      </c>
      <c r="K388" s="23" t="str">
        <f>IF(IF(ISNA(計算結果!K388),"",計算結果!K388)=0,"",IF(ISNA(計算結果!K388),"",計算結果!K388))</f>
        <v/>
      </c>
      <c r="L388" s="13" t="str">
        <f>IF(IF(ISNA(計算結果!L388),"",計算結果!L388)=0,"",IF(ISNA(計算結果!L388),"",計算結果!L388))</f>
        <v/>
      </c>
      <c r="M388" s="10" t="str">
        <f>IF(IF(ISNA(計算結果!M388),"",計算結果!M388)=0,"",IF(ISNA(計算結果!M388),"",計算結果!M388))</f>
        <v/>
      </c>
      <c r="N388" s="10" t="str">
        <f>IF(IF(ISNA(計算結果!N388),"",計算結果!N388)=0,"",IF(ISNA(計算結果!N388),"",計算結果!N388))</f>
        <v/>
      </c>
      <c r="O388" s="13" t="str">
        <f>IF(IF(ISNA(計算結果!O388),"",計算結果!O388)=0,"",IF(ISNA(計算結果!O388),"",計算結果!O388))</f>
        <v/>
      </c>
      <c r="P388" s="10" t="str">
        <f>IF(IF(ISNA(計算結果!P388),"",計算結果!P388)=0,"",IF(ISNA(計算結果!P388),"",計算結果!P388))</f>
        <v/>
      </c>
      <c r="Q388" s="10" t="str">
        <f>IF(IF(ISNA(計算結果!Q388),"",計算結果!Q388)=0,"",IF(ISNA(計算結果!Q388),"",計算結果!Q388))</f>
        <v/>
      </c>
      <c r="R388" s="14" t="str">
        <f t="shared" si="18"/>
        <v/>
      </c>
      <c r="S388" s="14" t="str">
        <f t="shared" si="19"/>
        <v>◯</v>
      </c>
      <c r="T388" s="14" t="str">
        <f t="shared" si="20"/>
        <v/>
      </c>
    </row>
    <row r="389" spans="1:20" hidden="1" x14ac:dyDescent="0.45">
      <c r="A389" s="10" t="str">
        <f>IF(IF(ISNA(計算結果!A389),"",計算結果!A389)=0,"",IF(ISNA(計算結果!A389),"",計算結果!A389))</f>
        <v/>
      </c>
      <c r="B389" s="10" t="str">
        <f>IF(IF(ISNA(計算結果!B389),"",計算結果!B389)=0,"",IF(ISNA(計算結果!B389),"",計算結果!B389))</f>
        <v/>
      </c>
      <c r="C389" s="10" t="str">
        <f>IF(IF(ISNA(計算結果!C389),"",計算結果!C389)=0,"",IF(ISNA(計算結果!C389),"",計算結果!C389))</f>
        <v/>
      </c>
      <c r="D389" s="10" t="str">
        <f>IF(IF(ISNA(計算結果!D389),"",計算結果!D389)=0,"",IF(ISNA(計算結果!D389),"",計算結果!D389))</f>
        <v>L</v>
      </c>
      <c r="E389" s="10" t="str">
        <f>IF(IF(ISNA(計算結果!E389),"",計算結果!E389)=0,"",IF(ISNA(計算結果!E389),"",計算結果!E389))</f>
        <v/>
      </c>
      <c r="F389" s="10" t="str">
        <f>IF(IF(ISNA(計算結果!F389),"",計算結果!F389)=0,"",IF(ISNA(計算結果!F389),"",計算結果!F389))</f>
        <v/>
      </c>
      <c r="G389" s="10" t="str">
        <f>IF(IF(ISNA(計算結果!G389),"",計算結果!G389)=0,"",IF(ISNA(計算結果!G389),"",計算結果!G389))</f>
        <v/>
      </c>
      <c r="H389" s="13">
        <f>IF(IF(ISNA(計算結果!H389),"",計算結果!H389)=0,"",IF(ISNA(計算結果!H389),"",計算結果!H389))</f>
        <v>-2</v>
      </c>
      <c r="I389" s="12" t="str">
        <f>IF(IF(ISNA(計算結果!I389),"",計算結果!I389)=0,"",IF(ISNA(計算結果!I389),"",計算結果!I389))</f>
        <v/>
      </c>
      <c r="J389" s="12" t="str">
        <f>IF(IF(ISNA(計算結果!J389),"",計算結果!J389)=0,"",IF(ISNA(計算結果!J389),"",計算結果!J389))</f>
        <v/>
      </c>
      <c r="K389" s="23" t="str">
        <f>IF(IF(ISNA(計算結果!K389),"",計算結果!K389)=0,"",IF(ISNA(計算結果!K389),"",計算結果!K389))</f>
        <v/>
      </c>
      <c r="L389" s="13" t="str">
        <f>IF(IF(ISNA(計算結果!L389),"",計算結果!L389)=0,"",IF(ISNA(計算結果!L389),"",計算結果!L389))</f>
        <v/>
      </c>
      <c r="M389" s="10" t="str">
        <f>IF(IF(ISNA(計算結果!M389),"",計算結果!M389)=0,"",IF(ISNA(計算結果!M389),"",計算結果!M389))</f>
        <v/>
      </c>
      <c r="N389" s="10" t="str">
        <f>IF(IF(ISNA(計算結果!N389),"",計算結果!N389)=0,"",IF(ISNA(計算結果!N389),"",計算結果!N389))</f>
        <v/>
      </c>
      <c r="O389" s="13" t="str">
        <f>IF(IF(ISNA(計算結果!O389),"",計算結果!O389)=0,"",IF(ISNA(計算結果!O389),"",計算結果!O389))</f>
        <v/>
      </c>
      <c r="P389" s="10" t="str">
        <f>IF(IF(ISNA(計算結果!P389),"",計算結果!P389)=0,"",IF(ISNA(計算結果!P389),"",計算結果!P389))</f>
        <v/>
      </c>
      <c r="Q389" s="10" t="str">
        <f>IF(IF(ISNA(計算結果!Q389),"",計算結果!Q389)=0,"",IF(ISNA(計算結果!Q389),"",計算結果!Q389))</f>
        <v/>
      </c>
      <c r="R389" s="14" t="str">
        <f t="shared" si="18"/>
        <v/>
      </c>
      <c r="S389" s="14" t="str">
        <f t="shared" si="19"/>
        <v>◯</v>
      </c>
      <c r="T389" s="14" t="str">
        <f t="shared" si="20"/>
        <v/>
      </c>
    </row>
    <row r="390" spans="1:20" hidden="1" x14ac:dyDescent="0.45">
      <c r="A390" s="10" t="str">
        <f>IF(IF(ISNA(計算結果!A390),"",計算結果!A390)=0,"",IF(ISNA(計算結果!A390),"",計算結果!A390))</f>
        <v/>
      </c>
      <c r="B390" s="10" t="str">
        <f>IF(IF(ISNA(計算結果!B390),"",計算結果!B390)=0,"",IF(ISNA(計算結果!B390),"",計算結果!B390))</f>
        <v/>
      </c>
      <c r="C390" s="10" t="str">
        <f>IF(IF(ISNA(計算結果!C390),"",計算結果!C390)=0,"",IF(ISNA(計算結果!C390),"",計算結果!C390))</f>
        <v/>
      </c>
      <c r="D390" s="10" t="str">
        <f>IF(IF(ISNA(計算結果!D390),"",計算結果!D390)=0,"",IF(ISNA(計算結果!D390),"",計算結果!D390))</f>
        <v>L</v>
      </c>
      <c r="E390" s="10" t="str">
        <f>IF(IF(ISNA(計算結果!E390),"",計算結果!E390)=0,"",IF(ISNA(計算結果!E390),"",計算結果!E390))</f>
        <v/>
      </c>
      <c r="F390" s="10" t="str">
        <f>IF(IF(ISNA(計算結果!F390),"",計算結果!F390)=0,"",IF(ISNA(計算結果!F390),"",計算結果!F390))</f>
        <v/>
      </c>
      <c r="G390" s="10" t="str">
        <f>IF(IF(ISNA(計算結果!G390),"",計算結果!G390)=0,"",IF(ISNA(計算結果!G390),"",計算結果!G390))</f>
        <v/>
      </c>
      <c r="H390" s="13">
        <f>IF(IF(ISNA(計算結果!H390),"",計算結果!H390)=0,"",IF(ISNA(計算結果!H390),"",計算結果!H390))</f>
        <v>-2</v>
      </c>
      <c r="I390" s="12" t="str">
        <f>IF(IF(ISNA(計算結果!I390),"",計算結果!I390)=0,"",IF(ISNA(計算結果!I390),"",計算結果!I390))</f>
        <v/>
      </c>
      <c r="J390" s="12" t="str">
        <f>IF(IF(ISNA(計算結果!J390),"",計算結果!J390)=0,"",IF(ISNA(計算結果!J390),"",計算結果!J390))</f>
        <v/>
      </c>
      <c r="K390" s="23" t="str">
        <f>IF(IF(ISNA(計算結果!K390),"",計算結果!K390)=0,"",IF(ISNA(計算結果!K390),"",計算結果!K390))</f>
        <v/>
      </c>
      <c r="L390" s="13" t="str">
        <f>IF(IF(ISNA(計算結果!L390),"",計算結果!L390)=0,"",IF(ISNA(計算結果!L390),"",計算結果!L390))</f>
        <v/>
      </c>
      <c r="M390" s="10" t="str">
        <f>IF(IF(ISNA(計算結果!M390),"",計算結果!M390)=0,"",IF(ISNA(計算結果!M390),"",計算結果!M390))</f>
        <v/>
      </c>
      <c r="N390" s="10" t="str">
        <f>IF(IF(ISNA(計算結果!N390),"",計算結果!N390)=0,"",IF(ISNA(計算結果!N390),"",計算結果!N390))</f>
        <v/>
      </c>
      <c r="O390" s="13" t="str">
        <f>IF(IF(ISNA(計算結果!O390),"",計算結果!O390)=0,"",IF(ISNA(計算結果!O390),"",計算結果!O390))</f>
        <v/>
      </c>
      <c r="P390" s="10" t="str">
        <f>IF(IF(ISNA(計算結果!P390),"",計算結果!P390)=0,"",IF(ISNA(計算結果!P390),"",計算結果!P390))</f>
        <v/>
      </c>
      <c r="Q390" s="10" t="str">
        <f>IF(IF(ISNA(計算結果!Q390),"",計算結果!Q390)=0,"",IF(ISNA(計算結果!Q390),"",計算結果!Q390))</f>
        <v/>
      </c>
      <c r="R390" s="14" t="str">
        <f t="shared" si="18"/>
        <v/>
      </c>
      <c r="S390" s="14" t="str">
        <f t="shared" si="19"/>
        <v>◯</v>
      </c>
      <c r="T390" s="14" t="str">
        <f t="shared" si="20"/>
        <v/>
      </c>
    </row>
    <row r="391" spans="1:20" hidden="1" x14ac:dyDescent="0.45">
      <c r="A391" s="10" t="str">
        <f>IF(IF(ISNA(計算結果!A391),"",計算結果!A391)=0,"",IF(ISNA(計算結果!A391),"",計算結果!A391))</f>
        <v/>
      </c>
      <c r="B391" s="10" t="str">
        <f>IF(IF(ISNA(計算結果!B391),"",計算結果!B391)=0,"",IF(ISNA(計算結果!B391),"",計算結果!B391))</f>
        <v/>
      </c>
      <c r="C391" s="10" t="str">
        <f>IF(IF(ISNA(計算結果!C391),"",計算結果!C391)=0,"",IF(ISNA(計算結果!C391),"",計算結果!C391))</f>
        <v/>
      </c>
      <c r="D391" s="10" t="str">
        <f>IF(IF(ISNA(計算結果!D391),"",計算結果!D391)=0,"",IF(ISNA(計算結果!D391),"",計算結果!D391))</f>
        <v>L</v>
      </c>
      <c r="E391" s="10" t="str">
        <f>IF(IF(ISNA(計算結果!E391),"",計算結果!E391)=0,"",IF(ISNA(計算結果!E391),"",計算結果!E391))</f>
        <v/>
      </c>
      <c r="F391" s="10" t="str">
        <f>IF(IF(ISNA(計算結果!F391),"",計算結果!F391)=0,"",IF(ISNA(計算結果!F391),"",計算結果!F391))</f>
        <v/>
      </c>
      <c r="G391" s="10" t="str">
        <f>IF(IF(ISNA(計算結果!G391),"",計算結果!G391)=0,"",IF(ISNA(計算結果!G391),"",計算結果!G391))</f>
        <v/>
      </c>
      <c r="H391" s="13">
        <f>IF(IF(ISNA(計算結果!H391),"",計算結果!H391)=0,"",IF(ISNA(計算結果!H391),"",計算結果!H391))</f>
        <v>-2</v>
      </c>
      <c r="I391" s="12" t="str">
        <f>IF(IF(ISNA(計算結果!I391),"",計算結果!I391)=0,"",IF(ISNA(計算結果!I391),"",計算結果!I391))</f>
        <v/>
      </c>
      <c r="J391" s="12" t="str">
        <f>IF(IF(ISNA(計算結果!J391),"",計算結果!J391)=0,"",IF(ISNA(計算結果!J391),"",計算結果!J391))</f>
        <v/>
      </c>
      <c r="K391" s="23" t="str">
        <f>IF(IF(ISNA(計算結果!K391),"",計算結果!K391)=0,"",IF(ISNA(計算結果!K391),"",計算結果!K391))</f>
        <v/>
      </c>
      <c r="L391" s="13" t="str">
        <f>IF(IF(ISNA(計算結果!L391),"",計算結果!L391)=0,"",IF(ISNA(計算結果!L391),"",計算結果!L391))</f>
        <v/>
      </c>
      <c r="M391" s="10" t="str">
        <f>IF(IF(ISNA(計算結果!M391),"",計算結果!M391)=0,"",IF(ISNA(計算結果!M391),"",計算結果!M391))</f>
        <v/>
      </c>
      <c r="N391" s="10" t="str">
        <f>IF(IF(ISNA(計算結果!N391),"",計算結果!N391)=0,"",IF(ISNA(計算結果!N391),"",計算結果!N391))</f>
        <v/>
      </c>
      <c r="O391" s="13" t="str">
        <f>IF(IF(ISNA(計算結果!O391),"",計算結果!O391)=0,"",IF(ISNA(計算結果!O391),"",計算結果!O391))</f>
        <v/>
      </c>
      <c r="P391" s="10" t="str">
        <f>IF(IF(ISNA(計算結果!P391),"",計算結果!P391)=0,"",IF(ISNA(計算結果!P391),"",計算結果!P391))</f>
        <v/>
      </c>
      <c r="Q391" s="10" t="str">
        <f>IF(IF(ISNA(計算結果!Q391),"",計算結果!Q391)=0,"",IF(ISNA(計算結果!Q391),"",計算結果!Q391))</f>
        <v/>
      </c>
      <c r="R391" s="14" t="str">
        <f t="shared" si="18"/>
        <v/>
      </c>
      <c r="S391" s="14" t="str">
        <f t="shared" si="19"/>
        <v>◯</v>
      </c>
      <c r="T391" s="14" t="str">
        <f t="shared" si="20"/>
        <v/>
      </c>
    </row>
    <row r="392" spans="1:20" hidden="1" x14ac:dyDescent="0.45">
      <c r="A392" s="10" t="str">
        <f>IF(IF(ISNA(計算結果!A392),"",計算結果!A392)=0,"",IF(ISNA(計算結果!A392),"",計算結果!A392))</f>
        <v/>
      </c>
      <c r="B392" s="10" t="str">
        <f>IF(IF(ISNA(計算結果!B392),"",計算結果!B392)=0,"",IF(ISNA(計算結果!B392),"",計算結果!B392))</f>
        <v/>
      </c>
      <c r="C392" s="10" t="str">
        <f>IF(IF(ISNA(計算結果!C392),"",計算結果!C392)=0,"",IF(ISNA(計算結果!C392),"",計算結果!C392))</f>
        <v/>
      </c>
      <c r="D392" s="10" t="str">
        <f>IF(IF(ISNA(計算結果!D392),"",計算結果!D392)=0,"",IF(ISNA(計算結果!D392),"",計算結果!D392))</f>
        <v>L</v>
      </c>
      <c r="E392" s="10" t="str">
        <f>IF(IF(ISNA(計算結果!E392),"",計算結果!E392)=0,"",IF(ISNA(計算結果!E392),"",計算結果!E392))</f>
        <v/>
      </c>
      <c r="F392" s="10" t="str">
        <f>IF(IF(ISNA(計算結果!F392),"",計算結果!F392)=0,"",IF(ISNA(計算結果!F392),"",計算結果!F392))</f>
        <v/>
      </c>
      <c r="G392" s="10" t="str">
        <f>IF(IF(ISNA(計算結果!G392),"",計算結果!G392)=0,"",IF(ISNA(計算結果!G392),"",計算結果!G392))</f>
        <v/>
      </c>
      <c r="H392" s="13">
        <f>IF(IF(ISNA(計算結果!H392),"",計算結果!H392)=0,"",IF(ISNA(計算結果!H392),"",計算結果!H392))</f>
        <v>-2</v>
      </c>
      <c r="I392" s="12" t="str">
        <f>IF(IF(ISNA(計算結果!I392),"",計算結果!I392)=0,"",IF(ISNA(計算結果!I392),"",計算結果!I392))</f>
        <v/>
      </c>
      <c r="J392" s="12" t="str">
        <f>IF(IF(ISNA(計算結果!J392),"",計算結果!J392)=0,"",IF(ISNA(計算結果!J392),"",計算結果!J392))</f>
        <v/>
      </c>
      <c r="K392" s="23" t="str">
        <f>IF(IF(ISNA(計算結果!K392),"",計算結果!K392)=0,"",IF(ISNA(計算結果!K392),"",計算結果!K392))</f>
        <v/>
      </c>
      <c r="L392" s="13" t="str">
        <f>IF(IF(ISNA(計算結果!L392),"",計算結果!L392)=0,"",IF(ISNA(計算結果!L392),"",計算結果!L392))</f>
        <v/>
      </c>
      <c r="M392" s="10" t="str">
        <f>IF(IF(ISNA(計算結果!M392),"",計算結果!M392)=0,"",IF(ISNA(計算結果!M392),"",計算結果!M392))</f>
        <v/>
      </c>
      <c r="N392" s="10" t="str">
        <f>IF(IF(ISNA(計算結果!N392),"",計算結果!N392)=0,"",IF(ISNA(計算結果!N392),"",計算結果!N392))</f>
        <v/>
      </c>
      <c r="O392" s="13" t="str">
        <f>IF(IF(ISNA(計算結果!O392),"",計算結果!O392)=0,"",IF(ISNA(計算結果!O392),"",計算結果!O392))</f>
        <v/>
      </c>
      <c r="P392" s="10" t="str">
        <f>IF(IF(ISNA(計算結果!P392),"",計算結果!P392)=0,"",IF(ISNA(計算結果!P392),"",計算結果!P392))</f>
        <v/>
      </c>
      <c r="Q392" s="10" t="str">
        <f>IF(IF(ISNA(計算結果!Q392),"",計算結果!Q392)=0,"",IF(ISNA(計算結果!Q392),"",計算結果!Q392))</f>
        <v/>
      </c>
      <c r="R392" s="14" t="str">
        <f t="shared" si="18"/>
        <v/>
      </c>
      <c r="S392" s="14" t="str">
        <f t="shared" si="19"/>
        <v>◯</v>
      </c>
      <c r="T392" s="14" t="str">
        <f t="shared" si="20"/>
        <v/>
      </c>
    </row>
    <row r="393" spans="1:20" hidden="1" x14ac:dyDescent="0.45">
      <c r="A393" s="10" t="str">
        <f>IF(IF(ISNA(計算結果!A393),"",計算結果!A393)=0,"",IF(ISNA(計算結果!A393),"",計算結果!A393))</f>
        <v/>
      </c>
      <c r="B393" s="10" t="str">
        <f>IF(IF(ISNA(計算結果!B393),"",計算結果!B393)=0,"",IF(ISNA(計算結果!B393),"",計算結果!B393))</f>
        <v/>
      </c>
      <c r="C393" s="10" t="str">
        <f>IF(IF(ISNA(計算結果!C393),"",計算結果!C393)=0,"",IF(ISNA(計算結果!C393),"",計算結果!C393))</f>
        <v/>
      </c>
      <c r="D393" s="10" t="str">
        <f>IF(IF(ISNA(計算結果!D393),"",計算結果!D393)=0,"",IF(ISNA(計算結果!D393),"",計算結果!D393))</f>
        <v>L</v>
      </c>
      <c r="E393" s="10" t="str">
        <f>IF(IF(ISNA(計算結果!E393),"",計算結果!E393)=0,"",IF(ISNA(計算結果!E393),"",計算結果!E393))</f>
        <v/>
      </c>
      <c r="F393" s="10" t="str">
        <f>IF(IF(ISNA(計算結果!F393),"",計算結果!F393)=0,"",IF(ISNA(計算結果!F393),"",計算結果!F393))</f>
        <v/>
      </c>
      <c r="G393" s="10" t="str">
        <f>IF(IF(ISNA(計算結果!G393),"",計算結果!G393)=0,"",IF(ISNA(計算結果!G393),"",計算結果!G393))</f>
        <v/>
      </c>
      <c r="H393" s="13">
        <f>IF(IF(ISNA(計算結果!H393),"",計算結果!H393)=0,"",IF(ISNA(計算結果!H393),"",計算結果!H393))</f>
        <v>-2</v>
      </c>
      <c r="I393" s="12" t="str">
        <f>IF(IF(ISNA(計算結果!I393),"",計算結果!I393)=0,"",IF(ISNA(計算結果!I393),"",計算結果!I393))</f>
        <v/>
      </c>
      <c r="J393" s="12" t="str">
        <f>IF(IF(ISNA(計算結果!J393),"",計算結果!J393)=0,"",IF(ISNA(計算結果!J393),"",計算結果!J393))</f>
        <v/>
      </c>
      <c r="K393" s="23" t="str">
        <f>IF(IF(ISNA(計算結果!K393),"",計算結果!K393)=0,"",IF(ISNA(計算結果!K393),"",計算結果!K393))</f>
        <v/>
      </c>
      <c r="L393" s="13" t="str">
        <f>IF(IF(ISNA(計算結果!L393),"",計算結果!L393)=0,"",IF(ISNA(計算結果!L393),"",計算結果!L393))</f>
        <v/>
      </c>
      <c r="M393" s="10" t="str">
        <f>IF(IF(ISNA(計算結果!M393),"",計算結果!M393)=0,"",IF(ISNA(計算結果!M393),"",計算結果!M393))</f>
        <v/>
      </c>
      <c r="N393" s="10" t="str">
        <f>IF(IF(ISNA(計算結果!N393),"",計算結果!N393)=0,"",IF(ISNA(計算結果!N393),"",計算結果!N393))</f>
        <v/>
      </c>
      <c r="O393" s="13" t="str">
        <f>IF(IF(ISNA(計算結果!O393),"",計算結果!O393)=0,"",IF(ISNA(計算結果!O393),"",計算結果!O393))</f>
        <v/>
      </c>
      <c r="P393" s="10" t="str">
        <f>IF(IF(ISNA(計算結果!P393),"",計算結果!P393)=0,"",IF(ISNA(計算結果!P393),"",計算結果!P393))</f>
        <v/>
      </c>
      <c r="Q393" s="10" t="str">
        <f>IF(IF(ISNA(計算結果!Q393),"",計算結果!Q393)=0,"",IF(ISNA(計算結果!Q393),"",計算結果!Q393))</f>
        <v/>
      </c>
      <c r="R393" s="14" t="str">
        <f t="shared" si="18"/>
        <v/>
      </c>
      <c r="S393" s="14" t="str">
        <f t="shared" si="19"/>
        <v>◯</v>
      </c>
      <c r="T393" s="14" t="str">
        <f t="shared" si="20"/>
        <v/>
      </c>
    </row>
    <row r="394" spans="1:20" hidden="1" x14ac:dyDescent="0.45">
      <c r="A394" s="10" t="str">
        <f>IF(IF(ISNA(計算結果!A394),"",計算結果!A394)=0,"",IF(ISNA(計算結果!A394),"",計算結果!A394))</f>
        <v/>
      </c>
      <c r="B394" s="10" t="str">
        <f>IF(IF(ISNA(計算結果!B394),"",計算結果!B394)=0,"",IF(ISNA(計算結果!B394),"",計算結果!B394))</f>
        <v/>
      </c>
      <c r="C394" s="10" t="str">
        <f>IF(IF(ISNA(計算結果!C394),"",計算結果!C394)=0,"",IF(ISNA(計算結果!C394),"",計算結果!C394))</f>
        <v/>
      </c>
      <c r="D394" s="10" t="str">
        <f>IF(IF(ISNA(計算結果!D394),"",計算結果!D394)=0,"",IF(ISNA(計算結果!D394),"",計算結果!D394))</f>
        <v>L</v>
      </c>
      <c r="E394" s="10" t="str">
        <f>IF(IF(ISNA(計算結果!E394),"",計算結果!E394)=0,"",IF(ISNA(計算結果!E394),"",計算結果!E394))</f>
        <v/>
      </c>
      <c r="F394" s="10" t="str">
        <f>IF(IF(ISNA(計算結果!F394),"",計算結果!F394)=0,"",IF(ISNA(計算結果!F394),"",計算結果!F394))</f>
        <v/>
      </c>
      <c r="G394" s="10" t="str">
        <f>IF(IF(ISNA(計算結果!G394),"",計算結果!G394)=0,"",IF(ISNA(計算結果!G394),"",計算結果!G394))</f>
        <v/>
      </c>
      <c r="H394" s="13">
        <f>IF(IF(ISNA(計算結果!H394),"",計算結果!H394)=0,"",IF(ISNA(計算結果!H394),"",計算結果!H394))</f>
        <v>-2</v>
      </c>
      <c r="I394" s="12" t="str">
        <f>IF(IF(ISNA(計算結果!I394),"",計算結果!I394)=0,"",IF(ISNA(計算結果!I394),"",計算結果!I394))</f>
        <v/>
      </c>
      <c r="J394" s="12" t="str">
        <f>IF(IF(ISNA(計算結果!J394),"",計算結果!J394)=0,"",IF(ISNA(計算結果!J394),"",計算結果!J394))</f>
        <v/>
      </c>
      <c r="K394" s="23" t="str">
        <f>IF(IF(ISNA(計算結果!K394),"",計算結果!K394)=0,"",IF(ISNA(計算結果!K394),"",計算結果!K394))</f>
        <v/>
      </c>
      <c r="L394" s="13" t="str">
        <f>IF(IF(ISNA(計算結果!L394),"",計算結果!L394)=0,"",IF(ISNA(計算結果!L394),"",計算結果!L394))</f>
        <v/>
      </c>
      <c r="M394" s="10" t="str">
        <f>IF(IF(ISNA(計算結果!M394),"",計算結果!M394)=0,"",IF(ISNA(計算結果!M394),"",計算結果!M394))</f>
        <v/>
      </c>
      <c r="N394" s="10" t="str">
        <f>IF(IF(ISNA(計算結果!N394),"",計算結果!N394)=0,"",IF(ISNA(計算結果!N394),"",計算結果!N394))</f>
        <v/>
      </c>
      <c r="O394" s="13" t="str">
        <f>IF(IF(ISNA(計算結果!O394),"",計算結果!O394)=0,"",IF(ISNA(計算結果!O394),"",計算結果!O394))</f>
        <v/>
      </c>
      <c r="P394" s="10" t="str">
        <f>IF(IF(ISNA(計算結果!P394),"",計算結果!P394)=0,"",IF(ISNA(計算結果!P394),"",計算結果!P394))</f>
        <v/>
      </c>
      <c r="Q394" s="10" t="str">
        <f>IF(IF(ISNA(計算結果!Q394),"",計算結果!Q394)=0,"",IF(ISNA(計算結果!Q394),"",計算結果!Q394))</f>
        <v/>
      </c>
      <c r="R394" s="14" t="str">
        <f t="shared" si="18"/>
        <v/>
      </c>
      <c r="S394" s="14" t="str">
        <f t="shared" si="19"/>
        <v>◯</v>
      </c>
      <c r="T394" s="14" t="str">
        <f t="shared" si="20"/>
        <v/>
      </c>
    </row>
    <row r="395" spans="1:20" hidden="1" x14ac:dyDescent="0.45">
      <c r="A395" s="10" t="str">
        <f>IF(IF(ISNA(計算結果!A395),"",計算結果!A395)=0,"",IF(ISNA(計算結果!A395),"",計算結果!A395))</f>
        <v/>
      </c>
      <c r="B395" s="10" t="str">
        <f>IF(IF(ISNA(計算結果!B395),"",計算結果!B395)=0,"",IF(ISNA(計算結果!B395),"",計算結果!B395))</f>
        <v/>
      </c>
      <c r="C395" s="10" t="str">
        <f>IF(IF(ISNA(計算結果!C395),"",計算結果!C395)=0,"",IF(ISNA(計算結果!C395),"",計算結果!C395))</f>
        <v/>
      </c>
      <c r="D395" s="10" t="str">
        <f>IF(IF(ISNA(計算結果!D395),"",計算結果!D395)=0,"",IF(ISNA(計算結果!D395),"",計算結果!D395))</f>
        <v>L</v>
      </c>
      <c r="E395" s="10" t="str">
        <f>IF(IF(ISNA(計算結果!E395),"",計算結果!E395)=0,"",IF(ISNA(計算結果!E395),"",計算結果!E395))</f>
        <v/>
      </c>
      <c r="F395" s="10" t="str">
        <f>IF(IF(ISNA(計算結果!F395),"",計算結果!F395)=0,"",IF(ISNA(計算結果!F395),"",計算結果!F395))</f>
        <v/>
      </c>
      <c r="G395" s="10" t="str">
        <f>IF(IF(ISNA(計算結果!G395),"",計算結果!G395)=0,"",IF(ISNA(計算結果!G395),"",計算結果!G395))</f>
        <v/>
      </c>
      <c r="H395" s="13">
        <f>IF(IF(ISNA(計算結果!H395),"",計算結果!H395)=0,"",IF(ISNA(計算結果!H395),"",計算結果!H395))</f>
        <v>-2</v>
      </c>
      <c r="I395" s="12" t="str">
        <f>IF(IF(ISNA(計算結果!I395),"",計算結果!I395)=0,"",IF(ISNA(計算結果!I395),"",計算結果!I395))</f>
        <v/>
      </c>
      <c r="J395" s="12" t="str">
        <f>IF(IF(ISNA(計算結果!J395),"",計算結果!J395)=0,"",IF(ISNA(計算結果!J395),"",計算結果!J395))</f>
        <v/>
      </c>
      <c r="K395" s="23" t="str">
        <f>IF(IF(ISNA(計算結果!K395),"",計算結果!K395)=0,"",IF(ISNA(計算結果!K395),"",計算結果!K395))</f>
        <v/>
      </c>
      <c r="L395" s="13" t="str">
        <f>IF(IF(ISNA(計算結果!L395),"",計算結果!L395)=0,"",IF(ISNA(計算結果!L395),"",計算結果!L395))</f>
        <v/>
      </c>
      <c r="M395" s="10" t="str">
        <f>IF(IF(ISNA(計算結果!M395),"",計算結果!M395)=0,"",IF(ISNA(計算結果!M395),"",計算結果!M395))</f>
        <v/>
      </c>
      <c r="N395" s="10" t="str">
        <f>IF(IF(ISNA(計算結果!N395),"",計算結果!N395)=0,"",IF(ISNA(計算結果!N395),"",計算結果!N395))</f>
        <v/>
      </c>
      <c r="O395" s="13" t="str">
        <f>IF(IF(ISNA(計算結果!O395),"",計算結果!O395)=0,"",IF(ISNA(計算結果!O395),"",計算結果!O395))</f>
        <v/>
      </c>
      <c r="P395" s="10" t="str">
        <f>IF(IF(ISNA(計算結果!P395),"",計算結果!P395)=0,"",IF(ISNA(計算結果!P395),"",計算結果!P395))</f>
        <v/>
      </c>
      <c r="Q395" s="10" t="str">
        <f>IF(IF(ISNA(計算結果!Q395),"",計算結果!Q395)=0,"",IF(ISNA(計算結果!Q395),"",計算結果!Q395))</f>
        <v/>
      </c>
      <c r="R395" s="14" t="str">
        <f t="shared" si="18"/>
        <v/>
      </c>
      <c r="S395" s="14" t="str">
        <f t="shared" si="19"/>
        <v>◯</v>
      </c>
      <c r="T395" s="14" t="str">
        <f t="shared" si="20"/>
        <v/>
      </c>
    </row>
    <row r="396" spans="1:20" hidden="1" x14ac:dyDescent="0.45">
      <c r="A396" s="10" t="str">
        <f>IF(IF(ISNA(計算結果!A396),"",計算結果!A396)=0,"",IF(ISNA(計算結果!A396),"",計算結果!A396))</f>
        <v/>
      </c>
      <c r="B396" s="10" t="str">
        <f>IF(IF(ISNA(計算結果!B396),"",計算結果!B396)=0,"",IF(ISNA(計算結果!B396),"",計算結果!B396))</f>
        <v/>
      </c>
      <c r="C396" s="10" t="str">
        <f>IF(IF(ISNA(計算結果!C396),"",計算結果!C396)=0,"",IF(ISNA(計算結果!C396),"",計算結果!C396))</f>
        <v/>
      </c>
      <c r="D396" s="10" t="str">
        <f>IF(IF(ISNA(計算結果!D396),"",計算結果!D396)=0,"",IF(ISNA(計算結果!D396),"",計算結果!D396))</f>
        <v>L</v>
      </c>
      <c r="E396" s="10" t="str">
        <f>IF(IF(ISNA(計算結果!E396),"",計算結果!E396)=0,"",IF(ISNA(計算結果!E396),"",計算結果!E396))</f>
        <v/>
      </c>
      <c r="F396" s="10" t="str">
        <f>IF(IF(ISNA(計算結果!F396),"",計算結果!F396)=0,"",IF(ISNA(計算結果!F396),"",計算結果!F396))</f>
        <v/>
      </c>
      <c r="G396" s="10" t="str">
        <f>IF(IF(ISNA(計算結果!G396),"",計算結果!G396)=0,"",IF(ISNA(計算結果!G396),"",計算結果!G396))</f>
        <v/>
      </c>
      <c r="H396" s="13">
        <f>IF(IF(ISNA(計算結果!H396),"",計算結果!H396)=0,"",IF(ISNA(計算結果!H396),"",計算結果!H396))</f>
        <v>-2</v>
      </c>
      <c r="I396" s="12" t="str">
        <f>IF(IF(ISNA(計算結果!I396),"",計算結果!I396)=0,"",IF(ISNA(計算結果!I396),"",計算結果!I396))</f>
        <v/>
      </c>
      <c r="J396" s="12" t="str">
        <f>IF(IF(ISNA(計算結果!J396),"",計算結果!J396)=0,"",IF(ISNA(計算結果!J396),"",計算結果!J396))</f>
        <v/>
      </c>
      <c r="K396" s="23" t="str">
        <f>IF(IF(ISNA(計算結果!K396),"",計算結果!K396)=0,"",IF(ISNA(計算結果!K396),"",計算結果!K396))</f>
        <v/>
      </c>
      <c r="L396" s="13" t="str">
        <f>IF(IF(ISNA(計算結果!L396),"",計算結果!L396)=0,"",IF(ISNA(計算結果!L396),"",計算結果!L396))</f>
        <v/>
      </c>
      <c r="M396" s="10" t="str">
        <f>IF(IF(ISNA(計算結果!M396),"",計算結果!M396)=0,"",IF(ISNA(計算結果!M396),"",計算結果!M396))</f>
        <v/>
      </c>
      <c r="N396" s="10" t="str">
        <f>IF(IF(ISNA(計算結果!N396),"",計算結果!N396)=0,"",IF(ISNA(計算結果!N396),"",計算結果!N396))</f>
        <v/>
      </c>
      <c r="O396" s="13" t="str">
        <f>IF(IF(ISNA(計算結果!O396),"",計算結果!O396)=0,"",IF(ISNA(計算結果!O396),"",計算結果!O396))</f>
        <v/>
      </c>
      <c r="P396" s="10" t="str">
        <f>IF(IF(ISNA(計算結果!P396),"",計算結果!P396)=0,"",IF(ISNA(計算結果!P396),"",計算結果!P396))</f>
        <v/>
      </c>
      <c r="Q396" s="10" t="str">
        <f>IF(IF(ISNA(計算結果!Q396),"",計算結果!Q396)=0,"",IF(ISNA(計算結果!Q396),"",計算結果!Q396))</f>
        <v/>
      </c>
      <c r="R396" s="14" t="str">
        <f t="shared" si="18"/>
        <v/>
      </c>
      <c r="S396" s="14" t="str">
        <f t="shared" si="19"/>
        <v>◯</v>
      </c>
      <c r="T396" s="14" t="str">
        <f t="shared" si="20"/>
        <v/>
      </c>
    </row>
    <row r="397" spans="1:20" hidden="1" x14ac:dyDescent="0.45">
      <c r="A397" s="10" t="str">
        <f>IF(IF(ISNA(計算結果!A397),"",計算結果!A397)=0,"",IF(ISNA(計算結果!A397),"",計算結果!A397))</f>
        <v/>
      </c>
      <c r="B397" s="10" t="str">
        <f>IF(IF(ISNA(計算結果!B397),"",計算結果!B397)=0,"",IF(ISNA(計算結果!B397),"",計算結果!B397))</f>
        <v/>
      </c>
      <c r="C397" s="10" t="str">
        <f>IF(IF(ISNA(計算結果!C397),"",計算結果!C397)=0,"",IF(ISNA(計算結果!C397),"",計算結果!C397))</f>
        <v/>
      </c>
      <c r="D397" s="10" t="str">
        <f>IF(IF(ISNA(計算結果!D397),"",計算結果!D397)=0,"",IF(ISNA(計算結果!D397),"",計算結果!D397))</f>
        <v>L</v>
      </c>
      <c r="E397" s="10" t="str">
        <f>IF(IF(ISNA(計算結果!E397),"",計算結果!E397)=0,"",IF(ISNA(計算結果!E397),"",計算結果!E397))</f>
        <v/>
      </c>
      <c r="F397" s="10" t="str">
        <f>IF(IF(ISNA(計算結果!F397),"",計算結果!F397)=0,"",IF(ISNA(計算結果!F397),"",計算結果!F397))</f>
        <v/>
      </c>
      <c r="G397" s="10" t="str">
        <f>IF(IF(ISNA(計算結果!G397),"",計算結果!G397)=0,"",IF(ISNA(計算結果!G397),"",計算結果!G397))</f>
        <v/>
      </c>
      <c r="H397" s="13">
        <f>IF(IF(ISNA(計算結果!H397),"",計算結果!H397)=0,"",IF(ISNA(計算結果!H397),"",計算結果!H397))</f>
        <v>-2</v>
      </c>
      <c r="I397" s="12" t="str">
        <f>IF(IF(ISNA(計算結果!I397),"",計算結果!I397)=0,"",IF(ISNA(計算結果!I397),"",計算結果!I397))</f>
        <v/>
      </c>
      <c r="J397" s="12" t="str">
        <f>IF(IF(ISNA(計算結果!J397),"",計算結果!J397)=0,"",IF(ISNA(計算結果!J397),"",計算結果!J397))</f>
        <v/>
      </c>
      <c r="K397" s="23" t="str">
        <f>IF(IF(ISNA(計算結果!K397),"",計算結果!K397)=0,"",IF(ISNA(計算結果!K397),"",計算結果!K397))</f>
        <v/>
      </c>
      <c r="L397" s="13" t="str">
        <f>IF(IF(ISNA(計算結果!L397),"",計算結果!L397)=0,"",IF(ISNA(計算結果!L397),"",計算結果!L397))</f>
        <v/>
      </c>
      <c r="M397" s="10" t="str">
        <f>IF(IF(ISNA(計算結果!M397),"",計算結果!M397)=0,"",IF(ISNA(計算結果!M397),"",計算結果!M397))</f>
        <v/>
      </c>
      <c r="N397" s="10" t="str">
        <f>IF(IF(ISNA(計算結果!N397),"",計算結果!N397)=0,"",IF(ISNA(計算結果!N397),"",計算結果!N397))</f>
        <v/>
      </c>
      <c r="O397" s="13" t="str">
        <f>IF(IF(ISNA(計算結果!O397),"",計算結果!O397)=0,"",IF(ISNA(計算結果!O397),"",計算結果!O397))</f>
        <v/>
      </c>
      <c r="P397" s="10" t="str">
        <f>IF(IF(ISNA(計算結果!P397),"",計算結果!P397)=0,"",IF(ISNA(計算結果!P397),"",計算結果!P397))</f>
        <v/>
      </c>
      <c r="Q397" s="10" t="str">
        <f>IF(IF(ISNA(計算結果!Q397),"",計算結果!Q397)=0,"",IF(ISNA(計算結果!Q397),"",計算結果!Q397))</f>
        <v/>
      </c>
      <c r="R397" s="14" t="str">
        <f t="shared" si="18"/>
        <v/>
      </c>
      <c r="S397" s="14" t="str">
        <f t="shared" si="19"/>
        <v>◯</v>
      </c>
      <c r="T397" s="14" t="str">
        <f t="shared" si="20"/>
        <v/>
      </c>
    </row>
    <row r="398" spans="1:20" hidden="1" x14ac:dyDescent="0.45">
      <c r="A398" s="10" t="str">
        <f>IF(IF(ISNA(計算結果!A398),"",計算結果!A398)=0,"",IF(ISNA(計算結果!A398),"",計算結果!A398))</f>
        <v/>
      </c>
      <c r="B398" s="10" t="str">
        <f>IF(IF(ISNA(計算結果!B398),"",計算結果!B398)=0,"",IF(ISNA(計算結果!B398),"",計算結果!B398))</f>
        <v/>
      </c>
      <c r="C398" s="10" t="str">
        <f>IF(IF(ISNA(計算結果!C398),"",計算結果!C398)=0,"",IF(ISNA(計算結果!C398),"",計算結果!C398))</f>
        <v/>
      </c>
      <c r="D398" s="10" t="str">
        <f>IF(IF(ISNA(計算結果!D398),"",計算結果!D398)=0,"",IF(ISNA(計算結果!D398),"",計算結果!D398))</f>
        <v>L</v>
      </c>
      <c r="E398" s="10" t="str">
        <f>IF(IF(ISNA(計算結果!E398),"",計算結果!E398)=0,"",IF(ISNA(計算結果!E398),"",計算結果!E398))</f>
        <v/>
      </c>
      <c r="F398" s="10" t="str">
        <f>IF(IF(ISNA(計算結果!F398),"",計算結果!F398)=0,"",IF(ISNA(計算結果!F398),"",計算結果!F398))</f>
        <v/>
      </c>
      <c r="G398" s="10" t="str">
        <f>IF(IF(ISNA(計算結果!G398),"",計算結果!G398)=0,"",IF(ISNA(計算結果!G398),"",計算結果!G398))</f>
        <v/>
      </c>
      <c r="H398" s="13">
        <f>IF(IF(ISNA(計算結果!H398),"",計算結果!H398)=0,"",IF(ISNA(計算結果!H398),"",計算結果!H398))</f>
        <v>-2</v>
      </c>
      <c r="I398" s="12" t="str">
        <f>IF(IF(ISNA(計算結果!I398),"",計算結果!I398)=0,"",IF(ISNA(計算結果!I398),"",計算結果!I398))</f>
        <v/>
      </c>
      <c r="J398" s="12" t="str">
        <f>IF(IF(ISNA(計算結果!J398),"",計算結果!J398)=0,"",IF(ISNA(計算結果!J398),"",計算結果!J398))</f>
        <v/>
      </c>
      <c r="K398" s="23" t="str">
        <f>IF(IF(ISNA(計算結果!K398),"",計算結果!K398)=0,"",IF(ISNA(計算結果!K398),"",計算結果!K398))</f>
        <v/>
      </c>
      <c r="L398" s="13" t="str">
        <f>IF(IF(ISNA(計算結果!L398),"",計算結果!L398)=0,"",IF(ISNA(計算結果!L398),"",計算結果!L398))</f>
        <v/>
      </c>
      <c r="M398" s="10" t="str">
        <f>IF(IF(ISNA(計算結果!M398),"",計算結果!M398)=0,"",IF(ISNA(計算結果!M398),"",計算結果!M398))</f>
        <v/>
      </c>
      <c r="N398" s="10" t="str">
        <f>IF(IF(ISNA(計算結果!N398),"",計算結果!N398)=0,"",IF(ISNA(計算結果!N398),"",計算結果!N398))</f>
        <v/>
      </c>
      <c r="O398" s="13" t="str">
        <f>IF(IF(ISNA(計算結果!O398),"",計算結果!O398)=0,"",IF(ISNA(計算結果!O398),"",計算結果!O398))</f>
        <v/>
      </c>
      <c r="P398" s="10" t="str">
        <f>IF(IF(ISNA(計算結果!P398),"",計算結果!P398)=0,"",IF(ISNA(計算結果!P398),"",計算結果!P398))</f>
        <v/>
      </c>
      <c r="Q398" s="10" t="str">
        <f>IF(IF(ISNA(計算結果!Q398),"",計算結果!Q398)=0,"",IF(ISNA(計算結果!Q398),"",計算結果!Q398))</f>
        <v/>
      </c>
      <c r="R398" s="14" t="str">
        <f t="shared" si="18"/>
        <v/>
      </c>
      <c r="S398" s="14" t="str">
        <f t="shared" si="19"/>
        <v>◯</v>
      </c>
      <c r="T398" s="14" t="str">
        <f t="shared" si="20"/>
        <v/>
      </c>
    </row>
    <row r="399" spans="1:20" hidden="1" x14ac:dyDescent="0.45">
      <c r="A399" s="10" t="str">
        <f>IF(IF(ISNA(計算結果!A399),"",計算結果!A399)=0,"",IF(ISNA(計算結果!A399),"",計算結果!A399))</f>
        <v/>
      </c>
      <c r="B399" s="10" t="str">
        <f>IF(IF(ISNA(計算結果!B399),"",計算結果!B399)=0,"",IF(ISNA(計算結果!B399),"",計算結果!B399))</f>
        <v/>
      </c>
      <c r="C399" s="10" t="str">
        <f>IF(IF(ISNA(計算結果!C399),"",計算結果!C399)=0,"",IF(ISNA(計算結果!C399),"",計算結果!C399))</f>
        <v/>
      </c>
      <c r="D399" s="10" t="str">
        <f>IF(IF(ISNA(計算結果!D399),"",計算結果!D399)=0,"",IF(ISNA(計算結果!D399),"",計算結果!D399))</f>
        <v>L</v>
      </c>
      <c r="E399" s="10" t="str">
        <f>IF(IF(ISNA(計算結果!E399),"",計算結果!E399)=0,"",IF(ISNA(計算結果!E399),"",計算結果!E399))</f>
        <v/>
      </c>
      <c r="F399" s="10" t="str">
        <f>IF(IF(ISNA(計算結果!F399),"",計算結果!F399)=0,"",IF(ISNA(計算結果!F399),"",計算結果!F399))</f>
        <v/>
      </c>
      <c r="G399" s="10" t="str">
        <f>IF(IF(ISNA(計算結果!G399),"",計算結果!G399)=0,"",IF(ISNA(計算結果!G399),"",計算結果!G399))</f>
        <v/>
      </c>
      <c r="H399" s="13">
        <f>IF(IF(ISNA(計算結果!H399),"",計算結果!H399)=0,"",IF(ISNA(計算結果!H399),"",計算結果!H399))</f>
        <v>-2</v>
      </c>
      <c r="I399" s="12" t="str">
        <f>IF(IF(ISNA(計算結果!I399),"",計算結果!I399)=0,"",IF(ISNA(計算結果!I399),"",計算結果!I399))</f>
        <v/>
      </c>
      <c r="J399" s="12" t="str">
        <f>IF(IF(ISNA(計算結果!J399),"",計算結果!J399)=0,"",IF(ISNA(計算結果!J399),"",計算結果!J399))</f>
        <v/>
      </c>
      <c r="K399" s="23" t="str">
        <f>IF(IF(ISNA(計算結果!K399),"",計算結果!K399)=0,"",IF(ISNA(計算結果!K399),"",計算結果!K399))</f>
        <v/>
      </c>
      <c r="L399" s="13" t="str">
        <f>IF(IF(ISNA(計算結果!L399),"",計算結果!L399)=0,"",IF(ISNA(計算結果!L399),"",計算結果!L399))</f>
        <v/>
      </c>
      <c r="M399" s="10" t="str">
        <f>IF(IF(ISNA(計算結果!M399),"",計算結果!M399)=0,"",IF(ISNA(計算結果!M399),"",計算結果!M399))</f>
        <v/>
      </c>
      <c r="N399" s="10" t="str">
        <f>IF(IF(ISNA(計算結果!N399),"",計算結果!N399)=0,"",IF(ISNA(計算結果!N399),"",計算結果!N399))</f>
        <v/>
      </c>
      <c r="O399" s="13" t="str">
        <f>IF(IF(ISNA(計算結果!O399),"",計算結果!O399)=0,"",IF(ISNA(計算結果!O399),"",計算結果!O399))</f>
        <v/>
      </c>
      <c r="P399" s="10" t="str">
        <f>IF(IF(ISNA(計算結果!P399),"",計算結果!P399)=0,"",IF(ISNA(計算結果!P399),"",計算結果!P399))</f>
        <v/>
      </c>
      <c r="Q399" s="10" t="str">
        <f>IF(IF(ISNA(計算結果!Q399),"",計算結果!Q399)=0,"",IF(ISNA(計算結果!Q399),"",計算結果!Q399))</f>
        <v/>
      </c>
      <c r="R399" s="14" t="str">
        <f t="shared" si="18"/>
        <v/>
      </c>
      <c r="S399" s="14" t="str">
        <f t="shared" si="19"/>
        <v>◯</v>
      </c>
      <c r="T399" s="14" t="str">
        <f t="shared" si="20"/>
        <v/>
      </c>
    </row>
    <row r="400" spans="1:20" hidden="1" x14ac:dyDescent="0.45">
      <c r="A400" s="10" t="str">
        <f>IF(IF(ISNA(計算結果!A400),"",計算結果!A400)=0,"",IF(ISNA(計算結果!A400),"",計算結果!A400))</f>
        <v/>
      </c>
      <c r="B400" s="10" t="str">
        <f>IF(IF(ISNA(計算結果!B400),"",計算結果!B400)=0,"",IF(ISNA(計算結果!B400),"",計算結果!B400))</f>
        <v/>
      </c>
      <c r="C400" s="10" t="str">
        <f>IF(IF(ISNA(計算結果!C400),"",計算結果!C400)=0,"",IF(ISNA(計算結果!C400),"",計算結果!C400))</f>
        <v/>
      </c>
      <c r="D400" s="10" t="str">
        <f>IF(IF(ISNA(計算結果!D400),"",計算結果!D400)=0,"",IF(ISNA(計算結果!D400),"",計算結果!D400))</f>
        <v>L</v>
      </c>
      <c r="E400" s="10" t="str">
        <f>IF(IF(ISNA(計算結果!E400),"",計算結果!E400)=0,"",IF(ISNA(計算結果!E400),"",計算結果!E400))</f>
        <v/>
      </c>
      <c r="F400" s="10" t="str">
        <f>IF(IF(ISNA(計算結果!F400),"",計算結果!F400)=0,"",IF(ISNA(計算結果!F400),"",計算結果!F400))</f>
        <v/>
      </c>
      <c r="G400" s="10" t="str">
        <f>IF(IF(ISNA(計算結果!G400),"",計算結果!G400)=0,"",IF(ISNA(計算結果!G400),"",計算結果!G400))</f>
        <v/>
      </c>
      <c r="H400" s="13">
        <f>IF(IF(ISNA(計算結果!H400),"",計算結果!H400)=0,"",IF(ISNA(計算結果!H400),"",計算結果!H400))</f>
        <v>-2</v>
      </c>
      <c r="I400" s="12" t="str">
        <f>IF(IF(ISNA(計算結果!I400),"",計算結果!I400)=0,"",IF(ISNA(計算結果!I400),"",計算結果!I400))</f>
        <v/>
      </c>
      <c r="J400" s="12" t="str">
        <f>IF(IF(ISNA(計算結果!J400),"",計算結果!J400)=0,"",IF(ISNA(計算結果!J400),"",計算結果!J400))</f>
        <v/>
      </c>
      <c r="K400" s="23" t="str">
        <f>IF(IF(ISNA(計算結果!K400),"",計算結果!K400)=0,"",IF(ISNA(計算結果!K400),"",計算結果!K400))</f>
        <v/>
      </c>
      <c r="L400" s="13" t="str">
        <f>IF(IF(ISNA(計算結果!L400),"",計算結果!L400)=0,"",IF(ISNA(計算結果!L400),"",計算結果!L400))</f>
        <v/>
      </c>
      <c r="M400" s="10" t="str">
        <f>IF(IF(ISNA(計算結果!M400),"",計算結果!M400)=0,"",IF(ISNA(計算結果!M400),"",計算結果!M400))</f>
        <v/>
      </c>
      <c r="N400" s="10" t="str">
        <f>IF(IF(ISNA(計算結果!N400),"",計算結果!N400)=0,"",IF(ISNA(計算結果!N400),"",計算結果!N400))</f>
        <v/>
      </c>
      <c r="O400" s="13" t="str">
        <f>IF(IF(ISNA(計算結果!O400),"",計算結果!O400)=0,"",IF(ISNA(計算結果!O400),"",計算結果!O400))</f>
        <v/>
      </c>
      <c r="P400" s="10" t="str">
        <f>IF(IF(ISNA(計算結果!P400),"",計算結果!P400)=0,"",IF(ISNA(計算結果!P400),"",計算結果!P400))</f>
        <v/>
      </c>
      <c r="Q400" s="10" t="str">
        <f>IF(IF(ISNA(計算結果!Q400),"",計算結果!Q400)=0,"",IF(ISNA(計算結果!Q400),"",計算結果!Q400))</f>
        <v/>
      </c>
      <c r="R400" s="14" t="str">
        <f t="shared" si="18"/>
        <v/>
      </c>
      <c r="S400" s="14" t="str">
        <f t="shared" si="19"/>
        <v>◯</v>
      </c>
      <c r="T400" s="14" t="str">
        <f t="shared" si="20"/>
        <v/>
      </c>
    </row>
    <row r="401" spans="1:20" hidden="1" x14ac:dyDescent="0.45">
      <c r="A401" s="10" t="str">
        <f>IF(IF(ISNA(計算結果!A401),"",計算結果!A401)=0,"",IF(ISNA(計算結果!A401),"",計算結果!A401))</f>
        <v/>
      </c>
      <c r="B401" s="10" t="str">
        <f>IF(IF(ISNA(計算結果!B401),"",計算結果!B401)=0,"",IF(ISNA(計算結果!B401),"",計算結果!B401))</f>
        <v/>
      </c>
      <c r="C401" s="10" t="str">
        <f>IF(IF(ISNA(計算結果!C401),"",計算結果!C401)=0,"",IF(ISNA(計算結果!C401),"",計算結果!C401))</f>
        <v/>
      </c>
      <c r="D401" s="10" t="str">
        <f>IF(IF(ISNA(計算結果!D401),"",計算結果!D401)=0,"",IF(ISNA(計算結果!D401),"",計算結果!D401))</f>
        <v>L</v>
      </c>
      <c r="E401" s="10" t="str">
        <f>IF(IF(ISNA(計算結果!E401),"",計算結果!E401)=0,"",IF(ISNA(計算結果!E401),"",計算結果!E401))</f>
        <v/>
      </c>
      <c r="F401" s="10" t="str">
        <f>IF(IF(ISNA(計算結果!F401),"",計算結果!F401)=0,"",IF(ISNA(計算結果!F401),"",計算結果!F401))</f>
        <v/>
      </c>
      <c r="G401" s="10" t="str">
        <f>IF(IF(ISNA(計算結果!G401),"",計算結果!G401)=0,"",IF(ISNA(計算結果!G401),"",計算結果!G401))</f>
        <v/>
      </c>
      <c r="H401" s="13">
        <f>IF(IF(ISNA(計算結果!H401),"",計算結果!H401)=0,"",IF(ISNA(計算結果!H401),"",計算結果!H401))</f>
        <v>-2</v>
      </c>
      <c r="I401" s="12" t="str">
        <f>IF(IF(ISNA(計算結果!I401),"",計算結果!I401)=0,"",IF(ISNA(計算結果!I401),"",計算結果!I401))</f>
        <v/>
      </c>
      <c r="J401" s="12" t="str">
        <f>IF(IF(ISNA(計算結果!J401),"",計算結果!J401)=0,"",IF(ISNA(計算結果!J401),"",計算結果!J401))</f>
        <v/>
      </c>
      <c r="K401" s="23" t="str">
        <f>IF(IF(ISNA(計算結果!K401),"",計算結果!K401)=0,"",IF(ISNA(計算結果!K401),"",計算結果!K401))</f>
        <v/>
      </c>
      <c r="L401" s="13" t="str">
        <f>IF(IF(ISNA(計算結果!L401),"",計算結果!L401)=0,"",IF(ISNA(計算結果!L401),"",計算結果!L401))</f>
        <v/>
      </c>
      <c r="M401" s="10" t="str">
        <f>IF(IF(ISNA(計算結果!M401),"",計算結果!M401)=0,"",IF(ISNA(計算結果!M401),"",計算結果!M401))</f>
        <v/>
      </c>
      <c r="N401" s="10" t="str">
        <f>IF(IF(ISNA(計算結果!N401),"",計算結果!N401)=0,"",IF(ISNA(計算結果!N401),"",計算結果!N401))</f>
        <v/>
      </c>
      <c r="O401" s="13" t="str">
        <f>IF(IF(ISNA(計算結果!O401),"",計算結果!O401)=0,"",IF(ISNA(計算結果!O401),"",計算結果!O401))</f>
        <v/>
      </c>
      <c r="P401" s="10" t="str">
        <f>IF(IF(ISNA(計算結果!P401),"",計算結果!P401)=0,"",IF(ISNA(計算結果!P401),"",計算結果!P401))</f>
        <v/>
      </c>
      <c r="Q401" s="10" t="str">
        <f>IF(IF(ISNA(計算結果!Q401),"",計算結果!Q401)=0,"",IF(ISNA(計算結果!Q401),"",計算結果!Q401))</f>
        <v/>
      </c>
      <c r="R401" s="14" t="str">
        <f t="shared" si="18"/>
        <v/>
      </c>
      <c r="S401" s="14" t="str">
        <f t="shared" si="19"/>
        <v>◯</v>
      </c>
      <c r="T401" s="14" t="str">
        <f t="shared" si="20"/>
        <v/>
      </c>
    </row>
    <row r="402" spans="1:20" hidden="1" x14ac:dyDescent="0.45">
      <c r="A402" s="10" t="str">
        <f>IF(IF(ISNA(計算結果!A402),"",計算結果!A402)=0,"",IF(ISNA(計算結果!A402),"",計算結果!A402))</f>
        <v/>
      </c>
      <c r="B402" s="10" t="str">
        <f>IF(IF(ISNA(計算結果!B402),"",計算結果!B402)=0,"",IF(ISNA(計算結果!B402),"",計算結果!B402))</f>
        <v/>
      </c>
      <c r="C402" s="10" t="str">
        <f>IF(IF(ISNA(計算結果!C402),"",計算結果!C402)=0,"",IF(ISNA(計算結果!C402),"",計算結果!C402))</f>
        <v/>
      </c>
      <c r="D402" s="10" t="str">
        <f>IF(IF(ISNA(計算結果!D402),"",計算結果!D402)=0,"",IF(ISNA(計算結果!D402),"",計算結果!D402))</f>
        <v>L</v>
      </c>
      <c r="E402" s="10" t="str">
        <f>IF(IF(ISNA(計算結果!E402),"",計算結果!E402)=0,"",IF(ISNA(計算結果!E402),"",計算結果!E402))</f>
        <v/>
      </c>
      <c r="F402" s="10" t="str">
        <f>IF(IF(ISNA(計算結果!F402),"",計算結果!F402)=0,"",IF(ISNA(計算結果!F402),"",計算結果!F402))</f>
        <v/>
      </c>
      <c r="G402" s="10" t="str">
        <f>IF(IF(ISNA(計算結果!G402),"",計算結果!G402)=0,"",IF(ISNA(計算結果!G402),"",計算結果!G402))</f>
        <v/>
      </c>
      <c r="H402" s="13">
        <f>IF(IF(ISNA(計算結果!H402),"",計算結果!H402)=0,"",IF(ISNA(計算結果!H402),"",計算結果!H402))</f>
        <v>-2</v>
      </c>
      <c r="I402" s="12" t="str">
        <f>IF(IF(ISNA(計算結果!I402),"",計算結果!I402)=0,"",IF(ISNA(計算結果!I402),"",計算結果!I402))</f>
        <v/>
      </c>
      <c r="J402" s="12" t="str">
        <f>IF(IF(ISNA(計算結果!J402),"",計算結果!J402)=0,"",IF(ISNA(計算結果!J402),"",計算結果!J402))</f>
        <v/>
      </c>
      <c r="K402" s="23" t="str">
        <f>IF(IF(ISNA(計算結果!K402),"",計算結果!K402)=0,"",IF(ISNA(計算結果!K402),"",計算結果!K402))</f>
        <v/>
      </c>
      <c r="L402" s="13" t="str">
        <f>IF(IF(ISNA(計算結果!L402),"",計算結果!L402)=0,"",IF(ISNA(計算結果!L402),"",計算結果!L402))</f>
        <v/>
      </c>
      <c r="M402" s="10" t="str">
        <f>IF(IF(ISNA(計算結果!M402),"",計算結果!M402)=0,"",IF(ISNA(計算結果!M402),"",計算結果!M402))</f>
        <v/>
      </c>
      <c r="N402" s="10" t="str">
        <f>IF(IF(ISNA(計算結果!N402),"",計算結果!N402)=0,"",IF(ISNA(計算結果!N402),"",計算結果!N402))</f>
        <v/>
      </c>
      <c r="O402" s="13" t="str">
        <f>IF(IF(ISNA(計算結果!O402),"",計算結果!O402)=0,"",IF(ISNA(計算結果!O402),"",計算結果!O402))</f>
        <v/>
      </c>
      <c r="P402" s="10" t="str">
        <f>IF(IF(ISNA(計算結果!P402),"",計算結果!P402)=0,"",IF(ISNA(計算結果!P402),"",計算結果!P402))</f>
        <v/>
      </c>
      <c r="Q402" s="10" t="str">
        <f>IF(IF(ISNA(計算結果!Q402),"",計算結果!Q402)=0,"",IF(ISNA(計算結果!Q402),"",計算結果!Q402))</f>
        <v/>
      </c>
      <c r="R402" s="14" t="str">
        <f t="shared" si="18"/>
        <v/>
      </c>
      <c r="S402" s="14" t="str">
        <f t="shared" si="19"/>
        <v>◯</v>
      </c>
      <c r="T402" s="14" t="str">
        <f t="shared" si="20"/>
        <v/>
      </c>
    </row>
    <row r="403" spans="1:20" hidden="1" x14ac:dyDescent="0.45">
      <c r="A403" s="10" t="str">
        <f>IF(IF(ISNA(計算結果!A403),"",計算結果!A403)=0,"",IF(ISNA(計算結果!A403),"",計算結果!A403))</f>
        <v/>
      </c>
      <c r="B403" s="10" t="str">
        <f>IF(IF(ISNA(計算結果!B403),"",計算結果!B403)=0,"",IF(ISNA(計算結果!B403),"",計算結果!B403))</f>
        <v/>
      </c>
      <c r="C403" s="10" t="str">
        <f>IF(IF(ISNA(計算結果!C403),"",計算結果!C403)=0,"",IF(ISNA(計算結果!C403),"",計算結果!C403))</f>
        <v/>
      </c>
      <c r="D403" s="10" t="str">
        <f>IF(IF(ISNA(計算結果!D403),"",計算結果!D403)=0,"",IF(ISNA(計算結果!D403),"",計算結果!D403))</f>
        <v>L</v>
      </c>
      <c r="E403" s="10" t="str">
        <f>IF(IF(ISNA(計算結果!E403),"",計算結果!E403)=0,"",IF(ISNA(計算結果!E403),"",計算結果!E403))</f>
        <v/>
      </c>
      <c r="F403" s="10" t="str">
        <f>IF(IF(ISNA(計算結果!F403),"",計算結果!F403)=0,"",IF(ISNA(計算結果!F403),"",計算結果!F403))</f>
        <v/>
      </c>
      <c r="G403" s="10" t="str">
        <f>IF(IF(ISNA(計算結果!G403),"",計算結果!G403)=0,"",IF(ISNA(計算結果!G403),"",計算結果!G403))</f>
        <v/>
      </c>
      <c r="H403" s="13">
        <f>IF(IF(ISNA(計算結果!H403),"",計算結果!H403)=0,"",IF(ISNA(計算結果!H403),"",計算結果!H403))</f>
        <v>-2</v>
      </c>
      <c r="I403" s="12" t="str">
        <f>IF(IF(ISNA(計算結果!I403),"",計算結果!I403)=0,"",IF(ISNA(計算結果!I403),"",計算結果!I403))</f>
        <v/>
      </c>
      <c r="J403" s="12" t="str">
        <f>IF(IF(ISNA(計算結果!J403),"",計算結果!J403)=0,"",IF(ISNA(計算結果!J403),"",計算結果!J403))</f>
        <v/>
      </c>
      <c r="K403" s="23" t="str">
        <f>IF(IF(ISNA(計算結果!K403),"",計算結果!K403)=0,"",IF(ISNA(計算結果!K403),"",計算結果!K403))</f>
        <v/>
      </c>
      <c r="L403" s="13" t="str">
        <f>IF(IF(ISNA(計算結果!L403),"",計算結果!L403)=0,"",IF(ISNA(計算結果!L403),"",計算結果!L403))</f>
        <v/>
      </c>
      <c r="M403" s="10" t="str">
        <f>IF(IF(ISNA(計算結果!M403),"",計算結果!M403)=0,"",IF(ISNA(計算結果!M403),"",計算結果!M403))</f>
        <v/>
      </c>
      <c r="N403" s="10" t="str">
        <f>IF(IF(ISNA(計算結果!N403),"",計算結果!N403)=0,"",IF(ISNA(計算結果!N403),"",計算結果!N403))</f>
        <v/>
      </c>
      <c r="O403" s="13" t="str">
        <f>IF(IF(ISNA(計算結果!O403),"",計算結果!O403)=0,"",IF(ISNA(計算結果!O403),"",計算結果!O403))</f>
        <v/>
      </c>
      <c r="P403" s="10" t="str">
        <f>IF(IF(ISNA(計算結果!P403),"",計算結果!P403)=0,"",IF(ISNA(計算結果!P403),"",計算結果!P403))</f>
        <v/>
      </c>
      <c r="Q403" s="10" t="str">
        <f>IF(IF(ISNA(計算結果!Q403),"",計算結果!Q403)=0,"",IF(ISNA(計算結果!Q403),"",計算結果!Q403))</f>
        <v/>
      </c>
      <c r="R403" s="14" t="str">
        <f t="shared" si="18"/>
        <v/>
      </c>
      <c r="S403" s="14" t="str">
        <f t="shared" si="19"/>
        <v>◯</v>
      </c>
      <c r="T403" s="14" t="str">
        <f t="shared" si="20"/>
        <v/>
      </c>
    </row>
    <row r="404" spans="1:20" hidden="1" x14ac:dyDescent="0.45">
      <c r="A404" s="10" t="str">
        <f>IF(IF(ISNA(計算結果!A404),"",計算結果!A404)=0,"",IF(ISNA(計算結果!A404),"",計算結果!A404))</f>
        <v/>
      </c>
      <c r="B404" s="10" t="str">
        <f>IF(IF(ISNA(計算結果!B404),"",計算結果!B404)=0,"",IF(ISNA(計算結果!B404),"",計算結果!B404))</f>
        <v/>
      </c>
      <c r="C404" s="10" t="str">
        <f>IF(IF(ISNA(計算結果!C404),"",計算結果!C404)=0,"",IF(ISNA(計算結果!C404),"",計算結果!C404))</f>
        <v/>
      </c>
      <c r="D404" s="10" t="str">
        <f>IF(IF(ISNA(計算結果!D404),"",計算結果!D404)=0,"",IF(ISNA(計算結果!D404),"",計算結果!D404))</f>
        <v>L</v>
      </c>
      <c r="E404" s="10" t="str">
        <f>IF(IF(ISNA(計算結果!E404),"",計算結果!E404)=0,"",IF(ISNA(計算結果!E404),"",計算結果!E404))</f>
        <v/>
      </c>
      <c r="F404" s="10" t="str">
        <f>IF(IF(ISNA(計算結果!F404),"",計算結果!F404)=0,"",IF(ISNA(計算結果!F404),"",計算結果!F404))</f>
        <v/>
      </c>
      <c r="G404" s="10" t="str">
        <f>IF(IF(ISNA(計算結果!G404),"",計算結果!G404)=0,"",IF(ISNA(計算結果!G404),"",計算結果!G404))</f>
        <v/>
      </c>
      <c r="H404" s="13">
        <f>IF(IF(ISNA(計算結果!H404),"",計算結果!H404)=0,"",IF(ISNA(計算結果!H404),"",計算結果!H404))</f>
        <v>-2</v>
      </c>
      <c r="I404" s="12" t="str">
        <f>IF(IF(ISNA(計算結果!I404),"",計算結果!I404)=0,"",IF(ISNA(計算結果!I404),"",計算結果!I404))</f>
        <v/>
      </c>
      <c r="J404" s="12" t="str">
        <f>IF(IF(ISNA(計算結果!J404),"",計算結果!J404)=0,"",IF(ISNA(計算結果!J404),"",計算結果!J404))</f>
        <v/>
      </c>
      <c r="K404" s="23" t="str">
        <f>IF(IF(ISNA(計算結果!K404),"",計算結果!K404)=0,"",IF(ISNA(計算結果!K404),"",計算結果!K404))</f>
        <v/>
      </c>
      <c r="L404" s="13" t="str">
        <f>IF(IF(ISNA(計算結果!L404),"",計算結果!L404)=0,"",IF(ISNA(計算結果!L404),"",計算結果!L404))</f>
        <v/>
      </c>
      <c r="M404" s="10" t="str">
        <f>IF(IF(ISNA(計算結果!M404),"",計算結果!M404)=0,"",IF(ISNA(計算結果!M404),"",計算結果!M404))</f>
        <v/>
      </c>
      <c r="N404" s="10" t="str">
        <f>IF(IF(ISNA(計算結果!N404),"",計算結果!N404)=0,"",IF(ISNA(計算結果!N404),"",計算結果!N404))</f>
        <v/>
      </c>
      <c r="O404" s="13" t="str">
        <f>IF(IF(ISNA(計算結果!O404),"",計算結果!O404)=0,"",IF(ISNA(計算結果!O404),"",計算結果!O404))</f>
        <v/>
      </c>
      <c r="P404" s="10" t="str">
        <f>IF(IF(ISNA(計算結果!P404),"",計算結果!P404)=0,"",IF(ISNA(計算結果!P404),"",計算結果!P404))</f>
        <v/>
      </c>
      <c r="Q404" s="10" t="str">
        <f>IF(IF(ISNA(計算結果!Q404),"",計算結果!Q404)=0,"",IF(ISNA(計算結果!Q404),"",計算結果!Q404))</f>
        <v/>
      </c>
      <c r="R404" s="14" t="str">
        <f t="shared" si="18"/>
        <v/>
      </c>
      <c r="S404" s="14" t="str">
        <f t="shared" si="19"/>
        <v>◯</v>
      </c>
      <c r="T404" s="14" t="str">
        <f t="shared" si="20"/>
        <v/>
      </c>
    </row>
    <row r="405" spans="1:20" hidden="1" x14ac:dyDescent="0.45">
      <c r="A405" s="10" t="str">
        <f>IF(IF(ISNA(計算結果!A405),"",計算結果!A405)=0,"",IF(ISNA(計算結果!A405),"",計算結果!A405))</f>
        <v/>
      </c>
      <c r="B405" s="10" t="str">
        <f>IF(IF(ISNA(計算結果!B405),"",計算結果!B405)=0,"",IF(ISNA(計算結果!B405),"",計算結果!B405))</f>
        <v/>
      </c>
      <c r="C405" s="10" t="str">
        <f>IF(IF(ISNA(計算結果!C405),"",計算結果!C405)=0,"",IF(ISNA(計算結果!C405),"",計算結果!C405))</f>
        <v/>
      </c>
      <c r="D405" s="10" t="str">
        <f>IF(IF(ISNA(計算結果!D405),"",計算結果!D405)=0,"",IF(ISNA(計算結果!D405),"",計算結果!D405))</f>
        <v>L</v>
      </c>
      <c r="E405" s="10" t="str">
        <f>IF(IF(ISNA(計算結果!E405),"",計算結果!E405)=0,"",IF(ISNA(計算結果!E405),"",計算結果!E405))</f>
        <v/>
      </c>
      <c r="F405" s="10" t="str">
        <f>IF(IF(ISNA(計算結果!F405),"",計算結果!F405)=0,"",IF(ISNA(計算結果!F405),"",計算結果!F405))</f>
        <v/>
      </c>
      <c r="G405" s="10" t="str">
        <f>IF(IF(ISNA(計算結果!G405),"",計算結果!G405)=0,"",IF(ISNA(計算結果!G405),"",計算結果!G405))</f>
        <v/>
      </c>
      <c r="H405" s="13">
        <f>IF(IF(ISNA(計算結果!H405),"",計算結果!H405)=0,"",IF(ISNA(計算結果!H405),"",計算結果!H405))</f>
        <v>-2</v>
      </c>
      <c r="I405" s="12" t="str">
        <f>IF(IF(ISNA(計算結果!I405),"",計算結果!I405)=0,"",IF(ISNA(計算結果!I405),"",計算結果!I405))</f>
        <v/>
      </c>
      <c r="J405" s="12" t="str">
        <f>IF(IF(ISNA(計算結果!J405),"",計算結果!J405)=0,"",IF(ISNA(計算結果!J405),"",計算結果!J405))</f>
        <v/>
      </c>
      <c r="K405" s="23" t="str">
        <f>IF(IF(ISNA(計算結果!K405),"",計算結果!K405)=0,"",IF(ISNA(計算結果!K405),"",計算結果!K405))</f>
        <v/>
      </c>
      <c r="L405" s="13" t="str">
        <f>IF(IF(ISNA(計算結果!L405),"",計算結果!L405)=0,"",IF(ISNA(計算結果!L405),"",計算結果!L405))</f>
        <v/>
      </c>
      <c r="M405" s="10" t="str">
        <f>IF(IF(ISNA(計算結果!M405),"",計算結果!M405)=0,"",IF(ISNA(計算結果!M405),"",計算結果!M405))</f>
        <v/>
      </c>
      <c r="N405" s="10" t="str">
        <f>IF(IF(ISNA(計算結果!N405),"",計算結果!N405)=0,"",IF(ISNA(計算結果!N405),"",計算結果!N405))</f>
        <v/>
      </c>
      <c r="O405" s="13" t="str">
        <f>IF(IF(ISNA(計算結果!O405),"",計算結果!O405)=0,"",IF(ISNA(計算結果!O405),"",計算結果!O405))</f>
        <v/>
      </c>
      <c r="P405" s="10" t="str">
        <f>IF(IF(ISNA(計算結果!P405),"",計算結果!P405)=0,"",IF(ISNA(計算結果!P405),"",計算結果!P405))</f>
        <v/>
      </c>
      <c r="Q405" s="10" t="str">
        <f>IF(IF(ISNA(計算結果!Q405),"",計算結果!Q405)=0,"",IF(ISNA(計算結果!Q405),"",計算結果!Q405))</f>
        <v/>
      </c>
      <c r="R405" s="14" t="str">
        <f t="shared" si="18"/>
        <v/>
      </c>
      <c r="S405" s="14" t="str">
        <f t="shared" si="19"/>
        <v>◯</v>
      </c>
      <c r="T405" s="14" t="str">
        <f t="shared" si="20"/>
        <v/>
      </c>
    </row>
    <row r="406" spans="1:20" hidden="1" x14ac:dyDescent="0.45">
      <c r="A406" s="10" t="str">
        <f>IF(IF(ISNA(計算結果!A406),"",計算結果!A406)=0,"",IF(ISNA(計算結果!A406),"",計算結果!A406))</f>
        <v/>
      </c>
      <c r="B406" s="10" t="str">
        <f>IF(IF(ISNA(計算結果!B406),"",計算結果!B406)=0,"",IF(ISNA(計算結果!B406),"",計算結果!B406))</f>
        <v/>
      </c>
      <c r="C406" s="10" t="str">
        <f>IF(IF(ISNA(計算結果!C406),"",計算結果!C406)=0,"",IF(ISNA(計算結果!C406),"",計算結果!C406))</f>
        <v/>
      </c>
      <c r="D406" s="10" t="str">
        <f>IF(IF(ISNA(計算結果!D406),"",計算結果!D406)=0,"",IF(ISNA(計算結果!D406),"",計算結果!D406))</f>
        <v>L</v>
      </c>
      <c r="E406" s="10" t="str">
        <f>IF(IF(ISNA(計算結果!E406),"",計算結果!E406)=0,"",IF(ISNA(計算結果!E406),"",計算結果!E406))</f>
        <v/>
      </c>
      <c r="F406" s="10" t="str">
        <f>IF(IF(ISNA(計算結果!F406),"",計算結果!F406)=0,"",IF(ISNA(計算結果!F406),"",計算結果!F406))</f>
        <v/>
      </c>
      <c r="G406" s="10" t="str">
        <f>IF(IF(ISNA(計算結果!G406),"",計算結果!G406)=0,"",IF(ISNA(計算結果!G406),"",計算結果!G406))</f>
        <v/>
      </c>
      <c r="H406" s="13">
        <f>IF(IF(ISNA(計算結果!H406),"",計算結果!H406)=0,"",IF(ISNA(計算結果!H406),"",計算結果!H406))</f>
        <v>-2</v>
      </c>
      <c r="I406" s="12" t="str">
        <f>IF(IF(ISNA(計算結果!I406),"",計算結果!I406)=0,"",IF(ISNA(計算結果!I406),"",計算結果!I406))</f>
        <v/>
      </c>
      <c r="J406" s="12" t="str">
        <f>IF(IF(ISNA(計算結果!J406),"",計算結果!J406)=0,"",IF(ISNA(計算結果!J406),"",計算結果!J406))</f>
        <v/>
      </c>
      <c r="K406" s="23" t="str">
        <f>IF(IF(ISNA(計算結果!K406),"",計算結果!K406)=0,"",IF(ISNA(計算結果!K406),"",計算結果!K406))</f>
        <v/>
      </c>
      <c r="L406" s="13" t="str">
        <f>IF(IF(ISNA(計算結果!L406),"",計算結果!L406)=0,"",IF(ISNA(計算結果!L406),"",計算結果!L406))</f>
        <v/>
      </c>
      <c r="M406" s="10" t="str">
        <f>IF(IF(ISNA(計算結果!M406),"",計算結果!M406)=0,"",IF(ISNA(計算結果!M406),"",計算結果!M406))</f>
        <v/>
      </c>
      <c r="N406" s="10" t="str">
        <f>IF(IF(ISNA(計算結果!N406),"",計算結果!N406)=0,"",IF(ISNA(計算結果!N406),"",計算結果!N406))</f>
        <v/>
      </c>
      <c r="O406" s="13" t="str">
        <f>IF(IF(ISNA(計算結果!O406),"",計算結果!O406)=0,"",IF(ISNA(計算結果!O406),"",計算結果!O406))</f>
        <v/>
      </c>
      <c r="P406" s="10" t="str">
        <f>IF(IF(ISNA(計算結果!P406),"",計算結果!P406)=0,"",IF(ISNA(計算結果!P406),"",計算結果!P406))</f>
        <v/>
      </c>
      <c r="Q406" s="10" t="str">
        <f>IF(IF(ISNA(計算結果!Q406),"",計算結果!Q406)=0,"",IF(ISNA(計算結果!Q406),"",計算結果!Q406))</f>
        <v/>
      </c>
      <c r="R406" s="14" t="str">
        <f t="shared" si="18"/>
        <v/>
      </c>
      <c r="S406" s="14" t="str">
        <f t="shared" si="19"/>
        <v>◯</v>
      </c>
      <c r="T406" s="14" t="str">
        <f t="shared" si="20"/>
        <v/>
      </c>
    </row>
    <row r="407" spans="1:20" hidden="1" x14ac:dyDescent="0.45">
      <c r="A407" s="10" t="str">
        <f>IF(IF(ISNA(計算結果!A407),"",計算結果!A407)=0,"",IF(ISNA(計算結果!A407),"",計算結果!A407))</f>
        <v/>
      </c>
      <c r="B407" s="10" t="str">
        <f>IF(IF(ISNA(計算結果!B407),"",計算結果!B407)=0,"",IF(ISNA(計算結果!B407),"",計算結果!B407))</f>
        <v/>
      </c>
      <c r="C407" s="10" t="str">
        <f>IF(IF(ISNA(計算結果!C407),"",計算結果!C407)=0,"",IF(ISNA(計算結果!C407),"",計算結果!C407))</f>
        <v/>
      </c>
      <c r="D407" s="10" t="str">
        <f>IF(IF(ISNA(計算結果!D407),"",計算結果!D407)=0,"",IF(ISNA(計算結果!D407),"",計算結果!D407))</f>
        <v>L</v>
      </c>
      <c r="E407" s="10" t="str">
        <f>IF(IF(ISNA(計算結果!E407),"",計算結果!E407)=0,"",IF(ISNA(計算結果!E407),"",計算結果!E407))</f>
        <v/>
      </c>
      <c r="F407" s="10" t="str">
        <f>IF(IF(ISNA(計算結果!F407),"",計算結果!F407)=0,"",IF(ISNA(計算結果!F407),"",計算結果!F407))</f>
        <v/>
      </c>
      <c r="G407" s="10" t="str">
        <f>IF(IF(ISNA(計算結果!G407),"",計算結果!G407)=0,"",IF(ISNA(計算結果!G407),"",計算結果!G407))</f>
        <v/>
      </c>
      <c r="H407" s="13">
        <f>IF(IF(ISNA(計算結果!H407),"",計算結果!H407)=0,"",IF(ISNA(計算結果!H407),"",計算結果!H407))</f>
        <v>-2</v>
      </c>
      <c r="I407" s="12" t="str">
        <f>IF(IF(ISNA(計算結果!I407),"",計算結果!I407)=0,"",IF(ISNA(計算結果!I407),"",計算結果!I407))</f>
        <v/>
      </c>
      <c r="J407" s="12" t="str">
        <f>IF(IF(ISNA(計算結果!J407),"",計算結果!J407)=0,"",IF(ISNA(計算結果!J407),"",計算結果!J407))</f>
        <v/>
      </c>
      <c r="K407" s="23" t="str">
        <f>IF(IF(ISNA(計算結果!K407),"",計算結果!K407)=0,"",IF(ISNA(計算結果!K407),"",計算結果!K407))</f>
        <v/>
      </c>
      <c r="L407" s="13" t="str">
        <f>IF(IF(ISNA(計算結果!L407),"",計算結果!L407)=0,"",IF(ISNA(計算結果!L407),"",計算結果!L407))</f>
        <v/>
      </c>
      <c r="M407" s="10" t="str">
        <f>IF(IF(ISNA(計算結果!M407),"",計算結果!M407)=0,"",IF(ISNA(計算結果!M407),"",計算結果!M407))</f>
        <v/>
      </c>
      <c r="N407" s="10" t="str">
        <f>IF(IF(ISNA(計算結果!N407),"",計算結果!N407)=0,"",IF(ISNA(計算結果!N407),"",計算結果!N407))</f>
        <v/>
      </c>
      <c r="O407" s="13" t="str">
        <f>IF(IF(ISNA(計算結果!O407),"",計算結果!O407)=0,"",IF(ISNA(計算結果!O407),"",計算結果!O407))</f>
        <v/>
      </c>
      <c r="P407" s="10" t="str">
        <f>IF(IF(ISNA(計算結果!P407),"",計算結果!P407)=0,"",IF(ISNA(計算結果!P407),"",計算結果!P407))</f>
        <v/>
      </c>
      <c r="Q407" s="10" t="str">
        <f>IF(IF(ISNA(計算結果!Q407),"",計算結果!Q407)=0,"",IF(ISNA(計算結果!Q407),"",計算結果!Q407))</f>
        <v/>
      </c>
      <c r="R407" s="14" t="str">
        <f t="shared" si="18"/>
        <v/>
      </c>
      <c r="S407" s="14" t="str">
        <f t="shared" si="19"/>
        <v>◯</v>
      </c>
      <c r="T407" s="14" t="str">
        <f t="shared" si="20"/>
        <v/>
      </c>
    </row>
    <row r="408" spans="1:20" hidden="1" x14ac:dyDescent="0.45">
      <c r="A408" s="10" t="str">
        <f>IF(IF(ISNA(計算結果!A408),"",計算結果!A408)=0,"",IF(ISNA(計算結果!A408),"",計算結果!A408))</f>
        <v/>
      </c>
      <c r="B408" s="10" t="str">
        <f>IF(IF(ISNA(計算結果!B408),"",計算結果!B408)=0,"",IF(ISNA(計算結果!B408),"",計算結果!B408))</f>
        <v/>
      </c>
      <c r="C408" s="10" t="str">
        <f>IF(IF(ISNA(計算結果!C408),"",計算結果!C408)=0,"",IF(ISNA(計算結果!C408),"",計算結果!C408))</f>
        <v/>
      </c>
      <c r="D408" s="10" t="str">
        <f>IF(IF(ISNA(計算結果!D408),"",計算結果!D408)=0,"",IF(ISNA(計算結果!D408),"",計算結果!D408))</f>
        <v>L</v>
      </c>
      <c r="E408" s="10" t="str">
        <f>IF(IF(ISNA(計算結果!E408),"",計算結果!E408)=0,"",IF(ISNA(計算結果!E408),"",計算結果!E408))</f>
        <v/>
      </c>
      <c r="F408" s="10" t="str">
        <f>IF(IF(ISNA(計算結果!F408),"",計算結果!F408)=0,"",IF(ISNA(計算結果!F408),"",計算結果!F408))</f>
        <v/>
      </c>
      <c r="G408" s="10" t="str">
        <f>IF(IF(ISNA(計算結果!G408),"",計算結果!G408)=0,"",IF(ISNA(計算結果!G408),"",計算結果!G408))</f>
        <v/>
      </c>
      <c r="H408" s="13">
        <f>IF(IF(ISNA(計算結果!H408),"",計算結果!H408)=0,"",IF(ISNA(計算結果!H408),"",計算結果!H408))</f>
        <v>-2</v>
      </c>
      <c r="I408" s="12" t="str">
        <f>IF(IF(ISNA(計算結果!I408),"",計算結果!I408)=0,"",IF(ISNA(計算結果!I408),"",計算結果!I408))</f>
        <v/>
      </c>
      <c r="J408" s="12" t="str">
        <f>IF(IF(ISNA(計算結果!J408),"",計算結果!J408)=0,"",IF(ISNA(計算結果!J408),"",計算結果!J408))</f>
        <v/>
      </c>
      <c r="K408" s="23" t="str">
        <f>IF(IF(ISNA(計算結果!K408),"",計算結果!K408)=0,"",IF(ISNA(計算結果!K408),"",計算結果!K408))</f>
        <v/>
      </c>
      <c r="L408" s="13" t="str">
        <f>IF(IF(ISNA(計算結果!L408),"",計算結果!L408)=0,"",IF(ISNA(計算結果!L408),"",計算結果!L408))</f>
        <v/>
      </c>
      <c r="M408" s="10" t="str">
        <f>IF(IF(ISNA(計算結果!M408),"",計算結果!M408)=0,"",IF(ISNA(計算結果!M408),"",計算結果!M408))</f>
        <v/>
      </c>
      <c r="N408" s="10" t="str">
        <f>IF(IF(ISNA(計算結果!N408),"",計算結果!N408)=0,"",IF(ISNA(計算結果!N408),"",計算結果!N408))</f>
        <v/>
      </c>
      <c r="O408" s="13" t="str">
        <f>IF(IF(ISNA(計算結果!O408),"",計算結果!O408)=0,"",IF(ISNA(計算結果!O408),"",計算結果!O408))</f>
        <v/>
      </c>
      <c r="P408" s="10" t="str">
        <f>IF(IF(ISNA(計算結果!P408),"",計算結果!P408)=0,"",IF(ISNA(計算結果!P408),"",計算結果!P408))</f>
        <v/>
      </c>
      <c r="Q408" s="10" t="str">
        <f>IF(IF(ISNA(計算結果!Q408),"",計算結果!Q408)=0,"",IF(ISNA(計算結果!Q408),"",計算結果!Q408))</f>
        <v/>
      </c>
      <c r="R408" s="14" t="str">
        <f t="shared" si="18"/>
        <v/>
      </c>
      <c r="S408" s="14" t="str">
        <f t="shared" si="19"/>
        <v>◯</v>
      </c>
      <c r="T408" s="14" t="str">
        <f t="shared" si="20"/>
        <v/>
      </c>
    </row>
    <row r="409" spans="1:20" hidden="1" x14ac:dyDescent="0.45">
      <c r="A409" s="10" t="str">
        <f>IF(IF(ISNA(計算結果!A409),"",計算結果!A409)=0,"",IF(ISNA(計算結果!A409),"",計算結果!A409))</f>
        <v/>
      </c>
      <c r="B409" s="10" t="str">
        <f>IF(IF(ISNA(計算結果!B409),"",計算結果!B409)=0,"",IF(ISNA(計算結果!B409),"",計算結果!B409))</f>
        <v/>
      </c>
      <c r="C409" s="10" t="str">
        <f>IF(IF(ISNA(計算結果!C409),"",計算結果!C409)=0,"",IF(ISNA(計算結果!C409),"",計算結果!C409))</f>
        <v/>
      </c>
      <c r="D409" s="10" t="str">
        <f>IF(IF(ISNA(計算結果!D409),"",計算結果!D409)=0,"",IF(ISNA(計算結果!D409),"",計算結果!D409))</f>
        <v>L</v>
      </c>
      <c r="E409" s="10" t="str">
        <f>IF(IF(ISNA(計算結果!E409),"",計算結果!E409)=0,"",IF(ISNA(計算結果!E409),"",計算結果!E409))</f>
        <v/>
      </c>
      <c r="F409" s="10" t="str">
        <f>IF(IF(ISNA(計算結果!F409),"",計算結果!F409)=0,"",IF(ISNA(計算結果!F409),"",計算結果!F409))</f>
        <v/>
      </c>
      <c r="G409" s="10" t="str">
        <f>IF(IF(ISNA(計算結果!G409),"",計算結果!G409)=0,"",IF(ISNA(計算結果!G409),"",計算結果!G409))</f>
        <v/>
      </c>
      <c r="H409" s="13">
        <f>IF(IF(ISNA(計算結果!H409),"",計算結果!H409)=0,"",IF(ISNA(計算結果!H409),"",計算結果!H409))</f>
        <v>-2</v>
      </c>
      <c r="I409" s="12" t="str">
        <f>IF(IF(ISNA(計算結果!I409),"",計算結果!I409)=0,"",IF(ISNA(計算結果!I409),"",計算結果!I409))</f>
        <v/>
      </c>
      <c r="J409" s="12" t="str">
        <f>IF(IF(ISNA(計算結果!J409),"",計算結果!J409)=0,"",IF(ISNA(計算結果!J409),"",計算結果!J409))</f>
        <v/>
      </c>
      <c r="K409" s="23" t="str">
        <f>IF(IF(ISNA(計算結果!K409),"",計算結果!K409)=0,"",IF(ISNA(計算結果!K409),"",計算結果!K409))</f>
        <v/>
      </c>
      <c r="L409" s="13" t="str">
        <f>IF(IF(ISNA(計算結果!L409),"",計算結果!L409)=0,"",IF(ISNA(計算結果!L409),"",計算結果!L409))</f>
        <v/>
      </c>
      <c r="M409" s="10" t="str">
        <f>IF(IF(ISNA(計算結果!M409),"",計算結果!M409)=0,"",IF(ISNA(計算結果!M409),"",計算結果!M409))</f>
        <v/>
      </c>
      <c r="N409" s="10" t="str">
        <f>IF(IF(ISNA(計算結果!N409),"",計算結果!N409)=0,"",IF(ISNA(計算結果!N409),"",計算結果!N409))</f>
        <v/>
      </c>
      <c r="O409" s="13" t="str">
        <f>IF(IF(ISNA(計算結果!O409),"",計算結果!O409)=0,"",IF(ISNA(計算結果!O409),"",計算結果!O409))</f>
        <v/>
      </c>
      <c r="P409" s="10" t="str">
        <f>IF(IF(ISNA(計算結果!P409),"",計算結果!P409)=0,"",IF(ISNA(計算結果!P409),"",計算結果!P409))</f>
        <v/>
      </c>
      <c r="Q409" s="10" t="str">
        <f>IF(IF(ISNA(計算結果!Q409),"",計算結果!Q409)=0,"",IF(ISNA(計算結果!Q409),"",計算結果!Q409))</f>
        <v/>
      </c>
      <c r="R409" s="14" t="str">
        <f t="shared" si="18"/>
        <v/>
      </c>
      <c r="S409" s="14" t="str">
        <f t="shared" si="19"/>
        <v>◯</v>
      </c>
      <c r="T409" s="14" t="str">
        <f t="shared" si="20"/>
        <v/>
      </c>
    </row>
    <row r="410" spans="1:20" hidden="1" x14ac:dyDescent="0.45">
      <c r="A410" s="10" t="str">
        <f>IF(IF(ISNA(計算結果!A410),"",計算結果!A410)=0,"",IF(ISNA(計算結果!A410),"",計算結果!A410))</f>
        <v/>
      </c>
      <c r="B410" s="10" t="str">
        <f>IF(IF(ISNA(計算結果!B410),"",計算結果!B410)=0,"",IF(ISNA(計算結果!B410),"",計算結果!B410))</f>
        <v/>
      </c>
      <c r="C410" s="10" t="str">
        <f>IF(IF(ISNA(計算結果!C410),"",計算結果!C410)=0,"",IF(ISNA(計算結果!C410),"",計算結果!C410))</f>
        <v/>
      </c>
      <c r="D410" s="10" t="str">
        <f>IF(IF(ISNA(計算結果!D410),"",計算結果!D410)=0,"",IF(ISNA(計算結果!D410),"",計算結果!D410))</f>
        <v>L</v>
      </c>
      <c r="E410" s="10" t="str">
        <f>IF(IF(ISNA(計算結果!E410),"",計算結果!E410)=0,"",IF(ISNA(計算結果!E410),"",計算結果!E410))</f>
        <v/>
      </c>
      <c r="F410" s="10" t="str">
        <f>IF(IF(ISNA(計算結果!F410),"",計算結果!F410)=0,"",IF(ISNA(計算結果!F410),"",計算結果!F410))</f>
        <v/>
      </c>
      <c r="G410" s="10" t="str">
        <f>IF(IF(ISNA(計算結果!G410),"",計算結果!G410)=0,"",IF(ISNA(計算結果!G410),"",計算結果!G410))</f>
        <v/>
      </c>
      <c r="H410" s="13">
        <f>IF(IF(ISNA(計算結果!H410),"",計算結果!H410)=0,"",IF(ISNA(計算結果!H410),"",計算結果!H410))</f>
        <v>-2</v>
      </c>
      <c r="I410" s="12" t="str">
        <f>IF(IF(ISNA(計算結果!I410),"",計算結果!I410)=0,"",IF(ISNA(計算結果!I410),"",計算結果!I410))</f>
        <v/>
      </c>
      <c r="J410" s="12" t="str">
        <f>IF(IF(ISNA(計算結果!J410),"",計算結果!J410)=0,"",IF(ISNA(計算結果!J410),"",計算結果!J410))</f>
        <v/>
      </c>
      <c r="K410" s="23" t="str">
        <f>IF(IF(ISNA(計算結果!K410),"",計算結果!K410)=0,"",IF(ISNA(計算結果!K410),"",計算結果!K410))</f>
        <v/>
      </c>
      <c r="L410" s="13" t="str">
        <f>IF(IF(ISNA(計算結果!L410),"",計算結果!L410)=0,"",IF(ISNA(計算結果!L410),"",計算結果!L410))</f>
        <v/>
      </c>
      <c r="M410" s="10" t="str">
        <f>IF(IF(ISNA(計算結果!M410),"",計算結果!M410)=0,"",IF(ISNA(計算結果!M410),"",計算結果!M410))</f>
        <v/>
      </c>
      <c r="N410" s="10" t="str">
        <f>IF(IF(ISNA(計算結果!N410),"",計算結果!N410)=0,"",IF(ISNA(計算結果!N410),"",計算結果!N410))</f>
        <v/>
      </c>
      <c r="O410" s="13" t="str">
        <f>IF(IF(ISNA(計算結果!O410),"",計算結果!O410)=0,"",IF(ISNA(計算結果!O410),"",計算結果!O410))</f>
        <v/>
      </c>
      <c r="P410" s="10" t="str">
        <f>IF(IF(ISNA(計算結果!P410),"",計算結果!P410)=0,"",IF(ISNA(計算結果!P410),"",計算結果!P410))</f>
        <v/>
      </c>
      <c r="Q410" s="10" t="str">
        <f>IF(IF(ISNA(計算結果!Q410),"",計算結果!Q410)=0,"",IF(ISNA(計算結果!Q410),"",計算結果!Q410))</f>
        <v/>
      </c>
      <c r="R410" s="14" t="str">
        <f t="shared" si="18"/>
        <v/>
      </c>
      <c r="S410" s="14" t="str">
        <f t="shared" si="19"/>
        <v>◯</v>
      </c>
      <c r="T410" s="14" t="str">
        <f t="shared" si="20"/>
        <v/>
      </c>
    </row>
    <row r="411" spans="1:20" hidden="1" x14ac:dyDescent="0.45">
      <c r="A411" s="10" t="str">
        <f>IF(IF(ISNA(計算結果!A411),"",計算結果!A411)=0,"",IF(ISNA(計算結果!A411),"",計算結果!A411))</f>
        <v/>
      </c>
      <c r="B411" s="10" t="str">
        <f>IF(IF(ISNA(計算結果!B411),"",計算結果!B411)=0,"",IF(ISNA(計算結果!B411),"",計算結果!B411))</f>
        <v/>
      </c>
      <c r="C411" s="10" t="str">
        <f>IF(IF(ISNA(計算結果!C411),"",計算結果!C411)=0,"",IF(ISNA(計算結果!C411),"",計算結果!C411))</f>
        <v/>
      </c>
      <c r="D411" s="10" t="str">
        <f>IF(IF(ISNA(計算結果!D411),"",計算結果!D411)=0,"",IF(ISNA(計算結果!D411),"",計算結果!D411))</f>
        <v>L</v>
      </c>
      <c r="E411" s="10" t="str">
        <f>IF(IF(ISNA(計算結果!E411),"",計算結果!E411)=0,"",IF(ISNA(計算結果!E411),"",計算結果!E411))</f>
        <v/>
      </c>
      <c r="F411" s="10" t="str">
        <f>IF(IF(ISNA(計算結果!F411),"",計算結果!F411)=0,"",IF(ISNA(計算結果!F411),"",計算結果!F411))</f>
        <v/>
      </c>
      <c r="G411" s="10" t="str">
        <f>IF(IF(ISNA(計算結果!G411),"",計算結果!G411)=0,"",IF(ISNA(計算結果!G411),"",計算結果!G411))</f>
        <v/>
      </c>
      <c r="H411" s="13">
        <f>IF(IF(ISNA(計算結果!H411),"",計算結果!H411)=0,"",IF(ISNA(計算結果!H411),"",計算結果!H411))</f>
        <v>-2</v>
      </c>
      <c r="I411" s="12" t="str">
        <f>IF(IF(ISNA(計算結果!I411),"",計算結果!I411)=0,"",IF(ISNA(計算結果!I411),"",計算結果!I411))</f>
        <v/>
      </c>
      <c r="J411" s="12" t="str">
        <f>IF(IF(ISNA(計算結果!J411),"",計算結果!J411)=0,"",IF(ISNA(計算結果!J411),"",計算結果!J411))</f>
        <v/>
      </c>
      <c r="K411" s="23" t="str">
        <f>IF(IF(ISNA(計算結果!K411),"",計算結果!K411)=0,"",IF(ISNA(計算結果!K411),"",計算結果!K411))</f>
        <v/>
      </c>
      <c r="L411" s="13" t="str">
        <f>IF(IF(ISNA(計算結果!L411),"",計算結果!L411)=0,"",IF(ISNA(計算結果!L411),"",計算結果!L411))</f>
        <v/>
      </c>
      <c r="M411" s="10" t="str">
        <f>IF(IF(ISNA(計算結果!M411),"",計算結果!M411)=0,"",IF(ISNA(計算結果!M411),"",計算結果!M411))</f>
        <v/>
      </c>
      <c r="N411" s="10" t="str">
        <f>IF(IF(ISNA(計算結果!N411),"",計算結果!N411)=0,"",IF(ISNA(計算結果!N411),"",計算結果!N411))</f>
        <v/>
      </c>
      <c r="O411" s="13" t="str">
        <f>IF(IF(ISNA(計算結果!O411),"",計算結果!O411)=0,"",IF(ISNA(計算結果!O411),"",計算結果!O411))</f>
        <v/>
      </c>
      <c r="P411" s="10" t="str">
        <f>IF(IF(ISNA(計算結果!P411),"",計算結果!P411)=0,"",IF(ISNA(計算結果!P411),"",計算結果!P411))</f>
        <v/>
      </c>
      <c r="Q411" s="10" t="str">
        <f>IF(IF(ISNA(計算結果!Q411),"",計算結果!Q411)=0,"",IF(ISNA(計算結果!Q411),"",計算結果!Q411))</f>
        <v/>
      </c>
      <c r="R411" s="14" t="str">
        <f t="shared" si="18"/>
        <v/>
      </c>
      <c r="S411" s="14" t="str">
        <f t="shared" si="19"/>
        <v>◯</v>
      </c>
      <c r="T411" s="14" t="str">
        <f t="shared" si="20"/>
        <v/>
      </c>
    </row>
    <row r="412" spans="1:20" hidden="1" x14ac:dyDescent="0.45">
      <c r="A412" s="10" t="str">
        <f>IF(IF(ISNA(計算結果!A412),"",計算結果!A412)=0,"",IF(ISNA(計算結果!A412),"",計算結果!A412))</f>
        <v/>
      </c>
      <c r="B412" s="10" t="str">
        <f>IF(IF(ISNA(計算結果!B412),"",計算結果!B412)=0,"",IF(ISNA(計算結果!B412),"",計算結果!B412))</f>
        <v/>
      </c>
      <c r="C412" s="10" t="str">
        <f>IF(IF(ISNA(計算結果!C412),"",計算結果!C412)=0,"",IF(ISNA(計算結果!C412),"",計算結果!C412))</f>
        <v/>
      </c>
      <c r="D412" s="10" t="str">
        <f>IF(IF(ISNA(計算結果!D412),"",計算結果!D412)=0,"",IF(ISNA(計算結果!D412),"",計算結果!D412))</f>
        <v>L</v>
      </c>
      <c r="E412" s="10" t="str">
        <f>IF(IF(ISNA(計算結果!E412),"",計算結果!E412)=0,"",IF(ISNA(計算結果!E412),"",計算結果!E412))</f>
        <v/>
      </c>
      <c r="F412" s="10" t="str">
        <f>IF(IF(ISNA(計算結果!F412),"",計算結果!F412)=0,"",IF(ISNA(計算結果!F412),"",計算結果!F412))</f>
        <v/>
      </c>
      <c r="G412" s="10" t="str">
        <f>IF(IF(ISNA(計算結果!G412),"",計算結果!G412)=0,"",IF(ISNA(計算結果!G412),"",計算結果!G412))</f>
        <v/>
      </c>
      <c r="H412" s="13">
        <f>IF(IF(ISNA(計算結果!H412),"",計算結果!H412)=0,"",IF(ISNA(計算結果!H412),"",計算結果!H412))</f>
        <v>-2</v>
      </c>
      <c r="I412" s="12" t="str">
        <f>IF(IF(ISNA(計算結果!I412),"",計算結果!I412)=0,"",IF(ISNA(計算結果!I412),"",計算結果!I412))</f>
        <v/>
      </c>
      <c r="J412" s="12" t="str">
        <f>IF(IF(ISNA(計算結果!J412),"",計算結果!J412)=0,"",IF(ISNA(計算結果!J412),"",計算結果!J412))</f>
        <v/>
      </c>
      <c r="K412" s="23" t="str">
        <f>IF(IF(ISNA(計算結果!K412),"",計算結果!K412)=0,"",IF(ISNA(計算結果!K412),"",計算結果!K412))</f>
        <v/>
      </c>
      <c r="L412" s="13" t="str">
        <f>IF(IF(ISNA(計算結果!L412),"",計算結果!L412)=0,"",IF(ISNA(計算結果!L412),"",計算結果!L412))</f>
        <v/>
      </c>
      <c r="M412" s="10" t="str">
        <f>IF(IF(ISNA(計算結果!M412),"",計算結果!M412)=0,"",IF(ISNA(計算結果!M412),"",計算結果!M412))</f>
        <v/>
      </c>
      <c r="N412" s="10" t="str">
        <f>IF(IF(ISNA(計算結果!N412),"",計算結果!N412)=0,"",IF(ISNA(計算結果!N412),"",計算結果!N412))</f>
        <v/>
      </c>
      <c r="O412" s="13" t="str">
        <f>IF(IF(ISNA(計算結果!O412),"",計算結果!O412)=0,"",IF(ISNA(計算結果!O412),"",計算結果!O412))</f>
        <v/>
      </c>
      <c r="P412" s="10" t="str">
        <f>IF(IF(ISNA(計算結果!P412),"",計算結果!P412)=0,"",IF(ISNA(計算結果!P412),"",計算結果!P412))</f>
        <v/>
      </c>
      <c r="Q412" s="10" t="str">
        <f>IF(IF(ISNA(計算結果!Q412),"",計算結果!Q412)=0,"",IF(ISNA(計算結果!Q412),"",計算結果!Q412))</f>
        <v/>
      </c>
      <c r="R412" s="14" t="str">
        <f t="shared" si="18"/>
        <v/>
      </c>
      <c r="S412" s="14" t="str">
        <f t="shared" si="19"/>
        <v>◯</v>
      </c>
      <c r="T412" s="14" t="str">
        <f t="shared" si="20"/>
        <v/>
      </c>
    </row>
    <row r="413" spans="1:20" hidden="1" x14ac:dyDescent="0.45">
      <c r="A413" s="10" t="str">
        <f>IF(IF(ISNA(計算結果!A413),"",計算結果!A413)=0,"",IF(ISNA(計算結果!A413),"",計算結果!A413))</f>
        <v/>
      </c>
      <c r="B413" s="10" t="str">
        <f>IF(IF(ISNA(計算結果!B413),"",計算結果!B413)=0,"",IF(ISNA(計算結果!B413),"",計算結果!B413))</f>
        <v/>
      </c>
      <c r="C413" s="10" t="str">
        <f>IF(IF(ISNA(計算結果!C413),"",計算結果!C413)=0,"",IF(ISNA(計算結果!C413),"",計算結果!C413))</f>
        <v/>
      </c>
      <c r="D413" s="10" t="str">
        <f>IF(IF(ISNA(計算結果!D413),"",計算結果!D413)=0,"",IF(ISNA(計算結果!D413),"",計算結果!D413))</f>
        <v>L</v>
      </c>
      <c r="E413" s="10" t="str">
        <f>IF(IF(ISNA(計算結果!E413),"",計算結果!E413)=0,"",IF(ISNA(計算結果!E413),"",計算結果!E413))</f>
        <v/>
      </c>
      <c r="F413" s="10" t="str">
        <f>IF(IF(ISNA(計算結果!F413),"",計算結果!F413)=0,"",IF(ISNA(計算結果!F413),"",計算結果!F413))</f>
        <v/>
      </c>
      <c r="G413" s="10" t="str">
        <f>IF(IF(ISNA(計算結果!G413),"",計算結果!G413)=0,"",IF(ISNA(計算結果!G413),"",計算結果!G413))</f>
        <v/>
      </c>
      <c r="H413" s="13">
        <f>IF(IF(ISNA(計算結果!H413),"",計算結果!H413)=0,"",IF(ISNA(計算結果!H413),"",計算結果!H413))</f>
        <v>-2</v>
      </c>
      <c r="I413" s="12" t="str">
        <f>IF(IF(ISNA(計算結果!I413),"",計算結果!I413)=0,"",IF(ISNA(計算結果!I413),"",計算結果!I413))</f>
        <v/>
      </c>
      <c r="J413" s="12" t="str">
        <f>IF(IF(ISNA(計算結果!J413),"",計算結果!J413)=0,"",IF(ISNA(計算結果!J413),"",計算結果!J413))</f>
        <v/>
      </c>
      <c r="K413" s="23" t="str">
        <f>IF(IF(ISNA(計算結果!K413),"",計算結果!K413)=0,"",IF(ISNA(計算結果!K413),"",計算結果!K413))</f>
        <v/>
      </c>
      <c r="L413" s="13" t="str">
        <f>IF(IF(ISNA(計算結果!L413),"",計算結果!L413)=0,"",IF(ISNA(計算結果!L413),"",計算結果!L413))</f>
        <v/>
      </c>
      <c r="M413" s="10" t="str">
        <f>IF(IF(ISNA(計算結果!M413),"",計算結果!M413)=0,"",IF(ISNA(計算結果!M413),"",計算結果!M413))</f>
        <v/>
      </c>
      <c r="N413" s="10" t="str">
        <f>IF(IF(ISNA(計算結果!N413),"",計算結果!N413)=0,"",IF(ISNA(計算結果!N413),"",計算結果!N413))</f>
        <v/>
      </c>
      <c r="O413" s="13" t="str">
        <f>IF(IF(ISNA(計算結果!O413),"",計算結果!O413)=0,"",IF(ISNA(計算結果!O413),"",計算結果!O413))</f>
        <v/>
      </c>
      <c r="P413" s="10" t="str">
        <f>IF(IF(ISNA(計算結果!P413),"",計算結果!P413)=0,"",IF(ISNA(計算結果!P413),"",計算結果!P413))</f>
        <v/>
      </c>
      <c r="Q413" s="10" t="str">
        <f>IF(IF(ISNA(計算結果!Q413),"",計算結果!Q413)=0,"",IF(ISNA(計算結果!Q413),"",計算結果!Q413))</f>
        <v/>
      </c>
      <c r="R413" s="14" t="str">
        <f t="shared" si="18"/>
        <v/>
      </c>
      <c r="S413" s="14" t="str">
        <f t="shared" si="19"/>
        <v>◯</v>
      </c>
      <c r="T413" s="14" t="str">
        <f t="shared" si="20"/>
        <v/>
      </c>
    </row>
    <row r="414" spans="1:20" hidden="1" x14ac:dyDescent="0.45">
      <c r="A414" s="10" t="str">
        <f>IF(IF(ISNA(計算結果!A414),"",計算結果!A414)=0,"",IF(ISNA(計算結果!A414),"",計算結果!A414))</f>
        <v/>
      </c>
      <c r="B414" s="10" t="str">
        <f>IF(IF(ISNA(計算結果!B414),"",計算結果!B414)=0,"",IF(ISNA(計算結果!B414),"",計算結果!B414))</f>
        <v/>
      </c>
      <c r="C414" s="10" t="str">
        <f>IF(IF(ISNA(計算結果!C414),"",計算結果!C414)=0,"",IF(ISNA(計算結果!C414),"",計算結果!C414))</f>
        <v/>
      </c>
      <c r="D414" s="10" t="str">
        <f>IF(IF(ISNA(計算結果!D414),"",計算結果!D414)=0,"",IF(ISNA(計算結果!D414),"",計算結果!D414))</f>
        <v>L</v>
      </c>
      <c r="E414" s="10" t="str">
        <f>IF(IF(ISNA(計算結果!E414),"",計算結果!E414)=0,"",IF(ISNA(計算結果!E414),"",計算結果!E414))</f>
        <v/>
      </c>
      <c r="F414" s="10" t="str">
        <f>IF(IF(ISNA(計算結果!F414),"",計算結果!F414)=0,"",IF(ISNA(計算結果!F414),"",計算結果!F414))</f>
        <v/>
      </c>
      <c r="G414" s="10" t="str">
        <f>IF(IF(ISNA(計算結果!G414),"",計算結果!G414)=0,"",IF(ISNA(計算結果!G414),"",計算結果!G414))</f>
        <v/>
      </c>
      <c r="H414" s="13">
        <f>IF(IF(ISNA(計算結果!H414),"",計算結果!H414)=0,"",IF(ISNA(計算結果!H414),"",計算結果!H414))</f>
        <v>-2</v>
      </c>
      <c r="I414" s="12" t="str">
        <f>IF(IF(ISNA(計算結果!I414),"",計算結果!I414)=0,"",IF(ISNA(計算結果!I414),"",計算結果!I414))</f>
        <v/>
      </c>
      <c r="J414" s="12" t="str">
        <f>IF(IF(ISNA(計算結果!J414),"",計算結果!J414)=0,"",IF(ISNA(計算結果!J414),"",計算結果!J414))</f>
        <v/>
      </c>
      <c r="K414" s="23" t="str">
        <f>IF(IF(ISNA(計算結果!K414),"",計算結果!K414)=0,"",IF(ISNA(計算結果!K414),"",計算結果!K414))</f>
        <v/>
      </c>
      <c r="L414" s="13" t="str">
        <f>IF(IF(ISNA(計算結果!L414),"",計算結果!L414)=0,"",IF(ISNA(計算結果!L414),"",計算結果!L414))</f>
        <v/>
      </c>
      <c r="M414" s="10" t="str">
        <f>IF(IF(ISNA(計算結果!M414),"",計算結果!M414)=0,"",IF(ISNA(計算結果!M414),"",計算結果!M414))</f>
        <v/>
      </c>
      <c r="N414" s="10" t="str">
        <f>IF(IF(ISNA(計算結果!N414),"",計算結果!N414)=0,"",IF(ISNA(計算結果!N414),"",計算結果!N414))</f>
        <v/>
      </c>
      <c r="O414" s="13" t="str">
        <f>IF(IF(ISNA(計算結果!O414),"",計算結果!O414)=0,"",IF(ISNA(計算結果!O414),"",計算結果!O414))</f>
        <v/>
      </c>
      <c r="P414" s="10" t="str">
        <f>IF(IF(ISNA(計算結果!P414),"",計算結果!P414)=0,"",IF(ISNA(計算結果!P414),"",計算結果!P414))</f>
        <v/>
      </c>
      <c r="Q414" s="10" t="str">
        <f>IF(IF(ISNA(計算結果!Q414),"",計算結果!Q414)=0,"",IF(ISNA(計算結果!Q414),"",計算結果!Q414))</f>
        <v/>
      </c>
      <c r="R414" s="14" t="str">
        <f t="shared" si="18"/>
        <v/>
      </c>
      <c r="S414" s="14" t="str">
        <f t="shared" si="19"/>
        <v>◯</v>
      </c>
      <c r="T414" s="14" t="str">
        <f t="shared" si="20"/>
        <v/>
      </c>
    </row>
    <row r="415" spans="1:20" hidden="1" x14ac:dyDescent="0.45">
      <c r="A415" s="10" t="str">
        <f>IF(IF(ISNA(計算結果!A415),"",計算結果!A415)=0,"",IF(ISNA(計算結果!A415),"",計算結果!A415))</f>
        <v/>
      </c>
      <c r="B415" s="10" t="str">
        <f>IF(IF(ISNA(計算結果!B415),"",計算結果!B415)=0,"",IF(ISNA(計算結果!B415),"",計算結果!B415))</f>
        <v/>
      </c>
      <c r="C415" s="10" t="str">
        <f>IF(IF(ISNA(計算結果!C415),"",計算結果!C415)=0,"",IF(ISNA(計算結果!C415),"",計算結果!C415))</f>
        <v/>
      </c>
      <c r="D415" s="10" t="str">
        <f>IF(IF(ISNA(計算結果!D415),"",計算結果!D415)=0,"",IF(ISNA(計算結果!D415),"",計算結果!D415))</f>
        <v>L</v>
      </c>
      <c r="E415" s="10" t="str">
        <f>IF(IF(ISNA(計算結果!E415),"",計算結果!E415)=0,"",IF(ISNA(計算結果!E415),"",計算結果!E415))</f>
        <v/>
      </c>
      <c r="F415" s="10" t="str">
        <f>IF(IF(ISNA(計算結果!F415),"",計算結果!F415)=0,"",IF(ISNA(計算結果!F415),"",計算結果!F415))</f>
        <v/>
      </c>
      <c r="G415" s="10" t="str">
        <f>IF(IF(ISNA(計算結果!G415),"",計算結果!G415)=0,"",IF(ISNA(計算結果!G415),"",計算結果!G415))</f>
        <v/>
      </c>
      <c r="H415" s="13">
        <f>IF(IF(ISNA(計算結果!H415),"",計算結果!H415)=0,"",IF(ISNA(計算結果!H415),"",計算結果!H415))</f>
        <v>-2</v>
      </c>
      <c r="I415" s="12" t="str">
        <f>IF(IF(ISNA(計算結果!I415),"",計算結果!I415)=0,"",IF(ISNA(計算結果!I415),"",計算結果!I415))</f>
        <v/>
      </c>
      <c r="J415" s="12" t="str">
        <f>IF(IF(ISNA(計算結果!J415),"",計算結果!J415)=0,"",IF(ISNA(計算結果!J415),"",計算結果!J415))</f>
        <v/>
      </c>
      <c r="K415" s="23" t="str">
        <f>IF(IF(ISNA(計算結果!K415),"",計算結果!K415)=0,"",IF(ISNA(計算結果!K415),"",計算結果!K415))</f>
        <v/>
      </c>
      <c r="L415" s="13" t="str">
        <f>IF(IF(ISNA(計算結果!L415),"",計算結果!L415)=0,"",IF(ISNA(計算結果!L415),"",計算結果!L415))</f>
        <v/>
      </c>
      <c r="M415" s="10" t="str">
        <f>IF(IF(ISNA(計算結果!M415),"",計算結果!M415)=0,"",IF(ISNA(計算結果!M415),"",計算結果!M415))</f>
        <v/>
      </c>
      <c r="N415" s="10" t="str">
        <f>IF(IF(ISNA(計算結果!N415),"",計算結果!N415)=0,"",IF(ISNA(計算結果!N415),"",計算結果!N415))</f>
        <v/>
      </c>
      <c r="O415" s="13" t="str">
        <f>IF(IF(ISNA(計算結果!O415),"",計算結果!O415)=0,"",IF(ISNA(計算結果!O415),"",計算結果!O415))</f>
        <v/>
      </c>
      <c r="P415" s="10" t="str">
        <f>IF(IF(ISNA(計算結果!P415),"",計算結果!P415)=0,"",IF(ISNA(計算結果!P415),"",計算結果!P415))</f>
        <v/>
      </c>
      <c r="Q415" s="10" t="str">
        <f>IF(IF(ISNA(計算結果!Q415),"",計算結果!Q415)=0,"",IF(ISNA(計算結果!Q415),"",計算結果!Q415))</f>
        <v/>
      </c>
      <c r="R415" s="14" t="str">
        <f t="shared" si="18"/>
        <v/>
      </c>
      <c r="S415" s="14" t="str">
        <f t="shared" si="19"/>
        <v>◯</v>
      </c>
      <c r="T415" s="14" t="str">
        <f t="shared" si="20"/>
        <v/>
      </c>
    </row>
    <row r="416" spans="1:20" hidden="1" x14ac:dyDescent="0.45">
      <c r="A416" s="10" t="str">
        <f>IF(IF(ISNA(計算結果!A416),"",計算結果!A416)=0,"",IF(ISNA(計算結果!A416),"",計算結果!A416))</f>
        <v/>
      </c>
      <c r="B416" s="10" t="str">
        <f>IF(IF(ISNA(計算結果!B416),"",計算結果!B416)=0,"",IF(ISNA(計算結果!B416),"",計算結果!B416))</f>
        <v/>
      </c>
      <c r="C416" s="10" t="str">
        <f>IF(IF(ISNA(計算結果!C416),"",計算結果!C416)=0,"",IF(ISNA(計算結果!C416),"",計算結果!C416))</f>
        <v/>
      </c>
      <c r="D416" s="10" t="str">
        <f>IF(IF(ISNA(計算結果!D416),"",計算結果!D416)=0,"",IF(ISNA(計算結果!D416),"",計算結果!D416))</f>
        <v>L</v>
      </c>
      <c r="E416" s="10" t="str">
        <f>IF(IF(ISNA(計算結果!E416),"",計算結果!E416)=0,"",IF(ISNA(計算結果!E416),"",計算結果!E416))</f>
        <v/>
      </c>
      <c r="F416" s="10" t="str">
        <f>IF(IF(ISNA(計算結果!F416),"",計算結果!F416)=0,"",IF(ISNA(計算結果!F416),"",計算結果!F416))</f>
        <v/>
      </c>
      <c r="G416" s="10" t="str">
        <f>IF(IF(ISNA(計算結果!G416),"",計算結果!G416)=0,"",IF(ISNA(計算結果!G416),"",計算結果!G416))</f>
        <v/>
      </c>
      <c r="H416" s="13">
        <f>IF(IF(ISNA(計算結果!H416),"",計算結果!H416)=0,"",IF(ISNA(計算結果!H416),"",計算結果!H416))</f>
        <v>-2</v>
      </c>
      <c r="I416" s="12" t="str">
        <f>IF(IF(ISNA(計算結果!I416),"",計算結果!I416)=0,"",IF(ISNA(計算結果!I416),"",計算結果!I416))</f>
        <v/>
      </c>
      <c r="J416" s="12" t="str">
        <f>IF(IF(ISNA(計算結果!J416),"",計算結果!J416)=0,"",IF(ISNA(計算結果!J416),"",計算結果!J416))</f>
        <v/>
      </c>
      <c r="K416" s="23" t="str">
        <f>IF(IF(ISNA(計算結果!K416),"",計算結果!K416)=0,"",IF(ISNA(計算結果!K416),"",計算結果!K416))</f>
        <v/>
      </c>
      <c r="L416" s="13" t="str">
        <f>IF(IF(ISNA(計算結果!L416),"",計算結果!L416)=0,"",IF(ISNA(計算結果!L416),"",計算結果!L416))</f>
        <v/>
      </c>
      <c r="M416" s="10" t="str">
        <f>IF(IF(ISNA(計算結果!M416),"",計算結果!M416)=0,"",IF(ISNA(計算結果!M416),"",計算結果!M416))</f>
        <v/>
      </c>
      <c r="N416" s="10" t="str">
        <f>IF(IF(ISNA(計算結果!N416),"",計算結果!N416)=0,"",IF(ISNA(計算結果!N416),"",計算結果!N416))</f>
        <v/>
      </c>
      <c r="O416" s="13" t="str">
        <f>IF(IF(ISNA(計算結果!O416),"",計算結果!O416)=0,"",IF(ISNA(計算結果!O416),"",計算結果!O416))</f>
        <v/>
      </c>
      <c r="P416" s="10" t="str">
        <f>IF(IF(ISNA(計算結果!P416),"",計算結果!P416)=0,"",IF(ISNA(計算結果!P416),"",計算結果!P416))</f>
        <v/>
      </c>
      <c r="Q416" s="10" t="str">
        <f>IF(IF(ISNA(計算結果!Q416),"",計算結果!Q416)=0,"",IF(ISNA(計算結果!Q416),"",計算結果!Q416))</f>
        <v/>
      </c>
      <c r="R416" s="14" t="str">
        <f t="shared" si="18"/>
        <v/>
      </c>
      <c r="S416" s="14" t="str">
        <f t="shared" si="19"/>
        <v>◯</v>
      </c>
      <c r="T416" s="14" t="str">
        <f t="shared" si="20"/>
        <v/>
      </c>
    </row>
    <row r="417" spans="1:20" hidden="1" x14ac:dyDescent="0.45">
      <c r="A417" s="10" t="str">
        <f>IF(IF(ISNA(計算結果!A417),"",計算結果!A417)=0,"",IF(ISNA(計算結果!A417),"",計算結果!A417))</f>
        <v/>
      </c>
      <c r="B417" s="10" t="str">
        <f>IF(IF(ISNA(計算結果!B417),"",計算結果!B417)=0,"",IF(ISNA(計算結果!B417),"",計算結果!B417))</f>
        <v/>
      </c>
      <c r="C417" s="10" t="str">
        <f>IF(IF(ISNA(計算結果!C417),"",計算結果!C417)=0,"",IF(ISNA(計算結果!C417),"",計算結果!C417))</f>
        <v/>
      </c>
      <c r="D417" s="10" t="str">
        <f>IF(IF(ISNA(計算結果!D417),"",計算結果!D417)=0,"",IF(ISNA(計算結果!D417),"",計算結果!D417))</f>
        <v>L</v>
      </c>
      <c r="E417" s="10" t="str">
        <f>IF(IF(ISNA(計算結果!E417),"",計算結果!E417)=0,"",IF(ISNA(計算結果!E417),"",計算結果!E417))</f>
        <v/>
      </c>
      <c r="F417" s="10" t="str">
        <f>IF(IF(ISNA(計算結果!F417),"",計算結果!F417)=0,"",IF(ISNA(計算結果!F417),"",計算結果!F417))</f>
        <v/>
      </c>
      <c r="G417" s="10" t="str">
        <f>IF(IF(ISNA(計算結果!G417),"",計算結果!G417)=0,"",IF(ISNA(計算結果!G417),"",計算結果!G417))</f>
        <v/>
      </c>
      <c r="H417" s="13">
        <f>IF(IF(ISNA(計算結果!H417),"",計算結果!H417)=0,"",IF(ISNA(計算結果!H417),"",計算結果!H417))</f>
        <v>-2</v>
      </c>
      <c r="I417" s="12" t="str">
        <f>IF(IF(ISNA(計算結果!I417),"",計算結果!I417)=0,"",IF(ISNA(計算結果!I417),"",計算結果!I417))</f>
        <v/>
      </c>
      <c r="J417" s="12" t="str">
        <f>IF(IF(ISNA(計算結果!J417),"",計算結果!J417)=0,"",IF(ISNA(計算結果!J417),"",計算結果!J417))</f>
        <v/>
      </c>
      <c r="K417" s="23" t="str">
        <f>IF(IF(ISNA(計算結果!K417),"",計算結果!K417)=0,"",IF(ISNA(計算結果!K417),"",計算結果!K417))</f>
        <v/>
      </c>
      <c r="L417" s="13" t="str">
        <f>IF(IF(ISNA(計算結果!L417),"",計算結果!L417)=0,"",IF(ISNA(計算結果!L417),"",計算結果!L417))</f>
        <v/>
      </c>
      <c r="M417" s="10" t="str">
        <f>IF(IF(ISNA(計算結果!M417),"",計算結果!M417)=0,"",IF(ISNA(計算結果!M417),"",計算結果!M417))</f>
        <v/>
      </c>
      <c r="N417" s="10" t="str">
        <f>IF(IF(ISNA(計算結果!N417),"",計算結果!N417)=0,"",IF(ISNA(計算結果!N417),"",計算結果!N417))</f>
        <v/>
      </c>
      <c r="O417" s="13" t="str">
        <f>IF(IF(ISNA(計算結果!O417),"",計算結果!O417)=0,"",IF(ISNA(計算結果!O417),"",計算結果!O417))</f>
        <v/>
      </c>
      <c r="P417" s="10" t="str">
        <f>IF(IF(ISNA(計算結果!P417),"",計算結果!P417)=0,"",IF(ISNA(計算結果!P417),"",計算結果!P417))</f>
        <v/>
      </c>
      <c r="Q417" s="10" t="str">
        <f>IF(IF(ISNA(計算結果!Q417),"",計算結果!Q417)=0,"",IF(ISNA(計算結果!Q417),"",計算結果!Q417))</f>
        <v/>
      </c>
      <c r="R417" s="14" t="str">
        <f t="shared" si="18"/>
        <v/>
      </c>
      <c r="S417" s="14" t="str">
        <f t="shared" si="19"/>
        <v>◯</v>
      </c>
      <c r="T417" s="14" t="str">
        <f t="shared" si="20"/>
        <v/>
      </c>
    </row>
    <row r="418" spans="1:20" hidden="1" x14ac:dyDescent="0.45">
      <c r="A418" s="10" t="str">
        <f>IF(IF(ISNA(計算結果!A418),"",計算結果!A418)=0,"",IF(ISNA(計算結果!A418),"",計算結果!A418))</f>
        <v/>
      </c>
      <c r="B418" s="10" t="str">
        <f>IF(IF(ISNA(計算結果!B418),"",計算結果!B418)=0,"",IF(ISNA(計算結果!B418),"",計算結果!B418))</f>
        <v/>
      </c>
      <c r="C418" s="10" t="str">
        <f>IF(IF(ISNA(計算結果!C418),"",計算結果!C418)=0,"",IF(ISNA(計算結果!C418),"",計算結果!C418))</f>
        <v/>
      </c>
      <c r="D418" s="10" t="str">
        <f>IF(IF(ISNA(計算結果!D418),"",計算結果!D418)=0,"",IF(ISNA(計算結果!D418),"",計算結果!D418))</f>
        <v>L</v>
      </c>
      <c r="E418" s="10" t="str">
        <f>IF(IF(ISNA(計算結果!E418),"",計算結果!E418)=0,"",IF(ISNA(計算結果!E418),"",計算結果!E418))</f>
        <v/>
      </c>
      <c r="F418" s="10" t="str">
        <f>IF(IF(ISNA(計算結果!F418),"",計算結果!F418)=0,"",IF(ISNA(計算結果!F418),"",計算結果!F418))</f>
        <v/>
      </c>
      <c r="G418" s="10" t="str">
        <f>IF(IF(ISNA(計算結果!G418),"",計算結果!G418)=0,"",IF(ISNA(計算結果!G418),"",計算結果!G418))</f>
        <v/>
      </c>
      <c r="H418" s="13">
        <f>IF(IF(ISNA(計算結果!H418),"",計算結果!H418)=0,"",IF(ISNA(計算結果!H418),"",計算結果!H418))</f>
        <v>-2</v>
      </c>
      <c r="I418" s="12" t="str">
        <f>IF(IF(ISNA(計算結果!I418),"",計算結果!I418)=0,"",IF(ISNA(計算結果!I418),"",計算結果!I418))</f>
        <v/>
      </c>
      <c r="J418" s="12" t="str">
        <f>IF(IF(ISNA(計算結果!J418),"",計算結果!J418)=0,"",IF(ISNA(計算結果!J418),"",計算結果!J418))</f>
        <v/>
      </c>
      <c r="K418" s="23" t="str">
        <f>IF(IF(ISNA(計算結果!K418),"",計算結果!K418)=0,"",IF(ISNA(計算結果!K418),"",計算結果!K418))</f>
        <v/>
      </c>
      <c r="L418" s="13" t="str">
        <f>IF(IF(ISNA(計算結果!L418),"",計算結果!L418)=0,"",IF(ISNA(計算結果!L418),"",計算結果!L418))</f>
        <v/>
      </c>
      <c r="M418" s="10" t="str">
        <f>IF(IF(ISNA(計算結果!M418),"",計算結果!M418)=0,"",IF(ISNA(計算結果!M418),"",計算結果!M418))</f>
        <v/>
      </c>
      <c r="N418" s="10" t="str">
        <f>IF(IF(ISNA(計算結果!N418),"",計算結果!N418)=0,"",IF(ISNA(計算結果!N418),"",計算結果!N418))</f>
        <v/>
      </c>
      <c r="O418" s="13" t="str">
        <f>IF(IF(ISNA(計算結果!O418),"",計算結果!O418)=0,"",IF(ISNA(計算結果!O418),"",計算結果!O418))</f>
        <v/>
      </c>
      <c r="P418" s="10" t="str">
        <f>IF(IF(ISNA(計算結果!P418),"",計算結果!P418)=0,"",IF(ISNA(計算結果!P418),"",計算結果!P418))</f>
        <v/>
      </c>
      <c r="Q418" s="10" t="str">
        <f>IF(IF(ISNA(計算結果!Q418),"",計算結果!Q418)=0,"",IF(ISNA(計算結果!Q418),"",計算結果!Q418))</f>
        <v/>
      </c>
      <c r="R418" s="14" t="str">
        <f t="shared" si="18"/>
        <v/>
      </c>
      <c r="S418" s="14" t="str">
        <f t="shared" si="19"/>
        <v>◯</v>
      </c>
      <c r="T418" s="14" t="str">
        <f t="shared" si="20"/>
        <v/>
      </c>
    </row>
    <row r="419" spans="1:20" hidden="1" x14ac:dyDescent="0.45">
      <c r="A419" s="10" t="str">
        <f>IF(IF(ISNA(計算結果!A419),"",計算結果!A419)=0,"",IF(ISNA(計算結果!A419),"",計算結果!A419))</f>
        <v/>
      </c>
      <c r="B419" s="10" t="str">
        <f>IF(IF(ISNA(計算結果!B419),"",計算結果!B419)=0,"",IF(ISNA(計算結果!B419),"",計算結果!B419))</f>
        <v/>
      </c>
      <c r="C419" s="10" t="str">
        <f>IF(IF(ISNA(計算結果!C419),"",計算結果!C419)=0,"",IF(ISNA(計算結果!C419),"",計算結果!C419))</f>
        <v/>
      </c>
      <c r="D419" s="10" t="str">
        <f>IF(IF(ISNA(計算結果!D419),"",計算結果!D419)=0,"",IF(ISNA(計算結果!D419),"",計算結果!D419))</f>
        <v>L</v>
      </c>
      <c r="E419" s="10" t="str">
        <f>IF(IF(ISNA(計算結果!E419),"",計算結果!E419)=0,"",IF(ISNA(計算結果!E419),"",計算結果!E419))</f>
        <v/>
      </c>
      <c r="F419" s="10" t="str">
        <f>IF(IF(ISNA(計算結果!F419),"",計算結果!F419)=0,"",IF(ISNA(計算結果!F419),"",計算結果!F419))</f>
        <v/>
      </c>
      <c r="G419" s="10" t="str">
        <f>IF(IF(ISNA(計算結果!G419),"",計算結果!G419)=0,"",IF(ISNA(計算結果!G419),"",計算結果!G419))</f>
        <v/>
      </c>
      <c r="H419" s="13">
        <f>IF(IF(ISNA(計算結果!H419),"",計算結果!H419)=0,"",IF(ISNA(計算結果!H419),"",計算結果!H419))</f>
        <v>-2</v>
      </c>
      <c r="I419" s="12" t="str">
        <f>IF(IF(ISNA(計算結果!I419),"",計算結果!I419)=0,"",IF(ISNA(計算結果!I419),"",計算結果!I419))</f>
        <v/>
      </c>
      <c r="J419" s="12" t="str">
        <f>IF(IF(ISNA(計算結果!J419),"",計算結果!J419)=0,"",IF(ISNA(計算結果!J419),"",計算結果!J419))</f>
        <v/>
      </c>
      <c r="K419" s="23" t="str">
        <f>IF(IF(ISNA(計算結果!K419),"",計算結果!K419)=0,"",IF(ISNA(計算結果!K419),"",計算結果!K419))</f>
        <v/>
      </c>
      <c r="L419" s="13" t="str">
        <f>IF(IF(ISNA(計算結果!L419),"",計算結果!L419)=0,"",IF(ISNA(計算結果!L419),"",計算結果!L419))</f>
        <v/>
      </c>
      <c r="M419" s="10" t="str">
        <f>IF(IF(ISNA(計算結果!M419),"",計算結果!M419)=0,"",IF(ISNA(計算結果!M419),"",計算結果!M419))</f>
        <v/>
      </c>
      <c r="N419" s="10" t="str">
        <f>IF(IF(ISNA(計算結果!N419),"",計算結果!N419)=0,"",IF(ISNA(計算結果!N419),"",計算結果!N419))</f>
        <v/>
      </c>
      <c r="O419" s="13" t="str">
        <f>IF(IF(ISNA(計算結果!O419),"",計算結果!O419)=0,"",IF(ISNA(計算結果!O419),"",計算結果!O419))</f>
        <v/>
      </c>
      <c r="P419" s="10" t="str">
        <f>IF(IF(ISNA(計算結果!P419),"",計算結果!P419)=0,"",IF(ISNA(計算結果!P419),"",計算結果!P419))</f>
        <v/>
      </c>
      <c r="Q419" s="10" t="str">
        <f>IF(IF(ISNA(計算結果!Q419),"",計算結果!Q419)=0,"",IF(ISNA(計算結果!Q419),"",計算結果!Q419))</f>
        <v/>
      </c>
      <c r="R419" s="14" t="str">
        <f t="shared" si="18"/>
        <v/>
      </c>
      <c r="S419" s="14" t="str">
        <f t="shared" si="19"/>
        <v>◯</v>
      </c>
      <c r="T419" s="14" t="str">
        <f t="shared" si="20"/>
        <v/>
      </c>
    </row>
    <row r="420" spans="1:20" hidden="1" x14ac:dyDescent="0.45">
      <c r="A420" s="10" t="str">
        <f>IF(IF(ISNA(計算結果!A420),"",計算結果!A420)=0,"",IF(ISNA(計算結果!A420),"",計算結果!A420))</f>
        <v/>
      </c>
      <c r="B420" s="10" t="str">
        <f>IF(IF(ISNA(計算結果!B420),"",計算結果!B420)=0,"",IF(ISNA(計算結果!B420),"",計算結果!B420))</f>
        <v/>
      </c>
      <c r="C420" s="10" t="str">
        <f>IF(IF(ISNA(計算結果!C420),"",計算結果!C420)=0,"",IF(ISNA(計算結果!C420),"",計算結果!C420))</f>
        <v/>
      </c>
      <c r="D420" s="10" t="str">
        <f>IF(IF(ISNA(計算結果!D420),"",計算結果!D420)=0,"",IF(ISNA(計算結果!D420),"",計算結果!D420))</f>
        <v>L</v>
      </c>
      <c r="E420" s="10" t="str">
        <f>IF(IF(ISNA(計算結果!E420),"",計算結果!E420)=0,"",IF(ISNA(計算結果!E420),"",計算結果!E420))</f>
        <v/>
      </c>
      <c r="F420" s="10" t="str">
        <f>IF(IF(ISNA(計算結果!F420),"",計算結果!F420)=0,"",IF(ISNA(計算結果!F420),"",計算結果!F420))</f>
        <v/>
      </c>
      <c r="G420" s="10" t="str">
        <f>IF(IF(ISNA(計算結果!G420),"",計算結果!G420)=0,"",IF(ISNA(計算結果!G420),"",計算結果!G420))</f>
        <v/>
      </c>
      <c r="H420" s="13">
        <f>IF(IF(ISNA(計算結果!H420),"",計算結果!H420)=0,"",IF(ISNA(計算結果!H420),"",計算結果!H420))</f>
        <v>-2</v>
      </c>
      <c r="I420" s="12" t="str">
        <f>IF(IF(ISNA(計算結果!I420),"",計算結果!I420)=0,"",IF(ISNA(計算結果!I420),"",計算結果!I420))</f>
        <v/>
      </c>
      <c r="J420" s="12" t="str">
        <f>IF(IF(ISNA(計算結果!J420),"",計算結果!J420)=0,"",IF(ISNA(計算結果!J420),"",計算結果!J420))</f>
        <v/>
      </c>
      <c r="K420" s="23" t="str">
        <f>IF(IF(ISNA(計算結果!K420),"",計算結果!K420)=0,"",IF(ISNA(計算結果!K420),"",計算結果!K420))</f>
        <v/>
      </c>
      <c r="L420" s="13" t="str">
        <f>IF(IF(ISNA(計算結果!L420),"",計算結果!L420)=0,"",IF(ISNA(計算結果!L420),"",計算結果!L420))</f>
        <v/>
      </c>
      <c r="M420" s="10" t="str">
        <f>IF(IF(ISNA(計算結果!M420),"",計算結果!M420)=0,"",IF(ISNA(計算結果!M420),"",計算結果!M420))</f>
        <v/>
      </c>
      <c r="N420" s="10" t="str">
        <f>IF(IF(ISNA(計算結果!N420),"",計算結果!N420)=0,"",IF(ISNA(計算結果!N420),"",計算結果!N420))</f>
        <v/>
      </c>
      <c r="O420" s="13" t="str">
        <f>IF(IF(ISNA(計算結果!O420),"",計算結果!O420)=0,"",IF(ISNA(計算結果!O420),"",計算結果!O420))</f>
        <v/>
      </c>
      <c r="P420" s="10" t="str">
        <f>IF(IF(ISNA(計算結果!P420),"",計算結果!P420)=0,"",IF(ISNA(計算結果!P420),"",計算結果!P420))</f>
        <v/>
      </c>
      <c r="Q420" s="10" t="str">
        <f>IF(IF(ISNA(計算結果!Q420),"",計算結果!Q420)=0,"",IF(ISNA(計算結果!Q420),"",計算結果!Q420))</f>
        <v/>
      </c>
      <c r="R420" s="14" t="str">
        <f t="shared" si="18"/>
        <v/>
      </c>
      <c r="S420" s="14" t="str">
        <f t="shared" si="19"/>
        <v>◯</v>
      </c>
      <c r="T420" s="14" t="str">
        <f t="shared" si="20"/>
        <v/>
      </c>
    </row>
    <row r="421" spans="1:20" hidden="1" x14ac:dyDescent="0.45">
      <c r="A421" s="10" t="str">
        <f>IF(IF(ISNA(計算結果!A421),"",計算結果!A421)=0,"",IF(ISNA(計算結果!A421),"",計算結果!A421))</f>
        <v/>
      </c>
      <c r="B421" s="10" t="str">
        <f>IF(IF(ISNA(計算結果!B421),"",計算結果!B421)=0,"",IF(ISNA(計算結果!B421),"",計算結果!B421))</f>
        <v/>
      </c>
      <c r="C421" s="10" t="str">
        <f>IF(IF(ISNA(計算結果!C421),"",計算結果!C421)=0,"",IF(ISNA(計算結果!C421),"",計算結果!C421))</f>
        <v/>
      </c>
      <c r="D421" s="10" t="str">
        <f>IF(IF(ISNA(計算結果!D421),"",計算結果!D421)=0,"",IF(ISNA(計算結果!D421),"",計算結果!D421))</f>
        <v>L</v>
      </c>
      <c r="E421" s="10" t="str">
        <f>IF(IF(ISNA(計算結果!E421),"",計算結果!E421)=0,"",IF(ISNA(計算結果!E421),"",計算結果!E421))</f>
        <v/>
      </c>
      <c r="F421" s="10" t="str">
        <f>IF(IF(ISNA(計算結果!F421),"",計算結果!F421)=0,"",IF(ISNA(計算結果!F421),"",計算結果!F421))</f>
        <v/>
      </c>
      <c r="G421" s="10" t="str">
        <f>IF(IF(ISNA(計算結果!G421),"",計算結果!G421)=0,"",IF(ISNA(計算結果!G421),"",計算結果!G421))</f>
        <v/>
      </c>
      <c r="H421" s="13">
        <f>IF(IF(ISNA(計算結果!H421),"",計算結果!H421)=0,"",IF(ISNA(計算結果!H421),"",計算結果!H421))</f>
        <v>-2</v>
      </c>
      <c r="I421" s="12" t="str">
        <f>IF(IF(ISNA(計算結果!I421),"",計算結果!I421)=0,"",IF(ISNA(計算結果!I421),"",計算結果!I421))</f>
        <v/>
      </c>
      <c r="J421" s="12" t="str">
        <f>IF(IF(ISNA(計算結果!J421),"",計算結果!J421)=0,"",IF(ISNA(計算結果!J421),"",計算結果!J421))</f>
        <v/>
      </c>
      <c r="K421" s="23" t="str">
        <f>IF(IF(ISNA(計算結果!K421),"",計算結果!K421)=0,"",IF(ISNA(計算結果!K421),"",計算結果!K421))</f>
        <v/>
      </c>
      <c r="L421" s="13" t="str">
        <f>IF(IF(ISNA(計算結果!L421),"",計算結果!L421)=0,"",IF(ISNA(計算結果!L421),"",計算結果!L421))</f>
        <v/>
      </c>
      <c r="M421" s="10" t="str">
        <f>IF(IF(ISNA(計算結果!M421),"",計算結果!M421)=0,"",IF(ISNA(計算結果!M421),"",計算結果!M421))</f>
        <v/>
      </c>
      <c r="N421" s="10" t="str">
        <f>IF(IF(ISNA(計算結果!N421),"",計算結果!N421)=0,"",IF(ISNA(計算結果!N421),"",計算結果!N421))</f>
        <v/>
      </c>
      <c r="O421" s="13" t="str">
        <f>IF(IF(ISNA(計算結果!O421),"",計算結果!O421)=0,"",IF(ISNA(計算結果!O421),"",計算結果!O421))</f>
        <v/>
      </c>
      <c r="P421" s="10" t="str">
        <f>IF(IF(ISNA(計算結果!P421),"",計算結果!P421)=0,"",IF(ISNA(計算結果!P421),"",計算結果!P421))</f>
        <v/>
      </c>
      <c r="Q421" s="10" t="str">
        <f>IF(IF(ISNA(計算結果!Q421),"",計算結果!Q421)=0,"",IF(ISNA(計算結果!Q421),"",計算結果!Q421))</f>
        <v/>
      </c>
      <c r="R421" s="14" t="str">
        <f t="shared" si="18"/>
        <v/>
      </c>
      <c r="S421" s="14" t="str">
        <f t="shared" si="19"/>
        <v>◯</v>
      </c>
      <c r="T421" s="14" t="str">
        <f t="shared" si="20"/>
        <v/>
      </c>
    </row>
    <row r="422" spans="1:20" hidden="1" x14ac:dyDescent="0.45">
      <c r="A422" s="10" t="str">
        <f>IF(IF(ISNA(計算結果!A422),"",計算結果!A422)=0,"",IF(ISNA(計算結果!A422),"",計算結果!A422))</f>
        <v/>
      </c>
      <c r="B422" s="10" t="str">
        <f>IF(IF(ISNA(計算結果!B422),"",計算結果!B422)=0,"",IF(ISNA(計算結果!B422),"",計算結果!B422))</f>
        <v/>
      </c>
      <c r="C422" s="10" t="str">
        <f>IF(IF(ISNA(計算結果!C422),"",計算結果!C422)=0,"",IF(ISNA(計算結果!C422),"",計算結果!C422))</f>
        <v/>
      </c>
      <c r="D422" s="10" t="str">
        <f>IF(IF(ISNA(計算結果!D422),"",計算結果!D422)=0,"",IF(ISNA(計算結果!D422),"",計算結果!D422))</f>
        <v>L</v>
      </c>
      <c r="E422" s="10" t="str">
        <f>IF(IF(ISNA(計算結果!E422),"",計算結果!E422)=0,"",IF(ISNA(計算結果!E422),"",計算結果!E422))</f>
        <v/>
      </c>
      <c r="F422" s="10" t="str">
        <f>IF(IF(ISNA(計算結果!F422),"",計算結果!F422)=0,"",IF(ISNA(計算結果!F422),"",計算結果!F422))</f>
        <v/>
      </c>
      <c r="G422" s="10" t="str">
        <f>IF(IF(ISNA(計算結果!G422),"",計算結果!G422)=0,"",IF(ISNA(計算結果!G422),"",計算結果!G422))</f>
        <v/>
      </c>
      <c r="H422" s="13">
        <f>IF(IF(ISNA(計算結果!H422),"",計算結果!H422)=0,"",IF(ISNA(計算結果!H422),"",計算結果!H422))</f>
        <v>-2</v>
      </c>
      <c r="I422" s="12" t="str">
        <f>IF(IF(ISNA(計算結果!I422),"",計算結果!I422)=0,"",IF(ISNA(計算結果!I422),"",計算結果!I422))</f>
        <v/>
      </c>
      <c r="J422" s="12" t="str">
        <f>IF(IF(ISNA(計算結果!J422),"",計算結果!J422)=0,"",IF(ISNA(計算結果!J422),"",計算結果!J422))</f>
        <v/>
      </c>
      <c r="K422" s="23" t="str">
        <f>IF(IF(ISNA(計算結果!K422),"",計算結果!K422)=0,"",IF(ISNA(計算結果!K422),"",計算結果!K422))</f>
        <v/>
      </c>
      <c r="L422" s="13" t="str">
        <f>IF(IF(ISNA(計算結果!L422),"",計算結果!L422)=0,"",IF(ISNA(計算結果!L422),"",計算結果!L422))</f>
        <v/>
      </c>
      <c r="M422" s="10" t="str">
        <f>IF(IF(ISNA(計算結果!M422),"",計算結果!M422)=0,"",IF(ISNA(計算結果!M422),"",計算結果!M422))</f>
        <v/>
      </c>
      <c r="N422" s="10" t="str">
        <f>IF(IF(ISNA(計算結果!N422),"",計算結果!N422)=0,"",IF(ISNA(計算結果!N422),"",計算結果!N422))</f>
        <v/>
      </c>
      <c r="O422" s="13" t="str">
        <f>IF(IF(ISNA(計算結果!O422),"",計算結果!O422)=0,"",IF(ISNA(計算結果!O422),"",計算結果!O422))</f>
        <v/>
      </c>
      <c r="P422" s="10" t="str">
        <f>IF(IF(ISNA(計算結果!P422),"",計算結果!P422)=0,"",IF(ISNA(計算結果!P422),"",計算結果!P422))</f>
        <v/>
      </c>
      <c r="Q422" s="10" t="str">
        <f>IF(IF(ISNA(計算結果!Q422),"",計算結果!Q422)=0,"",IF(ISNA(計算結果!Q422),"",計算結果!Q422))</f>
        <v/>
      </c>
      <c r="R422" s="14" t="str">
        <f t="shared" si="18"/>
        <v/>
      </c>
      <c r="S422" s="14" t="str">
        <f t="shared" si="19"/>
        <v>◯</v>
      </c>
      <c r="T422" s="14" t="str">
        <f t="shared" si="20"/>
        <v/>
      </c>
    </row>
    <row r="423" spans="1:20" hidden="1" x14ac:dyDescent="0.45">
      <c r="A423" s="10" t="str">
        <f>IF(IF(ISNA(計算結果!A423),"",計算結果!A423)=0,"",IF(ISNA(計算結果!A423),"",計算結果!A423))</f>
        <v/>
      </c>
      <c r="B423" s="10" t="str">
        <f>IF(IF(ISNA(計算結果!B423),"",計算結果!B423)=0,"",IF(ISNA(計算結果!B423),"",計算結果!B423))</f>
        <v/>
      </c>
      <c r="C423" s="10" t="str">
        <f>IF(IF(ISNA(計算結果!C423),"",計算結果!C423)=0,"",IF(ISNA(計算結果!C423),"",計算結果!C423))</f>
        <v/>
      </c>
      <c r="D423" s="10" t="str">
        <f>IF(IF(ISNA(計算結果!D423),"",計算結果!D423)=0,"",IF(ISNA(計算結果!D423),"",計算結果!D423))</f>
        <v>L</v>
      </c>
      <c r="E423" s="10" t="str">
        <f>IF(IF(ISNA(計算結果!E423),"",計算結果!E423)=0,"",IF(ISNA(計算結果!E423),"",計算結果!E423))</f>
        <v/>
      </c>
      <c r="F423" s="10" t="str">
        <f>IF(IF(ISNA(計算結果!F423),"",計算結果!F423)=0,"",IF(ISNA(計算結果!F423),"",計算結果!F423))</f>
        <v/>
      </c>
      <c r="G423" s="10" t="str">
        <f>IF(IF(ISNA(計算結果!G423),"",計算結果!G423)=0,"",IF(ISNA(計算結果!G423),"",計算結果!G423))</f>
        <v/>
      </c>
      <c r="H423" s="13">
        <f>IF(IF(ISNA(計算結果!H423),"",計算結果!H423)=0,"",IF(ISNA(計算結果!H423),"",計算結果!H423))</f>
        <v>-2</v>
      </c>
      <c r="I423" s="12" t="str">
        <f>IF(IF(ISNA(計算結果!I423),"",計算結果!I423)=0,"",IF(ISNA(計算結果!I423),"",計算結果!I423))</f>
        <v/>
      </c>
      <c r="J423" s="12" t="str">
        <f>IF(IF(ISNA(計算結果!J423),"",計算結果!J423)=0,"",IF(ISNA(計算結果!J423),"",計算結果!J423))</f>
        <v/>
      </c>
      <c r="K423" s="23" t="str">
        <f>IF(IF(ISNA(計算結果!K423),"",計算結果!K423)=0,"",IF(ISNA(計算結果!K423),"",計算結果!K423))</f>
        <v/>
      </c>
      <c r="L423" s="13" t="str">
        <f>IF(IF(ISNA(計算結果!L423),"",計算結果!L423)=0,"",IF(ISNA(計算結果!L423),"",計算結果!L423))</f>
        <v/>
      </c>
      <c r="M423" s="10" t="str">
        <f>IF(IF(ISNA(計算結果!M423),"",計算結果!M423)=0,"",IF(ISNA(計算結果!M423),"",計算結果!M423))</f>
        <v/>
      </c>
      <c r="N423" s="10" t="str">
        <f>IF(IF(ISNA(計算結果!N423),"",計算結果!N423)=0,"",IF(ISNA(計算結果!N423),"",計算結果!N423))</f>
        <v/>
      </c>
      <c r="O423" s="13" t="str">
        <f>IF(IF(ISNA(計算結果!O423),"",計算結果!O423)=0,"",IF(ISNA(計算結果!O423),"",計算結果!O423))</f>
        <v/>
      </c>
      <c r="P423" s="10" t="str">
        <f>IF(IF(ISNA(計算結果!P423),"",計算結果!P423)=0,"",IF(ISNA(計算結果!P423),"",計算結果!P423))</f>
        <v/>
      </c>
      <c r="Q423" s="10" t="str">
        <f>IF(IF(ISNA(計算結果!Q423),"",計算結果!Q423)=0,"",IF(ISNA(計算結果!Q423),"",計算結果!Q423))</f>
        <v/>
      </c>
      <c r="R423" s="14" t="str">
        <f t="shared" si="18"/>
        <v/>
      </c>
      <c r="S423" s="14" t="str">
        <f t="shared" si="19"/>
        <v>◯</v>
      </c>
      <c r="T423" s="14" t="str">
        <f t="shared" si="20"/>
        <v/>
      </c>
    </row>
    <row r="424" spans="1:20" hidden="1" x14ac:dyDescent="0.45">
      <c r="A424" s="10" t="str">
        <f>IF(IF(ISNA(計算結果!A424),"",計算結果!A424)=0,"",IF(ISNA(計算結果!A424),"",計算結果!A424))</f>
        <v/>
      </c>
      <c r="B424" s="10" t="str">
        <f>IF(IF(ISNA(計算結果!B424),"",計算結果!B424)=0,"",IF(ISNA(計算結果!B424),"",計算結果!B424))</f>
        <v/>
      </c>
      <c r="C424" s="10" t="str">
        <f>IF(IF(ISNA(計算結果!C424),"",計算結果!C424)=0,"",IF(ISNA(計算結果!C424),"",計算結果!C424))</f>
        <v/>
      </c>
      <c r="D424" s="10" t="str">
        <f>IF(IF(ISNA(計算結果!D424),"",計算結果!D424)=0,"",IF(ISNA(計算結果!D424),"",計算結果!D424))</f>
        <v>L</v>
      </c>
      <c r="E424" s="10" t="str">
        <f>IF(IF(ISNA(計算結果!E424),"",計算結果!E424)=0,"",IF(ISNA(計算結果!E424),"",計算結果!E424))</f>
        <v/>
      </c>
      <c r="F424" s="10" t="str">
        <f>IF(IF(ISNA(計算結果!F424),"",計算結果!F424)=0,"",IF(ISNA(計算結果!F424),"",計算結果!F424))</f>
        <v/>
      </c>
      <c r="G424" s="10" t="str">
        <f>IF(IF(ISNA(計算結果!G424),"",計算結果!G424)=0,"",IF(ISNA(計算結果!G424),"",計算結果!G424))</f>
        <v/>
      </c>
      <c r="H424" s="13">
        <f>IF(IF(ISNA(計算結果!H424),"",計算結果!H424)=0,"",IF(ISNA(計算結果!H424),"",計算結果!H424))</f>
        <v>-2</v>
      </c>
      <c r="I424" s="12" t="str">
        <f>IF(IF(ISNA(計算結果!I424),"",計算結果!I424)=0,"",IF(ISNA(計算結果!I424),"",計算結果!I424))</f>
        <v/>
      </c>
      <c r="J424" s="12" t="str">
        <f>IF(IF(ISNA(計算結果!J424),"",計算結果!J424)=0,"",IF(ISNA(計算結果!J424),"",計算結果!J424))</f>
        <v/>
      </c>
      <c r="K424" s="23" t="str">
        <f>IF(IF(ISNA(計算結果!K424),"",計算結果!K424)=0,"",IF(ISNA(計算結果!K424),"",計算結果!K424))</f>
        <v/>
      </c>
      <c r="L424" s="13" t="str">
        <f>IF(IF(ISNA(計算結果!L424),"",計算結果!L424)=0,"",IF(ISNA(計算結果!L424),"",計算結果!L424))</f>
        <v/>
      </c>
      <c r="M424" s="10" t="str">
        <f>IF(IF(ISNA(計算結果!M424),"",計算結果!M424)=0,"",IF(ISNA(計算結果!M424),"",計算結果!M424))</f>
        <v/>
      </c>
      <c r="N424" s="10" t="str">
        <f>IF(IF(ISNA(計算結果!N424),"",計算結果!N424)=0,"",IF(ISNA(計算結果!N424),"",計算結果!N424))</f>
        <v/>
      </c>
      <c r="O424" s="13" t="str">
        <f>IF(IF(ISNA(計算結果!O424),"",計算結果!O424)=0,"",IF(ISNA(計算結果!O424),"",計算結果!O424))</f>
        <v/>
      </c>
      <c r="P424" s="10" t="str">
        <f>IF(IF(ISNA(計算結果!P424),"",計算結果!P424)=0,"",IF(ISNA(計算結果!P424),"",計算結果!P424))</f>
        <v/>
      </c>
      <c r="Q424" s="10" t="str">
        <f>IF(IF(ISNA(計算結果!Q424),"",計算結果!Q424)=0,"",IF(ISNA(計算結果!Q424),"",計算結果!Q424))</f>
        <v/>
      </c>
      <c r="R424" s="14" t="str">
        <f t="shared" si="18"/>
        <v/>
      </c>
      <c r="S424" s="14" t="str">
        <f t="shared" si="19"/>
        <v>◯</v>
      </c>
      <c r="T424" s="14" t="str">
        <f t="shared" si="20"/>
        <v/>
      </c>
    </row>
    <row r="425" spans="1:20" hidden="1" x14ac:dyDescent="0.45">
      <c r="A425" s="10" t="str">
        <f>IF(IF(ISNA(計算結果!A425),"",計算結果!A425)=0,"",IF(ISNA(計算結果!A425),"",計算結果!A425))</f>
        <v/>
      </c>
      <c r="B425" s="10" t="str">
        <f>IF(IF(ISNA(計算結果!B425),"",計算結果!B425)=0,"",IF(ISNA(計算結果!B425),"",計算結果!B425))</f>
        <v/>
      </c>
      <c r="C425" s="10" t="str">
        <f>IF(IF(ISNA(計算結果!C425),"",計算結果!C425)=0,"",IF(ISNA(計算結果!C425),"",計算結果!C425))</f>
        <v/>
      </c>
      <c r="D425" s="10" t="str">
        <f>IF(IF(ISNA(計算結果!D425),"",計算結果!D425)=0,"",IF(ISNA(計算結果!D425),"",計算結果!D425))</f>
        <v>L</v>
      </c>
      <c r="E425" s="10" t="str">
        <f>IF(IF(ISNA(計算結果!E425),"",計算結果!E425)=0,"",IF(ISNA(計算結果!E425),"",計算結果!E425))</f>
        <v/>
      </c>
      <c r="F425" s="10" t="str">
        <f>IF(IF(ISNA(計算結果!F425),"",計算結果!F425)=0,"",IF(ISNA(計算結果!F425),"",計算結果!F425))</f>
        <v/>
      </c>
      <c r="G425" s="10" t="str">
        <f>IF(IF(ISNA(計算結果!G425),"",計算結果!G425)=0,"",IF(ISNA(計算結果!G425),"",計算結果!G425))</f>
        <v/>
      </c>
      <c r="H425" s="13">
        <f>IF(IF(ISNA(計算結果!H425),"",計算結果!H425)=0,"",IF(ISNA(計算結果!H425),"",計算結果!H425))</f>
        <v>-2</v>
      </c>
      <c r="I425" s="12" t="str">
        <f>IF(IF(ISNA(計算結果!I425),"",計算結果!I425)=0,"",IF(ISNA(計算結果!I425),"",計算結果!I425))</f>
        <v/>
      </c>
      <c r="J425" s="12" t="str">
        <f>IF(IF(ISNA(計算結果!J425),"",計算結果!J425)=0,"",IF(ISNA(計算結果!J425),"",計算結果!J425))</f>
        <v/>
      </c>
      <c r="K425" s="23" t="str">
        <f>IF(IF(ISNA(計算結果!K425),"",計算結果!K425)=0,"",IF(ISNA(計算結果!K425),"",計算結果!K425))</f>
        <v/>
      </c>
      <c r="L425" s="13" t="str">
        <f>IF(IF(ISNA(計算結果!L425),"",計算結果!L425)=0,"",IF(ISNA(計算結果!L425),"",計算結果!L425))</f>
        <v/>
      </c>
      <c r="M425" s="10" t="str">
        <f>IF(IF(ISNA(計算結果!M425),"",計算結果!M425)=0,"",IF(ISNA(計算結果!M425),"",計算結果!M425))</f>
        <v/>
      </c>
      <c r="N425" s="10" t="str">
        <f>IF(IF(ISNA(計算結果!N425),"",計算結果!N425)=0,"",IF(ISNA(計算結果!N425),"",計算結果!N425))</f>
        <v/>
      </c>
      <c r="O425" s="13" t="str">
        <f>IF(IF(ISNA(計算結果!O425),"",計算結果!O425)=0,"",IF(ISNA(計算結果!O425),"",計算結果!O425))</f>
        <v/>
      </c>
      <c r="P425" s="10" t="str">
        <f>IF(IF(ISNA(計算結果!P425),"",計算結果!P425)=0,"",IF(ISNA(計算結果!P425),"",計算結果!P425))</f>
        <v/>
      </c>
      <c r="Q425" s="10" t="str">
        <f>IF(IF(ISNA(計算結果!Q425),"",計算結果!Q425)=0,"",IF(ISNA(計算結果!Q425),"",計算結果!Q425))</f>
        <v/>
      </c>
      <c r="R425" s="14" t="str">
        <f t="shared" si="18"/>
        <v/>
      </c>
      <c r="S425" s="14" t="str">
        <f t="shared" si="19"/>
        <v>◯</v>
      </c>
      <c r="T425" s="14" t="str">
        <f t="shared" si="20"/>
        <v/>
      </c>
    </row>
    <row r="426" spans="1:20" hidden="1" x14ac:dyDescent="0.45">
      <c r="A426" s="10" t="str">
        <f>IF(IF(ISNA(計算結果!A426),"",計算結果!A426)=0,"",IF(ISNA(計算結果!A426),"",計算結果!A426))</f>
        <v/>
      </c>
      <c r="B426" s="10" t="str">
        <f>IF(IF(ISNA(計算結果!B426),"",計算結果!B426)=0,"",IF(ISNA(計算結果!B426),"",計算結果!B426))</f>
        <v/>
      </c>
      <c r="C426" s="10" t="str">
        <f>IF(IF(ISNA(計算結果!C426),"",計算結果!C426)=0,"",IF(ISNA(計算結果!C426),"",計算結果!C426))</f>
        <v/>
      </c>
      <c r="D426" s="10" t="str">
        <f>IF(IF(ISNA(計算結果!D426),"",計算結果!D426)=0,"",IF(ISNA(計算結果!D426),"",計算結果!D426))</f>
        <v>L</v>
      </c>
      <c r="E426" s="10" t="str">
        <f>IF(IF(ISNA(計算結果!E426),"",計算結果!E426)=0,"",IF(ISNA(計算結果!E426),"",計算結果!E426))</f>
        <v/>
      </c>
      <c r="F426" s="10" t="str">
        <f>IF(IF(ISNA(計算結果!F426),"",計算結果!F426)=0,"",IF(ISNA(計算結果!F426),"",計算結果!F426))</f>
        <v/>
      </c>
      <c r="G426" s="10" t="str">
        <f>IF(IF(ISNA(計算結果!G426),"",計算結果!G426)=0,"",IF(ISNA(計算結果!G426),"",計算結果!G426))</f>
        <v/>
      </c>
      <c r="H426" s="13">
        <f>IF(IF(ISNA(計算結果!H426),"",計算結果!H426)=0,"",IF(ISNA(計算結果!H426),"",計算結果!H426))</f>
        <v>-2</v>
      </c>
      <c r="I426" s="12" t="str">
        <f>IF(IF(ISNA(計算結果!I426),"",計算結果!I426)=0,"",IF(ISNA(計算結果!I426),"",計算結果!I426))</f>
        <v/>
      </c>
      <c r="J426" s="12" t="str">
        <f>IF(IF(ISNA(計算結果!J426),"",計算結果!J426)=0,"",IF(ISNA(計算結果!J426),"",計算結果!J426))</f>
        <v/>
      </c>
      <c r="K426" s="23" t="str">
        <f>IF(IF(ISNA(計算結果!K426),"",計算結果!K426)=0,"",IF(ISNA(計算結果!K426),"",計算結果!K426))</f>
        <v/>
      </c>
      <c r="L426" s="13" t="str">
        <f>IF(IF(ISNA(計算結果!L426),"",計算結果!L426)=0,"",IF(ISNA(計算結果!L426),"",計算結果!L426))</f>
        <v/>
      </c>
      <c r="M426" s="10" t="str">
        <f>IF(IF(ISNA(計算結果!M426),"",計算結果!M426)=0,"",IF(ISNA(計算結果!M426),"",計算結果!M426))</f>
        <v/>
      </c>
      <c r="N426" s="10" t="str">
        <f>IF(IF(ISNA(計算結果!N426),"",計算結果!N426)=0,"",IF(ISNA(計算結果!N426),"",計算結果!N426))</f>
        <v/>
      </c>
      <c r="O426" s="13" t="str">
        <f>IF(IF(ISNA(計算結果!O426),"",計算結果!O426)=0,"",IF(ISNA(計算結果!O426),"",計算結果!O426))</f>
        <v/>
      </c>
      <c r="P426" s="10" t="str">
        <f>IF(IF(ISNA(計算結果!P426),"",計算結果!P426)=0,"",IF(ISNA(計算結果!P426),"",計算結果!P426))</f>
        <v/>
      </c>
      <c r="Q426" s="10" t="str">
        <f>IF(IF(ISNA(計算結果!Q426),"",計算結果!Q426)=0,"",IF(ISNA(計算結果!Q426),"",計算結果!Q426))</f>
        <v/>
      </c>
      <c r="R426" s="14" t="str">
        <f t="shared" si="18"/>
        <v/>
      </c>
      <c r="S426" s="14" t="str">
        <f t="shared" si="19"/>
        <v>◯</v>
      </c>
      <c r="T426" s="14" t="str">
        <f t="shared" si="20"/>
        <v/>
      </c>
    </row>
    <row r="427" spans="1:20" hidden="1" x14ac:dyDescent="0.45">
      <c r="A427" s="10" t="str">
        <f>IF(IF(ISNA(計算結果!A427),"",計算結果!A427)=0,"",IF(ISNA(計算結果!A427),"",計算結果!A427))</f>
        <v/>
      </c>
      <c r="B427" s="10" t="str">
        <f>IF(IF(ISNA(計算結果!B427),"",計算結果!B427)=0,"",IF(ISNA(計算結果!B427),"",計算結果!B427))</f>
        <v/>
      </c>
      <c r="C427" s="10" t="str">
        <f>IF(IF(ISNA(計算結果!C427),"",計算結果!C427)=0,"",IF(ISNA(計算結果!C427),"",計算結果!C427))</f>
        <v/>
      </c>
      <c r="D427" s="10" t="str">
        <f>IF(IF(ISNA(計算結果!D427),"",計算結果!D427)=0,"",IF(ISNA(計算結果!D427),"",計算結果!D427))</f>
        <v>L</v>
      </c>
      <c r="E427" s="10" t="str">
        <f>IF(IF(ISNA(計算結果!E427),"",計算結果!E427)=0,"",IF(ISNA(計算結果!E427),"",計算結果!E427))</f>
        <v/>
      </c>
      <c r="F427" s="10" t="str">
        <f>IF(IF(ISNA(計算結果!F427),"",計算結果!F427)=0,"",IF(ISNA(計算結果!F427),"",計算結果!F427))</f>
        <v/>
      </c>
      <c r="G427" s="10" t="str">
        <f>IF(IF(ISNA(計算結果!G427),"",計算結果!G427)=0,"",IF(ISNA(計算結果!G427),"",計算結果!G427))</f>
        <v/>
      </c>
      <c r="H427" s="13">
        <f>IF(IF(ISNA(計算結果!H427),"",計算結果!H427)=0,"",IF(ISNA(計算結果!H427),"",計算結果!H427))</f>
        <v>-2</v>
      </c>
      <c r="I427" s="12" t="str">
        <f>IF(IF(ISNA(計算結果!I427),"",計算結果!I427)=0,"",IF(ISNA(計算結果!I427),"",計算結果!I427))</f>
        <v/>
      </c>
      <c r="J427" s="12" t="str">
        <f>IF(IF(ISNA(計算結果!J427),"",計算結果!J427)=0,"",IF(ISNA(計算結果!J427),"",計算結果!J427))</f>
        <v/>
      </c>
      <c r="K427" s="23" t="str">
        <f>IF(IF(ISNA(計算結果!K427),"",計算結果!K427)=0,"",IF(ISNA(計算結果!K427),"",計算結果!K427))</f>
        <v/>
      </c>
      <c r="L427" s="13" t="str">
        <f>IF(IF(ISNA(計算結果!L427),"",計算結果!L427)=0,"",IF(ISNA(計算結果!L427),"",計算結果!L427))</f>
        <v/>
      </c>
      <c r="M427" s="10" t="str">
        <f>IF(IF(ISNA(計算結果!M427),"",計算結果!M427)=0,"",IF(ISNA(計算結果!M427),"",計算結果!M427))</f>
        <v/>
      </c>
      <c r="N427" s="10" t="str">
        <f>IF(IF(ISNA(計算結果!N427),"",計算結果!N427)=0,"",IF(ISNA(計算結果!N427),"",計算結果!N427))</f>
        <v/>
      </c>
      <c r="O427" s="13" t="str">
        <f>IF(IF(ISNA(計算結果!O427),"",計算結果!O427)=0,"",IF(ISNA(計算結果!O427),"",計算結果!O427))</f>
        <v/>
      </c>
      <c r="P427" s="10" t="str">
        <f>IF(IF(ISNA(計算結果!P427),"",計算結果!P427)=0,"",IF(ISNA(計算結果!P427),"",計算結果!P427))</f>
        <v/>
      </c>
      <c r="Q427" s="10" t="str">
        <f>IF(IF(ISNA(計算結果!Q427),"",計算結果!Q427)=0,"",IF(ISNA(計算結果!Q427),"",計算結果!Q427))</f>
        <v/>
      </c>
      <c r="R427" s="14" t="str">
        <f t="shared" si="18"/>
        <v/>
      </c>
      <c r="S427" s="14" t="str">
        <f t="shared" si="19"/>
        <v>◯</v>
      </c>
      <c r="T427" s="14" t="str">
        <f t="shared" si="20"/>
        <v/>
      </c>
    </row>
    <row r="428" spans="1:20" hidden="1" x14ac:dyDescent="0.45">
      <c r="A428" s="10" t="str">
        <f>IF(IF(ISNA(計算結果!A428),"",計算結果!A428)=0,"",IF(ISNA(計算結果!A428),"",計算結果!A428))</f>
        <v/>
      </c>
      <c r="B428" s="10" t="str">
        <f>IF(IF(ISNA(計算結果!B428),"",計算結果!B428)=0,"",IF(ISNA(計算結果!B428),"",計算結果!B428))</f>
        <v/>
      </c>
      <c r="C428" s="10" t="str">
        <f>IF(IF(ISNA(計算結果!C428),"",計算結果!C428)=0,"",IF(ISNA(計算結果!C428),"",計算結果!C428))</f>
        <v/>
      </c>
      <c r="D428" s="10" t="str">
        <f>IF(IF(ISNA(計算結果!D428),"",計算結果!D428)=0,"",IF(ISNA(計算結果!D428),"",計算結果!D428))</f>
        <v>L</v>
      </c>
      <c r="E428" s="10" t="str">
        <f>IF(IF(ISNA(計算結果!E428),"",計算結果!E428)=0,"",IF(ISNA(計算結果!E428),"",計算結果!E428))</f>
        <v/>
      </c>
      <c r="F428" s="10" t="str">
        <f>IF(IF(ISNA(計算結果!F428),"",計算結果!F428)=0,"",IF(ISNA(計算結果!F428),"",計算結果!F428))</f>
        <v/>
      </c>
      <c r="G428" s="10" t="str">
        <f>IF(IF(ISNA(計算結果!G428),"",計算結果!G428)=0,"",IF(ISNA(計算結果!G428),"",計算結果!G428))</f>
        <v/>
      </c>
      <c r="H428" s="13">
        <f>IF(IF(ISNA(計算結果!H428),"",計算結果!H428)=0,"",IF(ISNA(計算結果!H428),"",計算結果!H428))</f>
        <v>-2</v>
      </c>
      <c r="I428" s="12" t="str">
        <f>IF(IF(ISNA(計算結果!I428),"",計算結果!I428)=0,"",IF(ISNA(計算結果!I428),"",計算結果!I428))</f>
        <v/>
      </c>
      <c r="J428" s="12" t="str">
        <f>IF(IF(ISNA(計算結果!J428),"",計算結果!J428)=0,"",IF(ISNA(計算結果!J428),"",計算結果!J428))</f>
        <v/>
      </c>
      <c r="K428" s="23" t="str">
        <f>IF(IF(ISNA(計算結果!K428),"",計算結果!K428)=0,"",IF(ISNA(計算結果!K428),"",計算結果!K428))</f>
        <v/>
      </c>
      <c r="L428" s="13" t="str">
        <f>IF(IF(ISNA(計算結果!L428),"",計算結果!L428)=0,"",IF(ISNA(計算結果!L428),"",計算結果!L428))</f>
        <v/>
      </c>
      <c r="M428" s="10" t="str">
        <f>IF(IF(ISNA(計算結果!M428),"",計算結果!M428)=0,"",IF(ISNA(計算結果!M428),"",計算結果!M428))</f>
        <v/>
      </c>
      <c r="N428" s="10" t="str">
        <f>IF(IF(ISNA(計算結果!N428),"",計算結果!N428)=0,"",IF(ISNA(計算結果!N428),"",計算結果!N428))</f>
        <v/>
      </c>
      <c r="O428" s="13" t="str">
        <f>IF(IF(ISNA(計算結果!O428),"",計算結果!O428)=0,"",IF(ISNA(計算結果!O428),"",計算結果!O428))</f>
        <v/>
      </c>
      <c r="P428" s="10" t="str">
        <f>IF(IF(ISNA(計算結果!P428),"",計算結果!P428)=0,"",IF(ISNA(計算結果!P428),"",計算結果!P428))</f>
        <v/>
      </c>
      <c r="Q428" s="10" t="str">
        <f>IF(IF(ISNA(計算結果!Q428),"",計算結果!Q428)=0,"",IF(ISNA(計算結果!Q428),"",計算結果!Q428))</f>
        <v/>
      </c>
      <c r="R428" s="14" t="str">
        <f t="shared" si="18"/>
        <v/>
      </c>
      <c r="S428" s="14" t="str">
        <f t="shared" si="19"/>
        <v>◯</v>
      </c>
      <c r="T428" s="14" t="str">
        <f t="shared" si="20"/>
        <v/>
      </c>
    </row>
    <row r="429" spans="1:20" hidden="1" x14ac:dyDescent="0.45">
      <c r="A429" s="10" t="str">
        <f>IF(IF(ISNA(計算結果!A429),"",計算結果!A429)=0,"",IF(ISNA(計算結果!A429),"",計算結果!A429))</f>
        <v/>
      </c>
      <c r="B429" s="10" t="str">
        <f>IF(IF(ISNA(計算結果!B429),"",計算結果!B429)=0,"",IF(ISNA(計算結果!B429),"",計算結果!B429))</f>
        <v/>
      </c>
      <c r="C429" s="10" t="str">
        <f>IF(IF(ISNA(計算結果!C429),"",計算結果!C429)=0,"",IF(ISNA(計算結果!C429),"",計算結果!C429))</f>
        <v/>
      </c>
      <c r="D429" s="10" t="str">
        <f>IF(IF(ISNA(計算結果!D429),"",計算結果!D429)=0,"",IF(ISNA(計算結果!D429),"",計算結果!D429))</f>
        <v>L</v>
      </c>
      <c r="E429" s="10" t="str">
        <f>IF(IF(ISNA(計算結果!E429),"",計算結果!E429)=0,"",IF(ISNA(計算結果!E429),"",計算結果!E429))</f>
        <v/>
      </c>
      <c r="F429" s="10" t="str">
        <f>IF(IF(ISNA(計算結果!F429),"",計算結果!F429)=0,"",IF(ISNA(計算結果!F429),"",計算結果!F429))</f>
        <v/>
      </c>
      <c r="G429" s="10" t="str">
        <f>IF(IF(ISNA(計算結果!G429),"",計算結果!G429)=0,"",IF(ISNA(計算結果!G429),"",計算結果!G429))</f>
        <v/>
      </c>
      <c r="H429" s="13">
        <f>IF(IF(ISNA(計算結果!H429),"",計算結果!H429)=0,"",IF(ISNA(計算結果!H429),"",計算結果!H429))</f>
        <v>-2</v>
      </c>
      <c r="I429" s="12" t="str">
        <f>IF(IF(ISNA(計算結果!I429),"",計算結果!I429)=0,"",IF(ISNA(計算結果!I429),"",計算結果!I429))</f>
        <v/>
      </c>
      <c r="J429" s="12" t="str">
        <f>IF(IF(ISNA(計算結果!J429),"",計算結果!J429)=0,"",IF(ISNA(計算結果!J429),"",計算結果!J429))</f>
        <v/>
      </c>
      <c r="K429" s="23" t="str">
        <f>IF(IF(ISNA(計算結果!K429),"",計算結果!K429)=0,"",IF(ISNA(計算結果!K429),"",計算結果!K429))</f>
        <v/>
      </c>
      <c r="L429" s="13" t="str">
        <f>IF(IF(ISNA(計算結果!L429),"",計算結果!L429)=0,"",IF(ISNA(計算結果!L429),"",計算結果!L429))</f>
        <v/>
      </c>
      <c r="M429" s="10" t="str">
        <f>IF(IF(ISNA(計算結果!M429),"",計算結果!M429)=0,"",IF(ISNA(計算結果!M429),"",計算結果!M429))</f>
        <v/>
      </c>
      <c r="N429" s="10" t="str">
        <f>IF(IF(ISNA(計算結果!N429),"",計算結果!N429)=0,"",IF(ISNA(計算結果!N429),"",計算結果!N429))</f>
        <v/>
      </c>
      <c r="O429" s="13" t="str">
        <f>IF(IF(ISNA(計算結果!O429),"",計算結果!O429)=0,"",IF(ISNA(計算結果!O429),"",計算結果!O429))</f>
        <v/>
      </c>
      <c r="P429" s="10" t="str">
        <f>IF(IF(ISNA(計算結果!P429),"",計算結果!P429)=0,"",IF(ISNA(計算結果!P429),"",計算結果!P429))</f>
        <v/>
      </c>
      <c r="Q429" s="10" t="str">
        <f>IF(IF(ISNA(計算結果!Q429),"",計算結果!Q429)=0,"",IF(ISNA(計算結果!Q429),"",計算結果!Q429))</f>
        <v/>
      </c>
      <c r="R429" s="14" t="str">
        <f t="shared" si="18"/>
        <v/>
      </c>
      <c r="S429" s="14" t="str">
        <f t="shared" si="19"/>
        <v>◯</v>
      </c>
      <c r="T429" s="14" t="str">
        <f t="shared" si="20"/>
        <v/>
      </c>
    </row>
    <row r="430" spans="1:20" hidden="1" x14ac:dyDescent="0.45">
      <c r="A430" s="10" t="str">
        <f>IF(IF(ISNA(計算結果!A430),"",計算結果!A430)=0,"",IF(ISNA(計算結果!A430),"",計算結果!A430))</f>
        <v/>
      </c>
      <c r="B430" s="10" t="str">
        <f>IF(IF(ISNA(計算結果!B430),"",計算結果!B430)=0,"",IF(ISNA(計算結果!B430),"",計算結果!B430))</f>
        <v/>
      </c>
      <c r="C430" s="10" t="str">
        <f>IF(IF(ISNA(計算結果!C430),"",計算結果!C430)=0,"",IF(ISNA(計算結果!C430),"",計算結果!C430))</f>
        <v/>
      </c>
      <c r="D430" s="10" t="str">
        <f>IF(IF(ISNA(計算結果!D430),"",計算結果!D430)=0,"",IF(ISNA(計算結果!D430),"",計算結果!D430))</f>
        <v>L</v>
      </c>
      <c r="E430" s="10" t="str">
        <f>IF(IF(ISNA(計算結果!E430),"",計算結果!E430)=0,"",IF(ISNA(計算結果!E430),"",計算結果!E430))</f>
        <v/>
      </c>
      <c r="F430" s="10" t="str">
        <f>IF(IF(ISNA(計算結果!F430),"",計算結果!F430)=0,"",IF(ISNA(計算結果!F430),"",計算結果!F430))</f>
        <v/>
      </c>
      <c r="G430" s="10" t="str">
        <f>IF(IF(ISNA(計算結果!G430),"",計算結果!G430)=0,"",IF(ISNA(計算結果!G430),"",計算結果!G430))</f>
        <v/>
      </c>
      <c r="H430" s="13">
        <f>IF(IF(ISNA(計算結果!H430),"",計算結果!H430)=0,"",IF(ISNA(計算結果!H430),"",計算結果!H430))</f>
        <v>-2</v>
      </c>
      <c r="I430" s="12" t="str">
        <f>IF(IF(ISNA(計算結果!I430),"",計算結果!I430)=0,"",IF(ISNA(計算結果!I430),"",計算結果!I430))</f>
        <v/>
      </c>
      <c r="J430" s="12" t="str">
        <f>IF(IF(ISNA(計算結果!J430),"",計算結果!J430)=0,"",IF(ISNA(計算結果!J430),"",計算結果!J430))</f>
        <v/>
      </c>
      <c r="K430" s="23" t="str">
        <f>IF(IF(ISNA(計算結果!K430),"",計算結果!K430)=0,"",IF(ISNA(計算結果!K430),"",計算結果!K430))</f>
        <v/>
      </c>
      <c r="L430" s="13" t="str">
        <f>IF(IF(ISNA(計算結果!L430),"",計算結果!L430)=0,"",IF(ISNA(計算結果!L430),"",計算結果!L430))</f>
        <v/>
      </c>
      <c r="M430" s="10" t="str">
        <f>IF(IF(ISNA(計算結果!M430),"",計算結果!M430)=0,"",IF(ISNA(計算結果!M430),"",計算結果!M430))</f>
        <v/>
      </c>
      <c r="N430" s="10" t="str">
        <f>IF(IF(ISNA(計算結果!N430),"",計算結果!N430)=0,"",IF(ISNA(計算結果!N430),"",計算結果!N430))</f>
        <v/>
      </c>
      <c r="O430" s="13" t="str">
        <f>IF(IF(ISNA(計算結果!O430),"",計算結果!O430)=0,"",IF(ISNA(計算結果!O430),"",計算結果!O430))</f>
        <v/>
      </c>
      <c r="P430" s="10" t="str">
        <f>IF(IF(ISNA(計算結果!P430),"",計算結果!P430)=0,"",IF(ISNA(計算結果!P430),"",計算結果!P430))</f>
        <v/>
      </c>
      <c r="Q430" s="10" t="str">
        <f>IF(IF(ISNA(計算結果!Q430),"",計算結果!Q430)=0,"",IF(ISNA(計算結果!Q430),"",計算結果!Q430))</f>
        <v/>
      </c>
      <c r="R430" s="14" t="str">
        <f t="shared" si="18"/>
        <v/>
      </c>
      <c r="S430" s="14" t="str">
        <f t="shared" si="19"/>
        <v>◯</v>
      </c>
      <c r="T430" s="14" t="str">
        <f t="shared" si="20"/>
        <v/>
      </c>
    </row>
    <row r="431" spans="1:20" hidden="1" x14ac:dyDescent="0.45">
      <c r="A431" s="10" t="str">
        <f>IF(IF(ISNA(計算結果!A431),"",計算結果!A431)=0,"",IF(ISNA(計算結果!A431),"",計算結果!A431))</f>
        <v/>
      </c>
      <c r="B431" s="10" t="str">
        <f>IF(IF(ISNA(計算結果!B431),"",計算結果!B431)=0,"",IF(ISNA(計算結果!B431),"",計算結果!B431))</f>
        <v/>
      </c>
      <c r="C431" s="10" t="str">
        <f>IF(IF(ISNA(計算結果!C431),"",計算結果!C431)=0,"",IF(ISNA(計算結果!C431),"",計算結果!C431))</f>
        <v/>
      </c>
      <c r="D431" s="10" t="str">
        <f>IF(IF(ISNA(計算結果!D431),"",計算結果!D431)=0,"",IF(ISNA(計算結果!D431),"",計算結果!D431))</f>
        <v>L</v>
      </c>
      <c r="E431" s="10" t="str">
        <f>IF(IF(ISNA(計算結果!E431),"",計算結果!E431)=0,"",IF(ISNA(計算結果!E431),"",計算結果!E431))</f>
        <v/>
      </c>
      <c r="F431" s="10" t="str">
        <f>IF(IF(ISNA(計算結果!F431),"",計算結果!F431)=0,"",IF(ISNA(計算結果!F431),"",計算結果!F431))</f>
        <v/>
      </c>
      <c r="G431" s="10" t="str">
        <f>IF(IF(ISNA(計算結果!G431),"",計算結果!G431)=0,"",IF(ISNA(計算結果!G431),"",計算結果!G431))</f>
        <v/>
      </c>
      <c r="H431" s="13">
        <f>IF(IF(ISNA(計算結果!H431),"",計算結果!H431)=0,"",IF(ISNA(計算結果!H431),"",計算結果!H431))</f>
        <v>-2</v>
      </c>
      <c r="I431" s="12" t="str">
        <f>IF(IF(ISNA(計算結果!I431),"",計算結果!I431)=0,"",IF(ISNA(計算結果!I431),"",計算結果!I431))</f>
        <v/>
      </c>
      <c r="J431" s="12" t="str">
        <f>IF(IF(ISNA(計算結果!J431),"",計算結果!J431)=0,"",IF(ISNA(計算結果!J431),"",計算結果!J431))</f>
        <v/>
      </c>
      <c r="K431" s="23" t="str">
        <f>IF(IF(ISNA(計算結果!K431),"",計算結果!K431)=0,"",IF(ISNA(計算結果!K431),"",計算結果!K431))</f>
        <v/>
      </c>
      <c r="L431" s="13" t="str">
        <f>IF(IF(ISNA(計算結果!L431),"",計算結果!L431)=0,"",IF(ISNA(計算結果!L431),"",計算結果!L431))</f>
        <v/>
      </c>
      <c r="M431" s="10" t="str">
        <f>IF(IF(ISNA(計算結果!M431),"",計算結果!M431)=0,"",IF(ISNA(計算結果!M431),"",計算結果!M431))</f>
        <v/>
      </c>
      <c r="N431" s="10" t="str">
        <f>IF(IF(ISNA(計算結果!N431),"",計算結果!N431)=0,"",IF(ISNA(計算結果!N431),"",計算結果!N431))</f>
        <v/>
      </c>
      <c r="O431" s="13" t="str">
        <f>IF(IF(ISNA(計算結果!O431),"",計算結果!O431)=0,"",IF(ISNA(計算結果!O431),"",計算結果!O431))</f>
        <v/>
      </c>
      <c r="P431" s="10" t="str">
        <f>IF(IF(ISNA(計算結果!P431),"",計算結果!P431)=0,"",IF(ISNA(計算結果!P431),"",計算結果!P431))</f>
        <v/>
      </c>
      <c r="Q431" s="10" t="str">
        <f>IF(IF(ISNA(計算結果!Q431),"",計算結果!Q431)=0,"",IF(ISNA(計算結果!Q431),"",計算結果!Q431))</f>
        <v/>
      </c>
      <c r="R431" s="14" t="str">
        <f t="shared" si="18"/>
        <v/>
      </c>
      <c r="S431" s="14" t="str">
        <f t="shared" si="19"/>
        <v>◯</v>
      </c>
      <c r="T431" s="14" t="str">
        <f t="shared" si="20"/>
        <v/>
      </c>
    </row>
    <row r="432" spans="1:20" hidden="1" x14ac:dyDescent="0.45">
      <c r="A432" s="10" t="str">
        <f>IF(IF(ISNA(計算結果!A432),"",計算結果!A432)=0,"",IF(ISNA(計算結果!A432),"",計算結果!A432))</f>
        <v/>
      </c>
      <c r="B432" s="10" t="str">
        <f>IF(IF(ISNA(計算結果!B432),"",計算結果!B432)=0,"",IF(ISNA(計算結果!B432),"",計算結果!B432))</f>
        <v/>
      </c>
      <c r="C432" s="10" t="str">
        <f>IF(IF(ISNA(計算結果!C432),"",計算結果!C432)=0,"",IF(ISNA(計算結果!C432),"",計算結果!C432))</f>
        <v/>
      </c>
      <c r="D432" s="10" t="str">
        <f>IF(IF(ISNA(計算結果!D432),"",計算結果!D432)=0,"",IF(ISNA(計算結果!D432),"",計算結果!D432))</f>
        <v>L</v>
      </c>
      <c r="E432" s="10" t="str">
        <f>IF(IF(ISNA(計算結果!E432),"",計算結果!E432)=0,"",IF(ISNA(計算結果!E432),"",計算結果!E432))</f>
        <v/>
      </c>
      <c r="F432" s="10" t="str">
        <f>IF(IF(ISNA(計算結果!F432),"",計算結果!F432)=0,"",IF(ISNA(計算結果!F432),"",計算結果!F432))</f>
        <v/>
      </c>
      <c r="G432" s="10" t="str">
        <f>IF(IF(ISNA(計算結果!G432),"",計算結果!G432)=0,"",IF(ISNA(計算結果!G432),"",計算結果!G432))</f>
        <v/>
      </c>
      <c r="H432" s="13">
        <f>IF(IF(ISNA(計算結果!H432),"",計算結果!H432)=0,"",IF(ISNA(計算結果!H432),"",計算結果!H432))</f>
        <v>-2</v>
      </c>
      <c r="I432" s="12" t="str">
        <f>IF(IF(ISNA(計算結果!I432),"",計算結果!I432)=0,"",IF(ISNA(計算結果!I432),"",計算結果!I432))</f>
        <v/>
      </c>
      <c r="J432" s="12" t="str">
        <f>IF(IF(ISNA(計算結果!J432),"",計算結果!J432)=0,"",IF(ISNA(計算結果!J432),"",計算結果!J432))</f>
        <v/>
      </c>
      <c r="K432" s="23" t="str">
        <f>IF(IF(ISNA(計算結果!K432),"",計算結果!K432)=0,"",IF(ISNA(計算結果!K432),"",計算結果!K432))</f>
        <v/>
      </c>
      <c r="L432" s="13" t="str">
        <f>IF(IF(ISNA(計算結果!L432),"",計算結果!L432)=0,"",IF(ISNA(計算結果!L432),"",計算結果!L432))</f>
        <v/>
      </c>
      <c r="M432" s="10" t="str">
        <f>IF(IF(ISNA(計算結果!M432),"",計算結果!M432)=0,"",IF(ISNA(計算結果!M432),"",計算結果!M432))</f>
        <v/>
      </c>
      <c r="N432" s="10" t="str">
        <f>IF(IF(ISNA(計算結果!N432),"",計算結果!N432)=0,"",IF(ISNA(計算結果!N432),"",計算結果!N432))</f>
        <v/>
      </c>
      <c r="O432" s="13" t="str">
        <f>IF(IF(ISNA(計算結果!O432),"",計算結果!O432)=0,"",IF(ISNA(計算結果!O432),"",計算結果!O432))</f>
        <v/>
      </c>
      <c r="P432" s="10" t="str">
        <f>IF(IF(ISNA(計算結果!P432),"",計算結果!P432)=0,"",IF(ISNA(計算結果!P432),"",計算結果!P432))</f>
        <v/>
      </c>
      <c r="Q432" s="10" t="str">
        <f>IF(IF(ISNA(計算結果!Q432),"",計算結果!Q432)=0,"",IF(ISNA(計算結果!Q432),"",計算結果!Q432))</f>
        <v/>
      </c>
      <c r="R432" s="14" t="str">
        <f t="shared" si="18"/>
        <v/>
      </c>
      <c r="S432" s="14" t="str">
        <f t="shared" si="19"/>
        <v>◯</v>
      </c>
      <c r="T432" s="14" t="str">
        <f t="shared" si="20"/>
        <v/>
      </c>
    </row>
    <row r="433" spans="1:20" hidden="1" x14ac:dyDescent="0.45">
      <c r="A433" s="10" t="str">
        <f>IF(IF(ISNA(計算結果!A433),"",計算結果!A433)=0,"",IF(ISNA(計算結果!A433),"",計算結果!A433))</f>
        <v/>
      </c>
      <c r="B433" s="10" t="str">
        <f>IF(IF(ISNA(計算結果!B433),"",計算結果!B433)=0,"",IF(ISNA(計算結果!B433),"",計算結果!B433))</f>
        <v/>
      </c>
      <c r="C433" s="10" t="str">
        <f>IF(IF(ISNA(計算結果!C433),"",計算結果!C433)=0,"",IF(ISNA(計算結果!C433),"",計算結果!C433))</f>
        <v/>
      </c>
      <c r="D433" s="10" t="str">
        <f>IF(IF(ISNA(計算結果!D433),"",計算結果!D433)=0,"",IF(ISNA(計算結果!D433),"",計算結果!D433))</f>
        <v>L</v>
      </c>
      <c r="E433" s="10" t="str">
        <f>IF(IF(ISNA(計算結果!E433),"",計算結果!E433)=0,"",IF(ISNA(計算結果!E433),"",計算結果!E433))</f>
        <v/>
      </c>
      <c r="F433" s="10" t="str">
        <f>IF(IF(ISNA(計算結果!F433),"",計算結果!F433)=0,"",IF(ISNA(計算結果!F433),"",計算結果!F433))</f>
        <v/>
      </c>
      <c r="G433" s="10" t="str">
        <f>IF(IF(ISNA(計算結果!G433),"",計算結果!G433)=0,"",IF(ISNA(計算結果!G433),"",計算結果!G433))</f>
        <v/>
      </c>
      <c r="H433" s="13">
        <f>IF(IF(ISNA(計算結果!H433),"",計算結果!H433)=0,"",IF(ISNA(計算結果!H433),"",計算結果!H433))</f>
        <v>-2</v>
      </c>
      <c r="I433" s="12" t="str">
        <f>IF(IF(ISNA(計算結果!I433),"",計算結果!I433)=0,"",IF(ISNA(計算結果!I433),"",計算結果!I433))</f>
        <v/>
      </c>
      <c r="J433" s="12" t="str">
        <f>IF(IF(ISNA(計算結果!J433),"",計算結果!J433)=0,"",IF(ISNA(計算結果!J433),"",計算結果!J433))</f>
        <v/>
      </c>
      <c r="K433" s="23" t="str">
        <f>IF(IF(ISNA(計算結果!K433),"",計算結果!K433)=0,"",IF(ISNA(計算結果!K433),"",計算結果!K433))</f>
        <v/>
      </c>
      <c r="L433" s="13" t="str">
        <f>IF(IF(ISNA(計算結果!L433),"",計算結果!L433)=0,"",IF(ISNA(計算結果!L433),"",計算結果!L433))</f>
        <v/>
      </c>
      <c r="M433" s="10" t="str">
        <f>IF(IF(ISNA(計算結果!M433),"",計算結果!M433)=0,"",IF(ISNA(計算結果!M433),"",計算結果!M433))</f>
        <v/>
      </c>
      <c r="N433" s="10" t="str">
        <f>IF(IF(ISNA(計算結果!N433),"",計算結果!N433)=0,"",IF(ISNA(計算結果!N433),"",計算結果!N433))</f>
        <v/>
      </c>
      <c r="O433" s="13" t="str">
        <f>IF(IF(ISNA(計算結果!O433),"",計算結果!O433)=0,"",IF(ISNA(計算結果!O433),"",計算結果!O433))</f>
        <v/>
      </c>
      <c r="P433" s="10" t="str">
        <f>IF(IF(ISNA(計算結果!P433),"",計算結果!P433)=0,"",IF(ISNA(計算結果!P433),"",計算結果!P433))</f>
        <v/>
      </c>
      <c r="Q433" s="10" t="str">
        <f>IF(IF(ISNA(計算結果!Q433),"",計算結果!Q433)=0,"",IF(ISNA(計算結果!Q433),"",計算結果!Q433))</f>
        <v/>
      </c>
      <c r="R433" s="14" t="str">
        <f t="shared" si="18"/>
        <v/>
      </c>
      <c r="S433" s="14" t="str">
        <f t="shared" si="19"/>
        <v>◯</v>
      </c>
      <c r="T433" s="14" t="str">
        <f t="shared" si="20"/>
        <v/>
      </c>
    </row>
    <row r="434" spans="1:20" hidden="1" x14ac:dyDescent="0.45">
      <c r="A434" s="10" t="str">
        <f>IF(IF(ISNA(計算結果!A434),"",計算結果!A434)=0,"",IF(ISNA(計算結果!A434),"",計算結果!A434))</f>
        <v/>
      </c>
      <c r="B434" s="10" t="str">
        <f>IF(IF(ISNA(計算結果!B434),"",計算結果!B434)=0,"",IF(ISNA(計算結果!B434),"",計算結果!B434))</f>
        <v/>
      </c>
      <c r="C434" s="10" t="str">
        <f>IF(IF(ISNA(計算結果!C434),"",計算結果!C434)=0,"",IF(ISNA(計算結果!C434),"",計算結果!C434))</f>
        <v/>
      </c>
      <c r="D434" s="10" t="str">
        <f>IF(IF(ISNA(計算結果!D434),"",計算結果!D434)=0,"",IF(ISNA(計算結果!D434),"",計算結果!D434))</f>
        <v>L</v>
      </c>
      <c r="E434" s="10" t="str">
        <f>IF(IF(ISNA(計算結果!E434),"",計算結果!E434)=0,"",IF(ISNA(計算結果!E434),"",計算結果!E434))</f>
        <v/>
      </c>
      <c r="F434" s="10" t="str">
        <f>IF(IF(ISNA(計算結果!F434),"",計算結果!F434)=0,"",IF(ISNA(計算結果!F434),"",計算結果!F434))</f>
        <v/>
      </c>
      <c r="G434" s="10" t="str">
        <f>IF(IF(ISNA(計算結果!G434),"",計算結果!G434)=0,"",IF(ISNA(計算結果!G434),"",計算結果!G434))</f>
        <v/>
      </c>
      <c r="H434" s="13">
        <f>IF(IF(ISNA(計算結果!H434),"",計算結果!H434)=0,"",IF(ISNA(計算結果!H434),"",計算結果!H434))</f>
        <v>-2</v>
      </c>
      <c r="I434" s="12" t="str">
        <f>IF(IF(ISNA(計算結果!I434),"",計算結果!I434)=0,"",IF(ISNA(計算結果!I434),"",計算結果!I434))</f>
        <v/>
      </c>
      <c r="J434" s="12" t="str">
        <f>IF(IF(ISNA(計算結果!J434),"",計算結果!J434)=0,"",IF(ISNA(計算結果!J434),"",計算結果!J434))</f>
        <v/>
      </c>
      <c r="K434" s="23" t="str">
        <f>IF(IF(ISNA(計算結果!K434),"",計算結果!K434)=0,"",IF(ISNA(計算結果!K434),"",計算結果!K434))</f>
        <v/>
      </c>
      <c r="L434" s="13" t="str">
        <f>IF(IF(ISNA(計算結果!L434),"",計算結果!L434)=0,"",IF(ISNA(計算結果!L434),"",計算結果!L434))</f>
        <v/>
      </c>
      <c r="M434" s="10" t="str">
        <f>IF(IF(ISNA(計算結果!M434),"",計算結果!M434)=0,"",IF(ISNA(計算結果!M434),"",計算結果!M434))</f>
        <v/>
      </c>
      <c r="N434" s="10" t="str">
        <f>IF(IF(ISNA(計算結果!N434),"",計算結果!N434)=0,"",IF(ISNA(計算結果!N434),"",計算結果!N434))</f>
        <v/>
      </c>
      <c r="O434" s="13" t="str">
        <f>IF(IF(ISNA(計算結果!O434),"",計算結果!O434)=0,"",IF(ISNA(計算結果!O434),"",計算結果!O434))</f>
        <v/>
      </c>
      <c r="P434" s="10" t="str">
        <f>IF(IF(ISNA(計算結果!P434),"",計算結果!P434)=0,"",IF(ISNA(計算結果!P434),"",計算結果!P434))</f>
        <v/>
      </c>
      <c r="Q434" s="10" t="str">
        <f>IF(IF(ISNA(計算結果!Q434),"",計算結果!Q434)=0,"",IF(ISNA(計算結果!Q434),"",計算結果!Q434))</f>
        <v/>
      </c>
      <c r="R434" s="14" t="str">
        <f t="shared" si="18"/>
        <v/>
      </c>
      <c r="S434" s="14" t="str">
        <f t="shared" si="19"/>
        <v>◯</v>
      </c>
      <c r="T434" s="14" t="str">
        <f t="shared" si="20"/>
        <v/>
      </c>
    </row>
    <row r="435" spans="1:20" hidden="1" x14ac:dyDescent="0.45">
      <c r="A435" s="10" t="str">
        <f>IF(IF(ISNA(計算結果!A435),"",計算結果!A435)=0,"",IF(ISNA(計算結果!A435),"",計算結果!A435))</f>
        <v/>
      </c>
      <c r="B435" s="10" t="str">
        <f>IF(IF(ISNA(計算結果!B435),"",計算結果!B435)=0,"",IF(ISNA(計算結果!B435),"",計算結果!B435))</f>
        <v/>
      </c>
      <c r="C435" s="10" t="str">
        <f>IF(IF(ISNA(計算結果!C435),"",計算結果!C435)=0,"",IF(ISNA(計算結果!C435),"",計算結果!C435))</f>
        <v/>
      </c>
      <c r="D435" s="10" t="str">
        <f>IF(IF(ISNA(計算結果!D435),"",計算結果!D435)=0,"",IF(ISNA(計算結果!D435),"",計算結果!D435))</f>
        <v>L</v>
      </c>
      <c r="E435" s="10" t="str">
        <f>IF(IF(ISNA(計算結果!E435),"",計算結果!E435)=0,"",IF(ISNA(計算結果!E435),"",計算結果!E435))</f>
        <v/>
      </c>
      <c r="F435" s="10" t="str">
        <f>IF(IF(ISNA(計算結果!F435),"",計算結果!F435)=0,"",IF(ISNA(計算結果!F435),"",計算結果!F435))</f>
        <v/>
      </c>
      <c r="G435" s="10" t="str">
        <f>IF(IF(ISNA(計算結果!G435),"",計算結果!G435)=0,"",IF(ISNA(計算結果!G435),"",計算結果!G435))</f>
        <v/>
      </c>
      <c r="H435" s="13">
        <f>IF(IF(ISNA(計算結果!H435),"",計算結果!H435)=0,"",IF(ISNA(計算結果!H435),"",計算結果!H435))</f>
        <v>-2</v>
      </c>
      <c r="I435" s="12" t="str">
        <f>IF(IF(ISNA(計算結果!I435),"",計算結果!I435)=0,"",IF(ISNA(計算結果!I435),"",計算結果!I435))</f>
        <v/>
      </c>
      <c r="J435" s="12" t="str">
        <f>IF(IF(ISNA(計算結果!J435),"",計算結果!J435)=0,"",IF(ISNA(計算結果!J435),"",計算結果!J435))</f>
        <v/>
      </c>
      <c r="K435" s="23" t="str">
        <f>IF(IF(ISNA(計算結果!K435),"",計算結果!K435)=0,"",IF(ISNA(計算結果!K435),"",計算結果!K435))</f>
        <v/>
      </c>
      <c r="L435" s="13" t="str">
        <f>IF(IF(ISNA(計算結果!L435),"",計算結果!L435)=0,"",IF(ISNA(計算結果!L435),"",計算結果!L435))</f>
        <v/>
      </c>
      <c r="M435" s="10" t="str">
        <f>IF(IF(ISNA(計算結果!M435),"",計算結果!M435)=0,"",IF(ISNA(計算結果!M435),"",計算結果!M435))</f>
        <v/>
      </c>
      <c r="N435" s="10" t="str">
        <f>IF(IF(ISNA(計算結果!N435),"",計算結果!N435)=0,"",IF(ISNA(計算結果!N435),"",計算結果!N435))</f>
        <v/>
      </c>
      <c r="O435" s="13" t="str">
        <f>IF(IF(ISNA(計算結果!O435),"",計算結果!O435)=0,"",IF(ISNA(計算結果!O435),"",計算結果!O435))</f>
        <v/>
      </c>
      <c r="P435" s="10" t="str">
        <f>IF(IF(ISNA(計算結果!P435),"",計算結果!P435)=0,"",IF(ISNA(計算結果!P435),"",計算結果!P435))</f>
        <v/>
      </c>
      <c r="Q435" s="10" t="str">
        <f>IF(IF(ISNA(計算結果!Q435),"",計算結果!Q435)=0,"",IF(ISNA(計算結果!Q435),"",計算結果!Q435))</f>
        <v/>
      </c>
      <c r="R435" s="14" t="str">
        <f t="shared" si="18"/>
        <v/>
      </c>
      <c r="S435" s="14" t="str">
        <f t="shared" si="19"/>
        <v>◯</v>
      </c>
      <c r="T435" s="14" t="str">
        <f t="shared" si="20"/>
        <v/>
      </c>
    </row>
    <row r="436" spans="1:20" hidden="1" x14ac:dyDescent="0.45">
      <c r="A436" s="10" t="str">
        <f>IF(IF(ISNA(計算結果!A436),"",計算結果!A436)=0,"",IF(ISNA(計算結果!A436),"",計算結果!A436))</f>
        <v/>
      </c>
      <c r="B436" s="10" t="str">
        <f>IF(IF(ISNA(計算結果!B436),"",計算結果!B436)=0,"",IF(ISNA(計算結果!B436),"",計算結果!B436))</f>
        <v/>
      </c>
      <c r="C436" s="10" t="str">
        <f>IF(IF(ISNA(計算結果!C436),"",計算結果!C436)=0,"",IF(ISNA(計算結果!C436),"",計算結果!C436))</f>
        <v/>
      </c>
      <c r="D436" s="10" t="str">
        <f>IF(IF(ISNA(計算結果!D436),"",計算結果!D436)=0,"",IF(ISNA(計算結果!D436),"",計算結果!D436))</f>
        <v>L</v>
      </c>
      <c r="E436" s="10" t="str">
        <f>IF(IF(ISNA(計算結果!E436),"",計算結果!E436)=0,"",IF(ISNA(計算結果!E436),"",計算結果!E436))</f>
        <v/>
      </c>
      <c r="F436" s="10" t="str">
        <f>IF(IF(ISNA(計算結果!F436),"",計算結果!F436)=0,"",IF(ISNA(計算結果!F436),"",計算結果!F436))</f>
        <v/>
      </c>
      <c r="G436" s="10" t="str">
        <f>IF(IF(ISNA(計算結果!G436),"",計算結果!G436)=0,"",IF(ISNA(計算結果!G436),"",計算結果!G436))</f>
        <v/>
      </c>
      <c r="H436" s="13">
        <f>IF(IF(ISNA(計算結果!H436),"",計算結果!H436)=0,"",IF(ISNA(計算結果!H436),"",計算結果!H436))</f>
        <v>-2</v>
      </c>
      <c r="I436" s="12" t="str">
        <f>IF(IF(ISNA(計算結果!I436),"",計算結果!I436)=0,"",IF(ISNA(計算結果!I436),"",計算結果!I436))</f>
        <v/>
      </c>
      <c r="J436" s="12" t="str">
        <f>IF(IF(ISNA(計算結果!J436),"",計算結果!J436)=0,"",IF(ISNA(計算結果!J436),"",計算結果!J436))</f>
        <v/>
      </c>
      <c r="K436" s="23" t="str">
        <f>IF(IF(ISNA(計算結果!K436),"",計算結果!K436)=0,"",IF(ISNA(計算結果!K436),"",計算結果!K436))</f>
        <v/>
      </c>
      <c r="L436" s="13" t="str">
        <f>IF(IF(ISNA(計算結果!L436),"",計算結果!L436)=0,"",IF(ISNA(計算結果!L436),"",計算結果!L436))</f>
        <v/>
      </c>
      <c r="M436" s="10" t="str">
        <f>IF(IF(ISNA(計算結果!M436),"",計算結果!M436)=0,"",IF(ISNA(計算結果!M436),"",計算結果!M436))</f>
        <v/>
      </c>
      <c r="N436" s="10" t="str">
        <f>IF(IF(ISNA(計算結果!N436),"",計算結果!N436)=0,"",IF(ISNA(計算結果!N436),"",計算結果!N436))</f>
        <v/>
      </c>
      <c r="O436" s="13" t="str">
        <f>IF(IF(ISNA(計算結果!O436),"",計算結果!O436)=0,"",IF(ISNA(計算結果!O436),"",計算結果!O436))</f>
        <v/>
      </c>
      <c r="P436" s="10" t="str">
        <f>IF(IF(ISNA(計算結果!P436),"",計算結果!P436)=0,"",IF(ISNA(計算結果!P436),"",計算結果!P436))</f>
        <v/>
      </c>
      <c r="Q436" s="10" t="str">
        <f>IF(IF(ISNA(計算結果!Q436),"",計算結果!Q436)=0,"",IF(ISNA(計算結果!Q436),"",計算結果!Q436))</f>
        <v/>
      </c>
      <c r="R436" s="14" t="str">
        <f t="shared" si="18"/>
        <v/>
      </c>
      <c r="S436" s="14" t="str">
        <f t="shared" si="19"/>
        <v>◯</v>
      </c>
      <c r="T436" s="14" t="str">
        <f t="shared" si="20"/>
        <v/>
      </c>
    </row>
    <row r="437" spans="1:20" hidden="1" x14ac:dyDescent="0.45">
      <c r="A437" s="10" t="str">
        <f>IF(IF(ISNA(計算結果!A437),"",計算結果!A437)=0,"",IF(ISNA(計算結果!A437),"",計算結果!A437))</f>
        <v/>
      </c>
      <c r="B437" s="10" t="str">
        <f>IF(IF(ISNA(計算結果!B437),"",計算結果!B437)=0,"",IF(ISNA(計算結果!B437),"",計算結果!B437))</f>
        <v/>
      </c>
      <c r="C437" s="10" t="str">
        <f>IF(IF(ISNA(計算結果!C437),"",計算結果!C437)=0,"",IF(ISNA(計算結果!C437),"",計算結果!C437))</f>
        <v/>
      </c>
      <c r="D437" s="10" t="str">
        <f>IF(IF(ISNA(計算結果!D437),"",計算結果!D437)=0,"",IF(ISNA(計算結果!D437),"",計算結果!D437))</f>
        <v>L</v>
      </c>
      <c r="E437" s="10" t="str">
        <f>IF(IF(ISNA(計算結果!E437),"",計算結果!E437)=0,"",IF(ISNA(計算結果!E437),"",計算結果!E437))</f>
        <v/>
      </c>
      <c r="F437" s="10" t="str">
        <f>IF(IF(ISNA(計算結果!F437),"",計算結果!F437)=0,"",IF(ISNA(計算結果!F437),"",計算結果!F437))</f>
        <v/>
      </c>
      <c r="G437" s="10" t="str">
        <f>IF(IF(ISNA(計算結果!G437),"",計算結果!G437)=0,"",IF(ISNA(計算結果!G437),"",計算結果!G437))</f>
        <v/>
      </c>
      <c r="H437" s="13">
        <f>IF(IF(ISNA(計算結果!H437),"",計算結果!H437)=0,"",IF(ISNA(計算結果!H437),"",計算結果!H437))</f>
        <v>-2</v>
      </c>
      <c r="I437" s="12" t="str">
        <f>IF(IF(ISNA(計算結果!I437),"",計算結果!I437)=0,"",IF(ISNA(計算結果!I437),"",計算結果!I437))</f>
        <v/>
      </c>
      <c r="J437" s="12" t="str">
        <f>IF(IF(ISNA(計算結果!J437),"",計算結果!J437)=0,"",IF(ISNA(計算結果!J437),"",計算結果!J437))</f>
        <v/>
      </c>
      <c r="K437" s="23" t="str">
        <f>IF(IF(ISNA(計算結果!K437),"",計算結果!K437)=0,"",IF(ISNA(計算結果!K437),"",計算結果!K437))</f>
        <v/>
      </c>
      <c r="L437" s="13" t="str">
        <f>IF(IF(ISNA(計算結果!L437),"",計算結果!L437)=0,"",IF(ISNA(計算結果!L437),"",計算結果!L437))</f>
        <v/>
      </c>
      <c r="M437" s="10" t="str">
        <f>IF(IF(ISNA(計算結果!M437),"",計算結果!M437)=0,"",IF(ISNA(計算結果!M437),"",計算結果!M437))</f>
        <v/>
      </c>
      <c r="N437" s="10" t="str">
        <f>IF(IF(ISNA(計算結果!N437),"",計算結果!N437)=0,"",IF(ISNA(計算結果!N437),"",計算結果!N437))</f>
        <v/>
      </c>
      <c r="O437" s="13" t="str">
        <f>IF(IF(ISNA(計算結果!O437),"",計算結果!O437)=0,"",IF(ISNA(計算結果!O437),"",計算結果!O437))</f>
        <v/>
      </c>
      <c r="P437" s="10" t="str">
        <f>IF(IF(ISNA(計算結果!P437),"",計算結果!P437)=0,"",IF(ISNA(計算結果!P437),"",計算結果!P437))</f>
        <v/>
      </c>
      <c r="Q437" s="10" t="str">
        <f>IF(IF(ISNA(計算結果!Q437),"",計算結果!Q437)=0,"",IF(ISNA(計算結果!Q437),"",計算結果!Q437))</f>
        <v/>
      </c>
      <c r="R437" s="14" t="str">
        <f t="shared" si="18"/>
        <v/>
      </c>
      <c r="S437" s="14" t="str">
        <f t="shared" si="19"/>
        <v>◯</v>
      </c>
      <c r="T437" s="14" t="str">
        <f t="shared" si="20"/>
        <v/>
      </c>
    </row>
    <row r="438" spans="1:20" hidden="1" x14ac:dyDescent="0.45">
      <c r="A438" s="10" t="str">
        <f>IF(IF(ISNA(計算結果!A438),"",計算結果!A438)=0,"",IF(ISNA(計算結果!A438),"",計算結果!A438))</f>
        <v/>
      </c>
      <c r="B438" s="10" t="str">
        <f>IF(IF(ISNA(計算結果!B438),"",計算結果!B438)=0,"",IF(ISNA(計算結果!B438),"",計算結果!B438))</f>
        <v/>
      </c>
      <c r="C438" s="10" t="str">
        <f>IF(IF(ISNA(計算結果!C438),"",計算結果!C438)=0,"",IF(ISNA(計算結果!C438),"",計算結果!C438))</f>
        <v/>
      </c>
      <c r="D438" s="10" t="str">
        <f>IF(IF(ISNA(計算結果!D438),"",計算結果!D438)=0,"",IF(ISNA(計算結果!D438),"",計算結果!D438))</f>
        <v>L</v>
      </c>
      <c r="E438" s="10" t="str">
        <f>IF(IF(ISNA(計算結果!E438),"",計算結果!E438)=0,"",IF(ISNA(計算結果!E438),"",計算結果!E438))</f>
        <v/>
      </c>
      <c r="F438" s="10" t="str">
        <f>IF(IF(ISNA(計算結果!F438),"",計算結果!F438)=0,"",IF(ISNA(計算結果!F438),"",計算結果!F438))</f>
        <v/>
      </c>
      <c r="G438" s="10" t="str">
        <f>IF(IF(ISNA(計算結果!G438),"",計算結果!G438)=0,"",IF(ISNA(計算結果!G438),"",計算結果!G438))</f>
        <v/>
      </c>
      <c r="H438" s="13">
        <f>IF(IF(ISNA(計算結果!H438),"",計算結果!H438)=0,"",IF(ISNA(計算結果!H438),"",計算結果!H438))</f>
        <v>-2</v>
      </c>
      <c r="I438" s="12" t="str">
        <f>IF(IF(ISNA(計算結果!I438),"",計算結果!I438)=0,"",IF(ISNA(計算結果!I438),"",計算結果!I438))</f>
        <v/>
      </c>
      <c r="J438" s="12" t="str">
        <f>IF(IF(ISNA(計算結果!J438),"",計算結果!J438)=0,"",IF(ISNA(計算結果!J438),"",計算結果!J438))</f>
        <v/>
      </c>
      <c r="K438" s="23" t="str">
        <f>IF(IF(ISNA(計算結果!K438),"",計算結果!K438)=0,"",IF(ISNA(計算結果!K438),"",計算結果!K438))</f>
        <v/>
      </c>
      <c r="L438" s="13" t="str">
        <f>IF(IF(ISNA(計算結果!L438),"",計算結果!L438)=0,"",IF(ISNA(計算結果!L438),"",計算結果!L438))</f>
        <v/>
      </c>
      <c r="M438" s="10" t="str">
        <f>IF(IF(ISNA(計算結果!M438),"",計算結果!M438)=0,"",IF(ISNA(計算結果!M438),"",計算結果!M438))</f>
        <v/>
      </c>
      <c r="N438" s="10" t="str">
        <f>IF(IF(ISNA(計算結果!N438),"",計算結果!N438)=0,"",IF(ISNA(計算結果!N438),"",計算結果!N438))</f>
        <v/>
      </c>
      <c r="O438" s="13" t="str">
        <f>IF(IF(ISNA(計算結果!O438),"",計算結果!O438)=0,"",IF(ISNA(計算結果!O438),"",計算結果!O438))</f>
        <v/>
      </c>
      <c r="P438" s="10" t="str">
        <f>IF(IF(ISNA(計算結果!P438),"",計算結果!P438)=0,"",IF(ISNA(計算結果!P438),"",計算結果!P438))</f>
        <v/>
      </c>
      <c r="Q438" s="10" t="str">
        <f>IF(IF(ISNA(計算結果!Q438),"",計算結果!Q438)=0,"",IF(ISNA(計算結果!Q438),"",計算結果!Q438))</f>
        <v/>
      </c>
      <c r="R438" s="14" t="str">
        <f t="shared" si="18"/>
        <v/>
      </c>
      <c r="S438" s="14" t="str">
        <f t="shared" si="19"/>
        <v>◯</v>
      </c>
      <c r="T438" s="14" t="str">
        <f t="shared" si="20"/>
        <v/>
      </c>
    </row>
    <row r="439" spans="1:20" hidden="1" x14ac:dyDescent="0.45">
      <c r="A439" s="10" t="str">
        <f>IF(IF(ISNA(計算結果!A439),"",計算結果!A439)=0,"",IF(ISNA(計算結果!A439),"",計算結果!A439))</f>
        <v/>
      </c>
      <c r="B439" s="10" t="str">
        <f>IF(IF(ISNA(計算結果!B439),"",計算結果!B439)=0,"",IF(ISNA(計算結果!B439),"",計算結果!B439))</f>
        <v/>
      </c>
      <c r="C439" s="10" t="str">
        <f>IF(IF(ISNA(計算結果!C439),"",計算結果!C439)=0,"",IF(ISNA(計算結果!C439),"",計算結果!C439))</f>
        <v/>
      </c>
      <c r="D439" s="10" t="str">
        <f>IF(IF(ISNA(計算結果!D439),"",計算結果!D439)=0,"",IF(ISNA(計算結果!D439),"",計算結果!D439))</f>
        <v>L</v>
      </c>
      <c r="E439" s="10" t="str">
        <f>IF(IF(ISNA(計算結果!E439),"",計算結果!E439)=0,"",IF(ISNA(計算結果!E439),"",計算結果!E439))</f>
        <v/>
      </c>
      <c r="F439" s="10" t="str">
        <f>IF(IF(ISNA(計算結果!F439),"",計算結果!F439)=0,"",IF(ISNA(計算結果!F439),"",計算結果!F439))</f>
        <v/>
      </c>
      <c r="G439" s="10" t="str">
        <f>IF(IF(ISNA(計算結果!G439),"",計算結果!G439)=0,"",IF(ISNA(計算結果!G439),"",計算結果!G439))</f>
        <v/>
      </c>
      <c r="H439" s="13">
        <f>IF(IF(ISNA(計算結果!H439),"",計算結果!H439)=0,"",IF(ISNA(計算結果!H439),"",計算結果!H439))</f>
        <v>-2</v>
      </c>
      <c r="I439" s="12" t="str">
        <f>IF(IF(ISNA(計算結果!I439),"",計算結果!I439)=0,"",IF(ISNA(計算結果!I439),"",計算結果!I439))</f>
        <v/>
      </c>
      <c r="J439" s="12" t="str">
        <f>IF(IF(ISNA(計算結果!J439),"",計算結果!J439)=0,"",IF(ISNA(計算結果!J439),"",計算結果!J439))</f>
        <v/>
      </c>
      <c r="K439" s="23" t="str">
        <f>IF(IF(ISNA(計算結果!K439),"",計算結果!K439)=0,"",IF(ISNA(計算結果!K439),"",計算結果!K439))</f>
        <v/>
      </c>
      <c r="L439" s="13" t="str">
        <f>IF(IF(ISNA(計算結果!L439),"",計算結果!L439)=0,"",IF(ISNA(計算結果!L439),"",計算結果!L439))</f>
        <v/>
      </c>
      <c r="M439" s="10" t="str">
        <f>IF(IF(ISNA(計算結果!M439),"",計算結果!M439)=0,"",IF(ISNA(計算結果!M439),"",計算結果!M439))</f>
        <v/>
      </c>
      <c r="N439" s="10" t="str">
        <f>IF(IF(ISNA(計算結果!N439),"",計算結果!N439)=0,"",IF(ISNA(計算結果!N439),"",計算結果!N439))</f>
        <v/>
      </c>
      <c r="O439" s="13" t="str">
        <f>IF(IF(ISNA(計算結果!O439),"",計算結果!O439)=0,"",IF(ISNA(計算結果!O439),"",計算結果!O439))</f>
        <v/>
      </c>
      <c r="P439" s="10" t="str">
        <f>IF(IF(ISNA(計算結果!P439),"",計算結果!P439)=0,"",IF(ISNA(計算結果!P439),"",計算結果!P439))</f>
        <v/>
      </c>
      <c r="Q439" s="10" t="str">
        <f>IF(IF(ISNA(計算結果!Q439),"",計算結果!Q439)=0,"",IF(ISNA(計算結果!Q439),"",計算結果!Q439))</f>
        <v/>
      </c>
      <c r="R439" s="14" t="str">
        <f t="shared" si="18"/>
        <v/>
      </c>
      <c r="S439" s="14" t="str">
        <f t="shared" si="19"/>
        <v>◯</v>
      </c>
      <c r="T439" s="14" t="str">
        <f t="shared" si="20"/>
        <v/>
      </c>
    </row>
    <row r="440" spans="1:20" hidden="1" x14ac:dyDescent="0.45">
      <c r="A440" s="10" t="str">
        <f>IF(IF(ISNA(計算結果!A440),"",計算結果!A440)=0,"",IF(ISNA(計算結果!A440),"",計算結果!A440))</f>
        <v/>
      </c>
      <c r="B440" s="10" t="str">
        <f>IF(IF(ISNA(計算結果!B440),"",計算結果!B440)=0,"",IF(ISNA(計算結果!B440),"",計算結果!B440))</f>
        <v/>
      </c>
      <c r="C440" s="10" t="str">
        <f>IF(IF(ISNA(計算結果!C440),"",計算結果!C440)=0,"",IF(ISNA(計算結果!C440),"",計算結果!C440))</f>
        <v/>
      </c>
      <c r="D440" s="10" t="str">
        <f>IF(IF(ISNA(計算結果!D440),"",計算結果!D440)=0,"",IF(ISNA(計算結果!D440),"",計算結果!D440))</f>
        <v>L</v>
      </c>
      <c r="E440" s="10" t="str">
        <f>IF(IF(ISNA(計算結果!E440),"",計算結果!E440)=0,"",IF(ISNA(計算結果!E440),"",計算結果!E440))</f>
        <v/>
      </c>
      <c r="F440" s="10" t="str">
        <f>IF(IF(ISNA(計算結果!F440),"",計算結果!F440)=0,"",IF(ISNA(計算結果!F440),"",計算結果!F440))</f>
        <v/>
      </c>
      <c r="G440" s="10" t="str">
        <f>IF(IF(ISNA(計算結果!G440),"",計算結果!G440)=0,"",IF(ISNA(計算結果!G440),"",計算結果!G440))</f>
        <v/>
      </c>
      <c r="H440" s="13">
        <f>IF(IF(ISNA(計算結果!H440),"",計算結果!H440)=0,"",IF(ISNA(計算結果!H440),"",計算結果!H440))</f>
        <v>-2</v>
      </c>
      <c r="I440" s="12" t="str">
        <f>IF(IF(ISNA(計算結果!I440),"",計算結果!I440)=0,"",IF(ISNA(計算結果!I440),"",計算結果!I440))</f>
        <v/>
      </c>
      <c r="J440" s="12" t="str">
        <f>IF(IF(ISNA(計算結果!J440),"",計算結果!J440)=0,"",IF(ISNA(計算結果!J440),"",計算結果!J440))</f>
        <v/>
      </c>
      <c r="K440" s="23" t="str">
        <f>IF(IF(ISNA(計算結果!K440),"",計算結果!K440)=0,"",IF(ISNA(計算結果!K440),"",計算結果!K440))</f>
        <v/>
      </c>
      <c r="L440" s="13" t="str">
        <f>IF(IF(ISNA(計算結果!L440),"",計算結果!L440)=0,"",IF(ISNA(計算結果!L440),"",計算結果!L440))</f>
        <v/>
      </c>
      <c r="M440" s="10" t="str">
        <f>IF(IF(ISNA(計算結果!M440),"",計算結果!M440)=0,"",IF(ISNA(計算結果!M440),"",計算結果!M440))</f>
        <v/>
      </c>
      <c r="N440" s="10" t="str">
        <f>IF(IF(ISNA(計算結果!N440),"",計算結果!N440)=0,"",IF(ISNA(計算結果!N440),"",計算結果!N440))</f>
        <v/>
      </c>
      <c r="O440" s="13" t="str">
        <f>IF(IF(ISNA(計算結果!O440),"",計算結果!O440)=0,"",IF(ISNA(計算結果!O440),"",計算結果!O440))</f>
        <v/>
      </c>
      <c r="P440" s="10" t="str">
        <f>IF(IF(ISNA(計算結果!P440),"",計算結果!P440)=0,"",IF(ISNA(計算結果!P440),"",計算結果!P440))</f>
        <v/>
      </c>
      <c r="Q440" s="10" t="str">
        <f>IF(IF(ISNA(計算結果!Q440),"",計算結果!Q440)=0,"",IF(ISNA(計算結果!Q440),"",計算結果!Q440))</f>
        <v/>
      </c>
      <c r="R440" s="14" t="str">
        <f t="shared" si="18"/>
        <v/>
      </c>
      <c r="S440" s="14" t="str">
        <f t="shared" si="19"/>
        <v>◯</v>
      </c>
      <c r="T440" s="14" t="str">
        <f t="shared" si="20"/>
        <v/>
      </c>
    </row>
    <row r="441" spans="1:20" hidden="1" x14ac:dyDescent="0.45">
      <c r="A441" s="10" t="str">
        <f>IF(IF(ISNA(計算結果!A441),"",計算結果!A441)=0,"",IF(ISNA(計算結果!A441),"",計算結果!A441))</f>
        <v/>
      </c>
      <c r="B441" s="10" t="str">
        <f>IF(IF(ISNA(計算結果!B441),"",計算結果!B441)=0,"",IF(ISNA(計算結果!B441),"",計算結果!B441))</f>
        <v/>
      </c>
      <c r="C441" s="10" t="str">
        <f>IF(IF(ISNA(計算結果!C441),"",計算結果!C441)=0,"",IF(ISNA(計算結果!C441),"",計算結果!C441))</f>
        <v/>
      </c>
      <c r="D441" s="10" t="str">
        <f>IF(IF(ISNA(計算結果!D441),"",計算結果!D441)=0,"",IF(ISNA(計算結果!D441),"",計算結果!D441))</f>
        <v>L</v>
      </c>
      <c r="E441" s="10" t="str">
        <f>IF(IF(ISNA(計算結果!E441),"",計算結果!E441)=0,"",IF(ISNA(計算結果!E441),"",計算結果!E441))</f>
        <v/>
      </c>
      <c r="F441" s="10" t="str">
        <f>IF(IF(ISNA(計算結果!F441),"",計算結果!F441)=0,"",IF(ISNA(計算結果!F441),"",計算結果!F441))</f>
        <v/>
      </c>
      <c r="G441" s="10" t="str">
        <f>IF(IF(ISNA(計算結果!G441),"",計算結果!G441)=0,"",IF(ISNA(計算結果!G441),"",計算結果!G441))</f>
        <v/>
      </c>
      <c r="H441" s="13">
        <f>IF(IF(ISNA(計算結果!H441),"",計算結果!H441)=0,"",IF(ISNA(計算結果!H441),"",計算結果!H441))</f>
        <v>-2</v>
      </c>
      <c r="I441" s="12" t="str">
        <f>IF(IF(ISNA(計算結果!I441),"",計算結果!I441)=0,"",IF(ISNA(計算結果!I441),"",計算結果!I441))</f>
        <v/>
      </c>
      <c r="J441" s="12" t="str">
        <f>IF(IF(ISNA(計算結果!J441),"",計算結果!J441)=0,"",IF(ISNA(計算結果!J441),"",計算結果!J441))</f>
        <v/>
      </c>
      <c r="K441" s="23" t="str">
        <f>IF(IF(ISNA(計算結果!K441),"",計算結果!K441)=0,"",IF(ISNA(計算結果!K441),"",計算結果!K441))</f>
        <v/>
      </c>
      <c r="L441" s="13" t="str">
        <f>IF(IF(ISNA(計算結果!L441),"",計算結果!L441)=0,"",IF(ISNA(計算結果!L441),"",計算結果!L441))</f>
        <v/>
      </c>
      <c r="M441" s="10" t="str">
        <f>IF(IF(ISNA(計算結果!M441),"",計算結果!M441)=0,"",IF(ISNA(計算結果!M441),"",計算結果!M441))</f>
        <v/>
      </c>
      <c r="N441" s="10" t="str">
        <f>IF(IF(ISNA(計算結果!N441),"",計算結果!N441)=0,"",IF(ISNA(計算結果!N441),"",計算結果!N441))</f>
        <v/>
      </c>
      <c r="O441" s="13" t="str">
        <f>IF(IF(ISNA(計算結果!O441),"",計算結果!O441)=0,"",IF(ISNA(計算結果!O441),"",計算結果!O441))</f>
        <v/>
      </c>
      <c r="P441" s="10" t="str">
        <f>IF(IF(ISNA(計算結果!P441),"",計算結果!P441)=0,"",IF(ISNA(計算結果!P441),"",計算結果!P441))</f>
        <v/>
      </c>
      <c r="Q441" s="10" t="str">
        <f>IF(IF(ISNA(計算結果!Q441),"",計算結果!Q441)=0,"",IF(ISNA(計算結果!Q441),"",計算結果!Q441))</f>
        <v/>
      </c>
      <c r="R441" s="14" t="str">
        <f t="shared" si="18"/>
        <v/>
      </c>
      <c r="S441" s="14" t="str">
        <f t="shared" si="19"/>
        <v>◯</v>
      </c>
      <c r="T441" s="14" t="str">
        <f t="shared" si="20"/>
        <v/>
      </c>
    </row>
    <row r="442" spans="1:20" hidden="1" x14ac:dyDescent="0.45">
      <c r="A442" s="10" t="str">
        <f>IF(IF(ISNA(計算結果!A442),"",計算結果!A442)=0,"",IF(ISNA(計算結果!A442),"",計算結果!A442))</f>
        <v/>
      </c>
      <c r="B442" s="10" t="str">
        <f>IF(IF(ISNA(計算結果!B442),"",計算結果!B442)=0,"",IF(ISNA(計算結果!B442),"",計算結果!B442))</f>
        <v/>
      </c>
      <c r="C442" s="10" t="str">
        <f>IF(IF(ISNA(計算結果!C442),"",計算結果!C442)=0,"",IF(ISNA(計算結果!C442),"",計算結果!C442))</f>
        <v/>
      </c>
      <c r="D442" s="10" t="str">
        <f>IF(IF(ISNA(計算結果!D442),"",計算結果!D442)=0,"",IF(ISNA(計算結果!D442),"",計算結果!D442))</f>
        <v>L</v>
      </c>
      <c r="E442" s="10" t="str">
        <f>IF(IF(ISNA(計算結果!E442),"",計算結果!E442)=0,"",IF(ISNA(計算結果!E442),"",計算結果!E442))</f>
        <v/>
      </c>
      <c r="F442" s="10" t="str">
        <f>IF(IF(ISNA(計算結果!F442),"",計算結果!F442)=0,"",IF(ISNA(計算結果!F442),"",計算結果!F442))</f>
        <v/>
      </c>
      <c r="G442" s="10" t="str">
        <f>IF(IF(ISNA(計算結果!G442),"",計算結果!G442)=0,"",IF(ISNA(計算結果!G442),"",計算結果!G442))</f>
        <v/>
      </c>
      <c r="H442" s="13">
        <f>IF(IF(ISNA(計算結果!H442),"",計算結果!H442)=0,"",IF(ISNA(計算結果!H442),"",計算結果!H442))</f>
        <v>-2</v>
      </c>
      <c r="I442" s="12" t="str">
        <f>IF(IF(ISNA(計算結果!I442),"",計算結果!I442)=0,"",IF(ISNA(計算結果!I442),"",計算結果!I442))</f>
        <v/>
      </c>
      <c r="J442" s="12" t="str">
        <f>IF(IF(ISNA(計算結果!J442),"",計算結果!J442)=0,"",IF(ISNA(計算結果!J442),"",計算結果!J442))</f>
        <v/>
      </c>
      <c r="K442" s="23" t="str">
        <f>IF(IF(ISNA(計算結果!K442),"",計算結果!K442)=0,"",IF(ISNA(計算結果!K442),"",計算結果!K442))</f>
        <v/>
      </c>
      <c r="L442" s="13" t="str">
        <f>IF(IF(ISNA(計算結果!L442),"",計算結果!L442)=0,"",IF(ISNA(計算結果!L442),"",計算結果!L442))</f>
        <v/>
      </c>
      <c r="M442" s="10" t="str">
        <f>IF(IF(ISNA(計算結果!M442),"",計算結果!M442)=0,"",IF(ISNA(計算結果!M442),"",計算結果!M442))</f>
        <v/>
      </c>
      <c r="N442" s="10" t="str">
        <f>IF(IF(ISNA(計算結果!N442),"",計算結果!N442)=0,"",IF(ISNA(計算結果!N442),"",計算結果!N442))</f>
        <v/>
      </c>
      <c r="O442" s="13" t="str">
        <f>IF(IF(ISNA(計算結果!O442),"",計算結果!O442)=0,"",IF(ISNA(計算結果!O442),"",計算結果!O442))</f>
        <v/>
      </c>
      <c r="P442" s="10" t="str">
        <f>IF(IF(ISNA(計算結果!P442),"",計算結果!P442)=0,"",IF(ISNA(計算結果!P442),"",計算結果!P442))</f>
        <v/>
      </c>
      <c r="Q442" s="10" t="str">
        <f>IF(IF(ISNA(計算結果!Q442),"",計算結果!Q442)=0,"",IF(ISNA(計算結果!Q442),"",計算結果!Q442))</f>
        <v/>
      </c>
      <c r="R442" s="14" t="str">
        <f t="shared" si="18"/>
        <v/>
      </c>
      <c r="S442" s="14" t="str">
        <f t="shared" si="19"/>
        <v>◯</v>
      </c>
      <c r="T442" s="14" t="str">
        <f t="shared" si="20"/>
        <v/>
      </c>
    </row>
    <row r="443" spans="1:20" hidden="1" x14ac:dyDescent="0.45">
      <c r="A443" s="10" t="str">
        <f>IF(IF(ISNA(計算結果!A443),"",計算結果!A443)=0,"",IF(ISNA(計算結果!A443),"",計算結果!A443))</f>
        <v/>
      </c>
      <c r="B443" s="10" t="str">
        <f>IF(IF(ISNA(計算結果!B443),"",計算結果!B443)=0,"",IF(ISNA(計算結果!B443),"",計算結果!B443))</f>
        <v/>
      </c>
      <c r="C443" s="10" t="str">
        <f>IF(IF(ISNA(計算結果!C443),"",計算結果!C443)=0,"",IF(ISNA(計算結果!C443),"",計算結果!C443))</f>
        <v/>
      </c>
      <c r="D443" s="10" t="str">
        <f>IF(IF(ISNA(計算結果!D443),"",計算結果!D443)=0,"",IF(ISNA(計算結果!D443),"",計算結果!D443))</f>
        <v>L</v>
      </c>
      <c r="E443" s="10" t="str">
        <f>IF(IF(ISNA(計算結果!E443),"",計算結果!E443)=0,"",IF(ISNA(計算結果!E443),"",計算結果!E443))</f>
        <v/>
      </c>
      <c r="F443" s="10" t="str">
        <f>IF(IF(ISNA(計算結果!F443),"",計算結果!F443)=0,"",IF(ISNA(計算結果!F443),"",計算結果!F443))</f>
        <v/>
      </c>
      <c r="G443" s="10" t="str">
        <f>IF(IF(ISNA(計算結果!G443),"",計算結果!G443)=0,"",IF(ISNA(計算結果!G443),"",計算結果!G443))</f>
        <v/>
      </c>
      <c r="H443" s="13">
        <f>IF(IF(ISNA(計算結果!H443),"",計算結果!H443)=0,"",IF(ISNA(計算結果!H443),"",計算結果!H443))</f>
        <v>-2</v>
      </c>
      <c r="I443" s="12" t="str">
        <f>IF(IF(ISNA(計算結果!I443),"",計算結果!I443)=0,"",IF(ISNA(計算結果!I443),"",計算結果!I443))</f>
        <v/>
      </c>
      <c r="J443" s="12" t="str">
        <f>IF(IF(ISNA(計算結果!J443),"",計算結果!J443)=0,"",IF(ISNA(計算結果!J443),"",計算結果!J443))</f>
        <v/>
      </c>
      <c r="K443" s="23" t="str">
        <f>IF(IF(ISNA(計算結果!K443),"",計算結果!K443)=0,"",IF(ISNA(計算結果!K443),"",計算結果!K443))</f>
        <v/>
      </c>
      <c r="L443" s="13" t="str">
        <f>IF(IF(ISNA(計算結果!L443),"",計算結果!L443)=0,"",IF(ISNA(計算結果!L443),"",計算結果!L443))</f>
        <v/>
      </c>
      <c r="M443" s="10" t="str">
        <f>IF(IF(ISNA(計算結果!M443),"",計算結果!M443)=0,"",IF(ISNA(計算結果!M443),"",計算結果!M443))</f>
        <v/>
      </c>
      <c r="N443" s="10" t="str">
        <f>IF(IF(ISNA(計算結果!N443),"",計算結果!N443)=0,"",IF(ISNA(計算結果!N443),"",計算結果!N443))</f>
        <v/>
      </c>
      <c r="O443" s="13" t="str">
        <f>IF(IF(ISNA(計算結果!O443),"",計算結果!O443)=0,"",IF(ISNA(計算結果!O443),"",計算結果!O443))</f>
        <v/>
      </c>
      <c r="P443" s="10" t="str">
        <f>IF(IF(ISNA(計算結果!P443),"",計算結果!P443)=0,"",IF(ISNA(計算結果!P443),"",計算結果!P443))</f>
        <v/>
      </c>
      <c r="Q443" s="10" t="str">
        <f>IF(IF(ISNA(計算結果!Q443),"",計算結果!Q443)=0,"",IF(ISNA(計算結果!Q443),"",計算結果!Q443))</f>
        <v/>
      </c>
      <c r="R443" s="14" t="str">
        <f t="shared" si="18"/>
        <v/>
      </c>
      <c r="S443" s="14" t="str">
        <f t="shared" si="19"/>
        <v>◯</v>
      </c>
      <c r="T443" s="14" t="str">
        <f t="shared" si="20"/>
        <v/>
      </c>
    </row>
    <row r="444" spans="1:20" hidden="1" x14ac:dyDescent="0.45">
      <c r="A444" s="10" t="str">
        <f>IF(IF(ISNA(計算結果!A444),"",計算結果!A444)=0,"",IF(ISNA(計算結果!A444),"",計算結果!A444))</f>
        <v/>
      </c>
      <c r="B444" s="10" t="str">
        <f>IF(IF(ISNA(計算結果!B444),"",計算結果!B444)=0,"",IF(ISNA(計算結果!B444),"",計算結果!B444))</f>
        <v/>
      </c>
      <c r="C444" s="10" t="str">
        <f>IF(IF(ISNA(計算結果!C444),"",計算結果!C444)=0,"",IF(ISNA(計算結果!C444),"",計算結果!C444))</f>
        <v/>
      </c>
      <c r="D444" s="10" t="str">
        <f>IF(IF(ISNA(計算結果!D444),"",計算結果!D444)=0,"",IF(ISNA(計算結果!D444),"",計算結果!D444))</f>
        <v>L</v>
      </c>
      <c r="E444" s="10" t="str">
        <f>IF(IF(ISNA(計算結果!E444),"",計算結果!E444)=0,"",IF(ISNA(計算結果!E444),"",計算結果!E444))</f>
        <v/>
      </c>
      <c r="F444" s="10" t="str">
        <f>IF(IF(ISNA(計算結果!F444),"",計算結果!F444)=0,"",IF(ISNA(計算結果!F444),"",計算結果!F444))</f>
        <v/>
      </c>
      <c r="G444" s="10" t="str">
        <f>IF(IF(ISNA(計算結果!G444),"",計算結果!G444)=0,"",IF(ISNA(計算結果!G444),"",計算結果!G444))</f>
        <v/>
      </c>
      <c r="H444" s="13">
        <f>IF(IF(ISNA(計算結果!H444),"",計算結果!H444)=0,"",IF(ISNA(計算結果!H444),"",計算結果!H444))</f>
        <v>-2</v>
      </c>
      <c r="I444" s="12" t="str">
        <f>IF(IF(ISNA(計算結果!I444),"",計算結果!I444)=0,"",IF(ISNA(計算結果!I444),"",計算結果!I444))</f>
        <v/>
      </c>
      <c r="J444" s="12" t="str">
        <f>IF(IF(ISNA(計算結果!J444),"",計算結果!J444)=0,"",IF(ISNA(計算結果!J444),"",計算結果!J444))</f>
        <v/>
      </c>
      <c r="K444" s="23" t="str">
        <f>IF(IF(ISNA(計算結果!K444),"",計算結果!K444)=0,"",IF(ISNA(計算結果!K444),"",計算結果!K444))</f>
        <v/>
      </c>
      <c r="L444" s="13" t="str">
        <f>IF(IF(ISNA(計算結果!L444),"",計算結果!L444)=0,"",IF(ISNA(計算結果!L444),"",計算結果!L444))</f>
        <v/>
      </c>
      <c r="M444" s="10" t="str">
        <f>IF(IF(ISNA(計算結果!M444),"",計算結果!M444)=0,"",IF(ISNA(計算結果!M444),"",計算結果!M444))</f>
        <v/>
      </c>
      <c r="N444" s="10" t="str">
        <f>IF(IF(ISNA(計算結果!N444),"",計算結果!N444)=0,"",IF(ISNA(計算結果!N444),"",計算結果!N444))</f>
        <v/>
      </c>
      <c r="O444" s="13" t="str">
        <f>IF(IF(ISNA(計算結果!O444),"",計算結果!O444)=0,"",IF(ISNA(計算結果!O444),"",計算結果!O444))</f>
        <v/>
      </c>
      <c r="P444" s="10" t="str">
        <f>IF(IF(ISNA(計算結果!P444),"",計算結果!P444)=0,"",IF(ISNA(計算結果!P444),"",計算結果!P444))</f>
        <v/>
      </c>
      <c r="Q444" s="10" t="str">
        <f>IF(IF(ISNA(計算結果!Q444),"",計算結果!Q444)=0,"",IF(ISNA(計算結果!Q444),"",計算結果!Q444))</f>
        <v/>
      </c>
      <c r="R444" s="14" t="str">
        <f t="shared" si="18"/>
        <v/>
      </c>
      <c r="S444" s="14" t="str">
        <f t="shared" si="19"/>
        <v>◯</v>
      </c>
      <c r="T444" s="14" t="str">
        <f t="shared" si="20"/>
        <v/>
      </c>
    </row>
    <row r="445" spans="1:20" hidden="1" x14ac:dyDescent="0.45">
      <c r="A445" s="10" t="str">
        <f>IF(IF(ISNA(計算結果!A445),"",計算結果!A445)=0,"",IF(ISNA(計算結果!A445),"",計算結果!A445))</f>
        <v/>
      </c>
      <c r="B445" s="10" t="str">
        <f>IF(IF(ISNA(計算結果!B445),"",計算結果!B445)=0,"",IF(ISNA(計算結果!B445),"",計算結果!B445))</f>
        <v/>
      </c>
      <c r="C445" s="10" t="str">
        <f>IF(IF(ISNA(計算結果!C445),"",計算結果!C445)=0,"",IF(ISNA(計算結果!C445),"",計算結果!C445))</f>
        <v/>
      </c>
      <c r="D445" s="10" t="str">
        <f>IF(IF(ISNA(計算結果!D445),"",計算結果!D445)=0,"",IF(ISNA(計算結果!D445),"",計算結果!D445))</f>
        <v>L</v>
      </c>
      <c r="E445" s="10" t="str">
        <f>IF(IF(ISNA(計算結果!E445),"",計算結果!E445)=0,"",IF(ISNA(計算結果!E445),"",計算結果!E445))</f>
        <v/>
      </c>
      <c r="F445" s="10" t="str">
        <f>IF(IF(ISNA(計算結果!F445),"",計算結果!F445)=0,"",IF(ISNA(計算結果!F445),"",計算結果!F445))</f>
        <v/>
      </c>
      <c r="G445" s="10" t="str">
        <f>IF(IF(ISNA(計算結果!G445),"",計算結果!G445)=0,"",IF(ISNA(計算結果!G445),"",計算結果!G445))</f>
        <v/>
      </c>
      <c r="H445" s="13">
        <f>IF(IF(ISNA(計算結果!H445),"",計算結果!H445)=0,"",IF(ISNA(計算結果!H445),"",計算結果!H445))</f>
        <v>-2</v>
      </c>
      <c r="I445" s="12" t="str">
        <f>IF(IF(ISNA(計算結果!I445),"",計算結果!I445)=0,"",IF(ISNA(計算結果!I445),"",計算結果!I445))</f>
        <v/>
      </c>
      <c r="J445" s="12" t="str">
        <f>IF(IF(ISNA(計算結果!J445),"",計算結果!J445)=0,"",IF(ISNA(計算結果!J445),"",計算結果!J445))</f>
        <v/>
      </c>
      <c r="K445" s="23" t="str">
        <f>IF(IF(ISNA(計算結果!K445),"",計算結果!K445)=0,"",IF(ISNA(計算結果!K445),"",計算結果!K445))</f>
        <v/>
      </c>
      <c r="L445" s="13" t="str">
        <f>IF(IF(ISNA(計算結果!L445),"",計算結果!L445)=0,"",IF(ISNA(計算結果!L445),"",計算結果!L445))</f>
        <v/>
      </c>
      <c r="M445" s="10" t="str">
        <f>IF(IF(ISNA(計算結果!M445),"",計算結果!M445)=0,"",IF(ISNA(計算結果!M445),"",計算結果!M445))</f>
        <v/>
      </c>
      <c r="N445" s="10" t="str">
        <f>IF(IF(ISNA(計算結果!N445),"",計算結果!N445)=0,"",IF(ISNA(計算結果!N445),"",計算結果!N445))</f>
        <v/>
      </c>
      <c r="O445" s="13" t="str">
        <f>IF(IF(ISNA(計算結果!O445),"",計算結果!O445)=0,"",IF(ISNA(計算結果!O445),"",計算結果!O445))</f>
        <v/>
      </c>
      <c r="P445" s="10" t="str">
        <f>IF(IF(ISNA(計算結果!P445),"",計算結果!P445)=0,"",IF(ISNA(計算結果!P445),"",計算結果!P445))</f>
        <v/>
      </c>
      <c r="Q445" s="10" t="str">
        <f>IF(IF(ISNA(計算結果!Q445),"",計算結果!Q445)=0,"",IF(ISNA(計算結果!Q445),"",計算結果!Q445))</f>
        <v/>
      </c>
      <c r="R445" s="14" t="str">
        <f t="shared" si="18"/>
        <v/>
      </c>
      <c r="S445" s="14" t="str">
        <f t="shared" si="19"/>
        <v>◯</v>
      </c>
      <c r="T445" s="14" t="str">
        <f t="shared" si="20"/>
        <v/>
      </c>
    </row>
    <row r="446" spans="1:20" hidden="1" x14ac:dyDescent="0.45">
      <c r="A446" s="10" t="str">
        <f>IF(IF(ISNA(計算結果!A446),"",計算結果!A446)=0,"",IF(ISNA(計算結果!A446),"",計算結果!A446))</f>
        <v/>
      </c>
      <c r="B446" s="10" t="str">
        <f>IF(IF(ISNA(計算結果!B446),"",計算結果!B446)=0,"",IF(ISNA(計算結果!B446),"",計算結果!B446))</f>
        <v/>
      </c>
      <c r="C446" s="10" t="str">
        <f>IF(IF(ISNA(計算結果!C446),"",計算結果!C446)=0,"",IF(ISNA(計算結果!C446),"",計算結果!C446))</f>
        <v/>
      </c>
      <c r="D446" s="10" t="str">
        <f>IF(IF(ISNA(計算結果!D446),"",計算結果!D446)=0,"",IF(ISNA(計算結果!D446),"",計算結果!D446))</f>
        <v>L</v>
      </c>
      <c r="E446" s="10" t="str">
        <f>IF(IF(ISNA(計算結果!E446),"",計算結果!E446)=0,"",IF(ISNA(計算結果!E446),"",計算結果!E446))</f>
        <v/>
      </c>
      <c r="F446" s="10" t="str">
        <f>IF(IF(ISNA(計算結果!F446),"",計算結果!F446)=0,"",IF(ISNA(計算結果!F446),"",計算結果!F446))</f>
        <v/>
      </c>
      <c r="G446" s="10" t="str">
        <f>IF(IF(ISNA(計算結果!G446),"",計算結果!G446)=0,"",IF(ISNA(計算結果!G446),"",計算結果!G446))</f>
        <v/>
      </c>
      <c r="H446" s="13">
        <f>IF(IF(ISNA(計算結果!H446),"",計算結果!H446)=0,"",IF(ISNA(計算結果!H446),"",計算結果!H446))</f>
        <v>-2</v>
      </c>
      <c r="I446" s="12" t="str">
        <f>IF(IF(ISNA(計算結果!I446),"",計算結果!I446)=0,"",IF(ISNA(計算結果!I446),"",計算結果!I446))</f>
        <v/>
      </c>
      <c r="J446" s="12" t="str">
        <f>IF(IF(ISNA(計算結果!J446),"",計算結果!J446)=0,"",IF(ISNA(計算結果!J446),"",計算結果!J446))</f>
        <v/>
      </c>
      <c r="K446" s="23" t="str">
        <f>IF(IF(ISNA(計算結果!K446),"",計算結果!K446)=0,"",IF(ISNA(計算結果!K446),"",計算結果!K446))</f>
        <v/>
      </c>
      <c r="L446" s="13" t="str">
        <f>IF(IF(ISNA(計算結果!L446),"",計算結果!L446)=0,"",IF(ISNA(計算結果!L446),"",計算結果!L446))</f>
        <v/>
      </c>
      <c r="M446" s="10" t="str">
        <f>IF(IF(ISNA(計算結果!M446),"",計算結果!M446)=0,"",IF(ISNA(計算結果!M446),"",計算結果!M446))</f>
        <v/>
      </c>
      <c r="N446" s="10" t="str">
        <f>IF(IF(ISNA(計算結果!N446),"",計算結果!N446)=0,"",IF(ISNA(計算結果!N446),"",計算結果!N446))</f>
        <v/>
      </c>
      <c r="O446" s="13" t="str">
        <f>IF(IF(ISNA(計算結果!O446),"",計算結果!O446)=0,"",IF(ISNA(計算結果!O446),"",計算結果!O446))</f>
        <v/>
      </c>
      <c r="P446" s="10" t="str">
        <f>IF(IF(ISNA(計算結果!P446),"",計算結果!P446)=0,"",IF(ISNA(計算結果!P446),"",計算結果!P446))</f>
        <v/>
      </c>
      <c r="Q446" s="10" t="str">
        <f>IF(IF(ISNA(計算結果!Q446),"",計算結果!Q446)=0,"",IF(ISNA(計算結果!Q446),"",計算結果!Q446))</f>
        <v/>
      </c>
      <c r="R446" s="14" t="str">
        <f t="shared" si="18"/>
        <v/>
      </c>
      <c r="S446" s="14" t="str">
        <f t="shared" si="19"/>
        <v>◯</v>
      </c>
      <c r="T446" s="14" t="str">
        <f t="shared" si="20"/>
        <v/>
      </c>
    </row>
    <row r="447" spans="1:20" hidden="1" x14ac:dyDescent="0.45">
      <c r="A447" s="10" t="str">
        <f>IF(IF(ISNA(計算結果!A447),"",計算結果!A447)=0,"",IF(ISNA(計算結果!A447),"",計算結果!A447))</f>
        <v/>
      </c>
      <c r="B447" s="10" t="str">
        <f>IF(IF(ISNA(計算結果!B447),"",計算結果!B447)=0,"",IF(ISNA(計算結果!B447),"",計算結果!B447))</f>
        <v/>
      </c>
      <c r="C447" s="10" t="str">
        <f>IF(IF(ISNA(計算結果!C447),"",計算結果!C447)=0,"",IF(ISNA(計算結果!C447),"",計算結果!C447))</f>
        <v/>
      </c>
      <c r="D447" s="10" t="str">
        <f>IF(IF(ISNA(計算結果!D447),"",計算結果!D447)=0,"",IF(ISNA(計算結果!D447),"",計算結果!D447))</f>
        <v>L</v>
      </c>
      <c r="E447" s="10" t="str">
        <f>IF(IF(ISNA(計算結果!E447),"",計算結果!E447)=0,"",IF(ISNA(計算結果!E447),"",計算結果!E447))</f>
        <v/>
      </c>
      <c r="F447" s="10" t="str">
        <f>IF(IF(ISNA(計算結果!F447),"",計算結果!F447)=0,"",IF(ISNA(計算結果!F447),"",計算結果!F447))</f>
        <v/>
      </c>
      <c r="G447" s="10" t="str">
        <f>IF(IF(ISNA(計算結果!G447),"",計算結果!G447)=0,"",IF(ISNA(計算結果!G447),"",計算結果!G447))</f>
        <v/>
      </c>
      <c r="H447" s="13">
        <f>IF(IF(ISNA(計算結果!H447),"",計算結果!H447)=0,"",IF(ISNA(計算結果!H447),"",計算結果!H447))</f>
        <v>-2</v>
      </c>
      <c r="I447" s="12" t="str">
        <f>IF(IF(ISNA(計算結果!I447),"",計算結果!I447)=0,"",IF(ISNA(計算結果!I447),"",計算結果!I447))</f>
        <v/>
      </c>
      <c r="J447" s="12" t="str">
        <f>IF(IF(ISNA(計算結果!J447),"",計算結果!J447)=0,"",IF(ISNA(計算結果!J447),"",計算結果!J447))</f>
        <v/>
      </c>
      <c r="K447" s="23" t="str">
        <f>IF(IF(ISNA(計算結果!K447),"",計算結果!K447)=0,"",IF(ISNA(計算結果!K447),"",計算結果!K447))</f>
        <v/>
      </c>
      <c r="L447" s="13" t="str">
        <f>IF(IF(ISNA(計算結果!L447),"",計算結果!L447)=0,"",IF(ISNA(計算結果!L447),"",計算結果!L447))</f>
        <v/>
      </c>
      <c r="M447" s="10" t="str">
        <f>IF(IF(ISNA(計算結果!M447),"",計算結果!M447)=0,"",IF(ISNA(計算結果!M447),"",計算結果!M447))</f>
        <v/>
      </c>
      <c r="N447" s="10" t="str">
        <f>IF(IF(ISNA(計算結果!N447),"",計算結果!N447)=0,"",IF(ISNA(計算結果!N447),"",計算結果!N447))</f>
        <v/>
      </c>
      <c r="O447" s="13" t="str">
        <f>IF(IF(ISNA(計算結果!O447),"",計算結果!O447)=0,"",IF(ISNA(計算結果!O447),"",計算結果!O447))</f>
        <v/>
      </c>
      <c r="P447" s="10" t="str">
        <f>IF(IF(ISNA(計算結果!P447),"",計算結果!P447)=0,"",IF(ISNA(計算結果!P447),"",計算結果!P447))</f>
        <v/>
      </c>
      <c r="Q447" s="10" t="str">
        <f>IF(IF(ISNA(計算結果!Q447),"",計算結果!Q447)=0,"",IF(ISNA(計算結果!Q447),"",計算結果!Q447))</f>
        <v/>
      </c>
      <c r="R447" s="14" t="str">
        <f t="shared" si="18"/>
        <v/>
      </c>
      <c r="S447" s="14" t="str">
        <f t="shared" si="19"/>
        <v>◯</v>
      </c>
      <c r="T447" s="14" t="str">
        <f t="shared" si="20"/>
        <v/>
      </c>
    </row>
    <row r="448" spans="1:20" hidden="1" x14ac:dyDescent="0.45">
      <c r="A448" s="10" t="str">
        <f>IF(IF(ISNA(計算結果!A448),"",計算結果!A448)=0,"",IF(ISNA(計算結果!A448),"",計算結果!A448))</f>
        <v/>
      </c>
      <c r="B448" s="10" t="str">
        <f>IF(IF(ISNA(計算結果!B448),"",計算結果!B448)=0,"",IF(ISNA(計算結果!B448),"",計算結果!B448))</f>
        <v/>
      </c>
      <c r="C448" s="10" t="str">
        <f>IF(IF(ISNA(計算結果!C448),"",計算結果!C448)=0,"",IF(ISNA(計算結果!C448),"",計算結果!C448))</f>
        <v/>
      </c>
      <c r="D448" s="10" t="str">
        <f>IF(IF(ISNA(計算結果!D448),"",計算結果!D448)=0,"",IF(ISNA(計算結果!D448),"",計算結果!D448))</f>
        <v>L</v>
      </c>
      <c r="E448" s="10" t="str">
        <f>IF(IF(ISNA(計算結果!E448),"",計算結果!E448)=0,"",IF(ISNA(計算結果!E448),"",計算結果!E448))</f>
        <v/>
      </c>
      <c r="F448" s="10" t="str">
        <f>IF(IF(ISNA(計算結果!F448),"",計算結果!F448)=0,"",IF(ISNA(計算結果!F448),"",計算結果!F448))</f>
        <v/>
      </c>
      <c r="G448" s="10" t="str">
        <f>IF(IF(ISNA(計算結果!G448),"",計算結果!G448)=0,"",IF(ISNA(計算結果!G448),"",計算結果!G448))</f>
        <v/>
      </c>
      <c r="H448" s="13">
        <f>IF(IF(ISNA(計算結果!H448),"",計算結果!H448)=0,"",IF(ISNA(計算結果!H448),"",計算結果!H448))</f>
        <v>-2</v>
      </c>
      <c r="I448" s="12" t="str">
        <f>IF(IF(ISNA(計算結果!I448),"",計算結果!I448)=0,"",IF(ISNA(計算結果!I448),"",計算結果!I448))</f>
        <v/>
      </c>
      <c r="J448" s="12" t="str">
        <f>IF(IF(ISNA(計算結果!J448),"",計算結果!J448)=0,"",IF(ISNA(計算結果!J448),"",計算結果!J448))</f>
        <v/>
      </c>
      <c r="K448" s="23" t="str">
        <f>IF(IF(ISNA(計算結果!K448),"",計算結果!K448)=0,"",IF(ISNA(計算結果!K448),"",計算結果!K448))</f>
        <v/>
      </c>
      <c r="L448" s="13" t="str">
        <f>IF(IF(ISNA(計算結果!L448),"",計算結果!L448)=0,"",IF(ISNA(計算結果!L448),"",計算結果!L448))</f>
        <v/>
      </c>
      <c r="M448" s="10" t="str">
        <f>IF(IF(ISNA(計算結果!M448),"",計算結果!M448)=0,"",IF(ISNA(計算結果!M448),"",計算結果!M448))</f>
        <v/>
      </c>
      <c r="N448" s="10" t="str">
        <f>IF(IF(ISNA(計算結果!N448),"",計算結果!N448)=0,"",IF(ISNA(計算結果!N448),"",計算結果!N448))</f>
        <v/>
      </c>
      <c r="O448" s="13" t="str">
        <f>IF(IF(ISNA(計算結果!O448),"",計算結果!O448)=0,"",IF(ISNA(計算結果!O448),"",計算結果!O448))</f>
        <v/>
      </c>
      <c r="P448" s="10" t="str">
        <f>IF(IF(ISNA(計算結果!P448),"",計算結果!P448)=0,"",IF(ISNA(計算結果!P448),"",計算結果!P448))</f>
        <v/>
      </c>
      <c r="Q448" s="10" t="str">
        <f>IF(IF(ISNA(計算結果!Q448),"",計算結果!Q448)=0,"",IF(ISNA(計算結果!Q448),"",計算結果!Q448))</f>
        <v/>
      </c>
      <c r="R448" s="14" t="str">
        <f t="shared" si="18"/>
        <v/>
      </c>
      <c r="S448" s="14" t="str">
        <f t="shared" si="19"/>
        <v>◯</v>
      </c>
      <c r="T448" s="14" t="str">
        <f t="shared" si="20"/>
        <v/>
      </c>
    </row>
    <row r="449" spans="1:20" hidden="1" x14ac:dyDescent="0.45">
      <c r="A449" s="10" t="str">
        <f>IF(IF(ISNA(計算結果!A449),"",計算結果!A449)=0,"",IF(ISNA(計算結果!A449),"",計算結果!A449))</f>
        <v/>
      </c>
      <c r="B449" s="10" t="str">
        <f>IF(IF(ISNA(計算結果!B449),"",計算結果!B449)=0,"",IF(ISNA(計算結果!B449),"",計算結果!B449))</f>
        <v/>
      </c>
      <c r="C449" s="10" t="str">
        <f>IF(IF(ISNA(計算結果!C449),"",計算結果!C449)=0,"",IF(ISNA(計算結果!C449),"",計算結果!C449))</f>
        <v/>
      </c>
      <c r="D449" s="10" t="str">
        <f>IF(IF(ISNA(計算結果!D449),"",計算結果!D449)=0,"",IF(ISNA(計算結果!D449),"",計算結果!D449))</f>
        <v>L</v>
      </c>
      <c r="E449" s="10" t="str">
        <f>IF(IF(ISNA(計算結果!E449),"",計算結果!E449)=0,"",IF(ISNA(計算結果!E449),"",計算結果!E449))</f>
        <v/>
      </c>
      <c r="F449" s="10" t="str">
        <f>IF(IF(ISNA(計算結果!F449),"",計算結果!F449)=0,"",IF(ISNA(計算結果!F449),"",計算結果!F449))</f>
        <v/>
      </c>
      <c r="G449" s="10" t="str">
        <f>IF(IF(ISNA(計算結果!G449),"",計算結果!G449)=0,"",IF(ISNA(計算結果!G449),"",計算結果!G449))</f>
        <v/>
      </c>
      <c r="H449" s="13">
        <f>IF(IF(ISNA(計算結果!H449),"",計算結果!H449)=0,"",IF(ISNA(計算結果!H449),"",計算結果!H449))</f>
        <v>-2</v>
      </c>
      <c r="I449" s="12" t="str">
        <f>IF(IF(ISNA(計算結果!I449),"",計算結果!I449)=0,"",IF(ISNA(計算結果!I449),"",計算結果!I449))</f>
        <v/>
      </c>
      <c r="J449" s="12" t="str">
        <f>IF(IF(ISNA(計算結果!J449),"",計算結果!J449)=0,"",IF(ISNA(計算結果!J449),"",計算結果!J449))</f>
        <v/>
      </c>
      <c r="K449" s="23" t="str">
        <f>IF(IF(ISNA(計算結果!K449),"",計算結果!K449)=0,"",IF(ISNA(計算結果!K449),"",計算結果!K449))</f>
        <v/>
      </c>
      <c r="L449" s="13" t="str">
        <f>IF(IF(ISNA(計算結果!L449),"",計算結果!L449)=0,"",IF(ISNA(計算結果!L449),"",計算結果!L449))</f>
        <v/>
      </c>
      <c r="M449" s="10" t="str">
        <f>IF(IF(ISNA(計算結果!M449),"",計算結果!M449)=0,"",IF(ISNA(計算結果!M449),"",計算結果!M449))</f>
        <v/>
      </c>
      <c r="N449" s="10" t="str">
        <f>IF(IF(ISNA(計算結果!N449),"",計算結果!N449)=0,"",IF(ISNA(計算結果!N449),"",計算結果!N449))</f>
        <v/>
      </c>
      <c r="O449" s="13" t="str">
        <f>IF(IF(ISNA(計算結果!O449),"",計算結果!O449)=0,"",IF(ISNA(計算結果!O449),"",計算結果!O449))</f>
        <v/>
      </c>
      <c r="P449" s="10" t="str">
        <f>IF(IF(ISNA(計算結果!P449),"",計算結果!P449)=0,"",IF(ISNA(計算結果!P449),"",計算結果!P449))</f>
        <v/>
      </c>
      <c r="Q449" s="10" t="str">
        <f>IF(IF(ISNA(計算結果!Q449),"",計算結果!Q449)=0,"",IF(ISNA(計算結果!Q449),"",計算結果!Q449))</f>
        <v/>
      </c>
      <c r="R449" s="14" t="str">
        <f t="shared" si="18"/>
        <v/>
      </c>
      <c r="S449" s="14" t="str">
        <f t="shared" si="19"/>
        <v>◯</v>
      </c>
      <c r="T449" s="14" t="str">
        <f t="shared" si="20"/>
        <v/>
      </c>
    </row>
    <row r="450" spans="1:20" hidden="1" x14ac:dyDescent="0.45">
      <c r="A450" s="10" t="str">
        <f>IF(IF(ISNA(計算結果!A450),"",計算結果!A450)=0,"",IF(ISNA(計算結果!A450),"",計算結果!A450))</f>
        <v/>
      </c>
      <c r="B450" s="10" t="str">
        <f>IF(IF(ISNA(計算結果!B450),"",計算結果!B450)=0,"",IF(ISNA(計算結果!B450),"",計算結果!B450))</f>
        <v/>
      </c>
      <c r="C450" s="10" t="str">
        <f>IF(IF(ISNA(計算結果!C450),"",計算結果!C450)=0,"",IF(ISNA(計算結果!C450),"",計算結果!C450))</f>
        <v/>
      </c>
      <c r="D450" s="10" t="str">
        <f>IF(IF(ISNA(計算結果!D450),"",計算結果!D450)=0,"",IF(ISNA(計算結果!D450),"",計算結果!D450))</f>
        <v>L</v>
      </c>
      <c r="E450" s="10" t="str">
        <f>IF(IF(ISNA(計算結果!E450),"",計算結果!E450)=0,"",IF(ISNA(計算結果!E450),"",計算結果!E450))</f>
        <v/>
      </c>
      <c r="F450" s="10" t="str">
        <f>IF(IF(ISNA(計算結果!F450),"",計算結果!F450)=0,"",IF(ISNA(計算結果!F450),"",計算結果!F450))</f>
        <v/>
      </c>
      <c r="G450" s="10" t="str">
        <f>IF(IF(ISNA(計算結果!G450),"",計算結果!G450)=0,"",IF(ISNA(計算結果!G450),"",計算結果!G450))</f>
        <v/>
      </c>
      <c r="H450" s="13">
        <f>IF(IF(ISNA(計算結果!H450),"",計算結果!H450)=0,"",IF(ISNA(計算結果!H450),"",計算結果!H450))</f>
        <v>-2</v>
      </c>
      <c r="I450" s="12" t="str">
        <f>IF(IF(ISNA(計算結果!I450),"",計算結果!I450)=0,"",IF(ISNA(計算結果!I450),"",計算結果!I450))</f>
        <v/>
      </c>
      <c r="J450" s="12" t="str">
        <f>IF(IF(ISNA(計算結果!J450),"",計算結果!J450)=0,"",IF(ISNA(計算結果!J450),"",計算結果!J450))</f>
        <v/>
      </c>
      <c r="K450" s="23" t="str">
        <f>IF(IF(ISNA(計算結果!K450),"",計算結果!K450)=0,"",IF(ISNA(計算結果!K450),"",計算結果!K450))</f>
        <v/>
      </c>
      <c r="L450" s="13" t="str">
        <f>IF(IF(ISNA(計算結果!L450),"",計算結果!L450)=0,"",IF(ISNA(計算結果!L450),"",計算結果!L450))</f>
        <v/>
      </c>
      <c r="M450" s="10" t="str">
        <f>IF(IF(ISNA(計算結果!M450),"",計算結果!M450)=0,"",IF(ISNA(計算結果!M450),"",計算結果!M450))</f>
        <v/>
      </c>
      <c r="N450" s="10" t="str">
        <f>IF(IF(ISNA(計算結果!N450),"",計算結果!N450)=0,"",IF(ISNA(計算結果!N450),"",計算結果!N450))</f>
        <v/>
      </c>
      <c r="O450" s="13" t="str">
        <f>IF(IF(ISNA(計算結果!O450),"",計算結果!O450)=0,"",IF(ISNA(計算結果!O450),"",計算結果!O450))</f>
        <v/>
      </c>
      <c r="P450" s="10" t="str">
        <f>IF(IF(ISNA(計算結果!P450),"",計算結果!P450)=0,"",IF(ISNA(計算結果!P450),"",計算結果!P450))</f>
        <v/>
      </c>
      <c r="Q450" s="10" t="str">
        <f>IF(IF(ISNA(計算結果!Q450),"",計算結果!Q450)=0,"",IF(ISNA(計算結果!Q450),"",計算結果!Q450))</f>
        <v/>
      </c>
      <c r="R450" s="14" t="str">
        <f t="shared" si="18"/>
        <v/>
      </c>
      <c r="S450" s="14" t="str">
        <f t="shared" si="19"/>
        <v>◯</v>
      </c>
      <c r="T450" s="14" t="str">
        <f t="shared" si="20"/>
        <v/>
      </c>
    </row>
    <row r="451" spans="1:20" hidden="1" x14ac:dyDescent="0.45">
      <c r="A451" s="10" t="str">
        <f>IF(IF(ISNA(計算結果!A451),"",計算結果!A451)=0,"",IF(ISNA(計算結果!A451),"",計算結果!A451))</f>
        <v/>
      </c>
      <c r="B451" s="10" t="str">
        <f>IF(IF(ISNA(計算結果!B451),"",計算結果!B451)=0,"",IF(ISNA(計算結果!B451),"",計算結果!B451))</f>
        <v/>
      </c>
      <c r="C451" s="10" t="str">
        <f>IF(IF(ISNA(計算結果!C451),"",計算結果!C451)=0,"",IF(ISNA(計算結果!C451),"",計算結果!C451))</f>
        <v/>
      </c>
      <c r="D451" s="10" t="str">
        <f>IF(IF(ISNA(計算結果!D451),"",計算結果!D451)=0,"",IF(ISNA(計算結果!D451),"",計算結果!D451))</f>
        <v>L</v>
      </c>
      <c r="E451" s="10" t="str">
        <f>IF(IF(ISNA(計算結果!E451),"",計算結果!E451)=0,"",IF(ISNA(計算結果!E451),"",計算結果!E451))</f>
        <v/>
      </c>
      <c r="F451" s="10" t="str">
        <f>IF(IF(ISNA(計算結果!F451),"",計算結果!F451)=0,"",IF(ISNA(計算結果!F451),"",計算結果!F451))</f>
        <v/>
      </c>
      <c r="G451" s="10" t="str">
        <f>IF(IF(ISNA(計算結果!G451),"",計算結果!G451)=0,"",IF(ISNA(計算結果!G451),"",計算結果!G451))</f>
        <v/>
      </c>
      <c r="H451" s="13">
        <f>IF(IF(ISNA(計算結果!H451),"",計算結果!H451)=0,"",IF(ISNA(計算結果!H451),"",計算結果!H451))</f>
        <v>-2</v>
      </c>
      <c r="I451" s="12" t="str">
        <f>IF(IF(ISNA(計算結果!I451),"",計算結果!I451)=0,"",IF(ISNA(計算結果!I451),"",計算結果!I451))</f>
        <v/>
      </c>
      <c r="J451" s="12" t="str">
        <f>IF(IF(ISNA(計算結果!J451),"",計算結果!J451)=0,"",IF(ISNA(計算結果!J451),"",計算結果!J451))</f>
        <v/>
      </c>
      <c r="K451" s="23" t="str">
        <f>IF(IF(ISNA(計算結果!K451),"",計算結果!K451)=0,"",IF(ISNA(計算結果!K451),"",計算結果!K451))</f>
        <v/>
      </c>
      <c r="L451" s="13" t="str">
        <f>IF(IF(ISNA(計算結果!L451),"",計算結果!L451)=0,"",IF(ISNA(計算結果!L451),"",計算結果!L451))</f>
        <v/>
      </c>
      <c r="M451" s="10" t="str">
        <f>IF(IF(ISNA(計算結果!M451),"",計算結果!M451)=0,"",IF(ISNA(計算結果!M451),"",計算結果!M451))</f>
        <v/>
      </c>
      <c r="N451" s="10" t="str">
        <f>IF(IF(ISNA(計算結果!N451),"",計算結果!N451)=0,"",IF(ISNA(計算結果!N451),"",計算結果!N451))</f>
        <v/>
      </c>
      <c r="O451" s="13" t="str">
        <f>IF(IF(ISNA(計算結果!O451),"",計算結果!O451)=0,"",IF(ISNA(計算結果!O451),"",計算結果!O451))</f>
        <v/>
      </c>
      <c r="P451" s="10" t="str">
        <f>IF(IF(ISNA(計算結果!P451),"",計算結果!P451)=0,"",IF(ISNA(計算結果!P451),"",計算結果!P451))</f>
        <v/>
      </c>
      <c r="Q451" s="10" t="str">
        <f>IF(IF(ISNA(計算結果!Q451),"",計算結果!Q451)=0,"",IF(ISNA(計算結果!Q451),"",計算結果!Q451))</f>
        <v/>
      </c>
      <c r="R451" s="14" t="str">
        <f t="shared" ref="R451:R514" si="21">IF(AND(M451&lt;&gt;"",M451=N451),"◯","")</f>
        <v/>
      </c>
      <c r="S451" s="14" t="str">
        <f t="shared" ref="S451:S514" si="22">IF(M451="","◯","")</f>
        <v>◯</v>
      </c>
      <c r="T451" s="14" t="str">
        <f t="shared" ref="T451:T514" si="23">IF(AND(P451&lt;&gt;"",P451&lt;&gt;Q451),"◯","")</f>
        <v/>
      </c>
    </row>
    <row r="452" spans="1:20" hidden="1" x14ac:dyDescent="0.45">
      <c r="A452" s="10" t="str">
        <f>IF(IF(ISNA(計算結果!A452),"",計算結果!A452)=0,"",IF(ISNA(計算結果!A452),"",計算結果!A452))</f>
        <v/>
      </c>
      <c r="B452" s="10" t="str">
        <f>IF(IF(ISNA(計算結果!B452),"",計算結果!B452)=0,"",IF(ISNA(計算結果!B452),"",計算結果!B452))</f>
        <v/>
      </c>
      <c r="C452" s="10" t="str">
        <f>IF(IF(ISNA(計算結果!C452),"",計算結果!C452)=0,"",IF(ISNA(計算結果!C452),"",計算結果!C452))</f>
        <v/>
      </c>
      <c r="D452" s="10" t="str">
        <f>IF(IF(ISNA(計算結果!D452),"",計算結果!D452)=0,"",IF(ISNA(計算結果!D452),"",計算結果!D452))</f>
        <v>L</v>
      </c>
      <c r="E452" s="10" t="str">
        <f>IF(IF(ISNA(計算結果!E452),"",計算結果!E452)=0,"",IF(ISNA(計算結果!E452),"",計算結果!E452))</f>
        <v/>
      </c>
      <c r="F452" s="10" t="str">
        <f>IF(IF(ISNA(計算結果!F452),"",計算結果!F452)=0,"",IF(ISNA(計算結果!F452),"",計算結果!F452))</f>
        <v/>
      </c>
      <c r="G452" s="10" t="str">
        <f>IF(IF(ISNA(計算結果!G452),"",計算結果!G452)=0,"",IF(ISNA(計算結果!G452),"",計算結果!G452))</f>
        <v/>
      </c>
      <c r="H452" s="13">
        <f>IF(IF(ISNA(計算結果!H452),"",計算結果!H452)=0,"",IF(ISNA(計算結果!H452),"",計算結果!H452))</f>
        <v>-2</v>
      </c>
      <c r="I452" s="12" t="str">
        <f>IF(IF(ISNA(計算結果!I452),"",計算結果!I452)=0,"",IF(ISNA(計算結果!I452),"",計算結果!I452))</f>
        <v/>
      </c>
      <c r="J452" s="12" t="str">
        <f>IF(IF(ISNA(計算結果!J452),"",計算結果!J452)=0,"",IF(ISNA(計算結果!J452),"",計算結果!J452))</f>
        <v/>
      </c>
      <c r="K452" s="23" t="str">
        <f>IF(IF(ISNA(計算結果!K452),"",計算結果!K452)=0,"",IF(ISNA(計算結果!K452),"",計算結果!K452))</f>
        <v/>
      </c>
      <c r="L452" s="13" t="str">
        <f>IF(IF(ISNA(計算結果!L452),"",計算結果!L452)=0,"",IF(ISNA(計算結果!L452),"",計算結果!L452))</f>
        <v/>
      </c>
      <c r="M452" s="10" t="str">
        <f>IF(IF(ISNA(計算結果!M452),"",計算結果!M452)=0,"",IF(ISNA(計算結果!M452),"",計算結果!M452))</f>
        <v/>
      </c>
      <c r="N452" s="10" t="str">
        <f>IF(IF(ISNA(計算結果!N452),"",計算結果!N452)=0,"",IF(ISNA(計算結果!N452),"",計算結果!N452))</f>
        <v/>
      </c>
      <c r="O452" s="13" t="str">
        <f>IF(IF(ISNA(計算結果!O452),"",計算結果!O452)=0,"",IF(ISNA(計算結果!O452),"",計算結果!O452))</f>
        <v/>
      </c>
      <c r="P452" s="10" t="str">
        <f>IF(IF(ISNA(計算結果!P452),"",計算結果!P452)=0,"",IF(ISNA(計算結果!P452),"",計算結果!P452))</f>
        <v/>
      </c>
      <c r="Q452" s="10" t="str">
        <f>IF(IF(ISNA(計算結果!Q452),"",計算結果!Q452)=0,"",IF(ISNA(計算結果!Q452),"",計算結果!Q452))</f>
        <v/>
      </c>
      <c r="R452" s="14" t="str">
        <f t="shared" si="21"/>
        <v/>
      </c>
      <c r="S452" s="14" t="str">
        <f t="shared" si="22"/>
        <v>◯</v>
      </c>
      <c r="T452" s="14" t="str">
        <f t="shared" si="23"/>
        <v/>
      </c>
    </row>
    <row r="453" spans="1:20" hidden="1" x14ac:dyDescent="0.45">
      <c r="A453" s="10" t="str">
        <f>IF(IF(ISNA(計算結果!A453),"",計算結果!A453)=0,"",IF(ISNA(計算結果!A453),"",計算結果!A453))</f>
        <v/>
      </c>
      <c r="B453" s="10" t="str">
        <f>IF(IF(ISNA(計算結果!B453),"",計算結果!B453)=0,"",IF(ISNA(計算結果!B453),"",計算結果!B453))</f>
        <v/>
      </c>
      <c r="C453" s="10" t="str">
        <f>IF(IF(ISNA(計算結果!C453),"",計算結果!C453)=0,"",IF(ISNA(計算結果!C453),"",計算結果!C453))</f>
        <v/>
      </c>
      <c r="D453" s="10" t="str">
        <f>IF(IF(ISNA(計算結果!D453),"",計算結果!D453)=0,"",IF(ISNA(計算結果!D453),"",計算結果!D453))</f>
        <v>L</v>
      </c>
      <c r="E453" s="10" t="str">
        <f>IF(IF(ISNA(計算結果!E453),"",計算結果!E453)=0,"",IF(ISNA(計算結果!E453),"",計算結果!E453))</f>
        <v/>
      </c>
      <c r="F453" s="10" t="str">
        <f>IF(IF(ISNA(計算結果!F453),"",計算結果!F453)=0,"",IF(ISNA(計算結果!F453),"",計算結果!F453))</f>
        <v/>
      </c>
      <c r="G453" s="10" t="str">
        <f>IF(IF(ISNA(計算結果!G453),"",計算結果!G453)=0,"",IF(ISNA(計算結果!G453),"",計算結果!G453))</f>
        <v/>
      </c>
      <c r="H453" s="13">
        <f>IF(IF(ISNA(計算結果!H453),"",計算結果!H453)=0,"",IF(ISNA(計算結果!H453),"",計算結果!H453))</f>
        <v>-2</v>
      </c>
      <c r="I453" s="12" t="str">
        <f>IF(IF(ISNA(計算結果!I453),"",計算結果!I453)=0,"",IF(ISNA(計算結果!I453),"",計算結果!I453))</f>
        <v/>
      </c>
      <c r="J453" s="12" t="str">
        <f>IF(IF(ISNA(計算結果!J453),"",計算結果!J453)=0,"",IF(ISNA(計算結果!J453),"",計算結果!J453))</f>
        <v/>
      </c>
      <c r="K453" s="23" t="str">
        <f>IF(IF(ISNA(計算結果!K453),"",計算結果!K453)=0,"",IF(ISNA(計算結果!K453),"",計算結果!K453))</f>
        <v/>
      </c>
      <c r="L453" s="13" t="str">
        <f>IF(IF(ISNA(計算結果!L453),"",計算結果!L453)=0,"",IF(ISNA(計算結果!L453),"",計算結果!L453))</f>
        <v/>
      </c>
      <c r="M453" s="10" t="str">
        <f>IF(IF(ISNA(計算結果!M453),"",計算結果!M453)=0,"",IF(ISNA(計算結果!M453),"",計算結果!M453))</f>
        <v/>
      </c>
      <c r="N453" s="10" t="str">
        <f>IF(IF(ISNA(計算結果!N453),"",計算結果!N453)=0,"",IF(ISNA(計算結果!N453),"",計算結果!N453))</f>
        <v/>
      </c>
      <c r="O453" s="13" t="str">
        <f>IF(IF(ISNA(計算結果!O453),"",計算結果!O453)=0,"",IF(ISNA(計算結果!O453),"",計算結果!O453))</f>
        <v/>
      </c>
      <c r="P453" s="10" t="str">
        <f>IF(IF(ISNA(計算結果!P453),"",計算結果!P453)=0,"",IF(ISNA(計算結果!P453),"",計算結果!P453))</f>
        <v/>
      </c>
      <c r="Q453" s="10" t="str">
        <f>IF(IF(ISNA(計算結果!Q453),"",計算結果!Q453)=0,"",IF(ISNA(計算結果!Q453),"",計算結果!Q453))</f>
        <v/>
      </c>
      <c r="R453" s="14" t="str">
        <f t="shared" si="21"/>
        <v/>
      </c>
      <c r="S453" s="14" t="str">
        <f t="shared" si="22"/>
        <v>◯</v>
      </c>
      <c r="T453" s="14" t="str">
        <f t="shared" si="23"/>
        <v/>
      </c>
    </row>
    <row r="454" spans="1:20" hidden="1" x14ac:dyDescent="0.45">
      <c r="A454" s="10" t="str">
        <f>IF(IF(ISNA(計算結果!A454),"",計算結果!A454)=0,"",IF(ISNA(計算結果!A454),"",計算結果!A454))</f>
        <v/>
      </c>
      <c r="B454" s="10" t="str">
        <f>IF(IF(ISNA(計算結果!B454),"",計算結果!B454)=0,"",IF(ISNA(計算結果!B454),"",計算結果!B454))</f>
        <v/>
      </c>
      <c r="C454" s="10" t="str">
        <f>IF(IF(ISNA(計算結果!C454),"",計算結果!C454)=0,"",IF(ISNA(計算結果!C454),"",計算結果!C454))</f>
        <v/>
      </c>
      <c r="D454" s="10" t="str">
        <f>IF(IF(ISNA(計算結果!D454),"",計算結果!D454)=0,"",IF(ISNA(計算結果!D454),"",計算結果!D454))</f>
        <v>L</v>
      </c>
      <c r="E454" s="10" t="str">
        <f>IF(IF(ISNA(計算結果!E454),"",計算結果!E454)=0,"",IF(ISNA(計算結果!E454),"",計算結果!E454))</f>
        <v/>
      </c>
      <c r="F454" s="10" t="str">
        <f>IF(IF(ISNA(計算結果!F454),"",計算結果!F454)=0,"",IF(ISNA(計算結果!F454),"",計算結果!F454))</f>
        <v/>
      </c>
      <c r="G454" s="10" t="str">
        <f>IF(IF(ISNA(計算結果!G454),"",計算結果!G454)=0,"",IF(ISNA(計算結果!G454),"",計算結果!G454))</f>
        <v/>
      </c>
      <c r="H454" s="13">
        <f>IF(IF(ISNA(計算結果!H454),"",計算結果!H454)=0,"",IF(ISNA(計算結果!H454),"",計算結果!H454))</f>
        <v>-2</v>
      </c>
      <c r="I454" s="12" t="str">
        <f>IF(IF(ISNA(計算結果!I454),"",計算結果!I454)=0,"",IF(ISNA(計算結果!I454),"",計算結果!I454))</f>
        <v/>
      </c>
      <c r="J454" s="12" t="str">
        <f>IF(IF(ISNA(計算結果!J454),"",計算結果!J454)=0,"",IF(ISNA(計算結果!J454),"",計算結果!J454))</f>
        <v/>
      </c>
      <c r="K454" s="23" t="str">
        <f>IF(IF(ISNA(計算結果!K454),"",計算結果!K454)=0,"",IF(ISNA(計算結果!K454),"",計算結果!K454))</f>
        <v/>
      </c>
      <c r="L454" s="13" t="str">
        <f>IF(IF(ISNA(計算結果!L454),"",計算結果!L454)=0,"",IF(ISNA(計算結果!L454),"",計算結果!L454))</f>
        <v/>
      </c>
      <c r="M454" s="10" t="str">
        <f>IF(IF(ISNA(計算結果!M454),"",計算結果!M454)=0,"",IF(ISNA(計算結果!M454),"",計算結果!M454))</f>
        <v/>
      </c>
      <c r="N454" s="10" t="str">
        <f>IF(IF(ISNA(計算結果!N454),"",計算結果!N454)=0,"",IF(ISNA(計算結果!N454),"",計算結果!N454))</f>
        <v/>
      </c>
      <c r="O454" s="13" t="str">
        <f>IF(IF(ISNA(計算結果!O454),"",計算結果!O454)=0,"",IF(ISNA(計算結果!O454),"",計算結果!O454))</f>
        <v/>
      </c>
      <c r="P454" s="10" t="str">
        <f>IF(IF(ISNA(計算結果!P454),"",計算結果!P454)=0,"",IF(ISNA(計算結果!P454),"",計算結果!P454))</f>
        <v/>
      </c>
      <c r="Q454" s="10" t="str">
        <f>IF(IF(ISNA(計算結果!Q454),"",計算結果!Q454)=0,"",IF(ISNA(計算結果!Q454),"",計算結果!Q454))</f>
        <v/>
      </c>
      <c r="R454" s="14" t="str">
        <f t="shared" si="21"/>
        <v/>
      </c>
      <c r="S454" s="14" t="str">
        <f t="shared" si="22"/>
        <v>◯</v>
      </c>
      <c r="T454" s="14" t="str">
        <f t="shared" si="23"/>
        <v/>
      </c>
    </row>
    <row r="455" spans="1:20" hidden="1" x14ac:dyDescent="0.45">
      <c r="A455" s="10" t="str">
        <f>IF(IF(ISNA(計算結果!A455),"",計算結果!A455)=0,"",IF(ISNA(計算結果!A455),"",計算結果!A455))</f>
        <v/>
      </c>
      <c r="B455" s="10" t="str">
        <f>IF(IF(ISNA(計算結果!B455),"",計算結果!B455)=0,"",IF(ISNA(計算結果!B455),"",計算結果!B455))</f>
        <v/>
      </c>
      <c r="C455" s="10" t="str">
        <f>IF(IF(ISNA(計算結果!C455),"",計算結果!C455)=0,"",IF(ISNA(計算結果!C455),"",計算結果!C455))</f>
        <v/>
      </c>
      <c r="D455" s="10" t="str">
        <f>IF(IF(ISNA(計算結果!D455),"",計算結果!D455)=0,"",IF(ISNA(計算結果!D455),"",計算結果!D455))</f>
        <v>L</v>
      </c>
      <c r="E455" s="10" t="str">
        <f>IF(IF(ISNA(計算結果!E455),"",計算結果!E455)=0,"",IF(ISNA(計算結果!E455),"",計算結果!E455))</f>
        <v/>
      </c>
      <c r="F455" s="10" t="str">
        <f>IF(IF(ISNA(計算結果!F455),"",計算結果!F455)=0,"",IF(ISNA(計算結果!F455),"",計算結果!F455))</f>
        <v/>
      </c>
      <c r="G455" s="10" t="str">
        <f>IF(IF(ISNA(計算結果!G455),"",計算結果!G455)=0,"",IF(ISNA(計算結果!G455),"",計算結果!G455))</f>
        <v/>
      </c>
      <c r="H455" s="13">
        <f>IF(IF(ISNA(計算結果!H455),"",計算結果!H455)=0,"",IF(ISNA(計算結果!H455),"",計算結果!H455))</f>
        <v>-2</v>
      </c>
      <c r="I455" s="12" t="str">
        <f>IF(IF(ISNA(計算結果!I455),"",計算結果!I455)=0,"",IF(ISNA(計算結果!I455),"",計算結果!I455))</f>
        <v/>
      </c>
      <c r="J455" s="12" t="str">
        <f>IF(IF(ISNA(計算結果!J455),"",計算結果!J455)=0,"",IF(ISNA(計算結果!J455),"",計算結果!J455))</f>
        <v/>
      </c>
      <c r="K455" s="23" t="str">
        <f>IF(IF(ISNA(計算結果!K455),"",計算結果!K455)=0,"",IF(ISNA(計算結果!K455),"",計算結果!K455))</f>
        <v/>
      </c>
      <c r="L455" s="13" t="str">
        <f>IF(IF(ISNA(計算結果!L455),"",計算結果!L455)=0,"",IF(ISNA(計算結果!L455),"",計算結果!L455))</f>
        <v/>
      </c>
      <c r="M455" s="10" t="str">
        <f>IF(IF(ISNA(計算結果!M455),"",計算結果!M455)=0,"",IF(ISNA(計算結果!M455),"",計算結果!M455))</f>
        <v/>
      </c>
      <c r="N455" s="10" t="str">
        <f>IF(IF(ISNA(計算結果!N455),"",計算結果!N455)=0,"",IF(ISNA(計算結果!N455),"",計算結果!N455))</f>
        <v/>
      </c>
      <c r="O455" s="13" t="str">
        <f>IF(IF(ISNA(計算結果!O455),"",計算結果!O455)=0,"",IF(ISNA(計算結果!O455),"",計算結果!O455))</f>
        <v/>
      </c>
      <c r="P455" s="10" t="str">
        <f>IF(IF(ISNA(計算結果!P455),"",計算結果!P455)=0,"",IF(ISNA(計算結果!P455),"",計算結果!P455))</f>
        <v/>
      </c>
      <c r="Q455" s="10" t="str">
        <f>IF(IF(ISNA(計算結果!Q455),"",計算結果!Q455)=0,"",IF(ISNA(計算結果!Q455),"",計算結果!Q455))</f>
        <v/>
      </c>
      <c r="R455" s="14" t="str">
        <f t="shared" si="21"/>
        <v/>
      </c>
      <c r="S455" s="14" t="str">
        <f t="shared" si="22"/>
        <v>◯</v>
      </c>
      <c r="T455" s="14" t="str">
        <f t="shared" si="23"/>
        <v/>
      </c>
    </row>
    <row r="456" spans="1:20" hidden="1" x14ac:dyDescent="0.45">
      <c r="A456" s="10" t="str">
        <f>IF(IF(ISNA(計算結果!A456),"",計算結果!A456)=0,"",IF(ISNA(計算結果!A456),"",計算結果!A456))</f>
        <v/>
      </c>
      <c r="B456" s="10" t="str">
        <f>IF(IF(ISNA(計算結果!B456),"",計算結果!B456)=0,"",IF(ISNA(計算結果!B456),"",計算結果!B456))</f>
        <v/>
      </c>
      <c r="C456" s="10" t="str">
        <f>IF(IF(ISNA(計算結果!C456),"",計算結果!C456)=0,"",IF(ISNA(計算結果!C456),"",計算結果!C456))</f>
        <v/>
      </c>
      <c r="D456" s="10" t="str">
        <f>IF(IF(ISNA(計算結果!D456),"",計算結果!D456)=0,"",IF(ISNA(計算結果!D456),"",計算結果!D456))</f>
        <v>L</v>
      </c>
      <c r="E456" s="10" t="str">
        <f>IF(IF(ISNA(計算結果!E456),"",計算結果!E456)=0,"",IF(ISNA(計算結果!E456),"",計算結果!E456))</f>
        <v/>
      </c>
      <c r="F456" s="10" t="str">
        <f>IF(IF(ISNA(計算結果!F456),"",計算結果!F456)=0,"",IF(ISNA(計算結果!F456),"",計算結果!F456))</f>
        <v/>
      </c>
      <c r="G456" s="10" t="str">
        <f>IF(IF(ISNA(計算結果!G456),"",計算結果!G456)=0,"",IF(ISNA(計算結果!G456),"",計算結果!G456))</f>
        <v/>
      </c>
      <c r="H456" s="13">
        <f>IF(IF(ISNA(計算結果!H456),"",計算結果!H456)=0,"",IF(ISNA(計算結果!H456),"",計算結果!H456))</f>
        <v>-2</v>
      </c>
      <c r="I456" s="12" t="str">
        <f>IF(IF(ISNA(計算結果!I456),"",計算結果!I456)=0,"",IF(ISNA(計算結果!I456),"",計算結果!I456))</f>
        <v/>
      </c>
      <c r="J456" s="12" t="str">
        <f>IF(IF(ISNA(計算結果!J456),"",計算結果!J456)=0,"",IF(ISNA(計算結果!J456),"",計算結果!J456))</f>
        <v/>
      </c>
      <c r="K456" s="23" t="str">
        <f>IF(IF(ISNA(計算結果!K456),"",計算結果!K456)=0,"",IF(ISNA(計算結果!K456),"",計算結果!K456))</f>
        <v/>
      </c>
      <c r="L456" s="13" t="str">
        <f>IF(IF(ISNA(計算結果!L456),"",計算結果!L456)=0,"",IF(ISNA(計算結果!L456),"",計算結果!L456))</f>
        <v/>
      </c>
      <c r="M456" s="10" t="str">
        <f>IF(IF(ISNA(計算結果!M456),"",計算結果!M456)=0,"",IF(ISNA(計算結果!M456),"",計算結果!M456))</f>
        <v/>
      </c>
      <c r="N456" s="10" t="str">
        <f>IF(IF(ISNA(計算結果!N456),"",計算結果!N456)=0,"",IF(ISNA(計算結果!N456),"",計算結果!N456))</f>
        <v/>
      </c>
      <c r="O456" s="13" t="str">
        <f>IF(IF(ISNA(計算結果!O456),"",計算結果!O456)=0,"",IF(ISNA(計算結果!O456),"",計算結果!O456))</f>
        <v/>
      </c>
      <c r="P456" s="10" t="str">
        <f>IF(IF(ISNA(計算結果!P456),"",計算結果!P456)=0,"",IF(ISNA(計算結果!P456),"",計算結果!P456))</f>
        <v/>
      </c>
      <c r="Q456" s="10" t="str">
        <f>IF(IF(ISNA(計算結果!Q456),"",計算結果!Q456)=0,"",IF(ISNA(計算結果!Q456),"",計算結果!Q456))</f>
        <v/>
      </c>
      <c r="R456" s="14" t="str">
        <f t="shared" si="21"/>
        <v/>
      </c>
      <c r="S456" s="14" t="str">
        <f t="shared" si="22"/>
        <v>◯</v>
      </c>
      <c r="T456" s="14" t="str">
        <f t="shared" si="23"/>
        <v/>
      </c>
    </row>
    <row r="457" spans="1:20" hidden="1" x14ac:dyDescent="0.45">
      <c r="A457" s="10" t="str">
        <f>IF(IF(ISNA(計算結果!A457),"",計算結果!A457)=0,"",IF(ISNA(計算結果!A457),"",計算結果!A457))</f>
        <v/>
      </c>
      <c r="B457" s="10" t="str">
        <f>IF(IF(ISNA(計算結果!B457),"",計算結果!B457)=0,"",IF(ISNA(計算結果!B457),"",計算結果!B457))</f>
        <v/>
      </c>
      <c r="C457" s="10" t="str">
        <f>IF(IF(ISNA(計算結果!C457),"",計算結果!C457)=0,"",IF(ISNA(計算結果!C457),"",計算結果!C457))</f>
        <v/>
      </c>
      <c r="D457" s="10" t="str">
        <f>IF(IF(ISNA(計算結果!D457),"",計算結果!D457)=0,"",IF(ISNA(計算結果!D457),"",計算結果!D457))</f>
        <v>L</v>
      </c>
      <c r="E457" s="10" t="str">
        <f>IF(IF(ISNA(計算結果!E457),"",計算結果!E457)=0,"",IF(ISNA(計算結果!E457),"",計算結果!E457))</f>
        <v/>
      </c>
      <c r="F457" s="10" t="str">
        <f>IF(IF(ISNA(計算結果!F457),"",計算結果!F457)=0,"",IF(ISNA(計算結果!F457),"",計算結果!F457))</f>
        <v/>
      </c>
      <c r="G457" s="10" t="str">
        <f>IF(IF(ISNA(計算結果!G457),"",計算結果!G457)=0,"",IF(ISNA(計算結果!G457),"",計算結果!G457))</f>
        <v/>
      </c>
      <c r="H457" s="13">
        <f>IF(IF(ISNA(計算結果!H457),"",計算結果!H457)=0,"",IF(ISNA(計算結果!H457),"",計算結果!H457))</f>
        <v>-2</v>
      </c>
      <c r="I457" s="12" t="str">
        <f>IF(IF(ISNA(計算結果!I457),"",計算結果!I457)=0,"",IF(ISNA(計算結果!I457),"",計算結果!I457))</f>
        <v/>
      </c>
      <c r="J457" s="12" t="str">
        <f>IF(IF(ISNA(計算結果!J457),"",計算結果!J457)=0,"",IF(ISNA(計算結果!J457),"",計算結果!J457))</f>
        <v/>
      </c>
      <c r="K457" s="23" t="str">
        <f>IF(IF(ISNA(計算結果!K457),"",計算結果!K457)=0,"",IF(ISNA(計算結果!K457),"",計算結果!K457))</f>
        <v/>
      </c>
      <c r="L457" s="13" t="str">
        <f>IF(IF(ISNA(計算結果!L457),"",計算結果!L457)=0,"",IF(ISNA(計算結果!L457),"",計算結果!L457))</f>
        <v/>
      </c>
      <c r="M457" s="10" t="str">
        <f>IF(IF(ISNA(計算結果!M457),"",計算結果!M457)=0,"",IF(ISNA(計算結果!M457),"",計算結果!M457))</f>
        <v/>
      </c>
      <c r="N457" s="10" t="str">
        <f>IF(IF(ISNA(計算結果!N457),"",計算結果!N457)=0,"",IF(ISNA(計算結果!N457),"",計算結果!N457))</f>
        <v/>
      </c>
      <c r="O457" s="13" t="str">
        <f>IF(IF(ISNA(計算結果!O457),"",計算結果!O457)=0,"",IF(ISNA(計算結果!O457),"",計算結果!O457))</f>
        <v/>
      </c>
      <c r="P457" s="10" t="str">
        <f>IF(IF(ISNA(計算結果!P457),"",計算結果!P457)=0,"",IF(ISNA(計算結果!P457),"",計算結果!P457))</f>
        <v/>
      </c>
      <c r="Q457" s="10" t="str">
        <f>IF(IF(ISNA(計算結果!Q457),"",計算結果!Q457)=0,"",IF(ISNA(計算結果!Q457),"",計算結果!Q457))</f>
        <v/>
      </c>
      <c r="R457" s="14" t="str">
        <f t="shared" si="21"/>
        <v/>
      </c>
      <c r="S457" s="14" t="str">
        <f t="shared" si="22"/>
        <v>◯</v>
      </c>
      <c r="T457" s="14" t="str">
        <f t="shared" si="23"/>
        <v/>
      </c>
    </row>
    <row r="458" spans="1:20" hidden="1" x14ac:dyDescent="0.45">
      <c r="A458" s="10" t="str">
        <f>IF(IF(ISNA(計算結果!A458),"",計算結果!A458)=0,"",IF(ISNA(計算結果!A458),"",計算結果!A458))</f>
        <v/>
      </c>
      <c r="B458" s="10" t="str">
        <f>IF(IF(ISNA(計算結果!B458),"",計算結果!B458)=0,"",IF(ISNA(計算結果!B458),"",計算結果!B458))</f>
        <v/>
      </c>
      <c r="C458" s="10" t="str">
        <f>IF(IF(ISNA(計算結果!C458),"",計算結果!C458)=0,"",IF(ISNA(計算結果!C458),"",計算結果!C458))</f>
        <v/>
      </c>
      <c r="D458" s="10" t="str">
        <f>IF(IF(ISNA(計算結果!D458),"",計算結果!D458)=0,"",IF(ISNA(計算結果!D458),"",計算結果!D458))</f>
        <v>L</v>
      </c>
      <c r="E458" s="10" t="str">
        <f>IF(IF(ISNA(計算結果!E458),"",計算結果!E458)=0,"",IF(ISNA(計算結果!E458),"",計算結果!E458))</f>
        <v/>
      </c>
      <c r="F458" s="10" t="str">
        <f>IF(IF(ISNA(計算結果!F458),"",計算結果!F458)=0,"",IF(ISNA(計算結果!F458),"",計算結果!F458))</f>
        <v/>
      </c>
      <c r="G458" s="10" t="str">
        <f>IF(IF(ISNA(計算結果!G458),"",計算結果!G458)=0,"",IF(ISNA(計算結果!G458),"",計算結果!G458))</f>
        <v/>
      </c>
      <c r="H458" s="13">
        <f>IF(IF(ISNA(計算結果!H458),"",計算結果!H458)=0,"",IF(ISNA(計算結果!H458),"",計算結果!H458))</f>
        <v>-2</v>
      </c>
      <c r="I458" s="12" t="str">
        <f>IF(IF(ISNA(計算結果!I458),"",計算結果!I458)=0,"",IF(ISNA(計算結果!I458),"",計算結果!I458))</f>
        <v/>
      </c>
      <c r="J458" s="12" t="str">
        <f>IF(IF(ISNA(計算結果!J458),"",計算結果!J458)=0,"",IF(ISNA(計算結果!J458),"",計算結果!J458))</f>
        <v/>
      </c>
      <c r="K458" s="23" t="str">
        <f>IF(IF(ISNA(計算結果!K458),"",計算結果!K458)=0,"",IF(ISNA(計算結果!K458),"",計算結果!K458))</f>
        <v/>
      </c>
      <c r="L458" s="13" t="str">
        <f>IF(IF(ISNA(計算結果!L458),"",計算結果!L458)=0,"",IF(ISNA(計算結果!L458),"",計算結果!L458))</f>
        <v/>
      </c>
      <c r="M458" s="10" t="str">
        <f>IF(IF(ISNA(計算結果!M458),"",計算結果!M458)=0,"",IF(ISNA(計算結果!M458),"",計算結果!M458))</f>
        <v/>
      </c>
      <c r="N458" s="10" t="str">
        <f>IF(IF(ISNA(計算結果!N458),"",計算結果!N458)=0,"",IF(ISNA(計算結果!N458),"",計算結果!N458))</f>
        <v/>
      </c>
      <c r="O458" s="13" t="str">
        <f>IF(IF(ISNA(計算結果!O458),"",計算結果!O458)=0,"",IF(ISNA(計算結果!O458),"",計算結果!O458))</f>
        <v/>
      </c>
      <c r="P458" s="10" t="str">
        <f>IF(IF(ISNA(計算結果!P458),"",計算結果!P458)=0,"",IF(ISNA(計算結果!P458),"",計算結果!P458))</f>
        <v/>
      </c>
      <c r="Q458" s="10" t="str">
        <f>IF(IF(ISNA(計算結果!Q458),"",計算結果!Q458)=0,"",IF(ISNA(計算結果!Q458),"",計算結果!Q458))</f>
        <v/>
      </c>
      <c r="R458" s="14" t="str">
        <f t="shared" si="21"/>
        <v/>
      </c>
      <c r="S458" s="14" t="str">
        <f t="shared" si="22"/>
        <v>◯</v>
      </c>
      <c r="T458" s="14" t="str">
        <f t="shared" si="23"/>
        <v/>
      </c>
    </row>
    <row r="459" spans="1:20" hidden="1" x14ac:dyDescent="0.45">
      <c r="A459" s="10" t="str">
        <f>IF(IF(ISNA(計算結果!A459),"",計算結果!A459)=0,"",IF(ISNA(計算結果!A459),"",計算結果!A459))</f>
        <v/>
      </c>
      <c r="B459" s="10" t="str">
        <f>IF(IF(ISNA(計算結果!B459),"",計算結果!B459)=0,"",IF(ISNA(計算結果!B459),"",計算結果!B459))</f>
        <v/>
      </c>
      <c r="C459" s="10" t="str">
        <f>IF(IF(ISNA(計算結果!C459),"",計算結果!C459)=0,"",IF(ISNA(計算結果!C459),"",計算結果!C459))</f>
        <v/>
      </c>
      <c r="D459" s="10" t="str">
        <f>IF(IF(ISNA(計算結果!D459),"",計算結果!D459)=0,"",IF(ISNA(計算結果!D459),"",計算結果!D459))</f>
        <v>L</v>
      </c>
      <c r="E459" s="10" t="str">
        <f>IF(IF(ISNA(計算結果!E459),"",計算結果!E459)=0,"",IF(ISNA(計算結果!E459),"",計算結果!E459))</f>
        <v/>
      </c>
      <c r="F459" s="10" t="str">
        <f>IF(IF(ISNA(計算結果!F459),"",計算結果!F459)=0,"",IF(ISNA(計算結果!F459),"",計算結果!F459))</f>
        <v/>
      </c>
      <c r="G459" s="10" t="str">
        <f>IF(IF(ISNA(計算結果!G459),"",計算結果!G459)=0,"",IF(ISNA(計算結果!G459),"",計算結果!G459))</f>
        <v/>
      </c>
      <c r="H459" s="13">
        <f>IF(IF(ISNA(計算結果!H459),"",計算結果!H459)=0,"",IF(ISNA(計算結果!H459),"",計算結果!H459))</f>
        <v>-2</v>
      </c>
      <c r="I459" s="12" t="str">
        <f>IF(IF(ISNA(計算結果!I459),"",計算結果!I459)=0,"",IF(ISNA(計算結果!I459),"",計算結果!I459))</f>
        <v/>
      </c>
      <c r="J459" s="12" t="str">
        <f>IF(IF(ISNA(計算結果!J459),"",計算結果!J459)=0,"",IF(ISNA(計算結果!J459),"",計算結果!J459))</f>
        <v/>
      </c>
      <c r="K459" s="23" t="str">
        <f>IF(IF(ISNA(計算結果!K459),"",計算結果!K459)=0,"",IF(ISNA(計算結果!K459),"",計算結果!K459))</f>
        <v/>
      </c>
      <c r="L459" s="13" t="str">
        <f>IF(IF(ISNA(計算結果!L459),"",計算結果!L459)=0,"",IF(ISNA(計算結果!L459),"",計算結果!L459))</f>
        <v/>
      </c>
      <c r="M459" s="10" t="str">
        <f>IF(IF(ISNA(計算結果!M459),"",計算結果!M459)=0,"",IF(ISNA(計算結果!M459),"",計算結果!M459))</f>
        <v/>
      </c>
      <c r="N459" s="10" t="str">
        <f>IF(IF(ISNA(計算結果!N459),"",計算結果!N459)=0,"",IF(ISNA(計算結果!N459),"",計算結果!N459))</f>
        <v/>
      </c>
      <c r="O459" s="13" t="str">
        <f>IF(IF(ISNA(計算結果!O459),"",計算結果!O459)=0,"",IF(ISNA(計算結果!O459),"",計算結果!O459))</f>
        <v/>
      </c>
      <c r="P459" s="10" t="str">
        <f>IF(IF(ISNA(計算結果!P459),"",計算結果!P459)=0,"",IF(ISNA(計算結果!P459),"",計算結果!P459))</f>
        <v/>
      </c>
      <c r="Q459" s="10" t="str">
        <f>IF(IF(ISNA(計算結果!Q459),"",計算結果!Q459)=0,"",IF(ISNA(計算結果!Q459),"",計算結果!Q459))</f>
        <v/>
      </c>
      <c r="R459" s="14" t="str">
        <f t="shared" si="21"/>
        <v/>
      </c>
      <c r="S459" s="14" t="str">
        <f t="shared" si="22"/>
        <v>◯</v>
      </c>
      <c r="T459" s="14" t="str">
        <f t="shared" si="23"/>
        <v/>
      </c>
    </row>
    <row r="460" spans="1:20" hidden="1" x14ac:dyDescent="0.45">
      <c r="A460" s="10" t="str">
        <f>IF(IF(ISNA(計算結果!A460),"",計算結果!A460)=0,"",IF(ISNA(計算結果!A460),"",計算結果!A460))</f>
        <v/>
      </c>
      <c r="B460" s="10" t="str">
        <f>IF(IF(ISNA(計算結果!B460),"",計算結果!B460)=0,"",IF(ISNA(計算結果!B460),"",計算結果!B460))</f>
        <v/>
      </c>
      <c r="C460" s="10" t="str">
        <f>IF(IF(ISNA(計算結果!C460),"",計算結果!C460)=0,"",IF(ISNA(計算結果!C460),"",計算結果!C460))</f>
        <v/>
      </c>
      <c r="D460" s="10" t="str">
        <f>IF(IF(ISNA(計算結果!D460),"",計算結果!D460)=0,"",IF(ISNA(計算結果!D460),"",計算結果!D460))</f>
        <v>L</v>
      </c>
      <c r="E460" s="10" t="str">
        <f>IF(IF(ISNA(計算結果!E460),"",計算結果!E460)=0,"",IF(ISNA(計算結果!E460),"",計算結果!E460))</f>
        <v/>
      </c>
      <c r="F460" s="10" t="str">
        <f>IF(IF(ISNA(計算結果!F460),"",計算結果!F460)=0,"",IF(ISNA(計算結果!F460),"",計算結果!F460))</f>
        <v/>
      </c>
      <c r="G460" s="10" t="str">
        <f>IF(IF(ISNA(計算結果!G460),"",計算結果!G460)=0,"",IF(ISNA(計算結果!G460),"",計算結果!G460))</f>
        <v/>
      </c>
      <c r="H460" s="13">
        <f>IF(IF(ISNA(計算結果!H460),"",計算結果!H460)=0,"",IF(ISNA(計算結果!H460),"",計算結果!H460))</f>
        <v>-2</v>
      </c>
      <c r="I460" s="12" t="str">
        <f>IF(IF(ISNA(計算結果!I460),"",計算結果!I460)=0,"",IF(ISNA(計算結果!I460),"",計算結果!I460))</f>
        <v/>
      </c>
      <c r="J460" s="12" t="str">
        <f>IF(IF(ISNA(計算結果!J460),"",計算結果!J460)=0,"",IF(ISNA(計算結果!J460),"",計算結果!J460))</f>
        <v/>
      </c>
      <c r="K460" s="23" t="str">
        <f>IF(IF(ISNA(計算結果!K460),"",計算結果!K460)=0,"",IF(ISNA(計算結果!K460),"",計算結果!K460))</f>
        <v/>
      </c>
      <c r="L460" s="13" t="str">
        <f>IF(IF(ISNA(計算結果!L460),"",計算結果!L460)=0,"",IF(ISNA(計算結果!L460),"",計算結果!L460))</f>
        <v/>
      </c>
      <c r="M460" s="10" t="str">
        <f>IF(IF(ISNA(計算結果!M460),"",計算結果!M460)=0,"",IF(ISNA(計算結果!M460),"",計算結果!M460))</f>
        <v/>
      </c>
      <c r="N460" s="10" t="str">
        <f>IF(IF(ISNA(計算結果!N460),"",計算結果!N460)=0,"",IF(ISNA(計算結果!N460),"",計算結果!N460))</f>
        <v/>
      </c>
      <c r="O460" s="13" t="str">
        <f>IF(IF(ISNA(計算結果!O460),"",計算結果!O460)=0,"",IF(ISNA(計算結果!O460),"",計算結果!O460))</f>
        <v/>
      </c>
      <c r="P460" s="10" t="str">
        <f>IF(IF(ISNA(計算結果!P460),"",計算結果!P460)=0,"",IF(ISNA(計算結果!P460),"",計算結果!P460))</f>
        <v/>
      </c>
      <c r="Q460" s="10" t="str">
        <f>IF(IF(ISNA(計算結果!Q460),"",計算結果!Q460)=0,"",IF(ISNA(計算結果!Q460),"",計算結果!Q460))</f>
        <v/>
      </c>
      <c r="R460" s="14" t="str">
        <f t="shared" si="21"/>
        <v/>
      </c>
      <c r="S460" s="14" t="str">
        <f t="shared" si="22"/>
        <v>◯</v>
      </c>
      <c r="T460" s="14" t="str">
        <f t="shared" si="23"/>
        <v/>
      </c>
    </row>
    <row r="461" spans="1:20" hidden="1" x14ac:dyDescent="0.45">
      <c r="A461" s="10" t="str">
        <f>IF(IF(ISNA(計算結果!A461),"",計算結果!A461)=0,"",IF(ISNA(計算結果!A461),"",計算結果!A461))</f>
        <v/>
      </c>
      <c r="B461" s="10" t="str">
        <f>IF(IF(ISNA(計算結果!B461),"",計算結果!B461)=0,"",IF(ISNA(計算結果!B461),"",計算結果!B461))</f>
        <v/>
      </c>
      <c r="C461" s="10" t="str">
        <f>IF(IF(ISNA(計算結果!C461),"",計算結果!C461)=0,"",IF(ISNA(計算結果!C461),"",計算結果!C461))</f>
        <v/>
      </c>
      <c r="D461" s="10" t="str">
        <f>IF(IF(ISNA(計算結果!D461),"",計算結果!D461)=0,"",IF(ISNA(計算結果!D461),"",計算結果!D461))</f>
        <v>L</v>
      </c>
      <c r="E461" s="10" t="str">
        <f>IF(IF(ISNA(計算結果!E461),"",計算結果!E461)=0,"",IF(ISNA(計算結果!E461),"",計算結果!E461))</f>
        <v/>
      </c>
      <c r="F461" s="10" t="str">
        <f>IF(IF(ISNA(計算結果!F461),"",計算結果!F461)=0,"",IF(ISNA(計算結果!F461),"",計算結果!F461))</f>
        <v/>
      </c>
      <c r="G461" s="10" t="str">
        <f>IF(IF(ISNA(計算結果!G461),"",計算結果!G461)=0,"",IF(ISNA(計算結果!G461),"",計算結果!G461))</f>
        <v/>
      </c>
      <c r="H461" s="13">
        <f>IF(IF(ISNA(計算結果!H461),"",計算結果!H461)=0,"",IF(ISNA(計算結果!H461),"",計算結果!H461))</f>
        <v>-2</v>
      </c>
      <c r="I461" s="12" t="str">
        <f>IF(IF(ISNA(計算結果!I461),"",計算結果!I461)=0,"",IF(ISNA(計算結果!I461),"",計算結果!I461))</f>
        <v/>
      </c>
      <c r="J461" s="12" t="str">
        <f>IF(IF(ISNA(計算結果!J461),"",計算結果!J461)=0,"",IF(ISNA(計算結果!J461),"",計算結果!J461))</f>
        <v/>
      </c>
      <c r="K461" s="23" t="str">
        <f>IF(IF(ISNA(計算結果!K461),"",計算結果!K461)=0,"",IF(ISNA(計算結果!K461),"",計算結果!K461))</f>
        <v/>
      </c>
      <c r="L461" s="13" t="str">
        <f>IF(IF(ISNA(計算結果!L461),"",計算結果!L461)=0,"",IF(ISNA(計算結果!L461),"",計算結果!L461))</f>
        <v/>
      </c>
      <c r="M461" s="10" t="str">
        <f>IF(IF(ISNA(計算結果!M461),"",計算結果!M461)=0,"",IF(ISNA(計算結果!M461),"",計算結果!M461))</f>
        <v/>
      </c>
      <c r="N461" s="10" t="str">
        <f>IF(IF(ISNA(計算結果!N461),"",計算結果!N461)=0,"",IF(ISNA(計算結果!N461),"",計算結果!N461))</f>
        <v/>
      </c>
      <c r="O461" s="13" t="str">
        <f>IF(IF(ISNA(計算結果!O461),"",計算結果!O461)=0,"",IF(ISNA(計算結果!O461),"",計算結果!O461))</f>
        <v/>
      </c>
      <c r="P461" s="10" t="str">
        <f>IF(IF(ISNA(計算結果!P461),"",計算結果!P461)=0,"",IF(ISNA(計算結果!P461),"",計算結果!P461))</f>
        <v/>
      </c>
      <c r="Q461" s="10" t="str">
        <f>IF(IF(ISNA(計算結果!Q461),"",計算結果!Q461)=0,"",IF(ISNA(計算結果!Q461),"",計算結果!Q461))</f>
        <v/>
      </c>
      <c r="R461" s="14" t="str">
        <f t="shared" si="21"/>
        <v/>
      </c>
      <c r="S461" s="14" t="str">
        <f t="shared" si="22"/>
        <v>◯</v>
      </c>
      <c r="T461" s="14" t="str">
        <f t="shared" si="23"/>
        <v/>
      </c>
    </row>
    <row r="462" spans="1:20" hidden="1" x14ac:dyDescent="0.45">
      <c r="A462" s="10" t="str">
        <f>IF(IF(ISNA(計算結果!A462),"",計算結果!A462)=0,"",IF(ISNA(計算結果!A462),"",計算結果!A462))</f>
        <v/>
      </c>
      <c r="B462" s="10" t="str">
        <f>IF(IF(ISNA(計算結果!B462),"",計算結果!B462)=0,"",IF(ISNA(計算結果!B462),"",計算結果!B462))</f>
        <v/>
      </c>
      <c r="C462" s="10" t="str">
        <f>IF(IF(ISNA(計算結果!C462),"",計算結果!C462)=0,"",IF(ISNA(計算結果!C462),"",計算結果!C462))</f>
        <v/>
      </c>
      <c r="D462" s="10" t="str">
        <f>IF(IF(ISNA(計算結果!D462),"",計算結果!D462)=0,"",IF(ISNA(計算結果!D462),"",計算結果!D462))</f>
        <v>L</v>
      </c>
      <c r="E462" s="10" t="str">
        <f>IF(IF(ISNA(計算結果!E462),"",計算結果!E462)=0,"",IF(ISNA(計算結果!E462),"",計算結果!E462))</f>
        <v/>
      </c>
      <c r="F462" s="10" t="str">
        <f>IF(IF(ISNA(計算結果!F462),"",計算結果!F462)=0,"",IF(ISNA(計算結果!F462),"",計算結果!F462))</f>
        <v/>
      </c>
      <c r="G462" s="10" t="str">
        <f>IF(IF(ISNA(計算結果!G462),"",計算結果!G462)=0,"",IF(ISNA(計算結果!G462),"",計算結果!G462))</f>
        <v/>
      </c>
      <c r="H462" s="13">
        <f>IF(IF(ISNA(計算結果!H462),"",計算結果!H462)=0,"",IF(ISNA(計算結果!H462),"",計算結果!H462))</f>
        <v>-2</v>
      </c>
      <c r="I462" s="12" t="str">
        <f>IF(IF(ISNA(計算結果!I462),"",計算結果!I462)=0,"",IF(ISNA(計算結果!I462),"",計算結果!I462))</f>
        <v/>
      </c>
      <c r="J462" s="12" t="str">
        <f>IF(IF(ISNA(計算結果!J462),"",計算結果!J462)=0,"",IF(ISNA(計算結果!J462),"",計算結果!J462))</f>
        <v/>
      </c>
      <c r="K462" s="23" t="str">
        <f>IF(IF(ISNA(計算結果!K462),"",計算結果!K462)=0,"",IF(ISNA(計算結果!K462),"",計算結果!K462))</f>
        <v/>
      </c>
      <c r="L462" s="13" t="str">
        <f>IF(IF(ISNA(計算結果!L462),"",計算結果!L462)=0,"",IF(ISNA(計算結果!L462),"",計算結果!L462))</f>
        <v/>
      </c>
      <c r="M462" s="10" t="str">
        <f>IF(IF(ISNA(計算結果!M462),"",計算結果!M462)=0,"",IF(ISNA(計算結果!M462),"",計算結果!M462))</f>
        <v/>
      </c>
      <c r="N462" s="10" t="str">
        <f>IF(IF(ISNA(計算結果!N462),"",計算結果!N462)=0,"",IF(ISNA(計算結果!N462),"",計算結果!N462))</f>
        <v/>
      </c>
      <c r="O462" s="13" t="str">
        <f>IF(IF(ISNA(計算結果!O462),"",計算結果!O462)=0,"",IF(ISNA(計算結果!O462),"",計算結果!O462))</f>
        <v/>
      </c>
      <c r="P462" s="10" t="str">
        <f>IF(IF(ISNA(計算結果!P462),"",計算結果!P462)=0,"",IF(ISNA(計算結果!P462),"",計算結果!P462))</f>
        <v/>
      </c>
      <c r="Q462" s="10" t="str">
        <f>IF(IF(ISNA(計算結果!Q462),"",計算結果!Q462)=0,"",IF(ISNA(計算結果!Q462),"",計算結果!Q462))</f>
        <v/>
      </c>
      <c r="R462" s="14" t="str">
        <f t="shared" si="21"/>
        <v/>
      </c>
      <c r="S462" s="14" t="str">
        <f t="shared" si="22"/>
        <v>◯</v>
      </c>
      <c r="T462" s="14" t="str">
        <f t="shared" si="23"/>
        <v/>
      </c>
    </row>
    <row r="463" spans="1:20" hidden="1" x14ac:dyDescent="0.45">
      <c r="A463" s="10" t="str">
        <f>IF(IF(ISNA(計算結果!A463),"",計算結果!A463)=0,"",IF(ISNA(計算結果!A463),"",計算結果!A463))</f>
        <v/>
      </c>
      <c r="B463" s="10" t="str">
        <f>IF(IF(ISNA(計算結果!B463),"",計算結果!B463)=0,"",IF(ISNA(計算結果!B463),"",計算結果!B463))</f>
        <v/>
      </c>
      <c r="C463" s="10" t="str">
        <f>IF(IF(ISNA(計算結果!C463),"",計算結果!C463)=0,"",IF(ISNA(計算結果!C463),"",計算結果!C463))</f>
        <v/>
      </c>
      <c r="D463" s="10" t="str">
        <f>IF(IF(ISNA(計算結果!D463),"",計算結果!D463)=0,"",IF(ISNA(計算結果!D463),"",計算結果!D463))</f>
        <v>L</v>
      </c>
      <c r="E463" s="10" t="str">
        <f>IF(IF(ISNA(計算結果!E463),"",計算結果!E463)=0,"",IF(ISNA(計算結果!E463),"",計算結果!E463))</f>
        <v/>
      </c>
      <c r="F463" s="10" t="str">
        <f>IF(IF(ISNA(計算結果!F463),"",計算結果!F463)=0,"",IF(ISNA(計算結果!F463),"",計算結果!F463))</f>
        <v/>
      </c>
      <c r="G463" s="10" t="str">
        <f>IF(IF(ISNA(計算結果!G463),"",計算結果!G463)=0,"",IF(ISNA(計算結果!G463),"",計算結果!G463))</f>
        <v/>
      </c>
      <c r="H463" s="13">
        <f>IF(IF(ISNA(計算結果!H463),"",計算結果!H463)=0,"",IF(ISNA(計算結果!H463),"",計算結果!H463))</f>
        <v>-2</v>
      </c>
      <c r="I463" s="12" t="str">
        <f>IF(IF(ISNA(計算結果!I463),"",計算結果!I463)=0,"",IF(ISNA(計算結果!I463),"",計算結果!I463))</f>
        <v/>
      </c>
      <c r="J463" s="12" t="str">
        <f>IF(IF(ISNA(計算結果!J463),"",計算結果!J463)=0,"",IF(ISNA(計算結果!J463),"",計算結果!J463))</f>
        <v/>
      </c>
      <c r="K463" s="23" t="str">
        <f>IF(IF(ISNA(計算結果!K463),"",計算結果!K463)=0,"",IF(ISNA(計算結果!K463),"",計算結果!K463))</f>
        <v/>
      </c>
      <c r="L463" s="13" t="str">
        <f>IF(IF(ISNA(計算結果!L463),"",計算結果!L463)=0,"",IF(ISNA(計算結果!L463),"",計算結果!L463))</f>
        <v/>
      </c>
      <c r="M463" s="10" t="str">
        <f>IF(IF(ISNA(計算結果!M463),"",計算結果!M463)=0,"",IF(ISNA(計算結果!M463),"",計算結果!M463))</f>
        <v/>
      </c>
      <c r="N463" s="10" t="str">
        <f>IF(IF(ISNA(計算結果!N463),"",計算結果!N463)=0,"",IF(ISNA(計算結果!N463),"",計算結果!N463))</f>
        <v/>
      </c>
      <c r="O463" s="13" t="str">
        <f>IF(IF(ISNA(計算結果!O463),"",計算結果!O463)=0,"",IF(ISNA(計算結果!O463),"",計算結果!O463))</f>
        <v/>
      </c>
      <c r="P463" s="10" t="str">
        <f>IF(IF(ISNA(計算結果!P463),"",計算結果!P463)=0,"",IF(ISNA(計算結果!P463),"",計算結果!P463))</f>
        <v/>
      </c>
      <c r="Q463" s="10" t="str">
        <f>IF(IF(ISNA(計算結果!Q463),"",計算結果!Q463)=0,"",IF(ISNA(計算結果!Q463),"",計算結果!Q463))</f>
        <v/>
      </c>
      <c r="R463" s="14" t="str">
        <f t="shared" si="21"/>
        <v/>
      </c>
      <c r="S463" s="14" t="str">
        <f t="shared" si="22"/>
        <v>◯</v>
      </c>
      <c r="T463" s="14" t="str">
        <f t="shared" si="23"/>
        <v/>
      </c>
    </row>
    <row r="464" spans="1:20" hidden="1" x14ac:dyDescent="0.45">
      <c r="A464" s="10" t="str">
        <f>IF(IF(ISNA(計算結果!A464),"",計算結果!A464)=0,"",IF(ISNA(計算結果!A464),"",計算結果!A464))</f>
        <v/>
      </c>
      <c r="B464" s="10" t="str">
        <f>IF(IF(ISNA(計算結果!B464),"",計算結果!B464)=0,"",IF(ISNA(計算結果!B464),"",計算結果!B464))</f>
        <v/>
      </c>
      <c r="C464" s="10" t="str">
        <f>IF(IF(ISNA(計算結果!C464),"",計算結果!C464)=0,"",IF(ISNA(計算結果!C464),"",計算結果!C464))</f>
        <v/>
      </c>
      <c r="D464" s="10" t="str">
        <f>IF(IF(ISNA(計算結果!D464),"",計算結果!D464)=0,"",IF(ISNA(計算結果!D464),"",計算結果!D464))</f>
        <v>L</v>
      </c>
      <c r="E464" s="10" t="str">
        <f>IF(IF(ISNA(計算結果!E464),"",計算結果!E464)=0,"",IF(ISNA(計算結果!E464),"",計算結果!E464))</f>
        <v/>
      </c>
      <c r="F464" s="10" t="str">
        <f>IF(IF(ISNA(計算結果!F464),"",計算結果!F464)=0,"",IF(ISNA(計算結果!F464),"",計算結果!F464))</f>
        <v/>
      </c>
      <c r="G464" s="10" t="str">
        <f>IF(IF(ISNA(計算結果!G464),"",計算結果!G464)=0,"",IF(ISNA(計算結果!G464),"",計算結果!G464))</f>
        <v/>
      </c>
      <c r="H464" s="13">
        <f>IF(IF(ISNA(計算結果!H464),"",計算結果!H464)=0,"",IF(ISNA(計算結果!H464),"",計算結果!H464))</f>
        <v>-2</v>
      </c>
      <c r="I464" s="12" t="str">
        <f>IF(IF(ISNA(計算結果!I464),"",計算結果!I464)=0,"",IF(ISNA(計算結果!I464),"",計算結果!I464))</f>
        <v/>
      </c>
      <c r="J464" s="12" t="str">
        <f>IF(IF(ISNA(計算結果!J464),"",計算結果!J464)=0,"",IF(ISNA(計算結果!J464),"",計算結果!J464))</f>
        <v/>
      </c>
      <c r="K464" s="23" t="str">
        <f>IF(IF(ISNA(計算結果!K464),"",計算結果!K464)=0,"",IF(ISNA(計算結果!K464),"",計算結果!K464))</f>
        <v/>
      </c>
      <c r="L464" s="13" t="str">
        <f>IF(IF(ISNA(計算結果!L464),"",計算結果!L464)=0,"",IF(ISNA(計算結果!L464),"",計算結果!L464))</f>
        <v/>
      </c>
      <c r="M464" s="10" t="str">
        <f>IF(IF(ISNA(計算結果!M464),"",計算結果!M464)=0,"",IF(ISNA(計算結果!M464),"",計算結果!M464))</f>
        <v/>
      </c>
      <c r="N464" s="10" t="str">
        <f>IF(IF(ISNA(計算結果!N464),"",計算結果!N464)=0,"",IF(ISNA(計算結果!N464),"",計算結果!N464))</f>
        <v/>
      </c>
      <c r="O464" s="13" t="str">
        <f>IF(IF(ISNA(計算結果!O464),"",計算結果!O464)=0,"",IF(ISNA(計算結果!O464),"",計算結果!O464))</f>
        <v/>
      </c>
      <c r="P464" s="10" t="str">
        <f>IF(IF(ISNA(計算結果!P464),"",計算結果!P464)=0,"",IF(ISNA(計算結果!P464),"",計算結果!P464))</f>
        <v/>
      </c>
      <c r="Q464" s="10" t="str">
        <f>IF(IF(ISNA(計算結果!Q464),"",計算結果!Q464)=0,"",IF(ISNA(計算結果!Q464),"",計算結果!Q464))</f>
        <v/>
      </c>
      <c r="R464" s="14" t="str">
        <f t="shared" si="21"/>
        <v/>
      </c>
      <c r="S464" s="14" t="str">
        <f t="shared" si="22"/>
        <v>◯</v>
      </c>
      <c r="T464" s="14" t="str">
        <f t="shared" si="23"/>
        <v/>
      </c>
    </row>
    <row r="465" spans="1:20" hidden="1" x14ac:dyDescent="0.45">
      <c r="A465" s="10" t="str">
        <f>IF(IF(ISNA(計算結果!A465),"",計算結果!A465)=0,"",IF(ISNA(計算結果!A465),"",計算結果!A465))</f>
        <v/>
      </c>
      <c r="B465" s="10" t="str">
        <f>IF(IF(ISNA(計算結果!B465),"",計算結果!B465)=0,"",IF(ISNA(計算結果!B465),"",計算結果!B465))</f>
        <v/>
      </c>
      <c r="C465" s="10" t="str">
        <f>IF(IF(ISNA(計算結果!C465),"",計算結果!C465)=0,"",IF(ISNA(計算結果!C465),"",計算結果!C465))</f>
        <v/>
      </c>
      <c r="D465" s="10" t="str">
        <f>IF(IF(ISNA(計算結果!D465),"",計算結果!D465)=0,"",IF(ISNA(計算結果!D465),"",計算結果!D465))</f>
        <v>L</v>
      </c>
      <c r="E465" s="10" t="str">
        <f>IF(IF(ISNA(計算結果!E465),"",計算結果!E465)=0,"",IF(ISNA(計算結果!E465),"",計算結果!E465))</f>
        <v/>
      </c>
      <c r="F465" s="10" t="str">
        <f>IF(IF(ISNA(計算結果!F465),"",計算結果!F465)=0,"",IF(ISNA(計算結果!F465),"",計算結果!F465))</f>
        <v/>
      </c>
      <c r="G465" s="10" t="str">
        <f>IF(IF(ISNA(計算結果!G465),"",計算結果!G465)=0,"",IF(ISNA(計算結果!G465),"",計算結果!G465))</f>
        <v/>
      </c>
      <c r="H465" s="13">
        <f>IF(IF(ISNA(計算結果!H465),"",計算結果!H465)=0,"",IF(ISNA(計算結果!H465),"",計算結果!H465))</f>
        <v>-2</v>
      </c>
      <c r="I465" s="12" t="str">
        <f>IF(IF(ISNA(計算結果!I465),"",計算結果!I465)=0,"",IF(ISNA(計算結果!I465),"",計算結果!I465))</f>
        <v/>
      </c>
      <c r="J465" s="12" t="str">
        <f>IF(IF(ISNA(計算結果!J465),"",計算結果!J465)=0,"",IF(ISNA(計算結果!J465),"",計算結果!J465))</f>
        <v/>
      </c>
      <c r="K465" s="23" t="str">
        <f>IF(IF(ISNA(計算結果!K465),"",計算結果!K465)=0,"",IF(ISNA(計算結果!K465),"",計算結果!K465))</f>
        <v/>
      </c>
      <c r="L465" s="13" t="str">
        <f>IF(IF(ISNA(計算結果!L465),"",計算結果!L465)=0,"",IF(ISNA(計算結果!L465),"",計算結果!L465))</f>
        <v/>
      </c>
      <c r="M465" s="10" t="str">
        <f>IF(IF(ISNA(計算結果!M465),"",計算結果!M465)=0,"",IF(ISNA(計算結果!M465),"",計算結果!M465))</f>
        <v/>
      </c>
      <c r="N465" s="10" t="str">
        <f>IF(IF(ISNA(計算結果!N465),"",計算結果!N465)=0,"",IF(ISNA(計算結果!N465),"",計算結果!N465))</f>
        <v/>
      </c>
      <c r="O465" s="13" t="str">
        <f>IF(IF(ISNA(計算結果!O465),"",計算結果!O465)=0,"",IF(ISNA(計算結果!O465),"",計算結果!O465))</f>
        <v/>
      </c>
      <c r="P465" s="10" t="str">
        <f>IF(IF(ISNA(計算結果!P465),"",計算結果!P465)=0,"",IF(ISNA(計算結果!P465),"",計算結果!P465))</f>
        <v/>
      </c>
      <c r="Q465" s="10" t="str">
        <f>IF(IF(ISNA(計算結果!Q465),"",計算結果!Q465)=0,"",IF(ISNA(計算結果!Q465),"",計算結果!Q465))</f>
        <v/>
      </c>
      <c r="R465" s="14" t="str">
        <f t="shared" si="21"/>
        <v/>
      </c>
      <c r="S465" s="14" t="str">
        <f t="shared" si="22"/>
        <v>◯</v>
      </c>
      <c r="T465" s="14" t="str">
        <f t="shared" si="23"/>
        <v/>
      </c>
    </row>
    <row r="466" spans="1:20" hidden="1" x14ac:dyDescent="0.45">
      <c r="A466" s="10" t="str">
        <f>IF(IF(ISNA(計算結果!A466),"",計算結果!A466)=0,"",IF(ISNA(計算結果!A466),"",計算結果!A466))</f>
        <v/>
      </c>
      <c r="B466" s="10" t="str">
        <f>IF(IF(ISNA(計算結果!B466),"",計算結果!B466)=0,"",IF(ISNA(計算結果!B466),"",計算結果!B466))</f>
        <v/>
      </c>
      <c r="C466" s="10" t="str">
        <f>IF(IF(ISNA(計算結果!C466),"",計算結果!C466)=0,"",IF(ISNA(計算結果!C466),"",計算結果!C466))</f>
        <v/>
      </c>
      <c r="D466" s="10" t="str">
        <f>IF(IF(ISNA(計算結果!D466),"",計算結果!D466)=0,"",IF(ISNA(計算結果!D466),"",計算結果!D466))</f>
        <v>L</v>
      </c>
      <c r="E466" s="10" t="str">
        <f>IF(IF(ISNA(計算結果!E466),"",計算結果!E466)=0,"",IF(ISNA(計算結果!E466),"",計算結果!E466))</f>
        <v/>
      </c>
      <c r="F466" s="10" t="str">
        <f>IF(IF(ISNA(計算結果!F466),"",計算結果!F466)=0,"",IF(ISNA(計算結果!F466),"",計算結果!F466))</f>
        <v/>
      </c>
      <c r="G466" s="10" t="str">
        <f>IF(IF(ISNA(計算結果!G466),"",計算結果!G466)=0,"",IF(ISNA(計算結果!G466),"",計算結果!G466))</f>
        <v/>
      </c>
      <c r="H466" s="13">
        <f>IF(IF(ISNA(計算結果!H466),"",計算結果!H466)=0,"",IF(ISNA(計算結果!H466),"",計算結果!H466))</f>
        <v>-2</v>
      </c>
      <c r="I466" s="12" t="str">
        <f>IF(IF(ISNA(計算結果!I466),"",計算結果!I466)=0,"",IF(ISNA(計算結果!I466),"",計算結果!I466))</f>
        <v/>
      </c>
      <c r="J466" s="12" t="str">
        <f>IF(IF(ISNA(計算結果!J466),"",計算結果!J466)=0,"",IF(ISNA(計算結果!J466),"",計算結果!J466))</f>
        <v/>
      </c>
      <c r="K466" s="23" t="str">
        <f>IF(IF(ISNA(計算結果!K466),"",計算結果!K466)=0,"",IF(ISNA(計算結果!K466),"",計算結果!K466))</f>
        <v/>
      </c>
      <c r="L466" s="13" t="str">
        <f>IF(IF(ISNA(計算結果!L466),"",計算結果!L466)=0,"",IF(ISNA(計算結果!L466),"",計算結果!L466))</f>
        <v/>
      </c>
      <c r="M466" s="10" t="str">
        <f>IF(IF(ISNA(計算結果!M466),"",計算結果!M466)=0,"",IF(ISNA(計算結果!M466),"",計算結果!M466))</f>
        <v/>
      </c>
      <c r="N466" s="10" t="str">
        <f>IF(IF(ISNA(計算結果!N466),"",計算結果!N466)=0,"",IF(ISNA(計算結果!N466),"",計算結果!N466))</f>
        <v/>
      </c>
      <c r="O466" s="13" t="str">
        <f>IF(IF(ISNA(計算結果!O466),"",計算結果!O466)=0,"",IF(ISNA(計算結果!O466),"",計算結果!O466))</f>
        <v/>
      </c>
      <c r="P466" s="10" t="str">
        <f>IF(IF(ISNA(計算結果!P466),"",計算結果!P466)=0,"",IF(ISNA(計算結果!P466),"",計算結果!P466))</f>
        <v/>
      </c>
      <c r="Q466" s="10" t="str">
        <f>IF(IF(ISNA(計算結果!Q466),"",計算結果!Q466)=0,"",IF(ISNA(計算結果!Q466),"",計算結果!Q466))</f>
        <v/>
      </c>
      <c r="R466" s="14" t="str">
        <f t="shared" si="21"/>
        <v/>
      </c>
      <c r="S466" s="14" t="str">
        <f t="shared" si="22"/>
        <v>◯</v>
      </c>
      <c r="T466" s="14" t="str">
        <f t="shared" si="23"/>
        <v/>
      </c>
    </row>
    <row r="467" spans="1:20" hidden="1" x14ac:dyDescent="0.45">
      <c r="A467" s="10" t="str">
        <f>IF(IF(ISNA(計算結果!A467),"",計算結果!A467)=0,"",IF(ISNA(計算結果!A467),"",計算結果!A467))</f>
        <v/>
      </c>
      <c r="B467" s="10" t="str">
        <f>IF(IF(ISNA(計算結果!B467),"",計算結果!B467)=0,"",IF(ISNA(計算結果!B467),"",計算結果!B467))</f>
        <v/>
      </c>
      <c r="C467" s="10" t="str">
        <f>IF(IF(ISNA(計算結果!C467),"",計算結果!C467)=0,"",IF(ISNA(計算結果!C467),"",計算結果!C467))</f>
        <v/>
      </c>
      <c r="D467" s="10" t="str">
        <f>IF(IF(ISNA(計算結果!D467),"",計算結果!D467)=0,"",IF(ISNA(計算結果!D467),"",計算結果!D467))</f>
        <v>L</v>
      </c>
      <c r="E467" s="10" t="str">
        <f>IF(IF(ISNA(計算結果!E467),"",計算結果!E467)=0,"",IF(ISNA(計算結果!E467),"",計算結果!E467))</f>
        <v/>
      </c>
      <c r="F467" s="10" t="str">
        <f>IF(IF(ISNA(計算結果!F467),"",計算結果!F467)=0,"",IF(ISNA(計算結果!F467),"",計算結果!F467))</f>
        <v/>
      </c>
      <c r="G467" s="10" t="str">
        <f>IF(IF(ISNA(計算結果!G467),"",計算結果!G467)=0,"",IF(ISNA(計算結果!G467),"",計算結果!G467))</f>
        <v/>
      </c>
      <c r="H467" s="13">
        <f>IF(IF(ISNA(計算結果!H467),"",計算結果!H467)=0,"",IF(ISNA(計算結果!H467),"",計算結果!H467))</f>
        <v>-2</v>
      </c>
      <c r="I467" s="12" t="str">
        <f>IF(IF(ISNA(計算結果!I467),"",計算結果!I467)=0,"",IF(ISNA(計算結果!I467),"",計算結果!I467))</f>
        <v/>
      </c>
      <c r="J467" s="12" t="str">
        <f>IF(IF(ISNA(計算結果!J467),"",計算結果!J467)=0,"",IF(ISNA(計算結果!J467),"",計算結果!J467))</f>
        <v/>
      </c>
      <c r="K467" s="23" t="str">
        <f>IF(IF(ISNA(計算結果!K467),"",計算結果!K467)=0,"",IF(ISNA(計算結果!K467),"",計算結果!K467))</f>
        <v/>
      </c>
      <c r="L467" s="13" t="str">
        <f>IF(IF(ISNA(計算結果!L467),"",計算結果!L467)=0,"",IF(ISNA(計算結果!L467),"",計算結果!L467))</f>
        <v/>
      </c>
      <c r="M467" s="10" t="str">
        <f>IF(IF(ISNA(計算結果!M467),"",計算結果!M467)=0,"",IF(ISNA(計算結果!M467),"",計算結果!M467))</f>
        <v/>
      </c>
      <c r="N467" s="10" t="str">
        <f>IF(IF(ISNA(計算結果!N467),"",計算結果!N467)=0,"",IF(ISNA(計算結果!N467),"",計算結果!N467))</f>
        <v/>
      </c>
      <c r="O467" s="13" t="str">
        <f>IF(IF(ISNA(計算結果!O467),"",計算結果!O467)=0,"",IF(ISNA(計算結果!O467),"",計算結果!O467))</f>
        <v/>
      </c>
      <c r="P467" s="10" t="str">
        <f>IF(IF(ISNA(計算結果!P467),"",計算結果!P467)=0,"",IF(ISNA(計算結果!P467),"",計算結果!P467))</f>
        <v/>
      </c>
      <c r="Q467" s="10" t="str">
        <f>IF(IF(ISNA(計算結果!Q467),"",計算結果!Q467)=0,"",IF(ISNA(計算結果!Q467),"",計算結果!Q467))</f>
        <v/>
      </c>
      <c r="R467" s="14" t="str">
        <f t="shared" si="21"/>
        <v/>
      </c>
      <c r="S467" s="14" t="str">
        <f t="shared" si="22"/>
        <v>◯</v>
      </c>
      <c r="T467" s="14" t="str">
        <f t="shared" si="23"/>
        <v/>
      </c>
    </row>
    <row r="468" spans="1:20" hidden="1" x14ac:dyDescent="0.45">
      <c r="A468" s="10" t="str">
        <f>IF(IF(ISNA(計算結果!A468),"",計算結果!A468)=0,"",IF(ISNA(計算結果!A468),"",計算結果!A468))</f>
        <v/>
      </c>
      <c r="B468" s="10" t="str">
        <f>IF(IF(ISNA(計算結果!B468),"",計算結果!B468)=0,"",IF(ISNA(計算結果!B468),"",計算結果!B468))</f>
        <v/>
      </c>
      <c r="C468" s="10" t="str">
        <f>IF(IF(ISNA(計算結果!C468),"",計算結果!C468)=0,"",IF(ISNA(計算結果!C468),"",計算結果!C468))</f>
        <v/>
      </c>
      <c r="D468" s="10" t="str">
        <f>IF(IF(ISNA(計算結果!D468),"",計算結果!D468)=0,"",IF(ISNA(計算結果!D468),"",計算結果!D468))</f>
        <v>L</v>
      </c>
      <c r="E468" s="10" t="str">
        <f>IF(IF(ISNA(計算結果!E468),"",計算結果!E468)=0,"",IF(ISNA(計算結果!E468),"",計算結果!E468))</f>
        <v/>
      </c>
      <c r="F468" s="10" t="str">
        <f>IF(IF(ISNA(計算結果!F468),"",計算結果!F468)=0,"",IF(ISNA(計算結果!F468),"",計算結果!F468))</f>
        <v/>
      </c>
      <c r="G468" s="10" t="str">
        <f>IF(IF(ISNA(計算結果!G468),"",計算結果!G468)=0,"",IF(ISNA(計算結果!G468),"",計算結果!G468))</f>
        <v/>
      </c>
      <c r="H468" s="13">
        <f>IF(IF(ISNA(計算結果!H468),"",計算結果!H468)=0,"",IF(ISNA(計算結果!H468),"",計算結果!H468))</f>
        <v>-2</v>
      </c>
      <c r="I468" s="12" t="str">
        <f>IF(IF(ISNA(計算結果!I468),"",計算結果!I468)=0,"",IF(ISNA(計算結果!I468),"",計算結果!I468))</f>
        <v/>
      </c>
      <c r="J468" s="12" t="str">
        <f>IF(IF(ISNA(計算結果!J468),"",計算結果!J468)=0,"",IF(ISNA(計算結果!J468),"",計算結果!J468))</f>
        <v/>
      </c>
      <c r="K468" s="23" t="str">
        <f>IF(IF(ISNA(計算結果!K468),"",計算結果!K468)=0,"",IF(ISNA(計算結果!K468),"",計算結果!K468))</f>
        <v/>
      </c>
      <c r="L468" s="13" t="str">
        <f>IF(IF(ISNA(計算結果!L468),"",計算結果!L468)=0,"",IF(ISNA(計算結果!L468),"",計算結果!L468))</f>
        <v/>
      </c>
      <c r="M468" s="10" t="str">
        <f>IF(IF(ISNA(計算結果!M468),"",計算結果!M468)=0,"",IF(ISNA(計算結果!M468),"",計算結果!M468))</f>
        <v/>
      </c>
      <c r="N468" s="10" t="str">
        <f>IF(IF(ISNA(計算結果!N468),"",計算結果!N468)=0,"",IF(ISNA(計算結果!N468),"",計算結果!N468))</f>
        <v/>
      </c>
      <c r="O468" s="13" t="str">
        <f>IF(IF(ISNA(計算結果!O468),"",計算結果!O468)=0,"",IF(ISNA(計算結果!O468),"",計算結果!O468))</f>
        <v/>
      </c>
      <c r="P468" s="10" t="str">
        <f>IF(IF(ISNA(計算結果!P468),"",計算結果!P468)=0,"",IF(ISNA(計算結果!P468),"",計算結果!P468))</f>
        <v/>
      </c>
      <c r="Q468" s="10" t="str">
        <f>IF(IF(ISNA(計算結果!Q468),"",計算結果!Q468)=0,"",IF(ISNA(計算結果!Q468),"",計算結果!Q468))</f>
        <v/>
      </c>
      <c r="R468" s="14" t="str">
        <f t="shared" si="21"/>
        <v/>
      </c>
      <c r="S468" s="14" t="str">
        <f t="shared" si="22"/>
        <v>◯</v>
      </c>
      <c r="T468" s="14" t="str">
        <f t="shared" si="23"/>
        <v/>
      </c>
    </row>
    <row r="469" spans="1:20" hidden="1" x14ac:dyDescent="0.45">
      <c r="A469" s="10" t="str">
        <f>IF(IF(ISNA(計算結果!A469),"",計算結果!A469)=0,"",IF(ISNA(計算結果!A469),"",計算結果!A469))</f>
        <v/>
      </c>
      <c r="B469" s="10" t="str">
        <f>IF(IF(ISNA(計算結果!B469),"",計算結果!B469)=0,"",IF(ISNA(計算結果!B469),"",計算結果!B469))</f>
        <v/>
      </c>
      <c r="C469" s="10" t="str">
        <f>IF(IF(ISNA(計算結果!C469),"",計算結果!C469)=0,"",IF(ISNA(計算結果!C469),"",計算結果!C469))</f>
        <v/>
      </c>
      <c r="D469" s="10" t="str">
        <f>IF(IF(ISNA(計算結果!D469),"",計算結果!D469)=0,"",IF(ISNA(計算結果!D469),"",計算結果!D469))</f>
        <v>L</v>
      </c>
      <c r="E469" s="10" t="str">
        <f>IF(IF(ISNA(計算結果!E469),"",計算結果!E469)=0,"",IF(ISNA(計算結果!E469),"",計算結果!E469))</f>
        <v/>
      </c>
      <c r="F469" s="10" t="str">
        <f>IF(IF(ISNA(計算結果!F469),"",計算結果!F469)=0,"",IF(ISNA(計算結果!F469),"",計算結果!F469))</f>
        <v/>
      </c>
      <c r="G469" s="10" t="str">
        <f>IF(IF(ISNA(計算結果!G469),"",計算結果!G469)=0,"",IF(ISNA(計算結果!G469),"",計算結果!G469))</f>
        <v/>
      </c>
      <c r="H469" s="13">
        <f>IF(IF(ISNA(計算結果!H469),"",計算結果!H469)=0,"",IF(ISNA(計算結果!H469),"",計算結果!H469))</f>
        <v>-2</v>
      </c>
      <c r="I469" s="12" t="str">
        <f>IF(IF(ISNA(計算結果!I469),"",計算結果!I469)=0,"",IF(ISNA(計算結果!I469),"",計算結果!I469))</f>
        <v/>
      </c>
      <c r="J469" s="12" t="str">
        <f>IF(IF(ISNA(計算結果!J469),"",計算結果!J469)=0,"",IF(ISNA(計算結果!J469),"",計算結果!J469))</f>
        <v/>
      </c>
      <c r="K469" s="23" t="str">
        <f>IF(IF(ISNA(計算結果!K469),"",計算結果!K469)=0,"",IF(ISNA(計算結果!K469),"",計算結果!K469))</f>
        <v/>
      </c>
      <c r="L469" s="13" t="str">
        <f>IF(IF(ISNA(計算結果!L469),"",計算結果!L469)=0,"",IF(ISNA(計算結果!L469),"",計算結果!L469))</f>
        <v/>
      </c>
      <c r="M469" s="10" t="str">
        <f>IF(IF(ISNA(計算結果!M469),"",計算結果!M469)=0,"",IF(ISNA(計算結果!M469),"",計算結果!M469))</f>
        <v/>
      </c>
      <c r="N469" s="10" t="str">
        <f>IF(IF(ISNA(計算結果!N469),"",計算結果!N469)=0,"",IF(ISNA(計算結果!N469),"",計算結果!N469))</f>
        <v/>
      </c>
      <c r="O469" s="13" t="str">
        <f>IF(IF(ISNA(計算結果!O469),"",計算結果!O469)=0,"",IF(ISNA(計算結果!O469),"",計算結果!O469))</f>
        <v/>
      </c>
      <c r="P469" s="10" t="str">
        <f>IF(IF(ISNA(計算結果!P469),"",計算結果!P469)=0,"",IF(ISNA(計算結果!P469),"",計算結果!P469))</f>
        <v/>
      </c>
      <c r="Q469" s="10" t="str">
        <f>IF(IF(ISNA(計算結果!Q469),"",計算結果!Q469)=0,"",IF(ISNA(計算結果!Q469),"",計算結果!Q469))</f>
        <v/>
      </c>
      <c r="R469" s="14" t="str">
        <f t="shared" si="21"/>
        <v/>
      </c>
      <c r="S469" s="14" t="str">
        <f t="shared" si="22"/>
        <v>◯</v>
      </c>
      <c r="T469" s="14" t="str">
        <f t="shared" si="23"/>
        <v/>
      </c>
    </row>
    <row r="470" spans="1:20" hidden="1" x14ac:dyDescent="0.45">
      <c r="A470" s="10" t="str">
        <f>IF(IF(ISNA(計算結果!A470),"",計算結果!A470)=0,"",IF(ISNA(計算結果!A470),"",計算結果!A470))</f>
        <v/>
      </c>
      <c r="B470" s="10" t="str">
        <f>IF(IF(ISNA(計算結果!B470),"",計算結果!B470)=0,"",IF(ISNA(計算結果!B470),"",計算結果!B470))</f>
        <v/>
      </c>
      <c r="C470" s="10" t="str">
        <f>IF(IF(ISNA(計算結果!C470),"",計算結果!C470)=0,"",IF(ISNA(計算結果!C470),"",計算結果!C470))</f>
        <v/>
      </c>
      <c r="D470" s="10" t="str">
        <f>IF(IF(ISNA(計算結果!D470),"",計算結果!D470)=0,"",IF(ISNA(計算結果!D470),"",計算結果!D470))</f>
        <v>L</v>
      </c>
      <c r="E470" s="10" t="str">
        <f>IF(IF(ISNA(計算結果!E470),"",計算結果!E470)=0,"",IF(ISNA(計算結果!E470),"",計算結果!E470))</f>
        <v/>
      </c>
      <c r="F470" s="10" t="str">
        <f>IF(IF(ISNA(計算結果!F470),"",計算結果!F470)=0,"",IF(ISNA(計算結果!F470),"",計算結果!F470))</f>
        <v/>
      </c>
      <c r="G470" s="10" t="str">
        <f>IF(IF(ISNA(計算結果!G470),"",計算結果!G470)=0,"",IF(ISNA(計算結果!G470),"",計算結果!G470))</f>
        <v/>
      </c>
      <c r="H470" s="13">
        <f>IF(IF(ISNA(計算結果!H470),"",計算結果!H470)=0,"",IF(ISNA(計算結果!H470),"",計算結果!H470))</f>
        <v>-2</v>
      </c>
      <c r="I470" s="12" t="str">
        <f>IF(IF(ISNA(計算結果!I470),"",計算結果!I470)=0,"",IF(ISNA(計算結果!I470),"",計算結果!I470))</f>
        <v/>
      </c>
      <c r="J470" s="12" t="str">
        <f>IF(IF(ISNA(計算結果!J470),"",計算結果!J470)=0,"",IF(ISNA(計算結果!J470),"",計算結果!J470))</f>
        <v/>
      </c>
      <c r="K470" s="23" t="str">
        <f>IF(IF(ISNA(計算結果!K470),"",計算結果!K470)=0,"",IF(ISNA(計算結果!K470),"",計算結果!K470))</f>
        <v/>
      </c>
      <c r="L470" s="13" t="str">
        <f>IF(IF(ISNA(計算結果!L470),"",計算結果!L470)=0,"",IF(ISNA(計算結果!L470),"",計算結果!L470))</f>
        <v/>
      </c>
      <c r="M470" s="10" t="str">
        <f>IF(IF(ISNA(計算結果!M470),"",計算結果!M470)=0,"",IF(ISNA(計算結果!M470),"",計算結果!M470))</f>
        <v/>
      </c>
      <c r="N470" s="10" t="str">
        <f>IF(IF(ISNA(計算結果!N470),"",計算結果!N470)=0,"",IF(ISNA(計算結果!N470),"",計算結果!N470))</f>
        <v/>
      </c>
      <c r="O470" s="13" t="str">
        <f>IF(IF(ISNA(計算結果!O470),"",計算結果!O470)=0,"",IF(ISNA(計算結果!O470),"",計算結果!O470))</f>
        <v/>
      </c>
      <c r="P470" s="10" t="str">
        <f>IF(IF(ISNA(計算結果!P470),"",計算結果!P470)=0,"",IF(ISNA(計算結果!P470),"",計算結果!P470))</f>
        <v/>
      </c>
      <c r="Q470" s="10" t="str">
        <f>IF(IF(ISNA(計算結果!Q470),"",計算結果!Q470)=0,"",IF(ISNA(計算結果!Q470),"",計算結果!Q470))</f>
        <v/>
      </c>
      <c r="R470" s="14" t="str">
        <f t="shared" si="21"/>
        <v/>
      </c>
      <c r="S470" s="14" t="str">
        <f t="shared" si="22"/>
        <v>◯</v>
      </c>
      <c r="T470" s="14" t="str">
        <f t="shared" si="23"/>
        <v/>
      </c>
    </row>
    <row r="471" spans="1:20" hidden="1" x14ac:dyDescent="0.45">
      <c r="A471" s="10" t="str">
        <f>IF(IF(ISNA(計算結果!A471),"",計算結果!A471)=0,"",IF(ISNA(計算結果!A471),"",計算結果!A471))</f>
        <v/>
      </c>
      <c r="B471" s="10" t="str">
        <f>IF(IF(ISNA(計算結果!B471),"",計算結果!B471)=0,"",IF(ISNA(計算結果!B471),"",計算結果!B471))</f>
        <v/>
      </c>
      <c r="C471" s="10" t="str">
        <f>IF(IF(ISNA(計算結果!C471),"",計算結果!C471)=0,"",IF(ISNA(計算結果!C471),"",計算結果!C471))</f>
        <v/>
      </c>
      <c r="D471" s="10" t="str">
        <f>IF(IF(ISNA(計算結果!D471),"",計算結果!D471)=0,"",IF(ISNA(計算結果!D471),"",計算結果!D471))</f>
        <v>L</v>
      </c>
      <c r="E471" s="10" t="str">
        <f>IF(IF(ISNA(計算結果!E471),"",計算結果!E471)=0,"",IF(ISNA(計算結果!E471),"",計算結果!E471))</f>
        <v/>
      </c>
      <c r="F471" s="10" t="str">
        <f>IF(IF(ISNA(計算結果!F471),"",計算結果!F471)=0,"",IF(ISNA(計算結果!F471),"",計算結果!F471))</f>
        <v/>
      </c>
      <c r="G471" s="10" t="str">
        <f>IF(IF(ISNA(計算結果!G471),"",計算結果!G471)=0,"",IF(ISNA(計算結果!G471),"",計算結果!G471))</f>
        <v/>
      </c>
      <c r="H471" s="13">
        <f>IF(IF(ISNA(計算結果!H471),"",計算結果!H471)=0,"",IF(ISNA(計算結果!H471),"",計算結果!H471))</f>
        <v>-2</v>
      </c>
      <c r="I471" s="12" t="str">
        <f>IF(IF(ISNA(計算結果!I471),"",計算結果!I471)=0,"",IF(ISNA(計算結果!I471),"",計算結果!I471))</f>
        <v/>
      </c>
      <c r="J471" s="12" t="str">
        <f>IF(IF(ISNA(計算結果!J471),"",計算結果!J471)=0,"",IF(ISNA(計算結果!J471),"",計算結果!J471))</f>
        <v/>
      </c>
      <c r="K471" s="23" t="str">
        <f>IF(IF(ISNA(計算結果!K471),"",計算結果!K471)=0,"",IF(ISNA(計算結果!K471),"",計算結果!K471))</f>
        <v/>
      </c>
      <c r="L471" s="13" t="str">
        <f>IF(IF(ISNA(計算結果!L471),"",計算結果!L471)=0,"",IF(ISNA(計算結果!L471),"",計算結果!L471))</f>
        <v/>
      </c>
      <c r="M471" s="10" t="str">
        <f>IF(IF(ISNA(計算結果!M471),"",計算結果!M471)=0,"",IF(ISNA(計算結果!M471),"",計算結果!M471))</f>
        <v/>
      </c>
      <c r="N471" s="10" t="str">
        <f>IF(IF(ISNA(計算結果!N471),"",計算結果!N471)=0,"",IF(ISNA(計算結果!N471),"",計算結果!N471))</f>
        <v/>
      </c>
      <c r="O471" s="13" t="str">
        <f>IF(IF(ISNA(計算結果!O471),"",計算結果!O471)=0,"",IF(ISNA(計算結果!O471),"",計算結果!O471))</f>
        <v/>
      </c>
      <c r="P471" s="10" t="str">
        <f>IF(IF(ISNA(計算結果!P471),"",計算結果!P471)=0,"",IF(ISNA(計算結果!P471),"",計算結果!P471))</f>
        <v/>
      </c>
      <c r="Q471" s="10" t="str">
        <f>IF(IF(ISNA(計算結果!Q471),"",計算結果!Q471)=0,"",IF(ISNA(計算結果!Q471),"",計算結果!Q471))</f>
        <v/>
      </c>
      <c r="R471" s="14" t="str">
        <f t="shared" si="21"/>
        <v/>
      </c>
      <c r="S471" s="14" t="str">
        <f t="shared" si="22"/>
        <v>◯</v>
      </c>
      <c r="T471" s="14" t="str">
        <f t="shared" si="23"/>
        <v/>
      </c>
    </row>
    <row r="472" spans="1:20" hidden="1" x14ac:dyDescent="0.45">
      <c r="A472" s="10" t="str">
        <f>IF(IF(ISNA(計算結果!A472),"",計算結果!A472)=0,"",IF(ISNA(計算結果!A472),"",計算結果!A472))</f>
        <v/>
      </c>
      <c r="B472" s="10" t="str">
        <f>IF(IF(ISNA(計算結果!B472),"",計算結果!B472)=0,"",IF(ISNA(計算結果!B472),"",計算結果!B472))</f>
        <v/>
      </c>
      <c r="C472" s="10" t="str">
        <f>IF(IF(ISNA(計算結果!C472),"",計算結果!C472)=0,"",IF(ISNA(計算結果!C472),"",計算結果!C472))</f>
        <v/>
      </c>
      <c r="D472" s="10" t="str">
        <f>IF(IF(ISNA(計算結果!D472),"",計算結果!D472)=0,"",IF(ISNA(計算結果!D472),"",計算結果!D472))</f>
        <v>L</v>
      </c>
      <c r="E472" s="10" t="str">
        <f>IF(IF(ISNA(計算結果!E472),"",計算結果!E472)=0,"",IF(ISNA(計算結果!E472),"",計算結果!E472))</f>
        <v/>
      </c>
      <c r="F472" s="10" t="str">
        <f>IF(IF(ISNA(計算結果!F472),"",計算結果!F472)=0,"",IF(ISNA(計算結果!F472),"",計算結果!F472))</f>
        <v/>
      </c>
      <c r="G472" s="10" t="str">
        <f>IF(IF(ISNA(計算結果!G472),"",計算結果!G472)=0,"",IF(ISNA(計算結果!G472),"",計算結果!G472))</f>
        <v/>
      </c>
      <c r="H472" s="13">
        <f>IF(IF(ISNA(計算結果!H472),"",計算結果!H472)=0,"",IF(ISNA(計算結果!H472),"",計算結果!H472))</f>
        <v>-2</v>
      </c>
      <c r="I472" s="12" t="str">
        <f>IF(IF(ISNA(計算結果!I472),"",計算結果!I472)=0,"",IF(ISNA(計算結果!I472),"",計算結果!I472))</f>
        <v/>
      </c>
      <c r="J472" s="12" t="str">
        <f>IF(IF(ISNA(計算結果!J472),"",計算結果!J472)=0,"",IF(ISNA(計算結果!J472),"",計算結果!J472))</f>
        <v/>
      </c>
      <c r="K472" s="23" t="str">
        <f>IF(IF(ISNA(計算結果!K472),"",計算結果!K472)=0,"",IF(ISNA(計算結果!K472),"",計算結果!K472))</f>
        <v/>
      </c>
      <c r="L472" s="13" t="str">
        <f>IF(IF(ISNA(計算結果!L472),"",計算結果!L472)=0,"",IF(ISNA(計算結果!L472),"",計算結果!L472))</f>
        <v/>
      </c>
      <c r="M472" s="10" t="str">
        <f>IF(IF(ISNA(計算結果!M472),"",計算結果!M472)=0,"",IF(ISNA(計算結果!M472),"",計算結果!M472))</f>
        <v/>
      </c>
      <c r="N472" s="10" t="str">
        <f>IF(IF(ISNA(計算結果!N472),"",計算結果!N472)=0,"",IF(ISNA(計算結果!N472),"",計算結果!N472))</f>
        <v/>
      </c>
      <c r="O472" s="13" t="str">
        <f>IF(IF(ISNA(計算結果!O472),"",計算結果!O472)=0,"",IF(ISNA(計算結果!O472),"",計算結果!O472))</f>
        <v/>
      </c>
      <c r="P472" s="10" t="str">
        <f>IF(IF(ISNA(計算結果!P472),"",計算結果!P472)=0,"",IF(ISNA(計算結果!P472),"",計算結果!P472))</f>
        <v/>
      </c>
      <c r="Q472" s="10" t="str">
        <f>IF(IF(ISNA(計算結果!Q472),"",計算結果!Q472)=0,"",IF(ISNA(計算結果!Q472),"",計算結果!Q472))</f>
        <v/>
      </c>
      <c r="R472" s="14" t="str">
        <f t="shared" si="21"/>
        <v/>
      </c>
      <c r="S472" s="14" t="str">
        <f t="shared" si="22"/>
        <v>◯</v>
      </c>
      <c r="T472" s="14" t="str">
        <f t="shared" si="23"/>
        <v/>
      </c>
    </row>
    <row r="473" spans="1:20" hidden="1" x14ac:dyDescent="0.45">
      <c r="A473" s="10" t="str">
        <f>IF(IF(ISNA(計算結果!A473),"",計算結果!A473)=0,"",IF(ISNA(計算結果!A473),"",計算結果!A473))</f>
        <v/>
      </c>
      <c r="B473" s="10" t="str">
        <f>IF(IF(ISNA(計算結果!B473),"",計算結果!B473)=0,"",IF(ISNA(計算結果!B473),"",計算結果!B473))</f>
        <v/>
      </c>
      <c r="C473" s="10" t="str">
        <f>IF(IF(ISNA(計算結果!C473),"",計算結果!C473)=0,"",IF(ISNA(計算結果!C473),"",計算結果!C473))</f>
        <v/>
      </c>
      <c r="D473" s="10" t="str">
        <f>IF(IF(ISNA(計算結果!D473),"",計算結果!D473)=0,"",IF(ISNA(計算結果!D473),"",計算結果!D473))</f>
        <v>L</v>
      </c>
      <c r="E473" s="10" t="str">
        <f>IF(IF(ISNA(計算結果!E473),"",計算結果!E473)=0,"",IF(ISNA(計算結果!E473),"",計算結果!E473))</f>
        <v/>
      </c>
      <c r="F473" s="10" t="str">
        <f>IF(IF(ISNA(計算結果!F473),"",計算結果!F473)=0,"",IF(ISNA(計算結果!F473),"",計算結果!F473))</f>
        <v/>
      </c>
      <c r="G473" s="10" t="str">
        <f>IF(IF(ISNA(計算結果!G473),"",計算結果!G473)=0,"",IF(ISNA(計算結果!G473),"",計算結果!G473))</f>
        <v/>
      </c>
      <c r="H473" s="13">
        <f>IF(IF(ISNA(計算結果!H473),"",計算結果!H473)=0,"",IF(ISNA(計算結果!H473),"",計算結果!H473))</f>
        <v>-2</v>
      </c>
      <c r="I473" s="12" t="str">
        <f>IF(IF(ISNA(計算結果!I473),"",計算結果!I473)=0,"",IF(ISNA(計算結果!I473),"",計算結果!I473))</f>
        <v/>
      </c>
      <c r="J473" s="12" t="str">
        <f>IF(IF(ISNA(計算結果!J473),"",計算結果!J473)=0,"",IF(ISNA(計算結果!J473),"",計算結果!J473))</f>
        <v/>
      </c>
      <c r="K473" s="23" t="str">
        <f>IF(IF(ISNA(計算結果!K473),"",計算結果!K473)=0,"",IF(ISNA(計算結果!K473),"",計算結果!K473))</f>
        <v/>
      </c>
      <c r="L473" s="13" t="str">
        <f>IF(IF(ISNA(計算結果!L473),"",計算結果!L473)=0,"",IF(ISNA(計算結果!L473),"",計算結果!L473))</f>
        <v/>
      </c>
      <c r="M473" s="10" t="str">
        <f>IF(IF(ISNA(計算結果!M473),"",計算結果!M473)=0,"",IF(ISNA(計算結果!M473),"",計算結果!M473))</f>
        <v/>
      </c>
      <c r="N473" s="10" t="str">
        <f>IF(IF(ISNA(計算結果!N473),"",計算結果!N473)=0,"",IF(ISNA(計算結果!N473),"",計算結果!N473))</f>
        <v/>
      </c>
      <c r="O473" s="13" t="str">
        <f>IF(IF(ISNA(計算結果!O473),"",計算結果!O473)=0,"",IF(ISNA(計算結果!O473),"",計算結果!O473))</f>
        <v/>
      </c>
      <c r="P473" s="10" t="str">
        <f>IF(IF(ISNA(計算結果!P473),"",計算結果!P473)=0,"",IF(ISNA(計算結果!P473),"",計算結果!P473))</f>
        <v/>
      </c>
      <c r="Q473" s="10" t="str">
        <f>IF(IF(ISNA(計算結果!Q473),"",計算結果!Q473)=0,"",IF(ISNA(計算結果!Q473),"",計算結果!Q473))</f>
        <v/>
      </c>
      <c r="R473" s="14" t="str">
        <f t="shared" si="21"/>
        <v/>
      </c>
      <c r="S473" s="14" t="str">
        <f t="shared" si="22"/>
        <v>◯</v>
      </c>
      <c r="T473" s="14" t="str">
        <f t="shared" si="23"/>
        <v/>
      </c>
    </row>
    <row r="474" spans="1:20" hidden="1" x14ac:dyDescent="0.45">
      <c r="A474" s="10" t="str">
        <f>IF(IF(ISNA(計算結果!A474),"",計算結果!A474)=0,"",IF(ISNA(計算結果!A474),"",計算結果!A474))</f>
        <v/>
      </c>
      <c r="B474" s="10" t="str">
        <f>IF(IF(ISNA(計算結果!B474),"",計算結果!B474)=0,"",IF(ISNA(計算結果!B474),"",計算結果!B474))</f>
        <v/>
      </c>
      <c r="C474" s="10" t="str">
        <f>IF(IF(ISNA(計算結果!C474),"",計算結果!C474)=0,"",IF(ISNA(計算結果!C474),"",計算結果!C474))</f>
        <v/>
      </c>
      <c r="D474" s="10" t="str">
        <f>IF(IF(ISNA(計算結果!D474),"",計算結果!D474)=0,"",IF(ISNA(計算結果!D474),"",計算結果!D474))</f>
        <v>L</v>
      </c>
      <c r="E474" s="10" t="str">
        <f>IF(IF(ISNA(計算結果!E474),"",計算結果!E474)=0,"",IF(ISNA(計算結果!E474),"",計算結果!E474))</f>
        <v/>
      </c>
      <c r="F474" s="10" t="str">
        <f>IF(IF(ISNA(計算結果!F474),"",計算結果!F474)=0,"",IF(ISNA(計算結果!F474),"",計算結果!F474))</f>
        <v/>
      </c>
      <c r="G474" s="10" t="str">
        <f>IF(IF(ISNA(計算結果!G474),"",計算結果!G474)=0,"",IF(ISNA(計算結果!G474),"",計算結果!G474))</f>
        <v/>
      </c>
      <c r="H474" s="13">
        <f>IF(IF(ISNA(計算結果!H474),"",計算結果!H474)=0,"",IF(ISNA(計算結果!H474),"",計算結果!H474))</f>
        <v>-2</v>
      </c>
      <c r="I474" s="12" t="str">
        <f>IF(IF(ISNA(計算結果!I474),"",計算結果!I474)=0,"",IF(ISNA(計算結果!I474),"",計算結果!I474))</f>
        <v/>
      </c>
      <c r="J474" s="12" t="str">
        <f>IF(IF(ISNA(計算結果!J474),"",計算結果!J474)=0,"",IF(ISNA(計算結果!J474),"",計算結果!J474))</f>
        <v/>
      </c>
      <c r="K474" s="23" t="str">
        <f>IF(IF(ISNA(計算結果!K474),"",計算結果!K474)=0,"",IF(ISNA(計算結果!K474),"",計算結果!K474))</f>
        <v/>
      </c>
      <c r="L474" s="13" t="str">
        <f>IF(IF(ISNA(計算結果!L474),"",計算結果!L474)=0,"",IF(ISNA(計算結果!L474),"",計算結果!L474))</f>
        <v/>
      </c>
      <c r="M474" s="10" t="str">
        <f>IF(IF(ISNA(計算結果!M474),"",計算結果!M474)=0,"",IF(ISNA(計算結果!M474),"",計算結果!M474))</f>
        <v/>
      </c>
      <c r="N474" s="10" t="str">
        <f>IF(IF(ISNA(計算結果!N474),"",計算結果!N474)=0,"",IF(ISNA(計算結果!N474),"",計算結果!N474))</f>
        <v/>
      </c>
      <c r="O474" s="13" t="str">
        <f>IF(IF(ISNA(計算結果!O474),"",計算結果!O474)=0,"",IF(ISNA(計算結果!O474),"",計算結果!O474))</f>
        <v/>
      </c>
      <c r="P474" s="10" t="str">
        <f>IF(IF(ISNA(計算結果!P474),"",計算結果!P474)=0,"",IF(ISNA(計算結果!P474),"",計算結果!P474))</f>
        <v/>
      </c>
      <c r="Q474" s="10" t="str">
        <f>IF(IF(ISNA(計算結果!Q474),"",計算結果!Q474)=0,"",IF(ISNA(計算結果!Q474),"",計算結果!Q474))</f>
        <v/>
      </c>
      <c r="R474" s="14" t="str">
        <f t="shared" si="21"/>
        <v/>
      </c>
      <c r="S474" s="14" t="str">
        <f t="shared" si="22"/>
        <v>◯</v>
      </c>
      <c r="T474" s="14" t="str">
        <f t="shared" si="23"/>
        <v/>
      </c>
    </row>
    <row r="475" spans="1:20" hidden="1" x14ac:dyDescent="0.45">
      <c r="A475" s="10" t="str">
        <f>IF(IF(ISNA(計算結果!A475),"",計算結果!A475)=0,"",IF(ISNA(計算結果!A475),"",計算結果!A475))</f>
        <v/>
      </c>
      <c r="B475" s="10" t="str">
        <f>IF(IF(ISNA(計算結果!B475),"",計算結果!B475)=0,"",IF(ISNA(計算結果!B475),"",計算結果!B475))</f>
        <v/>
      </c>
      <c r="C475" s="10" t="str">
        <f>IF(IF(ISNA(計算結果!C475),"",計算結果!C475)=0,"",IF(ISNA(計算結果!C475),"",計算結果!C475))</f>
        <v/>
      </c>
      <c r="D475" s="10" t="str">
        <f>IF(IF(ISNA(計算結果!D475),"",計算結果!D475)=0,"",IF(ISNA(計算結果!D475),"",計算結果!D475))</f>
        <v>L</v>
      </c>
      <c r="E475" s="10" t="str">
        <f>IF(IF(ISNA(計算結果!E475),"",計算結果!E475)=0,"",IF(ISNA(計算結果!E475),"",計算結果!E475))</f>
        <v/>
      </c>
      <c r="F475" s="10" t="str">
        <f>IF(IF(ISNA(計算結果!F475),"",計算結果!F475)=0,"",IF(ISNA(計算結果!F475),"",計算結果!F475))</f>
        <v/>
      </c>
      <c r="G475" s="10" t="str">
        <f>IF(IF(ISNA(計算結果!G475),"",計算結果!G475)=0,"",IF(ISNA(計算結果!G475),"",計算結果!G475))</f>
        <v/>
      </c>
      <c r="H475" s="13">
        <f>IF(IF(ISNA(計算結果!H475),"",計算結果!H475)=0,"",IF(ISNA(計算結果!H475),"",計算結果!H475))</f>
        <v>-2</v>
      </c>
      <c r="I475" s="12" t="str">
        <f>IF(IF(ISNA(計算結果!I475),"",計算結果!I475)=0,"",IF(ISNA(計算結果!I475),"",計算結果!I475))</f>
        <v/>
      </c>
      <c r="J475" s="12" t="str">
        <f>IF(IF(ISNA(計算結果!J475),"",計算結果!J475)=0,"",IF(ISNA(計算結果!J475),"",計算結果!J475))</f>
        <v/>
      </c>
      <c r="K475" s="23" t="str">
        <f>IF(IF(ISNA(計算結果!K475),"",計算結果!K475)=0,"",IF(ISNA(計算結果!K475),"",計算結果!K475))</f>
        <v/>
      </c>
      <c r="L475" s="13" t="str">
        <f>IF(IF(ISNA(計算結果!L475),"",計算結果!L475)=0,"",IF(ISNA(計算結果!L475),"",計算結果!L475))</f>
        <v/>
      </c>
      <c r="M475" s="10" t="str">
        <f>IF(IF(ISNA(計算結果!M475),"",計算結果!M475)=0,"",IF(ISNA(計算結果!M475),"",計算結果!M475))</f>
        <v/>
      </c>
      <c r="N475" s="10" t="str">
        <f>IF(IF(ISNA(計算結果!N475),"",計算結果!N475)=0,"",IF(ISNA(計算結果!N475),"",計算結果!N475))</f>
        <v/>
      </c>
      <c r="O475" s="13" t="str">
        <f>IF(IF(ISNA(計算結果!O475),"",計算結果!O475)=0,"",IF(ISNA(計算結果!O475),"",計算結果!O475))</f>
        <v/>
      </c>
      <c r="P475" s="10" t="str">
        <f>IF(IF(ISNA(計算結果!P475),"",計算結果!P475)=0,"",IF(ISNA(計算結果!P475),"",計算結果!P475))</f>
        <v/>
      </c>
      <c r="Q475" s="10" t="str">
        <f>IF(IF(ISNA(計算結果!Q475),"",計算結果!Q475)=0,"",IF(ISNA(計算結果!Q475),"",計算結果!Q475))</f>
        <v/>
      </c>
      <c r="R475" s="14" t="str">
        <f t="shared" si="21"/>
        <v/>
      </c>
      <c r="S475" s="14" t="str">
        <f t="shared" si="22"/>
        <v>◯</v>
      </c>
      <c r="T475" s="14" t="str">
        <f t="shared" si="23"/>
        <v/>
      </c>
    </row>
    <row r="476" spans="1:20" hidden="1" x14ac:dyDescent="0.45">
      <c r="A476" s="10" t="str">
        <f>IF(IF(ISNA(計算結果!A476),"",計算結果!A476)=0,"",IF(ISNA(計算結果!A476),"",計算結果!A476))</f>
        <v/>
      </c>
      <c r="B476" s="10" t="str">
        <f>IF(IF(ISNA(計算結果!B476),"",計算結果!B476)=0,"",IF(ISNA(計算結果!B476),"",計算結果!B476))</f>
        <v/>
      </c>
      <c r="C476" s="10" t="str">
        <f>IF(IF(ISNA(計算結果!C476),"",計算結果!C476)=0,"",IF(ISNA(計算結果!C476),"",計算結果!C476))</f>
        <v/>
      </c>
      <c r="D476" s="10" t="str">
        <f>IF(IF(ISNA(計算結果!D476),"",計算結果!D476)=0,"",IF(ISNA(計算結果!D476),"",計算結果!D476))</f>
        <v>L</v>
      </c>
      <c r="E476" s="10" t="str">
        <f>IF(IF(ISNA(計算結果!E476),"",計算結果!E476)=0,"",IF(ISNA(計算結果!E476),"",計算結果!E476))</f>
        <v/>
      </c>
      <c r="F476" s="10" t="str">
        <f>IF(IF(ISNA(計算結果!F476),"",計算結果!F476)=0,"",IF(ISNA(計算結果!F476),"",計算結果!F476))</f>
        <v/>
      </c>
      <c r="G476" s="10" t="str">
        <f>IF(IF(ISNA(計算結果!G476),"",計算結果!G476)=0,"",IF(ISNA(計算結果!G476),"",計算結果!G476))</f>
        <v/>
      </c>
      <c r="H476" s="13">
        <f>IF(IF(ISNA(計算結果!H476),"",計算結果!H476)=0,"",IF(ISNA(計算結果!H476),"",計算結果!H476))</f>
        <v>-2</v>
      </c>
      <c r="I476" s="12" t="str">
        <f>IF(IF(ISNA(計算結果!I476),"",計算結果!I476)=0,"",IF(ISNA(計算結果!I476),"",計算結果!I476))</f>
        <v/>
      </c>
      <c r="J476" s="12" t="str">
        <f>IF(IF(ISNA(計算結果!J476),"",計算結果!J476)=0,"",IF(ISNA(計算結果!J476),"",計算結果!J476))</f>
        <v/>
      </c>
      <c r="K476" s="23" t="str">
        <f>IF(IF(ISNA(計算結果!K476),"",計算結果!K476)=0,"",IF(ISNA(計算結果!K476),"",計算結果!K476))</f>
        <v/>
      </c>
      <c r="L476" s="13" t="str">
        <f>IF(IF(ISNA(計算結果!L476),"",計算結果!L476)=0,"",IF(ISNA(計算結果!L476),"",計算結果!L476))</f>
        <v/>
      </c>
      <c r="M476" s="10" t="str">
        <f>IF(IF(ISNA(計算結果!M476),"",計算結果!M476)=0,"",IF(ISNA(計算結果!M476),"",計算結果!M476))</f>
        <v/>
      </c>
      <c r="N476" s="10" t="str">
        <f>IF(IF(ISNA(計算結果!N476),"",計算結果!N476)=0,"",IF(ISNA(計算結果!N476),"",計算結果!N476))</f>
        <v/>
      </c>
      <c r="O476" s="13" t="str">
        <f>IF(IF(ISNA(計算結果!O476),"",計算結果!O476)=0,"",IF(ISNA(計算結果!O476),"",計算結果!O476))</f>
        <v/>
      </c>
      <c r="P476" s="10" t="str">
        <f>IF(IF(ISNA(計算結果!P476),"",計算結果!P476)=0,"",IF(ISNA(計算結果!P476),"",計算結果!P476))</f>
        <v/>
      </c>
      <c r="Q476" s="10" t="str">
        <f>IF(IF(ISNA(計算結果!Q476),"",計算結果!Q476)=0,"",IF(ISNA(計算結果!Q476),"",計算結果!Q476))</f>
        <v/>
      </c>
      <c r="R476" s="14" t="str">
        <f t="shared" si="21"/>
        <v/>
      </c>
      <c r="S476" s="14" t="str">
        <f t="shared" si="22"/>
        <v>◯</v>
      </c>
      <c r="T476" s="14" t="str">
        <f t="shared" si="23"/>
        <v/>
      </c>
    </row>
    <row r="477" spans="1:20" hidden="1" x14ac:dyDescent="0.45">
      <c r="A477" s="10" t="str">
        <f>IF(IF(ISNA(計算結果!A477),"",計算結果!A477)=0,"",IF(ISNA(計算結果!A477),"",計算結果!A477))</f>
        <v/>
      </c>
      <c r="B477" s="10" t="str">
        <f>IF(IF(ISNA(計算結果!B477),"",計算結果!B477)=0,"",IF(ISNA(計算結果!B477),"",計算結果!B477))</f>
        <v/>
      </c>
      <c r="C477" s="10" t="str">
        <f>IF(IF(ISNA(計算結果!C477),"",計算結果!C477)=0,"",IF(ISNA(計算結果!C477),"",計算結果!C477))</f>
        <v/>
      </c>
      <c r="D477" s="10" t="str">
        <f>IF(IF(ISNA(計算結果!D477),"",計算結果!D477)=0,"",IF(ISNA(計算結果!D477),"",計算結果!D477))</f>
        <v>L</v>
      </c>
      <c r="E477" s="10" t="str">
        <f>IF(IF(ISNA(計算結果!E477),"",計算結果!E477)=0,"",IF(ISNA(計算結果!E477),"",計算結果!E477))</f>
        <v/>
      </c>
      <c r="F477" s="10" t="str">
        <f>IF(IF(ISNA(計算結果!F477),"",計算結果!F477)=0,"",IF(ISNA(計算結果!F477),"",計算結果!F477))</f>
        <v/>
      </c>
      <c r="G477" s="10" t="str">
        <f>IF(IF(ISNA(計算結果!G477),"",計算結果!G477)=0,"",IF(ISNA(計算結果!G477),"",計算結果!G477))</f>
        <v/>
      </c>
      <c r="H477" s="13">
        <f>IF(IF(ISNA(計算結果!H477),"",計算結果!H477)=0,"",IF(ISNA(計算結果!H477),"",計算結果!H477))</f>
        <v>-2</v>
      </c>
      <c r="I477" s="12" t="str">
        <f>IF(IF(ISNA(計算結果!I477),"",計算結果!I477)=0,"",IF(ISNA(計算結果!I477),"",計算結果!I477))</f>
        <v/>
      </c>
      <c r="J477" s="12" t="str">
        <f>IF(IF(ISNA(計算結果!J477),"",計算結果!J477)=0,"",IF(ISNA(計算結果!J477),"",計算結果!J477))</f>
        <v/>
      </c>
      <c r="K477" s="23" t="str">
        <f>IF(IF(ISNA(計算結果!K477),"",計算結果!K477)=0,"",IF(ISNA(計算結果!K477),"",計算結果!K477))</f>
        <v/>
      </c>
      <c r="L477" s="13" t="str">
        <f>IF(IF(ISNA(計算結果!L477),"",計算結果!L477)=0,"",IF(ISNA(計算結果!L477),"",計算結果!L477))</f>
        <v/>
      </c>
      <c r="M477" s="10" t="str">
        <f>IF(IF(ISNA(計算結果!M477),"",計算結果!M477)=0,"",IF(ISNA(計算結果!M477),"",計算結果!M477))</f>
        <v/>
      </c>
      <c r="N477" s="10" t="str">
        <f>IF(IF(ISNA(計算結果!N477),"",計算結果!N477)=0,"",IF(ISNA(計算結果!N477),"",計算結果!N477))</f>
        <v/>
      </c>
      <c r="O477" s="13" t="str">
        <f>IF(IF(ISNA(計算結果!O477),"",計算結果!O477)=0,"",IF(ISNA(計算結果!O477),"",計算結果!O477))</f>
        <v/>
      </c>
      <c r="P477" s="10" t="str">
        <f>IF(IF(ISNA(計算結果!P477),"",計算結果!P477)=0,"",IF(ISNA(計算結果!P477),"",計算結果!P477))</f>
        <v/>
      </c>
      <c r="Q477" s="10" t="str">
        <f>IF(IF(ISNA(計算結果!Q477),"",計算結果!Q477)=0,"",IF(ISNA(計算結果!Q477),"",計算結果!Q477))</f>
        <v/>
      </c>
      <c r="R477" s="14" t="str">
        <f t="shared" si="21"/>
        <v/>
      </c>
      <c r="S477" s="14" t="str">
        <f t="shared" si="22"/>
        <v>◯</v>
      </c>
      <c r="T477" s="14" t="str">
        <f t="shared" si="23"/>
        <v/>
      </c>
    </row>
    <row r="478" spans="1:20" hidden="1" x14ac:dyDescent="0.45">
      <c r="A478" s="10" t="str">
        <f>IF(IF(ISNA(計算結果!A478),"",計算結果!A478)=0,"",IF(ISNA(計算結果!A478),"",計算結果!A478))</f>
        <v/>
      </c>
      <c r="B478" s="10" t="str">
        <f>IF(IF(ISNA(計算結果!B478),"",計算結果!B478)=0,"",IF(ISNA(計算結果!B478),"",計算結果!B478))</f>
        <v/>
      </c>
      <c r="C478" s="10" t="str">
        <f>IF(IF(ISNA(計算結果!C478),"",計算結果!C478)=0,"",IF(ISNA(計算結果!C478),"",計算結果!C478))</f>
        <v/>
      </c>
      <c r="D478" s="10" t="str">
        <f>IF(IF(ISNA(計算結果!D478),"",計算結果!D478)=0,"",IF(ISNA(計算結果!D478),"",計算結果!D478))</f>
        <v>L</v>
      </c>
      <c r="E478" s="10" t="str">
        <f>IF(IF(ISNA(計算結果!E478),"",計算結果!E478)=0,"",IF(ISNA(計算結果!E478),"",計算結果!E478))</f>
        <v/>
      </c>
      <c r="F478" s="10" t="str">
        <f>IF(IF(ISNA(計算結果!F478),"",計算結果!F478)=0,"",IF(ISNA(計算結果!F478),"",計算結果!F478))</f>
        <v/>
      </c>
      <c r="G478" s="10" t="str">
        <f>IF(IF(ISNA(計算結果!G478),"",計算結果!G478)=0,"",IF(ISNA(計算結果!G478),"",計算結果!G478))</f>
        <v/>
      </c>
      <c r="H478" s="13">
        <f>IF(IF(ISNA(計算結果!H478),"",計算結果!H478)=0,"",IF(ISNA(計算結果!H478),"",計算結果!H478))</f>
        <v>-2</v>
      </c>
      <c r="I478" s="12" t="str">
        <f>IF(IF(ISNA(計算結果!I478),"",計算結果!I478)=0,"",IF(ISNA(計算結果!I478),"",計算結果!I478))</f>
        <v/>
      </c>
      <c r="J478" s="12" t="str">
        <f>IF(IF(ISNA(計算結果!J478),"",計算結果!J478)=0,"",IF(ISNA(計算結果!J478),"",計算結果!J478))</f>
        <v/>
      </c>
      <c r="K478" s="23" t="str">
        <f>IF(IF(ISNA(計算結果!K478),"",計算結果!K478)=0,"",IF(ISNA(計算結果!K478),"",計算結果!K478))</f>
        <v/>
      </c>
      <c r="L478" s="13" t="str">
        <f>IF(IF(ISNA(計算結果!L478),"",計算結果!L478)=0,"",IF(ISNA(計算結果!L478),"",計算結果!L478))</f>
        <v/>
      </c>
      <c r="M478" s="10" t="str">
        <f>IF(IF(ISNA(計算結果!M478),"",計算結果!M478)=0,"",IF(ISNA(計算結果!M478),"",計算結果!M478))</f>
        <v/>
      </c>
      <c r="N478" s="10" t="str">
        <f>IF(IF(ISNA(計算結果!N478),"",計算結果!N478)=0,"",IF(ISNA(計算結果!N478),"",計算結果!N478))</f>
        <v/>
      </c>
      <c r="O478" s="13" t="str">
        <f>IF(IF(ISNA(計算結果!O478),"",計算結果!O478)=0,"",IF(ISNA(計算結果!O478),"",計算結果!O478))</f>
        <v/>
      </c>
      <c r="P478" s="10" t="str">
        <f>IF(IF(ISNA(計算結果!P478),"",計算結果!P478)=0,"",IF(ISNA(計算結果!P478),"",計算結果!P478))</f>
        <v/>
      </c>
      <c r="Q478" s="10" t="str">
        <f>IF(IF(ISNA(計算結果!Q478),"",計算結果!Q478)=0,"",IF(ISNA(計算結果!Q478),"",計算結果!Q478))</f>
        <v/>
      </c>
      <c r="R478" s="14" t="str">
        <f t="shared" si="21"/>
        <v/>
      </c>
      <c r="S478" s="14" t="str">
        <f t="shared" si="22"/>
        <v>◯</v>
      </c>
      <c r="T478" s="14" t="str">
        <f t="shared" si="23"/>
        <v/>
      </c>
    </row>
    <row r="479" spans="1:20" hidden="1" x14ac:dyDescent="0.45">
      <c r="A479" s="10" t="str">
        <f>IF(IF(ISNA(計算結果!A479),"",計算結果!A479)=0,"",IF(ISNA(計算結果!A479),"",計算結果!A479))</f>
        <v/>
      </c>
      <c r="B479" s="10" t="str">
        <f>IF(IF(ISNA(計算結果!B479),"",計算結果!B479)=0,"",IF(ISNA(計算結果!B479),"",計算結果!B479))</f>
        <v/>
      </c>
      <c r="C479" s="10" t="str">
        <f>IF(IF(ISNA(計算結果!C479),"",計算結果!C479)=0,"",IF(ISNA(計算結果!C479),"",計算結果!C479))</f>
        <v/>
      </c>
      <c r="D479" s="10" t="str">
        <f>IF(IF(ISNA(計算結果!D479),"",計算結果!D479)=0,"",IF(ISNA(計算結果!D479),"",計算結果!D479))</f>
        <v>L</v>
      </c>
      <c r="E479" s="10" t="str">
        <f>IF(IF(ISNA(計算結果!E479),"",計算結果!E479)=0,"",IF(ISNA(計算結果!E479),"",計算結果!E479))</f>
        <v/>
      </c>
      <c r="F479" s="10" t="str">
        <f>IF(IF(ISNA(計算結果!F479),"",計算結果!F479)=0,"",IF(ISNA(計算結果!F479),"",計算結果!F479))</f>
        <v/>
      </c>
      <c r="G479" s="10" t="str">
        <f>IF(IF(ISNA(計算結果!G479),"",計算結果!G479)=0,"",IF(ISNA(計算結果!G479),"",計算結果!G479))</f>
        <v/>
      </c>
      <c r="H479" s="13">
        <f>IF(IF(ISNA(計算結果!H479),"",計算結果!H479)=0,"",IF(ISNA(計算結果!H479),"",計算結果!H479))</f>
        <v>-2</v>
      </c>
      <c r="I479" s="12" t="str">
        <f>IF(IF(ISNA(計算結果!I479),"",計算結果!I479)=0,"",IF(ISNA(計算結果!I479),"",計算結果!I479))</f>
        <v/>
      </c>
      <c r="J479" s="12" t="str">
        <f>IF(IF(ISNA(計算結果!J479),"",計算結果!J479)=0,"",IF(ISNA(計算結果!J479),"",計算結果!J479))</f>
        <v/>
      </c>
      <c r="K479" s="23" t="str">
        <f>IF(IF(ISNA(計算結果!K479),"",計算結果!K479)=0,"",IF(ISNA(計算結果!K479),"",計算結果!K479))</f>
        <v/>
      </c>
      <c r="L479" s="13" t="str">
        <f>IF(IF(ISNA(計算結果!L479),"",計算結果!L479)=0,"",IF(ISNA(計算結果!L479),"",計算結果!L479))</f>
        <v/>
      </c>
      <c r="M479" s="10" t="str">
        <f>IF(IF(ISNA(計算結果!M479),"",計算結果!M479)=0,"",IF(ISNA(計算結果!M479),"",計算結果!M479))</f>
        <v/>
      </c>
      <c r="N479" s="10" t="str">
        <f>IF(IF(ISNA(計算結果!N479),"",計算結果!N479)=0,"",IF(ISNA(計算結果!N479),"",計算結果!N479))</f>
        <v/>
      </c>
      <c r="O479" s="13" t="str">
        <f>IF(IF(ISNA(計算結果!O479),"",計算結果!O479)=0,"",IF(ISNA(計算結果!O479),"",計算結果!O479))</f>
        <v/>
      </c>
      <c r="P479" s="10" t="str">
        <f>IF(IF(ISNA(計算結果!P479),"",計算結果!P479)=0,"",IF(ISNA(計算結果!P479),"",計算結果!P479))</f>
        <v/>
      </c>
      <c r="Q479" s="10" t="str">
        <f>IF(IF(ISNA(計算結果!Q479),"",計算結果!Q479)=0,"",IF(ISNA(計算結果!Q479),"",計算結果!Q479))</f>
        <v/>
      </c>
      <c r="R479" s="14" t="str">
        <f t="shared" si="21"/>
        <v/>
      </c>
      <c r="S479" s="14" t="str">
        <f t="shared" si="22"/>
        <v>◯</v>
      </c>
      <c r="T479" s="14" t="str">
        <f t="shared" si="23"/>
        <v/>
      </c>
    </row>
    <row r="480" spans="1:20" hidden="1" x14ac:dyDescent="0.45">
      <c r="A480" s="10" t="str">
        <f>IF(IF(ISNA(計算結果!A480),"",計算結果!A480)=0,"",IF(ISNA(計算結果!A480),"",計算結果!A480))</f>
        <v/>
      </c>
      <c r="B480" s="10" t="str">
        <f>IF(IF(ISNA(計算結果!B480),"",計算結果!B480)=0,"",IF(ISNA(計算結果!B480),"",計算結果!B480))</f>
        <v/>
      </c>
      <c r="C480" s="10" t="str">
        <f>IF(IF(ISNA(計算結果!C480),"",計算結果!C480)=0,"",IF(ISNA(計算結果!C480),"",計算結果!C480))</f>
        <v/>
      </c>
      <c r="D480" s="10" t="str">
        <f>IF(IF(ISNA(計算結果!D480),"",計算結果!D480)=0,"",IF(ISNA(計算結果!D480),"",計算結果!D480))</f>
        <v>L</v>
      </c>
      <c r="E480" s="10" t="str">
        <f>IF(IF(ISNA(計算結果!E480),"",計算結果!E480)=0,"",IF(ISNA(計算結果!E480),"",計算結果!E480))</f>
        <v/>
      </c>
      <c r="F480" s="10" t="str">
        <f>IF(IF(ISNA(計算結果!F480),"",計算結果!F480)=0,"",IF(ISNA(計算結果!F480),"",計算結果!F480))</f>
        <v/>
      </c>
      <c r="G480" s="10" t="str">
        <f>IF(IF(ISNA(計算結果!G480),"",計算結果!G480)=0,"",IF(ISNA(計算結果!G480),"",計算結果!G480))</f>
        <v/>
      </c>
      <c r="H480" s="13">
        <f>IF(IF(ISNA(計算結果!H480),"",計算結果!H480)=0,"",IF(ISNA(計算結果!H480),"",計算結果!H480))</f>
        <v>-2</v>
      </c>
      <c r="I480" s="12" t="str">
        <f>IF(IF(ISNA(計算結果!I480),"",計算結果!I480)=0,"",IF(ISNA(計算結果!I480),"",計算結果!I480))</f>
        <v/>
      </c>
      <c r="J480" s="12" t="str">
        <f>IF(IF(ISNA(計算結果!J480),"",計算結果!J480)=0,"",IF(ISNA(計算結果!J480),"",計算結果!J480))</f>
        <v/>
      </c>
      <c r="K480" s="23" t="str">
        <f>IF(IF(ISNA(計算結果!K480),"",計算結果!K480)=0,"",IF(ISNA(計算結果!K480),"",計算結果!K480))</f>
        <v/>
      </c>
      <c r="L480" s="13" t="str">
        <f>IF(IF(ISNA(計算結果!L480),"",計算結果!L480)=0,"",IF(ISNA(計算結果!L480),"",計算結果!L480))</f>
        <v/>
      </c>
      <c r="M480" s="10" t="str">
        <f>IF(IF(ISNA(計算結果!M480),"",計算結果!M480)=0,"",IF(ISNA(計算結果!M480),"",計算結果!M480))</f>
        <v/>
      </c>
      <c r="N480" s="10" t="str">
        <f>IF(IF(ISNA(計算結果!N480),"",計算結果!N480)=0,"",IF(ISNA(計算結果!N480),"",計算結果!N480))</f>
        <v/>
      </c>
      <c r="O480" s="13" t="str">
        <f>IF(IF(ISNA(計算結果!O480),"",計算結果!O480)=0,"",IF(ISNA(計算結果!O480),"",計算結果!O480))</f>
        <v/>
      </c>
      <c r="P480" s="10" t="str">
        <f>IF(IF(ISNA(計算結果!P480),"",計算結果!P480)=0,"",IF(ISNA(計算結果!P480),"",計算結果!P480))</f>
        <v/>
      </c>
      <c r="Q480" s="10" t="str">
        <f>IF(IF(ISNA(計算結果!Q480),"",計算結果!Q480)=0,"",IF(ISNA(計算結果!Q480),"",計算結果!Q480))</f>
        <v/>
      </c>
      <c r="R480" s="14" t="str">
        <f t="shared" si="21"/>
        <v/>
      </c>
      <c r="S480" s="14" t="str">
        <f t="shared" si="22"/>
        <v>◯</v>
      </c>
      <c r="T480" s="14" t="str">
        <f t="shared" si="23"/>
        <v/>
      </c>
    </row>
    <row r="481" spans="1:20" hidden="1" x14ac:dyDescent="0.45">
      <c r="A481" s="10" t="str">
        <f>IF(IF(ISNA(計算結果!A481),"",計算結果!A481)=0,"",IF(ISNA(計算結果!A481),"",計算結果!A481))</f>
        <v/>
      </c>
      <c r="B481" s="10" t="str">
        <f>IF(IF(ISNA(計算結果!B481),"",計算結果!B481)=0,"",IF(ISNA(計算結果!B481),"",計算結果!B481))</f>
        <v/>
      </c>
      <c r="C481" s="10" t="str">
        <f>IF(IF(ISNA(計算結果!C481),"",計算結果!C481)=0,"",IF(ISNA(計算結果!C481),"",計算結果!C481))</f>
        <v/>
      </c>
      <c r="D481" s="10" t="str">
        <f>IF(IF(ISNA(計算結果!D481),"",計算結果!D481)=0,"",IF(ISNA(計算結果!D481),"",計算結果!D481))</f>
        <v>L</v>
      </c>
      <c r="E481" s="10" t="str">
        <f>IF(IF(ISNA(計算結果!E481),"",計算結果!E481)=0,"",IF(ISNA(計算結果!E481),"",計算結果!E481))</f>
        <v/>
      </c>
      <c r="F481" s="10" t="str">
        <f>IF(IF(ISNA(計算結果!F481),"",計算結果!F481)=0,"",IF(ISNA(計算結果!F481),"",計算結果!F481))</f>
        <v/>
      </c>
      <c r="G481" s="10" t="str">
        <f>IF(IF(ISNA(計算結果!G481),"",計算結果!G481)=0,"",IF(ISNA(計算結果!G481),"",計算結果!G481))</f>
        <v/>
      </c>
      <c r="H481" s="13">
        <f>IF(IF(ISNA(計算結果!H481),"",計算結果!H481)=0,"",IF(ISNA(計算結果!H481),"",計算結果!H481))</f>
        <v>-2</v>
      </c>
      <c r="I481" s="12" t="str">
        <f>IF(IF(ISNA(計算結果!I481),"",計算結果!I481)=0,"",IF(ISNA(計算結果!I481),"",計算結果!I481))</f>
        <v/>
      </c>
      <c r="J481" s="12" t="str">
        <f>IF(IF(ISNA(計算結果!J481),"",計算結果!J481)=0,"",IF(ISNA(計算結果!J481),"",計算結果!J481))</f>
        <v/>
      </c>
      <c r="K481" s="23" t="str">
        <f>IF(IF(ISNA(計算結果!K481),"",計算結果!K481)=0,"",IF(ISNA(計算結果!K481),"",計算結果!K481))</f>
        <v/>
      </c>
      <c r="L481" s="13" t="str">
        <f>IF(IF(ISNA(計算結果!L481),"",計算結果!L481)=0,"",IF(ISNA(計算結果!L481),"",計算結果!L481))</f>
        <v/>
      </c>
      <c r="M481" s="10" t="str">
        <f>IF(IF(ISNA(計算結果!M481),"",計算結果!M481)=0,"",IF(ISNA(計算結果!M481),"",計算結果!M481))</f>
        <v/>
      </c>
      <c r="N481" s="10" t="str">
        <f>IF(IF(ISNA(計算結果!N481),"",計算結果!N481)=0,"",IF(ISNA(計算結果!N481),"",計算結果!N481))</f>
        <v/>
      </c>
      <c r="O481" s="13" t="str">
        <f>IF(IF(ISNA(計算結果!O481),"",計算結果!O481)=0,"",IF(ISNA(計算結果!O481),"",計算結果!O481))</f>
        <v/>
      </c>
      <c r="P481" s="10" t="str">
        <f>IF(IF(ISNA(計算結果!P481),"",計算結果!P481)=0,"",IF(ISNA(計算結果!P481),"",計算結果!P481))</f>
        <v/>
      </c>
      <c r="Q481" s="10" t="str">
        <f>IF(IF(ISNA(計算結果!Q481),"",計算結果!Q481)=0,"",IF(ISNA(計算結果!Q481),"",計算結果!Q481))</f>
        <v/>
      </c>
      <c r="R481" s="14" t="str">
        <f t="shared" si="21"/>
        <v/>
      </c>
      <c r="S481" s="14" t="str">
        <f t="shared" si="22"/>
        <v>◯</v>
      </c>
      <c r="T481" s="14" t="str">
        <f t="shared" si="23"/>
        <v/>
      </c>
    </row>
    <row r="482" spans="1:20" hidden="1" x14ac:dyDescent="0.45">
      <c r="A482" s="10" t="str">
        <f>IF(IF(ISNA(計算結果!A482),"",計算結果!A482)=0,"",IF(ISNA(計算結果!A482),"",計算結果!A482))</f>
        <v/>
      </c>
      <c r="B482" s="10" t="str">
        <f>IF(IF(ISNA(計算結果!B482),"",計算結果!B482)=0,"",IF(ISNA(計算結果!B482),"",計算結果!B482))</f>
        <v/>
      </c>
      <c r="C482" s="10" t="str">
        <f>IF(IF(ISNA(計算結果!C482),"",計算結果!C482)=0,"",IF(ISNA(計算結果!C482),"",計算結果!C482))</f>
        <v/>
      </c>
      <c r="D482" s="10" t="str">
        <f>IF(IF(ISNA(計算結果!D482),"",計算結果!D482)=0,"",IF(ISNA(計算結果!D482),"",計算結果!D482))</f>
        <v>L</v>
      </c>
      <c r="E482" s="10" t="str">
        <f>IF(IF(ISNA(計算結果!E482),"",計算結果!E482)=0,"",IF(ISNA(計算結果!E482),"",計算結果!E482))</f>
        <v/>
      </c>
      <c r="F482" s="10" t="str">
        <f>IF(IF(ISNA(計算結果!F482),"",計算結果!F482)=0,"",IF(ISNA(計算結果!F482),"",計算結果!F482))</f>
        <v/>
      </c>
      <c r="G482" s="10" t="str">
        <f>IF(IF(ISNA(計算結果!G482),"",計算結果!G482)=0,"",IF(ISNA(計算結果!G482),"",計算結果!G482))</f>
        <v/>
      </c>
      <c r="H482" s="13">
        <f>IF(IF(ISNA(計算結果!H482),"",計算結果!H482)=0,"",IF(ISNA(計算結果!H482),"",計算結果!H482))</f>
        <v>-2</v>
      </c>
      <c r="I482" s="12" t="str">
        <f>IF(IF(ISNA(計算結果!I482),"",計算結果!I482)=0,"",IF(ISNA(計算結果!I482),"",計算結果!I482))</f>
        <v/>
      </c>
      <c r="J482" s="12" t="str">
        <f>IF(IF(ISNA(計算結果!J482),"",計算結果!J482)=0,"",IF(ISNA(計算結果!J482),"",計算結果!J482))</f>
        <v/>
      </c>
      <c r="K482" s="23" t="str">
        <f>IF(IF(ISNA(計算結果!K482),"",計算結果!K482)=0,"",IF(ISNA(計算結果!K482),"",計算結果!K482))</f>
        <v/>
      </c>
      <c r="L482" s="13" t="str">
        <f>IF(IF(ISNA(計算結果!L482),"",計算結果!L482)=0,"",IF(ISNA(計算結果!L482),"",計算結果!L482))</f>
        <v/>
      </c>
      <c r="M482" s="10" t="str">
        <f>IF(IF(ISNA(計算結果!M482),"",計算結果!M482)=0,"",IF(ISNA(計算結果!M482),"",計算結果!M482))</f>
        <v/>
      </c>
      <c r="N482" s="10" t="str">
        <f>IF(IF(ISNA(計算結果!N482),"",計算結果!N482)=0,"",IF(ISNA(計算結果!N482),"",計算結果!N482))</f>
        <v/>
      </c>
      <c r="O482" s="13" t="str">
        <f>IF(IF(ISNA(計算結果!O482),"",計算結果!O482)=0,"",IF(ISNA(計算結果!O482),"",計算結果!O482))</f>
        <v/>
      </c>
      <c r="P482" s="10" t="str">
        <f>IF(IF(ISNA(計算結果!P482),"",計算結果!P482)=0,"",IF(ISNA(計算結果!P482),"",計算結果!P482))</f>
        <v/>
      </c>
      <c r="Q482" s="10" t="str">
        <f>IF(IF(ISNA(計算結果!Q482),"",計算結果!Q482)=0,"",IF(ISNA(計算結果!Q482),"",計算結果!Q482))</f>
        <v/>
      </c>
      <c r="R482" s="14" t="str">
        <f t="shared" si="21"/>
        <v/>
      </c>
      <c r="S482" s="14" t="str">
        <f t="shared" si="22"/>
        <v>◯</v>
      </c>
      <c r="T482" s="14" t="str">
        <f t="shared" si="23"/>
        <v/>
      </c>
    </row>
    <row r="483" spans="1:20" hidden="1" x14ac:dyDescent="0.45">
      <c r="A483" s="10" t="str">
        <f>IF(IF(ISNA(計算結果!A483),"",計算結果!A483)=0,"",IF(ISNA(計算結果!A483),"",計算結果!A483))</f>
        <v/>
      </c>
      <c r="B483" s="10" t="str">
        <f>IF(IF(ISNA(計算結果!B483),"",計算結果!B483)=0,"",IF(ISNA(計算結果!B483),"",計算結果!B483))</f>
        <v/>
      </c>
      <c r="C483" s="10" t="str">
        <f>IF(IF(ISNA(計算結果!C483),"",計算結果!C483)=0,"",IF(ISNA(計算結果!C483),"",計算結果!C483))</f>
        <v/>
      </c>
      <c r="D483" s="10" t="str">
        <f>IF(IF(ISNA(計算結果!D483),"",計算結果!D483)=0,"",IF(ISNA(計算結果!D483),"",計算結果!D483))</f>
        <v>L</v>
      </c>
      <c r="E483" s="10" t="str">
        <f>IF(IF(ISNA(計算結果!E483),"",計算結果!E483)=0,"",IF(ISNA(計算結果!E483),"",計算結果!E483))</f>
        <v/>
      </c>
      <c r="F483" s="10" t="str">
        <f>IF(IF(ISNA(計算結果!F483),"",計算結果!F483)=0,"",IF(ISNA(計算結果!F483),"",計算結果!F483))</f>
        <v/>
      </c>
      <c r="G483" s="10" t="str">
        <f>IF(IF(ISNA(計算結果!G483),"",計算結果!G483)=0,"",IF(ISNA(計算結果!G483),"",計算結果!G483))</f>
        <v/>
      </c>
      <c r="H483" s="13">
        <f>IF(IF(ISNA(計算結果!H483),"",計算結果!H483)=0,"",IF(ISNA(計算結果!H483),"",計算結果!H483))</f>
        <v>-2</v>
      </c>
      <c r="I483" s="12" t="str">
        <f>IF(IF(ISNA(計算結果!I483),"",計算結果!I483)=0,"",IF(ISNA(計算結果!I483),"",計算結果!I483))</f>
        <v/>
      </c>
      <c r="J483" s="12" t="str">
        <f>IF(IF(ISNA(計算結果!J483),"",計算結果!J483)=0,"",IF(ISNA(計算結果!J483),"",計算結果!J483))</f>
        <v/>
      </c>
      <c r="K483" s="23" t="str">
        <f>IF(IF(ISNA(計算結果!K483),"",計算結果!K483)=0,"",IF(ISNA(計算結果!K483),"",計算結果!K483))</f>
        <v/>
      </c>
      <c r="L483" s="13" t="str">
        <f>IF(IF(ISNA(計算結果!L483),"",計算結果!L483)=0,"",IF(ISNA(計算結果!L483),"",計算結果!L483))</f>
        <v/>
      </c>
      <c r="M483" s="10" t="str">
        <f>IF(IF(ISNA(計算結果!M483),"",計算結果!M483)=0,"",IF(ISNA(計算結果!M483),"",計算結果!M483))</f>
        <v/>
      </c>
      <c r="N483" s="10" t="str">
        <f>IF(IF(ISNA(計算結果!N483),"",計算結果!N483)=0,"",IF(ISNA(計算結果!N483),"",計算結果!N483))</f>
        <v/>
      </c>
      <c r="O483" s="13" t="str">
        <f>IF(IF(ISNA(計算結果!O483),"",計算結果!O483)=0,"",IF(ISNA(計算結果!O483),"",計算結果!O483))</f>
        <v/>
      </c>
      <c r="P483" s="10" t="str">
        <f>IF(IF(ISNA(計算結果!P483),"",計算結果!P483)=0,"",IF(ISNA(計算結果!P483),"",計算結果!P483))</f>
        <v/>
      </c>
      <c r="Q483" s="10" t="str">
        <f>IF(IF(ISNA(計算結果!Q483),"",計算結果!Q483)=0,"",IF(ISNA(計算結果!Q483),"",計算結果!Q483))</f>
        <v/>
      </c>
      <c r="R483" s="14" t="str">
        <f t="shared" si="21"/>
        <v/>
      </c>
      <c r="S483" s="14" t="str">
        <f t="shared" si="22"/>
        <v>◯</v>
      </c>
      <c r="T483" s="14" t="str">
        <f t="shared" si="23"/>
        <v/>
      </c>
    </row>
    <row r="484" spans="1:20" hidden="1" x14ac:dyDescent="0.45">
      <c r="A484" s="10" t="str">
        <f>IF(IF(ISNA(計算結果!A484),"",計算結果!A484)=0,"",IF(ISNA(計算結果!A484),"",計算結果!A484))</f>
        <v/>
      </c>
      <c r="B484" s="10" t="str">
        <f>IF(IF(ISNA(計算結果!B484),"",計算結果!B484)=0,"",IF(ISNA(計算結果!B484),"",計算結果!B484))</f>
        <v/>
      </c>
      <c r="C484" s="10" t="str">
        <f>IF(IF(ISNA(計算結果!C484),"",計算結果!C484)=0,"",IF(ISNA(計算結果!C484),"",計算結果!C484))</f>
        <v/>
      </c>
      <c r="D484" s="10" t="str">
        <f>IF(IF(ISNA(計算結果!D484),"",計算結果!D484)=0,"",IF(ISNA(計算結果!D484),"",計算結果!D484))</f>
        <v>L</v>
      </c>
      <c r="E484" s="10" t="str">
        <f>IF(IF(ISNA(計算結果!E484),"",計算結果!E484)=0,"",IF(ISNA(計算結果!E484),"",計算結果!E484))</f>
        <v/>
      </c>
      <c r="F484" s="10" t="str">
        <f>IF(IF(ISNA(計算結果!F484),"",計算結果!F484)=0,"",IF(ISNA(計算結果!F484),"",計算結果!F484))</f>
        <v/>
      </c>
      <c r="G484" s="10" t="str">
        <f>IF(IF(ISNA(計算結果!G484),"",計算結果!G484)=0,"",IF(ISNA(計算結果!G484),"",計算結果!G484))</f>
        <v/>
      </c>
      <c r="H484" s="13">
        <f>IF(IF(ISNA(計算結果!H484),"",計算結果!H484)=0,"",IF(ISNA(計算結果!H484),"",計算結果!H484))</f>
        <v>-2</v>
      </c>
      <c r="I484" s="12" t="str">
        <f>IF(IF(ISNA(計算結果!I484),"",計算結果!I484)=0,"",IF(ISNA(計算結果!I484),"",計算結果!I484))</f>
        <v/>
      </c>
      <c r="J484" s="12" t="str">
        <f>IF(IF(ISNA(計算結果!J484),"",計算結果!J484)=0,"",IF(ISNA(計算結果!J484),"",計算結果!J484))</f>
        <v/>
      </c>
      <c r="K484" s="23" t="str">
        <f>IF(IF(ISNA(計算結果!K484),"",計算結果!K484)=0,"",IF(ISNA(計算結果!K484),"",計算結果!K484))</f>
        <v/>
      </c>
      <c r="L484" s="13" t="str">
        <f>IF(IF(ISNA(計算結果!L484),"",計算結果!L484)=0,"",IF(ISNA(計算結果!L484),"",計算結果!L484))</f>
        <v/>
      </c>
      <c r="M484" s="10" t="str">
        <f>IF(IF(ISNA(計算結果!M484),"",計算結果!M484)=0,"",IF(ISNA(計算結果!M484),"",計算結果!M484))</f>
        <v/>
      </c>
      <c r="N484" s="10" t="str">
        <f>IF(IF(ISNA(計算結果!N484),"",計算結果!N484)=0,"",IF(ISNA(計算結果!N484),"",計算結果!N484))</f>
        <v/>
      </c>
      <c r="O484" s="13" t="str">
        <f>IF(IF(ISNA(計算結果!O484),"",計算結果!O484)=0,"",IF(ISNA(計算結果!O484),"",計算結果!O484))</f>
        <v/>
      </c>
      <c r="P484" s="10" t="str">
        <f>IF(IF(ISNA(計算結果!P484),"",計算結果!P484)=0,"",IF(ISNA(計算結果!P484),"",計算結果!P484))</f>
        <v/>
      </c>
      <c r="Q484" s="10" t="str">
        <f>IF(IF(ISNA(計算結果!Q484),"",計算結果!Q484)=0,"",IF(ISNA(計算結果!Q484),"",計算結果!Q484))</f>
        <v/>
      </c>
      <c r="R484" s="14" t="str">
        <f t="shared" si="21"/>
        <v/>
      </c>
      <c r="S484" s="14" t="str">
        <f t="shared" si="22"/>
        <v>◯</v>
      </c>
      <c r="T484" s="14" t="str">
        <f t="shared" si="23"/>
        <v/>
      </c>
    </row>
    <row r="485" spans="1:20" hidden="1" x14ac:dyDescent="0.45">
      <c r="A485" s="10" t="str">
        <f>IF(IF(ISNA(計算結果!A485),"",計算結果!A485)=0,"",IF(ISNA(計算結果!A485),"",計算結果!A485))</f>
        <v/>
      </c>
      <c r="B485" s="10" t="str">
        <f>IF(IF(ISNA(計算結果!B485),"",計算結果!B485)=0,"",IF(ISNA(計算結果!B485),"",計算結果!B485))</f>
        <v/>
      </c>
      <c r="C485" s="10" t="str">
        <f>IF(IF(ISNA(計算結果!C485),"",計算結果!C485)=0,"",IF(ISNA(計算結果!C485),"",計算結果!C485))</f>
        <v/>
      </c>
      <c r="D485" s="10" t="str">
        <f>IF(IF(ISNA(計算結果!D485),"",計算結果!D485)=0,"",IF(ISNA(計算結果!D485),"",計算結果!D485))</f>
        <v>L</v>
      </c>
      <c r="E485" s="10" t="str">
        <f>IF(IF(ISNA(計算結果!E485),"",計算結果!E485)=0,"",IF(ISNA(計算結果!E485),"",計算結果!E485))</f>
        <v/>
      </c>
      <c r="F485" s="10" t="str">
        <f>IF(IF(ISNA(計算結果!F485),"",計算結果!F485)=0,"",IF(ISNA(計算結果!F485),"",計算結果!F485))</f>
        <v/>
      </c>
      <c r="G485" s="10" t="str">
        <f>IF(IF(ISNA(計算結果!G485),"",計算結果!G485)=0,"",IF(ISNA(計算結果!G485),"",計算結果!G485))</f>
        <v/>
      </c>
      <c r="H485" s="13">
        <f>IF(IF(ISNA(計算結果!H485),"",計算結果!H485)=0,"",IF(ISNA(計算結果!H485),"",計算結果!H485))</f>
        <v>-2</v>
      </c>
      <c r="I485" s="12" t="str">
        <f>IF(IF(ISNA(計算結果!I485),"",計算結果!I485)=0,"",IF(ISNA(計算結果!I485),"",計算結果!I485))</f>
        <v/>
      </c>
      <c r="J485" s="12" t="str">
        <f>IF(IF(ISNA(計算結果!J485),"",計算結果!J485)=0,"",IF(ISNA(計算結果!J485),"",計算結果!J485))</f>
        <v/>
      </c>
      <c r="K485" s="23" t="str">
        <f>IF(IF(ISNA(計算結果!K485),"",計算結果!K485)=0,"",IF(ISNA(計算結果!K485),"",計算結果!K485))</f>
        <v/>
      </c>
      <c r="L485" s="13" t="str">
        <f>IF(IF(ISNA(計算結果!L485),"",計算結果!L485)=0,"",IF(ISNA(計算結果!L485),"",計算結果!L485))</f>
        <v/>
      </c>
      <c r="M485" s="10" t="str">
        <f>IF(IF(ISNA(計算結果!M485),"",計算結果!M485)=0,"",IF(ISNA(計算結果!M485),"",計算結果!M485))</f>
        <v/>
      </c>
      <c r="N485" s="10" t="str">
        <f>IF(IF(ISNA(計算結果!N485),"",計算結果!N485)=0,"",IF(ISNA(計算結果!N485),"",計算結果!N485))</f>
        <v/>
      </c>
      <c r="O485" s="13" t="str">
        <f>IF(IF(ISNA(計算結果!O485),"",計算結果!O485)=0,"",IF(ISNA(計算結果!O485),"",計算結果!O485))</f>
        <v/>
      </c>
      <c r="P485" s="10" t="str">
        <f>IF(IF(ISNA(計算結果!P485),"",計算結果!P485)=0,"",IF(ISNA(計算結果!P485),"",計算結果!P485))</f>
        <v/>
      </c>
      <c r="Q485" s="10" t="str">
        <f>IF(IF(ISNA(計算結果!Q485),"",計算結果!Q485)=0,"",IF(ISNA(計算結果!Q485),"",計算結果!Q485))</f>
        <v/>
      </c>
      <c r="R485" s="14" t="str">
        <f t="shared" si="21"/>
        <v/>
      </c>
      <c r="S485" s="14" t="str">
        <f t="shared" si="22"/>
        <v>◯</v>
      </c>
      <c r="T485" s="14" t="str">
        <f t="shared" si="23"/>
        <v/>
      </c>
    </row>
    <row r="486" spans="1:20" hidden="1" x14ac:dyDescent="0.45">
      <c r="A486" s="10" t="str">
        <f>IF(IF(ISNA(計算結果!A486),"",計算結果!A486)=0,"",IF(ISNA(計算結果!A486),"",計算結果!A486))</f>
        <v/>
      </c>
      <c r="B486" s="10" t="str">
        <f>IF(IF(ISNA(計算結果!B486),"",計算結果!B486)=0,"",IF(ISNA(計算結果!B486),"",計算結果!B486))</f>
        <v/>
      </c>
      <c r="C486" s="10" t="str">
        <f>IF(IF(ISNA(計算結果!C486),"",計算結果!C486)=0,"",IF(ISNA(計算結果!C486),"",計算結果!C486))</f>
        <v/>
      </c>
      <c r="D486" s="10" t="str">
        <f>IF(IF(ISNA(計算結果!D486),"",計算結果!D486)=0,"",IF(ISNA(計算結果!D486),"",計算結果!D486))</f>
        <v>L</v>
      </c>
      <c r="E486" s="10" t="str">
        <f>IF(IF(ISNA(計算結果!E486),"",計算結果!E486)=0,"",IF(ISNA(計算結果!E486),"",計算結果!E486))</f>
        <v/>
      </c>
      <c r="F486" s="10" t="str">
        <f>IF(IF(ISNA(計算結果!F486),"",計算結果!F486)=0,"",IF(ISNA(計算結果!F486),"",計算結果!F486))</f>
        <v/>
      </c>
      <c r="G486" s="10" t="str">
        <f>IF(IF(ISNA(計算結果!G486),"",計算結果!G486)=0,"",IF(ISNA(計算結果!G486),"",計算結果!G486))</f>
        <v/>
      </c>
      <c r="H486" s="13">
        <f>IF(IF(ISNA(計算結果!H486),"",計算結果!H486)=0,"",IF(ISNA(計算結果!H486),"",計算結果!H486))</f>
        <v>-2</v>
      </c>
      <c r="I486" s="12" t="str">
        <f>IF(IF(ISNA(計算結果!I486),"",計算結果!I486)=0,"",IF(ISNA(計算結果!I486),"",計算結果!I486))</f>
        <v/>
      </c>
      <c r="J486" s="12" t="str">
        <f>IF(IF(ISNA(計算結果!J486),"",計算結果!J486)=0,"",IF(ISNA(計算結果!J486),"",計算結果!J486))</f>
        <v/>
      </c>
      <c r="K486" s="23" t="str">
        <f>IF(IF(ISNA(計算結果!K486),"",計算結果!K486)=0,"",IF(ISNA(計算結果!K486),"",計算結果!K486))</f>
        <v/>
      </c>
      <c r="L486" s="13" t="str">
        <f>IF(IF(ISNA(計算結果!L486),"",計算結果!L486)=0,"",IF(ISNA(計算結果!L486),"",計算結果!L486))</f>
        <v/>
      </c>
      <c r="M486" s="10" t="str">
        <f>IF(IF(ISNA(計算結果!M486),"",計算結果!M486)=0,"",IF(ISNA(計算結果!M486),"",計算結果!M486))</f>
        <v/>
      </c>
      <c r="N486" s="10" t="str">
        <f>IF(IF(ISNA(計算結果!N486),"",計算結果!N486)=0,"",IF(ISNA(計算結果!N486),"",計算結果!N486))</f>
        <v/>
      </c>
      <c r="O486" s="13" t="str">
        <f>IF(IF(ISNA(計算結果!O486),"",計算結果!O486)=0,"",IF(ISNA(計算結果!O486),"",計算結果!O486))</f>
        <v/>
      </c>
      <c r="P486" s="10" t="str">
        <f>IF(IF(ISNA(計算結果!P486),"",計算結果!P486)=0,"",IF(ISNA(計算結果!P486),"",計算結果!P486))</f>
        <v/>
      </c>
      <c r="Q486" s="10" t="str">
        <f>IF(IF(ISNA(計算結果!Q486),"",計算結果!Q486)=0,"",IF(ISNA(計算結果!Q486),"",計算結果!Q486))</f>
        <v/>
      </c>
      <c r="R486" s="14" t="str">
        <f t="shared" si="21"/>
        <v/>
      </c>
      <c r="S486" s="14" t="str">
        <f t="shared" si="22"/>
        <v>◯</v>
      </c>
      <c r="T486" s="14" t="str">
        <f t="shared" si="23"/>
        <v/>
      </c>
    </row>
    <row r="487" spans="1:20" hidden="1" x14ac:dyDescent="0.45">
      <c r="A487" s="10" t="str">
        <f>IF(IF(ISNA(計算結果!A487),"",計算結果!A487)=0,"",IF(ISNA(計算結果!A487),"",計算結果!A487))</f>
        <v/>
      </c>
      <c r="B487" s="10" t="str">
        <f>IF(IF(ISNA(計算結果!B487),"",計算結果!B487)=0,"",IF(ISNA(計算結果!B487),"",計算結果!B487))</f>
        <v/>
      </c>
      <c r="C487" s="10" t="str">
        <f>IF(IF(ISNA(計算結果!C487),"",計算結果!C487)=0,"",IF(ISNA(計算結果!C487),"",計算結果!C487))</f>
        <v/>
      </c>
      <c r="D487" s="10" t="str">
        <f>IF(IF(ISNA(計算結果!D487),"",計算結果!D487)=0,"",IF(ISNA(計算結果!D487),"",計算結果!D487))</f>
        <v>L</v>
      </c>
      <c r="E487" s="10" t="str">
        <f>IF(IF(ISNA(計算結果!E487),"",計算結果!E487)=0,"",IF(ISNA(計算結果!E487),"",計算結果!E487))</f>
        <v/>
      </c>
      <c r="F487" s="10" t="str">
        <f>IF(IF(ISNA(計算結果!F487),"",計算結果!F487)=0,"",IF(ISNA(計算結果!F487),"",計算結果!F487))</f>
        <v/>
      </c>
      <c r="G487" s="10" t="str">
        <f>IF(IF(ISNA(計算結果!G487),"",計算結果!G487)=0,"",IF(ISNA(計算結果!G487),"",計算結果!G487))</f>
        <v/>
      </c>
      <c r="H487" s="13">
        <f>IF(IF(ISNA(計算結果!H487),"",計算結果!H487)=0,"",IF(ISNA(計算結果!H487),"",計算結果!H487))</f>
        <v>-2</v>
      </c>
      <c r="I487" s="12" t="str">
        <f>IF(IF(ISNA(計算結果!I487),"",計算結果!I487)=0,"",IF(ISNA(計算結果!I487),"",計算結果!I487))</f>
        <v/>
      </c>
      <c r="J487" s="12" t="str">
        <f>IF(IF(ISNA(計算結果!J487),"",計算結果!J487)=0,"",IF(ISNA(計算結果!J487),"",計算結果!J487))</f>
        <v/>
      </c>
      <c r="K487" s="23" t="str">
        <f>IF(IF(ISNA(計算結果!K487),"",計算結果!K487)=0,"",IF(ISNA(計算結果!K487),"",計算結果!K487))</f>
        <v/>
      </c>
      <c r="L487" s="13" t="str">
        <f>IF(IF(ISNA(計算結果!L487),"",計算結果!L487)=0,"",IF(ISNA(計算結果!L487),"",計算結果!L487))</f>
        <v/>
      </c>
      <c r="M487" s="10" t="str">
        <f>IF(IF(ISNA(計算結果!M487),"",計算結果!M487)=0,"",IF(ISNA(計算結果!M487),"",計算結果!M487))</f>
        <v/>
      </c>
      <c r="N487" s="10" t="str">
        <f>IF(IF(ISNA(計算結果!N487),"",計算結果!N487)=0,"",IF(ISNA(計算結果!N487),"",計算結果!N487))</f>
        <v/>
      </c>
      <c r="O487" s="13" t="str">
        <f>IF(IF(ISNA(計算結果!O487),"",計算結果!O487)=0,"",IF(ISNA(計算結果!O487),"",計算結果!O487))</f>
        <v/>
      </c>
      <c r="P487" s="10" t="str">
        <f>IF(IF(ISNA(計算結果!P487),"",計算結果!P487)=0,"",IF(ISNA(計算結果!P487),"",計算結果!P487))</f>
        <v/>
      </c>
      <c r="Q487" s="10" t="str">
        <f>IF(IF(ISNA(計算結果!Q487),"",計算結果!Q487)=0,"",IF(ISNA(計算結果!Q487),"",計算結果!Q487))</f>
        <v/>
      </c>
      <c r="R487" s="14" t="str">
        <f t="shared" si="21"/>
        <v/>
      </c>
      <c r="S487" s="14" t="str">
        <f t="shared" si="22"/>
        <v>◯</v>
      </c>
      <c r="T487" s="14" t="str">
        <f t="shared" si="23"/>
        <v/>
      </c>
    </row>
    <row r="488" spans="1:20" hidden="1" x14ac:dyDescent="0.45">
      <c r="A488" s="10" t="str">
        <f>IF(IF(ISNA(計算結果!A488),"",計算結果!A488)=0,"",IF(ISNA(計算結果!A488),"",計算結果!A488))</f>
        <v/>
      </c>
      <c r="B488" s="10" t="str">
        <f>IF(IF(ISNA(計算結果!B488),"",計算結果!B488)=0,"",IF(ISNA(計算結果!B488),"",計算結果!B488))</f>
        <v/>
      </c>
      <c r="C488" s="10" t="str">
        <f>IF(IF(ISNA(計算結果!C488),"",計算結果!C488)=0,"",IF(ISNA(計算結果!C488),"",計算結果!C488))</f>
        <v/>
      </c>
      <c r="D488" s="10" t="str">
        <f>IF(IF(ISNA(計算結果!D488),"",計算結果!D488)=0,"",IF(ISNA(計算結果!D488),"",計算結果!D488))</f>
        <v>L</v>
      </c>
      <c r="E488" s="10" t="str">
        <f>IF(IF(ISNA(計算結果!E488),"",計算結果!E488)=0,"",IF(ISNA(計算結果!E488),"",計算結果!E488))</f>
        <v/>
      </c>
      <c r="F488" s="10" t="str">
        <f>IF(IF(ISNA(計算結果!F488),"",計算結果!F488)=0,"",IF(ISNA(計算結果!F488),"",計算結果!F488))</f>
        <v/>
      </c>
      <c r="G488" s="10" t="str">
        <f>IF(IF(ISNA(計算結果!G488),"",計算結果!G488)=0,"",IF(ISNA(計算結果!G488),"",計算結果!G488))</f>
        <v/>
      </c>
      <c r="H488" s="13">
        <f>IF(IF(ISNA(計算結果!H488),"",計算結果!H488)=0,"",IF(ISNA(計算結果!H488),"",計算結果!H488))</f>
        <v>-2</v>
      </c>
      <c r="I488" s="12" t="str">
        <f>IF(IF(ISNA(計算結果!I488),"",計算結果!I488)=0,"",IF(ISNA(計算結果!I488),"",計算結果!I488))</f>
        <v/>
      </c>
      <c r="J488" s="12" t="str">
        <f>IF(IF(ISNA(計算結果!J488),"",計算結果!J488)=0,"",IF(ISNA(計算結果!J488),"",計算結果!J488))</f>
        <v/>
      </c>
      <c r="K488" s="23" t="str">
        <f>IF(IF(ISNA(計算結果!K488),"",計算結果!K488)=0,"",IF(ISNA(計算結果!K488),"",計算結果!K488))</f>
        <v/>
      </c>
      <c r="L488" s="13" t="str">
        <f>IF(IF(ISNA(計算結果!L488),"",計算結果!L488)=0,"",IF(ISNA(計算結果!L488),"",計算結果!L488))</f>
        <v/>
      </c>
      <c r="M488" s="10" t="str">
        <f>IF(IF(ISNA(計算結果!M488),"",計算結果!M488)=0,"",IF(ISNA(計算結果!M488),"",計算結果!M488))</f>
        <v/>
      </c>
      <c r="N488" s="10" t="str">
        <f>IF(IF(ISNA(計算結果!N488),"",計算結果!N488)=0,"",IF(ISNA(計算結果!N488),"",計算結果!N488))</f>
        <v/>
      </c>
      <c r="O488" s="13" t="str">
        <f>IF(IF(ISNA(計算結果!O488),"",計算結果!O488)=0,"",IF(ISNA(計算結果!O488),"",計算結果!O488))</f>
        <v/>
      </c>
      <c r="P488" s="10" t="str">
        <f>IF(IF(ISNA(計算結果!P488),"",計算結果!P488)=0,"",IF(ISNA(計算結果!P488),"",計算結果!P488))</f>
        <v/>
      </c>
      <c r="Q488" s="10" t="str">
        <f>IF(IF(ISNA(計算結果!Q488),"",計算結果!Q488)=0,"",IF(ISNA(計算結果!Q488),"",計算結果!Q488))</f>
        <v/>
      </c>
      <c r="R488" s="14" t="str">
        <f t="shared" si="21"/>
        <v/>
      </c>
      <c r="S488" s="14" t="str">
        <f t="shared" si="22"/>
        <v>◯</v>
      </c>
      <c r="T488" s="14" t="str">
        <f t="shared" si="23"/>
        <v/>
      </c>
    </row>
    <row r="489" spans="1:20" hidden="1" x14ac:dyDescent="0.45">
      <c r="A489" s="10" t="str">
        <f>IF(IF(ISNA(計算結果!A489),"",計算結果!A489)=0,"",IF(ISNA(計算結果!A489),"",計算結果!A489))</f>
        <v/>
      </c>
      <c r="B489" s="10" t="str">
        <f>IF(IF(ISNA(計算結果!B489),"",計算結果!B489)=0,"",IF(ISNA(計算結果!B489),"",計算結果!B489))</f>
        <v/>
      </c>
      <c r="C489" s="10" t="str">
        <f>IF(IF(ISNA(計算結果!C489),"",計算結果!C489)=0,"",IF(ISNA(計算結果!C489),"",計算結果!C489))</f>
        <v/>
      </c>
      <c r="D489" s="10" t="str">
        <f>IF(IF(ISNA(計算結果!D489),"",計算結果!D489)=0,"",IF(ISNA(計算結果!D489),"",計算結果!D489))</f>
        <v>L</v>
      </c>
      <c r="E489" s="10" t="str">
        <f>IF(IF(ISNA(計算結果!E489),"",計算結果!E489)=0,"",IF(ISNA(計算結果!E489),"",計算結果!E489))</f>
        <v/>
      </c>
      <c r="F489" s="10" t="str">
        <f>IF(IF(ISNA(計算結果!F489),"",計算結果!F489)=0,"",IF(ISNA(計算結果!F489),"",計算結果!F489))</f>
        <v/>
      </c>
      <c r="G489" s="10" t="str">
        <f>IF(IF(ISNA(計算結果!G489),"",計算結果!G489)=0,"",IF(ISNA(計算結果!G489),"",計算結果!G489))</f>
        <v/>
      </c>
      <c r="H489" s="13">
        <f>IF(IF(ISNA(計算結果!H489),"",計算結果!H489)=0,"",IF(ISNA(計算結果!H489),"",計算結果!H489))</f>
        <v>-2</v>
      </c>
      <c r="I489" s="12" t="str">
        <f>IF(IF(ISNA(計算結果!I489),"",計算結果!I489)=0,"",IF(ISNA(計算結果!I489),"",計算結果!I489))</f>
        <v/>
      </c>
      <c r="J489" s="12" t="str">
        <f>IF(IF(ISNA(計算結果!J489),"",計算結果!J489)=0,"",IF(ISNA(計算結果!J489),"",計算結果!J489))</f>
        <v/>
      </c>
      <c r="K489" s="23" t="str">
        <f>IF(IF(ISNA(計算結果!K489),"",計算結果!K489)=0,"",IF(ISNA(計算結果!K489),"",計算結果!K489))</f>
        <v/>
      </c>
      <c r="L489" s="13" t="str">
        <f>IF(IF(ISNA(計算結果!L489),"",計算結果!L489)=0,"",IF(ISNA(計算結果!L489),"",計算結果!L489))</f>
        <v/>
      </c>
      <c r="M489" s="10" t="str">
        <f>IF(IF(ISNA(計算結果!M489),"",計算結果!M489)=0,"",IF(ISNA(計算結果!M489),"",計算結果!M489))</f>
        <v/>
      </c>
      <c r="N489" s="10" t="str">
        <f>IF(IF(ISNA(計算結果!N489),"",計算結果!N489)=0,"",IF(ISNA(計算結果!N489),"",計算結果!N489))</f>
        <v/>
      </c>
      <c r="O489" s="13" t="str">
        <f>IF(IF(ISNA(計算結果!O489),"",計算結果!O489)=0,"",IF(ISNA(計算結果!O489),"",計算結果!O489))</f>
        <v/>
      </c>
      <c r="P489" s="10" t="str">
        <f>IF(IF(ISNA(計算結果!P489),"",計算結果!P489)=0,"",IF(ISNA(計算結果!P489),"",計算結果!P489))</f>
        <v/>
      </c>
      <c r="Q489" s="10" t="str">
        <f>IF(IF(ISNA(計算結果!Q489),"",計算結果!Q489)=0,"",IF(ISNA(計算結果!Q489),"",計算結果!Q489))</f>
        <v/>
      </c>
      <c r="R489" s="14" t="str">
        <f t="shared" si="21"/>
        <v/>
      </c>
      <c r="S489" s="14" t="str">
        <f t="shared" si="22"/>
        <v>◯</v>
      </c>
      <c r="T489" s="14" t="str">
        <f t="shared" si="23"/>
        <v/>
      </c>
    </row>
    <row r="490" spans="1:20" hidden="1" x14ac:dyDescent="0.45">
      <c r="A490" s="10" t="str">
        <f>IF(IF(ISNA(計算結果!A490),"",計算結果!A490)=0,"",IF(ISNA(計算結果!A490),"",計算結果!A490))</f>
        <v/>
      </c>
      <c r="B490" s="10" t="str">
        <f>IF(IF(ISNA(計算結果!B490),"",計算結果!B490)=0,"",IF(ISNA(計算結果!B490),"",計算結果!B490))</f>
        <v/>
      </c>
      <c r="C490" s="10" t="str">
        <f>IF(IF(ISNA(計算結果!C490),"",計算結果!C490)=0,"",IF(ISNA(計算結果!C490),"",計算結果!C490))</f>
        <v/>
      </c>
      <c r="D490" s="10" t="str">
        <f>IF(IF(ISNA(計算結果!D490),"",計算結果!D490)=0,"",IF(ISNA(計算結果!D490),"",計算結果!D490))</f>
        <v>L</v>
      </c>
      <c r="E490" s="10" t="str">
        <f>IF(IF(ISNA(計算結果!E490),"",計算結果!E490)=0,"",IF(ISNA(計算結果!E490),"",計算結果!E490))</f>
        <v/>
      </c>
      <c r="F490" s="10" t="str">
        <f>IF(IF(ISNA(計算結果!F490),"",計算結果!F490)=0,"",IF(ISNA(計算結果!F490),"",計算結果!F490))</f>
        <v/>
      </c>
      <c r="G490" s="10" t="str">
        <f>IF(IF(ISNA(計算結果!G490),"",計算結果!G490)=0,"",IF(ISNA(計算結果!G490),"",計算結果!G490))</f>
        <v/>
      </c>
      <c r="H490" s="13">
        <f>IF(IF(ISNA(計算結果!H490),"",計算結果!H490)=0,"",IF(ISNA(計算結果!H490),"",計算結果!H490))</f>
        <v>-2</v>
      </c>
      <c r="I490" s="12" t="str">
        <f>IF(IF(ISNA(計算結果!I490),"",計算結果!I490)=0,"",IF(ISNA(計算結果!I490),"",計算結果!I490))</f>
        <v/>
      </c>
      <c r="J490" s="12" t="str">
        <f>IF(IF(ISNA(計算結果!J490),"",計算結果!J490)=0,"",IF(ISNA(計算結果!J490),"",計算結果!J490))</f>
        <v/>
      </c>
      <c r="K490" s="23" t="str">
        <f>IF(IF(ISNA(計算結果!K490),"",計算結果!K490)=0,"",IF(ISNA(計算結果!K490),"",計算結果!K490))</f>
        <v/>
      </c>
      <c r="L490" s="13" t="str">
        <f>IF(IF(ISNA(計算結果!L490),"",計算結果!L490)=0,"",IF(ISNA(計算結果!L490),"",計算結果!L490))</f>
        <v/>
      </c>
      <c r="M490" s="10" t="str">
        <f>IF(IF(ISNA(計算結果!M490),"",計算結果!M490)=0,"",IF(ISNA(計算結果!M490),"",計算結果!M490))</f>
        <v/>
      </c>
      <c r="N490" s="10" t="str">
        <f>IF(IF(ISNA(計算結果!N490),"",計算結果!N490)=0,"",IF(ISNA(計算結果!N490),"",計算結果!N490))</f>
        <v/>
      </c>
      <c r="O490" s="13" t="str">
        <f>IF(IF(ISNA(計算結果!O490),"",計算結果!O490)=0,"",IF(ISNA(計算結果!O490),"",計算結果!O490))</f>
        <v/>
      </c>
      <c r="P490" s="10" t="str">
        <f>IF(IF(ISNA(計算結果!P490),"",計算結果!P490)=0,"",IF(ISNA(計算結果!P490),"",計算結果!P490))</f>
        <v/>
      </c>
      <c r="Q490" s="10" t="str">
        <f>IF(IF(ISNA(計算結果!Q490),"",計算結果!Q490)=0,"",IF(ISNA(計算結果!Q490),"",計算結果!Q490))</f>
        <v/>
      </c>
      <c r="R490" s="14" t="str">
        <f t="shared" si="21"/>
        <v/>
      </c>
      <c r="S490" s="14" t="str">
        <f t="shared" si="22"/>
        <v>◯</v>
      </c>
      <c r="T490" s="14" t="str">
        <f t="shared" si="23"/>
        <v/>
      </c>
    </row>
    <row r="491" spans="1:20" hidden="1" x14ac:dyDescent="0.45">
      <c r="A491" s="10" t="str">
        <f>IF(IF(ISNA(計算結果!A491),"",計算結果!A491)=0,"",IF(ISNA(計算結果!A491),"",計算結果!A491))</f>
        <v/>
      </c>
      <c r="B491" s="10" t="str">
        <f>IF(IF(ISNA(計算結果!B491),"",計算結果!B491)=0,"",IF(ISNA(計算結果!B491),"",計算結果!B491))</f>
        <v/>
      </c>
      <c r="C491" s="10" t="str">
        <f>IF(IF(ISNA(計算結果!C491),"",計算結果!C491)=0,"",IF(ISNA(計算結果!C491),"",計算結果!C491))</f>
        <v/>
      </c>
      <c r="D491" s="10" t="str">
        <f>IF(IF(ISNA(計算結果!D491),"",計算結果!D491)=0,"",IF(ISNA(計算結果!D491),"",計算結果!D491))</f>
        <v>L</v>
      </c>
      <c r="E491" s="10" t="str">
        <f>IF(IF(ISNA(計算結果!E491),"",計算結果!E491)=0,"",IF(ISNA(計算結果!E491),"",計算結果!E491))</f>
        <v/>
      </c>
      <c r="F491" s="10" t="str">
        <f>IF(IF(ISNA(計算結果!F491),"",計算結果!F491)=0,"",IF(ISNA(計算結果!F491),"",計算結果!F491))</f>
        <v/>
      </c>
      <c r="G491" s="10" t="str">
        <f>IF(IF(ISNA(計算結果!G491),"",計算結果!G491)=0,"",IF(ISNA(計算結果!G491),"",計算結果!G491))</f>
        <v/>
      </c>
      <c r="H491" s="13">
        <f>IF(IF(ISNA(計算結果!H491),"",計算結果!H491)=0,"",IF(ISNA(計算結果!H491),"",計算結果!H491))</f>
        <v>-2</v>
      </c>
      <c r="I491" s="12" t="str">
        <f>IF(IF(ISNA(計算結果!I491),"",計算結果!I491)=0,"",IF(ISNA(計算結果!I491),"",計算結果!I491))</f>
        <v/>
      </c>
      <c r="J491" s="12" t="str">
        <f>IF(IF(ISNA(計算結果!J491),"",計算結果!J491)=0,"",IF(ISNA(計算結果!J491),"",計算結果!J491))</f>
        <v/>
      </c>
      <c r="K491" s="23" t="str">
        <f>IF(IF(ISNA(計算結果!K491),"",計算結果!K491)=0,"",IF(ISNA(計算結果!K491),"",計算結果!K491))</f>
        <v/>
      </c>
      <c r="L491" s="13" t="str">
        <f>IF(IF(ISNA(計算結果!L491),"",計算結果!L491)=0,"",IF(ISNA(計算結果!L491),"",計算結果!L491))</f>
        <v/>
      </c>
      <c r="M491" s="10" t="str">
        <f>IF(IF(ISNA(計算結果!M491),"",計算結果!M491)=0,"",IF(ISNA(計算結果!M491),"",計算結果!M491))</f>
        <v/>
      </c>
      <c r="N491" s="10" t="str">
        <f>IF(IF(ISNA(計算結果!N491),"",計算結果!N491)=0,"",IF(ISNA(計算結果!N491),"",計算結果!N491))</f>
        <v/>
      </c>
      <c r="O491" s="13" t="str">
        <f>IF(IF(ISNA(計算結果!O491),"",計算結果!O491)=0,"",IF(ISNA(計算結果!O491),"",計算結果!O491))</f>
        <v/>
      </c>
      <c r="P491" s="10" t="str">
        <f>IF(IF(ISNA(計算結果!P491),"",計算結果!P491)=0,"",IF(ISNA(計算結果!P491),"",計算結果!P491))</f>
        <v/>
      </c>
      <c r="Q491" s="10" t="str">
        <f>IF(IF(ISNA(計算結果!Q491),"",計算結果!Q491)=0,"",IF(ISNA(計算結果!Q491),"",計算結果!Q491))</f>
        <v/>
      </c>
      <c r="R491" s="14" t="str">
        <f t="shared" si="21"/>
        <v/>
      </c>
      <c r="S491" s="14" t="str">
        <f t="shared" si="22"/>
        <v>◯</v>
      </c>
      <c r="T491" s="14" t="str">
        <f t="shared" si="23"/>
        <v/>
      </c>
    </row>
    <row r="492" spans="1:20" hidden="1" x14ac:dyDescent="0.45">
      <c r="A492" s="10" t="str">
        <f>IF(IF(ISNA(計算結果!A492),"",計算結果!A492)=0,"",IF(ISNA(計算結果!A492),"",計算結果!A492))</f>
        <v/>
      </c>
      <c r="B492" s="10" t="str">
        <f>IF(IF(ISNA(計算結果!B492),"",計算結果!B492)=0,"",IF(ISNA(計算結果!B492),"",計算結果!B492))</f>
        <v/>
      </c>
      <c r="C492" s="10" t="str">
        <f>IF(IF(ISNA(計算結果!C492),"",計算結果!C492)=0,"",IF(ISNA(計算結果!C492),"",計算結果!C492))</f>
        <v/>
      </c>
      <c r="D492" s="10" t="str">
        <f>IF(IF(ISNA(計算結果!D492),"",計算結果!D492)=0,"",IF(ISNA(計算結果!D492),"",計算結果!D492))</f>
        <v>L</v>
      </c>
      <c r="E492" s="10" t="str">
        <f>IF(IF(ISNA(計算結果!E492),"",計算結果!E492)=0,"",IF(ISNA(計算結果!E492),"",計算結果!E492))</f>
        <v/>
      </c>
      <c r="F492" s="10" t="str">
        <f>IF(IF(ISNA(計算結果!F492),"",計算結果!F492)=0,"",IF(ISNA(計算結果!F492),"",計算結果!F492))</f>
        <v/>
      </c>
      <c r="G492" s="10" t="str">
        <f>IF(IF(ISNA(計算結果!G492),"",計算結果!G492)=0,"",IF(ISNA(計算結果!G492),"",計算結果!G492))</f>
        <v/>
      </c>
      <c r="H492" s="13">
        <f>IF(IF(ISNA(計算結果!H492),"",計算結果!H492)=0,"",IF(ISNA(計算結果!H492),"",計算結果!H492))</f>
        <v>-2</v>
      </c>
      <c r="I492" s="12" t="str">
        <f>IF(IF(ISNA(計算結果!I492),"",計算結果!I492)=0,"",IF(ISNA(計算結果!I492),"",計算結果!I492))</f>
        <v/>
      </c>
      <c r="J492" s="12" t="str">
        <f>IF(IF(ISNA(計算結果!J492),"",計算結果!J492)=0,"",IF(ISNA(計算結果!J492),"",計算結果!J492))</f>
        <v/>
      </c>
      <c r="K492" s="23" t="str">
        <f>IF(IF(ISNA(計算結果!K492),"",計算結果!K492)=0,"",IF(ISNA(計算結果!K492),"",計算結果!K492))</f>
        <v/>
      </c>
      <c r="L492" s="13" t="str">
        <f>IF(IF(ISNA(計算結果!L492),"",計算結果!L492)=0,"",IF(ISNA(計算結果!L492),"",計算結果!L492))</f>
        <v/>
      </c>
      <c r="M492" s="10" t="str">
        <f>IF(IF(ISNA(計算結果!M492),"",計算結果!M492)=0,"",IF(ISNA(計算結果!M492),"",計算結果!M492))</f>
        <v/>
      </c>
      <c r="N492" s="10" t="str">
        <f>IF(IF(ISNA(計算結果!N492),"",計算結果!N492)=0,"",IF(ISNA(計算結果!N492),"",計算結果!N492))</f>
        <v/>
      </c>
      <c r="O492" s="13" t="str">
        <f>IF(IF(ISNA(計算結果!O492),"",計算結果!O492)=0,"",IF(ISNA(計算結果!O492),"",計算結果!O492))</f>
        <v/>
      </c>
      <c r="P492" s="10" t="str">
        <f>IF(IF(ISNA(計算結果!P492),"",計算結果!P492)=0,"",IF(ISNA(計算結果!P492),"",計算結果!P492))</f>
        <v/>
      </c>
      <c r="Q492" s="10" t="str">
        <f>IF(IF(ISNA(計算結果!Q492),"",計算結果!Q492)=0,"",IF(ISNA(計算結果!Q492),"",計算結果!Q492))</f>
        <v/>
      </c>
      <c r="R492" s="14" t="str">
        <f t="shared" si="21"/>
        <v/>
      </c>
      <c r="S492" s="14" t="str">
        <f t="shared" si="22"/>
        <v>◯</v>
      </c>
      <c r="T492" s="14" t="str">
        <f t="shared" si="23"/>
        <v/>
      </c>
    </row>
    <row r="493" spans="1:20" hidden="1" x14ac:dyDescent="0.45">
      <c r="A493" s="10" t="str">
        <f>IF(IF(ISNA(計算結果!A493),"",計算結果!A493)=0,"",IF(ISNA(計算結果!A493),"",計算結果!A493))</f>
        <v/>
      </c>
      <c r="B493" s="10" t="str">
        <f>IF(IF(ISNA(計算結果!B493),"",計算結果!B493)=0,"",IF(ISNA(計算結果!B493),"",計算結果!B493))</f>
        <v/>
      </c>
      <c r="C493" s="10" t="str">
        <f>IF(IF(ISNA(計算結果!C493),"",計算結果!C493)=0,"",IF(ISNA(計算結果!C493),"",計算結果!C493))</f>
        <v/>
      </c>
      <c r="D493" s="10" t="str">
        <f>IF(IF(ISNA(計算結果!D493),"",計算結果!D493)=0,"",IF(ISNA(計算結果!D493),"",計算結果!D493))</f>
        <v>L</v>
      </c>
      <c r="E493" s="10" t="str">
        <f>IF(IF(ISNA(計算結果!E493),"",計算結果!E493)=0,"",IF(ISNA(計算結果!E493),"",計算結果!E493))</f>
        <v/>
      </c>
      <c r="F493" s="10" t="str">
        <f>IF(IF(ISNA(計算結果!F493),"",計算結果!F493)=0,"",IF(ISNA(計算結果!F493),"",計算結果!F493))</f>
        <v/>
      </c>
      <c r="G493" s="10" t="str">
        <f>IF(IF(ISNA(計算結果!G493),"",計算結果!G493)=0,"",IF(ISNA(計算結果!G493),"",計算結果!G493))</f>
        <v/>
      </c>
      <c r="H493" s="13">
        <f>IF(IF(ISNA(計算結果!H493),"",計算結果!H493)=0,"",IF(ISNA(計算結果!H493),"",計算結果!H493))</f>
        <v>-2</v>
      </c>
      <c r="I493" s="12" t="str">
        <f>IF(IF(ISNA(計算結果!I493),"",計算結果!I493)=0,"",IF(ISNA(計算結果!I493),"",計算結果!I493))</f>
        <v/>
      </c>
      <c r="J493" s="12" t="str">
        <f>IF(IF(ISNA(計算結果!J493),"",計算結果!J493)=0,"",IF(ISNA(計算結果!J493),"",計算結果!J493))</f>
        <v/>
      </c>
      <c r="K493" s="23" t="str">
        <f>IF(IF(ISNA(計算結果!K493),"",計算結果!K493)=0,"",IF(ISNA(計算結果!K493),"",計算結果!K493))</f>
        <v/>
      </c>
      <c r="L493" s="13" t="str">
        <f>IF(IF(ISNA(計算結果!L493),"",計算結果!L493)=0,"",IF(ISNA(計算結果!L493),"",計算結果!L493))</f>
        <v/>
      </c>
      <c r="M493" s="10" t="str">
        <f>IF(IF(ISNA(計算結果!M493),"",計算結果!M493)=0,"",IF(ISNA(計算結果!M493),"",計算結果!M493))</f>
        <v/>
      </c>
      <c r="N493" s="10" t="str">
        <f>IF(IF(ISNA(計算結果!N493),"",計算結果!N493)=0,"",IF(ISNA(計算結果!N493),"",計算結果!N493))</f>
        <v/>
      </c>
      <c r="O493" s="13" t="str">
        <f>IF(IF(ISNA(計算結果!O493),"",計算結果!O493)=0,"",IF(ISNA(計算結果!O493),"",計算結果!O493))</f>
        <v/>
      </c>
      <c r="P493" s="10" t="str">
        <f>IF(IF(ISNA(計算結果!P493),"",計算結果!P493)=0,"",IF(ISNA(計算結果!P493),"",計算結果!P493))</f>
        <v/>
      </c>
      <c r="Q493" s="10" t="str">
        <f>IF(IF(ISNA(計算結果!Q493),"",計算結果!Q493)=0,"",IF(ISNA(計算結果!Q493),"",計算結果!Q493))</f>
        <v/>
      </c>
      <c r="R493" s="14" t="str">
        <f t="shared" si="21"/>
        <v/>
      </c>
      <c r="S493" s="14" t="str">
        <f t="shared" si="22"/>
        <v>◯</v>
      </c>
      <c r="T493" s="14" t="str">
        <f t="shared" si="23"/>
        <v/>
      </c>
    </row>
    <row r="494" spans="1:20" hidden="1" x14ac:dyDescent="0.45">
      <c r="A494" s="10" t="str">
        <f>IF(IF(ISNA(計算結果!A494),"",計算結果!A494)=0,"",IF(ISNA(計算結果!A494),"",計算結果!A494))</f>
        <v/>
      </c>
      <c r="B494" s="10" t="str">
        <f>IF(IF(ISNA(計算結果!B494),"",計算結果!B494)=0,"",IF(ISNA(計算結果!B494),"",計算結果!B494))</f>
        <v/>
      </c>
      <c r="C494" s="10" t="str">
        <f>IF(IF(ISNA(計算結果!C494),"",計算結果!C494)=0,"",IF(ISNA(計算結果!C494),"",計算結果!C494))</f>
        <v/>
      </c>
      <c r="D494" s="10" t="str">
        <f>IF(IF(ISNA(計算結果!D494),"",計算結果!D494)=0,"",IF(ISNA(計算結果!D494),"",計算結果!D494))</f>
        <v>L</v>
      </c>
      <c r="E494" s="10" t="str">
        <f>IF(IF(ISNA(計算結果!E494),"",計算結果!E494)=0,"",IF(ISNA(計算結果!E494),"",計算結果!E494))</f>
        <v/>
      </c>
      <c r="F494" s="10" t="str">
        <f>IF(IF(ISNA(計算結果!F494),"",計算結果!F494)=0,"",IF(ISNA(計算結果!F494),"",計算結果!F494))</f>
        <v/>
      </c>
      <c r="G494" s="10" t="str">
        <f>IF(IF(ISNA(計算結果!G494),"",計算結果!G494)=0,"",IF(ISNA(計算結果!G494),"",計算結果!G494))</f>
        <v/>
      </c>
      <c r="H494" s="13">
        <f>IF(IF(ISNA(計算結果!H494),"",計算結果!H494)=0,"",IF(ISNA(計算結果!H494),"",計算結果!H494))</f>
        <v>-2</v>
      </c>
      <c r="I494" s="12" t="str">
        <f>IF(IF(ISNA(計算結果!I494),"",計算結果!I494)=0,"",IF(ISNA(計算結果!I494),"",計算結果!I494))</f>
        <v/>
      </c>
      <c r="J494" s="12" t="str">
        <f>IF(IF(ISNA(計算結果!J494),"",計算結果!J494)=0,"",IF(ISNA(計算結果!J494),"",計算結果!J494))</f>
        <v/>
      </c>
      <c r="K494" s="23" t="str">
        <f>IF(IF(ISNA(計算結果!K494),"",計算結果!K494)=0,"",IF(ISNA(計算結果!K494),"",計算結果!K494))</f>
        <v/>
      </c>
      <c r="L494" s="13" t="str">
        <f>IF(IF(ISNA(計算結果!L494),"",計算結果!L494)=0,"",IF(ISNA(計算結果!L494),"",計算結果!L494))</f>
        <v/>
      </c>
      <c r="M494" s="10" t="str">
        <f>IF(IF(ISNA(計算結果!M494),"",計算結果!M494)=0,"",IF(ISNA(計算結果!M494),"",計算結果!M494))</f>
        <v/>
      </c>
      <c r="N494" s="10" t="str">
        <f>IF(IF(ISNA(計算結果!N494),"",計算結果!N494)=0,"",IF(ISNA(計算結果!N494),"",計算結果!N494))</f>
        <v/>
      </c>
      <c r="O494" s="13" t="str">
        <f>IF(IF(ISNA(計算結果!O494),"",計算結果!O494)=0,"",IF(ISNA(計算結果!O494),"",計算結果!O494))</f>
        <v/>
      </c>
      <c r="P494" s="10" t="str">
        <f>IF(IF(ISNA(計算結果!P494),"",計算結果!P494)=0,"",IF(ISNA(計算結果!P494),"",計算結果!P494))</f>
        <v/>
      </c>
      <c r="Q494" s="10" t="str">
        <f>IF(IF(ISNA(計算結果!Q494),"",計算結果!Q494)=0,"",IF(ISNA(計算結果!Q494),"",計算結果!Q494))</f>
        <v/>
      </c>
      <c r="R494" s="14" t="str">
        <f t="shared" si="21"/>
        <v/>
      </c>
      <c r="S494" s="14" t="str">
        <f t="shared" si="22"/>
        <v>◯</v>
      </c>
      <c r="T494" s="14" t="str">
        <f t="shared" si="23"/>
        <v/>
      </c>
    </row>
    <row r="495" spans="1:20" hidden="1" x14ac:dyDescent="0.45">
      <c r="A495" s="10" t="str">
        <f>IF(IF(ISNA(計算結果!A495),"",計算結果!A495)=0,"",IF(ISNA(計算結果!A495),"",計算結果!A495))</f>
        <v/>
      </c>
      <c r="B495" s="10" t="str">
        <f>IF(IF(ISNA(計算結果!B495),"",計算結果!B495)=0,"",IF(ISNA(計算結果!B495),"",計算結果!B495))</f>
        <v/>
      </c>
      <c r="C495" s="10" t="str">
        <f>IF(IF(ISNA(計算結果!C495),"",計算結果!C495)=0,"",IF(ISNA(計算結果!C495),"",計算結果!C495))</f>
        <v/>
      </c>
      <c r="D495" s="10" t="str">
        <f>IF(IF(ISNA(計算結果!D495),"",計算結果!D495)=0,"",IF(ISNA(計算結果!D495),"",計算結果!D495))</f>
        <v>L</v>
      </c>
      <c r="E495" s="10" t="str">
        <f>IF(IF(ISNA(計算結果!E495),"",計算結果!E495)=0,"",IF(ISNA(計算結果!E495),"",計算結果!E495))</f>
        <v/>
      </c>
      <c r="F495" s="10" t="str">
        <f>IF(IF(ISNA(計算結果!F495),"",計算結果!F495)=0,"",IF(ISNA(計算結果!F495),"",計算結果!F495))</f>
        <v/>
      </c>
      <c r="G495" s="10" t="str">
        <f>IF(IF(ISNA(計算結果!G495),"",計算結果!G495)=0,"",IF(ISNA(計算結果!G495),"",計算結果!G495))</f>
        <v/>
      </c>
      <c r="H495" s="13">
        <f>IF(IF(ISNA(計算結果!H495),"",計算結果!H495)=0,"",IF(ISNA(計算結果!H495),"",計算結果!H495))</f>
        <v>-2</v>
      </c>
      <c r="I495" s="12" t="str">
        <f>IF(IF(ISNA(計算結果!I495),"",計算結果!I495)=0,"",IF(ISNA(計算結果!I495),"",計算結果!I495))</f>
        <v/>
      </c>
      <c r="J495" s="12" t="str">
        <f>IF(IF(ISNA(計算結果!J495),"",計算結果!J495)=0,"",IF(ISNA(計算結果!J495),"",計算結果!J495))</f>
        <v/>
      </c>
      <c r="K495" s="23" t="str">
        <f>IF(IF(ISNA(計算結果!K495),"",計算結果!K495)=0,"",IF(ISNA(計算結果!K495),"",計算結果!K495))</f>
        <v/>
      </c>
      <c r="L495" s="13" t="str">
        <f>IF(IF(ISNA(計算結果!L495),"",計算結果!L495)=0,"",IF(ISNA(計算結果!L495),"",計算結果!L495))</f>
        <v/>
      </c>
      <c r="M495" s="10" t="str">
        <f>IF(IF(ISNA(計算結果!M495),"",計算結果!M495)=0,"",IF(ISNA(計算結果!M495),"",計算結果!M495))</f>
        <v/>
      </c>
      <c r="N495" s="10" t="str">
        <f>IF(IF(ISNA(計算結果!N495),"",計算結果!N495)=0,"",IF(ISNA(計算結果!N495),"",計算結果!N495))</f>
        <v/>
      </c>
      <c r="O495" s="13" t="str">
        <f>IF(IF(ISNA(計算結果!O495),"",計算結果!O495)=0,"",IF(ISNA(計算結果!O495),"",計算結果!O495))</f>
        <v/>
      </c>
      <c r="P495" s="10" t="str">
        <f>IF(IF(ISNA(計算結果!P495),"",計算結果!P495)=0,"",IF(ISNA(計算結果!P495),"",計算結果!P495))</f>
        <v/>
      </c>
      <c r="Q495" s="10" t="str">
        <f>IF(IF(ISNA(計算結果!Q495),"",計算結果!Q495)=0,"",IF(ISNA(計算結果!Q495),"",計算結果!Q495))</f>
        <v/>
      </c>
      <c r="R495" s="14" t="str">
        <f t="shared" si="21"/>
        <v/>
      </c>
      <c r="S495" s="14" t="str">
        <f t="shared" si="22"/>
        <v>◯</v>
      </c>
      <c r="T495" s="14" t="str">
        <f t="shared" si="23"/>
        <v/>
      </c>
    </row>
    <row r="496" spans="1:20" hidden="1" x14ac:dyDescent="0.45">
      <c r="A496" s="10" t="str">
        <f>IF(IF(ISNA(計算結果!A496),"",計算結果!A496)=0,"",IF(ISNA(計算結果!A496),"",計算結果!A496))</f>
        <v/>
      </c>
      <c r="B496" s="10" t="str">
        <f>IF(IF(ISNA(計算結果!B496),"",計算結果!B496)=0,"",IF(ISNA(計算結果!B496),"",計算結果!B496))</f>
        <v/>
      </c>
      <c r="C496" s="10" t="str">
        <f>IF(IF(ISNA(計算結果!C496),"",計算結果!C496)=0,"",IF(ISNA(計算結果!C496),"",計算結果!C496))</f>
        <v/>
      </c>
      <c r="D496" s="10" t="str">
        <f>IF(IF(ISNA(計算結果!D496),"",計算結果!D496)=0,"",IF(ISNA(計算結果!D496),"",計算結果!D496))</f>
        <v>L</v>
      </c>
      <c r="E496" s="10" t="str">
        <f>IF(IF(ISNA(計算結果!E496),"",計算結果!E496)=0,"",IF(ISNA(計算結果!E496),"",計算結果!E496))</f>
        <v/>
      </c>
      <c r="F496" s="10" t="str">
        <f>IF(IF(ISNA(計算結果!F496),"",計算結果!F496)=0,"",IF(ISNA(計算結果!F496),"",計算結果!F496))</f>
        <v/>
      </c>
      <c r="G496" s="10" t="str">
        <f>IF(IF(ISNA(計算結果!G496),"",計算結果!G496)=0,"",IF(ISNA(計算結果!G496),"",計算結果!G496))</f>
        <v/>
      </c>
      <c r="H496" s="13">
        <f>IF(IF(ISNA(計算結果!H496),"",計算結果!H496)=0,"",IF(ISNA(計算結果!H496),"",計算結果!H496))</f>
        <v>-2</v>
      </c>
      <c r="I496" s="12" t="str">
        <f>IF(IF(ISNA(計算結果!I496),"",計算結果!I496)=0,"",IF(ISNA(計算結果!I496),"",計算結果!I496))</f>
        <v/>
      </c>
      <c r="J496" s="12" t="str">
        <f>IF(IF(ISNA(計算結果!J496),"",計算結果!J496)=0,"",IF(ISNA(計算結果!J496),"",計算結果!J496))</f>
        <v/>
      </c>
      <c r="K496" s="23" t="str">
        <f>IF(IF(ISNA(計算結果!K496),"",計算結果!K496)=0,"",IF(ISNA(計算結果!K496),"",計算結果!K496))</f>
        <v/>
      </c>
      <c r="L496" s="13" t="str">
        <f>IF(IF(ISNA(計算結果!L496),"",計算結果!L496)=0,"",IF(ISNA(計算結果!L496),"",計算結果!L496))</f>
        <v/>
      </c>
      <c r="M496" s="10" t="str">
        <f>IF(IF(ISNA(計算結果!M496),"",計算結果!M496)=0,"",IF(ISNA(計算結果!M496),"",計算結果!M496))</f>
        <v/>
      </c>
      <c r="N496" s="10" t="str">
        <f>IF(IF(ISNA(計算結果!N496),"",計算結果!N496)=0,"",IF(ISNA(計算結果!N496),"",計算結果!N496))</f>
        <v/>
      </c>
      <c r="O496" s="13" t="str">
        <f>IF(IF(ISNA(計算結果!O496),"",計算結果!O496)=0,"",IF(ISNA(計算結果!O496),"",計算結果!O496))</f>
        <v/>
      </c>
      <c r="P496" s="10" t="str">
        <f>IF(IF(ISNA(計算結果!P496),"",計算結果!P496)=0,"",IF(ISNA(計算結果!P496),"",計算結果!P496))</f>
        <v/>
      </c>
      <c r="Q496" s="10" t="str">
        <f>IF(IF(ISNA(計算結果!Q496),"",計算結果!Q496)=0,"",IF(ISNA(計算結果!Q496),"",計算結果!Q496))</f>
        <v/>
      </c>
      <c r="R496" s="14" t="str">
        <f t="shared" si="21"/>
        <v/>
      </c>
      <c r="S496" s="14" t="str">
        <f t="shared" si="22"/>
        <v>◯</v>
      </c>
      <c r="T496" s="14" t="str">
        <f t="shared" si="23"/>
        <v/>
      </c>
    </row>
    <row r="497" spans="1:20" hidden="1" x14ac:dyDescent="0.45">
      <c r="A497" s="10" t="str">
        <f>IF(IF(ISNA(計算結果!A497),"",計算結果!A497)=0,"",IF(ISNA(計算結果!A497),"",計算結果!A497))</f>
        <v/>
      </c>
      <c r="B497" s="10" t="str">
        <f>IF(IF(ISNA(計算結果!B497),"",計算結果!B497)=0,"",IF(ISNA(計算結果!B497),"",計算結果!B497))</f>
        <v/>
      </c>
      <c r="C497" s="10" t="str">
        <f>IF(IF(ISNA(計算結果!C497),"",計算結果!C497)=0,"",IF(ISNA(計算結果!C497),"",計算結果!C497))</f>
        <v/>
      </c>
      <c r="D497" s="10" t="str">
        <f>IF(IF(ISNA(計算結果!D497),"",計算結果!D497)=0,"",IF(ISNA(計算結果!D497),"",計算結果!D497))</f>
        <v>L</v>
      </c>
      <c r="E497" s="10" t="str">
        <f>IF(IF(ISNA(計算結果!E497),"",計算結果!E497)=0,"",IF(ISNA(計算結果!E497),"",計算結果!E497))</f>
        <v/>
      </c>
      <c r="F497" s="10" t="str">
        <f>IF(IF(ISNA(計算結果!F497),"",計算結果!F497)=0,"",IF(ISNA(計算結果!F497),"",計算結果!F497))</f>
        <v/>
      </c>
      <c r="G497" s="10" t="str">
        <f>IF(IF(ISNA(計算結果!G497),"",計算結果!G497)=0,"",IF(ISNA(計算結果!G497),"",計算結果!G497))</f>
        <v/>
      </c>
      <c r="H497" s="13">
        <f>IF(IF(ISNA(計算結果!H497),"",計算結果!H497)=0,"",IF(ISNA(計算結果!H497),"",計算結果!H497))</f>
        <v>-2</v>
      </c>
      <c r="I497" s="12" t="str">
        <f>IF(IF(ISNA(計算結果!I497),"",計算結果!I497)=0,"",IF(ISNA(計算結果!I497),"",計算結果!I497))</f>
        <v/>
      </c>
      <c r="J497" s="12" t="str">
        <f>IF(IF(ISNA(計算結果!J497),"",計算結果!J497)=0,"",IF(ISNA(計算結果!J497),"",計算結果!J497))</f>
        <v/>
      </c>
      <c r="K497" s="23" t="str">
        <f>IF(IF(ISNA(計算結果!K497),"",計算結果!K497)=0,"",IF(ISNA(計算結果!K497),"",計算結果!K497))</f>
        <v/>
      </c>
      <c r="L497" s="13" t="str">
        <f>IF(IF(ISNA(計算結果!L497),"",計算結果!L497)=0,"",IF(ISNA(計算結果!L497),"",計算結果!L497))</f>
        <v/>
      </c>
      <c r="M497" s="10" t="str">
        <f>IF(IF(ISNA(計算結果!M497),"",計算結果!M497)=0,"",IF(ISNA(計算結果!M497),"",計算結果!M497))</f>
        <v/>
      </c>
      <c r="N497" s="10" t="str">
        <f>IF(IF(ISNA(計算結果!N497),"",計算結果!N497)=0,"",IF(ISNA(計算結果!N497),"",計算結果!N497))</f>
        <v/>
      </c>
      <c r="O497" s="13" t="str">
        <f>IF(IF(ISNA(計算結果!O497),"",計算結果!O497)=0,"",IF(ISNA(計算結果!O497),"",計算結果!O497))</f>
        <v/>
      </c>
      <c r="P497" s="10" t="str">
        <f>IF(IF(ISNA(計算結果!P497),"",計算結果!P497)=0,"",IF(ISNA(計算結果!P497),"",計算結果!P497))</f>
        <v/>
      </c>
      <c r="Q497" s="10" t="str">
        <f>IF(IF(ISNA(計算結果!Q497),"",計算結果!Q497)=0,"",IF(ISNA(計算結果!Q497),"",計算結果!Q497))</f>
        <v/>
      </c>
      <c r="R497" s="14" t="str">
        <f t="shared" si="21"/>
        <v/>
      </c>
      <c r="S497" s="14" t="str">
        <f t="shared" si="22"/>
        <v>◯</v>
      </c>
      <c r="T497" s="14" t="str">
        <f t="shared" si="23"/>
        <v/>
      </c>
    </row>
    <row r="498" spans="1:20" hidden="1" x14ac:dyDescent="0.45">
      <c r="A498" s="10" t="str">
        <f>IF(IF(ISNA(計算結果!A498),"",計算結果!A498)=0,"",IF(ISNA(計算結果!A498),"",計算結果!A498))</f>
        <v/>
      </c>
      <c r="B498" s="10" t="str">
        <f>IF(IF(ISNA(計算結果!B498),"",計算結果!B498)=0,"",IF(ISNA(計算結果!B498),"",計算結果!B498))</f>
        <v/>
      </c>
      <c r="C498" s="10" t="str">
        <f>IF(IF(ISNA(計算結果!C498),"",計算結果!C498)=0,"",IF(ISNA(計算結果!C498),"",計算結果!C498))</f>
        <v/>
      </c>
      <c r="D498" s="10" t="str">
        <f>IF(IF(ISNA(計算結果!D498),"",計算結果!D498)=0,"",IF(ISNA(計算結果!D498),"",計算結果!D498))</f>
        <v>L</v>
      </c>
      <c r="E498" s="10" t="str">
        <f>IF(IF(ISNA(計算結果!E498),"",計算結果!E498)=0,"",IF(ISNA(計算結果!E498),"",計算結果!E498))</f>
        <v/>
      </c>
      <c r="F498" s="10" t="str">
        <f>IF(IF(ISNA(計算結果!F498),"",計算結果!F498)=0,"",IF(ISNA(計算結果!F498),"",計算結果!F498))</f>
        <v/>
      </c>
      <c r="G498" s="10" t="str">
        <f>IF(IF(ISNA(計算結果!G498),"",計算結果!G498)=0,"",IF(ISNA(計算結果!G498),"",計算結果!G498))</f>
        <v/>
      </c>
      <c r="H498" s="13">
        <f>IF(IF(ISNA(計算結果!H498),"",計算結果!H498)=0,"",IF(ISNA(計算結果!H498),"",計算結果!H498))</f>
        <v>-2</v>
      </c>
      <c r="I498" s="12" t="str">
        <f>IF(IF(ISNA(計算結果!I498),"",計算結果!I498)=0,"",IF(ISNA(計算結果!I498),"",計算結果!I498))</f>
        <v/>
      </c>
      <c r="J498" s="12" t="str">
        <f>IF(IF(ISNA(計算結果!J498),"",計算結果!J498)=0,"",IF(ISNA(計算結果!J498),"",計算結果!J498))</f>
        <v/>
      </c>
      <c r="K498" s="23" t="str">
        <f>IF(IF(ISNA(計算結果!K498),"",計算結果!K498)=0,"",IF(ISNA(計算結果!K498),"",計算結果!K498))</f>
        <v/>
      </c>
      <c r="L498" s="13" t="str">
        <f>IF(IF(ISNA(計算結果!L498),"",計算結果!L498)=0,"",IF(ISNA(計算結果!L498),"",計算結果!L498))</f>
        <v/>
      </c>
      <c r="M498" s="10" t="str">
        <f>IF(IF(ISNA(計算結果!M498),"",計算結果!M498)=0,"",IF(ISNA(計算結果!M498),"",計算結果!M498))</f>
        <v/>
      </c>
      <c r="N498" s="10" t="str">
        <f>IF(IF(ISNA(計算結果!N498),"",計算結果!N498)=0,"",IF(ISNA(計算結果!N498),"",計算結果!N498))</f>
        <v/>
      </c>
      <c r="O498" s="13" t="str">
        <f>IF(IF(ISNA(計算結果!O498),"",計算結果!O498)=0,"",IF(ISNA(計算結果!O498),"",計算結果!O498))</f>
        <v/>
      </c>
      <c r="P498" s="10" t="str">
        <f>IF(IF(ISNA(計算結果!P498),"",計算結果!P498)=0,"",IF(ISNA(計算結果!P498),"",計算結果!P498))</f>
        <v/>
      </c>
      <c r="Q498" s="10" t="str">
        <f>IF(IF(ISNA(計算結果!Q498),"",計算結果!Q498)=0,"",IF(ISNA(計算結果!Q498),"",計算結果!Q498))</f>
        <v/>
      </c>
      <c r="R498" s="14" t="str">
        <f t="shared" si="21"/>
        <v/>
      </c>
      <c r="S498" s="14" t="str">
        <f t="shared" si="22"/>
        <v>◯</v>
      </c>
      <c r="T498" s="14" t="str">
        <f t="shared" si="23"/>
        <v/>
      </c>
    </row>
    <row r="499" spans="1:20" hidden="1" x14ac:dyDescent="0.45">
      <c r="A499" s="10" t="str">
        <f>IF(IF(ISNA(計算結果!A499),"",計算結果!A499)=0,"",IF(ISNA(計算結果!A499),"",計算結果!A499))</f>
        <v/>
      </c>
      <c r="B499" s="10" t="str">
        <f>IF(IF(ISNA(計算結果!B499),"",計算結果!B499)=0,"",IF(ISNA(計算結果!B499),"",計算結果!B499))</f>
        <v/>
      </c>
      <c r="C499" s="10" t="str">
        <f>IF(IF(ISNA(計算結果!C499),"",計算結果!C499)=0,"",IF(ISNA(計算結果!C499),"",計算結果!C499))</f>
        <v/>
      </c>
      <c r="D499" s="10" t="str">
        <f>IF(IF(ISNA(計算結果!D499),"",計算結果!D499)=0,"",IF(ISNA(計算結果!D499),"",計算結果!D499))</f>
        <v>L</v>
      </c>
      <c r="E499" s="10" t="str">
        <f>IF(IF(ISNA(計算結果!E499),"",計算結果!E499)=0,"",IF(ISNA(計算結果!E499),"",計算結果!E499))</f>
        <v/>
      </c>
      <c r="F499" s="10" t="str">
        <f>IF(IF(ISNA(計算結果!F499),"",計算結果!F499)=0,"",IF(ISNA(計算結果!F499),"",計算結果!F499))</f>
        <v/>
      </c>
      <c r="G499" s="10" t="str">
        <f>IF(IF(ISNA(計算結果!G499),"",計算結果!G499)=0,"",IF(ISNA(計算結果!G499),"",計算結果!G499))</f>
        <v/>
      </c>
      <c r="H499" s="13">
        <f>IF(IF(ISNA(計算結果!H499),"",計算結果!H499)=0,"",IF(ISNA(計算結果!H499),"",計算結果!H499))</f>
        <v>-2</v>
      </c>
      <c r="I499" s="12" t="str">
        <f>IF(IF(ISNA(計算結果!I499),"",計算結果!I499)=0,"",IF(ISNA(計算結果!I499),"",計算結果!I499))</f>
        <v/>
      </c>
      <c r="J499" s="12" t="str">
        <f>IF(IF(ISNA(計算結果!J499),"",計算結果!J499)=0,"",IF(ISNA(計算結果!J499),"",計算結果!J499))</f>
        <v/>
      </c>
      <c r="K499" s="23" t="str">
        <f>IF(IF(ISNA(計算結果!K499),"",計算結果!K499)=0,"",IF(ISNA(計算結果!K499),"",計算結果!K499))</f>
        <v/>
      </c>
      <c r="L499" s="13" t="str">
        <f>IF(IF(ISNA(計算結果!L499),"",計算結果!L499)=0,"",IF(ISNA(計算結果!L499),"",計算結果!L499))</f>
        <v/>
      </c>
      <c r="M499" s="10" t="str">
        <f>IF(IF(ISNA(計算結果!M499),"",計算結果!M499)=0,"",IF(ISNA(計算結果!M499),"",計算結果!M499))</f>
        <v/>
      </c>
      <c r="N499" s="10" t="str">
        <f>IF(IF(ISNA(計算結果!N499),"",計算結果!N499)=0,"",IF(ISNA(計算結果!N499),"",計算結果!N499))</f>
        <v/>
      </c>
      <c r="O499" s="13" t="str">
        <f>IF(IF(ISNA(計算結果!O499),"",計算結果!O499)=0,"",IF(ISNA(計算結果!O499),"",計算結果!O499))</f>
        <v/>
      </c>
      <c r="P499" s="10" t="str">
        <f>IF(IF(ISNA(計算結果!P499),"",計算結果!P499)=0,"",IF(ISNA(計算結果!P499),"",計算結果!P499))</f>
        <v/>
      </c>
      <c r="Q499" s="10" t="str">
        <f>IF(IF(ISNA(計算結果!Q499),"",計算結果!Q499)=0,"",IF(ISNA(計算結果!Q499),"",計算結果!Q499))</f>
        <v/>
      </c>
      <c r="R499" s="14" t="str">
        <f t="shared" si="21"/>
        <v/>
      </c>
      <c r="S499" s="14" t="str">
        <f t="shared" si="22"/>
        <v>◯</v>
      </c>
      <c r="T499" s="14" t="str">
        <f t="shared" si="23"/>
        <v/>
      </c>
    </row>
    <row r="500" spans="1:20" hidden="1" x14ac:dyDescent="0.45">
      <c r="A500" s="10" t="str">
        <f>IF(IF(ISNA(計算結果!A500),"",計算結果!A500)=0,"",IF(ISNA(計算結果!A500),"",計算結果!A500))</f>
        <v/>
      </c>
      <c r="B500" s="10" t="str">
        <f>IF(IF(ISNA(計算結果!B500),"",計算結果!B500)=0,"",IF(ISNA(計算結果!B500),"",計算結果!B500))</f>
        <v/>
      </c>
      <c r="C500" s="10" t="str">
        <f>IF(IF(ISNA(計算結果!C500),"",計算結果!C500)=0,"",IF(ISNA(計算結果!C500),"",計算結果!C500))</f>
        <v/>
      </c>
      <c r="D500" s="10" t="str">
        <f>IF(IF(ISNA(計算結果!D500),"",計算結果!D500)=0,"",IF(ISNA(計算結果!D500),"",計算結果!D500))</f>
        <v>L</v>
      </c>
      <c r="E500" s="10" t="str">
        <f>IF(IF(ISNA(計算結果!E500),"",計算結果!E500)=0,"",IF(ISNA(計算結果!E500),"",計算結果!E500))</f>
        <v/>
      </c>
      <c r="F500" s="10" t="str">
        <f>IF(IF(ISNA(計算結果!F500),"",計算結果!F500)=0,"",IF(ISNA(計算結果!F500),"",計算結果!F500))</f>
        <v/>
      </c>
      <c r="G500" s="10" t="str">
        <f>IF(IF(ISNA(計算結果!G500),"",計算結果!G500)=0,"",IF(ISNA(計算結果!G500),"",計算結果!G500))</f>
        <v/>
      </c>
      <c r="H500" s="13">
        <f>IF(IF(ISNA(計算結果!H500),"",計算結果!H500)=0,"",IF(ISNA(計算結果!H500),"",計算結果!H500))</f>
        <v>-2</v>
      </c>
      <c r="I500" s="12" t="str">
        <f>IF(IF(ISNA(計算結果!I500),"",計算結果!I500)=0,"",IF(ISNA(計算結果!I500),"",計算結果!I500))</f>
        <v/>
      </c>
      <c r="J500" s="12" t="str">
        <f>IF(IF(ISNA(計算結果!J500),"",計算結果!J500)=0,"",IF(ISNA(計算結果!J500),"",計算結果!J500))</f>
        <v/>
      </c>
      <c r="K500" s="23" t="str">
        <f>IF(IF(ISNA(計算結果!K500),"",計算結果!K500)=0,"",IF(ISNA(計算結果!K500),"",計算結果!K500))</f>
        <v/>
      </c>
      <c r="L500" s="13" t="str">
        <f>IF(IF(ISNA(計算結果!L500),"",計算結果!L500)=0,"",IF(ISNA(計算結果!L500),"",計算結果!L500))</f>
        <v/>
      </c>
      <c r="M500" s="10" t="str">
        <f>IF(IF(ISNA(計算結果!M500),"",計算結果!M500)=0,"",IF(ISNA(計算結果!M500),"",計算結果!M500))</f>
        <v/>
      </c>
      <c r="N500" s="10" t="str">
        <f>IF(IF(ISNA(計算結果!N500),"",計算結果!N500)=0,"",IF(ISNA(計算結果!N500),"",計算結果!N500))</f>
        <v/>
      </c>
      <c r="O500" s="13" t="str">
        <f>IF(IF(ISNA(計算結果!O500),"",計算結果!O500)=0,"",IF(ISNA(計算結果!O500),"",計算結果!O500))</f>
        <v/>
      </c>
      <c r="P500" s="10" t="str">
        <f>IF(IF(ISNA(計算結果!P500),"",計算結果!P500)=0,"",IF(ISNA(計算結果!P500),"",計算結果!P500))</f>
        <v/>
      </c>
      <c r="Q500" s="10" t="str">
        <f>IF(IF(ISNA(計算結果!Q500),"",計算結果!Q500)=0,"",IF(ISNA(計算結果!Q500),"",計算結果!Q500))</f>
        <v/>
      </c>
      <c r="R500" s="14" t="str">
        <f t="shared" si="21"/>
        <v/>
      </c>
      <c r="S500" s="14" t="str">
        <f t="shared" si="22"/>
        <v>◯</v>
      </c>
      <c r="T500" s="14" t="str">
        <f t="shared" si="23"/>
        <v/>
      </c>
    </row>
    <row r="501" spans="1:20" hidden="1" x14ac:dyDescent="0.45">
      <c r="A501" s="10" t="str">
        <f>IF(IF(ISNA(計算結果!A501),"",計算結果!A501)=0,"",IF(ISNA(計算結果!A501),"",計算結果!A501))</f>
        <v/>
      </c>
      <c r="B501" s="10" t="str">
        <f>IF(IF(ISNA(計算結果!B501),"",計算結果!B501)=0,"",IF(ISNA(計算結果!B501),"",計算結果!B501))</f>
        <v/>
      </c>
      <c r="C501" s="10" t="str">
        <f>IF(IF(ISNA(計算結果!C501),"",計算結果!C501)=0,"",IF(ISNA(計算結果!C501),"",計算結果!C501))</f>
        <v/>
      </c>
      <c r="D501" s="10" t="str">
        <f>IF(IF(ISNA(計算結果!D501),"",計算結果!D501)=0,"",IF(ISNA(計算結果!D501),"",計算結果!D501))</f>
        <v>L</v>
      </c>
      <c r="E501" s="10" t="str">
        <f>IF(IF(ISNA(計算結果!E501),"",計算結果!E501)=0,"",IF(ISNA(計算結果!E501),"",計算結果!E501))</f>
        <v/>
      </c>
      <c r="F501" s="10" t="str">
        <f>IF(IF(ISNA(計算結果!F501),"",計算結果!F501)=0,"",IF(ISNA(計算結果!F501),"",計算結果!F501))</f>
        <v/>
      </c>
      <c r="G501" s="10" t="str">
        <f>IF(IF(ISNA(計算結果!G501),"",計算結果!G501)=0,"",IF(ISNA(計算結果!G501),"",計算結果!G501))</f>
        <v/>
      </c>
      <c r="H501" s="13">
        <f>IF(IF(ISNA(計算結果!H501),"",計算結果!H501)=0,"",IF(ISNA(計算結果!H501),"",計算結果!H501))</f>
        <v>-2</v>
      </c>
      <c r="I501" s="12" t="str">
        <f>IF(IF(ISNA(計算結果!I501),"",計算結果!I501)=0,"",IF(ISNA(計算結果!I501),"",計算結果!I501))</f>
        <v/>
      </c>
      <c r="J501" s="12" t="str">
        <f>IF(IF(ISNA(計算結果!J501),"",計算結果!J501)=0,"",IF(ISNA(計算結果!J501),"",計算結果!J501))</f>
        <v/>
      </c>
      <c r="K501" s="23" t="str">
        <f>IF(IF(ISNA(計算結果!K501),"",計算結果!K501)=0,"",IF(ISNA(計算結果!K501),"",計算結果!K501))</f>
        <v/>
      </c>
      <c r="L501" s="13" t="str">
        <f>IF(IF(ISNA(計算結果!L501),"",計算結果!L501)=0,"",IF(ISNA(計算結果!L501),"",計算結果!L501))</f>
        <v/>
      </c>
      <c r="M501" s="10" t="str">
        <f>IF(IF(ISNA(計算結果!M501),"",計算結果!M501)=0,"",IF(ISNA(計算結果!M501),"",計算結果!M501))</f>
        <v/>
      </c>
      <c r="N501" s="10" t="str">
        <f>IF(IF(ISNA(計算結果!N501),"",計算結果!N501)=0,"",IF(ISNA(計算結果!N501),"",計算結果!N501))</f>
        <v/>
      </c>
      <c r="O501" s="13" t="str">
        <f>IF(IF(ISNA(計算結果!O501),"",計算結果!O501)=0,"",IF(ISNA(計算結果!O501),"",計算結果!O501))</f>
        <v/>
      </c>
      <c r="P501" s="10" t="str">
        <f>IF(IF(ISNA(計算結果!P501),"",計算結果!P501)=0,"",IF(ISNA(計算結果!P501),"",計算結果!P501))</f>
        <v/>
      </c>
      <c r="Q501" s="10" t="str">
        <f>IF(IF(ISNA(計算結果!Q501),"",計算結果!Q501)=0,"",IF(ISNA(計算結果!Q501),"",計算結果!Q501))</f>
        <v/>
      </c>
      <c r="R501" s="14" t="str">
        <f t="shared" si="21"/>
        <v/>
      </c>
      <c r="S501" s="14" t="str">
        <f t="shared" si="22"/>
        <v>◯</v>
      </c>
      <c r="T501" s="14" t="str">
        <f t="shared" si="23"/>
        <v/>
      </c>
    </row>
    <row r="502" spans="1:20" hidden="1" x14ac:dyDescent="0.45">
      <c r="A502" s="10" t="str">
        <f>IF(IF(ISNA(計算結果!A502),"",計算結果!A502)=0,"",IF(ISNA(計算結果!A502),"",計算結果!A502))</f>
        <v/>
      </c>
      <c r="B502" s="10" t="str">
        <f>IF(IF(ISNA(計算結果!B502),"",計算結果!B502)=0,"",IF(ISNA(計算結果!B502),"",計算結果!B502))</f>
        <v/>
      </c>
      <c r="C502" s="10" t="str">
        <f>IF(IF(ISNA(計算結果!C502),"",計算結果!C502)=0,"",IF(ISNA(計算結果!C502),"",計算結果!C502))</f>
        <v/>
      </c>
      <c r="D502" s="10" t="str">
        <f>IF(IF(ISNA(計算結果!D502),"",計算結果!D502)=0,"",IF(ISNA(計算結果!D502),"",計算結果!D502))</f>
        <v>L</v>
      </c>
      <c r="E502" s="10" t="str">
        <f>IF(IF(ISNA(計算結果!E502),"",計算結果!E502)=0,"",IF(ISNA(計算結果!E502),"",計算結果!E502))</f>
        <v/>
      </c>
      <c r="F502" s="10" t="str">
        <f>IF(IF(ISNA(計算結果!F502),"",計算結果!F502)=0,"",IF(ISNA(計算結果!F502),"",計算結果!F502))</f>
        <v/>
      </c>
      <c r="G502" s="10" t="str">
        <f>IF(IF(ISNA(計算結果!G502),"",計算結果!G502)=0,"",IF(ISNA(計算結果!G502),"",計算結果!G502))</f>
        <v/>
      </c>
      <c r="H502" s="13">
        <f>IF(IF(ISNA(計算結果!H502),"",計算結果!H502)=0,"",IF(ISNA(計算結果!H502),"",計算結果!H502))</f>
        <v>-2</v>
      </c>
      <c r="I502" s="12" t="str">
        <f>IF(IF(ISNA(計算結果!I502),"",計算結果!I502)=0,"",IF(ISNA(計算結果!I502),"",計算結果!I502))</f>
        <v/>
      </c>
      <c r="J502" s="12" t="str">
        <f>IF(IF(ISNA(計算結果!J502),"",計算結果!J502)=0,"",IF(ISNA(計算結果!J502),"",計算結果!J502))</f>
        <v/>
      </c>
      <c r="K502" s="23" t="str">
        <f>IF(IF(ISNA(計算結果!K502),"",計算結果!K502)=0,"",IF(ISNA(計算結果!K502),"",計算結果!K502))</f>
        <v/>
      </c>
      <c r="L502" s="13" t="str">
        <f>IF(IF(ISNA(計算結果!L502),"",計算結果!L502)=0,"",IF(ISNA(計算結果!L502),"",計算結果!L502))</f>
        <v/>
      </c>
      <c r="M502" s="10" t="str">
        <f>IF(IF(ISNA(計算結果!M502),"",計算結果!M502)=0,"",IF(ISNA(計算結果!M502),"",計算結果!M502))</f>
        <v/>
      </c>
      <c r="N502" s="10" t="str">
        <f>IF(IF(ISNA(計算結果!N502),"",計算結果!N502)=0,"",IF(ISNA(計算結果!N502),"",計算結果!N502))</f>
        <v/>
      </c>
      <c r="O502" s="13" t="str">
        <f>IF(IF(ISNA(計算結果!O502),"",計算結果!O502)=0,"",IF(ISNA(計算結果!O502),"",計算結果!O502))</f>
        <v/>
      </c>
      <c r="P502" s="10" t="str">
        <f>IF(IF(ISNA(計算結果!P502),"",計算結果!P502)=0,"",IF(ISNA(計算結果!P502),"",計算結果!P502))</f>
        <v/>
      </c>
      <c r="Q502" s="10" t="str">
        <f>IF(IF(ISNA(計算結果!Q502),"",計算結果!Q502)=0,"",IF(ISNA(計算結果!Q502),"",計算結果!Q502))</f>
        <v/>
      </c>
      <c r="R502" s="14" t="str">
        <f t="shared" si="21"/>
        <v/>
      </c>
      <c r="S502" s="14" t="str">
        <f t="shared" si="22"/>
        <v>◯</v>
      </c>
      <c r="T502" s="14" t="str">
        <f t="shared" si="23"/>
        <v/>
      </c>
    </row>
    <row r="503" spans="1:20" hidden="1" x14ac:dyDescent="0.45">
      <c r="A503" s="10" t="str">
        <f>IF(IF(ISNA(計算結果!A503),"",計算結果!A503)=0,"",IF(ISNA(計算結果!A503),"",計算結果!A503))</f>
        <v/>
      </c>
      <c r="B503" s="10" t="str">
        <f>IF(IF(ISNA(計算結果!B503),"",計算結果!B503)=0,"",IF(ISNA(計算結果!B503),"",計算結果!B503))</f>
        <v/>
      </c>
      <c r="C503" s="10" t="str">
        <f>IF(IF(ISNA(計算結果!C503),"",計算結果!C503)=0,"",IF(ISNA(計算結果!C503),"",計算結果!C503))</f>
        <v/>
      </c>
      <c r="D503" s="10" t="str">
        <f>IF(IF(ISNA(計算結果!D503),"",計算結果!D503)=0,"",IF(ISNA(計算結果!D503),"",計算結果!D503))</f>
        <v>L</v>
      </c>
      <c r="E503" s="10" t="str">
        <f>IF(IF(ISNA(計算結果!E503),"",計算結果!E503)=0,"",IF(ISNA(計算結果!E503),"",計算結果!E503))</f>
        <v/>
      </c>
      <c r="F503" s="10" t="str">
        <f>IF(IF(ISNA(計算結果!F503),"",計算結果!F503)=0,"",IF(ISNA(計算結果!F503),"",計算結果!F503))</f>
        <v/>
      </c>
      <c r="G503" s="10" t="str">
        <f>IF(IF(ISNA(計算結果!G503),"",計算結果!G503)=0,"",IF(ISNA(計算結果!G503),"",計算結果!G503))</f>
        <v/>
      </c>
      <c r="H503" s="13">
        <f>IF(IF(ISNA(計算結果!H503),"",計算結果!H503)=0,"",IF(ISNA(計算結果!H503),"",計算結果!H503))</f>
        <v>-2</v>
      </c>
      <c r="I503" s="12" t="str">
        <f>IF(IF(ISNA(計算結果!I503),"",計算結果!I503)=0,"",IF(ISNA(計算結果!I503),"",計算結果!I503))</f>
        <v/>
      </c>
      <c r="J503" s="12" t="str">
        <f>IF(IF(ISNA(計算結果!J503),"",計算結果!J503)=0,"",IF(ISNA(計算結果!J503),"",計算結果!J503))</f>
        <v/>
      </c>
      <c r="K503" s="23" t="str">
        <f>IF(IF(ISNA(計算結果!K503),"",計算結果!K503)=0,"",IF(ISNA(計算結果!K503),"",計算結果!K503))</f>
        <v/>
      </c>
      <c r="L503" s="13" t="str">
        <f>IF(IF(ISNA(計算結果!L503),"",計算結果!L503)=0,"",IF(ISNA(計算結果!L503),"",計算結果!L503))</f>
        <v/>
      </c>
      <c r="M503" s="10" t="str">
        <f>IF(IF(ISNA(計算結果!M503),"",計算結果!M503)=0,"",IF(ISNA(計算結果!M503),"",計算結果!M503))</f>
        <v/>
      </c>
      <c r="N503" s="10" t="str">
        <f>IF(IF(ISNA(計算結果!N503),"",計算結果!N503)=0,"",IF(ISNA(計算結果!N503),"",計算結果!N503))</f>
        <v/>
      </c>
      <c r="O503" s="13" t="str">
        <f>IF(IF(ISNA(計算結果!O503),"",計算結果!O503)=0,"",IF(ISNA(計算結果!O503),"",計算結果!O503))</f>
        <v/>
      </c>
      <c r="P503" s="10" t="str">
        <f>IF(IF(ISNA(計算結果!P503),"",計算結果!P503)=0,"",IF(ISNA(計算結果!P503),"",計算結果!P503))</f>
        <v/>
      </c>
      <c r="Q503" s="10" t="str">
        <f>IF(IF(ISNA(計算結果!Q503),"",計算結果!Q503)=0,"",IF(ISNA(計算結果!Q503),"",計算結果!Q503))</f>
        <v/>
      </c>
      <c r="R503" s="14" t="str">
        <f t="shared" si="21"/>
        <v/>
      </c>
      <c r="S503" s="14" t="str">
        <f t="shared" si="22"/>
        <v>◯</v>
      </c>
      <c r="T503" s="14" t="str">
        <f t="shared" si="23"/>
        <v/>
      </c>
    </row>
    <row r="504" spans="1:20" hidden="1" x14ac:dyDescent="0.45">
      <c r="A504" s="10" t="str">
        <f>IF(IF(ISNA(計算結果!A504),"",計算結果!A504)=0,"",IF(ISNA(計算結果!A504),"",計算結果!A504))</f>
        <v/>
      </c>
      <c r="B504" s="10" t="str">
        <f>IF(IF(ISNA(計算結果!B504),"",計算結果!B504)=0,"",IF(ISNA(計算結果!B504),"",計算結果!B504))</f>
        <v/>
      </c>
      <c r="C504" s="10" t="str">
        <f>IF(IF(ISNA(計算結果!C504),"",計算結果!C504)=0,"",IF(ISNA(計算結果!C504),"",計算結果!C504))</f>
        <v/>
      </c>
      <c r="D504" s="10" t="str">
        <f>IF(IF(ISNA(計算結果!D504),"",計算結果!D504)=0,"",IF(ISNA(計算結果!D504),"",計算結果!D504))</f>
        <v>L</v>
      </c>
      <c r="E504" s="10" t="str">
        <f>IF(IF(ISNA(計算結果!E504),"",計算結果!E504)=0,"",IF(ISNA(計算結果!E504),"",計算結果!E504))</f>
        <v/>
      </c>
      <c r="F504" s="10" t="str">
        <f>IF(IF(ISNA(計算結果!F504),"",計算結果!F504)=0,"",IF(ISNA(計算結果!F504),"",計算結果!F504))</f>
        <v/>
      </c>
      <c r="G504" s="10" t="str">
        <f>IF(IF(ISNA(計算結果!G504),"",計算結果!G504)=0,"",IF(ISNA(計算結果!G504),"",計算結果!G504))</f>
        <v/>
      </c>
      <c r="H504" s="13">
        <f>IF(IF(ISNA(計算結果!H504),"",計算結果!H504)=0,"",IF(ISNA(計算結果!H504),"",計算結果!H504))</f>
        <v>-2</v>
      </c>
      <c r="I504" s="12" t="str">
        <f>IF(IF(ISNA(計算結果!I504),"",計算結果!I504)=0,"",IF(ISNA(計算結果!I504),"",計算結果!I504))</f>
        <v/>
      </c>
      <c r="J504" s="12" t="str">
        <f>IF(IF(ISNA(計算結果!J504),"",計算結果!J504)=0,"",IF(ISNA(計算結果!J504),"",計算結果!J504))</f>
        <v/>
      </c>
      <c r="K504" s="23" t="str">
        <f>IF(IF(ISNA(計算結果!K504),"",計算結果!K504)=0,"",IF(ISNA(計算結果!K504),"",計算結果!K504))</f>
        <v/>
      </c>
      <c r="L504" s="13" t="str">
        <f>IF(IF(ISNA(計算結果!L504),"",計算結果!L504)=0,"",IF(ISNA(計算結果!L504),"",計算結果!L504))</f>
        <v/>
      </c>
      <c r="M504" s="10" t="str">
        <f>IF(IF(ISNA(計算結果!M504),"",計算結果!M504)=0,"",IF(ISNA(計算結果!M504),"",計算結果!M504))</f>
        <v/>
      </c>
      <c r="N504" s="10" t="str">
        <f>IF(IF(ISNA(計算結果!N504),"",計算結果!N504)=0,"",IF(ISNA(計算結果!N504),"",計算結果!N504))</f>
        <v/>
      </c>
      <c r="O504" s="13" t="str">
        <f>IF(IF(ISNA(計算結果!O504),"",計算結果!O504)=0,"",IF(ISNA(計算結果!O504),"",計算結果!O504))</f>
        <v/>
      </c>
      <c r="P504" s="10" t="str">
        <f>IF(IF(ISNA(計算結果!P504),"",計算結果!P504)=0,"",IF(ISNA(計算結果!P504),"",計算結果!P504))</f>
        <v/>
      </c>
      <c r="Q504" s="10" t="str">
        <f>IF(IF(ISNA(計算結果!Q504),"",計算結果!Q504)=0,"",IF(ISNA(計算結果!Q504),"",計算結果!Q504))</f>
        <v/>
      </c>
      <c r="R504" s="14" t="str">
        <f t="shared" si="21"/>
        <v/>
      </c>
      <c r="S504" s="14" t="str">
        <f t="shared" si="22"/>
        <v>◯</v>
      </c>
      <c r="T504" s="14" t="str">
        <f t="shared" si="23"/>
        <v/>
      </c>
    </row>
    <row r="505" spans="1:20" hidden="1" x14ac:dyDescent="0.45">
      <c r="A505" s="10" t="str">
        <f>IF(IF(ISNA(計算結果!A505),"",計算結果!A505)=0,"",IF(ISNA(計算結果!A505),"",計算結果!A505))</f>
        <v/>
      </c>
      <c r="B505" s="10" t="str">
        <f>IF(IF(ISNA(計算結果!B505),"",計算結果!B505)=0,"",IF(ISNA(計算結果!B505),"",計算結果!B505))</f>
        <v/>
      </c>
      <c r="C505" s="10" t="str">
        <f>IF(IF(ISNA(計算結果!C505),"",計算結果!C505)=0,"",IF(ISNA(計算結果!C505),"",計算結果!C505))</f>
        <v/>
      </c>
      <c r="D505" s="10" t="str">
        <f>IF(IF(ISNA(計算結果!D505),"",計算結果!D505)=0,"",IF(ISNA(計算結果!D505),"",計算結果!D505))</f>
        <v>L</v>
      </c>
      <c r="E505" s="10" t="str">
        <f>IF(IF(ISNA(計算結果!E505),"",計算結果!E505)=0,"",IF(ISNA(計算結果!E505),"",計算結果!E505))</f>
        <v/>
      </c>
      <c r="F505" s="10" t="str">
        <f>IF(IF(ISNA(計算結果!F505),"",計算結果!F505)=0,"",IF(ISNA(計算結果!F505),"",計算結果!F505))</f>
        <v/>
      </c>
      <c r="G505" s="10" t="str">
        <f>IF(IF(ISNA(計算結果!G505),"",計算結果!G505)=0,"",IF(ISNA(計算結果!G505),"",計算結果!G505))</f>
        <v/>
      </c>
      <c r="H505" s="13">
        <f>IF(IF(ISNA(計算結果!H505),"",計算結果!H505)=0,"",IF(ISNA(計算結果!H505),"",計算結果!H505))</f>
        <v>-2</v>
      </c>
      <c r="I505" s="12" t="str">
        <f>IF(IF(ISNA(計算結果!I505),"",計算結果!I505)=0,"",IF(ISNA(計算結果!I505),"",計算結果!I505))</f>
        <v/>
      </c>
      <c r="J505" s="12" t="str">
        <f>IF(IF(ISNA(計算結果!J505),"",計算結果!J505)=0,"",IF(ISNA(計算結果!J505),"",計算結果!J505))</f>
        <v/>
      </c>
      <c r="K505" s="23" t="str">
        <f>IF(IF(ISNA(計算結果!K505),"",計算結果!K505)=0,"",IF(ISNA(計算結果!K505),"",計算結果!K505))</f>
        <v/>
      </c>
      <c r="L505" s="13" t="str">
        <f>IF(IF(ISNA(計算結果!L505),"",計算結果!L505)=0,"",IF(ISNA(計算結果!L505),"",計算結果!L505))</f>
        <v/>
      </c>
      <c r="M505" s="10" t="str">
        <f>IF(IF(ISNA(計算結果!M505),"",計算結果!M505)=0,"",IF(ISNA(計算結果!M505),"",計算結果!M505))</f>
        <v/>
      </c>
      <c r="N505" s="10" t="str">
        <f>IF(IF(ISNA(計算結果!N505),"",計算結果!N505)=0,"",IF(ISNA(計算結果!N505),"",計算結果!N505))</f>
        <v/>
      </c>
      <c r="O505" s="13" t="str">
        <f>IF(IF(ISNA(計算結果!O505),"",計算結果!O505)=0,"",IF(ISNA(計算結果!O505),"",計算結果!O505))</f>
        <v/>
      </c>
      <c r="P505" s="10" t="str">
        <f>IF(IF(ISNA(計算結果!P505),"",計算結果!P505)=0,"",IF(ISNA(計算結果!P505),"",計算結果!P505))</f>
        <v/>
      </c>
      <c r="Q505" s="10" t="str">
        <f>IF(IF(ISNA(計算結果!Q505),"",計算結果!Q505)=0,"",IF(ISNA(計算結果!Q505),"",計算結果!Q505))</f>
        <v/>
      </c>
      <c r="R505" s="14" t="str">
        <f t="shared" si="21"/>
        <v/>
      </c>
      <c r="S505" s="14" t="str">
        <f t="shared" si="22"/>
        <v>◯</v>
      </c>
      <c r="T505" s="14" t="str">
        <f t="shared" si="23"/>
        <v/>
      </c>
    </row>
    <row r="506" spans="1:20" hidden="1" x14ac:dyDescent="0.45">
      <c r="A506" s="10" t="str">
        <f>IF(IF(ISNA(計算結果!A506),"",計算結果!A506)=0,"",IF(ISNA(計算結果!A506),"",計算結果!A506))</f>
        <v/>
      </c>
      <c r="B506" s="10" t="str">
        <f>IF(IF(ISNA(計算結果!B506),"",計算結果!B506)=0,"",IF(ISNA(計算結果!B506),"",計算結果!B506))</f>
        <v/>
      </c>
      <c r="C506" s="10" t="str">
        <f>IF(IF(ISNA(計算結果!C506),"",計算結果!C506)=0,"",IF(ISNA(計算結果!C506),"",計算結果!C506))</f>
        <v/>
      </c>
      <c r="D506" s="10" t="str">
        <f>IF(IF(ISNA(計算結果!D506),"",計算結果!D506)=0,"",IF(ISNA(計算結果!D506),"",計算結果!D506))</f>
        <v>L</v>
      </c>
      <c r="E506" s="10" t="str">
        <f>IF(IF(ISNA(計算結果!E506),"",計算結果!E506)=0,"",IF(ISNA(計算結果!E506),"",計算結果!E506))</f>
        <v/>
      </c>
      <c r="F506" s="10" t="str">
        <f>IF(IF(ISNA(計算結果!F506),"",計算結果!F506)=0,"",IF(ISNA(計算結果!F506),"",計算結果!F506))</f>
        <v/>
      </c>
      <c r="G506" s="10" t="str">
        <f>IF(IF(ISNA(計算結果!G506),"",計算結果!G506)=0,"",IF(ISNA(計算結果!G506),"",計算結果!G506))</f>
        <v/>
      </c>
      <c r="H506" s="13">
        <f>IF(IF(ISNA(計算結果!H506),"",計算結果!H506)=0,"",IF(ISNA(計算結果!H506),"",計算結果!H506))</f>
        <v>-2</v>
      </c>
      <c r="I506" s="12" t="str">
        <f>IF(IF(ISNA(計算結果!I506),"",計算結果!I506)=0,"",IF(ISNA(計算結果!I506),"",計算結果!I506))</f>
        <v/>
      </c>
      <c r="J506" s="12" t="str">
        <f>IF(IF(ISNA(計算結果!J506),"",計算結果!J506)=0,"",IF(ISNA(計算結果!J506),"",計算結果!J506))</f>
        <v/>
      </c>
      <c r="K506" s="23" t="str">
        <f>IF(IF(ISNA(計算結果!K506),"",計算結果!K506)=0,"",IF(ISNA(計算結果!K506),"",計算結果!K506))</f>
        <v/>
      </c>
      <c r="L506" s="13" t="str">
        <f>IF(IF(ISNA(計算結果!L506),"",計算結果!L506)=0,"",IF(ISNA(計算結果!L506),"",計算結果!L506))</f>
        <v/>
      </c>
      <c r="M506" s="10" t="str">
        <f>IF(IF(ISNA(計算結果!M506),"",計算結果!M506)=0,"",IF(ISNA(計算結果!M506),"",計算結果!M506))</f>
        <v/>
      </c>
      <c r="N506" s="10" t="str">
        <f>IF(IF(ISNA(計算結果!N506),"",計算結果!N506)=0,"",IF(ISNA(計算結果!N506),"",計算結果!N506))</f>
        <v/>
      </c>
      <c r="O506" s="13" t="str">
        <f>IF(IF(ISNA(計算結果!O506),"",計算結果!O506)=0,"",IF(ISNA(計算結果!O506),"",計算結果!O506))</f>
        <v/>
      </c>
      <c r="P506" s="10" t="str">
        <f>IF(IF(ISNA(計算結果!P506),"",計算結果!P506)=0,"",IF(ISNA(計算結果!P506),"",計算結果!P506))</f>
        <v/>
      </c>
      <c r="Q506" s="10" t="str">
        <f>IF(IF(ISNA(計算結果!Q506),"",計算結果!Q506)=0,"",IF(ISNA(計算結果!Q506),"",計算結果!Q506))</f>
        <v/>
      </c>
      <c r="R506" s="14" t="str">
        <f t="shared" si="21"/>
        <v/>
      </c>
      <c r="S506" s="14" t="str">
        <f t="shared" si="22"/>
        <v>◯</v>
      </c>
      <c r="T506" s="14" t="str">
        <f t="shared" si="23"/>
        <v/>
      </c>
    </row>
    <row r="507" spans="1:20" hidden="1" x14ac:dyDescent="0.45">
      <c r="A507" s="10" t="str">
        <f>IF(IF(ISNA(計算結果!A507),"",計算結果!A507)=0,"",IF(ISNA(計算結果!A507),"",計算結果!A507))</f>
        <v/>
      </c>
      <c r="B507" s="10" t="str">
        <f>IF(IF(ISNA(計算結果!B507),"",計算結果!B507)=0,"",IF(ISNA(計算結果!B507),"",計算結果!B507))</f>
        <v/>
      </c>
      <c r="C507" s="10" t="str">
        <f>IF(IF(ISNA(計算結果!C507),"",計算結果!C507)=0,"",IF(ISNA(計算結果!C507),"",計算結果!C507))</f>
        <v/>
      </c>
      <c r="D507" s="10" t="str">
        <f>IF(IF(ISNA(計算結果!D507),"",計算結果!D507)=0,"",IF(ISNA(計算結果!D507),"",計算結果!D507))</f>
        <v>L</v>
      </c>
      <c r="E507" s="10" t="str">
        <f>IF(IF(ISNA(計算結果!E507),"",計算結果!E507)=0,"",IF(ISNA(計算結果!E507),"",計算結果!E507))</f>
        <v/>
      </c>
      <c r="F507" s="10" t="str">
        <f>IF(IF(ISNA(計算結果!F507),"",計算結果!F507)=0,"",IF(ISNA(計算結果!F507),"",計算結果!F507))</f>
        <v/>
      </c>
      <c r="G507" s="10" t="str">
        <f>IF(IF(ISNA(計算結果!G507),"",計算結果!G507)=0,"",IF(ISNA(計算結果!G507),"",計算結果!G507))</f>
        <v/>
      </c>
      <c r="H507" s="13">
        <f>IF(IF(ISNA(計算結果!H507),"",計算結果!H507)=0,"",IF(ISNA(計算結果!H507),"",計算結果!H507))</f>
        <v>-2</v>
      </c>
      <c r="I507" s="12" t="str">
        <f>IF(IF(ISNA(計算結果!I507),"",計算結果!I507)=0,"",IF(ISNA(計算結果!I507),"",計算結果!I507))</f>
        <v/>
      </c>
      <c r="J507" s="12" t="str">
        <f>IF(IF(ISNA(計算結果!J507),"",計算結果!J507)=0,"",IF(ISNA(計算結果!J507),"",計算結果!J507))</f>
        <v/>
      </c>
      <c r="K507" s="23" t="str">
        <f>IF(IF(ISNA(計算結果!K507),"",計算結果!K507)=0,"",IF(ISNA(計算結果!K507),"",計算結果!K507))</f>
        <v/>
      </c>
      <c r="L507" s="13" t="str">
        <f>IF(IF(ISNA(計算結果!L507),"",計算結果!L507)=0,"",IF(ISNA(計算結果!L507),"",計算結果!L507))</f>
        <v/>
      </c>
      <c r="M507" s="10" t="str">
        <f>IF(IF(ISNA(計算結果!M507),"",計算結果!M507)=0,"",IF(ISNA(計算結果!M507),"",計算結果!M507))</f>
        <v/>
      </c>
      <c r="N507" s="10" t="str">
        <f>IF(IF(ISNA(計算結果!N507),"",計算結果!N507)=0,"",IF(ISNA(計算結果!N507),"",計算結果!N507))</f>
        <v/>
      </c>
      <c r="O507" s="13" t="str">
        <f>IF(IF(ISNA(計算結果!O507),"",計算結果!O507)=0,"",IF(ISNA(計算結果!O507),"",計算結果!O507))</f>
        <v/>
      </c>
      <c r="P507" s="10" t="str">
        <f>IF(IF(ISNA(計算結果!P507),"",計算結果!P507)=0,"",IF(ISNA(計算結果!P507),"",計算結果!P507))</f>
        <v/>
      </c>
      <c r="Q507" s="10" t="str">
        <f>IF(IF(ISNA(計算結果!Q507),"",計算結果!Q507)=0,"",IF(ISNA(計算結果!Q507),"",計算結果!Q507))</f>
        <v/>
      </c>
      <c r="R507" s="14" t="str">
        <f t="shared" si="21"/>
        <v/>
      </c>
      <c r="S507" s="14" t="str">
        <f t="shared" si="22"/>
        <v>◯</v>
      </c>
      <c r="T507" s="14" t="str">
        <f t="shared" si="23"/>
        <v/>
      </c>
    </row>
    <row r="508" spans="1:20" hidden="1" x14ac:dyDescent="0.45">
      <c r="A508" s="10" t="str">
        <f>IF(IF(ISNA(計算結果!A508),"",計算結果!A508)=0,"",IF(ISNA(計算結果!A508),"",計算結果!A508))</f>
        <v/>
      </c>
      <c r="B508" s="10" t="str">
        <f>IF(IF(ISNA(計算結果!B508),"",計算結果!B508)=0,"",IF(ISNA(計算結果!B508),"",計算結果!B508))</f>
        <v/>
      </c>
      <c r="C508" s="10" t="str">
        <f>IF(IF(ISNA(計算結果!C508),"",計算結果!C508)=0,"",IF(ISNA(計算結果!C508),"",計算結果!C508))</f>
        <v/>
      </c>
      <c r="D508" s="10" t="str">
        <f>IF(IF(ISNA(計算結果!D508),"",計算結果!D508)=0,"",IF(ISNA(計算結果!D508),"",計算結果!D508))</f>
        <v>L</v>
      </c>
      <c r="E508" s="10" t="str">
        <f>IF(IF(ISNA(計算結果!E508),"",計算結果!E508)=0,"",IF(ISNA(計算結果!E508),"",計算結果!E508))</f>
        <v/>
      </c>
      <c r="F508" s="10" t="str">
        <f>IF(IF(ISNA(計算結果!F508),"",計算結果!F508)=0,"",IF(ISNA(計算結果!F508),"",計算結果!F508))</f>
        <v/>
      </c>
      <c r="G508" s="10" t="str">
        <f>IF(IF(ISNA(計算結果!G508),"",計算結果!G508)=0,"",IF(ISNA(計算結果!G508),"",計算結果!G508))</f>
        <v/>
      </c>
      <c r="H508" s="13">
        <f>IF(IF(ISNA(計算結果!H508),"",計算結果!H508)=0,"",IF(ISNA(計算結果!H508),"",計算結果!H508))</f>
        <v>-2</v>
      </c>
      <c r="I508" s="12" t="str">
        <f>IF(IF(ISNA(計算結果!I508),"",計算結果!I508)=0,"",IF(ISNA(計算結果!I508),"",計算結果!I508))</f>
        <v/>
      </c>
      <c r="J508" s="12" t="str">
        <f>IF(IF(ISNA(計算結果!J508),"",計算結果!J508)=0,"",IF(ISNA(計算結果!J508),"",計算結果!J508))</f>
        <v/>
      </c>
      <c r="K508" s="23" t="str">
        <f>IF(IF(ISNA(計算結果!K508),"",計算結果!K508)=0,"",IF(ISNA(計算結果!K508),"",計算結果!K508))</f>
        <v/>
      </c>
      <c r="L508" s="13" t="str">
        <f>IF(IF(ISNA(計算結果!L508),"",計算結果!L508)=0,"",IF(ISNA(計算結果!L508),"",計算結果!L508))</f>
        <v/>
      </c>
      <c r="M508" s="10" t="str">
        <f>IF(IF(ISNA(計算結果!M508),"",計算結果!M508)=0,"",IF(ISNA(計算結果!M508),"",計算結果!M508))</f>
        <v/>
      </c>
      <c r="N508" s="10" t="str">
        <f>IF(IF(ISNA(計算結果!N508),"",計算結果!N508)=0,"",IF(ISNA(計算結果!N508),"",計算結果!N508))</f>
        <v/>
      </c>
      <c r="O508" s="13" t="str">
        <f>IF(IF(ISNA(計算結果!O508),"",計算結果!O508)=0,"",IF(ISNA(計算結果!O508),"",計算結果!O508))</f>
        <v/>
      </c>
      <c r="P508" s="10" t="str">
        <f>IF(IF(ISNA(計算結果!P508),"",計算結果!P508)=0,"",IF(ISNA(計算結果!P508),"",計算結果!P508))</f>
        <v/>
      </c>
      <c r="Q508" s="10" t="str">
        <f>IF(IF(ISNA(計算結果!Q508),"",計算結果!Q508)=0,"",IF(ISNA(計算結果!Q508),"",計算結果!Q508))</f>
        <v/>
      </c>
      <c r="R508" s="14" t="str">
        <f t="shared" si="21"/>
        <v/>
      </c>
      <c r="S508" s="14" t="str">
        <f t="shared" si="22"/>
        <v>◯</v>
      </c>
      <c r="T508" s="14" t="str">
        <f t="shared" si="23"/>
        <v/>
      </c>
    </row>
    <row r="509" spans="1:20" hidden="1" x14ac:dyDescent="0.45">
      <c r="A509" s="10" t="str">
        <f>IF(IF(ISNA(計算結果!A509),"",計算結果!A509)=0,"",IF(ISNA(計算結果!A509),"",計算結果!A509))</f>
        <v/>
      </c>
      <c r="B509" s="10" t="str">
        <f>IF(IF(ISNA(計算結果!B509),"",計算結果!B509)=0,"",IF(ISNA(計算結果!B509),"",計算結果!B509))</f>
        <v/>
      </c>
      <c r="C509" s="10" t="str">
        <f>IF(IF(ISNA(計算結果!C509),"",計算結果!C509)=0,"",IF(ISNA(計算結果!C509),"",計算結果!C509))</f>
        <v/>
      </c>
      <c r="D509" s="10" t="str">
        <f>IF(IF(ISNA(計算結果!D509),"",計算結果!D509)=0,"",IF(ISNA(計算結果!D509),"",計算結果!D509))</f>
        <v>L</v>
      </c>
      <c r="E509" s="10" t="str">
        <f>IF(IF(ISNA(計算結果!E509),"",計算結果!E509)=0,"",IF(ISNA(計算結果!E509),"",計算結果!E509))</f>
        <v/>
      </c>
      <c r="F509" s="10" t="str">
        <f>IF(IF(ISNA(計算結果!F509),"",計算結果!F509)=0,"",IF(ISNA(計算結果!F509),"",計算結果!F509))</f>
        <v/>
      </c>
      <c r="G509" s="10" t="str">
        <f>IF(IF(ISNA(計算結果!G509),"",計算結果!G509)=0,"",IF(ISNA(計算結果!G509),"",計算結果!G509))</f>
        <v/>
      </c>
      <c r="H509" s="13">
        <f>IF(IF(ISNA(計算結果!H509),"",計算結果!H509)=0,"",IF(ISNA(計算結果!H509),"",計算結果!H509))</f>
        <v>-2</v>
      </c>
      <c r="I509" s="12" t="str">
        <f>IF(IF(ISNA(計算結果!I509),"",計算結果!I509)=0,"",IF(ISNA(計算結果!I509),"",計算結果!I509))</f>
        <v/>
      </c>
      <c r="J509" s="12" t="str">
        <f>IF(IF(ISNA(計算結果!J509),"",計算結果!J509)=0,"",IF(ISNA(計算結果!J509),"",計算結果!J509))</f>
        <v/>
      </c>
      <c r="K509" s="23" t="str">
        <f>IF(IF(ISNA(計算結果!K509),"",計算結果!K509)=0,"",IF(ISNA(計算結果!K509),"",計算結果!K509))</f>
        <v/>
      </c>
      <c r="L509" s="13" t="str">
        <f>IF(IF(ISNA(計算結果!L509),"",計算結果!L509)=0,"",IF(ISNA(計算結果!L509),"",計算結果!L509))</f>
        <v/>
      </c>
      <c r="M509" s="10" t="str">
        <f>IF(IF(ISNA(計算結果!M509),"",計算結果!M509)=0,"",IF(ISNA(計算結果!M509),"",計算結果!M509))</f>
        <v/>
      </c>
      <c r="N509" s="10" t="str">
        <f>IF(IF(ISNA(計算結果!N509),"",計算結果!N509)=0,"",IF(ISNA(計算結果!N509),"",計算結果!N509))</f>
        <v/>
      </c>
      <c r="O509" s="13" t="str">
        <f>IF(IF(ISNA(計算結果!O509),"",計算結果!O509)=0,"",IF(ISNA(計算結果!O509),"",計算結果!O509))</f>
        <v/>
      </c>
      <c r="P509" s="10" t="str">
        <f>IF(IF(ISNA(計算結果!P509),"",計算結果!P509)=0,"",IF(ISNA(計算結果!P509),"",計算結果!P509))</f>
        <v/>
      </c>
      <c r="Q509" s="10" t="str">
        <f>IF(IF(ISNA(計算結果!Q509),"",計算結果!Q509)=0,"",IF(ISNA(計算結果!Q509),"",計算結果!Q509))</f>
        <v/>
      </c>
      <c r="R509" s="14" t="str">
        <f t="shared" si="21"/>
        <v/>
      </c>
      <c r="S509" s="14" t="str">
        <f t="shared" si="22"/>
        <v>◯</v>
      </c>
      <c r="T509" s="14" t="str">
        <f t="shared" si="23"/>
        <v/>
      </c>
    </row>
    <row r="510" spans="1:20" hidden="1" x14ac:dyDescent="0.45">
      <c r="A510" s="10" t="str">
        <f>IF(IF(ISNA(計算結果!A510),"",計算結果!A510)=0,"",IF(ISNA(計算結果!A510),"",計算結果!A510))</f>
        <v/>
      </c>
      <c r="B510" s="10" t="str">
        <f>IF(IF(ISNA(計算結果!B510),"",計算結果!B510)=0,"",IF(ISNA(計算結果!B510),"",計算結果!B510))</f>
        <v/>
      </c>
      <c r="C510" s="10" t="str">
        <f>IF(IF(ISNA(計算結果!C510),"",計算結果!C510)=0,"",IF(ISNA(計算結果!C510),"",計算結果!C510))</f>
        <v/>
      </c>
      <c r="D510" s="10" t="str">
        <f>IF(IF(ISNA(計算結果!D510),"",計算結果!D510)=0,"",IF(ISNA(計算結果!D510),"",計算結果!D510))</f>
        <v>L</v>
      </c>
      <c r="E510" s="10" t="str">
        <f>IF(IF(ISNA(計算結果!E510),"",計算結果!E510)=0,"",IF(ISNA(計算結果!E510),"",計算結果!E510))</f>
        <v/>
      </c>
      <c r="F510" s="10" t="str">
        <f>IF(IF(ISNA(計算結果!F510),"",計算結果!F510)=0,"",IF(ISNA(計算結果!F510),"",計算結果!F510))</f>
        <v/>
      </c>
      <c r="G510" s="10" t="str">
        <f>IF(IF(ISNA(計算結果!G510),"",計算結果!G510)=0,"",IF(ISNA(計算結果!G510),"",計算結果!G510))</f>
        <v/>
      </c>
      <c r="H510" s="13">
        <f>IF(IF(ISNA(計算結果!H510),"",計算結果!H510)=0,"",IF(ISNA(計算結果!H510),"",計算結果!H510))</f>
        <v>-2</v>
      </c>
      <c r="I510" s="12" t="str">
        <f>IF(IF(ISNA(計算結果!I510),"",計算結果!I510)=0,"",IF(ISNA(計算結果!I510),"",計算結果!I510))</f>
        <v/>
      </c>
      <c r="J510" s="12" t="str">
        <f>IF(IF(ISNA(計算結果!J510),"",計算結果!J510)=0,"",IF(ISNA(計算結果!J510),"",計算結果!J510))</f>
        <v/>
      </c>
      <c r="K510" s="23" t="str">
        <f>IF(IF(ISNA(計算結果!K510),"",計算結果!K510)=0,"",IF(ISNA(計算結果!K510),"",計算結果!K510))</f>
        <v/>
      </c>
      <c r="L510" s="13" t="str">
        <f>IF(IF(ISNA(計算結果!L510),"",計算結果!L510)=0,"",IF(ISNA(計算結果!L510),"",計算結果!L510))</f>
        <v/>
      </c>
      <c r="M510" s="10" t="str">
        <f>IF(IF(ISNA(計算結果!M510),"",計算結果!M510)=0,"",IF(ISNA(計算結果!M510),"",計算結果!M510))</f>
        <v/>
      </c>
      <c r="N510" s="10" t="str">
        <f>IF(IF(ISNA(計算結果!N510),"",計算結果!N510)=0,"",IF(ISNA(計算結果!N510),"",計算結果!N510))</f>
        <v/>
      </c>
      <c r="O510" s="13" t="str">
        <f>IF(IF(ISNA(計算結果!O510),"",計算結果!O510)=0,"",IF(ISNA(計算結果!O510),"",計算結果!O510))</f>
        <v/>
      </c>
      <c r="P510" s="10" t="str">
        <f>IF(IF(ISNA(計算結果!P510),"",計算結果!P510)=0,"",IF(ISNA(計算結果!P510),"",計算結果!P510))</f>
        <v/>
      </c>
      <c r="Q510" s="10" t="str">
        <f>IF(IF(ISNA(計算結果!Q510),"",計算結果!Q510)=0,"",IF(ISNA(計算結果!Q510),"",計算結果!Q510))</f>
        <v/>
      </c>
      <c r="R510" s="14" t="str">
        <f t="shared" si="21"/>
        <v/>
      </c>
      <c r="S510" s="14" t="str">
        <f t="shared" si="22"/>
        <v>◯</v>
      </c>
      <c r="T510" s="14" t="str">
        <f t="shared" si="23"/>
        <v/>
      </c>
    </row>
    <row r="511" spans="1:20" hidden="1" x14ac:dyDescent="0.45">
      <c r="A511" s="10" t="str">
        <f>IF(IF(ISNA(計算結果!A511),"",計算結果!A511)=0,"",IF(ISNA(計算結果!A511),"",計算結果!A511))</f>
        <v/>
      </c>
      <c r="B511" s="10" t="str">
        <f>IF(IF(ISNA(計算結果!B511),"",計算結果!B511)=0,"",IF(ISNA(計算結果!B511),"",計算結果!B511))</f>
        <v/>
      </c>
      <c r="C511" s="10" t="str">
        <f>IF(IF(ISNA(計算結果!C511),"",計算結果!C511)=0,"",IF(ISNA(計算結果!C511),"",計算結果!C511))</f>
        <v/>
      </c>
      <c r="D511" s="10" t="str">
        <f>IF(IF(ISNA(計算結果!D511),"",計算結果!D511)=0,"",IF(ISNA(計算結果!D511),"",計算結果!D511))</f>
        <v>L</v>
      </c>
      <c r="E511" s="10" t="str">
        <f>IF(IF(ISNA(計算結果!E511),"",計算結果!E511)=0,"",IF(ISNA(計算結果!E511),"",計算結果!E511))</f>
        <v/>
      </c>
      <c r="F511" s="10" t="str">
        <f>IF(IF(ISNA(計算結果!F511),"",計算結果!F511)=0,"",IF(ISNA(計算結果!F511),"",計算結果!F511))</f>
        <v/>
      </c>
      <c r="G511" s="10" t="str">
        <f>IF(IF(ISNA(計算結果!G511),"",計算結果!G511)=0,"",IF(ISNA(計算結果!G511),"",計算結果!G511))</f>
        <v/>
      </c>
      <c r="H511" s="13">
        <f>IF(IF(ISNA(計算結果!H511),"",計算結果!H511)=0,"",IF(ISNA(計算結果!H511),"",計算結果!H511))</f>
        <v>-2</v>
      </c>
      <c r="I511" s="12" t="str">
        <f>IF(IF(ISNA(計算結果!I511),"",計算結果!I511)=0,"",IF(ISNA(計算結果!I511),"",計算結果!I511))</f>
        <v/>
      </c>
      <c r="J511" s="12" t="str">
        <f>IF(IF(ISNA(計算結果!J511),"",計算結果!J511)=0,"",IF(ISNA(計算結果!J511),"",計算結果!J511))</f>
        <v/>
      </c>
      <c r="K511" s="23" t="str">
        <f>IF(IF(ISNA(計算結果!K511),"",計算結果!K511)=0,"",IF(ISNA(計算結果!K511),"",計算結果!K511))</f>
        <v/>
      </c>
      <c r="L511" s="13" t="str">
        <f>IF(IF(ISNA(計算結果!L511),"",計算結果!L511)=0,"",IF(ISNA(計算結果!L511),"",計算結果!L511))</f>
        <v/>
      </c>
      <c r="M511" s="10" t="str">
        <f>IF(IF(ISNA(計算結果!M511),"",計算結果!M511)=0,"",IF(ISNA(計算結果!M511),"",計算結果!M511))</f>
        <v/>
      </c>
      <c r="N511" s="10" t="str">
        <f>IF(IF(ISNA(計算結果!N511),"",計算結果!N511)=0,"",IF(ISNA(計算結果!N511),"",計算結果!N511))</f>
        <v/>
      </c>
      <c r="O511" s="13" t="str">
        <f>IF(IF(ISNA(計算結果!O511),"",計算結果!O511)=0,"",IF(ISNA(計算結果!O511),"",計算結果!O511))</f>
        <v/>
      </c>
      <c r="P511" s="10" t="str">
        <f>IF(IF(ISNA(計算結果!P511),"",計算結果!P511)=0,"",IF(ISNA(計算結果!P511),"",計算結果!P511))</f>
        <v/>
      </c>
      <c r="Q511" s="10" t="str">
        <f>IF(IF(ISNA(計算結果!Q511),"",計算結果!Q511)=0,"",IF(ISNA(計算結果!Q511),"",計算結果!Q511))</f>
        <v/>
      </c>
      <c r="R511" s="14" t="str">
        <f t="shared" si="21"/>
        <v/>
      </c>
      <c r="S511" s="14" t="str">
        <f t="shared" si="22"/>
        <v>◯</v>
      </c>
      <c r="T511" s="14" t="str">
        <f t="shared" si="23"/>
        <v/>
      </c>
    </row>
    <row r="512" spans="1:20" hidden="1" x14ac:dyDescent="0.45">
      <c r="A512" s="10" t="str">
        <f>IF(IF(ISNA(計算結果!A512),"",計算結果!A512)=0,"",IF(ISNA(計算結果!A512),"",計算結果!A512))</f>
        <v/>
      </c>
      <c r="B512" s="10" t="str">
        <f>IF(IF(ISNA(計算結果!B512),"",計算結果!B512)=0,"",IF(ISNA(計算結果!B512),"",計算結果!B512))</f>
        <v/>
      </c>
      <c r="C512" s="10" t="str">
        <f>IF(IF(ISNA(計算結果!C512),"",計算結果!C512)=0,"",IF(ISNA(計算結果!C512),"",計算結果!C512))</f>
        <v/>
      </c>
      <c r="D512" s="10" t="str">
        <f>IF(IF(ISNA(計算結果!D512),"",計算結果!D512)=0,"",IF(ISNA(計算結果!D512),"",計算結果!D512))</f>
        <v>L</v>
      </c>
      <c r="E512" s="10" t="str">
        <f>IF(IF(ISNA(計算結果!E512),"",計算結果!E512)=0,"",IF(ISNA(計算結果!E512),"",計算結果!E512))</f>
        <v/>
      </c>
      <c r="F512" s="10" t="str">
        <f>IF(IF(ISNA(計算結果!F512),"",計算結果!F512)=0,"",IF(ISNA(計算結果!F512),"",計算結果!F512))</f>
        <v/>
      </c>
      <c r="G512" s="10" t="str">
        <f>IF(IF(ISNA(計算結果!G512),"",計算結果!G512)=0,"",IF(ISNA(計算結果!G512),"",計算結果!G512))</f>
        <v/>
      </c>
      <c r="H512" s="13">
        <f>IF(IF(ISNA(計算結果!H512),"",計算結果!H512)=0,"",IF(ISNA(計算結果!H512),"",計算結果!H512))</f>
        <v>-2</v>
      </c>
      <c r="I512" s="12" t="str">
        <f>IF(IF(ISNA(計算結果!I512),"",計算結果!I512)=0,"",IF(ISNA(計算結果!I512),"",計算結果!I512))</f>
        <v/>
      </c>
      <c r="J512" s="12" t="str">
        <f>IF(IF(ISNA(計算結果!J512),"",計算結果!J512)=0,"",IF(ISNA(計算結果!J512),"",計算結果!J512))</f>
        <v/>
      </c>
      <c r="K512" s="23" t="str">
        <f>IF(IF(ISNA(計算結果!K512),"",計算結果!K512)=0,"",IF(ISNA(計算結果!K512),"",計算結果!K512))</f>
        <v/>
      </c>
      <c r="L512" s="13" t="str">
        <f>IF(IF(ISNA(計算結果!L512),"",計算結果!L512)=0,"",IF(ISNA(計算結果!L512),"",計算結果!L512))</f>
        <v/>
      </c>
      <c r="M512" s="10" t="str">
        <f>IF(IF(ISNA(計算結果!M512),"",計算結果!M512)=0,"",IF(ISNA(計算結果!M512),"",計算結果!M512))</f>
        <v/>
      </c>
      <c r="N512" s="10" t="str">
        <f>IF(IF(ISNA(計算結果!N512),"",計算結果!N512)=0,"",IF(ISNA(計算結果!N512),"",計算結果!N512))</f>
        <v/>
      </c>
      <c r="O512" s="13" t="str">
        <f>IF(IF(ISNA(計算結果!O512),"",計算結果!O512)=0,"",IF(ISNA(計算結果!O512),"",計算結果!O512))</f>
        <v/>
      </c>
      <c r="P512" s="10" t="str">
        <f>IF(IF(ISNA(計算結果!P512),"",計算結果!P512)=0,"",IF(ISNA(計算結果!P512),"",計算結果!P512))</f>
        <v/>
      </c>
      <c r="Q512" s="10" t="str">
        <f>IF(IF(ISNA(計算結果!Q512),"",計算結果!Q512)=0,"",IF(ISNA(計算結果!Q512),"",計算結果!Q512))</f>
        <v/>
      </c>
      <c r="R512" s="14" t="str">
        <f t="shared" si="21"/>
        <v/>
      </c>
      <c r="S512" s="14" t="str">
        <f t="shared" si="22"/>
        <v>◯</v>
      </c>
      <c r="T512" s="14" t="str">
        <f t="shared" si="23"/>
        <v/>
      </c>
    </row>
    <row r="513" spans="1:20" hidden="1" x14ac:dyDescent="0.45">
      <c r="A513" s="10" t="str">
        <f>IF(IF(ISNA(計算結果!A513),"",計算結果!A513)=0,"",IF(ISNA(計算結果!A513),"",計算結果!A513))</f>
        <v/>
      </c>
      <c r="B513" s="10" t="str">
        <f>IF(IF(ISNA(計算結果!B513),"",計算結果!B513)=0,"",IF(ISNA(計算結果!B513),"",計算結果!B513))</f>
        <v/>
      </c>
      <c r="C513" s="10" t="str">
        <f>IF(IF(ISNA(計算結果!C513),"",計算結果!C513)=0,"",IF(ISNA(計算結果!C513),"",計算結果!C513))</f>
        <v/>
      </c>
      <c r="D513" s="10" t="str">
        <f>IF(IF(ISNA(計算結果!D513),"",計算結果!D513)=0,"",IF(ISNA(計算結果!D513),"",計算結果!D513))</f>
        <v>L</v>
      </c>
      <c r="E513" s="10" t="str">
        <f>IF(IF(ISNA(計算結果!E513),"",計算結果!E513)=0,"",IF(ISNA(計算結果!E513),"",計算結果!E513))</f>
        <v/>
      </c>
      <c r="F513" s="10" t="str">
        <f>IF(IF(ISNA(計算結果!F513),"",計算結果!F513)=0,"",IF(ISNA(計算結果!F513),"",計算結果!F513))</f>
        <v/>
      </c>
      <c r="G513" s="10" t="str">
        <f>IF(IF(ISNA(計算結果!G513),"",計算結果!G513)=0,"",IF(ISNA(計算結果!G513),"",計算結果!G513))</f>
        <v/>
      </c>
      <c r="H513" s="13">
        <f>IF(IF(ISNA(計算結果!H513),"",計算結果!H513)=0,"",IF(ISNA(計算結果!H513),"",計算結果!H513))</f>
        <v>-2</v>
      </c>
      <c r="I513" s="12" t="str">
        <f>IF(IF(ISNA(計算結果!I513),"",計算結果!I513)=0,"",IF(ISNA(計算結果!I513),"",計算結果!I513))</f>
        <v/>
      </c>
      <c r="J513" s="12" t="str">
        <f>IF(IF(ISNA(計算結果!J513),"",計算結果!J513)=0,"",IF(ISNA(計算結果!J513),"",計算結果!J513))</f>
        <v/>
      </c>
      <c r="K513" s="23" t="str">
        <f>IF(IF(ISNA(計算結果!K513),"",計算結果!K513)=0,"",IF(ISNA(計算結果!K513),"",計算結果!K513))</f>
        <v/>
      </c>
      <c r="L513" s="13" t="str">
        <f>IF(IF(ISNA(計算結果!L513),"",計算結果!L513)=0,"",IF(ISNA(計算結果!L513),"",計算結果!L513))</f>
        <v/>
      </c>
      <c r="M513" s="10" t="str">
        <f>IF(IF(ISNA(計算結果!M513),"",計算結果!M513)=0,"",IF(ISNA(計算結果!M513),"",計算結果!M513))</f>
        <v/>
      </c>
      <c r="N513" s="10" t="str">
        <f>IF(IF(ISNA(計算結果!N513),"",計算結果!N513)=0,"",IF(ISNA(計算結果!N513),"",計算結果!N513))</f>
        <v/>
      </c>
      <c r="O513" s="13" t="str">
        <f>IF(IF(ISNA(計算結果!O513),"",計算結果!O513)=0,"",IF(ISNA(計算結果!O513),"",計算結果!O513))</f>
        <v/>
      </c>
      <c r="P513" s="10" t="str">
        <f>IF(IF(ISNA(計算結果!P513),"",計算結果!P513)=0,"",IF(ISNA(計算結果!P513),"",計算結果!P513))</f>
        <v/>
      </c>
      <c r="Q513" s="10" t="str">
        <f>IF(IF(ISNA(計算結果!Q513),"",計算結果!Q513)=0,"",IF(ISNA(計算結果!Q513),"",計算結果!Q513))</f>
        <v/>
      </c>
      <c r="R513" s="14" t="str">
        <f t="shared" si="21"/>
        <v/>
      </c>
      <c r="S513" s="14" t="str">
        <f t="shared" si="22"/>
        <v>◯</v>
      </c>
      <c r="T513" s="14" t="str">
        <f t="shared" si="23"/>
        <v/>
      </c>
    </row>
    <row r="514" spans="1:20" hidden="1" x14ac:dyDescent="0.45">
      <c r="A514" s="10" t="str">
        <f>IF(IF(ISNA(計算結果!A514),"",計算結果!A514)=0,"",IF(ISNA(計算結果!A514),"",計算結果!A514))</f>
        <v/>
      </c>
      <c r="B514" s="10" t="str">
        <f>IF(IF(ISNA(計算結果!B514),"",計算結果!B514)=0,"",IF(ISNA(計算結果!B514),"",計算結果!B514))</f>
        <v/>
      </c>
      <c r="C514" s="10" t="str">
        <f>IF(IF(ISNA(計算結果!C514),"",計算結果!C514)=0,"",IF(ISNA(計算結果!C514),"",計算結果!C514))</f>
        <v/>
      </c>
      <c r="D514" s="10" t="str">
        <f>IF(IF(ISNA(計算結果!D514),"",計算結果!D514)=0,"",IF(ISNA(計算結果!D514),"",計算結果!D514))</f>
        <v>L</v>
      </c>
      <c r="E514" s="10" t="str">
        <f>IF(IF(ISNA(計算結果!E514),"",計算結果!E514)=0,"",IF(ISNA(計算結果!E514),"",計算結果!E514))</f>
        <v/>
      </c>
      <c r="F514" s="10" t="str">
        <f>IF(IF(ISNA(計算結果!F514),"",計算結果!F514)=0,"",IF(ISNA(計算結果!F514),"",計算結果!F514))</f>
        <v/>
      </c>
      <c r="G514" s="10" t="str">
        <f>IF(IF(ISNA(計算結果!G514),"",計算結果!G514)=0,"",IF(ISNA(計算結果!G514),"",計算結果!G514))</f>
        <v/>
      </c>
      <c r="H514" s="13">
        <f>IF(IF(ISNA(計算結果!H514),"",計算結果!H514)=0,"",IF(ISNA(計算結果!H514),"",計算結果!H514))</f>
        <v>-2</v>
      </c>
      <c r="I514" s="12" t="str">
        <f>IF(IF(ISNA(計算結果!I514),"",計算結果!I514)=0,"",IF(ISNA(計算結果!I514),"",計算結果!I514))</f>
        <v/>
      </c>
      <c r="J514" s="12" t="str">
        <f>IF(IF(ISNA(計算結果!J514),"",計算結果!J514)=0,"",IF(ISNA(計算結果!J514),"",計算結果!J514))</f>
        <v/>
      </c>
      <c r="K514" s="23" t="str">
        <f>IF(IF(ISNA(計算結果!K514),"",計算結果!K514)=0,"",IF(ISNA(計算結果!K514),"",計算結果!K514))</f>
        <v/>
      </c>
      <c r="L514" s="13" t="str">
        <f>IF(IF(ISNA(計算結果!L514),"",計算結果!L514)=0,"",IF(ISNA(計算結果!L514),"",計算結果!L514))</f>
        <v/>
      </c>
      <c r="M514" s="10" t="str">
        <f>IF(IF(ISNA(計算結果!M514),"",計算結果!M514)=0,"",IF(ISNA(計算結果!M514),"",計算結果!M514))</f>
        <v/>
      </c>
      <c r="N514" s="10" t="str">
        <f>IF(IF(ISNA(計算結果!N514),"",計算結果!N514)=0,"",IF(ISNA(計算結果!N514),"",計算結果!N514))</f>
        <v/>
      </c>
      <c r="O514" s="13" t="str">
        <f>IF(IF(ISNA(計算結果!O514),"",計算結果!O514)=0,"",IF(ISNA(計算結果!O514),"",計算結果!O514))</f>
        <v/>
      </c>
      <c r="P514" s="10" t="str">
        <f>IF(IF(ISNA(計算結果!P514),"",計算結果!P514)=0,"",IF(ISNA(計算結果!P514),"",計算結果!P514))</f>
        <v/>
      </c>
      <c r="Q514" s="10" t="str">
        <f>IF(IF(ISNA(計算結果!Q514),"",計算結果!Q514)=0,"",IF(ISNA(計算結果!Q514),"",計算結果!Q514))</f>
        <v/>
      </c>
      <c r="R514" s="14" t="str">
        <f t="shared" si="21"/>
        <v/>
      </c>
      <c r="S514" s="14" t="str">
        <f t="shared" si="22"/>
        <v>◯</v>
      </c>
      <c r="T514" s="14" t="str">
        <f t="shared" si="23"/>
        <v/>
      </c>
    </row>
    <row r="515" spans="1:20" hidden="1" x14ac:dyDescent="0.45">
      <c r="A515" s="10" t="str">
        <f>IF(IF(ISNA(計算結果!A515),"",計算結果!A515)=0,"",IF(ISNA(計算結果!A515),"",計算結果!A515))</f>
        <v/>
      </c>
      <c r="B515" s="10" t="str">
        <f>IF(IF(ISNA(計算結果!B515),"",計算結果!B515)=0,"",IF(ISNA(計算結果!B515),"",計算結果!B515))</f>
        <v/>
      </c>
      <c r="C515" s="10" t="str">
        <f>IF(IF(ISNA(計算結果!C515),"",計算結果!C515)=0,"",IF(ISNA(計算結果!C515),"",計算結果!C515))</f>
        <v/>
      </c>
      <c r="D515" s="10" t="str">
        <f>IF(IF(ISNA(計算結果!D515),"",計算結果!D515)=0,"",IF(ISNA(計算結果!D515),"",計算結果!D515))</f>
        <v>L</v>
      </c>
      <c r="E515" s="10" t="str">
        <f>IF(IF(ISNA(計算結果!E515),"",計算結果!E515)=0,"",IF(ISNA(計算結果!E515),"",計算結果!E515))</f>
        <v/>
      </c>
      <c r="F515" s="10" t="str">
        <f>IF(IF(ISNA(計算結果!F515),"",計算結果!F515)=0,"",IF(ISNA(計算結果!F515),"",計算結果!F515))</f>
        <v/>
      </c>
      <c r="G515" s="10" t="str">
        <f>IF(IF(ISNA(計算結果!G515),"",計算結果!G515)=0,"",IF(ISNA(計算結果!G515),"",計算結果!G515))</f>
        <v/>
      </c>
      <c r="H515" s="13">
        <f>IF(IF(ISNA(計算結果!H515),"",計算結果!H515)=0,"",IF(ISNA(計算結果!H515),"",計算結果!H515))</f>
        <v>-2</v>
      </c>
      <c r="I515" s="12" t="str">
        <f>IF(IF(ISNA(計算結果!I515),"",計算結果!I515)=0,"",IF(ISNA(計算結果!I515),"",計算結果!I515))</f>
        <v/>
      </c>
      <c r="J515" s="12" t="str">
        <f>IF(IF(ISNA(計算結果!J515),"",計算結果!J515)=0,"",IF(ISNA(計算結果!J515),"",計算結果!J515))</f>
        <v/>
      </c>
      <c r="K515" s="23" t="str">
        <f>IF(IF(ISNA(計算結果!K515),"",計算結果!K515)=0,"",IF(ISNA(計算結果!K515),"",計算結果!K515))</f>
        <v/>
      </c>
      <c r="L515" s="13" t="str">
        <f>IF(IF(ISNA(計算結果!L515),"",計算結果!L515)=0,"",IF(ISNA(計算結果!L515),"",計算結果!L515))</f>
        <v/>
      </c>
      <c r="M515" s="10" t="str">
        <f>IF(IF(ISNA(計算結果!M515),"",計算結果!M515)=0,"",IF(ISNA(計算結果!M515),"",計算結果!M515))</f>
        <v/>
      </c>
      <c r="N515" s="10" t="str">
        <f>IF(IF(ISNA(計算結果!N515),"",計算結果!N515)=0,"",IF(ISNA(計算結果!N515),"",計算結果!N515))</f>
        <v/>
      </c>
      <c r="O515" s="13" t="str">
        <f>IF(IF(ISNA(計算結果!O515),"",計算結果!O515)=0,"",IF(ISNA(計算結果!O515),"",計算結果!O515))</f>
        <v/>
      </c>
      <c r="P515" s="10" t="str">
        <f>IF(IF(ISNA(計算結果!P515),"",計算結果!P515)=0,"",IF(ISNA(計算結果!P515),"",計算結果!P515))</f>
        <v/>
      </c>
      <c r="Q515" s="10" t="str">
        <f>IF(IF(ISNA(計算結果!Q515),"",計算結果!Q515)=0,"",IF(ISNA(計算結果!Q515),"",計算結果!Q515))</f>
        <v/>
      </c>
      <c r="R515" s="14" t="str">
        <f t="shared" ref="R515:R578" si="24">IF(AND(M515&lt;&gt;"",M515=N515),"◯","")</f>
        <v/>
      </c>
      <c r="S515" s="14" t="str">
        <f t="shared" ref="S515:S578" si="25">IF(M515="","◯","")</f>
        <v>◯</v>
      </c>
      <c r="T515" s="14" t="str">
        <f t="shared" ref="T515:T578" si="26">IF(AND(P515&lt;&gt;"",P515&lt;&gt;Q515),"◯","")</f>
        <v/>
      </c>
    </row>
    <row r="516" spans="1:20" hidden="1" x14ac:dyDescent="0.45">
      <c r="A516" s="10" t="str">
        <f>IF(IF(ISNA(計算結果!A516),"",計算結果!A516)=0,"",IF(ISNA(計算結果!A516),"",計算結果!A516))</f>
        <v/>
      </c>
      <c r="B516" s="10" t="str">
        <f>IF(IF(ISNA(計算結果!B516),"",計算結果!B516)=0,"",IF(ISNA(計算結果!B516),"",計算結果!B516))</f>
        <v/>
      </c>
      <c r="C516" s="10" t="str">
        <f>IF(IF(ISNA(計算結果!C516),"",計算結果!C516)=0,"",IF(ISNA(計算結果!C516),"",計算結果!C516))</f>
        <v/>
      </c>
      <c r="D516" s="10" t="str">
        <f>IF(IF(ISNA(計算結果!D516),"",計算結果!D516)=0,"",IF(ISNA(計算結果!D516),"",計算結果!D516))</f>
        <v>L</v>
      </c>
      <c r="E516" s="10" t="str">
        <f>IF(IF(ISNA(計算結果!E516),"",計算結果!E516)=0,"",IF(ISNA(計算結果!E516),"",計算結果!E516))</f>
        <v/>
      </c>
      <c r="F516" s="10" t="str">
        <f>IF(IF(ISNA(計算結果!F516),"",計算結果!F516)=0,"",IF(ISNA(計算結果!F516),"",計算結果!F516))</f>
        <v/>
      </c>
      <c r="G516" s="10" t="str">
        <f>IF(IF(ISNA(計算結果!G516),"",計算結果!G516)=0,"",IF(ISNA(計算結果!G516),"",計算結果!G516))</f>
        <v/>
      </c>
      <c r="H516" s="13">
        <f>IF(IF(ISNA(計算結果!H516),"",計算結果!H516)=0,"",IF(ISNA(計算結果!H516),"",計算結果!H516))</f>
        <v>-2</v>
      </c>
      <c r="I516" s="12" t="str">
        <f>IF(IF(ISNA(計算結果!I516),"",計算結果!I516)=0,"",IF(ISNA(計算結果!I516),"",計算結果!I516))</f>
        <v/>
      </c>
      <c r="J516" s="12" t="str">
        <f>IF(IF(ISNA(計算結果!J516),"",計算結果!J516)=0,"",IF(ISNA(計算結果!J516),"",計算結果!J516))</f>
        <v/>
      </c>
      <c r="K516" s="23" t="str">
        <f>IF(IF(ISNA(計算結果!K516),"",計算結果!K516)=0,"",IF(ISNA(計算結果!K516),"",計算結果!K516))</f>
        <v/>
      </c>
      <c r="L516" s="13" t="str">
        <f>IF(IF(ISNA(計算結果!L516),"",計算結果!L516)=0,"",IF(ISNA(計算結果!L516),"",計算結果!L516))</f>
        <v/>
      </c>
      <c r="M516" s="10" t="str">
        <f>IF(IF(ISNA(計算結果!M516),"",計算結果!M516)=0,"",IF(ISNA(計算結果!M516),"",計算結果!M516))</f>
        <v/>
      </c>
      <c r="N516" s="10" t="str">
        <f>IF(IF(ISNA(計算結果!N516),"",計算結果!N516)=0,"",IF(ISNA(計算結果!N516),"",計算結果!N516))</f>
        <v/>
      </c>
      <c r="O516" s="13" t="str">
        <f>IF(IF(ISNA(計算結果!O516),"",計算結果!O516)=0,"",IF(ISNA(計算結果!O516),"",計算結果!O516))</f>
        <v/>
      </c>
      <c r="P516" s="10" t="str">
        <f>IF(IF(ISNA(計算結果!P516),"",計算結果!P516)=0,"",IF(ISNA(計算結果!P516),"",計算結果!P516))</f>
        <v/>
      </c>
      <c r="Q516" s="10" t="str">
        <f>IF(IF(ISNA(計算結果!Q516),"",計算結果!Q516)=0,"",IF(ISNA(計算結果!Q516),"",計算結果!Q516))</f>
        <v/>
      </c>
      <c r="R516" s="14" t="str">
        <f t="shared" si="24"/>
        <v/>
      </c>
      <c r="S516" s="14" t="str">
        <f t="shared" si="25"/>
        <v>◯</v>
      </c>
      <c r="T516" s="14" t="str">
        <f t="shared" si="26"/>
        <v/>
      </c>
    </row>
    <row r="517" spans="1:20" hidden="1" x14ac:dyDescent="0.45">
      <c r="A517" s="10" t="str">
        <f>IF(IF(ISNA(計算結果!A517),"",計算結果!A517)=0,"",IF(ISNA(計算結果!A517),"",計算結果!A517))</f>
        <v/>
      </c>
      <c r="B517" s="10" t="str">
        <f>IF(IF(ISNA(計算結果!B517),"",計算結果!B517)=0,"",IF(ISNA(計算結果!B517),"",計算結果!B517))</f>
        <v/>
      </c>
      <c r="C517" s="10" t="str">
        <f>IF(IF(ISNA(計算結果!C517),"",計算結果!C517)=0,"",IF(ISNA(計算結果!C517),"",計算結果!C517))</f>
        <v/>
      </c>
      <c r="D517" s="10" t="str">
        <f>IF(IF(ISNA(計算結果!D517),"",計算結果!D517)=0,"",IF(ISNA(計算結果!D517),"",計算結果!D517))</f>
        <v>L</v>
      </c>
      <c r="E517" s="10" t="str">
        <f>IF(IF(ISNA(計算結果!E517),"",計算結果!E517)=0,"",IF(ISNA(計算結果!E517),"",計算結果!E517))</f>
        <v/>
      </c>
      <c r="F517" s="10" t="str">
        <f>IF(IF(ISNA(計算結果!F517),"",計算結果!F517)=0,"",IF(ISNA(計算結果!F517),"",計算結果!F517))</f>
        <v/>
      </c>
      <c r="G517" s="10" t="str">
        <f>IF(IF(ISNA(計算結果!G517),"",計算結果!G517)=0,"",IF(ISNA(計算結果!G517),"",計算結果!G517))</f>
        <v/>
      </c>
      <c r="H517" s="13">
        <f>IF(IF(ISNA(計算結果!H517),"",計算結果!H517)=0,"",IF(ISNA(計算結果!H517),"",計算結果!H517))</f>
        <v>-2</v>
      </c>
      <c r="I517" s="12" t="str">
        <f>IF(IF(ISNA(計算結果!I517),"",計算結果!I517)=0,"",IF(ISNA(計算結果!I517),"",計算結果!I517))</f>
        <v/>
      </c>
      <c r="J517" s="12" t="str">
        <f>IF(IF(ISNA(計算結果!J517),"",計算結果!J517)=0,"",IF(ISNA(計算結果!J517),"",計算結果!J517))</f>
        <v/>
      </c>
      <c r="K517" s="23" t="str">
        <f>IF(IF(ISNA(計算結果!K517),"",計算結果!K517)=0,"",IF(ISNA(計算結果!K517),"",計算結果!K517))</f>
        <v/>
      </c>
      <c r="L517" s="13" t="str">
        <f>IF(IF(ISNA(計算結果!L517),"",計算結果!L517)=0,"",IF(ISNA(計算結果!L517),"",計算結果!L517))</f>
        <v/>
      </c>
      <c r="M517" s="10" t="str">
        <f>IF(IF(ISNA(計算結果!M517),"",計算結果!M517)=0,"",IF(ISNA(計算結果!M517),"",計算結果!M517))</f>
        <v/>
      </c>
      <c r="N517" s="10" t="str">
        <f>IF(IF(ISNA(計算結果!N517),"",計算結果!N517)=0,"",IF(ISNA(計算結果!N517),"",計算結果!N517))</f>
        <v/>
      </c>
      <c r="O517" s="13" t="str">
        <f>IF(IF(ISNA(計算結果!O517),"",計算結果!O517)=0,"",IF(ISNA(計算結果!O517),"",計算結果!O517))</f>
        <v/>
      </c>
      <c r="P517" s="10" t="str">
        <f>IF(IF(ISNA(計算結果!P517),"",計算結果!P517)=0,"",IF(ISNA(計算結果!P517),"",計算結果!P517))</f>
        <v/>
      </c>
      <c r="Q517" s="10" t="str">
        <f>IF(IF(ISNA(計算結果!Q517),"",計算結果!Q517)=0,"",IF(ISNA(計算結果!Q517),"",計算結果!Q517))</f>
        <v/>
      </c>
      <c r="R517" s="14" t="str">
        <f t="shared" si="24"/>
        <v/>
      </c>
      <c r="S517" s="14" t="str">
        <f t="shared" si="25"/>
        <v>◯</v>
      </c>
      <c r="T517" s="14" t="str">
        <f t="shared" si="26"/>
        <v/>
      </c>
    </row>
    <row r="518" spans="1:20" hidden="1" x14ac:dyDescent="0.45">
      <c r="A518" s="10" t="str">
        <f>IF(IF(ISNA(計算結果!A518),"",計算結果!A518)=0,"",IF(ISNA(計算結果!A518),"",計算結果!A518))</f>
        <v/>
      </c>
      <c r="B518" s="10" t="str">
        <f>IF(IF(ISNA(計算結果!B518),"",計算結果!B518)=0,"",IF(ISNA(計算結果!B518),"",計算結果!B518))</f>
        <v/>
      </c>
      <c r="C518" s="10" t="str">
        <f>IF(IF(ISNA(計算結果!C518),"",計算結果!C518)=0,"",IF(ISNA(計算結果!C518),"",計算結果!C518))</f>
        <v/>
      </c>
      <c r="D518" s="10" t="str">
        <f>IF(IF(ISNA(計算結果!D518),"",計算結果!D518)=0,"",IF(ISNA(計算結果!D518),"",計算結果!D518))</f>
        <v>L</v>
      </c>
      <c r="E518" s="10" t="str">
        <f>IF(IF(ISNA(計算結果!E518),"",計算結果!E518)=0,"",IF(ISNA(計算結果!E518),"",計算結果!E518))</f>
        <v/>
      </c>
      <c r="F518" s="10" t="str">
        <f>IF(IF(ISNA(計算結果!F518),"",計算結果!F518)=0,"",IF(ISNA(計算結果!F518),"",計算結果!F518))</f>
        <v/>
      </c>
      <c r="G518" s="10" t="str">
        <f>IF(IF(ISNA(計算結果!G518),"",計算結果!G518)=0,"",IF(ISNA(計算結果!G518),"",計算結果!G518))</f>
        <v/>
      </c>
      <c r="H518" s="13">
        <f>IF(IF(ISNA(計算結果!H518),"",計算結果!H518)=0,"",IF(ISNA(計算結果!H518),"",計算結果!H518))</f>
        <v>-2</v>
      </c>
      <c r="I518" s="12" t="str">
        <f>IF(IF(ISNA(計算結果!I518),"",計算結果!I518)=0,"",IF(ISNA(計算結果!I518),"",計算結果!I518))</f>
        <v/>
      </c>
      <c r="J518" s="12" t="str">
        <f>IF(IF(ISNA(計算結果!J518),"",計算結果!J518)=0,"",IF(ISNA(計算結果!J518),"",計算結果!J518))</f>
        <v/>
      </c>
      <c r="K518" s="23" t="str">
        <f>IF(IF(ISNA(計算結果!K518),"",計算結果!K518)=0,"",IF(ISNA(計算結果!K518),"",計算結果!K518))</f>
        <v/>
      </c>
      <c r="L518" s="13" t="str">
        <f>IF(IF(ISNA(計算結果!L518),"",計算結果!L518)=0,"",IF(ISNA(計算結果!L518),"",計算結果!L518))</f>
        <v/>
      </c>
      <c r="M518" s="10" t="str">
        <f>IF(IF(ISNA(計算結果!M518),"",計算結果!M518)=0,"",IF(ISNA(計算結果!M518),"",計算結果!M518))</f>
        <v/>
      </c>
      <c r="N518" s="10" t="str">
        <f>IF(IF(ISNA(計算結果!N518),"",計算結果!N518)=0,"",IF(ISNA(計算結果!N518),"",計算結果!N518))</f>
        <v/>
      </c>
      <c r="O518" s="13" t="str">
        <f>IF(IF(ISNA(計算結果!O518),"",計算結果!O518)=0,"",IF(ISNA(計算結果!O518),"",計算結果!O518))</f>
        <v/>
      </c>
      <c r="P518" s="10" t="str">
        <f>IF(IF(ISNA(計算結果!P518),"",計算結果!P518)=0,"",IF(ISNA(計算結果!P518),"",計算結果!P518))</f>
        <v/>
      </c>
      <c r="Q518" s="10" t="str">
        <f>IF(IF(ISNA(計算結果!Q518),"",計算結果!Q518)=0,"",IF(ISNA(計算結果!Q518),"",計算結果!Q518))</f>
        <v/>
      </c>
      <c r="R518" s="14" t="str">
        <f t="shared" si="24"/>
        <v/>
      </c>
      <c r="S518" s="14" t="str">
        <f t="shared" si="25"/>
        <v>◯</v>
      </c>
      <c r="T518" s="14" t="str">
        <f t="shared" si="26"/>
        <v/>
      </c>
    </row>
    <row r="519" spans="1:20" hidden="1" x14ac:dyDescent="0.45">
      <c r="A519" s="10" t="str">
        <f>IF(IF(ISNA(計算結果!A519),"",計算結果!A519)=0,"",IF(ISNA(計算結果!A519),"",計算結果!A519))</f>
        <v/>
      </c>
      <c r="B519" s="10" t="str">
        <f>IF(IF(ISNA(計算結果!B519),"",計算結果!B519)=0,"",IF(ISNA(計算結果!B519),"",計算結果!B519))</f>
        <v/>
      </c>
      <c r="C519" s="10" t="str">
        <f>IF(IF(ISNA(計算結果!C519),"",計算結果!C519)=0,"",IF(ISNA(計算結果!C519),"",計算結果!C519))</f>
        <v/>
      </c>
      <c r="D519" s="10" t="str">
        <f>IF(IF(ISNA(計算結果!D519),"",計算結果!D519)=0,"",IF(ISNA(計算結果!D519),"",計算結果!D519))</f>
        <v>L</v>
      </c>
      <c r="E519" s="10" t="str">
        <f>IF(IF(ISNA(計算結果!E519),"",計算結果!E519)=0,"",IF(ISNA(計算結果!E519),"",計算結果!E519))</f>
        <v/>
      </c>
      <c r="F519" s="10" t="str">
        <f>IF(IF(ISNA(計算結果!F519),"",計算結果!F519)=0,"",IF(ISNA(計算結果!F519),"",計算結果!F519))</f>
        <v/>
      </c>
      <c r="G519" s="10" t="str">
        <f>IF(IF(ISNA(計算結果!G519),"",計算結果!G519)=0,"",IF(ISNA(計算結果!G519),"",計算結果!G519))</f>
        <v/>
      </c>
      <c r="H519" s="13">
        <f>IF(IF(ISNA(計算結果!H519),"",計算結果!H519)=0,"",IF(ISNA(計算結果!H519),"",計算結果!H519))</f>
        <v>-2</v>
      </c>
      <c r="I519" s="12" t="str">
        <f>IF(IF(ISNA(計算結果!I519),"",計算結果!I519)=0,"",IF(ISNA(計算結果!I519),"",計算結果!I519))</f>
        <v/>
      </c>
      <c r="J519" s="12" t="str">
        <f>IF(IF(ISNA(計算結果!J519),"",計算結果!J519)=0,"",IF(ISNA(計算結果!J519),"",計算結果!J519))</f>
        <v/>
      </c>
      <c r="K519" s="23" t="str">
        <f>IF(IF(ISNA(計算結果!K519),"",計算結果!K519)=0,"",IF(ISNA(計算結果!K519),"",計算結果!K519))</f>
        <v/>
      </c>
      <c r="L519" s="13" t="str">
        <f>IF(IF(ISNA(計算結果!L519),"",計算結果!L519)=0,"",IF(ISNA(計算結果!L519),"",計算結果!L519))</f>
        <v/>
      </c>
      <c r="M519" s="10" t="str">
        <f>IF(IF(ISNA(計算結果!M519),"",計算結果!M519)=0,"",IF(ISNA(計算結果!M519),"",計算結果!M519))</f>
        <v/>
      </c>
      <c r="N519" s="10" t="str">
        <f>IF(IF(ISNA(計算結果!N519),"",計算結果!N519)=0,"",IF(ISNA(計算結果!N519),"",計算結果!N519))</f>
        <v/>
      </c>
      <c r="O519" s="13" t="str">
        <f>IF(IF(ISNA(計算結果!O519),"",計算結果!O519)=0,"",IF(ISNA(計算結果!O519),"",計算結果!O519))</f>
        <v/>
      </c>
      <c r="P519" s="10" t="str">
        <f>IF(IF(ISNA(計算結果!P519),"",計算結果!P519)=0,"",IF(ISNA(計算結果!P519),"",計算結果!P519))</f>
        <v/>
      </c>
      <c r="Q519" s="10" t="str">
        <f>IF(IF(ISNA(計算結果!Q519),"",計算結果!Q519)=0,"",IF(ISNA(計算結果!Q519),"",計算結果!Q519))</f>
        <v/>
      </c>
      <c r="R519" s="14" t="str">
        <f t="shared" si="24"/>
        <v/>
      </c>
      <c r="S519" s="14" t="str">
        <f t="shared" si="25"/>
        <v>◯</v>
      </c>
      <c r="T519" s="14" t="str">
        <f t="shared" si="26"/>
        <v/>
      </c>
    </row>
    <row r="520" spans="1:20" hidden="1" x14ac:dyDescent="0.45">
      <c r="A520" s="10" t="str">
        <f>IF(IF(ISNA(計算結果!A520),"",計算結果!A520)=0,"",IF(ISNA(計算結果!A520),"",計算結果!A520))</f>
        <v/>
      </c>
      <c r="B520" s="10" t="str">
        <f>IF(IF(ISNA(計算結果!B520),"",計算結果!B520)=0,"",IF(ISNA(計算結果!B520),"",計算結果!B520))</f>
        <v/>
      </c>
      <c r="C520" s="10" t="str">
        <f>IF(IF(ISNA(計算結果!C520),"",計算結果!C520)=0,"",IF(ISNA(計算結果!C520),"",計算結果!C520))</f>
        <v/>
      </c>
      <c r="D520" s="10" t="str">
        <f>IF(IF(ISNA(計算結果!D520),"",計算結果!D520)=0,"",IF(ISNA(計算結果!D520),"",計算結果!D520))</f>
        <v>L</v>
      </c>
      <c r="E520" s="10" t="str">
        <f>IF(IF(ISNA(計算結果!E520),"",計算結果!E520)=0,"",IF(ISNA(計算結果!E520),"",計算結果!E520))</f>
        <v/>
      </c>
      <c r="F520" s="10" t="str">
        <f>IF(IF(ISNA(計算結果!F520),"",計算結果!F520)=0,"",IF(ISNA(計算結果!F520),"",計算結果!F520))</f>
        <v/>
      </c>
      <c r="G520" s="10" t="str">
        <f>IF(IF(ISNA(計算結果!G520),"",計算結果!G520)=0,"",IF(ISNA(計算結果!G520),"",計算結果!G520))</f>
        <v/>
      </c>
      <c r="H520" s="13">
        <f>IF(IF(ISNA(計算結果!H520),"",計算結果!H520)=0,"",IF(ISNA(計算結果!H520),"",計算結果!H520))</f>
        <v>-2</v>
      </c>
      <c r="I520" s="12" t="str">
        <f>IF(IF(ISNA(計算結果!I520),"",計算結果!I520)=0,"",IF(ISNA(計算結果!I520),"",計算結果!I520))</f>
        <v/>
      </c>
      <c r="J520" s="12" t="str">
        <f>IF(IF(ISNA(計算結果!J520),"",計算結果!J520)=0,"",IF(ISNA(計算結果!J520),"",計算結果!J520))</f>
        <v/>
      </c>
      <c r="K520" s="23" t="str">
        <f>IF(IF(ISNA(計算結果!K520),"",計算結果!K520)=0,"",IF(ISNA(計算結果!K520),"",計算結果!K520))</f>
        <v/>
      </c>
      <c r="L520" s="13" t="str">
        <f>IF(IF(ISNA(計算結果!L520),"",計算結果!L520)=0,"",IF(ISNA(計算結果!L520),"",計算結果!L520))</f>
        <v/>
      </c>
      <c r="M520" s="10" t="str">
        <f>IF(IF(ISNA(計算結果!M520),"",計算結果!M520)=0,"",IF(ISNA(計算結果!M520),"",計算結果!M520))</f>
        <v/>
      </c>
      <c r="N520" s="10" t="str">
        <f>IF(IF(ISNA(計算結果!N520),"",計算結果!N520)=0,"",IF(ISNA(計算結果!N520),"",計算結果!N520))</f>
        <v/>
      </c>
      <c r="O520" s="13" t="str">
        <f>IF(IF(ISNA(計算結果!O520),"",計算結果!O520)=0,"",IF(ISNA(計算結果!O520),"",計算結果!O520))</f>
        <v/>
      </c>
      <c r="P520" s="10" t="str">
        <f>IF(IF(ISNA(計算結果!P520),"",計算結果!P520)=0,"",IF(ISNA(計算結果!P520),"",計算結果!P520))</f>
        <v/>
      </c>
      <c r="Q520" s="10" t="str">
        <f>IF(IF(ISNA(計算結果!Q520),"",計算結果!Q520)=0,"",IF(ISNA(計算結果!Q520),"",計算結果!Q520))</f>
        <v/>
      </c>
      <c r="R520" s="14" t="str">
        <f t="shared" si="24"/>
        <v/>
      </c>
      <c r="S520" s="14" t="str">
        <f t="shared" si="25"/>
        <v>◯</v>
      </c>
      <c r="T520" s="14" t="str">
        <f t="shared" si="26"/>
        <v/>
      </c>
    </row>
    <row r="521" spans="1:20" hidden="1" x14ac:dyDescent="0.45">
      <c r="A521" s="10" t="str">
        <f>IF(IF(ISNA(計算結果!A521),"",計算結果!A521)=0,"",IF(ISNA(計算結果!A521),"",計算結果!A521))</f>
        <v/>
      </c>
      <c r="B521" s="10" t="str">
        <f>IF(IF(ISNA(計算結果!B521),"",計算結果!B521)=0,"",IF(ISNA(計算結果!B521),"",計算結果!B521))</f>
        <v/>
      </c>
      <c r="C521" s="10" t="str">
        <f>IF(IF(ISNA(計算結果!C521),"",計算結果!C521)=0,"",IF(ISNA(計算結果!C521),"",計算結果!C521))</f>
        <v/>
      </c>
      <c r="D521" s="10" t="str">
        <f>IF(IF(ISNA(計算結果!D521),"",計算結果!D521)=0,"",IF(ISNA(計算結果!D521),"",計算結果!D521))</f>
        <v>L</v>
      </c>
      <c r="E521" s="10" t="str">
        <f>IF(IF(ISNA(計算結果!E521),"",計算結果!E521)=0,"",IF(ISNA(計算結果!E521),"",計算結果!E521))</f>
        <v/>
      </c>
      <c r="F521" s="10" t="str">
        <f>IF(IF(ISNA(計算結果!F521),"",計算結果!F521)=0,"",IF(ISNA(計算結果!F521),"",計算結果!F521))</f>
        <v/>
      </c>
      <c r="G521" s="10" t="str">
        <f>IF(IF(ISNA(計算結果!G521),"",計算結果!G521)=0,"",IF(ISNA(計算結果!G521),"",計算結果!G521))</f>
        <v/>
      </c>
      <c r="H521" s="13">
        <f>IF(IF(ISNA(計算結果!H521),"",計算結果!H521)=0,"",IF(ISNA(計算結果!H521),"",計算結果!H521))</f>
        <v>-2</v>
      </c>
      <c r="I521" s="12" t="str">
        <f>IF(IF(ISNA(計算結果!I521),"",計算結果!I521)=0,"",IF(ISNA(計算結果!I521),"",計算結果!I521))</f>
        <v/>
      </c>
      <c r="J521" s="12" t="str">
        <f>IF(IF(ISNA(計算結果!J521),"",計算結果!J521)=0,"",IF(ISNA(計算結果!J521),"",計算結果!J521))</f>
        <v/>
      </c>
      <c r="K521" s="23" t="str">
        <f>IF(IF(ISNA(計算結果!K521),"",計算結果!K521)=0,"",IF(ISNA(計算結果!K521),"",計算結果!K521))</f>
        <v/>
      </c>
      <c r="L521" s="13" t="str">
        <f>IF(IF(ISNA(計算結果!L521),"",計算結果!L521)=0,"",IF(ISNA(計算結果!L521),"",計算結果!L521))</f>
        <v/>
      </c>
      <c r="M521" s="10" t="str">
        <f>IF(IF(ISNA(計算結果!M521),"",計算結果!M521)=0,"",IF(ISNA(計算結果!M521),"",計算結果!M521))</f>
        <v/>
      </c>
      <c r="N521" s="10" t="str">
        <f>IF(IF(ISNA(計算結果!N521),"",計算結果!N521)=0,"",IF(ISNA(計算結果!N521),"",計算結果!N521))</f>
        <v/>
      </c>
      <c r="O521" s="13" t="str">
        <f>IF(IF(ISNA(計算結果!O521),"",計算結果!O521)=0,"",IF(ISNA(計算結果!O521),"",計算結果!O521))</f>
        <v/>
      </c>
      <c r="P521" s="10" t="str">
        <f>IF(IF(ISNA(計算結果!P521),"",計算結果!P521)=0,"",IF(ISNA(計算結果!P521),"",計算結果!P521))</f>
        <v/>
      </c>
      <c r="Q521" s="10" t="str">
        <f>IF(IF(ISNA(計算結果!Q521),"",計算結果!Q521)=0,"",IF(ISNA(計算結果!Q521),"",計算結果!Q521))</f>
        <v/>
      </c>
      <c r="R521" s="14" t="str">
        <f t="shared" si="24"/>
        <v/>
      </c>
      <c r="S521" s="14" t="str">
        <f t="shared" si="25"/>
        <v>◯</v>
      </c>
      <c r="T521" s="14" t="str">
        <f t="shared" si="26"/>
        <v/>
      </c>
    </row>
    <row r="522" spans="1:20" hidden="1" x14ac:dyDescent="0.45">
      <c r="A522" s="10" t="str">
        <f>IF(IF(ISNA(計算結果!A522),"",計算結果!A522)=0,"",IF(ISNA(計算結果!A522),"",計算結果!A522))</f>
        <v/>
      </c>
      <c r="B522" s="10" t="str">
        <f>IF(IF(ISNA(計算結果!B522),"",計算結果!B522)=0,"",IF(ISNA(計算結果!B522),"",計算結果!B522))</f>
        <v/>
      </c>
      <c r="C522" s="10" t="str">
        <f>IF(IF(ISNA(計算結果!C522),"",計算結果!C522)=0,"",IF(ISNA(計算結果!C522),"",計算結果!C522))</f>
        <v/>
      </c>
      <c r="D522" s="10" t="str">
        <f>IF(IF(ISNA(計算結果!D522),"",計算結果!D522)=0,"",IF(ISNA(計算結果!D522),"",計算結果!D522))</f>
        <v>L</v>
      </c>
      <c r="E522" s="10" t="str">
        <f>IF(IF(ISNA(計算結果!E522),"",計算結果!E522)=0,"",IF(ISNA(計算結果!E522),"",計算結果!E522))</f>
        <v/>
      </c>
      <c r="F522" s="10" t="str">
        <f>IF(IF(ISNA(計算結果!F522),"",計算結果!F522)=0,"",IF(ISNA(計算結果!F522),"",計算結果!F522))</f>
        <v/>
      </c>
      <c r="G522" s="10" t="str">
        <f>IF(IF(ISNA(計算結果!G522),"",計算結果!G522)=0,"",IF(ISNA(計算結果!G522),"",計算結果!G522))</f>
        <v/>
      </c>
      <c r="H522" s="13">
        <f>IF(IF(ISNA(計算結果!H522),"",計算結果!H522)=0,"",IF(ISNA(計算結果!H522),"",計算結果!H522))</f>
        <v>-2</v>
      </c>
      <c r="I522" s="12" t="str">
        <f>IF(IF(ISNA(計算結果!I522),"",計算結果!I522)=0,"",IF(ISNA(計算結果!I522),"",計算結果!I522))</f>
        <v/>
      </c>
      <c r="J522" s="12" t="str">
        <f>IF(IF(ISNA(計算結果!J522),"",計算結果!J522)=0,"",IF(ISNA(計算結果!J522),"",計算結果!J522))</f>
        <v/>
      </c>
      <c r="K522" s="23" t="str">
        <f>IF(IF(ISNA(計算結果!K522),"",計算結果!K522)=0,"",IF(ISNA(計算結果!K522),"",計算結果!K522))</f>
        <v/>
      </c>
      <c r="L522" s="13" t="str">
        <f>IF(IF(ISNA(計算結果!L522),"",計算結果!L522)=0,"",IF(ISNA(計算結果!L522),"",計算結果!L522))</f>
        <v/>
      </c>
      <c r="M522" s="10" t="str">
        <f>IF(IF(ISNA(計算結果!M522),"",計算結果!M522)=0,"",IF(ISNA(計算結果!M522),"",計算結果!M522))</f>
        <v/>
      </c>
      <c r="N522" s="10" t="str">
        <f>IF(IF(ISNA(計算結果!N522),"",計算結果!N522)=0,"",IF(ISNA(計算結果!N522),"",計算結果!N522))</f>
        <v/>
      </c>
      <c r="O522" s="13" t="str">
        <f>IF(IF(ISNA(計算結果!O522),"",計算結果!O522)=0,"",IF(ISNA(計算結果!O522),"",計算結果!O522))</f>
        <v/>
      </c>
      <c r="P522" s="10" t="str">
        <f>IF(IF(ISNA(計算結果!P522),"",計算結果!P522)=0,"",IF(ISNA(計算結果!P522),"",計算結果!P522))</f>
        <v/>
      </c>
      <c r="Q522" s="10" t="str">
        <f>IF(IF(ISNA(計算結果!Q522),"",計算結果!Q522)=0,"",IF(ISNA(計算結果!Q522),"",計算結果!Q522))</f>
        <v/>
      </c>
      <c r="R522" s="14" t="str">
        <f t="shared" si="24"/>
        <v/>
      </c>
      <c r="S522" s="14" t="str">
        <f t="shared" si="25"/>
        <v>◯</v>
      </c>
      <c r="T522" s="14" t="str">
        <f t="shared" si="26"/>
        <v/>
      </c>
    </row>
    <row r="523" spans="1:20" hidden="1" x14ac:dyDescent="0.45">
      <c r="A523" s="10" t="str">
        <f>IF(IF(ISNA(計算結果!A523),"",計算結果!A523)=0,"",IF(ISNA(計算結果!A523),"",計算結果!A523))</f>
        <v/>
      </c>
      <c r="B523" s="10" t="str">
        <f>IF(IF(ISNA(計算結果!B523),"",計算結果!B523)=0,"",IF(ISNA(計算結果!B523),"",計算結果!B523))</f>
        <v/>
      </c>
      <c r="C523" s="10" t="str">
        <f>IF(IF(ISNA(計算結果!C523),"",計算結果!C523)=0,"",IF(ISNA(計算結果!C523),"",計算結果!C523))</f>
        <v/>
      </c>
      <c r="D523" s="10" t="str">
        <f>IF(IF(ISNA(計算結果!D523),"",計算結果!D523)=0,"",IF(ISNA(計算結果!D523),"",計算結果!D523))</f>
        <v>L</v>
      </c>
      <c r="E523" s="10" t="str">
        <f>IF(IF(ISNA(計算結果!E523),"",計算結果!E523)=0,"",IF(ISNA(計算結果!E523),"",計算結果!E523))</f>
        <v/>
      </c>
      <c r="F523" s="10" t="str">
        <f>IF(IF(ISNA(計算結果!F523),"",計算結果!F523)=0,"",IF(ISNA(計算結果!F523),"",計算結果!F523))</f>
        <v/>
      </c>
      <c r="G523" s="10" t="str">
        <f>IF(IF(ISNA(計算結果!G523),"",計算結果!G523)=0,"",IF(ISNA(計算結果!G523),"",計算結果!G523))</f>
        <v/>
      </c>
      <c r="H523" s="13">
        <f>IF(IF(ISNA(計算結果!H523),"",計算結果!H523)=0,"",IF(ISNA(計算結果!H523),"",計算結果!H523))</f>
        <v>-2</v>
      </c>
      <c r="I523" s="12" t="str">
        <f>IF(IF(ISNA(計算結果!I523),"",計算結果!I523)=0,"",IF(ISNA(計算結果!I523),"",計算結果!I523))</f>
        <v/>
      </c>
      <c r="J523" s="12" t="str">
        <f>IF(IF(ISNA(計算結果!J523),"",計算結果!J523)=0,"",IF(ISNA(計算結果!J523),"",計算結果!J523))</f>
        <v/>
      </c>
      <c r="K523" s="23" t="str">
        <f>IF(IF(ISNA(計算結果!K523),"",計算結果!K523)=0,"",IF(ISNA(計算結果!K523),"",計算結果!K523))</f>
        <v/>
      </c>
      <c r="L523" s="13" t="str">
        <f>IF(IF(ISNA(計算結果!L523),"",計算結果!L523)=0,"",IF(ISNA(計算結果!L523),"",計算結果!L523))</f>
        <v/>
      </c>
      <c r="M523" s="10" t="str">
        <f>IF(IF(ISNA(計算結果!M523),"",計算結果!M523)=0,"",IF(ISNA(計算結果!M523),"",計算結果!M523))</f>
        <v/>
      </c>
      <c r="N523" s="10" t="str">
        <f>IF(IF(ISNA(計算結果!N523),"",計算結果!N523)=0,"",IF(ISNA(計算結果!N523),"",計算結果!N523))</f>
        <v/>
      </c>
      <c r="O523" s="13" t="str">
        <f>IF(IF(ISNA(計算結果!O523),"",計算結果!O523)=0,"",IF(ISNA(計算結果!O523),"",計算結果!O523))</f>
        <v/>
      </c>
      <c r="P523" s="10" t="str">
        <f>IF(IF(ISNA(計算結果!P523),"",計算結果!P523)=0,"",IF(ISNA(計算結果!P523),"",計算結果!P523))</f>
        <v/>
      </c>
      <c r="Q523" s="10" t="str">
        <f>IF(IF(ISNA(計算結果!Q523),"",計算結果!Q523)=0,"",IF(ISNA(計算結果!Q523),"",計算結果!Q523))</f>
        <v/>
      </c>
      <c r="R523" s="14" t="str">
        <f t="shared" si="24"/>
        <v/>
      </c>
      <c r="S523" s="14" t="str">
        <f t="shared" si="25"/>
        <v>◯</v>
      </c>
      <c r="T523" s="14" t="str">
        <f t="shared" si="26"/>
        <v/>
      </c>
    </row>
    <row r="524" spans="1:20" hidden="1" x14ac:dyDescent="0.45">
      <c r="A524" s="10" t="str">
        <f>IF(IF(ISNA(計算結果!A524),"",計算結果!A524)=0,"",IF(ISNA(計算結果!A524),"",計算結果!A524))</f>
        <v/>
      </c>
      <c r="B524" s="10" t="str">
        <f>IF(IF(ISNA(計算結果!B524),"",計算結果!B524)=0,"",IF(ISNA(計算結果!B524),"",計算結果!B524))</f>
        <v/>
      </c>
      <c r="C524" s="10" t="str">
        <f>IF(IF(ISNA(計算結果!C524),"",計算結果!C524)=0,"",IF(ISNA(計算結果!C524),"",計算結果!C524))</f>
        <v/>
      </c>
      <c r="D524" s="10" t="str">
        <f>IF(IF(ISNA(計算結果!D524),"",計算結果!D524)=0,"",IF(ISNA(計算結果!D524),"",計算結果!D524))</f>
        <v>L</v>
      </c>
      <c r="E524" s="10" t="str">
        <f>IF(IF(ISNA(計算結果!E524),"",計算結果!E524)=0,"",IF(ISNA(計算結果!E524),"",計算結果!E524))</f>
        <v/>
      </c>
      <c r="F524" s="10" t="str">
        <f>IF(IF(ISNA(計算結果!F524),"",計算結果!F524)=0,"",IF(ISNA(計算結果!F524),"",計算結果!F524))</f>
        <v/>
      </c>
      <c r="G524" s="10" t="str">
        <f>IF(IF(ISNA(計算結果!G524),"",計算結果!G524)=0,"",IF(ISNA(計算結果!G524),"",計算結果!G524))</f>
        <v/>
      </c>
      <c r="H524" s="13">
        <f>IF(IF(ISNA(計算結果!H524),"",計算結果!H524)=0,"",IF(ISNA(計算結果!H524),"",計算結果!H524))</f>
        <v>-2</v>
      </c>
      <c r="I524" s="12" t="str">
        <f>IF(IF(ISNA(計算結果!I524),"",計算結果!I524)=0,"",IF(ISNA(計算結果!I524),"",計算結果!I524))</f>
        <v/>
      </c>
      <c r="J524" s="12" t="str">
        <f>IF(IF(ISNA(計算結果!J524),"",計算結果!J524)=0,"",IF(ISNA(計算結果!J524),"",計算結果!J524))</f>
        <v/>
      </c>
      <c r="K524" s="23" t="str">
        <f>IF(IF(ISNA(計算結果!K524),"",計算結果!K524)=0,"",IF(ISNA(計算結果!K524),"",計算結果!K524))</f>
        <v/>
      </c>
      <c r="L524" s="13" t="str">
        <f>IF(IF(ISNA(計算結果!L524),"",計算結果!L524)=0,"",IF(ISNA(計算結果!L524),"",計算結果!L524))</f>
        <v/>
      </c>
      <c r="M524" s="10" t="str">
        <f>IF(IF(ISNA(計算結果!M524),"",計算結果!M524)=0,"",IF(ISNA(計算結果!M524),"",計算結果!M524))</f>
        <v/>
      </c>
      <c r="N524" s="10" t="str">
        <f>IF(IF(ISNA(計算結果!N524),"",計算結果!N524)=0,"",IF(ISNA(計算結果!N524),"",計算結果!N524))</f>
        <v/>
      </c>
      <c r="O524" s="13" t="str">
        <f>IF(IF(ISNA(計算結果!O524),"",計算結果!O524)=0,"",IF(ISNA(計算結果!O524),"",計算結果!O524))</f>
        <v/>
      </c>
      <c r="P524" s="10" t="str">
        <f>IF(IF(ISNA(計算結果!P524),"",計算結果!P524)=0,"",IF(ISNA(計算結果!P524),"",計算結果!P524))</f>
        <v/>
      </c>
      <c r="Q524" s="10" t="str">
        <f>IF(IF(ISNA(計算結果!Q524),"",計算結果!Q524)=0,"",IF(ISNA(計算結果!Q524),"",計算結果!Q524))</f>
        <v/>
      </c>
      <c r="R524" s="14" t="str">
        <f t="shared" si="24"/>
        <v/>
      </c>
      <c r="S524" s="14" t="str">
        <f t="shared" si="25"/>
        <v>◯</v>
      </c>
      <c r="T524" s="14" t="str">
        <f t="shared" si="26"/>
        <v/>
      </c>
    </row>
    <row r="525" spans="1:20" hidden="1" x14ac:dyDescent="0.45">
      <c r="A525" s="10" t="str">
        <f>IF(IF(ISNA(計算結果!A525),"",計算結果!A525)=0,"",IF(ISNA(計算結果!A525),"",計算結果!A525))</f>
        <v/>
      </c>
      <c r="B525" s="10" t="str">
        <f>IF(IF(ISNA(計算結果!B525),"",計算結果!B525)=0,"",IF(ISNA(計算結果!B525),"",計算結果!B525))</f>
        <v/>
      </c>
      <c r="C525" s="10" t="str">
        <f>IF(IF(ISNA(計算結果!C525),"",計算結果!C525)=0,"",IF(ISNA(計算結果!C525),"",計算結果!C525))</f>
        <v/>
      </c>
      <c r="D525" s="10" t="str">
        <f>IF(IF(ISNA(計算結果!D525),"",計算結果!D525)=0,"",IF(ISNA(計算結果!D525),"",計算結果!D525))</f>
        <v>L</v>
      </c>
      <c r="E525" s="10" t="str">
        <f>IF(IF(ISNA(計算結果!E525),"",計算結果!E525)=0,"",IF(ISNA(計算結果!E525),"",計算結果!E525))</f>
        <v/>
      </c>
      <c r="F525" s="10" t="str">
        <f>IF(IF(ISNA(計算結果!F525),"",計算結果!F525)=0,"",IF(ISNA(計算結果!F525),"",計算結果!F525))</f>
        <v/>
      </c>
      <c r="G525" s="10" t="str">
        <f>IF(IF(ISNA(計算結果!G525),"",計算結果!G525)=0,"",IF(ISNA(計算結果!G525),"",計算結果!G525))</f>
        <v/>
      </c>
      <c r="H525" s="13">
        <f>IF(IF(ISNA(計算結果!H525),"",計算結果!H525)=0,"",IF(ISNA(計算結果!H525),"",計算結果!H525))</f>
        <v>-2</v>
      </c>
      <c r="I525" s="12" t="str">
        <f>IF(IF(ISNA(計算結果!I525),"",計算結果!I525)=0,"",IF(ISNA(計算結果!I525),"",計算結果!I525))</f>
        <v/>
      </c>
      <c r="J525" s="12" t="str">
        <f>IF(IF(ISNA(計算結果!J525),"",計算結果!J525)=0,"",IF(ISNA(計算結果!J525),"",計算結果!J525))</f>
        <v/>
      </c>
      <c r="K525" s="23" t="str">
        <f>IF(IF(ISNA(計算結果!K525),"",計算結果!K525)=0,"",IF(ISNA(計算結果!K525),"",計算結果!K525))</f>
        <v/>
      </c>
      <c r="L525" s="13" t="str">
        <f>IF(IF(ISNA(計算結果!L525),"",計算結果!L525)=0,"",IF(ISNA(計算結果!L525),"",計算結果!L525))</f>
        <v/>
      </c>
      <c r="M525" s="10" t="str">
        <f>IF(IF(ISNA(計算結果!M525),"",計算結果!M525)=0,"",IF(ISNA(計算結果!M525),"",計算結果!M525))</f>
        <v/>
      </c>
      <c r="N525" s="10" t="str">
        <f>IF(IF(ISNA(計算結果!N525),"",計算結果!N525)=0,"",IF(ISNA(計算結果!N525),"",計算結果!N525))</f>
        <v/>
      </c>
      <c r="O525" s="13" t="str">
        <f>IF(IF(ISNA(計算結果!O525),"",計算結果!O525)=0,"",IF(ISNA(計算結果!O525),"",計算結果!O525))</f>
        <v/>
      </c>
      <c r="P525" s="10" t="str">
        <f>IF(IF(ISNA(計算結果!P525),"",計算結果!P525)=0,"",IF(ISNA(計算結果!P525),"",計算結果!P525))</f>
        <v/>
      </c>
      <c r="Q525" s="10" t="str">
        <f>IF(IF(ISNA(計算結果!Q525),"",計算結果!Q525)=0,"",IF(ISNA(計算結果!Q525),"",計算結果!Q525))</f>
        <v/>
      </c>
      <c r="R525" s="14" t="str">
        <f t="shared" si="24"/>
        <v/>
      </c>
      <c r="S525" s="14" t="str">
        <f t="shared" si="25"/>
        <v>◯</v>
      </c>
      <c r="T525" s="14" t="str">
        <f t="shared" si="26"/>
        <v/>
      </c>
    </row>
    <row r="526" spans="1:20" hidden="1" x14ac:dyDescent="0.45">
      <c r="A526" s="10" t="str">
        <f>IF(IF(ISNA(計算結果!A526),"",計算結果!A526)=0,"",IF(ISNA(計算結果!A526),"",計算結果!A526))</f>
        <v/>
      </c>
      <c r="B526" s="10" t="str">
        <f>IF(IF(ISNA(計算結果!B526),"",計算結果!B526)=0,"",IF(ISNA(計算結果!B526),"",計算結果!B526))</f>
        <v/>
      </c>
      <c r="C526" s="10" t="str">
        <f>IF(IF(ISNA(計算結果!C526),"",計算結果!C526)=0,"",IF(ISNA(計算結果!C526),"",計算結果!C526))</f>
        <v/>
      </c>
      <c r="D526" s="10" t="str">
        <f>IF(IF(ISNA(計算結果!D526),"",計算結果!D526)=0,"",IF(ISNA(計算結果!D526),"",計算結果!D526))</f>
        <v>L</v>
      </c>
      <c r="E526" s="10" t="str">
        <f>IF(IF(ISNA(計算結果!E526),"",計算結果!E526)=0,"",IF(ISNA(計算結果!E526),"",計算結果!E526))</f>
        <v/>
      </c>
      <c r="F526" s="10" t="str">
        <f>IF(IF(ISNA(計算結果!F526),"",計算結果!F526)=0,"",IF(ISNA(計算結果!F526),"",計算結果!F526))</f>
        <v/>
      </c>
      <c r="G526" s="10" t="str">
        <f>IF(IF(ISNA(計算結果!G526),"",計算結果!G526)=0,"",IF(ISNA(計算結果!G526),"",計算結果!G526))</f>
        <v/>
      </c>
      <c r="H526" s="13">
        <f>IF(IF(ISNA(計算結果!H526),"",計算結果!H526)=0,"",IF(ISNA(計算結果!H526),"",計算結果!H526))</f>
        <v>-2</v>
      </c>
      <c r="I526" s="12" t="str">
        <f>IF(IF(ISNA(計算結果!I526),"",計算結果!I526)=0,"",IF(ISNA(計算結果!I526),"",計算結果!I526))</f>
        <v/>
      </c>
      <c r="J526" s="12" t="str">
        <f>IF(IF(ISNA(計算結果!J526),"",計算結果!J526)=0,"",IF(ISNA(計算結果!J526),"",計算結果!J526))</f>
        <v/>
      </c>
      <c r="K526" s="23" t="str">
        <f>IF(IF(ISNA(計算結果!K526),"",計算結果!K526)=0,"",IF(ISNA(計算結果!K526),"",計算結果!K526))</f>
        <v/>
      </c>
      <c r="L526" s="13" t="str">
        <f>IF(IF(ISNA(計算結果!L526),"",計算結果!L526)=0,"",IF(ISNA(計算結果!L526),"",計算結果!L526))</f>
        <v/>
      </c>
      <c r="M526" s="10" t="str">
        <f>IF(IF(ISNA(計算結果!M526),"",計算結果!M526)=0,"",IF(ISNA(計算結果!M526),"",計算結果!M526))</f>
        <v/>
      </c>
      <c r="N526" s="10" t="str">
        <f>IF(IF(ISNA(計算結果!N526),"",計算結果!N526)=0,"",IF(ISNA(計算結果!N526),"",計算結果!N526))</f>
        <v/>
      </c>
      <c r="O526" s="13" t="str">
        <f>IF(IF(ISNA(計算結果!O526),"",計算結果!O526)=0,"",IF(ISNA(計算結果!O526),"",計算結果!O526))</f>
        <v/>
      </c>
      <c r="P526" s="10" t="str">
        <f>IF(IF(ISNA(計算結果!P526),"",計算結果!P526)=0,"",IF(ISNA(計算結果!P526),"",計算結果!P526))</f>
        <v/>
      </c>
      <c r="Q526" s="10" t="str">
        <f>IF(IF(ISNA(計算結果!Q526),"",計算結果!Q526)=0,"",IF(ISNA(計算結果!Q526),"",計算結果!Q526))</f>
        <v/>
      </c>
      <c r="R526" s="14" t="str">
        <f t="shared" si="24"/>
        <v/>
      </c>
      <c r="S526" s="14" t="str">
        <f t="shared" si="25"/>
        <v>◯</v>
      </c>
      <c r="T526" s="14" t="str">
        <f t="shared" si="26"/>
        <v/>
      </c>
    </row>
    <row r="527" spans="1:20" hidden="1" x14ac:dyDescent="0.45">
      <c r="A527" s="10" t="str">
        <f>IF(IF(ISNA(計算結果!A527),"",計算結果!A527)=0,"",IF(ISNA(計算結果!A527),"",計算結果!A527))</f>
        <v/>
      </c>
      <c r="B527" s="10" t="str">
        <f>IF(IF(ISNA(計算結果!B527),"",計算結果!B527)=0,"",IF(ISNA(計算結果!B527),"",計算結果!B527))</f>
        <v/>
      </c>
      <c r="C527" s="10" t="str">
        <f>IF(IF(ISNA(計算結果!C527),"",計算結果!C527)=0,"",IF(ISNA(計算結果!C527),"",計算結果!C527))</f>
        <v/>
      </c>
      <c r="D527" s="10" t="str">
        <f>IF(IF(ISNA(計算結果!D527),"",計算結果!D527)=0,"",IF(ISNA(計算結果!D527),"",計算結果!D527))</f>
        <v>L</v>
      </c>
      <c r="E527" s="10" t="str">
        <f>IF(IF(ISNA(計算結果!E527),"",計算結果!E527)=0,"",IF(ISNA(計算結果!E527),"",計算結果!E527))</f>
        <v/>
      </c>
      <c r="F527" s="10" t="str">
        <f>IF(IF(ISNA(計算結果!F527),"",計算結果!F527)=0,"",IF(ISNA(計算結果!F527),"",計算結果!F527))</f>
        <v/>
      </c>
      <c r="G527" s="10" t="str">
        <f>IF(IF(ISNA(計算結果!G527),"",計算結果!G527)=0,"",IF(ISNA(計算結果!G527),"",計算結果!G527))</f>
        <v/>
      </c>
      <c r="H527" s="13">
        <f>IF(IF(ISNA(計算結果!H527),"",計算結果!H527)=0,"",IF(ISNA(計算結果!H527),"",計算結果!H527))</f>
        <v>-2</v>
      </c>
      <c r="I527" s="12" t="str">
        <f>IF(IF(ISNA(計算結果!I527),"",計算結果!I527)=0,"",IF(ISNA(計算結果!I527),"",計算結果!I527))</f>
        <v/>
      </c>
      <c r="J527" s="12" t="str">
        <f>IF(IF(ISNA(計算結果!J527),"",計算結果!J527)=0,"",IF(ISNA(計算結果!J527),"",計算結果!J527))</f>
        <v/>
      </c>
      <c r="K527" s="23" t="str">
        <f>IF(IF(ISNA(計算結果!K527),"",計算結果!K527)=0,"",IF(ISNA(計算結果!K527),"",計算結果!K527))</f>
        <v/>
      </c>
      <c r="L527" s="13" t="str">
        <f>IF(IF(ISNA(計算結果!L527),"",計算結果!L527)=0,"",IF(ISNA(計算結果!L527),"",計算結果!L527))</f>
        <v/>
      </c>
      <c r="M527" s="10" t="str">
        <f>IF(IF(ISNA(計算結果!M527),"",計算結果!M527)=0,"",IF(ISNA(計算結果!M527),"",計算結果!M527))</f>
        <v/>
      </c>
      <c r="N527" s="10" t="str">
        <f>IF(IF(ISNA(計算結果!N527),"",計算結果!N527)=0,"",IF(ISNA(計算結果!N527),"",計算結果!N527))</f>
        <v/>
      </c>
      <c r="O527" s="13" t="str">
        <f>IF(IF(ISNA(計算結果!O527),"",計算結果!O527)=0,"",IF(ISNA(計算結果!O527),"",計算結果!O527))</f>
        <v/>
      </c>
      <c r="P527" s="10" t="str">
        <f>IF(IF(ISNA(計算結果!P527),"",計算結果!P527)=0,"",IF(ISNA(計算結果!P527),"",計算結果!P527))</f>
        <v/>
      </c>
      <c r="Q527" s="10" t="str">
        <f>IF(IF(ISNA(計算結果!Q527),"",計算結果!Q527)=0,"",IF(ISNA(計算結果!Q527),"",計算結果!Q527))</f>
        <v/>
      </c>
      <c r="R527" s="14" t="str">
        <f t="shared" si="24"/>
        <v/>
      </c>
      <c r="S527" s="14" t="str">
        <f t="shared" si="25"/>
        <v>◯</v>
      </c>
      <c r="T527" s="14" t="str">
        <f t="shared" si="26"/>
        <v/>
      </c>
    </row>
    <row r="528" spans="1:20" hidden="1" x14ac:dyDescent="0.45">
      <c r="A528" s="10" t="str">
        <f>IF(IF(ISNA(計算結果!A528),"",計算結果!A528)=0,"",IF(ISNA(計算結果!A528),"",計算結果!A528))</f>
        <v/>
      </c>
      <c r="B528" s="10" t="str">
        <f>IF(IF(ISNA(計算結果!B528),"",計算結果!B528)=0,"",IF(ISNA(計算結果!B528),"",計算結果!B528))</f>
        <v/>
      </c>
      <c r="C528" s="10" t="str">
        <f>IF(IF(ISNA(計算結果!C528),"",計算結果!C528)=0,"",IF(ISNA(計算結果!C528),"",計算結果!C528))</f>
        <v/>
      </c>
      <c r="D528" s="10" t="str">
        <f>IF(IF(ISNA(計算結果!D528),"",計算結果!D528)=0,"",IF(ISNA(計算結果!D528),"",計算結果!D528))</f>
        <v>L</v>
      </c>
      <c r="E528" s="10" t="str">
        <f>IF(IF(ISNA(計算結果!E528),"",計算結果!E528)=0,"",IF(ISNA(計算結果!E528),"",計算結果!E528))</f>
        <v/>
      </c>
      <c r="F528" s="10" t="str">
        <f>IF(IF(ISNA(計算結果!F528),"",計算結果!F528)=0,"",IF(ISNA(計算結果!F528),"",計算結果!F528))</f>
        <v/>
      </c>
      <c r="G528" s="10" t="str">
        <f>IF(IF(ISNA(計算結果!G528),"",計算結果!G528)=0,"",IF(ISNA(計算結果!G528),"",計算結果!G528))</f>
        <v/>
      </c>
      <c r="H528" s="13">
        <f>IF(IF(ISNA(計算結果!H528),"",計算結果!H528)=0,"",IF(ISNA(計算結果!H528),"",計算結果!H528))</f>
        <v>-2</v>
      </c>
      <c r="I528" s="12" t="str">
        <f>IF(IF(ISNA(計算結果!I528),"",計算結果!I528)=0,"",IF(ISNA(計算結果!I528),"",計算結果!I528))</f>
        <v/>
      </c>
      <c r="J528" s="12" t="str">
        <f>IF(IF(ISNA(計算結果!J528),"",計算結果!J528)=0,"",IF(ISNA(計算結果!J528),"",計算結果!J528))</f>
        <v/>
      </c>
      <c r="K528" s="23" t="str">
        <f>IF(IF(ISNA(計算結果!K528),"",計算結果!K528)=0,"",IF(ISNA(計算結果!K528),"",計算結果!K528))</f>
        <v/>
      </c>
      <c r="L528" s="13" t="str">
        <f>IF(IF(ISNA(計算結果!L528),"",計算結果!L528)=0,"",IF(ISNA(計算結果!L528),"",計算結果!L528))</f>
        <v/>
      </c>
      <c r="M528" s="10" t="str">
        <f>IF(IF(ISNA(計算結果!M528),"",計算結果!M528)=0,"",IF(ISNA(計算結果!M528),"",計算結果!M528))</f>
        <v/>
      </c>
      <c r="N528" s="10" t="str">
        <f>IF(IF(ISNA(計算結果!N528),"",計算結果!N528)=0,"",IF(ISNA(計算結果!N528),"",計算結果!N528))</f>
        <v/>
      </c>
      <c r="O528" s="13" t="str">
        <f>IF(IF(ISNA(計算結果!O528),"",計算結果!O528)=0,"",IF(ISNA(計算結果!O528),"",計算結果!O528))</f>
        <v/>
      </c>
      <c r="P528" s="10" t="str">
        <f>IF(IF(ISNA(計算結果!P528),"",計算結果!P528)=0,"",IF(ISNA(計算結果!P528),"",計算結果!P528))</f>
        <v/>
      </c>
      <c r="Q528" s="10" t="str">
        <f>IF(IF(ISNA(計算結果!Q528),"",計算結果!Q528)=0,"",IF(ISNA(計算結果!Q528),"",計算結果!Q528))</f>
        <v/>
      </c>
      <c r="R528" s="14" t="str">
        <f t="shared" si="24"/>
        <v/>
      </c>
      <c r="S528" s="14" t="str">
        <f t="shared" si="25"/>
        <v>◯</v>
      </c>
      <c r="T528" s="14" t="str">
        <f t="shared" si="26"/>
        <v/>
      </c>
    </row>
    <row r="529" spans="1:20" hidden="1" x14ac:dyDescent="0.45">
      <c r="A529" s="10" t="str">
        <f>IF(IF(ISNA(計算結果!A529),"",計算結果!A529)=0,"",IF(ISNA(計算結果!A529),"",計算結果!A529))</f>
        <v/>
      </c>
      <c r="B529" s="10" t="str">
        <f>IF(IF(ISNA(計算結果!B529),"",計算結果!B529)=0,"",IF(ISNA(計算結果!B529),"",計算結果!B529))</f>
        <v/>
      </c>
      <c r="C529" s="10" t="str">
        <f>IF(IF(ISNA(計算結果!C529),"",計算結果!C529)=0,"",IF(ISNA(計算結果!C529),"",計算結果!C529))</f>
        <v/>
      </c>
      <c r="D529" s="10" t="str">
        <f>IF(IF(ISNA(計算結果!D529),"",計算結果!D529)=0,"",IF(ISNA(計算結果!D529),"",計算結果!D529))</f>
        <v>L</v>
      </c>
      <c r="E529" s="10" t="str">
        <f>IF(IF(ISNA(計算結果!E529),"",計算結果!E529)=0,"",IF(ISNA(計算結果!E529),"",計算結果!E529))</f>
        <v/>
      </c>
      <c r="F529" s="10" t="str">
        <f>IF(IF(ISNA(計算結果!F529),"",計算結果!F529)=0,"",IF(ISNA(計算結果!F529),"",計算結果!F529))</f>
        <v/>
      </c>
      <c r="G529" s="10" t="str">
        <f>IF(IF(ISNA(計算結果!G529),"",計算結果!G529)=0,"",IF(ISNA(計算結果!G529),"",計算結果!G529))</f>
        <v/>
      </c>
      <c r="H529" s="13">
        <f>IF(IF(ISNA(計算結果!H529),"",計算結果!H529)=0,"",IF(ISNA(計算結果!H529),"",計算結果!H529))</f>
        <v>-2</v>
      </c>
      <c r="I529" s="12" t="str">
        <f>IF(IF(ISNA(計算結果!I529),"",計算結果!I529)=0,"",IF(ISNA(計算結果!I529),"",計算結果!I529))</f>
        <v/>
      </c>
      <c r="J529" s="12" t="str">
        <f>IF(IF(ISNA(計算結果!J529),"",計算結果!J529)=0,"",IF(ISNA(計算結果!J529),"",計算結果!J529))</f>
        <v/>
      </c>
      <c r="K529" s="23" t="str">
        <f>IF(IF(ISNA(計算結果!K529),"",計算結果!K529)=0,"",IF(ISNA(計算結果!K529),"",計算結果!K529))</f>
        <v/>
      </c>
      <c r="L529" s="13" t="str">
        <f>IF(IF(ISNA(計算結果!L529),"",計算結果!L529)=0,"",IF(ISNA(計算結果!L529),"",計算結果!L529))</f>
        <v/>
      </c>
      <c r="M529" s="10" t="str">
        <f>IF(IF(ISNA(計算結果!M529),"",計算結果!M529)=0,"",IF(ISNA(計算結果!M529),"",計算結果!M529))</f>
        <v/>
      </c>
      <c r="N529" s="10" t="str">
        <f>IF(IF(ISNA(計算結果!N529),"",計算結果!N529)=0,"",IF(ISNA(計算結果!N529),"",計算結果!N529))</f>
        <v/>
      </c>
      <c r="O529" s="13" t="str">
        <f>IF(IF(ISNA(計算結果!O529),"",計算結果!O529)=0,"",IF(ISNA(計算結果!O529),"",計算結果!O529))</f>
        <v/>
      </c>
      <c r="P529" s="10" t="str">
        <f>IF(IF(ISNA(計算結果!P529),"",計算結果!P529)=0,"",IF(ISNA(計算結果!P529),"",計算結果!P529))</f>
        <v/>
      </c>
      <c r="Q529" s="10" t="str">
        <f>IF(IF(ISNA(計算結果!Q529),"",計算結果!Q529)=0,"",IF(ISNA(計算結果!Q529),"",計算結果!Q529))</f>
        <v/>
      </c>
      <c r="R529" s="14" t="str">
        <f t="shared" si="24"/>
        <v/>
      </c>
      <c r="S529" s="14" t="str">
        <f t="shared" si="25"/>
        <v>◯</v>
      </c>
      <c r="T529" s="14" t="str">
        <f t="shared" si="26"/>
        <v/>
      </c>
    </row>
    <row r="530" spans="1:20" hidden="1" x14ac:dyDescent="0.45">
      <c r="A530" s="10" t="str">
        <f>IF(IF(ISNA(計算結果!A530),"",計算結果!A530)=0,"",IF(ISNA(計算結果!A530),"",計算結果!A530))</f>
        <v/>
      </c>
      <c r="B530" s="10" t="str">
        <f>IF(IF(ISNA(計算結果!B530),"",計算結果!B530)=0,"",IF(ISNA(計算結果!B530),"",計算結果!B530))</f>
        <v/>
      </c>
      <c r="C530" s="10" t="str">
        <f>IF(IF(ISNA(計算結果!C530),"",計算結果!C530)=0,"",IF(ISNA(計算結果!C530),"",計算結果!C530))</f>
        <v/>
      </c>
      <c r="D530" s="10" t="str">
        <f>IF(IF(ISNA(計算結果!D530),"",計算結果!D530)=0,"",IF(ISNA(計算結果!D530),"",計算結果!D530))</f>
        <v>L</v>
      </c>
      <c r="E530" s="10" t="str">
        <f>IF(IF(ISNA(計算結果!E530),"",計算結果!E530)=0,"",IF(ISNA(計算結果!E530),"",計算結果!E530))</f>
        <v/>
      </c>
      <c r="F530" s="10" t="str">
        <f>IF(IF(ISNA(計算結果!F530),"",計算結果!F530)=0,"",IF(ISNA(計算結果!F530),"",計算結果!F530))</f>
        <v/>
      </c>
      <c r="G530" s="10" t="str">
        <f>IF(IF(ISNA(計算結果!G530),"",計算結果!G530)=0,"",IF(ISNA(計算結果!G530),"",計算結果!G530))</f>
        <v/>
      </c>
      <c r="H530" s="13">
        <f>IF(IF(ISNA(計算結果!H530),"",計算結果!H530)=0,"",IF(ISNA(計算結果!H530),"",計算結果!H530))</f>
        <v>-2</v>
      </c>
      <c r="I530" s="12" t="str">
        <f>IF(IF(ISNA(計算結果!I530),"",計算結果!I530)=0,"",IF(ISNA(計算結果!I530),"",計算結果!I530))</f>
        <v/>
      </c>
      <c r="J530" s="12" t="str">
        <f>IF(IF(ISNA(計算結果!J530),"",計算結果!J530)=0,"",IF(ISNA(計算結果!J530),"",計算結果!J530))</f>
        <v/>
      </c>
      <c r="K530" s="23" t="str">
        <f>IF(IF(ISNA(計算結果!K530),"",計算結果!K530)=0,"",IF(ISNA(計算結果!K530),"",計算結果!K530))</f>
        <v/>
      </c>
      <c r="L530" s="13" t="str">
        <f>IF(IF(ISNA(計算結果!L530),"",計算結果!L530)=0,"",IF(ISNA(計算結果!L530),"",計算結果!L530))</f>
        <v/>
      </c>
      <c r="M530" s="10" t="str">
        <f>IF(IF(ISNA(計算結果!M530),"",計算結果!M530)=0,"",IF(ISNA(計算結果!M530),"",計算結果!M530))</f>
        <v/>
      </c>
      <c r="N530" s="10" t="str">
        <f>IF(IF(ISNA(計算結果!N530),"",計算結果!N530)=0,"",IF(ISNA(計算結果!N530),"",計算結果!N530))</f>
        <v/>
      </c>
      <c r="O530" s="13" t="str">
        <f>IF(IF(ISNA(計算結果!O530),"",計算結果!O530)=0,"",IF(ISNA(計算結果!O530),"",計算結果!O530))</f>
        <v/>
      </c>
      <c r="P530" s="10" t="str">
        <f>IF(IF(ISNA(計算結果!P530),"",計算結果!P530)=0,"",IF(ISNA(計算結果!P530),"",計算結果!P530))</f>
        <v/>
      </c>
      <c r="Q530" s="10" t="str">
        <f>IF(IF(ISNA(計算結果!Q530),"",計算結果!Q530)=0,"",IF(ISNA(計算結果!Q530),"",計算結果!Q530))</f>
        <v/>
      </c>
      <c r="R530" s="14" t="str">
        <f t="shared" si="24"/>
        <v/>
      </c>
      <c r="S530" s="14" t="str">
        <f t="shared" si="25"/>
        <v>◯</v>
      </c>
      <c r="T530" s="14" t="str">
        <f t="shared" si="26"/>
        <v/>
      </c>
    </row>
    <row r="531" spans="1:20" hidden="1" x14ac:dyDescent="0.45">
      <c r="A531" s="10" t="str">
        <f>IF(IF(ISNA(計算結果!A531),"",計算結果!A531)=0,"",IF(ISNA(計算結果!A531),"",計算結果!A531))</f>
        <v/>
      </c>
      <c r="B531" s="10" t="str">
        <f>IF(IF(ISNA(計算結果!B531),"",計算結果!B531)=0,"",IF(ISNA(計算結果!B531),"",計算結果!B531))</f>
        <v/>
      </c>
      <c r="C531" s="10" t="str">
        <f>IF(IF(ISNA(計算結果!C531),"",計算結果!C531)=0,"",IF(ISNA(計算結果!C531),"",計算結果!C531))</f>
        <v/>
      </c>
      <c r="D531" s="10" t="str">
        <f>IF(IF(ISNA(計算結果!D531),"",計算結果!D531)=0,"",IF(ISNA(計算結果!D531),"",計算結果!D531))</f>
        <v>L</v>
      </c>
      <c r="E531" s="10" t="str">
        <f>IF(IF(ISNA(計算結果!E531),"",計算結果!E531)=0,"",IF(ISNA(計算結果!E531),"",計算結果!E531))</f>
        <v/>
      </c>
      <c r="F531" s="10" t="str">
        <f>IF(IF(ISNA(計算結果!F531),"",計算結果!F531)=0,"",IF(ISNA(計算結果!F531),"",計算結果!F531))</f>
        <v/>
      </c>
      <c r="G531" s="10" t="str">
        <f>IF(IF(ISNA(計算結果!G531),"",計算結果!G531)=0,"",IF(ISNA(計算結果!G531),"",計算結果!G531))</f>
        <v/>
      </c>
      <c r="H531" s="13">
        <f>IF(IF(ISNA(計算結果!H531),"",計算結果!H531)=0,"",IF(ISNA(計算結果!H531),"",計算結果!H531))</f>
        <v>-2</v>
      </c>
      <c r="I531" s="12" t="str">
        <f>IF(IF(ISNA(計算結果!I531),"",計算結果!I531)=0,"",IF(ISNA(計算結果!I531),"",計算結果!I531))</f>
        <v/>
      </c>
      <c r="J531" s="12" t="str">
        <f>IF(IF(ISNA(計算結果!J531),"",計算結果!J531)=0,"",IF(ISNA(計算結果!J531),"",計算結果!J531))</f>
        <v/>
      </c>
      <c r="K531" s="23" t="str">
        <f>IF(IF(ISNA(計算結果!K531),"",計算結果!K531)=0,"",IF(ISNA(計算結果!K531),"",計算結果!K531))</f>
        <v/>
      </c>
      <c r="L531" s="13" t="str">
        <f>IF(IF(ISNA(計算結果!L531),"",計算結果!L531)=0,"",IF(ISNA(計算結果!L531),"",計算結果!L531))</f>
        <v/>
      </c>
      <c r="M531" s="10" t="str">
        <f>IF(IF(ISNA(計算結果!M531),"",計算結果!M531)=0,"",IF(ISNA(計算結果!M531),"",計算結果!M531))</f>
        <v/>
      </c>
      <c r="N531" s="10" t="str">
        <f>IF(IF(ISNA(計算結果!N531),"",計算結果!N531)=0,"",IF(ISNA(計算結果!N531),"",計算結果!N531))</f>
        <v/>
      </c>
      <c r="O531" s="13" t="str">
        <f>IF(IF(ISNA(計算結果!O531),"",計算結果!O531)=0,"",IF(ISNA(計算結果!O531),"",計算結果!O531))</f>
        <v/>
      </c>
      <c r="P531" s="10" t="str">
        <f>IF(IF(ISNA(計算結果!P531),"",計算結果!P531)=0,"",IF(ISNA(計算結果!P531),"",計算結果!P531))</f>
        <v/>
      </c>
      <c r="Q531" s="10" t="str">
        <f>IF(IF(ISNA(計算結果!Q531),"",計算結果!Q531)=0,"",IF(ISNA(計算結果!Q531),"",計算結果!Q531))</f>
        <v/>
      </c>
      <c r="R531" s="14" t="str">
        <f t="shared" si="24"/>
        <v/>
      </c>
      <c r="S531" s="14" t="str">
        <f t="shared" si="25"/>
        <v>◯</v>
      </c>
      <c r="T531" s="14" t="str">
        <f t="shared" si="26"/>
        <v/>
      </c>
    </row>
    <row r="532" spans="1:20" hidden="1" x14ac:dyDescent="0.45">
      <c r="A532" s="10" t="str">
        <f>IF(IF(ISNA(計算結果!A532),"",計算結果!A532)=0,"",IF(ISNA(計算結果!A532),"",計算結果!A532))</f>
        <v/>
      </c>
      <c r="B532" s="10" t="str">
        <f>IF(IF(ISNA(計算結果!B532),"",計算結果!B532)=0,"",IF(ISNA(計算結果!B532),"",計算結果!B532))</f>
        <v/>
      </c>
      <c r="C532" s="10" t="str">
        <f>IF(IF(ISNA(計算結果!C532),"",計算結果!C532)=0,"",IF(ISNA(計算結果!C532),"",計算結果!C532))</f>
        <v/>
      </c>
      <c r="D532" s="10" t="str">
        <f>IF(IF(ISNA(計算結果!D532),"",計算結果!D532)=0,"",IF(ISNA(計算結果!D532),"",計算結果!D532))</f>
        <v>L</v>
      </c>
      <c r="E532" s="10" t="str">
        <f>IF(IF(ISNA(計算結果!E532),"",計算結果!E532)=0,"",IF(ISNA(計算結果!E532),"",計算結果!E532))</f>
        <v/>
      </c>
      <c r="F532" s="10" t="str">
        <f>IF(IF(ISNA(計算結果!F532),"",計算結果!F532)=0,"",IF(ISNA(計算結果!F532),"",計算結果!F532))</f>
        <v/>
      </c>
      <c r="G532" s="10" t="str">
        <f>IF(IF(ISNA(計算結果!G532),"",計算結果!G532)=0,"",IF(ISNA(計算結果!G532),"",計算結果!G532))</f>
        <v/>
      </c>
      <c r="H532" s="13">
        <f>IF(IF(ISNA(計算結果!H532),"",計算結果!H532)=0,"",IF(ISNA(計算結果!H532),"",計算結果!H532))</f>
        <v>-2</v>
      </c>
      <c r="I532" s="12" t="str">
        <f>IF(IF(ISNA(計算結果!I532),"",計算結果!I532)=0,"",IF(ISNA(計算結果!I532),"",計算結果!I532))</f>
        <v/>
      </c>
      <c r="J532" s="12" t="str">
        <f>IF(IF(ISNA(計算結果!J532),"",計算結果!J532)=0,"",IF(ISNA(計算結果!J532),"",計算結果!J532))</f>
        <v/>
      </c>
      <c r="K532" s="23" t="str">
        <f>IF(IF(ISNA(計算結果!K532),"",計算結果!K532)=0,"",IF(ISNA(計算結果!K532),"",計算結果!K532))</f>
        <v/>
      </c>
      <c r="L532" s="13" t="str">
        <f>IF(IF(ISNA(計算結果!L532),"",計算結果!L532)=0,"",IF(ISNA(計算結果!L532),"",計算結果!L532))</f>
        <v/>
      </c>
      <c r="M532" s="10" t="str">
        <f>IF(IF(ISNA(計算結果!M532),"",計算結果!M532)=0,"",IF(ISNA(計算結果!M532),"",計算結果!M532))</f>
        <v/>
      </c>
      <c r="N532" s="10" t="str">
        <f>IF(IF(ISNA(計算結果!N532),"",計算結果!N532)=0,"",IF(ISNA(計算結果!N532),"",計算結果!N532))</f>
        <v/>
      </c>
      <c r="O532" s="13" t="str">
        <f>IF(IF(ISNA(計算結果!O532),"",計算結果!O532)=0,"",IF(ISNA(計算結果!O532),"",計算結果!O532))</f>
        <v/>
      </c>
      <c r="P532" s="10" t="str">
        <f>IF(IF(ISNA(計算結果!P532),"",計算結果!P532)=0,"",IF(ISNA(計算結果!P532),"",計算結果!P532))</f>
        <v/>
      </c>
      <c r="Q532" s="10" t="str">
        <f>IF(IF(ISNA(計算結果!Q532),"",計算結果!Q532)=0,"",IF(ISNA(計算結果!Q532),"",計算結果!Q532))</f>
        <v/>
      </c>
      <c r="R532" s="14" t="str">
        <f t="shared" si="24"/>
        <v/>
      </c>
      <c r="S532" s="14" t="str">
        <f t="shared" si="25"/>
        <v>◯</v>
      </c>
      <c r="T532" s="14" t="str">
        <f t="shared" si="26"/>
        <v/>
      </c>
    </row>
    <row r="533" spans="1:20" hidden="1" x14ac:dyDescent="0.45">
      <c r="A533" s="10" t="str">
        <f>IF(IF(ISNA(計算結果!A533),"",計算結果!A533)=0,"",IF(ISNA(計算結果!A533),"",計算結果!A533))</f>
        <v/>
      </c>
      <c r="B533" s="10" t="str">
        <f>IF(IF(ISNA(計算結果!B533),"",計算結果!B533)=0,"",IF(ISNA(計算結果!B533),"",計算結果!B533))</f>
        <v/>
      </c>
      <c r="C533" s="10" t="str">
        <f>IF(IF(ISNA(計算結果!C533),"",計算結果!C533)=0,"",IF(ISNA(計算結果!C533),"",計算結果!C533))</f>
        <v/>
      </c>
      <c r="D533" s="10" t="str">
        <f>IF(IF(ISNA(計算結果!D533),"",計算結果!D533)=0,"",IF(ISNA(計算結果!D533),"",計算結果!D533))</f>
        <v>L</v>
      </c>
      <c r="E533" s="10" t="str">
        <f>IF(IF(ISNA(計算結果!E533),"",計算結果!E533)=0,"",IF(ISNA(計算結果!E533),"",計算結果!E533))</f>
        <v/>
      </c>
      <c r="F533" s="10" t="str">
        <f>IF(IF(ISNA(計算結果!F533),"",計算結果!F533)=0,"",IF(ISNA(計算結果!F533),"",計算結果!F533))</f>
        <v/>
      </c>
      <c r="G533" s="10" t="str">
        <f>IF(IF(ISNA(計算結果!G533),"",計算結果!G533)=0,"",IF(ISNA(計算結果!G533),"",計算結果!G533))</f>
        <v/>
      </c>
      <c r="H533" s="13">
        <f>IF(IF(ISNA(計算結果!H533),"",計算結果!H533)=0,"",IF(ISNA(計算結果!H533),"",計算結果!H533))</f>
        <v>-2</v>
      </c>
      <c r="I533" s="12" t="str">
        <f>IF(IF(ISNA(計算結果!I533),"",計算結果!I533)=0,"",IF(ISNA(計算結果!I533),"",計算結果!I533))</f>
        <v/>
      </c>
      <c r="J533" s="12" t="str">
        <f>IF(IF(ISNA(計算結果!J533),"",計算結果!J533)=0,"",IF(ISNA(計算結果!J533),"",計算結果!J533))</f>
        <v/>
      </c>
      <c r="K533" s="23" t="str">
        <f>IF(IF(ISNA(計算結果!K533),"",計算結果!K533)=0,"",IF(ISNA(計算結果!K533),"",計算結果!K533))</f>
        <v/>
      </c>
      <c r="L533" s="13" t="str">
        <f>IF(IF(ISNA(計算結果!L533),"",計算結果!L533)=0,"",IF(ISNA(計算結果!L533),"",計算結果!L533))</f>
        <v/>
      </c>
      <c r="M533" s="10" t="str">
        <f>IF(IF(ISNA(計算結果!M533),"",計算結果!M533)=0,"",IF(ISNA(計算結果!M533),"",計算結果!M533))</f>
        <v/>
      </c>
      <c r="N533" s="10" t="str">
        <f>IF(IF(ISNA(計算結果!N533),"",計算結果!N533)=0,"",IF(ISNA(計算結果!N533),"",計算結果!N533))</f>
        <v/>
      </c>
      <c r="O533" s="13" t="str">
        <f>IF(IF(ISNA(計算結果!O533),"",計算結果!O533)=0,"",IF(ISNA(計算結果!O533),"",計算結果!O533))</f>
        <v/>
      </c>
      <c r="P533" s="10" t="str">
        <f>IF(IF(ISNA(計算結果!P533),"",計算結果!P533)=0,"",IF(ISNA(計算結果!P533),"",計算結果!P533))</f>
        <v/>
      </c>
      <c r="Q533" s="10" t="str">
        <f>IF(IF(ISNA(計算結果!Q533),"",計算結果!Q533)=0,"",IF(ISNA(計算結果!Q533),"",計算結果!Q533))</f>
        <v/>
      </c>
      <c r="R533" s="14" t="str">
        <f t="shared" si="24"/>
        <v/>
      </c>
      <c r="S533" s="14" t="str">
        <f t="shared" si="25"/>
        <v>◯</v>
      </c>
      <c r="T533" s="14" t="str">
        <f t="shared" si="26"/>
        <v/>
      </c>
    </row>
    <row r="534" spans="1:20" hidden="1" x14ac:dyDescent="0.45">
      <c r="A534" s="10" t="str">
        <f>IF(IF(ISNA(計算結果!A534),"",計算結果!A534)=0,"",IF(ISNA(計算結果!A534),"",計算結果!A534))</f>
        <v/>
      </c>
      <c r="B534" s="10" t="str">
        <f>IF(IF(ISNA(計算結果!B534),"",計算結果!B534)=0,"",IF(ISNA(計算結果!B534),"",計算結果!B534))</f>
        <v/>
      </c>
      <c r="C534" s="10" t="str">
        <f>IF(IF(ISNA(計算結果!C534),"",計算結果!C534)=0,"",IF(ISNA(計算結果!C534),"",計算結果!C534))</f>
        <v/>
      </c>
      <c r="D534" s="10" t="str">
        <f>IF(IF(ISNA(計算結果!D534),"",計算結果!D534)=0,"",IF(ISNA(計算結果!D534),"",計算結果!D534))</f>
        <v>L</v>
      </c>
      <c r="E534" s="10" t="str">
        <f>IF(IF(ISNA(計算結果!E534),"",計算結果!E534)=0,"",IF(ISNA(計算結果!E534),"",計算結果!E534))</f>
        <v/>
      </c>
      <c r="F534" s="10" t="str">
        <f>IF(IF(ISNA(計算結果!F534),"",計算結果!F534)=0,"",IF(ISNA(計算結果!F534),"",計算結果!F534))</f>
        <v/>
      </c>
      <c r="G534" s="10" t="str">
        <f>IF(IF(ISNA(計算結果!G534),"",計算結果!G534)=0,"",IF(ISNA(計算結果!G534),"",計算結果!G534))</f>
        <v/>
      </c>
      <c r="H534" s="13">
        <f>IF(IF(ISNA(計算結果!H534),"",計算結果!H534)=0,"",IF(ISNA(計算結果!H534),"",計算結果!H534))</f>
        <v>-2</v>
      </c>
      <c r="I534" s="12" t="str">
        <f>IF(IF(ISNA(計算結果!I534),"",計算結果!I534)=0,"",IF(ISNA(計算結果!I534),"",計算結果!I534))</f>
        <v/>
      </c>
      <c r="J534" s="12" t="str">
        <f>IF(IF(ISNA(計算結果!J534),"",計算結果!J534)=0,"",IF(ISNA(計算結果!J534),"",計算結果!J534))</f>
        <v/>
      </c>
      <c r="K534" s="23" t="str">
        <f>IF(IF(ISNA(計算結果!K534),"",計算結果!K534)=0,"",IF(ISNA(計算結果!K534),"",計算結果!K534))</f>
        <v/>
      </c>
      <c r="L534" s="13" t="str">
        <f>IF(IF(ISNA(計算結果!L534),"",計算結果!L534)=0,"",IF(ISNA(計算結果!L534),"",計算結果!L534))</f>
        <v/>
      </c>
      <c r="M534" s="10" t="str">
        <f>IF(IF(ISNA(計算結果!M534),"",計算結果!M534)=0,"",IF(ISNA(計算結果!M534),"",計算結果!M534))</f>
        <v/>
      </c>
      <c r="N534" s="10" t="str">
        <f>IF(IF(ISNA(計算結果!N534),"",計算結果!N534)=0,"",IF(ISNA(計算結果!N534),"",計算結果!N534))</f>
        <v/>
      </c>
      <c r="O534" s="13" t="str">
        <f>IF(IF(ISNA(計算結果!O534),"",計算結果!O534)=0,"",IF(ISNA(計算結果!O534),"",計算結果!O534))</f>
        <v/>
      </c>
      <c r="P534" s="10" t="str">
        <f>IF(IF(ISNA(計算結果!P534),"",計算結果!P534)=0,"",IF(ISNA(計算結果!P534),"",計算結果!P534))</f>
        <v/>
      </c>
      <c r="Q534" s="10" t="str">
        <f>IF(IF(ISNA(計算結果!Q534),"",計算結果!Q534)=0,"",IF(ISNA(計算結果!Q534),"",計算結果!Q534))</f>
        <v/>
      </c>
      <c r="R534" s="14" t="str">
        <f t="shared" si="24"/>
        <v/>
      </c>
      <c r="S534" s="14" t="str">
        <f t="shared" si="25"/>
        <v>◯</v>
      </c>
      <c r="T534" s="14" t="str">
        <f t="shared" si="26"/>
        <v/>
      </c>
    </row>
    <row r="535" spans="1:20" hidden="1" x14ac:dyDescent="0.45">
      <c r="A535" s="10" t="str">
        <f>IF(IF(ISNA(計算結果!A535),"",計算結果!A535)=0,"",IF(ISNA(計算結果!A535),"",計算結果!A535))</f>
        <v/>
      </c>
      <c r="B535" s="10" t="str">
        <f>IF(IF(ISNA(計算結果!B535),"",計算結果!B535)=0,"",IF(ISNA(計算結果!B535),"",計算結果!B535))</f>
        <v/>
      </c>
      <c r="C535" s="10" t="str">
        <f>IF(IF(ISNA(計算結果!C535),"",計算結果!C535)=0,"",IF(ISNA(計算結果!C535),"",計算結果!C535))</f>
        <v/>
      </c>
      <c r="D535" s="10" t="str">
        <f>IF(IF(ISNA(計算結果!D535),"",計算結果!D535)=0,"",IF(ISNA(計算結果!D535),"",計算結果!D535))</f>
        <v>L</v>
      </c>
      <c r="E535" s="10" t="str">
        <f>IF(IF(ISNA(計算結果!E535),"",計算結果!E535)=0,"",IF(ISNA(計算結果!E535),"",計算結果!E535))</f>
        <v/>
      </c>
      <c r="F535" s="10" t="str">
        <f>IF(IF(ISNA(計算結果!F535),"",計算結果!F535)=0,"",IF(ISNA(計算結果!F535),"",計算結果!F535))</f>
        <v/>
      </c>
      <c r="G535" s="10" t="str">
        <f>IF(IF(ISNA(計算結果!G535),"",計算結果!G535)=0,"",IF(ISNA(計算結果!G535),"",計算結果!G535))</f>
        <v/>
      </c>
      <c r="H535" s="13">
        <f>IF(IF(ISNA(計算結果!H535),"",計算結果!H535)=0,"",IF(ISNA(計算結果!H535),"",計算結果!H535))</f>
        <v>-2</v>
      </c>
      <c r="I535" s="12" t="str">
        <f>IF(IF(ISNA(計算結果!I535),"",計算結果!I535)=0,"",IF(ISNA(計算結果!I535),"",計算結果!I535))</f>
        <v/>
      </c>
      <c r="J535" s="12" t="str">
        <f>IF(IF(ISNA(計算結果!J535),"",計算結果!J535)=0,"",IF(ISNA(計算結果!J535),"",計算結果!J535))</f>
        <v/>
      </c>
      <c r="K535" s="23" t="str">
        <f>IF(IF(ISNA(計算結果!K535),"",計算結果!K535)=0,"",IF(ISNA(計算結果!K535),"",計算結果!K535))</f>
        <v/>
      </c>
      <c r="L535" s="13" t="str">
        <f>IF(IF(ISNA(計算結果!L535),"",計算結果!L535)=0,"",IF(ISNA(計算結果!L535),"",計算結果!L535))</f>
        <v/>
      </c>
      <c r="M535" s="10" t="str">
        <f>IF(IF(ISNA(計算結果!M535),"",計算結果!M535)=0,"",IF(ISNA(計算結果!M535),"",計算結果!M535))</f>
        <v/>
      </c>
      <c r="N535" s="10" t="str">
        <f>IF(IF(ISNA(計算結果!N535),"",計算結果!N535)=0,"",IF(ISNA(計算結果!N535),"",計算結果!N535))</f>
        <v/>
      </c>
      <c r="O535" s="13" t="str">
        <f>IF(IF(ISNA(計算結果!O535),"",計算結果!O535)=0,"",IF(ISNA(計算結果!O535),"",計算結果!O535))</f>
        <v/>
      </c>
      <c r="P535" s="10" t="str">
        <f>IF(IF(ISNA(計算結果!P535),"",計算結果!P535)=0,"",IF(ISNA(計算結果!P535),"",計算結果!P535))</f>
        <v/>
      </c>
      <c r="Q535" s="10" t="str">
        <f>IF(IF(ISNA(計算結果!Q535),"",計算結果!Q535)=0,"",IF(ISNA(計算結果!Q535),"",計算結果!Q535))</f>
        <v/>
      </c>
      <c r="R535" s="14" t="str">
        <f t="shared" si="24"/>
        <v/>
      </c>
      <c r="S535" s="14" t="str">
        <f t="shared" si="25"/>
        <v>◯</v>
      </c>
      <c r="T535" s="14" t="str">
        <f t="shared" si="26"/>
        <v/>
      </c>
    </row>
    <row r="536" spans="1:20" hidden="1" x14ac:dyDescent="0.45">
      <c r="A536" s="10" t="str">
        <f>IF(IF(ISNA(計算結果!A536),"",計算結果!A536)=0,"",IF(ISNA(計算結果!A536),"",計算結果!A536))</f>
        <v/>
      </c>
      <c r="B536" s="10" t="str">
        <f>IF(IF(ISNA(計算結果!B536),"",計算結果!B536)=0,"",IF(ISNA(計算結果!B536),"",計算結果!B536))</f>
        <v/>
      </c>
      <c r="C536" s="10" t="str">
        <f>IF(IF(ISNA(計算結果!C536),"",計算結果!C536)=0,"",IF(ISNA(計算結果!C536),"",計算結果!C536))</f>
        <v/>
      </c>
      <c r="D536" s="10" t="str">
        <f>IF(IF(ISNA(計算結果!D536),"",計算結果!D536)=0,"",IF(ISNA(計算結果!D536),"",計算結果!D536))</f>
        <v>L</v>
      </c>
      <c r="E536" s="10" t="str">
        <f>IF(IF(ISNA(計算結果!E536),"",計算結果!E536)=0,"",IF(ISNA(計算結果!E536),"",計算結果!E536))</f>
        <v/>
      </c>
      <c r="F536" s="10" t="str">
        <f>IF(IF(ISNA(計算結果!F536),"",計算結果!F536)=0,"",IF(ISNA(計算結果!F536),"",計算結果!F536))</f>
        <v/>
      </c>
      <c r="G536" s="10" t="str">
        <f>IF(IF(ISNA(計算結果!G536),"",計算結果!G536)=0,"",IF(ISNA(計算結果!G536),"",計算結果!G536))</f>
        <v/>
      </c>
      <c r="H536" s="13">
        <f>IF(IF(ISNA(計算結果!H536),"",計算結果!H536)=0,"",IF(ISNA(計算結果!H536),"",計算結果!H536))</f>
        <v>-2</v>
      </c>
      <c r="I536" s="12" t="str">
        <f>IF(IF(ISNA(計算結果!I536),"",計算結果!I536)=0,"",IF(ISNA(計算結果!I536),"",計算結果!I536))</f>
        <v/>
      </c>
      <c r="J536" s="12" t="str">
        <f>IF(IF(ISNA(計算結果!J536),"",計算結果!J536)=0,"",IF(ISNA(計算結果!J536),"",計算結果!J536))</f>
        <v/>
      </c>
      <c r="K536" s="23" t="str">
        <f>IF(IF(ISNA(計算結果!K536),"",計算結果!K536)=0,"",IF(ISNA(計算結果!K536),"",計算結果!K536))</f>
        <v/>
      </c>
      <c r="L536" s="13" t="str">
        <f>IF(IF(ISNA(計算結果!L536),"",計算結果!L536)=0,"",IF(ISNA(計算結果!L536),"",計算結果!L536))</f>
        <v/>
      </c>
      <c r="M536" s="10" t="str">
        <f>IF(IF(ISNA(計算結果!M536),"",計算結果!M536)=0,"",IF(ISNA(計算結果!M536),"",計算結果!M536))</f>
        <v/>
      </c>
      <c r="N536" s="10" t="str">
        <f>IF(IF(ISNA(計算結果!N536),"",計算結果!N536)=0,"",IF(ISNA(計算結果!N536),"",計算結果!N536))</f>
        <v/>
      </c>
      <c r="O536" s="13" t="str">
        <f>IF(IF(ISNA(計算結果!O536),"",計算結果!O536)=0,"",IF(ISNA(計算結果!O536),"",計算結果!O536))</f>
        <v/>
      </c>
      <c r="P536" s="10" t="str">
        <f>IF(IF(ISNA(計算結果!P536),"",計算結果!P536)=0,"",IF(ISNA(計算結果!P536),"",計算結果!P536))</f>
        <v/>
      </c>
      <c r="Q536" s="10" t="str">
        <f>IF(IF(ISNA(計算結果!Q536),"",計算結果!Q536)=0,"",IF(ISNA(計算結果!Q536),"",計算結果!Q536))</f>
        <v/>
      </c>
      <c r="R536" s="14" t="str">
        <f t="shared" si="24"/>
        <v/>
      </c>
      <c r="S536" s="14" t="str">
        <f t="shared" si="25"/>
        <v>◯</v>
      </c>
      <c r="T536" s="14" t="str">
        <f t="shared" si="26"/>
        <v/>
      </c>
    </row>
    <row r="537" spans="1:20" hidden="1" x14ac:dyDescent="0.45">
      <c r="A537" s="10" t="str">
        <f>IF(IF(ISNA(計算結果!A537),"",計算結果!A537)=0,"",IF(ISNA(計算結果!A537),"",計算結果!A537))</f>
        <v/>
      </c>
      <c r="B537" s="10" t="str">
        <f>IF(IF(ISNA(計算結果!B537),"",計算結果!B537)=0,"",IF(ISNA(計算結果!B537),"",計算結果!B537))</f>
        <v/>
      </c>
      <c r="C537" s="10" t="str">
        <f>IF(IF(ISNA(計算結果!C537),"",計算結果!C537)=0,"",IF(ISNA(計算結果!C537),"",計算結果!C537))</f>
        <v/>
      </c>
      <c r="D537" s="10" t="str">
        <f>IF(IF(ISNA(計算結果!D537),"",計算結果!D537)=0,"",IF(ISNA(計算結果!D537),"",計算結果!D537))</f>
        <v>L</v>
      </c>
      <c r="E537" s="10" t="str">
        <f>IF(IF(ISNA(計算結果!E537),"",計算結果!E537)=0,"",IF(ISNA(計算結果!E537),"",計算結果!E537))</f>
        <v/>
      </c>
      <c r="F537" s="10" t="str">
        <f>IF(IF(ISNA(計算結果!F537),"",計算結果!F537)=0,"",IF(ISNA(計算結果!F537),"",計算結果!F537))</f>
        <v/>
      </c>
      <c r="G537" s="10" t="str">
        <f>IF(IF(ISNA(計算結果!G537),"",計算結果!G537)=0,"",IF(ISNA(計算結果!G537),"",計算結果!G537))</f>
        <v/>
      </c>
      <c r="H537" s="13">
        <f>IF(IF(ISNA(計算結果!H537),"",計算結果!H537)=0,"",IF(ISNA(計算結果!H537),"",計算結果!H537))</f>
        <v>-2</v>
      </c>
      <c r="I537" s="12" t="str">
        <f>IF(IF(ISNA(計算結果!I537),"",計算結果!I537)=0,"",IF(ISNA(計算結果!I537),"",計算結果!I537))</f>
        <v/>
      </c>
      <c r="J537" s="12" t="str">
        <f>IF(IF(ISNA(計算結果!J537),"",計算結果!J537)=0,"",IF(ISNA(計算結果!J537),"",計算結果!J537))</f>
        <v/>
      </c>
      <c r="K537" s="23" t="str">
        <f>IF(IF(ISNA(計算結果!K537),"",計算結果!K537)=0,"",IF(ISNA(計算結果!K537),"",計算結果!K537))</f>
        <v/>
      </c>
      <c r="L537" s="13" t="str">
        <f>IF(IF(ISNA(計算結果!L537),"",計算結果!L537)=0,"",IF(ISNA(計算結果!L537),"",計算結果!L537))</f>
        <v/>
      </c>
      <c r="M537" s="10" t="str">
        <f>IF(IF(ISNA(計算結果!M537),"",計算結果!M537)=0,"",IF(ISNA(計算結果!M537),"",計算結果!M537))</f>
        <v/>
      </c>
      <c r="N537" s="10" t="str">
        <f>IF(IF(ISNA(計算結果!N537),"",計算結果!N537)=0,"",IF(ISNA(計算結果!N537),"",計算結果!N537))</f>
        <v/>
      </c>
      <c r="O537" s="13" t="str">
        <f>IF(IF(ISNA(計算結果!O537),"",計算結果!O537)=0,"",IF(ISNA(計算結果!O537),"",計算結果!O537))</f>
        <v/>
      </c>
      <c r="P537" s="10" t="str">
        <f>IF(IF(ISNA(計算結果!P537),"",計算結果!P537)=0,"",IF(ISNA(計算結果!P537),"",計算結果!P537))</f>
        <v/>
      </c>
      <c r="Q537" s="10" t="str">
        <f>IF(IF(ISNA(計算結果!Q537),"",計算結果!Q537)=0,"",IF(ISNA(計算結果!Q537),"",計算結果!Q537))</f>
        <v/>
      </c>
      <c r="R537" s="14" t="str">
        <f t="shared" si="24"/>
        <v/>
      </c>
      <c r="S537" s="14" t="str">
        <f t="shared" si="25"/>
        <v>◯</v>
      </c>
      <c r="T537" s="14" t="str">
        <f t="shared" si="26"/>
        <v/>
      </c>
    </row>
    <row r="538" spans="1:20" hidden="1" x14ac:dyDescent="0.45">
      <c r="A538" s="10" t="str">
        <f>IF(IF(ISNA(計算結果!A538),"",計算結果!A538)=0,"",IF(ISNA(計算結果!A538),"",計算結果!A538))</f>
        <v/>
      </c>
      <c r="B538" s="10" t="str">
        <f>IF(IF(ISNA(計算結果!B538),"",計算結果!B538)=0,"",IF(ISNA(計算結果!B538),"",計算結果!B538))</f>
        <v/>
      </c>
      <c r="C538" s="10" t="str">
        <f>IF(IF(ISNA(計算結果!C538),"",計算結果!C538)=0,"",IF(ISNA(計算結果!C538),"",計算結果!C538))</f>
        <v/>
      </c>
      <c r="D538" s="10" t="str">
        <f>IF(IF(ISNA(計算結果!D538),"",計算結果!D538)=0,"",IF(ISNA(計算結果!D538),"",計算結果!D538))</f>
        <v>L</v>
      </c>
      <c r="E538" s="10" t="str">
        <f>IF(IF(ISNA(計算結果!E538),"",計算結果!E538)=0,"",IF(ISNA(計算結果!E538),"",計算結果!E538))</f>
        <v/>
      </c>
      <c r="F538" s="10" t="str">
        <f>IF(IF(ISNA(計算結果!F538),"",計算結果!F538)=0,"",IF(ISNA(計算結果!F538),"",計算結果!F538))</f>
        <v/>
      </c>
      <c r="G538" s="10" t="str">
        <f>IF(IF(ISNA(計算結果!G538),"",計算結果!G538)=0,"",IF(ISNA(計算結果!G538),"",計算結果!G538))</f>
        <v/>
      </c>
      <c r="H538" s="13">
        <f>IF(IF(ISNA(計算結果!H538),"",計算結果!H538)=0,"",IF(ISNA(計算結果!H538),"",計算結果!H538))</f>
        <v>-2</v>
      </c>
      <c r="I538" s="12" t="str">
        <f>IF(IF(ISNA(計算結果!I538),"",計算結果!I538)=0,"",IF(ISNA(計算結果!I538),"",計算結果!I538))</f>
        <v/>
      </c>
      <c r="J538" s="12" t="str">
        <f>IF(IF(ISNA(計算結果!J538),"",計算結果!J538)=0,"",IF(ISNA(計算結果!J538),"",計算結果!J538))</f>
        <v/>
      </c>
      <c r="K538" s="23" t="str">
        <f>IF(IF(ISNA(計算結果!K538),"",計算結果!K538)=0,"",IF(ISNA(計算結果!K538),"",計算結果!K538))</f>
        <v/>
      </c>
      <c r="L538" s="13" t="str">
        <f>IF(IF(ISNA(計算結果!L538),"",計算結果!L538)=0,"",IF(ISNA(計算結果!L538),"",計算結果!L538))</f>
        <v/>
      </c>
      <c r="M538" s="10" t="str">
        <f>IF(IF(ISNA(計算結果!M538),"",計算結果!M538)=0,"",IF(ISNA(計算結果!M538),"",計算結果!M538))</f>
        <v/>
      </c>
      <c r="N538" s="10" t="str">
        <f>IF(IF(ISNA(計算結果!N538),"",計算結果!N538)=0,"",IF(ISNA(計算結果!N538),"",計算結果!N538))</f>
        <v/>
      </c>
      <c r="O538" s="13" t="str">
        <f>IF(IF(ISNA(計算結果!O538),"",計算結果!O538)=0,"",IF(ISNA(計算結果!O538),"",計算結果!O538))</f>
        <v/>
      </c>
      <c r="P538" s="10" t="str">
        <f>IF(IF(ISNA(計算結果!P538),"",計算結果!P538)=0,"",IF(ISNA(計算結果!P538),"",計算結果!P538))</f>
        <v/>
      </c>
      <c r="Q538" s="10" t="str">
        <f>IF(IF(ISNA(計算結果!Q538),"",計算結果!Q538)=0,"",IF(ISNA(計算結果!Q538),"",計算結果!Q538))</f>
        <v/>
      </c>
      <c r="R538" s="14" t="str">
        <f t="shared" si="24"/>
        <v/>
      </c>
      <c r="S538" s="14" t="str">
        <f t="shared" si="25"/>
        <v>◯</v>
      </c>
      <c r="T538" s="14" t="str">
        <f t="shared" si="26"/>
        <v/>
      </c>
    </row>
    <row r="539" spans="1:20" hidden="1" x14ac:dyDescent="0.45">
      <c r="A539" s="10" t="str">
        <f>IF(IF(ISNA(計算結果!A539),"",計算結果!A539)=0,"",IF(ISNA(計算結果!A539),"",計算結果!A539))</f>
        <v/>
      </c>
      <c r="B539" s="10" t="str">
        <f>IF(IF(ISNA(計算結果!B539),"",計算結果!B539)=0,"",IF(ISNA(計算結果!B539),"",計算結果!B539))</f>
        <v/>
      </c>
      <c r="C539" s="10" t="str">
        <f>IF(IF(ISNA(計算結果!C539),"",計算結果!C539)=0,"",IF(ISNA(計算結果!C539),"",計算結果!C539))</f>
        <v/>
      </c>
      <c r="D539" s="10" t="str">
        <f>IF(IF(ISNA(計算結果!D539),"",計算結果!D539)=0,"",IF(ISNA(計算結果!D539),"",計算結果!D539))</f>
        <v>L</v>
      </c>
      <c r="E539" s="10" t="str">
        <f>IF(IF(ISNA(計算結果!E539),"",計算結果!E539)=0,"",IF(ISNA(計算結果!E539),"",計算結果!E539))</f>
        <v/>
      </c>
      <c r="F539" s="10" t="str">
        <f>IF(IF(ISNA(計算結果!F539),"",計算結果!F539)=0,"",IF(ISNA(計算結果!F539),"",計算結果!F539))</f>
        <v/>
      </c>
      <c r="G539" s="10" t="str">
        <f>IF(IF(ISNA(計算結果!G539),"",計算結果!G539)=0,"",IF(ISNA(計算結果!G539),"",計算結果!G539))</f>
        <v/>
      </c>
      <c r="H539" s="13">
        <f>IF(IF(ISNA(計算結果!H539),"",計算結果!H539)=0,"",IF(ISNA(計算結果!H539),"",計算結果!H539))</f>
        <v>-2</v>
      </c>
      <c r="I539" s="12" t="str">
        <f>IF(IF(ISNA(計算結果!I539),"",計算結果!I539)=0,"",IF(ISNA(計算結果!I539),"",計算結果!I539))</f>
        <v/>
      </c>
      <c r="J539" s="12" t="str">
        <f>IF(IF(ISNA(計算結果!J539),"",計算結果!J539)=0,"",IF(ISNA(計算結果!J539),"",計算結果!J539))</f>
        <v/>
      </c>
      <c r="K539" s="23" t="str">
        <f>IF(IF(ISNA(計算結果!K539),"",計算結果!K539)=0,"",IF(ISNA(計算結果!K539),"",計算結果!K539))</f>
        <v/>
      </c>
      <c r="L539" s="13" t="str">
        <f>IF(IF(ISNA(計算結果!L539),"",計算結果!L539)=0,"",IF(ISNA(計算結果!L539),"",計算結果!L539))</f>
        <v/>
      </c>
      <c r="M539" s="10" t="str">
        <f>IF(IF(ISNA(計算結果!M539),"",計算結果!M539)=0,"",IF(ISNA(計算結果!M539),"",計算結果!M539))</f>
        <v/>
      </c>
      <c r="N539" s="10" t="str">
        <f>IF(IF(ISNA(計算結果!N539),"",計算結果!N539)=0,"",IF(ISNA(計算結果!N539),"",計算結果!N539))</f>
        <v/>
      </c>
      <c r="O539" s="13" t="str">
        <f>IF(IF(ISNA(計算結果!O539),"",計算結果!O539)=0,"",IF(ISNA(計算結果!O539),"",計算結果!O539))</f>
        <v/>
      </c>
      <c r="P539" s="10" t="str">
        <f>IF(IF(ISNA(計算結果!P539),"",計算結果!P539)=0,"",IF(ISNA(計算結果!P539),"",計算結果!P539))</f>
        <v/>
      </c>
      <c r="Q539" s="10" t="str">
        <f>IF(IF(ISNA(計算結果!Q539),"",計算結果!Q539)=0,"",IF(ISNA(計算結果!Q539),"",計算結果!Q539))</f>
        <v/>
      </c>
      <c r="R539" s="14" t="str">
        <f t="shared" si="24"/>
        <v/>
      </c>
      <c r="S539" s="14" t="str">
        <f t="shared" si="25"/>
        <v>◯</v>
      </c>
      <c r="T539" s="14" t="str">
        <f t="shared" si="26"/>
        <v/>
      </c>
    </row>
    <row r="540" spans="1:20" hidden="1" x14ac:dyDescent="0.45">
      <c r="A540" s="10" t="str">
        <f>IF(IF(ISNA(計算結果!A540),"",計算結果!A540)=0,"",IF(ISNA(計算結果!A540),"",計算結果!A540))</f>
        <v/>
      </c>
      <c r="B540" s="10" t="str">
        <f>IF(IF(ISNA(計算結果!B540),"",計算結果!B540)=0,"",IF(ISNA(計算結果!B540),"",計算結果!B540))</f>
        <v/>
      </c>
      <c r="C540" s="10" t="str">
        <f>IF(IF(ISNA(計算結果!C540),"",計算結果!C540)=0,"",IF(ISNA(計算結果!C540),"",計算結果!C540))</f>
        <v/>
      </c>
      <c r="D540" s="10" t="str">
        <f>IF(IF(ISNA(計算結果!D540),"",計算結果!D540)=0,"",IF(ISNA(計算結果!D540),"",計算結果!D540))</f>
        <v>L</v>
      </c>
      <c r="E540" s="10" t="str">
        <f>IF(IF(ISNA(計算結果!E540),"",計算結果!E540)=0,"",IF(ISNA(計算結果!E540),"",計算結果!E540))</f>
        <v/>
      </c>
      <c r="F540" s="10" t="str">
        <f>IF(IF(ISNA(計算結果!F540),"",計算結果!F540)=0,"",IF(ISNA(計算結果!F540),"",計算結果!F540))</f>
        <v/>
      </c>
      <c r="G540" s="10" t="str">
        <f>IF(IF(ISNA(計算結果!G540),"",計算結果!G540)=0,"",IF(ISNA(計算結果!G540),"",計算結果!G540))</f>
        <v/>
      </c>
      <c r="H540" s="13">
        <f>IF(IF(ISNA(計算結果!H540),"",計算結果!H540)=0,"",IF(ISNA(計算結果!H540),"",計算結果!H540))</f>
        <v>-2</v>
      </c>
      <c r="I540" s="12" t="str">
        <f>IF(IF(ISNA(計算結果!I540),"",計算結果!I540)=0,"",IF(ISNA(計算結果!I540),"",計算結果!I540))</f>
        <v/>
      </c>
      <c r="J540" s="12" t="str">
        <f>IF(IF(ISNA(計算結果!J540),"",計算結果!J540)=0,"",IF(ISNA(計算結果!J540),"",計算結果!J540))</f>
        <v/>
      </c>
      <c r="K540" s="23" t="str">
        <f>IF(IF(ISNA(計算結果!K540),"",計算結果!K540)=0,"",IF(ISNA(計算結果!K540),"",計算結果!K540))</f>
        <v/>
      </c>
      <c r="L540" s="13" t="str">
        <f>IF(IF(ISNA(計算結果!L540),"",計算結果!L540)=0,"",IF(ISNA(計算結果!L540),"",計算結果!L540))</f>
        <v/>
      </c>
      <c r="M540" s="10" t="str">
        <f>IF(IF(ISNA(計算結果!M540),"",計算結果!M540)=0,"",IF(ISNA(計算結果!M540),"",計算結果!M540))</f>
        <v/>
      </c>
      <c r="N540" s="10" t="str">
        <f>IF(IF(ISNA(計算結果!N540),"",計算結果!N540)=0,"",IF(ISNA(計算結果!N540),"",計算結果!N540))</f>
        <v/>
      </c>
      <c r="O540" s="13" t="str">
        <f>IF(IF(ISNA(計算結果!O540),"",計算結果!O540)=0,"",IF(ISNA(計算結果!O540),"",計算結果!O540))</f>
        <v/>
      </c>
      <c r="P540" s="10" t="str">
        <f>IF(IF(ISNA(計算結果!P540),"",計算結果!P540)=0,"",IF(ISNA(計算結果!P540),"",計算結果!P540))</f>
        <v/>
      </c>
      <c r="Q540" s="10" t="str">
        <f>IF(IF(ISNA(計算結果!Q540),"",計算結果!Q540)=0,"",IF(ISNA(計算結果!Q540),"",計算結果!Q540))</f>
        <v/>
      </c>
      <c r="R540" s="14" t="str">
        <f t="shared" si="24"/>
        <v/>
      </c>
      <c r="S540" s="14" t="str">
        <f t="shared" si="25"/>
        <v>◯</v>
      </c>
      <c r="T540" s="14" t="str">
        <f t="shared" si="26"/>
        <v/>
      </c>
    </row>
    <row r="541" spans="1:20" hidden="1" x14ac:dyDescent="0.45">
      <c r="A541" s="10" t="str">
        <f>IF(IF(ISNA(計算結果!A541),"",計算結果!A541)=0,"",IF(ISNA(計算結果!A541),"",計算結果!A541))</f>
        <v/>
      </c>
      <c r="B541" s="10" t="str">
        <f>IF(IF(ISNA(計算結果!B541),"",計算結果!B541)=0,"",IF(ISNA(計算結果!B541),"",計算結果!B541))</f>
        <v/>
      </c>
      <c r="C541" s="10" t="str">
        <f>IF(IF(ISNA(計算結果!C541),"",計算結果!C541)=0,"",IF(ISNA(計算結果!C541),"",計算結果!C541))</f>
        <v/>
      </c>
      <c r="D541" s="10" t="str">
        <f>IF(IF(ISNA(計算結果!D541),"",計算結果!D541)=0,"",IF(ISNA(計算結果!D541),"",計算結果!D541))</f>
        <v>L</v>
      </c>
      <c r="E541" s="10" t="str">
        <f>IF(IF(ISNA(計算結果!E541),"",計算結果!E541)=0,"",IF(ISNA(計算結果!E541),"",計算結果!E541))</f>
        <v/>
      </c>
      <c r="F541" s="10" t="str">
        <f>IF(IF(ISNA(計算結果!F541),"",計算結果!F541)=0,"",IF(ISNA(計算結果!F541),"",計算結果!F541))</f>
        <v/>
      </c>
      <c r="G541" s="10" t="str">
        <f>IF(IF(ISNA(計算結果!G541),"",計算結果!G541)=0,"",IF(ISNA(計算結果!G541),"",計算結果!G541))</f>
        <v/>
      </c>
      <c r="H541" s="13">
        <f>IF(IF(ISNA(計算結果!H541),"",計算結果!H541)=0,"",IF(ISNA(計算結果!H541),"",計算結果!H541))</f>
        <v>-2</v>
      </c>
      <c r="I541" s="12" t="str">
        <f>IF(IF(ISNA(計算結果!I541),"",計算結果!I541)=0,"",IF(ISNA(計算結果!I541),"",計算結果!I541))</f>
        <v/>
      </c>
      <c r="J541" s="12" t="str">
        <f>IF(IF(ISNA(計算結果!J541),"",計算結果!J541)=0,"",IF(ISNA(計算結果!J541),"",計算結果!J541))</f>
        <v/>
      </c>
      <c r="K541" s="23" t="str">
        <f>IF(IF(ISNA(計算結果!K541),"",計算結果!K541)=0,"",IF(ISNA(計算結果!K541),"",計算結果!K541))</f>
        <v/>
      </c>
      <c r="L541" s="13" t="str">
        <f>IF(IF(ISNA(計算結果!L541),"",計算結果!L541)=0,"",IF(ISNA(計算結果!L541),"",計算結果!L541))</f>
        <v/>
      </c>
      <c r="M541" s="10" t="str">
        <f>IF(IF(ISNA(計算結果!M541),"",計算結果!M541)=0,"",IF(ISNA(計算結果!M541),"",計算結果!M541))</f>
        <v/>
      </c>
      <c r="N541" s="10" t="str">
        <f>IF(IF(ISNA(計算結果!N541),"",計算結果!N541)=0,"",IF(ISNA(計算結果!N541),"",計算結果!N541))</f>
        <v/>
      </c>
      <c r="O541" s="13" t="str">
        <f>IF(IF(ISNA(計算結果!O541),"",計算結果!O541)=0,"",IF(ISNA(計算結果!O541),"",計算結果!O541))</f>
        <v/>
      </c>
      <c r="P541" s="10" t="str">
        <f>IF(IF(ISNA(計算結果!P541),"",計算結果!P541)=0,"",IF(ISNA(計算結果!P541),"",計算結果!P541))</f>
        <v/>
      </c>
      <c r="Q541" s="10" t="str">
        <f>IF(IF(ISNA(計算結果!Q541),"",計算結果!Q541)=0,"",IF(ISNA(計算結果!Q541),"",計算結果!Q541))</f>
        <v/>
      </c>
      <c r="R541" s="14" t="str">
        <f t="shared" si="24"/>
        <v/>
      </c>
      <c r="S541" s="14" t="str">
        <f t="shared" si="25"/>
        <v>◯</v>
      </c>
      <c r="T541" s="14" t="str">
        <f t="shared" si="26"/>
        <v/>
      </c>
    </row>
    <row r="542" spans="1:20" hidden="1" x14ac:dyDescent="0.45">
      <c r="A542" s="10" t="str">
        <f>IF(IF(ISNA(計算結果!A542),"",計算結果!A542)=0,"",IF(ISNA(計算結果!A542),"",計算結果!A542))</f>
        <v/>
      </c>
      <c r="B542" s="10" t="str">
        <f>IF(IF(ISNA(計算結果!B542),"",計算結果!B542)=0,"",IF(ISNA(計算結果!B542),"",計算結果!B542))</f>
        <v/>
      </c>
      <c r="C542" s="10" t="str">
        <f>IF(IF(ISNA(計算結果!C542),"",計算結果!C542)=0,"",IF(ISNA(計算結果!C542),"",計算結果!C542))</f>
        <v/>
      </c>
      <c r="D542" s="10" t="str">
        <f>IF(IF(ISNA(計算結果!D542),"",計算結果!D542)=0,"",IF(ISNA(計算結果!D542),"",計算結果!D542))</f>
        <v>L</v>
      </c>
      <c r="E542" s="10" t="str">
        <f>IF(IF(ISNA(計算結果!E542),"",計算結果!E542)=0,"",IF(ISNA(計算結果!E542),"",計算結果!E542))</f>
        <v/>
      </c>
      <c r="F542" s="10" t="str">
        <f>IF(IF(ISNA(計算結果!F542),"",計算結果!F542)=0,"",IF(ISNA(計算結果!F542),"",計算結果!F542))</f>
        <v/>
      </c>
      <c r="G542" s="10" t="str">
        <f>IF(IF(ISNA(計算結果!G542),"",計算結果!G542)=0,"",IF(ISNA(計算結果!G542),"",計算結果!G542))</f>
        <v/>
      </c>
      <c r="H542" s="13">
        <f>IF(IF(ISNA(計算結果!H542),"",計算結果!H542)=0,"",IF(ISNA(計算結果!H542),"",計算結果!H542))</f>
        <v>-2</v>
      </c>
      <c r="I542" s="12" t="str">
        <f>IF(IF(ISNA(計算結果!I542),"",計算結果!I542)=0,"",IF(ISNA(計算結果!I542),"",計算結果!I542))</f>
        <v/>
      </c>
      <c r="J542" s="12" t="str">
        <f>IF(IF(ISNA(計算結果!J542),"",計算結果!J542)=0,"",IF(ISNA(計算結果!J542),"",計算結果!J542))</f>
        <v/>
      </c>
      <c r="K542" s="23" t="str">
        <f>IF(IF(ISNA(計算結果!K542),"",計算結果!K542)=0,"",IF(ISNA(計算結果!K542),"",計算結果!K542))</f>
        <v/>
      </c>
      <c r="L542" s="13" t="str">
        <f>IF(IF(ISNA(計算結果!L542),"",計算結果!L542)=0,"",IF(ISNA(計算結果!L542),"",計算結果!L542))</f>
        <v/>
      </c>
      <c r="M542" s="10" t="str">
        <f>IF(IF(ISNA(計算結果!M542),"",計算結果!M542)=0,"",IF(ISNA(計算結果!M542),"",計算結果!M542))</f>
        <v/>
      </c>
      <c r="N542" s="10" t="str">
        <f>IF(IF(ISNA(計算結果!N542),"",計算結果!N542)=0,"",IF(ISNA(計算結果!N542),"",計算結果!N542))</f>
        <v/>
      </c>
      <c r="O542" s="13" t="str">
        <f>IF(IF(ISNA(計算結果!O542),"",計算結果!O542)=0,"",IF(ISNA(計算結果!O542),"",計算結果!O542))</f>
        <v/>
      </c>
      <c r="P542" s="10" t="str">
        <f>IF(IF(ISNA(計算結果!P542),"",計算結果!P542)=0,"",IF(ISNA(計算結果!P542),"",計算結果!P542))</f>
        <v/>
      </c>
      <c r="Q542" s="10" t="str">
        <f>IF(IF(ISNA(計算結果!Q542),"",計算結果!Q542)=0,"",IF(ISNA(計算結果!Q542),"",計算結果!Q542))</f>
        <v/>
      </c>
      <c r="R542" s="14" t="str">
        <f t="shared" si="24"/>
        <v/>
      </c>
      <c r="S542" s="14" t="str">
        <f t="shared" si="25"/>
        <v>◯</v>
      </c>
      <c r="T542" s="14" t="str">
        <f t="shared" si="26"/>
        <v/>
      </c>
    </row>
    <row r="543" spans="1:20" hidden="1" x14ac:dyDescent="0.45">
      <c r="A543" s="10" t="str">
        <f>IF(IF(ISNA(計算結果!A543),"",計算結果!A543)=0,"",IF(ISNA(計算結果!A543),"",計算結果!A543))</f>
        <v/>
      </c>
      <c r="B543" s="10" t="str">
        <f>IF(IF(ISNA(計算結果!B543),"",計算結果!B543)=0,"",IF(ISNA(計算結果!B543),"",計算結果!B543))</f>
        <v/>
      </c>
      <c r="C543" s="10" t="str">
        <f>IF(IF(ISNA(計算結果!C543),"",計算結果!C543)=0,"",IF(ISNA(計算結果!C543),"",計算結果!C543))</f>
        <v/>
      </c>
      <c r="D543" s="10" t="str">
        <f>IF(IF(ISNA(計算結果!D543),"",計算結果!D543)=0,"",IF(ISNA(計算結果!D543),"",計算結果!D543))</f>
        <v>L</v>
      </c>
      <c r="E543" s="10" t="str">
        <f>IF(IF(ISNA(計算結果!E543),"",計算結果!E543)=0,"",IF(ISNA(計算結果!E543),"",計算結果!E543))</f>
        <v/>
      </c>
      <c r="F543" s="10" t="str">
        <f>IF(IF(ISNA(計算結果!F543),"",計算結果!F543)=0,"",IF(ISNA(計算結果!F543),"",計算結果!F543))</f>
        <v/>
      </c>
      <c r="G543" s="10" t="str">
        <f>IF(IF(ISNA(計算結果!G543),"",計算結果!G543)=0,"",IF(ISNA(計算結果!G543),"",計算結果!G543))</f>
        <v/>
      </c>
      <c r="H543" s="13">
        <f>IF(IF(ISNA(計算結果!H543),"",計算結果!H543)=0,"",IF(ISNA(計算結果!H543),"",計算結果!H543))</f>
        <v>-2</v>
      </c>
      <c r="I543" s="12" t="str">
        <f>IF(IF(ISNA(計算結果!I543),"",計算結果!I543)=0,"",IF(ISNA(計算結果!I543),"",計算結果!I543))</f>
        <v/>
      </c>
      <c r="J543" s="12" t="str">
        <f>IF(IF(ISNA(計算結果!J543),"",計算結果!J543)=0,"",IF(ISNA(計算結果!J543),"",計算結果!J543))</f>
        <v/>
      </c>
      <c r="K543" s="23" t="str">
        <f>IF(IF(ISNA(計算結果!K543),"",計算結果!K543)=0,"",IF(ISNA(計算結果!K543),"",計算結果!K543))</f>
        <v/>
      </c>
      <c r="L543" s="13" t="str">
        <f>IF(IF(ISNA(計算結果!L543),"",計算結果!L543)=0,"",IF(ISNA(計算結果!L543),"",計算結果!L543))</f>
        <v/>
      </c>
      <c r="M543" s="10" t="str">
        <f>IF(IF(ISNA(計算結果!M543),"",計算結果!M543)=0,"",IF(ISNA(計算結果!M543),"",計算結果!M543))</f>
        <v/>
      </c>
      <c r="N543" s="10" t="str">
        <f>IF(IF(ISNA(計算結果!N543),"",計算結果!N543)=0,"",IF(ISNA(計算結果!N543),"",計算結果!N543))</f>
        <v/>
      </c>
      <c r="O543" s="13" t="str">
        <f>IF(IF(ISNA(計算結果!O543),"",計算結果!O543)=0,"",IF(ISNA(計算結果!O543),"",計算結果!O543))</f>
        <v/>
      </c>
      <c r="P543" s="10" t="str">
        <f>IF(IF(ISNA(計算結果!P543),"",計算結果!P543)=0,"",IF(ISNA(計算結果!P543),"",計算結果!P543))</f>
        <v/>
      </c>
      <c r="Q543" s="10" t="str">
        <f>IF(IF(ISNA(計算結果!Q543),"",計算結果!Q543)=0,"",IF(ISNA(計算結果!Q543),"",計算結果!Q543))</f>
        <v/>
      </c>
      <c r="R543" s="14" t="str">
        <f t="shared" si="24"/>
        <v/>
      </c>
      <c r="S543" s="14" t="str">
        <f t="shared" si="25"/>
        <v>◯</v>
      </c>
      <c r="T543" s="14" t="str">
        <f t="shared" si="26"/>
        <v/>
      </c>
    </row>
    <row r="544" spans="1:20" hidden="1" x14ac:dyDescent="0.45">
      <c r="A544" s="10" t="str">
        <f>IF(IF(ISNA(計算結果!A544),"",計算結果!A544)=0,"",IF(ISNA(計算結果!A544),"",計算結果!A544))</f>
        <v/>
      </c>
      <c r="B544" s="10" t="str">
        <f>IF(IF(ISNA(計算結果!B544),"",計算結果!B544)=0,"",IF(ISNA(計算結果!B544),"",計算結果!B544))</f>
        <v/>
      </c>
      <c r="C544" s="10" t="str">
        <f>IF(IF(ISNA(計算結果!C544),"",計算結果!C544)=0,"",IF(ISNA(計算結果!C544),"",計算結果!C544))</f>
        <v/>
      </c>
      <c r="D544" s="10" t="str">
        <f>IF(IF(ISNA(計算結果!D544),"",計算結果!D544)=0,"",IF(ISNA(計算結果!D544),"",計算結果!D544))</f>
        <v>L</v>
      </c>
      <c r="E544" s="10" t="str">
        <f>IF(IF(ISNA(計算結果!E544),"",計算結果!E544)=0,"",IF(ISNA(計算結果!E544),"",計算結果!E544))</f>
        <v/>
      </c>
      <c r="F544" s="10" t="str">
        <f>IF(IF(ISNA(計算結果!F544),"",計算結果!F544)=0,"",IF(ISNA(計算結果!F544),"",計算結果!F544))</f>
        <v/>
      </c>
      <c r="G544" s="10" t="str">
        <f>IF(IF(ISNA(計算結果!G544),"",計算結果!G544)=0,"",IF(ISNA(計算結果!G544),"",計算結果!G544))</f>
        <v/>
      </c>
      <c r="H544" s="13">
        <f>IF(IF(ISNA(計算結果!H544),"",計算結果!H544)=0,"",IF(ISNA(計算結果!H544),"",計算結果!H544))</f>
        <v>-2</v>
      </c>
      <c r="I544" s="12" t="str">
        <f>IF(IF(ISNA(計算結果!I544),"",計算結果!I544)=0,"",IF(ISNA(計算結果!I544),"",計算結果!I544))</f>
        <v/>
      </c>
      <c r="J544" s="12" t="str">
        <f>IF(IF(ISNA(計算結果!J544),"",計算結果!J544)=0,"",IF(ISNA(計算結果!J544),"",計算結果!J544))</f>
        <v/>
      </c>
      <c r="K544" s="23" t="str">
        <f>IF(IF(ISNA(計算結果!K544),"",計算結果!K544)=0,"",IF(ISNA(計算結果!K544),"",計算結果!K544))</f>
        <v/>
      </c>
      <c r="L544" s="13" t="str">
        <f>IF(IF(ISNA(計算結果!L544),"",計算結果!L544)=0,"",IF(ISNA(計算結果!L544),"",計算結果!L544))</f>
        <v/>
      </c>
      <c r="M544" s="10" t="str">
        <f>IF(IF(ISNA(計算結果!M544),"",計算結果!M544)=0,"",IF(ISNA(計算結果!M544),"",計算結果!M544))</f>
        <v/>
      </c>
      <c r="N544" s="10" t="str">
        <f>IF(IF(ISNA(計算結果!N544),"",計算結果!N544)=0,"",IF(ISNA(計算結果!N544),"",計算結果!N544))</f>
        <v/>
      </c>
      <c r="O544" s="13" t="str">
        <f>IF(IF(ISNA(計算結果!O544),"",計算結果!O544)=0,"",IF(ISNA(計算結果!O544),"",計算結果!O544))</f>
        <v/>
      </c>
      <c r="P544" s="10" t="str">
        <f>IF(IF(ISNA(計算結果!P544),"",計算結果!P544)=0,"",IF(ISNA(計算結果!P544),"",計算結果!P544))</f>
        <v/>
      </c>
      <c r="Q544" s="10" t="str">
        <f>IF(IF(ISNA(計算結果!Q544),"",計算結果!Q544)=0,"",IF(ISNA(計算結果!Q544),"",計算結果!Q544))</f>
        <v/>
      </c>
      <c r="R544" s="14" t="str">
        <f t="shared" si="24"/>
        <v/>
      </c>
      <c r="S544" s="14" t="str">
        <f t="shared" si="25"/>
        <v>◯</v>
      </c>
      <c r="T544" s="14" t="str">
        <f t="shared" si="26"/>
        <v/>
      </c>
    </row>
    <row r="545" spans="1:20" hidden="1" x14ac:dyDescent="0.45">
      <c r="A545" s="10" t="str">
        <f>IF(IF(ISNA(計算結果!A545),"",計算結果!A545)=0,"",IF(ISNA(計算結果!A545),"",計算結果!A545))</f>
        <v/>
      </c>
      <c r="B545" s="10" t="str">
        <f>IF(IF(ISNA(計算結果!B545),"",計算結果!B545)=0,"",IF(ISNA(計算結果!B545),"",計算結果!B545))</f>
        <v/>
      </c>
      <c r="C545" s="10" t="str">
        <f>IF(IF(ISNA(計算結果!C545),"",計算結果!C545)=0,"",IF(ISNA(計算結果!C545),"",計算結果!C545))</f>
        <v/>
      </c>
      <c r="D545" s="10" t="str">
        <f>IF(IF(ISNA(計算結果!D545),"",計算結果!D545)=0,"",IF(ISNA(計算結果!D545),"",計算結果!D545))</f>
        <v>L</v>
      </c>
      <c r="E545" s="10" t="str">
        <f>IF(IF(ISNA(計算結果!E545),"",計算結果!E545)=0,"",IF(ISNA(計算結果!E545),"",計算結果!E545))</f>
        <v/>
      </c>
      <c r="F545" s="10" t="str">
        <f>IF(IF(ISNA(計算結果!F545),"",計算結果!F545)=0,"",IF(ISNA(計算結果!F545),"",計算結果!F545))</f>
        <v/>
      </c>
      <c r="G545" s="10" t="str">
        <f>IF(IF(ISNA(計算結果!G545),"",計算結果!G545)=0,"",IF(ISNA(計算結果!G545),"",計算結果!G545))</f>
        <v/>
      </c>
      <c r="H545" s="13">
        <f>IF(IF(ISNA(計算結果!H545),"",計算結果!H545)=0,"",IF(ISNA(計算結果!H545),"",計算結果!H545))</f>
        <v>-2</v>
      </c>
      <c r="I545" s="12" t="str">
        <f>IF(IF(ISNA(計算結果!I545),"",計算結果!I545)=0,"",IF(ISNA(計算結果!I545),"",計算結果!I545))</f>
        <v/>
      </c>
      <c r="J545" s="12" t="str">
        <f>IF(IF(ISNA(計算結果!J545),"",計算結果!J545)=0,"",IF(ISNA(計算結果!J545),"",計算結果!J545))</f>
        <v/>
      </c>
      <c r="K545" s="23" t="str">
        <f>IF(IF(ISNA(計算結果!K545),"",計算結果!K545)=0,"",IF(ISNA(計算結果!K545),"",計算結果!K545))</f>
        <v/>
      </c>
      <c r="L545" s="13" t="str">
        <f>IF(IF(ISNA(計算結果!L545),"",計算結果!L545)=0,"",IF(ISNA(計算結果!L545),"",計算結果!L545))</f>
        <v/>
      </c>
      <c r="M545" s="10" t="str">
        <f>IF(IF(ISNA(計算結果!M545),"",計算結果!M545)=0,"",IF(ISNA(計算結果!M545),"",計算結果!M545))</f>
        <v/>
      </c>
      <c r="N545" s="10" t="str">
        <f>IF(IF(ISNA(計算結果!N545),"",計算結果!N545)=0,"",IF(ISNA(計算結果!N545),"",計算結果!N545))</f>
        <v/>
      </c>
      <c r="O545" s="13" t="str">
        <f>IF(IF(ISNA(計算結果!O545),"",計算結果!O545)=0,"",IF(ISNA(計算結果!O545),"",計算結果!O545))</f>
        <v/>
      </c>
      <c r="P545" s="10" t="str">
        <f>IF(IF(ISNA(計算結果!P545),"",計算結果!P545)=0,"",IF(ISNA(計算結果!P545),"",計算結果!P545))</f>
        <v/>
      </c>
      <c r="Q545" s="10" t="str">
        <f>IF(IF(ISNA(計算結果!Q545),"",計算結果!Q545)=0,"",IF(ISNA(計算結果!Q545),"",計算結果!Q545))</f>
        <v/>
      </c>
      <c r="R545" s="14" t="str">
        <f t="shared" si="24"/>
        <v/>
      </c>
      <c r="S545" s="14" t="str">
        <f t="shared" si="25"/>
        <v>◯</v>
      </c>
      <c r="T545" s="14" t="str">
        <f t="shared" si="26"/>
        <v/>
      </c>
    </row>
    <row r="546" spans="1:20" hidden="1" x14ac:dyDescent="0.45">
      <c r="A546" s="10" t="str">
        <f>IF(IF(ISNA(計算結果!A546),"",計算結果!A546)=0,"",IF(ISNA(計算結果!A546),"",計算結果!A546))</f>
        <v/>
      </c>
      <c r="B546" s="10" t="str">
        <f>IF(IF(ISNA(計算結果!B546),"",計算結果!B546)=0,"",IF(ISNA(計算結果!B546),"",計算結果!B546))</f>
        <v/>
      </c>
      <c r="C546" s="10" t="str">
        <f>IF(IF(ISNA(計算結果!C546),"",計算結果!C546)=0,"",IF(ISNA(計算結果!C546),"",計算結果!C546))</f>
        <v/>
      </c>
      <c r="D546" s="10" t="str">
        <f>IF(IF(ISNA(計算結果!D546),"",計算結果!D546)=0,"",IF(ISNA(計算結果!D546),"",計算結果!D546))</f>
        <v>L</v>
      </c>
      <c r="E546" s="10" t="str">
        <f>IF(IF(ISNA(計算結果!E546),"",計算結果!E546)=0,"",IF(ISNA(計算結果!E546),"",計算結果!E546))</f>
        <v/>
      </c>
      <c r="F546" s="10" t="str">
        <f>IF(IF(ISNA(計算結果!F546),"",計算結果!F546)=0,"",IF(ISNA(計算結果!F546),"",計算結果!F546))</f>
        <v/>
      </c>
      <c r="G546" s="10" t="str">
        <f>IF(IF(ISNA(計算結果!G546),"",計算結果!G546)=0,"",IF(ISNA(計算結果!G546),"",計算結果!G546))</f>
        <v/>
      </c>
      <c r="H546" s="13">
        <f>IF(IF(ISNA(計算結果!H546),"",計算結果!H546)=0,"",IF(ISNA(計算結果!H546),"",計算結果!H546))</f>
        <v>-2</v>
      </c>
      <c r="I546" s="12" t="str">
        <f>IF(IF(ISNA(計算結果!I546),"",計算結果!I546)=0,"",IF(ISNA(計算結果!I546),"",計算結果!I546))</f>
        <v/>
      </c>
      <c r="J546" s="12" t="str">
        <f>IF(IF(ISNA(計算結果!J546),"",計算結果!J546)=0,"",IF(ISNA(計算結果!J546),"",計算結果!J546))</f>
        <v/>
      </c>
      <c r="K546" s="23" t="str">
        <f>IF(IF(ISNA(計算結果!K546),"",計算結果!K546)=0,"",IF(ISNA(計算結果!K546),"",計算結果!K546))</f>
        <v/>
      </c>
      <c r="L546" s="13" t="str">
        <f>IF(IF(ISNA(計算結果!L546),"",計算結果!L546)=0,"",IF(ISNA(計算結果!L546),"",計算結果!L546))</f>
        <v/>
      </c>
      <c r="M546" s="10" t="str">
        <f>IF(IF(ISNA(計算結果!M546),"",計算結果!M546)=0,"",IF(ISNA(計算結果!M546),"",計算結果!M546))</f>
        <v/>
      </c>
      <c r="N546" s="10" t="str">
        <f>IF(IF(ISNA(計算結果!N546),"",計算結果!N546)=0,"",IF(ISNA(計算結果!N546),"",計算結果!N546))</f>
        <v/>
      </c>
      <c r="O546" s="13" t="str">
        <f>IF(IF(ISNA(計算結果!O546),"",計算結果!O546)=0,"",IF(ISNA(計算結果!O546),"",計算結果!O546))</f>
        <v/>
      </c>
      <c r="P546" s="10" t="str">
        <f>IF(IF(ISNA(計算結果!P546),"",計算結果!P546)=0,"",IF(ISNA(計算結果!P546),"",計算結果!P546))</f>
        <v/>
      </c>
      <c r="Q546" s="10" t="str">
        <f>IF(IF(ISNA(計算結果!Q546),"",計算結果!Q546)=0,"",IF(ISNA(計算結果!Q546),"",計算結果!Q546))</f>
        <v/>
      </c>
      <c r="R546" s="14" t="str">
        <f t="shared" si="24"/>
        <v/>
      </c>
      <c r="S546" s="14" t="str">
        <f t="shared" si="25"/>
        <v>◯</v>
      </c>
      <c r="T546" s="14" t="str">
        <f t="shared" si="26"/>
        <v/>
      </c>
    </row>
    <row r="547" spans="1:20" hidden="1" x14ac:dyDescent="0.45">
      <c r="A547" s="10" t="str">
        <f>IF(IF(ISNA(計算結果!A547),"",計算結果!A547)=0,"",IF(ISNA(計算結果!A547),"",計算結果!A547))</f>
        <v/>
      </c>
      <c r="B547" s="10" t="str">
        <f>IF(IF(ISNA(計算結果!B547),"",計算結果!B547)=0,"",IF(ISNA(計算結果!B547),"",計算結果!B547))</f>
        <v/>
      </c>
      <c r="C547" s="10" t="str">
        <f>IF(IF(ISNA(計算結果!C547),"",計算結果!C547)=0,"",IF(ISNA(計算結果!C547),"",計算結果!C547))</f>
        <v/>
      </c>
      <c r="D547" s="10" t="str">
        <f>IF(IF(ISNA(計算結果!D547),"",計算結果!D547)=0,"",IF(ISNA(計算結果!D547),"",計算結果!D547))</f>
        <v>L</v>
      </c>
      <c r="E547" s="10" t="str">
        <f>IF(IF(ISNA(計算結果!E547),"",計算結果!E547)=0,"",IF(ISNA(計算結果!E547),"",計算結果!E547))</f>
        <v/>
      </c>
      <c r="F547" s="10" t="str">
        <f>IF(IF(ISNA(計算結果!F547),"",計算結果!F547)=0,"",IF(ISNA(計算結果!F547),"",計算結果!F547))</f>
        <v/>
      </c>
      <c r="G547" s="10" t="str">
        <f>IF(IF(ISNA(計算結果!G547),"",計算結果!G547)=0,"",IF(ISNA(計算結果!G547),"",計算結果!G547))</f>
        <v/>
      </c>
      <c r="H547" s="13">
        <f>IF(IF(ISNA(計算結果!H547),"",計算結果!H547)=0,"",IF(ISNA(計算結果!H547),"",計算結果!H547))</f>
        <v>-2</v>
      </c>
      <c r="I547" s="12" t="str">
        <f>IF(IF(ISNA(計算結果!I547),"",計算結果!I547)=0,"",IF(ISNA(計算結果!I547),"",計算結果!I547))</f>
        <v/>
      </c>
      <c r="J547" s="12" t="str">
        <f>IF(IF(ISNA(計算結果!J547),"",計算結果!J547)=0,"",IF(ISNA(計算結果!J547),"",計算結果!J547))</f>
        <v/>
      </c>
      <c r="K547" s="23" t="str">
        <f>IF(IF(ISNA(計算結果!K547),"",計算結果!K547)=0,"",IF(ISNA(計算結果!K547),"",計算結果!K547))</f>
        <v/>
      </c>
      <c r="L547" s="13" t="str">
        <f>IF(IF(ISNA(計算結果!L547),"",計算結果!L547)=0,"",IF(ISNA(計算結果!L547),"",計算結果!L547))</f>
        <v/>
      </c>
      <c r="M547" s="10" t="str">
        <f>IF(IF(ISNA(計算結果!M547),"",計算結果!M547)=0,"",IF(ISNA(計算結果!M547),"",計算結果!M547))</f>
        <v/>
      </c>
      <c r="N547" s="10" t="str">
        <f>IF(IF(ISNA(計算結果!N547),"",計算結果!N547)=0,"",IF(ISNA(計算結果!N547),"",計算結果!N547))</f>
        <v/>
      </c>
      <c r="O547" s="13" t="str">
        <f>IF(IF(ISNA(計算結果!O547),"",計算結果!O547)=0,"",IF(ISNA(計算結果!O547),"",計算結果!O547))</f>
        <v/>
      </c>
      <c r="P547" s="10" t="str">
        <f>IF(IF(ISNA(計算結果!P547),"",計算結果!P547)=0,"",IF(ISNA(計算結果!P547),"",計算結果!P547))</f>
        <v/>
      </c>
      <c r="Q547" s="10" t="str">
        <f>IF(IF(ISNA(計算結果!Q547),"",計算結果!Q547)=0,"",IF(ISNA(計算結果!Q547),"",計算結果!Q547))</f>
        <v/>
      </c>
      <c r="R547" s="14" t="str">
        <f t="shared" si="24"/>
        <v/>
      </c>
      <c r="S547" s="14" t="str">
        <f t="shared" si="25"/>
        <v>◯</v>
      </c>
      <c r="T547" s="14" t="str">
        <f t="shared" si="26"/>
        <v/>
      </c>
    </row>
    <row r="548" spans="1:20" hidden="1" x14ac:dyDescent="0.45">
      <c r="A548" s="10" t="str">
        <f>IF(IF(ISNA(計算結果!A548),"",計算結果!A548)=0,"",IF(ISNA(計算結果!A548),"",計算結果!A548))</f>
        <v/>
      </c>
      <c r="B548" s="10" t="str">
        <f>IF(IF(ISNA(計算結果!B548),"",計算結果!B548)=0,"",IF(ISNA(計算結果!B548),"",計算結果!B548))</f>
        <v/>
      </c>
      <c r="C548" s="10" t="str">
        <f>IF(IF(ISNA(計算結果!C548),"",計算結果!C548)=0,"",IF(ISNA(計算結果!C548),"",計算結果!C548))</f>
        <v/>
      </c>
      <c r="D548" s="10" t="str">
        <f>IF(IF(ISNA(計算結果!D548),"",計算結果!D548)=0,"",IF(ISNA(計算結果!D548),"",計算結果!D548))</f>
        <v>L</v>
      </c>
      <c r="E548" s="10" t="str">
        <f>IF(IF(ISNA(計算結果!E548),"",計算結果!E548)=0,"",IF(ISNA(計算結果!E548),"",計算結果!E548))</f>
        <v/>
      </c>
      <c r="F548" s="10" t="str">
        <f>IF(IF(ISNA(計算結果!F548),"",計算結果!F548)=0,"",IF(ISNA(計算結果!F548),"",計算結果!F548))</f>
        <v/>
      </c>
      <c r="G548" s="10" t="str">
        <f>IF(IF(ISNA(計算結果!G548),"",計算結果!G548)=0,"",IF(ISNA(計算結果!G548),"",計算結果!G548))</f>
        <v/>
      </c>
      <c r="H548" s="13">
        <f>IF(IF(ISNA(計算結果!H548),"",計算結果!H548)=0,"",IF(ISNA(計算結果!H548),"",計算結果!H548))</f>
        <v>-2</v>
      </c>
      <c r="I548" s="12" t="str">
        <f>IF(IF(ISNA(計算結果!I548),"",計算結果!I548)=0,"",IF(ISNA(計算結果!I548),"",計算結果!I548))</f>
        <v/>
      </c>
      <c r="J548" s="12" t="str">
        <f>IF(IF(ISNA(計算結果!J548),"",計算結果!J548)=0,"",IF(ISNA(計算結果!J548),"",計算結果!J548))</f>
        <v/>
      </c>
      <c r="K548" s="23" t="str">
        <f>IF(IF(ISNA(計算結果!K548),"",計算結果!K548)=0,"",IF(ISNA(計算結果!K548),"",計算結果!K548))</f>
        <v/>
      </c>
      <c r="L548" s="13" t="str">
        <f>IF(IF(ISNA(計算結果!L548),"",計算結果!L548)=0,"",IF(ISNA(計算結果!L548),"",計算結果!L548))</f>
        <v/>
      </c>
      <c r="M548" s="10" t="str">
        <f>IF(IF(ISNA(計算結果!M548),"",計算結果!M548)=0,"",IF(ISNA(計算結果!M548),"",計算結果!M548))</f>
        <v/>
      </c>
      <c r="N548" s="10" t="str">
        <f>IF(IF(ISNA(計算結果!N548),"",計算結果!N548)=0,"",IF(ISNA(計算結果!N548),"",計算結果!N548))</f>
        <v/>
      </c>
      <c r="O548" s="13" t="str">
        <f>IF(IF(ISNA(計算結果!O548),"",計算結果!O548)=0,"",IF(ISNA(計算結果!O548),"",計算結果!O548))</f>
        <v/>
      </c>
      <c r="P548" s="10" t="str">
        <f>IF(IF(ISNA(計算結果!P548),"",計算結果!P548)=0,"",IF(ISNA(計算結果!P548),"",計算結果!P548))</f>
        <v/>
      </c>
      <c r="Q548" s="10" t="str">
        <f>IF(IF(ISNA(計算結果!Q548),"",計算結果!Q548)=0,"",IF(ISNA(計算結果!Q548),"",計算結果!Q548))</f>
        <v/>
      </c>
      <c r="R548" s="14" t="str">
        <f t="shared" si="24"/>
        <v/>
      </c>
      <c r="S548" s="14" t="str">
        <f t="shared" si="25"/>
        <v>◯</v>
      </c>
      <c r="T548" s="14" t="str">
        <f t="shared" si="26"/>
        <v/>
      </c>
    </row>
    <row r="549" spans="1:20" hidden="1" x14ac:dyDescent="0.45">
      <c r="A549" s="10" t="str">
        <f>IF(IF(ISNA(計算結果!A549),"",計算結果!A549)=0,"",IF(ISNA(計算結果!A549),"",計算結果!A549))</f>
        <v/>
      </c>
      <c r="B549" s="10" t="str">
        <f>IF(IF(ISNA(計算結果!B549),"",計算結果!B549)=0,"",IF(ISNA(計算結果!B549),"",計算結果!B549))</f>
        <v/>
      </c>
      <c r="C549" s="10" t="str">
        <f>IF(IF(ISNA(計算結果!C549),"",計算結果!C549)=0,"",IF(ISNA(計算結果!C549),"",計算結果!C549))</f>
        <v/>
      </c>
      <c r="D549" s="10" t="str">
        <f>IF(IF(ISNA(計算結果!D549),"",計算結果!D549)=0,"",IF(ISNA(計算結果!D549),"",計算結果!D549))</f>
        <v>L</v>
      </c>
      <c r="E549" s="10" t="str">
        <f>IF(IF(ISNA(計算結果!E549),"",計算結果!E549)=0,"",IF(ISNA(計算結果!E549),"",計算結果!E549))</f>
        <v/>
      </c>
      <c r="F549" s="10" t="str">
        <f>IF(IF(ISNA(計算結果!F549),"",計算結果!F549)=0,"",IF(ISNA(計算結果!F549),"",計算結果!F549))</f>
        <v/>
      </c>
      <c r="G549" s="10" t="str">
        <f>IF(IF(ISNA(計算結果!G549),"",計算結果!G549)=0,"",IF(ISNA(計算結果!G549),"",計算結果!G549))</f>
        <v/>
      </c>
      <c r="H549" s="13">
        <f>IF(IF(ISNA(計算結果!H549),"",計算結果!H549)=0,"",IF(ISNA(計算結果!H549),"",計算結果!H549))</f>
        <v>-2</v>
      </c>
      <c r="I549" s="12" t="str">
        <f>IF(IF(ISNA(計算結果!I549),"",計算結果!I549)=0,"",IF(ISNA(計算結果!I549),"",計算結果!I549))</f>
        <v/>
      </c>
      <c r="J549" s="12" t="str">
        <f>IF(IF(ISNA(計算結果!J549),"",計算結果!J549)=0,"",IF(ISNA(計算結果!J549),"",計算結果!J549))</f>
        <v/>
      </c>
      <c r="K549" s="23" t="str">
        <f>IF(IF(ISNA(計算結果!K549),"",計算結果!K549)=0,"",IF(ISNA(計算結果!K549),"",計算結果!K549))</f>
        <v/>
      </c>
      <c r="L549" s="13" t="str">
        <f>IF(IF(ISNA(計算結果!L549),"",計算結果!L549)=0,"",IF(ISNA(計算結果!L549),"",計算結果!L549))</f>
        <v/>
      </c>
      <c r="M549" s="10" t="str">
        <f>IF(IF(ISNA(計算結果!M549),"",計算結果!M549)=0,"",IF(ISNA(計算結果!M549),"",計算結果!M549))</f>
        <v/>
      </c>
      <c r="N549" s="10" t="str">
        <f>IF(IF(ISNA(計算結果!N549),"",計算結果!N549)=0,"",IF(ISNA(計算結果!N549),"",計算結果!N549))</f>
        <v/>
      </c>
      <c r="O549" s="13" t="str">
        <f>IF(IF(ISNA(計算結果!O549),"",計算結果!O549)=0,"",IF(ISNA(計算結果!O549),"",計算結果!O549))</f>
        <v/>
      </c>
      <c r="P549" s="10" t="str">
        <f>IF(IF(ISNA(計算結果!P549),"",計算結果!P549)=0,"",IF(ISNA(計算結果!P549),"",計算結果!P549))</f>
        <v/>
      </c>
      <c r="Q549" s="10" t="str">
        <f>IF(IF(ISNA(計算結果!Q549),"",計算結果!Q549)=0,"",IF(ISNA(計算結果!Q549),"",計算結果!Q549))</f>
        <v/>
      </c>
      <c r="R549" s="14" t="str">
        <f t="shared" si="24"/>
        <v/>
      </c>
      <c r="S549" s="14" t="str">
        <f t="shared" si="25"/>
        <v>◯</v>
      </c>
      <c r="T549" s="14" t="str">
        <f t="shared" si="26"/>
        <v/>
      </c>
    </row>
    <row r="550" spans="1:20" hidden="1" x14ac:dyDescent="0.45">
      <c r="A550" s="10" t="str">
        <f>IF(IF(ISNA(計算結果!A550),"",計算結果!A550)=0,"",IF(ISNA(計算結果!A550),"",計算結果!A550))</f>
        <v/>
      </c>
      <c r="B550" s="10" t="str">
        <f>IF(IF(ISNA(計算結果!B550),"",計算結果!B550)=0,"",IF(ISNA(計算結果!B550),"",計算結果!B550))</f>
        <v/>
      </c>
      <c r="C550" s="10" t="str">
        <f>IF(IF(ISNA(計算結果!C550),"",計算結果!C550)=0,"",IF(ISNA(計算結果!C550),"",計算結果!C550))</f>
        <v/>
      </c>
      <c r="D550" s="10" t="str">
        <f>IF(IF(ISNA(計算結果!D550),"",計算結果!D550)=0,"",IF(ISNA(計算結果!D550),"",計算結果!D550))</f>
        <v>L</v>
      </c>
      <c r="E550" s="10" t="str">
        <f>IF(IF(ISNA(計算結果!E550),"",計算結果!E550)=0,"",IF(ISNA(計算結果!E550),"",計算結果!E550))</f>
        <v/>
      </c>
      <c r="F550" s="10" t="str">
        <f>IF(IF(ISNA(計算結果!F550),"",計算結果!F550)=0,"",IF(ISNA(計算結果!F550),"",計算結果!F550))</f>
        <v/>
      </c>
      <c r="G550" s="10" t="str">
        <f>IF(IF(ISNA(計算結果!G550),"",計算結果!G550)=0,"",IF(ISNA(計算結果!G550),"",計算結果!G550))</f>
        <v/>
      </c>
      <c r="H550" s="13">
        <f>IF(IF(ISNA(計算結果!H550),"",計算結果!H550)=0,"",IF(ISNA(計算結果!H550),"",計算結果!H550))</f>
        <v>-2</v>
      </c>
      <c r="I550" s="12" t="str">
        <f>IF(IF(ISNA(計算結果!I550),"",計算結果!I550)=0,"",IF(ISNA(計算結果!I550),"",計算結果!I550))</f>
        <v/>
      </c>
      <c r="J550" s="12" t="str">
        <f>IF(IF(ISNA(計算結果!J550),"",計算結果!J550)=0,"",IF(ISNA(計算結果!J550),"",計算結果!J550))</f>
        <v/>
      </c>
      <c r="K550" s="23" t="str">
        <f>IF(IF(ISNA(計算結果!K550),"",計算結果!K550)=0,"",IF(ISNA(計算結果!K550),"",計算結果!K550))</f>
        <v/>
      </c>
      <c r="L550" s="13" t="str">
        <f>IF(IF(ISNA(計算結果!L550),"",計算結果!L550)=0,"",IF(ISNA(計算結果!L550),"",計算結果!L550))</f>
        <v/>
      </c>
      <c r="M550" s="10" t="str">
        <f>IF(IF(ISNA(計算結果!M550),"",計算結果!M550)=0,"",IF(ISNA(計算結果!M550),"",計算結果!M550))</f>
        <v/>
      </c>
      <c r="N550" s="10" t="str">
        <f>IF(IF(ISNA(計算結果!N550),"",計算結果!N550)=0,"",IF(ISNA(計算結果!N550),"",計算結果!N550))</f>
        <v/>
      </c>
      <c r="O550" s="13" t="str">
        <f>IF(IF(ISNA(計算結果!O550),"",計算結果!O550)=0,"",IF(ISNA(計算結果!O550),"",計算結果!O550))</f>
        <v/>
      </c>
      <c r="P550" s="10" t="str">
        <f>IF(IF(ISNA(計算結果!P550),"",計算結果!P550)=0,"",IF(ISNA(計算結果!P550),"",計算結果!P550))</f>
        <v/>
      </c>
      <c r="Q550" s="10" t="str">
        <f>IF(IF(ISNA(計算結果!Q550),"",計算結果!Q550)=0,"",IF(ISNA(計算結果!Q550),"",計算結果!Q550))</f>
        <v/>
      </c>
      <c r="R550" s="14" t="str">
        <f t="shared" si="24"/>
        <v/>
      </c>
      <c r="S550" s="14" t="str">
        <f t="shared" si="25"/>
        <v>◯</v>
      </c>
      <c r="T550" s="14" t="str">
        <f t="shared" si="26"/>
        <v/>
      </c>
    </row>
    <row r="551" spans="1:20" hidden="1" x14ac:dyDescent="0.45">
      <c r="A551" s="10" t="str">
        <f>IF(IF(ISNA(計算結果!A551),"",計算結果!A551)=0,"",IF(ISNA(計算結果!A551),"",計算結果!A551))</f>
        <v/>
      </c>
      <c r="B551" s="10" t="str">
        <f>IF(IF(ISNA(計算結果!B551),"",計算結果!B551)=0,"",IF(ISNA(計算結果!B551),"",計算結果!B551))</f>
        <v/>
      </c>
      <c r="C551" s="10" t="str">
        <f>IF(IF(ISNA(計算結果!C551),"",計算結果!C551)=0,"",IF(ISNA(計算結果!C551),"",計算結果!C551))</f>
        <v/>
      </c>
      <c r="D551" s="10" t="str">
        <f>IF(IF(ISNA(計算結果!D551),"",計算結果!D551)=0,"",IF(ISNA(計算結果!D551),"",計算結果!D551))</f>
        <v>L</v>
      </c>
      <c r="E551" s="10" t="str">
        <f>IF(IF(ISNA(計算結果!E551),"",計算結果!E551)=0,"",IF(ISNA(計算結果!E551),"",計算結果!E551))</f>
        <v/>
      </c>
      <c r="F551" s="10" t="str">
        <f>IF(IF(ISNA(計算結果!F551),"",計算結果!F551)=0,"",IF(ISNA(計算結果!F551),"",計算結果!F551))</f>
        <v/>
      </c>
      <c r="G551" s="10" t="str">
        <f>IF(IF(ISNA(計算結果!G551),"",計算結果!G551)=0,"",IF(ISNA(計算結果!G551),"",計算結果!G551))</f>
        <v/>
      </c>
      <c r="H551" s="13">
        <f>IF(IF(ISNA(計算結果!H551),"",計算結果!H551)=0,"",IF(ISNA(計算結果!H551),"",計算結果!H551))</f>
        <v>-2</v>
      </c>
      <c r="I551" s="12" t="str">
        <f>IF(IF(ISNA(計算結果!I551),"",計算結果!I551)=0,"",IF(ISNA(計算結果!I551),"",計算結果!I551))</f>
        <v/>
      </c>
      <c r="J551" s="12" t="str">
        <f>IF(IF(ISNA(計算結果!J551),"",計算結果!J551)=0,"",IF(ISNA(計算結果!J551),"",計算結果!J551))</f>
        <v/>
      </c>
      <c r="K551" s="23" t="str">
        <f>IF(IF(ISNA(計算結果!K551),"",計算結果!K551)=0,"",IF(ISNA(計算結果!K551),"",計算結果!K551))</f>
        <v/>
      </c>
      <c r="L551" s="13" t="str">
        <f>IF(IF(ISNA(計算結果!L551),"",計算結果!L551)=0,"",IF(ISNA(計算結果!L551),"",計算結果!L551))</f>
        <v/>
      </c>
      <c r="M551" s="10" t="str">
        <f>IF(IF(ISNA(計算結果!M551),"",計算結果!M551)=0,"",IF(ISNA(計算結果!M551),"",計算結果!M551))</f>
        <v/>
      </c>
      <c r="N551" s="10" t="str">
        <f>IF(IF(ISNA(計算結果!N551),"",計算結果!N551)=0,"",IF(ISNA(計算結果!N551),"",計算結果!N551))</f>
        <v/>
      </c>
      <c r="O551" s="13" t="str">
        <f>IF(IF(ISNA(計算結果!O551),"",計算結果!O551)=0,"",IF(ISNA(計算結果!O551),"",計算結果!O551))</f>
        <v/>
      </c>
      <c r="P551" s="10" t="str">
        <f>IF(IF(ISNA(計算結果!P551),"",計算結果!P551)=0,"",IF(ISNA(計算結果!P551),"",計算結果!P551))</f>
        <v/>
      </c>
      <c r="Q551" s="10" t="str">
        <f>IF(IF(ISNA(計算結果!Q551),"",計算結果!Q551)=0,"",IF(ISNA(計算結果!Q551),"",計算結果!Q551))</f>
        <v/>
      </c>
      <c r="R551" s="14" t="str">
        <f t="shared" si="24"/>
        <v/>
      </c>
      <c r="S551" s="14" t="str">
        <f t="shared" si="25"/>
        <v>◯</v>
      </c>
      <c r="T551" s="14" t="str">
        <f t="shared" si="26"/>
        <v/>
      </c>
    </row>
    <row r="552" spans="1:20" hidden="1" x14ac:dyDescent="0.45">
      <c r="A552" s="10" t="str">
        <f>IF(IF(ISNA(計算結果!A552),"",計算結果!A552)=0,"",IF(ISNA(計算結果!A552),"",計算結果!A552))</f>
        <v/>
      </c>
      <c r="B552" s="10" t="str">
        <f>IF(IF(ISNA(計算結果!B552),"",計算結果!B552)=0,"",IF(ISNA(計算結果!B552),"",計算結果!B552))</f>
        <v/>
      </c>
      <c r="C552" s="10" t="str">
        <f>IF(IF(ISNA(計算結果!C552),"",計算結果!C552)=0,"",IF(ISNA(計算結果!C552),"",計算結果!C552))</f>
        <v/>
      </c>
      <c r="D552" s="10" t="str">
        <f>IF(IF(ISNA(計算結果!D552),"",計算結果!D552)=0,"",IF(ISNA(計算結果!D552),"",計算結果!D552))</f>
        <v>L</v>
      </c>
      <c r="E552" s="10" t="str">
        <f>IF(IF(ISNA(計算結果!E552),"",計算結果!E552)=0,"",IF(ISNA(計算結果!E552),"",計算結果!E552))</f>
        <v/>
      </c>
      <c r="F552" s="10" t="str">
        <f>IF(IF(ISNA(計算結果!F552),"",計算結果!F552)=0,"",IF(ISNA(計算結果!F552),"",計算結果!F552))</f>
        <v/>
      </c>
      <c r="G552" s="10" t="str">
        <f>IF(IF(ISNA(計算結果!G552),"",計算結果!G552)=0,"",IF(ISNA(計算結果!G552),"",計算結果!G552))</f>
        <v/>
      </c>
      <c r="H552" s="13">
        <f>IF(IF(ISNA(計算結果!H552),"",計算結果!H552)=0,"",IF(ISNA(計算結果!H552),"",計算結果!H552))</f>
        <v>-2</v>
      </c>
      <c r="I552" s="12" t="str">
        <f>IF(IF(ISNA(計算結果!I552),"",計算結果!I552)=0,"",IF(ISNA(計算結果!I552),"",計算結果!I552))</f>
        <v/>
      </c>
      <c r="J552" s="12" t="str">
        <f>IF(IF(ISNA(計算結果!J552),"",計算結果!J552)=0,"",IF(ISNA(計算結果!J552),"",計算結果!J552))</f>
        <v/>
      </c>
      <c r="K552" s="23" t="str">
        <f>IF(IF(ISNA(計算結果!K552),"",計算結果!K552)=0,"",IF(ISNA(計算結果!K552),"",計算結果!K552))</f>
        <v/>
      </c>
      <c r="L552" s="13" t="str">
        <f>IF(IF(ISNA(計算結果!L552),"",計算結果!L552)=0,"",IF(ISNA(計算結果!L552),"",計算結果!L552))</f>
        <v/>
      </c>
      <c r="M552" s="10" t="str">
        <f>IF(IF(ISNA(計算結果!M552),"",計算結果!M552)=0,"",IF(ISNA(計算結果!M552),"",計算結果!M552))</f>
        <v/>
      </c>
      <c r="N552" s="10" t="str">
        <f>IF(IF(ISNA(計算結果!N552),"",計算結果!N552)=0,"",IF(ISNA(計算結果!N552),"",計算結果!N552))</f>
        <v/>
      </c>
      <c r="O552" s="13" t="str">
        <f>IF(IF(ISNA(計算結果!O552),"",計算結果!O552)=0,"",IF(ISNA(計算結果!O552),"",計算結果!O552))</f>
        <v/>
      </c>
      <c r="P552" s="10" t="str">
        <f>IF(IF(ISNA(計算結果!P552),"",計算結果!P552)=0,"",IF(ISNA(計算結果!P552),"",計算結果!P552))</f>
        <v/>
      </c>
      <c r="Q552" s="10" t="str">
        <f>IF(IF(ISNA(計算結果!Q552),"",計算結果!Q552)=0,"",IF(ISNA(計算結果!Q552),"",計算結果!Q552))</f>
        <v/>
      </c>
      <c r="R552" s="14" t="str">
        <f t="shared" si="24"/>
        <v/>
      </c>
      <c r="S552" s="14" t="str">
        <f t="shared" si="25"/>
        <v>◯</v>
      </c>
      <c r="T552" s="14" t="str">
        <f t="shared" si="26"/>
        <v/>
      </c>
    </row>
    <row r="553" spans="1:20" hidden="1" x14ac:dyDescent="0.45">
      <c r="A553" s="10" t="str">
        <f>IF(IF(ISNA(計算結果!A553),"",計算結果!A553)=0,"",IF(ISNA(計算結果!A553),"",計算結果!A553))</f>
        <v/>
      </c>
      <c r="B553" s="10" t="str">
        <f>IF(IF(ISNA(計算結果!B553),"",計算結果!B553)=0,"",IF(ISNA(計算結果!B553),"",計算結果!B553))</f>
        <v/>
      </c>
      <c r="C553" s="10" t="str">
        <f>IF(IF(ISNA(計算結果!C553),"",計算結果!C553)=0,"",IF(ISNA(計算結果!C553),"",計算結果!C553))</f>
        <v/>
      </c>
      <c r="D553" s="10" t="str">
        <f>IF(IF(ISNA(計算結果!D553),"",計算結果!D553)=0,"",IF(ISNA(計算結果!D553),"",計算結果!D553))</f>
        <v>L</v>
      </c>
      <c r="E553" s="10" t="str">
        <f>IF(IF(ISNA(計算結果!E553),"",計算結果!E553)=0,"",IF(ISNA(計算結果!E553),"",計算結果!E553))</f>
        <v/>
      </c>
      <c r="F553" s="10" t="str">
        <f>IF(IF(ISNA(計算結果!F553),"",計算結果!F553)=0,"",IF(ISNA(計算結果!F553),"",計算結果!F553))</f>
        <v/>
      </c>
      <c r="G553" s="10" t="str">
        <f>IF(IF(ISNA(計算結果!G553),"",計算結果!G553)=0,"",IF(ISNA(計算結果!G553),"",計算結果!G553))</f>
        <v/>
      </c>
      <c r="H553" s="13">
        <f>IF(IF(ISNA(計算結果!H553),"",計算結果!H553)=0,"",IF(ISNA(計算結果!H553),"",計算結果!H553))</f>
        <v>-2</v>
      </c>
      <c r="I553" s="12" t="str">
        <f>IF(IF(ISNA(計算結果!I553),"",計算結果!I553)=0,"",IF(ISNA(計算結果!I553),"",計算結果!I553))</f>
        <v/>
      </c>
      <c r="J553" s="12" t="str">
        <f>IF(IF(ISNA(計算結果!J553),"",計算結果!J553)=0,"",IF(ISNA(計算結果!J553),"",計算結果!J553))</f>
        <v/>
      </c>
      <c r="K553" s="23" t="str">
        <f>IF(IF(ISNA(計算結果!K553),"",計算結果!K553)=0,"",IF(ISNA(計算結果!K553),"",計算結果!K553))</f>
        <v/>
      </c>
      <c r="L553" s="13" t="str">
        <f>IF(IF(ISNA(計算結果!L553),"",計算結果!L553)=0,"",IF(ISNA(計算結果!L553),"",計算結果!L553))</f>
        <v/>
      </c>
      <c r="M553" s="10" t="str">
        <f>IF(IF(ISNA(計算結果!M553),"",計算結果!M553)=0,"",IF(ISNA(計算結果!M553),"",計算結果!M553))</f>
        <v/>
      </c>
      <c r="N553" s="10" t="str">
        <f>IF(IF(ISNA(計算結果!N553),"",計算結果!N553)=0,"",IF(ISNA(計算結果!N553),"",計算結果!N553))</f>
        <v/>
      </c>
      <c r="O553" s="13" t="str">
        <f>IF(IF(ISNA(計算結果!O553),"",計算結果!O553)=0,"",IF(ISNA(計算結果!O553),"",計算結果!O553))</f>
        <v/>
      </c>
      <c r="P553" s="10" t="str">
        <f>IF(IF(ISNA(計算結果!P553),"",計算結果!P553)=0,"",IF(ISNA(計算結果!P553),"",計算結果!P553))</f>
        <v/>
      </c>
      <c r="Q553" s="10" t="str">
        <f>IF(IF(ISNA(計算結果!Q553),"",計算結果!Q553)=0,"",IF(ISNA(計算結果!Q553),"",計算結果!Q553))</f>
        <v/>
      </c>
      <c r="R553" s="14" t="str">
        <f t="shared" si="24"/>
        <v/>
      </c>
      <c r="S553" s="14" t="str">
        <f t="shared" si="25"/>
        <v>◯</v>
      </c>
      <c r="T553" s="14" t="str">
        <f t="shared" si="26"/>
        <v/>
      </c>
    </row>
    <row r="554" spans="1:20" hidden="1" x14ac:dyDescent="0.45">
      <c r="A554" s="10" t="str">
        <f>IF(IF(ISNA(計算結果!A554),"",計算結果!A554)=0,"",IF(ISNA(計算結果!A554),"",計算結果!A554))</f>
        <v/>
      </c>
      <c r="B554" s="10" t="str">
        <f>IF(IF(ISNA(計算結果!B554),"",計算結果!B554)=0,"",IF(ISNA(計算結果!B554),"",計算結果!B554))</f>
        <v/>
      </c>
      <c r="C554" s="10" t="str">
        <f>IF(IF(ISNA(計算結果!C554),"",計算結果!C554)=0,"",IF(ISNA(計算結果!C554),"",計算結果!C554))</f>
        <v/>
      </c>
      <c r="D554" s="10" t="str">
        <f>IF(IF(ISNA(計算結果!D554),"",計算結果!D554)=0,"",IF(ISNA(計算結果!D554),"",計算結果!D554))</f>
        <v>L</v>
      </c>
      <c r="E554" s="10" t="str">
        <f>IF(IF(ISNA(計算結果!E554),"",計算結果!E554)=0,"",IF(ISNA(計算結果!E554),"",計算結果!E554))</f>
        <v/>
      </c>
      <c r="F554" s="10" t="str">
        <f>IF(IF(ISNA(計算結果!F554),"",計算結果!F554)=0,"",IF(ISNA(計算結果!F554),"",計算結果!F554))</f>
        <v/>
      </c>
      <c r="G554" s="10" t="str">
        <f>IF(IF(ISNA(計算結果!G554),"",計算結果!G554)=0,"",IF(ISNA(計算結果!G554),"",計算結果!G554))</f>
        <v/>
      </c>
      <c r="H554" s="13">
        <f>IF(IF(ISNA(計算結果!H554),"",計算結果!H554)=0,"",IF(ISNA(計算結果!H554),"",計算結果!H554))</f>
        <v>-2</v>
      </c>
      <c r="I554" s="12" t="str">
        <f>IF(IF(ISNA(計算結果!I554),"",計算結果!I554)=0,"",IF(ISNA(計算結果!I554),"",計算結果!I554))</f>
        <v/>
      </c>
      <c r="J554" s="12" t="str">
        <f>IF(IF(ISNA(計算結果!J554),"",計算結果!J554)=0,"",IF(ISNA(計算結果!J554),"",計算結果!J554))</f>
        <v/>
      </c>
      <c r="K554" s="23" t="str">
        <f>IF(IF(ISNA(計算結果!K554),"",計算結果!K554)=0,"",IF(ISNA(計算結果!K554),"",計算結果!K554))</f>
        <v/>
      </c>
      <c r="L554" s="13" t="str">
        <f>IF(IF(ISNA(計算結果!L554),"",計算結果!L554)=0,"",IF(ISNA(計算結果!L554),"",計算結果!L554))</f>
        <v/>
      </c>
      <c r="M554" s="10" t="str">
        <f>IF(IF(ISNA(計算結果!M554),"",計算結果!M554)=0,"",IF(ISNA(計算結果!M554),"",計算結果!M554))</f>
        <v/>
      </c>
      <c r="N554" s="10" t="str">
        <f>IF(IF(ISNA(計算結果!N554),"",計算結果!N554)=0,"",IF(ISNA(計算結果!N554),"",計算結果!N554))</f>
        <v/>
      </c>
      <c r="O554" s="13" t="str">
        <f>IF(IF(ISNA(計算結果!O554),"",計算結果!O554)=0,"",IF(ISNA(計算結果!O554),"",計算結果!O554))</f>
        <v/>
      </c>
      <c r="P554" s="10" t="str">
        <f>IF(IF(ISNA(計算結果!P554),"",計算結果!P554)=0,"",IF(ISNA(計算結果!P554),"",計算結果!P554))</f>
        <v/>
      </c>
      <c r="Q554" s="10" t="str">
        <f>IF(IF(ISNA(計算結果!Q554),"",計算結果!Q554)=0,"",IF(ISNA(計算結果!Q554),"",計算結果!Q554))</f>
        <v/>
      </c>
      <c r="R554" s="14" t="str">
        <f t="shared" si="24"/>
        <v/>
      </c>
      <c r="S554" s="14" t="str">
        <f t="shared" si="25"/>
        <v>◯</v>
      </c>
      <c r="T554" s="14" t="str">
        <f t="shared" si="26"/>
        <v/>
      </c>
    </row>
    <row r="555" spans="1:20" hidden="1" x14ac:dyDescent="0.45">
      <c r="A555" s="10" t="str">
        <f>IF(IF(ISNA(計算結果!A555),"",計算結果!A555)=0,"",IF(ISNA(計算結果!A555),"",計算結果!A555))</f>
        <v/>
      </c>
      <c r="B555" s="10" t="str">
        <f>IF(IF(ISNA(計算結果!B555),"",計算結果!B555)=0,"",IF(ISNA(計算結果!B555),"",計算結果!B555))</f>
        <v/>
      </c>
      <c r="C555" s="10" t="str">
        <f>IF(IF(ISNA(計算結果!C555),"",計算結果!C555)=0,"",IF(ISNA(計算結果!C555),"",計算結果!C555))</f>
        <v/>
      </c>
      <c r="D555" s="10" t="str">
        <f>IF(IF(ISNA(計算結果!D555),"",計算結果!D555)=0,"",IF(ISNA(計算結果!D555),"",計算結果!D555))</f>
        <v>L</v>
      </c>
      <c r="E555" s="10" t="str">
        <f>IF(IF(ISNA(計算結果!E555),"",計算結果!E555)=0,"",IF(ISNA(計算結果!E555),"",計算結果!E555))</f>
        <v/>
      </c>
      <c r="F555" s="10" t="str">
        <f>IF(IF(ISNA(計算結果!F555),"",計算結果!F555)=0,"",IF(ISNA(計算結果!F555),"",計算結果!F555))</f>
        <v/>
      </c>
      <c r="G555" s="10" t="str">
        <f>IF(IF(ISNA(計算結果!G555),"",計算結果!G555)=0,"",IF(ISNA(計算結果!G555),"",計算結果!G555))</f>
        <v/>
      </c>
      <c r="H555" s="13">
        <f>IF(IF(ISNA(計算結果!H555),"",計算結果!H555)=0,"",IF(ISNA(計算結果!H555),"",計算結果!H555))</f>
        <v>-2</v>
      </c>
      <c r="I555" s="12" t="str">
        <f>IF(IF(ISNA(計算結果!I555),"",計算結果!I555)=0,"",IF(ISNA(計算結果!I555),"",計算結果!I555))</f>
        <v/>
      </c>
      <c r="J555" s="12" t="str">
        <f>IF(IF(ISNA(計算結果!J555),"",計算結果!J555)=0,"",IF(ISNA(計算結果!J555),"",計算結果!J555))</f>
        <v/>
      </c>
      <c r="K555" s="23" t="str">
        <f>IF(IF(ISNA(計算結果!K555),"",計算結果!K555)=0,"",IF(ISNA(計算結果!K555),"",計算結果!K555))</f>
        <v/>
      </c>
      <c r="L555" s="13" t="str">
        <f>IF(IF(ISNA(計算結果!L555),"",計算結果!L555)=0,"",IF(ISNA(計算結果!L555),"",計算結果!L555))</f>
        <v/>
      </c>
      <c r="M555" s="10" t="str">
        <f>IF(IF(ISNA(計算結果!M555),"",計算結果!M555)=0,"",IF(ISNA(計算結果!M555),"",計算結果!M555))</f>
        <v/>
      </c>
      <c r="N555" s="10" t="str">
        <f>IF(IF(ISNA(計算結果!N555),"",計算結果!N555)=0,"",IF(ISNA(計算結果!N555),"",計算結果!N555))</f>
        <v/>
      </c>
      <c r="O555" s="13" t="str">
        <f>IF(IF(ISNA(計算結果!O555),"",計算結果!O555)=0,"",IF(ISNA(計算結果!O555),"",計算結果!O555))</f>
        <v/>
      </c>
      <c r="P555" s="10" t="str">
        <f>IF(IF(ISNA(計算結果!P555),"",計算結果!P555)=0,"",IF(ISNA(計算結果!P555),"",計算結果!P555))</f>
        <v/>
      </c>
      <c r="Q555" s="10" t="str">
        <f>IF(IF(ISNA(計算結果!Q555),"",計算結果!Q555)=0,"",IF(ISNA(計算結果!Q555),"",計算結果!Q555))</f>
        <v/>
      </c>
      <c r="R555" s="14" t="str">
        <f t="shared" si="24"/>
        <v/>
      </c>
      <c r="S555" s="14" t="str">
        <f t="shared" si="25"/>
        <v>◯</v>
      </c>
      <c r="T555" s="14" t="str">
        <f t="shared" si="26"/>
        <v/>
      </c>
    </row>
    <row r="556" spans="1:20" hidden="1" x14ac:dyDescent="0.45">
      <c r="A556" s="10" t="str">
        <f>IF(IF(ISNA(計算結果!A556),"",計算結果!A556)=0,"",IF(ISNA(計算結果!A556),"",計算結果!A556))</f>
        <v/>
      </c>
      <c r="B556" s="10" t="str">
        <f>IF(IF(ISNA(計算結果!B556),"",計算結果!B556)=0,"",IF(ISNA(計算結果!B556),"",計算結果!B556))</f>
        <v/>
      </c>
      <c r="C556" s="10" t="str">
        <f>IF(IF(ISNA(計算結果!C556),"",計算結果!C556)=0,"",IF(ISNA(計算結果!C556),"",計算結果!C556))</f>
        <v/>
      </c>
      <c r="D556" s="10" t="str">
        <f>IF(IF(ISNA(計算結果!D556),"",計算結果!D556)=0,"",IF(ISNA(計算結果!D556),"",計算結果!D556))</f>
        <v>L</v>
      </c>
      <c r="E556" s="10" t="str">
        <f>IF(IF(ISNA(計算結果!E556),"",計算結果!E556)=0,"",IF(ISNA(計算結果!E556),"",計算結果!E556))</f>
        <v/>
      </c>
      <c r="F556" s="10" t="str">
        <f>IF(IF(ISNA(計算結果!F556),"",計算結果!F556)=0,"",IF(ISNA(計算結果!F556),"",計算結果!F556))</f>
        <v/>
      </c>
      <c r="G556" s="10" t="str">
        <f>IF(IF(ISNA(計算結果!G556),"",計算結果!G556)=0,"",IF(ISNA(計算結果!G556),"",計算結果!G556))</f>
        <v/>
      </c>
      <c r="H556" s="13">
        <f>IF(IF(ISNA(計算結果!H556),"",計算結果!H556)=0,"",IF(ISNA(計算結果!H556),"",計算結果!H556))</f>
        <v>-2</v>
      </c>
      <c r="I556" s="12" t="str">
        <f>IF(IF(ISNA(計算結果!I556),"",計算結果!I556)=0,"",IF(ISNA(計算結果!I556),"",計算結果!I556))</f>
        <v/>
      </c>
      <c r="J556" s="12" t="str">
        <f>IF(IF(ISNA(計算結果!J556),"",計算結果!J556)=0,"",IF(ISNA(計算結果!J556),"",計算結果!J556))</f>
        <v/>
      </c>
      <c r="K556" s="23" t="str">
        <f>IF(IF(ISNA(計算結果!K556),"",計算結果!K556)=0,"",IF(ISNA(計算結果!K556),"",計算結果!K556))</f>
        <v/>
      </c>
      <c r="L556" s="13" t="str">
        <f>IF(IF(ISNA(計算結果!L556),"",計算結果!L556)=0,"",IF(ISNA(計算結果!L556),"",計算結果!L556))</f>
        <v/>
      </c>
      <c r="M556" s="10" t="str">
        <f>IF(IF(ISNA(計算結果!M556),"",計算結果!M556)=0,"",IF(ISNA(計算結果!M556),"",計算結果!M556))</f>
        <v/>
      </c>
      <c r="N556" s="10" t="str">
        <f>IF(IF(ISNA(計算結果!N556),"",計算結果!N556)=0,"",IF(ISNA(計算結果!N556),"",計算結果!N556))</f>
        <v/>
      </c>
      <c r="O556" s="13" t="str">
        <f>IF(IF(ISNA(計算結果!O556),"",計算結果!O556)=0,"",IF(ISNA(計算結果!O556),"",計算結果!O556))</f>
        <v/>
      </c>
      <c r="P556" s="10" t="str">
        <f>IF(IF(ISNA(計算結果!P556),"",計算結果!P556)=0,"",IF(ISNA(計算結果!P556),"",計算結果!P556))</f>
        <v/>
      </c>
      <c r="Q556" s="10" t="str">
        <f>IF(IF(ISNA(計算結果!Q556),"",計算結果!Q556)=0,"",IF(ISNA(計算結果!Q556),"",計算結果!Q556))</f>
        <v/>
      </c>
      <c r="R556" s="14" t="str">
        <f t="shared" si="24"/>
        <v/>
      </c>
      <c r="S556" s="14" t="str">
        <f t="shared" si="25"/>
        <v>◯</v>
      </c>
      <c r="T556" s="14" t="str">
        <f t="shared" si="26"/>
        <v/>
      </c>
    </row>
    <row r="557" spans="1:20" hidden="1" x14ac:dyDescent="0.45">
      <c r="A557" s="10" t="str">
        <f>IF(IF(ISNA(計算結果!A557),"",計算結果!A557)=0,"",IF(ISNA(計算結果!A557),"",計算結果!A557))</f>
        <v/>
      </c>
      <c r="B557" s="10" t="str">
        <f>IF(IF(ISNA(計算結果!B557),"",計算結果!B557)=0,"",IF(ISNA(計算結果!B557),"",計算結果!B557))</f>
        <v/>
      </c>
      <c r="C557" s="10" t="str">
        <f>IF(IF(ISNA(計算結果!C557),"",計算結果!C557)=0,"",IF(ISNA(計算結果!C557),"",計算結果!C557))</f>
        <v/>
      </c>
      <c r="D557" s="10" t="str">
        <f>IF(IF(ISNA(計算結果!D557),"",計算結果!D557)=0,"",IF(ISNA(計算結果!D557),"",計算結果!D557))</f>
        <v>L</v>
      </c>
      <c r="E557" s="10" t="str">
        <f>IF(IF(ISNA(計算結果!E557),"",計算結果!E557)=0,"",IF(ISNA(計算結果!E557),"",計算結果!E557))</f>
        <v/>
      </c>
      <c r="F557" s="10" t="str">
        <f>IF(IF(ISNA(計算結果!F557),"",計算結果!F557)=0,"",IF(ISNA(計算結果!F557),"",計算結果!F557))</f>
        <v/>
      </c>
      <c r="G557" s="10" t="str">
        <f>IF(IF(ISNA(計算結果!G557),"",計算結果!G557)=0,"",IF(ISNA(計算結果!G557),"",計算結果!G557))</f>
        <v/>
      </c>
      <c r="H557" s="13">
        <f>IF(IF(ISNA(計算結果!H557),"",計算結果!H557)=0,"",IF(ISNA(計算結果!H557),"",計算結果!H557))</f>
        <v>-2</v>
      </c>
      <c r="I557" s="12" t="str">
        <f>IF(IF(ISNA(計算結果!I557),"",計算結果!I557)=0,"",IF(ISNA(計算結果!I557),"",計算結果!I557))</f>
        <v/>
      </c>
      <c r="J557" s="12" t="str">
        <f>IF(IF(ISNA(計算結果!J557),"",計算結果!J557)=0,"",IF(ISNA(計算結果!J557),"",計算結果!J557))</f>
        <v/>
      </c>
      <c r="K557" s="23" t="str">
        <f>IF(IF(ISNA(計算結果!K557),"",計算結果!K557)=0,"",IF(ISNA(計算結果!K557),"",計算結果!K557))</f>
        <v/>
      </c>
      <c r="L557" s="13" t="str">
        <f>IF(IF(ISNA(計算結果!L557),"",計算結果!L557)=0,"",IF(ISNA(計算結果!L557),"",計算結果!L557))</f>
        <v/>
      </c>
      <c r="M557" s="10" t="str">
        <f>IF(IF(ISNA(計算結果!M557),"",計算結果!M557)=0,"",IF(ISNA(計算結果!M557),"",計算結果!M557))</f>
        <v/>
      </c>
      <c r="N557" s="10" t="str">
        <f>IF(IF(ISNA(計算結果!N557),"",計算結果!N557)=0,"",IF(ISNA(計算結果!N557),"",計算結果!N557))</f>
        <v/>
      </c>
      <c r="O557" s="13" t="str">
        <f>IF(IF(ISNA(計算結果!O557),"",計算結果!O557)=0,"",IF(ISNA(計算結果!O557),"",計算結果!O557))</f>
        <v/>
      </c>
      <c r="P557" s="10" t="str">
        <f>IF(IF(ISNA(計算結果!P557),"",計算結果!P557)=0,"",IF(ISNA(計算結果!P557),"",計算結果!P557))</f>
        <v/>
      </c>
      <c r="Q557" s="10" t="str">
        <f>IF(IF(ISNA(計算結果!Q557),"",計算結果!Q557)=0,"",IF(ISNA(計算結果!Q557),"",計算結果!Q557))</f>
        <v/>
      </c>
      <c r="R557" s="14" t="str">
        <f t="shared" si="24"/>
        <v/>
      </c>
      <c r="S557" s="14" t="str">
        <f t="shared" si="25"/>
        <v>◯</v>
      </c>
      <c r="T557" s="14" t="str">
        <f t="shared" si="26"/>
        <v/>
      </c>
    </row>
    <row r="558" spans="1:20" hidden="1" x14ac:dyDescent="0.45">
      <c r="A558" s="10" t="str">
        <f>IF(IF(ISNA(計算結果!A558),"",計算結果!A558)=0,"",IF(ISNA(計算結果!A558),"",計算結果!A558))</f>
        <v/>
      </c>
      <c r="B558" s="10" t="str">
        <f>IF(IF(ISNA(計算結果!B558),"",計算結果!B558)=0,"",IF(ISNA(計算結果!B558),"",計算結果!B558))</f>
        <v/>
      </c>
      <c r="C558" s="10" t="str">
        <f>IF(IF(ISNA(計算結果!C558),"",計算結果!C558)=0,"",IF(ISNA(計算結果!C558),"",計算結果!C558))</f>
        <v/>
      </c>
      <c r="D558" s="10" t="str">
        <f>IF(IF(ISNA(計算結果!D558),"",計算結果!D558)=0,"",IF(ISNA(計算結果!D558),"",計算結果!D558))</f>
        <v>L</v>
      </c>
      <c r="E558" s="10" t="str">
        <f>IF(IF(ISNA(計算結果!E558),"",計算結果!E558)=0,"",IF(ISNA(計算結果!E558),"",計算結果!E558))</f>
        <v/>
      </c>
      <c r="F558" s="10" t="str">
        <f>IF(IF(ISNA(計算結果!F558),"",計算結果!F558)=0,"",IF(ISNA(計算結果!F558),"",計算結果!F558))</f>
        <v/>
      </c>
      <c r="G558" s="10" t="str">
        <f>IF(IF(ISNA(計算結果!G558),"",計算結果!G558)=0,"",IF(ISNA(計算結果!G558),"",計算結果!G558))</f>
        <v/>
      </c>
      <c r="H558" s="13">
        <f>IF(IF(ISNA(計算結果!H558),"",計算結果!H558)=0,"",IF(ISNA(計算結果!H558),"",計算結果!H558))</f>
        <v>-2</v>
      </c>
      <c r="I558" s="12" t="str">
        <f>IF(IF(ISNA(計算結果!I558),"",計算結果!I558)=0,"",IF(ISNA(計算結果!I558),"",計算結果!I558))</f>
        <v/>
      </c>
      <c r="J558" s="12" t="str">
        <f>IF(IF(ISNA(計算結果!J558),"",計算結果!J558)=0,"",IF(ISNA(計算結果!J558),"",計算結果!J558))</f>
        <v/>
      </c>
      <c r="K558" s="23" t="str">
        <f>IF(IF(ISNA(計算結果!K558),"",計算結果!K558)=0,"",IF(ISNA(計算結果!K558),"",計算結果!K558))</f>
        <v/>
      </c>
      <c r="L558" s="13" t="str">
        <f>IF(IF(ISNA(計算結果!L558),"",計算結果!L558)=0,"",IF(ISNA(計算結果!L558),"",計算結果!L558))</f>
        <v/>
      </c>
      <c r="M558" s="10" t="str">
        <f>IF(IF(ISNA(計算結果!M558),"",計算結果!M558)=0,"",IF(ISNA(計算結果!M558),"",計算結果!M558))</f>
        <v/>
      </c>
      <c r="N558" s="10" t="str">
        <f>IF(IF(ISNA(計算結果!N558),"",計算結果!N558)=0,"",IF(ISNA(計算結果!N558),"",計算結果!N558))</f>
        <v/>
      </c>
      <c r="O558" s="13" t="str">
        <f>IF(IF(ISNA(計算結果!O558),"",計算結果!O558)=0,"",IF(ISNA(計算結果!O558),"",計算結果!O558))</f>
        <v/>
      </c>
      <c r="P558" s="10" t="str">
        <f>IF(IF(ISNA(計算結果!P558),"",計算結果!P558)=0,"",IF(ISNA(計算結果!P558),"",計算結果!P558))</f>
        <v/>
      </c>
      <c r="Q558" s="10" t="str">
        <f>IF(IF(ISNA(計算結果!Q558),"",計算結果!Q558)=0,"",IF(ISNA(計算結果!Q558),"",計算結果!Q558))</f>
        <v/>
      </c>
      <c r="R558" s="14" t="str">
        <f t="shared" si="24"/>
        <v/>
      </c>
      <c r="S558" s="14" t="str">
        <f t="shared" si="25"/>
        <v>◯</v>
      </c>
      <c r="T558" s="14" t="str">
        <f t="shared" si="26"/>
        <v/>
      </c>
    </row>
    <row r="559" spans="1:20" hidden="1" x14ac:dyDescent="0.45">
      <c r="A559" s="10" t="str">
        <f>IF(IF(ISNA(計算結果!A559),"",計算結果!A559)=0,"",IF(ISNA(計算結果!A559),"",計算結果!A559))</f>
        <v/>
      </c>
      <c r="B559" s="10" t="str">
        <f>IF(IF(ISNA(計算結果!B559),"",計算結果!B559)=0,"",IF(ISNA(計算結果!B559),"",計算結果!B559))</f>
        <v/>
      </c>
      <c r="C559" s="10" t="str">
        <f>IF(IF(ISNA(計算結果!C559),"",計算結果!C559)=0,"",IF(ISNA(計算結果!C559),"",計算結果!C559))</f>
        <v/>
      </c>
      <c r="D559" s="10" t="str">
        <f>IF(IF(ISNA(計算結果!D559),"",計算結果!D559)=0,"",IF(ISNA(計算結果!D559),"",計算結果!D559))</f>
        <v>L</v>
      </c>
      <c r="E559" s="10" t="str">
        <f>IF(IF(ISNA(計算結果!E559),"",計算結果!E559)=0,"",IF(ISNA(計算結果!E559),"",計算結果!E559))</f>
        <v/>
      </c>
      <c r="F559" s="10" t="str">
        <f>IF(IF(ISNA(計算結果!F559),"",計算結果!F559)=0,"",IF(ISNA(計算結果!F559),"",計算結果!F559))</f>
        <v/>
      </c>
      <c r="G559" s="10" t="str">
        <f>IF(IF(ISNA(計算結果!G559),"",計算結果!G559)=0,"",IF(ISNA(計算結果!G559),"",計算結果!G559))</f>
        <v/>
      </c>
      <c r="H559" s="13">
        <f>IF(IF(ISNA(計算結果!H559),"",計算結果!H559)=0,"",IF(ISNA(計算結果!H559),"",計算結果!H559))</f>
        <v>-2</v>
      </c>
      <c r="I559" s="12" t="str">
        <f>IF(IF(ISNA(計算結果!I559),"",計算結果!I559)=0,"",IF(ISNA(計算結果!I559),"",計算結果!I559))</f>
        <v/>
      </c>
      <c r="J559" s="12" t="str">
        <f>IF(IF(ISNA(計算結果!J559),"",計算結果!J559)=0,"",IF(ISNA(計算結果!J559),"",計算結果!J559))</f>
        <v/>
      </c>
      <c r="K559" s="23" t="str">
        <f>IF(IF(ISNA(計算結果!K559),"",計算結果!K559)=0,"",IF(ISNA(計算結果!K559),"",計算結果!K559))</f>
        <v/>
      </c>
      <c r="L559" s="13" t="str">
        <f>IF(IF(ISNA(計算結果!L559),"",計算結果!L559)=0,"",IF(ISNA(計算結果!L559),"",計算結果!L559))</f>
        <v/>
      </c>
      <c r="M559" s="10" t="str">
        <f>IF(IF(ISNA(計算結果!M559),"",計算結果!M559)=0,"",IF(ISNA(計算結果!M559),"",計算結果!M559))</f>
        <v/>
      </c>
      <c r="N559" s="10" t="str">
        <f>IF(IF(ISNA(計算結果!N559),"",計算結果!N559)=0,"",IF(ISNA(計算結果!N559),"",計算結果!N559))</f>
        <v/>
      </c>
      <c r="O559" s="13" t="str">
        <f>IF(IF(ISNA(計算結果!O559),"",計算結果!O559)=0,"",IF(ISNA(計算結果!O559),"",計算結果!O559))</f>
        <v/>
      </c>
      <c r="P559" s="10" t="str">
        <f>IF(IF(ISNA(計算結果!P559),"",計算結果!P559)=0,"",IF(ISNA(計算結果!P559),"",計算結果!P559))</f>
        <v/>
      </c>
      <c r="Q559" s="10" t="str">
        <f>IF(IF(ISNA(計算結果!Q559),"",計算結果!Q559)=0,"",IF(ISNA(計算結果!Q559),"",計算結果!Q559))</f>
        <v/>
      </c>
      <c r="R559" s="14" t="str">
        <f t="shared" si="24"/>
        <v/>
      </c>
      <c r="S559" s="14" t="str">
        <f t="shared" si="25"/>
        <v>◯</v>
      </c>
      <c r="T559" s="14" t="str">
        <f t="shared" si="26"/>
        <v/>
      </c>
    </row>
    <row r="560" spans="1:20" hidden="1" x14ac:dyDescent="0.45">
      <c r="A560" s="10" t="str">
        <f>IF(IF(ISNA(計算結果!A560),"",計算結果!A560)=0,"",IF(ISNA(計算結果!A560),"",計算結果!A560))</f>
        <v/>
      </c>
      <c r="B560" s="10" t="str">
        <f>IF(IF(ISNA(計算結果!B560),"",計算結果!B560)=0,"",IF(ISNA(計算結果!B560),"",計算結果!B560))</f>
        <v/>
      </c>
      <c r="C560" s="10" t="str">
        <f>IF(IF(ISNA(計算結果!C560),"",計算結果!C560)=0,"",IF(ISNA(計算結果!C560),"",計算結果!C560))</f>
        <v/>
      </c>
      <c r="D560" s="10" t="str">
        <f>IF(IF(ISNA(計算結果!D560),"",計算結果!D560)=0,"",IF(ISNA(計算結果!D560),"",計算結果!D560))</f>
        <v>L</v>
      </c>
      <c r="E560" s="10" t="str">
        <f>IF(IF(ISNA(計算結果!E560),"",計算結果!E560)=0,"",IF(ISNA(計算結果!E560),"",計算結果!E560))</f>
        <v/>
      </c>
      <c r="F560" s="10" t="str">
        <f>IF(IF(ISNA(計算結果!F560),"",計算結果!F560)=0,"",IF(ISNA(計算結果!F560),"",計算結果!F560))</f>
        <v/>
      </c>
      <c r="G560" s="10" t="str">
        <f>IF(IF(ISNA(計算結果!G560),"",計算結果!G560)=0,"",IF(ISNA(計算結果!G560),"",計算結果!G560))</f>
        <v/>
      </c>
      <c r="H560" s="13">
        <f>IF(IF(ISNA(計算結果!H560),"",計算結果!H560)=0,"",IF(ISNA(計算結果!H560),"",計算結果!H560))</f>
        <v>-2</v>
      </c>
      <c r="I560" s="12" t="str">
        <f>IF(IF(ISNA(計算結果!I560),"",計算結果!I560)=0,"",IF(ISNA(計算結果!I560),"",計算結果!I560))</f>
        <v/>
      </c>
      <c r="J560" s="12" t="str">
        <f>IF(IF(ISNA(計算結果!J560),"",計算結果!J560)=0,"",IF(ISNA(計算結果!J560),"",計算結果!J560))</f>
        <v/>
      </c>
      <c r="K560" s="23" t="str">
        <f>IF(IF(ISNA(計算結果!K560),"",計算結果!K560)=0,"",IF(ISNA(計算結果!K560),"",計算結果!K560))</f>
        <v/>
      </c>
      <c r="L560" s="13" t="str">
        <f>IF(IF(ISNA(計算結果!L560),"",計算結果!L560)=0,"",IF(ISNA(計算結果!L560),"",計算結果!L560))</f>
        <v/>
      </c>
      <c r="M560" s="10" t="str">
        <f>IF(IF(ISNA(計算結果!M560),"",計算結果!M560)=0,"",IF(ISNA(計算結果!M560),"",計算結果!M560))</f>
        <v/>
      </c>
      <c r="N560" s="10" t="str">
        <f>IF(IF(ISNA(計算結果!N560),"",計算結果!N560)=0,"",IF(ISNA(計算結果!N560),"",計算結果!N560))</f>
        <v/>
      </c>
      <c r="O560" s="13" t="str">
        <f>IF(IF(ISNA(計算結果!O560),"",計算結果!O560)=0,"",IF(ISNA(計算結果!O560),"",計算結果!O560))</f>
        <v/>
      </c>
      <c r="P560" s="10" t="str">
        <f>IF(IF(ISNA(計算結果!P560),"",計算結果!P560)=0,"",IF(ISNA(計算結果!P560),"",計算結果!P560))</f>
        <v/>
      </c>
      <c r="Q560" s="10" t="str">
        <f>IF(IF(ISNA(計算結果!Q560),"",計算結果!Q560)=0,"",IF(ISNA(計算結果!Q560),"",計算結果!Q560))</f>
        <v/>
      </c>
      <c r="R560" s="14" t="str">
        <f t="shared" si="24"/>
        <v/>
      </c>
      <c r="S560" s="14" t="str">
        <f t="shared" si="25"/>
        <v>◯</v>
      </c>
      <c r="T560" s="14" t="str">
        <f t="shared" si="26"/>
        <v/>
      </c>
    </row>
    <row r="561" spans="1:20" hidden="1" x14ac:dyDescent="0.45">
      <c r="A561" s="10" t="str">
        <f>IF(IF(ISNA(計算結果!A561),"",計算結果!A561)=0,"",IF(ISNA(計算結果!A561),"",計算結果!A561))</f>
        <v/>
      </c>
      <c r="B561" s="10" t="str">
        <f>IF(IF(ISNA(計算結果!B561),"",計算結果!B561)=0,"",IF(ISNA(計算結果!B561),"",計算結果!B561))</f>
        <v/>
      </c>
      <c r="C561" s="10" t="str">
        <f>IF(IF(ISNA(計算結果!C561),"",計算結果!C561)=0,"",IF(ISNA(計算結果!C561),"",計算結果!C561))</f>
        <v/>
      </c>
      <c r="D561" s="10" t="str">
        <f>IF(IF(ISNA(計算結果!D561),"",計算結果!D561)=0,"",IF(ISNA(計算結果!D561),"",計算結果!D561))</f>
        <v>L</v>
      </c>
      <c r="E561" s="10" t="str">
        <f>IF(IF(ISNA(計算結果!E561),"",計算結果!E561)=0,"",IF(ISNA(計算結果!E561),"",計算結果!E561))</f>
        <v/>
      </c>
      <c r="F561" s="10" t="str">
        <f>IF(IF(ISNA(計算結果!F561),"",計算結果!F561)=0,"",IF(ISNA(計算結果!F561),"",計算結果!F561))</f>
        <v/>
      </c>
      <c r="G561" s="10" t="str">
        <f>IF(IF(ISNA(計算結果!G561),"",計算結果!G561)=0,"",IF(ISNA(計算結果!G561),"",計算結果!G561))</f>
        <v/>
      </c>
      <c r="H561" s="13">
        <f>IF(IF(ISNA(計算結果!H561),"",計算結果!H561)=0,"",IF(ISNA(計算結果!H561),"",計算結果!H561))</f>
        <v>-2</v>
      </c>
      <c r="I561" s="12" t="str">
        <f>IF(IF(ISNA(計算結果!I561),"",計算結果!I561)=0,"",IF(ISNA(計算結果!I561),"",計算結果!I561))</f>
        <v/>
      </c>
      <c r="J561" s="12" t="str">
        <f>IF(IF(ISNA(計算結果!J561),"",計算結果!J561)=0,"",IF(ISNA(計算結果!J561),"",計算結果!J561))</f>
        <v/>
      </c>
      <c r="K561" s="23" t="str">
        <f>IF(IF(ISNA(計算結果!K561),"",計算結果!K561)=0,"",IF(ISNA(計算結果!K561),"",計算結果!K561))</f>
        <v/>
      </c>
      <c r="L561" s="13" t="str">
        <f>IF(IF(ISNA(計算結果!L561),"",計算結果!L561)=0,"",IF(ISNA(計算結果!L561),"",計算結果!L561))</f>
        <v/>
      </c>
      <c r="M561" s="10" t="str">
        <f>IF(IF(ISNA(計算結果!M561),"",計算結果!M561)=0,"",IF(ISNA(計算結果!M561),"",計算結果!M561))</f>
        <v/>
      </c>
      <c r="N561" s="10" t="str">
        <f>IF(IF(ISNA(計算結果!N561),"",計算結果!N561)=0,"",IF(ISNA(計算結果!N561),"",計算結果!N561))</f>
        <v/>
      </c>
      <c r="O561" s="13" t="str">
        <f>IF(IF(ISNA(計算結果!O561),"",計算結果!O561)=0,"",IF(ISNA(計算結果!O561),"",計算結果!O561))</f>
        <v/>
      </c>
      <c r="P561" s="10" t="str">
        <f>IF(IF(ISNA(計算結果!P561),"",計算結果!P561)=0,"",IF(ISNA(計算結果!P561),"",計算結果!P561))</f>
        <v/>
      </c>
      <c r="Q561" s="10" t="str">
        <f>IF(IF(ISNA(計算結果!Q561),"",計算結果!Q561)=0,"",IF(ISNA(計算結果!Q561),"",計算結果!Q561))</f>
        <v/>
      </c>
      <c r="R561" s="14" t="str">
        <f t="shared" si="24"/>
        <v/>
      </c>
      <c r="S561" s="14" t="str">
        <f t="shared" si="25"/>
        <v>◯</v>
      </c>
      <c r="T561" s="14" t="str">
        <f t="shared" si="26"/>
        <v/>
      </c>
    </row>
    <row r="562" spans="1:20" hidden="1" x14ac:dyDescent="0.45">
      <c r="A562" s="10" t="str">
        <f>IF(IF(ISNA(計算結果!A562),"",計算結果!A562)=0,"",IF(ISNA(計算結果!A562),"",計算結果!A562))</f>
        <v/>
      </c>
      <c r="B562" s="10" t="str">
        <f>IF(IF(ISNA(計算結果!B562),"",計算結果!B562)=0,"",IF(ISNA(計算結果!B562),"",計算結果!B562))</f>
        <v/>
      </c>
      <c r="C562" s="10" t="str">
        <f>IF(IF(ISNA(計算結果!C562),"",計算結果!C562)=0,"",IF(ISNA(計算結果!C562),"",計算結果!C562))</f>
        <v/>
      </c>
      <c r="D562" s="10" t="str">
        <f>IF(IF(ISNA(計算結果!D562),"",計算結果!D562)=0,"",IF(ISNA(計算結果!D562),"",計算結果!D562))</f>
        <v>L</v>
      </c>
      <c r="E562" s="10" t="str">
        <f>IF(IF(ISNA(計算結果!E562),"",計算結果!E562)=0,"",IF(ISNA(計算結果!E562),"",計算結果!E562))</f>
        <v/>
      </c>
      <c r="F562" s="10" t="str">
        <f>IF(IF(ISNA(計算結果!F562),"",計算結果!F562)=0,"",IF(ISNA(計算結果!F562),"",計算結果!F562))</f>
        <v/>
      </c>
      <c r="G562" s="10" t="str">
        <f>IF(IF(ISNA(計算結果!G562),"",計算結果!G562)=0,"",IF(ISNA(計算結果!G562),"",計算結果!G562))</f>
        <v/>
      </c>
      <c r="H562" s="13">
        <f>IF(IF(ISNA(計算結果!H562),"",計算結果!H562)=0,"",IF(ISNA(計算結果!H562),"",計算結果!H562))</f>
        <v>-2</v>
      </c>
      <c r="I562" s="12" t="str">
        <f>IF(IF(ISNA(計算結果!I562),"",計算結果!I562)=0,"",IF(ISNA(計算結果!I562),"",計算結果!I562))</f>
        <v/>
      </c>
      <c r="J562" s="12" t="str">
        <f>IF(IF(ISNA(計算結果!J562),"",計算結果!J562)=0,"",IF(ISNA(計算結果!J562),"",計算結果!J562))</f>
        <v/>
      </c>
      <c r="K562" s="23" t="str">
        <f>IF(IF(ISNA(計算結果!K562),"",計算結果!K562)=0,"",IF(ISNA(計算結果!K562),"",計算結果!K562))</f>
        <v/>
      </c>
      <c r="L562" s="13" t="str">
        <f>IF(IF(ISNA(計算結果!L562),"",計算結果!L562)=0,"",IF(ISNA(計算結果!L562),"",計算結果!L562))</f>
        <v/>
      </c>
      <c r="M562" s="10" t="str">
        <f>IF(IF(ISNA(計算結果!M562),"",計算結果!M562)=0,"",IF(ISNA(計算結果!M562),"",計算結果!M562))</f>
        <v/>
      </c>
      <c r="N562" s="10" t="str">
        <f>IF(IF(ISNA(計算結果!N562),"",計算結果!N562)=0,"",IF(ISNA(計算結果!N562),"",計算結果!N562))</f>
        <v/>
      </c>
      <c r="O562" s="13" t="str">
        <f>IF(IF(ISNA(計算結果!O562),"",計算結果!O562)=0,"",IF(ISNA(計算結果!O562),"",計算結果!O562))</f>
        <v/>
      </c>
      <c r="P562" s="10" t="str">
        <f>IF(IF(ISNA(計算結果!P562),"",計算結果!P562)=0,"",IF(ISNA(計算結果!P562),"",計算結果!P562))</f>
        <v/>
      </c>
      <c r="Q562" s="10" t="str">
        <f>IF(IF(ISNA(計算結果!Q562),"",計算結果!Q562)=0,"",IF(ISNA(計算結果!Q562),"",計算結果!Q562))</f>
        <v/>
      </c>
      <c r="R562" s="14" t="str">
        <f t="shared" si="24"/>
        <v/>
      </c>
      <c r="S562" s="14" t="str">
        <f t="shared" si="25"/>
        <v>◯</v>
      </c>
      <c r="T562" s="14" t="str">
        <f t="shared" si="26"/>
        <v/>
      </c>
    </row>
    <row r="563" spans="1:20" hidden="1" x14ac:dyDescent="0.45">
      <c r="A563" s="10" t="str">
        <f>IF(IF(ISNA(計算結果!A563),"",計算結果!A563)=0,"",IF(ISNA(計算結果!A563),"",計算結果!A563))</f>
        <v/>
      </c>
      <c r="B563" s="10" t="str">
        <f>IF(IF(ISNA(計算結果!B563),"",計算結果!B563)=0,"",IF(ISNA(計算結果!B563),"",計算結果!B563))</f>
        <v/>
      </c>
      <c r="C563" s="10" t="str">
        <f>IF(IF(ISNA(計算結果!C563),"",計算結果!C563)=0,"",IF(ISNA(計算結果!C563),"",計算結果!C563))</f>
        <v/>
      </c>
      <c r="D563" s="10" t="str">
        <f>IF(IF(ISNA(計算結果!D563),"",計算結果!D563)=0,"",IF(ISNA(計算結果!D563),"",計算結果!D563))</f>
        <v>L</v>
      </c>
      <c r="E563" s="10" t="str">
        <f>IF(IF(ISNA(計算結果!E563),"",計算結果!E563)=0,"",IF(ISNA(計算結果!E563),"",計算結果!E563))</f>
        <v/>
      </c>
      <c r="F563" s="10" t="str">
        <f>IF(IF(ISNA(計算結果!F563),"",計算結果!F563)=0,"",IF(ISNA(計算結果!F563),"",計算結果!F563))</f>
        <v/>
      </c>
      <c r="G563" s="10" t="str">
        <f>IF(IF(ISNA(計算結果!G563),"",計算結果!G563)=0,"",IF(ISNA(計算結果!G563),"",計算結果!G563))</f>
        <v/>
      </c>
      <c r="H563" s="13">
        <f>IF(IF(ISNA(計算結果!H563),"",計算結果!H563)=0,"",IF(ISNA(計算結果!H563),"",計算結果!H563))</f>
        <v>-2</v>
      </c>
      <c r="I563" s="12" t="str">
        <f>IF(IF(ISNA(計算結果!I563),"",計算結果!I563)=0,"",IF(ISNA(計算結果!I563),"",計算結果!I563))</f>
        <v/>
      </c>
      <c r="J563" s="12" t="str">
        <f>IF(IF(ISNA(計算結果!J563),"",計算結果!J563)=0,"",IF(ISNA(計算結果!J563),"",計算結果!J563))</f>
        <v/>
      </c>
      <c r="K563" s="23" t="str">
        <f>IF(IF(ISNA(計算結果!K563),"",計算結果!K563)=0,"",IF(ISNA(計算結果!K563),"",計算結果!K563))</f>
        <v/>
      </c>
      <c r="L563" s="13" t="str">
        <f>IF(IF(ISNA(計算結果!L563),"",計算結果!L563)=0,"",IF(ISNA(計算結果!L563),"",計算結果!L563))</f>
        <v/>
      </c>
      <c r="M563" s="10" t="str">
        <f>IF(IF(ISNA(計算結果!M563),"",計算結果!M563)=0,"",IF(ISNA(計算結果!M563),"",計算結果!M563))</f>
        <v/>
      </c>
      <c r="N563" s="10" t="str">
        <f>IF(IF(ISNA(計算結果!N563),"",計算結果!N563)=0,"",IF(ISNA(計算結果!N563),"",計算結果!N563))</f>
        <v/>
      </c>
      <c r="O563" s="13" t="str">
        <f>IF(IF(ISNA(計算結果!O563),"",計算結果!O563)=0,"",IF(ISNA(計算結果!O563),"",計算結果!O563))</f>
        <v/>
      </c>
      <c r="P563" s="10" t="str">
        <f>IF(IF(ISNA(計算結果!P563),"",計算結果!P563)=0,"",IF(ISNA(計算結果!P563),"",計算結果!P563))</f>
        <v/>
      </c>
      <c r="Q563" s="10" t="str">
        <f>IF(IF(ISNA(計算結果!Q563),"",計算結果!Q563)=0,"",IF(ISNA(計算結果!Q563),"",計算結果!Q563))</f>
        <v/>
      </c>
      <c r="R563" s="14" t="str">
        <f t="shared" si="24"/>
        <v/>
      </c>
      <c r="S563" s="14" t="str">
        <f t="shared" si="25"/>
        <v>◯</v>
      </c>
      <c r="T563" s="14" t="str">
        <f t="shared" si="26"/>
        <v/>
      </c>
    </row>
    <row r="564" spans="1:20" hidden="1" x14ac:dyDescent="0.45">
      <c r="A564" s="10" t="str">
        <f>IF(IF(ISNA(計算結果!A564),"",計算結果!A564)=0,"",IF(ISNA(計算結果!A564),"",計算結果!A564))</f>
        <v/>
      </c>
      <c r="B564" s="10" t="str">
        <f>IF(IF(ISNA(計算結果!B564),"",計算結果!B564)=0,"",IF(ISNA(計算結果!B564),"",計算結果!B564))</f>
        <v/>
      </c>
      <c r="C564" s="10" t="str">
        <f>IF(IF(ISNA(計算結果!C564),"",計算結果!C564)=0,"",IF(ISNA(計算結果!C564),"",計算結果!C564))</f>
        <v/>
      </c>
      <c r="D564" s="10" t="str">
        <f>IF(IF(ISNA(計算結果!D564),"",計算結果!D564)=0,"",IF(ISNA(計算結果!D564),"",計算結果!D564))</f>
        <v>L</v>
      </c>
      <c r="E564" s="10" t="str">
        <f>IF(IF(ISNA(計算結果!E564),"",計算結果!E564)=0,"",IF(ISNA(計算結果!E564),"",計算結果!E564))</f>
        <v/>
      </c>
      <c r="F564" s="10" t="str">
        <f>IF(IF(ISNA(計算結果!F564),"",計算結果!F564)=0,"",IF(ISNA(計算結果!F564),"",計算結果!F564))</f>
        <v/>
      </c>
      <c r="G564" s="10" t="str">
        <f>IF(IF(ISNA(計算結果!G564),"",計算結果!G564)=0,"",IF(ISNA(計算結果!G564),"",計算結果!G564))</f>
        <v/>
      </c>
      <c r="H564" s="13">
        <f>IF(IF(ISNA(計算結果!H564),"",計算結果!H564)=0,"",IF(ISNA(計算結果!H564),"",計算結果!H564))</f>
        <v>-2</v>
      </c>
      <c r="I564" s="12" t="str">
        <f>IF(IF(ISNA(計算結果!I564),"",計算結果!I564)=0,"",IF(ISNA(計算結果!I564),"",計算結果!I564))</f>
        <v/>
      </c>
      <c r="J564" s="12" t="str">
        <f>IF(IF(ISNA(計算結果!J564),"",計算結果!J564)=0,"",IF(ISNA(計算結果!J564),"",計算結果!J564))</f>
        <v/>
      </c>
      <c r="K564" s="23" t="str">
        <f>IF(IF(ISNA(計算結果!K564),"",計算結果!K564)=0,"",IF(ISNA(計算結果!K564),"",計算結果!K564))</f>
        <v/>
      </c>
      <c r="L564" s="13" t="str">
        <f>IF(IF(ISNA(計算結果!L564),"",計算結果!L564)=0,"",IF(ISNA(計算結果!L564),"",計算結果!L564))</f>
        <v/>
      </c>
      <c r="M564" s="10" t="str">
        <f>IF(IF(ISNA(計算結果!M564),"",計算結果!M564)=0,"",IF(ISNA(計算結果!M564),"",計算結果!M564))</f>
        <v/>
      </c>
      <c r="N564" s="10" t="str">
        <f>IF(IF(ISNA(計算結果!N564),"",計算結果!N564)=0,"",IF(ISNA(計算結果!N564),"",計算結果!N564))</f>
        <v/>
      </c>
      <c r="O564" s="13" t="str">
        <f>IF(IF(ISNA(計算結果!O564),"",計算結果!O564)=0,"",IF(ISNA(計算結果!O564),"",計算結果!O564))</f>
        <v/>
      </c>
      <c r="P564" s="10" t="str">
        <f>IF(IF(ISNA(計算結果!P564),"",計算結果!P564)=0,"",IF(ISNA(計算結果!P564),"",計算結果!P564))</f>
        <v/>
      </c>
      <c r="Q564" s="10" t="str">
        <f>IF(IF(ISNA(計算結果!Q564),"",計算結果!Q564)=0,"",IF(ISNA(計算結果!Q564),"",計算結果!Q564))</f>
        <v/>
      </c>
      <c r="R564" s="14" t="str">
        <f t="shared" si="24"/>
        <v/>
      </c>
      <c r="S564" s="14" t="str">
        <f t="shared" si="25"/>
        <v>◯</v>
      </c>
      <c r="T564" s="14" t="str">
        <f t="shared" si="26"/>
        <v/>
      </c>
    </row>
    <row r="565" spans="1:20" hidden="1" x14ac:dyDescent="0.45">
      <c r="A565" s="10" t="str">
        <f>IF(IF(ISNA(計算結果!A565),"",計算結果!A565)=0,"",IF(ISNA(計算結果!A565),"",計算結果!A565))</f>
        <v/>
      </c>
      <c r="B565" s="10" t="str">
        <f>IF(IF(ISNA(計算結果!B565),"",計算結果!B565)=0,"",IF(ISNA(計算結果!B565),"",計算結果!B565))</f>
        <v/>
      </c>
      <c r="C565" s="10" t="str">
        <f>IF(IF(ISNA(計算結果!C565),"",計算結果!C565)=0,"",IF(ISNA(計算結果!C565),"",計算結果!C565))</f>
        <v/>
      </c>
      <c r="D565" s="10" t="str">
        <f>IF(IF(ISNA(計算結果!D565),"",計算結果!D565)=0,"",IF(ISNA(計算結果!D565),"",計算結果!D565))</f>
        <v>L</v>
      </c>
      <c r="E565" s="10" t="str">
        <f>IF(IF(ISNA(計算結果!E565),"",計算結果!E565)=0,"",IF(ISNA(計算結果!E565),"",計算結果!E565))</f>
        <v/>
      </c>
      <c r="F565" s="10" t="str">
        <f>IF(IF(ISNA(計算結果!F565),"",計算結果!F565)=0,"",IF(ISNA(計算結果!F565),"",計算結果!F565))</f>
        <v/>
      </c>
      <c r="G565" s="10" t="str">
        <f>IF(IF(ISNA(計算結果!G565),"",計算結果!G565)=0,"",IF(ISNA(計算結果!G565),"",計算結果!G565))</f>
        <v/>
      </c>
      <c r="H565" s="13">
        <f>IF(IF(ISNA(計算結果!H565),"",計算結果!H565)=0,"",IF(ISNA(計算結果!H565),"",計算結果!H565))</f>
        <v>-2</v>
      </c>
      <c r="I565" s="12" t="str">
        <f>IF(IF(ISNA(計算結果!I565),"",計算結果!I565)=0,"",IF(ISNA(計算結果!I565),"",計算結果!I565))</f>
        <v/>
      </c>
      <c r="J565" s="12" t="str">
        <f>IF(IF(ISNA(計算結果!J565),"",計算結果!J565)=0,"",IF(ISNA(計算結果!J565),"",計算結果!J565))</f>
        <v/>
      </c>
      <c r="K565" s="23" t="str">
        <f>IF(IF(ISNA(計算結果!K565),"",計算結果!K565)=0,"",IF(ISNA(計算結果!K565),"",計算結果!K565))</f>
        <v/>
      </c>
      <c r="L565" s="13" t="str">
        <f>IF(IF(ISNA(計算結果!L565),"",計算結果!L565)=0,"",IF(ISNA(計算結果!L565),"",計算結果!L565))</f>
        <v/>
      </c>
      <c r="M565" s="10" t="str">
        <f>IF(IF(ISNA(計算結果!M565),"",計算結果!M565)=0,"",IF(ISNA(計算結果!M565),"",計算結果!M565))</f>
        <v/>
      </c>
      <c r="N565" s="10" t="str">
        <f>IF(IF(ISNA(計算結果!N565),"",計算結果!N565)=0,"",IF(ISNA(計算結果!N565),"",計算結果!N565))</f>
        <v/>
      </c>
      <c r="O565" s="13" t="str">
        <f>IF(IF(ISNA(計算結果!O565),"",計算結果!O565)=0,"",IF(ISNA(計算結果!O565),"",計算結果!O565))</f>
        <v/>
      </c>
      <c r="P565" s="10" t="str">
        <f>IF(IF(ISNA(計算結果!P565),"",計算結果!P565)=0,"",IF(ISNA(計算結果!P565),"",計算結果!P565))</f>
        <v/>
      </c>
      <c r="Q565" s="10" t="str">
        <f>IF(IF(ISNA(計算結果!Q565),"",計算結果!Q565)=0,"",IF(ISNA(計算結果!Q565),"",計算結果!Q565))</f>
        <v/>
      </c>
      <c r="R565" s="14" t="str">
        <f t="shared" si="24"/>
        <v/>
      </c>
      <c r="S565" s="14" t="str">
        <f t="shared" si="25"/>
        <v>◯</v>
      </c>
      <c r="T565" s="14" t="str">
        <f t="shared" si="26"/>
        <v/>
      </c>
    </row>
    <row r="566" spans="1:20" hidden="1" x14ac:dyDescent="0.45">
      <c r="A566" s="10" t="str">
        <f>IF(IF(ISNA(計算結果!A566),"",計算結果!A566)=0,"",IF(ISNA(計算結果!A566),"",計算結果!A566))</f>
        <v/>
      </c>
      <c r="B566" s="10" t="str">
        <f>IF(IF(ISNA(計算結果!B566),"",計算結果!B566)=0,"",IF(ISNA(計算結果!B566),"",計算結果!B566))</f>
        <v/>
      </c>
      <c r="C566" s="10" t="str">
        <f>IF(IF(ISNA(計算結果!C566),"",計算結果!C566)=0,"",IF(ISNA(計算結果!C566),"",計算結果!C566))</f>
        <v/>
      </c>
      <c r="D566" s="10" t="str">
        <f>IF(IF(ISNA(計算結果!D566),"",計算結果!D566)=0,"",IF(ISNA(計算結果!D566),"",計算結果!D566))</f>
        <v>L</v>
      </c>
      <c r="E566" s="10" t="str">
        <f>IF(IF(ISNA(計算結果!E566),"",計算結果!E566)=0,"",IF(ISNA(計算結果!E566),"",計算結果!E566))</f>
        <v/>
      </c>
      <c r="F566" s="10" t="str">
        <f>IF(IF(ISNA(計算結果!F566),"",計算結果!F566)=0,"",IF(ISNA(計算結果!F566),"",計算結果!F566))</f>
        <v/>
      </c>
      <c r="G566" s="10" t="str">
        <f>IF(IF(ISNA(計算結果!G566),"",計算結果!G566)=0,"",IF(ISNA(計算結果!G566),"",計算結果!G566))</f>
        <v/>
      </c>
      <c r="H566" s="13">
        <f>IF(IF(ISNA(計算結果!H566),"",計算結果!H566)=0,"",IF(ISNA(計算結果!H566),"",計算結果!H566))</f>
        <v>-2</v>
      </c>
      <c r="I566" s="12" t="str">
        <f>IF(IF(ISNA(計算結果!I566),"",計算結果!I566)=0,"",IF(ISNA(計算結果!I566),"",計算結果!I566))</f>
        <v/>
      </c>
      <c r="J566" s="12" t="str">
        <f>IF(IF(ISNA(計算結果!J566),"",計算結果!J566)=0,"",IF(ISNA(計算結果!J566),"",計算結果!J566))</f>
        <v/>
      </c>
      <c r="K566" s="23" t="str">
        <f>IF(IF(ISNA(計算結果!K566),"",計算結果!K566)=0,"",IF(ISNA(計算結果!K566),"",計算結果!K566))</f>
        <v/>
      </c>
      <c r="L566" s="13" t="str">
        <f>IF(IF(ISNA(計算結果!L566),"",計算結果!L566)=0,"",IF(ISNA(計算結果!L566),"",計算結果!L566))</f>
        <v/>
      </c>
      <c r="M566" s="10" t="str">
        <f>IF(IF(ISNA(計算結果!M566),"",計算結果!M566)=0,"",IF(ISNA(計算結果!M566),"",計算結果!M566))</f>
        <v/>
      </c>
      <c r="N566" s="10" t="str">
        <f>IF(IF(ISNA(計算結果!N566),"",計算結果!N566)=0,"",IF(ISNA(計算結果!N566),"",計算結果!N566))</f>
        <v/>
      </c>
      <c r="O566" s="13" t="str">
        <f>IF(IF(ISNA(計算結果!O566),"",計算結果!O566)=0,"",IF(ISNA(計算結果!O566),"",計算結果!O566))</f>
        <v/>
      </c>
      <c r="P566" s="10" t="str">
        <f>IF(IF(ISNA(計算結果!P566),"",計算結果!P566)=0,"",IF(ISNA(計算結果!P566),"",計算結果!P566))</f>
        <v/>
      </c>
      <c r="Q566" s="10" t="str">
        <f>IF(IF(ISNA(計算結果!Q566),"",計算結果!Q566)=0,"",IF(ISNA(計算結果!Q566),"",計算結果!Q566))</f>
        <v/>
      </c>
      <c r="R566" s="14" t="str">
        <f t="shared" si="24"/>
        <v/>
      </c>
      <c r="S566" s="14" t="str">
        <f t="shared" si="25"/>
        <v>◯</v>
      </c>
      <c r="T566" s="14" t="str">
        <f t="shared" si="26"/>
        <v/>
      </c>
    </row>
    <row r="567" spans="1:20" hidden="1" x14ac:dyDescent="0.45">
      <c r="A567" s="10" t="str">
        <f>IF(IF(ISNA(計算結果!A567),"",計算結果!A567)=0,"",IF(ISNA(計算結果!A567),"",計算結果!A567))</f>
        <v/>
      </c>
      <c r="B567" s="10" t="str">
        <f>IF(IF(ISNA(計算結果!B567),"",計算結果!B567)=0,"",IF(ISNA(計算結果!B567),"",計算結果!B567))</f>
        <v/>
      </c>
      <c r="C567" s="10" t="str">
        <f>IF(IF(ISNA(計算結果!C567),"",計算結果!C567)=0,"",IF(ISNA(計算結果!C567),"",計算結果!C567))</f>
        <v/>
      </c>
      <c r="D567" s="10" t="str">
        <f>IF(IF(ISNA(計算結果!D567),"",計算結果!D567)=0,"",IF(ISNA(計算結果!D567),"",計算結果!D567))</f>
        <v>L</v>
      </c>
      <c r="E567" s="10" t="str">
        <f>IF(IF(ISNA(計算結果!E567),"",計算結果!E567)=0,"",IF(ISNA(計算結果!E567),"",計算結果!E567))</f>
        <v/>
      </c>
      <c r="F567" s="10" t="str">
        <f>IF(IF(ISNA(計算結果!F567),"",計算結果!F567)=0,"",IF(ISNA(計算結果!F567),"",計算結果!F567))</f>
        <v/>
      </c>
      <c r="G567" s="10" t="str">
        <f>IF(IF(ISNA(計算結果!G567),"",計算結果!G567)=0,"",IF(ISNA(計算結果!G567),"",計算結果!G567))</f>
        <v/>
      </c>
      <c r="H567" s="13">
        <f>IF(IF(ISNA(計算結果!H567),"",計算結果!H567)=0,"",IF(ISNA(計算結果!H567),"",計算結果!H567))</f>
        <v>-2</v>
      </c>
      <c r="I567" s="12" t="str">
        <f>IF(IF(ISNA(計算結果!I567),"",計算結果!I567)=0,"",IF(ISNA(計算結果!I567),"",計算結果!I567))</f>
        <v/>
      </c>
      <c r="J567" s="12" t="str">
        <f>IF(IF(ISNA(計算結果!J567),"",計算結果!J567)=0,"",IF(ISNA(計算結果!J567),"",計算結果!J567))</f>
        <v/>
      </c>
      <c r="K567" s="23" t="str">
        <f>IF(IF(ISNA(計算結果!K567),"",計算結果!K567)=0,"",IF(ISNA(計算結果!K567),"",計算結果!K567))</f>
        <v/>
      </c>
      <c r="L567" s="13" t="str">
        <f>IF(IF(ISNA(計算結果!L567),"",計算結果!L567)=0,"",IF(ISNA(計算結果!L567),"",計算結果!L567))</f>
        <v/>
      </c>
      <c r="M567" s="10" t="str">
        <f>IF(IF(ISNA(計算結果!M567),"",計算結果!M567)=0,"",IF(ISNA(計算結果!M567),"",計算結果!M567))</f>
        <v/>
      </c>
      <c r="N567" s="10" t="str">
        <f>IF(IF(ISNA(計算結果!N567),"",計算結果!N567)=0,"",IF(ISNA(計算結果!N567),"",計算結果!N567))</f>
        <v/>
      </c>
      <c r="O567" s="13" t="str">
        <f>IF(IF(ISNA(計算結果!O567),"",計算結果!O567)=0,"",IF(ISNA(計算結果!O567),"",計算結果!O567))</f>
        <v/>
      </c>
      <c r="P567" s="10" t="str">
        <f>IF(IF(ISNA(計算結果!P567),"",計算結果!P567)=0,"",IF(ISNA(計算結果!P567),"",計算結果!P567))</f>
        <v/>
      </c>
      <c r="Q567" s="10" t="str">
        <f>IF(IF(ISNA(計算結果!Q567),"",計算結果!Q567)=0,"",IF(ISNA(計算結果!Q567),"",計算結果!Q567))</f>
        <v/>
      </c>
      <c r="R567" s="14" t="str">
        <f t="shared" si="24"/>
        <v/>
      </c>
      <c r="S567" s="14" t="str">
        <f t="shared" si="25"/>
        <v>◯</v>
      </c>
      <c r="T567" s="14" t="str">
        <f t="shared" si="26"/>
        <v/>
      </c>
    </row>
    <row r="568" spans="1:20" hidden="1" x14ac:dyDescent="0.45">
      <c r="A568" s="10" t="str">
        <f>IF(IF(ISNA(計算結果!A568),"",計算結果!A568)=0,"",IF(ISNA(計算結果!A568),"",計算結果!A568))</f>
        <v/>
      </c>
      <c r="B568" s="10" t="str">
        <f>IF(IF(ISNA(計算結果!B568),"",計算結果!B568)=0,"",IF(ISNA(計算結果!B568),"",計算結果!B568))</f>
        <v/>
      </c>
      <c r="C568" s="10" t="str">
        <f>IF(IF(ISNA(計算結果!C568),"",計算結果!C568)=0,"",IF(ISNA(計算結果!C568),"",計算結果!C568))</f>
        <v/>
      </c>
      <c r="D568" s="10" t="str">
        <f>IF(IF(ISNA(計算結果!D568),"",計算結果!D568)=0,"",IF(ISNA(計算結果!D568),"",計算結果!D568))</f>
        <v>L</v>
      </c>
      <c r="E568" s="10" t="str">
        <f>IF(IF(ISNA(計算結果!E568),"",計算結果!E568)=0,"",IF(ISNA(計算結果!E568),"",計算結果!E568))</f>
        <v/>
      </c>
      <c r="F568" s="10" t="str">
        <f>IF(IF(ISNA(計算結果!F568),"",計算結果!F568)=0,"",IF(ISNA(計算結果!F568),"",計算結果!F568))</f>
        <v/>
      </c>
      <c r="G568" s="10" t="str">
        <f>IF(IF(ISNA(計算結果!G568),"",計算結果!G568)=0,"",IF(ISNA(計算結果!G568),"",計算結果!G568))</f>
        <v/>
      </c>
      <c r="H568" s="13">
        <f>IF(IF(ISNA(計算結果!H568),"",計算結果!H568)=0,"",IF(ISNA(計算結果!H568),"",計算結果!H568))</f>
        <v>-2</v>
      </c>
      <c r="I568" s="12" t="str">
        <f>IF(IF(ISNA(計算結果!I568),"",計算結果!I568)=0,"",IF(ISNA(計算結果!I568),"",計算結果!I568))</f>
        <v/>
      </c>
      <c r="J568" s="12" t="str">
        <f>IF(IF(ISNA(計算結果!J568),"",計算結果!J568)=0,"",IF(ISNA(計算結果!J568),"",計算結果!J568))</f>
        <v/>
      </c>
      <c r="K568" s="23" t="str">
        <f>IF(IF(ISNA(計算結果!K568),"",計算結果!K568)=0,"",IF(ISNA(計算結果!K568),"",計算結果!K568))</f>
        <v/>
      </c>
      <c r="L568" s="13" t="str">
        <f>IF(IF(ISNA(計算結果!L568),"",計算結果!L568)=0,"",IF(ISNA(計算結果!L568),"",計算結果!L568))</f>
        <v/>
      </c>
      <c r="M568" s="10" t="str">
        <f>IF(IF(ISNA(計算結果!M568),"",計算結果!M568)=0,"",IF(ISNA(計算結果!M568),"",計算結果!M568))</f>
        <v/>
      </c>
      <c r="N568" s="10" t="str">
        <f>IF(IF(ISNA(計算結果!N568),"",計算結果!N568)=0,"",IF(ISNA(計算結果!N568),"",計算結果!N568))</f>
        <v/>
      </c>
      <c r="O568" s="13" t="str">
        <f>IF(IF(ISNA(計算結果!O568),"",計算結果!O568)=0,"",IF(ISNA(計算結果!O568),"",計算結果!O568))</f>
        <v/>
      </c>
      <c r="P568" s="10" t="str">
        <f>IF(IF(ISNA(計算結果!P568),"",計算結果!P568)=0,"",IF(ISNA(計算結果!P568),"",計算結果!P568))</f>
        <v/>
      </c>
      <c r="Q568" s="10" t="str">
        <f>IF(IF(ISNA(計算結果!Q568),"",計算結果!Q568)=0,"",IF(ISNA(計算結果!Q568),"",計算結果!Q568))</f>
        <v/>
      </c>
      <c r="R568" s="14" t="str">
        <f t="shared" si="24"/>
        <v/>
      </c>
      <c r="S568" s="14" t="str">
        <f t="shared" si="25"/>
        <v>◯</v>
      </c>
      <c r="T568" s="14" t="str">
        <f t="shared" si="26"/>
        <v/>
      </c>
    </row>
    <row r="569" spans="1:20" hidden="1" x14ac:dyDescent="0.45">
      <c r="A569" s="10" t="str">
        <f>IF(IF(ISNA(計算結果!A569),"",計算結果!A569)=0,"",IF(ISNA(計算結果!A569),"",計算結果!A569))</f>
        <v/>
      </c>
      <c r="B569" s="10" t="str">
        <f>IF(IF(ISNA(計算結果!B569),"",計算結果!B569)=0,"",IF(ISNA(計算結果!B569),"",計算結果!B569))</f>
        <v/>
      </c>
      <c r="C569" s="10" t="str">
        <f>IF(IF(ISNA(計算結果!C569),"",計算結果!C569)=0,"",IF(ISNA(計算結果!C569),"",計算結果!C569))</f>
        <v/>
      </c>
      <c r="D569" s="10" t="str">
        <f>IF(IF(ISNA(計算結果!D569),"",計算結果!D569)=0,"",IF(ISNA(計算結果!D569),"",計算結果!D569))</f>
        <v>L</v>
      </c>
      <c r="E569" s="10" t="str">
        <f>IF(IF(ISNA(計算結果!E569),"",計算結果!E569)=0,"",IF(ISNA(計算結果!E569),"",計算結果!E569))</f>
        <v/>
      </c>
      <c r="F569" s="10" t="str">
        <f>IF(IF(ISNA(計算結果!F569),"",計算結果!F569)=0,"",IF(ISNA(計算結果!F569),"",計算結果!F569))</f>
        <v/>
      </c>
      <c r="G569" s="10" t="str">
        <f>IF(IF(ISNA(計算結果!G569),"",計算結果!G569)=0,"",IF(ISNA(計算結果!G569),"",計算結果!G569))</f>
        <v/>
      </c>
      <c r="H569" s="13">
        <f>IF(IF(ISNA(計算結果!H569),"",計算結果!H569)=0,"",IF(ISNA(計算結果!H569),"",計算結果!H569))</f>
        <v>-2</v>
      </c>
      <c r="I569" s="12" t="str">
        <f>IF(IF(ISNA(計算結果!I569),"",計算結果!I569)=0,"",IF(ISNA(計算結果!I569),"",計算結果!I569))</f>
        <v/>
      </c>
      <c r="J569" s="12" t="str">
        <f>IF(IF(ISNA(計算結果!J569),"",計算結果!J569)=0,"",IF(ISNA(計算結果!J569),"",計算結果!J569))</f>
        <v/>
      </c>
      <c r="K569" s="23" t="str">
        <f>IF(IF(ISNA(計算結果!K569),"",計算結果!K569)=0,"",IF(ISNA(計算結果!K569),"",計算結果!K569))</f>
        <v/>
      </c>
      <c r="L569" s="13" t="str">
        <f>IF(IF(ISNA(計算結果!L569),"",計算結果!L569)=0,"",IF(ISNA(計算結果!L569),"",計算結果!L569))</f>
        <v/>
      </c>
      <c r="M569" s="10" t="str">
        <f>IF(IF(ISNA(計算結果!M569),"",計算結果!M569)=0,"",IF(ISNA(計算結果!M569),"",計算結果!M569))</f>
        <v/>
      </c>
      <c r="N569" s="10" t="str">
        <f>IF(IF(ISNA(計算結果!N569),"",計算結果!N569)=0,"",IF(ISNA(計算結果!N569),"",計算結果!N569))</f>
        <v/>
      </c>
      <c r="O569" s="13" t="str">
        <f>IF(IF(ISNA(計算結果!O569),"",計算結果!O569)=0,"",IF(ISNA(計算結果!O569),"",計算結果!O569))</f>
        <v/>
      </c>
      <c r="P569" s="10" t="str">
        <f>IF(IF(ISNA(計算結果!P569),"",計算結果!P569)=0,"",IF(ISNA(計算結果!P569),"",計算結果!P569))</f>
        <v/>
      </c>
      <c r="Q569" s="10" t="str">
        <f>IF(IF(ISNA(計算結果!Q569),"",計算結果!Q569)=0,"",IF(ISNA(計算結果!Q569),"",計算結果!Q569))</f>
        <v/>
      </c>
      <c r="R569" s="14" t="str">
        <f t="shared" si="24"/>
        <v/>
      </c>
      <c r="S569" s="14" t="str">
        <f t="shared" si="25"/>
        <v>◯</v>
      </c>
      <c r="T569" s="14" t="str">
        <f t="shared" si="26"/>
        <v/>
      </c>
    </row>
    <row r="570" spans="1:20" hidden="1" x14ac:dyDescent="0.45">
      <c r="A570" s="10" t="str">
        <f>IF(IF(ISNA(計算結果!A570),"",計算結果!A570)=0,"",IF(ISNA(計算結果!A570),"",計算結果!A570))</f>
        <v/>
      </c>
      <c r="B570" s="10" t="str">
        <f>IF(IF(ISNA(計算結果!B570),"",計算結果!B570)=0,"",IF(ISNA(計算結果!B570),"",計算結果!B570))</f>
        <v/>
      </c>
      <c r="C570" s="10" t="str">
        <f>IF(IF(ISNA(計算結果!C570),"",計算結果!C570)=0,"",IF(ISNA(計算結果!C570),"",計算結果!C570))</f>
        <v/>
      </c>
      <c r="D570" s="10" t="str">
        <f>IF(IF(ISNA(計算結果!D570),"",計算結果!D570)=0,"",IF(ISNA(計算結果!D570),"",計算結果!D570))</f>
        <v>L</v>
      </c>
      <c r="E570" s="10" t="str">
        <f>IF(IF(ISNA(計算結果!E570),"",計算結果!E570)=0,"",IF(ISNA(計算結果!E570),"",計算結果!E570))</f>
        <v/>
      </c>
      <c r="F570" s="10" t="str">
        <f>IF(IF(ISNA(計算結果!F570),"",計算結果!F570)=0,"",IF(ISNA(計算結果!F570),"",計算結果!F570))</f>
        <v/>
      </c>
      <c r="G570" s="10" t="str">
        <f>IF(IF(ISNA(計算結果!G570),"",計算結果!G570)=0,"",IF(ISNA(計算結果!G570),"",計算結果!G570))</f>
        <v/>
      </c>
      <c r="H570" s="13">
        <f>IF(IF(ISNA(計算結果!H570),"",計算結果!H570)=0,"",IF(ISNA(計算結果!H570),"",計算結果!H570))</f>
        <v>-2</v>
      </c>
      <c r="I570" s="12" t="str">
        <f>IF(IF(ISNA(計算結果!I570),"",計算結果!I570)=0,"",IF(ISNA(計算結果!I570),"",計算結果!I570))</f>
        <v/>
      </c>
      <c r="J570" s="12" t="str">
        <f>IF(IF(ISNA(計算結果!J570),"",計算結果!J570)=0,"",IF(ISNA(計算結果!J570),"",計算結果!J570))</f>
        <v/>
      </c>
      <c r="K570" s="23" t="str">
        <f>IF(IF(ISNA(計算結果!K570),"",計算結果!K570)=0,"",IF(ISNA(計算結果!K570),"",計算結果!K570))</f>
        <v/>
      </c>
      <c r="L570" s="13" t="str">
        <f>IF(IF(ISNA(計算結果!L570),"",計算結果!L570)=0,"",IF(ISNA(計算結果!L570),"",計算結果!L570))</f>
        <v/>
      </c>
      <c r="M570" s="10" t="str">
        <f>IF(IF(ISNA(計算結果!M570),"",計算結果!M570)=0,"",IF(ISNA(計算結果!M570),"",計算結果!M570))</f>
        <v/>
      </c>
      <c r="N570" s="10" t="str">
        <f>IF(IF(ISNA(計算結果!N570),"",計算結果!N570)=0,"",IF(ISNA(計算結果!N570),"",計算結果!N570))</f>
        <v/>
      </c>
      <c r="O570" s="13" t="str">
        <f>IF(IF(ISNA(計算結果!O570),"",計算結果!O570)=0,"",IF(ISNA(計算結果!O570),"",計算結果!O570))</f>
        <v/>
      </c>
      <c r="P570" s="10" t="str">
        <f>IF(IF(ISNA(計算結果!P570),"",計算結果!P570)=0,"",IF(ISNA(計算結果!P570),"",計算結果!P570))</f>
        <v/>
      </c>
      <c r="Q570" s="10" t="str">
        <f>IF(IF(ISNA(計算結果!Q570),"",計算結果!Q570)=0,"",IF(ISNA(計算結果!Q570),"",計算結果!Q570))</f>
        <v/>
      </c>
      <c r="R570" s="14" t="str">
        <f t="shared" si="24"/>
        <v/>
      </c>
      <c r="S570" s="14" t="str">
        <f t="shared" si="25"/>
        <v>◯</v>
      </c>
      <c r="T570" s="14" t="str">
        <f t="shared" si="26"/>
        <v/>
      </c>
    </row>
    <row r="571" spans="1:20" hidden="1" x14ac:dyDescent="0.45">
      <c r="A571" s="10" t="str">
        <f>IF(IF(ISNA(計算結果!A571),"",計算結果!A571)=0,"",IF(ISNA(計算結果!A571),"",計算結果!A571))</f>
        <v/>
      </c>
      <c r="B571" s="10" t="str">
        <f>IF(IF(ISNA(計算結果!B571),"",計算結果!B571)=0,"",IF(ISNA(計算結果!B571),"",計算結果!B571))</f>
        <v/>
      </c>
      <c r="C571" s="10" t="str">
        <f>IF(IF(ISNA(計算結果!C571),"",計算結果!C571)=0,"",IF(ISNA(計算結果!C571),"",計算結果!C571))</f>
        <v/>
      </c>
      <c r="D571" s="10" t="str">
        <f>IF(IF(ISNA(計算結果!D571),"",計算結果!D571)=0,"",IF(ISNA(計算結果!D571),"",計算結果!D571))</f>
        <v>L</v>
      </c>
      <c r="E571" s="10" t="str">
        <f>IF(IF(ISNA(計算結果!E571),"",計算結果!E571)=0,"",IF(ISNA(計算結果!E571),"",計算結果!E571))</f>
        <v/>
      </c>
      <c r="F571" s="10" t="str">
        <f>IF(IF(ISNA(計算結果!F571),"",計算結果!F571)=0,"",IF(ISNA(計算結果!F571),"",計算結果!F571))</f>
        <v/>
      </c>
      <c r="G571" s="10" t="str">
        <f>IF(IF(ISNA(計算結果!G571),"",計算結果!G571)=0,"",IF(ISNA(計算結果!G571),"",計算結果!G571))</f>
        <v/>
      </c>
      <c r="H571" s="13">
        <f>IF(IF(ISNA(計算結果!H571),"",計算結果!H571)=0,"",IF(ISNA(計算結果!H571),"",計算結果!H571))</f>
        <v>-2</v>
      </c>
      <c r="I571" s="12" t="str">
        <f>IF(IF(ISNA(計算結果!I571),"",計算結果!I571)=0,"",IF(ISNA(計算結果!I571),"",計算結果!I571))</f>
        <v/>
      </c>
      <c r="J571" s="12" t="str">
        <f>IF(IF(ISNA(計算結果!J571),"",計算結果!J571)=0,"",IF(ISNA(計算結果!J571),"",計算結果!J571))</f>
        <v/>
      </c>
      <c r="K571" s="23" t="str">
        <f>IF(IF(ISNA(計算結果!K571),"",計算結果!K571)=0,"",IF(ISNA(計算結果!K571),"",計算結果!K571))</f>
        <v/>
      </c>
      <c r="L571" s="13" t="str">
        <f>IF(IF(ISNA(計算結果!L571),"",計算結果!L571)=0,"",IF(ISNA(計算結果!L571),"",計算結果!L571))</f>
        <v/>
      </c>
      <c r="M571" s="10" t="str">
        <f>IF(IF(ISNA(計算結果!M571),"",計算結果!M571)=0,"",IF(ISNA(計算結果!M571),"",計算結果!M571))</f>
        <v/>
      </c>
      <c r="N571" s="10" t="str">
        <f>IF(IF(ISNA(計算結果!N571),"",計算結果!N571)=0,"",IF(ISNA(計算結果!N571),"",計算結果!N571))</f>
        <v/>
      </c>
      <c r="O571" s="13" t="str">
        <f>IF(IF(ISNA(計算結果!O571),"",計算結果!O571)=0,"",IF(ISNA(計算結果!O571),"",計算結果!O571))</f>
        <v/>
      </c>
      <c r="P571" s="10" t="str">
        <f>IF(IF(ISNA(計算結果!P571),"",計算結果!P571)=0,"",IF(ISNA(計算結果!P571),"",計算結果!P571))</f>
        <v/>
      </c>
      <c r="Q571" s="10" t="str">
        <f>IF(IF(ISNA(計算結果!Q571),"",計算結果!Q571)=0,"",IF(ISNA(計算結果!Q571),"",計算結果!Q571))</f>
        <v/>
      </c>
      <c r="R571" s="14" t="str">
        <f t="shared" si="24"/>
        <v/>
      </c>
      <c r="S571" s="14" t="str">
        <f t="shared" si="25"/>
        <v>◯</v>
      </c>
      <c r="T571" s="14" t="str">
        <f t="shared" si="26"/>
        <v/>
      </c>
    </row>
    <row r="572" spans="1:20" hidden="1" x14ac:dyDescent="0.45">
      <c r="A572" s="10" t="str">
        <f>IF(IF(ISNA(計算結果!A572),"",計算結果!A572)=0,"",IF(ISNA(計算結果!A572),"",計算結果!A572))</f>
        <v/>
      </c>
      <c r="B572" s="10" t="str">
        <f>IF(IF(ISNA(計算結果!B572),"",計算結果!B572)=0,"",IF(ISNA(計算結果!B572),"",計算結果!B572))</f>
        <v/>
      </c>
      <c r="C572" s="10" t="str">
        <f>IF(IF(ISNA(計算結果!C572),"",計算結果!C572)=0,"",IF(ISNA(計算結果!C572),"",計算結果!C572))</f>
        <v/>
      </c>
      <c r="D572" s="10" t="str">
        <f>IF(IF(ISNA(計算結果!D572),"",計算結果!D572)=0,"",IF(ISNA(計算結果!D572),"",計算結果!D572))</f>
        <v>L</v>
      </c>
      <c r="E572" s="10" t="str">
        <f>IF(IF(ISNA(計算結果!E572),"",計算結果!E572)=0,"",IF(ISNA(計算結果!E572),"",計算結果!E572))</f>
        <v/>
      </c>
      <c r="F572" s="10" t="str">
        <f>IF(IF(ISNA(計算結果!F572),"",計算結果!F572)=0,"",IF(ISNA(計算結果!F572),"",計算結果!F572))</f>
        <v/>
      </c>
      <c r="G572" s="10" t="str">
        <f>IF(IF(ISNA(計算結果!G572),"",計算結果!G572)=0,"",IF(ISNA(計算結果!G572),"",計算結果!G572))</f>
        <v/>
      </c>
      <c r="H572" s="13">
        <f>IF(IF(ISNA(計算結果!H572),"",計算結果!H572)=0,"",IF(ISNA(計算結果!H572),"",計算結果!H572))</f>
        <v>-2</v>
      </c>
      <c r="I572" s="12" t="str">
        <f>IF(IF(ISNA(計算結果!I572),"",計算結果!I572)=0,"",IF(ISNA(計算結果!I572),"",計算結果!I572))</f>
        <v/>
      </c>
      <c r="J572" s="12" t="str">
        <f>IF(IF(ISNA(計算結果!J572),"",計算結果!J572)=0,"",IF(ISNA(計算結果!J572),"",計算結果!J572))</f>
        <v/>
      </c>
      <c r="K572" s="23" t="str">
        <f>IF(IF(ISNA(計算結果!K572),"",計算結果!K572)=0,"",IF(ISNA(計算結果!K572),"",計算結果!K572))</f>
        <v/>
      </c>
      <c r="L572" s="13" t="str">
        <f>IF(IF(ISNA(計算結果!L572),"",計算結果!L572)=0,"",IF(ISNA(計算結果!L572),"",計算結果!L572))</f>
        <v/>
      </c>
      <c r="M572" s="10" t="str">
        <f>IF(IF(ISNA(計算結果!M572),"",計算結果!M572)=0,"",IF(ISNA(計算結果!M572),"",計算結果!M572))</f>
        <v/>
      </c>
      <c r="N572" s="10" t="str">
        <f>IF(IF(ISNA(計算結果!N572),"",計算結果!N572)=0,"",IF(ISNA(計算結果!N572),"",計算結果!N572))</f>
        <v/>
      </c>
      <c r="O572" s="13" t="str">
        <f>IF(IF(ISNA(計算結果!O572),"",計算結果!O572)=0,"",IF(ISNA(計算結果!O572),"",計算結果!O572))</f>
        <v/>
      </c>
      <c r="P572" s="10" t="str">
        <f>IF(IF(ISNA(計算結果!P572),"",計算結果!P572)=0,"",IF(ISNA(計算結果!P572),"",計算結果!P572))</f>
        <v/>
      </c>
      <c r="Q572" s="10" t="str">
        <f>IF(IF(ISNA(計算結果!Q572),"",計算結果!Q572)=0,"",IF(ISNA(計算結果!Q572),"",計算結果!Q572))</f>
        <v/>
      </c>
      <c r="R572" s="14" t="str">
        <f t="shared" si="24"/>
        <v/>
      </c>
      <c r="S572" s="14" t="str">
        <f t="shared" si="25"/>
        <v>◯</v>
      </c>
      <c r="T572" s="14" t="str">
        <f t="shared" si="26"/>
        <v/>
      </c>
    </row>
    <row r="573" spans="1:20" hidden="1" x14ac:dyDescent="0.45">
      <c r="A573" s="10" t="str">
        <f>IF(IF(ISNA(計算結果!A573),"",計算結果!A573)=0,"",IF(ISNA(計算結果!A573),"",計算結果!A573))</f>
        <v/>
      </c>
      <c r="B573" s="10" t="str">
        <f>IF(IF(ISNA(計算結果!B573),"",計算結果!B573)=0,"",IF(ISNA(計算結果!B573),"",計算結果!B573))</f>
        <v/>
      </c>
      <c r="C573" s="10" t="str">
        <f>IF(IF(ISNA(計算結果!C573),"",計算結果!C573)=0,"",IF(ISNA(計算結果!C573),"",計算結果!C573))</f>
        <v/>
      </c>
      <c r="D573" s="10" t="str">
        <f>IF(IF(ISNA(計算結果!D573),"",計算結果!D573)=0,"",IF(ISNA(計算結果!D573),"",計算結果!D573))</f>
        <v>L</v>
      </c>
      <c r="E573" s="10" t="str">
        <f>IF(IF(ISNA(計算結果!E573),"",計算結果!E573)=0,"",IF(ISNA(計算結果!E573),"",計算結果!E573))</f>
        <v/>
      </c>
      <c r="F573" s="10" t="str">
        <f>IF(IF(ISNA(計算結果!F573),"",計算結果!F573)=0,"",IF(ISNA(計算結果!F573),"",計算結果!F573))</f>
        <v/>
      </c>
      <c r="G573" s="10" t="str">
        <f>IF(IF(ISNA(計算結果!G573),"",計算結果!G573)=0,"",IF(ISNA(計算結果!G573),"",計算結果!G573))</f>
        <v/>
      </c>
      <c r="H573" s="13">
        <f>IF(IF(ISNA(計算結果!H573),"",計算結果!H573)=0,"",IF(ISNA(計算結果!H573),"",計算結果!H573))</f>
        <v>-2</v>
      </c>
      <c r="I573" s="12" t="str">
        <f>IF(IF(ISNA(計算結果!I573),"",計算結果!I573)=0,"",IF(ISNA(計算結果!I573),"",計算結果!I573))</f>
        <v/>
      </c>
      <c r="J573" s="12" t="str">
        <f>IF(IF(ISNA(計算結果!J573),"",計算結果!J573)=0,"",IF(ISNA(計算結果!J573),"",計算結果!J573))</f>
        <v/>
      </c>
      <c r="K573" s="23" t="str">
        <f>IF(IF(ISNA(計算結果!K573),"",計算結果!K573)=0,"",IF(ISNA(計算結果!K573),"",計算結果!K573))</f>
        <v/>
      </c>
      <c r="L573" s="13" t="str">
        <f>IF(IF(ISNA(計算結果!L573),"",計算結果!L573)=0,"",IF(ISNA(計算結果!L573),"",計算結果!L573))</f>
        <v/>
      </c>
      <c r="M573" s="10" t="str">
        <f>IF(IF(ISNA(計算結果!M573),"",計算結果!M573)=0,"",IF(ISNA(計算結果!M573),"",計算結果!M573))</f>
        <v/>
      </c>
      <c r="N573" s="10" t="str">
        <f>IF(IF(ISNA(計算結果!N573),"",計算結果!N573)=0,"",IF(ISNA(計算結果!N573),"",計算結果!N573))</f>
        <v/>
      </c>
      <c r="O573" s="13" t="str">
        <f>IF(IF(ISNA(計算結果!O573),"",計算結果!O573)=0,"",IF(ISNA(計算結果!O573),"",計算結果!O573))</f>
        <v/>
      </c>
      <c r="P573" s="10" t="str">
        <f>IF(IF(ISNA(計算結果!P573),"",計算結果!P573)=0,"",IF(ISNA(計算結果!P573),"",計算結果!P573))</f>
        <v/>
      </c>
      <c r="Q573" s="10" t="str">
        <f>IF(IF(ISNA(計算結果!Q573),"",計算結果!Q573)=0,"",IF(ISNA(計算結果!Q573),"",計算結果!Q573))</f>
        <v/>
      </c>
      <c r="R573" s="14" t="str">
        <f t="shared" si="24"/>
        <v/>
      </c>
      <c r="S573" s="14" t="str">
        <f t="shared" si="25"/>
        <v>◯</v>
      </c>
      <c r="T573" s="14" t="str">
        <f t="shared" si="26"/>
        <v/>
      </c>
    </row>
    <row r="574" spans="1:20" hidden="1" x14ac:dyDescent="0.45">
      <c r="A574" s="10" t="str">
        <f>IF(IF(ISNA(計算結果!A574),"",計算結果!A574)=0,"",IF(ISNA(計算結果!A574),"",計算結果!A574))</f>
        <v/>
      </c>
      <c r="B574" s="10" t="str">
        <f>IF(IF(ISNA(計算結果!B574),"",計算結果!B574)=0,"",IF(ISNA(計算結果!B574),"",計算結果!B574))</f>
        <v/>
      </c>
      <c r="C574" s="10" t="str">
        <f>IF(IF(ISNA(計算結果!C574),"",計算結果!C574)=0,"",IF(ISNA(計算結果!C574),"",計算結果!C574))</f>
        <v/>
      </c>
      <c r="D574" s="10" t="str">
        <f>IF(IF(ISNA(計算結果!D574),"",計算結果!D574)=0,"",IF(ISNA(計算結果!D574),"",計算結果!D574))</f>
        <v>L</v>
      </c>
      <c r="E574" s="10" t="str">
        <f>IF(IF(ISNA(計算結果!E574),"",計算結果!E574)=0,"",IF(ISNA(計算結果!E574),"",計算結果!E574))</f>
        <v/>
      </c>
      <c r="F574" s="10" t="str">
        <f>IF(IF(ISNA(計算結果!F574),"",計算結果!F574)=0,"",IF(ISNA(計算結果!F574),"",計算結果!F574))</f>
        <v/>
      </c>
      <c r="G574" s="10" t="str">
        <f>IF(IF(ISNA(計算結果!G574),"",計算結果!G574)=0,"",IF(ISNA(計算結果!G574),"",計算結果!G574))</f>
        <v/>
      </c>
      <c r="H574" s="13">
        <f>IF(IF(ISNA(計算結果!H574),"",計算結果!H574)=0,"",IF(ISNA(計算結果!H574),"",計算結果!H574))</f>
        <v>-2</v>
      </c>
      <c r="I574" s="12" t="str">
        <f>IF(IF(ISNA(計算結果!I574),"",計算結果!I574)=0,"",IF(ISNA(計算結果!I574),"",計算結果!I574))</f>
        <v/>
      </c>
      <c r="J574" s="12" t="str">
        <f>IF(IF(ISNA(計算結果!J574),"",計算結果!J574)=0,"",IF(ISNA(計算結果!J574),"",計算結果!J574))</f>
        <v/>
      </c>
      <c r="K574" s="23" t="str">
        <f>IF(IF(ISNA(計算結果!K574),"",計算結果!K574)=0,"",IF(ISNA(計算結果!K574),"",計算結果!K574))</f>
        <v/>
      </c>
      <c r="L574" s="13" t="str">
        <f>IF(IF(ISNA(計算結果!L574),"",計算結果!L574)=0,"",IF(ISNA(計算結果!L574),"",計算結果!L574))</f>
        <v/>
      </c>
      <c r="M574" s="10" t="str">
        <f>IF(IF(ISNA(計算結果!M574),"",計算結果!M574)=0,"",IF(ISNA(計算結果!M574),"",計算結果!M574))</f>
        <v/>
      </c>
      <c r="N574" s="10" t="str">
        <f>IF(IF(ISNA(計算結果!N574),"",計算結果!N574)=0,"",IF(ISNA(計算結果!N574),"",計算結果!N574))</f>
        <v/>
      </c>
      <c r="O574" s="13" t="str">
        <f>IF(IF(ISNA(計算結果!O574),"",計算結果!O574)=0,"",IF(ISNA(計算結果!O574),"",計算結果!O574))</f>
        <v/>
      </c>
      <c r="P574" s="10" t="str">
        <f>IF(IF(ISNA(計算結果!P574),"",計算結果!P574)=0,"",IF(ISNA(計算結果!P574),"",計算結果!P574))</f>
        <v/>
      </c>
      <c r="Q574" s="10" t="str">
        <f>IF(IF(ISNA(計算結果!Q574),"",計算結果!Q574)=0,"",IF(ISNA(計算結果!Q574),"",計算結果!Q574))</f>
        <v/>
      </c>
      <c r="R574" s="14" t="str">
        <f t="shared" si="24"/>
        <v/>
      </c>
      <c r="S574" s="14" t="str">
        <f t="shared" si="25"/>
        <v>◯</v>
      </c>
      <c r="T574" s="14" t="str">
        <f t="shared" si="26"/>
        <v/>
      </c>
    </row>
    <row r="575" spans="1:20" hidden="1" x14ac:dyDescent="0.45">
      <c r="A575" s="10" t="str">
        <f>IF(IF(ISNA(計算結果!A575),"",計算結果!A575)=0,"",IF(ISNA(計算結果!A575),"",計算結果!A575))</f>
        <v/>
      </c>
      <c r="B575" s="10" t="str">
        <f>IF(IF(ISNA(計算結果!B575),"",計算結果!B575)=0,"",IF(ISNA(計算結果!B575),"",計算結果!B575))</f>
        <v/>
      </c>
      <c r="C575" s="10" t="str">
        <f>IF(IF(ISNA(計算結果!C575),"",計算結果!C575)=0,"",IF(ISNA(計算結果!C575),"",計算結果!C575))</f>
        <v/>
      </c>
      <c r="D575" s="10" t="str">
        <f>IF(IF(ISNA(計算結果!D575),"",計算結果!D575)=0,"",IF(ISNA(計算結果!D575),"",計算結果!D575))</f>
        <v>L</v>
      </c>
      <c r="E575" s="10" t="str">
        <f>IF(IF(ISNA(計算結果!E575),"",計算結果!E575)=0,"",IF(ISNA(計算結果!E575),"",計算結果!E575))</f>
        <v/>
      </c>
      <c r="F575" s="10" t="str">
        <f>IF(IF(ISNA(計算結果!F575),"",計算結果!F575)=0,"",IF(ISNA(計算結果!F575),"",計算結果!F575))</f>
        <v/>
      </c>
      <c r="G575" s="10" t="str">
        <f>IF(IF(ISNA(計算結果!G575),"",計算結果!G575)=0,"",IF(ISNA(計算結果!G575),"",計算結果!G575))</f>
        <v/>
      </c>
      <c r="H575" s="13">
        <f>IF(IF(ISNA(計算結果!H575),"",計算結果!H575)=0,"",IF(ISNA(計算結果!H575),"",計算結果!H575))</f>
        <v>-2</v>
      </c>
      <c r="I575" s="12" t="str">
        <f>IF(IF(ISNA(計算結果!I575),"",計算結果!I575)=0,"",IF(ISNA(計算結果!I575),"",計算結果!I575))</f>
        <v/>
      </c>
      <c r="J575" s="12" t="str">
        <f>IF(IF(ISNA(計算結果!J575),"",計算結果!J575)=0,"",IF(ISNA(計算結果!J575),"",計算結果!J575))</f>
        <v/>
      </c>
      <c r="K575" s="23" t="str">
        <f>IF(IF(ISNA(計算結果!K575),"",計算結果!K575)=0,"",IF(ISNA(計算結果!K575),"",計算結果!K575))</f>
        <v/>
      </c>
      <c r="L575" s="13" t="str">
        <f>IF(IF(ISNA(計算結果!L575),"",計算結果!L575)=0,"",IF(ISNA(計算結果!L575),"",計算結果!L575))</f>
        <v/>
      </c>
      <c r="M575" s="10" t="str">
        <f>IF(IF(ISNA(計算結果!M575),"",計算結果!M575)=0,"",IF(ISNA(計算結果!M575),"",計算結果!M575))</f>
        <v/>
      </c>
      <c r="N575" s="10" t="str">
        <f>IF(IF(ISNA(計算結果!N575),"",計算結果!N575)=0,"",IF(ISNA(計算結果!N575),"",計算結果!N575))</f>
        <v/>
      </c>
      <c r="O575" s="13" t="str">
        <f>IF(IF(ISNA(計算結果!O575),"",計算結果!O575)=0,"",IF(ISNA(計算結果!O575),"",計算結果!O575))</f>
        <v/>
      </c>
      <c r="P575" s="10" t="str">
        <f>IF(IF(ISNA(計算結果!P575),"",計算結果!P575)=0,"",IF(ISNA(計算結果!P575),"",計算結果!P575))</f>
        <v/>
      </c>
      <c r="Q575" s="10" t="str">
        <f>IF(IF(ISNA(計算結果!Q575),"",計算結果!Q575)=0,"",IF(ISNA(計算結果!Q575),"",計算結果!Q575))</f>
        <v/>
      </c>
      <c r="R575" s="14" t="str">
        <f t="shared" si="24"/>
        <v/>
      </c>
      <c r="S575" s="14" t="str">
        <f t="shared" si="25"/>
        <v>◯</v>
      </c>
      <c r="T575" s="14" t="str">
        <f t="shared" si="26"/>
        <v/>
      </c>
    </row>
    <row r="576" spans="1:20" hidden="1" x14ac:dyDescent="0.45">
      <c r="A576" s="10" t="str">
        <f>IF(IF(ISNA(計算結果!A576),"",計算結果!A576)=0,"",IF(ISNA(計算結果!A576),"",計算結果!A576))</f>
        <v/>
      </c>
      <c r="B576" s="10" t="str">
        <f>IF(IF(ISNA(計算結果!B576),"",計算結果!B576)=0,"",IF(ISNA(計算結果!B576),"",計算結果!B576))</f>
        <v/>
      </c>
      <c r="C576" s="10" t="str">
        <f>IF(IF(ISNA(計算結果!C576),"",計算結果!C576)=0,"",IF(ISNA(計算結果!C576),"",計算結果!C576))</f>
        <v/>
      </c>
      <c r="D576" s="10" t="str">
        <f>IF(IF(ISNA(計算結果!D576),"",計算結果!D576)=0,"",IF(ISNA(計算結果!D576),"",計算結果!D576))</f>
        <v>L</v>
      </c>
      <c r="E576" s="10" t="str">
        <f>IF(IF(ISNA(計算結果!E576),"",計算結果!E576)=0,"",IF(ISNA(計算結果!E576),"",計算結果!E576))</f>
        <v/>
      </c>
      <c r="F576" s="10" t="str">
        <f>IF(IF(ISNA(計算結果!F576),"",計算結果!F576)=0,"",IF(ISNA(計算結果!F576),"",計算結果!F576))</f>
        <v/>
      </c>
      <c r="G576" s="10" t="str">
        <f>IF(IF(ISNA(計算結果!G576),"",計算結果!G576)=0,"",IF(ISNA(計算結果!G576),"",計算結果!G576))</f>
        <v/>
      </c>
      <c r="H576" s="13">
        <f>IF(IF(ISNA(計算結果!H576),"",計算結果!H576)=0,"",IF(ISNA(計算結果!H576),"",計算結果!H576))</f>
        <v>-2</v>
      </c>
      <c r="I576" s="12" t="str">
        <f>IF(IF(ISNA(計算結果!I576),"",計算結果!I576)=0,"",IF(ISNA(計算結果!I576),"",計算結果!I576))</f>
        <v/>
      </c>
      <c r="J576" s="12" t="str">
        <f>IF(IF(ISNA(計算結果!J576),"",計算結果!J576)=0,"",IF(ISNA(計算結果!J576),"",計算結果!J576))</f>
        <v/>
      </c>
      <c r="K576" s="23" t="str">
        <f>IF(IF(ISNA(計算結果!K576),"",計算結果!K576)=0,"",IF(ISNA(計算結果!K576),"",計算結果!K576))</f>
        <v/>
      </c>
      <c r="L576" s="13" t="str">
        <f>IF(IF(ISNA(計算結果!L576),"",計算結果!L576)=0,"",IF(ISNA(計算結果!L576),"",計算結果!L576))</f>
        <v/>
      </c>
      <c r="M576" s="10" t="str">
        <f>IF(IF(ISNA(計算結果!M576),"",計算結果!M576)=0,"",IF(ISNA(計算結果!M576),"",計算結果!M576))</f>
        <v/>
      </c>
      <c r="N576" s="10" t="str">
        <f>IF(IF(ISNA(計算結果!N576),"",計算結果!N576)=0,"",IF(ISNA(計算結果!N576),"",計算結果!N576))</f>
        <v/>
      </c>
      <c r="O576" s="13" t="str">
        <f>IF(IF(ISNA(計算結果!O576),"",計算結果!O576)=0,"",IF(ISNA(計算結果!O576),"",計算結果!O576))</f>
        <v/>
      </c>
      <c r="P576" s="10" t="str">
        <f>IF(IF(ISNA(計算結果!P576),"",計算結果!P576)=0,"",IF(ISNA(計算結果!P576),"",計算結果!P576))</f>
        <v/>
      </c>
      <c r="Q576" s="10" t="str">
        <f>IF(IF(ISNA(計算結果!Q576),"",計算結果!Q576)=0,"",IF(ISNA(計算結果!Q576),"",計算結果!Q576))</f>
        <v/>
      </c>
      <c r="R576" s="14" t="str">
        <f t="shared" si="24"/>
        <v/>
      </c>
      <c r="S576" s="14" t="str">
        <f t="shared" si="25"/>
        <v>◯</v>
      </c>
      <c r="T576" s="14" t="str">
        <f t="shared" si="26"/>
        <v/>
      </c>
    </row>
    <row r="577" spans="1:20" hidden="1" x14ac:dyDescent="0.45">
      <c r="A577" s="10" t="str">
        <f>IF(IF(ISNA(計算結果!A577),"",計算結果!A577)=0,"",IF(ISNA(計算結果!A577),"",計算結果!A577))</f>
        <v/>
      </c>
      <c r="B577" s="10" t="str">
        <f>IF(IF(ISNA(計算結果!B577),"",計算結果!B577)=0,"",IF(ISNA(計算結果!B577),"",計算結果!B577))</f>
        <v/>
      </c>
      <c r="C577" s="10" t="str">
        <f>IF(IF(ISNA(計算結果!C577),"",計算結果!C577)=0,"",IF(ISNA(計算結果!C577),"",計算結果!C577))</f>
        <v/>
      </c>
      <c r="D577" s="10" t="str">
        <f>IF(IF(ISNA(計算結果!D577),"",計算結果!D577)=0,"",IF(ISNA(計算結果!D577),"",計算結果!D577))</f>
        <v>L</v>
      </c>
      <c r="E577" s="10" t="str">
        <f>IF(IF(ISNA(計算結果!E577),"",計算結果!E577)=0,"",IF(ISNA(計算結果!E577),"",計算結果!E577))</f>
        <v/>
      </c>
      <c r="F577" s="10" t="str">
        <f>IF(IF(ISNA(計算結果!F577),"",計算結果!F577)=0,"",IF(ISNA(計算結果!F577),"",計算結果!F577))</f>
        <v/>
      </c>
      <c r="G577" s="10" t="str">
        <f>IF(IF(ISNA(計算結果!G577),"",計算結果!G577)=0,"",IF(ISNA(計算結果!G577),"",計算結果!G577))</f>
        <v/>
      </c>
      <c r="H577" s="13">
        <f>IF(IF(ISNA(計算結果!H577),"",計算結果!H577)=0,"",IF(ISNA(計算結果!H577),"",計算結果!H577))</f>
        <v>-2</v>
      </c>
      <c r="I577" s="12" t="str">
        <f>IF(IF(ISNA(計算結果!I577),"",計算結果!I577)=0,"",IF(ISNA(計算結果!I577),"",計算結果!I577))</f>
        <v/>
      </c>
      <c r="J577" s="12" t="str">
        <f>IF(IF(ISNA(計算結果!J577),"",計算結果!J577)=0,"",IF(ISNA(計算結果!J577),"",計算結果!J577))</f>
        <v/>
      </c>
      <c r="K577" s="23" t="str">
        <f>IF(IF(ISNA(計算結果!K577),"",計算結果!K577)=0,"",IF(ISNA(計算結果!K577),"",計算結果!K577))</f>
        <v/>
      </c>
      <c r="L577" s="13" t="str">
        <f>IF(IF(ISNA(計算結果!L577),"",計算結果!L577)=0,"",IF(ISNA(計算結果!L577),"",計算結果!L577))</f>
        <v/>
      </c>
      <c r="M577" s="10" t="str">
        <f>IF(IF(ISNA(計算結果!M577),"",計算結果!M577)=0,"",IF(ISNA(計算結果!M577),"",計算結果!M577))</f>
        <v/>
      </c>
      <c r="N577" s="10" t="str">
        <f>IF(IF(ISNA(計算結果!N577),"",計算結果!N577)=0,"",IF(ISNA(計算結果!N577),"",計算結果!N577))</f>
        <v/>
      </c>
      <c r="O577" s="13" t="str">
        <f>IF(IF(ISNA(計算結果!O577),"",計算結果!O577)=0,"",IF(ISNA(計算結果!O577),"",計算結果!O577))</f>
        <v/>
      </c>
      <c r="P577" s="10" t="str">
        <f>IF(IF(ISNA(計算結果!P577),"",計算結果!P577)=0,"",IF(ISNA(計算結果!P577),"",計算結果!P577))</f>
        <v/>
      </c>
      <c r="Q577" s="10" t="str">
        <f>IF(IF(ISNA(計算結果!Q577),"",計算結果!Q577)=0,"",IF(ISNA(計算結果!Q577),"",計算結果!Q577))</f>
        <v/>
      </c>
      <c r="R577" s="14" t="str">
        <f t="shared" si="24"/>
        <v/>
      </c>
      <c r="S577" s="14" t="str">
        <f t="shared" si="25"/>
        <v>◯</v>
      </c>
      <c r="T577" s="14" t="str">
        <f t="shared" si="26"/>
        <v/>
      </c>
    </row>
    <row r="578" spans="1:20" hidden="1" x14ac:dyDescent="0.45">
      <c r="A578" s="10" t="str">
        <f>IF(IF(ISNA(計算結果!A578),"",計算結果!A578)=0,"",IF(ISNA(計算結果!A578),"",計算結果!A578))</f>
        <v/>
      </c>
      <c r="B578" s="10" t="str">
        <f>IF(IF(ISNA(計算結果!B578),"",計算結果!B578)=0,"",IF(ISNA(計算結果!B578),"",計算結果!B578))</f>
        <v/>
      </c>
      <c r="C578" s="10" t="str">
        <f>IF(IF(ISNA(計算結果!C578),"",計算結果!C578)=0,"",IF(ISNA(計算結果!C578),"",計算結果!C578))</f>
        <v/>
      </c>
      <c r="D578" s="10" t="str">
        <f>IF(IF(ISNA(計算結果!D578),"",計算結果!D578)=0,"",IF(ISNA(計算結果!D578),"",計算結果!D578))</f>
        <v>L</v>
      </c>
      <c r="E578" s="10" t="str">
        <f>IF(IF(ISNA(計算結果!E578),"",計算結果!E578)=0,"",IF(ISNA(計算結果!E578),"",計算結果!E578))</f>
        <v/>
      </c>
      <c r="F578" s="10" t="str">
        <f>IF(IF(ISNA(計算結果!F578),"",計算結果!F578)=0,"",IF(ISNA(計算結果!F578),"",計算結果!F578))</f>
        <v/>
      </c>
      <c r="G578" s="10" t="str">
        <f>IF(IF(ISNA(計算結果!G578),"",計算結果!G578)=0,"",IF(ISNA(計算結果!G578),"",計算結果!G578))</f>
        <v/>
      </c>
      <c r="H578" s="13">
        <f>IF(IF(ISNA(計算結果!H578),"",計算結果!H578)=0,"",IF(ISNA(計算結果!H578),"",計算結果!H578))</f>
        <v>-2</v>
      </c>
      <c r="I578" s="12" t="str">
        <f>IF(IF(ISNA(計算結果!I578),"",計算結果!I578)=0,"",IF(ISNA(計算結果!I578),"",計算結果!I578))</f>
        <v/>
      </c>
      <c r="J578" s="12" t="str">
        <f>IF(IF(ISNA(計算結果!J578),"",計算結果!J578)=0,"",IF(ISNA(計算結果!J578),"",計算結果!J578))</f>
        <v/>
      </c>
      <c r="K578" s="23" t="str">
        <f>IF(IF(ISNA(計算結果!K578),"",計算結果!K578)=0,"",IF(ISNA(計算結果!K578),"",計算結果!K578))</f>
        <v/>
      </c>
      <c r="L578" s="13" t="str">
        <f>IF(IF(ISNA(計算結果!L578),"",計算結果!L578)=0,"",IF(ISNA(計算結果!L578),"",計算結果!L578))</f>
        <v/>
      </c>
      <c r="M578" s="10" t="str">
        <f>IF(IF(ISNA(計算結果!M578),"",計算結果!M578)=0,"",IF(ISNA(計算結果!M578),"",計算結果!M578))</f>
        <v/>
      </c>
      <c r="N578" s="10" t="str">
        <f>IF(IF(ISNA(計算結果!N578),"",計算結果!N578)=0,"",IF(ISNA(計算結果!N578),"",計算結果!N578))</f>
        <v/>
      </c>
      <c r="O578" s="13" t="str">
        <f>IF(IF(ISNA(計算結果!O578),"",計算結果!O578)=0,"",IF(ISNA(計算結果!O578),"",計算結果!O578))</f>
        <v/>
      </c>
      <c r="P578" s="10" t="str">
        <f>IF(IF(ISNA(計算結果!P578),"",計算結果!P578)=0,"",IF(ISNA(計算結果!P578),"",計算結果!P578))</f>
        <v/>
      </c>
      <c r="Q578" s="10" t="str">
        <f>IF(IF(ISNA(計算結果!Q578),"",計算結果!Q578)=0,"",IF(ISNA(計算結果!Q578),"",計算結果!Q578))</f>
        <v/>
      </c>
      <c r="R578" s="14" t="str">
        <f t="shared" si="24"/>
        <v/>
      </c>
      <c r="S578" s="14" t="str">
        <f t="shared" si="25"/>
        <v>◯</v>
      </c>
      <c r="T578" s="14" t="str">
        <f t="shared" si="26"/>
        <v/>
      </c>
    </row>
    <row r="579" spans="1:20" hidden="1" x14ac:dyDescent="0.45">
      <c r="A579" s="10" t="str">
        <f>IF(IF(ISNA(計算結果!A579),"",計算結果!A579)=0,"",IF(ISNA(計算結果!A579),"",計算結果!A579))</f>
        <v/>
      </c>
      <c r="B579" s="10" t="str">
        <f>IF(IF(ISNA(計算結果!B579),"",計算結果!B579)=0,"",IF(ISNA(計算結果!B579),"",計算結果!B579))</f>
        <v/>
      </c>
      <c r="C579" s="10" t="str">
        <f>IF(IF(ISNA(計算結果!C579),"",計算結果!C579)=0,"",IF(ISNA(計算結果!C579),"",計算結果!C579))</f>
        <v/>
      </c>
      <c r="D579" s="10" t="str">
        <f>IF(IF(ISNA(計算結果!D579),"",計算結果!D579)=0,"",IF(ISNA(計算結果!D579),"",計算結果!D579))</f>
        <v>L</v>
      </c>
      <c r="E579" s="10" t="str">
        <f>IF(IF(ISNA(計算結果!E579),"",計算結果!E579)=0,"",IF(ISNA(計算結果!E579),"",計算結果!E579))</f>
        <v/>
      </c>
      <c r="F579" s="10" t="str">
        <f>IF(IF(ISNA(計算結果!F579),"",計算結果!F579)=0,"",IF(ISNA(計算結果!F579),"",計算結果!F579))</f>
        <v/>
      </c>
      <c r="G579" s="10" t="str">
        <f>IF(IF(ISNA(計算結果!G579),"",計算結果!G579)=0,"",IF(ISNA(計算結果!G579),"",計算結果!G579))</f>
        <v/>
      </c>
      <c r="H579" s="13">
        <f>IF(IF(ISNA(計算結果!H579),"",計算結果!H579)=0,"",IF(ISNA(計算結果!H579),"",計算結果!H579))</f>
        <v>-2</v>
      </c>
      <c r="I579" s="12" t="str">
        <f>IF(IF(ISNA(計算結果!I579),"",計算結果!I579)=0,"",IF(ISNA(計算結果!I579),"",計算結果!I579))</f>
        <v/>
      </c>
      <c r="J579" s="12" t="str">
        <f>IF(IF(ISNA(計算結果!J579),"",計算結果!J579)=0,"",IF(ISNA(計算結果!J579),"",計算結果!J579))</f>
        <v/>
      </c>
      <c r="K579" s="23" t="str">
        <f>IF(IF(ISNA(計算結果!K579),"",計算結果!K579)=0,"",IF(ISNA(計算結果!K579),"",計算結果!K579))</f>
        <v/>
      </c>
      <c r="L579" s="13" t="str">
        <f>IF(IF(ISNA(計算結果!L579),"",計算結果!L579)=0,"",IF(ISNA(計算結果!L579),"",計算結果!L579))</f>
        <v/>
      </c>
      <c r="M579" s="10" t="str">
        <f>IF(IF(ISNA(計算結果!M579),"",計算結果!M579)=0,"",IF(ISNA(計算結果!M579),"",計算結果!M579))</f>
        <v/>
      </c>
      <c r="N579" s="10" t="str">
        <f>IF(IF(ISNA(計算結果!N579),"",計算結果!N579)=0,"",IF(ISNA(計算結果!N579),"",計算結果!N579))</f>
        <v/>
      </c>
      <c r="O579" s="13" t="str">
        <f>IF(IF(ISNA(計算結果!O579),"",計算結果!O579)=0,"",IF(ISNA(計算結果!O579),"",計算結果!O579))</f>
        <v/>
      </c>
      <c r="P579" s="10" t="str">
        <f>IF(IF(ISNA(計算結果!P579),"",計算結果!P579)=0,"",IF(ISNA(計算結果!P579),"",計算結果!P579))</f>
        <v/>
      </c>
      <c r="Q579" s="10" t="str">
        <f>IF(IF(ISNA(計算結果!Q579),"",計算結果!Q579)=0,"",IF(ISNA(計算結果!Q579),"",計算結果!Q579))</f>
        <v/>
      </c>
      <c r="R579" s="14" t="str">
        <f t="shared" ref="R579:R642" si="27">IF(AND(M579&lt;&gt;"",M579=N579),"◯","")</f>
        <v/>
      </c>
      <c r="S579" s="14" t="str">
        <f t="shared" ref="S579:S642" si="28">IF(M579="","◯","")</f>
        <v>◯</v>
      </c>
      <c r="T579" s="14" t="str">
        <f t="shared" ref="T579:T642" si="29">IF(AND(P579&lt;&gt;"",P579&lt;&gt;Q579),"◯","")</f>
        <v/>
      </c>
    </row>
    <row r="580" spans="1:20" hidden="1" x14ac:dyDescent="0.45">
      <c r="A580" s="10" t="str">
        <f>IF(IF(ISNA(計算結果!A580),"",計算結果!A580)=0,"",IF(ISNA(計算結果!A580),"",計算結果!A580))</f>
        <v/>
      </c>
      <c r="B580" s="10" t="str">
        <f>IF(IF(ISNA(計算結果!B580),"",計算結果!B580)=0,"",IF(ISNA(計算結果!B580),"",計算結果!B580))</f>
        <v/>
      </c>
      <c r="C580" s="10" t="str">
        <f>IF(IF(ISNA(計算結果!C580),"",計算結果!C580)=0,"",IF(ISNA(計算結果!C580),"",計算結果!C580))</f>
        <v/>
      </c>
      <c r="D580" s="10" t="str">
        <f>IF(IF(ISNA(計算結果!D580),"",計算結果!D580)=0,"",IF(ISNA(計算結果!D580),"",計算結果!D580))</f>
        <v>L</v>
      </c>
      <c r="E580" s="10" t="str">
        <f>IF(IF(ISNA(計算結果!E580),"",計算結果!E580)=0,"",IF(ISNA(計算結果!E580),"",計算結果!E580))</f>
        <v/>
      </c>
      <c r="F580" s="10" t="str">
        <f>IF(IF(ISNA(計算結果!F580),"",計算結果!F580)=0,"",IF(ISNA(計算結果!F580),"",計算結果!F580))</f>
        <v/>
      </c>
      <c r="G580" s="10" t="str">
        <f>IF(IF(ISNA(計算結果!G580),"",計算結果!G580)=0,"",IF(ISNA(計算結果!G580),"",計算結果!G580))</f>
        <v/>
      </c>
      <c r="H580" s="13">
        <f>IF(IF(ISNA(計算結果!H580),"",計算結果!H580)=0,"",IF(ISNA(計算結果!H580),"",計算結果!H580))</f>
        <v>-2</v>
      </c>
      <c r="I580" s="12" t="str">
        <f>IF(IF(ISNA(計算結果!I580),"",計算結果!I580)=0,"",IF(ISNA(計算結果!I580),"",計算結果!I580))</f>
        <v/>
      </c>
      <c r="J580" s="12" t="str">
        <f>IF(IF(ISNA(計算結果!J580),"",計算結果!J580)=0,"",IF(ISNA(計算結果!J580),"",計算結果!J580))</f>
        <v/>
      </c>
      <c r="K580" s="23" t="str">
        <f>IF(IF(ISNA(計算結果!K580),"",計算結果!K580)=0,"",IF(ISNA(計算結果!K580),"",計算結果!K580))</f>
        <v/>
      </c>
      <c r="L580" s="13" t="str">
        <f>IF(IF(ISNA(計算結果!L580),"",計算結果!L580)=0,"",IF(ISNA(計算結果!L580),"",計算結果!L580))</f>
        <v/>
      </c>
      <c r="M580" s="10" t="str">
        <f>IF(IF(ISNA(計算結果!M580),"",計算結果!M580)=0,"",IF(ISNA(計算結果!M580),"",計算結果!M580))</f>
        <v/>
      </c>
      <c r="N580" s="10" t="str">
        <f>IF(IF(ISNA(計算結果!N580),"",計算結果!N580)=0,"",IF(ISNA(計算結果!N580),"",計算結果!N580))</f>
        <v/>
      </c>
      <c r="O580" s="13" t="str">
        <f>IF(IF(ISNA(計算結果!O580),"",計算結果!O580)=0,"",IF(ISNA(計算結果!O580),"",計算結果!O580))</f>
        <v/>
      </c>
      <c r="P580" s="10" t="str">
        <f>IF(IF(ISNA(計算結果!P580),"",計算結果!P580)=0,"",IF(ISNA(計算結果!P580),"",計算結果!P580))</f>
        <v/>
      </c>
      <c r="Q580" s="10" t="str">
        <f>IF(IF(ISNA(計算結果!Q580),"",計算結果!Q580)=0,"",IF(ISNA(計算結果!Q580),"",計算結果!Q580))</f>
        <v/>
      </c>
      <c r="R580" s="14" t="str">
        <f t="shared" si="27"/>
        <v/>
      </c>
      <c r="S580" s="14" t="str">
        <f t="shared" si="28"/>
        <v>◯</v>
      </c>
      <c r="T580" s="14" t="str">
        <f t="shared" si="29"/>
        <v/>
      </c>
    </row>
    <row r="581" spans="1:20" hidden="1" x14ac:dyDescent="0.45">
      <c r="A581" s="10" t="str">
        <f>IF(IF(ISNA(計算結果!A581),"",計算結果!A581)=0,"",IF(ISNA(計算結果!A581),"",計算結果!A581))</f>
        <v/>
      </c>
      <c r="B581" s="10" t="str">
        <f>IF(IF(ISNA(計算結果!B581),"",計算結果!B581)=0,"",IF(ISNA(計算結果!B581),"",計算結果!B581))</f>
        <v/>
      </c>
      <c r="C581" s="10" t="str">
        <f>IF(IF(ISNA(計算結果!C581),"",計算結果!C581)=0,"",IF(ISNA(計算結果!C581),"",計算結果!C581))</f>
        <v/>
      </c>
      <c r="D581" s="10" t="str">
        <f>IF(IF(ISNA(計算結果!D581),"",計算結果!D581)=0,"",IF(ISNA(計算結果!D581),"",計算結果!D581))</f>
        <v>L</v>
      </c>
      <c r="E581" s="10" t="str">
        <f>IF(IF(ISNA(計算結果!E581),"",計算結果!E581)=0,"",IF(ISNA(計算結果!E581),"",計算結果!E581))</f>
        <v/>
      </c>
      <c r="F581" s="10" t="str">
        <f>IF(IF(ISNA(計算結果!F581),"",計算結果!F581)=0,"",IF(ISNA(計算結果!F581),"",計算結果!F581))</f>
        <v/>
      </c>
      <c r="G581" s="10" t="str">
        <f>IF(IF(ISNA(計算結果!G581),"",計算結果!G581)=0,"",IF(ISNA(計算結果!G581),"",計算結果!G581))</f>
        <v/>
      </c>
      <c r="H581" s="13">
        <f>IF(IF(ISNA(計算結果!H581),"",計算結果!H581)=0,"",IF(ISNA(計算結果!H581),"",計算結果!H581))</f>
        <v>-2</v>
      </c>
      <c r="I581" s="12" t="str">
        <f>IF(IF(ISNA(計算結果!I581),"",計算結果!I581)=0,"",IF(ISNA(計算結果!I581),"",計算結果!I581))</f>
        <v/>
      </c>
      <c r="J581" s="12" t="str">
        <f>IF(IF(ISNA(計算結果!J581),"",計算結果!J581)=0,"",IF(ISNA(計算結果!J581),"",計算結果!J581))</f>
        <v/>
      </c>
      <c r="K581" s="23" t="str">
        <f>IF(IF(ISNA(計算結果!K581),"",計算結果!K581)=0,"",IF(ISNA(計算結果!K581),"",計算結果!K581))</f>
        <v/>
      </c>
      <c r="L581" s="13" t="str">
        <f>IF(IF(ISNA(計算結果!L581),"",計算結果!L581)=0,"",IF(ISNA(計算結果!L581),"",計算結果!L581))</f>
        <v/>
      </c>
      <c r="M581" s="10" t="str">
        <f>IF(IF(ISNA(計算結果!M581),"",計算結果!M581)=0,"",IF(ISNA(計算結果!M581),"",計算結果!M581))</f>
        <v/>
      </c>
      <c r="N581" s="10" t="str">
        <f>IF(IF(ISNA(計算結果!N581),"",計算結果!N581)=0,"",IF(ISNA(計算結果!N581),"",計算結果!N581))</f>
        <v/>
      </c>
      <c r="O581" s="13" t="str">
        <f>IF(IF(ISNA(計算結果!O581),"",計算結果!O581)=0,"",IF(ISNA(計算結果!O581),"",計算結果!O581))</f>
        <v/>
      </c>
      <c r="P581" s="10" t="str">
        <f>IF(IF(ISNA(計算結果!P581),"",計算結果!P581)=0,"",IF(ISNA(計算結果!P581),"",計算結果!P581))</f>
        <v/>
      </c>
      <c r="Q581" s="10" t="str">
        <f>IF(IF(ISNA(計算結果!Q581),"",計算結果!Q581)=0,"",IF(ISNA(計算結果!Q581),"",計算結果!Q581))</f>
        <v/>
      </c>
      <c r="R581" s="14" t="str">
        <f t="shared" si="27"/>
        <v/>
      </c>
      <c r="S581" s="14" t="str">
        <f t="shared" si="28"/>
        <v>◯</v>
      </c>
      <c r="T581" s="14" t="str">
        <f t="shared" si="29"/>
        <v/>
      </c>
    </row>
    <row r="582" spans="1:20" hidden="1" x14ac:dyDescent="0.45">
      <c r="A582" s="10" t="str">
        <f>IF(IF(ISNA(計算結果!A582),"",計算結果!A582)=0,"",IF(ISNA(計算結果!A582),"",計算結果!A582))</f>
        <v/>
      </c>
      <c r="B582" s="10" t="str">
        <f>IF(IF(ISNA(計算結果!B582),"",計算結果!B582)=0,"",IF(ISNA(計算結果!B582),"",計算結果!B582))</f>
        <v/>
      </c>
      <c r="C582" s="10" t="str">
        <f>IF(IF(ISNA(計算結果!C582),"",計算結果!C582)=0,"",IF(ISNA(計算結果!C582),"",計算結果!C582))</f>
        <v/>
      </c>
      <c r="D582" s="10" t="str">
        <f>IF(IF(ISNA(計算結果!D582),"",計算結果!D582)=0,"",IF(ISNA(計算結果!D582),"",計算結果!D582))</f>
        <v>L</v>
      </c>
      <c r="E582" s="10" t="str">
        <f>IF(IF(ISNA(計算結果!E582),"",計算結果!E582)=0,"",IF(ISNA(計算結果!E582),"",計算結果!E582))</f>
        <v/>
      </c>
      <c r="F582" s="10" t="str">
        <f>IF(IF(ISNA(計算結果!F582),"",計算結果!F582)=0,"",IF(ISNA(計算結果!F582),"",計算結果!F582))</f>
        <v/>
      </c>
      <c r="G582" s="10" t="str">
        <f>IF(IF(ISNA(計算結果!G582),"",計算結果!G582)=0,"",IF(ISNA(計算結果!G582),"",計算結果!G582))</f>
        <v/>
      </c>
      <c r="H582" s="13">
        <f>IF(IF(ISNA(計算結果!H582),"",計算結果!H582)=0,"",IF(ISNA(計算結果!H582),"",計算結果!H582))</f>
        <v>-2</v>
      </c>
      <c r="I582" s="12" t="str">
        <f>IF(IF(ISNA(計算結果!I582),"",計算結果!I582)=0,"",IF(ISNA(計算結果!I582),"",計算結果!I582))</f>
        <v/>
      </c>
      <c r="J582" s="12" t="str">
        <f>IF(IF(ISNA(計算結果!J582),"",計算結果!J582)=0,"",IF(ISNA(計算結果!J582),"",計算結果!J582))</f>
        <v/>
      </c>
      <c r="K582" s="23" t="str">
        <f>IF(IF(ISNA(計算結果!K582),"",計算結果!K582)=0,"",IF(ISNA(計算結果!K582),"",計算結果!K582))</f>
        <v/>
      </c>
      <c r="L582" s="13" t="str">
        <f>IF(IF(ISNA(計算結果!L582),"",計算結果!L582)=0,"",IF(ISNA(計算結果!L582),"",計算結果!L582))</f>
        <v/>
      </c>
      <c r="M582" s="10" t="str">
        <f>IF(IF(ISNA(計算結果!M582),"",計算結果!M582)=0,"",IF(ISNA(計算結果!M582),"",計算結果!M582))</f>
        <v/>
      </c>
      <c r="N582" s="10" t="str">
        <f>IF(IF(ISNA(計算結果!N582),"",計算結果!N582)=0,"",IF(ISNA(計算結果!N582),"",計算結果!N582))</f>
        <v/>
      </c>
      <c r="O582" s="13" t="str">
        <f>IF(IF(ISNA(計算結果!O582),"",計算結果!O582)=0,"",IF(ISNA(計算結果!O582),"",計算結果!O582))</f>
        <v/>
      </c>
      <c r="P582" s="10" t="str">
        <f>IF(IF(ISNA(計算結果!P582),"",計算結果!P582)=0,"",IF(ISNA(計算結果!P582),"",計算結果!P582))</f>
        <v/>
      </c>
      <c r="Q582" s="10" t="str">
        <f>IF(IF(ISNA(計算結果!Q582),"",計算結果!Q582)=0,"",IF(ISNA(計算結果!Q582),"",計算結果!Q582))</f>
        <v/>
      </c>
      <c r="R582" s="14" t="str">
        <f t="shared" si="27"/>
        <v/>
      </c>
      <c r="S582" s="14" t="str">
        <f t="shared" si="28"/>
        <v>◯</v>
      </c>
      <c r="T582" s="14" t="str">
        <f t="shared" si="29"/>
        <v/>
      </c>
    </row>
    <row r="583" spans="1:20" hidden="1" x14ac:dyDescent="0.45">
      <c r="A583" s="10" t="str">
        <f>IF(IF(ISNA(計算結果!A583),"",計算結果!A583)=0,"",IF(ISNA(計算結果!A583),"",計算結果!A583))</f>
        <v/>
      </c>
      <c r="B583" s="10" t="str">
        <f>IF(IF(ISNA(計算結果!B583),"",計算結果!B583)=0,"",IF(ISNA(計算結果!B583),"",計算結果!B583))</f>
        <v/>
      </c>
      <c r="C583" s="10" t="str">
        <f>IF(IF(ISNA(計算結果!C583),"",計算結果!C583)=0,"",IF(ISNA(計算結果!C583),"",計算結果!C583))</f>
        <v/>
      </c>
      <c r="D583" s="10" t="str">
        <f>IF(IF(ISNA(計算結果!D583),"",計算結果!D583)=0,"",IF(ISNA(計算結果!D583),"",計算結果!D583))</f>
        <v>L</v>
      </c>
      <c r="E583" s="10" t="str">
        <f>IF(IF(ISNA(計算結果!E583),"",計算結果!E583)=0,"",IF(ISNA(計算結果!E583),"",計算結果!E583))</f>
        <v/>
      </c>
      <c r="F583" s="10" t="str">
        <f>IF(IF(ISNA(計算結果!F583),"",計算結果!F583)=0,"",IF(ISNA(計算結果!F583),"",計算結果!F583))</f>
        <v/>
      </c>
      <c r="G583" s="10" t="str">
        <f>IF(IF(ISNA(計算結果!G583),"",計算結果!G583)=0,"",IF(ISNA(計算結果!G583),"",計算結果!G583))</f>
        <v/>
      </c>
      <c r="H583" s="13">
        <f>IF(IF(ISNA(計算結果!H583),"",計算結果!H583)=0,"",IF(ISNA(計算結果!H583),"",計算結果!H583))</f>
        <v>-2</v>
      </c>
      <c r="I583" s="12" t="str">
        <f>IF(IF(ISNA(計算結果!I583),"",計算結果!I583)=0,"",IF(ISNA(計算結果!I583),"",計算結果!I583))</f>
        <v/>
      </c>
      <c r="J583" s="12" t="str">
        <f>IF(IF(ISNA(計算結果!J583),"",計算結果!J583)=0,"",IF(ISNA(計算結果!J583),"",計算結果!J583))</f>
        <v/>
      </c>
      <c r="K583" s="23" t="str">
        <f>IF(IF(ISNA(計算結果!K583),"",計算結果!K583)=0,"",IF(ISNA(計算結果!K583),"",計算結果!K583))</f>
        <v/>
      </c>
      <c r="L583" s="13" t="str">
        <f>IF(IF(ISNA(計算結果!L583),"",計算結果!L583)=0,"",IF(ISNA(計算結果!L583),"",計算結果!L583))</f>
        <v/>
      </c>
      <c r="M583" s="10" t="str">
        <f>IF(IF(ISNA(計算結果!M583),"",計算結果!M583)=0,"",IF(ISNA(計算結果!M583),"",計算結果!M583))</f>
        <v/>
      </c>
      <c r="N583" s="10" t="str">
        <f>IF(IF(ISNA(計算結果!N583),"",計算結果!N583)=0,"",IF(ISNA(計算結果!N583),"",計算結果!N583))</f>
        <v/>
      </c>
      <c r="O583" s="13" t="str">
        <f>IF(IF(ISNA(計算結果!O583),"",計算結果!O583)=0,"",IF(ISNA(計算結果!O583),"",計算結果!O583))</f>
        <v/>
      </c>
      <c r="P583" s="10" t="str">
        <f>IF(IF(ISNA(計算結果!P583),"",計算結果!P583)=0,"",IF(ISNA(計算結果!P583),"",計算結果!P583))</f>
        <v/>
      </c>
      <c r="Q583" s="10" t="str">
        <f>IF(IF(ISNA(計算結果!Q583),"",計算結果!Q583)=0,"",IF(ISNA(計算結果!Q583),"",計算結果!Q583))</f>
        <v/>
      </c>
      <c r="R583" s="14" t="str">
        <f t="shared" si="27"/>
        <v/>
      </c>
      <c r="S583" s="14" t="str">
        <f t="shared" si="28"/>
        <v>◯</v>
      </c>
      <c r="T583" s="14" t="str">
        <f t="shared" si="29"/>
        <v/>
      </c>
    </row>
    <row r="584" spans="1:20" hidden="1" x14ac:dyDescent="0.45">
      <c r="A584" s="10" t="str">
        <f>IF(IF(ISNA(計算結果!A584),"",計算結果!A584)=0,"",IF(ISNA(計算結果!A584),"",計算結果!A584))</f>
        <v/>
      </c>
      <c r="B584" s="10" t="str">
        <f>IF(IF(ISNA(計算結果!B584),"",計算結果!B584)=0,"",IF(ISNA(計算結果!B584),"",計算結果!B584))</f>
        <v/>
      </c>
      <c r="C584" s="10" t="str">
        <f>IF(IF(ISNA(計算結果!C584),"",計算結果!C584)=0,"",IF(ISNA(計算結果!C584),"",計算結果!C584))</f>
        <v/>
      </c>
      <c r="D584" s="10" t="str">
        <f>IF(IF(ISNA(計算結果!D584),"",計算結果!D584)=0,"",IF(ISNA(計算結果!D584),"",計算結果!D584))</f>
        <v>L</v>
      </c>
      <c r="E584" s="10" t="str">
        <f>IF(IF(ISNA(計算結果!E584),"",計算結果!E584)=0,"",IF(ISNA(計算結果!E584),"",計算結果!E584))</f>
        <v/>
      </c>
      <c r="F584" s="10" t="str">
        <f>IF(IF(ISNA(計算結果!F584),"",計算結果!F584)=0,"",IF(ISNA(計算結果!F584),"",計算結果!F584))</f>
        <v/>
      </c>
      <c r="G584" s="10" t="str">
        <f>IF(IF(ISNA(計算結果!G584),"",計算結果!G584)=0,"",IF(ISNA(計算結果!G584),"",計算結果!G584))</f>
        <v/>
      </c>
      <c r="H584" s="13">
        <f>IF(IF(ISNA(計算結果!H584),"",計算結果!H584)=0,"",IF(ISNA(計算結果!H584),"",計算結果!H584))</f>
        <v>-2</v>
      </c>
      <c r="I584" s="12" t="str">
        <f>IF(IF(ISNA(計算結果!I584),"",計算結果!I584)=0,"",IF(ISNA(計算結果!I584),"",計算結果!I584))</f>
        <v/>
      </c>
      <c r="J584" s="12" t="str">
        <f>IF(IF(ISNA(計算結果!J584),"",計算結果!J584)=0,"",IF(ISNA(計算結果!J584),"",計算結果!J584))</f>
        <v/>
      </c>
      <c r="K584" s="23" t="str">
        <f>IF(IF(ISNA(計算結果!K584),"",計算結果!K584)=0,"",IF(ISNA(計算結果!K584),"",計算結果!K584))</f>
        <v/>
      </c>
      <c r="L584" s="13" t="str">
        <f>IF(IF(ISNA(計算結果!L584),"",計算結果!L584)=0,"",IF(ISNA(計算結果!L584),"",計算結果!L584))</f>
        <v/>
      </c>
      <c r="M584" s="10" t="str">
        <f>IF(IF(ISNA(計算結果!M584),"",計算結果!M584)=0,"",IF(ISNA(計算結果!M584),"",計算結果!M584))</f>
        <v/>
      </c>
      <c r="N584" s="10" t="str">
        <f>IF(IF(ISNA(計算結果!N584),"",計算結果!N584)=0,"",IF(ISNA(計算結果!N584),"",計算結果!N584))</f>
        <v/>
      </c>
      <c r="O584" s="13" t="str">
        <f>IF(IF(ISNA(計算結果!O584),"",計算結果!O584)=0,"",IF(ISNA(計算結果!O584),"",計算結果!O584))</f>
        <v/>
      </c>
      <c r="P584" s="10" t="str">
        <f>IF(IF(ISNA(計算結果!P584),"",計算結果!P584)=0,"",IF(ISNA(計算結果!P584),"",計算結果!P584))</f>
        <v/>
      </c>
      <c r="Q584" s="10" t="str">
        <f>IF(IF(ISNA(計算結果!Q584),"",計算結果!Q584)=0,"",IF(ISNA(計算結果!Q584),"",計算結果!Q584))</f>
        <v/>
      </c>
      <c r="R584" s="14" t="str">
        <f t="shared" si="27"/>
        <v/>
      </c>
      <c r="S584" s="14" t="str">
        <f t="shared" si="28"/>
        <v>◯</v>
      </c>
      <c r="T584" s="14" t="str">
        <f t="shared" si="29"/>
        <v/>
      </c>
    </row>
    <row r="585" spans="1:20" hidden="1" x14ac:dyDescent="0.45">
      <c r="A585" s="10" t="str">
        <f>IF(IF(ISNA(計算結果!A585),"",計算結果!A585)=0,"",IF(ISNA(計算結果!A585),"",計算結果!A585))</f>
        <v/>
      </c>
      <c r="B585" s="10" t="str">
        <f>IF(IF(ISNA(計算結果!B585),"",計算結果!B585)=0,"",IF(ISNA(計算結果!B585),"",計算結果!B585))</f>
        <v/>
      </c>
      <c r="C585" s="10" t="str">
        <f>IF(IF(ISNA(計算結果!C585),"",計算結果!C585)=0,"",IF(ISNA(計算結果!C585),"",計算結果!C585))</f>
        <v/>
      </c>
      <c r="D585" s="10" t="str">
        <f>IF(IF(ISNA(計算結果!D585),"",計算結果!D585)=0,"",IF(ISNA(計算結果!D585),"",計算結果!D585))</f>
        <v>L</v>
      </c>
      <c r="E585" s="10" t="str">
        <f>IF(IF(ISNA(計算結果!E585),"",計算結果!E585)=0,"",IF(ISNA(計算結果!E585),"",計算結果!E585))</f>
        <v/>
      </c>
      <c r="F585" s="10" t="str">
        <f>IF(IF(ISNA(計算結果!F585),"",計算結果!F585)=0,"",IF(ISNA(計算結果!F585),"",計算結果!F585))</f>
        <v/>
      </c>
      <c r="G585" s="10" t="str">
        <f>IF(IF(ISNA(計算結果!G585),"",計算結果!G585)=0,"",IF(ISNA(計算結果!G585),"",計算結果!G585))</f>
        <v/>
      </c>
      <c r="H585" s="13">
        <f>IF(IF(ISNA(計算結果!H585),"",計算結果!H585)=0,"",IF(ISNA(計算結果!H585),"",計算結果!H585))</f>
        <v>-2</v>
      </c>
      <c r="I585" s="12" t="str">
        <f>IF(IF(ISNA(計算結果!I585),"",計算結果!I585)=0,"",IF(ISNA(計算結果!I585),"",計算結果!I585))</f>
        <v/>
      </c>
      <c r="J585" s="12" t="str">
        <f>IF(IF(ISNA(計算結果!J585),"",計算結果!J585)=0,"",IF(ISNA(計算結果!J585),"",計算結果!J585))</f>
        <v/>
      </c>
      <c r="K585" s="23" t="str">
        <f>IF(IF(ISNA(計算結果!K585),"",計算結果!K585)=0,"",IF(ISNA(計算結果!K585),"",計算結果!K585))</f>
        <v/>
      </c>
      <c r="L585" s="13" t="str">
        <f>IF(IF(ISNA(計算結果!L585),"",計算結果!L585)=0,"",IF(ISNA(計算結果!L585),"",計算結果!L585))</f>
        <v/>
      </c>
      <c r="M585" s="10" t="str">
        <f>IF(IF(ISNA(計算結果!M585),"",計算結果!M585)=0,"",IF(ISNA(計算結果!M585),"",計算結果!M585))</f>
        <v/>
      </c>
      <c r="N585" s="10" t="str">
        <f>IF(IF(ISNA(計算結果!N585),"",計算結果!N585)=0,"",IF(ISNA(計算結果!N585),"",計算結果!N585))</f>
        <v/>
      </c>
      <c r="O585" s="13" t="str">
        <f>IF(IF(ISNA(計算結果!O585),"",計算結果!O585)=0,"",IF(ISNA(計算結果!O585),"",計算結果!O585))</f>
        <v/>
      </c>
      <c r="P585" s="10" t="str">
        <f>IF(IF(ISNA(計算結果!P585),"",計算結果!P585)=0,"",IF(ISNA(計算結果!P585),"",計算結果!P585))</f>
        <v/>
      </c>
      <c r="Q585" s="10" t="str">
        <f>IF(IF(ISNA(計算結果!Q585),"",計算結果!Q585)=0,"",IF(ISNA(計算結果!Q585),"",計算結果!Q585))</f>
        <v/>
      </c>
      <c r="R585" s="14" t="str">
        <f t="shared" si="27"/>
        <v/>
      </c>
      <c r="S585" s="14" t="str">
        <f t="shared" si="28"/>
        <v>◯</v>
      </c>
      <c r="T585" s="14" t="str">
        <f t="shared" si="29"/>
        <v/>
      </c>
    </row>
    <row r="586" spans="1:20" hidden="1" x14ac:dyDescent="0.45">
      <c r="A586" s="10" t="str">
        <f>IF(IF(ISNA(計算結果!A586),"",計算結果!A586)=0,"",IF(ISNA(計算結果!A586),"",計算結果!A586))</f>
        <v/>
      </c>
      <c r="B586" s="10" t="str">
        <f>IF(IF(ISNA(計算結果!B586),"",計算結果!B586)=0,"",IF(ISNA(計算結果!B586),"",計算結果!B586))</f>
        <v/>
      </c>
      <c r="C586" s="10" t="str">
        <f>IF(IF(ISNA(計算結果!C586),"",計算結果!C586)=0,"",IF(ISNA(計算結果!C586),"",計算結果!C586))</f>
        <v/>
      </c>
      <c r="D586" s="10" t="str">
        <f>IF(IF(ISNA(計算結果!D586),"",計算結果!D586)=0,"",IF(ISNA(計算結果!D586),"",計算結果!D586))</f>
        <v>L</v>
      </c>
      <c r="E586" s="10" t="str">
        <f>IF(IF(ISNA(計算結果!E586),"",計算結果!E586)=0,"",IF(ISNA(計算結果!E586),"",計算結果!E586))</f>
        <v/>
      </c>
      <c r="F586" s="10" t="str">
        <f>IF(IF(ISNA(計算結果!F586),"",計算結果!F586)=0,"",IF(ISNA(計算結果!F586),"",計算結果!F586))</f>
        <v/>
      </c>
      <c r="G586" s="10" t="str">
        <f>IF(IF(ISNA(計算結果!G586),"",計算結果!G586)=0,"",IF(ISNA(計算結果!G586),"",計算結果!G586))</f>
        <v/>
      </c>
      <c r="H586" s="13">
        <f>IF(IF(ISNA(計算結果!H586),"",計算結果!H586)=0,"",IF(ISNA(計算結果!H586),"",計算結果!H586))</f>
        <v>-2</v>
      </c>
      <c r="I586" s="12" t="str">
        <f>IF(IF(ISNA(計算結果!I586),"",計算結果!I586)=0,"",IF(ISNA(計算結果!I586),"",計算結果!I586))</f>
        <v/>
      </c>
      <c r="J586" s="12" t="str">
        <f>IF(IF(ISNA(計算結果!J586),"",計算結果!J586)=0,"",IF(ISNA(計算結果!J586),"",計算結果!J586))</f>
        <v/>
      </c>
      <c r="K586" s="23" t="str">
        <f>IF(IF(ISNA(計算結果!K586),"",計算結果!K586)=0,"",IF(ISNA(計算結果!K586),"",計算結果!K586))</f>
        <v/>
      </c>
      <c r="L586" s="13" t="str">
        <f>IF(IF(ISNA(計算結果!L586),"",計算結果!L586)=0,"",IF(ISNA(計算結果!L586),"",計算結果!L586))</f>
        <v/>
      </c>
      <c r="M586" s="10" t="str">
        <f>IF(IF(ISNA(計算結果!M586),"",計算結果!M586)=0,"",IF(ISNA(計算結果!M586),"",計算結果!M586))</f>
        <v/>
      </c>
      <c r="N586" s="10" t="str">
        <f>IF(IF(ISNA(計算結果!N586),"",計算結果!N586)=0,"",IF(ISNA(計算結果!N586),"",計算結果!N586))</f>
        <v/>
      </c>
      <c r="O586" s="13" t="str">
        <f>IF(IF(ISNA(計算結果!O586),"",計算結果!O586)=0,"",IF(ISNA(計算結果!O586),"",計算結果!O586))</f>
        <v/>
      </c>
      <c r="P586" s="10" t="str">
        <f>IF(IF(ISNA(計算結果!P586),"",計算結果!P586)=0,"",IF(ISNA(計算結果!P586),"",計算結果!P586))</f>
        <v/>
      </c>
      <c r="Q586" s="10" t="str">
        <f>IF(IF(ISNA(計算結果!Q586),"",計算結果!Q586)=0,"",IF(ISNA(計算結果!Q586),"",計算結果!Q586))</f>
        <v/>
      </c>
      <c r="R586" s="14" t="str">
        <f t="shared" si="27"/>
        <v/>
      </c>
      <c r="S586" s="14" t="str">
        <f t="shared" si="28"/>
        <v>◯</v>
      </c>
      <c r="T586" s="14" t="str">
        <f t="shared" si="29"/>
        <v/>
      </c>
    </row>
    <row r="587" spans="1:20" hidden="1" x14ac:dyDescent="0.45">
      <c r="A587" s="10" t="str">
        <f>IF(IF(ISNA(計算結果!A587),"",計算結果!A587)=0,"",IF(ISNA(計算結果!A587),"",計算結果!A587))</f>
        <v/>
      </c>
      <c r="B587" s="10" t="str">
        <f>IF(IF(ISNA(計算結果!B587),"",計算結果!B587)=0,"",IF(ISNA(計算結果!B587),"",計算結果!B587))</f>
        <v/>
      </c>
      <c r="C587" s="10" t="str">
        <f>IF(IF(ISNA(計算結果!C587),"",計算結果!C587)=0,"",IF(ISNA(計算結果!C587),"",計算結果!C587))</f>
        <v/>
      </c>
      <c r="D587" s="10" t="str">
        <f>IF(IF(ISNA(計算結果!D587),"",計算結果!D587)=0,"",IF(ISNA(計算結果!D587),"",計算結果!D587))</f>
        <v>L</v>
      </c>
      <c r="E587" s="10" t="str">
        <f>IF(IF(ISNA(計算結果!E587),"",計算結果!E587)=0,"",IF(ISNA(計算結果!E587),"",計算結果!E587))</f>
        <v/>
      </c>
      <c r="F587" s="10" t="str">
        <f>IF(IF(ISNA(計算結果!F587),"",計算結果!F587)=0,"",IF(ISNA(計算結果!F587),"",計算結果!F587))</f>
        <v/>
      </c>
      <c r="G587" s="10" t="str">
        <f>IF(IF(ISNA(計算結果!G587),"",計算結果!G587)=0,"",IF(ISNA(計算結果!G587),"",計算結果!G587))</f>
        <v/>
      </c>
      <c r="H587" s="13">
        <f>IF(IF(ISNA(計算結果!H587),"",計算結果!H587)=0,"",IF(ISNA(計算結果!H587),"",計算結果!H587))</f>
        <v>-2</v>
      </c>
      <c r="I587" s="12" t="str">
        <f>IF(IF(ISNA(計算結果!I587),"",計算結果!I587)=0,"",IF(ISNA(計算結果!I587),"",計算結果!I587))</f>
        <v/>
      </c>
      <c r="J587" s="12" t="str">
        <f>IF(IF(ISNA(計算結果!J587),"",計算結果!J587)=0,"",IF(ISNA(計算結果!J587),"",計算結果!J587))</f>
        <v/>
      </c>
      <c r="K587" s="23" t="str">
        <f>IF(IF(ISNA(計算結果!K587),"",計算結果!K587)=0,"",IF(ISNA(計算結果!K587),"",計算結果!K587))</f>
        <v/>
      </c>
      <c r="L587" s="13" t="str">
        <f>IF(IF(ISNA(計算結果!L587),"",計算結果!L587)=0,"",IF(ISNA(計算結果!L587),"",計算結果!L587))</f>
        <v/>
      </c>
      <c r="M587" s="10" t="str">
        <f>IF(IF(ISNA(計算結果!M587),"",計算結果!M587)=0,"",IF(ISNA(計算結果!M587),"",計算結果!M587))</f>
        <v/>
      </c>
      <c r="N587" s="10" t="str">
        <f>IF(IF(ISNA(計算結果!N587),"",計算結果!N587)=0,"",IF(ISNA(計算結果!N587),"",計算結果!N587))</f>
        <v/>
      </c>
      <c r="O587" s="13" t="str">
        <f>IF(IF(ISNA(計算結果!O587),"",計算結果!O587)=0,"",IF(ISNA(計算結果!O587),"",計算結果!O587))</f>
        <v/>
      </c>
      <c r="P587" s="10" t="str">
        <f>IF(IF(ISNA(計算結果!P587),"",計算結果!P587)=0,"",IF(ISNA(計算結果!P587),"",計算結果!P587))</f>
        <v/>
      </c>
      <c r="Q587" s="10" t="str">
        <f>IF(IF(ISNA(計算結果!Q587),"",計算結果!Q587)=0,"",IF(ISNA(計算結果!Q587),"",計算結果!Q587))</f>
        <v/>
      </c>
      <c r="R587" s="14" t="str">
        <f t="shared" si="27"/>
        <v/>
      </c>
      <c r="S587" s="14" t="str">
        <f t="shared" si="28"/>
        <v>◯</v>
      </c>
      <c r="T587" s="14" t="str">
        <f t="shared" si="29"/>
        <v/>
      </c>
    </row>
    <row r="588" spans="1:20" hidden="1" x14ac:dyDescent="0.45">
      <c r="A588" s="10" t="str">
        <f>IF(IF(ISNA(計算結果!A588),"",計算結果!A588)=0,"",IF(ISNA(計算結果!A588),"",計算結果!A588))</f>
        <v/>
      </c>
      <c r="B588" s="10" t="str">
        <f>IF(IF(ISNA(計算結果!B588),"",計算結果!B588)=0,"",IF(ISNA(計算結果!B588),"",計算結果!B588))</f>
        <v/>
      </c>
      <c r="C588" s="10" t="str">
        <f>IF(IF(ISNA(計算結果!C588),"",計算結果!C588)=0,"",IF(ISNA(計算結果!C588),"",計算結果!C588))</f>
        <v/>
      </c>
      <c r="D588" s="10" t="str">
        <f>IF(IF(ISNA(計算結果!D588),"",計算結果!D588)=0,"",IF(ISNA(計算結果!D588),"",計算結果!D588))</f>
        <v>L</v>
      </c>
      <c r="E588" s="10" t="str">
        <f>IF(IF(ISNA(計算結果!E588),"",計算結果!E588)=0,"",IF(ISNA(計算結果!E588),"",計算結果!E588))</f>
        <v/>
      </c>
      <c r="F588" s="10" t="str">
        <f>IF(IF(ISNA(計算結果!F588),"",計算結果!F588)=0,"",IF(ISNA(計算結果!F588),"",計算結果!F588))</f>
        <v/>
      </c>
      <c r="G588" s="10" t="str">
        <f>IF(IF(ISNA(計算結果!G588),"",計算結果!G588)=0,"",IF(ISNA(計算結果!G588),"",計算結果!G588))</f>
        <v/>
      </c>
      <c r="H588" s="13">
        <f>IF(IF(ISNA(計算結果!H588),"",計算結果!H588)=0,"",IF(ISNA(計算結果!H588),"",計算結果!H588))</f>
        <v>-2</v>
      </c>
      <c r="I588" s="12" t="str">
        <f>IF(IF(ISNA(計算結果!I588),"",計算結果!I588)=0,"",IF(ISNA(計算結果!I588),"",計算結果!I588))</f>
        <v/>
      </c>
      <c r="J588" s="12" t="str">
        <f>IF(IF(ISNA(計算結果!J588),"",計算結果!J588)=0,"",IF(ISNA(計算結果!J588),"",計算結果!J588))</f>
        <v/>
      </c>
      <c r="K588" s="23" t="str">
        <f>IF(IF(ISNA(計算結果!K588),"",計算結果!K588)=0,"",IF(ISNA(計算結果!K588),"",計算結果!K588))</f>
        <v/>
      </c>
      <c r="L588" s="13" t="str">
        <f>IF(IF(ISNA(計算結果!L588),"",計算結果!L588)=0,"",IF(ISNA(計算結果!L588),"",計算結果!L588))</f>
        <v/>
      </c>
      <c r="M588" s="10" t="str">
        <f>IF(IF(ISNA(計算結果!M588),"",計算結果!M588)=0,"",IF(ISNA(計算結果!M588),"",計算結果!M588))</f>
        <v/>
      </c>
      <c r="N588" s="10" t="str">
        <f>IF(IF(ISNA(計算結果!N588),"",計算結果!N588)=0,"",IF(ISNA(計算結果!N588),"",計算結果!N588))</f>
        <v/>
      </c>
      <c r="O588" s="13" t="str">
        <f>IF(IF(ISNA(計算結果!O588),"",計算結果!O588)=0,"",IF(ISNA(計算結果!O588),"",計算結果!O588))</f>
        <v/>
      </c>
      <c r="P588" s="10" t="str">
        <f>IF(IF(ISNA(計算結果!P588),"",計算結果!P588)=0,"",IF(ISNA(計算結果!P588),"",計算結果!P588))</f>
        <v/>
      </c>
      <c r="Q588" s="10" t="str">
        <f>IF(IF(ISNA(計算結果!Q588),"",計算結果!Q588)=0,"",IF(ISNA(計算結果!Q588),"",計算結果!Q588))</f>
        <v/>
      </c>
      <c r="R588" s="14" t="str">
        <f t="shared" si="27"/>
        <v/>
      </c>
      <c r="S588" s="14" t="str">
        <f t="shared" si="28"/>
        <v>◯</v>
      </c>
      <c r="T588" s="14" t="str">
        <f t="shared" si="29"/>
        <v/>
      </c>
    </row>
    <row r="589" spans="1:20" hidden="1" x14ac:dyDescent="0.45">
      <c r="A589" s="10" t="str">
        <f>IF(IF(ISNA(計算結果!A589),"",計算結果!A589)=0,"",IF(ISNA(計算結果!A589),"",計算結果!A589))</f>
        <v/>
      </c>
      <c r="B589" s="10" t="str">
        <f>IF(IF(ISNA(計算結果!B589),"",計算結果!B589)=0,"",IF(ISNA(計算結果!B589),"",計算結果!B589))</f>
        <v/>
      </c>
      <c r="C589" s="10" t="str">
        <f>IF(IF(ISNA(計算結果!C589),"",計算結果!C589)=0,"",IF(ISNA(計算結果!C589),"",計算結果!C589))</f>
        <v/>
      </c>
      <c r="D589" s="10" t="str">
        <f>IF(IF(ISNA(計算結果!D589),"",計算結果!D589)=0,"",IF(ISNA(計算結果!D589),"",計算結果!D589))</f>
        <v>L</v>
      </c>
      <c r="E589" s="10" t="str">
        <f>IF(IF(ISNA(計算結果!E589),"",計算結果!E589)=0,"",IF(ISNA(計算結果!E589),"",計算結果!E589))</f>
        <v/>
      </c>
      <c r="F589" s="10" t="str">
        <f>IF(IF(ISNA(計算結果!F589),"",計算結果!F589)=0,"",IF(ISNA(計算結果!F589),"",計算結果!F589))</f>
        <v/>
      </c>
      <c r="G589" s="10" t="str">
        <f>IF(IF(ISNA(計算結果!G589),"",計算結果!G589)=0,"",IF(ISNA(計算結果!G589),"",計算結果!G589))</f>
        <v/>
      </c>
      <c r="H589" s="13">
        <f>IF(IF(ISNA(計算結果!H589),"",計算結果!H589)=0,"",IF(ISNA(計算結果!H589),"",計算結果!H589))</f>
        <v>-2</v>
      </c>
      <c r="I589" s="12" t="str">
        <f>IF(IF(ISNA(計算結果!I589),"",計算結果!I589)=0,"",IF(ISNA(計算結果!I589),"",計算結果!I589))</f>
        <v/>
      </c>
      <c r="J589" s="12" t="str">
        <f>IF(IF(ISNA(計算結果!J589),"",計算結果!J589)=0,"",IF(ISNA(計算結果!J589),"",計算結果!J589))</f>
        <v/>
      </c>
      <c r="K589" s="23" t="str">
        <f>IF(IF(ISNA(計算結果!K589),"",計算結果!K589)=0,"",IF(ISNA(計算結果!K589),"",計算結果!K589))</f>
        <v/>
      </c>
      <c r="L589" s="13" t="str">
        <f>IF(IF(ISNA(計算結果!L589),"",計算結果!L589)=0,"",IF(ISNA(計算結果!L589),"",計算結果!L589))</f>
        <v/>
      </c>
      <c r="M589" s="10" t="str">
        <f>IF(IF(ISNA(計算結果!M589),"",計算結果!M589)=0,"",IF(ISNA(計算結果!M589),"",計算結果!M589))</f>
        <v/>
      </c>
      <c r="N589" s="10" t="str">
        <f>IF(IF(ISNA(計算結果!N589),"",計算結果!N589)=0,"",IF(ISNA(計算結果!N589),"",計算結果!N589))</f>
        <v/>
      </c>
      <c r="O589" s="13" t="str">
        <f>IF(IF(ISNA(計算結果!O589),"",計算結果!O589)=0,"",IF(ISNA(計算結果!O589),"",計算結果!O589))</f>
        <v/>
      </c>
      <c r="P589" s="10" t="str">
        <f>IF(IF(ISNA(計算結果!P589),"",計算結果!P589)=0,"",IF(ISNA(計算結果!P589),"",計算結果!P589))</f>
        <v/>
      </c>
      <c r="Q589" s="10" t="str">
        <f>IF(IF(ISNA(計算結果!Q589),"",計算結果!Q589)=0,"",IF(ISNA(計算結果!Q589),"",計算結果!Q589))</f>
        <v/>
      </c>
      <c r="R589" s="14" t="str">
        <f t="shared" si="27"/>
        <v/>
      </c>
      <c r="S589" s="14" t="str">
        <f t="shared" si="28"/>
        <v>◯</v>
      </c>
      <c r="T589" s="14" t="str">
        <f t="shared" si="29"/>
        <v/>
      </c>
    </row>
    <row r="590" spans="1:20" hidden="1" x14ac:dyDescent="0.45">
      <c r="A590" s="10" t="str">
        <f>IF(IF(ISNA(計算結果!A590),"",計算結果!A590)=0,"",IF(ISNA(計算結果!A590),"",計算結果!A590))</f>
        <v/>
      </c>
      <c r="B590" s="10" t="str">
        <f>IF(IF(ISNA(計算結果!B590),"",計算結果!B590)=0,"",IF(ISNA(計算結果!B590),"",計算結果!B590))</f>
        <v/>
      </c>
      <c r="C590" s="10" t="str">
        <f>IF(IF(ISNA(計算結果!C590),"",計算結果!C590)=0,"",IF(ISNA(計算結果!C590),"",計算結果!C590))</f>
        <v/>
      </c>
      <c r="D590" s="10" t="str">
        <f>IF(IF(ISNA(計算結果!D590),"",計算結果!D590)=0,"",IF(ISNA(計算結果!D590),"",計算結果!D590))</f>
        <v>L</v>
      </c>
      <c r="E590" s="10" t="str">
        <f>IF(IF(ISNA(計算結果!E590),"",計算結果!E590)=0,"",IF(ISNA(計算結果!E590),"",計算結果!E590))</f>
        <v/>
      </c>
      <c r="F590" s="10" t="str">
        <f>IF(IF(ISNA(計算結果!F590),"",計算結果!F590)=0,"",IF(ISNA(計算結果!F590),"",計算結果!F590))</f>
        <v/>
      </c>
      <c r="G590" s="10" t="str">
        <f>IF(IF(ISNA(計算結果!G590),"",計算結果!G590)=0,"",IF(ISNA(計算結果!G590),"",計算結果!G590))</f>
        <v/>
      </c>
      <c r="H590" s="13">
        <f>IF(IF(ISNA(計算結果!H590),"",計算結果!H590)=0,"",IF(ISNA(計算結果!H590),"",計算結果!H590))</f>
        <v>-2</v>
      </c>
      <c r="I590" s="12" t="str">
        <f>IF(IF(ISNA(計算結果!I590),"",計算結果!I590)=0,"",IF(ISNA(計算結果!I590),"",計算結果!I590))</f>
        <v/>
      </c>
      <c r="J590" s="12" t="str">
        <f>IF(IF(ISNA(計算結果!J590),"",計算結果!J590)=0,"",IF(ISNA(計算結果!J590),"",計算結果!J590))</f>
        <v/>
      </c>
      <c r="K590" s="23" t="str">
        <f>IF(IF(ISNA(計算結果!K590),"",計算結果!K590)=0,"",IF(ISNA(計算結果!K590),"",計算結果!K590))</f>
        <v/>
      </c>
      <c r="L590" s="13" t="str">
        <f>IF(IF(ISNA(計算結果!L590),"",計算結果!L590)=0,"",IF(ISNA(計算結果!L590),"",計算結果!L590))</f>
        <v/>
      </c>
      <c r="M590" s="10" t="str">
        <f>IF(IF(ISNA(計算結果!M590),"",計算結果!M590)=0,"",IF(ISNA(計算結果!M590),"",計算結果!M590))</f>
        <v/>
      </c>
      <c r="N590" s="10" t="str">
        <f>IF(IF(ISNA(計算結果!N590),"",計算結果!N590)=0,"",IF(ISNA(計算結果!N590),"",計算結果!N590))</f>
        <v/>
      </c>
      <c r="O590" s="13" t="str">
        <f>IF(IF(ISNA(計算結果!O590),"",計算結果!O590)=0,"",IF(ISNA(計算結果!O590),"",計算結果!O590))</f>
        <v/>
      </c>
      <c r="P590" s="10" t="str">
        <f>IF(IF(ISNA(計算結果!P590),"",計算結果!P590)=0,"",IF(ISNA(計算結果!P590),"",計算結果!P590))</f>
        <v/>
      </c>
      <c r="Q590" s="10" t="str">
        <f>IF(IF(ISNA(計算結果!Q590),"",計算結果!Q590)=0,"",IF(ISNA(計算結果!Q590),"",計算結果!Q590))</f>
        <v/>
      </c>
      <c r="R590" s="14" t="str">
        <f t="shared" si="27"/>
        <v/>
      </c>
      <c r="S590" s="14" t="str">
        <f t="shared" si="28"/>
        <v>◯</v>
      </c>
      <c r="T590" s="14" t="str">
        <f t="shared" si="29"/>
        <v/>
      </c>
    </row>
    <row r="591" spans="1:20" hidden="1" x14ac:dyDescent="0.45">
      <c r="A591" s="10" t="str">
        <f>IF(IF(ISNA(計算結果!A591),"",計算結果!A591)=0,"",IF(ISNA(計算結果!A591),"",計算結果!A591))</f>
        <v/>
      </c>
      <c r="B591" s="10" t="str">
        <f>IF(IF(ISNA(計算結果!B591),"",計算結果!B591)=0,"",IF(ISNA(計算結果!B591),"",計算結果!B591))</f>
        <v/>
      </c>
      <c r="C591" s="10" t="str">
        <f>IF(IF(ISNA(計算結果!C591),"",計算結果!C591)=0,"",IF(ISNA(計算結果!C591),"",計算結果!C591))</f>
        <v/>
      </c>
      <c r="D591" s="10" t="str">
        <f>IF(IF(ISNA(計算結果!D591),"",計算結果!D591)=0,"",IF(ISNA(計算結果!D591),"",計算結果!D591))</f>
        <v>L</v>
      </c>
      <c r="E591" s="10" t="str">
        <f>IF(IF(ISNA(計算結果!E591),"",計算結果!E591)=0,"",IF(ISNA(計算結果!E591),"",計算結果!E591))</f>
        <v/>
      </c>
      <c r="F591" s="10" t="str">
        <f>IF(IF(ISNA(計算結果!F591),"",計算結果!F591)=0,"",IF(ISNA(計算結果!F591),"",計算結果!F591))</f>
        <v/>
      </c>
      <c r="G591" s="10" t="str">
        <f>IF(IF(ISNA(計算結果!G591),"",計算結果!G591)=0,"",IF(ISNA(計算結果!G591),"",計算結果!G591))</f>
        <v/>
      </c>
      <c r="H591" s="13">
        <f>IF(IF(ISNA(計算結果!H591),"",計算結果!H591)=0,"",IF(ISNA(計算結果!H591),"",計算結果!H591))</f>
        <v>-2</v>
      </c>
      <c r="I591" s="12" t="str">
        <f>IF(IF(ISNA(計算結果!I591),"",計算結果!I591)=0,"",IF(ISNA(計算結果!I591),"",計算結果!I591))</f>
        <v/>
      </c>
      <c r="J591" s="12" t="str">
        <f>IF(IF(ISNA(計算結果!J591),"",計算結果!J591)=0,"",IF(ISNA(計算結果!J591),"",計算結果!J591))</f>
        <v/>
      </c>
      <c r="K591" s="23" t="str">
        <f>IF(IF(ISNA(計算結果!K591),"",計算結果!K591)=0,"",IF(ISNA(計算結果!K591),"",計算結果!K591))</f>
        <v/>
      </c>
      <c r="L591" s="13" t="str">
        <f>IF(IF(ISNA(計算結果!L591),"",計算結果!L591)=0,"",IF(ISNA(計算結果!L591),"",計算結果!L591))</f>
        <v/>
      </c>
      <c r="M591" s="10" t="str">
        <f>IF(IF(ISNA(計算結果!M591),"",計算結果!M591)=0,"",IF(ISNA(計算結果!M591),"",計算結果!M591))</f>
        <v/>
      </c>
      <c r="N591" s="10" t="str">
        <f>IF(IF(ISNA(計算結果!N591),"",計算結果!N591)=0,"",IF(ISNA(計算結果!N591),"",計算結果!N591))</f>
        <v/>
      </c>
      <c r="O591" s="13" t="str">
        <f>IF(IF(ISNA(計算結果!O591),"",計算結果!O591)=0,"",IF(ISNA(計算結果!O591),"",計算結果!O591))</f>
        <v/>
      </c>
      <c r="P591" s="10" t="str">
        <f>IF(IF(ISNA(計算結果!P591),"",計算結果!P591)=0,"",IF(ISNA(計算結果!P591),"",計算結果!P591))</f>
        <v/>
      </c>
      <c r="Q591" s="10" t="str">
        <f>IF(IF(ISNA(計算結果!Q591),"",計算結果!Q591)=0,"",IF(ISNA(計算結果!Q591),"",計算結果!Q591))</f>
        <v/>
      </c>
      <c r="R591" s="14" t="str">
        <f t="shared" si="27"/>
        <v/>
      </c>
      <c r="S591" s="14" t="str">
        <f t="shared" si="28"/>
        <v>◯</v>
      </c>
      <c r="T591" s="14" t="str">
        <f t="shared" si="29"/>
        <v/>
      </c>
    </row>
    <row r="592" spans="1:20" hidden="1" x14ac:dyDescent="0.45">
      <c r="A592" s="10" t="str">
        <f>IF(IF(ISNA(計算結果!A592),"",計算結果!A592)=0,"",IF(ISNA(計算結果!A592),"",計算結果!A592))</f>
        <v/>
      </c>
      <c r="B592" s="10" t="str">
        <f>IF(IF(ISNA(計算結果!B592),"",計算結果!B592)=0,"",IF(ISNA(計算結果!B592),"",計算結果!B592))</f>
        <v/>
      </c>
      <c r="C592" s="10" t="str">
        <f>IF(IF(ISNA(計算結果!C592),"",計算結果!C592)=0,"",IF(ISNA(計算結果!C592),"",計算結果!C592))</f>
        <v/>
      </c>
      <c r="D592" s="10" t="str">
        <f>IF(IF(ISNA(計算結果!D592),"",計算結果!D592)=0,"",IF(ISNA(計算結果!D592),"",計算結果!D592))</f>
        <v>L</v>
      </c>
      <c r="E592" s="10" t="str">
        <f>IF(IF(ISNA(計算結果!E592),"",計算結果!E592)=0,"",IF(ISNA(計算結果!E592),"",計算結果!E592))</f>
        <v/>
      </c>
      <c r="F592" s="10" t="str">
        <f>IF(IF(ISNA(計算結果!F592),"",計算結果!F592)=0,"",IF(ISNA(計算結果!F592),"",計算結果!F592))</f>
        <v/>
      </c>
      <c r="G592" s="10" t="str">
        <f>IF(IF(ISNA(計算結果!G592),"",計算結果!G592)=0,"",IF(ISNA(計算結果!G592),"",計算結果!G592))</f>
        <v/>
      </c>
      <c r="H592" s="13">
        <f>IF(IF(ISNA(計算結果!H592),"",計算結果!H592)=0,"",IF(ISNA(計算結果!H592),"",計算結果!H592))</f>
        <v>-2</v>
      </c>
      <c r="I592" s="12" t="str">
        <f>IF(IF(ISNA(計算結果!I592),"",計算結果!I592)=0,"",IF(ISNA(計算結果!I592),"",計算結果!I592))</f>
        <v/>
      </c>
      <c r="J592" s="12" t="str">
        <f>IF(IF(ISNA(計算結果!J592),"",計算結果!J592)=0,"",IF(ISNA(計算結果!J592),"",計算結果!J592))</f>
        <v/>
      </c>
      <c r="K592" s="23" t="str">
        <f>IF(IF(ISNA(計算結果!K592),"",計算結果!K592)=0,"",IF(ISNA(計算結果!K592),"",計算結果!K592))</f>
        <v/>
      </c>
      <c r="L592" s="13" t="str">
        <f>IF(IF(ISNA(計算結果!L592),"",計算結果!L592)=0,"",IF(ISNA(計算結果!L592),"",計算結果!L592))</f>
        <v/>
      </c>
      <c r="M592" s="10" t="str">
        <f>IF(IF(ISNA(計算結果!M592),"",計算結果!M592)=0,"",IF(ISNA(計算結果!M592),"",計算結果!M592))</f>
        <v/>
      </c>
      <c r="N592" s="10" t="str">
        <f>IF(IF(ISNA(計算結果!N592),"",計算結果!N592)=0,"",IF(ISNA(計算結果!N592),"",計算結果!N592))</f>
        <v/>
      </c>
      <c r="O592" s="13" t="str">
        <f>IF(IF(ISNA(計算結果!O592),"",計算結果!O592)=0,"",IF(ISNA(計算結果!O592),"",計算結果!O592))</f>
        <v/>
      </c>
      <c r="P592" s="10" t="str">
        <f>IF(IF(ISNA(計算結果!P592),"",計算結果!P592)=0,"",IF(ISNA(計算結果!P592),"",計算結果!P592))</f>
        <v/>
      </c>
      <c r="Q592" s="10" t="str">
        <f>IF(IF(ISNA(計算結果!Q592),"",計算結果!Q592)=0,"",IF(ISNA(計算結果!Q592),"",計算結果!Q592))</f>
        <v/>
      </c>
      <c r="R592" s="14" t="str">
        <f t="shared" si="27"/>
        <v/>
      </c>
      <c r="S592" s="14" t="str">
        <f t="shared" si="28"/>
        <v>◯</v>
      </c>
      <c r="T592" s="14" t="str">
        <f t="shared" si="29"/>
        <v/>
      </c>
    </row>
    <row r="593" spans="1:20" hidden="1" x14ac:dyDescent="0.45">
      <c r="A593" s="10" t="str">
        <f>IF(IF(ISNA(計算結果!A593),"",計算結果!A593)=0,"",IF(ISNA(計算結果!A593),"",計算結果!A593))</f>
        <v/>
      </c>
      <c r="B593" s="10" t="str">
        <f>IF(IF(ISNA(計算結果!B593),"",計算結果!B593)=0,"",IF(ISNA(計算結果!B593),"",計算結果!B593))</f>
        <v/>
      </c>
      <c r="C593" s="10" t="str">
        <f>IF(IF(ISNA(計算結果!C593),"",計算結果!C593)=0,"",IF(ISNA(計算結果!C593),"",計算結果!C593))</f>
        <v/>
      </c>
      <c r="D593" s="10" t="str">
        <f>IF(IF(ISNA(計算結果!D593),"",計算結果!D593)=0,"",IF(ISNA(計算結果!D593),"",計算結果!D593))</f>
        <v>L</v>
      </c>
      <c r="E593" s="10" t="str">
        <f>IF(IF(ISNA(計算結果!E593),"",計算結果!E593)=0,"",IF(ISNA(計算結果!E593),"",計算結果!E593))</f>
        <v/>
      </c>
      <c r="F593" s="10" t="str">
        <f>IF(IF(ISNA(計算結果!F593),"",計算結果!F593)=0,"",IF(ISNA(計算結果!F593),"",計算結果!F593))</f>
        <v/>
      </c>
      <c r="G593" s="10" t="str">
        <f>IF(IF(ISNA(計算結果!G593),"",計算結果!G593)=0,"",IF(ISNA(計算結果!G593),"",計算結果!G593))</f>
        <v/>
      </c>
      <c r="H593" s="13">
        <f>IF(IF(ISNA(計算結果!H593),"",計算結果!H593)=0,"",IF(ISNA(計算結果!H593),"",計算結果!H593))</f>
        <v>-2</v>
      </c>
      <c r="I593" s="12" t="str">
        <f>IF(IF(ISNA(計算結果!I593),"",計算結果!I593)=0,"",IF(ISNA(計算結果!I593),"",計算結果!I593))</f>
        <v/>
      </c>
      <c r="J593" s="12" t="str">
        <f>IF(IF(ISNA(計算結果!J593),"",計算結果!J593)=0,"",IF(ISNA(計算結果!J593),"",計算結果!J593))</f>
        <v/>
      </c>
      <c r="K593" s="23" t="str">
        <f>IF(IF(ISNA(計算結果!K593),"",計算結果!K593)=0,"",IF(ISNA(計算結果!K593),"",計算結果!K593))</f>
        <v/>
      </c>
      <c r="L593" s="13" t="str">
        <f>IF(IF(ISNA(計算結果!L593),"",計算結果!L593)=0,"",IF(ISNA(計算結果!L593),"",計算結果!L593))</f>
        <v/>
      </c>
      <c r="M593" s="10" t="str">
        <f>IF(IF(ISNA(計算結果!M593),"",計算結果!M593)=0,"",IF(ISNA(計算結果!M593),"",計算結果!M593))</f>
        <v/>
      </c>
      <c r="N593" s="10" t="str">
        <f>IF(IF(ISNA(計算結果!N593),"",計算結果!N593)=0,"",IF(ISNA(計算結果!N593),"",計算結果!N593))</f>
        <v/>
      </c>
      <c r="O593" s="13" t="str">
        <f>IF(IF(ISNA(計算結果!O593),"",計算結果!O593)=0,"",IF(ISNA(計算結果!O593),"",計算結果!O593))</f>
        <v/>
      </c>
      <c r="P593" s="10" t="str">
        <f>IF(IF(ISNA(計算結果!P593),"",計算結果!P593)=0,"",IF(ISNA(計算結果!P593),"",計算結果!P593))</f>
        <v/>
      </c>
      <c r="Q593" s="10" t="str">
        <f>IF(IF(ISNA(計算結果!Q593),"",計算結果!Q593)=0,"",IF(ISNA(計算結果!Q593),"",計算結果!Q593))</f>
        <v/>
      </c>
      <c r="R593" s="14" t="str">
        <f t="shared" si="27"/>
        <v/>
      </c>
      <c r="S593" s="14" t="str">
        <f t="shared" si="28"/>
        <v>◯</v>
      </c>
      <c r="T593" s="14" t="str">
        <f t="shared" si="29"/>
        <v/>
      </c>
    </row>
    <row r="594" spans="1:20" hidden="1" x14ac:dyDescent="0.45">
      <c r="A594" s="10" t="str">
        <f>IF(IF(ISNA(計算結果!A594),"",計算結果!A594)=0,"",IF(ISNA(計算結果!A594),"",計算結果!A594))</f>
        <v/>
      </c>
      <c r="B594" s="10" t="str">
        <f>IF(IF(ISNA(計算結果!B594),"",計算結果!B594)=0,"",IF(ISNA(計算結果!B594),"",計算結果!B594))</f>
        <v/>
      </c>
      <c r="C594" s="10" t="str">
        <f>IF(IF(ISNA(計算結果!C594),"",計算結果!C594)=0,"",IF(ISNA(計算結果!C594),"",計算結果!C594))</f>
        <v/>
      </c>
      <c r="D594" s="10" t="str">
        <f>IF(IF(ISNA(計算結果!D594),"",計算結果!D594)=0,"",IF(ISNA(計算結果!D594),"",計算結果!D594))</f>
        <v>L</v>
      </c>
      <c r="E594" s="10" t="str">
        <f>IF(IF(ISNA(計算結果!E594),"",計算結果!E594)=0,"",IF(ISNA(計算結果!E594),"",計算結果!E594))</f>
        <v/>
      </c>
      <c r="F594" s="10" t="str">
        <f>IF(IF(ISNA(計算結果!F594),"",計算結果!F594)=0,"",IF(ISNA(計算結果!F594),"",計算結果!F594))</f>
        <v/>
      </c>
      <c r="G594" s="10" t="str">
        <f>IF(IF(ISNA(計算結果!G594),"",計算結果!G594)=0,"",IF(ISNA(計算結果!G594),"",計算結果!G594))</f>
        <v/>
      </c>
      <c r="H594" s="13">
        <f>IF(IF(ISNA(計算結果!H594),"",計算結果!H594)=0,"",IF(ISNA(計算結果!H594),"",計算結果!H594))</f>
        <v>-2</v>
      </c>
      <c r="I594" s="12" t="str">
        <f>IF(IF(ISNA(計算結果!I594),"",計算結果!I594)=0,"",IF(ISNA(計算結果!I594),"",計算結果!I594))</f>
        <v/>
      </c>
      <c r="J594" s="12" t="str">
        <f>IF(IF(ISNA(計算結果!J594),"",計算結果!J594)=0,"",IF(ISNA(計算結果!J594),"",計算結果!J594))</f>
        <v/>
      </c>
      <c r="K594" s="23" t="str">
        <f>IF(IF(ISNA(計算結果!K594),"",計算結果!K594)=0,"",IF(ISNA(計算結果!K594),"",計算結果!K594))</f>
        <v/>
      </c>
      <c r="L594" s="13" t="str">
        <f>IF(IF(ISNA(計算結果!L594),"",計算結果!L594)=0,"",IF(ISNA(計算結果!L594),"",計算結果!L594))</f>
        <v/>
      </c>
      <c r="M594" s="10" t="str">
        <f>IF(IF(ISNA(計算結果!M594),"",計算結果!M594)=0,"",IF(ISNA(計算結果!M594),"",計算結果!M594))</f>
        <v/>
      </c>
      <c r="N594" s="10" t="str">
        <f>IF(IF(ISNA(計算結果!N594),"",計算結果!N594)=0,"",IF(ISNA(計算結果!N594),"",計算結果!N594))</f>
        <v/>
      </c>
      <c r="O594" s="13" t="str">
        <f>IF(IF(ISNA(計算結果!O594),"",計算結果!O594)=0,"",IF(ISNA(計算結果!O594),"",計算結果!O594))</f>
        <v/>
      </c>
      <c r="P594" s="10" t="str">
        <f>IF(IF(ISNA(計算結果!P594),"",計算結果!P594)=0,"",IF(ISNA(計算結果!P594),"",計算結果!P594))</f>
        <v/>
      </c>
      <c r="Q594" s="10" t="str">
        <f>IF(IF(ISNA(計算結果!Q594),"",計算結果!Q594)=0,"",IF(ISNA(計算結果!Q594),"",計算結果!Q594))</f>
        <v/>
      </c>
      <c r="R594" s="14" t="str">
        <f t="shared" si="27"/>
        <v/>
      </c>
      <c r="S594" s="14" t="str">
        <f t="shared" si="28"/>
        <v>◯</v>
      </c>
      <c r="T594" s="14" t="str">
        <f t="shared" si="29"/>
        <v/>
      </c>
    </row>
    <row r="595" spans="1:20" hidden="1" x14ac:dyDescent="0.45">
      <c r="A595" s="10" t="str">
        <f>IF(IF(ISNA(計算結果!A595),"",計算結果!A595)=0,"",IF(ISNA(計算結果!A595),"",計算結果!A595))</f>
        <v/>
      </c>
      <c r="B595" s="10" t="str">
        <f>IF(IF(ISNA(計算結果!B595),"",計算結果!B595)=0,"",IF(ISNA(計算結果!B595),"",計算結果!B595))</f>
        <v/>
      </c>
      <c r="C595" s="10" t="str">
        <f>IF(IF(ISNA(計算結果!C595),"",計算結果!C595)=0,"",IF(ISNA(計算結果!C595),"",計算結果!C595))</f>
        <v/>
      </c>
      <c r="D595" s="10" t="str">
        <f>IF(IF(ISNA(計算結果!D595),"",計算結果!D595)=0,"",IF(ISNA(計算結果!D595),"",計算結果!D595))</f>
        <v>L</v>
      </c>
      <c r="E595" s="10" t="str">
        <f>IF(IF(ISNA(計算結果!E595),"",計算結果!E595)=0,"",IF(ISNA(計算結果!E595),"",計算結果!E595))</f>
        <v/>
      </c>
      <c r="F595" s="10" t="str">
        <f>IF(IF(ISNA(計算結果!F595),"",計算結果!F595)=0,"",IF(ISNA(計算結果!F595),"",計算結果!F595))</f>
        <v/>
      </c>
      <c r="G595" s="10" t="str">
        <f>IF(IF(ISNA(計算結果!G595),"",計算結果!G595)=0,"",IF(ISNA(計算結果!G595),"",計算結果!G595))</f>
        <v/>
      </c>
      <c r="H595" s="13">
        <f>IF(IF(ISNA(計算結果!H595),"",計算結果!H595)=0,"",IF(ISNA(計算結果!H595),"",計算結果!H595))</f>
        <v>-2</v>
      </c>
      <c r="I595" s="12" t="str">
        <f>IF(IF(ISNA(計算結果!I595),"",計算結果!I595)=0,"",IF(ISNA(計算結果!I595),"",計算結果!I595))</f>
        <v/>
      </c>
      <c r="J595" s="12" t="str">
        <f>IF(IF(ISNA(計算結果!J595),"",計算結果!J595)=0,"",IF(ISNA(計算結果!J595),"",計算結果!J595))</f>
        <v/>
      </c>
      <c r="K595" s="23" t="str">
        <f>IF(IF(ISNA(計算結果!K595),"",計算結果!K595)=0,"",IF(ISNA(計算結果!K595),"",計算結果!K595))</f>
        <v/>
      </c>
      <c r="L595" s="13" t="str">
        <f>IF(IF(ISNA(計算結果!L595),"",計算結果!L595)=0,"",IF(ISNA(計算結果!L595),"",計算結果!L595))</f>
        <v/>
      </c>
      <c r="M595" s="10" t="str">
        <f>IF(IF(ISNA(計算結果!M595),"",計算結果!M595)=0,"",IF(ISNA(計算結果!M595),"",計算結果!M595))</f>
        <v/>
      </c>
      <c r="N595" s="10" t="str">
        <f>IF(IF(ISNA(計算結果!N595),"",計算結果!N595)=0,"",IF(ISNA(計算結果!N595),"",計算結果!N595))</f>
        <v/>
      </c>
      <c r="O595" s="13" t="str">
        <f>IF(IF(ISNA(計算結果!O595),"",計算結果!O595)=0,"",IF(ISNA(計算結果!O595),"",計算結果!O595))</f>
        <v/>
      </c>
      <c r="P595" s="10" t="str">
        <f>IF(IF(ISNA(計算結果!P595),"",計算結果!P595)=0,"",IF(ISNA(計算結果!P595),"",計算結果!P595))</f>
        <v/>
      </c>
      <c r="Q595" s="10" t="str">
        <f>IF(IF(ISNA(計算結果!Q595),"",計算結果!Q595)=0,"",IF(ISNA(計算結果!Q595),"",計算結果!Q595))</f>
        <v/>
      </c>
      <c r="R595" s="14" t="str">
        <f t="shared" si="27"/>
        <v/>
      </c>
      <c r="S595" s="14" t="str">
        <f t="shared" si="28"/>
        <v>◯</v>
      </c>
      <c r="T595" s="14" t="str">
        <f t="shared" si="29"/>
        <v/>
      </c>
    </row>
    <row r="596" spans="1:20" hidden="1" x14ac:dyDescent="0.45">
      <c r="A596" s="10" t="str">
        <f>IF(IF(ISNA(計算結果!A596),"",計算結果!A596)=0,"",IF(ISNA(計算結果!A596),"",計算結果!A596))</f>
        <v/>
      </c>
      <c r="B596" s="10" t="str">
        <f>IF(IF(ISNA(計算結果!B596),"",計算結果!B596)=0,"",IF(ISNA(計算結果!B596),"",計算結果!B596))</f>
        <v/>
      </c>
      <c r="C596" s="10" t="str">
        <f>IF(IF(ISNA(計算結果!C596),"",計算結果!C596)=0,"",IF(ISNA(計算結果!C596),"",計算結果!C596))</f>
        <v/>
      </c>
      <c r="D596" s="10" t="str">
        <f>IF(IF(ISNA(計算結果!D596),"",計算結果!D596)=0,"",IF(ISNA(計算結果!D596),"",計算結果!D596))</f>
        <v>L</v>
      </c>
      <c r="E596" s="10" t="str">
        <f>IF(IF(ISNA(計算結果!E596),"",計算結果!E596)=0,"",IF(ISNA(計算結果!E596),"",計算結果!E596))</f>
        <v/>
      </c>
      <c r="F596" s="10" t="str">
        <f>IF(IF(ISNA(計算結果!F596),"",計算結果!F596)=0,"",IF(ISNA(計算結果!F596),"",計算結果!F596))</f>
        <v/>
      </c>
      <c r="G596" s="10" t="str">
        <f>IF(IF(ISNA(計算結果!G596),"",計算結果!G596)=0,"",IF(ISNA(計算結果!G596),"",計算結果!G596))</f>
        <v/>
      </c>
      <c r="H596" s="13">
        <f>IF(IF(ISNA(計算結果!H596),"",計算結果!H596)=0,"",IF(ISNA(計算結果!H596),"",計算結果!H596))</f>
        <v>-2</v>
      </c>
      <c r="I596" s="12" t="str">
        <f>IF(IF(ISNA(計算結果!I596),"",計算結果!I596)=0,"",IF(ISNA(計算結果!I596),"",計算結果!I596))</f>
        <v/>
      </c>
      <c r="J596" s="12" t="str">
        <f>IF(IF(ISNA(計算結果!J596),"",計算結果!J596)=0,"",IF(ISNA(計算結果!J596),"",計算結果!J596))</f>
        <v/>
      </c>
      <c r="K596" s="23" t="str">
        <f>IF(IF(ISNA(計算結果!K596),"",計算結果!K596)=0,"",IF(ISNA(計算結果!K596),"",計算結果!K596))</f>
        <v/>
      </c>
      <c r="L596" s="13" t="str">
        <f>IF(IF(ISNA(計算結果!L596),"",計算結果!L596)=0,"",IF(ISNA(計算結果!L596),"",計算結果!L596))</f>
        <v/>
      </c>
      <c r="M596" s="10" t="str">
        <f>IF(IF(ISNA(計算結果!M596),"",計算結果!M596)=0,"",IF(ISNA(計算結果!M596),"",計算結果!M596))</f>
        <v/>
      </c>
      <c r="N596" s="10" t="str">
        <f>IF(IF(ISNA(計算結果!N596),"",計算結果!N596)=0,"",IF(ISNA(計算結果!N596),"",計算結果!N596))</f>
        <v/>
      </c>
      <c r="O596" s="13" t="str">
        <f>IF(IF(ISNA(計算結果!O596),"",計算結果!O596)=0,"",IF(ISNA(計算結果!O596),"",計算結果!O596))</f>
        <v/>
      </c>
      <c r="P596" s="10" t="str">
        <f>IF(IF(ISNA(計算結果!P596),"",計算結果!P596)=0,"",IF(ISNA(計算結果!P596),"",計算結果!P596))</f>
        <v/>
      </c>
      <c r="Q596" s="10" t="str">
        <f>IF(IF(ISNA(計算結果!Q596),"",計算結果!Q596)=0,"",IF(ISNA(計算結果!Q596),"",計算結果!Q596))</f>
        <v/>
      </c>
      <c r="R596" s="14" t="str">
        <f t="shared" si="27"/>
        <v/>
      </c>
      <c r="S596" s="14" t="str">
        <f t="shared" si="28"/>
        <v>◯</v>
      </c>
      <c r="T596" s="14" t="str">
        <f t="shared" si="29"/>
        <v/>
      </c>
    </row>
    <row r="597" spans="1:20" hidden="1" x14ac:dyDescent="0.45">
      <c r="A597" s="10" t="str">
        <f>IF(IF(ISNA(計算結果!A597),"",計算結果!A597)=0,"",IF(ISNA(計算結果!A597),"",計算結果!A597))</f>
        <v/>
      </c>
      <c r="B597" s="10" t="str">
        <f>IF(IF(ISNA(計算結果!B597),"",計算結果!B597)=0,"",IF(ISNA(計算結果!B597),"",計算結果!B597))</f>
        <v/>
      </c>
      <c r="C597" s="10" t="str">
        <f>IF(IF(ISNA(計算結果!C597),"",計算結果!C597)=0,"",IF(ISNA(計算結果!C597),"",計算結果!C597))</f>
        <v/>
      </c>
      <c r="D597" s="10" t="str">
        <f>IF(IF(ISNA(計算結果!D597),"",計算結果!D597)=0,"",IF(ISNA(計算結果!D597),"",計算結果!D597))</f>
        <v>L</v>
      </c>
      <c r="E597" s="10" t="str">
        <f>IF(IF(ISNA(計算結果!E597),"",計算結果!E597)=0,"",IF(ISNA(計算結果!E597),"",計算結果!E597))</f>
        <v/>
      </c>
      <c r="F597" s="10" t="str">
        <f>IF(IF(ISNA(計算結果!F597),"",計算結果!F597)=0,"",IF(ISNA(計算結果!F597),"",計算結果!F597))</f>
        <v/>
      </c>
      <c r="G597" s="10" t="str">
        <f>IF(IF(ISNA(計算結果!G597),"",計算結果!G597)=0,"",IF(ISNA(計算結果!G597),"",計算結果!G597))</f>
        <v/>
      </c>
      <c r="H597" s="13">
        <f>IF(IF(ISNA(計算結果!H597),"",計算結果!H597)=0,"",IF(ISNA(計算結果!H597),"",計算結果!H597))</f>
        <v>-2</v>
      </c>
      <c r="I597" s="12" t="str">
        <f>IF(IF(ISNA(計算結果!I597),"",計算結果!I597)=0,"",IF(ISNA(計算結果!I597),"",計算結果!I597))</f>
        <v/>
      </c>
      <c r="J597" s="12" t="str">
        <f>IF(IF(ISNA(計算結果!J597),"",計算結果!J597)=0,"",IF(ISNA(計算結果!J597),"",計算結果!J597))</f>
        <v/>
      </c>
      <c r="K597" s="23" t="str">
        <f>IF(IF(ISNA(計算結果!K597),"",計算結果!K597)=0,"",IF(ISNA(計算結果!K597),"",計算結果!K597))</f>
        <v/>
      </c>
      <c r="L597" s="13" t="str">
        <f>IF(IF(ISNA(計算結果!L597),"",計算結果!L597)=0,"",IF(ISNA(計算結果!L597),"",計算結果!L597))</f>
        <v/>
      </c>
      <c r="M597" s="10" t="str">
        <f>IF(IF(ISNA(計算結果!M597),"",計算結果!M597)=0,"",IF(ISNA(計算結果!M597),"",計算結果!M597))</f>
        <v/>
      </c>
      <c r="N597" s="10" t="str">
        <f>IF(IF(ISNA(計算結果!N597),"",計算結果!N597)=0,"",IF(ISNA(計算結果!N597),"",計算結果!N597))</f>
        <v/>
      </c>
      <c r="O597" s="13" t="str">
        <f>IF(IF(ISNA(計算結果!O597),"",計算結果!O597)=0,"",IF(ISNA(計算結果!O597),"",計算結果!O597))</f>
        <v/>
      </c>
      <c r="P597" s="10" t="str">
        <f>IF(IF(ISNA(計算結果!P597),"",計算結果!P597)=0,"",IF(ISNA(計算結果!P597),"",計算結果!P597))</f>
        <v/>
      </c>
      <c r="Q597" s="10" t="str">
        <f>IF(IF(ISNA(計算結果!Q597),"",計算結果!Q597)=0,"",IF(ISNA(計算結果!Q597),"",計算結果!Q597))</f>
        <v/>
      </c>
      <c r="R597" s="14" t="str">
        <f t="shared" si="27"/>
        <v/>
      </c>
      <c r="S597" s="14" t="str">
        <f t="shared" si="28"/>
        <v>◯</v>
      </c>
      <c r="T597" s="14" t="str">
        <f t="shared" si="29"/>
        <v/>
      </c>
    </row>
    <row r="598" spans="1:20" hidden="1" x14ac:dyDescent="0.45">
      <c r="A598" s="10" t="str">
        <f>IF(IF(ISNA(計算結果!A598),"",計算結果!A598)=0,"",IF(ISNA(計算結果!A598),"",計算結果!A598))</f>
        <v/>
      </c>
      <c r="B598" s="10" t="str">
        <f>IF(IF(ISNA(計算結果!B598),"",計算結果!B598)=0,"",IF(ISNA(計算結果!B598),"",計算結果!B598))</f>
        <v/>
      </c>
      <c r="C598" s="10" t="str">
        <f>IF(IF(ISNA(計算結果!C598),"",計算結果!C598)=0,"",IF(ISNA(計算結果!C598),"",計算結果!C598))</f>
        <v/>
      </c>
      <c r="D598" s="10" t="str">
        <f>IF(IF(ISNA(計算結果!D598),"",計算結果!D598)=0,"",IF(ISNA(計算結果!D598),"",計算結果!D598))</f>
        <v>L</v>
      </c>
      <c r="E598" s="10" t="str">
        <f>IF(IF(ISNA(計算結果!E598),"",計算結果!E598)=0,"",IF(ISNA(計算結果!E598),"",計算結果!E598))</f>
        <v/>
      </c>
      <c r="F598" s="10" t="str">
        <f>IF(IF(ISNA(計算結果!F598),"",計算結果!F598)=0,"",IF(ISNA(計算結果!F598),"",計算結果!F598))</f>
        <v/>
      </c>
      <c r="G598" s="10" t="str">
        <f>IF(IF(ISNA(計算結果!G598),"",計算結果!G598)=0,"",IF(ISNA(計算結果!G598),"",計算結果!G598))</f>
        <v/>
      </c>
      <c r="H598" s="13">
        <f>IF(IF(ISNA(計算結果!H598),"",計算結果!H598)=0,"",IF(ISNA(計算結果!H598),"",計算結果!H598))</f>
        <v>-2</v>
      </c>
      <c r="I598" s="12" t="str">
        <f>IF(IF(ISNA(計算結果!I598),"",計算結果!I598)=0,"",IF(ISNA(計算結果!I598),"",計算結果!I598))</f>
        <v/>
      </c>
      <c r="J598" s="12" t="str">
        <f>IF(IF(ISNA(計算結果!J598),"",計算結果!J598)=0,"",IF(ISNA(計算結果!J598),"",計算結果!J598))</f>
        <v/>
      </c>
      <c r="K598" s="23" t="str">
        <f>IF(IF(ISNA(計算結果!K598),"",計算結果!K598)=0,"",IF(ISNA(計算結果!K598),"",計算結果!K598))</f>
        <v/>
      </c>
      <c r="L598" s="13" t="str">
        <f>IF(IF(ISNA(計算結果!L598),"",計算結果!L598)=0,"",IF(ISNA(計算結果!L598),"",計算結果!L598))</f>
        <v/>
      </c>
      <c r="M598" s="10" t="str">
        <f>IF(IF(ISNA(計算結果!M598),"",計算結果!M598)=0,"",IF(ISNA(計算結果!M598),"",計算結果!M598))</f>
        <v/>
      </c>
      <c r="N598" s="10" t="str">
        <f>IF(IF(ISNA(計算結果!N598),"",計算結果!N598)=0,"",IF(ISNA(計算結果!N598),"",計算結果!N598))</f>
        <v/>
      </c>
      <c r="O598" s="13" t="str">
        <f>IF(IF(ISNA(計算結果!O598),"",計算結果!O598)=0,"",IF(ISNA(計算結果!O598),"",計算結果!O598))</f>
        <v/>
      </c>
      <c r="P598" s="10" t="str">
        <f>IF(IF(ISNA(計算結果!P598),"",計算結果!P598)=0,"",IF(ISNA(計算結果!P598),"",計算結果!P598))</f>
        <v/>
      </c>
      <c r="Q598" s="10" t="str">
        <f>IF(IF(ISNA(計算結果!Q598),"",計算結果!Q598)=0,"",IF(ISNA(計算結果!Q598),"",計算結果!Q598))</f>
        <v/>
      </c>
      <c r="R598" s="14" t="str">
        <f t="shared" si="27"/>
        <v/>
      </c>
      <c r="S598" s="14" t="str">
        <f t="shared" si="28"/>
        <v>◯</v>
      </c>
      <c r="T598" s="14" t="str">
        <f t="shared" si="29"/>
        <v/>
      </c>
    </row>
    <row r="599" spans="1:20" hidden="1" x14ac:dyDescent="0.45">
      <c r="A599" s="10" t="str">
        <f>IF(IF(ISNA(計算結果!A599),"",計算結果!A599)=0,"",IF(ISNA(計算結果!A599),"",計算結果!A599))</f>
        <v/>
      </c>
      <c r="B599" s="10" t="str">
        <f>IF(IF(ISNA(計算結果!B599),"",計算結果!B599)=0,"",IF(ISNA(計算結果!B599),"",計算結果!B599))</f>
        <v/>
      </c>
      <c r="C599" s="10" t="str">
        <f>IF(IF(ISNA(計算結果!C599),"",計算結果!C599)=0,"",IF(ISNA(計算結果!C599),"",計算結果!C599))</f>
        <v/>
      </c>
      <c r="D599" s="10" t="str">
        <f>IF(IF(ISNA(計算結果!D599),"",計算結果!D599)=0,"",IF(ISNA(計算結果!D599),"",計算結果!D599))</f>
        <v>L</v>
      </c>
      <c r="E599" s="10" t="str">
        <f>IF(IF(ISNA(計算結果!E599),"",計算結果!E599)=0,"",IF(ISNA(計算結果!E599),"",計算結果!E599))</f>
        <v/>
      </c>
      <c r="F599" s="10" t="str">
        <f>IF(IF(ISNA(計算結果!F599),"",計算結果!F599)=0,"",IF(ISNA(計算結果!F599),"",計算結果!F599))</f>
        <v/>
      </c>
      <c r="G599" s="10" t="str">
        <f>IF(IF(ISNA(計算結果!G599),"",計算結果!G599)=0,"",IF(ISNA(計算結果!G599),"",計算結果!G599))</f>
        <v/>
      </c>
      <c r="H599" s="13">
        <f>IF(IF(ISNA(計算結果!H599),"",計算結果!H599)=0,"",IF(ISNA(計算結果!H599),"",計算結果!H599))</f>
        <v>-2</v>
      </c>
      <c r="I599" s="12" t="str">
        <f>IF(IF(ISNA(計算結果!I599),"",計算結果!I599)=0,"",IF(ISNA(計算結果!I599),"",計算結果!I599))</f>
        <v/>
      </c>
      <c r="J599" s="12" t="str">
        <f>IF(IF(ISNA(計算結果!J599),"",計算結果!J599)=0,"",IF(ISNA(計算結果!J599),"",計算結果!J599))</f>
        <v/>
      </c>
      <c r="K599" s="23" t="str">
        <f>IF(IF(ISNA(計算結果!K599),"",計算結果!K599)=0,"",IF(ISNA(計算結果!K599),"",計算結果!K599))</f>
        <v/>
      </c>
      <c r="L599" s="13" t="str">
        <f>IF(IF(ISNA(計算結果!L599),"",計算結果!L599)=0,"",IF(ISNA(計算結果!L599),"",計算結果!L599))</f>
        <v/>
      </c>
      <c r="M599" s="10" t="str">
        <f>IF(IF(ISNA(計算結果!M599),"",計算結果!M599)=0,"",IF(ISNA(計算結果!M599),"",計算結果!M599))</f>
        <v/>
      </c>
      <c r="N599" s="10" t="str">
        <f>IF(IF(ISNA(計算結果!N599),"",計算結果!N599)=0,"",IF(ISNA(計算結果!N599),"",計算結果!N599))</f>
        <v/>
      </c>
      <c r="O599" s="13" t="str">
        <f>IF(IF(ISNA(計算結果!O599),"",計算結果!O599)=0,"",IF(ISNA(計算結果!O599),"",計算結果!O599))</f>
        <v/>
      </c>
      <c r="P599" s="10" t="str">
        <f>IF(IF(ISNA(計算結果!P599),"",計算結果!P599)=0,"",IF(ISNA(計算結果!P599),"",計算結果!P599))</f>
        <v/>
      </c>
      <c r="Q599" s="10" t="str">
        <f>IF(IF(ISNA(計算結果!Q599),"",計算結果!Q599)=0,"",IF(ISNA(計算結果!Q599),"",計算結果!Q599))</f>
        <v/>
      </c>
      <c r="R599" s="14" t="str">
        <f t="shared" si="27"/>
        <v/>
      </c>
      <c r="S599" s="14" t="str">
        <f t="shared" si="28"/>
        <v>◯</v>
      </c>
      <c r="T599" s="14" t="str">
        <f t="shared" si="29"/>
        <v/>
      </c>
    </row>
    <row r="600" spans="1:20" hidden="1" x14ac:dyDescent="0.45">
      <c r="A600" s="10" t="str">
        <f>IF(IF(ISNA(計算結果!A600),"",計算結果!A600)=0,"",IF(ISNA(計算結果!A600),"",計算結果!A600))</f>
        <v/>
      </c>
      <c r="B600" s="10" t="str">
        <f>IF(IF(ISNA(計算結果!B600),"",計算結果!B600)=0,"",IF(ISNA(計算結果!B600),"",計算結果!B600))</f>
        <v/>
      </c>
      <c r="C600" s="10" t="str">
        <f>IF(IF(ISNA(計算結果!C600),"",計算結果!C600)=0,"",IF(ISNA(計算結果!C600),"",計算結果!C600))</f>
        <v/>
      </c>
      <c r="D600" s="10" t="str">
        <f>IF(IF(ISNA(計算結果!D600),"",計算結果!D600)=0,"",IF(ISNA(計算結果!D600),"",計算結果!D600))</f>
        <v>L</v>
      </c>
      <c r="E600" s="10" t="str">
        <f>IF(IF(ISNA(計算結果!E600),"",計算結果!E600)=0,"",IF(ISNA(計算結果!E600),"",計算結果!E600))</f>
        <v/>
      </c>
      <c r="F600" s="10" t="str">
        <f>IF(IF(ISNA(計算結果!F600),"",計算結果!F600)=0,"",IF(ISNA(計算結果!F600),"",計算結果!F600))</f>
        <v/>
      </c>
      <c r="G600" s="10" t="str">
        <f>IF(IF(ISNA(計算結果!G600),"",計算結果!G600)=0,"",IF(ISNA(計算結果!G600),"",計算結果!G600))</f>
        <v/>
      </c>
      <c r="H600" s="13">
        <f>IF(IF(ISNA(計算結果!H600),"",計算結果!H600)=0,"",IF(ISNA(計算結果!H600),"",計算結果!H600))</f>
        <v>-2</v>
      </c>
      <c r="I600" s="12" t="str">
        <f>IF(IF(ISNA(計算結果!I600),"",計算結果!I600)=0,"",IF(ISNA(計算結果!I600),"",計算結果!I600))</f>
        <v/>
      </c>
      <c r="J600" s="12" t="str">
        <f>IF(IF(ISNA(計算結果!J600),"",計算結果!J600)=0,"",IF(ISNA(計算結果!J600),"",計算結果!J600))</f>
        <v/>
      </c>
      <c r="K600" s="23" t="str">
        <f>IF(IF(ISNA(計算結果!K600),"",計算結果!K600)=0,"",IF(ISNA(計算結果!K600),"",計算結果!K600))</f>
        <v/>
      </c>
      <c r="L600" s="13" t="str">
        <f>IF(IF(ISNA(計算結果!L600),"",計算結果!L600)=0,"",IF(ISNA(計算結果!L600),"",計算結果!L600))</f>
        <v/>
      </c>
      <c r="M600" s="10" t="str">
        <f>IF(IF(ISNA(計算結果!M600),"",計算結果!M600)=0,"",IF(ISNA(計算結果!M600),"",計算結果!M600))</f>
        <v/>
      </c>
      <c r="N600" s="10" t="str">
        <f>IF(IF(ISNA(計算結果!N600),"",計算結果!N600)=0,"",IF(ISNA(計算結果!N600),"",計算結果!N600))</f>
        <v/>
      </c>
      <c r="O600" s="13" t="str">
        <f>IF(IF(ISNA(計算結果!O600),"",計算結果!O600)=0,"",IF(ISNA(計算結果!O600),"",計算結果!O600))</f>
        <v/>
      </c>
      <c r="P600" s="10" t="str">
        <f>IF(IF(ISNA(計算結果!P600),"",計算結果!P600)=0,"",IF(ISNA(計算結果!P600),"",計算結果!P600))</f>
        <v/>
      </c>
      <c r="Q600" s="10" t="str">
        <f>IF(IF(ISNA(計算結果!Q600),"",計算結果!Q600)=0,"",IF(ISNA(計算結果!Q600),"",計算結果!Q600))</f>
        <v/>
      </c>
      <c r="R600" s="14" t="str">
        <f t="shared" si="27"/>
        <v/>
      </c>
      <c r="S600" s="14" t="str">
        <f t="shared" si="28"/>
        <v>◯</v>
      </c>
      <c r="T600" s="14" t="str">
        <f t="shared" si="29"/>
        <v/>
      </c>
    </row>
    <row r="601" spans="1:20" hidden="1" x14ac:dyDescent="0.45">
      <c r="A601" s="10" t="str">
        <f>IF(IF(ISNA(計算結果!A601),"",計算結果!A601)=0,"",IF(ISNA(計算結果!A601),"",計算結果!A601))</f>
        <v/>
      </c>
      <c r="B601" s="10" t="str">
        <f>IF(IF(ISNA(計算結果!B601),"",計算結果!B601)=0,"",IF(ISNA(計算結果!B601),"",計算結果!B601))</f>
        <v/>
      </c>
      <c r="C601" s="10" t="str">
        <f>IF(IF(ISNA(計算結果!C601),"",計算結果!C601)=0,"",IF(ISNA(計算結果!C601),"",計算結果!C601))</f>
        <v/>
      </c>
      <c r="D601" s="10" t="str">
        <f>IF(IF(ISNA(計算結果!D601),"",計算結果!D601)=0,"",IF(ISNA(計算結果!D601),"",計算結果!D601))</f>
        <v>L</v>
      </c>
      <c r="E601" s="10" t="str">
        <f>IF(IF(ISNA(計算結果!E601),"",計算結果!E601)=0,"",IF(ISNA(計算結果!E601),"",計算結果!E601))</f>
        <v/>
      </c>
      <c r="F601" s="10" t="str">
        <f>IF(IF(ISNA(計算結果!F601),"",計算結果!F601)=0,"",IF(ISNA(計算結果!F601),"",計算結果!F601))</f>
        <v/>
      </c>
      <c r="G601" s="10" t="str">
        <f>IF(IF(ISNA(計算結果!G601),"",計算結果!G601)=0,"",IF(ISNA(計算結果!G601),"",計算結果!G601))</f>
        <v/>
      </c>
      <c r="H601" s="13">
        <f>IF(IF(ISNA(計算結果!H601),"",計算結果!H601)=0,"",IF(ISNA(計算結果!H601),"",計算結果!H601))</f>
        <v>-2</v>
      </c>
      <c r="I601" s="12" t="str">
        <f>IF(IF(ISNA(計算結果!I601),"",計算結果!I601)=0,"",IF(ISNA(計算結果!I601),"",計算結果!I601))</f>
        <v/>
      </c>
      <c r="J601" s="12" t="str">
        <f>IF(IF(ISNA(計算結果!J601),"",計算結果!J601)=0,"",IF(ISNA(計算結果!J601),"",計算結果!J601))</f>
        <v/>
      </c>
      <c r="K601" s="23" t="str">
        <f>IF(IF(ISNA(計算結果!K601),"",計算結果!K601)=0,"",IF(ISNA(計算結果!K601),"",計算結果!K601))</f>
        <v/>
      </c>
      <c r="L601" s="13" t="str">
        <f>IF(IF(ISNA(計算結果!L601),"",計算結果!L601)=0,"",IF(ISNA(計算結果!L601),"",計算結果!L601))</f>
        <v/>
      </c>
      <c r="M601" s="10" t="str">
        <f>IF(IF(ISNA(計算結果!M601),"",計算結果!M601)=0,"",IF(ISNA(計算結果!M601),"",計算結果!M601))</f>
        <v/>
      </c>
      <c r="N601" s="10" t="str">
        <f>IF(IF(ISNA(計算結果!N601),"",計算結果!N601)=0,"",IF(ISNA(計算結果!N601),"",計算結果!N601))</f>
        <v/>
      </c>
      <c r="O601" s="13" t="str">
        <f>IF(IF(ISNA(計算結果!O601),"",計算結果!O601)=0,"",IF(ISNA(計算結果!O601),"",計算結果!O601))</f>
        <v/>
      </c>
      <c r="P601" s="10" t="str">
        <f>IF(IF(ISNA(計算結果!P601),"",計算結果!P601)=0,"",IF(ISNA(計算結果!P601),"",計算結果!P601))</f>
        <v/>
      </c>
      <c r="Q601" s="10" t="str">
        <f>IF(IF(ISNA(計算結果!Q601),"",計算結果!Q601)=0,"",IF(ISNA(計算結果!Q601),"",計算結果!Q601))</f>
        <v/>
      </c>
      <c r="R601" s="14" t="str">
        <f t="shared" si="27"/>
        <v/>
      </c>
      <c r="S601" s="14" t="str">
        <f t="shared" si="28"/>
        <v>◯</v>
      </c>
      <c r="T601" s="14" t="str">
        <f t="shared" si="29"/>
        <v/>
      </c>
    </row>
    <row r="602" spans="1:20" hidden="1" x14ac:dyDescent="0.45">
      <c r="A602" s="10" t="str">
        <f>IF(IF(ISNA(計算結果!A602),"",計算結果!A602)=0,"",IF(ISNA(計算結果!A602),"",計算結果!A602))</f>
        <v/>
      </c>
      <c r="B602" s="10" t="str">
        <f>IF(IF(ISNA(計算結果!B602),"",計算結果!B602)=0,"",IF(ISNA(計算結果!B602),"",計算結果!B602))</f>
        <v/>
      </c>
      <c r="C602" s="10" t="str">
        <f>IF(IF(ISNA(計算結果!C602),"",計算結果!C602)=0,"",IF(ISNA(計算結果!C602),"",計算結果!C602))</f>
        <v/>
      </c>
      <c r="D602" s="10" t="str">
        <f>IF(IF(ISNA(計算結果!D602),"",計算結果!D602)=0,"",IF(ISNA(計算結果!D602),"",計算結果!D602))</f>
        <v>L</v>
      </c>
      <c r="E602" s="10" t="str">
        <f>IF(IF(ISNA(計算結果!E602),"",計算結果!E602)=0,"",IF(ISNA(計算結果!E602),"",計算結果!E602))</f>
        <v/>
      </c>
      <c r="F602" s="10" t="str">
        <f>IF(IF(ISNA(計算結果!F602),"",計算結果!F602)=0,"",IF(ISNA(計算結果!F602),"",計算結果!F602))</f>
        <v/>
      </c>
      <c r="G602" s="10" t="str">
        <f>IF(IF(ISNA(計算結果!G602),"",計算結果!G602)=0,"",IF(ISNA(計算結果!G602),"",計算結果!G602))</f>
        <v/>
      </c>
      <c r="H602" s="13">
        <f>IF(IF(ISNA(計算結果!H602),"",計算結果!H602)=0,"",IF(ISNA(計算結果!H602),"",計算結果!H602))</f>
        <v>-2</v>
      </c>
      <c r="I602" s="12" t="str">
        <f>IF(IF(ISNA(計算結果!I602),"",計算結果!I602)=0,"",IF(ISNA(計算結果!I602),"",計算結果!I602))</f>
        <v/>
      </c>
      <c r="J602" s="12" t="str">
        <f>IF(IF(ISNA(計算結果!J602),"",計算結果!J602)=0,"",IF(ISNA(計算結果!J602),"",計算結果!J602))</f>
        <v/>
      </c>
      <c r="K602" s="23" t="str">
        <f>IF(IF(ISNA(計算結果!K602),"",計算結果!K602)=0,"",IF(ISNA(計算結果!K602),"",計算結果!K602))</f>
        <v/>
      </c>
      <c r="L602" s="13" t="str">
        <f>IF(IF(ISNA(計算結果!L602),"",計算結果!L602)=0,"",IF(ISNA(計算結果!L602),"",計算結果!L602))</f>
        <v/>
      </c>
      <c r="M602" s="10" t="str">
        <f>IF(IF(ISNA(計算結果!M602),"",計算結果!M602)=0,"",IF(ISNA(計算結果!M602),"",計算結果!M602))</f>
        <v/>
      </c>
      <c r="N602" s="10" t="str">
        <f>IF(IF(ISNA(計算結果!N602),"",計算結果!N602)=0,"",IF(ISNA(計算結果!N602),"",計算結果!N602))</f>
        <v/>
      </c>
      <c r="O602" s="13" t="str">
        <f>IF(IF(ISNA(計算結果!O602),"",計算結果!O602)=0,"",IF(ISNA(計算結果!O602),"",計算結果!O602))</f>
        <v/>
      </c>
      <c r="P602" s="10" t="str">
        <f>IF(IF(ISNA(計算結果!P602),"",計算結果!P602)=0,"",IF(ISNA(計算結果!P602),"",計算結果!P602))</f>
        <v/>
      </c>
      <c r="Q602" s="10" t="str">
        <f>IF(IF(ISNA(計算結果!Q602),"",計算結果!Q602)=0,"",IF(ISNA(計算結果!Q602),"",計算結果!Q602))</f>
        <v/>
      </c>
      <c r="R602" s="14" t="str">
        <f t="shared" si="27"/>
        <v/>
      </c>
      <c r="S602" s="14" t="str">
        <f t="shared" si="28"/>
        <v>◯</v>
      </c>
      <c r="T602" s="14" t="str">
        <f t="shared" si="29"/>
        <v/>
      </c>
    </row>
    <row r="603" spans="1:20" hidden="1" x14ac:dyDescent="0.45">
      <c r="A603" s="10" t="str">
        <f>IF(IF(ISNA(計算結果!A603),"",計算結果!A603)=0,"",IF(ISNA(計算結果!A603),"",計算結果!A603))</f>
        <v/>
      </c>
      <c r="B603" s="10" t="str">
        <f>IF(IF(ISNA(計算結果!B603),"",計算結果!B603)=0,"",IF(ISNA(計算結果!B603),"",計算結果!B603))</f>
        <v/>
      </c>
      <c r="C603" s="10" t="str">
        <f>IF(IF(ISNA(計算結果!C603),"",計算結果!C603)=0,"",IF(ISNA(計算結果!C603),"",計算結果!C603))</f>
        <v/>
      </c>
      <c r="D603" s="10" t="str">
        <f>IF(IF(ISNA(計算結果!D603),"",計算結果!D603)=0,"",IF(ISNA(計算結果!D603),"",計算結果!D603))</f>
        <v>L</v>
      </c>
      <c r="E603" s="10" t="str">
        <f>IF(IF(ISNA(計算結果!E603),"",計算結果!E603)=0,"",IF(ISNA(計算結果!E603),"",計算結果!E603))</f>
        <v/>
      </c>
      <c r="F603" s="10" t="str">
        <f>IF(IF(ISNA(計算結果!F603),"",計算結果!F603)=0,"",IF(ISNA(計算結果!F603),"",計算結果!F603))</f>
        <v/>
      </c>
      <c r="G603" s="10" t="str">
        <f>IF(IF(ISNA(計算結果!G603),"",計算結果!G603)=0,"",IF(ISNA(計算結果!G603),"",計算結果!G603))</f>
        <v/>
      </c>
      <c r="H603" s="13">
        <f>IF(IF(ISNA(計算結果!H603),"",計算結果!H603)=0,"",IF(ISNA(計算結果!H603),"",計算結果!H603))</f>
        <v>-2</v>
      </c>
      <c r="I603" s="12" t="str">
        <f>IF(IF(ISNA(計算結果!I603),"",計算結果!I603)=0,"",IF(ISNA(計算結果!I603),"",計算結果!I603))</f>
        <v/>
      </c>
      <c r="J603" s="12" t="str">
        <f>IF(IF(ISNA(計算結果!J603),"",計算結果!J603)=0,"",IF(ISNA(計算結果!J603),"",計算結果!J603))</f>
        <v/>
      </c>
      <c r="K603" s="23" t="str">
        <f>IF(IF(ISNA(計算結果!K603),"",計算結果!K603)=0,"",IF(ISNA(計算結果!K603),"",計算結果!K603))</f>
        <v/>
      </c>
      <c r="L603" s="13" t="str">
        <f>IF(IF(ISNA(計算結果!L603),"",計算結果!L603)=0,"",IF(ISNA(計算結果!L603),"",計算結果!L603))</f>
        <v/>
      </c>
      <c r="M603" s="10" t="str">
        <f>IF(IF(ISNA(計算結果!M603),"",計算結果!M603)=0,"",IF(ISNA(計算結果!M603),"",計算結果!M603))</f>
        <v/>
      </c>
      <c r="N603" s="10" t="str">
        <f>IF(IF(ISNA(計算結果!N603),"",計算結果!N603)=0,"",IF(ISNA(計算結果!N603),"",計算結果!N603))</f>
        <v/>
      </c>
      <c r="O603" s="13" t="str">
        <f>IF(IF(ISNA(計算結果!O603),"",計算結果!O603)=0,"",IF(ISNA(計算結果!O603),"",計算結果!O603))</f>
        <v/>
      </c>
      <c r="P603" s="10" t="str">
        <f>IF(IF(ISNA(計算結果!P603),"",計算結果!P603)=0,"",IF(ISNA(計算結果!P603),"",計算結果!P603))</f>
        <v/>
      </c>
      <c r="Q603" s="10" t="str">
        <f>IF(IF(ISNA(計算結果!Q603),"",計算結果!Q603)=0,"",IF(ISNA(計算結果!Q603),"",計算結果!Q603))</f>
        <v/>
      </c>
      <c r="R603" s="14" t="str">
        <f t="shared" si="27"/>
        <v/>
      </c>
      <c r="S603" s="14" t="str">
        <f t="shared" si="28"/>
        <v>◯</v>
      </c>
      <c r="T603" s="14" t="str">
        <f t="shared" si="29"/>
        <v/>
      </c>
    </row>
    <row r="604" spans="1:20" hidden="1" x14ac:dyDescent="0.45">
      <c r="A604" s="10" t="str">
        <f>IF(IF(ISNA(計算結果!A604),"",計算結果!A604)=0,"",IF(ISNA(計算結果!A604),"",計算結果!A604))</f>
        <v/>
      </c>
      <c r="B604" s="10" t="str">
        <f>IF(IF(ISNA(計算結果!B604),"",計算結果!B604)=0,"",IF(ISNA(計算結果!B604),"",計算結果!B604))</f>
        <v/>
      </c>
      <c r="C604" s="10" t="str">
        <f>IF(IF(ISNA(計算結果!C604),"",計算結果!C604)=0,"",IF(ISNA(計算結果!C604),"",計算結果!C604))</f>
        <v/>
      </c>
      <c r="D604" s="10" t="str">
        <f>IF(IF(ISNA(計算結果!D604),"",計算結果!D604)=0,"",IF(ISNA(計算結果!D604),"",計算結果!D604))</f>
        <v>L</v>
      </c>
      <c r="E604" s="10" t="str">
        <f>IF(IF(ISNA(計算結果!E604),"",計算結果!E604)=0,"",IF(ISNA(計算結果!E604),"",計算結果!E604))</f>
        <v/>
      </c>
      <c r="F604" s="10" t="str">
        <f>IF(IF(ISNA(計算結果!F604),"",計算結果!F604)=0,"",IF(ISNA(計算結果!F604),"",計算結果!F604))</f>
        <v/>
      </c>
      <c r="G604" s="10" t="str">
        <f>IF(IF(ISNA(計算結果!G604),"",計算結果!G604)=0,"",IF(ISNA(計算結果!G604),"",計算結果!G604))</f>
        <v/>
      </c>
      <c r="H604" s="13">
        <f>IF(IF(ISNA(計算結果!H604),"",計算結果!H604)=0,"",IF(ISNA(計算結果!H604),"",計算結果!H604))</f>
        <v>-2</v>
      </c>
      <c r="I604" s="12" t="str">
        <f>IF(IF(ISNA(計算結果!I604),"",計算結果!I604)=0,"",IF(ISNA(計算結果!I604),"",計算結果!I604))</f>
        <v/>
      </c>
      <c r="J604" s="12" t="str">
        <f>IF(IF(ISNA(計算結果!J604),"",計算結果!J604)=0,"",IF(ISNA(計算結果!J604),"",計算結果!J604))</f>
        <v/>
      </c>
      <c r="K604" s="23" t="str">
        <f>IF(IF(ISNA(計算結果!K604),"",計算結果!K604)=0,"",IF(ISNA(計算結果!K604),"",計算結果!K604))</f>
        <v/>
      </c>
      <c r="L604" s="13" t="str">
        <f>IF(IF(ISNA(計算結果!L604),"",計算結果!L604)=0,"",IF(ISNA(計算結果!L604),"",計算結果!L604))</f>
        <v/>
      </c>
      <c r="M604" s="10" t="str">
        <f>IF(IF(ISNA(計算結果!M604),"",計算結果!M604)=0,"",IF(ISNA(計算結果!M604),"",計算結果!M604))</f>
        <v/>
      </c>
      <c r="N604" s="10" t="str">
        <f>IF(IF(ISNA(計算結果!N604),"",計算結果!N604)=0,"",IF(ISNA(計算結果!N604),"",計算結果!N604))</f>
        <v/>
      </c>
      <c r="O604" s="13" t="str">
        <f>IF(IF(ISNA(計算結果!O604),"",計算結果!O604)=0,"",IF(ISNA(計算結果!O604),"",計算結果!O604))</f>
        <v/>
      </c>
      <c r="P604" s="10" t="str">
        <f>IF(IF(ISNA(計算結果!P604),"",計算結果!P604)=0,"",IF(ISNA(計算結果!P604),"",計算結果!P604))</f>
        <v/>
      </c>
      <c r="Q604" s="10" t="str">
        <f>IF(IF(ISNA(計算結果!Q604),"",計算結果!Q604)=0,"",IF(ISNA(計算結果!Q604),"",計算結果!Q604))</f>
        <v/>
      </c>
      <c r="R604" s="14" t="str">
        <f t="shared" si="27"/>
        <v/>
      </c>
      <c r="S604" s="14" t="str">
        <f t="shared" si="28"/>
        <v>◯</v>
      </c>
      <c r="T604" s="14" t="str">
        <f t="shared" si="29"/>
        <v/>
      </c>
    </row>
    <row r="605" spans="1:20" hidden="1" x14ac:dyDescent="0.45">
      <c r="A605" s="10" t="str">
        <f>IF(IF(ISNA(計算結果!A605),"",計算結果!A605)=0,"",IF(ISNA(計算結果!A605),"",計算結果!A605))</f>
        <v/>
      </c>
      <c r="B605" s="10" t="str">
        <f>IF(IF(ISNA(計算結果!B605),"",計算結果!B605)=0,"",IF(ISNA(計算結果!B605),"",計算結果!B605))</f>
        <v/>
      </c>
      <c r="C605" s="10" t="str">
        <f>IF(IF(ISNA(計算結果!C605),"",計算結果!C605)=0,"",IF(ISNA(計算結果!C605),"",計算結果!C605))</f>
        <v/>
      </c>
      <c r="D605" s="10" t="str">
        <f>IF(IF(ISNA(計算結果!D605),"",計算結果!D605)=0,"",IF(ISNA(計算結果!D605),"",計算結果!D605))</f>
        <v>L</v>
      </c>
      <c r="E605" s="10" t="str">
        <f>IF(IF(ISNA(計算結果!E605),"",計算結果!E605)=0,"",IF(ISNA(計算結果!E605),"",計算結果!E605))</f>
        <v/>
      </c>
      <c r="F605" s="10" t="str">
        <f>IF(IF(ISNA(計算結果!F605),"",計算結果!F605)=0,"",IF(ISNA(計算結果!F605),"",計算結果!F605))</f>
        <v/>
      </c>
      <c r="G605" s="10" t="str">
        <f>IF(IF(ISNA(計算結果!G605),"",計算結果!G605)=0,"",IF(ISNA(計算結果!G605),"",計算結果!G605))</f>
        <v/>
      </c>
      <c r="H605" s="13">
        <f>IF(IF(ISNA(計算結果!H605),"",計算結果!H605)=0,"",IF(ISNA(計算結果!H605),"",計算結果!H605))</f>
        <v>-2</v>
      </c>
      <c r="I605" s="12" t="str">
        <f>IF(IF(ISNA(計算結果!I605),"",計算結果!I605)=0,"",IF(ISNA(計算結果!I605),"",計算結果!I605))</f>
        <v/>
      </c>
      <c r="J605" s="12" t="str">
        <f>IF(IF(ISNA(計算結果!J605),"",計算結果!J605)=0,"",IF(ISNA(計算結果!J605),"",計算結果!J605))</f>
        <v/>
      </c>
      <c r="K605" s="23" t="str">
        <f>IF(IF(ISNA(計算結果!K605),"",計算結果!K605)=0,"",IF(ISNA(計算結果!K605),"",計算結果!K605))</f>
        <v/>
      </c>
      <c r="L605" s="13" t="str">
        <f>IF(IF(ISNA(計算結果!L605),"",計算結果!L605)=0,"",IF(ISNA(計算結果!L605),"",計算結果!L605))</f>
        <v/>
      </c>
      <c r="M605" s="10" t="str">
        <f>IF(IF(ISNA(計算結果!M605),"",計算結果!M605)=0,"",IF(ISNA(計算結果!M605),"",計算結果!M605))</f>
        <v/>
      </c>
      <c r="N605" s="10" t="str">
        <f>IF(IF(ISNA(計算結果!N605),"",計算結果!N605)=0,"",IF(ISNA(計算結果!N605),"",計算結果!N605))</f>
        <v/>
      </c>
      <c r="O605" s="13" t="str">
        <f>IF(IF(ISNA(計算結果!O605),"",計算結果!O605)=0,"",IF(ISNA(計算結果!O605),"",計算結果!O605))</f>
        <v/>
      </c>
      <c r="P605" s="10" t="str">
        <f>IF(IF(ISNA(計算結果!P605),"",計算結果!P605)=0,"",IF(ISNA(計算結果!P605),"",計算結果!P605))</f>
        <v/>
      </c>
      <c r="Q605" s="10" t="str">
        <f>IF(IF(ISNA(計算結果!Q605),"",計算結果!Q605)=0,"",IF(ISNA(計算結果!Q605),"",計算結果!Q605))</f>
        <v/>
      </c>
      <c r="R605" s="14" t="str">
        <f t="shared" si="27"/>
        <v/>
      </c>
      <c r="S605" s="14" t="str">
        <f t="shared" si="28"/>
        <v>◯</v>
      </c>
      <c r="T605" s="14" t="str">
        <f t="shared" si="29"/>
        <v/>
      </c>
    </row>
    <row r="606" spans="1:20" hidden="1" x14ac:dyDescent="0.45">
      <c r="A606" s="10" t="str">
        <f>IF(IF(ISNA(計算結果!A606),"",計算結果!A606)=0,"",IF(ISNA(計算結果!A606),"",計算結果!A606))</f>
        <v/>
      </c>
      <c r="B606" s="10" t="str">
        <f>IF(IF(ISNA(計算結果!B606),"",計算結果!B606)=0,"",IF(ISNA(計算結果!B606),"",計算結果!B606))</f>
        <v/>
      </c>
      <c r="C606" s="10" t="str">
        <f>IF(IF(ISNA(計算結果!C606),"",計算結果!C606)=0,"",IF(ISNA(計算結果!C606),"",計算結果!C606))</f>
        <v/>
      </c>
      <c r="D606" s="10" t="str">
        <f>IF(IF(ISNA(計算結果!D606),"",計算結果!D606)=0,"",IF(ISNA(計算結果!D606),"",計算結果!D606))</f>
        <v>L</v>
      </c>
      <c r="E606" s="10" t="str">
        <f>IF(IF(ISNA(計算結果!E606),"",計算結果!E606)=0,"",IF(ISNA(計算結果!E606),"",計算結果!E606))</f>
        <v/>
      </c>
      <c r="F606" s="10" t="str">
        <f>IF(IF(ISNA(計算結果!F606),"",計算結果!F606)=0,"",IF(ISNA(計算結果!F606),"",計算結果!F606))</f>
        <v/>
      </c>
      <c r="G606" s="10" t="str">
        <f>IF(IF(ISNA(計算結果!G606),"",計算結果!G606)=0,"",IF(ISNA(計算結果!G606),"",計算結果!G606))</f>
        <v/>
      </c>
      <c r="H606" s="13">
        <f>IF(IF(ISNA(計算結果!H606),"",計算結果!H606)=0,"",IF(ISNA(計算結果!H606),"",計算結果!H606))</f>
        <v>-2</v>
      </c>
      <c r="I606" s="12" t="str">
        <f>IF(IF(ISNA(計算結果!I606),"",計算結果!I606)=0,"",IF(ISNA(計算結果!I606),"",計算結果!I606))</f>
        <v/>
      </c>
      <c r="J606" s="12" t="str">
        <f>IF(IF(ISNA(計算結果!J606),"",計算結果!J606)=0,"",IF(ISNA(計算結果!J606),"",計算結果!J606))</f>
        <v/>
      </c>
      <c r="K606" s="23" t="str">
        <f>IF(IF(ISNA(計算結果!K606),"",計算結果!K606)=0,"",IF(ISNA(計算結果!K606),"",計算結果!K606))</f>
        <v/>
      </c>
      <c r="L606" s="13" t="str">
        <f>IF(IF(ISNA(計算結果!L606),"",計算結果!L606)=0,"",IF(ISNA(計算結果!L606),"",計算結果!L606))</f>
        <v/>
      </c>
      <c r="M606" s="10" t="str">
        <f>IF(IF(ISNA(計算結果!M606),"",計算結果!M606)=0,"",IF(ISNA(計算結果!M606),"",計算結果!M606))</f>
        <v/>
      </c>
      <c r="N606" s="10" t="str">
        <f>IF(IF(ISNA(計算結果!N606),"",計算結果!N606)=0,"",IF(ISNA(計算結果!N606),"",計算結果!N606))</f>
        <v/>
      </c>
      <c r="O606" s="13" t="str">
        <f>IF(IF(ISNA(計算結果!O606),"",計算結果!O606)=0,"",IF(ISNA(計算結果!O606),"",計算結果!O606))</f>
        <v/>
      </c>
      <c r="P606" s="10" t="str">
        <f>IF(IF(ISNA(計算結果!P606),"",計算結果!P606)=0,"",IF(ISNA(計算結果!P606),"",計算結果!P606))</f>
        <v/>
      </c>
      <c r="Q606" s="10" t="str">
        <f>IF(IF(ISNA(計算結果!Q606),"",計算結果!Q606)=0,"",IF(ISNA(計算結果!Q606),"",計算結果!Q606))</f>
        <v/>
      </c>
      <c r="R606" s="14" t="str">
        <f t="shared" si="27"/>
        <v/>
      </c>
      <c r="S606" s="14" t="str">
        <f t="shared" si="28"/>
        <v>◯</v>
      </c>
      <c r="T606" s="14" t="str">
        <f t="shared" si="29"/>
        <v/>
      </c>
    </row>
    <row r="607" spans="1:20" hidden="1" x14ac:dyDescent="0.45">
      <c r="A607" s="10" t="str">
        <f>IF(IF(ISNA(計算結果!A607),"",計算結果!A607)=0,"",IF(ISNA(計算結果!A607),"",計算結果!A607))</f>
        <v/>
      </c>
      <c r="B607" s="10" t="str">
        <f>IF(IF(ISNA(計算結果!B607),"",計算結果!B607)=0,"",IF(ISNA(計算結果!B607),"",計算結果!B607))</f>
        <v/>
      </c>
      <c r="C607" s="10" t="str">
        <f>IF(IF(ISNA(計算結果!C607),"",計算結果!C607)=0,"",IF(ISNA(計算結果!C607),"",計算結果!C607))</f>
        <v/>
      </c>
      <c r="D607" s="10" t="str">
        <f>IF(IF(ISNA(計算結果!D607),"",計算結果!D607)=0,"",IF(ISNA(計算結果!D607),"",計算結果!D607))</f>
        <v>L</v>
      </c>
      <c r="E607" s="10" t="str">
        <f>IF(IF(ISNA(計算結果!E607),"",計算結果!E607)=0,"",IF(ISNA(計算結果!E607),"",計算結果!E607))</f>
        <v/>
      </c>
      <c r="F607" s="10" t="str">
        <f>IF(IF(ISNA(計算結果!F607),"",計算結果!F607)=0,"",IF(ISNA(計算結果!F607),"",計算結果!F607))</f>
        <v/>
      </c>
      <c r="G607" s="10" t="str">
        <f>IF(IF(ISNA(計算結果!G607),"",計算結果!G607)=0,"",IF(ISNA(計算結果!G607),"",計算結果!G607))</f>
        <v/>
      </c>
      <c r="H607" s="13">
        <f>IF(IF(ISNA(計算結果!H607),"",計算結果!H607)=0,"",IF(ISNA(計算結果!H607),"",計算結果!H607))</f>
        <v>-2</v>
      </c>
      <c r="I607" s="12" t="str">
        <f>IF(IF(ISNA(計算結果!I607),"",計算結果!I607)=0,"",IF(ISNA(計算結果!I607),"",計算結果!I607))</f>
        <v/>
      </c>
      <c r="J607" s="12" t="str">
        <f>IF(IF(ISNA(計算結果!J607),"",計算結果!J607)=0,"",IF(ISNA(計算結果!J607),"",計算結果!J607))</f>
        <v/>
      </c>
      <c r="K607" s="23" t="str">
        <f>IF(IF(ISNA(計算結果!K607),"",計算結果!K607)=0,"",IF(ISNA(計算結果!K607),"",計算結果!K607))</f>
        <v/>
      </c>
      <c r="L607" s="13" t="str">
        <f>IF(IF(ISNA(計算結果!L607),"",計算結果!L607)=0,"",IF(ISNA(計算結果!L607),"",計算結果!L607))</f>
        <v/>
      </c>
      <c r="M607" s="10" t="str">
        <f>IF(IF(ISNA(計算結果!M607),"",計算結果!M607)=0,"",IF(ISNA(計算結果!M607),"",計算結果!M607))</f>
        <v/>
      </c>
      <c r="N607" s="10" t="str">
        <f>IF(IF(ISNA(計算結果!N607),"",計算結果!N607)=0,"",IF(ISNA(計算結果!N607),"",計算結果!N607))</f>
        <v/>
      </c>
      <c r="O607" s="13" t="str">
        <f>IF(IF(ISNA(計算結果!O607),"",計算結果!O607)=0,"",IF(ISNA(計算結果!O607),"",計算結果!O607))</f>
        <v/>
      </c>
      <c r="P607" s="10" t="str">
        <f>IF(IF(ISNA(計算結果!P607),"",計算結果!P607)=0,"",IF(ISNA(計算結果!P607),"",計算結果!P607))</f>
        <v/>
      </c>
      <c r="Q607" s="10" t="str">
        <f>IF(IF(ISNA(計算結果!Q607),"",計算結果!Q607)=0,"",IF(ISNA(計算結果!Q607),"",計算結果!Q607))</f>
        <v/>
      </c>
      <c r="R607" s="14" t="str">
        <f t="shared" si="27"/>
        <v/>
      </c>
      <c r="S607" s="14" t="str">
        <f t="shared" si="28"/>
        <v>◯</v>
      </c>
      <c r="T607" s="14" t="str">
        <f t="shared" si="29"/>
        <v/>
      </c>
    </row>
    <row r="608" spans="1:20" hidden="1" x14ac:dyDescent="0.45">
      <c r="A608" s="10" t="str">
        <f>IF(IF(ISNA(計算結果!A608),"",計算結果!A608)=0,"",IF(ISNA(計算結果!A608),"",計算結果!A608))</f>
        <v/>
      </c>
      <c r="B608" s="10" t="str">
        <f>IF(IF(ISNA(計算結果!B608),"",計算結果!B608)=0,"",IF(ISNA(計算結果!B608),"",計算結果!B608))</f>
        <v/>
      </c>
      <c r="C608" s="10" t="str">
        <f>IF(IF(ISNA(計算結果!C608),"",計算結果!C608)=0,"",IF(ISNA(計算結果!C608),"",計算結果!C608))</f>
        <v/>
      </c>
      <c r="D608" s="10" t="str">
        <f>IF(IF(ISNA(計算結果!D608),"",計算結果!D608)=0,"",IF(ISNA(計算結果!D608),"",計算結果!D608))</f>
        <v>L</v>
      </c>
      <c r="E608" s="10" t="str">
        <f>IF(IF(ISNA(計算結果!E608),"",計算結果!E608)=0,"",IF(ISNA(計算結果!E608),"",計算結果!E608))</f>
        <v/>
      </c>
      <c r="F608" s="10" t="str">
        <f>IF(IF(ISNA(計算結果!F608),"",計算結果!F608)=0,"",IF(ISNA(計算結果!F608),"",計算結果!F608))</f>
        <v/>
      </c>
      <c r="G608" s="10" t="str">
        <f>IF(IF(ISNA(計算結果!G608),"",計算結果!G608)=0,"",IF(ISNA(計算結果!G608),"",計算結果!G608))</f>
        <v/>
      </c>
      <c r="H608" s="13">
        <f>IF(IF(ISNA(計算結果!H608),"",計算結果!H608)=0,"",IF(ISNA(計算結果!H608),"",計算結果!H608))</f>
        <v>-2</v>
      </c>
      <c r="I608" s="12" t="str">
        <f>IF(IF(ISNA(計算結果!I608),"",計算結果!I608)=0,"",IF(ISNA(計算結果!I608),"",計算結果!I608))</f>
        <v/>
      </c>
      <c r="J608" s="12" t="str">
        <f>IF(IF(ISNA(計算結果!J608),"",計算結果!J608)=0,"",IF(ISNA(計算結果!J608),"",計算結果!J608))</f>
        <v/>
      </c>
      <c r="K608" s="23" t="str">
        <f>IF(IF(ISNA(計算結果!K608),"",計算結果!K608)=0,"",IF(ISNA(計算結果!K608),"",計算結果!K608))</f>
        <v/>
      </c>
      <c r="L608" s="13" t="str">
        <f>IF(IF(ISNA(計算結果!L608),"",計算結果!L608)=0,"",IF(ISNA(計算結果!L608),"",計算結果!L608))</f>
        <v/>
      </c>
      <c r="M608" s="10" t="str">
        <f>IF(IF(ISNA(計算結果!M608),"",計算結果!M608)=0,"",IF(ISNA(計算結果!M608),"",計算結果!M608))</f>
        <v/>
      </c>
      <c r="N608" s="10" t="str">
        <f>IF(IF(ISNA(計算結果!N608),"",計算結果!N608)=0,"",IF(ISNA(計算結果!N608),"",計算結果!N608))</f>
        <v/>
      </c>
      <c r="O608" s="13" t="str">
        <f>IF(IF(ISNA(計算結果!O608),"",計算結果!O608)=0,"",IF(ISNA(計算結果!O608),"",計算結果!O608))</f>
        <v/>
      </c>
      <c r="P608" s="10" t="str">
        <f>IF(IF(ISNA(計算結果!P608),"",計算結果!P608)=0,"",IF(ISNA(計算結果!P608),"",計算結果!P608))</f>
        <v/>
      </c>
      <c r="Q608" s="10" t="str">
        <f>IF(IF(ISNA(計算結果!Q608),"",計算結果!Q608)=0,"",IF(ISNA(計算結果!Q608),"",計算結果!Q608))</f>
        <v/>
      </c>
      <c r="R608" s="14" t="str">
        <f t="shared" si="27"/>
        <v/>
      </c>
      <c r="S608" s="14" t="str">
        <f t="shared" si="28"/>
        <v>◯</v>
      </c>
      <c r="T608" s="14" t="str">
        <f t="shared" si="29"/>
        <v/>
      </c>
    </row>
    <row r="609" spans="1:20" hidden="1" x14ac:dyDescent="0.45">
      <c r="A609" s="10" t="str">
        <f>IF(IF(ISNA(計算結果!A609),"",計算結果!A609)=0,"",IF(ISNA(計算結果!A609),"",計算結果!A609))</f>
        <v/>
      </c>
      <c r="B609" s="10" t="str">
        <f>IF(IF(ISNA(計算結果!B609),"",計算結果!B609)=0,"",IF(ISNA(計算結果!B609),"",計算結果!B609))</f>
        <v/>
      </c>
      <c r="C609" s="10" t="str">
        <f>IF(IF(ISNA(計算結果!C609),"",計算結果!C609)=0,"",IF(ISNA(計算結果!C609),"",計算結果!C609))</f>
        <v/>
      </c>
      <c r="D609" s="10" t="str">
        <f>IF(IF(ISNA(計算結果!D609),"",計算結果!D609)=0,"",IF(ISNA(計算結果!D609),"",計算結果!D609))</f>
        <v>L</v>
      </c>
      <c r="E609" s="10" t="str">
        <f>IF(IF(ISNA(計算結果!E609),"",計算結果!E609)=0,"",IF(ISNA(計算結果!E609),"",計算結果!E609))</f>
        <v/>
      </c>
      <c r="F609" s="10" t="str">
        <f>IF(IF(ISNA(計算結果!F609),"",計算結果!F609)=0,"",IF(ISNA(計算結果!F609),"",計算結果!F609))</f>
        <v/>
      </c>
      <c r="G609" s="10" t="str">
        <f>IF(IF(ISNA(計算結果!G609),"",計算結果!G609)=0,"",IF(ISNA(計算結果!G609),"",計算結果!G609))</f>
        <v/>
      </c>
      <c r="H609" s="13">
        <f>IF(IF(ISNA(計算結果!H609),"",計算結果!H609)=0,"",IF(ISNA(計算結果!H609),"",計算結果!H609))</f>
        <v>-2</v>
      </c>
      <c r="I609" s="12" t="str">
        <f>IF(IF(ISNA(計算結果!I609),"",計算結果!I609)=0,"",IF(ISNA(計算結果!I609),"",計算結果!I609))</f>
        <v/>
      </c>
      <c r="J609" s="12" t="str">
        <f>IF(IF(ISNA(計算結果!J609),"",計算結果!J609)=0,"",IF(ISNA(計算結果!J609),"",計算結果!J609))</f>
        <v/>
      </c>
      <c r="K609" s="23" t="str">
        <f>IF(IF(ISNA(計算結果!K609),"",計算結果!K609)=0,"",IF(ISNA(計算結果!K609),"",計算結果!K609))</f>
        <v/>
      </c>
      <c r="L609" s="13" t="str">
        <f>IF(IF(ISNA(計算結果!L609),"",計算結果!L609)=0,"",IF(ISNA(計算結果!L609),"",計算結果!L609))</f>
        <v/>
      </c>
      <c r="M609" s="10" t="str">
        <f>IF(IF(ISNA(計算結果!M609),"",計算結果!M609)=0,"",IF(ISNA(計算結果!M609),"",計算結果!M609))</f>
        <v/>
      </c>
      <c r="N609" s="10" t="str">
        <f>IF(IF(ISNA(計算結果!N609),"",計算結果!N609)=0,"",IF(ISNA(計算結果!N609),"",計算結果!N609))</f>
        <v/>
      </c>
      <c r="O609" s="13" t="str">
        <f>IF(IF(ISNA(計算結果!O609),"",計算結果!O609)=0,"",IF(ISNA(計算結果!O609),"",計算結果!O609))</f>
        <v/>
      </c>
      <c r="P609" s="10" t="str">
        <f>IF(IF(ISNA(計算結果!P609),"",計算結果!P609)=0,"",IF(ISNA(計算結果!P609),"",計算結果!P609))</f>
        <v/>
      </c>
      <c r="Q609" s="10" t="str">
        <f>IF(IF(ISNA(計算結果!Q609),"",計算結果!Q609)=0,"",IF(ISNA(計算結果!Q609),"",計算結果!Q609))</f>
        <v/>
      </c>
      <c r="R609" s="14" t="str">
        <f t="shared" si="27"/>
        <v/>
      </c>
      <c r="S609" s="14" t="str">
        <f t="shared" si="28"/>
        <v>◯</v>
      </c>
      <c r="T609" s="14" t="str">
        <f t="shared" si="29"/>
        <v/>
      </c>
    </row>
    <row r="610" spans="1:20" hidden="1" x14ac:dyDescent="0.45">
      <c r="A610" s="10" t="str">
        <f>IF(IF(ISNA(計算結果!A610),"",計算結果!A610)=0,"",IF(ISNA(計算結果!A610),"",計算結果!A610))</f>
        <v/>
      </c>
      <c r="B610" s="10" t="str">
        <f>IF(IF(ISNA(計算結果!B610),"",計算結果!B610)=0,"",IF(ISNA(計算結果!B610),"",計算結果!B610))</f>
        <v/>
      </c>
      <c r="C610" s="10" t="str">
        <f>IF(IF(ISNA(計算結果!C610),"",計算結果!C610)=0,"",IF(ISNA(計算結果!C610),"",計算結果!C610))</f>
        <v/>
      </c>
      <c r="D610" s="10" t="str">
        <f>IF(IF(ISNA(計算結果!D610),"",計算結果!D610)=0,"",IF(ISNA(計算結果!D610),"",計算結果!D610))</f>
        <v>L</v>
      </c>
      <c r="E610" s="10" t="str">
        <f>IF(IF(ISNA(計算結果!E610),"",計算結果!E610)=0,"",IF(ISNA(計算結果!E610),"",計算結果!E610))</f>
        <v/>
      </c>
      <c r="F610" s="10" t="str">
        <f>IF(IF(ISNA(計算結果!F610),"",計算結果!F610)=0,"",IF(ISNA(計算結果!F610),"",計算結果!F610))</f>
        <v/>
      </c>
      <c r="G610" s="10" t="str">
        <f>IF(IF(ISNA(計算結果!G610),"",計算結果!G610)=0,"",IF(ISNA(計算結果!G610),"",計算結果!G610))</f>
        <v/>
      </c>
      <c r="H610" s="13">
        <f>IF(IF(ISNA(計算結果!H610),"",計算結果!H610)=0,"",IF(ISNA(計算結果!H610),"",計算結果!H610))</f>
        <v>-2</v>
      </c>
      <c r="I610" s="12" t="str">
        <f>IF(IF(ISNA(計算結果!I610),"",計算結果!I610)=0,"",IF(ISNA(計算結果!I610),"",計算結果!I610))</f>
        <v/>
      </c>
      <c r="J610" s="12" t="str">
        <f>IF(IF(ISNA(計算結果!J610),"",計算結果!J610)=0,"",IF(ISNA(計算結果!J610),"",計算結果!J610))</f>
        <v/>
      </c>
      <c r="K610" s="23" t="str">
        <f>IF(IF(ISNA(計算結果!K610),"",計算結果!K610)=0,"",IF(ISNA(計算結果!K610),"",計算結果!K610))</f>
        <v/>
      </c>
      <c r="L610" s="13" t="str">
        <f>IF(IF(ISNA(計算結果!L610),"",計算結果!L610)=0,"",IF(ISNA(計算結果!L610),"",計算結果!L610))</f>
        <v/>
      </c>
      <c r="M610" s="10" t="str">
        <f>IF(IF(ISNA(計算結果!M610),"",計算結果!M610)=0,"",IF(ISNA(計算結果!M610),"",計算結果!M610))</f>
        <v/>
      </c>
      <c r="N610" s="10" t="str">
        <f>IF(IF(ISNA(計算結果!N610),"",計算結果!N610)=0,"",IF(ISNA(計算結果!N610),"",計算結果!N610))</f>
        <v/>
      </c>
      <c r="O610" s="13" t="str">
        <f>IF(IF(ISNA(計算結果!O610),"",計算結果!O610)=0,"",IF(ISNA(計算結果!O610),"",計算結果!O610))</f>
        <v/>
      </c>
      <c r="P610" s="10" t="str">
        <f>IF(IF(ISNA(計算結果!P610),"",計算結果!P610)=0,"",IF(ISNA(計算結果!P610),"",計算結果!P610))</f>
        <v/>
      </c>
      <c r="Q610" s="10" t="str">
        <f>IF(IF(ISNA(計算結果!Q610),"",計算結果!Q610)=0,"",IF(ISNA(計算結果!Q610),"",計算結果!Q610))</f>
        <v/>
      </c>
      <c r="R610" s="14" t="str">
        <f t="shared" si="27"/>
        <v/>
      </c>
      <c r="S610" s="14" t="str">
        <f t="shared" si="28"/>
        <v>◯</v>
      </c>
      <c r="T610" s="14" t="str">
        <f t="shared" si="29"/>
        <v/>
      </c>
    </row>
    <row r="611" spans="1:20" hidden="1" x14ac:dyDescent="0.45">
      <c r="A611" s="10" t="str">
        <f>IF(IF(ISNA(計算結果!A611),"",計算結果!A611)=0,"",IF(ISNA(計算結果!A611),"",計算結果!A611))</f>
        <v/>
      </c>
      <c r="B611" s="10" t="str">
        <f>IF(IF(ISNA(計算結果!B611),"",計算結果!B611)=0,"",IF(ISNA(計算結果!B611),"",計算結果!B611))</f>
        <v/>
      </c>
      <c r="C611" s="10" t="str">
        <f>IF(IF(ISNA(計算結果!C611),"",計算結果!C611)=0,"",IF(ISNA(計算結果!C611),"",計算結果!C611))</f>
        <v/>
      </c>
      <c r="D611" s="10" t="str">
        <f>IF(IF(ISNA(計算結果!D611),"",計算結果!D611)=0,"",IF(ISNA(計算結果!D611),"",計算結果!D611))</f>
        <v>L</v>
      </c>
      <c r="E611" s="10" t="str">
        <f>IF(IF(ISNA(計算結果!E611),"",計算結果!E611)=0,"",IF(ISNA(計算結果!E611),"",計算結果!E611))</f>
        <v/>
      </c>
      <c r="F611" s="10" t="str">
        <f>IF(IF(ISNA(計算結果!F611),"",計算結果!F611)=0,"",IF(ISNA(計算結果!F611),"",計算結果!F611))</f>
        <v/>
      </c>
      <c r="G611" s="10" t="str">
        <f>IF(IF(ISNA(計算結果!G611),"",計算結果!G611)=0,"",IF(ISNA(計算結果!G611),"",計算結果!G611))</f>
        <v/>
      </c>
      <c r="H611" s="13">
        <f>IF(IF(ISNA(計算結果!H611),"",計算結果!H611)=0,"",IF(ISNA(計算結果!H611),"",計算結果!H611))</f>
        <v>-2</v>
      </c>
      <c r="I611" s="12" t="str">
        <f>IF(IF(ISNA(計算結果!I611),"",計算結果!I611)=0,"",IF(ISNA(計算結果!I611),"",計算結果!I611))</f>
        <v/>
      </c>
      <c r="J611" s="12" t="str">
        <f>IF(IF(ISNA(計算結果!J611),"",計算結果!J611)=0,"",IF(ISNA(計算結果!J611),"",計算結果!J611))</f>
        <v/>
      </c>
      <c r="K611" s="23" t="str">
        <f>IF(IF(ISNA(計算結果!K611),"",計算結果!K611)=0,"",IF(ISNA(計算結果!K611),"",計算結果!K611))</f>
        <v/>
      </c>
      <c r="L611" s="13" t="str">
        <f>IF(IF(ISNA(計算結果!L611),"",計算結果!L611)=0,"",IF(ISNA(計算結果!L611),"",計算結果!L611))</f>
        <v/>
      </c>
      <c r="M611" s="10" t="str">
        <f>IF(IF(ISNA(計算結果!M611),"",計算結果!M611)=0,"",IF(ISNA(計算結果!M611),"",計算結果!M611))</f>
        <v/>
      </c>
      <c r="N611" s="10" t="str">
        <f>IF(IF(ISNA(計算結果!N611),"",計算結果!N611)=0,"",IF(ISNA(計算結果!N611),"",計算結果!N611))</f>
        <v/>
      </c>
      <c r="O611" s="13" t="str">
        <f>IF(IF(ISNA(計算結果!O611),"",計算結果!O611)=0,"",IF(ISNA(計算結果!O611),"",計算結果!O611))</f>
        <v/>
      </c>
      <c r="P611" s="10" t="str">
        <f>IF(IF(ISNA(計算結果!P611),"",計算結果!P611)=0,"",IF(ISNA(計算結果!P611),"",計算結果!P611))</f>
        <v/>
      </c>
      <c r="Q611" s="10" t="str">
        <f>IF(IF(ISNA(計算結果!Q611),"",計算結果!Q611)=0,"",IF(ISNA(計算結果!Q611),"",計算結果!Q611))</f>
        <v/>
      </c>
      <c r="R611" s="14" t="str">
        <f t="shared" si="27"/>
        <v/>
      </c>
      <c r="S611" s="14" t="str">
        <f t="shared" si="28"/>
        <v>◯</v>
      </c>
      <c r="T611" s="14" t="str">
        <f t="shared" si="29"/>
        <v/>
      </c>
    </row>
    <row r="612" spans="1:20" hidden="1" x14ac:dyDescent="0.45">
      <c r="A612" s="10" t="str">
        <f>IF(IF(ISNA(計算結果!A612),"",計算結果!A612)=0,"",IF(ISNA(計算結果!A612),"",計算結果!A612))</f>
        <v/>
      </c>
      <c r="B612" s="10" t="str">
        <f>IF(IF(ISNA(計算結果!B612),"",計算結果!B612)=0,"",IF(ISNA(計算結果!B612),"",計算結果!B612))</f>
        <v/>
      </c>
      <c r="C612" s="10" t="str">
        <f>IF(IF(ISNA(計算結果!C612),"",計算結果!C612)=0,"",IF(ISNA(計算結果!C612),"",計算結果!C612))</f>
        <v/>
      </c>
      <c r="D612" s="10" t="str">
        <f>IF(IF(ISNA(計算結果!D612),"",計算結果!D612)=0,"",IF(ISNA(計算結果!D612),"",計算結果!D612))</f>
        <v>L</v>
      </c>
      <c r="E612" s="10" t="str">
        <f>IF(IF(ISNA(計算結果!E612),"",計算結果!E612)=0,"",IF(ISNA(計算結果!E612),"",計算結果!E612))</f>
        <v/>
      </c>
      <c r="F612" s="10" t="str">
        <f>IF(IF(ISNA(計算結果!F612),"",計算結果!F612)=0,"",IF(ISNA(計算結果!F612),"",計算結果!F612))</f>
        <v/>
      </c>
      <c r="G612" s="10" t="str">
        <f>IF(IF(ISNA(計算結果!G612),"",計算結果!G612)=0,"",IF(ISNA(計算結果!G612),"",計算結果!G612))</f>
        <v/>
      </c>
      <c r="H612" s="13">
        <f>IF(IF(ISNA(計算結果!H612),"",計算結果!H612)=0,"",IF(ISNA(計算結果!H612),"",計算結果!H612))</f>
        <v>-2</v>
      </c>
      <c r="I612" s="12" t="str">
        <f>IF(IF(ISNA(計算結果!I612),"",計算結果!I612)=0,"",IF(ISNA(計算結果!I612),"",計算結果!I612))</f>
        <v/>
      </c>
      <c r="J612" s="12" t="str">
        <f>IF(IF(ISNA(計算結果!J612),"",計算結果!J612)=0,"",IF(ISNA(計算結果!J612),"",計算結果!J612))</f>
        <v/>
      </c>
      <c r="K612" s="23" t="str">
        <f>IF(IF(ISNA(計算結果!K612),"",計算結果!K612)=0,"",IF(ISNA(計算結果!K612),"",計算結果!K612))</f>
        <v/>
      </c>
      <c r="L612" s="13" t="str">
        <f>IF(IF(ISNA(計算結果!L612),"",計算結果!L612)=0,"",IF(ISNA(計算結果!L612),"",計算結果!L612))</f>
        <v/>
      </c>
      <c r="M612" s="10" t="str">
        <f>IF(IF(ISNA(計算結果!M612),"",計算結果!M612)=0,"",IF(ISNA(計算結果!M612),"",計算結果!M612))</f>
        <v/>
      </c>
      <c r="N612" s="10" t="str">
        <f>IF(IF(ISNA(計算結果!N612),"",計算結果!N612)=0,"",IF(ISNA(計算結果!N612),"",計算結果!N612))</f>
        <v/>
      </c>
      <c r="O612" s="13" t="str">
        <f>IF(IF(ISNA(計算結果!O612),"",計算結果!O612)=0,"",IF(ISNA(計算結果!O612),"",計算結果!O612))</f>
        <v/>
      </c>
      <c r="P612" s="10" t="str">
        <f>IF(IF(ISNA(計算結果!P612),"",計算結果!P612)=0,"",IF(ISNA(計算結果!P612),"",計算結果!P612))</f>
        <v/>
      </c>
      <c r="Q612" s="10" t="str">
        <f>IF(IF(ISNA(計算結果!Q612),"",計算結果!Q612)=0,"",IF(ISNA(計算結果!Q612),"",計算結果!Q612))</f>
        <v/>
      </c>
      <c r="R612" s="14" t="str">
        <f t="shared" si="27"/>
        <v/>
      </c>
      <c r="S612" s="14" t="str">
        <f t="shared" si="28"/>
        <v>◯</v>
      </c>
      <c r="T612" s="14" t="str">
        <f t="shared" si="29"/>
        <v/>
      </c>
    </row>
    <row r="613" spans="1:20" hidden="1" x14ac:dyDescent="0.45">
      <c r="A613" s="10" t="str">
        <f>IF(IF(ISNA(計算結果!A613),"",計算結果!A613)=0,"",IF(ISNA(計算結果!A613),"",計算結果!A613))</f>
        <v/>
      </c>
      <c r="B613" s="10" t="str">
        <f>IF(IF(ISNA(計算結果!B613),"",計算結果!B613)=0,"",IF(ISNA(計算結果!B613),"",計算結果!B613))</f>
        <v/>
      </c>
      <c r="C613" s="10" t="str">
        <f>IF(IF(ISNA(計算結果!C613),"",計算結果!C613)=0,"",IF(ISNA(計算結果!C613),"",計算結果!C613))</f>
        <v/>
      </c>
      <c r="D613" s="10" t="str">
        <f>IF(IF(ISNA(計算結果!D613),"",計算結果!D613)=0,"",IF(ISNA(計算結果!D613),"",計算結果!D613))</f>
        <v>L</v>
      </c>
      <c r="E613" s="10" t="str">
        <f>IF(IF(ISNA(計算結果!E613),"",計算結果!E613)=0,"",IF(ISNA(計算結果!E613),"",計算結果!E613))</f>
        <v/>
      </c>
      <c r="F613" s="10" t="str">
        <f>IF(IF(ISNA(計算結果!F613),"",計算結果!F613)=0,"",IF(ISNA(計算結果!F613),"",計算結果!F613))</f>
        <v/>
      </c>
      <c r="G613" s="10" t="str">
        <f>IF(IF(ISNA(計算結果!G613),"",計算結果!G613)=0,"",IF(ISNA(計算結果!G613),"",計算結果!G613))</f>
        <v/>
      </c>
      <c r="H613" s="13">
        <f>IF(IF(ISNA(計算結果!H613),"",計算結果!H613)=0,"",IF(ISNA(計算結果!H613),"",計算結果!H613))</f>
        <v>-2</v>
      </c>
      <c r="I613" s="12" t="str">
        <f>IF(IF(ISNA(計算結果!I613),"",計算結果!I613)=0,"",IF(ISNA(計算結果!I613),"",計算結果!I613))</f>
        <v/>
      </c>
      <c r="J613" s="12" t="str">
        <f>IF(IF(ISNA(計算結果!J613),"",計算結果!J613)=0,"",IF(ISNA(計算結果!J613),"",計算結果!J613))</f>
        <v/>
      </c>
      <c r="K613" s="23" t="str">
        <f>IF(IF(ISNA(計算結果!K613),"",計算結果!K613)=0,"",IF(ISNA(計算結果!K613),"",計算結果!K613))</f>
        <v/>
      </c>
      <c r="L613" s="13" t="str">
        <f>IF(IF(ISNA(計算結果!L613),"",計算結果!L613)=0,"",IF(ISNA(計算結果!L613),"",計算結果!L613))</f>
        <v/>
      </c>
      <c r="M613" s="10" t="str">
        <f>IF(IF(ISNA(計算結果!M613),"",計算結果!M613)=0,"",IF(ISNA(計算結果!M613),"",計算結果!M613))</f>
        <v/>
      </c>
      <c r="N613" s="10" t="str">
        <f>IF(IF(ISNA(計算結果!N613),"",計算結果!N613)=0,"",IF(ISNA(計算結果!N613),"",計算結果!N613))</f>
        <v/>
      </c>
      <c r="O613" s="13" t="str">
        <f>IF(IF(ISNA(計算結果!O613),"",計算結果!O613)=0,"",IF(ISNA(計算結果!O613),"",計算結果!O613))</f>
        <v/>
      </c>
      <c r="P613" s="10" t="str">
        <f>IF(IF(ISNA(計算結果!P613),"",計算結果!P613)=0,"",IF(ISNA(計算結果!P613),"",計算結果!P613))</f>
        <v/>
      </c>
      <c r="Q613" s="10" t="str">
        <f>IF(IF(ISNA(計算結果!Q613),"",計算結果!Q613)=0,"",IF(ISNA(計算結果!Q613),"",計算結果!Q613))</f>
        <v/>
      </c>
      <c r="R613" s="14" t="str">
        <f t="shared" si="27"/>
        <v/>
      </c>
      <c r="S613" s="14" t="str">
        <f t="shared" si="28"/>
        <v>◯</v>
      </c>
      <c r="T613" s="14" t="str">
        <f t="shared" si="29"/>
        <v/>
      </c>
    </row>
    <row r="614" spans="1:20" hidden="1" x14ac:dyDescent="0.45">
      <c r="A614" s="10" t="str">
        <f>IF(IF(ISNA(計算結果!A614),"",計算結果!A614)=0,"",IF(ISNA(計算結果!A614),"",計算結果!A614))</f>
        <v/>
      </c>
      <c r="B614" s="10" t="str">
        <f>IF(IF(ISNA(計算結果!B614),"",計算結果!B614)=0,"",IF(ISNA(計算結果!B614),"",計算結果!B614))</f>
        <v/>
      </c>
      <c r="C614" s="10" t="str">
        <f>IF(IF(ISNA(計算結果!C614),"",計算結果!C614)=0,"",IF(ISNA(計算結果!C614),"",計算結果!C614))</f>
        <v/>
      </c>
      <c r="D614" s="10" t="str">
        <f>IF(IF(ISNA(計算結果!D614),"",計算結果!D614)=0,"",IF(ISNA(計算結果!D614),"",計算結果!D614))</f>
        <v>L</v>
      </c>
      <c r="E614" s="10" t="str">
        <f>IF(IF(ISNA(計算結果!E614),"",計算結果!E614)=0,"",IF(ISNA(計算結果!E614),"",計算結果!E614))</f>
        <v/>
      </c>
      <c r="F614" s="10" t="str">
        <f>IF(IF(ISNA(計算結果!F614),"",計算結果!F614)=0,"",IF(ISNA(計算結果!F614),"",計算結果!F614))</f>
        <v/>
      </c>
      <c r="G614" s="10" t="str">
        <f>IF(IF(ISNA(計算結果!G614),"",計算結果!G614)=0,"",IF(ISNA(計算結果!G614),"",計算結果!G614))</f>
        <v/>
      </c>
      <c r="H614" s="13">
        <f>IF(IF(ISNA(計算結果!H614),"",計算結果!H614)=0,"",IF(ISNA(計算結果!H614),"",計算結果!H614))</f>
        <v>-2</v>
      </c>
      <c r="I614" s="12" t="str">
        <f>IF(IF(ISNA(計算結果!I614),"",計算結果!I614)=0,"",IF(ISNA(計算結果!I614),"",計算結果!I614))</f>
        <v/>
      </c>
      <c r="J614" s="12" t="str">
        <f>IF(IF(ISNA(計算結果!J614),"",計算結果!J614)=0,"",IF(ISNA(計算結果!J614),"",計算結果!J614))</f>
        <v/>
      </c>
      <c r="K614" s="23" t="str">
        <f>IF(IF(ISNA(計算結果!K614),"",計算結果!K614)=0,"",IF(ISNA(計算結果!K614),"",計算結果!K614))</f>
        <v/>
      </c>
      <c r="L614" s="13" t="str">
        <f>IF(IF(ISNA(計算結果!L614),"",計算結果!L614)=0,"",IF(ISNA(計算結果!L614),"",計算結果!L614))</f>
        <v/>
      </c>
      <c r="M614" s="10" t="str">
        <f>IF(IF(ISNA(計算結果!M614),"",計算結果!M614)=0,"",IF(ISNA(計算結果!M614),"",計算結果!M614))</f>
        <v/>
      </c>
      <c r="N614" s="10" t="str">
        <f>IF(IF(ISNA(計算結果!N614),"",計算結果!N614)=0,"",IF(ISNA(計算結果!N614),"",計算結果!N614))</f>
        <v/>
      </c>
      <c r="O614" s="13" t="str">
        <f>IF(IF(ISNA(計算結果!O614),"",計算結果!O614)=0,"",IF(ISNA(計算結果!O614),"",計算結果!O614))</f>
        <v/>
      </c>
      <c r="P614" s="10" t="str">
        <f>IF(IF(ISNA(計算結果!P614),"",計算結果!P614)=0,"",IF(ISNA(計算結果!P614),"",計算結果!P614))</f>
        <v/>
      </c>
      <c r="Q614" s="10" t="str">
        <f>IF(IF(ISNA(計算結果!Q614),"",計算結果!Q614)=0,"",IF(ISNA(計算結果!Q614),"",計算結果!Q614))</f>
        <v/>
      </c>
      <c r="R614" s="14" t="str">
        <f t="shared" si="27"/>
        <v/>
      </c>
      <c r="S614" s="14" t="str">
        <f t="shared" si="28"/>
        <v>◯</v>
      </c>
      <c r="T614" s="14" t="str">
        <f t="shared" si="29"/>
        <v/>
      </c>
    </row>
    <row r="615" spans="1:20" hidden="1" x14ac:dyDescent="0.45">
      <c r="A615" s="10" t="str">
        <f>IF(IF(ISNA(計算結果!A615),"",計算結果!A615)=0,"",IF(ISNA(計算結果!A615),"",計算結果!A615))</f>
        <v/>
      </c>
      <c r="B615" s="10" t="str">
        <f>IF(IF(ISNA(計算結果!B615),"",計算結果!B615)=0,"",IF(ISNA(計算結果!B615),"",計算結果!B615))</f>
        <v/>
      </c>
      <c r="C615" s="10" t="str">
        <f>IF(IF(ISNA(計算結果!C615),"",計算結果!C615)=0,"",IF(ISNA(計算結果!C615),"",計算結果!C615))</f>
        <v/>
      </c>
      <c r="D615" s="10" t="str">
        <f>IF(IF(ISNA(計算結果!D615),"",計算結果!D615)=0,"",IF(ISNA(計算結果!D615),"",計算結果!D615))</f>
        <v>L</v>
      </c>
      <c r="E615" s="10" t="str">
        <f>IF(IF(ISNA(計算結果!E615),"",計算結果!E615)=0,"",IF(ISNA(計算結果!E615),"",計算結果!E615))</f>
        <v/>
      </c>
      <c r="F615" s="10" t="str">
        <f>IF(IF(ISNA(計算結果!F615),"",計算結果!F615)=0,"",IF(ISNA(計算結果!F615),"",計算結果!F615))</f>
        <v/>
      </c>
      <c r="G615" s="10" t="str">
        <f>IF(IF(ISNA(計算結果!G615),"",計算結果!G615)=0,"",IF(ISNA(計算結果!G615),"",計算結果!G615))</f>
        <v/>
      </c>
      <c r="H615" s="13">
        <f>IF(IF(ISNA(計算結果!H615),"",計算結果!H615)=0,"",IF(ISNA(計算結果!H615),"",計算結果!H615))</f>
        <v>-2</v>
      </c>
      <c r="I615" s="12" t="str">
        <f>IF(IF(ISNA(計算結果!I615),"",計算結果!I615)=0,"",IF(ISNA(計算結果!I615),"",計算結果!I615))</f>
        <v/>
      </c>
      <c r="J615" s="12" t="str">
        <f>IF(IF(ISNA(計算結果!J615),"",計算結果!J615)=0,"",IF(ISNA(計算結果!J615),"",計算結果!J615))</f>
        <v/>
      </c>
      <c r="K615" s="23" t="str">
        <f>IF(IF(ISNA(計算結果!K615),"",計算結果!K615)=0,"",IF(ISNA(計算結果!K615),"",計算結果!K615))</f>
        <v/>
      </c>
      <c r="L615" s="13" t="str">
        <f>IF(IF(ISNA(計算結果!L615),"",計算結果!L615)=0,"",IF(ISNA(計算結果!L615),"",計算結果!L615))</f>
        <v/>
      </c>
      <c r="M615" s="10" t="str">
        <f>IF(IF(ISNA(計算結果!M615),"",計算結果!M615)=0,"",IF(ISNA(計算結果!M615),"",計算結果!M615))</f>
        <v/>
      </c>
      <c r="N615" s="10" t="str">
        <f>IF(IF(ISNA(計算結果!N615),"",計算結果!N615)=0,"",IF(ISNA(計算結果!N615),"",計算結果!N615))</f>
        <v/>
      </c>
      <c r="O615" s="13" t="str">
        <f>IF(IF(ISNA(計算結果!O615),"",計算結果!O615)=0,"",IF(ISNA(計算結果!O615),"",計算結果!O615))</f>
        <v/>
      </c>
      <c r="P615" s="10" t="str">
        <f>IF(IF(ISNA(計算結果!P615),"",計算結果!P615)=0,"",IF(ISNA(計算結果!P615),"",計算結果!P615))</f>
        <v/>
      </c>
      <c r="Q615" s="10" t="str">
        <f>IF(IF(ISNA(計算結果!Q615),"",計算結果!Q615)=0,"",IF(ISNA(計算結果!Q615),"",計算結果!Q615))</f>
        <v/>
      </c>
      <c r="R615" s="14" t="str">
        <f t="shared" si="27"/>
        <v/>
      </c>
      <c r="S615" s="14" t="str">
        <f t="shared" si="28"/>
        <v>◯</v>
      </c>
      <c r="T615" s="14" t="str">
        <f t="shared" si="29"/>
        <v/>
      </c>
    </row>
    <row r="616" spans="1:20" hidden="1" x14ac:dyDescent="0.45">
      <c r="A616" s="10" t="str">
        <f>IF(IF(ISNA(計算結果!A616),"",計算結果!A616)=0,"",IF(ISNA(計算結果!A616),"",計算結果!A616))</f>
        <v/>
      </c>
      <c r="B616" s="10" t="str">
        <f>IF(IF(ISNA(計算結果!B616),"",計算結果!B616)=0,"",IF(ISNA(計算結果!B616),"",計算結果!B616))</f>
        <v/>
      </c>
      <c r="C616" s="10" t="str">
        <f>IF(IF(ISNA(計算結果!C616),"",計算結果!C616)=0,"",IF(ISNA(計算結果!C616),"",計算結果!C616))</f>
        <v/>
      </c>
      <c r="D616" s="10" t="str">
        <f>IF(IF(ISNA(計算結果!D616),"",計算結果!D616)=0,"",IF(ISNA(計算結果!D616),"",計算結果!D616))</f>
        <v>L</v>
      </c>
      <c r="E616" s="10" t="str">
        <f>IF(IF(ISNA(計算結果!E616),"",計算結果!E616)=0,"",IF(ISNA(計算結果!E616),"",計算結果!E616))</f>
        <v/>
      </c>
      <c r="F616" s="10" t="str">
        <f>IF(IF(ISNA(計算結果!F616),"",計算結果!F616)=0,"",IF(ISNA(計算結果!F616),"",計算結果!F616))</f>
        <v/>
      </c>
      <c r="G616" s="10" t="str">
        <f>IF(IF(ISNA(計算結果!G616),"",計算結果!G616)=0,"",IF(ISNA(計算結果!G616),"",計算結果!G616))</f>
        <v/>
      </c>
      <c r="H616" s="13">
        <f>IF(IF(ISNA(計算結果!H616),"",計算結果!H616)=0,"",IF(ISNA(計算結果!H616),"",計算結果!H616))</f>
        <v>-2</v>
      </c>
      <c r="I616" s="12" t="str">
        <f>IF(IF(ISNA(計算結果!I616),"",計算結果!I616)=0,"",IF(ISNA(計算結果!I616),"",計算結果!I616))</f>
        <v/>
      </c>
      <c r="J616" s="12" t="str">
        <f>IF(IF(ISNA(計算結果!J616),"",計算結果!J616)=0,"",IF(ISNA(計算結果!J616),"",計算結果!J616))</f>
        <v/>
      </c>
      <c r="K616" s="23" t="str">
        <f>IF(IF(ISNA(計算結果!K616),"",計算結果!K616)=0,"",IF(ISNA(計算結果!K616),"",計算結果!K616))</f>
        <v/>
      </c>
      <c r="L616" s="13" t="str">
        <f>IF(IF(ISNA(計算結果!L616),"",計算結果!L616)=0,"",IF(ISNA(計算結果!L616),"",計算結果!L616))</f>
        <v/>
      </c>
      <c r="M616" s="10" t="str">
        <f>IF(IF(ISNA(計算結果!M616),"",計算結果!M616)=0,"",IF(ISNA(計算結果!M616),"",計算結果!M616))</f>
        <v/>
      </c>
      <c r="N616" s="10" t="str">
        <f>IF(IF(ISNA(計算結果!N616),"",計算結果!N616)=0,"",IF(ISNA(計算結果!N616),"",計算結果!N616))</f>
        <v/>
      </c>
      <c r="O616" s="13" t="str">
        <f>IF(IF(ISNA(計算結果!O616),"",計算結果!O616)=0,"",IF(ISNA(計算結果!O616),"",計算結果!O616))</f>
        <v/>
      </c>
      <c r="P616" s="10" t="str">
        <f>IF(IF(ISNA(計算結果!P616),"",計算結果!P616)=0,"",IF(ISNA(計算結果!P616),"",計算結果!P616))</f>
        <v/>
      </c>
      <c r="Q616" s="10" t="str">
        <f>IF(IF(ISNA(計算結果!Q616),"",計算結果!Q616)=0,"",IF(ISNA(計算結果!Q616),"",計算結果!Q616))</f>
        <v/>
      </c>
      <c r="R616" s="14" t="str">
        <f t="shared" si="27"/>
        <v/>
      </c>
      <c r="S616" s="14" t="str">
        <f t="shared" si="28"/>
        <v>◯</v>
      </c>
      <c r="T616" s="14" t="str">
        <f t="shared" si="29"/>
        <v/>
      </c>
    </row>
    <row r="617" spans="1:20" hidden="1" x14ac:dyDescent="0.45">
      <c r="A617" s="10" t="str">
        <f>IF(IF(ISNA(計算結果!A617),"",計算結果!A617)=0,"",IF(ISNA(計算結果!A617),"",計算結果!A617))</f>
        <v/>
      </c>
      <c r="B617" s="10" t="str">
        <f>IF(IF(ISNA(計算結果!B617),"",計算結果!B617)=0,"",IF(ISNA(計算結果!B617),"",計算結果!B617))</f>
        <v/>
      </c>
      <c r="C617" s="10" t="str">
        <f>IF(IF(ISNA(計算結果!C617),"",計算結果!C617)=0,"",IF(ISNA(計算結果!C617),"",計算結果!C617))</f>
        <v/>
      </c>
      <c r="D617" s="10" t="str">
        <f>IF(IF(ISNA(計算結果!D617),"",計算結果!D617)=0,"",IF(ISNA(計算結果!D617),"",計算結果!D617))</f>
        <v>L</v>
      </c>
      <c r="E617" s="10" t="str">
        <f>IF(IF(ISNA(計算結果!E617),"",計算結果!E617)=0,"",IF(ISNA(計算結果!E617),"",計算結果!E617))</f>
        <v/>
      </c>
      <c r="F617" s="10" t="str">
        <f>IF(IF(ISNA(計算結果!F617),"",計算結果!F617)=0,"",IF(ISNA(計算結果!F617),"",計算結果!F617))</f>
        <v/>
      </c>
      <c r="G617" s="10" t="str">
        <f>IF(IF(ISNA(計算結果!G617),"",計算結果!G617)=0,"",IF(ISNA(計算結果!G617),"",計算結果!G617))</f>
        <v/>
      </c>
      <c r="H617" s="13">
        <f>IF(IF(ISNA(計算結果!H617),"",計算結果!H617)=0,"",IF(ISNA(計算結果!H617),"",計算結果!H617))</f>
        <v>-2</v>
      </c>
      <c r="I617" s="12" t="str">
        <f>IF(IF(ISNA(計算結果!I617),"",計算結果!I617)=0,"",IF(ISNA(計算結果!I617),"",計算結果!I617))</f>
        <v/>
      </c>
      <c r="J617" s="12" t="str">
        <f>IF(IF(ISNA(計算結果!J617),"",計算結果!J617)=0,"",IF(ISNA(計算結果!J617),"",計算結果!J617))</f>
        <v/>
      </c>
      <c r="K617" s="23" t="str">
        <f>IF(IF(ISNA(計算結果!K617),"",計算結果!K617)=0,"",IF(ISNA(計算結果!K617),"",計算結果!K617))</f>
        <v/>
      </c>
      <c r="L617" s="13" t="str">
        <f>IF(IF(ISNA(計算結果!L617),"",計算結果!L617)=0,"",IF(ISNA(計算結果!L617),"",計算結果!L617))</f>
        <v/>
      </c>
      <c r="M617" s="10" t="str">
        <f>IF(IF(ISNA(計算結果!M617),"",計算結果!M617)=0,"",IF(ISNA(計算結果!M617),"",計算結果!M617))</f>
        <v/>
      </c>
      <c r="N617" s="10" t="str">
        <f>IF(IF(ISNA(計算結果!N617),"",計算結果!N617)=0,"",IF(ISNA(計算結果!N617),"",計算結果!N617))</f>
        <v/>
      </c>
      <c r="O617" s="13" t="str">
        <f>IF(IF(ISNA(計算結果!O617),"",計算結果!O617)=0,"",IF(ISNA(計算結果!O617),"",計算結果!O617))</f>
        <v/>
      </c>
      <c r="P617" s="10" t="str">
        <f>IF(IF(ISNA(計算結果!P617),"",計算結果!P617)=0,"",IF(ISNA(計算結果!P617),"",計算結果!P617))</f>
        <v/>
      </c>
      <c r="Q617" s="10" t="str">
        <f>IF(IF(ISNA(計算結果!Q617),"",計算結果!Q617)=0,"",IF(ISNA(計算結果!Q617),"",計算結果!Q617))</f>
        <v/>
      </c>
      <c r="R617" s="14" t="str">
        <f t="shared" si="27"/>
        <v/>
      </c>
      <c r="S617" s="14" t="str">
        <f t="shared" si="28"/>
        <v>◯</v>
      </c>
      <c r="T617" s="14" t="str">
        <f t="shared" si="29"/>
        <v/>
      </c>
    </row>
    <row r="618" spans="1:20" hidden="1" x14ac:dyDescent="0.45">
      <c r="A618" s="10" t="str">
        <f>IF(IF(ISNA(計算結果!A618),"",計算結果!A618)=0,"",IF(ISNA(計算結果!A618),"",計算結果!A618))</f>
        <v/>
      </c>
      <c r="B618" s="10" t="str">
        <f>IF(IF(ISNA(計算結果!B618),"",計算結果!B618)=0,"",IF(ISNA(計算結果!B618),"",計算結果!B618))</f>
        <v/>
      </c>
      <c r="C618" s="10" t="str">
        <f>IF(IF(ISNA(計算結果!C618),"",計算結果!C618)=0,"",IF(ISNA(計算結果!C618),"",計算結果!C618))</f>
        <v/>
      </c>
      <c r="D618" s="10" t="str">
        <f>IF(IF(ISNA(計算結果!D618),"",計算結果!D618)=0,"",IF(ISNA(計算結果!D618),"",計算結果!D618))</f>
        <v>L</v>
      </c>
      <c r="E618" s="10" t="str">
        <f>IF(IF(ISNA(計算結果!E618),"",計算結果!E618)=0,"",IF(ISNA(計算結果!E618),"",計算結果!E618))</f>
        <v/>
      </c>
      <c r="F618" s="10" t="str">
        <f>IF(IF(ISNA(計算結果!F618),"",計算結果!F618)=0,"",IF(ISNA(計算結果!F618),"",計算結果!F618))</f>
        <v/>
      </c>
      <c r="G618" s="10" t="str">
        <f>IF(IF(ISNA(計算結果!G618),"",計算結果!G618)=0,"",IF(ISNA(計算結果!G618),"",計算結果!G618))</f>
        <v/>
      </c>
      <c r="H618" s="13">
        <f>IF(IF(ISNA(計算結果!H618),"",計算結果!H618)=0,"",IF(ISNA(計算結果!H618),"",計算結果!H618))</f>
        <v>-2</v>
      </c>
      <c r="I618" s="12" t="str">
        <f>IF(IF(ISNA(計算結果!I618),"",計算結果!I618)=0,"",IF(ISNA(計算結果!I618),"",計算結果!I618))</f>
        <v/>
      </c>
      <c r="J618" s="12" t="str">
        <f>IF(IF(ISNA(計算結果!J618),"",計算結果!J618)=0,"",IF(ISNA(計算結果!J618),"",計算結果!J618))</f>
        <v/>
      </c>
      <c r="K618" s="23" t="str">
        <f>IF(IF(ISNA(計算結果!K618),"",計算結果!K618)=0,"",IF(ISNA(計算結果!K618),"",計算結果!K618))</f>
        <v/>
      </c>
      <c r="L618" s="13" t="str">
        <f>IF(IF(ISNA(計算結果!L618),"",計算結果!L618)=0,"",IF(ISNA(計算結果!L618),"",計算結果!L618))</f>
        <v/>
      </c>
      <c r="M618" s="10" t="str">
        <f>IF(IF(ISNA(計算結果!M618),"",計算結果!M618)=0,"",IF(ISNA(計算結果!M618),"",計算結果!M618))</f>
        <v/>
      </c>
      <c r="N618" s="10" t="str">
        <f>IF(IF(ISNA(計算結果!N618),"",計算結果!N618)=0,"",IF(ISNA(計算結果!N618),"",計算結果!N618))</f>
        <v/>
      </c>
      <c r="O618" s="13" t="str">
        <f>IF(IF(ISNA(計算結果!O618),"",計算結果!O618)=0,"",IF(ISNA(計算結果!O618),"",計算結果!O618))</f>
        <v/>
      </c>
      <c r="P618" s="10" t="str">
        <f>IF(IF(ISNA(計算結果!P618),"",計算結果!P618)=0,"",IF(ISNA(計算結果!P618),"",計算結果!P618))</f>
        <v/>
      </c>
      <c r="Q618" s="10" t="str">
        <f>IF(IF(ISNA(計算結果!Q618),"",計算結果!Q618)=0,"",IF(ISNA(計算結果!Q618),"",計算結果!Q618))</f>
        <v/>
      </c>
      <c r="R618" s="14" t="str">
        <f t="shared" si="27"/>
        <v/>
      </c>
      <c r="S618" s="14" t="str">
        <f t="shared" si="28"/>
        <v>◯</v>
      </c>
      <c r="T618" s="14" t="str">
        <f t="shared" si="29"/>
        <v/>
      </c>
    </row>
    <row r="619" spans="1:20" hidden="1" x14ac:dyDescent="0.45">
      <c r="A619" s="10" t="str">
        <f>IF(IF(ISNA(計算結果!A619),"",計算結果!A619)=0,"",IF(ISNA(計算結果!A619),"",計算結果!A619))</f>
        <v/>
      </c>
      <c r="B619" s="10" t="str">
        <f>IF(IF(ISNA(計算結果!B619),"",計算結果!B619)=0,"",IF(ISNA(計算結果!B619),"",計算結果!B619))</f>
        <v/>
      </c>
      <c r="C619" s="10" t="str">
        <f>IF(IF(ISNA(計算結果!C619),"",計算結果!C619)=0,"",IF(ISNA(計算結果!C619),"",計算結果!C619))</f>
        <v/>
      </c>
      <c r="D619" s="10" t="str">
        <f>IF(IF(ISNA(計算結果!D619),"",計算結果!D619)=0,"",IF(ISNA(計算結果!D619),"",計算結果!D619))</f>
        <v>L</v>
      </c>
      <c r="E619" s="10" t="str">
        <f>IF(IF(ISNA(計算結果!E619),"",計算結果!E619)=0,"",IF(ISNA(計算結果!E619),"",計算結果!E619))</f>
        <v/>
      </c>
      <c r="F619" s="10" t="str">
        <f>IF(IF(ISNA(計算結果!F619),"",計算結果!F619)=0,"",IF(ISNA(計算結果!F619),"",計算結果!F619))</f>
        <v/>
      </c>
      <c r="G619" s="10" t="str">
        <f>IF(IF(ISNA(計算結果!G619),"",計算結果!G619)=0,"",IF(ISNA(計算結果!G619),"",計算結果!G619))</f>
        <v/>
      </c>
      <c r="H619" s="13">
        <f>IF(IF(ISNA(計算結果!H619),"",計算結果!H619)=0,"",IF(ISNA(計算結果!H619),"",計算結果!H619))</f>
        <v>-2</v>
      </c>
      <c r="I619" s="12" t="str">
        <f>IF(IF(ISNA(計算結果!I619),"",計算結果!I619)=0,"",IF(ISNA(計算結果!I619),"",計算結果!I619))</f>
        <v/>
      </c>
      <c r="J619" s="12" t="str">
        <f>IF(IF(ISNA(計算結果!J619),"",計算結果!J619)=0,"",IF(ISNA(計算結果!J619),"",計算結果!J619))</f>
        <v/>
      </c>
      <c r="K619" s="23" t="str">
        <f>IF(IF(ISNA(計算結果!K619),"",計算結果!K619)=0,"",IF(ISNA(計算結果!K619),"",計算結果!K619))</f>
        <v/>
      </c>
      <c r="L619" s="13" t="str">
        <f>IF(IF(ISNA(計算結果!L619),"",計算結果!L619)=0,"",IF(ISNA(計算結果!L619),"",計算結果!L619))</f>
        <v/>
      </c>
      <c r="M619" s="10" t="str">
        <f>IF(IF(ISNA(計算結果!M619),"",計算結果!M619)=0,"",IF(ISNA(計算結果!M619),"",計算結果!M619))</f>
        <v/>
      </c>
      <c r="N619" s="10" t="str">
        <f>IF(IF(ISNA(計算結果!N619),"",計算結果!N619)=0,"",IF(ISNA(計算結果!N619),"",計算結果!N619))</f>
        <v/>
      </c>
      <c r="O619" s="13" t="str">
        <f>IF(IF(ISNA(計算結果!O619),"",計算結果!O619)=0,"",IF(ISNA(計算結果!O619),"",計算結果!O619))</f>
        <v/>
      </c>
      <c r="P619" s="10" t="str">
        <f>IF(IF(ISNA(計算結果!P619),"",計算結果!P619)=0,"",IF(ISNA(計算結果!P619),"",計算結果!P619))</f>
        <v/>
      </c>
      <c r="Q619" s="10" t="str">
        <f>IF(IF(ISNA(計算結果!Q619),"",計算結果!Q619)=0,"",IF(ISNA(計算結果!Q619),"",計算結果!Q619))</f>
        <v/>
      </c>
      <c r="R619" s="14" t="str">
        <f t="shared" si="27"/>
        <v/>
      </c>
      <c r="S619" s="14" t="str">
        <f t="shared" si="28"/>
        <v>◯</v>
      </c>
      <c r="T619" s="14" t="str">
        <f t="shared" si="29"/>
        <v/>
      </c>
    </row>
    <row r="620" spans="1:20" hidden="1" x14ac:dyDescent="0.45">
      <c r="A620" s="10" t="str">
        <f>IF(IF(ISNA(計算結果!A620),"",計算結果!A620)=0,"",IF(ISNA(計算結果!A620),"",計算結果!A620))</f>
        <v/>
      </c>
      <c r="B620" s="10" t="str">
        <f>IF(IF(ISNA(計算結果!B620),"",計算結果!B620)=0,"",IF(ISNA(計算結果!B620),"",計算結果!B620))</f>
        <v/>
      </c>
      <c r="C620" s="10" t="str">
        <f>IF(IF(ISNA(計算結果!C620),"",計算結果!C620)=0,"",IF(ISNA(計算結果!C620),"",計算結果!C620))</f>
        <v/>
      </c>
      <c r="D620" s="10" t="str">
        <f>IF(IF(ISNA(計算結果!D620),"",計算結果!D620)=0,"",IF(ISNA(計算結果!D620),"",計算結果!D620))</f>
        <v>L</v>
      </c>
      <c r="E620" s="10" t="str">
        <f>IF(IF(ISNA(計算結果!E620),"",計算結果!E620)=0,"",IF(ISNA(計算結果!E620),"",計算結果!E620))</f>
        <v/>
      </c>
      <c r="F620" s="10" t="str">
        <f>IF(IF(ISNA(計算結果!F620),"",計算結果!F620)=0,"",IF(ISNA(計算結果!F620),"",計算結果!F620))</f>
        <v/>
      </c>
      <c r="G620" s="10" t="str">
        <f>IF(IF(ISNA(計算結果!G620),"",計算結果!G620)=0,"",IF(ISNA(計算結果!G620),"",計算結果!G620))</f>
        <v/>
      </c>
      <c r="H620" s="13">
        <f>IF(IF(ISNA(計算結果!H620),"",計算結果!H620)=0,"",IF(ISNA(計算結果!H620),"",計算結果!H620))</f>
        <v>-2</v>
      </c>
      <c r="I620" s="12" t="str">
        <f>IF(IF(ISNA(計算結果!I620),"",計算結果!I620)=0,"",IF(ISNA(計算結果!I620),"",計算結果!I620))</f>
        <v/>
      </c>
      <c r="J620" s="12" t="str">
        <f>IF(IF(ISNA(計算結果!J620),"",計算結果!J620)=0,"",IF(ISNA(計算結果!J620),"",計算結果!J620))</f>
        <v/>
      </c>
      <c r="K620" s="23" t="str">
        <f>IF(IF(ISNA(計算結果!K620),"",計算結果!K620)=0,"",IF(ISNA(計算結果!K620),"",計算結果!K620))</f>
        <v/>
      </c>
      <c r="L620" s="13" t="str">
        <f>IF(IF(ISNA(計算結果!L620),"",計算結果!L620)=0,"",IF(ISNA(計算結果!L620),"",計算結果!L620))</f>
        <v/>
      </c>
      <c r="M620" s="10" t="str">
        <f>IF(IF(ISNA(計算結果!M620),"",計算結果!M620)=0,"",IF(ISNA(計算結果!M620),"",計算結果!M620))</f>
        <v/>
      </c>
      <c r="N620" s="10" t="str">
        <f>IF(IF(ISNA(計算結果!N620),"",計算結果!N620)=0,"",IF(ISNA(計算結果!N620),"",計算結果!N620))</f>
        <v/>
      </c>
      <c r="O620" s="13" t="str">
        <f>IF(IF(ISNA(計算結果!O620),"",計算結果!O620)=0,"",IF(ISNA(計算結果!O620),"",計算結果!O620))</f>
        <v/>
      </c>
      <c r="P620" s="10" t="str">
        <f>IF(IF(ISNA(計算結果!P620),"",計算結果!P620)=0,"",IF(ISNA(計算結果!P620),"",計算結果!P620))</f>
        <v/>
      </c>
      <c r="Q620" s="10" t="str">
        <f>IF(IF(ISNA(計算結果!Q620),"",計算結果!Q620)=0,"",IF(ISNA(計算結果!Q620),"",計算結果!Q620))</f>
        <v/>
      </c>
      <c r="R620" s="14" t="str">
        <f t="shared" si="27"/>
        <v/>
      </c>
      <c r="S620" s="14" t="str">
        <f t="shared" si="28"/>
        <v>◯</v>
      </c>
      <c r="T620" s="14" t="str">
        <f t="shared" si="29"/>
        <v/>
      </c>
    </row>
    <row r="621" spans="1:20" hidden="1" x14ac:dyDescent="0.45">
      <c r="A621" s="10" t="str">
        <f>IF(IF(ISNA(計算結果!A621),"",計算結果!A621)=0,"",IF(ISNA(計算結果!A621),"",計算結果!A621))</f>
        <v/>
      </c>
      <c r="B621" s="10" t="str">
        <f>IF(IF(ISNA(計算結果!B621),"",計算結果!B621)=0,"",IF(ISNA(計算結果!B621),"",計算結果!B621))</f>
        <v/>
      </c>
      <c r="C621" s="10" t="str">
        <f>IF(IF(ISNA(計算結果!C621),"",計算結果!C621)=0,"",IF(ISNA(計算結果!C621),"",計算結果!C621))</f>
        <v/>
      </c>
      <c r="D621" s="10" t="str">
        <f>IF(IF(ISNA(計算結果!D621),"",計算結果!D621)=0,"",IF(ISNA(計算結果!D621),"",計算結果!D621))</f>
        <v>L</v>
      </c>
      <c r="E621" s="10" t="str">
        <f>IF(IF(ISNA(計算結果!E621),"",計算結果!E621)=0,"",IF(ISNA(計算結果!E621),"",計算結果!E621))</f>
        <v/>
      </c>
      <c r="F621" s="10" t="str">
        <f>IF(IF(ISNA(計算結果!F621),"",計算結果!F621)=0,"",IF(ISNA(計算結果!F621),"",計算結果!F621))</f>
        <v/>
      </c>
      <c r="G621" s="10" t="str">
        <f>IF(IF(ISNA(計算結果!G621),"",計算結果!G621)=0,"",IF(ISNA(計算結果!G621),"",計算結果!G621))</f>
        <v/>
      </c>
      <c r="H621" s="13">
        <f>IF(IF(ISNA(計算結果!H621),"",計算結果!H621)=0,"",IF(ISNA(計算結果!H621),"",計算結果!H621))</f>
        <v>-2</v>
      </c>
      <c r="I621" s="12" t="str">
        <f>IF(IF(ISNA(計算結果!I621),"",計算結果!I621)=0,"",IF(ISNA(計算結果!I621),"",計算結果!I621))</f>
        <v/>
      </c>
      <c r="J621" s="12" t="str">
        <f>IF(IF(ISNA(計算結果!J621),"",計算結果!J621)=0,"",IF(ISNA(計算結果!J621),"",計算結果!J621))</f>
        <v/>
      </c>
      <c r="K621" s="23" t="str">
        <f>IF(IF(ISNA(計算結果!K621),"",計算結果!K621)=0,"",IF(ISNA(計算結果!K621),"",計算結果!K621))</f>
        <v/>
      </c>
      <c r="L621" s="13" t="str">
        <f>IF(IF(ISNA(計算結果!L621),"",計算結果!L621)=0,"",IF(ISNA(計算結果!L621),"",計算結果!L621))</f>
        <v/>
      </c>
      <c r="M621" s="10" t="str">
        <f>IF(IF(ISNA(計算結果!M621),"",計算結果!M621)=0,"",IF(ISNA(計算結果!M621),"",計算結果!M621))</f>
        <v/>
      </c>
      <c r="N621" s="10" t="str">
        <f>IF(IF(ISNA(計算結果!N621),"",計算結果!N621)=0,"",IF(ISNA(計算結果!N621),"",計算結果!N621))</f>
        <v/>
      </c>
      <c r="O621" s="13" t="str">
        <f>IF(IF(ISNA(計算結果!O621),"",計算結果!O621)=0,"",IF(ISNA(計算結果!O621),"",計算結果!O621))</f>
        <v/>
      </c>
      <c r="P621" s="10" t="str">
        <f>IF(IF(ISNA(計算結果!P621),"",計算結果!P621)=0,"",IF(ISNA(計算結果!P621),"",計算結果!P621))</f>
        <v/>
      </c>
      <c r="Q621" s="10" t="str">
        <f>IF(IF(ISNA(計算結果!Q621),"",計算結果!Q621)=0,"",IF(ISNA(計算結果!Q621),"",計算結果!Q621))</f>
        <v/>
      </c>
      <c r="R621" s="14" t="str">
        <f t="shared" si="27"/>
        <v/>
      </c>
      <c r="S621" s="14" t="str">
        <f t="shared" si="28"/>
        <v>◯</v>
      </c>
      <c r="T621" s="14" t="str">
        <f t="shared" si="29"/>
        <v/>
      </c>
    </row>
    <row r="622" spans="1:20" hidden="1" x14ac:dyDescent="0.45">
      <c r="A622" s="10" t="str">
        <f>IF(IF(ISNA(計算結果!A622),"",計算結果!A622)=0,"",IF(ISNA(計算結果!A622),"",計算結果!A622))</f>
        <v/>
      </c>
      <c r="B622" s="10" t="str">
        <f>IF(IF(ISNA(計算結果!B622),"",計算結果!B622)=0,"",IF(ISNA(計算結果!B622),"",計算結果!B622))</f>
        <v/>
      </c>
      <c r="C622" s="10" t="str">
        <f>IF(IF(ISNA(計算結果!C622),"",計算結果!C622)=0,"",IF(ISNA(計算結果!C622),"",計算結果!C622))</f>
        <v/>
      </c>
      <c r="D622" s="10" t="str">
        <f>IF(IF(ISNA(計算結果!D622),"",計算結果!D622)=0,"",IF(ISNA(計算結果!D622),"",計算結果!D622))</f>
        <v>L</v>
      </c>
      <c r="E622" s="10" t="str">
        <f>IF(IF(ISNA(計算結果!E622),"",計算結果!E622)=0,"",IF(ISNA(計算結果!E622),"",計算結果!E622))</f>
        <v/>
      </c>
      <c r="F622" s="10" t="str">
        <f>IF(IF(ISNA(計算結果!F622),"",計算結果!F622)=0,"",IF(ISNA(計算結果!F622),"",計算結果!F622))</f>
        <v/>
      </c>
      <c r="G622" s="10" t="str">
        <f>IF(IF(ISNA(計算結果!G622),"",計算結果!G622)=0,"",IF(ISNA(計算結果!G622),"",計算結果!G622))</f>
        <v/>
      </c>
      <c r="H622" s="13">
        <f>IF(IF(ISNA(計算結果!H622),"",計算結果!H622)=0,"",IF(ISNA(計算結果!H622),"",計算結果!H622))</f>
        <v>-2</v>
      </c>
      <c r="I622" s="12" t="str">
        <f>IF(IF(ISNA(計算結果!I622),"",計算結果!I622)=0,"",IF(ISNA(計算結果!I622),"",計算結果!I622))</f>
        <v/>
      </c>
      <c r="J622" s="12" t="str">
        <f>IF(IF(ISNA(計算結果!J622),"",計算結果!J622)=0,"",IF(ISNA(計算結果!J622),"",計算結果!J622))</f>
        <v/>
      </c>
      <c r="K622" s="23" t="str">
        <f>IF(IF(ISNA(計算結果!K622),"",計算結果!K622)=0,"",IF(ISNA(計算結果!K622),"",計算結果!K622))</f>
        <v/>
      </c>
      <c r="L622" s="13" t="str">
        <f>IF(IF(ISNA(計算結果!L622),"",計算結果!L622)=0,"",IF(ISNA(計算結果!L622),"",計算結果!L622))</f>
        <v/>
      </c>
      <c r="M622" s="10" t="str">
        <f>IF(IF(ISNA(計算結果!M622),"",計算結果!M622)=0,"",IF(ISNA(計算結果!M622),"",計算結果!M622))</f>
        <v/>
      </c>
      <c r="N622" s="10" t="str">
        <f>IF(IF(ISNA(計算結果!N622),"",計算結果!N622)=0,"",IF(ISNA(計算結果!N622),"",計算結果!N622))</f>
        <v/>
      </c>
      <c r="O622" s="13" t="str">
        <f>IF(IF(ISNA(計算結果!O622),"",計算結果!O622)=0,"",IF(ISNA(計算結果!O622),"",計算結果!O622))</f>
        <v/>
      </c>
      <c r="P622" s="10" t="str">
        <f>IF(IF(ISNA(計算結果!P622),"",計算結果!P622)=0,"",IF(ISNA(計算結果!P622),"",計算結果!P622))</f>
        <v/>
      </c>
      <c r="Q622" s="10" t="str">
        <f>IF(IF(ISNA(計算結果!Q622),"",計算結果!Q622)=0,"",IF(ISNA(計算結果!Q622),"",計算結果!Q622))</f>
        <v/>
      </c>
      <c r="R622" s="14" t="str">
        <f t="shared" si="27"/>
        <v/>
      </c>
      <c r="S622" s="14" t="str">
        <f t="shared" si="28"/>
        <v>◯</v>
      </c>
      <c r="T622" s="14" t="str">
        <f t="shared" si="29"/>
        <v/>
      </c>
    </row>
    <row r="623" spans="1:20" hidden="1" x14ac:dyDescent="0.45">
      <c r="A623" s="10" t="str">
        <f>IF(IF(ISNA(計算結果!A623),"",計算結果!A623)=0,"",IF(ISNA(計算結果!A623),"",計算結果!A623))</f>
        <v/>
      </c>
      <c r="B623" s="10" t="str">
        <f>IF(IF(ISNA(計算結果!B623),"",計算結果!B623)=0,"",IF(ISNA(計算結果!B623),"",計算結果!B623))</f>
        <v/>
      </c>
      <c r="C623" s="10" t="str">
        <f>IF(IF(ISNA(計算結果!C623),"",計算結果!C623)=0,"",IF(ISNA(計算結果!C623),"",計算結果!C623))</f>
        <v/>
      </c>
      <c r="D623" s="10" t="str">
        <f>IF(IF(ISNA(計算結果!D623),"",計算結果!D623)=0,"",IF(ISNA(計算結果!D623),"",計算結果!D623))</f>
        <v>L</v>
      </c>
      <c r="E623" s="10" t="str">
        <f>IF(IF(ISNA(計算結果!E623),"",計算結果!E623)=0,"",IF(ISNA(計算結果!E623),"",計算結果!E623))</f>
        <v/>
      </c>
      <c r="F623" s="10" t="str">
        <f>IF(IF(ISNA(計算結果!F623),"",計算結果!F623)=0,"",IF(ISNA(計算結果!F623),"",計算結果!F623))</f>
        <v/>
      </c>
      <c r="G623" s="10" t="str">
        <f>IF(IF(ISNA(計算結果!G623),"",計算結果!G623)=0,"",IF(ISNA(計算結果!G623),"",計算結果!G623))</f>
        <v/>
      </c>
      <c r="H623" s="13">
        <f>IF(IF(ISNA(計算結果!H623),"",計算結果!H623)=0,"",IF(ISNA(計算結果!H623),"",計算結果!H623))</f>
        <v>-2</v>
      </c>
      <c r="I623" s="12" t="str">
        <f>IF(IF(ISNA(計算結果!I623),"",計算結果!I623)=0,"",IF(ISNA(計算結果!I623),"",計算結果!I623))</f>
        <v/>
      </c>
      <c r="J623" s="12" t="str">
        <f>IF(IF(ISNA(計算結果!J623),"",計算結果!J623)=0,"",IF(ISNA(計算結果!J623),"",計算結果!J623))</f>
        <v/>
      </c>
      <c r="K623" s="23" t="str">
        <f>IF(IF(ISNA(計算結果!K623),"",計算結果!K623)=0,"",IF(ISNA(計算結果!K623),"",計算結果!K623))</f>
        <v/>
      </c>
      <c r="L623" s="13" t="str">
        <f>IF(IF(ISNA(計算結果!L623),"",計算結果!L623)=0,"",IF(ISNA(計算結果!L623),"",計算結果!L623))</f>
        <v/>
      </c>
      <c r="M623" s="10" t="str">
        <f>IF(IF(ISNA(計算結果!M623),"",計算結果!M623)=0,"",IF(ISNA(計算結果!M623),"",計算結果!M623))</f>
        <v/>
      </c>
      <c r="N623" s="10" t="str">
        <f>IF(IF(ISNA(計算結果!N623),"",計算結果!N623)=0,"",IF(ISNA(計算結果!N623),"",計算結果!N623))</f>
        <v/>
      </c>
      <c r="O623" s="13" t="str">
        <f>IF(IF(ISNA(計算結果!O623),"",計算結果!O623)=0,"",IF(ISNA(計算結果!O623),"",計算結果!O623))</f>
        <v/>
      </c>
      <c r="P623" s="10" t="str">
        <f>IF(IF(ISNA(計算結果!P623),"",計算結果!P623)=0,"",IF(ISNA(計算結果!P623),"",計算結果!P623))</f>
        <v/>
      </c>
      <c r="Q623" s="10" t="str">
        <f>IF(IF(ISNA(計算結果!Q623),"",計算結果!Q623)=0,"",IF(ISNA(計算結果!Q623),"",計算結果!Q623))</f>
        <v/>
      </c>
      <c r="R623" s="14" t="str">
        <f t="shared" si="27"/>
        <v/>
      </c>
      <c r="S623" s="14" t="str">
        <f t="shared" si="28"/>
        <v>◯</v>
      </c>
      <c r="T623" s="14" t="str">
        <f t="shared" si="29"/>
        <v/>
      </c>
    </row>
    <row r="624" spans="1:20" hidden="1" x14ac:dyDescent="0.45">
      <c r="A624" s="10" t="str">
        <f>IF(IF(ISNA(計算結果!A624),"",計算結果!A624)=0,"",IF(ISNA(計算結果!A624),"",計算結果!A624))</f>
        <v/>
      </c>
      <c r="B624" s="10" t="str">
        <f>IF(IF(ISNA(計算結果!B624),"",計算結果!B624)=0,"",IF(ISNA(計算結果!B624),"",計算結果!B624))</f>
        <v/>
      </c>
      <c r="C624" s="10" t="str">
        <f>IF(IF(ISNA(計算結果!C624),"",計算結果!C624)=0,"",IF(ISNA(計算結果!C624),"",計算結果!C624))</f>
        <v/>
      </c>
      <c r="D624" s="10" t="str">
        <f>IF(IF(ISNA(計算結果!D624),"",計算結果!D624)=0,"",IF(ISNA(計算結果!D624),"",計算結果!D624))</f>
        <v>L</v>
      </c>
      <c r="E624" s="10" t="str">
        <f>IF(IF(ISNA(計算結果!E624),"",計算結果!E624)=0,"",IF(ISNA(計算結果!E624),"",計算結果!E624))</f>
        <v/>
      </c>
      <c r="F624" s="10" t="str">
        <f>IF(IF(ISNA(計算結果!F624),"",計算結果!F624)=0,"",IF(ISNA(計算結果!F624),"",計算結果!F624))</f>
        <v/>
      </c>
      <c r="G624" s="10" t="str">
        <f>IF(IF(ISNA(計算結果!G624),"",計算結果!G624)=0,"",IF(ISNA(計算結果!G624),"",計算結果!G624))</f>
        <v/>
      </c>
      <c r="H624" s="13">
        <f>IF(IF(ISNA(計算結果!H624),"",計算結果!H624)=0,"",IF(ISNA(計算結果!H624),"",計算結果!H624))</f>
        <v>-2</v>
      </c>
      <c r="I624" s="12" t="str">
        <f>IF(IF(ISNA(計算結果!I624),"",計算結果!I624)=0,"",IF(ISNA(計算結果!I624),"",計算結果!I624))</f>
        <v/>
      </c>
      <c r="J624" s="12" t="str">
        <f>IF(IF(ISNA(計算結果!J624),"",計算結果!J624)=0,"",IF(ISNA(計算結果!J624),"",計算結果!J624))</f>
        <v/>
      </c>
      <c r="K624" s="23" t="str">
        <f>IF(IF(ISNA(計算結果!K624),"",計算結果!K624)=0,"",IF(ISNA(計算結果!K624),"",計算結果!K624))</f>
        <v/>
      </c>
      <c r="L624" s="13" t="str">
        <f>IF(IF(ISNA(計算結果!L624),"",計算結果!L624)=0,"",IF(ISNA(計算結果!L624),"",計算結果!L624))</f>
        <v/>
      </c>
      <c r="M624" s="10" t="str">
        <f>IF(IF(ISNA(計算結果!M624),"",計算結果!M624)=0,"",IF(ISNA(計算結果!M624),"",計算結果!M624))</f>
        <v/>
      </c>
      <c r="N624" s="10" t="str">
        <f>IF(IF(ISNA(計算結果!N624),"",計算結果!N624)=0,"",IF(ISNA(計算結果!N624),"",計算結果!N624))</f>
        <v/>
      </c>
      <c r="O624" s="13" t="str">
        <f>IF(IF(ISNA(計算結果!O624),"",計算結果!O624)=0,"",IF(ISNA(計算結果!O624),"",計算結果!O624))</f>
        <v/>
      </c>
      <c r="P624" s="10" t="str">
        <f>IF(IF(ISNA(計算結果!P624),"",計算結果!P624)=0,"",IF(ISNA(計算結果!P624),"",計算結果!P624))</f>
        <v/>
      </c>
      <c r="Q624" s="10" t="str">
        <f>IF(IF(ISNA(計算結果!Q624),"",計算結果!Q624)=0,"",IF(ISNA(計算結果!Q624),"",計算結果!Q624))</f>
        <v/>
      </c>
      <c r="R624" s="14" t="str">
        <f t="shared" si="27"/>
        <v/>
      </c>
      <c r="S624" s="14" t="str">
        <f t="shared" si="28"/>
        <v>◯</v>
      </c>
      <c r="T624" s="14" t="str">
        <f t="shared" si="29"/>
        <v/>
      </c>
    </row>
    <row r="625" spans="1:20" hidden="1" x14ac:dyDescent="0.45">
      <c r="A625" s="10" t="str">
        <f>IF(IF(ISNA(計算結果!A625),"",計算結果!A625)=0,"",IF(ISNA(計算結果!A625),"",計算結果!A625))</f>
        <v/>
      </c>
      <c r="B625" s="10" t="str">
        <f>IF(IF(ISNA(計算結果!B625),"",計算結果!B625)=0,"",IF(ISNA(計算結果!B625),"",計算結果!B625))</f>
        <v/>
      </c>
      <c r="C625" s="10" t="str">
        <f>IF(IF(ISNA(計算結果!C625),"",計算結果!C625)=0,"",IF(ISNA(計算結果!C625),"",計算結果!C625))</f>
        <v/>
      </c>
      <c r="D625" s="10" t="str">
        <f>IF(IF(ISNA(計算結果!D625),"",計算結果!D625)=0,"",IF(ISNA(計算結果!D625),"",計算結果!D625))</f>
        <v>L</v>
      </c>
      <c r="E625" s="10" t="str">
        <f>IF(IF(ISNA(計算結果!E625),"",計算結果!E625)=0,"",IF(ISNA(計算結果!E625),"",計算結果!E625))</f>
        <v/>
      </c>
      <c r="F625" s="10" t="str">
        <f>IF(IF(ISNA(計算結果!F625),"",計算結果!F625)=0,"",IF(ISNA(計算結果!F625),"",計算結果!F625))</f>
        <v/>
      </c>
      <c r="G625" s="10" t="str">
        <f>IF(IF(ISNA(計算結果!G625),"",計算結果!G625)=0,"",IF(ISNA(計算結果!G625),"",計算結果!G625))</f>
        <v/>
      </c>
      <c r="H625" s="13">
        <f>IF(IF(ISNA(計算結果!H625),"",計算結果!H625)=0,"",IF(ISNA(計算結果!H625),"",計算結果!H625))</f>
        <v>-2</v>
      </c>
      <c r="I625" s="12" t="str">
        <f>IF(IF(ISNA(計算結果!I625),"",計算結果!I625)=0,"",IF(ISNA(計算結果!I625),"",計算結果!I625))</f>
        <v/>
      </c>
      <c r="J625" s="12" t="str">
        <f>IF(IF(ISNA(計算結果!J625),"",計算結果!J625)=0,"",IF(ISNA(計算結果!J625),"",計算結果!J625))</f>
        <v/>
      </c>
      <c r="K625" s="23" t="str">
        <f>IF(IF(ISNA(計算結果!K625),"",計算結果!K625)=0,"",IF(ISNA(計算結果!K625),"",計算結果!K625))</f>
        <v/>
      </c>
      <c r="L625" s="13" t="str">
        <f>IF(IF(ISNA(計算結果!L625),"",計算結果!L625)=0,"",IF(ISNA(計算結果!L625),"",計算結果!L625))</f>
        <v/>
      </c>
      <c r="M625" s="10" t="str">
        <f>IF(IF(ISNA(計算結果!M625),"",計算結果!M625)=0,"",IF(ISNA(計算結果!M625),"",計算結果!M625))</f>
        <v/>
      </c>
      <c r="N625" s="10" t="str">
        <f>IF(IF(ISNA(計算結果!N625),"",計算結果!N625)=0,"",IF(ISNA(計算結果!N625),"",計算結果!N625))</f>
        <v/>
      </c>
      <c r="O625" s="13" t="str">
        <f>IF(IF(ISNA(計算結果!O625),"",計算結果!O625)=0,"",IF(ISNA(計算結果!O625),"",計算結果!O625))</f>
        <v/>
      </c>
      <c r="P625" s="10" t="str">
        <f>IF(IF(ISNA(計算結果!P625),"",計算結果!P625)=0,"",IF(ISNA(計算結果!P625),"",計算結果!P625))</f>
        <v/>
      </c>
      <c r="Q625" s="10" t="str">
        <f>IF(IF(ISNA(計算結果!Q625),"",計算結果!Q625)=0,"",IF(ISNA(計算結果!Q625),"",計算結果!Q625))</f>
        <v/>
      </c>
      <c r="R625" s="14" t="str">
        <f t="shared" si="27"/>
        <v/>
      </c>
      <c r="S625" s="14" t="str">
        <f t="shared" si="28"/>
        <v>◯</v>
      </c>
      <c r="T625" s="14" t="str">
        <f t="shared" si="29"/>
        <v/>
      </c>
    </row>
    <row r="626" spans="1:20" hidden="1" x14ac:dyDescent="0.45">
      <c r="A626" s="10" t="str">
        <f>IF(IF(ISNA(計算結果!A626),"",計算結果!A626)=0,"",IF(ISNA(計算結果!A626),"",計算結果!A626))</f>
        <v/>
      </c>
      <c r="B626" s="10" t="str">
        <f>IF(IF(ISNA(計算結果!B626),"",計算結果!B626)=0,"",IF(ISNA(計算結果!B626),"",計算結果!B626))</f>
        <v/>
      </c>
      <c r="C626" s="10" t="str">
        <f>IF(IF(ISNA(計算結果!C626),"",計算結果!C626)=0,"",IF(ISNA(計算結果!C626),"",計算結果!C626))</f>
        <v/>
      </c>
      <c r="D626" s="10" t="str">
        <f>IF(IF(ISNA(計算結果!D626),"",計算結果!D626)=0,"",IF(ISNA(計算結果!D626),"",計算結果!D626))</f>
        <v>L</v>
      </c>
      <c r="E626" s="10" t="str">
        <f>IF(IF(ISNA(計算結果!E626),"",計算結果!E626)=0,"",IF(ISNA(計算結果!E626),"",計算結果!E626))</f>
        <v/>
      </c>
      <c r="F626" s="10" t="str">
        <f>IF(IF(ISNA(計算結果!F626),"",計算結果!F626)=0,"",IF(ISNA(計算結果!F626),"",計算結果!F626))</f>
        <v/>
      </c>
      <c r="G626" s="10" t="str">
        <f>IF(IF(ISNA(計算結果!G626),"",計算結果!G626)=0,"",IF(ISNA(計算結果!G626),"",計算結果!G626))</f>
        <v/>
      </c>
      <c r="H626" s="13">
        <f>IF(IF(ISNA(計算結果!H626),"",計算結果!H626)=0,"",IF(ISNA(計算結果!H626),"",計算結果!H626))</f>
        <v>-2</v>
      </c>
      <c r="I626" s="12" t="str">
        <f>IF(IF(ISNA(計算結果!I626),"",計算結果!I626)=0,"",IF(ISNA(計算結果!I626),"",計算結果!I626))</f>
        <v/>
      </c>
      <c r="J626" s="12" t="str">
        <f>IF(IF(ISNA(計算結果!J626),"",計算結果!J626)=0,"",IF(ISNA(計算結果!J626),"",計算結果!J626))</f>
        <v/>
      </c>
      <c r="K626" s="23" t="str">
        <f>IF(IF(ISNA(計算結果!K626),"",計算結果!K626)=0,"",IF(ISNA(計算結果!K626),"",計算結果!K626))</f>
        <v/>
      </c>
      <c r="L626" s="13" t="str">
        <f>IF(IF(ISNA(計算結果!L626),"",計算結果!L626)=0,"",IF(ISNA(計算結果!L626),"",計算結果!L626))</f>
        <v/>
      </c>
      <c r="M626" s="10" t="str">
        <f>IF(IF(ISNA(計算結果!M626),"",計算結果!M626)=0,"",IF(ISNA(計算結果!M626),"",計算結果!M626))</f>
        <v/>
      </c>
      <c r="N626" s="10" t="str">
        <f>IF(IF(ISNA(計算結果!N626),"",計算結果!N626)=0,"",IF(ISNA(計算結果!N626),"",計算結果!N626))</f>
        <v/>
      </c>
      <c r="O626" s="13" t="str">
        <f>IF(IF(ISNA(計算結果!O626),"",計算結果!O626)=0,"",IF(ISNA(計算結果!O626),"",計算結果!O626))</f>
        <v/>
      </c>
      <c r="P626" s="10" t="str">
        <f>IF(IF(ISNA(計算結果!P626),"",計算結果!P626)=0,"",IF(ISNA(計算結果!P626),"",計算結果!P626))</f>
        <v/>
      </c>
      <c r="Q626" s="10" t="str">
        <f>IF(IF(ISNA(計算結果!Q626),"",計算結果!Q626)=0,"",IF(ISNA(計算結果!Q626),"",計算結果!Q626))</f>
        <v/>
      </c>
      <c r="R626" s="14" t="str">
        <f t="shared" si="27"/>
        <v/>
      </c>
      <c r="S626" s="14" t="str">
        <f t="shared" si="28"/>
        <v>◯</v>
      </c>
      <c r="T626" s="14" t="str">
        <f t="shared" si="29"/>
        <v/>
      </c>
    </row>
    <row r="627" spans="1:20" hidden="1" x14ac:dyDescent="0.45">
      <c r="A627" s="10" t="str">
        <f>IF(IF(ISNA(計算結果!A627),"",計算結果!A627)=0,"",IF(ISNA(計算結果!A627),"",計算結果!A627))</f>
        <v/>
      </c>
      <c r="B627" s="10" t="str">
        <f>IF(IF(ISNA(計算結果!B627),"",計算結果!B627)=0,"",IF(ISNA(計算結果!B627),"",計算結果!B627))</f>
        <v/>
      </c>
      <c r="C627" s="10" t="str">
        <f>IF(IF(ISNA(計算結果!C627),"",計算結果!C627)=0,"",IF(ISNA(計算結果!C627),"",計算結果!C627))</f>
        <v/>
      </c>
      <c r="D627" s="10" t="str">
        <f>IF(IF(ISNA(計算結果!D627),"",計算結果!D627)=0,"",IF(ISNA(計算結果!D627),"",計算結果!D627))</f>
        <v>L</v>
      </c>
      <c r="E627" s="10" t="str">
        <f>IF(IF(ISNA(計算結果!E627),"",計算結果!E627)=0,"",IF(ISNA(計算結果!E627),"",計算結果!E627))</f>
        <v/>
      </c>
      <c r="F627" s="10" t="str">
        <f>IF(IF(ISNA(計算結果!F627),"",計算結果!F627)=0,"",IF(ISNA(計算結果!F627),"",計算結果!F627))</f>
        <v/>
      </c>
      <c r="G627" s="10" t="str">
        <f>IF(IF(ISNA(計算結果!G627),"",計算結果!G627)=0,"",IF(ISNA(計算結果!G627),"",計算結果!G627))</f>
        <v/>
      </c>
      <c r="H627" s="13">
        <f>IF(IF(ISNA(計算結果!H627),"",計算結果!H627)=0,"",IF(ISNA(計算結果!H627),"",計算結果!H627))</f>
        <v>-2</v>
      </c>
      <c r="I627" s="12" t="str">
        <f>IF(IF(ISNA(計算結果!I627),"",計算結果!I627)=0,"",IF(ISNA(計算結果!I627),"",計算結果!I627))</f>
        <v/>
      </c>
      <c r="J627" s="12" t="str">
        <f>IF(IF(ISNA(計算結果!J627),"",計算結果!J627)=0,"",IF(ISNA(計算結果!J627),"",計算結果!J627))</f>
        <v/>
      </c>
      <c r="K627" s="23" t="str">
        <f>IF(IF(ISNA(計算結果!K627),"",計算結果!K627)=0,"",IF(ISNA(計算結果!K627),"",計算結果!K627))</f>
        <v/>
      </c>
      <c r="L627" s="13" t="str">
        <f>IF(IF(ISNA(計算結果!L627),"",計算結果!L627)=0,"",IF(ISNA(計算結果!L627),"",計算結果!L627))</f>
        <v/>
      </c>
      <c r="M627" s="10" t="str">
        <f>IF(IF(ISNA(計算結果!M627),"",計算結果!M627)=0,"",IF(ISNA(計算結果!M627),"",計算結果!M627))</f>
        <v/>
      </c>
      <c r="N627" s="10" t="str">
        <f>IF(IF(ISNA(計算結果!N627),"",計算結果!N627)=0,"",IF(ISNA(計算結果!N627),"",計算結果!N627))</f>
        <v/>
      </c>
      <c r="O627" s="13" t="str">
        <f>IF(IF(ISNA(計算結果!O627),"",計算結果!O627)=0,"",IF(ISNA(計算結果!O627),"",計算結果!O627))</f>
        <v/>
      </c>
      <c r="P627" s="10" t="str">
        <f>IF(IF(ISNA(計算結果!P627),"",計算結果!P627)=0,"",IF(ISNA(計算結果!P627),"",計算結果!P627))</f>
        <v/>
      </c>
      <c r="Q627" s="10" t="str">
        <f>IF(IF(ISNA(計算結果!Q627),"",計算結果!Q627)=0,"",IF(ISNA(計算結果!Q627),"",計算結果!Q627))</f>
        <v/>
      </c>
      <c r="R627" s="14" t="str">
        <f t="shared" si="27"/>
        <v/>
      </c>
      <c r="S627" s="14" t="str">
        <f t="shared" si="28"/>
        <v>◯</v>
      </c>
      <c r="T627" s="14" t="str">
        <f t="shared" si="29"/>
        <v/>
      </c>
    </row>
    <row r="628" spans="1:20" hidden="1" x14ac:dyDescent="0.45">
      <c r="A628" s="10" t="str">
        <f>IF(IF(ISNA(計算結果!A628),"",計算結果!A628)=0,"",IF(ISNA(計算結果!A628),"",計算結果!A628))</f>
        <v/>
      </c>
      <c r="B628" s="10" t="str">
        <f>IF(IF(ISNA(計算結果!B628),"",計算結果!B628)=0,"",IF(ISNA(計算結果!B628),"",計算結果!B628))</f>
        <v/>
      </c>
      <c r="C628" s="10" t="str">
        <f>IF(IF(ISNA(計算結果!C628),"",計算結果!C628)=0,"",IF(ISNA(計算結果!C628),"",計算結果!C628))</f>
        <v/>
      </c>
      <c r="D628" s="10" t="str">
        <f>IF(IF(ISNA(計算結果!D628),"",計算結果!D628)=0,"",IF(ISNA(計算結果!D628),"",計算結果!D628))</f>
        <v>L</v>
      </c>
      <c r="E628" s="10" t="str">
        <f>IF(IF(ISNA(計算結果!E628),"",計算結果!E628)=0,"",IF(ISNA(計算結果!E628),"",計算結果!E628))</f>
        <v/>
      </c>
      <c r="F628" s="10" t="str">
        <f>IF(IF(ISNA(計算結果!F628),"",計算結果!F628)=0,"",IF(ISNA(計算結果!F628),"",計算結果!F628))</f>
        <v/>
      </c>
      <c r="G628" s="10" t="str">
        <f>IF(IF(ISNA(計算結果!G628),"",計算結果!G628)=0,"",IF(ISNA(計算結果!G628),"",計算結果!G628))</f>
        <v/>
      </c>
      <c r="H628" s="13">
        <f>IF(IF(ISNA(計算結果!H628),"",計算結果!H628)=0,"",IF(ISNA(計算結果!H628),"",計算結果!H628))</f>
        <v>-2</v>
      </c>
      <c r="I628" s="12" t="str">
        <f>IF(IF(ISNA(計算結果!I628),"",計算結果!I628)=0,"",IF(ISNA(計算結果!I628),"",計算結果!I628))</f>
        <v/>
      </c>
      <c r="J628" s="12" t="str">
        <f>IF(IF(ISNA(計算結果!J628),"",計算結果!J628)=0,"",IF(ISNA(計算結果!J628),"",計算結果!J628))</f>
        <v/>
      </c>
      <c r="K628" s="23" t="str">
        <f>IF(IF(ISNA(計算結果!K628),"",計算結果!K628)=0,"",IF(ISNA(計算結果!K628),"",計算結果!K628))</f>
        <v/>
      </c>
      <c r="L628" s="13" t="str">
        <f>IF(IF(ISNA(計算結果!L628),"",計算結果!L628)=0,"",IF(ISNA(計算結果!L628),"",計算結果!L628))</f>
        <v/>
      </c>
      <c r="M628" s="10" t="str">
        <f>IF(IF(ISNA(計算結果!M628),"",計算結果!M628)=0,"",IF(ISNA(計算結果!M628),"",計算結果!M628))</f>
        <v/>
      </c>
      <c r="N628" s="10" t="str">
        <f>IF(IF(ISNA(計算結果!N628),"",計算結果!N628)=0,"",IF(ISNA(計算結果!N628),"",計算結果!N628))</f>
        <v/>
      </c>
      <c r="O628" s="13" t="str">
        <f>IF(IF(ISNA(計算結果!O628),"",計算結果!O628)=0,"",IF(ISNA(計算結果!O628),"",計算結果!O628))</f>
        <v/>
      </c>
      <c r="P628" s="10" t="str">
        <f>IF(IF(ISNA(計算結果!P628),"",計算結果!P628)=0,"",IF(ISNA(計算結果!P628),"",計算結果!P628))</f>
        <v/>
      </c>
      <c r="Q628" s="10" t="str">
        <f>IF(IF(ISNA(計算結果!Q628),"",計算結果!Q628)=0,"",IF(ISNA(計算結果!Q628),"",計算結果!Q628))</f>
        <v/>
      </c>
      <c r="R628" s="14" t="str">
        <f t="shared" si="27"/>
        <v/>
      </c>
      <c r="S628" s="14" t="str">
        <f t="shared" si="28"/>
        <v>◯</v>
      </c>
      <c r="T628" s="14" t="str">
        <f t="shared" si="29"/>
        <v/>
      </c>
    </row>
    <row r="629" spans="1:20" hidden="1" x14ac:dyDescent="0.45">
      <c r="A629" s="10" t="str">
        <f>IF(IF(ISNA(計算結果!A629),"",計算結果!A629)=0,"",IF(ISNA(計算結果!A629),"",計算結果!A629))</f>
        <v/>
      </c>
      <c r="B629" s="10" t="str">
        <f>IF(IF(ISNA(計算結果!B629),"",計算結果!B629)=0,"",IF(ISNA(計算結果!B629),"",計算結果!B629))</f>
        <v/>
      </c>
      <c r="C629" s="10" t="str">
        <f>IF(IF(ISNA(計算結果!C629),"",計算結果!C629)=0,"",IF(ISNA(計算結果!C629),"",計算結果!C629))</f>
        <v/>
      </c>
      <c r="D629" s="10" t="str">
        <f>IF(IF(ISNA(計算結果!D629),"",計算結果!D629)=0,"",IF(ISNA(計算結果!D629),"",計算結果!D629))</f>
        <v>L</v>
      </c>
      <c r="E629" s="10" t="str">
        <f>IF(IF(ISNA(計算結果!E629),"",計算結果!E629)=0,"",IF(ISNA(計算結果!E629),"",計算結果!E629))</f>
        <v/>
      </c>
      <c r="F629" s="10" t="str">
        <f>IF(IF(ISNA(計算結果!F629),"",計算結果!F629)=0,"",IF(ISNA(計算結果!F629),"",計算結果!F629))</f>
        <v/>
      </c>
      <c r="G629" s="10" t="str">
        <f>IF(IF(ISNA(計算結果!G629),"",計算結果!G629)=0,"",IF(ISNA(計算結果!G629),"",計算結果!G629))</f>
        <v/>
      </c>
      <c r="H629" s="13">
        <f>IF(IF(ISNA(計算結果!H629),"",計算結果!H629)=0,"",IF(ISNA(計算結果!H629),"",計算結果!H629))</f>
        <v>-2</v>
      </c>
      <c r="I629" s="12" t="str">
        <f>IF(IF(ISNA(計算結果!I629),"",計算結果!I629)=0,"",IF(ISNA(計算結果!I629),"",計算結果!I629))</f>
        <v/>
      </c>
      <c r="J629" s="12" t="str">
        <f>IF(IF(ISNA(計算結果!J629),"",計算結果!J629)=0,"",IF(ISNA(計算結果!J629),"",計算結果!J629))</f>
        <v/>
      </c>
      <c r="K629" s="23" t="str">
        <f>IF(IF(ISNA(計算結果!K629),"",計算結果!K629)=0,"",IF(ISNA(計算結果!K629),"",計算結果!K629))</f>
        <v/>
      </c>
      <c r="L629" s="13" t="str">
        <f>IF(IF(ISNA(計算結果!L629),"",計算結果!L629)=0,"",IF(ISNA(計算結果!L629),"",計算結果!L629))</f>
        <v/>
      </c>
      <c r="M629" s="10" t="str">
        <f>IF(IF(ISNA(計算結果!M629),"",計算結果!M629)=0,"",IF(ISNA(計算結果!M629),"",計算結果!M629))</f>
        <v/>
      </c>
      <c r="N629" s="10" t="str">
        <f>IF(IF(ISNA(計算結果!N629),"",計算結果!N629)=0,"",IF(ISNA(計算結果!N629),"",計算結果!N629))</f>
        <v/>
      </c>
      <c r="O629" s="13" t="str">
        <f>IF(IF(ISNA(計算結果!O629),"",計算結果!O629)=0,"",IF(ISNA(計算結果!O629),"",計算結果!O629))</f>
        <v/>
      </c>
      <c r="P629" s="10" t="str">
        <f>IF(IF(ISNA(計算結果!P629),"",計算結果!P629)=0,"",IF(ISNA(計算結果!P629),"",計算結果!P629))</f>
        <v/>
      </c>
      <c r="Q629" s="10" t="str">
        <f>IF(IF(ISNA(計算結果!Q629),"",計算結果!Q629)=0,"",IF(ISNA(計算結果!Q629),"",計算結果!Q629))</f>
        <v/>
      </c>
      <c r="R629" s="14" t="str">
        <f t="shared" si="27"/>
        <v/>
      </c>
      <c r="S629" s="14" t="str">
        <f t="shared" si="28"/>
        <v>◯</v>
      </c>
      <c r="T629" s="14" t="str">
        <f t="shared" si="29"/>
        <v/>
      </c>
    </row>
    <row r="630" spans="1:20" hidden="1" x14ac:dyDescent="0.45">
      <c r="A630" s="10" t="str">
        <f>IF(IF(ISNA(計算結果!A630),"",計算結果!A630)=0,"",IF(ISNA(計算結果!A630),"",計算結果!A630))</f>
        <v/>
      </c>
      <c r="B630" s="10" t="str">
        <f>IF(IF(ISNA(計算結果!B630),"",計算結果!B630)=0,"",IF(ISNA(計算結果!B630),"",計算結果!B630))</f>
        <v/>
      </c>
      <c r="C630" s="10" t="str">
        <f>IF(IF(ISNA(計算結果!C630),"",計算結果!C630)=0,"",IF(ISNA(計算結果!C630),"",計算結果!C630))</f>
        <v/>
      </c>
      <c r="D630" s="10" t="str">
        <f>IF(IF(ISNA(計算結果!D630),"",計算結果!D630)=0,"",IF(ISNA(計算結果!D630),"",計算結果!D630))</f>
        <v>L</v>
      </c>
      <c r="E630" s="10" t="str">
        <f>IF(IF(ISNA(計算結果!E630),"",計算結果!E630)=0,"",IF(ISNA(計算結果!E630),"",計算結果!E630))</f>
        <v/>
      </c>
      <c r="F630" s="10" t="str">
        <f>IF(IF(ISNA(計算結果!F630),"",計算結果!F630)=0,"",IF(ISNA(計算結果!F630),"",計算結果!F630))</f>
        <v/>
      </c>
      <c r="G630" s="10" t="str">
        <f>IF(IF(ISNA(計算結果!G630),"",計算結果!G630)=0,"",IF(ISNA(計算結果!G630),"",計算結果!G630))</f>
        <v/>
      </c>
      <c r="H630" s="13">
        <f>IF(IF(ISNA(計算結果!H630),"",計算結果!H630)=0,"",IF(ISNA(計算結果!H630),"",計算結果!H630))</f>
        <v>-2</v>
      </c>
      <c r="I630" s="12" t="str">
        <f>IF(IF(ISNA(計算結果!I630),"",計算結果!I630)=0,"",IF(ISNA(計算結果!I630),"",計算結果!I630))</f>
        <v/>
      </c>
      <c r="J630" s="12" t="str">
        <f>IF(IF(ISNA(計算結果!J630),"",計算結果!J630)=0,"",IF(ISNA(計算結果!J630),"",計算結果!J630))</f>
        <v/>
      </c>
      <c r="K630" s="23" t="str">
        <f>IF(IF(ISNA(計算結果!K630),"",計算結果!K630)=0,"",IF(ISNA(計算結果!K630),"",計算結果!K630))</f>
        <v/>
      </c>
      <c r="L630" s="13" t="str">
        <f>IF(IF(ISNA(計算結果!L630),"",計算結果!L630)=0,"",IF(ISNA(計算結果!L630),"",計算結果!L630))</f>
        <v/>
      </c>
      <c r="M630" s="10" t="str">
        <f>IF(IF(ISNA(計算結果!M630),"",計算結果!M630)=0,"",IF(ISNA(計算結果!M630),"",計算結果!M630))</f>
        <v/>
      </c>
      <c r="N630" s="10" t="str">
        <f>IF(IF(ISNA(計算結果!N630),"",計算結果!N630)=0,"",IF(ISNA(計算結果!N630),"",計算結果!N630))</f>
        <v/>
      </c>
      <c r="O630" s="13" t="str">
        <f>IF(IF(ISNA(計算結果!O630),"",計算結果!O630)=0,"",IF(ISNA(計算結果!O630),"",計算結果!O630))</f>
        <v/>
      </c>
      <c r="P630" s="10" t="str">
        <f>IF(IF(ISNA(計算結果!P630),"",計算結果!P630)=0,"",IF(ISNA(計算結果!P630),"",計算結果!P630))</f>
        <v/>
      </c>
      <c r="Q630" s="10" t="str">
        <f>IF(IF(ISNA(計算結果!Q630),"",計算結果!Q630)=0,"",IF(ISNA(計算結果!Q630),"",計算結果!Q630))</f>
        <v/>
      </c>
      <c r="R630" s="14" t="str">
        <f t="shared" si="27"/>
        <v/>
      </c>
      <c r="S630" s="14" t="str">
        <f t="shared" si="28"/>
        <v>◯</v>
      </c>
      <c r="T630" s="14" t="str">
        <f t="shared" si="29"/>
        <v/>
      </c>
    </row>
    <row r="631" spans="1:20" hidden="1" x14ac:dyDescent="0.45">
      <c r="A631" s="10" t="str">
        <f>IF(IF(ISNA(計算結果!A631),"",計算結果!A631)=0,"",IF(ISNA(計算結果!A631),"",計算結果!A631))</f>
        <v/>
      </c>
      <c r="B631" s="10" t="str">
        <f>IF(IF(ISNA(計算結果!B631),"",計算結果!B631)=0,"",IF(ISNA(計算結果!B631),"",計算結果!B631))</f>
        <v/>
      </c>
      <c r="C631" s="10" t="str">
        <f>IF(IF(ISNA(計算結果!C631),"",計算結果!C631)=0,"",IF(ISNA(計算結果!C631),"",計算結果!C631))</f>
        <v/>
      </c>
      <c r="D631" s="10" t="str">
        <f>IF(IF(ISNA(計算結果!D631),"",計算結果!D631)=0,"",IF(ISNA(計算結果!D631),"",計算結果!D631))</f>
        <v>L</v>
      </c>
      <c r="E631" s="10" t="str">
        <f>IF(IF(ISNA(計算結果!E631),"",計算結果!E631)=0,"",IF(ISNA(計算結果!E631),"",計算結果!E631))</f>
        <v/>
      </c>
      <c r="F631" s="10" t="str">
        <f>IF(IF(ISNA(計算結果!F631),"",計算結果!F631)=0,"",IF(ISNA(計算結果!F631),"",計算結果!F631))</f>
        <v/>
      </c>
      <c r="G631" s="10" t="str">
        <f>IF(IF(ISNA(計算結果!G631),"",計算結果!G631)=0,"",IF(ISNA(計算結果!G631),"",計算結果!G631))</f>
        <v/>
      </c>
      <c r="H631" s="13">
        <f>IF(IF(ISNA(計算結果!H631),"",計算結果!H631)=0,"",IF(ISNA(計算結果!H631),"",計算結果!H631))</f>
        <v>-2</v>
      </c>
      <c r="I631" s="12" t="str">
        <f>IF(IF(ISNA(計算結果!I631),"",計算結果!I631)=0,"",IF(ISNA(計算結果!I631),"",計算結果!I631))</f>
        <v/>
      </c>
      <c r="J631" s="12" t="str">
        <f>IF(IF(ISNA(計算結果!J631),"",計算結果!J631)=0,"",IF(ISNA(計算結果!J631),"",計算結果!J631))</f>
        <v/>
      </c>
      <c r="K631" s="23" t="str">
        <f>IF(IF(ISNA(計算結果!K631),"",計算結果!K631)=0,"",IF(ISNA(計算結果!K631),"",計算結果!K631))</f>
        <v/>
      </c>
      <c r="L631" s="13" t="str">
        <f>IF(IF(ISNA(計算結果!L631),"",計算結果!L631)=0,"",IF(ISNA(計算結果!L631),"",計算結果!L631))</f>
        <v/>
      </c>
      <c r="M631" s="10" t="str">
        <f>IF(IF(ISNA(計算結果!M631),"",計算結果!M631)=0,"",IF(ISNA(計算結果!M631),"",計算結果!M631))</f>
        <v/>
      </c>
      <c r="N631" s="10" t="str">
        <f>IF(IF(ISNA(計算結果!N631),"",計算結果!N631)=0,"",IF(ISNA(計算結果!N631),"",計算結果!N631))</f>
        <v/>
      </c>
      <c r="O631" s="13" t="str">
        <f>IF(IF(ISNA(計算結果!O631),"",計算結果!O631)=0,"",IF(ISNA(計算結果!O631),"",計算結果!O631))</f>
        <v/>
      </c>
      <c r="P631" s="10" t="str">
        <f>IF(IF(ISNA(計算結果!P631),"",計算結果!P631)=0,"",IF(ISNA(計算結果!P631),"",計算結果!P631))</f>
        <v/>
      </c>
      <c r="Q631" s="10" t="str">
        <f>IF(IF(ISNA(計算結果!Q631),"",計算結果!Q631)=0,"",IF(ISNA(計算結果!Q631),"",計算結果!Q631))</f>
        <v/>
      </c>
      <c r="R631" s="14" t="str">
        <f t="shared" si="27"/>
        <v/>
      </c>
      <c r="S631" s="14" t="str">
        <f t="shared" si="28"/>
        <v>◯</v>
      </c>
      <c r="T631" s="14" t="str">
        <f t="shared" si="29"/>
        <v/>
      </c>
    </row>
    <row r="632" spans="1:20" hidden="1" x14ac:dyDescent="0.45">
      <c r="A632" s="10" t="str">
        <f>IF(IF(ISNA(計算結果!A632),"",計算結果!A632)=0,"",IF(ISNA(計算結果!A632),"",計算結果!A632))</f>
        <v/>
      </c>
      <c r="B632" s="10" t="str">
        <f>IF(IF(ISNA(計算結果!B632),"",計算結果!B632)=0,"",IF(ISNA(計算結果!B632),"",計算結果!B632))</f>
        <v/>
      </c>
      <c r="C632" s="10" t="str">
        <f>IF(IF(ISNA(計算結果!C632),"",計算結果!C632)=0,"",IF(ISNA(計算結果!C632),"",計算結果!C632))</f>
        <v/>
      </c>
      <c r="D632" s="10" t="str">
        <f>IF(IF(ISNA(計算結果!D632),"",計算結果!D632)=0,"",IF(ISNA(計算結果!D632),"",計算結果!D632))</f>
        <v>L</v>
      </c>
      <c r="E632" s="10" t="str">
        <f>IF(IF(ISNA(計算結果!E632),"",計算結果!E632)=0,"",IF(ISNA(計算結果!E632),"",計算結果!E632))</f>
        <v/>
      </c>
      <c r="F632" s="10" t="str">
        <f>IF(IF(ISNA(計算結果!F632),"",計算結果!F632)=0,"",IF(ISNA(計算結果!F632),"",計算結果!F632))</f>
        <v/>
      </c>
      <c r="G632" s="10" t="str">
        <f>IF(IF(ISNA(計算結果!G632),"",計算結果!G632)=0,"",IF(ISNA(計算結果!G632),"",計算結果!G632))</f>
        <v/>
      </c>
      <c r="H632" s="13">
        <f>IF(IF(ISNA(計算結果!H632),"",計算結果!H632)=0,"",IF(ISNA(計算結果!H632),"",計算結果!H632))</f>
        <v>-2</v>
      </c>
      <c r="I632" s="12" t="str">
        <f>IF(IF(ISNA(計算結果!I632),"",計算結果!I632)=0,"",IF(ISNA(計算結果!I632),"",計算結果!I632))</f>
        <v/>
      </c>
      <c r="J632" s="12" t="str">
        <f>IF(IF(ISNA(計算結果!J632),"",計算結果!J632)=0,"",IF(ISNA(計算結果!J632),"",計算結果!J632))</f>
        <v/>
      </c>
      <c r="K632" s="23" t="str">
        <f>IF(IF(ISNA(計算結果!K632),"",計算結果!K632)=0,"",IF(ISNA(計算結果!K632),"",計算結果!K632))</f>
        <v/>
      </c>
      <c r="L632" s="13" t="str">
        <f>IF(IF(ISNA(計算結果!L632),"",計算結果!L632)=0,"",IF(ISNA(計算結果!L632),"",計算結果!L632))</f>
        <v/>
      </c>
      <c r="M632" s="10" t="str">
        <f>IF(IF(ISNA(計算結果!M632),"",計算結果!M632)=0,"",IF(ISNA(計算結果!M632),"",計算結果!M632))</f>
        <v/>
      </c>
      <c r="N632" s="10" t="str">
        <f>IF(IF(ISNA(計算結果!N632),"",計算結果!N632)=0,"",IF(ISNA(計算結果!N632),"",計算結果!N632))</f>
        <v/>
      </c>
      <c r="O632" s="13" t="str">
        <f>IF(IF(ISNA(計算結果!O632),"",計算結果!O632)=0,"",IF(ISNA(計算結果!O632),"",計算結果!O632))</f>
        <v/>
      </c>
      <c r="P632" s="10" t="str">
        <f>IF(IF(ISNA(計算結果!P632),"",計算結果!P632)=0,"",IF(ISNA(計算結果!P632),"",計算結果!P632))</f>
        <v/>
      </c>
      <c r="Q632" s="10" t="str">
        <f>IF(IF(ISNA(計算結果!Q632),"",計算結果!Q632)=0,"",IF(ISNA(計算結果!Q632),"",計算結果!Q632))</f>
        <v/>
      </c>
      <c r="R632" s="14" t="str">
        <f t="shared" si="27"/>
        <v/>
      </c>
      <c r="S632" s="14" t="str">
        <f t="shared" si="28"/>
        <v>◯</v>
      </c>
      <c r="T632" s="14" t="str">
        <f t="shared" si="29"/>
        <v/>
      </c>
    </row>
    <row r="633" spans="1:20" hidden="1" x14ac:dyDescent="0.45">
      <c r="A633" s="10" t="str">
        <f>IF(IF(ISNA(計算結果!A633),"",計算結果!A633)=0,"",IF(ISNA(計算結果!A633),"",計算結果!A633))</f>
        <v/>
      </c>
      <c r="B633" s="10" t="str">
        <f>IF(IF(ISNA(計算結果!B633),"",計算結果!B633)=0,"",IF(ISNA(計算結果!B633),"",計算結果!B633))</f>
        <v/>
      </c>
      <c r="C633" s="10" t="str">
        <f>IF(IF(ISNA(計算結果!C633),"",計算結果!C633)=0,"",IF(ISNA(計算結果!C633),"",計算結果!C633))</f>
        <v/>
      </c>
      <c r="D633" s="10" t="str">
        <f>IF(IF(ISNA(計算結果!D633),"",計算結果!D633)=0,"",IF(ISNA(計算結果!D633),"",計算結果!D633))</f>
        <v>L</v>
      </c>
      <c r="E633" s="10" t="str">
        <f>IF(IF(ISNA(計算結果!E633),"",計算結果!E633)=0,"",IF(ISNA(計算結果!E633),"",計算結果!E633))</f>
        <v/>
      </c>
      <c r="F633" s="10" t="str">
        <f>IF(IF(ISNA(計算結果!F633),"",計算結果!F633)=0,"",IF(ISNA(計算結果!F633),"",計算結果!F633))</f>
        <v/>
      </c>
      <c r="G633" s="10" t="str">
        <f>IF(IF(ISNA(計算結果!G633),"",計算結果!G633)=0,"",IF(ISNA(計算結果!G633),"",計算結果!G633))</f>
        <v/>
      </c>
      <c r="H633" s="13">
        <f>IF(IF(ISNA(計算結果!H633),"",計算結果!H633)=0,"",IF(ISNA(計算結果!H633),"",計算結果!H633))</f>
        <v>-2</v>
      </c>
      <c r="I633" s="12" t="str">
        <f>IF(IF(ISNA(計算結果!I633),"",計算結果!I633)=0,"",IF(ISNA(計算結果!I633),"",計算結果!I633))</f>
        <v/>
      </c>
      <c r="J633" s="12" t="str">
        <f>IF(IF(ISNA(計算結果!J633),"",計算結果!J633)=0,"",IF(ISNA(計算結果!J633),"",計算結果!J633))</f>
        <v/>
      </c>
      <c r="K633" s="23" t="str">
        <f>IF(IF(ISNA(計算結果!K633),"",計算結果!K633)=0,"",IF(ISNA(計算結果!K633),"",計算結果!K633))</f>
        <v/>
      </c>
      <c r="L633" s="13" t="str">
        <f>IF(IF(ISNA(計算結果!L633),"",計算結果!L633)=0,"",IF(ISNA(計算結果!L633),"",計算結果!L633))</f>
        <v/>
      </c>
      <c r="M633" s="10" t="str">
        <f>IF(IF(ISNA(計算結果!M633),"",計算結果!M633)=0,"",IF(ISNA(計算結果!M633),"",計算結果!M633))</f>
        <v/>
      </c>
      <c r="N633" s="10" t="str">
        <f>IF(IF(ISNA(計算結果!N633),"",計算結果!N633)=0,"",IF(ISNA(計算結果!N633),"",計算結果!N633))</f>
        <v/>
      </c>
      <c r="O633" s="13" t="str">
        <f>IF(IF(ISNA(計算結果!O633),"",計算結果!O633)=0,"",IF(ISNA(計算結果!O633),"",計算結果!O633))</f>
        <v/>
      </c>
      <c r="P633" s="10" t="str">
        <f>IF(IF(ISNA(計算結果!P633),"",計算結果!P633)=0,"",IF(ISNA(計算結果!P633),"",計算結果!P633))</f>
        <v/>
      </c>
      <c r="Q633" s="10" t="str">
        <f>IF(IF(ISNA(計算結果!Q633),"",計算結果!Q633)=0,"",IF(ISNA(計算結果!Q633),"",計算結果!Q633))</f>
        <v/>
      </c>
      <c r="R633" s="14" t="str">
        <f t="shared" si="27"/>
        <v/>
      </c>
      <c r="S633" s="14" t="str">
        <f t="shared" si="28"/>
        <v>◯</v>
      </c>
      <c r="T633" s="14" t="str">
        <f t="shared" si="29"/>
        <v/>
      </c>
    </row>
    <row r="634" spans="1:20" hidden="1" x14ac:dyDescent="0.45">
      <c r="A634" s="10" t="str">
        <f>IF(IF(ISNA(計算結果!A634),"",計算結果!A634)=0,"",IF(ISNA(計算結果!A634),"",計算結果!A634))</f>
        <v/>
      </c>
      <c r="B634" s="10" t="str">
        <f>IF(IF(ISNA(計算結果!B634),"",計算結果!B634)=0,"",IF(ISNA(計算結果!B634),"",計算結果!B634))</f>
        <v/>
      </c>
      <c r="C634" s="10" t="str">
        <f>IF(IF(ISNA(計算結果!C634),"",計算結果!C634)=0,"",IF(ISNA(計算結果!C634),"",計算結果!C634))</f>
        <v/>
      </c>
      <c r="D634" s="10" t="str">
        <f>IF(IF(ISNA(計算結果!D634),"",計算結果!D634)=0,"",IF(ISNA(計算結果!D634),"",計算結果!D634))</f>
        <v>L</v>
      </c>
      <c r="E634" s="10" t="str">
        <f>IF(IF(ISNA(計算結果!E634),"",計算結果!E634)=0,"",IF(ISNA(計算結果!E634),"",計算結果!E634))</f>
        <v/>
      </c>
      <c r="F634" s="10" t="str">
        <f>IF(IF(ISNA(計算結果!F634),"",計算結果!F634)=0,"",IF(ISNA(計算結果!F634),"",計算結果!F634))</f>
        <v/>
      </c>
      <c r="G634" s="10" t="str">
        <f>IF(IF(ISNA(計算結果!G634),"",計算結果!G634)=0,"",IF(ISNA(計算結果!G634),"",計算結果!G634))</f>
        <v/>
      </c>
      <c r="H634" s="13">
        <f>IF(IF(ISNA(計算結果!H634),"",計算結果!H634)=0,"",IF(ISNA(計算結果!H634),"",計算結果!H634))</f>
        <v>-2</v>
      </c>
      <c r="I634" s="12" t="str">
        <f>IF(IF(ISNA(計算結果!I634),"",計算結果!I634)=0,"",IF(ISNA(計算結果!I634),"",計算結果!I634))</f>
        <v/>
      </c>
      <c r="J634" s="12" t="str">
        <f>IF(IF(ISNA(計算結果!J634),"",計算結果!J634)=0,"",IF(ISNA(計算結果!J634),"",計算結果!J634))</f>
        <v/>
      </c>
      <c r="K634" s="23" t="str">
        <f>IF(IF(ISNA(計算結果!K634),"",計算結果!K634)=0,"",IF(ISNA(計算結果!K634),"",計算結果!K634))</f>
        <v/>
      </c>
      <c r="L634" s="13" t="str">
        <f>IF(IF(ISNA(計算結果!L634),"",計算結果!L634)=0,"",IF(ISNA(計算結果!L634),"",計算結果!L634))</f>
        <v/>
      </c>
      <c r="M634" s="10" t="str">
        <f>IF(IF(ISNA(計算結果!M634),"",計算結果!M634)=0,"",IF(ISNA(計算結果!M634),"",計算結果!M634))</f>
        <v/>
      </c>
      <c r="N634" s="10" t="str">
        <f>IF(IF(ISNA(計算結果!N634),"",計算結果!N634)=0,"",IF(ISNA(計算結果!N634),"",計算結果!N634))</f>
        <v/>
      </c>
      <c r="O634" s="13" t="str">
        <f>IF(IF(ISNA(計算結果!O634),"",計算結果!O634)=0,"",IF(ISNA(計算結果!O634),"",計算結果!O634))</f>
        <v/>
      </c>
      <c r="P634" s="10" t="str">
        <f>IF(IF(ISNA(計算結果!P634),"",計算結果!P634)=0,"",IF(ISNA(計算結果!P634),"",計算結果!P634))</f>
        <v/>
      </c>
      <c r="Q634" s="10" t="str">
        <f>IF(IF(ISNA(計算結果!Q634),"",計算結果!Q634)=0,"",IF(ISNA(計算結果!Q634),"",計算結果!Q634))</f>
        <v/>
      </c>
      <c r="R634" s="14" t="str">
        <f t="shared" si="27"/>
        <v/>
      </c>
      <c r="S634" s="14" t="str">
        <f t="shared" si="28"/>
        <v>◯</v>
      </c>
      <c r="T634" s="14" t="str">
        <f t="shared" si="29"/>
        <v/>
      </c>
    </row>
    <row r="635" spans="1:20" hidden="1" x14ac:dyDescent="0.45">
      <c r="A635" s="10" t="str">
        <f>IF(IF(ISNA(計算結果!A635),"",計算結果!A635)=0,"",IF(ISNA(計算結果!A635),"",計算結果!A635))</f>
        <v/>
      </c>
      <c r="B635" s="10" t="str">
        <f>IF(IF(ISNA(計算結果!B635),"",計算結果!B635)=0,"",IF(ISNA(計算結果!B635),"",計算結果!B635))</f>
        <v/>
      </c>
      <c r="C635" s="10" t="str">
        <f>IF(IF(ISNA(計算結果!C635),"",計算結果!C635)=0,"",IF(ISNA(計算結果!C635),"",計算結果!C635))</f>
        <v/>
      </c>
      <c r="D635" s="10" t="str">
        <f>IF(IF(ISNA(計算結果!D635),"",計算結果!D635)=0,"",IF(ISNA(計算結果!D635),"",計算結果!D635))</f>
        <v>L</v>
      </c>
      <c r="E635" s="10" t="str">
        <f>IF(IF(ISNA(計算結果!E635),"",計算結果!E635)=0,"",IF(ISNA(計算結果!E635),"",計算結果!E635))</f>
        <v/>
      </c>
      <c r="F635" s="10" t="str">
        <f>IF(IF(ISNA(計算結果!F635),"",計算結果!F635)=0,"",IF(ISNA(計算結果!F635),"",計算結果!F635))</f>
        <v/>
      </c>
      <c r="G635" s="10" t="str">
        <f>IF(IF(ISNA(計算結果!G635),"",計算結果!G635)=0,"",IF(ISNA(計算結果!G635),"",計算結果!G635))</f>
        <v/>
      </c>
      <c r="H635" s="13">
        <f>IF(IF(ISNA(計算結果!H635),"",計算結果!H635)=0,"",IF(ISNA(計算結果!H635),"",計算結果!H635))</f>
        <v>-2</v>
      </c>
      <c r="I635" s="12" t="str">
        <f>IF(IF(ISNA(計算結果!I635),"",計算結果!I635)=0,"",IF(ISNA(計算結果!I635),"",計算結果!I635))</f>
        <v/>
      </c>
      <c r="J635" s="12" t="str">
        <f>IF(IF(ISNA(計算結果!J635),"",計算結果!J635)=0,"",IF(ISNA(計算結果!J635),"",計算結果!J635))</f>
        <v/>
      </c>
      <c r="K635" s="23" t="str">
        <f>IF(IF(ISNA(計算結果!K635),"",計算結果!K635)=0,"",IF(ISNA(計算結果!K635),"",計算結果!K635))</f>
        <v/>
      </c>
      <c r="L635" s="13" t="str">
        <f>IF(IF(ISNA(計算結果!L635),"",計算結果!L635)=0,"",IF(ISNA(計算結果!L635),"",計算結果!L635))</f>
        <v/>
      </c>
      <c r="M635" s="10" t="str">
        <f>IF(IF(ISNA(計算結果!M635),"",計算結果!M635)=0,"",IF(ISNA(計算結果!M635),"",計算結果!M635))</f>
        <v/>
      </c>
      <c r="N635" s="10" t="str">
        <f>IF(IF(ISNA(計算結果!N635),"",計算結果!N635)=0,"",IF(ISNA(計算結果!N635),"",計算結果!N635))</f>
        <v/>
      </c>
      <c r="O635" s="13" t="str">
        <f>IF(IF(ISNA(計算結果!O635),"",計算結果!O635)=0,"",IF(ISNA(計算結果!O635),"",計算結果!O635))</f>
        <v/>
      </c>
      <c r="P635" s="10" t="str">
        <f>IF(IF(ISNA(計算結果!P635),"",計算結果!P635)=0,"",IF(ISNA(計算結果!P635),"",計算結果!P635))</f>
        <v/>
      </c>
      <c r="Q635" s="10" t="str">
        <f>IF(IF(ISNA(計算結果!Q635),"",計算結果!Q635)=0,"",IF(ISNA(計算結果!Q635),"",計算結果!Q635))</f>
        <v/>
      </c>
      <c r="R635" s="14" t="str">
        <f t="shared" si="27"/>
        <v/>
      </c>
      <c r="S635" s="14" t="str">
        <f t="shared" si="28"/>
        <v>◯</v>
      </c>
      <c r="T635" s="14" t="str">
        <f t="shared" si="29"/>
        <v/>
      </c>
    </row>
    <row r="636" spans="1:20" hidden="1" x14ac:dyDescent="0.45">
      <c r="A636" s="10" t="str">
        <f>IF(IF(ISNA(計算結果!A636),"",計算結果!A636)=0,"",IF(ISNA(計算結果!A636),"",計算結果!A636))</f>
        <v/>
      </c>
      <c r="B636" s="10" t="str">
        <f>IF(IF(ISNA(計算結果!B636),"",計算結果!B636)=0,"",IF(ISNA(計算結果!B636),"",計算結果!B636))</f>
        <v/>
      </c>
      <c r="C636" s="10" t="str">
        <f>IF(IF(ISNA(計算結果!C636),"",計算結果!C636)=0,"",IF(ISNA(計算結果!C636),"",計算結果!C636))</f>
        <v/>
      </c>
      <c r="D636" s="10" t="str">
        <f>IF(IF(ISNA(計算結果!D636),"",計算結果!D636)=0,"",IF(ISNA(計算結果!D636),"",計算結果!D636))</f>
        <v>L</v>
      </c>
      <c r="E636" s="10" t="str">
        <f>IF(IF(ISNA(計算結果!E636),"",計算結果!E636)=0,"",IF(ISNA(計算結果!E636),"",計算結果!E636))</f>
        <v/>
      </c>
      <c r="F636" s="10" t="str">
        <f>IF(IF(ISNA(計算結果!F636),"",計算結果!F636)=0,"",IF(ISNA(計算結果!F636),"",計算結果!F636))</f>
        <v/>
      </c>
      <c r="G636" s="10" t="str">
        <f>IF(IF(ISNA(計算結果!G636),"",計算結果!G636)=0,"",IF(ISNA(計算結果!G636),"",計算結果!G636))</f>
        <v/>
      </c>
      <c r="H636" s="13">
        <f>IF(IF(ISNA(計算結果!H636),"",計算結果!H636)=0,"",IF(ISNA(計算結果!H636),"",計算結果!H636))</f>
        <v>-2</v>
      </c>
      <c r="I636" s="12" t="str">
        <f>IF(IF(ISNA(計算結果!I636),"",計算結果!I636)=0,"",IF(ISNA(計算結果!I636),"",計算結果!I636))</f>
        <v/>
      </c>
      <c r="J636" s="12" t="str">
        <f>IF(IF(ISNA(計算結果!J636),"",計算結果!J636)=0,"",IF(ISNA(計算結果!J636),"",計算結果!J636))</f>
        <v/>
      </c>
      <c r="K636" s="23" t="str">
        <f>IF(IF(ISNA(計算結果!K636),"",計算結果!K636)=0,"",IF(ISNA(計算結果!K636),"",計算結果!K636))</f>
        <v/>
      </c>
      <c r="L636" s="13" t="str">
        <f>IF(IF(ISNA(計算結果!L636),"",計算結果!L636)=0,"",IF(ISNA(計算結果!L636),"",計算結果!L636))</f>
        <v/>
      </c>
      <c r="M636" s="10" t="str">
        <f>IF(IF(ISNA(計算結果!M636),"",計算結果!M636)=0,"",IF(ISNA(計算結果!M636),"",計算結果!M636))</f>
        <v/>
      </c>
      <c r="N636" s="10" t="str">
        <f>IF(IF(ISNA(計算結果!N636),"",計算結果!N636)=0,"",IF(ISNA(計算結果!N636),"",計算結果!N636))</f>
        <v/>
      </c>
      <c r="O636" s="13" t="str">
        <f>IF(IF(ISNA(計算結果!O636),"",計算結果!O636)=0,"",IF(ISNA(計算結果!O636),"",計算結果!O636))</f>
        <v/>
      </c>
      <c r="P636" s="10" t="str">
        <f>IF(IF(ISNA(計算結果!P636),"",計算結果!P636)=0,"",IF(ISNA(計算結果!P636),"",計算結果!P636))</f>
        <v/>
      </c>
      <c r="Q636" s="10" t="str">
        <f>IF(IF(ISNA(計算結果!Q636),"",計算結果!Q636)=0,"",IF(ISNA(計算結果!Q636),"",計算結果!Q636))</f>
        <v/>
      </c>
      <c r="R636" s="14" t="str">
        <f t="shared" si="27"/>
        <v/>
      </c>
      <c r="S636" s="14" t="str">
        <f t="shared" si="28"/>
        <v>◯</v>
      </c>
      <c r="T636" s="14" t="str">
        <f t="shared" si="29"/>
        <v/>
      </c>
    </row>
    <row r="637" spans="1:20" hidden="1" x14ac:dyDescent="0.45">
      <c r="A637" s="10" t="str">
        <f>IF(IF(ISNA(計算結果!A637),"",計算結果!A637)=0,"",IF(ISNA(計算結果!A637),"",計算結果!A637))</f>
        <v/>
      </c>
      <c r="B637" s="10" t="str">
        <f>IF(IF(ISNA(計算結果!B637),"",計算結果!B637)=0,"",IF(ISNA(計算結果!B637),"",計算結果!B637))</f>
        <v/>
      </c>
      <c r="C637" s="10" t="str">
        <f>IF(IF(ISNA(計算結果!C637),"",計算結果!C637)=0,"",IF(ISNA(計算結果!C637),"",計算結果!C637))</f>
        <v/>
      </c>
      <c r="D637" s="10" t="str">
        <f>IF(IF(ISNA(計算結果!D637),"",計算結果!D637)=0,"",IF(ISNA(計算結果!D637),"",計算結果!D637))</f>
        <v>L</v>
      </c>
      <c r="E637" s="10" t="str">
        <f>IF(IF(ISNA(計算結果!E637),"",計算結果!E637)=0,"",IF(ISNA(計算結果!E637),"",計算結果!E637))</f>
        <v/>
      </c>
      <c r="F637" s="10" t="str">
        <f>IF(IF(ISNA(計算結果!F637),"",計算結果!F637)=0,"",IF(ISNA(計算結果!F637),"",計算結果!F637))</f>
        <v/>
      </c>
      <c r="G637" s="10" t="str">
        <f>IF(IF(ISNA(計算結果!G637),"",計算結果!G637)=0,"",IF(ISNA(計算結果!G637),"",計算結果!G637))</f>
        <v/>
      </c>
      <c r="H637" s="13">
        <f>IF(IF(ISNA(計算結果!H637),"",計算結果!H637)=0,"",IF(ISNA(計算結果!H637),"",計算結果!H637))</f>
        <v>-2</v>
      </c>
      <c r="I637" s="12" t="str">
        <f>IF(IF(ISNA(計算結果!I637),"",計算結果!I637)=0,"",IF(ISNA(計算結果!I637),"",計算結果!I637))</f>
        <v/>
      </c>
      <c r="J637" s="12" t="str">
        <f>IF(IF(ISNA(計算結果!J637),"",計算結果!J637)=0,"",IF(ISNA(計算結果!J637),"",計算結果!J637))</f>
        <v/>
      </c>
      <c r="K637" s="23" t="str">
        <f>IF(IF(ISNA(計算結果!K637),"",計算結果!K637)=0,"",IF(ISNA(計算結果!K637),"",計算結果!K637))</f>
        <v/>
      </c>
      <c r="L637" s="13" t="str">
        <f>IF(IF(ISNA(計算結果!L637),"",計算結果!L637)=0,"",IF(ISNA(計算結果!L637),"",計算結果!L637))</f>
        <v/>
      </c>
      <c r="M637" s="10" t="str">
        <f>IF(IF(ISNA(計算結果!M637),"",計算結果!M637)=0,"",IF(ISNA(計算結果!M637),"",計算結果!M637))</f>
        <v/>
      </c>
      <c r="N637" s="10" t="str">
        <f>IF(IF(ISNA(計算結果!N637),"",計算結果!N637)=0,"",IF(ISNA(計算結果!N637),"",計算結果!N637))</f>
        <v/>
      </c>
      <c r="O637" s="13" t="str">
        <f>IF(IF(ISNA(計算結果!O637),"",計算結果!O637)=0,"",IF(ISNA(計算結果!O637),"",計算結果!O637))</f>
        <v/>
      </c>
      <c r="P637" s="10" t="str">
        <f>IF(IF(ISNA(計算結果!P637),"",計算結果!P637)=0,"",IF(ISNA(計算結果!P637),"",計算結果!P637))</f>
        <v/>
      </c>
      <c r="Q637" s="10" t="str">
        <f>IF(IF(ISNA(計算結果!Q637),"",計算結果!Q637)=0,"",IF(ISNA(計算結果!Q637),"",計算結果!Q637))</f>
        <v/>
      </c>
      <c r="R637" s="14" t="str">
        <f t="shared" si="27"/>
        <v/>
      </c>
      <c r="S637" s="14" t="str">
        <f t="shared" si="28"/>
        <v>◯</v>
      </c>
      <c r="T637" s="14" t="str">
        <f t="shared" si="29"/>
        <v/>
      </c>
    </row>
    <row r="638" spans="1:20" hidden="1" x14ac:dyDescent="0.45">
      <c r="A638" s="10" t="str">
        <f>IF(IF(ISNA(計算結果!A638),"",計算結果!A638)=0,"",IF(ISNA(計算結果!A638),"",計算結果!A638))</f>
        <v/>
      </c>
      <c r="B638" s="10" t="str">
        <f>IF(IF(ISNA(計算結果!B638),"",計算結果!B638)=0,"",IF(ISNA(計算結果!B638),"",計算結果!B638))</f>
        <v/>
      </c>
      <c r="C638" s="10" t="str">
        <f>IF(IF(ISNA(計算結果!C638),"",計算結果!C638)=0,"",IF(ISNA(計算結果!C638),"",計算結果!C638))</f>
        <v/>
      </c>
      <c r="D638" s="10" t="str">
        <f>IF(IF(ISNA(計算結果!D638),"",計算結果!D638)=0,"",IF(ISNA(計算結果!D638),"",計算結果!D638))</f>
        <v>L</v>
      </c>
      <c r="E638" s="10" t="str">
        <f>IF(IF(ISNA(計算結果!E638),"",計算結果!E638)=0,"",IF(ISNA(計算結果!E638),"",計算結果!E638))</f>
        <v/>
      </c>
      <c r="F638" s="10" t="str">
        <f>IF(IF(ISNA(計算結果!F638),"",計算結果!F638)=0,"",IF(ISNA(計算結果!F638),"",計算結果!F638))</f>
        <v/>
      </c>
      <c r="G638" s="10" t="str">
        <f>IF(IF(ISNA(計算結果!G638),"",計算結果!G638)=0,"",IF(ISNA(計算結果!G638),"",計算結果!G638))</f>
        <v/>
      </c>
      <c r="H638" s="13">
        <f>IF(IF(ISNA(計算結果!H638),"",計算結果!H638)=0,"",IF(ISNA(計算結果!H638),"",計算結果!H638))</f>
        <v>-2</v>
      </c>
      <c r="I638" s="12" t="str">
        <f>IF(IF(ISNA(計算結果!I638),"",計算結果!I638)=0,"",IF(ISNA(計算結果!I638),"",計算結果!I638))</f>
        <v/>
      </c>
      <c r="J638" s="12" t="str">
        <f>IF(IF(ISNA(計算結果!J638),"",計算結果!J638)=0,"",IF(ISNA(計算結果!J638),"",計算結果!J638))</f>
        <v/>
      </c>
      <c r="K638" s="23" t="str">
        <f>IF(IF(ISNA(計算結果!K638),"",計算結果!K638)=0,"",IF(ISNA(計算結果!K638),"",計算結果!K638))</f>
        <v/>
      </c>
      <c r="L638" s="13" t="str">
        <f>IF(IF(ISNA(計算結果!L638),"",計算結果!L638)=0,"",IF(ISNA(計算結果!L638),"",計算結果!L638))</f>
        <v/>
      </c>
      <c r="M638" s="10" t="str">
        <f>IF(IF(ISNA(計算結果!M638),"",計算結果!M638)=0,"",IF(ISNA(計算結果!M638),"",計算結果!M638))</f>
        <v/>
      </c>
      <c r="N638" s="10" t="str">
        <f>IF(IF(ISNA(計算結果!N638),"",計算結果!N638)=0,"",IF(ISNA(計算結果!N638),"",計算結果!N638))</f>
        <v/>
      </c>
      <c r="O638" s="13" t="str">
        <f>IF(IF(ISNA(計算結果!O638),"",計算結果!O638)=0,"",IF(ISNA(計算結果!O638),"",計算結果!O638))</f>
        <v/>
      </c>
      <c r="P638" s="10" t="str">
        <f>IF(IF(ISNA(計算結果!P638),"",計算結果!P638)=0,"",IF(ISNA(計算結果!P638),"",計算結果!P638))</f>
        <v/>
      </c>
      <c r="Q638" s="10" t="str">
        <f>IF(IF(ISNA(計算結果!Q638),"",計算結果!Q638)=0,"",IF(ISNA(計算結果!Q638),"",計算結果!Q638))</f>
        <v/>
      </c>
      <c r="R638" s="14" t="str">
        <f t="shared" si="27"/>
        <v/>
      </c>
      <c r="S638" s="14" t="str">
        <f t="shared" si="28"/>
        <v>◯</v>
      </c>
      <c r="T638" s="14" t="str">
        <f t="shared" si="29"/>
        <v/>
      </c>
    </row>
    <row r="639" spans="1:20" hidden="1" x14ac:dyDescent="0.45">
      <c r="A639" s="10" t="str">
        <f>IF(IF(ISNA(計算結果!A639),"",計算結果!A639)=0,"",IF(ISNA(計算結果!A639),"",計算結果!A639))</f>
        <v/>
      </c>
      <c r="B639" s="10" t="str">
        <f>IF(IF(ISNA(計算結果!B639),"",計算結果!B639)=0,"",IF(ISNA(計算結果!B639),"",計算結果!B639))</f>
        <v/>
      </c>
      <c r="C639" s="10" t="str">
        <f>IF(IF(ISNA(計算結果!C639),"",計算結果!C639)=0,"",IF(ISNA(計算結果!C639),"",計算結果!C639))</f>
        <v/>
      </c>
      <c r="D639" s="10" t="str">
        <f>IF(IF(ISNA(計算結果!D639),"",計算結果!D639)=0,"",IF(ISNA(計算結果!D639),"",計算結果!D639))</f>
        <v>L</v>
      </c>
      <c r="E639" s="10" t="str">
        <f>IF(IF(ISNA(計算結果!E639),"",計算結果!E639)=0,"",IF(ISNA(計算結果!E639),"",計算結果!E639))</f>
        <v/>
      </c>
      <c r="F639" s="10" t="str">
        <f>IF(IF(ISNA(計算結果!F639),"",計算結果!F639)=0,"",IF(ISNA(計算結果!F639),"",計算結果!F639))</f>
        <v/>
      </c>
      <c r="G639" s="10" t="str">
        <f>IF(IF(ISNA(計算結果!G639),"",計算結果!G639)=0,"",IF(ISNA(計算結果!G639),"",計算結果!G639))</f>
        <v/>
      </c>
      <c r="H639" s="13">
        <f>IF(IF(ISNA(計算結果!H639),"",計算結果!H639)=0,"",IF(ISNA(計算結果!H639),"",計算結果!H639))</f>
        <v>-2</v>
      </c>
      <c r="I639" s="12" t="str">
        <f>IF(IF(ISNA(計算結果!I639),"",計算結果!I639)=0,"",IF(ISNA(計算結果!I639),"",計算結果!I639))</f>
        <v/>
      </c>
      <c r="J639" s="12" t="str">
        <f>IF(IF(ISNA(計算結果!J639),"",計算結果!J639)=0,"",IF(ISNA(計算結果!J639),"",計算結果!J639))</f>
        <v/>
      </c>
      <c r="K639" s="23" t="str">
        <f>IF(IF(ISNA(計算結果!K639),"",計算結果!K639)=0,"",IF(ISNA(計算結果!K639),"",計算結果!K639))</f>
        <v/>
      </c>
      <c r="L639" s="13" t="str">
        <f>IF(IF(ISNA(計算結果!L639),"",計算結果!L639)=0,"",IF(ISNA(計算結果!L639),"",計算結果!L639))</f>
        <v/>
      </c>
      <c r="M639" s="10" t="str">
        <f>IF(IF(ISNA(計算結果!M639),"",計算結果!M639)=0,"",IF(ISNA(計算結果!M639),"",計算結果!M639))</f>
        <v/>
      </c>
      <c r="N639" s="10" t="str">
        <f>IF(IF(ISNA(計算結果!N639),"",計算結果!N639)=0,"",IF(ISNA(計算結果!N639),"",計算結果!N639))</f>
        <v/>
      </c>
      <c r="O639" s="13" t="str">
        <f>IF(IF(ISNA(計算結果!O639),"",計算結果!O639)=0,"",IF(ISNA(計算結果!O639),"",計算結果!O639))</f>
        <v/>
      </c>
      <c r="P639" s="10" t="str">
        <f>IF(IF(ISNA(計算結果!P639),"",計算結果!P639)=0,"",IF(ISNA(計算結果!P639),"",計算結果!P639))</f>
        <v/>
      </c>
      <c r="Q639" s="10" t="str">
        <f>IF(IF(ISNA(計算結果!Q639),"",計算結果!Q639)=0,"",IF(ISNA(計算結果!Q639),"",計算結果!Q639))</f>
        <v/>
      </c>
      <c r="R639" s="14" t="str">
        <f t="shared" si="27"/>
        <v/>
      </c>
      <c r="S639" s="14" t="str">
        <f t="shared" si="28"/>
        <v>◯</v>
      </c>
      <c r="T639" s="14" t="str">
        <f t="shared" si="29"/>
        <v/>
      </c>
    </row>
    <row r="640" spans="1:20" hidden="1" x14ac:dyDescent="0.45">
      <c r="A640" s="10" t="str">
        <f>IF(IF(ISNA(計算結果!A640),"",計算結果!A640)=0,"",IF(ISNA(計算結果!A640),"",計算結果!A640))</f>
        <v/>
      </c>
      <c r="B640" s="10" t="str">
        <f>IF(IF(ISNA(計算結果!B640),"",計算結果!B640)=0,"",IF(ISNA(計算結果!B640),"",計算結果!B640))</f>
        <v/>
      </c>
      <c r="C640" s="10" t="str">
        <f>IF(IF(ISNA(計算結果!C640),"",計算結果!C640)=0,"",IF(ISNA(計算結果!C640),"",計算結果!C640))</f>
        <v/>
      </c>
      <c r="D640" s="10" t="str">
        <f>IF(IF(ISNA(計算結果!D640),"",計算結果!D640)=0,"",IF(ISNA(計算結果!D640),"",計算結果!D640))</f>
        <v>L</v>
      </c>
      <c r="E640" s="10" t="str">
        <f>IF(IF(ISNA(計算結果!E640),"",計算結果!E640)=0,"",IF(ISNA(計算結果!E640),"",計算結果!E640))</f>
        <v/>
      </c>
      <c r="F640" s="10" t="str">
        <f>IF(IF(ISNA(計算結果!F640),"",計算結果!F640)=0,"",IF(ISNA(計算結果!F640),"",計算結果!F640))</f>
        <v/>
      </c>
      <c r="G640" s="10" t="str">
        <f>IF(IF(ISNA(計算結果!G640),"",計算結果!G640)=0,"",IF(ISNA(計算結果!G640),"",計算結果!G640))</f>
        <v/>
      </c>
      <c r="H640" s="13">
        <f>IF(IF(ISNA(計算結果!H640),"",計算結果!H640)=0,"",IF(ISNA(計算結果!H640),"",計算結果!H640))</f>
        <v>-2</v>
      </c>
      <c r="I640" s="12" t="str">
        <f>IF(IF(ISNA(計算結果!I640),"",計算結果!I640)=0,"",IF(ISNA(計算結果!I640),"",計算結果!I640))</f>
        <v/>
      </c>
      <c r="J640" s="12" t="str">
        <f>IF(IF(ISNA(計算結果!J640),"",計算結果!J640)=0,"",IF(ISNA(計算結果!J640),"",計算結果!J640))</f>
        <v/>
      </c>
      <c r="K640" s="23" t="str">
        <f>IF(IF(ISNA(計算結果!K640),"",計算結果!K640)=0,"",IF(ISNA(計算結果!K640),"",計算結果!K640))</f>
        <v/>
      </c>
      <c r="L640" s="13" t="str">
        <f>IF(IF(ISNA(計算結果!L640),"",計算結果!L640)=0,"",IF(ISNA(計算結果!L640),"",計算結果!L640))</f>
        <v/>
      </c>
      <c r="M640" s="10" t="str">
        <f>IF(IF(ISNA(計算結果!M640),"",計算結果!M640)=0,"",IF(ISNA(計算結果!M640),"",計算結果!M640))</f>
        <v/>
      </c>
      <c r="N640" s="10" t="str">
        <f>IF(IF(ISNA(計算結果!N640),"",計算結果!N640)=0,"",IF(ISNA(計算結果!N640),"",計算結果!N640))</f>
        <v/>
      </c>
      <c r="O640" s="13" t="str">
        <f>IF(IF(ISNA(計算結果!O640),"",計算結果!O640)=0,"",IF(ISNA(計算結果!O640),"",計算結果!O640))</f>
        <v/>
      </c>
      <c r="P640" s="10" t="str">
        <f>IF(IF(ISNA(計算結果!P640),"",計算結果!P640)=0,"",IF(ISNA(計算結果!P640),"",計算結果!P640))</f>
        <v/>
      </c>
      <c r="Q640" s="10" t="str">
        <f>IF(IF(ISNA(計算結果!Q640),"",計算結果!Q640)=0,"",IF(ISNA(計算結果!Q640),"",計算結果!Q640))</f>
        <v/>
      </c>
      <c r="R640" s="14" t="str">
        <f t="shared" si="27"/>
        <v/>
      </c>
      <c r="S640" s="14" t="str">
        <f t="shared" si="28"/>
        <v>◯</v>
      </c>
      <c r="T640" s="14" t="str">
        <f t="shared" si="29"/>
        <v/>
      </c>
    </row>
    <row r="641" spans="1:20" hidden="1" x14ac:dyDescent="0.45">
      <c r="A641" s="10" t="str">
        <f>IF(IF(ISNA(計算結果!A641),"",計算結果!A641)=0,"",IF(ISNA(計算結果!A641),"",計算結果!A641))</f>
        <v/>
      </c>
      <c r="B641" s="10" t="str">
        <f>IF(IF(ISNA(計算結果!B641),"",計算結果!B641)=0,"",IF(ISNA(計算結果!B641),"",計算結果!B641))</f>
        <v/>
      </c>
      <c r="C641" s="10" t="str">
        <f>IF(IF(ISNA(計算結果!C641),"",計算結果!C641)=0,"",IF(ISNA(計算結果!C641),"",計算結果!C641))</f>
        <v/>
      </c>
      <c r="D641" s="10" t="str">
        <f>IF(IF(ISNA(計算結果!D641),"",計算結果!D641)=0,"",IF(ISNA(計算結果!D641),"",計算結果!D641))</f>
        <v>L</v>
      </c>
      <c r="E641" s="10" t="str">
        <f>IF(IF(ISNA(計算結果!E641),"",計算結果!E641)=0,"",IF(ISNA(計算結果!E641),"",計算結果!E641))</f>
        <v/>
      </c>
      <c r="F641" s="10" t="str">
        <f>IF(IF(ISNA(計算結果!F641),"",計算結果!F641)=0,"",IF(ISNA(計算結果!F641),"",計算結果!F641))</f>
        <v/>
      </c>
      <c r="G641" s="10" t="str">
        <f>IF(IF(ISNA(計算結果!G641),"",計算結果!G641)=0,"",IF(ISNA(計算結果!G641),"",計算結果!G641))</f>
        <v/>
      </c>
      <c r="H641" s="13">
        <f>IF(IF(ISNA(計算結果!H641),"",計算結果!H641)=0,"",IF(ISNA(計算結果!H641),"",計算結果!H641))</f>
        <v>-2</v>
      </c>
      <c r="I641" s="12" t="str">
        <f>IF(IF(ISNA(計算結果!I641),"",計算結果!I641)=0,"",IF(ISNA(計算結果!I641),"",計算結果!I641))</f>
        <v/>
      </c>
      <c r="J641" s="12" t="str">
        <f>IF(IF(ISNA(計算結果!J641),"",計算結果!J641)=0,"",IF(ISNA(計算結果!J641),"",計算結果!J641))</f>
        <v/>
      </c>
      <c r="K641" s="23" t="str">
        <f>IF(IF(ISNA(計算結果!K641),"",計算結果!K641)=0,"",IF(ISNA(計算結果!K641),"",計算結果!K641))</f>
        <v/>
      </c>
      <c r="L641" s="13" t="str">
        <f>IF(IF(ISNA(計算結果!L641),"",計算結果!L641)=0,"",IF(ISNA(計算結果!L641),"",計算結果!L641))</f>
        <v/>
      </c>
      <c r="M641" s="10" t="str">
        <f>IF(IF(ISNA(計算結果!M641),"",計算結果!M641)=0,"",IF(ISNA(計算結果!M641),"",計算結果!M641))</f>
        <v/>
      </c>
      <c r="N641" s="10" t="str">
        <f>IF(IF(ISNA(計算結果!N641),"",計算結果!N641)=0,"",IF(ISNA(計算結果!N641),"",計算結果!N641))</f>
        <v/>
      </c>
      <c r="O641" s="13" t="str">
        <f>IF(IF(ISNA(計算結果!O641),"",計算結果!O641)=0,"",IF(ISNA(計算結果!O641),"",計算結果!O641))</f>
        <v/>
      </c>
      <c r="P641" s="10" t="str">
        <f>IF(IF(ISNA(計算結果!P641),"",計算結果!P641)=0,"",IF(ISNA(計算結果!P641),"",計算結果!P641))</f>
        <v/>
      </c>
      <c r="Q641" s="10" t="str">
        <f>IF(IF(ISNA(計算結果!Q641),"",計算結果!Q641)=0,"",IF(ISNA(計算結果!Q641),"",計算結果!Q641))</f>
        <v/>
      </c>
      <c r="R641" s="14" t="str">
        <f t="shared" si="27"/>
        <v/>
      </c>
      <c r="S641" s="14" t="str">
        <f t="shared" si="28"/>
        <v>◯</v>
      </c>
      <c r="T641" s="14" t="str">
        <f t="shared" si="29"/>
        <v/>
      </c>
    </row>
    <row r="642" spans="1:20" hidden="1" x14ac:dyDescent="0.45">
      <c r="A642" s="10" t="str">
        <f>IF(IF(ISNA(計算結果!A642),"",計算結果!A642)=0,"",IF(ISNA(計算結果!A642),"",計算結果!A642))</f>
        <v/>
      </c>
      <c r="B642" s="10" t="str">
        <f>IF(IF(ISNA(計算結果!B642),"",計算結果!B642)=0,"",IF(ISNA(計算結果!B642),"",計算結果!B642))</f>
        <v/>
      </c>
      <c r="C642" s="10" t="str">
        <f>IF(IF(ISNA(計算結果!C642),"",計算結果!C642)=0,"",IF(ISNA(計算結果!C642),"",計算結果!C642))</f>
        <v/>
      </c>
      <c r="D642" s="10" t="str">
        <f>IF(IF(ISNA(計算結果!D642),"",計算結果!D642)=0,"",IF(ISNA(計算結果!D642),"",計算結果!D642))</f>
        <v>L</v>
      </c>
      <c r="E642" s="10" t="str">
        <f>IF(IF(ISNA(計算結果!E642),"",計算結果!E642)=0,"",IF(ISNA(計算結果!E642),"",計算結果!E642))</f>
        <v/>
      </c>
      <c r="F642" s="10" t="str">
        <f>IF(IF(ISNA(計算結果!F642),"",計算結果!F642)=0,"",IF(ISNA(計算結果!F642),"",計算結果!F642))</f>
        <v/>
      </c>
      <c r="G642" s="10" t="str">
        <f>IF(IF(ISNA(計算結果!G642),"",計算結果!G642)=0,"",IF(ISNA(計算結果!G642),"",計算結果!G642))</f>
        <v/>
      </c>
      <c r="H642" s="13">
        <f>IF(IF(ISNA(計算結果!H642),"",計算結果!H642)=0,"",IF(ISNA(計算結果!H642),"",計算結果!H642))</f>
        <v>-2</v>
      </c>
      <c r="I642" s="12" t="str">
        <f>IF(IF(ISNA(計算結果!I642),"",計算結果!I642)=0,"",IF(ISNA(計算結果!I642),"",計算結果!I642))</f>
        <v/>
      </c>
      <c r="J642" s="12" t="str">
        <f>IF(IF(ISNA(計算結果!J642),"",計算結果!J642)=0,"",IF(ISNA(計算結果!J642),"",計算結果!J642))</f>
        <v/>
      </c>
      <c r="K642" s="23" t="str">
        <f>IF(IF(ISNA(計算結果!K642),"",計算結果!K642)=0,"",IF(ISNA(計算結果!K642),"",計算結果!K642))</f>
        <v/>
      </c>
      <c r="L642" s="13" t="str">
        <f>IF(IF(ISNA(計算結果!L642),"",計算結果!L642)=0,"",IF(ISNA(計算結果!L642),"",計算結果!L642))</f>
        <v/>
      </c>
      <c r="M642" s="10" t="str">
        <f>IF(IF(ISNA(計算結果!M642),"",計算結果!M642)=0,"",IF(ISNA(計算結果!M642),"",計算結果!M642))</f>
        <v/>
      </c>
      <c r="N642" s="10" t="str">
        <f>IF(IF(ISNA(計算結果!N642),"",計算結果!N642)=0,"",IF(ISNA(計算結果!N642),"",計算結果!N642))</f>
        <v/>
      </c>
      <c r="O642" s="13" t="str">
        <f>IF(IF(ISNA(計算結果!O642),"",計算結果!O642)=0,"",IF(ISNA(計算結果!O642),"",計算結果!O642))</f>
        <v/>
      </c>
      <c r="P642" s="10" t="str">
        <f>IF(IF(ISNA(計算結果!P642),"",計算結果!P642)=0,"",IF(ISNA(計算結果!P642),"",計算結果!P642))</f>
        <v/>
      </c>
      <c r="Q642" s="10" t="str">
        <f>IF(IF(ISNA(計算結果!Q642),"",計算結果!Q642)=0,"",IF(ISNA(計算結果!Q642),"",計算結果!Q642))</f>
        <v/>
      </c>
      <c r="R642" s="14" t="str">
        <f t="shared" si="27"/>
        <v/>
      </c>
      <c r="S642" s="14" t="str">
        <f t="shared" si="28"/>
        <v>◯</v>
      </c>
      <c r="T642" s="14" t="str">
        <f t="shared" si="29"/>
        <v/>
      </c>
    </row>
    <row r="643" spans="1:20" hidden="1" x14ac:dyDescent="0.45">
      <c r="A643" s="10" t="str">
        <f>IF(IF(ISNA(計算結果!A643),"",計算結果!A643)=0,"",IF(ISNA(計算結果!A643),"",計算結果!A643))</f>
        <v/>
      </c>
      <c r="B643" s="10" t="str">
        <f>IF(IF(ISNA(計算結果!B643),"",計算結果!B643)=0,"",IF(ISNA(計算結果!B643),"",計算結果!B643))</f>
        <v/>
      </c>
      <c r="C643" s="10" t="str">
        <f>IF(IF(ISNA(計算結果!C643),"",計算結果!C643)=0,"",IF(ISNA(計算結果!C643),"",計算結果!C643))</f>
        <v/>
      </c>
      <c r="D643" s="10" t="str">
        <f>IF(IF(ISNA(計算結果!D643),"",計算結果!D643)=0,"",IF(ISNA(計算結果!D643),"",計算結果!D643))</f>
        <v>L</v>
      </c>
      <c r="E643" s="10" t="str">
        <f>IF(IF(ISNA(計算結果!E643),"",計算結果!E643)=0,"",IF(ISNA(計算結果!E643),"",計算結果!E643))</f>
        <v/>
      </c>
      <c r="F643" s="10" t="str">
        <f>IF(IF(ISNA(計算結果!F643),"",計算結果!F643)=0,"",IF(ISNA(計算結果!F643),"",計算結果!F643))</f>
        <v/>
      </c>
      <c r="G643" s="10" t="str">
        <f>IF(IF(ISNA(計算結果!G643),"",計算結果!G643)=0,"",IF(ISNA(計算結果!G643),"",計算結果!G643))</f>
        <v/>
      </c>
      <c r="H643" s="13">
        <f>IF(IF(ISNA(計算結果!H643),"",計算結果!H643)=0,"",IF(ISNA(計算結果!H643),"",計算結果!H643))</f>
        <v>-2</v>
      </c>
      <c r="I643" s="12" t="str">
        <f>IF(IF(ISNA(計算結果!I643),"",計算結果!I643)=0,"",IF(ISNA(計算結果!I643),"",計算結果!I643))</f>
        <v/>
      </c>
      <c r="J643" s="12" t="str">
        <f>IF(IF(ISNA(計算結果!J643),"",計算結果!J643)=0,"",IF(ISNA(計算結果!J643),"",計算結果!J643))</f>
        <v/>
      </c>
      <c r="K643" s="23" t="str">
        <f>IF(IF(ISNA(計算結果!K643),"",計算結果!K643)=0,"",IF(ISNA(計算結果!K643),"",計算結果!K643))</f>
        <v/>
      </c>
      <c r="L643" s="13" t="str">
        <f>IF(IF(ISNA(計算結果!L643),"",計算結果!L643)=0,"",IF(ISNA(計算結果!L643),"",計算結果!L643))</f>
        <v/>
      </c>
      <c r="M643" s="10" t="str">
        <f>IF(IF(ISNA(計算結果!M643),"",計算結果!M643)=0,"",IF(ISNA(計算結果!M643),"",計算結果!M643))</f>
        <v/>
      </c>
      <c r="N643" s="10" t="str">
        <f>IF(IF(ISNA(計算結果!N643),"",計算結果!N643)=0,"",IF(ISNA(計算結果!N643),"",計算結果!N643))</f>
        <v/>
      </c>
      <c r="O643" s="13" t="str">
        <f>IF(IF(ISNA(計算結果!O643),"",計算結果!O643)=0,"",IF(ISNA(計算結果!O643),"",計算結果!O643))</f>
        <v/>
      </c>
      <c r="P643" s="10" t="str">
        <f>IF(IF(ISNA(計算結果!P643),"",計算結果!P643)=0,"",IF(ISNA(計算結果!P643),"",計算結果!P643))</f>
        <v/>
      </c>
      <c r="Q643" s="10" t="str">
        <f>IF(IF(ISNA(計算結果!Q643),"",計算結果!Q643)=0,"",IF(ISNA(計算結果!Q643),"",計算結果!Q643))</f>
        <v/>
      </c>
      <c r="R643" s="14" t="str">
        <f t="shared" ref="R643:R706" si="30">IF(AND(M643&lt;&gt;"",M643=N643),"◯","")</f>
        <v/>
      </c>
      <c r="S643" s="14" t="str">
        <f t="shared" ref="S643:S706" si="31">IF(M643="","◯","")</f>
        <v>◯</v>
      </c>
      <c r="T643" s="14" t="str">
        <f t="shared" ref="T643:T706" si="32">IF(AND(P643&lt;&gt;"",P643&lt;&gt;Q643),"◯","")</f>
        <v/>
      </c>
    </row>
    <row r="644" spans="1:20" hidden="1" x14ac:dyDescent="0.45">
      <c r="A644" s="10" t="str">
        <f>IF(IF(ISNA(計算結果!A644),"",計算結果!A644)=0,"",IF(ISNA(計算結果!A644),"",計算結果!A644))</f>
        <v/>
      </c>
      <c r="B644" s="10" t="str">
        <f>IF(IF(ISNA(計算結果!B644),"",計算結果!B644)=0,"",IF(ISNA(計算結果!B644),"",計算結果!B644))</f>
        <v/>
      </c>
      <c r="C644" s="10" t="str">
        <f>IF(IF(ISNA(計算結果!C644),"",計算結果!C644)=0,"",IF(ISNA(計算結果!C644),"",計算結果!C644))</f>
        <v/>
      </c>
      <c r="D644" s="10" t="str">
        <f>IF(IF(ISNA(計算結果!D644),"",計算結果!D644)=0,"",IF(ISNA(計算結果!D644),"",計算結果!D644))</f>
        <v>L</v>
      </c>
      <c r="E644" s="10" t="str">
        <f>IF(IF(ISNA(計算結果!E644),"",計算結果!E644)=0,"",IF(ISNA(計算結果!E644),"",計算結果!E644))</f>
        <v/>
      </c>
      <c r="F644" s="10" t="str">
        <f>IF(IF(ISNA(計算結果!F644),"",計算結果!F644)=0,"",IF(ISNA(計算結果!F644),"",計算結果!F644))</f>
        <v/>
      </c>
      <c r="G644" s="10" t="str">
        <f>IF(IF(ISNA(計算結果!G644),"",計算結果!G644)=0,"",IF(ISNA(計算結果!G644),"",計算結果!G644))</f>
        <v/>
      </c>
      <c r="H644" s="13">
        <f>IF(IF(ISNA(計算結果!H644),"",計算結果!H644)=0,"",IF(ISNA(計算結果!H644),"",計算結果!H644))</f>
        <v>-2</v>
      </c>
      <c r="I644" s="12" t="str">
        <f>IF(IF(ISNA(計算結果!I644),"",計算結果!I644)=0,"",IF(ISNA(計算結果!I644),"",計算結果!I644))</f>
        <v/>
      </c>
      <c r="J644" s="12" t="str">
        <f>IF(IF(ISNA(計算結果!J644),"",計算結果!J644)=0,"",IF(ISNA(計算結果!J644),"",計算結果!J644))</f>
        <v/>
      </c>
      <c r="K644" s="23" t="str">
        <f>IF(IF(ISNA(計算結果!K644),"",計算結果!K644)=0,"",IF(ISNA(計算結果!K644),"",計算結果!K644))</f>
        <v/>
      </c>
      <c r="L644" s="13" t="str">
        <f>IF(IF(ISNA(計算結果!L644),"",計算結果!L644)=0,"",IF(ISNA(計算結果!L644),"",計算結果!L644))</f>
        <v/>
      </c>
      <c r="M644" s="10" t="str">
        <f>IF(IF(ISNA(計算結果!M644),"",計算結果!M644)=0,"",IF(ISNA(計算結果!M644),"",計算結果!M644))</f>
        <v/>
      </c>
      <c r="N644" s="10" t="str">
        <f>IF(IF(ISNA(計算結果!N644),"",計算結果!N644)=0,"",IF(ISNA(計算結果!N644),"",計算結果!N644))</f>
        <v/>
      </c>
      <c r="O644" s="13" t="str">
        <f>IF(IF(ISNA(計算結果!O644),"",計算結果!O644)=0,"",IF(ISNA(計算結果!O644),"",計算結果!O644))</f>
        <v/>
      </c>
      <c r="P644" s="10" t="str">
        <f>IF(IF(ISNA(計算結果!P644),"",計算結果!P644)=0,"",IF(ISNA(計算結果!P644),"",計算結果!P644))</f>
        <v/>
      </c>
      <c r="Q644" s="10" t="str">
        <f>IF(IF(ISNA(計算結果!Q644),"",計算結果!Q644)=0,"",IF(ISNA(計算結果!Q644),"",計算結果!Q644))</f>
        <v/>
      </c>
      <c r="R644" s="14" t="str">
        <f t="shared" si="30"/>
        <v/>
      </c>
      <c r="S644" s="14" t="str">
        <f t="shared" si="31"/>
        <v>◯</v>
      </c>
      <c r="T644" s="14" t="str">
        <f t="shared" si="32"/>
        <v/>
      </c>
    </row>
    <row r="645" spans="1:20" hidden="1" x14ac:dyDescent="0.45">
      <c r="A645" s="10" t="str">
        <f>IF(IF(ISNA(計算結果!A645),"",計算結果!A645)=0,"",IF(ISNA(計算結果!A645),"",計算結果!A645))</f>
        <v/>
      </c>
      <c r="B645" s="10" t="str">
        <f>IF(IF(ISNA(計算結果!B645),"",計算結果!B645)=0,"",IF(ISNA(計算結果!B645),"",計算結果!B645))</f>
        <v/>
      </c>
      <c r="C645" s="10" t="str">
        <f>IF(IF(ISNA(計算結果!C645),"",計算結果!C645)=0,"",IF(ISNA(計算結果!C645),"",計算結果!C645))</f>
        <v/>
      </c>
      <c r="D645" s="10" t="str">
        <f>IF(IF(ISNA(計算結果!D645),"",計算結果!D645)=0,"",IF(ISNA(計算結果!D645),"",計算結果!D645))</f>
        <v>L</v>
      </c>
      <c r="E645" s="10" t="str">
        <f>IF(IF(ISNA(計算結果!E645),"",計算結果!E645)=0,"",IF(ISNA(計算結果!E645),"",計算結果!E645))</f>
        <v/>
      </c>
      <c r="F645" s="10" t="str">
        <f>IF(IF(ISNA(計算結果!F645),"",計算結果!F645)=0,"",IF(ISNA(計算結果!F645),"",計算結果!F645))</f>
        <v/>
      </c>
      <c r="G645" s="10" t="str">
        <f>IF(IF(ISNA(計算結果!G645),"",計算結果!G645)=0,"",IF(ISNA(計算結果!G645),"",計算結果!G645))</f>
        <v/>
      </c>
      <c r="H645" s="13">
        <f>IF(IF(ISNA(計算結果!H645),"",計算結果!H645)=0,"",IF(ISNA(計算結果!H645),"",計算結果!H645))</f>
        <v>-2</v>
      </c>
      <c r="I645" s="12" t="str">
        <f>IF(IF(ISNA(計算結果!I645),"",計算結果!I645)=0,"",IF(ISNA(計算結果!I645),"",計算結果!I645))</f>
        <v/>
      </c>
      <c r="J645" s="12" t="str">
        <f>IF(IF(ISNA(計算結果!J645),"",計算結果!J645)=0,"",IF(ISNA(計算結果!J645),"",計算結果!J645))</f>
        <v/>
      </c>
      <c r="K645" s="23" t="str">
        <f>IF(IF(ISNA(計算結果!K645),"",計算結果!K645)=0,"",IF(ISNA(計算結果!K645),"",計算結果!K645))</f>
        <v/>
      </c>
      <c r="L645" s="13" t="str">
        <f>IF(IF(ISNA(計算結果!L645),"",計算結果!L645)=0,"",IF(ISNA(計算結果!L645),"",計算結果!L645))</f>
        <v/>
      </c>
      <c r="M645" s="10" t="str">
        <f>IF(IF(ISNA(計算結果!M645),"",計算結果!M645)=0,"",IF(ISNA(計算結果!M645),"",計算結果!M645))</f>
        <v/>
      </c>
      <c r="N645" s="10" t="str">
        <f>IF(IF(ISNA(計算結果!N645),"",計算結果!N645)=0,"",IF(ISNA(計算結果!N645),"",計算結果!N645))</f>
        <v/>
      </c>
      <c r="O645" s="13" t="str">
        <f>IF(IF(ISNA(計算結果!O645),"",計算結果!O645)=0,"",IF(ISNA(計算結果!O645),"",計算結果!O645))</f>
        <v/>
      </c>
      <c r="P645" s="10" t="str">
        <f>IF(IF(ISNA(計算結果!P645),"",計算結果!P645)=0,"",IF(ISNA(計算結果!P645),"",計算結果!P645))</f>
        <v/>
      </c>
      <c r="Q645" s="10" t="str">
        <f>IF(IF(ISNA(計算結果!Q645),"",計算結果!Q645)=0,"",IF(ISNA(計算結果!Q645),"",計算結果!Q645))</f>
        <v/>
      </c>
      <c r="R645" s="14" t="str">
        <f t="shared" si="30"/>
        <v/>
      </c>
      <c r="S645" s="14" t="str">
        <f t="shared" si="31"/>
        <v>◯</v>
      </c>
      <c r="T645" s="14" t="str">
        <f t="shared" si="32"/>
        <v/>
      </c>
    </row>
    <row r="646" spans="1:20" hidden="1" x14ac:dyDescent="0.45">
      <c r="A646" s="10" t="str">
        <f>IF(IF(ISNA(計算結果!A646),"",計算結果!A646)=0,"",IF(ISNA(計算結果!A646),"",計算結果!A646))</f>
        <v/>
      </c>
      <c r="B646" s="10" t="str">
        <f>IF(IF(ISNA(計算結果!B646),"",計算結果!B646)=0,"",IF(ISNA(計算結果!B646),"",計算結果!B646))</f>
        <v/>
      </c>
      <c r="C646" s="10" t="str">
        <f>IF(IF(ISNA(計算結果!C646),"",計算結果!C646)=0,"",IF(ISNA(計算結果!C646),"",計算結果!C646))</f>
        <v/>
      </c>
      <c r="D646" s="10" t="str">
        <f>IF(IF(ISNA(計算結果!D646),"",計算結果!D646)=0,"",IF(ISNA(計算結果!D646),"",計算結果!D646))</f>
        <v>L</v>
      </c>
      <c r="E646" s="10" t="str">
        <f>IF(IF(ISNA(計算結果!E646),"",計算結果!E646)=0,"",IF(ISNA(計算結果!E646),"",計算結果!E646))</f>
        <v/>
      </c>
      <c r="F646" s="10" t="str">
        <f>IF(IF(ISNA(計算結果!F646),"",計算結果!F646)=0,"",IF(ISNA(計算結果!F646),"",計算結果!F646))</f>
        <v/>
      </c>
      <c r="G646" s="10" t="str">
        <f>IF(IF(ISNA(計算結果!G646),"",計算結果!G646)=0,"",IF(ISNA(計算結果!G646),"",計算結果!G646))</f>
        <v/>
      </c>
      <c r="H646" s="13">
        <f>IF(IF(ISNA(計算結果!H646),"",計算結果!H646)=0,"",IF(ISNA(計算結果!H646),"",計算結果!H646))</f>
        <v>-2</v>
      </c>
      <c r="I646" s="12" t="str">
        <f>IF(IF(ISNA(計算結果!I646),"",計算結果!I646)=0,"",IF(ISNA(計算結果!I646),"",計算結果!I646))</f>
        <v/>
      </c>
      <c r="J646" s="12" t="str">
        <f>IF(IF(ISNA(計算結果!J646),"",計算結果!J646)=0,"",IF(ISNA(計算結果!J646),"",計算結果!J646))</f>
        <v/>
      </c>
      <c r="K646" s="23" t="str">
        <f>IF(IF(ISNA(計算結果!K646),"",計算結果!K646)=0,"",IF(ISNA(計算結果!K646),"",計算結果!K646))</f>
        <v/>
      </c>
      <c r="L646" s="13" t="str">
        <f>IF(IF(ISNA(計算結果!L646),"",計算結果!L646)=0,"",IF(ISNA(計算結果!L646),"",計算結果!L646))</f>
        <v/>
      </c>
      <c r="M646" s="10" t="str">
        <f>IF(IF(ISNA(計算結果!M646),"",計算結果!M646)=0,"",IF(ISNA(計算結果!M646),"",計算結果!M646))</f>
        <v/>
      </c>
      <c r="N646" s="10" t="str">
        <f>IF(IF(ISNA(計算結果!N646),"",計算結果!N646)=0,"",IF(ISNA(計算結果!N646),"",計算結果!N646))</f>
        <v/>
      </c>
      <c r="O646" s="13" t="str">
        <f>IF(IF(ISNA(計算結果!O646),"",計算結果!O646)=0,"",IF(ISNA(計算結果!O646),"",計算結果!O646))</f>
        <v/>
      </c>
      <c r="P646" s="10" t="str">
        <f>IF(IF(ISNA(計算結果!P646),"",計算結果!P646)=0,"",IF(ISNA(計算結果!P646),"",計算結果!P646))</f>
        <v/>
      </c>
      <c r="Q646" s="10" t="str">
        <f>IF(IF(ISNA(計算結果!Q646),"",計算結果!Q646)=0,"",IF(ISNA(計算結果!Q646),"",計算結果!Q646))</f>
        <v/>
      </c>
      <c r="R646" s="14" t="str">
        <f t="shared" si="30"/>
        <v/>
      </c>
      <c r="S646" s="14" t="str">
        <f t="shared" si="31"/>
        <v>◯</v>
      </c>
      <c r="T646" s="14" t="str">
        <f t="shared" si="32"/>
        <v/>
      </c>
    </row>
    <row r="647" spans="1:20" hidden="1" x14ac:dyDescent="0.45">
      <c r="A647" s="10" t="str">
        <f>IF(IF(ISNA(計算結果!A647),"",計算結果!A647)=0,"",IF(ISNA(計算結果!A647),"",計算結果!A647))</f>
        <v/>
      </c>
      <c r="B647" s="10" t="str">
        <f>IF(IF(ISNA(計算結果!B647),"",計算結果!B647)=0,"",IF(ISNA(計算結果!B647),"",計算結果!B647))</f>
        <v/>
      </c>
      <c r="C647" s="10" t="str">
        <f>IF(IF(ISNA(計算結果!C647),"",計算結果!C647)=0,"",IF(ISNA(計算結果!C647),"",計算結果!C647))</f>
        <v/>
      </c>
      <c r="D647" s="10" t="str">
        <f>IF(IF(ISNA(計算結果!D647),"",計算結果!D647)=0,"",IF(ISNA(計算結果!D647),"",計算結果!D647))</f>
        <v>L</v>
      </c>
      <c r="E647" s="10" t="str">
        <f>IF(IF(ISNA(計算結果!E647),"",計算結果!E647)=0,"",IF(ISNA(計算結果!E647),"",計算結果!E647))</f>
        <v/>
      </c>
      <c r="F647" s="10" t="str">
        <f>IF(IF(ISNA(計算結果!F647),"",計算結果!F647)=0,"",IF(ISNA(計算結果!F647),"",計算結果!F647))</f>
        <v/>
      </c>
      <c r="G647" s="10" t="str">
        <f>IF(IF(ISNA(計算結果!G647),"",計算結果!G647)=0,"",IF(ISNA(計算結果!G647),"",計算結果!G647))</f>
        <v/>
      </c>
      <c r="H647" s="13">
        <f>IF(IF(ISNA(計算結果!H647),"",計算結果!H647)=0,"",IF(ISNA(計算結果!H647),"",計算結果!H647))</f>
        <v>-2</v>
      </c>
      <c r="I647" s="12" t="str">
        <f>IF(IF(ISNA(計算結果!I647),"",計算結果!I647)=0,"",IF(ISNA(計算結果!I647),"",計算結果!I647))</f>
        <v/>
      </c>
      <c r="J647" s="12" t="str">
        <f>IF(IF(ISNA(計算結果!J647),"",計算結果!J647)=0,"",IF(ISNA(計算結果!J647),"",計算結果!J647))</f>
        <v/>
      </c>
      <c r="K647" s="23" t="str">
        <f>IF(IF(ISNA(計算結果!K647),"",計算結果!K647)=0,"",IF(ISNA(計算結果!K647),"",計算結果!K647))</f>
        <v/>
      </c>
      <c r="L647" s="13" t="str">
        <f>IF(IF(ISNA(計算結果!L647),"",計算結果!L647)=0,"",IF(ISNA(計算結果!L647),"",計算結果!L647))</f>
        <v/>
      </c>
      <c r="M647" s="10" t="str">
        <f>IF(IF(ISNA(計算結果!M647),"",計算結果!M647)=0,"",IF(ISNA(計算結果!M647),"",計算結果!M647))</f>
        <v/>
      </c>
      <c r="N647" s="10" t="str">
        <f>IF(IF(ISNA(計算結果!N647),"",計算結果!N647)=0,"",IF(ISNA(計算結果!N647),"",計算結果!N647))</f>
        <v/>
      </c>
      <c r="O647" s="13" t="str">
        <f>IF(IF(ISNA(計算結果!O647),"",計算結果!O647)=0,"",IF(ISNA(計算結果!O647),"",計算結果!O647))</f>
        <v/>
      </c>
      <c r="P647" s="10" t="str">
        <f>IF(IF(ISNA(計算結果!P647),"",計算結果!P647)=0,"",IF(ISNA(計算結果!P647),"",計算結果!P647))</f>
        <v/>
      </c>
      <c r="Q647" s="10" t="str">
        <f>IF(IF(ISNA(計算結果!Q647),"",計算結果!Q647)=0,"",IF(ISNA(計算結果!Q647),"",計算結果!Q647))</f>
        <v/>
      </c>
      <c r="R647" s="14" t="str">
        <f t="shared" si="30"/>
        <v/>
      </c>
      <c r="S647" s="14" t="str">
        <f t="shared" si="31"/>
        <v>◯</v>
      </c>
      <c r="T647" s="14" t="str">
        <f t="shared" si="32"/>
        <v/>
      </c>
    </row>
    <row r="648" spans="1:20" hidden="1" x14ac:dyDescent="0.45">
      <c r="A648" s="10" t="str">
        <f>IF(IF(ISNA(計算結果!A648),"",計算結果!A648)=0,"",IF(ISNA(計算結果!A648),"",計算結果!A648))</f>
        <v/>
      </c>
      <c r="B648" s="10" t="str">
        <f>IF(IF(ISNA(計算結果!B648),"",計算結果!B648)=0,"",IF(ISNA(計算結果!B648),"",計算結果!B648))</f>
        <v/>
      </c>
      <c r="C648" s="10" t="str">
        <f>IF(IF(ISNA(計算結果!C648),"",計算結果!C648)=0,"",IF(ISNA(計算結果!C648),"",計算結果!C648))</f>
        <v/>
      </c>
      <c r="D648" s="10" t="str">
        <f>IF(IF(ISNA(計算結果!D648),"",計算結果!D648)=0,"",IF(ISNA(計算結果!D648),"",計算結果!D648))</f>
        <v>L</v>
      </c>
      <c r="E648" s="10" t="str">
        <f>IF(IF(ISNA(計算結果!E648),"",計算結果!E648)=0,"",IF(ISNA(計算結果!E648),"",計算結果!E648))</f>
        <v/>
      </c>
      <c r="F648" s="10" t="str">
        <f>IF(IF(ISNA(計算結果!F648),"",計算結果!F648)=0,"",IF(ISNA(計算結果!F648),"",計算結果!F648))</f>
        <v/>
      </c>
      <c r="G648" s="10" t="str">
        <f>IF(IF(ISNA(計算結果!G648),"",計算結果!G648)=0,"",IF(ISNA(計算結果!G648),"",計算結果!G648))</f>
        <v/>
      </c>
      <c r="H648" s="13">
        <f>IF(IF(ISNA(計算結果!H648),"",計算結果!H648)=0,"",IF(ISNA(計算結果!H648),"",計算結果!H648))</f>
        <v>-2</v>
      </c>
      <c r="I648" s="12" t="str">
        <f>IF(IF(ISNA(計算結果!I648),"",計算結果!I648)=0,"",IF(ISNA(計算結果!I648),"",計算結果!I648))</f>
        <v/>
      </c>
      <c r="J648" s="12" t="str">
        <f>IF(IF(ISNA(計算結果!J648),"",計算結果!J648)=0,"",IF(ISNA(計算結果!J648),"",計算結果!J648))</f>
        <v/>
      </c>
      <c r="K648" s="23" t="str">
        <f>IF(IF(ISNA(計算結果!K648),"",計算結果!K648)=0,"",IF(ISNA(計算結果!K648),"",計算結果!K648))</f>
        <v/>
      </c>
      <c r="L648" s="13" t="str">
        <f>IF(IF(ISNA(計算結果!L648),"",計算結果!L648)=0,"",IF(ISNA(計算結果!L648),"",計算結果!L648))</f>
        <v/>
      </c>
      <c r="M648" s="10" t="str">
        <f>IF(IF(ISNA(計算結果!M648),"",計算結果!M648)=0,"",IF(ISNA(計算結果!M648),"",計算結果!M648))</f>
        <v/>
      </c>
      <c r="N648" s="10" t="str">
        <f>IF(IF(ISNA(計算結果!N648),"",計算結果!N648)=0,"",IF(ISNA(計算結果!N648),"",計算結果!N648))</f>
        <v/>
      </c>
      <c r="O648" s="13" t="str">
        <f>IF(IF(ISNA(計算結果!O648),"",計算結果!O648)=0,"",IF(ISNA(計算結果!O648),"",計算結果!O648))</f>
        <v/>
      </c>
      <c r="P648" s="10" t="str">
        <f>IF(IF(ISNA(計算結果!P648),"",計算結果!P648)=0,"",IF(ISNA(計算結果!P648),"",計算結果!P648))</f>
        <v/>
      </c>
      <c r="Q648" s="10" t="str">
        <f>IF(IF(ISNA(計算結果!Q648),"",計算結果!Q648)=0,"",IF(ISNA(計算結果!Q648),"",計算結果!Q648))</f>
        <v/>
      </c>
      <c r="R648" s="14" t="str">
        <f t="shared" si="30"/>
        <v/>
      </c>
      <c r="S648" s="14" t="str">
        <f t="shared" si="31"/>
        <v>◯</v>
      </c>
      <c r="T648" s="14" t="str">
        <f t="shared" si="32"/>
        <v/>
      </c>
    </row>
    <row r="649" spans="1:20" hidden="1" x14ac:dyDescent="0.45">
      <c r="A649" s="10" t="str">
        <f>IF(IF(ISNA(計算結果!A649),"",計算結果!A649)=0,"",IF(ISNA(計算結果!A649),"",計算結果!A649))</f>
        <v/>
      </c>
      <c r="B649" s="10" t="str">
        <f>IF(IF(ISNA(計算結果!B649),"",計算結果!B649)=0,"",IF(ISNA(計算結果!B649),"",計算結果!B649))</f>
        <v/>
      </c>
      <c r="C649" s="10" t="str">
        <f>IF(IF(ISNA(計算結果!C649),"",計算結果!C649)=0,"",IF(ISNA(計算結果!C649),"",計算結果!C649))</f>
        <v/>
      </c>
      <c r="D649" s="10" t="str">
        <f>IF(IF(ISNA(計算結果!D649),"",計算結果!D649)=0,"",IF(ISNA(計算結果!D649),"",計算結果!D649))</f>
        <v>L</v>
      </c>
      <c r="E649" s="10" t="str">
        <f>IF(IF(ISNA(計算結果!E649),"",計算結果!E649)=0,"",IF(ISNA(計算結果!E649),"",計算結果!E649))</f>
        <v/>
      </c>
      <c r="F649" s="10" t="str">
        <f>IF(IF(ISNA(計算結果!F649),"",計算結果!F649)=0,"",IF(ISNA(計算結果!F649),"",計算結果!F649))</f>
        <v/>
      </c>
      <c r="G649" s="10" t="str">
        <f>IF(IF(ISNA(計算結果!G649),"",計算結果!G649)=0,"",IF(ISNA(計算結果!G649),"",計算結果!G649))</f>
        <v/>
      </c>
      <c r="H649" s="13">
        <f>IF(IF(ISNA(計算結果!H649),"",計算結果!H649)=0,"",IF(ISNA(計算結果!H649),"",計算結果!H649))</f>
        <v>-2</v>
      </c>
      <c r="I649" s="12" t="str">
        <f>IF(IF(ISNA(計算結果!I649),"",計算結果!I649)=0,"",IF(ISNA(計算結果!I649),"",計算結果!I649))</f>
        <v/>
      </c>
      <c r="J649" s="12" t="str">
        <f>IF(IF(ISNA(計算結果!J649),"",計算結果!J649)=0,"",IF(ISNA(計算結果!J649),"",計算結果!J649))</f>
        <v/>
      </c>
      <c r="K649" s="23" t="str">
        <f>IF(IF(ISNA(計算結果!K649),"",計算結果!K649)=0,"",IF(ISNA(計算結果!K649),"",計算結果!K649))</f>
        <v/>
      </c>
      <c r="L649" s="13" t="str">
        <f>IF(IF(ISNA(計算結果!L649),"",計算結果!L649)=0,"",IF(ISNA(計算結果!L649),"",計算結果!L649))</f>
        <v/>
      </c>
      <c r="M649" s="10" t="str">
        <f>IF(IF(ISNA(計算結果!M649),"",計算結果!M649)=0,"",IF(ISNA(計算結果!M649),"",計算結果!M649))</f>
        <v/>
      </c>
      <c r="N649" s="10" t="str">
        <f>IF(IF(ISNA(計算結果!N649),"",計算結果!N649)=0,"",IF(ISNA(計算結果!N649),"",計算結果!N649))</f>
        <v/>
      </c>
      <c r="O649" s="13" t="str">
        <f>IF(IF(ISNA(計算結果!O649),"",計算結果!O649)=0,"",IF(ISNA(計算結果!O649),"",計算結果!O649))</f>
        <v/>
      </c>
      <c r="P649" s="10" t="str">
        <f>IF(IF(ISNA(計算結果!P649),"",計算結果!P649)=0,"",IF(ISNA(計算結果!P649),"",計算結果!P649))</f>
        <v/>
      </c>
      <c r="Q649" s="10" t="str">
        <f>IF(IF(ISNA(計算結果!Q649),"",計算結果!Q649)=0,"",IF(ISNA(計算結果!Q649),"",計算結果!Q649))</f>
        <v/>
      </c>
      <c r="R649" s="14" t="str">
        <f t="shared" si="30"/>
        <v/>
      </c>
      <c r="S649" s="14" t="str">
        <f t="shared" si="31"/>
        <v>◯</v>
      </c>
      <c r="T649" s="14" t="str">
        <f t="shared" si="32"/>
        <v/>
      </c>
    </row>
    <row r="650" spans="1:20" hidden="1" x14ac:dyDescent="0.45">
      <c r="A650" s="10" t="str">
        <f>IF(IF(ISNA(計算結果!A650),"",計算結果!A650)=0,"",IF(ISNA(計算結果!A650),"",計算結果!A650))</f>
        <v/>
      </c>
      <c r="B650" s="10" t="str">
        <f>IF(IF(ISNA(計算結果!B650),"",計算結果!B650)=0,"",IF(ISNA(計算結果!B650),"",計算結果!B650))</f>
        <v/>
      </c>
      <c r="C650" s="10" t="str">
        <f>IF(IF(ISNA(計算結果!C650),"",計算結果!C650)=0,"",IF(ISNA(計算結果!C650),"",計算結果!C650))</f>
        <v/>
      </c>
      <c r="D650" s="10" t="str">
        <f>IF(IF(ISNA(計算結果!D650),"",計算結果!D650)=0,"",IF(ISNA(計算結果!D650),"",計算結果!D650))</f>
        <v>L</v>
      </c>
      <c r="E650" s="10" t="str">
        <f>IF(IF(ISNA(計算結果!E650),"",計算結果!E650)=0,"",IF(ISNA(計算結果!E650),"",計算結果!E650))</f>
        <v/>
      </c>
      <c r="F650" s="10" t="str">
        <f>IF(IF(ISNA(計算結果!F650),"",計算結果!F650)=0,"",IF(ISNA(計算結果!F650),"",計算結果!F650))</f>
        <v/>
      </c>
      <c r="G650" s="10" t="str">
        <f>IF(IF(ISNA(計算結果!G650),"",計算結果!G650)=0,"",IF(ISNA(計算結果!G650),"",計算結果!G650))</f>
        <v/>
      </c>
      <c r="H650" s="13">
        <f>IF(IF(ISNA(計算結果!H650),"",計算結果!H650)=0,"",IF(ISNA(計算結果!H650),"",計算結果!H650))</f>
        <v>-2</v>
      </c>
      <c r="I650" s="12" t="str">
        <f>IF(IF(ISNA(計算結果!I650),"",計算結果!I650)=0,"",IF(ISNA(計算結果!I650),"",計算結果!I650))</f>
        <v/>
      </c>
      <c r="J650" s="12" t="str">
        <f>IF(IF(ISNA(計算結果!J650),"",計算結果!J650)=0,"",IF(ISNA(計算結果!J650),"",計算結果!J650))</f>
        <v/>
      </c>
      <c r="K650" s="23" t="str">
        <f>IF(IF(ISNA(計算結果!K650),"",計算結果!K650)=0,"",IF(ISNA(計算結果!K650),"",計算結果!K650))</f>
        <v/>
      </c>
      <c r="L650" s="13" t="str">
        <f>IF(IF(ISNA(計算結果!L650),"",計算結果!L650)=0,"",IF(ISNA(計算結果!L650),"",計算結果!L650))</f>
        <v/>
      </c>
      <c r="M650" s="10" t="str">
        <f>IF(IF(ISNA(計算結果!M650),"",計算結果!M650)=0,"",IF(ISNA(計算結果!M650),"",計算結果!M650))</f>
        <v/>
      </c>
      <c r="N650" s="10" t="str">
        <f>IF(IF(ISNA(計算結果!N650),"",計算結果!N650)=0,"",IF(ISNA(計算結果!N650),"",計算結果!N650))</f>
        <v/>
      </c>
      <c r="O650" s="13" t="str">
        <f>IF(IF(ISNA(計算結果!O650),"",計算結果!O650)=0,"",IF(ISNA(計算結果!O650),"",計算結果!O650))</f>
        <v/>
      </c>
      <c r="P650" s="10" t="str">
        <f>IF(IF(ISNA(計算結果!P650),"",計算結果!P650)=0,"",IF(ISNA(計算結果!P650),"",計算結果!P650))</f>
        <v/>
      </c>
      <c r="Q650" s="10" t="str">
        <f>IF(IF(ISNA(計算結果!Q650),"",計算結果!Q650)=0,"",IF(ISNA(計算結果!Q650),"",計算結果!Q650))</f>
        <v/>
      </c>
      <c r="R650" s="14" t="str">
        <f t="shared" si="30"/>
        <v/>
      </c>
      <c r="S650" s="14" t="str">
        <f t="shared" si="31"/>
        <v>◯</v>
      </c>
      <c r="T650" s="14" t="str">
        <f t="shared" si="32"/>
        <v/>
      </c>
    </row>
    <row r="651" spans="1:20" hidden="1" x14ac:dyDescent="0.45">
      <c r="A651" s="10" t="str">
        <f>IF(IF(ISNA(計算結果!A651),"",計算結果!A651)=0,"",IF(ISNA(計算結果!A651),"",計算結果!A651))</f>
        <v/>
      </c>
      <c r="B651" s="10" t="str">
        <f>IF(IF(ISNA(計算結果!B651),"",計算結果!B651)=0,"",IF(ISNA(計算結果!B651),"",計算結果!B651))</f>
        <v/>
      </c>
      <c r="C651" s="10" t="str">
        <f>IF(IF(ISNA(計算結果!C651),"",計算結果!C651)=0,"",IF(ISNA(計算結果!C651),"",計算結果!C651))</f>
        <v/>
      </c>
      <c r="D651" s="10" t="str">
        <f>IF(IF(ISNA(計算結果!D651),"",計算結果!D651)=0,"",IF(ISNA(計算結果!D651),"",計算結果!D651))</f>
        <v>L</v>
      </c>
      <c r="E651" s="10" t="str">
        <f>IF(IF(ISNA(計算結果!E651),"",計算結果!E651)=0,"",IF(ISNA(計算結果!E651),"",計算結果!E651))</f>
        <v/>
      </c>
      <c r="F651" s="10" t="str">
        <f>IF(IF(ISNA(計算結果!F651),"",計算結果!F651)=0,"",IF(ISNA(計算結果!F651),"",計算結果!F651))</f>
        <v/>
      </c>
      <c r="G651" s="10" t="str">
        <f>IF(IF(ISNA(計算結果!G651),"",計算結果!G651)=0,"",IF(ISNA(計算結果!G651),"",計算結果!G651))</f>
        <v/>
      </c>
      <c r="H651" s="13">
        <f>IF(IF(ISNA(計算結果!H651),"",計算結果!H651)=0,"",IF(ISNA(計算結果!H651),"",計算結果!H651))</f>
        <v>-2</v>
      </c>
      <c r="I651" s="12" t="str">
        <f>IF(IF(ISNA(計算結果!I651),"",計算結果!I651)=0,"",IF(ISNA(計算結果!I651),"",計算結果!I651))</f>
        <v/>
      </c>
      <c r="J651" s="12" t="str">
        <f>IF(IF(ISNA(計算結果!J651),"",計算結果!J651)=0,"",IF(ISNA(計算結果!J651),"",計算結果!J651))</f>
        <v/>
      </c>
      <c r="K651" s="23" t="str">
        <f>IF(IF(ISNA(計算結果!K651),"",計算結果!K651)=0,"",IF(ISNA(計算結果!K651),"",計算結果!K651))</f>
        <v/>
      </c>
      <c r="L651" s="13" t="str">
        <f>IF(IF(ISNA(計算結果!L651),"",計算結果!L651)=0,"",IF(ISNA(計算結果!L651),"",計算結果!L651))</f>
        <v/>
      </c>
      <c r="M651" s="10" t="str">
        <f>IF(IF(ISNA(計算結果!M651),"",計算結果!M651)=0,"",IF(ISNA(計算結果!M651),"",計算結果!M651))</f>
        <v/>
      </c>
      <c r="N651" s="10" t="str">
        <f>IF(IF(ISNA(計算結果!N651),"",計算結果!N651)=0,"",IF(ISNA(計算結果!N651),"",計算結果!N651))</f>
        <v/>
      </c>
      <c r="O651" s="13" t="str">
        <f>IF(IF(ISNA(計算結果!O651),"",計算結果!O651)=0,"",IF(ISNA(計算結果!O651),"",計算結果!O651))</f>
        <v/>
      </c>
      <c r="P651" s="10" t="str">
        <f>IF(IF(ISNA(計算結果!P651),"",計算結果!P651)=0,"",IF(ISNA(計算結果!P651),"",計算結果!P651))</f>
        <v/>
      </c>
      <c r="Q651" s="10" t="str">
        <f>IF(IF(ISNA(計算結果!Q651),"",計算結果!Q651)=0,"",IF(ISNA(計算結果!Q651),"",計算結果!Q651))</f>
        <v/>
      </c>
      <c r="R651" s="14" t="str">
        <f t="shared" si="30"/>
        <v/>
      </c>
      <c r="S651" s="14" t="str">
        <f t="shared" si="31"/>
        <v>◯</v>
      </c>
      <c r="T651" s="14" t="str">
        <f t="shared" si="32"/>
        <v/>
      </c>
    </row>
    <row r="652" spans="1:20" hidden="1" x14ac:dyDescent="0.45">
      <c r="A652" s="10" t="str">
        <f>IF(IF(ISNA(計算結果!A652),"",計算結果!A652)=0,"",IF(ISNA(計算結果!A652),"",計算結果!A652))</f>
        <v/>
      </c>
      <c r="B652" s="10" t="str">
        <f>IF(IF(ISNA(計算結果!B652),"",計算結果!B652)=0,"",IF(ISNA(計算結果!B652),"",計算結果!B652))</f>
        <v/>
      </c>
      <c r="C652" s="10" t="str">
        <f>IF(IF(ISNA(計算結果!C652),"",計算結果!C652)=0,"",IF(ISNA(計算結果!C652),"",計算結果!C652))</f>
        <v/>
      </c>
      <c r="D652" s="10" t="str">
        <f>IF(IF(ISNA(計算結果!D652),"",計算結果!D652)=0,"",IF(ISNA(計算結果!D652),"",計算結果!D652))</f>
        <v>L</v>
      </c>
      <c r="E652" s="10" t="str">
        <f>IF(IF(ISNA(計算結果!E652),"",計算結果!E652)=0,"",IF(ISNA(計算結果!E652),"",計算結果!E652))</f>
        <v/>
      </c>
      <c r="F652" s="10" t="str">
        <f>IF(IF(ISNA(計算結果!F652),"",計算結果!F652)=0,"",IF(ISNA(計算結果!F652),"",計算結果!F652))</f>
        <v/>
      </c>
      <c r="G652" s="10" t="str">
        <f>IF(IF(ISNA(計算結果!G652),"",計算結果!G652)=0,"",IF(ISNA(計算結果!G652),"",計算結果!G652))</f>
        <v/>
      </c>
      <c r="H652" s="13">
        <f>IF(IF(ISNA(計算結果!H652),"",計算結果!H652)=0,"",IF(ISNA(計算結果!H652),"",計算結果!H652))</f>
        <v>-2</v>
      </c>
      <c r="I652" s="12" t="str">
        <f>IF(IF(ISNA(計算結果!I652),"",計算結果!I652)=0,"",IF(ISNA(計算結果!I652),"",計算結果!I652))</f>
        <v/>
      </c>
      <c r="J652" s="12" t="str">
        <f>IF(IF(ISNA(計算結果!J652),"",計算結果!J652)=0,"",IF(ISNA(計算結果!J652),"",計算結果!J652))</f>
        <v/>
      </c>
      <c r="K652" s="23" t="str">
        <f>IF(IF(ISNA(計算結果!K652),"",計算結果!K652)=0,"",IF(ISNA(計算結果!K652),"",計算結果!K652))</f>
        <v/>
      </c>
      <c r="L652" s="13" t="str">
        <f>IF(IF(ISNA(計算結果!L652),"",計算結果!L652)=0,"",IF(ISNA(計算結果!L652),"",計算結果!L652))</f>
        <v/>
      </c>
      <c r="M652" s="10" t="str">
        <f>IF(IF(ISNA(計算結果!M652),"",計算結果!M652)=0,"",IF(ISNA(計算結果!M652),"",計算結果!M652))</f>
        <v/>
      </c>
      <c r="N652" s="10" t="str">
        <f>IF(IF(ISNA(計算結果!N652),"",計算結果!N652)=0,"",IF(ISNA(計算結果!N652),"",計算結果!N652))</f>
        <v/>
      </c>
      <c r="O652" s="13" t="str">
        <f>IF(IF(ISNA(計算結果!O652),"",計算結果!O652)=0,"",IF(ISNA(計算結果!O652),"",計算結果!O652))</f>
        <v/>
      </c>
      <c r="P652" s="10" t="str">
        <f>IF(IF(ISNA(計算結果!P652),"",計算結果!P652)=0,"",IF(ISNA(計算結果!P652),"",計算結果!P652))</f>
        <v/>
      </c>
      <c r="Q652" s="10" t="str">
        <f>IF(IF(ISNA(計算結果!Q652),"",計算結果!Q652)=0,"",IF(ISNA(計算結果!Q652),"",計算結果!Q652))</f>
        <v/>
      </c>
      <c r="R652" s="14" t="str">
        <f t="shared" si="30"/>
        <v/>
      </c>
      <c r="S652" s="14" t="str">
        <f t="shared" si="31"/>
        <v>◯</v>
      </c>
      <c r="T652" s="14" t="str">
        <f t="shared" si="32"/>
        <v/>
      </c>
    </row>
    <row r="653" spans="1:20" hidden="1" x14ac:dyDescent="0.45">
      <c r="A653" s="10" t="str">
        <f>IF(IF(ISNA(計算結果!A653),"",計算結果!A653)=0,"",IF(ISNA(計算結果!A653),"",計算結果!A653))</f>
        <v/>
      </c>
      <c r="B653" s="10" t="str">
        <f>IF(IF(ISNA(計算結果!B653),"",計算結果!B653)=0,"",IF(ISNA(計算結果!B653),"",計算結果!B653))</f>
        <v/>
      </c>
      <c r="C653" s="10" t="str">
        <f>IF(IF(ISNA(計算結果!C653),"",計算結果!C653)=0,"",IF(ISNA(計算結果!C653),"",計算結果!C653))</f>
        <v/>
      </c>
      <c r="D653" s="10" t="str">
        <f>IF(IF(ISNA(計算結果!D653),"",計算結果!D653)=0,"",IF(ISNA(計算結果!D653),"",計算結果!D653))</f>
        <v>L</v>
      </c>
      <c r="E653" s="10" t="str">
        <f>IF(IF(ISNA(計算結果!E653),"",計算結果!E653)=0,"",IF(ISNA(計算結果!E653),"",計算結果!E653))</f>
        <v/>
      </c>
      <c r="F653" s="10" t="str">
        <f>IF(IF(ISNA(計算結果!F653),"",計算結果!F653)=0,"",IF(ISNA(計算結果!F653),"",計算結果!F653))</f>
        <v/>
      </c>
      <c r="G653" s="10" t="str">
        <f>IF(IF(ISNA(計算結果!G653),"",計算結果!G653)=0,"",IF(ISNA(計算結果!G653),"",計算結果!G653))</f>
        <v/>
      </c>
      <c r="H653" s="13">
        <f>IF(IF(ISNA(計算結果!H653),"",計算結果!H653)=0,"",IF(ISNA(計算結果!H653),"",計算結果!H653))</f>
        <v>-2</v>
      </c>
      <c r="I653" s="12" t="str">
        <f>IF(IF(ISNA(計算結果!I653),"",計算結果!I653)=0,"",IF(ISNA(計算結果!I653),"",計算結果!I653))</f>
        <v/>
      </c>
      <c r="J653" s="12" t="str">
        <f>IF(IF(ISNA(計算結果!J653),"",計算結果!J653)=0,"",IF(ISNA(計算結果!J653),"",計算結果!J653))</f>
        <v/>
      </c>
      <c r="K653" s="23" t="str">
        <f>IF(IF(ISNA(計算結果!K653),"",計算結果!K653)=0,"",IF(ISNA(計算結果!K653),"",計算結果!K653))</f>
        <v/>
      </c>
      <c r="L653" s="13" t="str">
        <f>IF(IF(ISNA(計算結果!L653),"",計算結果!L653)=0,"",IF(ISNA(計算結果!L653),"",計算結果!L653))</f>
        <v/>
      </c>
      <c r="M653" s="10" t="str">
        <f>IF(IF(ISNA(計算結果!M653),"",計算結果!M653)=0,"",IF(ISNA(計算結果!M653),"",計算結果!M653))</f>
        <v/>
      </c>
      <c r="N653" s="10" t="str">
        <f>IF(IF(ISNA(計算結果!N653),"",計算結果!N653)=0,"",IF(ISNA(計算結果!N653),"",計算結果!N653))</f>
        <v/>
      </c>
      <c r="O653" s="13" t="str">
        <f>IF(IF(ISNA(計算結果!O653),"",計算結果!O653)=0,"",IF(ISNA(計算結果!O653),"",計算結果!O653))</f>
        <v/>
      </c>
      <c r="P653" s="10" t="str">
        <f>IF(IF(ISNA(計算結果!P653),"",計算結果!P653)=0,"",IF(ISNA(計算結果!P653),"",計算結果!P653))</f>
        <v/>
      </c>
      <c r="Q653" s="10" t="str">
        <f>IF(IF(ISNA(計算結果!Q653),"",計算結果!Q653)=0,"",IF(ISNA(計算結果!Q653),"",計算結果!Q653))</f>
        <v/>
      </c>
      <c r="R653" s="14" t="str">
        <f t="shared" si="30"/>
        <v/>
      </c>
      <c r="S653" s="14" t="str">
        <f t="shared" si="31"/>
        <v>◯</v>
      </c>
      <c r="T653" s="14" t="str">
        <f t="shared" si="32"/>
        <v/>
      </c>
    </row>
    <row r="654" spans="1:20" hidden="1" x14ac:dyDescent="0.45">
      <c r="A654" s="10" t="str">
        <f>IF(IF(ISNA(計算結果!A654),"",計算結果!A654)=0,"",IF(ISNA(計算結果!A654),"",計算結果!A654))</f>
        <v/>
      </c>
      <c r="B654" s="10" t="str">
        <f>IF(IF(ISNA(計算結果!B654),"",計算結果!B654)=0,"",IF(ISNA(計算結果!B654),"",計算結果!B654))</f>
        <v/>
      </c>
      <c r="C654" s="10" t="str">
        <f>IF(IF(ISNA(計算結果!C654),"",計算結果!C654)=0,"",IF(ISNA(計算結果!C654),"",計算結果!C654))</f>
        <v/>
      </c>
      <c r="D654" s="10" t="str">
        <f>IF(IF(ISNA(計算結果!D654),"",計算結果!D654)=0,"",IF(ISNA(計算結果!D654),"",計算結果!D654))</f>
        <v>L</v>
      </c>
      <c r="E654" s="10" t="str">
        <f>IF(IF(ISNA(計算結果!E654),"",計算結果!E654)=0,"",IF(ISNA(計算結果!E654),"",計算結果!E654))</f>
        <v/>
      </c>
      <c r="F654" s="10" t="str">
        <f>IF(IF(ISNA(計算結果!F654),"",計算結果!F654)=0,"",IF(ISNA(計算結果!F654),"",計算結果!F654))</f>
        <v/>
      </c>
      <c r="G654" s="10" t="str">
        <f>IF(IF(ISNA(計算結果!G654),"",計算結果!G654)=0,"",IF(ISNA(計算結果!G654),"",計算結果!G654))</f>
        <v/>
      </c>
      <c r="H654" s="13">
        <f>IF(IF(ISNA(計算結果!H654),"",計算結果!H654)=0,"",IF(ISNA(計算結果!H654),"",計算結果!H654))</f>
        <v>-2</v>
      </c>
      <c r="I654" s="12" t="str">
        <f>IF(IF(ISNA(計算結果!I654),"",計算結果!I654)=0,"",IF(ISNA(計算結果!I654),"",計算結果!I654))</f>
        <v/>
      </c>
      <c r="J654" s="12" t="str">
        <f>IF(IF(ISNA(計算結果!J654),"",計算結果!J654)=0,"",IF(ISNA(計算結果!J654),"",計算結果!J654))</f>
        <v/>
      </c>
      <c r="K654" s="23" t="str">
        <f>IF(IF(ISNA(計算結果!K654),"",計算結果!K654)=0,"",IF(ISNA(計算結果!K654),"",計算結果!K654))</f>
        <v/>
      </c>
      <c r="L654" s="13" t="str">
        <f>IF(IF(ISNA(計算結果!L654),"",計算結果!L654)=0,"",IF(ISNA(計算結果!L654),"",計算結果!L654))</f>
        <v/>
      </c>
      <c r="M654" s="10" t="str">
        <f>IF(IF(ISNA(計算結果!M654),"",計算結果!M654)=0,"",IF(ISNA(計算結果!M654),"",計算結果!M654))</f>
        <v/>
      </c>
      <c r="N654" s="10" t="str">
        <f>IF(IF(ISNA(計算結果!N654),"",計算結果!N654)=0,"",IF(ISNA(計算結果!N654),"",計算結果!N654))</f>
        <v/>
      </c>
      <c r="O654" s="13" t="str">
        <f>IF(IF(ISNA(計算結果!O654),"",計算結果!O654)=0,"",IF(ISNA(計算結果!O654),"",計算結果!O654))</f>
        <v/>
      </c>
      <c r="P654" s="10" t="str">
        <f>IF(IF(ISNA(計算結果!P654),"",計算結果!P654)=0,"",IF(ISNA(計算結果!P654),"",計算結果!P654))</f>
        <v/>
      </c>
      <c r="Q654" s="10" t="str">
        <f>IF(IF(ISNA(計算結果!Q654),"",計算結果!Q654)=0,"",IF(ISNA(計算結果!Q654),"",計算結果!Q654))</f>
        <v/>
      </c>
      <c r="R654" s="14" t="str">
        <f t="shared" si="30"/>
        <v/>
      </c>
      <c r="S654" s="14" t="str">
        <f t="shared" si="31"/>
        <v>◯</v>
      </c>
      <c r="T654" s="14" t="str">
        <f t="shared" si="32"/>
        <v/>
      </c>
    </row>
    <row r="655" spans="1:20" hidden="1" x14ac:dyDescent="0.45">
      <c r="A655" s="10" t="str">
        <f>IF(IF(ISNA(計算結果!A655),"",計算結果!A655)=0,"",IF(ISNA(計算結果!A655),"",計算結果!A655))</f>
        <v/>
      </c>
      <c r="B655" s="10" t="str">
        <f>IF(IF(ISNA(計算結果!B655),"",計算結果!B655)=0,"",IF(ISNA(計算結果!B655),"",計算結果!B655))</f>
        <v/>
      </c>
      <c r="C655" s="10" t="str">
        <f>IF(IF(ISNA(計算結果!C655),"",計算結果!C655)=0,"",IF(ISNA(計算結果!C655),"",計算結果!C655))</f>
        <v/>
      </c>
      <c r="D655" s="10" t="str">
        <f>IF(IF(ISNA(計算結果!D655),"",計算結果!D655)=0,"",IF(ISNA(計算結果!D655),"",計算結果!D655))</f>
        <v>L</v>
      </c>
      <c r="E655" s="10" t="str">
        <f>IF(IF(ISNA(計算結果!E655),"",計算結果!E655)=0,"",IF(ISNA(計算結果!E655),"",計算結果!E655))</f>
        <v/>
      </c>
      <c r="F655" s="10" t="str">
        <f>IF(IF(ISNA(計算結果!F655),"",計算結果!F655)=0,"",IF(ISNA(計算結果!F655),"",計算結果!F655))</f>
        <v/>
      </c>
      <c r="G655" s="10" t="str">
        <f>IF(IF(ISNA(計算結果!G655),"",計算結果!G655)=0,"",IF(ISNA(計算結果!G655),"",計算結果!G655))</f>
        <v/>
      </c>
      <c r="H655" s="13">
        <f>IF(IF(ISNA(計算結果!H655),"",計算結果!H655)=0,"",IF(ISNA(計算結果!H655),"",計算結果!H655))</f>
        <v>-2</v>
      </c>
      <c r="I655" s="12" t="str">
        <f>IF(IF(ISNA(計算結果!I655),"",計算結果!I655)=0,"",IF(ISNA(計算結果!I655),"",計算結果!I655))</f>
        <v/>
      </c>
      <c r="J655" s="12" t="str">
        <f>IF(IF(ISNA(計算結果!J655),"",計算結果!J655)=0,"",IF(ISNA(計算結果!J655),"",計算結果!J655))</f>
        <v/>
      </c>
      <c r="K655" s="23" t="str">
        <f>IF(IF(ISNA(計算結果!K655),"",計算結果!K655)=0,"",IF(ISNA(計算結果!K655),"",計算結果!K655))</f>
        <v/>
      </c>
      <c r="L655" s="13" t="str">
        <f>IF(IF(ISNA(計算結果!L655),"",計算結果!L655)=0,"",IF(ISNA(計算結果!L655),"",計算結果!L655))</f>
        <v/>
      </c>
      <c r="M655" s="10" t="str">
        <f>IF(IF(ISNA(計算結果!M655),"",計算結果!M655)=0,"",IF(ISNA(計算結果!M655),"",計算結果!M655))</f>
        <v/>
      </c>
      <c r="N655" s="10" t="str">
        <f>IF(IF(ISNA(計算結果!N655),"",計算結果!N655)=0,"",IF(ISNA(計算結果!N655),"",計算結果!N655))</f>
        <v/>
      </c>
      <c r="O655" s="13" t="str">
        <f>IF(IF(ISNA(計算結果!O655),"",計算結果!O655)=0,"",IF(ISNA(計算結果!O655),"",計算結果!O655))</f>
        <v/>
      </c>
      <c r="P655" s="10" t="str">
        <f>IF(IF(ISNA(計算結果!P655),"",計算結果!P655)=0,"",IF(ISNA(計算結果!P655),"",計算結果!P655))</f>
        <v/>
      </c>
      <c r="Q655" s="10" t="str">
        <f>IF(IF(ISNA(計算結果!Q655),"",計算結果!Q655)=0,"",IF(ISNA(計算結果!Q655),"",計算結果!Q655))</f>
        <v/>
      </c>
      <c r="R655" s="14" t="str">
        <f t="shared" si="30"/>
        <v/>
      </c>
      <c r="S655" s="14" t="str">
        <f t="shared" si="31"/>
        <v>◯</v>
      </c>
      <c r="T655" s="14" t="str">
        <f t="shared" si="32"/>
        <v/>
      </c>
    </row>
    <row r="656" spans="1:20" hidden="1" x14ac:dyDescent="0.45">
      <c r="A656" s="10" t="str">
        <f>IF(IF(ISNA(計算結果!A656),"",計算結果!A656)=0,"",IF(ISNA(計算結果!A656),"",計算結果!A656))</f>
        <v/>
      </c>
      <c r="B656" s="10" t="str">
        <f>IF(IF(ISNA(計算結果!B656),"",計算結果!B656)=0,"",IF(ISNA(計算結果!B656),"",計算結果!B656))</f>
        <v/>
      </c>
      <c r="C656" s="10" t="str">
        <f>IF(IF(ISNA(計算結果!C656),"",計算結果!C656)=0,"",IF(ISNA(計算結果!C656),"",計算結果!C656))</f>
        <v/>
      </c>
      <c r="D656" s="10" t="str">
        <f>IF(IF(ISNA(計算結果!D656),"",計算結果!D656)=0,"",IF(ISNA(計算結果!D656),"",計算結果!D656))</f>
        <v>L</v>
      </c>
      <c r="E656" s="10" t="str">
        <f>IF(IF(ISNA(計算結果!E656),"",計算結果!E656)=0,"",IF(ISNA(計算結果!E656),"",計算結果!E656))</f>
        <v/>
      </c>
      <c r="F656" s="10" t="str">
        <f>IF(IF(ISNA(計算結果!F656),"",計算結果!F656)=0,"",IF(ISNA(計算結果!F656),"",計算結果!F656))</f>
        <v/>
      </c>
      <c r="G656" s="10" t="str">
        <f>IF(IF(ISNA(計算結果!G656),"",計算結果!G656)=0,"",IF(ISNA(計算結果!G656),"",計算結果!G656))</f>
        <v/>
      </c>
      <c r="H656" s="13">
        <f>IF(IF(ISNA(計算結果!H656),"",計算結果!H656)=0,"",IF(ISNA(計算結果!H656),"",計算結果!H656))</f>
        <v>-2</v>
      </c>
      <c r="I656" s="12" t="str">
        <f>IF(IF(ISNA(計算結果!I656),"",計算結果!I656)=0,"",IF(ISNA(計算結果!I656),"",計算結果!I656))</f>
        <v/>
      </c>
      <c r="J656" s="12" t="str">
        <f>IF(IF(ISNA(計算結果!J656),"",計算結果!J656)=0,"",IF(ISNA(計算結果!J656),"",計算結果!J656))</f>
        <v/>
      </c>
      <c r="K656" s="23" t="str">
        <f>IF(IF(ISNA(計算結果!K656),"",計算結果!K656)=0,"",IF(ISNA(計算結果!K656),"",計算結果!K656))</f>
        <v/>
      </c>
      <c r="L656" s="13" t="str">
        <f>IF(IF(ISNA(計算結果!L656),"",計算結果!L656)=0,"",IF(ISNA(計算結果!L656),"",計算結果!L656))</f>
        <v/>
      </c>
      <c r="M656" s="10" t="str">
        <f>IF(IF(ISNA(計算結果!M656),"",計算結果!M656)=0,"",IF(ISNA(計算結果!M656),"",計算結果!M656))</f>
        <v/>
      </c>
      <c r="N656" s="10" t="str">
        <f>IF(IF(ISNA(計算結果!N656),"",計算結果!N656)=0,"",IF(ISNA(計算結果!N656),"",計算結果!N656))</f>
        <v/>
      </c>
      <c r="O656" s="13" t="str">
        <f>IF(IF(ISNA(計算結果!O656),"",計算結果!O656)=0,"",IF(ISNA(計算結果!O656),"",計算結果!O656))</f>
        <v/>
      </c>
      <c r="P656" s="10" t="str">
        <f>IF(IF(ISNA(計算結果!P656),"",計算結果!P656)=0,"",IF(ISNA(計算結果!P656),"",計算結果!P656))</f>
        <v/>
      </c>
      <c r="Q656" s="10" t="str">
        <f>IF(IF(ISNA(計算結果!Q656),"",計算結果!Q656)=0,"",IF(ISNA(計算結果!Q656),"",計算結果!Q656))</f>
        <v/>
      </c>
      <c r="R656" s="14" t="str">
        <f t="shared" si="30"/>
        <v/>
      </c>
      <c r="S656" s="14" t="str">
        <f t="shared" si="31"/>
        <v>◯</v>
      </c>
      <c r="T656" s="14" t="str">
        <f t="shared" si="32"/>
        <v/>
      </c>
    </row>
    <row r="657" spans="1:20" hidden="1" x14ac:dyDescent="0.45">
      <c r="A657" s="10" t="str">
        <f>IF(IF(ISNA(計算結果!A657),"",計算結果!A657)=0,"",IF(ISNA(計算結果!A657),"",計算結果!A657))</f>
        <v/>
      </c>
      <c r="B657" s="10" t="str">
        <f>IF(IF(ISNA(計算結果!B657),"",計算結果!B657)=0,"",IF(ISNA(計算結果!B657),"",計算結果!B657))</f>
        <v/>
      </c>
      <c r="C657" s="10" t="str">
        <f>IF(IF(ISNA(計算結果!C657),"",計算結果!C657)=0,"",IF(ISNA(計算結果!C657),"",計算結果!C657))</f>
        <v/>
      </c>
      <c r="D657" s="10" t="str">
        <f>IF(IF(ISNA(計算結果!D657),"",計算結果!D657)=0,"",IF(ISNA(計算結果!D657),"",計算結果!D657))</f>
        <v>L</v>
      </c>
      <c r="E657" s="10" t="str">
        <f>IF(IF(ISNA(計算結果!E657),"",計算結果!E657)=0,"",IF(ISNA(計算結果!E657),"",計算結果!E657))</f>
        <v/>
      </c>
      <c r="F657" s="10" t="str">
        <f>IF(IF(ISNA(計算結果!F657),"",計算結果!F657)=0,"",IF(ISNA(計算結果!F657),"",計算結果!F657))</f>
        <v/>
      </c>
      <c r="G657" s="10" t="str">
        <f>IF(IF(ISNA(計算結果!G657),"",計算結果!G657)=0,"",IF(ISNA(計算結果!G657),"",計算結果!G657))</f>
        <v/>
      </c>
      <c r="H657" s="13">
        <f>IF(IF(ISNA(計算結果!H657),"",計算結果!H657)=0,"",IF(ISNA(計算結果!H657),"",計算結果!H657))</f>
        <v>-2</v>
      </c>
      <c r="I657" s="12" t="str">
        <f>IF(IF(ISNA(計算結果!I657),"",計算結果!I657)=0,"",IF(ISNA(計算結果!I657),"",計算結果!I657))</f>
        <v/>
      </c>
      <c r="J657" s="12" t="str">
        <f>IF(IF(ISNA(計算結果!J657),"",計算結果!J657)=0,"",IF(ISNA(計算結果!J657),"",計算結果!J657))</f>
        <v/>
      </c>
      <c r="K657" s="23" t="str">
        <f>IF(IF(ISNA(計算結果!K657),"",計算結果!K657)=0,"",IF(ISNA(計算結果!K657),"",計算結果!K657))</f>
        <v/>
      </c>
      <c r="L657" s="13" t="str">
        <f>IF(IF(ISNA(計算結果!L657),"",計算結果!L657)=0,"",IF(ISNA(計算結果!L657),"",計算結果!L657))</f>
        <v/>
      </c>
      <c r="M657" s="10" t="str">
        <f>IF(IF(ISNA(計算結果!M657),"",計算結果!M657)=0,"",IF(ISNA(計算結果!M657),"",計算結果!M657))</f>
        <v/>
      </c>
      <c r="N657" s="10" t="str">
        <f>IF(IF(ISNA(計算結果!N657),"",計算結果!N657)=0,"",IF(ISNA(計算結果!N657),"",計算結果!N657))</f>
        <v/>
      </c>
      <c r="O657" s="13" t="str">
        <f>IF(IF(ISNA(計算結果!O657),"",計算結果!O657)=0,"",IF(ISNA(計算結果!O657),"",計算結果!O657))</f>
        <v/>
      </c>
      <c r="P657" s="10" t="str">
        <f>IF(IF(ISNA(計算結果!P657),"",計算結果!P657)=0,"",IF(ISNA(計算結果!P657),"",計算結果!P657))</f>
        <v/>
      </c>
      <c r="Q657" s="10" t="str">
        <f>IF(IF(ISNA(計算結果!Q657),"",計算結果!Q657)=0,"",IF(ISNA(計算結果!Q657),"",計算結果!Q657))</f>
        <v/>
      </c>
      <c r="R657" s="14" t="str">
        <f t="shared" si="30"/>
        <v/>
      </c>
      <c r="S657" s="14" t="str">
        <f t="shared" si="31"/>
        <v>◯</v>
      </c>
      <c r="T657" s="14" t="str">
        <f t="shared" si="32"/>
        <v/>
      </c>
    </row>
    <row r="658" spans="1:20" hidden="1" x14ac:dyDescent="0.45">
      <c r="A658" s="10" t="str">
        <f>IF(IF(ISNA(計算結果!A658),"",計算結果!A658)=0,"",IF(ISNA(計算結果!A658),"",計算結果!A658))</f>
        <v/>
      </c>
      <c r="B658" s="10" t="str">
        <f>IF(IF(ISNA(計算結果!B658),"",計算結果!B658)=0,"",IF(ISNA(計算結果!B658),"",計算結果!B658))</f>
        <v/>
      </c>
      <c r="C658" s="10" t="str">
        <f>IF(IF(ISNA(計算結果!C658),"",計算結果!C658)=0,"",IF(ISNA(計算結果!C658),"",計算結果!C658))</f>
        <v/>
      </c>
      <c r="D658" s="10" t="str">
        <f>IF(IF(ISNA(計算結果!D658),"",計算結果!D658)=0,"",IF(ISNA(計算結果!D658),"",計算結果!D658))</f>
        <v>L</v>
      </c>
      <c r="E658" s="10" t="str">
        <f>IF(IF(ISNA(計算結果!E658),"",計算結果!E658)=0,"",IF(ISNA(計算結果!E658),"",計算結果!E658))</f>
        <v/>
      </c>
      <c r="F658" s="10" t="str">
        <f>IF(IF(ISNA(計算結果!F658),"",計算結果!F658)=0,"",IF(ISNA(計算結果!F658),"",計算結果!F658))</f>
        <v/>
      </c>
      <c r="G658" s="10" t="str">
        <f>IF(IF(ISNA(計算結果!G658),"",計算結果!G658)=0,"",IF(ISNA(計算結果!G658),"",計算結果!G658))</f>
        <v/>
      </c>
      <c r="H658" s="13">
        <f>IF(IF(ISNA(計算結果!H658),"",計算結果!H658)=0,"",IF(ISNA(計算結果!H658),"",計算結果!H658))</f>
        <v>-2</v>
      </c>
      <c r="I658" s="12" t="str">
        <f>IF(IF(ISNA(計算結果!I658),"",計算結果!I658)=0,"",IF(ISNA(計算結果!I658),"",計算結果!I658))</f>
        <v/>
      </c>
      <c r="J658" s="12" t="str">
        <f>IF(IF(ISNA(計算結果!J658),"",計算結果!J658)=0,"",IF(ISNA(計算結果!J658),"",計算結果!J658))</f>
        <v/>
      </c>
      <c r="K658" s="23" t="str">
        <f>IF(IF(ISNA(計算結果!K658),"",計算結果!K658)=0,"",IF(ISNA(計算結果!K658),"",計算結果!K658))</f>
        <v/>
      </c>
      <c r="L658" s="13" t="str">
        <f>IF(IF(ISNA(計算結果!L658),"",計算結果!L658)=0,"",IF(ISNA(計算結果!L658),"",計算結果!L658))</f>
        <v/>
      </c>
      <c r="M658" s="10" t="str">
        <f>IF(IF(ISNA(計算結果!M658),"",計算結果!M658)=0,"",IF(ISNA(計算結果!M658),"",計算結果!M658))</f>
        <v/>
      </c>
      <c r="N658" s="10" t="str">
        <f>IF(IF(ISNA(計算結果!N658),"",計算結果!N658)=0,"",IF(ISNA(計算結果!N658),"",計算結果!N658))</f>
        <v/>
      </c>
      <c r="O658" s="13" t="str">
        <f>IF(IF(ISNA(計算結果!O658),"",計算結果!O658)=0,"",IF(ISNA(計算結果!O658),"",計算結果!O658))</f>
        <v/>
      </c>
      <c r="P658" s="10" t="str">
        <f>IF(IF(ISNA(計算結果!P658),"",計算結果!P658)=0,"",IF(ISNA(計算結果!P658),"",計算結果!P658))</f>
        <v/>
      </c>
      <c r="Q658" s="10" t="str">
        <f>IF(IF(ISNA(計算結果!Q658),"",計算結果!Q658)=0,"",IF(ISNA(計算結果!Q658),"",計算結果!Q658))</f>
        <v/>
      </c>
      <c r="R658" s="14" t="str">
        <f t="shared" si="30"/>
        <v/>
      </c>
      <c r="S658" s="14" t="str">
        <f t="shared" si="31"/>
        <v>◯</v>
      </c>
      <c r="T658" s="14" t="str">
        <f t="shared" si="32"/>
        <v/>
      </c>
    </row>
    <row r="659" spans="1:20" hidden="1" x14ac:dyDescent="0.45">
      <c r="A659" s="10" t="str">
        <f>IF(IF(ISNA(計算結果!A659),"",計算結果!A659)=0,"",IF(ISNA(計算結果!A659),"",計算結果!A659))</f>
        <v/>
      </c>
      <c r="B659" s="10" t="str">
        <f>IF(IF(ISNA(計算結果!B659),"",計算結果!B659)=0,"",IF(ISNA(計算結果!B659),"",計算結果!B659))</f>
        <v/>
      </c>
      <c r="C659" s="10" t="str">
        <f>IF(IF(ISNA(計算結果!C659),"",計算結果!C659)=0,"",IF(ISNA(計算結果!C659),"",計算結果!C659))</f>
        <v/>
      </c>
      <c r="D659" s="10" t="str">
        <f>IF(IF(ISNA(計算結果!D659),"",計算結果!D659)=0,"",IF(ISNA(計算結果!D659),"",計算結果!D659))</f>
        <v>L</v>
      </c>
      <c r="E659" s="10" t="str">
        <f>IF(IF(ISNA(計算結果!E659),"",計算結果!E659)=0,"",IF(ISNA(計算結果!E659),"",計算結果!E659))</f>
        <v/>
      </c>
      <c r="F659" s="10" t="str">
        <f>IF(IF(ISNA(計算結果!F659),"",計算結果!F659)=0,"",IF(ISNA(計算結果!F659),"",計算結果!F659))</f>
        <v/>
      </c>
      <c r="G659" s="10" t="str">
        <f>IF(IF(ISNA(計算結果!G659),"",計算結果!G659)=0,"",IF(ISNA(計算結果!G659),"",計算結果!G659))</f>
        <v/>
      </c>
      <c r="H659" s="13">
        <f>IF(IF(ISNA(計算結果!H659),"",計算結果!H659)=0,"",IF(ISNA(計算結果!H659),"",計算結果!H659))</f>
        <v>-2</v>
      </c>
      <c r="I659" s="12" t="str">
        <f>IF(IF(ISNA(計算結果!I659),"",計算結果!I659)=0,"",IF(ISNA(計算結果!I659),"",計算結果!I659))</f>
        <v/>
      </c>
      <c r="J659" s="12" t="str">
        <f>IF(IF(ISNA(計算結果!J659),"",計算結果!J659)=0,"",IF(ISNA(計算結果!J659),"",計算結果!J659))</f>
        <v/>
      </c>
      <c r="K659" s="23" t="str">
        <f>IF(IF(ISNA(計算結果!K659),"",計算結果!K659)=0,"",IF(ISNA(計算結果!K659),"",計算結果!K659))</f>
        <v/>
      </c>
      <c r="L659" s="13" t="str">
        <f>IF(IF(ISNA(計算結果!L659),"",計算結果!L659)=0,"",IF(ISNA(計算結果!L659),"",計算結果!L659))</f>
        <v/>
      </c>
      <c r="M659" s="10" t="str">
        <f>IF(IF(ISNA(計算結果!M659),"",計算結果!M659)=0,"",IF(ISNA(計算結果!M659),"",計算結果!M659))</f>
        <v/>
      </c>
      <c r="N659" s="10" t="str">
        <f>IF(IF(ISNA(計算結果!N659),"",計算結果!N659)=0,"",IF(ISNA(計算結果!N659),"",計算結果!N659))</f>
        <v/>
      </c>
      <c r="O659" s="13" t="str">
        <f>IF(IF(ISNA(計算結果!O659),"",計算結果!O659)=0,"",IF(ISNA(計算結果!O659),"",計算結果!O659))</f>
        <v/>
      </c>
      <c r="P659" s="10" t="str">
        <f>IF(IF(ISNA(計算結果!P659),"",計算結果!P659)=0,"",IF(ISNA(計算結果!P659),"",計算結果!P659))</f>
        <v/>
      </c>
      <c r="Q659" s="10" t="str">
        <f>IF(IF(ISNA(計算結果!Q659),"",計算結果!Q659)=0,"",IF(ISNA(計算結果!Q659),"",計算結果!Q659))</f>
        <v/>
      </c>
      <c r="R659" s="14" t="str">
        <f t="shared" si="30"/>
        <v/>
      </c>
      <c r="S659" s="14" t="str">
        <f t="shared" si="31"/>
        <v>◯</v>
      </c>
      <c r="T659" s="14" t="str">
        <f t="shared" si="32"/>
        <v/>
      </c>
    </row>
    <row r="660" spans="1:20" hidden="1" x14ac:dyDescent="0.45">
      <c r="A660" s="10" t="str">
        <f>IF(IF(ISNA(計算結果!A660),"",計算結果!A660)=0,"",IF(ISNA(計算結果!A660),"",計算結果!A660))</f>
        <v/>
      </c>
      <c r="B660" s="10" t="str">
        <f>IF(IF(ISNA(計算結果!B660),"",計算結果!B660)=0,"",IF(ISNA(計算結果!B660),"",計算結果!B660))</f>
        <v/>
      </c>
      <c r="C660" s="10" t="str">
        <f>IF(IF(ISNA(計算結果!C660),"",計算結果!C660)=0,"",IF(ISNA(計算結果!C660),"",計算結果!C660))</f>
        <v/>
      </c>
      <c r="D660" s="10" t="str">
        <f>IF(IF(ISNA(計算結果!D660),"",計算結果!D660)=0,"",IF(ISNA(計算結果!D660),"",計算結果!D660))</f>
        <v>L</v>
      </c>
      <c r="E660" s="10" t="str">
        <f>IF(IF(ISNA(計算結果!E660),"",計算結果!E660)=0,"",IF(ISNA(計算結果!E660),"",計算結果!E660))</f>
        <v/>
      </c>
      <c r="F660" s="10" t="str">
        <f>IF(IF(ISNA(計算結果!F660),"",計算結果!F660)=0,"",IF(ISNA(計算結果!F660),"",計算結果!F660))</f>
        <v/>
      </c>
      <c r="G660" s="10" t="str">
        <f>IF(IF(ISNA(計算結果!G660),"",計算結果!G660)=0,"",IF(ISNA(計算結果!G660),"",計算結果!G660))</f>
        <v/>
      </c>
      <c r="H660" s="13">
        <f>IF(IF(ISNA(計算結果!H660),"",計算結果!H660)=0,"",IF(ISNA(計算結果!H660),"",計算結果!H660))</f>
        <v>-2</v>
      </c>
      <c r="I660" s="12" t="str">
        <f>IF(IF(ISNA(計算結果!I660),"",計算結果!I660)=0,"",IF(ISNA(計算結果!I660),"",計算結果!I660))</f>
        <v/>
      </c>
      <c r="J660" s="12" t="str">
        <f>IF(IF(ISNA(計算結果!J660),"",計算結果!J660)=0,"",IF(ISNA(計算結果!J660),"",計算結果!J660))</f>
        <v/>
      </c>
      <c r="K660" s="23" t="str">
        <f>IF(IF(ISNA(計算結果!K660),"",計算結果!K660)=0,"",IF(ISNA(計算結果!K660),"",計算結果!K660))</f>
        <v/>
      </c>
      <c r="L660" s="13" t="str">
        <f>IF(IF(ISNA(計算結果!L660),"",計算結果!L660)=0,"",IF(ISNA(計算結果!L660),"",計算結果!L660))</f>
        <v/>
      </c>
      <c r="M660" s="10" t="str">
        <f>IF(IF(ISNA(計算結果!M660),"",計算結果!M660)=0,"",IF(ISNA(計算結果!M660),"",計算結果!M660))</f>
        <v/>
      </c>
      <c r="N660" s="10" t="str">
        <f>IF(IF(ISNA(計算結果!N660),"",計算結果!N660)=0,"",IF(ISNA(計算結果!N660),"",計算結果!N660))</f>
        <v/>
      </c>
      <c r="O660" s="13" t="str">
        <f>IF(IF(ISNA(計算結果!O660),"",計算結果!O660)=0,"",IF(ISNA(計算結果!O660),"",計算結果!O660))</f>
        <v/>
      </c>
      <c r="P660" s="10" t="str">
        <f>IF(IF(ISNA(計算結果!P660),"",計算結果!P660)=0,"",IF(ISNA(計算結果!P660),"",計算結果!P660))</f>
        <v/>
      </c>
      <c r="Q660" s="10" t="str">
        <f>IF(IF(ISNA(計算結果!Q660),"",計算結果!Q660)=0,"",IF(ISNA(計算結果!Q660),"",計算結果!Q660))</f>
        <v/>
      </c>
      <c r="R660" s="14" t="str">
        <f t="shared" si="30"/>
        <v/>
      </c>
      <c r="S660" s="14" t="str">
        <f t="shared" si="31"/>
        <v>◯</v>
      </c>
      <c r="T660" s="14" t="str">
        <f t="shared" si="32"/>
        <v/>
      </c>
    </row>
    <row r="661" spans="1:20" hidden="1" x14ac:dyDescent="0.45">
      <c r="A661" s="10" t="str">
        <f>IF(IF(ISNA(計算結果!A661),"",計算結果!A661)=0,"",IF(ISNA(計算結果!A661),"",計算結果!A661))</f>
        <v/>
      </c>
      <c r="B661" s="10" t="str">
        <f>IF(IF(ISNA(計算結果!B661),"",計算結果!B661)=0,"",IF(ISNA(計算結果!B661),"",計算結果!B661))</f>
        <v/>
      </c>
      <c r="C661" s="10" t="str">
        <f>IF(IF(ISNA(計算結果!C661),"",計算結果!C661)=0,"",IF(ISNA(計算結果!C661),"",計算結果!C661))</f>
        <v/>
      </c>
      <c r="D661" s="10" t="str">
        <f>IF(IF(ISNA(計算結果!D661),"",計算結果!D661)=0,"",IF(ISNA(計算結果!D661),"",計算結果!D661))</f>
        <v>L</v>
      </c>
      <c r="E661" s="10" t="str">
        <f>IF(IF(ISNA(計算結果!E661),"",計算結果!E661)=0,"",IF(ISNA(計算結果!E661),"",計算結果!E661))</f>
        <v/>
      </c>
      <c r="F661" s="10" t="str">
        <f>IF(IF(ISNA(計算結果!F661),"",計算結果!F661)=0,"",IF(ISNA(計算結果!F661),"",計算結果!F661))</f>
        <v/>
      </c>
      <c r="G661" s="10" t="str">
        <f>IF(IF(ISNA(計算結果!G661),"",計算結果!G661)=0,"",IF(ISNA(計算結果!G661),"",計算結果!G661))</f>
        <v/>
      </c>
      <c r="H661" s="13">
        <f>IF(IF(ISNA(計算結果!H661),"",計算結果!H661)=0,"",IF(ISNA(計算結果!H661),"",計算結果!H661))</f>
        <v>-2</v>
      </c>
      <c r="I661" s="12" t="str">
        <f>IF(IF(ISNA(計算結果!I661),"",計算結果!I661)=0,"",IF(ISNA(計算結果!I661),"",計算結果!I661))</f>
        <v/>
      </c>
      <c r="J661" s="12" t="str">
        <f>IF(IF(ISNA(計算結果!J661),"",計算結果!J661)=0,"",IF(ISNA(計算結果!J661),"",計算結果!J661))</f>
        <v/>
      </c>
      <c r="K661" s="23" t="str">
        <f>IF(IF(ISNA(計算結果!K661),"",計算結果!K661)=0,"",IF(ISNA(計算結果!K661),"",計算結果!K661))</f>
        <v/>
      </c>
      <c r="L661" s="13" t="str">
        <f>IF(IF(ISNA(計算結果!L661),"",計算結果!L661)=0,"",IF(ISNA(計算結果!L661),"",計算結果!L661))</f>
        <v/>
      </c>
      <c r="M661" s="10" t="str">
        <f>IF(IF(ISNA(計算結果!M661),"",計算結果!M661)=0,"",IF(ISNA(計算結果!M661),"",計算結果!M661))</f>
        <v/>
      </c>
      <c r="N661" s="10" t="str">
        <f>IF(IF(ISNA(計算結果!N661),"",計算結果!N661)=0,"",IF(ISNA(計算結果!N661),"",計算結果!N661))</f>
        <v/>
      </c>
      <c r="O661" s="13" t="str">
        <f>IF(IF(ISNA(計算結果!O661),"",計算結果!O661)=0,"",IF(ISNA(計算結果!O661),"",計算結果!O661))</f>
        <v/>
      </c>
      <c r="P661" s="10" t="str">
        <f>IF(IF(ISNA(計算結果!P661),"",計算結果!P661)=0,"",IF(ISNA(計算結果!P661),"",計算結果!P661))</f>
        <v/>
      </c>
      <c r="Q661" s="10" t="str">
        <f>IF(IF(ISNA(計算結果!Q661),"",計算結果!Q661)=0,"",IF(ISNA(計算結果!Q661),"",計算結果!Q661))</f>
        <v/>
      </c>
      <c r="R661" s="14" t="str">
        <f t="shared" si="30"/>
        <v/>
      </c>
      <c r="S661" s="14" t="str">
        <f t="shared" si="31"/>
        <v>◯</v>
      </c>
      <c r="T661" s="14" t="str">
        <f t="shared" si="32"/>
        <v/>
      </c>
    </row>
    <row r="662" spans="1:20" hidden="1" x14ac:dyDescent="0.45">
      <c r="A662" s="10" t="str">
        <f>IF(IF(ISNA(計算結果!A662),"",計算結果!A662)=0,"",IF(ISNA(計算結果!A662),"",計算結果!A662))</f>
        <v/>
      </c>
      <c r="B662" s="10" t="str">
        <f>IF(IF(ISNA(計算結果!B662),"",計算結果!B662)=0,"",IF(ISNA(計算結果!B662),"",計算結果!B662))</f>
        <v/>
      </c>
      <c r="C662" s="10" t="str">
        <f>IF(IF(ISNA(計算結果!C662),"",計算結果!C662)=0,"",IF(ISNA(計算結果!C662),"",計算結果!C662))</f>
        <v/>
      </c>
      <c r="D662" s="10" t="str">
        <f>IF(IF(ISNA(計算結果!D662),"",計算結果!D662)=0,"",IF(ISNA(計算結果!D662),"",計算結果!D662))</f>
        <v>L</v>
      </c>
      <c r="E662" s="10" t="str">
        <f>IF(IF(ISNA(計算結果!E662),"",計算結果!E662)=0,"",IF(ISNA(計算結果!E662),"",計算結果!E662))</f>
        <v/>
      </c>
      <c r="F662" s="10" t="str">
        <f>IF(IF(ISNA(計算結果!F662),"",計算結果!F662)=0,"",IF(ISNA(計算結果!F662),"",計算結果!F662))</f>
        <v/>
      </c>
      <c r="G662" s="10" t="str">
        <f>IF(IF(ISNA(計算結果!G662),"",計算結果!G662)=0,"",IF(ISNA(計算結果!G662),"",計算結果!G662))</f>
        <v/>
      </c>
      <c r="H662" s="13">
        <f>IF(IF(ISNA(計算結果!H662),"",計算結果!H662)=0,"",IF(ISNA(計算結果!H662),"",計算結果!H662))</f>
        <v>-2</v>
      </c>
      <c r="I662" s="12" t="str">
        <f>IF(IF(ISNA(計算結果!I662),"",計算結果!I662)=0,"",IF(ISNA(計算結果!I662),"",計算結果!I662))</f>
        <v/>
      </c>
      <c r="J662" s="12" t="str">
        <f>IF(IF(ISNA(計算結果!J662),"",計算結果!J662)=0,"",IF(ISNA(計算結果!J662),"",計算結果!J662))</f>
        <v/>
      </c>
      <c r="K662" s="23" t="str">
        <f>IF(IF(ISNA(計算結果!K662),"",計算結果!K662)=0,"",IF(ISNA(計算結果!K662),"",計算結果!K662))</f>
        <v/>
      </c>
      <c r="L662" s="13" t="str">
        <f>IF(IF(ISNA(計算結果!L662),"",計算結果!L662)=0,"",IF(ISNA(計算結果!L662),"",計算結果!L662))</f>
        <v/>
      </c>
      <c r="M662" s="10" t="str">
        <f>IF(IF(ISNA(計算結果!M662),"",計算結果!M662)=0,"",IF(ISNA(計算結果!M662),"",計算結果!M662))</f>
        <v/>
      </c>
      <c r="N662" s="10" t="str">
        <f>IF(IF(ISNA(計算結果!N662),"",計算結果!N662)=0,"",IF(ISNA(計算結果!N662),"",計算結果!N662))</f>
        <v/>
      </c>
      <c r="O662" s="13" t="str">
        <f>IF(IF(ISNA(計算結果!O662),"",計算結果!O662)=0,"",IF(ISNA(計算結果!O662),"",計算結果!O662))</f>
        <v/>
      </c>
      <c r="P662" s="10" t="str">
        <f>IF(IF(ISNA(計算結果!P662),"",計算結果!P662)=0,"",IF(ISNA(計算結果!P662),"",計算結果!P662))</f>
        <v/>
      </c>
      <c r="Q662" s="10" t="str">
        <f>IF(IF(ISNA(計算結果!Q662),"",計算結果!Q662)=0,"",IF(ISNA(計算結果!Q662),"",計算結果!Q662))</f>
        <v/>
      </c>
      <c r="R662" s="14" t="str">
        <f t="shared" si="30"/>
        <v/>
      </c>
      <c r="S662" s="14" t="str">
        <f t="shared" si="31"/>
        <v>◯</v>
      </c>
      <c r="T662" s="14" t="str">
        <f t="shared" si="32"/>
        <v/>
      </c>
    </row>
    <row r="663" spans="1:20" hidden="1" x14ac:dyDescent="0.45">
      <c r="A663" s="10" t="str">
        <f>IF(IF(ISNA(計算結果!A663),"",計算結果!A663)=0,"",IF(ISNA(計算結果!A663),"",計算結果!A663))</f>
        <v/>
      </c>
      <c r="B663" s="10" t="str">
        <f>IF(IF(ISNA(計算結果!B663),"",計算結果!B663)=0,"",IF(ISNA(計算結果!B663),"",計算結果!B663))</f>
        <v/>
      </c>
      <c r="C663" s="10" t="str">
        <f>IF(IF(ISNA(計算結果!C663),"",計算結果!C663)=0,"",IF(ISNA(計算結果!C663),"",計算結果!C663))</f>
        <v/>
      </c>
      <c r="D663" s="10" t="str">
        <f>IF(IF(ISNA(計算結果!D663),"",計算結果!D663)=0,"",IF(ISNA(計算結果!D663),"",計算結果!D663))</f>
        <v>L</v>
      </c>
      <c r="E663" s="10" t="str">
        <f>IF(IF(ISNA(計算結果!E663),"",計算結果!E663)=0,"",IF(ISNA(計算結果!E663),"",計算結果!E663))</f>
        <v/>
      </c>
      <c r="F663" s="10" t="str">
        <f>IF(IF(ISNA(計算結果!F663),"",計算結果!F663)=0,"",IF(ISNA(計算結果!F663),"",計算結果!F663))</f>
        <v/>
      </c>
      <c r="G663" s="10" t="str">
        <f>IF(IF(ISNA(計算結果!G663),"",計算結果!G663)=0,"",IF(ISNA(計算結果!G663),"",計算結果!G663))</f>
        <v/>
      </c>
      <c r="H663" s="13">
        <f>IF(IF(ISNA(計算結果!H663),"",計算結果!H663)=0,"",IF(ISNA(計算結果!H663),"",計算結果!H663))</f>
        <v>-2</v>
      </c>
      <c r="I663" s="12" t="str">
        <f>IF(IF(ISNA(計算結果!I663),"",計算結果!I663)=0,"",IF(ISNA(計算結果!I663),"",計算結果!I663))</f>
        <v/>
      </c>
      <c r="J663" s="12" t="str">
        <f>IF(IF(ISNA(計算結果!J663),"",計算結果!J663)=0,"",IF(ISNA(計算結果!J663),"",計算結果!J663))</f>
        <v/>
      </c>
      <c r="K663" s="23" t="str">
        <f>IF(IF(ISNA(計算結果!K663),"",計算結果!K663)=0,"",IF(ISNA(計算結果!K663),"",計算結果!K663))</f>
        <v/>
      </c>
      <c r="L663" s="13" t="str">
        <f>IF(IF(ISNA(計算結果!L663),"",計算結果!L663)=0,"",IF(ISNA(計算結果!L663),"",計算結果!L663))</f>
        <v/>
      </c>
      <c r="M663" s="10" t="str">
        <f>IF(IF(ISNA(計算結果!M663),"",計算結果!M663)=0,"",IF(ISNA(計算結果!M663),"",計算結果!M663))</f>
        <v/>
      </c>
      <c r="N663" s="10" t="str">
        <f>IF(IF(ISNA(計算結果!N663),"",計算結果!N663)=0,"",IF(ISNA(計算結果!N663),"",計算結果!N663))</f>
        <v/>
      </c>
      <c r="O663" s="13" t="str">
        <f>IF(IF(ISNA(計算結果!O663),"",計算結果!O663)=0,"",IF(ISNA(計算結果!O663),"",計算結果!O663))</f>
        <v/>
      </c>
      <c r="P663" s="10" t="str">
        <f>IF(IF(ISNA(計算結果!P663),"",計算結果!P663)=0,"",IF(ISNA(計算結果!P663),"",計算結果!P663))</f>
        <v/>
      </c>
      <c r="Q663" s="10" t="str">
        <f>IF(IF(ISNA(計算結果!Q663),"",計算結果!Q663)=0,"",IF(ISNA(計算結果!Q663),"",計算結果!Q663))</f>
        <v/>
      </c>
      <c r="R663" s="14" t="str">
        <f t="shared" si="30"/>
        <v/>
      </c>
      <c r="S663" s="14" t="str">
        <f t="shared" si="31"/>
        <v>◯</v>
      </c>
      <c r="T663" s="14" t="str">
        <f t="shared" si="32"/>
        <v/>
      </c>
    </row>
    <row r="664" spans="1:20" hidden="1" x14ac:dyDescent="0.45">
      <c r="A664" s="10" t="str">
        <f>IF(IF(ISNA(計算結果!A664),"",計算結果!A664)=0,"",IF(ISNA(計算結果!A664),"",計算結果!A664))</f>
        <v/>
      </c>
      <c r="B664" s="10" t="str">
        <f>IF(IF(ISNA(計算結果!B664),"",計算結果!B664)=0,"",IF(ISNA(計算結果!B664),"",計算結果!B664))</f>
        <v/>
      </c>
      <c r="C664" s="10" t="str">
        <f>IF(IF(ISNA(計算結果!C664),"",計算結果!C664)=0,"",IF(ISNA(計算結果!C664),"",計算結果!C664))</f>
        <v/>
      </c>
      <c r="D664" s="10" t="str">
        <f>IF(IF(ISNA(計算結果!D664),"",計算結果!D664)=0,"",IF(ISNA(計算結果!D664),"",計算結果!D664))</f>
        <v>L</v>
      </c>
      <c r="E664" s="10" t="str">
        <f>IF(IF(ISNA(計算結果!E664),"",計算結果!E664)=0,"",IF(ISNA(計算結果!E664),"",計算結果!E664))</f>
        <v/>
      </c>
      <c r="F664" s="10" t="str">
        <f>IF(IF(ISNA(計算結果!F664),"",計算結果!F664)=0,"",IF(ISNA(計算結果!F664),"",計算結果!F664))</f>
        <v/>
      </c>
      <c r="G664" s="10" t="str">
        <f>IF(IF(ISNA(計算結果!G664),"",計算結果!G664)=0,"",IF(ISNA(計算結果!G664),"",計算結果!G664))</f>
        <v/>
      </c>
      <c r="H664" s="13">
        <f>IF(IF(ISNA(計算結果!H664),"",計算結果!H664)=0,"",IF(ISNA(計算結果!H664),"",計算結果!H664))</f>
        <v>-2</v>
      </c>
      <c r="I664" s="12" t="str">
        <f>IF(IF(ISNA(計算結果!I664),"",計算結果!I664)=0,"",IF(ISNA(計算結果!I664),"",計算結果!I664))</f>
        <v/>
      </c>
      <c r="J664" s="12" t="str">
        <f>IF(IF(ISNA(計算結果!J664),"",計算結果!J664)=0,"",IF(ISNA(計算結果!J664),"",計算結果!J664))</f>
        <v/>
      </c>
      <c r="K664" s="23" t="str">
        <f>IF(IF(ISNA(計算結果!K664),"",計算結果!K664)=0,"",IF(ISNA(計算結果!K664),"",計算結果!K664))</f>
        <v/>
      </c>
      <c r="L664" s="13" t="str">
        <f>IF(IF(ISNA(計算結果!L664),"",計算結果!L664)=0,"",IF(ISNA(計算結果!L664),"",計算結果!L664))</f>
        <v/>
      </c>
      <c r="M664" s="10" t="str">
        <f>IF(IF(ISNA(計算結果!M664),"",計算結果!M664)=0,"",IF(ISNA(計算結果!M664),"",計算結果!M664))</f>
        <v/>
      </c>
      <c r="N664" s="10" t="str">
        <f>IF(IF(ISNA(計算結果!N664),"",計算結果!N664)=0,"",IF(ISNA(計算結果!N664),"",計算結果!N664))</f>
        <v/>
      </c>
      <c r="O664" s="13" t="str">
        <f>IF(IF(ISNA(計算結果!O664),"",計算結果!O664)=0,"",IF(ISNA(計算結果!O664),"",計算結果!O664))</f>
        <v/>
      </c>
      <c r="P664" s="10" t="str">
        <f>IF(IF(ISNA(計算結果!P664),"",計算結果!P664)=0,"",IF(ISNA(計算結果!P664),"",計算結果!P664))</f>
        <v/>
      </c>
      <c r="Q664" s="10" t="str">
        <f>IF(IF(ISNA(計算結果!Q664),"",計算結果!Q664)=0,"",IF(ISNA(計算結果!Q664),"",計算結果!Q664))</f>
        <v/>
      </c>
      <c r="R664" s="14" t="str">
        <f t="shared" si="30"/>
        <v/>
      </c>
      <c r="S664" s="14" t="str">
        <f t="shared" si="31"/>
        <v>◯</v>
      </c>
      <c r="T664" s="14" t="str">
        <f t="shared" si="32"/>
        <v/>
      </c>
    </row>
    <row r="665" spans="1:20" hidden="1" x14ac:dyDescent="0.45">
      <c r="A665" s="10" t="str">
        <f>IF(IF(ISNA(計算結果!A665),"",計算結果!A665)=0,"",IF(ISNA(計算結果!A665),"",計算結果!A665))</f>
        <v/>
      </c>
      <c r="B665" s="10" t="str">
        <f>IF(IF(ISNA(計算結果!B665),"",計算結果!B665)=0,"",IF(ISNA(計算結果!B665),"",計算結果!B665))</f>
        <v/>
      </c>
      <c r="C665" s="10" t="str">
        <f>IF(IF(ISNA(計算結果!C665),"",計算結果!C665)=0,"",IF(ISNA(計算結果!C665),"",計算結果!C665))</f>
        <v/>
      </c>
      <c r="D665" s="10" t="str">
        <f>IF(IF(ISNA(計算結果!D665),"",計算結果!D665)=0,"",IF(ISNA(計算結果!D665),"",計算結果!D665))</f>
        <v>L</v>
      </c>
      <c r="E665" s="10" t="str">
        <f>IF(IF(ISNA(計算結果!E665),"",計算結果!E665)=0,"",IF(ISNA(計算結果!E665),"",計算結果!E665))</f>
        <v/>
      </c>
      <c r="F665" s="10" t="str">
        <f>IF(IF(ISNA(計算結果!F665),"",計算結果!F665)=0,"",IF(ISNA(計算結果!F665),"",計算結果!F665))</f>
        <v/>
      </c>
      <c r="G665" s="10" t="str">
        <f>IF(IF(ISNA(計算結果!G665),"",計算結果!G665)=0,"",IF(ISNA(計算結果!G665),"",計算結果!G665))</f>
        <v/>
      </c>
      <c r="H665" s="13">
        <f>IF(IF(ISNA(計算結果!H665),"",計算結果!H665)=0,"",IF(ISNA(計算結果!H665),"",計算結果!H665))</f>
        <v>-2</v>
      </c>
      <c r="I665" s="12" t="str">
        <f>IF(IF(ISNA(計算結果!I665),"",計算結果!I665)=0,"",IF(ISNA(計算結果!I665),"",計算結果!I665))</f>
        <v/>
      </c>
      <c r="J665" s="12" t="str">
        <f>IF(IF(ISNA(計算結果!J665),"",計算結果!J665)=0,"",IF(ISNA(計算結果!J665),"",計算結果!J665))</f>
        <v/>
      </c>
      <c r="K665" s="23" t="str">
        <f>IF(IF(ISNA(計算結果!K665),"",計算結果!K665)=0,"",IF(ISNA(計算結果!K665),"",計算結果!K665))</f>
        <v/>
      </c>
      <c r="L665" s="13" t="str">
        <f>IF(IF(ISNA(計算結果!L665),"",計算結果!L665)=0,"",IF(ISNA(計算結果!L665),"",計算結果!L665))</f>
        <v/>
      </c>
      <c r="M665" s="10" t="str">
        <f>IF(IF(ISNA(計算結果!M665),"",計算結果!M665)=0,"",IF(ISNA(計算結果!M665),"",計算結果!M665))</f>
        <v/>
      </c>
      <c r="N665" s="10" t="str">
        <f>IF(IF(ISNA(計算結果!N665),"",計算結果!N665)=0,"",IF(ISNA(計算結果!N665),"",計算結果!N665))</f>
        <v/>
      </c>
      <c r="O665" s="13" t="str">
        <f>IF(IF(ISNA(計算結果!O665),"",計算結果!O665)=0,"",IF(ISNA(計算結果!O665),"",計算結果!O665))</f>
        <v/>
      </c>
      <c r="P665" s="10" t="str">
        <f>IF(IF(ISNA(計算結果!P665),"",計算結果!P665)=0,"",IF(ISNA(計算結果!P665),"",計算結果!P665))</f>
        <v/>
      </c>
      <c r="Q665" s="10" t="str">
        <f>IF(IF(ISNA(計算結果!Q665),"",計算結果!Q665)=0,"",IF(ISNA(計算結果!Q665),"",計算結果!Q665))</f>
        <v/>
      </c>
      <c r="R665" s="14" t="str">
        <f t="shared" si="30"/>
        <v/>
      </c>
      <c r="S665" s="14" t="str">
        <f t="shared" si="31"/>
        <v>◯</v>
      </c>
      <c r="T665" s="14" t="str">
        <f t="shared" si="32"/>
        <v/>
      </c>
    </row>
    <row r="666" spans="1:20" hidden="1" x14ac:dyDescent="0.45">
      <c r="A666" s="10" t="str">
        <f>IF(IF(ISNA(計算結果!A666),"",計算結果!A666)=0,"",IF(ISNA(計算結果!A666),"",計算結果!A666))</f>
        <v/>
      </c>
      <c r="B666" s="10" t="str">
        <f>IF(IF(ISNA(計算結果!B666),"",計算結果!B666)=0,"",IF(ISNA(計算結果!B666),"",計算結果!B666))</f>
        <v/>
      </c>
      <c r="C666" s="10" t="str">
        <f>IF(IF(ISNA(計算結果!C666),"",計算結果!C666)=0,"",IF(ISNA(計算結果!C666),"",計算結果!C666))</f>
        <v/>
      </c>
      <c r="D666" s="10" t="str">
        <f>IF(IF(ISNA(計算結果!D666),"",計算結果!D666)=0,"",IF(ISNA(計算結果!D666),"",計算結果!D666))</f>
        <v>L</v>
      </c>
      <c r="E666" s="10" t="str">
        <f>IF(IF(ISNA(計算結果!E666),"",計算結果!E666)=0,"",IF(ISNA(計算結果!E666),"",計算結果!E666))</f>
        <v/>
      </c>
      <c r="F666" s="10" t="str">
        <f>IF(IF(ISNA(計算結果!F666),"",計算結果!F666)=0,"",IF(ISNA(計算結果!F666),"",計算結果!F666))</f>
        <v/>
      </c>
      <c r="G666" s="10" t="str">
        <f>IF(IF(ISNA(計算結果!G666),"",計算結果!G666)=0,"",IF(ISNA(計算結果!G666),"",計算結果!G666))</f>
        <v/>
      </c>
      <c r="H666" s="13">
        <f>IF(IF(ISNA(計算結果!H666),"",計算結果!H666)=0,"",IF(ISNA(計算結果!H666),"",計算結果!H666))</f>
        <v>-2</v>
      </c>
      <c r="I666" s="12" t="str">
        <f>IF(IF(ISNA(計算結果!I666),"",計算結果!I666)=0,"",IF(ISNA(計算結果!I666),"",計算結果!I666))</f>
        <v/>
      </c>
      <c r="J666" s="12" t="str">
        <f>IF(IF(ISNA(計算結果!J666),"",計算結果!J666)=0,"",IF(ISNA(計算結果!J666),"",計算結果!J666))</f>
        <v/>
      </c>
      <c r="K666" s="23" t="str">
        <f>IF(IF(ISNA(計算結果!K666),"",計算結果!K666)=0,"",IF(ISNA(計算結果!K666),"",計算結果!K666))</f>
        <v/>
      </c>
      <c r="L666" s="13" t="str">
        <f>IF(IF(ISNA(計算結果!L666),"",計算結果!L666)=0,"",IF(ISNA(計算結果!L666),"",計算結果!L666))</f>
        <v/>
      </c>
      <c r="M666" s="10" t="str">
        <f>IF(IF(ISNA(計算結果!M666),"",計算結果!M666)=0,"",IF(ISNA(計算結果!M666),"",計算結果!M666))</f>
        <v/>
      </c>
      <c r="N666" s="10" t="str">
        <f>IF(IF(ISNA(計算結果!N666),"",計算結果!N666)=0,"",IF(ISNA(計算結果!N666),"",計算結果!N666))</f>
        <v/>
      </c>
      <c r="O666" s="13" t="str">
        <f>IF(IF(ISNA(計算結果!O666),"",計算結果!O666)=0,"",IF(ISNA(計算結果!O666),"",計算結果!O666))</f>
        <v/>
      </c>
      <c r="P666" s="10" t="str">
        <f>IF(IF(ISNA(計算結果!P666),"",計算結果!P666)=0,"",IF(ISNA(計算結果!P666),"",計算結果!P666))</f>
        <v/>
      </c>
      <c r="Q666" s="10" t="str">
        <f>IF(IF(ISNA(計算結果!Q666),"",計算結果!Q666)=0,"",IF(ISNA(計算結果!Q666),"",計算結果!Q666))</f>
        <v/>
      </c>
      <c r="R666" s="14" t="str">
        <f t="shared" si="30"/>
        <v/>
      </c>
      <c r="S666" s="14" t="str">
        <f t="shared" si="31"/>
        <v>◯</v>
      </c>
      <c r="T666" s="14" t="str">
        <f t="shared" si="32"/>
        <v/>
      </c>
    </row>
    <row r="667" spans="1:20" hidden="1" x14ac:dyDescent="0.45">
      <c r="A667" s="10" t="str">
        <f>IF(IF(ISNA(計算結果!A667),"",計算結果!A667)=0,"",IF(ISNA(計算結果!A667),"",計算結果!A667))</f>
        <v/>
      </c>
      <c r="B667" s="10" t="str">
        <f>IF(IF(ISNA(計算結果!B667),"",計算結果!B667)=0,"",IF(ISNA(計算結果!B667),"",計算結果!B667))</f>
        <v/>
      </c>
      <c r="C667" s="10" t="str">
        <f>IF(IF(ISNA(計算結果!C667),"",計算結果!C667)=0,"",IF(ISNA(計算結果!C667),"",計算結果!C667))</f>
        <v/>
      </c>
      <c r="D667" s="10" t="str">
        <f>IF(IF(ISNA(計算結果!D667),"",計算結果!D667)=0,"",IF(ISNA(計算結果!D667),"",計算結果!D667))</f>
        <v>L</v>
      </c>
      <c r="E667" s="10" t="str">
        <f>IF(IF(ISNA(計算結果!E667),"",計算結果!E667)=0,"",IF(ISNA(計算結果!E667),"",計算結果!E667))</f>
        <v/>
      </c>
      <c r="F667" s="10" t="str">
        <f>IF(IF(ISNA(計算結果!F667),"",計算結果!F667)=0,"",IF(ISNA(計算結果!F667),"",計算結果!F667))</f>
        <v/>
      </c>
      <c r="G667" s="10" t="str">
        <f>IF(IF(ISNA(計算結果!G667),"",計算結果!G667)=0,"",IF(ISNA(計算結果!G667),"",計算結果!G667))</f>
        <v/>
      </c>
      <c r="H667" s="13">
        <f>IF(IF(ISNA(計算結果!H667),"",計算結果!H667)=0,"",IF(ISNA(計算結果!H667),"",計算結果!H667))</f>
        <v>-2</v>
      </c>
      <c r="I667" s="12" t="str">
        <f>IF(IF(ISNA(計算結果!I667),"",計算結果!I667)=0,"",IF(ISNA(計算結果!I667),"",計算結果!I667))</f>
        <v/>
      </c>
      <c r="J667" s="12" t="str">
        <f>IF(IF(ISNA(計算結果!J667),"",計算結果!J667)=0,"",IF(ISNA(計算結果!J667),"",計算結果!J667))</f>
        <v/>
      </c>
      <c r="K667" s="23" t="str">
        <f>IF(IF(ISNA(計算結果!K667),"",計算結果!K667)=0,"",IF(ISNA(計算結果!K667),"",計算結果!K667))</f>
        <v/>
      </c>
      <c r="L667" s="13" t="str">
        <f>IF(IF(ISNA(計算結果!L667),"",計算結果!L667)=0,"",IF(ISNA(計算結果!L667),"",計算結果!L667))</f>
        <v/>
      </c>
      <c r="M667" s="10" t="str">
        <f>IF(IF(ISNA(計算結果!M667),"",計算結果!M667)=0,"",IF(ISNA(計算結果!M667),"",計算結果!M667))</f>
        <v/>
      </c>
      <c r="N667" s="10" t="str">
        <f>IF(IF(ISNA(計算結果!N667),"",計算結果!N667)=0,"",IF(ISNA(計算結果!N667),"",計算結果!N667))</f>
        <v/>
      </c>
      <c r="O667" s="13" t="str">
        <f>IF(IF(ISNA(計算結果!O667),"",計算結果!O667)=0,"",IF(ISNA(計算結果!O667),"",計算結果!O667))</f>
        <v/>
      </c>
      <c r="P667" s="10" t="str">
        <f>IF(IF(ISNA(計算結果!P667),"",計算結果!P667)=0,"",IF(ISNA(計算結果!P667),"",計算結果!P667))</f>
        <v/>
      </c>
      <c r="Q667" s="10" t="str">
        <f>IF(IF(ISNA(計算結果!Q667),"",計算結果!Q667)=0,"",IF(ISNA(計算結果!Q667),"",計算結果!Q667))</f>
        <v/>
      </c>
      <c r="R667" s="14" t="str">
        <f t="shared" si="30"/>
        <v/>
      </c>
      <c r="S667" s="14" t="str">
        <f t="shared" si="31"/>
        <v>◯</v>
      </c>
      <c r="T667" s="14" t="str">
        <f t="shared" si="32"/>
        <v/>
      </c>
    </row>
    <row r="668" spans="1:20" hidden="1" x14ac:dyDescent="0.45">
      <c r="A668" s="10" t="str">
        <f>IF(IF(ISNA(計算結果!A668),"",計算結果!A668)=0,"",IF(ISNA(計算結果!A668),"",計算結果!A668))</f>
        <v/>
      </c>
      <c r="B668" s="10" t="str">
        <f>IF(IF(ISNA(計算結果!B668),"",計算結果!B668)=0,"",IF(ISNA(計算結果!B668),"",計算結果!B668))</f>
        <v/>
      </c>
      <c r="C668" s="10" t="str">
        <f>IF(IF(ISNA(計算結果!C668),"",計算結果!C668)=0,"",IF(ISNA(計算結果!C668),"",計算結果!C668))</f>
        <v/>
      </c>
      <c r="D668" s="10" t="str">
        <f>IF(IF(ISNA(計算結果!D668),"",計算結果!D668)=0,"",IF(ISNA(計算結果!D668),"",計算結果!D668))</f>
        <v>L</v>
      </c>
      <c r="E668" s="10" t="str">
        <f>IF(IF(ISNA(計算結果!E668),"",計算結果!E668)=0,"",IF(ISNA(計算結果!E668),"",計算結果!E668))</f>
        <v/>
      </c>
      <c r="F668" s="10" t="str">
        <f>IF(IF(ISNA(計算結果!F668),"",計算結果!F668)=0,"",IF(ISNA(計算結果!F668),"",計算結果!F668))</f>
        <v/>
      </c>
      <c r="G668" s="10" t="str">
        <f>IF(IF(ISNA(計算結果!G668),"",計算結果!G668)=0,"",IF(ISNA(計算結果!G668),"",計算結果!G668))</f>
        <v/>
      </c>
      <c r="H668" s="13">
        <f>IF(IF(ISNA(計算結果!H668),"",計算結果!H668)=0,"",IF(ISNA(計算結果!H668),"",計算結果!H668))</f>
        <v>-2</v>
      </c>
      <c r="I668" s="12" t="str">
        <f>IF(IF(ISNA(計算結果!I668),"",計算結果!I668)=0,"",IF(ISNA(計算結果!I668),"",計算結果!I668))</f>
        <v/>
      </c>
      <c r="J668" s="12" t="str">
        <f>IF(IF(ISNA(計算結果!J668),"",計算結果!J668)=0,"",IF(ISNA(計算結果!J668),"",計算結果!J668))</f>
        <v/>
      </c>
      <c r="K668" s="23" t="str">
        <f>IF(IF(ISNA(計算結果!K668),"",計算結果!K668)=0,"",IF(ISNA(計算結果!K668),"",計算結果!K668))</f>
        <v/>
      </c>
      <c r="L668" s="13" t="str">
        <f>IF(IF(ISNA(計算結果!L668),"",計算結果!L668)=0,"",IF(ISNA(計算結果!L668),"",計算結果!L668))</f>
        <v/>
      </c>
      <c r="M668" s="10" t="str">
        <f>IF(IF(ISNA(計算結果!M668),"",計算結果!M668)=0,"",IF(ISNA(計算結果!M668),"",計算結果!M668))</f>
        <v/>
      </c>
      <c r="N668" s="10" t="str">
        <f>IF(IF(ISNA(計算結果!N668),"",計算結果!N668)=0,"",IF(ISNA(計算結果!N668),"",計算結果!N668))</f>
        <v/>
      </c>
      <c r="O668" s="13" t="str">
        <f>IF(IF(ISNA(計算結果!O668),"",計算結果!O668)=0,"",IF(ISNA(計算結果!O668),"",計算結果!O668))</f>
        <v/>
      </c>
      <c r="P668" s="10" t="str">
        <f>IF(IF(ISNA(計算結果!P668),"",計算結果!P668)=0,"",IF(ISNA(計算結果!P668),"",計算結果!P668))</f>
        <v/>
      </c>
      <c r="Q668" s="10" t="str">
        <f>IF(IF(ISNA(計算結果!Q668),"",計算結果!Q668)=0,"",IF(ISNA(計算結果!Q668),"",計算結果!Q668))</f>
        <v/>
      </c>
      <c r="R668" s="14" t="str">
        <f t="shared" si="30"/>
        <v/>
      </c>
      <c r="S668" s="14" t="str">
        <f t="shared" si="31"/>
        <v>◯</v>
      </c>
      <c r="T668" s="14" t="str">
        <f t="shared" si="32"/>
        <v/>
      </c>
    </row>
    <row r="669" spans="1:20" hidden="1" x14ac:dyDescent="0.45">
      <c r="A669" s="10" t="str">
        <f>IF(IF(ISNA(計算結果!A669),"",計算結果!A669)=0,"",IF(ISNA(計算結果!A669),"",計算結果!A669))</f>
        <v/>
      </c>
      <c r="B669" s="10" t="str">
        <f>IF(IF(ISNA(計算結果!B669),"",計算結果!B669)=0,"",IF(ISNA(計算結果!B669),"",計算結果!B669))</f>
        <v/>
      </c>
      <c r="C669" s="10" t="str">
        <f>IF(IF(ISNA(計算結果!C669),"",計算結果!C669)=0,"",IF(ISNA(計算結果!C669),"",計算結果!C669))</f>
        <v/>
      </c>
      <c r="D669" s="10" t="str">
        <f>IF(IF(ISNA(計算結果!D669),"",計算結果!D669)=0,"",IF(ISNA(計算結果!D669),"",計算結果!D669))</f>
        <v>L</v>
      </c>
      <c r="E669" s="10" t="str">
        <f>IF(IF(ISNA(計算結果!E669),"",計算結果!E669)=0,"",IF(ISNA(計算結果!E669),"",計算結果!E669))</f>
        <v/>
      </c>
      <c r="F669" s="10" t="str">
        <f>IF(IF(ISNA(計算結果!F669),"",計算結果!F669)=0,"",IF(ISNA(計算結果!F669),"",計算結果!F669))</f>
        <v/>
      </c>
      <c r="G669" s="10" t="str">
        <f>IF(IF(ISNA(計算結果!G669),"",計算結果!G669)=0,"",IF(ISNA(計算結果!G669),"",計算結果!G669))</f>
        <v/>
      </c>
      <c r="H669" s="13">
        <f>IF(IF(ISNA(計算結果!H669),"",計算結果!H669)=0,"",IF(ISNA(計算結果!H669),"",計算結果!H669))</f>
        <v>-2</v>
      </c>
      <c r="I669" s="12" t="str">
        <f>IF(IF(ISNA(計算結果!I669),"",計算結果!I669)=0,"",IF(ISNA(計算結果!I669),"",計算結果!I669))</f>
        <v/>
      </c>
      <c r="J669" s="12" t="str">
        <f>IF(IF(ISNA(計算結果!J669),"",計算結果!J669)=0,"",IF(ISNA(計算結果!J669),"",計算結果!J669))</f>
        <v/>
      </c>
      <c r="K669" s="23" t="str">
        <f>IF(IF(ISNA(計算結果!K669),"",計算結果!K669)=0,"",IF(ISNA(計算結果!K669),"",計算結果!K669))</f>
        <v/>
      </c>
      <c r="L669" s="13" t="str">
        <f>IF(IF(ISNA(計算結果!L669),"",計算結果!L669)=0,"",IF(ISNA(計算結果!L669),"",計算結果!L669))</f>
        <v/>
      </c>
      <c r="M669" s="10" t="str">
        <f>IF(IF(ISNA(計算結果!M669),"",計算結果!M669)=0,"",IF(ISNA(計算結果!M669),"",計算結果!M669))</f>
        <v/>
      </c>
      <c r="N669" s="10" t="str">
        <f>IF(IF(ISNA(計算結果!N669),"",計算結果!N669)=0,"",IF(ISNA(計算結果!N669),"",計算結果!N669))</f>
        <v/>
      </c>
      <c r="O669" s="13" t="str">
        <f>IF(IF(ISNA(計算結果!O669),"",計算結果!O669)=0,"",IF(ISNA(計算結果!O669),"",計算結果!O669))</f>
        <v/>
      </c>
      <c r="P669" s="10" t="str">
        <f>IF(IF(ISNA(計算結果!P669),"",計算結果!P669)=0,"",IF(ISNA(計算結果!P669),"",計算結果!P669))</f>
        <v/>
      </c>
      <c r="Q669" s="10" t="str">
        <f>IF(IF(ISNA(計算結果!Q669),"",計算結果!Q669)=0,"",IF(ISNA(計算結果!Q669),"",計算結果!Q669))</f>
        <v/>
      </c>
      <c r="R669" s="14" t="str">
        <f t="shared" si="30"/>
        <v/>
      </c>
      <c r="S669" s="14" t="str">
        <f t="shared" si="31"/>
        <v>◯</v>
      </c>
      <c r="T669" s="14" t="str">
        <f t="shared" si="32"/>
        <v/>
      </c>
    </row>
    <row r="670" spans="1:20" hidden="1" x14ac:dyDescent="0.45">
      <c r="A670" s="10" t="str">
        <f>IF(IF(ISNA(計算結果!A670),"",計算結果!A670)=0,"",IF(ISNA(計算結果!A670),"",計算結果!A670))</f>
        <v/>
      </c>
      <c r="B670" s="10" t="str">
        <f>IF(IF(ISNA(計算結果!B670),"",計算結果!B670)=0,"",IF(ISNA(計算結果!B670),"",計算結果!B670))</f>
        <v/>
      </c>
      <c r="C670" s="10" t="str">
        <f>IF(IF(ISNA(計算結果!C670),"",計算結果!C670)=0,"",IF(ISNA(計算結果!C670),"",計算結果!C670))</f>
        <v/>
      </c>
      <c r="D670" s="10" t="str">
        <f>IF(IF(ISNA(計算結果!D670),"",計算結果!D670)=0,"",IF(ISNA(計算結果!D670),"",計算結果!D670))</f>
        <v>L</v>
      </c>
      <c r="E670" s="10" t="str">
        <f>IF(IF(ISNA(計算結果!E670),"",計算結果!E670)=0,"",IF(ISNA(計算結果!E670),"",計算結果!E670))</f>
        <v/>
      </c>
      <c r="F670" s="10" t="str">
        <f>IF(IF(ISNA(計算結果!F670),"",計算結果!F670)=0,"",IF(ISNA(計算結果!F670),"",計算結果!F670))</f>
        <v/>
      </c>
      <c r="G670" s="10" t="str">
        <f>IF(IF(ISNA(計算結果!G670),"",計算結果!G670)=0,"",IF(ISNA(計算結果!G670),"",計算結果!G670))</f>
        <v/>
      </c>
      <c r="H670" s="13">
        <f>IF(IF(ISNA(計算結果!H670),"",計算結果!H670)=0,"",IF(ISNA(計算結果!H670),"",計算結果!H670))</f>
        <v>-2</v>
      </c>
      <c r="I670" s="12" t="str">
        <f>IF(IF(ISNA(計算結果!I670),"",計算結果!I670)=0,"",IF(ISNA(計算結果!I670),"",計算結果!I670))</f>
        <v/>
      </c>
      <c r="J670" s="12" t="str">
        <f>IF(IF(ISNA(計算結果!J670),"",計算結果!J670)=0,"",IF(ISNA(計算結果!J670),"",計算結果!J670))</f>
        <v/>
      </c>
      <c r="K670" s="23" t="str">
        <f>IF(IF(ISNA(計算結果!K670),"",計算結果!K670)=0,"",IF(ISNA(計算結果!K670),"",計算結果!K670))</f>
        <v/>
      </c>
      <c r="L670" s="13" t="str">
        <f>IF(IF(ISNA(計算結果!L670),"",計算結果!L670)=0,"",IF(ISNA(計算結果!L670),"",計算結果!L670))</f>
        <v/>
      </c>
      <c r="M670" s="10" t="str">
        <f>IF(IF(ISNA(計算結果!M670),"",計算結果!M670)=0,"",IF(ISNA(計算結果!M670),"",計算結果!M670))</f>
        <v/>
      </c>
      <c r="N670" s="10" t="str">
        <f>IF(IF(ISNA(計算結果!N670),"",計算結果!N670)=0,"",IF(ISNA(計算結果!N670),"",計算結果!N670))</f>
        <v/>
      </c>
      <c r="O670" s="13" t="str">
        <f>IF(IF(ISNA(計算結果!O670),"",計算結果!O670)=0,"",IF(ISNA(計算結果!O670),"",計算結果!O670))</f>
        <v/>
      </c>
      <c r="P670" s="10" t="str">
        <f>IF(IF(ISNA(計算結果!P670),"",計算結果!P670)=0,"",IF(ISNA(計算結果!P670),"",計算結果!P670))</f>
        <v/>
      </c>
      <c r="Q670" s="10" t="str">
        <f>IF(IF(ISNA(計算結果!Q670),"",計算結果!Q670)=0,"",IF(ISNA(計算結果!Q670),"",計算結果!Q670))</f>
        <v/>
      </c>
      <c r="R670" s="14" t="str">
        <f t="shared" si="30"/>
        <v/>
      </c>
      <c r="S670" s="14" t="str">
        <f t="shared" si="31"/>
        <v>◯</v>
      </c>
      <c r="T670" s="14" t="str">
        <f t="shared" si="32"/>
        <v/>
      </c>
    </row>
    <row r="671" spans="1:20" hidden="1" x14ac:dyDescent="0.45">
      <c r="A671" s="10" t="str">
        <f>IF(IF(ISNA(計算結果!A671),"",計算結果!A671)=0,"",IF(ISNA(計算結果!A671),"",計算結果!A671))</f>
        <v/>
      </c>
      <c r="B671" s="10" t="str">
        <f>IF(IF(ISNA(計算結果!B671),"",計算結果!B671)=0,"",IF(ISNA(計算結果!B671),"",計算結果!B671))</f>
        <v/>
      </c>
      <c r="C671" s="10" t="str">
        <f>IF(IF(ISNA(計算結果!C671),"",計算結果!C671)=0,"",IF(ISNA(計算結果!C671),"",計算結果!C671))</f>
        <v/>
      </c>
      <c r="D671" s="10" t="str">
        <f>IF(IF(ISNA(計算結果!D671),"",計算結果!D671)=0,"",IF(ISNA(計算結果!D671),"",計算結果!D671))</f>
        <v>L</v>
      </c>
      <c r="E671" s="10" t="str">
        <f>IF(IF(ISNA(計算結果!E671),"",計算結果!E671)=0,"",IF(ISNA(計算結果!E671),"",計算結果!E671))</f>
        <v/>
      </c>
      <c r="F671" s="10" t="str">
        <f>IF(IF(ISNA(計算結果!F671),"",計算結果!F671)=0,"",IF(ISNA(計算結果!F671),"",計算結果!F671))</f>
        <v/>
      </c>
      <c r="G671" s="10" t="str">
        <f>IF(IF(ISNA(計算結果!G671),"",計算結果!G671)=0,"",IF(ISNA(計算結果!G671),"",計算結果!G671))</f>
        <v/>
      </c>
      <c r="H671" s="13">
        <f>IF(IF(ISNA(計算結果!H671),"",計算結果!H671)=0,"",IF(ISNA(計算結果!H671),"",計算結果!H671))</f>
        <v>-2</v>
      </c>
      <c r="I671" s="12" t="str">
        <f>IF(IF(ISNA(計算結果!I671),"",計算結果!I671)=0,"",IF(ISNA(計算結果!I671),"",計算結果!I671))</f>
        <v/>
      </c>
      <c r="J671" s="12" t="str">
        <f>IF(IF(ISNA(計算結果!J671),"",計算結果!J671)=0,"",IF(ISNA(計算結果!J671),"",計算結果!J671))</f>
        <v/>
      </c>
      <c r="K671" s="23" t="str">
        <f>IF(IF(ISNA(計算結果!K671),"",計算結果!K671)=0,"",IF(ISNA(計算結果!K671),"",計算結果!K671))</f>
        <v/>
      </c>
      <c r="L671" s="13" t="str">
        <f>IF(IF(ISNA(計算結果!L671),"",計算結果!L671)=0,"",IF(ISNA(計算結果!L671),"",計算結果!L671))</f>
        <v/>
      </c>
      <c r="M671" s="10" t="str">
        <f>IF(IF(ISNA(計算結果!M671),"",計算結果!M671)=0,"",IF(ISNA(計算結果!M671),"",計算結果!M671))</f>
        <v/>
      </c>
      <c r="N671" s="10" t="str">
        <f>IF(IF(ISNA(計算結果!N671),"",計算結果!N671)=0,"",IF(ISNA(計算結果!N671),"",計算結果!N671))</f>
        <v/>
      </c>
      <c r="O671" s="13" t="str">
        <f>IF(IF(ISNA(計算結果!O671),"",計算結果!O671)=0,"",IF(ISNA(計算結果!O671),"",計算結果!O671))</f>
        <v/>
      </c>
      <c r="P671" s="10" t="str">
        <f>IF(IF(ISNA(計算結果!P671),"",計算結果!P671)=0,"",IF(ISNA(計算結果!P671),"",計算結果!P671))</f>
        <v/>
      </c>
      <c r="Q671" s="10" t="str">
        <f>IF(IF(ISNA(計算結果!Q671),"",計算結果!Q671)=0,"",IF(ISNA(計算結果!Q671),"",計算結果!Q671))</f>
        <v/>
      </c>
      <c r="R671" s="14" t="str">
        <f t="shared" si="30"/>
        <v/>
      </c>
      <c r="S671" s="14" t="str">
        <f t="shared" si="31"/>
        <v>◯</v>
      </c>
      <c r="T671" s="14" t="str">
        <f t="shared" si="32"/>
        <v/>
      </c>
    </row>
    <row r="672" spans="1:20" hidden="1" x14ac:dyDescent="0.45">
      <c r="A672" s="10" t="str">
        <f>IF(IF(ISNA(計算結果!A672),"",計算結果!A672)=0,"",IF(ISNA(計算結果!A672),"",計算結果!A672))</f>
        <v/>
      </c>
      <c r="B672" s="10" t="str">
        <f>IF(IF(ISNA(計算結果!B672),"",計算結果!B672)=0,"",IF(ISNA(計算結果!B672),"",計算結果!B672))</f>
        <v/>
      </c>
      <c r="C672" s="10" t="str">
        <f>IF(IF(ISNA(計算結果!C672),"",計算結果!C672)=0,"",IF(ISNA(計算結果!C672),"",計算結果!C672))</f>
        <v/>
      </c>
      <c r="D672" s="10" t="str">
        <f>IF(IF(ISNA(計算結果!D672),"",計算結果!D672)=0,"",IF(ISNA(計算結果!D672),"",計算結果!D672))</f>
        <v>L</v>
      </c>
      <c r="E672" s="10" t="str">
        <f>IF(IF(ISNA(計算結果!E672),"",計算結果!E672)=0,"",IF(ISNA(計算結果!E672),"",計算結果!E672))</f>
        <v/>
      </c>
      <c r="F672" s="10" t="str">
        <f>IF(IF(ISNA(計算結果!F672),"",計算結果!F672)=0,"",IF(ISNA(計算結果!F672),"",計算結果!F672))</f>
        <v/>
      </c>
      <c r="G672" s="10" t="str">
        <f>IF(IF(ISNA(計算結果!G672),"",計算結果!G672)=0,"",IF(ISNA(計算結果!G672),"",計算結果!G672))</f>
        <v/>
      </c>
      <c r="H672" s="13">
        <f>IF(IF(ISNA(計算結果!H672),"",計算結果!H672)=0,"",IF(ISNA(計算結果!H672),"",計算結果!H672))</f>
        <v>-2</v>
      </c>
      <c r="I672" s="12" t="str">
        <f>IF(IF(ISNA(計算結果!I672),"",計算結果!I672)=0,"",IF(ISNA(計算結果!I672),"",計算結果!I672))</f>
        <v/>
      </c>
      <c r="J672" s="12" t="str">
        <f>IF(IF(ISNA(計算結果!J672),"",計算結果!J672)=0,"",IF(ISNA(計算結果!J672),"",計算結果!J672))</f>
        <v/>
      </c>
      <c r="K672" s="23" t="str">
        <f>IF(IF(ISNA(計算結果!K672),"",計算結果!K672)=0,"",IF(ISNA(計算結果!K672),"",計算結果!K672))</f>
        <v/>
      </c>
      <c r="L672" s="13" t="str">
        <f>IF(IF(ISNA(計算結果!L672),"",計算結果!L672)=0,"",IF(ISNA(計算結果!L672),"",計算結果!L672))</f>
        <v/>
      </c>
      <c r="M672" s="10" t="str">
        <f>IF(IF(ISNA(計算結果!M672),"",計算結果!M672)=0,"",IF(ISNA(計算結果!M672),"",計算結果!M672))</f>
        <v/>
      </c>
      <c r="N672" s="10" t="str">
        <f>IF(IF(ISNA(計算結果!N672),"",計算結果!N672)=0,"",IF(ISNA(計算結果!N672),"",計算結果!N672))</f>
        <v/>
      </c>
      <c r="O672" s="13" t="str">
        <f>IF(IF(ISNA(計算結果!O672),"",計算結果!O672)=0,"",IF(ISNA(計算結果!O672),"",計算結果!O672))</f>
        <v/>
      </c>
      <c r="P672" s="10" t="str">
        <f>IF(IF(ISNA(計算結果!P672),"",計算結果!P672)=0,"",IF(ISNA(計算結果!P672),"",計算結果!P672))</f>
        <v/>
      </c>
      <c r="Q672" s="10" t="str">
        <f>IF(IF(ISNA(計算結果!Q672),"",計算結果!Q672)=0,"",IF(ISNA(計算結果!Q672),"",計算結果!Q672))</f>
        <v/>
      </c>
      <c r="R672" s="14" t="str">
        <f t="shared" si="30"/>
        <v/>
      </c>
      <c r="S672" s="14" t="str">
        <f t="shared" si="31"/>
        <v>◯</v>
      </c>
      <c r="T672" s="14" t="str">
        <f t="shared" si="32"/>
        <v/>
      </c>
    </row>
    <row r="673" spans="1:20" hidden="1" x14ac:dyDescent="0.45">
      <c r="A673" s="10" t="str">
        <f>IF(IF(ISNA(計算結果!A673),"",計算結果!A673)=0,"",IF(ISNA(計算結果!A673),"",計算結果!A673))</f>
        <v/>
      </c>
      <c r="B673" s="10" t="str">
        <f>IF(IF(ISNA(計算結果!B673),"",計算結果!B673)=0,"",IF(ISNA(計算結果!B673),"",計算結果!B673))</f>
        <v/>
      </c>
      <c r="C673" s="10" t="str">
        <f>IF(IF(ISNA(計算結果!C673),"",計算結果!C673)=0,"",IF(ISNA(計算結果!C673),"",計算結果!C673))</f>
        <v/>
      </c>
      <c r="D673" s="10" t="str">
        <f>IF(IF(ISNA(計算結果!D673),"",計算結果!D673)=0,"",IF(ISNA(計算結果!D673),"",計算結果!D673))</f>
        <v>L</v>
      </c>
      <c r="E673" s="10" t="str">
        <f>IF(IF(ISNA(計算結果!E673),"",計算結果!E673)=0,"",IF(ISNA(計算結果!E673),"",計算結果!E673))</f>
        <v/>
      </c>
      <c r="F673" s="10" t="str">
        <f>IF(IF(ISNA(計算結果!F673),"",計算結果!F673)=0,"",IF(ISNA(計算結果!F673),"",計算結果!F673))</f>
        <v/>
      </c>
      <c r="G673" s="10" t="str">
        <f>IF(IF(ISNA(計算結果!G673),"",計算結果!G673)=0,"",IF(ISNA(計算結果!G673),"",計算結果!G673))</f>
        <v/>
      </c>
      <c r="H673" s="13">
        <f>IF(IF(ISNA(計算結果!H673),"",計算結果!H673)=0,"",IF(ISNA(計算結果!H673),"",計算結果!H673))</f>
        <v>-2</v>
      </c>
      <c r="I673" s="12" t="str">
        <f>IF(IF(ISNA(計算結果!I673),"",計算結果!I673)=0,"",IF(ISNA(計算結果!I673),"",計算結果!I673))</f>
        <v/>
      </c>
      <c r="J673" s="12" t="str">
        <f>IF(IF(ISNA(計算結果!J673),"",計算結果!J673)=0,"",IF(ISNA(計算結果!J673),"",計算結果!J673))</f>
        <v/>
      </c>
      <c r="K673" s="23" t="str">
        <f>IF(IF(ISNA(計算結果!K673),"",計算結果!K673)=0,"",IF(ISNA(計算結果!K673),"",計算結果!K673))</f>
        <v/>
      </c>
      <c r="L673" s="13" t="str">
        <f>IF(IF(ISNA(計算結果!L673),"",計算結果!L673)=0,"",IF(ISNA(計算結果!L673),"",計算結果!L673))</f>
        <v/>
      </c>
      <c r="M673" s="10" t="str">
        <f>IF(IF(ISNA(計算結果!M673),"",計算結果!M673)=0,"",IF(ISNA(計算結果!M673),"",計算結果!M673))</f>
        <v/>
      </c>
      <c r="N673" s="10" t="str">
        <f>IF(IF(ISNA(計算結果!N673),"",計算結果!N673)=0,"",IF(ISNA(計算結果!N673),"",計算結果!N673))</f>
        <v/>
      </c>
      <c r="O673" s="13" t="str">
        <f>IF(IF(ISNA(計算結果!O673),"",計算結果!O673)=0,"",IF(ISNA(計算結果!O673),"",計算結果!O673))</f>
        <v/>
      </c>
      <c r="P673" s="10" t="str">
        <f>IF(IF(ISNA(計算結果!P673),"",計算結果!P673)=0,"",IF(ISNA(計算結果!P673),"",計算結果!P673))</f>
        <v/>
      </c>
      <c r="Q673" s="10" t="str">
        <f>IF(IF(ISNA(計算結果!Q673),"",計算結果!Q673)=0,"",IF(ISNA(計算結果!Q673),"",計算結果!Q673))</f>
        <v/>
      </c>
      <c r="R673" s="14" t="str">
        <f t="shared" si="30"/>
        <v/>
      </c>
      <c r="S673" s="14" t="str">
        <f t="shared" si="31"/>
        <v>◯</v>
      </c>
      <c r="T673" s="14" t="str">
        <f t="shared" si="32"/>
        <v/>
      </c>
    </row>
    <row r="674" spans="1:20" hidden="1" x14ac:dyDescent="0.45">
      <c r="A674" s="10" t="str">
        <f>IF(IF(ISNA(計算結果!A674),"",計算結果!A674)=0,"",IF(ISNA(計算結果!A674),"",計算結果!A674))</f>
        <v/>
      </c>
      <c r="B674" s="10" t="str">
        <f>IF(IF(ISNA(計算結果!B674),"",計算結果!B674)=0,"",IF(ISNA(計算結果!B674),"",計算結果!B674))</f>
        <v/>
      </c>
      <c r="C674" s="10" t="str">
        <f>IF(IF(ISNA(計算結果!C674),"",計算結果!C674)=0,"",IF(ISNA(計算結果!C674),"",計算結果!C674))</f>
        <v/>
      </c>
      <c r="D674" s="10" t="str">
        <f>IF(IF(ISNA(計算結果!D674),"",計算結果!D674)=0,"",IF(ISNA(計算結果!D674),"",計算結果!D674))</f>
        <v>L</v>
      </c>
      <c r="E674" s="10" t="str">
        <f>IF(IF(ISNA(計算結果!E674),"",計算結果!E674)=0,"",IF(ISNA(計算結果!E674),"",計算結果!E674))</f>
        <v/>
      </c>
      <c r="F674" s="10" t="str">
        <f>IF(IF(ISNA(計算結果!F674),"",計算結果!F674)=0,"",IF(ISNA(計算結果!F674),"",計算結果!F674))</f>
        <v/>
      </c>
      <c r="G674" s="10" t="str">
        <f>IF(IF(ISNA(計算結果!G674),"",計算結果!G674)=0,"",IF(ISNA(計算結果!G674),"",計算結果!G674))</f>
        <v/>
      </c>
      <c r="H674" s="13">
        <f>IF(IF(ISNA(計算結果!H674),"",計算結果!H674)=0,"",IF(ISNA(計算結果!H674),"",計算結果!H674))</f>
        <v>-2</v>
      </c>
      <c r="I674" s="12" t="str">
        <f>IF(IF(ISNA(計算結果!I674),"",計算結果!I674)=0,"",IF(ISNA(計算結果!I674),"",計算結果!I674))</f>
        <v/>
      </c>
      <c r="J674" s="12" t="str">
        <f>IF(IF(ISNA(計算結果!J674),"",計算結果!J674)=0,"",IF(ISNA(計算結果!J674),"",計算結果!J674))</f>
        <v/>
      </c>
      <c r="K674" s="23" t="str">
        <f>IF(IF(ISNA(計算結果!K674),"",計算結果!K674)=0,"",IF(ISNA(計算結果!K674),"",計算結果!K674))</f>
        <v/>
      </c>
      <c r="L674" s="13" t="str">
        <f>IF(IF(ISNA(計算結果!L674),"",計算結果!L674)=0,"",IF(ISNA(計算結果!L674),"",計算結果!L674))</f>
        <v/>
      </c>
      <c r="M674" s="10" t="str">
        <f>IF(IF(ISNA(計算結果!M674),"",計算結果!M674)=0,"",IF(ISNA(計算結果!M674),"",計算結果!M674))</f>
        <v/>
      </c>
      <c r="N674" s="10" t="str">
        <f>IF(IF(ISNA(計算結果!N674),"",計算結果!N674)=0,"",IF(ISNA(計算結果!N674),"",計算結果!N674))</f>
        <v/>
      </c>
      <c r="O674" s="13" t="str">
        <f>IF(IF(ISNA(計算結果!O674),"",計算結果!O674)=0,"",IF(ISNA(計算結果!O674),"",計算結果!O674))</f>
        <v/>
      </c>
      <c r="P674" s="10" t="str">
        <f>IF(IF(ISNA(計算結果!P674),"",計算結果!P674)=0,"",IF(ISNA(計算結果!P674),"",計算結果!P674))</f>
        <v/>
      </c>
      <c r="Q674" s="10" t="str">
        <f>IF(IF(ISNA(計算結果!Q674),"",計算結果!Q674)=0,"",IF(ISNA(計算結果!Q674),"",計算結果!Q674))</f>
        <v/>
      </c>
      <c r="R674" s="14" t="str">
        <f t="shared" si="30"/>
        <v/>
      </c>
      <c r="S674" s="14" t="str">
        <f t="shared" si="31"/>
        <v>◯</v>
      </c>
      <c r="T674" s="14" t="str">
        <f t="shared" si="32"/>
        <v/>
      </c>
    </row>
    <row r="675" spans="1:20" hidden="1" x14ac:dyDescent="0.45">
      <c r="A675" s="10" t="str">
        <f>IF(IF(ISNA(計算結果!A675),"",計算結果!A675)=0,"",IF(ISNA(計算結果!A675),"",計算結果!A675))</f>
        <v/>
      </c>
      <c r="B675" s="10" t="str">
        <f>IF(IF(ISNA(計算結果!B675),"",計算結果!B675)=0,"",IF(ISNA(計算結果!B675),"",計算結果!B675))</f>
        <v/>
      </c>
      <c r="C675" s="10" t="str">
        <f>IF(IF(ISNA(計算結果!C675),"",計算結果!C675)=0,"",IF(ISNA(計算結果!C675),"",計算結果!C675))</f>
        <v/>
      </c>
      <c r="D675" s="10" t="str">
        <f>IF(IF(ISNA(計算結果!D675),"",計算結果!D675)=0,"",IF(ISNA(計算結果!D675),"",計算結果!D675))</f>
        <v>L</v>
      </c>
      <c r="E675" s="10" t="str">
        <f>IF(IF(ISNA(計算結果!E675),"",計算結果!E675)=0,"",IF(ISNA(計算結果!E675),"",計算結果!E675))</f>
        <v/>
      </c>
      <c r="F675" s="10" t="str">
        <f>IF(IF(ISNA(計算結果!F675),"",計算結果!F675)=0,"",IF(ISNA(計算結果!F675),"",計算結果!F675))</f>
        <v/>
      </c>
      <c r="G675" s="10" t="str">
        <f>IF(IF(ISNA(計算結果!G675),"",計算結果!G675)=0,"",IF(ISNA(計算結果!G675),"",計算結果!G675))</f>
        <v/>
      </c>
      <c r="H675" s="13">
        <f>IF(IF(ISNA(計算結果!H675),"",計算結果!H675)=0,"",IF(ISNA(計算結果!H675),"",計算結果!H675))</f>
        <v>-2</v>
      </c>
      <c r="I675" s="12" t="str">
        <f>IF(IF(ISNA(計算結果!I675),"",計算結果!I675)=0,"",IF(ISNA(計算結果!I675),"",計算結果!I675))</f>
        <v/>
      </c>
      <c r="J675" s="12" t="str">
        <f>IF(IF(ISNA(計算結果!J675),"",計算結果!J675)=0,"",IF(ISNA(計算結果!J675),"",計算結果!J675))</f>
        <v/>
      </c>
      <c r="K675" s="23" t="str">
        <f>IF(IF(ISNA(計算結果!K675),"",計算結果!K675)=0,"",IF(ISNA(計算結果!K675),"",計算結果!K675))</f>
        <v/>
      </c>
      <c r="L675" s="13" t="str">
        <f>IF(IF(ISNA(計算結果!L675),"",計算結果!L675)=0,"",IF(ISNA(計算結果!L675),"",計算結果!L675))</f>
        <v/>
      </c>
      <c r="M675" s="10" t="str">
        <f>IF(IF(ISNA(計算結果!M675),"",計算結果!M675)=0,"",IF(ISNA(計算結果!M675),"",計算結果!M675))</f>
        <v/>
      </c>
      <c r="N675" s="10" t="str">
        <f>IF(IF(ISNA(計算結果!N675),"",計算結果!N675)=0,"",IF(ISNA(計算結果!N675),"",計算結果!N675))</f>
        <v/>
      </c>
      <c r="O675" s="13" t="str">
        <f>IF(IF(ISNA(計算結果!O675),"",計算結果!O675)=0,"",IF(ISNA(計算結果!O675),"",計算結果!O675))</f>
        <v/>
      </c>
      <c r="P675" s="10" t="str">
        <f>IF(IF(ISNA(計算結果!P675),"",計算結果!P675)=0,"",IF(ISNA(計算結果!P675),"",計算結果!P675))</f>
        <v/>
      </c>
      <c r="Q675" s="10" t="str">
        <f>IF(IF(ISNA(計算結果!Q675),"",計算結果!Q675)=0,"",IF(ISNA(計算結果!Q675),"",計算結果!Q675))</f>
        <v/>
      </c>
      <c r="R675" s="14" t="str">
        <f t="shared" si="30"/>
        <v/>
      </c>
      <c r="S675" s="14" t="str">
        <f t="shared" si="31"/>
        <v>◯</v>
      </c>
      <c r="T675" s="14" t="str">
        <f t="shared" si="32"/>
        <v/>
      </c>
    </row>
    <row r="676" spans="1:20" hidden="1" x14ac:dyDescent="0.45">
      <c r="A676" s="10" t="str">
        <f>IF(IF(ISNA(計算結果!A676),"",計算結果!A676)=0,"",IF(ISNA(計算結果!A676),"",計算結果!A676))</f>
        <v/>
      </c>
      <c r="B676" s="10" t="str">
        <f>IF(IF(ISNA(計算結果!B676),"",計算結果!B676)=0,"",IF(ISNA(計算結果!B676),"",計算結果!B676))</f>
        <v/>
      </c>
      <c r="C676" s="10" t="str">
        <f>IF(IF(ISNA(計算結果!C676),"",計算結果!C676)=0,"",IF(ISNA(計算結果!C676),"",計算結果!C676))</f>
        <v/>
      </c>
      <c r="D676" s="10" t="str">
        <f>IF(IF(ISNA(計算結果!D676),"",計算結果!D676)=0,"",IF(ISNA(計算結果!D676),"",計算結果!D676))</f>
        <v>L</v>
      </c>
      <c r="E676" s="10" t="str">
        <f>IF(IF(ISNA(計算結果!E676),"",計算結果!E676)=0,"",IF(ISNA(計算結果!E676),"",計算結果!E676))</f>
        <v/>
      </c>
      <c r="F676" s="10" t="str">
        <f>IF(IF(ISNA(計算結果!F676),"",計算結果!F676)=0,"",IF(ISNA(計算結果!F676),"",計算結果!F676))</f>
        <v/>
      </c>
      <c r="G676" s="10" t="str">
        <f>IF(IF(ISNA(計算結果!G676),"",計算結果!G676)=0,"",IF(ISNA(計算結果!G676),"",計算結果!G676))</f>
        <v/>
      </c>
      <c r="H676" s="13">
        <f>IF(IF(ISNA(計算結果!H676),"",計算結果!H676)=0,"",IF(ISNA(計算結果!H676),"",計算結果!H676))</f>
        <v>-2</v>
      </c>
      <c r="I676" s="12" t="str">
        <f>IF(IF(ISNA(計算結果!I676),"",計算結果!I676)=0,"",IF(ISNA(計算結果!I676),"",計算結果!I676))</f>
        <v/>
      </c>
      <c r="J676" s="12" t="str">
        <f>IF(IF(ISNA(計算結果!J676),"",計算結果!J676)=0,"",IF(ISNA(計算結果!J676),"",計算結果!J676))</f>
        <v/>
      </c>
      <c r="K676" s="23" t="str">
        <f>IF(IF(ISNA(計算結果!K676),"",計算結果!K676)=0,"",IF(ISNA(計算結果!K676),"",計算結果!K676))</f>
        <v/>
      </c>
      <c r="L676" s="13" t="str">
        <f>IF(IF(ISNA(計算結果!L676),"",計算結果!L676)=0,"",IF(ISNA(計算結果!L676),"",計算結果!L676))</f>
        <v/>
      </c>
      <c r="M676" s="10" t="str">
        <f>IF(IF(ISNA(計算結果!M676),"",計算結果!M676)=0,"",IF(ISNA(計算結果!M676),"",計算結果!M676))</f>
        <v/>
      </c>
      <c r="N676" s="10" t="str">
        <f>IF(IF(ISNA(計算結果!N676),"",計算結果!N676)=0,"",IF(ISNA(計算結果!N676),"",計算結果!N676))</f>
        <v/>
      </c>
      <c r="O676" s="13" t="str">
        <f>IF(IF(ISNA(計算結果!O676),"",計算結果!O676)=0,"",IF(ISNA(計算結果!O676),"",計算結果!O676))</f>
        <v/>
      </c>
      <c r="P676" s="10" t="str">
        <f>IF(IF(ISNA(計算結果!P676),"",計算結果!P676)=0,"",IF(ISNA(計算結果!P676),"",計算結果!P676))</f>
        <v/>
      </c>
      <c r="Q676" s="10" t="str">
        <f>IF(IF(ISNA(計算結果!Q676),"",計算結果!Q676)=0,"",IF(ISNA(計算結果!Q676),"",計算結果!Q676))</f>
        <v/>
      </c>
      <c r="R676" s="14" t="str">
        <f t="shared" si="30"/>
        <v/>
      </c>
      <c r="S676" s="14" t="str">
        <f t="shared" si="31"/>
        <v>◯</v>
      </c>
      <c r="T676" s="14" t="str">
        <f t="shared" si="32"/>
        <v/>
      </c>
    </row>
    <row r="677" spans="1:20" hidden="1" x14ac:dyDescent="0.45">
      <c r="A677" s="10" t="str">
        <f>IF(IF(ISNA(計算結果!A677),"",計算結果!A677)=0,"",IF(ISNA(計算結果!A677),"",計算結果!A677))</f>
        <v/>
      </c>
      <c r="B677" s="10" t="str">
        <f>IF(IF(ISNA(計算結果!B677),"",計算結果!B677)=0,"",IF(ISNA(計算結果!B677),"",計算結果!B677))</f>
        <v/>
      </c>
      <c r="C677" s="10" t="str">
        <f>IF(IF(ISNA(計算結果!C677),"",計算結果!C677)=0,"",IF(ISNA(計算結果!C677),"",計算結果!C677))</f>
        <v/>
      </c>
      <c r="D677" s="10" t="str">
        <f>IF(IF(ISNA(計算結果!D677),"",計算結果!D677)=0,"",IF(ISNA(計算結果!D677),"",計算結果!D677))</f>
        <v>L</v>
      </c>
      <c r="E677" s="10" t="str">
        <f>IF(IF(ISNA(計算結果!E677),"",計算結果!E677)=0,"",IF(ISNA(計算結果!E677),"",計算結果!E677))</f>
        <v/>
      </c>
      <c r="F677" s="10" t="str">
        <f>IF(IF(ISNA(計算結果!F677),"",計算結果!F677)=0,"",IF(ISNA(計算結果!F677),"",計算結果!F677))</f>
        <v/>
      </c>
      <c r="G677" s="10" t="str">
        <f>IF(IF(ISNA(計算結果!G677),"",計算結果!G677)=0,"",IF(ISNA(計算結果!G677),"",計算結果!G677))</f>
        <v/>
      </c>
      <c r="H677" s="13">
        <f>IF(IF(ISNA(計算結果!H677),"",計算結果!H677)=0,"",IF(ISNA(計算結果!H677),"",計算結果!H677))</f>
        <v>-2</v>
      </c>
      <c r="I677" s="12" t="str">
        <f>IF(IF(ISNA(計算結果!I677),"",計算結果!I677)=0,"",IF(ISNA(計算結果!I677),"",計算結果!I677))</f>
        <v/>
      </c>
      <c r="J677" s="12" t="str">
        <f>IF(IF(ISNA(計算結果!J677),"",計算結果!J677)=0,"",IF(ISNA(計算結果!J677),"",計算結果!J677))</f>
        <v/>
      </c>
      <c r="K677" s="23" t="str">
        <f>IF(IF(ISNA(計算結果!K677),"",計算結果!K677)=0,"",IF(ISNA(計算結果!K677),"",計算結果!K677))</f>
        <v/>
      </c>
      <c r="L677" s="13" t="str">
        <f>IF(IF(ISNA(計算結果!L677),"",計算結果!L677)=0,"",IF(ISNA(計算結果!L677),"",計算結果!L677))</f>
        <v/>
      </c>
      <c r="M677" s="10" t="str">
        <f>IF(IF(ISNA(計算結果!M677),"",計算結果!M677)=0,"",IF(ISNA(計算結果!M677),"",計算結果!M677))</f>
        <v/>
      </c>
      <c r="N677" s="10" t="str">
        <f>IF(IF(ISNA(計算結果!N677),"",計算結果!N677)=0,"",IF(ISNA(計算結果!N677),"",計算結果!N677))</f>
        <v/>
      </c>
      <c r="O677" s="13" t="str">
        <f>IF(IF(ISNA(計算結果!O677),"",計算結果!O677)=0,"",IF(ISNA(計算結果!O677),"",計算結果!O677))</f>
        <v/>
      </c>
      <c r="P677" s="10" t="str">
        <f>IF(IF(ISNA(計算結果!P677),"",計算結果!P677)=0,"",IF(ISNA(計算結果!P677),"",計算結果!P677))</f>
        <v/>
      </c>
      <c r="Q677" s="10" t="str">
        <f>IF(IF(ISNA(計算結果!Q677),"",計算結果!Q677)=0,"",IF(ISNA(計算結果!Q677),"",計算結果!Q677))</f>
        <v/>
      </c>
      <c r="R677" s="14" t="str">
        <f t="shared" si="30"/>
        <v/>
      </c>
      <c r="S677" s="14" t="str">
        <f t="shared" si="31"/>
        <v>◯</v>
      </c>
      <c r="T677" s="14" t="str">
        <f t="shared" si="32"/>
        <v/>
      </c>
    </row>
    <row r="678" spans="1:20" hidden="1" x14ac:dyDescent="0.45">
      <c r="A678" s="10" t="str">
        <f>IF(IF(ISNA(計算結果!A678),"",計算結果!A678)=0,"",IF(ISNA(計算結果!A678),"",計算結果!A678))</f>
        <v/>
      </c>
      <c r="B678" s="10" t="str">
        <f>IF(IF(ISNA(計算結果!B678),"",計算結果!B678)=0,"",IF(ISNA(計算結果!B678),"",計算結果!B678))</f>
        <v/>
      </c>
      <c r="C678" s="10" t="str">
        <f>IF(IF(ISNA(計算結果!C678),"",計算結果!C678)=0,"",IF(ISNA(計算結果!C678),"",計算結果!C678))</f>
        <v/>
      </c>
      <c r="D678" s="10" t="str">
        <f>IF(IF(ISNA(計算結果!D678),"",計算結果!D678)=0,"",IF(ISNA(計算結果!D678),"",計算結果!D678))</f>
        <v>L</v>
      </c>
      <c r="E678" s="10" t="str">
        <f>IF(IF(ISNA(計算結果!E678),"",計算結果!E678)=0,"",IF(ISNA(計算結果!E678),"",計算結果!E678))</f>
        <v/>
      </c>
      <c r="F678" s="10" t="str">
        <f>IF(IF(ISNA(計算結果!F678),"",計算結果!F678)=0,"",IF(ISNA(計算結果!F678),"",計算結果!F678))</f>
        <v/>
      </c>
      <c r="G678" s="10" t="str">
        <f>IF(IF(ISNA(計算結果!G678),"",計算結果!G678)=0,"",IF(ISNA(計算結果!G678),"",計算結果!G678))</f>
        <v/>
      </c>
      <c r="H678" s="13">
        <f>IF(IF(ISNA(計算結果!H678),"",計算結果!H678)=0,"",IF(ISNA(計算結果!H678),"",計算結果!H678))</f>
        <v>-2</v>
      </c>
      <c r="I678" s="12" t="str">
        <f>IF(IF(ISNA(計算結果!I678),"",計算結果!I678)=0,"",IF(ISNA(計算結果!I678),"",計算結果!I678))</f>
        <v/>
      </c>
      <c r="J678" s="12" t="str">
        <f>IF(IF(ISNA(計算結果!J678),"",計算結果!J678)=0,"",IF(ISNA(計算結果!J678),"",計算結果!J678))</f>
        <v/>
      </c>
      <c r="K678" s="23" t="str">
        <f>IF(IF(ISNA(計算結果!K678),"",計算結果!K678)=0,"",IF(ISNA(計算結果!K678),"",計算結果!K678))</f>
        <v/>
      </c>
      <c r="L678" s="13" t="str">
        <f>IF(IF(ISNA(計算結果!L678),"",計算結果!L678)=0,"",IF(ISNA(計算結果!L678),"",計算結果!L678))</f>
        <v/>
      </c>
      <c r="M678" s="10" t="str">
        <f>IF(IF(ISNA(計算結果!M678),"",計算結果!M678)=0,"",IF(ISNA(計算結果!M678),"",計算結果!M678))</f>
        <v/>
      </c>
      <c r="N678" s="10" t="str">
        <f>IF(IF(ISNA(計算結果!N678),"",計算結果!N678)=0,"",IF(ISNA(計算結果!N678),"",計算結果!N678))</f>
        <v/>
      </c>
      <c r="O678" s="13" t="str">
        <f>IF(IF(ISNA(計算結果!O678),"",計算結果!O678)=0,"",IF(ISNA(計算結果!O678),"",計算結果!O678))</f>
        <v/>
      </c>
      <c r="P678" s="10" t="str">
        <f>IF(IF(ISNA(計算結果!P678),"",計算結果!P678)=0,"",IF(ISNA(計算結果!P678),"",計算結果!P678))</f>
        <v/>
      </c>
      <c r="Q678" s="10" t="str">
        <f>IF(IF(ISNA(計算結果!Q678),"",計算結果!Q678)=0,"",IF(ISNA(計算結果!Q678),"",計算結果!Q678))</f>
        <v/>
      </c>
      <c r="R678" s="14" t="str">
        <f t="shared" si="30"/>
        <v/>
      </c>
      <c r="S678" s="14" t="str">
        <f t="shared" si="31"/>
        <v>◯</v>
      </c>
      <c r="T678" s="14" t="str">
        <f t="shared" si="32"/>
        <v/>
      </c>
    </row>
    <row r="679" spans="1:20" hidden="1" x14ac:dyDescent="0.45">
      <c r="A679" s="10" t="str">
        <f>IF(IF(ISNA(計算結果!A679),"",計算結果!A679)=0,"",IF(ISNA(計算結果!A679),"",計算結果!A679))</f>
        <v/>
      </c>
      <c r="B679" s="10" t="str">
        <f>IF(IF(ISNA(計算結果!B679),"",計算結果!B679)=0,"",IF(ISNA(計算結果!B679),"",計算結果!B679))</f>
        <v/>
      </c>
      <c r="C679" s="10" t="str">
        <f>IF(IF(ISNA(計算結果!C679),"",計算結果!C679)=0,"",IF(ISNA(計算結果!C679),"",計算結果!C679))</f>
        <v/>
      </c>
      <c r="D679" s="10" t="str">
        <f>IF(IF(ISNA(計算結果!D679),"",計算結果!D679)=0,"",IF(ISNA(計算結果!D679),"",計算結果!D679))</f>
        <v>L</v>
      </c>
      <c r="E679" s="10" t="str">
        <f>IF(IF(ISNA(計算結果!E679),"",計算結果!E679)=0,"",IF(ISNA(計算結果!E679),"",計算結果!E679))</f>
        <v/>
      </c>
      <c r="F679" s="10" t="str">
        <f>IF(IF(ISNA(計算結果!F679),"",計算結果!F679)=0,"",IF(ISNA(計算結果!F679),"",計算結果!F679))</f>
        <v/>
      </c>
      <c r="G679" s="10" t="str">
        <f>IF(IF(ISNA(計算結果!G679),"",計算結果!G679)=0,"",IF(ISNA(計算結果!G679),"",計算結果!G679))</f>
        <v/>
      </c>
      <c r="H679" s="13">
        <f>IF(IF(ISNA(計算結果!H679),"",計算結果!H679)=0,"",IF(ISNA(計算結果!H679),"",計算結果!H679))</f>
        <v>-2</v>
      </c>
      <c r="I679" s="12" t="str">
        <f>IF(IF(ISNA(計算結果!I679),"",計算結果!I679)=0,"",IF(ISNA(計算結果!I679),"",計算結果!I679))</f>
        <v/>
      </c>
      <c r="J679" s="12" t="str">
        <f>IF(IF(ISNA(計算結果!J679),"",計算結果!J679)=0,"",IF(ISNA(計算結果!J679),"",計算結果!J679))</f>
        <v/>
      </c>
      <c r="K679" s="23" t="str">
        <f>IF(IF(ISNA(計算結果!K679),"",計算結果!K679)=0,"",IF(ISNA(計算結果!K679),"",計算結果!K679))</f>
        <v/>
      </c>
      <c r="L679" s="13" t="str">
        <f>IF(IF(ISNA(計算結果!L679),"",計算結果!L679)=0,"",IF(ISNA(計算結果!L679),"",計算結果!L679))</f>
        <v/>
      </c>
      <c r="M679" s="10" t="str">
        <f>IF(IF(ISNA(計算結果!M679),"",計算結果!M679)=0,"",IF(ISNA(計算結果!M679),"",計算結果!M679))</f>
        <v/>
      </c>
      <c r="N679" s="10" t="str">
        <f>IF(IF(ISNA(計算結果!N679),"",計算結果!N679)=0,"",IF(ISNA(計算結果!N679),"",計算結果!N679))</f>
        <v/>
      </c>
      <c r="O679" s="13" t="str">
        <f>IF(IF(ISNA(計算結果!O679),"",計算結果!O679)=0,"",IF(ISNA(計算結果!O679),"",計算結果!O679))</f>
        <v/>
      </c>
      <c r="P679" s="10" t="str">
        <f>IF(IF(ISNA(計算結果!P679),"",計算結果!P679)=0,"",IF(ISNA(計算結果!P679),"",計算結果!P679))</f>
        <v/>
      </c>
      <c r="Q679" s="10" t="str">
        <f>IF(IF(ISNA(計算結果!Q679),"",計算結果!Q679)=0,"",IF(ISNA(計算結果!Q679),"",計算結果!Q679))</f>
        <v/>
      </c>
      <c r="R679" s="14" t="str">
        <f t="shared" si="30"/>
        <v/>
      </c>
      <c r="S679" s="14" t="str">
        <f t="shared" si="31"/>
        <v>◯</v>
      </c>
      <c r="T679" s="14" t="str">
        <f t="shared" si="32"/>
        <v/>
      </c>
    </row>
    <row r="680" spans="1:20" hidden="1" x14ac:dyDescent="0.45">
      <c r="A680" s="10" t="str">
        <f>IF(IF(ISNA(計算結果!A680),"",計算結果!A680)=0,"",IF(ISNA(計算結果!A680),"",計算結果!A680))</f>
        <v/>
      </c>
      <c r="B680" s="10" t="str">
        <f>IF(IF(ISNA(計算結果!B680),"",計算結果!B680)=0,"",IF(ISNA(計算結果!B680),"",計算結果!B680))</f>
        <v/>
      </c>
      <c r="C680" s="10" t="str">
        <f>IF(IF(ISNA(計算結果!C680),"",計算結果!C680)=0,"",IF(ISNA(計算結果!C680),"",計算結果!C680))</f>
        <v/>
      </c>
      <c r="D680" s="10" t="str">
        <f>IF(IF(ISNA(計算結果!D680),"",計算結果!D680)=0,"",IF(ISNA(計算結果!D680),"",計算結果!D680))</f>
        <v>L</v>
      </c>
      <c r="E680" s="10" t="str">
        <f>IF(IF(ISNA(計算結果!E680),"",計算結果!E680)=0,"",IF(ISNA(計算結果!E680),"",計算結果!E680))</f>
        <v/>
      </c>
      <c r="F680" s="10" t="str">
        <f>IF(IF(ISNA(計算結果!F680),"",計算結果!F680)=0,"",IF(ISNA(計算結果!F680),"",計算結果!F680))</f>
        <v/>
      </c>
      <c r="G680" s="10" t="str">
        <f>IF(IF(ISNA(計算結果!G680),"",計算結果!G680)=0,"",IF(ISNA(計算結果!G680),"",計算結果!G680))</f>
        <v/>
      </c>
      <c r="H680" s="13">
        <f>IF(IF(ISNA(計算結果!H680),"",計算結果!H680)=0,"",IF(ISNA(計算結果!H680),"",計算結果!H680))</f>
        <v>-2</v>
      </c>
      <c r="I680" s="12" t="str">
        <f>IF(IF(ISNA(計算結果!I680),"",計算結果!I680)=0,"",IF(ISNA(計算結果!I680),"",計算結果!I680))</f>
        <v/>
      </c>
      <c r="J680" s="12" t="str">
        <f>IF(IF(ISNA(計算結果!J680),"",計算結果!J680)=0,"",IF(ISNA(計算結果!J680),"",計算結果!J680))</f>
        <v/>
      </c>
      <c r="K680" s="23" t="str">
        <f>IF(IF(ISNA(計算結果!K680),"",計算結果!K680)=0,"",IF(ISNA(計算結果!K680),"",計算結果!K680))</f>
        <v/>
      </c>
      <c r="L680" s="13" t="str">
        <f>IF(IF(ISNA(計算結果!L680),"",計算結果!L680)=0,"",IF(ISNA(計算結果!L680),"",計算結果!L680))</f>
        <v/>
      </c>
      <c r="M680" s="10" t="str">
        <f>IF(IF(ISNA(計算結果!M680),"",計算結果!M680)=0,"",IF(ISNA(計算結果!M680),"",計算結果!M680))</f>
        <v/>
      </c>
      <c r="N680" s="10" t="str">
        <f>IF(IF(ISNA(計算結果!N680),"",計算結果!N680)=0,"",IF(ISNA(計算結果!N680),"",計算結果!N680))</f>
        <v/>
      </c>
      <c r="O680" s="13" t="str">
        <f>IF(IF(ISNA(計算結果!O680),"",計算結果!O680)=0,"",IF(ISNA(計算結果!O680),"",計算結果!O680))</f>
        <v/>
      </c>
      <c r="P680" s="10" t="str">
        <f>IF(IF(ISNA(計算結果!P680),"",計算結果!P680)=0,"",IF(ISNA(計算結果!P680),"",計算結果!P680))</f>
        <v/>
      </c>
      <c r="Q680" s="10" t="str">
        <f>IF(IF(ISNA(計算結果!Q680),"",計算結果!Q680)=0,"",IF(ISNA(計算結果!Q680),"",計算結果!Q680))</f>
        <v/>
      </c>
      <c r="R680" s="14" t="str">
        <f t="shared" si="30"/>
        <v/>
      </c>
      <c r="S680" s="14" t="str">
        <f t="shared" si="31"/>
        <v>◯</v>
      </c>
      <c r="T680" s="14" t="str">
        <f t="shared" si="32"/>
        <v/>
      </c>
    </row>
    <row r="681" spans="1:20" hidden="1" x14ac:dyDescent="0.45">
      <c r="A681" s="10" t="str">
        <f>IF(IF(ISNA(計算結果!A681),"",計算結果!A681)=0,"",IF(ISNA(計算結果!A681),"",計算結果!A681))</f>
        <v/>
      </c>
      <c r="B681" s="10" t="str">
        <f>IF(IF(ISNA(計算結果!B681),"",計算結果!B681)=0,"",IF(ISNA(計算結果!B681),"",計算結果!B681))</f>
        <v/>
      </c>
      <c r="C681" s="10" t="str">
        <f>IF(IF(ISNA(計算結果!C681),"",計算結果!C681)=0,"",IF(ISNA(計算結果!C681),"",計算結果!C681))</f>
        <v/>
      </c>
      <c r="D681" s="10" t="str">
        <f>IF(IF(ISNA(計算結果!D681),"",計算結果!D681)=0,"",IF(ISNA(計算結果!D681),"",計算結果!D681))</f>
        <v>L</v>
      </c>
      <c r="E681" s="10" t="str">
        <f>IF(IF(ISNA(計算結果!E681),"",計算結果!E681)=0,"",IF(ISNA(計算結果!E681),"",計算結果!E681))</f>
        <v/>
      </c>
      <c r="F681" s="10" t="str">
        <f>IF(IF(ISNA(計算結果!F681),"",計算結果!F681)=0,"",IF(ISNA(計算結果!F681),"",計算結果!F681))</f>
        <v/>
      </c>
      <c r="G681" s="10" t="str">
        <f>IF(IF(ISNA(計算結果!G681),"",計算結果!G681)=0,"",IF(ISNA(計算結果!G681),"",計算結果!G681))</f>
        <v/>
      </c>
      <c r="H681" s="13">
        <f>IF(IF(ISNA(計算結果!H681),"",計算結果!H681)=0,"",IF(ISNA(計算結果!H681),"",計算結果!H681))</f>
        <v>-2</v>
      </c>
      <c r="I681" s="12" t="str">
        <f>IF(IF(ISNA(計算結果!I681),"",計算結果!I681)=0,"",IF(ISNA(計算結果!I681),"",計算結果!I681))</f>
        <v/>
      </c>
      <c r="J681" s="12" t="str">
        <f>IF(IF(ISNA(計算結果!J681),"",計算結果!J681)=0,"",IF(ISNA(計算結果!J681),"",計算結果!J681))</f>
        <v/>
      </c>
      <c r="K681" s="23" t="str">
        <f>IF(IF(ISNA(計算結果!K681),"",計算結果!K681)=0,"",IF(ISNA(計算結果!K681),"",計算結果!K681))</f>
        <v/>
      </c>
      <c r="L681" s="13" t="str">
        <f>IF(IF(ISNA(計算結果!L681),"",計算結果!L681)=0,"",IF(ISNA(計算結果!L681),"",計算結果!L681))</f>
        <v/>
      </c>
      <c r="M681" s="10" t="str">
        <f>IF(IF(ISNA(計算結果!M681),"",計算結果!M681)=0,"",IF(ISNA(計算結果!M681),"",計算結果!M681))</f>
        <v/>
      </c>
      <c r="N681" s="10" t="str">
        <f>IF(IF(ISNA(計算結果!N681),"",計算結果!N681)=0,"",IF(ISNA(計算結果!N681),"",計算結果!N681))</f>
        <v/>
      </c>
      <c r="O681" s="13" t="str">
        <f>IF(IF(ISNA(計算結果!O681),"",計算結果!O681)=0,"",IF(ISNA(計算結果!O681),"",計算結果!O681))</f>
        <v/>
      </c>
      <c r="P681" s="10" t="str">
        <f>IF(IF(ISNA(計算結果!P681),"",計算結果!P681)=0,"",IF(ISNA(計算結果!P681),"",計算結果!P681))</f>
        <v/>
      </c>
      <c r="Q681" s="10" t="str">
        <f>IF(IF(ISNA(計算結果!Q681),"",計算結果!Q681)=0,"",IF(ISNA(計算結果!Q681),"",計算結果!Q681))</f>
        <v/>
      </c>
      <c r="R681" s="14" t="str">
        <f t="shared" si="30"/>
        <v/>
      </c>
      <c r="S681" s="14" t="str">
        <f t="shared" si="31"/>
        <v>◯</v>
      </c>
      <c r="T681" s="14" t="str">
        <f t="shared" si="32"/>
        <v/>
      </c>
    </row>
    <row r="682" spans="1:20" hidden="1" x14ac:dyDescent="0.45">
      <c r="A682" s="10" t="str">
        <f>IF(IF(ISNA(計算結果!A682),"",計算結果!A682)=0,"",IF(ISNA(計算結果!A682),"",計算結果!A682))</f>
        <v/>
      </c>
      <c r="B682" s="10" t="str">
        <f>IF(IF(ISNA(計算結果!B682),"",計算結果!B682)=0,"",IF(ISNA(計算結果!B682),"",計算結果!B682))</f>
        <v/>
      </c>
      <c r="C682" s="10" t="str">
        <f>IF(IF(ISNA(計算結果!C682),"",計算結果!C682)=0,"",IF(ISNA(計算結果!C682),"",計算結果!C682))</f>
        <v/>
      </c>
      <c r="D682" s="10" t="str">
        <f>IF(IF(ISNA(計算結果!D682),"",計算結果!D682)=0,"",IF(ISNA(計算結果!D682),"",計算結果!D682))</f>
        <v>L</v>
      </c>
      <c r="E682" s="10" t="str">
        <f>IF(IF(ISNA(計算結果!E682),"",計算結果!E682)=0,"",IF(ISNA(計算結果!E682),"",計算結果!E682))</f>
        <v/>
      </c>
      <c r="F682" s="10" t="str">
        <f>IF(IF(ISNA(計算結果!F682),"",計算結果!F682)=0,"",IF(ISNA(計算結果!F682),"",計算結果!F682))</f>
        <v/>
      </c>
      <c r="G682" s="10" t="str">
        <f>IF(IF(ISNA(計算結果!G682),"",計算結果!G682)=0,"",IF(ISNA(計算結果!G682),"",計算結果!G682))</f>
        <v/>
      </c>
      <c r="H682" s="13">
        <f>IF(IF(ISNA(計算結果!H682),"",計算結果!H682)=0,"",IF(ISNA(計算結果!H682),"",計算結果!H682))</f>
        <v>-2</v>
      </c>
      <c r="I682" s="12" t="str">
        <f>IF(IF(ISNA(計算結果!I682),"",計算結果!I682)=0,"",IF(ISNA(計算結果!I682),"",計算結果!I682))</f>
        <v/>
      </c>
      <c r="J682" s="12" t="str">
        <f>IF(IF(ISNA(計算結果!J682),"",計算結果!J682)=0,"",IF(ISNA(計算結果!J682),"",計算結果!J682))</f>
        <v/>
      </c>
      <c r="K682" s="23" t="str">
        <f>IF(IF(ISNA(計算結果!K682),"",計算結果!K682)=0,"",IF(ISNA(計算結果!K682),"",計算結果!K682))</f>
        <v/>
      </c>
      <c r="L682" s="13" t="str">
        <f>IF(IF(ISNA(計算結果!L682),"",計算結果!L682)=0,"",IF(ISNA(計算結果!L682),"",計算結果!L682))</f>
        <v/>
      </c>
      <c r="M682" s="10" t="str">
        <f>IF(IF(ISNA(計算結果!M682),"",計算結果!M682)=0,"",IF(ISNA(計算結果!M682),"",計算結果!M682))</f>
        <v/>
      </c>
      <c r="N682" s="10" t="str">
        <f>IF(IF(ISNA(計算結果!N682),"",計算結果!N682)=0,"",IF(ISNA(計算結果!N682),"",計算結果!N682))</f>
        <v/>
      </c>
      <c r="O682" s="13" t="str">
        <f>IF(IF(ISNA(計算結果!O682),"",計算結果!O682)=0,"",IF(ISNA(計算結果!O682),"",計算結果!O682))</f>
        <v/>
      </c>
      <c r="P682" s="10" t="str">
        <f>IF(IF(ISNA(計算結果!P682),"",計算結果!P682)=0,"",IF(ISNA(計算結果!P682),"",計算結果!P682))</f>
        <v/>
      </c>
      <c r="Q682" s="10" t="str">
        <f>IF(IF(ISNA(計算結果!Q682),"",計算結果!Q682)=0,"",IF(ISNA(計算結果!Q682),"",計算結果!Q682))</f>
        <v/>
      </c>
      <c r="R682" s="14" t="str">
        <f t="shared" si="30"/>
        <v/>
      </c>
      <c r="S682" s="14" t="str">
        <f t="shared" si="31"/>
        <v>◯</v>
      </c>
      <c r="T682" s="14" t="str">
        <f t="shared" si="32"/>
        <v/>
      </c>
    </row>
    <row r="683" spans="1:20" hidden="1" x14ac:dyDescent="0.45">
      <c r="A683" s="10" t="str">
        <f>IF(IF(ISNA(計算結果!A683),"",計算結果!A683)=0,"",IF(ISNA(計算結果!A683),"",計算結果!A683))</f>
        <v/>
      </c>
      <c r="B683" s="10" t="str">
        <f>IF(IF(ISNA(計算結果!B683),"",計算結果!B683)=0,"",IF(ISNA(計算結果!B683),"",計算結果!B683))</f>
        <v/>
      </c>
      <c r="C683" s="10" t="str">
        <f>IF(IF(ISNA(計算結果!C683),"",計算結果!C683)=0,"",IF(ISNA(計算結果!C683),"",計算結果!C683))</f>
        <v/>
      </c>
      <c r="D683" s="10" t="str">
        <f>IF(IF(ISNA(計算結果!D683),"",計算結果!D683)=0,"",IF(ISNA(計算結果!D683),"",計算結果!D683))</f>
        <v>L</v>
      </c>
      <c r="E683" s="10" t="str">
        <f>IF(IF(ISNA(計算結果!E683),"",計算結果!E683)=0,"",IF(ISNA(計算結果!E683),"",計算結果!E683))</f>
        <v/>
      </c>
      <c r="F683" s="10" t="str">
        <f>IF(IF(ISNA(計算結果!F683),"",計算結果!F683)=0,"",IF(ISNA(計算結果!F683),"",計算結果!F683))</f>
        <v/>
      </c>
      <c r="G683" s="10" t="str">
        <f>IF(IF(ISNA(計算結果!G683),"",計算結果!G683)=0,"",IF(ISNA(計算結果!G683),"",計算結果!G683))</f>
        <v/>
      </c>
      <c r="H683" s="13">
        <f>IF(IF(ISNA(計算結果!H683),"",計算結果!H683)=0,"",IF(ISNA(計算結果!H683),"",計算結果!H683))</f>
        <v>-2</v>
      </c>
      <c r="I683" s="12" t="str">
        <f>IF(IF(ISNA(計算結果!I683),"",計算結果!I683)=0,"",IF(ISNA(計算結果!I683),"",計算結果!I683))</f>
        <v/>
      </c>
      <c r="J683" s="12" t="str">
        <f>IF(IF(ISNA(計算結果!J683),"",計算結果!J683)=0,"",IF(ISNA(計算結果!J683),"",計算結果!J683))</f>
        <v/>
      </c>
      <c r="K683" s="23" t="str">
        <f>IF(IF(ISNA(計算結果!K683),"",計算結果!K683)=0,"",IF(ISNA(計算結果!K683),"",計算結果!K683))</f>
        <v/>
      </c>
      <c r="L683" s="13" t="str">
        <f>IF(IF(ISNA(計算結果!L683),"",計算結果!L683)=0,"",IF(ISNA(計算結果!L683),"",計算結果!L683))</f>
        <v/>
      </c>
      <c r="M683" s="10" t="str">
        <f>IF(IF(ISNA(計算結果!M683),"",計算結果!M683)=0,"",IF(ISNA(計算結果!M683),"",計算結果!M683))</f>
        <v/>
      </c>
      <c r="N683" s="10" t="str">
        <f>IF(IF(ISNA(計算結果!N683),"",計算結果!N683)=0,"",IF(ISNA(計算結果!N683),"",計算結果!N683))</f>
        <v/>
      </c>
      <c r="O683" s="13" t="str">
        <f>IF(IF(ISNA(計算結果!O683),"",計算結果!O683)=0,"",IF(ISNA(計算結果!O683),"",計算結果!O683))</f>
        <v/>
      </c>
      <c r="P683" s="10" t="str">
        <f>IF(IF(ISNA(計算結果!P683),"",計算結果!P683)=0,"",IF(ISNA(計算結果!P683),"",計算結果!P683))</f>
        <v/>
      </c>
      <c r="Q683" s="10" t="str">
        <f>IF(IF(ISNA(計算結果!Q683),"",計算結果!Q683)=0,"",IF(ISNA(計算結果!Q683),"",計算結果!Q683))</f>
        <v/>
      </c>
      <c r="R683" s="14" t="str">
        <f t="shared" si="30"/>
        <v/>
      </c>
      <c r="S683" s="14" t="str">
        <f t="shared" si="31"/>
        <v>◯</v>
      </c>
      <c r="T683" s="14" t="str">
        <f t="shared" si="32"/>
        <v/>
      </c>
    </row>
    <row r="684" spans="1:20" hidden="1" x14ac:dyDescent="0.45">
      <c r="A684" s="10" t="str">
        <f>IF(IF(ISNA(計算結果!A684),"",計算結果!A684)=0,"",IF(ISNA(計算結果!A684),"",計算結果!A684))</f>
        <v/>
      </c>
      <c r="B684" s="10" t="str">
        <f>IF(IF(ISNA(計算結果!B684),"",計算結果!B684)=0,"",IF(ISNA(計算結果!B684),"",計算結果!B684))</f>
        <v/>
      </c>
      <c r="C684" s="10" t="str">
        <f>IF(IF(ISNA(計算結果!C684),"",計算結果!C684)=0,"",IF(ISNA(計算結果!C684),"",計算結果!C684))</f>
        <v/>
      </c>
      <c r="D684" s="10" t="str">
        <f>IF(IF(ISNA(計算結果!D684),"",計算結果!D684)=0,"",IF(ISNA(計算結果!D684),"",計算結果!D684))</f>
        <v>L</v>
      </c>
      <c r="E684" s="10" t="str">
        <f>IF(IF(ISNA(計算結果!E684),"",計算結果!E684)=0,"",IF(ISNA(計算結果!E684),"",計算結果!E684))</f>
        <v/>
      </c>
      <c r="F684" s="10" t="str">
        <f>IF(IF(ISNA(計算結果!F684),"",計算結果!F684)=0,"",IF(ISNA(計算結果!F684),"",計算結果!F684))</f>
        <v/>
      </c>
      <c r="G684" s="10" t="str">
        <f>IF(IF(ISNA(計算結果!G684),"",計算結果!G684)=0,"",IF(ISNA(計算結果!G684),"",計算結果!G684))</f>
        <v/>
      </c>
      <c r="H684" s="13">
        <f>IF(IF(ISNA(計算結果!H684),"",計算結果!H684)=0,"",IF(ISNA(計算結果!H684),"",計算結果!H684))</f>
        <v>-2</v>
      </c>
      <c r="I684" s="12" t="str">
        <f>IF(IF(ISNA(計算結果!I684),"",計算結果!I684)=0,"",IF(ISNA(計算結果!I684),"",計算結果!I684))</f>
        <v/>
      </c>
      <c r="J684" s="12" t="str">
        <f>IF(IF(ISNA(計算結果!J684),"",計算結果!J684)=0,"",IF(ISNA(計算結果!J684),"",計算結果!J684))</f>
        <v/>
      </c>
      <c r="K684" s="23" t="str">
        <f>IF(IF(ISNA(計算結果!K684),"",計算結果!K684)=0,"",IF(ISNA(計算結果!K684),"",計算結果!K684))</f>
        <v/>
      </c>
      <c r="L684" s="13" t="str">
        <f>IF(IF(ISNA(計算結果!L684),"",計算結果!L684)=0,"",IF(ISNA(計算結果!L684),"",計算結果!L684))</f>
        <v/>
      </c>
      <c r="M684" s="10" t="str">
        <f>IF(IF(ISNA(計算結果!M684),"",計算結果!M684)=0,"",IF(ISNA(計算結果!M684),"",計算結果!M684))</f>
        <v/>
      </c>
      <c r="N684" s="10" t="str">
        <f>IF(IF(ISNA(計算結果!N684),"",計算結果!N684)=0,"",IF(ISNA(計算結果!N684),"",計算結果!N684))</f>
        <v/>
      </c>
      <c r="O684" s="13" t="str">
        <f>IF(IF(ISNA(計算結果!O684),"",計算結果!O684)=0,"",IF(ISNA(計算結果!O684),"",計算結果!O684))</f>
        <v/>
      </c>
      <c r="P684" s="10" t="str">
        <f>IF(IF(ISNA(計算結果!P684),"",計算結果!P684)=0,"",IF(ISNA(計算結果!P684),"",計算結果!P684))</f>
        <v/>
      </c>
      <c r="Q684" s="10" t="str">
        <f>IF(IF(ISNA(計算結果!Q684),"",計算結果!Q684)=0,"",IF(ISNA(計算結果!Q684),"",計算結果!Q684))</f>
        <v/>
      </c>
      <c r="R684" s="14" t="str">
        <f t="shared" si="30"/>
        <v/>
      </c>
      <c r="S684" s="14" t="str">
        <f t="shared" si="31"/>
        <v>◯</v>
      </c>
      <c r="T684" s="14" t="str">
        <f t="shared" si="32"/>
        <v/>
      </c>
    </row>
    <row r="685" spans="1:20" hidden="1" x14ac:dyDescent="0.45">
      <c r="A685" s="10" t="str">
        <f>IF(IF(ISNA(計算結果!A685),"",計算結果!A685)=0,"",IF(ISNA(計算結果!A685),"",計算結果!A685))</f>
        <v/>
      </c>
      <c r="B685" s="10" t="str">
        <f>IF(IF(ISNA(計算結果!B685),"",計算結果!B685)=0,"",IF(ISNA(計算結果!B685),"",計算結果!B685))</f>
        <v/>
      </c>
      <c r="C685" s="10" t="str">
        <f>IF(IF(ISNA(計算結果!C685),"",計算結果!C685)=0,"",IF(ISNA(計算結果!C685),"",計算結果!C685))</f>
        <v/>
      </c>
      <c r="D685" s="10" t="str">
        <f>IF(IF(ISNA(計算結果!D685),"",計算結果!D685)=0,"",IF(ISNA(計算結果!D685),"",計算結果!D685))</f>
        <v>L</v>
      </c>
      <c r="E685" s="10" t="str">
        <f>IF(IF(ISNA(計算結果!E685),"",計算結果!E685)=0,"",IF(ISNA(計算結果!E685),"",計算結果!E685))</f>
        <v/>
      </c>
      <c r="F685" s="10" t="str">
        <f>IF(IF(ISNA(計算結果!F685),"",計算結果!F685)=0,"",IF(ISNA(計算結果!F685),"",計算結果!F685))</f>
        <v/>
      </c>
      <c r="G685" s="10" t="str">
        <f>IF(IF(ISNA(計算結果!G685),"",計算結果!G685)=0,"",IF(ISNA(計算結果!G685),"",計算結果!G685))</f>
        <v/>
      </c>
      <c r="H685" s="13">
        <f>IF(IF(ISNA(計算結果!H685),"",計算結果!H685)=0,"",IF(ISNA(計算結果!H685),"",計算結果!H685))</f>
        <v>-2</v>
      </c>
      <c r="I685" s="12" t="str">
        <f>IF(IF(ISNA(計算結果!I685),"",計算結果!I685)=0,"",IF(ISNA(計算結果!I685),"",計算結果!I685))</f>
        <v/>
      </c>
      <c r="J685" s="12" t="str">
        <f>IF(IF(ISNA(計算結果!J685),"",計算結果!J685)=0,"",IF(ISNA(計算結果!J685),"",計算結果!J685))</f>
        <v/>
      </c>
      <c r="K685" s="23" t="str">
        <f>IF(IF(ISNA(計算結果!K685),"",計算結果!K685)=0,"",IF(ISNA(計算結果!K685),"",計算結果!K685))</f>
        <v/>
      </c>
      <c r="L685" s="13" t="str">
        <f>IF(IF(ISNA(計算結果!L685),"",計算結果!L685)=0,"",IF(ISNA(計算結果!L685),"",計算結果!L685))</f>
        <v/>
      </c>
      <c r="M685" s="10" t="str">
        <f>IF(IF(ISNA(計算結果!M685),"",計算結果!M685)=0,"",IF(ISNA(計算結果!M685),"",計算結果!M685))</f>
        <v/>
      </c>
      <c r="N685" s="10" t="str">
        <f>IF(IF(ISNA(計算結果!N685),"",計算結果!N685)=0,"",IF(ISNA(計算結果!N685),"",計算結果!N685))</f>
        <v/>
      </c>
      <c r="O685" s="13" t="str">
        <f>IF(IF(ISNA(計算結果!O685),"",計算結果!O685)=0,"",IF(ISNA(計算結果!O685),"",計算結果!O685))</f>
        <v/>
      </c>
      <c r="P685" s="10" t="str">
        <f>IF(IF(ISNA(計算結果!P685),"",計算結果!P685)=0,"",IF(ISNA(計算結果!P685),"",計算結果!P685))</f>
        <v/>
      </c>
      <c r="Q685" s="10" t="str">
        <f>IF(IF(ISNA(計算結果!Q685),"",計算結果!Q685)=0,"",IF(ISNA(計算結果!Q685),"",計算結果!Q685))</f>
        <v/>
      </c>
      <c r="R685" s="14" t="str">
        <f t="shared" si="30"/>
        <v/>
      </c>
      <c r="S685" s="14" t="str">
        <f t="shared" si="31"/>
        <v>◯</v>
      </c>
      <c r="T685" s="14" t="str">
        <f t="shared" si="32"/>
        <v/>
      </c>
    </row>
    <row r="686" spans="1:20" hidden="1" x14ac:dyDescent="0.45">
      <c r="A686" s="10" t="str">
        <f>IF(IF(ISNA(計算結果!A686),"",計算結果!A686)=0,"",IF(ISNA(計算結果!A686),"",計算結果!A686))</f>
        <v/>
      </c>
      <c r="B686" s="10" t="str">
        <f>IF(IF(ISNA(計算結果!B686),"",計算結果!B686)=0,"",IF(ISNA(計算結果!B686),"",計算結果!B686))</f>
        <v/>
      </c>
      <c r="C686" s="10" t="str">
        <f>IF(IF(ISNA(計算結果!C686),"",計算結果!C686)=0,"",IF(ISNA(計算結果!C686),"",計算結果!C686))</f>
        <v/>
      </c>
      <c r="D686" s="10" t="str">
        <f>IF(IF(ISNA(計算結果!D686),"",計算結果!D686)=0,"",IF(ISNA(計算結果!D686),"",計算結果!D686))</f>
        <v>L</v>
      </c>
      <c r="E686" s="10" t="str">
        <f>IF(IF(ISNA(計算結果!E686),"",計算結果!E686)=0,"",IF(ISNA(計算結果!E686),"",計算結果!E686))</f>
        <v/>
      </c>
      <c r="F686" s="10" t="str">
        <f>IF(IF(ISNA(計算結果!F686),"",計算結果!F686)=0,"",IF(ISNA(計算結果!F686),"",計算結果!F686))</f>
        <v/>
      </c>
      <c r="G686" s="10" t="str">
        <f>IF(IF(ISNA(計算結果!G686),"",計算結果!G686)=0,"",IF(ISNA(計算結果!G686),"",計算結果!G686))</f>
        <v/>
      </c>
      <c r="H686" s="13">
        <f>IF(IF(ISNA(計算結果!H686),"",計算結果!H686)=0,"",IF(ISNA(計算結果!H686),"",計算結果!H686))</f>
        <v>-2</v>
      </c>
      <c r="I686" s="12" t="str">
        <f>IF(IF(ISNA(計算結果!I686),"",計算結果!I686)=0,"",IF(ISNA(計算結果!I686),"",計算結果!I686))</f>
        <v/>
      </c>
      <c r="J686" s="12" t="str">
        <f>IF(IF(ISNA(計算結果!J686),"",計算結果!J686)=0,"",IF(ISNA(計算結果!J686),"",計算結果!J686))</f>
        <v/>
      </c>
      <c r="K686" s="23" t="str">
        <f>IF(IF(ISNA(計算結果!K686),"",計算結果!K686)=0,"",IF(ISNA(計算結果!K686),"",計算結果!K686))</f>
        <v/>
      </c>
      <c r="L686" s="13" t="str">
        <f>IF(IF(ISNA(計算結果!L686),"",計算結果!L686)=0,"",IF(ISNA(計算結果!L686),"",計算結果!L686))</f>
        <v/>
      </c>
      <c r="M686" s="10" t="str">
        <f>IF(IF(ISNA(計算結果!M686),"",計算結果!M686)=0,"",IF(ISNA(計算結果!M686),"",計算結果!M686))</f>
        <v/>
      </c>
      <c r="N686" s="10" t="str">
        <f>IF(IF(ISNA(計算結果!N686),"",計算結果!N686)=0,"",IF(ISNA(計算結果!N686),"",計算結果!N686))</f>
        <v/>
      </c>
      <c r="O686" s="13" t="str">
        <f>IF(IF(ISNA(計算結果!O686),"",計算結果!O686)=0,"",IF(ISNA(計算結果!O686),"",計算結果!O686))</f>
        <v/>
      </c>
      <c r="P686" s="10" t="str">
        <f>IF(IF(ISNA(計算結果!P686),"",計算結果!P686)=0,"",IF(ISNA(計算結果!P686),"",計算結果!P686))</f>
        <v/>
      </c>
      <c r="Q686" s="10" t="str">
        <f>IF(IF(ISNA(計算結果!Q686),"",計算結果!Q686)=0,"",IF(ISNA(計算結果!Q686),"",計算結果!Q686))</f>
        <v/>
      </c>
      <c r="R686" s="14" t="str">
        <f t="shared" si="30"/>
        <v/>
      </c>
      <c r="S686" s="14" t="str">
        <f t="shared" si="31"/>
        <v>◯</v>
      </c>
      <c r="T686" s="14" t="str">
        <f t="shared" si="32"/>
        <v/>
      </c>
    </row>
    <row r="687" spans="1:20" hidden="1" x14ac:dyDescent="0.45">
      <c r="A687" s="10" t="str">
        <f>IF(IF(ISNA(計算結果!A687),"",計算結果!A687)=0,"",IF(ISNA(計算結果!A687),"",計算結果!A687))</f>
        <v/>
      </c>
      <c r="B687" s="10" t="str">
        <f>IF(IF(ISNA(計算結果!B687),"",計算結果!B687)=0,"",IF(ISNA(計算結果!B687),"",計算結果!B687))</f>
        <v/>
      </c>
      <c r="C687" s="10" t="str">
        <f>IF(IF(ISNA(計算結果!C687),"",計算結果!C687)=0,"",IF(ISNA(計算結果!C687),"",計算結果!C687))</f>
        <v/>
      </c>
      <c r="D687" s="10" t="str">
        <f>IF(IF(ISNA(計算結果!D687),"",計算結果!D687)=0,"",IF(ISNA(計算結果!D687),"",計算結果!D687))</f>
        <v>L</v>
      </c>
      <c r="E687" s="10" t="str">
        <f>IF(IF(ISNA(計算結果!E687),"",計算結果!E687)=0,"",IF(ISNA(計算結果!E687),"",計算結果!E687))</f>
        <v/>
      </c>
      <c r="F687" s="10" t="str">
        <f>IF(IF(ISNA(計算結果!F687),"",計算結果!F687)=0,"",IF(ISNA(計算結果!F687),"",計算結果!F687))</f>
        <v/>
      </c>
      <c r="G687" s="10" t="str">
        <f>IF(IF(ISNA(計算結果!G687),"",計算結果!G687)=0,"",IF(ISNA(計算結果!G687),"",計算結果!G687))</f>
        <v/>
      </c>
      <c r="H687" s="13">
        <f>IF(IF(ISNA(計算結果!H687),"",計算結果!H687)=0,"",IF(ISNA(計算結果!H687),"",計算結果!H687))</f>
        <v>-2</v>
      </c>
      <c r="I687" s="12" t="str">
        <f>IF(IF(ISNA(計算結果!I687),"",計算結果!I687)=0,"",IF(ISNA(計算結果!I687),"",計算結果!I687))</f>
        <v/>
      </c>
      <c r="J687" s="12" t="str">
        <f>IF(IF(ISNA(計算結果!J687),"",計算結果!J687)=0,"",IF(ISNA(計算結果!J687),"",計算結果!J687))</f>
        <v/>
      </c>
      <c r="K687" s="23" t="str">
        <f>IF(IF(ISNA(計算結果!K687),"",計算結果!K687)=0,"",IF(ISNA(計算結果!K687),"",計算結果!K687))</f>
        <v/>
      </c>
      <c r="L687" s="13" t="str">
        <f>IF(IF(ISNA(計算結果!L687),"",計算結果!L687)=0,"",IF(ISNA(計算結果!L687),"",計算結果!L687))</f>
        <v/>
      </c>
      <c r="M687" s="10" t="str">
        <f>IF(IF(ISNA(計算結果!M687),"",計算結果!M687)=0,"",IF(ISNA(計算結果!M687),"",計算結果!M687))</f>
        <v/>
      </c>
      <c r="N687" s="10" t="str">
        <f>IF(IF(ISNA(計算結果!N687),"",計算結果!N687)=0,"",IF(ISNA(計算結果!N687),"",計算結果!N687))</f>
        <v/>
      </c>
      <c r="O687" s="13" t="str">
        <f>IF(IF(ISNA(計算結果!O687),"",計算結果!O687)=0,"",IF(ISNA(計算結果!O687),"",計算結果!O687))</f>
        <v/>
      </c>
      <c r="P687" s="10" t="str">
        <f>IF(IF(ISNA(計算結果!P687),"",計算結果!P687)=0,"",IF(ISNA(計算結果!P687),"",計算結果!P687))</f>
        <v/>
      </c>
      <c r="Q687" s="10" t="str">
        <f>IF(IF(ISNA(計算結果!Q687),"",計算結果!Q687)=0,"",IF(ISNA(計算結果!Q687),"",計算結果!Q687))</f>
        <v/>
      </c>
      <c r="R687" s="14" t="str">
        <f t="shared" si="30"/>
        <v/>
      </c>
      <c r="S687" s="14" t="str">
        <f t="shared" si="31"/>
        <v>◯</v>
      </c>
      <c r="T687" s="14" t="str">
        <f t="shared" si="32"/>
        <v/>
      </c>
    </row>
    <row r="688" spans="1:20" hidden="1" x14ac:dyDescent="0.45">
      <c r="A688" s="10" t="str">
        <f>IF(IF(ISNA(計算結果!A688),"",計算結果!A688)=0,"",IF(ISNA(計算結果!A688),"",計算結果!A688))</f>
        <v/>
      </c>
      <c r="B688" s="10" t="str">
        <f>IF(IF(ISNA(計算結果!B688),"",計算結果!B688)=0,"",IF(ISNA(計算結果!B688),"",計算結果!B688))</f>
        <v/>
      </c>
      <c r="C688" s="10" t="str">
        <f>IF(IF(ISNA(計算結果!C688),"",計算結果!C688)=0,"",IF(ISNA(計算結果!C688),"",計算結果!C688))</f>
        <v/>
      </c>
      <c r="D688" s="10" t="str">
        <f>IF(IF(ISNA(計算結果!D688),"",計算結果!D688)=0,"",IF(ISNA(計算結果!D688),"",計算結果!D688))</f>
        <v>L</v>
      </c>
      <c r="E688" s="10" t="str">
        <f>IF(IF(ISNA(計算結果!E688),"",計算結果!E688)=0,"",IF(ISNA(計算結果!E688),"",計算結果!E688))</f>
        <v/>
      </c>
      <c r="F688" s="10" t="str">
        <f>IF(IF(ISNA(計算結果!F688),"",計算結果!F688)=0,"",IF(ISNA(計算結果!F688),"",計算結果!F688))</f>
        <v/>
      </c>
      <c r="G688" s="10" t="str">
        <f>IF(IF(ISNA(計算結果!G688),"",計算結果!G688)=0,"",IF(ISNA(計算結果!G688),"",計算結果!G688))</f>
        <v/>
      </c>
      <c r="H688" s="13">
        <f>IF(IF(ISNA(計算結果!H688),"",計算結果!H688)=0,"",IF(ISNA(計算結果!H688),"",計算結果!H688))</f>
        <v>-2</v>
      </c>
      <c r="I688" s="12" t="str">
        <f>IF(IF(ISNA(計算結果!I688),"",計算結果!I688)=0,"",IF(ISNA(計算結果!I688),"",計算結果!I688))</f>
        <v/>
      </c>
      <c r="J688" s="12" t="str">
        <f>IF(IF(ISNA(計算結果!J688),"",計算結果!J688)=0,"",IF(ISNA(計算結果!J688),"",計算結果!J688))</f>
        <v/>
      </c>
      <c r="K688" s="23" t="str">
        <f>IF(IF(ISNA(計算結果!K688),"",計算結果!K688)=0,"",IF(ISNA(計算結果!K688),"",計算結果!K688))</f>
        <v/>
      </c>
      <c r="L688" s="13" t="str">
        <f>IF(IF(ISNA(計算結果!L688),"",計算結果!L688)=0,"",IF(ISNA(計算結果!L688),"",計算結果!L688))</f>
        <v/>
      </c>
      <c r="M688" s="10" t="str">
        <f>IF(IF(ISNA(計算結果!M688),"",計算結果!M688)=0,"",IF(ISNA(計算結果!M688),"",計算結果!M688))</f>
        <v/>
      </c>
      <c r="N688" s="10" t="str">
        <f>IF(IF(ISNA(計算結果!N688),"",計算結果!N688)=0,"",IF(ISNA(計算結果!N688),"",計算結果!N688))</f>
        <v/>
      </c>
      <c r="O688" s="13" t="str">
        <f>IF(IF(ISNA(計算結果!O688),"",計算結果!O688)=0,"",IF(ISNA(計算結果!O688),"",計算結果!O688))</f>
        <v/>
      </c>
      <c r="P688" s="10" t="str">
        <f>IF(IF(ISNA(計算結果!P688),"",計算結果!P688)=0,"",IF(ISNA(計算結果!P688),"",計算結果!P688))</f>
        <v/>
      </c>
      <c r="Q688" s="10" t="str">
        <f>IF(IF(ISNA(計算結果!Q688),"",計算結果!Q688)=0,"",IF(ISNA(計算結果!Q688),"",計算結果!Q688))</f>
        <v/>
      </c>
      <c r="R688" s="14" t="str">
        <f t="shared" si="30"/>
        <v/>
      </c>
      <c r="S688" s="14" t="str">
        <f t="shared" si="31"/>
        <v>◯</v>
      </c>
      <c r="T688" s="14" t="str">
        <f t="shared" si="32"/>
        <v/>
      </c>
    </row>
    <row r="689" spans="1:20" hidden="1" x14ac:dyDescent="0.45">
      <c r="A689" s="10" t="str">
        <f>IF(IF(ISNA(計算結果!A689),"",計算結果!A689)=0,"",IF(ISNA(計算結果!A689),"",計算結果!A689))</f>
        <v/>
      </c>
      <c r="B689" s="10" t="str">
        <f>IF(IF(ISNA(計算結果!B689),"",計算結果!B689)=0,"",IF(ISNA(計算結果!B689),"",計算結果!B689))</f>
        <v/>
      </c>
      <c r="C689" s="10" t="str">
        <f>IF(IF(ISNA(計算結果!C689),"",計算結果!C689)=0,"",IF(ISNA(計算結果!C689),"",計算結果!C689))</f>
        <v/>
      </c>
      <c r="D689" s="10" t="str">
        <f>IF(IF(ISNA(計算結果!D689),"",計算結果!D689)=0,"",IF(ISNA(計算結果!D689),"",計算結果!D689))</f>
        <v>L</v>
      </c>
      <c r="E689" s="10" t="str">
        <f>IF(IF(ISNA(計算結果!E689),"",計算結果!E689)=0,"",IF(ISNA(計算結果!E689),"",計算結果!E689))</f>
        <v/>
      </c>
      <c r="F689" s="10" t="str">
        <f>IF(IF(ISNA(計算結果!F689),"",計算結果!F689)=0,"",IF(ISNA(計算結果!F689),"",計算結果!F689))</f>
        <v/>
      </c>
      <c r="G689" s="10" t="str">
        <f>IF(IF(ISNA(計算結果!G689),"",計算結果!G689)=0,"",IF(ISNA(計算結果!G689),"",計算結果!G689))</f>
        <v/>
      </c>
      <c r="H689" s="13">
        <f>IF(IF(ISNA(計算結果!H689),"",計算結果!H689)=0,"",IF(ISNA(計算結果!H689),"",計算結果!H689))</f>
        <v>-2</v>
      </c>
      <c r="I689" s="12" t="str">
        <f>IF(IF(ISNA(計算結果!I689),"",計算結果!I689)=0,"",IF(ISNA(計算結果!I689),"",計算結果!I689))</f>
        <v/>
      </c>
      <c r="J689" s="12" t="str">
        <f>IF(IF(ISNA(計算結果!J689),"",計算結果!J689)=0,"",IF(ISNA(計算結果!J689),"",計算結果!J689))</f>
        <v/>
      </c>
      <c r="K689" s="23" t="str">
        <f>IF(IF(ISNA(計算結果!K689),"",計算結果!K689)=0,"",IF(ISNA(計算結果!K689),"",計算結果!K689))</f>
        <v/>
      </c>
      <c r="L689" s="13" t="str">
        <f>IF(IF(ISNA(計算結果!L689),"",計算結果!L689)=0,"",IF(ISNA(計算結果!L689),"",計算結果!L689))</f>
        <v/>
      </c>
      <c r="M689" s="10" t="str">
        <f>IF(IF(ISNA(計算結果!M689),"",計算結果!M689)=0,"",IF(ISNA(計算結果!M689),"",計算結果!M689))</f>
        <v/>
      </c>
      <c r="N689" s="10" t="str">
        <f>IF(IF(ISNA(計算結果!N689),"",計算結果!N689)=0,"",IF(ISNA(計算結果!N689),"",計算結果!N689))</f>
        <v/>
      </c>
      <c r="O689" s="13" t="str">
        <f>IF(IF(ISNA(計算結果!O689),"",計算結果!O689)=0,"",IF(ISNA(計算結果!O689),"",計算結果!O689))</f>
        <v/>
      </c>
      <c r="P689" s="10" t="str">
        <f>IF(IF(ISNA(計算結果!P689),"",計算結果!P689)=0,"",IF(ISNA(計算結果!P689),"",計算結果!P689))</f>
        <v/>
      </c>
      <c r="Q689" s="10" t="str">
        <f>IF(IF(ISNA(計算結果!Q689),"",計算結果!Q689)=0,"",IF(ISNA(計算結果!Q689),"",計算結果!Q689))</f>
        <v/>
      </c>
      <c r="R689" s="14" t="str">
        <f t="shared" si="30"/>
        <v/>
      </c>
      <c r="S689" s="14" t="str">
        <f t="shared" si="31"/>
        <v>◯</v>
      </c>
      <c r="T689" s="14" t="str">
        <f t="shared" si="32"/>
        <v/>
      </c>
    </row>
    <row r="690" spans="1:20" hidden="1" x14ac:dyDescent="0.45">
      <c r="A690" s="10" t="str">
        <f>IF(IF(ISNA(計算結果!A690),"",計算結果!A690)=0,"",IF(ISNA(計算結果!A690),"",計算結果!A690))</f>
        <v/>
      </c>
      <c r="B690" s="10" t="str">
        <f>IF(IF(ISNA(計算結果!B690),"",計算結果!B690)=0,"",IF(ISNA(計算結果!B690),"",計算結果!B690))</f>
        <v/>
      </c>
      <c r="C690" s="10" t="str">
        <f>IF(IF(ISNA(計算結果!C690),"",計算結果!C690)=0,"",IF(ISNA(計算結果!C690),"",計算結果!C690))</f>
        <v/>
      </c>
      <c r="D690" s="10" t="str">
        <f>IF(IF(ISNA(計算結果!D690),"",計算結果!D690)=0,"",IF(ISNA(計算結果!D690),"",計算結果!D690))</f>
        <v>L</v>
      </c>
      <c r="E690" s="10" t="str">
        <f>IF(IF(ISNA(計算結果!E690),"",計算結果!E690)=0,"",IF(ISNA(計算結果!E690),"",計算結果!E690))</f>
        <v/>
      </c>
      <c r="F690" s="10" t="str">
        <f>IF(IF(ISNA(計算結果!F690),"",計算結果!F690)=0,"",IF(ISNA(計算結果!F690),"",計算結果!F690))</f>
        <v/>
      </c>
      <c r="G690" s="10" t="str">
        <f>IF(IF(ISNA(計算結果!G690),"",計算結果!G690)=0,"",IF(ISNA(計算結果!G690),"",計算結果!G690))</f>
        <v/>
      </c>
      <c r="H690" s="13">
        <f>IF(IF(ISNA(計算結果!H690),"",計算結果!H690)=0,"",IF(ISNA(計算結果!H690),"",計算結果!H690))</f>
        <v>-2</v>
      </c>
      <c r="I690" s="12" t="str">
        <f>IF(IF(ISNA(計算結果!I690),"",計算結果!I690)=0,"",IF(ISNA(計算結果!I690),"",計算結果!I690))</f>
        <v/>
      </c>
      <c r="J690" s="12" t="str">
        <f>IF(IF(ISNA(計算結果!J690),"",計算結果!J690)=0,"",IF(ISNA(計算結果!J690),"",計算結果!J690))</f>
        <v/>
      </c>
      <c r="K690" s="23" t="str">
        <f>IF(IF(ISNA(計算結果!K690),"",計算結果!K690)=0,"",IF(ISNA(計算結果!K690),"",計算結果!K690))</f>
        <v/>
      </c>
      <c r="L690" s="13" t="str">
        <f>IF(IF(ISNA(計算結果!L690),"",計算結果!L690)=0,"",IF(ISNA(計算結果!L690),"",計算結果!L690))</f>
        <v/>
      </c>
      <c r="M690" s="10" t="str">
        <f>IF(IF(ISNA(計算結果!M690),"",計算結果!M690)=0,"",IF(ISNA(計算結果!M690),"",計算結果!M690))</f>
        <v/>
      </c>
      <c r="N690" s="10" t="str">
        <f>IF(IF(ISNA(計算結果!N690),"",計算結果!N690)=0,"",IF(ISNA(計算結果!N690),"",計算結果!N690))</f>
        <v/>
      </c>
      <c r="O690" s="13" t="str">
        <f>IF(IF(ISNA(計算結果!O690),"",計算結果!O690)=0,"",IF(ISNA(計算結果!O690),"",計算結果!O690))</f>
        <v/>
      </c>
      <c r="P690" s="10" t="str">
        <f>IF(IF(ISNA(計算結果!P690),"",計算結果!P690)=0,"",IF(ISNA(計算結果!P690),"",計算結果!P690))</f>
        <v/>
      </c>
      <c r="Q690" s="10" t="str">
        <f>IF(IF(ISNA(計算結果!Q690),"",計算結果!Q690)=0,"",IF(ISNA(計算結果!Q690),"",計算結果!Q690))</f>
        <v/>
      </c>
      <c r="R690" s="14" t="str">
        <f t="shared" si="30"/>
        <v/>
      </c>
      <c r="S690" s="14" t="str">
        <f t="shared" si="31"/>
        <v>◯</v>
      </c>
      <c r="T690" s="14" t="str">
        <f t="shared" si="32"/>
        <v/>
      </c>
    </row>
    <row r="691" spans="1:20" hidden="1" x14ac:dyDescent="0.45">
      <c r="A691" s="10" t="str">
        <f>IF(IF(ISNA(計算結果!A691),"",計算結果!A691)=0,"",IF(ISNA(計算結果!A691),"",計算結果!A691))</f>
        <v/>
      </c>
      <c r="B691" s="10" t="str">
        <f>IF(IF(ISNA(計算結果!B691),"",計算結果!B691)=0,"",IF(ISNA(計算結果!B691),"",計算結果!B691))</f>
        <v/>
      </c>
      <c r="C691" s="10" t="str">
        <f>IF(IF(ISNA(計算結果!C691),"",計算結果!C691)=0,"",IF(ISNA(計算結果!C691),"",計算結果!C691))</f>
        <v/>
      </c>
      <c r="D691" s="10" t="str">
        <f>IF(IF(ISNA(計算結果!D691),"",計算結果!D691)=0,"",IF(ISNA(計算結果!D691),"",計算結果!D691))</f>
        <v>L</v>
      </c>
      <c r="E691" s="10" t="str">
        <f>IF(IF(ISNA(計算結果!E691),"",計算結果!E691)=0,"",IF(ISNA(計算結果!E691),"",計算結果!E691))</f>
        <v/>
      </c>
      <c r="F691" s="10" t="str">
        <f>IF(IF(ISNA(計算結果!F691),"",計算結果!F691)=0,"",IF(ISNA(計算結果!F691),"",計算結果!F691))</f>
        <v/>
      </c>
      <c r="G691" s="10" t="str">
        <f>IF(IF(ISNA(計算結果!G691),"",計算結果!G691)=0,"",IF(ISNA(計算結果!G691),"",計算結果!G691))</f>
        <v/>
      </c>
      <c r="H691" s="13">
        <f>IF(IF(ISNA(計算結果!H691),"",計算結果!H691)=0,"",IF(ISNA(計算結果!H691),"",計算結果!H691))</f>
        <v>-2</v>
      </c>
      <c r="I691" s="12" t="str">
        <f>IF(IF(ISNA(計算結果!I691),"",計算結果!I691)=0,"",IF(ISNA(計算結果!I691),"",計算結果!I691))</f>
        <v/>
      </c>
      <c r="J691" s="12" t="str">
        <f>IF(IF(ISNA(計算結果!J691),"",計算結果!J691)=0,"",IF(ISNA(計算結果!J691),"",計算結果!J691))</f>
        <v/>
      </c>
      <c r="K691" s="23" t="str">
        <f>IF(IF(ISNA(計算結果!K691),"",計算結果!K691)=0,"",IF(ISNA(計算結果!K691),"",計算結果!K691))</f>
        <v/>
      </c>
      <c r="L691" s="13" t="str">
        <f>IF(IF(ISNA(計算結果!L691),"",計算結果!L691)=0,"",IF(ISNA(計算結果!L691),"",計算結果!L691))</f>
        <v/>
      </c>
      <c r="M691" s="10" t="str">
        <f>IF(IF(ISNA(計算結果!M691),"",計算結果!M691)=0,"",IF(ISNA(計算結果!M691),"",計算結果!M691))</f>
        <v/>
      </c>
      <c r="N691" s="10" t="str">
        <f>IF(IF(ISNA(計算結果!N691),"",計算結果!N691)=0,"",IF(ISNA(計算結果!N691),"",計算結果!N691))</f>
        <v/>
      </c>
      <c r="O691" s="13" t="str">
        <f>IF(IF(ISNA(計算結果!O691),"",計算結果!O691)=0,"",IF(ISNA(計算結果!O691),"",計算結果!O691))</f>
        <v/>
      </c>
      <c r="P691" s="10" t="str">
        <f>IF(IF(ISNA(計算結果!P691),"",計算結果!P691)=0,"",IF(ISNA(計算結果!P691),"",計算結果!P691))</f>
        <v/>
      </c>
      <c r="Q691" s="10" t="str">
        <f>IF(IF(ISNA(計算結果!Q691),"",計算結果!Q691)=0,"",IF(ISNA(計算結果!Q691),"",計算結果!Q691))</f>
        <v/>
      </c>
      <c r="R691" s="14" t="str">
        <f t="shared" si="30"/>
        <v/>
      </c>
      <c r="S691" s="14" t="str">
        <f t="shared" si="31"/>
        <v>◯</v>
      </c>
      <c r="T691" s="14" t="str">
        <f t="shared" si="32"/>
        <v/>
      </c>
    </row>
    <row r="692" spans="1:20" hidden="1" x14ac:dyDescent="0.45">
      <c r="A692" s="10" t="str">
        <f>IF(IF(ISNA(計算結果!A692),"",計算結果!A692)=0,"",IF(ISNA(計算結果!A692),"",計算結果!A692))</f>
        <v/>
      </c>
      <c r="B692" s="10" t="str">
        <f>IF(IF(ISNA(計算結果!B692),"",計算結果!B692)=0,"",IF(ISNA(計算結果!B692),"",計算結果!B692))</f>
        <v/>
      </c>
      <c r="C692" s="10" t="str">
        <f>IF(IF(ISNA(計算結果!C692),"",計算結果!C692)=0,"",IF(ISNA(計算結果!C692),"",計算結果!C692))</f>
        <v/>
      </c>
      <c r="D692" s="10" t="str">
        <f>IF(IF(ISNA(計算結果!D692),"",計算結果!D692)=0,"",IF(ISNA(計算結果!D692),"",計算結果!D692))</f>
        <v>L</v>
      </c>
      <c r="E692" s="10" t="str">
        <f>IF(IF(ISNA(計算結果!E692),"",計算結果!E692)=0,"",IF(ISNA(計算結果!E692),"",計算結果!E692))</f>
        <v/>
      </c>
      <c r="F692" s="10" t="str">
        <f>IF(IF(ISNA(計算結果!F692),"",計算結果!F692)=0,"",IF(ISNA(計算結果!F692),"",計算結果!F692))</f>
        <v/>
      </c>
      <c r="G692" s="10" t="str">
        <f>IF(IF(ISNA(計算結果!G692),"",計算結果!G692)=0,"",IF(ISNA(計算結果!G692),"",計算結果!G692))</f>
        <v/>
      </c>
      <c r="H692" s="13">
        <f>IF(IF(ISNA(計算結果!H692),"",計算結果!H692)=0,"",IF(ISNA(計算結果!H692),"",計算結果!H692))</f>
        <v>-2</v>
      </c>
      <c r="I692" s="12" t="str">
        <f>IF(IF(ISNA(計算結果!I692),"",計算結果!I692)=0,"",IF(ISNA(計算結果!I692),"",計算結果!I692))</f>
        <v/>
      </c>
      <c r="J692" s="12" t="str">
        <f>IF(IF(ISNA(計算結果!J692),"",計算結果!J692)=0,"",IF(ISNA(計算結果!J692),"",計算結果!J692))</f>
        <v/>
      </c>
      <c r="K692" s="23" t="str">
        <f>IF(IF(ISNA(計算結果!K692),"",計算結果!K692)=0,"",IF(ISNA(計算結果!K692),"",計算結果!K692))</f>
        <v/>
      </c>
      <c r="L692" s="13" t="str">
        <f>IF(IF(ISNA(計算結果!L692),"",計算結果!L692)=0,"",IF(ISNA(計算結果!L692),"",計算結果!L692))</f>
        <v/>
      </c>
      <c r="M692" s="10" t="str">
        <f>IF(IF(ISNA(計算結果!M692),"",計算結果!M692)=0,"",IF(ISNA(計算結果!M692),"",計算結果!M692))</f>
        <v/>
      </c>
      <c r="N692" s="10" t="str">
        <f>IF(IF(ISNA(計算結果!N692),"",計算結果!N692)=0,"",IF(ISNA(計算結果!N692),"",計算結果!N692))</f>
        <v/>
      </c>
      <c r="O692" s="13" t="str">
        <f>IF(IF(ISNA(計算結果!O692),"",計算結果!O692)=0,"",IF(ISNA(計算結果!O692),"",計算結果!O692))</f>
        <v/>
      </c>
      <c r="P692" s="10" t="str">
        <f>IF(IF(ISNA(計算結果!P692),"",計算結果!P692)=0,"",IF(ISNA(計算結果!P692),"",計算結果!P692))</f>
        <v/>
      </c>
      <c r="Q692" s="10" t="str">
        <f>IF(IF(ISNA(計算結果!Q692),"",計算結果!Q692)=0,"",IF(ISNA(計算結果!Q692),"",計算結果!Q692))</f>
        <v/>
      </c>
      <c r="R692" s="14" t="str">
        <f t="shared" si="30"/>
        <v/>
      </c>
      <c r="S692" s="14" t="str">
        <f t="shared" si="31"/>
        <v>◯</v>
      </c>
      <c r="T692" s="14" t="str">
        <f t="shared" si="32"/>
        <v/>
      </c>
    </row>
    <row r="693" spans="1:20" hidden="1" x14ac:dyDescent="0.45">
      <c r="A693" s="10" t="str">
        <f>IF(IF(ISNA(計算結果!A693),"",計算結果!A693)=0,"",IF(ISNA(計算結果!A693),"",計算結果!A693))</f>
        <v/>
      </c>
      <c r="B693" s="10" t="str">
        <f>IF(IF(ISNA(計算結果!B693),"",計算結果!B693)=0,"",IF(ISNA(計算結果!B693),"",計算結果!B693))</f>
        <v/>
      </c>
      <c r="C693" s="10" t="str">
        <f>IF(IF(ISNA(計算結果!C693),"",計算結果!C693)=0,"",IF(ISNA(計算結果!C693),"",計算結果!C693))</f>
        <v/>
      </c>
      <c r="D693" s="10" t="str">
        <f>IF(IF(ISNA(計算結果!D693),"",計算結果!D693)=0,"",IF(ISNA(計算結果!D693),"",計算結果!D693))</f>
        <v>L</v>
      </c>
      <c r="E693" s="10" t="str">
        <f>IF(IF(ISNA(計算結果!E693),"",計算結果!E693)=0,"",IF(ISNA(計算結果!E693),"",計算結果!E693))</f>
        <v/>
      </c>
      <c r="F693" s="10" t="str">
        <f>IF(IF(ISNA(計算結果!F693),"",計算結果!F693)=0,"",IF(ISNA(計算結果!F693),"",計算結果!F693))</f>
        <v/>
      </c>
      <c r="G693" s="10" t="str">
        <f>IF(IF(ISNA(計算結果!G693),"",計算結果!G693)=0,"",IF(ISNA(計算結果!G693),"",計算結果!G693))</f>
        <v/>
      </c>
      <c r="H693" s="13">
        <f>IF(IF(ISNA(計算結果!H693),"",計算結果!H693)=0,"",IF(ISNA(計算結果!H693),"",計算結果!H693))</f>
        <v>-2</v>
      </c>
      <c r="I693" s="12" t="str">
        <f>IF(IF(ISNA(計算結果!I693),"",計算結果!I693)=0,"",IF(ISNA(計算結果!I693),"",計算結果!I693))</f>
        <v/>
      </c>
      <c r="J693" s="12" t="str">
        <f>IF(IF(ISNA(計算結果!J693),"",計算結果!J693)=0,"",IF(ISNA(計算結果!J693),"",計算結果!J693))</f>
        <v/>
      </c>
      <c r="K693" s="23" t="str">
        <f>IF(IF(ISNA(計算結果!K693),"",計算結果!K693)=0,"",IF(ISNA(計算結果!K693),"",計算結果!K693))</f>
        <v/>
      </c>
      <c r="L693" s="13" t="str">
        <f>IF(IF(ISNA(計算結果!L693),"",計算結果!L693)=0,"",IF(ISNA(計算結果!L693),"",計算結果!L693))</f>
        <v/>
      </c>
      <c r="M693" s="10" t="str">
        <f>IF(IF(ISNA(計算結果!M693),"",計算結果!M693)=0,"",IF(ISNA(計算結果!M693),"",計算結果!M693))</f>
        <v/>
      </c>
      <c r="N693" s="10" t="str">
        <f>IF(IF(ISNA(計算結果!N693),"",計算結果!N693)=0,"",IF(ISNA(計算結果!N693),"",計算結果!N693))</f>
        <v/>
      </c>
      <c r="O693" s="13" t="str">
        <f>IF(IF(ISNA(計算結果!O693),"",計算結果!O693)=0,"",IF(ISNA(計算結果!O693),"",計算結果!O693))</f>
        <v/>
      </c>
      <c r="P693" s="10" t="str">
        <f>IF(IF(ISNA(計算結果!P693),"",計算結果!P693)=0,"",IF(ISNA(計算結果!P693),"",計算結果!P693))</f>
        <v/>
      </c>
      <c r="Q693" s="10" t="str">
        <f>IF(IF(ISNA(計算結果!Q693),"",計算結果!Q693)=0,"",IF(ISNA(計算結果!Q693),"",計算結果!Q693))</f>
        <v/>
      </c>
      <c r="R693" s="14" t="str">
        <f t="shared" si="30"/>
        <v/>
      </c>
      <c r="S693" s="14" t="str">
        <f t="shared" si="31"/>
        <v>◯</v>
      </c>
      <c r="T693" s="14" t="str">
        <f t="shared" si="32"/>
        <v/>
      </c>
    </row>
    <row r="694" spans="1:20" hidden="1" x14ac:dyDescent="0.45">
      <c r="A694" s="10" t="str">
        <f>IF(IF(ISNA(計算結果!A694),"",計算結果!A694)=0,"",IF(ISNA(計算結果!A694),"",計算結果!A694))</f>
        <v/>
      </c>
      <c r="B694" s="10" t="str">
        <f>IF(IF(ISNA(計算結果!B694),"",計算結果!B694)=0,"",IF(ISNA(計算結果!B694),"",計算結果!B694))</f>
        <v/>
      </c>
      <c r="C694" s="10" t="str">
        <f>IF(IF(ISNA(計算結果!C694),"",計算結果!C694)=0,"",IF(ISNA(計算結果!C694),"",計算結果!C694))</f>
        <v/>
      </c>
      <c r="D694" s="10" t="str">
        <f>IF(IF(ISNA(計算結果!D694),"",計算結果!D694)=0,"",IF(ISNA(計算結果!D694),"",計算結果!D694))</f>
        <v>L</v>
      </c>
      <c r="E694" s="10" t="str">
        <f>IF(IF(ISNA(計算結果!E694),"",計算結果!E694)=0,"",IF(ISNA(計算結果!E694),"",計算結果!E694))</f>
        <v/>
      </c>
      <c r="F694" s="10" t="str">
        <f>IF(IF(ISNA(計算結果!F694),"",計算結果!F694)=0,"",IF(ISNA(計算結果!F694),"",計算結果!F694))</f>
        <v/>
      </c>
      <c r="G694" s="10" t="str">
        <f>IF(IF(ISNA(計算結果!G694),"",計算結果!G694)=0,"",IF(ISNA(計算結果!G694),"",計算結果!G694))</f>
        <v/>
      </c>
      <c r="H694" s="13">
        <f>IF(IF(ISNA(計算結果!H694),"",計算結果!H694)=0,"",IF(ISNA(計算結果!H694),"",計算結果!H694))</f>
        <v>-2</v>
      </c>
      <c r="I694" s="12" t="str">
        <f>IF(IF(ISNA(計算結果!I694),"",計算結果!I694)=0,"",IF(ISNA(計算結果!I694),"",計算結果!I694))</f>
        <v/>
      </c>
      <c r="J694" s="12" t="str">
        <f>IF(IF(ISNA(計算結果!J694),"",計算結果!J694)=0,"",IF(ISNA(計算結果!J694),"",計算結果!J694))</f>
        <v/>
      </c>
      <c r="K694" s="23" t="str">
        <f>IF(IF(ISNA(計算結果!K694),"",計算結果!K694)=0,"",IF(ISNA(計算結果!K694),"",計算結果!K694))</f>
        <v/>
      </c>
      <c r="L694" s="13" t="str">
        <f>IF(IF(ISNA(計算結果!L694),"",計算結果!L694)=0,"",IF(ISNA(計算結果!L694),"",計算結果!L694))</f>
        <v/>
      </c>
      <c r="M694" s="10" t="str">
        <f>IF(IF(ISNA(計算結果!M694),"",計算結果!M694)=0,"",IF(ISNA(計算結果!M694),"",計算結果!M694))</f>
        <v/>
      </c>
      <c r="N694" s="10" t="str">
        <f>IF(IF(ISNA(計算結果!N694),"",計算結果!N694)=0,"",IF(ISNA(計算結果!N694),"",計算結果!N694))</f>
        <v/>
      </c>
      <c r="O694" s="13" t="str">
        <f>IF(IF(ISNA(計算結果!O694),"",計算結果!O694)=0,"",IF(ISNA(計算結果!O694),"",計算結果!O694))</f>
        <v/>
      </c>
      <c r="P694" s="10" t="str">
        <f>IF(IF(ISNA(計算結果!P694),"",計算結果!P694)=0,"",IF(ISNA(計算結果!P694),"",計算結果!P694))</f>
        <v/>
      </c>
      <c r="Q694" s="10" t="str">
        <f>IF(IF(ISNA(計算結果!Q694),"",計算結果!Q694)=0,"",IF(ISNA(計算結果!Q694),"",計算結果!Q694))</f>
        <v/>
      </c>
      <c r="R694" s="14" t="str">
        <f t="shared" si="30"/>
        <v/>
      </c>
      <c r="S694" s="14" t="str">
        <f t="shared" si="31"/>
        <v>◯</v>
      </c>
      <c r="T694" s="14" t="str">
        <f t="shared" si="32"/>
        <v/>
      </c>
    </row>
    <row r="695" spans="1:20" hidden="1" x14ac:dyDescent="0.45">
      <c r="A695" s="10" t="str">
        <f>IF(IF(ISNA(計算結果!A695),"",計算結果!A695)=0,"",IF(ISNA(計算結果!A695),"",計算結果!A695))</f>
        <v/>
      </c>
      <c r="B695" s="10" t="str">
        <f>IF(IF(ISNA(計算結果!B695),"",計算結果!B695)=0,"",IF(ISNA(計算結果!B695),"",計算結果!B695))</f>
        <v/>
      </c>
      <c r="C695" s="10" t="str">
        <f>IF(IF(ISNA(計算結果!C695),"",計算結果!C695)=0,"",IF(ISNA(計算結果!C695),"",計算結果!C695))</f>
        <v/>
      </c>
      <c r="D695" s="10" t="str">
        <f>IF(IF(ISNA(計算結果!D695),"",計算結果!D695)=0,"",IF(ISNA(計算結果!D695),"",計算結果!D695))</f>
        <v>L</v>
      </c>
      <c r="E695" s="10" t="str">
        <f>IF(IF(ISNA(計算結果!E695),"",計算結果!E695)=0,"",IF(ISNA(計算結果!E695),"",計算結果!E695))</f>
        <v/>
      </c>
      <c r="F695" s="10" t="str">
        <f>IF(IF(ISNA(計算結果!F695),"",計算結果!F695)=0,"",IF(ISNA(計算結果!F695),"",計算結果!F695))</f>
        <v/>
      </c>
      <c r="G695" s="10" t="str">
        <f>IF(IF(ISNA(計算結果!G695),"",計算結果!G695)=0,"",IF(ISNA(計算結果!G695),"",計算結果!G695))</f>
        <v/>
      </c>
      <c r="H695" s="13">
        <f>IF(IF(ISNA(計算結果!H695),"",計算結果!H695)=0,"",IF(ISNA(計算結果!H695),"",計算結果!H695))</f>
        <v>-2</v>
      </c>
      <c r="I695" s="12" t="str">
        <f>IF(IF(ISNA(計算結果!I695),"",計算結果!I695)=0,"",IF(ISNA(計算結果!I695),"",計算結果!I695))</f>
        <v/>
      </c>
      <c r="J695" s="12" t="str">
        <f>IF(IF(ISNA(計算結果!J695),"",計算結果!J695)=0,"",IF(ISNA(計算結果!J695),"",計算結果!J695))</f>
        <v/>
      </c>
      <c r="K695" s="23" t="str">
        <f>IF(IF(ISNA(計算結果!K695),"",計算結果!K695)=0,"",IF(ISNA(計算結果!K695),"",計算結果!K695))</f>
        <v/>
      </c>
      <c r="L695" s="13" t="str">
        <f>IF(IF(ISNA(計算結果!L695),"",計算結果!L695)=0,"",IF(ISNA(計算結果!L695),"",計算結果!L695))</f>
        <v/>
      </c>
      <c r="M695" s="10" t="str">
        <f>IF(IF(ISNA(計算結果!M695),"",計算結果!M695)=0,"",IF(ISNA(計算結果!M695),"",計算結果!M695))</f>
        <v/>
      </c>
      <c r="N695" s="10" t="str">
        <f>IF(IF(ISNA(計算結果!N695),"",計算結果!N695)=0,"",IF(ISNA(計算結果!N695),"",計算結果!N695))</f>
        <v/>
      </c>
      <c r="O695" s="13" t="str">
        <f>IF(IF(ISNA(計算結果!O695),"",計算結果!O695)=0,"",IF(ISNA(計算結果!O695),"",計算結果!O695))</f>
        <v/>
      </c>
      <c r="P695" s="10" t="str">
        <f>IF(IF(ISNA(計算結果!P695),"",計算結果!P695)=0,"",IF(ISNA(計算結果!P695),"",計算結果!P695))</f>
        <v/>
      </c>
      <c r="Q695" s="10" t="str">
        <f>IF(IF(ISNA(計算結果!Q695),"",計算結果!Q695)=0,"",IF(ISNA(計算結果!Q695),"",計算結果!Q695))</f>
        <v/>
      </c>
      <c r="R695" s="14" t="str">
        <f t="shared" si="30"/>
        <v/>
      </c>
      <c r="S695" s="14" t="str">
        <f t="shared" si="31"/>
        <v>◯</v>
      </c>
      <c r="T695" s="14" t="str">
        <f t="shared" si="32"/>
        <v/>
      </c>
    </row>
    <row r="696" spans="1:20" hidden="1" x14ac:dyDescent="0.45">
      <c r="A696" s="10" t="str">
        <f>IF(IF(ISNA(計算結果!A696),"",計算結果!A696)=0,"",IF(ISNA(計算結果!A696),"",計算結果!A696))</f>
        <v/>
      </c>
      <c r="B696" s="10" t="str">
        <f>IF(IF(ISNA(計算結果!B696),"",計算結果!B696)=0,"",IF(ISNA(計算結果!B696),"",計算結果!B696))</f>
        <v/>
      </c>
      <c r="C696" s="10" t="str">
        <f>IF(IF(ISNA(計算結果!C696),"",計算結果!C696)=0,"",IF(ISNA(計算結果!C696),"",計算結果!C696))</f>
        <v/>
      </c>
      <c r="D696" s="10" t="str">
        <f>IF(IF(ISNA(計算結果!D696),"",計算結果!D696)=0,"",IF(ISNA(計算結果!D696),"",計算結果!D696))</f>
        <v>L</v>
      </c>
      <c r="E696" s="10" t="str">
        <f>IF(IF(ISNA(計算結果!E696),"",計算結果!E696)=0,"",IF(ISNA(計算結果!E696),"",計算結果!E696))</f>
        <v/>
      </c>
      <c r="F696" s="10" t="str">
        <f>IF(IF(ISNA(計算結果!F696),"",計算結果!F696)=0,"",IF(ISNA(計算結果!F696),"",計算結果!F696))</f>
        <v/>
      </c>
      <c r="G696" s="10" t="str">
        <f>IF(IF(ISNA(計算結果!G696),"",計算結果!G696)=0,"",IF(ISNA(計算結果!G696),"",計算結果!G696))</f>
        <v/>
      </c>
      <c r="H696" s="13">
        <f>IF(IF(ISNA(計算結果!H696),"",計算結果!H696)=0,"",IF(ISNA(計算結果!H696),"",計算結果!H696))</f>
        <v>-2</v>
      </c>
      <c r="I696" s="12" t="str">
        <f>IF(IF(ISNA(計算結果!I696),"",計算結果!I696)=0,"",IF(ISNA(計算結果!I696),"",計算結果!I696))</f>
        <v/>
      </c>
      <c r="J696" s="12" t="str">
        <f>IF(IF(ISNA(計算結果!J696),"",計算結果!J696)=0,"",IF(ISNA(計算結果!J696),"",計算結果!J696))</f>
        <v/>
      </c>
      <c r="K696" s="23" t="str">
        <f>IF(IF(ISNA(計算結果!K696),"",計算結果!K696)=0,"",IF(ISNA(計算結果!K696),"",計算結果!K696))</f>
        <v/>
      </c>
      <c r="L696" s="13" t="str">
        <f>IF(IF(ISNA(計算結果!L696),"",計算結果!L696)=0,"",IF(ISNA(計算結果!L696),"",計算結果!L696))</f>
        <v/>
      </c>
      <c r="M696" s="10" t="str">
        <f>IF(IF(ISNA(計算結果!M696),"",計算結果!M696)=0,"",IF(ISNA(計算結果!M696),"",計算結果!M696))</f>
        <v/>
      </c>
      <c r="N696" s="10" t="str">
        <f>IF(IF(ISNA(計算結果!N696),"",計算結果!N696)=0,"",IF(ISNA(計算結果!N696),"",計算結果!N696))</f>
        <v/>
      </c>
      <c r="O696" s="13" t="str">
        <f>IF(IF(ISNA(計算結果!O696),"",計算結果!O696)=0,"",IF(ISNA(計算結果!O696),"",計算結果!O696))</f>
        <v/>
      </c>
      <c r="P696" s="10" t="str">
        <f>IF(IF(ISNA(計算結果!P696),"",計算結果!P696)=0,"",IF(ISNA(計算結果!P696),"",計算結果!P696))</f>
        <v/>
      </c>
      <c r="Q696" s="10" t="str">
        <f>IF(IF(ISNA(計算結果!Q696),"",計算結果!Q696)=0,"",IF(ISNA(計算結果!Q696),"",計算結果!Q696))</f>
        <v/>
      </c>
      <c r="R696" s="14" t="str">
        <f t="shared" si="30"/>
        <v/>
      </c>
      <c r="S696" s="14" t="str">
        <f t="shared" si="31"/>
        <v>◯</v>
      </c>
      <c r="T696" s="14" t="str">
        <f t="shared" si="32"/>
        <v/>
      </c>
    </row>
    <row r="697" spans="1:20" hidden="1" x14ac:dyDescent="0.45">
      <c r="A697" s="10" t="str">
        <f>IF(IF(ISNA(計算結果!A697),"",計算結果!A697)=0,"",IF(ISNA(計算結果!A697),"",計算結果!A697))</f>
        <v/>
      </c>
      <c r="B697" s="10" t="str">
        <f>IF(IF(ISNA(計算結果!B697),"",計算結果!B697)=0,"",IF(ISNA(計算結果!B697),"",計算結果!B697))</f>
        <v/>
      </c>
      <c r="C697" s="10" t="str">
        <f>IF(IF(ISNA(計算結果!C697),"",計算結果!C697)=0,"",IF(ISNA(計算結果!C697),"",計算結果!C697))</f>
        <v/>
      </c>
      <c r="D697" s="10" t="str">
        <f>IF(IF(ISNA(計算結果!D697),"",計算結果!D697)=0,"",IF(ISNA(計算結果!D697),"",計算結果!D697))</f>
        <v>L</v>
      </c>
      <c r="E697" s="10" t="str">
        <f>IF(IF(ISNA(計算結果!E697),"",計算結果!E697)=0,"",IF(ISNA(計算結果!E697),"",計算結果!E697))</f>
        <v/>
      </c>
      <c r="F697" s="10" t="str">
        <f>IF(IF(ISNA(計算結果!F697),"",計算結果!F697)=0,"",IF(ISNA(計算結果!F697),"",計算結果!F697))</f>
        <v/>
      </c>
      <c r="G697" s="10" t="str">
        <f>IF(IF(ISNA(計算結果!G697),"",計算結果!G697)=0,"",IF(ISNA(計算結果!G697),"",計算結果!G697))</f>
        <v/>
      </c>
      <c r="H697" s="13">
        <f>IF(IF(ISNA(計算結果!H697),"",計算結果!H697)=0,"",IF(ISNA(計算結果!H697),"",計算結果!H697))</f>
        <v>-2</v>
      </c>
      <c r="I697" s="12" t="str">
        <f>IF(IF(ISNA(計算結果!I697),"",計算結果!I697)=0,"",IF(ISNA(計算結果!I697),"",計算結果!I697))</f>
        <v/>
      </c>
      <c r="J697" s="12" t="str">
        <f>IF(IF(ISNA(計算結果!J697),"",計算結果!J697)=0,"",IF(ISNA(計算結果!J697),"",計算結果!J697))</f>
        <v/>
      </c>
      <c r="K697" s="23" t="str">
        <f>IF(IF(ISNA(計算結果!K697),"",計算結果!K697)=0,"",IF(ISNA(計算結果!K697),"",計算結果!K697))</f>
        <v/>
      </c>
      <c r="L697" s="13" t="str">
        <f>IF(IF(ISNA(計算結果!L697),"",計算結果!L697)=0,"",IF(ISNA(計算結果!L697),"",計算結果!L697))</f>
        <v/>
      </c>
      <c r="M697" s="10" t="str">
        <f>IF(IF(ISNA(計算結果!M697),"",計算結果!M697)=0,"",IF(ISNA(計算結果!M697),"",計算結果!M697))</f>
        <v/>
      </c>
      <c r="N697" s="10" t="str">
        <f>IF(IF(ISNA(計算結果!N697),"",計算結果!N697)=0,"",IF(ISNA(計算結果!N697),"",計算結果!N697))</f>
        <v/>
      </c>
      <c r="O697" s="13" t="str">
        <f>IF(IF(ISNA(計算結果!O697),"",計算結果!O697)=0,"",IF(ISNA(計算結果!O697),"",計算結果!O697))</f>
        <v/>
      </c>
      <c r="P697" s="10" t="str">
        <f>IF(IF(ISNA(計算結果!P697),"",計算結果!P697)=0,"",IF(ISNA(計算結果!P697),"",計算結果!P697))</f>
        <v/>
      </c>
      <c r="Q697" s="10" t="str">
        <f>IF(IF(ISNA(計算結果!Q697),"",計算結果!Q697)=0,"",IF(ISNA(計算結果!Q697),"",計算結果!Q697))</f>
        <v/>
      </c>
      <c r="R697" s="14" t="str">
        <f t="shared" si="30"/>
        <v/>
      </c>
      <c r="S697" s="14" t="str">
        <f t="shared" si="31"/>
        <v>◯</v>
      </c>
      <c r="T697" s="14" t="str">
        <f t="shared" si="32"/>
        <v/>
      </c>
    </row>
    <row r="698" spans="1:20" hidden="1" x14ac:dyDescent="0.45">
      <c r="A698" s="10" t="str">
        <f>IF(IF(ISNA(計算結果!A698),"",計算結果!A698)=0,"",IF(ISNA(計算結果!A698),"",計算結果!A698))</f>
        <v/>
      </c>
      <c r="B698" s="10" t="str">
        <f>IF(IF(ISNA(計算結果!B698),"",計算結果!B698)=0,"",IF(ISNA(計算結果!B698),"",計算結果!B698))</f>
        <v/>
      </c>
      <c r="C698" s="10" t="str">
        <f>IF(IF(ISNA(計算結果!C698),"",計算結果!C698)=0,"",IF(ISNA(計算結果!C698),"",計算結果!C698))</f>
        <v/>
      </c>
      <c r="D698" s="10" t="str">
        <f>IF(IF(ISNA(計算結果!D698),"",計算結果!D698)=0,"",IF(ISNA(計算結果!D698),"",計算結果!D698))</f>
        <v>L</v>
      </c>
      <c r="E698" s="10" t="str">
        <f>IF(IF(ISNA(計算結果!E698),"",計算結果!E698)=0,"",IF(ISNA(計算結果!E698),"",計算結果!E698))</f>
        <v/>
      </c>
      <c r="F698" s="10" t="str">
        <f>IF(IF(ISNA(計算結果!F698),"",計算結果!F698)=0,"",IF(ISNA(計算結果!F698),"",計算結果!F698))</f>
        <v/>
      </c>
      <c r="G698" s="10" t="str">
        <f>IF(IF(ISNA(計算結果!G698),"",計算結果!G698)=0,"",IF(ISNA(計算結果!G698),"",計算結果!G698))</f>
        <v/>
      </c>
      <c r="H698" s="13">
        <f>IF(IF(ISNA(計算結果!H698),"",計算結果!H698)=0,"",IF(ISNA(計算結果!H698),"",計算結果!H698))</f>
        <v>-2</v>
      </c>
      <c r="I698" s="12" t="str">
        <f>IF(IF(ISNA(計算結果!I698),"",計算結果!I698)=0,"",IF(ISNA(計算結果!I698),"",計算結果!I698))</f>
        <v/>
      </c>
      <c r="J698" s="12" t="str">
        <f>IF(IF(ISNA(計算結果!J698),"",計算結果!J698)=0,"",IF(ISNA(計算結果!J698),"",計算結果!J698))</f>
        <v/>
      </c>
      <c r="K698" s="23" t="str">
        <f>IF(IF(ISNA(計算結果!K698),"",計算結果!K698)=0,"",IF(ISNA(計算結果!K698),"",計算結果!K698))</f>
        <v/>
      </c>
      <c r="L698" s="13" t="str">
        <f>IF(IF(ISNA(計算結果!L698),"",計算結果!L698)=0,"",IF(ISNA(計算結果!L698),"",計算結果!L698))</f>
        <v/>
      </c>
      <c r="M698" s="10" t="str">
        <f>IF(IF(ISNA(計算結果!M698),"",計算結果!M698)=0,"",IF(ISNA(計算結果!M698),"",計算結果!M698))</f>
        <v/>
      </c>
      <c r="N698" s="10" t="str">
        <f>IF(IF(ISNA(計算結果!N698),"",計算結果!N698)=0,"",IF(ISNA(計算結果!N698),"",計算結果!N698))</f>
        <v/>
      </c>
      <c r="O698" s="13" t="str">
        <f>IF(IF(ISNA(計算結果!O698),"",計算結果!O698)=0,"",IF(ISNA(計算結果!O698),"",計算結果!O698))</f>
        <v/>
      </c>
      <c r="P698" s="10" t="str">
        <f>IF(IF(ISNA(計算結果!P698),"",計算結果!P698)=0,"",IF(ISNA(計算結果!P698),"",計算結果!P698))</f>
        <v/>
      </c>
      <c r="Q698" s="10" t="str">
        <f>IF(IF(ISNA(計算結果!Q698),"",計算結果!Q698)=0,"",IF(ISNA(計算結果!Q698),"",計算結果!Q698))</f>
        <v/>
      </c>
      <c r="R698" s="14" t="str">
        <f t="shared" si="30"/>
        <v/>
      </c>
      <c r="S698" s="14" t="str">
        <f t="shared" si="31"/>
        <v>◯</v>
      </c>
      <c r="T698" s="14" t="str">
        <f t="shared" si="32"/>
        <v/>
      </c>
    </row>
    <row r="699" spans="1:20" hidden="1" x14ac:dyDescent="0.45">
      <c r="A699" s="10" t="str">
        <f>IF(IF(ISNA(計算結果!A699),"",計算結果!A699)=0,"",IF(ISNA(計算結果!A699),"",計算結果!A699))</f>
        <v/>
      </c>
      <c r="B699" s="10" t="str">
        <f>IF(IF(ISNA(計算結果!B699),"",計算結果!B699)=0,"",IF(ISNA(計算結果!B699),"",計算結果!B699))</f>
        <v/>
      </c>
      <c r="C699" s="10" t="str">
        <f>IF(IF(ISNA(計算結果!C699),"",計算結果!C699)=0,"",IF(ISNA(計算結果!C699),"",計算結果!C699))</f>
        <v/>
      </c>
      <c r="D699" s="10" t="str">
        <f>IF(IF(ISNA(計算結果!D699),"",計算結果!D699)=0,"",IF(ISNA(計算結果!D699),"",計算結果!D699))</f>
        <v>L</v>
      </c>
      <c r="E699" s="10" t="str">
        <f>IF(IF(ISNA(計算結果!E699),"",計算結果!E699)=0,"",IF(ISNA(計算結果!E699),"",計算結果!E699))</f>
        <v/>
      </c>
      <c r="F699" s="10" t="str">
        <f>IF(IF(ISNA(計算結果!F699),"",計算結果!F699)=0,"",IF(ISNA(計算結果!F699),"",計算結果!F699))</f>
        <v/>
      </c>
      <c r="G699" s="10" t="str">
        <f>IF(IF(ISNA(計算結果!G699),"",計算結果!G699)=0,"",IF(ISNA(計算結果!G699),"",計算結果!G699))</f>
        <v/>
      </c>
      <c r="H699" s="13">
        <f>IF(IF(ISNA(計算結果!H699),"",計算結果!H699)=0,"",IF(ISNA(計算結果!H699),"",計算結果!H699))</f>
        <v>-2</v>
      </c>
      <c r="I699" s="12" t="str">
        <f>IF(IF(ISNA(計算結果!I699),"",計算結果!I699)=0,"",IF(ISNA(計算結果!I699),"",計算結果!I699))</f>
        <v/>
      </c>
      <c r="J699" s="12" t="str">
        <f>IF(IF(ISNA(計算結果!J699),"",計算結果!J699)=0,"",IF(ISNA(計算結果!J699),"",計算結果!J699))</f>
        <v/>
      </c>
      <c r="K699" s="23" t="str">
        <f>IF(IF(ISNA(計算結果!K699),"",計算結果!K699)=0,"",IF(ISNA(計算結果!K699),"",計算結果!K699))</f>
        <v/>
      </c>
      <c r="L699" s="13" t="str">
        <f>IF(IF(ISNA(計算結果!L699),"",計算結果!L699)=0,"",IF(ISNA(計算結果!L699),"",計算結果!L699))</f>
        <v/>
      </c>
      <c r="M699" s="10" t="str">
        <f>IF(IF(ISNA(計算結果!M699),"",計算結果!M699)=0,"",IF(ISNA(計算結果!M699),"",計算結果!M699))</f>
        <v/>
      </c>
      <c r="N699" s="10" t="str">
        <f>IF(IF(ISNA(計算結果!N699),"",計算結果!N699)=0,"",IF(ISNA(計算結果!N699),"",計算結果!N699))</f>
        <v/>
      </c>
      <c r="O699" s="13" t="str">
        <f>IF(IF(ISNA(計算結果!O699),"",計算結果!O699)=0,"",IF(ISNA(計算結果!O699),"",計算結果!O699))</f>
        <v/>
      </c>
      <c r="P699" s="10" t="str">
        <f>IF(IF(ISNA(計算結果!P699),"",計算結果!P699)=0,"",IF(ISNA(計算結果!P699),"",計算結果!P699))</f>
        <v/>
      </c>
      <c r="Q699" s="10" t="str">
        <f>IF(IF(ISNA(計算結果!Q699),"",計算結果!Q699)=0,"",IF(ISNA(計算結果!Q699),"",計算結果!Q699))</f>
        <v/>
      </c>
      <c r="R699" s="14" t="str">
        <f t="shared" si="30"/>
        <v/>
      </c>
      <c r="S699" s="14" t="str">
        <f t="shared" si="31"/>
        <v>◯</v>
      </c>
      <c r="T699" s="14" t="str">
        <f t="shared" si="32"/>
        <v/>
      </c>
    </row>
    <row r="700" spans="1:20" hidden="1" x14ac:dyDescent="0.45">
      <c r="A700" s="10" t="str">
        <f>IF(IF(ISNA(計算結果!A700),"",計算結果!A700)=0,"",IF(ISNA(計算結果!A700),"",計算結果!A700))</f>
        <v/>
      </c>
      <c r="B700" s="10" t="str">
        <f>IF(IF(ISNA(計算結果!B700),"",計算結果!B700)=0,"",IF(ISNA(計算結果!B700),"",計算結果!B700))</f>
        <v/>
      </c>
      <c r="C700" s="10" t="str">
        <f>IF(IF(ISNA(計算結果!C700),"",計算結果!C700)=0,"",IF(ISNA(計算結果!C700),"",計算結果!C700))</f>
        <v/>
      </c>
      <c r="D700" s="10" t="str">
        <f>IF(IF(ISNA(計算結果!D700),"",計算結果!D700)=0,"",IF(ISNA(計算結果!D700),"",計算結果!D700))</f>
        <v>L</v>
      </c>
      <c r="E700" s="10" t="str">
        <f>IF(IF(ISNA(計算結果!E700),"",計算結果!E700)=0,"",IF(ISNA(計算結果!E700),"",計算結果!E700))</f>
        <v/>
      </c>
      <c r="F700" s="10" t="str">
        <f>IF(IF(ISNA(計算結果!F700),"",計算結果!F700)=0,"",IF(ISNA(計算結果!F700),"",計算結果!F700))</f>
        <v/>
      </c>
      <c r="G700" s="10" t="str">
        <f>IF(IF(ISNA(計算結果!G700),"",計算結果!G700)=0,"",IF(ISNA(計算結果!G700),"",計算結果!G700))</f>
        <v/>
      </c>
      <c r="H700" s="13">
        <f>IF(IF(ISNA(計算結果!H700),"",計算結果!H700)=0,"",IF(ISNA(計算結果!H700),"",計算結果!H700))</f>
        <v>-2</v>
      </c>
      <c r="I700" s="12" t="str">
        <f>IF(IF(ISNA(計算結果!I700),"",計算結果!I700)=0,"",IF(ISNA(計算結果!I700),"",計算結果!I700))</f>
        <v/>
      </c>
      <c r="J700" s="12" t="str">
        <f>IF(IF(ISNA(計算結果!J700),"",計算結果!J700)=0,"",IF(ISNA(計算結果!J700),"",計算結果!J700))</f>
        <v/>
      </c>
      <c r="K700" s="23" t="str">
        <f>IF(IF(ISNA(計算結果!K700),"",計算結果!K700)=0,"",IF(ISNA(計算結果!K700),"",計算結果!K700))</f>
        <v/>
      </c>
      <c r="L700" s="13" t="str">
        <f>IF(IF(ISNA(計算結果!L700),"",計算結果!L700)=0,"",IF(ISNA(計算結果!L700),"",計算結果!L700))</f>
        <v/>
      </c>
      <c r="M700" s="10" t="str">
        <f>IF(IF(ISNA(計算結果!M700),"",計算結果!M700)=0,"",IF(ISNA(計算結果!M700),"",計算結果!M700))</f>
        <v/>
      </c>
      <c r="N700" s="10" t="str">
        <f>IF(IF(ISNA(計算結果!N700),"",計算結果!N700)=0,"",IF(ISNA(計算結果!N700),"",計算結果!N700))</f>
        <v/>
      </c>
      <c r="O700" s="13" t="str">
        <f>IF(IF(ISNA(計算結果!O700),"",計算結果!O700)=0,"",IF(ISNA(計算結果!O700),"",計算結果!O700))</f>
        <v/>
      </c>
      <c r="P700" s="10" t="str">
        <f>IF(IF(ISNA(計算結果!P700),"",計算結果!P700)=0,"",IF(ISNA(計算結果!P700),"",計算結果!P700))</f>
        <v/>
      </c>
      <c r="Q700" s="10" t="str">
        <f>IF(IF(ISNA(計算結果!Q700),"",計算結果!Q700)=0,"",IF(ISNA(計算結果!Q700),"",計算結果!Q700))</f>
        <v/>
      </c>
      <c r="R700" s="14" t="str">
        <f t="shared" si="30"/>
        <v/>
      </c>
      <c r="S700" s="14" t="str">
        <f t="shared" si="31"/>
        <v>◯</v>
      </c>
      <c r="T700" s="14" t="str">
        <f t="shared" si="32"/>
        <v/>
      </c>
    </row>
    <row r="701" spans="1:20" hidden="1" x14ac:dyDescent="0.45">
      <c r="A701" s="10" t="str">
        <f>IF(IF(ISNA(計算結果!A701),"",計算結果!A701)=0,"",IF(ISNA(計算結果!A701),"",計算結果!A701))</f>
        <v/>
      </c>
      <c r="B701" s="10" t="str">
        <f>IF(IF(ISNA(計算結果!B701),"",計算結果!B701)=0,"",IF(ISNA(計算結果!B701),"",計算結果!B701))</f>
        <v/>
      </c>
      <c r="C701" s="10" t="str">
        <f>IF(IF(ISNA(計算結果!C701),"",計算結果!C701)=0,"",IF(ISNA(計算結果!C701),"",計算結果!C701))</f>
        <v/>
      </c>
      <c r="D701" s="10" t="str">
        <f>IF(IF(ISNA(計算結果!D701),"",計算結果!D701)=0,"",IF(ISNA(計算結果!D701),"",計算結果!D701))</f>
        <v>L</v>
      </c>
      <c r="E701" s="10" t="str">
        <f>IF(IF(ISNA(計算結果!E701),"",計算結果!E701)=0,"",IF(ISNA(計算結果!E701),"",計算結果!E701))</f>
        <v/>
      </c>
      <c r="F701" s="10" t="str">
        <f>IF(IF(ISNA(計算結果!F701),"",計算結果!F701)=0,"",IF(ISNA(計算結果!F701),"",計算結果!F701))</f>
        <v/>
      </c>
      <c r="G701" s="10" t="str">
        <f>IF(IF(ISNA(計算結果!G701),"",計算結果!G701)=0,"",IF(ISNA(計算結果!G701),"",計算結果!G701))</f>
        <v/>
      </c>
      <c r="H701" s="13">
        <f>IF(IF(ISNA(計算結果!H701),"",計算結果!H701)=0,"",IF(ISNA(計算結果!H701),"",計算結果!H701))</f>
        <v>-2</v>
      </c>
      <c r="I701" s="12" t="str">
        <f>IF(IF(ISNA(計算結果!I701),"",計算結果!I701)=0,"",IF(ISNA(計算結果!I701),"",計算結果!I701))</f>
        <v/>
      </c>
      <c r="J701" s="12" t="str">
        <f>IF(IF(ISNA(計算結果!J701),"",計算結果!J701)=0,"",IF(ISNA(計算結果!J701),"",計算結果!J701))</f>
        <v/>
      </c>
      <c r="K701" s="23" t="str">
        <f>IF(IF(ISNA(計算結果!K701),"",計算結果!K701)=0,"",IF(ISNA(計算結果!K701),"",計算結果!K701))</f>
        <v/>
      </c>
      <c r="L701" s="13" t="str">
        <f>IF(IF(ISNA(計算結果!L701),"",計算結果!L701)=0,"",IF(ISNA(計算結果!L701),"",計算結果!L701))</f>
        <v/>
      </c>
      <c r="M701" s="10" t="str">
        <f>IF(IF(ISNA(計算結果!M701),"",計算結果!M701)=0,"",IF(ISNA(計算結果!M701),"",計算結果!M701))</f>
        <v/>
      </c>
      <c r="N701" s="10" t="str">
        <f>IF(IF(ISNA(計算結果!N701),"",計算結果!N701)=0,"",IF(ISNA(計算結果!N701),"",計算結果!N701))</f>
        <v/>
      </c>
      <c r="O701" s="13" t="str">
        <f>IF(IF(ISNA(計算結果!O701),"",計算結果!O701)=0,"",IF(ISNA(計算結果!O701),"",計算結果!O701))</f>
        <v/>
      </c>
      <c r="P701" s="10" t="str">
        <f>IF(IF(ISNA(計算結果!P701),"",計算結果!P701)=0,"",IF(ISNA(計算結果!P701),"",計算結果!P701))</f>
        <v/>
      </c>
      <c r="Q701" s="10" t="str">
        <f>IF(IF(ISNA(計算結果!Q701),"",計算結果!Q701)=0,"",IF(ISNA(計算結果!Q701),"",計算結果!Q701))</f>
        <v/>
      </c>
      <c r="R701" s="14" t="str">
        <f t="shared" si="30"/>
        <v/>
      </c>
      <c r="S701" s="14" t="str">
        <f t="shared" si="31"/>
        <v>◯</v>
      </c>
      <c r="T701" s="14" t="str">
        <f t="shared" si="32"/>
        <v/>
      </c>
    </row>
    <row r="702" spans="1:20" hidden="1" x14ac:dyDescent="0.45">
      <c r="A702" s="10" t="str">
        <f>IF(IF(ISNA(計算結果!A702),"",計算結果!A702)=0,"",IF(ISNA(計算結果!A702),"",計算結果!A702))</f>
        <v/>
      </c>
      <c r="B702" s="10" t="str">
        <f>IF(IF(ISNA(計算結果!B702),"",計算結果!B702)=0,"",IF(ISNA(計算結果!B702),"",計算結果!B702))</f>
        <v/>
      </c>
      <c r="C702" s="10" t="str">
        <f>IF(IF(ISNA(計算結果!C702),"",計算結果!C702)=0,"",IF(ISNA(計算結果!C702),"",計算結果!C702))</f>
        <v/>
      </c>
      <c r="D702" s="10" t="str">
        <f>IF(IF(ISNA(計算結果!D702),"",計算結果!D702)=0,"",IF(ISNA(計算結果!D702),"",計算結果!D702))</f>
        <v>L</v>
      </c>
      <c r="E702" s="10" t="str">
        <f>IF(IF(ISNA(計算結果!E702),"",計算結果!E702)=0,"",IF(ISNA(計算結果!E702),"",計算結果!E702))</f>
        <v/>
      </c>
      <c r="F702" s="10" t="str">
        <f>IF(IF(ISNA(計算結果!F702),"",計算結果!F702)=0,"",IF(ISNA(計算結果!F702),"",計算結果!F702))</f>
        <v/>
      </c>
      <c r="G702" s="10" t="str">
        <f>IF(IF(ISNA(計算結果!G702),"",計算結果!G702)=0,"",IF(ISNA(計算結果!G702),"",計算結果!G702))</f>
        <v/>
      </c>
      <c r="H702" s="13">
        <f>IF(IF(ISNA(計算結果!H702),"",計算結果!H702)=0,"",IF(ISNA(計算結果!H702),"",計算結果!H702))</f>
        <v>-2</v>
      </c>
      <c r="I702" s="12" t="str">
        <f>IF(IF(ISNA(計算結果!I702),"",計算結果!I702)=0,"",IF(ISNA(計算結果!I702),"",計算結果!I702))</f>
        <v/>
      </c>
      <c r="J702" s="12" t="str">
        <f>IF(IF(ISNA(計算結果!J702),"",計算結果!J702)=0,"",IF(ISNA(計算結果!J702),"",計算結果!J702))</f>
        <v/>
      </c>
      <c r="K702" s="23" t="str">
        <f>IF(IF(ISNA(計算結果!K702),"",計算結果!K702)=0,"",IF(ISNA(計算結果!K702),"",計算結果!K702))</f>
        <v/>
      </c>
      <c r="L702" s="13" t="str">
        <f>IF(IF(ISNA(計算結果!L702),"",計算結果!L702)=0,"",IF(ISNA(計算結果!L702),"",計算結果!L702))</f>
        <v/>
      </c>
      <c r="M702" s="10" t="str">
        <f>IF(IF(ISNA(計算結果!M702),"",計算結果!M702)=0,"",IF(ISNA(計算結果!M702),"",計算結果!M702))</f>
        <v/>
      </c>
      <c r="N702" s="10" t="str">
        <f>IF(IF(ISNA(計算結果!N702),"",計算結果!N702)=0,"",IF(ISNA(計算結果!N702),"",計算結果!N702))</f>
        <v/>
      </c>
      <c r="O702" s="13" t="str">
        <f>IF(IF(ISNA(計算結果!O702),"",計算結果!O702)=0,"",IF(ISNA(計算結果!O702),"",計算結果!O702))</f>
        <v/>
      </c>
      <c r="P702" s="10" t="str">
        <f>IF(IF(ISNA(計算結果!P702),"",計算結果!P702)=0,"",IF(ISNA(計算結果!P702),"",計算結果!P702))</f>
        <v/>
      </c>
      <c r="Q702" s="10" t="str">
        <f>IF(IF(ISNA(計算結果!Q702),"",計算結果!Q702)=0,"",IF(ISNA(計算結果!Q702),"",計算結果!Q702))</f>
        <v/>
      </c>
      <c r="R702" s="14" t="str">
        <f t="shared" si="30"/>
        <v/>
      </c>
      <c r="S702" s="14" t="str">
        <f t="shared" si="31"/>
        <v>◯</v>
      </c>
      <c r="T702" s="14" t="str">
        <f t="shared" si="32"/>
        <v/>
      </c>
    </row>
    <row r="703" spans="1:20" hidden="1" x14ac:dyDescent="0.45">
      <c r="A703" s="10" t="str">
        <f>IF(IF(ISNA(計算結果!A703),"",計算結果!A703)=0,"",IF(ISNA(計算結果!A703),"",計算結果!A703))</f>
        <v/>
      </c>
      <c r="B703" s="10" t="str">
        <f>IF(IF(ISNA(計算結果!B703),"",計算結果!B703)=0,"",IF(ISNA(計算結果!B703),"",計算結果!B703))</f>
        <v/>
      </c>
      <c r="C703" s="10" t="str">
        <f>IF(IF(ISNA(計算結果!C703),"",計算結果!C703)=0,"",IF(ISNA(計算結果!C703),"",計算結果!C703))</f>
        <v/>
      </c>
      <c r="D703" s="10" t="str">
        <f>IF(IF(ISNA(計算結果!D703),"",計算結果!D703)=0,"",IF(ISNA(計算結果!D703),"",計算結果!D703))</f>
        <v>L</v>
      </c>
      <c r="E703" s="10" t="str">
        <f>IF(IF(ISNA(計算結果!E703),"",計算結果!E703)=0,"",IF(ISNA(計算結果!E703),"",計算結果!E703))</f>
        <v/>
      </c>
      <c r="F703" s="10" t="str">
        <f>IF(IF(ISNA(計算結果!F703),"",計算結果!F703)=0,"",IF(ISNA(計算結果!F703),"",計算結果!F703))</f>
        <v/>
      </c>
      <c r="G703" s="10" t="str">
        <f>IF(IF(ISNA(計算結果!G703),"",計算結果!G703)=0,"",IF(ISNA(計算結果!G703),"",計算結果!G703))</f>
        <v/>
      </c>
      <c r="H703" s="13">
        <f>IF(IF(ISNA(計算結果!H703),"",計算結果!H703)=0,"",IF(ISNA(計算結果!H703),"",計算結果!H703))</f>
        <v>-2</v>
      </c>
      <c r="I703" s="12" t="str">
        <f>IF(IF(ISNA(計算結果!I703),"",計算結果!I703)=0,"",IF(ISNA(計算結果!I703),"",計算結果!I703))</f>
        <v/>
      </c>
      <c r="J703" s="12" t="str">
        <f>IF(IF(ISNA(計算結果!J703),"",計算結果!J703)=0,"",IF(ISNA(計算結果!J703),"",計算結果!J703))</f>
        <v/>
      </c>
      <c r="K703" s="23" t="str">
        <f>IF(IF(ISNA(計算結果!K703),"",計算結果!K703)=0,"",IF(ISNA(計算結果!K703),"",計算結果!K703))</f>
        <v/>
      </c>
      <c r="L703" s="13" t="str">
        <f>IF(IF(ISNA(計算結果!L703),"",計算結果!L703)=0,"",IF(ISNA(計算結果!L703),"",計算結果!L703))</f>
        <v/>
      </c>
      <c r="M703" s="10" t="str">
        <f>IF(IF(ISNA(計算結果!M703),"",計算結果!M703)=0,"",IF(ISNA(計算結果!M703),"",計算結果!M703))</f>
        <v/>
      </c>
      <c r="N703" s="10" t="str">
        <f>IF(IF(ISNA(計算結果!N703),"",計算結果!N703)=0,"",IF(ISNA(計算結果!N703),"",計算結果!N703))</f>
        <v/>
      </c>
      <c r="O703" s="13" t="str">
        <f>IF(IF(ISNA(計算結果!O703),"",計算結果!O703)=0,"",IF(ISNA(計算結果!O703),"",計算結果!O703))</f>
        <v/>
      </c>
      <c r="P703" s="10" t="str">
        <f>IF(IF(ISNA(計算結果!P703),"",計算結果!P703)=0,"",IF(ISNA(計算結果!P703),"",計算結果!P703))</f>
        <v/>
      </c>
      <c r="Q703" s="10" t="str">
        <f>IF(IF(ISNA(計算結果!Q703),"",計算結果!Q703)=0,"",IF(ISNA(計算結果!Q703),"",計算結果!Q703))</f>
        <v/>
      </c>
      <c r="R703" s="14" t="str">
        <f t="shared" si="30"/>
        <v/>
      </c>
      <c r="S703" s="14" t="str">
        <f t="shared" si="31"/>
        <v>◯</v>
      </c>
      <c r="T703" s="14" t="str">
        <f t="shared" si="32"/>
        <v/>
      </c>
    </row>
    <row r="704" spans="1:20" hidden="1" x14ac:dyDescent="0.45">
      <c r="A704" s="10" t="str">
        <f>IF(IF(ISNA(計算結果!A704),"",計算結果!A704)=0,"",IF(ISNA(計算結果!A704),"",計算結果!A704))</f>
        <v/>
      </c>
      <c r="B704" s="10" t="str">
        <f>IF(IF(ISNA(計算結果!B704),"",計算結果!B704)=0,"",IF(ISNA(計算結果!B704),"",計算結果!B704))</f>
        <v/>
      </c>
      <c r="C704" s="10" t="str">
        <f>IF(IF(ISNA(計算結果!C704),"",計算結果!C704)=0,"",IF(ISNA(計算結果!C704),"",計算結果!C704))</f>
        <v/>
      </c>
      <c r="D704" s="10" t="str">
        <f>IF(IF(ISNA(計算結果!D704),"",計算結果!D704)=0,"",IF(ISNA(計算結果!D704),"",計算結果!D704))</f>
        <v>L</v>
      </c>
      <c r="E704" s="10" t="str">
        <f>IF(IF(ISNA(計算結果!E704),"",計算結果!E704)=0,"",IF(ISNA(計算結果!E704),"",計算結果!E704))</f>
        <v/>
      </c>
      <c r="F704" s="10" t="str">
        <f>IF(IF(ISNA(計算結果!F704),"",計算結果!F704)=0,"",IF(ISNA(計算結果!F704),"",計算結果!F704))</f>
        <v/>
      </c>
      <c r="G704" s="10" t="str">
        <f>IF(IF(ISNA(計算結果!G704),"",計算結果!G704)=0,"",IF(ISNA(計算結果!G704),"",計算結果!G704))</f>
        <v/>
      </c>
      <c r="H704" s="13">
        <f>IF(IF(ISNA(計算結果!H704),"",計算結果!H704)=0,"",IF(ISNA(計算結果!H704),"",計算結果!H704))</f>
        <v>-2</v>
      </c>
      <c r="I704" s="12" t="str">
        <f>IF(IF(ISNA(計算結果!I704),"",計算結果!I704)=0,"",IF(ISNA(計算結果!I704),"",計算結果!I704))</f>
        <v/>
      </c>
      <c r="J704" s="12" t="str">
        <f>IF(IF(ISNA(計算結果!J704),"",計算結果!J704)=0,"",IF(ISNA(計算結果!J704),"",計算結果!J704))</f>
        <v/>
      </c>
      <c r="K704" s="23" t="str">
        <f>IF(IF(ISNA(計算結果!K704),"",計算結果!K704)=0,"",IF(ISNA(計算結果!K704),"",計算結果!K704))</f>
        <v/>
      </c>
      <c r="L704" s="13" t="str">
        <f>IF(IF(ISNA(計算結果!L704),"",計算結果!L704)=0,"",IF(ISNA(計算結果!L704),"",計算結果!L704))</f>
        <v/>
      </c>
      <c r="M704" s="10" t="str">
        <f>IF(IF(ISNA(計算結果!M704),"",計算結果!M704)=0,"",IF(ISNA(計算結果!M704),"",計算結果!M704))</f>
        <v/>
      </c>
      <c r="N704" s="10" t="str">
        <f>IF(IF(ISNA(計算結果!N704),"",計算結果!N704)=0,"",IF(ISNA(計算結果!N704),"",計算結果!N704))</f>
        <v/>
      </c>
      <c r="O704" s="13" t="str">
        <f>IF(IF(ISNA(計算結果!O704),"",計算結果!O704)=0,"",IF(ISNA(計算結果!O704),"",計算結果!O704))</f>
        <v/>
      </c>
      <c r="P704" s="10" t="str">
        <f>IF(IF(ISNA(計算結果!P704),"",計算結果!P704)=0,"",IF(ISNA(計算結果!P704),"",計算結果!P704))</f>
        <v/>
      </c>
      <c r="Q704" s="10" t="str">
        <f>IF(IF(ISNA(計算結果!Q704),"",計算結果!Q704)=0,"",IF(ISNA(計算結果!Q704),"",計算結果!Q704))</f>
        <v/>
      </c>
      <c r="R704" s="14" t="str">
        <f t="shared" si="30"/>
        <v/>
      </c>
      <c r="S704" s="14" t="str">
        <f t="shared" si="31"/>
        <v>◯</v>
      </c>
      <c r="T704" s="14" t="str">
        <f t="shared" si="32"/>
        <v/>
      </c>
    </row>
    <row r="705" spans="1:20" hidden="1" x14ac:dyDescent="0.45">
      <c r="A705" s="10" t="str">
        <f>IF(IF(ISNA(計算結果!A705),"",計算結果!A705)=0,"",IF(ISNA(計算結果!A705),"",計算結果!A705))</f>
        <v/>
      </c>
      <c r="B705" s="10" t="str">
        <f>IF(IF(ISNA(計算結果!B705),"",計算結果!B705)=0,"",IF(ISNA(計算結果!B705),"",計算結果!B705))</f>
        <v/>
      </c>
      <c r="C705" s="10" t="str">
        <f>IF(IF(ISNA(計算結果!C705),"",計算結果!C705)=0,"",IF(ISNA(計算結果!C705),"",計算結果!C705))</f>
        <v/>
      </c>
      <c r="D705" s="10" t="str">
        <f>IF(IF(ISNA(計算結果!D705),"",計算結果!D705)=0,"",IF(ISNA(計算結果!D705),"",計算結果!D705))</f>
        <v>L</v>
      </c>
      <c r="E705" s="10" t="str">
        <f>IF(IF(ISNA(計算結果!E705),"",計算結果!E705)=0,"",IF(ISNA(計算結果!E705),"",計算結果!E705))</f>
        <v/>
      </c>
      <c r="F705" s="10" t="str">
        <f>IF(IF(ISNA(計算結果!F705),"",計算結果!F705)=0,"",IF(ISNA(計算結果!F705),"",計算結果!F705))</f>
        <v/>
      </c>
      <c r="G705" s="10" t="str">
        <f>IF(IF(ISNA(計算結果!G705),"",計算結果!G705)=0,"",IF(ISNA(計算結果!G705),"",計算結果!G705))</f>
        <v/>
      </c>
      <c r="H705" s="13">
        <f>IF(IF(ISNA(計算結果!H705),"",計算結果!H705)=0,"",IF(ISNA(計算結果!H705),"",計算結果!H705))</f>
        <v>-2</v>
      </c>
      <c r="I705" s="12" t="str">
        <f>IF(IF(ISNA(計算結果!I705),"",計算結果!I705)=0,"",IF(ISNA(計算結果!I705),"",計算結果!I705))</f>
        <v/>
      </c>
      <c r="J705" s="12" t="str">
        <f>IF(IF(ISNA(計算結果!J705),"",計算結果!J705)=0,"",IF(ISNA(計算結果!J705),"",計算結果!J705))</f>
        <v/>
      </c>
      <c r="K705" s="23" t="str">
        <f>IF(IF(ISNA(計算結果!K705),"",計算結果!K705)=0,"",IF(ISNA(計算結果!K705),"",計算結果!K705))</f>
        <v/>
      </c>
      <c r="L705" s="13" t="str">
        <f>IF(IF(ISNA(計算結果!L705),"",計算結果!L705)=0,"",IF(ISNA(計算結果!L705),"",計算結果!L705))</f>
        <v/>
      </c>
      <c r="M705" s="10" t="str">
        <f>IF(IF(ISNA(計算結果!M705),"",計算結果!M705)=0,"",IF(ISNA(計算結果!M705),"",計算結果!M705))</f>
        <v/>
      </c>
      <c r="N705" s="10" t="str">
        <f>IF(IF(ISNA(計算結果!N705),"",計算結果!N705)=0,"",IF(ISNA(計算結果!N705),"",計算結果!N705))</f>
        <v/>
      </c>
      <c r="O705" s="13" t="str">
        <f>IF(IF(ISNA(計算結果!O705),"",計算結果!O705)=0,"",IF(ISNA(計算結果!O705),"",計算結果!O705))</f>
        <v/>
      </c>
      <c r="P705" s="10" t="str">
        <f>IF(IF(ISNA(計算結果!P705),"",計算結果!P705)=0,"",IF(ISNA(計算結果!P705),"",計算結果!P705))</f>
        <v/>
      </c>
      <c r="Q705" s="10" t="str">
        <f>IF(IF(ISNA(計算結果!Q705),"",計算結果!Q705)=0,"",IF(ISNA(計算結果!Q705),"",計算結果!Q705))</f>
        <v/>
      </c>
      <c r="R705" s="14" t="str">
        <f t="shared" si="30"/>
        <v/>
      </c>
      <c r="S705" s="14" t="str">
        <f t="shared" si="31"/>
        <v>◯</v>
      </c>
      <c r="T705" s="14" t="str">
        <f t="shared" si="32"/>
        <v/>
      </c>
    </row>
    <row r="706" spans="1:20" hidden="1" x14ac:dyDescent="0.45">
      <c r="A706" s="10" t="str">
        <f>IF(IF(ISNA(計算結果!A706),"",計算結果!A706)=0,"",IF(ISNA(計算結果!A706),"",計算結果!A706))</f>
        <v/>
      </c>
      <c r="B706" s="10" t="str">
        <f>IF(IF(ISNA(計算結果!B706),"",計算結果!B706)=0,"",IF(ISNA(計算結果!B706),"",計算結果!B706))</f>
        <v/>
      </c>
      <c r="C706" s="10" t="str">
        <f>IF(IF(ISNA(計算結果!C706),"",計算結果!C706)=0,"",IF(ISNA(計算結果!C706),"",計算結果!C706))</f>
        <v/>
      </c>
      <c r="D706" s="10" t="str">
        <f>IF(IF(ISNA(計算結果!D706),"",計算結果!D706)=0,"",IF(ISNA(計算結果!D706),"",計算結果!D706))</f>
        <v>L</v>
      </c>
      <c r="E706" s="10" t="str">
        <f>IF(IF(ISNA(計算結果!E706),"",計算結果!E706)=0,"",IF(ISNA(計算結果!E706),"",計算結果!E706))</f>
        <v/>
      </c>
      <c r="F706" s="10" t="str">
        <f>IF(IF(ISNA(計算結果!F706),"",計算結果!F706)=0,"",IF(ISNA(計算結果!F706),"",計算結果!F706))</f>
        <v/>
      </c>
      <c r="G706" s="10" t="str">
        <f>IF(IF(ISNA(計算結果!G706),"",計算結果!G706)=0,"",IF(ISNA(計算結果!G706),"",計算結果!G706))</f>
        <v/>
      </c>
      <c r="H706" s="13">
        <f>IF(IF(ISNA(計算結果!H706),"",計算結果!H706)=0,"",IF(ISNA(計算結果!H706),"",計算結果!H706))</f>
        <v>-2</v>
      </c>
      <c r="I706" s="12" t="str">
        <f>IF(IF(ISNA(計算結果!I706),"",計算結果!I706)=0,"",IF(ISNA(計算結果!I706),"",計算結果!I706))</f>
        <v/>
      </c>
      <c r="J706" s="12" t="str">
        <f>IF(IF(ISNA(計算結果!J706),"",計算結果!J706)=0,"",IF(ISNA(計算結果!J706),"",計算結果!J706))</f>
        <v/>
      </c>
      <c r="K706" s="23" t="str">
        <f>IF(IF(ISNA(計算結果!K706),"",計算結果!K706)=0,"",IF(ISNA(計算結果!K706),"",計算結果!K706))</f>
        <v/>
      </c>
      <c r="L706" s="13" t="str">
        <f>IF(IF(ISNA(計算結果!L706),"",計算結果!L706)=0,"",IF(ISNA(計算結果!L706),"",計算結果!L706))</f>
        <v/>
      </c>
      <c r="M706" s="10" t="str">
        <f>IF(IF(ISNA(計算結果!M706),"",計算結果!M706)=0,"",IF(ISNA(計算結果!M706),"",計算結果!M706))</f>
        <v/>
      </c>
      <c r="N706" s="10" t="str">
        <f>IF(IF(ISNA(計算結果!N706),"",計算結果!N706)=0,"",IF(ISNA(計算結果!N706),"",計算結果!N706))</f>
        <v/>
      </c>
      <c r="O706" s="13" t="str">
        <f>IF(IF(ISNA(計算結果!O706),"",計算結果!O706)=0,"",IF(ISNA(計算結果!O706),"",計算結果!O706))</f>
        <v/>
      </c>
      <c r="P706" s="10" t="str">
        <f>IF(IF(ISNA(計算結果!P706),"",計算結果!P706)=0,"",IF(ISNA(計算結果!P706),"",計算結果!P706))</f>
        <v/>
      </c>
      <c r="Q706" s="10" t="str">
        <f>IF(IF(ISNA(計算結果!Q706),"",計算結果!Q706)=0,"",IF(ISNA(計算結果!Q706),"",計算結果!Q706))</f>
        <v/>
      </c>
      <c r="R706" s="14" t="str">
        <f t="shared" si="30"/>
        <v/>
      </c>
      <c r="S706" s="14" t="str">
        <f t="shared" si="31"/>
        <v>◯</v>
      </c>
      <c r="T706" s="14" t="str">
        <f t="shared" si="32"/>
        <v/>
      </c>
    </row>
    <row r="707" spans="1:20" hidden="1" x14ac:dyDescent="0.45">
      <c r="A707" s="10" t="str">
        <f>IF(IF(ISNA(計算結果!A707),"",計算結果!A707)=0,"",IF(ISNA(計算結果!A707),"",計算結果!A707))</f>
        <v/>
      </c>
      <c r="B707" s="10" t="str">
        <f>IF(IF(ISNA(計算結果!B707),"",計算結果!B707)=0,"",IF(ISNA(計算結果!B707),"",計算結果!B707))</f>
        <v/>
      </c>
      <c r="C707" s="10" t="str">
        <f>IF(IF(ISNA(計算結果!C707),"",計算結果!C707)=0,"",IF(ISNA(計算結果!C707),"",計算結果!C707))</f>
        <v/>
      </c>
      <c r="D707" s="10" t="str">
        <f>IF(IF(ISNA(計算結果!D707),"",計算結果!D707)=0,"",IF(ISNA(計算結果!D707),"",計算結果!D707))</f>
        <v>L</v>
      </c>
      <c r="E707" s="10" t="str">
        <f>IF(IF(ISNA(計算結果!E707),"",計算結果!E707)=0,"",IF(ISNA(計算結果!E707),"",計算結果!E707))</f>
        <v/>
      </c>
      <c r="F707" s="10" t="str">
        <f>IF(IF(ISNA(計算結果!F707),"",計算結果!F707)=0,"",IF(ISNA(計算結果!F707),"",計算結果!F707))</f>
        <v/>
      </c>
      <c r="G707" s="10" t="str">
        <f>IF(IF(ISNA(計算結果!G707),"",計算結果!G707)=0,"",IF(ISNA(計算結果!G707),"",計算結果!G707))</f>
        <v/>
      </c>
      <c r="H707" s="13">
        <f>IF(IF(ISNA(計算結果!H707),"",計算結果!H707)=0,"",IF(ISNA(計算結果!H707),"",計算結果!H707))</f>
        <v>-2</v>
      </c>
      <c r="I707" s="12" t="str">
        <f>IF(IF(ISNA(計算結果!I707),"",計算結果!I707)=0,"",IF(ISNA(計算結果!I707),"",計算結果!I707))</f>
        <v/>
      </c>
      <c r="J707" s="12" t="str">
        <f>IF(IF(ISNA(計算結果!J707),"",計算結果!J707)=0,"",IF(ISNA(計算結果!J707),"",計算結果!J707))</f>
        <v/>
      </c>
      <c r="K707" s="23" t="str">
        <f>IF(IF(ISNA(計算結果!K707),"",計算結果!K707)=0,"",IF(ISNA(計算結果!K707),"",計算結果!K707))</f>
        <v/>
      </c>
      <c r="L707" s="13" t="str">
        <f>IF(IF(ISNA(計算結果!L707),"",計算結果!L707)=0,"",IF(ISNA(計算結果!L707),"",計算結果!L707))</f>
        <v/>
      </c>
      <c r="M707" s="10" t="str">
        <f>IF(IF(ISNA(計算結果!M707),"",計算結果!M707)=0,"",IF(ISNA(計算結果!M707),"",計算結果!M707))</f>
        <v/>
      </c>
      <c r="N707" s="10" t="str">
        <f>IF(IF(ISNA(計算結果!N707),"",計算結果!N707)=0,"",IF(ISNA(計算結果!N707),"",計算結果!N707))</f>
        <v/>
      </c>
      <c r="O707" s="13" t="str">
        <f>IF(IF(ISNA(計算結果!O707),"",計算結果!O707)=0,"",IF(ISNA(計算結果!O707),"",計算結果!O707))</f>
        <v/>
      </c>
      <c r="P707" s="10" t="str">
        <f>IF(IF(ISNA(計算結果!P707),"",計算結果!P707)=0,"",IF(ISNA(計算結果!P707),"",計算結果!P707))</f>
        <v/>
      </c>
      <c r="Q707" s="10" t="str">
        <f>IF(IF(ISNA(計算結果!Q707),"",計算結果!Q707)=0,"",IF(ISNA(計算結果!Q707),"",計算結果!Q707))</f>
        <v/>
      </c>
      <c r="R707" s="14" t="str">
        <f t="shared" ref="R707:R770" si="33">IF(AND(M707&lt;&gt;"",M707=N707),"◯","")</f>
        <v/>
      </c>
      <c r="S707" s="14" t="str">
        <f t="shared" ref="S707:S770" si="34">IF(M707="","◯","")</f>
        <v>◯</v>
      </c>
      <c r="T707" s="14" t="str">
        <f t="shared" ref="T707:T770" si="35">IF(AND(P707&lt;&gt;"",P707&lt;&gt;Q707),"◯","")</f>
        <v/>
      </c>
    </row>
    <row r="708" spans="1:20" hidden="1" x14ac:dyDescent="0.45">
      <c r="A708" s="10" t="str">
        <f>IF(IF(ISNA(計算結果!A708),"",計算結果!A708)=0,"",IF(ISNA(計算結果!A708),"",計算結果!A708))</f>
        <v/>
      </c>
      <c r="B708" s="10" t="str">
        <f>IF(IF(ISNA(計算結果!B708),"",計算結果!B708)=0,"",IF(ISNA(計算結果!B708),"",計算結果!B708))</f>
        <v/>
      </c>
      <c r="C708" s="10" t="str">
        <f>IF(IF(ISNA(計算結果!C708),"",計算結果!C708)=0,"",IF(ISNA(計算結果!C708),"",計算結果!C708))</f>
        <v/>
      </c>
      <c r="D708" s="10" t="str">
        <f>IF(IF(ISNA(計算結果!D708),"",計算結果!D708)=0,"",IF(ISNA(計算結果!D708),"",計算結果!D708))</f>
        <v>L</v>
      </c>
      <c r="E708" s="10" t="str">
        <f>IF(IF(ISNA(計算結果!E708),"",計算結果!E708)=0,"",IF(ISNA(計算結果!E708),"",計算結果!E708))</f>
        <v/>
      </c>
      <c r="F708" s="10" t="str">
        <f>IF(IF(ISNA(計算結果!F708),"",計算結果!F708)=0,"",IF(ISNA(計算結果!F708),"",計算結果!F708))</f>
        <v/>
      </c>
      <c r="G708" s="10" t="str">
        <f>IF(IF(ISNA(計算結果!G708),"",計算結果!G708)=0,"",IF(ISNA(計算結果!G708),"",計算結果!G708))</f>
        <v/>
      </c>
      <c r="H708" s="13">
        <f>IF(IF(ISNA(計算結果!H708),"",計算結果!H708)=0,"",IF(ISNA(計算結果!H708),"",計算結果!H708))</f>
        <v>-2</v>
      </c>
      <c r="I708" s="12" t="str">
        <f>IF(IF(ISNA(計算結果!I708),"",計算結果!I708)=0,"",IF(ISNA(計算結果!I708),"",計算結果!I708))</f>
        <v/>
      </c>
      <c r="J708" s="12" t="str">
        <f>IF(IF(ISNA(計算結果!J708),"",計算結果!J708)=0,"",IF(ISNA(計算結果!J708),"",計算結果!J708))</f>
        <v/>
      </c>
      <c r="K708" s="23" t="str">
        <f>IF(IF(ISNA(計算結果!K708),"",計算結果!K708)=0,"",IF(ISNA(計算結果!K708),"",計算結果!K708))</f>
        <v/>
      </c>
      <c r="L708" s="13" t="str">
        <f>IF(IF(ISNA(計算結果!L708),"",計算結果!L708)=0,"",IF(ISNA(計算結果!L708),"",計算結果!L708))</f>
        <v/>
      </c>
      <c r="M708" s="10" t="str">
        <f>IF(IF(ISNA(計算結果!M708),"",計算結果!M708)=0,"",IF(ISNA(計算結果!M708),"",計算結果!M708))</f>
        <v/>
      </c>
      <c r="N708" s="10" t="str">
        <f>IF(IF(ISNA(計算結果!N708),"",計算結果!N708)=0,"",IF(ISNA(計算結果!N708),"",計算結果!N708))</f>
        <v/>
      </c>
      <c r="O708" s="13" t="str">
        <f>IF(IF(ISNA(計算結果!O708),"",計算結果!O708)=0,"",IF(ISNA(計算結果!O708),"",計算結果!O708))</f>
        <v/>
      </c>
      <c r="P708" s="10" t="str">
        <f>IF(IF(ISNA(計算結果!P708),"",計算結果!P708)=0,"",IF(ISNA(計算結果!P708),"",計算結果!P708))</f>
        <v/>
      </c>
      <c r="Q708" s="10" t="str">
        <f>IF(IF(ISNA(計算結果!Q708),"",計算結果!Q708)=0,"",IF(ISNA(計算結果!Q708),"",計算結果!Q708))</f>
        <v/>
      </c>
      <c r="R708" s="14" t="str">
        <f t="shared" si="33"/>
        <v/>
      </c>
      <c r="S708" s="14" t="str">
        <f t="shared" si="34"/>
        <v>◯</v>
      </c>
      <c r="T708" s="14" t="str">
        <f t="shared" si="35"/>
        <v/>
      </c>
    </row>
    <row r="709" spans="1:20" hidden="1" x14ac:dyDescent="0.45">
      <c r="A709" s="10" t="str">
        <f>IF(IF(ISNA(計算結果!A709),"",計算結果!A709)=0,"",IF(ISNA(計算結果!A709),"",計算結果!A709))</f>
        <v/>
      </c>
      <c r="B709" s="10" t="str">
        <f>IF(IF(ISNA(計算結果!B709),"",計算結果!B709)=0,"",IF(ISNA(計算結果!B709),"",計算結果!B709))</f>
        <v/>
      </c>
      <c r="C709" s="10" t="str">
        <f>IF(IF(ISNA(計算結果!C709),"",計算結果!C709)=0,"",IF(ISNA(計算結果!C709),"",計算結果!C709))</f>
        <v/>
      </c>
      <c r="D709" s="10" t="str">
        <f>IF(IF(ISNA(計算結果!D709),"",計算結果!D709)=0,"",IF(ISNA(計算結果!D709),"",計算結果!D709))</f>
        <v>L</v>
      </c>
      <c r="E709" s="10" t="str">
        <f>IF(IF(ISNA(計算結果!E709),"",計算結果!E709)=0,"",IF(ISNA(計算結果!E709),"",計算結果!E709))</f>
        <v/>
      </c>
      <c r="F709" s="10" t="str">
        <f>IF(IF(ISNA(計算結果!F709),"",計算結果!F709)=0,"",IF(ISNA(計算結果!F709),"",計算結果!F709))</f>
        <v/>
      </c>
      <c r="G709" s="10" t="str">
        <f>IF(IF(ISNA(計算結果!G709),"",計算結果!G709)=0,"",IF(ISNA(計算結果!G709),"",計算結果!G709))</f>
        <v/>
      </c>
      <c r="H709" s="13">
        <f>IF(IF(ISNA(計算結果!H709),"",計算結果!H709)=0,"",IF(ISNA(計算結果!H709),"",計算結果!H709))</f>
        <v>-2</v>
      </c>
      <c r="I709" s="12" t="str">
        <f>IF(IF(ISNA(計算結果!I709),"",計算結果!I709)=0,"",IF(ISNA(計算結果!I709),"",計算結果!I709))</f>
        <v/>
      </c>
      <c r="J709" s="12" t="str">
        <f>IF(IF(ISNA(計算結果!J709),"",計算結果!J709)=0,"",IF(ISNA(計算結果!J709),"",計算結果!J709))</f>
        <v/>
      </c>
      <c r="K709" s="23" t="str">
        <f>IF(IF(ISNA(計算結果!K709),"",計算結果!K709)=0,"",IF(ISNA(計算結果!K709),"",計算結果!K709))</f>
        <v/>
      </c>
      <c r="L709" s="13" t="str">
        <f>IF(IF(ISNA(計算結果!L709),"",計算結果!L709)=0,"",IF(ISNA(計算結果!L709),"",計算結果!L709))</f>
        <v/>
      </c>
      <c r="M709" s="10" t="str">
        <f>IF(IF(ISNA(計算結果!M709),"",計算結果!M709)=0,"",IF(ISNA(計算結果!M709),"",計算結果!M709))</f>
        <v/>
      </c>
      <c r="N709" s="10" t="str">
        <f>IF(IF(ISNA(計算結果!N709),"",計算結果!N709)=0,"",IF(ISNA(計算結果!N709),"",計算結果!N709))</f>
        <v/>
      </c>
      <c r="O709" s="13" t="str">
        <f>IF(IF(ISNA(計算結果!O709),"",計算結果!O709)=0,"",IF(ISNA(計算結果!O709),"",計算結果!O709))</f>
        <v/>
      </c>
      <c r="P709" s="10" t="str">
        <f>IF(IF(ISNA(計算結果!P709),"",計算結果!P709)=0,"",IF(ISNA(計算結果!P709),"",計算結果!P709))</f>
        <v/>
      </c>
      <c r="Q709" s="10" t="str">
        <f>IF(IF(ISNA(計算結果!Q709),"",計算結果!Q709)=0,"",IF(ISNA(計算結果!Q709),"",計算結果!Q709))</f>
        <v/>
      </c>
      <c r="R709" s="14" t="str">
        <f t="shared" si="33"/>
        <v/>
      </c>
      <c r="S709" s="14" t="str">
        <f t="shared" si="34"/>
        <v>◯</v>
      </c>
      <c r="T709" s="14" t="str">
        <f t="shared" si="35"/>
        <v/>
      </c>
    </row>
    <row r="710" spans="1:20" hidden="1" x14ac:dyDescent="0.45">
      <c r="A710" s="10" t="str">
        <f>IF(IF(ISNA(計算結果!A710),"",計算結果!A710)=0,"",IF(ISNA(計算結果!A710),"",計算結果!A710))</f>
        <v/>
      </c>
      <c r="B710" s="10" t="str">
        <f>IF(IF(ISNA(計算結果!B710),"",計算結果!B710)=0,"",IF(ISNA(計算結果!B710),"",計算結果!B710))</f>
        <v/>
      </c>
      <c r="C710" s="10" t="str">
        <f>IF(IF(ISNA(計算結果!C710),"",計算結果!C710)=0,"",IF(ISNA(計算結果!C710),"",計算結果!C710))</f>
        <v/>
      </c>
      <c r="D710" s="10" t="str">
        <f>IF(IF(ISNA(計算結果!D710),"",計算結果!D710)=0,"",IF(ISNA(計算結果!D710),"",計算結果!D710))</f>
        <v>L</v>
      </c>
      <c r="E710" s="10" t="str">
        <f>IF(IF(ISNA(計算結果!E710),"",計算結果!E710)=0,"",IF(ISNA(計算結果!E710),"",計算結果!E710))</f>
        <v/>
      </c>
      <c r="F710" s="10" t="str">
        <f>IF(IF(ISNA(計算結果!F710),"",計算結果!F710)=0,"",IF(ISNA(計算結果!F710),"",計算結果!F710))</f>
        <v/>
      </c>
      <c r="G710" s="10" t="str">
        <f>IF(IF(ISNA(計算結果!G710),"",計算結果!G710)=0,"",IF(ISNA(計算結果!G710),"",計算結果!G710))</f>
        <v/>
      </c>
      <c r="H710" s="13">
        <f>IF(IF(ISNA(計算結果!H710),"",計算結果!H710)=0,"",IF(ISNA(計算結果!H710),"",計算結果!H710))</f>
        <v>-2</v>
      </c>
      <c r="I710" s="12" t="str">
        <f>IF(IF(ISNA(計算結果!I710),"",計算結果!I710)=0,"",IF(ISNA(計算結果!I710),"",計算結果!I710))</f>
        <v/>
      </c>
      <c r="J710" s="12" t="str">
        <f>IF(IF(ISNA(計算結果!J710),"",計算結果!J710)=0,"",IF(ISNA(計算結果!J710),"",計算結果!J710))</f>
        <v/>
      </c>
      <c r="K710" s="23" t="str">
        <f>IF(IF(ISNA(計算結果!K710),"",計算結果!K710)=0,"",IF(ISNA(計算結果!K710),"",計算結果!K710))</f>
        <v/>
      </c>
      <c r="L710" s="13" t="str">
        <f>IF(IF(ISNA(計算結果!L710),"",計算結果!L710)=0,"",IF(ISNA(計算結果!L710),"",計算結果!L710))</f>
        <v/>
      </c>
      <c r="M710" s="10" t="str">
        <f>IF(IF(ISNA(計算結果!M710),"",計算結果!M710)=0,"",IF(ISNA(計算結果!M710),"",計算結果!M710))</f>
        <v/>
      </c>
      <c r="N710" s="10" t="str">
        <f>IF(IF(ISNA(計算結果!N710),"",計算結果!N710)=0,"",IF(ISNA(計算結果!N710),"",計算結果!N710))</f>
        <v/>
      </c>
      <c r="O710" s="13" t="str">
        <f>IF(IF(ISNA(計算結果!O710),"",計算結果!O710)=0,"",IF(ISNA(計算結果!O710),"",計算結果!O710))</f>
        <v/>
      </c>
      <c r="P710" s="10" t="str">
        <f>IF(IF(ISNA(計算結果!P710),"",計算結果!P710)=0,"",IF(ISNA(計算結果!P710),"",計算結果!P710))</f>
        <v/>
      </c>
      <c r="Q710" s="10" t="str">
        <f>IF(IF(ISNA(計算結果!Q710),"",計算結果!Q710)=0,"",IF(ISNA(計算結果!Q710),"",計算結果!Q710))</f>
        <v/>
      </c>
      <c r="R710" s="14" t="str">
        <f t="shared" si="33"/>
        <v/>
      </c>
      <c r="S710" s="14" t="str">
        <f t="shared" si="34"/>
        <v>◯</v>
      </c>
      <c r="T710" s="14" t="str">
        <f t="shared" si="35"/>
        <v/>
      </c>
    </row>
    <row r="711" spans="1:20" hidden="1" x14ac:dyDescent="0.45">
      <c r="A711" s="10" t="str">
        <f>IF(IF(ISNA(計算結果!A711),"",計算結果!A711)=0,"",IF(ISNA(計算結果!A711),"",計算結果!A711))</f>
        <v/>
      </c>
      <c r="B711" s="10" t="str">
        <f>IF(IF(ISNA(計算結果!B711),"",計算結果!B711)=0,"",IF(ISNA(計算結果!B711),"",計算結果!B711))</f>
        <v/>
      </c>
      <c r="C711" s="10" t="str">
        <f>IF(IF(ISNA(計算結果!C711),"",計算結果!C711)=0,"",IF(ISNA(計算結果!C711),"",計算結果!C711))</f>
        <v/>
      </c>
      <c r="D711" s="10" t="str">
        <f>IF(IF(ISNA(計算結果!D711),"",計算結果!D711)=0,"",IF(ISNA(計算結果!D711),"",計算結果!D711))</f>
        <v>L</v>
      </c>
      <c r="E711" s="10" t="str">
        <f>IF(IF(ISNA(計算結果!E711),"",計算結果!E711)=0,"",IF(ISNA(計算結果!E711),"",計算結果!E711))</f>
        <v/>
      </c>
      <c r="F711" s="10" t="str">
        <f>IF(IF(ISNA(計算結果!F711),"",計算結果!F711)=0,"",IF(ISNA(計算結果!F711),"",計算結果!F711))</f>
        <v/>
      </c>
      <c r="G711" s="10" t="str">
        <f>IF(IF(ISNA(計算結果!G711),"",計算結果!G711)=0,"",IF(ISNA(計算結果!G711),"",計算結果!G711))</f>
        <v/>
      </c>
      <c r="H711" s="13">
        <f>IF(IF(ISNA(計算結果!H711),"",計算結果!H711)=0,"",IF(ISNA(計算結果!H711),"",計算結果!H711))</f>
        <v>-2</v>
      </c>
      <c r="I711" s="12" t="str">
        <f>IF(IF(ISNA(計算結果!I711),"",計算結果!I711)=0,"",IF(ISNA(計算結果!I711),"",計算結果!I711))</f>
        <v/>
      </c>
      <c r="J711" s="12" t="str">
        <f>IF(IF(ISNA(計算結果!J711),"",計算結果!J711)=0,"",IF(ISNA(計算結果!J711),"",計算結果!J711))</f>
        <v/>
      </c>
      <c r="K711" s="23" t="str">
        <f>IF(IF(ISNA(計算結果!K711),"",計算結果!K711)=0,"",IF(ISNA(計算結果!K711),"",計算結果!K711))</f>
        <v/>
      </c>
      <c r="L711" s="13" t="str">
        <f>IF(IF(ISNA(計算結果!L711),"",計算結果!L711)=0,"",IF(ISNA(計算結果!L711),"",計算結果!L711))</f>
        <v/>
      </c>
      <c r="M711" s="10" t="str">
        <f>IF(IF(ISNA(計算結果!M711),"",計算結果!M711)=0,"",IF(ISNA(計算結果!M711),"",計算結果!M711))</f>
        <v/>
      </c>
      <c r="N711" s="10" t="str">
        <f>IF(IF(ISNA(計算結果!N711),"",計算結果!N711)=0,"",IF(ISNA(計算結果!N711),"",計算結果!N711))</f>
        <v/>
      </c>
      <c r="O711" s="13" t="str">
        <f>IF(IF(ISNA(計算結果!O711),"",計算結果!O711)=0,"",IF(ISNA(計算結果!O711),"",計算結果!O711))</f>
        <v/>
      </c>
      <c r="P711" s="10" t="str">
        <f>IF(IF(ISNA(計算結果!P711),"",計算結果!P711)=0,"",IF(ISNA(計算結果!P711),"",計算結果!P711))</f>
        <v/>
      </c>
      <c r="Q711" s="10" t="str">
        <f>IF(IF(ISNA(計算結果!Q711),"",計算結果!Q711)=0,"",IF(ISNA(計算結果!Q711),"",計算結果!Q711))</f>
        <v/>
      </c>
      <c r="R711" s="14" t="str">
        <f t="shared" si="33"/>
        <v/>
      </c>
      <c r="S711" s="14" t="str">
        <f t="shared" si="34"/>
        <v>◯</v>
      </c>
      <c r="T711" s="14" t="str">
        <f t="shared" si="35"/>
        <v/>
      </c>
    </row>
    <row r="712" spans="1:20" hidden="1" x14ac:dyDescent="0.45">
      <c r="A712" s="10" t="str">
        <f>IF(IF(ISNA(計算結果!A712),"",計算結果!A712)=0,"",IF(ISNA(計算結果!A712),"",計算結果!A712))</f>
        <v/>
      </c>
      <c r="B712" s="10" t="str">
        <f>IF(IF(ISNA(計算結果!B712),"",計算結果!B712)=0,"",IF(ISNA(計算結果!B712),"",計算結果!B712))</f>
        <v/>
      </c>
      <c r="C712" s="10" t="str">
        <f>IF(IF(ISNA(計算結果!C712),"",計算結果!C712)=0,"",IF(ISNA(計算結果!C712),"",計算結果!C712))</f>
        <v/>
      </c>
      <c r="D712" s="10" t="str">
        <f>IF(IF(ISNA(計算結果!D712),"",計算結果!D712)=0,"",IF(ISNA(計算結果!D712),"",計算結果!D712))</f>
        <v>L</v>
      </c>
      <c r="E712" s="10" t="str">
        <f>IF(IF(ISNA(計算結果!E712),"",計算結果!E712)=0,"",IF(ISNA(計算結果!E712),"",計算結果!E712))</f>
        <v/>
      </c>
      <c r="F712" s="10" t="str">
        <f>IF(IF(ISNA(計算結果!F712),"",計算結果!F712)=0,"",IF(ISNA(計算結果!F712),"",計算結果!F712))</f>
        <v/>
      </c>
      <c r="G712" s="10" t="str">
        <f>IF(IF(ISNA(計算結果!G712),"",計算結果!G712)=0,"",IF(ISNA(計算結果!G712),"",計算結果!G712))</f>
        <v/>
      </c>
      <c r="H712" s="13">
        <f>IF(IF(ISNA(計算結果!H712),"",計算結果!H712)=0,"",IF(ISNA(計算結果!H712),"",計算結果!H712))</f>
        <v>-2</v>
      </c>
      <c r="I712" s="12" t="str">
        <f>IF(IF(ISNA(計算結果!I712),"",計算結果!I712)=0,"",IF(ISNA(計算結果!I712),"",計算結果!I712))</f>
        <v/>
      </c>
      <c r="J712" s="12" t="str">
        <f>IF(IF(ISNA(計算結果!J712),"",計算結果!J712)=0,"",IF(ISNA(計算結果!J712),"",計算結果!J712))</f>
        <v/>
      </c>
      <c r="K712" s="23" t="str">
        <f>IF(IF(ISNA(計算結果!K712),"",計算結果!K712)=0,"",IF(ISNA(計算結果!K712),"",計算結果!K712))</f>
        <v/>
      </c>
      <c r="L712" s="13" t="str">
        <f>IF(IF(ISNA(計算結果!L712),"",計算結果!L712)=0,"",IF(ISNA(計算結果!L712),"",計算結果!L712))</f>
        <v/>
      </c>
      <c r="M712" s="10" t="str">
        <f>IF(IF(ISNA(計算結果!M712),"",計算結果!M712)=0,"",IF(ISNA(計算結果!M712),"",計算結果!M712))</f>
        <v/>
      </c>
      <c r="N712" s="10" t="str">
        <f>IF(IF(ISNA(計算結果!N712),"",計算結果!N712)=0,"",IF(ISNA(計算結果!N712),"",計算結果!N712))</f>
        <v/>
      </c>
      <c r="O712" s="13" t="str">
        <f>IF(IF(ISNA(計算結果!O712),"",計算結果!O712)=0,"",IF(ISNA(計算結果!O712),"",計算結果!O712))</f>
        <v/>
      </c>
      <c r="P712" s="10" t="str">
        <f>IF(IF(ISNA(計算結果!P712),"",計算結果!P712)=0,"",IF(ISNA(計算結果!P712),"",計算結果!P712))</f>
        <v/>
      </c>
      <c r="Q712" s="10" t="str">
        <f>IF(IF(ISNA(計算結果!Q712),"",計算結果!Q712)=0,"",IF(ISNA(計算結果!Q712),"",計算結果!Q712))</f>
        <v/>
      </c>
      <c r="R712" s="14" t="str">
        <f t="shared" si="33"/>
        <v/>
      </c>
      <c r="S712" s="14" t="str">
        <f t="shared" si="34"/>
        <v>◯</v>
      </c>
      <c r="T712" s="14" t="str">
        <f t="shared" si="35"/>
        <v/>
      </c>
    </row>
    <row r="713" spans="1:20" hidden="1" x14ac:dyDescent="0.45">
      <c r="A713" s="10" t="str">
        <f>IF(IF(ISNA(計算結果!A713),"",計算結果!A713)=0,"",IF(ISNA(計算結果!A713),"",計算結果!A713))</f>
        <v/>
      </c>
      <c r="B713" s="10" t="str">
        <f>IF(IF(ISNA(計算結果!B713),"",計算結果!B713)=0,"",IF(ISNA(計算結果!B713),"",計算結果!B713))</f>
        <v/>
      </c>
      <c r="C713" s="10" t="str">
        <f>IF(IF(ISNA(計算結果!C713),"",計算結果!C713)=0,"",IF(ISNA(計算結果!C713),"",計算結果!C713))</f>
        <v/>
      </c>
      <c r="D713" s="10" t="str">
        <f>IF(IF(ISNA(計算結果!D713),"",計算結果!D713)=0,"",IF(ISNA(計算結果!D713),"",計算結果!D713))</f>
        <v>L</v>
      </c>
      <c r="E713" s="10" t="str">
        <f>IF(IF(ISNA(計算結果!E713),"",計算結果!E713)=0,"",IF(ISNA(計算結果!E713),"",計算結果!E713))</f>
        <v/>
      </c>
      <c r="F713" s="10" t="str">
        <f>IF(IF(ISNA(計算結果!F713),"",計算結果!F713)=0,"",IF(ISNA(計算結果!F713),"",計算結果!F713))</f>
        <v/>
      </c>
      <c r="G713" s="10" t="str">
        <f>IF(IF(ISNA(計算結果!G713),"",計算結果!G713)=0,"",IF(ISNA(計算結果!G713),"",計算結果!G713))</f>
        <v/>
      </c>
      <c r="H713" s="13">
        <f>IF(IF(ISNA(計算結果!H713),"",計算結果!H713)=0,"",IF(ISNA(計算結果!H713),"",計算結果!H713))</f>
        <v>-2</v>
      </c>
      <c r="I713" s="12" t="str">
        <f>IF(IF(ISNA(計算結果!I713),"",計算結果!I713)=0,"",IF(ISNA(計算結果!I713),"",計算結果!I713))</f>
        <v/>
      </c>
      <c r="J713" s="12" t="str">
        <f>IF(IF(ISNA(計算結果!J713),"",計算結果!J713)=0,"",IF(ISNA(計算結果!J713),"",計算結果!J713))</f>
        <v/>
      </c>
      <c r="K713" s="23" t="str">
        <f>IF(IF(ISNA(計算結果!K713),"",計算結果!K713)=0,"",IF(ISNA(計算結果!K713),"",計算結果!K713))</f>
        <v/>
      </c>
      <c r="L713" s="13" t="str">
        <f>IF(IF(ISNA(計算結果!L713),"",計算結果!L713)=0,"",IF(ISNA(計算結果!L713),"",計算結果!L713))</f>
        <v/>
      </c>
      <c r="M713" s="10" t="str">
        <f>IF(IF(ISNA(計算結果!M713),"",計算結果!M713)=0,"",IF(ISNA(計算結果!M713),"",計算結果!M713))</f>
        <v/>
      </c>
      <c r="N713" s="10" t="str">
        <f>IF(IF(ISNA(計算結果!N713),"",計算結果!N713)=0,"",IF(ISNA(計算結果!N713),"",計算結果!N713))</f>
        <v/>
      </c>
      <c r="O713" s="13" t="str">
        <f>IF(IF(ISNA(計算結果!O713),"",計算結果!O713)=0,"",IF(ISNA(計算結果!O713),"",計算結果!O713))</f>
        <v/>
      </c>
      <c r="P713" s="10" t="str">
        <f>IF(IF(ISNA(計算結果!P713),"",計算結果!P713)=0,"",IF(ISNA(計算結果!P713),"",計算結果!P713))</f>
        <v/>
      </c>
      <c r="Q713" s="10" t="str">
        <f>IF(IF(ISNA(計算結果!Q713),"",計算結果!Q713)=0,"",IF(ISNA(計算結果!Q713),"",計算結果!Q713))</f>
        <v/>
      </c>
      <c r="R713" s="14" t="str">
        <f t="shared" si="33"/>
        <v/>
      </c>
      <c r="S713" s="14" t="str">
        <f t="shared" si="34"/>
        <v>◯</v>
      </c>
      <c r="T713" s="14" t="str">
        <f t="shared" si="35"/>
        <v/>
      </c>
    </row>
    <row r="714" spans="1:20" hidden="1" x14ac:dyDescent="0.45">
      <c r="A714" s="10" t="str">
        <f>IF(IF(ISNA(計算結果!A714),"",計算結果!A714)=0,"",IF(ISNA(計算結果!A714),"",計算結果!A714))</f>
        <v/>
      </c>
      <c r="B714" s="10" t="str">
        <f>IF(IF(ISNA(計算結果!B714),"",計算結果!B714)=0,"",IF(ISNA(計算結果!B714),"",計算結果!B714))</f>
        <v/>
      </c>
      <c r="C714" s="10" t="str">
        <f>IF(IF(ISNA(計算結果!C714),"",計算結果!C714)=0,"",IF(ISNA(計算結果!C714),"",計算結果!C714))</f>
        <v/>
      </c>
      <c r="D714" s="10" t="str">
        <f>IF(IF(ISNA(計算結果!D714),"",計算結果!D714)=0,"",IF(ISNA(計算結果!D714),"",計算結果!D714))</f>
        <v>L</v>
      </c>
      <c r="E714" s="10" t="str">
        <f>IF(IF(ISNA(計算結果!E714),"",計算結果!E714)=0,"",IF(ISNA(計算結果!E714),"",計算結果!E714))</f>
        <v/>
      </c>
      <c r="F714" s="10" t="str">
        <f>IF(IF(ISNA(計算結果!F714),"",計算結果!F714)=0,"",IF(ISNA(計算結果!F714),"",計算結果!F714))</f>
        <v/>
      </c>
      <c r="G714" s="10" t="str">
        <f>IF(IF(ISNA(計算結果!G714),"",計算結果!G714)=0,"",IF(ISNA(計算結果!G714),"",計算結果!G714))</f>
        <v/>
      </c>
      <c r="H714" s="13">
        <f>IF(IF(ISNA(計算結果!H714),"",計算結果!H714)=0,"",IF(ISNA(計算結果!H714),"",計算結果!H714))</f>
        <v>-2</v>
      </c>
      <c r="I714" s="12" t="str">
        <f>IF(IF(ISNA(計算結果!I714),"",計算結果!I714)=0,"",IF(ISNA(計算結果!I714),"",計算結果!I714))</f>
        <v/>
      </c>
      <c r="J714" s="12" t="str">
        <f>IF(IF(ISNA(計算結果!J714),"",計算結果!J714)=0,"",IF(ISNA(計算結果!J714),"",計算結果!J714))</f>
        <v/>
      </c>
      <c r="K714" s="23" t="str">
        <f>IF(IF(ISNA(計算結果!K714),"",計算結果!K714)=0,"",IF(ISNA(計算結果!K714),"",計算結果!K714))</f>
        <v/>
      </c>
      <c r="L714" s="13" t="str">
        <f>IF(IF(ISNA(計算結果!L714),"",計算結果!L714)=0,"",IF(ISNA(計算結果!L714),"",計算結果!L714))</f>
        <v/>
      </c>
      <c r="M714" s="10" t="str">
        <f>IF(IF(ISNA(計算結果!M714),"",計算結果!M714)=0,"",IF(ISNA(計算結果!M714),"",計算結果!M714))</f>
        <v/>
      </c>
      <c r="N714" s="10" t="str">
        <f>IF(IF(ISNA(計算結果!N714),"",計算結果!N714)=0,"",IF(ISNA(計算結果!N714),"",計算結果!N714))</f>
        <v/>
      </c>
      <c r="O714" s="13" t="str">
        <f>IF(IF(ISNA(計算結果!O714),"",計算結果!O714)=0,"",IF(ISNA(計算結果!O714),"",計算結果!O714))</f>
        <v/>
      </c>
      <c r="P714" s="10" t="str">
        <f>IF(IF(ISNA(計算結果!P714),"",計算結果!P714)=0,"",IF(ISNA(計算結果!P714),"",計算結果!P714))</f>
        <v/>
      </c>
      <c r="Q714" s="10" t="str">
        <f>IF(IF(ISNA(計算結果!Q714),"",計算結果!Q714)=0,"",IF(ISNA(計算結果!Q714),"",計算結果!Q714))</f>
        <v/>
      </c>
      <c r="R714" s="14" t="str">
        <f t="shared" si="33"/>
        <v/>
      </c>
      <c r="S714" s="14" t="str">
        <f t="shared" si="34"/>
        <v>◯</v>
      </c>
      <c r="T714" s="14" t="str">
        <f t="shared" si="35"/>
        <v/>
      </c>
    </row>
    <row r="715" spans="1:20" hidden="1" x14ac:dyDescent="0.45">
      <c r="A715" s="10" t="str">
        <f>IF(IF(ISNA(計算結果!A715),"",計算結果!A715)=0,"",IF(ISNA(計算結果!A715),"",計算結果!A715))</f>
        <v/>
      </c>
      <c r="B715" s="10" t="str">
        <f>IF(IF(ISNA(計算結果!B715),"",計算結果!B715)=0,"",IF(ISNA(計算結果!B715),"",計算結果!B715))</f>
        <v/>
      </c>
      <c r="C715" s="10" t="str">
        <f>IF(IF(ISNA(計算結果!C715),"",計算結果!C715)=0,"",IF(ISNA(計算結果!C715),"",計算結果!C715))</f>
        <v/>
      </c>
      <c r="D715" s="10" t="str">
        <f>IF(IF(ISNA(計算結果!D715),"",計算結果!D715)=0,"",IF(ISNA(計算結果!D715),"",計算結果!D715))</f>
        <v>L</v>
      </c>
      <c r="E715" s="10" t="str">
        <f>IF(IF(ISNA(計算結果!E715),"",計算結果!E715)=0,"",IF(ISNA(計算結果!E715),"",計算結果!E715))</f>
        <v/>
      </c>
      <c r="F715" s="10" t="str">
        <f>IF(IF(ISNA(計算結果!F715),"",計算結果!F715)=0,"",IF(ISNA(計算結果!F715),"",計算結果!F715))</f>
        <v/>
      </c>
      <c r="G715" s="10" t="str">
        <f>IF(IF(ISNA(計算結果!G715),"",計算結果!G715)=0,"",IF(ISNA(計算結果!G715),"",計算結果!G715))</f>
        <v/>
      </c>
      <c r="H715" s="13">
        <f>IF(IF(ISNA(計算結果!H715),"",計算結果!H715)=0,"",IF(ISNA(計算結果!H715),"",計算結果!H715))</f>
        <v>-2</v>
      </c>
      <c r="I715" s="12" t="str">
        <f>IF(IF(ISNA(計算結果!I715),"",計算結果!I715)=0,"",IF(ISNA(計算結果!I715),"",計算結果!I715))</f>
        <v/>
      </c>
      <c r="J715" s="12" t="str">
        <f>IF(IF(ISNA(計算結果!J715),"",計算結果!J715)=0,"",IF(ISNA(計算結果!J715),"",計算結果!J715))</f>
        <v/>
      </c>
      <c r="K715" s="23" t="str">
        <f>IF(IF(ISNA(計算結果!K715),"",計算結果!K715)=0,"",IF(ISNA(計算結果!K715),"",計算結果!K715))</f>
        <v/>
      </c>
      <c r="L715" s="13" t="str">
        <f>IF(IF(ISNA(計算結果!L715),"",計算結果!L715)=0,"",IF(ISNA(計算結果!L715),"",計算結果!L715))</f>
        <v/>
      </c>
      <c r="M715" s="10" t="str">
        <f>IF(IF(ISNA(計算結果!M715),"",計算結果!M715)=0,"",IF(ISNA(計算結果!M715),"",計算結果!M715))</f>
        <v/>
      </c>
      <c r="N715" s="10" t="str">
        <f>IF(IF(ISNA(計算結果!N715),"",計算結果!N715)=0,"",IF(ISNA(計算結果!N715),"",計算結果!N715))</f>
        <v/>
      </c>
      <c r="O715" s="13" t="str">
        <f>IF(IF(ISNA(計算結果!O715),"",計算結果!O715)=0,"",IF(ISNA(計算結果!O715),"",計算結果!O715))</f>
        <v/>
      </c>
      <c r="P715" s="10" t="str">
        <f>IF(IF(ISNA(計算結果!P715),"",計算結果!P715)=0,"",IF(ISNA(計算結果!P715),"",計算結果!P715))</f>
        <v/>
      </c>
      <c r="Q715" s="10" t="str">
        <f>IF(IF(ISNA(計算結果!Q715),"",計算結果!Q715)=0,"",IF(ISNA(計算結果!Q715),"",計算結果!Q715))</f>
        <v/>
      </c>
      <c r="R715" s="14" t="str">
        <f t="shared" si="33"/>
        <v/>
      </c>
      <c r="S715" s="14" t="str">
        <f t="shared" si="34"/>
        <v>◯</v>
      </c>
      <c r="T715" s="14" t="str">
        <f t="shared" si="35"/>
        <v/>
      </c>
    </row>
    <row r="716" spans="1:20" hidden="1" x14ac:dyDescent="0.45">
      <c r="A716" s="10" t="str">
        <f>IF(IF(ISNA(計算結果!A716),"",計算結果!A716)=0,"",IF(ISNA(計算結果!A716),"",計算結果!A716))</f>
        <v/>
      </c>
      <c r="B716" s="10" t="str">
        <f>IF(IF(ISNA(計算結果!B716),"",計算結果!B716)=0,"",IF(ISNA(計算結果!B716),"",計算結果!B716))</f>
        <v/>
      </c>
      <c r="C716" s="10" t="str">
        <f>IF(IF(ISNA(計算結果!C716),"",計算結果!C716)=0,"",IF(ISNA(計算結果!C716),"",計算結果!C716))</f>
        <v/>
      </c>
      <c r="D716" s="10" t="str">
        <f>IF(IF(ISNA(計算結果!D716),"",計算結果!D716)=0,"",IF(ISNA(計算結果!D716),"",計算結果!D716))</f>
        <v>L</v>
      </c>
      <c r="E716" s="10" t="str">
        <f>IF(IF(ISNA(計算結果!E716),"",計算結果!E716)=0,"",IF(ISNA(計算結果!E716),"",計算結果!E716))</f>
        <v/>
      </c>
      <c r="F716" s="10" t="str">
        <f>IF(IF(ISNA(計算結果!F716),"",計算結果!F716)=0,"",IF(ISNA(計算結果!F716),"",計算結果!F716))</f>
        <v/>
      </c>
      <c r="G716" s="10" t="str">
        <f>IF(IF(ISNA(計算結果!G716),"",計算結果!G716)=0,"",IF(ISNA(計算結果!G716),"",計算結果!G716))</f>
        <v/>
      </c>
      <c r="H716" s="13">
        <f>IF(IF(ISNA(計算結果!H716),"",計算結果!H716)=0,"",IF(ISNA(計算結果!H716),"",計算結果!H716))</f>
        <v>-2</v>
      </c>
      <c r="I716" s="12" t="str">
        <f>IF(IF(ISNA(計算結果!I716),"",計算結果!I716)=0,"",IF(ISNA(計算結果!I716),"",計算結果!I716))</f>
        <v/>
      </c>
      <c r="J716" s="12" t="str">
        <f>IF(IF(ISNA(計算結果!J716),"",計算結果!J716)=0,"",IF(ISNA(計算結果!J716),"",計算結果!J716))</f>
        <v/>
      </c>
      <c r="K716" s="23" t="str">
        <f>IF(IF(ISNA(計算結果!K716),"",計算結果!K716)=0,"",IF(ISNA(計算結果!K716),"",計算結果!K716))</f>
        <v/>
      </c>
      <c r="L716" s="13" t="str">
        <f>IF(IF(ISNA(計算結果!L716),"",計算結果!L716)=0,"",IF(ISNA(計算結果!L716),"",計算結果!L716))</f>
        <v/>
      </c>
      <c r="M716" s="10" t="str">
        <f>IF(IF(ISNA(計算結果!M716),"",計算結果!M716)=0,"",IF(ISNA(計算結果!M716),"",計算結果!M716))</f>
        <v/>
      </c>
      <c r="N716" s="10" t="str">
        <f>IF(IF(ISNA(計算結果!N716),"",計算結果!N716)=0,"",IF(ISNA(計算結果!N716),"",計算結果!N716))</f>
        <v/>
      </c>
      <c r="O716" s="13" t="str">
        <f>IF(IF(ISNA(計算結果!O716),"",計算結果!O716)=0,"",IF(ISNA(計算結果!O716),"",計算結果!O716))</f>
        <v/>
      </c>
      <c r="P716" s="10" t="str">
        <f>IF(IF(ISNA(計算結果!P716),"",計算結果!P716)=0,"",IF(ISNA(計算結果!P716),"",計算結果!P716))</f>
        <v/>
      </c>
      <c r="Q716" s="10" t="str">
        <f>IF(IF(ISNA(計算結果!Q716),"",計算結果!Q716)=0,"",IF(ISNA(計算結果!Q716),"",計算結果!Q716))</f>
        <v/>
      </c>
      <c r="R716" s="14" t="str">
        <f t="shared" si="33"/>
        <v/>
      </c>
      <c r="S716" s="14" t="str">
        <f t="shared" si="34"/>
        <v>◯</v>
      </c>
      <c r="T716" s="14" t="str">
        <f t="shared" si="35"/>
        <v/>
      </c>
    </row>
    <row r="717" spans="1:20" hidden="1" x14ac:dyDescent="0.45">
      <c r="A717" s="10" t="str">
        <f>IF(IF(ISNA(計算結果!A717),"",計算結果!A717)=0,"",IF(ISNA(計算結果!A717),"",計算結果!A717))</f>
        <v/>
      </c>
      <c r="B717" s="10" t="str">
        <f>IF(IF(ISNA(計算結果!B717),"",計算結果!B717)=0,"",IF(ISNA(計算結果!B717),"",計算結果!B717))</f>
        <v/>
      </c>
      <c r="C717" s="10" t="str">
        <f>IF(IF(ISNA(計算結果!C717),"",計算結果!C717)=0,"",IF(ISNA(計算結果!C717),"",計算結果!C717))</f>
        <v/>
      </c>
      <c r="D717" s="10" t="str">
        <f>IF(IF(ISNA(計算結果!D717),"",計算結果!D717)=0,"",IF(ISNA(計算結果!D717),"",計算結果!D717))</f>
        <v>L</v>
      </c>
      <c r="E717" s="10" t="str">
        <f>IF(IF(ISNA(計算結果!E717),"",計算結果!E717)=0,"",IF(ISNA(計算結果!E717),"",計算結果!E717))</f>
        <v/>
      </c>
      <c r="F717" s="10" t="str">
        <f>IF(IF(ISNA(計算結果!F717),"",計算結果!F717)=0,"",IF(ISNA(計算結果!F717),"",計算結果!F717))</f>
        <v/>
      </c>
      <c r="G717" s="10" t="str">
        <f>IF(IF(ISNA(計算結果!G717),"",計算結果!G717)=0,"",IF(ISNA(計算結果!G717),"",計算結果!G717))</f>
        <v/>
      </c>
      <c r="H717" s="13">
        <f>IF(IF(ISNA(計算結果!H717),"",計算結果!H717)=0,"",IF(ISNA(計算結果!H717),"",計算結果!H717))</f>
        <v>-2</v>
      </c>
      <c r="I717" s="12" t="str">
        <f>IF(IF(ISNA(計算結果!I717),"",計算結果!I717)=0,"",IF(ISNA(計算結果!I717),"",計算結果!I717))</f>
        <v/>
      </c>
      <c r="J717" s="12" t="str">
        <f>IF(IF(ISNA(計算結果!J717),"",計算結果!J717)=0,"",IF(ISNA(計算結果!J717),"",計算結果!J717))</f>
        <v/>
      </c>
      <c r="K717" s="23" t="str">
        <f>IF(IF(ISNA(計算結果!K717),"",計算結果!K717)=0,"",IF(ISNA(計算結果!K717),"",計算結果!K717))</f>
        <v/>
      </c>
      <c r="L717" s="13" t="str">
        <f>IF(IF(ISNA(計算結果!L717),"",計算結果!L717)=0,"",IF(ISNA(計算結果!L717),"",計算結果!L717))</f>
        <v/>
      </c>
      <c r="M717" s="10" t="str">
        <f>IF(IF(ISNA(計算結果!M717),"",計算結果!M717)=0,"",IF(ISNA(計算結果!M717),"",計算結果!M717))</f>
        <v/>
      </c>
      <c r="N717" s="10" t="str">
        <f>IF(IF(ISNA(計算結果!N717),"",計算結果!N717)=0,"",IF(ISNA(計算結果!N717),"",計算結果!N717))</f>
        <v/>
      </c>
      <c r="O717" s="13" t="str">
        <f>IF(IF(ISNA(計算結果!O717),"",計算結果!O717)=0,"",IF(ISNA(計算結果!O717),"",計算結果!O717))</f>
        <v/>
      </c>
      <c r="P717" s="10" t="str">
        <f>IF(IF(ISNA(計算結果!P717),"",計算結果!P717)=0,"",IF(ISNA(計算結果!P717),"",計算結果!P717))</f>
        <v/>
      </c>
      <c r="Q717" s="10" t="str">
        <f>IF(IF(ISNA(計算結果!Q717),"",計算結果!Q717)=0,"",IF(ISNA(計算結果!Q717),"",計算結果!Q717))</f>
        <v/>
      </c>
      <c r="R717" s="14" t="str">
        <f t="shared" si="33"/>
        <v/>
      </c>
      <c r="S717" s="14" t="str">
        <f t="shared" si="34"/>
        <v>◯</v>
      </c>
      <c r="T717" s="14" t="str">
        <f t="shared" si="35"/>
        <v/>
      </c>
    </row>
    <row r="718" spans="1:20" hidden="1" x14ac:dyDescent="0.45">
      <c r="A718" s="10" t="str">
        <f>IF(IF(ISNA(計算結果!A718),"",計算結果!A718)=0,"",IF(ISNA(計算結果!A718),"",計算結果!A718))</f>
        <v/>
      </c>
      <c r="B718" s="10" t="str">
        <f>IF(IF(ISNA(計算結果!B718),"",計算結果!B718)=0,"",IF(ISNA(計算結果!B718),"",計算結果!B718))</f>
        <v/>
      </c>
      <c r="C718" s="10" t="str">
        <f>IF(IF(ISNA(計算結果!C718),"",計算結果!C718)=0,"",IF(ISNA(計算結果!C718),"",計算結果!C718))</f>
        <v/>
      </c>
      <c r="D718" s="10" t="str">
        <f>IF(IF(ISNA(計算結果!D718),"",計算結果!D718)=0,"",IF(ISNA(計算結果!D718),"",計算結果!D718))</f>
        <v>L</v>
      </c>
      <c r="E718" s="10" t="str">
        <f>IF(IF(ISNA(計算結果!E718),"",計算結果!E718)=0,"",IF(ISNA(計算結果!E718),"",計算結果!E718))</f>
        <v/>
      </c>
      <c r="F718" s="10" t="str">
        <f>IF(IF(ISNA(計算結果!F718),"",計算結果!F718)=0,"",IF(ISNA(計算結果!F718),"",計算結果!F718))</f>
        <v/>
      </c>
      <c r="G718" s="10" t="str">
        <f>IF(IF(ISNA(計算結果!G718),"",計算結果!G718)=0,"",IF(ISNA(計算結果!G718),"",計算結果!G718))</f>
        <v/>
      </c>
      <c r="H718" s="13">
        <f>IF(IF(ISNA(計算結果!H718),"",計算結果!H718)=0,"",IF(ISNA(計算結果!H718),"",計算結果!H718))</f>
        <v>-2</v>
      </c>
      <c r="I718" s="12" t="str">
        <f>IF(IF(ISNA(計算結果!I718),"",計算結果!I718)=0,"",IF(ISNA(計算結果!I718),"",計算結果!I718))</f>
        <v/>
      </c>
      <c r="J718" s="12" t="str">
        <f>IF(IF(ISNA(計算結果!J718),"",計算結果!J718)=0,"",IF(ISNA(計算結果!J718),"",計算結果!J718))</f>
        <v/>
      </c>
      <c r="K718" s="23" t="str">
        <f>IF(IF(ISNA(計算結果!K718),"",計算結果!K718)=0,"",IF(ISNA(計算結果!K718),"",計算結果!K718))</f>
        <v/>
      </c>
      <c r="L718" s="13" t="str">
        <f>IF(IF(ISNA(計算結果!L718),"",計算結果!L718)=0,"",IF(ISNA(計算結果!L718),"",計算結果!L718))</f>
        <v/>
      </c>
      <c r="M718" s="10" t="str">
        <f>IF(IF(ISNA(計算結果!M718),"",計算結果!M718)=0,"",IF(ISNA(計算結果!M718),"",計算結果!M718))</f>
        <v/>
      </c>
      <c r="N718" s="10" t="str">
        <f>IF(IF(ISNA(計算結果!N718),"",計算結果!N718)=0,"",IF(ISNA(計算結果!N718),"",計算結果!N718))</f>
        <v/>
      </c>
      <c r="O718" s="13" t="str">
        <f>IF(IF(ISNA(計算結果!O718),"",計算結果!O718)=0,"",IF(ISNA(計算結果!O718),"",計算結果!O718))</f>
        <v/>
      </c>
      <c r="P718" s="10" t="str">
        <f>IF(IF(ISNA(計算結果!P718),"",計算結果!P718)=0,"",IF(ISNA(計算結果!P718),"",計算結果!P718))</f>
        <v/>
      </c>
      <c r="Q718" s="10" t="str">
        <f>IF(IF(ISNA(計算結果!Q718),"",計算結果!Q718)=0,"",IF(ISNA(計算結果!Q718),"",計算結果!Q718))</f>
        <v/>
      </c>
      <c r="R718" s="14" t="str">
        <f t="shared" si="33"/>
        <v/>
      </c>
      <c r="S718" s="14" t="str">
        <f t="shared" si="34"/>
        <v>◯</v>
      </c>
      <c r="T718" s="14" t="str">
        <f t="shared" si="35"/>
        <v/>
      </c>
    </row>
    <row r="719" spans="1:20" hidden="1" x14ac:dyDescent="0.45">
      <c r="A719" s="10" t="str">
        <f>IF(IF(ISNA(計算結果!A719),"",計算結果!A719)=0,"",IF(ISNA(計算結果!A719),"",計算結果!A719))</f>
        <v/>
      </c>
      <c r="B719" s="10" t="str">
        <f>IF(IF(ISNA(計算結果!B719),"",計算結果!B719)=0,"",IF(ISNA(計算結果!B719),"",計算結果!B719))</f>
        <v/>
      </c>
      <c r="C719" s="10" t="str">
        <f>IF(IF(ISNA(計算結果!C719),"",計算結果!C719)=0,"",IF(ISNA(計算結果!C719),"",計算結果!C719))</f>
        <v/>
      </c>
      <c r="D719" s="10" t="str">
        <f>IF(IF(ISNA(計算結果!D719),"",計算結果!D719)=0,"",IF(ISNA(計算結果!D719),"",計算結果!D719))</f>
        <v>L</v>
      </c>
      <c r="E719" s="10" t="str">
        <f>IF(IF(ISNA(計算結果!E719),"",計算結果!E719)=0,"",IF(ISNA(計算結果!E719),"",計算結果!E719))</f>
        <v/>
      </c>
      <c r="F719" s="10" t="str">
        <f>IF(IF(ISNA(計算結果!F719),"",計算結果!F719)=0,"",IF(ISNA(計算結果!F719),"",計算結果!F719))</f>
        <v/>
      </c>
      <c r="G719" s="10" t="str">
        <f>IF(IF(ISNA(計算結果!G719),"",計算結果!G719)=0,"",IF(ISNA(計算結果!G719),"",計算結果!G719))</f>
        <v/>
      </c>
      <c r="H719" s="13">
        <f>IF(IF(ISNA(計算結果!H719),"",計算結果!H719)=0,"",IF(ISNA(計算結果!H719),"",計算結果!H719))</f>
        <v>-2</v>
      </c>
      <c r="I719" s="12" t="str">
        <f>IF(IF(ISNA(計算結果!I719),"",計算結果!I719)=0,"",IF(ISNA(計算結果!I719),"",計算結果!I719))</f>
        <v/>
      </c>
      <c r="J719" s="12" t="str">
        <f>IF(IF(ISNA(計算結果!J719),"",計算結果!J719)=0,"",IF(ISNA(計算結果!J719),"",計算結果!J719))</f>
        <v/>
      </c>
      <c r="K719" s="23" t="str">
        <f>IF(IF(ISNA(計算結果!K719),"",計算結果!K719)=0,"",IF(ISNA(計算結果!K719),"",計算結果!K719))</f>
        <v/>
      </c>
      <c r="L719" s="13" t="str">
        <f>IF(IF(ISNA(計算結果!L719),"",計算結果!L719)=0,"",IF(ISNA(計算結果!L719),"",計算結果!L719))</f>
        <v/>
      </c>
      <c r="M719" s="10" t="str">
        <f>IF(IF(ISNA(計算結果!M719),"",計算結果!M719)=0,"",IF(ISNA(計算結果!M719),"",計算結果!M719))</f>
        <v/>
      </c>
      <c r="N719" s="10" t="str">
        <f>IF(IF(ISNA(計算結果!N719),"",計算結果!N719)=0,"",IF(ISNA(計算結果!N719),"",計算結果!N719))</f>
        <v/>
      </c>
      <c r="O719" s="13" t="str">
        <f>IF(IF(ISNA(計算結果!O719),"",計算結果!O719)=0,"",IF(ISNA(計算結果!O719),"",計算結果!O719))</f>
        <v/>
      </c>
      <c r="P719" s="10" t="str">
        <f>IF(IF(ISNA(計算結果!P719),"",計算結果!P719)=0,"",IF(ISNA(計算結果!P719),"",計算結果!P719))</f>
        <v/>
      </c>
      <c r="Q719" s="10" t="str">
        <f>IF(IF(ISNA(計算結果!Q719),"",計算結果!Q719)=0,"",IF(ISNA(計算結果!Q719),"",計算結果!Q719))</f>
        <v/>
      </c>
      <c r="R719" s="14" t="str">
        <f t="shared" si="33"/>
        <v/>
      </c>
      <c r="S719" s="14" t="str">
        <f t="shared" si="34"/>
        <v>◯</v>
      </c>
      <c r="T719" s="14" t="str">
        <f t="shared" si="35"/>
        <v/>
      </c>
    </row>
    <row r="720" spans="1:20" hidden="1" x14ac:dyDescent="0.45">
      <c r="A720" s="10" t="str">
        <f>IF(IF(ISNA(計算結果!A720),"",計算結果!A720)=0,"",IF(ISNA(計算結果!A720),"",計算結果!A720))</f>
        <v/>
      </c>
      <c r="B720" s="10" t="str">
        <f>IF(IF(ISNA(計算結果!B720),"",計算結果!B720)=0,"",IF(ISNA(計算結果!B720),"",計算結果!B720))</f>
        <v/>
      </c>
      <c r="C720" s="10" t="str">
        <f>IF(IF(ISNA(計算結果!C720),"",計算結果!C720)=0,"",IF(ISNA(計算結果!C720),"",計算結果!C720))</f>
        <v/>
      </c>
      <c r="D720" s="10" t="str">
        <f>IF(IF(ISNA(計算結果!D720),"",計算結果!D720)=0,"",IF(ISNA(計算結果!D720),"",計算結果!D720))</f>
        <v>L</v>
      </c>
      <c r="E720" s="10" t="str">
        <f>IF(IF(ISNA(計算結果!E720),"",計算結果!E720)=0,"",IF(ISNA(計算結果!E720),"",計算結果!E720))</f>
        <v/>
      </c>
      <c r="F720" s="10" t="str">
        <f>IF(IF(ISNA(計算結果!F720),"",計算結果!F720)=0,"",IF(ISNA(計算結果!F720),"",計算結果!F720))</f>
        <v/>
      </c>
      <c r="G720" s="10" t="str">
        <f>IF(IF(ISNA(計算結果!G720),"",計算結果!G720)=0,"",IF(ISNA(計算結果!G720),"",計算結果!G720))</f>
        <v/>
      </c>
      <c r="H720" s="13">
        <f>IF(IF(ISNA(計算結果!H720),"",計算結果!H720)=0,"",IF(ISNA(計算結果!H720),"",計算結果!H720))</f>
        <v>-2</v>
      </c>
      <c r="I720" s="12" t="str">
        <f>IF(IF(ISNA(計算結果!I720),"",計算結果!I720)=0,"",IF(ISNA(計算結果!I720),"",計算結果!I720))</f>
        <v/>
      </c>
      <c r="J720" s="12" t="str">
        <f>IF(IF(ISNA(計算結果!J720),"",計算結果!J720)=0,"",IF(ISNA(計算結果!J720),"",計算結果!J720))</f>
        <v/>
      </c>
      <c r="K720" s="23" t="str">
        <f>IF(IF(ISNA(計算結果!K720),"",計算結果!K720)=0,"",IF(ISNA(計算結果!K720),"",計算結果!K720))</f>
        <v/>
      </c>
      <c r="L720" s="13" t="str">
        <f>IF(IF(ISNA(計算結果!L720),"",計算結果!L720)=0,"",IF(ISNA(計算結果!L720),"",計算結果!L720))</f>
        <v/>
      </c>
      <c r="M720" s="10" t="str">
        <f>IF(IF(ISNA(計算結果!M720),"",計算結果!M720)=0,"",IF(ISNA(計算結果!M720),"",計算結果!M720))</f>
        <v/>
      </c>
      <c r="N720" s="10" t="str">
        <f>IF(IF(ISNA(計算結果!N720),"",計算結果!N720)=0,"",IF(ISNA(計算結果!N720),"",計算結果!N720))</f>
        <v/>
      </c>
      <c r="O720" s="13" t="str">
        <f>IF(IF(ISNA(計算結果!O720),"",計算結果!O720)=0,"",IF(ISNA(計算結果!O720),"",計算結果!O720))</f>
        <v/>
      </c>
      <c r="P720" s="10" t="str">
        <f>IF(IF(ISNA(計算結果!P720),"",計算結果!P720)=0,"",IF(ISNA(計算結果!P720),"",計算結果!P720))</f>
        <v/>
      </c>
      <c r="Q720" s="10" t="str">
        <f>IF(IF(ISNA(計算結果!Q720),"",計算結果!Q720)=0,"",IF(ISNA(計算結果!Q720),"",計算結果!Q720))</f>
        <v/>
      </c>
      <c r="R720" s="14" t="str">
        <f t="shared" si="33"/>
        <v/>
      </c>
      <c r="S720" s="14" t="str">
        <f t="shared" si="34"/>
        <v>◯</v>
      </c>
      <c r="T720" s="14" t="str">
        <f t="shared" si="35"/>
        <v/>
      </c>
    </row>
    <row r="721" spans="1:20" hidden="1" x14ac:dyDescent="0.45">
      <c r="A721" s="10" t="str">
        <f>IF(IF(ISNA(計算結果!A721),"",計算結果!A721)=0,"",IF(ISNA(計算結果!A721),"",計算結果!A721))</f>
        <v/>
      </c>
      <c r="B721" s="10" t="str">
        <f>IF(IF(ISNA(計算結果!B721),"",計算結果!B721)=0,"",IF(ISNA(計算結果!B721),"",計算結果!B721))</f>
        <v/>
      </c>
      <c r="C721" s="10" t="str">
        <f>IF(IF(ISNA(計算結果!C721),"",計算結果!C721)=0,"",IF(ISNA(計算結果!C721),"",計算結果!C721))</f>
        <v/>
      </c>
      <c r="D721" s="10" t="str">
        <f>IF(IF(ISNA(計算結果!D721),"",計算結果!D721)=0,"",IF(ISNA(計算結果!D721),"",計算結果!D721))</f>
        <v>L</v>
      </c>
      <c r="E721" s="10" t="str">
        <f>IF(IF(ISNA(計算結果!E721),"",計算結果!E721)=0,"",IF(ISNA(計算結果!E721),"",計算結果!E721))</f>
        <v/>
      </c>
      <c r="F721" s="10" t="str">
        <f>IF(IF(ISNA(計算結果!F721),"",計算結果!F721)=0,"",IF(ISNA(計算結果!F721),"",計算結果!F721))</f>
        <v/>
      </c>
      <c r="G721" s="10" t="str">
        <f>IF(IF(ISNA(計算結果!G721),"",計算結果!G721)=0,"",IF(ISNA(計算結果!G721),"",計算結果!G721))</f>
        <v/>
      </c>
      <c r="H721" s="13">
        <f>IF(IF(ISNA(計算結果!H721),"",計算結果!H721)=0,"",IF(ISNA(計算結果!H721),"",計算結果!H721))</f>
        <v>-2</v>
      </c>
      <c r="I721" s="12" t="str">
        <f>IF(IF(ISNA(計算結果!I721),"",計算結果!I721)=0,"",IF(ISNA(計算結果!I721),"",計算結果!I721))</f>
        <v/>
      </c>
      <c r="J721" s="12" t="str">
        <f>IF(IF(ISNA(計算結果!J721),"",計算結果!J721)=0,"",IF(ISNA(計算結果!J721),"",計算結果!J721))</f>
        <v/>
      </c>
      <c r="K721" s="23" t="str">
        <f>IF(IF(ISNA(計算結果!K721),"",計算結果!K721)=0,"",IF(ISNA(計算結果!K721),"",計算結果!K721))</f>
        <v/>
      </c>
      <c r="L721" s="13" t="str">
        <f>IF(IF(ISNA(計算結果!L721),"",計算結果!L721)=0,"",IF(ISNA(計算結果!L721),"",計算結果!L721))</f>
        <v/>
      </c>
      <c r="M721" s="10" t="str">
        <f>IF(IF(ISNA(計算結果!M721),"",計算結果!M721)=0,"",IF(ISNA(計算結果!M721),"",計算結果!M721))</f>
        <v/>
      </c>
      <c r="N721" s="10" t="str">
        <f>IF(IF(ISNA(計算結果!N721),"",計算結果!N721)=0,"",IF(ISNA(計算結果!N721),"",計算結果!N721))</f>
        <v/>
      </c>
      <c r="O721" s="13" t="str">
        <f>IF(IF(ISNA(計算結果!O721),"",計算結果!O721)=0,"",IF(ISNA(計算結果!O721),"",計算結果!O721))</f>
        <v/>
      </c>
      <c r="P721" s="10" t="str">
        <f>IF(IF(ISNA(計算結果!P721),"",計算結果!P721)=0,"",IF(ISNA(計算結果!P721),"",計算結果!P721))</f>
        <v/>
      </c>
      <c r="Q721" s="10" t="str">
        <f>IF(IF(ISNA(計算結果!Q721),"",計算結果!Q721)=0,"",IF(ISNA(計算結果!Q721),"",計算結果!Q721))</f>
        <v/>
      </c>
      <c r="R721" s="14" t="str">
        <f t="shared" si="33"/>
        <v/>
      </c>
      <c r="S721" s="14" t="str">
        <f t="shared" si="34"/>
        <v>◯</v>
      </c>
      <c r="T721" s="14" t="str">
        <f t="shared" si="35"/>
        <v/>
      </c>
    </row>
    <row r="722" spans="1:20" hidden="1" x14ac:dyDescent="0.45">
      <c r="A722" s="10" t="str">
        <f>IF(IF(ISNA(計算結果!A722),"",計算結果!A722)=0,"",IF(ISNA(計算結果!A722),"",計算結果!A722))</f>
        <v/>
      </c>
      <c r="B722" s="10" t="str">
        <f>IF(IF(ISNA(計算結果!B722),"",計算結果!B722)=0,"",IF(ISNA(計算結果!B722),"",計算結果!B722))</f>
        <v/>
      </c>
      <c r="C722" s="10" t="str">
        <f>IF(IF(ISNA(計算結果!C722),"",計算結果!C722)=0,"",IF(ISNA(計算結果!C722),"",計算結果!C722))</f>
        <v/>
      </c>
      <c r="D722" s="10" t="str">
        <f>IF(IF(ISNA(計算結果!D722),"",計算結果!D722)=0,"",IF(ISNA(計算結果!D722),"",計算結果!D722))</f>
        <v>L</v>
      </c>
      <c r="E722" s="10" t="str">
        <f>IF(IF(ISNA(計算結果!E722),"",計算結果!E722)=0,"",IF(ISNA(計算結果!E722),"",計算結果!E722))</f>
        <v/>
      </c>
      <c r="F722" s="10" t="str">
        <f>IF(IF(ISNA(計算結果!F722),"",計算結果!F722)=0,"",IF(ISNA(計算結果!F722),"",計算結果!F722))</f>
        <v/>
      </c>
      <c r="G722" s="10" t="str">
        <f>IF(IF(ISNA(計算結果!G722),"",計算結果!G722)=0,"",IF(ISNA(計算結果!G722),"",計算結果!G722))</f>
        <v/>
      </c>
      <c r="H722" s="13">
        <f>IF(IF(ISNA(計算結果!H722),"",計算結果!H722)=0,"",IF(ISNA(計算結果!H722),"",計算結果!H722))</f>
        <v>-2</v>
      </c>
      <c r="I722" s="12" t="str">
        <f>IF(IF(ISNA(計算結果!I722),"",計算結果!I722)=0,"",IF(ISNA(計算結果!I722),"",計算結果!I722))</f>
        <v/>
      </c>
      <c r="J722" s="12" t="str">
        <f>IF(IF(ISNA(計算結果!J722),"",計算結果!J722)=0,"",IF(ISNA(計算結果!J722),"",計算結果!J722))</f>
        <v/>
      </c>
      <c r="K722" s="23" t="str">
        <f>IF(IF(ISNA(計算結果!K722),"",計算結果!K722)=0,"",IF(ISNA(計算結果!K722),"",計算結果!K722))</f>
        <v/>
      </c>
      <c r="L722" s="13" t="str">
        <f>IF(IF(ISNA(計算結果!L722),"",計算結果!L722)=0,"",IF(ISNA(計算結果!L722),"",計算結果!L722))</f>
        <v/>
      </c>
      <c r="M722" s="10" t="str">
        <f>IF(IF(ISNA(計算結果!M722),"",計算結果!M722)=0,"",IF(ISNA(計算結果!M722),"",計算結果!M722))</f>
        <v/>
      </c>
      <c r="N722" s="10" t="str">
        <f>IF(IF(ISNA(計算結果!N722),"",計算結果!N722)=0,"",IF(ISNA(計算結果!N722),"",計算結果!N722))</f>
        <v/>
      </c>
      <c r="O722" s="13" t="str">
        <f>IF(IF(ISNA(計算結果!O722),"",計算結果!O722)=0,"",IF(ISNA(計算結果!O722),"",計算結果!O722))</f>
        <v/>
      </c>
      <c r="P722" s="10" t="str">
        <f>IF(IF(ISNA(計算結果!P722),"",計算結果!P722)=0,"",IF(ISNA(計算結果!P722),"",計算結果!P722))</f>
        <v/>
      </c>
      <c r="Q722" s="10" t="str">
        <f>IF(IF(ISNA(計算結果!Q722),"",計算結果!Q722)=0,"",IF(ISNA(計算結果!Q722),"",計算結果!Q722))</f>
        <v/>
      </c>
      <c r="R722" s="14" t="str">
        <f t="shared" si="33"/>
        <v/>
      </c>
      <c r="S722" s="14" t="str">
        <f t="shared" si="34"/>
        <v>◯</v>
      </c>
      <c r="T722" s="14" t="str">
        <f t="shared" si="35"/>
        <v/>
      </c>
    </row>
    <row r="723" spans="1:20" hidden="1" x14ac:dyDescent="0.45">
      <c r="A723" s="10" t="str">
        <f>IF(IF(ISNA(計算結果!A723),"",計算結果!A723)=0,"",IF(ISNA(計算結果!A723),"",計算結果!A723))</f>
        <v/>
      </c>
      <c r="B723" s="10" t="str">
        <f>IF(IF(ISNA(計算結果!B723),"",計算結果!B723)=0,"",IF(ISNA(計算結果!B723),"",計算結果!B723))</f>
        <v/>
      </c>
      <c r="C723" s="10" t="str">
        <f>IF(IF(ISNA(計算結果!C723),"",計算結果!C723)=0,"",IF(ISNA(計算結果!C723),"",計算結果!C723))</f>
        <v/>
      </c>
      <c r="D723" s="10" t="str">
        <f>IF(IF(ISNA(計算結果!D723),"",計算結果!D723)=0,"",IF(ISNA(計算結果!D723),"",計算結果!D723))</f>
        <v>L</v>
      </c>
      <c r="E723" s="10" t="str">
        <f>IF(IF(ISNA(計算結果!E723),"",計算結果!E723)=0,"",IF(ISNA(計算結果!E723),"",計算結果!E723))</f>
        <v/>
      </c>
      <c r="F723" s="10" t="str">
        <f>IF(IF(ISNA(計算結果!F723),"",計算結果!F723)=0,"",IF(ISNA(計算結果!F723),"",計算結果!F723))</f>
        <v/>
      </c>
      <c r="G723" s="10" t="str">
        <f>IF(IF(ISNA(計算結果!G723),"",計算結果!G723)=0,"",IF(ISNA(計算結果!G723),"",計算結果!G723))</f>
        <v/>
      </c>
      <c r="H723" s="13">
        <f>IF(IF(ISNA(計算結果!H723),"",計算結果!H723)=0,"",IF(ISNA(計算結果!H723),"",計算結果!H723))</f>
        <v>-2</v>
      </c>
      <c r="I723" s="12" t="str">
        <f>IF(IF(ISNA(計算結果!I723),"",計算結果!I723)=0,"",IF(ISNA(計算結果!I723),"",計算結果!I723))</f>
        <v/>
      </c>
      <c r="J723" s="12" t="str">
        <f>IF(IF(ISNA(計算結果!J723),"",計算結果!J723)=0,"",IF(ISNA(計算結果!J723),"",計算結果!J723))</f>
        <v/>
      </c>
      <c r="K723" s="23" t="str">
        <f>IF(IF(ISNA(計算結果!K723),"",計算結果!K723)=0,"",IF(ISNA(計算結果!K723),"",計算結果!K723))</f>
        <v/>
      </c>
      <c r="L723" s="13" t="str">
        <f>IF(IF(ISNA(計算結果!L723),"",計算結果!L723)=0,"",IF(ISNA(計算結果!L723),"",計算結果!L723))</f>
        <v/>
      </c>
      <c r="M723" s="10" t="str">
        <f>IF(IF(ISNA(計算結果!M723),"",計算結果!M723)=0,"",IF(ISNA(計算結果!M723),"",計算結果!M723))</f>
        <v/>
      </c>
      <c r="N723" s="10" t="str">
        <f>IF(IF(ISNA(計算結果!N723),"",計算結果!N723)=0,"",IF(ISNA(計算結果!N723),"",計算結果!N723))</f>
        <v/>
      </c>
      <c r="O723" s="13" t="str">
        <f>IF(IF(ISNA(計算結果!O723),"",計算結果!O723)=0,"",IF(ISNA(計算結果!O723),"",計算結果!O723))</f>
        <v/>
      </c>
      <c r="P723" s="10" t="str">
        <f>IF(IF(ISNA(計算結果!P723),"",計算結果!P723)=0,"",IF(ISNA(計算結果!P723),"",計算結果!P723))</f>
        <v/>
      </c>
      <c r="Q723" s="10" t="str">
        <f>IF(IF(ISNA(計算結果!Q723),"",計算結果!Q723)=0,"",IF(ISNA(計算結果!Q723),"",計算結果!Q723))</f>
        <v/>
      </c>
      <c r="R723" s="14" t="str">
        <f t="shared" si="33"/>
        <v/>
      </c>
      <c r="S723" s="14" t="str">
        <f t="shared" si="34"/>
        <v>◯</v>
      </c>
      <c r="T723" s="14" t="str">
        <f t="shared" si="35"/>
        <v/>
      </c>
    </row>
    <row r="724" spans="1:20" hidden="1" x14ac:dyDescent="0.45">
      <c r="A724" s="10" t="str">
        <f>IF(IF(ISNA(計算結果!A724),"",計算結果!A724)=0,"",IF(ISNA(計算結果!A724),"",計算結果!A724))</f>
        <v/>
      </c>
      <c r="B724" s="10" t="str">
        <f>IF(IF(ISNA(計算結果!B724),"",計算結果!B724)=0,"",IF(ISNA(計算結果!B724),"",計算結果!B724))</f>
        <v/>
      </c>
      <c r="C724" s="10" t="str">
        <f>IF(IF(ISNA(計算結果!C724),"",計算結果!C724)=0,"",IF(ISNA(計算結果!C724),"",計算結果!C724))</f>
        <v/>
      </c>
      <c r="D724" s="10" t="str">
        <f>IF(IF(ISNA(計算結果!D724),"",計算結果!D724)=0,"",IF(ISNA(計算結果!D724),"",計算結果!D724))</f>
        <v>L</v>
      </c>
      <c r="E724" s="10" t="str">
        <f>IF(IF(ISNA(計算結果!E724),"",計算結果!E724)=0,"",IF(ISNA(計算結果!E724),"",計算結果!E724))</f>
        <v/>
      </c>
      <c r="F724" s="10" t="str">
        <f>IF(IF(ISNA(計算結果!F724),"",計算結果!F724)=0,"",IF(ISNA(計算結果!F724),"",計算結果!F724))</f>
        <v/>
      </c>
      <c r="G724" s="10" t="str">
        <f>IF(IF(ISNA(計算結果!G724),"",計算結果!G724)=0,"",IF(ISNA(計算結果!G724),"",計算結果!G724))</f>
        <v/>
      </c>
      <c r="H724" s="13">
        <f>IF(IF(ISNA(計算結果!H724),"",計算結果!H724)=0,"",IF(ISNA(計算結果!H724),"",計算結果!H724))</f>
        <v>-2</v>
      </c>
      <c r="I724" s="12" t="str">
        <f>IF(IF(ISNA(計算結果!I724),"",計算結果!I724)=0,"",IF(ISNA(計算結果!I724),"",計算結果!I724))</f>
        <v/>
      </c>
      <c r="J724" s="12" t="str">
        <f>IF(IF(ISNA(計算結果!J724),"",計算結果!J724)=0,"",IF(ISNA(計算結果!J724),"",計算結果!J724))</f>
        <v/>
      </c>
      <c r="K724" s="23" t="str">
        <f>IF(IF(ISNA(計算結果!K724),"",計算結果!K724)=0,"",IF(ISNA(計算結果!K724),"",計算結果!K724))</f>
        <v/>
      </c>
      <c r="L724" s="13" t="str">
        <f>IF(IF(ISNA(計算結果!L724),"",計算結果!L724)=0,"",IF(ISNA(計算結果!L724),"",計算結果!L724))</f>
        <v/>
      </c>
      <c r="M724" s="10" t="str">
        <f>IF(IF(ISNA(計算結果!M724),"",計算結果!M724)=0,"",IF(ISNA(計算結果!M724),"",計算結果!M724))</f>
        <v/>
      </c>
      <c r="N724" s="10" t="str">
        <f>IF(IF(ISNA(計算結果!N724),"",計算結果!N724)=0,"",IF(ISNA(計算結果!N724),"",計算結果!N724))</f>
        <v/>
      </c>
      <c r="O724" s="13" t="str">
        <f>IF(IF(ISNA(計算結果!O724),"",計算結果!O724)=0,"",IF(ISNA(計算結果!O724),"",計算結果!O724))</f>
        <v/>
      </c>
      <c r="P724" s="10" t="str">
        <f>IF(IF(ISNA(計算結果!P724),"",計算結果!P724)=0,"",IF(ISNA(計算結果!P724),"",計算結果!P724))</f>
        <v/>
      </c>
      <c r="Q724" s="10" t="str">
        <f>IF(IF(ISNA(計算結果!Q724),"",計算結果!Q724)=0,"",IF(ISNA(計算結果!Q724),"",計算結果!Q724))</f>
        <v/>
      </c>
      <c r="R724" s="14" t="str">
        <f t="shared" si="33"/>
        <v/>
      </c>
      <c r="S724" s="14" t="str">
        <f t="shared" si="34"/>
        <v>◯</v>
      </c>
      <c r="T724" s="14" t="str">
        <f t="shared" si="35"/>
        <v/>
      </c>
    </row>
    <row r="725" spans="1:20" hidden="1" x14ac:dyDescent="0.45">
      <c r="A725" s="10" t="str">
        <f>IF(IF(ISNA(計算結果!A725),"",計算結果!A725)=0,"",IF(ISNA(計算結果!A725),"",計算結果!A725))</f>
        <v/>
      </c>
      <c r="B725" s="10" t="str">
        <f>IF(IF(ISNA(計算結果!B725),"",計算結果!B725)=0,"",IF(ISNA(計算結果!B725),"",計算結果!B725))</f>
        <v/>
      </c>
      <c r="C725" s="10" t="str">
        <f>IF(IF(ISNA(計算結果!C725),"",計算結果!C725)=0,"",IF(ISNA(計算結果!C725),"",計算結果!C725))</f>
        <v/>
      </c>
      <c r="D725" s="10" t="str">
        <f>IF(IF(ISNA(計算結果!D725),"",計算結果!D725)=0,"",IF(ISNA(計算結果!D725),"",計算結果!D725))</f>
        <v>L</v>
      </c>
      <c r="E725" s="10" t="str">
        <f>IF(IF(ISNA(計算結果!E725),"",計算結果!E725)=0,"",IF(ISNA(計算結果!E725),"",計算結果!E725))</f>
        <v/>
      </c>
      <c r="F725" s="10" t="str">
        <f>IF(IF(ISNA(計算結果!F725),"",計算結果!F725)=0,"",IF(ISNA(計算結果!F725),"",計算結果!F725))</f>
        <v/>
      </c>
      <c r="G725" s="10" t="str">
        <f>IF(IF(ISNA(計算結果!G725),"",計算結果!G725)=0,"",IF(ISNA(計算結果!G725),"",計算結果!G725))</f>
        <v/>
      </c>
      <c r="H725" s="13">
        <f>IF(IF(ISNA(計算結果!H725),"",計算結果!H725)=0,"",IF(ISNA(計算結果!H725),"",計算結果!H725))</f>
        <v>-2</v>
      </c>
      <c r="I725" s="12" t="str">
        <f>IF(IF(ISNA(計算結果!I725),"",計算結果!I725)=0,"",IF(ISNA(計算結果!I725),"",計算結果!I725))</f>
        <v/>
      </c>
      <c r="J725" s="12" t="str">
        <f>IF(IF(ISNA(計算結果!J725),"",計算結果!J725)=0,"",IF(ISNA(計算結果!J725),"",計算結果!J725))</f>
        <v/>
      </c>
      <c r="K725" s="23" t="str">
        <f>IF(IF(ISNA(計算結果!K725),"",計算結果!K725)=0,"",IF(ISNA(計算結果!K725),"",計算結果!K725))</f>
        <v/>
      </c>
      <c r="L725" s="13" t="str">
        <f>IF(IF(ISNA(計算結果!L725),"",計算結果!L725)=0,"",IF(ISNA(計算結果!L725),"",計算結果!L725))</f>
        <v/>
      </c>
      <c r="M725" s="10" t="str">
        <f>IF(IF(ISNA(計算結果!M725),"",計算結果!M725)=0,"",IF(ISNA(計算結果!M725),"",計算結果!M725))</f>
        <v/>
      </c>
      <c r="N725" s="10" t="str">
        <f>IF(IF(ISNA(計算結果!N725),"",計算結果!N725)=0,"",IF(ISNA(計算結果!N725),"",計算結果!N725))</f>
        <v/>
      </c>
      <c r="O725" s="13" t="str">
        <f>IF(IF(ISNA(計算結果!O725),"",計算結果!O725)=0,"",IF(ISNA(計算結果!O725),"",計算結果!O725))</f>
        <v/>
      </c>
      <c r="P725" s="10" t="str">
        <f>IF(IF(ISNA(計算結果!P725),"",計算結果!P725)=0,"",IF(ISNA(計算結果!P725),"",計算結果!P725))</f>
        <v/>
      </c>
      <c r="Q725" s="10" t="str">
        <f>IF(IF(ISNA(計算結果!Q725),"",計算結果!Q725)=0,"",IF(ISNA(計算結果!Q725),"",計算結果!Q725))</f>
        <v/>
      </c>
      <c r="R725" s="14" t="str">
        <f t="shared" si="33"/>
        <v/>
      </c>
      <c r="S725" s="14" t="str">
        <f t="shared" si="34"/>
        <v>◯</v>
      </c>
      <c r="T725" s="14" t="str">
        <f t="shared" si="35"/>
        <v/>
      </c>
    </row>
    <row r="726" spans="1:20" hidden="1" x14ac:dyDescent="0.45">
      <c r="A726" s="10" t="str">
        <f>IF(IF(ISNA(計算結果!A726),"",計算結果!A726)=0,"",IF(ISNA(計算結果!A726),"",計算結果!A726))</f>
        <v/>
      </c>
      <c r="B726" s="10" t="str">
        <f>IF(IF(ISNA(計算結果!B726),"",計算結果!B726)=0,"",IF(ISNA(計算結果!B726),"",計算結果!B726))</f>
        <v/>
      </c>
      <c r="C726" s="10" t="str">
        <f>IF(IF(ISNA(計算結果!C726),"",計算結果!C726)=0,"",IF(ISNA(計算結果!C726),"",計算結果!C726))</f>
        <v/>
      </c>
      <c r="D726" s="10" t="str">
        <f>IF(IF(ISNA(計算結果!D726),"",計算結果!D726)=0,"",IF(ISNA(計算結果!D726),"",計算結果!D726))</f>
        <v>L</v>
      </c>
      <c r="E726" s="10" t="str">
        <f>IF(IF(ISNA(計算結果!E726),"",計算結果!E726)=0,"",IF(ISNA(計算結果!E726),"",計算結果!E726))</f>
        <v/>
      </c>
      <c r="F726" s="10" t="str">
        <f>IF(IF(ISNA(計算結果!F726),"",計算結果!F726)=0,"",IF(ISNA(計算結果!F726),"",計算結果!F726))</f>
        <v/>
      </c>
      <c r="G726" s="10" t="str">
        <f>IF(IF(ISNA(計算結果!G726),"",計算結果!G726)=0,"",IF(ISNA(計算結果!G726),"",計算結果!G726))</f>
        <v/>
      </c>
      <c r="H726" s="13">
        <f>IF(IF(ISNA(計算結果!H726),"",計算結果!H726)=0,"",IF(ISNA(計算結果!H726),"",計算結果!H726))</f>
        <v>-2</v>
      </c>
      <c r="I726" s="12" t="str">
        <f>IF(IF(ISNA(計算結果!I726),"",計算結果!I726)=0,"",IF(ISNA(計算結果!I726),"",計算結果!I726))</f>
        <v/>
      </c>
      <c r="J726" s="12" t="str">
        <f>IF(IF(ISNA(計算結果!J726),"",計算結果!J726)=0,"",IF(ISNA(計算結果!J726),"",計算結果!J726))</f>
        <v/>
      </c>
      <c r="K726" s="23" t="str">
        <f>IF(IF(ISNA(計算結果!K726),"",計算結果!K726)=0,"",IF(ISNA(計算結果!K726),"",計算結果!K726))</f>
        <v/>
      </c>
      <c r="L726" s="13" t="str">
        <f>IF(IF(ISNA(計算結果!L726),"",計算結果!L726)=0,"",IF(ISNA(計算結果!L726),"",計算結果!L726))</f>
        <v/>
      </c>
      <c r="M726" s="10" t="str">
        <f>IF(IF(ISNA(計算結果!M726),"",計算結果!M726)=0,"",IF(ISNA(計算結果!M726),"",計算結果!M726))</f>
        <v/>
      </c>
      <c r="N726" s="10" t="str">
        <f>IF(IF(ISNA(計算結果!N726),"",計算結果!N726)=0,"",IF(ISNA(計算結果!N726),"",計算結果!N726))</f>
        <v/>
      </c>
      <c r="O726" s="13" t="str">
        <f>IF(IF(ISNA(計算結果!O726),"",計算結果!O726)=0,"",IF(ISNA(計算結果!O726),"",計算結果!O726))</f>
        <v/>
      </c>
      <c r="P726" s="10" t="str">
        <f>IF(IF(ISNA(計算結果!P726),"",計算結果!P726)=0,"",IF(ISNA(計算結果!P726),"",計算結果!P726))</f>
        <v/>
      </c>
      <c r="Q726" s="10" t="str">
        <f>IF(IF(ISNA(計算結果!Q726),"",計算結果!Q726)=0,"",IF(ISNA(計算結果!Q726),"",計算結果!Q726))</f>
        <v/>
      </c>
      <c r="R726" s="14" t="str">
        <f t="shared" si="33"/>
        <v/>
      </c>
      <c r="S726" s="14" t="str">
        <f t="shared" si="34"/>
        <v>◯</v>
      </c>
      <c r="T726" s="14" t="str">
        <f t="shared" si="35"/>
        <v/>
      </c>
    </row>
    <row r="727" spans="1:20" hidden="1" x14ac:dyDescent="0.45">
      <c r="A727" s="10" t="str">
        <f>IF(IF(ISNA(計算結果!A727),"",計算結果!A727)=0,"",IF(ISNA(計算結果!A727),"",計算結果!A727))</f>
        <v/>
      </c>
      <c r="B727" s="10" t="str">
        <f>IF(IF(ISNA(計算結果!B727),"",計算結果!B727)=0,"",IF(ISNA(計算結果!B727),"",計算結果!B727))</f>
        <v/>
      </c>
      <c r="C727" s="10" t="str">
        <f>IF(IF(ISNA(計算結果!C727),"",計算結果!C727)=0,"",IF(ISNA(計算結果!C727),"",計算結果!C727))</f>
        <v/>
      </c>
      <c r="D727" s="10" t="str">
        <f>IF(IF(ISNA(計算結果!D727),"",計算結果!D727)=0,"",IF(ISNA(計算結果!D727),"",計算結果!D727))</f>
        <v>L</v>
      </c>
      <c r="E727" s="10" t="str">
        <f>IF(IF(ISNA(計算結果!E727),"",計算結果!E727)=0,"",IF(ISNA(計算結果!E727),"",計算結果!E727))</f>
        <v/>
      </c>
      <c r="F727" s="10" t="str">
        <f>IF(IF(ISNA(計算結果!F727),"",計算結果!F727)=0,"",IF(ISNA(計算結果!F727),"",計算結果!F727))</f>
        <v/>
      </c>
      <c r="G727" s="10" t="str">
        <f>IF(IF(ISNA(計算結果!G727),"",計算結果!G727)=0,"",IF(ISNA(計算結果!G727),"",計算結果!G727))</f>
        <v/>
      </c>
      <c r="H727" s="13">
        <f>IF(IF(ISNA(計算結果!H727),"",計算結果!H727)=0,"",IF(ISNA(計算結果!H727),"",計算結果!H727))</f>
        <v>-2</v>
      </c>
      <c r="I727" s="12" t="str">
        <f>IF(IF(ISNA(計算結果!I727),"",計算結果!I727)=0,"",IF(ISNA(計算結果!I727),"",計算結果!I727))</f>
        <v/>
      </c>
      <c r="J727" s="12" t="str">
        <f>IF(IF(ISNA(計算結果!J727),"",計算結果!J727)=0,"",IF(ISNA(計算結果!J727),"",計算結果!J727))</f>
        <v/>
      </c>
      <c r="K727" s="23" t="str">
        <f>IF(IF(ISNA(計算結果!K727),"",計算結果!K727)=0,"",IF(ISNA(計算結果!K727),"",計算結果!K727))</f>
        <v/>
      </c>
      <c r="L727" s="13" t="str">
        <f>IF(IF(ISNA(計算結果!L727),"",計算結果!L727)=0,"",IF(ISNA(計算結果!L727),"",計算結果!L727))</f>
        <v/>
      </c>
      <c r="M727" s="10" t="str">
        <f>IF(IF(ISNA(計算結果!M727),"",計算結果!M727)=0,"",IF(ISNA(計算結果!M727),"",計算結果!M727))</f>
        <v/>
      </c>
      <c r="N727" s="10" t="str">
        <f>IF(IF(ISNA(計算結果!N727),"",計算結果!N727)=0,"",IF(ISNA(計算結果!N727),"",計算結果!N727))</f>
        <v/>
      </c>
      <c r="O727" s="13" t="str">
        <f>IF(IF(ISNA(計算結果!O727),"",計算結果!O727)=0,"",IF(ISNA(計算結果!O727),"",計算結果!O727))</f>
        <v/>
      </c>
      <c r="P727" s="10" t="str">
        <f>IF(IF(ISNA(計算結果!P727),"",計算結果!P727)=0,"",IF(ISNA(計算結果!P727),"",計算結果!P727))</f>
        <v/>
      </c>
      <c r="Q727" s="10" t="str">
        <f>IF(IF(ISNA(計算結果!Q727),"",計算結果!Q727)=0,"",IF(ISNA(計算結果!Q727),"",計算結果!Q727))</f>
        <v/>
      </c>
      <c r="R727" s="14" t="str">
        <f t="shared" si="33"/>
        <v/>
      </c>
      <c r="S727" s="14" t="str">
        <f t="shared" si="34"/>
        <v>◯</v>
      </c>
      <c r="T727" s="14" t="str">
        <f t="shared" si="35"/>
        <v/>
      </c>
    </row>
    <row r="728" spans="1:20" hidden="1" x14ac:dyDescent="0.45">
      <c r="A728" s="10" t="str">
        <f>IF(IF(ISNA(計算結果!A728),"",計算結果!A728)=0,"",IF(ISNA(計算結果!A728),"",計算結果!A728))</f>
        <v/>
      </c>
      <c r="B728" s="10" t="str">
        <f>IF(IF(ISNA(計算結果!B728),"",計算結果!B728)=0,"",IF(ISNA(計算結果!B728),"",計算結果!B728))</f>
        <v/>
      </c>
      <c r="C728" s="10" t="str">
        <f>IF(IF(ISNA(計算結果!C728),"",計算結果!C728)=0,"",IF(ISNA(計算結果!C728),"",計算結果!C728))</f>
        <v/>
      </c>
      <c r="D728" s="10" t="str">
        <f>IF(IF(ISNA(計算結果!D728),"",計算結果!D728)=0,"",IF(ISNA(計算結果!D728),"",計算結果!D728))</f>
        <v>L</v>
      </c>
      <c r="E728" s="10" t="str">
        <f>IF(IF(ISNA(計算結果!E728),"",計算結果!E728)=0,"",IF(ISNA(計算結果!E728),"",計算結果!E728))</f>
        <v/>
      </c>
      <c r="F728" s="10" t="str">
        <f>IF(IF(ISNA(計算結果!F728),"",計算結果!F728)=0,"",IF(ISNA(計算結果!F728),"",計算結果!F728))</f>
        <v/>
      </c>
      <c r="G728" s="10" t="str">
        <f>IF(IF(ISNA(計算結果!G728),"",計算結果!G728)=0,"",IF(ISNA(計算結果!G728),"",計算結果!G728))</f>
        <v/>
      </c>
      <c r="H728" s="13">
        <f>IF(IF(ISNA(計算結果!H728),"",計算結果!H728)=0,"",IF(ISNA(計算結果!H728),"",計算結果!H728))</f>
        <v>-2</v>
      </c>
      <c r="I728" s="12" t="str">
        <f>IF(IF(ISNA(計算結果!I728),"",計算結果!I728)=0,"",IF(ISNA(計算結果!I728),"",計算結果!I728))</f>
        <v/>
      </c>
      <c r="J728" s="12" t="str">
        <f>IF(IF(ISNA(計算結果!J728),"",計算結果!J728)=0,"",IF(ISNA(計算結果!J728),"",計算結果!J728))</f>
        <v/>
      </c>
      <c r="K728" s="23" t="str">
        <f>IF(IF(ISNA(計算結果!K728),"",計算結果!K728)=0,"",IF(ISNA(計算結果!K728),"",計算結果!K728))</f>
        <v/>
      </c>
      <c r="L728" s="13" t="str">
        <f>IF(IF(ISNA(計算結果!L728),"",計算結果!L728)=0,"",IF(ISNA(計算結果!L728),"",計算結果!L728))</f>
        <v/>
      </c>
      <c r="M728" s="10" t="str">
        <f>IF(IF(ISNA(計算結果!M728),"",計算結果!M728)=0,"",IF(ISNA(計算結果!M728),"",計算結果!M728))</f>
        <v/>
      </c>
      <c r="N728" s="10" t="str">
        <f>IF(IF(ISNA(計算結果!N728),"",計算結果!N728)=0,"",IF(ISNA(計算結果!N728),"",計算結果!N728))</f>
        <v/>
      </c>
      <c r="O728" s="13" t="str">
        <f>IF(IF(ISNA(計算結果!O728),"",計算結果!O728)=0,"",IF(ISNA(計算結果!O728),"",計算結果!O728))</f>
        <v/>
      </c>
      <c r="P728" s="10" t="str">
        <f>IF(IF(ISNA(計算結果!P728),"",計算結果!P728)=0,"",IF(ISNA(計算結果!P728),"",計算結果!P728))</f>
        <v/>
      </c>
      <c r="Q728" s="10" t="str">
        <f>IF(IF(ISNA(計算結果!Q728),"",計算結果!Q728)=0,"",IF(ISNA(計算結果!Q728),"",計算結果!Q728))</f>
        <v/>
      </c>
      <c r="R728" s="14" t="str">
        <f t="shared" si="33"/>
        <v/>
      </c>
      <c r="S728" s="14" t="str">
        <f t="shared" si="34"/>
        <v>◯</v>
      </c>
      <c r="T728" s="14" t="str">
        <f t="shared" si="35"/>
        <v/>
      </c>
    </row>
    <row r="729" spans="1:20" hidden="1" x14ac:dyDescent="0.45">
      <c r="A729" s="10" t="str">
        <f>IF(IF(ISNA(計算結果!A729),"",計算結果!A729)=0,"",IF(ISNA(計算結果!A729),"",計算結果!A729))</f>
        <v/>
      </c>
      <c r="B729" s="10" t="str">
        <f>IF(IF(ISNA(計算結果!B729),"",計算結果!B729)=0,"",IF(ISNA(計算結果!B729),"",計算結果!B729))</f>
        <v/>
      </c>
      <c r="C729" s="10" t="str">
        <f>IF(IF(ISNA(計算結果!C729),"",計算結果!C729)=0,"",IF(ISNA(計算結果!C729),"",計算結果!C729))</f>
        <v/>
      </c>
      <c r="D729" s="10" t="str">
        <f>IF(IF(ISNA(計算結果!D729),"",計算結果!D729)=0,"",IF(ISNA(計算結果!D729),"",計算結果!D729))</f>
        <v>L</v>
      </c>
      <c r="E729" s="10" t="str">
        <f>IF(IF(ISNA(計算結果!E729),"",計算結果!E729)=0,"",IF(ISNA(計算結果!E729),"",計算結果!E729))</f>
        <v/>
      </c>
      <c r="F729" s="10" t="str">
        <f>IF(IF(ISNA(計算結果!F729),"",計算結果!F729)=0,"",IF(ISNA(計算結果!F729),"",計算結果!F729))</f>
        <v/>
      </c>
      <c r="G729" s="10" t="str">
        <f>IF(IF(ISNA(計算結果!G729),"",計算結果!G729)=0,"",IF(ISNA(計算結果!G729),"",計算結果!G729))</f>
        <v/>
      </c>
      <c r="H729" s="13">
        <f>IF(IF(ISNA(計算結果!H729),"",計算結果!H729)=0,"",IF(ISNA(計算結果!H729),"",計算結果!H729))</f>
        <v>-2</v>
      </c>
      <c r="I729" s="12" t="str">
        <f>IF(IF(ISNA(計算結果!I729),"",計算結果!I729)=0,"",IF(ISNA(計算結果!I729),"",計算結果!I729))</f>
        <v/>
      </c>
      <c r="J729" s="12" t="str">
        <f>IF(IF(ISNA(計算結果!J729),"",計算結果!J729)=0,"",IF(ISNA(計算結果!J729),"",計算結果!J729))</f>
        <v/>
      </c>
      <c r="K729" s="23" t="str">
        <f>IF(IF(ISNA(計算結果!K729),"",計算結果!K729)=0,"",IF(ISNA(計算結果!K729),"",計算結果!K729))</f>
        <v/>
      </c>
      <c r="L729" s="13" t="str">
        <f>IF(IF(ISNA(計算結果!L729),"",計算結果!L729)=0,"",IF(ISNA(計算結果!L729),"",計算結果!L729))</f>
        <v/>
      </c>
      <c r="M729" s="10" t="str">
        <f>IF(IF(ISNA(計算結果!M729),"",計算結果!M729)=0,"",IF(ISNA(計算結果!M729),"",計算結果!M729))</f>
        <v/>
      </c>
      <c r="N729" s="10" t="str">
        <f>IF(IF(ISNA(計算結果!N729),"",計算結果!N729)=0,"",IF(ISNA(計算結果!N729),"",計算結果!N729))</f>
        <v/>
      </c>
      <c r="O729" s="13" t="str">
        <f>IF(IF(ISNA(計算結果!O729),"",計算結果!O729)=0,"",IF(ISNA(計算結果!O729),"",計算結果!O729))</f>
        <v/>
      </c>
      <c r="P729" s="10" t="str">
        <f>IF(IF(ISNA(計算結果!P729),"",計算結果!P729)=0,"",IF(ISNA(計算結果!P729),"",計算結果!P729))</f>
        <v/>
      </c>
      <c r="Q729" s="10" t="str">
        <f>IF(IF(ISNA(計算結果!Q729),"",計算結果!Q729)=0,"",IF(ISNA(計算結果!Q729),"",計算結果!Q729))</f>
        <v/>
      </c>
      <c r="R729" s="14" t="str">
        <f t="shared" si="33"/>
        <v/>
      </c>
      <c r="S729" s="14" t="str">
        <f t="shared" si="34"/>
        <v>◯</v>
      </c>
      <c r="T729" s="14" t="str">
        <f t="shared" si="35"/>
        <v/>
      </c>
    </row>
    <row r="730" spans="1:20" hidden="1" x14ac:dyDescent="0.45">
      <c r="A730" s="10" t="str">
        <f>IF(IF(ISNA(計算結果!A730),"",計算結果!A730)=0,"",IF(ISNA(計算結果!A730),"",計算結果!A730))</f>
        <v/>
      </c>
      <c r="B730" s="10" t="str">
        <f>IF(IF(ISNA(計算結果!B730),"",計算結果!B730)=0,"",IF(ISNA(計算結果!B730),"",計算結果!B730))</f>
        <v/>
      </c>
      <c r="C730" s="10" t="str">
        <f>IF(IF(ISNA(計算結果!C730),"",計算結果!C730)=0,"",IF(ISNA(計算結果!C730),"",計算結果!C730))</f>
        <v/>
      </c>
      <c r="D730" s="10" t="str">
        <f>IF(IF(ISNA(計算結果!D730),"",計算結果!D730)=0,"",IF(ISNA(計算結果!D730),"",計算結果!D730))</f>
        <v>L</v>
      </c>
      <c r="E730" s="10" t="str">
        <f>IF(IF(ISNA(計算結果!E730),"",計算結果!E730)=0,"",IF(ISNA(計算結果!E730),"",計算結果!E730))</f>
        <v/>
      </c>
      <c r="F730" s="10" t="str">
        <f>IF(IF(ISNA(計算結果!F730),"",計算結果!F730)=0,"",IF(ISNA(計算結果!F730),"",計算結果!F730))</f>
        <v/>
      </c>
      <c r="G730" s="10" t="str">
        <f>IF(IF(ISNA(計算結果!G730),"",計算結果!G730)=0,"",IF(ISNA(計算結果!G730),"",計算結果!G730))</f>
        <v/>
      </c>
      <c r="H730" s="13">
        <f>IF(IF(ISNA(計算結果!H730),"",計算結果!H730)=0,"",IF(ISNA(計算結果!H730),"",計算結果!H730))</f>
        <v>-2</v>
      </c>
      <c r="I730" s="12" t="str">
        <f>IF(IF(ISNA(計算結果!I730),"",計算結果!I730)=0,"",IF(ISNA(計算結果!I730),"",計算結果!I730))</f>
        <v/>
      </c>
      <c r="J730" s="12" t="str">
        <f>IF(IF(ISNA(計算結果!J730),"",計算結果!J730)=0,"",IF(ISNA(計算結果!J730),"",計算結果!J730))</f>
        <v/>
      </c>
      <c r="K730" s="23" t="str">
        <f>IF(IF(ISNA(計算結果!K730),"",計算結果!K730)=0,"",IF(ISNA(計算結果!K730),"",計算結果!K730))</f>
        <v/>
      </c>
      <c r="L730" s="13" t="str">
        <f>IF(IF(ISNA(計算結果!L730),"",計算結果!L730)=0,"",IF(ISNA(計算結果!L730),"",計算結果!L730))</f>
        <v/>
      </c>
      <c r="M730" s="10" t="str">
        <f>IF(IF(ISNA(計算結果!M730),"",計算結果!M730)=0,"",IF(ISNA(計算結果!M730),"",計算結果!M730))</f>
        <v/>
      </c>
      <c r="N730" s="10" t="str">
        <f>IF(IF(ISNA(計算結果!N730),"",計算結果!N730)=0,"",IF(ISNA(計算結果!N730),"",計算結果!N730))</f>
        <v/>
      </c>
      <c r="O730" s="13" t="str">
        <f>IF(IF(ISNA(計算結果!O730),"",計算結果!O730)=0,"",IF(ISNA(計算結果!O730),"",計算結果!O730))</f>
        <v/>
      </c>
      <c r="P730" s="10" t="str">
        <f>IF(IF(ISNA(計算結果!P730),"",計算結果!P730)=0,"",IF(ISNA(計算結果!P730),"",計算結果!P730))</f>
        <v/>
      </c>
      <c r="Q730" s="10" t="str">
        <f>IF(IF(ISNA(計算結果!Q730),"",計算結果!Q730)=0,"",IF(ISNA(計算結果!Q730),"",計算結果!Q730))</f>
        <v/>
      </c>
      <c r="R730" s="14" t="str">
        <f t="shared" si="33"/>
        <v/>
      </c>
      <c r="S730" s="14" t="str">
        <f t="shared" si="34"/>
        <v>◯</v>
      </c>
      <c r="T730" s="14" t="str">
        <f t="shared" si="35"/>
        <v/>
      </c>
    </row>
    <row r="731" spans="1:20" hidden="1" x14ac:dyDescent="0.45">
      <c r="A731" s="10" t="str">
        <f>IF(IF(ISNA(計算結果!A731),"",計算結果!A731)=0,"",IF(ISNA(計算結果!A731),"",計算結果!A731))</f>
        <v/>
      </c>
      <c r="B731" s="10" t="str">
        <f>IF(IF(ISNA(計算結果!B731),"",計算結果!B731)=0,"",IF(ISNA(計算結果!B731),"",計算結果!B731))</f>
        <v/>
      </c>
      <c r="C731" s="10" t="str">
        <f>IF(IF(ISNA(計算結果!C731),"",計算結果!C731)=0,"",IF(ISNA(計算結果!C731),"",計算結果!C731))</f>
        <v/>
      </c>
      <c r="D731" s="10" t="str">
        <f>IF(IF(ISNA(計算結果!D731),"",計算結果!D731)=0,"",IF(ISNA(計算結果!D731),"",計算結果!D731))</f>
        <v>L</v>
      </c>
      <c r="E731" s="10" t="str">
        <f>IF(IF(ISNA(計算結果!E731),"",計算結果!E731)=0,"",IF(ISNA(計算結果!E731),"",計算結果!E731))</f>
        <v/>
      </c>
      <c r="F731" s="10" t="str">
        <f>IF(IF(ISNA(計算結果!F731),"",計算結果!F731)=0,"",IF(ISNA(計算結果!F731),"",計算結果!F731))</f>
        <v/>
      </c>
      <c r="G731" s="10" t="str">
        <f>IF(IF(ISNA(計算結果!G731),"",計算結果!G731)=0,"",IF(ISNA(計算結果!G731),"",計算結果!G731))</f>
        <v/>
      </c>
      <c r="H731" s="13">
        <f>IF(IF(ISNA(計算結果!H731),"",計算結果!H731)=0,"",IF(ISNA(計算結果!H731),"",計算結果!H731))</f>
        <v>-2</v>
      </c>
      <c r="I731" s="12" t="str">
        <f>IF(IF(ISNA(計算結果!I731),"",計算結果!I731)=0,"",IF(ISNA(計算結果!I731),"",計算結果!I731))</f>
        <v/>
      </c>
      <c r="J731" s="12" t="str">
        <f>IF(IF(ISNA(計算結果!J731),"",計算結果!J731)=0,"",IF(ISNA(計算結果!J731),"",計算結果!J731))</f>
        <v/>
      </c>
      <c r="K731" s="23" t="str">
        <f>IF(IF(ISNA(計算結果!K731),"",計算結果!K731)=0,"",IF(ISNA(計算結果!K731),"",計算結果!K731))</f>
        <v/>
      </c>
      <c r="L731" s="13" t="str">
        <f>IF(IF(ISNA(計算結果!L731),"",計算結果!L731)=0,"",IF(ISNA(計算結果!L731),"",計算結果!L731))</f>
        <v/>
      </c>
      <c r="M731" s="10" t="str">
        <f>IF(IF(ISNA(計算結果!M731),"",計算結果!M731)=0,"",IF(ISNA(計算結果!M731),"",計算結果!M731))</f>
        <v/>
      </c>
      <c r="N731" s="10" t="str">
        <f>IF(IF(ISNA(計算結果!N731),"",計算結果!N731)=0,"",IF(ISNA(計算結果!N731),"",計算結果!N731))</f>
        <v/>
      </c>
      <c r="O731" s="13" t="str">
        <f>IF(IF(ISNA(計算結果!O731),"",計算結果!O731)=0,"",IF(ISNA(計算結果!O731),"",計算結果!O731))</f>
        <v/>
      </c>
      <c r="P731" s="10" t="str">
        <f>IF(IF(ISNA(計算結果!P731),"",計算結果!P731)=0,"",IF(ISNA(計算結果!P731),"",計算結果!P731))</f>
        <v/>
      </c>
      <c r="Q731" s="10" t="str">
        <f>IF(IF(ISNA(計算結果!Q731),"",計算結果!Q731)=0,"",IF(ISNA(計算結果!Q731),"",計算結果!Q731))</f>
        <v/>
      </c>
      <c r="R731" s="14" t="str">
        <f t="shared" si="33"/>
        <v/>
      </c>
      <c r="S731" s="14" t="str">
        <f t="shared" si="34"/>
        <v>◯</v>
      </c>
      <c r="T731" s="14" t="str">
        <f t="shared" si="35"/>
        <v/>
      </c>
    </row>
    <row r="732" spans="1:20" hidden="1" x14ac:dyDescent="0.45">
      <c r="A732" s="10" t="str">
        <f>IF(IF(ISNA(計算結果!A732),"",計算結果!A732)=0,"",IF(ISNA(計算結果!A732),"",計算結果!A732))</f>
        <v/>
      </c>
      <c r="B732" s="10" t="str">
        <f>IF(IF(ISNA(計算結果!B732),"",計算結果!B732)=0,"",IF(ISNA(計算結果!B732),"",計算結果!B732))</f>
        <v/>
      </c>
      <c r="C732" s="10" t="str">
        <f>IF(IF(ISNA(計算結果!C732),"",計算結果!C732)=0,"",IF(ISNA(計算結果!C732),"",計算結果!C732))</f>
        <v/>
      </c>
      <c r="D732" s="10" t="str">
        <f>IF(IF(ISNA(計算結果!D732),"",計算結果!D732)=0,"",IF(ISNA(計算結果!D732),"",計算結果!D732))</f>
        <v>L</v>
      </c>
      <c r="E732" s="10" t="str">
        <f>IF(IF(ISNA(計算結果!E732),"",計算結果!E732)=0,"",IF(ISNA(計算結果!E732),"",計算結果!E732))</f>
        <v/>
      </c>
      <c r="F732" s="10" t="str">
        <f>IF(IF(ISNA(計算結果!F732),"",計算結果!F732)=0,"",IF(ISNA(計算結果!F732),"",計算結果!F732))</f>
        <v/>
      </c>
      <c r="G732" s="10" t="str">
        <f>IF(IF(ISNA(計算結果!G732),"",計算結果!G732)=0,"",IF(ISNA(計算結果!G732),"",計算結果!G732))</f>
        <v/>
      </c>
      <c r="H732" s="13">
        <f>IF(IF(ISNA(計算結果!H732),"",計算結果!H732)=0,"",IF(ISNA(計算結果!H732),"",計算結果!H732))</f>
        <v>-2</v>
      </c>
      <c r="I732" s="12" t="str">
        <f>IF(IF(ISNA(計算結果!I732),"",計算結果!I732)=0,"",IF(ISNA(計算結果!I732),"",計算結果!I732))</f>
        <v/>
      </c>
      <c r="J732" s="12" t="str">
        <f>IF(IF(ISNA(計算結果!J732),"",計算結果!J732)=0,"",IF(ISNA(計算結果!J732),"",計算結果!J732))</f>
        <v/>
      </c>
      <c r="K732" s="23" t="str">
        <f>IF(IF(ISNA(計算結果!K732),"",計算結果!K732)=0,"",IF(ISNA(計算結果!K732),"",計算結果!K732))</f>
        <v/>
      </c>
      <c r="L732" s="13" t="str">
        <f>IF(IF(ISNA(計算結果!L732),"",計算結果!L732)=0,"",IF(ISNA(計算結果!L732),"",計算結果!L732))</f>
        <v/>
      </c>
      <c r="M732" s="10" t="str">
        <f>IF(IF(ISNA(計算結果!M732),"",計算結果!M732)=0,"",IF(ISNA(計算結果!M732),"",計算結果!M732))</f>
        <v/>
      </c>
      <c r="N732" s="10" t="str">
        <f>IF(IF(ISNA(計算結果!N732),"",計算結果!N732)=0,"",IF(ISNA(計算結果!N732),"",計算結果!N732))</f>
        <v/>
      </c>
      <c r="O732" s="13" t="str">
        <f>IF(IF(ISNA(計算結果!O732),"",計算結果!O732)=0,"",IF(ISNA(計算結果!O732),"",計算結果!O732))</f>
        <v/>
      </c>
      <c r="P732" s="10" t="str">
        <f>IF(IF(ISNA(計算結果!P732),"",計算結果!P732)=0,"",IF(ISNA(計算結果!P732),"",計算結果!P732))</f>
        <v/>
      </c>
      <c r="Q732" s="10" t="str">
        <f>IF(IF(ISNA(計算結果!Q732),"",計算結果!Q732)=0,"",IF(ISNA(計算結果!Q732),"",計算結果!Q732))</f>
        <v/>
      </c>
      <c r="R732" s="14" t="str">
        <f t="shared" si="33"/>
        <v/>
      </c>
      <c r="S732" s="14" t="str">
        <f t="shared" si="34"/>
        <v>◯</v>
      </c>
      <c r="T732" s="14" t="str">
        <f t="shared" si="35"/>
        <v/>
      </c>
    </row>
    <row r="733" spans="1:20" hidden="1" x14ac:dyDescent="0.45">
      <c r="A733" s="10" t="str">
        <f>IF(IF(ISNA(計算結果!A733),"",計算結果!A733)=0,"",IF(ISNA(計算結果!A733),"",計算結果!A733))</f>
        <v/>
      </c>
      <c r="B733" s="10" t="str">
        <f>IF(IF(ISNA(計算結果!B733),"",計算結果!B733)=0,"",IF(ISNA(計算結果!B733),"",計算結果!B733))</f>
        <v/>
      </c>
      <c r="C733" s="10" t="str">
        <f>IF(IF(ISNA(計算結果!C733),"",計算結果!C733)=0,"",IF(ISNA(計算結果!C733),"",計算結果!C733))</f>
        <v/>
      </c>
      <c r="D733" s="10" t="str">
        <f>IF(IF(ISNA(計算結果!D733),"",計算結果!D733)=0,"",IF(ISNA(計算結果!D733),"",計算結果!D733))</f>
        <v>L</v>
      </c>
      <c r="E733" s="10" t="str">
        <f>IF(IF(ISNA(計算結果!E733),"",計算結果!E733)=0,"",IF(ISNA(計算結果!E733),"",計算結果!E733))</f>
        <v/>
      </c>
      <c r="F733" s="10" t="str">
        <f>IF(IF(ISNA(計算結果!F733),"",計算結果!F733)=0,"",IF(ISNA(計算結果!F733),"",計算結果!F733))</f>
        <v/>
      </c>
      <c r="G733" s="10" t="str">
        <f>IF(IF(ISNA(計算結果!G733),"",計算結果!G733)=0,"",IF(ISNA(計算結果!G733),"",計算結果!G733))</f>
        <v/>
      </c>
      <c r="H733" s="13">
        <f>IF(IF(ISNA(計算結果!H733),"",計算結果!H733)=0,"",IF(ISNA(計算結果!H733),"",計算結果!H733))</f>
        <v>-2</v>
      </c>
      <c r="I733" s="12" t="str">
        <f>IF(IF(ISNA(計算結果!I733),"",計算結果!I733)=0,"",IF(ISNA(計算結果!I733),"",計算結果!I733))</f>
        <v/>
      </c>
      <c r="J733" s="12" t="str">
        <f>IF(IF(ISNA(計算結果!J733),"",計算結果!J733)=0,"",IF(ISNA(計算結果!J733),"",計算結果!J733))</f>
        <v/>
      </c>
      <c r="K733" s="23" t="str">
        <f>IF(IF(ISNA(計算結果!K733),"",計算結果!K733)=0,"",IF(ISNA(計算結果!K733),"",計算結果!K733))</f>
        <v/>
      </c>
      <c r="L733" s="13" t="str">
        <f>IF(IF(ISNA(計算結果!L733),"",計算結果!L733)=0,"",IF(ISNA(計算結果!L733),"",計算結果!L733))</f>
        <v/>
      </c>
      <c r="M733" s="10" t="str">
        <f>IF(IF(ISNA(計算結果!M733),"",計算結果!M733)=0,"",IF(ISNA(計算結果!M733),"",計算結果!M733))</f>
        <v/>
      </c>
      <c r="N733" s="10" t="str">
        <f>IF(IF(ISNA(計算結果!N733),"",計算結果!N733)=0,"",IF(ISNA(計算結果!N733),"",計算結果!N733))</f>
        <v/>
      </c>
      <c r="O733" s="13" t="str">
        <f>IF(IF(ISNA(計算結果!O733),"",計算結果!O733)=0,"",IF(ISNA(計算結果!O733),"",計算結果!O733))</f>
        <v/>
      </c>
      <c r="P733" s="10" t="str">
        <f>IF(IF(ISNA(計算結果!P733),"",計算結果!P733)=0,"",IF(ISNA(計算結果!P733),"",計算結果!P733))</f>
        <v/>
      </c>
      <c r="Q733" s="10" t="str">
        <f>IF(IF(ISNA(計算結果!Q733),"",計算結果!Q733)=0,"",IF(ISNA(計算結果!Q733),"",計算結果!Q733))</f>
        <v/>
      </c>
      <c r="R733" s="14" t="str">
        <f t="shared" si="33"/>
        <v/>
      </c>
      <c r="S733" s="14" t="str">
        <f t="shared" si="34"/>
        <v>◯</v>
      </c>
      <c r="T733" s="14" t="str">
        <f t="shared" si="35"/>
        <v/>
      </c>
    </row>
    <row r="734" spans="1:20" hidden="1" x14ac:dyDescent="0.45">
      <c r="A734" s="10" t="str">
        <f>IF(IF(ISNA(計算結果!A734),"",計算結果!A734)=0,"",IF(ISNA(計算結果!A734),"",計算結果!A734))</f>
        <v/>
      </c>
      <c r="B734" s="10" t="str">
        <f>IF(IF(ISNA(計算結果!B734),"",計算結果!B734)=0,"",IF(ISNA(計算結果!B734),"",計算結果!B734))</f>
        <v/>
      </c>
      <c r="C734" s="10" t="str">
        <f>IF(IF(ISNA(計算結果!C734),"",計算結果!C734)=0,"",IF(ISNA(計算結果!C734),"",計算結果!C734))</f>
        <v/>
      </c>
      <c r="D734" s="10" t="str">
        <f>IF(IF(ISNA(計算結果!D734),"",計算結果!D734)=0,"",IF(ISNA(計算結果!D734),"",計算結果!D734))</f>
        <v>L</v>
      </c>
      <c r="E734" s="10" t="str">
        <f>IF(IF(ISNA(計算結果!E734),"",計算結果!E734)=0,"",IF(ISNA(計算結果!E734),"",計算結果!E734))</f>
        <v/>
      </c>
      <c r="F734" s="10" t="str">
        <f>IF(IF(ISNA(計算結果!F734),"",計算結果!F734)=0,"",IF(ISNA(計算結果!F734),"",計算結果!F734))</f>
        <v/>
      </c>
      <c r="G734" s="10" t="str">
        <f>IF(IF(ISNA(計算結果!G734),"",計算結果!G734)=0,"",IF(ISNA(計算結果!G734),"",計算結果!G734))</f>
        <v/>
      </c>
      <c r="H734" s="13">
        <f>IF(IF(ISNA(計算結果!H734),"",計算結果!H734)=0,"",IF(ISNA(計算結果!H734),"",計算結果!H734))</f>
        <v>-2</v>
      </c>
      <c r="I734" s="12" t="str">
        <f>IF(IF(ISNA(計算結果!I734),"",計算結果!I734)=0,"",IF(ISNA(計算結果!I734),"",計算結果!I734))</f>
        <v/>
      </c>
      <c r="J734" s="12" t="str">
        <f>IF(IF(ISNA(計算結果!J734),"",計算結果!J734)=0,"",IF(ISNA(計算結果!J734),"",計算結果!J734))</f>
        <v/>
      </c>
      <c r="K734" s="23" t="str">
        <f>IF(IF(ISNA(計算結果!K734),"",計算結果!K734)=0,"",IF(ISNA(計算結果!K734),"",計算結果!K734))</f>
        <v/>
      </c>
      <c r="L734" s="13" t="str">
        <f>IF(IF(ISNA(計算結果!L734),"",計算結果!L734)=0,"",IF(ISNA(計算結果!L734),"",計算結果!L734))</f>
        <v/>
      </c>
      <c r="M734" s="10" t="str">
        <f>IF(IF(ISNA(計算結果!M734),"",計算結果!M734)=0,"",IF(ISNA(計算結果!M734),"",計算結果!M734))</f>
        <v/>
      </c>
      <c r="N734" s="10" t="str">
        <f>IF(IF(ISNA(計算結果!N734),"",計算結果!N734)=0,"",IF(ISNA(計算結果!N734),"",計算結果!N734))</f>
        <v/>
      </c>
      <c r="O734" s="13" t="str">
        <f>IF(IF(ISNA(計算結果!O734),"",計算結果!O734)=0,"",IF(ISNA(計算結果!O734),"",計算結果!O734))</f>
        <v/>
      </c>
      <c r="P734" s="10" t="str">
        <f>IF(IF(ISNA(計算結果!P734),"",計算結果!P734)=0,"",IF(ISNA(計算結果!P734),"",計算結果!P734))</f>
        <v/>
      </c>
      <c r="Q734" s="10" t="str">
        <f>IF(IF(ISNA(計算結果!Q734),"",計算結果!Q734)=0,"",IF(ISNA(計算結果!Q734),"",計算結果!Q734))</f>
        <v/>
      </c>
      <c r="R734" s="14" t="str">
        <f t="shared" si="33"/>
        <v/>
      </c>
      <c r="S734" s="14" t="str">
        <f t="shared" si="34"/>
        <v>◯</v>
      </c>
      <c r="T734" s="14" t="str">
        <f t="shared" si="35"/>
        <v/>
      </c>
    </row>
    <row r="735" spans="1:20" hidden="1" x14ac:dyDescent="0.45">
      <c r="A735" s="10" t="str">
        <f>IF(IF(ISNA(計算結果!A735),"",計算結果!A735)=0,"",IF(ISNA(計算結果!A735),"",計算結果!A735))</f>
        <v/>
      </c>
      <c r="B735" s="10" t="str">
        <f>IF(IF(ISNA(計算結果!B735),"",計算結果!B735)=0,"",IF(ISNA(計算結果!B735),"",計算結果!B735))</f>
        <v/>
      </c>
      <c r="C735" s="10" t="str">
        <f>IF(IF(ISNA(計算結果!C735),"",計算結果!C735)=0,"",IF(ISNA(計算結果!C735),"",計算結果!C735))</f>
        <v/>
      </c>
      <c r="D735" s="10" t="str">
        <f>IF(IF(ISNA(計算結果!D735),"",計算結果!D735)=0,"",IF(ISNA(計算結果!D735),"",計算結果!D735))</f>
        <v>L</v>
      </c>
      <c r="E735" s="10" t="str">
        <f>IF(IF(ISNA(計算結果!E735),"",計算結果!E735)=0,"",IF(ISNA(計算結果!E735),"",計算結果!E735))</f>
        <v/>
      </c>
      <c r="F735" s="10" t="str">
        <f>IF(IF(ISNA(計算結果!F735),"",計算結果!F735)=0,"",IF(ISNA(計算結果!F735),"",計算結果!F735))</f>
        <v/>
      </c>
      <c r="G735" s="10" t="str">
        <f>IF(IF(ISNA(計算結果!G735),"",計算結果!G735)=0,"",IF(ISNA(計算結果!G735),"",計算結果!G735))</f>
        <v/>
      </c>
      <c r="H735" s="13">
        <f>IF(IF(ISNA(計算結果!H735),"",計算結果!H735)=0,"",IF(ISNA(計算結果!H735),"",計算結果!H735))</f>
        <v>-2</v>
      </c>
      <c r="I735" s="12" t="str">
        <f>IF(IF(ISNA(計算結果!I735),"",計算結果!I735)=0,"",IF(ISNA(計算結果!I735),"",計算結果!I735))</f>
        <v/>
      </c>
      <c r="J735" s="12" t="str">
        <f>IF(IF(ISNA(計算結果!J735),"",計算結果!J735)=0,"",IF(ISNA(計算結果!J735),"",計算結果!J735))</f>
        <v/>
      </c>
      <c r="K735" s="23" t="str">
        <f>IF(IF(ISNA(計算結果!K735),"",計算結果!K735)=0,"",IF(ISNA(計算結果!K735),"",計算結果!K735))</f>
        <v/>
      </c>
      <c r="L735" s="13" t="str">
        <f>IF(IF(ISNA(計算結果!L735),"",計算結果!L735)=0,"",IF(ISNA(計算結果!L735),"",計算結果!L735))</f>
        <v/>
      </c>
      <c r="M735" s="10" t="str">
        <f>IF(IF(ISNA(計算結果!M735),"",計算結果!M735)=0,"",IF(ISNA(計算結果!M735),"",計算結果!M735))</f>
        <v/>
      </c>
      <c r="N735" s="10" t="str">
        <f>IF(IF(ISNA(計算結果!N735),"",計算結果!N735)=0,"",IF(ISNA(計算結果!N735),"",計算結果!N735))</f>
        <v/>
      </c>
      <c r="O735" s="13" t="str">
        <f>IF(IF(ISNA(計算結果!O735),"",計算結果!O735)=0,"",IF(ISNA(計算結果!O735),"",計算結果!O735))</f>
        <v/>
      </c>
      <c r="P735" s="10" t="str">
        <f>IF(IF(ISNA(計算結果!P735),"",計算結果!P735)=0,"",IF(ISNA(計算結果!P735),"",計算結果!P735))</f>
        <v/>
      </c>
      <c r="Q735" s="10" t="str">
        <f>IF(IF(ISNA(計算結果!Q735),"",計算結果!Q735)=0,"",IF(ISNA(計算結果!Q735),"",計算結果!Q735))</f>
        <v/>
      </c>
      <c r="R735" s="14" t="str">
        <f t="shared" si="33"/>
        <v/>
      </c>
      <c r="S735" s="14" t="str">
        <f t="shared" si="34"/>
        <v>◯</v>
      </c>
      <c r="T735" s="14" t="str">
        <f t="shared" si="35"/>
        <v/>
      </c>
    </row>
    <row r="736" spans="1:20" hidden="1" x14ac:dyDescent="0.45">
      <c r="A736" s="10" t="str">
        <f>IF(IF(ISNA(計算結果!A736),"",計算結果!A736)=0,"",IF(ISNA(計算結果!A736),"",計算結果!A736))</f>
        <v/>
      </c>
      <c r="B736" s="10" t="str">
        <f>IF(IF(ISNA(計算結果!B736),"",計算結果!B736)=0,"",IF(ISNA(計算結果!B736),"",計算結果!B736))</f>
        <v/>
      </c>
      <c r="C736" s="10" t="str">
        <f>IF(IF(ISNA(計算結果!C736),"",計算結果!C736)=0,"",IF(ISNA(計算結果!C736),"",計算結果!C736))</f>
        <v/>
      </c>
      <c r="D736" s="10" t="str">
        <f>IF(IF(ISNA(計算結果!D736),"",計算結果!D736)=0,"",IF(ISNA(計算結果!D736),"",計算結果!D736))</f>
        <v>L</v>
      </c>
      <c r="E736" s="10" t="str">
        <f>IF(IF(ISNA(計算結果!E736),"",計算結果!E736)=0,"",IF(ISNA(計算結果!E736),"",計算結果!E736))</f>
        <v/>
      </c>
      <c r="F736" s="10" t="str">
        <f>IF(IF(ISNA(計算結果!F736),"",計算結果!F736)=0,"",IF(ISNA(計算結果!F736),"",計算結果!F736))</f>
        <v/>
      </c>
      <c r="G736" s="10" t="str">
        <f>IF(IF(ISNA(計算結果!G736),"",計算結果!G736)=0,"",IF(ISNA(計算結果!G736),"",計算結果!G736))</f>
        <v/>
      </c>
      <c r="H736" s="13">
        <f>IF(IF(ISNA(計算結果!H736),"",計算結果!H736)=0,"",IF(ISNA(計算結果!H736),"",計算結果!H736))</f>
        <v>-2</v>
      </c>
      <c r="I736" s="12" t="str">
        <f>IF(IF(ISNA(計算結果!I736),"",計算結果!I736)=0,"",IF(ISNA(計算結果!I736),"",計算結果!I736))</f>
        <v/>
      </c>
      <c r="J736" s="12" t="str">
        <f>IF(IF(ISNA(計算結果!J736),"",計算結果!J736)=0,"",IF(ISNA(計算結果!J736),"",計算結果!J736))</f>
        <v/>
      </c>
      <c r="K736" s="23" t="str">
        <f>IF(IF(ISNA(計算結果!K736),"",計算結果!K736)=0,"",IF(ISNA(計算結果!K736),"",計算結果!K736))</f>
        <v/>
      </c>
      <c r="L736" s="13" t="str">
        <f>IF(IF(ISNA(計算結果!L736),"",計算結果!L736)=0,"",IF(ISNA(計算結果!L736),"",計算結果!L736))</f>
        <v/>
      </c>
      <c r="M736" s="10" t="str">
        <f>IF(IF(ISNA(計算結果!M736),"",計算結果!M736)=0,"",IF(ISNA(計算結果!M736),"",計算結果!M736))</f>
        <v/>
      </c>
      <c r="N736" s="10" t="str">
        <f>IF(IF(ISNA(計算結果!N736),"",計算結果!N736)=0,"",IF(ISNA(計算結果!N736),"",計算結果!N736))</f>
        <v/>
      </c>
      <c r="O736" s="13" t="str">
        <f>IF(IF(ISNA(計算結果!O736),"",計算結果!O736)=0,"",IF(ISNA(計算結果!O736),"",計算結果!O736))</f>
        <v/>
      </c>
      <c r="P736" s="10" t="str">
        <f>IF(IF(ISNA(計算結果!P736),"",計算結果!P736)=0,"",IF(ISNA(計算結果!P736),"",計算結果!P736))</f>
        <v/>
      </c>
      <c r="Q736" s="10" t="str">
        <f>IF(IF(ISNA(計算結果!Q736),"",計算結果!Q736)=0,"",IF(ISNA(計算結果!Q736),"",計算結果!Q736))</f>
        <v/>
      </c>
      <c r="R736" s="14" t="str">
        <f t="shared" si="33"/>
        <v/>
      </c>
      <c r="S736" s="14" t="str">
        <f t="shared" si="34"/>
        <v>◯</v>
      </c>
      <c r="T736" s="14" t="str">
        <f t="shared" si="35"/>
        <v/>
      </c>
    </row>
    <row r="737" spans="1:20" hidden="1" x14ac:dyDescent="0.45">
      <c r="A737" s="10" t="str">
        <f>IF(IF(ISNA(計算結果!A737),"",計算結果!A737)=0,"",IF(ISNA(計算結果!A737),"",計算結果!A737))</f>
        <v/>
      </c>
      <c r="B737" s="10" t="str">
        <f>IF(IF(ISNA(計算結果!B737),"",計算結果!B737)=0,"",IF(ISNA(計算結果!B737),"",計算結果!B737))</f>
        <v/>
      </c>
      <c r="C737" s="10" t="str">
        <f>IF(IF(ISNA(計算結果!C737),"",計算結果!C737)=0,"",IF(ISNA(計算結果!C737),"",計算結果!C737))</f>
        <v/>
      </c>
      <c r="D737" s="10" t="str">
        <f>IF(IF(ISNA(計算結果!D737),"",計算結果!D737)=0,"",IF(ISNA(計算結果!D737),"",計算結果!D737))</f>
        <v>L</v>
      </c>
      <c r="E737" s="10" t="str">
        <f>IF(IF(ISNA(計算結果!E737),"",計算結果!E737)=0,"",IF(ISNA(計算結果!E737),"",計算結果!E737))</f>
        <v/>
      </c>
      <c r="F737" s="10" t="str">
        <f>IF(IF(ISNA(計算結果!F737),"",計算結果!F737)=0,"",IF(ISNA(計算結果!F737),"",計算結果!F737))</f>
        <v/>
      </c>
      <c r="G737" s="10" t="str">
        <f>IF(IF(ISNA(計算結果!G737),"",計算結果!G737)=0,"",IF(ISNA(計算結果!G737),"",計算結果!G737))</f>
        <v/>
      </c>
      <c r="H737" s="13">
        <f>IF(IF(ISNA(計算結果!H737),"",計算結果!H737)=0,"",IF(ISNA(計算結果!H737),"",計算結果!H737))</f>
        <v>-2</v>
      </c>
      <c r="I737" s="12" t="str">
        <f>IF(IF(ISNA(計算結果!I737),"",計算結果!I737)=0,"",IF(ISNA(計算結果!I737),"",計算結果!I737))</f>
        <v/>
      </c>
      <c r="J737" s="12" t="str">
        <f>IF(IF(ISNA(計算結果!J737),"",計算結果!J737)=0,"",IF(ISNA(計算結果!J737),"",計算結果!J737))</f>
        <v/>
      </c>
      <c r="K737" s="23" t="str">
        <f>IF(IF(ISNA(計算結果!K737),"",計算結果!K737)=0,"",IF(ISNA(計算結果!K737),"",計算結果!K737))</f>
        <v/>
      </c>
      <c r="L737" s="13" t="str">
        <f>IF(IF(ISNA(計算結果!L737),"",計算結果!L737)=0,"",IF(ISNA(計算結果!L737),"",計算結果!L737))</f>
        <v/>
      </c>
      <c r="M737" s="10" t="str">
        <f>IF(IF(ISNA(計算結果!M737),"",計算結果!M737)=0,"",IF(ISNA(計算結果!M737),"",計算結果!M737))</f>
        <v/>
      </c>
      <c r="N737" s="10" t="str">
        <f>IF(IF(ISNA(計算結果!N737),"",計算結果!N737)=0,"",IF(ISNA(計算結果!N737),"",計算結果!N737))</f>
        <v/>
      </c>
      <c r="O737" s="13" t="str">
        <f>IF(IF(ISNA(計算結果!O737),"",計算結果!O737)=0,"",IF(ISNA(計算結果!O737),"",計算結果!O737))</f>
        <v/>
      </c>
      <c r="P737" s="10" t="str">
        <f>IF(IF(ISNA(計算結果!P737),"",計算結果!P737)=0,"",IF(ISNA(計算結果!P737),"",計算結果!P737))</f>
        <v/>
      </c>
      <c r="Q737" s="10" t="str">
        <f>IF(IF(ISNA(計算結果!Q737),"",計算結果!Q737)=0,"",IF(ISNA(計算結果!Q737),"",計算結果!Q737))</f>
        <v/>
      </c>
      <c r="R737" s="14" t="str">
        <f t="shared" si="33"/>
        <v/>
      </c>
      <c r="S737" s="14" t="str">
        <f t="shared" si="34"/>
        <v>◯</v>
      </c>
      <c r="T737" s="14" t="str">
        <f t="shared" si="35"/>
        <v/>
      </c>
    </row>
    <row r="738" spans="1:20" hidden="1" x14ac:dyDescent="0.45">
      <c r="A738" s="10" t="str">
        <f>IF(IF(ISNA(計算結果!A738),"",計算結果!A738)=0,"",IF(ISNA(計算結果!A738),"",計算結果!A738))</f>
        <v/>
      </c>
      <c r="B738" s="10" t="str">
        <f>IF(IF(ISNA(計算結果!B738),"",計算結果!B738)=0,"",IF(ISNA(計算結果!B738),"",計算結果!B738))</f>
        <v/>
      </c>
      <c r="C738" s="10" t="str">
        <f>IF(IF(ISNA(計算結果!C738),"",計算結果!C738)=0,"",IF(ISNA(計算結果!C738),"",計算結果!C738))</f>
        <v/>
      </c>
      <c r="D738" s="10" t="str">
        <f>IF(IF(ISNA(計算結果!D738),"",計算結果!D738)=0,"",IF(ISNA(計算結果!D738),"",計算結果!D738))</f>
        <v>L</v>
      </c>
      <c r="E738" s="10" t="str">
        <f>IF(IF(ISNA(計算結果!E738),"",計算結果!E738)=0,"",IF(ISNA(計算結果!E738),"",計算結果!E738))</f>
        <v/>
      </c>
      <c r="F738" s="10" t="str">
        <f>IF(IF(ISNA(計算結果!F738),"",計算結果!F738)=0,"",IF(ISNA(計算結果!F738),"",計算結果!F738))</f>
        <v/>
      </c>
      <c r="G738" s="10" t="str">
        <f>IF(IF(ISNA(計算結果!G738),"",計算結果!G738)=0,"",IF(ISNA(計算結果!G738),"",計算結果!G738))</f>
        <v/>
      </c>
      <c r="H738" s="13">
        <f>IF(IF(ISNA(計算結果!H738),"",計算結果!H738)=0,"",IF(ISNA(計算結果!H738),"",計算結果!H738))</f>
        <v>-2</v>
      </c>
      <c r="I738" s="12" t="str">
        <f>IF(IF(ISNA(計算結果!I738),"",計算結果!I738)=0,"",IF(ISNA(計算結果!I738),"",計算結果!I738))</f>
        <v/>
      </c>
      <c r="J738" s="12" t="str">
        <f>IF(IF(ISNA(計算結果!J738),"",計算結果!J738)=0,"",IF(ISNA(計算結果!J738),"",計算結果!J738))</f>
        <v/>
      </c>
      <c r="K738" s="23" t="str">
        <f>IF(IF(ISNA(計算結果!K738),"",計算結果!K738)=0,"",IF(ISNA(計算結果!K738),"",計算結果!K738))</f>
        <v/>
      </c>
      <c r="L738" s="13" t="str">
        <f>IF(IF(ISNA(計算結果!L738),"",計算結果!L738)=0,"",IF(ISNA(計算結果!L738),"",計算結果!L738))</f>
        <v/>
      </c>
      <c r="M738" s="10" t="str">
        <f>IF(IF(ISNA(計算結果!M738),"",計算結果!M738)=0,"",IF(ISNA(計算結果!M738),"",計算結果!M738))</f>
        <v/>
      </c>
      <c r="N738" s="10" t="str">
        <f>IF(IF(ISNA(計算結果!N738),"",計算結果!N738)=0,"",IF(ISNA(計算結果!N738),"",計算結果!N738))</f>
        <v/>
      </c>
      <c r="O738" s="13" t="str">
        <f>IF(IF(ISNA(計算結果!O738),"",計算結果!O738)=0,"",IF(ISNA(計算結果!O738),"",計算結果!O738))</f>
        <v/>
      </c>
      <c r="P738" s="10" t="str">
        <f>IF(IF(ISNA(計算結果!P738),"",計算結果!P738)=0,"",IF(ISNA(計算結果!P738),"",計算結果!P738))</f>
        <v/>
      </c>
      <c r="Q738" s="10" t="str">
        <f>IF(IF(ISNA(計算結果!Q738),"",計算結果!Q738)=0,"",IF(ISNA(計算結果!Q738),"",計算結果!Q738))</f>
        <v/>
      </c>
      <c r="R738" s="14" t="str">
        <f t="shared" si="33"/>
        <v/>
      </c>
      <c r="S738" s="14" t="str">
        <f t="shared" si="34"/>
        <v>◯</v>
      </c>
      <c r="T738" s="14" t="str">
        <f t="shared" si="35"/>
        <v/>
      </c>
    </row>
    <row r="739" spans="1:20" hidden="1" x14ac:dyDescent="0.45">
      <c r="A739" s="10" t="str">
        <f>IF(IF(ISNA(計算結果!A739),"",計算結果!A739)=0,"",IF(ISNA(計算結果!A739),"",計算結果!A739))</f>
        <v/>
      </c>
      <c r="B739" s="10" t="str">
        <f>IF(IF(ISNA(計算結果!B739),"",計算結果!B739)=0,"",IF(ISNA(計算結果!B739),"",計算結果!B739))</f>
        <v/>
      </c>
      <c r="C739" s="10" t="str">
        <f>IF(IF(ISNA(計算結果!C739),"",計算結果!C739)=0,"",IF(ISNA(計算結果!C739),"",計算結果!C739))</f>
        <v/>
      </c>
      <c r="D739" s="10" t="str">
        <f>IF(IF(ISNA(計算結果!D739),"",計算結果!D739)=0,"",IF(ISNA(計算結果!D739),"",計算結果!D739))</f>
        <v>L</v>
      </c>
      <c r="E739" s="10" t="str">
        <f>IF(IF(ISNA(計算結果!E739),"",計算結果!E739)=0,"",IF(ISNA(計算結果!E739),"",計算結果!E739))</f>
        <v/>
      </c>
      <c r="F739" s="10" t="str">
        <f>IF(IF(ISNA(計算結果!F739),"",計算結果!F739)=0,"",IF(ISNA(計算結果!F739),"",計算結果!F739))</f>
        <v/>
      </c>
      <c r="G739" s="10" t="str">
        <f>IF(IF(ISNA(計算結果!G739),"",計算結果!G739)=0,"",IF(ISNA(計算結果!G739),"",計算結果!G739))</f>
        <v/>
      </c>
      <c r="H739" s="13">
        <f>IF(IF(ISNA(計算結果!H739),"",計算結果!H739)=0,"",IF(ISNA(計算結果!H739),"",計算結果!H739))</f>
        <v>-2</v>
      </c>
      <c r="I739" s="12" t="str">
        <f>IF(IF(ISNA(計算結果!I739),"",計算結果!I739)=0,"",IF(ISNA(計算結果!I739),"",計算結果!I739))</f>
        <v/>
      </c>
      <c r="J739" s="12" t="str">
        <f>IF(IF(ISNA(計算結果!J739),"",計算結果!J739)=0,"",IF(ISNA(計算結果!J739),"",計算結果!J739))</f>
        <v/>
      </c>
      <c r="K739" s="23" t="str">
        <f>IF(IF(ISNA(計算結果!K739),"",計算結果!K739)=0,"",IF(ISNA(計算結果!K739),"",計算結果!K739))</f>
        <v/>
      </c>
      <c r="L739" s="13" t="str">
        <f>IF(IF(ISNA(計算結果!L739),"",計算結果!L739)=0,"",IF(ISNA(計算結果!L739),"",計算結果!L739))</f>
        <v/>
      </c>
      <c r="M739" s="10" t="str">
        <f>IF(IF(ISNA(計算結果!M739),"",計算結果!M739)=0,"",IF(ISNA(計算結果!M739),"",計算結果!M739))</f>
        <v/>
      </c>
      <c r="N739" s="10" t="str">
        <f>IF(IF(ISNA(計算結果!N739),"",計算結果!N739)=0,"",IF(ISNA(計算結果!N739),"",計算結果!N739))</f>
        <v/>
      </c>
      <c r="O739" s="13" t="str">
        <f>IF(IF(ISNA(計算結果!O739),"",計算結果!O739)=0,"",IF(ISNA(計算結果!O739),"",計算結果!O739))</f>
        <v/>
      </c>
      <c r="P739" s="10" t="str">
        <f>IF(IF(ISNA(計算結果!P739),"",計算結果!P739)=0,"",IF(ISNA(計算結果!P739),"",計算結果!P739))</f>
        <v/>
      </c>
      <c r="Q739" s="10" t="str">
        <f>IF(IF(ISNA(計算結果!Q739),"",計算結果!Q739)=0,"",IF(ISNA(計算結果!Q739),"",計算結果!Q739))</f>
        <v/>
      </c>
      <c r="R739" s="14" t="str">
        <f t="shared" si="33"/>
        <v/>
      </c>
      <c r="S739" s="14" t="str">
        <f t="shared" si="34"/>
        <v>◯</v>
      </c>
      <c r="T739" s="14" t="str">
        <f t="shared" si="35"/>
        <v/>
      </c>
    </row>
    <row r="740" spans="1:20" hidden="1" x14ac:dyDescent="0.45">
      <c r="A740" s="10" t="str">
        <f>IF(IF(ISNA(計算結果!A740),"",計算結果!A740)=0,"",IF(ISNA(計算結果!A740),"",計算結果!A740))</f>
        <v/>
      </c>
      <c r="B740" s="10" t="str">
        <f>IF(IF(ISNA(計算結果!B740),"",計算結果!B740)=0,"",IF(ISNA(計算結果!B740),"",計算結果!B740))</f>
        <v/>
      </c>
      <c r="C740" s="10" t="str">
        <f>IF(IF(ISNA(計算結果!C740),"",計算結果!C740)=0,"",IF(ISNA(計算結果!C740),"",計算結果!C740))</f>
        <v/>
      </c>
      <c r="D740" s="10" t="str">
        <f>IF(IF(ISNA(計算結果!D740),"",計算結果!D740)=0,"",IF(ISNA(計算結果!D740),"",計算結果!D740))</f>
        <v>L</v>
      </c>
      <c r="E740" s="10" t="str">
        <f>IF(IF(ISNA(計算結果!E740),"",計算結果!E740)=0,"",IF(ISNA(計算結果!E740),"",計算結果!E740))</f>
        <v/>
      </c>
      <c r="F740" s="10" t="str">
        <f>IF(IF(ISNA(計算結果!F740),"",計算結果!F740)=0,"",IF(ISNA(計算結果!F740),"",計算結果!F740))</f>
        <v/>
      </c>
      <c r="G740" s="10" t="str">
        <f>IF(IF(ISNA(計算結果!G740),"",計算結果!G740)=0,"",IF(ISNA(計算結果!G740),"",計算結果!G740))</f>
        <v/>
      </c>
      <c r="H740" s="13">
        <f>IF(IF(ISNA(計算結果!H740),"",計算結果!H740)=0,"",IF(ISNA(計算結果!H740),"",計算結果!H740))</f>
        <v>-2</v>
      </c>
      <c r="I740" s="12" t="str">
        <f>IF(IF(ISNA(計算結果!I740),"",計算結果!I740)=0,"",IF(ISNA(計算結果!I740),"",計算結果!I740))</f>
        <v/>
      </c>
      <c r="J740" s="12" t="str">
        <f>IF(IF(ISNA(計算結果!J740),"",計算結果!J740)=0,"",IF(ISNA(計算結果!J740),"",計算結果!J740))</f>
        <v/>
      </c>
      <c r="K740" s="23" t="str">
        <f>IF(IF(ISNA(計算結果!K740),"",計算結果!K740)=0,"",IF(ISNA(計算結果!K740),"",計算結果!K740))</f>
        <v/>
      </c>
      <c r="L740" s="13" t="str">
        <f>IF(IF(ISNA(計算結果!L740),"",計算結果!L740)=0,"",IF(ISNA(計算結果!L740),"",計算結果!L740))</f>
        <v/>
      </c>
      <c r="M740" s="10" t="str">
        <f>IF(IF(ISNA(計算結果!M740),"",計算結果!M740)=0,"",IF(ISNA(計算結果!M740),"",計算結果!M740))</f>
        <v/>
      </c>
      <c r="N740" s="10" t="str">
        <f>IF(IF(ISNA(計算結果!N740),"",計算結果!N740)=0,"",IF(ISNA(計算結果!N740),"",計算結果!N740))</f>
        <v/>
      </c>
      <c r="O740" s="13" t="str">
        <f>IF(IF(ISNA(計算結果!O740),"",計算結果!O740)=0,"",IF(ISNA(計算結果!O740),"",計算結果!O740))</f>
        <v/>
      </c>
      <c r="P740" s="10" t="str">
        <f>IF(IF(ISNA(計算結果!P740),"",計算結果!P740)=0,"",IF(ISNA(計算結果!P740),"",計算結果!P740))</f>
        <v/>
      </c>
      <c r="Q740" s="10" t="str">
        <f>IF(IF(ISNA(計算結果!Q740),"",計算結果!Q740)=0,"",IF(ISNA(計算結果!Q740),"",計算結果!Q740))</f>
        <v/>
      </c>
      <c r="R740" s="14" t="str">
        <f t="shared" si="33"/>
        <v/>
      </c>
      <c r="S740" s="14" t="str">
        <f t="shared" si="34"/>
        <v>◯</v>
      </c>
      <c r="T740" s="14" t="str">
        <f t="shared" si="35"/>
        <v/>
      </c>
    </row>
    <row r="741" spans="1:20" hidden="1" x14ac:dyDescent="0.45">
      <c r="A741" s="10" t="str">
        <f>IF(IF(ISNA(計算結果!A741),"",計算結果!A741)=0,"",IF(ISNA(計算結果!A741),"",計算結果!A741))</f>
        <v/>
      </c>
      <c r="B741" s="10" t="str">
        <f>IF(IF(ISNA(計算結果!B741),"",計算結果!B741)=0,"",IF(ISNA(計算結果!B741),"",計算結果!B741))</f>
        <v/>
      </c>
      <c r="C741" s="10" t="str">
        <f>IF(IF(ISNA(計算結果!C741),"",計算結果!C741)=0,"",IF(ISNA(計算結果!C741),"",計算結果!C741))</f>
        <v/>
      </c>
      <c r="D741" s="10" t="str">
        <f>IF(IF(ISNA(計算結果!D741),"",計算結果!D741)=0,"",IF(ISNA(計算結果!D741),"",計算結果!D741))</f>
        <v>L</v>
      </c>
      <c r="E741" s="10" t="str">
        <f>IF(IF(ISNA(計算結果!E741),"",計算結果!E741)=0,"",IF(ISNA(計算結果!E741),"",計算結果!E741))</f>
        <v/>
      </c>
      <c r="F741" s="10" t="str">
        <f>IF(IF(ISNA(計算結果!F741),"",計算結果!F741)=0,"",IF(ISNA(計算結果!F741),"",計算結果!F741))</f>
        <v/>
      </c>
      <c r="G741" s="10" t="str">
        <f>IF(IF(ISNA(計算結果!G741),"",計算結果!G741)=0,"",IF(ISNA(計算結果!G741),"",計算結果!G741))</f>
        <v/>
      </c>
      <c r="H741" s="13">
        <f>IF(IF(ISNA(計算結果!H741),"",計算結果!H741)=0,"",IF(ISNA(計算結果!H741),"",計算結果!H741))</f>
        <v>-2</v>
      </c>
      <c r="I741" s="12" t="str">
        <f>IF(IF(ISNA(計算結果!I741),"",計算結果!I741)=0,"",IF(ISNA(計算結果!I741),"",計算結果!I741))</f>
        <v/>
      </c>
      <c r="J741" s="12" t="str">
        <f>IF(IF(ISNA(計算結果!J741),"",計算結果!J741)=0,"",IF(ISNA(計算結果!J741),"",計算結果!J741))</f>
        <v/>
      </c>
      <c r="K741" s="23" t="str">
        <f>IF(IF(ISNA(計算結果!K741),"",計算結果!K741)=0,"",IF(ISNA(計算結果!K741),"",計算結果!K741))</f>
        <v/>
      </c>
      <c r="L741" s="13" t="str">
        <f>IF(IF(ISNA(計算結果!L741),"",計算結果!L741)=0,"",IF(ISNA(計算結果!L741),"",計算結果!L741))</f>
        <v/>
      </c>
      <c r="M741" s="10" t="str">
        <f>IF(IF(ISNA(計算結果!M741),"",計算結果!M741)=0,"",IF(ISNA(計算結果!M741),"",計算結果!M741))</f>
        <v/>
      </c>
      <c r="N741" s="10" t="str">
        <f>IF(IF(ISNA(計算結果!N741),"",計算結果!N741)=0,"",IF(ISNA(計算結果!N741),"",計算結果!N741))</f>
        <v/>
      </c>
      <c r="O741" s="13" t="str">
        <f>IF(IF(ISNA(計算結果!O741),"",計算結果!O741)=0,"",IF(ISNA(計算結果!O741),"",計算結果!O741))</f>
        <v/>
      </c>
      <c r="P741" s="10" t="str">
        <f>IF(IF(ISNA(計算結果!P741),"",計算結果!P741)=0,"",IF(ISNA(計算結果!P741),"",計算結果!P741))</f>
        <v/>
      </c>
      <c r="Q741" s="10" t="str">
        <f>IF(IF(ISNA(計算結果!Q741),"",計算結果!Q741)=0,"",IF(ISNA(計算結果!Q741),"",計算結果!Q741))</f>
        <v/>
      </c>
      <c r="R741" s="14" t="str">
        <f t="shared" si="33"/>
        <v/>
      </c>
      <c r="S741" s="14" t="str">
        <f t="shared" si="34"/>
        <v>◯</v>
      </c>
      <c r="T741" s="14" t="str">
        <f t="shared" si="35"/>
        <v/>
      </c>
    </row>
    <row r="742" spans="1:20" hidden="1" x14ac:dyDescent="0.45">
      <c r="A742" s="10" t="str">
        <f>IF(IF(ISNA(計算結果!A742),"",計算結果!A742)=0,"",IF(ISNA(計算結果!A742),"",計算結果!A742))</f>
        <v/>
      </c>
      <c r="B742" s="10" t="str">
        <f>IF(IF(ISNA(計算結果!B742),"",計算結果!B742)=0,"",IF(ISNA(計算結果!B742),"",計算結果!B742))</f>
        <v/>
      </c>
      <c r="C742" s="10" t="str">
        <f>IF(IF(ISNA(計算結果!C742),"",計算結果!C742)=0,"",IF(ISNA(計算結果!C742),"",計算結果!C742))</f>
        <v/>
      </c>
      <c r="D742" s="10" t="str">
        <f>IF(IF(ISNA(計算結果!D742),"",計算結果!D742)=0,"",IF(ISNA(計算結果!D742),"",計算結果!D742))</f>
        <v>L</v>
      </c>
      <c r="E742" s="10" t="str">
        <f>IF(IF(ISNA(計算結果!E742),"",計算結果!E742)=0,"",IF(ISNA(計算結果!E742),"",計算結果!E742))</f>
        <v/>
      </c>
      <c r="F742" s="10" t="str">
        <f>IF(IF(ISNA(計算結果!F742),"",計算結果!F742)=0,"",IF(ISNA(計算結果!F742),"",計算結果!F742))</f>
        <v/>
      </c>
      <c r="G742" s="10" t="str">
        <f>IF(IF(ISNA(計算結果!G742),"",計算結果!G742)=0,"",IF(ISNA(計算結果!G742),"",計算結果!G742))</f>
        <v/>
      </c>
      <c r="H742" s="13">
        <f>IF(IF(ISNA(計算結果!H742),"",計算結果!H742)=0,"",IF(ISNA(計算結果!H742),"",計算結果!H742))</f>
        <v>-2</v>
      </c>
      <c r="I742" s="12" t="str">
        <f>IF(IF(ISNA(計算結果!I742),"",計算結果!I742)=0,"",IF(ISNA(計算結果!I742),"",計算結果!I742))</f>
        <v/>
      </c>
      <c r="J742" s="12" t="str">
        <f>IF(IF(ISNA(計算結果!J742),"",計算結果!J742)=0,"",IF(ISNA(計算結果!J742),"",計算結果!J742))</f>
        <v/>
      </c>
      <c r="K742" s="23" t="str">
        <f>IF(IF(ISNA(計算結果!K742),"",計算結果!K742)=0,"",IF(ISNA(計算結果!K742),"",計算結果!K742))</f>
        <v/>
      </c>
      <c r="L742" s="13" t="str">
        <f>IF(IF(ISNA(計算結果!L742),"",計算結果!L742)=0,"",IF(ISNA(計算結果!L742),"",計算結果!L742))</f>
        <v/>
      </c>
      <c r="M742" s="10" t="str">
        <f>IF(IF(ISNA(計算結果!M742),"",計算結果!M742)=0,"",IF(ISNA(計算結果!M742),"",計算結果!M742))</f>
        <v/>
      </c>
      <c r="N742" s="10" t="str">
        <f>IF(IF(ISNA(計算結果!N742),"",計算結果!N742)=0,"",IF(ISNA(計算結果!N742),"",計算結果!N742))</f>
        <v/>
      </c>
      <c r="O742" s="13" t="str">
        <f>IF(IF(ISNA(計算結果!O742),"",計算結果!O742)=0,"",IF(ISNA(計算結果!O742),"",計算結果!O742))</f>
        <v/>
      </c>
      <c r="P742" s="10" t="str">
        <f>IF(IF(ISNA(計算結果!P742),"",計算結果!P742)=0,"",IF(ISNA(計算結果!P742),"",計算結果!P742))</f>
        <v/>
      </c>
      <c r="Q742" s="10" t="str">
        <f>IF(IF(ISNA(計算結果!Q742),"",計算結果!Q742)=0,"",IF(ISNA(計算結果!Q742),"",計算結果!Q742))</f>
        <v/>
      </c>
      <c r="R742" s="14" t="str">
        <f t="shared" si="33"/>
        <v/>
      </c>
      <c r="S742" s="14" t="str">
        <f t="shared" si="34"/>
        <v>◯</v>
      </c>
      <c r="T742" s="14" t="str">
        <f t="shared" si="35"/>
        <v/>
      </c>
    </row>
    <row r="743" spans="1:20" hidden="1" x14ac:dyDescent="0.45">
      <c r="A743" s="10" t="str">
        <f>IF(IF(ISNA(計算結果!A743),"",計算結果!A743)=0,"",IF(ISNA(計算結果!A743),"",計算結果!A743))</f>
        <v/>
      </c>
      <c r="B743" s="10" t="str">
        <f>IF(IF(ISNA(計算結果!B743),"",計算結果!B743)=0,"",IF(ISNA(計算結果!B743),"",計算結果!B743))</f>
        <v/>
      </c>
      <c r="C743" s="10" t="str">
        <f>IF(IF(ISNA(計算結果!C743),"",計算結果!C743)=0,"",IF(ISNA(計算結果!C743),"",計算結果!C743))</f>
        <v/>
      </c>
      <c r="D743" s="10" t="str">
        <f>IF(IF(ISNA(計算結果!D743),"",計算結果!D743)=0,"",IF(ISNA(計算結果!D743),"",計算結果!D743))</f>
        <v>L</v>
      </c>
      <c r="E743" s="10" t="str">
        <f>IF(IF(ISNA(計算結果!E743),"",計算結果!E743)=0,"",IF(ISNA(計算結果!E743),"",計算結果!E743))</f>
        <v/>
      </c>
      <c r="F743" s="10" t="str">
        <f>IF(IF(ISNA(計算結果!F743),"",計算結果!F743)=0,"",IF(ISNA(計算結果!F743),"",計算結果!F743))</f>
        <v/>
      </c>
      <c r="G743" s="10" t="str">
        <f>IF(IF(ISNA(計算結果!G743),"",計算結果!G743)=0,"",IF(ISNA(計算結果!G743),"",計算結果!G743))</f>
        <v/>
      </c>
      <c r="H743" s="13">
        <f>IF(IF(ISNA(計算結果!H743),"",計算結果!H743)=0,"",IF(ISNA(計算結果!H743),"",計算結果!H743))</f>
        <v>-2</v>
      </c>
      <c r="I743" s="12" t="str">
        <f>IF(IF(ISNA(計算結果!I743),"",計算結果!I743)=0,"",IF(ISNA(計算結果!I743),"",計算結果!I743))</f>
        <v/>
      </c>
      <c r="J743" s="12" t="str">
        <f>IF(IF(ISNA(計算結果!J743),"",計算結果!J743)=0,"",IF(ISNA(計算結果!J743),"",計算結果!J743))</f>
        <v/>
      </c>
      <c r="K743" s="23" t="str">
        <f>IF(IF(ISNA(計算結果!K743),"",計算結果!K743)=0,"",IF(ISNA(計算結果!K743),"",計算結果!K743))</f>
        <v/>
      </c>
      <c r="L743" s="13" t="str">
        <f>IF(IF(ISNA(計算結果!L743),"",計算結果!L743)=0,"",IF(ISNA(計算結果!L743),"",計算結果!L743))</f>
        <v/>
      </c>
      <c r="M743" s="10" t="str">
        <f>IF(IF(ISNA(計算結果!M743),"",計算結果!M743)=0,"",IF(ISNA(計算結果!M743),"",計算結果!M743))</f>
        <v/>
      </c>
      <c r="N743" s="10" t="str">
        <f>IF(IF(ISNA(計算結果!N743),"",計算結果!N743)=0,"",IF(ISNA(計算結果!N743),"",計算結果!N743))</f>
        <v/>
      </c>
      <c r="O743" s="13" t="str">
        <f>IF(IF(ISNA(計算結果!O743),"",計算結果!O743)=0,"",IF(ISNA(計算結果!O743),"",計算結果!O743))</f>
        <v/>
      </c>
      <c r="P743" s="10" t="str">
        <f>IF(IF(ISNA(計算結果!P743),"",計算結果!P743)=0,"",IF(ISNA(計算結果!P743),"",計算結果!P743))</f>
        <v/>
      </c>
      <c r="Q743" s="10" t="str">
        <f>IF(IF(ISNA(計算結果!Q743),"",計算結果!Q743)=0,"",IF(ISNA(計算結果!Q743),"",計算結果!Q743))</f>
        <v/>
      </c>
      <c r="R743" s="14" t="str">
        <f t="shared" si="33"/>
        <v/>
      </c>
      <c r="S743" s="14" t="str">
        <f t="shared" si="34"/>
        <v>◯</v>
      </c>
      <c r="T743" s="14" t="str">
        <f t="shared" si="35"/>
        <v/>
      </c>
    </row>
    <row r="744" spans="1:20" hidden="1" x14ac:dyDescent="0.45">
      <c r="A744" s="10" t="str">
        <f>IF(IF(ISNA(計算結果!A744),"",計算結果!A744)=0,"",IF(ISNA(計算結果!A744),"",計算結果!A744))</f>
        <v/>
      </c>
      <c r="B744" s="10" t="str">
        <f>IF(IF(ISNA(計算結果!B744),"",計算結果!B744)=0,"",IF(ISNA(計算結果!B744),"",計算結果!B744))</f>
        <v/>
      </c>
      <c r="C744" s="10" t="str">
        <f>IF(IF(ISNA(計算結果!C744),"",計算結果!C744)=0,"",IF(ISNA(計算結果!C744),"",計算結果!C744))</f>
        <v/>
      </c>
      <c r="D744" s="10" t="str">
        <f>IF(IF(ISNA(計算結果!D744),"",計算結果!D744)=0,"",IF(ISNA(計算結果!D744),"",計算結果!D744))</f>
        <v>L</v>
      </c>
      <c r="E744" s="10" t="str">
        <f>IF(IF(ISNA(計算結果!E744),"",計算結果!E744)=0,"",IF(ISNA(計算結果!E744),"",計算結果!E744))</f>
        <v/>
      </c>
      <c r="F744" s="10" t="str">
        <f>IF(IF(ISNA(計算結果!F744),"",計算結果!F744)=0,"",IF(ISNA(計算結果!F744),"",計算結果!F744))</f>
        <v/>
      </c>
      <c r="G744" s="10" t="str">
        <f>IF(IF(ISNA(計算結果!G744),"",計算結果!G744)=0,"",IF(ISNA(計算結果!G744),"",計算結果!G744))</f>
        <v/>
      </c>
      <c r="H744" s="13">
        <f>IF(IF(ISNA(計算結果!H744),"",計算結果!H744)=0,"",IF(ISNA(計算結果!H744),"",計算結果!H744))</f>
        <v>-2</v>
      </c>
      <c r="I744" s="12" t="str">
        <f>IF(IF(ISNA(計算結果!I744),"",計算結果!I744)=0,"",IF(ISNA(計算結果!I744),"",計算結果!I744))</f>
        <v/>
      </c>
      <c r="J744" s="12" t="str">
        <f>IF(IF(ISNA(計算結果!J744),"",計算結果!J744)=0,"",IF(ISNA(計算結果!J744),"",計算結果!J744))</f>
        <v/>
      </c>
      <c r="K744" s="23" t="str">
        <f>IF(IF(ISNA(計算結果!K744),"",計算結果!K744)=0,"",IF(ISNA(計算結果!K744),"",計算結果!K744))</f>
        <v/>
      </c>
      <c r="L744" s="13" t="str">
        <f>IF(IF(ISNA(計算結果!L744),"",計算結果!L744)=0,"",IF(ISNA(計算結果!L744),"",計算結果!L744))</f>
        <v/>
      </c>
      <c r="M744" s="10" t="str">
        <f>IF(IF(ISNA(計算結果!M744),"",計算結果!M744)=0,"",IF(ISNA(計算結果!M744),"",計算結果!M744))</f>
        <v/>
      </c>
      <c r="N744" s="10" t="str">
        <f>IF(IF(ISNA(計算結果!N744),"",計算結果!N744)=0,"",IF(ISNA(計算結果!N744),"",計算結果!N744))</f>
        <v/>
      </c>
      <c r="O744" s="13" t="str">
        <f>IF(IF(ISNA(計算結果!O744),"",計算結果!O744)=0,"",IF(ISNA(計算結果!O744),"",計算結果!O744))</f>
        <v/>
      </c>
      <c r="P744" s="10" t="str">
        <f>IF(IF(ISNA(計算結果!P744),"",計算結果!P744)=0,"",IF(ISNA(計算結果!P744),"",計算結果!P744))</f>
        <v/>
      </c>
      <c r="Q744" s="10" t="str">
        <f>IF(IF(ISNA(計算結果!Q744),"",計算結果!Q744)=0,"",IF(ISNA(計算結果!Q744),"",計算結果!Q744))</f>
        <v/>
      </c>
      <c r="R744" s="14" t="str">
        <f t="shared" si="33"/>
        <v/>
      </c>
      <c r="S744" s="14" t="str">
        <f t="shared" si="34"/>
        <v>◯</v>
      </c>
      <c r="T744" s="14" t="str">
        <f t="shared" si="35"/>
        <v/>
      </c>
    </row>
    <row r="745" spans="1:20" hidden="1" x14ac:dyDescent="0.45">
      <c r="A745" s="10" t="str">
        <f>IF(IF(ISNA(計算結果!A745),"",計算結果!A745)=0,"",IF(ISNA(計算結果!A745),"",計算結果!A745))</f>
        <v/>
      </c>
      <c r="B745" s="10" t="str">
        <f>IF(IF(ISNA(計算結果!B745),"",計算結果!B745)=0,"",IF(ISNA(計算結果!B745),"",計算結果!B745))</f>
        <v/>
      </c>
      <c r="C745" s="10" t="str">
        <f>IF(IF(ISNA(計算結果!C745),"",計算結果!C745)=0,"",IF(ISNA(計算結果!C745),"",計算結果!C745))</f>
        <v/>
      </c>
      <c r="D745" s="10" t="str">
        <f>IF(IF(ISNA(計算結果!D745),"",計算結果!D745)=0,"",IF(ISNA(計算結果!D745),"",計算結果!D745))</f>
        <v>L</v>
      </c>
      <c r="E745" s="10" t="str">
        <f>IF(IF(ISNA(計算結果!E745),"",計算結果!E745)=0,"",IF(ISNA(計算結果!E745),"",計算結果!E745))</f>
        <v/>
      </c>
      <c r="F745" s="10" t="str">
        <f>IF(IF(ISNA(計算結果!F745),"",計算結果!F745)=0,"",IF(ISNA(計算結果!F745),"",計算結果!F745))</f>
        <v/>
      </c>
      <c r="G745" s="10" t="str">
        <f>IF(IF(ISNA(計算結果!G745),"",計算結果!G745)=0,"",IF(ISNA(計算結果!G745),"",計算結果!G745))</f>
        <v/>
      </c>
      <c r="H745" s="13">
        <f>IF(IF(ISNA(計算結果!H745),"",計算結果!H745)=0,"",IF(ISNA(計算結果!H745),"",計算結果!H745))</f>
        <v>-2</v>
      </c>
      <c r="I745" s="12" t="str">
        <f>IF(IF(ISNA(計算結果!I745),"",計算結果!I745)=0,"",IF(ISNA(計算結果!I745),"",計算結果!I745))</f>
        <v/>
      </c>
      <c r="J745" s="12" t="str">
        <f>IF(IF(ISNA(計算結果!J745),"",計算結果!J745)=0,"",IF(ISNA(計算結果!J745),"",計算結果!J745))</f>
        <v/>
      </c>
      <c r="K745" s="23" t="str">
        <f>IF(IF(ISNA(計算結果!K745),"",計算結果!K745)=0,"",IF(ISNA(計算結果!K745),"",計算結果!K745))</f>
        <v/>
      </c>
      <c r="L745" s="13" t="str">
        <f>IF(IF(ISNA(計算結果!L745),"",計算結果!L745)=0,"",IF(ISNA(計算結果!L745),"",計算結果!L745))</f>
        <v/>
      </c>
      <c r="M745" s="10" t="str">
        <f>IF(IF(ISNA(計算結果!M745),"",計算結果!M745)=0,"",IF(ISNA(計算結果!M745),"",計算結果!M745))</f>
        <v/>
      </c>
      <c r="N745" s="10" t="str">
        <f>IF(IF(ISNA(計算結果!N745),"",計算結果!N745)=0,"",IF(ISNA(計算結果!N745),"",計算結果!N745))</f>
        <v/>
      </c>
      <c r="O745" s="13" t="str">
        <f>IF(IF(ISNA(計算結果!O745),"",計算結果!O745)=0,"",IF(ISNA(計算結果!O745),"",計算結果!O745))</f>
        <v/>
      </c>
      <c r="P745" s="10" t="str">
        <f>IF(IF(ISNA(計算結果!P745),"",計算結果!P745)=0,"",IF(ISNA(計算結果!P745),"",計算結果!P745))</f>
        <v/>
      </c>
      <c r="Q745" s="10" t="str">
        <f>IF(IF(ISNA(計算結果!Q745),"",計算結果!Q745)=0,"",IF(ISNA(計算結果!Q745),"",計算結果!Q745))</f>
        <v/>
      </c>
      <c r="R745" s="14" t="str">
        <f t="shared" si="33"/>
        <v/>
      </c>
      <c r="S745" s="14" t="str">
        <f t="shared" si="34"/>
        <v>◯</v>
      </c>
      <c r="T745" s="14" t="str">
        <f t="shared" si="35"/>
        <v/>
      </c>
    </row>
    <row r="746" spans="1:20" hidden="1" x14ac:dyDescent="0.45">
      <c r="A746" s="10" t="str">
        <f>IF(IF(ISNA(計算結果!A746),"",計算結果!A746)=0,"",IF(ISNA(計算結果!A746),"",計算結果!A746))</f>
        <v/>
      </c>
      <c r="B746" s="10" t="str">
        <f>IF(IF(ISNA(計算結果!B746),"",計算結果!B746)=0,"",IF(ISNA(計算結果!B746),"",計算結果!B746))</f>
        <v/>
      </c>
      <c r="C746" s="10" t="str">
        <f>IF(IF(ISNA(計算結果!C746),"",計算結果!C746)=0,"",IF(ISNA(計算結果!C746),"",計算結果!C746))</f>
        <v/>
      </c>
      <c r="D746" s="10" t="str">
        <f>IF(IF(ISNA(計算結果!D746),"",計算結果!D746)=0,"",IF(ISNA(計算結果!D746),"",計算結果!D746))</f>
        <v>L</v>
      </c>
      <c r="E746" s="10" t="str">
        <f>IF(IF(ISNA(計算結果!E746),"",計算結果!E746)=0,"",IF(ISNA(計算結果!E746),"",計算結果!E746))</f>
        <v/>
      </c>
      <c r="F746" s="10" t="str">
        <f>IF(IF(ISNA(計算結果!F746),"",計算結果!F746)=0,"",IF(ISNA(計算結果!F746),"",計算結果!F746))</f>
        <v/>
      </c>
      <c r="G746" s="10" t="str">
        <f>IF(IF(ISNA(計算結果!G746),"",計算結果!G746)=0,"",IF(ISNA(計算結果!G746),"",計算結果!G746))</f>
        <v/>
      </c>
      <c r="H746" s="13">
        <f>IF(IF(ISNA(計算結果!H746),"",計算結果!H746)=0,"",IF(ISNA(計算結果!H746),"",計算結果!H746))</f>
        <v>-2</v>
      </c>
      <c r="I746" s="12" t="str">
        <f>IF(IF(ISNA(計算結果!I746),"",計算結果!I746)=0,"",IF(ISNA(計算結果!I746),"",計算結果!I746))</f>
        <v/>
      </c>
      <c r="J746" s="12" t="str">
        <f>IF(IF(ISNA(計算結果!J746),"",計算結果!J746)=0,"",IF(ISNA(計算結果!J746),"",計算結果!J746))</f>
        <v/>
      </c>
      <c r="K746" s="23" t="str">
        <f>IF(IF(ISNA(計算結果!K746),"",計算結果!K746)=0,"",IF(ISNA(計算結果!K746),"",計算結果!K746))</f>
        <v/>
      </c>
      <c r="L746" s="13" t="str">
        <f>IF(IF(ISNA(計算結果!L746),"",計算結果!L746)=0,"",IF(ISNA(計算結果!L746),"",計算結果!L746))</f>
        <v/>
      </c>
      <c r="M746" s="10" t="str">
        <f>IF(IF(ISNA(計算結果!M746),"",計算結果!M746)=0,"",IF(ISNA(計算結果!M746),"",計算結果!M746))</f>
        <v/>
      </c>
      <c r="N746" s="10" t="str">
        <f>IF(IF(ISNA(計算結果!N746),"",計算結果!N746)=0,"",IF(ISNA(計算結果!N746),"",計算結果!N746))</f>
        <v/>
      </c>
      <c r="O746" s="13" t="str">
        <f>IF(IF(ISNA(計算結果!O746),"",計算結果!O746)=0,"",IF(ISNA(計算結果!O746),"",計算結果!O746))</f>
        <v/>
      </c>
      <c r="P746" s="10" t="str">
        <f>IF(IF(ISNA(計算結果!P746),"",計算結果!P746)=0,"",IF(ISNA(計算結果!P746),"",計算結果!P746))</f>
        <v/>
      </c>
      <c r="Q746" s="10" t="str">
        <f>IF(IF(ISNA(計算結果!Q746),"",計算結果!Q746)=0,"",IF(ISNA(計算結果!Q746),"",計算結果!Q746))</f>
        <v/>
      </c>
      <c r="R746" s="14" t="str">
        <f t="shared" si="33"/>
        <v/>
      </c>
      <c r="S746" s="14" t="str">
        <f t="shared" si="34"/>
        <v>◯</v>
      </c>
      <c r="T746" s="14" t="str">
        <f t="shared" si="35"/>
        <v/>
      </c>
    </row>
    <row r="747" spans="1:20" hidden="1" x14ac:dyDescent="0.45">
      <c r="A747" s="10" t="str">
        <f>IF(IF(ISNA(計算結果!A747),"",計算結果!A747)=0,"",IF(ISNA(計算結果!A747),"",計算結果!A747))</f>
        <v/>
      </c>
      <c r="B747" s="10" t="str">
        <f>IF(IF(ISNA(計算結果!B747),"",計算結果!B747)=0,"",IF(ISNA(計算結果!B747),"",計算結果!B747))</f>
        <v/>
      </c>
      <c r="C747" s="10" t="str">
        <f>IF(IF(ISNA(計算結果!C747),"",計算結果!C747)=0,"",IF(ISNA(計算結果!C747),"",計算結果!C747))</f>
        <v/>
      </c>
      <c r="D747" s="10" t="str">
        <f>IF(IF(ISNA(計算結果!D747),"",計算結果!D747)=0,"",IF(ISNA(計算結果!D747),"",計算結果!D747))</f>
        <v>L</v>
      </c>
      <c r="E747" s="10" t="str">
        <f>IF(IF(ISNA(計算結果!E747),"",計算結果!E747)=0,"",IF(ISNA(計算結果!E747),"",計算結果!E747))</f>
        <v/>
      </c>
      <c r="F747" s="10" t="str">
        <f>IF(IF(ISNA(計算結果!F747),"",計算結果!F747)=0,"",IF(ISNA(計算結果!F747),"",計算結果!F747))</f>
        <v/>
      </c>
      <c r="G747" s="10" t="str">
        <f>IF(IF(ISNA(計算結果!G747),"",計算結果!G747)=0,"",IF(ISNA(計算結果!G747),"",計算結果!G747))</f>
        <v/>
      </c>
      <c r="H747" s="13">
        <f>IF(IF(ISNA(計算結果!H747),"",計算結果!H747)=0,"",IF(ISNA(計算結果!H747),"",計算結果!H747))</f>
        <v>-2</v>
      </c>
      <c r="I747" s="12" t="str">
        <f>IF(IF(ISNA(計算結果!I747),"",計算結果!I747)=0,"",IF(ISNA(計算結果!I747),"",計算結果!I747))</f>
        <v/>
      </c>
      <c r="J747" s="12" t="str">
        <f>IF(IF(ISNA(計算結果!J747),"",計算結果!J747)=0,"",IF(ISNA(計算結果!J747),"",計算結果!J747))</f>
        <v/>
      </c>
      <c r="K747" s="23" t="str">
        <f>IF(IF(ISNA(計算結果!K747),"",計算結果!K747)=0,"",IF(ISNA(計算結果!K747),"",計算結果!K747))</f>
        <v/>
      </c>
      <c r="L747" s="13" t="str">
        <f>IF(IF(ISNA(計算結果!L747),"",計算結果!L747)=0,"",IF(ISNA(計算結果!L747),"",計算結果!L747))</f>
        <v/>
      </c>
      <c r="M747" s="10" t="str">
        <f>IF(IF(ISNA(計算結果!M747),"",計算結果!M747)=0,"",IF(ISNA(計算結果!M747),"",計算結果!M747))</f>
        <v/>
      </c>
      <c r="N747" s="10" t="str">
        <f>IF(IF(ISNA(計算結果!N747),"",計算結果!N747)=0,"",IF(ISNA(計算結果!N747),"",計算結果!N747))</f>
        <v/>
      </c>
      <c r="O747" s="13" t="str">
        <f>IF(IF(ISNA(計算結果!O747),"",計算結果!O747)=0,"",IF(ISNA(計算結果!O747),"",計算結果!O747))</f>
        <v/>
      </c>
      <c r="P747" s="10" t="str">
        <f>IF(IF(ISNA(計算結果!P747),"",計算結果!P747)=0,"",IF(ISNA(計算結果!P747),"",計算結果!P747))</f>
        <v/>
      </c>
      <c r="Q747" s="10" t="str">
        <f>IF(IF(ISNA(計算結果!Q747),"",計算結果!Q747)=0,"",IF(ISNA(計算結果!Q747),"",計算結果!Q747))</f>
        <v/>
      </c>
      <c r="R747" s="14" t="str">
        <f t="shared" si="33"/>
        <v/>
      </c>
      <c r="S747" s="14" t="str">
        <f t="shared" si="34"/>
        <v>◯</v>
      </c>
      <c r="T747" s="14" t="str">
        <f t="shared" si="35"/>
        <v/>
      </c>
    </row>
    <row r="748" spans="1:20" hidden="1" x14ac:dyDescent="0.45">
      <c r="A748" s="10" t="str">
        <f>IF(IF(ISNA(計算結果!A748),"",計算結果!A748)=0,"",IF(ISNA(計算結果!A748),"",計算結果!A748))</f>
        <v/>
      </c>
      <c r="B748" s="10" t="str">
        <f>IF(IF(ISNA(計算結果!B748),"",計算結果!B748)=0,"",IF(ISNA(計算結果!B748),"",計算結果!B748))</f>
        <v/>
      </c>
      <c r="C748" s="10" t="str">
        <f>IF(IF(ISNA(計算結果!C748),"",計算結果!C748)=0,"",IF(ISNA(計算結果!C748),"",計算結果!C748))</f>
        <v/>
      </c>
      <c r="D748" s="10" t="str">
        <f>IF(IF(ISNA(計算結果!D748),"",計算結果!D748)=0,"",IF(ISNA(計算結果!D748),"",計算結果!D748))</f>
        <v>L</v>
      </c>
      <c r="E748" s="10" t="str">
        <f>IF(IF(ISNA(計算結果!E748),"",計算結果!E748)=0,"",IF(ISNA(計算結果!E748),"",計算結果!E748))</f>
        <v/>
      </c>
      <c r="F748" s="10" t="str">
        <f>IF(IF(ISNA(計算結果!F748),"",計算結果!F748)=0,"",IF(ISNA(計算結果!F748),"",計算結果!F748))</f>
        <v/>
      </c>
      <c r="G748" s="10" t="str">
        <f>IF(IF(ISNA(計算結果!G748),"",計算結果!G748)=0,"",IF(ISNA(計算結果!G748),"",計算結果!G748))</f>
        <v/>
      </c>
      <c r="H748" s="13">
        <f>IF(IF(ISNA(計算結果!H748),"",計算結果!H748)=0,"",IF(ISNA(計算結果!H748),"",計算結果!H748))</f>
        <v>-2</v>
      </c>
      <c r="I748" s="12" t="str">
        <f>IF(IF(ISNA(計算結果!I748),"",計算結果!I748)=0,"",IF(ISNA(計算結果!I748),"",計算結果!I748))</f>
        <v/>
      </c>
      <c r="J748" s="12" t="str">
        <f>IF(IF(ISNA(計算結果!J748),"",計算結果!J748)=0,"",IF(ISNA(計算結果!J748),"",計算結果!J748))</f>
        <v/>
      </c>
      <c r="K748" s="23" t="str">
        <f>IF(IF(ISNA(計算結果!K748),"",計算結果!K748)=0,"",IF(ISNA(計算結果!K748),"",計算結果!K748))</f>
        <v/>
      </c>
      <c r="L748" s="13" t="str">
        <f>IF(IF(ISNA(計算結果!L748),"",計算結果!L748)=0,"",IF(ISNA(計算結果!L748),"",計算結果!L748))</f>
        <v/>
      </c>
      <c r="M748" s="10" t="str">
        <f>IF(IF(ISNA(計算結果!M748),"",計算結果!M748)=0,"",IF(ISNA(計算結果!M748),"",計算結果!M748))</f>
        <v/>
      </c>
      <c r="N748" s="10" t="str">
        <f>IF(IF(ISNA(計算結果!N748),"",計算結果!N748)=0,"",IF(ISNA(計算結果!N748),"",計算結果!N748))</f>
        <v/>
      </c>
      <c r="O748" s="13" t="str">
        <f>IF(IF(ISNA(計算結果!O748),"",計算結果!O748)=0,"",IF(ISNA(計算結果!O748),"",計算結果!O748))</f>
        <v/>
      </c>
      <c r="P748" s="10" t="str">
        <f>IF(IF(ISNA(計算結果!P748),"",計算結果!P748)=0,"",IF(ISNA(計算結果!P748),"",計算結果!P748))</f>
        <v/>
      </c>
      <c r="Q748" s="10" t="str">
        <f>IF(IF(ISNA(計算結果!Q748),"",計算結果!Q748)=0,"",IF(ISNA(計算結果!Q748),"",計算結果!Q748))</f>
        <v/>
      </c>
      <c r="R748" s="14" t="str">
        <f t="shared" si="33"/>
        <v/>
      </c>
      <c r="S748" s="14" t="str">
        <f t="shared" si="34"/>
        <v>◯</v>
      </c>
      <c r="T748" s="14" t="str">
        <f t="shared" si="35"/>
        <v/>
      </c>
    </row>
    <row r="749" spans="1:20" hidden="1" x14ac:dyDescent="0.45">
      <c r="A749" s="10" t="str">
        <f>IF(IF(ISNA(計算結果!A749),"",計算結果!A749)=0,"",IF(ISNA(計算結果!A749),"",計算結果!A749))</f>
        <v/>
      </c>
      <c r="B749" s="10" t="str">
        <f>IF(IF(ISNA(計算結果!B749),"",計算結果!B749)=0,"",IF(ISNA(計算結果!B749),"",計算結果!B749))</f>
        <v/>
      </c>
      <c r="C749" s="10" t="str">
        <f>IF(IF(ISNA(計算結果!C749),"",計算結果!C749)=0,"",IF(ISNA(計算結果!C749),"",計算結果!C749))</f>
        <v/>
      </c>
      <c r="D749" s="10" t="str">
        <f>IF(IF(ISNA(計算結果!D749),"",計算結果!D749)=0,"",IF(ISNA(計算結果!D749),"",計算結果!D749))</f>
        <v>L</v>
      </c>
      <c r="E749" s="10" t="str">
        <f>IF(IF(ISNA(計算結果!E749),"",計算結果!E749)=0,"",IF(ISNA(計算結果!E749),"",計算結果!E749))</f>
        <v/>
      </c>
      <c r="F749" s="10" t="str">
        <f>IF(IF(ISNA(計算結果!F749),"",計算結果!F749)=0,"",IF(ISNA(計算結果!F749),"",計算結果!F749))</f>
        <v/>
      </c>
      <c r="G749" s="10" t="str">
        <f>IF(IF(ISNA(計算結果!G749),"",計算結果!G749)=0,"",IF(ISNA(計算結果!G749),"",計算結果!G749))</f>
        <v/>
      </c>
      <c r="H749" s="13">
        <f>IF(IF(ISNA(計算結果!H749),"",計算結果!H749)=0,"",IF(ISNA(計算結果!H749),"",計算結果!H749))</f>
        <v>-2</v>
      </c>
      <c r="I749" s="12" t="str">
        <f>IF(IF(ISNA(計算結果!I749),"",計算結果!I749)=0,"",IF(ISNA(計算結果!I749),"",計算結果!I749))</f>
        <v/>
      </c>
      <c r="J749" s="12" t="str">
        <f>IF(IF(ISNA(計算結果!J749),"",計算結果!J749)=0,"",IF(ISNA(計算結果!J749),"",計算結果!J749))</f>
        <v/>
      </c>
      <c r="K749" s="23" t="str">
        <f>IF(IF(ISNA(計算結果!K749),"",計算結果!K749)=0,"",IF(ISNA(計算結果!K749),"",計算結果!K749))</f>
        <v/>
      </c>
      <c r="L749" s="13" t="str">
        <f>IF(IF(ISNA(計算結果!L749),"",計算結果!L749)=0,"",IF(ISNA(計算結果!L749),"",計算結果!L749))</f>
        <v/>
      </c>
      <c r="M749" s="10" t="str">
        <f>IF(IF(ISNA(計算結果!M749),"",計算結果!M749)=0,"",IF(ISNA(計算結果!M749),"",計算結果!M749))</f>
        <v/>
      </c>
      <c r="N749" s="10" t="str">
        <f>IF(IF(ISNA(計算結果!N749),"",計算結果!N749)=0,"",IF(ISNA(計算結果!N749),"",計算結果!N749))</f>
        <v/>
      </c>
      <c r="O749" s="13" t="str">
        <f>IF(IF(ISNA(計算結果!O749),"",計算結果!O749)=0,"",IF(ISNA(計算結果!O749),"",計算結果!O749))</f>
        <v/>
      </c>
      <c r="P749" s="10" t="str">
        <f>IF(IF(ISNA(計算結果!P749),"",計算結果!P749)=0,"",IF(ISNA(計算結果!P749),"",計算結果!P749))</f>
        <v/>
      </c>
      <c r="Q749" s="10" t="str">
        <f>IF(IF(ISNA(計算結果!Q749),"",計算結果!Q749)=0,"",IF(ISNA(計算結果!Q749),"",計算結果!Q749))</f>
        <v/>
      </c>
      <c r="R749" s="14" t="str">
        <f t="shared" si="33"/>
        <v/>
      </c>
      <c r="S749" s="14" t="str">
        <f t="shared" si="34"/>
        <v>◯</v>
      </c>
      <c r="T749" s="14" t="str">
        <f t="shared" si="35"/>
        <v/>
      </c>
    </row>
    <row r="750" spans="1:20" hidden="1" x14ac:dyDescent="0.45">
      <c r="A750" s="10" t="str">
        <f>IF(IF(ISNA(計算結果!A750),"",計算結果!A750)=0,"",IF(ISNA(計算結果!A750),"",計算結果!A750))</f>
        <v/>
      </c>
      <c r="B750" s="10" t="str">
        <f>IF(IF(ISNA(計算結果!B750),"",計算結果!B750)=0,"",IF(ISNA(計算結果!B750),"",計算結果!B750))</f>
        <v/>
      </c>
      <c r="C750" s="10" t="str">
        <f>IF(IF(ISNA(計算結果!C750),"",計算結果!C750)=0,"",IF(ISNA(計算結果!C750),"",計算結果!C750))</f>
        <v/>
      </c>
      <c r="D750" s="10" t="str">
        <f>IF(IF(ISNA(計算結果!D750),"",計算結果!D750)=0,"",IF(ISNA(計算結果!D750),"",計算結果!D750))</f>
        <v>L</v>
      </c>
      <c r="E750" s="10" t="str">
        <f>IF(IF(ISNA(計算結果!E750),"",計算結果!E750)=0,"",IF(ISNA(計算結果!E750),"",計算結果!E750))</f>
        <v/>
      </c>
      <c r="F750" s="10" t="str">
        <f>IF(IF(ISNA(計算結果!F750),"",計算結果!F750)=0,"",IF(ISNA(計算結果!F750),"",計算結果!F750))</f>
        <v/>
      </c>
      <c r="G750" s="10" t="str">
        <f>IF(IF(ISNA(計算結果!G750),"",計算結果!G750)=0,"",IF(ISNA(計算結果!G750),"",計算結果!G750))</f>
        <v/>
      </c>
      <c r="H750" s="13">
        <f>IF(IF(ISNA(計算結果!H750),"",計算結果!H750)=0,"",IF(ISNA(計算結果!H750),"",計算結果!H750))</f>
        <v>-2</v>
      </c>
      <c r="I750" s="12" t="str">
        <f>IF(IF(ISNA(計算結果!I750),"",計算結果!I750)=0,"",IF(ISNA(計算結果!I750),"",計算結果!I750))</f>
        <v/>
      </c>
      <c r="J750" s="12" t="str">
        <f>IF(IF(ISNA(計算結果!J750),"",計算結果!J750)=0,"",IF(ISNA(計算結果!J750),"",計算結果!J750))</f>
        <v/>
      </c>
      <c r="K750" s="23" t="str">
        <f>IF(IF(ISNA(計算結果!K750),"",計算結果!K750)=0,"",IF(ISNA(計算結果!K750),"",計算結果!K750))</f>
        <v/>
      </c>
      <c r="L750" s="13" t="str">
        <f>IF(IF(ISNA(計算結果!L750),"",計算結果!L750)=0,"",IF(ISNA(計算結果!L750),"",計算結果!L750))</f>
        <v/>
      </c>
      <c r="M750" s="10" t="str">
        <f>IF(IF(ISNA(計算結果!M750),"",計算結果!M750)=0,"",IF(ISNA(計算結果!M750),"",計算結果!M750))</f>
        <v/>
      </c>
      <c r="N750" s="10" t="str">
        <f>IF(IF(ISNA(計算結果!N750),"",計算結果!N750)=0,"",IF(ISNA(計算結果!N750),"",計算結果!N750))</f>
        <v/>
      </c>
      <c r="O750" s="13" t="str">
        <f>IF(IF(ISNA(計算結果!O750),"",計算結果!O750)=0,"",IF(ISNA(計算結果!O750),"",計算結果!O750))</f>
        <v/>
      </c>
      <c r="P750" s="10" t="str">
        <f>IF(IF(ISNA(計算結果!P750),"",計算結果!P750)=0,"",IF(ISNA(計算結果!P750),"",計算結果!P750))</f>
        <v/>
      </c>
      <c r="Q750" s="10" t="str">
        <f>IF(IF(ISNA(計算結果!Q750),"",計算結果!Q750)=0,"",IF(ISNA(計算結果!Q750),"",計算結果!Q750))</f>
        <v/>
      </c>
      <c r="R750" s="14" t="str">
        <f t="shared" si="33"/>
        <v/>
      </c>
      <c r="S750" s="14" t="str">
        <f t="shared" si="34"/>
        <v>◯</v>
      </c>
      <c r="T750" s="14" t="str">
        <f t="shared" si="35"/>
        <v/>
      </c>
    </row>
    <row r="751" spans="1:20" hidden="1" x14ac:dyDescent="0.45">
      <c r="A751" s="10" t="str">
        <f>IF(IF(ISNA(計算結果!A751),"",計算結果!A751)=0,"",IF(ISNA(計算結果!A751),"",計算結果!A751))</f>
        <v/>
      </c>
      <c r="B751" s="10" t="str">
        <f>IF(IF(ISNA(計算結果!B751),"",計算結果!B751)=0,"",IF(ISNA(計算結果!B751),"",計算結果!B751))</f>
        <v/>
      </c>
      <c r="C751" s="10" t="str">
        <f>IF(IF(ISNA(計算結果!C751),"",計算結果!C751)=0,"",IF(ISNA(計算結果!C751),"",計算結果!C751))</f>
        <v/>
      </c>
      <c r="D751" s="10" t="str">
        <f>IF(IF(ISNA(計算結果!D751),"",計算結果!D751)=0,"",IF(ISNA(計算結果!D751),"",計算結果!D751))</f>
        <v>L</v>
      </c>
      <c r="E751" s="10" t="str">
        <f>IF(IF(ISNA(計算結果!E751),"",計算結果!E751)=0,"",IF(ISNA(計算結果!E751),"",計算結果!E751))</f>
        <v/>
      </c>
      <c r="F751" s="10" t="str">
        <f>IF(IF(ISNA(計算結果!F751),"",計算結果!F751)=0,"",IF(ISNA(計算結果!F751),"",計算結果!F751))</f>
        <v/>
      </c>
      <c r="G751" s="10" t="str">
        <f>IF(IF(ISNA(計算結果!G751),"",計算結果!G751)=0,"",IF(ISNA(計算結果!G751),"",計算結果!G751))</f>
        <v/>
      </c>
      <c r="H751" s="13">
        <f>IF(IF(ISNA(計算結果!H751),"",計算結果!H751)=0,"",IF(ISNA(計算結果!H751),"",計算結果!H751))</f>
        <v>-2</v>
      </c>
      <c r="I751" s="12" t="str">
        <f>IF(IF(ISNA(計算結果!I751),"",計算結果!I751)=0,"",IF(ISNA(計算結果!I751),"",計算結果!I751))</f>
        <v/>
      </c>
      <c r="J751" s="12" t="str">
        <f>IF(IF(ISNA(計算結果!J751),"",計算結果!J751)=0,"",IF(ISNA(計算結果!J751),"",計算結果!J751))</f>
        <v/>
      </c>
      <c r="K751" s="23" t="str">
        <f>IF(IF(ISNA(計算結果!K751),"",計算結果!K751)=0,"",IF(ISNA(計算結果!K751),"",計算結果!K751))</f>
        <v/>
      </c>
      <c r="L751" s="13" t="str">
        <f>IF(IF(ISNA(計算結果!L751),"",計算結果!L751)=0,"",IF(ISNA(計算結果!L751),"",計算結果!L751))</f>
        <v/>
      </c>
      <c r="M751" s="10" t="str">
        <f>IF(IF(ISNA(計算結果!M751),"",計算結果!M751)=0,"",IF(ISNA(計算結果!M751),"",計算結果!M751))</f>
        <v/>
      </c>
      <c r="N751" s="10" t="str">
        <f>IF(IF(ISNA(計算結果!N751),"",計算結果!N751)=0,"",IF(ISNA(計算結果!N751),"",計算結果!N751))</f>
        <v/>
      </c>
      <c r="O751" s="13" t="str">
        <f>IF(IF(ISNA(計算結果!O751),"",計算結果!O751)=0,"",IF(ISNA(計算結果!O751),"",計算結果!O751))</f>
        <v/>
      </c>
      <c r="P751" s="10" t="str">
        <f>IF(IF(ISNA(計算結果!P751),"",計算結果!P751)=0,"",IF(ISNA(計算結果!P751),"",計算結果!P751))</f>
        <v/>
      </c>
      <c r="Q751" s="10" t="str">
        <f>IF(IF(ISNA(計算結果!Q751),"",計算結果!Q751)=0,"",IF(ISNA(計算結果!Q751),"",計算結果!Q751))</f>
        <v/>
      </c>
      <c r="R751" s="14" t="str">
        <f t="shared" si="33"/>
        <v/>
      </c>
      <c r="S751" s="14" t="str">
        <f t="shared" si="34"/>
        <v>◯</v>
      </c>
      <c r="T751" s="14" t="str">
        <f t="shared" si="35"/>
        <v/>
      </c>
    </row>
    <row r="752" spans="1:20" hidden="1" x14ac:dyDescent="0.45">
      <c r="A752" s="10" t="str">
        <f>IF(IF(ISNA(計算結果!A752),"",計算結果!A752)=0,"",IF(ISNA(計算結果!A752),"",計算結果!A752))</f>
        <v/>
      </c>
      <c r="B752" s="10" t="str">
        <f>IF(IF(ISNA(計算結果!B752),"",計算結果!B752)=0,"",IF(ISNA(計算結果!B752),"",計算結果!B752))</f>
        <v/>
      </c>
      <c r="C752" s="10" t="str">
        <f>IF(IF(ISNA(計算結果!C752),"",計算結果!C752)=0,"",IF(ISNA(計算結果!C752),"",計算結果!C752))</f>
        <v/>
      </c>
      <c r="D752" s="10" t="str">
        <f>IF(IF(ISNA(計算結果!D752),"",計算結果!D752)=0,"",IF(ISNA(計算結果!D752),"",計算結果!D752))</f>
        <v>L</v>
      </c>
      <c r="E752" s="10" t="str">
        <f>IF(IF(ISNA(計算結果!E752),"",計算結果!E752)=0,"",IF(ISNA(計算結果!E752),"",計算結果!E752))</f>
        <v/>
      </c>
      <c r="F752" s="10" t="str">
        <f>IF(IF(ISNA(計算結果!F752),"",計算結果!F752)=0,"",IF(ISNA(計算結果!F752),"",計算結果!F752))</f>
        <v/>
      </c>
      <c r="G752" s="10" t="str">
        <f>IF(IF(ISNA(計算結果!G752),"",計算結果!G752)=0,"",IF(ISNA(計算結果!G752),"",計算結果!G752))</f>
        <v/>
      </c>
      <c r="H752" s="13">
        <f>IF(IF(ISNA(計算結果!H752),"",計算結果!H752)=0,"",IF(ISNA(計算結果!H752),"",計算結果!H752))</f>
        <v>-2</v>
      </c>
      <c r="I752" s="12" t="str">
        <f>IF(IF(ISNA(計算結果!I752),"",計算結果!I752)=0,"",IF(ISNA(計算結果!I752),"",計算結果!I752))</f>
        <v/>
      </c>
      <c r="J752" s="12" t="str">
        <f>IF(IF(ISNA(計算結果!J752),"",計算結果!J752)=0,"",IF(ISNA(計算結果!J752),"",計算結果!J752))</f>
        <v/>
      </c>
      <c r="K752" s="23" t="str">
        <f>IF(IF(ISNA(計算結果!K752),"",計算結果!K752)=0,"",IF(ISNA(計算結果!K752),"",計算結果!K752))</f>
        <v/>
      </c>
      <c r="L752" s="13" t="str">
        <f>IF(IF(ISNA(計算結果!L752),"",計算結果!L752)=0,"",IF(ISNA(計算結果!L752),"",計算結果!L752))</f>
        <v/>
      </c>
      <c r="M752" s="10" t="str">
        <f>IF(IF(ISNA(計算結果!M752),"",計算結果!M752)=0,"",IF(ISNA(計算結果!M752),"",計算結果!M752))</f>
        <v/>
      </c>
      <c r="N752" s="10" t="str">
        <f>IF(IF(ISNA(計算結果!N752),"",計算結果!N752)=0,"",IF(ISNA(計算結果!N752),"",計算結果!N752))</f>
        <v/>
      </c>
      <c r="O752" s="13" t="str">
        <f>IF(IF(ISNA(計算結果!O752),"",計算結果!O752)=0,"",IF(ISNA(計算結果!O752),"",計算結果!O752))</f>
        <v/>
      </c>
      <c r="P752" s="10" t="str">
        <f>IF(IF(ISNA(計算結果!P752),"",計算結果!P752)=0,"",IF(ISNA(計算結果!P752),"",計算結果!P752))</f>
        <v/>
      </c>
      <c r="Q752" s="10" t="str">
        <f>IF(IF(ISNA(計算結果!Q752),"",計算結果!Q752)=0,"",IF(ISNA(計算結果!Q752),"",計算結果!Q752))</f>
        <v/>
      </c>
      <c r="R752" s="14" t="str">
        <f t="shared" si="33"/>
        <v/>
      </c>
      <c r="S752" s="14" t="str">
        <f t="shared" si="34"/>
        <v>◯</v>
      </c>
      <c r="T752" s="14" t="str">
        <f t="shared" si="35"/>
        <v/>
      </c>
    </row>
    <row r="753" spans="1:20" hidden="1" x14ac:dyDescent="0.45">
      <c r="A753" s="10" t="str">
        <f>IF(IF(ISNA(計算結果!A753),"",計算結果!A753)=0,"",IF(ISNA(計算結果!A753),"",計算結果!A753))</f>
        <v/>
      </c>
      <c r="B753" s="10" t="str">
        <f>IF(IF(ISNA(計算結果!B753),"",計算結果!B753)=0,"",IF(ISNA(計算結果!B753),"",計算結果!B753))</f>
        <v/>
      </c>
      <c r="C753" s="10" t="str">
        <f>IF(IF(ISNA(計算結果!C753),"",計算結果!C753)=0,"",IF(ISNA(計算結果!C753),"",計算結果!C753))</f>
        <v/>
      </c>
      <c r="D753" s="10" t="str">
        <f>IF(IF(ISNA(計算結果!D753),"",計算結果!D753)=0,"",IF(ISNA(計算結果!D753),"",計算結果!D753))</f>
        <v>L</v>
      </c>
      <c r="E753" s="10" t="str">
        <f>IF(IF(ISNA(計算結果!E753),"",計算結果!E753)=0,"",IF(ISNA(計算結果!E753),"",計算結果!E753))</f>
        <v/>
      </c>
      <c r="F753" s="10" t="str">
        <f>IF(IF(ISNA(計算結果!F753),"",計算結果!F753)=0,"",IF(ISNA(計算結果!F753),"",計算結果!F753))</f>
        <v/>
      </c>
      <c r="G753" s="10" t="str">
        <f>IF(IF(ISNA(計算結果!G753),"",計算結果!G753)=0,"",IF(ISNA(計算結果!G753),"",計算結果!G753))</f>
        <v/>
      </c>
      <c r="H753" s="13">
        <f>IF(IF(ISNA(計算結果!H753),"",計算結果!H753)=0,"",IF(ISNA(計算結果!H753),"",計算結果!H753))</f>
        <v>-2</v>
      </c>
      <c r="I753" s="12" t="str">
        <f>IF(IF(ISNA(計算結果!I753),"",計算結果!I753)=0,"",IF(ISNA(計算結果!I753),"",計算結果!I753))</f>
        <v/>
      </c>
      <c r="J753" s="12" t="str">
        <f>IF(IF(ISNA(計算結果!J753),"",計算結果!J753)=0,"",IF(ISNA(計算結果!J753),"",計算結果!J753))</f>
        <v/>
      </c>
      <c r="K753" s="23" t="str">
        <f>IF(IF(ISNA(計算結果!K753),"",計算結果!K753)=0,"",IF(ISNA(計算結果!K753),"",計算結果!K753))</f>
        <v/>
      </c>
      <c r="L753" s="13" t="str">
        <f>IF(IF(ISNA(計算結果!L753),"",計算結果!L753)=0,"",IF(ISNA(計算結果!L753),"",計算結果!L753))</f>
        <v/>
      </c>
      <c r="M753" s="10" t="str">
        <f>IF(IF(ISNA(計算結果!M753),"",計算結果!M753)=0,"",IF(ISNA(計算結果!M753),"",計算結果!M753))</f>
        <v/>
      </c>
      <c r="N753" s="10" t="str">
        <f>IF(IF(ISNA(計算結果!N753),"",計算結果!N753)=0,"",IF(ISNA(計算結果!N753),"",計算結果!N753))</f>
        <v/>
      </c>
      <c r="O753" s="13" t="str">
        <f>IF(IF(ISNA(計算結果!O753),"",計算結果!O753)=0,"",IF(ISNA(計算結果!O753),"",計算結果!O753))</f>
        <v/>
      </c>
      <c r="P753" s="10" t="str">
        <f>IF(IF(ISNA(計算結果!P753),"",計算結果!P753)=0,"",IF(ISNA(計算結果!P753),"",計算結果!P753))</f>
        <v/>
      </c>
      <c r="Q753" s="10" t="str">
        <f>IF(IF(ISNA(計算結果!Q753),"",計算結果!Q753)=0,"",IF(ISNA(計算結果!Q753),"",計算結果!Q753))</f>
        <v/>
      </c>
      <c r="R753" s="14" t="str">
        <f t="shared" si="33"/>
        <v/>
      </c>
      <c r="S753" s="14" t="str">
        <f t="shared" si="34"/>
        <v>◯</v>
      </c>
      <c r="T753" s="14" t="str">
        <f t="shared" si="35"/>
        <v/>
      </c>
    </row>
    <row r="754" spans="1:20" hidden="1" x14ac:dyDescent="0.45">
      <c r="A754" s="10" t="str">
        <f>IF(IF(ISNA(計算結果!A754),"",計算結果!A754)=0,"",IF(ISNA(計算結果!A754),"",計算結果!A754))</f>
        <v/>
      </c>
      <c r="B754" s="10" t="str">
        <f>IF(IF(ISNA(計算結果!B754),"",計算結果!B754)=0,"",IF(ISNA(計算結果!B754),"",計算結果!B754))</f>
        <v/>
      </c>
      <c r="C754" s="10" t="str">
        <f>IF(IF(ISNA(計算結果!C754),"",計算結果!C754)=0,"",IF(ISNA(計算結果!C754),"",計算結果!C754))</f>
        <v/>
      </c>
      <c r="D754" s="10" t="str">
        <f>IF(IF(ISNA(計算結果!D754),"",計算結果!D754)=0,"",IF(ISNA(計算結果!D754),"",計算結果!D754))</f>
        <v>L</v>
      </c>
      <c r="E754" s="10" t="str">
        <f>IF(IF(ISNA(計算結果!E754),"",計算結果!E754)=0,"",IF(ISNA(計算結果!E754),"",計算結果!E754))</f>
        <v/>
      </c>
      <c r="F754" s="10" t="str">
        <f>IF(IF(ISNA(計算結果!F754),"",計算結果!F754)=0,"",IF(ISNA(計算結果!F754),"",計算結果!F754))</f>
        <v/>
      </c>
      <c r="G754" s="10" t="str">
        <f>IF(IF(ISNA(計算結果!G754),"",計算結果!G754)=0,"",IF(ISNA(計算結果!G754),"",計算結果!G754))</f>
        <v/>
      </c>
      <c r="H754" s="13">
        <f>IF(IF(ISNA(計算結果!H754),"",計算結果!H754)=0,"",IF(ISNA(計算結果!H754),"",計算結果!H754))</f>
        <v>-2</v>
      </c>
      <c r="I754" s="12" t="str">
        <f>IF(IF(ISNA(計算結果!I754),"",計算結果!I754)=0,"",IF(ISNA(計算結果!I754),"",計算結果!I754))</f>
        <v/>
      </c>
      <c r="J754" s="12" t="str">
        <f>IF(IF(ISNA(計算結果!J754),"",計算結果!J754)=0,"",IF(ISNA(計算結果!J754),"",計算結果!J754))</f>
        <v/>
      </c>
      <c r="K754" s="23" t="str">
        <f>IF(IF(ISNA(計算結果!K754),"",計算結果!K754)=0,"",IF(ISNA(計算結果!K754),"",計算結果!K754))</f>
        <v/>
      </c>
      <c r="L754" s="13" t="str">
        <f>IF(IF(ISNA(計算結果!L754),"",計算結果!L754)=0,"",IF(ISNA(計算結果!L754),"",計算結果!L754))</f>
        <v/>
      </c>
      <c r="M754" s="10" t="str">
        <f>IF(IF(ISNA(計算結果!M754),"",計算結果!M754)=0,"",IF(ISNA(計算結果!M754),"",計算結果!M754))</f>
        <v/>
      </c>
      <c r="N754" s="10" t="str">
        <f>IF(IF(ISNA(計算結果!N754),"",計算結果!N754)=0,"",IF(ISNA(計算結果!N754),"",計算結果!N754))</f>
        <v/>
      </c>
      <c r="O754" s="13" t="str">
        <f>IF(IF(ISNA(計算結果!O754),"",計算結果!O754)=0,"",IF(ISNA(計算結果!O754),"",計算結果!O754))</f>
        <v/>
      </c>
      <c r="P754" s="10" t="str">
        <f>IF(IF(ISNA(計算結果!P754),"",計算結果!P754)=0,"",IF(ISNA(計算結果!P754),"",計算結果!P754))</f>
        <v/>
      </c>
      <c r="Q754" s="10" t="str">
        <f>IF(IF(ISNA(計算結果!Q754),"",計算結果!Q754)=0,"",IF(ISNA(計算結果!Q754),"",計算結果!Q754))</f>
        <v/>
      </c>
      <c r="R754" s="14" t="str">
        <f t="shared" si="33"/>
        <v/>
      </c>
      <c r="S754" s="14" t="str">
        <f t="shared" si="34"/>
        <v>◯</v>
      </c>
      <c r="T754" s="14" t="str">
        <f t="shared" si="35"/>
        <v/>
      </c>
    </row>
    <row r="755" spans="1:20" hidden="1" x14ac:dyDescent="0.45">
      <c r="A755" s="10" t="str">
        <f>IF(IF(ISNA(計算結果!A755),"",計算結果!A755)=0,"",IF(ISNA(計算結果!A755),"",計算結果!A755))</f>
        <v/>
      </c>
      <c r="B755" s="10" t="str">
        <f>IF(IF(ISNA(計算結果!B755),"",計算結果!B755)=0,"",IF(ISNA(計算結果!B755),"",計算結果!B755))</f>
        <v/>
      </c>
      <c r="C755" s="10" t="str">
        <f>IF(IF(ISNA(計算結果!C755),"",計算結果!C755)=0,"",IF(ISNA(計算結果!C755),"",計算結果!C755))</f>
        <v/>
      </c>
      <c r="D755" s="10" t="str">
        <f>IF(IF(ISNA(計算結果!D755),"",計算結果!D755)=0,"",IF(ISNA(計算結果!D755),"",計算結果!D755))</f>
        <v>L</v>
      </c>
      <c r="E755" s="10" t="str">
        <f>IF(IF(ISNA(計算結果!E755),"",計算結果!E755)=0,"",IF(ISNA(計算結果!E755),"",計算結果!E755))</f>
        <v/>
      </c>
      <c r="F755" s="10" t="str">
        <f>IF(IF(ISNA(計算結果!F755),"",計算結果!F755)=0,"",IF(ISNA(計算結果!F755),"",計算結果!F755))</f>
        <v/>
      </c>
      <c r="G755" s="10" t="str">
        <f>IF(IF(ISNA(計算結果!G755),"",計算結果!G755)=0,"",IF(ISNA(計算結果!G755),"",計算結果!G755))</f>
        <v/>
      </c>
      <c r="H755" s="13">
        <f>IF(IF(ISNA(計算結果!H755),"",計算結果!H755)=0,"",IF(ISNA(計算結果!H755),"",計算結果!H755))</f>
        <v>-2</v>
      </c>
      <c r="I755" s="12" t="str">
        <f>IF(IF(ISNA(計算結果!I755),"",計算結果!I755)=0,"",IF(ISNA(計算結果!I755),"",計算結果!I755))</f>
        <v/>
      </c>
      <c r="J755" s="12" t="str">
        <f>IF(IF(ISNA(計算結果!J755),"",計算結果!J755)=0,"",IF(ISNA(計算結果!J755),"",計算結果!J755))</f>
        <v/>
      </c>
      <c r="K755" s="23" t="str">
        <f>IF(IF(ISNA(計算結果!K755),"",計算結果!K755)=0,"",IF(ISNA(計算結果!K755),"",計算結果!K755))</f>
        <v/>
      </c>
      <c r="L755" s="13" t="str">
        <f>IF(IF(ISNA(計算結果!L755),"",計算結果!L755)=0,"",IF(ISNA(計算結果!L755),"",計算結果!L755))</f>
        <v/>
      </c>
      <c r="M755" s="10" t="str">
        <f>IF(IF(ISNA(計算結果!M755),"",計算結果!M755)=0,"",IF(ISNA(計算結果!M755),"",計算結果!M755))</f>
        <v/>
      </c>
      <c r="N755" s="10" t="str">
        <f>IF(IF(ISNA(計算結果!N755),"",計算結果!N755)=0,"",IF(ISNA(計算結果!N755),"",計算結果!N755))</f>
        <v/>
      </c>
      <c r="O755" s="13" t="str">
        <f>IF(IF(ISNA(計算結果!O755),"",計算結果!O755)=0,"",IF(ISNA(計算結果!O755),"",計算結果!O755))</f>
        <v/>
      </c>
      <c r="P755" s="10" t="str">
        <f>IF(IF(ISNA(計算結果!P755),"",計算結果!P755)=0,"",IF(ISNA(計算結果!P755),"",計算結果!P755))</f>
        <v/>
      </c>
      <c r="Q755" s="10" t="str">
        <f>IF(IF(ISNA(計算結果!Q755),"",計算結果!Q755)=0,"",IF(ISNA(計算結果!Q755),"",計算結果!Q755))</f>
        <v/>
      </c>
      <c r="R755" s="14" t="str">
        <f t="shared" si="33"/>
        <v/>
      </c>
      <c r="S755" s="14" t="str">
        <f t="shared" si="34"/>
        <v>◯</v>
      </c>
      <c r="T755" s="14" t="str">
        <f t="shared" si="35"/>
        <v/>
      </c>
    </row>
    <row r="756" spans="1:20" hidden="1" x14ac:dyDescent="0.45">
      <c r="A756" s="10" t="str">
        <f>IF(IF(ISNA(計算結果!A756),"",計算結果!A756)=0,"",IF(ISNA(計算結果!A756),"",計算結果!A756))</f>
        <v/>
      </c>
      <c r="B756" s="10" t="str">
        <f>IF(IF(ISNA(計算結果!B756),"",計算結果!B756)=0,"",IF(ISNA(計算結果!B756),"",計算結果!B756))</f>
        <v/>
      </c>
      <c r="C756" s="10" t="str">
        <f>IF(IF(ISNA(計算結果!C756),"",計算結果!C756)=0,"",IF(ISNA(計算結果!C756),"",計算結果!C756))</f>
        <v/>
      </c>
      <c r="D756" s="10" t="str">
        <f>IF(IF(ISNA(計算結果!D756),"",計算結果!D756)=0,"",IF(ISNA(計算結果!D756),"",計算結果!D756))</f>
        <v>L</v>
      </c>
      <c r="E756" s="10" t="str">
        <f>IF(IF(ISNA(計算結果!E756),"",計算結果!E756)=0,"",IF(ISNA(計算結果!E756),"",計算結果!E756))</f>
        <v/>
      </c>
      <c r="F756" s="10" t="str">
        <f>IF(IF(ISNA(計算結果!F756),"",計算結果!F756)=0,"",IF(ISNA(計算結果!F756),"",計算結果!F756))</f>
        <v/>
      </c>
      <c r="G756" s="10" t="str">
        <f>IF(IF(ISNA(計算結果!G756),"",計算結果!G756)=0,"",IF(ISNA(計算結果!G756),"",計算結果!G756))</f>
        <v/>
      </c>
      <c r="H756" s="13">
        <f>IF(IF(ISNA(計算結果!H756),"",計算結果!H756)=0,"",IF(ISNA(計算結果!H756),"",計算結果!H756))</f>
        <v>-2</v>
      </c>
      <c r="I756" s="12" t="str">
        <f>IF(IF(ISNA(計算結果!I756),"",計算結果!I756)=0,"",IF(ISNA(計算結果!I756),"",計算結果!I756))</f>
        <v/>
      </c>
      <c r="J756" s="12" t="str">
        <f>IF(IF(ISNA(計算結果!J756),"",計算結果!J756)=0,"",IF(ISNA(計算結果!J756),"",計算結果!J756))</f>
        <v/>
      </c>
      <c r="K756" s="23" t="str">
        <f>IF(IF(ISNA(計算結果!K756),"",計算結果!K756)=0,"",IF(ISNA(計算結果!K756),"",計算結果!K756))</f>
        <v/>
      </c>
      <c r="L756" s="13" t="str">
        <f>IF(IF(ISNA(計算結果!L756),"",計算結果!L756)=0,"",IF(ISNA(計算結果!L756),"",計算結果!L756))</f>
        <v/>
      </c>
      <c r="M756" s="10" t="str">
        <f>IF(IF(ISNA(計算結果!M756),"",計算結果!M756)=0,"",IF(ISNA(計算結果!M756),"",計算結果!M756))</f>
        <v/>
      </c>
      <c r="N756" s="10" t="str">
        <f>IF(IF(ISNA(計算結果!N756),"",計算結果!N756)=0,"",IF(ISNA(計算結果!N756),"",計算結果!N756))</f>
        <v/>
      </c>
      <c r="O756" s="13" t="str">
        <f>IF(IF(ISNA(計算結果!O756),"",計算結果!O756)=0,"",IF(ISNA(計算結果!O756),"",計算結果!O756))</f>
        <v/>
      </c>
      <c r="P756" s="10" t="str">
        <f>IF(IF(ISNA(計算結果!P756),"",計算結果!P756)=0,"",IF(ISNA(計算結果!P756),"",計算結果!P756))</f>
        <v/>
      </c>
      <c r="Q756" s="10" t="str">
        <f>IF(IF(ISNA(計算結果!Q756),"",計算結果!Q756)=0,"",IF(ISNA(計算結果!Q756),"",計算結果!Q756))</f>
        <v/>
      </c>
      <c r="R756" s="14" t="str">
        <f t="shared" si="33"/>
        <v/>
      </c>
      <c r="S756" s="14" t="str">
        <f t="shared" si="34"/>
        <v>◯</v>
      </c>
      <c r="T756" s="14" t="str">
        <f t="shared" si="35"/>
        <v/>
      </c>
    </row>
    <row r="757" spans="1:20" hidden="1" x14ac:dyDescent="0.45">
      <c r="A757" s="10" t="str">
        <f>IF(IF(ISNA(計算結果!A757),"",計算結果!A757)=0,"",IF(ISNA(計算結果!A757),"",計算結果!A757))</f>
        <v/>
      </c>
      <c r="B757" s="10" t="str">
        <f>IF(IF(ISNA(計算結果!B757),"",計算結果!B757)=0,"",IF(ISNA(計算結果!B757),"",計算結果!B757))</f>
        <v/>
      </c>
      <c r="C757" s="10" t="str">
        <f>IF(IF(ISNA(計算結果!C757),"",計算結果!C757)=0,"",IF(ISNA(計算結果!C757),"",計算結果!C757))</f>
        <v/>
      </c>
      <c r="D757" s="10" t="str">
        <f>IF(IF(ISNA(計算結果!D757),"",計算結果!D757)=0,"",IF(ISNA(計算結果!D757),"",計算結果!D757))</f>
        <v>L</v>
      </c>
      <c r="E757" s="10" t="str">
        <f>IF(IF(ISNA(計算結果!E757),"",計算結果!E757)=0,"",IF(ISNA(計算結果!E757),"",計算結果!E757))</f>
        <v/>
      </c>
      <c r="F757" s="10" t="str">
        <f>IF(IF(ISNA(計算結果!F757),"",計算結果!F757)=0,"",IF(ISNA(計算結果!F757),"",計算結果!F757))</f>
        <v/>
      </c>
      <c r="G757" s="10" t="str">
        <f>IF(IF(ISNA(計算結果!G757),"",計算結果!G757)=0,"",IF(ISNA(計算結果!G757),"",計算結果!G757))</f>
        <v/>
      </c>
      <c r="H757" s="13">
        <f>IF(IF(ISNA(計算結果!H757),"",計算結果!H757)=0,"",IF(ISNA(計算結果!H757),"",計算結果!H757))</f>
        <v>-2</v>
      </c>
      <c r="I757" s="12" t="str">
        <f>IF(IF(ISNA(計算結果!I757),"",計算結果!I757)=0,"",IF(ISNA(計算結果!I757),"",計算結果!I757))</f>
        <v/>
      </c>
      <c r="J757" s="12" t="str">
        <f>IF(IF(ISNA(計算結果!J757),"",計算結果!J757)=0,"",IF(ISNA(計算結果!J757),"",計算結果!J757))</f>
        <v/>
      </c>
      <c r="K757" s="23" t="str">
        <f>IF(IF(ISNA(計算結果!K757),"",計算結果!K757)=0,"",IF(ISNA(計算結果!K757),"",計算結果!K757))</f>
        <v/>
      </c>
      <c r="L757" s="13" t="str">
        <f>IF(IF(ISNA(計算結果!L757),"",計算結果!L757)=0,"",IF(ISNA(計算結果!L757),"",計算結果!L757))</f>
        <v/>
      </c>
      <c r="M757" s="10" t="str">
        <f>IF(IF(ISNA(計算結果!M757),"",計算結果!M757)=0,"",IF(ISNA(計算結果!M757),"",計算結果!M757))</f>
        <v/>
      </c>
      <c r="N757" s="10" t="str">
        <f>IF(IF(ISNA(計算結果!N757),"",計算結果!N757)=0,"",IF(ISNA(計算結果!N757),"",計算結果!N757))</f>
        <v/>
      </c>
      <c r="O757" s="13" t="str">
        <f>IF(IF(ISNA(計算結果!O757),"",計算結果!O757)=0,"",IF(ISNA(計算結果!O757),"",計算結果!O757))</f>
        <v/>
      </c>
      <c r="P757" s="10" t="str">
        <f>IF(IF(ISNA(計算結果!P757),"",計算結果!P757)=0,"",IF(ISNA(計算結果!P757),"",計算結果!P757))</f>
        <v/>
      </c>
      <c r="Q757" s="10" t="str">
        <f>IF(IF(ISNA(計算結果!Q757),"",計算結果!Q757)=0,"",IF(ISNA(計算結果!Q757),"",計算結果!Q757))</f>
        <v/>
      </c>
      <c r="R757" s="14" t="str">
        <f t="shared" si="33"/>
        <v/>
      </c>
      <c r="S757" s="14" t="str">
        <f t="shared" si="34"/>
        <v>◯</v>
      </c>
      <c r="T757" s="14" t="str">
        <f t="shared" si="35"/>
        <v/>
      </c>
    </row>
    <row r="758" spans="1:20" hidden="1" x14ac:dyDescent="0.45">
      <c r="A758" s="10" t="str">
        <f>IF(IF(ISNA(計算結果!A758),"",計算結果!A758)=0,"",IF(ISNA(計算結果!A758),"",計算結果!A758))</f>
        <v/>
      </c>
      <c r="B758" s="10" t="str">
        <f>IF(IF(ISNA(計算結果!B758),"",計算結果!B758)=0,"",IF(ISNA(計算結果!B758),"",計算結果!B758))</f>
        <v/>
      </c>
      <c r="C758" s="10" t="str">
        <f>IF(IF(ISNA(計算結果!C758),"",計算結果!C758)=0,"",IF(ISNA(計算結果!C758),"",計算結果!C758))</f>
        <v/>
      </c>
      <c r="D758" s="10" t="str">
        <f>IF(IF(ISNA(計算結果!D758),"",計算結果!D758)=0,"",IF(ISNA(計算結果!D758),"",計算結果!D758))</f>
        <v>L</v>
      </c>
      <c r="E758" s="10" t="str">
        <f>IF(IF(ISNA(計算結果!E758),"",計算結果!E758)=0,"",IF(ISNA(計算結果!E758),"",計算結果!E758))</f>
        <v/>
      </c>
      <c r="F758" s="10" t="str">
        <f>IF(IF(ISNA(計算結果!F758),"",計算結果!F758)=0,"",IF(ISNA(計算結果!F758),"",計算結果!F758))</f>
        <v/>
      </c>
      <c r="G758" s="10" t="str">
        <f>IF(IF(ISNA(計算結果!G758),"",計算結果!G758)=0,"",IF(ISNA(計算結果!G758),"",計算結果!G758))</f>
        <v/>
      </c>
      <c r="H758" s="13">
        <f>IF(IF(ISNA(計算結果!H758),"",計算結果!H758)=0,"",IF(ISNA(計算結果!H758),"",計算結果!H758))</f>
        <v>-2</v>
      </c>
      <c r="I758" s="12" t="str">
        <f>IF(IF(ISNA(計算結果!I758),"",計算結果!I758)=0,"",IF(ISNA(計算結果!I758),"",計算結果!I758))</f>
        <v/>
      </c>
      <c r="J758" s="12" t="str">
        <f>IF(IF(ISNA(計算結果!J758),"",計算結果!J758)=0,"",IF(ISNA(計算結果!J758),"",計算結果!J758))</f>
        <v/>
      </c>
      <c r="K758" s="23" t="str">
        <f>IF(IF(ISNA(計算結果!K758),"",計算結果!K758)=0,"",IF(ISNA(計算結果!K758),"",計算結果!K758))</f>
        <v/>
      </c>
      <c r="L758" s="13" t="str">
        <f>IF(IF(ISNA(計算結果!L758),"",計算結果!L758)=0,"",IF(ISNA(計算結果!L758),"",計算結果!L758))</f>
        <v/>
      </c>
      <c r="M758" s="10" t="str">
        <f>IF(IF(ISNA(計算結果!M758),"",計算結果!M758)=0,"",IF(ISNA(計算結果!M758),"",計算結果!M758))</f>
        <v/>
      </c>
      <c r="N758" s="10" t="str">
        <f>IF(IF(ISNA(計算結果!N758),"",計算結果!N758)=0,"",IF(ISNA(計算結果!N758),"",計算結果!N758))</f>
        <v/>
      </c>
      <c r="O758" s="13" t="str">
        <f>IF(IF(ISNA(計算結果!O758),"",計算結果!O758)=0,"",IF(ISNA(計算結果!O758),"",計算結果!O758))</f>
        <v/>
      </c>
      <c r="P758" s="10" t="str">
        <f>IF(IF(ISNA(計算結果!P758),"",計算結果!P758)=0,"",IF(ISNA(計算結果!P758),"",計算結果!P758))</f>
        <v/>
      </c>
      <c r="Q758" s="10" t="str">
        <f>IF(IF(ISNA(計算結果!Q758),"",計算結果!Q758)=0,"",IF(ISNA(計算結果!Q758),"",計算結果!Q758))</f>
        <v/>
      </c>
      <c r="R758" s="14" t="str">
        <f t="shared" si="33"/>
        <v/>
      </c>
      <c r="S758" s="14" t="str">
        <f t="shared" si="34"/>
        <v>◯</v>
      </c>
      <c r="T758" s="14" t="str">
        <f t="shared" si="35"/>
        <v/>
      </c>
    </row>
    <row r="759" spans="1:20" hidden="1" x14ac:dyDescent="0.45">
      <c r="A759" s="10" t="str">
        <f>IF(IF(ISNA(計算結果!A759),"",計算結果!A759)=0,"",IF(ISNA(計算結果!A759),"",計算結果!A759))</f>
        <v/>
      </c>
      <c r="B759" s="10" t="str">
        <f>IF(IF(ISNA(計算結果!B759),"",計算結果!B759)=0,"",IF(ISNA(計算結果!B759),"",計算結果!B759))</f>
        <v/>
      </c>
      <c r="C759" s="10" t="str">
        <f>IF(IF(ISNA(計算結果!C759),"",計算結果!C759)=0,"",IF(ISNA(計算結果!C759),"",計算結果!C759))</f>
        <v/>
      </c>
      <c r="D759" s="10" t="str">
        <f>IF(IF(ISNA(計算結果!D759),"",計算結果!D759)=0,"",IF(ISNA(計算結果!D759),"",計算結果!D759))</f>
        <v>L</v>
      </c>
      <c r="E759" s="10" t="str">
        <f>IF(IF(ISNA(計算結果!E759),"",計算結果!E759)=0,"",IF(ISNA(計算結果!E759),"",計算結果!E759))</f>
        <v/>
      </c>
      <c r="F759" s="10" t="str">
        <f>IF(IF(ISNA(計算結果!F759),"",計算結果!F759)=0,"",IF(ISNA(計算結果!F759),"",計算結果!F759))</f>
        <v/>
      </c>
      <c r="G759" s="10" t="str">
        <f>IF(IF(ISNA(計算結果!G759),"",計算結果!G759)=0,"",IF(ISNA(計算結果!G759),"",計算結果!G759))</f>
        <v/>
      </c>
      <c r="H759" s="13">
        <f>IF(IF(ISNA(計算結果!H759),"",計算結果!H759)=0,"",IF(ISNA(計算結果!H759),"",計算結果!H759))</f>
        <v>-2</v>
      </c>
      <c r="I759" s="12" t="str">
        <f>IF(IF(ISNA(計算結果!I759),"",計算結果!I759)=0,"",IF(ISNA(計算結果!I759),"",計算結果!I759))</f>
        <v/>
      </c>
      <c r="J759" s="12" t="str">
        <f>IF(IF(ISNA(計算結果!J759),"",計算結果!J759)=0,"",IF(ISNA(計算結果!J759),"",計算結果!J759))</f>
        <v/>
      </c>
      <c r="K759" s="23" t="str">
        <f>IF(IF(ISNA(計算結果!K759),"",計算結果!K759)=0,"",IF(ISNA(計算結果!K759),"",計算結果!K759))</f>
        <v/>
      </c>
      <c r="L759" s="13" t="str">
        <f>IF(IF(ISNA(計算結果!L759),"",計算結果!L759)=0,"",IF(ISNA(計算結果!L759),"",計算結果!L759))</f>
        <v/>
      </c>
      <c r="M759" s="10" t="str">
        <f>IF(IF(ISNA(計算結果!M759),"",計算結果!M759)=0,"",IF(ISNA(計算結果!M759),"",計算結果!M759))</f>
        <v/>
      </c>
      <c r="N759" s="10" t="str">
        <f>IF(IF(ISNA(計算結果!N759),"",計算結果!N759)=0,"",IF(ISNA(計算結果!N759),"",計算結果!N759))</f>
        <v/>
      </c>
      <c r="O759" s="13" t="str">
        <f>IF(IF(ISNA(計算結果!O759),"",計算結果!O759)=0,"",IF(ISNA(計算結果!O759),"",計算結果!O759))</f>
        <v/>
      </c>
      <c r="P759" s="10" t="str">
        <f>IF(IF(ISNA(計算結果!P759),"",計算結果!P759)=0,"",IF(ISNA(計算結果!P759),"",計算結果!P759))</f>
        <v/>
      </c>
      <c r="Q759" s="10" t="str">
        <f>IF(IF(ISNA(計算結果!Q759),"",計算結果!Q759)=0,"",IF(ISNA(計算結果!Q759),"",計算結果!Q759))</f>
        <v/>
      </c>
      <c r="R759" s="14" t="str">
        <f t="shared" si="33"/>
        <v/>
      </c>
      <c r="S759" s="14" t="str">
        <f t="shared" si="34"/>
        <v>◯</v>
      </c>
      <c r="T759" s="14" t="str">
        <f t="shared" si="35"/>
        <v/>
      </c>
    </row>
    <row r="760" spans="1:20" hidden="1" x14ac:dyDescent="0.45">
      <c r="A760" s="10" t="str">
        <f>IF(IF(ISNA(計算結果!A760),"",計算結果!A760)=0,"",IF(ISNA(計算結果!A760),"",計算結果!A760))</f>
        <v/>
      </c>
      <c r="B760" s="10" t="str">
        <f>IF(IF(ISNA(計算結果!B760),"",計算結果!B760)=0,"",IF(ISNA(計算結果!B760),"",計算結果!B760))</f>
        <v/>
      </c>
      <c r="C760" s="10" t="str">
        <f>IF(IF(ISNA(計算結果!C760),"",計算結果!C760)=0,"",IF(ISNA(計算結果!C760),"",計算結果!C760))</f>
        <v/>
      </c>
      <c r="D760" s="10" t="str">
        <f>IF(IF(ISNA(計算結果!D760),"",計算結果!D760)=0,"",IF(ISNA(計算結果!D760),"",計算結果!D760))</f>
        <v>L</v>
      </c>
      <c r="E760" s="10" t="str">
        <f>IF(IF(ISNA(計算結果!E760),"",計算結果!E760)=0,"",IF(ISNA(計算結果!E760),"",計算結果!E760))</f>
        <v/>
      </c>
      <c r="F760" s="10" t="str">
        <f>IF(IF(ISNA(計算結果!F760),"",計算結果!F760)=0,"",IF(ISNA(計算結果!F760),"",計算結果!F760))</f>
        <v/>
      </c>
      <c r="G760" s="10" t="str">
        <f>IF(IF(ISNA(計算結果!G760),"",計算結果!G760)=0,"",IF(ISNA(計算結果!G760),"",計算結果!G760))</f>
        <v/>
      </c>
      <c r="H760" s="13">
        <f>IF(IF(ISNA(計算結果!H760),"",計算結果!H760)=0,"",IF(ISNA(計算結果!H760),"",計算結果!H760))</f>
        <v>-2</v>
      </c>
      <c r="I760" s="12" t="str">
        <f>IF(IF(ISNA(計算結果!I760),"",計算結果!I760)=0,"",IF(ISNA(計算結果!I760),"",計算結果!I760))</f>
        <v/>
      </c>
      <c r="J760" s="12" t="str">
        <f>IF(IF(ISNA(計算結果!J760),"",計算結果!J760)=0,"",IF(ISNA(計算結果!J760),"",計算結果!J760))</f>
        <v/>
      </c>
      <c r="K760" s="23" t="str">
        <f>IF(IF(ISNA(計算結果!K760),"",計算結果!K760)=0,"",IF(ISNA(計算結果!K760),"",計算結果!K760))</f>
        <v/>
      </c>
      <c r="L760" s="13" t="str">
        <f>IF(IF(ISNA(計算結果!L760),"",計算結果!L760)=0,"",IF(ISNA(計算結果!L760),"",計算結果!L760))</f>
        <v/>
      </c>
      <c r="M760" s="10" t="str">
        <f>IF(IF(ISNA(計算結果!M760),"",計算結果!M760)=0,"",IF(ISNA(計算結果!M760),"",計算結果!M760))</f>
        <v/>
      </c>
      <c r="N760" s="10" t="str">
        <f>IF(IF(ISNA(計算結果!N760),"",計算結果!N760)=0,"",IF(ISNA(計算結果!N760),"",計算結果!N760))</f>
        <v/>
      </c>
      <c r="O760" s="13" t="str">
        <f>IF(IF(ISNA(計算結果!O760),"",計算結果!O760)=0,"",IF(ISNA(計算結果!O760),"",計算結果!O760))</f>
        <v/>
      </c>
      <c r="P760" s="10" t="str">
        <f>IF(IF(ISNA(計算結果!P760),"",計算結果!P760)=0,"",IF(ISNA(計算結果!P760),"",計算結果!P760))</f>
        <v/>
      </c>
      <c r="Q760" s="10" t="str">
        <f>IF(IF(ISNA(計算結果!Q760),"",計算結果!Q760)=0,"",IF(ISNA(計算結果!Q760),"",計算結果!Q760))</f>
        <v/>
      </c>
      <c r="R760" s="14" t="str">
        <f t="shared" si="33"/>
        <v/>
      </c>
      <c r="S760" s="14" t="str">
        <f t="shared" si="34"/>
        <v>◯</v>
      </c>
      <c r="T760" s="14" t="str">
        <f t="shared" si="35"/>
        <v/>
      </c>
    </row>
    <row r="761" spans="1:20" hidden="1" x14ac:dyDescent="0.45">
      <c r="A761" s="10" t="str">
        <f>IF(IF(ISNA(計算結果!A761),"",計算結果!A761)=0,"",IF(ISNA(計算結果!A761),"",計算結果!A761))</f>
        <v/>
      </c>
      <c r="B761" s="10" t="str">
        <f>IF(IF(ISNA(計算結果!B761),"",計算結果!B761)=0,"",IF(ISNA(計算結果!B761),"",計算結果!B761))</f>
        <v/>
      </c>
      <c r="C761" s="10" t="str">
        <f>IF(IF(ISNA(計算結果!C761),"",計算結果!C761)=0,"",IF(ISNA(計算結果!C761),"",計算結果!C761))</f>
        <v/>
      </c>
      <c r="D761" s="10" t="str">
        <f>IF(IF(ISNA(計算結果!D761),"",計算結果!D761)=0,"",IF(ISNA(計算結果!D761),"",計算結果!D761))</f>
        <v>L</v>
      </c>
      <c r="E761" s="10" t="str">
        <f>IF(IF(ISNA(計算結果!E761),"",計算結果!E761)=0,"",IF(ISNA(計算結果!E761),"",計算結果!E761))</f>
        <v/>
      </c>
      <c r="F761" s="10" t="str">
        <f>IF(IF(ISNA(計算結果!F761),"",計算結果!F761)=0,"",IF(ISNA(計算結果!F761),"",計算結果!F761))</f>
        <v/>
      </c>
      <c r="G761" s="10" t="str">
        <f>IF(IF(ISNA(計算結果!G761),"",計算結果!G761)=0,"",IF(ISNA(計算結果!G761),"",計算結果!G761))</f>
        <v/>
      </c>
      <c r="H761" s="13">
        <f>IF(IF(ISNA(計算結果!H761),"",計算結果!H761)=0,"",IF(ISNA(計算結果!H761),"",計算結果!H761))</f>
        <v>-2</v>
      </c>
      <c r="I761" s="12" t="str">
        <f>IF(IF(ISNA(計算結果!I761),"",計算結果!I761)=0,"",IF(ISNA(計算結果!I761),"",計算結果!I761))</f>
        <v/>
      </c>
      <c r="J761" s="12" t="str">
        <f>IF(IF(ISNA(計算結果!J761),"",計算結果!J761)=0,"",IF(ISNA(計算結果!J761),"",計算結果!J761))</f>
        <v/>
      </c>
      <c r="K761" s="23" t="str">
        <f>IF(IF(ISNA(計算結果!K761),"",計算結果!K761)=0,"",IF(ISNA(計算結果!K761),"",計算結果!K761))</f>
        <v/>
      </c>
      <c r="L761" s="13" t="str">
        <f>IF(IF(ISNA(計算結果!L761),"",計算結果!L761)=0,"",IF(ISNA(計算結果!L761),"",計算結果!L761))</f>
        <v/>
      </c>
      <c r="M761" s="10" t="str">
        <f>IF(IF(ISNA(計算結果!M761),"",計算結果!M761)=0,"",IF(ISNA(計算結果!M761),"",計算結果!M761))</f>
        <v/>
      </c>
      <c r="N761" s="10" t="str">
        <f>IF(IF(ISNA(計算結果!N761),"",計算結果!N761)=0,"",IF(ISNA(計算結果!N761),"",計算結果!N761))</f>
        <v/>
      </c>
      <c r="O761" s="13" t="str">
        <f>IF(IF(ISNA(計算結果!O761),"",計算結果!O761)=0,"",IF(ISNA(計算結果!O761),"",計算結果!O761))</f>
        <v/>
      </c>
      <c r="P761" s="10" t="str">
        <f>IF(IF(ISNA(計算結果!P761),"",計算結果!P761)=0,"",IF(ISNA(計算結果!P761),"",計算結果!P761))</f>
        <v/>
      </c>
      <c r="Q761" s="10" t="str">
        <f>IF(IF(ISNA(計算結果!Q761),"",計算結果!Q761)=0,"",IF(ISNA(計算結果!Q761),"",計算結果!Q761))</f>
        <v/>
      </c>
      <c r="R761" s="14" t="str">
        <f t="shared" si="33"/>
        <v/>
      </c>
      <c r="S761" s="14" t="str">
        <f t="shared" si="34"/>
        <v>◯</v>
      </c>
      <c r="T761" s="14" t="str">
        <f t="shared" si="35"/>
        <v/>
      </c>
    </row>
    <row r="762" spans="1:20" hidden="1" x14ac:dyDescent="0.45">
      <c r="A762" s="10" t="str">
        <f>IF(IF(ISNA(計算結果!A762),"",計算結果!A762)=0,"",IF(ISNA(計算結果!A762),"",計算結果!A762))</f>
        <v/>
      </c>
      <c r="B762" s="10" t="str">
        <f>IF(IF(ISNA(計算結果!B762),"",計算結果!B762)=0,"",IF(ISNA(計算結果!B762),"",計算結果!B762))</f>
        <v/>
      </c>
      <c r="C762" s="10" t="str">
        <f>IF(IF(ISNA(計算結果!C762),"",計算結果!C762)=0,"",IF(ISNA(計算結果!C762),"",計算結果!C762))</f>
        <v/>
      </c>
      <c r="D762" s="10" t="str">
        <f>IF(IF(ISNA(計算結果!D762),"",計算結果!D762)=0,"",IF(ISNA(計算結果!D762),"",計算結果!D762))</f>
        <v>L</v>
      </c>
      <c r="E762" s="10" t="str">
        <f>IF(IF(ISNA(計算結果!E762),"",計算結果!E762)=0,"",IF(ISNA(計算結果!E762),"",計算結果!E762))</f>
        <v/>
      </c>
      <c r="F762" s="10" t="str">
        <f>IF(IF(ISNA(計算結果!F762),"",計算結果!F762)=0,"",IF(ISNA(計算結果!F762),"",計算結果!F762))</f>
        <v/>
      </c>
      <c r="G762" s="10" t="str">
        <f>IF(IF(ISNA(計算結果!G762),"",計算結果!G762)=0,"",IF(ISNA(計算結果!G762),"",計算結果!G762))</f>
        <v/>
      </c>
      <c r="H762" s="13">
        <f>IF(IF(ISNA(計算結果!H762),"",計算結果!H762)=0,"",IF(ISNA(計算結果!H762),"",計算結果!H762))</f>
        <v>-2</v>
      </c>
      <c r="I762" s="12" t="str">
        <f>IF(IF(ISNA(計算結果!I762),"",計算結果!I762)=0,"",IF(ISNA(計算結果!I762),"",計算結果!I762))</f>
        <v/>
      </c>
      <c r="J762" s="12" t="str">
        <f>IF(IF(ISNA(計算結果!J762),"",計算結果!J762)=0,"",IF(ISNA(計算結果!J762),"",計算結果!J762))</f>
        <v/>
      </c>
      <c r="K762" s="23" t="str">
        <f>IF(IF(ISNA(計算結果!K762),"",計算結果!K762)=0,"",IF(ISNA(計算結果!K762),"",計算結果!K762))</f>
        <v/>
      </c>
      <c r="L762" s="13" t="str">
        <f>IF(IF(ISNA(計算結果!L762),"",計算結果!L762)=0,"",IF(ISNA(計算結果!L762),"",計算結果!L762))</f>
        <v/>
      </c>
      <c r="M762" s="10" t="str">
        <f>IF(IF(ISNA(計算結果!M762),"",計算結果!M762)=0,"",IF(ISNA(計算結果!M762),"",計算結果!M762))</f>
        <v/>
      </c>
      <c r="N762" s="10" t="str">
        <f>IF(IF(ISNA(計算結果!N762),"",計算結果!N762)=0,"",IF(ISNA(計算結果!N762),"",計算結果!N762))</f>
        <v/>
      </c>
      <c r="O762" s="13" t="str">
        <f>IF(IF(ISNA(計算結果!O762),"",計算結果!O762)=0,"",IF(ISNA(計算結果!O762),"",計算結果!O762))</f>
        <v/>
      </c>
      <c r="P762" s="10" t="str">
        <f>IF(IF(ISNA(計算結果!P762),"",計算結果!P762)=0,"",IF(ISNA(計算結果!P762),"",計算結果!P762))</f>
        <v/>
      </c>
      <c r="Q762" s="10" t="str">
        <f>IF(IF(ISNA(計算結果!Q762),"",計算結果!Q762)=0,"",IF(ISNA(計算結果!Q762),"",計算結果!Q762))</f>
        <v/>
      </c>
      <c r="R762" s="14" t="str">
        <f t="shared" si="33"/>
        <v/>
      </c>
      <c r="S762" s="14" t="str">
        <f t="shared" si="34"/>
        <v>◯</v>
      </c>
      <c r="T762" s="14" t="str">
        <f t="shared" si="35"/>
        <v/>
      </c>
    </row>
    <row r="763" spans="1:20" hidden="1" x14ac:dyDescent="0.45">
      <c r="A763" s="10" t="str">
        <f>IF(IF(ISNA(計算結果!A763),"",計算結果!A763)=0,"",IF(ISNA(計算結果!A763),"",計算結果!A763))</f>
        <v/>
      </c>
      <c r="B763" s="10" t="str">
        <f>IF(IF(ISNA(計算結果!B763),"",計算結果!B763)=0,"",IF(ISNA(計算結果!B763),"",計算結果!B763))</f>
        <v/>
      </c>
      <c r="C763" s="10" t="str">
        <f>IF(IF(ISNA(計算結果!C763),"",計算結果!C763)=0,"",IF(ISNA(計算結果!C763),"",計算結果!C763))</f>
        <v/>
      </c>
      <c r="D763" s="10" t="str">
        <f>IF(IF(ISNA(計算結果!D763),"",計算結果!D763)=0,"",IF(ISNA(計算結果!D763),"",計算結果!D763))</f>
        <v>L</v>
      </c>
      <c r="E763" s="10" t="str">
        <f>IF(IF(ISNA(計算結果!E763),"",計算結果!E763)=0,"",IF(ISNA(計算結果!E763),"",計算結果!E763))</f>
        <v/>
      </c>
      <c r="F763" s="10" t="str">
        <f>IF(IF(ISNA(計算結果!F763),"",計算結果!F763)=0,"",IF(ISNA(計算結果!F763),"",計算結果!F763))</f>
        <v/>
      </c>
      <c r="G763" s="10" t="str">
        <f>IF(IF(ISNA(計算結果!G763),"",計算結果!G763)=0,"",IF(ISNA(計算結果!G763),"",計算結果!G763))</f>
        <v/>
      </c>
      <c r="H763" s="13">
        <f>IF(IF(ISNA(計算結果!H763),"",計算結果!H763)=0,"",IF(ISNA(計算結果!H763),"",計算結果!H763))</f>
        <v>-2</v>
      </c>
      <c r="I763" s="12" t="str">
        <f>IF(IF(ISNA(計算結果!I763),"",計算結果!I763)=0,"",IF(ISNA(計算結果!I763),"",計算結果!I763))</f>
        <v/>
      </c>
      <c r="J763" s="12" t="str">
        <f>IF(IF(ISNA(計算結果!J763),"",計算結果!J763)=0,"",IF(ISNA(計算結果!J763),"",計算結果!J763))</f>
        <v/>
      </c>
      <c r="K763" s="23" t="str">
        <f>IF(IF(ISNA(計算結果!K763),"",計算結果!K763)=0,"",IF(ISNA(計算結果!K763),"",計算結果!K763))</f>
        <v/>
      </c>
      <c r="L763" s="13" t="str">
        <f>IF(IF(ISNA(計算結果!L763),"",計算結果!L763)=0,"",IF(ISNA(計算結果!L763),"",計算結果!L763))</f>
        <v/>
      </c>
      <c r="M763" s="10" t="str">
        <f>IF(IF(ISNA(計算結果!M763),"",計算結果!M763)=0,"",IF(ISNA(計算結果!M763),"",計算結果!M763))</f>
        <v/>
      </c>
      <c r="N763" s="10" t="str">
        <f>IF(IF(ISNA(計算結果!N763),"",計算結果!N763)=0,"",IF(ISNA(計算結果!N763),"",計算結果!N763))</f>
        <v/>
      </c>
      <c r="O763" s="13" t="str">
        <f>IF(IF(ISNA(計算結果!O763),"",計算結果!O763)=0,"",IF(ISNA(計算結果!O763),"",計算結果!O763))</f>
        <v/>
      </c>
      <c r="P763" s="10" t="str">
        <f>IF(IF(ISNA(計算結果!P763),"",計算結果!P763)=0,"",IF(ISNA(計算結果!P763),"",計算結果!P763))</f>
        <v/>
      </c>
      <c r="Q763" s="10" t="str">
        <f>IF(IF(ISNA(計算結果!Q763),"",計算結果!Q763)=0,"",IF(ISNA(計算結果!Q763),"",計算結果!Q763))</f>
        <v/>
      </c>
      <c r="R763" s="14" t="str">
        <f t="shared" si="33"/>
        <v/>
      </c>
      <c r="S763" s="14" t="str">
        <f t="shared" si="34"/>
        <v>◯</v>
      </c>
      <c r="T763" s="14" t="str">
        <f t="shared" si="35"/>
        <v/>
      </c>
    </row>
    <row r="764" spans="1:20" hidden="1" x14ac:dyDescent="0.45">
      <c r="A764" s="10" t="str">
        <f>IF(IF(ISNA(計算結果!A764),"",計算結果!A764)=0,"",IF(ISNA(計算結果!A764),"",計算結果!A764))</f>
        <v/>
      </c>
      <c r="B764" s="10" t="str">
        <f>IF(IF(ISNA(計算結果!B764),"",計算結果!B764)=0,"",IF(ISNA(計算結果!B764),"",計算結果!B764))</f>
        <v/>
      </c>
      <c r="C764" s="10" t="str">
        <f>IF(IF(ISNA(計算結果!C764),"",計算結果!C764)=0,"",IF(ISNA(計算結果!C764),"",計算結果!C764))</f>
        <v/>
      </c>
      <c r="D764" s="10" t="str">
        <f>IF(IF(ISNA(計算結果!D764),"",計算結果!D764)=0,"",IF(ISNA(計算結果!D764),"",計算結果!D764))</f>
        <v>L</v>
      </c>
      <c r="E764" s="10" t="str">
        <f>IF(IF(ISNA(計算結果!E764),"",計算結果!E764)=0,"",IF(ISNA(計算結果!E764),"",計算結果!E764))</f>
        <v/>
      </c>
      <c r="F764" s="10" t="str">
        <f>IF(IF(ISNA(計算結果!F764),"",計算結果!F764)=0,"",IF(ISNA(計算結果!F764),"",計算結果!F764))</f>
        <v/>
      </c>
      <c r="G764" s="10" t="str">
        <f>IF(IF(ISNA(計算結果!G764),"",計算結果!G764)=0,"",IF(ISNA(計算結果!G764),"",計算結果!G764))</f>
        <v/>
      </c>
      <c r="H764" s="13">
        <f>IF(IF(ISNA(計算結果!H764),"",計算結果!H764)=0,"",IF(ISNA(計算結果!H764),"",計算結果!H764))</f>
        <v>-2</v>
      </c>
      <c r="I764" s="12" t="str">
        <f>IF(IF(ISNA(計算結果!I764),"",計算結果!I764)=0,"",IF(ISNA(計算結果!I764),"",計算結果!I764))</f>
        <v/>
      </c>
      <c r="J764" s="12" t="str">
        <f>IF(IF(ISNA(計算結果!J764),"",計算結果!J764)=0,"",IF(ISNA(計算結果!J764),"",計算結果!J764))</f>
        <v/>
      </c>
      <c r="K764" s="23" t="str">
        <f>IF(IF(ISNA(計算結果!K764),"",計算結果!K764)=0,"",IF(ISNA(計算結果!K764),"",計算結果!K764))</f>
        <v/>
      </c>
      <c r="L764" s="13" t="str">
        <f>IF(IF(ISNA(計算結果!L764),"",計算結果!L764)=0,"",IF(ISNA(計算結果!L764),"",計算結果!L764))</f>
        <v/>
      </c>
      <c r="M764" s="10" t="str">
        <f>IF(IF(ISNA(計算結果!M764),"",計算結果!M764)=0,"",IF(ISNA(計算結果!M764),"",計算結果!M764))</f>
        <v/>
      </c>
      <c r="N764" s="10" t="str">
        <f>IF(IF(ISNA(計算結果!N764),"",計算結果!N764)=0,"",IF(ISNA(計算結果!N764),"",計算結果!N764))</f>
        <v/>
      </c>
      <c r="O764" s="13" t="str">
        <f>IF(IF(ISNA(計算結果!O764),"",計算結果!O764)=0,"",IF(ISNA(計算結果!O764),"",計算結果!O764))</f>
        <v/>
      </c>
      <c r="P764" s="10" t="str">
        <f>IF(IF(ISNA(計算結果!P764),"",計算結果!P764)=0,"",IF(ISNA(計算結果!P764),"",計算結果!P764))</f>
        <v/>
      </c>
      <c r="Q764" s="10" t="str">
        <f>IF(IF(ISNA(計算結果!Q764),"",計算結果!Q764)=0,"",IF(ISNA(計算結果!Q764),"",計算結果!Q764))</f>
        <v/>
      </c>
      <c r="R764" s="14" t="str">
        <f t="shared" si="33"/>
        <v/>
      </c>
      <c r="S764" s="14" t="str">
        <f t="shared" si="34"/>
        <v>◯</v>
      </c>
      <c r="T764" s="14" t="str">
        <f t="shared" si="35"/>
        <v/>
      </c>
    </row>
    <row r="765" spans="1:20" hidden="1" x14ac:dyDescent="0.45">
      <c r="A765" s="10" t="str">
        <f>IF(IF(ISNA(計算結果!A765),"",計算結果!A765)=0,"",IF(ISNA(計算結果!A765),"",計算結果!A765))</f>
        <v/>
      </c>
      <c r="B765" s="10" t="str">
        <f>IF(IF(ISNA(計算結果!B765),"",計算結果!B765)=0,"",IF(ISNA(計算結果!B765),"",計算結果!B765))</f>
        <v/>
      </c>
      <c r="C765" s="10" t="str">
        <f>IF(IF(ISNA(計算結果!C765),"",計算結果!C765)=0,"",IF(ISNA(計算結果!C765),"",計算結果!C765))</f>
        <v/>
      </c>
      <c r="D765" s="10" t="str">
        <f>IF(IF(ISNA(計算結果!D765),"",計算結果!D765)=0,"",IF(ISNA(計算結果!D765),"",計算結果!D765))</f>
        <v>L</v>
      </c>
      <c r="E765" s="10" t="str">
        <f>IF(IF(ISNA(計算結果!E765),"",計算結果!E765)=0,"",IF(ISNA(計算結果!E765),"",計算結果!E765))</f>
        <v/>
      </c>
      <c r="F765" s="10" t="str">
        <f>IF(IF(ISNA(計算結果!F765),"",計算結果!F765)=0,"",IF(ISNA(計算結果!F765),"",計算結果!F765))</f>
        <v/>
      </c>
      <c r="G765" s="10" t="str">
        <f>IF(IF(ISNA(計算結果!G765),"",計算結果!G765)=0,"",IF(ISNA(計算結果!G765),"",計算結果!G765))</f>
        <v/>
      </c>
      <c r="H765" s="13">
        <f>IF(IF(ISNA(計算結果!H765),"",計算結果!H765)=0,"",IF(ISNA(計算結果!H765),"",計算結果!H765))</f>
        <v>-2</v>
      </c>
      <c r="I765" s="12" t="str">
        <f>IF(IF(ISNA(計算結果!I765),"",計算結果!I765)=0,"",IF(ISNA(計算結果!I765),"",計算結果!I765))</f>
        <v/>
      </c>
      <c r="J765" s="12" t="str">
        <f>IF(IF(ISNA(計算結果!J765),"",計算結果!J765)=0,"",IF(ISNA(計算結果!J765),"",計算結果!J765))</f>
        <v/>
      </c>
      <c r="K765" s="23" t="str">
        <f>IF(IF(ISNA(計算結果!K765),"",計算結果!K765)=0,"",IF(ISNA(計算結果!K765),"",計算結果!K765))</f>
        <v/>
      </c>
      <c r="L765" s="13" t="str">
        <f>IF(IF(ISNA(計算結果!L765),"",計算結果!L765)=0,"",IF(ISNA(計算結果!L765),"",計算結果!L765))</f>
        <v/>
      </c>
      <c r="M765" s="10" t="str">
        <f>IF(IF(ISNA(計算結果!M765),"",計算結果!M765)=0,"",IF(ISNA(計算結果!M765),"",計算結果!M765))</f>
        <v/>
      </c>
      <c r="N765" s="10" t="str">
        <f>IF(IF(ISNA(計算結果!N765),"",計算結果!N765)=0,"",IF(ISNA(計算結果!N765),"",計算結果!N765))</f>
        <v/>
      </c>
      <c r="O765" s="13" t="str">
        <f>IF(IF(ISNA(計算結果!O765),"",計算結果!O765)=0,"",IF(ISNA(計算結果!O765),"",計算結果!O765))</f>
        <v/>
      </c>
      <c r="P765" s="10" t="str">
        <f>IF(IF(ISNA(計算結果!P765),"",計算結果!P765)=0,"",IF(ISNA(計算結果!P765),"",計算結果!P765))</f>
        <v/>
      </c>
      <c r="Q765" s="10" t="str">
        <f>IF(IF(ISNA(計算結果!Q765),"",計算結果!Q765)=0,"",IF(ISNA(計算結果!Q765),"",計算結果!Q765))</f>
        <v/>
      </c>
      <c r="R765" s="14" t="str">
        <f t="shared" si="33"/>
        <v/>
      </c>
      <c r="S765" s="14" t="str">
        <f t="shared" si="34"/>
        <v>◯</v>
      </c>
      <c r="T765" s="14" t="str">
        <f t="shared" si="35"/>
        <v/>
      </c>
    </row>
    <row r="766" spans="1:20" hidden="1" x14ac:dyDescent="0.45">
      <c r="A766" s="10" t="str">
        <f>IF(IF(ISNA(計算結果!A766),"",計算結果!A766)=0,"",IF(ISNA(計算結果!A766),"",計算結果!A766))</f>
        <v/>
      </c>
      <c r="B766" s="10" t="str">
        <f>IF(IF(ISNA(計算結果!B766),"",計算結果!B766)=0,"",IF(ISNA(計算結果!B766),"",計算結果!B766))</f>
        <v/>
      </c>
      <c r="C766" s="10" t="str">
        <f>IF(IF(ISNA(計算結果!C766),"",計算結果!C766)=0,"",IF(ISNA(計算結果!C766),"",計算結果!C766))</f>
        <v/>
      </c>
      <c r="D766" s="10" t="str">
        <f>IF(IF(ISNA(計算結果!D766),"",計算結果!D766)=0,"",IF(ISNA(計算結果!D766),"",計算結果!D766))</f>
        <v>L</v>
      </c>
      <c r="E766" s="10" t="str">
        <f>IF(IF(ISNA(計算結果!E766),"",計算結果!E766)=0,"",IF(ISNA(計算結果!E766),"",計算結果!E766))</f>
        <v/>
      </c>
      <c r="F766" s="10" t="str">
        <f>IF(IF(ISNA(計算結果!F766),"",計算結果!F766)=0,"",IF(ISNA(計算結果!F766),"",計算結果!F766))</f>
        <v/>
      </c>
      <c r="G766" s="10" t="str">
        <f>IF(IF(ISNA(計算結果!G766),"",計算結果!G766)=0,"",IF(ISNA(計算結果!G766),"",計算結果!G766))</f>
        <v/>
      </c>
      <c r="H766" s="13">
        <f>IF(IF(ISNA(計算結果!H766),"",計算結果!H766)=0,"",IF(ISNA(計算結果!H766),"",計算結果!H766))</f>
        <v>-2</v>
      </c>
      <c r="I766" s="12" t="str">
        <f>IF(IF(ISNA(計算結果!I766),"",計算結果!I766)=0,"",IF(ISNA(計算結果!I766),"",計算結果!I766))</f>
        <v/>
      </c>
      <c r="J766" s="12" t="str">
        <f>IF(IF(ISNA(計算結果!J766),"",計算結果!J766)=0,"",IF(ISNA(計算結果!J766),"",計算結果!J766))</f>
        <v/>
      </c>
      <c r="K766" s="23" t="str">
        <f>IF(IF(ISNA(計算結果!K766),"",計算結果!K766)=0,"",IF(ISNA(計算結果!K766),"",計算結果!K766))</f>
        <v/>
      </c>
      <c r="L766" s="13" t="str">
        <f>IF(IF(ISNA(計算結果!L766),"",計算結果!L766)=0,"",IF(ISNA(計算結果!L766),"",計算結果!L766))</f>
        <v/>
      </c>
      <c r="M766" s="10" t="str">
        <f>IF(IF(ISNA(計算結果!M766),"",計算結果!M766)=0,"",IF(ISNA(計算結果!M766),"",計算結果!M766))</f>
        <v/>
      </c>
      <c r="N766" s="10" t="str">
        <f>IF(IF(ISNA(計算結果!N766),"",計算結果!N766)=0,"",IF(ISNA(計算結果!N766),"",計算結果!N766))</f>
        <v/>
      </c>
      <c r="O766" s="13" t="str">
        <f>IF(IF(ISNA(計算結果!O766),"",計算結果!O766)=0,"",IF(ISNA(計算結果!O766),"",計算結果!O766))</f>
        <v/>
      </c>
      <c r="P766" s="10" t="str">
        <f>IF(IF(ISNA(計算結果!P766),"",計算結果!P766)=0,"",IF(ISNA(計算結果!P766),"",計算結果!P766))</f>
        <v/>
      </c>
      <c r="Q766" s="10" t="str">
        <f>IF(IF(ISNA(計算結果!Q766),"",計算結果!Q766)=0,"",IF(ISNA(計算結果!Q766),"",計算結果!Q766))</f>
        <v/>
      </c>
      <c r="R766" s="14" t="str">
        <f t="shared" si="33"/>
        <v/>
      </c>
      <c r="S766" s="14" t="str">
        <f t="shared" si="34"/>
        <v>◯</v>
      </c>
      <c r="T766" s="14" t="str">
        <f t="shared" si="35"/>
        <v/>
      </c>
    </row>
    <row r="767" spans="1:20" hidden="1" x14ac:dyDescent="0.45">
      <c r="A767" s="10" t="str">
        <f>IF(IF(ISNA(計算結果!A767),"",計算結果!A767)=0,"",IF(ISNA(計算結果!A767),"",計算結果!A767))</f>
        <v/>
      </c>
      <c r="B767" s="10" t="str">
        <f>IF(IF(ISNA(計算結果!B767),"",計算結果!B767)=0,"",IF(ISNA(計算結果!B767),"",計算結果!B767))</f>
        <v/>
      </c>
      <c r="C767" s="10" t="str">
        <f>IF(IF(ISNA(計算結果!C767),"",計算結果!C767)=0,"",IF(ISNA(計算結果!C767),"",計算結果!C767))</f>
        <v/>
      </c>
      <c r="D767" s="10" t="str">
        <f>IF(IF(ISNA(計算結果!D767),"",計算結果!D767)=0,"",IF(ISNA(計算結果!D767),"",計算結果!D767))</f>
        <v>L</v>
      </c>
      <c r="E767" s="10" t="str">
        <f>IF(IF(ISNA(計算結果!E767),"",計算結果!E767)=0,"",IF(ISNA(計算結果!E767),"",計算結果!E767))</f>
        <v/>
      </c>
      <c r="F767" s="10" t="str">
        <f>IF(IF(ISNA(計算結果!F767),"",計算結果!F767)=0,"",IF(ISNA(計算結果!F767),"",計算結果!F767))</f>
        <v/>
      </c>
      <c r="G767" s="10" t="str">
        <f>IF(IF(ISNA(計算結果!G767),"",計算結果!G767)=0,"",IF(ISNA(計算結果!G767),"",計算結果!G767))</f>
        <v/>
      </c>
      <c r="H767" s="13">
        <f>IF(IF(ISNA(計算結果!H767),"",計算結果!H767)=0,"",IF(ISNA(計算結果!H767),"",計算結果!H767))</f>
        <v>-2</v>
      </c>
      <c r="I767" s="12" t="str">
        <f>IF(IF(ISNA(計算結果!I767),"",計算結果!I767)=0,"",IF(ISNA(計算結果!I767),"",計算結果!I767))</f>
        <v/>
      </c>
      <c r="J767" s="12" t="str">
        <f>IF(IF(ISNA(計算結果!J767),"",計算結果!J767)=0,"",IF(ISNA(計算結果!J767),"",計算結果!J767))</f>
        <v/>
      </c>
      <c r="K767" s="23" t="str">
        <f>IF(IF(ISNA(計算結果!K767),"",計算結果!K767)=0,"",IF(ISNA(計算結果!K767),"",計算結果!K767))</f>
        <v/>
      </c>
      <c r="L767" s="13" t="str">
        <f>IF(IF(ISNA(計算結果!L767),"",計算結果!L767)=0,"",IF(ISNA(計算結果!L767),"",計算結果!L767))</f>
        <v/>
      </c>
      <c r="M767" s="10" t="str">
        <f>IF(IF(ISNA(計算結果!M767),"",計算結果!M767)=0,"",IF(ISNA(計算結果!M767),"",計算結果!M767))</f>
        <v/>
      </c>
      <c r="N767" s="10" t="str">
        <f>IF(IF(ISNA(計算結果!N767),"",計算結果!N767)=0,"",IF(ISNA(計算結果!N767),"",計算結果!N767))</f>
        <v/>
      </c>
      <c r="O767" s="13" t="str">
        <f>IF(IF(ISNA(計算結果!O767),"",計算結果!O767)=0,"",IF(ISNA(計算結果!O767),"",計算結果!O767))</f>
        <v/>
      </c>
      <c r="P767" s="10" t="str">
        <f>IF(IF(ISNA(計算結果!P767),"",計算結果!P767)=0,"",IF(ISNA(計算結果!P767),"",計算結果!P767))</f>
        <v/>
      </c>
      <c r="Q767" s="10" t="str">
        <f>IF(IF(ISNA(計算結果!Q767),"",計算結果!Q767)=0,"",IF(ISNA(計算結果!Q767),"",計算結果!Q767))</f>
        <v/>
      </c>
      <c r="R767" s="14" t="str">
        <f t="shared" si="33"/>
        <v/>
      </c>
      <c r="S767" s="14" t="str">
        <f t="shared" si="34"/>
        <v>◯</v>
      </c>
      <c r="T767" s="14" t="str">
        <f t="shared" si="35"/>
        <v/>
      </c>
    </row>
    <row r="768" spans="1:20" hidden="1" x14ac:dyDescent="0.45">
      <c r="A768" s="10" t="str">
        <f>IF(IF(ISNA(計算結果!A768),"",計算結果!A768)=0,"",IF(ISNA(計算結果!A768),"",計算結果!A768))</f>
        <v/>
      </c>
      <c r="B768" s="10" t="str">
        <f>IF(IF(ISNA(計算結果!B768),"",計算結果!B768)=0,"",IF(ISNA(計算結果!B768),"",計算結果!B768))</f>
        <v/>
      </c>
      <c r="C768" s="10" t="str">
        <f>IF(IF(ISNA(計算結果!C768),"",計算結果!C768)=0,"",IF(ISNA(計算結果!C768),"",計算結果!C768))</f>
        <v/>
      </c>
      <c r="D768" s="10" t="str">
        <f>IF(IF(ISNA(計算結果!D768),"",計算結果!D768)=0,"",IF(ISNA(計算結果!D768),"",計算結果!D768))</f>
        <v>L</v>
      </c>
      <c r="E768" s="10" t="str">
        <f>IF(IF(ISNA(計算結果!E768),"",計算結果!E768)=0,"",IF(ISNA(計算結果!E768),"",計算結果!E768))</f>
        <v/>
      </c>
      <c r="F768" s="10" t="str">
        <f>IF(IF(ISNA(計算結果!F768),"",計算結果!F768)=0,"",IF(ISNA(計算結果!F768),"",計算結果!F768))</f>
        <v/>
      </c>
      <c r="G768" s="10" t="str">
        <f>IF(IF(ISNA(計算結果!G768),"",計算結果!G768)=0,"",IF(ISNA(計算結果!G768),"",計算結果!G768))</f>
        <v/>
      </c>
      <c r="H768" s="13">
        <f>IF(IF(ISNA(計算結果!H768),"",計算結果!H768)=0,"",IF(ISNA(計算結果!H768),"",計算結果!H768))</f>
        <v>-2</v>
      </c>
      <c r="I768" s="12" t="str">
        <f>IF(IF(ISNA(計算結果!I768),"",計算結果!I768)=0,"",IF(ISNA(計算結果!I768),"",計算結果!I768))</f>
        <v/>
      </c>
      <c r="J768" s="12" t="str">
        <f>IF(IF(ISNA(計算結果!J768),"",計算結果!J768)=0,"",IF(ISNA(計算結果!J768),"",計算結果!J768))</f>
        <v/>
      </c>
      <c r="K768" s="23" t="str">
        <f>IF(IF(ISNA(計算結果!K768),"",計算結果!K768)=0,"",IF(ISNA(計算結果!K768),"",計算結果!K768))</f>
        <v/>
      </c>
      <c r="L768" s="13" t="str">
        <f>IF(IF(ISNA(計算結果!L768),"",計算結果!L768)=0,"",IF(ISNA(計算結果!L768),"",計算結果!L768))</f>
        <v/>
      </c>
      <c r="M768" s="10" t="str">
        <f>IF(IF(ISNA(計算結果!M768),"",計算結果!M768)=0,"",IF(ISNA(計算結果!M768),"",計算結果!M768))</f>
        <v/>
      </c>
      <c r="N768" s="10" t="str">
        <f>IF(IF(ISNA(計算結果!N768),"",計算結果!N768)=0,"",IF(ISNA(計算結果!N768),"",計算結果!N768))</f>
        <v/>
      </c>
      <c r="O768" s="13" t="str">
        <f>IF(IF(ISNA(計算結果!O768),"",計算結果!O768)=0,"",IF(ISNA(計算結果!O768),"",計算結果!O768))</f>
        <v/>
      </c>
      <c r="P768" s="10" t="str">
        <f>IF(IF(ISNA(計算結果!P768),"",計算結果!P768)=0,"",IF(ISNA(計算結果!P768),"",計算結果!P768))</f>
        <v/>
      </c>
      <c r="Q768" s="10" t="str">
        <f>IF(IF(ISNA(計算結果!Q768),"",計算結果!Q768)=0,"",IF(ISNA(計算結果!Q768),"",計算結果!Q768))</f>
        <v/>
      </c>
      <c r="R768" s="14" t="str">
        <f t="shared" si="33"/>
        <v/>
      </c>
      <c r="S768" s="14" t="str">
        <f t="shared" si="34"/>
        <v>◯</v>
      </c>
      <c r="T768" s="14" t="str">
        <f t="shared" si="35"/>
        <v/>
      </c>
    </row>
    <row r="769" spans="1:20" hidden="1" x14ac:dyDescent="0.45">
      <c r="A769" s="10" t="str">
        <f>IF(IF(ISNA(計算結果!A769),"",計算結果!A769)=0,"",IF(ISNA(計算結果!A769),"",計算結果!A769))</f>
        <v/>
      </c>
      <c r="B769" s="10" t="str">
        <f>IF(IF(ISNA(計算結果!B769),"",計算結果!B769)=0,"",IF(ISNA(計算結果!B769),"",計算結果!B769))</f>
        <v/>
      </c>
      <c r="C769" s="10" t="str">
        <f>IF(IF(ISNA(計算結果!C769),"",計算結果!C769)=0,"",IF(ISNA(計算結果!C769),"",計算結果!C769))</f>
        <v/>
      </c>
      <c r="D769" s="10" t="str">
        <f>IF(IF(ISNA(計算結果!D769),"",計算結果!D769)=0,"",IF(ISNA(計算結果!D769),"",計算結果!D769))</f>
        <v>L</v>
      </c>
      <c r="E769" s="10" t="str">
        <f>IF(IF(ISNA(計算結果!E769),"",計算結果!E769)=0,"",IF(ISNA(計算結果!E769),"",計算結果!E769))</f>
        <v/>
      </c>
      <c r="F769" s="10" t="str">
        <f>IF(IF(ISNA(計算結果!F769),"",計算結果!F769)=0,"",IF(ISNA(計算結果!F769),"",計算結果!F769))</f>
        <v/>
      </c>
      <c r="G769" s="10" t="str">
        <f>IF(IF(ISNA(計算結果!G769),"",計算結果!G769)=0,"",IF(ISNA(計算結果!G769),"",計算結果!G769))</f>
        <v/>
      </c>
      <c r="H769" s="13">
        <f>IF(IF(ISNA(計算結果!H769),"",計算結果!H769)=0,"",IF(ISNA(計算結果!H769),"",計算結果!H769))</f>
        <v>-2</v>
      </c>
      <c r="I769" s="12" t="str">
        <f>IF(IF(ISNA(計算結果!I769),"",計算結果!I769)=0,"",IF(ISNA(計算結果!I769),"",計算結果!I769))</f>
        <v/>
      </c>
      <c r="J769" s="12" t="str">
        <f>IF(IF(ISNA(計算結果!J769),"",計算結果!J769)=0,"",IF(ISNA(計算結果!J769),"",計算結果!J769))</f>
        <v/>
      </c>
      <c r="K769" s="23" t="str">
        <f>IF(IF(ISNA(計算結果!K769),"",計算結果!K769)=0,"",IF(ISNA(計算結果!K769),"",計算結果!K769))</f>
        <v/>
      </c>
      <c r="L769" s="13" t="str">
        <f>IF(IF(ISNA(計算結果!L769),"",計算結果!L769)=0,"",IF(ISNA(計算結果!L769),"",計算結果!L769))</f>
        <v/>
      </c>
      <c r="M769" s="10" t="str">
        <f>IF(IF(ISNA(計算結果!M769),"",計算結果!M769)=0,"",IF(ISNA(計算結果!M769),"",計算結果!M769))</f>
        <v/>
      </c>
      <c r="N769" s="10" t="str">
        <f>IF(IF(ISNA(計算結果!N769),"",計算結果!N769)=0,"",IF(ISNA(計算結果!N769),"",計算結果!N769))</f>
        <v/>
      </c>
      <c r="O769" s="13" t="str">
        <f>IF(IF(ISNA(計算結果!O769),"",計算結果!O769)=0,"",IF(ISNA(計算結果!O769),"",計算結果!O769))</f>
        <v/>
      </c>
      <c r="P769" s="10" t="str">
        <f>IF(IF(ISNA(計算結果!P769),"",計算結果!P769)=0,"",IF(ISNA(計算結果!P769),"",計算結果!P769))</f>
        <v/>
      </c>
      <c r="Q769" s="10" t="str">
        <f>IF(IF(ISNA(計算結果!Q769),"",計算結果!Q769)=0,"",IF(ISNA(計算結果!Q769),"",計算結果!Q769))</f>
        <v/>
      </c>
      <c r="R769" s="14" t="str">
        <f t="shared" si="33"/>
        <v/>
      </c>
      <c r="S769" s="14" t="str">
        <f t="shared" si="34"/>
        <v>◯</v>
      </c>
      <c r="T769" s="14" t="str">
        <f t="shared" si="35"/>
        <v/>
      </c>
    </row>
    <row r="770" spans="1:20" hidden="1" x14ac:dyDescent="0.45">
      <c r="A770" s="10" t="str">
        <f>IF(IF(ISNA(計算結果!A770),"",計算結果!A770)=0,"",IF(ISNA(計算結果!A770),"",計算結果!A770))</f>
        <v/>
      </c>
      <c r="B770" s="10" t="str">
        <f>IF(IF(ISNA(計算結果!B770),"",計算結果!B770)=0,"",IF(ISNA(計算結果!B770),"",計算結果!B770))</f>
        <v/>
      </c>
      <c r="C770" s="10" t="str">
        <f>IF(IF(ISNA(計算結果!C770),"",計算結果!C770)=0,"",IF(ISNA(計算結果!C770),"",計算結果!C770))</f>
        <v/>
      </c>
      <c r="D770" s="10" t="str">
        <f>IF(IF(ISNA(計算結果!D770),"",計算結果!D770)=0,"",IF(ISNA(計算結果!D770),"",計算結果!D770))</f>
        <v>L</v>
      </c>
      <c r="E770" s="10" t="str">
        <f>IF(IF(ISNA(計算結果!E770),"",計算結果!E770)=0,"",IF(ISNA(計算結果!E770),"",計算結果!E770))</f>
        <v/>
      </c>
      <c r="F770" s="10" t="str">
        <f>IF(IF(ISNA(計算結果!F770),"",計算結果!F770)=0,"",IF(ISNA(計算結果!F770),"",計算結果!F770))</f>
        <v/>
      </c>
      <c r="G770" s="10" t="str">
        <f>IF(IF(ISNA(計算結果!G770),"",計算結果!G770)=0,"",IF(ISNA(計算結果!G770),"",計算結果!G770))</f>
        <v/>
      </c>
      <c r="H770" s="13">
        <f>IF(IF(ISNA(計算結果!H770),"",計算結果!H770)=0,"",IF(ISNA(計算結果!H770),"",計算結果!H770))</f>
        <v>-2</v>
      </c>
      <c r="I770" s="12" t="str">
        <f>IF(IF(ISNA(計算結果!I770),"",計算結果!I770)=0,"",IF(ISNA(計算結果!I770),"",計算結果!I770))</f>
        <v/>
      </c>
      <c r="J770" s="12" t="str">
        <f>IF(IF(ISNA(計算結果!J770),"",計算結果!J770)=0,"",IF(ISNA(計算結果!J770),"",計算結果!J770))</f>
        <v/>
      </c>
      <c r="K770" s="23" t="str">
        <f>IF(IF(ISNA(計算結果!K770),"",計算結果!K770)=0,"",IF(ISNA(計算結果!K770),"",計算結果!K770))</f>
        <v/>
      </c>
      <c r="L770" s="13" t="str">
        <f>IF(IF(ISNA(計算結果!L770),"",計算結果!L770)=0,"",IF(ISNA(計算結果!L770),"",計算結果!L770))</f>
        <v/>
      </c>
      <c r="M770" s="10" t="str">
        <f>IF(IF(ISNA(計算結果!M770),"",計算結果!M770)=0,"",IF(ISNA(計算結果!M770),"",計算結果!M770))</f>
        <v/>
      </c>
      <c r="N770" s="10" t="str">
        <f>IF(IF(ISNA(計算結果!N770),"",計算結果!N770)=0,"",IF(ISNA(計算結果!N770),"",計算結果!N770))</f>
        <v/>
      </c>
      <c r="O770" s="13" t="str">
        <f>IF(IF(ISNA(計算結果!O770),"",計算結果!O770)=0,"",IF(ISNA(計算結果!O770),"",計算結果!O770))</f>
        <v/>
      </c>
      <c r="P770" s="10" t="str">
        <f>IF(IF(ISNA(計算結果!P770),"",計算結果!P770)=0,"",IF(ISNA(計算結果!P770),"",計算結果!P770))</f>
        <v/>
      </c>
      <c r="Q770" s="10" t="str">
        <f>IF(IF(ISNA(計算結果!Q770),"",計算結果!Q770)=0,"",IF(ISNA(計算結果!Q770),"",計算結果!Q770))</f>
        <v/>
      </c>
      <c r="R770" s="14" t="str">
        <f t="shared" si="33"/>
        <v/>
      </c>
      <c r="S770" s="14" t="str">
        <f t="shared" si="34"/>
        <v>◯</v>
      </c>
      <c r="T770" s="14" t="str">
        <f t="shared" si="35"/>
        <v/>
      </c>
    </row>
    <row r="771" spans="1:20" hidden="1" x14ac:dyDescent="0.45">
      <c r="A771" s="10" t="str">
        <f>IF(IF(ISNA(計算結果!A771),"",計算結果!A771)=0,"",IF(ISNA(計算結果!A771),"",計算結果!A771))</f>
        <v/>
      </c>
      <c r="B771" s="10" t="str">
        <f>IF(IF(ISNA(計算結果!B771),"",計算結果!B771)=0,"",IF(ISNA(計算結果!B771),"",計算結果!B771))</f>
        <v/>
      </c>
      <c r="C771" s="10" t="str">
        <f>IF(IF(ISNA(計算結果!C771),"",計算結果!C771)=0,"",IF(ISNA(計算結果!C771),"",計算結果!C771))</f>
        <v/>
      </c>
      <c r="D771" s="10" t="str">
        <f>IF(IF(ISNA(計算結果!D771),"",計算結果!D771)=0,"",IF(ISNA(計算結果!D771),"",計算結果!D771))</f>
        <v>L</v>
      </c>
      <c r="E771" s="10" t="str">
        <f>IF(IF(ISNA(計算結果!E771),"",計算結果!E771)=0,"",IF(ISNA(計算結果!E771),"",計算結果!E771))</f>
        <v/>
      </c>
      <c r="F771" s="10" t="str">
        <f>IF(IF(ISNA(計算結果!F771),"",計算結果!F771)=0,"",IF(ISNA(計算結果!F771),"",計算結果!F771))</f>
        <v/>
      </c>
      <c r="G771" s="10" t="str">
        <f>IF(IF(ISNA(計算結果!G771),"",計算結果!G771)=0,"",IF(ISNA(計算結果!G771),"",計算結果!G771))</f>
        <v/>
      </c>
      <c r="H771" s="13">
        <f>IF(IF(ISNA(計算結果!H771),"",計算結果!H771)=0,"",IF(ISNA(計算結果!H771),"",計算結果!H771))</f>
        <v>-2</v>
      </c>
      <c r="I771" s="12" t="str">
        <f>IF(IF(ISNA(計算結果!I771),"",計算結果!I771)=0,"",IF(ISNA(計算結果!I771),"",計算結果!I771))</f>
        <v/>
      </c>
      <c r="J771" s="12" t="str">
        <f>IF(IF(ISNA(計算結果!J771),"",計算結果!J771)=0,"",IF(ISNA(計算結果!J771),"",計算結果!J771))</f>
        <v/>
      </c>
      <c r="K771" s="23" t="str">
        <f>IF(IF(ISNA(計算結果!K771),"",計算結果!K771)=0,"",IF(ISNA(計算結果!K771),"",計算結果!K771))</f>
        <v/>
      </c>
      <c r="L771" s="13" t="str">
        <f>IF(IF(ISNA(計算結果!L771),"",計算結果!L771)=0,"",IF(ISNA(計算結果!L771),"",計算結果!L771))</f>
        <v/>
      </c>
      <c r="M771" s="10" t="str">
        <f>IF(IF(ISNA(計算結果!M771),"",計算結果!M771)=0,"",IF(ISNA(計算結果!M771),"",計算結果!M771))</f>
        <v/>
      </c>
      <c r="N771" s="10" t="str">
        <f>IF(IF(ISNA(計算結果!N771),"",計算結果!N771)=0,"",IF(ISNA(計算結果!N771),"",計算結果!N771))</f>
        <v/>
      </c>
      <c r="O771" s="13" t="str">
        <f>IF(IF(ISNA(計算結果!O771),"",計算結果!O771)=0,"",IF(ISNA(計算結果!O771),"",計算結果!O771))</f>
        <v/>
      </c>
      <c r="P771" s="10" t="str">
        <f>IF(IF(ISNA(計算結果!P771),"",計算結果!P771)=0,"",IF(ISNA(計算結果!P771),"",計算結果!P771))</f>
        <v/>
      </c>
      <c r="Q771" s="10" t="str">
        <f>IF(IF(ISNA(計算結果!Q771),"",計算結果!Q771)=0,"",IF(ISNA(計算結果!Q771),"",計算結果!Q771))</f>
        <v/>
      </c>
      <c r="R771" s="14" t="str">
        <f t="shared" ref="R771:R834" si="36">IF(AND(M771&lt;&gt;"",M771=N771),"◯","")</f>
        <v/>
      </c>
      <c r="S771" s="14" t="str">
        <f t="shared" ref="S771:S834" si="37">IF(M771="","◯","")</f>
        <v>◯</v>
      </c>
      <c r="T771" s="14" t="str">
        <f t="shared" ref="T771:T834" si="38">IF(AND(P771&lt;&gt;"",P771&lt;&gt;Q771),"◯","")</f>
        <v/>
      </c>
    </row>
    <row r="772" spans="1:20" hidden="1" x14ac:dyDescent="0.45">
      <c r="A772" s="10" t="str">
        <f>IF(IF(ISNA(計算結果!A772),"",計算結果!A772)=0,"",IF(ISNA(計算結果!A772),"",計算結果!A772))</f>
        <v/>
      </c>
      <c r="B772" s="10" t="str">
        <f>IF(IF(ISNA(計算結果!B772),"",計算結果!B772)=0,"",IF(ISNA(計算結果!B772),"",計算結果!B772))</f>
        <v/>
      </c>
      <c r="C772" s="10" t="str">
        <f>IF(IF(ISNA(計算結果!C772),"",計算結果!C772)=0,"",IF(ISNA(計算結果!C772),"",計算結果!C772))</f>
        <v/>
      </c>
      <c r="D772" s="10" t="str">
        <f>IF(IF(ISNA(計算結果!D772),"",計算結果!D772)=0,"",IF(ISNA(計算結果!D772),"",計算結果!D772))</f>
        <v>L</v>
      </c>
      <c r="E772" s="10" t="str">
        <f>IF(IF(ISNA(計算結果!E772),"",計算結果!E772)=0,"",IF(ISNA(計算結果!E772),"",計算結果!E772))</f>
        <v/>
      </c>
      <c r="F772" s="10" t="str">
        <f>IF(IF(ISNA(計算結果!F772),"",計算結果!F772)=0,"",IF(ISNA(計算結果!F772),"",計算結果!F772))</f>
        <v/>
      </c>
      <c r="G772" s="10" t="str">
        <f>IF(IF(ISNA(計算結果!G772),"",計算結果!G772)=0,"",IF(ISNA(計算結果!G772),"",計算結果!G772))</f>
        <v/>
      </c>
      <c r="H772" s="13">
        <f>IF(IF(ISNA(計算結果!H772),"",計算結果!H772)=0,"",IF(ISNA(計算結果!H772),"",計算結果!H772))</f>
        <v>-2</v>
      </c>
      <c r="I772" s="12" t="str">
        <f>IF(IF(ISNA(計算結果!I772),"",計算結果!I772)=0,"",IF(ISNA(計算結果!I772),"",計算結果!I772))</f>
        <v/>
      </c>
      <c r="J772" s="12" t="str">
        <f>IF(IF(ISNA(計算結果!J772),"",計算結果!J772)=0,"",IF(ISNA(計算結果!J772),"",計算結果!J772))</f>
        <v/>
      </c>
      <c r="K772" s="23" t="str">
        <f>IF(IF(ISNA(計算結果!K772),"",計算結果!K772)=0,"",IF(ISNA(計算結果!K772),"",計算結果!K772))</f>
        <v/>
      </c>
      <c r="L772" s="13" t="str">
        <f>IF(IF(ISNA(計算結果!L772),"",計算結果!L772)=0,"",IF(ISNA(計算結果!L772),"",計算結果!L772))</f>
        <v/>
      </c>
      <c r="M772" s="10" t="str">
        <f>IF(IF(ISNA(計算結果!M772),"",計算結果!M772)=0,"",IF(ISNA(計算結果!M772),"",計算結果!M772))</f>
        <v/>
      </c>
      <c r="N772" s="10" t="str">
        <f>IF(IF(ISNA(計算結果!N772),"",計算結果!N772)=0,"",IF(ISNA(計算結果!N772),"",計算結果!N772))</f>
        <v/>
      </c>
      <c r="O772" s="13" t="str">
        <f>IF(IF(ISNA(計算結果!O772),"",計算結果!O772)=0,"",IF(ISNA(計算結果!O772),"",計算結果!O772))</f>
        <v/>
      </c>
      <c r="P772" s="10" t="str">
        <f>IF(IF(ISNA(計算結果!P772),"",計算結果!P772)=0,"",IF(ISNA(計算結果!P772),"",計算結果!P772))</f>
        <v/>
      </c>
      <c r="Q772" s="10" t="str">
        <f>IF(IF(ISNA(計算結果!Q772),"",計算結果!Q772)=0,"",IF(ISNA(計算結果!Q772),"",計算結果!Q772))</f>
        <v/>
      </c>
      <c r="R772" s="14" t="str">
        <f t="shared" si="36"/>
        <v/>
      </c>
      <c r="S772" s="14" t="str">
        <f t="shared" si="37"/>
        <v>◯</v>
      </c>
      <c r="T772" s="14" t="str">
        <f t="shared" si="38"/>
        <v/>
      </c>
    </row>
    <row r="773" spans="1:20" hidden="1" x14ac:dyDescent="0.45">
      <c r="A773" s="10" t="str">
        <f>IF(IF(ISNA(計算結果!A773),"",計算結果!A773)=0,"",IF(ISNA(計算結果!A773),"",計算結果!A773))</f>
        <v/>
      </c>
      <c r="B773" s="10" t="str">
        <f>IF(IF(ISNA(計算結果!B773),"",計算結果!B773)=0,"",IF(ISNA(計算結果!B773),"",計算結果!B773))</f>
        <v/>
      </c>
      <c r="C773" s="10" t="str">
        <f>IF(IF(ISNA(計算結果!C773),"",計算結果!C773)=0,"",IF(ISNA(計算結果!C773),"",計算結果!C773))</f>
        <v/>
      </c>
      <c r="D773" s="10" t="str">
        <f>IF(IF(ISNA(計算結果!D773),"",計算結果!D773)=0,"",IF(ISNA(計算結果!D773),"",計算結果!D773))</f>
        <v>L</v>
      </c>
      <c r="E773" s="10" t="str">
        <f>IF(IF(ISNA(計算結果!E773),"",計算結果!E773)=0,"",IF(ISNA(計算結果!E773),"",計算結果!E773))</f>
        <v/>
      </c>
      <c r="F773" s="10" t="str">
        <f>IF(IF(ISNA(計算結果!F773),"",計算結果!F773)=0,"",IF(ISNA(計算結果!F773),"",計算結果!F773))</f>
        <v/>
      </c>
      <c r="G773" s="10" t="str">
        <f>IF(IF(ISNA(計算結果!G773),"",計算結果!G773)=0,"",IF(ISNA(計算結果!G773),"",計算結果!G773))</f>
        <v/>
      </c>
      <c r="H773" s="13">
        <f>IF(IF(ISNA(計算結果!H773),"",計算結果!H773)=0,"",IF(ISNA(計算結果!H773),"",計算結果!H773))</f>
        <v>-2</v>
      </c>
      <c r="I773" s="12" t="str">
        <f>IF(IF(ISNA(計算結果!I773),"",計算結果!I773)=0,"",IF(ISNA(計算結果!I773),"",計算結果!I773))</f>
        <v/>
      </c>
      <c r="J773" s="12" t="str">
        <f>IF(IF(ISNA(計算結果!J773),"",計算結果!J773)=0,"",IF(ISNA(計算結果!J773),"",計算結果!J773))</f>
        <v/>
      </c>
      <c r="K773" s="23" t="str">
        <f>IF(IF(ISNA(計算結果!K773),"",計算結果!K773)=0,"",IF(ISNA(計算結果!K773),"",計算結果!K773))</f>
        <v/>
      </c>
      <c r="L773" s="13" t="str">
        <f>IF(IF(ISNA(計算結果!L773),"",計算結果!L773)=0,"",IF(ISNA(計算結果!L773),"",計算結果!L773))</f>
        <v/>
      </c>
      <c r="M773" s="10" t="str">
        <f>IF(IF(ISNA(計算結果!M773),"",計算結果!M773)=0,"",IF(ISNA(計算結果!M773),"",計算結果!M773))</f>
        <v/>
      </c>
      <c r="N773" s="10" t="str">
        <f>IF(IF(ISNA(計算結果!N773),"",計算結果!N773)=0,"",IF(ISNA(計算結果!N773),"",計算結果!N773))</f>
        <v/>
      </c>
      <c r="O773" s="13" t="str">
        <f>IF(IF(ISNA(計算結果!O773),"",計算結果!O773)=0,"",IF(ISNA(計算結果!O773),"",計算結果!O773))</f>
        <v/>
      </c>
      <c r="P773" s="10" t="str">
        <f>IF(IF(ISNA(計算結果!P773),"",計算結果!P773)=0,"",IF(ISNA(計算結果!P773),"",計算結果!P773))</f>
        <v/>
      </c>
      <c r="Q773" s="10" t="str">
        <f>IF(IF(ISNA(計算結果!Q773),"",計算結果!Q773)=0,"",IF(ISNA(計算結果!Q773),"",計算結果!Q773))</f>
        <v/>
      </c>
      <c r="R773" s="14" t="str">
        <f t="shared" si="36"/>
        <v/>
      </c>
      <c r="S773" s="14" t="str">
        <f t="shared" si="37"/>
        <v>◯</v>
      </c>
      <c r="T773" s="14" t="str">
        <f t="shared" si="38"/>
        <v/>
      </c>
    </row>
    <row r="774" spans="1:20" hidden="1" x14ac:dyDescent="0.45">
      <c r="A774" s="10" t="str">
        <f>IF(IF(ISNA(計算結果!A774),"",計算結果!A774)=0,"",IF(ISNA(計算結果!A774),"",計算結果!A774))</f>
        <v/>
      </c>
      <c r="B774" s="10" t="str">
        <f>IF(IF(ISNA(計算結果!B774),"",計算結果!B774)=0,"",IF(ISNA(計算結果!B774),"",計算結果!B774))</f>
        <v/>
      </c>
      <c r="C774" s="10" t="str">
        <f>IF(IF(ISNA(計算結果!C774),"",計算結果!C774)=0,"",IF(ISNA(計算結果!C774),"",計算結果!C774))</f>
        <v/>
      </c>
      <c r="D774" s="10" t="str">
        <f>IF(IF(ISNA(計算結果!D774),"",計算結果!D774)=0,"",IF(ISNA(計算結果!D774),"",計算結果!D774))</f>
        <v>L</v>
      </c>
      <c r="E774" s="10" t="str">
        <f>IF(IF(ISNA(計算結果!E774),"",計算結果!E774)=0,"",IF(ISNA(計算結果!E774),"",計算結果!E774))</f>
        <v/>
      </c>
      <c r="F774" s="10" t="str">
        <f>IF(IF(ISNA(計算結果!F774),"",計算結果!F774)=0,"",IF(ISNA(計算結果!F774),"",計算結果!F774))</f>
        <v/>
      </c>
      <c r="G774" s="10" t="str">
        <f>IF(IF(ISNA(計算結果!G774),"",計算結果!G774)=0,"",IF(ISNA(計算結果!G774),"",計算結果!G774))</f>
        <v/>
      </c>
      <c r="H774" s="13">
        <f>IF(IF(ISNA(計算結果!H774),"",計算結果!H774)=0,"",IF(ISNA(計算結果!H774),"",計算結果!H774))</f>
        <v>-2</v>
      </c>
      <c r="I774" s="12" t="str">
        <f>IF(IF(ISNA(計算結果!I774),"",計算結果!I774)=0,"",IF(ISNA(計算結果!I774),"",計算結果!I774))</f>
        <v/>
      </c>
      <c r="J774" s="12" t="str">
        <f>IF(IF(ISNA(計算結果!J774),"",計算結果!J774)=0,"",IF(ISNA(計算結果!J774),"",計算結果!J774))</f>
        <v/>
      </c>
      <c r="K774" s="23" t="str">
        <f>IF(IF(ISNA(計算結果!K774),"",計算結果!K774)=0,"",IF(ISNA(計算結果!K774),"",計算結果!K774))</f>
        <v/>
      </c>
      <c r="L774" s="13" t="str">
        <f>IF(IF(ISNA(計算結果!L774),"",計算結果!L774)=0,"",IF(ISNA(計算結果!L774),"",計算結果!L774))</f>
        <v/>
      </c>
      <c r="M774" s="10" t="str">
        <f>IF(IF(ISNA(計算結果!M774),"",計算結果!M774)=0,"",IF(ISNA(計算結果!M774),"",計算結果!M774))</f>
        <v/>
      </c>
      <c r="N774" s="10" t="str">
        <f>IF(IF(ISNA(計算結果!N774),"",計算結果!N774)=0,"",IF(ISNA(計算結果!N774),"",計算結果!N774))</f>
        <v/>
      </c>
      <c r="O774" s="13" t="str">
        <f>IF(IF(ISNA(計算結果!O774),"",計算結果!O774)=0,"",IF(ISNA(計算結果!O774),"",計算結果!O774))</f>
        <v/>
      </c>
      <c r="P774" s="10" t="str">
        <f>IF(IF(ISNA(計算結果!P774),"",計算結果!P774)=0,"",IF(ISNA(計算結果!P774),"",計算結果!P774))</f>
        <v/>
      </c>
      <c r="Q774" s="10" t="str">
        <f>IF(IF(ISNA(計算結果!Q774),"",計算結果!Q774)=0,"",IF(ISNA(計算結果!Q774),"",計算結果!Q774))</f>
        <v/>
      </c>
      <c r="R774" s="14" t="str">
        <f t="shared" si="36"/>
        <v/>
      </c>
      <c r="S774" s="14" t="str">
        <f t="shared" si="37"/>
        <v>◯</v>
      </c>
      <c r="T774" s="14" t="str">
        <f t="shared" si="38"/>
        <v/>
      </c>
    </row>
    <row r="775" spans="1:20" hidden="1" x14ac:dyDescent="0.45">
      <c r="A775" s="10" t="str">
        <f>IF(IF(ISNA(計算結果!A775),"",計算結果!A775)=0,"",IF(ISNA(計算結果!A775),"",計算結果!A775))</f>
        <v/>
      </c>
      <c r="B775" s="10" t="str">
        <f>IF(IF(ISNA(計算結果!B775),"",計算結果!B775)=0,"",IF(ISNA(計算結果!B775),"",計算結果!B775))</f>
        <v/>
      </c>
      <c r="C775" s="10" t="str">
        <f>IF(IF(ISNA(計算結果!C775),"",計算結果!C775)=0,"",IF(ISNA(計算結果!C775),"",計算結果!C775))</f>
        <v/>
      </c>
      <c r="D775" s="10" t="str">
        <f>IF(IF(ISNA(計算結果!D775),"",計算結果!D775)=0,"",IF(ISNA(計算結果!D775),"",計算結果!D775))</f>
        <v>L</v>
      </c>
      <c r="E775" s="10" t="str">
        <f>IF(IF(ISNA(計算結果!E775),"",計算結果!E775)=0,"",IF(ISNA(計算結果!E775),"",計算結果!E775))</f>
        <v/>
      </c>
      <c r="F775" s="10" t="str">
        <f>IF(IF(ISNA(計算結果!F775),"",計算結果!F775)=0,"",IF(ISNA(計算結果!F775),"",計算結果!F775))</f>
        <v/>
      </c>
      <c r="G775" s="10" t="str">
        <f>IF(IF(ISNA(計算結果!G775),"",計算結果!G775)=0,"",IF(ISNA(計算結果!G775),"",計算結果!G775))</f>
        <v/>
      </c>
      <c r="H775" s="13">
        <f>IF(IF(ISNA(計算結果!H775),"",計算結果!H775)=0,"",IF(ISNA(計算結果!H775),"",計算結果!H775))</f>
        <v>-2</v>
      </c>
      <c r="I775" s="12" t="str">
        <f>IF(IF(ISNA(計算結果!I775),"",計算結果!I775)=0,"",IF(ISNA(計算結果!I775),"",計算結果!I775))</f>
        <v/>
      </c>
      <c r="J775" s="12" t="str">
        <f>IF(IF(ISNA(計算結果!J775),"",計算結果!J775)=0,"",IF(ISNA(計算結果!J775),"",計算結果!J775))</f>
        <v/>
      </c>
      <c r="K775" s="23" t="str">
        <f>IF(IF(ISNA(計算結果!K775),"",計算結果!K775)=0,"",IF(ISNA(計算結果!K775),"",計算結果!K775))</f>
        <v/>
      </c>
      <c r="L775" s="13" t="str">
        <f>IF(IF(ISNA(計算結果!L775),"",計算結果!L775)=0,"",IF(ISNA(計算結果!L775),"",計算結果!L775))</f>
        <v/>
      </c>
      <c r="M775" s="10" t="str">
        <f>IF(IF(ISNA(計算結果!M775),"",計算結果!M775)=0,"",IF(ISNA(計算結果!M775),"",計算結果!M775))</f>
        <v/>
      </c>
      <c r="N775" s="10" t="str">
        <f>IF(IF(ISNA(計算結果!N775),"",計算結果!N775)=0,"",IF(ISNA(計算結果!N775),"",計算結果!N775))</f>
        <v/>
      </c>
      <c r="O775" s="13" t="str">
        <f>IF(IF(ISNA(計算結果!O775),"",計算結果!O775)=0,"",IF(ISNA(計算結果!O775),"",計算結果!O775))</f>
        <v/>
      </c>
      <c r="P775" s="10" t="str">
        <f>IF(IF(ISNA(計算結果!P775),"",計算結果!P775)=0,"",IF(ISNA(計算結果!P775),"",計算結果!P775))</f>
        <v/>
      </c>
      <c r="Q775" s="10" t="str">
        <f>IF(IF(ISNA(計算結果!Q775),"",計算結果!Q775)=0,"",IF(ISNA(計算結果!Q775),"",計算結果!Q775))</f>
        <v/>
      </c>
      <c r="R775" s="14" t="str">
        <f t="shared" si="36"/>
        <v/>
      </c>
      <c r="S775" s="14" t="str">
        <f t="shared" si="37"/>
        <v>◯</v>
      </c>
      <c r="T775" s="14" t="str">
        <f t="shared" si="38"/>
        <v/>
      </c>
    </row>
    <row r="776" spans="1:20" hidden="1" x14ac:dyDescent="0.45">
      <c r="A776" s="10" t="str">
        <f>IF(IF(ISNA(計算結果!A776),"",計算結果!A776)=0,"",IF(ISNA(計算結果!A776),"",計算結果!A776))</f>
        <v/>
      </c>
      <c r="B776" s="10" t="str">
        <f>IF(IF(ISNA(計算結果!B776),"",計算結果!B776)=0,"",IF(ISNA(計算結果!B776),"",計算結果!B776))</f>
        <v/>
      </c>
      <c r="C776" s="10" t="str">
        <f>IF(IF(ISNA(計算結果!C776),"",計算結果!C776)=0,"",IF(ISNA(計算結果!C776),"",計算結果!C776))</f>
        <v/>
      </c>
      <c r="D776" s="10" t="str">
        <f>IF(IF(ISNA(計算結果!D776),"",計算結果!D776)=0,"",IF(ISNA(計算結果!D776),"",計算結果!D776))</f>
        <v>L</v>
      </c>
      <c r="E776" s="10" t="str">
        <f>IF(IF(ISNA(計算結果!E776),"",計算結果!E776)=0,"",IF(ISNA(計算結果!E776),"",計算結果!E776))</f>
        <v/>
      </c>
      <c r="F776" s="10" t="str">
        <f>IF(IF(ISNA(計算結果!F776),"",計算結果!F776)=0,"",IF(ISNA(計算結果!F776),"",計算結果!F776))</f>
        <v/>
      </c>
      <c r="G776" s="10" t="str">
        <f>IF(IF(ISNA(計算結果!G776),"",計算結果!G776)=0,"",IF(ISNA(計算結果!G776),"",計算結果!G776))</f>
        <v/>
      </c>
      <c r="H776" s="13">
        <f>IF(IF(ISNA(計算結果!H776),"",計算結果!H776)=0,"",IF(ISNA(計算結果!H776),"",計算結果!H776))</f>
        <v>-2</v>
      </c>
      <c r="I776" s="12" t="str">
        <f>IF(IF(ISNA(計算結果!I776),"",計算結果!I776)=0,"",IF(ISNA(計算結果!I776),"",計算結果!I776))</f>
        <v/>
      </c>
      <c r="J776" s="12" t="str">
        <f>IF(IF(ISNA(計算結果!J776),"",計算結果!J776)=0,"",IF(ISNA(計算結果!J776),"",計算結果!J776))</f>
        <v/>
      </c>
      <c r="K776" s="23" t="str">
        <f>IF(IF(ISNA(計算結果!K776),"",計算結果!K776)=0,"",IF(ISNA(計算結果!K776),"",計算結果!K776))</f>
        <v/>
      </c>
      <c r="L776" s="13" t="str">
        <f>IF(IF(ISNA(計算結果!L776),"",計算結果!L776)=0,"",IF(ISNA(計算結果!L776),"",計算結果!L776))</f>
        <v/>
      </c>
      <c r="M776" s="10" t="str">
        <f>IF(IF(ISNA(計算結果!M776),"",計算結果!M776)=0,"",IF(ISNA(計算結果!M776),"",計算結果!M776))</f>
        <v/>
      </c>
      <c r="N776" s="10" t="str">
        <f>IF(IF(ISNA(計算結果!N776),"",計算結果!N776)=0,"",IF(ISNA(計算結果!N776),"",計算結果!N776))</f>
        <v/>
      </c>
      <c r="O776" s="13" t="str">
        <f>IF(IF(ISNA(計算結果!O776),"",計算結果!O776)=0,"",IF(ISNA(計算結果!O776),"",計算結果!O776))</f>
        <v/>
      </c>
      <c r="P776" s="10" t="str">
        <f>IF(IF(ISNA(計算結果!P776),"",計算結果!P776)=0,"",IF(ISNA(計算結果!P776),"",計算結果!P776))</f>
        <v/>
      </c>
      <c r="Q776" s="10" t="str">
        <f>IF(IF(ISNA(計算結果!Q776),"",計算結果!Q776)=0,"",IF(ISNA(計算結果!Q776),"",計算結果!Q776))</f>
        <v/>
      </c>
      <c r="R776" s="14" t="str">
        <f t="shared" si="36"/>
        <v/>
      </c>
      <c r="S776" s="14" t="str">
        <f t="shared" si="37"/>
        <v>◯</v>
      </c>
      <c r="T776" s="14" t="str">
        <f t="shared" si="38"/>
        <v/>
      </c>
    </row>
    <row r="777" spans="1:20" hidden="1" x14ac:dyDescent="0.45">
      <c r="A777" s="10" t="str">
        <f>IF(IF(ISNA(計算結果!A777),"",計算結果!A777)=0,"",IF(ISNA(計算結果!A777),"",計算結果!A777))</f>
        <v/>
      </c>
      <c r="B777" s="10" t="str">
        <f>IF(IF(ISNA(計算結果!B777),"",計算結果!B777)=0,"",IF(ISNA(計算結果!B777),"",計算結果!B777))</f>
        <v/>
      </c>
      <c r="C777" s="10" t="str">
        <f>IF(IF(ISNA(計算結果!C777),"",計算結果!C777)=0,"",IF(ISNA(計算結果!C777),"",計算結果!C777))</f>
        <v/>
      </c>
      <c r="D777" s="10" t="str">
        <f>IF(IF(ISNA(計算結果!D777),"",計算結果!D777)=0,"",IF(ISNA(計算結果!D777),"",計算結果!D777))</f>
        <v>L</v>
      </c>
      <c r="E777" s="10" t="str">
        <f>IF(IF(ISNA(計算結果!E777),"",計算結果!E777)=0,"",IF(ISNA(計算結果!E777),"",計算結果!E777))</f>
        <v/>
      </c>
      <c r="F777" s="10" t="str">
        <f>IF(IF(ISNA(計算結果!F777),"",計算結果!F777)=0,"",IF(ISNA(計算結果!F777),"",計算結果!F777))</f>
        <v/>
      </c>
      <c r="G777" s="10" t="str">
        <f>IF(IF(ISNA(計算結果!G777),"",計算結果!G777)=0,"",IF(ISNA(計算結果!G777),"",計算結果!G777))</f>
        <v/>
      </c>
      <c r="H777" s="13">
        <f>IF(IF(ISNA(計算結果!H777),"",計算結果!H777)=0,"",IF(ISNA(計算結果!H777),"",計算結果!H777))</f>
        <v>-2</v>
      </c>
      <c r="I777" s="12" t="str">
        <f>IF(IF(ISNA(計算結果!I777),"",計算結果!I777)=0,"",IF(ISNA(計算結果!I777),"",計算結果!I777))</f>
        <v/>
      </c>
      <c r="J777" s="12" t="str">
        <f>IF(IF(ISNA(計算結果!J777),"",計算結果!J777)=0,"",IF(ISNA(計算結果!J777),"",計算結果!J777))</f>
        <v/>
      </c>
      <c r="K777" s="23" t="str">
        <f>IF(IF(ISNA(計算結果!K777),"",計算結果!K777)=0,"",IF(ISNA(計算結果!K777),"",計算結果!K777))</f>
        <v/>
      </c>
      <c r="L777" s="13" t="str">
        <f>IF(IF(ISNA(計算結果!L777),"",計算結果!L777)=0,"",IF(ISNA(計算結果!L777),"",計算結果!L777))</f>
        <v/>
      </c>
      <c r="M777" s="10" t="str">
        <f>IF(IF(ISNA(計算結果!M777),"",計算結果!M777)=0,"",IF(ISNA(計算結果!M777),"",計算結果!M777))</f>
        <v/>
      </c>
      <c r="N777" s="10" t="str">
        <f>IF(IF(ISNA(計算結果!N777),"",計算結果!N777)=0,"",IF(ISNA(計算結果!N777),"",計算結果!N777))</f>
        <v/>
      </c>
      <c r="O777" s="13" t="str">
        <f>IF(IF(ISNA(計算結果!O777),"",計算結果!O777)=0,"",IF(ISNA(計算結果!O777),"",計算結果!O777))</f>
        <v/>
      </c>
      <c r="P777" s="10" t="str">
        <f>IF(IF(ISNA(計算結果!P777),"",計算結果!P777)=0,"",IF(ISNA(計算結果!P777),"",計算結果!P777))</f>
        <v/>
      </c>
      <c r="Q777" s="10" t="str">
        <f>IF(IF(ISNA(計算結果!Q777),"",計算結果!Q777)=0,"",IF(ISNA(計算結果!Q777),"",計算結果!Q777))</f>
        <v/>
      </c>
      <c r="R777" s="14" t="str">
        <f t="shared" si="36"/>
        <v/>
      </c>
      <c r="S777" s="14" t="str">
        <f t="shared" si="37"/>
        <v>◯</v>
      </c>
      <c r="T777" s="14" t="str">
        <f t="shared" si="38"/>
        <v/>
      </c>
    </row>
    <row r="778" spans="1:20" hidden="1" x14ac:dyDescent="0.45">
      <c r="A778" s="10" t="str">
        <f>IF(IF(ISNA(計算結果!A778),"",計算結果!A778)=0,"",IF(ISNA(計算結果!A778),"",計算結果!A778))</f>
        <v/>
      </c>
      <c r="B778" s="10" t="str">
        <f>IF(IF(ISNA(計算結果!B778),"",計算結果!B778)=0,"",IF(ISNA(計算結果!B778),"",計算結果!B778))</f>
        <v/>
      </c>
      <c r="C778" s="10" t="str">
        <f>IF(IF(ISNA(計算結果!C778),"",計算結果!C778)=0,"",IF(ISNA(計算結果!C778),"",計算結果!C778))</f>
        <v/>
      </c>
      <c r="D778" s="10" t="str">
        <f>IF(IF(ISNA(計算結果!D778),"",計算結果!D778)=0,"",IF(ISNA(計算結果!D778),"",計算結果!D778))</f>
        <v>L</v>
      </c>
      <c r="E778" s="10" t="str">
        <f>IF(IF(ISNA(計算結果!E778),"",計算結果!E778)=0,"",IF(ISNA(計算結果!E778),"",計算結果!E778))</f>
        <v/>
      </c>
      <c r="F778" s="10" t="str">
        <f>IF(IF(ISNA(計算結果!F778),"",計算結果!F778)=0,"",IF(ISNA(計算結果!F778),"",計算結果!F778))</f>
        <v/>
      </c>
      <c r="G778" s="10" t="str">
        <f>IF(IF(ISNA(計算結果!G778),"",計算結果!G778)=0,"",IF(ISNA(計算結果!G778),"",計算結果!G778))</f>
        <v/>
      </c>
      <c r="H778" s="13">
        <f>IF(IF(ISNA(計算結果!H778),"",計算結果!H778)=0,"",IF(ISNA(計算結果!H778),"",計算結果!H778))</f>
        <v>-2</v>
      </c>
      <c r="I778" s="12" t="str">
        <f>IF(IF(ISNA(計算結果!I778),"",計算結果!I778)=0,"",IF(ISNA(計算結果!I778),"",計算結果!I778))</f>
        <v/>
      </c>
      <c r="J778" s="12" t="str">
        <f>IF(IF(ISNA(計算結果!J778),"",計算結果!J778)=0,"",IF(ISNA(計算結果!J778),"",計算結果!J778))</f>
        <v/>
      </c>
      <c r="K778" s="23" t="str">
        <f>IF(IF(ISNA(計算結果!K778),"",計算結果!K778)=0,"",IF(ISNA(計算結果!K778),"",計算結果!K778))</f>
        <v/>
      </c>
      <c r="L778" s="13" t="str">
        <f>IF(IF(ISNA(計算結果!L778),"",計算結果!L778)=0,"",IF(ISNA(計算結果!L778),"",計算結果!L778))</f>
        <v/>
      </c>
      <c r="M778" s="10" t="str">
        <f>IF(IF(ISNA(計算結果!M778),"",計算結果!M778)=0,"",IF(ISNA(計算結果!M778),"",計算結果!M778))</f>
        <v/>
      </c>
      <c r="N778" s="10" t="str">
        <f>IF(IF(ISNA(計算結果!N778),"",計算結果!N778)=0,"",IF(ISNA(計算結果!N778),"",計算結果!N778))</f>
        <v/>
      </c>
      <c r="O778" s="13" t="str">
        <f>IF(IF(ISNA(計算結果!O778),"",計算結果!O778)=0,"",IF(ISNA(計算結果!O778),"",計算結果!O778))</f>
        <v/>
      </c>
      <c r="P778" s="10" t="str">
        <f>IF(IF(ISNA(計算結果!P778),"",計算結果!P778)=0,"",IF(ISNA(計算結果!P778),"",計算結果!P778))</f>
        <v/>
      </c>
      <c r="Q778" s="10" t="str">
        <f>IF(IF(ISNA(計算結果!Q778),"",計算結果!Q778)=0,"",IF(ISNA(計算結果!Q778),"",計算結果!Q778))</f>
        <v/>
      </c>
      <c r="R778" s="14" t="str">
        <f t="shared" si="36"/>
        <v/>
      </c>
      <c r="S778" s="14" t="str">
        <f t="shared" si="37"/>
        <v>◯</v>
      </c>
      <c r="T778" s="14" t="str">
        <f t="shared" si="38"/>
        <v/>
      </c>
    </row>
    <row r="779" spans="1:20" hidden="1" x14ac:dyDescent="0.45">
      <c r="A779" s="10" t="str">
        <f>IF(IF(ISNA(計算結果!A779),"",計算結果!A779)=0,"",IF(ISNA(計算結果!A779),"",計算結果!A779))</f>
        <v/>
      </c>
      <c r="B779" s="10" t="str">
        <f>IF(IF(ISNA(計算結果!B779),"",計算結果!B779)=0,"",IF(ISNA(計算結果!B779),"",計算結果!B779))</f>
        <v/>
      </c>
      <c r="C779" s="10" t="str">
        <f>IF(IF(ISNA(計算結果!C779),"",計算結果!C779)=0,"",IF(ISNA(計算結果!C779),"",計算結果!C779))</f>
        <v/>
      </c>
      <c r="D779" s="10" t="str">
        <f>IF(IF(ISNA(計算結果!D779),"",計算結果!D779)=0,"",IF(ISNA(計算結果!D779),"",計算結果!D779))</f>
        <v>L</v>
      </c>
      <c r="E779" s="10" t="str">
        <f>IF(IF(ISNA(計算結果!E779),"",計算結果!E779)=0,"",IF(ISNA(計算結果!E779),"",計算結果!E779))</f>
        <v/>
      </c>
      <c r="F779" s="10" t="str">
        <f>IF(IF(ISNA(計算結果!F779),"",計算結果!F779)=0,"",IF(ISNA(計算結果!F779),"",計算結果!F779))</f>
        <v/>
      </c>
      <c r="G779" s="10" t="str">
        <f>IF(IF(ISNA(計算結果!G779),"",計算結果!G779)=0,"",IF(ISNA(計算結果!G779),"",計算結果!G779))</f>
        <v/>
      </c>
      <c r="H779" s="13">
        <f>IF(IF(ISNA(計算結果!H779),"",計算結果!H779)=0,"",IF(ISNA(計算結果!H779),"",計算結果!H779))</f>
        <v>-2</v>
      </c>
      <c r="I779" s="12" t="str">
        <f>IF(IF(ISNA(計算結果!I779),"",計算結果!I779)=0,"",IF(ISNA(計算結果!I779),"",計算結果!I779))</f>
        <v/>
      </c>
      <c r="J779" s="12" t="str">
        <f>IF(IF(ISNA(計算結果!J779),"",計算結果!J779)=0,"",IF(ISNA(計算結果!J779),"",計算結果!J779))</f>
        <v/>
      </c>
      <c r="K779" s="23" t="str">
        <f>IF(IF(ISNA(計算結果!K779),"",計算結果!K779)=0,"",IF(ISNA(計算結果!K779),"",計算結果!K779))</f>
        <v/>
      </c>
      <c r="L779" s="13" t="str">
        <f>IF(IF(ISNA(計算結果!L779),"",計算結果!L779)=0,"",IF(ISNA(計算結果!L779),"",計算結果!L779))</f>
        <v/>
      </c>
      <c r="M779" s="10" t="str">
        <f>IF(IF(ISNA(計算結果!M779),"",計算結果!M779)=0,"",IF(ISNA(計算結果!M779),"",計算結果!M779))</f>
        <v/>
      </c>
      <c r="N779" s="10" t="str">
        <f>IF(IF(ISNA(計算結果!N779),"",計算結果!N779)=0,"",IF(ISNA(計算結果!N779),"",計算結果!N779))</f>
        <v/>
      </c>
      <c r="O779" s="13" t="str">
        <f>IF(IF(ISNA(計算結果!O779),"",計算結果!O779)=0,"",IF(ISNA(計算結果!O779),"",計算結果!O779))</f>
        <v/>
      </c>
      <c r="P779" s="10" t="str">
        <f>IF(IF(ISNA(計算結果!P779),"",計算結果!P779)=0,"",IF(ISNA(計算結果!P779),"",計算結果!P779))</f>
        <v/>
      </c>
      <c r="Q779" s="10" t="str">
        <f>IF(IF(ISNA(計算結果!Q779),"",計算結果!Q779)=0,"",IF(ISNA(計算結果!Q779),"",計算結果!Q779))</f>
        <v/>
      </c>
      <c r="R779" s="14" t="str">
        <f t="shared" si="36"/>
        <v/>
      </c>
      <c r="S779" s="14" t="str">
        <f t="shared" si="37"/>
        <v>◯</v>
      </c>
      <c r="T779" s="14" t="str">
        <f t="shared" si="38"/>
        <v/>
      </c>
    </row>
    <row r="780" spans="1:20" hidden="1" x14ac:dyDescent="0.45">
      <c r="A780" s="10" t="str">
        <f>IF(IF(ISNA(計算結果!A780),"",計算結果!A780)=0,"",IF(ISNA(計算結果!A780),"",計算結果!A780))</f>
        <v/>
      </c>
      <c r="B780" s="10" t="str">
        <f>IF(IF(ISNA(計算結果!B780),"",計算結果!B780)=0,"",IF(ISNA(計算結果!B780),"",計算結果!B780))</f>
        <v/>
      </c>
      <c r="C780" s="10" t="str">
        <f>IF(IF(ISNA(計算結果!C780),"",計算結果!C780)=0,"",IF(ISNA(計算結果!C780),"",計算結果!C780))</f>
        <v/>
      </c>
      <c r="D780" s="10" t="str">
        <f>IF(IF(ISNA(計算結果!D780),"",計算結果!D780)=0,"",IF(ISNA(計算結果!D780),"",計算結果!D780))</f>
        <v>L</v>
      </c>
      <c r="E780" s="10" t="str">
        <f>IF(IF(ISNA(計算結果!E780),"",計算結果!E780)=0,"",IF(ISNA(計算結果!E780),"",計算結果!E780))</f>
        <v/>
      </c>
      <c r="F780" s="10" t="str">
        <f>IF(IF(ISNA(計算結果!F780),"",計算結果!F780)=0,"",IF(ISNA(計算結果!F780),"",計算結果!F780))</f>
        <v/>
      </c>
      <c r="G780" s="10" t="str">
        <f>IF(IF(ISNA(計算結果!G780),"",計算結果!G780)=0,"",IF(ISNA(計算結果!G780),"",計算結果!G780))</f>
        <v/>
      </c>
      <c r="H780" s="13">
        <f>IF(IF(ISNA(計算結果!H780),"",計算結果!H780)=0,"",IF(ISNA(計算結果!H780),"",計算結果!H780))</f>
        <v>-2</v>
      </c>
      <c r="I780" s="12" t="str">
        <f>IF(IF(ISNA(計算結果!I780),"",計算結果!I780)=0,"",IF(ISNA(計算結果!I780),"",計算結果!I780))</f>
        <v/>
      </c>
      <c r="J780" s="12" t="str">
        <f>IF(IF(ISNA(計算結果!J780),"",計算結果!J780)=0,"",IF(ISNA(計算結果!J780),"",計算結果!J780))</f>
        <v/>
      </c>
      <c r="K780" s="23" t="str">
        <f>IF(IF(ISNA(計算結果!K780),"",計算結果!K780)=0,"",IF(ISNA(計算結果!K780),"",計算結果!K780))</f>
        <v/>
      </c>
      <c r="L780" s="13" t="str">
        <f>IF(IF(ISNA(計算結果!L780),"",計算結果!L780)=0,"",IF(ISNA(計算結果!L780),"",計算結果!L780))</f>
        <v/>
      </c>
      <c r="M780" s="10" t="str">
        <f>IF(IF(ISNA(計算結果!M780),"",計算結果!M780)=0,"",IF(ISNA(計算結果!M780),"",計算結果!M780))</f>
        <v/>
      </c>
      <c r="N780" s="10" t="str">
        <f>IF(IF(ISNA(計算結果!N780),"",計算結果!N780)=0,"",IF(ISNA(計算結果!N780),"",計算結果!N780))</f>
        <v/>
      </c>
      <c r="O780" s="13" t="str">
        <f>IF(IF(ISNA(計算結果!O780),"",計算結果!O780)=0,"",IF(ISNA(計算結果!O780),"",計算結果!O780))</f>
        <v/>
      </c>
      <c r="P780" s="10" t="str">
        <f>IF(IF(ISNA(計算結果!P780),"",計算結果!P780)=0,"",IF(ISNA(計算結果!P780),"",計算結果!P780))</f>
        <v/>
      </c>
      <c r="Q780" s="10" t="str">
        <f>IF(IF(ISNA(計算結果!Q780),"",計算結果!Q780)=0,"",IF(ISNA(計算結果!Q780),"",計算結果!Q780))</f>
        <v/>
      </c>
      <c r="R780" s="14" t="str">
        <f t="shared" si="36"/>
        <v/>
      </c>
      <c r="S780" s="14" t="str">
        <f t="shared" si="37"/>
        <v>◯</v>
      </c>
      <c r="T780" s="14" t="str">
        <f t="shared" si="38"/>
        <v/>
      </c>
    </row>
    <row r="781" spans="1:20" hidden="1" x14ac:dyDescent="0.45">
      <c r="A781" s="10" t="str">
        <f>IF(IF(ISNA(計算結果!A781),"",計算結果!A781)=0,"",IF(ISNA(計算結果!A781),"",計算結果!A781))</f>
        <v/>
      </c>
      <c r="B781" s="10" t="str">
        <f>IF(IF(ISNA(計算結果!B781),"",計算結果!B781)=0,"",IF(ISNA(計算結果!B781),"",計算結果!B781))</f>
        <v/>
      </c>
      <c r="C781" s="10" t="str">
        <f>IF(IF(ISNA(計算結果!C781),"",計算結果!C781)=0,"",IF(ISNA(計算結果!C781),"",計算結果!C781))</f>
        <v/>
      </c>
      <c r="D781" s="10" t="str">
        <f>IF(IF(ISNA(計算結果!D781),"",計算結果!D781)=0,"",IF(ISNA(計算結果!D781),"",計算結果!D781))</f>
        <v>L</v>
      </c>
      <c r="E781" s="10" t="str">
        <f>IF(IF(ISNA(計算結果!E781),"",計算結果!E781)=0,"",IF(ISNA(計算結果!E781),"",計算結果!E781))</f>
        <v/>
      </c>
      <c r="F781" s="10" t="str">
        <f>IF(IF(ISNA(計算結果!F781),"",計算結果!F781)=0,"",IF(ISNA(計算結果!F781),"",計算結果!F781))</f>
        <v/>
      </c>
      <c r="G781" s="10" t="str">
        <f>IF(IF(ISNA(計算結果!G781),"",計算結果!G781)=0,"",IF(ISNA(計算結果!G781),"",計算結果!G781))</f>
        <v/>
      </c>
      <c r="H781" s="13">
        <f>IF(IF(ISNA(計算結果!H781),"",計算結果!H781)=0,"",IF(ISNA(計算結果!H781),"",計算結果!H781))</f>
        <v>-2</v>
      </c>
      <c r="I781" s="12" t="str">
        <f>IF(IF(ISNA(計算結果!I781),"",計算結果!I781)=0,"",IF(ISNA(計算結果!I781),"",計算結果!I781))</f>
        <v/>
      </c>
      <c r="J781" s="12" t="str">
        <f>IF(IF(ISNA(計算結果!J781),"",計算結果!J781)=0,"",IF(ISNA(計算結果!J781),"",計算結果!J781))</f>
        <v/>
      </c>
      <c r="K781" s="23" t="str">
        <f>IF(IF(ISNA(計算結果!K781),"",計算結果!K781)=0,"",IF(ISNA(計算結果!K781),"",計算結果!K781))</f>
        <v/>
      </c>
      <c r="L781" s="13" t="str">
        <f>IF(IF(ISNA(計算結果!L781),"",計算結果!L781)=0,"",IF(ISNA(計算結果!L781),"",計算結果!L781))</f>
        <v/>
      </c>
      <c r="M781" s="10" t="str">
        <f>IF(IF(ISNA(計算結果!M781),"",計算結果!M781)=0,"",IF(ISNA(計算結果!M781),"",計算結果!M781))</f>
        <v/>
      </c>
      <c r="N781" s="10" t="str">
        <f>IF(IF(ISNA(計算結果!N781),"",計算結果!N781)=0,"",IF(ISNA(計算結果!N781),"",計算結果!N781))</f>
        <v/>
      </c>
      <c r="O781" s="13" t="str">
        <f>IF(IF(ISNA(計算結果!O781),"",計算結果!O781)=0,"",IF(ISNA(計算結果!O781),"",計算結果!O781))</f>
        <v/>
      </c>
      <c r="P781" s="10" t="str">
        <f>IF(IF(ISNA(計算結果!P781),"",計算結果!P781)=0,"",IF(ISNA(計算結果!P781),"",計算結果!P781))</f>
        <v/>
      </c>
      <c r="Q781" s="10" t="str">
        <f>IF(IF(ISNA(計算結果!Q781),"",計算結果!Q781)=0,"",IF(ISNA(計算結果!Q781),"",計算結果!Q781))</f>
        <v/>
      </c>
      <c r="R781" s="14" t="str">
        <f t="shared" si="36"/>
        <v/>
      </c>
      <c r="S781" s="14" t="str">
        <f t="shared" si="37"/>
        <v>◯</v>
      </c>
      <c r="T781" s="14" t="str">
        <f t="shared" si="38"/>
        <v/>
      </c>
    </row>
    <row r="782" spans="1:20" hidden="1" x14ac:dyDescent="0.45">
      <c r="A782" s="10" t="str">
        <f>IF(IF(ISNA(計算結果!A782),"",計算結果!A782)=0,"",IF(ISNA(計算結果!A782),"",計算結果!A782))</f>
        <v/>
      </c>
      <c r="B782" s="10" t="str">
        <f>IF(IF(ISNA(計算結果!B782),"",計算結果!B782)=0,"",IF(ISNA(計算結果!B782),"",計算結果!B782))</f>
        <v/>
      </c>
      <c r="C782" s="10" t="str">
        <f>IF(IF(ISNA(計算結果!C782),"",計算結果!C782)=0,"",IF(ISNA(計算結果!C782),"",計算結果!C782))</f>
        <v/>
      </c>
      <c r="D782" s="10" t="str">
        <f>IF(IF(ISNA(計算結果!D782),"",計算結果!D782)=0,"",IF(ISNA(計算結果!D782),"",計算結果!D782))</f>
        <v>L</v>
      </c>
      <c r="E782" s="10" t="str">
        <f>IF(IF(ISNA(計算結果!E782),"",計算結果!E782)=0,"",IF(ISNA(計算結果!E782),"",計算結果!E782))</f>
        <v/>
      </c>
      <c r="F782" s="10" t="str">
        <f>IF(IF(ISNA(計算結果!F782),"",計算結果!F782)=0,"",IF(ISNA(計算結果!F782),"",計算結果!F782))</f>
        <v/>
      </c>
      <c r="G782" s="10" t="str">
        <f>IF(IF(ISNA(計算結果!G782),"",計算結果!G782)=0,"",IF(ISNA(計算結果!G782),"",計算結果!G782))</f>
        <v/>
      </c>
      <c r="H782" s="13">
        <f>IF(IF(ISNA(計算結果!H782),"",計算結果!H782)=0,"",IF(ISNA(計算結果!H782),"",計算結果!H782))</f>
        <v>-2</v>
      </c>
      <c r="I782" s="12" t="str">
        <f>IF(IF(ISNA(計算結果!I782),"",計算結果!I782)=0,"",IF(ISNA(計算結果!I782),"",計算結果!I782))</f>
        <v/>
      </c>
      <c r="J782" s="12" t="str">
        <f>IF(IF(ISNA(計算結果!J782),"",計算結果!J782)=0,"",IF(ISNA(計算結果!J782),"",計算結果!J782))</f>
        <v/>
      </c>
      <c r="K782" s="23" t="str">
        <f>IF(IF(ISNA(計算結果!K782),"",計算結果!K782)=0,"",IF(ISNA(計算結果!K782),"",計算結果!K782))</f>
        <v/>
      </c>
      <c r="L782" s="13" t="str">
        <f>IF(IF(ISNA(計算結果!L782),"",計算結果!L782)=0,"",IF(ISNA(計算結果!L782),"",計算結果!L782))</f>
        <v/>
      </c>
      <c r="M782" s="10" t="str">
        <f>IF(IF(ISNA(計算結果!M782),"",計算結果!M782)=0,"",IF(ISNA(計算結果!M782),"",計算結果!M782))</f>
        <v/>
      </c>
      <c r="N782" s="10" t="str">
        <f>IF(IF(ISNA(計算結果!N782),"",計算結果!N782)=0,"",IF(ISNA(計算結果!N782),"",計算結果!N782))</f>
        <v/>
      </c>
      <c r="O782" s="13" t="str">
        <f>IF(IF(ISNA(計算結果!O782),"",計算結果!O782)=0,"",IF(ISNA(計算結果!O782),"",計算結果!O782))</f>
        <v/>
      </c>
      <c r="P782" s="10" t="str">
        <f>IF(IF(ISNA(計算結果!P782),"",計算結果!P782)=0,"",IF(ISNA(計算結果!P782),"",計算結果!P782))</f>
        <v/>
      </c>
      <c r="Q782" s="10" t="str">
        <f>IF(IF(ISNA(計算結果!Q782),"",計算結果!Q782)=0,"",IF(ISNA(計算結果!Q782),"",計算結果!Q782))</f>
        <v/>
      </c>
      <c r="R782" s="14" t="str">
        <f t="shared" si="36"/>
        <v/>
      </c>
      <c r="S782" s="14" t="str">
        <f t="shared" si="37"/>
        <v>◯</v>
      </c>
      <c r="T782" s="14" t="str">
        <f t="shared" si="38"/>
        <v/>
      </c>
    </row>
    <row r="783" spans="1:20" hidden="1" x14ac:dyDescent="0.45">
      <c r="A783" s="10" t="str">
        <f>IF(IF(ISNA(計算結果!A783),"",計算結果!A783)=0,"",IF(ISNA(計算結果!A783),"",計算結果!A783))</f>
        <v/>
      </c>
      <c r="B783" s="10" t="str">
        <f>IF(IF(ISNA(計算結果!B783),"",計算結果!B783)=0,"",IF(ISNA(計算結果!B783),"",計算結果!B783))</f>
        <v/>
      </c>
      <c r="C783" s="10" t="str">
        <f>IF(IF(ISNA(計算結果!C783),"",計算結果!C783)=0,"",IF(ISNA(計算結果!C783),"",計算結果!C783))</f>
        <v/>
      </c>
      <c r="D783" s="10" t="str">
        <f>IF(IF(ISNA(計算結果!D783),"",計算結果!D783)=0,"",IF(ISNA(計算結果!D783),"",計算結果!D783))</f>
        <v>L</v>
      </c>
      <c r="E783" s="10" t="str">
        <f>IF(IF(ISNA(計算結果!E783),"",計算結果!E783)=0,"",IF(ISNA(計算結果!E783),"",計算結果!E783))</f>
        <v/>
      </c>
      <c r="F783" s="10" t="str">
        <f>IF(IF(ISNA(計算結果!F783),"",計算結果!F783)=0,"",IF(ISNA(計算結果!F783),"",計算結果!F783))</f>
        <v/>
      </c>
      <c r="G783" s="10" t="str">
        <f>IF(IF(ISNA(計算結果!G783),"",計算結果!G783)=0,"",IF(ISNA(計算結果!G783),"",計算結果!G783))</f>
        <v/>
      </c>
      <c r="H783" s="13">
        <f>IF(IF(ISNA(計算結果!H783),"",計算結果!H783)=0,"",IF(ISNA(計算結果!H783),"",計算結果!H783))</f>
        <v>-2</v>
      </c>
      <c r="I783" s="12" t="str">
        <f>IF(IF(ISNA(計算結果!I783),"",計算結果!I783)=0,"",IF(ISNA(計算結果!I783),"",計算結果!I783))</f>
        <v/>
      </c>
      <c r="J783" s="12" t="str">
        <f>IF(IF(ISNA(計算結果!J783),"",計算結果!J783)=0,"",IF(ISNA(計算結果!J783),"",計算結果!J783))</f>
        <v/>
      </c>
      <c r="K783" s="23" t="str">
        <f>IF(IF(ISNA(計算結果!K783),"",計算結果!K783)=0,"",IF(ISNA(計算結果!K783),"",計算結果!K783))</f>
        <v/>
      </c>
      <c r="L783" s="13" t="str">
        <f>IF(IF(ISNA(計算結果!L783),"",計算結果!L783)=0,"",IF(ISNA(計算結果!L783),"",計算結果!L783))</f>
        <v/>
      </c>
      <c r="M783" s="10" t="str">
        <f>IF(IF(ISNA(計算結果!M783),"",計算結果!M783)=0,"",IF(ISNA(計算結果!M783),"",計算結果!M783))</f>
        <v/>
      </c>
      <c r="N783" s="10" t="str">
        <f>IF(IF(ISNA(計算結果!N783),"",計算結果!N783)=0,"",IF(ISNA(計算結果!N783),"",計算結果!N783))</f>
        <v/>
      </c>
      <c r="O783" s="13" t="str">
        <f>IF(IF(ISNA(計算結果!O783),"",計算結果!O783)=0,"",IF(ISNA(計算結果!O783),"",計算結果!O783))</f>
        <v/>
      </c>
      <c r="P783" s="10" t="str">
        <f>IF(IF(ISNA(計算結果!P783),"",計算結果!P783)=0,"",IF(ISNA(計算結果!P783),"",計算結果!P783))</f>
        <v/>
      </c>
      <c r="Q783" s="10" t="str">
        <f>IF(IF(ISNA(計算結果!Q783),"",計算結果!Q783)=0,"",IF(ISNA(計算結果!Q783),"",計算結果!Q783))</f>
        <v/>
      </c>
      <c r="R783" s="14" t="str">
        <f t="shared" si="36"/>
        <v/>
      </c>
      <c r="S783" s="14" t="str">
        <f t="shared" si="37"/>
        <v>◯</v>
      </c>
      <c r="T783" s="14" t="str">
        <f t="shared" si="38"/>
        <v/>
      </c>
    </row>
    <row r="784" spans="1:20" hidden="1" x14ac:dyDescent="0.45">
      <c r="A784" s="10" t="str">
        <f>IF(IF(ISNA(計算結果!A784),"",計算結果!A784)=0,"",IF(ISNA(計算結果!A784),"",計算結果!A784))</f>
        <v/>
      </c>
      <c r="B784" s="10" t="str">
        <f>IF(IF(ISNA(計算結果!B784),"",計算結果!B784)=0,"",IF(ISNA(計算結果!B784),"",計算結果!B784))</f>
        <v/>
      </c>
      <c r="C784" s="10" t="str">
        <f>IF(IF(ISNA(計算結果!C784),"",計算結果!C784)=0,"",IF(ISNA(計算結果!C784),"",計算結果!C784))</f>
        <v/>
      </c>
      <c r="D784" s="10" t="str">
        <f>IF(IF(ISNA(計算結果!D784),"",計算結果!D784)=0,"",IF(ISNA(計算結果!D784),"",計算結果!D784))</f>
        <v>L</v>
      </c>
      <c r="E784" s="10" t="str">
        <f>IF(IF(ISNA(計算結果!E784),"",計算結果!E784)=0,"",IF(ISNA(計算結果!E784),"",計算結果!E784))</f>
        <v/>
      </c>
      <c r="F784" s="10" t="str">
        <f>IF(IF(ISNA(計算結果!F784),"",計算結果!F784)=0,"",IF(ISNA(計算結果!F784),"",計算結果!F784))</f>
        <v/>
      </c>
      <c r="G784" s="10" t="str">
        <f>IF(IF(ISNA(計算結果!G784),"",計算結果!G784)=0,"",IF(ISNA(計算結果!G784),"",計算結果!G784))</f>
        <v/>
      </c>
      <c r="H784" s="13">
        <f>IF(IF(ISNA(計算結果!H784),"",計算結果!H784)=0,"",IF(ISNA(計算結果!H784),"",計算結果!H784))</f>
        <v>-2</v>
      </c>
      <c r="I784" s="12" t="str">
        <f>IF(IF(ISNA(計算結果!I784),"",計算結果!I784)=0,"",IF(ISNA(計算結果!I784),"",計算結果!I784))</f>
        <v/>
      </c>
      <c r="J784" s="12" t="str">
        <f>IF(IF(ISNA(計算結果!J784),"",計算結果!J784)=0,"",IF(ISNA(計算結果!J784),"",計算結果!J784))</f>
        <v/>
      </c>
      <c r="K784" s="23" t="str">
        <f>IF(IF(ISNA(計算結果!K784),"",計算結果!K784)=0,"",IF(ISNA(計算結果!K784),"",計算結果!K784))</f>
        <v/>
      </c>
      <c r="L784" s="13" t="str">
        <f>IF(IF(ISNA(計算結果!L784),"",計算結果!L784)=0,"",IF(ISNA(計算結果!L784),"",計算結果!L784))</f>
        <v/>
      </c>
      <c r="M784" s="10" t="str">
        <f>IF(IF(ISNA(計算結果!M784),"",計算結果!M784)=0,"",IF(ISNA(計算結果!M784),"",計算結果!M784))</f>
        <v/>
      </c>
      <c r="N784" s="10" t="str">
        <f>IF(IF(ISNA(計算結果!N784),"",計算結果!N784)=0,"",IF(ISNA(計算結果!N784),"",計算結果!N784))</f>
        <v/>
      </c>
      <c r="O784" s="13" t="str">
        <f>IF(IF(ISNA(計算結果!O784),"",計算結果!O784)=0,"",IF(ISNA(計算結果!O784),"",計算結果!O784))</f>
        <v/>
      </c>
      <c r="P784" s="10" t="str">
        <f>IF(IF(ISNA(計算結果!P784),"",計算結果!P784)=0,"",IF(ISNA(計算結果!P784),"",計算結果!P784))</f>
        <v/>
      </c>
      <c r="Q784" s="10" t="str">
        <f>IF(IF(ISNA(計算結果!Q784),"",計算結果!Q784)=0,"",IF(ISNA(計算結果!Q784),"",計算結果!Q784))</f>
        <v/>
      </c>
      <c r="R784" s="14" t="str">
        <f t="shared" si="36"/>
        <v/>
      </c>
      <c r="S784" s="14" t="str">
        <f t="shared" si="37"/>
        <v>◯</v>
      </c>
      <c r="T784" s="14" t="str">
        <f t="shared" si="38"/>
        <v/>
      </c>
    </row>
    <row r="785" spans="1:20" hidden="1" x14ac:dyDescent="0.45">
      <c r="A785" s="10" t="str">
        <f>IF(IF(ISNA(計算結果!A785),"",計算結果!A785)=0,"",IF(ISNA(計算結果!A785),"",計算結果!A785))</f>
        <v/>
      </c>
      <c r="B785" s="10" t="str">
        <f>IF(IF(ISNA(計算結果!B785),"",計算結果!B785)=0,"",IF(ISNA(計算結果!B785),"",計算結果!B785))</f>
        <v/>
      </c>
      <c r="C785" s="10" t="str">
        <f>IF(IF(ISNA(計算結果!C785),"",計算結果!C785)=0,"",IF(ISNA(計算結果!C785),"",計算結果!C785))</f>
        <v/>
      </c>
      <c r="D785" s="10" t="str">
        <f>IF(IF(ISNA(計算結果!D785),"",計算結果!D785)=0,"",IF(ISNA(計算結果!D785),"",計算結果!D785))</f>
        <v>L</v>
      </c>
      <c r="E785" s="10" t="str">
        <f>IF(IF(ISNA(計算結果!E785),"",計算結果!E785)=0,"",IF(ISNA(計算結果!E785),"",計算結果!E785))</f>
        <v/>
      </c>
      <c r="F785" s="10" t="str">
        <f>IF(IF(ISNA(計算結果!F785),"",計算結果!F785)=0,"",IF(ISNA(計算結果!F785),"",計算結果!F785))</f>
        <v/>
      </c>
      <c r="G785" s="10" t="str">
        <f>IF(IF(ISNA(計算結果!G785),"",計算結果!G785)=0,"",IF(ISNA(計算結果!G785),"",計算結果!G785))</f>
        <v/>
      </c>
      <c r="H785" s="13">
        <f>IF(IF(ISNA(計算結果!H785),"",計算結果!H785)=0,"",IF(ISNA(計算結果!H785),"",計算結果!H785))</f>
        <v>-2</v>
      </c>
      <c r="I785" s="12" t="str">
        <f>IF(IF(ISNA(計算結果!I785),"",計算結果!I785)=0,"",IF(ISNA(計算結果!I785),"",計算結果!I785))</f>
        <v/>
      </c>
      <c r="J785" s="12" t="str">
        <f>IF(IF(ISNA(計算結果!J785),"",計算結果!J785)=0,"",IF(ISNA(計算結果!J785),"",計算結果!J785))</f>
        <v/>
      </c>
      <c r="K785" s="23" t="str">
        <f>IF(IF(ISNA(計算結果!K785),"",計算結果!K785)=0,"",IF(ISNA(計算結果!K785),"",計算結果!K785))</f>
        <v/>
      </c>
      <c r="L785" s="13" t="str">
        <f>IF(IF(ISNA(計算結果!L785),"",計算結果!L785)=0,"",IF(ISNA(計算結果!L785),"",計算結果!L785))</f>
        <v/>
      </c>
      <c r="M785" s="10" t="str">
        <f>IF(IF(ISNA(計算結果!M785),"",計算結果!M785)=0,"",IF(ISNA(計算結果!M785),"",計算結果!M785))</f>
        <v/>
      </c>
      <c r="N785" s="10" t="str">
        <f>IF(IF(ISNA(計算結果!N785),"",計算結果!N785)=0,"",IF(ISNA(計算結果!N785),"",計算結果!N785))</f>
        <v/>
      </c>
      <c r="O785" s="13" t="str">
        <f>IF(IF(ISNA(計算結果!O785),"",計算結果!O785)=0,"",IF(ISNA(計算結果!O785),"",計算結果!O785))</f>
        <v/>
      </c>
      <c r="P785" s="10" t="str">
        <f>IF(IF(ISNA(計算結果!P785),"",計算結果!P785)=0,"",IF(ISNA(計算結果!P785),"",計算結果!P785))</f>
        <v/>
      </c>
      <c r="Q785" s="10" t="str">
        <f>IF(IF(ISNA(計算結果!Q785),"",計算結果!Q785)=0,"",IF(ISNA(計算結果!Q785),"",計算結果!Q785))</f>
        <v/>
      </c>
      <c r="R785" s="14" t="str">
        <f t="shared" si="36"/>
        <v/>
      </c>
      <c r="S785" s="14" t="str">
        <f t="shared" si="37"/>
        <v>◯</v>
      </c>
      <c r="T785" s="14" t="str">
        <f t="shared" si="38"/>
        <v/>
      </c>
    </row>
    <row r="786" spans="1:20" hidden="1" x14ac:dyDescent="0.45">
      <c r="A786" s="10" t="str">
        <f>IF(IF(ISNA(計算結果!A786),"",計算結果!A786)=0,"",IF(ISNA(計算結果!A786),"",計算結果!A786))</f>
        <v/>
      </c>
      <c r="B786" s="10" t="str">
        <f>IF(IF(ISNA(計算結果!B786),"",計算結果!B786)=0,"",IF(ISNA(計算結果!B786),"",計算結果!B786))</f>
        <v/>
      </c>
      <c r="C786" s="10" t="str">
        <f>IF(IF(ISNA(計算結果!C786),"",計算結果!C786)=0,"",IF(ISNA(計算結果!C786),"",計算結果!C786))</f>
        <v/>
      </c>
      <c r="D786" s="10" t="str">
        <f>IF(IF(ISNA(計算結果!D786),"",計算結果!D786)=0,"",IF(ISNA(計算結果!D786),"",計算結果!D786))</f>
        <v>L</v>
      </c>
      <c r="E786" s="10" t="str">
        <f>IF(IF(ISNA(計算結果!E786),"",計算結果!E786)=0,"",IF(ISNA(計算結果!E786),"",計算結果!E786))</f>
        <v/>
      </c>
      <c r="F786" s="10" t="str">
        <f>IF(IF(ISNA(計算結果!F786),"",計算結果!F786)=0,"",IF(ISNA(計算結果!F786),"",計算結果!F786))</f>
        <v/>
      </c>
      <c r="G786" s="10" t="str">
        <f>IF(IF(ISNA(計算結果!G786),"",計算結果!G786)=0,"",IF(ISNA(計算結果!G786),"",計算結果!G786))</f>
        <v/>
      </c>
      <c r="H786" s="13">
        <f>IF(IF(ISNA(計算結果!H786),"",計算結果!H786)=0,"",IF(ISNA(計算結果!H786),"",計算結果!H786))</f>
        <v>-2</v>
      </c>
      <c r="I786" s="12" t="str">
        <f>IF(IF(ISNA(計算結果!I786),"",計算結果!I786)=0,"",IF(ISNA(計算結果!I786),"",計算結果!I786))</f>
        <v/>
      </c>
      <c r="J786" s="12" t="str">
        <f>IF(IF(ISNA(計算結果!J786),"",計算結果!J786)=0,"",IF(ISNA(計算結果!J786),"",計算結果!J786))</f>
        <v/>
      </c>
      <c r="K786" s="23" t="str">
        <f>IF(IF(ISNA(計算結果!K786),"",計算結果!K786)=0,"",IF(ISNA(計算結果!K786),"",計算結果!K786))</f>
        <v/>
      </c>
      <c r="L786" s="13" t="str">
        <f>IF(IF(ISNA(計算結果!L786),"",計算結果!L786)=0,"",IF(ISNA(計算結果!L786),"",計算結果!L786))</f>
        <v/>
      </c>
      <c r="M786" s="10" t="str">
        <f>IF(IF(ISNA(計算結果!M786),"",計算結果!M786)=0,"",IF(ISNA(計算結果!M786),"",計算結果!M786))</f>
        <v/>
      </c>
      <c r="N786" s="10" t="str">
        <f>IF(IF(ISNA(計算結果!N786),"",計算結果!N786)=0,"",IF(ISNA(計算結果!N786),"",計算結果!N786))</f>
        <v/>
      </c>
      <c r="O786" s="13" t="str">
        <f>IF(IF(ISNA(計算結果!O786),"",計算結果!O786)=0,"",IF(ISNA(計算結果!O786),"",計算結果!O786))</f>
        <v/>
      </c>
      <c r="P786" s="10" t="str">
        <f>IF(IF(ISNA(計算結果!P786),"",計算結果!P786)=0,"",IF(ISNA(計算結果!P786),"",計算結果!P786))</f>
        <v/>
      </c>
      <c r="Q786" s="10" t="str">
        <f>IF(IF(ISNA(計算結果!Q786),"",計算結果!Q786)=0,"",IF(ISNA(計算結果!Q786),"",計算結果!Q786))</f>
        <v/>
      </c>
      <c r="R786" s="14" t="str">
        <f t="shared" si="36"/>
        <v/>
      </c>
      <c r="S786" s="14" t="str">
        <f t="shared" si="37"/>
        <v>◯</v>
      </c>
      <c r="T786" s="14" t="str">
        <f t="shared" si="38"/>
        <v/>
      </c>
    </row>
    <row r="787" spans="1:20" hidden="1" x14ac:dyDescent="0.45">
      <c r="A787" s="10" t="str">
        <f>IF(IF(ISNA(計算結果!A787),"",計算結果!A787)=0,"",IF(ISNA(計算結果!A787),"",計算結果!A787))</f>
        <v/>
      </c>
      <c r="B787" s="10" t="str">
        <f>IF(IF(ISNA(計算結果!B787),"",計算結果!B787)=0,"",IF(ISNA(計算結果!B787),"",計算結果!B787))</f>
        <v/>
      </c>
      <c r="C787" s="10" t="str">
        <f>IF(IF(ISNA(計算結果!C787),"",計算結果!C787)=0,"",IF(ISNA(計算結果!C787),"",計算結果!C787))</f>
        <v/>
      </c>
      <c r="D787" s="10" t="str">
        <f>IF(IF(ISNA(計算結果!D787),"",計算結果!D787)=0,"",IF(ISNA(計算結果!D787),"",計算結果!D787))</f>
        <v>L</v>
      </c>
      <c r="E787" s="10" t="str">
        <f>IF(IF(ISNA(計算結果!E787),"",計算結果!E787)=0,"",IF(ISNA(計算結果!E787),"",計算結果!E787))</f>
        <v/>
      </c>
      <c r="F787" s="10" t="str">
        <f>IF(IF(ISNA(計算結果!F787),"",計算結果!F787)=0,"",IF(ISNA(計算結果!F787),"",計算結果!F787))</f>
        <v/>
      </c>
      <c r="G787" s="10" t="str">
        <f>IF(IF(ISNA(計算結果!G787),"",計算結果!G787)=0,"",IF(ISNA(計算結果!G787),"",計算結果!G787))</f>
        <v/>
      </c>
      <c r="H787" s="13">
        <f>IF(IF(ISNA(計算結果!H787),"",計算結果!H787)=0,"",IF(ISNA(計算結果!H787),"",計算結果!H787))</f>
        <v>-2</v>
      </c>
      <c r="I787" s="12" t="str">
        <f>IF(IF(ISNA(計算結果!I787),"",計算結果!I787)=0,"",IF(ISNA(計算結果!I787),"",計算結果!I787))</f>
        <v/>
      </c>
      <c r="J787" s="12" t="str">
        <f>IF(IF(ISNA(計算結果!J787),"",計算結果!J787)=0,"",IF(ISNA(計算結果!J787),"",計算結果!J787))</f>
        <v/>
      </c>
      <c r="K787" s="23" t="str">
        <f>IF(IF(ISNA(計算結果!K787),"",計算結果!K787)=0,"",IF(ISNA(計算結果!K787),"",計算結果!K787))</f>
        <v/>
      </c>
      <c r="L787" s="13" t="str">
        <f>IF(IF(ISNA(計算結果!L787),"",計算結果!L787)=0,"",IF(ISNA(計算結果!L787),"",計算結果!L787))</f>
        <v/>
      </c>
      <c r="M787" s="10" t="str">
        <f>IF(IF(ISNA(計算結果!M787),"",計算結果!M787)=0,"",IF(ISNA(計算結果!M787),"",計算結果!M787))</f>
        <v/>
      </c>
      <c r="N787" s="10" t="str">
        <f>IF(IF(ISNA(計算結果!N787),"",計算結果!N787)=0,"",IF(ISNA(計算結果!N787),"",計算結果!N787))</f>
        <v/>
      </c>
      <c r="O787" s="13" t="str">
        <f>IF(IF(ISNA(計算結果!O787),"",計算結果!O787)=0,"",IF(ISNA(計算結果!O787),"",計算結果!O787))</f>
        <v/>
      </c>
      <c r="P787" s="10" t="str">
        <f>IF(IF(ISNA(計算結果!P787),"",計算結果!P787)=0,"",IF(ISNA(計算結果!P787),"",計算結果!P787))</f>
        <v/>
      </c>
      <c r="Q787" s="10" t="str">
        <f>IF(IF(ISNA(計算結果!Q787),"",計算結果!Q787)=0,"",IF(ISNA(計算結果!Q787),"",計算結果!Q787))</f>
        <v/>
      </c>
      <c r="R787" s="14" t="str">
        <f t="shared" si="36"/>
        <v/>
      </c>
      <c r="S787" s="14" t="str">
        <f t="shared" si="37"/>
        <v>◯</v>
      </c>
      <c r="T787" s="14" t="str">
        <f t="shared" si="38"/>
        <v/>
      </c>
    </row>
    <row r="788" spans="1:20" hidden="1" x14ac:dyDescent="0.45">
      <c r="A788" s="10" t="str">
        <f>IF(IF(ISNA(計算結果!A788),"",計算結果!A788)=0,"",IF(ISNA(計算結果!A788),"",計算結果!A788))</f>
        <v/>
      </c>
      <c r="B788" s="10" t="str">
        <f>IF(IF(ISNA(計算結果!B788),"",計算結果!B788)=0,"",IF(ISNA(計算結果!B788),"",計算結果!B788))</f>
        <v/>
      </c>
      <c r="C788" s="10" t="str">
        <f>IF(IF(ISNA(計算結果!C788),"",計算結果!C788)=0,"",IF(ISNA(計算結果!C788),"",計算結果!C788))</f>
        <v/>
      </c>
      <c r="D788" s="10" t="str">
        <f>IF(IF(ISNA(計算結果!D788),"",計算結果!D788)=0,"",IF(ISNA(計算結果!D788),"",計算結果!D788))</f>
        <v>L</v>
      </c>
      <c r="E788" s="10" t="str">
        <f>IF(IF(ISNA(計算結果!E788),"",計算結果!E788)=0,"",IF(ISNA(計算結果!E788),"",計算結果!E788))</f>
        <v/>
      </c>
      <c r="F788" s="10" t="str">
        <f>IF(IF(ISNA(計算結果!F788),"",計算結果!F788)=0,"",IF(ISNA(計算結果!F788),"",計算結果!F788))</f>
        <v/>
      </c>
      <c r="G788" s="10" t="str">
        <f>IF(IF(ISNA(計算結果!G788),"",計算結果!G788)=0,"",IF(ISNA(計算結果!G788),"",計算結果!G788))</f>
        <v/>
      </c>
      <c r="H788" s="13">
        <f>IF(IF(ISNA(計算結果!H788),"",計算結果!H788)=0,"",IF(ISNA(計算結果!H788),"",計算結果!H788))</f>
        <v>-2</v>
      </c>
      <c r="I788" s="12" t="str">
        <f>IF(IF(ISNA(計算結果!I788),"",計算結果!I788)=0,"",IF(ISNA(計算結果!I788),"",計算結果!I788))</f>
        <v/>
      </c>
      <c r="J788" s="12" t="str">
        <f>IF(IF(ISNA(計算結果!J788),"",計算結果!J788)=0,"",IF(ISNA(計算結果!J788),"",計算結果!J788))</f>
        <v/>
      </c>
      <c r="K788" s="23" t="str">
        <f>IF(IF(ISNA(計算結果!K788),"",計算結果!K788)=0,"",IF(ISNA(計算結果!K788),"",計算結果!K788))</f>
        <v/>
      </c>
      <c r="L788" s="13" t="str">
        <f>IF(IF(ISNA(計算結果!L788),"",計算結果!L788)=0,"",IF(ISNA(計算結果!L788),"",計算結果!L788))</f>
        <v/>
      </c>
      <c r="M788" s="10" t="str">
        <f>IF(IF(ISNA(計算結果!M788),"",計算結果!M788)=0,"",IF(ISNA(計算結果!M788),"",計算結果!M788))</f>
        <v/>
      </c>
      <c r="N788" s="10" t="str">
        <f>IF(IF(ISNA(計算結果!N788),"",計算結果!N788)=0,"",IF(ISNA(計算結果!N788),"",計算結果!N788))</f>
        <v/>
      </c>
      <c r="O788" s="13" t="str">
        <f>IF(IF(ISNA(計算結果!O788),"",計算結果!O788)=0,"",IF(ISNA(計算結果!O788),"",計算結果!O788))</f>
        <v/>
      </c>
      <c r="P788" s="10" t="str">
        <f>IF(IF(ISNA(計算結果!P788),"",計算結果!P788)=0,"",IF(ISNA(計算結果!P788),"",計算結果!P788))</f>
        <v/>
      </c>
      <c r="Q788" s="10" t="str">
        <f>IF(IF(ISNA(計算結果!Q788),"",計算結果!Q788)=0,"",IF(ISNA(計算結果!Q788),"",計算結果!Q788))</f>
        <v/>
      </c>
      <c r="R788" s="14" t="str">
        <f t="shared" si="36"/>
        <v/>
      </c>
      <c r="S788" s="14" t="str">
        <f t="shared" si="37"/>
        <v>◯</v>
      </c>
      <c r="T788" s="14" t="str">
        <f t="shared" si="38"/>
        <v/>
      </c>
    </row>
    <row r="789" spans="1:20" hidden="1" x14ac:dyDescent="0.45">
      <c r="A789" s="10" t="str">
        <f>IF(IF(ISNA(計算結果!A789),"",計算結果!A789)=0,"",IF(ISNA(計算結果!A789),"",計算結果!A789))</f>
        <v/>
      </c>
      <c r="B789" s="10" t="str">
        <f>IF(IF(ISNA(計算結果!B789),"",計算結果!B789)=0,"",IF(ISNA(計算結果!B789),"",計算結果!B789))</f>
        <v/>
      </c>
      <c r="C789" s="10" t="str">
        <f>IF(IF(ISNA(計算結果!C789),"",計算結果!C789)=0,"",IF(ISNA(計算結果!C789),"",計算結果!C789))</f>
        <v/>
      </c>
      <c r="D789" s="10" t="str">
        <f>IF(IF(ISNA(計算結果!D789),"",計算結果!D789)=0,"",IF(ISNA(計算結果!D789),"",計算結果!D789))</f>
        <v>L</v>
      </c>
      <c r="E789" s="10" t="str">
        <f>IF(IF(ISNA(計算結果!E789),"",計算結果!E789)=0,"",IF(ISNA(計算結果!E789),"",計算結果!E789))</f>
        <v/>
      </c>
      <c r="F789" s="10" t="str">
        <f>IF(IF(ISNA(計算結果!F789),"",計算結果!F789)=0,"",IF(ISNA(計算結果!F789),"",計算結果!F789))</f>
        <v/>
      </c>
      <c r="G789" s="10" t="str">
        <f>IF(IF(ISNA(計算結果!G789),"",計算結果!G789)=0,"",IF(ISNA(計算結果!G789),"",計算結果!G789))</f>
        <v/>
      </c>
      <c r="H789" s="13">
        <f>IF(IF(ISNA(計算結果!H789),"",計算結果!H789)=0,"",IF(ISNA(計算結果!H789),"",計算結果!H789))</f>
        <v>-2</v>
      </c>
      <c r="I789" s="12" t="str">
        <f>IF(IF(ISNA(計算結果!I789),"",計算結果!I789)=0,"",IF(ISNA(計算結果!I789),"",計算結果!I789))</f>
        <v/>
      </c>
      <c r="J789" s="12" t="str">
        <f>IF(IF(ISNA(計算結果!J789),"",計算結果!J789)=0,"",IF(ISNA(計算結果!J789),"",計算結果!J789))</f>
        <v/>
      </c>
      <c r="K789" s="23" t="str">
        <f>IF(IF(ISNA(計算結果!K789),"",計算結果!K789)=0,"",IF(ISNA(計算結果!K789),"",計算結果!K789))</f>
        <v/>
      </c>
      <c r="L789" s="13" t="str">
        <f>IF(IF(ISNA(計算結果!L789),"",計算結果!L789)=0,"",IF(ISNA(計算結果!L789),"",計算結果!L789))</f>
        <v/>
      </c>
      <c r="M789" s="10" t="str">
        <f>IF(IF(ISNA(計算結果!M789),"",計算結果!M789)=0,"",IF(ISNA(計算結果!M789),"",計算結果!M789))</f>
        <v/>
      </c>
      <c r="N789" s="10" t="str">
        <f>IF(IF(ISNA(計算結果!N789),"",計算結果!N789)=0,"",IF(ISNA(計算結果!N789),"",計算結果!N789))</f>
        <v/>
      </c>
      <c r="O789" s="13" t="str">
        <f>IF(IF(ISNA(計算結果!O789),"",計算結果!O789)=0,"",IF(ISNA(計算結果!O789),"",計算結果!O789))</f>
        <v/>
      </c>
      <c r="P789" s="10" t="str">
        <f>IF(IF(ISNA(計算結果!P789),"",計算結果!P789)=0,"",IF(ISNA(計算結果!P789),"",計算結果!P789))</f>
        <v/>
      </c>
      <c r="Q789" s="10" t="str">
        <f>IF(IF(ISNA(計算結果!Q789),"",計算結果!Q789)=0,"",IF(ISNA(計算結果!Q789),"",計算結果!Q789))</f>
        <v/>
      </c>
      <c r="R789" s="14" t="str">
        <f t="shared" si="36"/>
        <v/>
      </c>
      <c r="S789" s="14" t="str">
        <f t="shared" si="37"/>
        <v>◯</v>
      </c>
      <c r="T789" s="14" t="str">
        <f t="shared" si="38"/>
        <v/>
      </c>
    </row>
    <row r="790" spans="1:20" hidden="1" x14ac:dyDescent="0.45">
      <c r="A790" s="10" t="str">
        <f>IF(IF(ISNA(計算結果!A790),"",計算結果!A790)=0,"",IF(ISNA(計算結果!A790),"",計算結果!A790))</f>
        <v/>
      </c>
      <c r="B790" s="10" t="str">
        <f>IF(IF(ISNA(計算結果!B790),"",計算結果!B790)=0,"",IF(ISNA(計算結果!B790),"",計算結果!B790))</f>
        <v/>
      </c>
      <c r="C790" s="10" t="str">
        <f>IF(IF(ISNA(計算結果!C790),"",計算結果!C790)=0,"",IF(ISNA(計算結果!C790),"",計算結果!C790))</f>
        <v/>
      </c>
      <c r="D790" s="10" t="str">
        <f>IF(IF(ISNA(計算結果!D790),"",計算結果!D790)=0,"",IF(ISNA(計算結果!D790),"",計算結果!D790))</f>
        <v>L</v>
      </c>
      <c r="E790" s="10" t="str">
        <f>IF(IF(ISNA(計算結果!E790),"",計算結果!E790)=0,"",IF(ISNA(計算結果!E790),"",計算結果!E790))</f>
        <v/>
      </c>
      <c r="F790" s="10" t="str">
        <f>IF(IF(ISNA(計算結果!F790),"",計算結果!F790)=0,"",IF(ISNA(計算結果!F790),"",計算結果!F790))</f>
        <v/>
      </c>
      <c r="G790" s="10" t="str">
        <f>IF(IF(ISNA(計算結果!G790),"",計算結果!G790)=0,"",IF(ISNA(計算結果!G790),"",計算結果!G790))</f>
        <v/>
      </c>
      <c r="H790" s="13">
        <f>IF(IF(ISNA(計算結果!H790),"",計算結果!H790)=0,"",IF(ISNA(計算結果!H790),"",計算結果!H790))</f>
        <v>-2</v>
      </c>
      <c r="I790" s="12" t="str">
        <f>IF(IF(ISNA(計算結果!I790),"",計算結果!I790)=0,"",IF(ISNA(計算結果!I790),"",計算結果!I790))</f>
        <v/>
      </c>
      <c r="J790" s="12" t="str">
        <f>IF(IF(ISNA(計算結果!J790),"",計算結果!J790)=0,"",IF(ISNA(計算結果!J790),"",計算結果!J790))</f>
        <v/>
      </c>
      <c r="K790" s="23" t="str">
        <f>IF(IF(ISNA(計算結果!K790),"",計算結果!K790)=0,"",IF(ISNA(計算結果!K790),"",計算結果!K790))</f>
        <v/>
      </c>
      <c r="L790" s="13" t="str">
        <f>IF(IF(ISNA(計算結果!L790),"",計算結果!L790)=0,"",IF(ISNA(計算結果!L790),"",計算結果!L790))</f>
        <v/>
      </c>
      <c r="M790" s="10" t="str">
        <f>IF(IF(ISNA(計算結果!M790),"",計算結果!M790)=0,"",IF(ISNA(計算結果!M790),"",計算結果!M790))</f>
        <v/>
      </c>
      <c r="N790" s="10" t="str">
        <f>IF(IF(ISNA(計算結果!N790),"",計算結果!N790)=0,"",IF(ISNA(計算結果!N790),"",計算結果!N790))</f>
        <v/>
      </c>
      <c r="O790" s="13" t="str">
        <f>IF(IF(ISNA(計算結果!O790),"",計算結果!O790)=0,"",IF(ISNA(計算結果!O790),"",計算結果!O790))</f>
        <v/>
      </c>
      <c r="P790" s="10" t="str">
        <f>IF(IF(ISNA(計算結果!P790),"",計算結果!P790)=0,"",IF(ISNA(計算結果!P790),"",計算結果!P790))</f>
        <v/>
      </c>
      <c r="Q790" s="10" t="str">
        <f>IF(IF(ISNA(計算結果!Q790),"",計算結果!Q790)=0,"",IF(ISNA(計算結果!Q790),"",計算結果!Q790))</f>
        <v/>
      </c>
      <c r="R790" s="14" t="str">
        <f t="shared" si="36"/>
        <v/>
      </c>
      <c r="S790" s="14" t="str">
        <f t="shared" si="37"/>
        <v>◯</v>
      </c>
      <c r="T790" s="14" t="str">
        <f t="shared" si="38"/>
        <v/>
      </c>
    </row>
    <row r="791" spans="1:20" hidden="1" x14ac:dyDescent="0.45">
      <c r="A791" s="10" t="str">
        <f>IF(IF(ISNA(計算結果!A791),"",計算結果!A791)=0,"",IF(ISNA(計算結果!A791),"",計算結果!A791))</f>
        <v/>
      </c>
      <c r="B791" s="10" t="str">
        <f>IF(IF(ISNA(計算結果!B791),"",計算結果!B791)=0,"",IF(ISNA(計算結果!B791),"",計算結果!B791))</f>
        <v/>
      </c>
      <c r="C791" s="10" t="str">
        <f>IF(IF(ISNA(計算結果!C791),"",計算結果!C791)=0,"",IF(ISNA(計算結果!C791),"",計算結果!C791))</f>
        <v/>
      </c>
      <c r="D791" s="10" t="str">
        <f>IF(IF(ISNA(計算結果!D791),"",計算結果!D791)=0,"",IF(ISNA(計算結果!D791),"",計算結果!D791))</f>
        <v>L</v>
      </c>
      <c r="E791" s="10" t="str">
        <f>IF(IF(ISNA(計算結果!E791),"",計算結果!E791)=0,"",IF(ISNA(計算結果!E791),"",計算結果!E791))</f>
        <v/>
      </c>
      <c r="F791" s="10" t="str">
        <f>IF(IF(ISNA(計算結果!F791),"",計算結果!F791)=0,"",IF(ISNA(計算結果!F791),"",計算結果!F791))</f>
        <v/>
      </c>
      <c r="G791" s="10" t="str">
        <f>IF(IF(ISNA(計算結果!G791),"",計算結果!G791)=0,"",IF(ISNA(計算結果!G791),"",計算結果!G791))</f>
        <v/>
      </c>
      <c r="H791" s="13">
        <f>IF(IF(ISNA(計算結果!H791),"",計算結果!H791)=0,"",IF(ISNA(計算結果!H791),"",計算結果!H791))</f>
        <v>-2</v>
      </c>
      <c r="I791" s="12" t="str">
        <f>IF(IF(ISNA(計算結果!I791),"",計算結果!I791)=0,"",IF(ISNA(計算結果!I791),"",計算結果!I791))</f>
        <v/>
      </c>
      <c r="J791" s="12" t="str">
        <f>IF(IF(ISNA(計算結果!J791),"",計算結果!J791)=0,"",IF(ISNA(計算結果!J791),"",計算結果!J791))</f>
        <v/>
      </c>
      <c r="K791" s="23" t="str">
        <f>IF(IF(ISNA(計算結果!K791),"",計算結果!K791)=0,"",IF(ISNA(計算結果!K791),"",計算結果!K791))</f>
        <v/>
      </c>
      <c r="L791" s="13" t="str">
        <f>IF(IF(ISNA(計算結果!L791),"",計算結果!L791)=0,"",IF(ISNA(計算結果!L791),"",計算結果!L791))</f>
        <v/>
      </c>
      <c r="M791" s="10" t="str">
        <f>IF(IF(ISNA(計算結果!M791),"",計算結果!M791)=0,"",IF(ISNA(計算結果!M791),"",計算結果!M791))</f>
        <v/>
      </c>
      <c r="N791" s="10" t="str">
        <f>IF(IF(ISNA(計算結果!N791),"",計算結果!N791)=0,"",IF(ISNA(計算結果!N791),"",計算結果!N791))</f>
        <v/>
      </c>
      <c r="O791" s="13" t="str">
        <f>IF(IF(ISNA(計算結果!O791),"",計算結果!O791)=0,"",IF(ISNA(計算結果!O791),"",計算結果!O791))</f>
        <v/>
      </c>
      <c r="P791" s="10" t="str">
        <f>IF(IF(ISNA(計算結果!P791),"",計算結果!P791)=0,"",IF(ISNA(計算結果!P791),"",計算結果!P791))</f>
        <v/>
      </c>
      <c r="Q791" s="10" t="str">
        <f>IF(IF(ISNA(計算結果!Q791),"",計算結果!Q791)=0,"",IF(ISNA(計算結果!Q791),"",計算結果!Q791))</f>
        <v/>
      </c>
      <c r="R791" s="14" t="str">
        <f t="shared" si="36"/>
        <v/>
      </c>
      <c r="S791" s="14" t="str">
        <f t="shared" si="37"/>
        <v>◯</v>
      </c>
      <c r="T791" s="14" t="str">
        <f t="shared" si="38"/>
        <v/>
      </c>
    </row>
    <row r="792" spans="1:20" hidden="1" x14ac:dyDescent="0.45">
      <c r="A792" s="10" t="str">
        <f>IF(IF(ISNA(計算結果!A792),"",計算結果!A792)=0,"",IF(ISNA(計算結果!A792),"",計算結果!A792))</f>
        <v/>
      </c>
      <c r="B792" s="10" t="str">
        <f>IF(IF(ISNA(計算結果!B792),"",計算結果!B792)=0,"",IF(ISNA(計算結果!B792),"",計算結果!B792))</f>
        <v/>
      </c>
      <c r="C792" s="10" t="str">
        <f>IF(IF(ISNA(計算結果!C792),"",計算結果!C792)=0,"",IF(ISNA(計算結果!C792),"",計算結果!C792))</f>
        <v/>
      </c>
      <c r="D792" s="10" t="str">
        <f>IF(IF(ISNA(計算結果!D792),"",計算結果!D792)=0,"",IF(ISNA(計算結果!D792),"",計算結果!D792))</f>
        <v>L</v>
      </c>
      <c r="E792" s="10" t="str">
        <f>IF(IF(ISNA(計算結果!E792),"",計算結果!E792)=0,"",IF(ISNA(計算結果!E792),"",計算結果!E792))</f>
        <v/>
      </c>
      <c r="F792" s="10" t="str">
        <f>IF(IF(ISNA(計算結果!F792),"",計算結果!F792)=0,"",IF(ISNA(計算結果!F792),"",計算結果!F792))</f>
        <v/>
      </c>
      <c r="G792" s="10" t="str">
        <f>IF(IF(ISNA(計算結果!G792),"",計算結果!G792)=0,"",IF(ISNA(計算結果!G792),"",計算結果!G792))</f>
        <v/>
      </c>
      <c r="H792" s="13">
        <f>IF(IF(ISNA(計算結果!H792),"",計算結果!H792)=0,"",IF(ISNA(計算結果!H792),"",計算結果!H792))</f>
        <v>-2</v>
      </c>
      <c r="I792" s="12" t="str">
        <f>IF(IF(ISNA(計算結果!I792),"",計算結果!I792)=0,"",IF(ISNA(計算結果!I792),"",計算結果!I792))</f>
        <v/>
      </c>
      <c r="J792" s="12" t="str">
        <f>IF(IF(ISNA(計算結果!J792),"",計算結果!J792)=0,"",IF(ISNA(計算結果!J792),"",計算結果!J792))</f>
        <v/>
      </c>
      <c r="K792" s="23" t="str">
        <f>IF(IF(ISNA(計算結果!K792),"",計算結果!K792)=0,"",IF(ISNA(計算結果!K792),"",計算結果!K792))</f>
        <v/>
      </c>
      <c r="L792" s="13" t="str">
        <f>IF(IF(ISNA(計算結果!L792),"",計算結果!L792)=0,"",IF(ISNA(計算結果!L792),"",計算結果!L792))</f>
        <v/>
      </c>
      <c r="M792" s="10" t="str">
        <f>IF(IF(ISNA(計算結果!M792),"",計算結果!M792)=0,"",IF(ISNA(計算結果!M792),"",計算結果!M792))</f>
        <v/>
      </c>
      <c r="N792" s="10" t="str">
        <f>IF(IF(ISNA(計算結果!N792),"",計算結果!N792)=0,"",IF(ISNA(計算結果!N792),"",計算結果!N792))</f>
        <v/>
      </c>
      <c r="O792" s="13" t="str">
        <f>IF(IF(ISNA(計算結果!O792),"",計算結果!O792)=0,"",IF(ISNA(計算結果!O792),"",計算結果!O792))</f>
        <v/>
      </c>
      <c r="P792" s="10" t="str">
        <f>IF(IF(ISNA(計算結果!P792),"",計算結果!P792)=0,"",IF(ISNA(計算結果!P792),"",計算結果!P792))</f>
        <v/>
      </c>
      <c r="Q792" s="10" t="str">
        <f>IF(IF(ISNA(計算結果!Q792),"",計算結果!Q792)=0,"",IF(ISNA(計算結果!Q792),"",計算結果!Q792))</f>
        <v/>
      </c>
      <c r="R792" s="14" t="str">
        <f t="shared" si="36"/>
        <v/>
      </c>
      <c r="S792" s="14" t="str">
        <f t="shared" si="37"/>
        <v>◯</v>
      </c>
      <c r="T792" s="14" t="str">
        <f t="shared" si="38"/>
        <v/>
      </c>
    </row>
    <row r="793" spans="1:20" hidden="1" x14ac:dyDescent="0.45">
      <c r="A793" s="10" t="str">
        <f>IF(IF(ISNA(計算結果!A793),"",計算結果!A793)=0,"",IF(ISNA(計算結果!A793),"",計算結果!A793))</f>
        <v/>
      </c>
      <c r="B793" s="10" t="str">
        <f>IF(IF(ISNA(計算結果!B793),"",計算結果!B793)=0,"",IF(ISNA(計算結果!B793),"",計算結果!B793))</f>
        <v/>
      </c>
      <c r="C793" s="10" t="str">
        <f>IF(IF(ISNA(計算結果!C793),"",計算結果!C793)=0,"",IF(ISNA(計算結果!C793),"",計算結果!C793))</f>
        <v/>
      </c>
      <c r="D793" s="10" t="str">
        <f>IF(IF(ISNA(計算結果!D793),"",計算結果!D793)=0,"",IF(ISNA(計算結果!D793),"",計算結果!D793))</f>
        <v>L</v>
      </c>
      <c r="E793" s="10" t="str">
        <f>IF(IF(ISNA(計算結果!E793),"",計算結果!E793)=0,"",IF(ISNA(計算結果!E793),"",計算結果!E793))</f>
        <v/>
      </c>
      <c r="F793" s="10" t="str">
        <f>IF(IF(ISNA(計算結果!F793),"",計算結果!F793)=0,"",IF(ISNA(計算結果!F793),"",計算結果!F793))</f>
        <v/>
      </c>
      <c r="G793" s="10" t="str">
        <f>IF(IF(ISNA(計算結果!G793),"",計算結果!G793)=0,"",IF(ISNA(計算結果!G793),"",計算結果!G793))</f>
        <v/>
      </c>
      <c r="H793" s="13">
        <f>IF(IF(ISNA(計算結果!H793),"",計算結果!H793)=0,"",IF(ISNA(計算結果!H793),"",計算結果!H793))</f>
        <v>-2</v>
      </c>
      <c r="I793" s="12" t="str">
        <f>IF(IF(ISNA(計算結果!I793),"",計算結果!I793)=0,"",IF(ISNA(計算結果!I793),"",計算結果!I793))</f>
        <v/>
      </c>
      <c r="J793" s="12" t="str">
        <f>IF(IF(ISNA(計算結果!J793),"",計算結果!J793)=0,"",IF(ISNA(計算結果!J793),"",計算結果!J793))</f>
        <v/>
      </c>
      <c r="K793" s="23" t="str">
        <f>IF(IF(ISNA(計算結果!K793),"",計算結果!K793)=0,"",IF(ISNA(計算結果!K793),"",計算結果!K793))</f>
        <v/>
      </c>
      <c r="L793" s="13" t="str">
        <f>IF(IF(ISNA(計算結果!L793),"",計算結果!L793)=0,"",IF(ISNA(計算結果!L793),"",計算結果!L793))</f>
        <v/>
      </c>
      <c r="M793" s="10" t="str">
        <f>IF(IF(ISNA(計算結果!M793),"",計算結果!M793)=0,"",IF(ISNA(計算結果!M793),"",計算結果!M793))</f>
        <v/>
      </c>
      <c r="N793" s="10" t="str">
        <f>IF(IF(ISNA(計算結果!N793),"",計算結果!N793)=0,"",IF(ISNA(計算結果!N793),"",計算結果!N793))</f>
        <v/>
      </c>
      <c r="O793" s="13" t="str">
        <f>IF(IF(ISNA(計算結果!O793),"",計算結果!O793)=0,"",IF(ISNA(計算結果!O793),"",計算結果!O793))</f>
        <v/>
      </c>
      <c r="P793" s="10" t="str">
        <f>IF(IF(ISNA(計算結果!P793),"",計算結果!P793)=0,"",IF(ISNA(計算結果!P793),"",計算結果!P793))</f>
        <v/>
      </c>
      <c r="Q793" s="10" t="str">
        <f>IF(IF(ISNA(計算結果!Q793),"",計算結果!Q793)=0,"",IF(ISNA(計算結果!Q793),"",計算結果!Q793))</f>
        <v/>
      </c>
      <c r="R793" s="14" t="str">
        <f t="shared" si="36"/>
        <v/>
      </c>
      <c r="S793" s="14" t="str">
        <f t="shared" si="37"/>
        <v>◯</v>
      </c>
      <c r="T793" s="14" t="str">
        <f t="shared" si="38"/>
        <v/>
      </c>
    </row>
    <row r="794" spans="1:20" hidden="1" x14ac:dyDescent="0.45">
      <c r="A794" s="10" t="str">
        <f>IF(IF(ISNA(計算結果!A794),"",計算結果!A794)=0,"",IF(ISNA(計算結果!A794),"",計算結果!A794))</f>
        <v/>
      </c>
      <c r="B794" s="10" t="str">
        <f>IF(IF(ISNA(計算結果!B794),"",計算結果!B794)=0,"",IF(ISNA(計算結果!B794),"",計算結果!B794))</f>
        <v/>
      </c>
      <c r="C794" s="10" t="str">
        <f>IF(IF(ISNA(計算結果!C794),"",計算結果!C794)=0,"",IF(ISNA(計算結果!C794),"",計算結果!C794))</f>
        <v/>
      </c>
      <c r="D794" s="10" t="str">
        <f>IF(IF(ISNA(計算結果!D794),"",計算結果!D794)=0,"",IF(ISNA(計算結果!D794),"",計算結果!D794))</f>
        <v>L</v>
      </c>
      <c r="E794" s="10" t="str">
        <f>IF(IF(ISNA(計算結果!E794),"",計算結果!E794)=0,"",IF(ISNA(計算結果!E794),"",計算結果!E794))</f>
        <v/>
      </c>
      <c r="F794" s="10" t="str">
        <f>IF(IF(ISNA(計算結果!F794),"",計算結果!F794)=0,"",IF(ISNA(計算結果!F794),"",計算結果!F794))</f>
        <v/>
      </c>
      <c r="G794" s="10" t="str">
        <f>IF(IF(ISNA(計算結果!G794),"",計算結果!G794)=0,"",IF(ISNA(計算結果!G794),"",計算結果!G794))</f>
        <v/>
      </c>
      <c r="H794" s="13">
        <f>IF(IF(ISNA(計算結果!H794),"",計算結果!H794)=0,"",IF(ISNA(計算結果!H794),"",計算結果!H794))</f>
        <v>-2</v>
      </c>
      <c r="I794" s="12" t="str">
        <f>IF(IF(ISNA(計算結果!I794),"",計算結果!I794)=0,"",IF(ISNA(計算結果!I794),"",計算結果!I794))</f>
        <v/>
      </c>
      <c r="J794" s="12" t="str">
        <f>IF(IF(ISNA(計算結果!J794),"",計算結果!J794)=0,"",IF(ISNA(計算結果!J794),"",計算結果!J794))</f>
        <v/>
      </c>
      <c r="K794" s="23" t="str">
        <f>IF(IF(ISNA(計算結果!K794),"",計算結果!K794)=0,"",IF(ISNA(計算結果!K794),"",計算結果!K794))</f>
        <v/>
      </c>
      <c r="L794" s="13" t="str">
        <f>IF(IF(ISNA(計算結果!L794),"",計算結果!L794)=0,"",IF(ISNA(計算結果!L794),"",計算結果!L794))</f>
        <v/>
      </c>
      <c r="M794" s="10" t="str">
        <f>IF(IF(ISNA(計算結果!M794),"",計算結果!M794)=0,"",IF(ISNA(計算結果!M794),"",計算結果!M794))</f>
        <v/>
      </c>
      <c r="N794" s="10" t="str">
        <f>IF(IF(ISNA(計算結果!N794),"",計算結果!N794)=0,"",IF(ISNA(計算結果!N794),"",計算結果!N794))</f>
        <v/>
      </c>
      <c r="O794" s="13" t="str">
        <f>IF(IF(ISNA(計算結果!O794),"",計算結果!O794)=0,"",IF(ISNA(計算結果!O794),"",計算結果!O794))</f>
        <v/>
      </c>
      <c r="P794" s="10" t="str">
        <f>IF(IF(ISNA(計算結果!P794),"",計算結果!P794)=0,"",IF(ISNA(計算結果!P794),"",計算結果!P794))</f>
        <v/>
      </c>
      <c r="Q794" s="10" t="str">
        <f>IF(IF(ISNA(計算結果!Q794),"",計算結果!Q794)=0,"",IF(ISNA(計算結果!Q794),"",計算結果!Q794))</f>
        <v/>
      </c>
      <c r="R794" s="14" t="str">
        <f t="shared" si="36"/>
        <v/>
      </c>
      <c r="S794" s="14" t="str">
        <f t="shared" si="37"/>
        <v>◯</v>
      </c>
      <c r="T794" s="14" t="str">
        <f t="shared" si="38"/>
        <v/>
      </c>
    </row>
    <row r="795" spans="1:20" hidden="1" x14ac:dyDescent="0.45">
      <c r="A795" s="10" t="str">
        <f>IF(IF(ISNA(計算結果!A795),"",計算結果!A795)=0,"",IF(ISNA(計算結果!A795),"",計算結果!A795))</f>
        <v/>
      </c>
      <c r="B795" s="10" t="str">
        <f>IF(IF(ISNA(計算結果!B795),"",計算結果!B795)=0,"",IF(ISNA(計算結果!B795),"",計算結果!B795))</f>
        <v/>
      </c>
      <c r="C795" s="10" t="str">
        <f>IF(IF(ISNA(計算結果!C795),"",計算結果!C795)=0,"",IF(ISNA(計算結果!C795),"",計算結果!C795))</f>
        <v/>
      </c>
      <c r="D795" s="10" t="str">
        <f>IF(IF(ISNA(計算結果!D795),"",計算結果!D795)=0,"",IF(ISNA(計算結果!D795),"",計算結果!D795))</f>
        <v>L</v>
      </c>
      <c r="E795" s="10" t="str">
        <f>IF(IF(ISNA(計算結果!E795),"",計算結果!E795)=0,"",IF(ISNA(計算結果!E795),"",計算結果!E795))</f>
        <v/>
      </c>
      <c r="F795" s="10" t="str">
        <f>IF(IF(ISNA(計算結果!F795),"",計算結果!F795)=0,"",IF(ISNA(計算結果!F795),"",計算結果!F795))</f>
        <v/>
      </c>
      <c r="G795" s="10" t="str">
        <f>IF(IF(ISNA(計算結果!G795),"",計算結果!G795)=0,"",IF(ISNA(計算結果!G795),"",計算結果!G795))</f>
        <v/>
      </c>
      <c r="H795" s="13">
        <f>IF(IF(ISNA(計算結果!H795),"",計算結果!H795)=0,"",IF(ISNA(計算結果!H795),"",計算結果!H795))</f>
        <v>-2</v>
      </c>
      <c r="I795" s="12" t="str">
        <f>IF(IF(ISNA(計算結果!I795),"",計算結果!I795)=0,"",IF(ISNA(計算結果!I795),"",計算結果!I795))</f>
        <v/>
      </c>
      <c r="J795" s="12" t="str">
        <f>IF(IF(ISNA(計算結果!J795),"",計算結果!J795)=0,"",IF(ISNA(計算結果!J795),"",計算結果!J795))</f>
        <v/>
      </c>
      <c r="K795" s="23" t="str">
        <f>IF(IF(ISNA(計算結果!K795),"",計算結果!K795)=0,"",IF(ISNA(計算結果!K795),"",計算結果!K795))</f>
        <v/>
      </c>
      <c r="L795" s="13" t="str">
        <f>IF(IF(ISNA(計算結果!L795),"",計算結果!L795)=0,"",IF(ISNA(計算結果!L795),"",計算結果!L795))</f>
        <v/>
      </c>
      <c r="M795" s="10" t="str">
        <f>IF(IF(ISNA(計算結果!M795),"",計算結果!M795)=0,"",IF(ISNA(計算結果!M795),"",計算結果!M795))</f>
        <v/>
      </c>
      <c r="N795" s="10" t="str">
        <f>IF(IF(ISNA(計算結果!N795),"",計算結果!N795)=0,"",IF(ISNA(計算結果!N795),"",計算結果!N795))</f>
        <v/>
      </c>
      <c r="O795" s="13" t="str">
        <f>IF(IF(ISNA(計算結果!O795),"",計算結果!O795)=0,"",IF(ISNA(計算結果!O795),"",計算結果!O795))</f>
        <v/>
      </c>
      <c r="P795" s="10" t="str">
        <f>IF(IF(ISNA(計算結果!P795),"",計算結果!P795)=0,"",IF(ISNA(計算結果!P795),"",計算結果!P795))</f>
        <v/>
      </c>
      <c r="Q795" s="10" t="str">
        <f>IF(IF(ISNA(計算結果!Q795),"",計算結果!Q795)=0,"",IF(ISNA(計算結果!Q795),"",計算結果!Q795))</f>
        <v/>
      </c>
      <c r="R795" s="14" t="str">
        <f t="shared" si="36"/>
        <v/>
      </c>
      <c r="S795" s="14" t="str">
        <f t="shared" si="37"/>
        <v>◯</v>
      </c>
      <c r="T795" s="14" t="str">
        <f t="shared" si="38"/>
        <v/>
      </c>
    </row>
    <row r="796" spans="1:20" hidden="1" x14ac:dyDescent="0.45">
      <c r="A796" s="10" t="str">
        <f>IF(IF(ISNA(計算結果!A796),"",計算結果!A796)=0,"",IF(ISNA(計算結果!A796),"",計算結果!A796))</f>
        <v/>
      </c>
      <c r="B796" s="10" t="str">
        <f>IF(IF(ISNA(計算結果!B796),"",計算結果!B796)=0,"",IF(ISNA(計算結果!B796),"",計算結果!B796))</f>
        <v/>
      </c>
      <c r="C796" s="10" t="str">
        <f>IF(IF(ISNA(計算結果!C796),"",計算結果!C796)=0,"",IF(ISNA(計算結果!C796),"",計算結果!C796))</f>
        <v/>
      </c>
      <c r="D796" s="10" t="str">
        <f>IF(IF(ISNA(計算結果!D796),"",計算結果!D796)=0,"",IF(ISNA(計算結果!D796),"",計算結果!D796))</f>
        <v>L</v>
      </c>
      <c r="E796" s="10" t="str">
        <f>IF(IF(ISNA(計算結果!E796),"",計算結果!E796)=0,"",IF(ISNA(計算結果!E796),"",計算結果!E796))</f>
        <v/>
      </c>
      <c r="F796" s="10" t="str">
        <f>IF(IF(ISNA(計算結果!F796),"",計算結果!F796)=0,"",IF(ISNA(計算結果!F796),"",計算結果!F796))</f>
        <v/>
      </c>
      <c r="G796" s="10" t="str">
        <f>IF(IF(ISNA(計算結果!G796),"",計算結果!G796)=0,"",IF(ISNA(計算結果!G796),"",計算結果!G796))</f>
        <v/>
      </c>
      <c r="H796" s="13">
        <f>IF(IF(ISNA(計算結果!H796),"",計算結果!H796)=0,"",IF(ISNA(計算結果!H796),"",計算結果!H796))</f>
        <v>-2</v>
      </c>
      <c r="I796" s="12" t="str">
        <f>IF(IF(ISNA(計算結果!I796),"",計算結果!I796)=0,"",IF(ISNA(計算結果!I796),"",計算結果!I796))</f>
        <v/>
      </c>
      <c r="J796" s="12" t="str">
        <f>IF(IF(ISNA(計算結果!J796),"",計算結果!J796)=0,"",IF(ISNA(計算結果!J796),"",計算結果!J796))</f>
        <v/>
      </c>
      <c r="K796" s="23" t="str">
        <f>IF(IF(ISNA(計算結果!K796),"",計算結果!K796)=0,"",IF(ISNA(計算結果!K796),"",計算結果!K796))</f>
        <v/>
      </c>
      <c r="L796" s="13" t="str">
        <f>IF(IF(ISNA(計算結果!L796),"",計算結果!L796)=0,"",IF(ISNA(計算結果!L796),"",計算結果!L796))</f>
        <v/>
      </c>
      <c r="M796" s="10" t="str">
        <f>IF(IF(ISNA(計算結果!M796),"",計算結果!M796)=0,"",IF(ISNA(計算結果!M796),"",計算結果!M796))</f>
        <v/>
      </c>
      <c r="N796" s="10" t="str">
        <f>IF(IF(ISNA(計算結果!N796),"",計算結果!N796)=0,"",IF(ISNA(計算結果!N796),"",計算結果!N796))</f>
        <v/>
      </c>
      <c r="O796" s="13" t="str">
        <f>IF(IF(ISNA(計算結果!O796),"",計算結果!O796)=0,"",IF(ISNA(計算結果!O796),"",計算結果!O796))</f>
        <v/>
      </c>
      <c r="P796" s="10" t="str">
        <f>IF(IF(ISNA(計算結果!P796),"",計算結果!P796)=0,"",IF(ISNA(計算結果!P796),"",計算結果!P796))</f>
        <v/>
      </c>
      <c r="Q796" s="10" t="str">
        <f>IF(IF(ISNA(計算結果!Q796),"",計算結果!Q796)=0,"",IF(ISNA(計算結果!Q796),"",計算結果!Q796))</f>
        <v/>
      </c>
      <c r="R796" s="14" t="str">
        <f t="shared" si="36"/>
        <v/>
      </c>
      <c r="S796" s="14" t="str">
        <f t="shared" si="37"/>
        <v>◯</v>
      </c>
      <c r="T796" s="14" t="str">
        <f t="shared" si="38"/>
        <v/>
      </c>
    </row>
    <row r="797" spans="1:20" hidden="1" x14ac:dyDescent="0.45">
      <c r="A797" s="10" t="str">
        <f>IF(IF(ISNA(計算結果!A797),"",計算結果!A797)=0,"",IF(ISNA(計算結果!A797),"",計算結果!A797))</f>
        <v/>
      </c>
      <c r="B797" s="10" t="str">
        <f>IF(IF(ISNA(計算結果!B797),"",計算結果!B797)=0,"",IF(ISNA(計算結果!B797),"",計算結果!B797))</f>
        <v/>
      </c>
      <c r="C797" s="10" t="str">
        <f>IF(IF(ISNA(計算結果!C797),"",計算結果!C797)=0,"",IF(ISNA(計算結果!C797),"",計算結果!C797))</f>
        <v/>
      </c>
      <c r="D797" s="10" t="str">
        <f>IF(IF(ISNA(計算結果!D797),"",計算結果!D797)=0,"",IF(ISNA(計算結果!D797),"",計算結果!D797))</f>
        <v>L</v>
      </c>
      <c r="E797" s="10" t="str">
        <f>IF(IF(ISNA(計算結果!E797),"",計算結果!E797)=0,"",IF(ISNA(計算結果!E797),"",計算結果!E797))</f>
        <v/>
      </c>
      <c r="F797" s="10" t="str">
        <f>IF(IF(ISNA(計算結果!F797),"",計算結果!F797)=0,"",IF(ISNA(計算結果!F797),"",計算結果!F797))</f>
        <v/>
      </c>
      <c r="G797" s="10" t="str">
        <f>IF(IF(ISNA(計算結果!G797),"",計算結果!G797)=0,"",IF(ISNA(計算結果!G797),"",計算結果!G797))</f>
        <v/>
      </c>
      <c r="H797" s="13">
        <f>IF(IF(ISNA(計算結果!H797),"",計算結果!H797)=0,"",IF(ISNA(計算結果!H797),"",計算結果!H797))</f>
        <v>-2</v>
      </c>
      <c r="I797" s="12" t="str">
        <f>IF(IF(ISNA(計算結果!I797),"",計算結果!I797)=0,"",IF(ISNA(計算結果!I797),"",計算結果!I797))</f>
        <v/>
      </c>
      <c r="J797" s="12" t="str">
        <f>IF(IF(ISNA(計算結果!J797),"",計算結果!J797)=0,"",IF(ISNA(計算結果!J797),"",計算結果!J797))</f>
        <v/>
      </c>
      <c r="K797" s="23" t="str">
        <f>IF(IF(ISNA(計算結果!K797),"",計算結果!K797)=0,"",IF(ISNA(計算結果!K797),"",計算結果!K797))</f>
        <v/>
      </c>
      <c r="L797" s="13" t="str">
        <f>IF(IF(ISNA(計算結果!L797),"",計算結果!L797)=0,"",IF(ISNA(計算結果!L797),"",計算結果!L797))</f>
        <v/>
      </c>
      <c r="M797" s="10" t="str">
        <f>IF(IF(ISNA(計算結果!M797),"",計算結果!M797)=0,"",IF(ISNA(計算結果!M797),"",計算結果!M797))</f>
        <v/>
      </c>
      <c r="N797" s="10" t="str">
        <f>IF(IF(ISNA(計算結果!N797),"",計算結果!N797)=0,"",IF(ISNA(計算結果!N797),"",計算結果!N797))</f>
        <v/>
      </c>
      <c r="O797" s="13" t="str">
        <f>IF(IF(ISNA(計算結果!O797),"",計算結果!O797)=0,"",IF(ISNA(計算結果!O797),"",計算結果!O797))</f>
        <v/>
      </c>
      <c r="P797" s="10" t="str">
        <f>IF(IF(ISNA(計算結果!P797),"",計算結果!P797)=0,"",IF(ISNA(計算結果!P797),"",計算結果!P797))</f>
        <v/>
      </c>
      <c r="Q797" s="10" t="str">
        <f>IF(IF(ISNA(計算結果!Q797),"",計算結果!Q797)=0,"",IF(ISNA(計算結果!Q797),"",計算結果!Q797))</f>
        <v/>
      </c>
      <c r="R797" s="14" t="str">
        <f t="shared" si="36"/>
        <v/>
      </c>
      <c r="S797" s="14" t="str">
        <f t="shared" si="37"/>
        <v>◯</v>
      </c>
      <c r="T797" s="14" t="str">
        <f t="shared" si="38"/>
        <v/>
      </c>
    </row>
    <row r="798" spans="1:20" hidden="1" x14ac:dyDescent="0.45">
      <c r="A798" s="10" t="str">
        <f>IF(IF(ISNA(計算結果!A798),"",計算結果!A798)=0,"",IF(ISNA(計算結果!A798),"",計算結果!A798))</f>
        <v/>
      </c>
      <c r="B798" s="10" t="str">
        <f>IF(IF(ISNA(計算結果!B798),"",計算結果!B798)=0,"",IF(ISNA(計算結果!B798),"",計算結果!B798))</f>
        <v/>
      </c>
      <c r="C798" s="10" t="str">
        <f>IF(IF(ISNA(計算結果!C798),"",計算結果!C798)=0,"",IF(ISNA(計算結果!C798),"",計算結果!C798))</f>
        <v/>
      </c>
      <c r="D798" s="10" t="str">
        <f>IF(IF(ISNA(計算結果!D798),"",計算結果!D798)=0,"",IF(ISNA(計算結果!D798),"",計算結果!D798))</f>
        <v>L</v>
      </c>
      <c r="E798" s="10" t="str">
        <f>IF(IF(ISNA(計算結果!E798),"",計算結果!E798)=0,"",IF(ISNA(計算結果!E798),"",計算結果!E798))</f>
        <v/>
      </c>
      <c r="F798" s="10" t="str">
        <f>IF(IF(ISNA(計算結果!F798),"",計算結果!F798)=0,"",IF(ISNA(計算結果!F798),"",計算結果!F798))</f>
        <v/>
      </c>
      <c r="G798" s="10" t="str">
        <f>IF(IF(ISNA(計算結果!G798),"",計算結果!G798)=0,"",IF(ISNA(計算結果!G798),"",計算結果!G798))</f>
        <v/>
      </c>
      <c r="H798" s="13">
        <f>IF(IF(ISNA(計算結果!H798),"",計算結果!H798)=0,"",IF(ISNA(計算結果!H798),"",計算結果!H798))</f>
        <v>-2</v>
      </c>
      <c r="I798" s="12" t="str">
        <f>IF(IF(ISNA(計算結果!I798),"",計算結果!I798)=0,"",IF(ISNA(計算結果!I798),"",計算結果!I798))</f>
        <v/>
      </c>
      <c r="J798" s="12" t="str">
        <f>IF(IF(ISNA(計算結果!J798),"",計算結果!J798)=0,"",IF(ISNA(計算結果!J798),"",計算結果!J798))</f>
        <v/>
      </c>
      <c r="K798" s="23" t="str">
        <f>IF(IF(ISNA(計算結果!K798),"",計算結果!K798)=0,"",IF(ISNA(計算結果!K798),"",計算結果!K798))</f>
        <v/>
      </c>
      <c r="L798" s="13" t="str">
        <f>IF(IF(ISNA(計算結果!L798),"",計算結果!L798)=0,"",IF(ISNA(計算結果!L798),"",計算結果!L798))</f>
        <v/>
      </c>
      <c r="M798" s="10" t="str">
        <f>IF(IF(ISNA(計算結果!M798),"",計算結果!M798)=0,"",IF(ISNA(計算結果!M798),"",計算結果!M798))</f>
        <v/>
      </c>
      <c r="N798" s="10" t="str">
        <f>IF(IF(ISNA(計算結果!N798),"",計算結果!N798)=0,"",IF(ISNA(計算結果!N798),"",計算結果!N798))</f>
        <v/>
      </c>
      <c r="O798" s="13" t="str">
        <f>IF(IF(ISNA(計算結果!O798),"",計算結果!O798)=0,"",IF(ISNA(計算結果!O798),"",計算結果!O798))</f>
        <v/>
      </c>
      <c r="P798" s="10" t="str">
        <f>IF(IF(ISNA(計算結果!P798),"",計算結果!P798)=0,"",IF(ISNA(計算結果!P798),"",計算結果!P798))</f>
        <v/>
      </c>
      <c r="Q798" s="10" t="str">
        <f>IF(IF(ISNA(計算結果!Q798),"",計算結果!Q798)=0,"",IF(ISNA(計算結果!Q798),"",計算結果!Q798))</f>
        <v/>
      </c>
      <c r="R798" s="14" t="str">
        <f t="shared" si="36"/>
        <v/>
      </c>
      <c r="S798" s="14" t="str">
        <f t="shared" si="37"/>
        <v>◯</v>
      </c>
      <c r="T798" s="14" t="str">
        <f t="shared" si="38"/>
        <v/>
      </c>
    </row>
    <row r="799" spans="1:20" hidden="1" x14ac:dyDescent="0.45">
      <c r="A799" s="10" t="str">
        <f>IF(IF(ISNA(計算結果!A799),"",計算結果!A799)=0,"",IF(ISNA(計算結果!A799),"",計算結果!A799))</f>
        <v/>
      </c>
      <c r="B799" s="10" t="str">
        <f>IF(IF(ISNA(計算結果!B799),"",計算結果!B799)=0,"",IF(ISNA(計算結果!B799),"",計算結果!B799))</f>
        <v/>
      </c>
      <c r="C799" s="10" t="str">
        <f>IF(IF(ISNA(計算結果!C799),"",計算結果!C799)=0,"",IF(ISNA(計算結果!C799),"",計算結果!C799))</f>
        <v/>
      </c>
      <c r="D799" s="10" t="str">
        <f>IF(IF(ISNA(計算結果!D799),"",計算結果!D799)=0,"",IF(ISNA(計算結果!D799),"",計算結果!D799))</f>
        <v>L</v>
      </c>
      <c r="E799" s="10" t="str">
        <f>IF(IF(ISNA(計算結果!E799),"",計算結果!E799)=0,"",IF(ISNA(計算結果!E799),"",計算結果!E799))</f>
        <v/>
      </c>
      <c r="F799" s="10" t="str">
        <f>IF(IF(ISNA(計算結果!F799),"",計算結果!F799)=0,"",IF(ISNA(計算結果!F799),"",計算結果!F799))</f>
        <v/>
      </c>
      <c r="G799" s="10" t="str">
        <f>IF(IF(ISNA(計算結果!G799),"",計算結果!G799)=0,"",IF(ISNA(計算結果!G799),"",計算結果!G799))</f>
        <v/>
      </c>
      <c r="H799" s="13">
        <f>IF(IF(ISNA(計算結果!H799),"",計算結果!H799)=0,"",IF(ISNA(計算結果!H799),"",計算結果!H799))</f>
        <v>-2</v>
      </c>
      <c r="I799" s="12" t="str">
        <f>IF(IF(ISNA(計算結果!I799),"",計算結果!I799)=0,"",IF(ISNA(計算結果!I799),"",計算結果!I799))</f>
        <v/>
      </c>
      <c r="J799" s="12" t="str">
        <f>IF(IF(ISNA(計算結果!J799),"",計算結果!J799)=0,"",IF(ISNA(計算結果!J799),"",計算結果!J799))</f>
        <v/>
      </c>
      <c r="K799" s="23" t="str">
        <f>IF(IF(ISNA(計算結果!K799),"",計算結果!K799)=0,"",IF(ISNA(計算結果!K799),"",計算結果!K799))</f>
        <v/>
      </c>
      <c r="L799" s="13" t="str">
        <f>IF(IF(ISNA(計算結果!L799),"",計算結果!L799)=0,"",IF(ISNA(計算結果!L799),"",計算結果!L799))</f>
        <v/>
      </c>
      <c r="M799" s="10" t="str">
        <f>IF(IF(ISNA(計算結果!M799),"",計算結果!M799)=0,"",IF(ISNA(計算結果!M799),"",計算結果!M799))</f>
        <v/>
      </c>
      <c r="N799" s="10" t="str">
        <f>IF(IF(ISNA(計算結果!N799),"",計算結果!N799)=0,"",IF(ISNA(計算結果!N799),"",計算結果!N799))</f>
        <v/>
      </c>
      <c r="O799" s="13" t="str">
        <f>IF(IF(ISNA(計算結果!O799),"",計算結果!O799)=0,"",IF(ISNA(計算結果!O799),"",計算結果!O799))</f>
        <v/>
      </c>
      <c r="P799" s="10" t="str">
        <f>IF(IF(ISNA(計算結果!P799),"",計算結果!P799)=0,"",IF(ISNA(計算結果!P799),"",計算結果!P799))</f>
        <v/>
      </c>
      <c r="Q799" s="10" t="str">
        <f>IF(IF(ISNA(計算結果!Q799),"",計算結果!Q799)=0,"",IF(ISNA(計算結果!Q799),"",計算結果!Q799))</f>
        <v/>
      </c>
      <c r="R799" s="14" t="str">
        <f t="shared" si="36"/>
        <v/>
      </c>
      <c r="S799" s="14" t="str">
        <f t="shared" si="37"/>
        <v>◯</v>
      </c>
      <c r="T799" s="14" t="str">
        <f t="shared" si="38"/>
        <v/>
      </c>
    </row>
    <row r="800" spans="1:20" hidden="1" x14ac:dyDescent="0.45">
      <c r="A800" s="10" t="str">
        <f>IF(IF(ISNA(計算結果!A800),"",計算結果!A800)=0,"",IF(ISNA(計算結果!A800),"",計算結果!A800))</f>
        <v/>
      </c>
      <c r="B800" s="10" t="str">
        <f>IF(IF(ISNA(計算結果!B800),"",計算結果!B800)=0,"",IF(ISNA(計算結果!B800),"",計算結果!B800))</f>
        <v/>
      </c>
      <c r="C800" s="10" t="str">
        <f>IF(IF(ISNA(計算結果!C800),"",計算結果!C800)=0,"",IF(ISNA(計算結果!C800),"",計算結果!C800))</f>
        <v/>
      </c>
      <c r="D800" s="10" t="str">
        <f>IF(IF(ISNA(計算結果!D800),"",計算結果!D800)=0,"",IF(ISNA(計算結果!D800),"",計算結果!D800))</f>
        <v>L</v>
      </c>
      <c r="E800" s="10" t="str">
        <f>IF(IF(ISNA(計算結果!E800),"",計算結果!E800)=0,"",IF(ISNA(計算結果!E800),"",計算結果!E800))</f>
        <v/>
      </c>
      <c r="F800" s="10" t="str">
        <f>IF(IF(ISNA(計算結果!F800),"",計算結果!F800)=0,"",IF(ISNA(計算結果!F800),"",計算結果!F800))</f>
        <v/>
      </c>
      <c r="G800" s="10" t="str">
        <f>IF(IF(ISNA(計算結果!G800),"",計算結果!G800)=0,"",IF(ISNA(計算結果!G800),"",計算結果!G800))</f>
        <v/>
      </c>
      <c r="H800" s="13">
        <f>IF(IF(ISNA(計算結果!H800),"",計算結果!H800)=0,"",IF(ISNA(計算結果!H800),"",計算結果!H800))</f>
        <v>-2</v>
      </c>
      <c r="I800" s="12" t="str">
        <f>IF(IF(ISNA(計算結果!I800),"",計算結果!I800)=0,"",IF(ISNA(計算結果!I800),"",計算結果!I800))</f>
        <v/>
      </c>
      <c r="J800" s="12" t="str">
        <f>IF(IF(ISNA(計算結果!J800),"",計算結果!J800)=0,"",IF(ISNA(計算結果!J800),"",計算結果!J800))</f>
        <v/>
      </c>
      <c r="K800" s="23" t="str">
        <f>IF(IF(ISNA(計算結果!K800),"",計算結果!K800)=0,"",IF(ISNA(計算結果!K800),"",計算結果!K800))</f>
        <v/>
      </c>
      <c r="L800" s="13" t="str">
        <f>IF(IF(ISNA(計算結果!L800),"",計算結果!L800)=0,"",IF(ISNA(計算結果!L800),"",計算結果!L800))</f>
        <v/>
      </c>
      <c r="M800" s="10" t="str">
        <f>IF(IF(ISNA(計算結果!M800),"",計算結果!M800)=0,"",IF(ISNA(計算結果!M800),"",計算結果!M800))</f>
        <v/>
      </c>
      <c r="N800" s="10" t="str">
        <f>IF(IF(ISNA(計算結果!N800),"",計算結果!N800)=0,"",IF(ISNA(計算結果!N800),"",計算結果!N800))</f>
        <v/>
      </c>
      <c r="O800" s="13" t="str">
        <f>IF(IF(ISNA(計算結果!O800),"",計算結果!O800)=0,"",IF(ISNA(計算結果!O800),"",計算結果!O800))</f>
        <v/>
      </c>
      <c r="P800" s="10" t="str">
        <f>IF(IF(ISNA(計算結果!P800),"",計算結果!P800)=0,"",IF(ISNA(計算結果!P800),"",計算結果!P800))</f>
        <v/>
      </c>
      <c r="Q800" s="10" t="str">
        <f>IF(IF(ISNA(計算結果!Q800),"",計算結果!Q800)=0,"",IF(ISNA(計算結果!Q800),"",計算結果!Q800))</f>
        <v/>
      </c>
      <c r="R800" s="14" t="str">
        <f t="shared" si="36"/>
        <v/>
      </c>
      <c r="S800" s="14" t="str">
        <f t="shared" si="37"/>
        <v>◯</v>
      </c>
      <c r="T800" s="14" t="str">
        <f t="shared" si="38"/>
        <v/>
      </c>
    </row>
    <row r="801" spans="1:20" hidden="1" x14ac:dyDescent="0.45">
      <c r="A801" s="10" t="str">
        <f>IF(IF(ISNA(計算結果!A801),"",計算結果!A801)=0,"",IF(ISNA(計算結果!A801),"",計算結果!A801))</f>
        <v/>
      </c>
      <c r="B801" s="10" t="str">
        <f>IF(IF(ISNA(計算結果!B801),"",計算結果!B801)=0,"",IF(ISNA(計算結果!B801),"",計算結果!B801))</f>
        <v/>
      </c>
      <c r="C801" s="10" t="str">
        <f>IF(IF(ISNA(計算結果!C801),"",計算結果!C801)=0,"",IF(ISNA(計算結果!C801),"",計算結果!C801))</f>
        <v/>
      </c>
      <c r="D801" s="10" t="str">
        <f>IF(IF(ISNA(計算結果!D801),"",計算結果!D801)=0,"",IF(ISNA(計算結果!D801),"",計算結果!D801))</f>
        <v>L</v>
      </c>
      <c r="E801" s="10" t="str">
        <f>IF(IF(ISNA(計算結果!E801),"",計算結果!E801)=0,"",IF(ISNA(計算結果!E801),"",計算結果!E801))</f>
        <v/>
      </c>
      <c r="F801" s="10" t="str">
        <f>IF(IF(ISNA(計算結果!F801),"",計算結果!F801)=0,"",IF(ISNA(計算結果!F801),"",計算結果!F801))</f>
        <v/>
      </c>
      <c r="G801" s="10" t="str">
        <f>IF(IF(ISNA(計算結果!G801),"",計算結果!G801)=0,"",IF(ISNA(計算結果!G801),"",計算結果!G801))</f>
        <v/>
      </c>
      <c r="H801" s="13">
        <f>IF(IF(ISNA(計算結果!H801),"",計算結果!H801)=0,"",IF(ISNA(計算結果!H801),"",計算結果!H801))</f>
        <v>-2</v>
      </c>
      <c r="I801" s="12" t="str">
        <f>IF(IF(ISNA(計算結果!I801),"",計算結果!I801)=0,"",IF(ISNA(計算結果!I801),"",計算結果!I801))</f>
        <v/>
      </c>
      <c r="J801" s="12" t="str">
        <f>IF(IF(ISNA(計算結果!J801),"",計算結果!J801)=0,"",IF(ISNA(計算結果!J801),"",計算結果!J801))</f>
        <v/>
      </c>
      <c r="K801" s="23" t="str">
        <f>IF(IF(ISNA(計算結果!K801),"",計算結果!K801)=0,"",IF(ISNA(計算結果!K801),"",計算結果!K801))</f>
        <v/>
      </c>
      <c r="L801" s="13" t="str">
        <f>IF(IF(ISNA(計算結果!L801),"",計算結果!L801)=0,"",IF(ISNA(計算結果!L801),"",計算結果!L801))</f>
        <v/>
      </c>
      <c r="M801" s="10" t="str">
        <f>IF(IF(ISNA(計算結果!M801),"",計算結果!M801)=0,"",IF(ISNA(計算結果!M801),"",計算結果!M801))</f>
        <v/>
      </c>
      <c r="N801" s="10" t="str">
        <f>IF(IF(ISNA(計算結果!N801),"",計算結果!N801)=0,"",IF(ISNA(計算結果!N801),"",計算結果!N801))</f>
        <v/>
      </c>
      <c r="O801" s="13" t="str">
        <f>IF(IF(ISNA(計算結果!O801),"",計算結果!O801)=0,"",IF(ISNA(計算結果!O801),"",計算結果!O801))</f>
        <v/>
      </c>
      <c r="P801" s="10" t="str">
        <f>IF(IF(ISNA(計算結果!P801),"",計算結果!P801)=0,"",IF(ISNA(計算結果!P801),"",計算結果!P801))</f>
        <v/>
      </c>
      <c r="Q801" s="10" t="str">
        <f>IF(IF(ISNA(計算結果!Q801),"",計算結果!Q801)=0,"",IF(ISNA(計算結果!Q801),"",計算結果!Q801))</f>
        <v/>
      </c>
      <c r="R801" s="14" t="str">
        <f t="shared" si="36"/>
        <v/>
      </c>
      <c r="S801" s="14" t="str">
        <f t="shared" si="37"/>
        <v>◯</v>
      </c>
      <c r="T801" s="14" t="str">
        <f t="shared" si="38"/>
        <v/>
      </c>
    </row>
    <row r="802" spans="1:20" hidden="1" x14ac:dyDescent="0.45">
      <c r="A802" s="10" t="str">
        <f>IF(IF(ISNA(計算結果!A802),"",計算結果!A802)=0,"",IF(ISNA(計算結果!A802),"",計算結果!A802))</f>
        <v/>
      </c>
      <c r="B802" s="10" t="str">
        <f>IF(IF(ISNA(計算結果!B802),"",計算結果!B802)=0,"",IF(ISNA(計算結果!B802),"",計算結果!B802))</f>
        <v/>
      </c>
      <c r="C802" s="10" t="str">
        <f>IF(IF(ISNA(計算結果!C802),"",計算結果!C802)=0,"",IF(ISNA(計算結果!C802),"",計算結果!C802))</f>
        <v/>
      </c>
      <c r="D802" s="10" t="str">
        <f>IF(IF(ISNA(計算結果!D802),"",計算結果!D802)=0,"",IF(ISNA(計算結果!D802),"",計算結果!D802))</f>
        <v>L</v>
      </c>
      <c r="E802" s="10" t="str">
        <f>IF(IF(ISNA(計算結果!E802),"",計算結果!E802)=0,"",IF(ISNA(計算結果!E802),"",計算結果!E802))</f>
        <v/>
      </c>
      <c r="F802" s="10" t="str">
        <f>IF(IF(ISNA(計算結果!F802),"",計算結果!F802)=0,"",IF(ISNA(計算結果!F802),"",計算結果!F802))</f>
        <v/>
      </c>
      <c r="G802" s="10" t="str">
        <f>IF(IF(ISNA(計算結果!G802),"",計算結果!G802)=0,"",IF(ISNA(計算結果!G802),"",計算結果!G802))</f>
        <v/>
      </c>
      <c r="H802" s="13">
        <f>IF(IF(ISNA(計算結果!H802),"",計算結果!H802)=0,"",IF(ISNA(計算結果!H802),"",計算結果!H802))</f>
        <v>-2</v>
      </c>
      <c r="I802" s="12" t="str">
        <f>IF(IF(ISNA(計算結果!I802),"",計算結果!I802)=0,"",IF(ISNA(計算結果!I802),"",計算結果!I802))</f>
        <v/>
      </c>
      <c r="J802" s="12" t="str">
        <f>IF(IF(ISNA(計算結果!J802),"",計算結果!J802)=0,"",IF(ISNA(計算結果!J802),"",計算結果!J802))</f>
        <v/>
      </c>
      <c r="K802" s="23" t="str">
        <f>IF(IF(ISNA(計算結果!K802),"",計算結果!K802)=0,"",IF(ISNA(計算結果!K802),"",計算結果!K802))</f>
        <v/>
      </c>
      <c r="L802" s="13" t="str">
        <f>IF(IF(ISNA(計算結果!L802),"",計算結果!L802)=0,"",IF(ISNA(計算結果!L802),"",計算結果!L802))</f>
        <v/>
      </c>
      <c r="M802" s="10" t="str">
        <f>IF(IF(ISNA(計算結果!M802),"",計算結果!M802)=0,"",IF(ISNA(計算結果!M802),"",計算結果!M802))</f>
        <v/>
      </c>
      <c r="N802" s="10" t="str">
        <f>IF(IF(ISNA(計算結果!N802),"",計算結果!N802)=0,"",IF(ISNA(計算結果!N802),"",計算結果!N802))</f>
        <v/>
      </c>
      <c r="O802" s="13" t="str">
        <f>IF(IF(ISNA(計算結果!O802),"",計算結果!O802)=0,"",IF(ISNA(計算結果!O802),"",計算結果!O802))</f>
        <v/>
      </c>
      <c r="P802" s="10" t="str">
        <f>IF(IF(ISNA(計算結果!P802),"",計算結果!P802)=0,"",IF(ISNA(計算結果!P802),"",計算結果!P802))</f>
        <v/>
      </c>
      <c r="Q802" s="10" t="str">
        <f>IF(IF(ISNA(計算結果!Q802),"",計算結果!Q802)=0,"",IF(ISNA(計算結果!Q802),"",計算結果!Q802))</f>
        <v/>
      </c>
      <c r="R802" s="14" t="str">
        <f t="shared" si="36"/>
        <v/>
      </c>
      <c r="S802" s="14" t="str">
        <f t="shared" si="37"/>
        <v>◯</v>
      </c>
      <c r="T802" s="14" t="str">
        <f t="shared" si="38"/>
        <v/>
      </c>
    </row>
    <row r="803" spans="1:20" hidden="1" x14ac:dyDescent="0.45">
      <c r="A803" s="10" t="str">
        <f>IF(IF(ISNA(計算結果!A803),"",計算結果!A803)=0,"",IF(ISNA(計算結果!A803),"",計算結果!A803))</f>
        <v/>
      </c>
      <c r="B803" s="10" t="str">
        <f>IF(IF(ISNA(計算結果!B803),"",計算結果!B803)=0,"",IF(ISNA(計算結果!B803),"",計算結果!B803))</f>
        <v/>
      </c>
      <c r="C803" s="10" t="str">
        <f>IF(IF(ISNA(計算結果!C803),"",計算結果!C803)=0,"",IF(ISNA(計算結果!C803),"",計算結果!C803))</f>
        <v/>
      </c>
      <c r="D803" s="10" t="str">
        <f>IF(IF(ISNA(計算結果!D803),"",計算結果!D803)=0,"",IF(ISNA(計算結果!D803),"",計算結果!D803))</f>
        <v>L</v>
      </c>
      <c r="E803" s="10" t="str">
        <f>IF(IF(ISNA(計算結果!E803),"",計算結果!E803)=0,"",IF(ISNA(計算結果!E803),"",計算結果!E803))</f>
        <v/>
      </c>
      <c r="F803" s="10" t="str">
        <f>IF(IF(ISNA(計算結果!F803),"",計算結果!F803)=0,"",IF(ISNA(計算結果!F803),"",計算結果!F803))</f>
        <v/>
      </c>
      <c r="G803" s="10" t="str">
        <f>IF(IF(ISNA(計算結果!G803),"",計算結果!G803)=0,"",IF(ISNA(計算結果!G803),"",計算結果!G803))</f>
        <v/>
      </c>
      <c r="H803" s="13">
        <f>IF(IF(ISNA(計算結果!H803),"",計算結果!H803)=0,"",IF(ISNA(計算結果!H803),"",計算結果!H803))</f>
        <v>-2</v>
      </c>
      <c r="I803" s="12" t="str">
        <f>IF(IF(ISNA(計算結果!I803),"",計算結果!I803)=0,"",IF(ISNA(計算結果!I803),"",計算結果!I803))</f>
        <v/>
      </c>
      <c r="J803" s="12" t="str">
        <f>IF(IF(ISNA(計算結果!J803),"",計算結果!J803)=0,"",IF(ISNA(計算結果!J803),"",計算結果!J803))</f>
        <v/>
      </c>
      <c r="K803" s="23" t="str">
        <f>IF(IF(ISNA(計算結果!K803),"",計算結果!K803)=0,"",IF(ISNA(計算結果!K803),"",計算結果!K803))</f>
        <v/>
      </c>
      <c r="L803" s="13" t="str">
        <f>IF(IF(ISNA(計算結果!L803),"",計算結果!L803)=0,"",IF(ISNA(計算結果!L803),"",計算結果!L803))</f>
        <v/>
      </c>
      <c r="M803" s="10" t="str">
        <f>IF(IF(ISNA(計算結果!M803),"",計算結果!M803)=0,"",IF(ISNA(計算結果!M803),"",計算結果!M803))</f>
        <v/>
      </c>
      <c r="N803" s="10" t="str">
        <f>IF(IF(ISNA(計算結果!N803),"",計算結果!N803)=0,"",IF(ISNA(計算結果!N803),"",計算結果!N803))</f>
        <v/>
      </c>
      <c r="O803" s="13" t="str">
        <f>IF(IF(ISNA(計算結果!O803),"",計算結果!O803)=0,"",IF(ISNA(計算結果!O803),"",計算結果!O803))</f>
        <v/>
      </c>
      <c r="P803" s="10" t="str">
        <f>IF(IF(ISNA(計算結果!P803),"",計算結果!P803)=0,"",IF(ISNA(計算結果!P803),"",計算結果!P803))</f>
        <v/>
      </c>
      <c r="Q803" s="10" t="str">
        <f>IF(IF(ISNA(計算結果!Q803),"",計算結果!Q803)=0,"",IF(ISNA(計算結果!Q803),"",計算結果!Q803))</f>
        <v/>
      </c>
      <c r="R803" s="14" t="str">
        <f t="shared" si="36"/>
        <v/>
      </c>
      <c r="S803" s="14" t="str">
        <f t="shared" si="37"/>
        <v>◯</v>
      </c>
      <c r="T803" s="14" t="str">
        <f t="shared" si="38"/>
        <v/>
      </c>
    </row>
    <row r="804" spans="1:20" hidden="1" x14ac:dyDescent="0.45">
      <c r="A804" s="10" t="str">
        <f>IF(IF(ISNA(計算結果!A804),"",計算結果!A804)=0,"",IF(ISNA(計算結果!A804),"",計算結果!A804))</f>
        <v/>
      </c>
      <c r="B804" s="10" t="str">
        <f>IF(IF(ISNA(計算結果!B804),"",計算結果!B804)=0,"",IF(ISNA(計算結果!B804),"",計算結果!B804))</f>
        <v/>
      </c>
      <c r="C804" s="10" t="str">
        <f>IF(IF(ISNA(計算結果!C804),"",計算結果!C804)=0,"",IF(ISNA(計算結果!C804),"",計算結果!C804))</f>
        <v/>
      </c>
      <c r="D804" s="10" t="str">
        <f>IF(IF(ISNA(計算結果!D804),"",計算結果!D804)=0,"",IF(ISNA(計算結果!D804),"",計算結果!D804))</f>
        <v>L</v>
      </c>
      <c r="E804" s="10" t="str">
        <f>IF(IF(ISNA(計算結果!E804),"",計算結果!E804)=0,"",IF(ISNA(計算結果!E804),"",計算結果!E804))</f>
        <v/>
      </c>
      <c r="F804" s="10" t="str">
        <f>IF(IF(ISNA(計算結果!F804),"",計算結果!F804)=0,"",IF(ISNA(計算結果!F804),"",計算結果!F804))</f>
        <v/>
      </c>
      <c r="G804" s="10" t="str">
        <f>IF(IF(ISNA(計算結果!G804),"",計算結果!G804)=0,"",IF(ISNA(計算結果!G804),"",計算結果!G804))</f>
        <v/>
      </c>
      <c r="H804" s="13">
        <f>IF(IF(ISNA(計算結果!H804),"",計算結果!H804)=0,"",IF(ISNA(計算結果!H804),"",計算結果!H804))</f>
        <v>-2</v>
      </c>
      <c r="I804" s="12" t="str">
        <f>IF(IF(ISNA(計算結果!I804),"",計算結果!I804)=0,"",IF(ISNA(計算結果!I804),"",計算結果!I804))</f>
        <v/>
      </c>
      <c r="J804" s="12" t="str">
        <f>IF(IF(ISNA(計算結果!J804),"",計算結果!J804)=0,"",IF(ISNA(計算結果!J804),"",計算結果!J804))</f>
        <v/>
      </c>
      <c r="K804" s="23" t="str">
        <f>IF(IF(ISNA(計算結果!K804),"",計算結果!K804)=0,"",IF(ISNA(計算結果!K804),"",計算結果!K804))</f>
        <v/>
      </c>
      <c r="L804" s="13" t="str">
        <f>IF(IF(ISNA(計算結果!L804),"",計算結果!L804)=0,"",IF(ISNA(計算結果!L804),"",計算結果!L804))</f>
        <v/>
      </c>
      <c r="M804" s="10" t="str">
        <f>IF(IF(ISNA(計算結果!M804),"",計算結果!M804)=0,"",IF(ISNA(計算結果!M804),"",計算結果!M804))</f>
        <v/>
      </c>
      <c r="N804" s="10" t="str">
        <f>IF(IF(ISNA(計算結果!N804),"",計算結果!N804)=0,"",IF(ISNA(計算結果!N804),"",計算結果!N804))</f>
        <v/>
      </c>
      <c r="O804" s="13" t="str">
        <f>IF(IF(ISNA(計算結果!O804),"",計算結果!O804)=0,"",IF(ISNA(計算結果!O804),"",計算結果!O804))</f>
        <v/>
      </c>
      <c r="P804" s="10" t="str">
        <f>IF(IF(ISNA(計算結果!P804),"",計算結果!P804)=0,"",IF(ISNA(計算結果!P804),"",計算結果!P804))</f>
        <v/>
      </c>
      <c r="Q804" s="10" t="str">
        <f>IF(IF(ISNA(計算結果!Q804),"",計算結果!Q804)=0,"",IF(ISNA(計算結果!Q804),"",計算結果!Q804))</f>
        <v/>
      </c>
      <c r="R804" s="14" t="str">
        <f t="shared" si="36"/>
        <v/>
      </c>
      <c r="S804" s="14" t="str">
        <f t="shared" si="37"/>
        <v>◯</v>
      </c>
      <c r="T804" s="14" t="str">
        <f t="shared" si="38"/>
        <v/>
      </c>
    </row>
    <row r="805" spans="1:20" hidden="1" x14ac:dyDescent="0.45">
      <c r="A805" s="10" t="str">
        <f>IF(IF(ISNA(計算結果!A805),"",計算結果!A805)=0,"",IF(ISNA(計算結果!A805),"",計算結果!A805))</f>
        <v/>
      </c>
      <c r="B805" s="10" t="str">
        <f>IF(IF(ISNA(計算結果!B805),"",計算結果!B805)=0,"",IF(ISNA(計算結果!B805),"",計算結果!B805))</f>
        <v/>
      </c>
      <c r="C805" s="10" t="str">
        <f>IF(IF(ISNA(計算結果!C805),"",計算結果!C805)=0,"",IF(ISNA(計算結果!C805),"",計算結果!C805))</f>
        <v/>
      </c>
      <c r="D805" s="10" t="str">
        <f>IF(IF(ISNA(計算結果!D805),"",計算結果!D805)=0,"",IF(ISNA(計算結果!D805),"",計算結果!D805))</f>
        <v>L</v>
      </c>
      <c r="E805" s="10" t="str">
        <f>IF(IF(ISNA(計算結果!E805),"",計算結果!E805)=0,"",IF(ISNA(計算結果!E805),"",計算結果!E805))</f>
        <v/>
      </c>
      <c r="F805" s="10" t="str">
        <f>IF(IF(ISNA(計算結果!F805),"",計算結果!F805)=0,"",IF(ISNA(計算結果!F805),"",計算結果!F805))</f>
        <v/>
      </c>
      <c r="G805" s="10" t="str">
        <f>IF(IF(ISNA(計算結果!G805),"",計算結果!G805)=0,"",IF(ISNA(計算結果!G805),"",計算結果!G805))</f>
        <v/>
      </c>
      <c r="H805" s="13">
        <f>IF(IF(ISNA(計算結果!H805),"",計算結果!H805)=0,"",IF(ISNA(計算結果!H805),"",計算結果!H805))</f>
        <v>-2</v>
      </c>
      <c r="I805" s="12" t="str">
        <f>IF(IF(ISNA(計算結果!I805),"",計算結果!I805)=0,"",IF(ISNA(計算結果!I805),"",計算結果!I805))</f>
        <v/>
      </c>
      <c r="J805" s="12" t="str">
        <f>IF(IF(ISNA(計算結果!J805),"",計算結果!J805)=0,"",IF(ISNA(計算結果!J805),"",計算結果!J805))</f>
        <v/>
      </c>
      <c r="K805" s="23" t="str">
        <f>IF(IF(ISNA(計算結果!K805),"",計算結果!K805)=0,"",IF(ISNA(計算結果!K805),"",計算結果!K805))</f>
        <v/>
      </c>
      <c r="L805" s="13" t="str">
        <f>IF(IF(ISNA(計算結果!L805),"",計算結果!L805)=0,"",IF(ISNA(計算結果!L805),"",計算結果!L805))</f>
        <v/>
      </c>
      <c r="M805" s="10" t="str">
        <f>IF(IF(ISNA(計算結果!M805),"",計算結果!M805)=0,"",IF(ISNA(計算結果!M805),"",計算結果!M805))</f>
        <v/>
      </c>
      <c r="N805" s="10" t="str">
        <f>IF(IF(ISNA(計算結果!N805),"",計算結果!N805)=0,"",IF(ISNA(計算結果!N805),"",計算結果!N805))</f>
        <v/>
      </c>
      <c r="O805" s="13" t="str">
        <f>IF(IF(ISNA(計算結果!O805),"",計算結果!O805)=0,"",IF(ISNA(計算結果!O805),"",計算結果!O805))</f>
        <v/>
      </c>
      <c r="P805" s="10" t="str">
        <f>IF(IF(ISNA(計算結果!P805),"",計算結果!P805)=0,"",IF(ISNA(計算結果!P805),"",計算結果!P805))</f>
        <v/>
      </c>
      <c r="Q805" s="10" t="str">
        <f>IF(IF(ISNA(計算結果!Q805),"",計算結果!Q805)=0,"",IF(ISNA(計算結果!Q805),"",計算結果!Q805))</f>
        <v/>
      </c>
      <c r="R805" s="14" t="str">
        <f t="shared" si="36"/>
        <v/>
      </c>
      <c r="S805" s="14" t="str">
        <f t="shared" si="37"/>
        <v>◯</v>
      </c>
      <c r="T805" s="14" t="str">
        <f t="shared" si="38"/>
        <v/>
      </c>
    </row>
    <row r="806" spans="1:20" hidden="1" x14ac:dyDescent="0.45">
      <c r="A806" s="10" t="str">
        <f>IF(IF(ISNA(計算結果!A806),"",計算結果!A806)=0,"",IF(ISNA(計算結果!A806),"",計算結果!A806))</f>
        <v/>
      </c>
      <c r="B806" s="10" t="str">
        <f>IF(IF(ISNA(計算結果!B806),"",計算結果!B806)=0,"",IF(ISNA(計算結果!B806),"",計算結果!B806))</f>
        <v/>
      </c>
      <c r="C806" s="10" t="str">
        <f>IF(IF(ISNA(計算結果!C806),"",計算結果!C806)=0,"",IF(ISNA(計算結果!C806),"",計算結果!C806))</f>
        <v/>
      </c>
      <c r="D806" s="10" t="str">
        <f>IF(IF(ISNA(計算結果!D806),"",計算結果!D806)=0,"",IF(ISNA(計算結果!D806),"",計算結果!D806))</f>
        <v>L</v>
      </c>
      <c r="E806" s="10" t="str">
        <f>IF(IF(ISNA(計算結果!E806),"",計算結果!E806)=0,"",IF(ISNA(計算結果!E806),"",計算結果!E806))</f>
        <v/>
      </c>
      <c r="F806" s="10" t="str">
        <f>IF(IF(ISNA(計算結果!F806),"",計算結果!F806)=0,"",IF(ISNA(計算結果!F806),"",計算結果!F806))</f>
        <v/>
      </c>
      <c r="G806" s="10" t="str">
        <f>IF(IF(ISNA(計算結果!G806),"",計算結果!G806)=0,"",IF(ISNA(計算結果!G806),"",計算結果!G806))</f>
        <v/>
      </c>
      <c r="H806" s="13">
        <f>IF(IF(ISNA(計算結果!H806),"",計算結果!H806)=0,"",IF(ISNA(計算結果!H806),"",計算結果!H806))</f>
        <v>-2</v>
      </c>
      <c r="I806" s="12" t="str">
        <f>IF(IF(ISNA(計算結果!I806),"",計算結果!I806)=0,"",IF(ISNA(計算結果!I806),"",計算結果!I806))</f>
        <v/>
      </c>
      <c r="J806" s="12" t="str">
        <f>IF(IF(ISNA(計算結果!J806),"",計算結果!J806)=0,"",IF(ISNA(計算結果!J806),"",計算結果!J806))</f>
        <v/>
      </c>
      <c r="K806" s="23" t="str">
        <f>IF(IF(ISNA(計算結果!K806),"",計算結果!K806)=0,"",IF(ISNA(計算結果!K806),"",計算結果!K806))</f>
        <v/>
      </c>
      <c r="L806" s="13" t="str">
        <f>IF(IF(ISNA(計算結果!L806),"",計算結果!L806)=0,"",IF(ISNA(計算結果!L806),"",計算結果!L806))</f>
        <v/>
      </c>
      <c r="M806" s="10" t="str">
        <f>IF(IF(ISNA(計算結果!M806),"",計算結果!M806)=0,"",IF(ISNA(計算結果!M806),"",計算結果!M806))</f>
        <v/>
      </c>
      <c r="N806" s="10" t="str">
        <f>IF(IF(ISNA(計算結果!N806),"",計算結果!N806)=0,"",IF(ISNA(計算結果!N806),"",計算結果!N806))</f>
        <v/>
      </c>
      <c r="O806" s="13" t="str">
        <f>IF(IF(ISNA(計算結果!O806),"",計算結果!O806)=0,"",IF(ISNA(計算結果!O806),"",計算結果!O806))</f>
        <v/>
      </c>
      <c r="P806" s="10" t="str">
        <f>IF(IF(ISNA(計算結果!P806),"",計算結果!P806)=0,"",IF(ISNA(計算結果!P806),"",計算結果!P806))</f>
        <v/>
      </c>
      <c r="Q806" s="10" t="str">
        <f>IF(IF(ISNA(計算結果!Q806),"",計算結果!Q806)=0,"",IF(ISNA(計算結果!Q806),"",計算結果!Q806))</f>
        <v/>
      </c>
      <c r="R806" s="14" t="str">
        <f t="shared" si="36"/>
        <v/>
      </c>
      <c r="S806" s="14" t="str">
        <f t="shared" si="37"/>
        <v>◯</v>
      </c>
      <c r="T806" s="14" t="str">
        <f t="shared" si="38"/>
        <v/>
      </c>
    </row>
    <row r="807" spans="1:20" hidden="1" x14ac:dyDescent="0.45">
      <c r="A807" s="10" t="str">
        <f>IF(IF(ISNA(計算結果!A807),"",計算結果!A807)=0,"",IF(ISNA(計算結果!A807),"",計算結果!A807))</f>
        <v/>
      </c>
      <c r="B807" s="10" t="str">
        <f>IF(IF(ISNA(計算結果!B807),"",計算結果!B807)=0,"",IF(ISNA(計算結果!B807),"",計算結果!B807))</f>
        <v/>
      </c>
      <c r="C807" s="10" t="str">
        <f>IF(IF(ISNA(計算結果!C807),"",計算結果!C807)=0,"",IF(ISNA(計算結果!C807),"",計算結果!C807))</f>
        <v/>
      </c>
      <c r="D807" s="10" t="str">
        <f>IF(IF(ISNA(計算結果!D807),"",計算結果!D807)=0,"",IF(ISNA(計算結果!D807),"",計算結果!D807))</f>
        <v>L</v>
      </c>
      <c r="E807" s="10" t="str">
        <f>IF(IF(ISNA(計算結果!E807),"",計算結果!E807)=0,"",IF(ISNA(計算結果!E807),"",計算結果!E807))</f>
        <v/>
      </c>
      <c r="F807" s="10" t="str">
        <f>IF(IF(ISNA(計算結果!F807),"",計算結果!F807)=0,"",IF(ISNA(計算結果!F807),"",計算結果!F807))</f>
        <v/>
      </c>
      <c r="G807" s="10" t="str">
        <f>IF(IF(ISNA(計算結果!G807),"",計算結果!G807)=0,"",IF(ISNA(計算結果!G807),"",計算結果!G807))</f>
        <v/>
      </c>
      <c r="H807" s="13">
        <f>IF(IF(ISNA(計算結果!H807),"",計算結果!H807)=0,"",IF(ISNA(計算結果!H807),"",計算結果!H807))</f>
        <v>-2</v>
      </c>
      <c r="I807" s="12" t="str">
        <f>IF(IF(ISNA(計算結果!I807),"",計算結果!I807)=0,"",IF(ISNA(計算結果!I807),"",計算結果!I807))</f>
        <v/>
      </c>
      <c r="J807" s="12" t="str">
        <f>IF(IF(ISNA(計算結果!J807),"",計算結果!J807)=0,"",IF(ISNA(計算結果!J807),"",計算結果!J807))</f>
        <v/>
      </c>
      <c r="K807" s="23" t="str">
        <f>IF(IF(ISNA(計算結果!K807),"",計算結果!K807)=0,"",IF(ISNA(計算結果!K807),"",計算結果!K807))</f>
        <v/>
      </c>
      <c r="L807" s="13" t="str">
        <f>IF(IF(ISNA(計算結果!L807),"",計算結果!L807)=0,"",IF(ISNA(計算結果!L807),"",計算結果!L807))</f>
        <v/>
      </c>
      <c r="M807" s="10" t="str">
        <f>IF(IF(ISNA(計算結果!M807),"",計算結果!M807)=0,"",IF(ISNA(計算結果!M807),"",計算結果!M807))</f>
        <v/>
      </c>
      <c r="N807" s="10" t="str">
        <f>IF(IF(ISNA(計算結果!N807),"",計算結果!N807)=0,"",IF(ISNA(計算結果!N807),"",計算結果!N807))</f>
        <v/>
      </c>
      <c r="O807" s="13" t="str">
        <f>IF(IF(ISNA(計算結果!O807),"",計算結果!O807)=0,"",IF(ISNA(計算結果!O807),"",計算結果!O807))</f>
        <v/>
      </c>
      <c r="P807" s="10" t="str">
        <f>IF(IF(ISNA(計算結果!P807),"",計算結果!P807)=0,"",IF(ISNA(計算結果!P807),"",計算結果!P807))</f>
        <v/>
      </c>
      <c r="Q807" s="10" t="str">
        <f>IF(IF(ISNA(計算結果!Q807),"",計算結果!Q807)=0,"",IF(ISNA(計算結果!Q807),"",計算結果!Q807))</f>
        <v/>
      </c>
      <c r="R807" s="14" t="str">
        <f t="shared" si="36"/>
        <v/>
      </c>
      <c r="S807" s="14" t="str">
        <f t="shared" si="37"/>
        <v>◯</v>
      </c>
      <c r="T807" s="14" t="str">
        <f t="shared" si="38"/>
        <v/>
      </c>
    </row>
    <row r="808" spans="1:20" hidden="1" x14ac:dyDescent="0.45">
      <c r="A808" s="10" t="str">
        <f>IF(IF(ISNA(計算結果!A808),"",計算結果!A808)=0,"",IF(ISNA(計算結果!A808),"",計算結果!A808))</f>
        <v/>
      </c>
      <c r="B808" s="10" t="str">
        <f>IF(IF(ISNA(計算結果!B808),"",計算結果!B808)=0,"",IF(ISNA(計算結果!B808),"",計算結果!B808))</f>
        <v/>
      </c>
      <c r="C808" s="10" t="str">
        <f>IF(IF(ISNA(計算結果!C808),"",計算結果!C808)=0,"",IF(ISNA(計算結果!C808),"",計算結果!C808))</f>
        <v/>
      </c>
      <c r="D808" s="10" t="str">
        <f>IF(IF(ISNA(計算結果!D808),"",計算結果!D808)=0,"",IF(ISNA(計算結果!D808),"",計算結果!D808))</f>
        <v>L</v>
      </c>
      <c r="E808" s="10" t="str">
        <f>IF(IF(ISNA(計算結果!E808),"",計算結果!E808)=0,"",IF(ISNA(計算結果!E808),"",計算結果!E808))</f>
        <v/>
      </c>
      <c r="F808" s="10" t="str">
        <f>IF(IF(ISNA(計算結果!F808),"",計算結果!F808)=0,"",IF(ISNA(計算結果!F808),"",計算結果!F808))</f>
        <v/>
      </c>
      <c r="G808" s="10" t="str">
        <f>IF(IF(ISNA(計算結果!G808),"",計算結果!G808)=0,"",IF(ISNA(計算結果!G808),"",計算結果!G808))</f>
        <v/>
      </c>
      <c r="H808" s="13">
        <f>IF(IF(ISNA(計算結果!H808),"",計算結果!H808)=0,"",IF(ISNA(計算結果!H808),"",計算結果!H808))</f>
        <v>-2</v>
      </c>
      <c r="I808" s="12" t="str">
        <f>IF(IF(ISNA(計算結果!I808),"",計算結果!I808)=0,"",IF(ISNA(計算結果!I808),"",計算結果!I808))</f>
        <v/>
      </c>
      <c r="J808" s="12" t="str">
        <f>IF(IF(ISNA(計算結果!J808),"",計算結果!J808)=0,"",IF(ISNA(計算結果!J808),"",計算結果!J808))</f>
        <v/>
      </c>
      <c r="K808" s="23" t="str">
        <f>IF(IF(ISNA(計算結果!K808),"",計算結果!K808)=0,"",IF(ISNA(計算結果!K808),"",計算結果!K808))</f>
        <v/>
      </c>
      <c r="L808" s="13" t="str">
        <f>IF(IF(ISNA(計算結果!L808),"",計算結果!L808)=0,"",IF(ISNA(計算結果!L808),"",計算結果!L808))</f>
        <v/>
      </c>
      <c r="M808" s="10" t="str">
        <f>IF(IF(ISNA(計算結果!M808),"",計算結果!M808)=0,"",IF(ISNA(計算結果!M808),"",計算結果!M808))</f>
        <v/>
      </c>
      <c r="N808" s="10" t="str">
        <f>IF(IF(ISNA(計算結果!N808),"",計算結果!N808)=0,"",IF(ISNA(計算結果!N808),"",計算結果!N808))</f>
        <v/>
      </c>
      <c r="O808" s="13" t="str">
        <f>IF(IF(ISNA(計算結果!O808),"",計算結果!O808)=0,"",IF(ISNA(計算結果!O808),"",計算結果!O808))</f>
        <v/>
      </c>
      <c r="P808" s="10" t="str">
        <f>IF(IF(ISNA(計算結果!P808),"",計算結果!P808)=0,"",IF(ISNA(計算結果!P808),"",計算結果!P808))</f>
        <v/>
      </c>
      <c r="Q808" s="10" t="str">
        <f>IF(IF(ISNA(計算結果!Q808),"",計算結果!Q808)=0,"",IF(ISNA(計算結果!Q808),"",計算結果!Q808))</f>
        <v/>
      </c>
      <c r="R808" s="14" t="str">
        <f t="shared" si="36"/>
        <v/>
      </c>
      <c r="S808" s="14" t="str">
        <f t="shared" si="37"/>
        <v>◯</v>
      </c>
      <c r="T808" s="14" t="str">
        <f t="shared" si="38"/>
        <v/>
      </c>
    </row>
    <row r="809" spans="1:20" hidden="1" x14ac:dyDescent="0.45">
      <c r="A809" s="10" t="str">
        <f>IF(IF(ISNA(計算結果!A809),"",計算結果!A809)=0,"",IF(ISNA(計算結果!A809),"",計算結果!A809))</f>
        <v/>
      </c>
      <c r="B809" s="10" t="str">
        <f>IF(IF(ISNA(計算結果!B809),"",計算結果!B809)=0,"",IF(ISNA(計算結果!B809),"",計算結果!B809))</f>
        <v/>
      </c>
      <c r="C809" s="10" t="str">
        <f>IF(IF(ISNA(計算結果!C809),"",計算結果!C809)=0,"",IF(ISNA(計算結果!C809),"",計算結果!C809))</f>
        <v/>
      </c>
      <c r="D809" s="10" t="str">
        <f>IF(IF(ISNA(計算結果!D809),"",計算結果!D809)=0,"",IF(ISNA(計算結果!D809),"",計算結果!D809))</f>
        <v>L</v>
      </c>
      <c r="E809" s="10" t="str">
        <f>IF(IF(ISNA(計算結果!E809),"",計算結果!E809)=0,"",IF(ISNA(計算結果!E809),"",計算結果!E809))</f>
        <v/>
      </c>
      <c r="F809" s="10" t="str">
        <f>IF(IF(ISNA(計算結果!F809),"",計算結果!F809)=0,"",IF(ISNA(計算結果!F809),"",計算結果!F809))</f>
        <v/>
      </c>
      <c r="G809" s="10" t="str">
        <f>IF(IF(ISNA(計算結果!G809),"",計算結果!G809)=0,"",IF(ISNA(計算結果!G809),"",計算結果!G809))</f>
        <v/>
      </c>
      <c r="H809" s="13">
        <f>IF(IF(ISNA(計算結果!H809),"",計算結果!H809)=0,"",IF(ISNA(計算結果!H809),"",計算結果!H809))</f>
        <v>-2</v>
      </c>
      <c r="I809" s="12" t="str">
        <f>IF(IF(ISNA(計算結果!I809),"",計算結果!I809)=0,"",IF(ISNA(計算結果!I809),"",計算結果!I809))</f>
        <v/>
      </c>
      <c r="J809" s="12" t="str">
        <f>IF(IF(ISNA(計算結果!J809),"",計算結果!J809)=0,"",IF(ISNA(計算結果!J809),"",計算結果!J809))</f>
        <v/>
      </c>
      <c r="K809" s="23" t="str">
        <f>IF(IF(ISNA(計算結果!K809),"",計算結果!K809)=0,"",IF(ISNA(計算結果!K809),"",計算結果!K809))</f>
        <v/>
      </c>
      <c r="L809" s="13" t="str">
        <f>IF(IF(ISNA(計算結果!L809),"",計算結果!L809)=0,"",IF(ISNA(計算結果!L809),"",計算結果!L809))</f>
        <v/>
      </c>
      <c r="M809" s="10" t="str">
        <f>IF(IF(ISNA(計算結果!M809),"",計算結果!M809)=0,"",IF(ISNA(計算結果!M809),"",計算結果!M809))</f>
        <v/>
      </c>
      <c r="N809" s="10" t="str">
        <f>IF(IF(ISNA(計算結果!N809),"",計算結果!N809)=0,"",IF(ISNA(計算結果!N809),"",計算結果!N809))</f>
        <v/>
      </c>
      <c r="O809" s="13" t="str">
        <f>IF(IF(ISNA(計算結果!O809),"",計算結果!O809)=0,"",IF(ISNA(計算結果!O809),"",計算結果!O809))</f>
        <v/>
      </c>
      <c r="P809" s="10" t="str">
        <f>IF(IF(ISNA(計算結果!P809),"",計算結果!P809)=0,"",IF(ISNA(計算結果!P809),"",計算結果!P809))</f>
        <v/>
      </c>
      <c r="Q809" s="10" t="str">
        <f>IF(IF(ISNA(計算結果!Q809),"",計算結果!Q809)=0,"",IF(ISNA(計算結果!Q809),"",計算結果!Q809))</f>
        <v/>
      </c>
      <c r="R809" s="14" t="str">
        <f t="shared" si="36"/>
        <v/>
      </c>
      <c r="S809" s="14" t="str">
        <f t="shared" si="37"/>
        <v>◯</v>
      </c>
      <c r="T809" s="14" t="str">
        <f t="shared" si="38"/>
        <v/>
      </c>
    </row>
    <row r="810" spans="1:20" hidden="1" x14ac:dyDescent="0.45">
      <c r="A810" s="10" t="str">
        <f>IF(IF(ISNA(計算結果!A810),"",計算結果!A810)=0,"",IF(ISNA(計算結果!A810),"",計算結果!A810))</f>
        <v/>
      </c>
      <c r="B810" s="10" t="str">
        <f>IF(IF(ISNA(計算結果!B810),"",計算結果!B810)=0,"",IF(ISNA(計算結果!B810),"",計算結果!B810))</f>
        <v/>
      </c>
      <c r="C810" s="10" t="str">
        <f>IF(IF(ISNA(計算結果!C810),"",計算結果!C810)=0,"",IF(ISNA(計算結果!C810),"",計算結果!C810))</f>
        <v/>
      </c>
      <c r="D810" s="10" t="str">
        <f>IF(IF(ISNA(計算結果!D810),"",計算結果!D810)=0,"",IF(ISNA(計算結果!D810),"",計算結果!D810))</f>
        <v>L</v>
      </c>
      <c r="E810" s="10" t="str">
        <f>IF(IF(ISNA(計算結果!E810),"",計算結果!E810)=0,"",IF(ISNA(計算結果!E810),"",計算結果!E810))</f>
        <v/>
      </c>
      <c r="F810" s="10" t="str">
        <f>IF(IF(ISNA(計算結果!F810),"",計算結果!F810)=0,"",IF(ISNA(計算結果!F810),"",計算結果!F810))</f>
        <v/>
      </c>
      <c r="G810" s="10" t="str">
        <f>IF(IF(ISNA(計算結果!G810),"",計算結果!G810)=0,"",IF(ISNA(計算結果!G810),"",計算結果!G810))</f>
        <v/>
      </c>
      <c r="H810" s="13">
        <f>IF(IF(ISNA(計算結果!H810),"",計算結果!H810)=0,"",IF(ISNA(計算結果!H810),"",計算結果!H810))</f>
        <v>-2</v>
      </c>
      <c r="I810" s="12" t="str">
        <f>IF(IF(ISNA(計算結果!I810),"",計算結果!I810)=0,"",IF(ISNA(計算結果!I810),"",計算結果!I810))</f>
        <v/>
      </c>
      <c r="J810" s="12" t="str">
        <f>IF(IF(ISNA(計算結果!J810),"",計算結果!J810)=0,"",IF(ISNA(計算結果!J810),"",計算結果!J810))</f>
        <v/>
      </c>
      <c r="K810" s="23" t="str">
        <f>IF(IF(ISNA(計算結果!K810),"",計算結果!K810)=0,"",IF(ISNA(計算結果!K810),"",計算結果!K810))</f>
        <v/>
      </c>
      <c r="L810" s="13" t="str">
        <f>IF(IF(ISNA(計算結果!L810),"",計算結果!L810)=0,"",IF(ISNA(計算結果!L810),"",計算結果!L810))</f>
        <v/>
      </c>
      <c r="M810" s="10" t="str">
        <f>IF(IF(ISNA(計算結果!M810),"",計算結果!M810)=0,"",IF(ISNA(計算結果!M810),"",計算結果!M810))</f>
        <v/>
      </c>
      <c r="N810" s="10" t="str">
        <f>IF(IF(ISNA(計算結果!N810),"",計算結果!N810)=0,"",IF(ISNA(計算結果!N810),"",計算結果!N810))</f>
        <v/>
      </c>
      <c r="O810" s="13" t="str">
        <f>IF(IF(ISNA(計算結果!O810),"",計算結果!O810)=0,"",IF(ISNA(計算結果!O810),"",計算結果!O810))</f>
        <v/>
      </c>
      <c r="P810" s="10" t="str">
        <f>IF(IF(ISNA(計算結果!P810),"",計算結果!P810)=0,"",IF(ISNA(計算結果!P810),"",計算結果!P810))</f>
        <v/>
      </c>
      <c r="Q810" s="10" t="str">
        <f>IF(IF(ISNA(計算結果!Q810),"",計算結果!Q810)=0,"",IF(ISNA(計算結果!Q810),"",計算結果!Q810))</f>
        <v/>
      </c>
      <c r="R810" s="14" t="str">
        <f t="shared" si="36"/>
        <v/>
      </c>
      <c r="S810" s="14" t="str">
        <f t="shared" si="37"/>
        <v>◯</v>
      </c>
      <c r="T810" s="14" t="str">
        <f t="shared" si="38"/>
        <v/>
      </c>
    </row>
    <row r="811" spans="1:20" hidden="1" x14ac:dyDescent="0.45">
      <c r="A811" s="10" t="str">
        <f>IF(IF(ISNA(計算結果!A811),"",計算結果!A811)=0,"",IF(ISNA(計算結果!A811),"",計算結果!A811))</f>
        <v/>
      </c>
      <c r="B811" s="10" t="str">
        <f>IF(IF(ISNA(計算結果!B811),"",計算結果!B811)=0,"",IF(ISNA(計算結果!B811),"",計算結果!B811))</f>
        <v/>
      </c>
      <c r="C811" s="10" t="str">
        <f>IF(IF(ISNA(計算結果!C811),"",計算結果!C811)=0,"",IF(ISNA(計算結果!C811),"",計算結果!C811))</f>
        <v/>
      </c>
      <c r="D811" s="10" t="str">
        <f>IF(IF(ISNA(計算結果!D811),"",計算結果!D811)=0,"",IF(ISNA(計算結果!D811),"",計算結果!D811))</f>
        <v>L</v>
      </c>
      <c r="E811" s="10" t="str">
        <f>IF(IF(ISNA(計算結果!E811),"",計算結果!E811)=0,"",IF(ISNA(計算結果!E811),"",計算結果!E811))</f>
        <v/>
      </c>
      <c r="F811" s="10" t="str">
        <f>IF(IF(ISNA(計算結果!F811),"",計算結果!F811)=0,"",IF(ISNA(計算結果!F811),"",計算結果!F811))</f>
        <v/>
      </c>
      <c r="G811" s="10" t="str">
        <f>IF(IF(ISNA(計算結果!G811),"",計算結果!G811)=0,"",IF(ISNA(計算結果!G811),"",計算結果!G811))</f>
        <v/>
      </c>
      <c r="H811" s="13">
        <f>IF(IF(ISNA(計算結果!H811),"",計算結果!H811)=0,"",IF(ISNA(計算結果!H811),"",計算結果!H811))</f>
        <v>-2</v>
      </c>
      <c r="I811" s="12" t="str">
        <f>IF(IF(ISNA(計算結果!I811),"",計算結果!I811)=0,"",IF(ISNA(計算結果!I811),"",計算結果!I811))</f>
        <v/>
      </c>
      <c r="J811" s="12" t="str">
        <f>IF(IF(ISNA(計算結果!J811),"",計算結果!J811)=0,"",IF(ISNA(計算結果!J811),"",計算結果!J811))</f>
        <v/>
      </c>
      <c r="K811" s="23" t="str">
        <f>IF(IF(ISNA(計算結果!K811),"",計算結果!K811)=0,"",IF(ISNA(計算結果!K811),"",計算結果!K811))</f>
        <v/>
      </c>
      <c r="L811" s="13" t="str">
        <f>IF(IF(ISNA(計算結果!L811),"",計算結果!L811)=0,"",IF(ISNA(計算結果!L811),"",計算結果!L811))</f>
        <v/>
      </c>
      <c r="M811" s="10" t="str">
        <f>IF(IF(ISNA(計算結果!M811),"",計算結果!M811)=0,"",IF(ISNA(計算結果!M811),"",計算結果!M811))</f>
        <v/>
      </c>
      <c r="N811" s="10" t="str">
        <f>IF(IF(ISNA(計算結果!N811),"",計算結果!N811)=0,"",IF(ISNA(計算結果!N811),"",計算結果!N811))</f>
        <v/>
      </c>
      <c r="O811" s="13" t="str">
        <f>IF(IF(ISNA(計算結果!O811),"",計算結果!O811)=0,"",IF(ISNA(計算結果!O811),"",計算結果!O811))</f>
        <v/>
      </c>
      <c r="P811" s="10" t="str">
        <f>IF(IF(ISNA(計算結果!P811),"",計算結果!P811)=0,"",IF(ISNA(計算結果!P811),"",計算結果!P811))</f>
        <v/>
      </c>
      <c r="Q811" s="10" t="str">
        <f>IF(IF(ISNA(計算結果!Q811),"",計算結果!Q811)=0,"",IF(ISNA(計算結果!Q811),"",計算結果!Q811))</f>
        <v/>
      </c>
      <c r="R811" s="14" t="str">
        <f t="shared" si="36"/>
        <v/>
      </c>
      <c r="S811" s="14" t="str">
        <f t="shared" si="37"/>
        <v>◯</v>
      </c>
      <c r="T811" s="14" t="str">
        <f t="shared" si="38"/>
        <v/>
      </c>
    </row>
    <row r="812" spans="1:20" hidden="1" x14ac:dyDescent="0.45">
      <c r="A812" s="10" t="str">
        <f>IF(IF(ISNA(計算結果!A812),"",計算結果!A812)=0,"",IF(ISNA(計算結果!A812),"",計算結果!A812))</f>
        <v/>
      </c>
      <c r="B812" s="10" t="str">
        <f>IF(IF(ISNA(計算結果!B812),"",計算結果!B812)=0,"",IF(ISNA(計算結果!B812),"",計算結果!B812))</f>
        <v/>
      </c>
      <c r="C812" s="10" t="str">
        <f>IF(IF(ISNA(計算結果!C812),"",計算結果!C812)=0,"",IF(ISNA(計算結果!C812),"",計算結果!C812))</f>
        <v/>
      </c>
      <c r="D812" s="10" t="str">
        <f>IF(IF(ISNA(計算結果!D812),"",計算結果!D812)=0,"",IF(ISNA(計算結果!D812),"",計算結果!D812))</f>
        <v>L</v>
      </c>
      <c r="E812" s="10" t="str">
        <f>IF(IF(ISNA(計算結果!E812),"",計算結果!E812)=0,"",IF(ISNA(計算結果!E812),"",計算結果!E812))</f>
        <v/>
      </c>
      <c r="F812" s="10" t="str">
        <f>IF(IF(ISNA(計算結果!F812),"",計算結果!F812)=0,"",IF(ISNA(計算結果!F812),"",計算結果!F812))</f>
        <v/>
      </c>
      <c r="G812" s="10" t="str">
        <f>IF(IF(ISNA(計算結果!G812),"",計算結果!G812)=0,"",IF(ISNA(計算結果!G812),"",計算結果!G812))</f>
        <v/>
      </c>
      <c r="H812" s="13">
        <f>IF(IF(ISNA(計算結果!H812),"",計算結果!H812)=0,"",IF(ISNA(計算結果!H812),"",計算結果!H812))</f>
        <v>-2</v>
      </c>
      <c r="I812" s="12" t="str">
        <f>IF(IF(ISNA(計算結果!I812),"",計算結果!I812)=0,"",IF(ISNA(計算結果!I812),"",計算結果!I812))</f>
        <v/>
      </c>
      <c r="J812" s="12" t="str">
        <f>IF(IF(ISNA(計算結果!J812),"",計算結果!J812)=0,"",IF(ISNA(計算結果!J812),"",計算結果!J812))</f>
        <v/>
      </c>
      <c r="K812" s="23" t="str">
        <f>IF(IF(ISNA(計算結果!K812),"",計算結果!K812)=0,"",IF(ISNA(計算結果!K812),"",計算結果!K812))</f>
        <v/>
      </c>
      <c r="L812" s="13" t="str">
        <f>IF(IF(ISNA(計算結果!L812),"",計算結果!L812)=0,"",IF(ISNA(計算結果!L812),"",計算結果!L812))</f>
        <v/>
      </c>
      <c r="M812" s="10" t="str">
        <f>IF(IF(ISNA(計算結果!M812),"",計算結果!M812)=0,"",IF(ISNA(計算結果!M812),"",計算結果!M812))</f>
        <v/>
      </c>
      <c r="N812" s="10" t="str">
        <f>IF(IF(ISNA(計算結果!N812),"",計算結果!N812)=0,"",IF(ISNA(計算結果!N812),"",計算結果!N812))</f>
        <v/>
      </c>
      <c r="O812" s="13" t="str">
        <f>IF(IF(ISNA(計算結果!O812),"",計算結果!O812)=0,"",IF(ISNA(計算結果!O812),"",計算結果!O812))</f>
        <v/>
      </c>
      <c r="P812" s="10" t="str">
        <f>IF(IF(ISNA(計算結果!P812),"",計算結果!P812)=0,"",IF(ISNA(計算結果!P812),"",計算結果!P812))</f>
        <v/>
      </c>
      <c r="Q812" s="10" t="str">
        <f>IF(IF(ISNA(計算結果!Q812),"",計算結果!Q812)=0,"",IF(ISNA(計算結果!Q812),"",計算結果!Q812))</f>
        <v/>
      </c>
      <c r="R812" s="14" t="str">
        <f t="shared" si="36"/>
        <v/>
      </c>
      <c r="S812" s="14" t="str">
        <f t="shared" si="37"/>
        <v>◯</v>
      </c>
      <c r="T812" s="14" t="str">
        <f t="shared" si="38"/>
        <v/>
      </c>
    </row>
    <row r="813" spans="1:20" hidden="1" x14ac:dyDescent="0.45">
      <c r="A813" s="10" t="str">
        <f>IF(IF(ISNA(計算結果!A813),"",計算結果!A813)=0,"",IF(ISNA(計算結果!A813),"",計算結果!A813))</f>
        <v/>
      </c>
      <c r="B813" s="10" t="str">
        <f>IF(IF(ISNA(計算結果!B813),"",計算結果!B813)=0,"",IF(ISNA(計算結果!B813),"",計算結果!B813))</f>
        <v/>
      </c>
      <c r="C813" s="10" t="str">
        <f>IF(IF(ISNA(計算結果!C813),"",計算結果!C813)=0,"",IF(ISNA(計算結果!C813),"",計算結果!C813))</f>
        <v/>
      </c>
      <c r="D813" s="10" t="str">
        <f>IF(IF(ISNA(計算結果!D813),"",計算結果!D813)=0,"",IF(ISNA(計算結果!D813),"",計算結果!D813))</f>
        <v>L</v>
      </c>
      <c r="E813" s="10" t="str">
        <f>IF(IF(ISNA(計算結果!E813),"",計算結果!E813)=0,"",IF(ISNA(計算結果!E813),"",計算結果!E813))</f>
        <v/>
      </c>
      <c r="F813" s="10" t="str">
        <f>IF(IF(ISNA(計算結果!F813),"",計算結果!F813)=0,"",IF(ISNA(計算結果!F813),"",計算結果!F813))</f>
        <v/>
      </c>
      <c r="G813" s="10" t="str">
        <f>IF(IF(ISNA(計算結果!G813),"",計算結果!G813)=0,"",IF(ISNA(計算結果!G813),"",計算結果!G813))</f>
        <v/>
      </c>
      <c r="H813" s="13">
        <f>IF(IF(ISNA(計算結果!H813),"",計算結果!H813)=0,"",IF(ISNA(計算結果!H813),"",計算結果!H813))</f>
        <v>-2</v>
      </c>
      <c r="I813" s="12" t="str">
        <f>IF(IF(ISNA(計算結果!I813),"",計算結果!I813)=0,"",IF(ISNA(計算結果!I813),"",計算結果!I813))</f>
        <v/>
      </c>
      <c r="J813" s="12" t="str">
        <f>IF(IF(ISNA(計算結果!J813),"",計算結果!J813)=0,"",IF(ISNA(計算結果!J813),"",計算結果!J813))</f>
        <v/>
      </c>
      <c r="K813" s="23" t="str">
        <f>IF(IF(ISNA(計算結果!K813),"",計算結果!K813)=0,"",IF(ISNA(計算結果!K813),"",計算結果!K813))</f>
        <v/>
      </c>
      <c r="L813" s="13" t="str">
        <f>IF(IF(ISNA(計算結果!L813),"",計算結果!L813)=0,"",IF(ISNA(計算結果!L813),"",計算結果!L813))</f>
        <v/>
      </c>
      <c r="M813" s="10" t="str">
        <f>IF(IF(ISNA(計算結果!M813),"",計算結果!M813)=0,"",IF(ISNA(計算結果!M813),"",計算結果!M813))</f>
        <v/>
      </c>
      <c r="N813" s="10" t="str">
        <f>IF(IF(ISNA(計算結果!N813),"",計算結果!N813)=0,"",IF(ISNA(計算結果!N813),"",計算結果!N813))</f>
        <v/>
      </c>
      <c r="O813" s="13" t="str">
        <f>IF(IF(ISNA(計算結果!O813),"",計算結果!O813)=0,"",IF(ISNA(計算結果!O813),"",計算結果!O813))</f>
        <v/>
      </c>
      <c r="P813" s="10" t="str">
        <f>IF(IF(ISNA(計算結果!P813),"",計算結果!P813)=0,"",IF(ISNA(計算結果!P813),"",計算結果!P813))</f>
        <v/>
      </c>
      <c r="Q813" s="10" t="str">
        <f>IF(IF(ISNA(計算結果!Q813),"",計算結果!Q813)=0,"",IF(ISNA(計算結果!Q813),"",計算結果!Q813))</f>
        <v/>
      </c>
      <c r="R813" s="14" t="str">
        <f t="shared" si="36"/>
        <v/>
      </c>
      <c r="S813" s="14" t="str">
        <f t="shared" si="37"/>
        <v>◯</v>
      </c>
      <c r="T813" s="14" t="str">
        <f t="shared" si="38"/>
        <v/>
      </c>
    </row>
    <row r="814" spans="1:20" hidden="1" x14ac:dyDescent="0.45">
      <c r="A814" s="10" t="str">
        <f>IF(IF(ISNA(計算結果!A814),"",計算結果!A814)=0,"",IF(ISNA(計算結果!A814),"",計算結果!A814))</f>
        <v/>
      </c>
      <c r="B814" s="10" t="str">
        <f>IF(IF(ISNA(計算結果!B814),"",計算結果!B814)=0,"",IF(ISNA(計算結果!B814),"",計算結果!B814))</f>
        <v/>
      </c>
      <c r="C814" s="10" t="str">
        <f>IF(IF(ISNA(計算結果!C814),"",計算結果!C814)=0,"",IF(ISNA(計算結果!C814),"",計算結果!C814))</f>
        <v/>
      </c>
      <c r="D814" s="10" t="str">
        <f>IF(IF(ISNA(計算結果!D814),"",計算結果!D814)=0,"",IF(ISNA(計算結果!D814),"",計算結果!D814))</f>
        <v>L</v>
      </c>
      <c r="E814" s="10" t="str">
        <f>IF(IF(ISNA(計算結果!E814),"",計算結果!E814)=0,"",IF(ISNA(計算結果!E814),"",計算結果!E814))</f>
        <v/>
      </c>
      <c r="F814" s="10" t="str">
        <f>IF(IF(ISNA(計算結果!F814),"",計算結果!F814)=0,"",IF(ISNA(計算結果!F814),"",計算結果!F814))</f>
        <v/>
      </c>
      <c r="G814" s="10" t="str">
        <f>IF(IF(ISNA(計算結果!G814),"",計算結果!G814)=0,"",IF(ISNA(計算結果!G814),"",計算結果!G814))</f>
        <v/>
      </c>
      <c r="H814" s="13">
        <f>IF(IF(ISNA(計算結果!H814),"",計算結果!H814)=0,"",IF(ISNA(計算結果!H814),"",計算結果!H814))</f>
        <v>-2</v>
      </c>
      <c r="I814" s="12" t="str">
        <f>IF(IF(ISNA(計算結果!I814),"",計算結果!I814)=0,"",IF(ISNA(計算結果!I814),"",計算結果!I814))</f>
        <v/>
      </c>
      <c r="J814" s="12" t="str">
        <f>IF(IF(ISNA(計算結果!J814),"",計算結果!J814)=0,"",IF(ISNA(計算結果!J814),"",計算結果!J814))</f>
        <v/>
      </c>
      <c r="K814" s="23" t="str">
        <f>IF(IF(ISNA(計算結果!K814),"",計算結果!K814)=0,"",IF(ISNA(計算結果!K814),"",計算結果!K814))</f>
        <v/>
      </c>
      <c r="L814" s="13" t="str">
        <f>IF(IF(ISNA(計算結果!L814),"",計算結果!L814)=0,"",IF(ISNA(計算結果!L814),"",計算結果!L814))</f>
        <v/>
      </c>
      <c r="M814" s="10" t="str">
        <f>IF(IF(ISNA(計算結果!M814),"",計算結果!M814)=0,"",IF(ISNA(計算結果!M814),"",計算結果!M814))</f>
        <v/>
      </c>
      <c r="N814" s="10" t="str">
        <f>IF(IF(ISNA(計算結果!N814),"",計算結果!N814)=0,"",IF(ISNA(計算結果!N814),"",計算結果!N814))</f>
        <v/>
      </c>
      <c r="O814" s="13" t="str">
        <f>IF(IF(ISNA(計算結果!O814),"",計算結果!O814)=0,"",IF(ISNA(計算結果!O814),"",計算結果!O814))</f>
        <v/>
      </c>
      <c r="P814" s="10" t="str">
        <f>IF(IF(ISNA(計算結果!P814),"",計算結果!P814)=0,"",IF(ISNA(計算結果!P814),"",計算結果!P814))</f>
        <v/>
      </c>
      <c r="Q814" s="10" t="str">
        <f>IF(IF(ISNA(計算結果!Q814),"",計算結果!Q814)=0,"",IF(ISNA(計算結果!Q814),"",計算結果!Q814))</f>
        <v/>
      </c>
      <c r="R814" s="14" t="str">
        <f t="shared" si="36"/>
        <v/>
      </c>
      <c r="S814" s="14" t="str">
        <f t="shared" si="37"/>
        <v>◯</v>
      </c>
      <c r="T814" s="14" t="str">
        <f t="shared" si="38"/>
        <v/>
      </c>
    </row>
    <row r="815" spans="1:20" hidden="1" x14ac:dyDescent="0.45">
      <c r="A815" s="10" t="str">
        <f>IF(IF(ISNA(計算結果!A815),"",計算結果!A815)=0,"",IF(ISNA(計算結果!A815),"",計算結果!A815))</f>
        <v/>
      </c>
      <c r="B815" s="10" t="str">
        <f>IF(IF(ISNA(計算結果!B815),"",計算結果!B815)=0,"",IF(ISNA(計算結果!B815),"",計算結果!B815))</f>
        <v/>
      </c>
      <c r="C815" s="10" t="str">
        <f>IF(IF(ISNA(計算結果!C815),"",計算結果!C815)=0,"",IF(ISNA(計算結果!C815),"",計算結果!C815))</f>
        <v/>
      </c>
      <c r="D815" s="10" t="str">
        <f>IF(IF(ISNA(計算結果!D815),"",計算結果!D815)=0,"",IF(ISNA(計算結果!D815),"",計算結果!D815))</f>
        <v>L</v>
      </c>
      <c r="E815" s="10" t="str">
        <f>IF(IF(ISNA(計算結果!E815),"",計算結果!E815)=0,"",IF(ISNA(計算結果!E815),"",計算結果!E815))</f>
        <v/>
      </c>
      <c r="F815" s="10" t="str">
        <f>IF(IF(ISNA(計算結果!F815),"",計算結果!F815)=0,"",IF(ISNA(計算結果!F815),"",計算結果!F815))</f>
        <v/>
      </c>
      <c r="G815" s="10" t="str">
        <f>IF(IF(ISNA(計算結果!G815),"",計算結果!G815)=0,"",IF(ISNA(計算結果!G815),"",計算結果!G815))</f>
        <v/>
      </c>
      <c r="H815" s="13">
        <f>IF(IF(ISNA(計算結果!H815),"",計算結果!H815)=0,"",IF(ISNA(計算結果!H815),"",計算結果!H815))</f>
        <v>-2</v>
      </c>
      <c r="I815" s="12" t="str">
        <f>IF(IF(ISNA(計算結果!I815),"",計算結果!I815)=0,"",IF(ISNA(計算結果!I815),"",計算結果!I815))</f>
        <v/>
      </c>
      <c r="J815" s="12" t="str">
        <f>IF(IF(ISNA(計算結果!J815),"",計算結果!J815)=0,"",IF(ISNA(計算結果!J815),"",計算結果!J815))</f>
        <v/>
      </c>
      <c r="K815" s="23" t="str">
        <f>IF(IF(ISNA(計算結果!K815),"",計算結果!K815)=0,"",IF(ISNA(計算結果!K815),"",計算結果!K815))</f>
        <v/>
      </c>
      <c r="L815" s="13" t="str">
        <f>IF(IF(ISNA(計算結果!L815),"",計算結果!L815)=0,"",IF(ISNA(計算結果!L815),"",計算結果!L815))</f>
        <v/>
      </c>
      <c r="M815" s="10" t="str">
        <f>IF(IF(ISNA(計算結果!M815),"",計算結果!M815)=0,"",IF(ISNA(計算結果!M815),"",計算結果!M815))</f>
        <v/>
      </c>
      <c r="N815" s="10" t="str">
        <f>IF(IF(ISNA(計算結果!N815),"",計算結果!N815)=0,"",IF(ISNA(計算結果!N815),"",計算結果!N815))</f>
        <v/>
      </c>
      <c r="O815" s="13" t="str">
        <f>IF(IF(ISNA(計算結果!O815),"",計算結果!O815)=0,"",IF(ISNA(計算結果!O815),"",計算結果!O815))</f>
        <v/>
      </c>
      <c r="P815" s="10" t="str">
        <f>IF(IF(ISNA(計算結果!P815),"",計算結果!P815)=0,"",IF(ISNA(計算結果!P815),"",計算結果!P815))</f>
        <v/>
      </c>
      <c r="Q815" s="10" t="str">
        <f>IF(IF(ISNA(計算結果!Q815),"",計算結果!Q815)=0,"",IF(ISNA(計算結果!Q815),"",計算結果!Q815))</f>
        <v/>
      </c>
      <c r="R815" s="14" t="str">
        <f t="shared" si="36"/>
        <v/>
      </c>
      <c r="S815" s="14" t="str">
        <f t="shared" si="37"/>
        <v>◯</v>
      </c>
      <c r="T815" s="14" t="str">
        <f t="shared" si="38"/>
        <v/>
      </c>
    </row>
    <row r="816" spans="1:20" hidden="1" x14ac:dyDescent="0.45">
      <c r="A816" s="10" t="str">
        <f>IF(IF(ISNA(計算結果!A816),"",計算結果!A816)=0,"",IF(ISNA(計算結果!A816),"",計算結果!A816))</f>
        <v/>
      </c>
      <c r="B816" s="10" t="str">
        <f>IF(IF(ISNA(計算結果!B816),"",計算結果!B816)=0,"",IF(ISNA(計算結果!B816),"",計算結果!B816))</f>
        <v/>
      </c>
      <c r="C816" s="10" t="str">
        <f>IF(IF(ISNA(計算結果!C816),"",計算結果!C816)=0,"",IF(ISNA(計算結果!C816),"",計算結果!C816))</f>
        <v/>
      </c>
      <c r="D816" s="10" t="str">
        <f>IF(IF(ISNA(計算結果!D816),"",計算結果!D816)=0,"",IF(ISNA(計算結果!D816),"",計算結果!D816))</f>
        <v>L</v>
      </c>
      <c r="E816" s="10" t="str">
        <f>IF(IF(ISNA(計算結果!E816),"",計算結果!E816)=0,"",IF(ISNA(計算結果!E816),"",計算結果!E816))</f>
        <v/>
      </c>
      <c r="F816" s="10" t="str">
        <f>IF(IF(ISNA(計算結果!F816),"",計算結果!F816)=0,"",IF(ISNA(計算結果!F816),"",計算結果!F816))</f>
        <v/>
      </c>
      <c r="G816" s="10" t="str">
        <f>IF(IF(ISNA(計算結果!G816),"",計算結果!G816)=0,"",IF(ISNA(計算結果!G816),"",計算結果!G816))</f>
        <v/>
      </c>
      <c r="H816" s="13">
        <f>IF(IF(ISNA(計算結果!H816),"",計算結果!H816)=0,"",IF(ISNA(計算結果!H816),"",計算結果!H816))</f>
        <v>-2</v>
      </c>
      <c r="I816" s="12" t="str">
        <f>IF(IF(ISNA(計算結果!I816),"",計算結果!I816)=0,"",IF(ISNA(計算結果!I816),"",計算結果!I816))</f>
        <v/>
      </c>
      <c r="J816" s="12" t="str">
        <f>IF(IF(ISNA(計算結果!J816),"",計算結果!J816)=0,"",IF(ISNA(計算結果!J816),"",計算結果!J816))</f>
        <v/>
      </c>
      <c r="K816" s="23" t="str">
        <f>IF(IF(ISNA(計算結果!K816),"",計算結果!K816)=0,"",IF(ISNA(計算結果!K816),"",計算結果!K816))</f>
        <v/>
      </c>
      <c r="L816" s="13" t="str">
        <f>IF(IF(ISNA(計算結果!L816),"",計算結果!L816)=0,"",IF(ISNA(計算結果!L816),"",計算結果!L816))</f>
        <v/>
      </c>
      <c r="M816" s="10" t="str">
        <f>IF(IF(ISNA(計算結果!M816),"",計算結果!M816)=0,"",IF(ISNA(計算結果!M816),"",計算結果!M816))</f>
        <v/>
      </c>
      <c r="N816" s="10" t="str">
        <f>IF(IF(ISNA(計算結果!N816),"",計算結果!N816)=0,"",IF(ISNA(計算結果!N816),"",計算結果!N816))</f>
        <v/>
      </c>
      <c r="O816" s="13" t="str">
        <f>IF(IF(ISNA(計算結果!O816),"",計算結果!O816)=0,"",IF(ISNA(計算結果!O816),"",計算結果!O816))</f>
        <v/>
      </c>
      <c r="P816" s="10" t="str">
        <f>IF(IF(ISNA(計算結果!P816),"",計算結果!P816)=0,"",IF(ISNA(計算結果!P816),"",計算結果!P816))</f>
        <v/>
      </c>
      <c r="Q816" s="10" t="str">
        <f>IF(IF(ISNA(計算結果!Q816),"",計算結果!Q816)=0,"",IF(ISNA(計算結果!Q816),"",計算結果!Q816))</f>
        <v/>
      </c>
      <c r="R816" s="14" t="str">
        <f t="shared" si="36"/>
        <v/>
      </c>
      <c r="S816" s="14" t="str">
        <f t="shared" si="37"/>
        <v>◯</v>
      </c>
      <c r="T816" s="14" t="str">
        <f t="shared" si="38"/>
        <v/>
      </c>
    </row>
    <row r="817" spans="1:20" hidden="1" x14ac:dyDescent="0.45">
      <c r="A817" s="10" t="str">
        <f>IF(IF(ISNA(計算結果!A817),"",計算結果!A817)=0,"",IF(ISNA(計算結果!A817),"",計算結果!A817))</f>
        <v/>
      </c>
      <c r="B817" s="10" t="str">
        <f>IF(IF(ISNA(計算結果!B817),"",計算結果!B817)=0,"",IF(ISNA(計算結果!B817),"",計算結果!B817))</f>
        <v/>
      </c>
      <c r="C817" s="10" t="str">
        <f>IF(IF(ISNA(計算結果!C817),"",計算結果!C817)=0,"",IF(ISNA(計算結果!C817),"",計算結果!C817))</f>
        <v/>
      </c>
      <c r="D817" s="10" t="str">
        <f>IF(IF(ISNA(計算結果!D817),"",計算結果!D817)=0,"",IF(ISNA(計算結果!D817),"",計算結果!D817))</f>
        <v>L</v>
      </c>
      <c r="E817" s="10" t="str">
        <f>IF(IF(ISNA(計算結果!E817),"",計算結果!E817)=0,"",IF(ISNA(計算結果!E817),"",計算結果!E817))</f>
        <v/>
      </c>
      <c r="F817" s="10" t="str">
        <f>IF(IF(ISNA(計算結果!F817),"",計算結果!F817)=0,"",IF(ISNA(計算結果!F817),"",計算結果!F817))</f>
        <v/>
      </c>
      <c r="G817" s="10" t="str">
        <f>IF(IF(ISNA(計算結果!G817),"",計算結果!G817)=0,"",IF(ISNA(計算結果!G817),"",計算結果!G817))</f>
        <v/>
      </c>
      <c r="H817" s="13">
        <f>IF(IF(ISNA(計算結果!H817),"",計算結果!H817)=0,"",IF(ISNA(計算結果!H817),"",計算結果!H817))</f>
        <v>-2</v>
      </c>
      <c r="I817" s="12" t="str">
        <f>IF(IF(ISNA(計算結果!I817),"",計算結果!I817)=0,"",IF(ISNA(計算結果!I817),"",計算結果!I817))</f>
        <v/>
      </c>
      <c r="J817" s="12" t="str">
        <f>IF(IF(ISNA(計算結果!J817),"",計算結果!J817)=0,"",IF(ISNA(計算結果!J817),"",計算結果!J817))</f>
        <v/>
      </c>
      <c r="K817" s="23" t="str">
        <f>IF(IF(ISNA(計算結果!K817),"",計算結果!K817)=0,"",IF(ISNA(計算結果!K817),"",計算結果!K817))</f>
        <v/>
      </c>
      <c r="L817" s="13" t="str">
        <f>IF(IF(ISNA(計算結果!L817),"",計算結果!L817)=0,"",IF(ISNA(計算結果!L817),"",計算結果!L817))</f>
        <v/>
      </c>
      <c r="M817" s="10" t="str">
        <f>IF(IF(ISNA(計算結果!M817),"",計算結果!M817)=0,"",IF(ISNA(計算結果!M817),"",計算結果!M817))</f>
        <v/>
      </c>
      <c r="N817" s="10" t="str">
        <f>IF(IF(ISNA(計算結果!N817),"",計算結果!N817)=0,"",IF(ISNA(計算結果!N817),"",計算結果!N817))</f>
        <v/>
      </c>
      <c r="O817" s="13" t="str">
        <f>IF(IF(ISNA(計算結果!O817),"",計算結果!O817)=0,"",IF(ISNA(計算結果!O817),"",計算結果!O817))</f>
        <v/>
      </c>
      <c r="P817" s="10" t="str">
        <f>IF(IF(ISNA(計算結果!P817),"",計算結果!P817)=0,"",IF(ISNA(計算結果!P817),"",計算結果!P817))</f>
        <v/>
      </c>
      <c r="Q817" s="10" t="str">
        <f>IF(IF(ISNA(計算結果!Q817),"",計算結果!Q817)=0,"",IF(ISNA(計算結果!Q817),"",計算結果!Q817))</f>
        <v/>
      </c>
      <c r="R817" s="14" t="str">
        <f t="shared" si="36"/>
        <v/>
      </c>
      <c r="S817" s="14" t="str">
        <f t="shared" si="37"/>
        <v>◯</v>
      </c>
      <c r="T817" s="14" t="str">
        <f t="shared" si="38"/>
        <v/>
      </c>
    </row>
    <row r="818" spans="1:20" hidden="1" x14ac:dyDescent="0.45">
      <c r="A818" s="10" t="str">
        <f>IF(IF(ISNA(計算結果!A818),"",計算結果!A818)=0,"",IF(ISNA(計算結果!A818),"",計算結果!A818))</f>
        <v/>
      </c>
      <c r="B818" s="10" t="str">
        <f>IF(IF(ISNA(計算結果!B818),"",計算結果!B818)=0,"",IF(ISNA(計算結果!B818),"",計算結果!B818))</f>
        <v/>
      </c>
      <c r="C818" s="10" t="str">
        <f>IF(IF(ISNA(計算結果!C818),"",計算結果!C818)=0,"",IF(ISNA(計算結果!C818),"",計算結果!C818))</f>
        <v/>
      </c>
      <c r="D818" s="10" t="str">
        <f>IF(IF(ISNA(計算結果!D818),"",計算結果!D818)=0,"",IF(ISNA(計算結果!D818),"",計算結果!D818))</f>
        <v>L</v>
      </c>
      <c r="E818" s="10" t="str">
        <f>IF(IF(ISNA(計算結果!E818),"",計算結果!E818)=0,"",IF(ISNA(計算結果!E818),"",計算結果!E818))</f>
        <v/>
      </c>
      <c r="F818" s="10" t="str">
        <f>IF(IF(ISNA(計算結果!F818),"",計算結果!F818)=0,"",IF(ISNA(計算結果!F818),"",計算結果!F818))</f>
        <v/>
      </c>
      <c r="G818" s="10" t="str">
        <f>IF(IF(ISNA(計算結果!G818),"",計算結果!G818)=0,"",IF(ISNA(計算結果!G818),"",計算結果!G818))</f>
        <v/>
      </c>
      <c r="H818" s="13">
        <f>IF(IF(ISNA(計算結果!H818),"",計算結果!H818)=0,"",IF(ISNA(計算結果!H818),"",計算結果!H818))</f>
        <v>-2</v>
      </c>
      <c r="I818" s="12" t="str">
        <f>IF(IF(ISNA(計算結果!I818),"",計算結果!I818)=0,"",IF(ISNA(計算結果!I818),"",計算結果!I818))</f>
        <v/>
      </c>
      <c r="J818" s="12" t="str">
        <f>IF(IF(ISNA(計算結果!J818),"",計算結果!J818)=0,"",IF(ISNA(計算結果!J818),"",計算結果!J818))</f>
        <v/>
      </c>
      <c r="K818" s="23" t="str">
        <f>IF(IF(ISNA(計算結果!K818),"",計算結果!K818)=0,"",IF(ISNA(計算結果!K818),"",計算結果!K818))</f>
        <v/>
      </c>
      <c r="L818" s="13" t="str">
        <f>IF(IF(ISNA(計算結果!L818),"",計算結果!L818)=0,"",IF(ISNA(計算結果!L818),"",計算結果!L818))</f>
        <v/>
      </c>
      <c r="M818" s="10" t="str">
        <f>IF(IF(ISNA(計算結果!M818),"",計算結果!M818)=0,"",IF(ISNA(計算結果!M818),"",計算結果!M818))</f>
        <v/>
      </c>
      <c r="N818" s="10" t="str">
        <f>IF(IF(ISNA(計算結果!N818),"",計算結果!N818)=0,"",IF(ISNA(計算結果!N818),"",計算結果!N818))</f>
        <v/>
      </c>
      <c r="O818" s="13" t="str">
        <f>IF(IF(ISNA(計算結果!O818),"",計算結果!O818)=0,"",IF(ISNA(計算結果!O818),"",計算結果!O818))</f>
        <v/>
      </c>
      <c r="P818" s="10" t="str">
        <f>IF(IF(ISNA(計算結果!P818),"",計算結果!P818)=0,"",IF(ISNA(計算結果!P818),"",計算結果!P818))</f>
        <v/>
      </c>
      <c r="Q818" s="10" t="str">
        <f>IF(IF(ISNA(計算結果!Q818),"",計算結果!Q818)=0,"",IF(ISNA(計算結果!Q818),"",計算結果!Q818))</f>
        <v/>
      </c>
      <c r="R818" s="14" t="str">
        <f t="shared" si="36"/>
        <v/>
      </c>
      <c r="S818" s="14" t="str">
        <f t="shared" si="37"/>
        <v>◯</v>
      </c>
      <c r="T818" s="14" t="str">
        <f t="shared" si="38"/>
        <v/>
      </c>
    </row>
    <row r="819" spans="1:20" hidden="1" x14ac:dyDescent="0.45">
      <c r="A819" s="10" t="str">
        <f>IF(IF(ISNA(計算結果!A819),"",計算結果!A819)=0,"",IF(ISNA(計算結果!A819),"",計算結果!A819))</f>
        <v/>
      </c>
      <c r="B819" s="10" t="str">
        <f>IF(IF(ISNA(計算結果!B819),"",計算結果!B819)=0,"",IF(ISNA(計算結果!B819),"",計算結果!B819))</f>
        <v/>
      </c>
      <c r="C819" s="10" t="str">
        <f>IF(IF(ISNA(計算結果!C819),"",計算結果!C819)=0,"",IF(ISNA(計算結果!C819),"",計算結果!C819))</f>
        <v/>
      </c>
      <c r="D819" s="10" t="str">
        <f>IF(IF(ISNA(計算結果!D819),"",計算結果!D819)=0,"",IF(ISNA(計算結果!D819),"",計算結果!D819))</f>
        <v>L</v>
      </c>
      <c r="E819" s="10" t="str">
        <f>IF(IF(ISNA(計算結果!E819),"",計算結果!E819)=0,"",IF(ISNA(計算結果!E819),"",計算結果!E819))</f>
        <v/>
      </c>
      <c r="F819" s="10" t="str">
        <f>IF(IF(ISNA(計算結果!F819),"",計算結果!F819)=0,"",IF(ISNA(計算結果!F819),"",計算結果!F819))</f>
        <v/>
      </c>
      <c r="G819" s="10" t="str">
        <f>IF(IF(ISNA(計算結果!G819),"",計算結果!G819)=0,"",IF(ISNA(計算結果!G819),"",計算結果!G819))</f>
        <v/>
      </c>
      <c r="H819" s="13">
        <f>IF(IF(ISNA(計算結果!H819),"",計算結果!H819)=0,"",IF(ISNA(計算結果!H819),"",計算結果!H819))</f>
        <v>-2</v>
      </c>
      <c r="I819" s="12" t="str">
        <f>IF(IF(ISNA(計算結果!I819),"",計算結果!I819)=0,"",IF(ISNA(計算結果!I819),"",計算結果!I819))</f>
        <v/>
      </c>
      <c r="J819" s="12" t="str">
        <f>IF(IF(ISNA(計算結果!J819),"",計算結果!J819)=0,"",IF(ISNA(計算結果!J819),"",計算結果!J819))</f>
        <v/>
      </c>
      <c r="K819" s="23" t="str">
        <f>IF(IF(ISNA(計算結果!K819),"",計算結果!K819)=0,"",IF(ISNA(計算結果!K819),"",計算結果!K819))</f>
        <v/>
      </c>
      <c r="L819" s="13" t="str">
        <f>IF(IF(ISNA(計算結果!L819),"",計算結果!L819)=0,"",IF(ISNA(計算結果!L819),"",計算結果!L819))</f>
        <v/>
      </c>
      <c r="M819" s="10" t="str">
        <f>IF(IF(ISNA(計算結果!M819),"",計算結果!M819)=0,"",IF(ISNA(計算結果!M819),"",計算結果!M819))</f>
        <v/>
      </c>
      <c r="N819" s="10" t="str">
        <f>IF(IF(ISNA(計算結果!N819),"",計算結果!N819)=0,"",IF(ISNA(計算結果!N819),"",計算結果!N819))</f>
        <v/>
      </c>
      <c r="O819" s="13" t="str">
        <f>IF(IF(ISNA(計算結果!O819),"",計算結果!O819)=0,"",IF(ISNA(計算結果!O819),"",計算結果!O819))</f>
        <v/>
      </c>
      <c r="P819" s="10" t="str">
        <f>IF(IF(ISNA(計算結果!P819),"",計算結果!P819)=0,"",IF(ISNA(計算結果!P819),"",計算結果!P819))</f>
        <v/>
      </c>
      <c r="Q819" s="10" t="str">
        <f>IF(IF(ISNA(計算結果!Q819),"",計算結果!Q819)=0,"",IF(ISNA(計算結果!Q819),"",計算結果!Q819))</f>
        <v/>
      </c>
      <c r="R819" s="14" t="str">
        <f t="shared" si="36"/>
        <v/>
      </c>
      <c r="S819" s="14" t="str">
        <f t="shared" si="37"/>
        <v>◯</v>
      </c>
      <c r="T819" s="14" t="str">
        <f t="shared" si="38"/>
        <v/>
      </c>
    </row>
    <row r="820" spans="1:20" hidden="1" x14ac:dyDescent="0.45">
      <c r="A820" s="10" t="str">
        <f>IF(IF(ISNA(計算結果!A820),"",計算結果!A820)=0,"",IF(ISNA(計算結果!A820),"",計算結果!A820))</f>
        <v/>
      </c>
      <c r="B820" s="10" t="str">
        <f>IF(IF(ISNA(計算結果!B820),"",計算結果!B820)=0,"",IF(ISNA(計算結果!B820),"",計算結果!B820))</f>
        <v/>
      </c>
      <c r="C820" s="10" t="str">
        <f>IF(IF(ISNA(計算結果!C820),"",計算結果!C820)=0,"",IF(ISNA(計算結果!C820),"",計算結果!C820))</f>
        <v/>
      </c>
      <c r="D820" s="10" t="str">
        <f>IF(IF(ISNA(計算結果!D820),"",計算結果!D820)=0,"",IF(ISNA(計算結果!D820),"",計算結果!D820))</f>
        <v>L</v>
      </c>
      <c r="E820" s="10" t="str">
        <f>IF(IF(ISNA(計算結果!E820),"",計算結果!E820)=0,"",IF(ISNA(計算結果!E820),"",計算結果!E820))</f>
        <v/>
      </c>
      <c r="F820" s="10" t="str">
        <f>IF(IF(ISNA(計算結果!F820),"",計算結果!F820)=0,"",IF(ISNA(計算結果!F820),"",計算結果!F820))</f>
        <v/>
      </c>
      <c r="G820" s="10" t="str">
        <f>IF(IF(ISNA(計算結果!G820),"",計算結果!G820)=0,"",IF(ISNA(計算結果!G820),"",計算結果!G820))</f>
        <v/>
      </c>
      <c r="H820" s="13">
        <f>IF(IF(ISNA(計算結果!H820),"",計算結果!H820)=0,"",IF(ISNA(計算結果!H820),"",計算結果!H820))</f>
        <v>-2</v>
      </c>
      <c r="I820" s="12" t="str">
        <f>IF(IF(ISNA(計算結果!I820),"",計算結果!I820)=0,"",IF(ISNA(計算結果!I820),"",計算結果!I820))</f>
        <v/>
      </c>
      <c r="J820" s="12" t="str">
        <f>IF(IF(ISNA(計算結果!J820),"",計算結果!J820)=0,"",IF(ISNA(計算結果!J820),"",計算結果!J820))</f>
        <v/>
      </c>
      <c r="K820" s="23" t="str">
        <f>IF(IF(ISNA(計算結果!K820),"",計算結果!K820)=0,"",IF(ISNA(計算結果!K820),"",計算結果!K820))</f>
        <v/>
      </c>
      <c r="L820" s="13" t="str">
        <f>IF(IF(ISNA(計算結果!L820),"",計算結果!L820)=0,"",IF(ISNA(計算結果!L820),"",計算結果!L820))</f>
        <v/>
      </c>
      <c r="M820" s="10" t="str">
        <f>IF(IF(ISNA(計算結果!M820),"",計算結果!M820)=0,"",IF(ISNA(計算結果!M820),"",計算結果!M820))</f>
        <v/>
      </c>
      <c r="N820" s="10" t="str">
        <f>IF(IF(ISNA(計算結果!N820),"",計算結果!N820)=0,"",IF(ISNA(計算結果!N820),"",計算結果!N820))</f>
        <v/>
      </c>
      <c r="O820" s="13" t="str">
        <f>IF(IF(ISNA(計算結果!O820),"",計算結果!O820)=0,"",IF(ISNA(計算結果!O820),"",計算結果!O820))</f>
        <v/>
      </c>
      <c r="P820" s="10" t="str">
        <f>IF(IF(ISNA(計算結果!P820),"",計算結果!P820)=0,"",IF(ISNA(計算結果!P820),"",計算結果!P820))</f>
        <v/>
      </c>
      <c r="Q820" s="10" t="str">
        <f>IF(IF(ISNA(計算結果!Q820),"",計算結果!Q820)=0,"",IF(ISNA(計算結果!Q820),"",計算結果!Q820))</f>
        <v/>
      </c>
      <c r="R820" s="14" t="str">
        <f t="shared" si="36"/>
        <v/>
      </c>
      <c r="S820" s="14" t="str">
        <f t="shared" si="37"/>
        <v>◯</v>
      </c>
      <c r="T820" s="14" t="str">
        <f t="shared" si="38"/>
        <v/>
      </c>
    </row>
    <row r="821" spans="1:20" hidden="1" x14ac:dyDescent="0.45">
      <c r="A821" s="10" t="str">
        <f>IF(IF(ISNA(計算結果!A821),"",計算結果!A821)=0,"",IF(ISNA(計算結果!A821),"",計算結果!A821))</f>
        <v/>
      </c>
      <c r="B821" s="10" t="str">
        <f>IF(IF(ISNA(計算結果!B821),"",計算結果!B821)=0,"",IF(ISNA(計算結果!B821),"",計算結果!B821))</f>
        <v/>
      </c>
      <c r="C821" s="10" t="str">
        <f>IF(IF(ISNA(計算結果!C821),"",計算結果!C821)=0,"",IF(ISNA(計算結果!C821),"",計算結果!C821))</f>
        <v/>
      </c>
      <c r="D821" s="10" t="str">
        <f>IF(IF(ISNA(計算結果!D821),"",計算結果!D821)=0,"",IF(ISNA(計算結果!D821),"",計算結果!D821))</f>
        <v>L</v>
      </c>
      <c r="E821" s="10" t="str">
        <f>IF(IF(ISNA(計算結果!E821),"",計算結果!E821)=0,"",IF(ISNA(計算結果!E821),"",計算結果!E821))</f>
        <v/>
      </c>
      <c r="F821" s="10" t="str">
        <f>IF(IF(ISNA(計算結果!F821),"",計算結果!F821)=0,"",IF(ISNA(計算結果!F821),"",計算結果!F821))</f>
        <v/>
      </c>
      <c r="G821" s="10" t="str">
        <f>IF(IF(ISNA(計算結果!G821),"",計算結果!G821)=0,"",IF(ISNA(計算結果!G821),"",計算結果!G821))</f>
        <v/>
      </c>
      <c r="H821" s="13">
        <f>IF(IF(ISNA(計算結果!H821),"",計算結果!H821)=0,"",IF(ISNA(計算結果!H821),"",計算結果!H821))</f>
        <v>-2</v>
      </c>
      <c r="I821" s="12" t="str">
        <f>IF(IF(ISNA(計算結果!I821),"",計算結果!I821)=0,"",IF(ISNA(計算結果!I821),"",計算結果!I821))</f>
        <v/>
      </c>
      <c r="J821" s="12" t="str">
        <f>IF(IF(ISNA(計算結果!J821),"",計算結果!J821)=0,"",IF(ISNA(計算結果!J821),"",計算結果!J821))</f>
        <v/>
      </c>
      <c r="K821" s="23" t="str">
        <f>IF(IF(ISNA(計算結果!K821),"",計算結果!K821)=0,"",IF(ISNA(計算結果!K821),"",計算結果!K821))</f>
        <v/>
      </c>
      <c r="L821" s="13" t="str">
        <f>IF(IF(ISNA(計算結果!L821),"",計算結果!L821)=0,"",IF(ISNA(計算結果!L821),"",計算結果!L821))</f>
        <v/>
      </c>
      <c r="M821" s="10" t="str">
        <f>IF(IF(ISNA(計算結果!M821),"",計算結果!M821)=0,"",IF(ISNA(計算結果!M821),"",計算結果!M821))</f>
        <v/>
      </c>
      <c r="N821" s="10" t="str">
        <f>IF(IF(ISNA(計算結果!N821),"",計算結果!N821)=0,"",IF(ISNA(計算結果!N821),"",計算結果!N821))</f>
        <v/>
      </c>
      <c r="O821" s="13" t="str">
        <f>IF(IF(ISNA(計算結果!O821),"",計算結果!O821)=0,"",IF(ISNA(計算結果!O821),"",計算結果!O821))</f>
        <v/>
      </c>
      <c r="P821" s="10" t="str">
        <f>IF(IF(ISNA(計算結果!P821),"",計算結果!P821)=0,"",IF(ISNA(計算結果!P821),"",計算結果!P821))</f>
        <v/>
      </c>
      <c r="Q821" s="10" t="str">
        <f>IF(IF(ISNA(計算結果!Q821),"",計算結果!Q821)=0,"",IF(ISNA(計算結果!Q821),"",計算結果!Q821))</f>
        <v/>
      </c>
      <c r="R821" s="14" t="str">
        <f t="shared" si="36"/>
        <v/>
      </c>
      <c r="S821" s="14" t="str">
        <f t="shared" si="37"/>
        <v>◯</v>
      </c>
      <c r="T821" s="14" t="str">
        <f t="shared" si="38"/>
        <v/>
      </c>
    </row>
    <row r="822" spans="1:20" hidden="1" x14ac:dyDescent="0.45">
      <c r="A822" s="10" t="str">
        <f>IF(IF(ISNA(計算結果!A822),"",計算結果!A822)=0,"",IF(ISNA(計算結果!A822),"",計算結果!A822))</f>
        <v/>
      </c>
      <c r="B822" s="10" t="str">
        <f>IF(IF(ISNA(計算結果!B822),"",計算結果!B822)=0,"",IF(ISNA(計算結果!B822),"",計算結果!B822))</f>
        <v/>
      </c>
      <c r="C822" s="10" t="str">
        <f>IF(IF(ISNA(計算結果!C822),"",計算結果!C822)=0,"",IF(ISNA(計算結果!C822),"",計算結果!C822))</f>
        <v/>
      </c>
      <c r="D822" s="10" t="str">
        <f>IF(IF(ISNA(計算結果!D822),"",計算結果!D822)=0,"",IF(ISNA(計算結果!D822),"",計算結果!D822))</f>
        <v>L</v>
      </c>
      <c r="E822" s="10" t="str">
        <f>IF(IF(ISNA(計算結果!E822),"",計算結果!E822)=0,"",IF(ISNA(計算結果!E822),"",計算結果!E822))</f>
        <v/>
      </c>
      <c r="F822" s="10" t="str">
        <f>IF(IF(ISNA(計算結果!F822),"",計算結果!F822)=0,"",IF(ISNA(計算結果!F822),"",計算結果!F822))</f>
        <v/>
      </c>
      <c r="G822" s="10" t="str">
        <f>IF(IF(ISNA(計算結果!G822),"",計算結果!G822)=0,"",IF(ISNA(計算結果!G822),"",計算結果!G822))</f>
        <v/>
      </c>
      <c r="H822" s="13">
        <f>IF(IF(ISNA(計算結果!H822),"",計算結果!H822)=0,"",IF(ISNA(計算結果!H822),"",計算結果!H822))</f>
        <v>-2</v>
      </c>
      <c r="I822" s="12" t="str">
        <f>IF(IF(ISNA(計算結果!I822),"",計算結果!I822)=0,"",IF(ISNA(計算結果!I822),"",計算結果!I822))</f>
        <v/>
      </c>
      <c r="J822" s="12" t="str">
        <f>IF(IF(ISNA(計算結果!J822),"",計算結果!J822)=0,"",IF(ISNA(計算結果!J822),"",計算結果!J822))</f>
        <v/>
      </c>
      <c r="K822" s="23" t="str">
        <f>IF(IF(ISNA(計算結果!K822),"",計算結果!K822)=0,"",IF(ISNA(計算結果!K822),"",計算結果!K822))</f>
        <v/>
      </c>
      <c r="L822" s="13" t="str">
        <f>IF(IF(ISNA(計算結果!L822),"",計算結果!L822)=0,"",IF(ISNA(計算結果!L822),"",計算結果!L822))</f>
        <v/>
      </c>
      <c r="M822" s="10" t="str">
        <f>IF(IF(ISNA(計算結果!M822),"",計算結果!M822)=0,"",IF(ISNA(計算結果!M822),"",計算結果!M822))</f>
        <v/>
      </c>
      <c r="N822" s="10" t="str">
        <f>IF(IF(ISNA(計算結果!N822),"",計算結果!N822)=0,"",IF(ISNA(計算結果!N822),"",計算結果!N822))</f>
        <v/>
      </c>
      <c r="O822" s="13" t="str">
        <f>IF(IF(ISNA(計算結果!O822),"",計算結果!O822)=0,"",IF(ISNA(計算結果!O822),"",計算結果!O822))</f>
        <v/>
      </c>
      <c r="P822" s="10" t="str">
        <f>IF(IF(ISNA(計算結果!P822),"",計算結果!P822)=0,"",IF(ISNA(計算結果!P822),"",計算結果!P822))</f>
        <v/>
      </c>
      <c r="Q822" s="10" t="str">
        <f>IF(IF(ISNA(計算結果!Q822),"",計算結果!Q822)=0,"",IF(ISNA(計算結果!Q822),"",計算結果!Q822))</f>
        <v/>
      </c>
      <c r="R822" s="14" t="str">
        <f t="shared" si="36"/>
        <v/>
      </c>
      <c r="S822" s="14" t="str">
        <f t="shared" si="37"/>
        <v>◯</v>
      </c>
      <c r="T822" s="14" t="str">
        <f t="shared" si="38"/>
        <v/>
      </c>
    </row>
    <row r="823" spans="1:20" hidden="1" x14ac:dyDescent="0.45">
      <c r="A823" s="10" t="str">
        <f>IF(IF(ISNA(計算結果!A823),"",計算結果!A823)=0,"",IF(ISNA(計算結果!A823),"",計算結果!A823))</f>
        <v/>
      </c>
      <c r="B823" s="10" t="str">
        <f>IF(IF(ISNA(計算結果!B823),"",計算結果!B823)=0,"",IF(ISNA(計算結果!B823),"",計算結果!B823))</f>
        <v/>
      </c>
      <c r="C823" s="10" t="str">
        <f>IF(IF(ISNA(計算結果!C823),"",計算結果!C823)=0,"",IF(ISNA(計算結果!C823),"",計算結果!C823))</f>
        <v/>
      </c>
      <c r="D823" s="10" t="str">
        <f>IF(IF(ISNA(計算結果!D823),"",計算結果!D823)=0,"",IF(ISNA(計算結果!D823),"",計算結果!D823))</f>
        <v>L</v>
      </c>
      <c r="E823" s="10" t="str">
        <f>IF(IF(ISNA(計算結果!E823),"",計算結果!E823)=0,"",IF(ISNA(計算結果!E823),"",計算結果!E823))</f>
        <v/>
      </c>
      <c r="F823" s="10" t="str">
        <f>IF(IF(ISNA(計算結果!F823),"",計算結果!F823)=0,"",IF(ISNA(計算結果!F823),"",計算結果!F823))</f>
        <v/>
      </c>
      <c r="G823" s="10" t="str">
        <f>IF(IF(ISNA(計算結果!G823),"",計算結果!G823)=0,"",IF(ISNA(計算結果!G823),"",計算結果!G823))</f>
        <v/>
      </c>
      <c r="H823" s="13">
        <f>IF(IF(ISNA(計算結果!H823),"",計算結果!H823)=0,"",IF(ISNA(計算結果!H823),"",計算結果!H823))</f>
        <v>-2</v>
      </c>
      <c r="I823" s="12" t="str">
        <f>IF(IF(ISNA(計算結果!I823),"",計算結果!I823)=0,"",IF(ISNA(計算結果!I823),"",計算結果!I823))</f>
        <v/>
      </c>
      <c r="J823" s="12" t="str">
        <f>IF(IF(ISNA(計算結果!J823),"",計算結果!J823)=0,"",IF(ISNA(計算結果!J823),"",計算結果!J823))</f>
        <v/>
      </c>
      <c r="K823" s="23" t="str">
        <f>IF(IF(ISNA(計算結果!K823),"",計算結果!K823)=0,"",IF(ISNA(計算結果!K823),"",計算結果!K823))</f>
        <v/>
      </c>
      <c r="L823" s="13" t="str">
        <f>IF(IF(ISNA(計算結果!L823),"",計算結果!L823)=0,"",IF(ISNA(計算結果!L823),"",計算結果!L823))</f>
        <v/>
      </c>
      <c r="M823" s="10" t="str">
        <f>IF(IF(ISNA(計算結果!M823),"",計算結果!M823)=0,"",IF(ISNA(計算結果!M823),"",計算結果!M823))</f>
        <v/>
      </c>
      <c r="N823" s="10" t="str">
        <f>IF(IF(ISNA(計算結果!N823),"",計算結果!N823)=0,"",IF(ISNA(計算結果!N823),"",計算結果!N823))</f>
        <v/>
      </c>
      <c r="O823" s="13" t="str">
        <f>IF(IF(ISNA(計算結果!O823),"",計算結果!O823)=0,"",IF(ISNA(計算結果!O823),"",計算結果!O823))</f>
        <v/>
      </c>
      <c r="P823" s="10" t="str">
        <f>IF(IF(ISNA(計算結果!P823),"",計算結果!P823)=0,"",IF(ISNA(計算結果!P823),"",計算結果!P823))</f>
        <v/>
      </c>
      <c r="Q823" s="10" t="str">
        <f>IF(IF(ISNA(計算結果!Q823),"",計算結果!Q823)=0,"",IF(ISNA(計算結果!Q823),"",計算結果!Q823))</f>
        <v/>
      </c>
      <c r="R823" s="14" t="str">
        <f t="shared" si="36"/>
        <v/>
      </c>
      <c r="S823" s="14" t="str">
        <f t="shared" si="37"/>
        <v>◯</v>
      </c>
      <c r="T823" s="14" t="str">
        <f t="shared" si="38"/>
        <v/>
      </c>
    </row>
    <row r="824" spans="1:20" hidden="1" x14ac:dyDescent="0.45">
      <c r="A824" s="10" t="str">
        <f>IF(IF(ISNA(計算結果!A824),"",計算結果!A824)=0,"",IF(ISNA(計算結果!A824),"",計算結果!A824))</f>
        <v/>
      </c>
      <c r="B824" s="10" t="str">
        <f>IF(IF(ISNA(計算結果!B824),"",計算結果!B824)=0,"",IF(ISNA(計算結果!B824),"",計算結果!B824))</f>
        <v/>
      </c>
      <c r="C824" s="10" t="str">
        <f>IF(IF(ISNA(計算結果!C824),"",計算結果!C824)=0,"",IF(ISNA(計算結果!C824),"",計算結果!C824))</f>
        <v/>
      </c>
      <c r="D824" s="10" t="str">
        <f>IF(IF(ISNA(計算結果!D824),"",計算結果!D824)=0,"",IF(ISNA(計算結果!D824),"",計算結果!D824))</f>
        <v>L</v>
      </c>
      <c r="E824" s="10" t="str">
        <f>IF(IF(ISNA(計算結果!E824),"",計算結果!E824)=0,"",IF(ISNA(計算結果!E824),"",計算結果!E824))</f>
        <v/>
      </c>
      <c r="F824" s="10" t="str">
        <f>IF(IF(ISNA(計算結果!F824),"",計算結果!F824)=0,"",IF(ISNA(計算結果!F824),"",計算結果!F824))</f>
        <v/>
      </c>
      <c r="G824" s="10" t="str">
        <f>IF(IF(ISNA(計算結果!G824),"",計算結果!G824)=0,"",IF(ISNA(計算結果!G824),"",計算結果!G824))</f>
        <v/>
      </c>
      <c r="H824" s="13">
        <f>IF(IF(ISNA(計算結果!H824),"",計算結果!H824)=0,"",IF(ISNA(計算結果!H824),"",計算結果!H824))</f>
        <v>-2</v>
      </c>
      <c r="I824" s="12" t="str">
        <f>IF(IF(ISNA(計算結果!I824),"",計算結果!I824)=0,"",IF(ISNA(計算結果!I824),"",計算結果!I824))</f>
        <v/>
      </c>
      <c r="J824" s="12" t="str">
        <f>IF(IF(ISNA(計算結果!J824),"",計算結果!J824)=0,"",IF(ISNA(計算結果!J824),"",計算結果!J824))</f>
        <v/>
      </c>
      <c r="K824" s="23" t="str">
        <f>IF(IF(ISNA(計算結果!K824),"",計算結果!K824)=0,"",IF(ISNA(計算結果!K824),"",計算結果!K824))</f>
        <v/>
      </c>
      <c r="L824" s="13" t="str">
        <f>IF(IF(ISNA(計算結果!L824),"",計算結果!L824)=0,"",IF(ISNA(計算結果!L824),"",計算結果!L824))</f>
        <v/>
      </c>
      <c r="M824" s="10" t="str">
        <f>IF(IF(ISNA(計算結果!M824),"",計算結果!M824)=0,"",IF(ISNA(計算結果!M824),"",計算結果!M824))</f>
        <v/>
      </c>
      <c r="N824" s="10" t="str">
        <f>IF(IF(ISNA(計算結果!N824),"",計算結果!N824)=0,"",IF(ISNA(計算結果!N824),"",計算結果!N824))</f>
        <v/>
      </c>
      <c r="O824" s="13" t="str">
        <f>IF(IF(ISNA(計算結果!O824),"",計算結果!O824)=0,"",IF(ISNA(計算結果!O824),"",計算結果!O824))</f>
        <v/>
      </c>
      <c r="P824" s="10" t="str">
        <f>IF(IF(ISNA(計算結果!P824),"",計算結果!P824)=0,"",IF(ISNA(計算結果!P824),"",計算結果!P824))</f>
        <v/>
      </c>
      <c r="Q824" s="10" t="str">
        <f>IF(IF(ISNA(計算結果!Q824),"",計算結果!Q824)=0,"",IF(ISNA(計算結果!Q824),"",計算結果!Q824))</f>
        <v/>
      </c>
      <c r="R824" s="14" t="str">
        <f t="shared" si="36"/>
        <v/>
      </c>
      <c r="S824" s="14" t="str">
        <f t="shared" si="37"/>
        <v>◯</v>
      </c>
      <c r="T824" s="14" t="str">
        <f t="shared" si="38"/>
        <v/>
      </c>
    </row>
    <row r="825" spans="1:20" hidden="1" x14ac:dyDescent="0.45">
      <c r="A825" s="10" t="str">
        <f>IF(IF(ISNA(計算結果!A825),"",計算結果!A825)=0,"",IF(ISNA(計算結果!A825),"",計算結果!A825))</f>
        <v/>
      </c>
      <c r="B825" s="10" t="str">
        <f>IF(IF(ISNA(計算結果!B825),"",計算結果!B825)=0,"",IF(ISNA(計算結果!B825),"",計算結果!B825))</f>
        <v/>
      </c>
      <c r="C825" s="10" t="str">
        <f>IF(IF(ISNA(計算結果!C825),"",計算結果!C825)=0,"",IF(ISNA(計算結果!C825),"",計算結果!C825))</f>
        <v/>
      </c>
      <c r="D825" s="10" t="str">
        <f>IF(IF(ISNA(計算結果!D825),"",計算結果!D825)=0,"",IF(ISNA(計算結果!D825),"",計算結果!D825))</f>
        <v>L</v>
      </c>
      <c r="E825" s="10" t="str">
        <f>IF(IF(ISNA(計算結果!E825),"",計算結果!E825)=0,"",IF(ISNA(計算結果!E825),"",計算結果!E825))</f>
        <v/>
      </c>
      <c r="F825" s="10" t="str">
        <f>IF(IF(ISNA(計算結果!F825),"",計算結果!F825)=0,"",IF(ISNA(計算結果!F825),"",計算結果!F825))</f>
        <v/>
      </c>
      <c r="G825" s="10" t="str">
        <f>IF(IF(ISNA(計算結果!G825),"",計算結果!G825)=0,"",IF(ISNA(計算結果!G825),"",計算結果!G825))</f>
        <v/>
      </c>
      <c r="H825" s="13">
        <f>IF(IF(ISNA(計算結果!H825),"",計算結果!H825)=0,"",IF(ISNA(計算結果!H825),"",計算結果!H825))</f>
        <v>-2</v>
      </c>
      <c r="I825" s="12" t="str">
        <f>IF(IF(ISNA(計算結果!I825),"",計算結果!I825)=0,"",IF(ISNA(計算結果!I825),"",計算結果!I825))</f>
        <v/>
      </c>
      <c r="J825" s="12" t="str">
        <f>IF(IF(ISNA(計算結果!J825),"",計算結果!J825)=0,"",IF(ISNA(計算結果!J825),"",計算結果!J825))</f>
        <v/>
      </c>
      <c r="K825" s="23" t="str">
        <f>IF(IF(ISNA(計算結果!K825),"",計算結果!K825)=0,"",IF(ISNA(計算結果!K825),"",計算結果!K825))</f>
        <v/>
      </c>
      <c r="L825" s="13" t="str">
        <f>IF(IF(ISNA(計算結果!L825),"",計算結果!L825)=0,"",IF(ISNA(計算結果!L825),"",計算結果!L825))</f>
        <v/>
      </c>
      <c r="M825" s="10" t="str">
        <f>IF(IF(ISNA(計算結果!M825),"",計算結果!M825)=0,"",IF(ISNA(計算結果!M825),"",計算結果!M825))</f>
        <v/>
      </c>
      <c r="N825" s="10" t="str">
        <f>IF(IF(ISNA(計算結果!N825),"",計算結果!N825)=0,"",IF(ISNA(計算結果!N825),"",計算結果!N825))</f>
        <v/>
      </c>
      <c r="O825" s="13" t="str">
        <f>IF(IF(ISNA(計算結果!O825),"",計算結果!O825)=0,"",IF(ISNA(計算結果!O825),"",計算結果!O825))</f>
        <v/>
      </c>
      <c r="P825" s="10" t="str">
        <f>IF(IF(ISNA(計算結果!P825),"",計算結果!P825)=0,"",IF(ISNA(計算結果!P825),"",計算結果!P825))</f>
        <v/>
      </c>
      <c r="Q825" s="10" t="str">
        <f>IF(IF(ISNA(計算結果!Q825),"",計算結果!Q825)=0,"",IF(ISNA(計算結果!Q825),"",計算結果!Q825))</f>
        <v/>
      </c>
      <c r="R825" s="14" t="str">
        <f t="shared" si="36"/>
        <v/>
      </c>
      <c r="S825" s="14" t="str">
        <f t="shared" si="37"/>
        <v>◯</v>
      </c>
      <c r="T825" s="14" t="str">
        <f t="shared" si="38"/>
        <v/>
      </c>
    </row>
    <row r="826" spans="1:20" hidden="1" x14ac:dyDescent="0.45">
      <c r="A826" s="10" t="str">
        <f>IF(IF(ISNA(計算結果!A826),"",計算結果!A826)=0,"",IF(ISNA(計算結果!A826),"",計算結果!A826))</f>
        <v/>
      </c>
      <c r="B826" s="10" t="str">
        <f>IF(IF(ISNA(計算結果!B826),"",計算結果!B826)=0,"",IF(ISNA(計算結果!B826),"",計算結果!B826))</f>
        <v/>
      </c>
      <c r="C826" s="10" t="str">
        <f>IF(IF(ISNA(計算結果!C826),"",計算結果!C826)=0,"",IF(ISNA(計算結果!C826),"",計算結果!C826))</f>
        <v/>
      </c>
      <c r="D826" s="10" t="str">
        <f>IF(IF(ISNA(計算結果!D826),"",計算結果!D826)=0,"",IF(ISNA(計算結果!D826),"",計算結果!D826))</f>
        <v>L</v>
      </c>
      <c r="E826" s="10" t="str">
        <f>IF(IF(ISNA(計算結果!E826),"",計算結果!E826)=0,"",IF(ISNA(計算結果!E826),"",計算結果!E826))</f>
        <v/>
      </c>
      <c r="F826" s="10" t="str">
        <f>IF(IF(ISNA(計算結果!F826),"",計算結果!F826)=0,"",IF(ISNA(計算結果!F826),"",計算結果!F826))</f>
        <v/>
      </c>
      <c r="G826" s="10" t="str">
        <f>IF(IF(ISNA(計算結果!G826),"",計算結果!G826)=0,"",IF(ISNA(計算結果!G826),"",計算結果!G826))</f>
        <v/>
      </c>
      <c r="H826" s="13">
        <f>IF(IF(ISNA(計算結果!H826),"",計算結果!H826)=0,"",IF(ISNA(計算結果!H826),"",計算結果!H826))</f>
        <v>-2</v>
      </c>
      <c r="I826" s="12" t="str">
        <f>IF(IF(ISNA(計算結果!I826),"",計算結果!I826)=0,"",IF(ISNA(計算結果!I826),"",計算結果!I826))</f>
        <v/>
      </c>
      <c r="J826" s="12" t="str">
        <f>IF(IF(ISNA(計算結果!J826),"",計算結果!J826)=0,"",IF(ISNA(計算結果!J826),"",計算結果!J826))</f>
        <v/>
      </c>
      <c r="K826" s="23" t="str">
        <f>IF(IF(ISNA(計算結果!K826),"",計算結果!K826)=0,"",IF(ISNA(計算結果!K826),"",計算結果!K826))</f>
        <v/>
      </c>
      <c r="L826" s="13" t="str">
        <f>IF(IF(ISNA(計算結果!L826),"",計算結果!L826)=0,"",IF(ISNA(計算結果!L826),"",計算結果!L826))</f>
        <v/>
      </c>
      <c r="M826" s="10" t="str">
        <f>IF(IF(ISNA(計算結果!M826),"",計算結果!M826)=0,"",IF(ISNA(計算結果!M826),"",計算結果!M826))</f>
        <v/>
      </c>
      <c r="N826" s="10" t="str">
        <f>IF(IF(ISNA(計算結果!N826),"",計算結果!N826)=0,"",IF(ISNA(計算結果!N826),"",計算結果!N826))</f>
        <v/>
      </c>
      <c r="O826" s="13" t="str">
        <f>IF(IF(ISNA(計算結果!O826),"",計算結果!O826)=0,"",IF(ISNA(計算結果!O826),"",計算結果!O826))</f>
        <v/>
      </c>
      <c r="P826" s="10" t="str">
        <f>IF(IF(ISNA(計算結果!P826),"",計算結果!P826)=0,"",IF(ISNA(計算結果!P826),"",計算結果!P826))</f>
        <v/>
      </c>
      <c r="Q826" s="10" t="str">
        <f>IF(IF(ISNA(計算結果!Q826),"",計算結果!Q826)=0,"",IF(ISNA(計算結果!Q826),"",計算結果!Q826))</f>
        <v/>
      </c>
      <c r="R826" s="14" t="str">
        <f t="shared" si="36"/>
        <v/>
      </c>
      <c r="S826" s="14" t="str">
        <f t="shared" si="37"/>
        <v>◯</v>
      </c>
      <c r="T826" s="14" t="str">
        <f t="shared" si="38"/>
        <v/>
      </c>
    </row>
    <row r="827" spans="1:20" hidden="1" x14ac:dyDescent="0.45">
      <c r="A827" s="10" t="str">
        <f>IF(IF(ISNA(計算結果!A827),"",計算結果!A827)=0,"",IF(ISNA(計算結果!A827),"",計算結果!A827))</f>
        <v/>
      </c>
      <c r="B827" s="10" t="str">
        <f>IF(IF(ISNA(計算結果!B827),"",計算結果!B827)=0,"",IF(ISNA(計算結果!B827),"",計算結果!B827))</f>
        <v/>
      </c>
      <c r="C827" s="10" t="str">
        <f>IF(IF(ISNA(計算結果!C827),"",計算結果!C827)=0,"",IF(ISNA(計算結果!C827),"",計算結果!C827))</f>
        <v/>
      </c>
      <c r="D827" s="10" t="str">
        <f>IF(IF(ISNA(計算結果!D827),"",計算結果!D827)=0,"",IF(ISNA(計算結果!D827),"",計算結果!D827))</f>
        <v>L</v>
      </c>
      <c r="E827" s="10" t="str">
        <f>IF(IF(ISNA(計算結果!E827),"",計算結果!E827)=0,"",IF(ISNA(計算結果!E827),"",計算結果!E827))</f>
        <v/>
      </c>
      <c r="F827" s="10" t="str">
        <f>IF(IF(ISNA(計算結果!F827),"",計算結果!F827)=0,"",IF(ISNA(計算結果!F827),"",計算結果!F827))</f>
        <v/>
      </c>
      <c r="G827" s="10" t="str">
        <f>IF(IF(ISNA(計算結果!G827),"",計算結果!G827)=0,"",IF(ISNA(計算結果!G827),"",計算結果!G827))</f>
        <v/>
      </c>
      <c r="H827" s="13">
        <f>IF(IF(ISNA(計算結果!H827),"",計算結果!H827)=0,"",IF(ISNA(計算結果!H827),"",計算結果!H827))</f>
        <v>-2</v>
      </c>
      <c r="I827" s="12" t="str">
        <f>IF(IF(ISNA(計算結果!I827),"",計算結果!I827)=0,"",IF(ISNA(計算結果!I827),"",計算結果!I827))</f>
        <v/>
      </c>
      <c r="J827" s="12" t="str">
        <f>IF(IF(ISNA(計算結果!J827),"",計算結果!J827)=0,"",IF(ISNA(計算結果!J827),"",計算結果!J827))</f>
        <v/>
      </c>
      <c r="K827" s="23" t="str">
        <f>IF(IF(ISNA(計算結果!K827),"",計算結果!K827)=0,"",IF(ISNA(計算結果!K827),"",計算結果!K827))</f>
        <v/>
      </c>
      <c r="L827" s="13" t="str">
        <f>IF(IF(ISNA(計算結果!L827),"",計算結果!L827)=0,"",IF(ISNA(計算結果!L827),"",計算結果!L827))</f>
        <v/>
      </c>
      <c r="M827" s="10" t="str">
        <f>IF(IF(ISNA(計算結果!M827),"",計算結果!M827)=0,"",IF(ISNA(計算結果!M827),"",計算結果!M827))</f>
        <v/>
      </c>
      <c r="N827" s="10" t="str">
        <f>IF(IF(ISNA(計算結果!N827),"",計算結果!N827)=0,"",IF(ISNA(計算結果!N827),"",計算結果!N827))</f>
        <v/>
      </c>
      <c r="O827" s="13" t="str">
        <f>IF(IF(ISNA(計算結果!O827),"",計算結果!O827)=0,"",IF(ISNA(計算結果!O827),"",計算結果!O827))</f>
        <v/>
      </c>
      <c r="P827" s="10" t="str">
        <f>IF(IF(ISNA(計算結果!P827),"",計算結果!P827)=0,"",IF(ISNA(計算結果!P827),"",計算結果!P827))</f>
        <v/>
      </c>
      <c r="Q827" s="10" t="str">
        <f>IF(IF(ISNA(計算結果!Q827),"",計算結果!Q827)=0,"",IF(ISNA(計算結果!Q827),"",計算結果!Q827))</f>
        <v/>
      </c>
      <c r="R827" s="14" t="str">
        <f t="shared" si="36"/>
        <v/>
      </c>
      <c r="S827" s="14" t="str">
        <f t="shared" si="37"/>
        <v>◯</v>
      </c>
      <c r="T827" s="14" t="str">
        <f t="shared" si="38"/>
        <v/>
      </c>
    </row>
    <row r="828" spans="1:20" hidden="1" x14ac:dyDescent="0.45">
      <c r="A828" s="10" t="str">
        <f>IF(IF(ISNA(計算結果!A828),"",計算結果!A828)=0,"",IF(ISNA(計算結果!A828),"",計算結果!A828))</f>
        <v/>
      </c>
      <c r="B828" s="10" t="str">
        <f>IF(IF(ISNA(計算結果!B828),"",計算結果!B828)=0,"",IF(ISNA(計算結果!B828),"",計算結果!B828))</f>
        <v/>
      </c>
      <c r="C828" s="10" t="str">
        <f>IF(IF(ISNA(計算結果!C828),"",計算結果!C828)=0,"",IF(ISNA(計算結果!C828),"",計算結果!C828))</f>
        <v/>
      </c>
      <c r="D828" s="10" t="str">
        <f>IF(IF(ISNA(計算結果!D828),"",計算結果!D828)=0,"",IF(ISNA(計算結果!D828),"",計算結果!D828))</f>
        <v>L</v>
      </c>
      <c r="E828" s="10" t="str">
        <f>IF(IF(ISNA(計算結果!E828),"",計算結果!E828)=0,"",IF(ISNA(計算結果!E828),"",計算結果!E828))</f>
        <v/>
      </c>
      <c r="F828" s="10" t="str">
        <f>IF(IF(ISNA(計算結果!F828),"",計算結果!F828)=0,"",IF(ISNA(計算結果!F828),"",計算結果!F828))</f>
        <v/>
      </c>
      <c r="G828" s="10" t="str">
        <f>IF(IF(ISNA(計算結果!G828),"",計算結果!G828)=0,"",IF(ISNA(計算結果!G828),"",計算結果!G828))</f>
        <v/>
      </c>
      <c r="H828" s="13">
        <f>IF(IF(ISNA(計算結果!H828),"",計算結果!H828)=0,"",IF(ISNA(計算結果!H828),"",計算結果!H828))</f>
        <v>-2</v>
      </c>
      <c r="I828" s="12" t="str">
        <f>IF(IF(ISNA(計算結果!I828),"",計算結果!I828)=0,"",IF(ISNA(計算結果!I828),"",計算結果!I828))</f>
        <v/>
      </c>
      <c r="J828" s="12" t="str">
        <f>IF(IF(ISNA(計算結果!J828),"",計算結果!J828)=0,"",IF(ISNA(計算結果!J828),"",計算結果!J828))</f>
        <v/>
      </c>
      <c r="K828" s="23" t="str">
        <f>IF(IF(ISNA(計算結果!K828),"",計算結果!K828)=0,"",IF(ISNA(計算結果!K828),"",計算結果!K828))</f>
        <v/>
      </c>
      <c r="L828" s="13" t="str">
        <f>IF(IF(ISNA(計算結果!L828),"",計算結果!L828)=0,"",IF(ISNA(計算結果!L828),"",計算結果!L828))</f>
        <v/>
      </c>
      <c r="M828" s="10" t="str">
        <f>IF(IF(ISNA(計算結果!M828),"",計算結果!M828)=0,"",IF(ISNA(計算結果!M828),"",計算結果!M828))</f>
        <v/>
      </c>
      <c r="N828" s="10" t="str">
        <f>IF(IF(ISNA(計算結果!N828),"",計算結果!N828)=0,"",IF(ISNA(計算結果!N828),"",計算結果!N828))</f>
        <v/>
      </c>
      <c r="O828" s="13" t="str">
        <f>IF(IF(ISNA(計算結果!O828),"",計算結果!O828)=0,"",IF(ISNA(計算結果!O828),"",計算結果!O828))</f>
        <v/>
      </c>
      <c r="P828" s="10" t="str">
        <f>IF(IF(ISNA(計算結果!P828),"",計算結果!P828)=0,"",IF(ISNA(計算結果!P828),"",計算結果!P828))</f>
        <v/>
      </c>
      <c r="Q828" s="10" t="str">
        <f>IF(IF(ISNA(計算結果!Q828),"",計算結果!Q828)=0,"",IF(ISNA(計算結果!Q828),"",計算結果!Q828))</f>
        <v/>
      </c>
      <c r="R828" s="14" t="str">
        <f t="shared" si="36"/>
        <v/>
      </c>
      <c r="S828" s="14" t="str">
        <f t="shared" si="37"/>
        <v>◯</v>
      </c>
      <c r="T828" s="14" t="str">
        <f t="shared" si="38"/>
        <v/>
      </c>
    </row>
    <row r="829" spans="1:20" hidden="1" x14ac:dyDescent="0.45">
      <c r="A829" s="10" t="str">
        <f>IF(IF(ISNA(計算結果!A829),"",計算結果!A829)=0,"",IF(ISNA(計算結果!A829),"",計算結果!A829))</f>
        <v/>
      </c>
      <c r="B829" s="10" t="str">
        <f>IF(IF(ISNA(計算結果!B829),"",計算結果!B829)=0,"",IF(ISNA(計算結果!B829),"",計算結果!B829))</f>
        <v/>
      </c>
      <c r="C829" s="10" t="str">
        <f>IF(IF(ISNA(計算結果!C829),"",計算結果!C829)=0,"",IF(ISNA(計算結果!C829),"",計算結果!C829))</f>
        <v/>
      </c>
      <c r="D829" s="10" t="str">
        <f>IF(IF(ISNA(計算結果!D829),"",計算結果!D829)=0,"",IF(ISNA(計算結果!D829),"",計算結果!D829))</f>
        <v>L</v>
      </c>
      <c r="E829" s="10" t="str">
        <f>IF(IF(ISNA(計算結果!E829),"",計算結果!E829)=0,"",IF(ISNA(計算結果!E829),"",計算結果!E829))</f>
        <v/>
      </c>
      <c r="F829" s="10" t="str">
        <f>IF(IF(ISNA(計算結果!F829),"",計算結果!F829)=0,"",IF(ISNA(計算結果!F829),"",計算結果!F829))</f>
        <v/>
      </c>
      <c r="G829" s="10" t="str">
        <f>IF(IF(ISNA(計算結果!G829),"",計算結果!G829)=0,"",IF(ISNA(計算結果!G829),"",計算結果!G829))</f>
        <v/>
      </c>
      <c r="H829" s="13">
        <f>IF(IF(ISNA(計算結果!H829),"",計算結果!H829)=0,"",IF(ISNA(計算結果!H829),"",計算結果!H829))</f>
        <v>-2</v>
      </c>
      <c r="I829" s="12" t="str">
        <f>IF(IF(ISNA(計算結果!I829),"",計算結果!I829)=0,"",IF(ISNA(計算結果!I829),"",計算結果!I829))</f>
        <v/>
      </c>
      <c r="J829" s="12" t="str">
        <f>IF(IF(ISNA(計算結果!J829),"",計算結果!J829)=0,"",IF(ISNA(計算結果!J829),"",計算結果!J829))</f>
        <v/>
      </c>
      <c r="K829" s="23" t="str">
        <f>IF(IF(ISNA(計算結果!K829),"",計算結果!K829)=0,"",IF(ISNA(計算結果!K829),"",計算結果!K829))</f>
        <v/>
      </c>
      <c r="L829" s="13" t="str">
        <f>IF(IF(ISNA(計算結果!L829),"",計算結果!L829)=0,"",IF(ISNA(計算結果!L829),"",計算結果!L829))</f>
        <v/>
      </c>
      <c r="M829" s="10" t="str">
        <f>IF(IF(ISNA(計算結果!M829),"",計算結果!M829)=0,"",IF(ISNA(計算結果!M829),"",計算結果!M829))</f>
        <v/>
      </c>
      <c r="N829" s="10" t="str">
        <f>IF(IF(ISNA(計算結果!N829),"",計算結果!N829)=0,"",IF(ISNA(計算結果!N829),"",計算結果!N829))</f>
        <v/>
      </c>
      <c r="O829" s="13" t="str">
        <f>IF(IF(ISNA(計算結果!O829),"",計算結果!O829)=0,"",IF(ISNA(計算結果!O829),"",計算結果!O829))</f>
        <v/>
      </c>
      <c r="P829" s="10" t="str">
        <f>IF(IF(ISNA(計算結果!P829),"",計算結果!P829)=0,"",IF(ISNA(計算結果!P829),"",計算結果!P829))</f>
        <v/>
      </c>
      <c r="Q829" s="10" t="str">
        <f>IF(IF(ISNA(計算結果!Q829),"",計算結果!Q829)=0,"",IF(ISNA(計算結果!Q829),"",計算結果!Q829))</f>
        <v/>
      </c>
      <c r="R829" s="14" t="str">
        <f t="shared" si="36"/>
        <v/>
      </c>
      <c r="S829" s="14" t="str">
        <f t="shared" si="37"/>
        <v>◯</v>
      </c>
      <c r="T829" s="14" t="str">
        <f t="shared" si="38"/>
        <v/>
      </c>
    </row>
    <row r="830" spans="1:20" hidden="1" x14ac:dyDescent="0.45">
      <c r="A830" s="10" t="str">
        <f>IF(IF(ISNA(計算結果!A830),"",計算結果!A830)=0,"",IF(ISNA(計算結果!A830),"",計算結果!A830))</f>
        <v/>
      </c>
      <c r="B830" s="10" t="str">
        <f>IF(IF(ISNA(計算結果!B830),"",計算結果!B830)=0,"",IF(ISNA(計算結果!B830),"",計算結果!B830))</f>
        <v/>
      </c>
      <c r="C830" s="10" t="str">
        <f>IF(IF(ISNA(計算結果!C830),"",計算結果!C830)=0,"",IF(ISNA(計算結果!C830),"",計算結果!C830))</f>
        <v/>
      </c>
      <c r="D830" s="10" t="str">
        <f>IF(IF(ISNA(計算結果!D830),"",計算結果!D830)=0,"",IF(ISNA(計算結果!D830),"",計算結果!D830))</f>
        <v>L</v>
      </c>
      <c r="E830" s="10" t="str">
        <f>IF(IF(ISNA(計算結果!E830),"",計算結果!E830)=0,"",IF(ISNA(計算結果!E830),"",計算結果!E830))</f>
        <v/>
      </c>
      <c r="F830" s="10" t="str">
        <f>IF(IF(ISNA(計算結果!F830),"",計算結果!F830)=0,"",IF(ISNA(計算結果!F830),"",計算結果!F830))</f>
        <v/>
      </c>
      <c r="G830" s="10" t="str">
        <f>IF(IF(ISNA(計算結果!G830),"",計算結果!G830)=0,"",IF(ISNA(計算結果!G830),"",計算結果!G830))</f>
        <v/>
      </c>
      <c r="H830" s="13">
        <f>IF(IF(ISNA(計算結果!H830),"",計算結果!H830)=0,"",IF(ISNA(計算結果!H830),"",計算結果!H830))</f>
        <v>-2</v>
      </c>
      <c r="I830" s="12" t="str">
        <f>IF(IF(ISNA(計算結果!I830),"",計算結果!I830)=0,"",IF(ISNA(計算結果!I830),"",計算結果!I830))</f>
        <v/>
      </c>
      <c r="J830" s="12" t="str">
        <f>IF(IF(ISNA(計算結果!J830),"",計算結果!J830)=0,"",IF(ISNA(計算結果!J830),"",計算結果!J830))</f>
        <v/>
      </c>
      <c r="K830" s="23" t="str">
        <f>IF(IF(ISNA(計算結果!K830),"",計算結果!K830)=0,"",IF(ISNA(計算結果!K830),"",計算結果!K830))</f>
        <v/>
      </c>
      <c r="L830" s="13" t="str">
        <f>IF(IF(ISNA(計算結果!L830),"",計算結果!L830)=0,"",IF(ISNA(計算結果!L830),"",計算結果!L830))</f>
        <v/>
      </c>
      <c r="M830" s="10" t="str">
        <f>IF(IF(ISNA(計算結果!M830),"",計算結果!M830)=0,"",IF(ISNA(計算結果!M830),"",計算結果!M830))</f>
        <v/>
      </c>
      <c r="N830" s="10" t="str">
        <f>IF(IF(ISNA(計算結果!N830),"",計算結果!N830)=0,"",IF(ISNA(計算結果!N830),"",計算結果!N830))</f>
        <v/>
      </c>
      <c r="O830" s="13" t="str">
        <f>IF(IF(ISNA(計算結果!O830),"",計算結果!O830)=0,"",IF(ISNA(計算結果!O830),"",計算結果!O830))</f>
        <v/>
      </c>
      <c r="P830" s="10" t="str">
        <f>IF(IF(ISNA(計算結果!P830),"",計算結果!P830)=0,"",IF(ISNA(計算結果!P830),"",計算結果!P830))</f>
        <v/>
      </c>
      <c r="Q830" s="10" t="str">
        <f>IF(IF(ISNA(計算結果!Q830),"",計算結果!Q830)=0,"",IF(ISNA(計算結果!Q830),"",計算結果!Q830))</f>
        <v/>
      </c>
      <c r="R830" s="14" t="str">
        <f t="shared" si="36"/>
        <v/>
      </c>
      <c r="S830" s="14" t="str">
        <f t="shared" si="37"/>
        <v>◯</v>
      </c>
      <c r="T830" s="14" t="str">
        <f t="shared" si="38"/>
        <v/>
      </c>
    </row>
    <row r="831" spans="1:20" hidden="1" x14ac:dyDescent="0.45">
      <c r="A831" s="10" t="str">
        <f>IF(IF(ISNA(計算結果!A831),"",計算結果!A831)=0,"",IF(ISNA(計算結果!A831),"",計算結果!A831))</f>
        <v/>
      </c>
      <c r="B831" s="10" t="str">
        <f>IF(IF(ISNA(計算結果!B831),"",計算結果!B831)=0,"",IF(ISNA(計算結果!B831),"",計算結果!B831))</f>
        <v/>
      </c>
      <c r="C831" s="10" t="str">
        <f>IF(IF(ISNA(計算結果!C831),"",計算結果!C831)=0,"",IF(ISNA(計算結果!C831),"",計算結果!C831))</f>
        <v/>
      </c>
      <c r="D831" s="10" t="str">
        <f>IF(IF(ISNA(計算結果!D831),"",計算結果!D831)=0,"",IF(ISNA(計算結果!D831),"",計算結果!D831))</f>
        <v>L</v>
      </c>
      <c r="E831" s="10" t="str">
        <f>IF(IF(ISNA(計算結果!E831),"",計算結果!E831)=0,"",IF(ISNA(計算結果!E831),"",計算結果!E831))</f>
        <v/>
      </c>
      <c r="F831" s="10" t="str">
        <f>IF(IF(ISNA(計算結果!F831),"",計算結果!F831)=0,"",IF(ISNA(計算結果!F831),"",計算結果!F831))</f>
        <v/>
      </c>
      <c r="G831" s="10" t="str">
        <f>IF(IF(ISNA(計算結果!G831),"",計算結果!G831)=0,"",IF(ISNA(計算結果!G831),"",計算結果!G831))</f>
        <v/>
      </c>
      <c r="H831" s="13">
        <f>IF(IF(ISNA(計算結果!H831),"",計算結果!H831)=0,"",IF(ISNA(計算結果!H831),"",計算結果!H831))</f>
        <v>-2</v>
      </c>
      <c r="I831" s="12" t="str">
        <f>IF(IF(ISNA(計算結果!I831),"",計算結果!I831)=0,"",IF(ISNA(計算結果!I831),"",計算結果!I831))</f>
        <v/>
      </c>
      <c r="J831" s="12" t="str">
        <f>IF(IF(ISNA(計算結果!J831),"",計算結果!J831)=0,"",IF(ISNA(計算結果!J831),"",計算結果!J831))</f>
        <v/>
      </c>
      <c r="K831" s="23" t="str">
        <f>IF(IF(ISNA(計算結果!K831),"",計算結果!K831)=0,"",IF(ISNA(計算結果!K831),"",計算結果!K831))</f>
        <v/>
      </c>
      <c r="L831" s="13" t="str">
        <f>IF(IF(ISNA(計算結果!L831),"",計算結果!L831)=0,"",IF(ISNA(計算結果!L831),"",計算結果!L831))</f>
        <v/>
      </c>
      <c r="M831" s="10" t="str">
        <f>IF(IF(ISNA(計算結果!M831),"",計算結果!M831)=0,"",IF(ISNA(計算結果!M831),"",計算結果!M831))</f>
        <v/>
      </c>
      <c r="N831" s="10" t="str">
        <f>IF(IF(ISNA(計算結果!N831),"",計算結果!N831)=0,"",IF(ISNA(計算結果!N831),"",計算結果!N831))</f>
        <v/>
      </c>
      <c r="O831" s="13" t="str">
        <f>IF(IF(ISNA(計算結果!O831),"",計算結果!O831)=0,"",IF(ISNA(計算結果!O831),"",計算結果!O831))</f>
        <v/>
      </c>
      <c r="P831" s="10" t="str">
        <f>IF(IF(ISNA(計算結果!P831),"",計算結果!P831)=0,"",IF(ISNA(計算結果!P831),"",計算結果!P831))</f>
        <v/>
      </c>
      <c r="Q831" s="10" t="str">
        <f>IF(IF(ISNA(計算結果!Q831),"",計算結果!Q831)=0,"",IF(ISNA(計算結果!Q831),"",計算結果!Q831))</f>
        <v/>
      </c>
      <c r="R831" s="14" t="str">
        <f t="shared" si="36"/>
        <v/>
      </c>
      <c r="S831" s="14" t="str">
        <f t="shared" si="37"/>
        <v>◯</v>
      </c>
      <c r="T831" s="14" t="str">
        <f t="shared" si="38"/>
        <v/>
      </c>
    </row>
    <row r="832" spans="1:20" hidden="1" x14ac:dyDescent="0.45">
      <c r="A832" s="10" t="str">
        <f>IF(IF(ISNA(計算結果!A832),"",計算結果!A832)=0,"",IF(ISNA(計算結果!A832),"",計算結果!A832))</f>
        <v/>
      </c>
      <c r="B832" s="10" t="str">
        <f>IF(IF(ISNA(計算結果!B832),"",計算結果!B832)=0,"",IF(ISNA(計算結果!B832),"",計算結果!B832))</f>
        <v/>
      </c>
      <c r="C832" s="10" t="str">
        <f>IF(IF(ISNA(計算結果!C832),"",計算結果!C832)=0,"",IF(ISNA(計算結果!C832),"",計算結果!C832))</f>
        <v/>
      </c>
      <c r="D832" s="10" t="str">
        <f>IF(IF(ISNA(計算結果!D832),"",計算結果!D832)=0,"",IF(ISNA(計算結果!D832),"",計算結果!D832))</f>
        <v>L</v>
      </c>
      <c r="E832" s="10" t="str">
        <f>IF(IF(ISNA(計算結果!E832),"",計算結果!E832)=0,"",IF(ISNA(計算結果!E832),"",計算結果!E832))</f>
        <v/>
      </c>
      <c r="F832" s="10" t="str">
        <f>IF(IF(ISNA(計算結果!F832),"",計算結果!F832)=0,"",IF(ISNA(計算結果!F832),"",計算結果!F832))</f>
        <v/>
      </c>
      <c r="G832" s="10" t="str">
        <f>IF(IF(ISNA(計算結果!G832),"",計算結果!G832)=0,"",IF(ISNA(計算結果!G832),"",計算結果!G832))</f>
        <v/>
      </c>
      <c r="H832" s="13">
        <f>IF(IF(ISNA(計算結果!H832),"",計算結果!H832)=0,"",IF(ISNA(計算結果!H832),"",計算結果!H832))</f>
        <v>-2</v>
      </c>
      <c r="I832" s="12" t="str">
        <f>IF(IF(ISNA(計算結果!I832),"",計算結果!I832)=0,"",IF(ISNA(計算結果!I832),"",計算結果!I832))</f>
        <v/>
      </c>
      <c r="J832" s="12" t="str">
        <f>IF(IF(ISNA(計算結果!J832),"",計算結果!J832)=0,"",IF(ISNA(計算結果!J832),"",計算結果!J832))</f>
        <v/>
      </c>
      <c r="K832" s="23" t="str">
        <f>IF(IF(ISNA(計算結果!K832),"",計算結果!K832)=0,"",IF(ISNA(計算結果!K832),"",計算結果!K832))</f>
        <v/>
      </c>
      <c r="L832" s="13" t="str">
        <f>IF(IF(ISNA(計算結果!L832),"",計算結果!L832)=0,"",IF(ISNA(計算結果!L832),"",計算結果!L832))</f>
        <v/>
      </c>
      <c r="M832" s="10" t="str">
        <f>IF(IF(ISNA(計算結果!M832),"",計算結果!M832)=0,"",IF(ISNA(計算結果!M832),"",計算結果!M832))</f>
        <v/>
      </c>
      <c r="N832" s="10" t="str">
        <f>IF(IF(ISNA(計算結果!N832),"",計算結果!N832)=0,"",IF(ISNA(計算結果!N832),"",計算結果!N832))</f>
        <v/>
      </c>
      <c r="O832" s="13" t="str">
        <f>IF(IF(ISNA(計算結果!O832),"",計算結果!O832)=0,"",IF(ISNA(計算結果!O832),"",計算結果!O832))</f>
        <v/>
      </c>
      <c r="P832" s="10" t="str">
        <f>IF(IF(ISNA(計算結果!P832),"",計算結果!P832)=0,"",IF(ISNA(計算結果!P832),"",計算結果!P832))</f>
        <v/>
      </c>
      <c r="Q832" s="10" t="str">
        <f>IF(IF(ISNA(計算結果!Q832),"",計算結果!Q832)=0,"",IF(ISNA(計算結果!Q832),"",計算結果!Q832))</f>
        <v/>
      </c>
      <c r="R832" s="14" t="str">
        <f t="shared" si="36"/>
        <v/>
      </c>
      <c r="S832" s="14" t="str">
        <f t="shared" si="37"/>
        <v>◯</v>
      </c>
      <c r="T832" s="14" t="str">
        <f t="shared" si="38"/>
        <v/>
      </c>
    </row>
    <row r="833" spans="1:20" hidden="1" x14ac:dyDescent="0.45">
      <c r="A833" s="10" t="str">
        <f>IF(IF(ISNA(計算結果!A833),"",計算結果!A833)=0,"",IF(ISNA(計算結果!A833),"",計算結果!A833))</f>
        <v/>
      </c>
      <c r="B833" s="10" t="str">
        <f>IF(IF(ISNA(計算結果!B833),"",計算結果!B833)=0,"",IF(ISNA(計算結果!B833),"",計算結果!B833))</f>
        <v/>
      </c>
      <c r="C833" s="10" t="str">
        <f>IF(IF(ISNA(計算結果!C833),"",計算結果!C833)=0,"",IF(ISNA(計算結果!C833),"",計算結果!C833))</f>
        <v/>
      </c>
      <c r="D833" s="10" t="str">
        <f>IF(IF(ISNA(計算結果!D833),"",計算結果!D833)=0,"",IF(ISNA(計算結果!D833),"",計算結果!D833))</f>
        <v>L</v>
      </c>
      <c r="E833" s="10" t="str">
        <f>IF(IF(ISNA(計算結果!E833),"",計算結果!E833)=0,"",IF(ISNA(計算結果!E833),"",計算結果!E833))</f>
        <v/>
      </c>
      <c r="F833" s="10" t="str">
        <f>IF(IF(ISNA(計算結果!F833),"",計算結果!F833)=0,"",IF(ISNA(計算結果!F833),"",計算結果!F833))</f>
        <v/>
      </c>
      <c r="G833" s="10" t="str">
        <f>IF(IF(ISNA(計算結果!G833),"",計算結果!G833)=0,"",IF(ISNA(計算結果!G833),"",計算結果!G833))</f>
        <v/>
      </c>
      <c r="H833" s="13">
        <f>IF(IF(ISNA(計算結果!H833),"",計算結果!H833)=0,"",IF(ISNA(計算結果!H833),"",計算結果!H833))</f>
        <v>-2</v>
      </c>
      <c r="I833" s="12" t="str">
        <f>IF(IF(ISNA(計算結果!I833),"",計算結果!I833)=0,"",IF(ISNA(計算結果!I833),"",計算結果!I833))</f>
        <v/>
      </c>
      <c r="J833" s="12" t="str">
        <f>IF(IF(ISNA(計算結果!J833),"",計算結果!J833)=0,"",IF(ISNA(計算結果!J833),"",計算結果!J833))</f>
        <v/>
      </c>
      <c r="K833" s="23" t="str">
        <f>IF(IF(ISNA(計算結果!K833),"",計算結果!K833)=0,"",IF(ISNA(計算結果!K833),"",計算結果!K833))</f>
        <v/>
      </c>
      <c r="L833" s="13" t="str">
        <f>IF(IF(ISNA(計算結果!L833),"",計算結果!L833)=0,"",IF(ISNA(計算結果!L833),"",計算結果!L833))</f>
        <v/>
      </c>
      <c r="M833" s="10" t="str">
        <f>IF(IF(ISNA(計算結果!M833),"",計算結果!M833)=0,"",IF(ISNA(計算結果!M833),"",計算結果!M833))</f>
        <v/>
      </c>
      <c r="N833" s="10" t="str">
        <f>IF(IF(ISNA(計算結果!N833),"",計算結果!N833)=0,"",IF(ISNA(計算結果!N833),"",計算結果!N833))</f>
        <v/>
      </c>
      <c r="O833" s="13" t="str">
        <f>IF(IF(ISNA(計算結果!O833),"",計算結果!O833)=0,"",IF(ISNA(計算結果!O833),"",計算結果!O833))</f>
        <v/>
      </c>
      <c r="P833" s="10" t="str">
        <f>IF(IF(ISNA(計算結果!P833),"",計算結果!P833)=0,"",IF(ISNA(計算結果!P833),"",計算結果!P833))</f>
        <v/>
      </c>
      <c r="Q833" s="10" t="str">
        <f>IF(IF(ISNA(計算結果!Q833),"",計算結果!Q833)=0,"",IF(ISNA(計算結果!Q833),"",計算結果!Q833))</f>
        <v/>
      </c>
      <c r="R833" s="14" t="str">
        <f t="shared" si="36"/>
        <v/>
      </c>
      <c r="S833" s="14" t="str">
        <f t="shared" si="37"/>
        <v>◯</v>
      </c>
      <c r="T833" s="14" t="str">
        <f t="shared" si="38"/>
        <v/>
      </c>
    </row>
    <row r="834" spans="1:20" hidden="1" x14ac:dyDescent="0.45">
      <c r="A834" s="10" t="str">
        <f>IF(IF(ISNA(計算結果!A834),"",計算結果!A834)=0,"",IF(ISNA(計算結果!A834),"",計算結果!A834))</f>
        <v/>
      </c>
      <c r="B834" s="10" t="str">
        <f>IF(IF(ISNA(計算結果!B834),"",計算結果!B834)=0,"",IF(ISNA(計算結果!B834),"",計算結果!B834))</f>
        <v/>
      </c>
      <c r="C834" s="10" t="str">
        <f>IF(IF(ISNA(計算結果!C834),"",計算結果!C834)=0,"",IF(ISNA(計算結果!C834),"",計算結果!C834))</f>
        <v/>
      </c>
      <c r="D834" s="10" t="str">
        <f>IF(IF(ISNA(計算結果!D834),"",計算結果!D834)=0,"",IF(ISNA(計算結果!D834),"",計算結果!D834))</f>
        <v>L</v>
      </c>
      <c r="E834" s="10" t="str">
        <f>IF(IF(ISNA(計算結果!E834),"",計算結果!E834)=0,"",IF(ISNA(計算結果!E834),"",計算結果!E834))</f>
        <v/>
      </c>
      <c r="F834" s="10" t="str">
        <f>IF(IF(ISNA(計算結果!F834),"",計算結果!F834)=0,"",IF(ISNA(計算結果!F834),"",計算結果!F834))</f>
        <v/>
      </c>
      <c r="G834" s="10" t="str">
        <f>IF(IF(ISNA(計算結果!G834),"",計算結果!G834)=0,"",IF(ISNA(計算結果!G834),"",計算結果!G834))</f>
        <v/>
      </c>
      <c r="H834" s="13">
        <f>IF(IF(ISNA(計算結果!H834),"",計算結果!H834)=0,"",IF(ISNA(計算結果!H834),"",計算結果!H834))</f>
        <v>-2</v>
      </c>
      <c r="I834" s="12" t="str">
        <f>IF(IF(ISNA(計算結果!I834),"",計算結果!I834)=0,"",IF(ISNA(計算結果!I834),"",計算結果!I834))</f>
        <v/>
      </c>
      <c r="J834" s="12" t="str">
        <f>IF(IF(ISNA(計算結果!J834),"",計算結果!J834)=0,"",IF(ISNA(計算結果!J834),"",計算結果!J834))</f>
        <v/>
      </c>
      <c r="K834" s="23" t="str">
        <f>IF(IF(ISNA(計算結果!K834),"",計算結果!K834)=0,"",IF(ISNA(計算結果!K834),"",計算結果!K834))</f>
        <v/>
      </c>
      <c r="L834" s="13" t="str">
        <f>IF(IF(ISNA(計算結果!L834),"",計算結果!L834)=0,"",IF(ISNA(計算結果!L834),"",計算結果!L834))</f>
        <v/>
      </c>
      <c r="M834" s="10" t="str">
        <f>IF(IF(ISNA(計算結果!M834),"",計算結果!M834)=0,"",IF(ISNA(計算結果!M834),"",計算結果!M834))</f>
        <v/>
      </c>
      <c r="N834" s="10" t="str">
        <f>IF(IF(ISNA(計算結果!N834),"",計算結果!N834)=0,"",IF(ISNA(計算結果!N834),"",計算結果!N834))</f>
        <v/>
      </c>
      <c r="O834" s="13" t="str">
        <f>IF(IF(ISNA(計算結果!O834),"",計算結果!O834)=0,"",IF(ISNA(計算結果!O834),"",計算結果!O834))</f>
        <v/>
      </c>
      <c r="P834" s="10" t="str">
        <f>IF(IF(ISNA(計算結果!P834),"",計算結果!P834)=0,"",IF(ISNA(計算結果!P834),"",計算結果!P834))</f>
        <v/>
      </c>
      <c r="Q834" s="10" t="str">
        <f>IF(IF(ISNA(計算結果!Q834),"",計算結果!Q834)=0,"",IF(ISNA(計算結果!Q834),"",計算結果!Q834))</f>
        <v/>
      </c>
      <c r="R834" s="14" t="str">
        <f t="shared" si="36"/>
        <v/>
      </c>
      <c r="S834" s="14" t="str">
        <f t="shared" si="37"/>
        <v>◯</v>
      </c>
      <c r="T834" s="14" t="str">
        <f t="shared" si="38"/>
        <v/>
      </c>
    </row>
    <row r="835" spans="1:20" hidden="1" x14ac:dyDescent="0.45">
      <c r="A835" s="10" t="str">
        <f>IF(IF(ISNA(計算結果!A835),"",計算結果!A835)=0,"",IF(ISNA(計算結果!A835),"",計算結果!A835))</f>
        <v/>
      </c>
      <c r="B835" s="10" t="str">
        <f>IF(IF(ISNA(計算結果!B835),"",計算結果!B835)=0,"",IF(ISNA(計算結果!B835),"",計算結果!B835))</f>
        <v/>
      </c>
      <c r="C835" s="10" t="str">
        <f>IF(IF(ISNA(計算結果!C835),"",計算結果!C835)=0,"",IF(ISNA(計算結果!C835),"",計算結果!C835))</f>
        <v/>
      </c>
      <c r="D835" s="10" t="str">
        <f>IF(IF(ISNA(計算結果!D835),"",計算結果!D835)=0,"",IF(ISNA(計算結果!D835),"",計算結果!D835))</f>
        <v>L</v>
      </c>
      <c r="E835" s="10" t="str">
        <f>IF(IF(ISNA(計算結果!E835),"",計算結果!E835)=0,"",IF(ISNA(計算結果!E835),"",計算結果!E835))</f>
        <v/>
      </c>
      <c r="F835" s="10" t="str">
        <f>IF(IF(ISNA(計算結果!F835),"",計算結果!F835)=0,"",IF(ISNA(計算結果!F835),"",計算結果!F835))</f>
        <v/>
      </c>
      <c r="G835" s="10" t="str">
        <f>IF(IF(ISNA(計算結果!G835),"",計算結果!G835)=0,"",IF(ISNA(計算結果!G835),"",計算結果!G835))</f>
        <v/>
      </c>
      <c r="H835" s="13">
        <f>IF(IF(ISNA(計算結果!H835),"",計算結果!H835)=0,"",IF(ISNA(計算結果!H835),"",計算結果!H835))</f>
        <v>-2</v>
      </c>
      <c r="I835" s="12" t="str">
        <f>IF(IF(ISNA(計算結果!I835),"",計算結果!I835)=0,"",IF(ISNA(計算結果!I835),"",計算結果!I835))</f>
        <v/>
      </c>
      <c r="J835" s="12" t="str">
        <f>IF(IF(ISNA(計算結果!J835),"",計算結果!J835)=0,"",IF(ISNA(計算結果!J835),"",計算結果!J835))</f>
        <v/>
      </c>
      <c r="K835" s="23" t="str">
        <f>IF(IF(ISNA(計算結果!K835),"",計算結果!K835)=0,"",IF(ISNA(計算結果!K835),"",計算結果!K835))</f>
        <v/>
      </c>
      <c r="L835" s="13" t="str">
        <f>IF(IF(ISNA(計算結果!L835),"",計算結果!L835)=0,"",IF(ISNA(計算結果!L835),"",計算結果!L835))</f>
        <v/>
      </c>
      <c r="M835" s="10" t="str">
        <f>IF(IF(ISNA(計算結果!M835),"",計算結果!M835)=0,"",IF(ISNA(計算結果!M835),"",計算結果!M835))</f>
        <v/>
      </c>
      <c r="N835" s="10" t="str">
        <f>IF(IF(ISNA(計算結果!N835),"",計算結果!N835)=0,"",IF(ISNA(計算結果!N835),"",計算結果!N835))</f>
        <v/>
      </c>
      <c r="O835" s="13" t="str">
        <f>IF(IF(ISNA(計算結果!O835),"",計算結果!O835)=0,"",IF(ISNA(計算結果!O835),"",計算結果!O835))</f>
        <v/>
      </c>
      <c r="P835" s="10" t="str">
        <f>IF(IF(ISNA(計算結果!P835),"",計算結果!P835)=0,"",IF(ISNA(計算結果!P835),"",計算結果!P835))</f>
        <v/>
      </c>
      <c r="Q835" s="10" t="str">
        <f>IF(IF(ISNA(計算結果!Q835),"",計算結果!Q835)=0,"",IF(ISNA(計算結果!Q835),"",計算結果!Q835))</f>
        <v/>
      </c>
      <c r="R835" s="14" t="str">
        <f t="shared" ref="R835:R898" si="39">IF(AND(M835&lt;&gt;"",M835=N835),"◯","")</f>
        <v/>
      </c>
      <c r="S835" s="14" t="str">
        <f t="shared" ref="S835:S898" si="40">IF(M835="","◯","")</f>
        <v>◯</v>
      </c>
      <c r="T835" s="14" t="str">
        <f t="shared" ref="T835:T898" si="41">IF(AND(P835&lt;&gt;"",P835&lt;&gt;Q835),"◯","")</f>
        <v/>
      </c>
    </row>
    <row r="836" spans="1:20" hidden="1" x14ac:dyDescent="0.45">
      <c r="A836" s="10" t="str">
        <f>IF(IF(ISNA(計算結果!A836),"",計算結果!A836)=0,"",IF(ISNA(計算結果!A836),"",計算結果!A836))</f>
        <v/>
      </c>
      <c r="B836" s="10" t="str">
        <f>IF(IF(ISNA(計算結果!B836),"",計算結果!B836)=0,"",IF(ISNA(計算結果!B836),"",計算結果!B836))</f>
        <v/>
      </c>
      <c r="C836" s="10" t="str">
        <f>IF(IF(ISNA(計算結果!C836),"",計算結果!C836)=0,"",IF(ISNA(計算結果!C836),"",計算結果!C836))</f>
        <v/>
      </c>
      <c r="D836" s="10" t="str">
        <f>IF(IF(ISNA(計算結果!D836),"",計算結果!D836)=0,"",IF(ISNA(計算結果!D836),"",計算結果!D836))</f>
        <v>L</v>
      </c>
      <c r="E836" s="10" t="str">
        <f>IF(IF(ISNA(計算結果!E836),"",計算結果!E836)=0,"",IF(ISNA(計算結果!E836),"",計算結果!E836))</f>
        <v/>
      </c>
      <c r="F836" s="10" t="str">
        <f>IF(IF(ISNA(計算結果!F836),"",計算結果!F836)=0,"",IF(ISNA(計算結果!F836),"",計算結果!F836))</f>
        <v/>
      </c>
      <c r="G836" s="10" t="str">
        <f>IF(IF(ISNA(計算結果!G836),"",計算結果!G836)=0,"",IF(ISNA(計算結果!G836),"",計算結果!G836))</f>
        <v/>
      </c>
      <c r="H836" s="13">
        <f>IF(IF(ISNA(計算結果!H836),"",計算結果!H836)=0,"",IF(ISNA(計算結果!H836),"",計算結果!H836))</f>
        <v>-2</v>
      </c>
      <c r="I836" s="12" t="str">
        <f>IF(IF(ISNA(計算結果!I836),"",計算結果!I836)=0,"",IF(ISNA(計算結果!I836),"",計算結果!I836))</f>
        <v/>
      </c>
      <c r="J836" s="12" t="str">
        <f>IF(IF(ISNA(計算結果!J836),"",計算結果!J836)=0,"",IF(ISNA(計算結果!J836),"",計算結果!J836))</f>
        <v/>
      </c>
      <c r="K836" s="23" t="str">
        <f>IF(IF(ISNA(計算結果!K836),"",計算結果!K836)=0,"",IF(ISNA(計算結果!K836),"",計算結果!K836))</f>
        <v/>
      </c>
      <c r="L836" s="13" t="str">
        <f>IF(IF(ISNA(計算結果!L836),"",計算結果!L836)=0,"",IF(ISNA(計算結果!L836),"",計算結果!L836))</f>
        <v/>
      </c>
      <c r="M836" s="10" t="str">
        <f>IF(IF(ISNA(計算結果!M836),"",計算結果!M836)=0,"",IF(ISNA(計算結果!M836),"",計算結果!M836))</f>
        <v/>
      </c>
      <c r="N836" s="10" t="str">
        <f>IF(IF(ISNA(計算結果!N836),"",計算結果!N836)=0,"",IF(ISNA(計算結果!N836),"",計算結果!N836))</f>
        <v/>
      </c>
      <c r="O836" s="13" t="str">
        <f>IF(IF(ISNA(計算結果!O836),"",計算結果!O836)=0,"",IF(ISNA(計算結果!O836),"",計算結果!O836))</f>
        <v/>
      </c>
      <c r="P836" s="10" t="str">
        <f>IF(IF(ISNA(計算結果!P836),"",計算結果!P836)=0,"",IF(ISNA(計算結果!P836),"",計算結果!P836))</f>
        <v/>
      </c>
      <c r="Q836" s="10" t="str">
        <f>IF(IF(ISNA(計算結果!Q836),"",計算結果!Q836)=0,"",IF(ISNA(計算結果!Q836),"",計算結果!Q836))</f>
        <v/>
      </c>
      <c r="R836" s="14" t="str">
        <f t="shared" si="39"/>
        <v/>
      </c>
      <c r="S836" s="14" t="str">
        <f t="shared" si="40"/>
        <v>◯</v>
      </c>
      <c r="T836" s="14" t="str">
        <f t="shared" si="41"/>
        <v/>
      </c>
    </row>
    <row r="837" spans="1:20" hidden="1" x14ac:dyDescent="0.45">
      <c r="A837" s="10" t="str">
        <f>IF(IF(ISNA(計算結果!A837),"",計算結果!A837)=0,"",IF(ISNA(計算結果!A837),"",計算結果!A837))</f>
        <v/>
      </c>
      <c r="B837" s="10" t="str">
        <f>IF(IF(ISNA(計算結果!B837),"",計算結果!B837)=0,"",IF(ISNA(計算結果!B837),"",計算結果!B837))</f>
        <v/>
      </c>
      <c r="C837" s="10" t="str">
        <f>IF(IF(ISNA(計算結果!C837),"",計算結果!C837)=0,"",IF(ISNA(計算結果!C837),"",計算結果!C837))</f>
        <v/>
      </c>
      <c r="D837" s="10" t="str">
        <f>IF(IF(ISNA(計算結果!D837),"",計算結果!D837)=0,"",IF(ISNA(計算結果!D837),"",計算結果!D837))</f>
        <v>L</v>
      </c>
      <c r="E837" s="10" t="str">
        <f>IF(IF(ISNA(計算結果!E837),"",計算結果!E837)=0,"",IF(ISNA(計算結果!E837),"",計算結果!E837))</f>
        <v/>
      </c>
      <c r="F837" s="10" t="str">
        <f>IF(IF(ISNA(計算結果!F837),"",計算結果!F837)=0,"",IF(ISNA(計算結果!F837),"",計算結果!F837))</f>
        <v/>
      </c>
      <c r="G837" s="10" t="str">
        <f>IF(IF(ISNA(計算結果!G837),"",計算結果!G837)=0,"",IF(ISNA(計算結果!G837),"",計算結果!G837))</f>
        <v/>
      </c>
      <c r="H837" s="13">
        <f>IF(IF(ISNA(計算結果!H837),"",計算結果!H837)=0,"",IF(ISNA(計算結果!H837),"",計算結果!H837))</f>
        <v>-2</v>
      </c>
      <c r="I837" s="12" t="str">
        <f>IF(IF(ISNA(計算結果!I837),"",計算結果!I837)=0,"",IF(ISNA(計算結果!I837),"",計算結果!I837))</f>
        <v/>
      </c>
      <c r="J837" s="12" t="str">
        <f>IF(IF(ISNA(計算結果!J837),"",計算結果!J837)=0,"",IF(ISNA(計算結果!J837),"",計算結果!J837))</f>
        <v/>
      </c>
      <c r="K837" s="23" t="str">
        <f>IF(IF(ISNA(計算結果!K837),"",計算結果!K837)=0,"",IF(ISNA(計算結果!K837),"",計算結果!K837))</f>
        <v/>
      </c>
      <c r="L837" s="13" t="str">
        <f>IF(IF(ISNA(計算結果!L837),"",計算結果!L837)=0,"",IF(ISNA(計算結果!L837),"",計算結果!L837))</f>
        <v/>
      </c>
      <c r="M837" s="10" t="str">
        <f>IF(IF(ISNA(計算結果!M837),"",計算結果!M837)=0,"",IF(ISNA(計算結果!M837),"",計算結果!M837))</f>
        <v/>
      </c>
      <c r="N837" s="10" t="str">
        <f>IF(IF(ISNA(計算結果!N837),"",計算結果!N837)=0,"",IF(ISNA(計算結果!N837),"",計算結果!N837))</f>
        <v/>
      </c>
      <c r="O837" s="13" t="str">
        <f>IF(IF(ISNA(計算結果!O837),"",計算結果!O837)=0,"",IF(ISNA(計算結果!O837),"",計算結果!O837))</f>
        <v/>
      </c>
      <c r="P837" s="10" t="str">
        <f>IF(IF(ISNA(計算結果!P837),"",計算結果!P837)=0,"",IF(ISNA(計算結果!P837),"",計算結果!P837))</f>
        <v/>
      </c>
      <c r="Q837" s="10" t="str">
        <f>IF(IF(ISNA(計算結果!Q837),"",計算結果!Q837)=0,"",IF(ISNA(計算結果!Q837),"",計算結果!Q837))</f>
        <v/>
      </c>
      <c r="R837" s="14" t="str">
        <f t="shared" si="39"/>
        <v/>
      </c>
      <c r="S837" s="14" t="str">
        <f t="shared" si="40"/>
        <v>◯</v>
      </c>
      <c r="T837" s="14" t="str">
        <f t="shared" si="41"/>
        <v/>
      </c>
    </row>
    <row r="838" spans="1:20" hidden="1" x14ac:dyDescent="0.45">
      <c r="A838" s="10" t="str">
        <f>IF(IF(ISNA(計算結果!A838),"",計算結果!A838)=0,"",IF(ISNA(計算結果!A838),"",計算結果!A838))</f>
        <v/>
      </c>
      <c r="B838" s="10" t="str">
        <f>IF(IF(ISNA(計算結果!B838),"",計算結果!B838)=0,"",IF(ISNA(計算結果!B838),"",計算結果!B838))</f>
        <v/>
      </c>
      <c r="C838" s="10" t="str">
        <f>IF(IF(ISNA(計算結果!C838),"",計算結果!C838)=0,"",IF(ISNA(計算結果!C838),"",計算結果!C838))</f>
        <v/>
      </c>
      <c r="D838" s="10" t="str">
        <f>IF(IF(ISNA(計算結果!D838),"",計算結果!D838)=0,"",IF(ISNA(計算結果!D838),"",計算結果!D838))</f>
        <v>L</v>
      </c>
      <c r="E838" s="10" t="str">
        <f>IF(IF(ISNA(計算結果!E838),"",計算結果!E838)=0,"",IF(ISNA(計算結果!E838),"",計算結果!E838))</f>
        <v/>
      </c>
      <c r="F838" s="10" t="str">
        <f>IF(IF(ISNA(計算結果!F838),"",計算結果!F838)=0,"",IF(ISNA(計算結果!F838),"",計算結果!F838))</f>
        <v/>
      </c>
      <c r="G838" s="10" t="str">
        <f>IF(IF(ISNA(計算結果!G838),"",計算結果!G838)=0,"",IF(ISNA(計算結果!G838),"",計算結果!G838))</f>
        <v/>
      </c>
      <c r="H838" s="13">
        <f>IF(IF(ISNA(計算結果!H838),"",計算結果!H838)=0,"",IF(ISNA(計算結果!H838),"",計算結果!H838))</f>
        <v>-2</v>
      </c>
      <c r="I838" s="12" t="str">
        <f>IF(IF(ISNA(計算結果!I838),"",計算結果!I838)=0,"",IF(ISNA(計算結果!I838),"",計算結果!I838))</f>
        <v/>
      </c>
      <c r="J838" s="12" t="str">
        <f>IF(IF(ISNA(計算結果!J838),"",計算結果!J838)=0,"",IF(ISNA(計算結果!J838),"",計算結果!J838))</f>
        <v/>
      </c>
      <c r="K838" s="23" t="str">
        <f>IF(IF(ISNA(計算結果!K838),"",計算結果!K838)=0,"",IF(ISNA(計算結果!K838),"",計算結果!K838))</f>
        <v/>
      </c>
      <c r="L838" s="13" t="str">
        <f>IF(IF(ISNA(計算結果!L838),"",計算結果!L838)=0,"",IF(ISNA(計算結果!L838),"",計算結果!L838))</f>
        <v/>
      </c>
      <c r="M838" s="10" t="str">
        <f>IF(IF(ISNA(計算結果!M838),"",計算結果!M838)=0,"",IF(ISNA(計算結果!M838),"",計算結果!M838))</f>
        <v/>
      </c>
      <c r="N838" s="10" t="str">
        <f>IF(IF(ISNA(計算結果!N838),"",計算結果!N838)=0,"",IF(ISNA(計算結果!N838),"",計算結果!N838))</f>
        <v/>
      </c>
      <c r="O838" s="13" t="str">
        <f>IF(IF(ISNA(計算結果!O838),"",計算結果!O838)=0,"",IF(ISNA(計算結果!O838),"",計算結果!O838))</f>
        <v/>
      </c>
      <c r="P838" s="10" t="str">
        <f>IF(IF(ISNA(計算結果!P838),"",計算結果!P838)=0,"",IF(ISNA(計算結果!P838),"",計算結果!P838))</f>
        <v/>
      </c>
      <c r="Q838" s="10" t="str">
        <f>IF(IF(ISNA(計算結果!Q838),"",計算結果!Q838)=0,"",IF(ISNA(計算結果!Q838),"",計算結果!Q838))</f>
        <v/>
      </c>
      <c r="R838" s="14" t="str">
        <f t="shared" si="39"/>
        <v/>
      </c>
      <c r="S838" s="14" t="str">
        <f t="shared" si="40"/>
        <v>◯</v>
      </c>
      <c r="T838" s="14" t="str">
        <f t="shared" si="41"/>
        <v/>
      </c>
    </row>
    <row r="839" spans="1:20" hidden="1" x14ac:dyDescent="0.45">
      <c r="A839" s="10" t="str">
        <f>IF(IF(ISNA(計算結果!A839),"",計算結果!A839)=0,"",IF(ISNA(計算結果!A839),"",計算結果!A839))</f>
        <v/>
      </c>
      <c r="B839" s="10" t="str">
        <f>IF(IF(ISNA(計算結果!B839),"",計算結果!B839)=0,"",IF(ISNA(計算結果!B839),"",計算結果!B839))</f>
        <v/>
      </c>
      <c r="C839" s="10" t="str">
        <f>IF(IF(ISNA(計算結果!C839),"",計算結果!C839)=0,"",IF(ISNA(計算結果!C839),"",計算結果!C839))</f>
        <v/>
      </c>
      <c r="D839" s="10" t="str">
        <f>IF(IF(ISNA(計算結果!D839),"",計算結果!D839)=0,"",IF(ISNA(計算結果!D839),"",計算結果!D839))</f>
        <v>L</v>
      </c>
      <c r="E839" s="10" t="str">
        <f>IF(IF(ISNA(計算結果!E839),"",計算結果!E839)=0,"",IF(ISNA(計算結果!E839),"",計算結果!E839))</f>
        <v/>
      </c>
      <c r="F839" s="10" t="str">
        <f>IF(IF(ISNA(計算結果!F839),"",計算結果!F839)=0,"",IF(ISNA(計算結果!F839),"",計算結果!F839))</f>
        <v/>
      </c>
      <c r="G839" s="10" t="str">
        <f>IF(IF(ISNA(計算結果!G839),"",計算結果!G839)=0,"",IF(ISNA(計算結果!G839),"",計算結果!G839))</f>
        <v/>
      </c>
      <c r="H839" s="13">
        <f>IF(IF(ISNA(計算結果!H839),"",計算結果!H839)=0,"",IF(ISNA(計算結果!H839),"",計算結果!H839))</f>
        <v>-2</v>
      </c>
      <c r="I839" s="12" t="str">
        <f>IF(IF(ISNA(計算結果!I839),"",計算結果!I839)=0,"",IF(ISNA(計算結果!I839),"",計算結果!I839))</f>
        <v/>
      </c>
      <c r="J839" s="12" t="str">
        <f>IF(IF(ISNA(計算結果!J839),"",計算結果!J839)=0,"",IF(ISNA(計算結果!J839),"",計算結果!J839))</f>
        <v/>
      </c>
      <c r="K839" s="23" t="str">
        <f>IF(IF(ISNA(計算結果!K839),"",計算結果!K839)=0,"",IF(ISNA(計算結果!K839),"",計算結果!K839))</f>
        <v/>
      </c>
      <c r="L839" s="13" t="str">
        <f>IF(IF(ISNA(計算結果!L839),"",計算結果!L839)=0,"",IF(ISNA(計算結果!L839),"",計算結果!L839))</f>
        <v/>
      </c>
      <c r="M839" s="10" t="str">
        <f>IF(IF(ISNA(計算結果!M839),"",計算結果!M839)=0,"",IF(ISNA(計算結果!M839),"",計算結果!M839))</f>
        <v/>
      </c>
      <c r="N839" s="10" t="str">
        <f>IF(IF(ISNA(計算結果!N839),"",計算結果!N839)=0,"",IF(ISNA(計算結果!N839),"",計算結果!N839))</f>
        <v/>
      </c>
      <c r="O839" s="13" t="str">
        <f>IF(IF(ISNA(計算結果!O839),"",計算結果!O839)=0,"",IF(ISNA(計算結果!O839),"",計算結果!O839))</f>
        <v/>
      </c>
      <c r="P839" s="10" t="str">
        <f>IF(IF(ISNA(計算結果!P839),"",計算結果!P839)=0,"",IF(ISNA(計算結果!P839),"",計算結果!P839))</f>
        <v/>
      </c>
      <c r="Q839" s="10" t="str">
        <f>IF(IF(ISNA(計算結果!Q839),"",計算結果!Q839)=0,"",IF(ISNA(計算結果!Q839),"",計算結果!Q839))</f>
        <v/>
      </c>
      <c r="R839" s="14" t="str">
        <f t="shared" si="39"/>
        <v/>
      </c>
      <c r="S839" s="14" t="str">
        <f t="shared" si="40"/>
        <v>◯</v>
      </c>
      <c r="T839" s="14" t="str">
        <f t="shared" si="41"/>
        <v/>
      </c>
    </row>
    <row r="840" spans="1:20" hidden="1" x14ac:dyDescent="0.45">
      <c r="A840" s="10" t="str">
        <f>IF(IF(ISNA(計算結果!A840),"",計算結果!A840)=0,"",IF(ISNA(計算結果!A840),"",計算結果!A840))</f>
        <v/>
      </c>
      <c r="B840" s="10" t="str">
        <f>IF(IF(ISNA(計算結果!B840),"",計算結果!B840)=0,"",IF(ISNA(計算結果!B840),"",計算結果!B840))</f>
        <v/>
      </c>
      <c r="C840" s="10" t="str">
        <f>IF(IF(ISNA(計算結果!C840),"",計算結果!C840)=0,"",IF(ISNA(計算結果!C840),"",計算結果!C840))</f>
        <v/>
      </c>
      <c r="D840" s="10" t="str">
        <f>IF(IF(ISNA(計算結果!D840),"",計算結果!D840)=0,"",IF(ISNA(計算結果!D840),"",計算結果!D840))</f>
        <v>L</v>
      </c>
      <c r="E840" s="10" t="str">
        <f>IF(IF(ISNA(計算結果!E840),"",計算結果!E840)=0,"",IF(ISNA(計算結果!E840),"",計算結果!E840))</f>
        <v/>
      </c>
      <c r="F840" s="10" t="str">
        <f>IF(IF(ISNA(計算結果!F840),"",計算結果!F840)=0,"",IF(ISNA(計算結果!F840),"",計算結果!F840))</f>
        <v/>
      </c>
      <c r="G840" s="10" t="str">
        <f>IF(IF(ISNA(計算結果!G840),"",計算結果!G840)=0,"",IF(ISNA(計算結果!G840),"",計算結果!G840))</f>
        <v/>
      </c>
      <c r="H840" s="13">
        <f>IF(IF(ISNA(計算結果!H840),"",計算結果!H840)=0,"",IF(ISNA(計算結果!H840),"",計算結果!H840))</f>
        <v>-2</v>
      </c>
      <c r="I840" s="12" t="str">
        <f>IF(IF(ISNA(計算結果!I840),"",計算結果!I840)=0,"",IF(ISNA(計算結果!I840),"",計算結果!I840))</f>
        <v/>
      </c>
      <c r="J840" s="12" t="str">
        <f>IF(IF(ISNA(計算結果!J840),"",計算結果!J840)=0,"",IF(ISNA(計算結果!J840),"",計算結果!J840))</f>
        <v/>
      </c>
      <c r="K840" s="23" t="str">
        <f>IF(IF(ISNA(計算結果!K840),"",計算結果!K840)=0,"",IF(ISNA(計算結果!K840),"",計算結果!K840))</f>
        <v/>
      </c>
      <c r="L840" s="13" t="str">
        <f>IF(IF(ISNA(計算結果!L840),"",計算結果!L840)=0,"",IF(ISNA(計算結果!L840),"",計算結果!L840))</f>
        <v/>
      </c>
      <c r="M840" s="10" t="str">
        <f>IF(IF(ISNA(計算結果!M840),"",計算結果!M840)=0,"",IF(ISNA(計算結果!M840),"",計算結果!M840))</f>
        <v/>
      </c>
      <c r="N840" s="10" t="str">
        <f>IF(IF(ISNA(計算結果!N840),"",計算結果!N840)=0,"",IF(ISNA(計算結果!N840),"",計算結果!N840))</f>
        <v/>
      </c>
      <c r="O840" s="13" t="str">
        <f>IF(IF(ISNA(計算結果!O840),"",計算結果!O840)=0,"",IF(ISNA(計算結果!O840),"",計算結果!O840))</f>
        <v/>
      </c>
      <c r="P840" s="10" t="str">
        <f>IF(IF(ISNA(計算結果!P840),"",計算結果!P840)=0,"",IF(ISNA(計算結果!P840),"",計算結果!P840))</f>
        <v/>
      </c>
      <c r="Q840" s="10" t="str">
        <f>IF(IF(ISNA(計算結果!Q840),"",計算結果!Q840)=0,"",IF(ISNA(計算結果!Q840),"",計算結果!Q840))</f>
        <v/>
      </c>
      <c r="R840" s="14" t="str">
        <f t="shared" si="39"/>
        <v/>
      </c>
      <c r="S840" s="14" t="str">
        <f t="shared" si="40"/>
        <v>◯</v>
      </c>
      <c r="T840" s="14" t="str">
        <f t="shared" si="41"/>
        <v/>
      </c>
    </row>
    <row r="841" spans="1:20" hidden="1" x14ac:dyDescent="0.45">
      <c r="A841" s="10" t="str">
        <f>IF(IF(ISNA(計算結果!A841),"",計算結果!A841)=0,"",IF(ISNA(計算結果!A841),"",計算結果!A841))</f>
        <v/>
      </c>
      <c r="B841" s="10" t="str">
        <f>IF(IF(ISNA(計算結果!B841),"",計算結果!B841)=0,"",IF(ISNA(計算結果!B841),"",計算結果!B841))</f>
        <v/>
      </c>
      <c r="C841" s="10" t="str">
        <f>IF(IF(ISNA(計算結果!C841),"",計算結果!C841)=0,"",IF(ISNA(計算結果!C841),"",計算結果!C841))</f>
        <v/>
      </c>
      <c r="D841" s="10" t="str">
        <f>IF(IF(ISNA(計算結果!D841),"",計算結果!D841)=0,"",IF(ISNA(計算結果!D841),"",計算結果!D841))</f>
        <v>L</v>
      </c>
      <c r="E841" s="10" t="str">
        <f>IF(IF(ISNA(計算結果!E841),"",計算結果!E841)=0,"",IF(ISNA(計算結果!E841),"",計算結果!E841))</f>
        <v/>
      </c>
      <c r="F841" s="10" t="str">
        <f>IF(IF(ISNA(計算結果!F841),"",計算結果!F841)=0,"",IF(ISNA(計算結果!F841),"",計算結果!F841))</f>
        <v/>
      </c>
      <c r="G841" s="10" t="str">
        <f>IF(IF(ISNA(計算結果!G841),"",計算結果!G841)=0,"",IF(ISNA(計算結果!G841),"",計算結果!G841))</f>
        <v/>
      </c>
      <c r="H841" s="13">
        <f>IF(IF(ISNA(計算結果!H841),"",計算結果!H841)=0,"",IF(ISNA(計算結果!H841),"",計算結果!H841))</f>
        <v>-2</v>
      </c>
      <c r="I841" s="12" t="str">
        <f>IF(IF(ISNA(計算結果!I841),"",計算結果!I841)=0,"",IF(ISNA(計算結果!I841),"",計算結果!I841))</f>
        <v/>
      </c>
      <c r="J841" s="12" t="str">
        <f>IF(IF(ISNA(計算結果!J841),"",計算結果!J841)=0,"",IF(ISNA(計算結果!J841),"",計算結果!J841))</f>
        <v/>
      </c>
      <c r="K841" s="23" t="str">
        <f>IF(IF(ISNA(計算結果!K841),"",計算結果!K841)=0,"",IF(ISNA(計算結果!K841),"",計算結果!K841))</f>
        <v/>
      </c>
      <c r="L841" s="13" t="str">
        <f>IF(IF(ISNA(計算結果!L841),"",計算結果!L841)=0,"",IF(ISNA(計算結果!L841),"",計算結果!L841))</f>
        <v/>
      </c>
      <c r="M841" s="10" t="str">
        <f>IF(IF(ISNA(計算結果!M841),"",計算結果!M841)=0,"",IF(ISNA(計算結果!M841),"",計算結果!M841))</f>
        <v/>
      </c>
      <c r="N841" s="10" t="str">
        <f>IF(IF(ISNA(計算結果!N841),"",計算結果!N841)=0,"",IF(ISNA(計算結果!N841),"",計算結果!N841))</f>
        <v/>
      </c>
      <c r="O841" s="13" t="str">
        <f>IF(IF(ISNA(計算結果!O841),"",計算結果!O841)=0,"",IF(ISNA(計算結果!O841),"",計算結果!O841))</f>
        <v/>
      </c>
      <c r="P841" s="10" t="str">
        <f>IF(IF(ISNA(計算結果!P841),"",計算結果!P841)=0,"",IF(ISNA(計算結果!P841),"",計算結果!P841))</f>
        <v/>
      </c>
      <c r="Q841" s="10" t="str">
        <f>IF(IF(ISNA(計算結果!Q841),"",計算結果!Q841)=0,"",IF(ISNA(計算結果!Q841),"",計算結果!Q841))</f>
        <v/>
      </c>
      <c r="R841" s="14" t="str">
        <f t="shared" si="39"/>
        <v/>
      </c>
      <c r="S841" s="14" t="str">
        <f t="shared" si="40"/>
        <v>◯</v>
      </c>
      <c r="T841" s="14" t="str">
        <f t="shared" si="41"/>
        <v/>
      </c>
    </row>
    <row r="842" spans="1:20" hidden="1" x14ac:dyDescent="0.45">
      <c r="A842" s="10" t="str">
        <f>IF(IF(ISNA(計算結果!A842),"",計算結果!A842)=0,"",IF(ISNA(計算結果!A842),"",計算結果!A842))</f>
        <v/>
      </c>
      <c r="B842" s="10" t="str">
        <f>IF(IF(ISNA(計算結果!B842),"",計算結果!B842)=0,"",IF(ISNA(計算結果!B842),"",計算結果!B842))</f>
        <v/>
      </c>
      <c r="C842" s="10" t="str">
        <f>IF(IF(ISNA(計算結果!C842),"",計算結果!C842)=0,"",IF(ISNA(計算結果!C842),"",計算結果!C842))</f>
        <v/>
      </c>
      <c r="D842" s="10" t="str">
        <f>IF(IF(ISNA(計算結果!D842),"",計算結果!D842)=0,"",IF(ISNA(計算結果!D842),"",計算結果!D842))</f>
        <v>L</v>
      </c>
      <c r="E842" s="10" t="str">
        <f>IF(IF(ISNA(計算結果!E842),"",計算結果!E842)=0,"",IF(ISNA(計算結果!E842),"",計算結果!E842))</f>
        <v/>
      </c>
      <c r="F842" s="10" t="str">
        <f>IF(IF(ISNA(計算結果!F842),"",計算結果!F842)=0,"",IF(ISNA(計算結果!F842),"",計算結果!F842))</f>
        <v/>
      </c>
      <c r="G842" s="10" t="str">
        <f>IF(IF(ISNA(計算結果!G842),"",計算結果!G842)=0,"",IF(ISNA(計算結果!G842),"",計算結果!G842))</f>
        <v/>
      </c>
      <c r="H842" s="13">
        <f>IF(IF(ISNA(計算結果!H842),"",計算結果!H842)=0,"",IF(ISNA(計算結果!H842),"",計算結果!H842))</f>
        <v>-2</v>
      </c>
      <c r="I842" s="12" t="str">
        <f>IF(IF(ISNA(計算結果!I842),"",計算結果!I842)=0,"",IF(ISNA(計算結果!I842),"",計算結果!I842))</f>
        <v/>
      </c>
      <c r="J842" s="12" t="str">
        <f>IF(IF(ISNA(計算結果!J842),"",計算結果!J842)=0,"",IF(ISNA(計算結果!J842),"",計算結果!J842))</f>
        <v/>
      </c>
      <c r="K842" s="23" t="str">
        <f>IF(IF(ISNA(計算結果!K842),"",計算結果!K842)=0,"",IF(ISNA(計算結果!K842),"",計算結果!K842))</f>
        <v/>
      </c>
      <c r="L842" s="13" t="str">
        <f>IF(IF(ISNA(計算結果!L842),"",計算結果!L842)=0,"",IF(ISNA(計算結果!L842),"",計算結果!L842))</f>
        <v/>
      </c>
      <c r="M842" s="10" t="str">
        <f>IF(IF(ISNA(計算結果!M842),"",計算結果!M842)=0,"",IF(ISNA(計算結果!M842),"",計算結果!M842))</f>
        <v/>
      </c>
      <c r="N842" s="10" t="str">
        <f>IF(IF(ISNA(計算結果!N842),"",計算結果!N842)=0,"",IF(ISNA(計算結果!N842),"",計算結果!N842))</f>
        <v/>
      </c>
      <c r="O842" s="13" t="str">
        <f>IF(IF(ISNA(計算結果!O842),"",計算結果!O842)=0,"",IF(ISNA(計算結果!O842),"",計算結果!O842))</f>
        <v/>
      </c>
      <c r="P842" s="10" t="str">
        <f>IF(IF(ISNA(計算結果!P842),"",計算結果!P842)=0,"",IF(ISNA(計算結果!P842),"",計算結果!P842))</f>
        <v/>
      </c>
      <c r="Q842" s="10" t="str">
        <f>IF(IF(ISNA(計算結果!Q842),"",計算結果!Q842)=0,"",IF(ISNA(計算結果!Q842),"",計算結果!Q842))</f>
        <v/>
      </c>
      <c r="R842" s="14" t="str">
        <f t="shared" si="39"/>
        <v/>
      </c>
      <c r="S842" s="14" t="str">
        <f t="shared" si="40"/>
        <v>◯</v>
      </c>
      <c r="T842" s="14" t="str">
        <f t="shared" si="41"/>
        <v/>
      </c>
    </row>
    <row r="843" spans="1:20" hidden="1" x14ac:dyDescent="0.45">
      <c r="A843" s="10" t="str">
        <f>IF(IF(ISNA(計算結果!A843),"",計算結果!A843)=0,"",IF(ISNA(計算結果!A843),"",計算結果!A843))</f>
        <v/>
      </c>
      <c r="B843" s="10" t="str">
        <f>IF(IF(ISNA(計算結果!B843),"",計算結果!B843)=0,"",IF(ISNA(計算結果!B843),"",計算結果!B843))</f>
        <v/>
      </c>
      <c r="C843" s="10" t="str">
        <f>IF(IF(ISNA(計算結果!C843),"",計算結果!C843)=0,"",IF(ISNA(計算結果!C843),"",計算結果!C843))</f>
        <v/>
      </c>
      <c r="D843" s="10" t="str">
        <f>IF(IF(ISNA(計算結果!D843),"",計算結果!D843)=0,"",IF(ISNA(計算結果!D843),"",計算結果!D843))</f>
        <v>L</v>
      </c>
      <c r="E843" s="10" t="str">
        <f>IF(IF(ISNA(計算結果!E843),"",計算結果!E843)=0,"",IF(ISNA(計算結果!E843),"",計算結果!E843))</f>
        <v/>
      </c>
      <c r="F843" s="10" t="str">
        <f>IF(IF(ISNA(計算結果!F843),"",計算結果!F843)=0,"",IF(ISNA(計算結果!F843),"",計算結果!F843))</f>
        <v/>
      </c>
      <c r="G843" s="10" t="str">
        <f>IF(IF(ISNA(計算結果!G843),"",計算結果!G843)=0,"",IF(ISNA(計算結果!G843),"",計算結果!G843))</f>
        <v/>
      </c>
      <c r="H843" s="13">
        <f>IF(IF(ISNA(計算結果!H843),"",計算結果!H843)=0,"",IF(ISNA(計算結果!H843),"",計算結果!H843))</f>
        <v>-2</v>
      </c>
      <c r="I843" s="12" t="str">
        <f>IF(IF(ISNA(計算結果!I843),"",計算結果!I843)=0,"",IF(ISNA(計算結果!I843),"",計算結果!I843))</f>
        <v/>
      </c>
      <c r="J843" s="12" t="str">
        <f>IF(IF(ISNA(計算結果!J843),"",計算結果!J843)=0,"",IF(ISNA(計算結果!J843),"",計算結果!J843))</f>
        <v/>
      </c>
      <c r="K843" s="23" t="str">
        <f>IF(IF(ISNA(計算結果!K843),"",計算結果!K843)=0,"",IF(ISNA(計算結果!K843),"",計算結果!K843))</f>
        <v/>
      </c>
      <c r="L843" s="13" t="str">
        <f>IF(IF(ISNA(計算結果!L843),"",計算結果!L843)=0,"",IF(ISNA(計算結果!L843),"",計算結果!L843))</f>
        <v/>
      </c>
      <c r="M843" s="10" t="str">
        <f>IF(IF(ISNA(計算結果!M843),"",計算結果!M843)=0,"",IF(ISNA(計算結果!M843),"",計算結果!M843))</f>
        <v/>
      </c>
      <c r="N843" s="10" t="str">
        <f>IF(IF(ISNA(計算結果!N843),"",計算結果!N843)=0,"",IF(ISNA(計算結果!N843),"",計算結果!N843))</f>
        <v/>
      </c>
      <c r="O843" s="13" t="str">
        <f>IF(IF(ISNA(計算結果!O843),"",計算結果!O843)=0,"",IF(ISNA(計算結果!O843),"",計算結果!O843))</f>
        <v/>
      </c>
      <c r="P843" s="10" t="str">
        <f>IF(IF(ISNA(計算結果!P843),"",計算結果!P843)=0,"",IF(ISNA(計算結果!P843),"",計算結果!P843))</f>
        <v/>
      </c>
      <c r="Q843" s="10" t="str">
        <f>IF(IF(ISNA(計算結果!Q843),"",計算結果!Q843)=0,"",IF(ISNA(計算結果!Q843),"",計算結果!Q843))</f>
        <v/>
      </c>
      <c r="R843" s="14" t="str">
        <f t="shared" si="39"/>
        <v/>
      </c>
      <c r="S843" s="14" t="str">
        <f t="shared" si="40"/>
        <v>◯</v>
      </c>
      <c r="T843" s="14" t="str">
        <f t="shared" si="41"/>
        <v/>
      </c>
    </row>
    <row r="844" spans="1:20" hidden="1" x14ac:dyDescent="0.45">
      <c r="A844" s="10" t="str">
        <f>IF(IF(ISNA(計算結果!A844),"",計算結果!A844)=0,"",IF(ISNA(計算結果!A844),"",計算結果!A844))</f>
        <v/>
      </c>
      <c r="B844" s="10" t="str">
        <f>IF(IF(ISNA(計算結果!B844),"",計算結果!B844)=0,"",IF(ISNA(計算結果!B844),"",計算結果!B844))</f>
        <v/>
      </c>
      <c r="C844" s="10" t="str">
        <f>IF(IF(ISNA(計算結果!C844),"",計算結果!C844)=0,"",IF(ISNA(計算結果!C844),"",計算結果!C844))</f>
        <v/>
      </c>
      <c r="D844" s="10" t="str">
        <f>IF(IF(ISNA(計算結果!D844),"",計算結果!D844)=0,"",IF(ISNA(計算結果!D844),"",計算結果!D844))</f>
        <v>L</v>
      </c>
      <c r="E844" s="10" t="str">
        <f>IF(IF(ISNA(計算結果!E844),"",計算結果!E844)=0,"",IF(ISNA(計算結果!E844),"",計算結果!E844))</f>
        <v/>
      </c>
      <c r="F844" s="10" t="str">
        <f>IF(IF(ISNA(計算結果!F844),"",計算結果!F844)=0,"",IF(ISNA(計算結果!F844),"",計算結果!F844))</f>
        <v/>
      </c>
      <c r="G844" s="10" t="str">
        <f>IF(IF(ISNA(計算結果!G844),"",計算結果!G844)=0,"",IF(ISNA(計算結果!G844),"",計算結果!G844))</f>
        <v/>
      </c>
      <c r="H844" s="13">
        <f>IF(IF(ISNA(計算結果!H844),"",計算結果!H844)=0,"",IF(ISNA(計算結果!H844),"",計算結果!H844))</f>
        <v>-2</v>
      </c>
      <c r="I844" s="12" t="str">
        <f>IF(IF(ISNA(計算結果!I844),"",計算結果!I844)=0,"",IF(ISNA(計算結果!I844),"",計算結果!I844))</f>
        <v/>
      </c>
      <c r="J844" s="12" t="str">
        <f>IF(IF(ISNA(計算結果!J844),"",計算結果!J844)=0,"",IF(ISNA(計算結果!J844),"",計算結果!J844))</f>
        <v/>
      </c>
      <c r="K844" s="23" t="str">
        <f>IF(IF(ISNA(計算結果!K844),"",計算結果!K844)=0,"",IF(ISNA(計算結果!K844),"",計算結果!K844))</f>
        <v/>
      </c>
      <c r="L844" s="13" t="str">
        <f>IF(IF(ISNA(計算結果!L844),"",計算結果!L844)=0,"",IF(ISNA(計算結果!L844),"",計算結果!L844))</f>
        <v/>
      </c>
      <c r="M844" s="10" t="str">
        <f>IF(IF(ISNA(計算結果!M844),"",計算結果!M844)=0,"",IF(ISNA(計算結果!M844),"",計算結果!M844))</f>
        <v/>
      </c>
      <c r="N844" s="10" t="str">
        <f>IF(IF(ISNA(計算結果!N844),"",計算結果!N844)=0,"",IF(ISNA(計算結果!N844),"",計算結果!N844))</f>
        <v/>
      </c>
      <c r="O844" s="13" t="str">
        <f>IF(IF(ISNA(計算結果!O844),"",計算結果!O844)=0,"",IF(ISNA(計算結果!O844),"",計算結果!O844))</f>
        <v/>
      </c>
      <c r="P844" s="10" t="str">
        <f>IF(IF(ISNA(計算結果!P844),"",計算結果!P844)=0,"",IF(ISNA(計算結果!P844),"",計算結果!P844))</f>
        <v/>
      </c>
      <c r="Q844" s="10" t="str">
        <f>IF(IF(ISNA(計算結果!Q844),"",計算結果!Q844)=0,"",IF(ISNA(計算結果!Q844),"",計算結果!Q844))</f>
        <v/>
      </c>
      <c r="R844" s="14" t="str">
        <f t="shared" si="39"/>
        <v/>
      </c>
      <c r="S844" s="14" t="str">
        <f t="shared" si="40"/>
        <v>◯</v>
      </c>
      <c r="T844" s="14" t="str">
        <f t="shared" si="41"/>
        <v/>
      </c>
    </row>
    <row r="845" spans="1:20" hidden="1" x14ac:dyDescent="0.45">
      <c r="A845" s="10" t="str">
        <f>IF(IF(ISNA(計算結果!A845),"",計算結果!A845)=0,"",IF(ISNA(計算結果!A845),"",計算結果!A845))</f>
        <v/>
      </c>
      <c r="B845" s="10" t="str">
        <f>IF(IF(ISNA(計算結果!B845),"",計算結果!B845)=0,"",IF(ISNA(計算結果!B845),"",計算結果!B845))</f>
        <v/>
      </c>
      <c r="C845" s="10" t="str">
        <f>IF(IF(ISNA(計算結果!C845),"",計算結果!C845)=0,"",IF(ISNA(計算結果!C845),"",計算結果!C845))</f>
        <v/>
      </c>
      <c r="D845" s="10" t="str">
        <f>IF(IF(ISNA(計算結果!D845),"",計算結果!D845)=0,"",IF(ISNA(計算結果!D845),"",計算結果!D845))</f>
        <v>L</v>
      </c>
      <c r="E845" s="10" t="str">
        <f>IF(IF(ISNA(計算結果!E845),"",計算結果!E845)=0,"",IF(ISNA(計算結果!E845),"",計算結果!E845))</f>
        <v/>
      </c>
      <c r="F845" s="10" t="str">
        <f>IF(IF(ISNA(計算結果!F845),"",計算結果!F845)=0,"",IF(ISNA(計算結果!F845),"",計算結果!F845))</f>
        <v/>
      </c>
      <c r="G845" s="10" t="str">
        <f>IF(IF(ISNA(計算結果!G845),"",計算結果!G845)=0,"",IF(ISNA(計算結果!G845),"",計算結果!G845))</f>
        <v/>
      </c>
      <c r="H845" s="13">
        <f>IF(IF(ISNA(計算結果!H845),"",計算結果!H845)=0,"",IF(ISNA(計算結果!H845),"",計算結果!H845))</f>
        <v>-2</v>
      </c>
      <c r="I845" s="12" t="str">
        <f>IF(IF(ISNA(計算結果!I845),"",計算結果!I845)=0,"",IF(ISNA(計算結果!I845),"",計算結果!I845))</f>
        <v/>
      </c>
      <c r="J845" s="12" t="str">
        <f>IF(IF(ISNA(計算結果!J845),"",計算結果!J845)=0,"",IF(ISNA(計算結果!J845),"",計算結果!J845))</f>
        <v/>
      </c>
      <c r="K845" s="23" t="str">
        <f>IF(IF(ISNA(計算結果!K845),"",計算結果!K845)=0,"",IF(ISNA(計算結果!K845),"",計算結果!K845))</f>
        <v/>
      </c>
      <c r="L845" s="13" t="str">
        <f>IF(IF(ISNA(計算結果!L845),"",計算結果!L845)=0,"",IF(ISNA(計算結果!L845),"",計算結果!L845))</f>
        <v/>
      </c>
      <c r="M845" s="10" t="str">
        <f>IF(IF(ISNA(計算結果!M845),"",計算結果!M845)=0,"",IF(ISNA(計算結果!M845),"",計算結果!M845))</f>
        <v/>
      </c>
      <c r="N845" s="10" t="str">
        <f>IF(IF(ISNA(計算結果!N845),"",計算結果!N845)=0,"",IF(ISNA(計算結果!N845),"",計算結果!N845))</f>
        <v/>
      </c>
      <c r="O845" s="13" t="str">
        <f>IF(IF(ISNA(計算結果!O845),"",計算結果!O845)=0,"",IF(ISNA(計算結果!O845),"",計算結果!O845))</f>
        <v/>
      </c>
      <c r="P845" s="10" t="str">
        <f>IF(IF(ISNA(計算結果!P845),"",計算結果!P845)=0,"",IF(ISNA(計算結果!P845),"",計算結果!P845))</f>
        <v/>
      </c>
      <c r="Q845" s="10" t="str">
        <f>IF(IF(ISNA(計算結果!Q845),"",計算結果!Q845)=0,"",IF(ISNA(計算結果!Q845),"",計算結果!Q845))</f>
        <v/>
      </c>
      <c r="R845" s="14" t="str">
        <f t="shared" si="39"/>
        <v/>
      </c>
      <c r="S845" s="14" t="str">
        <f t="shared" si="40"/>
        <v>◯</v>
      </c>
      <c r="T845" s="14" t="str">
        <f t="shared" si="41"/>
        <v/>
      </c>
    </row>
    <row r="846" spans="1:20" hidden="1" x14ac:dyDescent="0.45">
      <c r="A846" s="10" t="str">
        <f>IF(IF(ISNA(計算結果!A846),"",計算結果!A846)=0,"",IF(ISNA(計算結果!A846),"",計算結果!A846))</f>
        <v/>
      </c>
      <c r="B846" s="10" t="str">
        <f>IF(IF(ISNA(計算結果!B846),"",計算結果!B846)=0,"",IF(ISNA(計算結果!B846),"",計算結果!B846))</f>
        <v/>
      </c>
      <c r="C846" s="10" t="str">
        <f>IF(IF(ISNA(計算結果!C846),"",計算結果!C846)=0,"",IF(ISNA(計算結果!C846),"",計算結果!C846))</f>
        <v/>
      </c>
      <c r="D846" s="10" t="str">
        <f>IF(IF(ISNA(計算結果!D846),"",計算結果!D846)=0,"",IF(ISNA(計算結果!D846),"",計算結果!D846))</f>
        <v>L</v>
      </c>
      <c r="E846" s="10" t="str">
        <f>IF(IF(ISNA(計算結果!E846),"",計算結果!E846)=0,"",IF(ISNA(計算結果!E846),"",計算結果!E846))</f>
        <v/>
      </c>
      <c r="F846" s="10" t="str">
        <f>IF(IF(ISNA(計算結果!F846),"",計算結果!F846)=0,"",IF(ISNA(計算結果!F846),"",計算結果!F846))</f>
        <v/>
      </c>
      <c r="G846" s="10" t="str">
        <f>IF(IF(ISNA(計算結果!G846),"",計算結果!G846)=0,"",IF(ISNA(計算結果!G846),"",計算結果!G846))</f>
        <v/>
      </c>
      <c r="H846" s="13">
        <f>IF(IF(ISNA(計算結果!H846),"",計算結果!H846)=0,"",IF(ISNA(計算結果!H846),"",計算結果!H846))</f>
        <v>-2</v>
      </c>
      <c r="I846" s="12" t="str">
        <f>IF(IF(ISNA(計算結果!I846),"",計算結果!I846)=0,"",IF(ISNA(計算結果!I846),"",計算結果!I846))</f>
        <v/>
      </c>
      <c r="J846" s="12" t="str">
        <f>IF(IF(ISNA(計算結果!J846),"",計算結果!J846)=0,"",IF(ISNA(計算結果!J846),"",計算結果!J846))</f>
        <v/>
      </c>
      <c r="K846" s="23" t="str">
        <f>IF(IF(ISNA(計算結果!K846),"",計算結果!K846)=0,"",IF(ISNA(計算結果!K846),"",計算結果!K846))</f>
        <v/>
      </c>
      <c r="L846" s="13" t="str">
        <f>IF(IF(ISNA(計算結果!L846),"",計算結果!L846)=0,"",IF(ISNA(計算結果!L846),"",計算結果!L846))</f>
        <v/>
      </c>
      <c r="M846" s="10" t="str">
        <f>IF(IF(ISNA(計算結果!M846),"",計算結果!M846)=0,"",IF(ISNA(計算結果!M846),"",計算結果!M846))</f>
        <v/>
      </c>
      <c r="N846" s="10" t="str">
        <f>IF(IF(ISNA(計算結果!N846),"",計算結果!N846)=0,"",IF(ISNA(計算結果!N846),"",計算結果!N846))</f>
        <v/>
      </c>
      <c r="O846" s="13" t="str">
        <f>IF(IF(ISNA(計算結果!O846),"",計算結果!O846)=0,"",IF(ISNA(計算結果!O846),"",計算結果!O846))</f>
        <v/>
      </c>
      <c r="P846" s="10" t="str">
        <f>IF(IF(ISNA(計算結果!P846),"",計算結果!P846)=0,"",IF(ISNA(計算結果!P846),"",計算結果!P846))</f>
        <v/>
      </c>
      <c r="Q846" s="10" t="str">
        <f>IF(IF(ISNA(計算結果!Q846),"",計算結果!Q846)=0,"",IF(ISNA(計算結果!Q846),"",計算結果!Q846))</f>
        <v/>
      </c>
      <c r="R846" s="14" t="str">
        <f t="shared" si="39"/>
        <v/>
      </c>
      <c r="S846" s="14" t="str">
        <f t="shared" si="40"/>
        <v>◯</v>
      </c>
      <c r="T846" s="14" t="str">
        <f t="shared" si="41"/>
        <v/>
      </c>
    </row>
    <row r="847" spans="1:20" hidden="1" x14ac:dyDescent="0.45">
      <c r="A847" s="10" t="str">
        <f>IF(IF(ISNA(計算結果!A847),"",計算結果!A847)=0,"",IF(ISNA(計算結果!A847),"",計算結果!A847))</f>
        <v/>
      </c>
      <c r="B847" s="10" t="str">
        <f>IF(IF(ISNA(計算結果!B847),"",計算結果!B847)=0,"",IF(ISNA(計算結果!B847),"",計算結果!B847))</f>
        <v/>
      </c>
      <c r="C847" s="10" t="str">
        <f>IF(IF(ISNA(計算結果!C847),"",計算結果!C847)=0,"",IF(ISNA(計算結果!C847),"",計算結果!C847))</f>
        <v/>
      </c>
      <c r="D847" s="10" t="str">
        <f>IF(IF(ISNA(計算結果!D847),"",計算結果!D847)=0,"",IF(ISNA(計算結果!D847),"",計算結果!D847))</f>
        <v>L</v>
      </c>
      <c r="E847" s="10" t="str">
        <f>IF(IF(ISNA(計算結果!E847),"",計算結果!E847)=0,"",IF(ISNA(計算結果!E847),"",計算結果!E847))</f>
        <v/>
      </c>
      <c r="F847" s="10" t="str">
        <f>IF(IF(ISNA(計算結果!F847),"",計算結果!F847)=0,"",IF(ISNA(計算結果!F847),"",計算結果!F847))</f>
        <v/>
      </c>
      <c r="G847" s="10" t="str">
        <f>IF(IF(ISNA(計算結果!G847),"",計算結果!G847)=0,"",IF(ISNA(計算結果!G847),"",計算結果!G847))</f>
        <v/>
      </c>
      <c r="H847" s="13">
        <f>IF(IF(ISNA(計算結果!H847),"",計算結果!H847)=0,"",IF(ISNA(計算結果!H847),"",計算結果!H847))</f>
        <v>-2</v>
      </c>
      <c r="I847" s="12" t="str">
        <f>IF(IF(ISNA(計算結果!I847),"",計算結果!I847)=0,"",IF(ISNA(計算結果!I847),"",計算結果!I847))</f>
        <v/>
      </c>
      <c r="J847" s="12" t="str">
        <f>IF(IF(ISNA(計算結果!J847),"",計算結果!J847)=0,"",IF(ISNA(計算結果!J847),"",計算結果!J847))</f>
        <v/>
      </c>
      <c r="K847" s="23" t="str">
        <f>IF(IF(ISNA(計算結果!K847),"",計算結果!K847)=0,"",IF(ISNA(計算結果!K847),"",計算結果!K847))</f>
        <v/>
      </c>
      <c r="L847" s="13" t="str">
        <f>IF(IF(ISNA(計算結果!L847),"",計算結果!L847)=0,"",IF(ISNA(計算結果!L847),"",計算結果!L847))</f>
        <v/>
      </c>
      <c r="M847" s="10" t="str">
        <f>IF(IF(ISNA(計算結果!M847),"",計算結果!M847)=0,"",IF(ISNA(計算結果!M847),"",計算結果!M847))</f>
        <v/>
      </c>
      <c r="N847" s="10" t="str">
        <f>IF(IF(ISNA(計算結果!N847),"",計算結果!N847)=0,"",IF(ISNA(計算結果!N847),"",計算結果!N847))</f>
        <v/>
      </c>
      <c r="O847" s="13" t="str">
        <f>IF(IF(ISNA(計算結果!O847),"",計算結果!O847)=0,"",IF(ISNA(計算結果!O847),"",計算結果!O847))</f>
        <v/>
      </c>
      <c r="P847" s="10" t="str">
        <f>IF(IF(ISNA(計算結果!P847),"",計算結果!P847)=0,"",IF(ISNA(計算結果!P847),"",計算結果!P847))</f>
        <v/>
      </c>
      <c r="Q847" s="10" t="str">
        <f>IF(IF(ISNA(計算結果!Q847),"",計算結果!Q847)=0,"",IF(ISNA(計算結果!Q847),"",計算結果!Q847))</f>
        <v/>
      </c>
      <c r="R847" s="14" t="str">
        <f t="shared" si="39"/>
        <v/>
      </c>
      <c r="S847" s="14" t="str">
        <f t="shared" si="40"/>
        <v>◯</v>
      </c>
      <c r="T847" s="14" t="str">
        <f t="shared" si="41"/>
        <v/>
      </c>
    </row>
    <row r="848" spans="1:20" hidden="1" x14ac:dyDescent="0.45">
      <c r="A848" s="10" t="str">
        <f>IF(IF(ISNA(計算結果!A848),"",計算結果!A848)=0,"",IF(ISNA(計算結果!A848),"",計算結果!A848))</f>
        <v/>
      </c>
      <c r="B848" s="10" t="str">
        <f>IF(IF(ISNA(計算結果!B848),"",計算結果!B848)=0,"",IF(ISNA(計算結果!B848),"",計算結果!B848))</f>
        <v/>
      </c>
      <c r="C848" s="10" t="str">
        <f>IF(IF(ISNA(計算結果!C848),"",計算結果!C848)=0,"",IF(ISNA(計算結果!C848),"",計算結果!C848))</f>
        <v/>
      </c>
      <c r="D848" s="10" t="str">
        <f>IF(IF(ISNA(計算結果!D848),"",計算結果!D848)=0,"",IF(ISNA(計算結果!D848),"",計算結果!D848))</f>
        <v>L</v>
      </c>
      <c r="E848" s="10" t="str">
        <f>IF(IF(ISNA(計算結果!E848),"",計算結果!E848)=0,"",IF(ISNA(計算結果!E848),"",計算結果!E848))</f>
        <v/>
      </c>
      <c r="F848" s="10" t="str">
        <f>IF(IF(ISNA(計算結果!F848),"",計算結果!F848)=0,"",IF(ISNA(計算結果!F848),"",計算結果!F848))</f>
        <v/>
      </c>
      <c r="G848" s="10" t="str">
        <f>IF(IF(ISNA(計算結果!G848),"",計算結果!G848)=0,"",IF(ISNA(計算結果!G848),"",計算結果!G848))</f>
        <v/>
      </c>
      <c r="H848" s="13">
        <f>IF(IF(ISNA(計算結果!H848),"",計算結果!H848)=0,"",IF(ISNA(計算結果!H848),"",計算結果!H848))</f>
        <v>-2</v>
      </c>
      <c r="I848" s="12" t="str">
        <f>IF(IF(ISNA(計算結果!I848),"",計算結果!I848)=0,"",IF(ISNA(計算結果!I848),"",計算結果!I848))</f>
        <v/>
      </c>
      <c r="J848" s="12" t="str">
        <f>IF(IF(ISNA(計算結果!J848),"",計算結果!J848)=0,"",IF(ISNA(計算結果!J848),"",計算結果!J848))</f>
        <v/>
      </c>
      <c r="K848" s="23" t="str">
        <f>IF(IF(ISNA(計算結果!K848),"",計算結果!K848)=0,"",IF(ISNA(計算結果!K848),"",計算結果!K848))</f>
        <v/>
      </c>
      <c r="L848" s="13" t="str">
        <f>IF(IF(ISNA(計算結果!L848),"",計算結果!L848)=0,"",IF(ISNA(計算結果!L848),"",計算結果!L848))</f>
        <v/>
      </c>
      <c r="M848" s="10" t="str">
        <f>IF(IF(ISNA(計算結果!M848),"",計算結果!M848)=0,"",IF(ISNA(計算結果!M848),"",計算結果!M848))</f>
        <v/>
      </c>
      <c r="N848" s="10" t="str">
        <f>IF(IF(ISNA(計算結果!N848),"",計算結果!N848)=0,"",IF(ISNA(計算結果!N848),"",計算結果!N848))</f>
        <v/>
      </c>
      <c r="O848" s="13" t="str">
        <f>IF(IF(ISNA(計算結果!O848),"",計算結果!O848)=0,"",IF(ISNA(計算結果!O848),"",計算結果!O848))</f>
        <v/>
      </c>
      <c r="P848" s="10" t="str">
        <f>IF(IF(ISNA(計算結果!P848),"",計算結果!P848)=0,"",IF(ISNA(計算結果!P848),"",計算結果!P848))</f>
        <v/>
      </c>
      <c r="Q848" s="10" t="str">
        <f>IF(IF(ISNA(計算結果!Q848),"",計算結果!Q848)=0,"",IF(ISNA(計算結果!Q848),"",計算結果!Q848))</f>
        <v/>
      </c>
      <c r="R848" s="14" t="str">
        <f t="shared" si="39"/>
        <v/>
      </c>
      <c r="S848" s="14" t="str">
        <f t="shared" si="40"/>
        <v>◯</v>
      </c>
      <c r="T848" s="14" t="str">
        <f t="shared" si="41"/>
        <v/>
      </c>
    </row>
    <row r="849" spans="1:20" hidden="1" x14ac:dyDescent="0.45">
      <c r="A849" s="10" t="str">
        <f>IF(IF(ISNA(計算結果!A849),"",計算結果!A849)=0,"",IF(ISNA(計算結果!A849),"",計算結果!A849))</f>
        <v/>
      </c>
      <c r="B849" s="10" t="str">
        <f>IF(IF(ISNA(計算結果!B849),"",計算結果!B849)=0,"",IF(ISNA(計算結果!B849),"",計算結果!B849))</f>
        <v/>
      </c>
      <c r="C849" s="10" t="str">
        <f>IF(IF(ISNA(計算結果!C849),"",計算結果!C849)=0,"",IF(ISNA(計算結果!C849),"",計算結果!C849))</f>
        <v/>
      </c>
      <c r="D849" s="10" t="str">
        <f>IF(IF(ISNA(計算結果!D849),"",計算結果!D849)=0,"",IF(ISNA(計算結果!D849),"",計算結果!D849))</f>
        <v>L</v>
      </c>
      <c r="E849" s="10" t="str">
        <f>IF(IF(ISNA(計算結果!E849),"",計算結果!E849)=0,"",IF(ISNA(計算結果!E849),"",計算結果!E849))</f>
        <v/>
      </c>
      <c r="F849" s="10" t="str">
        <f>IF(IF(ISNA(計算結果!F849),"",計算結果!F849)=0,"",IF(ISNA(計算結果!F849),"",計算結果!F849))</f>
        <v/>
      </c>
      <c r="G849" s="10" t="str">
        <f>IF(IF(ISNA(計算結果!G849),"",計算結果!G849)=0,"",IF(ISNA(計算結果!G849),"",計算結果!G849))</f>
        <v/>
      </c>
      <c r="H849" s="13">
        <f>IF(IF(ISNA(計算結果!H849),"",計算結果!H849)=0,"",IF(ISNA(計算結果!H849),"",計算結果!H849))</f>
        <v>-2</v>
      </c>
      <c r="I849" s="12" t="str">
        <f>IF(IF(ISNA(計算結果!I849),"",計算結果!I849)=0,"",IF(ISNA(計算結果!I849),"",計算結果!I849))</f>
        <v/>
      </c>
      <c r="J849" s="12" t="str">
        <f>IF(IF(ISNA(計算結果!J849),"",計算結果!J849)=0,"",IF(ISNA(計算結果!J849),"",計算結果!J849))</f>
        <v/>
      </c>
      <c r="K849" s="23" t="str">
        <f>IF(IF(ISNA(計算結果!K849),"",計算結果!K849)=0,"",IF(ISNA(計算結果!K849),"",計算結果!K849))</f>
        <v/>
      </c>
      <c r="L849" s="13" t="str">
        <f>IF(IF(ISNA(計算結果!L849),"",計算結果!L849)=0,"",IF(ISNA(計算結果!L849),"",計算結果!L849))</f>
        <v/>
      </c>
      <c r="M849" s="10" t="str">
        <f>IF(IF(ISNA(計算結果!M849),"",計算結果!M849)=0,"",IF(ISNA(計算結果!M849),"",計算結果!M849))</f>
        <v/>
      </c>
      <c r="N849" s="10" t="str">
        <f>IF(IF(ISNA(計算結果!N849),"",計算結果!N849)=0,"",IF(ISNA(計算結果!N849),"",計算結果!N849))</f>
        <v/>
      </c>
      <c r="O849" s="13" t="str">
        <f>IF(IF(ISNA(計算結果!O849),"",計算結果!O849)=0,"",IF(ISNA(計算結果!O849),"",計算結果!O849))</f>
        <v/>
      </c>
      <c r="P849" s="10" t="str">
        <f>IF(IF(ISNA(計算結果!P849),"",計算結果!P849)=0,"",IF(ISNA(計算結果!P849),"",計算結果!P849))</f>
        <v/>
      </c>
      <c r="Q849" s="10" t="str">
        <f>IF(IF(ISNA(計算結果!Q849),"",計算結果!Q849)=0,"",IF(ISNA(計算結果!Q849),"",計算結果!Q849))</f>
        <v/>
      </c>
      <c r="R849" s="14" t="str">
        <f t="shared" si="39"/>
        <v/>
      </c>
      <c r="S849" s="14" t="str">
        <f t="shared" si="40"/>
        <v>◯</v>
      </c>
      <c r="T849" s="14" t="str">
        <f t="shared" si="41"/>
        <v/>
      </c>
    </row>
    <row r="850" spans="1:20" hidden="1" x14ac:dyDescent="0.45">
      <c r="A850" s="10" t="str">
        <f>IF(IF(ISNA(計算結果!A850),"",計算結果!A850)=0,"",IF(ISNA(計算結果!A850),"",計算結果!A850))</f>
        <v/>
      </c>
      <c r="B850" s="10" t="str">
        <f>IF(IF(ISNA(計算結果!B850),"",計算結果!B850)=0,"",IF(ISNA(計算結果!B850),"",計算結果!B850))</f>
        <v/>
      </c>
      <c r="C850" s="10" t="str">
        <f>IF(IF(ISNA(計算結果!C850),"",計算結果!C850)=0,"",IF(ISNA(計算結果!C850),"",計算結果!C850))</f>
        <v/>
      </c>
      <c r="D850" s="10" t="str">
        <f>IF(IF(ISNA(計算結果!D850),"",計算結果!D850)=0,"",IF(ISNA(計算結果!D850),"",計算結果!D850))</f>
        <v>L</v>
      </c>
      <c r="E850" s="10" t="str">
        <f>IF(IF(ISNA(計算結果!E850),"",計算結果!E850)=0,"",IF(ISNA(計算結果!E850),"",計算結果!E850))</f>
        <v/>
      </c>
      <c r="F850" s="10" t="str">
        <f>IF(IF(ISNA(計算結果!F850),"",計算結果!F850)=0,"",IF(ISNA(計算結果!F850),"",計算結果!F850))</f>
        <v/>
      </c>
      <c r="G850" s="10" t="str">
        <f>IF(IF(ISNA(計算結果!G850),"",計算結果!G850)=0,"",IF(ISNA(計算結果!G850),"",計算結果!G850))</f>
        <v/>
      </c>
      <c r="H850" s="13">
        <f>IF(IF(ISNA(計算結果!H850),"",計算結果!H850)=0,"",IF(ISNA(計算結果!H850),"",計算結果!H850))</f>
        <v>-2</v>
      </c>
      <c r="I850" s="12" t="str">
        <f>IF(IF(ISNA(計算結果!I850),"",計算結果!I850)=0,"",IF(ISNA(計算結果!I850),"",計算結果!I850))</f>
        <v/>
      </c>
      <c r="J850" s="12" t="str">
        <f>IF(IF(ISNA(計算結果!J850),"",計算結果!J850)=0,"",IF(ISNA(計算結果!J850),"",計算結果!J850))</f>
        <v/>
      </c>
      <c r="K850" s="23" t="str">
        <f>IF(IF(ISNA(計算結果!K850),"",計算結果!K850)=0,"",IF(ISNA(計算結果!K850),"",計算結果!K850))</f>
        <v/>
      </c>
      <c r="L850" s="13" t="str">
        <f>IF(IF(ISNA(計算結果!L850),"",計算結果!L850)=0,"",IF(ISNA(計算結果!L850),"",計算結果!L850))</f>
        <v/>
      </c>
      <c r="M850" s="10" t="str">
        <f>IF(IF(ISNA(計算結果!M850),"",計算結果!M850)=0,"",IF(ISNA(計算結果!M850),"",計算結果!M850))</f>
        <v/>
      </c>
      <c r="N850" s="10" t="str">
        <f>IF(IF(ISNA(計算結果!N850),"",計算結果!N850)=0,"",IF(ISNA(計算結果!N850),"",計算結果!N850))</f>
        <v/>
      </c>
      <c r="O850" s="13" t="str">
        <f>IF(IF(ISNA(計算結果!O850),"",計算結果!O850)=0,"",IF(ISNA(計算結果!O850),"",計算結果!O850))</f>
        <v/>
      </c>
      <c r="P850" s="10" t="str">
        <f>IF(IF(ISNA(計算結果!P850),"",計算結果!P850)=0,"",IF(ISNA(計算結果!P850),"",計算結果!P850))</f>
        <v/>
      </c>
      <c r="Q850" s="10" t="str">
        <f>IF(IF(ISNA(計算結果!Q850),"",計算結果!Q850)=0,"",IF(ISNA(計算結果!Q850),"",計算結果!Q850))</f>
        <v/>
      </c>
      <c r="R850" s="14" t="str">
        <f t="shared" si="39"/>
        <v/>
      </c>
      <c r="S850" s="14" t="str">
        <f t="shared" si="40"/>
        <v>◯</v>
      </c>
      <c r="T850" s="14" t="str">
        <f t="shared" si="41"/>
        <v/>
      </c>
    </row>
    <row r="851" spans="1:20" hidden="1" x14ac:dyDescent="0.45">
      <c r="A851" s="10" t="str">
        <f>IF(IF(ISNA(計算結果!A851),"",計算結果!A851)=0,"",IF(ISNA(計算結果!A851),"",計算結果!A851))</f>
        <v/>
      </c>
      <c r="B851" s="10" t="str">
        <f>IF(IF(ISNA(計算結果!B851),"",計算結果!B851)=0,"",IF(ISNA(計算結果!B851),"",計算結果!B851))</f>
        <v/>
      </c>
      <c r="C851" s="10" t="str">
        <f>IF(IF(ISNA(計算結果!C851),"",計算結果!C851)=0,"",IF(ISNA(計算結果!C851),"",計算結果!C851))</f>
        <v/>
      </c>
      <c r="D851" s="10" t="str">
        <f>IF(IF(ISNA(計算結果!D851),"",計算結果!D851)=0,"",IF(ISNA(計算結果!D851),"",計算結果!D851))</f>
        <v>L</v>
      </c>
      <c r="E851" s="10" t="str">
        <f>IF(IF(ISNA(計算結果!E851),"",計算結果!E851)=0,"",IF(ISNA(計算結果!E851),"",計算結果!E851))</f>
        <v/>
      </c>
      <c r="F851" s="10" t="str">
        <f>IF(IF(ISNA(計算結果!F851),"",計算結果!F851)=0,"",IF(ISNA(計算結果!F851),"",計算結果!F851))</f>
        <v/>
      </c>
      <c r="G851" s="10" t="str">
        <f>IF(IF(ISNA(計算結果!G851),"",計算結果!G851)=0,"",IF(ISNA(計算結果!G851),"",計算結果!G851))</f>
        <v/>
      </c>
      <c r="H851" s="13">
        <f>IF(IF(ISNA(計算結果!H851),"",計算結果!H851)=0,"",IF(ISNA(計算結果!H851),"",計算結果!H851))</f>
        <v>-2</v>
      </c>
      <c r="I851" s="12" t="str">
        <f>IF(IF(ISNA(計算結果!I851),"",計算結果!I851)=0,"",IF(ISNA(計算結果!I851),"",計算結果!I851))</f>
        <v/>
      </c>
      <c r="J851" s="12" t="str">
        <f>IF(IF(ISNA(計算結果!J851),"",計算結果!J851)=0,"",IF(ISNA(計算結果!J851),"",計算結果!J851))</f>
        <v/>
      </c>
      <c r="K851" s="23" t="str">
        <f>IF(IF(ISNA(計算結果!K851),"",計算結果!K851)=0,"",IF(ISNA(計算結果!K851),"",計算結果!K851))</f>
        <v/>
      </c>
      <c r="L851" s="13" t="str">
        <f>IF(IF(ISNA(計算結果!L851),"",計算結果!L851)=0,"",IF(ISNA(計算結果!L851),"",計算結果!L851))</f>
        <v/>
      </c>
      <c r="M851" s="10" t="str">
        <f>IF(IF(ISNA(計算結果!M851),"",計算結果!M851)=0,"",IF(ISNA(計算結果!M851),"",計算結果!M851))</f>
        <v/>
      </c>
      <c r="N851" s="10" t="str">
        <f>IF(IF(ISNA(計算結果!N851),"",計算結果!N851)=0,"",IF(ISNA(計算結果!N851),"",計算結果!N851))</f>
        <v/>
      </c>
      <c r="O851" s="13" t="str">
        <f>IF(IF(ISNA(計算結果!O851),"",計算結果!O851)=0,"",IF(ISNA(計算結果!O851),"",計算結果!O851))</f>
        <v/>
      </c>
      <c r="P851" s="10" t="str">
        <f>IF(IF(ISNA(計算結果!P851),"",計算結果!P851)=0,"",IF(ISNA(計算結果!P851),"",計算結果!P851))</f>
        <v/>
      </c>
      <c r="Q851" s="10" t="str">
        <f>IF(IF(ISNA(計算結果!Q851),"",計算結果!Q851)=0,"",IF(ISNA(計算結果!Q851),"",計算結果!Q851))</f>
        <v/>
      </c>
      <c r="R851" s="14" t="str">
        <f t="shared" si="39"/>
        <v/>
      </c>
      <c r="S851" s="14" t="str">
        <f t="shared" si="40"/>
        <v>◯</v>
      </c>
      <c r="T851" s="14" t="str">
        <f t="shared" si="41"/>
        <v/>
      </c>
    </row>
    <row r="852" spans="1:20" hidden="1" x14ac:dyDescent="0.45">
      <c r="A852" s="10" t="str">
        <f>IF(IF(ISNA(計算結果!A852),"",計算結果!A852)=0,"",IF(ISNA(計算結果!A852),"",計算結果!A852))</f>
        <v/>
      </c>
      <c r="B852" s="10" t="str">
        <f>IF(IF(ISNA(計算結果!B852),"",計算結果!B852)=0,"",IF(ISNA(計算結果!B852),"",計算結果!B852))</f>
        <v/>
      </c>
      <c r="C852" s="10" t="str">
        <f>IF(IF(ISNA(計算結果!C852),"",計算結果!C852)=0,"",IF(ISNA(計算結果!C852),"",計算結果!C852))</f>
        <v/>
      </c>
      <c r="D852" s="10" t="str">
        <f>IF(IF(ISNA(計算結果!D852),"",計算結果!D852)=0,"",IF(ISNA(計算結果!D852),"",計算結果!D852))</f>
        <v>L</v>
      </c>
      <c r="E852" s="10" t="str">
        <f>IF(IF(ISNA(計算結果!E852),"",計算結果!E852)=0,"",IF(ISNA(計算結果!E852),"",計算結果!E852))</f>
        <v/>
      </c>
      <c r="F852" s="10" t="str">
        <f>IF(IF(ISNA(計算結果!F852),"",計算結果!F852)=0,"",IF(ISNA(計算結果!F852),"",計算結果!F852))</f>
        <v/>
      </c>
      <c r="G852" s="10" t="str">
        <f>IF(IF(ISNA(計算結果!G852),"",計算結果!G852)=0,"",IF(ISNA(計算結果!G852),"",計算結果!G852))</f>
        <v/>
      </c>
      <c r="H852" s="13">
        <f>IF(IF(ISNA(計算結果!H852),"",計算結果!H852)=0,"",IF(ISNA(計算結果!H852),"",計算結果!H852))</f>
        <v>-2</v>
      </c>
      <c r="I852" s="12" t="str">
        <f>IF(IF(ISNA(計算結果!I852),"",計算結果!I852)=0,"",IF(ISNA(計算結果!I852),"",計算結果!I852))</f>
        <v/>
      </c>
      <c r="J852" s="12" t="str">
        <f>IF(IF(ISNA(計算結果!J852),"",計算結果!J852)=0,"",IF(ISNA(計算結果!J852),"",計算結果!J852))</f>
        <v/>
      </c>
      <c r="K852" s="23" t="str">
        <f>IF(IF(ISNA(計算結果!K852),"",計算結果!K852)=0,"",IF(ISNA(計算結果!K852),"",計算結果!K852))</f>
        <v/>
      </c>
      <c r="L852" s="13" t="str">
        <f>IF(IF(ISNA(計算結果!L852),"",計算結果!L852)=0,"",IF(ISNA(計算結果!L852),"",計算結果!L852))</f>
        <v/>
      </c>
      <c r="M852" s="10" t="str">
        <f>IF(IF(ISNA(計算結果!M852),"",計算結果!M852)=0,"",IF(ISNA(計算結果!M852),"",計算結果!M852))</f>
        <v/>
      </c>
      <c r="N852" s="10" t="str">
        <f>IF(IF(ISNA(計算結果!N852),"",計算結果!N852)=0,"",IF(ISNA(計算結果!N852),"",計算結果!N852))</f>
        <v/>
      </c>
      <c r="O852" s="13" t="str">
        <f>IF(IF(ISNA(計算結果!O852),"",計算結果!O852)=0,"",IF(ISNA(計算結果!O852),"",計算結果!O852))</f>
        <v/>
      </c>
      <c r="P852" s="10" t="str">
        <f>IF(IF(ISNA(計算結果!P852),"",計算結果!P852)=0,"",IF(ISNA(計算結果!P852),"",計算結果!P852))</f>
        <v/>
      </c>
      <c r="Q852" s="10" t="str">
        <f>IF(IF(ISNA(計算結果!Q852),"",計算結果!Q852)=0,"",IF(ISNA(計算結果!Q852),"",計算結果!Q852))</f>
        <v/>
      </c>
      <c r="R852" s="14" t="str">
        <f t="shared" si="39"/>
        <v/>
      </c>
      <c r="S852" s="14" t="str">
        <f t="shared" si="40"/>
        <v>◯</v>
      </c>
      <c r="T852" s="14" t="str">
        <f t="shared" si="41"/>
        <v/>
      </c>
    </row>
    <row r="853" spans="1:20" hidden="1" x14ac:dyDescent="0.45">
      <c r="A853" s="10" t="str">
        <f>IF(IF(ISNA(計算結果!A853),"",計算結果!A853)=0,"",IF(ISNA(計算結果!A853),"",計算結果!A853))</f>
        <v/>
      </c>
      <c r="B853" s="10" t="str">
        <f>IF(IF(ISNA(計算結果!B853),"",計算結果!B853)=0,"",IF(ISNA(計算結果!B853),"",計算結果!B853))</f>
        <v/>
      </c>
      <c r="C853" s="10" t="str">
        <f>IF(IF(ISNA(計算結果!C853),"",計算結果!C853)=0,"",IF(ISNA(計算結果!C853),"",計算結果!C853))</f>
        <v/>
      </c>
      <c r="D853" s="10" t="str">
        <f>IF(IF(ISNA(計算結果!D853),"",計算結果!D853)=0,"",IF(ISNA(計算結果!D853),"",計算結果!D853))</f>
        <v>L</v>
      </c>
      <c r="E853" s="10" t="str">
        <f>IF(IF(ISNA(計算結果!E853),"",計算結果!E853)=0,"",IF(ISNA(計算結果!E853),"",計算結果!E853))</f>
        <v/>
      </c>
      <c r="F853" s="10" t="str">
        <f>IF(IF(ISNA(計算結果!F853),"",計算結果!F853)=0,"",IF(ISNA(計算結果!F853),"",計算結果!F853))</f>
        <v/>
      </c>
      <c r="G853" s="10" t="str">
        <f>IF(IF(ISNA(計算結果!G853),"",計算結果!G853)=0,"",IF(ISNA(計算結果!G853),"",計算結果!G853))</f>
        <v/>
      </c>
      <c r="H853" s="13">
        <f>IF(IF(ISNA(計算結果!H853),"",計算結果!H853)=0,"",IF(ISNA(計算結果!H853),"",計算結果!H853))</f>
        <v>-2</v>
      </c>
      <c r="I853" s="12" t="str">
        <f>IF(IF(ISNA(計算結果!I853),"",計算結果!I853)=0,"",IF(ISNA(計算結果!I853),"",計算結果!I853))</f>
        <v/>
      </c>
      <c r="J853" s="12" t="str">
        <f>IF(IF(ISNA(計算結果!J853),"",計算結果!J853)=0,"",IF(ISNA(計算結果!J853),"",計算結果!J853))</f>
        <v/>
      </c>
      <c r="K853" s="23" t="str">
        <f>IF(IF(ISNA(計算結果!K853),"",計算結果!K853)=0,"",IF(ISNA(計算結果!K853),"",計算結果!K853))</f>
        <v/>
      </c>
      <c r="L853" s="13" t="str">
        <f>IF(IF(ISNA(計算結果!L853),"",計算結果!L853)=0,"",IF(ISNA(計算結果!L853),"",計算結果!L853))</f>
        <v/>
      </c>
      <c r="M853" s="10" t="str">
        <f>IF(IF(ISNA(計算結果!M853),"",計算結果!M853)=0,"",IF(ISNA(計算結果!M853),"",計算結果!M853))</f>
        <v/>
      </c>
      <c r="N853" s="10" t="str">
        <f>IF(IF(ISNA(計算結果!N853),"",計算結果!N853)=0,"",IF(ISNA(計算結果!N853),"",計算結果!N853))</f>
        <v/>
      </c>
      <c r="O853" s="13" t="str">
        <f>IF(IF(ISNA(計算結果!O853),"",計算結果!O853)=0,"",IF(ISNA(計算結果!O853),"",計算結果!O853))</f>
        <v/>
      </c>
      <c r="P853" s="10" t="str">
        <f>IF(IF(ISNA(計算結果!P853),"",計算結果!P853)=0,"",IF(ISNA(計算結果!P853),"",計算結果!P853))</f>
        <v/>
      </c>
      <c r="Q853" s="10" t="str">
        <f>IF(IF(ISNA(計算結果!Q853),"",計算結果!Q853)=0,"",IF(ISNA(計算結果!Q853),"",計算結果!Q853))</f>
        <v/>
      </c>
      <c r="R853" s="14" t="str">
        <f t="shared" si="39"/>
        <v/>
      </c>
      <c r="S853" s="14" t="str">
        <f t="shared" si="40"/>
        <v>◯</v>
      </c>
      <c r="T853" s="14" t="str">
        <f t="shared" si="41"/>
        <v/>
      </c>
    </row>
    <row r="854" spans="1:20" hidden="1" x14ac:dyDescent="0.45">
      <c r="A854" s="10" t="str">
        <f>IF(IF(ISNA(計算結果!A854),"",計算結果!A854)=0,"",IF(ISNA(計算結果!A854),"",計算結果!A854))</f>
        <v/>
      </c>
      <c r="B854" s="10" t="str">
        <f>IF(IF(ISNA(計算結果!B854),"",計算結果!B854)=0,"",IF(ISNA(計算結果!B854),"",計算結果!B854))</f>
        <v/>
      </c>
      <c r="C854" s="10" t="str">
        <f>IF(IF(ISNA(計算結果!C854),"",計算結果!C854)=0,"",IF(ISNA(計算結果!C854),"",計算結果!C854))</f>
        <v/>
      </c>
      <c r="D854" s="10" t="str">
        <f>IF(IF(ISNA(計算結果!D854),"",計算結果!D854)=0,"",IF(ISNA(計算結果!D854),"",計算結果!D854))</f>
        <v>L</v>
      </c>
      <c r="E854" s="10" t="str">
        <f>IF(IF(ISNA(計算結果!E854),"",計算結果!E854)=0,"",IF(ISNA(計算結果!E854),"",計算結果!E854))</f>
        <v/>
      </c>
      <c r="F854" s="10" t="str">
        <f>IF(IF(ISNA(計算結果!F854),"",計算結果!F854)=0,"",IF(ISNA(計算結果!F854),"",計算結果!F854))</f>
        <v/>
      </c>
      <c r="G854" s="10" t="str">
        <f>IF(IF(ISNA(計算結果!G854),"",計算結果!G854)=0,"",IF(ISNA(計算結果!G854),"",計算結果!G854))</f>
        <v/>
      </c>
      <c r="H854" s="13">
        <f>IF(IF(ISNA(計算結果!H854),"",計算結果!H854)=0,"",IF(ISNA(計算結果!H854),"",計算結果!H854))</f>
        <v>-2</v>
      </c>
      <c r="I854" s="12" t="str">
        <f>IF(IF(ISNA(計算結果!I854),"",計算結果!I854)=0,"",IF(ISNA(計算結果!I854),"",計算結果!I854))</f>
        <v/>
      </c>
      <c r="J854" s="12" t="str">
        <f>IF(IF(ISNA(計算結果!J854),"",計算結果!J854)=0,"",IF(ISNA(計算結果!J854),"",計算結果!J854))</f>
        <v/>
      </c>
      <c r="K854" s="23" t="str">
        <f>IF(IF(ISNA(計算結果!K854),"",計算結果!K854)=0,"",IF(ISNA(計算結果!K854),"",計算結果!K854))</f>
        <v/>
      </c>
      <c r="L854" s="13" t="str">
        <f>IF(IF(ISNA(計算結果!L854),"",計算結果!L854)=0,"",IF(ISNA(計算結果!L854),"",計算結果!L854))</f>
        <v/>
      </c>
      <c r="M854" s="10" t="str">
        <f>IF(IF(ISNA(計算結果!M854),"",計算結果!M854)=0,"",IF(ISNA(計算結果!M854),"",計算結果!M854))</f>
        <v/>
      </c>
      <c r="N854" s="10" t="str">
        <f>IF(IF(ISNA(計算結果!N854),"",計算結果!N854)=0,"",IF(ISNA(計算結果!N854),"",計算結果!N854))</f>
        <v/>
      </c>
      <c r="O854" s="13" t="str">
        <f>IF(IF(ISNA(計算結果!O854),"",計算結果!O854)=0,"",IF(ISNA(計算結果!O854),"",計算結果!O854))</f>
        <v/>
      </c>
      <c r="P854" s="10" t="str">
        <f>IF(IF(ISNA(計算結果!P854),"",計算結果!P854)=0,"",IF(ISNA(計算結果!P854),"",計算結果!P854))</f>
        <v/>
      </c>
      <c r="Q854" s="10" t="str">
        <f>IF(IF(ISNA(計算結果!Q854),"",計算結果!Q854)=0,"",IF(ISNA(計算結果!Q854),"",計算結果!Q854))</f>
        <v/>
      </c>
      <c r="R854" s="14" t="str">
        <f t="shared" si="39"/>
        <v/>
      </c>
      <c r="S854" s="14" t="str">
        <f t="shared" si="40"/>
        <v>◯</v>
      </c>
      <c r="T854" s="14" t="str">
        <f t="shared" si="41"/>
        <v/>
      </c>
    </row>
    <row r="855" spans="1:20" hidden="1" x14ac:dyDescent="0.45">
      <c r="A855" s="10" t="str">
        <f>IF(IF(ISNA(計算結果!A855),"",計算結果!A855)=0,"",IF(ISNA(計算結果!A855),"",計算結果!A855))</f>
        <v/>
      </c>
      <c r="B855" s="10" t="str">
        <f>IF(IF(ISNA(計算結果!B855),"",計算結果!B855)=0,"",IF(ISNA(計算結果!B855),"",計算結果!B855))</f>
        <v/>
      </c>
      <c r="C855" s="10" t="str">
        <f>IF(IF(ISNA(計算結果!C855),"",計算結果!C855)=0,"",IF(ISNA(計算結果!C855),"",計算結果!C855))</f>
        <v/>
      </c>
      <c r="D855" s="10" t="str">
        <f>IF(IF(ISNA(計算結果!D855),"",計算結果!D855)=0,"",IF(ISNA(計算結果!D855),"",計算結果!D855))</f>
        <v>L</v>
      </c>
      <c r="E855" s="10" t="str">
        <f>IF(IF(ISNA(計算結果!E855),"",計算結果!E855)=0,"",IF(ISNA(計算結果!E855),"",計算結果!E855))</f>
        <v/>
      </c>
      <c r="F855" s="10" t="str">
        <f>IF(IF(ISNA(計算結果!F855),"",計算結果!F855)=0,"",IF(ISNA(計算結果!F855),"",計算結果!F855))</f>
        <v/>
      </c>
      <c r="G855" s="10" t="str">
        <f>IF(IF(ISNA(計算結果!G855),"",計算結果!G855)=0,"",IF(ISNA(計算結果!G855),"",計算結果!G855))</f>
        <v/>
      </c>
      <c r="H855" s="13">
        <f>IF(IF(ISNA(計算結果!H855),"",計算結果!H855)=0,"",IF(ISNA(計算結果!H855),"",計算結果!H855))</f>
        <v>-2</v>
      </c>
      <c r="I855" s="12" t="str">
        <f>IF(IF(ISNA(計算結果!I855),"",計算結果!I855)=0,"",IF(ISNA(計算結果!I855),"",計算結果!I855))</f>
        <v/>
      </c>
      <c r="J855" s="12" t="str">
        <f>IF(IF(ISNA(計算結果!J855),"",計算結果!J855)=0,"",IF(ISNA(計算結果!J855),"",計算結果!J855))</f>
        <v/>
      </c>
      <c r="K855" s="23" t="str">
        <f>IF(IF(ISNA(計算結果!K855),"",計算結果!K855)=0,"",IF(ISNA(計算結果!K855),"",計算結果!K855))</f>
        <v/>
      </c>
      <c r="L855" s="13" t="str">
        <f>IF(IF(ISNA(計算結果!L855),"",計算結果!L855)=0,"",IF(ISNA(計算結果!L855),"",計算結果!L855))</f>
        <v/>
      </c>
      <c r="M855" s="10" t="str">
        <f>IF(IF(ISNA(計算結果!M855),"",計算結果!M855)=0,"",IF(ISNA(計算結果!M855),"",計算結果!M855))</f>
        <v/>
      </c>
      <c r="N855" s="10" t="str">
        <f>IF(IF(ISNA(計算結果!N855),"",計算結果!N855)=0,"",IF(ISNA(計算結果!N855),"",計算結果!N855))</f>
        <v/>
      </c>
      <c r="O855" s="13" t="str">
        <f>IF(IF(ISNA(計算結果!O855),"",計算結果!O855)=0,"",IF(ISNA(計算結果!O855),"",計算結果!O855))</f>
        <v/>
      </c>
      <c r="P855" s="10" t="str">
        <f>IF(IF(ISNA(計算結果!P855),"",計算結果!P855)=0,"",IF(ISNA(計算結果!P855),"",計算結果!P855))</f>
        <v/>
      </c>
      <c r="Q855" s="10" t="str">
        <f>IF(IF(ISNA(計算結果!Q855),"",計算結果!Q855)=0,"",IF(ISNA(計算結果!Q855),"",計算結果!Q855))</f>
        <v/>
      </c>
      <c r="R855" s="14" t="str">
        <f t="shared" si="39"/>
        <v/>
      </c>
      <c r="S855" s="14" t="str">
        <f t="shared" si="40"/>
        <v>◯</v>
      </c>
      <c r="T855" s="14" t="str">
        <f t="shared" si="41"/>
        <v/>
      </c>
    </row>
    <row r="856" spans="1:20" hidden="1" x14ac:dyDescent="0.45">
      <c r="A856" s="10" t="str">
        <f>IF(IF(ISNA(計算結果!A856),"",計算結果!A856)=0,"",IF(ISNA(計算結果!A856),"",計算結果!A856))</f>
        <v/>
      </c>
      <c r="B856" s="10" t="str">
        <f>IF(IF(ISNA(計算結果!B856),"",計算結果!B856)=0,"",IF(ISNA(計算結果!B856),"",計算結果!B856))</f>
        <v/>
      </c>
      <c r="C856" s="10" t="str">
        <f>IF(IF(ISNA(計算結果!C856),"",計算結果!C856)=0,"",IF(ISNA(計算結果!C856),"",計算結果!C856))</f>
        <v/>
      </c>
      <c r="D856" s="10" t="str">
        <f>IF(IF(ISNA(計算結果!D856),"",計算結果!D856)=0,"",IF(ISNA(計算結果!D856),"",計算結果!D856))</f>
        <v>L</v>
      </c>
      <c r="E856" s="10" t="str">
        <f>IF(IF(ISNA(計算結果!E856),"",計算結果!E856)=0,"",IF(ISNA(計算結果!E856),"",計算結果!E856))</f>
        <v/>
      </c>
      <c r="F856" s="10" t="str">
        <f>IF(IF(ISNA(計算結果!F856),"",計算結果!F856)=0,"",IF(ISNA(計算結果!F856),"",計算結果!F856))</f>
        <v/>
      </c>
      <c r="G856" s="10" t="str">
        <f>IF(IF(ISNA(計算結果!G856),"",計算結果!G856)=0,"",IF(ISNA(計算結果!G856),"",計算結果!G856))</f>
        <v/>
      </c>
      <c r="H856" s="13">
        <f>IF(IF(ISNA(計算結果!H856),"",計算結果!H856)=0,"",IF(ISNA(計算結果!H856),"",計算結果!H856))</f>
        <v>-2</v>
      </c>
      <c r="I856" s="12" t="str">
        <f>IF(IF(ISNA(計算結果!I856),"",計算結果!I856)=0,"",IF(ISNA(計算結果!I856),"",計算結果!I856))</f>
        <v/>
      </c>
      <c r="J856" s="12" t="str">
        <f>IF(IF(ISNA(計算結果!J856),"",計算結果!J856)=0,"",IF(ISNA(計算結果!J856),"",計算結果!J856))</f>
        <v/>
      </c>
      <c r="K856" s="23" t="str">
        <f>IF(IF(ISNA(計算結果!K856),"",計算結果!K856)=0,"",IF(ISNA(計算結果!K856),"",計算結果!K856))</f>
        <v/>
      </c>
      <c r="L856" s="13" t="str">
        <f>IF(IF(ISNA(計算結果!L856),"",計算結果!L856)=0,"",IF(ISNA(計算結果!L856),"",計算結果!L856))</f>
        <v/>
      </c>
      <c r="M856" s="10" t="str">
        <f>IF(IF(ISNA(計算結果!M856),"",計算結果!M856)=0,"",IF(ISNA(計算結果!M856),"",計算結果!M856))</f>
        <v/>
      </c>
      <c r="N856" s="10" t="str">
        <f>IF(IF(ISNA(計算結果!N856),"",計算結果!N856)=0,"",IF(ISNA(計算結果!N856),"",計算結果!N856))</f>
        <v/>
      </c>
      <c r="O856" s="13" t="str">
        <f>IF(IF(ISNA(計算結果!O856),"",計算結果!O856)=0,"",IF(ISNA(計算結果!O856),"",計算結果!O856))</f>
        <v/>
      </c>
      <c r="P856" s="10" t="str">
        <f>IF(IF(ISNA(計算結果!P856),"",計算結果!P856)=0,"",IF(ISNA(計算結果!P856),"",計算結果!P856))</f>
        <v/>
      </c>
      <c r="Q856" s="10" t="str">
        <f>IF(IF(ISNA(計算結果!Q856),"",計算結果!Q856)=0,"",IF(ISNA(計算結果!Q856),"",計算結果!Q856))</f>
        <v/>
      </c>
      <c r="R856" s="14" t="str">
        <f t="shared" si="39"/>
        <v/>
      </c>
      <c r="S856" s="14" t="str">
        <f t="shared" si="40"/>
        <v>◯</v>
      </c>
      <c r="T856" s="14" t="str">
        <f t="shared" si="41"/>
        <v/>
      </c>
    </row>
    <row r="857" spans="1:20" hidden="1" x14ac:dyDescent="0.45">
      <c r="A857" s="10" t="str">
        <f>IF(IF(ISNA(計算結果!A857),"",計算結果!A857)=0,"",IF(ISNA(計算結果!A857),"",計算結果!A857))</f>
        <v/>
      </c>
      <c r="B857" s="10" t="str">
        <f>IF(IF(ISNA(計算結果!B857),"",計算結果!B857)=0,"",IF(ISNA(計算結果!B857),"",計算結果!B857))</f>
        <v/>
      </c>
      <c r="C857" s="10" t="str">
        <f>IF(IF(ISNA(計算結果!C857),"",計算結果!C857)=0,"",IF(ISNA(計算結果!C857),"",計算結果!C857))</f>
        <v/>
      </c>
      <c r="D857" s="10" t="str">
        <f>IF(IF(ISNA(計算結果!D857),"",計算結果!D857)=0,"",IF(ISNA(計算結果!D857),"",計算結果!D857))</f>
        <v>L</v>
      </c>
      <c r="E857" s="10" t="str">
        <f>IF(IF(ISNA(計算結果!E857),"",計算結果!E857)=0,"",IF(ISNA(計算結果!E857),"",計算結果!E857))</f>
        <v/>
      </c>
      <c r="F857" s="10" t="str">
        <f>IF(IF(ISNA(計算結果!F857),"",計算結果!F857)=0,"",IF(ISNA(計算結果!F857),"",計算結果!F857))</f>
        <v/>
      </c>
      <c r="G857" s="10" t="str">
        <f>IF(IF(ISNA(計算結果!G857),"",計算結果!G857)=0,"",IF(ISNA(計算結果!G857),"",計算結果!G857))</f>
        <v/>
      </c>
      <c r="H857" s="13">
        <f>IF(IF(ISNA(計算結果!H857),"",計算結果!H857)=0,"",IF(ISNA(計算結果!H857),"",計算結果!H857))</f>
        <v>-2</v>
      </c>
      <c r="I857" s="12" t="str">
        <f>IF(IF(ISNA(計算結果!I857),"",計算結果!I857)=0,"",IF(ISNA(計算結果!I857),"",計算結果!I857))</f>
        <v/>
      </c>
      <c r="J857" s="12" t="str">
        <f>IF(IF(ISNA(計算結果!J857),"",計算結果!J857)=0,"",IF(ISNA(計算結果!J857),"",計算結果!J857))</f>
        <v/>
      </c>
      <c r="K857" s="23" t="str">
        <f>IF(IF(ISNA(計算結果!K857),"",計算結果!K857)=0,"",IF(ISNA(計算結果!K857),"",計算結果!K857))</f>
        <v/>
      </c>
      <c r="L857" s="13" t="str">
        <f>IF(IF(ISNA(計算結果!L857),"",計算結果!L857)=0,"",IF(ISNA(計算結果!L857),"",計算結果!L857))</f>
        <v/>
      </c>
      <c r="M857" s="10" t="str">
        <f>IF(IF(ISNA(計算結果!M857),"",計算結果!M857)=0,"",IF(ISNA(計算結果!M857),"",計算結果!M857))</f>
        <v/>
      </c>
      <c r="N857" s="10" t="str">
        <f>IF(IF(ISNA(計算結果!N857),"",計算結果!N857)=0,"",IF(ISNA(計算結果!N857),"",計算結果!N857))</f>
        <v/>
      </c>
      <c r="O857" s="13" t="str">
        <f>IF(IF(ISNA(計算結果!O857),"",計算結果!O857)=0,"",IF(ISNA(計算結果!O857),"",計算結果!O857))</f>
        <v/>
      </c>
      <c r="P857" s="10" t="str">
        <f>IF(IF(ISNA(計算結果!P857),"",計算結果!P857)=0,"",IF(ISNA(計算結果!P857),"",計算結果!P857))</f>
        <v/>
      </c>
      <c r="Q857" s="10" t="str">
        <f>IF(IF(ISNA(計算結果!Q857),"",計算結果!Q857)=0,"",IF(ISNA(計算結果!Q857),"",計算結果!Q857))</f>
        <v/>
      </c>
      <c r="R857" s="14" t="str">
        <f t="shared" si="39"/>
        <v/>
      </c>
      <c r="S857" s="14" t="str">
        <f t="shared" si="40"/>
        <v>◯</v>
      </c>
      <c r="T857" s="14" t="str">
        <f t="shared" si="41"/>
        <v/>
      </c>
    </row>
    <row r="858" spans="1:20" hidden="1" x14ac:dyDescent="0.45">
      <c r="A858" s="10" t="str">
        <f>IF(IF(ISNA(計算結果!A858),"",計算結果!A858)=0,"",IF(ISNA(計算結果!A858),"",計算結果!A858))</f>
        <v/>
      </c>
      <c r="B858" s="10" t="str">
        <f>IF(IF(ISNA(計算結果!B858),"",計算結果!B858)=0,"",IF(ISNA(計算結果!B858),"",計算結果!B858))</f>
        <v/>
      </c>
      <c r="C858" s="10" t="str">
        <f>IF(IF(ISNA(計算結果!C858),"",計算結果!C858)=0,"",IF(ISNA(計算結果!C858),"",計算結果!C858))</f>
        <v/>
      </c>
      <c r="D858" s="10" t="str">
        <f>IF(IF(ISNA(計算結果!D858),"",計算結果!D858)=0,"",IF(ISNA(計算結果!D858),"",計算結果!D858))</f>
        <v>L</v>
      </c>
      <c r="E858" s="10" t="str">
        <f>IF(IF(ISNA(計算結果!E858),"",計算結果!E858)=0,"",IF(ISNA(計算結果!E858),"",計算結果!E858))</f>
        <v/>
      </c>
      <c r="F858" s="10" t="str">
        <f>IF(IF(ISNA(計算結果!F858),"",計算結果!F858)=0,"",IF(ISNA(計算結果!F858),"",計算結果!F858))</f>
        <v/>
      </c>
      <c r="G858" s="10" t="str">
        <f>IF(IF(ISNA(計算結果!G858),"",計算結果!G858)=0,"",IF(ISNA(計算結果!G858),"",計算結果!G858))</f>
        <v/>
      </c>
      <c r="H858" s="13">
        <f>IF(IF(ISNA(計算結果!H858),"",計算結果!H858)=0,"",IF(ISNA(計算結果!H858),"",計算結果!H858))</f>
        <v>-2</v>
      </c>
      <c r="I858" s="12" t="str">
        <f>IF(IF(ISNA(計算結果!I858),"",計算結果!I858)=0,"",IF(ISNA(計算結果!I858),"",計算結果!I858))</f>
        <v/>
      </c>
      <c r="J858" s="12" t="str">
        <f>IF(IF(ISNA(計算結果!J858),"",計算結果!J858)=0,"",IF(ISNA(計算結果!J858),"",計算結果!J858))</f>
        <v/>
      </c>
      <c r="K858" s="23" t="str">
        <f>IF(IF(ISNA(計算結果!K858),"",計算結果!K858)=0,"",IF(ISNA(計算結果!K858),"",計算結果!K858))</f>
        <v/>
      </c>
      <c r="L858" s="13" t="str">
        <f>IF(IF(ISNA(計算結果!L858),"",計算結果!L858)=0,"",IF(ISNA(計算結果!L858),"",計算結果!L858))</f>
        <v/>
      </c>
      <c r="M858" s="10" t="str">
        <f>IF(IF(ISNA(計算結果!M858),"",計算結果!M858)=0,"",IF(ISNA(計算結果!M858),"",計算結果!M858))</f>
        <v/>
      </c>
      <c r="N858" s="10" t="str">
        <f>IF(IF(ISNA(計算結果!N858),"",計算結果!N858)=0,"",IF(ISNA(計算結果!N858),"",計算結果!N858))</f>
        <v/>
      </c>
      <c r="O858" s="13" t="str">
        <f>IF(IF(ISNA(計算結果!O858),"",計算結果!O858)=0,"",IF(ISNA(計算結果!O858),"",計算結果!O858))</f>
        <v/>
      </c>
      <c r="P858" s="10" t="str">
        <f>IF(IF(ISNA(計算結果!P858),"",計算結果!P858)=0,"",IF(ISNA(計算結果!P858),"",計算結果!P858))</f>
        <v/>
      </c>
      <c r="Q858" s="10" t="str">
        <f>IF(IF(ISNA(計算結果!Q858),"",計算結果!Q858)=0,"",IF(ISNA(計算結果!Q858),"",計算結果!Q858))</f>
        <v/>
      </c>
      <c r="R858" s="14" t="str">
        <f t="shared" si="39"/>
        <v/>
      </c>
      <c r="S858" s="14" t="str">
        <f t="shared" si="40"/>
        <v>◯</v>
      </c>
      <c r="T858" s="14" t="str">
        <f t="shared" si="41"/>
        <v/>
      </c>
    </row>
    <row r="859" spans="1:20" hidden="1" x14ac:dyDescent="0.45">
      <c r="A859" s="10" t="str">
        <f>IF(IF(ISNA(計算結果!A859),"",計算結果!A859)=0,"",IF(ISNA(計算結果!A859),"",計算結果!A859))</f>
        <v/>
      </c>
      <c r="B859" s="10" t="str">
        <f>IF(IF(ISNA(計算結果!B859),"",計算結果!B859)=0,"",IF(ISNA(計算結果!B859),"",計算結果!B859))</f>
        <v/>
      </c>
      <c r="C859" s="10" t="str">
        <f>IF(IF(ISNA(計算結果!C859),"",計算結果!C859)=0,"",IF(ISNA(計算結果!C859),"",計算結果!C859))</f>
        <v/>
      </c>
      <c r="D859" s="10" t="str">
        <f>IF(IF(ISNA(計算結果!D859),"",計算結果!D859)=0,"",IF(ISNA(計算結果!D859),"",計算結果!D859))</f>
        <v>L</v>
      </c>
      <c r="E859" s="10" t="str">
        <f>IF(IF(ISNA(計算結果!E859),"",計算結果!E859)=0,"",IF(ISNA(計算結果!E859),"",計算結果!E859))</f>
        <v/>
      </c>
      <c r="F859" s="10" t="str">
        <f>IF(IF(ISNA(計算結果!F859),"",計算結果!F859)=0,"",IF(ISNA(計算結果!F859),"",計算結果!F859))</f>
        <v/>
      </c>
      <c r="G859" s="10" t="str">
        <f>IF(IF(ISNA(計算結果!G859),"",計算結果!G859)=0,"",IF(ISNA(計算結果!G859),"",計算結果!G859))</f>
        <v/>
      </c>
      <c r="H859" s="13">
        <f>IF(IF(ISNA(計算結果!H859),"",計算結果!H859)=0,"",IF(ISNA(計算結果!H859),"",計算結果!H859))</f>
        <v>-2</v>
      </c>
      <c r="I859" s="12" t="str">
        <f>IF(IF(ISNA(計算結果!I859),"",計算結果!I859)=0,"",IF(ISNA(計算結果!I859),"",計算結果!I859))</f>
        <v/>
      </c>
      <c r="J859" s="12" t="str">
        <f>IF(IF(ISNA(計算結果!J859),"",計算結果!J859)=0,"",IF(ISNA(計算結果!J859),"",計算結果!J859))</f>
        <v/>
      </c>
      <c r="K859" s="23" t="str">
        <f>IF(IF(ISNA(計算結果!K859),"",計算結果!K859)=0,"",IF(ISNA(計算結果!K859),"",計算結果!K859))</f>
        <v/>
      </c>
      <c r="L859" s="13" t="str">
        <f>IF(IF(ISNA(計算結果!L859),"",計算結果!L859)=0,"",IF(ISNA(計算結果!L859),"",計算結果!L859))</f>
        <v/>
      </c>
      <c r="M859" s="10" t="str">
        <f>IF(IF(ISNA(計算結果!M859),"",計算結果!M859)=0,"",IF(ISNA(計算結果!M859),"",計算結果!M859))</f>
        <v/>
      </c>
      <c r="N859" s="10" t="str">
        <f>IF(IF(ISNA(計算結果!N859),"",計算結果!N859)=0,"",IF(ISNA(計算結果!N859),"",計算結果!N859))</f>
        <v/>
      </c>
      <c r="O859" s="13" t="str">
        <f>IF(IF(ISNA(計算結果!O859),"",計算結果!O859)=0,"",IF(ISNA(計算結果!O859),"",計算結果!O859))</f>
        <v/>
      </c>
      <c r="P859" s="10" t="str">
        <f>IF(IF(ISNA(計算結果!P859),"",計算結果!P859)=0,"",IF(ISNA(計算結果!P859),"",計算結果!P859))</f>
        <v/>
      </c>
      <c r="Q859" s="10" t="str">
        <f>IF(IF(ISNA(計算結果!Q859),"",計算結果!Q859)=0,"",IF(ISNA(計算結果!Q859),"",計算結果!Q859))</f>
        <v/>
      </c>
      <c r="R859" s="14" t="str">
        <f t="shared" si="39"/>
        <v/>
      </c>
      <c r="S859" s="14" t="str">
        <f t="shared" si="40"/>
        <v>◯</v>
      </c>
      <c r="T859" s="14" t="str">
        <f t="shared" si="41"/>
        <v/>
      </c>
    </row>
    <row r="860" spans="1:20" hidden="1" x14ac:dyDescent="0.45">
      <c r="A860" s="10" t="str">
        <f>IF(IF(ISNA(計算結果!A860),"",計算結果!A860)=0,"",IF(ISNA(計算結果!A860),"",計算結果!A860))</f>
        <v/>
      </c>
      <c r="B860" s="10" t="str">
        <f>IF(IF(ISNA(計算結果!B860),"",計算結果!B860)=0,"",IF(ISNA(計算結果!B860),"",計算結果!B860))</f>
        <v/>
      </c>
      <c r="C860" s="10" t="str">
        <f>IF(IF(ISNA(計算結果!C860),"",計算結果!C860)=0,"",IF(ISNA(計算結果!C860),"",計算結果!C860))</f>
        <v/>
      </c>
      <c r="D860" s="10" t="str">
        <f>IF(IF(ISNA(計算結果!D860),"",計算結果!D860)=0,"",IF(ISNA(計算結果!D860),"",計算結果!D860))</f>
        <v>L</v>
      </c>
      <c r="E860" s="10" t="str">
        <f>IF(IF(ISNA(計算結果!E860),"",計算結果!E860)=0,"",IF(ISNA(計算結果!E860),"",計算結果!E860))</f>
        <v/>
      </c>
      <c r="F860" s="10" t="str">
        <f>IF(IF(ISNA(計算結果!F860),"",計算結果!F860)=0,"",IF(ISNA(計算結果!F860),"",計算結果!F860))</f>
        <v/>
      </c>
      <c r="G860" s="10" t="str">
        <f>IF(IF(ISNA(計算結果!G860),"",計算結果!G860)=0,"",IF(ISNA(計算結果!G860),"",計算結果!G860))</f>
        <v/>
      </c>
      <c r="H860" s="13">
        <f>IF(IF(ISNA(計算結果!H860),"",計算結果!H860)=0,"",IF(ISNA(計算結果!H860),"",計算結果!H860))</f>
        <v>-2</v>
      </c>
      <c r="I860" s="12" t="str">
        <f>IF(IF(ISNA(計算結果!I860),"",計算結果!I860)=0,"",IF(ISNA(計算結果!I860),"",計算結果!I860))</f>
        <v/>
      </c>
      <c r="J860" s="12" t="str">
        <f>IF(IF(ISNA(計算結果!J860),"",計算結果!J860)=0,"",IF(ISNA(計算結果!J860),"",計算結果!J860))</f>
        <v/>
      </c>
      <c r="K860" s="23" t="str">
        <f>IF(IF(ISNA(計算結果!K860),"",計算結果!K860)=0,"",IF(ISNA(計算結果!K860),"",計算結果!K860))</f>
        <v/>
      </c>
      <c r="L860" s="13" t="str">
        <f>IF(IF(ISNA(計算結果!L860),"",計算結果!L860)=0,"",IF(ISNA(計算結果!L860),"",計算結果!L860))</f>
        <v/>
      </c>
      <c r="M860" s="10" t="str">
        <f>IF(IF(ISNA(計算結果!M860),"",計算結果!M860)=0,"",IF(ISNA(計算結果!M860),"",計算結果!M860))</f>
        <v/>
      </c>
      <c r="N860" s="10" t="str">
        <f>IF(IF(ISNA(計算結果!N860),"",計算結果!N860)=0,"",IF(ISNA(計算結果!N860),"",計算結果!N860))</f>
        <v/>
      </c>
      <c r="O860" s="13" t="str">
        <f>IF(IF(ISNA(計算結果!O860),"",計算結果!O860)=0,"",IF(ISNA(計算結果!O860),"",計算結果!O860))</f>
        <v/>
      </c>
      <c r="P860" s="10" t="str">
        <f>IF(IF(ISNA(計算結果!P860),"",計算結果!P860)=0,"",IF(ISNA(計算結果!P860),"",計算結果!P860))</f>
        <v/>
      </c>
      <c r="Q860" s="10" t="str">
        <f>IF(IF(ISNA(計算結果!Q860),"",計算結果!Q860)=0,"",IF(ISNA(計算結果!Q860),"",計算結果!Q860))</f>
        <v/>
      </c>
      <c r="R860" s="14" t="str">
        <f t="shared" si="39"/>
        <v/>
      </c>
      <c r="S860" s="14" t="str">
        <f t="shared" si="40"/>
        <v>◯</v>
      </c>
      <c r="T860" s="14" t="str">
        <f t="shared" si="41"/>
        <v/>
      </c>
    </row>
    <row r="861" spans="1:20" hidden="1" x14ac:dyDescent="0.45">
      <c r="A861" s="10" t="str">
        <f>IF(IF(ISNA(計算結果!A861),"",計算結果!A861)=0,"",IF(ISNA(計算結果!A861),"",計算結果!A861))</f>
        <v/>
      </c>
      <c r="B861" s="10" t="str">
        <f>IF(IF(ISNA(計算結果!B861),"",計算結果!B861)=0,"",IF(ISNA(計算結果!B861),"",計算結果!B861))</f>
        <v/>
      </c>
      <c r="C861" s="10" t="str">
        <f>IF(IF(ISNA(計算結果!C861),"",計算結果!C861)=0,"",IF(ISNA(計算結果!C861),"",計算結果!C861))</f>
        <v/>
      </c>
      <c r="D861" s="10" t="str">
        <f>IF(IF(ISNA(計算結果!D861),"",計算結果!D861)=0,"",IF(ISNA(計算結果!D861),"",計算結果!D861))</f>
        <v>L</v>
      </c>
      <c r="E861" s="10" t="str">
        <f>IF(IF(ISNA(計算結果!E861),"",計算結果!E861)=0,"",IF(ISNA(計算結果!E861),"",計算結果!E861))</f>
        <v/>
      </c>
      <c r="F861" s="10" t="str">
        <f>IF(IF(ISNA(計算結果!F861),"",計算結果!F861)=0,"",IF(ISNA(計算結果!F861),"",計算結果!F861))</f>
        <v/>
      </c>
      <c r="G861" s="10" t="str">
        <f>IF(IF(ISNA(計算結果!G861),"",計算結果!G861)=0,"",IF(ISNA(計算結果!G861),"",計算結果!G861))</f>
        <v/>
      </c>
      <c r="H861" s="13">
        <f>IF(IF(ISNA(計算結果!H861),"",計算結果!H861)=0,"",IF(ISNA(計算結果!H861),"",計算結果!H861))</f>
        <v>-2</v>
      </c>
      <c r="I861" s="12" t="str">
        <f>IF(IF(ISNA(計算結果!I861),"",計算結果!I861)=0,"",IF(ISNA(計算結果!I861),"",計算結果!I861))</f>
        <v/>
      </c>
      <c r="J861" s="12" t="str">
        <f>IF(IF(ISNA(計算結果!J861),"",計算結果!J861)=0,"",IF(ISNA(計算結果!J861),"",計算結果!J861))</f>
        <v/>
      </c>
      <c r="K861" s="23" t="str">
        <f>IF(IF(ISNA(計算結果!K861),"",計算結果!K861)=0,"",IF(ISNA(計算結果!K861),"",計算結果!K861))</f>
        <v/>
      </c>
      <c r="L861" s="13" t="str">
        <f>IF(IF(ISNA(計算結果!L861),"",計算結果!L861)=0,"",IF(ISNA(計算結果!L861),"",計算結果!L861))</f>
        <v/>
      </c>
      <c r="M861" s="10" t="str">
        <f>IF(IF(ISNA(計算結果!M861),"",計算結果!M861)=0,"",IF(ISNA(計算結果!M861),"",計算結果!M861))</f>
        <v/>
      </c>
      <c r="N861" s="10" t="str">
        <f>IF(IF(ISNA(計算結果!N861),"",計算結果!N861)=0,"",IF(ISNA(計算結果!N861),"",計算結果!N861))</f>
        <v/>
      </c>
      <c r="O861" s="13" t="str">
        <f>IF(IF(ISNA(計算結果!O861),"",計算結果!O861)=0,"",IF(ISNA(計算結果!O861),"",計算結果!O861))</f>
        <v/>
      </c>
      <c r="P861" s="10" t="str">
        <f>IF(IF(ISNA(計算結果!P861),"",計算結果!P861)=0,"",IF(ISNA(計算結果!P861),"",計算結果!P861))</f>
        <v/>
      </c>
      <c r="Q861" s="10" t="str">
        <f>IF(IF(ISNA(計算結果!Q861),"",計算結果!Q861)=0,"",IF(ISNA(計算結果!Q861),"",計算結果!Q861))</f>
        <v/>
      </c>
      <c r="R861" s="14" t="str">
        <f t="shared" si="39"/>
        <v/>
      </c>
      <c r="S861" s="14" t="str">
        <f t="shared" si="40"/>
        <v>◯</v>
      </c>
      <c r="T861" s="14" t="str">
        <f t="shared" si="41"/>
        <v/>
      </c>
    </row>
    <row r="862" spans="1:20" hidden="1" x14ac:dyDescent="0.45">
      <c r="A862" s="10" t="str">
        <f>IF(IF(ISNA(計算結果!A862),"",計算結果!A862)=0,"",IF(ISNA(計算結果!A862),"",計算結果!A862))</f>
        <v/>
      </c>
      <c r="B862" s="10" t="str">
        <f>IF(IF(ISNA(計算結果!B862),"",計算結果!B862)=0,"",IF(ISNA(計算結果!B862),"",計算結果!B862))</f>
        <v/>
      </c>
      <c r="C862" s="10" t="str">
        <f>IF(IF(ISNA(計算結果!C862),"",計算結果!C862)=0,"",IF(ISNA(計算結果!C862),"",計算結果!C862))</f>
        <v/>
      </c>
      <c r="D862" s="10" t="str">
        <f>IF(IF(ISNA(計算結果!D862),"",計算結果!D862)=0,"",IF(ISNA(計算結果!D862),"",計算結果!D862))</f>
        <v>L</v>
      </c>
      <c r="E862" s="10" t="str">
        <f>IF(IF(ISNA(計算結果!E862),"",計算結果!E862)=0,"",IF(ISNA(計算結果!E862),"",計算結果!E862))</f>
        <v/>
      </c>
      <c r="F862" s="10" t="str">
        <f>IF(IF(ISNA(計算結果!F862),"",計算結果!F862)=0,"",IF(ISNA(計算結果!F862),"",計算結果!F862))</f>
        <v/>
      </c>
      <c r="G862" s="10" t="str">
        <f>IF(IF(ISNA(計算結果!G862),"",計算結果!G862)=0,"",IF(ISNA(計算結果!G862),"",計算結果!G862))</f>
        <v/>
      </c>
      <c r="H862" s="13">
        <f>IF(IF(ISNA(計算結果!H862),"",計算結果!H862)=0,"",IF(ISNA(計算結果!H862),"",計算結果!H862))</f>
        <v>-2</v>
      </c>
      <c r="I862" s="12" t="str">
        <f>IF(IF(ISNA(計算結果!I862),"",計算結果!I862)=0,"",IF(ISNA(計算結果!I862),"",計算結果!I862))</f>
        <v/>
      </c>
      <c r="J862" s="12" t="str">
        <f>IF(IF(ISNA(計算結果!J862),"",計算結果!J862)=0,"",IF(ISNA(計算結果!J862),"",計算結果!J862))</f>
        <v/>
      </c>
      <c r="K862" s="23" t="str">
        <f>IF(IF(ISNA(計算結果!K862),"",計算結果!K862)=0,"",IF(ISNA(計算結果!K862),"",計算結果!K862))</f>
        <v/>
      </c>
      <c r="L862" s="13" t="str">
        <f>IF(IF(ISNA(計算結果!L862),"",計算結果!L862)=0,"",IF(ISNA(計算結果!L862),"",計算結果!L862))</f>
        <v/>
      </c>
      <c r="M862" s="10" t="str">
        <f>IF(IF(ISNA(計算結果!M862),"",計算結果!M862)=0,"",IF(ISNA(計算結果!M862),"",計算結果!M862))</f>
        <v/>
      </c>
      <c r="N862" s="10" t="str">
        <f>IF(IF(ISNA(計算結果!N862),"",計算結果!N862)=0,"",IF(ISNA(計算結果!N862),"",計算結果!N862))</f>
        <v/>
      </c>
      <c r="O862" s="13" t="str">
        <f>IF(IF(ISNA(計算結果!O862),"",計算結果!O862)=0,"",IF(ISNA(計算結果!O862),"",計算結果!O862))</f>
        <v/>
      </c>
      <c r="P862" s="10" t="str">
        <f>IF(IF(ISNA(計算結果!P862),"",計算結果!P862)=0,"",IF(ISNA(計算結果!P862),"",計算結果!P862))</f>
        <v/>
      </c>
      <c r="Q862" s="10" t="str">
        <f>IF(IF(ISNA(計算結果!Q862),"",計算結果!Q862)=0,"",IF(ISNA(計算結果!Q862),"",計算結果!Q862))</f>
        <v/>
      </c>
      <c r="R862" s="14" t="str">
        <f t="shared" si="39"/>
        <v/>
      </c>
      <c r="S862" s="14" t="str">
        <f t="shared" si="40"/>
        <v>◯</v>
      </c>
      <c r="T862" s="14" t="str">
        <f t="shared" si="41"/>
        <v/>
      </c>
    </row>
    <row r="863" spans="1:20" hidden="1" x14ac:dyDescent="0.45">
      <c r="A863" s="10" t="str">
        <f>IF(IF(ISNA(計算結果!A863),"",計算結果!A863)=0,"",IF(ISNA(計算結果!A863),"",計算結果!A863))</f>
        <v/>
      </c>
      <c r="B863" s="10" t="str">
        <f>IF(IF(ISNA(計算結果!B863),"",計算結果!B863)=0,"",IF(ISNA(計算結果!B863),"",計算結果!B863))</f>
        <v/>
      </c>
      <c r="C863" s="10" t="str">
        <f>IF(IF(ISNA(計算結果!C863),"",計算結果!C863)=0,"",IF(ISNA(計算結果!C863),"",計算結果!C863))</f>
        <v/>
      </c>
      <c r="D863" s="10" t="str">
        <f>IF(IF(ISNA(計算結果!D863),"",計算結果!D863)=0,"",IF(ISNA(計算結果!D863),"",計算結果!D863))</f>
        <v>L</v>
      </c>
      <c r="E863" s="10" t="str">
        <f>IF(IF(ISNA(計算結果!E863),"",計算結果!E863)=0,"",IF(ISNA(計算結果!E863),"",計算結果!E863))</f>
        <v/>
      </c>
      <c r="F863" s="10" t="str">
        <f>IF(IF(ISNA(計算結果!F863),"",計算結果!F863)=0,"",IF(ISNA(計算結果!F863),"",計算結果!F863))</f>
        <v/>
      </c>
      <c r="G863" s="10" t="str">
        <f>IF(IF(ISNA(計算結果!G863),"",計算結果!G863)=0,"",IF(ISNA(計算結果!G863),"",計算結果!G863))</f>
        <v/>
      </c>
      <c r="H863" s="13">
        <f>IF(IF(ISNA(計算結果!H863),"",計算結果!H863)=0,"",IF(ISNA(計算結果!H863),"",計算結果!H863))</f>
        <v>-2</v>
      </c>
      <c r="I863" s="12" t="str">
        <f>IF(IF(ISNA(計算結果!I863),"",計算結果!I863)=0,"",IF(ISNA(計算結果!I863),"",計算結果!I863))</f>
        <v/>
      </c>
      <c r="J863" s="12" t="str">
        <f>IF(IF(ISNA(計算結果!J863),"",計算結果!J863)=0,"",IF(ISNA(計算結果!J863),"",計算結果!J863))</f>
        <v/>
      </c>
      <c r="K863" s="23" t="str">
        <f>IF(IF(ISNA(計算結果!K863),"",計算結果!K863)=0,"",IF(ISNA(計算結果!K863),"",計算結果!K863))</f>
        <v/>
      </c>
      <c r="L863" s="13" t="str">
        <f>IF(IF(ISNA(計算結果!L863),"",計算結果!L863)=0,"",IF(ISNA(計算結果!L863),"",計算結果!L863))</f>
        <v/>
      </c>
      <c r="M863" s="10" t="str">
        <f>IF(IF(ISNA(計算結果!M863),"",計算結果!M863)=0,"",IF(ISNA(計算結果!M863),"",計算結果!M863))</f>
        <v/>
      </c>
      <c r="N863" s="10" t="str">
        <f>IF(IF(ISNA(計算結果!N863),"",計算結果!N863)=0,"",IF(ISNA(計算結果!N863),"",計算結果!N863))</f>
        <v/>
      </c>
      <c r="O863" s="13" t="str">
        <f>IF(IF(ISNA(計算結果!O863),"",計算結果!O863)=0,"",IF(ISNA(計算結果!O863),"",計算結果!O863))</f>
        <v/>
      </c>
      <c r="P863" s="10" t="str">
        <f>IF(IF(ISNA(計算結果!P863),"",計算結果!P863)=0,"",IF(ISNA(計算結果!P863),"",計算結果!P863))</f>
        <v/>
      </c>
      <c r="Q863" s="10" t="str">
        <f>IF(IF(ISNA(計算結果!Q863),"",計算結果!Q863)=0,"",IF(ISNA(計算結果!Q863),"",計算結果!Q863))</f>
        <v/>
      </c>
      <c r="R863" s="14" t="str">
        <f t="shared" si="39"/>
        <v/>
      </c>
      <c r="S863" s="14" t="str">
        <f t="shared" si="40"/>
        <v>◯</v>
      </c>
      <c r="T863" s="14" t="str">
        <f t="shared" si="41"/>
        <v/>
      </c>
    </row>
    <row r="864" spans="1:20" hidden="1" x14ac:dyDescent="0.45">
      <c r="A864" s="10" t="str">
        <f>IF(IF(ISNA(計算結果!A864),"",計算結果!A864)=0,"",IF(ISNA(計算結果!A864),"",計算結果!A864))</f>
        <v/>
      </c>
      <c r="B864" s="10" t="str">
        <f>IF(IF(ISNA(計算結果!B864),"",計算結果!B864)=0,"",IF(ISNA(計算結果!B864),"",計算結果!B864))</f>
        <v/>
      </c>
      <c r="C864" s="10" t="str">
        <f>IF(IF(ISNA(計算結果!C864),"",計算結果!C864)=0,"",IF(ISNA(計算結果!C864),"",計算結果!C864))</f>
        <v/>
      </c>
      <c r="D864" s="10" t="str">
        <f>IF(IF(ISNA(計算結果!D864),"",計算結果!D864)=0,"",IF(ISNA(計算結果!D864),"",計算結果!D864))</f>
        <v>L</v>
      </c>
      <c r="E864" s="10" t="str">
        <f>IF(IF(ISNA(計算結果!E864),"",計算結果!E864)=0,"",IF(ISNA(計算結果!E864),"",計算結果!E864))</f>
        <v/>
      </c>
      <c r="F864" s="10" t="str">
        <f>IF(IF(ISNA(計算結果!F864),"",計算結果!F864)=0,"",IF(ISNA(計算結果!F864),"",計算結果!F864))</f>
        <v/>
      </c>
      <c r="G864" s="10" t="str">
        <f>IF(IF(ISNA(計算結果!G864),"",計算結果!G864)=0,"",IF(ISNA(計算結果!G864),"",計算結果!G864))</f>
        <v/>
      </c>
      <c r="H864" s="13">
        <f>IF(IF(ISNA(計算結果!H864),"",計算結果!H864)=0,"",IF(ISNA(計算結果!H864),"",計算結果!H864))</f>
        <v>-2</v>
      </c>
      <c r="I864" s="12" t="str">
        <f>IF(IF(ISNA(計算結果!I864),"",計算結果!I864)=0,"",IF(ISNA(計算結果!I864),"",計算結果!I864))</f>
        <v/>
      </c>
      <c r="J864" s="12" t="str">
        <f>IF(IF(ISNA(計算結果!J864),"",計算結果!J864)=0,"",IF(ISNA(計算結果!J864),"",計算結果!J864))</f>
        <v/>
      </c>
      <c r="K864" s="23" t="str">
        <f>IF(IF(ISNA(計算結果!K864),"",計算結果!K864)=0,"",IF(ISNA(計算結果!K864),"",計算結果!K864))</f>
        <v/>
      </c>
      <c r="L864" s="13" t="str">
        <f>IF(IF(ISNA(計算結果!L864),"",計算結果!L864)=0,"",IF(ISNA(計算結果!L864),"",計算結果!L864))</f>
        <v/>
      </c>
      <c r="M864" s="10" t="str">
        <f>IF(IF(ISNA(計算結果!M864),"",計算結果!M864)=0,"",IF(ISNA(計算結果!M864),"",計算結果!M864))</f>
        <v/>
      </c>
      <c r="N864" s="10" t="str">
        <f>IF(IF(ISNA(計算結果!N864),"",計算結果!N864)=0,"",IF(ISNA(計算結果!N864),"",計算結果!N864))</f>
        <v/>
      </c>
      <c r="O864" s="13" t="str">
        <f>IF(IF(ISNA(計算結果!O864),"",計算結果!O864)=0,"",IF(ISNA(計算結果!O864),"",計算結果!O864))</f>
        <v/>
      </c>
      <c r="P864" s="10" t="str">
        <f>IF(IF(ISNA(計算結果!P864),"",計算結果!P864)=0,"",IF(ISNA(計算結果!P864),"",計算結果!P864))</f>
        <v/>
      </c>
      <c r="Q864" s="10" t="str">
        <f>IF(IF(ISNA(計算結果!Q864),"",計算結果!Q864)=0,"",IF(ISNA(計算結果!Q864),"",計算結果!Q864))</f>
        <v/>
      </c>
      <c r="R864" s="14" t="str">
        <f t="shared" si="39"/>
        <v/>
      </c>
      <c r="S864" s="14" t="str">
        <f t="shared" si="40"/>
        <v>◯</v>
      </c>
      <c r="T864" s="14" t="str">
        <f t="shared" si="41"/>
        <v/>
      </c>
    </row>
    <row r="865" spans="1:20" hidden="1" x14ac:dyDescent="0.45">
      <c r="A865" s="10" t="str">
        <f>IF(IF(ISNA(計算結果!A865),"",計算結果!A865)=0,"",IF(ISNA(計算結果!A865),"",計算結果!A865))</f>
        <v/>
      </c>
      <c r="B865" s="10" t="str">
        <f>IF(IF(ISNA(計算結果!B865),"",計算結果!B865)=0,"",IF(ISNA(計算結果!B865),"",計算結果!B865))</f>
        <v/>
      </c>
      <c r="C865" s="10" t="str">
        <f>IF(IF(ISNA(計算結果!C865),"",計算結果!C865)=0,"",IF(ISNA(計算結果!C865),"",計算結果!C865))</f>
        <v/>
      </c>
      <c r="D865" s="10" t="str">
        <f>IF(IF(ISNA(計算結果!D865),"",計算結果!D865)=0,"",IF(ISNA(計算結果!D865),"",計算結果!D865))</f>
        <v>L</v>
      </c>
      <c r="E865" s="10" t="str">
        <f>IF(IF(ISNA(計算結果!E865),"",計算結果!E865)=0,"",IF(ISNA(計算結果!E865),"",計算結果!E865))</f>
        <v/>
      </c>
      <c r="F865" s="10" t="str">
        <f>IF(IF(ISNA(計算結果!F865),"",計算結果!F865)=0,"",IF(ISNA(計算結果!F865),"",計算結果!F865))</f>
        <v/>
      </c>
      <c r="G865" s="10" t="str">
        <f>IF(IF(ISNA(計算結果!G865),"",計算結果!G865)=0,"",IF(ISNA(計算結果!G865),"",計算結果!G865))</f>
        <v/>
      </c>
      <c r="H865" s="13">
        <f>IF(IF(ISNA(計算結果!H865),"",計算結果!H865)=0,"",IF(ISNA(計算結果!H865),"",計算結果!H865))</f>
        <v>-2</v>
      </c>
      <c r="I865" s="12" t="str">
        <f>IF(IF(ISNA(計算結果!I865),"",計算結果!I865)=0,"",IF(ISNA(計算結果!I865),"",計算結果!I865))</f>
        <v/>
      </c>
      <c r="J865" s="12" t="str">
        <f>IF(IF(ISNA(計算結果!J865),"",計算結果!J865)=0,"",IF(ISNA(計算結果!J865),"",計算結果!J865))</f>
        <v/>
      </c>
      <c r="K865" s="23" t="str">
        <f>IF(IF(ISNA(計算結果!K865),"",計算結果!K865)=0,"",IF(ISNA(計算結果!K865),"",計算結果!K865))</f>
        <v/>
      </c>
      <c r="L865" s="13" t="str">
        <f>IF(IF(ISNA(計算結果!L865),"",計算結果!L865)=0,"",IF(ISNA(計算結果!L865),"",計算結果!L865))</f>
        <v/>
      </c>
      <c r="M865" s="10" t="str">
        <f>IF(IF(ISNA(計算結果!M865),"",計算結果!M865)=0,"",IF(ISNA(計算結果!M865),"",計算結果!M865))</f>
        <v/>
      </c>
      <c r="N865" s="10" t="str">
        <f>IF(IF(ISNA(計算結果!N865),"",計算結果!N865)=0,"",IF(ISNA(計算結果!N865),"",計算結果!N865))</f>
        <v/>
      </c>
      <c r="O865" s="13" t="str">
        <f>IF(IF(ISNA(計算結果!O865),"",計算結果!O865)=0,"",IF(ISNA(計算結果!O865),"",計算結果!O865))</f>
        <v/>
      </c>
      <c r="P865" s="10" t="str">
        <f>IF(IF(ISNA(計算結果!P865),"",計算結果!P865)=0,"",IF(ISNA(計算結果!P865),"",計算結果!P865))</f>
        <v/>
      </c>
      <c r="Q865" s="10" t="str">
        <f>IF(IF(ISNA(計算結果!Q865),"",計算結果!Q865)=0,"",IF(ISNA(計算結果!Q865),"",計算結果!Q865))</f>
        <v/>
      </c>
      <c r="R865" s="14" t="str">
        <f t="shared" si="39"/>
        <v/>
      </c>
      <c r="S865" s="14" t="str">
        <f t="shared" si="40"/>
        <v>◯</v>
      </c>
      <c r="T865" s="14" t="str">
        <f t="shared" si="41"/>
        <v/>
      </c>
    </row>
    <row r="866" spans="1:20" hidden="1" x14ac:dyDescent="0.45">
      <c r="A866" s="10" t="str">
        <f>IF(IF(ISNA(計算結果!A866),"",計算結果!A866)=0,"",IF(ISNA(計算結果!A866),"",計算結果!A866))</f>
        <v/>
      </c>
      <c r="B866" s="10" t="str">
        <f>IF(IF(ISNA(計算結果!B866),"",計算結果!B866)=0,"",IF(ISNA(計算結果!B866),"",計算結果!B866))</f>
        <v/>
      </c>
      <c r="C866" s="10" t="str">
        <f>IF(IF(ISNA(計算結果!C866),"",計算結果!C866)=0,"",IF(ISNA(計算結果!C866),"",計算結果!C866))</f>
        <v/>
      </c>
      <c r="D866" s="10" t="str">
        <f>IF(IF(ISNA(計算結果!D866),"",計算結果!D866)=0,"",IF(ISNA(計算結果!D866),"",計算結果!D866))</f>
        <v>L</v>
      </c>
      <c r="E866" s="10" t="str">
        <f>IF(IF(ISNA(計算結果!E866),"",計算結果!E866)=0,"",IF(ISNA(計算結果!E866),"",計算結果!E866))</f>
        <v/>
      </c>
      <c r="F866" s="10" t="str">
        <f>IF(IF(ISNA(計算結果!F866),"",計算結果!F866)=0,"",IF(ISNA(計算結果!F866),"",計算結果!F866))</f>
        <v/>
      </c>
      <c r="G866" s="10" t="str">
        <f>IF(IF(ISNA(計算結果!G866),"",計算結果!G866)=0,"",IF(ISNA(計算結果!G866),"",計算結果!G866))</f>
        <v/>
      </c>
      <c r="H866" s="13">
        <f>IF(IF(ISNA(計算結果!H866),"",計算結果!H866)=0,"",IF(ISNA(計算結果!H866),"",計算結果!H866))</f>
        <v>-2</v>
      </c>
      <c r="I866" s="12" t="str">
        <f>IF(IF(ISNA(計算結果!I866),"",計算結果!I866)=0,"",IF(ISNA(計算結果!I866),"",計算結果!I866))</f>
        <v/>
      </c>
      <c r="J866" s="12" t="str">
        <f>IF(IF(ISNA(計算結果!J866),"",計算結果!J866)=0,"",IF(ISNA(計算結果!J866),"",計算結果!J866))</f>
        <v/>
      </c>
      <c r="K866" s="23" t="str">
        <f>IF(IF(ISNA(計算結果!K866),"",計算結果!K866)=0,"",IF(ISNA(計算結果!K866),"",計算結果!K866))</f>
        <v/>
      </c>
      <c r="L866" s="13" t="str">
        <f>IF(IF(ISNA(計算結果!L866),"",計算結果!L866)=0,"",IF(ISNA(計算結果!L866),"",計算結果!L866))</f>
        <v/>
      </c>
      <c r="M866" s="10" t="str">
        <f>IF(IF(ISNA(計算結果!M866),"",計算結果!M866)=0,"",IF(ISNA(計算結果!M866),"",計算結果!M866))</f>
        <v/>
      </c>
      <c r="N866" s="10" t="str">
        <f>IF(IF(ISNA(計算結果!N866),"",計算結果!N866)=0,"",IF(ISNA(計算結果!N866),"",計算結果!N866))</f>
        <v/>
      </c>
      <c r="O866" s="13" t="str">
        <f>IF(IF(ISNA(計算結果!O866),"",計算結果!O866)=0,"",IF(ISNA(計算結果!O866),"",計算結果!O866))</f>
        <v/>
      </c>
      <c r="P866" s="10" t="str">
        <f>IF(IF(ISNA(計算結果!P866),"",計算結果!P866)=0,"",IF(ISNA(計算結果!P866),"",計算結果!P866))</f>
        <v/>
      </c>
      <c r="Q866" s="10" t="str">
        <f>IF(IF(ISNA(計算結果!Q866),"",計算結果!Q866)=0,"",IF(ISNA(計算結果!Q866),"",計算結果!Q866))</f>
        <v/>
      </c>
      <c r="R866" s="14" t="str">
        <f t="shared" si="39"/>
        <v/>
      </c>
      <c r="S866" s="14" t="str">
        <f t="shared" si="40"/>
        <v>◯</v>
      </c>
      <c r="T866" s="14" t="str">
        <f t="shared" si="41"/>
        <v/>
      </c>
    </row>
    <row r="867" spans="1:20" hidden="1" x14ac:dyDescent="0.45">
      <c r="A867" s="10" t="str">
        <f>IF(IF(ISNA(計算結果!A867),"",計算結果!A867)=0,"",IF(ISNA(計算結果!A867),"",計算結果!A867))</f>
        <v/>
      </c>
      <c r="B867" s="10" t="str">
        <f>IF(IF(ISNA(計算結果!B867),"",計算結果!B867)=0,"",IF(ISNA(計算結果!B867),"",計算結果!B867))</f>
        <v/>
      </c>
      <c r="C867" s="10" t="str">
        <f>IF(IF(ISNA(計算結果!C867),"",計算結果!C867)=0,"",IF(ISNA(計算結果!C867),"",計算結果!C867))</f>
        <v/>
      </c>
      <c r="D867" s="10" t="str">
        <f>IF(IF(ISNA(計算結果!D867),"",計算結果!D867)=0,"",IF(ISNA(計算結果!D867),"",計算結果!D867))</f>
        <v>L</v>
      </c>
      <c r="E867" s="10" t="str">
        <f>IF(IF(ISNA(計算結果!E867),"",計算結果!E867)=0,"",IF(ISNA(計算結果!E867),"",計算結果!E867))</f>
        <v/>
      </c>
      <c r="F867" s="10" t="str">
        <f>IF(IF(ISNA(計算結果!F867),"",計算結果!F867)=0,"",IF(ISNA(計算結果!F867),"",計算結果!F867))</f>
        <v/>
      </c>
      <c r="G867" s="10" t="str">
        <f>IF(IF(ISNA(計算結果!G867),"",計算結果!G867)=0,"",IF(ISNA(計算結果!G867),"",計算結果!G867))</f>
        <v/>
      </c>
      <c r="H867" s="13">
        <f>IF(IF(ISNA(計算結果!H867),"",計算結果!H867)=0,"",IF(ISNA(計算結果!H867),"",計算結果!H867))</f>
        <v>-2</v>
      </c>
      <c r="I867" s="12" t="str">
        <f>IF(IF(ISNA(計算結果!I867),"",計算結果!I867)=0,"",IF(ISNA(計算結果!I867),"",計算結果!I867))</f>
        <v/>
      </c>
      <c r="J867" s="12" t="str">
        <f>IF(IF(ISNA(計算結果!J867),"",計算結果!J867)=0,"",IF(ISNA(計算結果!J867),"",計算結果!J867))</f>
        <v/>
      </c>
      <c r="K867" s="23" t="str">
        <f>IF(IF(ISNA(計算結果!K867),"",計算結果!K867)=0,"",IF(ISNA(計算結果!K867),"",計算結果!K867))</f>
        <v/>
      </c>
      <c r="L867" s="13" t="str">
        <f>IF(IF(ISNA(計算結果!L867),"",計算結果!L867)=0,"",IF(ISNA(計算結果!L867),"",計算結果!L867))</f>
        <v/>
      </c>
      <c r="M867" s="10" t="str">
        <f>IF(IF(ISNA(計算結果!M867),"",計算結果!M867)=0,"",IF(ISNA(計算結果!M867),"",計算結果!M867))</f>
        <v/>
      </c>
      <c r="N867" s="10" t="str">
        <f>IF(IF(ISNA(計算結果!N867),"",計算結果!N867)=0,"",IF(ISNA(計算結果!N867),"",計算結果!N867))</f>
        <v/>
      </c>
      <c r="O867" s="13" t="str">
        <f>IF(IF(ISNA(計算結果!O867),"",計算結果!O867)=0,"",IF(ISNA(計算結果!O867),"",計算結果!O867))</f>
        <v/>
      </c>
      <c r="P867" s="10" t="str">
        <f>IF(IF(ISNA(計算結果!P867),"",計算結果!P867)=0,"",IF(ISNA(計算結果!P867),"",計算結果!P867))</f>
        <v/>
      </c>
      <c r="Q867" s="10" t="str">
        <f>IF(IF(ISNA(計算結果!Q867),"",計算結果!Q867)=0,"",IF(ISNA(計算結果!Q867),"",計算結果!Q867))</f>
        <v/>
      </c>
      <c r="R867" s="14" t="str">
        <f t="shared" si="39"/>
        <v/>
      </c>
      <c r="S867" s="14" t="str">
        <f t="shared" si="40"/>
        <v>◯</v>
      </c>
      <c r="T867" s="14" t="str">
        <f t="shared" si="41"/>
        <v/>
      </c>
    </row>
    <row r="868" spans="1:20" hidden="1" x14ac:dyDescent="0.45">
      <c r="A868" s="10" t="str">
        <f>IF(IF(ISNA(計算結果!A868),"",計算結果!A868)=0,"",IF(ISNA(計算結果!A868),"",計算結果!A868))</f>
        <v/>
      </c>
      <c r="B868" s="10" t="str">
        <f>IF(IF(ISNA(計算結果!B868),"",計算結果!B868)=0,"",IF(ISNA(計算結果!B868),"",計算結果!B868))</f>
        <v/>
      </c>
      <c r="C868" s="10" t="str">
        <f>IF(IF(ISNA(計算結果!C868),"",計算結果!C868)=0,"",IF(ISNA(計算結果!C868),"",計算結果!C868))</f>
        <v/>
      </c>
      <c r="D868" s="10" t="str">
        <f>IF(IF(ISNA(計算結果!D868),"",計算結果!D868)=0,"",IF(ISNA(計算結果!D868),"",計算結果!D868))</f>
        <v>L</v>
      </c>
      <c r="E868" s="10" t="str">
        <f>IF(IF(ISNA(計算結果!E868),"",計算結果!E868)=0,"",IF(ISNA(計算結果!E868),"",計算結果!E868))</f>
        <v/>
      </c>
      <c r="F868" s="10" t="str">
        <f>IF(IF(ISNA(計算結果!F868),"",計算結果!F868)=0,"",IF(ISNA(計算結果!F868),"",計算結果!F868))</f>
        <v/>
      </c>
      <c r="G868" s="10" t="str">
        <f>IF(IF(ISNA(計算結果!G868),"",計算結果!G868)=0,"",IF(ISNA(計算結果!G868),"",計算結果!G868))</f>
        <v/>
      </c>
      <c r="H868" s="13">
        <f>IF(IF(ISNA(計算結果!H868),"",計算結果!H868)=0,"",IF(ISNA(計算結果!H868),"",計算結果!H868))</f>
        <v>-2</v>
      </c>
      <c r="I868" s="12" t="str">
        <f>IF(IF(ISNA(計算結果!I868),"",計算結果!I868)=0,"",IF(ISNA(計算結果!I868),"",計算結果!I868))</f>
        <v/>
      </c>
      <c r="J868" s="12" t="str">
        <f>IF(IF(ISNA(計算結果!J868),"",計算結果!J868)=0,"",IF(ISNA(計算結果!J868),"",計算結果!J868))</f>
        <v/>
      </c>
      <c r="K868" s="23" t="str">
        <f>IF(IF(ISNA(計算結果!K868),"",計算結果!K868)=0,"",IF(ISNA(計算結果!K868),"",計算結果!K868))</f>
        <v/>
      </c>
      <c r="L868" s="13" t="str">
        <f>IF(IF(ISNA(計算結果!L868),"",計算結果!L868)=0,"",IF(ISNA(計算結果!L868),"",計算結果!L868))</f>
        <v/>
      </c>
      <c r="M868" s="10" t="str">
        <f>IF(IF(ISNA(計算結果!M868),"",計算結果!M868)=0,"",IF(ISNA(計算結果!M868),"",計算結果!M868))</f>
        <v/>
      </c>
      <c r="N868" s="10" t="str">
        <f>IF(IF(ISNA(計算結果!N868),"",計算結果!N868)=0,"",IF(ISNA(計算結果!N868),"",計算結果!N868))</f>
        <v/>
      </c>
      <c r="O868" s="13" t="str">
        <f>IF(IF(ISNA(計算結果!O868),"",計算結果!O868)=0,"",IF(ISNA(計算結果!O868),"",計算結果!O868))</f>
        <v/>
      </c>
      <c r="P868" s="10" t="str">
        <f>IF(IF(ISNA(計算結果!P868),"",計算結果!P868)=0,"",IF(ISNA(計算結果!P868),"",計算結果!P868))</f>
        <v/>
      </c>
      <c r="Q868" s="10" t="str">
        <f>IF(IF(ISNA(計算結果!Q868),"",計算結果!Q868)=0,"",IF(ISNA(計算結果!Q868),"",計算結果!Q868))</f>
        <v/>
      </c>
      <c r="R868" s="14" t="str">
        <f t="shared" si="39"/>
        <v/>
      </c>
      <c r="S868" s="14" t="str">
        <f t="shared" si="40"/>
        <v>◯</v>
      </c>
      <c r="T868" s="14" t="str">
        <f t="shared" si="41"/>
        <v/>
      </c>
    </row>
    <row r="869" spans="1:20" hidden="1" x14ac:dyDescent="0.45">
      <c r="A869" s="10" t="str">
        <f>IF(IF(ISNA(計算結果!A869),"",計算結果!A869)=0,"",IF(ISNA(計算結果!A869),"",計算結果!A869))</f>
        <v/>
      </c>
      <c r="B869" s="10" t="str">
        <f>IF(IF(ISNA(計算結果!B869),"",計算結果!B869)=0,"",IF(ISNA(計算結果!B869),"",計算結果!B869))</f>
        <v/>
      </c>
      <c r="C869" s="10" t="str">
        <f>IF(IF(ISNA(計算結果!C869),"",計算結果!C869)=0,"",IF(ISNA(計算結果!C869),"",計算結果!C869))</f>
        <v/>
      </c>
      <c r="D869" s="10" t="str">
        <f>IF(IF(ISNA(計算結果!D869),"",計算結果!D869)=0,"",IF(ISNA(計算結果!D869),"",計算結果!D869))</f>
        <v>L</v>
      </c>
      <c r="E869" s="10" t="str">
        <f>IF(IF(ISNA(計算結果!E869),"",計算結果!E869)=0,"",IF(ISNA(計算結果!E869),"",計算結果!E869))</f>
        <v/>
      </c>
      <c r="F869" s="10" t="str">
        <f>IF(IF(ISNA(計算結果!F869),"",計算結果!F869)=0,"",IF(ISNA(計算結果!F869),"",計算結果!F869))</f>
        <v/>
      </c>
      <c r="G869" s="10" t="str">
        <f>IF(IF(ISNA(計算結果!G869),"",計算結果!G869)=0,"",IF(ISNA(計算結果!G869),"",計算結果!G869))</f>
        <v/>
      </c>
      <c r="H869" s="13">
        <f>IF(IF(ISNA(計算結果!H869),"",計算結果!H869)=0,"",IF(ISNA(計算結果!H869),"",計算結果!H869))</f>
        <v>-2</v>
      </c>
      <c r="I869" s="12" t="str">
        <f>IF(IF(ISNA(計算結果!I869),"",計算結果!I869)=0,"",IF(ISNA(計算結果!I869),"",計算結果!I869))</f>
        <v/>
      </c>
      <c r="J869" s="12" t="str">
        <f>IF(IF(ISNA(計算結果!J869),"",計算結果!J869)=0,"",IF(ISNA(計算結果!J869),"",計算結果!J869))</f>
        <v/>
      </c>
      <c r="K869" s="23" t="str">
        <f>IF(IF(ISNA(計算結果!K869),"",計算結果!K869)=0,"",IF(ISNA(計算結果!K869),"",計算結果!K869))</f>
        <v/>
      </c>
      <c r="L869" s="13" t="str">
        <f>IF(IF(ISNA(計算結果!L869),"",計算結果!L869)=0,"",IF(ISNA(計算結果!L869),"",計算結果!L869))</f>
        <v/>
      </c>
      <c r="M869" s="10" t="str">
        <f>IF(IF(ISNA(計算結果!M869),"",計算結果!M869)=0,"",IF(ISNA(計算結果!M869),"",計算結果!M869))</f>
        <v/>
      </c>
      <c r="N869" s="10" t="str">
        <f>IF(IF(ISNA(計算結果!N869),"",計算結果!N869)=0,"",IF(ISNA(計算結果!N869),"",計算結果!N869))</f>
        <v/>
      </c>
      <c r="O869" s="13" t="str">
        <f>IF(IF(ISNA(計算結果!O869),"",計算結果!O869)=0,"",IF(ISNA(計算結果!O869),"",計算結果!O869))</f>
        <v/>
      </c>
      <c r="P869" s="10" t="str">
        <f>IF(IF(ISNA(計算結果!P869),"",計算結果!P869)=0,"",IF(ISNA(計算結果!P869),"",計算結果!P869))</f>
        <v/>
      </c>
      <c r="Q869" s="10" t="str">
        <f>IF(IF(ISNA(計算結果!Q869),"",計算結果!Q869)=0,"",IF(ISNA(計算結果!Q869),"",計算結果!Q869))</f>
        <v/>
      </c>
      <c r="R869" s="14" t="str">
        <f t="shared" si="39"/>
        <v/>
      </c>
      <c r="S869" s="14" t="str">
        <f t="shared" si="40"/>
        <v>◯</v>
      </c>
      <c r="T869" s="14" t="str">
        <f t="shared" si="41"/>
        <v/>
      </c>
    </row>
    <row r="870" spans="1:20" hidden="1" x14ac:dyDescent="0.45">
      <c r="A870" s="10" t="str">
        <f>IF(IF(ISNA(計算結果!A870),"",計算結果!A870)=0,"",IF(ISNA(計算結果!A870),"",計算結果!A870))</f>
        <v/>
      </c>
      <c r="B870" s="10" t="str">
        <f>IF(IF(ISNA(計算結果!B870),"",計算結果!B870)=0,"",IF(ISNA(計算結果!B870),"",計算結果!B870))</f>
        <v/>
      </c>
      <c r="C870" s="10" t="str">
        <f>IF(IF(ISNA(計算結果!C870),"",計算結果!C870)=0,"",IF(ISNA(計算結果!C870),"",計算結果!C870))</f>
        <v/>
      </c>
      <c r="D870" s="10" t="str">
        <f>IF(IF(ISNA(計算結果!D870),"",計算結果!D870)=0,"",IF(ISNA(計算結果!D870),"",計算結果!D870))</f>
        <v>L</v>
      </c>
      <c r="E870" s="10" t="str">
        <f>IF(IF(ISNA(計算結果!E870),"",計算結果!E870)=0,"",IF(ISNA(計算結果!E870),"",計算結果!E870))</f>
        <v/>
      </c>
      <c r="F870" s="10" t="str">
        <f>IF(IF(ISNA(計算結果!F870),"",計算結果!F870)=0,"",IF(ISNA(計算結果!F870),"",計算結果!F870))</f>
        <v/>
      </c>
      <c r="G870" s="10" t="str">
        <f>IF(IF(ISNA(計算結果!G870),"",計算結果!G870)=0,"",IF(ISNA(計算結果!G870),"",計算結果!G870))</f>
        <v/>
      </c>
      <c r="H870" s="13">
        <f>IF(IF(ISNA(計算結果!H870),"",計算結果!H870)=0,"",IF(ISNA(計算結果!H870),"",計算結果!H870))</f>
        <v>-2</v>
      </c>
      <c r="I870" s="12" t="str">
        <f>IF(IF(ISNA(計算結果!I870),"",計算結果!I870)=0,"",IF(ISNA(計算結果!I870),"",計算結果!I870))</f>
        <v/>
      </c>
      <c r="J870" s="12" t="str">
        <f>IF(IF(ISNA(計算結果!J870),"",計算結果!J870)=0,"",IF(ISNA(計算結果!J870),"",計算結果!J870))</f>
        <v/>
      </c>
      <c r="K870" s="23" t="str">
        <f>IF(IF(ISNA(計算結果!K870),"",計算結果!K870)=0,"",IF(ISNA(計算結果!K870),"",計算結果!K870))</f>
        <v/>
      </c>
      <c r="L870" s="13" t="str">
        <f>IF(IF(ISNA(計算結果!L870),"",計算結果!L870)=0,"",IF(ISNA(計算結果!L870),"",計算結果!L870))</f>
        <v/>
      </c>
      <c r="M870" s="10" t="str">
        <f>IF(IF(ISNA(計算結果!M870),"",計算結果!M870)=0,"",IF(ISNA(計算結果!M870),"",計算結果!M870))</f>
        <v/>
      </c>
      <c r="N870" s="10" t="str">
        <f>IF(IF(ISNA(計算結果!N870),"",計算結果!N870)=0,"",IF(ISNA(計算結果!N870),"",計算結果!N870))</f>
        <v/>
      </c>
      <c r="O870" s="13" t="str">
        <f>IF(IF(ISNA(計算結果!O870),"",計算結果!O870)=0,"",IF(ISNA(計算結果!O870),"",計算結果!O870))</f>
        <v/>
      </c>
      <c r="P870" s="10" t="str">
        <f>IF(IF(ISNA(計算結果!P870),"",計算結果!P870)=0,"",IF(ISNA(計算結果!P870),"",計算結果!P870))</f>
        <v/>
      </c>
      <c r="Q870" s="10" t="str">
        <f>IF(IF(ISNA(計算結果!Q870),"",計算結果!Q870)=0,"",IF(ISNA(計算結果!Q870),"",計算結果!Q870))</f>
        <v/>
      </c>
      <c r="R870" s="14" t="str">
        <f t="shared" si="39"/>
        <v/>
      </c>
      <c r="S870" s="14" t="str">
        <f t="shared" si="40"/>
        <v>◯</v>
      </c>
      <c r="T870" s="14" t="str">
        <f t="shared" si="41"/>
        <v/>
      </c>
    </row>
    <row r="871" spans="1:20" hidden="1" x14ac:dyDescent="0.45">
      <c r="A871" s="10" t="str">
        <f>IF(IF(ISNA(計算結果!A871),"",計算結果!A871)=0,"",IF(ISNA(計算結果!A871),"",計算結果!A871))</f>
        <v/>
      </c>
      <c r="B871" s="10" t="str">
        <f>IF(IF(ISNA(計算結果!B871),"",計算結果!B871)=0,"",IF(ISNA(計算結果!B871),"",計算結果!B871))</f>
        <v/>
      </c>
      <c r="C871" s="10" t="str">
        <f>IF(IF(ISNA(計算結果!C871),"",計算結果!C871)=0,"",IF(ISNA(計算結果!C871),"",計算結果!C871))</f>
        <v/>
      </c>
      <c r="D871" s="10" t="str">
        <f>IF(IF(ISNA(計算結果!D871),"",計算結果!D871)=0,"",IF(ISNA(計算結果!D871),"",計算結果!D871))</f>
        <v>L</v>
      </c>
      <c r="E871" s="10" t="str">
        <f>IF(IF(ISNA(計算結果!E871),"",計算結果!E871)=0,"",IF(ISNA(計算結果!E871),"",計算結果!E871))</f>
        <v/>
      </c>
      <c r="F871" s="10" t="str">
        <f>IF(IF(ISNA(計算結果!F871),"",計算結果!F871)=0,"",IF(ISNA(計算結果!F871),"",計算結果!F871))</f>
        <v/>
      </c>
      <c r="G871" s="10" t="str">
        <f>IF(IF(ISNA(計算結果!G871),"",計算結果!G871)=0,"",IF(ISNA(計算結果!G871),"",計算結果!G871))</f>
        <v/>
      </c>
      <c r="H871" s="13">
        <f>IF(IF(ISNA(計算結果!H871),"",計算結果!H871)=0,"",IF(ISNA(計算結果!H871),"",計算結果!H871))</f>
        <v>-2</v>
      </c>
      <c r="I871" s="12" t="str">
        <f>IF(IF(ISNA(計算結果!I871),"",計算結果!I871)=0,"",IF(ISNA(計算結果!I871),"",計算結果!I871))</f>
        <v/>
      </c>
      <c r="J871" s="12" t="str">
        <f>IF(IF(ISNA(計算結果!J871),"",計算結果!J871)=0,"",IF(ISNA(計算結果!J871),"",計算結果!J871))</f>
        <v/>
      </c>
      <c r="K871" s="23" t="str">
        <f>IF(IF(ISNA(計算結果!K871),"",計算結果!K871)=0,"",IF(ISNA(計算結果!K871),"",計算結果!K871))</f>
        <v/>
      </c>
      <c r="L871" s="13" t="str">
        <f>IF(IF(ISNA(計算結果!L871),"",計算結果!L871)=0,"",IF(ISNA(計算結果!L871),"",計算結果!L871))</f>
        <v/>
      </c>
      <c r="M871" s="10" t="str">
        <f>IF(IF(ISNA(計算結果!M871),"",計算結果!M871)=0,"",IF(ISNA(計算結果!M871),"",計算結果!M871))</f>
        <v/>
      </c>
      <c r="N871" s="10" t="str">
        <f>IF(IF(ISNA(計算結果!N871),"",計算結果!N871)=0,"",IF(ISNA(計算結果!N871),"",計算結果!N871))</f>
        <v/>
      </c>
      <c r="O871" s="13" t="str">
        <f>IF(IF(ISNA(計算結果!O871),"",計算結果!O871)=0,"",IF(ISNA(計算結果!O871),"",計算結果!O871))</f>
        <v/>
      </c>
      <c r="P871" s="10" t="str">
        <f>IF(IF(ISNA(計算結果!P871),"",計算結果!P871)=0,"",IF(ISNA(計算結果!P871),"",計算結果!P871))</f>
        <v/>
      </c>
      <c r="Q871" s="10" t="str">
        <f>IF(IF(ISNA(計算結果!Q871),"",計算結果!Q871)=0,"",IF(ISNA(計算結果!Q871),"",計算結果!Q871))</f>
        <v/>
      </c>
      <c r="R871" s="14" t="str">
        <f t="shared" si="39"/>
        <v/>
      </c>
      <c r="S871" s="14" t="str">
        <f t="shared" si="40"/>
        <v>◯</v>
      </c>
      <c r="T871" s="14" t="str">
        <f t="shared" si="41"/>
        <v/>
      </c>
    </row>
    <row r="872" spans="1:20" hidden="1" x14ac:dyDescent="0.45">
      <c r="A872" s="10" t="str">
        <f>IF(IF(ISNA(計算結果!A872),"",計算結果!A872)=0,"",IF(ISNA(計算結果!A872),"",計算結果!A872))</f>
        <v/>
      </c>
      <c r="B872" s="10" t="str">
        <f>IF(IF(ISNA(計算結果!B872),"",計算結果!B872)=0,"",IF(ISNA(計算結果!B872),"",計算結果!B872))</f>
        <v/>
      </c>
      <c r="C872" s="10" t="str">
        <f>IF(IF(ISNA(計算結果!C872),"",計算結果!C872)=0,"",IF(ISNA(計算結果!C872),"",計算結果!C872))</f>
        <v/>
      </c>
      <c r="D872" s="10" t="str">
        <f>IF(IF(ISNA(計算結果!D872),"",計算結果!D872)=0,"",IF(ISNA(計算結果!D872),"",計算結果!D872))</f>
        <v>L</v>
      </c>
      <c r="E872" s="10" t="str">
        <f>IF(IF(ISNA(計算結果!E872),"",計算結果!E872)=0,"",IF(ISNA(計算結果!E872),"",計算結果!E872))</f>
        <v/>
      </c>
      <c r="F872" s="10" t="str">
        <f>IF(IF(ISNA(計算結果!F872),"",計算結果!F872)=0,"",IF(ISNA(計算結果!F872),"",計算結果!F872))</f>
        <v/>
      </c>
      <c r="G872" s="10" t="str">
        <f>IF(IF(ISNA(計算結果!G872),"",計算結果!G872)=0,"",IF(ISNA(計算結果!G872),"",計算結果!G872))</f>
        <v/>
      </c>
      <c r="H872" s="13">
        <f>IF(IF(ISNA(計算結果!H872),"",計算結果!H872)=0,"",IF(ISNA(計算結果!H872),"",計算結果!H872))</f>
        <v>-2</v>
      </c>
      <c r="I872" s="12" t="str">
        <f>IF(IF(ISNA(計算結果!I872),"",計算結果!I872)=0,"",IF(ISNA(計算結果!I872),"",計算結果!I872))</f>
        <v/>
      </c>
      <c r="J872" s="12" t="str">
        <f>IF(IF(ISNA(計算結果!J872),"",計算結果!J872)=0,"",IF(ISNA(計算結果!J872),"",計算結果!J872))</f>
        <v/>
      </c>
      <c r="K872" s="23" t="str">
        <f>IF(IF(ISNA(計算結果!K872),"",計算結果!K872)=0,"",IF(ISNA(計算結果!K872),"",計算結果!K872))</f>
        <v/>
      </c>
      <c r="L872" s="13" t="str">
        <f>IF(IF(ISNA(計算結果!L872),"",計算結果!L872)=0,"",IF(ISNA(計算結果!L872),"",計算結果!L872))</f>
        <v/>
      </c>
      <c r="M872" s="10" t="str">
        <f>IF(IF(ISNA(計算結果!M872),"",計算結果!M872)=0,"",IF(ISNA(計算結果!M872),"",計算結果!M872))</f>
        <v/>
      </c>
      <c r="N872" s="10" t="str">
        <f>IF(IF(ISNA(計算結果!N872),"",計算結果!N872)=0,"",IF(ISNA(計算結果!N872),"",計算結果!N872))</f>
        <v/>
      </c>
      <c r="O872" s="13" t="str">
        <f>IF(IF(ISNA(計算結果!O872),"",計算結果!O872)=0,"",IF(ISNA(計算結果!O872),"",計算結果!O872))</f>
        <v/>
      </c>
      <c r="P872" s="10" t="str">
        <f>IF(IF(ISNA(計算結果!P872),"",計算結果!P872)=0,"",IF(ISNA(計算結果!P872),"",計算結果!P872))</f>
        <v/>
      </c>
      <c r="Q872" s="10" t="str">
        <f>IF(IF(ISNA(計算結果!Q872),"",計算結果!Q872)=0,"",IF(ISNA(計算結果!Q872),"",計算結果!Q872))</f>
        <v/>
      </c>
      <c r="R872" s="14" t="str">
        <f t="shared" si="39"/>
        <v/>
      </c>
      <c r="S872" s="14" t="str">
        <f t="shared" si="40"/>
        <v>◯</v>
      </c>
      <c r="T872" s="14" t="str">
        <f t="shared" si="41"/>
        <v/>
      </c>
    </row>
    <row r="873" spans="1:20" hidden="1" x14ac:dyDescent="0.45">
      <c r="A873" s="10" t="str">
        <f>IF(IF(ISNA(計算結果!A873),"",計算結果!A873)=0,"",IF(ISNA(計算結果!A873),"",計算結果!A873))</f>
        <v/>
      </c>
      <c r="B873" s="10" t="str">
        <f>IF(IF(ISNA(計算結果!B873),"",計算結果!B873)=0,"",IF(ISNA(計算結果!B873),"",計算結果!B873))</f>
        <v/>
      </c>
      <c r="C873" s="10" t="str">
        <f>IF(IF(ISNA(計算結果!C873),"",計算結果!C873)=0,"",IF(ISNA(計算結果!C873),"",計算結果!C873))</f>
        <v/>
      </c>
      <c r="D873" s="10" t="str">
        <f>IF(IF(ISNA(計算結果!D873),"",計算結果!D873)=0,"",IF(ISNA(計算結果!D873),"",計算結果!D873))</f>
        <v>L</v>
      </c>
      <c r="E873" s="10" t="str">
        <f>IF(IF(ISNA(計算結果!E873),"",計算結果!E873)=0,"",IF(ISNA(計算結果!E873),"",計算結果!E873))</f>
        <v/>
      </c>
      <c r="F873" s="10" t="str">
        <f>IF(IF(ISNA(計算結果!F873),"",計算結果!F873)=0,"",IF(ISNA(計算結果!F873),"",計算結果!F873))</f>
        <v/>
      </c>
      <c r="G873" s="10" t="str">
        <f>IF(IF(ISNA(計算結果!G873),"",計算結果!G873)=0,"",IF(ISNA(計算結果!G873),"",計算結果!G873))</f>
        <v/>
      </c>
      <c r="H873" s="13">
        <f>IF(IF(ISNA(計算結果!H873),"",計算結果!H873)=0,"",IF(ISNA(計算結果!H873),"",計算結果!H873))</f>
        <v>-2</v>
      </c>
      <c r="I873" s="12" t="str">
        <f>IF(IF(ISNA(計算結果!I873),"",計算結果!I873)=0,"",IF(ISNA(計算結果!I873),"",計算結果!I873))</f>
        <v/>
      </c>
      <c r="J873" s="12" t="str">
        <f>IF(IF(ISNA(計算結果!J873),"",計算結果!J873)=0,"",IF(ISNA(計算結果!J873),"",計算結果!J873))</f>
        <v/>
      </c>
      <c r="K873" s="23" t="str">
        <f>IF(IF(ISNA(計算結果!K873),"",計算結果!K873)=0,"",IF(ISNA(計算結果!K873),"",計算結果!K873))</f>
        <v/>
      </c>
      <c r="L873" s="13" t="str">
        <f>IF(IF(ISNA(計算結果!L873),"",計算結果!L873)=0,"",IF(ISNA(計算結果!L873),"",計算結果!L873))</f>
        <v/>
      </c>
      <c r="M873" s="10" t="str">
        <f>IF(IF(ISNA(計算結果!M873),"",計算結果!M873)=0,"",IF(ISNA(計算結果!M873),"",計算結果!M873))</f>
        <v/>
      </c>
      <c r="N873" s="10" t="str">
        <f>IF(IF(ISNA(計算結果!N873),"",計算結果!N873)=0,"",IF(ISNA(計算結果!N873),"",計算結果!N873))</f>
        <v/>
      </c>
      <c r="O873" s="13" t="str">
        <f>IF(IF(ISNA(計算結果!O873),"",計算結果!O873)=0,"",IF(ISNA(計算結果!O873),"",計算結果!O873))</f>
        <v/>
      </c>
      <c r="P873" s="10" t="str">
        <f>IF(IF(ISNA(計算結果!P873),"",計算結果!P873)=0,"",IF(ISNA(計算結果!P873),"",計算結果!P873))</f>
        <v/>
      </c>
      <c r="Q873" s="10" t="str">
        <f>IF(IF(ISNA(計算結果!Q873),"",計算結果!Q873)=0,"",IF(ISNA(計算結果!Q873),"",計算結果!Q873))</f>
        <v/>
      </c>
      <c r="R873" s="14" t="str">
        <f t="shared" si="39"/>
        <v/>
      </c>
      <c r="S873" s="14" t="str">
        <f t="shared" si="40"/>
        <v>◯</v>
      </c>
      <c r="T873" s="14" t="str">
        <f t="shared" si="41"/>
        <v/>
      </c>
    </row>
    <row r="874" spans="1:20" hidden="1" x14ac:dyDescent="0.45">
      <c r="A874" s="10" t="str">
        <f>IF(IF(ISNA(計算結果!A874),"",計算結果!A874)=0,"",IF(ISNA(計算結果!A874),"",計算結果!A874))</f>
        <v/>
      </c>
      <c r="B874" s="10" t="str">
        <f>IF(IF(ISNA(計算結果!B874),"",計算結果!B874)=0,"",IF(ISNA(計算結果!B874),"",計算結果!B874))</f>
        <v/>
      </c>
      <c r="C874" s="10" t="str">
        <f>IF(IF(ISNA(計算結果!C874),"",計算結果!C874)=0,"",IF(ISNA(計算結果!C874),"",計算結果!C874))</f>
        <v/>
      </c>
      <c r="D874" s="10" t="str">
        <f>IF(IF(ISNA(計算結果!D874),"",計算結果!D874)=0,"",IF(ISNA(計算結果!D874),"",計算結果!D874))</f>
        <v>L</v>
      </c>
      <c r="E874" s="10" t="str">
        <f>IF(IF(ISNA(計算結果!E874),"",計算結果!E874)=0,"",IF(ISNA(計算結果!E874),"",計算結果!E874))</f>
        <v/>
      </c>
      <c r="F874" s="10" t="str">
        <f>IF(IF(ISNA(計算結果!F874),"",計算結果!F874)=0,"",IF(ISNA(計算結果!F874),"",計算結果!F874))</f>
        <v/>
      </c>
      <c r="G874" s="10" t="str">
        <f>IF(IF(ISNA(計算結果!G874),"",計算結果!G874)=0,"",IF(ISNA(計算結果!G874),"",計算結果!G874))</f>
        <v/>
      </c>
      <c r="H874" s="13">
        <f>IF(IF(ISNA(計算結果!H874),"",計算結果!H874)=0,"",IF(ISNA(計算結果!H874),"",計算結果!H874))</f>
        <v>-2</v>
      </c>
      <c r="I874" s="12" t="str">
        <f>IF(IF(ISNA(計算結果!I874),"",計算結果!I874)=0,"",IF(ISNA(計算結果!I874),"",計算結果!I874))</f>
        <v/>
      </c>
      <c r="J874" s="12" t="str">
        <f>IF(IF(ISNA(計算結果!J874),"",計算結果!J874)=0,"",IF(ISNA(計算結果!J874),"",計算結果!J874))</f>
        <v/>
      </c>
      <c r="K874" s="23" t="str">
        <f>IF(IF(ISNA(計算結果!K874),"",計算結果!K874)=0,"",IF(ISNA(計算結果!K874),"",計算結果!K874))</f>
        <v/>
      </c>
      <c r="L874" s="13" t="str">
        <f>IF(IF(ISNA(計算結果!L874),"",計算結果!L874)=0,"",IF(ISNA(計算結果!L874),"",計算結果!L874))</f>
        <v/>
      </c>
      <c r="M874" s="10" t="str">
        <f>IF(IF(ISNA(計算結果!M874),"",計算結果!M874)=0,"",IF(ISNA(計算結果!M874),"",計算結果!M874))</f>
        <v/>
      </c>
      <c r="N874" s="10" t="str">
        <f>IF(IF(ISNA(計算結果!N874),"",計算結果!N874)=0,"",IF(ISNA(計算結果!N874),"",計算結果!N874))</f>
        <v/>
      </c>
      <c r="O874" s="13" t="str">
        <f>IF(IF(ISNA(計算結果!O874),"",計算結果!O874)=0,"",IF(ISNA(計算結果!O874),"",計算結果!O874))</f>
        <v/>
      </c>
      <c r="P874" s="10" t="str">
        <f>IF(IF(ISNA(計算結果!P874),"",計算結果!P874)=0,"",IF(ISNA(計算結果!P874),"",計算結果!P874))</f>
        <v/>
      </c>
      <c r="Q874" s="10" t="str">
        <f>IF(IF(ISNA(計算結果!Q874),"",計算結果!Q874)=0,"",IF(ISNA(計算結果!Q874),"",計算結果!Q874))</f>
        <v/>
      </c>
      <c r="R874" s="14" t="str">
        <f t="shared" si="39"/>
        <v/>
      </c>
      <c r="S874" s="14" t="str">
        <f t="shared" si="40"/>
        <v>◯</v>
      </c>
      <c r="T874" s="14" t="str">
        <f t="shared" si="41"/>
        <v/>
      </c>
    </row>
    <row r="875" spans="1:20" hidden="1" x14ac:dyDescent="0.45">
      <c r="A875" s="10" t="str">
        <f>IF(IF(ISNA(計算結果!A875),"",計算結果!A875)=0,"",IF(ISNA(計算結果!A875),"",計算結果!A875))</f>
        <v/>
      </c>
      <c r="B875" s="10" t="str">
        <f>IF(IF(ISNA(計算結果!B875),"",計算結果!B875)=0,"",IF(ISNA(計算結果!B875),"",計算結果!B875))</f>
        <v/>
      </c>
      <c r="C875" s="10" t="str">
        <f>IF(IF(ISNA(計算結果!C875),"",計算結果!C875)=0,"",IF(ISNA(計算結果!C875),"",計算結果!C875))</f>
        <v/>
      </c>
      <c r="D875" s="10" t="str">
        <f>IF(IF(ISNA(計算結果!D875),"",計算結果!D875)=0,"",IF(ISNA(計算結果!D875),"",計算結果!D875))</f>
        <v>L</v>
      </c>
      <c r="E875" s="10" t="str">
        <f>IF(IF(ISNA(計算結果!E875),"",計算結果!E875)=0,"",IF(ISNA(計算結果!E875),"",計算結果!E875))</f>
        <v/>
      </c>
      <c r="F875" s="10" t="str">
        <f>IF(IF(ISNA(計算結果!F875),"",計算結果!F875)=0,"",IF(ISNA(計算結果!F875),"",計算結果!F875))</f>
        <v/>
      </c>
      <c r="G875" s="10" t="str">
        <f>IF(IF(ISNA(計算結果!G875),"",計算結果!G875)=0,"",IF(ISNA(計算結果!G875),"",計算結果!G875))</f>
        <v/>
      </c>
      <c r="H875" s="13">
        <f>IF(IF(ISNA(計算結果!H875),"",計算結果!H875)=0,"",IF(ISNA(計算結果!H875),"",計算結果!H875))</f>
        <v>-2</v>
      </c>
      <c r="I875" s="12" t="str">
        <f>IF(IF(ISNA(計算結果!I875),"",計算結果!I875)=0,"",IF(ISNA(計算結果!I875),"",計算結果!I875))</f>
        <v/>
      </c>
      <c r="J875" s="12" t="str">
        <f>IF(IF(ISNA(計算結果!J875),"",計算結果!J875)=0,"",IF(ISNA(計算結果!J875),"",計算結果!J875))</f>
        <v/>
      </c>
      <c r="K875" s="23" t="str">
        <f>IF(IF(ISNA(計算結果!K875),"",計算結果!K875)=0,"",IF(ISNA(計算結果!K875),"",計算結果!K875))</f>
        <v/>
      </c>
      <c r="L875" s="13" t="str">
        <f>IF(IF(ISNA(計算結果!L875),"",計算結果!L875)=0,"",IF(ISNA(計算結果!L875),"",計算結果!L875))</f>
        <v/>
      </c>
      <c r="M875" s="10" t="str">
        <f>IF(IF(ISNA(計算結果!M875),"",計算結果!M875)=0,"",IF(ISNA(計算結果!M875),"",計算結果!M875))</f>
        <v/>
      </c>
      <c r="N875" s="10" t="str">
        <f>IF(IF(ISNA(計算結果!N875),"",計算結果!N875)=0,"",IF(ISNA(計算結果!N875),"",計算結果!N875))</f>
        <v/>
      </c>
      <c r="O875" s="13" t="str">
        <f>IF(IF(ISNA(計算結果!O875),"",計算結果!O875)=0,"",IF(ISNA(計算結果!O875),"",計算結果!O875))</f>
        <v/>
      </c>
      <c r="P875" s="10" t="str">
        <f>IF(IF(ISNA(計算結果!P875),"",計算結果!P875)=0,"",IF(ISNA(計算結果!P875),"",計算結果!P875))</f>
        <v/>
      </c>
      <c r="Q875" s="10" t="str">
        <f>IF(IF(ISNA(計算結果!Q875),"",計算結果!Q875)=0,"",IF(ISNA(計算結果!Q875),"",計算結果!Q875))</f>
        <v/>
      </c>
      <c r="R875" s="14" t="str">
        <f t="shared" si="39"/>
        <v/>
      </c>
      <c r="S875" s="14" t="str">
        <f t="shared" si="40"/>
        <v>◯</v>
      </c>
      <c r="T875" s="14" t="str">
        <f t="shared" si="41"/>
        <v/>
      </c>
    </row>
    <row r="876" spans="1:20" hidden="1" x14ac:dyDescent="0.45">
      <c r="A876" s="10" t="str">
        <f>IF(IF(ISNA(計算結果!A876),"",計算結果!A876)=0,"",IF(ISNA(計算結果!A876),"",計算結果!A876))</f>
        <v/>
      </c>
      <c r="B876" s="10" t="str">
        <f>IF(IF(ISNA(計算結果!B876),"",計算結果!B876)=0,"",IF(ISNA(計算結果!B876),"",計算結果!B876))</f>
        <v/>
      </c>
      <c r="C876" s="10" t="str">
        <f>IF(IF(ISNA(計算結果!C876),"",計算結果!C876)=0,"",IF(ISNA(計算結果!C876),"",計算結果!C876))</f>
        <v/>
      </c>
      <c r="D876" s="10" t="str">
        <f>IF(IF(ISNA(計算結果!D876),"",計算結果!D876)=0,"",IF(ISNA(計算結果!D876),"",計算結果!D876))</f>
        <v>L</v>
      </c>
      <c r="E876" s="10" t="str">
        <f>IF(IF(ISNA(計算結果!E876),"",計算結果!E876)=0,"",IF(ISNA(計算結果!E876),"",計算結果!E876))</f>
        <v/>
      </c>
      <c r="F876" s="10" t="str">
        <f>IF(IF(ISNA(計算結果!F876),"",計算結果!F876)=0,"",IF(ISNA(計算結果!F876),"",計算結果!F876))</f>
        <v/>
      </c>
      <c r="G876" s="10" t="str">
        <f>IF(IF(ISNA(計算結果!G876),"",計算結果!G876)=0,"",IF(ISNA(計算結果!G876),"",計算結果!G876))</f>
        <v/>
      </c>
      <c r="H876" s="13">
        <f>IF(IF(ISNA(計算結果!H876),"",計算結果!H876)=0,"",IF(ISNA(計算結果!H876),"",計算結果!H876))</f>
        <v>-2</v>
      </c>
      <c r="I876" s="12" t="str">
        <f>IF(IF(ISNA(計算結果!I876),"",計算結果!I876)=0,"",IF(ISNA(計算結果!I876),"",計算結果!I876))</f>
        <v/>
      </c>
      <c r="J876" s="12" t="str">
        <f>IF(IF(ISNA(計算結果!J876),"",計算結果!J876)=0,"",IF(ISNA(計算結果!J876),"",計算結果!J876))</f>
        <v/>
      </c>
      <c r="K876" s="23" t="str">
        <f>IF(IF(ISNA(計算結果!K876),"",計算結果!K876)=0,"",IF(ISNA(計算結果!K876),"",計算結果!K876))</f>
        <v/>
      </c>
      <c r="L876" s="13" t="str">
        <f>IF(IF(ISNA(計算結果!L876),"",計算結果!L876)=0,"",IF(ISNA(計算結果!L876),"",計算結果!L876))</f>
        <v/>
      </c>
      <c r="M876" s="10" t="str">
        <f>IF(IF(ISNA(計算結果!M876),"",計算結果!M876)=0,"",IF(ISNA(計算結果!M876),"",計算結果!M876))</f>
        <v/>
      </c>
      <c r="N876" s="10" t="str">
        <f>IF(IF(ISNA(計算結果!N876),"",計算結果!N876)=0,"",IF(ISNA(計算結果!N876),"",計算結果!N876))</f>
        <v/>
      </c>
      <c r="O876" s="13" t="str">
        <f>IF(IF(ISNA(計算結果!O876),"",計算結果!O876)=0,"",IF(ISNA(計算結果!O876),"",計算結果!O876))</f>
        <v/>
      </c>
      <c r="P876" s="10" t="str">
        <f>IF(IF(ISNA(計算結果!P876),"",計算結果!P876)=0,"",IF(ISNA(計算結果!P876),"",計算結果!P876))</f>
        <v/>
      </c>
      <c r="Q876" s="10" t="str">
        <f>IF(IF(ISNA(計算結果!Q876),"",計算結果!Q876)=0,"",IF(ISNA(計算結果!Q876),"",計算結果!Q876))</f>
        <v/>
      </c>
      <c r="R876" s="14" t="str">
        <f t="shared" si="39"/>
        <v/>
      </c>
      <c r="S876" s="14" t="str">
        <f t="shared" si="40"/>
        <v>◯</v>
      </c>
      <c r="T876" s="14" t="str">
        <f t="shared" si="41"/>
        <v/>
      </c>
    </row>
    <row r="877" spans="1:20" hidden="1" x14ac:dyDescent="0.45">
      <c r="A877" s="10" t="str">
        <f>IF(IF(ISNA(計算結果!A877),"",計算結果!A877)=0,"",IF(ISNA(計算結果!A877),"",計算結果!A877))</f>
        <v/>
      </c>
      <c r="B877" s="10" t="str">
        <f>IF(IF(ISNA(計算結果!B877),"",計算結果!B877)=0,"",IF(ISNA(計算結果!B877),"",計算結果!B877))</f>
        <v/>
      </c>
      <c r="C877" s="10" t="str">
        <f>IF(IF(ISNA(計算結果!C877),"",計算結果!C877)=0,"",IF(ISNA(計算結果!C877),"",計算結果!C877))</f>
        <v/>
      </c>
      <c r="D877" s="10" t="str">
        <f>IF(IF(ISNA(計算結果!D877),"",計算結果!D877)=0,"",IF(ISNA(計算結果!D877),"",計算結果!D877))</f>
        <v>L</v>
      </c>
      <c r="E877" s="10" t="str">
        <f>IF(IF(ISNA(計算結果!E877),"",計算結果!E877)=0,"",IF(ISNA(計算結果!E877),"",計算結果!E877))</f>
        <v/>
      </c>
      <c r="F877" s="10" t="str">
        <f>IF(IF(ISNA(計算結果!F877),"",計算結果!F877)=0,"",IF(ISNA(計算結果!F877),"",計算結果!F877))</f>
        <v/>
      </c>
      <c r="G877" s="10" t="str">
        <f>IF(IF(ISNA(計算結果!G877),"",計算結果!G877)=0,"",IF(ISNA(計算結果!G877),"",計算結果!G877))</f>
        <v/>
      </c>
      <c r="H877" s="13">
        <f>IF(IF(ISNA(計算結果!H877),"",計算結果!H877)=0,"",IF(ISNA(計算結果!H877),"",計算結果!H877))</f>
        <v>-2</v>
      </c>
      <c r="I877" s="12" t="str">
        <f>IF(IF(ISNA(計算結果!I877),"",計算結果!I877)=0,"",IF(ISNA(計算結果!I877),"",計算結果!I877))</f>
        <v/>
      </c>
      <c r="J877" s="12" t="str">
        <f>IF(IF(ISNA(計算結果!J877),"",計算結果!J877)=0,"",IF(ISNA(計算結果!J877),"",計算結果!J877))</f>
        <v/>
      </c>
      <c r="K877" s="23" t="str">
        <f>IF(IF(ISNA(計算結果!K877),"",計算結果!K877)=0,"",IF(ISNA(計算結果!K877),"",計算結果!K877))</f>
        <v/>
      </c>
      <c r="L877" s="13" t="str">
        <f>IF(IF(ISNA(計算結果!L877),"",計算結果!L877)=0,"",IF(ISNA(計算結果!L877),"",計算結果!L877))</f>
        <v/>
      </c>
      <c r="M877" s="10" t="str">
        <f>IF(IF(ISNA(計算結果!M877),"",計算結果!M877)=0,"",IF(ISNA(計算結果!M877),"",計算結果!M877))</f>
        <v/>
      </c>
      <c r="N877" s="10" t="str">
        <f>IF(IF(ISNA(計算結果!N877),"",計算結果!N877)=0,"",IF(ISNA(計算結果!N877),"",計算結果!N877))</f>
        <v/>
      </c>
      <c r="O877" s="13" t="str">
        <f>IF(IF(ISNA(計算結果!O877),"",計算結果!O877)=0,"",IF(ISNA(計算結果!O877),"",計算結果!O877))</f>
        <v/>
      </c>
      <c r="P877" s="10" t="str">
        <f>IF(IF(ISNA(計算結果!P877),"",計算結果!P877)=0,"",IF(ISNA(計算結果!P877),"",計算結果!P877))</f>
        <v/>
      </c>
      <c r="Q877" s="10" t="str">
        <f>IF(IF(ISNA(計算結果!Q877),"",計算結果!Q877)=0,"",IF(ISNA(計算結果!Q877),"",計算結果!Q877))</f>
        <v/>
      </c>
      <c r="R877" s="14" t="str">
        <f t="shared" si="39"/>
        <v/>
      </c>
      <c r="S877" s="14" t="str">
        <f t="shared" si="40"/>
        <v>◯</v>
      </c>
      <c r="T877" s="14" t="str">
        <f t="shared" si="41"/>
        <v/>
      </c>
    </row>
    <row r="878" spans="1:20" hidden="1" x14ac:dyDescent="0.45">
      <c r="A878" s="10" t="str">
        <f>IF(IF(ISNA(計算結果!A878),"",計算結果!A878)=0,"",IF(ISNA(計算結果!A878),"",計算結果!A878))</f>
        <v/>
      </c>
      <c r="B878" s="10" t="str">
        <f>IF(IF(ISNA(計算結果!B878),"",計算結果!B878)=0,"",IF(ISNA(計算結果!B878),"",計算結果!B878))</f>
        <v/>
      </c>
      <c r="C878" s="10" t="str">
        <f>IF(IF(ISNA(計算結果!C878),"",計算結果!C878)=0,"",IF(ISNA(計算結果!C878),"",計算結果!C878))</f>
        <v/>
      </c>
      <c r="D878" s="10" t="str">
        <f>IF(IF(ISNA(計算結果!D878),"",計算結果!D878)=0,"",IF(ISNA(計算結果!D878),"",計算結果!D878))</f>
        <v>L</v>
      </c>
      <c r="E878" s="10" t="str">
        <f>IF(IF(ISNA(計算結果!E878),"",計算結果!E878)=0,"",IF(ISNA(計算結果!E878),"",計算結果!E878))</f>
        <v/>
      </c>
      <c r="F878" s="10" t="str">
        <f>IF(IF(ISNA(計算結果!F878),"",計算結果!F878)=0,"",IF(ISNA(計算結果!F878),"",計算結果!F878))</f>
        <v/>
      </c>
      <c r="G878" s="10" t="str">
        <f>IF(IF(ISNA(計算結果!G878),"",計算結果!G878)=0,"",IF(ISNA(計算結果!G878),"",計算結果!G878))</f>
        <v/>
      </c>
      <c r="H878" s="13">
        <f>IF(IF(ISNA(計算結果!H878),"",計算結果!H878)=0,"",IF(ISNA(計算結果!H878),"",計算結果!H878))</f>
        <v>-2</v>
      </c>
      <c r="I878" s="12" t="str">
        <f>IF(IF(ISNA(計算結果!I878),"",計算結果!I878)=0,"",IF(ISNA(計算結果!I878),"",計算結果!I878))</f>
        <v/>
      </c>
      <c r="J878" s="12" t="str">
        <f>IF(IF(ISNA(計算結果!J878),"",計算結果!J878)=0,"",IF(ISNA(計算結果!J878),"",計算結果!J878))</f>
        <v/>
      </c>
      <c r="K878" s="23" t="str">
        <f>IF(IF(ISNA(計算結果!K878),"",計算結果!K878)=0,"",IF(ISNA(計算結果!K878),"",計算結果!K878))</f>
        <v/>
      </c>
      <c r="L878" s="13" t="str">
        <f>IF(IF(ISNA(計算結果!L878),"",計算結果!L878)=0,"",IF(ISNA(計算結果!L878),"",計算結果!L878))</f>
        <v/>
      </c>
      <c r="M878" s="10" t="str">
        <f>IF(IF(ISNA(計算結果!M878),"",計算結果!M878)=0,"",IF(ISNA(計算結果!M878),"",計算結果!M878))</f>
        <v/>
      </c>
      <c r="N878" s="10" t="str">
        <f>IF(IF(ISNA(計算結果!N878),"",計算結果!N878)=0,"",IF(ISNA(計算結果!N878),"",計算結果!N878))</f>
        <v/>
      </c>
      <c r="O878" s="13" t="str">
        <f>IF(IF(ISNA(計算結果!O878),"",計算結果!O878)=0,"",IF(ISNA(計算結果!O878),"",計算結果!O878))</f>
        <v/>
      </c>
      <c r="P878" s="10" t="str">
        <f>IF(IF(ISNA(計算結果!P878),"",計算結果!P878)=0,"",IF(ISNA(計算結果!P878),"",計算結果!P878))</f>
        <v/>
      </c>
      <c r="Q878" s="10" t="str">
        <f>IF(IF(ISNA(計算結果!Q878),"",計算結果!Q878)=0,"",IF(ISNA(計算結果!Q878),"",計算結果!Q878))</f>
        <v/>
      </c>
      <c r="R878" s="14" t="str">
        <f t="shared" si="39"/>
        <v/>
      </c>
      <c r="S878" s="14" t="str">
        <f t="shared" si="40"/>
        <v>◯</v>
      </c>
      <c r="T878" s="14" t="str">
        <f t="shared" si="41"/>
        <v/>
      </c>
    </row>
    <row r="879" spans="1:20" hidden="1" x14ac:dyDescent="0.45">
      <c r="A879" s="10" t="str">
        <f>IF(IF(ISNA(計算結果!A879),"",計算結果!A879)=0,"",IF(ISNA(計算結果!A879),"",計算結果!A879))</f>
        <v/>
      </c>
      <c r="B879" s="10" t="str">
        <f>IF(IF(ISNA(計算結果!B879),"",計算結果!B879)=0,"",IF(ISNA(計算結果!B879),"",計算結果!B879))</f>
        <v/>
      </c>
      <c r="C879" s="10" t="str">
        <f>IF(IF(ISNA(計算結果!C879),"",計算結果!C879)=0,"",IF(ISNA(計算結果!C879),"",計算結果!C879))</f>
        <v/>
      </c>
      <c r="D879" s="10" t="str">
        <f>IF(IF(ISNA(計算結果!D879),"",計算結果!D879)=0,"",IF(ISNA(計算結果!D879),"",計算結果!D879))</f>
        <v>L</v>
      </c>
      <c r="E879" s="10" t="str">
        <f>IF(IF(ISNA(計算結果!E879),"",計算結果!E879)=0,"",IF(ISNA(計算結果!E879),"",計算結果!E879))</f>
        <v/>
      </c>
      <c r="F879" s="10" t="str">
        <f>IF(IF(ISNA(計算結果!F879),"",計算結果!F879)=0,"",IF(ISNA(計算結果!F879),"",計算結果!F879))</f>
        <v/>
      </c>
      <c r="G879" s="10" t="str">
        <f>IF(IF(ISNA(計算結果!G879),"",計算結果!G879)=0,"",IF(ISNA(計算結果!G879),"",計算結果!G879))</f>
        <v/>
      </c>
      <c r="H879" s="13">
        <f>IF(IF(ISNA(計算結果!H879),"",計算結果!H879)=0,"",IF(ISNA(計算結果!H879),"",計算結果!H879))</f>
        <v>-2</v>
      </c>
      <c r="I879" s="12" t="str">
        <f>IF(IF(ISNA(計算結果!I879),"",計算結果!I879)=0,"",IF(ISNA(計算結果!I879),"",計算結果!I879))</f>
        <v/>
      </c>
      <c r="J879" s="12" t="str">
        <f>IF(IF(ISNA(計算結果!J879),"",計算結果!J879)=0,"",IF(ISNA(計算結果!J879),"",計算結果!J879))</f>
        <v/>
      </c>
      <c r="K879" s="23" t="str">
        <f>IF(IF(ISNA(計算結果!K879),"",計算結果!K879)=0,"",IF(ISNA(計算結果!K879),"",計算結果!K879))</f>
        <v/>
      </c>
      <c r="L879" s="13" t="str">
        <f>IF(IF(ISNA(計算結果!L879),"",計算結果!L879)=0,"",IF(ISNA(計算結果!L879),"",計算結果!L879))</f>
        <v/>
      </c>
      <c r="M879" s="10" t="str">
        <f>IF(IF(ISNA(計算結果!M879),"",計算結果!M879)=0,"",IF(ISNA(計算結果!M879),"",計算結果!M879))</f>
        <v/>
      </c>
      <c r="N879" s="10" t="str">
        <f>IF(IF(ISNA(計算結果!N879),"",計算結果!N879)=0,"",IF(ISNA(計算結果!N879),"",計算結果!N879))</f>
        <v/>
      </c>
      <c r="O879" s="13" t="str">
        <f>IF(IF(ISNA(計算結果!O879),"",計算結果!O879)=0,"",IF(ISNA(計算結果!O879),"",計算結果!O879))</f>
        <v/>
      </c>
      <c r="P879" s="10" t="str">
        <f>IF(IF(ISNA(計算結果!P879),"",計算結果!P879)=0,"",IF(ISNA(計算結果!P879),"",計算結果!P879))</f>
        <v/>
      </c>
      <c r="Q879" s="10" t="str">
        <f>IF(IF(ISNA(計算結果!Q879),"",計算結果!Q879)=0,"",IF(ISNA(計算結果!Q879),"",計算結果!Q879))</f>
        <v/>
      </c>
      <c r="R879" s="14" t="str">
        <f t="shared" si="39"/>
        <v/>
      </c>
      <c r="S879" s="14" t="str">
        <f t="shared" si="40"/>
        <v>◯</v>
      </c>
      <c r="T879" s="14" t="str">
        <f t="shared" si="41"/>
        <v/>
      </c>
    </row>
    <row r="880" spans="1:20" hidden="1" x14ac:dyDescent="0.45">
      <c r="A880" s="10" t="str">
        <f>IF(IF(ISNA(計算結果!A880),"",計算結果!A880)=0,"",IF(ISNA(計算結果!A880),"",計算結果!A880))</f>
        <v/>
      </c>
      <c r="B880" s="10" t="str">
        <f>IF(IF(ISNA(計算結果!B880),"",計算結果!B880)=0,"",IF(ISNA(計算結果!B880),"",計算結果!B880))</f>
        <v/>
      </c>
      <c r="C880" s="10" t="str">
        <f>IF(IF(ISNA(計算結果!C880),"",計算結果!C880)=0,"",IF(ISNA(計算結果!C880),"",計算結果!C880))</f>
        <v/>
      </c>
      <c r="D880" s="10" t="str">
        <f>IF(IF(ISNA(計算結果!D880),"",計算結果!D880)=0,"",IF(ISNA(計算結果!D880),"",計算結果!D880))</f>
        <v>L</v>
      </c>
      <c r="E880" s="10" t="str">
        <f>IF(IF(ISNA(計算結果!E880),"",計算結果!E880)=0,"",IF(ISNA(計算結果!E880),"",計算結果!E880))</f>
        <v/>
      </c>
      <c r="F880" s="10" t="str">
        <f>IF(IF(ISNA(計算結果!F880),"",計算結果!F880)=0,"",IF(ISNA(計算結果!F880),"",計算結果!F880))</f>
        <v/>
      </c>
      <c r="G880" s="10" t="str">
        <f>IF(IF(ISNA(計算結果!G880),"",計算結果!G880)=0,"",IF(ISNA(計算結果!G880),"",計算結果!G880))</f>
        <v/>
      </c>
      <c r="H880" s="13">
        <f>IF(IF(ISNA(計算結果!H880),"",計算結果!H880)=0,"",IF(ISNA(計算結果!H880),"",計算結果!H880))</f>
        <v>-2</v>
      </c>
      <c r="I880" s="12" t="str">
        <f>IF(IF(ISNA(計算結果!I880),"",計算結果!I880)=0,"",IF(ISNA(計算結果!I880),"",計算結果!I880))</f>
        <v/>
      </c>
      <c r="J880" s="12" t="str">
        <f>IF(IF(ISNA(計算結果!J880),"",計算結果!J880)=0,"",IF(ISNA(計算結果!J880),"",計算結果!J880))</f>
        <v/>
      </c>
      <c r="K880" s="23" t="str">
        <f>IF(IF(ISNA(計算結果!K880),"",計算結果!K880)=0,"",IF(ISNA(計算結果!K880),"",計算結果!K880))</f>
        <v/>
      </c>
      <c r="L880" s="13" t="str">
        <f>IF(IF(ISNA(計算結果!L880),"",計算結果!L880)=0,"",IF(ISNA(計算結果!L880),"",計算結果!L880))</f>
        <v/>
      </c>
      <c r="M880" s="10" t="str">
        <f>IF(IF(ISNA(計算結果!M880),"",計算結果!M880)=0,"",IF(ISNA(計算結果!M880),"",計算結果!M880))</f>
        <v/>
      </c>
      <c r="N880" s="10" t="str">
        <f>IF(IF(ISNA(計算結果!N880),"",計算結果!N880)=0,"",IF(ISNA(計算結果!N880),"",計算結果!N880))</f>
        <v/>
      </c>
      <c r="O880" s="13" t="str">
        <f>IF(IF(ISNA(計算結果!O880),"",計算結果!O880)=0,"",IF(ISNA(計算結果!O880),"",計算結果!O880))</f>
        <v/>
      </c>
      <c r="P880" s="10" t="str">
        <f>IF(IF(ISNA(計算結果!P880),"",計算結果!P880)=0,"",IF(ISNA(計算結果!P880),"",計算結果!P880))</f>
        <v/>
      </c>
      <c r="Q880" s="10" t="str">
        <f>IF(IF(ISNA(計算結果!Q880),"",計算結果!Q880)=0,"",IF(ISNA(計算結果!Q880),"",計算結果!Q880))</f>
        <v/>
      </c>
      <c r="R880" s="14" t="str">
        <f t="shared" si="39"/>
        <v/>
      </c>
      <c r="S880" s="14" t="str">
        <f t="shared" si="40"/>
        <v>◯</v>
      </c>
      <c r="T880" s="14" t="str">
        <f t="shared" si="41"/>
        <v/>
      </c>
    </row>
    <row r="881" spans="1:20" hidden="1" x14ac:dyDescent="0.45">
      <c r="A881" s="10" t="str">
        <f>IF(IF(ISNA(計算結果!A881),"",計算結果!A881)=0,"",IF(ISNA(計算結果!A881),"",計算結果!A881))</f>
        <v/>
      </c>
      <c r="B881" s="10" t="str">
        <f>IF(IF(ISNA(計算結果!B881),"",計算結果!B881)=0,"",IF(ISNA(計算結果!B881),"",計算結果!B881))</f>
        <v/>
      </c>
      <c r="C881" s="10" t="str">
        <f>IF(IF(ISNA(計算結果!C881),"",計算結果!C881)=0,"",IF(ISNA(計算結果!C881),"",計算結果!C881))</f>
        <v/>
      </c>
      <c r="D881" s="10" t="str">
        <f>IF(IF(ISNA(計算結果!D881),"",計算結果!D881)=0,"",IF(ISNA(計算結果!D881),"",計算結果!D881))</f>
        <v>L</v>
      </c>
      <c r="E881" s="10" t="str">
        <f>IF(IF(ISNA(計算結果!E881),"",計算結果!E881)=0,"",IF(ISNA(計算結果!E881),"",計算結果!E881))</f>
        <v/>
      </c>
      <c r="F881" s="10" t="str">
        <f>IF(IF(ISNA(計算結果!F881),"",計算結果!F881)=0,"",IF(ISNA(計算結果!F881),"",計算結果!F881))</f>
        <v/>
      </c>
      <c r="G881" s="10" t="str">
        <f>IF(IF(ISNA(計算結果!G881),"",計算結果!G881)=0,"",IF(ISNA(計算結果!G881),"",計算結果!G881))</f>
        <v/>
      </c>
      <c r="H881" s="13">
        <f>IF(IF(ISNA(計算結果!H881),"",計算結果!H881)=0,"",IF(ISNA(計算結果!H881),"",計算結果!H881))</f>
        <v>-2</v>
      </c>
      <c r="I881" s="12" t="str">
        <f>IF(IF(ISNA(計算結果!I881),"",計算結果!I881)=0,"",IF(ISNA(計算結果!I881),"",計算結果!I881))</f>
        <v/>
      </c>
      <c r="J881" s="12" t="str">
        <f>IF(IF(ISNA(計算結果!J881),"",計算結果!J881)=0,"",IF(ISNA(計算結果!J881),"",計算結果!J881))</f>
        <v/>
      </c>
      <c r="K881" s="23" t="str">
        <f>IF(IF(ISNA(計算結果!K881),"",計算結果!K881)=0,"",IF(ISNA(計算結果!K881),"",計算結果!K881))</f>
        <v/>
      </c>
      <c r="L881" s="13" t="str">
        <f>IF(IF(ISNA(計算結果!L881),"",計算結果!L881)=0,"",IF(ISNA(計算結果!L881),"",計算結果!L881))</f>
        <v/>
      </c>
      <c r="M881" s="10" t="str">
        <f>IF(IF(ISNA(計算結果!M881),"",計算結果!M881)=0,"",IF(ISNA(計算結果!M881),"",計算結果!M881))</f>
        <v/>
      </c>
      <c r="N881" s="10" t="str">
        <f>IF(IF(ISNA(計算結果!N881),"",計算結果!N881)=0,"",IF(ISNA(計算結果!N881),"",計算結果!N881))</f>
        <v/>
      </c>
      <c r="O881" s="13" t="str">
        <f>IF(IF(ISNA(計算結果!O881),"",計算結果!O881)=0,"",IF(ISNA(計算結果!O881),"",計算結果!O881))</f>
        <v/>
      </c>
      <c r="P881" s="10" t="str">
        <f>IF(IF(ISNA(計算結果!P881),"",計算結果!P881)=0,"",IF(ISNA(計算結果!P881),"",計算結果!P881))</f>
        <v/>
      </c>
      <c r="Q881" s="10" t="str">
        <f>IF(IF(ISNA(計算結果!Q881),"",計算結果!Q881)=0,"",IF(ISNA(計算結果!Q881),"",計算結果!Q881))</f>
        <v/>
      </c>
      <c r="R881" s="14" t="str">
        <f t="shared" si="39"/>
        <v/>
      </c>
      <c r="S881" s="14" t="str">
        <f t="shared" si="40"/>
        <v>◯</v>
      </c>
      <c r="T881" s="14" t="str">
        <f t="shared" si="41"/>
        <v/>
      </c>
    </row>
    <row r="882" spans="1:20" hidden="1" x14ac:dyDescent="0.45">
      <c r="A882" s="10" t="str">
        <f>IF(IF(ISNA(計算結果!A882),"",計算結果!A882)=0,"",IF(ISNA(計算結果!A882),"",計算結果!A882))</f>
        <v/>
      </c>
      <c r="B882" s="10" t="str">
        <f>IF(IF(ISNA(計算結果!B882),"",計算結果!B882)=0,"",IF(ISNA(計算結果!B882),"",計算結果!B882))</f>
        <v/>
      </c>
      <c r="C882" s="10" t="str">
        <f>IF(IF(ISNA(計算結果!C882),"",計算結果!C882)=0,"",IF(ISNA(計算結果!C882),"",計算結果!C882))</f>
        <v/>
      </c>
      <c r="D882" s="10" t="str">
        <f>IF(IF(ISNA(計算結果!D882),"",計算結果!D882)=0,"",IF(ISNA(計算結果!D882),"",計算結果!D882))</f>
        <v>L</v>
      </c>
      <c r="E882" s="10" t="str">
        <f>IF(IF(ISNA(計算結果!E882),"",計算結果!E882)=0,"",IF(ISNA(計算結果!E882),"",計算結果!E882))</f>
        <v/>
      </c>
      <c r="F882" s="10" t="str">
        <f>IF(IF(ISNA(計算結果!F882),"",計算結果!F882)=0,"",IF(ISNA(計算結果!F882),"",計算結果!F882))</f>
        <v/>
      </c>
      <c r="G882" s="10" t="str">
        <f>IF(IF(ISNA(計算結果!G882),"",計算結果!G882)=0,"",IF(ISNA(計算結果!G882),"",計算結果!G882))</f>
        <v/>
      </c>
      <c r="H882" s="13">
        <f>IF(IF(ISNA(計算結果!H882),"",計算結果!H882)=0,"",IF(ISNA(計算結果!H882),"",計算結果!H882))</f>
        <v>-2</v>
      </c>
      <c r="I882" s="12" t="str">
        <f>IF(IF(ISNA(計算結果!I882),"",計算結果!I882)=0,"",IF(ISNA(計算結果!I882),"",計算結果!I882))</f>
        <v/>
      </c>
      <c r="J882" s="12" t="str">
        <f>IF(IF(ISNA(計算結果!J882),"",計算結果!J882)=0,"",IF(ISNA(計算結果!J882),"",計算結果!J882))</f>
        <v/>
      </c>
      <c r="K882" s="23" t="str">
        <f>IF(IF(ISNA(計算結果!K882),"",計算結果!K882)=0,"",IF(ISNA(計算結果!K882),"",計算結果!K882))</f>
        <v/>
      </c>
      <c r="L882" s="13" t="str">
        <f>IF(IF(ISNA(計算結果!L882),"",計算結果!L882)=0,"",IF(ISNA(計算結果!L882),"",計算結果!L882))</f>
        <v/>
      </c>
      <c r="M882" s="10" t="str">
        <f>IF(IF(ISNA(計算結果!M882),"",計算結果!M882)=0,"",IF(ISNA(計算結果!M882),"",計算結果!M882))</f>
        <v/>
      </c>
      <c r="N882" s="10" t="str">
        <f>IF(IF(ISNA(計算結果!N882),"",計算結果!N882)=0,"",IF(ISNA(計算結果!N882),"",計算結果!N882))</f>
        <v/>
      </c>
      <c r="O882" s="13" t="str">
        <f>IF(IF(ISNA(計算結果!O882),"",計算結果!O882)=0,"",IF(ISNA(計算結果!O882),"",計算結果!O882))</f>
        <v/>
      </c>
      <c r="P882" s="10" t="str">
        <f>IF(IF(ISNA(計算結果!P882),"",計算結果!P882)=0,"",IF(ISNA(計算結果!P882),"",計算結果!P882))</f>
        <v/>
      </c>
      <c r="Q882" s="10" t="str">
        <f>IF(IF(ISNA(計算結果!Q882),"",計算結果!Q882)=0,"",IF(ISNA(計算結果!Q882),"",計算結果!Q882))</f>
        <v/>
      </c>
      <c r="R882" s="14" t="str">
        <f t="shared" si="39"/>
        <v/>
      </c>
      <c r="S882" s="14" t="str">
        <f t="shared" si="40"/>
        <v>◯</v>
      </c>
      <c r="T882" s="14" t="str">
        <f t="shared" si="41"/>
        <v/>
      </c>
    </row>
    <row r="883" spans="1:20" hidden="1" x14ac:dyDescent="0.45">
      <c r="A883" s="10" t="str">
        <f>IF(IF(ISNA(計算結果!A883),"",計算結果!A883)=0,"",IF(ISNA(計算結果!A883),"",計算結果!A883))</f>
        <v/>
      </c>
      <c r="B883" s="10" t="str">
        <f>IF(IF(ISNA(計算結果!B883),"",計算結果!B883)=0,"",IF(ISNA(計算結果!B883),"",計算結果!B883))</f>
        <v/>
      </c>
      <c r="C883" s="10" t="str">
        <f>IF(IF(ISNA(計算結果!C883),"",計算結果!C883)=0,"",IF(ISNA(計算結果!C883),"",計算結果!C883))</f>
        <v/>
      </c>
      <c r="D883" s="10" t="str">
        <f>IF(IF(ISNA(計算結果!D883),"",計算結果!D883)=0,"",IF(ISNA(計算結果!D883),"",計算結果!D883))</f>
        <v>L</v>
      </c>
      <c r="E883" s="10" t="str">
        <f>IF(IF(ISNA(計算結果!E883),"",計算結果!E883)=0,"",IF(ISNA(計算結果!E883),"",計算結果!E883))</f>
        <v/>
      </c>
      <c r="F883" s="10" t="str">
        <f>IF(IF(ISNA(計算結果!F883),"",計算結果!F883)=0,"",IF(ISNA(計算結果!F883),"",計算結果!F883))</f>
        <v/>
      </c>
      <c r="G883" s="10" t="str">
        <f>IF(IF(ISNA(計算結果!G883),"",計算結果!G883)=0,"",IF(ISNA(計算結果!G883),"",計算結果!G883))</f>
        <v/>
      </c>
      <c r="H883" s="13">
        <f>IF(IF(ISNA(計算結果!H883),"",計算結果!H883)=0,"",IF(ISNA(計算結果!H883),"",計算結果!H883))</f>
        <v>-2</v>
      </c>
      <c r="I883" s="12" t="str">
        <f>IF(IF(ISNA(計算結果!I883),"",計算結果!I883)=0,"",IF(ISNA(計算結果!I883),"",計算結果!I883))</f>
        <v/>
      </c>
      <c r="J883" s="12" t="str">
        <f>IF(IF(ISNA(計算結果!J883),"",計算結果!J883)=0,"",IF(ISNA(計算結果!J883),"",計算結果!J883))</f>
        <v/>
      </c>
      <c r="K883" s="23" t="str">
        <f>IF(IF(ISNA(計算結果!K883),"",計算結果!K883)=0,"",IF(ISNA(計算結果!K883),"",計算結果!K883))</f>
        <v/>
      </c>
      <c r="L883" s="13" t="str">
        <f>IF(IF(ISNA(計算結果!L883),"",計算結果!L883)=0,"",IF(ISNA(計算結果!L883),"",計算結果!L883))</f>
        <v/>
      </c>
      <c r="M883" s="10" t="str">
        <f>IF(IF(ISNA(計算結果!M883),"",計算結果!M883)=0,"",IF(ISNA(計算結果!M883),"",計算結果!M883))</f>
        <v/>
      </c>
      <c r="N883" s="10" t="str">
        <f>IF(IF(ISNA(計算結果!N883),"",計算結果!N883)=0,"",IF(ISNA(計算結果!N883),"",計算結果!N883))</f>
        <v/>
      </c>
      <c r="O883" s="13" t="str">
        <f>IF(IF(ISNA(計算結果!O883),"",計算結果!O883)=0,"",IF(ISNA(計算結果!O883),"",計算結果!O883))</f>
        <v/>
      </c>
      <c r="P883" s="10" t="str">
        <f>IF(IF(ISNA(計算結果!P883),"",計算結果!P883)=0,"",IF(ISNA(計算結果!P883),"",計算結果!P883))</f>
        <v/>
      </c>
      <c r="Q883" s="10" t="str">
        <f>IF(IF(ISNA(計算結果!Q883),"",計算結果!Q883)=0,"",IF(ISNA(計算結果!Q883),"",計算結果!Q883))</f>
        <v/>
      </c>
      <c r="R883" s="14" t="str">
        <f t="shared" si="39"/>
        <v/>
      </c>
      <c r="S883" s="14" t="str">
        <f t="shared" si="40"/>
        <v>◯</v>
      </c>
      <c r="T883" s="14" t="str">
        <f t="shared" si="41"/>
        <v/>
      </c>
    </row>
    <row r="884" spans="1:20" hidden="1" x14ac:dyDescent="0.45">
      <c r="A884" s="10" t="str">
        <f>IF(IF(ISNA(計算結果!A884),"",計算結果!A884)=0,"",IF(ISNA(計算結果!A884),"",計算結果!A884))</f>
        <v/>
      </c>
      <c r="B884" s="10" t="str">
        <f>IF(IF(ISNA(計算結果!B884),"",計算結果!B884)=0,"",IF(ISNA(計算結果!B884),"",計算結果!B884))</f>
        <v/>
      </c>
      <c r="C884" s="10" t="str">
        <f>IF(IF(ISNA(計算結果!C884),"",計算結果!C884)=0,"",IF(ISNA(計算結果!C884),"",計算結果!C884))</f>
        <v/>
      </c>
      <c r="D884" s="10" t="str">
        <f>IF(IF(ISNA(計算結果!D884),"",計算結果!D884)=0,"",IF(ISNA(計算結果!D884),"",計算結果!D884))</f>
        <v>L</v>
      </c>
      <c r="E884" s="10" t="str">
        <f>IF(IF(ISNA(計算結果!E884),"",計算結果!E884)=0,"",IF(ISNA(計算結果!E884),"",計算結果!E884))</f>
        <v/>
      </c>
      <c r="F884" s="10" t="str">
        <f>IF(IF(ISNA(計算結果!F884),"",計算結果!F884)=0,"",IF(ISNA(計算結果!F884),"",計算結果!F884))</f>
        <v/>
      </c>
      <c r="G884" s="10" t="str">
        <f>IF(IF(ISNA(計算結果!G884),"",計算結果!G884)=0,"",IF(ISNA(計算結果!G884),"",計算結果!G884))</f>
        <v/>
      </c>
      <c r="H884" s="13">
        <f>IF(IF(ISNA(計算結果!H884),"",計算結果!H884)=0,"",IF(ISNA(計算結果!H884),"",計算結果!H884))</f>
        <v>-2</v>
      </c>
      <c r="I884" s="12" t="str">
        <f>IF(IF(ISNA(計算結果!I884),"",計算結果!I884)=0,"",IF(ISNA(計算結果!I884),"",計算結果!I884))</f>
        <v/>
      </c>
      <c r="J884" s="12" t="str">
        <f>IF(IF(ISNA(計算結果!J884),"",計算結果!J884)=0,"",IF(ISNA(計算結果!J884),"",計算結果!J884))</f>
        <v/>
      </c>
      <c r="K884" s="23" t="str">
        <f>IF(IF(ISNA(計算結果!K884),"",計算結果!K884)=0,"",IF(ISNA(計算結果!K884),"",計算結果!K884))</f>
        <v/>
      </c>
      <c r="L884" s="13" t="str">
        <f>IF(IF(ISNA(計算結果!L884),"",計算結果!L884)=0,"",IF(ISNA(計算結果!L884),"",計算結果!L884))</f>
        <v/>
      </c>
      <c r="M884" s="10" t="str">
        <f>IF(IF(ISNA(計算結果!M884),"",計算結果!M884)=0,"",IF(ISNA(計算結果!M884),"",計算結果!M884))</f>
        <v/>
      </c>
      <c r="N884" s="10" t="str">
        <f>IF(IF(ISNA(計算結果!N884),"",計算結果!N884)=0,"",IF(ISNA(計算結果!N884),"",計算結果!N884))</f>
        <v/>
      </c>
      <c r="O884" s="13" t="str">
        <f>IF(IF(ISNA(計算結果!O884),"",計算結果!O884)=0,"",IF(ISNA(計算結果!O884),"",計算結果!O884))</f>
        <v/>
      </c>
      <c r="P884" s="10" t="str">
        <f>IF(IF(ISNA(計算結果!P884),"",計算結果!P884)=0,"",IF(ISNA(計算結果!P884),"",計算結果!P884))</f>
        <v/>
      </c>
      <c r="Q884" s="10" t="str">
        <f>IF(IF(ISNA(計算結果!Q884),"",計算結果!Q884)=0,"",IF(ISNA(計算結果!Q884),"",計算結果!Q884))</f>
        <v/>
      </c>
      <c r="R884" s="14" t="str">
        <f t="shared" si="39"/>
        <v/>
      </c>
      <c r="S884" s="14" t="str">
        <f t="shared" si="40"/>
        <v>◯</v>
      </c>
      <c r="T884" s="14" t="str">
        <f t="shared" si="41"/>
        <v/>
      </c>
    </row>
    <row r="885" spans="1:20" hidden="1" x14ac:dyDescent="0.45">
      <c r="A885" s="10" t="str">
        <f>IF(IF(ISNA(計算結果!A885),"",計算結果!A885)=0,"",IF(ISNA(計算結果!A885),"",計算結果!A885))</f>
        <v/>
      </c>
      <c r="B885" s="10" t="str">
        <f>IF(IF(ISNA(計算結果!B885),"",計算結果!B885)=0,"",IF(ISNA(計算結果!B885),"",計算結果!B885))</f>
        <v/>
      </c>
      <c r="C885" s="10" t="str">
        <f>IF(IF(ISNA(計算結果!C885),"",計算結果!C885)=0,"",IF(ISNA(計算結果!C885),"",計算結果!C885))</f>
        <v/>
      </c>
      <c r="D885" s="10" t="str">
        <f>IF(IF(ISNA(計算結果!D885),"",計算結果!D885)=0,"",IF(ISNA(計算結果!D885),"",計算結果!D885))</f>
        <v>L</v>
      </c>
      <c r="E885" s="10" t="str">
        <f>IF(IF(ISNA(計算結果!E885),"",計算結果!E885)=0,"",IF(ISNA(計算結果!E885),"",計算結果!E885))</f>
        <v/>
      </c>
      <c r="F885" s="10" t="str">
        <f>IF(IF(ISNA(計算結果!F885),"",計算結果!F885)=0,"",IF(ISNA(計算結果!F885),"",計算結果!F885))</f>
        <v/>
      </c>
      <c r="G885" s="10" t="str">
        <f>IF(IF(ISNA(計算結果!G885),"",計算結果!G885)=0,"",IF(ISNA(計算結果!G885),"",計算結果!G885))</f>
        <v/>
      </c>
      <c r="H885" s="13">
        <f>IF(IF(ISNA(計算結果!H885),"",計算結果!H885)=0,"",IF(ISNA(計算結果!H885),"",計算結果!H885))</f>
        <v>-2</v>
      </c>
      <c r="I885" s="12" t="str">
        <f>IF(IF(ISNA(計算結果!I885),"",計算結果!I885)=0,"",IF(ISNA(計算結果!I885),"",計算結果!I885))</f>
        <v/>
      </c>
      <c r="J885" s="12" t="str">
        <f>IF(IF(ISNA(計算結果!J885),"",計算結果!J885)=0,"",IF(ISNA(計算結果!J885),"",計算結果!J885))</f>
        <v/>
      </c>
      <c r="K885" s="23" t="str">
        <f>IF(IF(ISNA(計算結果!K885),"",計算結果!K885)=0,"",IF(ISNA(計算結果!K885),"",計算結果!K885))</f>
        <v/>
      </c>
      <c r="L885" s="13" t="str">
        <f>IF(IF(ISNA(計算結果!L885),"",計算結果!L885)=0,"",IF(ISNA(計算結果!L885),"",計算結果!L885))</f>
        <v/>
      </c>
      <c r="M885" s="10" t="str">
        <f>IF(IF(ISNA(計算結果!M885),"",計算結果!M885)=0,"",IF(ISNA(計算結果!M885),"",計算結果!M885))</f>
        <v/>
      </c>
      <c r="N885" s="10" t="str">
        <f>IF(IF(ISNA(計算結果!N885),"",計算結果!N885)=0,"",IF(ISNA(計算結果!N885),"",計算結果!N885))</f>
        <v/>
      </c>
      <c r="O885" s="13" t="str">
        <f>IF(IF(ISNA(計算結果!O885),"",計算結果!O885)=0,"",IF(ISNA(計算結果!O885),"",計算結果!O885))</f>
        <v/>
      </c>
      <c r="P885" s="10" t="str">
        <f>IF(IF(ISNA(計算結果!P885),"",計算結果!P885)=0,"",IF(ISNA(計算結果!P885),"",計算結果!P885))</f>
        <v/>
      </c>
      <c r="Q885" s="10" t="str">
        <f>IF(IF(ISNA(計算結果!Q885),"",計算結果!Q885)=0,"",IF(ISNA(計算結果!Q885),"",計算結果!Q885))</f>
        <v/>
      </c>
      <c r="R885" s="14" t="str">
        <f t="shared" si="39"/>
        <v/>
      </c>
      <c r="S885" s="14" t="str">
        <f t="shared" si="40"/>
        <v>◯</v>
      </c>
      <c r="T885" s="14" t="str">
        <f t="shared" si="41"/>
        <v/>
      </c>
    </row>
    <row r="886" spans="1:20" hidden="1" x14ac:dyDescent="0.45">
      <c r="A886" s="10" t="str">
        <f>IF(IF(ISNA(計算結果!A886),"",計算結果!A886)=0,"",IF(ISNA(計算結果!A886),"",計算結果!A886))</f>
        <v/>
      </c>
      <c r="B886" s="10" t="str">
        <f>IF(IF(ISNA(計算結果!B886),"",計算結果!B886)=0,"",IF(ISNA(計算結果!B886),"",計算結果!B886))</f>
        <v/>
      </c>
      <c r="C886" s="10" t="str">
        <f>IF(IF(ISNA(計算結果!C886),"",計算結果!C886)=0,"",IF(ISNA(計算結果!C886),"",計算結果!C886))</f>
        <v/>
      </c>
      <c r="D886" s="10" t="str">
        <f>IF(IF(ISNA(計算結果!D886),"",計算結果!D886)=0,"",IF(ISNA(計算結果!D886),"",計算結果!D886))</f>
        <v>L</v>
      </c>
      <c r="E886" s="10" t="str">
        <f>IF(IF(ISNA(計算結果!E886),"",計算結果!E886)=0,"",IF(ISNA(計算結果!E886),"",計算結果!E886))</f>
        <v/>
      </c>
      <c r="F886" s="10" t="str">
        <f>IF(IF(ISNA(計算結果!F886),"",計算結果!F886)=0,"",IF(ISNA(計算結果!F886),"",計算結果!F886))</f>
        <v/>
      </c>
      <c r="G886" s="10" t="str">
        <f>IF(IF(ISNA(計算結果!G886),"",計算結果!G886)=0,"",IF(ISNA(計算結果!G886),"",計算結果!G886))</f>
        <v/>
      </c>
      <c r="H886" s="13">
        <f>IF(IF(ISNA(計算結果!H886),"",計算結果!H886)=0,"",IF(ISNA(計算結果!H886),"",計算結果!H886))</f>
        <v>-2</v>
      </c>
      <c r="I886" s="12" t="str">
        <f>IF(IF(ISNA(計算結果!I886),"",計算結果!I886)=0,"",IF(ISNA(計算結果!I886),"",計算結果!I886))</f>
        <v/>
      </c>
      <c r="J886" s="12" t="str">
        <f>IF(IF(ISNA(計算結果!J886),"",計算結果!J886)=0,"",IF(ISNA(計算結果!J886),"",計算結果!J886))</f>
        <v/>
      </c>
      <c r="K886" s="23" t="str">
        <f>IF(IF(ISNA(計算結果!K886),"",計算結果!K886)=0,"",IF(ISNA(計算結果!K886),"",計算結果!K886))</f>
        <v/>
      </c>
      <c r="L886" s="13" t="str">
        <f>IF(IF(ISNA(計算結果!L886),"",計算結果!L886)=0,"",IF(ISNA(計算結果!L886),"",計算結果!L886))</f>
        <v/>
      </c>
      <c r="M886" s="10" t="str">
        <f>IF(IF(ISNA(計算結果!M886),"",計算結果!M886)=0,"",IF(ISNA(計算結果!M886),"",計算結果!M886))</f>
        <v/>
      </c>
      <c r="N886" s="10" t="str">
        <f>IF(IF(ISNA(計算結果!N886),"",計算結果!N886)=0,"",IF(ISNA(計算結果!N886),"",計算結果!N886))</f>
        <v/>
      </c>
      <c r="O886" s="13" t="str">
        <f>IF(IF(ISNA(計算結果!O886),"",計算結果!O886)=0,"",IF(ISNA(計算結果!O886),"",計算結果!O886))</f>
        <v/>
      </c>
      <c r="P886" s="10" t="str">
        <f>IF(IF(ISNA(計算結果!P886),"",計算結果!P886)=0,"",IF(ISNA(計算結果!P886),"",計算結果!P886))</f>
        <v/>
      </c>
      <c r="Q886" s="10" t="str">
        <f>IF(IF(ISNA(計算結果!Q886),"",計算結果!Q886)=0,"",IF(ISNA(計算結果!Q886),"",計算結果!Q886))</f>
        <v/>
      </c>
      <c r="R886" s="14" t="str">
        <f t="shared" si="39"/>
        <v/>
      </c>
      <c r="S886" s="14" t="str">
        <f t="shared" si="40"/>
        <v>◯</v>
      </c>
      <c r="T886" s="14" t="str">
        <f t="shared" si="41"/>
        <v/>
      </c>
    </row>
    <row r="887" spans="1:20" hidden="1" x14ac:dyDescent="0.45">
      <c r="A887" s="10" t="str">
        <f>IF(IF(ISNA(計算結果!A887),"",計算結果!A887)=0,"",IF(ISNA(計算結果!A887),"",計算結果!A887))</f>
        <v/>
      </c>
      <c r="B887" s="10" t="str">
        <f>IF(IF(ISNA(計算結果!B887),"",計算結果!B887)=0,"",IF(ISNA(計算結果!B887),"",計算結果!B887))</f>
        <v/>
      </c>
      <c r="C887" s="10" t="str">
        <f>IF(IF(ISNA(計算結果!C887),"",計算結果!C887)=0,"",IF(ISNA(計算結果!C887),"",計算結果!C887))</f>
        <v/>
      </c>
      <c r="D887" s="10" t="str">
        <f>IF(IF(ISNA(計算結果!D887),"",計算結果!D887)=0,"",IF(ISNA(計算結果!D887),"",計算結果!D887))</f>
        <v>L</v>
      </c>
      <c r="E887" s="10" t="str">
        <f>IF(IF(ISNA(計算結果!E887),"",計算結果!E887)=0,"",IF(ISNA(計算結果!E887),"",計算結果!E887))</f>
        <v/>
      </c>
      <c r="F887" s="10" t="str">
        <f>IF(IF(ISNA(計算結果!F887),"",計算結果!F887)=0,"",IF(ISNA(計算結果!F887),"",計算結果!F887))</f>
        <v/>
      </c>
      <c r="G887" s="10" t="str">
        <f>IF(IF(ISNA(計算結果!G887),"",計算結果!G887)=0,"",IF(ISNA(計算結果!G887),"",計算結果!G887))</f>
        <v/>
      </c>
      <c r="H887" s="13">
        <f>IF(IF(ISNA(計算結果!H887),"",計算結果!H887)=0,"",IF(ISNA(計算結果!H887),"",計算結果!H887))</f>
        <v>-2</v>
      </c>
      <c r="I887" s="12" t="str">
        <f>IF(IF(ISNA(計算結果!I887),"",計算結果!I887)=0,"",IF(ISNA(計算結果!I887),"",計算結果!I887))</f>
        <v/>
      </c>
      <c r="J887" s="12" t="str">
        <f>IF(IF(ISNA(計算結果!J887),"",計算結果!J887)=0,"",IF(ISNA(計算結果!J887),"",計算結果!J887))</f>
        <v/>
      </c>
      <c r="K887" s="23" t="str">
        <f>IF(IF(ISNA(計算結果!K887),"",計算結果!K887)=0,"",IF(ISNA(計算結果!K887),"",計算結果!K887))</f>
        <v/>
      </c>
      <c r="L887" s="13" t="str">
        <f>IF(IF(ISNA(計算結果!L887),"",計算結果!L887)=0,"",IF(ISNA(計算結果!L887),"",計算結果!L887))</f>
        <v/>
      </c>
      <c r="M887" s="10" t="str">
        <f>IF(IF(ISNA(計算結果!M887),"",計算結果!M887)=0,"",IF(ISNA(計算結果!M887),"",計算結果!M887))</f>
        <v/>
      </c>
      <c r="N887" s="10" t="str">
        <f>IF(IF(ISNA(計算結果!N887),"",計算結果!N887)=0,"",IF(ISNA(計算結果!N887),"",計算結果!N887))</f>
        <v/>
      </c>
      <c r="O887" s="13" t="str">
        <f>IF(IF(ISNA(計算結果!O887),"",計算結果!O887)=0,"",IF(ISNA(計算結果!O887),"",計算結果!O887))</f>
        <v/>
      </c>
      <c r="P887" s="10" t="str">
        <f>IF(IF(ISNA(計算結果!P887),"",計算結果!P887)=0,"",IF(ISNA(計算結果!P887),"",計算結果!P887))</f>
        <v/>
      </c>
      <c r="Q887" s="10" t="str">
        <f>IF(IF(ISNA(計算結果!Q887),"",計算結果!Q887)=0,"",IF(ISNA(計算結果!Q887),"",計算結果!Q887))</f>
        <v/>
      </c>
      <c r="R887" s="14" t="str">
        <f t="shared" si="39"/>
        <v/>
      </c>
      <c r="S887" s="14" t="str">
        <f t="shared" si="40"/>
        <v>◯</v>
      </c>
      <c r="T887" s="14" t="str">
        <f t="shared" si="41"/>
        <v/>
      </c>
    </row>
    <row r="888" spans="1:20" hidden="1" x14ac:dyDescent="0.45">
      <c r="A888" s="10" t="str">
        <f>IF(IF(ISNA(計算結果!A888),"",計算結果!A888)=0,"",IF(ISNA(計算結果!A888),"",計算結果!A888))</f>
        <v/>
      </c>
      <c r="B888" s="10" t="str">
        <f>IF(IF(ISNA(計算結果!B888),"",計算結果!B888)=0,"",IF(ISNA(計算結果!B888),"",計算結果!B888))</f>
        <v/>
      </c>
      <c r="C888" s="10" t="str">
        <f>IF(IF(ISNA(計算結果!C888),"",計算結果!C888)=0,"",IF(ISNA(計算結果!C888),"",計算結果!C888))</f>
        <v/>
      </c>
      <c r="D888" s="10" t="str">
        <f>IF(IF(ISNA(計算結果!D888),"",計算結果!D888)=0,"",IF(ISNA(計算結果!D888),"",計算結果!D888))</f>
        <v>L</v>
      </c>
      <c r="E888" s="10" t="str">
        <f>IF(IF(ISNA(計算結果!E888),"",計算結果!E888)=0,"",IF(ISNA(計算結果!E888),"",計算結果!E888))</f>
        <v/>
      </c>
      <c r="F888" s="10" t="str">
        <f>IF(IF(ISNA(計算結果!F888),"",計算結果!F888)=0,"",IF(ISNA(計算結果!F888),"",計算結果!F888))</f>
        <v/>
      </c>
      <c r="G888" s="10" t="str">
        <f>IF(IF(ISNA(計算結果!G888),"",計算結果!G888)=0,"",IF(ISNA(計算結果!G888),"",計算結果!G888))</f>
        <v/>
      </c>
      <c r="H888" s="13">
        <f>IF(IF(ISNA(計算結果!H888),"",計算結果!H888)=0,"",IF(ISNA(計算結果!H888),"",計算結果!H888))</f>
        <v>-2</v>
      </c>
      <c r="I888" s="12" t="str">
        <f>IF(IF(ISNA(計算結果!I888),"",計算結果!I888)=0,"",IF(ISNA(計算結果!I888),"",計算結果!I888))</f>
        <v/>
      </c>
      <c r="J888" s="12" t="str">
        <f>IF(IF(ISNA(計算結果!J888),"",計算結果!J888)=0,"",IF(ISNA(計算結果!J888),"",計算結果!J888))</f>
        <v/>
      </c>
      <c r="K888" s="23" t="str">
        <f>IF(IF(ISNA(計算結果!K888),"",計算結果!K888)=0,"",IF(ISNA(計算結果!K888),"",計算結果!K888))</f>
        <v/>
      </c>
      <c r="L888" s="13" t="str">
        <f>IF(IF(ISNA(計算結果!L888),"",計算結果!L888)=0,"",IF(ISNA(計算結果!L888),"",計算結果!L888))</f>
        <v/>
      </c>
      <c r="M888" s="10" t="str">
        <f>IF(IF(ISNA(計算結果!M888),"",計算結果!M888)=0,"",IF(ISNA(計算結果!M888),"",計算結果!M888))</f>
        <v/>
      </c>
      <c r="N888" s="10" t="str">
        <f>IF(IF(ISNA(計算結果!N888),"",計算結果!N888)=0,"",IF(ISNA(計算結果!N888),"",計算結果!N888))</f>
        <v/>
      </c>
      <c r="O888" s="13" t="str">
        <f>IF(IF(ISNA(計算結果!O888),"",計算結果!O888)=0,"",IF(ISNA(計算結果!O888),"",計算結果!O888))</f>
        <v/>
      </c>
      <c r="P888" s="10" t="str">
        <f>IF(IF(ISNA(計算結果!P888),"",計算結果!P888)=0,"",IF(ISNA(計算結果!P888),"",計算結果!P888))</f>
        <v/>
      </c>
      <c r="Q888" s="10" t="str">
        <f>IF(IF(ISNA(計算結果!Q888),"",計算結果!Q888)=0,"",IF(ISNA(計算結果!Q888),"",計算結果!Q888))</f>
        <v/>
      </c>
      <c r="R888" s="14" t="str">
        <f t="shared" si="39"/>
        <v/>
      </c>
      <c r="S888" s="14" t="str">
        <f t="shared" si="40"/>
        <v>◯</v>
      </c>
      <c r="T888" s="14" t="str">
        <f t="shared" si="41"/>
        <v/>
      </c>
    </row>
    <row r="889" spans="1:20" hidden="1" x14ac:dyDescent="0.45">
      <c r="A889" s="10" t="str">
        <f>IF(IF(ISNA(計算結果!A889),"",計算結果!A889)=0,"",IF(ISNA(計算結果!A889),"",計算結果!A889))</f>
        <v/>
      </c>
      <c r="B889" s="10" t="str">
        <f>IF(IF(ISNA(計算結果!B889),"",計算結果!B889)=0,"",IF(ISNA(計算結果!B889),"",計算結果!B889))</f>
        <v/>
      </c>
      <c r="C889" s="10" t="str">
        <f>IF(IF(ISNA(計算結果!C889),"",計算結果!C889)=0,"",IF(ISNA(計算結果!C889),"",計算結果!C889))</f>
        <v/>
      </c>
      <c r="D889" s="10" t="str">
        <f>IF(IF(ISNA(計算結果!D889),"",計算結果!D889)=0,"",IF(ISNA(計算結果!D889),"",計算結果!D889))</f>
        <v>L</v>
      </c>
      <c r="E889" s="10" t="str">
        <f>IF(IF(ISNA(計算結果!E889),"",計算結果!E889)=0,"",IF(ISNA(計算結果!E889),"",計算結果!E889))</f>
        <v/>
      </c>
      <c r="F889" s="10" t="str">
        <f>IF(IF(ISNA(計算結果!F889),"",計算結果!F889)=0,"",IF(ISNA(計算結果!F889),"",計算結果!F889))</f>
        <v/>
      </c>
      <c r="G889" s="10" t="str">
        <f>IF(IF(ISNA(計算結果!G889),"",計算結果!G889)=0,"",IF(ISNA(計算結果!G889),"",計算結果!G889))</f>
        <v/>
      </c>
      <c r="H889" s="13">
        <f>IF(IF(ISNA(計算結果!H889),"",計算結果!H889)=0,"",IF(ISNA(計算結果!H889),"",計算結果!H889))</f>
        <v>-2</v>
      </c>
      <c r="I889" s="12" t="str">
        <f>IF(IF(ISNA(計算結果!I889),"",計算結果!I889)=0,"",IF(ISNA(計算結果!I889),"",計算結果!I889))</f>
        <v/>
      </c>
      <c r="J889" s="12" t="str">
        <f>IF(IF(ISNA(計算結果!J889),"",計算結果!J889)=0,"",IF(ISNA(計算結果!J889),"",計算結果!J889))</f>
        <v/>
      </c>
      <c r="K889" s="23" t="str">
        <f>IF(IF(ISNA(計算結果!K889),"",計算結果!K889)=0,"",IF(ISNA(計算結果!K889),"",計算結果!K889))</f>
        <v/>
      </c>
      <c r="L889" s="13" t="str">
        <f>IF(IF(ISNA(計算結果!L889),"",計算結果!L889)=0,"",IF(ISNA(計算結果!L889),"",計算結果!L889))</f>
        <v/>
      </c>
      <c r="M889" s="10" t="str">
        <f>IF(IF(ISNA(計算結果!M889),"",計算結果!M889)=0,"",IF(ISNA(計算結果!M889),"",計算結果!M889))</f>
        <v/>
      </c>
      <c r="N889" s="10" t="str">
        <f>IF(IF(ISNA(計算結果!N889),"",計算結果!N889)=0,"",IF(ISNA(計算結果!N889),"",計算結果!N889))</f>
        <v/>
      </c>
      <c r="O889" s="13" t="str">
        <f>IF(IF(ISNA(計算結果!O889),"",計算結果!O889)=0,"",IF(ISNA(計算結果!O889),"",計算結果!O889))</f>
        <v/>
      </c>
      <c r="P889" s="10" t="str">
        <f>IF(IF(ISNA(計算結果!P889),"",計算結果!P889)=0,"",IF(ISNA(計算結果!P889),"",計算結果!P889))</f>
        <v/>
      </c>
      <c r="Q889" s="10" t="str">
        <f>IF(IF(ISNA(計算結果!Q889),"",計算結果!Q889)=0,"",IF(ISNA(計算結果!Q889),"",計算結果!Q889))</f>
        <v/>
      </c>
      <c r="R889" s="14" t="str">
        <f t="shared" si="39"/>
        <v/>
      </c>
      <c r="S889" s="14" t="str">
        <f t="shared" si="40"/>
        <v>◯</v>
      </c>
      <c r="T889" s="14" t="str">
        <f t="shared" si="41"/>
        <v/>
      </c>
    </row>
    <row r="890" spans="1:20" hidden="1" x14ac:dyDescent="0.45">
      <c r="A890" s="10" t="str">
        <f>IF(IF(ISNA(計算結果!A890),"",計算結果!A890)=0,"",IF(ISNA(計算結果!A890),"",計算結果!A890))</f>
        <v/>
      </c>
      <c r="B890" s="10" t="str">
        <f>IF(IF(ISNA(計算結果!B890),"",計算結果!B890)=0,"",IF(ISNA(計算結果!B890),"",計算結果!B890))</f>
        <v/>
      </c>
      <c r="C890" s="10" t="str">
        <f>IF(IF(ISNA(計算結果!C890),"",計算結果!C890)=0,"",IF(ISNA(計算結果!C890),"",計算結果!C890))</f>
        <v/>
      </c>
      <c r="D890" s="10" t="str">
        <f>IF(IF(ISNA(計算結果!D890),"",計算結果!D890)=0,"",IF(ISNA(計算結果!D890),"",計算結果!D890))</f>
        <v>L</v>
      </c>
      <c r="E890" s="10" t="str">
        <f>IF(IF(ISNA(計算結果!E890),"",計算結果!E890)=0,"",IF(ISNA(計算結果!E890),"",計算結果!E890))</f>
        <v/>
      </c>
      <c r="F890" s="10" t="str">
        <f>IF(IF(ISNA(計算結果!F890),"",計算結果!F890)=0,"",IF(ISNA(計算結果!F890),"",計算結果!F890))</f>
        <v/>
      </c>
      <c r="G890" s="10" t="str">
        <f>IF(IF(ISNA(計算結果!G890),"",計算結果!G890)=0,"",IF(ISNA(計算結果!G890),"",計算結果!G890))</f>
        <v/>
      </c>
      <c r="H890" s="13">
        <f>IF(IF(ISNA(計算結果!H890),"",計算結果!H890)=0,"",IF(ISNA(計算結果!H890),"",計算結果!H890))</f>
        <v>-2</v>
      </c>
      <c r="I890" s="12" t="str">
        <f>IF(IF(ISNA(計算結果!I890),"",計算結果!I890)=0,"",IF(ISNA(計算結果!I890),"",計算結果!I890))</f>
        <v/>
      </c>
      <c r="J890" s="12" t="str">
        <f>IF(IF(ISNA(計算結果!J890),"",計算結果!J890)=0,"",IF(ISNA(計算結果!J890),"",計算結果!J890))</f>
        <v/>
      </c>
      <c r="K890" s="23" t="str">
        <f>IF(IF(ISNA(計算結果!K890),"",計算結果!K890)=0,"",IF(ISNA(計算結果!K890),"",計算結果!K890))</f>
        <v/>
      </c>
      <c r="L890" s="13" t="str">
        <f>IF(IF(ISNA(計算結果!L890),"",計算結果!L890)=0,"",IF(ISNA(計算結果!L890),"",計算結果!L890))</f>
        <v/>
      </c>
      <c r="M890" s="10" t="str">
        <f>IF(IF(ISNA(計算結果!M890),"",計算結果!M890)=0,"",IF(ISNA(計算結果!M890),"",計算結果!M890))</f>
        <v/>
      </c>
      <c r="N890" s="10" t="str">
        <f>IF(IF(ISNA(計算結果!N890),"",計算結果!N890)=0,"",IF(ISNA(計算結果!N890),"",計算結果!N890))</f>
        <v/>
      </c>
      <c r="O890" s="13" t="str">
        <f>IF(IF(ISNA(計算結果!O890),"",計算結果!O890)=0,"",IF(ISNA(計算結果!O890),"",計算結果!O890))</f>
        <v/>
      </c>
      <c r="P890" s="10" t="str">
        <f>IF(IF(ISNA(計算結果!P890),"",計算結果!P890)=0,"",IF(ISNA(計算結果!P890),"",計算結果!P890))</f>
        <v/>
      </c>
      <c r="Q890" s="10" t="str">
        <f>IF(IF(ISNA(計算結果!Q890),"",計算結果!Q890)=0,"",IF(ISNA(計算結果!Q890),"",計算結果!Q890))</f>
        <v/>
      </c>
      <c r="R890" s="14" t="str">
        <f t="shared" si="39"/>
        <v/>
      </c>
      <c r="S890" s="14" t="str">
        <f t="shared" si="40"/>
        <v>◯</v>
      </c>
      <c r="T890" s="14" t="str">
        <f t="shared" si="41"/>
        <v/>
      </c>
    </row>
    <row r="891" spans="1:20" hidden="1" x14ac:dyDescent="0.45">
      <c r="A891" s="10" t="str">
        <f>IF(IF(ISNA(計算結果!A891),"",計算結果!A891)=0,"",IF(ISNA(計算結果!A891),"",計算結果!A891))</f>
        <v/>
      </c>
      <c r="B891" s="10" t="str">
        <f>IF(IF(ISNA(計算結果!B891),"",計算結果!B891)=0,"",IF(ISNA(計算結果!B891),"",計算結果!B891))</f>
        <v/>
      </c>
      <c r="C891" s="10" t="str">
        <f>IF(IF(ISNA(計算結果!C891),"",計算結果!C891)=0,"",IF(ISNA(計算結果!C891),"",計算結果!C891))</f>
        <v/>
      </c>
      <c r="D891" s="10" t="str">
        <f>IF(IF(ISNA(計算結果!D891),"",計算結果!D891)=0,"",IF(ISNA(計算結果!D891),"",計算結果!D891))</f>
        <v>L</v>
      </c>
      <c r="E891" s="10" t="str">
        <f>IF(IF(ISNA(計算結果!E891),"",計算結果!E891)=0,"",IF(ISNA(計算結果!E891),"",計算結果!E891))</f>
        <v/>
      </c>
      <c r="F891" s="10" t="str">
        <f>IF(IF(ISNA(計算結果!F891),"",計算結果!F891)=0,"",IF(ISNA(計算結果!F891),"",計算結果!F891))</f>
        <v/>
      </c>
      <c r="G891" s="10" t="str">
        <f>IF(IF(ISNA(計算結果!G891),"",計算結果!G891)=0,"",IF(ISNA(計算結果!G891),"",計算結果!G891))</f>
        <v/>
      </c>
      <c r="H891" s="13">
        <f>IF(IF(ISNA(計算結果!H891),"",計算結果!H891)=0,"",IF(ISNA(計算結果!H891),"",計算結果!H891))</f>
        <v>-2</v>
      </c>
      <c r="I891" s="12" t="str">
        <f>IF(IF(ISNA(計算結果!I891),"",計算結果!I891)=0,"",IF(ISNA(計算結果!I891),"",計算結果!I891))</f>
        <v/>
      </c>
      <c r="J891" s="12" t="str">
        <f>IF(IF(ISNA(計算結果!J891),"",計算結果!J891)=0,"",IF(ISNA(計算結果!J891),"",計算結果!J891))</f>
        <v/>
      </c>
      <c r="K891" s="23" t="str">
        <f>IF(IF(ISNA(計算結果!K891),"",計算結果!K891)=0,"",IF(ISNA(計算結果!K891),"",計算結果!K891))</f>
        <v/>
      </c>
      <c r="L891" s="13" t="str">
        <f>IF(IF(ISNA(計算結果!L891),"",計算結果!L891)=0,"",IF(ISNA(計算結果!L891),"",計算結果!L891))</f>
        <v/>
      </c>
      <c r="M891" s="10" t="str">
        <f>IF(IF(ISNA(計算結果!M891),"",計算結果!M891)=0,"",IF(ISNA(計算結果!M891),"",計算結果!M891))</f>
        <v/>
      </c>
      <c r="N891" s="10" t="str">
        <f>IF(IF(ISNA(計算結果!N891),"",計算結果!N891)=0,"",IF(ISNA(計算結果!N891),"",計算結果!N891))</f>
        <v/>
      </c>
      <c r="O891" s="13" t="str">
        <f>IF(IF(ISNA(計算結果!O891),"",計算結果!O891)=0,"",IF(ISNA(計算結果!O891),"",計算結果!O891))</f>
        <v/>
      </c>
      <c r="P891" s="10" t="str">
        <f>IF(IF(ISNA(計算結果!P891),"",計算結果!P891)=0,"",IF(ISNA(計算結果!P891),"",計算結果!P891))</f>
        <v/>
      </c>
      <c r="Q891" s="10" t="str">
        <f>IF(IF(ISNA(計算結果!Q891),"",計算結果!Q891)=0,"",IF(ISNA(計算結果!Q891),"",計算結果!Q891))</f>
        <v/>
      </c>
      <c r="R891" s="14" t="str">
        <f t="shared" si="39"/>
        <v/>
      </c>
      <c r="S891" s="14" t="str">
        <f t="shared" si="40"/>
        <v>◯</v>
      </c>
      <c r="T891" s="14" t="str">
        <f t="shared" si="41"/>
        <v/>
      </c>
    </row>
    <row r="892" spans="1:20" hidden="1" x14ac:dyDescent="0.45">
      <c r="A892" s="10" t="str">
        <f>IF(IF(ISNA(計算結果!A892),"",計算結果!A892)=0,"",IF(ISNA(計算結果!A892),"",計算結果!A892))</f>
        <v/>
      </c>
      <c r="B892" s="10" t="str">
        <f>IF(IF(ISNA(計算結果!B892),"",計算結果!B892)=0,"",IF(ISNA(計算結果!B892),"",計算結果!B892))</f>
        <v/>
      </c>
      <c r="C892" s="10" t="str">
        <f>IF(IF(ISNA(計算結果!C892),"",計算結果!C892)=0,"",IF(ISNA(計算結果!C892),"",計算結果!C892))</f>
        <v/>
      </c>
      <c r="D892" s="10" t="str">
        <f>IF(IF(ISNA(計算結果!D892),"",計算結果!D892)=0,"",IF(ISNA(計算結果!D892),"",計算結果!D892))</f>
        <v>L</v>
      </c>
      <c r="E892" s="10" t="str">
        <f>IF(IF(ISNA(計算結果!E892),"",計算結果!E892)=0,"",IF(ISNA(計算結果!E892),"",計算結果!E892))</f>
        <v/>
      </c>
      <c r="F892" s="10" t="str">
        <f>IF(IF(ISNA(計算結果!F892),"",計算結果!F892)=0,"",IF(ISNA(計算結果!F892),"",計算結果!F892))</f>
        <v/>
      </c>
      <c r="G892" s="10" t="str">
        <f>IF(IF(ISNA(計算結果!G892),"",計算結果!G892)=0,"",IF(ISNA(計算結果!G892),"",計算結果!G892))</f>
        <v/>
      </c>
      <c r="H892" s="13">
        <f>IF(IF(ISNA(計算結果!H892),"",計算結果!H892)=0,"",IF(ISNA(計算結果!H892),"",計算結果!H892))</f>
        <v>-2</v>
      </c>
      <c r="I892" s="12" t="str">
        <f>IF(IF(ISNA(計算結果!I892),"",計算結果!I892)=0,"",IF(ISNA(計算結果!I892),"",計算結果!I892))</f>
        <v/>
      </c>
      <c r="J892" s="12" t="str">
        <f>IF(IF(ISNA(計算結果!J892),"",計算結果!J892)=0,"",IF(ISNA(計算結果!J892),"",計算結果!J892))</f>
        <v/>
      </c>
      <c r="K892" s="23" t="str">
        <f>IF(IF(ISNA(計算結果!K892),"",計算結果!K892)=0,"",IF(ISNA(計算結果!K892),"",計算結果!K892))</f>
        <v/>
      </c>
      <c r="L892" s="13" t="str">
        <f>IF(IF(ISNA(計算結果!L892),"",計算結果!L892)=0,"",IF(ISNA(計算結果!L892),"",計算結果!L892))</f>
        <v/>
      </c>
      <c r="M892" s="10" t="str">
        <f>IF(IF(ISNA(計算結果!M892),"",計算結果!M892)=0,"",IF(ISNA(計算結果!M892),"",計算結果!M892))</f>
        <v/>
      </c>
      <c r="N892" s="10" t="str">
        <f>IF(IF(ISNA(計算結果!N892),"",計算結果!N892)=0,"",IF(ISNA(計算結果!N892),"",計算結果!N892))</f>
        <v/>
      </c>
      <c r="O892" s="13" t="str">
        <f>IF(IF(ISNA(計算結果!O892),"",計算結果!O892)=0,"",IF(ISNA(計算結果!O892),"",計算結果!O892))</f>
        <v/>
      </c>
      <c r="P892" s="10" t="str">
        <f>IF(IF(ISNA(計算結果!P892),"",計算結果!P892)=0,"",IF(ISNA(計算結果!P892),"",計算結果!P892))</f>
        <v/>
      </c>
      <c r="Q892" s="10" t="str">
        <f>IF(IF(ISNA(計算結果!Q892),"",計算結果!Q892)=0,"",IF(ISNA(計算結果!Q892),"",計算結果!Q892))</f>
        <v/>
      </c>
      <c r="R892" s="14" t="str">
        <f t="shared" si="39"/>
        <v/>
      </c>
      <c r="S892" s="14" t="str">
        <f t="shared" si="40"/>
        <v>◯</v>
      </c>
      <c r="T892" s="14" t="str">
        <f t="shared" si="41"/>
        <v/>
      </c>
    </row>
    <row r="893" spans="1:20" hidden="1" x14ac:dyDescent="0.45">
      <c r="A893" s="10" t="str">
        <f>IF(IF(ISNA(計算結果!A893),"",計算結果!A893)=0,"",IF(ISNA(計算結果!A893),"",計算結果!A893))</f>
        <v/>
      </c>
      <c r="B893" s="10" t="str">
        <f>IF(IF(ISNA(計算結果!B893),"",計算結果!B893)=0,"",IF(ISNA(計算結果!B893),"",計算結果!B893))</f>
        <v/>
      </c>
      <c r="C893" s="10" t="str">
        <f>IF(IF(ISNA(計算結果!C893),"",計算結果!C893)=0,"",IF(ISNA(計算結果!C893),"",計算結果!C893))</f>
        <v/>
      </c>
      <c r="D893" s="10" t="str">
        <f>IF(IF(ISNA(計算結果!D893),"",計算結果!D893)=0,"",IF(ISNA(計算結果!D893),"",計算結果!D893))</f>
        <v>L</v>
      </c>
      <c r="E893" s="10" t="str">
        <f>IF(IF(ISNA(計算結果!E893),"",計算結果!E893)=0,"",IF(ISNA(計算結果!E893),"",計算結果!E893))</f>
        <v/>
      </c>
      <c r="F893" s="10" t="str">
        <f>IF(IF(ISNA(計算結果!F893),"",計算結果!F893)=0,"",IF(ISNA(計算結果!F893),"",計算結果!F893))</f>
        <v/>
      </c>
      <c r="G893" s="10" t="str">
        <f>IF(IF(ISNA(計算結果!G893),"",計算結果!G893)=0,"",IF(ISNA(計算結果!G893),"",計算結果!G893))</f>
        <v/>
      </c>
      <c r="H893" s="13">
        <f>IF(IF(ISNA(計算結果!H893),"",計算結果!H893)=0,"",IF(ISNA(計算結果!H893),"",計算結果!H893))</f>
        <v>-2</v>
      </c>
      <c r="I893" s="12" t="str">
        <f>IF(IF(ISNA(計算結果!I893),"",計算結果!I893)=0,"",IF(ISNA(計算結果!I893),"",計算結果!I893))</f>
        <v/>
      </c>
      <c r="J893" s="12" t="str">
        <f>IF(IF(ISNA(計算結果!J893),"",計算結果!J893)=0,"",IF(ISNA(計算結果!J893),"",計算結果!J893))</f>
        <v/>
      </c>
      <c r="K893" s="23" t="str">
        <f>IF(IF(ISNA(計算結果!K893),"",計算結果!K893)=0,"",IF(ISNA(計算結果!K893),"",計算結果!K893))</f>
        <v/>
      </c>
      <c r="L893" s="13" t="str">
        <f>IF(IF(ISNA(計算結果!L893),"",計算結果!L893)=0,"",IF(ISNA(計算結果!L893),"",計算結果!L893))</f>
        <v/>
      </c>
      <c r="M893" s="10" t="str">
        <f>IF(IF(ISNA(計算結果!M893),"",計算結果!M893)=0,"",IF(ISNA(計算結果!M893),"",計算結果!M893))</f>
        <v/>
      </c>
      <c r="N893" s="10" t="str">
        <f>IF(IF(ISNA(計算結果!N893),"",計算結果!N893)=0,"",IF(ISNA(計算結果!N893),"",計算結果!N893))</f>
        <v/>
      </c>
      <c r="O893" s="13" t="str">
        <f>IF(IF(ISNA(計算結果!O893),"",計算結果!O893)=0,"",IF(ISNA(計算結果!O893),"",計算結果!O893))</f>
        <v/>
      </c>
      <c r="P893" s="10" t="str">
        <f>IF(IF(ISNA(計算結果!P893),"",計算結果!P893)=0,"",IF(ISNA(計算結果!P893),"",計算結果!P893))</f>
        <v/>
      </c>
      <c r="Q893" s="10" t="str">
        <f>IF(IF(ISNA(計算結果!Q893),"",計算結果!Q893)=0,"",IF(ISNA(計算結果!Q893),"",計算結果!Q893))</f>
        <v/>
      </c>
      <c r="R893" s="14" t="str">
        <f t="shared" si="39"/>
        <v/>
      </c>
      <c r="S893" s="14" t="str">
        <f t="shared" si="40"/>
        <v>◯</v>
      </c>
      <c r="T893" s="14" t="str">
        <f t="shared" si="41"/>
        <v/>
      </c>
    </row>
    <row r="894" spans="1:20" hidden="1" x14ac:dyDescent="0.45">
      <c r="A894" s="10" t="str">
        <f>IF(IF(ISNA(計算結果!A894),"",計算結果!A894)=0,"",IF(ISNA(計算結果!A894),"",計算結果!A894))</f>
        <v/>
      </c>
      <c r="B894" s="10" t="str">
        <f>IF(IF(ISNA(計算結果!B894),"",計算結果!B894)=0,"",IF(ISNA(計算結果!B894),"",計算結果!B894))</f>
        <v/>
      </c>
      <c r="C894" s="10" t="str">
        <f>IF(IF(ISNA(計算結果!C894),"",計算結果!C894)=0,"",IF(ISNA(計算結果!C894),"",計算結果!C894))</f>
        <v/>
      </c>
      <c r="D894" s="10" t="str">
        <f>IF(IF(ISNA(計算結果!D894),"",計算結果!D894)=0,"",IF(ISNA(計算結果!D894),"",計算結果!D894))</f>
        <v>L</v>
      </c>
      <c r="E894" s="10" t="str">
        <f>IF(IF(ISNA(計算結果!E894),"",計算結果!E894)=0,"",IF(ISNA(計算結果!E894),"",計算結果!E894))</f>
        <v/>
      </c>
      <c r="F894" s="10" t="str">
        <f>IF(IF(ISNA(計算結果!F894),"",計算結果!F894)=0,"",IF(ISNA(計算結果!F894),"",計算結果!F894))</f>
        <v/>
      </c>
      <c r="G894" s="10" t="str">
        <f>IF(IF(ISNA(計算結果!G894),"",計算結果!G894)=0,"",IF(ISNA(計算結果!G894),"",計算結果!G894))</f>
        <v/>
      </c>
      <c r="H894" s="13">
        <f>IF(IF(ISNA(計算結果!H894),"",計算結果!H894)=0,"",IF(ISNA(計算結果!H894),"",計算結果!H894))</f>
        <v>-2</v>
      </c>
      <c r="I894" s="12" t="str">
        <f>IF(IF(ISNA(計算結果!I894),"",計算結果!I894)=0,"",IF(ISNA(計算結果!I894),"",計算結果!I894))</f>
        <v/>
      </c>
      <c r="J894" s="12" t="str">
        <f>IF(IF(ISNA(計算結果!J894),"",計算結果!J894)=0,"",IF(ISNA(計算結果!J894),"",計算結果!J894))</f>
        <v/>
      </c>
      <c r="K894" s="23" t="str">
        <f>IF(IF(ISNA(計算結果!K894),"",計算結果!K894)=0,"",IF(ISNA(計算結果!K894),"",計算結果!K894))</f>
        <v/>
      </c>
      <c r="L894" s="13" t="str">
        <f>IF(IF(ISNA(計算結果!L894),"",計算結果!L894)=0,"",IF(ISNA(計算結果!L894),"",計算結果!L894))</f>
        <v/>
      </c>
      <c r="M894" s="10" t="str">
        <f>IF(IF(ISNA(計算結果!M894),"",計算結果!M894)=0,"",IF(ISNA(計算結果!M894),"",計算結果!M894))</f>
        <v/>
      </c>
      <c r="N894" s="10" t="str">
        <f>IF(IF(ISNA(計算結果!N894),"",計算結果!N894)=0,"",IF(ISNA(計算結果!N894),"",計算結果!N894))</f>
        <v/>
      </c>
      <c r="O894" s="13" t="str">
        <f>IF(IF(ISNA(計算結果!O894),"",計算結果!O894)=0,"",IF(ISNA(計算結果!O894),"",計算結果!O894))</f>
        <v/>
      </c>
      <c r="P894" s="10" t="str">
        <f>IF(IF(ISNA(計算結果!P894),"",計算結果!P894)=0,"",IF(ISNA(計算結果!P894),"",計算結果!P894))</f>
        <v/>
      </c>
      <c r="Q894" s="10" t="str">
        <f>IF(IF(ISNA(計算結果!Q894),"",計算結果!Q894)=0,"",IF(ISNA(計算結果!Q894),"",計算結果!Q894))</f>
        <v/>
      </c>
      <c r="R894" s="14" t="str">
        <f t="shared" si="39"/>
        <v/>
      </c>
      <c r="S894" s="14" t="str">
        <f t="shared" si="40"/>
        <v>◯</v>
      </c>
      <c r="T894" s="14" t="str">
        <f t="shared" si="41"/>
        <v/>
      </c>
    </row>
    <row r="895" spans="1:20" hidden="1" x14ac:dyDescent="0.45">
      <c r="A895" s="10" t="str">
        <f>IF(IF(ISNA(計算結果!A895),"",計算結果!A895)=0,"",IF(ISNA(計算結果!A895),"",計算結果!A895))</f>
        <v/>
      </c>
      <c r="B895" s="10" t="str">
        <f>IF(IF(ISNA(計算結果!B895),"",計算結果!B895)=0,"",IF(ISNA(計算結果!B895),"",計算結果!B895))</f>
        <v/>
      </c>
      <c r="C895" s="10" t="str">
        <f>IF(IF(ISNA(計算結果!C895),"",計算結果!C895)=0,"",IF(ISNA(計算結果!C895),"",計算結果!C895))</f>
        <v/>
      </c>
      <c r="D895" s="10" t="str">
        <f>IF(IF(ISNA(計算結果!D895),"",計算結果!D895)=0,"",IF(ISNA(計算結果!D895),"",計算結果!D895))</f>
        <v>L</v>
      </c>
      <c r="E895" s="10" t="str">
        <f>IF(IF(ISNA(計算結果!E895),"",計算結果!E895)=0,"",IF(ISNA(計算結果!E895),"",計算結果!E895))</f>
        <v/>
      </c>
      <c r="F895" s="10" t="str">
        <f>IF(IF(ISNA(計算結果!F895),"",計算結果!F895)=0,"",IF(ISNA(計算結果!F895),"",計算結果!F895))</f>
        <v/>
      </c>
      <c r="G895" s="10" t="str">
        <f>IF(IF(ISNA(計算結果!G895),"",計算結果!G895)=0,"",IF(ISNA(計算結果!G895),"",計算結果!G895))</f>
        <v/>
      </c>
      <c r="H895" s="13">
        <f>IF(IF(ISNA(計算結果!H895),"",計算結果!H895)=0,"",IF(ISNA(計算結果!H895),"",計算結果!H895))</f>
        <v>-2</v>
      </c>
      <c r="I895" s="12" t="str">
        <f>IF(IF(ISNA(計算結果!I895),"",計算結果!I895)=0,"",IF(ISNA(計算結果!I895),"",計算結果!I895))</f>
        <v/>
      </c>
      <c r="J895" s="12" t="str">
        <f>IF(IF(ISNA(計算結果!J895),"",計算結果!J895)=0,"",IF(ISNA(計算結果!J895),"",計算結果!J895))</f>
        <v/>
      </c>
      <c r="K895" s="23" t="str">
        <f>IF(IF(ISNA(計算結果!K895),"",計算結果!K895)=0,"",IF(ISNA(計算結果!K895),"",計算結果!K895))</f>
        <v/>
      </c>
      <c r="L895" s="13" t="str">
        <f>IF(IF(ISNA(計算結果!L895),"",計算結果!L895)=0,"",IF(ISNA(計算結果!L895),"",計算結果!L895))</f>
        <v/>
      </c>
      <c r="M895" s="10" t="str">
        <f>IF(IF(ISNA(計算結果!M895),"",計算結果!M895)=0,"",IF(ISNA(計算結果!M895),"",計算結果!M895))</f>
        <v/>
      </c>
      <c r="N895" s="10" t="str">
        <f>IF(IF(ISNA(計算結果!N895),"",計算結果!N895)=0,"",IF(ISNA(計算結果!N895),"",計算結果!N895))</f>
        <v/>
      </c>
      <c r="O895" s="13" t="str">
        <f>IF(IF(ISNA(計算結果!O895),"",計算結果!O895)=0,"",IF(ISNA(計算結果!O895),"",計算結果!O895))</f>
        <v/>
      </c>
      <c r="P895" s="10" t="str">
        <f>IF(IF(ISNA(計算結果!P895),"",計算結果!P895)=0,"",IF(ISNA(計算結果!P895),"",計算結果!P895))</f>
        <v/>
      </c>
      <c r="Q895" s="10" t="str">
        <f>IF(IF(ISNA(計算結果!Q895),"",計算結果!Q895)=0,"",IF(ISNA(計算結果!Q895),"",計算結果!Q895))</f>
        <v/>
      </c>
      <c r="R895" s="14" t="str">
        <f t="shared" si="39"/>
        <v/>
      </c>
      <c r="S895" s="14" t="str">
        <f t="shared" si="40"/>
        <v>◯</v>
      </c>
      <c r="T895" s="14" t="str">
        <f t="shared" si="41"/>
        <v/>
      </c>
    </row>
    <row r="896" spans="1:20" hidden="1" x14ac:dyDescent="0.45">
      <c r="A896" s="10" t="str">
        <f>IF(IF(ISNA(計算結果!A896),"",計算結果!A896)=0,"",IF(ISNA(計算結果!A896),"",計算結果!A896))</f>
        <v/>
      </c>
      <c r="B896" s="10" t="str">
        <f>IF(IF(ISNA(計算結果!B896),"",計算結果!B896)=0,"",IF(ISNA(計算結果!B896),"",計算結果!B896))</f>
        <v/>
      </c>
      <c r="C896" s="10" t="str">
        <f>IF(IF(ISNA(計算結果!C896),"",計算結果!C896)=0,"",IF(ISNA(計算結果!C896),"",計算結果!C896))</f>
        <v/>
      </c>
      <c r="D896" s="10" t="str">
        <f>IF(IF(ISNA(計算結果!D896),"",計算結果!D896)=0,"",IF(ISNA(計算結果!D896),"",計算結果!D896))</f>
        <v>L</v>
      </c>
      <c r="E896" s="10" t="str">
        <f>IF(IF(ISNA(計算結果!E896),"",計算結果!E896)=0,"",IF(ISNA(計算結果!E896),"",計算結果!E896))</f>
        <v/>
      </c>
      <c r="F896" s="10" t="str">
        <f>IF(IF(ISNA(計算結果!F896),"",計算結果!F896)=0,"",IF(ISNA(計算結果!F896),"",計算結果!F896))</f>
        <v/>
      </c>
      <c r="G896" s="10" t="str">
        <f>IF(IF(ISNA(計算結果!G896),"",計算結果!G896)=0,"",IF(ISNA(計算結果!G896),"",計算結果!G896))</f>
        <v/>
      </c>
      <c r="H896" s="13">
        <f>IF(IF(ISNA(計算結果!H896),"",計算結果!H896)=0,"",IF(ISNA(計算結果!H896),"",計算結果!H896))</f>
        <v>-2</v>
      </c>
      <c r="I896" s="12" t="str">
        <f>IF(IF(ISNA(計算結果!I896),"",計算結果!I896)=0,"",IF(ISNA(計算結果!I896),"",計算結果!I896))</f>
        <v/>
      </c>
      <c r="J896" s="12" t="str">
        <f>IF(IF(ISNA(計算結果!J896),"",計算結果!J896)=0,"",IF(ISNA(計算結果!J896),"",計算結果!J896))</f>
        <v/>
      </c>
      <c r="K896" s="23" t="str">
        <f>IF(IF(ISNA(計算結果!K896),"",計算結果!K896)=0,"",IF(ISNA(計算結果!K896),"",計算結果!K896))</f>
        <v/>
      </c>
      <c r="L896" s="13" t="str">
        <f>IF(IF(ISNA(計算結果!L896),"",計算結果!L896)=0,"",IF(ISNA(計算結果!L896),"",計算結果!L896))</f>
        <v/>
      </c>
      <c r="M896" s="10" t="str">
        <f>IF(IF(ISNA(計算結果!M896),"",計算結果!M896)=0,"",IF(ISNA(計算結果!M896),"",計算結果!M896))</f>
        <v/>
      </c>
      <c r="N896" s="10" t="str">
        <f>IF(IF(ISNA(計算結果!N896),"",計算結果!N896)=0,"",IF(ISNA(計算結果!N896),"",計算結果!N896))</f>
        <v/>
      </c>
      <c r="O896" s="13" t="str">
        <f>IF(IF(ISNA(計算結果!O896),"",計算結果!O896)=0,"",IF(ISNA(計算結果!O896),"",計算結果!O896))</f>
        <v/>
      </c>
      <c r="P896" s="10" t="str">
        <f>IF(IF(ISNA(計算結果!P896),"",計算結果!P896)=0,"",IF(ISNA(計算結果!P896),"",計算結果!P896))</f>
        <v/>
      </c>
      <c r="Q896" s="10" t="str">
        <f>IF(IF(ISNA(計算結果!Q896),"",計算結果!Q896)=0,"",IF(ISNA(計算結果!Q896),"",計算結果!Q896))</f>
        <v/>
      </c>
      <c r="R896" s="14" t="str">
        <f t="shared" si="39"/>
        <v/>
      </c>
      <c r="S896" s="14" t="str">
        <f t="shared" si="40"/>
        <v>◯</v>
      </c>
      <c r="T896" s="14" t="str">
        <f t="shared" si="41"/>
        <v/>
      </c>
    </row>
    <row r="897" spans="1:20" hidden="1" x14ac:dyDescent="0.45">
      <c r="A897" s="10" t="str">
        <f>IF(IF(ISNA(計算結果!A897),"",計算結果!A897)=0,"",IF(ISNA(計算結果!A897),"",計算結果!A897))</f>
        <v/>
      </c>
      <c r="B897" s="10" t="str">
        <f>IF(IF(ISNA(計算結果!B897),"",計算結果!B897)=0,"",IF(ISNA(計算結果!B897),"",計算結果!B897))</f>
        <v/>
      </c>
      <c r="C897" s="10" t="str">
        <f>IF(IF(ISNA(計算結果!C897),"",計算結果!C897)=0,"",IF(ISNA(計算結果!C897),"",計算結果!C897))</f>
        <v/>
      </c>
      <c r="D897" s="10" t="str">
        <f>IF(IF(ISNA(計算結果!D897),"",計算結果!D897)=0,"",IF(ISNA(計算結果!D897),"",計算結果!D897))</f>
        <v>L</v>
      </c>
      <c r="E897" s="10" t="str">
        <f>IF(IF(ISNA(計算結果!E897),"",計算結果!E897)=0,"",IF(ISNA(計算結果!E897),"",計算結果!E897))</f>
        <v/>
      </c>
      <c r="F897" s="10" t="str">
        <f>IF(IF(ISNA(計算結果!F897),"",計算結果!F897)=0,"",IF(ISNA(計算結果!F897),"",計算結果!F897))</f>
        <v/>
      </c>
      <c r="G897" s="10" t="str">
        <f>IF(IF(ISNA(計算結果!G897),"",計算結果!G897)=0,"",IF(ISNA(計算結果!G897),"",計算結果!G897))</f>
        <v/>
      </c>
      <c r="H897" s="13">
        <f>IF(IF(ISNA(計算結果!H897),"",計算結果!H897)=0,"",IF(ISNA(計算結果!H897),"",計算結果!H897))</f>
        <v>-2</v>
      </c>
      <c r="I897" s="12" t="str">
        <f>IF(IF(ISNA(計算結果!I897),"",計算結果!I897)=0,"",IF(ISNA(計算結果!I897),"",計算結果!I897))</f>
        <v/>
      </c>
      <c r="J897" s="12" t="str">
        <f>IF(IF(ISNA(計算結果!J897),"",計算結果!J897)=0,"",IF(ISNA(計算結果!J897),"",計算結果!J897))</f>
        <v/>
      </c>
      <c r="K897" s="23" t="str">
        <f>IF(IF(ISNA(計算結果!K897),"",計算結果!K897)=0,"",IF(ISNA(計算結果!K897),"",計算結果!K897))</f>
        <v/>
      </c>
      <c r="L897" s="13" t="str">
        <f>IF(IF(ISNA(計算結果!L897),"",計算結果!L897)=0,"",IF(ISNA(計算結果!L897),"",計算結果!L897))</f>
        <v/>
      </c>
      <c r="M897" s="10" t="str">
        <f>IF(IF(ISNA(計算結果!M897),"",計算結果!M897)=0,"",IF(ISNA(計算結果!M897),"",計算結果!M897))</f>
        <v/>
      </c>
      <c r="N897" s="10" t="str">
        <f>IF(IF(ISNA(計算結果!N897),"",計算結果!N897)=0,"",IF(ISNA(計算結果!N897),"",計算結果!N897))</f>
        <v/>
      </c>
      <c r="O897" s="13" t="str">
        <f>IF(IF(ISNA(計算結果!O897),"",計算結果!O897)=0,"",IF(ISNA(計算結果!O897),"",計算結果!O897))</f>
        <v/>
      </c>
      <c r="P897" s="10" t="str">
        <f>IF(IF(ISNA(計算結果!P897),"",計算結果!P897)=0,"",IF(ISNA(計算結果!P897),"",計算結果!P897))</f>
        <v/>
      </c>
      <c r="Q897" s="10" t="str">
        <f>IF(IF(ISNA(計算結果!Q897),"",計算結果!Q897)=0,"",IF(ISNA(計算結果!Q897),"",計算結果!Q897))</f>
        <v/>
      </c>
      <c r="R897" s="14" t="str">
        <f t="shared" si="39"/>
        <v/>
      </c>
      <c r="S897" s="14" t="str">
        <f t="shared" si="40"/>
        <v>◯</v>
      </c>
      <c r="T897" s="14" t="str">
        <f t="shared" si="41"/>
        <v/>
      </c>
    </row>
    <row r="898" spans="1:20" hidden="1" x14ac:dyDescent="0.45">
      <c r="A898" s="10" t="str">
        <f>IF(IF(ISNA(計算結果!A898),"",計算結果!A898)=0,"",IF(ISNA(計算結果!A898),"",計算結果!A898))</f>
        <v/>
      </c>
      <c r="B898" s="10" t="str">
        <f>IF(IF(ISNA(計算結果!B898),"",計算結果!B898)=0,"",IF(ISNA(計算結果!B898),"",計算結果!B898))</f>
        <v/>
      </c>
      <c r="C898" s="10" t="str">
        <f>IF(IF(ISNA(計算結果!C898),"",計算結果!C898)=0,"",IF(ISNA(計算結果!C898),"",計算結果!C898))</f>
        <v/>
      </c>
      <c r="D898" s="10" t="str">
        <f>IF(IF(ISNA(計算結果!D898),"",計算結果!D898)=0,"",IF(ISNA(計算結果!D898),"",計算結果!D898))</f>
        <v>L</v>
      </c>
      <c r="E898" s="10" t="str">
        <f>IF(IF(ISNA(計算結果!E898),"",計算結果!E898)=0,"",IF(ISNA(計算結果!E898),"",計算結果!E898))</f>
        <v/>
      </c>
      <c r="F898" s="10" t="str">
        <f>IF(IF(ISNA(計算結果!F898),"",計算結果!F898)=0,"",IF(ISNA(計算結果!F898),"",計算結果!F898))</f>
        <v/>
      </c>
      <c r="G898" s="10" t="str">
        <f>IF(IF(ISNA(計算結果!G898),"",計算結果!G898)=0,"",IF(ISNA(計算結果!G898),"",計算結果!G898))</f>
        <v/>
      </c>
      <c r="H898" s="13">
        <f>IF(IF(ISNA(計算結果!H898),"",計算結果!H898)=0,"",IF(ISNA(計算結果!H898),"",計算結果!H898))</f>
        <v>-2</v>
      </c>
      <c r="I898" s="12" t="str">
        <f>IF(IF(ISNA(計算結果!I898),"",計算結果!I898)=0,"",IF(ISNA(計算結果!I898),"",計算結果!I898))</f>
        <v/>
      </c>
      <c r="J898" s="12" t="str">
        <f>IF(IF(ISNA(計算結果!J898),"",計算結果!J898)=0,"",IF(ISNA(計算結果!J898),"",計算結果!J898))</f>
        <v/>
      </c>
      <c r="K898" s="23" t="str">
        <f>IF(IF(ISNA(計算結果!K898),"",計算結果!K898)=0,"",IF(ISNA(計算結果!K898),"",計算結果!K898))</f>
        <v/>
      </c>
      <c r="L898" s="13" t="str">
        <f>IF(IF(ISNA(計算結果!L898),"",計算結果!L898)=0,"",IF(ISNA(計算結果!L898),"",計算結果!L898))</f>
        <v/>
      </c>
      <c r="M898" s="10" t="str">
        <f>IF(IF(ISNA(計算結果!M898),"",計算結果!M898)=0,"",IF(ISNA(計算結果!M898),"",計算結果!M898))</f>
        <v/>
      </c>
      <c r="N898" s="10" t="str">
        <f>IF(IF(ISNA(計算結果!N898),"",計算結果!N898)=0,"",IF(ISNA(計算結果!N898),"",計算結果!N898))</f>
        <v/>
      </c>
      <c r="O898" s="13" t="str">
        <f>IF(IF(ISNA(計算結果!O898),"",計算結果!O898)=0,"",IF(ISNA(計算結果!O898),"",計算結果!O898))</f>
        <v/>
      </c>
      <c r="P898" s="10" t="str">
        <f>IF(IF(ISNA(計算結果!P898),"",計算結果!P898)=0,"",IF(ISNA(計算結果!P898),"",計算結果!P898))</f>
        <v/>
      </c>
      <c r="Q898" s="10" t="str">
        <f>IF(IF(ISNA(計算結果!Q898),"",計算結果!Q898)=0,"",IF(ISNA(計算結果!Q898),"",計算結果!Q898))</f>
        <v/>
      </c>
      <c r="R898" s="14" t="str">
        <f t="shared" si="39"/>
        <v/>
      </c>
      <c r="S898" s="14" t="str">
        <f t="shared" si="40"/>
        <v>◯</v>
      </c>
      <c r="T898" s="14" t="str">
        <f t="shared" si="41"/>
        <v/>
      </c>
    </row>
    <row r="899" spans="1:20" hidden="1" x14ac:dyDescent="0.45">
      <c r="A899" s="10" t="str">
        <f>IF(IF(ISNA(計算結果!A899),"",計算結果!A899)=0,"",IF(ISNA(計算結果!A899),"",計算結果!A899))</f>
        <v/>
      </c>
      <c r="B899" s="10" t="str">
        <f>IF(IF(ISNA(計算結果!B899),"",計算結果!B899)=0,"",IF(ISNA(計算結果!B899),"",計算結果!B899))</f>
        <v/>
      </c>
      <c r="C899" s="10" t="str">
        <f>IF(IF(ISNA(計算結果!C899),"",計算結果!C899)=0,"",IF(ISNA(計算結果!C899),"",計算結果!C899))</f>
        <v/>
      </c>
      <c r="D899" s="10" t="str">
        <f>IF(IF(ISNA(計算結果!D899),"",計算結果!D899)=0,"",IF(ISNA(計算結果!D899),"",計算結果!D899))</f>
        <v>L</v>
      </c>
      <c r="E899" s="10" t="str">
        <f>IF(IF(ISNA(計算結果!E899),"",計算結果!E899)=0,"",IF(ISNA(計算結果!E899),"",計算結果!E899))</f>
        <v/>
      </c>
      <c r="F899" s="10" t="str">
        <f>IF(IF(ISNA(計算結果!F899),"",計算結果!F899)=0,"",IF(ISNA(計算結果!F899),"",計算結果!F899))</f>
        <v/>
      </c>
      <c r="G899" s="10" t="str">
        <f>IF(IF(ISNA(計算結果!G899),"",計算結果!G899)=0,"",IF(ISNA(計算結果!G899),"",計算結果!G899))</f>
        <v/>
      </c>
      <c r="H899" s="13">
        <f>IF(IF(ISNA(計算結果!H899),"",計算結果!H899)=0,"",IF(ISNA(計算結果!H899),"",計算結果!H899))</f>
        <v>-2</v>
      </c>
      <c r="I899" s="12" t="str">
        <f>IF(IF(ISNA(計算結果!I899),"",計算結果!I899)=0,"",IF(ISNA(計算結果!I899),"",計算結果!I899))</f>
        <v/>
      </c>
      <c r="J899" s="12" t="str">
        <f>IF(IF(ISNA(計算結果!J899),"",計算結果!J899)=0,"",IF(ISNA(計算結果!J899),"",計算結果!J899))</f>
        <v/>
      </c>
      <c r="K899" s="23" t="str">
        <f>IF(IF(ISNA(計算結果!K899),"",計算結果!K899)=0,"",IF(ISNA(計算結果!K899),"",計算結果!K899))</f>
        <v/>
      </c>
      <c r="L899" s="13" t="str">
        <f>IF(IF(ISNA(計算結果!L899),"",計算結果!L899)=0,"",IF(ISNA(計算結果!L899),"",計算結果!L899))</f>
        <v/>
      </c>
      <c r="M899" s="10" t="str">
        <f>IF(IF(ISNA(計算結果!M899),"",計算結果!M899)=0,"",IF(ISNA(計算結果!M899),"",計算結果!M899))</f>
        <v/>
      </c>
      <c r="N899" s="10" t="str">
        <f>IF(IF(ISNA(計算結果!N899),"",計算結果!N899)=0,"",IF(ISNA(計算結果!N899),"",計算結果!N899))</f>
        <v/>
      </c>
      <c r="O899" s="13" t="str">
        <f>IF(IF(ISNA(計算結果!O899),"",計算結果!O899)=0,"",IF(ISNA(計算結果!O899),"",計算結果!O899))</f>
        <v/>
      </c>
      <c r="P899" s="10" t="str">
        <f>IF(IF(ISNA(計算結果!P899),"",計算結果!P899)=0,"",IF(ISNA(計算結果!P899),"",計算結果!P899))</f>
        <v/>
      </c>
      <c r="Q899" s="10" t="str">
        <f>IF(IF(ISNA(計算結果!Q899),"",計算結果!Q899)=0,"",IF(ISNA(計算結果!Q899),"",計算結果!Q899))</f>
        <v/>
      </c>
      <c r="R899" s="14" t="str">
        <f t="shared" ref="R899:R962" si="42">IF(AND(M899&lt;&gt;"",M899=N899),"◯","")</f>
        <v/>
      </c>
      <c r="S899" s="14" t="str">
        <f t="shared" ref="S899:S962" si="43">IF(M899="","◯","")</f>
        <v>◯</v>
      </c>
      <c r="T899" s="14" t="str">
        <f t="shared" ref="T899:T962" si="44">IF(AND(P899&lt;&gt;"",P899&lt;&gt;Q899),"◯","")</f>
        <v/>
      </c>
    </row>
    <row r="900" spans="1:20" hidden="1" x14ac:dyDescent="0.45">
      <c r="A900" s="10" t="str">
        <f>IF(IF(ISNA(計算結果!A900),"",計算結果!A900)=0,"",IF(ISNA(計算結果!A900),"",計算結果!A900))</f>
        <v/>
      </c>
      <c r="B900" s="10" t="str">
        <f>IF(IF(ISNA(計算結果!B900),"",計算結果!B900)=0,"",IF(ISNA(計算結果!B900),"",計算結果!B900))</f>
        <v/>
      </c>
      <c r="C900" s="10" t="str">
        <f>IF(IF(ISNA(計算結果!C900),"",計算結果!C900)=0,"",IF(ISNA(計算結果!C900),"",計算結果!C900))</f>
        <v/>
      </c>
      <c r="D900" s="10" t="str">
        <f>IF(IF(ISNA(計算結果!D900),"",計算結果!D900)=0,"",IF(ISNA(計算結果!D900),"",計算結果!D900))</f>
        <v>L</v>
      </c>
      <c r="E900" s="10" t="str">
        <f>IF(IF(ISNA(計算結果!E900),"",計算結果!E900)=0,"",IF(ISNA(計算結果!E900),"",計算結果!E900))</f>
        <v/>
      </c>
      <c r="F900" s="10" t="str">
        <f>IF(IF(ISNA(計算結果!F900),"",計算結果!F900)=0,"",IF(ISNA(計算結果!F900),"",計算結果!F900))</f>
        <v/>
      </c>
      <c r="G900" s="10" t="str">
        <f>IF(IF(ISNA(計算結果!G900),"",計算結果!G900)=0,"",IF(ISNA(計算結果!G900),"",計算結果!G900))</f>
        <v/>
      </c>
      <c r="H900" s="13">
        <f>IF(IF(ISNA(計算結果!H900),"",計算結果!H900)=0,"",IF(ISNA(計算結果!H900),"",計算結果!H900))</f>
        <v>-2</v>
      </c>
      <c r="I900" s="12" t="str">
        <f>IF(IF(ISNA(計算結果!I900),"",計算結果!I900)=0,"",IF(ISNA(計算結果!I900),"",計算結果!I900))</f>
        <v/>
      </c>
      <c r="J900" s="12" t="str">
        <f>IF(IF(ISNA(計算結果!J900),"",計算結果!J900)=0,"",IF(ISNA(計算結果!J900),"",計算結果!J900))</f>
        <v/>
      </c>
      <c r="K900" s="23" t="str">
        <f>IF(IF(ISNA(計算結果!K900),"",計算結果!K900)=0,"",IF(ISNA(計算結果!K900),"",計算結果!K900))</f>
        <v/>
      </c>
      <c r="L900" s="13" t="str">
        <f>IF(IF(ISNA(計算結果!L900),"",計算結果!L900)=0,"",IF(ISNA(計算結果!L900),"",計算結果!L900))</f>
        <v/>
      </c>
      <c r="M900" s="10" t="str">
        <f>IF(IF(ISNA(計算結果!M900),"",計算結果!M900)=0,"",IF(ISNA(計算結果!M900),"",計算結果!M900))</f>
        <v/>
      </c>
      <c r="N900" s="10" t="str">
        <f>IF(IF(ISNA(計算結果!N900),"",計算結果!N900)=0,"",IF(ISNA(計算結果!N900),"",計算結果!N900))</f>
        <v/>
      </c>
      <c r="O900" s="13" t="str">
        <f>IF(IF(ISNA(計算結果!O900),"",計算結果!O900)=0,"",IF(ISNA(計算結果!O900),"",計算結果!O900))</f>
        <v/>
      </c>
      <c r="P900" s="10" t="str">
        <f>IF(IF(ISNA(計算結果!P900),"",計算結果!P900)=0,"",IF(ISNA(計算結果!P900),"",計算結果!P900))</f>
        <v/>
      </c>
      <c r="Q900" s="10" t="str">
        <f>IF(IF(ISNA(計算結果!Q900),"",計算結果!Q900)=0,"",IF(ISNA(計算結果!Q900),"",計算結果!Q900))</f>
        <v/>
      </c>
      <c r="R900" s="14" t="str">
        <f t="shared" si="42"/>
        <v/>
      </c>
      <c r="S900" s="14" t="str">
        <f t="shared" si="43"/>
        <v>◯</v>
      </c>
      <c r="T900" s="14" t="str">
        <f t="shared" si="44"/>
        <v/>
      </c>
    </row>
    <row r="901" spans="1:20" hidden="1" x14ac:dyDescent="0.45">
      <c r="A901" s="10" t="str">
        <f>IF(IF(ISNA(計算結果!A901),"",計算結果!A901)=0,"",IF(ISNA(計算結果!A901),"",計算結果!A901))</f>
        <v/>
      </c>
      <c r="B901" s="10" t="str">
        <f>IF(IF(ISNA(計算結果!B901),"",計算結果!B901)=0,"",IF(ISNA(計算結果!B901),"",計算結果!B901))</f>
        <v/>
      </c>
      <c r="C901" s="10" t="str">
        <f>IF(IF(ISNA(計算結果!C901),"",計算結果!C901)=0,"",IF(ISNA(計算結果!C901),"",計算結果!C901))</f>
        <v/>
      </c>
      <c r="D901" s="10" t="str">
        <f>IF(IF(ISNA(計算結果!D901),"",計算結果!D901)=0,"",IF(ISNA(計算結果!D901),"",計算結果!D901))</f>
        <v>L</v>
      </c>
      <c r="E901" s="10" t="str">
        <f>IF(IF(ISNA(計算結果!E901),"",計算結果!E901)=0,"",IF(ISNA(計算結果!E901),"",計算結果!E901))</f>
        <v/>
      </c>
      <c r="F901" s="10" t="str">
        <f>IF(IF(ISNA(計算結果!F901),"",計算結果!F901)=0,"",IF(ISNA(計算結果!F901),"",計算結果!F901))</f>
        <v/>
      </c>
      <c r="G901" s="10" t="str">
        <f>IF(IF(ISNA(計算結果!G901),"",計算結果!G901)=0,"",IF(ISNA(計算結果!G901),"",計算結果!G901))</f>
        <v/>
      </c>
      <c r="H901" s="13">
        <f>IF(IF(ISNA(計算結果!H901),"",計算結果!H901)=0,"",IF(ISNA(計算結果!H901),"",計算結果!H901))</f>
        <v>-2</v>
      </c>
      <c r="I901" s="12" t="str">
        <f>IF(IF(ISNA(計算結果!I901),"",計算結果!I901)=0,"",IF(ISNA(計算結果!I901),"",計算結果!I901))</f>
        <v/>
      </c>
      <c r="J901" s="12" t="str">
        <f>IF(IF(ISNA(計算結果!J901),"",計算結果!J901)=0,"",IF(ISNA(計算結果!J901),"",計算結果!J901))</f>
        <v/>
      </c>
      <c r="K901" s="23" t="str">
        <f>IF(IF(ISNA(計算結果!K901),"",計算結果!K901)=0,"",IF(ISNA(計算結果!K901),"",計算結果!K901))</f>
        <v/>
      </c>
      <c r="L901" s="13" t="str">
        <f>IF(IF(ISNA(計算結果!L901),"",計算結果!L901)=0,"",IF(ISNA(計算結果!L901),"",計算結果!L901))</f>
        <v/>
      </c>
      <c r="M901" s="10" t="str">
        <f>IF(IF(ISNA(計算結果!M901),"",計算結果!M901)=0,"",IF(ISNA(計算結果!M901),"",計算結果!M901))</f>
        <v/>
      </c>
      <c r="N901" s="10" t="str">
        <f>IF(IF(ISNA(計算結果!N901),"",計算結果!N901)=0,"",IF(ISNA(計算結果!N901),"",計算結果!N901))</f>
        <v/>
      </c>
      <c r="O901" s="13" t="str">
        <f>IF(IF(ISNA(計算結果!O901),"",計算結果!O901)=0,"",IF(ISNA(計算結果!O901),"",計算結果!O901))</f>
        <v/>
      </c>
      <c r="P901" s="10" t="str">
        <f>IF(IF(ISNA(計算結果!P901),"",計算結果!P901)=0,"",IF(ISNA(計算結果!P901),"",計算結果!P901))</f>
        <v/>
      </c>
      <c r="Q901" s="10" t="str">
        <f>IF(IF(ISNA(計算結果!Q901),"",計算結果!Q901)=0,"",IF(ISNA(計算結果!Q901),"",計算結果!Q901))</f>
        <v/>
      </c>
      <c r="R901" s="14" t="str">
        <f t="shared" si="42"/>
        <v/>
      </c>
      <c r="S901" s="14" t="str">
        <f t="shared" si="43"/>
        <v>◯</v>
      </c>
      <c r="T901" s="14" t="str">
        <f t="shared" si="44"/>
        <v/>
      </c>
    </row>
    <row r="902" spans="1:20" hidden="1" x14ac:dyDescent="0.45">
      <c r="A902" s="10" t="str">
        <f>IF(IF(ISNA(計算結果!A902),"",計算結果!A902)=0,"",IF(ISNA(計算結果!A902),"",計算結果!A902))</f>
        <v/>
      </c>
      <c r="B902" s="10" t="str">
        <f>IF(IF(ISNA(計算結果!B902),"",計算結果!B902)=0,"",IF(ISNA(計算結果!B902),"",計算結果!B902))</f>
        <v/>
      </c>
      <c r="C902" s="10" t="str">
        <f>IF(IF(ISNA(計算結果!C902),"",計算結果!C902)=0,"",IF(ISNA(計算結果!C902),"",計算結果!C902))</f>
        <v/>
      </c>
      <c r="D902" s="10" t="str">
        <f>IF(IF(ISNA(計算結果!D902),"",計算結果!D902)=0,"",IF(ISNA(計算結果!D902),"",計算結果!D902))</f>
        <v>L</v>
      </c>
      <c r="E902" s="10" t="str">
        <f>IF(IF(ISNA(計算結果!E902),"",計算結果!E902)=0,"",IF(ISNA(計算結果!E902),"",計算結果!E902))</f>
        <v/>
      </c>
      <c r="F902" s="10" t="str">
        <f>IF(IF(ISNA(計算結果!F902),"",計算結果!F902)=0,"",IF(ISNA(計算結果!F902),"",計算結果!F902))</f>
        <v/>
      </c>
      <c r="G902" s="10" t="str">
        <f>IF(IF(ISNA(計算結果!G902),"",計算結果!G902)=0,"",IF(ISNA(計算結果!G902),"",計算結果!G902))</f>
        <v/>
      </c>
      <c r="H902" s="13">
        <f>IF(IF(ISNA(計算結果!H902),"",計算結果!H902)=0,"",IF(ISNA(計算結果!H902),"",計算結果!H902))</f>
        <v>-2</v>
      </c>
      <c r="I902" s="12" t="str">
        <f>IF(IF(ISNA(計算結果!I902),"",計算結果!I902)=0,"",IF(ISNA(計算結果!I902),"",計算結果!I902))</f>
        <v/>
      </c>
      <c r="J902" s="12" t="str">
        <f>IF(IF(ISNA(計算結果!J902),"",計算結果!J902)=0,"",IF(ISNA(計算結果!J902),"",計算結果!J902))</f>
        <v/>
      </c>
      <c r="K902" s="23" t="str">
        <f>IF(IF(ISNA(計算結果!K902),"",計算結果!K902)=0,"",IF(ISNA(計算結果!K902),"",計算結果!K902))</f>
        <v/>
      </c>
      <c r="L902" s="13" t="str">
        <f>IF(IF(ISNA(計算結果!L902),"",計算結果!L902)=0,"",IF(ISNA(計算結果!L902),"",計算結果!L902))</f>
        <v/>
      </c>
      <c r="M902" s="10" t="str">
        <f>IF(IF(ISNA(計算結果!M902),"",計算結果!M902)=0,"",IF(ISNA(計算結果!M902),"",計算結果!M902))</f>
        <v/>
      </c>
      <c r="N902" s="10" t="str">
        <f>IF(IF(ISNA(計算結果!N902),"",計算結果!N902)=0,"",IF(ISNA(計算結果!N902),"",計算結果!N902))</f>
        <v/>
      </c>
      <c r="O902" s="13" t="str">
        <f>IF(IF(ISNA(計算結果!O902),"",計算結果!O902)=0,"",IF(ISNA(計算結果!O902),"",計算結果!O902))</f>
        <v/>
      </c>
      <c r="P902" s="10" t="str">
        <f>IF(IF(ISNA(計算結果!P902),"",計算結果!P902)=0,"",IF(ISNA(計算結果!P902),"",計算結果!P902))</f>
        <v/>
      </c>
      <c r="Q902" s="10" t="str">
        <f>IF(IF(ISNA(計算結果!Q902),"",計算結果!Q902)=0,"",IF(ISNA(計算結果!Q902),"",計算結果!Q902))</f>
        <v/>
      </c>
      <c r="R902" s="14" t="str">
        <f t="shared" si="42"/>
        <v/>
      </c>
      <c r="S902" s="14" t="str">
        <f t="shared" si="43"/>
        <v>◯</v>
      </c>
      <c r="T902" s="14" t="str">
        <f t="shared" si="44"/>
        <v/>
      </c>
    </row>
    <row r="903" spans="1:20" hidden="1" x14ac:dyDescent="0.45">
      <c r="A903" s="10" t="str">
        <f>IF(IF(ISNA(計算結果!A903),"",計算結果!A903)=0,"",IF(ISNA(計算結果!A903),"",計算結果!A903))</f>
        <v/>
      </c>
      <c r="B903" s="10" t="str">
        <f>IF(IF(ISNA(計算結果!B903),"",計算結果!B903)=0,"",IF(ISNA(計算結果!B903),"",計算結果!B903))</f>
        <v/>
      </c>
      <c r="C903" s="10" t="str">
        <f>IF(IF(ISNA(計算結果!C903),"",計算結果!C903)=0,"",IF(ISNA(計算結果!C903),"",計算結果!C903))</f>
        <v/>
      </c>
      <c r="D903" s="10" t="str">
        <f>IF(IF(ISNA(計算結果!D903),"",計算結果!D903)=0,"",IF(ISNA(計算結果!D903),"",計算結果!D903))</f>
        <v>L</v>
      </c>
      <c r="E903" s="10" t="str">
        <f>IF(IF(ISNA(計算結果!E903),"",計算結果!E903)=0,"",IF(ISNA(計算結果!E903),"",計算結果!E903))</f>
        <v/>
      </c>
      <c r="F903" s="10" t="str">
        <f>IF(IF(ISNA(計算結果!F903),"",計算結果!F903)=0,"",IF(ISNA(計算結果!F903),"",計算結果!F903))</f>
        <v/>
      </c>
      <c r="G903" s="10" t="str">
        <f>IF(IF(ISNA(計算結果!G903),"",計算結果!G903)=0,"",IF(ISNA(計算結果!G903),"",計算結果!G903))</f>
        <v/>
      </c>
      <c r="H903" s="13">
        <f>IF(IF(ISNA(計算結果!H903),"",計算結果!H903)=0,"",IF(ISNA(計算結果!H903),"",計算結果!H903))</f>
        <v>-2</v>
      </c>
      <c r="I903" s="12" t="str">
        <f>IF(IF(ISNA(計算結果!I903),"",計算結果!I903)=0,"",IF(ISNA(計算結果!I903),"",計算結果!I903))</f>
        <v/>
      </c>
      <c r="J903" s="12" t="str">
        <f>IF(IF(ISNA(計算結果!J903),"",計算結果!J903)=0,"",IF(ISNA(計算結果!J903),"",計算結果!J903))</f>
        <v/>
      </c>
      <c r="K903" s="23" t="str">
        <f>IF(IF(ISNA(計算結果!K903),"",計算結果!K903)=0,"",IF(ISNA(計算結果!K903),"",計算結果!K903))</f>
        <v/>
      </c>
      <c r="L903" s="13" t="str">
        <f>IF(IF(ISNA(計算結果!L903),"",計算結果!L903)=0,"",IF(ISNA(計算結果!L903),"",計算結果!L903))</f>
        <v/>
      </c>
      <c r="M903" s="10" t="str">
        <f>IF(IF(ISNA(計算結果!M903),"",計算結果!M903)=0,"",IF(ISNA(計算結果!M903),"",計算結果!M903))</f>
        <v/>
      </c>
      <c r="N903" s="10" t="str">
        <f>IF(IF(ISNA(計算結果!N903),"",計算結果!N903)=0,"",IF(ISNA(計算結果!N903),"",計算結果!N903))</f>
        <v/>
      </c>
      <c r="O903" s="13" t="str">
        <f>IF(IF(ISNA(計算結果!O903),"",計算結果!O903)=0,"",IF(ISNA(計算結果!O903),"",計算結果!O903))</f>
        <v/>
      </c>
      <c r="P903" s="10" t="str">
        <f>IF(IF(ISNA(計算結果!P903),"",計算結果!P903)=0,"",IF(ISNA(計算結果!P903),"",計算結果!P903))</f>
        <v/>
      </c>
      <c r="Q903" s="10" t="str">
        <f>IF(IF(ISNA(計算結果!Q903),"",計算結果!Q903)=0,"",IF(ISNA(計算結果!Q903),"",計算結果!Q903))</f>
        <v/>
      </c>
      <c r="R903" s="14" t="str">
        <f t="shared" si="42"/>
        <v/>
      </c>
      <c r="S903" s="14" t="str">
        <f t="shared" si="43"/>
        <v>◯</v>
      </c>
      <c r="T903" s="14" t="str">
        <f t="shared" si="44"/>
        <v/>
      </c>
    </row>
    <row r="904" spans="1:20" hidden="1" x14ac:dyDescent="0.45">
      <c r="A904" s="10" t="str">
        <f>IF(IF(ISNA(計算結果!A904),"",計算結果!A904)=0,"",IF(ISNA(計算結果!A904),"",計算結果!A904))</f>
        <v/>
      </c>
      <c r="B904" s="10" t="str">
        <f>IF(IF(ISNA(計算結果!B904),"",計算結果!B904)=0,"",IF(ISNA(計算結果!B904),"",計算結果!B904))</f>
        <v/>
      </c>
      <c r="C904" s="10" t="str">
        <f>IF(IF(ISNA(計算結果!C904),"",計算結果!C904)=0,"",IF(ISNA(計算結果!C904),"",計算結果!C904))</f>
        <v/>
      </c>
      <c r="D904" s="10" t="str">
        <f>IF(IF(ISNA(計算結果!D904),"",計算結果!D904)=0,"",IF(ISNA(計算結果!D904),"",計算結果!D904))</f>
        <v>L</v>
      </c>
      <c r="E904" s="10" t="str">
        <f>IF(IF(ISNA(計算結果!E904),"",計算結果!E904)=0,"",IF(ISNA(計算結果!E904),"",計算結果!E904))</f>
        <v/>
      </c>
      <c r="F904" s="10" t="str">
        <f>IF(IF(ISNA(計算結果!F904),"",計算結果!F904)=0,"",IF(ISNA(計算結果!F904),"",計算結果!F904))</f>
        <v/>
      </c>
      <c r="G904" s="10" t="str">
        <f>IF(IF(ISNA(計算結果!G904),"",計算結果!G904)=0,"",IF(ISNA(計算結果!G904),"",計算結果!G904))</f>
        <v/>
      </c>
      <c r="H904" s="13">
        <f>IF(IF(ISNA(計算結果!H904),"",計算結果!H904)=0,"",IF(ISNA(計算結果!H904),"",計算結果!H904))</f>
        <v>-2</v>
      </c>
      <c r="I904" s="12" t="str">
        <f>IF(IF(ISNA(計算結果!I904),"",計算結果!I904)=0,"",IF(ISNA(計算結果!I904),"",計算結果!I904))</f>
        <v/>
      </c>
      <c r="J904" s="12" t="str">
        <f>IF(IF(ISNA(計算結果!J904),"",計算結果!J904)=0,"",IF(ISNA(計算結果!J904),"",計算結果!J904))</f>
        <v/>
      </c>
      <c r="K904" s="23" t="str">
        <f>IF(IF(ISNA(計算結果!K904),"",計算結果!K904)=0,"",IF(ISNA(計算結果!K904),"",計算結果!K904))</f>
        <v/>
      </c>
      <c r="L904" s="13" t="str">
        <f>IF(IF(ISNA(計算結果!L904),"",計算結果!L904)=0,"",IF(ISNA(計算結果!L904),"",計算結果!L904))</f>
        <v/>
      </c>
      <c r="M904" s="10" t="str">
        <f>IF(IF(ISNA(計算結果!M904),"",計算結果!M904)=0,"",IF(ISNA(計算結果!M904),"",計算結果!M904))</f>
        <v/>
      </c>
      <c r="N904" s="10" t="str">
        <f>IF(IF(ISNA(計算結果!N904),"",計算結果!N904)=0,"",IF(ISNA(計算結果!N904),"",計算結果!N904))</f>
        <v/>
      </c>
      <c r="O904" s="13" t="str">
        <f>IF(IF(ISNA(計算結果!O904),"",計算結果!O904)=0,"",IF(ISNA(計算結果!O904),"",計算結果!O904))</f>
        <v/>
      </c>
      <c r="P904" s="10" t="str">
        <f>IF(IF(ISNA(計算結果!P904),"",計算結果!P904)=0,"",IF(ISNA(計算結果!P904),"",計算結果!P904))</f>
        <v/>
      </c>
      <c r="Q904" s="10" t="str">
        <f>IF(IF(ISNA(計算結果!Q904),"",計算結果!Q904)=0,"",IF(ISNA(計算結果!Q904),"",計算結果!Q904))</f>
        <v/>
      </c>
      <c r="R904" s="14" t="str">
        <f t="shared" si="42"/>
        <v/>
      </c>
      <c r="S904" s="14" t="str">
        <f t="shared" si="43"/>
        <v>◯</v>
      </c>
      <c r="T904" s="14" t="str">
        <f t="shared" si="44"/>
        <v/>
      </c>
    </row>
    <row r="905" spans="1:20" hidden="1" x14ac:dyDescent="0.45">
      <c r="A905" s="10" t="str">
        <f>IF(IF(ISNA(計算結果!A905),"",計算結果!A905)=0,"",IF(ISNA(計算結果!A905),"",計算結果!A905))</f>
        <v/>
      </c>
      <c r="B905" s="10" t="str">
        <f>IF(IF(ISNA(計算結果!B905),"",計算結果!B905)=0,"",IF(ISNA(計算結果!B905),"",計算結果!B905))</f>
        <v/>
      </c>
      <c r="C905" s="10" t="str">
        <f>IF(IF(ISNA(計算結果!C905),"",計算結果!C905)=0,"",IF(ISNA(計算結果!C905),"",計算結果!C905))</f>
        <v/>
      </c>
      <c r="D905" s="10" t="str">
        <f>IF(IF(ISNA(計算結果!D905),"",計算結果!D905)=0,"",IF(ISNA(計算結果!D905),"",計算結果!D905))</f>
        <v>L</v>
      </c>
      <c r="E905" s="10" t="str">
        <f>IF(IF(ISNA(計算結果!E905),"",計算結果!E905)=0,"",IF(ISNA(計算結果!E905),"",計算結果!E905))</f>
        <v/>
      </c>
      <c r="F905" s="10" t="str">
        <f>IF(IF(ISNA(計算結果!F905),"",計算結果!F905)=0,"",IF(ISNA(計算結果!F905),"",計算結果!F905))</f>
        <v/>
      </c>
      <c r="G905" s="10" t="str">
        <f>IF(IF(ISNA(計算結果!G905),"",計算結果!G905)=0,"",IF(ISNA(計算結果!G905),"",計算結果!G905))</f>
        <v/>
      </c>
      <c r="H905" s="13">
        <f>IF(IF(ISNA(計算結果!H905),"",計算結果!H905)=0,"",IF(ISNA(計算結果!H905),"",計算結果!H905))</f>
        <v>-2</v>
      </c>
      <c r="I905" s="12" t="str">
        <f>IF(IF(ISNA(計算結果!I905),"",計算結果!I905)=0,"",IF(ISNA(計算結果!I905),"",計算結果!I905))</f>
        <v/>
      </c>
      <c r="J905" s="12" t="str">
        <f>IF(IF(ISNA(計算結果!J905),"",計算結果!J905)=0,"",IF(ISNA(計算結果!J905),"",計算結果!J905))</f>
        <v/>
      </c>
      <c r="K905" s="23" t="str">
        <f>IF(IF(ISNA(計算結果!K905),"",計算結果!K905)=0,"",IF(ISNA(計算結果!K905),"",計算結果!K905))</f>
        <v/>
      </c>
      <c r="L905" s="13" t="str">
        <f>IF(IF(ISNA(計算結果!L905),"",計算結果!L905)=0,"",IF(ISNA(計算結果!L905),"",計算結果!L905))</f>
        <v/>
      </c>
      <c r="M905" s="10" t="str">
        <f>IF(IF(ISNA(計算結果!M905),"",計算結果!M905)=0,"",IF(ISNA(計算結果!M905),"",計算結果!M905))</f>
        <v/>
      </c>
      <c r="N905" s="10" t="str">
        <f>IF(IF(ISNA(計算結果!N905),"",計算結果!N905)=0,"",IF(ISNA(計算結果!N905),"",計算結果!N905))</f>
        <v/>
      </c>
      <c r="O905" s="13" t="str">
        <f>IF(IF(ISNA(計算結果!O905),"",計算結果!O905)=0,"",IF(ISNA(計算結果!O905),"",計算結果!O905))</f>
        <v/>
      </c>
      <c r="P905" s="10" t="str">
        <f>IF(IF(ISNA(計算結果!P905),"",計算結果!P905)=0,"",IF(ISNA(計算結果!P905),"",計算結果!P905))</f>
        <v/>
      </c>
      <c r="Q905" s="10" t="str">
        <f>IF(IF(ISNA(計算結果!Q905),"",計算結果!Q905)=0,"",IF(ISNA(計算結果!Q905),"",計算結果!Q905))</f>
        <v/>
      </c>
      <c r="R905" s="14" t="str">
        <f t="shared" si="42"/>
        <v/>
      </c>
      <c r="S905" s="14" t="str">
        <f t="shared" si="43"/>
        <v>◯</v>
      </c>
      <c r="T905" s="14" t="str">
        <f t="shared" si="44"/>
        <v/>
      </c>
    </row>
    <row r="906" spans="1:20" hidden="1" x14ac:dyDescent="0.45">
      <c r="A906" s="10" t="str">
        <f>IF(IF(ISNA(計算結果!A906),"",計算結果!A906)=0,"",IF(ISNA(計算結果!A906),"",計算結果!A906))</f>
        <v/>
      </c>
      <c r="B906" s="10" t="str">
        <f>IF(IF(ISNA(計算結果!B906),"",計算結果!B906)=0,"",IF(ISNA(計算結果!B906),"",計算結果!B906))</f>
        <v/>
      </c>
      <c r="C906" s="10" t="str">
        <f>IF(IF(ISNA(計算結果!C906),"",計算結果!C906)=0,"",IF(ISNA(計算結果!C906),"",計算結果!C906))</f>
        <v/>
      </c>
      <c r="D906" s="10" t="str">
        <f>IF(IF(ISNA(計算結果!D906),"",計算結果!D906)=0,"",IF(ISNA(計算結果!D906),"",計算結果!D906))</f>
        <v>L</v>
      </c>
      <c r="E906" s="10" t="str">
        <f>IF(IF(ISNA(計算結果!E906),"",計算結果!E906)=0,"",IF(ISNA(計算結果!E906),"",計算結果!E906))</f>
        <v/>
      </c>
      <c r="F906" s="10" t="str">
        <f>IF(IF(ISNA(計算結果!F906),"",計算結果!F906)=0,"",IF(ISNA(計算結果!F906),"",計算結果!F906))</f>
        <v/>
      </c>
      <c r="G906" s="10" t="str">
        <f>IF(IF(ISNA(計算結果!G906),"",計算結果!G906)=0,"",IF(ISNA(計算結果!G906),"",計算結果!G906))</f>
        <v/>
      </c>
      <c r="H906" s="13">
        <f>IF(IF(ISNA(計算結果!H906),"",計算結果!H906)=0,"",IF(ISNA(計算結果!H906),"",計算結果!H906))</f>
        <v>-2</v>
      </c>
      <c r="I906" s="12" t="str">
        <f>IF(IF(ISNA(計算結果!I906),"",計算結果!I906)=0,"",IF(ISNA(計算結果!I906),"",計算結果!I906))</f>
        <v/>
      </c>
      <c r="J906" s="12" t="str">
        <f>IF(IF(ISNA(計算結果!J906),"",計算結果!J906)=0,"",IF(ISNA(計算結果!J906),"",計算結果!J906))</f>
        <v/>
      </c>
      <c r="K906" s="23" t="str">
        <f>IF(IF(ISNA(計算結果!K906),"",計算結果!K906)=0,"",IF(ISNA(計算結果!K906),"",計算結果!K906))</f>
        <v/>
      </c>
      <c r="L906" s="13" t="str">
        <f>IF(IF(ISNA(計算結果!L906),"",計算結果!L906)=0,"",IF(ISNA(計算結果!L906),"",計算結果!L906))</f>
        <v/>
      </c>
      <c r="M906" s="10" t="str">
        <f>IF(IF(ISNA(計算結果!M906),"",計算結果!M906)=0,"",IF(ISNA(計算結果!M906),"",計算結果!M906))</f>
        <v/>
      </c>
      <c r="N906" s="10" t="str">
        <f>IF(IF(ISNA(計算結果!N906),"",計算結果!N906)=0,"",IF(ISNA(計算結果!N906),"",計算結果!N906))</f>
        <v/>
      </c>
      <c r="O906" s="13" t="str">
        <f>IF(IF(ISNA(計算結果!O906),"",計算結果!O906)=0,"",IF(ISNA(計算結果!O906),"",計算結果!O906))</f>
        <v/>
      </c>
      <c r="P906" s="10" t="str">
        <f>IF(IF(ISNA(計算結果!P906),"",計算結果!P906)=0,"",IF(ISNA(計算結果!P906),"",計算結果!P906))</f>
        <v/>
      </c>
      <c r="Q906" s="10" t="str">
        <f>IF(IF(ISNA(計算結果!Q906),"",計算結果!Q906)=0,"",IF(ISNA(計算結果!Q906),"",計算結果!Q906))</f>
        <v/>
      </c>
      <c r="R906" s="14" t="str">
        <f t="shared" si="42"/>
        <v/>
      </c>
      <c r="S906" s="14" t="str">
        <f t="shared" si="43"/>
        <v>◯</v>
      </c>
      <c r="T906" s="14" t="str">
        <f t="shared" si="44"/>
        <v/>
      </c>
    </row>
    <row r="907" spans="1:20" hidden="1" x14ac:dyDescent="0.45">
      <c r="A907" s="10" t="str">
        <f>IF(IF(ISNA(計算結果!A907),"",計算結果!A907)=0,"",IF(ISNA(計算結果!A907),"",計算結果!A907))</f>
        <v/>
      </c>
      <c r="B907" s="10" t="str">
        <f>IF(IF(ISNA(計算結果!B907),"",計算結果!B907)=0,"",IF(ISNA(計算結果!B907),"",計算結果!B907))</f>
        <v/>
      </c>
      <c r="C907" s="10" t="str">
        <f>IF(IF(ISNA(計算結果!C907),"",計算結果!C907)=0,"",IF(ISNA(計算結果!C907),"",計算結果!C907))</f>
        <v/>
      </c>
      <c r="D907" s="10" t="str">
        <f>IF(IF(ISNA(計算結果!D907),"",計算結果!D907)=0,"",IF(ISNA(計算結果!D907),"",計算結果!D907))</f>
        <v>L</v>
      </c>
      <c r="E907" s="10" t="str">
        <f>IF(IF(ISNA(計算結果!E907),"",計算結果!E907)=0,"",IF(ISNA(計算結果!E907),"",計算結果!E907))</f>
        <v/>
      </c>
      <c r="F907" s="10" t="str">
        <f>IF(IF(ISNA(計算結果!F907),"",計算結果!F907)=0,"",IF(ISNA(計算結果!F907),"",計算結果!F907))</f>
        <v/>
      </c>
      <c r="G907" s="10" t="str">
        <f>IF(IF(ISNA(計算結果!G907),"",計算結果!G907)=0,"",IF(ISNA(計算結果!G907),"",計算結果!G907))</f>
        <v/>
      </c>
      <c r="H907" s="13">
        <f>IF(IF(ISNA(計算結果!H907),"",計算結果!H907)=0,"",IF(ISNA(計算結果!H907),"",計算結果!H907))</f>
        <v>-2</v>
      </c>
      <c r="I907" s="12" t="str">
        <f>IF(IF(ISNA(計算結果!I907),"",計算結果!I907)=0,"",IF(ISNA(計算結果!I907),"",計算結果!I907))</f>
        <v/>
      </c>
      <c r="J907" s="12" t="str">
        <f>IF(IF(ISNA(計算結果!J907),"",計算結果!J907)=0,"",IF(ISNA(計算結果!J907),"",計算結果!J907))</f>
        <v/>
      </c>
      <c r="K907" s="23" t="str">
        <f>IF(IF(ISNA(計算結果!K907),"",計算結果!K907)=0,"",IF(ISNA(計算結果!K907),"",計算結果!K907))</f>
        <v/>
      </c>
      <c r="L907" s="13" t="str">
        <f>IF(IF(ISNA(計算結果!L907),"",計算結果!L907)=0,"",IF(ISNA(計算結果!L907),"",計算結果!L907))</f>
        <v/>
      </c>
      <c r="M907" s="10" t="str">
        <f>IF(IF(ISNA(計算結果!M907),"",計算結果!M907)=0,"",IF(ISNA(計算結果!M907),"",計算結果!M907))</f>
        <v/>
      </c>
      <c r="N907" s="10" t="str">
        <f>IF(IF(ISNA(計算結果!N907),"",計算結果!N907)=0,"",IF(ISNA(計算結果!N907),"",計算結果!N907))</f>
        <v/>
      </c>
      <c r="O907" s="13" t="str">
        <f>IF(IF(ISNA(計算結果!O907),"",計算結果!O907)=0,"",IF(ISNA(計算結果!O907),"",計算結果!O907))</f>
        <v/>
      </c>
      <c r="P907" s="10" t="str">
        <f>IF(IF(ISNA(計算結果!P907),"",計算結果!P907)=0,"",IF(ISNA(計算結果!P907),"",計算結果!P907))</f>
        <v/>
      </c>
      <c r="Q907" s="10" t="str">
        <f>IF(IF(ISNA(計算結果!Q907),"",計算結果!Q907)=0,"",IF(ISNA(計算結果!Q907),"",計算結果!Q907))</f>
        <v/>
      </c>
      <c r="R907" s="14" t="str">
        <f t="shared" si="42"/>
        <v/>
      </c>
      <c r="S907" s="14" t="str">
        <f t="shared" si="43"/>
        <v>◯</v>
      </c>
      <c r="T907" s="14" t="str">
        <f t="shared" si="44"/>
        <v/>
      </c>
    </row>
    <row r="908" spans="1:20" hidden="1" x14ac:dyDescent="0.45">
      <c r="A908" s="10" t="str">
        <f>IF(IF(ISNA(計算結果!A908),"",計算結果!A908)=0,"",IF(ISNA(計算結果!A908),"",計算結果!A908))</f>
        <v/>
      </c>
      <c r="B908" s="10" t="str">
        <f>IF(IF(ISNA(計算結果!B908),"",計算結果!B908)=0,"",IF(ISNA(計算結果!B908),"",計算結果!B908))</f>
        <v/>
      </c>
      <c r="C908" s="10" t="str">
        <f>IF(IF(ISNA(計算結果!C908),"",計算結果!C908)=0,"",IF(ISNA(計算結果!C908),"",計算結果!C908))</f>
        <v/>
      </c>
      <c r="D908" s="10" t="str">
        <f>IF(IF(ISNA(計算結果!D908),"",計算結果!D908)=0,"",IF(ISNA(計算結果!D908),"",計算結果!D908))</f>
        <v>L</v>
      </c>
      <c r="E908" s="10" t="str">
        <f>IF(IF(ISNA(計算結果!E908),"",計算結果!E908)=0,"",IF(ISNA(計算結果!E908),"",計算結果!E908))</f>
        <v/>
      </c>
      <c r="F908" s="10" t="str">
        <f>IF(IF(ISNA(計算結果!F908),"",計算結果!F908)=0,"",IF(ISNA(計算結果!F908),"",計算結果!F908))</f>
        <v/>
      </c>
      <c r="G908" s="10" t="str">
        <f>IF(IF(ISNA(計算結果!G908),"",計算結果!G908)=0,"",IF(ISNA(計算結果!G908),"",計算結果!G908))</f>
        <v/>
      </c>
      <c r="H908" s="13">
        <f>IF(IF(ISNA(計算結果!H908),"",計算結果!H908)=0,"",IF(ISNA(計算結果!H908),"",計算結果!H908))</f>
        <v>-2</v>
      </c>
      <c r="I908" s="12" t="str">
        <f>IF(IF(ISNA(計算結果!I908),"",計算結果!I908)=0,"",IF(ISNA(計算結果!I908),"",計算結果!I908))</f>
        <v/>
      </c>
      <c r="J908" s="12" t="str">
        <f>IF(IF(ISNA(計算結果!J908),"",計算結果!J908)=0,"",IF(ISNA(計算結果!J908),"",計算結果!J908))</f>
        <v/>
      </c>
      <c r="K908" s="23" t="str">
        <f>IF(IF(ISNA(計算結果!K908),"",計算結果!K908)=0,"",IF(ISNA(計算結果!K908),"",計算結果!K908))</f>
        <v/>
      </c>
      <c r="L908" s="13" t="str">
        <f>IF(IF(ISNA(計算結果!L908),"",計算結果!L908)=0,"",IF(ISNA(計算結果!L908),"",計算結果!L908))</f>
        <v/>
      </c>
      <c r="M908" s="10" t="str">
        <f>IF(IF(ISNA(計算結果!M908),"",計算結果!M908)=0,"",IF(ISNA(計算結果!M908),"",計算結果!M908))</f>
        <v/>
      </c>
      <c r="N908" s="10" t="str">
        <f>IF(IF(ISNA(計算結果!N908),"",計算結果!N908)=0,"",IF(ISNA(計算結果!N908),"",計算結果!N908))</f>
        <v/>
      </c>
      <c r="O908" s="13" t="str">
        <f>IF(IF(ISNA(計算結果!O908),"",計算結果!O908)=0,"",IF(ISNA(計算結果!O908),"",計算結果!O908))</f>
        <v/>
      </c>
      <c r="P908" s="10" t="str">
        <f>IF(IF(ISNA(計算結果!P908),"",計算結果!P908)=0,"",IF(ISNA(計算結果!P908),"",計算結果!P908))</f>
        <v/>
      </c>
      <c r="Q908" s="10" t="str">
        <f>IF(IF(ISNA(計算結果!Q908),"",計算結果!Q908)=0,"",IF(ISNA(計算結果!Q908),"",計算結果!Q908))</f>
        <v/>
      </c>
      <c r="R908" s="14" t="str">
        <f t="shared" si="42"/>
        <v/>
      </c>
      <c r="S908" s="14" t="str">
        <f t="shared" si="43"/>
        <v>◯</v>
      </c>
      <c r="T908" s="14" t="str">
        <f t="shared" si="44"/>
        <v/>
      </c>
    </row>
    <row r="909" spans="1:20" hidden="1" x14ac:dyDescent="0.45">
      <c r="A909" s="10" t="str">
        <f>IF(IF(ISNA(計算結果!A909),"",計算結果!A909)=0,"",IF(ISNA(計算結果!A909),"",計算結果!A909))</f>
        <v/>
      </c>
      <c r="B909" s="10" t="str">
        <f>IF(IF(ISNA(計算結果!B909),"",計算結果!B909)=0,"",IF(ISNA(計算結果!B909),"",計算結果!B909))</f>
        <v/>
      </c>
      <c r="C909" s="10" t="str">
        <f>IF(IF(ISNA(計算結果!C909),"",計算結果!C909)=0,"",IF(ISNA(計算結果!C909),"",計算結果!C909))</f>
        <v/>
      </c>
      <c r="D909" s="10" t="str">
        <f>IF(IF(ISNA(計算結果!D909),"",計算結果!D909)=0,"",IF(ISNA(計算結果!D909),"",計算結果!D909))</f>
        <v>L</v>
      </c>
      <c r="E909" s="10" t="str">
        <f>IF(IF(ISNA(計算結果!E909),"",計算結果!E909)=0,"",IF(ISNA(計算結果!E909),"",計算結果!E909))</f>
        <v/>
      </c>
      <c r="F909" s="10" t="str">
        <f>IF(IF(ISNA(計算結果!F909),"",計算結果!F909)=0,"",IF(ISNA(計算結果!F909),"",計算結果!F909))</f>
        <v/>
      </c>
      <c r="G909" s="10" t="str">
        <f>IF(IF(ISNA(計算結果!G909),"",計算結果!G909)=0,"",IF(ISNA(計算結果!G909),"",計算結果!G909))</f>
        <v/>
      </c>
      <c r="H909" s="13">
        <f>IF(IF(ISNA(計算結果!H909),"",計算結果!H909)=0,"",IF(ISNA(計算結果!H909),"",計算結果!H909))</f>
        <v>-2</v>
      </c>
      <c r="I909" s="12" t="str">
        <f>IF(IF(ISNA(計算結果!I909),"",計算結果!I909)=0,"",IF(ISNA(計算結果!I909),"",計算結果!I909))</f>
        <v/>
      </c>
      <c r="J909" s="12" t="str">
        <f>IF(IF(ISNA(計算結果!J909),"",計算結果!J909)=0,"",IF(ISNA(計算結果!J909),"",計算結果!J909))</f>
        <v/>
      </c>
      <c r="K909" s="23" t="str">
        <f>IF(IF(ISNA(計算結果!K909),"",計算結果!K909)=0,"",IF(ISNA(計算結果!K909),"",計算結果!K909))</f>
        <v/>
      </c>
      <c r="L909" s="13" t="str">
        <f>IF(IF(ISNA(計算結果!L909),"",計算結果!L909)=0,"",IF(ISNA(計算結果!L909),"",計算結果!L909))</f>
        <v/>
      </c>
      <c r="M909" s="10" t="str">
        <f>IF(IF(ISNA(計算結果!M909),"",計算結果!M909)=0,"",IF(ISNA(計算結果!M909),"",計算結果!M909))</f>
        <v/>
      </c>
      <c r="N909" s="10" t="str">
        <f>IF(IF(ISNA(計算結果!N909),"",計算結果!N909)=0,"",IF(ISNA(計算結果!N909),"",計算結果!N909))</f>
        <v/>
      </c>
      <c r="O909" s="13" t="str">
        <f>IF(IF(ISNA(計算結果!O909),"",計算結果!O909)=0,"",IF(ISNA(計算結果!O909),"",計算結果!O909))</f>
        <v/>
      </c>
      <c r="P909" s="10" t="str">
        <f>IF(IF(ISNA(計算結果!P909),"",計算結果!P909)=0,"",IF(ISNA(計算結果!P909),"",計算結果!P909))</f>
        <v/>
      </c>
      <c r="Q909" s="10" t="str">
        <f>IF(IF(ISNA(計算結果!Q909),"",計算結果!Q909)=0,"",IF(ISNA(計算結果!Q909),"",計算結果!Q909))</f>
        <v/>
      </c>
      <c r="R909" s="14" t="str">
        <f t="shared" si="42"/>
        <v/>
      </c>
      <c r="S909" s="14" t="str">
        <f t="shared" si="43"/>
        <v>◯</v>
      </c>
      <c r="T909" s="14" t="str">
        <f t="shared" si="44"/>
        <v/>
      </c>
    </row>
    <row r="910" spans="1:20" hidden="1" x14ac:dyDescent="0.45">
      <c r="A910" s="10" t="str">
        <f>IF(IF(ISNA(計算結果!A910),"",計算結果!A910)=0,"",IF(ISNA(計算結果!A910),"",計算結果!A910))</f>
        <v/>
      </c>
      <c r="B910" s="10" t="str">
        <f>IF(IF(ISNA(計算結果!B910),"",計算結果!B910)=0,"",IF(ISNA(計算結果!B910),"",計算結果!B910))</f>
        <v/>
      </c>
      <c r="C910" s="10" t="str">
        <f>IF(IF(ISNA(計算結果!C910),"",計算結果!C910)=0,"",IF(ISNA(計算結果!C910),"",計算結果!C910))</f>
        <v/>
      </c>
      <c r="D910" s="10" t="str">
        <f>IF(IF(ISNA(計算結果!D910),"",計算結果!D910)=0,"",IF(ISNA(計算結果!D910),"",計算結果!D910))</f>
        <v>L</v>
      </c>
      <c r="E910" s="10" t="str">
        <f>IF(IF(ISNA(計算結果!E910),"",計算結果!E910)=0,"",IF(ISNA(計算結果!E910),"",計算結果!E910))</f>
        <v/>
      </c>
      <c r="F910" s="10" t="str">
        <f>IF(IF(ISNA(計算結果!F910),"",計算結果!F910)=0,"",IF(ISNA(計算結果!F910),"",計算結果!F910))</f>
        <v/>
      </c>
      <c r="G910" s="10" t="str">
        <f>IF(IF(ISNA(計算結果!G910),"",計算結果!G910)=0,"",IF(ISNA(計算結果!G910),"",計算結果!G910))</f>
        <v/>
      </c>
      <c r="H910" s="13">
        <f>IF(IF(ISNA(計算結果!H910),"",計算結果!H910)=0,"",IF(ISNA(計算結果!H910),"",計算結果!H910))</f>
        <v>-2</v>
      </c>
      <c r="I910" s="12" t="str">
        <f>IF(IF(ISNA(計算結果!I910),"",計算結果!I910)=0,"",IF(ISNA(計算結果!I910),"",計算結果!I910))</f>
        <v/>
      </c>
      <c r="J910" s="12" t="str">
        <f>IF(IF(ISNA(計算結果!J910),"",計算結果!J910)=0,"",IF(ISNA(計算結果!J910),"",計算結果!J910))</f>
        <v/>
      </c>
      <c r="K910" s="23" t="str">
        <f>IF(IF(ISNA(計算結果!K910),"",計算結果!K910)=0,"",IF(ISNA(計算結果!K910),"",計算結果!K910))</f>
        <v/>
      </c>
      <c r="L910" s="13" t="str">
        <f>IF(IF(ISNA(計算結果!L910),"",計算結果!L910)=0,"",IF(ISNA(計算結果!L910),"",計算結果!L910))</f>
        <v/>
      </c>
      <c r="M910" s="10" t="str">
        <f>IF(IF(ISNA(計算結果!M910),"",計算結果!M910)=0,"",IF(ISNA(計算結果!M910),"",計算結果!M910))</f>
        <v/>
      </c>
      <c r="N910" s="10" t="str">
        <f>IF(IF(ISNA(計算結果!N910),"",計算結果!N910)=0,"",IF(ISNA(計算結果!N910),"",計算結果!N910))</f>
        <v/>
      </c>
      <c r="O910" s="13" t="str">
        <f>IF(IF(ISNA(計算結果!O910),"",計算結果!O910)=0,"",IF(ISNA(計算結果!O910),"",計算結果!O910))</f>
        <v/>
      </c>
      <c r="P910" s="10" t="str">
        <f>IF(IF(ISNA(計算結果!P910),"",計算結果!P910)=0,"",IF(ISNA(計算結果!P910),"",計算結果!P910))</f>
        <v/>
      </c>
      <c r="Q910" s="10" t="str">
        <f>IF(IF(ISNA(計算結果!Q910),"",計算結果!Q910)=0,"",IF(ISNA(計算結果!Q910),"",計算結果!Q910))</f>
        <v/>
      </c>
      <c r="R910" s="14" t="str">
        <f t="shared" si="42"/>
        <v/>
      </c>
      <c r="S910" s="14" t="str">
        <f t="shared" si="43"/>
        <v>◯</v>
      </c>
      <c r="T910" s="14" t="str">
        <f t="shared" si="44"/>
        <v/>
      </c>
    </row>
    <row r="911" spans="1:20" hidden="1" x14ac:dyDescent="0.45">
      <c r="A911" s="10" t="str">
        <f>IF(IF(ISNA(計算結果!A911),"",計算結果!A911)=0,"",IF(ISNA(計算結果!A911),"",計算結果!A911))</f>
        <v/>
      </c>
      <c r="B911" s="10" t="str">
        <f>IF(IF(ISNA(計算結果!B911),"",計算結果!B911)=0,"",IF(ISNA(計算結果!B911),"",計算結果!B911))</f>
        <v/>
      </c>
      <c r="C911" s="10" t="str">
        <f>IF(IF(ISNA(計算結果!C911),"",計算結果!C911)=0,"",IF(ISNA(計算結果!C911),"",計算結果!C911))</f>
        <v/>
      </c>
      <c r="D911" s="10" t="str">
        <f>IF(IF(ISNA(計算結果!D911),"",計算結果!D911)=0,"",IF(ISNA(計算結果!D911),"",計算結果!D911))</f>
        <v>L</v>
      </c>
      <c r="E911" s="10" t="str">
        <f>IF(IF(ISNA(計算結果!E911),"",計算結果!E911)=0,"",IF(ISNA(計算結果!E911),"",計算結果!E911))</f>
        <v/>
      </c>
      <c r="F911" s="10" t="str">
        <f>IF(IF(ISNA(計算結果!F911),"",計算結果!F911)=0,"",IF(ISNA(計算結果!F911),"",計算結果!F911))</f>
        <v/>
      </c>
      <c r="G911" s="10" t="str">
        <f>IF(IF(ISNA(計算結果!G911),"",計算結果!G911)=0,"",IF(ISNA(計算結果!G911),"",計算結果!G911))</f>
        <v/>
      </c>
      <c r="H911" s="13">
        <f>IF(IF(ISNA(計算結果!H911),"",計算結果!H911)=0,"",IF(ISNA(計算結果!H911),"",計算結果!H911))</f>
        <v>-2</v>
      </c>
      <c r="I911" s="12" t="str">
        <f>IF(IF(ISNA(計算結果!I911),"",計算結果!I911)=0,"",IF(ISNA(計算結果!I911),"",計算結果!I911))</f>
        <v/>
      </c>
      <c r="J911" s="12" t="str">
        <f>IF(IF(ISNA(計算結果!J911),"",計算結果!J911)=0,"",IF(ISNA(計算結果!J911),"",計算結果!J911))</f>
        <v/>
      </c>
      <c r="K911" s="23" t="str">
        <f>IF(IF(ISNA(計算結果!K911),"",計算結果!K911)=0,"",IF(ISNA(計算結果!K911),"",計算結果!K911))</f>
        <v/>
      </c>
      <c r="L911" s="13" t="str">
        <f>IF(IF(ISNA(計算結果!L911),"",計算結果!L911)=0,"",IF(ISNA(計算結果!L911),"",計算結果!L911))</f>
        <v/>
      </c>
      <c r="M911" s="10" t="str">
        <f>IF(IF(ISNA(計算結果!M911),"",計算結果!M911)=0,"",IF(ISNA(計算結果!M911),"",計算結果!M911))</f>
        <v/>
      </c>
      <c r="N911" s="10" t="str">
        <f>IF(IF(ISNA(計算結果!N911),"",計算結果!N911)=0,"",IF(ISNA(計算結果!N911),"",計算結果!N911))</f>
        <v/>
      </c>
      <c r="O911" s="13" t="str">
        <f>IF(IF(ISNA(計算結果!O911),"",計算結果!O911)=0,"",IF(ISNA(計算結果!O911),"",計算結果!O911))</f>
        <v/>
      </c>
      <c r="P911" s="10" t="str">
        <f>IF(IF(ISNA(計算結果!P911),"",計算結果!P911)=0,"",IF(ISNA(計算結果!P911),"",計算結果!P911))</f>
        <v/>
      </c>
      <c r="Q911" s="10" t="str">
        <f>IF(IF(ISNA(計算結果!Q911),"",計算結果!Q911)=0,"",IF(ISNA(計算結果!Q911),"",計算結果!Q911))</f>
        <v/>
      </c>
      <c r="R911" s="14" t="str">
        <f t="shared" si="42"/>
        <v/>
      </c>
      <c r="S911" s="14" t="str">
        <f t="shared" si="43"/>
        <v>◯</v>
      </c>
      <c r="T911" s="14" t="str">
        <f t="shared" si="44"/>
        <v/>
      </c>
    </row>
    <row r="912" spans="1:20" hidden="1" x14ac:dyDescent="0.45">
      <c r="A912" s="10" t="str">
        <f>IF(IF(ISNA(計算結果!A912),"",計算結果!A912)=0,"",IF(ISNA(計算結果!A912),"",計算結果!A912))</f>
        <v/>
      </c>
      <c r="B912" s="10" t="str">
        <f>IF(IF(ISNA(計算結果!B912),"",計算結果!B912)=0,"",IF(ISNA(計算結果!B912),"",計算結果!B912))</f>
        <v/>
      </c>
      <c r="C912" s="10" t="str">
        <f>IF(IF(ISNA(計算結果!C912),"",計算結果!C912)=0,"",IF(ISNA(計算結果!C912),"",計算結果!C912))</f>
        <v/>
      </c>
      <c r="D912" s="10" t="str">
        <f>IF(IF(ISNA(計算結果!D912),"",計算結果!D912)=0,"",IF(ISNA(計算結果!D912),"",計算結果!D912))</f>
        <v>L</v>
      </c>
      <c r="E912" s="10" t="str">
        <f>IF(IF(ISNA(計算結果!E912),"",計算結果!E912)=0,"",IF(ISNA(計算結果!E912),"",計算結果!E912))</f>
        <v/>
      </c>
      <c r="F912" s="10" t="str">
        <f>IF(IF(ISNA(計算結果!F912),"",計算結果!F912)=0,"",IF(ISNA(計算結果!F912),"",計算結果!F912))</f>
        <v/>
      </c>
      <c r="G912" s="10" t="str">
        <f>IF(IF(ISNA(計算結果!G912),"",計算結果!G912)=0,"",IF(ISNA(計算結果!G912),"",計算結果!G912))</f>
        <v/>
      </c>
      <c r="H912" s="13">
        <f>IF(IF(ISNA(計算結果!H912),"",計算結果!H912)=0,"",IF(ISNA(計算結果!H912),"",計算結果!H912))</f>
        <v>-2</v>
      </c>
      <c r="I912" s="12" t="str">
        <f>IF(IF(ISNA(計算結果!I912),"",計算結果!I912)=0,"",IF(ISNA(計算結果!I912),"",計算結果!I912))</f>
        <v/>
      </c>
      <c r="J912" s="12" t="str">
        <f>IF(IF(ISNA(計算結果!J912),"",計算結果!J912)=0,"",IF(ISNA(計算結果!J912),"",計算結果!J912))</f>
        <v/>
      </c>
      <c r="K912" s="23" t="str">
        <f>IF(IF(ISNA(計算結果!K912),"",計算結果!K912)=0,"",IF(ISNA(計算結果!K912),"",計算結果!K912))</f>
        <v/>
      </c>
      <c r="L912" s="13" t="str">
        <f>IF(IF(ISNA(計算結果!L912),"",計算結果!L912)=0,"",IF(ISNA(計算結果!L912),"",計算結果!L912))</f>
        <v/>
      </c>
      <c r="M912" s="10" t="str">
        <f>IF(IF(ISNA(計算結果!M912),"",計算結果!M912)=0,"",IF(ISNA(計算結果!M912),"",計算結果!M912))</f>
        <v/>
      </c>
      <c r="N912" s="10" t="str">
        <f>IF(IF(ISNA(計算結果!N912),"",計算結果!N912)=0,"",IF(ISNA(計算結果!N912),"",計算結果!N912))</f>
        <v/>
      </c>
      <c r="O912" s="13" t="str">
        <f>IF(IF(ISNA(計算結果!O912),"",計算結果!O912)=0,"",IF(ISNA(計算結果!O912),"",計算結果!O912))</f>
        <v/>
      </c>
      <c r="P912" s="10" t="str">
        <f>IF(IF(ISNA(計算結果!P912),"",計算結果!P912)=0,"",IF(ISNA(計算結果!P912),"",計算結果!P912))</f>
        <v/>
      </c>
      <c r="Q912" s="10" t="str">
        <f>IF(IF(ISNA(計算結果!Q912),"",計算結果!Q912)=0,"",IF(ISNA(計算結果!Q912),"",計算結果!Q912))</f>
        <v/>
      </c>
      <c r="R912" s="14" t="str">
        <f t="shared" si="42"/>
        <v/>
      </c>
      <c r="S912" s="14" t="str">
        <f t="shared" si="43"/>
        <v>◯</v>
      </c>
      <c r="T912" s="14" t="str">
        <f t="shared" si="44"/>
        <v/>
      </c>
    </row>
    <row r="913" spans="1:20" hidden="1" x14ac:dyDescent="0.45">
      <c r="A913" s="10" t="str">
        <f>IF(IF(ISNA(計算結果!A913),"",計算結果!A913)=0,"",IF(ISNA(計算結果!A913),"",計算結果!A913))</f>
        <v/>
      </c>
      <c r="B913" s="10" t="str">
        <f>IF(IF(ISNA(計算結果!B913),"",計算結果!B913)=0,"",IF(ISNA(計算結果!B913),"",計算結果!B913))</f>
        <v/>
      </c>
      <c r="C913" s="10" t="str">
        <f>IF(IF(ISNA(計算結果!C913),"",計算結果!C913)=0,"",IF(ISNA(計算結果!C913),"",計算結果!C913))</f>
        <v/>
      </c>
      <c r="D913" s="10" t="str">
        <f>IF(IF(ISNA(計算結果!D913),"",計算結果!D913)=0,"",IF(ISNA(計算結果!D913),"",計算結果!D913))</f>
        <v>L</v>
      </c>
      <c r="E913" s="10" t="str">
        <f>IF(IF(ISNA(計算結果!E913),"",計算結果!E913)=0,"",IF(ISNA(計算結果!E913),"",計算結果!E913))</f>
        <v/>
      </c>
      <c r="F913" s="10" t="str">
        <f>IF(IF(ISNA(計算結果!F913),"",計算結果!F913)=0,"",IF(ISNA(計算結果!F913),"",計算結果!F913))</f>
        <v/>
      </c>
      <c r="G913" s="10" t="str">
        <f>IF(IF(ISNA(計算結果!G913),"",計算結果!G913)=0,"",IF(ISNA(計算結果!G913),"",計算結果!G913))</f>
        <v/>
      </c>
      <c r="H913" s="13">
        <f>IF(IF(ISNA(計算結果!H913),"",計算結果!H913)=0,"",IF(ISNA(計算結果!H913),"",計算結果!H913))</f>
        <v>-2</v>
      </c>
      <c r="I913" s="12" t="str">
        <f>IF(IF(ISNA(計算結果!I913),"",計算結果!I913)=0,"",IF(ISNA(計算結果!I913),"",計算結果!I913))</f>
        <v/>
      </c>
      <c r="J913" s="12" t="str">
        <f>IF(IF(ISNA(計算結果!J913),"",計算結果!J913)=0,"",IF(ISNA(計算結果!J913),"",計算結果!J913))</f>
        <v/>
      </c>
      <c r="K913" s="23" t="str">
        <f>IF(IF(ISNA(計算結果!K913),"",計算結果!K913)=0,"",IF(ISNA(計算結果!K913),"",計算結果!K913))</f>
        <v/>
      </c>
      <c r="L913" s="13" t="str">
        <f>IF(IF(ISNA(計算結果!L913),"",計算結果!L913)=0,"",IF(ISNA(計算結果!L913),"",計算結果!L913))</f>
        <v/>
      </c>
      <c r="M913" s="10" t="str">
        <f>IF(IF(ISNA(計算結果!M913),"",計算結果!M913)=0,"",IF(ISNA(計算結果!M913),"",計算結果!M913))</f>
        <v/>
      </c>
      <c r="N913" s="10" t="str">
        <f>IF(IF(ISNA(計算結果!N913),"",計算結果!N913)=0,"",IF(ISNA(計算結果!N913),"",計算結果!N913))</f>
        <v/>
      </c>
      <c r="O913" s="13" t="str">
        <f>IF(IF(ISNA(計算結果!O913),"",計算結果!O913)=0,"",IF(ISNA(計算結果!O913),"",計算結果!O913))</f>
        <v/>
      </c>
      <c r="P913" s="10" t="str">
        <f>IF(IF(ISNA(計算結果!P913),"",計算結果!P913)=0,"",IF(ISNA(計算結果!P913),"",計算結果!P913))</f>
        <v/>
      </c>
      <c r="Q913" s="10" t="str">
        <f>IF(IF(ISNA(計算結果!Q913),"",計算結果!Q913)=0,"",IF(ISNA(計算結果!Q913),"",計算結果!Q913))</f>
        <v/>
      </c>
      <c r="R913" s="14" t="str">
        <f t="shared" si="42"/>
        <v/>
      </c>
      <c r="S913" s="14" t="str">
        <f t="shared" si="43"/>
        <v>◯</v>
      </c>
      <c r="T913" s="14" t="str">
        <f t="shared" si="44"/>
        <v/>
      </c>
    </row>
    <row r="914" spans="1:20" hidden="1" x14ac:dyDescent="0.45">
      <c r="A914" s="10" t="str">
        <f>IF(IF(ISNA(計算結果!A914),"",計算結果!A914)=0,"",IF(ISNA(計算結果!A914),"",計算結果!A914))</f>
        <v/>
      </c>
      <c r="B914" s="10" t="str">
        <f>IF(IF(ISNA(計算結果!B914),"",計算結果!B914)=0,"",IF(ISNA(計算結果!B914),"",計算結果!B914))</f>
        <v/>
      </c>
      <c r="C914" s="10" t="str">
        <f>IF(IF(ISNA(計算結果!C914),"",計算結果!C914)=0,"",IF(ISNA(計算結果!C914),"",計算結果!C914))</f>
        <v/>
      </c>
      <c r="D914" s="10" t="str">
        <f>IF(IF(ISNA(計算結果!D914),"",計算結果!D914)=0,"",IF(ISNA(計算結果!D914),"",計算結果!D914))</f>
        <v>L</v>
      </c>
      <c r="E914" s="10" t="str">
        <f>IF(IF(ISNA(計算結果!E914),"",計算結果!E914)=0,"",IF(ISNA(計算結果!E914),"",計算結果!E914))</f>
        <v/>
      </c>
      <c r="F914" s="10" t="str">
        <f>IF(IF(ISNA(計算結果!F914),"",計算結果!F914)=0,"",IF(ISNA(計算結果!F914),"",計算結果!F914))</f>
        <v/>
      </c>
      <c r="G914" s="10" t="str">
        <f>IF(IF(ISNA(計算結果!G914),"",計算結果!G914)=0,"",IF(ISNA(計算結果!G914),"",計算結果!G914))</f>
        <v/>
      </c>
      <c r="H914" s="13">
        <f>IF(IF(ISNA(計算結果!H914),"",計算結果!H914)=0,"",IF(ISNA(計算結果!H914),"",計算結果!H914))</f>
        <v>-2</v>
      </c>
      <c r="I914" s="12" t="str">
        <f>IF(IF(ISNA(計算結果!I914),"",計算結果!I914)=0,"",IF(ISNA(計算結果!I914),"",計算結果!I914))</f>
        <v/>
      </c>
      <c r="J914" s="12" t="str">
        <f>IF(IF(ISNA(計算結果!J914),"",計算結果!J914)=0,"",IF(ISNA(計算結果!J914),"",計算結果!J914))</f>
        <v/>
      </c>
      <c r="K914" s="23" t="str">
        <f>IF(IF(ISNA(計算結果!K914),"",計算結果!K914)=0,"",IF(ISNA(計算結果!K914),"",計算結果!K914))</f>
        <v/>
      </c>
      <c r="L914" s="13" t="str">
        <f>IF(IF(ISNA(計算結果!L914),"",計算結果!L914)=0,"",IF(ISNA(計算結果!L914),"",計算結果!L914))</f>
        <v/>
      </c>
      <c r="M914" s="10" t="str">
        <f>IF(IF(ISNA(計算結果!M914),"",計算結果!M914)=0,"",IF(ISNA(計算結果!M914),"",計算結果!M914))</f>
        <v/>
      </c>
      <c r="N914" s="10" t="str">
        <f>IF(IF(ISNA(計算結果!N914),"",計算結果!N914)=0,"",IF(ISNA(計算結果!N914),"",計算結果!N914))</f>
        <v/>
      </c>
      <c r="O914" s="13" t="str">
        <f>IF(IF(ISNA(計算結果!O914),"",計算結果!O914)=0,"",IF(ISNA(計算結果!O914),"",計算結果!O914))</f>
        <v/>
      </c>
      <c r="P914" s="10" t="str">
        <f>IF(IF(ISNA(計算結果!P914),"",計算結果!P914)=0,"",IF(ISNA(計算結果!P914),"",計算結果!P914))</f>
        <v/>
      </c>
      <c r="Q914" s="10" t="str">
        <f>IF(IF(ISNA(計算結果!Q914),"",計算結果!Q914)=0,"",IF(ISNA(計算結果!Q914),"",計算結果!Q914))</f>
        <v/>
      </c>
      <c r="R914" s="14" t="str">
        <f t="shared" si="42"/>
        <v/>
      </c>
      <c r="S914" s="14" t="str">
        <f t="shared" si="43"/>
        <v>◯</v>
      </c>
      <c r="T914" s="14" t="str">
        <f t="shared" si="44"/>
        <v/>
      </c>
    </row>
    <row r="915" spans="1:20" hidden="1" x14ac:dyDescent="0.45">
      <c r="A915" s="10" t="str">
        <f>IF(IF(ISNA(計算結果!A915),"",計算結果!A915)=0,"",IF(ISNA(計算結果!A915),"",計算結果!A915))</f>
        <v/>
      </c>
      <c r="B915" s="10" t="str">
        <f>IF(IF(ISNA(計算結果!B915),"",計算結果!B915)=0,"",IF(ISNA(計算結果!B915),"",計算結果!B915))</f>
        <v/>
      </c>
      <c r="C915" s="10" t="str">
        <f>IF(IF(ISNA(計算結果!C915),"",計算結果!C915)=0,"",IF(ISNA(計算結果!C915),"",計算結果!C915))</f>
        <v/>
      </c>
      <c r="D915" s="10" t="str">
        <f>IF(IF(ISNA(計算結果!D915),"",計算結果!D915)=0,"",IF(ISNA(計算結果!D915),"",計算結果!D915))</f>
        <v>L</v>
      </c>
      <c r="E915" s="10" t="str">
        <f>IF(IF(ISNA(計算結果!E915),"",計算結果!E915)=0,"",IF(ISNA(計算結果!E915),"",計算結果!E915))</f>
        <v/>
      </c>
      <c r="F915" s="10" t="str">
        <f>IF(IF(ISNA(計算結果!F915),"",計算結果!F915)=0,"",IF(ISNA(計算結果!F915),"",計算結果!F915))</f>
        <v/>
      </c>
      <c r="G915" s="10" t="str">
        <f>IF(IF(ISNA(計算結果!G915),"",計算結果!G915)=0,"",IF(ISNA(計算結果!G915),"",計算結果!G915))</f>
        <v/>
      </c>
      <c r="H915" s="13">
        <f>IF(IF(ISNA(計算結果!H915),"",計算結果!H915)=0,"",IF(ISNA(計算結果!H915),"",計算結果!H915))</f>
        <v>-2</v>
      </c>
      <c r="I915" s="12" t="str">
        <f>IF(IF(ISNA(計算結果!I915),"",計算結果!I915)=0,"",IF(ISNA(計算結果!I915),"",計算結果!I915))</f>
        <v/>
      </c>
      <c r="J915" s="12" t="str">
        <f>IF(IF(ISNA(計算結果!J915),"",計算結果!J915)=0,"",IF(ISNA(計算結果!J915),"",計算結果!J915))</f>
        <v/>
      </c>
      <c r="K915" s="23" t="str">
        <f>IF(IF(ISNA(計算結果!K915),"",計算結果!K915)=0,"",IF(ISNA(計算結果!K915),"",計算結果!K915))</f>
        <v/>
      </c>
      <c r="L915" s="13" t="str">
        <f>IF(IF(ISNA(計算結果!L915),"",計算結果!L915)=0,"",IF(ISNA(計算結果!L915),"",計算結果!L915))</f>
        <v/>
      </c>
      <c r="M915" s="10" t="str">
        <f>IF(IF(ISNA(計算結果!M915),"",計算結果!M915)=0,"",IF(ISNA(計算結果!M915),"",計算結果!M915))</f>
        <v/>
      </c>
      <c r="N915" s="10" t="str">
        <f>IF(IF(ISNA(計算結果!N915),"",計算結果!N915)=0,"",IF(ISNA(計算結果!N915),"",計算結果!N915))</f>
        <v/>
      </c>
      <c r="O915" s="13" t="str">
        <f>IF(IF(ISNA(計算結果!O915),"",計算結果!O915)=0,"",IF(ISNA(計算結果!O915),"",計算結果!O915))</f>
        <v/>
      </c>
      <c r="P915" s="10" t="str">
        <f>IF(IF(ISNA(計算結果!P915),"",計算結果!P915)=0,"",IF(ISNA(計算結果!P915),"",計算結果!P915))</f>
        <v/>
      </c>
      <c r="Q915" s="10" t="str">
        <f>IF(IF(ISNA(計算結果!Q915),"",計算結果!Q915)=0,"",IF(ISNA(計算結果!Q915),"",計算結果!Q915))</f>
        <v/>
      </c>
      <c r="R915" s="14" t="str">
        <f t="shared" si="42"/>
        <v/>
      </c>
      <c r="S915" s="14" t="str">
        <f t="shared" si="43"/>
        <v>◯</v>
      </c>
      <c r="T915" s="14" t="str">
        <f t="shared" si="44"/>
        <v/>
      </c>
    </row>
    <row r="916" spans="1:20" hidden="1" x14ac:dyDescent="0.45">
      <c r="A916" s="10" t="str">
        <f>IF(IF(ISNA(計算結果!A916),"",計算結果!A916)=0,"",IF(ISNA(計算結果!A916),"",計算結果!A916))</f>
        <v/>
      </c>
      <c r="B916" s="10" t="str">
        <f>IF(IF(ISNA(計算結果!B916),"",計算結果!B916)=0,"",IF(ISNA(計算結果!B916),"",計算結果!B916))</f>
        <v/>
      </c>
      <c r="C916" s="10" t="str">
        <f>IF(IF(ISNA(計算結果!C916),"",計算結果!C916)=0,"",IF(ISNA(計算結果!C916),"",計算結果!C916))</f>
        <v/>
      </c>
      <c r="D916" s="10" t="str">
        <f>IF(IF(ISNA(計算結果!D916),"",計算結果!D916)=0,"",IF(ISNA(計算結果!D916),"",計算結果!D916))</f>
        <v>L</v>
      </c>
      <c r="E916" s="10" t="str">
        <f>IF(IF(ISNA(計算結果!E916),"",計算結果!E916)=0,"",IF(ISNA(計算結果!E916),"",計算結果!E916))</f>
        <v/>
      </c>
      <c r="F916" s="10" t="str">
        <f>IF(IF(ISNA(計算結果!F916),"",計算結果!F916)=0,"",IF(ISNA(計算結果!F916),"",計算結果!F916))</f>
        <v/>
      </c>
      <c r="G916" s="10" t="str">
        <f>IF(IF(ISNA(計算結果!G916),"",計算結果!G916)=0,"",IF(ISNA(計算結果!G916),"",計算結果!G916))</f>
        <v/>
      </c>
      <c r="H916" s="13">
        <f>IF(IF(ISNA(計算結果!H916),"",計算結果!H916)=0,"",IF(ISNA(計算結果!H916),"",計算結果!H916))</f>
        <v>-2</v>
      </c>
      <c r="I916" s="12" t="str">
        <f>IF(IF(ISNA(計算結果!I916),"",計算結果!I916)=0,"",IF(ISNA(計算結果!I916),"",計算結果!I916))</f>
        <v/>
      </c>
      <c r="J916" s="12" t="str">
        <f>IF(IF(ISNA(計算結果!J916),"",計算結果!J916)=0,"",IF(ISNA(計算結果!J916),"",計算結果!J916))</f>
        <v/>
      </c>
      <c r="K916" s="23" t="str">
        <f>IF(IF(ISNA(計算結果!K916),"",計算結果!K916)=0,"",IF(ISNA(計算結果!K916),"",計算結果!K916))</f>
        <v/>
      </c>
      <c r="L916" s="13" t="str">
        <f>IF(IF(ISNA(計算結果!L916),"",計算結果!L916)=0,"",IF(ISNA(計算結果!L916),"",計算結果!L916))</f>
        <v/>
      </c>
      <c r="M916" s="10" t="str">
        <f>IF(IF(ISNA(計算結果!M916),"",計算結果!M916)=0,"",IF(ISNA(計算結果!M916),"",計算結果!M916))</f>
        <v/>
      </c>
      <c r="N916" s="10" t="str">
        <f>IF(IF(ISNA(計算結果!N916),"",計算結果!N916)=0,"",IF(ISNA(計算結果!N916),"",計算結果!N916))</f>
        <v/>
      </c>
      <c r="O916" s="13" t="str">
        <f>IF(IF(ISNA(計算結果!O916),"",計算結果!O916)=0,"",IF(ISNA(計算結果!O916),"",計算結果!O916))</f>
        <v/>
      </c>
      <c r="P916" s="10" t="str">
        <f>IF(IF(ISNA(計算結果!P916),"",計算結果!P916)=0,"",IF(ISNA(計算結果!P916),"",計算結果!P916))</f>
        <v/>
      </c>
      <c r="Q916" s="10" t="str">
        <f>IF(IF(ISNA(計算結果!Q916),"",計算結果!Q916)=0,"",IF(ISNA(計算結果!Q916),"",計算結果!Q916))</f>
        <v/>
      </c>
      <c r="R916" s="14" t="str">
        <f t="shared" si="42"/>
        <v/>
      </c>
      <c r="S916" s="14" t="str">
        <f t="shared" si="43"/>
        <v>◯</v>
      </c>
      <c r="T916" s="14" t="str">
        <f t="shared" si="44"/>
        <v/>
      </c>
    </row>
    <row r="917" spans="1:20" hidden="1" x14ac:dyDescent="0.45">
      <c r="A917" s="10" t="str">
        <f>IF(IF(ISNA(計算結果!A917),"",計算結果!A917)=0,"",IF(ISNA(計算結果!A917),"",計算結果!A917))</f>
        <v/>
      </c>
      <c r="B917" s="10" t="str">
        <f>IF(IF(ISNA(計算結果!B917),"",計算結果!B917)=0,"",IF(ISNA(計算結果!B917),"",計算結果!B917))</f>
        <v/>
      </c>
      <c r="C917" s="10" t="str">
        <f>IF(IF(ISNA(計算結果!C917),"",計算結果!C917)=0,"",IF(ISNA(計算結果!C917),"",計算結果!C917))</f>
        <v/>
      </c>
      <c r="D917" s="10" t="str">
        <f>IF(IF(ISNA(計算結果!D917),"",計算結果!D917)=0,"",IF(ISNA(計算結果!D917),"",計算結果!D917))</f>
        <v>L</v>
      </c>
      <c r="E917" s="10" t="str">
        <f>IF(IF(ISNA(計算結果!E917),"",計算結果!E917)=0,"",IF(ISNA(計算結果!E917),"",計算結果!E917))</f>
        <v/>
      </c>
      <c r="F917" s="10" t="str">
        <f>IF(IF(ISNA(計算結果!F917),"",計算結果!F917)=0,"",IF(ISNA(計算結果!F917),"",計算結果!F917))</f>
        <v/>
      </c>
      <c r="G917" s="10" t="str">
        <f>IF(IF(ISNA(計算結果!G917),"",計算結果!G917)=0,"",IF(ISNA(計算結果!G917),"",計算結果!G917))</f>
        <v/>
      </c>
      <c r="H917" s="13">
        <f>IF(IF(ISNA(計算結果!H917),"",計算結果!H917)=0,"",IF(ISNA(計算結果!H917),"",計算結果!H917))</f>
        <v>-2</v>
      </c>
      <c r="I917" s="12" t="str">
        <f>IF(IF(ISNA(計算結果!I917),"",計算結果!I917)=0,"",IF(ISNA(計算結果!I917),"",計算結果!I917))</f>
        <v/>
      </c>
      <c r="J917" s="12" t="str">
        <f>IF(IF(ISNA(計算結果!J917),"",計算結果!J917)=0,"",IF(ISNA(計算結果!J917),"",計算結果!J917))</f>
        <v/>
      </c>
      <c r="K917" s="23" t="str">
        <f>IF(IF(ISNA(計算結果!K917),"",計算結果!K917)=0,"",IF(ISNA(計算結果!K917),"",計算結果!K917))</f>
        <v/>
      </c>
      <c r="L917" s="13" t="str">
        <f>IF(IF(ISNA(計算結果!L917),"",計算結果!L917)=0,"",IF(ISNA(計算結果!L917),"",計算結果!L917))</f>
        <v/>
      </c>
      <c r="M917" s="10" t="str">
        <f>IF(IF(ISNA(計算結果!M917),"",計算結果!M917)=0,"",IF(ISNA(計算結果!M917),"",計算結果!M917))</f>
        <v/>
      </c>
      <c r="N917" s="10" t="str">
        <f>IF(IF(ISNA(計算結果!N917),"",計算結果!N917)=0,"",IF(ISNA(計算結果!N917),"",計算結果!N917))</f>
        <v/>
      </c>
      <c r="O917" s="13" t="str">
        <f>IF(IF(ISNA(計算結果!O917),"",計算結果!O917)=0,"",IF(ISNA(計算結果!O917),"",計算結果!O917))</f>
        <v/>
      </c>
      <c r="P917" s="10" t="str">
        <f>IF(IF(ISNA(計算結果!P917),"",計算結果!P917)=0,"",IF(ISNA(計算結果!P917),"",計算結果!P917))</f>
        <v/>
      </c>
      <c r="Q917" s="10" t="str">
        <f>IF(IF(ISNA(計算結果!Q917),"",計算結果!Q917)=0,"",IF(ISNA(計算結果!Q917),"",計算結果!Q917))</f>
        <v/>
      </c>
      <c r="R917" s="14" t="str">
        <f t="shared" si="42"/>
        <v/>
      </c>
      <c r="S917" s="14" t="str">
        <f t="shared" si="43"/>
        <v>◯</v>
      </c>
      <c r="T917" s="14" t="str">
        <f t="shared" si="44"/>
        <v/>
      </c>
    </row>
    <row r="918" spans="1:20" hidden="1" x14ac:dyDescent="0.45">
      <c r="A918" s="10" t="str">
        <f>IF(IF(ISNA(計算結果!A918),"",計算結果!A918)=0,"",IF(ISNA(計算結果!A918),"",計算結果!A918))</f>
        <v/>
      </c>
      <c r="B918" s="10" t="str">
        <f>IF(IF(ISNA(計算結果!B918),"",計算結果!B918)=0,"",IF(ISNA(計算結果!B918),"",計算結果!B918))</f>
        <v/>
      </c>
      <c r="C918" s="10" t="str">
        <f>IF(IF(ISNA(計算結果!C918),"",計算結果!C918)=0,"",IF(ISNA(計算結果!C918),"",計算結果!C918))</f>
        <v/>
      </c>
      <c r="D918" s="10" t="str">
        <f>IF(IF(ISNA(計算結果!D918),"",計算結果!D918)=0,"",IF(ISNA(計算結果!D918),"",計算結果!D918))</f>
        <v>L</v>
      </c>
      <c r="E918" s="10" t="str">
        <f>IF(IF(ISNA(計算結果!E918),"",計算結果!E918)=0,"",IF(ISNA(計算結果!E918),"",計算結果!E918))</f>
        <v/>
      </c>
      <c r="F918" s="10" t="str">
        <f>IF(IF(ISNA(計算結果!F918),"",計算結果!F918)=0,"",IF(ISNA(計算結果!F918),"",計算結果!F918))</f>
        <v/>
      </c>
      <c r="G918" s="10" t="str">
        <f>IF(IF(ISNA(計算結果!G918),"",計算結果!G918)=0,"",IF(ISNA(計算結果!G918),"",計算結果!G918))</f>
        <v/>
      </c>
      <c r="H918" s="13">
        <f>IF(IF(ISNA(計算結果!H918),"",計算結果!H918)=0,"",IF(ISNA(計算結果!H918),"",計算結果!H918))</f>
        <v>-2</v>
      </c>
      <c r="I918" s="12" t="str">
        <f>IF(IF(ISNA(計算結果!I918),"",計算結果!I918)=0,"",IF(ISNA(計算結果!I918),"",計算結果!I918))</f>
        <v/>
      </c>
      <c r="J918" s="12" t="str">
        <f>IF(IF(ISNA(計算結果!J918),"",計算結果!J918)=0,"",IF(ISNA(計算結果!J918),"",計算結果!J918))</f>
        <v/>
      </c>
      <c r="K918" s="23" t="str">
        <f>IF(IF(ISNA(計算結果!K918),"",計算結果!K918)=0,"",IF(ISNA(計算結果!K918),"",計算結果!K918))</f>
        <v/>
      </c>
      <c r="L918" s="13" t="str">
        <f>IF(IF(ISNA(計算結果!L918),"",計算結果!L918)=0,"",IF(ISNA(計算結果!L918),"",計算結果!L918))</f>
        <v/>
      </c>
      <c r="M918" s="10" t="str">
        <f>IF(IF(ISNA(計算結果!M918),"",計算結果!M918)=0,"",IF(ISNA(計算結果!M918),"",計算結果!M918))</f>
        <v/>
      </c>
      <c r="N918" s="10" t="str">
        <f>IF(IF(ISNA(計算結果!N918),"",計算結果!N918)=0,"",IF(ISNA(計算結果!N918),"",計算結果!N918))</f>
        <v/>
      </c>
      <c r="O918" s="13" t="str">
        <f>IF(IF(ISNA(計算結果!O918),"",計算結果!O918)=0,"",IF(ISNA(計算結果!O918),"",計算結果!O918))</f>
        <v/>
      </c>
      <c r="P918" s="10" t="str">
        <f>IF(IF(ISNA(計算結果!P918),"",計算結果!P918)=0,"",IF(ISNA(計算結果!P918),"",計算結果!P918))</f>
        <v/>
      </c>
      <c r="Q918" s="10" t="str">
        <f>IF(IF(ISNA(計算結果!Q918),"",計算結果!Q918)=0,"",IF(ISNA(計算結果!Q918),"",計算結果!Q918))</f>
        <v/>
      </c>
      <c r="R918" s="14" t="str">
        <f t="shared" si="42"/>
        <v/>
      </c>
      <c r="S918" s="14" t="str">
        <f t="shared" si="43"/>
        <v>◯</v>
      </c>
      <c r="T918" s="14" t="str">
        <f t="shared" si="44"/>
        <v/>
      </c>
    </row>
    <row r="919" spans="1:20" hidden="1" x14ac:dyDescent="0.45">
      <c r="A919" s="10" t="str">
        <f>IF(IF(ISNA(計算結果!A919),"",計算結果!A919)=0,"",IF(ISNA(計算結果!A919),"",計算結果!A919))</f>
        <v/>
      </c>
      <c r="B919" s="10" t="str">
        <f>IF(IF(ISNA(計算結果!B919),"",計算結果!B919)=0,"",IF(ISNA(計算結果!B919),"",計算結果!B919))</f>
        <v/>
      </c>
      <c r="C919" s="10" t="str">
        <f>IF(IF(ISNA(計算結果!C919),"",計算結果!C919)=0,"",IF(ISNA(計算結果!C919),"",計算結果!C919))</f>
        <v/>
      </c>
      <c r="D919" s="10" t="str">
        <f>IF(IF(ISNA(計算結果!D919),"",計算結果!D919)=0,"",IF(ISNA(計算結果!D919),"",計算結果!D919))</f>
        <v>L</v>
      </c>
      <c r="E919" s="10" t="str">
        <f>IF(IF(ISNA(計算結果!E919),"",計算結果!E919)=0,"",IF(ISNA(計算結果!E919),"",計算結果!E919))</f>
        <v/>
      </c>
      <c r="F919" s="10" t="str">
        <f>IF(IF(ISNA(計算結果!F919),"",計算結果!F919)=0,"",IF(ISNA(計算結果!F919),"",計算結果!F919))</f>
        <v/>
      </c>
      <c r="G919" s="10" t="str">
        <f>IF(IF(ISNA(計算結果!G919),"",計算結果!G919)=0,"",IF(ISNA(計算結果!G919),"",計算結果!G919))</f>
        <v/>
      </c>
      <c r="H919" s="13">
        <f>IF(IF(ISNA(計算結果!H919),"",計算結果!H919)=0,"",IF(ISNA(計算結果!H919),"",計算結果!H919))</f>
        <v>-2</v>
      </c>
      <c r="I919" s="12" t="str">
        <f>IF(IF(ISNA(計算結果!I919),"",計算結果!I919)=0,"",IF(ISNA(計算結果!I919),"",計算結果!I919))</f>
        <v/>
      </c>
      <c r="J919" s="12" t="str">
        <f>IF(IF(ISNA(計算結果!J919),"",計算結果!J919)=0,"",IF(ISNA(計算結果!J919),"",計算結果!J919))</f>
        <v/>
      </c>
      <c r="K919" s="23" t="str">
        <f>IF(IF(ISNA(計算結果!K919),"",計算結果!K919)=0,"",IF(ISNA(計算結果!K919),"",計算結果!K919))</f>
        <v/>
      </c>
      <c r="L919" s="13" t="str">
        <f>IF(IF(ISNA(計算結果!L919),"",計算結果!L919)=0,"",IF(ISNA(計算結果!L919),"",計算結果!L919))</f>
        <v/>
      </c>
      <c r="M919" s="10" t="str">
        <f>IF(IF(ISNA(計算結果!M919),"",計算結果!M919)=0,"",IF(ISNA(計算結果!M919),"",計算結果!M919))</f>
        <v/>
      </c>
      <c r="N919" s="10" t="str">
        <f>IF(IF(ISNA(計算結果!N919),"",計算結果!N919)=0,"",IF(ISNA(計算結果!N919),"",計算結果!N919))</f>
        <v/>
      </c>
      <c r="O919" s="13" t="str">
        <f>IF(IF(ISNA(計算結果!O919),"",計算結果!O919)=0,"",IF(ISNA(計算結果!O919),"",計算結果!O919))</f>
        <v/>
      </c>
      <c r="P919" s="10" t="str">
        <f>IF(IF(ISNA(計算結果!P919),"",計算結果!P919)=0,"",IF(ISNA(計算結果!P919),"",計算結果!P919))</f>
        <v/>
      </c>
      <c r="Q919" s="10" t="str">
        <f>IF(IF(ISNA(計算結果!Q919),"",計算結果!Q919)=0,"",IF(ISNA(計算結果!Q919),"",計算結果!Q919))</f>
        <v/>
      </c>
      <c r="R919" s="14" t="str">
        <f t="shared" si="42"/>
        <v/>
      </c>
      <c r="S919" s="14" t="str">
        <f t="shared" si="43"/>
        <v>◯</v>
      </c>
      <c r="T919" s="14" t="str">
        <f t="shared" si="44"/>
        <v/>
      </c>
    </row>
    <row r="920" spans="1:20" hidden="1" x14ac:dyDescent="0.45">
      <c r="A920" s="10" t="str">
        <f>IF(IF(ISNA(計算結果!A920),"",計算結果!A920)=0,"",IF(ISNA(計算結果!A920),"",計算結果!A920))</f>
        <v/>
      </c>
      <c r="B920" s="10" t="str">
        <f>IF(IF(ISNA(計算結果!B920),"",計算結果!B920)=0,"",IF(ISNA(計算結果!B920),"",計算結果!B920))</f>
        <v/>
      </c>
      <c r="C920" s="10" t="str">
        <f>IF(IF(ISNA(計算結果!C920),"",計算結果!C920)=0,"",IF(ISNA(計算結果!C920),"",計算結果!C920))</f>
        <v/>
      </c>
      <c r="D920" s="10" t="str">
        <f>IF(IF(ISNA(計算結果!D920),"",計算結果!D920)=0,"",IF(ISNA(計算結果!D920),"",計算結果!D920))</f>
        <v>L</v>
      </c>
      <c r="E920" s="10" t="str">
        <f>IF(IF(ISNA(計算結果!E920),"",計算結果!E920)=0,"",IF(ISNA(計算結果!E920),"",計算結果!E920))</f>
        <v/>
      </c>
      <c r="F920" s="10" t="str">
        <f>IF(IF(ISNA(計算結果!F920),"",計算結果!F920)=0,"",IF(ISNA(計算結果!F920),"",計算結果!F920))</f>
        <v/>
      </c>
      <c r="G920" s="10" t="str">
        <f>IF(IF(ISNA(計算結果!G920),"",計算結果!G920)=0,"",IF(ISNA(計算結果!G920),"",計算結果!G920))</f>
        <v/>
      </c>
      <c r="H920" s="13">
        <f>IF(IF(ISNA(計算結果!H920),"",計算結果!H920)=0,"",IF(ISNA(計算結果!H920),"",計算結果!H920))</f>
        <v>-2</v>
      </c>
      <c r="I920" s="12" t="str">
        <f>IF(IF(ISNA(計算結果!I920),"",計算結果!I920)=0,"",IF(ISNA(計算結果!I920),"",計算結果!I920))</f>
        <v/>
      </c>
      <c r="J920" s="12" t="str">
        <f>IF(IF(ISNA(計算結果!J920),"",計算結果!J920)=0,"",IF(ISNA(計算結果!J920),"",計算結果!J920))</f>
        <v/>
      </c>
      <c r="K920" s="23" t="str">
        <f>IF(IF(ISNA(計算結果!K920),"",計算結果!K920)=0,"",IF(ISNA(計算結果!K920),"",計算結果!K920))</f>
        <v/>
      </c>
      <c r="L920" s="13" t="str">
        <f>IF(IF(ISNA(計算結果!L920),"",計算結果!L920)=0,"",IF(ISNA(計算結果!L920),"",計算結果!L920))</f>
        <v/>
      </c>
      <c r="M920" s="10" t="str">
        <f>IF(IF(ISNA(計算結果!M920),"",計算結果!M920)=0,"",IF(ISNA(計算結果!M920),"",計算結果!M920))</f>
        <v/>
      </c>
      <c r="N920" s="10" t="str">
        <f>IF(IF(ISNA(計算結果!N920),"",計算結果!N920)=0,"",IF(ISNA(計算結果!N920),"",計算結果!N920))</f>
        <v/>
      </c>
      <c r="O920" s="13" t="str">
        <f>IF(IF(ISNA(計算結果!O920),"",計算結果!O920)=0,"",IF(ISNA(計算結果!O920),"",計算結果!O920))</f>
        <v/>
      </c>
      <c r="P920" s="10" t="str">
        <f>IF(IF(ISNA(計算結果!P920),"",計算結果!P920)=0,"",IF(ISNA(計算結果!P920),"",計算結果!P920))</f>
        <v/>
      </c>
      <c r="Q920" s="10" t="str">
        <f>IF(IF(ISNA(計算結果!Q920),"",計算結果!Q920)=0,"",IF(ISNA(計算結果!Q920),"",計算結果!Q920))</f>
        <v/>
      </c>
      <c r="R920" s="14" t="str">
        <f t="shared" si="42"/>
        <v/>
      </c>
      <c r="S920" s="14" t="str">
        <f t="shared" si="43"/>
        <v>◯</v>
      </c>
      <c r="T920" s="14" t="str">
        <f t="shared" si="44"/>
        <v/>
      </c>
    </row>
    <row r="921" spans="1:20" hidden="1" x14ac:dyDescent="0.45">
      <c r="A921" s="10" t="str">
        <f>IF(IF(ISNA(計算結果!A921),"",計算結果!A921)=0,"",IF(ISNA(計算結果!A921),"",計算結果!A921))</f>
        <v/>
      </c>
      <c r="B921" s="10" t="str">
        <f>IF(IF(ISNA(計算結果!B921),"",計算結果!B921)=0,"",IF(ISNA(計算結果!B921),"",計算結果!B921))</f>
        <v/>
      </c>
      <c r="C921" s="10" t="str">
        <f>IF(IF(ISNA(計算結果!C921),"",計算結果!C921)=0,"",IF(ISNA(計算結果!C921),"",計算結果!C921))</f>
        <v/>
      </c>
      <c r="D921" s="10" t="str">
        <f>IF(IF(ISNA(計算結果!D921),"",計算結果!D921)=0,"",IF(ISNA(計算結果!D921),"",計算結果!D921))</f>
        <v>L</v>
      </c>
      <c r="E921" s="10" t="str">
        <f>IF(IF(ISNA(計算結果!E921),"",計算結果!E921)=0,"",IF(ISNA(計算結果!E921),"",計算結果!E921))</f>
        <v/>
      </c>
      <c r="F921" s="10" t="str">
        <f>IF(IF(ISNA(計算結果!F921),"",計算結果!F921)=0,"",IF(ISNA(計算結果!F921),"",計算結果!F921))</f>
        <v/>
      </c>
      <c r="G921" s="10" t="str">
        <f>IF(IF(ISNA(計算結果!G921),"",計算結果!G921)=0,"",IF(ISNA(計算結果!G921),"",計算結果!G921))</f>
        <v/>
      </c>
      <c r="H921" s="13">
        <f>IF(IF(ISNA(計算結果!H921),"",計算結果!H921)=0,"",IF(ISNA(計算結果!H921),"",計算結果!H921))</f>
        <v>-2</v>
      </c>
      <c r="I921" s="12" t="str">
        <f>IF(IF(ISNA(計算結果!I921),"",計算結果!I921)=0,"",IF(ISNA(計算結果!I921),"",計算結果!I921))</f>
        <v/>
      </c>
      <c r="J921" s="12" t="str">
        <f>IF(IF(ISNA(計算結果!J921),"",計算結果!J921)=0,"",IF(ISNA(計算結果!J921),"",計算結果!J921))</f>
        <v/>
      </c>
      <c r="K921" s="23" t="str">
        <f>IF(IF(ISNA(計算結果!K921),"",計算結果!K921)=0,"",IF(ISNA(計算結果!K921),"",計算結果!K921))</f>
        <v/>
      </c>
      <c r="L921" s="13" t="str">
        <f>IF(IF(ISNA(計算結果!L921),"",計算結果!L921)=0,"",IF(ISNA(計算結果!L921),"",計算結果!L921))</f>
        <v/>
      </c>
      <c r="M921" s="10" t="str">
        <f>IF(IF(ISNA(計算結果!M921),"",計算結果!M921)=0,"",IF(ISNA(計算結果!M921),"",計算結果!M921))</f>
        <v/>
      </c>
      <c r="N921" s="10" t="str">
        <f>IF(IF(ISNA(計算結果!N921),"",計算結果!N921)=0,"",IF(ISNA(計算結果!N921),"",計算結果!N921))</f>
        <v/>
      </c>
      <c r="O921" s="13" t="str">
        <f>IF(IF(ISNA(計算結果!O921),"",計算結果!O921)=0,"",IF(ISNA(計算結果!O921),"",計算結果!O921))</f>
        <v/>
      </c>
      <c r="P921" s="10" t="str">
        <f>IF(IF(ISNA(計算結果!P921),"",計算結果!P921)=0,"",IF(ISNA(計算結果!P921),"",計算結果!P921))</f>
        <v/>
      </c>
      <c r="Q921" s="10" t="str">
        <f>IF(IF(ISNA(計算結果!Q921),"",計算結果!Q921)=0,"",IF(ISNA(計算結果!Q921),"",計算結果!Q921))</f>
        <v/>
      </c>
      <c r="R921" s="14" t="str">
        <f t="shared" si="42"/>
        <v/>
      </c>
      <c r="S921" s="14" t="str">
        <f t="shared" si="43"/>
        <v>◯</v>
      </c>
      <c r="T921" s="14" t="str">
        <f t="shared" si="44"/>
        <v/>
      </c>
    </row>
    <row r="922" spans="1:20" hidden="1" x14ac:dyDescent="0.45">
      <c r="A922" s="10" t="str">
        <f>IF(IF(ISNA(計算結果!A922),"",計算結果!A922)=0,"",IF(ISNA(計算結果!A922),"",計算結果!A922))</f>
        <v/>
      </c>
      <c r="B922" s="10" t="str">
        <f>IF(IF(ISNA(計算結果!B922),"",計算結果!B922)=0,"",IF(ISNA(計算結果!B922),"",計算結果!B922))</f>
        <v/>
      </c>
      <c r="C922" s="10" t="str">
        <f>IF(IF(ISNA(計算結果!C922),"",計算結果!C922)=0,"",IF(ISNA(計算結果!C922),"",計算結果!C922))</f>
        <v/>
      </c>
      <c r="D922" s="10" t="str">
        <f>IF(IF(ISNA(計算結果!D922),"",計算結果!D922)=0,"",IF(ISNA(計算結果!D922),"",計算結果!D922))</f>
        <v>L</v>
      </c>
      <c r="E922" s="10" t="str">
        <f>IF(IF(ISNA(計算結果!E922),"",計算結果!E922)=0,"",IF(ISNA(計算結果!E922),"",計算結果!E922))</f>
        <v/>
      </c>
      <c r="F922" s="10" t="str">
        <f>IF(IF(ISNA(計算結果!F922),"",計算結果!F922)=0,"",IF(ISNA(計算結果!F922),"",計算結果!F922))</f>
        <v/>
      </c>
      <c r="G922" s="10" t="str">
        <f>IF(IF(ISNA(計算結果!G922),"",計算結果!G922)=0,"",IF(ISNA(計算結果!G922),"",計算結果!G922))</f>
        <v/>
      </c>
      <c r="H922" s="13">
        <f>IF(IF(ISNA(計算結果!H922),"",計算結果!H922)=0,"",IF(ISNA(計算結果!H922),"",計算結果!H922))</f>
        <v>-2</v>
      </c>
      <c r="I922" s="12" t="str">
        <f>IF(IF(ISNA(計算結果!I922),"",計算結果!I922)=0,"",IF(ISNA(計算結果!I922),"",計算結果!I922))</f>
        <v/>
      </c>
      <c r="J922" s="12" t="str">
        <f>IF(IF(ISNA(計算結果!J922),"",計算結果!J922)=0,"",IF(ISNA(計算結果!J922),"",計算結果!J922))</f>
        <v/>
      </c>
      <c r="K922" s="23" t="str">
        <f>IF(IF(ISNA(計算結果!K922),"",計算結果!K922)=0,"",IF(ISNA(計算結果!K922),"",計算結果!K922))</f>
        <v/>
      </c>
      <c r="L922" s="13" t="str">
        <f>IF(IF(ISNA(計算結果!L922),"",計算結果!L922)=0,"",IF(ISNA(計算結果!L922),"",計算結果!L922))</f>
        <v/>
      </c>
      <c r="M922" s="10" t="str">
        <f>IF(IF(ISNA(計算結果!M922),"",計算結果!M922)=0,"",IF(ISNA(計算結果!M922),"",計算結果!M922))</f>
        <v/>
      </c>
      <c r="N922" s="10" t="str">
        <f>IF(IF(ISNA(計算結果!N922),"",計算結果!N922)=0,"",IF(ISNA(計算結果!N922),"",計算結果!N922))</f>
        <v/>
      </c>
      <c r="O922" s="13" t="str">
        <f>IF(IF(ISNA(計算結果!O922),"",計算結果!O922)=0,"",IF(ISNA(計算結果!O922),"",計算結果!O922))</f>
        <v/>
      </c>
      <c r="P922" s="10" t="str">
        <f>IF(IF(ISNA(計算結果!P922),"",計算結果!P922)=0,"",IF(ISNA(計算結果!P922),"",計算結果!P922))</f>
        <v/>
      </c>
      <c r="Q922" s="10" t="str">
        <f>IF(IF(ISNA(計算結果!Q922),"",計算結果!Q922)=0,"",IF(ISNA(計算結果!Q922),"",計算結果!Q922))</f>
        <v/>
      </c>
      <c r="R922" s="14" t="str">
        <f t="shared" si="42"/>
        <v/>
      </c>
      <c r="S922" s="14" t="str">
        <f t="shared" si="43"/>
        <v>◯</v>
      </c>
      <c r="T922" s="14" t="str">
        <f t="shared" si="44"/>
        <v/>
      </c>
    </row>
    <row r="923" spans="1:20" hidden="1" x14ac:dyDescent="0.45">
      <c r="A923" s="10" t="str">
        <f>IF(IF(ISNA(計算結果!A923),"",計算結果!A923)=0,"",IF(ISNA(計算結果!A923),"",計算結果!A923))</f>
        <v/>
      </c>
      <c r="B923" s="10" t="str">
        <f>IF(IF(ISNA(計算結果!B923),"",計算結果!B923)=0,"",IF(ISNA(計算結果!B923),"",計算結果!B923))</f>
        <v/>
      </c>
      <c r="C923" s="10" t="str">
        <f>IF(IF(ISNA(計算結果!C923),"",計算結果!C923)=0,"",IF(ISNA(計算結果!C923),"",計算結果!C923))</f>
        <v/>
      </c>
      <c r="D923" s="10" t="str">
        <f>IF(IF(ISNA(計算結果!D923),"",計算結果!D923)=0,"",IF(ISNA(計算結果!D923),"",計算結果!D923))</f>
        <v>L</v>
      </c>
      <c r="E923" s="10" t="str">
        <f>IF(IF(ISNA(計算結果!E923),"",計算結果!E923)=0,"",IF(ISNA(計算結果!E923),"",計算結果!E923))</f>
        <v/>
      </c>
      <c r="F923" s="10" t="str">
        <f>IF(IF(ISNA(計算結果!F923),"",計算結果!F923)=0,"",IF(ISNA(計算結果!F923),"",計算結果!F923))</f>
        <v/>
      </c>
      <c r="G923" s="10" t="str">
        <f>IF(IF(ISNA(計算結果!G923),"",計算結果!G923)=0,"",IF(ISNA(計算結果!G923),"",計算結果!G923))</f>
        <v/>
      </c>
      <c r="H923" s="13">
        <f>IF(IF(ISNA(計算結果!H923),"",計算結果!H923)=0,"",IF(ISNA(計算結果!H923),"",計算結果!H923))</f>
        <v>-2</v>
      </c>
      <c r="I923" s="12" t="str">
        <f>IF(IF(ISNA(計算結果!I923),"",計算結果!I923)=0,"",IF(ISNA(計算結果!I923),"",計算結果!I923))</f>
        <v/>
      </c>
      <c r="J923" s="12" t="str">
        <f>IF(IF(ISNA(計算結果!J923),"",計算結果!J923)=0,"",IF(ISNA(計算結果!J923),"",計算結果!J923))</f>
        <v/>
      </c>
      <c r="K923" s="23" t="str">
        <f>IF(IF(ISNA(計算結果!K923),"",計算結果!K923)=0,"",IF(ISNA(計算結果!K923),"",計算結果!K923))</f>
        <v/>
      </c>
      <c r="L923" s="13" t="str">
        <f>IF(IF(ISNA(計算結果!L923),"",計算結果!L923)=0,"",IF(ISNA(計算結果!L923),"",計算結果!L923))</f>
        <v/>
      </c>
      <c r="M923" s="10" t="str">
        <f>IF(IF(ISNA(計算結果!M923),"",計算結果!M923)=0,"",IF(ISNA(計算結果!M923),"",計算結果!M923))</f>
        <v/>
      </c>
      <c r="N923" s="10" t="str">
        <f>IF(IF(ISNA(計算結果!N923),"",計算結果!N923)=0,"",IF(ISNA(計算結果!N923),"",計算結果!N923))</f>
        <v/>
      </c>
      <c r="O923" s="13" t="str">
        <f>IF(IF(ISNA(計算結果!O923),"",計算結果!O923)=0,"",IF(ISNA(計算結果!O923),"",計算結果!O923))</f>
        <v/>
      </c>
      <c r="P923" s="10" t="str">
        <f>IF(IF(ISNA(計算結果!P923),"",計算結果!P923)=0,"",IF(ISNA(計算結果!P923),"",計算結果!P923))</f>
        <v/>
      </c>
      <c r="Q923" s="10" t="str">
        <f>IF(IF(ISNA(計算結果!Q923),"",計算結果!Q923)=0,"",IF(ISNA(計算結果!Q923),"",計算結果!Q923))</f>
        <v/>
      </c>
      <c r="R923" s="14" t="str">
        <f t="shared" si="42"/>
        <v/>
      </c>
      <c r="S923" s="14" t="str">
        <f t="shared" si="43"/>
        <v>◯</v>
      </c>
      <c r="T923" s="14" t="str">
        <f t="shared" si="44"/>
        <v/>
      </c>
    </row>
    <row r="924" spans="1:20" hidden="1" x14ac:dyDescent="0.45">
      <c r="A924" s="10" t="str">
        <f>IF(IF(ISNA(計算結果!A924),"",計算結果!A924)=0,"",IF(ISNA(計算結果!A924),"",計算結果!A924))</f>
        <v/>
      </c>
      <c r="B924" s="10" t="str">
        <f>IF(IF(ISNA(計算結果!B924),"",計算結果!B924)=0,"",IF(ISNA(計算結果!B924),"",計算結果!B924))</f>
        <v/>
      </c>
      <c r="C924" s="10" t="str">
        <f>IF(IF(ISNA(計算結果!C924),"",計算結果!C924)=0,"",IF(ISNA(計算結果!C924),"",計算結果!C924))</f>
        <v/>
      </c>
      <c r="D924" s="10" t="str">
        <f>IF(IF(ISNA(計算結果!D924),"",計算結果!D924)=0,"",IF(ISNA(計算結果!D924),"",計算結果!D924))</f>
        <v>L</v>
      </c>
      <c r="E924" s="10" t="str">
        <f>IF(IF(ISNA(計算結果!E924),"",計算結果!E924)=0,"",IF(ISNA(計算結果!E924),"",計算結果!E924))</f>
        <v/>
      </c>
      <c r="F924" s="10" t="str">
        <f>IF(IF(ISNA(計算結果!F924),"",計算結果!F924)=0,"",IF(ISNA(計算結果!F924),"",計算結果!F924))</f>
        <v/>
      </c>
      <c r="G924" s="10" t="str">
        <f>IF(IF(ISNA(計算結果!G924),"",計算結果!G924)=0,"",IF(ISNA(計算結果!G924),"",計算結果!G924))</f>
        <v/>
      </c>
      <c r="H924" s="13">
        <f>IF(IF(ISNA(計算結果!H924),"",計算結果!H924)=0,"",IF(ISNA(計算結果!H924),"",計算結果!H924))</f>
        <v>-2</v>
      </c>
      <c r="I924" s="12" t="str">
        <f>IF(IF(ISNA(計算結果!I924),"",計算結果!I924)=0,"",IF(ISNA(計算結果!I924),"",計算結果!I924))</f>
        <v/>
      </c>
      <c r="J924" s="12" t="str">
        <f>IF(IF(ISNA(計算結果!J924),"",計算結果!J924)=0,"",IF(ISNA(計算結果!J924),"",計算結果!J924))</f>
        <v/>
      </c>
      <c r="K924" s="23" t="str">
        <f>IF(IF(ISNA(計算結果!K924),"",計算結果!K924)=0,"",IF(ISNA(計算結果!K924),"",計算結果!K924))</f>
        <v/>
      </c>
      <c r="L924" s="13" t="str">
        <f>IF(IF(ISNA(計算結果!L924),"",計算結果!L924)=0,"",IF(ISNA(計算結果!L924),"",計算結果!L924))</f>
        <v/>
      </c>
      <c r="M924" s="10" t="str">
        <f>IF(IF(ISNA(計算結果!M924),"",計算結果!M924)=0,"",IF(ISNA(計算結果!M924),"",計算結果!M924))</f>
        <v/>
      </c>
      <c r="N924" s="10" t="str">
        <f>IF(IF(ISNA(計算結果!N924),"",計算結果!N924)=0,"",IF(ISNA(計算結果!N924),"",計算結果!N924))</f>
        <v/>
      </c>
      <c r="O924" s="13" t="str">
        <f>IF(IF(ISNA(計算結果!O924),"",計算結果!O924)=0,"",IF(ISNA(計算結果!O924),"",計算結果!O924))</f>
        <v/>
      </c>
      <c r="P924" s="10" t="str">
        <f>IF(IF(ISNA(計算結果!P924),"",計算結果!P924)=0,"",IF(ISNA(計算結果!P924),"",計算結果!P924))</f>
        <v/>
      </c>
      <c r="Q924" s="10" t="str">
        <f>IF(IF(ISNA(計算結果!Q924),"",計算結果!Q924)=0,"",IF(ISNA(計算結果!Q924),"",計算結果!Q924))</f>
        <v/>
      </c>
      <c r="R924" s="14" t="str">
        <f t="shared" si="42"/>
        <v/>
      </c>
      <c r="S924" s="14" t="str">
        <f t="shared" si="43"/>
        <v>◯</v>
      </c>
      <c r="T924" s="14" t="str">
        <f t="shared" si="44"/>
        <v/>
      </c>
    </row>
    <row r="925" spans="1:20" hidden="1" x14ac:dyDescent="0.45">
      <c r="A925" s="10" t="str">
        <f>IF(IF(ISNA(計算結果!A925),"",計算結果!A925)=0,"",IF(ISNA(計算結果!A925),"",計算結果!A925))</f>
        <v/>
      </c>
      <c r="B925" s="10" t="str">
        <f>IF(IF(ISNA(計算結果!B925),"",計算結果!B925)=0,"",IF(ISNA(計算結果!B925),"",計算結果!B925))</f>
        <v/>
      </c>
      <c r="C925" s="10" t="str">
        <f>IF(IF(ISNA(計算結果!C925),"",計算結果!C925)=0,"",IF(ISNA(計算結果!C925),"",計算結果!C925))</f>
        <v/>
      </c>
      <c r="D925" s="10" t="str">
        <f>IF(IF(ISNA(計算結果!D925),"",計算結果!D925)=0,"",IF(ISNA(計算結果!D925),"",計算結果!D925))</f>
        <v>L</v>
      </c>
      <c r="E925" s="10" t="str">
        <f>IF(IF(ISNA(計算結果!E925),"",計算結果!E925)=0,"",IF(ISNA(計算結果!E925),"",計算結果!E925))</f>
        <v/>
      </c>
      <c r="F925" s="10" t="str">
        <f>IF(IF(ISNA(計算結果!F925),"",計算結果!F925)=0,"",IF(ISNA(計算結果!F925),"",計算結果!F925))</f>
        <v/>
      </c>
      <c r="G925" s="10" t="str">
        <f>IF(IF(ISNA(計算結果!G925),"",計算結果!G925)=0,"",IF(ISNA(計算結果!G925),"",計算結果!G925))</f>
        <v/>
      </c>
      <c r="H925" s="13">
        <f>IF(IF(ISNA(計算結果!H925),"",計算結果!H925)=0,"",IF(ISNA(計算結果!H925),"",計算結果!H925))</f>
        <v>-2</v>
      </c>
      <c r="I925" s="12" t="str">
        <f>IF(IF(ISNA(計算結果!I925),"",計算結果!I925)=0,"",IF(ISNA(計算結果!I925),"",計算結果!I925))</f>
        <v/>
      </c>
      <c r="J925" s="12" t="str">
        <f>IF(IF(ISNA(計算結果!J925),"",計算結果!J925)=0,"",IF(ISNA(計算結果!J925),"",計算結果!J925))</f>
        <v/>
      </c>
      <c r="K925" s="23" t="str">
        <f>IF(IF(ISNA(計算結果!K925),"",計算結果!K925)=0,"",IF(ISNA(計算結果!K925),"",計算結果!K925))</f>
        <v/>
      </c>
      <c r="L925" s="13" t="str">
        <f>IF(IF(ISNA(計算結果!L925),"",計算結果!L925)=0,"",IF(ISNA(計算結果!L925),"",計算結果!L925))</f>
        <v/>
      </c>
      <c r="M925" s="10" t="str">
        <f>IF(IF(ISNA(計算結果!M925),"",計算結果!M925)=0,"",IF(ISNA(計算結果!M925),"",計算結果!M925))</f>
        <v/>
      </c>
      <c r="N925" s="10" t="str">
        <f>IF(IF(ISNA(計算結果!N925),"",計算結果!N925)=0,"",IF(ISNA(計算結果!N925),"",計算結果!N925))</f>
        <v/>
      </c>
      <c r="O925" s="13" t="str">
        <f>IF(IF(ISNA(計算結果!O925),"",計算結果!O925)=0,"",IF(ISNA(計算結果!O925),"",計算結果!O925))</f>
        <v/>
      </c>
      <c r="P925" s="10" t="str">
        <f>IF(IF(ISNA(計算結果!P925),"",計算結果!P925)=0,"",IF(ISNA(計算結果!P925),"",計算結果!P925))</f>
        <v/>
      </c>
      <c r="Q925" s="10" t="str">
        <f>IF(IF(ISNA(計算結果!Q925),"",計算結果!Q925)=0,"",IF(ISNA(計算結果!Q925),"",計算結果!Q925))</f>
        <v/>
      </c>
      <c r="R925" s="14" t="str">
        <f t="shared" si="42"/>
        <v/>
      </c>
      <c r="S925" s="14" t="str">
        <f t="shared" si="43"/>
        <v>◯</v>
      </c>
      <c r="T925" s="14" t="str">
        <f t="shared" si="44"/>
        <v/>
      </c>
    </row>
    <row r="926" spans="1:20" hidden="1" x14ac:dyDescent="0.45">
      <c r="A926" s="10" t="str">
        <f>IF(IF(ISNA(計算結果!A926),"",計算結果!A926)=0,"",IF(ISNA(計算結果!A926),"",計算結果!A926))</f>
        <v/>
      </c>
      <c r="B926" s="10" t="str">
        <f>IF(IF(ISNA(計算結果!B926),"",計算結果!B926)=0,"",IF(ISNA(計算結果!B926),"",計算結果!B926))</f>
        <v/>
      </c>
      <c r="C926" s="10" t="str">
        <f>IF(IF(ISNA(計算結果!C926),"",計算結果!C926)=0,"",IF(ISNA(計算結果!C926),"",計算結果!C926))</f>
        <v/>
      </c>
      <c r="D926" s="10" t="str">
        <f>IF(IF(ISNA(計算結果!D926),"",計算結果!D926)=0,"",IF(ISNA(計算結果!D926),"",計算結果!D926))</f>
        <v>L</v>
      </c>
      <c r="E926" s="10" t="str">
        <f>IF(IF(ISNA(計算結果!E926),"",計算結果!E926)=0,"",IF(ISNA(計算結果!E926),"",計算結果!E926))</f>
        <v/>
      </c>
      <c r="F926" s="10" t="str">
        <f>IF(IF(ISNA(計算結果!F926),"",計算結果!F926)=0,"",IF(ISNA(計算結果!F926),"",計算結果!F926))</f>
        <v/>
      </c>
      <c r="G926" s="10" t="str">
        <f>IF(IF(ISNA(計算結果!G926),"",計算結果!G926)=0,"",IF(ISNA(計算結果!G926),"",計算結果!G926))</f>
        <v/>
      </c>
      <c r="H926" s="13">
        <f>IF(IF(ISNA(計算結果!H926),"",計算結果!H926)=0,"",IF(ISNA(計算結果!H926),"",計算結果!H926))</f>
        <v>-2</v>
      </c>
      <c r="I926" s="12" t="str">
        <f>IF(IF(ISNA(計算結果!I926),"",計算結果!I926)=0,"",IF(ISNA(計算結果!I926),"",計算結果!I926))</f>
        <v/>
      </c>
      <c r="J926" s="12" t="str">
        <f>IF(IF(ISNA(計算結果!J926),"",計算結果!J926)=0,"",IF(ISNA(計算結果!J926),"",計算結果!J926))</f>
        <v/>
      </c>
      <c r="K926" s="23" t="str">
        <f>IF(IF(ISNA(計算結果!K926),"",計算結果!K926)=0,"",IF(ISNA(計算結果!K926),"",計算結果!K926))</f>
        <v/>
      </c>
      <c r="L926" s="13" t="str">
        <f>IF(IF(ISNA(計算結果!L926),"",計算結果!L926)=0,"",IF(ISNA(計算結果!L926),"",計算結果!L926))</f>
        <v/>
      </c>
      <c r="M926" s="10" t="str">
        <f>IF(IF(ISNA(計算結果!M926),"",計算結果!M926)=0,"",IF(ISNA(計算結果!M926),"",計算結果!M926))</f>
        <v/>
      </c>
      <c r="N926" s="10" t="str">
        <f>IF(IF(ISNA(計算結果!N926),"",計算結果!N926)=0,"",IF(ISNA(計算結果!N926),"",計算結果!N926))</f>
        <v/>
      </c>
      <c r="O926" s="13" t="str">
        <f>IF(IF(ISNA(計算結果!O926),"",計算結果!O926)=0,"",IF(ISNA(計算結果!O926),"",計算結果!O926))</f>
        <v/>
      </c>
      <c r="P926" s="10" t="str">
        <f>IF(IF(ISNA(計算結果!P926),"",計算結果!P926)=0,"",IF(ISNA(計算結果!P926),"",計算結果!P926))</f>
        <v/>
      </c>
      <c r="Q926" s="10" t="str">
        <f>IF(IF(ISNA(計算結果!Q926),"",計算結果!Q926)=0,"",IF(ISNA(計算結果!Q926),"",計算結果!Q926))</f>
        <v/>
      </c>
      <c r="R926" s="14" t="str">
        <f t="shared" si="42"/>
        <v/>
      </c>
      <c r="S926" s="14" t="str">
        <f t="shared" si="43"/>
        <v>◯</v>
      </c>
      <c r="T926" s="14" t="str">
        <f t="shared" si="44"/>
        <v/>
      </c>
    </row>
    <row r="927" spans="1:20" hidden="1" x14ac:dyDescent="0.45">
      <c r="A927" s="10" t="str">
        <f>IF(IF(ISNA(計算結果!A927),"",計算結果!A927)=0,"",IF(ISNA(計算結果!A927),"",計算結果!A927))</f>
        <v/>
      </c>
      <c r="B927" s="10" t="str">
        <f>IF(IF(ISNA(計算結果!B927),"",計算結果!B927)=0,"",IF(ISNA(計算結果!B927),"",計算結果!B927))</f>
        <v/>
      </c>
      <c r="C927" s="10" t="str">
        <f>IF(IF(ISNA(計算結果!C927),"",計算結果!C927)=0,"",IF(ISNA(計算結果!C927),"",計算結果!C927))</f>
        <v/>
      </c>
      <c r="D927" s="10" t="str">
        <f>IF(IF(ISNA(計算結果!D927),"",計算結果!D927)=0,"",IF(ISNA(計算結果!D927),"",計算結果!D927))</f>
        <v>L</v>
      </c>
      <c r="E927" s="10" t="str">
        <f>IF(IF(ISNA(計算結果!E927),"",計算結果!E927)=0,"",IF(ISNA(計算結果!E927),"",計算結果!E927))</f>
        <v/>
      </c>
      <c r="F927" s="10" t="str">
        <f>IF(IF(ISNA(計算結果!F927),"",計算結果!F927)=0,"",IF(ISNA(計算結果!F927),"",計算結果!F927))</f>
        <v/>
      </c>
      <c r="G927" s="10" t="str">
        <f>IF(IF(ISNA(計算結果!G927),"",計算結果!G927)=0,"",IF(ISNA(計算結果!G927),"",計算結果!G927))</f>
        <v/>
      </c>
      <c r="H927" s="13">
        <f>IF(IF(ISNA(計算結果!H927),"",計算結果!H927)=0,"",IF(ISNA(計算結果!H927),"",計算結果!H927))</f>
        <v>-2</v>
      </c>
      <c r="I927" s="12" t="str">
        <f>IF(IF(ISNA(計算結果!I927),"",計算結果!I927)=0,"",IF(ISNA(計算結果!I927),"",計算結果!I927))</f>
        <v/>
      </c>
      <c r="J927" s="12" t="str">
        <f>IF(IF(ISNA(計算結果!J927),"",計算結果!J927)=0,"",IF(ISNA(計算結果!J927),"",計算結果!J927))</f>
        <v/>
      </c>
      <c r="K927" s="23" t="str">
        <f>IF(IF(ISNA(計算結果!K927),"",計算結果!K927)=0,"",IF(ISNA(計算結果!K927),"",計算結果!K927))</f>
        <v/>
      </c>
      <c r="L927" s="13" t="str">
        <f>IF(IF(ISNA(計算結果!L927),"",計算結果!L927)=0,"",IF(ISNA(計算結果!L927),"",計算結果!L927))</f>
        <v/>
      </c>
      <c r="M927" s="10" t="str">
        <f>IF(IF(ISNA(計算結果!M927),"",計算結果!M927)=0,"",IF(ISNA(計算結果!M927),"",計算結果!M927))</f>
        <v/>
      </c>
      <c r="N927" s="10" t="str">
        <f>IF(IF(ISNA(計算結果!N927),"",計算結果!N927)=0,"",IF(ISNA(計算結果!N927),"",計算結果!N927))</f>
        <v/>
      </c>
      <c r="O927" s="13" t="str">
        <f>IF(IF(ISNA(計算結果!O927),"",計算結果!O927)=0,"",IF(ISNA(計算結果!O927),"",計算結果!O927))</f>
        <v/>
      </c>
      <c r="P927" s="10" t="str">
        <f>IF(IF(ISNA(計算結果!P927),"",計算結果!P927)=0,"",IF(ISNA(計算結果!P927),"",計算結果!P927))</f>
        <v/>
      </c>
      <c r="Q927" s="10" t="str">
        <f>IF(IF(ISNA(計算結果!Q927),"",計算結果!Q927)=0,"",IF(ISNA(計算結果!Q927),"",計算結果!Q927))</f>
        <v/>
      </c>
      <c r="R927" s="14" t="str">
        <f t="shared" si="42"/>
        <v/>
      </c>
      <c r="S927" s="14" t="str">
        <f t="shared" si="43"/>
        <v>◯</v>
      </c>
      <c r="T927" s="14" t="str">
        <f t="shared" si="44"/>
        <v/>
      </c>
    </row>
    <row r="928" spans="1:20" hidden="1" x14ac:dyDescent="0.45">
      <c r="A928" s="10" t="str">
        <f>IF(IF(ISNA(計算結果!A928),"",計算結果!A928)=0,"",IF(ISNA(計算結果!A928),"",計算結果!A928))</f>
        <v/>
      </c>
      <c r="B928" s="10" t="str">
        <f>IF(IF(ISNA(計算結果!B928),"",計算結果!B928)=0,"",IF(ISNA(計算結果!B928),"",計算結果!B928))</f>
        <v/>
      </c>
      <c r="C928" s="10" t="str">
        <f>IF(IF(ISNA(計算結果!C928),"",計算結果!C928)=0,"",IF(ISNA(計算結果!C928),"",計算結果!C928))</f>
        <v/>
      </c>
      <c r="D928" s="10" t="str">
        <f>IF(IF(ISNA(計算結果!D928),"",計算結果!D928)=0,"",IF(ISNA(計算結果!D928),"",計算結果!D928))</f>
        <v>L</v>
      </c>
      <c r="E928" s="10" t="str">
        <f>IF(IF(ISNA(計算結果!E928),"",計算結果!E928)=0,"",IF(ISNA(計算結果!E928),"",計算結果!E928))</f>
        <v/>
      </c>
      <c r="F928" s="10" t="str">
        <f>IF(IF(ISNA(計算結果!F928),"",計算結果!F928)=0,"",IF(ISNA(計算結果!F928),"",計算結果!F928))</f>
        <v/>
      </c>
      <c r="G928" s="10" t="str">
        <f>IF(IF(ISNA(計算結果!G928),"",計算結果!G928)=0,"",IF(ISNA(計算結果!G928),"",計算結果!G928))</f>
        <v/>
      </c>
      <c r="H928" s="13">
        <f>IF(IF(ISNA(計算結果!H928),"",計算結果!H928)=0,"",IF(ISNA(計算結果!H928),"",計算結果!H928))</f>
        <v>-2</v>
      </c>
      <c r="I928" s="12" t="str">
        <f>IF(IF(ISNA(計算結果!I928),"",計算結果!I928)=0,"",IF(ISNA(計算結果!I928),"",計算結果!I928))</f>
        <v/>
      </c>
      <c r="J928" s="12" t="str">
        <f>IF(IF(ISNA(計算結果!J928),"",計算結果!J928)=0,"",IF(ISNA(計算結果!J928),"",計算結果!J928))</f>
        <v/>
      </c>
      <c r="K928" s="23" t="str">
        <f>IF(IF(ISNA(計算結果!K928),"",計算結果!K928)=0,"",IF(ISNA(計算結果!K928),"",計算結果!K928))</f>
        <v/>
      </c>
      <c r="L928" s="13" t="str">
        <f>IF(IF(ISNA(計算結果!L928),"",計算結果!L928)=0,"",IF(ISNA(計算結果!L928),"",計算結果!L928))</f>
        <v/>
      </c>
      <c r="M928" s="10" t="str">
        <f>IF(IF(ISNA(計算結果!M928),"",計算結果!M928)=0,"",IF(ISNA(計算結果!M928),"",計算結果!M928))</f>
        <v/>
      </c>
      <c r="N928" s="10" t="str">
        <f>IF(IF(ISNA(計算結果!N928),"",計算結果!N928)=0,"",IF(ISNA(計算結果!N928),"",計算結果!N928))</f>
        <v/>
      </c>
      <c r="O928" s="13" t="str">
        <f>IF(IF(ISNA(計算結果!O928),"",計算結果!O928)=0,"",IF(ISNA(計算結果!O928),"",計算結果!O928))</f>
        <v/>
      </c>
      <c r="P928" s="10" t="str">
        <f>IF(IF(ISNA(計算結果!P928),"",計算結果!P928)=0,"",IF(ISNA(計算結果!P928),"",計算結果!P928))</f>
        <v/>
      </c>
      <c r="Q928" s="10" t="str">
        <f>IF(IF(ISNA(計算結果!Q928),"",計算結果!Q928)=0,"",IF(ISNA(計算結果!Q928),"",計算結果!Q928))</f>
        <v/>
      </c>
      <c r="R928" s="14" t="str">
        <f t="shared" si="42"/>
        <v/>
      </c>
      <c r="S928" s="14" t="str">
        <f t="shared" si="43"/>
        <v>◯</v>
      </c>
      <c r="T928" s="14" t="str">
        <f t="shared" si="44"/>
        <v/>
      </c>
    </row>
    <row r="929" spans="1:20" hidden="1" x14ac:dyDescent="0.45">
      <c r="A929" s="10" t="str">
        <f>IF(IF(ISNA(計算結果!A929),"",計算結果!A929)=0,"",IF(ISNA(計算結果!A929),"",計算結果!A929))</f>
        <v/>
      </c>
      <c r="B929" s="10" t="str">
        <f>IF(IF(ISNA(計算結果!B929),"",計算結果!B929)=0,"",IF(ISNA(計算結果!B929),"",計算結果!B929))</f>
        <v/>
      </c>
      <c r="C929" s="10" t="str">
        <f>IF(IF(ISNA(計算結果!C929),"",計算結果!C929)=0,"",IF(ISNA(計算結果!C929),"",計算結果!C929))</f>
        <v/>
      </c>
      <c r="D929" s="10" t="str">
        <f>IF(IF(ISNA(計算結果!D929),"",計算結果!D929)=0,"",IF(ISNA(計算結果!D929),"",計算結果!D929))</f>
        <v>L</v>
      </c>
      <c r="E929" s="10" t="str">
        <f>IF(IF(ISNA(計算結果!E929),"",計算結果!E929)=0,"",IF(ISNA(計算結果!E929),"",計算結果!E929))</f>
        <v/>
      </c>
      <c r="F929" s="10" t="str">
        <f>IF(IF(ISNA(計算結果!F929),"",計算結果!F929)=0,"",IF(ISNA(計算結果!F929),"",計算結果!F929))</f>
        <v/>
      </c>
      <c r="G929" s="10" t="str">
        <f>IF(IF(ISNA(計算結果!G929),"",計算結果!G929)=0,"",IF(ISNA(計算結果!G929),"",計算結果!G929))</f>
        <v/>
      </c>
      <c r="H929" s="13">
        <f>IF(IF(ISNA(計算結果!H929),"",計算結果!H929)=0,"",IF(ISNA(計算結果!H929),"",計算結果!H929))</f>
        <v>-2</v>
      </c>
      <c r="I929" s="12" t="str">
        <f>IF(IF(ISNA(計算結果!I929),"",計算結果!I929)=0,"",IF(ISNA(計算結果!I929),"",計算結果!I929))</f>
        <v/>
      </c>
      <c r="J929" s="12" t="str">
        <f>IF(IF(ISNA(計算結果!J929),"",計算結果!J929)=0,"",IF(ISNA(計算結果!J929),"",計算結果!J929))</f>
        <v/>
      </c>
      <c r="K929" s="23" t="str">
        <f>IF(IF(ISNA(計算結果!K929),"",計算結果!K929)=0,"",IF(ISNA(計算結果!K929),"",計算結果!K929))</f>
        <v/>
      </c>
      <c r="L929" s="13" t="str">
        <f>IF(IF(ISNA(計算結果!L929),"",計算結果!L929)=0,"",IF(ISNA(計算結果!L929),"",計算結果!L929))</f>
        <v/>
      </c>
      <c r="M929" s="10" t="str">
        <f>IF(IF(ISNA(計算結果!M929),"",計算結果!M929)=0,"",IF(ISNA(計算結果!M929),"",計算結果!M929))</f>
        <v/>
      </c>
      <c r="N929" s="10" t="str">
        <f>IF(IF(ISNA(計算結果!N929),"",計算結果!N929)=0,"",IF(ISNA(計算結果!N929),"",計算結果!N929))</f>
        <v/>
      </c>
      <c r="O929" s="13" t="str">
        <f>IF(IF(ISNA(計算結果!O929),"",計算結果!O929)=0,"",IF(ISNA(計算結果!O929),"",計算結果!O929))</f>
        <v/>
      </c>
      <c r="P929" s="10" t="str">
        <f>IF(IF(ISNA(計算結果!P929),"",計算結果!P929)=0,"",IF(ISNA(計算結果!P929),"",計算結果!P929))</f>
        <v/>
      </c>
      <c r="Q929" s="10" t="str">
        <f>IF(IF(ISNA(計算結果!Q929),"",計算結果!Q929)=0,"",IF(ISNA(計算結果!Q929),"",計算結果!Q929))</f>
        <v/>
      </c>
      <c r="R929" s="14" t="str">
        <f t="shared" si="42"/>
        <v/>
      </c>
      <c r="S929" s="14" t="str">
        <f t="shared" si="43"/>
        <v>◯</v>
      </c>
      <c r="T929" s="14" t="str">
        <f t="shared" si="44"/>
        <v/>
      </c>
    </row>
    <row r="930" spans="1:20" hidden="1" x14ac:dyDescent="0.45">
      <c r="A930" s="10" t="str">
        <f>IF(IF(ISNA(計算結果!A930),"",計算結果!A930)=0,"",IF(ISNA(計算結果!A930),"",計算結果!A930))</f>
        <v/>
      </c>
      <c r="B930" s="10" t="str">
        <f>IF(IF(ISNA(計算結果!B930),"",計算結果!B930)=0,"",IF(ISNA(計算結果!B930),"",計算結果!B930))</f>
        <v/>
      </c>
      <c r="C930" s="10" t="str">
        <f>IF(IF(ISNA(計算結果!C930),"",計算結果!C930)=0,"",IF(ISNA(計算結果!C930),"",計算結果!C930))</f>
        <v/>
      </c>
      <c r="D930" s="10" t="str">
        <f>IF(IF(ISNA(計算結果!D930),"",計算結果!D930)=0,"",IF(ISNA(計算結果!D930),"",計算結果!D930))</f>
        <v>L</v>
      </c>
      <c r="E930" s="10" t="str">
        <f>IF(IF(ISNA(計算結果!E930),"",計算結果!E930)=0,"",IF(ISNA(計算結果!E930),"",計算結果!E930))</f>
        <v/>
      </c>
      <c r="F930" s="10" t="str">
        <f>IF(IF(ISNA(計算結果!F930),"",計算結果!F930)=0,"",IF(ISNA(計算結果!F930),"",計算結果!F930))</f>
        <v/>
      </c>
      <c r="G930" s="10" t="str">
        <f>IF(IF(ISNA(計算結果!G930),"",計算結果!G930)=0,"",IF(ISNA(計算結果!G930),"",計算結果!G930))</f>
        <v/>
      </c>
      <c r="H930" s="13">
        <f>IF(IF(ISNA(計算結果!H930),"",計算結果!H930)=0,"",IF(ISNA(計算結果!H930),"",計算結果!H930))</f>
        <v>-2</v>
      </c>
      <c r="I930" s="12" t="str">
        <f>IF(IF(ISNA(計算結果!I930),"",計算結果!I930)=0,"",IF(ISNA(計算結果!I930),"",計算結果!I930))</f>
        <v/>
      </c>
      <c r="J930" s="12" t="str">
        <f>IF(IF(ISNA(計算結果!J930),"",計算結果!J930)=0,"",IF(ISNA(計算結果!J930),"",計算結果!J930))</f>
        <v/>
      </c>
      <c r="K930" s="23" t="str">
        <f>IF(IF(ISNA(計算結果!K930),"",計算結果!K930)=0,"",IF(ISNA(計算結果!K930),"",計算結果!K930))</f>
        <v/>
      </c>
      <c r="L930" s="13" t="str">
        <f>IF(IF(ISNA(計算結果!L930),"",計算結果!L930)=0,"",IF(ISNA(計算結果!L930),"",計算結果!L930))</f>
        <v/>
      </c>
      <c r="M930" s="10" t="str">
        <f>IF(IF(ISNA(計算結果!M930),"",計算結果!M930)=0,"",IF(ISNA(計算結果!M930),"",計算結果!M930))</f>
        <v/>
      </c>
      <c r="N930" s="10" t="str">
        <f>IF(IF(ISNA(計算結果!N930),"",計算結果!N930)=0,"",IF(ISNA(計算結果!N930),"",計算結果!N930))</f>
        <v/>
      </c>
      <c r="O930" s="13" t="str">
        <f>IF(IF(ISNA(計算結果!O930),"",計算結果!O930)=0,"",IF(ISNA(計算結果!O930),"",計算結果!O930))</f>
        <v/>
      </c>
      <c r="P930" s="10" t="str">
        <f>IF(IF(ISNA(計算結果!P930),"",計算結果!P930)=0,"",IF(ISNA(計算結果!P930),"",計算結果!P930))</f>
        <v/>
      </c>
      <c r="Q930" s="10" t="str">
        <f>IF(IF(ISNA(計算結果!Q930),"",計算結果!Q930)=0,"",IF(ISNA(計算結果!Q930),"",計算結果!Q930))</f>
        <v/>
      </c>
      <c r="R930" s="14" t="str">
        <f t="shared" si="42"/>
        <v/>
      </c>
      <c r="S930" s="14" t="str">
        <f t="shared" si="43"/>
        <v>◯</v>
      </c>
      <c r="T930" s="14" t="str">
        <f t="shared" si="44"/>
        <v/>
      </c>
    </row>
    <row r="931" spans="1:20" hidden="1" x14ac:dyDescent="0.45">
      <c r="A931" s="10" t="str">
        <f>IF(IF(ISNA(計算結果!A931),"",計算結果!A931)=0,"",IF(ISNA(計算結果!A931),"",計算結果!A931))</f>
        <v/>
      </c>
      <c r="B931" s="10" t="str">
        <f>IF(IF(ISNA(計算結果!B931),"",計算結果!B931)=0,"",IF(ISNA(計算結果!B931),"",計算結果!B931))</f>
        <v/>
      </c>
      <c r="C931" s="10" t="str">
        <f>IF(IF(ISNA(計算結果!C931),"",計算結果!C931)=0,"",IF(ISNA(計算結果!C931),"",計算結果!C931))</f>
        <v/>
      </c>
      <c r="D931" s="10" t="str">
        <f>IF(IF(ISNA(計算結果!D931),"",計算結果!D931)=0,"",IF(ISNA(計算結果!D931),"",計算結果!D931))</f>
        <v>L</v>
      </c>
      <c r="E931" s="10" t="str">
        <f>IF(IF(ISNA(計算結果!E931),"",計算結果!E931)=0,"",IF(ISNA(計算結果!E931),"",計算結果!E931))</f>
        <v/>
      </c>
      <c r="F931" s="10" t="str">
        <f>IF(IF(ISNA(計算結果!F931),"",計算結果!F931)=0,"",IF(ISNA(計算結果!F931),"",計算結果!F931))</f>
        <v/>
      </c>
      <c r="G931" s="10" t="str">
        <f>IF(IF(ISNA(計算結果!G931),"",計算結果!G931)=0,"",IF(ISNA(計算結果!G931),"",計算結果!G931))</f>
        <v/>
      </c>
      <c r="H931" s="13">
        <f>IF(IF(ISNA(計算結果!H931),"",計算結果!H931)=0,"",IF(ISNA(計算結果!H931),"",計算結果!H931))</f>
        <v>-2</v>
      </c>
      <c r="I931" s="12" t="str">
        <f>IF(IF(ISNA(計算結果!I931),"",計算結果!I931)=0,"",IF(ISNA(計算結果!I931),"",計算結果!I931))</f>
        <v/>
      </c>
      <c r="J931" s="12" t="str">
        <f>IF(IF(ISNA(計算結果!J931),"",計算結果!J931)=0,"",IF(ISNA(計算結果!J931),"",計算結果!J931))</f>
        <v/>
      </c>
      <c r="K931" s="23" t="str">
        <f>IF(IF(ISNA(計算結果!K931),"",計算結果!K931)=0,"",IF(ISNA(計算結果!K931),"",計算結果!K931))</f>
        <v/>
      </c>
      <c r="L931" s="13" t="str">
        <f>IF(IF(ISNA(計算結果!L931),"",計算結果!L931)=0,"",IF(ISNA(計算結果!L931),"",計算結果!L931))</f>
        <v/>
      </c>
      <c r="M931" s="10" t="str">
        <f>IF(IF(ISNA(計算結果!M931),"",計算結果!M931)=0,"",IF(ISNA(計算結果!M931),"",計算結果!M931))</f>
        <v/>
      </c>
      <c r="N931" s="10" t="str">
        <f>IF(IF(ISNA(計算結果!N931),"",計算結果!N931)=0,"",IF(ISNA(計算結果!N931),"",計算結果!N931))</f>
        <v/>
      </c>
      <c r="O931" s="13" t="str">
        <f>IF(IF(ISNA(計算結果!O931),"",計算結果!O931)=0,"",IF(ISNA(計算結果!O931),"",計算結果!O931))</f>
        <v/>
      </c>
      <c r="P931" s="10" t="str">
        <f>IF(IF(ISNA(計算結果!P931),"",計算結果!P931)=0,"",IF(ISNA(計算結果!P931),"",計算結果!P931))</f>
        <v/>
      </c>
      <c r="Q931" s="10" t="str">
        <f>IF(IF(ISNA(計算結果!Q931),"",計算結果!Q931)=0,"",IF(ISNA(計算結果!Q931),"",計算結果!Q931))</f>
        <v/>
      </c>
      <c r="R931" s="14" t="str">
        <f t="shared" si="42"/>
        <v/>
      </c>
      <c r="S931" s="14" t="str">
        <f t="shared" si="43"/>
        <v>◯</v>
      </c>
      <c r="T931" s="14" t="str">
        <f t="shared" si="44"/>
        <v/>
      </c>
    </row>
    <row r="932" spans="1:20" hidden="1" x14ac:dyDescent="0.45">
      <c r="A932" s="10" t="str">
        <f>IF(IF(ISNA(計算結果!A932),"",計算結果!A932)=0,"",IF(ISNA(計算結果!A932),"",計算結果!A932))</f>
        <v/>
      </c>
      <c r="B932" s="10" t="str">
        <f>IF(IF(ISNA(計算結果!B932),"",計算結果!B932)=0,"",IF(ISNA(計算結果!B932),"",計算結果!B932))</f>
        <v/>
      </c>
      <c r="C932" s="10" t="str">
        <f>IF(IF(ISNA(計算結果!C932),"",計算結果!C932)=0,"",IF(ISNA(計算結果!C932),"",計算結果!C932))</f>
        <v/>
      </c>
      <c r="D932" s="10" t="str">
        <f>IF(IF(ISNA(計算結果!D932),"",計算結果!D932)=0,"",IF(ISNA(計算結果!D932),"",計算結果!D932))</f>
        <v>L</v>
      </c>
      <c r="E932" s="10" t="str">
        <f>IF(IF(ISNA(計算結果!E932),"",計算結果!E932)=0,"",IF(ISNA(計算結果!E932),"",計算結果!E932))</f>
        <v/>
      </c>
      <c r="F932" s="10" t="str">
        <f>IF(IF(ISNA(計算結果!F932),"",計算結果!F932)=0,"",IF(ISNA(計算結果!F932),"",計算結果!F932))</f>
        <v/>
      </c>
      <c r="G932" s="10" t="str">
        <f>IF(IF(ISNA(計算結果!G932),"",計算結果!G932)=0,"",IF(ISNA(計算結果!G932),"",計算結果!G932))</f>
        <v/>
      </c>
      <c r="H932" s="13">
        <f>IF(IF(ISNA(計算結果!H932),"",計算結果!H932)=0,"",IF(ISNA(計算結果!H932),"",計算結果!H932))</f>
        <v>-2</v>
      </c>
      <c r="I932" s="12" t="str">
        <f>IF(IF(ISNA(計算結果!I932),"",計算結果!I932)=0,"",IF(ISNA(計算結果!I932),"",計算結果!I932))</f>
        <v/>
      </c>
      <c r="J932" s="12" t="str">
        <f>IF(IF(ISNA(計算結果!J932),"",計算結果!J932)=0,"",IF(ISNA(計算結果!J932),"",計算結果!J932))</f>
        <v/>
      </c>
      <c r="K932" s="23" t="str">
        <f>IF(IF(ISNA(計算結果!K932),"",計算結果!K932)=0,"",IF(ISNA(計算結果!K932),"",計算結果!K932))</f>
        <v/>
      </c>
      <c r="L932" s="13" t="str">
        <f>IF(IF(ISNA(計算結果!L932),"",計算結果!L932)=0,"",IF(ISNA(計算結果!L932),"",計算結果!L932))</f>
        <v/>
      </c>
      <c r="M932" s="10" t="str">
        <f>IF(IF(ISNA(計算結果!M932),"",計算結果!M932)=0,"",IF(ISNA(計算結果!M932),"",計算結果!M932))</f>
        <v/>
      </c>
      <c r="N932" s="10" t="str">
        <f>IF(IF(ISNA(計算結果!N932),"",計算結果!N932)=0,"",IF(ISNA(計算結果!N932),"",計算結果!N932))</f>
        <v/>
      </c>
      <c r="O932" s="13" t="str">
        <f>IF(IF(ISNA(計算結果!O932),"",計算結果!O932)=0,"",IF(ISNA(計算結果!O932),"",計算結果!O932))</f>
        <v/>
      </c>
      <c r="P932" s="10" t="str">
        <f>IF(IF(ISNA(計算結果!P932),"",計算結果!P932)=0,"",IF(ISNA(計算結果!P932),"",計算結果!P932))</f>
        <v/>
      </c>
      <c r="Q932" s="10" t="str">
        <f>IF(IF(ISNA(計算結果!Q932),"",計算結果!Q932)=0,"",IF(ISNA(計算結果!Q932),"",計算結果!Q932))</f>
        <v/>
      </c>
      <c r="R932" s="14" t="str">
        <f t="shared" si="42"/>
        <v/>
      </c>
      <c r="S932" s="14" t="str">
        <f t="shared" si="43"/>
        <v>◯</v>
      </c>
      <c r="T932" s="14" t="str">
        <f t="shared" si="44"/>
        <v/>
      </c>
    </row>
    <row r="933" spans="1:20" hidden="1" x14ac:dyDescent="0.45">
      <c r="A933" s="10" t="str">
        <f>IF(IF(ISNA(計算結果!A933),"",計算結果!A933)=0,"",IF(ISNA(計算結果!A933),"",計算結果!A933))</f>
        <v/>
      </c>
      <c r="B933" s="10" t="str">
        <f>IF(IF(ISNA(計算結果!B933),"",計算結果!B933)=0,"",IF(ISNA(計算結果!B933),"",計算結果!B933))</f>
        <v/>
      </c>
      <c r="C933" s="10" t="str">
        <f>IF(IF(ISNA(計算結果!C933),"",計算結果!C933)=0,"",IF(ISNA(計算結果!C933),"",計算結果!C933))</f>
        <v/>
      </c>
      <c r="D933" s="10" t="str">
        <f>IF(IF(ISNA(計算結果!D933),"",計算結果!D933)=0,"",IF(ISNA(計算結果!D933),"",計算結果!D933))</f>
        <v>L</v>
      </c>
      <c r="E933" s="10" t="str">
        <f>IF(IF(ISNA(計算結果!E933),"",計算結果!E933)=0,"",IF(ISNA(計算結果!E933),"",計算結果!E933))</f>
        <v/>
      </c>
      <c r="F933" s="10" t="str">
        <f>IF(IF(ISNA(計算結果!F933),"",計算結果!F933)=0,"",IF(ISNA(計算結果!F933),"",計算結果!F933))</f>
        <v/>
      </c>
      <c r="G933" s="10" t="str">
        <f>IF(IF(ISNA(計算結果!G933),"",計算結果!G933)=0,"",IF(ISNA(計算結果!G933),"",計算結果!G933))</f>
        <v/>
      </c>
      <c r="H933" s="13">
        <f>IF(IF(ISNA(計算結果!H933),"",計算結果!H933)=0,"",IF(ISNA(計算結果!H933),"",計算結果!H933))</f>
        <v>-2</v>
      </c>
      <c r="I933" s="12" t="str">
        <f>IF(IF(ISNA(計算結果!I933),"",計算結果!I933)=0,"",IF(ISNA(計算結果!I933),"",計算結果!I933))</f>
        <v/>
      </c>
      <c r="J933" s="12" t="str">
        <f>IF(IF(ISNA(計算結果!J933),"",計算結果!J933)=0,"",IF(ISNA(計算結果!J933),"",計算結果!J933))</f>
        <v/>
      </c>
      <c r="K933" s="23" t="str">
        <f>IF(IF(ISNA(計算結果!K933),"",計算結果!K933)=0,"",IF(ISNA(計算結果!K933),"",計算結果!K933))</f>
        <v/>
      </c>
      <c r="L933" s="13" t="str">
        <f>IF(IF(ISNA(計算結果!L933),"",計算結果!L933)=0,"",IF(ISNA(計算結果!L933),"",計算結果!L933))</f>
        <v/>
      </c>
      <c r="M933" s="10" t="str">
        <f>IF(IF(ISNA(計算結果!M933),"",計算結果!M933)=0,"",IF(ISNA(計算結果!M933),"",計算結果!M933))</f>
        <v/>
      </c>
      <c r="N933" s="10" t="str">
        <f>IF(IF(ISNA(計算結果!N933),"",計算結果!N933)=0,"",IF(ISNA(計算結果!N933),"",計算結果!N933))</f>
        <v/>
      </c>
      <c r="O933" s="13" t="str">
        <f>IF(IF(ISNA(計算結果!O933),"",計算結果!O933)=0,"",IF(ISNA(計算結果!O933),"",計算結果!O933))</f>
        <v/>
      </c>
      <c r="P933" s="10" t="str">
        <f>IF(IF(ISNA(計算結果!P933),"",計算結果!P933)=0,"",IF(ISNA(計算結果!P933),"",計算結果!P933))</f>
        <v/>
      </c>
      <c r="Q933" s="10" t="str">
        <f>IF(IF(ISNA(計算結果!Q933),"",計算結果!Q933)=0,"",IF(ISNA(計算結果!Q933),"",計算結果!Q933))</f>
        <v/>
      </c>
      <c r="R933" s="14" t="str">
        <f t="shared" si="42"/>
        <v/>
      </c>
      <c r="S933" s="14" t="str">
        <f t="shared" si="43"/>
        <v>◯</v>
      </c>
      <c r="T933" s="14" t="str">
        <f t="shared" si="44"/>
        <v/>
      </c>
    </row>
    <row r="934" spans="1:20" hidden="1" x14ac:dyDescent="0.45">
      <c r="A934" s="10" t="str">
        <f>IF(IF(ISNA(計算結果!A934),"",計算結果!A934)=0,"",IF(ISNA(計算結果!A934),"",計算結果!A934))</f>
        <v/>
      </c>
      <c r="B934" s="10" t="str">
        <f>IF(IF(ISNA(計算結果!B934),"",計算結果!B934)=0,"",IF(ISNA(計算結果!B934),"",計算結果!B934))</f>
        <v/>
      </c>
      <c r="C934" s="10" t="str">
        <f>IF(IF(ISNA(計算結果!C934),"",計算結果!C934)=0,"",IF(ISNA(計算結果!C934),"",計算結果!C934))</f>
        <v/>
      </c>
      <c r="D934" s="10" t="str">
        <f>IF(IF(ISNA(計算結果!D934),"",計算結果!D934)=0,"",IF(ISNA(計算結果!D934),"",計算結果!D934))</f>
        <v>L</v>
      </c>
      <c r="E934" s="10" t="str">
        <f>IF(IF(ISNA(計算結果!E934),"",計算結果!E934)=0,"",IF(ISNA(計算結果!E934),"",計算結果!E934))</f>
        <v/>
      </c>
      <c r="F934" s="10" t="str">
        <f>IF(IF(ISNA(計算結果!F934),"",計算結果!F934)=0,"",IF(ISNA(計算結果!F934),"",計算結果!F934))</f>
        <v/>
      </c>
      <c r="G934" s="10" t="str">
        <f>IF(IF(ISNA(計算結果!G934),"",計算結果!G934)=0,"",IF(ISNA(計算結果!G934),"",計算結果!G934))</f>
        <v/>
      </c>
      <c r="H934" s="13">
        <f>IF(IF(ISNA(計算結果!H934),"",計算結果!H934)=0,"",IF(ISNA(計算結果!H934),"",計算結果!H934))</f>
        <v>-2</v>
      </c>
      <c r="I934" s="12" t="str">
        <f>IF(IF(ISNA(計算結果!I934),"",計算結果!I934)=0,"",IF(ISNA(計算結果!I934),"",計算結果!I934))</f>
        <v/>
      </c>
      <c r="J934" s="12" t="str">
        <f>IF(IF(ISNA(計算結果!J934),"",計算結果!J934)=0,"",IF(ISNA(計算結果!J934),"",計算結果!J934))</f>
        <v/>
      </c>
      <c r="K934" s="23" t="str">
        <f>IF(IF(ISNA(計算結果!K934),"",計算結果!K934)=0,"",IF(ISNA(計算結果!K934),"",計算結果!K934))</f>
        <v/>
      </c>
      <c r="L934" s="13" t="str">
        <f>IF(IF(ISNA(計算結果!L934),"",計算結果!L934)=0,"",IF(ISNA(計算結果!L934),"",計算結果!L934))</f>
        <v/>
      </c>
      <c r="M934" s="10" t="str">
        <f>IF(IF(ISNA(計算結果!M934),"",計算結果!M934)=0,"",IF(ISNA(計算結果!M934),"",計算結果!M934))</f>
        <v/>
      </c>
      <c r="N934" s="10" t="str">
        <f>IF(IF(ISNA(計算結果!N934),"",計算結果!N934)=0,"",IF(ISNA(計算結果!N934),"",計算結果!N934))</f>
        <v/>
      </c>
      <c r="O934" s="13" t="str">
        <f>IF(IF(ISNA(計算結果!O934),"",計算結果!O934)=0,"",IF(ISNA(計算結果!O934),"",計算結果!O934))</f>
        <v/>
      </c>
      <c r="P934" s="10" t="str">
        <f>IF(IF(ISNA(計算結果!P934),"",計算結果!P934)=0,"",IF(ISNA(計算結果!P934),"",計算結果!P934))</f>
        <v/>
      </c>
      <c r="Q934" s="10" t="str">
        <f>IF(IF(ISNA(計算結果!Q934),"",計算結果!Q934)=0,"",IF(ISNA(計算結果!Q934),"",計算結果!Q934))</f>
        <v/>
      </c>
      <c r="R934" s="14" t="str">
        <f t="shared" si="42"/>
        <v/>
      </c>
      <c r="S934" s="14" t="str">
        <f t="shared" si="43"/>
        <v>◯</v>
      </c>
      <c r="T934" s="14" t="str">
        <f t="shared" si="44"/>
        <v/>
      </c>
    </row>
    <row r="935" spans="1:20" hidden="1" x14ac:dyDescent="0.45">
      <c r="A935" s="10" t="str">
        <f>IF(IF(ISNA(計算結果!A935),"",計算結果!A935)=0,"",IF(ISNA(計算結果!A935),"",計算結果!A935))</f>
        <v/>
      </c>
      <c r="B935" s="10" t="str">
        <f>IF(IF(ISNA(計算結果!B935),"",計算結果!B935)=0,"",IF(ISNA(計算結果!B935),"",計算結果!B935))</f>
        <v/>
      </c>
      <c r="C935" s="10" t="str">
        <f>IF(IF(ISNA(計算結果!C935),"",計算結果!C935)=0,"",IF(ISNA(計算結果!C935),"",計算結果!C935))</f>
        <v/>
      </c>
      <c r="D935" s="10" t="str">
        <f>IF(IF(ISNA(計算結果!D935),"",計算結果!D935)=0,"",IF(ISNA(計算結果!D935),"",計算結果!D935))</f>
        <v>L</v>
      </c>
      <c r="E935" s="10" t="str">
        <f>IF(IF(ISNA(計算結果!E935),"",計算結果!E935)=0,"",IF(ISNA(計算結果!E935),"",計算結果!E935))</f>
        <v/>
      </c>
      <c r="F935" s="10" t="str">
        <f>IF(IF(ISNA(計算結果!F935),"",計算結果!F935)=0,"",IF(ISNA(計算結果!F935),"",計算結果!F935))</f>
        <v/>
      </c>
      <c r="G935" s="10" t="str">
        <f>IF(IF(ISNA(計算結果!G935),"",計算結果!G935)=0,"",IF(ISNA(計算結果!G935),"",計算結果!G935))</f>
        <v/>
      </c>
      <c r="H935" s="13">
        <f>IF(IF(ISNA(計算結果!H935),"",計算結果!H935)=0,"",IF(ISNA(計算結果!H935),"",計算結果!H935))</f>
        <v>-2</v>
      </c>
      <c r="I935" s="12" t="str">
        <f>IF(IF(ISNA(計算結果!I935),"",計算結果!I935)=0,"",IF(ISNA(計算結果!I935),"",計算結果!I935))</f>
        <v/>
      </c>
      <c r="J935" s="12" t="str">
        <f>IF(IF(ISNA(計算結果!J935),"",計算結果!J935)=0,"",IF(ISNA(計算結果!J935),"",計算結果!J935))</f>
        <v/>
      </c>
      <c r="K935" s="23" t="str">
        <f>IF(IF(ISNA(計算結果!K935),"",計算結果!K935)=0,"",IF(ISNA(計算結果!K935),"",計算結果!K935))</f>
        <v/>
      </c>
      <c r="L935" s="13" t="str">
        <f>IF(IF(ISNA(計算結果!L935),"",計算結果!L935)=0,"",IF(ISNA(計算結果!L935),"",計算結果!L935))</f>
        <v/>
      </c>
      <c r="M935" s="10" t="str">
        <f>IF(IF(ISNA(計算結果!M935),"",計算結果!M935)=0,"",IF(ISNA(計算結果!M935),"",計算結果!M935))</f>
        <v/>
      </c>
      <c r="N935" s="10" t="str">
        <f>IF(IF(ISNA(計算結果!N935),"",計算結果!N935)=0,"",IF(ISNA(計算結果!N935),"",計算結果!N935))</f>
        <v/>
      </c>
      <c r="O935" s="13" t="str">
        <f>IF(IF(ISNA(計算結果!O935),"",計算結果!O935)=0,"",IF(ISNA(計算結果!O935),"",計算結果!O935))</f>
        <v/>
      </c>
      <c r="P935" s="10" t="str">
        <f>IF(IF(ISNA(計算結果!P935),"",計算結果!P935)=0,"",IF(ISNA(計算結果!P935),"",計算結果!P935))</f>
        <v/>
      </c>
      <c r="Q935" s="10" t="str">
        <f>IF(IF(ISNA(計算結果!Q935),"",計算結果!Q935)=0,"",IF(ISNA(計算結果!Q935),"",計算結果!Q935))</f>
        <v/>
      </c>
      <c r="R935" s="14" t="str">
        <f t="shared" si="42"/>
        <v/>
      </c>
      <c r="S935" s="14" t="str">
        <f t="shared" si="43"/>
        <v>◯</v>
      </c>
      <c r="T935" s="14" t="str">
        <f t="shared" si="44"/>
        <v/>
      </c>
    </row>
    <row r="936" spans="1:20" hidden="1" x14ac:dyDescent="0.45">
      <c r="A936" s="10" t="str">
        <f>IF(IF(ISNA(計算結果!A936),"",計算結果!A936)=0,"",IF(ISNA(計算結果!A936),"",計算結果!A936))</f>
        <v/>
      </c>
      <c r="B936" s="10" t="str">
        <f>IF(IF(ISNA(計算結果!B936),"",計算結果!B936)=0,"",IF(ISNA(計算結果!B936),"",計算結果!B936))</f>
        <v/>
      </c>
      <c r="C936" s="10" t="str">
        <f>IF(IF(ISNA(計算結果!C936),"",計算結果!C936)=0,"",IF(ISNA(計算結果!C936),"",計算結果!C936))</f>
        <v/>
      </c>
      <c r="D936" s="10" t="str">
        <f>IF(IF(ISNA(計算結果!D936),"",計算結果!D936)=0,"",IF(ISNA(計算結果!D936),"",計算結果!D936))</f>
        <v>L</v>
      </c>
      <c r="E936" s="10" t="str">
        <f>IF(IF(ISNA(計算結果!E936),"",計算結果!E936)=0,"",IF(ISNA(計算結果!E936),"",計算結果!E936))</f>
        <v/>
      </c>
      <c r="F936" s="10" t="str">
        <f>IF(IF(ISNA(計算結果!F936),"",計算結果!F936)=0,"",IF(ISNA(計算結果!F936),"",計算結果!F936))</f>
        <v/>
      </c>
      <c r="G936" s="10" t="str">
        <f>IF(IF(ISNA(計算結果!G936),"",計算結果!G936)=0,"",IF(ISNA(計算結果!G936),"",計算結果!G936))</f>
        <v/>
      </c>
      <c r="H936" s="13">
        <f>IF(IF(ISNA(計算結果!H936),"",計算結果!H936)=0,"",IF(ISNA(計算結果!H936),"",計算結果!H936))</f>
        <v>-2</v>
      </c>
      <c r="I936" s="12" t="str">
        <f>IF(IF(ISNA(計算結果!I936),"",計算結果!I936)=0,"",IF(ISNA(計算結果!I936),"",計算結果!I936))</f>
        <v/>
      </c>
      <c r="J936" s="12" t="str">
        <f>IF(IF(ISNA(計算結果!J936),"",計算結果!J936)=0,"",IF(ISNA(計算結果!J936),"",計算結果!J936))</f>
        <v/>
      </c>
      <c r="K936" s="23" t="str">
        <f>IF(IF(ISNA(計算結果!K936),"",計算結果!K936)=0,"",IF(ISNA(計算結果!K936),"",計算結果!K936))</f>
        <v/>
      </c>
      <c r="L936" s="13" t="str">
        <f>IF(IF(ISNA(計算結果!L936),"",計算結果!L936)=0,"",IF(ISNA(計算結果!L936),"",計算結果!L936))</f>
        <v/>
      </c>
      <c r="M936" s="10" t="str">
        <f>IF(IF(ISNA(計算結果!M936),"",計算結果!M936)=0,"",IF(ISNA(計算結果!M936),"",計算結果!M936))</f>
        <v/>
      </c>
      <c r="N936" s="10" t="str">
        <f>IF(IF(ISNA(計算結果!N936),"",計算結果!N936)=0,"",IF(ISNA(計算結果!N936),"",計算結果!N936))</f>
        <v/>
      </c>
      <c r="O936" s="13" t="str">
        <f>IF(IF(ISNA(計算結果!O936),"",計算結果!O936)=0,"",IF(ISNA(計算結果!O936),"",計算結果!O936))</f>
        <v/>
      </c>
      <c r="P936" s="10" t="str">
        <f>IF(IF(ISNA(計算結果!P936),"",計算結果!P936)=0,"",IF(ISNA(計算結果!P936),"",計算結果!P936))</f>
        <v/>
      </c>
      <c r="Q936" s="10" t="str">
        <f>IF(IF(ISNA(計算結果!Q936),"",計算結果!Q936)=0,"",IF(ISNA(計算結果!Q936),"",計算結果!Q936))</f>
        <v/>
      </c>
      <c r="R936" s="14" t="str">
        <f t="shared" si="42"/>
        <v/>
      </c>
      <c r="S936" s="14" t="str">
        <f t="shared" si="43"/>
        <v>◯</v>
      </c>
      <c r="T936" s="14" t="str">
        <f t="shared" si="44"/>
        <v/>
      </c>
    </row>
    <row r="937" spans="1:20" hidden="1" x14ac:dyDescent="0.45">
      <c r="A937" s="10" t="str">
        <f>IF(IF(ISNA(計算結果!A937),"",計算結果!A937)=0,"",IF(ISNA(計算結果!A937),"",計算結果!A937))</f>
        <v/>
      </c>
      <c r="B937" s="10" t="str">
        <f>IF(IF(ISNA(計算結果!B937),"",計算結果!B937)=0,"",IF(ISNA(計算結果!B937),"",計算結果!B937))</f>
        <v/>
      </c>
      <c r="C937" s="10" t="str">
        <f>IF(IF(ISNA(計算結果!C937),"",計算結果!C937)=0,"",IF(ISNA(計算結果!C937),"",計算結果!C937))</f>
        <v/>
      </c>
      <c r="D937" s="10" t="str">
        <f>IF(IF(ISNA(計算結果!D937),"",計算結果!D937)=0,"",IF(ISNA(計算結果!D937),"",計算結果!D937))</f>
        <v>L</v>
      </c>
      <c r="E937" s="10" t="str">
        <f>IF(IF(ISNA(計算結果!E937),"",計算結果!E937)=0,"",IF(ISNA(計算結果!E937),"",計算結果!E937))</f>
        <v/>
      </c>
      <c r="F937" s="10" t="str">
        <f>IF(IF(ISNA(計算結果!F937),"",計算結果!F937)=0,"",IF(ISNA(計算結果!F937),"",計算結果!F937))</f>
        <v/>
      </c>
      <c r="G937" s="10" t="str">
        <f>IF(IF(ISNA(計算結果!G937),"",計算結果!G937)=0,"",IF(ISNA(計算結果!G937),"",計算結果!G937))</f>
        <v/>
      </c>
      <c r="H937" s="13">
        <f>IF(IF(ISNA(計算結果!H937),"",計算結果!H937)=0,"",IF(ISNA(計算結果!H937),"",計算結果!H937))</f>
        <v>-2</v>
      </c>
      <c r="I937" s="12" t="str">
        <f>IF(IF(ISNA(計算結果!I937),"",計算結果!I937)=0,"",IF(ISNA(計算結果!I937),"",計算結果!I937))</f>
        <v/>
      </c>
      <c r="J937" s="12" t="str">
        <f>IF(IF(ISNA(計算結果!J937),"",計算結果!J937)=0,"",IF(ISNA(計算結果!J937),"",計算結果!J937))</f>
        <v/>
      </c>
      <c r="K937" s="23" t="str">
        <f>IF(IF(ISNA(計算結果!K937),"",計算結果!K937)=0,"",IF(ISNA(計算結果!K937),"",計算結果!K937))</f>
        <v/>
      </c>
      <c r="L937" s="13" t="str">
        <f>IF(IF(ISNA(計算結果!L937),"",計算結果!L937)=0,"",IF(ISNA(計算結果!L937),"",計算結果!L937))</f>
        <v/>
      </c>
      <c r="M937" s="10" t="str">
        <f>IF(IF(ISNA(計算結果!M937),"",計算結果!M937)=0,"",IF(ISNA(計算結果!M937),"",計算結果!M937))</f>
        <v/>
      </c>
      <c r="N937" s="10" t="str">
        <f>IF(IF(ISNA(計算結果!N937),"",計算結果!N937)=0,"",IF(ISNA(計算結果!N937),"",計算結果!N937))</f>
        <v/>
      </c>
      <c r="O937" s="13" t="str">
        <f>IF(IF(ISNA(計算結果!O937),"",計算結果!O937)=0,"",IF(ISNA(計算結果!O937),"",計算結果!O937))</f>
        <v/>
      </c>
      <c r="P937" s="10" t="str">
        <f>IF(IF(ISNA(計算結果!P937),"",計算結果!P937)=0,"",IF(ISNA(計算結果!P937),"",計算結果!P937))</f>
        <v/>
      </c>
      <c r="Q937" s="10" t="str">
        <f>IF(IF(ISNA(計算結果!Q937),"",計算結果!Q937)=0,"",IF(ISNA(計算結果!Q937),"",計算結果!Q937))</f>
        <v/>
      </c>
      <c r="R937" s="14" t="str">
        <f t="shared" si="42"/>
        <v/>
      </c>
      <c r="S937" s="14" t="str">
        <f t="shared" si="43"/>
        <v>◯</v>
      </c>
      <c r="T937" s="14" t="str">
        <f t="shared" si="44"/>
        <v/>
      </c>
    </row>
    <row r="938" spans="1:20" hidden="1" x14ac:dyDescent="0.45">
      <c r="A938" s="10" t="str">
        <f>IF(IF(ISNA(計算結果!A938),"",計算結果!A938)=0,"",IF(ISNA(計算結果!A938),"",計算結果!A938))</f>
        <v/>
      </c>
      <c r="B938" s="10" t="str">
        <f>IF(IF(ISNA(計算結果!B938),"",計算結果!B938)=0,"",IF(ISNA(計算結果!B938),"",計算結果!B938))</f>
        <v/>
      </c>
      <c r="C938" s="10" t="str">
        <f>IF(IF(ISNA(計算結果!C938),"",計算結果!C938)=0,"",IF(ISNA(計算結果!C938),"",計算結果!C938))</f>
        <v/>
      </c>
      <c r="D938" s="10" t="str">
        <f>IF(IF(ISNA(計算結果!D938),"",計算結果!D938)=0,"",IF(ISNA(計算結果!D938),"",計算結果!D938))</f>
        <v>L</v>
      </c>
      <c r="E938" s="10" t="str">
        <f>IF(IF(ISNA(計算結果!E938),"",計算結果!E938)=0,"",IF(ISNA(計算結果!E938),"",計算結果!E938))</f>
        <v/>
      </c>
      <c r="F938" s="10" t="str">
        <f>IF(IF(ISNA(計算結果!F938),"",計算結果!F938)=0,"",IF(ISNA(計算結果!F938),"",計算結果!F938))</f>
        <v/>
      </c>
      <c r="G938" s="10" t="str">
        <f>IF(IF(ISNA(計算結果!G938),"",計算結果!G938)=0,"",IF(ISNA(計算結果!G938),"",計算結果!G938))</f>
        <v/>
      </c>
      <c r="H938" s="13">
        <f>IF(IF(ISNA(計算結果!H938),"",計算結果!H938)=0,"",IF(ISNA(計算結果!H938),"",計算結果!H938))</f>
        <v>-2</v>
      </c>
      <c r="I938" s="12" t="str">
        <f>IF(IF(ISNA(計算結果!I938),"",計算結果!I938)=0,"",IF(ISNA(計算結果!I938),"",計算結果!I938))</f>
        <v/>
      </c>
      <c r="J938" s="12" t="str">
        <f>IF(IF(ISNA(計算結果!J938),"",計算結果!J938)=0,"",IF(ISNA(計算結果!J938),"",計算結果!J938))</f>
        <v/>
      </c>
      <c r="K938" s="23" t="str">
        <f>IF(IF(ISNA(計算結果!K938),"",計算結果!K938)=0,"",IF(ISNA(計算結果!K938),"",計算結果!K938))</f>
        <v/>
      </c>
      <c r="L938" s="13" t="str">
        <f>IF(IF(ISNA(計算結果!L938),"",計算結果!L938)=0,"",IF(ISNA(計算結果!L938),"",計算結果!L938))</f>
        <v/>
      </c>
      <c r="M938" s="10" t="str">
        <f>IF(IF(ISNA(計算結果!M938),"",計算結果!M938)=0,"",IF(ISNA(計算結果!M938),"",計算結果!M938))</f>
        <v/>
      </c>
      <c r="N938" s="10" t="str">
        <f>IF(IF(ISNA(計算結果!N938),"",計算結果!N938)=0,"",IF(ISNA(計算結果!N938),"",計算結果!N938))</f>
        <v/>
      </c>
      <c r="O938" s="13" t="str">
        <f>IF(IF(ISNA(計算結果!O938),"",計算結果!O938)=0,"",IF(ISNA(計算結果!O938),"",計算結果!O938))</f>
        <v/>
      </c>
      <c r="P938" s="10" t="str">
        <f>IF(IF(ISNA(計算結果!P938),"",計算結果!P938)=0,"",IF(ISNA(計算結果!P938),"",計算結果!P938))</f>
        <v/>
      </c>
      <c r="Q938" s="10" t="str">
        <f>IF(IF(ISNA(計算結果!Q938),"",計算結果!Q938)=0,"",IF(ISNA(計算結果!Q938),"",計算結果!Q938))</f>
        <v/>
      </c>
      <c r="R938" s="14" t="str">
        <f t="shared" si="42"/>
        <v/>
      </c>
      <c r="S938" s="14" t="str">
        <f t="shared" si="43"/>
        <v>◯</v>
      </c>
      <c r="T938" s="14" t="str">
        <f t="shared" si="44"/>
        <v/>
      </c>
    </row>
    <row r="939" spans="1:20" hidden="1" x14ac:dyDescent="0.45">
      <c r="A939" s="10" t="str">
        <f>IF(IF(ISNA(計算結果!A939),"",計算結果!A939)=0,"",IF(ISNA(計算結果!A939),"",計算結果!A939))</f>
        <v/>
      </c>
      <c r="B939" s="10" t="str">
        <f>IF(IF(ISNA(計算結果!B939),"",計算結果!B939)=0,"",IF(ISNA(計算結果!B939),"",計算結果!B939))</f>
        <v/>
      </c>
      <c r="C939" s="10" t="str">
        <f>IF(IF(ISNA(計算結果!C939),"",計算結果!C939)=0,"",IF(ISNA(計算結果!C939),"",計算結果!C939))</f>
        <v/>
      </c>
      <c r="D939" s="10" t="str">
        <f>IF(IF(ISNA(計算結果!D939),"",計算結果!D939)=0,"",IF(ISNA(計算結果!D939),"",計算結果!D939))</f>
        <v>L</v>
      </c>
      <c r="E939" s="10" t="str">
        <f>IF(IF(ISNA(計算結果!E939),"",計算結果!E939)=0,"",IF(ISNA(計算結果!E939),"",計算結果!E939))</f>
        <v/>
      </c>
      <c r="F939" s="10" t="str">
        <f>IF(IF(ISNA(計算結果!F939),"",計算結果!F939)=0,"",IF(ISNA(計算結果!F939),"",計算結果!F939))</f>
        <v/>
      </c>
      <c r="G939" s="10" t="str">
        <f>IF(IF(ISNA(計算結果!G939),"",計算結果!G939)=0,"",IF(ISNA(計算結果!G939),"",計算結果!G939))</f>
        <v/>
      </c>
      <c r="H939" s="13">
        <f>IF(IF(ISNA(計算結果!H939),"",計算結果!H939)=0,"",IF(ISNA(計算結果!H939),"",計算結果!H939))</f>
        <v>-2</v>
      </c>
      <c r="I939" s="12" t="str">
        <f>IF(IF(ISNA(計算結果!I939),"",計算結果!I939)=0,"",IF(ISNA(計算結果!I939),"",計算結果!I939))</f>
        <v/>
      </c>
      <c r="J939" s="12" t="str">
        <f>IF(IF(ISNA(計算結果!J939),"",計算結果!J939)=0,"",IF(ISNA(計算結果!J939),"",計算結果!J939))</f>
        <v/>
      </c>
      <c r="K939" s="23" t="str">
        <f>IF(IF(ISNA(計算結果!K939),"",計算結果!K939)=0,"",IF(ISNA(計算結果!K939),"",計算結果!K939))</f>
        <v/>
      </c>
      <c r="L939" s="13" t="str">
        <f>IF(IF(ISNA(計算結果!L939),"",計算結果!L939)=0,"",IF(ISNA(計算結果!L939),"",計算結果!L939))</f>
        <v/>
      </c>
      <c r="M939" s="10" t="str">
        <f>IF(IF(ISNA(計算結果!M939),"",計算結果!M939)=0,"",IF(ISNA(計算結果!M939),"",計算結果!M939))</f>
        <v/>
      </c>
      <c r="N939" s="10" t="str">
        <f>IF(IF(ISNA(計算結果!N939),"",計算結果!N939)=0,"",IF(ISNA(計算結果!N939),"",計算結果!N939))</f>
        <v/>
      </c>
      <c r="O939" s="13" t="str">
        <f>IF(IF(ISNA(計算結果!O939),"",計算結果!O939)=0,"",IF(ISNA(計算結果!O939),"",計算結果!O939))</f>
        <v/>
      </c>
      <c r="P939" s="10" t="str">
        <f>IF(IF(ISNA(計算結果!P939),"",計算結果!P939)=0,"",IF(ISNA(計算結果!P939),"",計算結果!P939))</f>
        <v/>
      </c>
      <c r="Q939" s="10" t="str">
        <f>IF(IF(ISNA(計算結果!Q939),"",計算結果!Q939)=0,"",IF(ISNA(計算結果!Q939),"",計算結果!Q939))</f>
        <v/>
      </c>
      <c r="R939" s="14" t="str">
        <f t="shared" si="42"/>
        <v/>
      </c>
      <c r="S939" s="14" t="str">
        <f t="shared" si="43"/>
        <v>◯</v>
      </c>
      <c r="T939" s="14" t="str">
        <f t="shared" si="44"/>
        <v/>
      </c>
    </row>
    <row r="940" spans="1:20" hidden="1" x14ac:dyDescent="0.45">
      <c r="A940" s="10" t="str">
        <f>IF(IF(ISNA(計算結果!A940),"",計算結果!A940)=0,"",IF(ISNA(計算結果!A940),"",計算結果!A940))</f>
        <v/>
      </c>
      <c r="B940" s="10" t="str">
        <f>IF(IF(ISNA(計算結果!B940),"",計算結果!B940)=0,"",IF(ISNA(計算結果!B940),"",計算結果!B940))</f>
        <v/>
      </c>
      <c r="C940" s="10" t="str">
        <f>IF(IF(ISNA(計算結果!C940),"",計算結果!C940)=0,"",IF(ISNA(計算結果!C940),"",計算結果!C940))</f>
        <v/>
      </c>
      <c r="D940" s="10" t="str">
        <f>IF(IF(ISNA(計算結果!D940),"",計算結果!D940)=0,"",IF(ISNA(計算結果!D940),"",計算結果!D940))</f>
        <v>L</v>
      </c>
      <c r="E940" s="10" t="str">
        <f>IF(IF(ISNA(計算結果!E940),"",計算結果!E940)=0,"",IF(ISNA(計算結果!E940),"",計算結果!E940))</f>
        <v/>
      </c>
      <c r="F940" s="10" t="str">
        <f>IF(IF(ISNA(計算結果!F940),"",計算結果!F940)=0,"",IF(ISNA(計算結果!F940),"",計算結果!F940))</f>
        <v/>
      </c>
      <c r="G940" s="10" t="str">
        <f>IF(IF(ISNA(計算結果!G940),"",計算結果!G940)=0,"",IF(ISNA(計算結果!G940),"",計算結果!G940))</f>
        <v/>
      </c>
      <c r="H940" s="13">
        <f>IF(IF(ISNA(計算結果!H940),"",計算結果!H940)=0,"",IF(ISNA(計算結果!H940),"",計算結果!H940))</f>
        <v>-2</v>
      </c>
      <c r="I940" s="12" t="str">
        <f>IF(IF(ISNA(計算結果!I940),"",計算結果!I940)=0,"",IF(ISNA(計算結果!I940),"",計算結果!I940))</f>
        <v/>
      </c>
      <c r="J940" s="12" t="str">
        <f>IF(IF(ISNA(計算結果!J940),"",計算結果!J940)=0,"",IF(ISNA(計算結果!J940),"",計算結果!J940))</f>
        <v/>
      </c>
      <c r="K940" s="23" t="str">
        <f>IF(IF(ISNA(計算結果!K940),"",計算結果!K940)=0,"",IF(ISNA(計算結果!K940),"",計算結果!K940))</f>
        <v/>
      </c>
      <c r="L940" s="13" t="str">
        <f>IF(IF(ISNA(計算結果!L940),"",計算結果!L940)=0,"",IF(ISNA(計算結果!L940),"",計算結果!L940))</f>
        <v/>
      </c>
      <c r="M940" s="10" t="str">
        <f>IF(IF(ISNA(計算結果!M940),"",計算結果!M940)=0,"",IF(ISNA(計算結果!M940),"",計算結果!M940))</f>
        <v/>
      </c>
      <c r="N940" s="10" t="str">
        <f>IF(IF(ISNA(計算結果!N940),"",計算結果!N940)=0,"",IF(ISNA(計算結果!N940),"",計算結果!N940))</f>
        <v/>
      </c>
      <c r="O940" s="13" t="str">
        <f>IF(IF(ISNA(計算結果!O940),"",計算結果!O940)=0,"",IF(ISNA(計算結果!O940),"",計算結果!O940))</f>
        <v/>
      </c>
      <c r="P940" s="10" t="str">
        <f>IF(IF(ISNA(計算結果!P940),"",計算結果!P940)=0,"",IF(ISNA(計算結果!P940),"",計算結果!P940))</f>
        <v/>
      </c>
      <c r="Q940" s="10" t="str">
        <f>IF(IF(ISNA(計算結果!Q940),"",計算結果!Q940)=0,"",IF(ISNA(計算結果!Q940),"",計算結果!Q940))</f>
        <v/>
      </c>
      <c r="R940" s="14" t="str">
        <f t="shared" si="42"/>
        <v/>
      </c>
      <c r="S940" s="14" t="str">
        <f t="shared" si="43"/>
        <v>◯</v>
      </c>
      <c r="T940" s="14" t="str">
        <f t="shared" si="44"/>
        <v/>
      </c>
    </row>
    <row r="941" spans="1:20" hidden="1" x14ac:dyDescent="0.45">
      <c r="A941" s="10" t="str">
        <f>IF(IF(ISNA(計算結果!A941),"",計算結果!A941)=0,"",IF(ISNA(計算結果!A941),"",計算結果!A941))</f>
        <v/>
      </c>
      <c r="B941" s="10" t="str">
        <f>IF(IF(ISNA(計算結果!B941),"",計算結果!B941)=0,"",IF(ISNA(計算結果!B941),"",計算結果!B941))</f>
        <v/>
      </c>
      <c r="C941" s="10" t="str">
        <f>IF(IF(ISNA(計算結果!C941),"",計算結果!C941)=0,"",IF(ISNA(計算結果!C941),"",計算結果!C941))</f>
        <v/>
      </c>
      <c r="D941" s="10" t="str">
        <f>IF(IF(ISNA(計算結果!D941),"",計算結果!D941)=0,"",IF(ISNA(計算結果!D941),"",計算結果!D941))</f>
        <v>L</v>
      </c>
      <c r="E941" s="10" t="str">
        <f>IF(IF(ISNA(計算結果!E941),"",計算結果!E941)=0,"",IF(ISNA(計算結果!E941),"",計算結果!E941))</f>
        <v/>
      </c>
      <c r="F941" s="10" t="str">
        <f>IF(IF(ISNA(計算結果!F941),"",計算結果!F941)=0,"",IF(ISNA(計算結果!F941),"",計算結果!F941))</f>
        <v/>
      </c>
      <c r="G941" s="10" t="str">
        <f>IF(IF(ISNA(計算結果!G941),"",計算結果!G941)=0,"",IF(ISNA(計算結果!G941),"",計算結果!G941))</f>
        <v/>
      </c>
      <c r="H941" s="13">
        <f>IF(IF(ISNA(計算結果!H941),"",計算結果!H941)=0,"",IF(ISNA(計算結果!H941),"",計算結果!H941))</f>
        <v>-2</v>
      </c>
      <c r="I941" s="12" t="str">
        <f>IF(IF(ISNA(計算結果!I941),"",計算結果!I941)=0,"",IF(ISNA(計算結果!I941),"",計算結果!I941))</f>
        <v/>
      </c>
      <c r="J941" s="12" t="str">
        <f>IF(IF(ISNA(計算結果!J941),"",計算結果!J941)=0,"",IF(ISNA(計算結果!J941),"",計算結果!J941))</f>
        <v/>
      </c>
      <c r="K941" s="23" t="str">
        <f>IF(IF(ISNA(計算結果!K941),"",計算結果!K941)=0,"",IF(ISNA(計算結果!K941),"",計算結果!K941))</f>
        <v/>
      </c>
      <c r="L941" s="13" t="str">
        <f>IF(IF(ISNA(計算結果!L941),"",計算結果!L941)=0,"",IF(ISNA(計算結果!L941),"",計算結果!L941))</f>
        <v/>
      </c>
      <c r="M941" s="10" t="str">
        <f>IF(IF(ISNA(計算結果!M941),"",計算結果!M941)=0,"",IF(ISNA(計算結果!M941),"",計算結果!M941))</f>
        <v/>
      </c>
      <c r="N941" s="10" t="str">
        <f>IF(IF(ISNA(計算結果!N941),"",計算結果!N941)=0,"",IF(ISNA(計算結果!N941),"",計算結果!N941))</f>
        <v/>
      </c>
      <c r="O941" s="13" t="str">
        <f>IF(IF(ISNA(計算結果!O941),"",計算結果!O941)=0,"",IF(ISNA(計算結果!O941),"",計算結果!O941))</f>
        <v/>
      </c>
      <c r="P941" s="10" t="str">
        <f>IF(IF(ISNA(計算結果!P941),"",計算結果!P941)=0,"",IF(ISNA(計算結果!P941),"",計算結果!P941))</f>
        <v/>
      </c>
      <c r="Q941" s="10" t="str">
        <f>IF(IF(ISNA(計算結果!Q941),"",計算結果!Q941)=0,"",IF(ISNA(計算結果!Q941),"",計算結果!Q941))</f>
        <v/>
      </c>
      <c r="R941" s="14" t="str">
        <f t="shared" si="42"/>
        <v/>
      </c>
      <c r="S941" s="14" t="str">
        <f t="shared" si="43"/>
        <v>◯</v>
      </c>
      <c r="T941" s="14" t="str">
        <f t="shared" si="44"/>
        <v/>
      </c>
    </row>
    <row r="942" spans="1:20" hidden="1" x14ac:dyDescent="0.45">
      <c r="A942" s="10" t="str">
        <f>IF(IF(ISNA(計算結果!A942),"",計算結果!A942)=0,"",IF(ISNA(計算結果!A942),"",計算結果!A942))</f>
        <v/>
      </c>
      <c r="B942" s="10" t="str">
        <f>IF(IF(ISNA(計算結果!B942),"",計算結果!B942)=0,"",IF(ISNA(計算結果!B942),"",計算結果!B942))</f>
        <v/>
      </c>
      <c r="C942" s="10" t="str">
        <f>IF(IF(ISNA(計算結果!C942),"",計算結果!C942)=0,"",IF(ISNA(計算結果!C942),"",計算結果!C942))</f>
        <v/>
      </c>
      <c r="D942" s="10" t="str">
        <f>IF(IF(ISNA(計算結果!D942),"",計算結果!D942)=0,"",IF(ISNA(計算結果!D942),"",計算結果!D942))</f>
        <v>L</v>
      </c>
      <c r="E942" s="10" t="str">
        <f>IF(IF(ISNA(計算結果!E942),"",計算結果!E942)=0,"",IF(ISNA(計算結果!E942),"",計算結果!E942))</f>
        <v/>
      </c>
      <c r="F942" s="10" t="str">
        <f>IF(IF(ISNA(計算結果!F942),"",計算結果!F942)=0,"",IF(ISNA(計算結果!F942),"",計算結果!F942))</f>
        <v/>
      </c>
      <c r="G942" s="10" t="str">
        <f>IF(IF(ISNA(計算結果!G942),"",計算結果!G942)=0,"",IF(ISNA(計算結果!G942),"",計算結果!G942))</f>
        <v/>
      </c>
      <c r="H942" s="13">
        <f>IF(IF(ISNA(計算結果!H942),"",計算結果!H942)=0,"",IF(ISNA(計算結果!H942),"",計算結果!H942))</f>
        <v>-2</v>
      </c>
      <c r="I942" s="12" t="str">
        <f>IF(IF(ISNA(計算結果!I942),"",計算結果!I942)=0,"",IF(ISNA(計算結果!I942),"",計算結果!I942))</f>
        <v/>
      </c>
      <c r="J942" s="12" t="str">
        <f>IF(IF(ISNA(計算結果!J942),"",計算結果!J942)=0,"",IF(ISNA(計算結果!J942),"",計算結果!J942))</f>
        <v/>
      </c>
      <c r="K942" s="23" t="str">
        <f>IF(IF(ISNA(計算結果!K942),"",計算結果!K942)=0,"",IF(ISNA(計算結果!K942),"",計算結果!K942))</f>
        <v/>
      </c>
      <c r="L942" s="13" t="str">
        <f>IF(IF(ISNA(計算結果!L942),"",計算結果!L942)=0,"",IF(ISNA(計算結果!L942),"",計算結果!L942))</f>
        <v/>
      </c>
      <c r="M942" s="10" t="str">
        <f>IF(IF(ISNA(計算結果!M942),"",計算結果!M942)=0,"",IF(ISNA(計算結果!M942),"",計算結果!M942))</f>
        <v/>
      </c>
      <c r="N942" s="10" t="str">
        <f>IF(IF(ISNA(計算結果!N942),"",計算結果!N942)=0,"",IF(ISNA(計算結果!N942),"",計算結果!N942))</f>
        <v/>
      </c>
      <c r="O942" s="13" t="str">
        <f>IF(IF(ISNA(計算結果!O942),"",計算結果!O942)=0,"",IF(ISNA(計算結果!O942),"",計算結果!O942))</f>
        <v/>
      </c>
      <c r="P942" s="10" t="str">
        <f>IF(IF(ISNA(計算結果!P942),"",計算結果!P942)=0,"",IF(ISNA(計算結果!P942),"",計算結果!P942))</f>
        <v/>
      </c>
      <c r="Q942" s="10" t="str">
        <f>IF(IF(ISNA(計算結果!Q942),"",計算結果!Q942)=0,"",IF(ISNA(計算結果!Q942),"",計算結果!Q942))</f>
        <v/>
      </c>
      <c r="R942" s="14" t="str">
        <f t="shared" si="42"/>
        <v/>
      </c>
      <c r="S942" s="14" t="str">
        <f t="shared" si="43"/>
        <v>◯</v>
      </c>
      <c r="T942" s="14" t="str">
        <f t="shared" si="44"/>
        <v/>
      </c>
    </row>
    <row r="943" spans="1:20" hidden="1" x14ac:dyDescent="0.45">
      <c r="A943" s="10" t="str">
        <f>IF(IF(ISNA(計算結果!A943),"",計算結果!A943)=0,"",IF(ISNA(計算結果!A943),"",計算結果!A943))</f>
        <v/>
      </c>
      <c r="B943" s="10" t="str">
        <f>IF(IF(ISNA(計算結果!B943),"",計算結果!B943)=0,"",IF(ISNA(計算結果!B943),"",計算結果!B943))</f>
        <v/>
      </c>
      <c r="C943" s="10" t="str">
        <f>IF(IF(ISNA(計算結果!C943),"",計算結果!C943)=0,"",IF(ISNA(計算結果!C943),"",計算結果!C943))</f>
        <v/>
      </c>
      <c r="D943" s="10" t="str">
        <f>IF(IF(ISNA(計算結果!D943),"",計算結果!D943)=0,"",IF(ISNA(計算結果!D943),"",計算結果!D943))</f>
        <v>L</v>
      </c>
      <c r="E943" s="10" t="str">
        <f>IF(IF(ISNA(計算結果!E943),"",計算結果!E943)=0,"",IF(ISNA(計算結果!E943),"",計算結果!E943))</f>
        <v/>
      </c>
      <c r="F943" s="10" t="str">
        <f>IF(IF(ISNA(計算結果!F943),"",計算結果!F943)=0,"",IF(ISNA(計算結果!F943),"",計算結果!F943))</f>
        <v/>
      </c>
      <c r="G943" s="10" t="str">
        <f>IF(IF(ISNA(計算結果!G943),"",計算結果!G943)=0,"",IF(ISNA(計算結果!G943),"",計算結果!G943))</f>
        <v/>
      </c>
      <c r="H943" s="13">
        <f>IF(IF(ISNA(計算結果!H943),"",計算結果!H943)=0,"",IF(ISNA(計算結果!H943),"",計算結果!H943))</f>
        <v>-2</v>
      </c>
      <c r="I943" s="12" t="str">
        <f>IF(IF(ISNA(計算結果!I943),"",計算結果!I943)=0,"",IF(ISNA(計算結果!I943),"",計算結果!I943))</f>
        <v/>
      </c>
      <c r="J943" s="12" t="str">
        <f>IF(IF(ISNA(計算結果!J943),"",計算結果!J943)=0,"",IF(ISNA(計算結果!J943),"",計算結果!J943))</f>
        <v/>
      </c>
      <c r="K943" s="23" t="str">
        <f>IF(IF(ISNA(計算結果!K943),"",計算結果!K943)=0,"",IF(ISNA(計算結果!K943),"",計算結果!K943))</f>
        <v/>
      </c>
      <c r="L943" s="13" t="str">
        <f>IF(IF(ISNA(計算結果!L943),"",計算結果!L943)=0,"",IF(ISNA(計算結果!L943),"",計算結果!L943))</f>
        <v/>
      </c>
      <c r="M943" s="10" t="str">
        <f>IF(IF(ISNA(計算結果!M943),"",計算結果!M943)=0,"",IF(ISNA(計算結果!M943),"",計算結果!M943))</f>
        <v/>
      </c>
      <c r="N943" s="10" t="str">
        <f>IF(IF(ISNA(計算結果!N943),"",計算結果!N943)=0,"",IF(ISNA(計算結果!N943),"",計算結果!N943))</f>
        <v/>
      </c>
      <c r="O943" s="13" t="str">
        <f>IF(IF(ISNA(計算結果!O943),"",計算結果!O943)=0,"",IF(ISNA(計算結果!O943),"",計算結果!O943))</f>
        <v/>
      </c>
      <c r="P943" s="10" t="str">
        <f>IF(IF(ISNA(計算結果!P943),"",計算結果!P943)=0,"",IF(ISNA(計算結果!P943),"",計算結果!P943))</f>
        <v/>
      </c>
      <c r="Q943" s="10" t="str">
        <f>IF(IF(ISNA(計算結果!Q943),"",計算結果!Q943)=0,"",IF(ISNA(計算結果!Q943),"",計算結果!Q943))</f>
        <v/>
      </c>
      <c r="R943" s="14" t="str">
        <f t="shared" si="42"/>
        <v/>
      </c>
      <c r="S943" s="14" t="str">
        <f t="shared" si="43"/>
        <v>◯</v>
      </c>
      <c r="T943" s="14" t="str">
        <f t="shared" si="44"/>
        <v/>
      </c>
    </row>
    <row r="944" spans="1:20" hidden="1" x14ac:dyDescent="0.45">
      <c r="A944" s="10" t="str">
        <f>IF(IF(ISNA(計算結果!A944),"",計算結果!A944)=0,"",IF(ISNA(計算結果!A944),"",計算結果!A944))</f>
        <v/>
      </c>
      <c r="B944" s="10" t="str">
        <f>IF(IF(ISNA(計算結果!B944),"",計算結果!B944)=0,"",IF(ISNA(計算結果!B944),"",計算結果!B944))</f>
        <v/>
      </c>
      <c r="C944" s="10" t="str">
        <f>IF(IF(ISNA(計算結果!C944),"",計算結果!C944)=0,"",IF(ISNA(計算結果!C944),"",計算結果!C944))</f>
        <v/>
      </c>
      <c r="D944" s="10" t="str">
        <f>IF(IF(ISNA(計算結果!D944),"",計算結果!D944)=0,"",IF(ISNA(計算結果!D944),"",計算結果!D944))</f>
        <v>L</v>
      </c>
      <c r="E944" s="10" t="str">
        <f>IF(IF(ISNA(計算結果!E944),"",計算結果!E944)=0,"",IF(ISNA(計算結果!E944),"",計算結果!E944))</f>
        <v/>
      </c>
      <c r="F944" s="10" t="str">
        <f>IF(IF(ISNA(計算結果!F944),"",計算結果!F944)=0,"",IF(ISNA(計算結果!F944),"",計算結果!F944))</f>
        <v/>
      </c>
      <c r="G944" s="10" t="str">
        <f>IF(IF(ISNA(計算結果!G944),"",計算結果!G944)=0,"",IF(ISNA(計算結果!G944),"",計算結果!G944))</f>
        <v/>
      </c>
      <c r="H944" s="13">
        <f>IF(IF(ISNA(計算結果!H944),"",計算結果!H944)=0,"",IF(ISNA(計算結果!H944),"",計算結果!H944))</f>
        <v>-2</v>
      </c>
      <c r="I944" s="12" t="str">
        <f>IF(IF(ISNA(計算結果!I944),"",計算結果!I944)=0,"",IF(ISNA(計算結果!I944),"",計算結果!I944))</f>
        <v/>
      </c>
      <c r="J944" s="12" t="str">
        <f>IF(IF(ISNA(計算結果!J944),"",計算結果!J944)=0,"",IF(ISNA(計算結果!J944),"",計算結果!J944))</f>
        <v/>
      </c>
      <c r="K944" s="23" t="str">
        <f>IF(IF(ISNA(計算結果!K944),"",計算結果!K944)=0,"",IF(ISNA(計算結果!K944),"",計算結果!K944))</f>
        <v/>
      </c>
      <c r="L944" s="13" t="str">
        <f>IF(IF(ISNA(計算結果!L944),"",計算結果!L944)=0,"",IF(ISNA(計算結果!L944),"",計算結果!L944))</f>
        <v/>
      </c>
      <c r="M944" s="10" t="str">
        <f>IF(IF(ISNA(計算結果!M944),"",計算結果!M944)=0,"",IF(ISNA(計算結果!M944),"",計算結果!M944))</f>
        <v/>
      </c>
      <c r="N944" s="10" t="str">
        <f>IF(IF(ISNA(計算結果!N944),"",計算結果!N944)=0,"",IF(ISNA(計算結果!N944),"",計算結果!N944))</f>
        <v/>
      </c>
      <c r="O944" s="13" t="str">
        <f>IF(IF(ISNA(計算結果!O944),"",計算結果!O944)=0,"",IF(ISNA(計算結果!O944),"",計算結果!O944))</f>
        <v/>
      </c>
      <c r="P944" s="10" t="str">
        <f>IF(IF(ISNA(計算結果!P944),"",計算結果!P944)=0,"",IF(ISNA(計算結果!P944),"",計算結果!P944))</f>
        <v/>
      </c>
      <c r="Q944" s="10" t="str">
        <f>IF(IF(ISNA(計算結果!Q944),"",計算結果!Q944)=0,"",IF(ISNA(計算結果!Q944),"",計算結果!Q944))</f>
        <v/>
      </c>
      <c r="R944" s="14" t="str">
        <f t="shared" si="42"/>
        <v/>
      </c>
      <c r="S944" s="14" t="str">
        <f t="shared" si="43"/>
        <v>◯</v>
      </c>
      <c r="T944" s="14" t="str">
        <f t="shared" si="44"/>
        <v/>
      </c>
    </row>
    <row r="945" spans="1:20" hidden="1" x14ac:dyDescent="0.45">
      <c r="A945" s="10" t="str">
        <f>IF(IF(ISNA(計算結果!A945),"",計算結果!A945)=0,"",IF(ISNA(計算結果!A945),"",計算結果!A945))</f>
        <v/>
      </c>
      <c r="B945" s="10" t="str">
        <f>IF(IF(ISNA(計算結果!B945),"",計算結果!B945)=0,"",IF(ISNA(計算結果!B945),"",計算結果!B945))</f>
        <v/>
      </c>
      <c r="C945" s="10" t="str">
        <f>IF(IF(ISNA(計算結果!C945),"",計算結果!C945)=0,"",IF(ISNA(計算結果!C945),"",計算結果!C945))</f>
        <v/>
      </c>
      <c r="D945" s="10" t="str">
        <f>IF(IF(ISNA(計算結果!D945),"",計算結果!D945)=0,"",IF(ISNA(計算結果!D945),"",計算結果!D945))</f>
        <v>L</v>
      </c>
      <c r="E945" s="10" t="str">
        <f>IF(IF(ISNA(計算結果!E945),"",計算結果!E945)=0,"",IF(ISNA(計算結果!E945),"",計算結果!E945))</f>
        <v/>
      </c>
      <c r="F945" s="10" t="str">
        <f>IF(IF(ISNA(計算結果!F945),"",計算結果!F945)=0,"",IF(ISNA(計算結果!F945),"",計算結果!F945))</f>
        <v/>
      </c>
      <c r="G945" s="10" t="str">
        <f>IF(IF(ISNA(計算結果!G945),"",計算結果!G945)=0,"",IF(ISNA(計算結果!G945),"",計算結果!G945))</f>
        <v/>
      </c>
      <c r="H945" s="13">
        <f>IF(IF(ISNA(計算結果!H945),"",計算結果!H945)=0,"",IF(ISNA(計算結果!H945),"",計算結果!H945))</f>
        <v>-2</v>
      </c>
      <c r="I945" s="12" t="str">
        <f>IF(IF(ISNA(計算結果!I945),"",計算結果!I945)=0,"",IF(ISNA(計算結果!I945),"",計算結果!I945))</f>
        <v/>
      </c>
      <c r="J945" s="12" t="str">
        <f>IF(IF(ISNA(計算結果!J945),"",計算結果!J945)=0,"",IF(ISNA(計算結果!J945),"",計算結果!J945))</f>
        <v/>
      </c>
      <c r="K945" s="23" t="str">
        <f>IF(IF(ISNA(計算結果!K945),"",計算結果!K945)=0,"",IF(ISNA(計算結果!K945),"",計算結果!K945))</f>
        <v/>
      </c>
      <c r="L945" s="13" t="str">
        <f>IF(IF(ISNA(計算結果!L945),"",計算結果!L945)=0,"",IF(ISNA(計算結果!L945),"",計算結果!L945))</f>
        <v/>
      </c>
      <c r="M945" s="10" t="str">
        <f>IF(IF(ISNA(計算結果!M945),"",計算結果!M945)=0,"",IF(ISNA(計算結果!M945),"",計算結果!M945))</f>
        <v/>
      </c>
      <c r="N945" s="10" t="str">
        <f>IF(IF(ISNA(計算結果!N945),"",計算結果!N945)=0,"",IF(ISNA(計算結果!N945),"",計算結果!N945))</f>
        <v/>
      </c>
      <c r="O945" s="13" t="str">
        <f>IF(IF(ISNA(計算結果!O945),"",計算結果!O945)=0,"",IF(ISNA(計算結果!O945),"",計算結果!O945))</f>
        <v/>
      </c>
      <c r="P945" s="10" t="str">
        <f>IF(IF(ISNA(計算結果!P945),"",計算結果!P945)=0,"",IF(ISNA(計算結果!P945),"",計算結果!P945))</f>
        <v/>
      </c>
      <c r="Q945" s="10" t="str">
        <f>IF(IF(ISNA(計算結果!Q945),"",計算結果!Q945)=0,"",IF(ISNA(計算結果!Q945),"",計算結果!Q945))</f>
        <v/>
      </c>
      <c r="R945" s="14" t="str">
        <f t="shared" si="42"/>
        <v/>
      </c>
      <c r="S945" s="14" t="str">
        <f t="shared" si="43"/>
        <v>◯</v>
      </c>
      <c r="T945" s="14" t="str">
        <f t="shared" si="44"/>
        <v/>
      </c>
    </row>
    <row r="946" spans="1:20" hidden="1" x14ac:dyDescent="0.45">
      <c r="A946" s="10" t="str">
        <f>IF(IF(ISNA(計算結果!A946),"",計算結果!A946)=0,"",IF(ISNA(計算結果!A946),"",計算結果!A946))</f>
        <v/>
      </c>
      <c r="B946" s="10" t="str">
        <f>IF(IF(ISNA(計算結果!B946),"",計算結果!B946)=0,"",IF(ISNA(計算結果!B946),"",計算結果!B946))</f>
        <v/>
      </c>
      <c r="C946" s="10" t="str">
        <f>IF(IF(ISNA(計算結果!C946),"",計算結果!C946)=0,"",IF(ISNA(計算結果!C946),"",計算結果!C946))</f>
        <v/>
      </c>
      <c r="D946" s="10" t="str">
        <f>IF(IF(ISNA(計算結果!D946),"",計算結果!D946)=0,"",IF(ISNA(計算結果!D946),"",計算結果!D946))</f>
        <v>L</v>
      </c>
      <c r="E946" s="10" t="str">
        <f>IF(IF(ISNA(計算結果!E946),"",計算結果!E946)=0,"",IF(ISNA(計算結果!E946),"",計算結果!E946))</f>
        <v/>
      </c>
      <c r="F946" s="10" t="str">
        <f>IF(IF(ISNA(計算結果!F946),"",計算結果!F946)=0,"",IF(ISNA(計算結果!F946),"",計算結果!F946))</f>
        <v/>
      </c>
      <c r="G946" s="10" t="str">
        <f>IF(IF(ISNA(計算結果!G946),"",計算結果!G946)=0,"",IF(ISNA(計算結果!G946),"",計算結果!G946))</f>
        <v/>
      </c>
      <c r="H946" s="13">
        <f>IF(IF(ISNA(計算結果!H946),"",計算結果!H946)=0,"",IF(ISNA(計算結果!H946),"",計算結果!H946))</f>
        <v>-2</v>
      </c>
      <c r="I946" s="12" t="str">
        <f>IF(IF(ISNA(計算結果!I946),"",計算結果!I946)=0,"",IF(ISNA(計算結果!I946),"",計算結果!I946))</f>
        <v/>
      </c>
      <c r="J946" s="12" t="str">
        <f>IF(IF(ISNA(計算結果!J946),"",計算結果!J946)=0,"",IF(ISNA(計算結果!J946),"",計算結果!J946))</f>
        <v/>
      </c>
      <c r="K946" s="23" t="str">
        <f>IF(IF(ISNA(計算結果!K946),"",計算結果!K946)=0,"",IF(ISNA(計算結果!K946),"",計算結果!K946))</f>
        <v/>
      </c>
      <c r="L946" s="13" t="str">
        <f>IF(IF(ISNA(計算結果!L946),"",計算結果!L946)=0,"",IF(ISNA(計算結果!L946),"",計算結果!L946))</f>
        <v/>
      </c>
      <c r="M946" s="10" t="str">
        <f>IF(IF(ISNA(計算結果!M946),"",計算結果!M946)=0,"",IF(ISNA(計算結果!M946),"",計算結果!M946))</f>
        <v/>
      </c>
      <c r="N946" s="10" t="str">
        <f>IF(IF(ISNA(計算結果!N946),"",計算結果!N946)=0,"",IF(ISNA(計算結果!N946),"",計算結果!N946))</f>
        <v/>
      </c>
      <c r="O946" s="13" t="str">
        <f>IF(IF(ISNA(計算結果!O946),"",計算結果!O946)=0,"",IF(ISNA(計算結果!O946),"",計算結果!O946))</f>
        <v/>
      </c>
      <c r="P946" s="10" t="str">
        <f>IF(IF(ISNA(計算結果!P946),"",計算結果!P946)=0,"",IF(ISNA(計算結果!P946),"",計算結果!P946))</f>
        <v/>
      </c>
      <c r="Q946" s="10" t="str">
        <f>IF(IF(ISNA(計算結果!Q946),"",計算結果!Q946)=0,"",IF(ISNA(計算結果!Q946),"",計算結果!Q946))</f>
        <v/>
      </c>
      <c r="R946" s="14" t="str">
        <f t="shared" si="42"/>
        <v/>
      </c>
      <c r="S946" s="14" t="str">
        <f t="shared" si="43"/>
        <v>◯</v>
      </c>
      <c r="T946" s="14" t="str">
        <f t="shared" si="44"/>
        <v/>
      </c>
    </row>
    <row r="947" spans="1:20" hidden="1" x14ac:dyDescent="0.45">
      <c r="A947" s="10" t="str">
        <f>IF(IF(ISNA(計算結果!A947),"",計算結果!A947)=0,"",IF(ISNA(計算結果!A947),"",計算結果!A947))</f>
        <v/>
      </c>
      <c r="B947" s="10" t="str">
        <f>IF(IF(ISNA(計算結果!B947),"",計算結果!B947)=0,"",IF(ISNA(計算結果!B947),"",計算結果!B947))</f>
        <v/>
      </c>
      <c r="C947" s="10" t="str">
        <f>IF(IF(ISNA(計算結果!C947),"",計算結果!C947)=0,"",IF(ISNA(計算結果!C947),"",計算結果!C947))</f>
        <v/>
      </c>
      <c r="D947" s="10" t="str">
        <f>IF(IF(ISNA(計算結果!D947),"",計算結果!D947)=0,"",IF(ISNA(計算結果!D947),"",計算結果!D947))</f>
        <v>L</v>
      </c>
      <c r="E947" s="10" t="str">
        <f>IF(IF(ISNA(計算結果!E947),"",計算結果!E947)=0,"",IF(ISNA(計算結果!E947),"",計算結果!E947))</f>
        <v/>
      </c>
      <c r="F947" s="10" t="str">
        <f>IF(IF(ISNA(計算結果!F947),"",計算結果!F947)=0,"",IF(ISNA(計算結果!F947),"",計算結果!F947))</f>
        <v/>
      </c>
      <c r="G947" s="10" t="str">
        <f>IF(IF(ISNA(計算結果!G947),"",計算結果!G947)=0,"",IF(ISNA(計算結果!G947),"",計算結果!G947))</f>
        <v/>
      </c>
      <c r="H947" s="13">
        <f>IF(IF(ISNA(計算結果!H947),"",計算結果!H947)=0,"",IF(ISNA(計算結果!H947),"",計算結果!H947))</f>
        <v>-2</v>
      </c>
      <c r="I947" s="12" t="str">
        <f>IF(IF(ISNA(計算結果!I947),"",計算結果!I947)=0,"",IF(ISNA(計算結果!I947),"",計算結果!I947))</f>
        <v/>
      </c>
      <c r="J947" s="12" t="str">
        <f>IF(IF(ISNA(計算結果!J947),"",計算結果!J947)=0,"",IF(ISNA(計算結果!J947),"",計算結果!J947))</f>
        <v/>
      </c>
      <c r="K947" s="23" t="str">
        <f>IF(IF(ISNA(計算結果!K947),"",計算結果!K947)=0,"",IF(ISNA(計算結果!K947),"",計算結果!K947))</f>
        <v/>
      </c>
      <c r="L947" s="13" t="str">
        <f>IF(IF(ISNA(計算結果!L947),"",計算結果!L947)=0,"",IF(ISNA(計算結果!L947),"",計算結果!L947))</f>
        <v/>
      </c>
      <c r="M947" s="10" t="str">
        <f>IF(IF(ISNA(計算結果!M947),"",計算結果!M947)=0,"",IF(ISNA(計算結果!M947),"",計算結果!M947))</f>
        <v/>
      </c>
      <c r="N947" s="10" t="str">
        <f>IF(IF(ISNA(計算結果!N947),"",計算結果!N947)=0,"",IF(ISNA(計算結果!N947),"",計算結果!N947))</f>
        <v/>
      </c>
      <c r="O947" s="13" t="str">
        <f>IF(IF(ISNA(計算結果!O947),"",計算結果!O947)=0,"",IF(ISNA(計算結果!O947),"",計算結果!O947))</f>
        <v/>
      </c>
      <c r="P947" s="10" t="str">
        <f>IF(IF(ISNA(計算結果!P947),"",計算結果!P947)=0,"",IF(ISNA(計算結果!P947),"",計算結果!P947))</f>
        <v/>
      </c>
      <c r="Q947" s="10" t="str">
        <f>IF(IF(ISNA(計算結果!Q947),"",計算結果!Q947)=0,"",IF(ISNA(計算結果!Q947),"",計算結果!Q947))</f>
        <v/>
      </c>
      <c r="R947" s="14" t="str">
        <f t="shared" si="42"/>
        <v/>
      </c>
      <c r="S947" s="14" t="str">
        <f t="shared" si="43"/>
        <v>◯</v>
      </c>
      <c r="T947" s="14" t="str">
        <f t="shared" si="44"/>
        <v/>
      </c>
    </row>
    <row r="948" spans="1:20" hidden="1" x14ac:dyDescent="0.45">
      <c r="A948" s="10" t="str">
        <f>IF(IF(ISNA(計算結果!A948),"",計算結果!A948)=0,"",IF(ISNA(計算結果!A948),"",計算結果!A948))</f>
        <v/>
      </c>
      <c r="B948" s="10" t="str">
        <f>IF(IF(ISNA(計算結果!B948),"",計算結果!B948)=0,"",IF(ISNA(計算結果!B948),"",計算結果!B948))</f>
        <v/>
      </c>
      <c r="C948" s="10" t="str">
        <f>IF(IF(ISNA(計算結果!C948),"",計算結果!C948)=0,"",IF(ISNA(計算結果!C948),"",計算結果!C948))</f>
        <v/>
      </c>
      <c r="D948" s="10" t="str">
        <f>IF(IF(ISNA(計算結果!D948),"",計算結果!D948)=0,"",IF(ISNA(計算結果!D948),"",計算結果!D948))</f>
        <v>L</v>
      </c>
      <c r="E948" s="10" t="str">
        <f>IF(IF(ISNA(計算結果!E948),"",計算結果!E948)=0,"",IF(ISNA(計算結果!E948),"",計算結果!E948))</f>
        <v/>
      </c>
      <c r="F948" s="10" t="str">
        <f>IF(IF(ISNA(計算結果!F948),"",計算結果!F948)=0,"",IF(ISNA(計算結果!F948),"",計算結果!F948))</f>
        <v/>
      </c>
      <c r="G948" s="10" t="str">
        <f>IF(IF(ISNA(計算結果!G948),"",計算結果!G948)=0,"",IF(ISNA(計算結果!G948),"",計算結果!G948))</f>
        <v/>
      </c>
      <c r="H948" s="13">
        <f>IF(IF(ISNA(計算結果!H948),"",計算結果!H948)=0,"",IF(ISNA(計算結果!H948),"",計算結果!H948))</f>
        <v>-2</v>
      </c>
      <c r="I948" s="12" t="str">
        <f>IF(IF(ISNA(計算結果!I948),"",計算結果!I948)=0,"",IF(ISNA(計算結果!I948),"",計算結果!I948))</f>
        <v/>
      </c>
      <c r="J948" s="12" t="str">
        <f>IF(IF(ISNA(計算結果!J948),"",計算結果!J948)=0,"",IF(ISNA(計算結果!J948),"",計算結果!J948))</f>
        <v/>
      </c>
      <c r="K948" s="23" t="str">
        <f>IF(IF(ISNA(計算結果!K948),"",計算結果!K948)=0,"",IF(ISNA(計算結果!K948),"",計算結果!K948))</f>
        <v/>
      </c>
      <c r="L948" s="13" t="str">
        <f>IF(IF(ISNA(計算結果!L948),"",計算結果!L948)=0,"",IF(ISNA(計算結果!L948),"",計算結果!L948))</f>
        <v/>
      </c>
      <c r="M948" s="10" t="str">
        <f>IF(IF(ISNA(計算結果!M948),"",計算結果!M948)=0,"",IF(ISNA(計算結果!M948),"",計算結果!M948))</f>
        <v/>
      </c>
      <c r="N948" s="10" t="str">
        <f>IF(IF(ISNA(計算結果!N948),"",計算結果!N948)=0,"",IF(ISNA(計算結果!N948),"",計算結果!N948))</f>
        <v/>
      </c>
      <c r="O948" s="13" t="str">
        <f>IF(IF(ISNA(計算結果!O948),"",計算結果!O948)=0,"",IF(ISNA(計算結果!O948),"",計算結果!O948))</f>
        <v/>
      </c>
      <c r="P948" s="10" t="str">
        <f>IF(IF(ISNA(計算結果!P948),"",計算結果!P948)=0,"",IF(ISNA(計算結果!P948),"",計算結果!P948))</f>
        <v/>
      </c>
      <c r="Q948" s="10" t="str">
        <f>IF(IF(ISNA(計算結果!Q948),"",計算結果!Q948)=0,"",IF(ISNA(計算結果!Q948),"",計算結果!Q948))</f>
        <v/>
      </c>
      <c r="R948" s="14" t="str">
        <f t="shared" si="42"/>
        <v/>
      </c>
      <c r="S948" s="14" t="str">
        <f t="shared" si="43"/>
        <v>◯</v>
      </c>
      <c r="T948" s="14" t="str">
        <f t="shared" si="44"/>
        <v/>
      </c>
    </row>
    <row r="949" spans="1:20" hidden="1" x14ac:dyDescent="0.45">
      <c r="A949" s="10" t="str">
        <f>IF(IF(ISNA(計算結果!A949),"",計算結果!A949)=0,"",IF(ISNA(計算結果!A949),"",計算結果!A949))</f>
        <v/>
      </c>
      <c r="B949" s="10" t="str">
        <f>IF(IF(ISNA(計算結果!B949),"",計算結果!B949)=0,"",IF(ISNA(計算結果!B949),"",計算結果!B949))</f>
        <v/>
      </c>
      <c r="C949" s="10" t="str">
        <f>IF(IF(ISNA(計算結果!C949),"",計算結果!C949)=0,"",IF(ISNA(計算結果!C949),"",計算結果!C949))</f>
        <v/>
      </c>
      <c r="D949" s="10" t="str">
        <f>IF(IF(ISNA(計算結果!D949),"",計算結果!D949)=0,"",IF(ISNA(計算結果!D949),"",計算結果!D949))</f>
        <v>L</v>
      </c>
      <c r="E949" s="10" t="str">
        <f>IF(IF(ISNA(計算結果!E949),"",計算結果!E949)=0,"",IF(ISNA(計算結果!E949),"",計算結果!E949))</f>
        <v/>
      </c>
      <c r="F949" s="10" t="str">
        <f>IF(IF(ISNA(計算結果!F949),"",計算結果!F949)=0,"",IF(ISNA(計算結果!F949),"",計算結果!F949))</f>
        <v/>
      </c>
      <c r="G949" s="10" t="str">
        <f>IF(IF(ISNA(計算結果!G949),"",計算結果!G949)=0,"",IF(ISNA(計算結果!G949),"",計算結果!G949))</f>
        <v/>
      </c>
      <c r="H949" s="13">
        <f>IF(IF(ISNA(計算結果!H949),"",計算結果!H949)=0,"",IF(ISNA(計算結果!H949),"",計算結果!H949))</f>
        <v>-2</v>
      </c>
      <c r="I949" s="12" t="str">
        <f>IF(IF(ISNA(計算結果!I949),"",計算結果!I949)=0,"",IF(ISNA(計算結果!I949),"",計算結果!I949))</f>
        <v/>
      </c>
      <c r="J949" s="12" t="str">
        <f>IF(IF(ISNA(計算結果!J949),"",計算結果!J949)=0,"",IF(ISNA(計算結果!J949),"",計算結果!J949))</f>
        <v/>
      </c>
      <c r="K949" s="23" t="str">
        <f>IF(IF(ISNA(計算結果!K949),"",計算結果!K949)=0,"",IF(ISNA(計算結果!K949),"",計算結果!K949))</f>
        <v/>
      </c>
      <c r="L949" s="13" t="str">
        <f>IF(IF(ISNA(計算結果!L949),"",計算結果!L949)=0,"",IF(ISNA(計算結果!L949),"",計算結果!L949))</f>
        <v/>
      </c>
      <c r="M949" s="10" t="str">
        <f>IF(IF(ISNA(計算結果!M949),"",計算結果!M949)=0,"",IF(ISNA(計算結果!M949),"",計算結果!M949))</f>
        <v/>
      </c>
      <c r="N949" s="10" t="str">
        <f>IF(IF(ISNA(計算結果!N949),"",計算結果!N949)=0,"",IF(ISNA(計算結果!N949),"",計算結果!N949))</f>
        <v/>
      </c>
      <c r="O949" s="13" t="str">
        <f>IF(IF(ISNA(計算結果!O949),"",計算結果!O949)=0,"",IF(ISNA(計算結果!O949),"",計算結果!O949))</f>
        <v/>
      </c>
      <c r="P949" s="10" t="str">
        <f>IF(IF(ISNA(計算結果!P949),"",計算結果!P949)=0,"",IF(ISNA(計算結果!P949),"",計算結果!P949))</f>
        <v/>
      </c>
      <c r="Q949" s="10" t="str">
        <f>IF(IF(ISNA(計算結果!Q949),"",計算結果!Q949)=0,"",IF(ISNA(計算結果!Q949),"",計算結果!Q949))</f>
        <v/>
      </c>
      <c r="R949" s="14" t="str">
        <f t="shared" si="42"/>
        <v/>
      </c>
      <c r="S949" s="14" t="str">
        <f t="shared" si="43"/>
        <v>◯</v>
      </c>
      <c r="T949" s="14" t="str">
        <f t="shared" si="44"/>
        <v/>
      </c>
    </row>
    <row r="950" spans="1:20" hidden="1" x14ac:dyDescent="0.45">
      <c r="A950" s="10" t="str">
        <f>IF(IF(ISNA(計算結果!A950),"",計算結果!A950)=0,"",IF(ISNA(計算結果!A950),"",計算結果!A950))</f>
        <v/>
      </c>
      <c r="B950" s="10" t="str">
        <f>IF(IF(ISNA(計算結果!B950),"",計算結果!B950)=0,"",IF(ISNA(計算結果!B950),"",計算結果!B950))</f>
        <v/>
      </c>
      <c r="C950" s="10" t="str">
        <f>IF(IF(ISNA(計算結果!C950),"",計算結果!C950)=0,"",IF(ISNA(計算結果!C950),"",計算結果!C950))</f>
        <v/>
      </c>
      <c r="D950" s="10" t="str">
        <f>IF(IF(ISNA(計算結果!D950),"",計算結果!D950)=0,"",IF(ISNA(計算結果!D950),"",計算結果!D950))</f>
        <v>L</v>
      </c>
      <c r="E950" s="10" t="str">
        <f>IF(IF(ISNA(計算結果!E950),"",計算結果!E950)=0,"",IF(ISNA(計算結果!E950),"",計算結果!E950))</f>
        <v/>
      </c>
      <c r="F950" s="10" t="str">
        <f>IF(IF(ISNA(計算結果!F950),"",計算結果!F950)=0,"",IF(ISNA(計算結果!F950),"",計算結果!F950))</f>
        <v/>
      </c>
      <c r="G950" s="10" t="str">
        <f>IF(IF(ISNA(計算結果!G950),"",計算結果!G950)=0,"",IF(ISNA(計算結果!G950),"",計算結果!G950))</f>
        <v/>
      </c>
      <c r="H950" s="13">
        <f>IF(IF(ISNA(計算結果!H950),"",計算結果!H950)=0,"",IF(ISNA(計算結果!H950),"",計算結果!H950))</f>
        <v>-2</v>
      </c>
      <c r="I950" s="12" t="str">
        <f>IF(IF(ISNA(計算結果!I950),"",計算結果!I950)=0,"",IF(ISNA(計算結果!I950),"",計算結果!I950))</f>
        <v/>
      </c>
      <c r="J950" s="12" t="str">
        <f>IF(IF(ISNA(計算結果!J950),"",計算結果!J950)=0,"",IF(ISNA(計算結果!J950),"",計算結果!J950))</f>
        <v/>
      </c>
      <c r="K950" s="23" t="str">
        <f>IF(IF(ISNA(計算結果!K950),"",計算結果!K950)=0,"",IF(ISNA(計算結果!K950),"",計算結果!K950))</f>
        <v/>
      </c>
      <c r="L950" s="13" t="str">
        <f>IF(IF(ISNA(計算結果!L950),"",計算結果!L950)=0,"",IF(ISNA(計算結果!L950),"",計算結果!L950))</f>
        <v/>
      </c>
      <c r="M950" s="10" t="str">
        <f>IF(IF(ISNA(計算結果!M950),"",計算結果!M950)=0,"",IF(ISNA(計算結果!M950),"",計算結果!M950))</f>
        <v/>
      </c>
      <c r="N950" s="10" t="str">
        <f>IF(IF(ISNA(計算結果!N950),"",計算結果!N950)=0,"",IF(ISNA(計算結果!N950),"",計算結果!N950))</f>
        <v/>
      </c>
      <c r="O950" s="13" t="str">
        <f>IF(IF(ISNA(計算結果!O950),"",計算結果!O950)=0,"",IF(ISNA(計算結果!O950),"",計算結果!O950))</f>
        <v/>
      </c>
      <c r="P950" s="10" t="str">
        <f>IF(IF(ISNA(計算結果!P950),"",計算結果!P950)=0,"",IF(ISNA(計算結果!P950),"",計算結果!P950))</f>
        <v/>
      </c>
      <c r="Q950" s="10" t="str">
        <f>IF(IF(ISNA(計算結果!Q950),"",計算結果!Q950)=0,"",IF(ISNA(計算結果!Q950),"",計算結果!Q950))</f>
        <v/>
      </c>
      <c r="R950" s="14" t="str">
        <f t="shared" si="42"/>
        <v/>
      </c>
      <c r="S950" s="14" t="str">
        <f t="shared" si="43"/>
        <v>◯</v>
      </c>
      <c r="T950" s="14" t="str">
        <f t="shared" si="44"/>
        <v/>
      </c>
    </row>
    <row r="951" spans="1:20" hidden="1" x14ac:dyDescent="0.45">
      <c r="A951" s="10" t="str">
        <f>IF(IF(ISNA(計算結果!A951),"",計算結果!A951)=0,"",IF(ISNA(計算結果!A951),"",計算結果!A951))</f>
        <v/>
      </c>
      <c r="B951" s="10" t="str">
        <f>IF(IF(ISNA(計算結果!B951),"",計算結果!B951)=0,"",IF(ISNA(計算結果!B951),"",計算結果!B951))</f>
        <v/>
      </c>
      <c r="C951" s="10" t="str">
        <f>IF(IF(ISNA(計算結果!C951),"",計算結果!C951)=0,"",IF(ISNA(計算結果!C951),"",計算結果!C951))</f>
        <v/>
      </c>
      <c r="D951" s="10" t="str">
        <f>IF(IF(ISNA(計算結果!D951),"",計算結果!D951)=0,"",IF(ISNA(計算結果!D951),"",計算結果!D951))</f>
        <v>L</v>
      </c>
      <c r="E951" s="10" t="str">
        <f>IF(IF(ISNA(計算結果!E951),"",計算結果!E951)=0,"",IF(ISNA(計算結果!E951),"",計算結果!E951))</f>
        <v/>
      </c>
      <c r="F951" s="10" t="str">
        <f>IF(IF(ISNA(計算結果!F951),"",計算結果!F951)=0,"",IF(ISNA(計算結果!F951),"",計算結果!F951))</f>
        <v/>
      </c>
      <c r="G951" s="10" t="str">
        <f>IF(IF(ISNA(計算結果!G951),"",計算結果!G951)=0,"",IF(ISNA(計算結果!G951),"",計算結果!G951))</f>
        <v/>
      </c>
      <c r="H951" s="13">
        <f>IF(IF(ISNA(計算結果!H951),"",計算結果!H951)=0,"",IF(ISNA(計算結果!H951),"",計算結果!H951))</f>
        <v>-2</v>
      </c>
      <c r="I951" s="12" t="str">
        <f>IF(IF(ISNA(計算結果!I951),"",計算結果!I951)=0,"",IF(ISNA(計算結果!I951),"",計算結果!I951))</f>
        <v/>
      </c>
      <c r="J951" s="12" t="str">
        <f>IF(IF(ISNA(計算結果!J951),"",計算結果!J951)=0,"",IF(ISNA(計算結果!J951),"",計算結果!J951))</f>
        <v/>
      </c>
      <c r="K951" s="23" t="str">
        <f>IF(IF(ISNA(計算結果!K951),"",計算結果!K951)=0,"",IF(ISNA(計算結果!K951),"",計算結果!K951))</f>
        <v/>
      </c>
      <c r="L951" s="13" t="str">
        <f>IF(IF(ISNA(計算結果!L951),"",計算結果!L951)=0,"",IF(ISNA(計算結果!L951),"",計算結果!L951))</f>
        <v/>
      </c>
      <c r="M951" s="10" t="str">
        <f>IF(IF(ISNA(計算結果!M951),"",計算結果!M951)=0,"",IF(ISNA(計算結果!M951),"",計算結果!M951))</f>
        <v/>
      </c>
      <c r="N951" s="10" t="str">
        <f>IF(IF(ISNA(計算結果!N951),"",計算結果!N951)=0,"",IF(ISNA(計算結果!N951),"",計算結果!N951))</f>
        <v/>
      </c>
      <c r="O951" s="13" t="str">
        <f>IF(IF(ISNA(計算結果!O951),"",計算結果!O951)=0,"",IF(ISNA(計算結果!O951),"",計算結果!O951))</f>
        <v/>
      </c>
      <c r="P951" s="10" t="str">
        <f>IF(IF(ISNA(計算結果!P951),"",計算結果!P951)=0,"",IF(ISNA(計算結果!P951),"",計算結果!P951))</f>
        <v/>
      </c>
      <c r="Q951" s="10" t="str">
        <f>IF(IF(ISNA(計算結果!Q951),"",計算結果!Q951)=0,"",IF(ISNA(計算結果!Q951),"",計算結果!Q951))</f>
        <v/>
      </c>
      <c r="R951" s="14" t="str">
        <f t="shared" si="42"/>
        <v/>
      </c>
      <c r="S951" s="14" t="str">
        <f t="shared" si="43"/>
        <v>◯</v>
      </c>
      <c r="T951" s="14" t="str">
        <f t="shared" si="44"/>
        <v/>
      </c>
    </row>
    <row r="952" spans="1:20" hidden="1" x14ac:dyDescent="0.45">
      <c r="A952" s="10" t="str">
        <f>IF(IF(ISNA(計算結果!A952),"",計算結果!A952)=0,"",IF(ISNA(計算結果!A952),"",計算結果!A952))</f>
        <v/>
      </c>
      <c r="B952" s="10" t="str">
        <f>IF(IF(ISNA(計算結果!B952),"",計算結果!B952)=0,"",IF(ISNA(計算結果!B952),"",計算結果!B952))</f>
        <v/>
      </c>
      <c r="C952" s="10" t="str">
        <f>IF(IF(ISNA(計算結果!C952),"",計算結果!C952)=0,"",IF(ISNA(計算結果!C952),"",計算結果!C952))</f>
        <v/>
      </c>
      <c r="D952" s="10" t="str">
        <f>IF(IF(ISNA(計算結果!D952),"",計算結果!D952)=0,"",IF(ISNA(計算結果!D952),"",計算結果!D952))</f>
        <v>L</v>
      </c>
      <c r="E952" s="10" t="str">
        <f>IF(IF(ISNA(計算結果!E952),"",計算結果!E952)=0,"",IF(ISNA(計算結果!E952),"",計算結果!E952))</f>
        <v/>
      </c>
      <c r="F952" s="10" t="str">
        <f>IF(IF(ISNA(計算結果!F952),"",計算結果!F952)=0,"",IF(ISNA(計算結果!F952),"",計算結果!F952))</f>
        <v/>
      </c>
      <c r="G952" s="10" t="str">
        <f>IF(IF(ISNA(計算結果!G952),"",計算結果!G952)=0,"",IF(ISNA(計算結果!G952),"",計算結果!G952))</f>
        <v/>
      </c>
      <c r="H952" s="13">
        <f>IF(IF(ISNA(計算結果!H952),"",計算結果!H952)=0,"",IF(ISNA(計算結果!H952),"",計算結果!H952))</f>
        <v>-2</v>
      </c>
      <c r="I952" s="12" t="str">
        <f>IF(IF(ISNA(計算結果!I952),"",計算結果!I952)=0,"",IF(ISNA(計算結果!I952),"",計算結果!I952))</f>
        <v/>
      </c>
      <c r="J952" s="12" t="str">
        <f>IF(IF(ISNA(計算結果!J952),"",計算結果!J952)=0,"",IF(ISNA(計算結果!J952),"",計算結果!J952))</f>
        <v/>
      </c>
      <c r="K952" s="23" t="str">
        <f>IF(IF(ISNA(計算結果!K952),"",計算結果!K952)=0,"",IF(ISNA(計算結果!K952),"",計算結果!K952))</f>
        <v/>
      </c>
      <c r="L952" s="13" t="str">
        <f>IF(IF(ISNA(計算結果!L952),"",計算結果!L952)=0,"",IF(ISNA(計算結果!L952),"",計算結果!L952))</f>
        <v/>
      </c>
      <c r="M952" s="10" t="str">
        <f>IF(IF(ISNA(計算結果!M952),"",計算結果!M952)=0,"",IF(ISNA(計算結果!M952),"",計算結果!M952))</f>
        <v/>
      </c>
      <c r="N952" s="10" t="str">
        <f>IF(IF(ISNA(計算結果!N952),"",計算結果!N952)=0,"",IF(ISNA(計算結果!N952),"",計算結果!N952))</f>
        <v/>
      </c>
      <c r="O952" s="13" t="str">
        <f>IF(IF(ISNA(計算結果!O952),"",計算結果!O952)=0,"",IF(ISNA(計算結果!O952),"",計算結果!O952))</f>
        <v/>
      </c>
      <c r="P952" s="10" t="str">
        <f>IF(IF(ISNA(計算結果!P952),"",計算結果!P952)=0,"",IF(ISNA(計算結果!P952),"",計算結果!P952))</f>
        <v/>
      </c>
      <c r="Q952" s="10" t="str">
        <f>IF(IF(ISNA(計算結果!Q952),"",計算結果!Q952)=0,"",IF(ISNA(計算結果!Q952),"",計算結果!Q952))</f>
        <v/>
      </c>
      <c r="R952" s="14" t="str">
        <f t="shared" si="42"/>
        <v/>
      </c>
      <c r="S952" s="14" t="str">
        <f t="shared" si="43"/>
        <v>◯</v>
      </c>
      <c r="T952" s="14" t="str">
        <f t="shared" si="44"/>
        <v/>
      </c>
    </row>
    <row r="953" spans="1:20" hidden="1" x14ac:dyDescent="0.45">
      <c r="A953" s="10" t="str">
        <f>IF(IF(ISNA(計算結果!A953),"",計算結果!A953)=0,"",IF(ISNA(計算結果!A953),"",計算結果!A953))</f>
        <v/>
      </c>
      <c r="B953" s="10" t="str">
        <f>IF(IF(ISNA(計算結果!B953),"",計算結果!B953)=0,"",IF(ISNA(計算結果!B953),"",計算結果!B953))</f>
        <v/>
      </c>
      <c r="C953" s="10" t="str">
        <f>IF(IF(ISNA(計算結果!C953),"",計算結果!C953)=0,"",IF(ISNA(計算結果!C953),"",計算結果!C953))</f>
        <v/>
      </c>
      <c r="D953" s="10" t="str">
        <f>IF(IF(ISNA(計算結果!D953),"",計算結果!D953)=0,"",IF(ISNA(計算結果!D953),"",計算結果!D953))</f>
        <v>L</v>
      </c>
      <c r="E953" s="10" t="str">
        <f>IF(IF(ISNA(計算結果!E953),"",計算結果!E953)=0,"",IF(ISNA(計算結果!E953),"",計算結果!E953))</f>
        <v/>
      </c>
      <c r="F953" s="10" t="str">
        <f>IF(IF(ISNA(計算結果!F953),"",計算結果!F953)=0,"",IF(ISNA(計算結果!F953),"",計算結果!F953))</f>
        <v/>
      </c>
      <c r="G953" s="10" t="str">
        <f>IF(IF(ISNA(計算結果!G953),"",計算結果!G953)=0,"",IF(ISNA(計算結果!G953),"",計算結果!G953))</f>
        <v/>
      </c>
      <c r="H953" s="13">
        <f>IF(IF(ISNA(計算結果!H953),"",計算結果!H953)=0,"",IF(ISNA(計算結果!H953),"",計算結果!H953))</f>
        <v>-2</v>
      </c>
      <c r="I953" s="12" t="str">
        <f>IF(IF(ISNA(計算結果!I953),"",計算結果!I953)=0,"",IF(ISNA(計算結果!I953),"",計算結果!I953))</f>
        <v/>
      </c>
      <c r="J953" s="12" t="str">
        <f>IF(IF(ISNA(計算結果!J953),"",計算結果!J953)=0,"",IF(ISNA(計算結果!J953),"",計算結果!J953))</f>
        <v/>
      </c>
      <c r="K953" s="23" t="str">
        <f>IF(IF(ISNA(計算結果!K953),"",計算結果!K953)=0,"",IF(ISNA(計算結果!K953),"",計算結果!K953))</f>
        <v/>
      </c>
      <c r="L953" s="13" t="str">
        <f>IF(IF(ISNA(計算結果!L953),"",計算結果!L953)=0,"",IF(ISNA(計算結果!L953),"",計算結果!L953))</f>
        <v/>
      </c>
      <c r="M953" s="10" t="str">
        <f>IF(IF(ISNA(計算結果!M953),"",計算結果!M953)=0,"",IF(ISNA(計算結果!M953),"",計算結果!M953))</f>
        <v/>
      </c>
      <c r="N953" s="10" t="str">
        <f>IF(IF(ISNA(計算結果!N953),"",計算結果!N953)=0,"",IF(ISNA(計算結果!N953),"",計算結果!N953))</f>
        <v/>
      </c>
      <c r="O953" s="13" t="str">
        <f>IF(IF(ISNA(計算結果!O953),"",計算結果!O953)=0,"",IF(ISNA(計算結果!O953),"",計算結果!O953))</f>
        <v/>
      </c>
      <c r="P953" s="10" t="str">
        <f>IF(IF(ISNA(計算結果!P953),"",計算結果!P953)=0,"",IF(ISNA(計算結果!P953),"",計算結果!P953))</f>
        <v/>
      </c>
      <c r="Q953" s="10" t="str">
        <f>IF(IF(ISNA(計算結果!Q953),"",計算結果!Q953)=0,"",IF(ISNA(計算結果!Q953),"",計算結果!Q953))</f>
        <v/>
      </c>
      <c r="R953" s="14" t="str">
        <f t="shared" si="42"/>
        <v/>
      </c>
      <c r="S953" s="14" t="str">
        <f t="shared" si="43"/>
        <v>◯</v>
      </c>
      <c r="T953" s="14" t="str">
        <f t="shared" si="44"/>
        <v/>
      </c>
    </row>
    <row r="954" spans="1:20" hidden="1" x14ac:dyDescent="0.45">
      <c r="A954" s="10" t="str">
        <f>IF(IF(ISNA(計算結果!A954),"",計算結果!A954)=0,"",IF(ISNA(計算結果!A954),"",計算結果!A954))</f>
        <v/>
      </c>
      <c r="B954" s="10" t="str">
        <f>IF(IF(ISNA(計算結果!B954),"",計算結果!B954)=0,"",IF(ISNA(計算結果!B954),"",計算結果!B954))</f>
        <v/>
      </c>
      <c r="C954" s="10" t="str">
        <f>IF(IF(ISNA(計算結果!C954),"",計算結果!C954)=0,"",IF(ISNA(計算結果!C954),"",計算結果!C954))</f>
        <v/>
      </c>
      <c r="D954" s="10" t="str">
        <f>IF(IF(ISNA(計算結果!D954),"",計算結果!D954)=0,"",IF(ISNA(計算結果!D954),"",計算結果!D954))</f>
        <v>L</v>
      </c>
      <c r="E954" s="10" t="str">
        <f>IF(IF(ISNA(計算結果!E954),"",計算結果!E954)=0,"",IF(ISNA(計算結果!E954),"",計算結果!E954))</f>
        <v/>
      </c>
      <c r="F954" s="10" t="str">
        <f>IF(IF(ISNA(計算結果!F954),"",計算結果!F954)=0,"",IF(ISNA(計算結果!F954),"",計算結果!F954))</f>
        <v/>
      </c>
      <c r="G954" s="10" t="str">
        <f>IF(IF(ISNA(計算結果!G954),"",計算結果!G954)=0,"",IF(ISNA(計算結果!G954),"",計算結果!G954))</f>
        <v/>
      </c>
      <c r="H954" s="13">
        <f>IF(IF(ISNA(計算結果!H954),"",計算結果!H954)=0,"",IF(ISNA(計算結果!H954),"",計算結果!H954))</f>
        <v>-2</v>
      </c>
      <c r="I954" s="12" t="str">
        <f>IF(IF(ISNA(計算結果!I954),"",計算結果!I954)=0,"",IF(ISNA(計算結果!I954),"",計算結果!I954))</f>
        <v/>
      </c>
      <c r="J954" s="12" t="str">
        <f>IF(IF(ISNA(計算結果!J954),"",計算結果!J954)=0,"",IF(ISNA(計算結果!J954),"",計算結果!J954))</f>
        <v/>
      </c>
      <c r="K954" s="23" t="str">
        <f>IF(IF(ISNA(計算結果!K954),"",計算結果!K954)=0,"",IF(ISNA(計算結果!K954),"",計算結果!K954))</f>
        <v/>
      </c>
      <c r="L954" s="13" t="str">
        <f>IF(IF(ISNA(計算結果!L954),"",計算結果!L954)=0,"",IF(ISNA(計算結果!L954),"",計算結果!L954))</f>
        <v/>
      </c>
      <c r="M954" s="10" t="str">
        <f>IF(IF(ISNA(計算結果!M954),"",計算結果!M954)=0,"",IF(ISNA(計算結果!M954),"",計算結果!M954))</f>
        <v/>
      </c>
      <c r="N954" s="10" t="str">
        <f>IF(IF(ISNA(計算結果!N954),"",計算結果!N954)=0,"",IF(ISNA(計算結果!N954),"",計算結果!N954))</f>
        <v/>
      </c>
      <c r="O954" s="13" t="str">
        <f>IF(IF(ISNA(計算結果!O954),"",計算結果!O954)=0,"",IF(ISNA(計算結果!O954),"",計算結果!O954))</f>
        <v/>
      </c>
      <c r="P954" s="10" t="str">
        <f>IF(IF(ISNA(計算結果!P954),"",計算結果!P954)=0,"",IF(ISNA(計算結果!P954),"",計算結果!P954))</f>
        <v/>
      </c>
      <c r="Q954" s="10" t="str">
        <f>IF(IF(ISNA(計算結果!Q954),"",計算結果!Q954)=0,"",IF(ISNA(計算結果!Q954),"",計算結果!Q954))</f>
        <v/>
      </c>
      <c r="R954" s="14" t="str">
        <f t="shared" si="42"/>
        <v/>
      </c>
      <c r="S954" s="14" t="str">
        <f t="shared" si="43"/>
        <v>◯</v>
      </c>
      <c r="T954" s="14" t="str">
        <f t="shared" si="44"/>
        <v/>
      </c>
    </row>
    <row r="955" spans="1:20" hidden="1" x14ac:dyDescent="0.45">
      <c r="A955" s="10" t="str">
        <f>IF(IF(ISNA(計算結果!A955),"",計算結果!A955)=0,"",IF(ISNA(計算結果!A955),"",計算結果!A955))</f>
        <v/>
      </c>
      <c r="B955" s="10" t="str">
        <f>IF(IF(ISNA(計算結果!B955),"",計算結果!B955)=0,"",IF(ISNA(計算結果!B955),"",計算結果!B955))</f>
        <v/>
      </c>
      <c r="C955" s="10" t="str">
        <f>IF(IF(ISNA(計算結果!C955),"",計算結果!C955)=0,"",IF(ISNA(計算結果!C955),"",計算結果!C955))</f>
        <v/>
      </c>
      <c r="D955" s="10" t="str">
        <f>IF(IF(ISNA(計算結果!D955),"",計算結果!D955)=0,"",IF(ISNA(計算結果!D955),"",計算結果!D955))</f>
        <v>L</v>
      </c>
      <c r="E955" s="10" t="str">
        <f>IF(IF(ISNA(計算結果!E955),"",計算結果!E955)=0,"",IF(ISNA(計算結果!E955),"",計算結果!E955))</f>
        <v/>
      </c>
      <c r="F955" s="10" t="str">
        <f>IF(IF(ISNA(計算結果!F955),"",計算結果!F955)=0,"",IF(ISNA(計算結果!F955),"",計算結果!F955))</f>
        <v/>
      </c>
      <c r="G955" s="10" t="str">
        <f>IF(IF(ISNA(計算結果!G955),"",計算結果!G955)=0,"",IF(ISNA(計算結果!G955),"",計算結果!G955))</f>
        <v/>
      </c>
      <c r="H955" s="13">
        <f>IF(IF(ISNA(計算結果!H955),"",計算結果!H955)=0,"",IF(ISNA(計算結果!H955),"",計算結果!H955))</f>
        <v>-2</v>
      </c>
      <c r="I955" s="12" t="str">
        <f>IF(IF(ISNA(計算結果!I955),"",計算結果!I955)=0,"",IF(ISNA(計算結果!I955),"",計算結果!I955))</f>
        <v/>
      </c>
      <c r="J955" s="12" t="str">
        <f>IF(IF(ISNA(計算結果!J955),"",計算結果!J955)=0,"",IF(ISNA(計算結果!J955),"",計算結果!J955))</f>
        <v/>
      </c>
      <c r="K955" s="23" t="str">
        <f>IF(IF(ISNA(計算結果!K955),"",計算結果!K955)=0,"",IF(ISNA(計算結果!K955),"",計算結果!K955))</f>
        <v/>
      </c>
      <c r="L955" s="13" t="str">
        <f>IF(IF(ISNA(計算結果!L955),"",計算結果!L955)=0,"",IF(ISNA(計算結果!L955),"",計算結果!L955))</f>
        <v/>
      </c>
      <c r="M955" s="10" t="str">
        <f>IF(IF(ISNA(計算結果!M955),"",計算結果!M955)=0,"",IF(ISNA(計算結果!M955),"",計算結果!M955))</f>
        <v/>
      </c>
      <c r="N955" s="10" t="str">
        <f>IF(IF(ISNA(計算結果!N955),"",計算結果!N955)=0,"",IF(ISNA(計算結果!N955),"",計算結果!N955))</f>
        <v/>
      </c>
      <c r="O955" s="13" t="str">
        <f>IF(IF(ISNA(計算結果!O955),"",計算結果!O955)=0,"",IF(ISNA(計算結果!O955),"",計算結果!O955))</f>
        <v/>
      </c>
      <c r="P955" s="10" t="str">
        <f>IF(IF(ISNA(計算結果!P955),"",計算結果!P955)=0,"",IF(ISNA(計算結果!P955),"",計算結果!P955))</f>
        <v/>
      </c>
      <c r="Q955" s="10" t="str">
        <f>IF(IF(ISNA(計算結果!Q955),"",計算結果!Q955)=0,"",IF(ISNA(計算結果!Q955),"",計算結果!Q955))</f>
        <v/>
      </c>
      <c r="R955" s="14" t="str">
        <f t="shared" si="42"/>
        <v/>
      </c>
      <c r="S955" s="14" t="str">
        <f t="shared" si="43"/>
        <v>◯</v>
      </c>
      <c r="T955" s="14" t="str">
        <f t="shared" si="44"/>
        <v/>
      </c>
    </row>
    <row r="956" spans="1:20" hidden="1" x14ac:dyDescent="0.45">
      <c r="A956" s="10" t="str">
        <f>IF(IF(ISNA(計算結果!A956),"",計算結果!A956)=0,"",IF(ISNA(計算結果!A956),"",計算結果!A956))</f>
        <v/>
      </c>
      <c r="B956" s="10" t="str">
        <f>IF(IF(ISNA(計算結果!B956),"",計算結果!B956)=0,"",IF(ISNA(計算結果!B956),"",計算結果!B956))</f>
        <v/>
      </c>
      <c r="C956" s="10" t="str">
        <f>IF(IF(ISNA(計算結果!C956),"",計算結果!C956)=0,"",IF(ISNA(計算結果!C956),"",計算結果!C956))</f>
        <v/>
      </c>
      <c r="D956" s="10" t="str">
        <f>IF(IF(ISNA(計算結果!D956),"",計算結果!D956)=0,"",IF(ISNA(計算結果!D956),"",計算結果!D956))</f>
        <v>L</v>
      </c>
      <c r="E956" s="10" t="str">
        <f>IF(IF(ISNA(計算結果!E956),"",計算結果!E956)=0,"",IF(ISNA(計算結果!E956),"",計算結果!E956))</f>
        <v/>
      </c>
      <c r="F956" s="10" t="str">
        <f>IF(IF(ISNA(計算結果!F956),"",計算結果!F956)=0,"",IF(ISNA(計算結果!F956),"",計算結果!F956))</f>
        <v/>
      </c>
      <c r="G956" s="10" t="str">
        <f>IF(IF(ISNA(計算結果!G956),"",計算結果!G956)=0,"",IF(ISNA(計算結果!G956),"",計算結果!G956))</f>
        <v/>
      </c>
      <c r="H956" s="13">
        <f>IF(IF(ISNA(計算結果!H956),"",計算結果!H956)=0,"",IF(ISNA(計算結果!H956),"",計算結果!H956))</f>
        <v>-2</v>
      </c>
      <c r="I956" s="12" t="str">
        <f>IF(IF(ISNA(計算結果!I956),"",計算結果!I956)=0,"",IF(ISNA(計算結果!I956),"",計算結果!I956))</f>
        <v/>
      </c>
      <c r="J956" s="12" t="str">
        <f>IF(IF(ISNA(計算結果!J956),"",計算結果!J956)=0,"",IF(ISNA(計算結果!J956),"",計算結果!J956))</f>
        <v/>
      </c>
      <c r="K956" s="23" t="str">
        <f>IF(IF(ISNA(計算結果!K956),"",計算結果!K956)=0,"",IF(ISNA(計算結果!K956),"",計算結果!K956))</f>
        <v/>
      </c>
      <c r="L956" s="13" t="str">
        <f>IF(IF(ISNA(計算結果!L956),"",計算結果!L956)=0,"",IF(ISNA(計算結果!L956),"",計算結果!L956))</f>
        <v/>
      </c>
      <c r="M956" s="10" t="str">
        <f>IF(IF(ISNA(計算結果!M956),"",計算結果!M956)=0,"",IF(ISNA(計算結果!M956),"",計算結果!M956))</f>
        <v/>
      </c>
      <c r="N956" s="10" t="str">
        <f>IF(IF(ISNA(計算結果!N956),"",計算結果!N956)=0,"",IF(ISNA(計算結果!N956),"",計算結果!N956))</f>
        <v/>
      </c>
      <c r="O956" s="13" t="str">
        <f>IF(IF(ISNA(計算結果!O956),"",計算結果!O956)=0,"",IF(ISNA(計算結果!O956),"",計算結果!O956))</f>
        <v/>
      </c>
      <c r="P956" s="10" t="str">
        <f>IF(IF(ISNA(計算結果!P956),"",計算結果!P956)=0,"",IF(ISNA(計算結果!P956),"",計算結果!P956))</f>
        <v/>
      </c>
      <c r="Q956" s="10" t="str">
        <f>IF(IF(ISNA(計算結果!Q956),"",計算結果!Q956)=0,"",IF(ISNA(計算結果!Q956),"",計算結果!Q956))</f>
        <v/>
      </c>
      <c r="R956" s="14" t="str">
        <f t="shared" si="42"/>
        <v/>
      </c>
      <c r="S956" s="14" t="str">
        <f t="shared" si="43"/>
        <v>◯</v>
      </c>
      <c r="T956" s="14" t="str">
        <f t="shared" si="44"/>
        <v/>
      </c>
    </row>
    <row r="957" spans="1:20" hidden="1" x14ac:dyDescent="0.45">
      <c r="A957" s="10" t="str">
        <f>IF(IF(ISNA(計算結果!A957),"",計算結果!A957)=0,"",IF(ISNA(計算結果!A957),"",計算結果!A957))</f>
        <v/>
      </c>
      <c r="B957" s="10" t="str">
        <f>IF(IF(ISNA(計算結果!B957),"",計算結果!B957)=0,"",IF(ISNA(計算結果!B957),"",計算結果!B957))</f>
        <v/>
      </c>
      <c r="C957" s="10" t="str">
        <f>IF(IF(ISNA(計算結果!C957),"",計算結果!C957)=0,"",IF(ISNA(計算結果!C957),"",計算結果!C957))</f>
        <v/>
      </c>
      <c r="D957" s="10" t="str">
        <f>IF(IF(ISNA(計算結果!D957),"",計算結果!D957)=0,"",IF(ISNA(計算結果!D957),"",計算結果!D957))</f>
        <v>L</v>
      </c>
      <c r="E957" s="10" t="str">
        <f>IF(IF(ISNA(計算結果!E957),"",計算結果!E957)=0,"",IF(ISNA(計算結果!E957),"",計算結果!E957))</f>
        <v/>
      </c>
      <c r="F957" s="10" t="str">
        <f>IF(IF(ISNA(計算結果!F957),"",計算結果!F957)=0,"",IF(ISNA(計算結果!F957),"",計算結果!F957))</f>
        <v/>
      </c>
      <c r="G957" s="10" t="str">
        <f>IF(IF(ISNA(計算結果!G957),"",計算結果!G957)=0,"",IF(ISNA(計算結果!G957),"",計算結果!G957))</f>
        <v/>
      </c>
      <c r="H957" s="13">
        <f>IF(IF(ISNA(計算結果!H957),"",計算結果!H957)=0,"",IF(ISNA(計算結果!H957),"",計算結果!H957))</f>
        <v>-2</v>
      </c>
      <c r="I957" s="12" t="str">
        <f>IF(IF(ISNA(計算結果!I957),"",計算結果!I957)=0,"",IF(ISNA(計算結果!I957),"",計算結果!I957))</f>
        <v/>
      </c>
      <c r="J957" s="12" t="str">
        <f>IF(IF(ISNA(計算結果!J957),"",計算結果!J957)=0,"",IF(ISNA(計算結果!J957),"",計算結果!J957))</f>
        <v/>
      </c>
      <c r="K957" s="23" t="str">
        <f>IF(IF(ISNA(計算結果!K957),"",計算結果!K957)=0,"",IF(ISNA(計算結果!K957),"",計算結果!K957))</f>
        <v/>
      </c>
      <c r="L957" s="13" t="str">
        <f>IF(IF(ISNA(計算結果!L957),"",計算結果!L957)=0,"",IF(ISNA(計算結果!L957),"",計算結果!L957))</f>
        <v/>
      </c>
      <c r="M957" s="10" t="str">
        <f>IF(IF(ISNA(計算結果!M957),"",計算結果!M957)=0,"",IF(ISNA(計算結果!M957),"",計算結果!M957))</f>
        <v/>
      </c>
      <c r="N957" s="10" t="str">
        <f>IF(IF(ISNA(計算結果!N957),"",計算結果!N957)=0,"",IF(ISNA(計算結果!N957),"",計算結果!N957))</f>
        <v/>
      </c>
      <c r="O957" s="13" t="str">
        <f>IF(IF(ISNA(計算結果!O957),"",計算結果!O957)=0,"",IF(ISNA(計算結果!O957),"",計算結果!O957))</f>
        <v/>
      </c>
      <c r="P957" s="10" t="str">
        <f>IF(IF(ISNA(計算結果!P957),"",計算結果!P957)=0,"",IF(ISNA(計算結果!P957),"",計算結果!P957))</f>
        <v/>
      </c>
      <c r="Q957" s="10" t="str">
        <f>IF(IF(ISNA(計算結果!Q957),"",計算結果!Q957)=0,"",IF(ISNA(計算結果!Q957),"",計算結果!Q957))</f>
        <v/>
      </c>
      <c r="R957" s="14" t="str">
        <f t="shared" si="42"/>
        <v/>
      </c>
      <c r="S957" s="14" t="str">
        <f t="shared" si="43"/>
        <v>◯</v>
      </c>
      <c r="T957" s="14" t="str">
        <f t="shared" si="44"/>
        <v/>
      </c>
    </row>
    <row r="958" spans="1:20" hidden="1" x14ac:dyDescent="0.45">
      <c r="A958" s="10" t="str">
        <f>IF(IF(ISNA(計算結果!A958),"",計算結果!A958)=0,"",IF(ISNA(計算結果!A958),"",計算結果!A958))</f>
        <v/>
      </c>
      <c r="B958" s="10" t="str">
        <f>IF(IF(ISNA(計算結果!B958),"",計算結果!B958)=0,"",IF(ISNA(計算結果!B958),"",計算結果!B958))</f>
        <v/>
      </c>
      <c r="C958" s="10" t="str">
        <f>IF(IF(ISNA(計算結果!C958),"",計算結果!C958)=0,"",IF(ISNA(計算結果!C958),"",計算結果!C958))</f>
        <v/>
      </c>
      <c r="D958" s="10" t="str">
        <f>IF(IF(ISNA(計算結果!D958),"",計算結果!D958)=0,"",IF(ISNA(計算結果!D958),"",計算結果!D958))</f>
        <v>L</v>
      </c>
      <c r="E958" s="10" t="str">
        <f>IF(IF(ISNA(計算結果!E958),"",計算結果!E958)=0,"",IF(ISNA(計算結果!E958),"",計算結果!E958))</f>
        <v/>
      </c>
      <c r="F958" s="10" t="str">
        <f>IF(IF(ISNA(計算結果!F958),"",計算結果!F958)=0,"",IF(ISNA(計算結果!F958),"",計算結果!F958))</f>
        <v/>
      </c>
      <c r="G958" s="10" t="str">
        <f>IF(IF(ISNA(計算結果!G958),"",計算結果!G958)=0,"",IF(ISNA(計算結果!G958),"",計算結果!G958))</f>
        <v/>
      </c>
      <c r="H958" s="13">
        <f>IF(IF(ISNA(計算結果!H958),"",計算結果!H958)=0,"",IF(ISNA(計算結果!H958),"",計算結果!H958))</f>
        <v>-2</v>
      </c>
      <c r="I958" s="12" t="str">
        <f>IF(IF(ISNA(計算結果!I958),"",計算結果!I958)=0,"",IF(ISNA(計算結果!I958),"",計算結果!I958))</f>
        <v/>
      </c>
      <c r="J958" s="12" t="str">
        <f>IF(IF(ISNA(計算結果!J958),"",計算結果!J958)=0,"",IF(ISNA(計算結果!J958),"",計算結果!J958))</f>
        <v/>
      </c>
      <c r="K958" s="23" t="str">
        <f>IF(IF(ISNA(計算結果!K958),"",計算結果!K958)=0,"",IF(ISNA(計算結果!K958),"",計算結果!K958))</f>
        <v/>
      </c>
      <c r="L958" s="13" t="str">
        <f>IF(IF(ISNA(計算結果!L958),"",計算結果!L958)=0,"",IF(ISNA(計算結果!L958),"",計算結果!L958))</f>
        <v/>
      </c>
      <c r="M958" s="10" t="str">
        <f>IF(IF(ISNA(計算結果!M958),"",計算結果!M958)=0,"",IF(ISNA(計算結果!M958),"",計算結果!M958))</f>
        <v/>
      </c>
      <c r="N958" s="10" t="str">
        <f>IF(IF(ISNA(計算結果!N958),"",計算結果!N958)=0,"",IF(ISNA(計算結果!N958),"",計算結果!N958))</f>
        <v/>
      </c>
      <c r="O958" s="13" t="str">
        <f>IF(IF(ISNA(計算結果!O958),"",計算結果!O958)=0,"",IF(ISNA(計算結果!O958),"",計算結果!O958))</f>
        <v/>
      </c>
      <c r="P958" s="10" t="str">
        <f>IF(IF(ISNA(計算結果!P958),"",計算結果!P958)=0,"",IF(ISNA(計算結果!P958),"",計算結果!P958))</f>
        <v/>
      </c>
      <c r="Q958" s="10" t="str">
        <f>IF(IF(ISNA(計算結果!Q958),"",計算結果!Q958)=0,"",IF(ISNA(計算結果!Q958),"",計算結果!Q958))</f>
        <v/>
      </c>
      <c r="R958" s="14" t="str">
        <f t="shared" si="42"/>
        <v/>
      </c>
      <c r="S958" s="14" t="str">
        <f t="shared" si="43"/>
        <v>◯</v>
      </c>
      <c r="T958" s="14" t="str">
        <f t="shared" si="44"/>
        <v/>
      </c>
    </row>
    <row r="959" spans="1:20" hidden="1" x14ac:dyDescent="0.45">
      <c r="A959" s="10" t="str">
        <f>IF(IF(ISNA(計算結果!A959),"",計算結果!A959)=0,"",IF(ISNA(計算結果!A959),"",計算結果!A959))</f>
        <v/>
      </c>
      <c r="B959" s="10" t="str">
        <f>IF(IF(ISNA(計算結果!B959),"",計算結果!B959)=0,"",IF(ISNA(計算結果!B959),"",計算結果!B959))</f>
        <v/>
      </c>
      <c r="C959" s="10" t="str">
        <f>IF(IF(ISNA(計算結果!C959),"",計算結果!C959)=0,"",IF(ISNA(計算結果!C959),"",計算結果!C959))</f>
        <v/>
      </c>
      <c r="D959" s="10" t="str">
        <f>IF(IF(ISNA(計算結果!D959),"",計算結果!D959)=0,"",IF(ISNA(計算結果!D959),"",計算結果!D959))</f>
        <v>L</v>
      </c>
      <c r="E959" s="10" t="str">
        <f>IF(IF(ISNA(計算結果!E959),"",計算結果!E959)=0,"",IF(ISNA(計算結果!E959),"",計算結果!E959))</f>
        <v/>
      </c>
      <c r="F959" s="10" t="str">
        <f>IF(IF(ISNA(計算結果!F959),"",計算結果!F959)=0,"",IF(ISNA(計算結果!F959),"",計算結果!F959))</f>
        <v/>
      </c>
      <c r="G959" s="10" t="str">
        <f>IF(IF(ISNA(計算結果!G959),"",計算結果!G959)=0,"",IF(ISNA(計算結果!G959),"",計算結果!G959))</f>
        <v/>
      </c>
      <c r="H959" s="13">
        <f>IF(IF(ISNA(計算結果!H959),"",計算結果!H959)=0,"",IF(ISNA(計算結果!H959),"",計算結果!H959))</f>
        <v>-2</v>
      </c>
      <c r="I959" s="12" t="str">
        <f>IF(IF(ISNA(計算結果!I959),"",計算結果!I959)=0,"",IF(ISNA(計算結果!I959),"",計算結果!I959))</f>
        <v/>
      </c>
      <c r="J959" s="12" t="str">
        <f>IF(IF(ISNA(計算結果!J959),"",計算結果!J959)=0,"",IF(ISNA(計算結果!J959),"",計算結果!J959))</f>
        <v/>
      </c>
      <c r="K959" s="23" t="str">
        <f>IF(IF(ISNA(計算結果!K959),"",計算結果!K959)=0,"",IF(ISNA(計算結果!K959),"",計算結果!K959))</f>
        <v/>
      </c>
      <c r="L959" s="13" t="str">
        <f>IF(IF(ISNA(計算結果!L959),"",計算結果!L959)=0,"",IF(ISNA(計算結果!L959),"",計算結果!L959))</f>
        <v/>
      </c>
      <c r="M959" s="10" t="str">
        <f>IF(IF(ISNA(計算結果!M959),"",計算結果!M959)=0,"",IF(ISNA(計算結果!M959),"",計算結果!M959))</f>
        <v/>
      </c>
      <c r="N959" s="10" t="str">
        <f>IF(IF(ISNA(計算結果!N959),"",計算結果!N959)=0,"",IF(ISNA(計算結果!N959),"",計算結果!N959))</f>
        <v/>
      </c>
      <c r="O959" s="13" t="str">
        <f>IF(IF(ISNA(計算結果!O959),"",計算結果!O959)=0,"",IF(ISNA(計算結果!O959),"",計算結果!O959))</f>
        <v/>
      </c>
      <c r="P959" s="10" t="str">
        <f>IF(IF(ISNA(計算結果!P959),"",計算結果!P959)=0,"",IF(ISNA(計算結果!P959),"",計算結果!P959))</f>
        <v/>
      </c>
      <c r="Q959" s="10" t="str">
        <f>IF(IF(ISNA(計算結果!Q959),"",計算結果!Q959)=0,"",IF(ISNA(計算結果!Q959),"",計算結果!Q959))</f>
        <v/>
      </c>
      <c r="R959" s="14" t="str">
        <f t="shared" si="42"/>
        <v/>
      </c>
      <c r="S959" s="14" t="str">
        <f t="shared" si="43"/>
        <v>◯</v>
      </c>
      <c r="T959" s="14" t="str">
        <f t="shared" si="44"/>
        <v/>
      </c>
    </row>
    <row r="960" spans="1:20" hidden="1" x14ac:dyDescent="0.45">
      <c r="A960" s="10" t="str">
        <f>IF(IF(ISNA(計算結果!A960),"",計算結果!A960)=0,"",IF(ISNA(計算結果!A960),"",計算結果!A960))</f>
        <v/>
      </c>
      <c r="B960" s="10" t="str">
        <f>IF(IF(ISNA(計算結果!B960),"",計算結果!B960)=0,"",IF(ISNA(計算結果!B960),"",計算結果!B960))</f>
        <v/>
      </c>
      <c r="C960" s="10" t="str">
        <f>IF(IF(ISNA(計算結果!C960),"",計算結果!C960)=0,"",IF(ISNA(計算結果!C960),"",計算結果!C960))</f>
        <v/>
      </c>
      <c r="D960" s="10" t="str">
        <f>IF(IF(ISNA(計算結果!D960),"",計算結果!D960)=0,"",IF(ISNA(計算結果!D960),"",計算結果!D960))</f>
        <v>L</v>
      </c>
      <c r="E960" s="10" t="str">
        <f>IF(IF(ISNA(計算結果!E960),"",計算結果!E960)=0,"",IF(ISNA(計算結果!E960),"",計算結果!E960))</f>
        <v/>
      </c>
      <c r="F960" s="10" t="str">
        <f>IF(IF(ISNA(計算結果!F960),"",計算結果!F960)=0,"",IF(ISNA(計算結果!F960),"",計算結果!F960))</f>
        <v/>
      </c>
      <c r="G960" s="10" t="str">
        <f>IF(IF(ISNA(計算結果!G960),"",計算結果!G960)=0,"",IF(ISNA(計算結果!G960),"",計算結果!G960))</f>
        <v/>
      </c>
      <c r="H960" s="13">
        <f>IF(IF(ISNA(計算結果!H960),"",計算結果!H960)=0,"",IF(ISNA(計算結果!H960),"",計算結果!H960))</f>
        <v>-2</v>
      </c>
      <c r="I960" s="12" t="str">
        <f>IF(IF(ISNA(計算結果!I960),"",計算結果!I960)=0,"",IF(ISNA(計算結果!I960),"",計算結果!I960))</f>
        <v/>
      </c>
      <c r="J960" s="12" t="str">
        <f>IF(IF(ISNA(計算結果!J960),"",計算結果!J960)=0,"",IF(ISNA(計算結果!J960),"",計算結果!J960))</f>
        <v/>
      </c>
      <c r="K960" s="23" t="str">
        <f>IF(IF(ISNA(計算結果!K960),"",計算結果!K960)=0,"",IF(ISNA(計算結果!K960),"",計算結果!K960))</f>
        <v/>
      </c>
      <c r="L960" s="13" t="str">
        <f>IF(IF(ISNA(計算結果!L960),"",計算結果!L960)=0,"",IF(ISNA(計算結果!L960),"",計算結果!L960))</f>
        <v/>
      </c>
      <c r="M960" s="10" t="str">
        <f>IF(IF(ISNA(計算結果!M960),"",計算結果!M960)=0,"",IF(ISNA(計算結果!M960),"",計算結果!M960))</f>
        <v/>
      </c>
      <c r="N960" s="10" t="str">
        <f>IF(IF(ISNA(計算結果!N960),"",計算結果!N960)=0,"",IF(ISNA(計算結果!N960),"",計算結果!N960))</f>
        <v/>
      </c>
      <c r="O960" s="13" t="str">
        <f>IF(IF(ISNA(計算結果!O960),"",計算結果!O960)=0,"",IF(ISNA(計算結果!O960),"",計算結果!O960))</f>
        <v/>
      </c>
      <c r="P960" s="10" t="str">
        <f>IF(IF(ISNA(計算結果!P960),"",計算結果!P960)=0,"",IF(ISNA(計算結果!P960),"",計算結果!P960))</f>
        <v/>
      </c>
      <c r="Q960" s="10" t="str">
        <f>IF(IF(ISNA(計算結果!Q960),"",計算結果!Q960)=0,"",IF(ISNA(計算結果!Q960),"",計算結果!Q960))</f>
        <v/>
      </c>
      <c r="R960" s="14" t="str">
        <f t="shared" si="42"/>
        <v/>
      </c>
      <c r="S960" s="14" t="str">
        <f t="shared" si="43"/>
        <v>◯</v>
      </c>
      <c r="T960" s="14" t="str">
        <f t="shared" si="44"/>
        <v/>
      </c>
    </row>
    <row r="961" spans="1:20" hidden="1" x14ac:dyDescent="0.45">
      <c r="A961" s="10" t="str">
        <f>IF(IF(ISNA(計算結果!A961),"",計算結果!A961)=0,"",IF(ISNA(計算結果!A961),"",計算結果!A961))</f>
        <v/>
      </c>
      <c r="B961" s="10" t="str">
        <f>IF(IF(ISNA(計算結果!B961),"",計算結果!B961)=0,"",IF(ISNA(計算結果!B961),"",計算結果!B961))</f>
        <v/>
      </c>
      <c r="C961" s="10" t="str">
        <f>IF(IF(ISNA(計算結果!C961),"",計算結果!C961)=0,"",IF(ISNA(計算結果!C961),"",計算結果!C961))</f>
        <v/>
      </c>
      <c r="D961" s="10" t="str">
        <f>IF(IF(ISNA(計算結果!D961),"",計算結果!D961)=0,"",IF(ISNA(計算結果!D961),"",計算結果!D961))</f>
        <v>L</v>
      </c>
      <c r="E961" s="10" t="str">
        <f>IF(IF(ISNA(計算結果!E961),"",計算結果!E961)=0,"",IF(ISNA(計算結果!E961),"",計算結果!E961))</f>
        <v/>
      </c>
      <c r="F961" s="10" t="str">
        <f>IF(IF(ISNA(計算結果!F961),"",計算結果!F961)=0,"",IF(ISNA(計算結果!F961),"",計算結果!F961))</f>
        <v/>
      </c>
      <c r="G961" s="10" t="str">
        <f>IF(IF(ISNA(計算結果!G961),"",計算結果!G961)=0,"",IF(ISNA(計算結果!G961),"",計算結果!G961))</f>
        <v/>
      </c>
      <c r="H961" s="13">
        <f>IF(IF(ISNA(計算結果!H961),"",計算結果!H961)=0,"",IF(ISNA(計算結果!H961),"",計算結果!H961))</f>
        <v>-2</v>
      </c>
      <c r="I961" s="12" t="str">
        <f>IF(IF(ISNA(計算結果!I961),"",計算結果!I961)=0,"",IF(ISNA(計算結果!I961),"",計算結果!I961))</f>
        <v/>
      </c>
      <c r="J961" s="12" t="str">
        <f>IF(IF(ISNA(計算結果!J961),"",計算結果!J961)=0,"",IF(ISNA(計算結果!J961),"",計算結果!J961))</f>
        <v/>
      </c>
      <c r="K961" s="23" t="str">
        <f>IF(IF(ISNA(計算結果!K961),"",計算結果!K961)=0,"",IF(ISNA(計算結果!K961),"",計算結果!K961))</f>
        <v/>
      </c>
      <c r="L961" s="13" t="str">
        <f>IF(IF(ISNA(計算結果!L961),"",計算結果!L961)=0,"",IF(ISNA(計算結果!L961),"",計算結果!L961))</f>
        <v/>
      </c>
      <c r="M961" s="10" t="str">
        <f>IF(IF(ISNA(計算結果!M961),"",計算結果!M961)=0,"",IF(ISNA(計算結果!M961),"",計算結果!M961))</f>
        <v/>
      </c>
      <c r="N961" s="10" t="str">
        <f>IF(IF(ISNA(計算結果!N961),"",計算結果!N961)=0,"",IF(ISNA(計算結果!N961),"",計算結果!N961))</f>
        <v/>
      </c>
      <c r="O961" s="13" t="str">
        <f>IF(IF(ISNA(計算結果!O961),"",計算結果!O961)=0,"",IF(ISNA(計算結果!O961),"",計算結果!O961))</f>
        <v/>
      </c>
      <c r="P961" s="10" t="str">
        <f>IF(IF(ISNA(計算結果!P961),"",計算結果!P961)=0,"",IF(ISNA(計算結果!P961),"",計算結果!P961))</f>
        <v/>
      </c>
      <c r="Q961" s="10" t="str">
        <f>IF(IF(ISNA(計算結果!Q961),"",計算結果!Q961)=0,"",IF(ISNA(計算結果!Q961),"",計算結果!Q961))</f>
        <v/>
      </c>
      <c r="R961" s="14" t="str">
        <f t="shared" si="42"/>
        <v/>
      </c>
      <c r="S961" s="14" t="str">
        <f t="shared" si="43"/>
        <v>◯</v>
      </c>
      <c r="T961" s="14" t="str">
        <f t="shared" si="44"/>
        <v/>
      </c>
    </row>
    <row r="962" spans="1:20" hidden="1" x14ac:dyDescent="0.45">
      <c r="A962" s="10" t="str">
        <f>IF(IF(ISNA(計算結果!A962),"",計算結果!A962)=0,"",IF(ISNA(計算結果!A962),"",計算結果!A962))</f>
        <v/>
      </c>
      <c r="B962" s="10" t="str">
        <f>IF(IF(ISNA(計算結果!B962),"",計算結果!B962)=0,"",IF(ISNA(計算結果!B962),"",計算結果!B962))</f>
        <v/>
      </c>
      <c r="C962" s="10" t="str">
        <f>IF(IF(ISNA(計算結果!C962),"",計算結果!C962)=0,"",IF(ISNA(計算結果!C962),"",計算結果!C962))</f>
        <v/>
      </c>
      <c r="D962" s="10" t="str">
        <f>IF(IF(ISNA(計算結果!D962),"",計算結果!D962)=0,"",IF(ISNA(計算結果!D962),"",計算結果!D962))</f>
        <v>L</v>
      </c>
      <c r="E962" s="10" t="str">
        <f>IF(IF(ISNA(計算結果!E962),"",計算結果!E962)=0,"",IF(ISNA(計算結果!E962),"",計算結果!E962))</f>
        <v/>
      </c>
      <c r="F962" s="10" t="str">
        <f>IF(IF(ISNA(計算結果!F962),"",計算結果!F962)=0,"",IF(ISNA(計算結果!F962),"",計算結果!F962))</f>
        <v/>
      </c>
      <c r="G962" s="10" t="str">
        <f>IF(IF(ISNA(計算結果!G962),"",計算結果!G962)=0,"",IF(ISNA(計算結果!G962),"",計算結果!G962))</f>
        <v/>
      </c>
      <c r="H962" s="13">
        <f>IF(IF(ISNA(計算結果!H962),"",計算結果!H962)=0,"",IF(ISNA(計算結果!H962),"",計算結果!H962))</f>
        <v>-2</v>
      </c>
      <c r="I962" s="12" t="str">
        <f>IF(IF(ISNA(計算結果!I962),"",計算結果!I962)=0,"",IF(ISNA(計算結果!I962),"",計算結果!I962))</f>
        <v/>
      </c>
      <c r="J962" s="12" t="str">
        <f>IF(IF(ISNA(計算結果!J962),"",計算結果!J962)=0,"",IF(ISNA(計算結果!J962),"",計算結果!J962))</f>
        <v/>
      </c>
      <c r="K962" s="23" t="str">
        <f>IF(IF(ISNA(計算結果!K962),"",計算結果!K962)=0,"",IF(ISNA(計算結果!K962),"",計算結果!K962))</f>
        <v/>
      </c>
      <c r="L962" s="13" t="str">
        <f>IF(IF(ISNA(計算結果!L962),"",計算結果!L962)=0,"",IF(ISNA(計算結果!L962),"",計算結果!L962))</f>
        <v/>
      </c>
      <c r="M962" s="10" t="str">
        <f>IF(IF(ISNA(計算結果!M962),"",計算結果!M962)=0,"",IF(ISNA(計算結果!M962),"",計算結果!M962))</f>
        <v/>
      </c>
      <c r="N962" s="10" t="str">
        <f>IF(IF(ISNA(計算結果!N962),"",計算結果!N962)=0,"",IF(ISNA(計算結果!N962),"",計算結果!N962))</f>
        <v/>
      </c>
      <c r="O962" s="13" t="str">
        <f>IF(IF(ISNA(計算結果!O962),"",計算結果!O962)=0,"",IF(ISNA(計算結果!O962),"",計算結果!O962))</f>
        <v/>
      </c>
      <c r="P962" s="10" t="str">
        <f>IF(IF(ISNA(計算結果!P962),"",計算結果!P962)=0,"",IF(ISNA(計算結果!P962),"",計算結果!P962))</f>
        <v/>
      </c>
      <c r="Q962" s="10" t="str">
        <f>IF(IF(ISNA(計算結果!Q962),"",計算結果!Q962)=0,"",IF(ISNA(計算結果!Q962),"",計算結果!Q962))</f>
        <v/>
      </c>
      <c r="R962" s="14" t="str">
        <f t="shared" si="42"/>
        <v/>
      </c>
      <c r="S962" s="14" t="str">
        <f t="shared" si="43"/>
        <v>◯</v>
      </c>
      <c r="T962" s="14" t="str">
        <f t="shared" si="44"/>
        <v/>
      </c>
    </row>
    <row r="963" spans="1:20" hidden="1" x14ac:dyDescent="0.45">
      <c r="A963" s="10" t="str">
        <f>IF(IF(ISNA(計算結果!A963),"",計算結果!A963)=0,"",IF(ISNA(計算結果!A963),"",計算結果!A963))</f>
        <v/>
      </c>
      <c r="B963" s="10" t="str">
        <f>IF(IF(ISNA(計算結果!B963),"",計算結果!B963)=0,"",IF(ISNA(計算結果!B963),"",計算結果!B963))</f>
        <v/>
      </c>
      <c r="C963" s="10" t="str">
        <f>IF(IF(ISNA(計算結果!C963),"",計算結果!C963)=0,"",IF(ISNA(計算結果!C963),"",計算結果!C963))</f>
        <v/>
      </c>
      <c r="D963" s="10" t="str">
        <f>IF(IF(ISNA(計算結果!D963),"",計算結果!D963)=0,"",IF(ISNA(計算結果!D963),"",計算結果!D963))</f>
        <v>L</v>
      </c>
      <c r="E963" s="10" t="str">
        <f>IF(IF(ISNA(計算結果!E963),"",計算結果!E963)=0,"",IF(ISNA(計算結果!E963),"",計算結果!E963))</f>
        <v/>
      </c>
      <c r="F963" s="10" t="str">
        <f>IF(IF(ISNA(計算結果!F963),"",計算結果!F963)=0,"",IF(ISNA(計算結果!F963),"",計算結果!F963))</f>
        <v/>
      </c>
      <c r="G963" s="10" t="str">
        <f>IF(IF(ISNA(計算結果!G963),"",計算結果!G963)=0,"",IF(ISNA(計算結果!G963),"",計算結果!G963))</f>
        <v/>
      </c>
      <c r="H963" s="13">
        <f>IF(IF(ISNA(計算結果!H963),"",計算結果!H963)=0,"",IF(ISNA(計算結果!H963),"",計算結果!H963))</f>
        <v>-2</v>
      </c>
      <c r="I963" s="12" t="str">
        <f>IF(IF(ISNA(計算結果!I963),"",計算結果!I963)=0,"",IF(ISNA(計算結果!I963),"",計算結果!I963))</f>
        <v/>
      </c>
      <c r="J963" s="12" t="str">
        <f>IF(IF(ISNA(計算結果!J963),"",計算結果!J963)=0,"",IF(ISNA(計算結果!J963),"",計算結果!J963))</f>
        <v/>
      </c>
      <c r="K963" s="23" t="str">
        <f>IF(IF(ISNA(計算結果!K963),"",計算結果!K963)=0,"",IF(ISNA(計算結果!K963),"",計算結果!K963))</f>
        <v/>
      </c>
      <c r="L963" s="13" t="str">
        <f>IF(IF(ISNA(計算結果!L963),"",計算結果!L963)=0,"",IF(ISNA(計算結果!L963),"",計算結果!L963))</f>
        <v/>
      </c>
      <c r="M963" s="10" t="str">
        <f>IF(IF(ISNA(計算結果!M963),"",計算結果!M963)=0,"",IF(ISNA(計算結果!M963),"",計算結果!M963))</f>
        <v/>
      </c>
      <c r="N963" s="10" t="str">
        <f>IF(IF(ISNA(計算結果!N963),"",計算結果!N963)=0,"",IF(ISNA(計算結果!N963),"",計算結果!N963))</f>
        <v/>
      </c>
      <c r="O963" s="13" t="str">
        <f>IF(IF(ISNA(計算結果!O963),"",計算結果!O963)=0,"",IF(ISNA(計算結果!O963),"",計算結果!O963))</f>
        <v/>
      </c>
      <c r="P963" s="10" t="str">
        <f>IF(IF(ISNA(計算結果!P963),"",計算結果!P963)=0,"",IF(ISNA(計算結果!P963),"",計算結果!P963))</f>
        <v/>
      </c>
      <c r="Q963" s="10" t="str">
        <f>IF(IF(ISNA(計算結果!Q963),"",計算結果!Q963)=0,"",IF(ISNA(計算結果!Q963),"",計算結果!Q963))</f>
        <v/>
      </c>
      <c r="R963" s="14" t="str">
        <f t="shared" ref="R963:R1000" si="45">IF(AND(M963&lt;&gt;"",M963=N963),"◯","")</f>
        <v/>
      </c>
      <c r="S963" s="14" t="str">
        <f t="shared" ref="S963:S1000" si="46">IF(M963="","◯","")</f>
        <v>◯</v>
      </c>
      <c r="T963" s="14" t="str">
        <f t="shared" ref="T963:T1000" si="47">IF(AND(P963&lt;&gt;"",P963&lt;&gt;Q963),"◯","")</f>
        <v/>
      </c>
    </row>
    <row r="964" spans="1:20" hidden="1" x14ac:dyDescent="0.45">
      <c r="A964" s="10" t="str">
        <f>IF(IF(ISNA(計算結果!A964),"",計算結果!A964)=0,"",IF(ISNA(計算結果!A964),"",計算結果!A964))</f>
        <v/>
      </c>
      <c r="B964" s="10" t="str">
        <f>IF(IF(ISNA(計算結果!B964),"",計算結果!B964)=0,"",IF(ISNA(計算結果!B964),"",計算結果!B964))</f>
        <v/>
      </c>
      <c r="C964" s="10" t="str">
        <f>IF(IF(ISNA(計算結果!C964),"",計算結果!C964)=0,"",IF(ISNA(計算結果!C964),"",計算結果!C964))</f>
        <v/>
      </c>
      <c r="D964" s="10" t="str">
        <f>IF(IF(ISNA(計算結果!D964),"",計算結果!D964)=0,"",IF(ISNA(計算結果!D964),"",計算結果!D964))</f>
        <v>L</v>
      </c>
      <c r="E964" s="10" t="str">
        <f>IF(IF(ISNA(計算結果!E964),"",計算結果!E964)=0,"",IF(ISNA(計算結果!E964),"",計算結果!E964))</f>
        <v/>
      </c>
      <c r="F964" s="10" t="str">
        <f>IF(IF(ISNA(計算結果!F964),"",計算結果!F964)=0,"",IF(ISNA(計算結果!F964),"",計算結果!F964))</f>
        <v/>
      </c>
      <c r="G964" s="10" t="str">
        <f>IF(IF(ISNA(計算結果!G964),"",計算結果!G964)=0,"",IF(ISNA(計算結果!G964),"",計算結果!G964))</f>
        <v/>
      </c>
      <c r="H964" s="13">
        <f>IF(IF(ISNA(計算結果!H964),"",計算結果!H964)=0,"",IF(ISNA(計算結果!H964),"",計算結果!H964))</f>
        <v>-2</v>
      </c>
      <c r="I964" s="12" t="str">
        <f>IF(IF(ISNA(計算結果!I964),"",計算結果!I964)=0,"",IF(ISNA(計算結果!I964),"",計算結果!I964))</f>
        <v/>
      </c>
      <c r="J964" s="12" t="str">
        <f>IF(IF(ISNA(計算結果!J964),"",計算結果!J964)=0,"",IF(ISNA(計算結果!J964),"",計算結果!J964))</f>
        <v/>
      </c>
      <c r="K964" s="23" t="str">
        <f>IF(IF(ISNA(計算結果!K964),"",計算結果!K964)=0,"",IF(ISNA(計算結果!K964),"",計算結果!K964))</f>
        <v/>
      </c>
      <c r="L964" s="13" t="str">
        <f>IF(IF(ISNA(計算結果!L964),"",計算結果!L964)=0,"",IF(ISNA(計算結果!L964),"",計算結果!L964))</f>
        <v/>
      </c>
      <c r="M964" s="10" t="str">
        <f>IF(IF(ISNA(計算結果!M964),"",計算結果!M964)=0,"",IF(ISNA(計算結果!M964),"",計算結果!M964))</f>
        <v/>
      </c>
      <c r="N964" s="10" t="str">
        <f>IF(IF(ISNA(計算結果!N964),"",計算結果!N964)=0,"",IF(ISNA(計算結果!N964),"",計算結果!N964))</f>
        <v/>
      </c>
      <c r="O964" s="13" t="str">
        <f>IF(IF(ISNA(計算結果!O964),"",計算結果!O964)=0,"",IF(ISNA(計算結果!O964),"",計算結果!O964))</f>
        <v/>
      </c>
      <c r="P964" s="10" t="str">
        <f>IF(IF(ISNA(計算結果!P964),"",計算結果!P964)=0,"",IF(ISNA(計算結果!P964),"",計算結果!P964))</f>
        <v/>
      </c>
      <c r="Q964" s="10" t="str">
        <f>IF(IF(ISNA(計算結果!Q964),"",計算結果!Q964)=0,"",IF(ISNA(計算結果!Q964),"",計算結果!Q964))</f>
        <v/>
      </c>
      <c r="R964" s="14" t="str">
        <f t="shared" si="45"/>
        <v/>
      </c>
      <c r="S964" s="14" t="str">
        <f t="shared" si="46"/>
        <v>◯</v>
      </c>
      <c r="T964" s="14" t="str">
        <f t="shared" si="47"/>
        <v/>
      </c>
    </row>
    <row r="965" spans="1:20" hidden="1" x14ac:dyDescent="0.45">
      <c r="A965" s="10" t="str">
        <f>IF(IF(ISNA(計算結果!A965),"",計算結果!A965)=0,"",IF(ISNA(計算結果!A965),"",計算結果!A965))</f>
        <v/>
      </c>
      <c r="B965" s="10" t="str">
        <f>IF(IF(ISNA(計算結果!B965),"",計算結果!B965)=0,"",IF(ISNA(計算結果!B965),"",計算結果!B965))</f>
        <v/>
      </c>
      <c r="C965" s="10" t="str">
        <f>IF(IF(ISNA(計算結果!C965),"",計算結果!C965)=0,"",IF(ISNA(計算結果!C965),"",計算結果!C965))</f>
        <v/>
      </c>
      <c r="D965" s="10" t="str">
        <f>IF(IF(ISNA(計算結果!D965),"",計算結果!D965)=0,"",IF(ISNA(計算結果!D965),"",計算結果!D965))</f>
        <v>L</v>
      </c>
      <c r="E965" s="10" t="str">
        <f>IF(IF(ISNA(計算結果!E965),"",計算結果!E965)=0,"",IF(ISNA(計算結果!E965),"",計算結果!E965))</f>
        <v/>
      </c>
      <c r="F965" s="10" t="str">
        <f>IF(IF(ISNA(計算結果!F965),"",計算結果!F965)=0,"",IF(ISNA(計算結果!F965),"",計算結果!F965))</f>
        <v/>
      </c>
      <c r="G965" s="10" t="str">
        <f>IF(IF(ISNA(計算結果!G965),"",計算結果!G965)=0,"",IF(ISNA(計算結果!G965),"",計算結果!G965))</f>
        <v/>
      </c>
      <c r="H965" s="13">
        <f>IF(IF(ISNA(計算結果!H965),"",計算結果!H965)=0,"",IF(ISNA(計算結果!H965),"",計算結果!H965))</f>
        <v>-2</v>
      </c>
      <c r="I965" s="12" t="str">
        <f>IF(IF(ISNA(計算結果!I965),"",計算結果!I965)=0,"",IF(ISNA(計算結果!I965),"",計算結果!I965))</f>
        <v/>
      </c>
      <c r="J965" s="12" t="str">
        <f>IF(IF(ISNA(計算結果!J965),"",計算結果!J965)=0,"",IF(ISNA(計算結果!J965),"",計算結果!J965))</f>
        <v/>
      </c>
      <c r="K965" s="23" t="str">
        <f>IF(IF(ISNA(計算結果!K965),"",計算結果!K965)=0,"",IF(ISNA(計算結果!K965),"",計算結果!K965))</f>
        <v/>
      </c>
      <c r="L965" s="13" t="str">
        <f>IF(IF(ISNA(計算結果!L965),"",計算結果!L965)=0,"",IF(ISNA(計算結果!L965),"",計算結果!L965))</f>
        <v/>
      </c>
      <c r="M965" s="10" t="str">
        <f>IF(IF(ISNA(計算結果!M965),"",計算結果!M965)=0,"",IF(ISNA(計算結果!M965),"",計算結果!M965))</f>
        <v/>
      </c>
      <c r="N965" s="10" t="str">
        <f>IF(IF(ISNA(計算結果!N965),"",計算結果!N965)=0,"",IF(ISNA(計算結果!N965),"",計算結果!N965))</f>
        <v/>
      </c>
      <c r="O965" s="13" t="str">
        <f>IF(IF(ISNA(計算結果!O965),"",計算結果!O965)=0,"",IF(ISNA(計算結果!O965),"",計算結果!O965))</f>
        <v/>
      </c>
      <c r="P965" s="10" t="str">
        <f>IF(IF(ISNA(計算結果!P965),"",計算結果!P965)=0,"",IF(ISNA(計算結果!P965),"",計算結果!P965))</f>
        <v/>
      </c>
      <c r="Q965" s="10" t="str">
        <f>IF(IF(ISNA(計算結果!Q965),"",計算結果!Q965)=0,"",IF(ISNA(計算結果!Q965),"",計算結果!Q965))</f>
        <v/>
      </c>
      <c r="R965" s="14" t="str">
        <f t="shared" si="45"/>
        <v/>
      </c>
      <c r="S965" s="14" t="str">
        <f t="shared" si="46"/>
        <v>◯</v>
      </c>
      <c r="T965" s="14" t="str">
        <f t="shared" si="47"/>
        <v/>
      </c>
    </row>
    <row r="966" spans="1:20" hidden="1" x14ac:dyDescent="0.45">
      <c r="A966" s="10" t="str">
        <f>IF(IF(ISNA(計算結果!A966),"",計算結果!A966)=0,"",IF(ISNA(計算結果!A966),"",計算結果!A966))</f>
        <v/>
      </c>
      <c r="B966" s="10" t="str">
        <f>IF(IF(ISNA(計算結果!B966),"",計算結果!B966)=0,"",IF(ISNA(計算結果!B966),"",計算結果!B966))</f>
        <v/>
      </c>
      <c r="C966" s="10" t="str">
        <f>IF(IF(ISNA(計算結果!C966),"",計算結果!C966)=0,"",IF(ISNA(計算結果!C966),"",計算結果!C966))</f>
        <v/>
      </c>
      <c r="D966" s="10" t="str">
        <f>IF(IF(ISNA(計算結果!D966),"",計算結果!D966)=0,"",IF(ISNA(計算結果!D966),"",計算結果!D966))</f>
        <v>L</v>
      </c>
      <c r="E966" s="10" t="str">
        <f>IF(IF(ISNA(計算結果!E966),"",計算結果!E966)=0,"",IF(ISNA(計算結果!E966),"",計算結果!E966))</f>
        <v/>
      </c>
      <c r="F966" s="10" t="str">
        <f>IF(IF(ISNA(計算結果!F966),"",計算結果!F966)=0,"",IF(ISNA(計算結果!F966),"",計算結果!F966))</f>
        <v/>
      </c>
      <c r="G966" s="10" t="str">
        <f>IF(IF(ISNA(計算結果!G966),"",計算結果!G966)=0,"",IF(ISNA(計算結果!G966),"",計算結果!G966))</f>
        <v/>
      </c>
      <c r="H966" s="13">
        <f>IF(IF(ISNA(計算結果!H966),"",計算結果!H966)=0,"",IF(ISNA(計算結果!H966),"",計算結果!H966))</f>
        <v>-2</v>
      </c>
      <c r="I966" s="12" t="str">
        <f>IF(IF(ISNA(計算結果!I966),"",計算結果!I966)=0,"",IF(ISNA(計算結果!I966),"",計算結果!I966))</f>
        <v/>
      </c>
      <c r="J966" s="12" t="str">
        <f>IF(IF(ISNA(計算結果!J966),"",計算結果!J966)=0,"",IF(ISNA(計算結果!J966),"",計算結果!J966))</f>
        <v/>
      </c>
      <c r="K966" s="23" t="str">
        <f>IF(IF(ISNA(計算結果!K966),"",計算結果!K966)=0,"",IF(ISNA(計算結果!K966),"",計算結果!K966))</f>
        <v/>
      </c>
      <c r="L966" s="13" t="str">
        <f>IF(IF(ISNA(計算結果!L966),"",計算結果!L966)=0,"",IF(ISNA(計算結果!L966),"",計算結果!L966))</f>
        <v/>
      </c>
      <c r="M966" s="10" t="str">
        <f>IF(IF(ISNA(計算結果!M966),"",計算結果!M966)=0,"",IF(ISNA(計算結果!M966),"",計算結果!M966))</f>
        <v/>
      </c>
      <c r="N966" s="10" t="str">
        <f>IF(IF(ISNA(計算結果!N966),"",計算結果!N966)=0,"",IF(ISNA(計算結果!N966),"",計算結果!N966))</f>
        <v/>
      </c>
      <c r="O966" s="13" t="str">
        <f>IF(IF(ISNA(計算結果!O966),"",計算結果!O966)=0,"",IF(ISNA(計算結果!O966),"",計算結果!O966))</f>
        <v/>
      </c>
      <c r="P966" s="10" t="str">
        <f>IF(IF(ISNA(計算結果!P966),"",計算結果!P966)=0,"",IF(ISNA(計算結果!P966),"",計算結果!P966))</f>
        <v/>
      </c>
      <c r="Q966" s="10" t="str">
        <f>IF(IF(ISNA(計算結果!Q966),"",計算結果!Q966)=0,"",IF(ISNA(計算結果!Q966),"",計算結果!Q966))</f>
        <v/>
      </c>
      <c r="R966" s="14" t="str">
        <f t="shared" si="45"/>
        <v/>
      </c>
      <c r="S966" s="14" t="str">
        <f t="shared" si="46"/>
        <v>◯</v>
      </c>
      <c r="T966" s="14" t="str">
        <f t="shared" si="47"/>
        <v/>
      </c>
    </row>
    <row r="967" spans="1:20" hidden="1" x14ac:dyDescent="0.45">
      <c r="A967" s="10" t="str">
        <f>IF(IF(ISNA(計算結果!A967),"",計算結果!A967)=0,"",IF(ISNA(計算結果!A967),"",計算結果!A967))</f>
        <v/>
      </c>
      <c r="B967" s="10" t="str">
        <f>IF(IF(ISNA(計算結果!B967),"",計算結果!B967)=0,"",IF(ISNA(計算結果!B967),"",計算結果!B967))</f>
        <v/>
      </c>
      <c r="C967" s="10" t="str">
        <f>IF(IF(ISNA(計算結果!C967),"",計算結果!C967)=0,"",IF(ISNA(計算結果!C967),"",計算結果!C967))</f>
        <v/>
      </c>
      <c r="D967" s="10" t="str">
        <f>IF(IF(ISNA(計算結果!D967),"",計算結果!D967)=0,"",IF(ISNA(計算結果!D967),"",計算結果!D967))</f>
        <v>L</v>
      </c>
      <c r="E967" s="10" t="str">
        <f>IF(IF(ISNA(計算結果!E967),"",計算結果!E967)=0,"",IF(ISNA(計算結果!E967),"",計算結果!E967))</f>
        <v/>
      </c>
      <c r="F967" s="10" t="str">
        <f>IF(IF(ISNA(計算結果!F967),"",計算結果!F967)=0,"",IF(ISNA(計算結果!F967),"",計算結果!F967))</f>
        <v/>
      </c>
      <c r="G967" s="10" t="str">
        <f>IF(IF(ISNA(計算結果!G967),"",計算結果!G967)=0,"",IF(ISNA(計算結果!G967),"",計算結果!G967))</f>
        <v/>
      </c>
      <c r="H967" s="13">
        <f>IF(IF(ISNA(計算結果!H967),"",計算結果!H967)=0,"",IF(ISNA(計算結果!H967),"",計算結果!H967))</f>
        <v>-2</v>
      </c>
      <c r="I967" s="12" t="str">
        <f>IF(IF(ISNA(計算結果!I967),"",計算結果!I967)=0,"",IF(ISNA(計算結果!I967),"",計算結果!I967))</f>
        <v/>
      </c>
      <c r="J967" s="12" t="str">
        <f>IF(IF(ISNA(計算結果!J967),"",計算結果!J967)=0,"",IF(ISNA(計算結果!J967),"",計算結果!J967))</f>
        <v/>
      </c>
      <c r="K967" s="23" t="str">
        <f>IF(IF(ISNA(計算結果!K967),"",計算結果!K967)=0,"",IF(ISNA(計算結果!K967),"",計算結果!K967))</f>
        <v/>
      </c>
      <c r="L967" s="13" t="str">
        <f>IF(IF(ISNA(計算結果!L967),"",計算結果!L967)=0,"",IF(ISNA(計算結果!L967),"",計算結果!L967))</f>
        <v/>
      </c>
      <c r="M967" s="10" t="str">
        <f>IF(IF(ISNA(計算結果!M967),"",計算結果!M967)=0,"",IF(ISNA(計算結果!M967),"",計算結果!M967))</f>
        <v/>
      </c>
      <c r="N967" s="10" t="str">
        <f>IF(IF(ISNA(計算結果!N967),"",計算結果!N967)=0,"",IF(ISNA(計算結果!N967),"",計算結果!N967))</f>
        <v/>
      </c>
      <c r="O967" s="13" t="str">
        <f>IF(IF(ISNA(計算結果!O967),"",計算結果!O967)=0,"",IF(ISNA(計算結果!O967),"",計算結果!O967))</f>
        <v/>
      </c>
      <c r="P967" s="10" t="str">
        <f>IF(IF(ISNA(計算結果!P967),"",計算結果!P967)=0,"",IF(ISNA(計算結果!P967),"",計算結果!P967))</f>
        <v/>
      </c>
      <c r="Q967" s="10" t="str">
        <f>IF(IF(ISNA(計算結果!Q967),"",計算結果!Q967)=0,"",IF(ISNA(計算結果!Q967),"",計算結果!Q967))</f>
        <v/>
      </c>
      <c r="R967" s="14" t="str">
        <f t="shared" si="45"/>
        <v/>
      </c>
      <c r="S967" s="14" t="str">
        <f t="shared" si="46"/>
        <v>◯</v>
      </c>
      <c r="T967" s="14" t="str">
        <f t="shared" si="47"/>
        <v/>
      </c>
    </row>
    <row r="968" spans="1:20" hidden="1" x14ac:dyDescent="0.45">
      <c r="A968" s="10" t="str">
        <f>IF(IF(ISNA(計算結果!A968),"",計算結果!A968)=0,"",IF(ISNA(計算結果!A968),"",計算結果!A968))</f>
        <v/>
      </c>
      <c r="B968" s="10" t="str">
        <f>IF(IF(ISNA(計算結果!B968),"",計算結果!B968)=0,"",IF(ISNA(計算結果!B968),"",計算結果!B968))</f>
        <v/>
      </c>
      <c r="C968" s="10" t="str">
        <f>IF(IF(ISNA(計算結果!C968),"",計算結果!C968)=0,"",IF(ISNA(計算結果!C968),"",計算結果!C968))</f>
        <v/>
      </c>
      <c r="D968" s="10" t="str">
        <f>IF(IF(ISNA(計算結果!D968),"",計算結果!D968)=0,"",IF(ISNA(計算結果!D968),"",計算結果!D968))</f>
        <v>L</v>
      </c>
      <c r="E968" s="10" t="str">
        <f>IF(IF(ISNA(計算結果!E968),"",計算結果!E968)=0,"",IF(ISNA(計算結果!E968),"",計算結果!E968))</f>
        <v/>
      </c>
      <c r="F968" s="10" t="str">
        <f>IF(IF(ISNA(計算結果!F968),"",計算結果!F968)=0,"",IF(ISNA(計算結果!F968),"",計算結果!F968))</f>
        <v/>
      </c>
      <c r="G968" s="10" t="str">
        <f>IF(IF(ISNA(計算結果!G968),"",計算結果!G968)=0,"",IF(ISNA(計算結果!G968),"",計算結果!G968))</f>
        <v/>
      </c>
      <c r="H968" s="13">
        <f>IF(IF(ISNA(計算結果!H968),"",計算結果!H968)=0,"",IF(ISNA(計算結果!H968),"",計算結果!H968))</f>
        <v>-2</v>
      </c>
      <c r="I968" s="12" t="str">
        <f>IF(IF(ISNA(計算結果!I968),"",計算結果!I968)=0,"",IF(ISNA(計算結果!I968),"",計算結果!I968))</f>
        <v/>
      </c>
      <c r="J968" s="12" t="str">
        <f>IF(IF(ISNA(計算結果!J968),"",計算結果!J968)=0,"",IF(ISNA(計算結果!J968),"",計算結果!J968))</f>
        <v/>
      </c>
      <c r="K968" s="23" t="str">
        <f>IF(IF(ISNA(計算結果!K968),"",計算結果!K968)=0,"",IF(ISNA(計算結果!K968),"",計算結果!K968))</f>
        <v/>
      </c>
      <c r="L968" s="13" t="str">
        <f>IF(IF(ISNA(計算結果!L968),"",計算結果!L968)=0,"",IF(ISNA(計算結果!L968),"",計算結果!L968))</f>
        <v/>
      </c>
      <c r="M968" s="10" t="str">
        <f>IF(IF(ISNA(計算結果!M968),"",計算結果!M968)=0,"",IF(ISNA(計算結果!M968),"",計算結果!M968))</f>
        <v/>
      </c>
      <c r="N968" s="10" t="str">
        <f>IF(IF(ISNA(計算結果!N968),"",計算結果!N968)=0,"",IF(ISNA(計算結果!N968),"",計算結果!N968))</f>
        <v/>
      </c>
      <c r="O968" s="13" t="str">
        <f>IF(IF(ISNA(計算結果!O968),"",計算結果!O968)=0,"",IF(ISNA(計算結果!O968),"",計算結果!O968))</f>
        <v/>
      </c>
      <c r="P968" s="10" t="str">
        <f>IF(IF(ISNA(計算結果!P968),"",計算結果!P968)=0,"",IF(ISNA(計算結果!P968),"",計算結果!P968))</f>
        <v/>
      </c>
      <c r="Q968" s="10" t="str">
        <f>IF(IF(ISNA(計算結果!Q968),"",計算結果!Q968)=0,"",IF(ISNA(計算結果!Q968),"",計算結果!Q968))</f>
        <v/>
      </c>
      <c r="R968" s="14" t="str">
        <f t="shared" si="45"/>
        <v/>
      </c>
      <c r="S968" s="14" t="str">
        <f t="shared" si="46"/>
        <v>◯</v>
      </c>
      <c r="T968" s="14" t="str">
        <f t="shared" si="47"/>
        <v/>
      </c>
    </row>
    <row r="969" spans="1:20" hidden="1" x14ac:dyDescent="0.45">
      <c r="A969" s="10" t="str">
        <f>IF(IF(ISNA(計算結果!A969),"",計算結果!A969)=0,"",IF(ISNA(計算結果!A969),"",計算結果!A969))</f>
        <v/>
      </c>
      <c r="B969" s="10" t="str">
        <f>IF(IF(ISNA(計算結果!B969),"",計算結果!B969)=0,"",IF(ISNA(計算結果!B969),"",計算結果!B969))</f>
        <v/>
      </c>
      <c r="C969" s="10" t="str">
        <f>IF(IF(ISNA(計算結果!C969),"",計算結果!C969)=0,"",IF(ISNA(計算結果!C969),"",計算結果!C969))</f>
        <v/>
      </c>
      <c r="D969" s="10" t="str">
        <f>IF(IF(ISNA(計算結果!D969),"",計算結果!D969)=0,"",IF(ISNA(計算結果!D969),"",計算結果!D969))</f>
        <v>L</v>
      </c>
      <c r="E969" s="10" t="str">
        <f>IF(IF(ISNA(計算結果!E969),"",計算結果!E969)=0,"",IF(ISNA(計算結果!E969),"",計算結果!E969))</f>
        <v/>
      </c>
      <c r="F969" s="10" t="str">
        <f>IF(IF(ISNA(計算結果!F969),"",計算結果!F969)=0,"",IF(ISNA(計算結果!F969),"",計算結果!F969))</f>
        <v/>
      </c>
      <c r="G969" s="10" t="str">
        <f>IF(IF(ISNA(計算結果!G969),"",計算結果!G969)=0,"",IF(ISNA(計算結果!G969),"",計算結果!G969))</f>
        <v/>
      </c>
      <c r="H969" s="13">
        <f>IF(IF(ISNA(計算結果!H969),"",計算結果!H969)=0,"",IF(ISNA(計算結果!H969),"",計算結果!H969))</f>
        <v>-2</v>
      </c>
      <c r="I969" s="12" t="str">
        <f>IF(IF(ISNA(計算結果!I969),"",計算結果!I969)=0,"",IF(ISNA(計算結果!I969),"",計算結果!I969))</f>
        <v/>
      </c>
      <c r="J969" s="12" t="str">
        <f>IF(IF(ISNA(計算結果!J969),"",計算結果!J969)=0,"",IF(ISNA(計算結果!J969),"",計算結果!J969))</f>
        <v/>
      </c>
      <c r="K969" s="23" t="str">
        <f>IF(IF(ISNA(計算結果!K969),"",計算結果!K969)=0,"",IF(ISNA(計算結果!K969),"",計算結果!K969))</f>
        <v/>
      </c>
      <c r="L969" s="13" t="str">
        <f>IF(IF(ISNA(計算結果!L969),"",計算結果!L969)=0,"",IF(ISNA(計算結果!L969),"",計算結果!L969))</f>
        <v/>
      </c>
      <c r="M969" s="10" t="str">
        <f>IF(IF(ISNA(計算結果!M969),"",計算結果!M969)=0,"",IF(ISNA(計算結果!M969),"",計算結果!M969))</f>
        <v/>
      </c>
      <c r="N969" s="10" t="str">
        <f>IF(IF(ISNA(計算結果!N969),"",計算結果!N969)=0,"",IF(ISNA(計算結果!N969),"",計算結果!N969))</f>
        <v/>
      </c>
      <c r="O969" s="13" t="str">
        <f>IF(IF(ISNA(計算結果!O969),"",計算結果!O969)=0,"",IF(ISNA(計算結果!O969),"",計算結果!O969))</f>
        <v/>
      </c>
      <c r="P969" s="10" t="str">
        <f>IF(IF(ISNA(計算結果!P969),"",計算結果!P969)=0,"",IF(ISNA(計算結果!P969),"",計算結果!P969))</f>
        <v/>
      </c>
      <c r="Q969" s="10" t="str">
        <f>IF(IF(ISNA(計算結果!Q969),"",計算結果!Q969)=0,"",IF(ISNA(計算結果!Q969),"",計算結果!Q969))</f>
        <v/>
      </c>
      <c r="R969" s="14" t="str">
        <f t="shared" si="45"/>
        <v/>
      </c>
      <c r="S969" s="14" t="str">
        <f t="shared" si="46"/>
        <v>◯</v>
      </c>
      <c r="T969" s="14" t="str">
        <f t="shared" si="47"/>
        <v/>
      </c>
    </row>
    <row r="970" spans="1:20" hidden="1" x14ac:dyDescent="0.45">
      <c r="A970" s="10" t="str">
        <f>IF(IF(ISNA(計算結果!A970),"",計算結果!A970)=0,"",IF(ISNA(計算結果!A970),"",計算結果!A970))</f>
        <v/>
      </c>
      <c r="B970" s="10" t="str">
        <f>IF(IF(ISNA(計算結果!B970),"",計算結果!B970)=0,"",IF(ISNA(計算結果!B970),"",計算結果!B970))</f>
        <v/>
      </c>
      <c r="C970" s="10" t="str">
        <f>IF(IF(ISNA(計算結果!C970),"",計算結果!C970)=0,"",IF(ISNA(計算結果!C970),"",計算結果!C970))</f>
        <v/>
      </c>
      <c r="D970" s="10" t="str">
        <f>IF(IF(ISNA(計算結果!D970),"",計算結果!D970)=0,"",IF(ISNA(計算結果!D970),"",計算結果!D970))</f>
        <v>L</v>
      </c>
      <c r="E970" s="10" t="str">
        <f>IF(IF(ISNA(計算結果!E970),"",計算結果!E970)=0,"",IF(ISNA(計算結果!E970),"",計算結果!E970))</f>
        <v/>
      </c>
      <c r="F970" s="10" t="str">
        <f>IF(IF(ISNA(計算結果!F970),"",計算結果!F970)=0,"",IF(ISNA(計算結果!F970),"",計算結果!F970))</f>
        <v/>
      </c>
      <c r="G970" s="10" t="str">
        <f>IF(IF(ISNA(計算結果!G970),"",計算結果!G970)=0,"",IF(ISNA(計算結果!G970),"",計算結果!G970))</f>
        <v/>
      </c>
      <c r="H970" s="13">
        <f>IF(IF(ISNA(計算結果!H970),"",計算結果!H970)=0,"",IF(ISNA(計算結果!H970),"",計算結果!H970))</f>
        <v>-2</v>
      </c>
      <c r="I970" s="12" t="str">
        <f>IF(IF(ISNA(計算結果!I970),"",計算結果!I970)=0,"",IF(ISNA(計算結果!I970),"",計算結果!I970))</f>
        <v/>
      </c>
      <c r="J970" s="12" t="str">
        <f>IF(IF(ISNA(計算結果!J970),"",計算結果!J970)=0,"",IF(ISNA(計算結果!J970),"",計算結果!J970))</f>
        <v/>
      </c>
      <c r="K970" s="23" t="str">
        <f>IF(IF(ISNA(計算結果!K970),"",計算結果!K970)=0,"",IF(ISNA(計算結果!K970),"",計算結果!K970))</f>
        <v/>
      </c>
      <c r="L970" s="13" t="str">
        <f>IF(IF(ISNA(計算結果!L970),"",計算結果!L970)=0,"",IF(ISNA(計算結果!L970),"",計算結果!L970))</f>
        <v/>
      </c>
      <c r="M970" s="10" t="str">
        <f>IF(IF(ISNA(計算結果!M970),"",計算結果!M970)=0,"",IF(ISNA(計算結果!M970),"",計算結果!M970))</f>
        <v/>
      </c>
      <c r="N970" s="10" t="str">
        <f>IF(IF(ISNA(計算結果!N970),"",計算結果!N970)=0,"",IF(ISNA(計算結果!N970),"",計算結果!N970))</f>
        <v/>
      </c>
      <c r="O970" s="13" t="str">
        <f>IF(IF(ISNA(計算結果!O970),"",計算結果!O970)=0,"",IF(ISNA(計算結果!O970),"",計算結果!O970))</f>
        <v/>
      </c>
      <c r="P970" s="10" t="str">
        <f>IF(IF(ISNA(計算結果!P970),"",計算結果!P970)=0,"",IF(ISNA(計算結果!P970),"",計算結果!P970))</f>
        <v/>
      </c>
      <c r="Q970" s="10" t="str">
        <f>IF(IF(ISNA(計算結果!Q970),"",計算結果!Q970)=0,"",IF(ISNA(計算結果!Q970),"",計算結果!Q970))</f>
        <v/>
      </c>
      <c r="R970" s="14" t="str">
        <f t="shared" si="45"/>
        <v/>
      </c>
      <c r="S970" s="14" t="str">
        <f t="shared" si="46"/>
        <v>◯</v>
      </c>
      <c r="T970" s="14" t="str">
        <f t="shared" si="47"/>
        <v/>
      </c>
    </row>
    <row r="971" spans="1:20" hidden="1" x14ac:dyDescent="0.45">
      <c r="A971" s="10" t="str">
        <f>IF(IF(ISNA(計算結果!A971),"",計算結果!A971)=0,"",IF(ISNA(計算結果!A971),"",計算結果!A971))</f>
        <v/>
      </c>
      <c r="B971" s="10" t="str">
        <f>IF(IF(ISNA(計算結果!B971),"",計算結果!B971)=0,"",IF(ISNA(計算結果!B971),"",計算結果!B971))</f>
        <v/>
      </c>
      <c r="C971" s="10" t="str">
        <f>IF(IF(ISNA(計算結果!C971),"",計算結果!C971)=0,"",IF(ISNA(計算結果!C971),"",計算結果!C971))</f>
        <v/>
      </c>
      <c r="D971" s="10" t="str">
        <f>IF(IF(ISNA(計算結果!D971),"",計算結果!D971)=0,"",IF(ISNA(計算結果!D971),"",計算結果!D971))</f>
        <v>L</v>
      </c>
      <c r="E971" s="10" t="str">
        <f>IF(IF(ISNA(計算結果!E971),"",計算結果!E971)=0,"",IF(ISNA(計算結果!E971),"",計算結果!E971))</f>
        <v/>
      </c>
      <c r="F971" s="10" t="str">
        <f>IF(IF(ISNA(計算結果!F971),"",計算結果!F971)=0,"",IF(ISNA(計算結果!F971),"",計算結果!F971))</f>
        <v/>
      </c>
      <c r="G971" s="10" t="str">
        <f>IF(IF(ISNA(計算結果!G971),"",計算結果!G971)=0,"",IF(ISNA(計算結果!G971),"",計算結果!G971))</f>
        <v/>
      </c>
      <c r="H971" s="13">
        <f>IF(IF(ISNA(計算結果!H971),"",計算結果!H971)=0,"",IF(ISNA(計算結果!H971),"",計算結果!H971))</f>
        <v>-2</v>
      </c>
      <c r="I971" s="12" t="str">
        <f>IF(IF(ISNA(計算結果!I971),"",計算結果!I971)=0,"",IF(ISNA(計算結果!I971),"",計算結果!I971))</f>
        <v/>
      </c>
      <c r="J971" s="12" t="str">
        <f>IF(IF(ISNA(計算結果!J971),"",計算結果!J971)=0,"",IF(ISNA(計算結果!J971),"",計算結果!J971))</f>
        <v/>
      </c>
      <c r="K971" s="23" t="str">
        <f>IF(IF(ISNA(計算結果!K971),"",計算結果!K971)=0,"",IF(ISNA(計算結果!K971),"",計算結果!K971))</f>
        <v/>
      </c>
      <c r="L971" s="13" t="str">
        <f>IF(IF(ISNA(計算結果!L971),"",計算結果!L971)=0,"",IF(ISNA(計算結果!L971),"",計算結果!L971))</f>
        <v/>
      </c>
      <c r="M971" s="10" t="str">
        <f>IF(IF(ISNA(計算結果!M971),"",計算結果!M971)=0,"",IF(ISNA(計算結果!M971),"",計算結果!M971))</f>
        <v/>
      </c>
      <c r="N971" s="10" t="str">
        <f>IF(IF(ISNA(計算結果!N971),"",計算結果!N971)=0,"",IF(ISNA(計算結果!N971),"",計算結果!N971))</f>
        <v/>
      </c>
      <c r="O971" s="13" t="str">
        <f>IF(IF(ISNA(計算結果!O971),"",計算結果!O971)=0,"",IF(ISNA(計算結果!O971),"",計算結果!O971))</f>
        <v/>
      </c>
      <c r="P971" s="10" t="str">
        <f>IF(IF(ISNA(計算結果!P971),"",計算結果!P971)=0,"",IF(ISNA(計算結果!P971),"",計算結果!P971))</f>
        <v/>
      </c>
      <c r="Q971" s="10" t="str">
        <f>IF(IF(ISNA(計算結果!Q971),"",計算結果!Q971)=0,"",IF(ISNA(計算結果!Q971),"",計算結果!Q971))</f>
        <v/>
      </c>
      <c r="R971" s="14" t="str">
        <f t="shared" si="45"/>
        <v/>
      </c>
      <c r="S971" s="14" t="str">
        <f t="shared" si="46"/>
        <v>◯</v>
      </c>
      <c r="T971" s="14" t="str">
        <f t="shared" si="47"/>
        <v/>
      </c>
    </row>
    <row r="972" spans="1:20" hidden="1" x14ac:dyDescent="0.45">
      <c r="A972" s="10" t="str">
        <f>IF(IF(ISNA(計算結果!A972),"",計算結果!A972)=0,"",IF(ISNA(計算結果!A972),"",計算結果!A972))</f>
        <v/>
      </c>
      <c r="B972" s="10" t="str">
        <f>IF(IF(ISNA(計算結果!B972),"",計算結果!B972)=0,"",IF(ISNA(計算結果!B972),"",計算結果!B972))</f>
        <v/>
      </c>
      <c r="C972" s="10" t="str">
        <f>IF(IF(ISNA(計算結果!C972),"",計算結果!C972)=0,"",IF(ISNA(計算結果!C972),"",計算結果!C972))</f>
        <v/>
      </c>
      <c r="D972" s="10" t="str">
        <f>IF(IF(ISNA(計算結果!D972),"",計算結果!D972)=0,"",IF(ISNA(計算結果!D972),"",計算結果!D972))</f>
        <v>L</v>
      </c>
      <c r="E972" s="10" t="str">
        <f>IF(IF(ISNA(計算結果!E972),"",計算結果!E972)=0,"",IF(ISNA(計算結果!E972),"",計算結果!E972))</f>
        <v/>
      </c>
      <c r="F972" s="10" t="str">
        <f>IF(IF(ISNA(計算結果!F972),"",計算結果!F972)=0,"",IF(ISNA(計算結果!F972),"",計算結果!F972))</f>
        <v/>
      </c>
      <c r="G972" s="10" t="str">
        <f>IF(IF(ISNA(計算結果!G972),"",計算結果!G972)=0,"",IF(ISNA(計算結果!G972),"",計算結果!G972))</f>
        <v/>
      </c>
      <c r="H972" s="13">
        <f>IF(IF(ISNA(計算結果!H972),"",計算結果!H972)=0,"",IF(ISNA(計算結果!H972),"",計算結果!H972))</f>
        <v>-2</v>
      </c>
      <c r="I972" s="12" t="str">
        <f>IF(IF(ISNA(計算結果!I972),"",計算結果!I972)=0,"",IF(ISNA(計算結果!I972),"",計算結果!I972))</f>
        <v/>
      </c>
      <c r="J972" s="12" t="str">
        <f>IF(IF(ISNA(計算結果!J972),"",計算結果!J972)=0,"",IF(ISNA(計算結果!J972),"",計算結果!J972))</f>
        <v/>
      </c>
      <c r="K972" s="23" t="str">
        <f>IF(IF(ISNA(計算結果!K972),"",計算結果!K972)=0,"",IF(ISNA(計算結果!K972),"",計算結果!K972))</f>
        <v/>
      </c>
      <c r="L972" s="13" t="str">
        <f>IF(IF(ISNA(計算結果!L972),"",計算結果!L972)=0,"",IF(ISNA(計算結果!L972),"",計算結果!L972))</f>
        <v/>
      </c>
      <c r="M972" s="10" t="str">
        <f>IF(IF(ISNA(計算結果!M972),"",計算結果!M972)=0,"",IF(ISNA(計算結果!M972),"",計算結果!M972))</f>
        <v/>
      </c>
      <c r="N972" s="10" t="str">
        <f>IF(IF(ISNA(計算結果!N972),"",計算結果!N972)=0,"",IF(ISNA(計算結果!N972),"",計算結果!N972))</f>
        <v/>
      </c>
      <c r="O972" s="13" t="str">
        <f>IF(IF(ISNA(計算結果!O972),"",計算結果!O972)=0,"",IF(ISNA(計算結果!O972),"",計算結果!O972))</f>
        <v/>
      </c>
      <c r="P972" s="10" t="str">
        <f>IF(IF(ISNA(計算結果!P972),"",計算結果!P972)=0,"",IF(ISNA(計算結果!P972),"",計算結果!P972))</f>
        <v/>
      </c>
      <c r="Q972" s="10" t="str">
        <f>IF(IF(ISNA(計算結果!Q972),"",計算結果!Q972)=0,"",IF(ISNA(計算結果!Q972),"",計算結果!Q972))</f>
        <v/>
      </c>
      <c r="R972" s="14" t="str">
        <f t="shared" si="45"/>
        <v/>
      </c>
      <c r="S972" s="14" t="str">
        <f t="shared" si="46"/>
        <v>◯</v>
      </c>
      <c r="T972" s="14" t="str">
        <f t="shared" si="47"/>
        <v/>
      </c>
    </row>
    <row r="973" spans="1:20" hidden="1" x14ac:dyDescent="0.45">
      <c r="A973" s="10" t="str">
        <f>IF(IF(ISNA(計算結果!A973),"",計算結果!A973)=0,"",IF(ISNA(計算結果!A973),"",計算結果!A973))</f>
        <v/>
      </c>
      <c r="B973" s="10" t="str">
        <f>IF(IF(ISNA(計算結果!B973),"",計算結果!B973)=0,"",IF(ISNA(計算結果!B973),"",計算結果!B973))</f>
        <v/>
      </c>
      <c r="C973" s="10" t="str">
        <f>IF(IF(ISNA(計算結果!C973),"",計算結果!C973)=0,"",IF(ISNA(計算結果!C973),"",計算結果!C973))</f>
        <v/>
      </c>
      <c r="D973" s="10" t="str">
        <f>IF(IF(ISNA(計算結果!D973),"",計算結果!D973)=0,"",IF(ISNA(計算結果!D973),"",計算結果!D973))</f>
        <v>L</v>
      </c>
      <c r="E973" s="10" t="str">
        <f>IF(IF(ISNA(計算結果!E973),"",計算結果!E973)=0,"",IF(ISNA(計算結果!E973),"",計算結果!E973))</f>
        <v/>
      </c>
      <c r="F973" s="10" t="str">
        <f>IF(IF(ISNA(計算結果!F973),"",計算結果!F973)=0,"",IF(ISNA(計算結果!F973),"",計算結果!F973))</f>
        <v/>
      </c>
      <c r="G973" s="10" t="str">
        <f>IF(IF(ISNA(計算結果!G973),"",計算結果!G973)=0,"",IF(ISNA(計算結果!G973),"",計算結果!G973))</f>
        <v/>
      </c>
      <c r="H973" s="13">
        <f>IF(IF(ISNA(計算結果!H973),"",計算結果!H973)=0,"",IF(ISNA(計算結果!H973),"",計算結果!H973))</f>
        <v>-2</v>
      </c>
      <c r="I973" s="12" t="str">
        <f>IF(IF(ISNA(計算結果!I973),"",計算結果!I973)=0,"",IF(ISNA(計算結果!I973),"",計算結果!I973))</f>
        <v/>
      </c>
      <c r="J973" s="12" t="str">
        <f>IF(IF(ISNA(計算結果!J973),"",計算結果!J973)=0,"",IF(ISNA(計算結果!J973),"",計算結果!J973))</f>
        <v/>
      </c>
      <c r="K973" s="23" t="str">
        <f>IF(IF(ISNA(計算結果!K973),"",計算結果!K973)=0,"",IF(ISNA(計算結果!K973),"",計算結果!K973))</f>
        <v/>
      </c>
      <c r="L973" s="13" t="str">
        <f>IF(IF(ISNA(計算結果!L973),"",計算結果!L973)=0,"",IF(ISNA(計算結果!L973),"",計算結果!L973))</f>
        <v/>
      </c>
      <c r="M973" s="10" t="str">
        <f>IF(IF(ISNA(計算結果!M973),"",計算結果!M973)=0,"",IF(ISNA(計算結果!M973),"",計算結果!M973))</f>
        <v/>
      </c>
      <c r="N973" s="10" t="str">
        <f>IF(IF(ISNA(計算結果!N973),"",計算結果!N973)=0,"",IF(ISNA(計算結果!N973),"",計算結果!N973))</f>
        <v/>
      </c>
      <c r="O973" s="13" t="str">
        <f>IF(IF(ISNA(計算結果!O973),"",計算結果!O973)=0,"",IF(ISNA(計算結果!O973),"",計算結果!O973))</f>
        <v/>
      </c>
      <c r="P973" s="10" t="str">
        <f>IF(IF(ISNA(計算結果!P973),"",計算結果!P973)=0,"",IF(ISNA(計算結果!P973),"",計算結果!P973))</f>
        <v/>
      </c>
      <c r="Q973" s="10" t="str">
        <f>IF(IF(ISNA(計算結果!Q973),"",計算結果!Q973)=0,"",IF(ISNA(計算結果!Q973),"",計算結果!Q973))</f>
        <v/>
      </c>
      <c r="R973" s="14" t="str">
        <f t="shared" si="45"/>
        <v/>
      </c>
      <c r="S973" s="14" t="str">
        <f t="shared" si="46"/>
        <v>◯</v>
      </c>
      <c r="T973" s="14" t="str">
        <f t="shared" si="47"/>
        <v/>
      </c>
    </row>
    <row r="974" spans="1:20" hidden="1" x14ac:dyDescent="0.45">
      <c r="A974" s="10" t="str">
        <f>IF(IF(ISNA(計算結果!A974),"",計算結果!A974)=0,"",IF(ISNA(計算結果!A974),"",計算結果!A974))</f>
        <v/>
      </c>
      <c r="B974" s="10" t="str">
        <f>IF(IF(ISNA(計算結果!B974),"",計算結果!B974)=0,"",IF(ISNA(計算結果!B974),"",計算結果!B974))</f>
        <v/>
      </c>
      <c r="C974" s="10" t="str">
        <f>IF(IF(ISNA(計算結果!C974),"",計算結果!C974)=0,"",IF(ISNA(計算結果!C974),"",計算結果!C974))</f>
        <v/>
      </c>
      <c r="D974" s="10" t="str">
        <f>IF(IF(ISNA(計算結果!D974),"",計算結果!D974)=0,"",IF(ISNA(計算結果!D974),"",計算結果!D974))</f>
        <v>L</v>
      </c>
      <c r="E974" s="10" t="str">
        <f>IF(IF(ISNA(計算結果!E974),"",計算結果!E974)=0,"",IF(ISNA(計算結果!E974),"",計算結果!E974))</f>
        <v/>
      </c>
      <c r="F974" s="10" t="str">
        <f>IF(IF(ISNA(計算結果!F974),"",計算結果!F974)=0,"",IF(ISNA(計算結果!F974),"",計算結果!F974))</f>
        <v/>
      </c>
      <c r="G974" s="10" t="str">
        <f>IF(IF(ISNA(計算結果!G974),"",計算結果!G974)=0,"",IF(ISNA(計算結果!G974),"",計算結果!G974))</f>
        <v/>
      </c>
      <c r="H974" s="13">
        <f>IF(IF(ISNA(計算結果!H974),"",計算結果!H974)=0,"",IF(ISNA(計算結果!H974),"",計算結果!H974))</f>
        <v>-2</v>
      </c>
      <c r="I974" s="12" t="str">
        <f>IF(IF(ISNA(計算結果!I974),"",計算結果!I974)=0,"",IF(ISNA(計算結果!I974),"",計算結果!I974))</f>
        <v/>
      </c>
      <c r="J974" s="12" t="str">
        <f>IF(IF(ISNA(計算結果!J974),"",計算結果!J974)=0,"",IF(ISNA(計算結果!J974),"",計算結果!J974))</f>
        <v/>
      </c>
      <c r="K974" s="23" t="str">
        <f>IF(IF(ISNA(計算結果!K974),"",計算結果!K974)=0,"",IF(ISNA(計算結果!K974),"",計算結果!K974))</f>
        <v/>
      </c>
      <c r="L974" s="13" t="str">
        <f>IF(IF(ISNA(計算結果!L974),"",計算結果!L974)=0,"",IF(ISNA(計算結果!L974),"",計算結果!L974))</f>
        <v/>
      </c>
      <c r="M974" s="10" t="str">
        <f>IF(IF(ISNA(計算結果!M974),"",計算結果!M974)=0,"",IF(ISNA(計算結果!M974),"",計算結果!M974))</f>
        <v/>
      </c>
      <c r="N974" s="10" t="str">
        <f>IF(IF(ISNA(計算結果!N974),"",計算結果!N974)=0,"",IF(ISNA(計算結果!N974),"",計算結果!N974))</f>
        <v/>
      </c>
      <c r="O974" s="13" t="str">
        <f>IF(IF(ISNA(計算結果!O974),"",計算結果!O974)=0,"",IF(ISNA(計算結果!O974),"",計算結果!O974))</f>
        <v/>
      </c>
      <c r="P974" s="10" t="str">
        <f>IF(IF(ISNA(計算結果!P974),"",計算結果!P974)=0,"",IF(ISNA(計算結果!P974),"",計算結果!P974))</f>
        <v/>
      </c>
      <c r="Q974" s="10" t="str">
        <f>IF(IF(ISNA(計算結果!Q974),"",計算結果!Q974)=0,"",IF(ISNA(計算結果!Q974),"",計算結果!Q974))</f>
        <v/>
      </c>
      <c r="R974" s="14" t="str">
        <f t="shared" si="45"/>
        <v/>
      </c>
      <c r="S974" s="14" t="str">
        <f t="shared" si="46"/>
        <v>◯</v>
      </c>
      <c r="T974" s="14" t="str">
        <f t="shared" si="47"/>
        <v/>
      </c>
    </row>
    <row r="975" spans="1:20" hidden="1" x14ac:dyDescent="0.45">
      <c r="A975" s="10" t="str">
        <f>IF(IF(ISNA(計算結果!A975),"",計算結果!A975)=0,"",IF(ISNA(計算結果!A975),"",計算結果!A975))</f>
        <v/>
      </c>
      <c r="B975" s="10" t="str">
        <f>IF(IF(ISNA(計算結果!B975),"",計算結果!B975)=0,"",IF(ISNA(計算結果!B975),"",計算結果!B975))</f>
        <v/>
      </c>
      <c r="C975" s="10" t="str">
        <f>IF(IF(ISNA(計算結果!C975),"",計算結果!C975)=0,"",IF(ISNA(計算結果!C975),"",計算結果!C975))</f>
        <v/>
      </c>
      <c r="D975" s="10" t="str">
        <f>IF(IF(ISNA(計算結果!D975),"",計算結果!D975)=0,"",IF(ISNA(計算結果!D975),"",計算結果!D975))</f>
        <v>L</v>
      </c>
      <c r="E975" s="10" t="str">
        <f>IF(IF(ISNA(計算結果!E975),"",計算結果!E975)=0,"",IF(ISNA(計算結果!E975),"",計算結果!E975))</f>
        <v/>
      </c>
      <c r="F975" s="10" t="str">
        <f>IF(IF(ISNA(計算結果!F975),"",計算結果!F975)=0,"",IF(ISNA(計算結果!F975),"",計算結果!F975))</f>
        <v/>
      </c>
      <c r="G975" s="10" t="str">
        <f>IF(IF(ISNA(計算結果!G975),"",計算結果!G975)=0,"",IF(ISNA(計算結果!G975),"",計算結果!G975))</f>
        <v/>
      </c>
      <c r="H975" s="13">
        <f>IF(IF(ISNA(計算結果!H975),"",計算結果!H975)=0,"",IF(ISNA(計算結果!H975),"",計算結果!H975))</f>
        <v>-2</v>
      </c>
      <c r="I975" s="12" t="str">
        <f>IF(IF(ISNA(計算結果!I975),"",計算結果!I975)=0,"",IF(ISNA(計算結果!I975),"",計算結果!I975))</f>
        <v/>
      </c>
      <c r="J975" s="12" t="str">
        <f>IF(IF(ISNA(計算結果!J975),"",計算結果!J975)=0,"",IF(ISNA(計算結果!J975),"",計算結果!J975))</f>
        <v/>
      </c>
      <c r="K975" s="23" t="str">
        <f>IF(IF(ISNA(計算結果!K975),"",計算結果!K975)=0,"",IF(ISNA(計算結果!K975),"",計算結果!K975))</f>
        <v/>
      </c>
      <c r="L975" s="13" t="str">
        <f>IF(IF(ISNA(計算結果!L975),"",計算結果!L975)=0,"",IF(ISNA(計算結果!L975),"",計算結果!L975))</f>
        <v/>
      </c>
      <c r="M975" s="10" t="str">
        <f>IF(IF(ISNA(計算結果!M975),"",計算結果!M975)=0,"",IF(ISNA(計算結果!M975),"",計算結果!M975))</f>
        <v/>
      </c>
      <c r="N975" s="10" t="str">
        <f>IF(IF(ISNA(計算結果!N975),"",計算結果!N975)=0,"",IF(ISNA(計算結果!N975),"",計算結果!N975))</f>
        <v/>
      </c>
      <c r="O975" s="13" t="str">
        <f>IF(IF(ISNA(計算結果!O975),"",計算結果!O975)=0,"",IF(ISNA(計算結果!O975),"",計算結果!O975))</f>
        <v/>
      </c>
      <c r="P975" s="10" t="str">
        <f>IF(IF(ISNA(計算結果!P975),"",計算結果!P975)=0,"",IF(ISNA(計算結果!P975),"",計算結果!P975))</f>
        <v/>
      </c>
      <c r="Q975" s="10" t="str">
        <f>IF(IF(ISNA(計算結果!Q975),"",計算結果!Q975)=0,"",IF(ISNA(計算結果!Q975),"",計算結果!Q975))</f>
        <v/>
      </c>
      <c r="R975" s="14" t="str">
        <f t="shared" si="45"/>
        <v/>
      </c>
      <c r="S975" s="14" t="str">
        <f t="shared" si="46"/>
        <v>◯</v>
      </c>
      <c r="T975" s="14" t="str">
        <f t="shared" si="47"/>
        <v/>
      </c>
    </row>
    <row r="976" spans="1:20" hidden="1" x14ac:dyDescent="0.45">
      <c r="A976" s="10" t="str">
        <f>IF(IF(ISNA(計算結果!A976),"",計算結果!A976)=0,"",IF(ISNA(計算結果!A976),"",計算結果!A976))</f>
        <v/>
      </c>
      <c r="B976" s="10" t="str">
        <f>IF(IF(ISNA(計算結果!B976),"",計算結果!B976)=0,"",IF(ISNA(計算結果!B976),"",計算結果!B976))</f>
        <v/>
      </c>
      <c r="C976" s="10" t="str">
        <f>IF(IF(ISNA(計算結果!C976),"",計算結果!C976)=0,"",IF(ISNA(計算結果!C976),"",計算結果!C976))</f>
        <v/>
      </c>
      <c r="D976" s="10" t="str">
        <f>IF(IF(ISNA(計算結果!D976),"",計算結果!D976)=0,"",IF(ISNA(計算結果!D976),"",計算結果!D976))</f>
        <v>L</v>
      </c>
      <c r="E976" s="10" t="str">
        <f>IF(IF(ISNA(計算結果!E976),"",計算結果!E976)=0,"",IF(ISNA(計算結果!E976),"",計算結果!E976))</f>
        <v/>
      </c>
      <c r="F976" s="10" t="str">
        <f>IF(IF(ISNA(計算結果!F976),"",計算結果!F976)=0,"",IF(ISNA(計算結果!F976),"",計算結果!F976))</f>
        <v/>
      </c>
      <c r="G976" s="10" t="str">
        <f>IF(IF(ISNA(計算結果!G976),"",計算結果!G976)=0,"",IF(ISNA(計算結果!G976),"",計算結果!G976))</f>
        <v/>
      </c>
      <c r="H976" s="13">
        <f>IF(IF(ISNA(計算結果!H976),"",計算結果!H976)=0,"",IF(ISNA(計算結果!H976),"",計算結果!H976))</f>
        <v>-2</v>
      </c>
      <c r="I976" s="12" t="str">
        <f>IF(IF(ISNA(計算結果!I976),"",計算結果!I976)=0,"",IF(ISNA(計算結果!I976),"",計算結果!I976))</f>
        <v/>
      </c>
      <c r="J976" s="12" t="str">
        <f>IF(IF(ISNA(計算結果!J976),"",計算結果!J976)=0,"",IF(ISNA(計算結果!J976),"",計算結果!J976))</f>
        <v/>
      </c>
      <c r="K976" s="23" t="str">
        <f>IF(IF(ISNA(計算結果!K976),"",計算結果!K976)=0,"",IF(ISNA(計算結果!K976),"",計算結果!K976))</f>
        <v/>
      </c>
      <c r="L976" s="13" t="str">
        <f>IF(IF(ISNA(計算結果!L976),"",計算結果!L976)=0,"",IF(ISNA(計算結果!L976),"",計算結果!L976))</f>
        <v/>
      </c>
      <c r="M976" s="10" t="str">
        <f>IF(IF(ISNA(計算結果!M976),"",計算結果!M976)=0,"",IF(ISNA(計算結果!M976),"",計算結果!M976))</f>
        <v/>
      </c>
      <c r="N976" s="10" t="str">
        <f>IF(IF(ISNA(計算結果!N976),"",計算結果!N976)=0,"",IF(ISNA(計算結果!N976),"",計算結果!N976))</f>
        <v/>
      </c>
      <c r="O976" s="13" t="str">
        <f>IF(IF(ISNA(計算結果!O976),"",計算結果!O976)=0,"",IF(ISNA(計算結果!O976),"",計算結果!O976))</f>
        <v/>
      </c>
      <c r="P976" s="10" t="str">
        <f>IF(IF(ISNA(計算結果!P976),"",計算結果!P976)=0,"",IF(ISNA(計算結果!P976),"",計算結果!P976))</f>
        <v/>
      </c>
      <c r="Q976" s="10" t="str">
        <f>IF(IF(ISNA(計算結果!Q976),"",計算結果!Q976)=0,"",IF(ISNA(計算結果!Q976),"",計算結果!Q976))</f>
        <v/>
      </c>
      <c r="R976" s="14" t="str">
        <f t="shared" si="45"/>
        <v/>
      </c>
      <c r="S976" s="14" t="str">
        <f t="shared" si="46"/>
        <v>◯</v>
      </c>
      <c r="T976" s="14" t="str">
        <f t="shared" si="47"/>
        <v/>
      </c>
    </row>
    <row r="977" spans="1:20" hidden="1" x14ac:dyDescent="0.45">
      <c r="A977" s="10" t="str">
        <f>IF(IF(ISNA(計算結果!A977),"",計算結果!A977)=0,"",IF(ISNA(計算結果!A977),"",計算結果!A977))</f>
        <v/>
      </c>
      <c r="B977" s="10" t="str">
        <f>IF(IF(ISNA(計算結果!B977),"",計算結果!B977)=0,"",IF(ISNA(計算結果!B977),"",計算結果!B977))</f>
        <v/>
      </c>
      <c r="C977" s="10" t="str">
        <f>IF(IF(ISNA(計算結果!C977),"",計算結果!C977)=0,"",IF(ISNA(計算結果!C977),"",計算結果!C977))</f>
        <v/>
      </c>
      <c r="D977" s="10" t="str">
        <f>IF(IF(ISNA(計算結果!D977),"",計算結果!D977)=0,"",IF(ISNA(計算結果!D977),"",計算結果!D977))</f>
        <v>L</v>
      </c>
      <c r="E977" s="10" t="str">
        <f>IF(IF(ISNA(計算結果!E977),"",計算結果!E977)=0,"",IF(ISNA(計算結果!E977),"",計算結果!E977))</f>
        <v/>
      </c>
      <c r="F977" s="10" t="str">
        <f>IF(IF(ISNA(計算結果!F977),"",計算結果!F977)=0,"",IF(ISNA(計算結果!F977),"",計算結果!F977))</f>
        <v/>
      </c>
      <c r="G977" s="10" t="str">
        <f>IF(IF(ISNA(計算結果!G977),"",計算結果!G977)=0,"",IF(ISNA(計算結果!G977),"",計算結果!G977))</f>
        <v/>
      </c>
      <c r="H977" s="13">
        <f>IF(IF(ISNA(計算結果!H977),"",計算結果!H977)=0,"",IF(ISNA(計算結果!H977),"",計算結果!H977))</f>
        <v>-2</v>
      </c>
      <c r="I977" s="12" t="str">
        <f>IF(IF(ISNA(計算結果!I977),"",計算結果!I977)=0,"",IF(ISNA(計算結果!I977),"",計算結果!I977))</f>
        <v/>
      </c>
      <c r="J977" s="12" t="str">
        <f>IF(IF(ISNA(計算結果!J977),"",計算結果!J977)=0,"",IF(ISNA(計算結果!J977),"",計算結果!J977))</f>
        <v/>
      </c>
      <c r="K977" s="23" t="str">
        <f>IF(IF(ISNA(計算結果!K977),"",計算結果!K977)=0,"",IF(ISNA(計算結果!K977),"",計算結果!K977))</f>
        <v/>
      </c>
      <c r="L977" s="13" t="str">
        <f>IF(IF(ISNA(計算結果!L977),"",計算結果!L977)=0,"",IF(ISNA(計算結果!L977),"",計算結果!L977))</f>
        <v/>
      </c>
      <c r="M977" s="10" t="str">
        <f>IF(IF(ISNA(計算結果!M977),"",計算結果!M977)=0,"",IF(ISNA(計算結果!M977),"",計算結果!M977))</f>
        <v/>
      </c>
      <c r="N977" s="10" t="str">
        <f>IF(IF(ISNA(計算結果!N977),"",計算結果!N977)=0,"",IF(ISNA(計算結果!N977),"",計算結果!N977))</f>
        <v/>
      </c>
      <c r="O977" s="13" t="str">
        <f>IF(IF(ISNA(計算結果!O977),"",計算結果!O977)=0,"",IF(ISNA(計算結果!O977),"",計算結果!O977))</f>
        <v/>
      </c>
      <c r="P977" s="10" t="str">
        <f>IF(IF(ISNA(計算結果!P977),"",計算結果!P977)=0,"",IF(ISNA(計算結果!P977),"",計算結果!P977))</f>
        <v/>
      </c>
      <c r="Q977" s="10" t="str">
        <f>IF(IF(ISNA(計算結果!Q977),"",計算結果!Q977)=0,"",IF(ISNA(計算結果!Q977),"",計算結果!Q977))</f>
        <v/>
      </c>
      <c r="R977" s="14" t="str">
        <f t="shared" si="45"/>
        <v/>
      </c>
      <c r="S977" s="14" t="str">
        <f t="shared" si="46"/>
        <v>◯</v>
      </c>
      <c r="T977" s="14" t="str">
        <f t="shared" si="47"/>
        <v/>
      </c>
    </row>
    <row r="978" spans="1:20" hidden="1" x14ac:dyDescent="0.45">
      <c r="A978" s="10" t="str">
        <f>IF(IF(ISNA(計算結果!A978),"",計算結果!A978)=0,"",IF(ISNA(計算結果!A978),"",計算結果!A978))</f>
        <v/>
      </c>
      <c r="B978" s="10" t="str">
        <f>IF(IF(ISNA(計算結果!B978),"",計算結果!B978)=0,"",IF(ISNA(計算結果!B978),"",計算結果!B978))</f>
        <v/>
      </c>
      <c r="C978" s="10" t="str">
        <f>IF(IF(ISNA(計算結果!C978),"",計算結果!C978)=0,"",IF(ISNA(計算結果!C978),"",計算結果!C978))</f>
        <v/>
      </c>
      <c r="D978" s="10" t="str">
        <f>IF(IF(ISNA(計算結果!D978),"",計算結果!D978)=0,"",IF(ISNA(計算結果!D978),"",計算結果!D978))</f>
        <v>L</v>
      </c>
      <c r="E978" s="10" t="str">
        <f>IF(IF(ISNA(計算結果!E978),"",計算結果!E978)=0,"",IF(ISNA(計算結果!E978),"",計算結果!E978))</f>
        <v/>
      </c>
      <c r="F978" s="10" t="str">
        <f>IF(IF(ISNA(計算結果!F978),"",計算結果!F978)=0,"",IF(ISNA(計算結果!F978),"",計算結果!F978))</f>
        <v/>
      </c>
      <c r="G978" s="10" t="str">
        <f>IF(IF(ISNA(計算結果!G978),"",計算結果!G978)=0,"",IF(ISNA(計算結果!G978),"",計算結果!G978))</f>
        <v/>
      </c>
      <c r="H978" s="13">
        <f>IF(IF(ISNA(計算結果!H978),"",計算結果!H978)=0,"",IF(ISNA(計算結果!H978),"",計算結果!H978))</f>
        <v>-2</v>
      </c>
      <c r="I978" s="12" t="str">
        <f>IF(IF(ISNA(計算結果!I978),"",計算結果!I978)=0,"",IF(ISNA(計算結果!I978),"",計算結果!I978))</f>
        <v/>
      </c>
      <c r="J978" s="12" t="str">
        <f>IF(IF(ISNA(計算結果!J978),"",計算結果!J978)=0,"",IF(ISNA(計算結果!J978),"",計算結果!J978))</f>
        <v/>
      </c>
      <c r="K978" s="23" t="str">
        <f>IF(IF(ISNA(計算結果!K978),"",計算結果!K978)=0,"",IF(ISNA(計算結果!K978),"",計算結果!K978))</f>
        <v/>
      </c>
      <c r="L978" s="13" t="str">
        <f>IF(IF(ISNA(計算結果!L978),"",計算結果!L978)=0,"",IF(ISNA(計算結果!L978),"",計算結果!L978))</f>
        <v/>
      </c>
      <c r="M978" s="10" t="str">
        <f>IF(IF(ISNA(計算結果!M978),"",計算結果!M978)=0,"",IF(ISNA(計算結果!M978),"",計算結果!M978))</f>
        <v/>
      </c>
      <c r="N978" s="10" t="str">
        <f>IF(IF(ISNA(計算結果!N978),"",計算結果!N978)=0,"",IF(ISNA(計算結果!N978),"",計算結果!N978))</f>
        <v/>
      </c>
      <c r="O978" s="13" t="str">
        <f>IF(IF(ISNA(計算結果!O978),"",計算結果!O978)=0,"",IF(ISNA(計算結果!O978),"",計算結果!O978))</f>
        <v/>
      </c>
      <c r="P978" s="10" t="str">
        <f>IF(IF(ISNA(計算結果!P978),"",計算結果!P978)=0,"",IF(ISNA(計算結果!P978),"",計算結果!P978))</f>
        <v/>
      </c>
      <c r="Q978" s="10" t="str">
        <f>IF(IF(ISNA(計算結果!Q978),"",計算結果!Q978)=0,"",IF(ISNA(計算結果!Q978),"",計算結果!Q978))</f>
        <v/>
      </c>
      <c r="R978" s="14" t="str">
        <f t="shared" si="45"/>
        <v/>
      </c>
      <c r="S978" s="14" t="str">
        <f t="shared" si="46"/>
        <v>◯</v>
      </c>
      <c r="T978" s="14" t="str">
        <f t="shared" si="47"/>
        <v/>
      </c>
    </row>
    <row r="979" spans="1:20" hidden="1" x14ac:dyDescent="0.45">
      <c r="A979" s="10" t="str">
        <f>IF(IF(ISNA(計算結果!A979),"",計算結果!A979)=0,"",IF(ISNA(計算結果!A979),"",計算結果!A979))</f>
        <v/>
      </c>
      <c r="B979" s="10" t="str">
        <f>IF(IF(ISNA(計算結果!B979),"",計算結果!B979)=0,"",IF(ISNA(計算結果!B979),"",計算結果!B979))</f>
        <v/>
      </c>
      <c r="C979" s="10" t="str">
        <f>IF(IF(ISNA(計算結果!C979),"",計算結果!C979)=0,"",IF(ISNA(計算結果!C979),"",計算結果!C979))</f>
        <v/>
      </c>
      <c r="D979" s="10" t="str">
        <f>IF(IF(ISNA(計算結果!D979),"",計算結果!D979)=0,"",IF(ISNA(計算結果!D979),"",計算結果!D979))</f>
        <v>L</v>
      </c>
      <c r="E979" s="10" t="str">
        <f>IF(IF(ISNA(計算結果!E979),"",計算結果!E979)=0,"",IF(ISNA(計算結果!E979),"",計算結果!E979))</f>
        <v/>
      </c>
      <c r="F979" s="10" t="str">
        <f>IF(IF(ISNA(計算結果!F979),"",計算結果!F979)=0,"",IF(ISNA(計算結果!F979),"",計算結果!F979))</f>
        <v/>
      </c>
      <c r="G979" s="10" t="str">
        <f>IF(IF(ISNA(計算結果!G979),"",計算結果!G979)=0,"",IF(ISNA(計算結果!G979),"",計算結果!G979))</f>
        <v/>
      </c>
      <c r="H979" s="13">
        <f>IF(IF(ISNA(計算結果!H979),"",計算結果!H979)=0,"",IF(ISNA(計算結果!H979),"",計算結果!H979))</f>
        <v>-2</v>
      </c>
      <c r="I979" s="12" t="str">
        <f>IF(IF(ISNA(計算結果!I979),"",計算結果!I979)=0,"",IF(ISNA(計算結果!I979),"",計算結果!I979))</f>
        <v/>
      </c>
      <c r="J979" s="12" t="str">
        <f>IF(IF(ISNA(計算結果!J979),"",計算結果!J979)=0,"",IF(ISNA(計算結果!J979),"",計算結果!J979))</f>
        <v/>
      </c>
      <c r="K979" s="23" t="str">
        <f>IF(IF(ISNA(計算結果!K979),"",計算結果!K979)=0,"",IF(ISNA(計算結果!K979),"",計算結果!K979))</f>
        <v/>
      </c>
      <c r="L979" s="13" t="str">
        <f>IF(IF(ISNA(計算結果!L979),"",計算結果!L979)=0,"",IF(ISNA(計算結果!L979),"",計算結果!L979))</f>
        <v/>
      </c>
      <c r="M979" s="10" t="str">
        <f>IF(IF(ISNA(計算結果!M979),"",計算結果!M979)=0,"",IF(ISNA(計算結果!M979),"",計算結果!M979))</f>
        <v/>
      </c>
      <c r="N979" s="10" t="str">
        <f>IF(IF(ISNA(計算結果!N979),"",計算結果!N979)=0,"",IF(ISNA(計算結果!N979),"",計算結果!N979))</f>
        <v/>
      </c>
      <c r="O979" s="13" t="str">
        <f>IF(IF(ISNA(計算結果!O979),"",計算結果!O979)=0,"",IF(ISNA(計算結果!O979),"",計算結果!O979))</f>
        <v/>
      </c>
      <c r="P979" s="10" t="str">
        <f>IF(IF(ISNA(計算結果!P979),"",計算結果!P979)=0,"",IF(ISNA(計算結果!P979),"",計算結果!P979))</f>
        <v/>
      </c>
      <c r="Q979" s="10" t="str">
        <f>IF(IF(ISNA(計算結果!Q979),"",計算結果!Q979)=0,"",IF(ISNA(計算結果!Q979),"",計算結果!Q979))</f>
        <v/>
      </c>
      <c r="R979" s="14" t="str">
        <f t="shared" si="45"/>
        <v/>
      </c>
      <c r="S979" s="14" t="str">
        <f t="shared" si="46"/>
        <v>◯</v>
      </c>
      <c r="T979" s="14" t="str">
        <f t="shared" si="47"/>
        <v/>
      </c>
    </row>
    <row r="980" spans="1:20" hidden="1" x14ac:dyDescent="0.45">
      <c r="A980" s="10" t="str">
        <f>IF(IF(ISNA(計算結果!A980),"",計算結果!A980)=0,"",IF(ISNA(計算結果!A980),"",計算結果!A980))</f>
        <v/>
      </c>
      <c r="B980" s="10" t="str">
        <f>IF(IF(ISNA(計算結果!B980),"",計算結果!B980)=0,"",IF(ISNA(計算結果!B980),"",計算結果!B980))</f>
        <v/>
      </c>
      <c r="C980" s="10" t="str">
        <f>IF(IF(ISNA(計算結果!C980),"",計算結果!C980)=0,"",IF(ISNA(計算結果!C980),"",計算結果!C980))</f>
        <v/>
      </c>
      <c r="D980" s="10" t="str">
        <f>IF(IF(ISNA(計算結果!D980),"",計算結果!D980)=0,"",IF(ISNA(計算結果!D980),"",計算結果!D980))</f>
        <v>L</v>
      </c>
      <c r="E980" s="10" t="str">
        <f>IF(IF(ISNA(計算結果!E980),"",計算結果!E980)=0,"",IF(ISNA(計算結果!E980),"",計算結果!E980))</f>
        <v/>
      </c>
      <c r="F980" s="10" t="str">
        <f>IF(IF(ISNA(計算結果!F980),"",計算結果!F980)=0,"",IF(ISNA(計算結果!F980),"",計算結果!F980))</f>
        <v/>
      </c>
      <c r="G980" s="10" t="str">
        <f>IF(IF(ISNA(計算結果!G980),"",計算結果!G980)=0,"",IF(ISNA(計算結果!G980),"",計算結果!G980))</f>
        <v/>
      </c>
      <c r="H980" s="13">
        <f>IF(IF(ISNA(計算結果!H980),"",計算結果!H980)=0,"",IF(ISNA(計算結果!H980),"",計算結果!H980))</f>
        <v>-2</v>
      </c>
      <c r="I980" s="12" t="str">
        <f>IF(IF(ISNA(計算結果!I980),"",計算結果!I980)=0,"",IF(ISNA(計算結果!I980),"",計算結果!I980))</f>
        <v/>
      </c>
      <c r="J980" s="12" t="str">
        <f>IF(IF(ISNA(計算結果!J980),"",計算結果!J980)=0,"",IF(ISNA(計算結果!J980),"",計算結果!J980))</f>
        <v/>
      </c>
      <c r="K980" s="23" t="str">
        <f>IF(IF(ISNA(計算結果!K980),"",計算結果!K980)=0,"",IF(ISNA(計算結果!K980),"",計算結果!K980))</f>
        <v/>
      </c>
      <c r="L980" s="13" t="str">
        <f>IF(IF(ISNA(計算結果!L980),"",計算結果!L980)=0,"",IF(ISNA(計算結果!L980),"",計算結果!L980))</f>
        <v/>
      </c>
      <c r="M980" s="10" t="str">
        <f>IF(IF(ISNA(計算結果!M980),"",計算結果!M980)=0,"",IF(ISNA(計算結果!M980),"",計算結果!M980))</f>
        <v/>
      </c>
      <c r="N980" s="10" t="str">
        <f>IF(IF(ISNA(計算結果!N980),"",計算結果!N980)=0,"",IF(ISNA(計算結果!N980),"",計算結果!N980))</f>
        <v/>
      </c>
      <c r="O980" s="13" t="str">
        <f>IF(IF(ISNA(計算結果!O980),"",計算結果!O980)=0,"",IF(ISNA(計算結果!O980),"",計算結果!O980))</f>
        <v/>
      </c>
      <c r="P980" s="10" t="str">
        <f>IF(IF(ISNA(計算結果!P980),"",計算結果!P980)=0,"",IF(ISNA(計算結果!P980),"",計算結果!P980))</f>
        <v/>
      </c>
      <c r="Q980" s="10" t="str">
        <f>IF(IF(ISNA(計算結果!Q980),"",計算結果!Q980)=0,"",IF(ISNA(計算結果!Q980),"",計算結果!Q980))</f>
        <v/>
      </c>
      <c r="R980" s="14" t="str">
        <f t="shared" si="45"/>
        <v/>
      </c>
      <c r="S980" s="14" t="str">
        <f t="shared" si="46"/>
        <v>◯</v>
      </c>
      <c r="T980" s="14" t="str">
        <f t="shared" si="47"/>
        <v/>
      </c>
    </row>
    <row r="981" spans="1:20" hidden="1" x14ac:dyDescent="0.45">
      <c r="A981" s="10" t="str">
        <f>IF(IF(ISNA(計算結果!A981),"",計算結果!A981)=0,"",IF(ISNA(計算結果!A981),"",計算結果!A981))</f>
        <v/>
      </c>
      <c r="B981" s="10" t="str">
        <f>IF(IF(ISNA(計算結果!B981),"",計算結果!B981)=0,"",IF(ISNA(計算結果!B981),"",計算結果!B981))</f>
        <v/>
      </c>
      <c r="C981" s="10" t="str">
        <f>IF(IF(ISNA(計算結果!C981),"",計算結果!C981)=0,"",IF(ISNA(計算結果!C981),"",計算結果!C981))</f>
        <v/>
      </c>
      <c r="D981" s="10" t="str">
        <f>IF(IF(ISNA(計算結果!D981),"",計算結果!D981)=0,"",IF(ISNA(計算結果!D981),"",計算結果!D981))</f>
        <v>L</v>
      </c>
      <c r="E981" s="10" t="str">
        <f>IF(IF(ISNA(計算結果!E981),"",計算結果!E981)=0,"",IF(ISNA(計算結果!E981),"",計算結果!E981))</f>
        <v/>
      </c>
      <c r="F981" s="10" t="str">
        <f>IF(IF(ISNA(計算結果!F981),"",計算結果!F981)=0,"",IF(ISNA(計算結果!F981),"",計算結果!F981))</f>
        <v/>
      </c>
      <c r="G981" s="10" t="str">
        <f>IF(IF(ISNA(計算結果!G981),"",計算結果!G981)=0,"",IF(ISNA(計算結果!G981),"",計算結果!G981))</f>
        <v/>
      </c>
      <c r="H981" s="13">
        <f>IF(IF(ISNA(計算結果!H981),"",計算結果!H981)=0,"",IF(ISNA(計算結果!H981),"",計算結果!H981))</f>
        <v>-2</v>
      </c>
      <c r="I981" s="12" t="str">
        <f>IF(IF(ISNA(計算結果!I981),"",計算結果!I981)=0,"",IF(ISNA(計算結果!I981),"",計算結果!I981))</f>
        <v/>
      </c>
      <c r="J981" s="12" t="str">
        <f>IF(IF(ISNA(計算結果!J981),"",計算結果!J981)=0,"",IF(ISNA(計算結果!J981),"",計算結果!J981))</f>
        <v/>
      </c>
      <c r="K981" s="23" t="str">
        <f>IF(IF(ISNA(計算結果!K981),"",計算結果!K981)=0,"",IF(ISNA(計算結果!K981),"",計算結果!K981))</f>
        <v/>
      </c>
      <c r="L981" s="13" t="str">
        <f>IF(IF(ISNA(計算結果!L981),"",計算結果!L981)=0,"",IF(ISNA(計算結果!L981),"",計算結果!L981))</f>
        <v/>
      </c>
      <c r="M981" s="10" t="str">
        <f>IF(IF(ISNA(計算結果!M981),"",計算結果!M981)=0,"",IF(ISNA(計算結果!M981),"",計算結果!M981))</f>
        <v/>
      </c>
      <c r="N981" s="10" t="str">
        <f>IF(IF(ISNA(計算結果!N981),"",計算結果!N981)=0,"",IF(ISNA(計算結果!N981),"",計算結果!N981))</f>
        <v/>
      </c>
      <c r="O981" s="13" t="str">
        <f>IF(IF(ISNA(計算結果!O981),"",計算結果!O981)=0,"",IF(ISNA(計算結果!O981),"",計算結果!O981))</f>
        <v/>
      </c>
      <c r="P981" s="10" t="str">
        <f>IF(IF(ISNA(計算結果!P981),"",計算結果!P981)=0,"",IF(ISNA(計算結果!P981),"",計算結果!P981))</f>
        <v/>
      </c>
      <c r="Q981" s="10" t="str">
        <f>IF(IF(ISNA(計算結果!Q981),"",計算結果!Q981)=0,"",IF(ISNA(計算結果!Q981),"",計算結果!Q981))</f>
        <v/>
      </c>
      <c r="R981" s="14" t="str">
        <f t="shared" si="45"/>
        <v/>
      </c>
      <c r="S981" s="14" t="str">
        <f t="shared" si="46"/>
        <v>◯</v>
      </c>
      <c r="T981" s="14" t="str">
        <f t="shared" si="47"/>
        <v/>
      </c>
    </row>
    <row r="982" spans="1:20" hidden="1" x14ac:dyDescent="0.45">
      <c r="A982" s="10" t="str">
        <f>IF(IF(ISNA(計算結果!A982),"",計算結果!A982)=0,"",IF(ISNA(計算結果!A982),"",計算結果!A982))</f>
        <v/>
      </c>
      <c r="B982" s="10" t="str">
        <f>IF(IF(ISNA(計算結果!B982),"",計算結果!B982)=0,"",IF(ISNA(計算結果!B982),"",計算結果!B982))</f>
        <v/>
      </c>
      <c r="C982" s="10" t="str">
        <f>IF(IF(ISNA(計算結果!C982),"",計算結果!C982)=0,"",IF(ISNA(計算結果!C982),"",計算結果!C982))</f>
        <v/>
      </c>
      <c r="D982" s="10" t="str">
        <f>IF(IF(ISNA(計算結果!D982),"",計算結果!D982)=0,"",IF(ISNA(計算結果!D982),"",計算結果!D982))</f>
        <v>L</v>
      </c>
      <c r="E982" s="10" t="str">
        <f>IF(IF(ISNA(計算結果!E982),"",計算結果!E982)=0,"",IF(ISNA(計算結果!E982),"",計算結果!E982))</f>
        <v/>
      </c>
      <c r="F982" s="10" t="str">
        <f>IF(IF(ISNA(計算結果!F982),"",計算結果!F982)=0,"",IF(ISNA(計算結果!F982),"",計算結果!F982))</f>
        <v/>
      </c>
      <c r="G982" s="10" t="str">
        <f>IF(IF(ISNA(計算結果!G982),"",計算結果!G982)=0,"",IF(ISNA(計算結果!G982),"",計算結果!G982))</f>
        <v/>
      </c>
      <c r="H982" s="13">
        <f>IF(IF(ISNA(計算結果!H982),"",計算結果!H982)=0,"",IF(ISNA(計算結果!H982),"",計算結果!H982))</f>
        <v>-2</v>
      </c>
      <c r="I982" s="12" t="str">
        <f>IF(IF(ISNA(計算結果!I982),"",計算結果!I982)=0,"",IF(ISNA(計算結果!I982),"",計算結果!I982))</f>
        <v/>
      </c>
      <c r="J982" s="12" t="str">
        <f>IF(IF(ISNA(計算結果!J982),"",計算結果!J982)=0,"",IF(ISNA(計算結果!J982),"",計算結果!J982))</f>
        <v/>
      </c>
      <c r="K982" s="23" t="str">
        <f>IF(IF(ISNA(計算結果!K982),"",計算結果!K982)=0,"",IF(ISNA(計算結果!K982),"",計算結果!K982))</f>
        <v/>
      </c>
      <c r="L982" s="13" t="str">
        <f>IF(IF(ISNA(計算結果!L982),"",計算結果!L982)=0,"",IF(ISNA(計算結果!L982),"",計算結果!L982))</f>
        <v/>
      </c>
      <c r="M982" s="10" t="str">
        <f>IF(IF(ISNA(計算結果!M982),"",計算結果!M982)=0,"",IF(ISNA(計算結果!M982),"",計算結果!M982))</f>
        <v/>
      </c>
      <c r="N982" s="10" t="str">
        <f>IF(IF(ISNA(計算結果!N982),"",計算結果!N982)=0,"",IF(ISNA(計算結果!N982),"",計算結果!N982))</f>
        <v/>
      </c>
      <c r="O982" s="13" t="str">
        <f>IF(IF(ISNA(計算結果!O982),"",計算結果!O982)=0,"",IF(ISNA(計算結果!O982),"",計算結果!O982))</f>
        <v/>
      </c>
      <c r="P982" s="10" t="str">
        <f>IF(IF(ISNA(計算結果!P982),"",計算結果!P982)=0,"",IF(ISNA(計算結果!P982),"",計算結果!P982))</f>
        <v/>
      </c>
      <c r="Q982" s="10" t="str">
        <f>IF(IF(ISNA(計算結果!Q982),"",計算結果!Q982)=0,"",IF(ISNA(計算結果!Q982),"",計算結果!Q982))</f>
        <v/>
      </c>
      <c r="R982" s="14" t="str">
        <f t="shared" si="45"/>
        <v/>
      </c>
      <c r="S982" s="14" t="str">
        <f t="shared" si="46"/>
        <v>◯</v>
      </c>
      <c r="T982" s="14" t="str">
        <f t="shared" si="47"/>
        <v/>
      </c>
    </row>
    <row r="983" spans="1:20" hidden="1" x14ac:dyDescent="0.45">
      <c r="A983" s="10" t="str">
        <f>IF(IF(ISNA(計算結果!A983),"",計算結果!A983)=0,"",IF(ISNA(計算結果!A983),"",計算結果!A983))</f>
        <v/>
      </c>
      <c r="B983" s="10" t="str">
        <f>IF(IF(ISNA(計算結果!B983),"",計算結果!B983)=0,"",IF(ISNA(計算結果!B983),"",計算結果!B983))</f>
        <v/>
      </c>
      <c r="C983" s="10" t="str">
        <f>IF(IF(ISNA(計算結果!C983),"",計算結果!C983)=0,"",IF(ISNA(計算結果!C983),"",計算結果!C983))</f>
        <v/>
      </c>
      <c r="D983" s="10" t="str">
        <f>IF(IF(ISNA(計算結果!D983),"",計算結果!D983)=0,"",IF(ISNA(計算結果!D983),"",計算結果!D983))</f>
        <v>L</v>
      </c>
      <c r="E983" s="10" t="str">
        <f>IF(IF(ISNA(計算結果!E983),"",計算結果!E983)=0,"",IF(ISNA(計算結果!E983),"",計算結果!E983))</f>
        <v/>
      </c>
      <c r="F983" s="10" t="str">
        <f>IF(IF(ISNA(計算結果!F983),"",計算結果!F983)=0,"",IF(ISNA(計算結果!F983),"",計算結果!F983))</f>
        <v/>
      </c>
      <c r="G983" s="10" t="str">
        <f>IF(IF(ISNA(計算結果!G983),"",計算結果!G983)=0,"",IF(ISNA(計算結果!G983),"",計算結果!G983))</f>
        <v/>
      </c>
      <c r="H983" s="13">
        <f>IF(IF(ISNA(計算結果!H983),"",計算結果!H983)=0,"",IF(ISNA(計算結果!H983),"",計算結果!H983))</f>
        <v>-2</v>
      </c>
      <c r="I983" s="12" t="str">
        <f>IF(IF(ISNA(計算結果!I983),"",計算結果!I983)=0,"",IF(ISNA(計算結果!I983),"",計算結果!I983))</f>
        <v/>
      </c>
      <c r="J983" s="12" t="str">
        <f>IF(IF(ISNA(計算結果!J983),"",計算結果!J983)=0,"",IF(ISNA(計算結果!J983),"",計算結果!J983))</f>
        <v/>
      </c>
      <c r="K983" s="23" t="str">
        <f>IF(IF(ISNA(計算結果!K983),"",計算結果!K983)=0,"",IF(ISNA(計算結果!K983),"",計算結果!K983))</f>
        <v/>
      </c>
      <c r="L983" s="13" t="str">
        <f>IF(IF(ISNA(計算結果!L983),"",計算結果!L983)=0,"",IF(ISNA(計算結果!L983),"",計算結果!L983))</f>
        <v/>
      </c>
      <c r="M983" s="10" t="str">
        <f>IF(IF(ISNA(計算結果!M983),"",計算結果!M983)=0,"",IF(ISNA(計算結果!M983),"",計算結果!M983))</f>
        <v/>
      </c>
      <c r="N983" s="10" t="str">
        <f>IF(IF(ISNA(計算結果!N983),"",計算結果!N983)=0,"",IF(ISNA(計算結果!N983),"",計算結果!N983))</f>
        <v/>
      </c>
      <c r="O983" s="13" t="str">
        <f>IF(IF(ISNA(計算結果!O983),"",計算結果!O983)=0,"",IF(ISNA(計算結果!O983),"",計算結果!O983))</f>
        <v/>
      </c>
      <c r="P983" s="10" t="str">
        <f>IF(IF(ISNA(計算結果!P983),"",計算結果!P983)=0,"",IF(ISNA(計算結果!P983),"",計算結果!P983))</f>
        <v/>
      </c>
      <c r="Q983" s="10" t="str">
        <f>IF(IF(ISNA(計算結果!Q983),"",計算結果!Q983)=0,"",IF(ISNA(計算結果!Q983),"",計算結果!Q983))</f>
        <v/>
      </c>
      <c r="R983" s="14" t="str">
        <f t="shared" si="45"/>
        <v/>
      </c>
      <c r="S983" s="14" t="str">
        <f t="shared" si="46"/>
        <v>◯</v>
      </c>
      <c r="T983" s="14" t="str">
        <f t="shared" si="47"/>
        <v/>
      </c>
    </row>
    <row r="984" spans="1:20" hidden="1" x14ac:dyDescent="0.45">
      <c r="A984" s="10" t="str">
        <f>IF(IF(ISNA(計算結果!A984),"",計算結果!A984)=0,"",IF(ISNA(計算結果!A984),"",計算結果!A984))</f>
        <v/>
      </c>
      <c r="B984" s="10" t="str">
        <f>IF(IF(ISNA(計算結果!B984),"",計算結果!B984)=0,"",IF(ISNA(計算結果!B984),"",計算結果!B984))</f>
        <v/>
      </c>
      <c r="C984" s="10" t="str">
        <f>IF(IF(ISNA(計算結果!C984),"",計算結果!C984)=0,"",IF(ISNA(計算結果!C984),"",計算結果!C984))</f>
        <v/>
      </c>
      <c r="D984" s="10" t="str">
        <f>IF(IF(ISNA(計算結果!D984),"",計算結果!D984)=0,"",IF(ISNA(計算結果!D984),"",計算結果!D984))</f>
        <v>L</v>
      </c>
      <c r="E984" s="10" t="str">
        <f>IF(IF(ISNA(計算結果!E984),"",計算結果!E984)=0,"",IF(ISNA(計算結果!E984),"",計算結果!E984))</f>
        <v/>
      </c>
      <c r="F984" s="10" t="str">
        <f>IF(IF(ISNA(計算結果!F984),"",計算結果!F984)=0,"",IF(ISNA(計算結果!F984),"",計算結果!F984))</f>
        <v/>
      </c>
      <c r="G984" s="10" t="str">
        <f>IF(IF(ISNA(計算結果!G984),"",計算結果!G984)=0,"",IF(ISNA(計算結果!G984),"",計算結果!G984))</f>
        <v/>
      </c>
      <c r="H984" s="13">
        <f>IF(IF(ISNA(計算結果!H984),"",計算結果!H984)=0,"",IF(ISNA(計算結果!H984),"",計算結果!H984))</f>
        <v>-2</v>
      </c>
      <c r="I984" s="12" t="str">
        <f>IF(IF(ISNA(計算結果!I984),"",計算結果!I984)=0,"",IF(ISNA(計算結果!I984),"",計算結果!I984))</f>
        <v/>
      </c>
      <c r="J984" s="12" t="str">
        <f>IF(IF(ISNA(計算結果!J984),"",計算結果!J984)=0,"",IF(ISNA(計算結果!J984),"",計算結果!J984))</f>
        <v/>
      </c>
      <c r="K984" s="23" t="str">
        <f>IF(IF(ISNA(計算結果!K984),"",計算結果!K984)=0,"",IF(ISNA(計算結果!K984),"",計算結果!K984))</f>
        <v/>
      </c>
      <c r="L984" s="13" t="str">
        <f>IF(IF(ISNA(計算結果!L984),"",計算結果!L984)=0,"",IF(ISNA(計算結果!L984),"",計算結果!L984))</f>
        <v/>
      </c>
      <c r="M984" s="10" t="str">
        <f>IF(IF(ISNA(計算結果!M984),"",計算結果!M984)=0,"",IF(ISNA(計算結果!M984),"",計算結果!M984))</f>
        <v/>
      </c>
      <c r="N984" s="10" t="str">
        <f>IF(IF(ISNA(計算結果!N984),"",計算結果!N984)=0,"",IF(ISNA(計算結果!N984),"",計算結果!N984))</f>
        <v/>
      </c>
      <c r="O984" s="13" t="str">
        <f>IF(IF(ISNA(計算結果!O984),"",計算結果!O984)=0,"",IF(ISNA(計算結果!O984),"",計算結果!O984))</f>
        <v/>
      </c>
      <c r="P984" s="10" t="str">
        <f>IF(IF(ISNA(計算結果!P984),"",計算結果!P984)=0,"",IF(ISNA(計算結果!P984),"",計算結果!P984))</f>
        <v/>
      </c>
      <c r="Q984" s="10" t="str">
        <f>IF(IF(ISNA(計算結果!Q984),"",計算結果!Q984)=0,"",IF(ISNA(計算結果!Q984),"",計算結果!Q984))</f>
        <v/>
      </c>
      <c r="R984" s="14" t="str">
        <f t="shared" si="45"/>
        <v/>
      </c>
      <c r="S984" s="14" t="str">
        <f t="shared" si="46"/>
        <v>◯</v>
      </c>
      <c r="T984" s="14" t="str">
        <f t="shared" si="47"/>
        <v/>
      </c>
    </row>
    <row r="985" spans="1:20" hidden="1" x14ac:dyDescent="0.45">
      <c r="A985" s="10" t="str">
        <f>IF(IF(ISNA(計算結果!A985),"",計算結果!A985)=0,"",IF(ISNA(計算結果!A985),"",計算結果!A985))</f>
        <v/>
      </c>
      <c r="B985" s="10" t="str">
        <f>IF(IF(ISNA(計算結果!B985),"",計算結果!B985)=0,"",IF(ISNA(計算結果!B985),"",計算結果!B985))</f>
        <v/>
      </c>
      <c r="C985" s="10" t="str">
        <f>IF(IF(ISNA(計算結果!C985),"",計算結果!C985)=0,"",IF(ISNA(計算結果!C985),"",計算結果!C985))</f>
        <v/>
      </c>
      <c r="D985" s="10" t="str">
        <f>IF(IF(ISNA(計算結果!D985),"",計算結果!D985)=0,"",IF(ISNA(計算結果!D985),"",計算結果!D985))</f>
        <v>L</v>
      </c>
      <c r="E985" s="10" t="str">
        <f>IF(IF(ISNA(計算結果!E985),"",計算結果!E985)=0,"",IF(ISNA(計算結果!E985),"",計算結果!E985))</f>
        <v/>
      </c>
      <c r="F985" s="10" t="str">
        <f>IF(IF(ISNA(計算結果!F985),"",計算結果!F985)=0,"",IF(ISNA(計算結果!F985),"",計算結果!F985))</f>
        <v/>
      </c>
      <c r="G985" s="10" t="str">
        <f>IF(IF(ISNA(計算結果!G985),"",計算結果!G985)=0,"",IF(ISNA(計算結果!G985),"",計算結果!G985))</f>
        <v/>
      </c>
      <c r="H985" s="13">
        <f>IF(IF(ISNA(計算結果!H985),"",計算結果!H985)=0,"",IF(ISNA(計算結果!H985),"",計算結果!H985))</f>
        <v>-2</v>
      </c>
      <c r="I985" s="12" t="str">
        <f>IF(IF(ISNA(計算結果!I985),"",計算結果!I985)=0,"",IF(ISNA(計算結果!I985),"",計算結果!I985))</f>
        <v/>
      </c>
      <c r="J985" s="12" t="str">
        <f>IF(IF(ISNA(計算結果!J985),"",計算結果!J985)=0,"",IF(ISNA(計算結果!J985),"",計算結果!J985))</f>
        <v/>
      </c>
      <c r="K985" s="23" t="str">
        <f>IF(IF(ISNA(計算結果!K985),"",計算結果!K985)=0,"",IF(ISNA(計算結果!K985),"",計算結果!K985))</f>
        <v/>
      </c>
      <c r="L985" s="13" t="str">
        <f>IF(IF(ISNA(計算結果!L985),"",計算結果!L985)=0,"",IF(ISNA(計算結果!L985),"",計算結果!L985))</f>
        <v/>
      </c>
      <c r="M985" s="10" t="str">
        <f>IF(IF(ISNA(計算結果!M985),"",計算結果!M985)=0,"",IF(ISNA(計算結果!M985),"",計算結果!M985))</f>
        <v/>
      </c>
      <c r="N985" s="10" t="str">
        <f>IF(IF(ISNA(計算結果!N985),"",計算結果!N985)=0,"",IF(ISNA(計算結果!N985),"",計算結果!N985))</f>
        <v/>
      </c>
      <c r="O985" s="13" t="str">
        <f>IF(IF(ISNA(計算結果!O985),"",計算結果!O985)=0,"",IF(ISNA(計算結果!O985),"",計算結果!O985))</f>
        <v/>
      </c>
      <c r="P985" s="10" t="str">
        <f>IF(IF(ISNA(計算結果!P985),"",計算結果!P985)=0,"",IF(ISNA(計算結果!P985),"",計算結果!P985))</f>
        <v/>
      </c>
      <c r="Q985" s="10" t="str">
        <f>IF(IF(ISNA(計算結果!Q985),"",計算結果!Q985)=0,"",IF(ISNA(計算結果!Q985),"",計算結果!Q985))</f>
        <v/>
      </c>
      <c r="R985" s="14" t="str">
        <f t="shared" si="45"/>
        <v/>
      </c>
      <c r="S985" s="14" t="str">
        <f t="shared" si="46"/>
        <v>◯</v>
      </c>
      <c r="T985" s="14" t="str">
        <f t="shared" si="47"/>
        <v/>
      </c>
    </row>
    <row r="986" spans="1:20" hidden="1" x14ac:dyDescent="0.45">
      <c r="A986" s="10" t="str">
        <f>IF(IF(ISNA(計算結果!A986),"",計算結果!A986)=0,"",IF(ISNA(計算結果!A986),"",計算結果!A986))</f>
        <v/>
      </c>
      <c r="B986" s="10" t="str">
        <f>IF(IF(ISNA(計算結果!B986),"",計算結果!B986)=0,"",IF(ISNA(計算結果!B986),"",計算結果!B986))</f>
        <v/>
      </c>
      <c r="C986" s="10" t="str">
        <f>IF(IF(ISNA(計算結果!C986),"",計算結果!C986)=0,"",IF(ISNA(計算結果!C986),"",計算結果!C986))</f>
        <v/>
      </c>
      <c r="D986" s="10" t="str">
        <f>IF(IF(ISNA(計算結果!D986),"",計算結果!D986)=0,"",IF(ISNA(計算結果!D986),"",計算結果!D986))</f>
        <v>L</v>
      </c>
      <c r="E986" s="10" t="str">
        <f>IF(IF(ISNA(計算結果!E986),"",計算結果!E986)=0,"",IF(ISNA(計算結果!E986),"",計算結果!E986))</f>
        <v/>
      </c>
      <c r="F986" s="10" t="str">
        <f>IF(IF(ISNA(計算結果!F986),"",計算結果!F986)=0,"",IF(ISNA(計算結果!F986),"",計算結果!F986))</f>
        <v/>
      </c>
      <c r="G986" s="10" t="str">
        <f>IF(IF(ISNA(計算結果!G986),"",計算結果!G986)=0,"",IF(ISNA(計算結果!G986),"",計算結果!G986))</f>
        <v/>
      </c>
      <c r="H986" s="13">
        <f>IF(IF(ISNA(計算結果!H986),"",計算結果!H986)=0,"",IF(ISNA(計算結果!H986),"",計算結果!H986))</f>
        <v>-2</v>
      </c>
      <c r="I986" s="12" t="str">
        <f>IF(IF(ISNA(計算結果!I986),"",計算結果!I986)=0,"",IF(ISNA(計算結果!I986),"",計算結果!I986))</f>
        <v/>
      </c>
      <c r="J986" s="12" t="str">
        <f>IF(IF(ISNA(計算結果!J986),"",計算結果!J986)=0,"",IF(ISNA(計算結果!J986),"",計算結果!J986))</f>
        <v/>
      </c>
      <c r="K986" s="23" t="str">
        <f>IF(IF(ISNA(計算結果!K986),"",計算結果!K986)=0,"",IF(ISNA(計算結果!K986),"",計算結果!K986))</f>
        <v/>
      </c>
      <c r="L986" s="13" t="str">
        <f>IF(IF(ISNA(計算結果!L986),"",計算結果!L986)=0,"",IF(ISNA(計算結果!L986),"",計算結果!L986))</f>
        <v/>
      </c>
      <c r="M986" s="10" t="str">
        <f>IF(IF(ISNA(計算結果!M986),"",計算結果!M986)=0,"",IF(ISNA(計算結果!M986),"",計算結果!M986))</f>
        <v/>
      </c>
      <c r="N986" s="10" t="str">
        <f>IF(IF(ISNA(計算結果!N986),"",計算結果!N986)=0,"",IF(ISNA(計算結果!N986),"",計算結果!N986))</f>
        <v/>
      </c>
      <c r="O986" s="13" t="str">
        <f>IF(IF(ISNA(計算結果!O986),"",計算結果!O986)=0,"",IF(ISNA(計算結果!O986),"",計算結果!O986))</f>
        <v/>
      </c>
      <c r="P986" s="10" t="str">
        <f>IF(IF(ISNA(計算結果!P986),"",計算結果!P986)=0,"",IF(ISNA(計算結果!P986),"",計算結果!P986))</f>
        <v/>
      </c>
      <c r="Q986" s="10" t="str">
        <f>IF(IF(ISNA(計算結果!Q986),"",計算結果!Q986)=0,"",IF(ISNA(計算結果!Q986),"",計算結果!Q986))</f>
        <v/>
      </c>
      <c r="R986" s="14" t="str">
        <f t="shared" si="45"/>
        <v/>
      </c>
      <c r="S986" s="14" t="str">
        <f t="shared" si="46"/>
        <v>◯</v>
      </c>
      <c r="T986" s="14" t="str">
        <f t="shared" si="47"/>
        <v/>
      </c>
    </row>
    <row r="987" spans="1:20" hidden="1" x14ac:dyDescent="0.45">
      <c r="A987" s="10" t="str">
        <f>IF(IF(ISNA(計算結果!A987),"",計算結果!A987)=0,"",IF(ISNA(計算結果!A987),"",計算結果!A987))</f>
        <v/>
      </c>
      <c r="B987" s="10" t="str">
        <f>IF(IF(ISNA(計算結果!B987),"",計算結果!B987)=0,"",IF(ISNA(計算結果!B987),"",計算結果!B987))</f>
        <v/>
      </c>
      <c r="C987" s="10" t="str">
        <f>IF(IF(ISNA(計算結果!C987),"",計算結果!C987)=0,"",IF(ISNA(計算結果!C987),"",計算結果!C987))</f>
        <v/>
      </c>
      <c r="D987" s="10" t="str">
        <f>IF(IF(ISNA(計算結果!D987),"",計算結果!D987)=0,"",IF(ISNA(計算結果!D987),"",計算結果!D987))</f>
        <v>L</v>
      </c>
      <c r="E987" s="10" t="str">
        <f>IF(IF(ISNA(計算結果!E987),"",計算結果!E987)=0,"",IF(ISNA(計算結果!E987),"",計算結果!E987))</f>
        <v/>
      </c>
      <c r="F987" s="10" t="str">
        <f>IF(IF(ISNA(計算結果!F987),"",計算結果!F987)=0,"",IF(ISNA(計算結果!F987),"",計算結果!F987))</f>
        <v/>
      </c>
      <c r="G987" s="10" t="str">
        <f>IF(IF(ISNA(計算結果!G987),"",計算結果!G987)=0,"",IF(ISNA(計算結果!G987),"",計算結果!G987))</f>
        <v/>
      </c>
      <c r="H987" s="13">
        <f>IF(IF(ISNA(計算結果!H987),"",計算結果!H987)=0,"",IF(ISNA(計算結果!H987),"",計算結果!H987))</f>
        <v>-2</v>
      </c>
      <c r="I987" s="12" t="str">
        <f>IF(IF(ISNA(計算結果!I987),"",計算結果!I987)=0,"",IF(ISNA(計算結果!I987),"",計算結果!I987))</f>
        <v/>
      </c>
      <c r="J987" s="12" t="str">
        <f>IF(IF(ISNA(計算結果!J987),"",計算結果!J987)=0,"",IF(ISNA(計算結果!J987),"",計算結果!J987))</f>
        <v/>
      </c>
      <c r="K987" s="23" t="str">
        <f>IF(IF(ISNA(計算結果!K987),"",計算結果!K987)=0,"",IF(ISNA(計算結果!K987),"",計算結果!K987))</f>
        <v/>
      </c>
      <c r="L987" s="13" t="str">
        <f>IF(IF(ISNA(計算結果!L987),"",計算結果!L987)=0,"",IF(ISNA(計算結果!L987),"",計算結果!L987))</f>
        <v/>
      </c>
      <c r="M987" s="10" t="str">
        <f>IF(IF(ISNA(計算結果!M987),"",計算結果!M987)=0,"",IF(ISNA(計算結果!M987),"",計算結果!M987))</f>
        <v/>
      </c>
      <c r="N987" s="10" t="str">
        <f>IF(IF(ISNA(計算結果!N987),"",計算結果!N987)=0,"",IF(ISNA(計算結果!N987),"",計算結果!N987))</f>
        <v/>
      </c>
      <c r="O987" s="13" t="str">
        <f>IF(IF(ISNA(計算結果!O987),"",計算結果!O987)=0,"",IF(ISNA(計算結果!O987),"",計算結果!O987))</f>
        <v/>
      </c>
      <c r="P987" s="10" t="str">
        <f>IF(IF(ISNA(計算結果!P987),"",計算結果!P987)=0,"",IF(ISNA(計算結果!P987),"",計算結果!P987))</f>
        <v/>
      </c>
      <c r="Q987" s="10" t="str">
        <f>IF(IF(ISNA(計算結果!Q987),"",計算結果!Q987)=0,"",IF(ISNA(計算結果!Q987),"",計算結果!Q987))</f>
        <v/>
      </c>
      <c r="R987" s="14" t="str">
        <f t="shared" si="45"/>
        <v/>
      </c>
      <c r="S987" s="14" t="str">
        <f t="shared" si="46"/>
        <v>◯</v>
      </c>
      <c r="T987" s="14" t="str">
        <f t="shared" si="47"/>
        <v/>
      </c>
    </row>
    <row r="988" spans="1:20" hidden="1" x14ac:dyDescent="0.45">
      <c r="A988" s="10" t="str">
        <f>IF(IF(ISNA(計算結果!A988),"",計算結果!A988)=0,"",IF(ISNA(計算結果!A988),"",計算結果!A988))</f>
        <v/>
      </c>
      <c r="B988" s="10" t="str">
        <f>IF(IF(ISNA(計算結果!B988),"",計算結果!B988)=0,"",IF(ISNA(計算結果!B988),"",計算結果!B988))</f>
        <v/>
      </c>
      <c r="C988" s="10" t="str">
        <f>IF(IF(ISNA(計算結果!C988),"",計算結果!C988)=0,"",IF(ISNA(計算結果!C988),"",計算結果!C988))</f>
        <v/>
      </c>
      <c r="D988" s="10" t="str">
        <f>IF(IF(ISNA(計算結果!D988),"",計算結果!D988)=0,"",IF(ISNA(計算結果!D988),"",計算結果!D988))</f>
        <v>L</v>
      </c>
      <c r="E988" s="10" t="str">
        <f>IF(IF(ISNA(計算結果!E988),"",計算結果!E988)=0,"",IF(ISNA(計算結果!E988),"",計算結果!E988))</f>
        <v/>
      </c>
      <c r="F988" s="10" t="str">
        <f>IF(IF(ISNA(計算結果!F988),"",計算結果!F988)=0,"",IF(ISNA(計算結果!F988),"",計算結果!F988))</f>
        <v/>
      </c>
      <c r="G988" s="10" t="str">
        <f>IF(IF(ISNA(計算結果!G988),"",計算結果!G988)=0,"",IF(ISNA(計算結果!G988),"",計算結果!G988))</f>
        <v/>
      </c>
      <c r="H988" s="13">
        <f>IF(IF(ISNA(計算結果!H988),"",計算結果!H988)=0,"",IF(ISNA(計算結果!H988),"",計算結果!H988))</f>
        <v>-2</v>
      </c>
      <c r="I988" s="12" t="str">
        <f>IF(IF(ISNA(計算結果!I988),"",計算結果!I988)=0,"",IF(ISNA(計算結果!I988),"",計算結果!I988))</f>
        <v/>
      </c>
      <c r="J988" s="12" t="str">
        <f>IF(IF(ISNA(計算結果!J988),"",計算結果!J988)=0,"",IF(ISNA(計算結果!J988),"",計算結果!J988))</f>
        <v/>
      </c>
      <c r="K988" s="23" t="str">
        <f>IF(IF(ISNA(計算結果!K988),"",計算結果!K988)=0,"",IF(ISNA(計算結果!K988),"",計算結果!K988))</f>
        <v/>
      </c>
      <c r="L988" s="13" t="str">
        <f>IF(IF(ISNA(計算結果!L988),"",計算結果!L988)=0,"",IF(ISNA(計算結果!L988),"",計算結果!L988))</f>
        <v/>
      </c>
      <c r="M988" s="10" t="str">
        <f>IF(IF(ISNA(計算結果!M988),"",計算結果!M988)=0,"",IF(ISNA(計算結果!M988),"",計算結果!M988))</f>
        <v/>
      </c>
      <c r="N988" s="10" t="str">
        <f>IF(IF(ISNA(計算結果!N988),"",計算結果!N988)=0,"",IF(ISNA(計算結果!N988),"",計算結果!N988))</f>
        <v/>
      </c>
      <c r="O988" s="13" t="str">
        <f>IF(IF(ISNA(計算結果!O988),"",計算結果!O988)=0,"",IF(ISNA(計算結果!O988),"",計算結果!O988))</f>
        <v/>
      </c>
      <c r="P988" s="10" t="str">
        <f>IF(IF(ISNA(計算結果!P988),"",計算結果!P988)=0,"",IF(ISNA(計算結果!P988),"",計算結果!P988))</f>
        <v/>
      </c>
      <c r="Q988" s="10" t="str">
        <f>IF(IF(ISNA(計算結果!Q988),"",計算結果!Q988)=0,"",IF(ISNA(計算結果!Q988),"",計算結果!Q988))</f>
        <v/>
      </c>
      <c r="R988" s="14" t="str">
        <f t="shared" si="45"/>
        <v/>
      </c>
      <c r="S988" s="14" t="str">
        <f t="shared" si="46"/>
        <v>◯</v>
      </c>
      <c r="T988" s="14" t="str">
        <f t="shared" si="47"/>
        <v/>
      </c>
    </row>
    <row r="989" spans="1:20" hidden="1" x14ac:dyDescent="0.45">
      <c r="A989" s="10" t="str">
        <f>IF(IF(ISNA(計算結果!A989),"",計算結果!A989)=0,"",IF(ISNA(計算結果!A989),"",計算結果!A989))</f>
        <v/>
      </c>
      <c r="B989" s="10" t="str">
        <f>IF(IF(ISNA(計算結果!B989),"",計算結果!B989)=0,"",IF(ISNA(計算結果!B989),"",計算結果!B989))</f>
        <v/>
      </c>
      <c r="C989" s="10" t="str">
        <f>IF(IF(ISNA(計算結果!C989),"",計算結果!C989)=0,"",IF(ISNA(計算結果!C989),"",計算結果!C989))</f>
        <v/>
      </c>
      <c r="D989" s="10" t="str">
        <f>IF(IF(ISNA(計算結果!D989),"",計算結果!D989)=0,"",IF(ISNA(計算結果!D989),"",計算結果!D989))</f>
        <v>L</v>
      </c>
      <c r="E989" s="10" t="str">
        <f>IF(IF(ISNA(計算結果!E989),"",計算結果!E989)=0,"",IF(ISNA(計算結果!E989),"",計算結果!E989))</f>
        <v/>
      </c>
      <c r="F989" s="10" t="str">
        <f>IF(IF(ISNA(計算結果!F989),"",計算結果!F989)=0,"",IF(ISNA(計算結果!F989),"",計算結果!F989))</f>
        <v/>
      </c>
      <c r="G989" s="10" t="str">
        <f>IF(IF(ISNA(計算結果!G989),"",計算結果!G989)=0,"",IF(ISNA(計算結果!G989),"",計算結果!G989))</f>
        <v/>
      </c>
      <c r="H989" s="13">
        <f>IF(IF(ISNA(計算結果!H989),"",計算結果!H989)=0,"",IF(ISNA(計算結果!H989),"",計算結果!H989))</f>
        <v>-2</v>
      </c>
      <c r="I989" s="12" t="str">
        <f>IF(IF(ISNA(計算結果!I989),"",計算結果!I989)=0,"",IF(ISNA(計算結果!I989),"",計算結果!I989))</f>
        <v/>
      </c>
      <c r="J989" s="12" t="str">
        <f>IF(IF(ISNA(計算結果!J989),"",計算結果!J989)=0,"",IF(ISNA(計算結果!J989),"",計算結果!J989))</f>
        <v/>
      </c>
      <c r="K989" s="23" t="str">
        <f>IF(IF(ISNA(計算結果!K989),"",計算結果!K989)=0,"",IF(ISNA(計算結果!K989),"",計算結果!K989))</f>
        <v/>
      </c>
      <c r="L989" s="13" t="str">
        <f>IF(IF(ISNA(計算結果!L989),"",計算結果!L989)=0,"",IF(ISNA(計算結果!L989),"",計算結果!L989))</f>
        <v/>
      </c>
      <c r="M989" s="10" t="str">
        <f>IF(IF(ISNA(計算結果!M989),"",計算結果!M989)=0,"",IF(ISNA(計算結果!M989),"",計算結果!M989))</f>
        <v/>
      </c>
      <c r="N989" s="10" t="str">
        <f>IF(IF(ISNA(計算結果!N989),"",計算結果!N989)=0,"",IF(ISNA(計算結果!N989),"",計算結果!N989))</f>
        <v/>
      </c>
      <c r="O989" s="13" t="str">
        <f>IF(IF(ISNA(計算結果!O989),"",計算結果!O989)=0,"",IF(ISNA(計算結果!O989),"",計算結果!O989))</f>
        <v/>
      </c>
      <c r="P989" s="10" t="str">
        <f>IF(IF(ISNA(計算結果!P989),"",計算結果!P989)=0,"",IF(ISNA(計算結果!P989),"",計算結果!P989))</f>
        <v/>
      </c>
      <c r="Q989" s="10" t="str">
        <f>IF(IF(ISNA(計算結果!Q989),"",計算結果!Q989)=0,"",IF(ISNA(計算結果!Q989),"",計算結果!Q989))</f>
        <v/>
      </c>
      <c r="R989" s="14" t="str">
        <f t="shared" si="45"/>
        <v/>
      </c>
      <c r="S989" s="14" t="str">
        <f t="shared" si="46"/>
        <v>◯</v>
      </c>
      <c r="T989" s="14" t="str">
        <f t="shared" si="47"/>
        <v/>
      </c>
    </row>
    <row r="990" spans="1:20" hidden="1" x14ac:dyDescent="0.45">
      <c r="A990" s="10" t="str">
        <f>IF(IF(ISNA(計算結果!A990),"",計算結果!A990)=0,"",IF(ISNA(計算結果!A990),"",計算結果!A990))</f>
        <v/>
      </c>
      <c r="B990" s="10" t="str">
        <f>IF(IF(ISNA(計算結果!B990),"",計算結果!B990)=0,"",IF(ISNA(計算結果!B990),"",計算結果!B990))</f>
        <v/>
      </c>
      <c r="C990" s="10" t="str">
        <f>IF(IF(ISNA(計算結果!C990),"",計算結果!C990)=0,"",IF(ISNA(計算結果!C990),"",計算結果!C990))</f>
        <v/>
      </c>
      <c r="D990" s="10" t="str">
        <f>IF(IF(ISNA(計算結果!D990),"",計算結果!D990)=0,"",IF(ISNA(計算結果!D990),"",計算結果!D990))</f>
        <v>L</v>
      </c>
      <c r="E990" s="10" t="str">
        <f>IF(IF(ISNA(計算結果!E990),"",計算結果!E990)=0,"",IF(ISNA(計算結果!E990),"",計算結果!E990))</f>
        <v/>
      </c>
      <c r="F990" s="10" t="str">
        <f>IF(IF(ISNA(計算結果!F990),"",計算結果!F990)=0,"",IF(ISNA(計算結果!F990),"",計算結果!F990))</f>
        <v/>
      </c>
      <c r="G990" s="10" t="str">
        <f>IF(IF(ISNA(計算結果!G990),"",計算結果!G990)=0,"",IF(ISNA(計算結果!G990),"",計算結果!G990))</f>
        <v/>
      </c>
      <c r="H990" s="13">
        <f>IF(IF(ISNA(計算結果!H990),"",計算結果!H990)=0,"",IF(ISNA(計算結果!H990),"",計算結果!H990))</f>
        <v>-2</v>
      </c>
      <c r="I990" s="12" t="str">
        <f>IF(IF(ISNA(計算結果!I990),"",計算結果!I990)=0,"",IF(ISNA(計算結果!I990),"",計算結果!I990))</f>
        <v/>
      </c>
      <c r="J990" s="12" t="str">
        <f>IF(IF(ISNA(計算結果!J990),"",計算結果!J990)=0,"",IF(ISNA(計算結果!J990),"",計算結果!J990))</f>
        <v/>
      </c>
      <c r="K990" s="23" t="str">
        <f>IF(IF(ISNA(計算結果!K990),"",計算結果!K990)=0,"",IF(ISNA(計算結果!K990),"",計算結果!K990))</f>
        <v/>
      </c>
      <c r="L990" s="13" t="str">
        <f>IF(IF(ISNA(計算結果!L990),"",計算結果!L990)=0,"",IF(ISNA(計算結果!L990),"",計算結果!L990))</f>
        <v/>
      </c>
      <c r="M990" s="10" t="str">
        <f>IF(IF(ISNA(計算結果!M990),"",計算結果!M990)=0,"",IF(ISNA(計算結果!M990),"",計算結果!M990))</f>
        <v/>
      </c>
      <c r="N990" s="10" t="str">
        <f>IF(IF(ISNA(計算結果!N990),"",計算結果!N990)=0,"",IF(ISNA(計算結果!N990),"",計算結果!N990))</f>
        <v/>
      </c>
      <c r="O990" s="13" t="str">
        <f>IF(IF(ISNA(計算結果!O990),"",計算結果!O990)=0,"",IF(ISNA(計算結果!O990),"",計算結果!O990))</f>
        <v/>
      </c>
      <c r="P990" s="10" t="str">
        <f>IF(IF(ISNA(計算結果!P990),"",計算結果!P990)=0,"",IF(ISNA(計算結果!P990),"",計算結果!P990))</f>
        <v/>
      </c>
      <c r="Q990" s="10" t="str">
        <f>IF(IF(ISNA(計算結果!Q990),"",計算結果!Q990)=0,"",IF(ISNA(計算結果!Q990),"",計算結果!Q990))</f>
        <v/>
      </c>
      <c r="R990" s="14" t="str">
        <f t="shared" si="45"/>
        <v/>
      </c>
      <c r="S990" s="14" t="str">
        <f t="shared" si="46"/>
        <v>◯</v>
      </c>
      <c r="T990" s="14" t="str">
        <f t="shared" si="47"/>
        <v/>
      </c>
    </row>
    <row r="991" spans="1:20" hidden="1" x14ac:dyDescent="0.45">
      <c r="A991" s="10" t="str">
        <f>IF(IF(ISNA(計算結果!A991),"",計算結果!A991)=0,"",IF(ISNA(計算結果!A991),"",計算結果!A991))</f>
        <v/>
      </c>
      <c r="B991" s="10" t="str">
        <f>IF(IF(ISNA(計算結果!B991),"",計算結果!B991)=0,"",IF(ISNA(計算結果!B991),"",計算結果!B991))</f>
        <v/>
      </c>
      <c r="C991" s="10" t="str">
        <f>IF(IF(ISNA(計算結果!C991),"",計算結果!C991)=0,"",IF(ISNA(計算結果!C991),"",計算結果!C991))</f>
        <v/>
      </c>
      <c r="D991" s="10" t="str">
        <f>IF(IF(ISNA(計算結果!D991),"",計算結果!D991)=0,"",IF(ISNA(計算結果!D991),"",計算結果!D991))</f>
        <v>L</v>
      </c>
      <c r="E991" s="10" t="str">
        <f>IF(IF(ISNA(計算結果!E991),"",計算結果!E991)=0,"",IF(ISNA(計算結果!E991),"",計算結果!E991))</f>
        <v/>
      </c>
      <c r="F991" s="10" t="str">
        <f>IF(IF(ISNA(計算結果!F991),"",計算結果!F991)=0,"",IF(ISNA(計算結果!F991),"",計算結果!F991))</f>
        <v/>
      </c>
      <c r="G991" s="10" t="str">
        <f>IF(IF(ISNA(計算結果!G991),"",計算結果!G991)=0,"",IF(ISNA(計算結果!G991),"",計算結果!G991))</f>
        <v/>
      </c>
      <c r="H991" s="13">
        <f>IF(IF(ISNA(計算結果!H991),"",計算結果!H991)=0,"",IF(ISNA(計算結果!H991),"",計算結果!H991))</f>
        <v>-2</v>
      </c>
      <c r="I991" s="12" t="str">
        <f>IF(IF(ISNA(計算結果!I991),"",計算結果!I991)=0,"",IF(ISNA(計算結果!I991),"",計算結果!I991))</f>
        <v/>
      </c>
      <c r="J991" s="12" t="str">
        <f>IF(IF(ISNA(計算結果!J991),"",計算結果!J991)=0,"",IF(ISNA(計算結果!J991),"",計算結果!J991))</f>
        <v/>
      </c>
      <c r="K991" s="23" t="str">
        <f>IF(IF(ISNA(計算結果!K991),"",計算結果!K991)=0,"",IF(ISNA(計算結果!K991),"",計算結果!K991))</f>
        <v/>
      </c>
      <c r="L991" s="13" t="str">
        <f>IF(IF(ISNA(計算結果!L991),"",計算結果!L991)=0,"",IF(ISNA(計算結果!L991),"",計算結果!L991))</f>
        <v/>
      </c>
      <c r="M991" s="10" t="str">
        <f>IF(IF(ISNA(計算結果!M991),"",計算結果!M991)=0,"",IF(ISNA(計算結果!M991),"",計算結果!M991))</f>
        <v/>
      </c>
      <c r="N991" s="10" t="str">
        <f>IF(IF(ISNA(計算結果!N991),"",計算結果!N991)=0,"",IF(ISNA(計算結果!N991),"",計算結果!N991))</f>
        <v/>
      </c>
      <c r="O991" s="13" t="str">
        <f>IF(IF(ISNA(計算結果!O991),"",計算結果!O991)=0,"",IF(ISNA(計算結果!O991),"",計算結果!O991))</f>
        <v/>
      </c>
      <c r="P991" s="10" t="str">
        <f>IF(IF(ISNA(計算結果!P991),"",計算結果!P991)=0,"",IF(ISNA(計算結果!P991),"",計算結果!P991))</f>
        <v/>
      </c>
      <c r="Q991" s="10" t="str">
        <f>IF(IF(ISNA(計算結果!Q991),"",計算結果!Q991)=0,"",IF(ISNA(計算結果!Q991),"",計算結果!Q991))</f>
        <v/>
      </c>
      <c r="R991" s="14" t="str">
        <f t="shared" si="45"/>
        <v/>
      </c>
      <c r="S991" s="14" t="str">
        <f t="shared" si="46"/>
        <v>◯</v>
      </c>
      <c r="T991" s="14" t="str">
        <f t="shared" si="47"/>
        <v/>
      </c>
    </row>
    <row r="992" spans="1:20" hidden="1" x14ac:dyDescent="0.45">
      <c r="A992" s="10" t="str">
        <f>IF(IF(ISNA(計算結果!A992),"",計算結果!A992)=0,"",IF(ISNA(計算結果!A992),"",計算結果!A992))</f>
        <v/>
      </c>
      <c r="B992" s="10" t="str">
        <f>IF(IF(ISNA(計算結果!B992),"",計算結果!B992)=0,"",IF(ISNA(計算結果!B992),"",計算結果!B992))</f>
        <v/>
      </c>
      <c r="C992" s="10" t="str">
        <f>IF(IF(ISNA(計算結果!C992),"",計算結果!C992)=0,"",IF(ISNA(計算結果!C992),"",計算結果!C992))</f>
        <v/>
      </c>
      <c r="D992" s="10" t="str">
        <f>IF(IF(ISNA(計算結果!D992),"",計算結果!D992)=0,"",IF(ISNA(計算結果!D992),"",計算結果!D992))</f>
        <v>L</v>
      </c>
      <c r="E992" s="10" t="str">
        <f>IF(IF(ISNA(計算結果!E992),"",計算結果!E992)=0,"",IF(ISNA(計算結果!E992),"",計算結果!E992))</f>
        <v/>
      </c>
      <c r="F992" s="10" t="str">
        <f>IF(IF(ISNA(計算結果!F992),"",計算結果!F992)=0,"",IF(ISNA(計算結果!F992),"",計算結果!F992))</f>
        <v/>
      </c>
      <c r="G992" s="10" t="str">
        <f>IF(IF(ISNA(計算結果!G992),"",計算結果!G992)=0,"",IF(ISNA(計算結果!G992),"",計算結果!G992))</f>
        <v/>
      </c>
      <c r="H992" s="13">
        <f>IF(IF(ISNA(計算結果!H992),"",計算結果!H992)=0,"",IF(ISNA(計算結果!H992),"",計算結果!H992))</f>
        <v>-2</v>
      </c>
      <c r="I992" s="12" t="str">
        <f>IF(IF(ISNA(計算結果!I992),"",計算結果!I992)=0,"",IF(ISNA(計算結果!I992),"",計算結果!I992))</f>
        <v/>
      </c>
      <c r="J992" s="12" t="str">
        <f>IF(IF(ISNA(計算結果!J992),"",計算結果!J992)=0,"",IF(ISNA(計算結果!J992),"",計算結果!J992))</f>
        <v/>
      </c>
      <c r="K992" s="23" t="str">
        <f>IF(IF(ISNA(計算結果!K992),"",計算結果!K992)=0,"",IF(ISNA(計算結果!K992),"",計算結果!K992))</f>
        <v/>
      </c>
      <c r="L992" s="13" t="str">
        <f>IF(IF(ISNA(計算結果!L992),"",計算結果!L992)=0,"",IF(ISNA(計算結果!L992),"",計算結果!L992))</f>
        <v/>
      </c>
      <c r="M992" s="10" t="str">
        <f>IF(IF(ISNA(計算結果!M992),"",計算結果!M992)=0,"",IF(ISNA(計算結果!M992),"",計算結果!M992))</f>
        <v/>
      </c>
      <c r="N992" s="10" t="str">
        <f>IF(IF(ISNA(計算結果!N992),"",計算結果!N992)=0,"",IF(ISNA(計算結果!N992),"",計算結果!N992))</f>
        <v/>
      </c>
      <c r="O992" s="13" t="str">
        <f>IF(IF(ISNA(計算結果!O992),"",計算結果!O992)=0,"",IF(ISNA(計算結果!O992),"",計算結果!O992))</f>
        <v/>
      </c>
      <c r="P992" s="10" t="str">
        <f>IF(IF(ISNA(計算結果!P992),"",計算結果!P992)=0,"",IF(ISNA(計算結果!P992),"",計算結果!P992))</f>
        <v/>
      </c>
      <c r="Q992" s="10" t="str">
        <f>IF(IF(ISNA(計算結果!Q992),"",計算結果!Q992)=0,"",IF(ISNA(計算結果!Q992),"",計算結果!Q992))</f>
        <v/>
      </c>
      <c r="R992" s="14" t="str">
        <f t="shared" si="45"/>
        <v/>
      </c>
      <c r="S992" s="14" t="str">
        <f t="shared" si="46"/>
        <v>◯</v>
      </c>
      <c r="T992" s="14" t="str">
        <f t="shared" si="47"/>
        <v/>
      </c>
    </row>
    <row r="993" spans="1:20" hidden="1" x14ac:dyDescent="0.45">
      <c r="A993" s="10" t="str">
        <f>IF(IF(ISNA(計算結果!A993),"",計算結果!A993)=0,"",IF(ISNA(計算結果!A993),"",計算結果!A993))</f>
        <v/>
      </c>
      <c r="B993" s="10" t="str">
        <f>IF(IF(ISNA(計算結果!B993),"",計算結果!B993)=0,"",IF(ISNA(計算結果!B993),"",計算結果!B993))</f>
        <v/>
      </c>
      <c r="C993" s="10" t="str">
        <f>IF(IF(ISNA(計算結果!C993),"",計算結果!C993)=0,"",IF(ISNA(計算結果!C993),"",計算結果!C993))</f>
        <v/>
      </c>
      <c r="D993" s="10" t="str">
        <f>IF(IF(ISNA(計算結果!D993),"",計算結果!D993)=0,"",IF(ISNA(計算結果!D993),"",計算結果!D993))</f>
        <v>L</v>
      </c>
      <c r="E993" s="10" t="str">
        <f>IF(IF(ISNA(計算結果!E993),"",計算結果!E993)=0,"",IF(ISNA(計算結果!E993),"",計算結果!E993))</f>
        <v/>
      </c>
      <c r="F993" s="10" t="str">
        <f>IF(IF(ISNA(計算結果!F993),"",計算結果!F993)=0,"",IF(ISNA(計算結果!F993),"",計算結果!F993))</f>
        <v/>
      </c>
      <c r="G993" s="10" t="str">
        <f>IF(IF(ISNA(計算結果!G993),"",計算結果!G993)=0,"",IF(ISNA(計算結果!G993),"",計算結果!G993))</f>
        <v/>
      </c>
      <c r="H993" s="13">
        <f>IF(IF(ISNA(計算結果!H993),"",計算結果!H993)=0,"",IF(ISNA(計算結果!H993),"",計算結果!H993))</f>
        <v>-2</v>
      </c>
      <c r="I993" s="12" t="str">
        <f>IF(IF(ISNA(計算結果!I993),"",計算結果!I993)=0,"",IF(ISNA(計算結果!I993),"",計算結果!I993))</f>
        <v/>
      </c>
      <c r="J993" s="12" t="str">
        <f>IF(IF(ISNA(計算結果!J993),"",計算結果!J993)=0,"",IF(ISNA(計算結果!J993),"",計算結果!J993))</f>
        <v/>
      </c>
      <c r="K993" s="23" t="str">
        <f>IF(IF(ISNA(計算結果!K993),"",計算結果!K993)=0,"",IF(ISNA(計算結果!K993),"",計算結果!K993))</f>
        <v/>
      </c>
      <c r="L993" s="13" t="str">
        <f>IF(IF(ISNA(計算結果!L993),"",計算結果!L993)=0,"",IF(ISNA(計算結果!L993),"",計算結果!L993))</f>
        <v/>
      </c>
      <c r="M993" s="10" t="str">
        <f>IF(IF(ISNA(計算結果!M993),"",計算結果!M993)=0,"",IF(ISNA(計算結果!M993),"",計算結果!M993))</f>
        <v/>
      </c>
      <c r="N993" s="10" t="str">
        <f>IF(IF(ISNA(計算結果!N993),"",計算結果!N993)=0,"",IF(ISNA(計算結果!N993),"",計算結果!N993))</f>
        <v/>
      </c>
      <c r="O993" s="13" t="str">
        <f>IF(IF(ISNA(計算結果!O993),"",計算結果!O993)=0,"",IF(ISNA(計算結果!O993),"",計算結果!O993))</f>
        <v/>
      </c>
      <c r="P993" s="10" t="str">
        <f>IF(IF(ISNA(計算結果!P993),"",計算結果!P993)=0,"",IF(ISNA(計算結果!P993),"",計算結果!P993))</f>
        <v/>
      </c>
      <c r="Q993" s="10" t="str">
        <f>IF(IF(ISNA(計算結果!Q993),"",計算結果!Q993)=0,"",IF(ISNA(計算結果!Q993),"",計算結果!Q993))</f>
        <v/>
      </c>
      <c r="R993" s="14" t="str">
        <f t="shared" si="45"/>
        <v/>
      </c>
      <c r="S993" s="14" t="str">
        <f t="shared" si="46"/>
        <v>◯</v>
      </c>
      <c r="T993" s="14" t="str">
        <f t="shared" si="47"/>
        <v/>
      </c>
    </row>
    <row r="994" spans="1:20" hidden="1" x14ac:dyDescent="0.45">
      <c r="A994" s="10" t="str">
        <f>IF(IF(ISNA(計算結果!A994),"",計算結果!A994)=0,"",IF(ISNA(計算結果!A994),"",計算結果!A994))</f>
        <v/>
      </c>
      <c r="B994" s="10" t="str">
        <f>IF(IF(ISNA(計算結果!B994),"",計算結果!B994)=0,"",IF(ISNA(計算結果!B994),"",計算結果!B994))</f>
        <v/>
      </c>
      <c r="C994" s="10" t="str">
        <f>IF(IF(ISNA(計算結果!C994),"",計算結果!C994)=0,"",IF(ISNA(計算結果!C994),"",計算結果!C994))</f>
        <v/>
      </c>
      <c r="D994" s="10" t="str">
        <f>IF(IF(ISNA(計算結果!D994),"",計算結果!D994)=0,"",IF(ISNA(計算結果!D994),"",計算結果!D994))</f>
        <v>L</v>
      </c>
      <c r="E994" s="10" t="str">
        <f>IF(IF(ISNA(計算結果!E994),"",計算結果!E994)=0,"",IF(ISNA(計算結果!E994),"",計算結果!E994))</f>
        <v/>
      </c>
      <c r="F994" s="10" t="str">
        <f>IF(IF(ISNA(計算結果!F994),"",計算結果!F994)=0,"",IF(ISNA(計算結果!F994),"",計算結果!F994))</f>
        <v/>
      </c>
      <c r="G994" s="10" t="str">
        <f>IF(IF(ISNA(計算結果!G994),"",計算結果!G994)=0,"",IF(ISNA(計算結果!G994),"",計算結果!G994))</f>
        <v/>
      </c>
      <c r="H994" s="13">
        <f>IF(IF(ISNA(計算結果!H994),"",計算結果!H994)=0,"",IF(ISNA(計算結果!H994),"",計算結果!H994))</f>
        <v>-2</v>
      </c>
      <c r="I994" s="12" t="str">
        <f>IF(IF(ISNA(計算結果!I994),"",計算結果!I994)=0,"",IF(ISNA(計算結果!I994),"",計算結果!I994))</f>
        <v/>
      </c>
      <c r="J994" s="12" t="str">
        <f>IF(IF(ISNA(計算結果!J994),"",計算結果!J994)=0,"",IF(ISNA(計算結果!J994),"",計算結果!J994))</f>
        <v/>
      </c>
      <c r="K994" s="23" t="str">
        <f>IF(IF(ISNA(計算結果!K994),"",計算結果!K994)=0,"",IF(ISNA(計算結果!K994),"",計算結果!K994))</f>
        <v/>
      </c>
      <c r="L994" s="13" t="str">
        <f>IF(IF(ISNA(計算結果!L994),"",計算結果!L994)=0,"",IF(ISNA(計算結果!L994),"",計算結果!L994))</f>
        <v/>
      </c>
      <c r="M994" s="10" t="str">
        <f>IF(IF(ISNA(計算結果!M994),"",計算結果!M994)=0,"",IF(ISNA(計算結果!M994),"",計算結果!M994))</f>
        <v/>
      </c>
      <c r="N994" s="10" t="str">
        <f>IF(IF(ISNA(計算結果!N994),"",計算結果!N994)=0,"",IF(ISNA(計算結果!N994),"",計算結果!N994))</f>
        <v/>
      </c>
      <c r="O994" s="13" t="str">
        <f>IF(IF(ISNA(計算結果!O994),"",計算結果!O994)=0,"",IF(ISNA(計算結果!O994),"",計算結果!O994))</f>
        <v/>
      </c>
      <c r="P994" s="10" t="str">
        <f>IF(IF(ISNA(計算結果!P994),"",計算結果!P994)=0,"",IF(ISNA(計算結果!P994),"",計算結果!P994))</f>
        <v/>
      </c>
      <c r="Q994" s="10" t="str">
        <f>IF(IF(ISNA(計算結果!Q994),"",計算結果!Q994)=0,"",IF(ISNA(計算結果!Q994),"",計算結果!Q994))</f>
        <v/>
      </c>
      <c r="R994" s="14" t="str">
        <f t="shared" si="45"/>
        <v/>
      </c>
      <c r="S994" s="14" t="str">
        <f t="shared" si="46"/>
        <v>◯</v>
      </c>
      <c r="T994" s="14" t="str">
        <f t="shared" si="47"/>
        <v/>
      </c>
    </row>
    <row r="995" spans="1:20" hidden="1" x14ac:dyDescent="0.45">
      <c r="A995" s="10" t="str">
        <f>IF(IF(ISNA(計算結果!A995),"",計算結果!A995)=0,"",IF(ISNA(計算結果!A995),"",計算結果!A995))</f>
        <v/>
      </c>
      <c r="B995" s="10" t="str">
        <f>IF(IF(ISNA(計算結果!B995),"",計算結果!B995)=0,"",IF(ISNA(計算結果!B995),"",計算結果!B995))</f>
        <v/>
      </c>
      <c r="C995" s="10" t="str">
        <f>IF(IF(ISNA(計算結果!C995),"",計算結果!C995)=0,"",IF(ISNA(計算結果!C995),"",計算結果!C995))</f>
        <v/>
      </c>
      <c r="D995" s="10" t="str">
        <f>IF(IF(ISNA(計算結果!D995),"",計算結果!D995)=0,"",IF(ISNA(計算結果!D995),"",計算結果!D995))</f>
        <v>L</v>
      </c>
      <c r="E995" s="10" t="str">
        <f>IF(IF(ISNA(計算結果!E995),"",計算結果!E995)=0,"",IF(ISNA(計算結果!E995),"",計算結果!E995))</f>
        <v/>
      </c>
      <c r="F995" s="10" t="str">
        <f>IF(IF(ISNA(計算結果!F995),"",計算結果!F995)=0,"",IF(ISNA(計算結果!F995),"",計算結果!F995))</f>
        <v/>
      </c>
      <c r="G995" s="10" t="str">
        <f>IF(IF(ISNA(計算結果!G995),"",計算結果!G995)=0,"",IF(ISNA(計算結果!G995),"",計算結果!G995))</f>
        <v/>
      </c>
      <c r="H995" s="13">
        <f>IF(IF(ISNA(計算結果!H995),"",計算結果!H995)=0,"",IF(ISNA(計算結果!H995),"",計算結果!H995))</f>
        <v>-2</v>
      </c>
      <c r="I995" s="12" t="str">
        <f>IF(IF(ISNA(計算結果!I995),"",計算結果!I995)=0,"",IF(ISNA(計算結果!I995),"",計算結果!I995))</f>
        <v/>
      </c>
      <c r="J995" s="12" t="str">
        <f>IF(IF(ISNA(計算結果!J995),"",計算結果!J995)=0,"",IF(ISNA(計算結果!J995),"",計算結果!J995))</f>
        <v/>
      </c>
      <c r="K995" s="23" t="str">
        <f>IF(IF(ISNA(計算結果!K995),"",計算結果!K995)=0,"",IF(ISNA(計算結果!K995),"",計算結果!K995))</f>
        <v/>
      </c>
      <c r="L995" s="13" t="str">
        <f>IF(IF(ISNA(計算結果!L995),"",計算結果!L995)=0,"",IF(ISNA(計算結果!L995),"",計算結果!L995))</f>
        <v/>
      </c>
      <c r="M995" s="10" t="str">
        <f>IF(IF(ISNA(計算結果!M995),"",計算結果!M995)=0,"",IF(ISNA(計算結果!M995),"",計算結果!M995))</f>
        <v/>
      </c>
      <c r="N995" s="10" t="str">
        <f>IF(IF(ISNA(計算結果!N995),"",計算結果!N995)=0,"",IF(ISNA(計算結果!N995),"",計算結果!N995))</f>
        <v/>
      </c>
      <c r="O995" s="13" t="str">
        <f>IF(IF(ISNA(計算結果!O995),"",計算結果!O995)=0,"",IF(ISNA(計算結果!O995),"",計算結果!O995))</f>
        <v/>
      </c>
      <c r="P995" s="10" t="str">
        <f>IF(IF(ISNA(計算結果!P995),"",計算結果!P995)=0,"",IF(ISNA(計算結果!P995),"",計算結果!P995))</f>
        <v/>
      </c>
      <c r="Q995" s="10" t="str">
        <f>IF(IF(ISNA(計算結果!Q995),"",計算結果!Q995)=0,"",IF(ISNA(計算結果!Q995),"",計算結果!Q995))</f>
        <v/>
      </c>
      <c r="R995" s="14" t="str">
        <f t="shared" si="45"/>
        <v/>
      </c>
      <c r="S995" s="14" t="str">
        <f t="shared" si="46"/>
        <v>◯</v>
      </c>
      <c r="T995" s="14" t="str">
        <f t="shared" si="47"/>
        <v/>
      </c>
    </row>
    <row r="996" spans="1:20" hidden="1" x14ac:dyDescent="0.45">
      <c r="A996" s="10" t="str">
        <f>IF(IF(ISNA(計算結果!A996),"",計算結果!A996)=0,"",IF(ISNA(計算結果!A996),"",計算結果!A996))</f>
        <v/>
      </c>
      <c r="B996" s="10" t="str">
        <f>IF(IF(ISNA(計算結果!B996),"",計算結果!B996)=0,"",IF(ISNA(計算結果!B996),"",計算結果!B996))</f>
        <v/>
      </c>
      <c r="C996" s="10" t="str">
        <f>IF(IF(ISNA(計算結果!C996),"",計算結果!C996)=0,"",IF(ISNA(計算結果!C996),"",計算結果!C996))</f>
        <v/>
      </c>
      <c r="D996" s="10" t="str">
        <f>IF(IF(ISNA(計算結果!D996),"",計算結果!D996)=0,"",IF(ISNA(計算結果!D996),"",計算結果!D996))</f>
        <v>L</v>
      </c>
      <c r="E996" s="10" t="str">
        <f>IF(IF(ISNA(計算結果!E996),"",計算結果!E996)=0,"",IF(ISNA(計算結果!E996),"",計算結果!E996))</f>
        <v/>
      </c>
      <c r="F996" s="10" t="str">
        <f>IF(IF(ISNA(計算結果!F996),"",計算結果!F996)=0,"",IF(ISNA(計算結果!F996),"",計算結果!F996))</f>
        <v/>
      </c>
      <c r="G996" s="10" t="str">
        <f>IF(IF(ISNA(計算結果!G996),"",計算結果!G996)=0,"",IF(ISNA(計算結果!G996),"",計算結果!G996))</f>
        <v/>
      </c>
      <c r="H996" s="13">
        <f>IF(IF(ISNA(計算結果!H996),"",計算結果!H996)=0,"",IF(ISNA(計算結果!H996),"",計算結果!H996))</f>
        <v>-2</v>
      </c>
      <c r="I996" s="12" t="str">
        <f>IF(IF(ISNA(計算結果!I996),"",計算結果!I996)=0,"",IF(ISNA(計算結果!I996),"",計算結果!I996))</f>
        <v/>
      </c>
      <c r="J996" s="12" t="str">
        <f>IF(IF(ISNA(計算結果!J996),"",計算結果!J996)=0,"",IF(ISNA(計算結果!J996),"",計算結果!J996))</f>
        <v/>
      </c>
      <c r="K996" s="23" t="str">
        <f>IF(IF(ISNA(計算結果!K996),"",計算結果!K996)=0,"",IF(ISNA(計算結果!K996),"",計算結果!K996))</f>
        <v/>
      </c>
      <c r="L996" s="13" t="str">
        <f>IF(IF(ISNA(計算結果!L996),"",計算結果!L996)=0,"",IF(ISNA(計算結果!L996),"",計算結果!L996))</f>
        <v/>
      </c>
      <c r="M996" s="10" t="str">
        <f>IF(IF(ISNA(計算結果!M996),"",計算結果!M996)=0,"",IF(ISNA(計算結果!M996),"",計算結果!M996))</f>
        <v/>
      </c>
      <c r="N996" s="10" t="str">
        <f>IF(IF(ISNA(計算結果!N996),"",計算結果!N996)=0,"",IF(ISNA(計算結果!N996),"",計算結果!N996))</f>
        <v/>
      </c>
      <c r="O996" s="13" t="str">
        <f>IF(IF(ISNA(計算結果!O996),"",計算結果!O996)=0,"",IF(ISNA(計算結果!O996),"",計算結果!O996))</f>
        <v/>
      </c>
      <c r="P996" s="10" t="str">
        <f>IF(IF(ISNA(計算結果!P996),"",計算結果!P996)=0,"",IF(ISNA(計算結果!P996),"",計算結果!P996))</f>
        <v/>
      </c>
      <c r="Q996" s="10" t="str">
        <f>IF(IF(ISNA(計算結果!Q996),"",計算結果!Q996)=0,"",IF(ISNA(計算結果!Q996),"",計算結果!Q996))</f>
        <v/>
      </c>
      <c r="R996" s="14" t="str">
        <f t="shared" si="45"/>
        <v/>
      </c>
      <c r="S996" s="14" t="str">
        <f t="shared" si="46"/>
        <v>◯</v>
      </c>
      <c r="T996" s="14" t="str">
        <f t="shared" si="47"/>
        <v/>
      </c>
    </row>
    <row r="997" spans="1:20" hidden="1" x14ac:dyDescent="0.45">
      <c r="A997" s="10" t="str">
        <f>IF(IF(ISNA(計算結果!A997),"",計算結果!A997)=0,"",IF(ISNA(計算結果!A997),"",計算結果!A997))</f>
        <v/>
      </c>
      <c r="B997" s="10" t="str">
        <f>IF(IF(ISNA(計算結果!B997),"",計算結果!B997)=0,"",IF(ISNA(計算結果!B997),"",計算結果!B997))</f>
        <v/>
      </c>
      <c r="C997" s="10" t="str">
        <f>IF(IF(ISNA(計算結果!C997),"",計算結果!C997)=0,"",IF(ISNA(計算結果!C997),"",計算結果!C997))</f>
        <v/>
      </c>
      <c r="D997" s="10" t="str">
        <f>IF(IF(ISNA(計算結果!D997),"",計算結果!D997)=0,"",IF(ISNA(計算結果!D997),"",計算結果!D997))</f>
        <v>L</v>
      </c>
      <c r="E997" s="10" t="str">
        <f>IF(IF(ISNA(計算結果!E997),"",計算結果!E997)=0,"",IF(ISNA(計算結果!E997),"",計算結果!E997))</f>
        <v/>
      </c>
      <c r="F997" s="10" t="str">
        <f>IF(IF(ISNA(計算結果!F997),"",計算結果!F997)=0,"",IF(ISNA(計算結果!F997),"",計算結果!F997))</f>
        <v/>
      </c>
      <c r="G997" s="10" t="str">
        <f>IF(IF(ISNA(計算結果!G997),"",計算結果!G997)=0,"",IF(ISNA(計算結果!G997),"",計算結果!G997))</f>
        <v/>
      </c>
      <c r="H997" s="13">
        <f>IF(IF(ISNA(計算結果!H997),"",計算結果!H997)=0,"",IF(ISNA(計算結果!H997),"",計算結果!H997))</f>
        <v>-2</v>
      </c>
      <c r="I997" s="12" t="str">
        <f>IF(IF(ISNA(計算結果!I997),"",計算結果!I997)=0,"",IF(ISNA(計算結果!I997),"",計算結果!I997))</f>
        <v/>
      </c>
      <c r="J997" s="12" t="str">
        <f>IF(IF(ISNA(計算結果!J997),"",計算結果!J997)=0,"",IF(ISNA(計算結果!J997),"",計算結果!J997))</f>
        <v/>
      </c>
      <c r="K997" s="23" t="str">
        <f>IF(IF(ISNA(計算結果!K997),"",計算結果!K997)=0,"",IF(ISNA(計算結果!K997),"",計算結果!K997))</f>
        <v/>
      </c>
      <c r="L997" s="13" t="str">
        <f>IF(IF(ISNA(計算結果!L997),"",計算結果!L997)=0,"",IF(ISNA(計算結果!L997),"",計算結果!L997))</f>
        <v/>
      </c>
      <c r="M997" s="10" t="str">
        <f>IF(IF(ISNA(計算結果!M997),"",計算結果!M997)=0,"",IF(ISNA(計算結果!M997),"",計算結果!M997))</f>
        <v/>
      </c>
      <c r="N997" s="10" t="str">
        <f>IF(IF(ISNA(計算結果!N997),"",計算結果!N997)=0,"",IF(ISNA(計算結果!N997),"",計算結果!N997))</f>
        <v/>
      </c>
      <c r="O997" s="13" t="str">
        <f>IF(IF(ISNA(計算結果!O997),"",計算結果!O997)=0,"",IF(ISNA(計算結果!O997),"",計算結果!O997))</f>
        <v/>
      </c>
      <c r="P997" s="10" t="str">
        <f>IF(IF(ISNA(計算結果!P997),"",計算結果!P997)=0,"",IF(ISNA(計算結果!P997),"",計算結果!P997))</f>
        <v/>
      </c>
      <c r="Q997" s="10" t="str">
        <f>IF(IF(ISNA(計算結果!Q997),"",計算結果!Q997)=0,"",IF(ISNA(計算結果!Q997),"",計算結果!Q997))</f>
        <v/>
      </c>
      <c r="R997" s="14" t="str">
        <f t="shared" si="45"/>
        <v/>
      </c>
      <c r="S997" s="14" t="str">
        <f t="shared" si="46"/>
        <v>◯</v>
      </c>
      <c r="T997" s="14" t="str">
        <f t="shared" si="47"/>
        <v/>
      </c>
    </row>
    <row r="998" spans="1:20" hidden="1" x14ac:dyDescent="0.45">
      <c r="A998" s="10" t="str">
        <f>IF(IF(ISNA(計算結果!A998),"",計算結果!A998)=0,"",IF(ISNA(計算結果!A998),"",計算結果!A998))</f>
        <v/>
      </c>
      <c r="B998" s="10" t="str">
        <f>IF(IF(ISNA(計算結果!B998),"",計算結果!B998)=0,"",IF(ISNA(計算結果!B998),"",計算結果!B998))</f>
        <v/>
      </c>
      <c r="C998" s="10" t="str">
        <f>IF(IF(ISNA(計算結果!C998),"",計算結果!C998)=0,"",IF(ISNA(計算結果!C998),"",計算結果!C998))</f>
        <v/>
      </c>
      <c r="D998" s="10" t="str">
        <f>IF(IF(ISNA(計算結果!D998),"",計算結果!D998)=0,"",IF(ISNA(計算結果!D998),"",計算結果!D998))</f>
        <v>L</v>
      </c>
      <c r="E998" s="10" t="str">
        <f>IF(IF(ISNA(計算結果!E998),"",計算結果!E998)=0,"",IF(ISNA(計算結果!E998),"",計算結果!E998))</f>
        <v/>
      </c>
      <c r="F998" s="10" t="str">
        <f>IF(IF(ISNA(計算結果!F998),"",計算結果!F998)=0,"",IF(ISNA(計算結果!F998),"",計算結果!F998))</f>
        <v/>
      </c>
      <c r="G998" s="10" t="str">
        <f>IF(IF(ISNA(計算結果!G998),"",計算結果!G998)=0,"",IF(ISNA(計算結果!G998),"",計算結果!G998))</f>
        <v/>
      </c>
      <c r="H998" s="13">
        <f>IF(IF(ISNA(計算結果!H998),"",計算結果!H998)=0,"",IF(ISNA(計算結果!H998),"",計算結果!H998))</f>
        <v>-2</v>
      </c>
      <c r="I998" s="12" t="str">
        <f>IF(IF(ISNA(計算結果!I998),"",計算結果!I998)=0,"",IF(ISNA(計算結果!I998),"",計算結果!I998))</f>
        <v/>
      </c>
      <c r="J998" s="12" t="str">
        <f>IF(IF(ISNA(計算結果!J998),"",計算結果!J998)=0,"",IF(ISNA(計算結果!J998),"",計算結果!J998))</f>
        <v/>
      </c>
      <c r="K998" s="23" t="str">
        <f>IF(IF(ISNA(計算結果!K998),"",計算結果!K998)=0,"",IF(ISNA(計算結果!K998),"",計算結果!K998))</f>
        <v/>
      </c>
      <c r="L998" s="13" t="str">
        <f>IF(IF(ISNA(計算結果!L998),"",計算結果!L998)=0,"",IF(ISNA(計算結果!L998),"",計算結果!L998))</f>
        <v/>
      </c>
      <c r="M998" s="10" t="str">
        <f>IF(IF(ISNA(計算結果!M998),"",計算結果!M998)=0,"",IF(ISNA(計算結果!M998),"",計算結果!M998))</f>
        <v/>
      </c>
      <c r="N998" s="10" t="str">
        <f>IF(IF(ISNA(計算結果!N998),"",計算結果!N998)=0,"",IF(ISNA(計算結果!N998),"",計算結果!N998))</f>
        <v/>
      </c>
      <c r="O998" s="13" t="str">
        <f>IF(IF(ISNA(計算結果!O998),"",計算結果!O998)=0,"",IF(ISNA(計算結果!O998),"",計算結果!O998))</f>
        <v/>
      </c>
      <c r="P998" s="10" t="str">
        <f>IF(IF(ISNA(計算結果!P998),"",計算結果!P998)=0,"",IF(ISNA(計算結果!P998),"",計算結果!P998))</f>
        <v/>
      </c>
      <c r="Q998" s="10" t="str">
        <f>IF(IF(ISNA(計算結果!Q998),"",計算結果!Q998)=0,"",IF(ISNA(計算結果!Q998),"",計算結果!Q998))</f>
        <v/>
      </c>
      <c r="R998" s="14" t="str">
        <f t="shared" si="45"/>
        <v/>
      </c>
      <c r="S998" s="14" t="str">
        <f t="shared" si="46"/>
        <v>◯</v>
      </c>
      <c r="T998" s="14" t="str">
        <f t="shared" si="47"/>
        <v/>
      </c>
    </row>
    <row r="999" spans="1:20" hidden="1" x14ac:dyDescent="0.45">
      <c r="A999" s="10" t="str">
        <f>IF(IF(ISNA(計算結果!A999),"",計算結果!A999)=0,"",IF(ISNA(計算結果!A999),"",計算結果!A999))</f>
        <v/>
      </c>
      <c r="B999" s="10" t="str">
        <f>IF(IF(ISNA(計算結果!B999),"",計算結果!B999)=0,"",IF(ISNA(計算結果!B999),"",計算結果!B999))</f>
        <v/>
      </c>
      <c r="C999" s="10" t="str">
        <f>IF(IF(ISNA(計算結果!C999),"",計算結果!C999)=0,"",IF(ISNA(計算結果!C999),"",計算結果!C999))</f>
        <v/>
      </c>
      <c r="D999" s="10" t="str">
        <f>IF(IF(ISNA(計算結果!D999),"",計算結果!D999)=0,"",IF(ISNA(計算結果!D999),"",計算結果!D999))</f>
        <v>L</v>
      </c>
      <c r="E999" s="10" t="str">
        <f>IF(IF(ISNA(計算結果!E999),"",計算結果!E999)=0,"",IF(ISNA(計算結果!E999),"",計算結果!E999))</f>
        <v/>
      </c>
      <c r="F999" s="10" t="str">
        <f>IF(IF(ISNA(計算結果!F999),"",計算結果!F999)=0,"",IF(ISNA(計算結果!F999),"",計算結果!F999))</f>
        <v/>
      </c>
      <c r="G999" s="10" t="str">
        <f>IF(IF(ISNA(計算結果!G999),"",計算結果!G999)=0,"",IF(ISNA(計算結果!G999),"",計算結果!G999))</f>
        <v/>
      </c>
      <c r="H999" s="13">
        <f>IF(IF(ISNA(計算結果!H999),"",計算結果!H999)=0,"",IF(ISNA(計算結果!H999),"",計算結果!H999))</f>
        <v>-2</v>
      </c>
      <c r="I999" s="12" t="str">
        <f>IF(IF(ISNA(計算結果!I999),"",計算結果!I999)=0,"",IF(ISNA(計算結果!I999),"",計算結果!I999))</f>
        <v/>
      </c>
      <c r="J999" s="12" t="str">
        <f>IF(IF(ISNA(計算結果!J999),"",計算結果!J999)=0,"",IF(ISNA(計算結果!J999),"",計算結果!J999))</f>
        <v/>
      </c>
      <c r="K999" s="23" t="str">
        <f>IF(IF(ISNA(計算結果!K999),"",計算結果!K999)=0,"",IF(ISNA(計算結果!K999),"",計算結果!K999))</f>
        <v/>
      </c>
      <c r="L999" s="13" t="str">
        <f>IF(IF(ISNA(計算結果!L999),"",計算結果!L999)=0,"",IF(ISNA(計算結果!L999),"",計算結果!L999))</f>
        <v/>
      </c>
      <c r="M999" s="10" t="str">
        <f>IF(IF(ISNA(計算結果!M999),"",計算結果!M999)=0,"",IF(ISNA(計算結果!M999),"",計算結果!M999))</f>
        <v/>
      </c>
      <c r="N999" s="10" t="str">
        <f>IF(IF(ISNA(計算結果!N999),"",計算結果!N999)=0,"",IF(ISNA(計算結果!N999),"",計算結果!N999))</f>
        <v/>
      </c>
      <c r="O999" s="13" t="str">
        <f>IF(IF(ISNA(計算結果!O999),"",計算結果!O999)=0,"",IF(ISNA(計算結果!O999),"",計算結果!O999))</f>
        <v/>
      </c>
      <c r="P999" s="10" t="str">
        <f>IF(IF(ISNA(計算結果!P999),"",計算結果!P999)=0,"",IF(ISNA(計算結果!P999),"",計算結果!P999))</f>
        <v/>
      </c>
      <c r="Q999" s="10" t="str">
        <f>IF(IF(ISNA(計算結果!Q999),"",計算結果!Q999)=0,"",IF(ISNA(計算結果!Q999),"",計算結果!Q999))</f>
        <v/>
      </c>
      <c r="R999" s="14" t="str">
        <f t="shared" si="45"/>
        <v/>
      </c>
      <c r="S999" s="14" t="str">
        <f t="shared" si="46"/>
        <v>◯</v>
      </c>
      <c r="T999" s="14" t="str">
        <f t="shared" si="47"/>
        <v/>
      </c>
    </row>
    <row r="1000" spans="1:20" hidden="1" x14ac:dyDescent="0.45">
      <c r="A1000" s="10" t="str">
        <f>IF(IF(ISNA(計算結果!A1000),"",計算結果!A1000)=0,"",IF(ISNA(計算結果!A1000),"",計算結果!A1000))</f>
        <v/>
      </c>
      <c r="B1000" s="10" t="str">
        <f>IF(IF(ISNA(計算結果!B1000),"",計算結果!B1000)=0,"",IF(ISNA(計算結果!B1000),"",計算結果!B1000))</f>
        <v/>
      </c>
      <c r="C1000" s="10" t="str">
        <f>IF(IF(ISNA(計算結果!C1000),"",計算結果!C1000)=0,"",IF(ISNA(計算結果!C1000),"",計算結果!C1000))</f>
        <v/>
      </c>
      <c r="D1000" s="10" t="str">
        <f>IF(IF(ISNA(計算結果!D1000),"",計算結果!D1000)=0,"",IF(ISNA(計算結果!D1000),"",計算結果!D1000))</f>
        <v>L</v>
      </c>
      <c r="E1000" s="10" t="str">
        <f>IF(IF(ISNA(計算結果!E1000),"",計算結果!E1000)=0,"",IF(ISNA(計算結果!E1000),"",計算結果!E1000))</f>
        <v/>
      </c>
      <c r="F1000" s="10" t="str">
        <f>IF(IF(ISNA(計算結果!F1000),"",計算結果!F1000)=0,"",IF(ISNA(計算結果!F1000),"",計算結果!F1000))</f>
        <v/>
      </c>
      <c r="G1000" s="10" t="str">
        <f>IF(IF(ISNA(計算結果!G1000),"",計算結果!G1000)=0,"",IF(ISNA(計算結果!G1000),"",計算結果!G1000))</f>
        <v/>
      </c>
      <c r="H1000" s="13">
        <f>IF(IF(ISNA(計算結果!H1000),"",計算結果!H1000)=0,"",IF(ISNA(計算結果!H1000),"",計算結果!H1000))</f>
        <v>-2</v>
      </c>
      <c r="I1000" s="12" t="str">
        <f>IF(IF(ISNA(計算結果!I1000),"",計算結果!I1000)=0,"",IF(ISNA(計算結果!I1000),"",計算結果!I1000))</f>
        <v/>
      </c>
      <c r="J1000" s="12" t="str">
        <f>IF(IF(ISNA(計算結果!J1000),"",計算結果!J1000)=0,"",IF(ISNA(計算結果!J1000),"",計算結果!J1000))</f>
        <v/>
      </c>
      <c r="K1000" s="23" t="str">
        <f>IF(IF(ISNA(計算結果!K1000),"",計算結果!K1000)=0,"",IF(ISNA(計算結果!K1000),"",計算結果!K1000))</f>
        <v/>
      </c>
      <c r="L1000" s="13" t="str">
        <f>IF(IF(ISNA(計算結果!L1000),"",計算結果!L1000)=0,"",IF(ISNA(計算結果!L1000),"",計算結果!L1000))</f>
        <v/>
      </c>
      <c r="M1000" s="10" t="str">
        <f>IF(IF(ISNA(計算結果!M1000),"",計算結果!M1000)=0,"",IF(ISNA(計算結果!M1000),"",計算結果!M1000))</f>
        <v/>
      </c>
      <c r="N1000" s="10" t="str">
        <f>IF(IF(ISNA(計算結果!N1000),"",計算結果!N1000)=0,"",IF(ISNA(計算結果!N1000),"",計算結果!N1000))</f>
        <v/>
      </c>
      <c r="O1000" s="13" t="str">
        <f>IF(IF(ISNA(計算結果!O1000),"",計算結果!O1000)=0,"",IF(ISNA(計算結果!O1000),"",計算結果!O1000))</f>
        <v/>
      </c>
      <c r="P1000" s="10" t="str">
        <f>IF(IF(ISNA(計算結果!P1000),"",計算結果!P1000)=0,"",IF(ISNA(計算結果!P1000),"",計算結果!P1000))</f>
        <v/>
      </c>
      <c r="Q1000" s="10" t="str">
        <f>IF(IF(ISNA(計算結果!Q1000),"",計算結果!Q1000)=0,"",IF(ISNA(計算結果!Q1000),"",計算結果!Q1000))</f>
        <v/>
      </c>
      <c r="R1000" s="14" t="str">
        <f t="shared" si="45"/>
        <v/>
      </c>
      <c r="S1000" s="14" t="str">
        <f t="shared" si="46"/>
        <v>◯</v>
      </c>
      <c r="T1000" s="14" t="str">
        <f t="shared" si="47"/>
        <v/>
      </c>
    </row>
  </sheetData>
  <autoFilter ref="A1:T1000" xr:uid="{84C1F594-AC21-4EE0-B241-34ECCAFD9E5C}">
    <filterColumn colId="7">
      <customFilters>
        <customFilter operator="notEqual" val="14"/>
      </customFilters>
    </filterColumn>
    <filterColumn colId="9">
      <customFilters>
        <customFilter operator="notEqual" val=" "/>
      </customFilters>
    </filterColumn>
    <filterColumn colId="11">
      <customFilters>
        <customFilter operator="notEqual" val=" "/>
      </customFilters>
    </filterColumn>
  </autoFilter>
  <phoneticPr fontId="1"/>
  <pageMargins left="0.70866141732283472" right="0.70866141732283472" top="0.74803149606299213" bottom="0.74803149606299213" header="0.31496062992125984" footer="0.31496062992125984"/>
  <pageSetup paperSize="9" scale="8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900C-E3FF-470E-992E-C1528F21CF50}">
  <sheetPr codeName="Sheet2"/>
  <dimension ref="A1:AH1000"/>
  <sheetViews>
    <sheetView workbookViewId="0">
      <selection activeCell="A2" sqref="A2"/>
    </sheetView>
  </sheetViews>
  <sheetFormatPr defaultRowHeight="18" x14ac:dyDescent="0.45"/>
  <cols>
    <col min="1" max="1" width="28" customWidth="1"/>
    <col min="3" max="3" width="11" bestFit="1" customWidth="1"/>
    <col min="4" max="4" width="17.19921875" bestFit="1" customWidth="1"/>
    <col min="5" max="5" width="7.09765625" bestFit="1" customWidth="1"/>
    <col min="6" max="6" width="13" bestFit="1" customWidth="1"/>
    <col min="7" max="7" width="9.8984375" bestFit="1" customWidth="1"/>
    <col min="8" max="8" width="13" bestFit="1" customWidth="1"/>
    <col min="9" max="9" width="17.19921875" bestFit="1" customWidth="1"/>
    <col min="10" max="10" width="19.69921875" bestFit="1" customWidth="1"/>
    <col min="11" max="11" width="13" bestFit="1" customWidth="1"/>
    <col min="13" max="13" width="11" bestFit="1" customWidth="1"/>
    <col min="15" max="15" width="10.5" bestFit="1" customWidth="1"/>
    <col min="16" max="16" width="21.3984375" bestFit="1" customWidth="1"/>
    <col min="18" max="18" width="13" bestFit="1" customWidth="1"/>
    <col min="19" max="19" width="19.3984375" bestFit="1" customWidth="1"/>
    <col min="20" max="20" width="15.09765625" bestFit="1" customWidth="1"/>
    <col min="21" max="21" width="13" bestFit="1" customWidth="1"/>
    <col min="22" max="22" width="21.3984375" bestFit="1" customWidth="1"/>
    <col min="23" max="24" width="23" bestFit="1" customWidth="1"/>
    <col min="25" max="25" width="21.3984375" bestFit="1" customWidth="1"/>
    <col min="26" max="26" width="11" bestFit="1" customWidth="1"/>
    <col min="27" max="27" width="6.3984375" bestFit="1" customWidth="1"/>
    <col min="28" max="29" width="17.19921875" bestFit="1" customWidth="1"/>
    <col min="30" max="33" width="10.5" bestFit="1" customWidth="1"/>
    <col min="34" max="34" width="7.09765625" bestFit="1" customWidth="1"/>
  </cols>
  <sheetData>
    <row r="1" spans="1:34" x14ac:dyDescent="0.45">
      <c r="B1" t="str">
        <f>セットアップレポート!A1</f>
        <v>ライン名</v>
      </c>
      <c r="C1" t="str">
        <f>セットアップレポート!B1</f>
        <v>ゾーン名</v>
      </c>
      <c r="D1" t="str">
        <f>セットアップレポート!C1</f>
        <v>設備名</v>
      </c>
      <c r="E1" t="str">
        <f>セットアップレポート!D1</f>
        <v>レーン</v>
      </c>
      <c r="F1" t="str">
        <f>セットアップレポート!E1</f>
        <v>ステージ番号</v>
      </c>
      <c r="G1" t="str">
        <f>セットアップレポート!F1</f>
        <v>Z/PU番号</v>
      </c>
      <c r="H1" t="str">
        <f>セットアップレポート!G1</f>
        <v>スロット番号</v>
      </c>
      <c r="I1" t="str">
        <f>セットアップレポート!H1</f>
        <v>サブスロット番号</v>
      </c>
      <c r="J1" t="str">
        <f>セットアップレポート!I1</f>
        <v>材料ﾊﾞｰｺｰﾄﾞ</v>
      </c>
      <c r="K1" t="str">
        <f>セットアップレポート!J1</f>
        <v>部品番号</v>
      </c>
      <c r="L1" t="str">
        <f>セットアップレポート!K1</f>
        <v>正規部品</v>
      </c>
      <c r="M1" t="str">
        <f>セットアップレポート!L1</f>
        <v>ロット番号</v>
      </c>
      <c r="N1" t="str">
        <f>セットアップレポート!M1</f>
        <v>ベンダー</v>
      </c>
      <c r="O1" t="str">
        <f>セットアップレポート!N1</f>
        <v>UserData1</v>
      </c>
      <c r="P1" t="str">
        <f>セットアップレポート!O1</f>
        <v>フィーダーバーコード</v>
      </c>
      <c r="Q1" t="str">
        <f>セットアップレポート!P1</f>
        <v>初期数量</v>
      </c>
      <c r="R1" t="str">
        <f>セットアップレポート!Q1</f>
        <v>部品取付時間</v>
      </c>
      <c r="S1" t="str">
        <f>セットアップレポート!R1</f>
        <v>作業者</v>
      </c>
      <c r="T1" t="str">
        <f>セットアップレポート!S1</f>
        <v>スプライシング</v>
      </c>
      <c r="U1" t="str">
        <f>セットアップレポート!T1</f>
        <v>メインリール</v>
      </c>
      <c r="V1" t="str">
        <f>セットアップレポート!U1</f>
        <v>スプライシングリール</v>
      </c>
      <c r="W1" t="str">
        <f>セットアップレポート!V1</f>
        <v xml:space="preserve">スプライシングリール2 </v>
      </c>
      <c r="X1" t="str">
        <f>セットアップレポート!W1</f>
        <v xml:space="preserve">スプライシングリール3 </v>
      </c>
      <c r="Y1" t="str">
        <f>セットアップレポート!X1</f>
        <v>スプライシング作業者</v>
      </c>
      <c r="Z1" t="str">
        <f>セットアップレポート!Y1</f>
        <v>部品クラス</v>
      </c>
      <c r="AA1" t="str">
        <f>セットアップレポート!Z1</f>
        <v>MCID</v>
      </c>
      <c r="AB1" t="str">
        <f>セットアップレポート!AA1</f>
        <v>定期チェック状態</v>
      </c>
      <c r="AC1" t="str">
        <f>セットアップレポート!AB1</f>
        <v>定期チェック失敗</v>
      </c>
      <c r="AD1" t="str">
        <f>セットアップレポート!AC1</f>
        <v>UserData2</v>
      </c>
      <c r="AE1" t="str">
        <f>セットアップレポート!AD1</f>
        <v>UserData3</v>
      </c>
      <c r="AF1" t="str">
        <f>セットアップレポート!AE1</f>
        <v>UserData4</v>
      </c>
      <c r="AG1" t="str">
        <f>セットアップレポート!AF1</f>
        <v>UserData5</v>
      </c>
      <c r="AH1" t="str">
        <f>セットアップレポート!AG1</f>
        <v>製造日</v>
      </c>
    </row>
    <row r="2" spans="1:34" x14ac:dyDescent="0.45">
      <c r="A2" t="str">
        <f>C2&amp;RIGHT(G2,5)&amp;K2</f>
        <v>L2-NPM07210019000059949</v>
      </c>
      <c r="B2" t="str">
        <f>セットアップレポート!A2</f>
        <v>Line-2</v>
      </c>
      <c r="C2" t="str">
        <f>セットアップレポート!B2</f>
        <v>L2-NPM07</v>
      </c>
      <c r="D2" t="str">
        <f>セットアップレポート!C2</f>
        <v>Zone-2-NPMW-7</v>
      </c>
      <c r="E2">
        <f>セットアップレポート!D2</f>
        <v>1</v>
      </c>
      <c r="F2">
        <f>セットアップレポート!E2</f>
        <v>1</v>
      </c>
      <c r="G2">
        <f>セットアップレポート!F2</f>
        <v>21001</v>
      </c>
      <c r="H2">
        <f>セットアップレポート!G2</f>
        <v>1</v>
      </c>
      <c r="I2">
        <f>セットアップレポート!H2</f>
        <v>0</v>
      </c>
      <c r="J2" t="str">
        <f>セットアップレポート!I2</f>
        <v>9000059949 100452</v>
      </c>
      <c r="K2">
        <f>セットアップレポート!J2</f>
        <v>9000059949</v>
      </c>
      <c r="L2">
        <f>セットアップレポート!K2</f>
        <v>0</v>
      </c>
      <c r="M2">
        <f>セットアップレポート!L2</f>
        <v>0</v>
      </c>
      <c r="N2">
        <f>セットアップレポート!M2</f>
        <v>0</v>
      </c>
      <c r="O2">
        <f>セットアップレポート!N2</f>
        <v>0</v>
      </c>
      <c r="P2" t="str">
        <f>セットアップレポート!O2</f>
        <v>FA0299501001013</v>
      </c>
      <c r="Q2">
        <f>セットアップレポート!P2</f>
        <v>24</v>
      </c>
      <c r="R2">
        <f>セットアップレポート!Q2</f>
        <v>45950.47284722222</v>
      </c>
      <c r="S2" t="str">
        <f>セットアップレポート!R2</f>
        <v>kumagai tuneo</v>
      </c>
      <c r="T2">
        <f>セットアップレポート!S2</f>
        <v>0</v>
      </c>
      <c r="U2">
        <f>セットアップレポート!T2</f>
        <v>0</v>
      </c>
      <c r="V2">
        <f>セットアップレポート!U2</f>
        <v>0</v>
      </c>
      <c r="W2">
        <f>セットアップレポート!V2</f>
        <v>0</v>
      </c>
      <c r="X2">
        <f>セットアップレポート!W2</f>
        <v>0</v>
      </c>
      <c r="Y2">
        <f>セットアップレポート!X2</f>
        <v>0</v>
      </c>
      <c r="Z2">
        <f>セットアップレポート!Y2</f>
        <v>0</v>
      </c>
      <c r="AA2">
        <f>セットアップレポート!Z2</f>
        <v>0</v>
      </c>
      <c r="AB2" t="str">
        <f>セットアップレポート!AA2</f>
        <v>NONE</v>
      </c>
      <c r="AC2">
        <f>セットアップレポート!AB2</f>
        <v>0</v>
      </c>
      <c r="AD2">
        <f>セットアップレポート!AC2</f>
        <v>0</v>
      </c>
      <c r="AE2">
        <f>セットアップレポート!AD2</f>
        <v>0</v>
      </c>
      <c r="AF2">
        <f>セットアップレポート!AE2</f>
        <v>0</v>
      </c>
      <c r="AG2">
        <f>セットアップレポート!AF2</f>
        <v>0</v>
      </c>
      <c r="AH2">
        <f>セットアップレポート!AG2</f>
        <v>0</v>
      </c>
    </row>
    <row r="3" spans="1:34" x14ac:dyDescent="0.45">
      <c r="A3" t="str">
        <f t="shared" ref="A3:A66" si="0">C3&amp;RIGHT(G3,5)&amp;K3</f>
        <v>L2-NPM07210029000070667</v>
      </c>
      <c r="B3" t="str">
        <f>セットアップレポート!A3</f>
        <v>Line-2</v>
      </c>
      <c r="C3" t="str">
        <f>セットアップレポート!B3</f>
        <v>L2-NPM07</v>
      </c>
      <c r="D3" t="str">
        <f>セットアップレポート!C3</f>
        <v>Zone-2-NPMW-7</v>
      </c>
      <c r="E3">
        <f>セットアップレポート!D3</f>
        <v>1</v>
      </c>
      <c r="F3">
        <f>セットアップレポート!E3</f>
        <v>1</v>
      </c>
      <c r="G3">
        <f>セットアップレポート!F3</f>
        <v>21002</v>
      </c>
      <c r="H3">
        <f>セットアップレポート!G3</f>
        <v>2</v>
      </c>
      <c r="I3">
        <f>セットアップレポート!H3</f>
        <v>0</v>
      </c>
      <c r="J3" t="str">
        <f>セットアップレポート!I3</f>
        <v>9000070667 100041</v>
      </c>
      <c r="K3">
        <f>セットアップレポート!J3</f>
        <v>9000070667</v>
      </c>
      <c r="L3">
        <f>セットアップレポート!K3</f>
        <v>0</v>
      </c>
      <c r="M3">
        <f>セットアップレポート!L3</f>
        <v>0</v>
      </c>
      <c r="N3">
        <f>セットアップレポート!M3</f>
        <v>0</v>
      </c>
      <c r="O3">
        <f>セットアップレポート!N3</f>
        <v>0</v>
      </c>
      <c r="P3" t="str">
        <f>セットアップレポート!O3</f>
        <v>FA0299502001013</v>
      </c>
      <c r="Q3">
        <f>セットアップレポート!P3</f>
        <v>250</v>
      </c>
      <c r="R3">
        <f>セットアップレポート!Q3</f>
        <v>45946.849270833336</v>
      </c>
      <c r="S3" t="str">
        <f>セットアップレポート!R3</f>
        <v>kumagai tuneo</v>
      </c>
      <c r="T3">
        <f>セットアップレポート!S3</f>
        <v>0</v>
      </c>
      <c r="U3">
        <f>セットアップレポート!T3</f>
        <v>0</v>
      </c>
      <c r="V3">
        <f>セットアップレポート!U3</f>
        <v>0</v>
      </c>
      <c r="W3">
        <f>セットアップレポート!V3</f>
        <v>0</v>
      </c>
      <c r="X3">
        <f>セットアップレポート!W3</f>
        <v>0</v>
      </c>
      <c r="Y3">
        <f>セットアップレポート!X3</f>
        <v>0</v>
      </c>
      <c r="Z3">
        <f>セットアップレポート!Y3</f>
        <v>0</v>
      </c>
      <c r="AA3">
        <f>セットアップレポート!Z3</f>
        <v>0</v>
      </c>
      <c r="AB3" t="str">
        <f>セットアップレポート!AA3</f>
        <v>NONE</v>
      </c>
      <c r="AC3">
        <f>セットアップレポート!AB3</f>
        <v>0</v>
      </c>
      <c r="AD3">
        <f>セットアップレポート!AC3</f>
        <v>0</v>
      </c>
      <c r="AE3">
        <f>セットアップレポート!AD3</f>
        <v>0</v>
      </c>
      <c r="AF3">
        <f>セットアップレポート!AE3</f>
        <v>0</v>
      </c>
      <c r="AG3">
        <f>セットアップレポート!AF3</f>
        <v>0</v>
      </c>
      <c r="AH3">
        <f>セットアップレポート!AG3</f>
        <v>0</v>
      </c>
    </row>
    <row r="4" spans="1:34" x14ac:dyDescent="0.45">
      <c r="A4" t="str">
        <f t="shared" si="0"/>
        <v>L2-NPM07210039000033492</v>
      </c>
      <c r="B4" t="str">
        <f>セットアップレポート!A4</f>
        <v>Line-2</v>
      </c>
      <c r="C4" t="str">
        <f>セットアップレポート!B4</f>
        <v>L2-NPM07</v>
      </c>
      <c r="D4" t="str">
        <f>セットアップレポート!C4</f>
        <v>Zone-2-NPMW-7</v>
      </c>
      <c r="E4">
        <f>セットアップレポート!D4</f>
        <v>1</v>
      </c>
      <c r="F4">
        <f>セットアップレポート!E4</f>
        <v>1</v>
      </c>
      <c r="G4">
        <f>セットアップレポート!F4</f>
        <v>21003</v>
      </c>
      <c r="H4">
        <f>セットアップレポート!G4</f>
        <v>3</v>
      </c>
      <c r="I4">
        <f>セットアップレポート!H4</f>
        <v>0</v>
      </c>
      <c r="J4" t="str">
        <f>セットアップレポート!I4</f>
        <v>9000033492 100795</v>
      </c>
      <c r="K4">
        <f>セットアップレポート!J4</f>
        <v>9000033492</v>
      </c>
      <c r="L4">
        <f>セットアップレポート!K4</f>
        <v>0</v>
      </c>
      <c r="M4">
        <f>セットアップレポート!L4</f>
        <v>0</v>
      </c>
      <c r="N4">
        <f>セットアップレポート!M4</f>
        <v>0</v>
      </c>
      <c r="O4">
        <f>セットアップレポート!N4</f>
        <v>0</v>
      </c>
      <c r="P4" t="str">
        <f>セットアップレポート!O4</f>
        <v>FA0299503001013</v>
      </c>
      <c r="Q4">
        <f>セットアップレポート!P4</f>
        <v>24</v>
      </c>
      <c r="R4">
        <f>セットアップレポート!Q4</f>
        <v>45950.472905092596</v>
      </c>
      <c r="S4" t="str">
        <f>セットアップレポート!R4</f>
        <v>kumagai tuneo</v>
      </c>
      <c r="T4">
        <f>セットアップレポート!S4</f>
        <v>0</v>
      </c>
      <c r="U4">
        <f>セットアップレポート!T4</f>
        <v>0</v>
      </c>
      <c r="V4">
        <f>セットアップレポート!U4</f>
        <v>0</v>
      </c>
      <c r="W4">
        <f>セットアップレポート!V4</f>
        <v>0</v>
      </c>
      <c r="X4">
        <f>セットアップレポート!W4</f>
        <v>0</v>
      </c>
      <c r="Y4">
        <f>セットアップレポート!X4</f>
        <v>0</v>
      </c>
      <c r="Z4">
        <f>セットアップレポート!Y4</f>
        <v>0</v>
      </c>
      <c r="AA4">
        <f>セットアップレポート!Z4</f>
        <v>0</v>
      </c>
      <c r="AB4" t="str">
        <f>セットアップレポート!AA4</f>
        <v>NONE</v>
      </c>
      <c r="AC4">
        <f>セットアップレポート!AB4</f>
        <v>0</v>
      </c>
      <c r="AD4">
        <f>セットアップレポート!AC4</f>
        <v>0</v>
      </c>
      <c r="AE4">
        <f>セットアップレポート!AD4</f>
        <v>0</v>
      </c>
      <c r="AF4">
        <f>セットアップレポート!AE4</f>
        <v>0</v>
      </c>
      <c r="AG4">
        <f>セットアップレポート!AF4</f>
        <v>0</v>
      </c>
      <c r="AH4">
        <f>セットアップレポート!AG4</f>
        <v>0</v>
      </c>
    </row>
    <row r="5" spans="1:34" x14ac:dyDescent="0.45">
      <c r="A5" t="str">
        <f>C5&amp;RIGHT(G5,5)&amp;K5</f>
        <v>L2-NPM07210049000066873</v>
      </c>
      <c r="B5" t="str">
        <f>セットアップレポート!A5</f>
        <v>Line-2</v>
      </c>
      <c r="C5" t="str">
        <f>セットアップレポート!B5</f>
        <v>L2-NPM07</v>
      </c>
      <c r="D5" t="str">
        <f>セットアップレポート!C5</f>
        <v>Zone-2-NPMW-7</v>
      </c>
      <c r="E5">
        <f>セットアップレポート!D5</f>
        <v>1</v>
      </c>
      <c r="F5">
        <f>セットアップレポート!E5</f>
        <v>1</v>
      </c>
      <c r="G5">
        <f>セットアップレポート!F5</f>
        <v>21004</v>
      </c>
      <c r="H5">
        <f>セットアップレポート!G5</f>
        <v>4</v>
      </c>
      <c r="I5">
        <f>セットアップレポート!H5</f>
        <v>0</v>
      </c>
      <c r="J5" t="str">
        <f>セットアップレポート!I5</f>
        <v>9000066873 100348</v>
      </c>
      <c r="K5">
        <f>セットアップレポート!J5</f>
        <v>9000066873</v>
      </c>
      <c r="L5">
        <f>セットアップレポート!K5</f>
        <v>0</v>
      </c>
      <c r="M5">
        <f>セットアップレポート!L5</f>
        <v>0</v>
      </c>
      <c r="N5">
        <f>セットアップレポート!M5</f>
        <v>0</v>
      </c>
      <c r="O5">
        <f>セットアップレポート!N5</f>
        <v>0</v>
      </c>
      <c r="P5" t="str">
        <f>セットアップレポート!O5</f>
        <v>FA0299504001013</v>
      </c>
      <c r="Q5">
        <f>セットアップレポート!P5</f>
        <v>24</v>
      </c>
      <c r="R5">
        <f>セットアップレポート!Q5</f>
        <v>45950.472962962966</v>
      </c>
      <c r="S5" t="str">
        <f>セットアップレポート!R5</f>
        <v>kumagai tuneo</v>
      </c>
      <c r="T5">
        <f>セットアップレポート!S5</f>
        <v>0</v>
      </c>
      <c r="U5">
        <f>セットアップレポート!T5</f>
        <v>0</v>
      </c>
      <c r="V5">
        <f>セットアップレポート!U5</f>
        <v>0</v>
      </c>
      <c r="W5">
        <f>セットアップレポート!V5</f>
        <v>0</v>
      </c>
      <c r="X5">
        <f>セットアップレポート!W5</f>
        <v>0</v>
      </c>
      <c r="Y5">
        <f>セットアップレポート!X5</f>
        <v>0</v>
      </c>
      <c r="Z5">
        <f>セットアップレポート!Y5</f>
        <v>0</v>
      </c>
      <c r="AA5">
        <f>セットアップレポート!Z5</f>
        <v>0</v>
      </c>
      <c r="AB5" t="str">
        <f>セットアップレポート!AA5</f>
        <v>NONE</v>
      </c>
      <c r="AC5">
        <f>セットアップレポート!AB5</f>
        <v>0</v>
      </c>
      <c r="AD5">
        <f>セットアップレポート!AC5</f>
        <v>0</v>
      </c>
      <c r="AE5">
        <f>セットアップレポート!AD5</f>
        <v>0</v>
      </c>
      <c r="AF5">
        <f>セットアップレポート!AE5</f>
        <v>0</v>
      </c>
      <c r="AG5">
        <f>セットアップレポート!AF5</f>
        <v>0</v>
      </c>
      <c r="AH5">
        <f>セットアップレポート!AG5</f>
        <v>0</v>
      </c>
    </row>
    <row r="6" spans="1:34" x14ac:dyDescent="0.45">
      <c r="A6" t="str">
        <f t="shared" si="0"/>
        <v>L2-NPM07210059000066452</v>
      </c>
      <c r="B6" t="str">
        <f>セットアップレポート!A6</f>
        <v>Line-2</v>
      </c>
      <c r="C6" t="str">
        <f>セットアップレポート!B6</f>
        <v>L2-NPM07</v>
      </c>
      <c r="D6" t="str">
        <f>セットアップレポート!C6</f>
        <v>Zone-2-NPMW-7</v>
      </c>
      <c r="E6">
        <f>セットアップレポート!D6</f>
        <v>1</v>
      </c>
      <c r="F6">
        <f>セットアップレポート!E6</f>
        <v>1</v>
      </c>
      <c r="G6">
        <f>セットアップレポート!F6</f>
        <v>21005</v>
      </c>
      <c r="H6">
        <f>セットアップレポート!G6</f>
        <v>5</v>
      </c>
      <c r="I6">
        <f>セットアップレポート!H6</f>
        <v>0</v>
      </c>
      <c r="J6" t="str">
        <f>セットアップレポート!I6</f>
        <v>9000066452 100140</v>
      </c>
      <c r="K6">
        <f>セットアップレポート!J6</f>
        <v>9000066452</v>
      </c>
      <c r="L6">
        <f>セットアップレポート!K6</f>
        <v>0</v>
      </c>
      <c r="M6">
        <f>セットアップレポート!L6</f>
        <v>0</v>
      </c>
      <c r="N6">
        <f>セットアップレポート!M6</f>
        <v>0</v>
      </c>
      <c r="O6">
        <f>セットアップレポート!N6</f>
        <v>0</v>
      </c>
      <c r="P6" t="str">
        <f>セットアップレポート!O6</f>
        <v>FA0299505001013</v>
      </c>
      <c r="Q6">
        <f>セットアップレポート!P6</f>
        <v>48</v>
      </c>
      <c r="R6">
        <f>セットアップレポート!Q6</f>
        <v>45946.849479166667</v>
      </c>
      <c r="S6" t="str">
        <f>セットアップレポート!R6</f>
        <v>kumagai tuneo</v>
      </c>
      <c r="T6">
        <f>セットアップレポート!S6</f>
        <v>0</v>
      </c>
      <c r="U6">
        <f>セットアップレポート!T6</f>
        <v>0</v>
      </c>
      <c r="V6">
        <f>セットアップレポート!U6</f>
        <v>0</v>
      </c>
      <c r="W6">
        <f>セットアップレポート!V6</f>
        <v>0</v>
      </c>
      <c r="X6">
        <f>セットアップレポート!W6</f>
        <v>0</v>
      </c>
      <c r="Y6">
        <f>セットアップレポート!X6</f>
        <v>0</v>
      </c>
      <c r="Z6">
        <f>セットアップレポート!Y6</f>
        <v>0</v>
      </c>
      <c r="AA6">
        <f>セットアップレポート!Z6</f>
        <v>0</v>
      </c>
      <c r="AB6" t="str">
        <f>セットアップレポート!AA6</f>
        <v>NONE</v>
      </c>
      <c r="AC6">
        <f>セットアップレポート!AB6</f>
        <v>0</v>
      </c>
      <c r="AD6">
        <f>セットアップレポート!AC6</f>
        <v>0</v>
      </c>
      <c r="AE6">
        <f>セットアップレポート!AD6</f>
        <v>0</v>
      </c>
      <c r="AF6">
        <f>セットアップレポート!AE6</f>
        <v>0</v>
      </c>
      <c r="AG6">
        <f>セットアップレポート!AF6</f>
        <v>0</v>
      </c>
      <c r="AH6">
        <f>セットアップレポート!AG6</f>
        <v>0</v>
      </c>
    </row>
    <row r="7" spans="1:34" x14ac:dyDescent="0.45">
      <c r="A7" t="str">
        <f t="shared" si="0"/>
        <v>L2-NPM07210069000069287</v>
      </c>
      <c r="B7" t="str">
        <f>セットアップレポート!A7</f>
        <v>Line-2</v>
      </c>
      <c r="C7" t="str">
        <f>セットアップレポート!B7</f>
        <v>L2-NPM07</v>
      </c>
      <c r="D7" t="str">
        <f>セットアップレポート!C7</f>
        <v>Zone-2-NPMW-7</v>
      </c>
      <c r="E7">
        <f>セットアップレポート!D7</f>
        <v>1</v>
      </c>
      <c r="F7">
        <f>セットアップレポート!E7</f>
        <v>1</v>
      </c>
      <c r="G7">
        <f>セットアップレポート!F7</f>
        <v>21006</v>
      </c>
      <c r="H7">
        <f>セットアップレポート!G7</f>
        <v>6</v>
      </c>
      <c r="I7">
        <f>セットアップレポート!H7</f>
        <v>0</v>
      </c>
      <c r="J7" t="str">
        <f>セットアップレポート!I7</f>
        <v>9000069287 100079</v>
      </c>
      <c r="K7">
        <f>セットアップレポート!J7</f>
        <v>9000069287</v>
      </c>
      <c r="L7">
        <f>セットアップレポート!K7</f>
        <v>0</v>
      </c>
      <c r="M7">
        <f>セットアップレポート!L7</f>
        <v>0</v>
      </c>
      <c r="N7">
        <f>セットアップレポート!M7</f>
        <v>0</v>
      </c>
      <c r="O7">
        <f>セットアップレポート!N7</f>
        <v>0</v>
      </c>
      <c r="P7" t="str">
        <f>セットアップレポート!O7</f>
        <v>FA0299506001013</v>
      </c>
      <c r="Q7">
        <f>セットアップレポート!P7</f>
        <v>48</v>
      </c>
      <c r="R7">
        <f>セットアップレポート!Q7</f>
        <v>45946.849537037036</v>
      </c>
      <c r="S7" t="str">
        <f>セットアップレポート!R7</f>
        <v>kumagai tuneo</v>
      </c>
      <c r="T7">
        <f>セットアップレポート!S7</f>
        <v>0</v>
      </c>
      <c r="U7">
        <f>セットアップレポート!T7</f>
        <v>0</v>
      </c>
      <c r="V7">
        <f>セットアップレポート!U7</f>
        <v>0</v>
      </c>
      <c r="W7">
        <f>セットアップレポート!V7</f>
        <v>0</v>
      </c>
      <c r="X7">
        <f>セットアップレポート!W7</f>
        <v>0</v>
      </c>
      <c r="Y7">
        <f>セットアップレポート!X7</f>
        <v>0</v>
      </c>
      <c r="Z7">
        <f>セットアップレポート!Y7</f>
        <v>0</v>
      </c>
      <c r="AA7">
        <f>セットアップレポート!Z7</f>
        <v>0</v>
      </c>
      <c r="AB7" t="str">
        <f>セットアップレポート!AA7</f>
        <v>NONE</v>
      </c>
      <c r="AC7">
        <f>セットアップレポート!AB7</f>
        <v>0</v>
      </c>
      <c r="AD7">
        <f>セットアップレポート!AC7</f>
        <v>0</v>
      </c>
      <c r="AE7">
        <f>セットアップレポート!AD7</f>
        <v>0</v>
      </c>
      <c r="AF7">
        <f>セットアップレポート!AE7</f>
        <v>0</v>
      </c>
      <c r="AG7">
        <f>セットアップレポート!AF7</f>
        <v>0</v>
      </c>
      <c r="AH7">
        <f>セットアップレポート!AG7</f>
        <v>0</v>
      </c>
    </row>
    <row r="8" spans="1:34" x14ac:dyDescent="0.45">
      <c r="A8" t="str">
        <f t="shared" si="0"/>
        <v>L2-NPM07210079000070664</v>
      </c>
      <c r="B8" t="str">
        <f>セットアップレポート!A8</f>
        <v>Line-2</v>
      </c>
      <c r="C8" t="str">
        <f>セットアップレポート!B8</f>
        <v>L2-NPM07</v>
      </c>
      <c r="D8" t="str">
        <f>セットアップレポート!C8</f>
        <v>Zone-2-NPMW-7</v>
      </c>
      <c r="E8">
        <f>セットアップレポート!D8</f>
        <v>1</v>
      </c>
      <c r="F8">
        <f>セットアップレポート!E8</f>
        <v>1</v>
      </c>
      <c r="G8">
        <f>セットアップレポート!F8</f>
        <v>21007</v>
      </c>
      <c r="H8">
        <f>セットアップレポート!G8</f>
        <v>7</v>
      </c>
      <c r="I8">
        <f>セットアップレポート!H8</f>
        <v>0</v>
      </c>
      <c r="J8" t="str">
        <f>セットアップレポート!I8</f>
        <v>9000070664 100079</v>
      </c>
      <c r="K8">
        <f>セットアップレポート!J8</f>
        <v>9000070664</v>
      </c>
      <c r="L8">
        <f>セットアップレポート!K8</f>
        <v>0</v>
      </c>
      <c r="M8">
        <f>セットアップレポート!L8</f>
        <v>0</v>
      </c>
      <c r="N8">
        <f>セットアップレポート!M8</f>
        <v>0</v>
      </c>
      <c r="O8">
        <f>セットアップレポート!N8</f>
        <v>0</v>
      </c>
      <c r="P8" t="str">
        <f>セットアップレポート!O8</f>
        <v>FA0299507001013</v>
      </c>
      <c r="Q8">
        <f>セットアップレポート!P8</f>
        <v>48</v>
      </c>
      <c r="R8">
        <f>セットアップレポート!Q8</f>
        <v>45946.849618055552</v>
      </c>
      <c r="S8" t="str">
        <f>セットアップレポート!R8</f>
        <v>kumagai tuneo</v>
      </c>
      <c r="T8">
        <f>セットアップレポート!S8</f>
        <v>0</v>
      </c>
      <c r="U8">
        <f>セットアップレポート!T8</f>
        <v>0</v>
      </c>
      <c r="V8">
        <f>セットアップレポート!U8</f>
        <v>0</v>
      </c>
      <c r="W8">
        <f>セットアップレポート!V8</f>
        <v>0</v>
      </c>
      <c r="X8">
        <f>セットアップレポート!W8</f>
        <v>0</v>
      </c>
      <c r="Y8">
        <f>セットアップレポート!X8</f>
        <v>0</v>
      </c>
      <c r="Z8">
        <f>セットアップレポート!Y8</f>
        <v>0</v>
      </c>
      <c r="AA8">
        <f>セットアップレポート!Z8</f>
        <v>0</v>
      </c>
      <c r="AB8" t="str">
        <f>セットアップレポート!AA8</f>
        <v>NONE</v>
      </c>
      <c r="AC8">
        <f>セットアップレポート!AB8</f>
        <v>0</v>
      </c>
      <c r="AD8">
        <f>セットアップレポート!AC8</f>
        <v>0</v>
      </c>
      <c r="AE8">
        <f>セットアップレポート!AD8</f>
        <v>0</v>
      </c>
      <c r="AF8">
        <f>セットアップレポート!AE8</f>
        <v>0</v>
      </c>
      <c r="AG8">
        <f>セットアップレポート!AF8</f>
        <v>0</v>
      </c>
      <c r="AH8">
        <f>セットアップレポート!AG8</f>
        <v>0</v>
      </c>
    </row>
    <row r="9" spans="1:34" x14ac:dyDescent="0.45">
      <c r="A9" t="str">
        <f t="shared" si="0"/>
        <v>L2-NPM07210089000069581</v>
      </c>
      <c r="B9" t="str">
        <f>セットアップレポート!A9</f>
        <v>Line-2</v>
      </c>
      <c r="C9" t="str">
        <f>セットアップレポート!B9</f>
        <v>L2-NPM07</v>
      </c>
      <c r="D9" t="str">
        <f>セットアップレポート!C9</f>
        <v>Zone-2-NPMW-7</v>
      </c>
      <c r="E9">
        <f>セットアップレポート!D9</f>
        <v>1</v>
      </c>
      <c r="F9">
        <f>セットアップレポート!E9</f>
        <v>1</v>
      </c>
      <c r="G9">
        <f>セットアップレポート!F9</f>
        <v>21008</v>
      </c>
      <c r="H9">
        <f>セットアップレポート!G9</f>
        <v>8</v>
      </c>
      <c r="I9">
        <f>セットアップレポート!H9</f>
        <v>0</v>
      </c>
      <c r="J9" t="str">
        <f>セットアップレポート!I9</f>
        <v>9000069581 100973</v>
      </c>
      <c r="K9">
        <f>セットアップレポート!J9</f>
        <v>9000069581</v>
      </c>
      <c r="L9">
        <f>セットアップレポート!K9</f>
        <v>0</v>
      </c>
      <c r="M9">
        <f>セットアップレポート!L9</f>
        <v>0</v>
      </c>
      <c r="N9">
        <f>セットアップレポート!M9</f>
        <v>0</v>
      </c>
      <c r="O9">
        <f>セットアップレポート!N9</f>
        <v>0</v>
      </c>
      <c r="P9" t="str">
        <f>セットアップレポート!O9</f>
        <v>FA0299508001013</v>
      </c>
      <c r="Q9">
        <f>セットアップレポート!P9</f>
        <v>84</v>
      </c>
      <c r="R9">
        <f>セットアップレポート!Q9</f>
        <v>45945.861597222225</v>
      </c>
      <c r="S9" t="str">
        <f>セットアップレポート!R9</f>
        <v>kumagai tuneo</v>
      </c>
      <c r="T9">
        <f>セットアップレポート!S9</f>
        <v>0</v>
      </c>
      <c r="U9">
        <f>セットアップレポート!T9</f>
        <v>0</v>
      </c>
      <c r="V9">
        <f>セットアップレポート!U9</f>
        <v>0</v>
      </c>
      <c r="W9">
        <f>セットアップレポート!V9</f>
        <v>0</v>
      </c>
      <c r="X9">
        <f>セットアップレポート!W9</f>
        <v>0</v>
      </c>
      <c r="Y9">
        <f>セットアップレポート!X9</f>
        <v>0</v>
      </c>
      <c r="Z9">
        <f>セットアップレポート!Y9</f>
        <v>0</v>
      </c>
      <c r="AA9">
        <f>セットアップレポート!Z9</f>
        <v>0</v>
      </c>
      <c r="AB9" t="str">
        <f>セットアップレポート!AA9</f>
        <v>NONE</v>
      </c>
      <c r="AC9">
        <f>セットアップレポート!AB9</f>
        <v>0</v>
      </c>
      <c r="AD9">
        <f>セットアップレポート!AC9</f>
        <v>0</v>
      </c>
      <c r="AE9">
        <f>セットアップレポート!AD9</f>
        <v>0</v>
      </c>
      <c r="AF9">
        <f>セットアップレポート!AE9</f>
        <v>0</v>
      </c>
      <c r="AG9">
        <f>セットアップレポート!AF9</f>
        <v>0</v>
      </c>
      <c r="AH9">
        <f>セットアップレポート!AG9</f>
        <v>0</v>
      </c>
    </row>
    <row r="10" spans="1:34" x14ac:dyDescent="0.45">
      <c r="A10" t="str">
        <f t="shared" si="0"/>
        <v>L2-NPM07210099000033492</v>
      </c>
      <c r="B10" t="str">
        <f>セットアップレポート!A10</f>
        <v>Line-2</v>
      </c>
      <c r="C10" t="str">
        <f>セットアップレポート!B10</f>
        <v>L2-NPM07</v>
      </c>
      <c r="D10" t="str">
        <f>セットアップレポート!C10</f>
        <v>Zone-2-NPMW-7</v>
      </c>
      <c r="E10">
        <f>セットアップレポート!D10</f>
        <v>1</v>
      </c>
      <c r="F10">
        <f>セットアップレポート!E10</f>
        <v>1</v>
      </c>
      <c r="G10">
        <f>セットアップレポート!F10</f>
        <v>21009</v>
      </c>
      <c r="H10">
        <f>セットアップレポート!G10</f>
        <v>9</v>
      </c>
      <c r="I10">
        <f>セットアップレポート!H10</f>
        <v>0</v>
      </c>
      <c r="J10" t="str">
        <f>セットアップレポート!I10</f>
        <v>9000033492 100794</v>
      </c>
      <c r="K10">
        <f>セットアップレポート!J10</f>
        <v>9000033492</v>
      </c>
      <c r="L10">
        <f>セットアップレポート!K10</f>
        <v>0</v>
      </c>
      <c r="M10">
        <f>セットアップレポート!L10</f>
        <v>0</v>
      </c>
      <c r="N10">
        <f>セットアップレポート!M10</f>
        <v>0</v>
      </c>
      <c r="O10">
        <f>セットアップレポート!N10</f>
        <v>0</v>
      </c>
      <c r="P10" t="str">
        <f>セットアップレポート!O10</f>
        <v>FA0299509001013</v>
      </c>
      <c r="Q10">
        <f>セットアップレポート!P10</f>
        <v>24</v>
      </c>
      <c r="R10">
        <f>セットアップレポート!Q10</f>
        <v>45946.849687499998</v>
      </c>
      <c r="S10" t="str">
        <f>セットアップレポート!R10</f>
        <v>kumagai tuneo</v>
      </c>
      <c r="T10">
        <f>セットアップレポート!S10</f>
        <v>0</v>
      </c>
      <c r="U10">
        <f>セットアップレポート!T10</f>
        <v>0</v>
      </c>
      <c r="V10">
        <f>セットアップレポート!U10</f>
        <v>0</v>
      </c>
      <c r="W10">
        <f>セットアップレポート!V10</f>
        <v>0</v>
      </c>
      <c r="X10">
        <f>セットアップレポート!W10</f>
        <v>0</v>
      </c>
      <c r="Y10">
        <f>セットアップレポート!X10</f>
        <v>0</v>
      </c>
      <c r="Z10">
        <f>セットアップレポート!Y10</f>
        <v>0</v>
      </c>
      <c r="AA10">
        <f>セットアップレポート!Z10</f>
        <v>0</v>
      </c>
      <c r="AB10" t="str">
        <f>セットアップレポート!AA10</f>
        <v>NONE</v>
      </c>
      <c r="AC10">
        <f>セットアップレポート!AB10</f>
        <v>0</v>
      </c>
      <c r="AD10">
        <f>セットアップレポート!AC10</f>
        <v>0</v>
      </c>
      <c r="AE10">
        <f>セットアップレポート!AD10</f>
        <v>0</v>
      </c>
      <c r="AF10">
        <f>セットアップレポート!AE10</f>
        <v>0</v>
      </c>
      <c r="AG10">
        <f>セットアップレポート!AF10</f>
        <v>0</v>
      </c>
      <c r="AH10">
        <f>セットアップレポート!AG10</f>
        <v>0</v>
      </c>
    </row>
    <row r="11" spans="1:34" x14ac:dyDescent="0.45">
      <c r="A11" t="str">
        <f t="shared" si="0"/>
        <v>L2-NPM07210109000070668</v>
      </c>
      <c r="B11" t="str">
        <f>セットアップレポート!A11</f>
        <v>Line-2</v>
      </c>
      <c r="C11" t="str">
        <f>セットアップレポート!B11</f>
        <v>L2-NPM07</v>
      </c>
      <c r="D11" t="str">
        <f>セットアップレポート!C11</f>
        <v>Zone-2-NPMW-7</v>
      </c>
      <c r="E11">
        <f>セットアップレポート!D11</f>
        <v>1</v>
      </c>
      <c r="F11">
        <f>セットアップレポート!E11</f>
        <v>1</v>
      </c>
      <c r="G11">
        <f>セットアップレポート!F11</f>
        <v>21010</v>
      </c>
      <c r="H11">
        <f>セットアップレポート!G11</f>
        <v>10</v>
      </c>
      <c r="I11">
        <f>セットアップレポート!H11</f>
        <v>0</v>
      </c>
      <c r="J11" t="str">
        <f>セットアップレポート!I11</f>
        <v>9000070668 100075</v>
      </c>
      <c r="K11">
        <f>セットアップレポート!J11</f>
        <v>9000070668</v>
      </c>
      <c r="L11">
        <f>セットアップレポート!K11</f>
        <v>0</v>
      </c>
      <c r="M11">
        <f>セットアップレポート!L11</f>
        <v>0</v>
      </c>
      <c r="N11">
        <f>セットアップレポート!M11</f>
        <v>0</v>
      </c>
      <c r="O11">
        <f>セットアップレポート!N11</f>
        <v>0</v>
      </c>
      <c r="P11" t="str">
        <f>セットアップレポート!O11</f>
        <v>FA0299510001013</v>
      </c>
      <c r="Q11">
        <f>セットアップレポート!P11</f>
        <v>48</v>
      </c>
      <c r="R11">
        <f>セットアップレポート!Q11</f>
        <v>45946.849756944444</v>
      </c>
      <c r="S11" t="str">
        <f>セットアップレポート!R11</f>
        <v>kumagai tuneo</v>
      </c>
      <c r="T11">
        <f>セットアップレポート!S11</f>
        <v>0</v>
      </c>
      <c r="U11">
        <f>セットアップレポート!T11</f>
        <v>0</v>
      </c>
      <c r="V11">
        <f>セットアップレポート!U11</f>
        <v>0</v>
      </c>
      <c r="W11">
        <f>セットアップレポート!V11</f>
        <v>0</v>
      </c>
      <c r="X11">
        <f>セットアップレポート!W11</f>
        <v>0</v>
      </c>
      <c r="Y11">
        <f>セットアップレポート!X11</f>
        <v>0</v>
      </c>
      <c r="Z11">
        <f>セットアップレポート!Y11</f>
        <v>0</v>
      </c>
      <c r="AA11">
        <f>セットアップレポート!Z11</f>
        <v>0</v>
      </c>
      <c r="AB11" t="str">
        <f>セットアップレポート!AA11</f>
        <v>NONE</v>
      </c>
      <c r="AC11">
        <f>セットアップレポート!AB11</f>
        <v>0</v>
      </c>
      <c r="AD11">
        <f>セットアップレポート!AC11</f>
        <v>0</v>
      </c>
      <c r="AE11">
        <f>セットアップレポート!AD11</f>
        <v>0</v>
      </c>
      <c r="AF11">
        <f>セットアップレポート!AE11</f>
        <v>0</v>
      </c>
      <c r="AG11">
        <f>セットアップレポート!AF11</f>
        <v>0</v>
      </c>
      <c r="AH11">
        <f>セットアップレポート!AG11</f>
        <v>0</v>
      </c>
    </row>
    <row r="12" spans="1:34" x14ac:dyDescent="0.45">
      <c r="A12" t="str">
        <f t="shared" si="0"/>
        <v>L2-NPM07210119000063366</v>
      </c>
      <c r="B12" t="str">
        <f>セットアップレポート!A12</f>
        <v>Line-2</v>
      </c>
      <c r="C12" t="str">
        <f>セットアップレポート!B12</f>
        <v>L2-NPM07</v>
      </c>
      <c r="D12" t="str">
        <f>セットアップレポート!C12</f>
        <v>Zone-2-NPMW-7</v>
      </c>
      <c r="E12">
        <f>セットアップレポート!D12</f>
        <v>1</v>
      </c>
      <c r="F12">
        <f>セットアップレポート!E12</f>
        <v>1</v>
      </c>
      <c r="G12">
        <f>セットアップレポート!F12</f>
        <v>21011</v>
      </c>
      <c r="H12">
        <f>セットアップレポート!G12</f>
        <v>11</v>
      </c>
      <c r="I12">
        <f>セットアップレポート!H12</f>
        <v>0</v>
      </c>
      <c r="J12" t="str">
        <f>セットアップレポート!I12</f>
        <v>9000063366 100085</v>
      </c>
      <c r="K12">
        <f>セットアップレポート!J12</f>
        <v>9000063366</v>
      </c>
      <c r="L12">
        <f>セットアップレポート!K12</f>
        <v>0</v>
      </c>
      <c r="M12">
        <f>セットアップレポート!L12</f>
        <v>0</v>
      </c>
      <c r="N12">
        <f>セットアップレポート!M12</f>
        <v>0</v>
      </c>
      <c r="O12">
        <f>セットアップレポート!N12</f>
        <v>0</v>
      </c>
      <c r="P12" t="str">
        <f>セットアップレポート!O12</f>
        <v>FA0299511001013</v>
      </c>
      <c r="Q12">
        <f>セットアップレポート!P12</f>
        <v>48</v>
      </c>
      <c r="R12">
        <f>セットアップレポート!Q12</f>
        <v>45946.849849537037</v>
      </c>
      <c r="S12" t="str">
        <f>セットアップレポート!R12</f>
        <v>kumagai tuneo</v>
      </c>
      <c r="T12">
        <f>セットアップレポート!S12</f>
        <v>0</v>
      </c>
      <c r="U12">
        <f>セットアップレポート!T12</f>
        <v>0</v>
      </c>
      <c r="V12">
        <f>セットアップレポート!U12</f>
        <v>0</v>
      </c>
      <c r="W12">
        <f>セットアップレポート!V12</f>
        <v>0</v>
      </c>
      <c r="X12">
        <f>セットアップレポート!W12</f>
        <v>0</v>
      </c>
      <c r="Y12">
        <f>セットアップレポート!X12</f>
        <v>0</v>
      </c>
      <c r="Z12">
        <f>セットアップレポート!Y12</f>
        <v>0</v>
      </c>
      <c r="AA12">
        <f>セットアップレポート!Z12</f>
        <v>0</v>
      </c>
      <c r="AB12" t="str">
        <f>セットアップレポート!AA12</f>
        <v>NONE</v>
      </c>
      <c r="AC12">
        <f>セットアップレポート!AB12</f>
        <v>0</v>
      </c>
      <c r="AD12">
        <f>セットアップレポート!AC12</f>
        <v>0</v>
      </c>
      <c r="AE12">
        <f>セットアップレポート!AD12</f>
        <v>0</v>
      </c>
      <c r="AF12">
        <f>セットアップレポート!AE12</f>
        <v>0</v>
      </c>
      <c r="AG12">
        <f>セットアップレポート!AF12</f>
        <v>0</v>
      </c>
      <c r="AH12">
        <f>セットアップレポート!AG12</f>
        <v>0</v>
      </c>
    </row>
    <row r="13" spans="1:34" x14ac:dyDescent="0.45">
      <c r="A13" t="str">
        <f t="shared" si="0"/>
        <v>L2-NPM07210129000071849</v>
      </c>
      <c r="B13" t="str">
        <f>セットアップレポート!A13</f>
        <v>Line-2</v>
      </c>
      <c r="C13" t="str">
        <f>セットアップレポート!B13</f>
        <v>L2-NPM07</v>
      </c>
      <c r="D13" t="str">
        <f>セットアップレポート!C13</f>
        <v>Zone-2-NPMW-7</v>
      </c>
      <c r="E13">
        <f>セットアップレポート!D13</f>
        <v>1</v>
      </c>
      <c r="F13">
        <f>セットアップレポート!E13</f>
        <v>1</v>
      </c>
      <c r="G13">
        <f>セットアップレポート!F13</f>
        <v>21012</v>
      </c>
      <c r="H13">
        <f>セットアップレポート!G13</f>
        <v>12</v>
      </c>
      <c r="I13">
        <f>セットアップレポート!H13</f>
        <v>0</v>
      </c>
      <c r="J13" t="str">
        <f>セットアップレポート!I13</f>
        <v>9000071849 100014</v>
      </c>
      <c r="K13">
        <f>セットアップレポート!J13</f>
        <v>9000071849</v>
      </c>
      <c r="L13">
        <f>セットアップレポート!K13</f>
        <v>0</v>
      </c>
      <c r="M13">
        <f>セットアップレポート!L13</f>
        <v>0</v>
      </c>
      <c r="N13">
        <f>セットアップレポート!M13</f>
        <v>0</v>
      </c>
      <c r="O13">
        <f>セットアップレポート!N13</f>
        <v>0</v>
      </c>
      <c r="P13" t="str">
        <f>セットアップレポート!O13</f>
        <v>FA0299512001013</v>
      </c>
      <c r="Q13">
        <f>セットアップレポート!P13</f>
        <v>48</v>
      </c>
      <c r="R13">
        <f>セットアップレポート!Q13</f>
        <v>45946.849930555552</v>
      </c>
      <c r="S13" t="str">
        <f>セットアップレポート!R13</f>
        <v>kumagai tuneo</v>
      </c>
      <c r="T13">
        <f>セットアップレポート!S13</f>
        <v>0</v>
      </c>
      <c r="U13">
        <f>セットアップレポート!T13</f>
        <v>0</v>
      </c>
      <c r="V13">
        <f>セットアップレポート!U13</f>
        <v>0</v>
      </c>
      <c r="W13">
        <f>セットアップレポート!V13</f>
        <v>0</v>
      </c>
      <c r="X13">
        <f>セットアップレポート!W13</f>
        <v>0</v>
      </c>
      <c r="Y13">
        <f>セットアップレポート!X13</f>
        <v>0</v>
      </c>
      <c r="Z13">
        <f>セットアップレポート!Y13</f>
        <v>0</v>
      </c>
      <c r="AA13">
        <f>セットアップレポート!Z13</f>
        <v>0</v>
      </c>
      <c r="AB13" t="str">
        <f>セットアップレポート!AA13</f>
        <v>NONE</v>
      </c>
      <c r="AC13">
        <f>セットアップレポート!AB13</f>
        <v>0</v>
      </c>
      <c r="AD13">
        <f>セットアップレポート!AC13</f>
        <v>0</v>
      </c>
      <c r="AE13">
        <f>セットアップレポート!AD13</f>
        <v>0</v>
      </c>
      <c r="AF13">
        <f>セットアップレポート!AE13</f>
        <v>0</v>
      </c>
      <c r="AG13">
        <f>セットアップレポート!AF13</f>
        <v>0</v>
      </c>
      <c r="AH13">
        <f>セットアップレポート!AG13</f>
        <v>0</v>
      </c>
    </row>
    <row r="14" spans="1:34" x14ac:dyDescent="0.45">
      <c r="A14" t="str">
        <f t="shared" si="0"/>
        <v>L2-NPM07210139000066452</v>
      </c>
      <c r="B14" t="str">
        <f>セットアップレポート!A14</f>
        <v>Line-2</v>
      </c>
      <c r="C14" t="str">
        <f>セットアップレポート!B14</f>
        <v>L2-NPM07</v>
      </c>
      <c r="D14" t="str">
        <f>セットアップレポート!C14</f>
        <v>Zone-2-NPMW-7</v>
      </c>
      <c r="E14">
        <f>セットアップレポート!D14</f>
        <v>1</v>
      </c>
      <c r="F14">
        <f>セットアップレポート!E14</f>
        <v>1</v>
      </c>
      <c r="G14">
        <f>セットアップレポート!F14</f>
        <v>21013</v>
      </c>
      <c r="H14">
        <f>セットアップレポート!G14</f>
        <v>13</v>
      </c>
      <c r="I14">
        <f>セットアップレポート!H14</f>
        <v>0</v>
      </c>
      <c r="J14" t="str">
        <f>セットアップレポート!I14</f>
        <v>9000066452 100139</v>
      </c>
      <c r="K14">
        <f>セットアップレポート!J14</f>
        <v>9000066452</v>
      </c>
      <c r="L14">
        <f>セットアップレポート!K14</f>
        <v>0</v>
      </c>
      <c r="M14">
        <f>セットアップレポート!L14</f>
        <v>0</v>
      </c>
      <c r="N14">
        <f>セットアップレポート!M14</f>
        <v>0</v>
      </c>
      <c r="O14">
        <f>セットアップレポート!N14</f>
        <v>0</v>
      </c>
      <c r="P14" t="str">
        <f>セットアップレポート!O14</f>
        <v>FA0299513001013</v>
      </c>
      <c r="Q14">
        <f>セットアップレポート!P14</f>
        <v>48</v>
      </c>
      <c r="R14">
        <f>セットアップレポート!Q14</f>
        <v>45936.666608796295</v>
      </c>
      <c r="S14" t="str">
        <f>セットアップレポート!R14</f>
        <v>kumagai tuneo</v>
      </c>
      <c r="T14">
        <f>セットアップレポート!S14</f>
        <v>0</v>
      </c>
      <c r="U14">
        <f>セットアップレポート!T14</f>
        <v>0</v>
      </c>
      <c r="V14">
        <f>セットアップレポート!U14</f>
        <v>0</v>
      </c>
      <c r="W14">
        <f>セットアップレポート!V14</f>
        <v>0</v>
      </c>
      <c r="X14">
        <f>セットアップレポート!W14</f>
        <v>0</v>
      </c>
      <c r="Y14">
        <f>セットアップレポート!X14</f>
        <v>0</v>
      </c>
      <c r="Z14">
        <f>セットアップレポート!Y14</f>
        <v>0</v>
      </c>
      <c r="AA14">
        <f>セットアップレポート!Z14</f>
        <v>0</v>
      </c>
      <c r="AB14" t="str">
        <f>セットアップレポート!AA14</f>
        <v>NONE</v>
      </c>
      <c r="AC14">
        <f>セットアップレポート!AB14</f>
        <v>0</v>
      </c>
      <c r="AD14">
        <f>セットアップレポート!AC14</f>
        <v>0</v>
      </c>
      <c r="AE14">
        <f>セットアップレポート!AD14</f>
        <v>0</v>
      </c>
      <c r="AF14">
        <f>セットアップレポート!AE14</f>
        <v>0</v>
      </c>
      <c r="AG14">
        <f>セットアップレポート!AF14</f>
        <v>0</v>
      </c>
      <c r="AH14">
        <f>セットアップレポート!AG14</f>
        <v>0</v>
      </c>
    </row>
    <row r="15" spans="1:34" x14ac:dyDescent="0.45">
      <c r="A15" t="str">
        <f t="shared" si="0"/>
        <v>L2-NPM07210149000064954</v>
      </c>
      <c r="B15" t="str">
        <f>セットアップレポート!A15</f>
        <v>Line-2</v>
      </c>
      <c r="C15" t="str">
        <f>セットアップレポート!B15</f>
        <v>L2-NPM07</v>
      </c>
      <c r="D15" t="str">
        <f>セットアップレポート!C15</f>
        <v>Zone-2-NPMW-7</v>
      </c>
      <c r="E15">
        <f>セットアップレポート!D15</f>
        <v>1</v>
      </c>
      <c r="F15">
        <f>セットアップレポート!E15</f>
        <v>1</v>
      </c>
      <c r="G15">
        <f>セットアップレポート!F15</f>
        <v>21014</v>
      </c>
      <c r="H15">
        <f>セットアップレポート!G15</f>
        <v>14</v>
      </c>
      <c r="I15">
        <f>セットアップレポート!H15</f>
        <v>0</v>
      </c>
      <c r="J15" t="str">
        <f>セットアップレポート!I15</f>
        <v>9000064954 100161</v>
      </c>
      <c r="K15">
        <f>セットアップレポート!J15</f>
        <v>9000064954</v>
      </c>
      <c r="L15">
        <f>セットアップレポート!K15</f>
        <v>0</v>
      </c>
      <c r="M15">
        <f>セットアップレポート!L15</f>
        <v>0</v>
      </c>
      <c r="N15">
        <f>セットアップレポート!M15</f>
        <v>0</v>
      </c>
      <c r="O15">
        <f>セットアップレポート!N15</f>
        <v>0</v>
      </c>
      <c r="P15" t="str">
        <f>セットアップレポート!O15</f>
        <v>FA0299514001013</v>
      </c>
      <c r="Q15">
        <f>セットアップレポート!P15</f>
        <v>48</v>
      </c>
      <c r="R15">
        <f>セットアップレポート!Q15</f>
        <v>45946.850034722222</v>
      </c>
      <c r="S15" t="str">
        <f>セットアップレポート!R15</f>
        <v>kumagai tuneo</v>
      </c>
      <c r="T15">
        <f>セットアップレポート!S15</f>
        <v>0</v>
      </c>
      <c r="U15">
        <f>セットアップレポート!T15</f>
        <v>0</v>
      </c>
      <c r="V15">
        <f>セットアップレポート!U15</f>
        <v>0</v>
      </c>
      <c r="W15">
        <f>セットアップレポート!V15</f>
        <v>0</v>
      </c>
      <c r="X15">
        <f>セットアップレポート!W15</f>
        <v>0</v>
      </c>
      <c r="Y15">
        <f>セットアップレポート!X15</f>
        <v>0</v>
      </c>
      <c r="Z15">
        <f>セットアップレポート!Y15</f>
        <v>0</v>
      </c>
      <c r="AA15">
        <f>セットアップレポート!Z15</f>
        <v>0</v>
      </c>
      <c r="AB15" t="str">
        <f>セットアップレポート!AA15</f>
        <v>NONE</v>
      </c>
      <c r="AC15">
        <f>セットアップレポート!AB15</f>
        <v>0</v>
      </c>
      <c r="AD15">
        <f>セットアップレポート!AC15</f>
        <v>0</v>
      </c>
      <c r="AE15">
        <f>セットアップレポート!AD15</f>
        <v>0</v>
      </c>
      <c r="AF15">
        <f>セットアップレポート!AE15</f>
        <v>0</v>
      </c>
      <c r="AG15">
        <f>セットアップレポート!AF15</f>
        <v>0</v>
      </c>
      <c r="AH15">
        <f>セットアップレポート!AG15</f>
        <v>0</v>
      </c>
    </row>
    <row r="16" spans="1:34" x14ac:dyDescent="0.45">
      <c r="A16" t="str">
        <f t="shared" si="0"/>
        <v>L2-NPM07210159000066873</v>
      </c>
      <c r="B16" t="str">
        <f>セットアップレポート!A16</f>
        <v>Line-2</v>
      </c>
      <c r="C16" t="str">
        <f>セットアップレポート!B16</f>
        <v>L2-NPM07</v>
      </c>
      <c r="D16" t="str">
        <f>セットアップレポート!C16</f>
        <v>Zone-2-NPMW-7</v>
      </c>
      <c r="E16">
        <f>セットアップレポート!D16</f>
        <v>1</v>
      </c>
      <c r="F16">
        <f>セットアップレポート!E16</f>
        <v>1</v>
      </c>
      <c r="G16">
        <f>セットアップレポート!F16</f>
        <v>21015</v>
      </c>
      <c r="H16">
        <f>セットアップレポート!G16</f>
        <v>15</v>
      </c>
      <c r="I16">
        <f>セットアップレポート!H16</f>
        <v>0</v>
      </c>
      <c r="J16" t="str">
        <f>セットアップレポート!I16</f>
        <v>9000066873 100347</v>
      </c>
      <c r="K16">
        <f>セットアップレポート!J16</f>
        <v>9000066873</v>
      </c>
      <c r="L16">
        <f>セットアップレポート!K16</f>
        <v>0</v>
      </c>
      <c r="M16">
        <f>セットアップレポート!L16</f>
        <v>0</v>
      </c>
      <c r="N16">
        <f>セットアップレポート!M16</f>
        <v>0</v>
      </c>
      <c r="O16">
        <f>セットアップレポート!N16</f>
        <v>0</v>
      </c>
      <c r="P16" t="str">
        <f>セットアップレポート!O16</f>
        <v>FA0299515001013</v>
      </c>
      <c r="Q16">
        <f>セットアップレポート!P16</f>
        <v>24</v>
      </c>
      <c r="R16">
        <f>セットアップレポート!Q16</f>
        <v>45946.850127314814</v>
      </c>
      <c r="S16" t="str">
        <f>セットアップレポート!R16</f>
        <v>kumagai tuneo</v>
      </c>
      <c r="T16">
        <f>セットアップレポート!S16</f>
        <v>0</v>
      </c>
      <c r="U16">
        <f>セットアップレポート!T16</f>
        <v>0</v>
      </c>
      <c r="V16">
        <f>セットアップレポート!U16</f>
        <v>0</v>
      </c>
      <c r="W16">
        <f>セットアップレポート!V16</f>
        <v>0</v>
      </c>
      <c r="X16">
        <f>セットアップレポート!W16</f>
        <v>0</v>
      </c>
      <c r="Y16">
        <f>セットアップレポート!X16</f>
        <v>0</v>
      </c>
      <c r="Z16">
        <f>セットアップレポート!Y16</f>
        <v>0</v>
      </c>
      <c r="AA16">
        <f>セットアップレポート!Z16</f>
        <v>0</v>
      </c>
      <c r="AB16" t="str">
        <f>セットアップレポート!AA16</f>
        <v>NONE</v>
      </c>
      <c r="AC16">
        <f>セットアップレポート!AB16</f>
        <v>0</v>
      </c>
      <c r="AD16">
        <f>セットアップレポート!AC16</f>
        <v>0</v>
      </c>
      <c r="AE16">
        <f>セットアップレポート!AD16</f>
        <v>0</v>
      </c>
      <c r="AF16">
        <f>セットアップレポート!AE16</f>
        <v>0</v>
      </c>
      <c r="AG16">
        <f>セットアップレポート!AF16</f>
        <v>0</v>
      </c>
      <c r="AH16">
        <f>セットアップレポート!AG16</f>
        <v>0</v>
      </c>
    </row>
    <row r="17" spans="1:34" x14ac:dyDescent="0.45">
      <c r="A17" t="str">
        <f t="shared" si="0"/>
        <v>L2-NPM07210169000069285</v>
      </c>
      <c r="B17" t="str">
        <f>セットアップレポート!A17</f>
        <v>Line-2</v>
      </c>
      <c r="C17" t="str">
        <f>セットアップレポート!B17</f>
        <v>L2-NPM07</v>
      </c>
      <c r="D17" t="str">
        <f>セットアップレポート!C17</f>
        <v>Zone-2-NPMW-7</v>
      </c>
      <c r="E17">
        <f>セットアップレポート!D17</f>
        <v>1</v>
      </c>
      <c r="F17">
        <f>セットアップレポート!E17</f>
        <v>1</v>
      </c>
      <c r="G17">
        <f>セットアップレポート!F17</f>
        <v>21016</v>
      </c>
      <c r="H17">
        <f>セットアップレポート!G17</f>
        <v>16</v>
      </c>
      <c r="I17">
        <f>セットアップレポート!H17</f>
        <v>0</v>
      </c>
      <c r="J17" t="str">
        <f>セットアップレポート!I17</f>
        <v>9000069285 100014</v>
      </c>
      <c r="K17">
        <f>セットアップレポート!J17</f>
        <v>9000069285</v>
      </c>
      <c r="L17">
        <f>セットアップレポート!K17</f>
        <v>0</v>
      </c>
      <c r="M17">
        <f>セットアップレポート!L17</f>
        <v>0</v>
      </c>
      <c r="N17">
        <f>セットアップレポート!M17</f>
        <v>0</v>
      </c>
      <c r="O17">
        <f>セットアップレポート!N17</f>
        <v>0</v>
      </c>
      <c r="P17" t="str">
        <f>セットアップレポート!O17</f>
        <v>FA0299516001013</v>
      </c>
      <c r="Q17">
        <f>セットアップレポート!P17</f>
        <v>129</v>
      </c>
      <c r="R17">
        <f>セットアップレポート!Q17</f>
        <v>45946.85019675926</v>
      </c>
      <c r="S17" t="str">
        <f>セットアップレポート!R17</f>
        <v>kumagai tuneo</v>
      </c>
      <c r="T17">
        <f>セットアップレポート!S17</f>
        <v>0</v>
      </c>
      <c r="U17">
        <f>セットアップレポート!T17</f>
        <v>0</v>
      </c>
      <c r="V17">
        <f>セットアップレポート!U17</f>
        <v>0</v>
      </c>
      <c r="W17">
        <f>セットアップレポート!V17</f>
        <v>0</v>
      </c>
      <c r="X17">
        <f>セットアップレポート!W17</f>
        <v>0</v>
      </c>
      <c r="Y17">
        <f>セットアップレポート!X17</f>
        <v>0</v>
      </c>
      <c r="Z17">
        <f>セットアップレポート!Y17</f>
        <v>0</v>
      </c>
      <c r="AA17">
        <f>セットアップレポート!Z17</f>
        <v>0</v>
      </c>
      <c r="AB17" t="str">
        <f>セットアップレポート!AA17</f>
        <v>NONE</v>
      </c>
      <c r="AC17">
        <f>セットアップレポート!AB17</f>
        <v>0</v>
      </c>
      <c r="AD17">
        <f>セットアップレポート!AC17</f>
        <v>0</v>
      </c>
      <c r="AE17">
        <f>セットアップレポート!AD17</f>
        <v>0</v>
      </c>
      <c r="AF17">
        <f>セットアップレポート!AE17</f>
        <v>0</v>
      </c>
      <c r="AG17">
        <f>セットアップレポート!AF17</f>
        <v>0</v>
      </c>
      <c r="AH17">
        <f>セットアップレポート!AG17</f>
        <v>0</v>
      </c>
    </row>
    <row r="18" spans="1:34" x14ac:dyDescent="0.45">
      <c r="A18" t="str">
        <f t="shared" si="0"/>
        <v>L2-NPM07210179000030218</v>
      </c>
      <c r="B18" t="str">
        <f>セットアップレポート!A18</f>
        <v>Line-2</v>
      </c>
      <c r="C18" t="str">
        <f>セットアップレポート!B18</f>
        <v>L2-NPM07</v>
      </c>
      <c r="D18" t="str">
        <f>セットアップレポート!C18</f>
        <v>Zone-2-NPMW-7</v>
      </c>
      <c r="E18">
        <f>セットアップレポート!D18</f>
        <v>1</v>
      </c>
      <c r="F18">
        <f>セットアップレポート!E18</f>
        <v>1</v>
      </c>
      <c r="G18">
        <f>セットアップレポート!F18</f>
        <v>21017</v>
      </c>
      <c r="H18">
        <f>セットアップレポート!G18</f>
        <v>17</v>
      </c>
      <c r="I18">
        <f>セットアップレポート!H18</f>
        <v>0</v>
      </c>
      <c r="J18" t="str">
        <f>セットアップレポート!I18</f>
        <v>9000030218 100076</v>
      </c>
      <c r="K18">
        <f>セットアップレポート!J18</f>
        <v>9000030218</v>
      </c>
      <c r="L18">
        <f>セットアップレポート!K18</f>
        <v>0</v>
      </c>
      <c r="M18">
        <f>セットアップレポート!L18</f>
        <v>0</v>
      </c>
      <c r="N18">
        <f>セットアップレポート!M18</f>
        <v>0</v>
      </c>
      <c r="O18">
        <f>セットアップレポート!N18</f>
        <v>0</v>
      </c>
      <c r="P18" t="str">
        <f>セットアップレポート!O18</f>
        <v>FA0299517001013</v>
      </c>
      <c r="Q18">
        <f>セットアップレポート!P18</f>
        <v>192</v>
      </c>
      <c r="R18">
        <f>セットアップレポート!Q18</f>
        <v>45936.666817129626</v>
      </c>
      <c r="S18" t="str">
        <f>セットアップレポート!R18</f>
        <v>kumagai tuneo</v>
      </c>
      <c r="T18">
        <f>セットアップレポート!S18</f>
        <v>0</v>
      </c>
      <c r="U18">
        <f>セットアップレポート!T18</f>
        <v>0</v>
      </c>
      <c r="V18">
        <f>セットアップレポート!U18</f>
        <v>0</v>
      </c>
      <c r="W18">
        <f>セットアップレポート!V18</f>
        <v>0</v>
      </c>
      <c r="X18">
        <f>セットアップレポート!W18</f>
        <v>0</v>
      </c>
      <c r="Y18">
        <f>セットアップレポート!X18</f>
        <v>0</v>
      </c>
      <c r="Z18">
        <f>セットアップレポート!Y18</f>
        <v>0</v>
      </c>
      <c r="AA18">
        <f>セットアップレポート!Z18</f>
        <v>0</v>
      </c>
      <c r="AB18" t="str">
        <f>セットアップレポート!AA18</f>
        <v>NONE</v>
      </c>
      <c r="AC18">
        <f>セットアップレポート!AB18</f>
        <v>0</v>
      </c>
      <c r="AD18">
        <f>セットアップレポート!AC18</f>
        <v>0</v>
      </c>
      <c r="AE18">
        <f>セットアップレポート!AD18</f>
        <v>0</v>
      </c>
      <c r="AF18">
        <f>セットアップレポート!AE18</f>
        <v>0</v>
      </c>
      <c r="AG18">
        <f>セットアップレポート!AF18</f>
        <v>0</v>
      </c>
      <c r="AH18">
        <f>セットアップレポート!AG18</f>
        <v>0</v>
      </c>
    </row>
    <row r="19" spans="1:34" x14ac:dyDescent="0.45">
      <c r="A19" t="str">
        <f t="shared" si="0"/>
        <v>L2-NPM07210189000030218</v>
      </c>
      <c r="B19" t="str">
        <f>セットアップレポート!A19</f>
        <v>Line-2</v>
      </c>
      <c r="C19" t="str">
        <f>セットアップレポート!B19</f>
        <v>L2-NPM07</v>
      </c>
      <c r="D19" t="str">
        <f>セットアップレポート!C19</f>
        <v>Zone-2-NPMW-7</v>
      </c>
      <c r="E19">
        <f>セットアップレポート!D19</f>
        <v>1</v>
      </c>
      <c r="F19">
        <f>セットアップレポート!E19</f>
        <v>1</v>
      </c>
      <c r="G19">
        <f>セットアップレポート!F19</f>
        <v>21018</v>
      </c>
      <c r="H19">
        <f>セットアップレポート!G19</f>
        <v>18</v>
      </c>
      <c r="I19">
        <f>セットアップレポート!H19</f>
        <v>0</v>
      </c>
      <c r="J19" t="str">
        <f>セットアップレポート!I19</f>
        <v>9000030218 100097</v>
      </c>
      <c r="K19">
        <f>セットアップレポート!J19</f>
        <v>9000030218</v>
      </c>
      <c r="L19">
        <f>セットアップレポート!K19</f>
        <v>0</v>
      </c>
      <c r="M19">
        <f>セットアップレポート!L19</f>
        <v>0</v>
      </c>
      <c r="N19">
        <f>セットアップレポート!M19</f>
        <v>0</v>
      </c>
      <c r="O19">
        <f>セットアップレポート!N19</f>
        <v>0</v>
      </c>
      <c r="P19" t="str">
        <f>セットアップレポート!O19</f>
        <v>FA0299518001013</v>
      </c>
      <c r="Q19">
        <f>セットアップレポート!P19</f>
        <v>48</v>
      </c>
      <c r="R19">
        <f>セットアップレポート!Q19</f>
        <v>45946.850266203706</v>
      </c>
      <c r="S19" t="str">
        <f>セットアップレポート!R19</f>
        <v>kumagai tuneo</v>
      </c>
      <c r="T19">
        <f>セットアップレポート!S19</f>
        <v>0</v>
      </c>
      <c r="U19">
        <f>セットアップレポート!T19</f>
        <v>0</v>
      </c>
      <c r="V19">
        <f>セットアップレポート!U19</f>
        <v>0</v>
      </c>
      <c r="W19">
        <f>セットアップレポート!V19</f>
        <v>0</v>
      </c>
      <c r="X19">
        <f>セットアップレポート!W19</f>
        <v>0</v>
      </c>
      <c r="Y19">
        <f>セットアップレポート!X19</f>
        <v>0</v>
      </c>
      <c r="Z19">
        <f>セットアップレポート!Y19</f>
        <v>0</v>
      </c>
      <c r="AA19">
        <f>セットアップレポート!Z19</f>
        <v>0</v>
      </c>
      <c r="AB19" t="str">
        <f>セットアップレポート!AA19</f>
        <v>NONE</v>
      </c>
      <c r="AC19">
        <f>セットアップレポート!AB19</f>
        <v>0</v>
      </c>
      <c r="AD19">
        <f>セットアップレポート!AC19</f>
        <v>0</v>
      </c>
      <c r="AE19">
        <f>セットアップレポート!AD19</f>
        <v>0</v>
      </c>
      <c r="AF19">
        <f>セットアップレポート!AE19</f>
        <v>0</v>
      </c>
      <c r="AG19">
        <f>セットアップレポート!AF19</f>
        <v>0</v>
      </c>
      <c r="AH19">
        <f>セットアップレポート!AG19</f>
        <v>0</v>
      </c>
    </row>
    <row r="20" spans="1:34" x14ac:dyDescent="0.45">
      <c r="A20" t="str">
        <f t="shared" si="0"/>
        <v>L2-NPM07210199000070667</v>
      </c>
      <c r="B20" t="str">
        <f>セットアップレポート!A20</f>
        <v>Line-2</v>
      </c>
      <c r="C20" t="str">
        <f>セットアップレポート!B20</f>
        <v>L2-NPM07</v>
      </c>
      <c r="D20" t="str">
        <f>セットアップレポート!C20</f>
        <v>Zone-2-NPMW-7</v>
      </c>
      <c r="E20">
        <f>セットアップレポート!D20</f>
        <v>1</v>
      </c>
      <c r="F20">
        <f>セットアップレポート!E20</f>
        <v>1</v>
      </c>
      <c r="G20">
        <f>セットアップレポート!F20</f>
        <v>21019</v>
      </c>
      <c r="H20">
        <f>セットアップレポート!G20</f>
        <v>19</v>
      </c>
      <c r="I20">
        <f>セットアップレポート!H20</f>
        <v>0</v>
      </c>
      <c r="J20" t="str">
        <f>セットアップレポート!I20</f>
        <v>9000070667 100042</v>
      </c>
      <c r="K20">
        <f>セットアップレポート!J20</f>
        <v>9000070667</v>
      </c>
      <c r="L20">
        <f>セットアップレポート!K20</f>
        <v>0</v>
      </c>
      <c r="M20">
        <f>セットアップレポート!L20</f>
        <v>0</v>
      </c>
      <c r="N20">
        <f>セットアップレポート!M20</f>
        <v>0</v>
      </c>
      <c r="O20">
        <f>セットアップレポート!N20</f>
        <v>0</v>
      </c>
      <c r="P20" t="str">
        <f>セットアップレポート!O20</f>
        <v>FA0299519001013</v>
      </c>
      <c r="Q20">
        <f>セットアップレポート!P20</f>
        <v>134</v>
      </c>
      <c r="R20">
        <f>セットアップレポート!Q20</f>
        <v>45946.850335648145</v>
      </c>
      <c r="S20" t="str">
        <f>セットアップレポート!R20</f>
        <v>kumagai tuneo</v>
      </c>
      <c r="T20">
        <f>セットアップレポート!S20</f>
        <v>0</v>
      </c>
      <c r="U20">
        <f>セットアップレポート!T20</f>
        <v>0</v>
      </c>
      <c r="V20">
        <f>セットアップレポート!U20</f>
        <v>0</v>
      </c>
      <c r="W20">
        <f>セットアップレポート!V20</f>
        <v>0</v>
      </c>
      <c r="X20">
        <f>セットアップレポート!W20</f>
        <v>0</v>
      </c>
      <c r="Y20">
        <f>セットアップレポート!X20</f>
        <v>0</v>
      </c>
      <c r="Z20">
        <f>セットアップレポート!Y20</f>
        <v>0</v>
      </c>
      <c r="AA20">
        <f>セットアップレポート!Z20</f>
        <v>0</v>
      </c>
      <c r="AB20" t="str">
        <f>セットアップレポート!AA20</f>
        <v>NONE</v>
      </c>
      <c r="AC20">
        <f>セットアップレポート!AB20</f>
        <v>0</v>
      </c>
      <c r="AD20">
        <f>セットアップレポート!AC20</f>
        <v>0</v>
      </c>
      <c r="AE20">
        <f>セットアップレポート!AD20</f>
        <v>0</v>
      </c>
      <c r="AF20">
        <f>セットアップレポート!AE20</f>
        <v>0</v>
      </c>
      <c r="AG20">
        <f>セットアップレポート!AF20</f>
        <v>0</v>
      </c>
      <c r="AH20">
        <f>セットアップレポート!AG20</f>
        <v>0</v>
      </c>
    </row>
    <row r="21" spans="1:34" x14ac:dyDescent="0.45">
      <c r="A21" t="str">
        <f t="shared" si="0"/>
        <v>L2-NPM07210209000069285</v>
      </c>
      <c r="B21" t="str">
        <f>セットアップレポート!A21</f>
        <v>Line-2</v>
      </c>
      <c r="C21" t="str">
        <f>セットアップレポート!B21</f>
        <v>L2-NPM07</v>
      </c>
      <c r="D21" t="str">
        <f>セットアップレポート!C21</f>
        <v>Zone-2-NPMW-7</v>
      </c>
      <c r="E21">
        <f>セットアップレポート!D21</f>
        <v>1</v>
      </c>
      <c r="F21">
        <f>セットアップレポート!E21</f>
        <v>1</v>
      </c>
      <c r="G21">
        <f>セットアップレポート!F21</f>
        <v>21020</v>
      </c>
      <c r="H21">
        <f>セットアップレポート!G21</f>
        <v>20</v>
      </c>
      <c r="I21">
        <f>セットアップレポート!H21</f>
        <v>0</v>
      </c>
      <c r="J21" t="str">
        <f>セットアップレポート!I21</f>
        <v>9000069285 100100</v>
      </c>
      <c r="K21">
        <f>セットアップレポート!J21</f>
        <v>9000069285</v>
      </c>
      <c r="L21">
        <f>セットアップレポート!K21</f>
        <v>0</v>
      </c>
      <c r="M21">
        <f>セットアップレポート!L21</f>
        <v>0</v>
      </c>
      <c r="N21">
        <f>セットアップレポート!M21</f>
        <v>0</v>
      </c>
      <c r="O21">
        <f>セットアップレポート!N21</f>
        <v>0</v>
      </c>
      <c r="P21" t="str">
        <f>セットアップレポート!O21</f>
        <v>FA0299520001013</v>
      </c>
      <c r="Q21">
        <f>セットアップレポート!P21</f>
        <v>30</v>
      </c>
      <c r="R21">
        <f>セットアップレポート!Q21</f>
        <v>45946.850439814814</v>
      </c>
      <c r="S21" t="str">
        <f>セットアップレポート!R21</f>
        <v>kumagai tuneo</v>
      </c>
      <c r="T21">
        <f>セットアップレポート!S21</f>
        <v>0</v>
      </c>
      <c r="U21">
        <f>セットアップレポート!T21</f>
        <v>0</v>
      </c>
      <c r="V21">
        <f>セットアップレポート!U21</f>
        <v>0</v>
      </c>
      <c r="W21">
        <f>セットアップレポート!V21</f>
        <v>0</v>
      </c>
      <c r="X21">
        <f>セットアップレポート!W21</f>
        <v>0</v>
      </c>
      <c r="Y21">
        <f>セットアップレポート!X21</f>
        <v>0</v>
      </c>
      <c r="Z21">
        <f>セットアップレポート!Y21</f>
        <v>0</v>
      </c>
      <c r="AA21">
        <f>セットアップレポート!Z21</f>
        <v>0</v>
      </c>
      <c r="AB21" t="str">
        <f>セットアップレポート!AA21</f>
        <v>NONE</v>
      </c>
      <c r="AC21">
        <f>セットアップレポート!AB21</f>
        <v>0</v>
      </c>
      <c r="AD21">
        <f>セットアップレポート!AC21</f>
        <v>0</v>
      </c>
      <c r="AE21">
        <f>セットアップレポート!AD21</f>
        <v>0</v>
      </c>
      <c r="AF21">
        <f>セットアップレポート!AE21</f>
        <v>0</v>
      </c>
      <c r="AG21">
        <f>セットアップレポート!AF21</f>
        <v>0</v>
      </c>
      <c r="AH21">
        <f>セットアップレポート!AG21</f>
        <v>0</v>
      </c>
    </row>
    <row r="22" spans="1:34" x14ac:dyDescent="0.45">
      <c r="A22" t="str">
        <f t="shared" si="0"/>
        <v>L2-NPM07220019000071703</v>
      </c>
      <c r="B22" t="str">
        <f>セットアップレポート!A22</f>
        <v>Line-2</v>
      </c>
      <c r="C22" t="str">
        <f>セットアップレポート!B22</f>
        <v>L2-NPM07</v>
      </c>
      <c r="D22" t="str">
        <f>セットアップレポート!C22</f>
        <v>Zone-2-NPMW-7</v>
      </c>
      <c r="E22">
        <f>セットアップレポート!D22</f>
        <v>1</v>
      </c>
      <c r="F22">
        <f>セットアップレポート!E22</f>
        <v>1</v>
      </c>
      <c r="G22">
        <f>セットアップレポート!F22</f>
        <v>22001</v>
      </c>
      <c r="H22">
        <f>セットアップレポート!G22</f>
        <v>1</v>
      </c>
      <c r="I22">
        <f>セットアップレポート!H22</f>
        <v>0</v>
      </c>
      <c r="J22" t="str">
        <f>セットアップレポート!I22</f>
        <v>9000071703 100550</v>
      </c>
      <c r="K22">
        <f>セットアップレポート!J22</f>
        <v>9000071703</v>
      </c>
      <c r="L22">
        <f>セットアップレポート!K22</f>
        <v>0</v>
      </c>
      <c r="M22">
        <f>セットアップレポート!L22</f>
        <v>0</v>
      </c>
      <c r="N22">
        <f>セットアップレポート!M22</f>
        <v>0</v>
      </c>
      <c r="O22">
        <f>セットアップレポート!N22</f>
        <v>0</v>
      </c>
      <c r="P22" t="str">
        <f>セットアップレポート!O22</f>
        <v>FA0299521001013</v>
      </c>
      <c r="Q22">
        <f>セットアップレポート!P22</f>
        <v>36</v>
      </c>
      <c r="R22">
        <f>セットアップレポート!Q22</f>
        <v>45925.9997337963</v>
      </c>
      <c r="S22" t="str">
        <f>セットアップレポート!R22</f>
        <v>sakurai naoyuki</v>
      </c>
      <c r="T22">
        <f>セットアップレポート!S22</f>
        <v>0</v>
      </c>
      <c r="U22">
        <f>セットアップレポート!T22</f>
        <v>0</v>
      </c>
      <c r="V22">
        <f>セットアップレポート!U22</f>
        <v>0</v>
      </c>
      <c r="W22">
        <f>セットアップレポート!V22</f>
        <v>0</v>
      </c>
      <c r="X22">
        <f>セットアップレポート!W22</f>
        <v>0</v>
      </c>
      <c r="Y22">
        <f>セットアップレポート!X22</f>
        <v>0</v>
      </c>
      <c r="Z22">
        <f>セットアップレポート!Y22</f>
        <v>0</v>
      </c>
      <c r="AA22">
        <f>セットアップレポート!Z22</f>
        <v>0</v>
      </c>
      <c r="AB22" t="str">
        <f>セットアップレポート!AA22</f>
        <v>NONE</v>
      </c>
      <c r="AC22">
        <f>セットアップレポート!AB22</f>
        <v>0</v>
      </c>
      <c r="AD22">
        <f>セットアップレポート!AC22</f>
        <v>0</v>
      </c>
      <c r="AE22">
        <f>セットアップレポート!AD22</f>
        <v>0</v>
      </c>
      <c r="AF22">
        <f>セットアップレポート!AE22</f>
        <v>0</v>
      </c>
      <c r="AG22">
        <f>セットアップレポート!AF22</f>
        <v>0</v>
      </c>
      <c r="AH22">
        <f>セットアップレポート!AG22</f>
        <v>0</v>
      </c>
    </row>
    <row r="23" spans="1:34" x14ac:dyDescent="0.45">
      <c r="A23" t="str">
        <f>C23&amp;RIGHT(G23,5)&amp;K23</f>
        <v>L2-NPM07220029000071703</v>
      </c>
      <c r="B23" t="str">
        <f>セットアップレポート!A23</f>
        <v>Line-2</v>
      </c>
      <c r="C23" t="str">
        <f>セットアップレポート!B23</f>
        <v>L2-NPM07</v>
      </c>
      <c r="D23" t="str">
        <f>セットアップレポート!C23</f>
        <v>Zone-2-NPMW-7</v>
      </c>
      <c r="E23">
        <f>セットアップレポート!D23</f>
        <v>1</v>
      </c>
      <c r="F23">
        <f>セットアップレポート!E23</f>
        <v>1</v>
      </c>
      <c r="G23">
        <f>セットアップレポート!F23</f>
        <v>22002</v>
      </c>
      <c r="H23">
        <f>セットアップレポート!G23</f>
        <v>2</v>
      </c>
      <c r="I23">
        <f>セットアップレポート!H23</f>
        <v>0</v>
      </c>
      <c r="J23" t="str">
        <f>セットアップレポート!I23</f>
        <v>9000071703 100551</v>
      </c>
      <c r="K23">
        <f>セットアップレポート!J23</f>
        <v>9000071703</v>
      </c>
      <c r="L23">
        <f>セットアップレポート!K23</f>
        <v>0</v>
      </c>
      <c r="M23">
        <f>セットアップレポート!L23</f>
        <v>0</v>
      </c>
      <c r="N23">
        <f>セットアップレポート!M23</f>
        <v>0</v>
      </c>
      <c r="O23">
        <f>セットアップレポート!N23</f>
        <v>0</v>
      </c>
      <c r="P23" t="str">
        <f>セットアップレポート!O23</f>
        <v>FA0299522001013</v>
      </c>
      <c r="Q23">
        <f>セットアップレポート!P23</f>
        <v>36</v>
      </c>
      <c r="R23">
        <f>セットアップレポート!Q23</f>
        <v>45926.000069444446</v>
      </c>
      <c r="S23" t="str">
        <f>セットアップレポート!R23</f>
        <v>sakurai naoyuki</v>
      </c>
      <c r="T23">
        <f>セットアップレポート!S23</f>
        <v>0</v>
      </c>
      <c r="U23">
        <f>セットアップレポート!T23</f>
        <v>0</v>
      </c>
      <c r="V23">
        <f>セットアップレポート!U23</f>
        <v>0</v>
      </c>
      <c r="W23">
        <f>セットアップレポート!V23</f>
        <v>0</v>
      </c>
      <c r="X23">
        <f>セットアップレポート!W23</f>
        <v>0</v>
      </c>
      <c r="Y23">
        <f>セットアップレポート!X23</f>
        <v>0</v>
      </c>
      <c r="Z23">
        <f>セットアップレポート!Y23</f>
        <v>0</v>
      </c>
      <c r="AA23">
        <f>セットアップレポート!Z23</f>
        <v>0</v>
      </c>
      <c r="AB23" t="str">
        <f>セットアップレポート!AA23</f>
        <v>NONE</v>
      </c>
      <c r="AC23">
        <f>セットアップレポート!AB23</f>
        <v>0</v>
      </c>
      <c r="AD23">
        <f>セットアップレポート!AC23</f>
        <v>0</v>
      </c>
      <c r="AE23">
        <f>セットアップレポート!AD23</f>
        <v>0</v>
      </c>
      <c r="AF23">
        <f>セットアップレポート!AE23</f>
        <v>0</v>
      </c>
      <c r="AG23">
        <f>セットアップレポート!AF23</f>
        <v>0</v>
      </c>
      <c r="AH23">
        <f>セットアップレポート!AG23</f>
        <v>0</v>
      </c>
    </row>
    <row r="24" spans="1:34" x14ac:dyDescent="0.45">
      <c r="A24" t="str">
        <f t="shared" si="0"/>
        <v>L2-NPM07220039000071703</v>
      </c>
      <c r="B24" t="str">
        <f>セットアップレポート!A24</f>
        <v>Line-2</v>
      </c>
      <c r="C24" t="str">
        <f>セットアップレポート!B24</f>
        <v>L2-NPM07</v>
      </c>
      <c r="D24" t="str">
        <f>セットアップレポート!C24</f>
        <v>Zone-2-NPMW-7</v>
      </c>
      <c r="E24">
        <f>セットアップレポート!D24</f>
        <v>1</v>
      </c>
      <c r="F24">
        <f>セットアップレポート!E24</f>
        <v>1</v>
      </c>
      <c r="G24">
        <f>セットアップレポート!F24</f>
        <v>22003</v>
      </c>
      <c r="H24">
        <f>セットアップレポート!G24</f>
        <v>3</v>
      </c>
      <c r="I24">
        <f>セットアップレポート!H24</f>
        <v>0</v>
      </c>
      <c r="J24" t="str">
        <f>セットアップレポート!I24</f>
        <v>9000071703 100552</v>
      </c>
      <c r="K24">
        <f>セットアップレポート!J24</f>
        <v>9000071703</v>
      </c>
      <c r="L24">
        <f>セットアップレポート!K24</f>
        <v>0</v>
      </c>
      <c r="M24">
        <f>セットアップレポート!L24</f>
        <v>0</v>
      </c>
      <c r="N24">
        <f>セットアップレポート!M24</f>
        <v>0</v>
      </c>
      <c r="O24">
        <f>セットアップレポート!N24</f>
        <v>0</v>
      </c>
      <c r="P24" t="str">
        <f>セットアップレポート!O24</f>
        <v>FA0299523001013</v>
      </c>
      <c r="Q24">
        <f>セットアップレポート!P24</f>
        <v>36</v>
      </c>
      <c r="R24">
        <f>セットアップレポート!Q24</f>
        <v>45926.000451388885</v>
      </c>
      <c r="S24" t="str">
        <f>セットアップレポート!R24</f>
        <v>sakurai naoyuki</v>
      </c>
      <c r="T24">
        <f>セットアップレポート!S24</f>
        <v>0</v>
      </c>
      <c r="U24">
        <f>セットアップレポート!T24</f>
        <v>0</v>
      </c>
      <c r="V24">
        <f>セットアップレポート!U24</f>
        <v>0</v>
      </c>
      <c r="W24">
        <f>セットアップレポート!V24</f>
        <v>0</v>
      </c>
      <c r="X24">
        <f>セットアップレポート!W24</f>
        <v>0</v>
      </c>
      <c r="Y24">
        <f>セットアップレポート!X24</f>
        <v>0</v>
      </c>
      <c r="Z24">
        <f>セットアップレポート!Y24</f>
        <v>0</v>
      </c>
      <c r="AA24">
        <f>セットアップレポート!Z24</f>
        <v>0</v>
      </c>
      <c r="AB24" t="str">
        <f>セットアップレポート!AA24</f>
        <v>NONE</v>
      </c>
      <c r="AC24">
        <f>セットアップレポート!AB24</f>
        <v>0</v>
      </c>
      <c r="AD24">
        <f>セットアップレポート!AC24</f>
        <v>0</v>
      </c>
      <c r="AE24">
        <f>セットアップレポート!AD24</f>
        <v>0</v>
      </c>
      <c r="AF24">
        <f>セットアップレポート!AE24</f>
        <v>0</v>
      </c>
      <c r="AG24">
        <f>セットアップレポート!AF24</f>
        <v>0</v>
      </c>
      <c r="AH24">
        <f>セットアップレポート!AG24</f>
        <v>0</v>
      </c>
    </row>
    <row r="25" spans="1:34" x14ac:dyDescent="0.45">
      <c r="A25" t="str">
        <f t="shared" si="0"/>
        <v>L2-NPM07220046104902631</v>
      </c>
      <c r="B25" t="str">
        <f>セットアップレポート!A25</f>
        <v>Line-2</v>
      </c>
      <c r="C25" t="str">
        <f>セットアップレポート!B25</f>
        <v>L2-NPM07</v>
      </c>
      <c r="D25" t="str">
        <f>セットアップレポート!C25</f>
        <v>Zone-2-NPMW-7</v>
      </c>
      <c r="E25">
        <f>セットアップレポート!D25</f>
        <v>1</v>
      </c>
      <c r="F25">
        <f>セットアップレポート!E25</f>
        <v>1</v>
      </c>
      <c r="G25">
        <f>セットアップレポート!F25</f>
        <v>22004</v>
      </c>
      <c r="H25">
        <f>セットアップレポート!G25</f>
        <v>4</v>
      </c>
      <c r="I25">
        <f>セットアップレポート!H25</f>
        <v>0</v>
      </c>
      <c r="J25" t="str">
        <f>セットアップレポート!I25</f>
        <v>6104902631 100699</v>
      </c>
      <c r="K25">
        <f>セットアップレポート!J25</f>
        <v>6104902631</v>
      </c>
      <c r="L25">
        <f>セットアップレポート!K25</f>
        <v>0</v>
      </c>
      <c r="M25">
        <f>セットアップレポート!L25</f>
        <v>0</v>
      </c>
      <c r="N25">
        <f>セットアップレポート!M25</f>
        <v>0</v>
      </c>
      <c r="O25">
        <f>セットアップレポート!N25</f>
        <v>0</v>
      </c>
      <c r="P25" t="str">
        <f>セットアップレポート!O25</f>
        <v>FA0299524001013</v>
      </c>
      <c r="Q25">
        <f>セットアップレポート!P25</f>
        <v>48</v>
      </c>
      <c r="R25">
        <f>セットアップレポート!Q25</f>
        <v>45730.611030092594</v>
      </c>
      <c r="S25" t="str">
        <f>セットアップレポート!R25</f>
        <v>sato yuuki</v>
      </c>
      <c r="T25">
        <f>セットアップレポート!S25</f>
        <v>0</v>
      </c>
      <c r="U25">
        <f>セットアップレポート!T25</f>
        <v>0</v>
      </c>
      <c r="V25">
        <f>セットアップレポート!U25</f>
        <v>0</v>
      </c>
      <c r="W25">
        <f>セットアップレポート!V25</f>
        <v>0</v>
      </c>
      <c r="X25">
        <f>セットアップレポート!W25</f>
        <v>0</v>
      </c>
      <c r="Y25">
        <f>セットアップレポート!X25</f>
        <v>0</v>
      </c>
      <c r="Z25">
        <f>セットアップレポート!Y25</f>
        <v>0</v>
      </c>
      <c r="AA25">
        <f>セットアップレポート!Z25</f>
        <v>0</v>
      </c>
      <c r="AB25" t="str">
        <f>セットアップレポート!AA25</f>
        <v>NONE</v>
      </c>
      <c r="AC25">
        <f>セットアップレポート!AB25</f>
        <v>0</v>
      </c>
      <c r="AD25">
        <f>セットアップレポート!AC25</f>
        <v>0</v>
      </c>
      <c r="AE25">
        <f>セットアップレポート!AD25</f>
        <v>0</v>
      </c>
      <c r="AF25">
        <f>セットアップレポート!AE25</f>
        <v>0</v>
      </c>
      <c r="AG25">
        <f>セットアップレポート!AF25</f>
        <v>0</v>
      </c>
      <c r="AH25">
        <f>セットアップレポート!AG25</f>
        <v>0</v>
      </c>
    </row>
    <row r="26" spans="1:34" x14ac:dyDescent="0.45">
      <c r="A26" t="str">
        <f t="shared" si="0"/>
        <v>L2-NPM07220059000070665</v>
      </c>
      <c r="B26" t="str">
        <f>セットアップレポート!A26</f>
        <v>Line-2</v>
      </c>
      <c r="C26" t="str">
        <f>セットアップレポート!B26</f>
        <v>L2-NPM07</v>
      </c>
      <c r="D26" t="str">
        <f>セットアップレポート!C26</f>
        <v>Zone-2-NPMW-7</v>
      </c>
      <c r="E26">
        <f>セットアップレポート!D26</f>
        <v>1</v>
      </c>
      <c r="F26">
        <f>セットアップレポート!E26</f>
        <v>1</v>
      </c>
      <c r="G26">
        <f>セットアップレポート!F26</f>
        <v>22005</v>
      </c>
      <c r="H26">
        <f>セットアップレポート!G26</f>
        <v>5</v>
      </c>
      <c r="I26">
        <f>セットアップレポート!H26</f>
        <v>0</v>
      </c>
      <c r="J26" t="str">
        <f>セットアップレポート!I26</f>
        <v>9000070665 100033</v>
      </c>
      <c r="K26">
        <f>セットアップレポート!J26</f>
        <v>9000070665</v>
      </c>
      <c r="L26">
        <f>セットアップレポート!K26</f>
        <v>0</v>
      </c>
      <c r="M26">
        <f>セットアップレポート!L26</f>
        <v>0</v>
      </c>
      <c r="N26">
        <f>セットアップレポート!M26</f>
        <v>0</v>
      </c>
      <c r="O26">
        <f>セットアップレポート!N26</f>
        <v>0</v>
      </c>
      <c r="P26" t="str">
        <f>セットアップレポート!O26</f>
        <v>FA0299525001013</v>
      </c>
      <c r="Q26">
        <f>セットアップレポート!P26</f>
        <v>36</v>
      </c>
      <c r="R26">
        <f>セットアップレポート!Q26</f>
        <v>45730.611157407409</v>
      </c>
      <c r="S26" t="str">
        <f>セットアップレポート!R26</f>
        <v>sato yuuki</v>
      </c>
      <c r="T26">
        <f>セットアップレポート!S26</f>
        <v>0</v>
      </c>
      <c r="U26">
        <f>セットアップレポート!T26</f>
        <v>0</v>
      </c>
      <c r="V26">
        <f>セットアップレポート!U26</f>
        <v>0</v>
      </c>
      <c r="W26">
        <f>セットアップレポート!V26</f>
        <v>0</v>
      </c>
      <c r="X26">
        <f>セットアップレポート!W26</f>
        <v>0</v>
      </c>
      <c r="Y26">
        <f>セットアップレポート!X26</f>
        <v>0</v>
      </c>
      <c r="Z26">
        <f>セットアップレポート!Y26</f>
        <v>0</v>
      </c>
      <c r="AA26">
        <f>セットアップレポート!Z26</f>
        <v>0</v>
      </c>
      <c r="AB26" t="str">
        <f>セットアップレポート!AA26</f>
        <v>NONE</v>
      </c>
      <c r="AC26">
        <f>セットアップレポート!AB26</f>
        <v>0</v>
      </c>
      <c r="AD26">
        <f>セットアップレポート!AC26</f>
        <v>0</v>
      </c>
      <c r="AE26">
        <f>セットアップレポート!AD26</f>
        <v>0</v>
      </c>
      <c r="AF26">
        <f>セットアップレポート!AE26</f>
        <v>0</v>
      </c>
      <c r="AG26">
        <f>セットアップレポート!AF26</f>
        <v>0</v>
      </c>
      <c r="AH26">
        <f>セットアップレポート!AG26</f>
        <v>0</v>
      </c>
    </row>
    <row r="27" spans="1:34" x14ac:dyDescent="0.45">
      <c r="A27" t="str">
        <f t="shared" si="0"/>
        <v>L2-NPM07220119000071704</v>
      </c>
      <c r="B27" t="str">
        <f>セットアップレポート!A27</f>
        <v>Line-2</v>
      </c>
      <c r="C27" t="str">
        <f>セットアップレポート!B27</f>
        <v>L2-NPM07</v>
      </c>
      <c r="D27" t="str">
        <f>セットアップレポート!C27</f>
        <v>Zone-2-NPMW-7</v>
      </c>
      <c r="E27">
        <f>セットアップレポート!D27</f>
        <v>1</v>
      </c>
      <c r="F27">
        <f>セットアップレポート!E27</f>
        <v>1</v>
      </c>
      <c r="G27">
        <f>セットアップレポート!F27</f>
        <v>22011</v>
      </c>
      <c r="H27">
        <f>セットアップレポート!G27</f>
        <v>11</v>
      </c>
      <c r="I27">
        <f>セットアップレポート!H27</f>
        <v>0</v>
      </c>
      <c r="J27" t="str">
        <f>セットアップレポート!I27</f>
        <v>9000071704 100117</v>
      </c>
      <c r="K27">
        <f>セットアップレポート!J27</f>
        <v>9000071704</v>
      </c>
      <c r="L27">
        <f>セットアップレポート!K27</f>
        <v>0</v>
      </c>
      <c r="M27">
        <f>セットアップレポート!L27</f>
        <v>0</v>
      </c>
      <c r="N27">
        <f>セットアップレポート!M27</f>
        <v>0</v>
      </c>
      <c r="O27">
        <f>セットアップレポート!N27</f>
        <v>0</v>
      </c>
      <c r="P27" t="str">
        <f>セットアップレポート!O27</f>
        <v>FA0299531001013</v>
      </c>
      <c r="Q27">
        <f>セットアップレポート!P27</f>
        <v>338</v>
      </c>
      <c r="R27">
        <f>セットアップレポート!Q27</f>
        <v>45920.022280092591</v>
      </c>
      <c r="S27" t="str">
        <f>セットアップレポート!R27</f>
        <v>ichikawa naoki</v>
      </c>
      <c r="T27">
        <f>セットアップレポート!S27</f>
        <v>0</v>
      </c>
      <c r="U27">
        <f>セットアップレポート!T27</f>
        <v>0</v>
      </c>
      <c r="V27">
        <f>セットアップレポート!U27</f>
        <v>0</v>
      </c>
      <c r="W27">
        <f>セットアップレポート!V27</f>
        <v>0</v>
      </c>
      <c r="X27">
        <f>セットアップレポート!W27</f>
        <v>0</v>
      </c>
      <c r="Y27">
        <f>セットアップレポート!X27</f>
        <v>0</v>
      </c>
      <c r="Z27">
        <f>セットアップレポート!Y27</f>
        <v>0</v>
      </c>
      <c r="AA27">
        <f>セットアップレポート!Z27</f>
        <v>0</v>
      </c>
      <c r="AB27" t="str">
        <f>セットアップレポート!AA27</f>
        <v>NONE</v>
      </c>
      <c r="AC27">
        <f>セットアップレポート!AB27</f>
        <v>0</v>
      </c>
      <c r="AD27">
        <f>セットアップレポート!AC27</f>
        <v>0</v>
      </c>
      <c r="AE27">
        <f>セットアップレポート!AD27</f>
        <v>0</v>
      </c>
      <c r="AF27">
        <f>セットアップレポート!AE27</f>
        <v>0</v>
      </c>
      <c r="AG27">
        <f>セットアップレポート!AF27</f>
        <v>0</v>
      </c>
      <c r="AH27">
        <f>セットアップレポート!AG27</f>
        <v>0</v>
      </c>
    </row>
    <row r="28" spans="1:34" x14ac:dyDescent="0.45">
      <c r="A28" t="str">
        <f t="shared" si="0"/>
        <v>L2-NPM010001L9000059940</v>
      </c>
      <c r="B28" t="str">
        <f>セットアップレポート!A28</f>
        <v>Line-2</v>
      </c>
      <c r="C28" t="str">
        <f>セットアップレポート!B28</f>
        <v>L2-NPM01</v>
      </c>
      <c r="D28" t="str">
        <f>セットアップレポート!C28</f>
        <v>Zone-2-NPMW-1</v>
      </c>
      <c r="E28">
        <f>セットアップレポート!D28</f>
        <v>1</v>
      </c>
      <c r="F28">
        <f>セットアップレポート!E28</f>
        <v>1</v>
      </c>
      <c r="G28" t="str">
        <f>セットアップレポート!F28</f>
        <v>10001L</v>
      </c>
      <c r="H28">
        <f>セットアップレポート!G28</f>
        <v>1</v>
      </c>
      <c r="I28" t="str">
        <f>セットアップレポート!H28</f>
        <v>L</v>
      </c>
      <c r="J28" t="str">
        <f>セットアップレポート!I28</f>
        <v>9000059940 100033</v>
      </c>
      <c r="K28">
        <f>セットアップレポート!J28</f>
        <v>9000059940</v>
      </c>
      <c r="L28">
        <f>セットアップレポート!K28</f>
        <v>0</v>
      </c>
      <c r="M28">
        <f>セットアップレポート!L28</f>
        <v>0</v>
      </c>
      <c r="N28">
        <f>セットアップレポート!M28</f>
        <v>0</v>
      </c>
      <c r="O28">
        <f>セットアップレポート!N28</f>
        <v>0</v>
      </c>
      <c r="P28" t="str">
        <f>セットアップレポート!O28</f>
        <v>FA0220AAF301824</v>
      </c>
      <c r="Q28">
        <f>セットアップレポート!P28</f>
        <v>2500</v>
      </c>
      <c r="R28">
        <f>セットアップレポート!Q28</f>
        <v>45950.475046296298</v>
      </c>
      <c r="S28">
        <f>セットアップレポート!R28</f>
        <v>0</v>
      </c>
      <c r="T28" t="str">
        <f>セットアップレポート!S28</f>
        <v>Yes</v>
      </c>
      <c r="U28">
        <f>セットアップレポート!T28</f>
        <v>0</v>
      </c>
      <c r="V28" t="str">
        <f>セットアップレポート!U28</f>
        <v>9000059940 100046</v>
      </c>
      <c r="W28">
        <f>セットアップレポート!V28</f>
        <v>0</v>
      </c>
      <c r="X28">
        <f>セットアップレポート!W28</f>
        <v>0</v>
      </c>
      <c r="Y28">
        <f>セットアップレポート!X28</f>
        <v>0</v>
      </c>
      <c r="Z28">
        <f>セットアップレポート!Y28</f>
        <v>0</v>
      </c>
      <c r="AA28">
        <f>セットアップレポート!Z28</f>
        <v>0</v>
      </c>
      <c r="AB28" t="str">
        <f>セットアップレポート!AA28</f>
        <v>NONE</v>
      </c>
      <c r="AC28">
        <f>セットアップレポート!AB28</f>
        <v>0</v>
      </c>
      <c r="AD28">
        <f>セットアップレポート!AC28</f>
        <v>0</v>
      </c>
      <c r="AE28">
        <f>セットアップレポート!AD28</f>
        <v>0</v>
      </c>
      <c r="AF28">
        <f>セットアップレポート!AE28</f>
        <v>0</v>
      </c>
      <c r="AG28">
        <f>セットアップレポート!AF28</f>
        <v>0</v>
      </c>
      <c r="AH28">
        <f>セットアップレポート!AG28</f>
        <v>0</v>
      </c>
    </row>
    <row r="29" spans="1:34" x14ac:dyDescent="0.45">
      <c r="A29" t="str">
        <f t="shared" si="0"/>
        <v>L2-NPM010002L667663</v>
      </c>
      <c r="B29" t="str">
        <f>セットアップレポート!A29</f>
        <v>Line-2</v>
      </c>
      <c r="C29" t="str">
        <f>セットアップレポート!B29</f>
        <v>L2-NPM01</v>
      </c>
      <c r="D29" t="str">
        <f>セットアップレポート!C29</f>
        <v>Zone-2-NPMW-1</v>
      </c>
      <c r="E29">
        <f>セットアップレポート!D29</f>
        <v>1</v>
      </c>
      <c r="F29">
        <f>セットアップレポート!E29</f>
        <v>1</v>
      </c>
      <c r="G29" t="str">
        <f>セットアップレポート!F29</f>
        <v>10002L</v>
      </c>
      <c r="H29">
        <f>セットアップレポート!G29</f>
        <v>2</v>
      </c>
      <c r="I29" t="str">
        <f>セットアップレポート!H29</f>
        <v>L</v>
      </c>
      <c r="J29" t="str">
        <f>セットアップレポート!I29</f>
        <v>667663 100166</v>
      </c>
      <c r="K29">
        <f>セットアップレポート!J29</f>
        <v>667663</v>
      </c>
      <c r="L29">
        <f>セットアップレポート!K29</f>
        <v>0</v>
      </c>
      <c r="M29">
        <f>セットアップレポート!L29</f>
        <v>0</v>
      </c>
      <c r="N29">
        <f>セットアップレポート!M29</f>
        <v>0</v>
      </c>
      <c r="O29">
        <f>セットアップレポート!N29</f>
        <v>0</v>
      </c>
      <c r="P29" t="str">
        <f>セットアップレポート!O29</f>
        <v>FA0201ABA002604</v>
      </c>
      <c r="Q29">
        <f>セットアップレポート!P29</f>
        <v>10000</v>
      </c>
      <c r="R29">
        <f>セットアップレポート!Q29</f>
        <v>45950.475046296298</v>
      </c>
      <c r="S29">
        <f>セットアップレポート!R29</f>
        <v>0</v>
      </c>
      <c r="T29">
        <f>セットアップレポート!S29</f>
        <v>0</v>
      </c>
      <c r="U29">
        <f>セットアップレポート!T29</f>
        <v>0</v>
      </c>
      <c r="V29">
        <f>セットアップレポート!U29</f>
        <v>0</v>
      </c>
      <c r="W29">
        <f>セットアップレポート!V29</f>
        <v>0</v>
      </c>
      <c r="X29">
        <f>セットアップレポート!W29</f>
        <v>0</v>
      </c>
      <c r="Y29">
        <f>セットアップレポート!X29</f>
        <v>0</v>
      </c>
      <c r="Z29">
        <f>セットアップレポート!Y29</f>
        <v>0</v>
      </c>
      <c r="AA29">
        <f>セットアップレポート!Z29</f>
        <v>0</v>
      </c>
      <c r="AB29" t="str">
        <f>セットアップレポート!AA29</f>
        <v>NONE</v>
      </c>
      <c r="AC29">
        <f>セットアップレポート!AB29</f>
        <v>0</v>
      </c>
      <c r="AD29">
        <f>セットアップレポート!AC29</f>
        <v>0</v>
      </c>
      <c r="AE29">
        <f>セットアップレポート!AD29</f>
        <v>0</v>
      </c>
      <c r="AF29">
        <f>セットアップレポート!AE29</f>
        <v>0</v>
      </c>
      <c r="AG29">
        <f>セットアップレポート!AF29</f>
        <v>0</v>
      </c>
      <c r="AH29">
        <f>セットアップレポート!AG29</f>
        <v>0</v>
      </c>
    </row>
    <row r="30" spans="1:34" x14ac:dyDescent="0.45">
      <c r="A30" t="str">
        <f t="shared" si="0"/>
        <v>L2-NPM010003L634306A</v>
      </c>
      <c r="B30" t="str">
        <f>セットアップレポート!A30</f>
        <v>Line-2</v>
      </c>
      <c r="C30" t="str">
        <f>セットアップレポート!B30</f>
        <v>L2-NPM01</v>
      </c>
      <c r="D30" t="str">
        <f>セットアップレポート!C30</f>
        <v>Zone-2-NPMW-1</v>
      </c>
      <c r="E30">
        <f>セットアップレポート!D30</f>
        <v>1</v>
      </c>
      <c r="F30">
        <f>セットアップレポート!E30</f>
        <v>1</v>
      </c>
      <c r="G30" t="str">
        <f>セットアップレポート!F30</f>
        <v>10003L</v>
      </c>
      <c r="H30">
        <f>セットアップレポート!G30</f>
        <v>3</v>
      </c>
      <c r="I30" t="str">
        <f>セットアップレポート!H30</f>
        <v>L</v>
      </c>
      <c r="J30" t="str">
        <f>セットアップレポート!I30</f>
        <v>634306A103345</v>
      </c>
      <c r="K30" t="str">
        <f>セットアップレポート!J30</f>
        <v>634306A</v>
      </c>
      <c r="L30">
        <f>セットアップレポート!K30</f>
        <v>0</v>
      </c>
      <c r="M30">
        <f>セットアップレポート!L30</f>
        <v>0</v>
      </c>
      <c r="N30">
        <f>セットアップレポート!M30</f>
        <v>0</v>
      </c>
      <c r="O30">
        <f>セットアップレポート!N30</f>
        <v>0</v>
      </c>
      <c r="P30" t="str">
        <f>セットアップレポート!O30</f>
        <v>FA0201ABA002245</v>
      </c>
      <c r="Q30">
        <f>セットアップレポート!P30</f>
        <v>10000</v>
      </c>
      <c r="R30">
        <f>セットアップレポート!Q30</f>
        <v>45950.475046296298</v>
      </c>
      <c r="S30">
        <f>セットアップレポート!R30</f>
        <v>0</v>
      </c>
      <c r="T30">
        <f>セットアップレポート!S30</f>
        <v>0</v>
      </c>
      <c r="U30">
        <f>セットアップレポート!T30</f>
        <v>0</v>
      </c>
      <c r="V30">
        <f>セットアップレポート!U30</f>
        <v>0</v>
      </c>
      <c r="W30">
        <f>セットアップレポート!V30</f>
        <v>0</v>
      </c>
      <c r="X30">
        <f>セットアップレポート!W30</f>
        <v>0</v>
      </c>
      <c r="Y30">
        <f>セットアップレポート!X30</f>
        <v>0</v>
      </c>
      <c r="Z30">
        <f>セットアップレポート!Y30</f>
        <v>0</v>
      </c>
      <c r="AA30">
        <f>セットアップレポート!Z30</f>
        <v>0</v>
      </c>
      <c r="AB30" t="str">
        <f>セットアップレポート!AA30</f>
        <v>NONE</v>
      </c>
      <c r="AC30">
        <f>セットアップレポート!AB30</f>
        <v>0</v>
      </c>
      <c r="AD30">
        <f>セットアップレポート!AC30</f>
        <v>0</v>
      </c>
      <c r="AE30">
        <f>セットアップレポート!AD30</f>
        <v>0</v>
      </c>
      <c r="AF30">
        <f>セットアップレポート!AE30</f>
        <v>0</v>
      </c>
      <c r="AG30">
        <f>セットアップレポート!AF30</f>
        <v>0</v>
      </c>
      <c r="AH30">
        <f>セットアップレポート!AG30</f>
        <v>0</v>
      </c>
    </row>
    <row r="31" spans="1:34" x14ac:dyDescent="0.45">
      <c r="A31" t="str">
        <f t="shared" si="0"/>
        <v>L2-NPM010004L9000054754</v>
      </c>
      <c r="B31" t="str">
        <f>セットアップレポート!A31</f>
        <v>Line-2</v>
      </c>
      <c r="C31" t="str">
        <f>セットアップレポート!B31</f>
        <v>L2-NPM01</v>
      </c>
      <c r="D31" t="str">
        <f>セットアップレポート!C31</f>
        <v>Zone-2-NPMW-1</v>
      </c>
      <c r="E31">
        <f>セットアップレポート!D31</f>
        <v>1</v>
      </c>
      <c r="F31">
        <f>セットアップレポート!E31</f>
        <v>1</v>
      </c>
      <c r="G31" t="str">
        <f>セットアップレポート!F31</f>
        <v>10004L</v>
      </c>
      <c r="H31">
        <f>セットアップレポート!G31</f>
        <v>4</v>
      </c>
      <c r="I31" t="str">
        <f>セットアップレポート!H31</f>
        <v>L</v>
      </c>
      <c r="J31" t="str">
        <f>セットアップレポート!I31</f>
        <v>9000054754 100205</v>
      </c>
      <c r="K31">
        <f>セットアップレポート!J31</f>
        <v>9000054754</v>
      </c>
      <c r="L31">
        <f>セットアップレポート!K31</f>
        <v>0</v>
      </c>
      <c r="M31">
        <f>セットアップレポート!L31</f>
        <v>0</v>
      </c>
      <c r="N31">
        <f>セットアップレポート!M31</f>
        <v>0</v>
      </c>
      <c r="O31">
        <f>セットアップレポート!N31</f>
        <v>0</v>
      </c>
      <c r="P31" t="str">
        <f>セットアップレポート!O31</f>
        <v>FA0201ACD051131</v>
      </c>
      <c r="Q31">
        <f>セットアップレポート!P31</f>
        <v>8000</v>
      </c>
      <c r="R31">
        <f>セットアップレポート!Q31</f>
        <v>45950.475046296298</v>
      </c>
      <c r="S31">
        <f>セットアップレポート!R31</f>
        <v>0</v>
      </c>
      <c r="T31">
        <f>セットアップレポート!S31</f>
        <v>0</v>
      </c>
      <c r="U31">
        <f>セットアップレポート!T31</f>
        <v>0</v>
      </c>
      <c r="V31">
        <f>セットアップレポート!U31</f>
        <v>0</v>
      </c>
      <c r="W31">
        <f>セットアップレポート!V31</f>
        <v>0</v>
      </c>
      <c r="X31">
        <f>セットアップレポート!W31</f>
        <v>0</v>
      </c>
      <c r="Y31">
        <f>セットアップレポート!X31</f>
        <v>0</v>
      </c>
      <c r="Z31">
        <f>セットアップレポート!Y31</f>
        <v>0</v>
      </c>
      <c r="AA31">
        <f>セットアップレポート!Z31</f>
        <v>0</v>
      </c>
      <c r="AB31" t="str">
        <f>セットアップレポート!AA31</f>
        <v>NONE</v>
      </c>
      <c r="AC31">
        <f>セットアップレポート!AB31</f>
        <v>0</v>
      </c>
      <c r="AD31">
        <f>セットアップレポート!AC31</f>
        <v>0</v>
      </c>
      <c r="AE31">
        <f>セットアップレポート!AD31</f>
        <v>0</v>
      </c>
      <c r="AF31">
        <f>セットアップレポート!AE31</f>
        <v>0</v>
      </c>
      <c r="AG31">
        <f>セットアップレポート!AF31</f>
        <v>0</v>
      </c>
      <c r="AH31">
        <f>セットアップレポート!AG31</f>
        <v>0</v>
      </c>
    </row>
    <row r="32" spans="1:34" x14ac:dyDescent="0.45">
      <c r="A32" t="str">
        <f t="shared" si="0"/>
        <v>L2-NPM010005L9000068497</v>
      </c>
      <c r="B32" t="str">
        <f>セットアップレポート!A32</f>
        <v>Line-2</v>
      </c>
      <c r="C32" t="str">
        <f>セットアップレポート!B32</f>
        <v>L2-NPM01</v>
      </c>
      <c r="D32" t="str">
        <f>セットアップレポート!C32</f>
        <v>Zone-2-NPMW-1</v>
      </c>
      <c r="E32">
        <f>セットアップレポート!D32</f>
        <v>1</v>
      </c>
      <c r="F32">
        <f>セットアップレポート!E32</f>
        <v>1</v>
      </c>
      <c r="G32" t="str">
        <f>セットアップレポート!F32</f>
        <v>10005L</v>
      </c>
      <c r="H32">
        <f>セットアップレポート!G32</f>
        <v>5</v>
      </c>
      <c r="I32" t="str">
        <f>セットアップレポート!H32</f>
        <v>L</v>
      </c>
      <c r="J32" t="str">
        <f>セットアップレポート!I32</f>
        <v>9000068497 100575</v>
      </c>
      <c r="K32">
        <f>セットアップレポート!J32</f>
        <v>9000068497</v>
      </c>
      <c r="L32">
        <f>セットアップレポート!K32</f>
        <v>0</v>
      </c>
      <c r="M32">
        <f>セットアップレポート!L32</f>
        <v>0</v>
      </c>
      <c r="N32">
        <f>セットアップレポート!M32</f>
        <v>0</v>
      </c>
      <c r="O32">
        <f>セットアップレポート!N32</f>
        <v>0</v>
      </c>
      <c r="P32" t="str">
        <f>セットアップレポート!O32</f>
        <v>FA0201ABA002555</v>
      </c>
      <c r="Q32">
        <f>セットアップレポート!P32</f>
        <v>10000</v>
      </c>
      <c r="R32">
        <f>セットアップレポート!Q32</f>
        <v>45950.475046296298</v>
      </c>
      <c r="S32">
        <f>セットアップレポート!R32</f>
        <v>0</v>
      </c>
      <c r="T32">
        <f>セットアップレポート!S32</f>
        <v>0</v>
      </c>
      <c r="U32">
        <f>セットアップレポート!T32</f>
        <v>0</v>
      </c>
      <c r="V32">
        <f>セットアップレポート!U32</f>
        <v>0</v>
      </c>
      <c r="W32">
        <f>セットアップレポート!V32</f>
        <v>0</v>
      </c>
      <c r="X32">
        <f>セットアップレポート!W32</f>
        <v>0</v>
      </c>
      <c r="Y32">
        <f>セットアップレポート!X32</f>
        <v>0</v>
      </c>
      <c r="Z32">
        <f>セットアップレポート!Y32</f>
        <v>0</v>
      </c>
      <c r="AA32">
        <f>セットアップレポート!Z32</f>
        <v>0</v>
      </c>
      <c r="AB32" t="str">
        <f>セットアップレポート!AA32</f>
        <v>NONE</v>
      </c>
      <c r="AC32">
        <f>セットアップレポート!AB32</f>
        <v>0</v>
      </c>
      <c r="AD32">
        <f>セットアップレポート!AC32</f>
        <v>0</v>
      </c>
      <c r="AE32">
        <f>セットアップレポート!AD32</f>
        <v>0</v>
      </c>
      <c r="AF32">
        <f>セットアップレポート!AE32</f>
        <v>0</v>
      </c>
      <c r="AG32">
        <f>セットアップレポート!AF32</f>
        <v>0</v>
      </c>
      <c r="AH32">
        <f>セットアップレポート!AG32</f>
        <v>0</v>
      </c>
    </row>
    <row r="33" spans="1:34" x14ac:dyDescent="0.45">
      <c r="A33" t="str">
        <f t="shared" si="0"/>
        <v>L2-NPM010006L667699</v>
      </c>
      <c r="B33" t="str">
        <f>セットアップレポート!A33</f>
        <v>Line-2</v>
      </c>
      <c r="C33" t="str">
        <f>セットアップレポート!B33</f>
        <v>L2-NPM01</v>
      </c>
      <c r="D33" t="str">
        <f>セットアップレポート!C33</f>
        <v>Zone-2-NPMW-1</v>
      </c>
      <c r="E33">
        <f>セットアップレポート!D33</f>
        <v>1</v>
      </c>
      <c r="F33">
        <f>セットアップレポート!E33</f>
        <v>1</v>
      </c>
      <c r="G33" t="str">
        <f>セットアップレポート!F33</f>
        <v>10006L</v>
      </c>
      <c r="H33">
        <f>セットアップレポート!G33</f>
        <v>6</v>
      </c>
      <c r="I33" t="str">
        <f>セットアップレポート!H33</f>
        <v>L</v>
      </c>
      <c r="J33" t="str">
        <f>セットアップレポート!I33</f>
        <v>667699 101428</v>
      </c>
      <c r="K33">
        <f>セットアップレポート!J33</f>
        <v>667699</v>
      </c>
      <c r="L33">
        <f>セットアップレポート!K33</f>
        <v>0</v>
      </c>
      <c r="M33">
        <f>セットアップレポート!L33</f>
        <v>0</v>
      </c>
      <c r="N33">
        <f>セットアップレポート!M33</f>
        <v>0</v>
      </c>
      <c r="O33">
        <f>セットアップレポート!N33</f>
        <v>0</v>
      </c>
      <c r="P33" t="str">
        <f>セットアップレポート!O33</f>
        <v>FA0201ACD050835</v>
      </c>
      <c r="Q33">
        <f>セットアップレポート!P33</f>
        <v>10000</v>
      </c>
      <c r="R33">
        <f>セットアップレポート!Q33</f>
        <v>45950.475057870368</v>
      </c>
      <c r="S33">
        <f>セットアップレポート!R33</f>
        <v>0</v>
      </c>
      <c r="T33">
        <f>セットアップレポート!S33</f>
        <v>0</v>
      </c>
      <c r="U33">
        <f>セットアップレポート!T33</f>
        <v>0</v>
      </c>
      <c r="V33">
        <f>セットアップレポート!U33</f>
        <v>0</v>
      </c>
      <c r="W33">
        <f>セットアップレポート!V33</f>
        <v>0</v>
      </c>
      <c r="X33">
        <f>セットアップレポート!W33</f>
        <v>0</v>
      </c>
      <c r="Y33">
        <f>セットアップレポート!X33</f>
        <v>0</v>
      </c>
      <c r="Z33">
        <f>セットアップレポート!Y33</f>
        <v>0</v>
      </c>
      <c r="AA33">
        <f>セットアップレポート!Z33</f>
        <v>0</v>
      </c>
      <c r="AB33" t="str">
        <f>セットアップレポート!AA33</f>
        <v>NONE</v>
      </c>
      <c r="AC33">
        <f>セットアップレポート!AB33</f>
        <v>0</v>
      </c>
      <c r="AD33">
        <f>セットアップレポート!AC33</f>
        <v>0</v>
      </c>
      <c r="AE33">
        <f>セットアップレポート!AD33</f>
        <v>0</v>
      </c>
      <c r="AF33">
        <f>セットアップレポート!AE33</f>
        <v>0</v>
      </c>
      <c r="AG33">
        <f>セットアップレポート!AF33</f>
        <v>0</v>
      </c>
      <c r="AH33">
        <f>セットアップレポート!AG33</f>
        <v>0</v>
      </c>
    </row>
    <row r="34" spans="1:34" x14ac:dyDescent="0.45">
      <c r="A34" t="str">
        <f t="shared" si="0"/>
        <v>L2-NPM010007L9000067896</v>
      </c>
      <c r="B34" t="str">
        <f>セットアップレポート!A34</f>
        <v>Line-2</v>
      </c>
      <c r="C34" t="str">
        <f>セットアップレポート!B34</f>
        <v>L2-NPM01</v>
      </c>
      <c r="D34" t="str">
        <f>セットアップレポート!C34</f>
        <v>Zone-2-NPMW-1</v>
      </c>
      <c r="E34">
        <f>セットアップレポート!D34</f>
        <v>1</v>
      </c>
      <c r="F34">
        <f>セットアップレポート!E34</f>
        <v>1</v>
      </c>
      <c r="G34" t="str">
        <f>セットアップレポート!F34</f>
        <v>10007L</v>
      </c>
      <c r="H34">
        <f>セットアップレポート!G34</f>
        <v>7</v>
      </c>
      <c r="I34" t="str">
        <f>セットアップレポート!H34</f>
        <v>L</v>
      </c>
      <c r="J34" t="str">
        <f>セットアップレポート!I34</f>
        <v>9000067896 100005</v>
      </c>
      <c r="K34">
        <f>セットアップレポート!J34</f>
        <v>9000067896</v>
      </c>
      <c r="L34">
        <f>セットアップレポート!K34</f>
        <v>0</v>
      </c>
      <c r="M34">
        <f>セットアップレポート!L34</f>
        <v>0</v>
      </c>
      <c r="N34">
        <f>セットアップレポート!M34</f>
        <v>0</v>
      </c>
      <c r="O34">
        <f>セットアップレポート!N34</f>
        <v>0</v>
      </c>
      <c r="P34" t="str">
        <f>セットアップレポート!O34</f>
        <v>FA0201ABA002363</v>
      </c>
      <c r="Q34">
        <f>セットアップレポート!P34</f>
        <v>15000</v>
      </c>
      <c r="R34">
        <f>セットアップレポート!Q34</f>
        <v>45950.475057870368</v>
      </c>
      <c r="S34">
        <f>セットアップレポート!R34</f>
        <v>0</v>
      </c>
      <c r="T34">
        <f>セットアップレポート!S34</f>
        <v>0</v>
      </c>
      <c r="U34">
        <f>セットアップレポート!T34</f>
        <v>0</v>
      </c>
      <c r="V34">
        <f>セットアップレポート!U34</f>
        <v>0</v>
      </c>
      <c r="W34">
        <f>セットアップレポート!V34</f>
        <v>0</v>
      </c>
      <c r="X34">
        <f>セットアップレポート!W34</f>
        <v>0</v>
      </c>
      <c r="Y34">
        <f>セットアップレポート!X34</f>
        <v>0</v>
      </c>
      <c r="Z34">
        <f>セットアップレポート!Y34</f>
        <v>0</v>
      </c>
      <c r="AA34">
        <f>セットアップレポート!Z34</f>
        <v>0</v>
      </c>
      <c r="AB34" t="str">
        <f>セットアップレポート!AA34</f>
        <v>NONE</v>
      </c>
      <c r="AC34">
        <f>セットアップレポート!AB34</f>
        <v>0</v>
      </c>
      <c r="AD34">
        <f>セットアップレポート!AC34</f>
        <v>0</v>
      </c>
      <c r="AE34">
        <f>セットアップレポート!AD34</f>
        <v>0</v>
      </c>
      <c r="AF34">
        <f>セットアップレポート!AE34</f>
        <v>0</v>
      </c>
      <c r="AG34">
        <f>セットアップレポート!AF34</f>
        <v>0</v>
      </c>
      <c r="AH34">
        <f>セットアップレポート!AG34</f>
        <v>0</v>
      </c>
    </row>
    <row r="35" spans="1:34" x14ac:dyDescent="0.45">
      <c r="A35" t="str">
        <f t="shared" si="0"/>
        <v>L2-NPM010008L9000066340</v>
      </c>
      <c r="B35" t="str">
        <f>セットアップレポート!A35</f>
        <v>Line-2</v>
      </c>
      <c r="C35" t="str">
        <f>セットアップレポート!B35</f>
        <v>L2-NPM01</v>
      </c>
      <c r="D35" t="str">
        <f>セットアップレポート!C35</f>
        <v>Zone-2-NPMW-1</v>
      </c>
      <c r="E35">
        <f>セットアップレポート!D35</f>
        <v>1</v>
      </c>
      <c r="F35">
        <f>セットアップレポート!E35</f>
        <v>1</v>
      </c>
      <c r="G35" t="str">
        <f>セットアップレポート!F35</f>
        <v>10008L</v>
      </c>
      <c r="H35">
        <f>セットアップレポート!G35</f>
        <v>8</v>
      </c>
      <c r="I35" t="str">
        <f>セットアップレポート!H35</f>
        <v>L</v>
      </c>
      <c r="J35" t="str">
        <f>セットアップレポート!I35</f>
        <v>9000066340 100008</v>
      </c>
      <c r="K35">
        <f>セットアップレポート!J35</f>
        <v>9000066340</v>
      </c>
      <c r="L35">
        <f>セットアップレポート!K35</f>
        <v>0</v>
      </c>
      <c r="M35">
        <f>セットアップレポート!L35</f>
        <v>0</v>
      </c>
      <c r="N35">
        <f>セットアップレポート!M35</f>
        <v>0</v>
      </c>
      <c r="O35">
        <f>セットアップレポート!N35</f>
        <v>0</v>
      </c>
      <c r="P35" t="str">
        <f>セットアップレポート!O35</f>
        <v>FA0201ACD051137</v>
      </c>
      <c r="Q35">
        <f>セットアップレポート!P35</f>
        <v>4000</v>
      </c>
      <c r="R35">
        <f>セットアップレポート!Q35</f>
        <v>45950.475057870368</v>
      </c>
      <c r="S35">
        <f>セットアップレポート!R35</f>
        <v>0</v>
      </c>
      <c r="T35">
        <f>セットアップレポート!S35</f>
        <v>0</v>
      </c>
      <c r="U35">
        <f>セットアップレポート!T35</f>
        <v>0</v>
      </c>
      <c r="V35">
        <f>セットアップレポート!U35</f>
        <v>0</v>
      </c>
      <c r="W35">
        <f>セットアップレポート!V35</f>
        <v>0</v>
      </c>
      <c r="X35">
        <f>セットアップレポート!W35</f>
        <v>0</v>
      </c>
      <c r="Y35">
        <f>セットアップレポート!X35</f>
        <v>0</v>
      </c>
      <c r="Z35">
        <f>セットアップレポート!Y35</f>
        <v>0</v>
      </c>
      <c r="AA35">
        <f>セットアップレポート!Z35</f>
        <v>0</v>
      </c>
      <c r="AB35" t="str">
        <f>セットアップレポート!AA35</f>
        <v>NONE</v>
      </c>
      <c r="AC35">
        <f>セットアップレポート!AB35</f>
        <v>0</v>
      </c>
      <c r="AD35">
        <f>セットアップレポート!AC35</f>
        <v>0</v>
      </c>
      <c r="AE35">
        <f>セットアップレポート!AD35</f>
        <v>0</v>
      </c>
      <c r="AF35">
        <f>セットアップレポート!AE35</f>
        <v>0</v>
      </c>
      <c r="AG35">
        <f>セットアップレポート!AF35</f>
        <v>0</v>
      </c>
      <c r="AH35">
        <f>セットアップレポート!AG35</f>
        <v>0</v>
      </c>
    </row>
    <row r="36" spans="1:34" x14ac:dyDescent="0.45">
      <c r="A36" t="str">
        <f t="shared" si="0"/>
        <v>L2-NPM010009L667654</v>
      </c>
      <c r="B36" t="str">
        <f>セットアップレポート!A36</f>
        <v>Line-2</v>
      </c>
      <c r="C36" t="str">
        <f>セットアップレポート!B36</f>
        <v>L2-NPM01</v>
      </c>
      <c r="D36" t="str">
        <f>セットアップレポート!C36</f>
        <v>Zone-2-NPMW-1</v>
      </c>
      <c r="E36">
        <f>セットアップレポート!D36</f>
        <v>1</v>
      </c>
      <c r="F36">
        <f>セットアップレポート!E36</f>
        <v>1</v>
      </c>
      <c r="G36" t="str">
        <f>セットアップレポート!F36</f>
        <v>10009L</v>
      </c>
      <c r="H36">
        <f>セットアップレポート!G36</f>
        <v>9</v>
      </c>
      <c r="I36" t="str">
        <f>セットアップレポート!H36</f>
        <v>L</v>
      </c>
      <c r="J36" t="str">
        <f>セットアップレポート!I36</f>
        <v>667654 108379</v>
      </c>
      <c r="K36">
        <f>セットアップレポート!J36</f>
        <v>667654</v>
      </c>
      <c r="L36">
        <f>セットアップレポート!K36</f>
        <v>0</v>
      </c>
      <c r="M36">
        <f>セットアップレポート!L36</f>
        <v>0</v>
      </c>
      <c r="N36">
        <f>セットアップレポート!M36</f>
        <v>0</v>
      </c>
      <c r="O36">
        <f>セットアップレポート!N36</f>
        <v>0</v>
      </c>
      <c r="P36" t="str">
        <f>セットアップレポート!O36</f>
        <v>FA0201ACD049829</v>
      </c>
      <c r="Q36">
        <f>セットアップレポート!P36</f>
        <v>10000</v>
      </c>
      <c r="R36">
        <f>セットアップレポート!Q36</f>
        <v>45950.475057870368</v>
      </c>
      <c r="S36">
        <f>セットアップレポート!R36</f>
        <v>0</v>
      </c>
      <c r="T36">
        <f>セットアップレポート!S36</f>
        <v>0</v>
      </c>
      <c r="U36">
        <f>セットアップレポート!T36</f>
        <v>0</v>
      </c>
      <c r="V36">
        <f>セットアップレポート!U36</f>
        <v>0</v>
      </c>
      <c r="W36">
        <f>セットアップレポート!V36</f>
        <v>0</v>
      </c>
      <c r="X36">
        <f>セットアップレポート!W36</f>
        <v>0</v>
      </c>
      <c r="Y36">
        <f>セットアップレポート!X36</f>
        <v>0</v>
      </c>
      <c r="Z36">
        <f>セットアップレポート!Y36</f>
        <v>0</v>
      </c>
      <c r="AA36">
        <f>セットアップレポート!Z36</f>
        <v>0</v>
      </c>
      <c r="AB36" t="str">
        <f>セットアップレポート!AA36</f>
        <v>NONE</v>
      </c>
      <c r="AC36">
        <f>セットアップレポート!AB36</f>
        <v>0</v>
      </c>
      <c r="AD36">
        <f>セットアップレポート!AC36</f>
        <v>0</v>
      </c>
      <c r="AE36">
        <f>セットアップレポート!AD36</f>
        <v>0</v>
      </c>
      <c r="AF36">
        <f>セットアップレポート!AE36</f>
        <v>0</v>
      </c>
      <c r="AG36">
        <f>セットアップレポート!AF36</f>
        <v>0</v>
      </c>
      <c r="AH36">
        <f>セットアップレポート!AG36</f>
        <v>0</v>
      </c>
    </row>
    <row r="37" spans="1:34" x14ac:dyDescent="0.45">
      <c r="A37" t="str">
        <f t="shared" si="0"/>
        <v>L2-NPM010010L9000070424</v>
      </c>
      <c r="B37" t="str">
        <f>セットアップレポート!A37</f>
        <v>Line-2</v>
      </c>
      <c r="C37" t="str">
        <f>セットアップレポート!B37</f>
        <v>L2-NPM01</v>
      </c>
      <c r="D37" t="str">
        <f>セットアップレポート!C37</f>
        <v>Zone-2-NPMW-1</v>
      </c>
      <c r="E37">
        <f>セットアップレポート!D37</f>
        <v>1</v>
      </c>
      <c r="F37">
        <f>セットアップレポート!E37</f>
        <v>1</v>
      </c>
      <c r="G37" t="str">
        <f>セットアップレポート!F37</f>
        <v>10010L</v>
      </c>
      <c r="H37">
        <f>セットアップレポート!G37</f>
        <v>10</v>
      </c>
      <c r="I37" t="str">
        <f>セットアップレポート!H37</f>
        <v>L</v>
      </c>
      <c r="J37" t="str">
        <f>セットアップレポート!I37</f>
        <v>9000070424 100005</v>
      </c>
      <c r="K37">
        <f>セットアップレポート!J37</f>
        <v>9000070424</v>
      </c>
      <c r="L37">
        <f>セットアップレポート!K37</f>
        <v>0</v>
      </c>
      <c r="M37">
        <f>セットアップレポート!L37</f>
        <v>0</v>
      </c>
      <c r="N37">
        <f>セットアップレポート!M37</f>
        <v>0</v>
      </c>
      <c r="O37">
        <f>セットアップレポート!N37</f>
        <v>0</v>
      </c>
      <c r="P37" t="str">
        <f>セットアップレポート!O37</f>
        <v>FA0201ACD051167</v>
      </c>
      <c r="Q37">
        <f>セットアップレポート!P37</f>
        <v>10000</v>
      </c>
      <c r="R37">
        <f>セットアップレポート!Q37</f>
        <v>45950.475057870368</v>
      </c>
      <c r="S37">
        <f>セットアップレポート!R37</f>
        <v>0</v>
      </c>
      <c r="T37">
        <f>セットアップレポート!S37</f>
        <v>0</v>
      </c>
      <c r="U37">
        <f>セットアップレポート!T37</f>
        <v>0</v>
      </c>
      <c r="V37">
        <f>セットアップレポート!U37</f>
        <v>0</v>
      </c>
      <c r="W37">
        <f>セットアップレポート!V37</f>
        <v>0</v>
      </c>
      <c r="X37">
        <f>セットアップレポート!W37</f>
        <v>0</v>
      </c>
      <c r="Y37">
        <f>セットアップレポート!X37</f>
        <v>0</v>
      </c>
      <c r="Z37">
        <f>セットアップレポート!Y37</f>
        <v>0</v>
      </c>
      <c r="AA37">
        <f>セットアップレポート!Z37</f>
        <v>0</v>
      </c>
      <c r="AB37" t="str">
        <f>セットアップレポート!AA37</f>
        <v>NONE</v>
      </c>
      <c r="AC37">
        <f>セットアップレポート!AB37</f>
        <v>0</v>
      </c>
      <c r="AD37">
        <f>セットアップレポート!AC37</f>
        <v>0</v>
      </c>
      <c r="AE37">
        <f>セットアップレポート!AD37</f>
        <v>0</v>
      </c>
      <c r="AF37">
        <f>セットアップレポート!AE37</f>
        <v>0</v>
      </c>
      <c r="AG37">
        <f>セットアップレポート!AF37</f>
        <v>0</v>
      </c>
      <c r="AH37">
        <f>セットアップレポート!AG37</f>
        <v>0</v>
      </c>
    </row>
    <row r="38" spans="1:34" x14ac:dyDescent="0.45">
      <c r="A38" t="str">
        <f t="shared" si="0"/>
        <v>L2-NPM010011L9000068491</v>
      </c>
      <c r="B38" t="str">
        <f>セットアップレポート!A38</f>
        <v>Line-2</v>
      </c>
      <c r="C38" t="str">
        <f>セットアップレポート!B38</f>
        <v>L2-NPM01</v>
      </c>
      <c r="D38" t="str">
        <f>セットアップレポート!C38</f>
        <v>Zone-2-NPMW-1</v>
      </c>
      <c r="E38">
        <f>セットアップレポート!D38</f>
        <v>1</v>
      </c>
      <c r="F38">
        <f>セットアップレポート!E38</f>
        <v>1</v>
      </c>
      <c r="G38" t="str">
        <f>セットアップレポート!F38</f>
        <v>10011L</v>
      </c>
      <c r="H38">
        <f>セットアップレポート!G38</f>
        <v>11</v>
      </c>
      <c r="I38" t="str">
        <f>セットアップレポート!H38</f>
        <v>L</v>
      </c>
      <c r="J38" t="str">
        <f>セットアップレポート!I38</f>
        <v>9000068491 100015</v>
      </c>
      <c r="K38">
        <f>セットアップレポート!J38</f>
        <v>9000068491</v>
      </c>
      <c r="L38">
        <f>セットアップレポート!K38</f>
        <v>0</v>
      </c>
      <c r="M38">
        <f>セットアップレポート!L38</f>
        <v>0</v>
      </c>
      <c r="N38">
        <f>セットアップレポート!M38</f>
        <v>0</v>
      </c>
      <c r="O38">
        <f>セットアップレポート!N38</f>
        <v>0</v>
      </c>
      <c r="P38" t="str">
        <f>セットアップレポート!O38</f>
        <v>FA0201ACD051179</v>
      </c>
      <c r="Q38">
        <f>セットアップレポート!P38</f>
        <v>15000</v>
      </c>
      <c r="R38">
        <f>セットアップレポート!Q38</f>
        <v>45950.475057870368</v>
      </c>
      <c r="S38">
        <f>セットアップレポート!R38</f>
        <v>0</v>
      </c>
      <c r="T38">
        <f>セットアップレポート!S38</f>
        <v>0</v>
      </c>
      <c r="U38">
        <f>セットアップレポート!T38</f>
        <v>0</v>
      </c>
      <c r="V38">
        <f>セットアップレポート!U38</f>
        <v>0</v>
      </c>
      <c r="W38">
        <f>セットアップレポート!V38</f>
        <v>0</v>
      </c>
      <c r="X38">
        <f>セットアップレポート!W38</f>
        <v>0</v>
      </c>
      <c r="Y38">
        <f>セットアップレポート!X38</f>
        <v>0</v>
      </c>
      <c r="Z38">
        <f>セットアップレポート!Y38</f>
        <v>0</v>
      </c>
      <c r="AA38">
        <f>セットアップレポート!Z38</f>
        <v>0</v>
      </c>
      <c r="AB38" t="str">
        <f>セットアップレポート!AA38</f>
        <v>NONE</v>
      </c>
      <c r="AC38">
        <f>セットアップレポート!AB38</f>
        <v>0</v>
      </c>
      <c r="AD38">
        <f>セットアップレポート!AC38</f>
        <v>0</v>
      </c>
      <c r="AE38">
        <f>セットアップレポート!AD38</f>
        <v>0</v>
      </c>
      <c r="AF38">
        <f>セットアップレポート!AE38</f>
        <v>0</v>
      </c>
      <c r="AG38">
        <f>セットアップレポート!AF38</f>
        <v>0</v>
      </c>
      <c r="AH38">
        <f>セットアップレポート!AG38</f>
        <v>0</v>
      </c>
    </row>
    <row r="39" spans="1:34" x14ac:dyDescent="0.45">
      <c r="A39" t="str">
        <f t="shared" si="0"/>
        <v>L2-NPM010012L687436</v>
      </c>
      <c r="B39" t="str">
        <f>セットアップレポート!A39</f>
        <v>Line-2</v>
      </c>
      <c r="C39" t="str">
        <f>セットアップレポート!B39</f>
        <v>L2-NPM01</v>
      </c>
      <c r="D39" t="str">
        <f>セットアップレポート!C39</f>
        <v>Zone-2-NPMW-1</v>
      </c>
      <c r="E39">
        <f>セットアップレポート!D39</f>
        <v>1</v>
      </c>
      <c r="F39">
        <f>セットアップレポート!E39</f>
        <v>1</v>
      </c>
      <c r="G39" t="str">
        <f>セットアップレポート!F39</f>
        <v>10012L</v>
      </c>
      <c r="H39">
        <f>セットアップレポート!G39</f>
        <v>12</v>
      </c>
      <c r="I39" t="str">
        <f>セットアップレポート!H39</f>
        <v>L</v>
      </c>
      <c r="J39" t="str">
        <f>セットアップレポート!I39</f>
        <v>687436 100128</v>
      </c>
      <c r="K39">
        <f>セットアップレポート!J39</f>
        <v>687436</v>
      </c>
      <c r="L39">
        <f>セットアップレポート!K39</f>
        <v>0</v>
      </c>
      <c r="M39">
        <f>セットアップレポート!L39</f>
        <v>0</v>
      </c>
      <c r="N39">
        <f>セットアップレポート!M39</f>
        <v>0</v>
      </c>
      <c r="O39">
        <f>セットアップレポート!N39</f>
        <v>0</v>
      </c>
      <c r="P39" t="str">
        <f>セットアップレポート!O39</f>
        <v>FA0201ACD050994</v>
      </c>
      <c r="Q39">
        <f>セットアップレポート!P39</f>
        <v>10000</v>
      </c>
      <c r="R39">
        <f>セットアップレポート!Q39</f>
        <v>45950.475069444445</v>
      </c>
      <c r="S39" t="str">
        <f>セットアップレポート!R39</f>
        <v>kumagai tuneo</v>
      </c>
      <c r="T39">
        <f>セットアップレポート!S39</f>
        <v>0</v>
      </c>
      <c r="U39">
        <f>セットアップレポート!T39</f>
        <v>0</v>
      </c>
      <c r="V39">
        <f>セットアップレポート!U39</f>
        <v>0</v>
      </c>
      <c r="W39">
        <f>セットアップレポート!V39</f>
        <v>0</v>
      </c>
      <c r="X39">
        <f>セットアップレポート!W39</f>
        <v>0</v>
      </c>
      <c r="Y39">
        <f>セットアップレポート!X39</f>
        <v>0</v>
      </c>
      <c r="Z39">
        <f>セットアップレポート!Y39</f>
        <v>0</v>
      </c>
      <c r="AA39">
        <f>セットアップレポート!Z39</f>
        <v>0</v>
      </c>
      <c r="AB39" t="str">
        <f>セットアップレポート!AA39</f>
        <v>NONE</v>
      </c>
      <c r="AC39">
        <f>セットアップレポート!AB39</f>
        <v>0</v>
      </c>
      <c r="AD39">
        <f>セットアップレポート!AC39</f>
        <v>0</v>
      </c>
      <c r="AE39">
        <f>セットアップレポート!AD39</f>
        <v>0</v>
      </c>
      <c r="AF39">
        <f>セットアップレポート!AE39</f>
        <v>0</v>
      </c>
      <c r="AG39">
        <f>セットアップレポート!AF39</f>
        <v>0</v>
      </c>
      <c r="AH39">
        <f>セットアップレポート!AG39</f>
        <v>0</v>
      </c>
    </row>
    <row r="40" spans="1:34" x14ac:dyDescent="0.45">
      <c r="A40" t="str">
        <f t="shared" si="0"/>
        <v>L2-NPM010013L911738</v>
      </c>
      <c r="B40" t="str">
        <f>セットアップレポート!A40</f>
        <v>Line-2</v>
      </c>
      <c r="C40" t="str">
        <f>セットアップレポート!B40</f>
        <v>L2-NPM01</v>
      </c>
      <c r="D40" t="str">
        <f>セットアップレポート!C40</f>
        <v>Zone-2-NPMW-1</v>
      </c>
      <c r="E40">
        <f>セットアップレポート!D40</f>
        <v>1</v>
      </c>
      <c r="F40">
        <f>セットアップレポート!E40</f>
        <v>1</v>
      </c>
      <c r="G40" t="str">
        <f>セットアップレポート!F40</f>
        <v>10013L</v>
      </c>
      <c r="H40">
        <f>セットアップレポート!G40</f>
        <v>13</v>
      </c>
      <c r="I40" t="str">
        <f>セットアップレポート!H40</f>
        <v>L</v>
      </c>
      <c r="J40" t="str">
        <f>セットアップレポート!I40</f>
        <v>911738 100616</v>
      </c>
      <c r="K40">
        <f>セットアップレポート!J40</f>
        <v>911738</v>
      </c>
      <c r="L40">
        <f>セットアップレポート!K40</f>
        <v>0</v>
      </c>
      <c r="M40">
        <f>セットアップレポート!L40</f>
        <v>0</v>
      </c>
      <c r="N40">
        <f>セットアップレポート!M40</f>
        <v>0</v>
      </c>
      <c r="O40">
        <f>セットアップレポート!N40</f>
        <v>0</v>
      </c>
      <c r="P40" t="str">
        <f>セットアップレポート!O40</f>
        <v>FA0201ABA002409</v>
      </c>
      <c r="Q40">
        <f>セットアップレポート!P40</f>
        <v>10000</v>
      </c>
      <c r="R40">
        <f>セットアップレポート!Q40</f>
        <v>45936.793391203704</v>
      </c>
      <c r="S40">
        <f>セットアップレポート!R40</f>
        <v>0</v>
      </c>
      <c r="T40">
        <f>セットアップレポート!S40</f>
        <v>0</v>
      </c>
      <c r="U40">
        <f>セットアップレポート!T40</f>
        <v>0</v>
      </c>
      <c r="V40">
        <f>セットアップレポート!U40</f>
        <v>0</v>
      </c>
      <c r="W40">
        <f>セットアップレポート!V40</f>
        <v>0</v>
      </c>
      <c r="X40">
        <f>セットアップレポート!W40</f>
        <v>0</v>
      </c>
      <c r="Y40">
        <f>セットアップレポート!X40</f>
        <v>0</v>
      </c>
      <c r="Z40">
        <f>セットアップレポート!Y40</f>
        <v>0</v>
      </c>
      <c r="AA40">
        <f>セットアップレポート!Z40</f>
        <v>0</v>
      </c>
      <c r="AB40" t="str">
        <f>セットアップレポート!AA40</f>
        <v>NONE</v>
      </c>
      <c r="AC40">
        <f>セットアップレポート!AB40</f>
        <v>0</v>
      </c>
      <c r="AD40">
        <f>セットアップレポート!AC40</f>
        <v>0</v>
      </c>
      <c r="AE40">
        <f>セットアップレポート!AD40</f>
        <v>0</v>
      </c>
      <c r="AF40">
        <f>セットアップレポート!AE40</f>
        <v>0</v>
      </c>
      <c r="AG40">
        <f>セットアップレポート!AF40</f>
        <v>0</v>
      </c>
      <c r="AH40">
        <f>セットアップレポート!AG40</f>
        <v>0</v>
      </c>
    </row>
    <row r="41" spans="1:34" x14ac:dyDescent="0.45">
      <c r="A41" t="str">
        <f t="shared" si="0"/>
        <v>L2-NPM010014L9000063270</v>
      </c>
      <c r="B41" t="str">
        <f>セットアップレポート!A41</f>
        <v>Line-2</v>
      </c>
      <c r="C41" t="str">
        <f>セットアップレポート!B41</f>
        <v>L2-NPM01</v>
      </c>
      <c r="D41" t="str">
        <f>セットアップレポート!C41</f>
        <v>Zone-2-NPMW-1</v>
      </c>
      <c r="E41">
        <f>セットアップレポート!D41</f>
        <v>1</v>
      </c>
      <c r="F41">
        <f>セットアップレポート!E41</f>
        <v>1</v>
      </c>
      <c r="G41" t="str">
        <f>セットアップレポート!F41</f>
        <v>10014L</v>
      </c>
      <c r="H41">
        <f>セットアップレポート!G41</f>
        <v>14</v>
      </c>
      <c r="I41" t="str">
        <f>セットアップレポート!H41</f>
        <v>L</v>
      </c>
      <c r="J41" t="str">
        <f>セットアップレポート!I41</f>
        <v>9000063270 100052</v>
      </c>
      <c r="K41">
        <f>セットアップレポート!J41</f>
        <v>9000063270</v>
      </c>
      <c r="L41">
        <f>セットアップレポート!K41</f>
        <v>0</v>
      </c>
      <c r="M41">
        <f>セットアップレポート!L41</f>
        <v>0</v>
      </c>
      <c r="N41">
        <f>セットアップレポート!M41</f>
        <v>0</v>
      </c>
      <c r="O41">
        <f>セットアップレポート!N41</f>
        <v>0</v>
      </c>
      <c r="P41" t="str">
        <f>セットアップレポート!O41</f>
        <v>FA0201ACD050826</v>
      </c>
      <c r="Q41">
        <f>セットアップレポート!P41</f>
        <v>10000</v>
      </c>
      <c r="R41">
        <f>セットアップレポート!Q41</f>
        <v>45931.821273148147</v>
      </c>
      <c r="S41">
        <f>セットアップレポート!R41</f>
        <v>0</v>
      </c>
      <c r="T41">
        <f>セットアップレポート!S41</f>
        <v>0</v>
      </c>
      <c r="U41">
        <f>セットアップレポート!T41</f>
        <v>0</v>
      </c>
      <c r="V41">
        <f>セットアップレポート!U41</f>
        <v>0</v>
      </c>
      <c r="W41">
        <f>セットアップレポート!V41</f>
        <v>0</v>
      </c>
      <c r="X41">
        <f>セットアップレポート!W41</f>
        <v>0</v>
      </c>
      <c r="Y41">
        <f>セットアップレポート!X41</f>
        <v>0</v>
      </c>
      <c r="Z41">
        <f>セットアップレポート!Y41</f>
        <v>0</v>
      </c>
      <c r="AA41">
        <f>セットアップレポート!Z41</f>
        <v>0</v>
      </c>
      <c r="AB41" t="str">
        <f>セットアップレポート!AA41</f>
        <v>NONE</v>
      </c>
      <c r="AC41">
        <f>セットアップレポート!AB41</f>
        <v>0</v>
      </c>
      <c r="AD41">
        <f>セットアップレポート!AC41</f>
        <v>0</v>
      </c>
      <c r="AE41">
        <f>セットアップレポート!AD41</f>
        <v>0</v>
      </c>
      <c r="AF41">
        <f>セットアップレポート!AE41</f>
        <v>0</v>
      </c>
      <c r="AG41">
        <f>セットアップレポート!AF41</f>
        <v>0</v>
      </c>
      <c r="AH41">
        <f>セットアップレポート!AG41</f>
        <v>0</v>
      </c>
    </row>
    <row r="42" spans="1:34" x14ac:dyDescent="0.45">
      <c r="A42" t="str">
        <f t="shared" si="0"/>
        <v>L2-NPM010015L912933</v>
      </c>
      <c r="B42" t="str">
        <f>セットアップレポート!A42</f>
        <v>Line-2</v>
      </c>
      <c r="C42" t="str">
        <f>セットアップレポート!B42</f>
        <v>L2-NPM01</v>
      </c>
      <c r="D42" t="str">
        <f>セットアップレポート!C42</f>
        <v>Zone-2-NPMW-1</v>
      </c>
      <c r="E42">
        <f>セットアップレポート!D42</f>
        <v>1</v>
      </c>
      <c r="F42">
        <f>セットアップレポート!E42</f>
        <v>1</v>
      </c>
      <c r="G42" t="str">
        <f>セットアップレポート!F42</f>
        <v>10015L</v>
      </c>
      <c r="H42">
        <f>セットアップレポート!G42</f>
        <v>15</v>
      </c>
      <c r="I42" t="str">
        <f>セットアップレポート!H42</f>
        <v>L</v>
      </c>
      <c r="J42" t="str">
        <f>セットアップレポート!I42</f>
        <v>912933 100070</v>
      </c>
      <c r="K42">
        <f>セットアップレポート!J42</f>
        <v>912933</v>
      </c>
      <c r="L42">
        <f>セットアップレポート!K42</f>
        <v>0</v>
      </c>
      <c r="M42">
        <f>セットアップレポート!L42</f>
        <v>0</v>
      </c>
      <c r="N42">
        <f>セットアップレポート!M42</f>
        <v>0</v>
      </c>
      <c r="O42">
        <f>セットアップレポート!N42</f>
        <v>0</v>
      </c>
      <c r="P42" t="str">
        <f>セットアップレポート!O42</f>
        <v>FA0201ACD051135</v>
      </c>
      <c r="Q42">
        <f>セットアップレポート!P42</f>
        <v>10000</v>
      </c>
      <c r="R42">
        <f>セットアップレポート!Q42</f>
        <v>45931.821273148147</v>
      </c>
      <c r="S42">
        <f>セットアップレポート!R42</f>
        <v>0</v>
      </c>
      <c r="T42">
        <f>セットアップレポート!S42</f>
        <v>0</v>
      </c>
      <c r="U42">
        <f>セットアップレポート!T42</f>
        <v>0</v>
      </c>
      <c r="V42">
        <f>セットアップレポート!U42</f>
        <v>0</v>
      </c>
      <c r="W42">
        <f>セットアップレポート!V42</f>
        <v>0</v>
      </c>
      <c r="X42">
        <f>セットアップレポート!W42</f>
        <v>0</v>
      </c>
      <c r="Y42">
        <f>セットアップレポート!X42</f>
        <v>0</v>
      </c>
      <c r="Z42">
        <f>セットアップレポート!Y42</f>
        <v>0</v>
      </c>
      <c r="AA42">
        <f>セットアップレポート!Z42</f>
        <v>0</v>
      </c>
      <c r="AB42" t="str">
        <f>セットアップレポート!AA42</f>
        <v>NONE</v>
      </c>
      <c r="AC42">
        <f>セットアップレポート!AB42</f>
        <v>0</v>
      </c>
      <c r="AD42">
        <f>セットアップレポート!AC42</f>
        <v>0</v>
      </c>
      <c r="AE42">
        <f>セットアップレポート!AD42</f>
        <v>0</v>
      </c>
      <c r="AF42">
        <f>セットアップレポート!AE42</f>
        <v>0</v>
      </c>
      <c r="AG42">
        <f>セットアップレポート!AF42</f>
        <v>0</v>
      </c>
      <c r="AH42">
        <f>セットアップレポート!AG42</f>
        <v>0</v>
      </c>
    </row>
    <row r="43" spans="1:34" x14ac:dyDescent="0.45">
      <c r="A43" t="str">
        <f t="shared" si="0"/>
        <v>L2-NPM010001L659298</v>
      </c>
      <c r="B43" t="str">
        <f>セットアップレポート!A43</f>
        <v>Line-2</v>
      </c>
      <c r="C43" t="str">
        <f>セットアップレポート!B43</f>
        <v>L2-NPM01</v>
      </c>
      <c r="D43" t="str">
        <f>セットアップレポート!C43</f>
        <v>Zone-2-NPMW-1</v>
      </c>
      <c r="E43">
        <f>セットアップレポート!D43</f>
        <v>1</v>
      </c>
      <c r="F43">
        <f>セットアップレポート!E43</f>
        <v>1</v>
      </c>
      <c r="G43" t="str">
        <f>セットアップレポート!F43</f>
        <v>20001L</v>
      </c>
      <c r="H43">
        <f>セットアップレポート!G43</f>
        <v>1</v>
      </c>
      <c r="I43" t="str">
        <f>セットアップレポート!H43</f>
        <v>L</v>
      </c>
      <c r="J43" t="str">
        <f>セットアップレポート!I43</f>
        <v>659298 107708</v>
      </c>
      <c r="K43">
        <f>セットアップレポート!J43</f>
        <v>659298</v>
      </c>
      <c r="L43">
        <f>セットアップレポート!K43</f>
        <v>0</v>
      </c>
      <c r="M43">
        <f>セットアップレポート!L43</f>
        <v>0</v>
      </c>
      <c r="N43">
        <f>セットアップレポート!M43</f>
        <v>0</v>
      </c>
      <c r="O43">
        <f>セットアップレポート!N43</f>
        <v>0</v>
      </c>
      <c r="P43" t="str">
        <f>セットアップレポート!O43</f>
        <v>FA0201ABA002598</v>
      </c>
      <c r="Q43">
        <f>セットアップレポート!P43</f>
        <v>10000</v>
      </c>
      <c r="R43">
        <f>セットアップレポート!Q43</f>
        <v>45950.475069444445</v>
      </c>
      <c r="S43">
        <f>セットアップレポート!R43</f>
        <v>0</v>
      </c>
      <c r="T43">
        <f>セットアップレポート!S43</f>
        <v>0</v>
      </c>
      <c r="U43">
        <f>セットアップレポート!T43</f>
        <v>0</v>
      </c>
      <c r="V43">
        <f>セットアップレポート!U43</f>
        <v>0</v>
      </c>
      <c r="W43">
        <f>セットアップレポート!V43</f>
        <v>0</v>
      </c>
      <c r="X43">
        <f>セットアップレポート!W43</f>
        <v>0</v>
      </c>
      <c r="Y43">
        <f>セットアップレポート!X43</f>
        <v>0</v>
      </c>
      <c r="Z43">
        <f>セットアップレポート!Y43</f>
        <v>0</v>
      </c>
      <c r="AA43">
        <f>セットアップレポート!Z43</f>
        <v>0</v>
      </c>
      <c r="AB43" t="str">
        <f>セットアップレポート!AA43</f>
        <v>NONE</v>
      </c>
      <c r="AC43">
        <f>セットアップレポート!AB43</f>
        <v>0</v>
      </c>
      <c r="AD43">
        <f>セットアップレポート!AC43</f>
        <v>0</v>
      </c>
      <c r="AE43">
        <f>セットアップレポート!AD43</f>
        <v>0</v>
      </c>
      <c r="AF43">
        <f>セットアップレポート!AE43</f>
        <v>0</v>
      </c>
      <c r="AG43">
        <f>セットアップレポート!AF43</f>
        <v>0</v>
      </c>
      <c r="AH43">
        <f>セットアップレポート!AG43</f>
        <v>0</v>
      </c>
    </row>
    <row r="44" spans="1:34" x14ac:dyDescent="0.45">
      <c r="A44" t="str">
        <f t="shared" si="0"/>
        <v>L2-NPM010002L667734</v>
      </c>
      <c r="B44" t="str">
        <f>セットアップレポート!A44</f>
        <v>Line-2</v>
      </c>
      <c r="C44" t="str">
        <f>セットアップレポート!B44</f>
        <v>L2-NPM01</v>
      </c>
      <c r="D44" t="str">
        <f>セットアップレポート!C44</f>
        <v>Zone-2-NPMW-1</v>
      </c>
      <c r="E44">
        <f>セットアップレポート!D44</f>
        <v>1</v>
      </c>
      <c r="F44">
        <f>セットアップレポート!E44</f>
        <v>1</v>
      </c>
      <c r="G44" t="str">
        <f>セットアップレポート!F44</f>
        <v>20002L</v>
      </c>
      <c r="H44">
        <f>セットアップレポート!G44</f>
        <v>2</v>
      </c>
      <c r="I44" t="str">
        <f>セットアップレポート!H44</f>
        <v>L</v>
      </c>
      <c r="J44" t="str">
        <f>セットアップレポート!I44</f>
        <v>667734 101737</v>
      </c>
      <c r="K44">
        <f>セットアップレポート!J44</f>
        <v>667734</v>
      </c>
      <c r="L44">
        <f>セットアップレポート!K44</f>
        <v>0</v>
      </c>
      <c r="M44">
        <f>セットアップレポート!L44</f>
        <v>0</v>
      </c>
      <c r="N44">
        <f>セットアップレポート!M44</f>
        <v>0</v>
      </c>
      <c r="O44">
        <f>セットアップレポート!N44</f>
        <v>0</v>
      </c>
      <c r="P44" t="str">
        <f>セットアップレポート!O44</f>
        <v>FA0201ABA002369</v>
      </c>
      <c r="Q44">
        <f>セットアップレポート!P44</f>
        <v>10000</v>
      </c>
      <c r="R44">
        <f>セットアップレポート!Q44</f>
        <v>45950.475069444445</v>
      </c>
      <c r="S44">
        <f>セットアップレポート!R44</f>
        <v>0</v>
      </c>
      <c r="T44" t="str">
        <f>セットアップレポート!S44</f>
        <v>Yes</v>
      </c>
      <c r="U44">
        <f>セットアップレポート!T44</f>
        <v>0</v>
      </c>
      <c r="V44" t="str">
        <f>セットアップレポート!U44</f>
        <v>667734 101768</v>
      </c>
      <c r="W44">
        <f>セットアップレポート!V44</f>
        <v>0</v>
      </c>
      <c r="X44">
        <f>セットアップレポート!W44</f>
        <v>0</v>
      </c>
      <c r="Y44">
        <f>セットアップレポート!X44</f>
        <v>0</v>
      </c>
      <c r="Z44">
        <f>セットアップレポート!Y44</f>
        <v>0</v>
      </c>
      <c r="AA44">
        <f>セットアップレポート!Z44</f>
        <v>0</v>
      </c>
      <c r="AB44" t="str">
        <f>セットアップレポート!AA44</f>
        <v>NONE</v>
      </c>
      <c r="AC44">
        <f>セットアップレポート!AB44</f>
        <v>0</v>
      </c>
      <c r="AD44">
        <f>セットアップレポート!AC44</f>
        <v>0</v>
      </c>
      <c r="AE44">
        <f>セットアップレポート!AD44</f>
        <v>0</v>
      </c>
      <c r="AF44">
        <f>セットアップレポート!AE44</f>
        <v>0</v>
      </c>
      <c r="AG44">
        <f>セットアップレポート!AF44</f>
        <v>0</v>
      </c>
      <c r="AH44">
        <f>セットアップレポート!AG44</f>
        <v>0</v>
      </c>
    </row>
    <row r="45" spans="1:34" x14ac:dyDescent="0.45">
      <c r="A45" t="str">
        <f t="shared" si="0"/>
        <v>L2-NPM010003L9000068500</v>
      </c>
      <c r="B45" t="str">
        <f>セットアップレポート!A45</f>
        <v>Line-2</v>
      </c>
      <c r="C45" t="str">
        <f>セットアップレポート!B45</f>
        <v>L2-NPM01</v>
      </c>
      <c r="D45" t="str">
        <f>セットアップレポート!C45</f>
        <v>Zone-2-NPMW-1</v>
      </c>
      <c r="E45">
        <f>セットアップレポート!D45</f>
        <v>1</v>
      </c>
      <c r="F45">
        <f>セットアップレポート!E45</f>
        <v>1</v>
      </c>
      <c r="G45" t="str">
        <f>セットアップレポート!F45</f>
        <v>20003L</v>
      </c>
      <c r="H45">
        <f>セットアップレポート!G45</f>
        <v>3</v>
      </c>
      <c r="I45" t="str">
        <f>セットアップレポート!H45</f>
        <v>L</v>
      </c>
      <c r="J45" t="str">
        <f>セットアップレポート!I45</f>
        <v>9000068500 100681</v>
      </c>
      <c r="K45">
        <f>セットアップレポート!J45</f>
        <v>9000068500</v>
      </c>
      <c r="L45">
        <f>セットアップレポート!K45</f>
        <v>0</v>
      </c>
      <c r="M45">
        <f>セットアップレポート!L45</f>
        <v>0</v>
      </c>
      <c r="N45">
        <f>セットアップレポート!M45</f>
        <v>0</v>
      </c>
      <c r="O45">
        <f>セットアップレポート!N45</f>
        <v>0</v>
      </c>
      <c r="P45" t="str">
        <f>セットアップレポート!O45</f>
        <v>FA0201ABD000592</v>
      </c>
      <c r="Q45">
        <f>セットアップレポート!P45</f>
        <v>10000</v>
      </c>
      <c r="R45">
        <f>セットアップレポート!Q45</f>
        <v>45950.475069444445</v>
      </c>
      <c r="S45">
        <f>セットアップレポート!R45</f>
        <v>0</v>
      </c>
      <c r="T45">
        <f>セットアップレポート!S45</f>
        <v>0</v>
      </c>
      <c r="U45">
        <f>セットアップレポート!T45</f>
        <v>0</v>
      </c>
      <c r="V45">
        <f>セットアップレポート!U45</f>
        <v>0</v>
      </c>
      <c r="W45">
        <f>セットアップレポート!V45</f>
        <v>0</v>
      </c>
      <c r="X45">
        <f>セットアップレポート!W45</f>
        <v>0</v>
      </c>
      <c r="Y45">
        <f>セットアップレポート!X45</f>
        <v>0</v>
      </c>
      <c r="Z45">
        <f>セットアップレポート!Y45</f>
        <v>0</v>
      </c>
      <c r="AA45">
        <f>セットアップレポート!Z45</f>
        <v>0</v>
      </c>
      <c r="AB45" t="str">
        <f>セットアップレポート!AA45</f>
        <v>NONE</v>
      </c>
      <c r="AC45">
        <f>セットアップレポート!AB45</f>
        <v>0</v>
      </c>
      <c r="AD45">
        <f>セットアップレポート!AC45</f>
        <v>0</v>
      </c>
      <c r="AE45">
        <f>セットアップレポート!AD45</f>
        <v>0</v>
      </c>
      <c r="AF45">
        <f>セットアップレポート!AE45</f>
        <v>0</v>
      </c>
      <c r="AG45">
        <f>セットアップレポート!AF45</f>
        <v>0</v>
      </c>
      <c r="AH45">
        <f>セットアップレポート!AG45</f>
        <v>0</v>
      </c>
    </row>
    <row r="46" spans="1:34" x14ac:dyDescent="0.45">
      <c r="A46" t="str">
        <f t="shared" si="0"/>
        <v>L2-NPM010004L9000069298</v>
      </c>
      <c r="B46" t="str">
        <f>セットアップレポート!A46</f>
        <v>Line-2</v>
      </c>
      <c r="C46" t="str">
        <f>セットアップレポート!B46</f>
        <v>L2-NPM01</v>
      </c>
      <c r="D46" t="str">
        <f>セットアップレポート!C46</f>
        <v>Zone-2-NPMW-1</v>
      </c>
      <c r="E46">
        <f>セットアップレポート!D46</f>
        <v>1</v>
      </c>
      <c r="F46">
        <f>セットアップレポート!E46</f>
        <v>1</v>
      </c>
      <c r="G46" t="str">
        <f>セットアップレポート!F46</f>
        <v>20004L</v>
      </c>
      <c r="H46">
        <f>セットアップレポート!G46</f>
        <v>4</v>
      </c>
      <c r="I46" t="str">
        <f>セットアップレポート!H46</f>
        <v>L</v>
      </c>
      <c r="J46" t="str">
        <f>セットアップレポート!I46</f>
        <v>9000069298 100003</v>
      </c>
      <c r="K46">
        <f>セットアップレポート!J46</f>
        <v>9000069298</v>
      </c>
      <c r="L46">
        <f>セットアップレポート!K46</f>
        <v>0</v>
      </c>
      <c r="M46">
        <f>セットアップレポート!L46</f>
        <v>0</v>
      </c>
      <c r="N46">
        <f>セットアップレポート!M46</f>
        <v>0</v>
      </c>
      <c r="O46">
        <f>セットアップレポート!N46</f>
        <v>0</v>
      </c>
      <c r="P46" t="str">
        <f>セットアップレポート!O46</f>
        <v>FA0201ACD049733</v>
      </c>
      <c r="Q46">
        <f>セットアップレポート!P46</f>
        <v>3000</v>
      </c>
      <c r="R46">
        <f>セットアップレポート!Q46</f>
        <v>45950.475069444445</v>
      </c>
      <c r="S46">
        <f>セットアップレポート!R46</f>
        <v>0</v>
      </c>
      <c r="T46">
        <f>セットアップレポート!S46</f>
        <v>0</v>
      </c>
      <c r="U46">
        <f>セットアップレポート!T46</f>
        <v>0</v>
      </c>
      <c r="V46">
        <f>セットアップレポート!U46</f>
        <v>0</v>
      </c>
      <c r="W46">
        <f>セットアップレポート!V46</f>
        <v>0</v>
      </c>
      <c r="X46">
        <f>セットアップレポート!W46</f>
        <v>0</v>
      </c>
      <c r="Y46">
        <f>セットアップレポート!X46</f>
        <v>0</v>
      </c>
      <c r="Z46">
        <f>セットアップレポート!Y46</f>
        <v>0</v>
      </c>
      <c r="AA46">
        <f>セットアップレポート!Z46</f>
        <v>0</v>
      </c>
      <c r="AB46" t="str">
        <f>セットアップレポート!AA46</f>
        <v>NONE</v>
      </c>
      <c r="AC46">
        <f>セットアップレポート!AB46</f>
        <v>0</v>
      </c>
      <c r="AD46">
        <f>セットアップレポート!AC46</f>
        <v>0</v>
      </c>
      <c r="AE46">
        <f>セットアップレポート!AD46</f>
        <v>0</v>
      </c>
      <c r="AF46">
        <f>セットアップレポート!AE46</f>
        <v>0</v>
      </c>
      <c r="AG46">
        <f>セットアップレポート!AF46</f>
        <v>0</v>
      </c>
      <c r="AH46">
        <f>セットアップレポート!AG46</f>
        <v>0</v>
      </c>
    </row>
    <row r="47" spans="1:34" x14ac:dyDescent="0.45">
      <c r="A47" t="str">
        <f t="shared" si="0"/>
        <v>L2-NPM010005L667877</v>
      </c>
      <c r="B47" t="str">
        <f>セットアップレポート!A47</f>
        <v>Line-2</v>
      </c>
      <c r="C47" t="str">
        <f>セットアップレポート!B47</f>
        <v>L2-NPM01</v>
      </c>
      <c r="D47" t="str">
        <f>セットアップレポート!C47</f>
        <v>Zone-2-NPMW-1</v>
      </c>
      <c r="E47">
        <f>セットアップレポート!D47</f>
        <v>1</v>
      </c>
      <c r="F47">
        <f>セットアップレポート!E47</f>
        <v>1</v>
      </c>
      <c r="G47" t="str">
        <f>セットアップレポート!F47</f>
        <v>20005L</v>
      </c>
      <c r="H47">
        <f>セットアップレポート!G47</f>
        <v>5</v>
      </c>
      <c r="I47" t="str">
        <f>セットアップレポート!H47</f>
        <v>L</v>
      </c>
      <c r="J47" t="str">
        <f>セットアップレポート!I47</f>
        <v>667877 100594</v>
      </c>
      <c r="K47">
        <f>セットアップレポート!J47</f>
        <v>667877</v>
      </c>
      <c r="L47">
        <f>セットアップレポート!K47</f>
        <v>0</v>
      </c>
      <c r="M47">
        <f>セットアップレポート!L47</f>
        <v>0</v>
      </c>
      <c r="N47">
        <f>セットアップレポート!M47</f>
        <v>0</v>
      </c>
      <c r="O47">
        <f>セットアップレポート!N47</f>
        <v>0</v>
      </c>
      <c r="P47" t="str">
        <f>セットアップレポート!O47</f>
        <v>FA0201ABA001996</v>
      </c>
      <c r="Q47">
        <f>セットアップレポート!P47</f>
        <v>10000</v>
      </c>
      <c r="R47">
        <f>セットアップレポート!Q47</f>
        <v>45950.475069444445</v>
      </c>
      <c r="S47">
        <f>セットアップレポート!R47</f>
        <v>0</v>
      </c>
      <c r="T47" t="str">
        <f>セットアップレポート!S47</f>
        <v>Yes</v>
      </c>
      <c r="U47">
        <f>セットアップレポート!T47</f>
        <v>0</v>
      </c>
      <c r="V47" t="str">
        <f>セットアップレポート!U47</f>
        <v>667877 100596</v>
      </c>
      <c r="W47">
        <f>セットアップレポート!V47</f>
        <v>0</v>
      </c>
      <c r="X47">
        <f>セットアップレポート!W47</f>
        <v>0</v>
      </c>
      <c r="Y47">
        <f>セットアップレポート!X47</f>
        <v>0</v>
      </c>
      <c r="Z47">
        <f>セットアップレポート!Y47</f>
        <v>0</v>
      </c>
      <c r="AA47">
        <f>セットアップレポート!Z47</f>
        <v>0</v>
      </c>
      <c r="AB47" t="str">
        <f>セットアップレポート!AA47</f>
        <v>NONE</v>
      </c>
      <c r="AC47">
        <f>セットアップレポート!AB47</f>
        <v>0</v>
      </c>
      <c r="AD47">
        <f>セットアップレポート!AC47</f>
        <v>0</v>
      </c>
      <c r="AE47">
        <f>セットアップレポート!AD47</f>
        <v>0</v>
      </c>
      <c r="AF47">
        <f>セットアップレポート!AE47</f>
        <v>0</v>
      </c>
      <c r="AG47">
        <f>セットアップレポート!AF47</f>
        <v>0</v>
      </c>
      <c r="AH47">
        <f>セットアップレポート!AG47</f>
        <v>0</v>
      </c>
    </row>
    <row r="48" spans="1:34" x14ac:dyDescent="0.45">
      <c r="A48" t="str">
        <f t="shared" si="0"/>
        <v>L2-NPM010006L910071</v>
      </c>
      <c r="B48" t="str">
        <f>セットアップレポート!A48</f>
        <v>Line-2</v>
      </c>
      <c r="C48" t="str">
        <f>セットアップレポート!B48</f>
        <v>L2-NPM01</v>
      </c>
      <c r="D48" t="str">
        <f>セットアップレポート!C48</f>
        <v>Zone-2-NPMW-1</v>
      </c>
      <c r="E48">
        <f>セットアップレポート!D48</f>
        <v>1</v>
      </c>
      <c r="F48">
        <f>セットアップレポート!E48</f>
        <v>1</v>
      </c>
      <c r="G48" t="str">
        <f>セットアップレポート!F48</f>
        <v>20006L</v>
      </c>
      <c r="H48">
        <f>セットアップレポート!G48</f>
        <v>6</v>
      </c>
      <c r="I48" t="str">
        <f>セットアップレポート!H48</f>
        <v>L</v>
      </c>
      <c r="J48" t="str">
        <f>セットアップレポート!I48</f>
        <v>910071 100488</v>
      </c>
      <c r="K48">
        <f>セットアップレポート!J48</f>
        <v>910071</v>
      </c>
      <c r="L48">
        <f>セットアップレポート!K48</f>
        <v>0</v>
      </c>
      <c r="M48">
        <f>セットアップレポート!L48</f>
        <v>0</v>
      </c>
      <c r="N48">
        <f>セットアップレポート!M48</f>
        <v>0</v>
      </c>
      <c r="O48">
        <f>セットアップレポート!N48</f>
        <v>0</v>
      </c>
      <c r="P48" t="str">
        <f>セットアップレポート!O48</f>
        <v>FA0201ACD049861</v>
      </c>
      <c r="Q48">
        <f>セットアップレポート!P48</f>
        <v>10000</v>
      </c>
      <c r="R48">
        <f>セットアップレポート!Q48</f>
        <v>45950.475069444445</v>
      </c>
      <c r="S48">
        <f>セットアップレポート!R48</f>
        <v>0</v>
      </c>
      <c r="T48">
        <f>セットアップレポート!S48</f>
        <v>0</v>
      </c>
      <c r="U48">
        <f>セットアップレポート!T48</f>
        <v>0</v>
      </c>
      <c r="V48">
        <f>セットアップレポート!U48</f>
        <v>0</v>
      </c>
      <c r="W48">
        <f>セットアップレポート!V48</f>
        <v>0</v>
      </c>
      <c r="X48">
        <f>セットアップレポート!W48</f>
        <v>0</v>
      </c>
      <c r="Y48">
        <f>セットアップレポート!X48</f>
        <v>0</v>
      </c>
      <c r="Z48">
        <f>セットアップレポート!Y48</f>
        <v>0</v>
      </c>
      <c r="AA48">
        <f>セットアップレポート!Z48</f>
        <v>0</v>
      </c>
      <c r="AB48" t="str">
        <f>セットアップレポート!AA48</f>
        <v>NONE</v>
      </c>
      <c r="AC48">
        <f>セットアップレポート!AB48</f>
        <v>0</v>
      </c>
      <c r="AD48">
        <f>セットアップレポート!AC48</f>
        <v>0</v>
      </c>
      <c r="AE48">
        <f>セットアップレポート!AD48</f>
        <v>0</v>
      </c>
      <c r="AF48">
        <f>セットアップレポート!AE48</f>
        <v>0</v>
      </c>
      <c r="AG48">
        <f>セットアップレポート!AF48</f>
        <v>0</v>
      </c>
      <c r="AH48">
        <f>セットアップレポート!AG48</f>
        <v>0</v>
      </c>
    </row>
    <row r="49" spans="1:34" x14ac:dyDescent="0.45">
      <c r="A49" t="str">
        <f t="shared" si="0"/>
        <v>L2-NPM010007L9000066587</v>
      </c>
      <c r="B49" t="str">
        <f>セットアップレポート!A49</f>
        <v>Line-2</v>
      </c>
      <c r="C49" t="str">
        <f>セットアップレポート!B49</f>
        <v>L2-NPM01</v>
      </c>
      <c r="D49" t="str">
        <f>セットアップレポート!C49</f>
        <v>Zone-2-NPMW-1</v>
      </c>
      <c r="E49">
        <f>セットアップレポート!D49</f>
        <v>1</v>
      </c>
      <c r="F49">
        <f>セットアップレポート!E49</f>
        <v>1</v>
      </c>
      <c r="G49" t="str">
        <f>セットアップレポート!F49</f>
        <v>20007L</v>
      </c>
      <c r="H49">
        <f>セットアップレポート!G49</f>
        <v>7</v>
      </c>
      <c r="I49" t="str">
        <f>セットアップレポート!H49</f>
        <v>L</v>
      </c>
      <c r="J49" t="str">
        <f>セットアップレポート!I49</f>
        <v>9000066587 100032</v>
      </c>
      <c r="K49">
        <f>セットアップレポート!J49</f>
        <v>9000066587</v>
      </c>
      <c r="L49">
        <f>セットアップレポート!K49</f>
        <v>0</v>
      </c>
      <c r="M49">
        <f>セットアップレポート!L49</f>
        <v>0</v>
      </c>
      <c r="N49">
        <f>セットアップレポート!M49</f>
        <v>0</v>
      </c>
      <c r="O49">
        <f>セットアップレポート!N49</f>
        <v>0</v>
      </c>
      <c r="P49" t="str">
        <f>セットアップレポート!O49</f>
        <v>FA0201ABA002581</v>
      </c>
      <c r="Q49">
        <f>セットアップレポート!P49</f>
        <v>4000</v>
      </c>
      <c r="R49">
        <f>セットアップレポート!Q49</f>
        <v>45931.82130787037</v>
      </c>
      <c r="S49">
        <f>セットアップレポート!R49</f>
        <v>0</v>
      </c>
      <c r="T49">
        <f>セットアップレポート!S49</f>
        <v>0</v>
      </c>
      <c r="U49">
        <f>セットアップレポート!T49</f>
        <v>0</v>
      </c>
      <c r="V49">
        <f>セットアップレポート!U49</f>
        <v>0</v>
      </c>
      <c r="W49">
        <f>セットアップレポート!V49</f>
        <v>0</v>
      </c>
      <c r="X49">
        <f>セットアップレポート!W49</f>
        <v>0</v>
      </c>
      <c r="Y49">
        <f>セットアップレポート!X49</f>
        <v>0</v>
      </c>
      <c r="Z49">
        <f>セットアップレポート!Y49</f>
        <v>0</v>
      </c>
      <c r="AA49">
        <f>セットアップレポート!Z49</f>
        <v>0</v>
      </c>
      <c r="AB49" t="str">
        <f>セットアップレポート!AA49</f>
        <v>NONE</v>
      </c>
      <c r="AC49">
        <f>セットアップレポート!AB49</f>
        <v>0</v>
      </c>
      <c r="AD49">
        <f>セットアップレポート!AC49</f>
        <v>0</v>
      </c>
      <c r="AE49">
        <f>セットアップレポート!AD49</f>
        <v>0</v>
      </c>
      <c r="AF49">
        <f>セットアップレポート!AE49</f>
        <v>0</v>
      </c>
      <c r="AG49">
        <f>セットアップレポート!AF49</f>
        <v>0</v>
      </c>
      <c r="AH49">
        <f>セットアップレポート!AG49</f>
        <v>0</v>
      </c>
    </row>
    <row r="50" spans="1:34" x14ac:dyDescent="0.45">
      <c r="A50" t="str">
        <f t="shared" si="0"/>
        <v>L2-NPM010008L667823</v>
      </c>
      <c r="B50" t="str">
        <f>セットアップレポート!A50</f>
        <v>Line-2</v>
      </c>
      <c r="C50" t="str">
        <f>セットアップレポート!B50</f>
        <v>L2-NPM01</v>
      </c>
      <c r="D50" t="str">
        <f>セットアップレポート!C50</f>
        <v>Zone-2-NPMW-1</v>
      </c>
      <c r="E50">
        <f>セットアップレポート!D50</f>
        <v>1</v>
      </c>
      <c r="F50">
        <f>セットアップレポート!E50</f>
        <v>1</v>
      </c>
      <c r="G50" t="str">
        <f>セットアップレポート!F50</f>
        <v>20008L</v>
      </c>
      <c r="H50">
        <f>セットアップレポート!G50</f>
        <v>8</v>
      </c>
      <c r="I50" t="str">
        <f>セットアップレポート!H50</f>
        <v>L</v>
      </c>
      <c r="J50" t="str">
        <f>セットアップレポート!I50</f>
        <v>667823 100304</v>
      </c>
      <c r="K50">
        <f>セットアップレポート!J50</f>
        <v>667823</v>
      </c>
      <c r="L50">
        <f>セットアップレポート!K50</f>
        <v>0</v>
      </c>
      <c r="M50">
        <f>セットアップレポート!L50</f>
        <v>0</v>
      </c>
      <c r="N50">
        <f>セットアップレポート!M50</f>
        <v>0</v>
      </c>
      <c r="O50">
        <f>セットアップレポート!N50</f>
        <v>0</v>
      </c>
      <c r="P50" t="str">
        <f>セットアップレポート!O50</f>
        <v>FA0201ACD051418</v>
      </c>
      <c r="Q50">
        <f>セットアップレポート!P50</f>
        <v>10000</v>
      </c>
      <c r="R50">
        <f>セットアップレポート!Q50</f>
        <v>45950.475069444445</v>
      </c>
      <c r="S50">
        <f>セットアップレポート!R50</f>
        <v>0</v>
      </c>
      <c r="T50">
        <f>セットアップレポート!S50</f>
        <v>0</v>
      </c>
      <c r="U50">
        <f>セットアップレポート!T50</f>
        <v>0</v>
      </c>
      <c r="V50">
        <f>セットアップレポート!U50</f>
        <v>0</v>
      </c>
      <c r="W50">
        <f>セットアップレポート!V50</f>
        <v>0</v>
      </c>
      <c r="X50">
        <f>セットアップレポート!W50</f>
        <v>0</v>
      </c>
      <c r="Y50">
        <f>セットアップレポート!X50</f>
        <v>0</v>
      </c>
      <c r="Z50">
        <f>セットアップレポート!Y50</f>
        <v>0</v>
      </c>
      <c r="AA50">
        <f>セットアップレポート!Z50</f>
        <v>0</v>
      </c>
      <c r="AB50" t="str">
        <f>セットアップレポート!AA50</f>
        <v>NONE</v>
      </c>
      <c r="AC50">
        <f>セットアップレポート!AB50</f>
        <v>0</v>
      </c>
      <c r="AD50">
        <f>セットアップレポート!AC50</f>
        <v>0</v>
      </c>
      <c r="AE50">
        <f>セットアップレポート!AD50</f>
        <v>0</v>
      </c>
      <c r="AF50">
        <f>セットアップレポート!AE50</f>
        <v>0</v>
      </c>
      <c r="AG50">
        <f>セットアップレポート!AF50</f>
        <v>0</v>
      </c>
      <c r="AH50">
        <f>セットアップレポート!AG50</f>
        <v>0</v>
      </c>
    </row>
    <row r="51" spans="1:34" x14ac:dyDescent="0.45">
      <c r="A51" t="str">
        <f t="shared" si="0"/>
        <v>L2-NPM010009L9000058958</v>
      </c>
      <c r="B51" t="str">
        <f>セットアップレポート!A51</f>
        <v>Line-2</v>
      </c>
      <c r="C51" t="str">
        <f>セットアップレポート!B51</f>
        <v>L2-NPM01</v>
      </c>
      <c r="D51" t="str">
        <f>セットアップレポート!C51</f>
        <v>Zone-2-NPMW-1</v>
      </c>
      <c r="E51">
        <f>セットアップレポート!D51</f>
        <v>1</v>
      </c>
      <c r="F51">
        <f>セットアップレポート!E51</f>
        <v>1</v>
      </c>
      <c r="G51" t="str">
        <f>セットアップレポート!F51</f>
        <v>20009L</v>
      </c>
      <c r="H51">
        <f>セットアップレポート!G51</f>
        <v>9</v>
      </c>
      <c r="I51" t="str">
        <f>セットアップレポート!H51</f>
        <v>L</v>
      </c>
      <c r="J51" t="str">
        <f>セットアップレポート!I51</f>
        <v>9000058958 100039</v>
      </c>
      <c r="K51">
        <f>セットアップレポート!J51</f>
        <v>9000058958</v>
      </c>
      <c r="L51">
        <f>セットアップレポート!K51</f>
        <v>0</v>
      </c>
      <c r="M51">
        <f>セットアップレポート!L51</f>
        <v>0</v>
      </c>
      <c r="N51">
        <f>セットアップレポート!M51</f>
        <v>0</v>
      </c>
      <c r="O51">
        <f>セットアップレポート!N51</f>
        <v>0</v>
      </c>
      <c r="P51" t="str">
        <f>セットアップレポート!O51</f>
        <v>FA0201ACD051241</v>
      </c>
      <c r="Q51">
        <f>セットアップレポート!P51</f>
        <v>10000</v>
      </c>
      <c r="R51">
        <f>セットアップレポート!Q51</f>
        <v>45950.475081018521</v>
      </c>
      <c r="S51">
        <f>セットアップレポート!R51</f>
        <v>0</v>
      </c>
      <c r="T51">
        <f>セットアップレポート!S51</f>
        <v>0</v>
      </c>
      <c r="U51">
        <f>セットアップレポート!T51</f>
        <v>0</v>
      </c>
      <c r="V51">
        <f>セットアップレポート!U51</f>
        <v>0</v>
      </c>
      <c r="W51">
        <f>セットアップレポート!V51</f>
        <v>0</v>
      </c>
      <c r="X51">
        <f>セットアップレポート!W51</f>
        <v>0</v>
      </c>
      <c r="Y51">
        <f>セットアップレポート!X51</f>
        <v>0</v>
      </c>
      <c r="Z51">
        <f>セットアップレポート!Y51</f>
        <v>0</v>
      </c>
      <c r="AA51">
        <f>セットアップレポート!Z51</f>
        <v>0</v>
      </c>
      <c r="AB51" t="str">
        <f>セットアップレポート!AA51</f>
        <v>NONE</v>
      </c>
      <c r="AC51">
        <f>セットアップレポート!AB51</f>
        <v>0</v>
      </c>
      <c r="AD51">
        <f>セットアップレポート!AC51</f>
        <v>0</v>
      </c>
      <c r="AE51">
        <f>セットアップレポート!AD51</f>
        <v>0</v>
      </c>
      <c r="AF51">
        <f>セットアップレポート!AE51</f>
        <v>0</v>
      </c>
      <c r="AG51">
        <f>セットアップレポート!AF51</f>
        <v>0</v>
      </c>
      <c r="AH51">
        <f>セットアップレポート!AG51</f>
        <v>0</v>
      </c>
    </row>
    <row r="52" spans="1:34" x14ac:dyDescent="0.45">
      <c r="A52" t="str">
        <f t="shared" si="0"/>
        <v>L2-NPM010010L9000063310</v>
      </c>
      <c r="B52" t="str">
        <f>セットアップレポート!A52</f>
        <v>Line-2</v>
      </c>
      <c r="C52" t="str">
        <f>セットアップレポート!B52</f>
        <v>L2-NPM01</v>
      </c>
      <c r="D52" t="str">
        <f>セットアップレポート!C52</f>
        <v>Zone-2-NPMW-1</v>
      </c>
      <c r="E52">
        <f>セットアップレポート!D52</f>
        <v>1</v>
      </c>
      <c r="F52">
        <f>セットアップレポート!E52</f>
        <v>1</v>
      </c>
      <c r="G52" t="str">
        <f>セットアップレポート!F52</f>
        <v>20010L</v>
      </c>
      <c r="H52">
        <f>セットアップレポート!G52</f>
        <v>10</v>
      </c>
      <c r="I52" t="str">
        <f>セットアップレポート!H52</f>
        <v>L</v>
      </c>
      <c r="J52" t="str">
        <f>セットアップレポート!I52</f>
        <v>9000063310 100178</v>
      </c>
      <c r="K52">
        <f>セットアップレポート!J52</f>
        <v>9000063310</v>
      </c>
      <c r="L52">
        <f>セットアップレポート!K52</f>
        <v>0</v>
      </c>
      <c r="M52">
        <f>セットアップレポート!L52</f>
        <v>0</v>
      </c>
      <c r="N52">
        <f>セットアップレポート!M52</f>
        <v>0</v>
      </c>
      <c r="O52">
        <f>セットアップレポート!N52</f>
        <v>0</v>
      </c>
      <c r="P52" t="str">
        <f>セットアップレポート!O52</f>
        <v>FA0201ACD050213</v>
      </c>
      <c r="Q52">
        <f>セットアップレポート!P52</f>
        <v>10000</v>
      </c>
      <c r="R52">
        <f>セットアップレポート!Q52</f>
        <v>45950.475081018521</v>
      </c>
      <c r="S52">
        <f>セットアップレポート!R52</f>
        <v>0</v>
      </c>
      <c r="T52">
        <f>セットアップレポート!S52</f>
        <v>0</v>
      </c>
      <c r="U52">
        <f>セットアップレポート!T52</f>
        <v>0</v>
      </c>
      <c r="V52">
        <f>セットアップレポート!U52</f>
        <v>0</v>
      </c>
      <c r="W52">
        <f>セットアップレポート!V52</f>
        <v>0</v>
      </c>
      <c r="X52">
        <f>セットアップレポート!W52</f>
        <v>0</v>
      </c>
      <c r="Y52">
        <f>セットアップレポート!X52</f>
        <v>0</v>
      </c>
      <c r="Z52">
        <f>セットアップレポート!Y52</f>
        <v>0</v>
      </c>
      <c r="AA52">
        <f>セットアップレポート!Z52</f>
        <v>0</v>
      </c>
      <c r="AB52" t="str">
        <f>セットアップレポート!AA52</f>
        <v>NONE</v>
      </c>
      <c r="AC52">
        <f>セットアップレポート!AB52</f>
        <v>0</v>
      </c>
      <c r="AD52">
        <f>セットアップレポート!AC52</f>
        <v>0</v>
      </c>
      <c r="AE52">
        <f>セットアップレポート!AD52</f>
        <v>0</v>
      </c>
      <c r="AF52">
        <f>セットアップレポート!AE52</f>
        <v>0</v>
      </c>
      <c r="AG52">
        <f>セットアップレポート!AF52</f>
        <v>0</v>
      </c>
      <c r="AH52">
        <f>セットアップレポート!AG52</f>
        <v>0</v>
      </c>
    </row>
    <row r="53" spans="1:34" x14ac:dyDescent="0.45">
      <c r="A53" t="str">
        <f t="shared" si="0"/>
        <v>L2-NPM010011L667369A</v>
      </c>
      <c r="B53" t="str">
        <f>セットアップレポート!A53</f>
        <v>Line-2</v>
      </c>
      <c r="C53" t="str">
        <f>セットアップレポート!B53</f>
        <v>L2-NPM01</v>
      </c>
      <c r="D53" t="str">
        <f>セットアップレポート!C53</f>
        <v>Zone-2-NPMW-1</v>
      </c>
      <c r="E53">
        <f>セットアップレポート!D53</f>
        <v>1</v>
      </c>
      <c r="F53">
        <f>セットアップレポート!E53</f>
        <v>1</v>
      </c>
      <c r="G53" t="str">
        <f>セットアップレポート!F53</f>
        <v>20011L</v>
      </c>
      <c r="H53">
        <f>セットアップレポート!G53</f>
        <v>11</v>
      </c>
      <c r="I53" t="str">
        <f>セットアップレポート!H53</f>
        <v>L</v>
      </c>
      <c r="J53" t="str">
        <f>セットアップレポート!I53</f>
        <v>667369A102705</v>
      </c>
      <c r="K53" t="str">
        <f>セットアップレポート!J53</f>
        <v>667369A</v>
      </c>
      <c r="L53">
        <f>セットアップレポート!K53</f>
        <v>0</v>
      </c>
      <c r="M53">
        <f>セットアップレポート!L53</f>
        <v>0</v>
      </c>
      <c r="N53">
        <f>セットアップレポート!M53</f>
        <v>0</v>
      </c>
      <c r="O53">
        <f>セットアップレポート!N53</f>
        <v>0</v>
      </c>
      <c r="P53" t="str">
        <f>セットアップレポート!O53</f>
        <v>FA0201ACD049769</v>
      </c>
      <c r="Q53">
        <f>セットアップレポート!P53</f>
        <v>5000</v>
      </c>
      <c r="R53">
        <f>セットアップレポート!Q53</f>
        <v>45950.475081018521</v>
      </c>
      <c r="S53">
        <f>セットアップレポート!R53</f>
        <v>0</v>
      </c>
      <c r="T53">
        <f>セットアップレポート!S53</f>
        <v>0</v>
      </c>
      <c r="U53">
        <f>セットアップレポート!T53</f>
        <v>0</v>
      </c>
      <c r="V53">
        <f>セットアップレポート!U53</f>
        <v>0</v>
      </c>
      <c r="W53">
        <f>セットアップレポート!V53</f>
        <v>0</v>
      </c>
      <c r="X53">
        <f>セットアップレポート!W53</f>
        <v>0</v>
      </c>
      <c r="Y53">
        <f>セットアップレポート!X53</f>
        <v>0</v>
      </c>
      <c r="Z53">
        <f>セットアップレポート!Y53</f>
        <v>0</v>
      </c>
      <c r="AA53">
        <f>セットアップレポート!Z53</f>
        <v>0</v>
      </c>
      <c r="AB53" t="str">
        <f>セットアップレポート!AA53</f>
        <v>NONE</v>
      </c>
      <c r="AC53">
        <f>セットアップレポート!AB53</f>
        <v>0</v>
      </c>
      <c r="AD53">
        <f>セットアップレポート!AC53</f>
        <v>0</v>
      </c>
      <c r="AE53">
        <f>セットアップレポート!AD53</f>
        <v>0</v>
      </c>
      <c r="AF53">
        <f>セットアップレポート!AE53</f>
        <v>0</v>
      </c>
      <c r="AG53">
        <f>セットアップレポート!AF53</f>
        <v>0</v>
      </c>
      <c r="AH53">
        <f>セットアップレポート!AG53</f>
        <v>0</v>
      </c>
    </row>
    <row r="54" spans="1:34" x14ac:dyDescent="0.45">
      <c r="A54" t="str">
        <f t="shared" si="0"/>
        <v>L2-NPM010012L9000008038</v>
      </c>
      <c r="B54" t="str">
        <f>セットアップレポート!A54</f>
        <v>Line-2</v>
      </c>
      <c r="C54" t="str">
        <f>セットアップレポート!B54</f>
        <v>L2-NPM01</v>
      </c>
      <c r="D54" t="str">
        <f>セットアップレポート!C54</f>
        <v>Zone-2-NPMW-1</v>
      </c>
      <c r="E54">
        <f>セットアップレポート!D54</f>
        <v>1</v>
      </c>
      <c r="F54">
        <f>セットアップレポート!E54</f>
        <v>1</v>
      </c>
      <c r="G54" t="str">
        <f>セットアップレポート!F54</f>
        <v>20012L</v>
      </c>
      <c r="H54">
        <f>セットアップレポート!G54</f>
        <v>12</v>
      </c>
      <c r="I54" t="str">
        <f>セットアップレポート!H54</f>
        <v>L</v>
      </c>
      <c r="J54" t="str">
        <f>セットアップレポート!I54</f>
        <v>9000008038 100426</v>
      </c>
      <c r="K54">
        <f>セットアップレポート!J54</f>
        <v>9000008038</v>
      </c>
      <c r="L54">
        <f>セットアップレポート!K54</f>
        <v>0</v>
      </c>
      <c r="M54">
        <f>セットアップレポート!L54</f>
        <v>0</v>
      </c>
      <c r="N54">
        <f>セットアップレポート!M54</f>
        <v>0</v>
      </c>
      <c r="O54">
        <f>セットアップレポート!N54</f>
        <v>0</v>
      </c>
      <c r="P54" t="str">
        <f>セットアップレポート!O54</f>
        <v>FA0201ACD049542</v>
      </c>
      <c r="Q54">
        <f>セットアップレポート!P54</f>
        <v>3000</v>
      </c>
      <c r="R54">
        <f>セットアップレポート!Q54</f>
        <v>45950.475081018521</v>
      </c>
      <c r="S54">
        <f>セットアップレポート!R54</f>
        <v>0</v>
      </c>
      <c r="T54">
        <f>セットアップレポート!S54</f>
        <v>0</v>
      </c>
      <c r="U54">
        <f>セットアップレポート!T54</f>
        <v>0</v>
      </c>
      <c r="V54">
        <f>セットアップレポート!U54</f>
        <v>0</v>
      </c>
      <c r="W54">
        <f>セットアップレポート!V54</f>
        <v>0</v>
      </c>
      <c r="X54">
        <f>セットアップレポート!W54</f>
        <v>0</v>
      </c>
      <c r="Y54">
        <f>セットアップレポート!X54</f>
        <v>0</v>
      </c>
      <c r="Z54">
        <f>セットアップレポート!Y54</f>
        <v>0</v>
      </c>
      <c r="AA54">
        <f>セットアップレポート!Z54</f>
        <v>0</v>
      </c>
      <c r="AB54" t="str">
        <f>セットアップレポート!AA54</f>
        <v>NONE</v>
      </c>
      <c r="AC54">
        <f>セットアップレポート!AB54</f>
        <v>0</v>
      </c>
      <c r="AD54">
        <f>セットアップレポート!AC54</f>
        <v>0</v>
      </c>
      <c r="AE54">
        <f>セットアップレポート!AD54</f>
        <v>0</v>
      </c>
      <c r="AF54">
        <f>セットアップレポート!AE54</f>
        <v>0</v>
      </c>
      <c r="AG54">
        <f>セットアップレポート!AF54</f>
        <v>0</v>
      </c>
      <c r="AH54">
        <f>セットアップレポート!AG54</f>
        <v>0</v>
      </c>
    </row>
    <row r="55" spans="1:34" x14ac:dyDescent="0.45">
      <c r="A55" t="str">
        <f t="shared" si="0"/>
        <v>L2-NPM010013L667609A</v>
      </c>
      <c r="B55" t="str">
        <f>セットアップレポート!A55</f>
        <v>Line-2</v>
      </c>
      <c r="C55" t="str">
        <f>セットアップレポート!B55</f>
        <v>L2-NPM01</v>
      </c>
      <c r="D55" t="str">
        <f>セットアップレポート!C55</f>
        <v>Zone-2-NPMW-1</v>
      </c>
      <c r="E55">
        <f>セットアップレポート!D55</f>
        <v>1</v>
      </c>
      <c r="F55">
        <f>セットアップレポート!E55</f>
        <v>1</v>
      </c>
      <c r="G55" t="str">
        <f>セットアップレポート!F55</f>
        <v>20013L</v>
      </c>
      <c r="H55">
        <f>セットアップレポート!G55</f>
        <v>13</v>
      </c>
      <c r="I55" t="str">
        <f>セットアップレポート!H55</f>
        <v>L</v>
      </c>
      <c r="J55" t="str">
        <f>セットアップレポート!I55</f>
        <v>667609A100170</v>
      </c>
      <c r="K55" t="str">
        <f>セットアップレポート!J55</f>
        <v>667609A</v>
      </c>
      <c r="L55">
        <f>セットアップレポート!K55</f>
        <v>0</v>
      </c>
      <c r="M55">
        <f>セットアップレポート!L55</f>
        <v>0</v>
      </c>
      <c r="N55">
        <f>セットアップレポート!M55</f>
        <v>0</v>
      </c>
      <c r="O55">
        <f>セットアップレポート!N55</f>
        <v>0</v>
      </c>
      <c r="P55" t="str">
        <f>セットアップレポート!O55</f>
        <v>FA0201ABD000399</v>
      </c>
      <c r="Q55">
        <f>セットアップレポート!P55</f>
        <v>5000</v>
      </c>
      <c r="R55">
        <f>セットアップレポート!Q55</f>
        <v>45950.475081018521</v>
      </c>
      <c r="S55">
        <f>セットアップレポート!R55</f>
        <v>0</v>
      </c>
      <c r="T55">
        <f>セットアップレポート!S55</f>
        <v>0</v>
      </c>
      <c r="U55">
        <f>セットアップレポート!T55</f>
        <v>0</v>
      </c>
      <c r="V55">
        <f>セットアップレポート!U55</f>
        <v>0</v>
      </c>
      <c r="W55">
        <f>セットアップレポート!V55</f>
        <v>0</v>
      </c>
      <c r="X55">
        <f>セットアップレポート!W55</f>
        <v>0</v>
      </c>
      <c r="Y55">
        <f>セットアップレポート!X55</f>
        <v>0</v>
      </c>
      <c r="Z55">
        <f>セットアップレポート!Y55</f>
        <v>0</v>
      </c>
      <c r="AA55">
        <f>セットアップレポート!Z55</f>
        <v>0</v>
      </c>
      <c r="AB55" t="str">
        <f>セットアップレポート!AA55</f>
        <v>NONE</v>
      </c>
      <c r="AC55">
        <f>セットアップレポート!AB55</f>
        <v>0</v>
      </c>
      <c r="AD55">
        <f>セットアップレポート!AC55</f>
        <v>0</v>
      </c>
      <c r="AE55">
        <f>セットアップレポート!AD55</f>
        <v>0</v>
      </c>
      <c r="AF55">
        <f>セットアップレポート!AE55</f>
        <v>0</v>
      </c>
      <c r="AG55">
        <f>セットアップレポート!AF55</f>
        <v>0</v>
      </c>
      <c r="AH55">
        <f>セットアップレポート!AG55</f>
        <v>0</v>
      </c>
    </row>
    <row r="56" spans="1:34" x14ac:dyDescent="0.45">
      <c r="A56" t="str">
        <f t="shared" si="0"/>
        <v>L2-NPM010014L9000062917</v>
      </c>
      <c r="B56" t="str">
        <f>セットアップレポート!A56</f>
        <v>Line-2</v>
      </c>
      <c r="C56" t="str">
        <f>セットアップレポート!B56</f>
        <v>L2-NPM01</v>
      </c>
      <c r="D56" t="str">
        <f>セットアップレポート!C56</f>
        <v>Zone-2-NPMW-1</v>
      </c>
      <c r="E56">
        <f>セットアップレポート!D56</f>
        <v>1</v>
      </c>
      <c r="F56">
        <f>セットアップレポート!E56</f>
        <v>1</v>
      </c>
      <c r="G56" t="str">
        <f>セットアップレポート!F56</f>
        <v>20014L</v>
      </c>
      <c r="H56">
        <f>セットアップレポート!G56</f>
        <v>14</v>
      </c>
      <c r="I56" t="str">
        <f>セットアップレポート!H56</f>
        <v>L</v>
      </c>
      <c r="J56" t="str">
        <f>セットアップレポート!I56</f>
        <v>9000062917 100022</v>
      </c>
      <c r="K56">
        <f>セットアップレポート!J56</f>
        <v>9000062917</v>
      </c>
      <c r="L56">
        <f>セットアップレポート!K56</f>
        <v>0</v>
      </c>
      <c r="M56">
        <f>セットアップレポート!L56</f>
        <v>0</v>
      </c>
      <c r="N56">
        <f>セットアップレポート!M56</f>
        <v>0</v>
      </c>
      <c r="O56">
        <f>セットアップレポート!N56</f>
        <v>0</v>
      </c>
      <c r="P56" t="str">
        <f>セットアップレポート!O56</f>
        <v>FA0201ACD049860</v>
      </c>
      <c r="Q56">
        <f>セットアップレポート!P56</f>
        <v>10000</v>
      </c>
      <c r="R56">
        <f>セットアップレポート!Q56</f>
        <v>45950.475081018521</v>
      </c>
      <c r="S56">
        <f>セットアップレポート!R56</f>
        <v>0</v>
      </c>
      <c r="T56">
        <f>セットアップレポート!S56</f>
        <v>0</v>
      </c>
      <c r="U56">
        <f>セットアップレポート!T56</f>
        <v>0</v>
      </c>
      <c r="V56">
        <f>セットアップレポート!U56</f>
        <v>0</v>
      </c>
      <c r="W56">
        <f>セットアップレポート!V56</f>
        <v>0</v>
      </c>
      <c r="X56">
        <f>セットアップレポート!W56</f>
        <v>0</v>
      </c>
      <c r="Y56">
        <f>セットアップレポート!X56</f>
        <v>0</v>
      </c>
      <c r="Z56">
        <f>セットアップレポート!Y56</f>
        <v>0</v>
      </c>
      <c r="AA56">
        <f>セットアップレポート!Z56</f>
        <v>0</v>
      </c>
      <c r="AB56" t="str">
        <f>セットアップレポート!AA56</f>
        <v>NONE</v>
      </c>
      <c r="AC56">
        <f>セットアップレポート!AB56</f>
        <v>0</v>
      </c>
      <c r="AD56">
        <f>セットアップレポート!AC56</f>
        <v>0</v>
      </c>
      <c r="AE56">
        <f>セットアップレポート!AD56</f>
        <v>0</v>
      </c>
      <c r="AF56">
        <f>セットアップレポート!AE56</f>
        <v>0</v>
      </c>
      <c r="AG56">
        <f>セットアップレポート!AF56</f>
        <v>0</v>
      </c>
      <c r="AH56">
        <f>セットアップレポート!AG56</f>
        <v>0</v>
      </c>
    </row>
    <row r="57" spans="1:34" x14ac:dyDescent="0.45">
      <c r="A57" t="str">
        <f t="shared" si="0"/>
        <v>L2-NPM010015L9000066592</v>
      </c>
      <c r="B57" t="str">
        <f>セットアップレポート!A57</f>
        <v>Line-2</v>
      </c>
      <c r="C57" t="str">
        <f>セットアップレポート!B57</f>
        <v>L2-NPM01</v>
      </c>
      <c r="D57" t="str">
        <f>セットアップレポート!C57</f>
        <v>Zone-2-NPMW-1</v>
      </c>
      <c r="E57">
        <f>セットアップレポート!D57</f>
        <v>1</v>
      </c>
      <c r="F57">
        <f>セットアップレポート!E57</f>
        <v>1</v>
      </c>
      <c r="G57" t="str">
        <f>セットアップレポート!F57</f>
        <v>20015L</v>
      </c>
      <c r="H57">
        <f>セットアップレポート!G57</f>
        <v>15</v>
      </c>
      <c r="I57" t="str">
        <f>セットアップレポート!H57</f>
        <v>L</v>
      </c>
      <c r="J57" t="str">
        <f>セットアップレポート!I57</f>
        <v>9000066592 100010</v>
      </c>
      <c r="K57">
        <f>セットアップレポート!J57</f>
        <v>9000066592</v>
      </c>
      <c r="L57">
        <f>セットアップレポート!K57</f>
        <v>0</v>
      </c>
      <c r="M57">
        <f>セットアップレポート!L57</f>
        <v>0</v>
      </c>
      <c r="N57">
        <f>セットアップレポート!M57</f>
        <v>0</v>
      </c>
      <c r="O57">
        <f>セットアップレポート!N57</f>
        <v>0</v>
      </c>
      <c r="P57" t="str">
        <f>セットアップレポート!O57</f>
        <v>FA0201ACD050980</v>
      </c>
      <c r="Q57">
        <f>セットアップレポート!P57</f>
        <v>3993</v>
      </c>
      <c r="R57">
        <f>セットアップレポート!Q57</f>
        <v>45950.475081018521</v>
      </c>
      <c r="S57">
        <f>セットアップレポート!R57</f>
        <v>0</v>
      </c>
      <c r="T57">
        <f>セットアップレポート!S57</f>
        <v>0</v>
      </c>
      <c r="U57">
        <f>セットアップレポート!T57</f>
        <v>0</v>
      </c>
      <c r="V57">
        <f>セットアップレポート!U57</f>
        <v>0</v>
      </c>
      <c r="W57">
        <f>セットアップレポート!V57</f>
        <v>0</v>
      </c>
      <c r="X57">
        <f>セットアップレポート!W57</f>
        <v>0</v>
      </c>
      <c r="Y57">
        <f>セットアップレポート!X57</f>
        <v>0</v>
      </c>
      <c r="Z57">
        <f>セットアップレポート!Y57</f>
        <v>0</v>
      </c>
      <c r="AA57">
        <f>セットアップレポート!Z57</f>
        <v>0</v>
      </c>
      <c r="AB57" t="str">
        <f>セットアップレポート!AA57</f>
        <v>NONE</v>
      </c>
      <c r="AC57">
        <f>セットアップレポート!AB57</f>
        <v>0</v>
      </c>
      <c r="AD57">
        <f>セットアップレポート!AC57</f>
        <v>0</v>
      </c>
      <c r="AE57">
        <f>セットアップレポート!AD57</f>
        <v>0</v>
      </c>
      <c r="AF57">
        <f>セットアップレポート!AE57</f>
        <v>0</v>
      </c>
      <c r="AG57">
        <f>セットアップレポート!AF57</f>
        <v>0</v>
      </c>
      <c r="AH57">
        <f>セットアップレポート!AG57</f>
        <v>0</v>
      </c>
    </row>
    <row r="58" spans="1:34" x14ac:dyDescent="0.45">
      <c r="A58" t="str">
        <f t="shared" si="0"/>
        <v>L2-NPM010016L578572A</v>
      </c>
      <c r="B58" t="str">
        <f>セットアップレポート!A58</f>
        <v>Line-2</v>
      </c>
      <c r="C58" t="str">
        <f>セットアップレポート!B58</f>
        <v>L2-NPM01</v>
      </c>
      <c r="D58" t="str">
        <f>セットアップレポート!C58</f>
        <v>Zone-2-NPMW-1</v>
      </c>
      <c r="E58">
        <f>セットアップレポート!D58</f>
        <v>1</v>
      </c>
      <c r="F58">
        <f>セットアップレポート!E58</f>
        <v>1</v>
      </c>
      <c r="G58" t="str">
        <f>セットアップレポート!F58</f>
        <v>20016L</v>
      </c>
      <c r="H58">
        <f>セットアップレポート!G58</f>
        <v>16</v>
      </c>
      <c r="I58" t="str">
        <f>セットアップレポート!H58</f>
        <v>L</v>
      </c>
      <c r="J58" t="str">
        <f>セットアップレポート!I58</f>
        <v>578572A100222</v>
      </c>
      <c r="K58" t="str">
        <f>セットアップレポート!J58</f>
        <v>578572A</v>
      </c>
      <c r="L58">
        <f>セットアップレポート!K58</f>
        <v>0</v>
      </c>
      <c r="M58">
        <f>セットアップレポート!L58</f>
        <v>0</v>
      </c>
      <c r="N58">
        <f>セットアップレポート!M58</f>
        <v>0</v>
      </c>
      <c r="O58">
        <f>セットアップレポート!N58</f>
        <v>0</v>
      </c>
      <c r="P58" t="str">
        <f>セットアップレポート!O58</f>
        <v>FA0201ABD000353</v>
      </c>
      <c r="Q58">
        <f>セットアップレポート!P58</f>
        <v>5000</v>
      </c>
      <c r="R58">
        <f>セットアップレポート!Q58</f>
        <v>45950.475081018521</v>
      </c>
      <c r="S58">
        <f>セットアップレポート!R58</f>
        <v>0</v>
      </c>
      <c r="T58" t="str">
        <f>セットアップレポート!S58</f>
        <v>Yes</v>
      </c>
      <c r="U58">
        <f>セットアップレポート!T58</f>
        <v>0</v>
      </c>
      <c r="V58" t="str">
        <f>セットアップレポート!U58</f>
        <v>578572A100249</v>
      </c>
      <c r="W58">
        <f>セットアップレポート!V58</f>
        <v>0</v>
      </c>
      <c r="X58">
        <f>セットアップレポート!W58</f>
        <v>0</v>
      </c>
      <c r="Y58">
        <f>セットアップレポート!X58</f>
        <v>0</v>
      </c>
      <c r="Z58">
        <f>セットアップレポート!Y58</f>
        <v>0</v>
      </c>
      <c r="AA58">
        <f>セットアップレポート!Z58</f>
        <v>0</v>
      </c>
      <c r="AB58" t="str">
        <f>セットアップレポート!AA58</f>
        <v>NONE</v>
      </c>
      <c r="AC58">
        <f>セットアップレポート!AB58</f>
        <v>0</v>
      </c>
      <c r="AD58">
        <f>セットアップレポート!AC58</f>
        <v>0</v>
      </c>
      <c r="AE58">
        <f>セットアップレポート!AD58</f>
        <v>0</v>
      </c>
      <c r="AF58">
        <f>セットアップレポート!AE58</f>
        <v>0</v>
      </c>
      <c r="AG58">
        <f>セットアップレポート!AF58</f>
        <v>0</v>
      </c>
      <c r="AH58">
        <f>セットアップレポート!AG58</f>
        <v>0</v>
      </c>
    </row>
    <row r="59" spans="1:34" x14ac:dyDescent="0.45">
      <c r="A59" t="str">
        <f t="shared" si="0"/>
        <v>L2-NPM010017L9000063581</v>
      </c>
      <c r="B59" t="str">
        <f>セットアップレポート!A59</f>
        <v>Line-2</v>
      </c>
      <c r="C59" t="str">
        <f>セットアップレポート!B59</f>
        <v>L2-NPM01</v>
      </c>
      <c r="D59" t="str">
        <f>セットアップレポート!C59</f>
        <v>Zone-2-NPMW-1</v>
      </c>
      <c r="E59">
        <f>セットアップレポート!D59</f>
        <v>1</v>
      </c>
      <c r="F59">
        <f>セットアップレポート!E59</f>
        <v>1</v>
      </c>
      <c r="G59" t="str">
        <f>セットアップレポート!F59</f>
        <v>20017L</v>
      </c>
      <c r="H59">
        <f>セットアップレポート!G59</f>
        <v>17</v>
      </c>
      <c r="I59" t="str">
        <f>セットアップレポート!H59</f>
        <v>L</v>
      </c>
      <c r="J59" t="str">
        <f>セットアップレポート!I59</f>
        <v>9000063581 100030</v>
      </c>
      <c r="K59">
        <f>セットアップレポート!J59</f>
        <v>9000063581</v>
      </c>
      <c r="L59">
        <f>セットアップレポート!K59</f>
        <v>0</v>
      </c>
      <c r="M59">
        <f>セットアップレポート!L59</f>
        <v>0</v>
      </c>
      <c r="N59">
        <f>セットアップレポート!M59</f>
        <v>0</v>
      </c>
      <c r="O59">
        <f>セットアップレポート!N59</f>
        <v>0</v>
      </c>
      <c r="P59" t="str">
        <f>セットアップレポート!O59</f>
        <v>FA0201ACD050198</v>
      </c>
      <c r="Q59">
        <f>セットアップレポート!P59</f>
        <v>2000</v>
      </c>
      <c r="R59">
        <f>セットアップレポート!Q59</f>
        <v>45950.475081018521</v>
      </c>
      <c r="S59">
        <f>セットアップレポート!R59</f>
        <v>0</v>
      </c>
      <c r="T59">
        <f>セットアップレポート!S59</f>
        <v>0</v>
      </c>
      <c r="U59">
        <f>セットアップレポート!T59</f>
        <v>0</v>
      </c>
      <c r="V59">
        <f>セットアップレポート!U59</f>
        <v>0</v>
      </c>
      <c r="W59">
        <f>セットアップレポート!V59</f>
        <v>0</v>
      </c>
      <c r="X59">
        <f>セットアップレポート!W59</f>
        <v>0</v>
      </c>
      <c r="Y59">
        <f>セットアップレポート!X59</f>
        <v>0</v>
      </c>
      <c r="Z59">
        <f>セットアップレポート!Y59</f>
        <v>0</v>
      </c>
      <c r="AA59">
        <f>セットアップレポート!Z59</f>
        <v>0</v>
      </c>
      <c r="AB59" t="str">
        <f>セットアップレポート!AA59</f>
        <v>NONE</v>
      </c>
      <c r="AC59">
        <f>セットアップレポート!AB59</f>
        <v>0</v>
      </c>
      <c r="AD59">
        <f>セットアップレポート!AC59</f>
        <v>0</v>
      </c>
      <c r="AE59">
        <f>セットアップレポート!AD59</f>
        <v>0</v>
      </c>
      <c r="AF59">
        <f>セットアップレポート!AE59</f>
        <v>0</v>
      </c>
      <c r="AG59">
        <f>セットアップレポート!AF59</f>
        <v>0</v>
      </c>
      <c r="AH59">
        <f>セットアップレポート!AG59</f>
        <v>0</v>
      </c>
    </row>
    <row r="60" spans="1:34" x14ac:dyDescent="0.45">
      <c r="A60" t="str">
        <f t="shared" si="0"/>
        <v>L2-NPM010018L9000064819</v>
      </c>
      <c r="B60" t="str">
        <f>セットアップレポート!A60</f>
        <v>Line-2</v>
      </c>
      <c r="C60" t="str">
        <f>セットアップレポート!B60</f>
        <v>L2-NPM01</v>
      </c>
      <c r="D60" t="str">
        <f>セットアップレポート!C60</f>
        <v>Zone-2-NPMW-1</v>
      </c>
      <c r="E60">
        <f>セットアップレポート!D60</f>
        <v>1</v>
      </c>
      <c r="F60">
        <f>セットアップレポート!E60</f>
        <v>1</v>
      </c>
      <c r="G60" t="str">
        <f>セットアップレポート!F60</f>
        <v>20018L</v>
      </c>
      <c r="H60">
        <f>セットアップレポート!G60</f>
        <v>18</v>
      </c>
      <c r="I60" t="str">
        <f>セットアップレポート!H60</f>
        <v>L</v>
      </c>
      <c r="J60" t="str">
        <f>セットアップレポート!I60</f>
        <v>9000064819 100017</v>
      </c>
      <c r="K60">
        <f>セットアップレポート!J60</f>
        <v>9000064819</v>
      </c>
      <c r="L60">
        <f>セットアップレポート!K60</f>
        <v>0</v>
      </c>
      <c r="M60">
        <f>セットアップレポート!L60</f>
        <v>0</v>
      </c>
      <c r="N60">
        <f>セットアップレポート!M60</f>
        <v>0</v>
      </c>
      <c r="O60">
        <f>セットアップレポート!N60</f>
        <v>0</v>
      </c>
      <c r="P60" t="str">
        <f>セットアップレポート!O60</f>
        <v>FA0201ACD051380</v>
      </c>
      <c r="Q60">
        <f>セットアップレポート!P60</f>
        <v>5000</v>
      </c>
      <c r="R60">
        <f>セットアップレポート!Q60</f>
        <v>45950.475081018521</v>
      </c>
      <c r="S60">
        <f>セットアップレポート!R60</f>
        <v>0</v>
      </c>
      <c r="T60">
        <f>セットアップレポート!S60</f>
        <v>0</v>
      </c>
      <c r="U60">
        <f>セットアップレポート!T60</f>
        <v>0</v>
      </c>
      <c r="V60">
        <f>セットアップレポート!U60</f>
        <v>0</v>
      </c>
      <c r="W60">
        <f>セットアップレポート!V60</f>
        <v>0</v>
      </c>
      <c r="X60">
        <f>セットアップレポート!W60</f>
        <v>0</v>
      </c>
      <c r="Y60">
        <f>セットアップレポート!X60</f>
        <v>0</v>
      </c>
      <c r="Z60">
        <f>セットアップレポート!Y60</f>
        <v>0</v>
      </c>
      <c r="AA60">
        <f>セットアップレポート!Z60</f>
        <v>0</v>
      </c>
      <c r="AB60" t="str">
        <f>セットアップレポート!AA60</f>
        <v>NONE</v>
      </c>
      <c r="AC60">
        <f>セットアップレポート!AB60</f>
        <v>0</v>
      </c>
      <c r="AD60">
        <f>セットアップレポート!AC60</f>
        <v>0</v>
      </c>
      <c r="AE60">
        <f>セットアップレポート!AD60</f>
        <v>0</v>
      </c>
      <c r="AF60">
        <f>セットアップレポート!AE60</f>
        <v>0</v>
      </c>
      <c r="AG60">
        <f>セットアップレポート!AF60</f>
        <v>0</v>
      </c>
      <c r="AH60">
        <f>セットアップレポート!AG60</f>
        <v>0</v>
      </c>
    </row>
    <row r="61" spans="1:34" x14ac:dyDescent="0.45">
      <c r="A61" t="str">
        <f t="shared" si="0"/>
        <v>L2-NPM010019L678517A</v>
      </c>
      <c r="B61" t="str">
        <f>セットアップレポート!A61</f>
        <v>Line-2</v>
      </c>
      <c r="C61" t="str">
        <f>セットアップレポート!B61</f>
        <v>L2-NPM01</v>
      </c>
      <c r="D61" t="str">
        <f>セットアップレポート!C61</f>
        <v>Zone-2-NPMW-1</v>
      </c>
      <c r="E61">
        <f>セットアップレポート!D61</f>
        <v>1</v>
      </c>
      <c r="F61">
        <f>セットアップレポート!E61</f>
        <v>1</v>
      </c>
      <c r="G61" t="str">
        <f>セットアップレポート!F61</f>
        <v>20019L</v>
      </c>
      <c r="H61">
        <f>セットアップレポート!G61</f>
        <v>19</v>
      </c>
      <c r="I61" t="str">
        <f>セットアップレポート!H61</f>
        <v>L</v>
      </c>
      <c r="J61" t="str">
        <f>セットアップレポート!I61</f>
        <v>678517A100509</v>
      </c>
      <c r="K61" t="str">
        <f>セットアップレポート!J61</f>
        <v>678517A</v>
      </c>
      <c r="L61">
        <f>セットアップレポート!K61</f>
        <v>0</v>
      </c>
      <c r="M61">
        <f>セットアップレポート!L61</f>
        <v>0</v>
      </c>
      <c r="N61">
        <f>セットアップレポート!M61</f>
        <v>0</v>
      </c>
      <c r="O61">
        <f>セットアップレポート!N61</f>
        <v>0</v>
      </c>
      <c r="P61" t="str">
        <f>セットアップレポート!O61</f>
        <v>FA0201ACD051397</v>
      </c>
      <c r="Q61">
        <f>セットアップレポート!P61</f>
        <v>250</v>
      </c>
      <c r="R61">
        <f>セットアップレポート!Q61</f>
        <v>45950.475081018521</v>
      </c>
      <c r="S61" t="str">
        <f>セットアップレポート!R61</f>
        <v>sato kuniyoshi</v>
      </c>
      <c r="T61" t="str">
        <f>セットアップレポート!S61</f>
        <v>Yes</v>
      </c>
      <c r="U61">
        <f>セットアップレポート!T61</f>
        <v>0</v>
      </c>
      <c r="V61" t="str">
        <f>セットアップレポート!U61</f>
        <v>678517A100510</v>
      </c>
      <c r="W61">
        <f>セットアップレポート!V61</f>
        <v>0</v>
      </c>
      <c r="X61">
        <f>セットアップレポート!W61</f>
        <v>0</v>
      </c>
      <c r="Y61">
        <f>セットアップレポート!X61</f>
        <v>0</v>
      </c>
      <c r="Z61">
        <f>セットアップレポート!Y61</f>
        <v>0</v>
      </c>
      <c r="AA61">
        <f>セットアップレポート!Z61</f>
        <v>0</v>
      </c>
      <c r="AB61" t="str">
        <f>セットアップレポート!AA61</f>
        <v>NONE</v>
      </c>
      <c r="AC61">
        <f>セットアップレポート!AB61</f>
        <v>0</v>
      </c>
      <c r="AD61">
        <f>セットアップレポート!AC61</f>
        <v>0</v>
      </c>
      <c r="AE61">
        <f>セットアップレポート!AD61</f>
        <v>0</v>
      </c>
      <c r="AF61">
        <f>セットアップレポート!AE61</f>
        <v>0</v>
      </c>
      <c r="AG61">
        <f>セットアップレポート!AF61</f>
        <v>0</v>
      </c>
      <c r="AH61">
        <f>セットアップレポート!AG61</f>
        <v>0</v>
      </c>
    </row>
    <row r="62" spans="1:34" x14ac:dyDescent="0.45">
      <c r="A62" t="str">
        <f t="shared" si="0"/>
        <v>L2-NPM010020L9000066600</v>
      </c>
      <c r="B62" t="str">
        <f>セットアップレポート!A62</f>
        <v>Line-2</v>
      </c>
      <c r="C62" t="str">
        <f>セットアップレポート!B62</f>
        <v>L2-NPM01</v>
      </c>
      <c r="D62" t="str">
        <f>セットアップレポート!C62</f>
        <v>Zone-2-NPMW-1</v>
      </c>
      <c r="E62">
        <f>セットアップレポート!D62</f>
        <v>1</v>
      </c>
      <c r="F62">
        <f>セットアップレポート!E62</f>
        <v>1</v>
      </c>
      <c r="G62" t="str">
        <f>セットアップレポート!F62</f>
        <v>20020L</v>
      </c>
      <c r="H62">
        <f>セットアップレポート!G62</f>
        <v>20</v>
      </c>
      <c r="I62" t="str">
        <f>セットアップレポート!H62</f>
        <v>L</v>
      </c>
      <c r="J62" t="str">
        <f>セットアップレポート!I62</f>
        <v>9000066600 100014</v>
      </c>
      <c r="K62">
        <f>セットアップレポート!J62</f>
        <v>9000066600</v>
      </c>
      <c r="L62">
        <f>セットアップレポート!K62</f>
        <v>0</v>
      </c>
      <c r="M62">
        <f>セットアップレポート!L62</f>
        <v>0</v>
      </c>
      <c r="N62">
        <f>セットアップレポート!M62</f>
        <v>0</v>
      </c>
      <c r="O62">
        <f>セットアップレポート!N62</f>
        <v>0</v>
      </c>
      <c r="P62" t="str">
        <f>セットアップレポート!O62</f>
        <v>FA0201ABA002790</v>
      </c>
      <c r="Q62">
        <f>セットアップレポート!P62</f>
        <v>2000</v>
      </c>
      <c r="R62">
        <f>セットアップレポート!Q62</f>
        <v>45931.82135416667</v>
      </c>
      <c r="S62">
        <f>セットアップレポート!R62</f>
        <v>0</v>
      </c>
      <c r="T62">
        <f>セットアップレポート!S62</f>
        <v>0</v>
      </c>
      <c r="U62">
        <f>セットアップレポート!T62</f>
        <v>0</v>
      </c>
      <c r="V62">
        <f>セットアップレポート!U62</f>
        <v>0</v>
      </c>
      <c r="W62">
        <f>セットアップレポート!V62</f>
        <v>0</v>
      </c>
      <c r="X62">
        <f>セットアップレポート!W62</f>
        <v>0</v>
      </c>
      <c r="Y62">
        <f>セットアップレポート!X62</f>
        <v>0</v>
      </c>
      <c r="Z62">
        <f>セットアップレポート!Y62</f>
        <v>0</v>
      </c>
      <c r="AA62">
        <f>セットアップレポート!Z62</f>
        <v>0</v>
      </c>
      <c r="AB62" t="str">
        <f>セットアップレポート!AA62</f>
        <v>NONE</v>
      </c>
      <c r="AC62">
        <f>セットアップレポート!AB62</f>
        <v>0</v>
      </c>
      <c r="AD62">
        <f>セットアップレポート!AC62</f>
        <v>0</v>
      </c>
      <c r="AE62">
        <f>セットアップレポート!AD62</f>
        <v>0</v>
      </c>
      <c r="AF62">
        <f>セットアップレポート!AE62</f>
        <v>0</v>
      </c>
      <c r="AG62">
        <f>セットアップレポート!AF62</f>
        <v>0</v>
      </c>
      <c r="AH62">
        <f>セットアップレポート!AG62</f>
        <v>0</v>
      </c>
    </row>
    <row r="63" spans="1:34" x14ac:dyDescent="0.45">
      <c r="A63" t="str">
        <f t="shared" si="0"/>
        <v>L2-NPM010021L9000061308</v>
      </c>
      <c r="B63" t="str">
        <f>セットアップレポート!A63</f>
        <v>Line-2</v>
      </c>
      <c r="C63" t="str">
        <f>セットアップレポート!B63</f>
        <v>L2-NPM01</v>
      </c>
      <c r="D63" t="str">
        <f>セットアップレポート!C63</f>
        <v>Zone-2-NPMW-1</v>
      </c>
      <c r="E63">
        <f>セットアップレポート!D63</f>
        <v>1</v>
      </c>
      <c r="F63">
        <f>セットアップレポート!E63</f>
        <v>1</v>
      </c>
      <c r="G63" t="str">
        <f>セットアップレポート!F63</f>
        <v>20021L</v>
      </c>
      <c r="H63">
        <f>セットアップレポート!G63</f>
        <v>21</v>
      </c>
      <c r="I63" t="str">
        <f>セットアップレポート!H63</f>
        <v>L</v>
      </c>
      <c r="J63" t="str">
        <f>セットアップレポート!I63</f>
        <v>9000061308 100019</v>
      </c>
      <c r="K63">
        <f>セットアップレポート!J63</f>
        <v>9000061308</v>
      </c>
      <c r="L63">
        <f>セットアップレポート!K63</f>
        <v>0</v>
      </c>
      <c r="M63">
        <f>セットアップレポート!L63</f>
        <v>0</v>
      </c>
      <c r="N63">
        <f>セットアップレポート!M63</f>
        <v>0</v>
      </c>
      <c r="O63">
        <f>セットアップレポート!N63</f>
        <v>0</v>
      </c>
      <c r="P63" t="str">
        <f>セットアップレポート!O63</f>
        <v>FA0220AFA654103</v>
      </c>
      <c r="Q63">
        <f>セットアップレポート!P63</f>
        <v>2000</v>
      </c>
      <c r="R63">
        <f>セットアップレポート!Q63</f>
        <v>45931.82136574074</v>
      </c>
      <c r="S63">
        <f>セットアップレポート!R63</f>
        <v>0</v>
      </c>
      <c r="T63">
        <f>セットアップレポート!S63</f>
        <v>0</v>
      </c>
      <c r="U63">
        <f>セットアップレポート!T63</f>
        <v>0</v>
      </c>
      <c r="V63">
        <f>セットアップレポート!U63</f>
        <v>0</v>
      </c>
      <c r="W63">
        <f>セットアップレポート!V63</f>
        <v>0</v>
      </c>
      <c r="X63">
        <f>セットアップレポート!W63</f>
        <v>0</v>
      </c>
      <c r="Y63">
        <f>セットアップレポート!X63</f>
        <v>0</v>
      </c>
      <c r="Z63">
        <f>セットアップレポート!Y63</f>
        <v>0</v>
      </c>
      <c r="AA63">
        <f>セットアップレポート!Z63</f>
        <v>0</v>
      </c>
      <c r="AB63" t="str">
        <f>セットアップレポート!AA63</f>
        <v>NONE</v>
      </c>
      <c r="AC63">
        <f>セットアップレポート!AB63</f>
        <v>0</v>
      </c>
      <c r="AD63">
        <f>セットアップレポート!AC63</f>
        <v>0</v>
      </c>
      <c r="AE63">
        <f>セットアップレポート!AD63</f>
        <v>0</v>
      </c>
      <c r="AF63">
        <f>セットアップレポート!AE63</f>
        <v>0</v>
      </c>
      <c r="AG63">
        <f>セットアップレポート!AF63</f>
        <v>0</v>
      </c>
      <c r="AH63">
        <f>セットアップレポート!AG63</f>
        <v>0</v>
      </c>
    </row>
    <row r="64" spans="1:34" x14ac:dyDescent="0.45">
      <c r="A64" t="str">
        <f t="shared" si="0"/>
        <v>L2-NPM010022L922316</v>
      </c>
      <c r="B64" t="str">
        <f>セットアップレポート!A64</f>
        <v>Line-2</v>
      </c>
      <c r="C64" t="str">
        <f>セットアップレポート!B64</f>
        <v>L2-NPM01</v>
      </c>
      <c r="D64" t="str">
        <f>セットアップレポート!C64</f>
        <v>Zone-2-NPMW-1</v>
      </c>
      <c r="E64">
        <f>セットアップレポート!D64</f>
        <v>1</v>
      </c>
      <c r="F64">
        <f>セットアップレポート!E64</f>
        <v>1</v>
      </c>
      <c r="G64" t="str">
        <f>セットアップレポート!F64</f>
        <v>20022L</v>
      </c>
      <c r="H64">
        <f>セットアップレポート!G64</f>
        <v>22</v>
      </c>
      <c r="I64" t="str">
        <f>セットアップレポート!H64</f>
        <v>L</v>
      </c>
      <c r="J64" t="str">
        <f>セットアップレポート!I64</f>
        <v>922316 100161</v>
      </c>
      <c r="K64">
        <f>セットアップレポート!J64</f>
        <v>922316</v>
      </c>
      <c r="L64">
        <f>セットアップレポート!K64</f>
        <v>0</v>
      </c>
      <c r="M64">
        <f>セットアップレポート!L64</f>
        <v>0</v>
      </c>
      <c r="N64">
        <f>セットアップレポート!M64</f>
        <v>0</v>
      </c>
      <c r="O64">
        <f>セットアップレポート!N64</f>
        <v>0</v>
      </c>
      <c r="P64" t="str">
        <f>セットアップレポート!O64</f>
        <v>FA0220ADF311645</v>
      </c>
      <c r="Q64">
        <f>セットアップレポート!P64</f>
        <v>2500</v>
      </c>
      <c r="R64">
        <f>セットアップレポート!Q64</f>
        <v>45931.82136574074</v>
      </c>
      <c r="S64">
        <f>セットアップレポート!R64</f>
        <v>0</v>
      </c>
      <c r="T64" t="str">
        <f>セットアップレポート!S64</f>
        <v>Yes</v>
      </c>
      <c r="U64">
        <f>セットアップレポート!T64</f>
        <v>0</v>
      </c>
      <c r="V64" t="str">
        <f>セットアップレポート!U64</f>
        <v>922316 100168</v>
      </c>
      <c r="W64">
        <f>セットアップレポート!V64</f>
        <v>0</v>
      </c>
      <c r="X64">
        <f>セットアップレポート!W64</f>
        <v>0</v>
      </c>
      <c r="Y64">
        <f>セットアップレポート!X64</f>
        <v>0</v>
      </c>
      <c r="Z64">
        <f>セットアップレポート!Y64</f>
        <v>0</v>
      </c>
      <c r="AA64">
        <f>セットアップレポート!Z64</f>
        <v>0</v>
      </c>
      <c r="AB64" t="str">
        <f>セットアップレポート!AA64</f>
        <v>NONE</v>
      </c>
      <c r="AC64">
        <f>セットアップレポート!AB64</f>
        <v>0</v>
      </c>
      <c r="AD64">
        <f>セットアップレポート!AC64</f>
        <v>0</v>
      </c>
      <c r="AE64">
        <f>セットアップレポート!AD64</f>
        <v>0</v>
      </c>
      <c r="AF64">
        <f>セットアップレポート!AE64</f>
        <v>0</v>
      </c>
      <c r="AG64">
        <f>セットアップレポート!AF64</f>
        <v>0</v>
      </c>
      <c r="AH64">
        <f>セットアップレポート!AG64</f>
        <v>0</v>
      </c>
    </row>
    <row r="65" spans="1:34" x14ac:dyDescent="0.45">
      <c r="A65" t="str">
        <f t="shared" si="0"/>
        <v>L2-NPM010023L9000069281</v>
      </c>
      <c r="B65" t="str">
        <f>セットアップレポート!A65</f>
        <v>Line-2</v>
      </c>
      <c r="C65" t="str">
        <f>セットアップレポート!B65</f>
        <v>L2-NPM01</v>
      </c>
      <c r="D65" t="str">
        <f>セットアップレポート!C65</f>
        <v>Zone-2-NPMW-1</v>
      </c>
      <c r="E65">
        <f>セットアップレポート!D65</f>
        <v>1</v>
      </c>
      <c r="F65">
        <f>セットアップレポート!E65</f>
        <v>1</v>
      </c>
      <c r="G65" t="str">
        <f>セットアップレポート!F65</f>
        <v>20023L</v>
      </c>
      <c r="H65">
        <f>セットアップレポート!G65</f>
        <v>23</v>
      </c>
      <c r="I65" t="str">
        <f>セットアップレポート!H65</f>
        <v>L</v>
      </c>
      <c r="J65" t="str">
        <f>セットアップレポート!I65</f>
        <v>9000069281 100003</v>
      </c>
      <c r="K65">
        <f>セットアップレポート!J65</f>
        <v>9000069281</v>
      </c>
      <c r="L65">
        <f>セットアップレポート!K65</f>
        <v>0</v>
      </c>
      <c r="M65">
        <f>セットアップレポート!L65</f>
        <v>0</v>
      </c>
      <c r="N65">
        <f>セットアップレポート!M65</f>
        <v>0</v>
      </c>
      <c r="O65">
        <f>セットアップレポート!N65</f>
        <v>0</v>
      </c>
      <c r="P65" t="str">
        <f>セットアップレポート!O65</f>
        <v>FA0220ADF311603</v>
      </c>
      <c r="Q65">
        <f>セットアップレポート!P65</f>
        <v>5000</v>
      </c>
      <c r="R65">
        <f>セットアップレポート!Q65</f>
        <v>45931.82136574074</v>
      </c>
      <c r="S65">
        <f>セットアップレポート!R65</f>
        <v>0</v>
      </c>
      <c r="T65">
        <f>セットアップレポート!S65</f>
        <v>0</v>
      </c>
      <c r="U65">
        <f>セットアップレポート!T65</f>
        <v>0</v>
      </c>
      <c r="V65">
        <f>セットアップレポート!U65</f>
        <v>0</v>
      </c>
      <c r="W65">
        <f>セットアップレポート!V65</f>
        <v>0</v>
      </c>
      <c r="X65">
        <f>セットアップレポート!W65</f>
        <v>0</v>
      </c>
      <c r="Y65">
        <f>セットアップレポート!X65</f>
        <v>0</v>
      </c>
      <c r="Z65">
        <f>セットアップレポート!Y65</f>
        <v>0</v>
      </c>
      <c r="AA65">
        <f>セットアップレポート!Z65</f>
        <v>0</v>
      </c>
      <c r="AB65" t="str">
        <f>セットアップレポート!AA65</f>
        <v>NONE</v>
      </c>
      <c r="AC65">
        <f>セットアップレポート!AB65</f>
        <v>0</v>
      </c>
      <c r="AD65">
        <f>セットアップレポート!AC65</f>
        <v>0</v>
      </c>
      <c r="AE65">
        <f>セットアップレポート!AD65</f>
        <v>0</v>
      </c>
      <c r="AF65">
        <f>セットアップレポート!AE65</f>
        <v>0</v>
      </c>
      <c r="AG65">
        <f>セットアップレポート!AF65</f>
        <v>0</v>
      </c>
      <c r="AH65">
        <f>セットアップレポート!AG65</f>
        <v>0</v>
      </c>
    </row>
    <row r="66" spans="1:34" x14ac:dyDescent="0.45">
      <c r="A66" t="str">
        <f t="shared" si="0"/>
        <v>L2-NPM010030LT9000066592</v>
      </c>
      <c r="B66" t="str">
        <f>セットアップレポート!A66</f>
        <v>Line-2</v>
      </c>
      <c r="C66" t="str">
        <f>セットアップレポート!B66</f>
        <v>L2-NPM01</v>
      </c>
      <c r="D66" t="str">
        <f>セットアップレポート!C66</f>
        <v>Zone-2-NPMW-1</v>
      </c>
      <c r="E66">
        <f>セットアップレポート!D66</f>
        <v>1</v>
      </c>
      <c r="F66">
        <f>セットアップレポート!E66</f>
        <v>1</v>
      </c>
      <c r="G66" t="str">
        <f>セットアップレポート!F66</f>
        <v>20030L</v>
      </c>
      <c r="H66">
        <f>セットアップレポート!G66</f>
        <v>30</v>
      </c>
      <c r="I66" t="str">
        <f>セットアップレポート!H66</f>
        <v>L</v>
      </c>
      <c r="J66" t="str">
        <f>セットアップレポート!I66</f>
        <v>T9000066592100001</v>
      </c>
      <c r="K66" t="str">
        <f>セットアップレポート!J66</f>
        <v>T9000066592</v>
      </c>
      <c r="L66">
        <f>セットアップレポート!K66</f>
        <v>0</v>
      </c>
      <c r="M66">
        <f>セットアップレポート!L66</f>
        <v>0</v>
      </c>
      <c r="N66">
        <f>セットアップレポート!M66</f>
        <v>0</v>
      </c>
      <c r="O66">
        <f>セットアップレポート!N66</f>
        <v>0</v>
      </c>
      <c r="P66" t="str">
        <f>セットアップレポート!O66</f>
        <v>FA0201ABD000213</v>
      </c>
      <c r="Q66">
        <f>セットアップレポート!P66</f>
        <v>4640</v>
      </c>
      <c r="R66">
        <f>セットアップレポート!Q66</f>
        <v>45930.448321759257</v>
      </c>
      <c r="S66">
        <f>セットアップレポート!R66</f>
        <v>0</v>
      </c>
      <c r="T66" t="str">
        <f>セットアップレポート!S66</f>
        <v>Yes</v>
      </c>
      <c r="U66">
        <f>セットアップレポート!T66</f>
        <v>0</v>
      </c>
      <c r="V66" t="str">
        <f>セットアップレポート!U66</f>
        <v>T9000066592100002</v>
      </c>
      <c r="W66">
        <f>セットアップレポート!V66</f>
        <v>0</v>
      </c>
      <c r="X66">
        <f>セットアップレポート!W66</f>
        <v>0</v>
      </c>
      <c r="Y66">
        <f>セットアップレポート!X66</f>
        <v>0</v>
      </c>
      <c r="Z66">
        <f>セットアップレポート!Y66</f>
        <v>0</v>
      </c>
      <c r="AA66">
        <f>セットアップレポート!Z66</f>
        <v>0</v>
      </c>
      <c r="AB66" t="str">
        <f>セットアップレポート!AA66</f>
        <v>NONE</v>
      </c>
      <c r="AC66">
        <f>セットアップレポート!AB66</f>
        <v>0</v>
      </c>
      <c r="AD66">
        <f>セットアップレポート!AC66</f>
        <v>0</v>
      </c>
      <c r="AE66">
        <f>セットアップレポート!AD66</f>
        <v>0</v>
      </c>
      <c r="AF66">
        <f>セットアップレポート!AE66</f>
        <v>0</v>
      </c>
      <c r="AG66">
        <f>セットアップレポート!AF66</f>
        <v>0</v>
      </c>
      <c r="AH66">
        <f>セットアップレポート!AG66</f>
        <v>0</v>
      </c>
    </row>
    <row r="67" spans="1:34" x14ac:dyDescent="0.45">
      <c r="A67" t="str">
        <f t="shared" ref="A67:A130" si="1">C67&amp;RIGHT(G67,5)&amp;K67</f>
        <v>L2-NPM020001L9000057842</v>
      </c>
      <c r="B67" t="str">
        <f>セットアップレポート!A67</f>
        <v>Line-2</v>
      </c>
      <c r="C67" t="str">
        <f>セットアップレポート!B67</f>
        <v>L2-NPM02</v>
      </c>
      <c r="D67" t="str">
        <f>セットアップレポート!C67</f>
        <v>Zone-2-NPMW-2</v>
      </c>
      <c r="E67">
        <f>セットアップレポート!D67</f>
        <v>1</v>
      </c>
      <c r="F67">
        <f>セットアップレポート!E67</f>
        <v>1</v>
      </c>
      <c r="G67" t="str">
        <f>セットアップレポート!F67</f>
        <v>10001L</v>
      </c>
      <c r="H67">
        <f>セットアップレポート!G67</f>
        <v>1</v>
      </c>
      <c r="I67" t="str">
        <f>セットアップレポート!H67</f>
        <v>L</v>
      </c>
      <c r="J67" t="str">
        <f>セットアップレポート!I67</f>
        <v>9000057842 100152</v>
      </c>
      <c r="K67">
        <f>セットアップレポート!J67</f>
        <v>9000057842</v>
      </c>
      <c r="L67">
        <f>セットアップレポート!K67</f>
        <v>0</v>
      </c>
      <c r="M67">
        <f>セットアップレポート!L67</f>
        <v>0</v>
      </c>
      <c r="N67">
        <f>セットアップレポート!M67</f>
        <v>0</v>
      </c>
      <c r="O67">
        <f>セットアップレポート!N67</f>
        <v>0</v>
      </c>
      <c r="P67" t="str">
        <f>セットアップレポート!O67</f>
        <v>FA0201AAD000162</v>
      </c>
      <c r="Q67">
        <f>セットアップレポート!P67</f>
        <v>10000</v>
      </c>
      <c r="R67">
        <f>セットアップレポート!Q67</f>
        <v>45930.448564814818</v>
      </c>
      <c r="S67">
        <f>セットアップレポート!R67</f>
        <v>0</v>
      </c>
      <c r="T67">
        <f>セットアップレポート!S67</f>
        <v>0</v>
      </c>
      <c r="U67">
        <f>セットアップレポート!T67</f>
        <v>0</v>
      </c>
      <c r="V67">
        <f>セットアップレポート!U67</f>
        <v>0</v>
      </c>
      <c r="W67">
        <f>セットアップレポート!V67</f>
        <v>0</v>
      </c>
      <c r="X67">
        <f>セットアップレポート!W67</f>
        <v>0</v>
      </c>
      <c r="Y67">
        <f>セットアップレポート!X67</f>
        <v>0</v>
      </c>
      <c r="Z67">
        <f>セットアップレポート!Y67</f>
        <v>0</v>
      </c>
      <c r="AA67">
        <f>セットアップレポート!Z67</f>
        <v>0</v>
      </c>
      <c r="AB67" t="str">
        <f>セットアップレポート!AA67</f>
        <v>NONE</v>
      </c>
      <c r="AC67">
        <f>セットアップレポート!AB67</f>
        <v>0</v>
      </c>
      <c r="AD67">
        <f>セットアップレポート!AC67</f>
        <v>0</v>
      </c>
      <c r="AE67">
        <f>セットアップレポート!AD67</f>
        <v>0</v>
      </c>
      <c r="AF67">
        <f>セットアップレポート!AE67</f>
        <v>0</v>
      </c>
      <c r="AG67">
        <f>セットアップレポート!AF67</f>
        <v>0</v>
      </c>
      <c r="AH67">
        <f>セットアップレポート!AG67</f>
        <v>0</v>
      </c>
    </row>
    <row r="68" spans="1:34" x14ac:dyDescent="0.45">
      <c r="A68" t="str">
        <f t="shared" si="1"/>
        <v>L2-NPM020002L620598</v>
      </c>
      <c r="B68" t="str">
        <f>セットアップレポート!A68</f>
        <v>Line-2</v>
      </c>
      <c r="C68" t="str">
        <f>セットアップレポート!B68</f>
        <v>L2-NPM02</v>
      </c>
      <c r="D68" t="str">
        <f>セットアップレポート!C68</f>
        <v>Zone-2-NPMW-2</v>
      </c>
      <c r="E68">
        <f>セットアップレポート!D68</f>
        <v>1</v>
      </c>
      <c r="F68">
        <f>セットアップレポート!E68</f>
        <v>1</v>
      </c>
      <c r="G68" t="str">
        <f>セットアップレポート!F68</f>
        <v>10002L</v>
      </c>
      <c r="H68">
        <f>セットアップレポート!G68</f>
        <v>2</v>
      </c>
      <c r="I68" t="str">
        <f>セットアップレポート!H68</f>
        <v>L</v>
      </c>
      <c r="J68" t="str">
        <f>セットアップレポート!I68</f>
        <v>620598 100442</v>
      </c>
      <c r="K68">
        <f>セットアップレポート!J68</f>
        <v>620598</v>
      </c>
      <c r="L68">
        <f>セットアップレポート!K68</f>
        <v>0</v>
      </c>
      <c r="M68">
        <f>セットアップレポート!L68</f>
        <v>0</v>
      </c>
      <c r="N68">
        <f>セットアップレポート!M68</f>
        <v>0</v>
      </c>
      <c r="O68">
        <f>セットアップレポート!N68</f>
        <v>0</v>
      </c>
      <c r="P68" t="str">
        <f>セットアップレポート!O68</f>
        <v>FA0201ACD049863</v>
      </c>
      <c r="Q68">
        <f>セットアップレポート!P68</f>
        <v>10000</v>
      </c>
      <c r="R68">
        <f>セットアップレポート!Q68</f>
        <v>45950.475115740737</v>
      </c>
      <c r="S68">
        <f>セットアップレポート!R68</f>
        <v>0</v>
      </c>
      <c r="T68">
        <f>セットアップレポート!S68</f>
        <v>0</v>
      </c>
      <c r="U68">
        <f>セットアップレポート!T68</f>
        <v>0</v>
      </c>
      <c r="V68">
        <f>セットアップレポート!U68</f>
        <v>0</v>
      </c>
      <c r="W68">
        <f>セットアップレポート!V68</f>
        <v>0</v>
      </c>
      <c r="X68">
        <f>セットアップレポート!W68</f>
        <v>0</v>
      </c>
      <c r="Y68">
        <f>セットアップレポート!X68</f>
        <v>0</v>
      </c>
      <c r="Z68">
        <f>セットアップレポート!Y68</f>
        <v>0</v>
      </c>
      <c r="AA68">
        <f>セットアップレポート!Z68</f>
        <v>0</v>
      </c>
      <c r="AB68" t="str">
        <f>セットアップレポート!AA68</f>
        <v>NONE</v>
      </c>
      <c r="AC68">
        <f>セットアップレポート!AB68</f>
        <v>0</v>
      </c>
      <c r="AD68">
        <f>セットアップレポート!AC68</f>
        <v>0</v>
      </c>
      <c r="AE68">
        <f>セットアップレポート!AD68</f>
        <v>0</v>
      </c>
      <c r="AF68">
        <f>セットアップレポート!AE68</f>
        <v>0</v>
      </c>
      <c r="AG68">
        <f>セットアップレポート!AF68</f>
        <v>0</v>
      </c>
      <c r="AH68">
        <f>セットアップレポート!AG68</f>
        <v>0</v>
      </c>
    </row>
    <row r="69" spans="1:34" x14ac:dyDescent="0.45">
      <c r="A69" t="str">
        <f t="shared" si="1"/>
        <v>L2-NPM020003L673228A</v>
      </c>
      <c r="B69" t="str">
        <f>セットアップレポート!A69</f>
        <v>Line-2</v>
      </c>
      <c r="C69" t="str">
        <f>セットアップレポート!B69</f>
        <v>L2-NPM02</v>
      </c>
      <c r="D69" t="str">
        <f>セットアップレポート!C69</f>
        <v>Zone-2-NPMW-2</v>
      </c>
      <c r="E69">
        <f>セットアップレポート!D69</f>
        <v>1</v>
      </c>
      <c r="F69">
        <f>セットアップレポート!E69</f>
        <v>1</v>
      </c>
      <c r="G69" t="str">
        <f>セットアップレポート!F69</f>
        <v>10003L</v>
      </c>
      <c r="H69">
        <f>セットアップレポート!G69</f>
        <v>3</v>
      </c>
      <c r="I69" t="str">
        <f>セットアップレポート!H69</f>
        <v>L</v>
      </c>
      <c r="J69" t="str">
        <f>セットアップレポート!I69</f>
        <v>673228A100079</v>
      </c>
      <c r="K69" t="str">
        <f>セットアップレポート!J69</f>
        <v>673228A</v>
      </c>
      <c r="L69">
        <f>セットアップレポート!K69</f>
        <v>0</v>
      </c>
      <c r="M69">
        <f>セットアップレポート!L69</f>
        <v>0</v>
      </c>
      <c r="N69">
        <f>セットアップレポート!M69</f>
        <v>0</v>
      </c>
      <c r="O69">
        <f>セットアップレポート!N69</f>
        <v>0</v>
      </c>
      <c r="P69" t="str">
        <f>セットアップレポート!O69</f>
        <v>FA0201ABD000568</v>
      </c>
      <c r="Q69">
        <f>セットアップレポート!P69</f>
        <v>5000</v>
      </c>
      <c r="R69">
        <f>セットアップレポート!Q69</f>
        <v>45950.475115740737</v>
      </c>
      <c r="S69">
        <f>セットアップレポート!R69</f>
        <v>0</v>
      </c>
      <c r="T69">
        <f>セットアップレポート!S69</f>
        <v>0</v>
      </c>
      <c r="U69">
        <f>セットアップレポート!T69</f>
        <v>0</v>
      </c>
      <c r="V69">
        <f>セットアップレポート!U69</f>
        <v>0</v>
      </c>
      <c r="W69">
        <f>セットアップレポート!V69</f>
        <v>0</v>
      </c>
      <c r="X69">
        <f>セットアップレポート!W69</f>
        <v>0</v>
      </c>
      <c r="Y69">
        <f>セットアップレポート!X69</f>
        <v>0</v>
      </c>
      <c r="Z69">
        <f>セットアップレポート!Y69</f>
        <v>0</v>
      </c>
      <c r="AA69">
        <f>セットアップレポート!Z69</f>
        <v>0</v>
      </c>
      <c r="AB69" t="str">
        <f>セットアップレポート!AA69</f>
        <v>NONE</v>
      </c>
      <c r="AC69">
        <f>セットアップレポート!AB69</f>
        <v>0</v>
      </c>
      <c r="AD69">
        <f>セットアップレポート!AC69</f>
        <v>0</v>
      </c>
      <c r="AE69">
        <f>セットアップレポート!AD69</f>
        <v>0</v>
      </c>
      <c r="AF69">
        <f>セットアップレポート!AE69</f>
        <v>0</v>
      </c>
      <c r="AG69">
        <f>セットアップレポート!AF69</f>
        <v>0</v>
      </c>
      <c r="AH69">
        <f>セットアップレポート!AG69</f>
        <v>0</v>
      </c>
    </row>
    <row r="70" spans="1:34" x14ac:dyDescent="0.45">
      <c r="A70" t="str">
        <f t="shared" si="1"/>
        <v>L2-NPM020004L9000067640</v>
      </c>
      <c r="B70" t="str">
        <f>セットアップレポート!A70</f>
        <v>Line-2</v>
      </c>
      <c r="C70" t="str">
        <f>セットアップレポート!B70</f>
        <v>L2-NPM02</v>
      </c>
      <c r="D70" t="str">
        <f>セットアップレポート!C70</f>
        <v>Zone-2-NPMW-2</v>
      </c>
      <c r="E70">
        <f>セットアップレポート!D70</f>
        <v>1</v>
      </c>
      <c r="F70">
        <f>セットアップレポート!E70</f>
        <v>1</v>
      </c>
      <c r="G70" t="str">
        <f>セットアップレポート!F70</f>
        <v>10004L</v>
      </c>
      <c r="H70">
        <f>セットアップレポート!G70</f>
        <v>4</v>
      </c>
      <c r="I70" t="str">
        <f>セットアップレポート!H70</f>
        <v>L</v>
      </c>
      <c r="J70" t="str">
        <f>セットアップレポート!I70</f>
        <v>9000067640 100022</v>
      </c>
      <c r="K70">
        <f>セットアップレポート!J70</f>
        <v>9000067640</v>
      </c>
      <c r="L70">
        <f>セットアップレポート!K70</f>
        <v>0</v>
      </c>
      <c r="M70">
        <f>セットアップレポート!L70</f>
        <v>0</v>
      </c>
      <c r="N70">
        <f>セットアップレポート!M70</f>
        <v>0</v>
      </c>
      <c r="O70">
        <f>セットアップレポート!N70</f>
        <v>0</v>
      </c>
      <c r="P70" t="str">
        <f>セットアップレポート!O70</f>
        <v>FA0201ABA002556</v>
      </c>
      <c r="Q70">
        <f>セットアップレポート!P70</f>
        <v>6453</v>
      </c>
      <c r="R70">
        <f>セットアップレポート!Q70</f>
        <v>45950.475115740737</v>
      </c>
      <c r="S70">
        <f>セットアップレポート!R70</f>
        <v>0</v>
      </c>
      <c r="T70">
        <f>セットアップレポート!S70</f>
        <v>0</v>
      </c>
      <c r="U70">
        <f>セットアップレポート!T70</f>
        <v>0</v>
      </c>
      <c r="V70">
        <f>セットアップレポート!U70</f>
        <v>0</v>
      </c>
      <c r="W70">
        <f>セットアップレポート!V70</f>
        <v>0</v>
      </c>
      <c r="X70">
        <f>セットアップレポート!W70</f>
        <v>0</v>
      </c>
      <c r="Y70">
        <f>セットアップレポート!X70</f>
        <v>0</v>
      </c>
      <c r="Z70">
        <f>セットアップレポート!Y70</f>
        <v>0</v>
      </c>
      <c r="AA70">
        <f>セットアップレポート!Z70</f>
        <v>0</v>
      </c>
      <c r="AB70" t="str">
        <f>セットアップレポート!AA70</f>
        <v>NONE</v>
      </c>
      <c r="AC70">
        <f>セットアップレポート!AB70</f>
        <v>0</v>
      </c>
      <c r="AD70">
        <f>セットアップレポート!AC70</f>
        <v>0</v>
      </c>
      <c r="AE70">
        <f>セットアップレポート!AD70</f>
        <v>0</v>
      </c>
      <c r="AF70">
        <f>セットアップレポート!AE70</f>
        <v>0</v>
      </c>
      <c r="AG70">
        <f>セットアップレポート!AF70</f>
        <v>0</v>
      </c>
      <c r="AH70">
        <f>セットアップレポート!AG70</f>
        <v>0</v>
      </c>
    </row>
    <row r="71" spans="1:34" x14ac:dyDescent="0.45">
      <c r="A71" t="str">
        <f t="shared" si="1"/>
        <v>L2-NPM020005L9000001606</v>
      </c>
      <c r="B71" t="str">
        <f>セットアップレポート!A71</f>
        <v>Line-2</v>
      </c>
      <c r="C71" t="str">
        <f>セットアップレポート!B71</f>
        <v>L2-NPM02</v>
      </c>
      <c r="D71" t="str">
        <f>セットアップレポート!C71</f>
        <v>Zone-2-NPMW-2</v>
      </c>
      <c r="E71">
        <f>セットアップレポート!D71</f>
        <v>1</v>
      </c>
      <c r="F71">
        <f>セットアップレポート!E71</f>
        <v>1</v>
      </c>
      <c r="G71" t="str">
        <f>セットアップレポート!F71</f>
        <v>10005L</v>
      </c>
      <c r="H71">
        <f>セットアップレポート!G71</f>
        <v>5</v>
      </c>
      <c r="I71" t="str">
        <f>セットアップレポート!H71</f>
        <v>L</v>
      </c>
      <c r="J71" t="str">
        <f>セットアップレポート!I71</f>
        <v>9000001606 100072</v>
      </c>
      <c r="K71">
        <f>セットアップレポート!J71</f>
        <v>9000001606</v>
      </c>
      <c r="L71">
        <f>セットアップレポート!K71</f>
        <v>0</v>
      </c>
      <c r="M71">
        <f>セットアップレポート!L71</f>
        <v>0</v>
      </c>
      <c r="N71">
        <f>セットアップレポート!M71</f>
        <v>0</v>
      </c>
      <c r="O71">
        <f>セットアップレポート!N71</f>
        <v>0</v>
      </c>
      <c r="P71" t="str">
        <f>セットアップレポート!O71</f>
        <v>FA0201ACD051220</v>
      </c>
      <c r="Q71">
        <f>セットアップレポート!P71</f>
        <v>3000</v>
      </c>
      <c r="R71">
        <f>セットアップレポート!Q71</f>
        <v>45950.475115740737</v>
      </c>
      <c r="S71">
        <f>セットアップレポート!R71</f>
        <v>0</v>
      </c>
      <c r="T71">
        <f>セットアップレポート!S71</f>
        <v>0</v>
      </c>
      <c r="U71">
        <f>セットアップレポート!T71</f>
        <v>0</v>
      </c>
      <c r="V71">
        <f>セットアップレポート!U71</f>
        <v>0</v>
      </c>
      <c r="W71">
        <f>セットアップレポート!V71</f>
        <v>0</v>
      </c>
      <c r="X71">
        <f>セットアップレポート!W71</f>
        <v>0</v>
      </c>
      <c r="Y71">
        <f>セットアップレポート!X71</f>
        <v>0</v>
      </c>
      <c r="Z71">
        <f>セットアップレポート!Y71</f>
        <v>0</v>
      </c>
      <c r="AA71">
        <f>セットアップレポート!Z71</f>
        <v>0</v>
      </c>
      <c r="AB71" t="str">
        <f>セットアップレポート!AA71</f>
        <v>NONE</v>
      </c>
      <c r="AC71">
        <f>セットアップレポート!AB71</f>
        <v>0</v>
      </c>
      <c r="AD71">
        <f>セットアップレポート!AC71</f>
        <v>0</v>
      </c>
      <c r="AE71">
        <f>セットアップレポート!AD71</f>
        <v>0</v>
      </c>
      <c r="AF71">
        <f>セットアップレポート!AE71</f>
        <v>0</v>
      </c>
      <c r="AG71">
        <f>セットアップレポート!AF71</f>
        <v>0</v>
      </c>
      <c r="AH71">
        <f>セットアップレポート!AG71</f>
        <v>0</v>
      </c>
    </row>
    <row r="72" spans="1:34" x14ac:dyDescent="0.45">
      <c r="A72" t="str">
        <f t="shared" si="1"/>
        <v>L2-NPM020006L667547A</v>
      </c>
      <c r="B72" t="str">
        <f>セットアップレポート!A72</f>
        <v>Line-2</v>
      </c>
      <c r="C72" t="str">
        <f>セットアップレポート!B72</f>
        <v>L2-NPM02</v>
      </c>
      <c r="D72" t="str">
        <f>セットアップレポート!C72</f>
        <v>Zone-2-NPMW-2</v>
      </c>
      <c r="E72">
        <f>セットアップレポート!D72</f>
        <v>1</v>
      </c>
      <c r="F72">
        <f>セットアップレポート!E72</f>
        <v>1</v>
      </c>
      <c r="G72" t="str">
        <f>セットアップレポート!F72</f>
        <v>10006L</v>
      </c>
      <c r="H72">
        <f>セットアップレポート!G72</f>
        <v>6</v>
      </c>
      <c r="I72" t="str">
        <f>セットアップレポート!H72</f>
        <v>L</v>
      </c>
      <c r="J72" t="str">
        <f>セットアップレポート!I72</f>
        <v>667547A100093</v>
      </c>
      <c r="K72" t="str">
        <f>セットアップレポート!J72</f>
        <v>667547A</v>
      </c>
      <c r="L72">
        <f>セットアップレポート!K72</f>
        <v>0</v>
      </c>
      <c r="M72">
        <f>セットアップレポート!L72</f>
        <v>0</v>
      </c>
      <c r="N72">
        <f>セットアップレポート!M72</f>
        <v>0</v>
      </c>
      <c r="O72">
        <f>セットアップレポート!N72</f>
        <v>0</v>
      </c>
      <c r="P72" t="str">
        <f>セットアップレポート!O72</f>
        <v>FA0201ABD000680</v>
      </c>
      <c r="Q72">
        <f>セットアップレポート!P72</f>
        <v>5000</v>
      </c>
      <c r="R72">
        <f>セットアップレポート!Q72</f>
        <v>45950.475115740737</v>
      </c>
      <c r="S72">
        <f>セットアップレポート!R72</f>
        <v>0</v>
      </c>
      <c r="T72">
        <f>セットアップレポート!S72</f>
        <v>0</v>
      </c>
      <c r="U72">
        <f>セットアップレポート!T72</f>
        <v>0</v>
      </c>
      <c r="V72">
        <f>セットアップレポート!U72</f>
        <v>0</v>
      </c>
      <c r="W72">
        <f>セットアップレポート!V72</f>
        <v>0</v>
      </c>
      <c r="X72">
        <f>セットアップレポート!W72</f>
        <v>0</v>
      </c>
      <c r="Y72">
        <f>セットアップレポート!X72</f>
        <v>0</v>
      </c>
      <c r="Z72">
        <f>セットアップレポート!Y72</f>
        <v>0</v>
      </c>
      <c r="AA72">
        <f>セットアップレポート!Z72</f>
        <v>0</v>
      </c>
      <c r="AB72" t="str">
        <f>セットアップレポート!AA72</f>
        <v>NONE</v>
      </c>
      <c r="AC72">
        <f>セットアップレポート!AB72</f>
        <v>0</v>
      </c>
      <c r="AD72">
        <f>セットアップレポート!AC72</f>
        <v>0</v>
      </c>
      <c r="AE72">
        <f>セットアップレポート!AD72</f>
        <v>0</v>
      </c>
      <c r="AF72">
        <f>セットアップレポート!AE72</f>
        <v>0</v>
      </c>
      <c r="AG72">
        <f>セットアップレポート!AF72</f>
        <v>0</v>
      </c>
      <c r="AH72">
        <f>セットアップレポート!AG72</f>
        <v>0</v>
      </c>
    </row>
    <row r="73" spans="1:34" x14ac:dyDescent="0.45">
      <c r="A73" t="str">
        <f t="shared" si="1"/>
        <v>L2-NPM020007L667271A</v>
      </c>
      <c r="B73" t="str">
        <f>セットアップレポート!A73</f>
        <v>Line-2</v>
      </c>
      <c r="C73" t="str">
        <f>セットアップレポート!B73</f>
        <v>L2-NPM02</v>
      </c>
      <c r="D73" t="str">
        <f>セットアップレポート!C73</f>
        <v>Zone-2-NPMW-2</v>
      </c>
      <c r="E73">
        <f>セットアップレポート!D73</f>
        <v>1</v>
      </c>
      <c r="F73">
        <f>セットアップレポート!E73</f>
        <v>1</v>
      </c>
      <c r="G73" t="str">
        <f>セットアップレポート!F73</f>
        <v>10007L</v>
      </c>
      <c r="H73">
        <f>セットアップレポート!G73</f>
        <v>7</v>
      </c>
      <c r="I73" t="str">
        <f>セットアップレポート!H73</f>
        <v>L</v>
      </c>
      <c r="J73" t="str">
        <f>セットアップレポート!I73</f>
        <v>667271A100574</v>
      </c>
      <c r="K73" t="str">
        <f>セットアップレポート!J73</f>
        <v>667271A</v>
      </c>
      <c r="L73">
        <f>セットアップレポート!K73</f>
        <v>0</v>
      </c>
      <c r="M73">
        <f>セットアップレポート!L73</f>
        <v>0</v>
      </c>
      <c r="N73">
        <f>セットアップレポート!M73</f>
        <v>0</v>
      </c>
      <c r="O73">
        <f>セットアップレポート!N73</f>
        <v>0</v>
      </c>
      <c r="P73" t="str">
        <f>セットアップレポート!O73</f>
        <v>FA0201ACD050264</v>
      </c>
      <c r="Q73">
        <f>セットアップレポート!P73</f>
        <v>5000</v>
      </c>
      <c r="R73">
        <f>セットアップレポート!Q73</f>
        <v>45950.475127314814</v>
      </c>
      <c r="S73">
        <f>セットアップレポート!R73</f>
        <v>0</v>
      </c>
      <c r="T73">
        <f>セットアップレポート!S73</f>
        <v>0</v>
      </c>
      <c r="U73">
        <f>セットアップレポート!T73</f>
        <v>0</v>
      </c>
      <c r="V73">
        <f>セットアップレポート!U73</f>
        <v>0</v>
      </c>
      <c r="W73">
        <f>セットアップレポート!V73</f>
        <v>0</v>
      </c>
      <c r="X73">
        <f>セットアップレポート!W73</f>
        <v>0</v>
      </c>
      <c r="Y73">
        <f>セットアップレポート!X73</f>
        <v>0</v>
      </c>
      <c r="Z73">
        <f>セットアップレポート!Y73</f>
        <v>0</v>
      </c>
      <c r="AA73">
        <f>セットアップレポート!Z73</f>
        <v>0</v>
      </c>
      <c r="AB73" t="str">
        <f>セットアップレポート!AA73</f>
        <v>NONE</v>
      </c>
      <c r="AC73">
        <f>セットアップレポート!AB73</f>
        <v>0</v>
      </c>
      <c r="AD73">
        <f>セットアップレポート!AC73</f>
        <v>0</v>
      </c>
      <c r="AE73">
        <f>セットアップレポート!AD73</f>
        <v>0</v>
      </c>
      <c r="AF73">
        <f>セットアップレポート!AE73</f>
        <v>0</v>
      </c>
      <c r="AG73">
        <f>セットアップレポート!AF73</f>
        <v>0</v>
      </c>
      <c r="AH73">
        <f>セットアップレポート!AG73</f>
        <v>0</v>
      </c>
    </row>
    <row r="74" spans="1:34" x14ac:dyDescent="0.45">
      <c r="A74" t="str">
        <f t="shared" si="1"/>
        <v>L2-NPM020008L667306A</v>
      </c>
      <c r="B74" t="str">
        <f>セットアップレポート!A74</f>
        <v>Line-2</v>
      </c>
      <c r="C74" t="str">
        <f>セットアップレポート!B74</f>
        <v>L2-NPM02</v>
      </c>
      <c r="D74" t="str">
        <f>セットアップレポート!C74</f>
        <v>Zone-2-NPMW-2</v>
      </c>
      <c r="E74">
        <f>セットアップレポート!D74</f>
        <v>1</v>
      </c>
      <c r="F74">
        <f>セットアップレポート!E74</f>
        <v>1</v>
      </c>
      <c r="G74" t="str">
        <f>セットアップレポート!F74</f>
        <v>10008L</v>
      </c>
      <c r="H74">
        <f>セットアップレポート!G74</f>
        <v>8</v>
      </c>
      <c r="I74" t="str">
        <f>セットアップレポート!H74</f>
        <v>L</v>
      </c>
      <c r="J74" t="str">
        <f>セットアップレポート!I74</f>
        <v>667306A100320</v>
      </c>
      <c r="K74" t="str">
        <f>セットアップレポート!J74</f>
        <v>667306A</v>
      </c>
      <c r="L74">
        <f>セットアップレポート!K74</f>
        <v>0</v>
      </c>
      <c r="M74">
        <f>セットアップレポート!L74</f>
        <v>0</v>
      </c>
      <c r="N74">
        <f>セットアップレポート!M74</f>
        <v>0</v>
      </c>
      <c r="O74">
        <f>セットアップレポート!N74</f>
        <v>0</v>
      </c>
      <c r="P74" t="str">
        <f>セットアップレポート!O74</f>
        <v>FA0201ABA002340</v>
      </c>
      <c r="Q74">
        <f>セットアップレポート!P74</f>
        <v>5000</v>
      </c>
      <c r="R74">
        <f>セットアップレポート!Q74</f>
        <v>45950.475127314814</v>
      </c>
      <c r="S74">
        <f>セットアップレポート!R74</f>
        <v>0</v>
      </c>
      <c r="T74">
        <f>セットアップレポート!S74</f>
        <v>0</v>
      </c>
      <c r="U74">
        <f>セットアップレポート!T74</f>
        <v>0</v>
      </c>
      <c r="V74">
        <f>セットアップレポート!U74</f>
        <v>0</v>
      </c>
      <c r="W74">
        <f>セットアップレポート!V74</f>
        <v>0</v>
      </c>
      <c r="X74">
        <f>セットアップレポート!W74</f>
        <v>0</v>
      </c>
      <c r="Y74">
        <f>セットアップレポート!X74</f>
        <v>0</v>
      </c>
      <c r="Z74">
        <f>セットアップレポート!Y74</f>
        <v>0</v>
      </c>
      <c r="AA74">
        <f>セットアップレポート!Z74</f>
        <v>0</v>
      </c>
      <c r="AB74" t="str">
        <f>セットアップレポート!AA74</f>
        <v>NONE</v>
      </c>
      <c r="AC74">
        <f>セットアップレポート!AB74</f>
        <v>0</v>
      </c>
      <c r="AD74">
        <f>セットアップレポート!AC74</f>
        <v>0</v>
      </c>
      <c r="AE74">
        <f>セットアップレポート!AD74</f>
        <v>0</v>
      </c>
      <c r="AF74">
        <f>セットアップレポート!AE74</f>
        <v>0</v>
      </c>
      <c r="AG74">
        <f>セットアップレポート!AF74</f>
        <v>0</v>
      </c>
      <c r="AH74">
        <f>セットアップレポート!AG74</f>
        <v>0</v>
      </c>
    </row>
    <row r="75" spans="1:34" x14ac:dyDescent="0.45">
      <c r="A75" t="str">
        <f t="shared" si="1"/>
        <v>L2-NPM020009L738293</v>
      </c>
      <c r="B75" t="str">
        <f>セットアップレポート!A75</f>
        <v>Line-2</v>
      </c>
      <c r="C75" t="str">
        <f>セットアップレポート!B75</f>
        <v>L2-NPM02</v>
      </c>
      <c r="D75" t="str">
        <f>セットアップレポート!C75</f>
        <v>Zone-2-NPMW-2</v>
      </c>
      <c r="E75">
        <f>セットアップレポート!D75</f>
        <v>1</v>
      </c>
      <c r="F75">
        <f>セットアップレポート!E75</f>
        <v>1</v>
      </c>
      <c r="G75" t="str">
        <f>セットアップレポート!F75</f>
        <v>10009L</v>
      </c>
      <c r="H75">
        <f>セットアップレポート!G75</f>
        <v>9</v>
      </c>
      <c r="I75" t="str">
        <f>セットアップレポート!H75</f>
        <v>L</v>
      </c>
      <c r="J75" t="str">
        <f>セットアップレポート!I75</f>
        <v>738293 101762</v>
      </c>
      <c r="K75">
        <f>セットアップレポート!J75</f>
        <v>738293</v>
      </c>
      <c r="L75">
        <f>セットアップレポート!K75</f>
        <v>0</v>
      </c>
      <c r="M75">
        <f>セットアップレポート!L75</f>
        <v>0</v>
      </c>
      <c r="N75">
        <f>セットアップレポート!M75</f>
        <v>0</v>
      </c>
      <c r="O75">
        <f>セットアップレポート!N75</f>
        <v>0</v>
      </c>
      <c r="P75" t="str">
        <f>セットアップレポート!O75</f>
        <v>FA0201ABA002486</v>
      </c>
      <c r="Q75">
        <f>セットアップレポート!P75</f>
        <v>4000</v>
      </c>
      <c r="R75">
        <f>セットアップレポート!Q75</f>
        <v>45950.711226851854</v>
      </c>
      <c r="S75" t="str">
        <f>セットアップレポート!R75</f>
        <v>OP</v>
      </c>
      <c r="T75">
        <f>セットアップレポート!S75</f>
        <v>0</v>
      </c>
      <c r="U75">
        <f>セットアップレポート!T75</f>
        <v>0</v>
      </c>
      <c r="V75">
        <f>セットアップレポート!U75</f>
        <v>0</v>
      </c>
      <c r="W75">
        <f>セットアップレポート!V75</f>
        <v>0</v>
      </c>
      <c r="X75">
        <f>セットアップレポート!W75</f>
        <v>0</v>
      </c>
      <c r="Y75">
        <f>セットアップレポート!X75</f>
        <v>0</v>
      </c>
      <c r="Z75">
        <f>セットアップレポート!Y75</f>
        <v>0</v>
      </c>
      <c r="AA75">
        <f>セットアップレポート!Z75</f>
        <v>0</v>
      </c>
      <c r="AB75" t="str">
        <f>セットアップレポート!AA75</f>
        <v>NONE</v>
      </c>
      <c r="AC75">
        <f>セットアップレポート!AB75</f>
        <v>0</v>
      </c>
      <c r="AD75">
        <f>セットアップレポート!AC75</f>
        <v>0</v>
      </c>
      <c r="AE75">
        <f>セットアップレポート!AD75</f>
        <v>0</v>
      </c>
      <c r="AF75">
        <f>セットアップレポート!AE75</f>
        <v>0</v>
      </c>
      <c r="AG75">
        <f>セットアップレポート!AF75</f>
        <v>0</v>
      </c>
      <c r="AH75">
        <f>セットアップレポート!AG75</f>
        <v>0</v>
      </c>
    </row>
    <row r="76" spans="1:34" x14ac:dyDescent="0.45">
      <c r="A76" t="str">
        <f t="shared" si="1"/>
        <v>L2-NPM020010L683868</v>
      </c>
      <c r="B76" t="str">
        <f>セットアップレポート!A76</f>
        <v>Line-2</v>
      </c>
      <c r="C76" t="str">
        <f>セットアップレポート!B76</f>
        <v>L2-NPM02</v>
      </c>
      <c r="D76" t="str">
        <f>セットアップレポート!C76</f>
        <v>Zone-2-NPMW-2</v>
      </c>
      <c r="E76">
        <f>セットアップレポート!D76</f>
        <v>1</v>
      </c>
      <c r="F76">
        <f>セットアップレポート!E76</f>
        <v>1</v>
      </c>
      <c r="G76" t="str">
        <f>セットアップレポート!F76</f>
        <v>10010L</v>
      </c>
      <c r="H76">
        <f>セットアップレポート!G76</f>
        <v>10</v>
      </c>
      <c r="I76" t="str">
        <f>セットアップレポート!H76</f>
        <v>L</v>
      </c>
      <c r="J76" t="str">
        <f>セットアップレポート!I76</f>
        <v>683868 100108</v>
      </c>
      <c r="K76">
        <f>セットアップレポート!J76</f>
        <v>683868</v>
      </c>
      <c r="L76">
        <f>セットアップレポート!K76</f>
        <v>0</v>
      </c>
      <c r="M76">
        <f>セットアップレポート!L76</f>
        <v>0</v>
      </c>
      <c r="N76">
        <f>セットアップレポート!M76</f>
        <v>0</v>
      </c>
      <c r="O76">
        <f>セットアップレポート!N76</f>
        <v>0</v>
      </c>
      <c r="P76" t="str">
        <f>セットアップレポート!O76</f>
        <v>FA0201ACD051067</v>
      </c>
      <c r="Q76">
        <f>セットアップレポート!P76</f>
        <v>10000</v>
      </c>
      <c r="R76">
        <f>セットアップレポート!Q76</f>
        <v>45930.448599537034</v>
      </c>
      <c r="S76">
        <f>セットアップレポート!R76</f>
        <v>0</v>
      </c>
      <c r="T76">
        <f>セットアップレポート!S76</f>
        <v>0</v>
      </c>
      <c r="U76">
        <f>セットアップレポート!T76</f>
        <v>0</v>
      </c>
      <c r="V76">
        <f>セットアップレポート!U76</f>
        <v>0</v>
      </c>
      <c r="W76">
        <f>セットアップレポート!V76</f>
        <v>0</v>
      </c>
      <c r="X76">
        <f>セットアップレポート!W76</f>
        <v>0</v>
      </c>
      <c r="Y76">
        <f>セットアップレポート!X76</f>
        <v>0</v>
      </c>
      <c r="Z76">
        <f>セットアップレポート!Y76</f>
        <v>0</v>
      </c>
      <c r="AA76">
        <f>セットアップレポート!Z76</f>
        <v>0</v>
      </c>
      <c r="AB76" t="str">
        <f>セットアップレポート!AA76</f>
        <v>NONE</v>
      </c>
      <c r="AC76">
        <f>セットアップレポート!AB76</f>
        <v>0</v>
      </c>
      <c r="AD76">
        <f>セットアップレポート!AC76</f>
        <v>0</v>
      </c>
      <c r="AE76">
        <f>セットアップレポート!AD76</f>
        <v>0</v>
      </c>
      <c r="AF76">
        <f>セットアップレポート!AE76</f>
        <v>0</v>
      </c>
      <c r="AG76">
        <f>セットアップレポート!AF76</f>
        <v>0</v>
      </c>
      <c r="AH76">
        <f>セットアップレポート!AG76</f>
        <v>0</v>
      </c>
    </row>
    <row r="77" spans="1:34" x14ac:dyDescent="0.45">
      <c r="A77" t="str">
        <f t="shared" si="1"/>
        <v>L2-NPM020011L667494A</v>
      </c>
      <c r="B77" t="str">
        <f>セットアップレポート!A77</f>
        <v>Line-2</v>
      </c>
      <c r="C77" t="str">
        <f>セットアップレポート!B77</f>
        <v>L2-NPM02</v>
      </c>
      <c r="D77" t="str">
        <f>セットアップレポート!C77</f>
        <v>Zone-2-NPMW-2</v>
      </c>
      <c r="E77">
        <f>セットアップレポート!D77</f>
        <v>1</v>
      </c>
      <c r="F77">
        <f>セットアップレポート!E77</f>
        <v>1</v>
      </c>
      <c r="G77" t="str">
        <f>セットアップレポート!F77</f>
        <v>10011L</v>
      </c>
      <c r="H77">
        <f>セットアップレポート!G77</f>
        <v>11</v>
      </c>
      <c r="I77" t="str">
        <f>セットアップレポート!H77</f>
        <v>L</v>
      </c>
      <c r="J77" t="str">
        <f>セットアップレポート!I77</f>
        <v>667494A100723</v>
      </c>
      <c r="K77" t="str">
        <f>セットアップレポート!J77</f>
        <v>667494A</v>
      </c>
      <c r="L77">
        <f>セットアップレポート!K77</f>
        <v>0</v>
      </c>
      <c r="M77">
        <f>セットアップレポート!L77</f>
        <v>0</v>
      </c>
      <c r="N77">
        <f>セットアップレポート!M77</f>
        <v>0</v>
      </c>
      <c r="O77">
        <f>セットアップレポート!N77</f>
        <v>0</v>
      </c>
      <c r="P77" t="str">
        <f>セットアップレポート!O77</f>
        <v>FA0201ABD000296</v>
      </c>
      <c r="Q77">
        <f>セットアップレポート!P77</f>
        <v>5000</v>
      </c>
      <c r="R77">
        <f>セットアップレポート!Q77</f>
        <v>45950.475127314814</v>
      </c>
      <c r="S77">
        <f>セットアップレポート!R77</f>
        <v>0</v>
      </c>
      <c r="T77">
        <f>セットアップレポート!S77</f>
        <v>0</v>
      </c>
      <c r="U77">
        <f>セットアップレポート!T77</f>
        <v>0</v>
      </c>
      <c r="V77">
        <f>セットアップレポート!U77</f>
        <v>0</v>
      </c>
      <c r="W77">
        <f>セットアップレポート!V77</f>
        <v>0</v>
      </c>
      <c r="X77">
        <f>セットアップレポート!W77</f>
        <v>0</v>
      </c>
      <c r="Y77">
        <f>セットアップレポート!X77</f>
        <v>0</v>
      </c>
      <c r="Z77">
        <f>セットアップレポート!Y77</f>
        <v>0</v>
      </c>
      <c r="AA77">
        <f>セットアップレポート!Z77</f>
        <v>0</v>
      </c>
      <c r="AB77" t="str">
        <f>セットアップレポート!AA77</f>
        <v>NONE</v>
      </c>
      <c r="AC77">
        <f>セットアップレポート!AB77</f>
        <v>0</v>
      </c>
      <c r="AD77">
        <f>セットアップレポート!AC77</f>
        <v>0</v>
      </c>
      <c r="AE77">
        <f>セットアップレポート!AD77</f>
        <v>0</v>
      </c>
      <c r="AF77">
        <f>セットアップレポート!AE77</f>
        <v>0</v>
      </c>
      <c r="AG77">
        <f>セットアップレポート!AF77</f>
        <v>0</v>
      </c>
      <c r="AH77">
        <f>セットアップレポート!AG77</f>
        <v>0</v>
      </c>
    </row>
    <row r="78" spans="1:34" x14ac:dyDescent="0.45">
      <c r="A78" t="str">
        <f t="shared" si="1"/>
        <v>L2-NPM020012L667797</v>
      </c>
      <c r="B78" t="str">
        <f>セットアップレポート!A78</f>
        <v>Line-2</v>
      </c>
      <c r="C78" t="str">
        <f>セットアップレポート!B78</f>
        <v>L2-NPM02</v>
      </c>
      <c r="D78" t="str">
        <f>セットアップレポート!C78</f>
        <v>Zone-2-NPMW-2</v>
      </c>
      <c r="E78">
        <f>セットアップレポート!D78</f>
        <v>1</v>
      </c>
      <c r="F78">
        <f>セットアップレポート!E78</f>
        <v>1</v>
      </c>
      <c r="G78" t="str">
        <f>セットアップレポート!F78</f>
        <v>10012L</v>
      </c>
      <c r="H78">
        <f>セットアップレポート!G78</f>
        <v>12</v>
      </c>
      <c r="I78" t="str">
        <f>セットアップレポート!H78</f>
        <v>L</v>
      </c>
      <c r="J78" t="str">
        <f>セットアップレポート!I78</f>
        <v>667797 101353</v>
      </c>
      <c r="K78">
        <f>セットアップレポート!J78</f>
        <v>667797</v>
      </c>
      <c r="L78">
        <f>セットアップレポート!K78</f>
        <v>0</v>
      </c>
      <c r="M78">
        <f>セットアップレポート!L78</f>
        <v>0</v>
      </c>
      <c r="N78">
        <f>セットアップレポート!M78</f>
        <v>0</v>
      </c>
      <c r="O78">
        <f>セットアップレポート!N78</f>
        <v>0</v>
      </c>
      <c r="P78" t="str">
        <f>セットアップレポート!O78</f>
        <v>FA0201ACD051242</v>
      </c>
      <c r="Q78">
        <f>セットアップレポート!P78</f>
        <v>10000</v>
      </c>
      <c r="R78">
        <f>セットアップレポート!Q78</f>
        <v>45950.475127314814</v>
      </c>
      <c r="S78">
        <f>セットアップレポート!R78</f>
        <v>0</v>
      </c>
      <c r="T78" t="str">
        <f>セットアップレポート!S78</f>
        <v>Yes</v>
      </c>
      <c r="U78">
        <f>セットアップレポート!T78</f>
        <v>0</v>
      </c>
      <c r="V78" t="str">
        <f>セットアップレポート!U78</f>
        <v>667797 101424</v>
      </c>
      <c r="W78">
        <f>セットアップレポート!V78</f>
        <v>0</v>
      </c>
      <c r="X78">
        <f>セットアップレポート!W78</f>
        <v>0</v>
      </c>
      <c r="Y78">
        <f>セットアップレポート!X78</f>
        <v>0</v>
      </c>
      <c r="Z78">
        <f>セットアップレポート!Y78</f>
        <v>0</v>
      </c>
      <c r="AA78">
        <f>セットアップレポート!Z78</f>
        <v>0</v>
      </c>
      <c r="AB78" t="str">
        <f>セットアップレポート!AA78</f>
        <v>NONE</v>
      </c>
      <c r="AC78">
        <f>セットアップレポート!AB78</f>
        <v>0</v>
      </c>
      <c r="AD78">
        <f>セットアップレポート!AC78</f>
        <v>0</v>
      </c>
      <c r="AE78">
        <f>セットアップレポート!AD78</f>
        <v>0</v>
      </c>
      <c r="AF78">
        <f>セットアップレポート!AE78</f>
        <v>0</v>
      </c>
      <c r="AG78">
        <f>セットアップレポート!AF78</f>
        <v>0</v>
      </c>
      <c r="AH78">
        <f>セットアップレポート!AG78</f>
        <v>0</v>
      </c>
    </row>
    <row r="79" spans="1:34" x14ac:dyDescent="0.45">
      <c r="A79" t="str">
        <f t="shared" si="1"/>
        <v>L2-NPM020013L667298A</v>
      </c>
      <c r="B79" t="str">
        <f>セットアップレポート!A79</f>
        <v>Line-2</v>
      </c>
      <c r="C79" t="str">
        <f>セットアップレポート!B79</f>
        <v>L2-NPM02</v>
      </c>
      <c r="D79" t="str">
        <f>セットアップレポート!C79</f>
        <v>Zone-2-NPMW-2</v>
      </c>
      <c r="E79">
        <f>セットアップレポート!D79</f>
        <v>1</v>
      </c>
      <c r="F79">
        <f>セットアップレポート!E79</f>
        <v>1</v>
      </c>
      <c r="G79" t="str">
        <f>セットアップレポート!F79</f>
        <v>10013L</v>
      </c>
      <c r="H79">
        <f>セットアップレポート!G79</f>
        <v>13</v>
      </c>
      <c r="I79" t="str">
        <f>セットアップレポート!H79</f>
        <v>L</v>
      </c>
      <c r="J79" t="str">
        <f>セットアップレポート!I79</f>
        <v>667298A100350</v>
      </c>
      <c r="K79" t="str">
        <f>セットアップレポート!J79</f>
        <v>667298A</v>
      </c>
      <c r="L79">
        <f>セットアップレポート!K79</f>
        <v>0</v>
      </c>
      <c r="M79">
        <f>セットアップレポート!L79</f>
        <v>0</v>
      </c>
      <c r="N79">
        <f>セットアップレポート!M79</f>
        <v>0</v>
      </c>
      <c r="O79">
        <f>セットアップレポート!N79</f>
        <v>0</v>
      </c>
      <c r="P79" t="str">
        <f>セットアップレポート!O79</f>
        <v>FA0201ABA002724</v>
      </c>
      <c r="Q79">
        <f>セットアップレポート!P79</f>
        <v>5000</v>
      </c>
      <c r="R79">
        <f>セットアップレポート!Q79</f>
        <v>45946.442499999997</v>
      </c>
      <c r="S79">
        <f>セットアップレポート!R79</f>
        <v>0</v>
      </c>
      <c r="T79">
        <f>セットアップレポート!S79</f>
        <v>0</v>
      </c>
      <c r="U79">
        <f>セットアップレポート!T79</f>
        <v>0</v>
      </c>
      <c r="V79">
        <f>セットアップレポート!U79</f>
        <v>0</v>
      </c>
      <c r="W79">
        <f>セットアップレポート!V79</f>
        <v>0</v>
      </c>
      <c r="X79">
        <f>セットアップレポート!W79</f>
        <v>0</v>
      </c>
      <c r="Y79">
        <f>セットアップレポート!X79</f>
        <v>0</v>
      </c>
      <c r="Z79">
        <f>セットアップレポート!Y79</f>
        <v>0</v>
      </c>
      <c r="AA79">
        <f>セットアップレポート!Z79</f>
        <v>0</v>
      </c>
      <c r="AB79" t="str">
        <f>セットアップレポート!AA79</f>
        <v>NONE</v>
      </c>
      <c r="AC79">
        <f>セットアップレポート!AB79</f>
        <v>0</v>
      </c>
      <c r="AD79">
        <f>セットアップレポート!AC79</f>
        <v>0</v>
      </c>
      <c r="AE79">
        <f>セットアップレポート!AD79</f>
        <v>0</v>
      </c>
      <c r="AF79">
        <f>セットアップレポート!AE79</f>
        <v>0</v>
      </c>
      <c r="AG79">
        <f>セットアップレポート!AF79</f>
        <v>0</v>
      </c>
      <c r="AH79">
        <f>セットアップレポート!AG79</f>
        <v>0</v>
      </c>
    </row>
    <row r="80" spans="1:34" x14ac:dyDescent="0.45">
      <c r="A80" t="str">
        <f t="shared" si="1"/>
        <v>L2-NPM020014L909206</v>
      </c>
      <c r="B80" t="str">
        <f>セットアップレポート!A80</f>
        <v>Line-2</v>
      </c>
      <c r="C80" t="str">
        <f>セットアップレポート!B80</f>
        <v>L2-NPM02</v>
      </c>
      <c r="D80" t="str">
        <f>セットアップレポート!C80</f>
        <v>Zone-2-NPMW-2</v>
      </c>
      <c r="E80">
        <f>セットアップレポート!D80</f>
        <v>1</v>
      </c>
      <c r="F80">
        <f>セットアップレポート!E80</f>
        <v>1</v>
      </c>
      <c r="G80" t="str">
        <f>セットアップレポート!F80</f>
        <v>10014L</v>
      </c>
      <c r="H80">
        <f>セットアップレポート!G80</f>
        <v>14</v>
      </c>
      <c r="I80" t="str">
        <f>セットアップレポート!H80</f>
        <v>L</v>
      </c>
      <c r="J80" t="str">
        <f>セットアップレポート!I80</f>
        <v>909206 100258</v>
      </c>
      <c r="K80">
        <f>セットアップレポート!J80</f>
        <v>909206</v>
      </c>
      <c r="L80">
        <f>セットアップレポート!K80</f>
        <v>0</v>
      </c>
      <c r="M80">
        <f>セットアップレポート!L80</f>
        <v>0</v>
      </c>
      <c r="N80">
        <f>セットアップレポート!M80</f>
        <v>0</v>
      </c>
      <c r="O80">
        <f>セットアップレポート!N80</f>
        <v>0</v>
      </c>
      <c r="P80" t="str">
        <f>セットアップレポート!O80</f>
        <v>FA0201ABD000511</v>
      </c>
      <c r="Q80">
        <f>セットアップレポート!P80</f>
        <v>10000</v>
      </c>
      <c r="R80">
        <f>セットアップレポート!Q80</f>
        <v>45950.475127314814</v>
      </c>
      <c r="S80">
        <f>セットアップレポート!R80</f>
        <v>0</v>
      </c>
      <c r="T80">
        <f>セットアップレポート!S80</f>
        <v>0</v>
      </c>
      <c r="U80">
        <f>セットアップレポート!T80</f>
        <v>0</v>
      </c>
      <c r="V80">
        <f>セットアップレポート!U80</f>
        <v>0</v>
      </c>
      <c r="W80">
        <f>セットアップレポート!V80</f>
        <v>0</v>
      </c>
      <c r="X80">
        <f>セットアップレポート!W80</f>
        <v>0</v>
      </c>
      <c r="Y80">
        <f>セットアップレポート!X80</f>
        <v>0</v>
      </c>
      <c r="Z80">
        <f>セットアップレポート!Y80</f>
        <v>0</v>
      </c>
      <c r="AA80">
        <f>セットアップレポート!Z80</f>
        <v>0</v>
      </c>
      <c r="AB80" t="str">
        <f>セットアップレポート!AA80</f>
        <v>NONE</v>
      </c>
      <c r="AC80">
        <f>セットアップレポート!AB80</f>
        <v>0</v>
      </c>
      <c r="AD80">
        <f>セットアップレポート!AC80</f>
        <v>0</v>
      </c>
      <c r="AE80">
        <f>セットアップレポート!AD80</f>
        <v>0</v>
      </c>
      <c r="AF80">
        <f>セットアップレポート!AE80</f>
        <v>0</v>
      </c>
      <c r="AG80">
        <f>セットアップレポート!AF80</f>
        <v>0</v>
      </c>
      <c r="AH80">
        <f>セットアップレポート!AG80</f>
        <v>0</v>
      </c>
    </row>
    <row r="81" spans="1:34" x14ac:dyDescent="0.45">
      <c r="A81" t="str">
        <f t="shared" si="1"/>
        <v>L2-NPM020015L661749</v>
      </c>
      <c r="B81" t="str">
        <f>セットアップレポート!A81</f>
        <v>Line-2</v>
      </c>
      <c r="C81" t="str">
        <f>セットアップレポート!B81</f>
        <v>L2-NPM02</v>
      </c>
      <c r="D81" t="str">
        <f>セットアップレポート!C81</f>
        <v>Zone-2-NPMW-2</v>
      </c>
      <c r="E81">
        <f>セットアップレポート!D81</f>
        <v>1</v>
      </c>
      <c r="F81">
        <f>セットアップレポート!E81</f>
        <v>1</v>
      </c>
      <c r="G81" t="str">
        <f>セットアップレポート!F81</f>
        <v>10015L</v>
      </c>
      <c r="H81">
        <f>セットアップレポート!G81</f>
        <v>15</v>
      </c>
      <c r="I81" t="str">
        <f>セットアップレポート!H81</f>
        <v>L</v>
      </c>
      <c r="J81" t="str">
        <f>セットアップレポート!I81</f>
        <v>661749 100185</v>
      </c>
      <c r="K81">
        <f>セットアップレポート!J81</f>
        <v>661749</v>
      </c>
      <c r="L81">
        <f>セットアップレポート!K81</f>
        <v>0</v>
      </c>
      <c r="M81">
        <f>セットアップレポート!L81</f>
        <v>0</v>
      </c>
      <c r="N81">
        <f>セットアップレポート!M81</f>
        <v>0</v>
      </c>
      <c r="O81">
        <f>セットアップレポート!N81</f>
        <v>0</v>
      </c>
      <c r="P81" t="str">
        <f>セットアップレポート!O81</f>
        <v>FA0201ABA002249</v>
      </c>
      <c r="Q81">
        <f>セットアップレポート!P81</f>
        <v>5000</v>
      </c>
      <c r="R81">
        <f>セットアップレポート!Q81</f>
        <v>45950.475127314814</v>
      </c>
      <c r="S81">
        <f>セットアップレポート!R81</f>
        <v>0</v>
      </c>
      <c r="T81">
        <f>セットアップレポート!S81</f>
        <v>0</v>
      </c>
      <c r="U81">
        <f>セットアップレポート!T81</f>
        <v>0</v>
      </c>
      <c r="V81">
        <f>セットアップレポート!U81</f>
        <v>0</v>
      </c>
      <c r="W81">
        <f>セットアップレポート!V81</f>
        <v>0</v>
      </c>
      <c r="X81">
        <f>セットアップレポート!W81</f>
        <v>0</v>
      </c>
      <c r="Y81">
        <f>セットアップレポート!X81</f>
        <v>0</v>
      </c>
      <c r="Z81">
        <f>セットアップレポート!Y81</f>
        <v>0</v>
      </c>
      <c r="AA81">
        <f>セットアップレポート!Z81</f>
        <v>0</v>
      </c>
      <c r="AB81" t="str">
        <f>セットアップレポート!AA81</f>
        <v>NONE</v>
      </c>
      <c r="AC81">
        <f>セットアップレポート!AB81</f>
        <v>0</v>
      </c>
      <c r="AD81">
        <f>セットアップレポート!AC81</f>
        <v>0</v>
      </c>
      <c r="AE81">
        <f>セットアップレポート!AD81</f>
        <v>0</v>
      </c>
      <c r="AF81">
        <f>セットアップレポート!AE81</f>
        <v>0</v>
      </c>
      <c r="AG81">
        <f>セットアップレポート!AF81</f>
        <v>0</v>
      </c>
      <c r="AH81">
        <f>セットアップレポート!AG81</f>
        <v>0</v>
      </c>
    </row>
    <row r="82" spans="1:34" x14ac:dyDescent="0.45">
      <c r="A82" t="str">
        <f t="shared" si="1"/>
        <v>L2-NPM020016L922192</v>
      </c>
      <c r="B82" t="str">
        <f>セットアップレポート!A82</f>
        <v>Line-2</v>
      </c>
      <c r="C82" t="str">
        <f>セットアップレポート!B82</f>
        <v>L2-NPM02</v>
      </c>
      <c r="D82" t="str">
        <f>セットアップレポート!C82</f>
        <v>Zone-2-NPMW-2</v>
      </c>
      <c r="E82">
        <f>セットアップレポート!D82</f>
        <v>1</v>
      </c>
      <c r="F82">
        <f>セットアップレポート!E82</f>
        <v>1</v>
      </c>
      <c r="G82" t="str">
        <f>セットアップレポート!F82</f>
        <v>10016L</v>
      </c>
      <c r="H82">
        <f>セットアップレポート!G82</f>
        <v>16</v>
      </c>
      <c r="I82" t="str">
        <f>セットアップレポート!H82</f>
        <v>L</v>
      </c>
      <c r="J82" t="str">
        <f>セットアップレポート!I82</f>
        <v>922192 100362</v>
      </c>
      <c r="K82">
        <f>セットアップレポート!J82</f>
        <v>922192</v>
      </c>
      <c r="L82">
        <f>セットアップレポート!K82</f>
        <v>0</v>
      </c>
      <c r="M82">
        <f>セットアップレポート!L82</f>
        <v>0</v>
      </c>
      <c r="N82">
        <f>セットアップレポート!M82</f>
        <v>0</v>
      </c>
      <c r="O82">
        <f>セットアップレポート!N82</f>
        <v>0</v>
      </c>
      <c r="P82" t="str">
        <f>セットアップレポート!O82</f>
        <v>FA0201ACD049543</v>
      </c>
      <c r="Q82">
        <f>セットアップレポート!P82</f>
        <v>4000</v>
      </c>
      <c r="R82">
        <f>セットアップレポート!Q82</f>
        <v>45950.475127314814</v>
      </c>
      <c r="S82">
        <f>セットアップレポート!R82</f>
        <v>0</v>
      </c>
      <c r="T82" t="str">
        <f>セットアップレポート!S82</f>
        <v>Yes</v>
      </c>
      <c r="U82">
        <f>セットアップレポート!T82</f>
        <v>0</v>
      </c>
      <c r="V82" t="str">
        <f>セットアップレポート!U82</f>
        <v>922192 100378</v>
      </c>
      <c r="W82">
        <f>セットアップレポート!V82</f>
        <v>0</v>
      </c>
      <c r="X82">
        <f>セットアップレポート!W82</f>
        <v>0</v>
      </c>
      <c r="Y82">
        <f>セットアップレポート!X82</f>
        <v>0</v>
      </c>
      <c r="Z82">
        <f>セットアップレポート!Y82</f>
        <v>0</v>
      </c>
      <c r="AA82">
        <f>セットアップレポート!Z82</f>
        <v>0</v>
      </c>
      <c r="AB82" t="str">
        <f>セットアップレポート!AA82</f>
        <v>NONE</v>
      </c>
      <c r="AC82">
        <f>セットアップレポート!AB82</f>
        <v>0</v>
      </c>
      <c r="AD82">
        <f>セットアップレポート!AC82</f>
        <v>0</v>
      </c>
      <c r="AE82">
        <f>セットアップレポート!AD82</f>
        <v>0</v>
      </c>
      <c r="AF82">
        <f>セットアップレポート!AE82</f>
        <v>0</v>
      </c>
      <c r="AG82">
        <f>セットアップレポート!AF82</f>
        <v>0</v>
      </c>
      <c r="AH82">
        <f>セットアップレポート!AG82</f>
        <v>0</v>
      </c>
    </row>
    <row r="83" spans="1:34" x14ac:dyDescent="0.45">
      <c r="A83" t="str">
        <f t="shared" si="1"/>
        <v>L2-NPM020017L554116</v>
      </c>
      <c r="B83" t="str">
        <f>セットアップレポート!A83</f>
        <v>Line-2</v>
      </c>
      <c r="C83" t="str">
        <f>セットアップレポート!B83</f>
        <v>L2-NPM02</v>
      </c>
      <c r="D83" t="str">
        <f>セットアップレポート!C83</f>
        <v>Zone-2-NPMW-2</v>
      </c>
      <c r="E83">
        <f>セットアップレポート!D83</f>
        <v>1</v>
      </c>
      <c r="F83">
        <f>セットアップレポート!E83</f>
        <v>1</v>
      </c>
      <c r="G83" t="str">
        <f>セットアップレポート!F83</f>
        <v>10017L</v>
      </c>
      <c r="H83">
        <f>セットアップレポート!G83</f>
        <v>17</v>
      </c>
      <c r="I83" t="str">
        <f>セットアップレポート!H83</f>
        <v>L</v>
      </c>
      <c r="J83" t="str">
        <f>セットアップレポート!I83</f>
        <v>554116 100132</v>
      </c>
      <c r="K83">
        <f>セットアップレポート!J83</f>
        <v>554116</v>
      </c>
      <c r="L83">
        <f>セットアップレポート!K83</f>
        <v>0</v>
      </c>
      <c r="M83">
        <f>セットアップレポート!L83</f>
        <v>0</v>
      </c>
      <c r="N83">
        <f>セットアップレポート!M83</f>
        <v>0</v>
      </c>
      <c r="O83">
        <f>セットアップレポート!N83</f>
        <v>0</v>
      </c>
      <c r="P83" t="str">
        <f>セットアップレポート!O83</f>
        <v>FA0201ACD051039</v>
      </c>
      <c r="Q83">
        <f>セットアップレポート!P83</f>
        <v>5000</v>
      </c>
      <c r="R83">
        <f>セットアップレポート!Q83</f>
        <v>45932.78733796296</v>
      </c>
      <c r="S83">
        <f>セットアップレポート!R83</f>
        <v>0</v>
      </c>
      <c r="T83">
        <f>セットアップレポート!S83</f>
        <v>0</v>
      </c>
      <c r="U83">
        <f>セットアップレポート!T83</f>
        <v>0</v>
      </c>
      <c r="V83">
        <f>セットアップレポート!U83</f>
        <v>0</v>
      </c>
      <c r="W83">
        <f>セットアップレポート!V83</f>
        <v>0</v>
      </c>
      <c r="X83">
        <f>セットアップレポート!W83</f>
        <v>0</v>
      </c>
      <c r="Y83">
        <f>セットアップレポート!X83</f>
        <v>0</v>
      </c>
      <c r="Z83">
        <f>セットアップレポート!Y83</f>
        <v>0</v>
      </c>
      <c r="AA83">
        <f>セットアップレポート!Z83</f>
        <v>0</v>
      </c>
      <c r="AB83" t="str">
        <f>セットアップレポート!AA83</f>
        <v>NONE</v>
      </c>
      <c r="AC83">
        <f>セットアップレポート!AB83</f>
        <v>0</v>
      </c>
      <c r="AD83">
        <f>セットアップレポート!AC83</f>
        <v>0</v>
      </c>
      <c r="AE83">
        <f>セットアップレポート!AD83</f>
        <v>0</v>
      </c>
      <c r="AF83">
        <f>セットアップレポート!AE83</f>
        <v>0</v>
      </c>
      <c r="AG83">
        <f>セットアップレポート!AF83</f>
        <v>0</v>
      </c>
      <c r="AH83">
        <f>セットアップレポート!AG83</f>
        <v>0</v>
      </c>
    </row>
    <row r="84" spans="1:34" x14ac:dyDescent="0.45">
      <c r="A84" t="str">
        <f t="shared" si="1"/>
        <v>L2-NPM020018L667707</v>
      </c>
      <c r="B84" t="str">
        <f>セットアップレポート!A84</f>
        <v>Line-2</v>
      </c>
      <c r="C84" t="str">
        <f>セットアップレポート!B84</f>
        <v>L2-NPM02</v>
      </c>
      <c r="D84" t="str">
        <f>セットアップレポート!C84</f>
        <v>Zone-2-NPMW-2</v>
      </c>
      <c r="E84">
        <f>セットアップレポート!D84</f>
        <v>1</v>
      </c>
      <c r="F84">
        <f>セットアップレポート!E84</f>
        <v>1</v>
      </c>
      <c r="G84" t="str">
        <f>セットアップレポート!F84</f>
        <v>10018L</v>
      </c>
      <c r="H84">
        <f>セットアップレポート!G84</f>
        <v>18</v>
      </c>
      <c r="I84" t="str">
        <f>セットアップレポート!H84</f>
        <v>L</v>
      </c>
      <c r="J84" t="str">
        <f>セットアップレポート!I84</f>
        <v>667707 101551</v>
      </c>
      <c r="K84">
        <f>セットアップレポート!J84</f>
        <v>667707</v>
      </c>
      <c r="L84">
        <f>セットアップレポート!K84</f>
        <v>0</v>
      </c>
      <c r="M84">
        <f>セットアップレポート!L84</f>
        <v>0</v>
      </c>
      <c r="N84">
        <f>セットアップレポート!M84</f>
        <v>0</v>
      </c>
      <c r="O84">
        <f>セットアップレポート!N84</f>
        <v>0</v>
      </c>
      <c r="P84" t="str">
        <f>セットアップレポート!O84</f>
        <v>FA0201ABA002742</v>
      </c>
      <c r="Q84">
        <f>セットアップレポート!P84</f>
        <v>10000</v>
      </c>
      <c r="R84">
        <f>セットアップレポート!Q84</f>
        <v>45950.475127314814</v>
      </c>
      <c r="S84">
        <f>セットアップレポート!R84</f>
        <v>0</v>
      </c>
      <c r="T84">
        <f>セットアップレポート!S84</f>
        <v>0</v>
      </c>
      <c r="U84">
        <f>セットアップレポート!T84</f>
        <v>0</v>
      </c>
      <c r="V84">
        <f>セットアップレポート!U84</f>
        <v>0</v>
      </c>
      <c r="W84">
        <f>セットアップレポート!V84</f>
        <v>0</v>
      </c>
      <c r="X84">
        <f>セットアップレポート!W84</f>
        <v>0</v>
      </c>
      <c r="Y84">
        <f>セットアップレポート!X84</f>
        <v>0</v>
      </c>
      <c r="Z84">
        <f>セットアップレポート!Y84</f>
        <v>0</v>
      </c>
      <c r="AA84">
        <f>セットアップレポート!Z84</f>
        <v>0</v>
      </c>
      <c r="AB84" t="str">
        <f>セットアップレポート!AA84</f>
        <v>NONE</v>
      </c>
      <c r="AC84">
        <f>セットアップレポート!AB84</f>
        <v>0</v>
      </c>
      <c r="AD84">
        <f>セットアップレポート!AC84</f>
        <v>0</v>
      </c>
      <c r="AE84">
        <f>セットアップレポート!AD84</f>
        <v>0</v>
      </c>
      <c r="AF84">
        <f>セットアップレポート!AE84</f>
        <v>0</v>
      </c>
      <c r="AG84">
        <f>セットアップレポート!AF84</f>
        <v>0</v>
      </c>
      <c r="AH84">
        <f>セットアップレポート!AG84</f>
        <v>0</v>
      </c>
    </row>
    <row r="85" spans="1:34" x14ac:dyDescent="0.45">
      <c r="A85" t="str">
        <f t="shared" si="1"/>
        <v>L2-NPM020019L668715A</v>
      </c>
      <c r="B85" t="str">
        <f>セットアップレポート!A85</f>
        <v>Line-2</v>
      </c>
      <c r="C85" t="str">
        <f>セットアップレポート!B85</f>
        <v>L2-NPM02</v>
      </c>
      <c r="D85" t="str">
        <f>セットアップレポート!C85</f>
        <v>Zone-2-NPMW-2</v>
      </c>
      <c r="E85">
        <f>セットアップレポート!D85</f>
        <v>1</v>
      </c>
      <c r="F85">
        <f>セットアップレポート!E85</f>
        <v>1</v>
      </c>
      <c r="G85" t="str">
        <f>セットアップレポート!F85</f>
        <v>10019L</v>
      </c>
      <c r="H85">
        <f>セットアップレポート!G85</f>
        <v>19</v>
      </c>
      <c r="I85" t="str">
        <f>セットアップレポート!H85</f>
        <v>L</v>
      </c>
      <c r="J85" t="str">
        <f>セットアップレポート!I85</f>
        <v>668715A103687</v>
      </c>
      <c r="K85" t="str">
        <f>セットアップレポート!J85</f>
        <v>668715A</v>
      </c>
      <c r="L85">
        <f>セットアップレポート!K85</f>
        <v>0</v>
      </c>
      <c r="M85">
        <f>セットアップレポート!L85</f>
        <v>0</v>
      </c>
      <c r="N85">
        <f>セットアップレポート!M85</f>
        <v>0</v>
      </c>
      <c r="O85">
        <f>セットアップレポート!N85</f>
        <v>0</v>
      </c>
      <c r="P85" t="str">
        <f>セットアップレポート!O85</f>
        <v>FA0201ACD051460</v>
      </c>
      <c r="Q85">
        <f>セットアップレポート!P85</f>
        <v>5000</v>
      </c>
      <c r="R85">
        <f>セットアップレポート!Q85</f>
        <v>45950.475127314814</v>
      </c>
      <c r="S85">
        <f>セットアップレポート!R85</f>
        <v>0</v>
      </c>
      <c r="T85">
        <f>セットアップレポート!S85</f>
        <v>0</v>
      </c>
      <c r="U85">
        <f>セットアップレポート!T85</f>
        <v>0</v>
      </c>
      <c r="V85">
        <f>セットアップレポート!U85</f>
        <v>0</v>
      </c>
      <c r="W85">
        <f>セットアップレポート!V85</f>
        <v>0</v>
      </c>
      <c r="X85">
        <f>セットアップレポート!W85</f>
        <v>0</v>
      </c>
      <c r="Y85">
        <f>セットアップレポート!X85</f>
        <v>0</v>
      </c>
      <c r="Z85">
        <f>セットアップレポート!Y85</f>
        <v>0</v>
      </c>
      <c r="AA85">
        <f>セットアップレポート!Z85</f>
        <v>0</v>
      </c>
      <c r="AB85" t="str">
        <f>セットアップレポート!AA85</f>
        <v>NONE</v>
      </c>
      <c r="AC85">
        <f>セットアップレポート!AB85</f>
        <v>0</v>
      </c>
      <c r="AD85">
        <f>セットアップレポート!AC85</f>
        <v>0</v>
      </c>
      <c r="AE85">
        <f>セットアップレポート!AD85</f>
        <v>0</v>
      </c>
      <c r="AF85">
        <f>セットアップレポート!AE85</f>
        <v>0</v>
      </c>
      <c r="AG85">
        <f>セットアップレポート!AF85</f>
        <v>0</v>
      </c>
      <c r="AH85">
        <f>セットアップレポート!AG85</f>
        <v>0</v>
      </c>
    </row>
    <row r="86" spans="1:34" x14ac:dyDescent="0.45">
      <c r="A86" t="str">
        <f t="shared" si="1"/>
        <v>L2-NPM020020L9000044578</v>
      </c>
      <c r="B86" t="str">
        <f>セットアップレポート!A86</f>
        <v>Line-2</v>
      </c>
      <c r="C86" t="str">
        <f>セットアップレポート!B86</f>
        <v>L2-NPM02</v>
      </c>
      <c r="D86" t="str">
        <f>セットアップレポート!C86</f>
        <v>Zone-2-NPMW-2</v>
      </c>
      <c r="E86">
        <f>セットアップレポート!D86</f>
        <v>1</v>
      </c>
      <c r="F86">
        <f>セットアップレポート!E86</f>
        <v>1</v>
      </c>
      <c r="G86" t="str">
        <f>セットアップレポート!F86</f>
        <v>10020L</v>
      </c>
      <c r="H86">
        <f>セットアップレポート!G86</f>
        <v>20</v>
      </c>
      <c r="I86" t="str">
        <f>セットアップレポート!H86</f>
        <v>L</v>
      </c>
      <c r="J86" t="str">
        <f>セットアップレポート!I86</f>
        <v>9000044578 102225</v>
      </c>
      <c r="K86">
        <f>セットアップレポート!J86</f>
        <v>9000044578</v>
      </c>
      <c r="L86">
        <f>セットアップレポート!K86</f>
        <v>0</v>
      </c>
      <c r="M86">
        <f>セットアップレポート!L86</f>
        <v>0</v>
      </c>
      <c r="N86">
        <f>セットアップレポート!M86</f>
        <v>0</v>
      </c>
      <c r="O86">
        <f>セットアップレポート!N86</f>
        <v>0</v>
      </c>
      <c r="P86" t="str">
        <f>セットアップレポート!O86</f>
        <v>FA0201ACD051109</v>
      </c>
      <c r="Q86">
        <f>セットアップレポート!P86</f>
        <v>8000</v>
      </c>
      <c r="R86">
        <f>セットアップレポート!Q86</f>
        <v>45950.475127314814</v>
      </c>
      <c r="S86">
        <f>セットアップレポート!R86</f>
        <v>0</v>
      </c>
      <c r="T86">
        <f>セットアップレポート!S86</f>
        <v>0</v>
      </c>
      <c r="U86">
        <f>セットアップレポート!T86</f>
        <v>0</v>
      </c>
      <c r="V86">
        <f>セットアップレポート!U86</f>
        <v>0</v>
      </c>
      <c r="W86">
        <f>セットアップレポート!V86</f>
        <v>0</v>
      </c>
      <c r="X86">
        <f>セットアップレポート!W86</f>
        <v>0</v>
      </c>
      <c r="Y86">
        <f>セットアップレポート!X86</f>
        <v>0</v>
      </c>
      <c r="Z86">
        <f>セットアップレポート!Y86</f>
        <v>0</v>
      </c>
      <c r="AA86">
        <f>セットアップレポート!Z86</f>
        <v>0</v>
      </c>
      <c r="AB86" t="str">
        <f>セットアップレポート!AA86</f>
        <v>NONE</v>
      </c>
      <c r="AC86">
        <f>セットアップレポート!AB86</f>
        <v>0</v>
      </c>
      <c r="AD86">
        <f>セットアップレポート!AC86</f>
        <v>0</v>
      </c>
      <c r="AE86">
        <f>セットアップレポート!AD86</f>
        <v>0</v>
      </c>
      <c r="AF86">
        <f>セットアップレポート!AE86</f>
        <v>0</v>
      </c>
      <c r="AG86">
        <f>セットアップレポート!AF86</f>
        <v>0</v>
      </c>
      <c r="AH86">
        <f>セットアップレポート!AG86</f>
        <v>0</v>
      </c>
    </row>
    <row r="87" spans="1:34" x14ac:dyDescent="0.45">
      <c r="A87" t="str">
        <f t="shared" si="1"/>
        <v>L2-NPM020021L9000066598</v>
      </c>
      <c r="B87" t="str">
        <f>セットアップレポート!A87</f>
        <v>Line-2</v>
      </c>
      <c r="C87" t="str">
        <f>セットアップレポート!B87</f>
        <v>L2-NPM02</v>
      </c>
      <c r="D87" t="str">
        <f>セットアップレポート!C87</f>
        <v>Zone-2-NPMW-2</v>
      </c>
      <c r="E87">
        <f>セットアップレポート!D87</f>
        <v>1</v>
      </c>
      <c r="F87">
        <f>セットアップレポート!E87</f>
        <v>1</v>
      </c>
      <c r="G87" t="str">
        <f>セットアップレポート!F87</f>
        <v>10021L</v>
      </c>
      <c r="H87">
        <f>セットアップレポート!G87</f>
        <v>21</v>
      </c>
      <c r="I87" t="str">
        <f>セットアップレポート!H87</f>
        <v>L</v>
      </c>
      <c r="J87" t="str">
        <f>セットアップレポート!I87</f>
        <v>9000066598 109369</v>
      </c>
      <c r="K87">
        <f>セットアップレポート!J87</f>
        <v>9000066598</v>
      </c>
      <c r="L87">
        <f>セットアップレポート!K87</f>
        <v>0</v>
      </c>
      <c r="M87">
        <f>セットアップレポート!L87</f>
        <v>0</v>
      </c>
      <c r="N87">
        <f>セットアップレポート!M87</f>
        <v>0</v>
      </c>
      <c r="O87">
        <f>セットアップレポート!N87</f>
        <v>0</v>
      </c>
      <c r="P87" t="str">
        <f>セットアップレポート!O87</f>
        <v>FA0201ACD051019</v>
      </c>
      <c r="Q87">
        <f>セットアップレポート!P87</f>
        <v>4000</v>
      </c>
      <c r="R87">
        <f>セットアップレポート!Q87</f>
        <v>45950.475127314814</v>
      </c>
      <c r="S87">
        <f>セットアップレポート!R87</f>
        <v>0</v>
      </c>
      <c r="T87">
        <f>セットアップレポート!S87</f>
        <v>0</v>
      </c>
      <c r="U87">
        <f>セットアップレポート!T87</f>
        <v>0</v>
      </c>
      <c r="V87">
        <f>セットアップレポート!U87</f>
        <v>0</v>
      </c>
      <c r="W87">
        <f>セットアップレポート!V87</f>
        <v>0</v>
      </c>
      <c r="X87">
        <f>セットアップレポート!W87</f>
        <v>0</v>
      </c>
      <c r="Y87">
        <f>セットアップレポート!X87</f>
        <v>0</v>
      </c>
      <c r="Z87">
        <f>セットアップレポート!Y87</f>
        <v>0</v>
      </c>
      <c r="AA87">
        <f>セットアップレポート!Z87</f>
        <v>0</v>
      </c>
      <c r="AB87" t="str">
        <f>セットアップレポート!AA87</f>
        <v>NONE</v>
      </c>
      <c r="AC87">
        <f>セットアップレポート!AB87</f>
        <v>0</v>
      </c>
      <c r="AD87">
        <f>セットアップレポート!AC87</f>
        <v>0</v>
      </c>
      <c r="AE87">
        <f>セットアップレポート!AD87</f>
        <v>0</v>
      </c>
      <c r="AF87">
        <f>セットアップレポート!AE87</f>
        <v>0</v>
      </c>
      <c r="AG87">
        <f>セットアップレポート!AF87</f>
        <v>0</v>
      </c>
      <c r="AH87">
        <f>セットアップレポート!AG87</f>
        <v>0</v>
      </c>
    </row>
    <row r="88" spans="1:34" x14ac:dyDescent="0.45">
      <c r="A88" t="str">
        <f t="shared" si="1"/>
        <v>L2-NPM020022L667592A</v>
      </c>
      <c r="B88" t="str">
        <f>セットアップレポート!A88</f>
        <v>Line-2</v>
      </c>
      <c r="C88" t="str">
        <f>セットアップレポート!B88</f>
        <v>L2-NPM02</v>
      </c>
      <c r="D88" t="str">
        <f>セットアップレポート!C88</f>
        <v>Zone-2-NPMW-2</v>
      </c>
      <c r="E88">
        <f>セットアップレポート!D88</f>
        <v>1</v>
      </c>
      <c r="F88">
        <f>セットアップレポート!E88</f>
        <v>1</v>
      </c>
      <c r="G88" t="str">
        <f>セットアップレポート!F88</f>
        <v>10022L</v>
      </c>
      <c r="H88">
        <f>セットアップレポート!G88</f>
        <v>22</v>
      </c>
      <c r="I88" t="str">
        <f>セットアップレポート!H88</f>
        <v>L</v>
      </c>
      <c r="J88" t="str">
        <f>セットアップレポート!I88</f>
        <v>667592A100477</v>
      </c>
      <c r="K88" t="str">
        <f>セットアップレポート!J88</f>
        <v>667592A</v>
      </c>
      <c r="L88">
        <f>セットアップレポート!K88</f>
        <v>0</v>
      </c>
      <c r="M88">
        <f>セットアップレポート!L88</f>
        <v>0</v>
      </c>
      <c r="N88">
        <f>セットアップレポート!M88</f>
        <v>0</v>
      </c>
      <c r="O88">
        <f>セットアップレポート!N88</f>
        <v>0</v>
      </c>
      <c r="P88" t="str">
        <f>セットアップレポート!O88</f>
        <v>FA0201ABA002861</v>
      </c>
      <c r="Q88">
        <f>セットアップレポート!P88</f>
        <v>5000</v>
      </c>
      <c r="R88">
        <f>セットアップレポート!Q88</f>
        <v>45950.475127314814</v>
      </c>
      <c r="S88">
        <f>セットアップレポート!R88</f>
        <v>0</v>
      </c>
      <c r="T88" t="str">
        <f>セットアップレポート!S88</f>
        <v>Yes</v>
      </c>
      <c r="U88">
        <f>セットアップレポート!T88</f>
        <v>0</v>
      </c>
      <c r="V88" t="str">
        <f>セットアップレポート!U88</f>
        <v>667592A100541</v>
      </c>
      <c r="W88">
        <f>セットアップレポート!V88</f>
        <v>0</v>
      </c>
      <c r="X88">
        <f>セットアップレポート!W88</f>
        <v>0</v>
      </c>
      <c r="Y88">
        <f>セットアップレポート!X88</f>
        <v>0</v>
      </c>
      <c r="Z88">
        <f>セットアップレポート!Y88</f>
        <v>0</v>
      </c>
      <c r="AA88">
        <f>セットアップレポート!Z88</f>
        <v>0</v>
      </c>
      <c r="AB88" t="str">
        <f>セットアップレポート!AA88</f>
        <v>NONE</v>
      </c>
      <c r="AC88">
        <f>セットアップレポート!AB88</f>
        <v>0</v>
      </c>
      <c r="AD88">
        <f>セットアップレポート!AC88</f>
        <v>0</v>
      </c>
      <c r="AE88">
        <f>セットアップレポート!AD88</f>
        <v>0</v>
      </c>
      <c r="AF88">
        <f>セットアップレポート!AE88</f>
        <v>0</v>
      </c>
      <c r="AG88">
        <f>セットアップレポート!AF88</f>
        <v>0</v>
      </c>
      <c r="AH88">
        <f>セットアップレポート!AG88</f>
        <v>0</v>
      </c>
    </row>
    <row r="89" spans="1:34" x14ac:dyDescent="0.45">
      <c r="A89" t="str">
        <f t="shared" si="1"/>
        <v>L2-NPM020023L9000002623</v>
      </c>
      <c r="B89" t="str">
        <f>セットアップレポート!A89</f>
        <v>Line-2</v>
      </c>
      <c r="C89" t="str">
        <f>セットアップレポート!B89</f>
        <v>L2-NPM02</v>
      </c>
      <c r="D89" t="str">
        <f>セットアップレポート!C89</f>
        <v>Zone-2-NPMW-2</v>
      </c>
      <c r="E89">
        <f>セットアップレポート!D89</f>
        <v>1</v>
      </c>
      <c r="F89">
        <f>セットアップレポート!E89</f>
        <v>1</v>
      </c>
      <c r="G89" t="str">
        <f>セットアップレポート!F89</f>
        <v>10023L</v>
      </c>
      <c r="H89">
        <f>セットアップレポート!G89</f>
        <v>23</v>
      </c>
      <c r="I89" t="str">
        <f>セットアップレポート!H89</f>
        <v>L</v>
      </c>
      <c r="J89" t="str">
        <f>セットアップレポート!I89</f>
        <v>9000002623 100062</v>
      </c>
      <c r="K89">
        <f>セットアップレポート!J89</f>
        <v>9000002623</v>
      </c>
      <c r="L89">
        <f>セットアップレポート!K89</f>
        <v>0</v>
      </c>
      <c r="M89">
        <f>セットアップレポート!L89</f>
        <v>0</v>
      </c>
      <c r="N89">
        <f>セットアップレポート!M89</f>
        <v>0</v>
      </c>
      <c r="O89">
        <f>セットアップレポート!N89</f>
        <v>0</v>
      </c>
      <c r="P89" t="str">
        <f>セットアップレポート!O89</f>
        <v>FA0201ABA002865</v>
      </c>
      <c r="Q89">
        <f>セットアップレポート!P89</f>
        <v>1000</v>
      </c>
      <c r="R89">
        <f>セットアップレポート!Q89</f>
        <v>45930.448645833334</v>
      </c>
      <c r="S89">
        <f>セットアップレポート!R89</f>
        <v>0</v>
      </c>
      <c r="T89" t="str">
        <f>セットアップレポート!S89</f>
        <v>Yes</v>
      </c>
      <c r="U89">
        <f>セットアップレポート!T89</f>
        <v>0</v>
      </c>
      <c r="V89" t="str">
        <f>セットアップレポート!U89</f>
        <v>9000002623 100063</v>
      </c>
      <c r="W89">
        <f>セットアップレポート!V89</f>
        <v>0</v>
      </c>
      <c r="X89">
        <f>セットアップレポート!W89</f>
        <v>0</v>
      </c>
      <c r="Y89">
        <f>セットアップレポート!X89</f>
        <v>0</v>
      </c>
      <c r="Z89">
        <f>セットアップレポート!Y89</f>
        <v>0</v>
      </c>
      <c r="AA89">
        <f>セットアップレポート!Z89</f>
        <v>0</v>
      </c>
      <c r="AB89" t="str">
        <f>セットアップレポート!AA89</f>
        <v>NONE</v>
      </c>
      <c r="AC89">
        <f>セットアップレポート!AB89</f>
        <v>0</v>
      </c>
      <c r="AD89">
        <f>セットアップレポート!AC89</f>
        <v>0</v>
      </c>
      <c r="AE89">
        <f>セットアップレポート!AD89</f>
        <v>0</v>
      </c>
      <c r="AF89">
        <f>セットアップレポート!AE89</f>
        <v>0</v>
      </c>
      <c r="AG89">
        <f>セットアップレポート!AF89</f>
        <v>0</v>
      </c>
      <c r="AH89">
        <f>セットアップレポート!AG89</f>
        <v>0</v>
      </c>
    </row>
    <row r="90" spans="1:34" x14ac:dyDescent="0.45">
      <c r="A90" t="str">
        <f t="shared" si="1"/>
        <v>L2-NPM020024L9000068524</v>
      </c>
      <c r="B90" t="str">
        <f>セットアップレポート!A90</f>
        <v>Line-2</v>
      </c>
      <c r="C90" t="str">
        <f>セットアップレポート!B90</f>
        <v>L2-NPM02</v>
      </c>
      <c r="D90" t="str">
        <f>セットアップレポート!C90</f>
        <v>Zone-2-NPMW-2</v>
      </c>
      <c r="E90">
        <f>セットアップレポート!D90</f>
        <v>1</v>
      </c>
      <c r="F90">
        <f>セットアップレポート!E90</f>
        <v>1</v>
      </c>
      <c r="G90" t="str">
        <f>セットアップレポート!F90</f>
        <v>10024L</v>
      </c>
      <c r="H90">
        <f>セットアップレポート!G90</f>
        <v>24</v>
      </c>
      <c r="I90" t="str">
        <f>セットアップレポート!H90</f>
        <v>L</v>
      </c>
      <c r="J90" t="str">
        <f>セットアップレポート!I90</f>
        <v>9000068524 100184</v>
      </c>
      <c r="K90">
        <f>セットアップレポート!J90</f>
        <v>9000068524</v>
      </c>
      <c r="L90">
        <f>セットアップレポート!K90</f>
        <v>0</v>
      </c>
      <c r="M90">
        <f>セットアップレポート!L90</f>
        <v>0</v>
      </c>
      <c r="N90">
        <f>セットアップレポート!M90</f>
        <v>0</v>
      </c>
      <c r="O90">
        <f>セットアップレポート!N90</f>
        <v>0</v>
      </c>
      <c r="P90" t="str">
        <f>セットアップレポート!O90</f>
        <v>FA0201ABD000280</v>
      </c>
      <c r="Q90">
        <f>セットアップレポート!P90</f>
        <v>10000</v>
      </c>
      <c r="R90">
        <f>セットアップレポート!Q90</f>
        <v>45950.475127314814</v>
      </c>
      <c r="S90">
        <f>セットアップレポート!R90</f>
        <v>0</v>
      </c>
      <c r="T90">
        <f>セットアップレポート!S90</f>
        <v>0</v>
      </c>
      <c r="U90">
        <f>セットアップレポート!T90</f>
        <v>0</v>
      </c>
      <c r="V90">
        <f>セットアップレポート!U90</f>
        <v>0</v>
      </c>
      <c r="W90">
        <f>セットアップレポート!V90</f>
        <v>0</v>
      </c>
      <c r="X90">
        <f>セットアップレポート!W90</f>
        <v>0</v>
      </c>
      <c r="Y90">
        <f>セットアップレポート!X90</f>
        <v>0</v>
      </c>
      <c r="Z90">
        <f>セットアップレポート!Y90</f>
        <v>0</v>
      </c>
      <c r="AA90">
        <f>セットアップレポート!Z90</f>
        <v>0</v>
      </c>
      <c r="AB90" t="str">
        <f>セットアップレポート!AA90</f>
        <v>NONE</v>
      </c>
      <c r="AC90">
        <f>セットアップレポート!AB90</f>
        <v>0</v>
      </c>
      <c r="AD90">
        <f>セットアップレポート!AC90</f>
        <v>0</v>
      </c>
      <c r="AE90">
        <f>セットアップレポート!AD90</f>
        <v>0</v>
      </c>
      <c r="AF90">
        <f>セットアップレポート!AE90</f>
        <v>0</v>
      </c>
      <c r="AG90">
        <f>セットアップレポート!AF90</f>
        <v>0</v>
      </c>
      <c r="AH90">
        <f>セットアップレポート!AG90</f>
        <v>0</v>
      </c>
    </row>
    <row r="91" spans="1:34" x14ac:dyDescent="0.45">
      <c r="A91" t="str">
        <f t="shared" si="1"/>
        <v>L2-NPM020025L667289A</v>
      </c>
      <c r="B91" t="str">
        <f>セットアップレポート!A91</f>
        <v>Line-2</v>
      </c>
      <c r="C91" t="str">
        <f>セットアップレポート!B91</f>
        <v>L2-NPM02</v>
      </c>
      <c r="D91" t="str">
        <f>セットアップレポート!C91</f>
        <v>Zone-2-NPMW-2</v>
      </c>
      <c r="E91">
        <f>セットアップレポート!D91</f>
        <v>1</v>
      </c>
      <c r="F91">
        <f>セットアップレポート!E91</f>
        <v>1</v>
      </c>
      <c r="G91" t="str">
        <f>セットアップレポート!F91</f>
        <v>10025L</v>
      </c>
      <c r="H91">
        <f>セットアップレポート!G91</f>
        <v>25</v>
      </c>
      <c r="I91" t="str">
        <f>セットアップレポート!H91</f>
        <v>L</v>
      </c>
      <c r="J91" t="str">
        <f>セットアップレポート!I91</f>
        <v>667289A100717</v>
      </c>
      <c r="K91" t="str">
        <f>セットアップレポート!J91</f>
        <v>667289A</v>
      </c>
      <c r="L91">
        <f>セットアップレポート!K91</f>
        <v>0</v>
      </c>
      <c r="M91">
        <f>セットアップレポート!L91</f>
        <v>0</v>
      </c>
      <c r="N91">
        <f>セットアップレポート!M91</f>
        <v>0</v>
      </c>
      <c r="O91">
        <f>セットアップレポート!N91</f>
        <v>0</v>
      </c>
      <c r="P91" t="str">
        <f>セットアップレポート!O91</f>
        <v>FA0201ACD051232</v>
      </c>
      <c r="Q91">
        <f>セットアップレポート!P91</f>
        <v>5000</v>
      </c>
      <c r="R91">
        <f>セットアップレポート!Q91</f>
        <v>45950.475127314814</v>
      </c>
      <c r="S91">
        <f>セットアップレポート!R91</f>
        <v>0</v>
      </c>
      <c r="T91">
        <f>セットアップレポート!S91</f>
        <v>0</v>
      </c>
      <c r="U91">
        <f>セットアップレポート!T91</f>
        <v>0</v>
      </c>
      <c r="V91">
        <f>セットアップレポート!U91</f>
        <v>0</v>
      </c>
      <c r="W91">
        <f>セットアップレポート!V91</f>
        <v>0</v>
      </c>
      <c r="X91">
        <f>セットアップレポート!W91</f>
        <v>0</v>
      </c>
      <c r="Y91">
        <f>セットアップレポート!X91</f>
        <v>0</v>
      </c>
      <c r="Z91">
        <f>セットアップレポート!Y91</f>
        <v>0</v>
      </c>
      <c r="AA91">
        <f>セットアップレポート!Z91</f>
        <v>0</v>
      </c>
      <c r="AB91" t="str">
        <f>セットアップレポート!AA91</f>
        <v>NONE</v>
      </c>
      <c r="AC91">
        <f>セットアップレポート!AB91</f>
        <v>0</v>
      </c>
      <c r="AD91">
        <f>セットアップレポート!AC91</f>
        <v>0</v>
      </c>
      <c r="AE91">
        <f>セットアップレポート!AD91</f>
        <v>0</v>
      </c>
      <c r="AF91">
        <f>セットアップレポート!AE91</f>
        <v>0</v>
      </c>
      <c r="AG91">
        <f>セットアップレポート!AF91</f>
        <v>0</v>
      </c>
      <c r="AH91">
        <f>セットアップレポート!AG91</f>
        <v>0</v>
      </c>
    </row>
    <row r="92" spans="1:34" x14ac:dyDescent="0.45">
      <c r="A92" t="str">
        <f t="shared" si="1"/>
        <v>L2-NPM020026L627083A</v>
      </c>
      <c r="B92" t="str">
        <f>セットアップレポート!A92</f>
        <v>Line-2</v>
      </c>
      <c r="C92" t="str">
        <f>セットアップレポート!B92</f>
        <v>L2-NPM02</v>
      </c>
      <c r="D92" t="str">
        <f>セットアップレポート!C92</f>
        <v>Zone-2-NPMW-2</v>
      </c>
      <c r="E92">
        <f>セットアップレポート!D92</f>
        <v>1</v>
      </c>
      <c r="F92">
        <f>セットアップレポート!E92</f>
        <v>1</v>
      </c>
      <c r="G92" t="str">
        <f>セットアップレポート!F92</f>
        <v>10026L</v>
      </c>
      <c r="H92">
        <f>セットアップレポート!G92</f>
        <v>26</v>
      </c>
      <c r="I92" t="str">
        <f>セットアップレポート!H92</f>
        <v>L</v>
      </c>
      <c r="J92" t="str">
        <f>セットアップレポート!I92</f>
        <v>627083A100243</v>
      </c>
      <c r="K92" t="str">
        <f>セットアップレポート!J92</f>
        <v>627083A</v>
      </c>
      <c r="L92">
        <f>セットアップレポート!K92</f>
        <v>0</v>
      </c>
      <c r="M92">
        <f>セットアップレポート!L92</f>
        <v>0</v>
      </c>
      <c r="N92">
        <f>セットアップレポート!M92</f>
        <v>0</v>
      </c>
      <c r="O92">
        <f>セットアップレポート!N92</f>
        <v>0</v>
      </c>
      <c r="P92" t="str">
        <f>セットアップレポート!O92</f>
        <v>FA0201ABD000679</v>
      </c>
      <c r="Q92">
        <f>セットアップレポート!P92</f>
        <v>4000</v>
      </c>
      <c r="R92">
        <f>セットアップレポート!Q92</f>
        <v>45930.448657407411</v>
      </c>
      <c r="S92">
        <f>セットアップレポート!R92</f>
        <v>0</v>
      </c>
      <c r="T92">
        <f>セットアップレポート!S92</f>
        <v>0</v>
      </c>
      <c r="U92">
        <f>セットアップレポート!T92</f>
        <v>0</v>
      </c>
      <c r="V92">
        <f>セットアップレポート!U92</f>
        <v>0</v>
      </c>
      <c r="W92">
        <f>セットアップレポート!V92</f>
        <v>0</v>
      </c>
      <c r="X92">
        <f>セットアップレポート!W92</f>
        <v>0</v>
      </c>
      <c r="Y92">
        <f>セットアップレポート!X92</f>
        <v>0</v>
      </c>
      <c r="Z92">
        <f>セットアップレポート!Y92</f>
        <v>0</v>
      </c>
      <c r="AA92">
        <f>セットアップレポート!Z92</f>
        <v>0</v>
      </c>
      <c r="AB92" t="str">
        <f>セットアップレポート!AA92</f>
        <v>NONE</v>
      </c>
      <c r="AC92">
        <f>セットアップレポート!AB92</f>
        <v>0</v>
      </c>
      <c r="AD92">
        <f>セットアップレポート!AC92</f>
        <v>0</v>
      </c>
      <c r="AE92">
        <f>セットアップレポート!AD92</f>
        <v>0</v>
      </c>
      <c r="AF92">
        <f>セットアップレポート!AE92</f>
        <v>0</v>
      </c>
      <c r="AG92">
        <f>セットアップレポート!AF92</f>
        <v>0</v>
      </c>
      <c r="AH92">
        <f>セットアップレポート!AG92</f>
        <v>0</v>
      </c>
    </row>
    <row r="93" spans="1:34" x14ac:dyDescent="0.45">
      <c r="A93" t="str">
        <f t="shared" si="1"/>
        <v>L2-NPM020027L9000044845</v>
      </c>
      <c r="B93" t="str">
        <f>セットアップレポート!A93</f>
        <v>Line-2</v>
      </c>
      <c r="C93" t="str">
        <f>セットアップレポート!B93</f>
        <v>L2-NPM02</v>
      </c>
      <c r="D93" t="str">
        <f>セットアップレポート!C93</f>
        <v>Zone-2-NPMW-2</v>
      </c>
      <c r="E93">
        <f>セットアップレポート!D93</f>
        <v>1</v>
      </c>
      <c r="F93">
        <f>セットアップレポート!E93</f>
        <v>1</v>
      </c>
      <c r="G93" t="str">
        <f>セットアップレポート!F93</f>
        <v>10027L</v>
      </c>
      <c r="H93">
        <f>セットアップレポート!G93</f>
        <v>27</v>
      </c>
      <c r="I93" t="str">
        <f>セットアップレポート!H93</f>
        <v>L</v>
      </c>
      <c r="J93" t="str">
        <f>セットアップレポート!I93</f>
        <v>9000044845 100039</v>
      </c>
      <c r="K93">
        <f>セットアップレポート!J93</f>
        <v>9000044845</v>
      </c>
      <c r="L93">
        <f>セットアップレポート!K93</f>
        <v>0</v>
      </c>
      <c r="M93">
        <f>セットアップレポート!L93</f>
        <v>0</v>
      </c>
      <c r="N93">
        <f>セットアップレポート!M93</f>
        <v>0</v>
      </c>
      <c r="O93">
        <f>セットアップレポート!N93</f>
        <v>0</v>
      </c>
      <c r="P93" t="str">
        <f>セットアップレポート!O93</f>
        <v>FA0201ABA001994</v>
      </c>
      <c r="Q93">
        <f>セットアップレポート!P93</f>
        <v>3000</v>
      </c>
      <c r="R93">
        <f>セットアップレポート!Q93</f>
        <v>45950.475127314814</v>
      </c>
      <c r="S93">
        <f>セットアップレポート!R93</f>
        <v>0</v>
      </c>
      <c r="T93">
        <f>セットアップレポート!S93</f>
        <v>0</v>
      </c>
      <c r="U93">
        <f>セットアップレポート!T93</f>
        <v>0</v>
      </c>
      <c r="V93">
        <f>セットアップレポート!U93</f>
        <v>0</v>
      </c>
      <c r="W93">
        <f>セットアップレポート!V93</f>
        <v>0</v>
      </c>
      <c r="X93">
        <f>セットアップレポート!W93</f>
        <v>0</v>
      </c>
      <c r="Y93">
        <f>セットアップレポート!X93</f>
        <v>0</v>
      </c>
      <c r="Z93">
        <f>セットアップレポート!Y93</f>
        <v>0</v>
      </c>
      <c r="AA93">
        <f>セットアップレポート!Z93</f>
        <v>0</v>
      </c>
      <c r="AB93" t="str">
        <f>セットアップレポート!AA93</f>
        <v>NONE</v>
      </c>
      <c r="AC93">
        <f>セットアップレポート!AB93</f>
        <v>0</v>
      </c>
      <c r="AD93">
        <f>セットアップレポート!AC93</f>
        <v>0</v>
      </c>
      <c r="AE93">
        <f>セットアップレポート!AD93</f>
        <v>0</v>
      </c>
      <c r="AF93">
        <f>セットアップレポート!AE93</f>
        <v>0</v>
      </c>
      <c r="AG93">
        <f>セットアップレポート!AF93</f>
        <v>0</v>
      </c>
      <c r="AH93">
        <f>セットアップレポート!AG93</f>
        <v>0</v>
      </c>
    </row>
    <row r="94" spans="1:34" x14ac:dyDescent="0.45">
      <c r="A94" t="str">
        <f t="shared" si="1"/>
        <v>L2-NPM020028L9000067499</v>
      </c>
      <c r="B94" t="str">
        <f>セットアップレポート!A94</f>
        <v>Line-2</v>
      </c>
      <c r="C94" t="str">
        <f>セットアップレポート!B94</f>
        <v>L2-NPM02</v>
      </c>
      <c r="D94" t="str">
        <f>セットアップレポート!C94</f>
        <v>Zone-2-NPMW-2</v>
      </c>
      <c r="E94">
        <f>セットアップレポート!D94</f>
        <v>1</v>
      </c>
      <c r="F94">
        <f>セットアップレポート!E94</f>
        <v>1</v>
      </c>
      <c r="G94" t="str">
        <f>セットアップレポート!F94</f>
        <v>10028L</v>
      </c>
      <c r="H94">
        <f>セットアップレポート!G94</f>
        <v>28</v>
      </c>
      <c r="I94" t="str">
        <f>セットアップレポート!H94</f>
        <v>L</v>
      </c>
      <c r="J94" t="str">
        <f>セットアップレポート!I94</f>
        <v>9000067499 100051</v>
      </c>
      <c r="K94">
        <f>セットアップレポート!J94</f>
        <v>9000067499</v>
      </c>
      <c r="L94">
        <f>セットアップレポート!K94</f>
        <v>0</v>
      </c>
      <c r="M94">
        <f>セットアップレポート!L94</f>
        <v>0</v>
      </c>
      <c r="N94">
        <f>セットアップレポート!M94</f>
        <v>0</v>
      </c>
      <c r="O94">
        <f>セットアップレポート!N94</f>
        <v>0</v>
      </c>
      <c r="P94" t="str">
        <f>セットアップレポート!O94</f>
        <v>FA0201ACD049831</v>
      </c>
      <c r="Q94">
        <f>セットアップレポート!P94</f>
        <v>3000</v>
      </c>
      <c r="R94">
        <f>セットアップレポート!Q94</f>
        <v>45950.475127314814</v>
      </c>
      <c r="S94">
        <f>セットアップレポート!R94</f>
        <v>0</v>
      </c>
      <c r="T94">
        <f>セットアップレポート!S94</f>
        <v>0</v>
      </c>
      <c r="U94">
        <f>セットアップレポート!T94</f>
        <v>0</v>
      </c>
      <c r="V94">
        <f>セットアップレポート!U94</f>
        <v>0</v>
      </c>
      <c r="W94">
        <f>セットアップレポート!V94</f>
        <v>0</v>
      </c>
      <c r="X94">
        <f>セットアップレポート!W94</f>
        <v>0</v>
      </c>
      <c r="Y94">
        <f>セットアップレポート!X94</f>
        <v>0</v>
      </c>
      <c r="Z94">
        <f>セットアップレポート!Y94</f>
        <v>0</v>
      </c>
      <c r="AA94">
        <f>セットアップレポート!Z94</f>
        <v>0</v>
      </c>
      <c r="AB94" t="str">
        <f>セットアップレポート!AA94</f>
        <v>NONE</v>
      </c>
      <c r="AC94">
        <f>セットアップレポート!AB94</f>
        <v>0</v>
      </c>
      <c r="AD94">
        <f>セットアップレポート!AC94</f>
        <v>0</v>
      </c>
      <c r="AE94">
        <f>セットアップレポート!AD94</f>
        <v>0</v>
      </c>
      <c r="AF94">
        <f>セットアップレポート!AE94</f>
        <v>0</v>
      </c>
      <c r="AG94">
        <f>セットアップレポート!AF94</f>
        <v>0</v>
      </c>
      <c r="AH94">
        <f>セットアップレポート!AG94</f>
        <v>0</v>
      </c>
    </row>
    <row r="95" spans="1:34" x14ac:dyDescent="0.45">
      <c r="A95" t="str">
        <f t="shared" si="1"/>
        <v>L2-NPM020029L9000066601</v>
      </c>
      <c r="B95" t="str">
        <f>セットアップレポート!A95</f>
        <v>Line-2</v>
      </c>
      <c r="C95" t="str">
        <f>セットアップレポート!B95</f>
        <v>L2-NPM02</v>
      </c>
      <c r="D95" t="str">
        <f>セットアップレポート!C95</f>
        <v>Zone-2-NPMW-2</v>
      </c>
      <c r="E95">
        <f>セットアップレポート!D95</f>
        <v>1</v>
      </c>
      <c r="F95">
        <f>セットアップレポート!E95</f>
        <v>1</v>
      </c>
      <c r="G95" t="str">
        <f>セットアップレポート!F95</f>
        <v>10029L</v>
      </c>
      <c r="H95">
        <f>セットアップレポート!G95</f>
        <v>29</v>
      </c>
      <c r="I95" t="str">
        <f>セットアップレポート!H95</f>
        <v>L</v>
      </c>
      <c r="J95" t="str">
        <f>セットアップレポート!I95</f>
        <v>9000066601 101754</v>
      </c>
      <c r="K95">
        <f>セットアップレポート!J95</f>
        <v>9000066601</v>
      </c>
      <c r="L95">
        <f>セットアップレポート!K95</f>
        <v>0</v>
      </c>
      <c r="M95">
        <f>セットアップレポート!L95</f>
        <v>0</v>
      </c>
      <c r="N95">
        <f>セットアップレポート!M95</f>
        <v>0</v>
      </c>
      <c r="O95">
        <f>セットアップレポート!N95</f>
        <v>0</v>
      </c>
      <c r="P95" t="str">
        <f>セットアップレポート!O95</f>
        <v>FA0201ACD051255</v>
      </c>
      <c r="Q95">
        <f>セットアップレポート!P95</f>
        <v>2000</v>
      </c>
      <c r="R95">
        <f>セットアップレポート!Q95</f>
        <v>45950.475127314814</v>
      </c>
      <c r="S95">
        <f>セットアップレポート!R95</f>
        <v>0</v>
      </c>
      <c r="T95">
        <f>セットアップレポート!S95</f>
        <v>0</v>
      </c>
      <c r="U95">
        <f>セットアップレポート!T95</f>
        <v>0</v>
      </c>
      <c r="V95">
        <f>セットアップレポート!U95</f>
        <v>0</v>
      </c>
      <c r="W95">
        <f>セットアップレポート!V95</f>
        <v>0</v>
      </c>
      <c r="X95">
        <f>セットアップレポート!W95</f>
        <v>0</v>
      </c>
      <c r="Y95">
        <f>セットアップレポート!X95</f>
        <v>0</v>
      </c>
      <c r="Z95">
        <f>セットアップレポート!Y95</f>
        <v>0</v>
      </c>
      <c r="AA95">
        <f>セットアップレポート!Z95</f>
        <v>0</v>
      </c>
      <c r="AB95" t="str">
        <f>セットアップレポート!AA95</f>
        <v>NONE</v>
      </c>
      <c r="AC95">
        <f>セットアップレポート!AB95</f>
        <v>0</v>
      </c>
      <c r="AD95">
        <f>セットアップレポート!AC95</f>
        <v>0</v>
      </c>
      <c r="AE95">
        <f>セットアップレポート!AD95</f>
        <v>0</v>
      </c>
      <c r="AF95">
        <f>セットアップレポート!AE95</f>
        <v>0</v>
      </c>
      <c r="AG95">
        <f>セットアップレポート!AF95</f>
        <v>0</v>
      </c>
      <c r="AH95">
        <f>セットアップレポート!AG95</f>
        <v>0</v>
      </c>
    </row>
    <row r="96" spans="1:34" x14ac:dyDescent="0.45">
      <c r="A96" t="str">
        <f t="shared" si="1"/>
        <v>L2-NPM020001L9000058279</v>
      </c>
      <c r="B96" t="str">
        <f>セットアップレポート!A96</f>
        <v>Line-2</v>
      </c>
      <c r="C96" t="str">
        <f>セットアップレポート!B96</f>
        <v>L2-NPM02</v>
      </c>
      <c r="D96" t="str">
        <f>セットアップレポート!C96</f>
        <v>Zone-2-NPMW-2</v>
      </c>
      <c r="E96">
        <f>セットアップレポート!D96</f>
        <v>1</v>
      </c>
      <c r="F96">
        <f>セットアップレポート!E96</f>
        <v>1</v>
      </c>
      <c r="G96" t="str">
        <f>セットアップレポート!F96</f>
        <v>20001L</v>
      </c>
      <c r="H96">
        <f>セットアップレポート!G96</f>
        <v>1</v>
      </c>
      <c r="I96" t="str">
        <f>セットアップレポート!H96</f>
        <v>L</v>
      </c>
      <c r="J96" t="str">
        <f>セットアップレポート!I96</f>
        <v>9000058279 100012</v>
      </c>
      <c r="K96">
        <f>セットアップレポート!J96</f>
        <v>9000058279</v>
      </c>
      <c r="L96">
        <f>セットアップレポート!K96</f>
        <v>0</v>
      </c>
      <c r="M96">
        <f>セットアップレポート!L96</f>
        <v>0</v>
      </c>
      <c r="N96">
        <f>セットアップレポート!M96</f>
        <v>0</v>
      </c>
      <c r="O96">
        <f>セットアップレポート!N96</f>
        <v>0</v>
      </c>
      <c r="P96" t="str">
        <f>セットアップレポート!O96</f>
        <v>FA0220ADF311802</v>
      </c>
      <c r="Q96">
        <f>セットアップレポート!P96</f>
        <v>3000</v>
      </c>
      <c r="R96">
        <f>セットアップレポート!Q96</f>
        <v>45930.448680555557</v>
      </c>
      <c r="S96">
        <f>セットアップレポート!R96</f>
        <v>0</v>
      </c>
      <c r="T96">
        <f>セットアップレポート!S96</f>
        <v>0</v>
      </c>
      <c r="U96">
        <f>セットアップレポート!T96</f>
        <v>0</v>
      </c>
      <c r="V96">
        <f>セットアップレポート!U96</f>
        <v>0</v>
      </c>
      <c r="W96">
        <f>セットアップレポート!V96</f>
        <v>0</v>
      </c>
      <c r="X96">
        <f>セットアップレポート!W96</f>
        <v>0</v>
      </c>
      <c r="Y96">
        <f>セットアップレポート!X96</f>
        <v>0</v>
      </c>
      <c r="Z96">
        <f>セットアップレポート!Y96</f>
        <v>0</v>
      </c>
      <c r="AA96">
        <f>セットアップレポート!Z96</f>
        <v>0</v>
      </c>
      <c r="AB96" t="str">
        <f>セットアップレポート!AA96</f>
        <v>NONE</v>
      </c>
      <c r="AC96">
        <f>セットアップレポート!AB96</f>
        <v>0</v>
      </c>
      <c r="AD96">
        <f>セットアップレポート!AC96</f>
        <v>0</v>
      </c>
      <c r="AE96">
        <f>セットアップレポート!AD96</f>
        <v>0</v>
      </c>
      <c r="AF96">
        <f>セットアップレポート!AE96</f>
        <v>0</v>
      </c>
      <c r="AG96">
        <f>セットアップレポート!AF96</f>
        <v>0</v>
      </c>
      <c r="AH96">
        <f>セットアップレポート!AG96</f>
        <v>0</v>
      </c>
    </row>
    <row r="97" spans="1:34" x14ac:dyDescent="0.45">
      <c r="A97" t="str">
        <f t="shared" si="1"/>
        <v>L2-NPM020003L9000066684</v>
      </c>
      <c r="B97" t="str">
        <f>セットアップレポート!A97</f>
        <v>Line-2</v>
      </c>
      <c r="C97" t="str">
        <f>セットアップレポート!B97</f>
        <v>L2-NPM02</v>
      </c>
      <c r="D97" t="str">
        <f>セットアップレポート!C97</f>
        <v>Zone-2-NPMW-2</v>
      </c>
      <c r="E97">
        <f>セットアップレポート!D97</f>
        <v>1</v>
      </c>
      <c r="F97">
        <f>セットアップレポート!E97</f>
        <v>1</v>
      </c>
      <c r="G97" t="str">
        <f>セットアップレポート!F97</f>
        <v>20003L</v>
      </c>
      <c r="H97">
        <f>セットアップレポート!G97</f>
        <v>3</v>
      </c>
      <c r="I97" t="str">
        <f>セットアップレポート!H97</f>
        <v>L</v>
      </c>
      <c r="J97" t="str">
        <f>セットアップレポート!I97</f>
        <v>9000066684 100014</v>
      </c>
      <c r="K97">
        <f>セットアップレポート!J97</f>
        <v>9000066684</v>
      </c>
      <c r="L97">
        <f>セットアップレポート!K97</f>
        <v>0</v>
      </c>
      <c r="M97">
        <f>セットアップレポート!L97</f>
        <v>0</v>
      </c>
      <c r="N97">
        <f>セットアップレポート!M97</f>
        <v>0</v>
      </c>
      <c r="O97">
        <f>セットアップレポート!N97</f>
        <v>0</v>
      </c>
      <c r="P97" t="str">
        <f>セットアップレポート!O97</f>
        <v>FA0201ACD051290</v>
      </c>
      <c r="Q97">
        <f>セットアップレポート!P97</f>
        <v>4000</v>
      </c>
      <c r="R97">
        <f>セットアップレポート!Q97</f>
        <v>45950.701053240744</v>
      </c>
      <c r="S97" t="str">
        <f>セットアップレポート!R97</f>
        <v>OP</v>
      </c>
      <c r="T97">
        <f>セットアップレポート!S97</f>
        <v>0</v>
      </c>
      <c r="U97">
        <f>セットアップレポート!T97</f>
        <v>0</v>
      </c>
      <c r="V97">
        <f>セットアップレポート!U97</f>
        <v>0</v>
      </c>
      <c r="W97">
        <f>セットアップレポート!V97</f>
        <v>0</v>
      </c>
      <c r="X97">
        <f>セットアップレポート!W97</f>
        <v>0</v>
      </c>
      <c r="Y97">
        <f>セットアップレポート!X97</f>
        <v>0</v>
      </c>
      <c r="Z97">
        <f>セットアップレポート!Y97</f>
        <v>0</v>
      </c>
      <c r="AA97">
        <f>セットアップレポート!Z97</f>
        <v>0</v>
      </c>
      <c r="AB97" t="str">
        <f>セットアップレポート!AA97</f>
        <v>NONE</v>
      </c>
      <c r="AC97">
        <f>セットアップレポート!AB97</f>
        <v>0</v>
      </c>
      <c r="AD97">
        <f>セットアップレポート!AC97</f>
        <v>0</v>
      </c>
      <c r="AE97">
        <f>セットアップレポート!AD97</f>
        <v>0</v>
      </c>
      <c r="AF97">
        <f>セットアップレポート!AE97</f>
        <v>0</v>
      </c>
      <c r="AG97">
        <f>セットアップレポート!AF97</f>
        <v>0</v>
      </c>
      <c r="AH97">
        <f>セットアップレポート!AG97</f>
        <v>0</v>
      </c>
    </row>
    <row r="98" spans="1:34" x14ac:dyDescent="0.45">
      <c r="A98" t="str">
        <f t="shared" si="1"/>
        <v>L2-NPM020004L9000066687</v>
      </c>
      <c r="B98" t="str">
        <f>セットアップレポート!A98</f>
        <v>Line-2</v>
      </c>
      <c r="C98" t="str">
        <f>セットアップレポート!B98</f>
        <v>L2-NPM02</v>
      </c>
      <c r="D98" t="str">
        <f>セットアップレポート!C98</f>
        <v>Zone-2-NPMW-2</v>
      </c>
      <c r="E98">
        <f>セットアップレポート!D98</f>
        <v>1</v>
      </c>
      <c r="F98">
        <f>セットアップレポート!E98</f>
        <v>1</v>
      </c>
      <c r="G98" t="str">
        <f>セットアップレポート!F98</f>
        <v>20004L</v>
      </c>
      <c r="H98">
        <f>セットアップレポート!G98</f>
        <v>4</v>
      </c>
      <c r="I98" t="str">
        <f>セットアップレポート!H98</f>
        <v>L</v>
      </c>
      <c r="J98" t="str">
        <f>セットアップレポート!I98</f>
        <v>9000066687 100028</v>
      </c>
      <c r="K98">
        <f>セットアップレポート!J98</f>
        <v>9000066687</v>
      </c>
      <c r="L98">
        <f>セットアップレポート!K98</f>
        <v>0</v>
      </c>
      <c r="M98">
        <f>セットアップレポート!L98</f>
        <v>0</v>
      </c>
      <c r="N98">
        <f>セットアップレポート!M98</f>
        <v>0</v>
      </c>
      <c r="O98">
        <f>セットアップレポート!N98</f>
        <v>0</v>
      </c>
      <c r="P98" t="str">
        <f>セットアップレポート!O98</f>
        <v>FA0201ACD051263</v>
      </c>
      <c r="Q98">
        <f>セットアップレポート!P98</f>
        <v>2000</v>
      </c>
      <c r="R98">
        <f>セットアップレポート!Q98</f>
        <v>45950.475138888891</v>
      </c>
      <c r="S98">
        <f>セットアップレポート!R98</f>
        <v>0</v>
      </c>
      <c r="T98" t="str">
        <f>セットアップレポート!S98</f>
        <v>Yes</v>
      </c>
      <c r="U98">
        <f>セットアップレポート!T98</f>
        <v>0</v>
      </c>
      <c r="V98" t="str">
        <f>セットアップレポート!U98</f>
        <v>9000066687 100036</v>
      </c>
      <c r="W98">
        <f>セットアップレポート!V98</f>
        <v>0</v>
      </c>
      <c r="X98">
        <f>セットアップレポート!W98</f>
        <v>0</v>
      </c>
      <c r="Y98">
        <f>セットアップレポート!X98</f>
        <v>0</v>
      </c>
      <c r="Z98">
        <f>セットアップレポート!Y98</f>
        <v>0</v>
      </c>
      <c r="AA98">
        <f>セットアップレポート!Z98</f>
        <v>0</v>
      </c>
      <c r="AB98" t="str">
        <f>セットアップレポート!AA98</f>
        <v>NONE</v>
      </c>
      <c r="AC98">
        <f>セットアップレポート!AB98</f>
        <v>0</v>
      </c>
      <c r="AD98">
        <f>セットアップレポート!AC98</f>
        <v>0</v>
      </c>
      <c r="AE98">
        <f>セットアップレポート!AD98</f>
        <v>0</v>
      </c>
      <c r="AF98">
        <f>セットアップレポート!AE98</f>
        <v>0</v>
      </c>
      <c r="AG98">
        <f>セットアップレポート!AF98</f>
        <v>0</v>
      </c>
      <c r="AH98">
        <f>セットアップレポート!AG98</f>
        <v>0</v>
      </c>
    </row>
    <row r="99" spans="1:34" x14ac:dyDescent="0.45">
      <c r="A99" t="str">
        <f t="shared" si="1"/>
        <v>L2-NPM020005L9000066689</v>
      </c>
      <c r="B99" t="str">
        <f>セットアップレポート!A99</f>
        <v>Line-2</v>
      </c>
      <c r="C99" t="str">
        <f>セットアップレポート!B99</f>
        <v>L2-NPM02</v>
      </c>
      <c r="D99" t="str">
        <f>セットアップレポート!C99</f>
        <v>Zone-2-NPMW-2</v>
      </c>
      <c r="E99">
        <f>セットアップレポート!D99</f>
        <v>1</v>
      </c>
      <c r="F99">
        <f>セットアップレポート!E99</f>
        <v>1</v>
      </c>
      <c r="G99" t="str">
        <f>セットアップレポート!F99</f>
        <v>20005L</v>
      </c>
      <c r="H99">
        <f>セットアップレポート!G99</f>
        <v>5</v>
      </c>
      <c r="I99" t="str">
        <f>セットアップレポート!H99</f>
        <v>L</v>
      </c>
      <c r="J99" t="str">
        <f>セットアップレポート!I99</f>
        <v>9000066689 100011</v>
      </c>
      <c r="K99">
        <f>セットアップレポート!J99</f>
        <v>9000066689</v>
      </c>
      <c r="L99">
        <f>セットアップレポート!K99</f>
        <v>0</v>
      </c>
      <c r="M99">
        <f>セットアップレポート!L99</f>
        <v>0</v>
      </c>
      <c r="N99">
        <f>セットアップレポート!M99</f>
        <v>0</v>
      </c>
      <c r="O99">
        <f>セットアップレポート!N99</f>
        <v>0</v>
      </c>
      <c r="P99" t="str">
        <f>セットアップレポート!O99</f>
        <v>FA0201ACD050188</v>
      </c>
      <c r="Q99">
        <f>セットアップレポート!P99</f>
        <v>3000</v>
      </c>
      <c r="R99">
        <f>セットアップレポート!Q99</f>
        <v>45950.475138888891</v>
      </c>
      <c r="S99">
        <f>セットアップレポート!R99</f>
        <v>0</v>
      </c>
      <c r="T99">
        <f>セットアップレポート!S99</f>
        <v>0</v>
      </c>
      <c r="U99">
        <f>セットアップレポート!T99</f>
        <v>0</v>
      </c>
      <c r="V99">
        <f>セットアップレポート!U99</f>
        <v>0</v>
      </c>
      <c r="W99">
        <f>セットアップレポート!V99</f>
        <v>0</v>
      </c>
      <c r="X99">
        <f>セットアップレポート!W99</f>
        <v>0</v>
      </c>
      <c r="Y99">
        <f>セットアップレポート!X99</f>
        <v>0</v>
      </c>
      <c r="Z99">
        <f>セットアップレポート!Y99</f>
        <v>0</v>
      </c>
      <c r="AA99">
        <f>セットアップレポート!Z99</f>
        <v>0</v>
      </c>
      <c r="AB99" t="str">
        <f>セットアップレポート!AA99</f>
        <v>NONE</v>
      </c>
      <c r="AC99">
        <f>セットアップレポート!AB99</f>
        <v>0</v>
      </c>
      <c r="AD99">
        <f>セットアップレポート!AC99</f>
        <v>0</v>
      </c>
      <c r="AE99">
        <f>セットアップレポート!AD99</f>
        <v>0</v>
      </c>
      <c r="AF99">
        <f>セットアップレポート!AE99</f>
        <v>0</v>
      </c>
      <c r="AG99">
        <f>セットアップレポート!AF99</f>
        <v>0</v>
      </c>
      <c r="AH99">
        <f>セットアップレポート!AG99</f>
        <v>0</v>
      </c>
    </row>
    <row r="100" spans="1:34" x14ac:dyDescent="0.45">
      <c r="A100" t="str">
        <f t="shared" si="1"/>
        <v>L2-NPM020006L672657</v>
      </c>
      <c r="B100" t="str">
        <f>セットアップレポート!A100</f>
        <v>Line-2</v>
      </c>
      <c r="C100" t="str">
        <f>セットアップレポート!B100</f>
        <v>L2-NPM02</v>
      </c>
      <c r="D100" t="str">
        <f>セットアップレポート!C100</f>
        <v>Zone-2-NPMW-2</v>
      </c>
      <c r="E100">
        <f>セットアップレポート!D100</f>
        <v>1</v>
      </c>
      <c r="F100">
        <f>セットアップレポート!E100</f>
        <v>1</v>
      </c>
      <c r="G100" t="str">
        <f>セットアップレポート!F100</f>
        <v>20006L</v>
      </c>
      <c r="H100">
        <f>セットアップレポート!G100</f>
        <v>6</v>
      </c>
      <c r="I100" t="str">
        <f>セットアップレポート!H100</f>
        <v>L</v>
      </c>
      <c r="J100" t="str">
        <f>セットアップレポート!I100</f>
        <v>672657 100030</v>
      </c>
      <c r="K100">
        <f>セットアップレポート!J100</f>
        <v>672657</v>
      </c>
      <c r="L100">
        <f>セットアップレポート!K100</f>
        <v>0</v>
      </c>
      <c r="M100">
        <f>セットアップレポート!L100</f>
        <v>0</v>
      </c>
      <c r="N100">
        <f>セットアップレポート!M100</f>
        <v>0</v>
      </c>
      <c r="O100">
        <f>セットアップレポート!N100</f>
        <v>0</v>
      </c>
      <c r="P100" t="str">
        <f>セットアップレポート!O100</f>
        <v>FA0201ABD000300</v>
      </c>
      <c r="Q100">
        <f>セットアップレポート!P100</f>
        <v>5000</v>
      </c>
      <c r="R100">
        <f>セットアップレポート!Q100</f>
        <v>45950.475138888891</v>
      </c>
      <c r="S100">
        <f>セットアップレポート!R100</f>
        <v>0</v>
      </c>
      <c r="T100">
        <f>セットアップレポート!S100</f>
        <v>0</v>
      </c>
      <c r="U100">
        <f>セットアップレポート!T100</f>
        <v>0</v>
      </c>
      <c r="V100">
        <f>セットアップレポート!U100</f>
        <v>0</v>
      </c>
      <c r="W100">
        <f>セットアップレポート!V100</f>
        <v>0</v>
      </c>
      <c r="X100">
        <f>セットアップレポート!W100</f>
        <v>0</v>
      </c>
      <c r="Y100">
        <f>セットアップレポート!X100</f>
        <v>0</v>
      </c>
      <c r="Z100">
        <f>セットアップレポート!Y100</f>
        <v>0</v>
      </c>
      <c r="AA100">
        <f>セットアップレポート!Z100</f>
        <v>0</v>
      </c>
      <c r="AB100" t="str">
        <f>セットアップレポート!AA100</f>
        <v>NONE</v>
      </c>
      <c r="AC100">
        <f>セットアップレポート!AB100</f>
        <v>0</v>
      </c>
      <c r="AD100">
        <f>セットアップレポート!AC100</f>
        <v>0</v>
      </c>
      <c r="AE100">
        <f>セットアップレポート!AD100</f>
        <v>0</v>
      </c>
      <c r="AF100">
        <f>セットアップレポート!AE100</f>
        <v>0</v>
      </c>
      <c r="AG100">
        <f>セットアップレポート!AF100</f>
        <v>0</v>
      </c>
      <c r="AH100">
        <f>セットアップレポート!AG100</f>
        <v>0</v>
      </c>
    </row>
    <row r="101" spans="1:34" x14ac:dyDescent="0.45">
      <c r="A101" t="str">
        <f t="shared" si="1"/>
        <v>L2-NPM020007L907289</v>
      </c>
      <c r="B101" t="str">
        <f>セットアップレポート!A101</f>
        <v>Line-2</v>
      </c>
      <c r="C101" t="str">
        <f>セットアップレポート!B101</f>
        <v>L2-NPM02</v>
      </c>
      <c r="D101" t="str">
        <f>セットアップレポート!C101</f>
        <v>Zone-2-NPMW-2</v>
      </c>
      <c r="E101">
        <f>セットアップレポート!D101</f>
        <v>1</v>
      </c>
      <c r="F101">
        <f>セットアップレポート!E101</f>
        <v>1</v>
      </c>
      <c r="G101" t="str">
        <f>セットアップレポート!F101</f>
        <v>20007L</v>
      </c>
      <c r="H101">
        <f>セットアップレポート!G101</f>
        <v>7</v>
      </c>
      <c r="I101" t="str">
        <f>セットアップレポート!H101</f>
        <v>L</v>
      </c>
      <c r="J101" t="str">
        <f>セットアップレポート!I101</f>
        <v>907289 100090</v>
      </c>
      <c r="K101">
        <f>セットアップレポート!J101</f>
        <v>907289</v>
      </c>
      <c r="L101">
        <f>セットアップレポート!K101</f>
        <v>0</v>
      </c>
      <c r="M101">
        <f>セットアップレポート!L101</f>
        <v>0</v>
      </c>
      <c r="N101">
        <f>セットアップレポート!M101</f>
        <v>0</v>
      </c>
      <c r="O101">
        <f>セットアップレポート!N101</f>
        <v>0</v>
      </c>
      <c r="P101" t="str">
        <f>セットアップレポート!O101</f>
        <v>FA0201ABA002806</v>
      </c>
      <c r="Q101">
        <f>セットアップレポート!P101</f>
        <v>3000</v>
      </c>
      <c r="R101">
        <f>セットアップレポート!Q101</f>
        <v>45950.475138888891</v>
      </c>
      <c r="S101">
        <f>セットアップレポート!R101</f>
        <v>0</v>
      </c>
      <c r="T101">
        <f>セットアップレポート!S101</f>
        <v>0</v>
      </c>
      <c r="U101">
        <f>セットアップレポート!T101</f>
        <v>0</v>
      </c>
      <c r="V101">
        <f>セットアップレポート!U101</f>
        <v>0</v>
      </c>
      <c r="W101">
        <f>セットアップレポート!V101</f>
        <v>0</v>
      </c>
      <c r="X101">
        <f>セットアップレポート!W101</f>
        <v>0</v>
      </c>
      <c r="Y101">
        <f>セットアップレポート!X101</f>
        <v>0</v>
      </c>
      <c r="Z101">
        <f>セットアップレポート!Y101</f>
        <v>0</v>
      </c>
      <c r="AA101">
        <f>セットアップレポート!Z101</f>
        <v>0</v>
      </c>
      <c r="AB101" t="str">
        <f>セットアップレポート!AA101</f>
        <v>NONE</v>
      </c>
      <c r="AC101">
        <f>セットアップレポート!AB101</f>
        <v>0</v>
      </c>
      <c r="AD101">
        <f>セットアップレポート!AC101</f>
        <v>0</v>
      </c>
      <c r="AE101">
        <f>セットアップレポート!AD101</f>
        <v>0</v>
      </c>
      <c r="AF101">
        <f>セットアップレポート!AE101</f>
        <v>0</v>
      </c>
      <c r="AG101">
        <f>セットアップレポート!AF101</f>
        <v>0</v>
      </c>
      <c r="AH101">
        <f>セットアップレポート!AG101</f>
        <v>0</v>
      </c>
    </row>
    <row r="102" spans="1:34" x14ac:dyDescent="0.45">
      <c r="A102" t="str">
        <f t="shared" si="1"/>
        <v>L2-NPM020008L661357</v>
      </c>
      <c r="B102" t="str">
        <f>セットアップレポート!A102</f>
        <v>Line-2</v>
      </c>
      <c r="C102" t="str">
        <f>セットアップレポート!B102</f>
        <v>L2-NPM02</v>
      </c>
      <c r="D102" t="str">
        <f>セットアップレポート!C102</f>
        <v>Zone-2-NPMW-2</v>
      </c>
      <c r="E102">
        <f>セットアップレポート!D102</f>
        <v>1</v>
      </c>
      <c r="F102">
        <f>セットアップレポート!E102</f>
        <v>1</v>
      </c>
      <c r="G102" t="str">
        <f>セットアップレポート!F102</f>
        <v>20008L</v>
      </c>
      <c r="H102">
        <f>セットアップレポート!G102</f>
        <v>8</v>
      </c>
      <c r="I102" t="str">
        <f>セットアップレポート!H102</f>
        <v>L</v>
      </c>
      <c r="J102" t="str">
        <f>セットアップレポート!I102</f>
        <v>661357 100082</v>
      </c>
      <c r="K102">
        <f>セットアップレポート!J102</f>
        <v>661357</v>
      </c>
      <c r="L102">
        <f>セットアップレポート!K102</f>
        <v>0</v>
      </c>
      <c r="M102">
        <f>セットアップレポート!L102</f>
        <v>0</v>
      </c>
      <c r="N102">
        <f>セットアップレポート!M102</f>
        <v>0</v>
      </c>
      <c r="O102">
        <f>セットアップレポート!N102</f>
        <v>0</v>
      </c>
      <c r="P102" t="str">
        <f>セットアップレポート!O102</f>
        <v>FA0201ACD051285</v>
      </c>
      <c r="Q102">
        <f>セットアップレポート!P102</f>
        <v>5000</v>
      </c>
      <c r="R102">
        <f>セットアップレポート!Q102</f>
        <v>45950.475138888891</v>
      </c>
      <c r="S102">
        <f>セットアップレポート!R102</f>
        <v>0</v>
      </c>
      <c r="T102" t="str">
        <f>セットアップレポート!S102</f>
        <v>Yes</v>
      </c>
      <c r="U102">
        <f>セットアップレポート!T102</f>
        <v>0</v>
      </c>
      <c r="V102" t="str">
        <f>セットアップレポート!U102</f>
        <v>661357 100086</v>
      </c>
      <c r="W102">
        <f>セットアップレポート!V102</f>
        <v>0</v>
      </c>
      <c r="X102">
        <f>セットアップレポート!W102</f>
        <v>0</v>
      </c>
      <c r="Y102">
        <f>セットアップレポート!X102</f>
        <v>0</v>
      </c>
      <c r="Z102">
        <f>セットアップレポート!Y102</f>
        <v>0</v>
      </c>
      <c r="AA102">
        <f>セットアップレポート!Z102</f>
        <v>0</v>
      </c>
      <c r="AB102" t="str">
        <f>セットアップレポート!AA102</f>
        <v>NONE</v>
      </c>
      <c r="AC102">
        <f>セットアップレポート!AB102</f>
        <v>0</v>
      </c>
      <c r="AD102">
        <f>セットアップレポート!AC102</f>
        <v>0</v>
      </c>
      <c r="AE102">
        <f>セットアップレポート!AD102</f>
        <v>0</v>
      </c>
      <c r="AF102">
        <f>セットアップレポート!AE102</f>
        <v>0</v>
      </c>
      <c r="AG102">
        <f>セットアップレポート!AF102</f>
        <v>0</v>
      </c>
      <c r="AH102">
        <f>セットアップレポート!AG102</f>
        <v>0</v>
      </c>
    </row>
    <row r="103" spans="1:34" x14ac:dyDescent="0.45">
      <c r="A103" t="str">
        <f t="shared" si="1"/>
        <v>L2-NPM020009L9000066688</v>
      </c>
      <c r="B103" t="str">
        <f>セットアップレポート!A103</f>
        <v>Line-2</v>
      </c>
      <c r="C103" t="str">
        <f>セットアップレポート!B103</f>
        <v>L2-NPM02</v>
      </c>
      <c r="D103" t="str">
        <f>セットアップレポート!C103</f>
        <v>Zone-2-NPMW-2</v>
      </c>
      <c r="E103">
        <f>セットアップレポート!D103</f>
        <v>1</v>
      </c>
      <c r="F103">
        <f>セットアップレポート!E103</f>
        <v>1</v>
      </c>
      <c r="G103" t="str">
        <f>セットアップレポート!F103</f>
        <v>20009L</v>
      </c>
      <c r="H103">
        <f>セットアップレポート!G103</f>
        <v>9</v>
      </c>
      <c r="I103" t="str">
        <f>セットアップレポート!H103</f>
        <v>L</v>
      </c>
      <c r="J103" t="str">
        <f>セットアップレポート!I103</f>
        <v>9000066688 100040</v>
      </c>
      <c r="K103">
        <f>セットアップレポート!J103</f>
        <v>9000066688</v>
      </c>
      <c r="L103">
        <f>セットアップレポート!K103</f>
        <v>0</v>
      </c>
      <c r="M103">
        <f>セットアップレポート!L103</f>
        <v>0</v>
      </c>
      <c r="N103">
        <f>セットアップレポート!M103</f>
        <v>0</v>
      </c>
      <c r="O103">
        <f>セットアップレポート!N103</f>
        <v>0</v>
      </c>
      <c r="P103" t="str">
        <f>セットアップレポート!O103</f>
        <v>FA0201ABA002402</v>
      </c>
      <c r="Q103">
        <f>セットアップレポート!P103</f>
        <v>4000</v>
      </c>
      <c r="R103">
        <f>セットアップレポート!Q103</f>
        <v>45950.475138888891</v>
      </c>
      <c r="S103">
        <f>セットアップレポート!R103</f>
        <v>0</v>
      </c>
      <c r="T103">
        <f>セットアップレポート!S103</f>
        <v>0</v>
      </c>
      <c r="U103">
        <f>セットアップレポート!T103</f>
        <v>0</v>
      </c>
      <c r="V103">
        <f>セットアップレポート!U103</f>
        <v>0</v>
      </c>
      <c r="W103">
        <f>セットアップレポート!V103</f>
        <v>0</v>
      </c>
      <c r="X103">
        <f>セットアップレポート!W103</f>
        <v>0</v>
      </c>
      <c r="Y103">
        <f>セットアップレポート!X103</f>
        <v>0</v>
      </c>
      <c r="Z103">
        <f>セットアップレポート!Y103</f>
        <v>0</v>
      </c>
      <c r="AA103">
        <f>セットアップレポート!Z103</f>
        <v>0</v>
      </c>
      <c r="AB103" t="str">
        <f>セットアップレポート!AA103</f>
        <v>NONE</v>
      </c>
      <c r="AC103">
        <f>セットアップレポート!AB103</f>
        <v>0</v>
      </c>
      <c r="AD103">
        <f>セットアップレポート!AC103</f>
        <v>0</v>
      </c>
      <c r="AE103">
        <f>セットアップレポート!AD103</f>
        <v>0</v>
      </c>
      <c r="AF103">
        <f>セットアップレポート!AE103</f>
        <v>0</v>
      </c>
      <c r="AG103">
        <f>セットアップレポート!AF103</f>
        <v>0</v>
      </c>
      <c r="AH103">
        <f>セットアップレポート!AG103</f>
        <v>0</v>
      </c>
    </row>
    <row r="104" spans="1:34" x14ac:dyDescent="0.45">
      <c r="A104" t="str">
        <f t="shared" si="1"/>
        <v>L2-NPM020010L667645</v>
      </c>
      <c r="B104" t="str">
        <f>セットアップレポート!A104</f>
        <v>Line-2</v>
      </c>
      <c r="C104" t="str">
        <f>セットアップレポート!B104</f>
        <v>L2-NPM02</v>
      </c>
      <c r="D104" t="str">
        <f>セットアップレポート!C104</f>
        <v>Zone-2-NPMW-2</v>
      </c>
      <c r="E104">
        <f>セットアップレポート!D104</f>
        <v>1</v>
      </c>
      <c r="F104">
        <f>セットアップレポート!E104</f>
        <v>1</v>
      </c>
      <c r="G104" t="str">
        <f>セットアップレポート!F104</f>
        <v>20010L</v>
      </c>
      <c r="H104">
        <f>セットアップレポート!G104</f>
        <v>10</v>
      </c>
      <c r="I104" t="str">
        <f>セットアップレポート!H104</f>
        <v>L</v>
      </c>
      <c r="J104" t="str">
        <f>セットアップレポート!I104</f>
        <v>667645 110717</v>
      </c>
      <c r="K104">
        <f>セットアップレポート!J104</f>
        <v>667645</v>
      </c>
      <c r="L104">
        <f>セットアップレポート!K104</f>
        <v>0</v>
      </c>
      <c r="M104">
        <f>セットアップレポート!L104</f>
        <v>0</v>
      </c>
      <c r="N104">
        <f>セットアップレポート!M104</f>
        <v>0</v>
      </c>
      <c r="O104">
        <f>セットアップレポート!N104</f>
        <v>0</v>
      </c>
      <c r="P104" t="str">
        <f>セットアップレポート!O104</f>
        <v>FA0201ABD000222</v>
      </c>
      <c r="Q104">
        <f>セットアップレポート!P104</f>
        <v>10000</v>
      </c>
      <c r="R104">
        <f>セットアップレポート!Q104</f>
        <v>45950.475138888891</v>
      </c>
      <c r="S104">
        <f>セットアップレポート!R104</f>
        <v>0</v>
      </c>
      <c r="T104">
        <f>セットアップレポート!S104</f>
        <v>0</v>
      </c>
      <c r="U104">
        <f>セットアップレポート!T104</f>
        <v>0</v>
      </c>
      <c r="V104">
        <f>セットアップレポート!U104</f>
        <v>0</v>
      </c>
      <c r="W104">
        <f>セットアップレポート!V104</f>
        <v>0</v>
      </c>
      <c r="X104">
        <f>セットアップレポート!W104</f>
        <v>0</v>
      </c>
      <c r="Y104">
        <f>セットアップレポート!X104</f>
        <v>0</v>
      </c>
      <c r="Z104">
        <f>セットアップレポート!Y104</f>
        <v>0</v>
      </c>
      <c r="AA104">
        <f>セットアップレポート!Z104</f>
        <v>0</v>
      </c>
      <c r="AB104" t="str">
        <f>セットアップレポート!AA104</f>
        <v>NONE</v>
      </c>
      <c r="AC104">
        <f>セットアップレポート!AB104</f>
        <v>0</v>
      </c>
      <c r="AD104">
        <f>セットアップレポート!AC104</f>
        <v>0</v>
      </c>
      <c r="AE104">
        <f>セットアップレポート!AD104</f>
        <v>0</v>
      </c>
      <c r="AF104">
        <f>セットアップレポート!AE104</f>
        <v>0</v>
      </c>
      <c r="AG104">
        <f>セットアップレポート!AF104</f>
        <v>0</v>
      </c>
      <c r="AH104">
        <f>セットアップレポート!AG104</f>
        <v>0</v>
      </c>
    </row>
    <row r="105" spans="1:34" x14ac:dyDescent="0.45">
      <c r="A105" t="str">
        <f t="shared" si="1"/>
        <v>L2-NPM020011L9000066590</v>
      </c>
      <c r="B105" t="str">
        <f>セットアップレポート!A105</f>
        <v>Line-2</v>
      </c>
      <c r="C105" t="str">
        <f>セットアップレポート!B105</f>
        <v>L2-NPM02</v>
      </c>
      <c r="D105" t="str">
        <f>セットアップレポート!C105</f>
        <v>Zone-2-NPMW-2</v>
      </c>
      <c r="E105">
        <f>セットアップレポート!D105</f>
        <v>1</v>
      </c>
      <c r="F105">
        <f>セットアップレポート!E105</f>
        <v>1</v>
      </c>
      <c r="G105" t="str">
        <f>セットアップレポート!F105</f>
        <v>20011L</v>
      </c>
      <c r="H105">
        <f>セットアップレポート!G105</f>
        <v>11</v>
      </c>
      <c r="I105" t="str">
        <f>セットアップレポート!H105</f>
        <v>L</v>
      </c>
      <c r="J105" t="str">
        <f>セットアップレポート!I105</f>
        <v>9000066590 101621</v>
      </c>
      <c r="K105">
        <f>セットアップレポート!J105</f>
        <v>9000066590</v>
      </c>
      <c r="L105">
        <f>セットアップレポート!K105</f>
        <v>0</v>
      </c>
      <c r="M105">
        <f>セットアップレポート!L105</f>
        <v>0</v>
      </c>
      <c r="N105">
        <f>セットアップレポート!M105</f>
        <v>0</v>
      </c>
      <c r="O105">
        <f>セットアップレポート!N105</f>
        <v>0</v>
      </c>
      <c r="P105" t="str">
        <f>セットアップレポート!O105</f>
        <v>FA0201ABD000307</v>
      </c>
      <c r="Q105">
        <f>セットアップレポート!P105</f>
        <v>4000</v>
      </c>
      <c r="R105">
        <f>セットアップレポート!Q105</f>
        <v>45950.475138888891</v>
      </c>
      <c r="S105">
        <f>セットアップレポート!R105</f>
        <v>0</v>
      </c>
      <c r="T105">
        <f>セットアップレポート!S105</f>
        <v>0</v>
      </c>
      <c r="U105">
        <f>セットアップレポート!T105</f>
        <v>0</v>
      </c>
      <c r="V105">
        <f>セットアップレポート!U105</f>
        <v>0</v>
      </c>
      <c r="W105">
        <f>セットアップレポート!V105</f>
        <v>0</v>
      </c>
      <c r="X105">
        <f>セットアップレポート!W105</f>
        <v>0</v>
      </c>
      <c r="Y105">
        <f>セットアップレポート!X105</f>
        <v>0</v>
      </c>
      <c r="Z105">
        <f>セットアップレポート!Y105</f>
        <v>0</v>
      </c>
      <c r="AA105">
        <f>セットアップレポート!Z105</f>
        <v>0</v>
      </c>
      <c r="AB105" t="str">
        <f>セットアップレポート!AA105</f>
        <v>NONE</v>
      </c>
      <c r="AC105">
        <f>セットアップレポート!AB105</f>
        <v>0</v>
      </c>
      <c r="AD105">
        <f>セットアップレポート!AC105</f>
        <v>0</v>
      </c>
      <c r="AE105">
        <f>セットアップレポート!AD105</f>
        <v>0</v>
      </c>
      <c r="AF105">
        <f>セットアップレポート!AE105</f>
        <v>0</v>
      </c>
      <c r="AG105">
        <f>セットアップレポート!AF105</f>
        <v>0</v>
      </c>
      <c r="AH105">
        <f>セットアップレポート!AG105</f>
        <v>0</v>
      </c>
    </row>
    <row r="106" spans="1:34" x14ac:dyDescent="0.45">
      <c r="A106" t="str">
        <f t="shared" si="1"/>
        <v>L2-NPM020012L9000066686</v>
      </c>
      <c r="B106" t="str">
        <f>セットアップレポート!A106</f>
        <v>Line-2</v>
      </c>
      <c r="C106" t="str">
        <f>セットアップレポート!B106</f>
        <v>L2-NPM02</v>
      </c>
      <c r="D106" t="str">
        <f>セットアップレポート!C106</f>
        <v>Zone-2-NPMW-2</v>
      </c>
      <c r="E106">
        <f>セットアップレポート!D106</f>
        <v>1</v>
      </c>
      <c r="F106">
        <f>セットアップレポート!E106</f>
        <v>1</v>
      </c>
      <c r="G106" t="str">
        <f>セットアップレポート!F106</f>
        <v>20012L</v>
      </c>
      <c r="H106">
        <f>セットアップレポート!G106</f>
        <v>12</v>
      </c>
      <c r="I106" t="str">
        <f>セットアップレポート!H106</f>
        <v>L</v>
      </c>
      <c r="J106" t="str">
        <f>セットアップレポート!I106</f>
        <v>9000066686 100012</v>
      </c>
      <c r="K106">
        <f>セットアップレポート!J106</f>
        <v>9000066686</v>
      </c>
      <c r="L106">
        <f>セットアップレポート!K106</f>
        <v>0</v>
      </c>
      <c r="M106">
        <f>セットアップレポート!L106</f>
        <v>0</v>
      </c>
      <c r="N106">
        <f>セットアップレポート!M106</f>
        <v>0</v>
      </c>
      <c r="O106">
        <f>セットアップレポート!N106</f>
        <v>0</v>
      </c>
      <c r="P106" t="str">
        <f>セットアップレポート!O106</f>
        <v>FA0201ABD000210</v>
      </c>
      <c r="Q106">
        <f>セットアップレポート!P106</f>
        <v>4000</v>
      </c>
      <c r="R106">
        <f>セットアップレポート!Q106</f>
        <v>45950.475138888891</v>
      </c>
      <c r="S106">
        <f>セットアップレポート!R106</f>
        <v>0</v>
      </c>
      <c r="T106" t="str">
        <f>セットアップレポート!S106</f>
        <v>Yes</v>
      </c>
      <c r="U106">
        <f>セットアップレポート!T106</f>
        <v>0</v>
      </c>
      <c r="V106" t="str">
        <f>セットアップレポート!U106</f>
        <v>9000066686 100014</v>
      </c>
      <c r="W106">
        <f>セットアップレポート!V106</f>
        <v>0</v>
      </c>
      <c r="X106">
        <f>セットアップレポート!W106</f>
        <v>0</v>
      </c>
      <c r="Y106">
        <f>セットアップレポート!X106</f>
        <v>0</v>
      </c>
      <c r="Z106">
        <f>セットアップレポート!Y106</f>
        <v>0</v>
      </c>
      <c r="AA106">
        <f>セットアップレポート!Z106</f>
        <v>0</v>
      </c>
      <c r="AB106" t="str">
        <f>セットアップレポート!AA106</f>
        <v>NONE</v>
      </c>
      <c r="AC106">
        <f>セットアップレポート!AB106</f>
        <v>0</v>
      </c>
      <c r="AD106">
        <f>セットアップレポート!AC106</f>
        <v>0</v>
      </c>
      <c r="AE106">
        <f>セットアップレポート!AD106</f>
        <v>0</v>
      </c>
      <c r="AF106">
        <f>セットアップレポート!AE106</f>
        <v>0</v>
      </c>
      <c r="AG106">
        <f>セットアップレポート!AF106</f>
        <v>0</v>
      </c>
      <c r="AH106">
        <f>セットアップレポート!AG106</f>
        <v>0</v>
      </c>
    </row>
    <row r="107" spans="1:34" x14ac:dyDescent="0.45">
      <c r="A107" t="str">
        <f t="shared" si="1"/>
        <v>L2-NPM020013L9000066599</v>
      </c>
      <c r="B107" t="str">
        <f>セットアップレポート!A107</f>
        <v>Line-2</v>
      </c>
      <c r="C107" t="str">
        <f>セットアップレポート!B107</f>
        <v>L2-NPM02</v>
      </c>
      <c r="D107" t="str">
        <f>セットアップレポート!C107</f>
        <v>Zone-2-NPMW-2</v>
      </c>
      <c r="E107">
        <f>セットアップレポート!D107</f>
        <v>1</v>
      </c>
      <c r="F107">
        <f>セットアップレポート!E107</f>
        <v>1</v>
      </c>
      <c r="G107" t="str">
        <f>セットアップレポート!F107</f>
        <v>20013L</v>
      </c>
      <c r="H107">
        <f>セットアップレポート!G107</f>
        <v>13</v>
      </c>
      <c r="I107" t="str">
        <f>セットアップレポート!H107</f>
        <v>L</v>
      </c>
      <c r="J107" t="str">
        <f>セットアップレポート!I107</f>
        <v>9000066599 102741</v>
      </c>
      <c r="K107">
        <f>セットアップレポート!J107</f>
        <v>9000066599</v>
      </c>
      <c r="L107">
        <f>セットアップレポート!K107</f>
        <v>0</v>
      </c>
      <c r="M107">
        <f>セットアップレポート!L107</f>
        <v>0</v>
      </c>
      <c r="N107">
        <f>セットアップレポート!M107</f>
        <v>0</v>
      </c>
      <c r="O107">
        <f>セットアップレポート!N107</f>
        <v>0</v>
      </c>
      <c r="P107" t="str">
        <f>セットアップレポート!O107</f>
        <v>FA0201ABA002871</v>
      </c>
      <c r="Q107">
        <f>セットアップレポート!P107</f>
        <v>2000</v>
      </c>
      <c r="R107">
        <f>セットアップレポート!Q107</f>
        <v>45950.475138888891</v>
      </c>
      <c r="S107">
        <f>セットアップレポート!R107</f>
        <v>0</v>
      </c>
      <c r="T107" t="str">
        <f>セットアップレポート!S107</f>
        <v>Yes</v>
      </c>
      <c r="U107">
        <f>セットアップレポート!T107</f>
        <v>0</v>
      </c>
      <c r="V107" t="str">
        <f>セットアップレポート!U107</f>
        <v>9000066599 102793</v>
      </c>
      <c r="W107">
        <f>セットアップレポート!V107</f>
        <v>0</v>
      </c>
      <c r="X107">
        <f>セットアップレポート!W107</f>
        <v>0</v>
      </c>
      <c r="Y107">
        <f>セットアップレポート!X107</f>
        <v>0</v>
      </c>
      <c r="Z107">
        <f>セットアップレポート!Y107</f>
        <v>0</v>
      </c>
      <c r="AA107">
        <f>セットアップレポート!Z107</f>
        <v>0</v>
      </c>
      <c r="AB107" t="str">
        <f>セットアップレポート!AA107</f>
        <v>NONE</v>
      </c>
      <c r="AC107">
        <f>セットアップレポート!AB107</f>
        <v>0</v>
      </c>
      <c r="AD107">
        <f>セットアップレポート!AC107</f>
        <v>0</v>
      </c>
      <c r="AE107">
        <f>セットアップレポート!AD107</f>
        <v>0</v>
      </c>
      <c r="AF107">
        <f>セットアップレポート!AE107</f>
        <v>0</v>
      </c>
      <c r="AG107">
        <f>セットアップレポート!AF107</f>
        <v>0</v>
      </c>
      <c r="AH107">
        <f>セットアップレポート!AG107</f>
        <v>0</v>
      </c>
    </row>
    <row r="108" spans="1:34" x14ac:dyDescent="0.45">
      <c r="A108" t="str">
        <f t="shared" si="1"/>
        <v>L2-NPM020014L9000069294</v>
      </c>
      <c r="B108" t="str">
        <f>セットアップレポート!A108</f>
        <v>Line-2</v>
      </c>
      <c r="C108" t="str">
        <f>セットアップレポート!B108</f>
        <v>L2-NPM02</v>
      </c>
      <c r="D108" t="str">
        <f>セットアップレポート!C108</f>
        <v>Zone-2-NPMW-2</v>
      </c>
      <c r="E108">
        <f>セットアップレポート!D108</f>
        <v>1</v>
      </c>
      <c r="F108">
        <f>セットアップレポート!E108</f>
        <v>1</v>
      </c>
      <c r="G108" t="str">
        <f>セットアップレポート!F108</f>
        <v>20014L</v>
      </c>
      <c r="H108">
        <f>セットアップレポート!G108</f>
        <v>14</v>
      </c>
      <c r="I108" t="str">
        <f>セットアップレポート!H108</f>
        <v>L</v>
      </c>
      <c r="J108" t="str">
        <f>セットアップレポート!I108</f>
        <v>9000069294 100001</v>
      </c>
      <c r="K108">
        <f>セットアップレポート!J108</f>
        <v>9000069294</v>
      </c>
      <c r="L108">
        <f>セットアップレポート!K108</f>
        <v>0</v>
      </c>
      <c r="M108">
        <f>セットアップレポート!L108</f>
        <v>0</v>
      </c>
      <c r="N108">
        <f>セットアップレポート!M108</f>
        <v>0</v>
      </c>
      <c r="O108">
        <f>セットアップレポート!N108</f>
        <v>0</v>
      </c>
      <c r="P108" t="str">
        <f>セットアップレポート!O108</f>
        <v>FA0201ABD000361</v>
      </c>
      <c r="Q108">
        <f>セットアップレポート!P108</f>
        <v>2852</v>
      </c>
      <c r="R108">
        <f>セットアップレポート!Q108</f>
        <v>45950.475138888891</v>
      </c>
      <c r="S108">
        <f>セットアップレポート!R108</f>
        <v>0</v>
      </c>
      <c r="T108">
        <f>セットアップレポート!S108</f>
        <v>0</v>
      </c>
      <c r="U108">
        <f>セットアップレポート!T108</f>
        <v>0</v>
      </c>
      <c r="V108">
        <f>セットアップレポート!U108</f>
        <v>0</v>
      </c>
      <c r="W108">
        <f>セットアップレポート!V108</f>
        <v>0</v>
      </c>
      <c r="X108">
        <f>セットアップレポート!W108</f>
        <v>0</v>
      </c>
      <c r="Y108">
        <f>セットアップレポート!X108</f>
        <v>0</v>
      </c>
      <c r="Z108">
        <f>セットアップレポート!Y108</f>
        <v>0</v>
      </c>
      <c r="AA108">
        <f>セットアップレポート!Z108</f>
        <v>0</v>
      </c>
      <c r="AB108" t="str">
        <f>セットアップレポート!AA108</f>
        <v>NONE</v>
      </c>
      <c r="AC108">
        <f>セットアップレポート!AB108</f>
        <v>0</v>
      </c>
      <c r="AD108">
        <f>セットアップレポート!AC108</f>
        <v>0</v>
      </c>
      <c r="AE108">
        <f>セットアップレポート!AD108</f>
        <v>0</v>
      </c>
      <c r="AF108">
        <f>セットアップレポート!AE108</f>
        <v>0</v>
      </c>
      <c r="AG108">
        <f>セットアップレポート!AF108</f>
        <v>0</v>
      </c>
      <c r="AH108">
        <f>セットアップレポート!AG108</f>
        <v>0</v>
      </c>
    </row>
    <row r="109" spans="1:34" x14ac:dyDescent="0.45">
      <c r="A109" t="str">
        <f t="shared" si="1"/>
        <v>L2-NPM020015L9000066586</v>
      </c>
      <c r="B109" t="str">
        <f>セットアップレポート!A109</f>
        <v>Line-2</v>
      </c>
      <c r="C109" t="str">
        <f>セットアップレポート!B109</f>
        <v>L2-NPM02</v>
      </c>
      <c r="D109" t="str">
        <f>セットアップレポート!C109</f>
        <v>Zone-2-NPMW-2</v>
      </c>
      <c r="E109">
        <f>セットアップレポート!D109</f>
        <v>1</v>
      </c>
      <c r="F109">
        <f>セットアップレポート!E109</f>
        <v>1</v>
      </c>
      <c r="G109" t="str">
        <f>セットアップレポート!F109</f>
        <v>20015L</v>
      </c>
      <c r="H109">
        <f>セットアップレポート!G109</f>
        <v>15</v>
      </c>
      <c r="I109" t="str">
        <f>セットアップレポート!H109</f>
        <v>L</v>
      </c>
      <c r="J109" t="str">
        <f>セットアップレポート!I109</f>
        <v>9000066586 100013</v>
      </c>
      <c r="K109">
        <f>セットアップレポート!J109</f>
        <v>9000066586</v>
      </c>
      <c r="L109">
        <f>セットアップレポート!K109</f>
        <v>0</v>
      </c>
      <c r="M109">
        <f>セットアップレポート!L109</f>
        <v>0</v>
      </c>
      <c r="N109">
        <f>セットアップレポート!M109</f>
        <v>0</v>
      </c>
      <c r="O109">
        <f>セットアップレポート!N109</f>
        <v>0</v>
      </c>
      <c r="P109" t="str">
        <f>セットアップレポート!O109</f>
        <v>FA0201ABA002595</v>
      </c>
      <c r="Q109">
        <f>セットアップレポート!P109</f>
        <v>10000</v>
      </c>
      <c r="R109">
        <f>セットアップレポート!Q109</f>
        <v>45950.475138888891</v>
      </c>
      <c r="S109">
        <f>セットアップレポート!R109</f>
        <v>0</v>
      </c>
      <c r="T109">
        <f>セットアップレポート!S109</f>
        <v>0</v>
      </c>
      <c r="U109">
        <f>セットアップレポート!T109</f>
        <v>0</v>
      </c>
      <c r="V109">
        <f>セットアップレポート!U109</f>
        <v>0</v>
      </c>
      <c r="W109">
        <f>セットアップレポート!V109</f>
        <v>0</v>
      </c>
      <c r="X109">
        <f>セットアップレポート!W109</f>
        <v>0</v>
      </c>
      <c r="Y109">
        <f>セットアップレポート!X109</f>
        <v>0</v>
      </c>
      <c r="Z109">
        <f>セットアップレポート!Y109</f>
        <v>0</v>
      </c>
      <c r="AA109">
        <f>セットアップレポート!Z109</f>
        <v>0</v>
      </c>
      <c r="AB109" t="str">
        <f>セットアップレポート!AA109</f>
        <v>NONE</v>
      </c>
      <c r="AC109">
        <f>セットアップレポート!AB109</f>
        <v>0</v>
      </c>
      <c r="AD109">
        <f>セットアップレポート!AC109</f>
        <v>0</v>
      </c>
      <c r="AE109">
        <f>セットアップレポート!AD109</f>
        <v>0</v>
      </c>
      <c r="AF109">
        <f>セットアップレポート!AE109</f>
        <v>0</v>
      </c>
      <c r="AG109">
        <f>セットアップレポート!AF109</f>
        <v>0</v>
      </c>
      <c r="AH109">
        <f>セットアップレポート!AG109</f>
        <v>0</v>
      </c>
    </row>
    <row r="110" spans="1:34" x14ac:dyDescent="0.45">
      <c r="A110" t="str">
        <f t="shared" si="1"/>
        <v>L2-NPM020016L9000066588</v>
      </c>
      <c r="B110" t="str">
        <f>セットアップレポート!A110</f>
        <v>Line-2</v>
      </c>
      <c r="C110" t="str">
        <f>セットアップレポート!B110</f>
        <v>L2-NPM02</v>
      </c>
      <c r="D110" t="str">
        <f>セットアップレポート!C110</f>
        <v>Zone-2-NPMW-2</v>
      </c>
      <c r="E110">
        <f>セットアップレポート!D110</f>
        <v>1</v>
      </c>
      <c r="F110">
        <f>セットアップレポート!E110</f>
        <v>1</v>
      </c>
      <c r="G110" t="str">
        <f>セットアップレポート!F110</f>
        <v>20016L</v>
      </c>
      <c r="H110">
        <f>セットアップレポート!G110</f>
        <v>16</v>
      </c>
      <c r="I110" t="str">
        <f>セットアップレポート!H110</f>
        <v>L</v>
      </c>
      <c r="J110" t="str">
        <f>セットアップレポート!I110</f>
        <v>9000066588 100231</v>
      </c>
      <c r="K110">
        <f>セットアップレポート!J110</f>
        <v>9000066588</v>
      </c>
      <c r="L110">
        <f>セットアップレポート!K110</f>
        <v>0</v>
      </c>
      <c r="M110">
        <f>セットアップレポート!L110</f>
        <v>0</v>
      </c>
      <c r="N110">
        <f>セットアップレポート!M110</f>
        <v>0</v>
      </c>
      <c r="O110">
        <f>セットアップレポート!N110</f>
        <v>0</v>
      </c>
      <c r="P110" t="str">
        <f>セットアップレポート!O110</f>
        <v>FA0201ABD000223</v>
      </c>
      <c r="Q110">
        <f>セットアップレポート!P110</f>
        <v>4000</v>
      </c>
      <c r="R110">
        <f>セットアップレポート!Q110</f>
        <v>45950.475138888891</v>
      </c>
      <c r="S110">
        <f>セットアップレポート!R110</f>
        <v>0</v>
      </c>
      <c r="T110">
        <f>セットアップレポート!S110</f>
        <v>0</v>
      </c>
      <c r="U110">
        <f>セットアップレポート!T110</f>
        <v>0</v>
      </c>
      <c r="V110">
        <f>セットアップレポート!U110</f>
        <v>0</v>
      </c>
      <c r="W110">
        <f>セットアップレポート!V110</f>
        <v>0</v>
      </c>
      <c r="X110">
        <f>セットアップレポート!W110</f>
        <v>0</v>
      </c>
      <c r="Y110">
        <f>セットアップレポート!X110</f>
        <v>0</v>
      </c>
      <c r="Z110">
        <f>セットアップレポート!Y110</f>
        <v>0</v>
      </c>
      <c r="AA110">
        <f>セットアップレポート!Z110</f>
        <v>0</v>
      </c>
      <c r="AB110" t="str">
        <f>セットアップレポート!AA110</f>
        <v>NONE</v>
      </c>
      <c r="AC110">
        <f>セットアップレポート!AB110</f>
        <v>0</v>
      </c>
      <c r="AD110">
        <f>セットアップレポート!AC110</f>
        <v>0</v>
      </c>
      <c r="AE110">
        <f>セットアップレポート!AD110</f>
        <v>0</v>
      </c>
      <c r="AF110">
        <f>セットアップレポート!AE110</f>
        <v>0</v>
      </c>
      <c r="AG110">
        <f>セットアップレポート!AF110</f>
        <v>0</v>
      </c>
      <c r="AH110">
        <f>セットアップレポート!AG110</f>
        <v>0</v>
      </c>
    </row>
    <row r="111" spans="1:34" x14ac:dyDescent="0.45">
      <c r="A111" t="str">
        <f t="shared" si="1"/>
        <v>L2-NPM020017L667618A</v>
      </c>
      <c r="B111" t="str">
        <f>セットアップレポート!A111</f>
        <v>Line-2</v>
      </c>
      <c r="C111" t="str">
        <f>セットアップレポート!B111</f>
        <v>L2-NPM02</v>
      </c>
      <c r="D111" t="str">
        <f>セットアップレポート!C111</f>
        <v>Zone-2-NPMW-2</v>
      </c>
      <c r="E111">
        <f>セットアップレポート!D111</f>
        <v>1</v>
      </c>
      <c r="F111">
        <f>セットアップレポート!E111</f>
        <v>1</v>
      </c>
      <c r="G111" t="str">
        <f>セットアップレポート!F111</f>
        <v>20017L</v>
      </c>
      <c r="H111">
        <f>セットアップレポート!G111</f>
        <v>17</v>
      </c>
      <c r="I111" t="str">
        <f>セットアップレポート!H111</f>
        <v>L</v>
      </c>
      <c r="J111" t="str">
        <f>セットアップレポート!I111</f>
        <v>667618A100493</v>
      </c>
      <c r="K111" t="str">
        <f>セットアップレポート!J111</f>
        <v>667618A</v>
      </c>
      <c r="L111">
        <f>セットアップレポート!K111</f>
        <v>0</v>
      </c>
      <c r="M111">
        <f>セットアップレポート!L111</f>
        <v>0</v>
      </c>
      <c r="N111">
        <f>セットアップレポート!M111</f>
        <v>0</v>
      </c>
      <c r="O111">
        <f>セットアップレポート!N111</f>
        <v>0</v>
      </c>
      <c r="P111" t="str">
        <f>セットアップレポート!O111</f>
        <v>FA0201ACD050890</v>
      </c>
      <c r="Q111">
        <f>セットアップレポート!P111</f>
        <v>5000</v>
      </c>
      <c r="R111">
        <f>セットアップレポート!Q111</f>
        <v>45950.702430555553</v>
      </c>
      <c r="S111" t="str">
        <f>セットアップレポート!R111</f>
        <v>OP</v>
      </c>
      <c r="T111">
        <f>セットアップレポート!S111</f>
        <v>0</v>
      </c>
      <c r="U111">
        <f>セットアップレポート!T111</f>
        <v>0</v>
      </c>
      <c r="V111">
        <f>セットアップレポート!U111</f>
        <v>0</v>
      </c>
      <c r="W111">
        <f>セットアップレポート!V111</f>
        <v>0</v>
      </c>
      <c r="X111">
        <f>セットアップレポート!W111</f>
        <v>0</v>
      </c>
      <c r="Y111">
        <f>セットアップレポート!X111</f>
        <v>0</v>
      </c>
      <c r="Z111">
        <f>セットアップレポート!Y111</f>
        <v>0</v>
      </c>
      <c r="AA111">
        <f>セットアップレポート!Z111</f>
        <v>0</v>
      </c>
      <c r="AB111" t="str">
        <f>セットアップレポート!AA111</f>
        <v>NONE</v>
      </c>
      <c r="AC111">
        <f>セットアップレポート!AB111</f>
        <v>0</v>
      </c>
      <c r="AD111">
        <f>セットアップレポート!AC111</f>
        <v>0</v>
      </c>
      <c r="AE111">
        <f>セットアップレポート!AD111</f>
        <v>0</v>
      </c>
      <c r="AF111">
        <f>セットアップレポート!AE111</f>
        <v>0</v>
      </c>
      <c r="AG111">
        <f>セットアップレポート!AF111</f>
        <v>0</v>
      </c>
      <c r="AH111">
        <f>セットアップレポート!AG111</f>
        <v>0</v>
      </c>
    </row>
    <row r="112" spans="1:34" x14ac:dyDescent="0.45">
      <c r="A112" t="str">
        <f t="shared" si="1"/>
        <v>L2-NPM020018L909616</v>
      </c>
      <c r="B112" t="str">
        <f>セットアップレポート!A112</f>
        <v>Line-2</v>
      </c>
      <c r="C112" t="str">
        <f>セットアップレポート!B112</f>
        <v>L2-NPM02</v>
      </c>
      <c r="D112" t="str">
        <f>セットアップレポート!C112</f>
        <v>Zone-2-NPMW-2</v>
      </c>
      <c r="E112">
        <f>セットアップレポート!D112</f>
        <v>1</v>
      </c>
      <c r="F112">
        <f>セットアップレポート!E112</f>
        <v>1</v>
      </c>
      <c r="G112" t="str">
        <f>セットアップレポート!F112</f>
        <v>20018L</v>
      </c>
      <c r="H112">
        <f>セットアップレポート!G112</f>
        <v>18</v>
      </c>
      <c r="I112" t="str">
        <f>セットアップレポート!H112</f>
        <v>L</v>
      </c>
      <c r="J112" t="str">
        <f>セットアップレポート!I112</f>
        <v>909616 100741</v>
      </c>
      <c r="K112">
        <f>セットアップレポート!J112</f>
        <v>909616</v>
      </c>
      <c r="L112">
        <f>セットアップレポート!K112</f>
        <v>0</v>
      </c>
      <c r="M112">
        <f>セットアップレポート!L112</f>
        <v>0</v>
      </c>
      <c r="N112">
        <f>セットアップレポート!M112</f>
        <v>0</v>
      </c>
      <c r="O112">
        <f>セットアップレポート!N112</f>
        <v>0</v>
      </c>
      <c r="P112" t="str">
        <f>セットアップレポート!O112</f>
        <v>FA0201ABA002398</v>
      </c>
      <c r="Q112">
        <f>セットアップレポート!P112</f>
        <v>10000</v>
      </c>
      <c r="R112">
        <f>セットアップレポート!Q112</f>
        <v>45950.475138888891</v>
      </c>
      <c r="S112">
        <f>セットアップレポート!R112</f>
        <v>0</v>
      </c>
      <c r="T112">
        <f>セットアップレポート!S112</f>
        <v>0</v>
      </c>
      <c r="U112">
        <f>セットアップレポート!T112</f>
        <v>0</v>
      </c>
      <c r="V112">
        <f>セットアップレポート!U112</f>
        <v>0</v>
      </c>
      <c r="W112">
        <f>セットアップレポート!V112</f>
        <v>0</v>
      </c>
      <c r="X112">
        <f>セットアップレポート!W112</f>
        <v>0</v>
      </c>
      <c r="Y112">
        <f>セットアップレポート!X112</f>
        <v>0</v>
      </c>
      <c r="Z112">
        <f>セットアップレポート!Y112</f>
        <v>0</v>
      </c>
      <c r="AA112">
        <f>セットアップレポート!Z112</f>
        <v>0</v>
      </c>
      <c r="AB112" t="str">
        <f>セットアップレポート!AA112</f>
        <v>NONE</v>
      </c>
      <c r="AC112">
        <f>セットアップレポート!AB112</f>
        <v>0</v>
      </c>
      <c r="AD112">
        <f>セットアップレポート!AC112</f>
        <v>0</v>
      </c>
      <c r="AE112">
        <f>セットアップレポート!AD112</f>
        <v>0</v>
      </c>
      <c r="AF112">
        <f>セットアップレポート!AE112</f>
        <v>0</v>
      </c>
      <c r="AG112">
        <f>セットアップレポート!AF112</f>
        <v>0</v>
      </c>
      <c r="AH112">
        <f>セットアップレポート!AG112</f>
        <v>0</v>
      </c>
    </row>
    <row r="113" spans="1:34" x14ac:dyDescent="0.45">
      <c r="A113" t="str">
        <f t="shared" si="1"/>
        <v>L2-NPM020019L667244A</v>
      </c>
      <c r="B113" t="str">
        <f>セットアップレポート!A113</f>
        <v>Line-2</v>
      </c>
      <c r="C113" t="str">
        <f>セットアップレポート!B113</f>
        <v>L2-NPM02</v>
      </c>
      <c r="D113" t="str">
        <f>セットアップレポート!C113</f>
        <v>Zone-2-NPMW-2</v>
      </c>
      <c r="E113">
        <f>セットアップレポート!D113</f>
        <v>1</v>
      </c>
      <c r="F113">
        <f>セットアップレポート!E113</f>
        <v>1</v>
      </c>
      <c r="G113" t="str">
        <f>セットアップレポート!F113</f>
        <v>20019L</v>
      </c>
      <c r="H113">
        <f>セットアップレポート!G113</f>
        <v>19</v>
      </c>
      <c r="I113" t="str">
        <f>セットアップレポート!H113</f>
        <v>L</v>
      </c>
      <c r="J113" t="str">
        <f>セットアップレポート!I113</f>
        <v>667244A100685</v>
      </c>
      <c r="K113" t="str">
        <f>セットアップレポート!J113</f>
        <v>667244A</v>
      </c>
      <c r="L113">
        <f>セットアップレポート!K113</f>
        <v>0</v>
      </c>
      <c r="M113">
        <f>セットアップレポート!L113</f>
        <v>0</v>
      </c>
      <c r="N113">
        <f>セットアップレポート!M113</f>
        <v>0</v>
      </c>
      <c r="O113">
        <f>セットアップレポート!N113</f>
        <v>0</v>
      </c>
      <c r="P113" t="str">
        <f>セットアップレポート!O113</f>
        <v>FA0201ACD051052</v>
      </c>
      <c r="Q113">
        <f>セットアップレポート!P113</f>
        <v>5000</v>
      </c>
      <c r="R113">
        <f>セットアップレポート!Q113</f>
        <v>45950.47515046296</v>
      </c>
      <c r="S113">
        <f>セットアップレポート!R113</f>
        <v>0</v>
      </c>
      <c r="T113" t="str">
        <f>セットアップレポート!S113</f>
        <v>Yes</v>
      </c>
      <c r="U113">
        <f>セットアップレポート!T113</f>
        <v>0</v>
      </c>
      <c r="V113" t="str">
        <f>セットアップレポート!U113</f>
        <v>667244A100821</v>
      </c>
      <c r="W113">
        <f>セットアップレポート!V113</f>
        <v>0</v>
      </c>
      <c r="X113">
        <f>セットアップレポート!W113</f>
        <v>0</v>
      </c>
      <c r="Y113">
        <f>セットアップレポート!X113</f>
        <v>0</v>
      </c>
      <c r="Z113">
        <f>セットアップレポート!Y113</f>
        <v>0</v>
      </c>
      <c r="AA113">
        <f>セットアップレポート!Z113</f>
        <v>0</v>
      </c>
      <c r="AB113" t="str">
        <f>セットアップレポート!AA113</f>
        <v>NONE</v>
      </c>
      <c r="AC113">
        <f>セットアップレポート!AB113</f>
        <v>0</v>
      </c>
      <c r="AD113">
        <f>セットアップレポート!AC113</f>
        <v>0</v>
      </c>
      <c r="AE113">
        <f>セットアップレポート!AD113</f>
        <v>0</v>
      </c>
      <c r="AF113">
        <f>セットアップレポート!AE113</f>
        <v>0</v>
      </c>
      <c r="AG113">
        <f>セットアップレポート!AF113</f>
        <v>0</v>
      </c>
      <c r="AH113">
        <f>セットアップレポート!AG113</f>
        <v>0</v>
      </c>
    </row>
    <row r="114" spans="1:34" x14ac:dyDescent="0.45">
      <c r="A114" t="str">
        <f t="shared" si="1"/>
        <v>L2-NPM020020L9000062919</v>
      </c>
      <c r="B114" t="str">
        <f>セットアップレポート!A114</f>
        <v>Line-2</v>
      </c>
      <c r="C114" t="str">
        <f>セットアップレポート!B114</f>
        <v>L2-NPM02</v>
      </c>
      <c r="D114" t="str">
        <f>セットアップレポート!C114</f>
        <v>Zone-2-NPMW-2</v>
      </c>
      <c r="E114">
        <f>セットアップレポート!D114</f>
        <v>1</v>
      </c>
      <c r="F114">
        <f>セットアップレポート!E114</f>
        <v>1</v>
      </c>
      <c r="G114" t="str">
        <f>セットアップレポート!F114</f>
        <v>20020L</v>
      </c>
      <c r="H114">
        <f>セットアップレポート!G114</f>
        <v>20</v>
      </c>
      <c r="I114" t="str">
        <f>セットアップレポート!H114</f>
        <v>L</v>
      </c>
      <c r="J114" t="str">
        <f>セットアップレポート!I114</f>
        <v>9000062919 100042</v>
      </c>
      <c r="K114">
        <f>セットアップレポート!J114</f>
        <v>9000062919</v>
      </c>
      <c r="L114">
        <f>セットアップレポート!K114</f>
        <v>0</v>
      </c>
      <c r="M114">
        <f>セットアップレポート!L114</f>
        <v>0</v>
      </c>
      <c r="N114">
        <f>セットアップレポート!M114</f>
        <v>0</v>
      </c>
      <c r="O114">
        <f>セットアップレポート!N114</f>
        <v>0</v>
      </c>
      <c r="P114" t="str">
        <f>セットアップレポート!O114</f>
        <v>FA0201ACD051257</v>
      </c>
      <c r="Q114">
        <f>セットアップレポート!P114</f>
        <v>10000</v>
      </c>
      <c r="R114">
        <f>セットアップレポート!Q114</f>
        <v>45950.47515046296</v>
      </c>
      <c r="S114">
        <f>セットアップレポート!R114</f>
        <v>0</v>
      </c>
      <c r="T114">
        <f>セットアップレポート!S114</f>
        <v>0</v>
      </c>
      <c r="U114">
        <f>セットアップレポート!T114</f>
        <v>0</v>
      </c>
      <c r="V114">
        <f>セットアップレポート!U114</f>
        <v>0</v>
      </c>
      <c r="W114">
        <f>セットアップレポート!V114</f>
        <v>0</v>
      </c>
      <c r="X114">
        <f>セットアップレポート!W114</f>
        <v>0</v>
      </c>
      <c r="Y114">
        <f>セットアップレポート!X114</f>
        <v>0</v>
      </c>
      <c r="Z114">
        <f>セットアップレポート!Y114</f>
        <v>0</v>
      </c>
      <c r="AA114">
        <f>セットアップレポート!Z114</f>
        <v>0</v>
      </c>
      <c r="AB114" t="str">
        <f>セットアップレポート!AA114</f>
        <v>NONE</v>
      </c>
      <c r="AC114">
        <f>セットアップレポート!AB114</f>
        <v>0</v>
      </c>
      <c r="AD114">
        <f>セットアップレポート!AC114</f>
        <v>0</v>
      </c>
      <c r="AE114">
        <f>セットアップレポート!AD114</f>
        <v>0</v>
      </c>
      <c r="AF114">
        <f>セットアップレポート!AE114</f>
        <v>0</v>
      </c>
      <c r="AG114">
        <f>セットアップレポート!AF114</f>
        <v>0</v>
      </c>
      <c r="AH114">
        <f>セットアップレポート!AG114</f>
        <v>0</v>
      </c>
    </row>
    <row r="115" spans="1:34" x14ac:dyDescent="0.45">
      <c r="A115" t="str">
        <f t="shared" si="1"/>
        <v>L2-NPM020021L9000062641</v>
      </c>
      <c r="B115" t="str">
        <f>セットアップレポート!A115</f>
        <v>Line-2</v>
      </c>
      <c r="C115" t="str">
        <f>セットアップレポート!B115</f>
        <v>L2-NPM02</v>
      </c>
      <c r="D115" t="str">
        <f>セットアップレポート!C115</f>
        <v>Zone-2-NPMW-2</v>
      </c>
      <c r="E115">
        <f>セットアップレポート!D115</f>
        <v>1</v>
      </c>
      <c r="F115">
        <f>セットアップレポート!E115</f>
        <v>1</v>
      </c>
      <c r="G115" t="str">
        <f>セットアップレポート!F115</f>
        <v>20021L</v>
      </c>
      <c r="H115">
        <f>セットアップレポート!G115</f>
        <v>21</v>
      </c>
      <c r="I115" t="str">
        <f>セットアップレポート!H115</f>
        <v>L</v>
      </c>
      <c r="J115" t="str">
        <f>セットアップレポート!I115</f>
        <v>9000062641 100051</v>
      </c>
      <c r="K115">
        <f>セットアップレポート!J115</f>
        <v>9000062641</v>
      </c>
      <c r="L115">
        <f>セットアップレポート!K115</f>
        <v>0</v>
      </c>
      <c r="M115">
        <f>セットアップレポート!L115</f>
        <v>0</v>
      </c>
      <c r="N115">
        <f>セットアップレポート!M115</f>
        <v>0</v>
      </c>
      <c r="O115">
        <f>セットアップレポート!N115</f>
        <v>0</v>
      </c>
      <c r="P115" t="str">
        <f>セットアップレポート!O115</f>
        <v>FA0201ABA002776</v>
      </c>
      <c r="Q115">
        <f>セットアップレポート!P115</f>
        <v>3000</v>
      </c>
      <c r="R115">
        <f>セットアップレポート!Q115</f>
        <v>45950.47515046296</v>
      </c>
      <c r="S115">
        <f>セットアップレポート!R115</f>
        <v>0</v>
      </c>
      <c r="T115">
        <f>セットアップレポート!S115</f>
        <v>0</v>
      </c>
      <c r="U115">
        <f>セットアップレポート!T115</f>
        <v>0</v>
      </c>
      <c r="V115">
        <f>セットアップレポート!U115</f>
        <v>0</v>
      </c>
      <c r="W115">
        <f>セットアップレポート!V115</f>
        <v>0</v>
      </c>
      <c r="X115">
        <f>セットアップレポート!W115</f>
        <v>0</v>
      </c>
      <c r="Y115">
        <f>セットアップレポート!X115</f>
        <v>0</v>
      </c>
      <c r="Z115">
        <f>セットアップレポート!Y115</f>
        <v>0</v>
      </c>
      <c r="AA115">
        <f>セットアップレポート!Z115</f>
        <v>0</v>
      </c>
      <c r="AB115" t="str">
        <f>セットアップレポート!AA115</f>
        <v>NONE</v>
      </c>
      <c r="AC115">
        <f>セットアップレポート!AB115</f>
        <v>0</v>
      </c>
      <c r="AD115">
        <f>セットアップレポート!AC115</f>
        <v>0</v>
      </c>
      <c r="AE115">
        <f>セットアップレポート!AD115</f>
        <v>0</v>
      </c>
      <c r="AF115">
        <f>セットアップレポート!AE115</f>
        <v>0</v>
      </c>
      <c r="AG115">
        <f>セットアップレポート!AF115</f>
        <v>0</v>
      </c>
      <c r="AH115">
        <f>セットアップレポート!AG115</f>
        <v>0</v>
      </c>
    </row>
    <row r="116" spans="1:34" x14ac:dyDescent="0.45">
      <c r="A116" t="str">
        <f t="shared" si="1"/>
        <v>L2-NPM020022L9000066685</v>
      </c>
      <c r="B116" t="str">
        <f>セットアップレポート!A116</f>
        <v>Line-2</v>
      </c>
      <c r="C116" t="str">
        <f>セットアップレポート!B116</f>
        <v>L2-NPM02</v>
      </c>
      <c r="D116" t="str">
        <f>セットアップレポート!C116</f>
        <v>Zone-2-NPMW-2</v>
      </c>
      <c r="E116">
        <f>セットアップレポート!D116</f>
        <v>1</v>
      </c>
      <c r="F116">
        <f>セットアップレポート!E116</f>
        <v>1</v>
      </c>
      <c r="G116" t="str">
        <f>セットアップレポート!F116</f>
        <v>20022L</v>
      </c>
      <c r="H116">
        <f>セットアップレポート!G116</f>
        <v>22</v>
      </c>
      <c r="I116" t="str">
        <f>セットアップレポート!H116</f>
        <v>L</v>
      </c>
      <c r="J116" t="str">
        <f>セットアップレポート!I116</f>
        <v>9000066685 100025</v>
      </c>
      <c r="K116">
        <f>セットアップレポート!J116</f>
        <v>9000066685</v>
      </c>
      <c r="L116">
        <f>セットアップレポート!K116</f>
        <v>0</v>
      </c>
      <c r="M116">
        <f>セットアップレポート!L116</f>
        <v>0</v>
      </c>
      <c r="N116">
        <f>セットアップレポート!M116</f>
        <v>0</v>
      </c>
      <c r="O116">
        <f>セットアップレポート!N116</f>
        <v>0</v>
      </c>
      <c r="P116" t="str">
        <f>セットアップレポート!O116</f>
        <v>FA0201ACD050823</v>
      </c>
      <c r="Q116">
        <f>セットアップレポート!P116</f>
        <v>3000</v>
      </c>
      <c r="R116">
        <f>セットアップレポート!Q116</f>
        <v>45950.47515046296</v>
      </c>
      <c r="S116">
        <f>セットアップレポート!R116</f>
        <v>0</v>
      </c>
      <c r="T116">
        <f>セットアップレポート!S116</f>
        <v>0</v>
      </c>
      <c r="U116">
        <f>セットアップレポート!T116</f>
        <v>0</v>
      </c>
      <c r="V116">
        <f>セットアップレポート!U116</f>
        <v>0</v>
      </c>
      <c r="W116">
        <f>セットアップレポート!V116</f>
        <v>0</v>
      </c>
      <c r="X116">
        <f>セットアップレポート!W116</f>
        <v>0</v>
      </c>
      <c r="Y116">
        <f>セットアップレポート!X116</f>
        <v>0</v>
      </c>
      <c r="Z116">
        <f>セットアップレポート!Y116</f>
        <v>0</v>
      </c>
      <c r="AA116">
        <f>セットアップレポート!Z116</f>
        <v>0</v>
      </c>
      <c r="AB116" t="str">
        <f>セットアップレポート!AA116</f>
        <v>NONE</v>
      </c>
      <c r="AC116">
        <f>セットアップレポート!AB116</f>
        <v>0</v>
      </c>
      <c r="AD116">
        <f>セットアップレポート!AC116</f>
        <v>0</v>
      </c>
      <c r="AE116">
        <f>セットアップレポート!AD116</f>
        <v>0</v>
      </c>
      <c r="AF116">
        <f>セットアップレポート!AE116</f>
        <v>0</v>
      </c>
      <c r="AG116">
        <f>セットアップレポート!AF116</f>
        <v>0</v>
      </c>
      <c r="AH116">
        <f>セットアップレポート!AG116</f>
        <v>0</v>
      </c>
    </row>
    <row r="117" spans="1:34" x14ac:dyDescent="0.45">
      <c r="A117" t="str">
        <f t="shared" si="1"/>
        <v>L2-NPM020023L9000047423</v>
      </c>
      <c r="B117" t="str">
        <f>セットアップレポート!A117</f>
        <v>Line-2</v>
      </c>
      <c r="C117" t="str">
        <f>セットアップレポート!B117</f>
        <v>L2-NPM02</v>
      </c>
      <c r="D117" t="str">
        <f>セットアップレポート!C117</f>
        <v>Zone-2-NPMW-2</v>
      </c>
      <c r="E117">
        <f>セットアップレポート!D117</f>
        <v>1</v>
      </c>
      <c r="F117">
        <f>セットアップレポート!E117</f>
        <v>1</v>
      </c>
      <c r="G117" t="str">
        <f>セットアップレポート!F117</f>
        <v>20023L</v>
      </c>
      <c r="H117">
        <f>セットアップレポート!G117</f>
        <v>23</v>
      </c>
      <c r="I117" t="str">
        <f>セットアップレポート!H117</f>
        <v>L</v>
      </c>
      <c r="J117" t="str">
        <f>セットアップレポート!I117</f>
        <v>9000047423 100253</v>
      </c>
      <c r="K117">
        <f>セットアップレポート!J117</f>
        <v>9000047423</v>
      </c>
      <c r="L117">
        <f>セットアップレポート!K117</f>
        <v>0</v>
      </c>
      <c r="M117">
        <f>セットアップレポート!L117</f>
        <v>0</v>
      </c>
      <c r="N117">
        <f>セットアップレポート!M117</f>
        <v>0</v>
      </c>
      <c r="O117">
        <f>セットアップレポート!N117</f>
        <v>0</v>
      </c>
      <c r="P117" t="str">
        <f>セットアップレポート!O117</f>
        <v>FA0201ACD051420</v>
      </c>
      <c r="Q117">
        <f>セットアップレポート!P117</f>
        <v>3000</v>
      </c>
      <c r="R117">
        <f>セットアップレポート!Q117</f>
        <v>45950.47515046296</v>
      </c>
      <c r="S117">
        <f>セットアップレポート!R117</f>
        <v>0</v>
      </c>
      <c r="T117" t="str">
        <f>セットアップレポート!S117</f>
        <v>Yes</v>
      </c>
      <c r="U117">
        <f>セットアップレポート!T117</f>
        <v>0</v>
      </c>
      <c r="V117" t="str">
        <f>セットアップレポート!U117</f>
        <v>9000047423 100309</v>
      </c>
      <c r="W117">
        <f>セットアップレポート!V117</f>
        <v>0</v>
      </c>
      <c r="X117">
        <f>セットアップレポート!W117</f>
        <v>0</v>
      </c>
      <c r="Y117">
        <f>セットアップレポート!X117</f>
        <v>0</v>
      </c>
      <c r="Z117">
        <f>セットアップレポート!Y117</f>
        <v>0</v>
      </c>
      <c r="AA117">
        <f>セットアップレポート!Z117</f>
        <v>0</v>
      </c>
      <c r="AB117" t="str">
        <f>セットアップレポート!AA117</f>
        <v>NONE</v>
      </c>
      <c r="AC117">
        <f>セットアップレポート!AB117</f>
        <v>0</v>
      </c>
      <c r="AD117">
        <f>セットアップレポート!AC117</f>
        <v>0</v>
      </c>
      <c r="AE117">
        <f>セットアップレポート!AD117</f>
        <v>0</v>
      </c>
      <c r="AF117">
        <f>セットアップレポート!AE117</f>
        <v>0</v>
      </c>
      <c r="AG117">
        <f>セットアップレポート!AF117</f>
        <v>0</v>
      </c>
      <c r="AH117">
        <f>セットアップレポート!AG117</f>
        <v>0</v>
      </c>
    </row>
    <row r="118" spans="1:34" x14ac:dyDescent="0.45">
      <c r="A118" t="str">
        <f t="shared" si="1"/>
        <v>L2-NPM020024L9000058902</v>
      </c>
      <c r="B118" t="str">
        <f>セットアップレポート!A118</f>
        <v>Line-2</v>
      </c>
      <c r="C118" t="str">
        <f>セットアップレポート!B118</f>
        <v>L2-NPM02</v>
      </c>
      <c r="D118" t="str">
        <f>セットアップレポート!C118</f>
        <v>Zone-2-NPMW-2</v>
      </c>
      <c r="E118">
        <f>セットアップレポート!D118</f>
        <v>1</v>
      </c>
      <c r="F118">
        <f>セットアップレポート!E118</f>
        <v>1</v>
      </c>
      <c r="G118" t="str">
        <f>セットアップレポート!F118</f>
        <v>20024L</v>
      </c>
      <c r="H118">
        <f>セットアップレポート!G118</f>
        <v>24</v>
      </c>
      <c r="I118" t="str">
        <f>セットアップレポート!H118</f>
        <v>L</v>
      </c>
      <c r="J118" t="str">
        <f>セットアップレポート!I118</f>
        <v>9000058902 100008</v>
      </c>
      <c r="K118">
        <f>セットアップレポート!J118</f>
        <v>9000058902</v>
      </c>
      <c r="L118">
        <f>セットアップレポート!K118</f>
        <v>0</v>
      </c>
      <c r="M118">
        <f>セットアップレポート!L118</f>
        <v>0</v>
      </c>
      <c r="N118">
        <f>セットアップレポート!M118</f>
        <v>0</v>
      </c>
      <c r="O118">
        <f>セットアップレポート!N118</f>
        <v>0</v>
      </c>
      <c r="P118" t="str">
        <f>セットアップレポート!O118</f>
        <v>FA0201ABA002008</v>
      </c>
      <c r="Q118">
        <f>セットアップレポート!P118</f>
        <v>3000</v>
      </c>
      <c r="R118">
        <f>セットアップレポート!Q118</f>
        <v>45950.47515046296</v>
      </c>
      <c r="S118">
        <f>セットアップレポート!R118</f>
        <v>0</v>
      </c>
      <c r="T118" t="str">
        <f>セットアップレポート!S118</f>
        <v>Yes</v>
      </c>
      <c r="U118">
        <f>セットアップレポート!T118</f>
        <v>0</v>
      </c>
      <c r="V118" t="str">
        <f>セットアップレポート!U118</f>
        <v>9000058902 100013</v>
      </c>
      <c r="W118">
        <f>セットアップレポート!V118</f>
        <v>0</v>
      </c>
      <c r="X118">
        <f>セットアップレポート!W118</f>
        <v>0</v>
      </c>
      <c r="Y118">
        <f>セットアップレポート!X118</f>
        <v>0</v>
      </c>
      <c r="Z118">
        <f>セットアップレポート!Y118</f>
        <v>0</v>
      </c>
      <c r="AA118">
        <f>セットアップレポート!Z118</f>
        <v>0</v>
      </c>
      <c r="AB118" t="str">
        <f>セットアップレポート!AA118</f>
        <v>NONE</v>
      </c>
      <c r="AC118">
        <f>セットアップレポート!AB118</f>
        <v>0</v>
      </c>
      <c r="AD118">
        <f>セットアップレポート!AC118</f>
        <v>0</v>
      </c>
      <c r="AE118">
        <f>セットアップレポート!AD118</f>
        <v>0</v>
      </c>
      <c r="AF118">
        <f>セットアップレポート!AE118</f>
        <v>0</v>
      </c>
      <c r="AG118">
        <f>セットアップレポート!AF118</f>
        <v>0</v>
      </c>
      <c r="AH118">
        <f>セットアップレポート!AG118</f>
        <v>0</v>
      </c>
    </row>
    <row r="119" spans="1:34" x14ac:dyDescent="0.45">
      <c r="A119" t="str">
        <f t="shared" si="1"/>
        <v>L2-NPM020025L9000049546</v>
      </c>
      <c r="B119" t="str">
        <f>セットアップレポート!A119</f>
        <v>Line-2</v>
      </c>
      <c r="C119" t="str">
        <f>セットアップレポート!B119</f>
        <v>L2-NPM02</v>
      </c>
      <c r="D119" t="str">
        <f>セットアップレポート!C119</f>
        <v>Zone-2-NPMW-2</v>
      </c>
      <c r="E119">
        <f>セットアップレポート!D119</f>
        <v>1</v>
      </c>
      <c r="F119">
        <f>セットアップレポート!E119</f>
        <v>1</v>
      </c>
      <c r="G119" t="str">
        <f>セットアップレポート!F119</f>
        <v>20025L</v>
      </c>
      <c r="H119">
        <f>セットアップレポート!G119</f>
        <v>25</v>
      </c>
      <c r="I119" t="str">
        <f>セットアップレポート!H119</f>
        <v>L</v>
      </c>
      <c r="J119" t="str">
        <f>セットアップレポート!I119</f>
        <v>9000049546 100061</v>
      </c>
      <c r="K119">
        <f>セットアップレポート!J119</f>
        <v>9000049546</v>
      </c>
      <c r="L119">
        <f>セットアップレポート!K119</f>
        <v>0</v>
      </c>
      <c r="M119">
        <f>セットアップレポート!L119</f>
        <v>0</v>
      </c>
      <c r="N119">
        <f>セットアップレポート!M119</f>
        <v>0</v>
      </c>
      <c r="O119">
        <f>セットアップレポート!N119</f>
        <v>0</v>
      </c>
      <c r="P119" t="str">
        <f>セットアップレポート!O119</f>
        <v>FA0201ABD000597</v>
      </c>
      <c r="Q119">
        <f>セットアップレポート!P119</f>
        <v>10000</v>
      </c>
      <c r="R119">
        <f>セットアップレポート!Q119</f>
        <v>45950.47515046296</v>
      </c>
      <c r="S119">
        <f>セットアップレポート!R119</f>
        <v>0</v>
      </c>
      <c r="T119">
        <f>セットアップレポート!S119</f>
        <v>0</v>
      </c>
      <c r="U119">
        <f>セットアップレポート!T119</f>
        <v>0</v>
      </c>
      <c r="V119">
        <f>セットアップレポート!U119</f>
        <v>0</v>
      </c>
      <c r="W119">
        <f>セットアップレポート!V119</f>
        <v>0</v>
      </c>
      <c r="X119">
        <f>セットアップレポート!W119</f>
        <v>0</v>
      </c>
      <c r="Y119">
        <f>セットアップレポート!X119</f>
        <v>0</v>
      </c>
      <c r="Z119">
        <f>セットアップレポート!Y119</f>
        <v>0</v>
      </c>
      <c r="AA119">
        <f>セットアップレポート!Z119</f>
        <v>0</v>
      </c>
      <c r="AB119" t="str">
        <f>セットアップレポート!AA119</f>
        <v>NONE</v>
      </c>
      <c r="AC119">
        <f>セットアップレポート!AB119</f>
        <v>0</v>
      </c>
      <c r="AD119">
        <f>セットアップレポート!AC119</f>
        <v>0</v>
      </c>
      <c r="AE119">
        <f>セットアップレポート!AD119</f>
        <v>0</v>
      </c>
      <c r="AF119">
        <f>セットアップレポート!AE119</f>
        <v>0</v>
      </c>
      <c r="AG119">
        <f>セットアップレポート!AF119</f>
        <v>0</v>
      </c>
      <c r="AH119">
        <f>セットアップレポート!AG119</f>
        <v>0</v>
      </c>
    </row>
    <row r="120" spans="1:34" x14ac:dyDescent="0.45">
      <c r="A120" t="str">
        <f t="shared" si="1"/>
        <v>L2-NPM020026L9000040403</v>
      </c>
      <c r="B120" t="str">
        <f>セットアップレポート!A120</f>
        <v>Line-2</v>
      </c>
      <c r="C120" t="str">
        <f>セットアップレポート!B120</f>
        <v>L2-NPM02</v>
      </c>
      <c r="D120" t="str">
        <f>セットアップレポート!C120</f>
        <v>Zone-2-NPMW-2</v>
      </c>
      <c r="E120">
        <f>セットアップレポート!D120</f>
        <v>1</v>
      </c>
      <c r="F120">
        <f>セットアップレポート!E120</f>
        <v>1</v>
      </c>
      <c r="G120" t="str">
        <f>セットアップレポート!F120</f>
        <v>20026L</v>
      </c>
      <c r="H120">
        <f>セットアップレポート!G120</f>
        <v>26</v>
      </c>
      <c r="I120" t="str">
        <f>セットアップレポート!H120</f>
        <v>L</v>
      </c>
      <c r="J120" t="str">
        <f>セットアップレポート!I120</f>
        <v>9000040403 100250</v>
      </c>
      <c r="K120">
        <f>セットアップレポート!J120</f>
        <v>9000040403</v>
      </c>
      <c r="L120">
        <f>セットアップレポート!K120</f>
        <v>0</v>
      </c>
      <c r="M120">
        <f>セットアップレポート!L120</f>
        <v>0</v>
      </c>
      <c r="N120">
        <f>セットアップレポート!M120</f>
        <v>0</v>
      </c>
      <c r="O120">
        <f>セットアップレポート!N120</f>
        <v>0</v>
      </c>
      <c r="P120" t="str">
        <f>セットアップレポート!O120</f>
        <v>FA0201ACD051020</v>
      </c>
      <c r="Q120">
        <f>セットアップレポート!P120</f>
        <v>3000</v>
      </c>
      <c r="R120">
        <f>セットアップレポート!Q120</f>
        <v>45950.47515046296</v>
      </c>
      <c r="S120">
        <f>セットアップレポート!R120</f>
        <v>0</v>
      </c>
      <c r="T120" t="str">
        <f>セットアップレポート!S120</f>
        <v>Yes</v>
      </c>
      <c r="U120">
        <f>セットアップレポート!T120</f>
        <v>0</v>
      </c>
      <c r="V120" t="str">
        <f>セットアップレポート!U120</f>
        <v>9000040403 100277</v>
      </c>
      <c r="W120">
        <f>セットアップレポート!V120</f>
        <v>0</v>
      </c>
      <c r="X120">
        <f>セットアップレポート!W120</f>
        <v>0</v>
      </c>
      <c r="Y120">
        <f>セットアップレポート!X120</f>
        <v>0</v>
      </c>
      <c r="Z120">
        <f>セットアップレポート!Y120</f>
        <v>0</v>
      </c>
      <c r="AA120">
        <f>セットアップレポート!Z120</f>
        <v>0</v>
      </c>
      <c r="AB120" t="str">
        <f>セットアップレポート!AA120</f>
        <v>NONE</v>
      </c>
      <c r="AC120">
        <f>セットアップレポート!AB120</f>
        <v>0</v>
      </c>
      <c r="AD120">
        <f>セットアップレポート!AC120</f>
        <v>0</v>
      </c>
      <c r="AE120">
        <f>セットアップレポート!AD120</f>
        <v>0</v>
      </c>
      <c r="AF120">
        <f>セットアップレポート!AE120</f>
        <v>0</v>
      </c>
      <c r="AG120">
        <f>セットアップレポート!AF120</f>
        <v>0</v>
      </c>
      <c r="AH120">
        <f>セットアップレポート!AG120</f>
        <v>0</v>
      </c>
    </row>
    <row r="121" spans="1:34" x14ac:dyDescent="0.45">
      <c r="A121" t="str">
        <f t="shared" si="1"/>
        <v>L2-NPM020027L9000049234</v>
      </c>
      <c r="B121" t="str">
        <f>セットアップレポート!A121</f>
        <v>Line-2</v>
      </c>
      <c r="C121" t="str">
        <f>セットアップレポート!B121</f>
        <v>L2-NPM02</v>
      </c>
      <c r="D121" t="str">
        <f>セットアップレポート!C121</f>
        <v>Zone-2-NPMW-2</v>
      </c>
      <c r="E121">
        <f>セットアップレポート!D121</f>
        <v>1</v>
      </c>
      <c r="F121">
        <f>セットアップレポート!E121</f>
        <v>1</v>
      </c>
      <c r="G121" t="str">
        <f>セットアップレポート!F121</f>
        <v>20027L</v>
      </c>
      <c r="H121">
        <f>セットアップレポート!G121</f>
        <v>27</v>
      </c>
      <c r="I121" t="str">
        <f>セットアップレポート!H121</f>
        <v>L</v>
      </c>
      <c r="J121" t="str">
        <f>セットアップレポート!I121</f>
        <v>9000049234 100089</v>
      </c>
      <c r="K121">
        <f>セットアップレポート!J121</f>
        <v>9000049234</v>
      </c>
      <c r="L121">
        <f>セットアップレポート!K121</f>
        <v>0</v>
      </c>
      <c r="M121">
        <f>セットアップレポート!L121</f>
        <v>0</v>
      </c>
      <c r="N121">
        <f>セットアップレポート!M121</f>
        <v>0</v>
      </c>
      <c r="O121">
        <f>セットアップレポート!N121</f>
        <v>0</v>
      </c>
      <c r="P121" t="str">
        <f>セットアップレポート!O121</f>
        <v>FA0201ACD049734</v>
      </c>
      <c r="Q121">
        <f>セットアップレポート!P121</f>
        <v>3000</v>
      </c>
      <c r="R121">
        <f>セットアップレポート!Q121</f>
        <v>45950.47515046296</v>
      </c>
      <c r="S121">
        <f>セットアップレポート!R121</f>
        <v>0</v>
      </c>
      <c r="T121">
        <f>セットアップレポート!S121</f>
        <v>0</v>
      </c>
      <c r="U121">
        <f>セットアップレポート!T121</f>
        <v>0</v>
      </c>
      <c r="V121">
        <f>セットアップレポート!U121</f>
        <v>0</v>
      </c>
      <c r="W121">
        <f>セットアップレポート!V121</f>
        <v>0</v>
      </c>
      <c r="X121">
        <f>セットアップレポート!W121</f>
        <v>0</v>
      </c>
      <c r="Y121">
        <f>セットアップレポート!X121</f>
        <v>0</v>
      </c>
      <c r="Z121">
        <f>セットアップレポート!Y121</f>
        <v>0</v>
      </c>
      <c r="AA121">
        <f>セットアップレポート!Z121</f>
        <v>0</v>
      </c>
      <c r="AB121" t="str">
        <f>セットアップレポート!AA121</f>
        <v>NONE</v>
      </c>
      <c r="AC121">
        <f>セットアップレポート!AB121</f>
        <v>0</v>
      </c>
      <c r="AD121">
        <f>セットアップレポート!AC121</f>
        <v>0</v>
      </c>
      <c r="AE121">
        <f>セットアップレポート!AD121</f>
        <v>0</v>
      </c>
      <c r="AF121">
        <f>セットアップレポート!AE121</f>
        <v>0</v>
      </c>
      <c r="AG121">
        <f>セットアップレポート!AF121</f>
        <v>0</v>
      </c>
      <c r="AH121">
        <f>セットアップレポート!AG121</f>
        <v>0</v>
      </c>
    </row>
    <row r="122" spans="1:34" x14ac:dyDescent="0.45">
      <c r="A122" t="str">
        <f t="shared" si="1"/>
        <v>L2-NPM020028L9000000367</v>
      </c>
      <c r="B122" t="str">
        <f>セットアップレポート!A122</f>
        <v>Line-2</v>
      </c>
      <c r="C122" t="str">
        <f>セットアップレポート!B122</f>
        <v>L2-NPM02</v>
      </c>
      <c r="D122" t="str">
        <f>セットアップレポート!C122</f>
        <v>Zone-2-NPMW-2</v>
      </c>
      <c r="E122">
        <f>セットアップレポート!D122</f>
        <v>1</v>
      </c>
      <c r="F122">
        <f>セットアップレポート!E122</f>
        <v>1</v>
      </c>
      <c r="G122" t="str">
        <f>セットアップレポート!F122</f>
        <v>20028L</v>
      </c>
      <c r="H122">
        <f>セットアップレポート!G122</f>
        <v>28</v>
      </c>
      <c r="I122" t="str">
        <f>セットアップレポート!H122</f>
        <v>L</v>
      </c>
      <c r="J122" t="str">
        <f>セットアップレポート!I122</f>
        <v>9000000367 100187</v>
      </c>
      <c r="K122">
        <f>セットアップレポート!J122</f>
        <v>9000000367</v>
      </c>
      <c r="L122">
        <f>セットアップレポート!K122</f>
        <v>0</v>
      </c>
      <c r="M122">
        <f>セットアップレポート!L122</f>
        <v>0</v>
      </c>
      <c r="N122">
        <f>セットアップレポート!M122</f>
        <v>0</v>
      </c>
      <c r="O122">
        <f>セットアップレポート!N122</f>
        <v>0</v>
      </c>
      <c r="P122" t="str">
        <f>セットアップレポート!O122</f>
        <v>FA0201ACD051294</v>
      </c>
      <c r="Q122">
        <f>セットアップレポート!P122</f>
        <v>3000</v>
      </c>
      <c r="R122">
        <f>セットアップレポート!Q122</f>
        <v>45950.47515046296</v>
      </c>
      <c r="S122">
        <f>セットアップレポート!R122</f>
        <v>0</v>
      </c>
      <c r="T122">
        <f>セットアップレポート!S122</f>
        <v>0</v>
      </c>
      <c r="U122">
        <f>セットアップレポート!T122</f>
        <v>0</v>
      </c>
      <c r="V122">
        <f>セットアップレポート!U122</f>
        <v>0</v>
      </c>
      <c r="W122">
        <f>セットアップレポート!V122</f>
        <v>0</v>
      </c>
      <c r="X122">
        <f>セットアップレポート!W122</f>
        <v>0</v>
      </c>
      <c r="Y122">
        <f>セットアップレポート!X122</f>
        <v>0</v>
      </c>
      <c r="Z122">
        <f>セットアップレポート!Y122</f>
        <v>0</v>
      </c>
      <c r="AA122">
        <f>セットアップレポート!Z122</f>
        <v>0</v>
      </c>
      <c r="AB122" t="str">
        <f>セットアップレポート!AA122</f>
        <v>NONE</v>
      </c>
      <c r="AC122">
        <f>セットアップレポート!AB122</f>
        <v>0</v>
      </c>
      <c r="AD122">
        <f>セットアップレポート!AC122</f>
        <v>0</v>
      </c>
      <c r="AE122">
        <f>セットアップレポート!AD122</f>
        <v>0</v>
      </c>
      <c r="AF122">
        <f>セットアップレポート!AE122</f>
        <v>0</v>
      </c>
      <c r="AG122">
        <f>セットアップレポート!AF122</f>
        <v>0</v>
      </c>
      <c r="AH122">
        <f>セットアップレポート!AG122</f>
        <v>0</v>
      </c>
    </row>
    <row r="123" spans="1:34" x14ac:dyDescent="0.45">
      <c r="A123" t="str">
        <f t="shared" si="1"/>
        <v>L2-NPM020029L925055</v>
      </c>
      <c r="B123" t="str">
        <f>セットアップレポート!A123</f>
        <v>Line-2</v>
      </c>
      <c r="C123" t="str">
        <f>セットアップレポート!B123</f>
        <v>L2-NPM02</v>
      </c>
      <c r="D123" t="str">
        <f>セットアップレポート!C123</f>
        <v>Zone-2-NPMW-2</v>
      </c>
      <c r="E123">
        <f>セットアップレポート!D123</f>
        <v>1</v>
      </c>
      <c r="F123">
        <f>セットアップレポート!E123</f>
        <v>1</v>
      </c>
      <c r="G123" t="str">
        <f>セットアップレポート!F123</f>
        <v>20029L</v>
      </c>
      <c r="H123">
        <f>セットアップレポート!G123</f>
        <v>29</v>
      </c>
      <c r="I123" t="str">
        <f>セットアップレポート!H123</f>
        <v>L</v>
      </c>
      <c r="J123" t="str">
        <f>セットアップレポート!I123</f>
        <v>925055 100061</v>
      </c>
      <c r="K123">
        <f>セットアップレポート!J123</f>
        <v>925055</v>
      </c>
      <c r="L123">
        <f>セットアップレポート!K123</f>
        <v>0</v>
      </c>
      <c r="M123">
        <f>セットアップレポート!L123</f>
        <v>0</v>
      </c>
      <c r="N123">
        <f>セットアップレポート!M123</f>
        <v>0</v>
      </c>
      <c r="O123">
        <f>セットアップレポート!N123</f>
        <v>0</v>
      </c>
      <c r="P123" t="str">
        <f>セットアップレポート!O123</f>
        <v>FA0201ACD051089</v>
      </c>
      <c r="Q123">
        <f>セットアップレポート!P123</f>
        <v>3000</v>
      </c>
      <c r="R123">
        <f>セットアップレポート!Q123</f>
        <v>45950.47515046296</v>
      </c>
      <c r="S123">
        <f>セットアップレポート!R123</f>
        <v>0</v>
      </c>
      <c r="T123">
        <f>セットアップレポート!S123</f>
        <v>0</v>
      </c>
      <c r="U123">
        <f>セットアップレポート!T123</f>
        <v>0</v>
      </c>
      <c r="V123">
        <f>セットアップレポート!U123</f>
        <v>0</v>
      </c>
      <c r="W123">
        <f>セットアップレポート!V123</f>
        <v>0</v>
      </c>
      <c r="X123">
        <f>セットアップレポート!W123</f>
        <v>0</v>
      </c>
      <c r="Y123">
        <f>セットアップレポート!X123</f>
        <v>0</v>
      </c>
      <c r="Z123">
        <f>セットアップレポート!Y123</f>
        <v>0</v>
      </c>
      <c r="AA123">
        <f>セットアップレポート!Z123</f>
        <v>0</v>
      </c>
      <c r="AB123" t="str">
        <f>セットアップレポート!AA123</f>
        <v>NONE</v>
      </c>
      <c r="AC123">
        <f>セットアップレポート!AB123</f>
        <v>0</v>
      </c>
      <c r="AD123">
        <f>セットアップレポート!AC123</f>
        <v>0</v>
      </c>
      <c r="AE123">
        <f>セットアップレポート!AD123</f>
        <v>0</v>
      </c>
      <c r="AF123">
        <f>セットアップレポート!AE123</f>
        <v>0</v>
      </c>
      <c r="AG123">
        <f>セットアップレポート!AF123</f>
        <v>0</v>
      </c>
      <c r="AH123">
        <f>セットアップレポート!AG123</f>
        <v>0</v>
      </c>
    </row>
    <row r="124" spans="1:34" x14ac:dyDescent="0.45">
      <c r="A124" t="str">
        <f t="shared" si="1"/>
        <v>L2-NPM020030L9000052792</v>
      </c>
      <c r="B124" t="str">
        <f>セットアップレポート!A124</f>
        <v>Line-2</v>
      </c>
      <c r="C124" t="str">
        <f>セットアップレポート!B124</f>
        <v>L2-NPM02</v>
      </c>
      <c r="D124" t="str">
        <f>セットアップレポート!C124</f>
        <v>Zone-2-NPMW-2</v>
      </c>
      <c r="E124">
        <f>セットアップレポート!D124</f>
        <v>1</v>
      </c>
      <c r="F124">
        <f>セットアップレポート!E124</f>
        <v>1</v>
      </c>
      <c r="G124" t="str">
        <f>セットアップレポート!F124</f>
        <v>20030L</v>
      </c>
      <c r="H124">
        <f>セットアップレポート!G124</f>
        <v>30</v>
      </c>
      <c r="I124" t="str">
        <f>セットアップレポート!H124</f>
        <v>L</v>
      </c>
      <c r="J124" t="str">
        <f>セットアップレポート!I124</f>
        <v>9000052792 100244</v>
      </c>
      <c r="K124">
        <f>セットアップレポート!J124</f>
        <v>9000052792</v>
      </c>
      <c r="L124">
        <f>セットアップレポート!K124</f>
        <v>0</v>
      </c>
      <c r="M124">
        <f>セットアップレポート!L124</f>
        <v>0</v>
      </c>
      <c r="N124">
        <f>セットアップレポート!M124</f>
        <v>0</v>
      </c>
      <c r="O124">
        <f>セットアップレポート!N124</f>
        <v>0</v>
      </c>
      <c r="P124" t="str">
        <f>セットアップレポート!O124</f>
        <v>FA0201ABA002775</v>
      </c>
      <c r="Q124">
        <f>セットアップレポート!P124</f>
        <v>3000</v>
      </c>
      <c r="R124">
        <f>セットアップレポート!Q124</f>
        <v>45950.47515046296</v>
      </c>
      <c r="S124">
        <f>セットアップレポート!R124</f>
        <v>0</v>
      </c>
      <c r="T124">
        <f>セットアップレポート!S124</f>
        <v>0</v>
      </c>
      <c r="U124">
        <f>セットアップレポート!T124</f>
        <v>0</v>
      </c>
      <c r="V124">
        <f>セットアップレポート!U124</f>
        <v>0</v>
      </c>
      <c r="W124">
        <f>セットアップレポート!V124</f>
        <v>0</v>
      </c>
      <c r="X124">
        <f>セットアップレポート!W124</f>
        <v>0</v>
      </c>
      <c r="Y124">
        <f>セットアップレポート!X124</f>
        <v>0</v>
      </c>
      <c r="Z124">
        <f>セットアップレポート!Y124</f>
        <v>0</v>
      </c>
      <c r="AA124">
        <f>セットアップレポート!Z124</f>
        <v>0</v>
      </c>
      <c r="AB124" t="str">
        <f>セットアップレポート!AA124</f>
        <v>NONE</v>
      </c>
      <c r="AC124">
        <f>セットアップレポート!AB124</f>
        <v>0</v>
      </c>
      <c r="AD124">
        <f>セットアップレポート!AC124</f>
        <v>0</v>
      </c>
      <c r="AE124">
        <f>セットアップレポート!AD124</f>
        <v>0</v>
      </c>
      <c r="AF124">
        <f>セットアップレポート!AE124</f>
        <v>0</v>
      </c>
      <c r="AG124">
        <f>セットアップレポート!AF124</f>
        <v>0</v>
      </c>
      <c r="AH124">
        <f>セットアップレポート!AG124</f>
        <v>0</v>
      </c>
    </row>
    <row r="125" spans="1:34" x14ac:dyDescent="0.45">
      <c r="A125" t="str">
        <f t="shared" si="1"/>
        <v>L2-NPM030001L9000063420</v>
      </c>
      <c r="B125" t="str">
        <f>セットアップレポート!A125</f>
        <v>Line-2</v>
      </c>
      <c r="C125" t="str">
        <f>セットアップレポート!B125</f>
        <v>L2-NPM03</v>
      </c>
      <c r="D125" t="str">
        <f>セットアップレポート!C125</f>
        <v>Zone-2-NPMW-3</v>
      </c>
      <c r="E125">
        <f>セットアップレポート!D125</f>
        <v>1</v>
      </c>
      <c r="F125">
        <f>セットアップレポート!E125</f>
        <v>1</v>
      </c>
      <c r="G125" t="str">
        <f>セットアップレポート!F125</f>
        <v>10001L</v>
      </c>
      <c r="H125">
        <f>セットアップレポート!G125</f>
        <v>1</v>
      </c>
      <c r="I125" t="str">
        <f>セットアップレポート!H125</f>
        <v>L</v>
      </c>
      <c r="J125" t="str">
        <f>セットアップレポート!I125</f>
        <v>9000063420 100016</v>
      </c>
      <c r="K125">
        <f>セットアップレポート!J125</f>
        <v>9000063420</v>
      </c>
      <c r="L125">
        <f>セットアップレポート!K125</f>
        <v>0</v>
      </c>
      <c r="M125">
        <f>セットアップレポート!L125</f>
        <v>0</v>
      </c>
      <c r="N125">
        <f>セットアップレポート!M125</f>
        <v>0</v>
      </c>
      <c r="O125">
        <f>セットアップレポート!N125</f>
        <v>0</v>
      </c>
      <c r="P125" t="str">
        <f>セットアップレポート!O125</f>
        <v>FA0220ADF311862</v>
      </c>
      <c r="Q125">
        <f>セットアップレポート!P125</f>
        <v>2000</v>
      </c>
      <c r="R125">
        <f>セットアップレポート!Q125</f>
        <v>45950.474224537036</v>
      </c>
      <c r="S125">
        <f>セットアップレポート!R125</f>
        <v>0</v>
      </c>
      <c r="T125">
        <f>セットアップレポート!S125</f>
        <v>0</v>
      </c>
      <c r="U125">
        <f>セットアップレポート!T125</f>
        <v>0</v>
      </c>
      <c r="V125">
        <f>セットアップレポート!U125</f>
        <v>0</v>
      </c>
      <c r="W125">
        <f>セットアップレポート!V125</f>
        <v>0</v>
      </c>
      <c r="X125">
        <f>セットアップレポート!W125</f>
        <v>0</v>
      </c>
      <c r="Y125">
        <f>セットアップレポート!X125</f>
        <v>0</v>
      </c>
      <c r="Z125">
        <f>セットアップレポート!Y125</f>
        <v>0</v>
      </c>
      <c r="AA125">
        <f>セットアップレポート!Z125</f>
        <v>0</v>
      </c>
      <c r="AB125" t="str">
        <f>セットアップレポート!AA125</f>
        <v>NONE</v>
      </c>
      <c r="AC125">
        <f>セットアップレポート!AB125</f>
        <v>0</v>
      </c>
      <c r="AD125">
        <f>セットアップレポート!AC125</f>
        <v>0</v>
      </c>
      <c r="AE125">
        <f>セットアップレポート!AD125</f>
        <v>0</v>
      </c>
      <c r="AF125">
        <f>セットアップレポート!AE125</f>
        <v>0</v>
      </c>
      <c r="AG125">
        <f>セットアップレポート!AF125</f>
        <v>0</v>
      </c>
      <c r="AH125">
        <f>セットアップレポート!AG125</f>
        <v>0</v>
      </c>
    </row>
    <row r="126" spans="1:34" x14ac:dyDescent="0.45">
      <c r="A126" t="str">
        <f t="shared" si="1"/>
        <v>L2-NPM030002L9000009679A</v>
      </c>
      <c r="B126" t="str">
        <f>セットアップレポート!A126</f>
        <v>Line-2</v>
      </c>
      <c r="C126" t="str">
        <f>セットアップレポート!B126</f>
        <v>L2-NPM03</v>
      </c>
      <c r="D126" t="str">
        <f>セットアップレポート!C126</f>
        <v>Zone-2-NPMW-3</v>
      </c>
      <c r="E126">
        <f>セットアップレポート!D126</f>
        <v>1</v>
      </c>
      <c r="F126">
        <f>セットアップレポート!E126</f>
        <v>1</v>
      </c>
      <c r="G126" t="str">
        <f>セットアップレポート!F126</f>
        <v>10002L</v>
      </c>
      <c r="H126">
        <f>セットアップレポート!G126</f>
        <v>2</v>
      </c>
      <c r="I126" t="str">
        <f>セットアップレポート!H126</f>
        <v>L</v>
      </c>
      <c r="J126" t="str">
        <f>セットアップレポート!I126</f>
        <v>9000009679A100884</v>
      </c>
      <c r="K126" t="str">
        <f>セットアップレポート!J126</f>
        <v>9000009679A</v>
      </c>
      <c r="L126">
        <f>セットアップレポート!K126</f>
        <v>0</v>
      </c>
      <c r="M126">
        <f>セットアップレポート!L126</f>
        <v>0</v>
      </c>
      <c r="N126">
        <f>セットアップレポート!M126</f>
        <v>0</v>
      </c>
      <c r="O126">
        <f>セットアップレポート!N126</f>
        <v>0</v>
      </c>
      <c r="P126" t="str">
        <f>セットアップレポート!O126</f>
        <v>FA0220ADF311636</v>
      </c>
      <c r="Q126">
        <f>セットアップレポート!P126</f>
        <v>2000</v>
      </c>
      <c r="R126">
        <f>セットアップレポート!Q126</f>
        <v>45950.474224537036</v>
      </c>
      <c r="S126">
        <f>セットアップレポート!R126</f>
        <v>0</v>
      </c>
      <c r="T126" t="str">
        <f>セットアップレポート!S126</f>
        <v>Yes</v>
      </c>
      <c r="U126">
        <f>セットアップレポート!T126</f>
        <v>0</v>
      </c>
      <c r="V126" t="str">
        <f>セットアップレポート!U126</f>
        <v>9000009679A100897</v>
      </c>
      <c r="W126">
        <f>セットアップレポート!V126</f>
        <v>0</v>
      </c>
      <c r="X126">
        <f>セットアップレポート!W126</f>
        <v>0</v>
      </c>
      <c r="Y126">
        <f>セットアップレポート!X126</f>
        <v>0</v>
      </c>
      <c r="Z126">
        <f>セットアップレポート!Y126</f>
        <v>0</v>
      </c>
      <c r="AA126">
        <f>セットアップレポート!Z126</f>
        <v>0</v>
      </c>
      <c r="AB126" t="str">
        <f>セットアップレポート!AA126</f>
        <v>NONE</v>
      </c>
      <c r="AC126">
        <f>セットアップレポート!AB126</f>
        <v>0</v>
      </c>
      <c r="AD126">
        <f>セットアップレポート!AC126</f>
        <v>0</v>
      </c>
      <c r="AE126">
        <f>セットアップレポート!AD126</f>
        <v>0</v>
      </c>
      <c r="AF126">
        <f>セットアップレポート!AE126</f>
        <v>0</v>
      </c>
      <c r="AG126">
        <f>セットアップレポート!AF126</f>
        <v>0</v>
      </c>
      <c r="AH126">
        <f>セットアップレポート!AG126</f>
        <v>0</v>
      </c>
    </row>
    <row r="127" spans="1:34" x14ac:dyDescent="0.45">
      <c r="A127" t="str">
        <f t="shared" si="1"/>
        <v>L2-NPM030003L938442</v>
      </c>
      <c r="B127" t="str">
        <f>セットアップレポート!A127</f>
        <v>Line-2</v>
      </c>
      <c r="C127" t="str">
        <f>セットアップレポート!B127</f>
        <v>L2-NPM03</v>
      </c>
      <c r="D127" t="str">
        <f>セットアップレポート!C127</f>
        <v>Zone-2-NPMW-3</v>
      </c>
      <c r="E127">
        <f>セットアップレポート!D127</f>
        <v>1</v>
      </c>
      <c r="F127">
        <f>セットアップレポート!E127</f>
        <v>1</v>
      </c>
      <c r="G127" t="str">
        <f>セットアップレポート!F127</f>
        <v>10003L</v>
      </c>
      <c r="H127">
        <f>セットアップレポート!G127</f>
        <v>3</v>
      </c>
      <c r="I127" t="str">
        <f>セットアップレポート!H127</f>
        <v>L</v>
      </c>
      <c r="J127" t="str">
        <f>セットアップレポート!I127</f>
        <v>938442 100385</v>
      </c>
      <c r="K127">
        <f>セットアップレポート!J127</f>
        <v>938442</v>
      </c>
      <c r="L127">
        <f>セットアップレポート!K127</f>
        <v>0</v>
      </c>
      <c r="M127">
        <f>セットアップレポート!L127</f>
        <v>0</v>
      </c>
      <c r="N127">
        <f>セットアップレポート!M127</f>
        <v>0</v>
      </c>
      <c r="O127">
        <f>セットアップレポート!N127</f>
        <v>0</v>
      </c>
      <c r="P127" t="str">
        <f>セットアップレポート!O127</f>
        <v>FA0220AFA654089</v>
      </c>
      <c r="Q127">
        <f>セットアップレポート!P127</f>
        <v>3000</v>
      </c>
      <c r="R127">
        <f>セットアップレポート!Q127</f>
        <v>45950.474224537036</v>
      </c>
      <c r="S127">
        <f>セットアップレポート!R127</f>
        <v>0</v>
      </c>
      <c r="T127">
        <f>セットアップレポート!S127</f>
        <v>0</v>
      </c>
      <c r="U127">
        <f>セットアップレポート!T127</f>
        <v>0</v>
      </c>
      <c r="V127">
        <f>セットアップレポート!U127</f>
        <v>0</v>
      </c>
      <c r="W127">
        <f>セットアップレポート!V127</f>
        <v>0</v>
      </c>
      <c r="X127">
        <f>セットアップレポート!W127</f>
        <v>0</v>
      </c>
      <c r="Y127">
        <f>セットアップレポート!X127</f>
        <v>0</v>
      </c>
      <c r="Z127">
        <f>セットアップレポート!Y127</f>
        <v>0</v>
      </c>
      <c r="AA127">
        <f>セットアップレポート!Z127</f>
        <v>0</v>
      </c>
      <c r="AB127" t="str">
        <f>セットアップレポート!AA127</f>
        <v>NONE</v>
      </c>
      <c r="AC127">
        <f>セットアップレポート!AB127</f>
        <v>0</v>
      </c>
      <c r="AD127">
        <f>セットアップレポート!AC127</f>
        <v>0</v>
      </c>
      <c r="AE127">
        <f>セットアップレポート!AD127</f>
        <v>0</v>
      </c>
      <c r="AF127">
        <f>セットアップレポート!AE127</f>
        <v>0</v>
      </c>
      <c r="AG127">
        <f>セットアップレポート!AF127</f>
        <v>0</v>
      </c>
      <c r="AH127">
        <f>セットアップレポート!AG127</f>
        <v>0</v>
      </c>
    </row>
    <row r="128" spans="1:34" x14ac:dyDescent="0.45">
      <c r="A128" t="str">
        <f t="shared" si="1"/>
        <v>L2-NPM030004L9000063454</v>
      </c>
      <c r="B128" t="str">
        <f>セットアップレポート!A128</f>
        <v>Line-2</v>
      </c>
      <c r="C128" t="str">
        <f>セットアップレポート!B128</f>
        <v>L2-NPM03</v>
      </c>
      <c r="D128" t="str">
        <f>セットアップレポート!C128</f>
        <v>Zone-2-NPMW-3</v>
      </c>
      <c r="E128">
        <f>セットアップレポート!D128</f>
        <v>1</v>
      </c>
      <c r="F128">
        <f>セットアップレポート!E128</f>
        <v>1</v>
      </c>
      <c r="G128" t="str">
        <f>セットアップレポート!F128</f>
        <v>10004L</v>
      </c>
      <c r="H128">
        <f>セットアップレポート!G128</f>
        <v>4</v>
      </c>
      <c r="I128" t="str">
        <f>セットアップレポート!H128</f>
        <v>L</v>
      </c>
      <c r="J128" t="str">
        <f>セットアップレポート!I128</f>
        <v>9000063454 100015</v>
      </c>
      <c r="K128">
        <f>セットアップレポート!J128</f>
        <v>9000063454</v>
      </c>
      <c r="L128">
        <f>セットアップレポート!K128</f>
        <v>0</v>
      </c>
      <c r="M128">
        <f>セットアップレポート!L128</f>
        <v>0</v>
      </c>
      <c r="N128">
        <f>セットアップレポート!M128</f>
        <v>0</v>
      </c>
      <c r="O128">
        <f>セットアップレポート!N128</f>
        <v>0</v>
      </c>
      <c r="P128" t="str">
        <f>セットアップレポート!O128</f>
        <v>FA0220ADF311627</v>
      </c>
      <c r="Q128">
        <f>セットアップレポート!P128</f>
        <v>2500</v>
      </c>
      <c r="R128">
        <f>セットアップレポート!Q128</f>
        <v>45950.474224537036</v>
      </c>
      <c r="S128">
        <f>セットアップレポート!R128</f>
        <v>0</v>
      </c>
      <c r="T128" t="str">
        <f>セットアップレポート!S128</f>
        <v>Yes</v>
      </c>
      <c r="U128">
        <f>セットアップレポート!T128</f>
        <v>0</v>
      </c>
      <c r="V128" t="str">
        <f>セットアップレポート!U128</f>
        <v>9000063454 100016</v>
      </c>
      <c r="W128">
        <f>セットアップレポート!V128</f>
        <v>0</v>
      </c>
      <c r="X128">
        <f>セットアップレポート!W128</f>
        <v>0</v>
      </c>
      <c r="Y128">
        <f>セットアップレポート!X128</f>
        <v>0</v>
      </c>
      <c r="Z128">
        <f>セットアップレポート!Y128</f>
        <v>0</v>
      </c>
      <c r="AA128">
        <f>セットアップレポート!Z128</f>
        <v>0</v>
      </c>
      <c r="AB128" t="str">
        <f>セットアップレポート!AA128</f>
        <v>NONE</v>
      </c>
      <c r="AC128">
        <f>セットアップレポート!AB128</f>
        <v>0</v>
      </c>
      <c r="AD128">
        <f>セットアップレポート!AC128</f>
        <v>0</v>
      </c>
      <c r="AE128">
        <f>セットアップレポート!AD128</f>
        <v>0</v>
      </c>
      <c r="AF128">
        <f>セットアップレポート!AE128</f>
        <v>0</v>
      </c>
      <c r="AG128">
        <f>セットアップレポート!AF128</f>
        <v>0</v>
      </c>
      <c r="AH128">
        <f>セットアップレポート!AG128</f>
        <v>0</v>
      </c>
    </row>
    <row r="129" spans="1:34" x14ac:dyDescent="0.45">
      <c r="A129" t="str">
        <f t="shared" si="1"/>
        <v>L2-NPM030005L9000070749</v>
      </c>
      <c r="B129" t="str">
        <f>セットアップレポート!A129</f>
        <v>Line-2</v>
      </c>
      <c r="C129" t="str">
        <f>セットアップレポート!B129</f>
        <v>L2-NPM03</v>
      </c>
      <c r="D129" t="str">
        <f>セットアップレポート!C129</f>
        <v>Zone-2-NPMW-3</v>
      </c>
      <c r="E129">
        <f>セットアップレポート!D129</f>
        <v>1</v>
      </c>
      <c r="F129">
        <f>セットアップレポート!E129</f>
        <v>1</v>
      </c>
      <c r="G129" t="str">
        <f>セットアップレポート!F129</f>
        <v>10005L</v>
      </c>
      <c r="H129">
        <f>セットアップレポート!G129</f>
        <v>5</v>
      </c>
      <c r="I129" t="str">
        <f>セットアップレポート!H129</f>
        <v>L</v>
      </c>
      <c r="J129" t="str">
        <f>セットアップレポート!I129</f>
        <v>9000070749 100003</v>
      </c>
      <c r="K129">
        <f>セットアップレポート!J129</f>
        <v>9000070749</v>
      </c>
      <c r="L129">
        <f>セットアップレポート!K129</f>
        <v>0</v>
      </c>
      <c r="M129">
        <f>セットアップレポート!L129</f>
        <v>0</v>
      </c>
      <c r="N129">
        <f>セットアップレポート!M129</f>
        <v>0</v>
      </c>
      <c r="O129">
        <f>セットアップレポート!N129</f>
        <v>0</v>
      </c>
      <c r="P129" t="str">
        <f>セットアップレポート!O129</f>
        <v>FA0220ACH328575</v>
      </c>
      <c r="Q129">
        <f>セットアップレポート!P129</f>
        <v>2000</v>
      </c>
      <c r="R129">
        <f>セットアップレポート!Q129</f>
        <v>45950.474224537036</v>
      </c>
      <c r="S129">
        <f>セットアップレポート!R129</f>
        <v>0</v>
      </c>
      <c r="T129">
        <f>セットアップレポート!S129</f>
        <v>0</v>
      </c>
      <c r="U129">
        <f>セットアップレポート!T129</f>
        <v>0</v>
      </c>
      <c r="V129">
        <f>セットアップレポート!U129</f>
        <v>0</v>
      </c>
      <c r="W129">
        <f>セットアップレポート!V129</f>
        <v>0</v>
      </c>
      <c r="X129">
        <f>セットアップレポート!W129</f>
        <v>0</v>
      </c>
      <c r="Y129">
        <f>セットアップレポート!X129</f>
        <v>0</v>
      </c>
      <c r="Z129">
        <f>セットアップレポート!Y129</f>
        <v>0</v>
      </c>
      <c r="AA129">
        <f>セットアップレポート!Z129</f>
        <v>0</v>
      </c>
      <c r="AB129" t="str">
        <f>セットアップレポート!AA129</f>
        <v>NONE</v>
      </c>
      <c r="AC129">
        <f>セットアップレポート!AB129</f>
        <v>0</v>
      </c>
      <c r="AD129">
        <f>セットアップレポート!AC129</f>
        <v>0</v>
      </c>
      <c r="AE129">
        <f>セットアップレポート!AD129</f>
        <v>0</v>
      </c>
      <c r="AF129">
        <f>セットアップレポート!AE129</f>
        <v>0</v>
      </c>
      <c r="AG129">
        <f>セットアップレポート!AF129</f>
        <v>0</v>
      </c>
      <c r="AH129">
        <f>セットアップレポート!AG129</f>
        <v>0</v>
      </c>
    </row>
    <row r="130" spans="1:34" x14ac:dyDescent="0.45">
      <c r="A130" t="str">
        <f t="shared" si="1"/>
        <v>L2-NPM030006L676724A</v>
      </c>
      <c r="B130" t="str">
        <f>セットアップレポート!A130</f>
        <v>Line-2</v>
      </c>
      <c r="C130" t="str">
        <f>セットアップレポート!B130</f>
        <v>L2-NPM03</v>
      </c>
      <c r="D130" t="str">
        <f>セットアップレポート!C130</f>
        <v>Zone-2-NPMW-3</v>
      </c>
      <c r="E130">
        <f>セットアップレポート!D130</f>
        <v>1</v>
      </c>
      <c r="F130">
        <f>セットアップレポート!E130</f>
        <v>1</v>
      </c>
      <c r="G130" t="str">
        <f>セットアップレポート!F130</f>
        <v>10006L</v>
      </c>
      <c r="H130">
        <f>セットアップレポート!G130</f>
        <v>6</v>
      </c>
      <c r="I130" t="str">
        <f>セットアップレポート!H130</f>
        <v>L</v>
      </c>
      <c r="J130" t="str">
        <f>セットアップレポート!I130</f>
        <v>676724A100138</v>
      </c>
      <c r="K130" t="str">
        <f>セットアップレポート!J130</f>
        <v>676724A</v>
      </c>
      <c r="L130">
        <f>セットアップレポート!K130</f>
        <v>0</v>
      </c>
      <c r="M130">
        <f>セットアップレポート!L130</f>
        <v>0</v>
      </c>
      <c r="N130">
        <f>セットアップレポート!M130</f>
        <v>0</v>
      </c>
      <c r="O130">
        <f>セットアップレポート!N130</f>
        <v>0</v>
      </c>
      <c r="P130" t="str">
        <f>セットアップレポート!O130</f>
        <v>FA0201ACD051178</v>
      </c>
      <c r="Q130">
        <f>セットアップレポート!P130</f>
        <v>3000</v>
      </c>
      <c r="R130">
        <f>セットアップレポート!Q130</f>
        <v>45950.474224537036</v>
      </c>
      <c r="S130">
        <f>セットアップレポート!R130</f>
        <v>0</v>
      </c>
      <c r="T130" t="str">
        <f>セットアップレポート!S130</f>
        <v>Yes</v>
      </c>
      <c r="U130">
        <f>セットアップレポート!T130</f>
        <v>0</v>
      </c>
      <c r="V130" t="str">
        <f>セットアップレポート!U130</f>
        <v>676724A100145</v>
      </c>
      <c r="W130">
        <f>セットアップレポート!V130</f>
        <v>0</v>
      </c>
      <c r="X130">
        <f>セットアップレポート!W130</f>
        <v>0</v>
      </c>
      <c r="Y130">
        <f>セットアップレポート!X130</f>
        <v>0</v>
      </c>
      <c r="Z130">
        <f>セットアップレポート!Y130</f>
        <v>0</v>
      </c>
      <c r="AA130">
        <f>セットアップレポート!Z130</f>
        <v>0</v>
      </c>
      <c r="AB130" t="str">
        <f>セットアップレポート!AA130</f>
        <v>NONE</v>
      </c>
      <c r="AC130">
        <f>セットアップレポート!AB130</f>
        <v>0</v>
      </c>
      <c r="AD130">
        <f>セットアップレポート!AC130</f>
        <v>0</v>
      </c>
      <c r="AE130">
        <f>セットアップレポート!AD130</f>
        <v>0</v>
      </c>
      <c r="AF130">
        <f>セットアップレポート!AE130</f>
        <v>0</v>
      </c>
      <c r="AG130">
        <f>セットアップレポート!AF130</f>
        <v>0</v>
      </c>
      <c r="AH130">
        <f>セットアップレポート!AG130</f>
        <v>0</v>
      </c>
    </row>
    <row r="131" spans="1:34" x14ac:dyDescent="0.45">
      <c r="A131" t="str">
        <f t="shared" ref="A131:A194" si="2">C131&amp;RIGHT(G131,5)&amp;K131</f>
        <v>L2-NPM030007L9000066813</v>
      </c>
      <c r="B131" t="str">
        <f>セットアップレポート!A131</f>
        <v>Line-2</v>
      </c>
      <c r="C131" t="str">
        <f>セットアップレポート!B131</f>
        <v>L2-NPM03</v>
      </c>
      <c r="D131" t="str">
        <f>セットアップレポート!C131</f>
        <v>Zone-2-NPMW-3</v>
      </c>
      <c r="E131">
        <f>セットアップレポート!D131</f>
        <v>1</v>
      </c>
      <c r="F131">
        <f>セットアップレポート!E131</f>
        <v>1</v>
      </c>
      <c r="G131" t="str">
        <f>セットアップレポート!F131</f>
        <v>10007L</v>
      </c>
      <c r="H131">
        <f>セットアップレポート!G131</f>
        <v>7</v>
      </c>
      <c r="I131" t="str">
        <f>セットアップレポート!H131</f>
        <v>L</v>
      </c>
      <c r="J131" t="str">
        <f>セットアップレポート!I131</f>
        <v>9000066813 100084</v>
      </c>
      <c r="K131">
        <f>セットアップレポート!J131</f>
        <v>9000066813</v>
      </c>
      <c r="L131">
        <f>セットアップレポート!K131</f>
        <v>0</v>
      </c>
      <c r="M131">
        <f>セットアップレポート!L131</f>
        <v>0</v>
      </c>
      <c r="N131">
        <f>セットアップレポート!M131</f>
        <v>0</v>
      </c>
      <c r="O131">
        <f>セットアップレポート!N131</f>
        <v>0</v>
      </c>
      <c r="P131" t="str">
        <f>セットアップレポート!O131</f>
        <v>FA0201ACD051196</v>
      </c>
      <c r="Q131">
        <f>セットアップレポート!P131</f>
        <v>2000</v>
      </c>
      <c r="R131">
        <f>セットアップレポート!Q131</f>
        <v>45950.474224537036</v>
      </c>
      <c r="S131">
        <f>セットアップレポート!R131</f>
        <v>0</v>
      </c>
      <c r="T131">
        <f>セットアップレポート!S131</f>
        <v>0</v>
      </c>
      <c r="U131">
        <f>セットアップレポート!T131</f>
        <v>0</v>
      </c>
      <c r="V131">
        <f>セットアップレポート!U131</f>
        <v>0</v>
      </c>
      <c r="W131">
        <f>セットアップレポート!V131</f>
        <v>0</v>
      </c>
      <c r="X131">
        <f>セットアップレポート!W131</f>
        <v>0</v>
      </c>
      <c r="Y131">
        <f>セットアップレポート!X131</f>
        <v>0</v>
      </c>
      <c r="Z131">
        <f>セットアップレポート!Y131</f>
        <v>0</v>
      </c>
      <c r="AA131">
        <f>セットアップレポート!Z131</f>
        <v>0</v>
      </c>
      <c r="AB131" t="str">
        <f>セットアップレポート!AA131</f>
        <v>NONE</v>
      </c>
      <c r="AC131">
        <f>セットアップレポート!AB131</f>
        <v>0</v>
      </c>
      <c r="AD131">
        <f>セットアップレポート!AC131</f>
        <v>0</v>
      </c>
      <c r="AE131">
        <f>セットアップレポート!AD131</f>
        <v>0</v>
      </c>
      <c r="AF131">
        <f>セットアップレポート!AE131</f>
        <v>0</v>
      </c>
      <c r="AG131">
        <f>セットアップレポート!AF131</f>
        <v>0</v>
      </c>
      <c r="AH131">
        <f>セットアップレポート!AG131</f>
        <v>0</v>
      </c>
    </row>
    <row r="132" spans="1:34" x14ac:dyDescent="0.45">
      <c r="A132" t="str">
        <f t="shared" si="2"/>
        <v>L2-NPM030008L724138</v>
      </c>
      <c r="B132" t="str">
        <f>セットアップレポート!A132</f>
        <v>Line-2</v>
      </c>
      <c r="C132" t="str">
        <f>セットアップレポート!B132</f>
        <v>L2-NPM03</v>
      </c>
      <c r="D132" t="str">
        <f>セットアップレポート!C132</f>
        <v>Zone-2-NPMW-3</v>
      </c>
      <c r="E132">
        <f>セットアップレポート!D132</f>
        <v>1</v>
      </c>
      <c r="F132">
        <f>セットアップレポート!E132</f>
        <v>1</v>
      </c>
      <c r="G132" t="str">
        <f>セットアップレポート!F132</f>
        <v>10008L</v>
      </c>
      <c r="H132">
        <f>セットアップレポート!G132</f>
        <v>8</v>
      </c>
      <c r="I132" t="str">
        <f>セットアップレポート!H132</f>
        <v>L</v>
      </c>
      <c r="J132" t="str">
        <f>セットアップレポート!I132</f>
        <v>724138 100168</v>
      </c>
      <c r="K132">
        <f>セットアップレポート!J132</f>
        <v>724138</v>
      </c>
      <c r="L132">
        <f>セットアップレポート!K132</f>
        <v>0</v>
      </c>
      <c r="M132">
        <f>セットアップレポート!L132</f>
        <v>0</v>
      </c>
      <c r="N132">
        <f>セットアップレポート!M132</f>
        <v>0</v>
      </c>
      <c r="O132">
        <f>セットアップレポート!N132</f>
        <v>0</v>
      </c>
      <c r="P132" t="str">
        <f>セットアップレポート!O132</f>
        <v>FA0201ACD051350</v>
      </c>
      <c r="Q132">
        <f>セットアップレポート!P132</f>
        <v>3000</v>
      </c>
      <c r="R132">
        <f>セットアップレポート!Q132</f>
        <v>45950.474224537036</v>
      </c>
      <c r="S132">
        <f>セットアップレポート!R132</f>
        <v>0</v>
      </c>
      <c r="T132">
        <f>セットアップレポート!S132</f>
        <v>0</v>
      </c>
      <c r="U132">
        <f>セットアップレポート!T132</f>
        <v>0</v>
      </c>
      <c r="V132">
        <f>セットアップレポート!U132</f>
        <v>0</v>
      </c>
      <c r="W132">
        <f>セットアップレポート!V132</f>
        <v>0</v>
      </c>
      <c r="X132">
        <f>セットアップレポート!W132</f>
        <v>0</v>
      </c>
      <c r="Y132">
        <f>セットアップレポート!X132</f>
        <v>0</v>
      </c>
      <c r="Z132">
        <f>セットアップレポート!Y132</f>
        <v>0</v>
      </c>
      <c r="AA132">
        <f>セットアップレポート!Z132</f>
        <v>0</v>
      </c>
      <c r="AB132" t="str">
        <f>セットアップレポート!AA132</f>
        <v>NONE</v>
      </c>
      <c r="AC132">
        <f>セットアップレポート!AB132</f>
        <v>0</v>
      </c>
      <c r="AD132">
        <f>セットアップレポート!AC132</f>
        <v>0</v>
      </c>
      <c r="AE132">
        <f>セットアップレポート!AD132</f>
        <v>0</v>
      </c>
      <c r="AF132">
        <f>セットアップレポート!AE132</f>
        <v>0</v>
      </c>
      <c r="AG132">
        <f>セットアップレポート!AF132</f>
        <v>0</v>
      </c>
      <c r="AH132">
        <f>セットアップレポート!AG132</f>
        <v>0</v>
      </c>
    </row>
    <row r="133" spans="1:34" x14ac:dyDescent="0.45">
      <c r="A133" t="str">
        <f t="shared" si="2"/>
        <v>L2-NPM030009L9000057869</v>
      </c>
      <c r="B133" t="str">
        <f>セットアップレポート!A133</f>
        <v>Line-2</v>
      </c>
      <c r="C133" t="str">
        <f>セットアップレポート!B133</f>
        <v>L2-NPM03</v>
      </c>
      <c r="D133" t="str">
        <f>セットアップレポート!C133</f>
        <v>Zone-2-NPMW-3</v>
      </c>
      <c r="E133">
        <f>セットアップレポート!D133</f>
        <v>1</v>
      </c>
      <c r="F133">
        <f>セットアップレポート!E133</f>
        <v>1</v>
      </c>
      <c r="G133" t="str">
        <f>セットアップレポート!F133</f>
        <v>10009L</v>
      </c>
      <c r="H133">
        <f>セットアップレポート!G133</f>
        <v>9</v>
      </c>
      <c r="I133" t="str">
        <f>セットアップレポート!H133</f>
        <v>L</v>
      </c>
      <c r="J133" t="str">
        <f>セットアップレポート!I133</f>
        <v>9000057869 100502</v>
      </c>
      <c r="K133">
        <f>セットアップレポート!J133</f>
        <v>9000057869</v>
      </c>
      <c r="L133">
        <f>セットアップレポート!K133</f>
        <v>0</v>
      </c>
      <c r="M133">
        <f>セットアップレポート!L133</f>
        <v>0</v>
      </c>
      <c r="N133">
        <f>セットアップレポート!M133</f>
        <v>0</v>
      </c>
      <c r="O133">
        <f>セットアップレポート!N133</f>
        <v>0</v>
      </c>
      <c r="P133" t="str">
        <f>セットアップレポート!O133</f>
        <v>FA0201ACD051482</v>
      </c>
      <c r="Q133">
        <f>セットアップレポート!P133</f>
        <v>3000</v>
      </c>
      <c r="R133">
        <f>セットアップレポート!Q133</f>
        <v>45950.474224537036</v>
      </c>
      <c r="S133">
        <f>セットアップレポート!R133</f>
        <v>0</v>
      </c>
      <c r="T133" t="str">
        <f>セットアップレポート!S133</f>
        <v>Yes</v>
      </c>
      <c r="U133">
        <f>セットアップレポート!T133</f>
        <v>0</v>
      </c>
      <c r="V133" t="str">
        <f>セットアップレポート!U133</f>
        <v>9000057869 100720</v>
      </c>
      <c r="W133">
        <f>セットアップレポート!V133</f>
        <v>0</v>
      </c>
      <c r="X133">
        <f>セットアップレポート!W133</f>
        <v>0</v>
      </c>
      <c r="Y133">
        <f>セットアップレポート!X133</f>
        <v>0</v>
      </c>
      <c r="Z133">
        <f>セットアップレポート!Y133</f>
        <v>0</v>
      </c>
      <c r="AA133">
        <f>セットアップレポート!Z133</f>
        <v>0</v>
      </c>
      <c r="AB133" t="str">
        <f>セットアップレポート!AA133</f>
        <v>NONE</v>
      </c>
      <c r="AC133">
        <f>セットアップレポート!AB133</f>
        <v>0</v>
      </c>
      <c r="AD133">
        <f>セットアップレポート!AC133</f>
        <v>0</v>
      </c>
      <c r="AE133">
        <f>セットアップレポート!AD133</f>
        <v>0</v>
      </c>
      <c r="AF133">
        <f>セットアップレポート!AE133</f>
        <v>0</v>
      </c>
      <c r="AG133">
        <f>セットアップレポート!AF133</f>
        <v>0</v>
      </c>
      <c r="AH133">
        <f>セットアップレポート!AG133</f>
        <v>0</v>
      </c>
    </row>
    <row r="134" spans="1:34" x14ac:dyDescent="0.45">
      <c r="A134" t="str">
        <f t="shared" si="2"/>
        <v>L2-NPM030010L9000067211</v>
      </c>
      <c r="B134" t="str">
        <f>セットアップレポート!A134</f>
        <v>Line-2</v>
      </c>
      <c r="C134" t="str">
        <f>セットアップレポート!B134</f>
        <v>L2-NPM03</v>
      </c>
      <c r="D134" t="str">
        <f>セットアップレポート!C134</f>
        <v>Zone-2-NPMW-3</v>
      </c>
      <c r="E134">
        <f>セットアップレポート!D134</f>
        <v>1</v>
      </c>
      <c r="F134">
        <f>セットアップレポート!E134</f>
        <v>1</v>
      </c>
      <c r="G134" t="str">
        <f>セットアップレポート!F134</f>
        <v>10010L</v>
      </c>
      <c r="H134">
        <f>セットアップレポート!G134</f>
        <v>10</v>
      </c>
      <c r="I134" t="str">
        <f>セットアップレポート!H134</f>
        <v>L</v>
      </c>
      <c r="J134" t="str">
        <f>セットアップレポート!I134</f>
        <v>9000067211 100038</v>
      </c>
      <c r="K134">
        <f>セットアップレポート!J134</f>
        <v>9000067211</v>
      </c>
      <c r="L134">
        <f>セットアップレポート!K134</f>
        <v>0</v>
      </c>
      <c r="M134">
        <f>セットアップレポート!L134</f>
        <v>0</v>
      </c>
      <c r="N134">
        <f>セットアップレポート!M134</f>
        <v>0</v>
      </c>
      <c r="O134">
        <f>セットアップレポート!N134</f>
        <v>0</v>
      </c>
      <c r="P134" t="str">
        <f>セットアップレポート!O134</f>
        <v>FA0201ACD050190</v>
      </c>
      <c r="Q134">
        <f>セットアップレポート!P134</f>
        <v>2000</v>
      </c>
      <c r="R134">
        <f>セットアップレポート!Q134</f>
        <v>45950.474224537036</v>
      </c>
      <c r="S134">
        <f>セットアップレポート!R134</f>
        <v>0</v>
      </c>
      <c r="T134" t="str">
        <f>セットアップレポート!S134</f>
        <v>Yes</v>
      </c>
      <c r="U134">
        <f>セットアップレポート!T134</f>
        <v>0</v>
      </c>
      <c r="V134" t="str">
        <f>セットアップレポート!U134</f>
        <v>9000067211 100064</v>
      </c>
      <c r="W134">
        <f>セットアップレポート!V134</f>
        <v>0</v>
      </c>
      <c r="X134">
        <f>セットアップレポート!W134</f>
        <v>0</v>
      </c>
      <c r="Y134">
        <f>セットアップレポート!X134</f>
        <v>0</v>
      </c>
      <c r="Z134">
        <f>セットアップレポート!Y134</f>
        <v>0</v>
      </c>
      <c r="AA134">
        <f>セットアップレポート!Z134</f>
        <v>0</v>
      </c>
      <c r="AB134" t="str">
        <f>セットアップレポート!AA134</f>
        <v>NONE</v>
      </c>
      <c r="AC134">
        <f>セットアップレポート!AB134</f>
        <v>0</v>
      </c>
      <c r="AD134">
        <f>セットアップレポート!AC134</f>
        <v>0</v>
      </c>
      <c r="AE134">
        <f>セットアップレポート!AD134</f>
        <v>0</v>
      </c>
      <c r="AF134">
        <f>セットアップレポート!AE134</f>
        <v>0</v>
      </c>
      <c r="AG134">
        <f>セットアップレポート!AF134</f>
        <v>0</v>
      </c>
      <c r="AH134">
        <f>セットアップレポート!AG134</f>
        <v>0</v>
      </c>
    </row>
    <row r="135" spans="1:34" x14ac:dyDescent="0.45">
      <c r="A135" t="str">
        <f t="shared" si="2"/>
        <v>L2-NPM030011L9000070426</v>
      </c>
      <c r="B135" t="str">
        <f>セットアップレポート!A135</f>
        <v>Line-2</v>
      </c>
      <c r="C135" t="str">
        <f>セットアップレポート!B135</f>
        <v>L2-NPM03</v>
      </c>
      <c r="D135" t="str">
        <f>セットアップレポート!C135</f>
        <v>Zone-2-NPMW-3</v>
      </c>
      <c r="E135">
        <f>セットアップレポート!D135</f>
        <v>1</v>
      </c>
      <c r="F135">
        <f>セットアップレポート!E135</f>
        <v>1</v>
      </c>
      <c r="G135" t="str">
        <f>セットアップレポート!F135</f>
        <v>10011L</v>
      </c>
      <c r="H135">
        <f>セットアップレポート!G135</f>
        <v>11</v>
      </c>
      <c r="I135" t="str">
        <f>セットアップレポート!H135</f>
        <v>L</v>
      </c>
      <c r="J135" t="str">
        <f>セットアップレポート!I135</f>
        <v>9000070426 100001</v>
      </c>
      <c r="K135">
        <f>セットアップレポート!J135</f>
        <v>9000070426</v>
      </c>
      <c r="L135">
        <f>セットアップレポート!K135</f>
        <v>0</v>
      </c>
      <c r="M135">
        <f>セットアップレポート!L135</f>
        <v>0</v>
      </c>
      <c r="N135">
        <f>セットアップレポート!M135</f>
        <v>0</v>
      </c>
      <c r="O135">
        <f>セットアップレポート!N135</f>
        <v>0</v>
      </c>
      <c r="P135" t="str">
        <f>セットアップレポート!O135</f>
        <v>FA0201ABD000368</v>
      </c>
      <c r="Q135">
        <f>セットアップレポート!P135</f>
        <v>4000</v>
      </c>
      <c r="R135">
        <f>セットアップレポート!Q135</f>
        <v>45950.474236111113</v>
      </c>
      <c r="S135">
        <f>セットアップレポート!R135</f>
        <v>0</v>
      </c>
      <c r="T135">
        <f>セットアップレポート!S135</f>
        <v>0</v>
      </c>
      <c r="U135">
        <f>セットアップレポート!T135</f>
        <v>0</v>
      </c>
      <c r="V135">
        <f>セットアップレポート!U135</f>
        <v>0</v>
      </c>
      <c r="W135">
        <f>セットアップレポート!V135</f>
        <v>0</v>
      </c>
      <c r="X135">
        <f>セットアップレポート!W135</f>
        <v>0</v>
      </c>
      <c r="Y135">
        <f>セットアップレポート!X135</f>
        <v>0</v>
      </c>
      <c r="Z135">
        <f>セットアップレポート!Y135</f>
        <v>0</v>
      </c>
      <c r="AA135">
        <f>セットアップレポート!Z135</f>
        <v>0</v>
      </c>
      <c r="AB135" t="str">
        <f>セットアップレポート!AA135</f>
        <v>NONE</v>
      </c>
      <c r="AC135">
        <f>セットアップレポート!AB135</f>
        <v>0</v>
      </c>
      <c r="AD135">
        <f>セットアップレポート!AC135</f>
        <v>0</v>
      </c>
      <c r="AE135">
        <f>セットアップレポート!AD135</f>
        <v>0</v>
      </c>
      <c r="AF135">
        <f>セットアップレポート!AE135</f>
        <v>0</v>
      </c>
      <c r="AG135">
        <f>セットアップレポート!AF135</f>
        <v>0</v>
      </c>
      <c r="AH135">
        <f>セットアップレポート!AG135</f>
        <v>0</v>
      </c>
    </row>
    <row r="136" spans="1:34" x14ac:dyDescent="0.45">
      <c r="A136" t="str">
        <f t="shared" si="2"/>
        <v>L2-NPM030012L9000066629</v>
      </c>
      <c r="B136" t="str">
        <f>セットアップレポート!A136</f>
        <v>Line-2</v>
      </c>
      <c r="C136" t="str">
        <f>セットアップレポート!B136</f>
        <v>L2-NPM03</v>
      </c>
      <c r="D136" t="str">
        <f>セットアップレポート!C136</f>
        <v>Zone-2-NPMW-3</v>
      </c>
      <c r="E136">
        <f>セットアップレポート!D136</f>
        <v>1</v>
      </c>
      <c r="F136">
        <f>セットアップレポート!E136</f>
        <v>1</v>
      </c>
      <c r="G136" t="str">
        <f>セットアップレポート!F136</f>
        <v>10012L</v>
      </c>
      <c r="H136">
        <f>セットアップレポート!G136</f>
        <v>12</v>
      </c>
      <c r="I136" t="str">
        <f>セットアップレポート!H136</f>
        <v>L</v>
      </c>
      <c r="J136" t="str">
        <f>セットアップレポート!I136</f>
        <v>9000066629 100008</v>
      </c>
      <c r="K136">
        <f>セットアップレポート!J136</f>
        <v>9000066629</v>
      </c>
      <c r="L136">
        <f>セットアップレポート!K136</f>
        <v>0</v>
      </c>
      <c r="M136">
        <f>セットアップレポート!L136</f>
        <v>0</v>
      </c>
      <c r="N136">
        <f>セットアップレポート!M136</f>
        <v>0</v>
      </c>
      <c r="O136">
        <f>セットアップレポート!N136</f>
        <v>0</v>
      </c>
      <c r="P136" t="str">
        <f>セットアップレポート!O136</f>
        <v>FA0201ABD000640</v>
      </c>
      <c r="Q136">
        <f>セットアップレポート!P136</f>
        <v>4000</v>
      </c>
      <c r="R136">
        <f>セットアップレポート!Q136</f>
        <v>45930.453425925924</v>
      </c>
      <c r="S136">
        <f>セットアップレポート!R136</f>
        <v>0</v>
      </c>
      <c r="T136">
        <f>セットアップレポート!S136</f>
        <v>0</v>
      </c>
      <c r="U136">
        <f>セットアップレポート!T136</f>
        <v>0</v>
      </c>
      <c r="V136">
        <f>セットアップレポート!U136</f>
        <v>0</v>
      </c>
      <c r="W136">
        <f>セットアップレポート!V136</f>
        <v>0</v>
      </c>
      <c r="X136">
        <f>セットアップレポート!W136</f>
        <v>0</v>
      </c>
      <c r="Y136">
        <f>セットアップレポート!X136</f>
        <v>0</v>
      </c>
      <c r="Z136">
        <f>セットアップレポート!Y136</f>
        <v>0</v>
      </c>
      <c r="AA136">
        <f>セットアップレポート!Z136</f>
        <v>0</v>
      </c>
      <c r="AB136" t="str">
        <f>セットアップレポート!AA136</f>
        <v>NONE</v>
      </c>
      <c r="AC136">
        <f>セットアップレポート!AB136</f>
        <v>0</v>
      </c>
      <c r="AD136">
        <f>セットアップレポート!AC136</f>
        <v>0</v>
      </c>
      <c r="AE136">
        <f>セットアップレポート!AD136</f>
        <v>0</v>
      </c>
      <c r="AF136">
        <f>セットアップレポート!AE136</f>
        <v>0</v>
      </c>
      <c r="AG136">
        <f>セットアップレポート!AF136</f>
        <v>0</v>
      </c>
      <c r="AH136">
        <f>セットアップレポート!AG136</f>
        <v>0</v>
      </c>
    </row>
    <row r="137" spans="1:34" x14ac:dyDescent="0.45">
      <c r="A137" t="str">
        <f t="shared" si="2"/>
        <v>L2-NPM030013L9000010142</v>
      </c>
      <c r="B137" t="str">
        <f>セットアップレポート!A137</f>
        <v>Line-2</v>
      </c>
      <c r="C137" t="str">
        <f>セットアップレポート!B137</f>
        <v>L2-NPM03</v>
      </c>
      <c r="D137" t="str">
        <f>セットアップレポート!C137</f>
        <v>Zone-2-NPMW-3</v>
      </c>
      <c r="E137">
        <f>セットアップレポート!D137</f>
        <v>1</v>
      </c>
      <c r="F137">
        <f>セットアップレポート!E137</f>
        <v>1</v>
      </c>
      <c r="G137" t="str">
        <f>セットアップレポート!F137</f>
        <v>10013L</v>
      </c>
      <c r="H137">
        <f>セットアップレポート!G137</f>
        <v>13</v>
      </c>
      <c r="I137" t="str">
        <f>セットアップレポート!H137</f>
        <v>L</v>
      </c>
      <c r="J137" t="str">
        <f>セットアップレポート!I137</f>
        <v>9000010142 100260</v>
      </c>
      <c r="K137">
        <f>セットアップレポート!J137</f>
        <v>9000010142</v>
      </c>
      <c r="L137">
        <f>セットアップレポート!K137</f>
        <v>0</v>
      </c>
      <c r="M137">
        <f>セットアップレポート!L137</f>
        <v>0</v>
      </c>
      <c r="N137">
        <f>セットアップレポート!M137</f>
        <v>0</v>
      </c>
      <c r="O137">
        <f>セットアップレポート!N137</f>
        <v>0</v>
      </c>
      <c r="P137" t="str">
        <f>セットアップレポート!O137</f>
        <v>FA0201ACD051481</v>
      </c>
      <c r="Q137">
        <f>セットアップレポート!P137</f>
        <v>3000</v>
      </c>
      <c r="R137">
        <f>セットアップレポート!Q137</f>
        <v>45950.474236111113</v>
      </c>
      <c r="S137">
        <f>セットアップレポート!R137</f>
        <v>0</v>
      </c>
      <c r="T137">
        <f>セットアップレポート!S137</f>
        <v>0</v>
      </c>
      <c r="U137">
        <f>セットアップレポート!T137</f>
        <v>0</v>
      </c>
      <c r="V137">
        <f>セットアップレポート!U137</f>
        <v>0</v>
      </c>
      <c r="W137">
        <f>セットアップレポート!V137</f>
        <v>0</v>
      </c>
      <c r="X137">
        <f>セットアップレポート!W137</f>
        <v>0</v>
      </c>
      <c r="Y137">
        <f>セットアップレポート!X137</f>
        <v>0</v>
      </c>
      <c r="Z137">
        <f>セットアップレポート!Y137</f>
        <v>0</v>
      </c>
      <c r="AA137">
        <f>セットアップレポート!Z137</f>
        <v>0</v>
      </c>
      <c r="AB137" t="str">
        <f>セットアップレポート!AA137</f>
        <v>NONE</v>
      </c>
      <c r="AC137">
        <f>セットアップレポート!AB137</f>
        <v>0</v>
      </c>
      <c r="AD137">
        <f>セットアップレポート!AC137</f>
        <v>0</v>
      </c>
      <c r="AE137">
        <f>セットアップレポート!AD137</f>
        <v>0</v>
      </c>
      <c r="AF137">
        <f>セットアップレポート!AE137</f>
        <v>0</v>
      </c>
      <c r="AG137">
        <f>セットアップレポート!AF137</f>
        <v>0</v>
      </c>
      <c r="AH137">
        <f>セットアップレポート!AG137</f>
        <v>0</v>
      </c>
    </row>
    <row r="138" spans="1:34" x14ac:dyDescent="0.45">
      <c r="A138" t="str">
        <f t="shared" si="2"/>
        <v>L2-NPM030014L632594</v>
      </c>
      <c r="B138" t="str">
        <f>セットアップレポート!A138</f>
        <v>Line-2</v>
      </c>
      <c r="C138" t="str">
        <f>セットアップレポート!B138</f>
        <v>L2-NPM03</v>
      </c>
      <c r="D138" t="str">
        <f>セットアップレポート!C138</f>
        <v>Zone-2-NPMW-3</v>
      </c>
      <c r="E138">
        <f>セットアップレポート!D138</f>
        <v>1</v>
      </c>
      <c r="F138">
        <f>セットアップレポート!E138</f>
        <v>1</v>
      </c>
      <c r="G138" t="str">
        <f>セットアップレポート!F138</f>
        <v>10014L</v>
      </c>
      <c r="H138">
        <f>セットアップレポート!G138</f>
        <v>14</v>
      </c>
      <c r="I138" t="str">
        <f>セットアップレポート!H138</f>
        <v>L</v>
      </c>
      <c r="J138" t="str">
        <f>セットアップレポート!I138</f>
        <v>632594 100127</v>
      </c>
      <c r="K138">
        <f>セットアップレポート!J138</f>
        <v>632594</v>
      </c>
      <c r="L138">
        <f>セットアップレポート!K138</f>
        <v>0</v>
      </c>
      <c r="M138">
        <f>セットアップレポート!L138</f>
        <v>0</v>
      </c>
      <c r="N138">
        <f>セットアップレポート!M138</f>
        <v>0</v>
      </c>
      <c r="O138">
        <f>セットアップレポート!N138</f>
        <v>0</v>
      </c>
      <c r="P138" t="str">
        <f>セットアップレポート!O138</f>
        <v>FA0201ACD051170</v>
      </c>
      <c r="Q138">
        <f>セットアップレポート!P138</f>
        <v>3000</v>
      </c>
      <c r="R138">
        <f>セットアップレポート!Q138</f>
        <v>45950.474236111113</v>
      </c>
      <c r="S138">
        <f>セットアップレポート!R138</f>
        <v>0</v>
      </c>
      <c r="T138">
        <f>セットアップレポート!S138</f>
        <v>0</v>
      </c>
      <c r="U138">
        <f>セットアップレポート!T138</f>
        <v>0</v>
      </c>
      <c r="V138">
        <f>セットアップレポート!U138</f>
        <v>0</v>
      </c>
      <c r="W138">
        <f>セットアップレポート!V138</f>
        <v>0</v>
      </c>
      <c r="X138">
        <f>セットアップレポート!W138</f>
        <v>0</v>
      </c>
      <c r="Y138">
        <f>セットアップレポート!X138</f>
        <v>0</v>
      </c>
      <c r="Z138">
        <f>セットアップレポート!Y138</f>
        <v>0</v>
      </c>
      <c r="AA138">
        <f>セットアップレポート!Z138</f>
        <v>0</v>
      </c>
      <c r="AB138" t="str">
        <f>セットアップレポート!AA138</f>
        <v>NONE</v>
      </c>
      <c r="AC138">
        <f>セットアップレポート!AB138</f>
        <v>0</v>
      </c>
      <c r="AD138">
        <f>セットアップレポート!AC138</f>
        <v>0</v>
      </c>
      <c r="AE138">
        <f>セットアップレポート!AD138</f>
        <v>0</v>
      </c>
      <c r="AF138">
        <f>セットアップレポート!AE138</f>
        <v>0</v>
      </c>
      <c r="AG138">
        <f>セットアップレポート!AF138</f>
        <v>0</v>
      </c>
      <c r="AH138">
        <f>セットアップレポート!AG138</f>
        <v>0</v>
      </c>
    </row>
    <row r="139" spans="1:34" x14ac:dyDescent="0.45">
      <c r="A139" t="str">
        <f t="shared" si="2"/>
        <v>L2-NPM030015L554874B</v>
      </c>
      <c r="B139" t="str">
        <f>セットアップレポート!A139</f>
        <v>Line-2</v>
      </c>
      <c r="C139" t="str">
        <f>セットアップレポート!B139</f>
        <v>L2-NPM03</v>
      </c>
      <c r="D139" t="str">
        <f>セットアップレポート!C139</f>
        <v>Zone-2-NPMW-3</v>
      </c>
      <c r="E139">
        <f>セットアップレポート!D139</f>
        <v>1</v>
      </c>
      <c r="F139">
        <f>セットアップレポート!E139</f>
        <v>1</v>
      </c>
      <c r="G139" t="str">
        <f>セットアップレポート!F139</f>
        <v>10015L</v>
      </c>
      <c r="H139">
        <f>セットアップレポート!G139</f>
        <v>15</v>
      </c>
      <c r="I139" t="str">
        <f>セットアップレポート!H139</f>
        <v>L</v>
      </c>
      <c r="J139" t="str">
        <f>セットアップレポート!I139</f>
        <v>554874B100067</v>
      </c>
      <c r="K139" t="str">
        <f>セットアップレポート!J139</f>
        <v>554874B</v>
      </c>
      <c r="L139">
        <f>セットアップレポート!K139</f>
        <v>0</v>
      </c>
      <c r="M139">
        <f>セットアップレポート!L139</f>
        <v>0</v>
      </c>
      <c r="N139">
        <f>セットアップレポート!M139</f>
        <v>0</v>
      </c>
      <c r="O139">
        <f>セットアップレポート!N139</f>
        <v>0</v>
      </c>
      <c r="P139" t="str">
        <f>セットアップレポート!O139</f>
        <v>FA0201ABD000550</v>
      </c>
      <c r="Q139">
        <f>セットアップレポート!P139</f>
        <v>5000</v>
      </c>
      <c r="R139">
        <f>セットアップレポート!Q139</f>
        <v>45950.474236111113</v>
      </c>
      <c r="S139">
        <f>セットアップレポート!R139</f>
        <v>0</v>
      </c>
      <c r="T139" t="str">
        <f>セットアップレポート!S139</f>
        <v>Yes</v>
      </c>
      <c r="U139">
        <f>セットアップレポート!T139</f>
        <v>0</v>
      </c>
      <c r="V139" t="str">
        <f>セットアップレポート!U139</f>
        <v>554874B100068</v>
      </c>
      <c r="W139">
        <f>セットアップレポート!V139</f>
        <v>0</v>
      </c>
      <c r="X139">
        <f>セットアップレポート!W139</f>
        <v>0</v>
      </c>
      <c r="Y139">
        <f>セットアップレポート!X139</f>
        <v>0</v>
      </c>
      <c r="Z139">
        <f>セットアップレポート!Y139</f>
        <v>0</v>
      </c>
      <c r="AA139">
        <f>セットアップレポート!Z139</f>
        <v>0</v>
      </c>
      <c r="AB139" t="str">
        <f>セットアップレポート!AA139</f>
        <v>NONE</v>
      </c>
      <c r="AC139">
        <f>セットアップレポート!AB139</f>
        <v>0</v>
      </c>
      <c r="AD139">
        <f>セットアップレポート!AC139</f>
        <v>0</v>
      </c>
      <c r="AE139">
        <f>セットアップレポート!AD139</f>
        <v>0</v>
      </c>
      <c r="AF139">
        <f>セットアップレポート!AE139</f>
        <v>0</v>
      </c>
      <c r="AG139">
        <f>セットアップレポート!AF139</f>
        <v>0</v>
      </c>
      <c r="AH139">
        <f>セットアップレポート!AG139</f>
        <v>0</v>
      </c>
    </row>
    <row r="140" spans="1:34" x14ac:dyDescent="0.45">
      <c r="A140" t="str">
        <f t="shared" si="2"/>
        <v>L2-NPM030016L667574A</v>
      </c>
      <c r="B140" t="str">
        <f>セットアップレポート!A140</f>
        <v>Line-2</v>
      </c>
      <c r="C140" t="str">
        <f>セットアップレポート!B140</f>
        <v>L2-NPM03</v>
      </c>
      <c r="D140" t="str">
        <f>セットアップレポート!C140</f>
        <v>Zone-2-NPMW-3</v>
      </c>
      <c r="E140">
        <f>セットアップレポート!D140</f>
        <v>1</v>
      </c>
      <c r="F140">
        <f>セットアップレポート!E140</f>
        <v>1</v>
      </c>
      <c r="G140" t="str">
        <f>セットアップレポート!F140</f>
        <v>10016L</v>
      </c>
      <c r="H140">
        <f>セットアップレポート!G140</f>
        <v>16</v>
      </c>
      <c r="I140" t="str">
        <f>セットアップレポート!H140</f>
        <v>L</v>
      </c>
      <c r="J140" t="str">
        <f>セットアップレポート!I140</f>
        <v>667574A100222</v>
      </c>
      <c r="K140" t="str">
        <f>セットアップレポート!J140</f>
        <v>667574A</v>
      </c>
      <c r="L140">
        <f>セットアップレポート!K140</f>
        <v>0</v>
      </c>
      <c r="M140">
        <f>セットアップレポート!L140</f>
        <v>0</v>
      </c>
      <c r="N140">
        <f>セットアップレポート!M140</f>
        <v>0</v>
      </c>
      <c r="O140">
        <f>セットアップレポート!N140</f>
        <v>0</v>
      </c>
      <c r="P140" t="str">
        <f>セットアップレポート!O140</f>
        <v>FA0201ABA002469</v>
      </c>
      <c r="Q140">
        <f>セットアップレポート!P140</f>
        <v>5000</v>
      </c>
      <c r="R140">
        <f>セットアップレポート!Q140</f>
        <v>45950.474236111113</v>
      </c>
      <c r="S140">
        <f>セットアップレポート!R140</f>
        <v>0</v>
      </c>
      <c r="T140">
        <f>セットアップレポート!S140</f>
        <v>0</v>
      </c>
      <c r="U140">
        <f>セットアップレポート!T140</f>
        <v>0</v>
      </c>
      <c r="V140">
        <f>セットアップレポート!U140</f>
        <v>0</v>
      </c>
      <c r="W140">
        <f>セットアップレポート!V140</f>
        <v>0</v>
      </c>
      <c r="X140">
        <f>セットアップレポート!W140</f>
        <v>0</v>
      </c>
      <c r="Y140">
        <f>セットアップレポート!X140</f>
        <v>0</v>
      </c>
      <c r="Z140">
        <f>セットアップレポート!Y140</f>
        <v>0</v>
      </c>
      <c r="AA140">
        <f>セットアップレポート!Z140</f>
        <v>0</v>
      </c>
      <c r="AB140" t="str">
        <f>セットアップレポート!AA140</f>
        <v>NONE</v>
      </c>
      <c r="AC140">
        <f>セットアップレポート!AB140</f>
        <v>0</v>
      </c>
      <c r="AD140">
        <f>セットアップレポート!AC140</f>
        <v>0</v>
      </c>
      <c r="AE140">
        <f>セットアップレポート!AD140</f>
        <v>0</v>
      </c>
      <c r="AF140">
        <f>セットアップレポート!AE140</f>
        <v>0</v>
      </c>
      <c r="AG140">
        <f>セットアップレポート!AF140</f>
        <v>0</v>
      </c>
      <c r="AH140">
        <f>セットアップレポート!AG140</f>
        <v>0</v>
      </c>
    </row>
    <row r="141" spans="1:34" x14ac:dyDescent="0.45">
      <c r="A141" t="str">
        <f t="shared" si="2"/>
        <v>L2-NPM030017L668813A</v>
      </c>
      <c r="B141" t="str">
        <f>セットアップレポート!A141</f>
        <v>Line-2</v>
      </c>
      <c r="C141" t="str">
        <f>セットアップレポート!B141</f>
        <v>L2-NPM03</v>
      </c>
      <c r="D141" t="str">
        <f>セットアップレポート!C141</f>
        <v>Zone-2-NPMW-3</v>
      </c>
      <c r="E141">
        <f>セットアップレポート!D141</f>
        <v>1</v>
      </c>
      <c r="F141">
        <f>セットアップレポート!E141</f>
        <v>1</v>
      </c>
      <c r="G141" t="str">
        <f>セットアップレポート!F141</f>
        <v>10017L</v>
      </c>
      <c r="H141">
        <f>セットアップレポート!G141</f>
        <v>17</v>
      </c>
      <c r="I141" t="str">
        <f>セットアップレポート!H141</f>
        <v>L</v>
      </c>
      <c r="J141" t="str">
        <f>セットアップレポート!I141</f>
        <v>668813A100192</v>
      </c>
      <c r="K141" t="str">
        <f>セットアップレポート!J141</f>
        <v>668813A</v>
      </c>
      <c r="L141">
        <f>セットアップレポート!K141</f>
        <v>0</v>
      </c>
      <c r="M141">
        <f>セットアップレポート!L141</f>
        <v>0</v>
      </c>
      <c r="N141">
        <f>セットアップレポート!M141</f>
        <v>0</v>
      </c>
      <c r="O141">
        <f>セットアップレポート!N141</f>
        <v>0</v>
      </c>
      <c r="P141" t="str">
        <f>セットアップレポート!O141</f>
        <v>FA0201ACD051161</v>
      </c>
      <c r="Q141">
        <f>セットアップレポート!P141</f>
        <v>3000</v>
      </c>
      <c r="R141">
        <f>セットアップレポート!Q141</f>
        <v>45950.474236111113</v>
      </c>
      <c r="S141">
        <f>セットアップレポート!R141</f>
        <v>0</v>
      </c>
      <c r="T141">
        <f>セットアップレポート!S141</f>
        <v>0</v>
      </c>
      <c r="U141">
        <f>セットアップレポート!T141</f>
        <v>0</v>
      </c>
      <c r="V141">
        <f>セットアップレポート!U141</f>
        <v>0</v>
      </c>
      <c r="W141">
        <f>セットアップレポート!V141</f>
        <v>0</v>
      </c>
      <c r="X141">
        <f>セットアップレポート!W141</f>
        <v>0</v>
      </c>
      <c r="Y141">
        <f>セットアップレポート!X141</f>
        <v>0</v>
      </c>
      <c r="Z141">
        <f>セットアップレポート!Y141</f>
        <v>0</v>
      </c>
      <c r="AA141">
        <f>セットアップレポート!Z141</f>
        <v>0</v>
      </c>
      <c r="AB141" t="str">
        <f>セットアップレポート!AA141</f>
        <v>NONE</v>
      </c>
      <c r="AC141">
        <f>セットアップレポート!AB141</f>
        <v>0</v>
      </c>
      <c r="AD141">
        <f>セットアップレポート!AC141</f>
        <v>0</v>
      </c>
      <c r="AE141">
        <f>セットアップレポート!AD141</f>
        <v>0</v>
      </c>
      <c r="AF141">
        <f>セットアップレポート!AE141</f>
        <v>0</v>
      </c>
      <c r="AG141">
        <f>セットアップレポート!AF141</f>
        <v>0</v>
      </c>
      <c r="AH141">
        <f>セットアップレポート!AG141</f>
        <v>0</v>
      </c>
    </row>
    <row r="142" spans="1:34" x14ac:dyDescent="0.45">
      <c r="A142" t="str">
        <f t="shared" si="2"/>
        <v>L2-NPM030018L667119A</v>
      </c>
      <c r="B142" t="str">
        <f>セットアップレポート!A142</f>
        <v>Line-2</v>
      </c>
      <c r="C142" t="str">
        <f>セットアップレポート!B142</f>
        <v>L2-NPM03</v>
      </c>
      <c r="D142" t="str">
        <f>セットアップレポート!C142</f>
        <v>Zone-2-NPMW-3</v>
      </c>
      <c r="E142">
        <f>セットアップレポート!D142</f>
        <v>1</v>
      </c>
      <c r="F142">
        <f>セットアップレポート!E142</f>
        <v>1</v>
      </c>
      <c r="G142" t="str">
        <f>セットアップレポート!F142</f>
        <v>10018L</v>
      </c>
      <c r="H142">
        <f>セットアップレポート!G142</f>
        <v>18</v>
      </c>
      <c r="I142" t="str">
        <f>セットアップレポート!H142</f>
        <v>L</v>
      </c>
      <c r="J142" t="str">
        <f>セットアップレポート!I142</f>
        <v>667119A100780</v>
      </c>
      <c r="K142" t="str">
        <f>セットアップレポート!J142</f>
        <v>667119A</v>
      </c>
      <c r="L142">
        <f>セットアップレポート!K142</f>
        <v>0</v>
      </c>
      <c r="M142">
        <f>セットアップレポート!L142</f>
        <v>0</v>
      </c>
      <c r="N142">
        <f>セットアップレポート!M142</f>
        <v>0</v>
      </c>
      <c r="O142">
        <f>セットアップレポート!N142</f>
        <v>0</v>
      </c>
      <c r="P142" t="str">
        <f>セットアップレポート!O142</f>
        <v>FA0201ACD050239</v>
      </c>
      <c r="Q142">
        <f>セットアップレポート!P142</f>
        <v>5000</v>
      </c>
      <c r="R142">
        <f>セットアップレポート!Q142</f>
        <v>45950.474236111113</v>
      </c>
      <c r="S142">
        <f>セットアップレポート!R142</f>
        <v>0</v>
      </c>
      <c r="T142">
        <f>セットアップレポート!S142</f>
        <v>0</v>
      </c>
      <c r="U142">
        <f>セットアップレポート!T142</f>
        <v>0</v>
      </c>
      <c r="V142">
        <f>セットアップレポート!U142</f>
        <v>0</v>
      </c>
      <c r="W142">
        <f>セットアップレポート!V142</f>
        <v>0</v>
      </c>
      <c r="X142">
        <f>セットアップレポート!W142</f>
        <v>0</v>
      </c>
      <c r="Y142">
        <f>セットアップレポート!X142</f>
        <v>0</v>
      </c>
      <c r="Z142">
        <f>セットアップレポート!Y142</f>
        <v>0</v>
      </c>
      <c r="AA142">
        <f>セットアップレポート!Z142</f>
        <v>0</v>
      </c>
      <c r="AB142" t="str">
        <f>セットアップレポート!AA142</f>
        <v>NONE</v>
      </c>
      <c r="AC142">
        <f>セットアップレポート!AB142</f>
        <v>0</v>
      </c>
      <c r="AD142">
        <f>セットアップレポート!AC142</f>
        <v>0</v>
      </c>
      <c r="AE142">
        <f>セットアップレポート!AD142</f>
        <v>0</v>
      </c>
      <c r="AF142">
        <f>セットアップレポート!AE142</f>
        <v>0</v>
      </c>
      <c r="AG142">
        <f>セットアップレポート!AF142</f>
        <v>0</v>
      </c>
      <c r="AH142">
        <f>セットアップレポート!AG142</f>
        <v>0</v>
      </c>
    </row>
    <row r="143" spans="1:34" x14ac:dyDescent="0.45">
      <c r="A143" t="str">
        <f t="shared" si="2"/>
        <v>L2-NPM030019L667413A</v>
      </c>
      <c r="B143" t="str">
        <f>セットアップレポート!A143</f>
        <v>Line-2</v>
      </c>
      <c r="C143" t="str">
        <f>セットアップレポート!B143</f>
        <v>L2-NPM03</v>
      </c>
      <c r="D143" t="str">
        <f>セットアップレポート!C143</f>
        <v>Zone-2-NPMW-3</v>
      </c>
      <c r="E143">
        <f>セットアップレポート!D143</f>
        <v>1</v>
      </c>
      <c r="F143">
        <f>セットアップレポート!E143</f>
        <v>1</v>
      </c>
      <c r="G143" t="str">
        <f>セットアップレポート!F143</f>
        <v>10019L</v>
      </c>
      <c r="H143">
        <f>セットアップレポート!G143</f>
        <v>19</v>
      </c>
      <c r="I143" t="str">
        <f>セットアップレポート!H143</f>
        <v>L</v>
      </c>
      <c r="J143" t="str">
        <f>セットアップレポート!I143</f>
        <v>667413A100785</v>
      </c>
      <c r="K143" t="str">
        <f>セットアップレポート!J143</f>
        <v>667413A</v>
      </c>
      <c r="L143">
        <f>セットアップレポート!K143</f>
        <v>0</v>
      </c>
      <c r="M143">
        <f>セットアップレポート!L143</f>
        <v>0</v>
      </c>
      <c r="N143">
        <f>セットアップレポート!M143</f>
        <v>0</v>
      </c>
      <c r="O143">
        <f>セットアップレポート!N143</f>
        <v>0</v>
      </c>
      <c r="P143" t="str">
        <f>セットアップレポート!O143</f>
        <v>FA0201ABD000446</v>
      </c>
      <c r="Q143">
        <f>セットアップレポート!P143</f>
        <v>5000</v>
      </c>
      <c r="R143">
        <f>セットアップレポート!Q143</f>
        <v>45950.474236111113</v>
      </c>
      <c r="S143">
        <f>セットアップレポート!R143</f>
        <v>0</v>
      </c>
      <c r="T143">
        <f>セットアップレポート!S143</f>
        <v>0</v>
      </c>
      <c r="U143">
        <f>セットアップレポート!T143</f>
        <v>0</v>
      </c>
      <c r="V143">
        <f>セットアップレポート!U143</f>
        <v>0</v>
      </c>
      <c r="W143">
        <f>セットアップレポート!V143</f>
        <v>0</v>
      </c>
      <c r="X143">
        <f>セットアップレポート!W143</f>
        <v>0</v>
      </c>
      <c r="Y143">
        <f>セットアップレポート!X143</f>
        <v>0</v>
      </c>
      <c r="Z143">
        <f>セットアップレポート!Y143</f>
        <v>0</v>
      </c>
      <c r="AA143">
        <f>セットアップレポート!Z143</f>
        <v>0</v>
      </c>
      <c r="AB143" t="str">
        <f>セットアップレポート!AA143</f>
        <v>NONE</v>
      </c>
      <c r="AC143">
        <f>セットアップレポート!AB143</f>
        <v>0</v>
      </c>
      <c r="AD143">
        <f>セットアップレポート!AC143</f>
        <v>0</v>
      </c>
      <c r="AE143">
        <f>セットアップレポート!AD143</f>
        <v>0</v>
      </c>
      <c r="AF143">
        <f>セットアップレポート!AE143</f>
        <v>0</v>
      </c>
      <c r="AG143">
        <f>セットアップレポート!AF143</f>
        <v>0</v>
      </c>
      <c r="AH143">
        <f>セットアップレポート!AG143</f>
        <v>0</v>
      </c>
    </row>
    <row r="144" spans="1:34" x14ac:dyDescent="0.45">
      <c r="A144" t="str">
        <f t="shared" si="2"/>
        <v>L2-NPM030020L662543</v>
      </c>
      <c r="B144" t="str">
        <f>セットアップレポート!A144</f>
        <v>Line-2</v>
      </c>
      <c r="C144" t="str">
        <f>セットアップレポート!B144</f>
        <v>L2-NPM03</v>
      </c>
      <c r="D144" t="str">
        <f>セットアップレポート!C144</f>
        <v>Zone-2-NPMW-3</v>
      </c>
      <c r="E144">
        <f>セットアップレポート!D144</f>
        <v>1</v>
      </c>
      <c r="F144">
        <f>セットアップレポート!E144</f>
        <v>1</v>
      </c>
      <c r="G144" t="str">
        <f>セットアップレポート!F144</f>
        <v>10020L</v>
      </c>
      <c r="H144">
        <f>セットアップレポート!G144</f>
        <v>20</v>
      </c>
      <c r="I144" t="str">
        <f>セットアップレポート!H144</f>
        <v>L</v>
      </c>
      <c r="J144" t="str">
        <f>セットアップレポート!I144</f>
        <v>662543 100343</v>
      </c>
      <c r="K144">
        <f>セットアップレポート!J144</f>
        <v>662543</v>
      </c>
      <c r="L144">
        <f>セットアップレポート!K144</f>
        <v>0</v>
      </c>
      <c r="M144">
        <f>セットアップレポート!L144</f>
        <v>0</v>
      </c>
      <c r="N144">
        <f>セットアップレポート!M144</f>
        <v>0</v>
      </c>
      <c r="O144">
        <f>セットアップレポート!N144</f>
        <v>0</v>
      </c>
      <c r="P144" t="str">
        <f>セットアップレポート!O144</f>
        <v>FA0201ABA002290</v>
      </c>
      <c r="Q144">
        <f>セットアップレポート!P144</f>
        <v>3000</v>
      </c>
      <c r="R144">
        <f>セットアップレポート!Q144</f>
        <v>45950.474236111113</v>
      </c>
      <c r="S144">
        <f>セットアップレポート!R144</f>
        <v>0</v>
      </c>
      <c r="T144">
        <f>セットアップレポート!S144</f>
        <v>0</v>
      </c>
      <c r="U144">
        <f>セットアップレポート!T144</f>
        <v>0</v>
      </c>
      <c r="V144">
        <f>セットアップレポート!U144</f>
        <v>0</v>
      </c>
      <c r="W144">
        <f>セットアップレポート!V144</f>
        <v>0</v>
      </c>
      <c r="X144">
        <f>セットアップレポート!W144</f>
        <v>0</v>
      </c>
      <c r="Y144">
        <f>セットアップレポート!X144</f>
        <v>0</v>
      </c>
      <c r="Z144">
        <f>セットアップレポート!Y144</f>
        <v>0</v>
      </c>
      <c r="AA144">
        <f>セットアップレポート!Z144</f>
        <v>0</v>
      </c>
      <c r="AB144" t="str">
        <f>セットアップレポート!AA144</f>
        <v>NONE</v>
      </c>
      <c r="AC144">
        <f>セットアップレポート!AB144</f>
        <v>0</v>
      </c>
      <c r="AD144">
        <f>セットアップレポート!AC144</f>
        <v>0</v>
      </c>
      <c r="AE144">
        <f>セットアップレポート!AD144</f>
        <v>0</v>
      </c>
      <c r="AF144">
        <f>セットアップレポート!AE144</f>
        <v>0</v>
      </c>
      <c r="AG144">
        <f>セットアップレポート!AF144</f>
        <v>0</v>
      </c>
      <c r="AH144">
        <f>セットアップレポート!AG144</f>
        <v>0</v>
      </c>
    </row>
    <row r="145" spans="1:34" x14ac:dyDescent="0.45">
      <c r="A145" t="str">
        <f t="shared" si="2"/>
        <v>L2-NPM030021L9000044587</v>
      </c>
      <c r="B145" t="str">
        <f>セットアップレポート!A145</f>
        <v>Line-2</v>
      </c>
      <c r="C145" t="str">
        <f>セットアップレポート!B145</f>
        <v>L2-NPM03</v>
      </c>
      <c r="D145" t="str">
        <f>セットアップレポート!C145</f>
        <v>Zone-2-NPMW-3</v>
      </c>
      <c r="E145">
        <f>セットアップレポート!D145</f>
        <v>1</v>
      </c>
      <c r="F145">
        <f>セットアップレポート!E145</f>
        <v>1</v>
      </c>
      <c r="G145" t="str">
        <f>セットアップレポート!F145</f>
        <v>10021L</v>
      </c>
      <c r="H145">
        <f>セットアップレポート!G145</f>
        <v>21</v>
      </c>
      <c r="I145" t="str">
        <f>セットアップレポート!H145</f>
        <v>L</v>
      </c>
      <c r="J145" t="str">
        <f>セットアップレポート!I145</f>
        <v>9000044587 100279</v>
      </c>
      <c r="K145">
        <f>セットアップレポート!J145</f>
        <v>9000044587</v>
      </c>
      <c r="L145">
        <f>セットアップレポート!K145</f>
        <v>0</v>
      </c>
      <c r="M145">
        <f>セットアップレポート!L145</f>
        <v>0</v>
      </c>
      <c r="N145">
        <f>セットアップレポート!M145</f>
        <v>0</v>
      </c>
      <c r="O145">
        <f>セットアップレポート!N145</f>
        <v>0</v>
      </c>
      <c r="P145" t="str">
        <f>セットアップレポート!O145</f>
        <v>FA0201ABA002329</v>
      </c>
      <c r="Q145">
        <f>セットアップレポート!P145</f>
        <v>4500</v>
      </c>
      <c r="R145">
        <f>セットアップレポート!Q145</f>
        <v>45950.474236111113</v>
      </c>
      <c r="S145">
        <f>セットアップレポート!R145</f>
        <v>0</v>
      </c>
      <c r="T145">
        <f>セットアップレポート!S145</f>
        <v>0</v>
      </c>
      <c r="U145">
        <f>セットアップレポート!T145</f>
        <v>0</v>
      </c>
      <c r="V145">
        <f>セットアップレポート!U145</f>
        <v>0</v>
      </c>
      <c r="W145">
        <f>セットアップレポート!V145</f>
        <v>0</v>
      </c>
      <c r="X145">
        <f>セットアップレポート!W145</f>
        <v>0</v>
      </c>
      <c r="Y145">
        <f>セットアップレポート!X145</f>
        <v>0</v>
      </c>
      <c r="Z145">
        <f>セットアップレポート!Y145</f>
        <v>0</v>
      </c>
      <c r="AA145">
        <f>セットアップレポート!Z145</f>
        <v>0</v>
      </c>
      <c r="AB145" t="str">
        <f>セットアップレポート!AA145</f>
        <v>NONE</v>
      </c>
      <c r="AC145">
        <f>セットアップレポート!AB145</f>
        <v>0</v>
      </c>
      <c r="AD145">
        <f>セットアップレポート!AC145</f>
        <v>0</v>
      </c>
      <c r="AE145">
        <f>セットアップレポート!AD145</f>
        <v>0</v>
      </c>
      <c r="AF145">
        <f>セットアップレポート!AE145</f>
        <v>0</v>
      </c>
      <c r="AG145">
        <f>セットアップレポート!AF145</f>
        <v>0</v>
      </c>
      <c r="AH145">
        <f>セットアップレポート!AG145</f>
        <v>0</v>
      </c>
    </row>
    <row r="146" spans="1:34" x14ac:dyDescent="0.45">
      <c r="A146" t="str">
        <f t="shared" si="2"/>
        <v>L2-NPM030022L9000057484</v>
      </c>
      <c r="B146" t="str">
        <f>セットアップレポート!A146</f>
        <v>Line-2</v>
      </c>
      <c r="C146" t="str">
        <f>セットアップレポート!B146</f>
        <v>L2-NPM03</v>
      </c>
      <c r="D146" t="str">
        <f>セットアップレポート!C146</f>
        <v>Zone-2-NPMW-3</v>
      </c>
      <c r="E146">
        <f>セットアップレポート!D146</f>
        <v>1</v>
      </c>
      <c r="F146">
        <f>セットアップレポート!E146</f>
        <v>1</v>
      </c>
      <c r="G146" t="str">
        <f>セットアップレポート!F146</f>
        <v>10022L</v>
      </c>
      <c r="H146">
        <f>セットアップレポート!G146</f>
        <v>22</v>
      </c>
      <c r="I146" t="str">
        <f>セットアップレポート!H146</f>
        <v>L</v>
      </c>
      <c r="J146" t="str">
        <f>セットアップレポート!I146</f>
        <v>9000057484 100523</v>
      </c>
      <c r="K146">
        <f>セットアップレポート!J146</f>
        <v>9000057484</v>
      </c>
      <c r="L146">
        <f>セットアップレポート!K146</f>
        <v>0</v>
      </c>
      <c r="M146">
        <f>セットアップレポート!L146</f>
        <v>0</v>
      </c>
      <c r="N146">
        <f>セットアップレポート!M146</f>
        <v>0</v>
      </c>
      <c r="O146">
        <f>セットアップレポート!N146</f>
        <v>0</v>
      </c>
      <c r="P146" t="str">
        <f>セットアップレポート!O146</f>
        <v>FA0201ABA002359</v>
      </c>
      <c r="Q146">
        <f>セットアップレポート!P146</f>
        <v>3000</v>
      </c>
      <c r="R146">
        <f>セットアップレポート!Q146</f>
        <v>45950.474236111113</v>
      </c>
      <c r="S146">
        <f>セットアップレポート!R146</f>
        <v>0</v>
      </c>
      <c r="T146">
        <f>セットアップレポート!S146</f>
        <v>0</v>
      </c>
      <c r="U146">
        <f>セットアップレポート!T146</f>
        <v>0</v>
      </c>
      <c r="V146">
        <f>セットアップレポート!U146</f>
        <v>0</v>
      </c>
      <c r="W146">
        <f>セットアップレポート!V146</f>
        <v>0</v>
      </c>
      <c r="X146">
        <f>セットアップレポート!W146</f>
        <v>0</v>
      </c>
      <c r="Y146">
        <f>セットアップレポート!X146</f>
        <v>0</v>
      </c>
      <c r="Z146">
        <f>セットアップレポート!Y146</f>
        <v>0</v>
      </c>
      <c r="AA146">
        <f>セットアップレポート!Z146</f>
        <v>0</v>
      </c>
      <c r="AB146" t="str">
        <f>セットアップレポート!AA146</f>
        <v>NONE</v>
      </c>
      <c r="AC146">
        <f>セットアップレポート!AB146</f>
        <v>0</v>
      </c>
      <c r="AD146">
        <f>セットアップレポート!AC146</f>
        <v>0</v>
      </c>
      <c r="AE146">
        <f>セットアップレポート!AD146</f>
        <v>0</v>
      </c>
      <c r="AF146">
        <f>セットアップレポート!AE146</f>
        <v>0</v>
      </c>
      <c r="AG146">
        <f>セットアップレポート!AF146</f>
        <v>0</v>
      </c>
      <c r="AH146">
        <f>セットアップレポート!AG146</f>
        <v>0</v>
      </c>
    </row>
    <row r="147" spans="1:34" x14ac:dyDescent="0.45">
      <c r="A147" t="str">
        <f t="shared" si="2"/>
        <v>L2-NPM030023L935543</v>
      </c>
      <c r="B147" t="str">
        <f>セットアップレポート!A147</f>
        <v>Line-2</v>
      </c>
      <c r="C147" t="str">
        <f>セットアップレポート!B147</f>
        <v>L2-NPM03</v>
      </c>
      <c r="D147" t="str">
        <f>セットアップレポート!C147</f>
        <v>Zone-2-NPMW-3</v>
      </c>
      <c r="E147">
        <f>セットアップレポート!D147</f>
        <v>1</v>
      </c>
      <c r="F147">
        <f>セットアップレポート!E147</f>
        <v>1</v>
      </c>
      <c r="G147" t="str">
        <f>セットアップレポート!F147</f>
        <v>10023L</v>
      </c>
      <c r="H147">
        <f>セットアップレポート!G147</f>
        <v>23</v>
      </c>
      <c r="I147" t="str">
        <f>セットアップレポート!H147</f>
        <v>L</v>
      </c>
      <c r="J147" t="str">
        <f>セットアップレポート!I147</f>
        <v>935543 102299</v>
      </c>
      <c r="K147">
        <f>セットアップレポート!J147</f>
        <v>935543</v>
      </c>
      <c r="L147">
        <f>セットアップレポート!K147</f>
        <v>0</v>
      </c>
      <c r="M147">
        <f>セットアップレポート!L147</f>
        <v>0</v>
      </c>
      <c r="N147">
        <f>セットアップレポート!M147</f>
        <v>0</v>
      </c>
      <c r="O147">
        <f>セットアップレポート!N147</f>
        <v>0</v>
      </c>
      <c r="P147" t="str">
        <f>セットアップレポート!O147</f>
        <v>FA0201ABA002259</v>
      </c>
      <c r="Q147">
        <f>セットアップレポート!P147</f>
        <v>3000</v>
      </c>
      <c r="R147">
        <f>セットアップレポート!Q147</f>
        <v>45950.474236111113</v>
      </c>
      <c r="S147">
        <f>セットアップレポート!R147</f>
        <v>0</v>
      </c>
      <c r="T147">
        <f>セットアップレポート!S147</f>
        <v>0</v>
      </c>
      <c r="U147">
        <f>セットアップレポート!T147</f>
        <v>0</v>
      </c>
      <c r="V147">
        <f>セットアップレポート!U147</f>
        <v>0</v>
      </c>
      <c r="W147">
        <f>セットアップレポート!V147</f>
        <v>0</v>
      </c>
      <c r="X147">
        <f>セットアップレポート!W147</f>
        <v>0</v>
      </c>
      <c r="Y147">
        <f>セットアップレポート!X147</f>
        <v>0</v>
      </c>
      <c r="Z147">
        <f>セットアップレポート!Y147</f>
        <v>0</v>
      </c>
      <c r="AA147">
        <f>セットアップレポート!Z147</f>
        <v>0</v>
      </c>
      <c r="AB147" t="str">
        <f>セットアップレポート!AA147</f>
        <v>NONE</v>
      </c>
      <c r="AC147">
        <f>セットアップレポート!AB147</f>
        <v>0</v>
      </c>
      <c r="AD147">
        <f>セットアップレポート!AC147</f>
        <v>0</v>
      </c>
      <c r="AE147">
        <f>セットアップレポート!AD147</f>
        <v>0</v>
      </c>
      <c r="AF147">
        <f>セットアップレポート!AE147</f>
        <v>0</v>
      </c>
      <c r="AG147">
        <f>セットアップレポート!AF147</f>
        <v>0</v>
      </c>
      <c r="AH147">
        <f>セットアップレポート!AG147</f>
        <v>0</v>
      </c>
    </row>
    <row r="148" spans="1:34" x14ac:dyDescent="0.45">
      <c r="A148" t="str">
        <f t="shared" si="2"/>
        <v>L2-NPM030024L939655</v>
      </c>
      <c r="B148" t="str">
        <f>セットアップレポート!A148</f>
        <v>Line-2</v>
      </c>
      <c r="C148" t="str">
        <f>セットアップレポート!B148</f>
        <v>L2-NPM03</v>
      </c>
      <c r="D148" t="str">
        <f>セットアップレポート!C148</f>
        <v>Zone-2-NPMW-3</v>
      </c>
      <c r="E148">
        <f>セットアップレポート!D148</f>
        <v>1</v>
      </c>
      <c r="F148">
        <f>セットアップレポート!E148</f>
        <v>1</v>
      </c>
      <c r="G148" t="str">
        <f>セットアップレポート!F148</f>
        <v>10024L</v>
      </c>
      <c r="H148">
        <f>セットアップレポート!G148</f>
        <v>24</v>
      </c>
      <c r="I148" t="str">
        <f>セットアップレポート!H148</f>
        <v>L</v>
      </c>
      <c r="J148" t="str">
        <f>セットアップレポート!I148</f>
        <v>939655 100056</v>
      </c>
      <c r="K148">
        <f>セットアップレポート!J148</f>
        <v>939655</v>
      </c>
      <c r="L148">
        <f>セットアップレポート!K148</f>
        <v>0</v>
      </c>
      <c r="M148">
        <f>セットアップレポート!L148</f>
        <v>0</v>
      </c>
      <c r="N148">
        <f>セットアップレポート!M148</f>
        <v>0</v>
      </c>
      <c r="O148">
        <f>セットアップレポート!N148</f>
        <v>0</v>
      </c>
      <c r="P148" t="str">
        <f>セットアップレポート!O148</f>
        <v>FA0201ABA002374</v>
      </c>
      <c r="Q148">
        <f>セットアップレポート!P148</f>
        <v>4000</v>
      </c>
      <c r="R148">
        <f>セットアップレポート!Q148</f>
        <v>45950.474236111113</v>
      </c>
      <c r="S148">
        <f>セットアップレポート!R148</f>
        <v>0</v>
      </c>
      <c r="T148">
        <f>セットアップレポート!S148</f>
        <v>0</v>
      </c>
      <c r="U148">
        <f>セットアップレポート!T148</f>
        <v>0</v>
      </c>
      <c r="V148">
        <f>セットアップレポート!U148</f>
        <v>0</v>
      </c>
      <c r="W148">
        <f>セットアップレポート!V148</f>
        <v>0</v>
      </c>
      <c r="X148">
        <f>セットアップレポート!W148</f>
        <v>0</v>
      </c>
      <c r="Y148">
        <f>セットアップレポート!X148</f>
        <v>0</v>
      </c>
      <c r="Z148">
        <f>セットアップレポート!Y148</f>
        <v>0</v>
      </c>
      <c r="AA148">
        <f>セットアップレポート!Z148</f>
        <v>0</v>
      </c>
      <c r="AB148" t="str">
        <f>セットアップレポート!AA148</f>
        <v>NONE</v>
      </c>
      <c r="AC148">
        <f>セットアップレポート!AB148</f>
        <v>0</v>
      </c>
      <c r="AD148">
        <f>セットアップレポート!AC148</f>
        <v>0</v>
      </c>
      <c r="AE148">
        <f>セットアップレポート!AD148</f>
        <v>0</v>
      </c>
      <c r="AF148">
        <f>セットアップレポート!AE148</f>
        <v>0</v>
      </c>
      <c r="AG148">
        <f>セットアップレポート!AF148</f>
        <v>0</v>
      </c>
      <c r="AH148">
        <f>セットアップレポート!AG148</f>
        <v>0</v>
      </c>
    </row>
    <row r="149" spans="1:34" x14ac:dyDescent="0.45">
      <c r="A149" t="str">
        <f t="shared" si="2"/>
        <v>L2-NPM030025L910044</v>
      </c>
      <c r="B149" t="str">
        <f>セットアップレポート!A149</f>
        <v>Line-2</v>
      </c>
      <c r="C149" t="str">
        <f>セットアップレポート!B149</f>
        <v>L2-NPM03</v>
      </c>
      <c r="D149" t="str">
        <f>セットアップレポート!C149</f>
        <v>Zone-2-NPMW-3</v>
      </c>
      <c r="E149">
        <f>セットアップレポート!D149</f>
        <v>1</v>
      </c>
      <c r="F149">
        <f>セットアップレポート!E149</f>
        <v>1</v>
      </c>
      <c r="G149" t="str">
        <f>セットアップレポート!F149</f>
        <v>10025L</v>
      </c>
      <c r="H149">
        <f>セットアップレポート!G149</f>
        <v>25</v>
      </c>
      <c r="I149" t="str">
        <f>セットアップレポート!H149</f>
        <v>L</v>
      </c>
      <c r="J149" t="str">
        <f>セットアップレポート!I149</f>
        <v>910044 100192</v>
      </c>
      <c r="K149">
        <f>セットアップレポート!J149</f>
        <v>910044</v>
      </c>
      <c r="L149">
        <f>セットアップレポート!K149</f>
        <v>0</v>
      </c>
      <c r="M149">
        <f>セットアップレポート!L149</f>
        <v>0</v>
      </c>
      <c r="N149">
        <f>セットアップレポート!M149</f>
        <v>0</v>
      </c>
      <c r="O149">
        <f>セットアップレポート!N149</f>
        <v>0</v>
      </c>
      <c r="P149" t="str">
        <f>セットアップレポート!O149</f>
        <v>FA0201ABA002081</v>
      </c>
      <c r="Q149">
        <f>セットアップレポート!P149</f>
        <v>10000</v>
      </c>
      <c r="R149">
        <f>セットアップレポート!Q149</f>
        <v>45950.474236111113</v>
      </c>
      <c r="S149">
        <f>セットアップレポート!R149</f>
        <v>0</v>
      </c>
      <c r="T149">
        <f>セットアップレポート!S149</f>
        <v>0</v>
      </c>
      <c r="U149">
        <f>セットアップレポート!T149</f>
        <v>0</v>
      </c>
      <c r="V149">
        <f>セットアップレポート!U149</f>
        <v>0</v>
      </c>
      <c r="W149">
        <f>セットアップレポート!V149</f>
        <v>0</v>
      </c>
      <c r="X149">
        <f>セットアップレポート!W149</f>
        <v>0</v>
      </c>
      <c r="Y149">
        <f>セットアップレポート!X149</f>
        <v>0</v>
      </c>
      <c r="Z149">
        <f>セットアップレポート!Y149</f>
        <v>0</v>
      </c>
      <c r="AA149">
        <f>セットアップレポート!Z149</f>
        <v>0</v>
      </c>
      <c r="AB149" t="str">
        <f>セットアップレポート!AA149</f>
        <v>NONE</v>
      </c>
      <c r="AC149">
        <f>セットアップレポート!AB149</f>
        <v>0</v>
      </c>
      <c r="AD149">
        <f>セットアップレポート!AC149</f>
        <v>0</v>
      </c>
      <c r="AE149">
        <f>セットアップレポート!AD149</f>
        <v>0</v>
      </c>
      <c r="AF149">
        <f>セットアップレポート!AE149</f>
        <v>0</v>
      </c>
      <c r="AG149">
        <f>セットアップレポート!AF149</f>
        <v>0</v>
      </c>
      <c r="AH149">
        <f>セットアップレポート!AG149</f>
        <v>0</v>
      </c>
    </row>
    <row r="150" spans="1:34" x14ac:dyDescent="0.45">
      <c r="A150" t="str">
        <f t="shared" si="2"/>
        <v>L2-NPM030026L9000060544</v>
      </c>
      <c r="B150" t="str">
        <f>セットアップレポート!A150</f>
        <v>Line-2</v>
      </c>
      <c r="C150" t="str">
        <f>セットアップレポート!B150</f>
        <v>L2-NPM03</v>
      </c>
      <c r="D150" t="str">
        <f>セットアップレポート!C150</f>
        <v>Zone-2-NPMW-3</v>
      </c>
      <c r="E150">
        <f>セットアップレポート!D150</f>
        <v>1</v>
      </c>
      <c r="F150">
        <f>セットアップレポート!E150</f>
        <v>1</v>
      </c>
      <c r="G150" t="str">
        <f>セットアップレポート!F150</f>
        <v>10026L</v>
      </c>
      <c r="H150">
        <f>セットアップレポート!G150</f>
        <v>26</v>
      </c>
      <c r="I150" t="str">
        <f>セットアップレポート!H150</f>
        <v>L</v>
      </c>
      <c r="J150" t="str">
        <f>セットアップレポート!I150</f>
        <v>9000060544 100004</v>
      </c>
      <c r="K150">
        <f>セットアップレポート!J150</f>
        <v>9000060544</v>
      </c>
      <c r="L150">
        <f>セットアップレポート!K150</f>
        <v>0</v>
      </c>
      <c r="M150">
        <f>セットアップレポート!L150</f>
        <v>0</v>
      </c>
      <c r="N150">
        <f>セットアップレポート!M150</f>
        <v>0</v>
      </c>
      <c r="O150">
        <f>セットアップレポート!N150</f>
        <v>0</v>
      </c>
      <c r="P150" t="str">
        <f>セットアップレポート!O150</f>
        <v>FA0201ABD000637</v>
      </c>
      <c r="Q150">
        <f>セットアップレポート!P150</f>
        <v>4000</v>
      </c>
      <c r="R150">
        <f>セットアップレポート!Q150</f>
        <v>45950.474236111113</v>
      </c>
      <c r="S150">
        <f>セットアップレポート!R150</f>
        <v>0</v>
      </c>
      <c r="T150">
        <f>セットアップレポート!S150</f>
        <v>0</v>
      </c>
      <c r="U150">
        <f>セットアップレポート!T150</f>
        <v>0</v>
      </c>
      <c r="V150">
        <f>セットアップレポート!U150</f>
        <v>0</v>
      </c>
      <c r="W150">
        <f>セットアップレポート!V150</f>
        <v>0</v>
      </c>
      <c r="X150">
        <f>セットアップレポート!W150</f>
        <v>0</v>
      </c>
      <c r="Y150">
        <f>セットアップレポート!X150</f>
        <v>0</v>
      </c>
      <c r="Z150">
        <f>セットアップレポート!Y150</f>
        <v>0</v>
      </c>
      <c r="AA150">
        <f>セットアップレポート!Z150</f>
        <v>0</v>
      </c>
      <c r="AB150" t="str">
        <f>セットアップレポート!AA150</f>
        <v>NONE</v>
      </c>
      <c r="AC150">
        <f>セットアップレポート!AB150</f>
        <v>0</v>
      </c>
      <c r="AD150">
        <f>セットアップレポート!AC150</f>
        <v>0</v>
      </c>
      <c r="AE150">
        <f>セットアップレポート!AD150</f>
        <v>0</v>
      </c>
      <c r="AF150">
        <f>セットアップレポート!AE150</f>
        <v>0</v>
      </c>
      <c r="AG150">
        <f>セットアップレポート!AF150</f>
        <v>0</v>
      </c>
      <c r="AH150">
        <f>セットアップレポート!AG150</f>
        <v>0</v>
      </c>
    </row>
    <row r="151" spans="1:34" x14ac:dyDescent="0.45">
      <c r="A151" t="str">
        <f t="shared" si="2"/>
        <v>L2-NPM030001L9000069697</v>
      </c>
      <c r="B151" t="str">
        <f>セットアップレポート!A151</f>
        <v>Line-2</v>
      </c>
      <c r="C151" t="str">
        <f>セットアップレポート!B151</f>
        <v>L2-NPM03</v>
      </c>
      <c r="D151" t="str">
        <f>セットアップレポート!C151</f>
        <v>Zone-2-NPMW-3</v>
      </c>
      <c r="E151">
        <f>セットアップレポート!D151</f>
        <v>1</v>
      </c>
      <c r="F151">
        <f>セットアップレポート!E151</f>
        <v>1</v>
      </c>
      <c r="G151" t="str">
        <f>セットアップレポート!F151</f>
        <v>20001L</v>
      </c>
      <c r="H151">
        <f>セットアップレポート!G151</f>
        <v>1</v>
      </c>
      <c r="I151" t="str">
        <f>セットアップレポート!H151</f>
        <v>L</v>
      </c>
      <c r="J151" t="str">
        <f>セットアップレポート!I151</f>
        <v>9000069697 100004</v>
      </c>
      <c r="K151">
        <f>セットアップレポート!J151</f>
        <v>9000069697</v>
      </c>
      <c r="L151">
        <f>セットアップレポート!K151</f>
        <v>0</v>
      </c>
      <c r="M151">
        <f>セットアップレポート!L151</f>
        <v>0</v>
      </c>
      <c r="N151">
        <f>セットアップレポート!M151</f>
        <v>0</v>
      </c>
      <c r="O151">
        <f>セットアップレポート!N151</f>
        <v>0</v>
      </c>
      <c r="P151" t="str">
        <f>セットアップレポート!O151</f>
        <v>FA0220AFA654015</v>
      </c>
      <c r="Q151">
        <f>セットアップレポート!P151</f>
        <v>5000</v>
      </c>
      <c r="R151">
        <f>セットアップレポート!Q151</f>
        <v>45950.474247685182</v>
      </c>
      <c r="S151">
        <f>セットアップレポート!R151</f>
        <v>0</v>
      </c>
      <c r="T151">
        <f>セットアップレポート!S151</f>
        <v>0</v>
      </c>
      <c r="U151">
        <f>セットアップレポート!T151</f>
        <v>0</v>
      </c>
      <c r="V151">
        <f>セットアップレポート!U151</f>
        <v>0</v>
      </c>
      <c r="W151">
        <f>セットアップレポート!V151</f>
        <v>0</v>
      </c>
      <c r="X151">
        <f>セットアップレポート!W151</f>
        <v>0</v>
      </c>
      <c r="Y151">
        <f>セットアップレポート!X151</f>
        <v>0</v>
      </c>
      <c r="Z151">
        <f>セットアップレポート!Y151</f>
        <v>0</v>
      </c>
      <c r="AA151">
        <f>セットアップレポート!Z151</f>
        <v>0</v>
      </c>
      <c r="AB151" t="str">
        <f>セットアップレポート!AA151</f>
        <v>NONE</v>
      </c>
      <c r="AC151">
        <f>セットアップレポート!AB151</f>
        <v>0</v>
      </c>
      <c r="AD151">
        <f>セットアップレポート!AC151</f>
        <v>0</v>
      </c>
      <c r="AE151">
        <f>セットアップレポート!AD151</f>
        <v>0</v>
      </c>
      <c r="AF151">
        <f>セットアップレポート!AE151</f>
        <v>0</v>
      </c>
      <c r="AG151">
        <f>セットアップレポート!AF151</f>
        <v>0</v>
      </c>
      <c r="AH151">
        <f>セットアップレポート!AG151</f>
        <v>0</v>
      </c>
    </row>
    <row r="152" spans="1:34" x14ac:dyDescent="0.45">
      <c r="A152" t="str">
        <f t="shared" si="2"/>
        <v>L2-NPM030002L9000063368</v>
      </c>
      <c r="B152" t="str">
        <f>セットアップレポート!A152</f>
        <v>Line-2</v>
      </c>
      <c r="C152" t="str">
        <f>セットアップレポート!B152</f>
        <v>L2-NPM03</v>
      </c>
      <c r="D152" t="str">
        <f>セットアップレポート!C152</f>
        <v>Zone-2-NPMW-3</v>
      </c>
      <c r="E152">
        <f>セットアップレポート!D152</f>
        <v>1</v>
      </c>
      <c r="F152">
        <f>セットアップレポート!E152</f>
        <v>1</v>
      </c>
      <c r="G152" t="str">
        <f>セットアップレポート!F152</f>
        <v>20002L</v>
      </c>
      <c r="H152">
        <f>セットアップレポート!G152</f>
        <v>2</v>
      </c>
      <c r="I152" t="str">
        <f>セットアップレポート!H152</f>
        <v>L</v>
      </c>
      <c r="J152" t="str">
        <f>セットアップレポート!I152</f>
        <v>9000063368 100011</v>
      </c>
      <c r="K152">
        <f>セットアップレポート!J152</f>
        <v>9000063368</v>
      </c>
      <c r="L152">
        <f>セットアップレポート!K152</f>
        <v>0</v>
      </c>
      <c r="M152">
        <f>セットアップレポート!L152</f>
        <v>0</v>
      </c>
      <c r="N152">
        <f>セットアップレポート!M152</f>
        <v>0</v>
      </c>
      <c r="O152">
        <f>セットアップレポート!N152</f>
        <v>0</v>
      </c>
      <c r="P152" t="str">
        <f>セットアップレポート!O152</f>
        <v>FA0220ADF311605</v>
      </c>
      <c r="Q152">
        <f>セットアップレポート!P152</f>
        <v>3000</v>
      </c>
      <c r="R152">
        <f>セットアップレポート!Q152</f>
        <v>45950.474247685182</v>
      </c>
      <c r="S152">
        <f>セットアップレポート!R152</f>
        <v>0</v>
      </c>
      <c r="T152">
        <f>セットアップレポート!S152</f>
        <v>0</v>
      </c>
      <c r="U152">
        <f>セットアップレポート!T152</f>
        <v>0</v>
      </c>
      <c r="V152">
        <f>セットアップレポート!U152</f>
        <v>0</v>
      </c>
      <c r="W152">
        <f>セットアップレポート!V152</f>
        <v>0</v>
      </c>
      <c r="X152">
        <f>セットアップレポート!W152</f>
        <v>0</v>
      </c>
      <c r="Y152">
        <f>セットアップレポート!X152</f>
        <v>0</v>
      </c>
      <c r="Z152">
        <f>セットアップレポート!Y152</f>
        <v>0</v>
      </c>
      <c r="AA152">
        <f>セットアップレポート!Z152</f>
        <v>0</v>
      </c>
      <c r="AB152" t="str">
        <f>セットアップレポート!AA152</f>
        <v>NONE</v>
      </c>
      <c r="AC152">
        <f>セットアップレポート!AB152</f>
        <v>0</v>
      </c>
      <c r="AD152">
        <f>セットアップレポート!AC152</f>
        <v>0</v>
      </c>
      <c r="AE152">
        <f>セットアップレポート!AD152</f>
        <v>0</v>
      </c>
      <c r="AF152">
        <f>セットアップレポート!AE152</f>
        <v>0</v>
      </c>
      <c r="AG152">
        <f>セットアップレポート!AF152</f>
        <v>0</v>
      </c>
      <c r="AH152">
        <f>セットアップレポート!AG152</f>
        <v>0</v>
      </c>
    </row>
    <row r="153" spans="1:34" x14ac:dyDescent="0.45">
      <c r="A153" t="str">
        <f t="shared" si="2"/>
        <v>L2-NPM030003L667921</v>
      </c>
      <c r="B153" t="str">
        <f>セットアップレポート!A153</f>
        <v>Line-2</v>
      </c>
      <c r="C153" t="str">
        <f>セットアップレポート!B153</f>
        <v>L2-NPM03</v>
      </c>
      <c r="D153" t="str">
        <f>セットアップレポート!C153</f>
        <v>Zone-2-NPMW-3</v>
      </c>
      <c r="E153">
        <f>セットアップレポート!D153</f>
        <v>1</v>
      </c>
      <c r="F153">
        <f>セットアップレポート!E153</f>
        <v>1</v>
      </c>
      <c r="G153" t="str">
        <f>セットアップレポート!F153</f>
        <v>20003L</v>
      </c>
      <c r="H153">
        <f>セットアップレポート!G153</f>
        <v>3</v>
      </c>
      <c r="I153" t="str">
        <f>セットアップレポート!H153</f>
        <v>L</v>
      </c>
      <c r="J153" t="str">
        <f>セットアップレポート!I153</f>
        <v>667921 100042</v>
      </c>
      <c r="K153">
        <f>セットアップレポート!J153</f>
        <v>667921</v>
      </c>
      <c r="L153">
        <f>セットアップレポート!K153</f>
        <v>0</v>
      </c>
      <c r="M153">
        <f>セットアップレポート!L153</f>
        <v>0</v>
      </c>
      <c r="N153">
        <f>セットアップレポート!M153</f>
        <v>0</v>
      </c>
      <c r="O153">
        <f>セットアップレポート!N153</f>
        <v>0</v>
      </c>
      <c r="P153" t="str">
        <f>セットアップレポート!O153</f>
        <v>FA0220AFA654353</v>
      </c>
      <c r="Q153">
        <f>セットアップレポート!P153</f>
        <v>1800</v>
      </c>
      <c r="R153">
        <f>セットアップレポート!Q153</f>
        <v>45950.474247685182</v>
      </c>
      <c r="S153">
        <f>セットアップレポート!R153</f>
        <v>0</v>
      </c>
      <c r="T153">
        <f>セットアップレポート!S153</f>
        <v>0</v>
      </c>
      <c r="U153">
        <f>セットアップレポート!T153</f>
        <v>0</v>
      </c>
      <c r="V153">
        <f>セットアップレポート!U153</f>
        <v>0</v>
      </c>
      <c r="W153">
        <f>セットアップレポート!V153</f>
        <v>0</v>
      </c>
      <c r="X153">
        <f>セットアップレポート!W153</f>
        <v>0</v>
      </c>
      <c r="Y153">
        <f>セットアップレポート!X153</f>
        <v>0</v>
      </c>
      <c r="Z153">
        <f>セットアップレポート!Y153</f>
        <v>0</v>
      </c>
      <c r="AA153">
        <f>セットアップレポート!Z153</f>
        <v>0</v>
      </c>
      <c r="AB153" t="str">
        <f>セットアップレポート!AA153</f>
        <v>NONE</v>
      </c>
      <c r="AC153">
        <f>セットアップレポート!AB153</f>
        <v>0</v>
      </c>
      <c r="AD153">
        <f>セットアップレポート!AC153</f>
        <v>0</v>
      </c>
      <c r="AE153">
        <f>セットアップレポート!AD153</f>
        <v>0</v>
      </c>
      <c r="AF153">
        <f>セットアップレポート!AE153</f>
        <v>0</v>
      </c>
      <c r="AG153">
        <f>セットアップレポート!AF153</f>
        <v>0</v>
      </c>
      <c r="AH153">
        <f>セットアップレポート!AG153</f>
        <v>0</v>
      </c>
    </row>
    <row r="154" spans="1:34" x14ac:dyDescent="0.45">
      <c r="A154" t="str">
        <f t="shared" si="2"/>
        <v>L2-NPM030004L662917</v>
      </c>
      <c r="B154" t="str">
        <f>セットアップレポート!A154</f>
        <v>Line-2</v>
      </c>
      <c r="C154" t="str">
        <f>セットアップレポート!B154</f>
        <v>L2-NPM03</v>
      </c>
      <c r="D154" t="str">
        <f>セットアップレポート!C154</f>
        <v>Zone-2-NPMW-3</v>
      </c>
      <c r="E154">
        <f>セットアップレポート!D154</f>
        <v>1</v>
      </c>
      <c r="F154">
        <f>セットアップレポート!E154</f>
        <v>1</v>
      </c>
      <c r="G154" t="str">
        <f>セットアップレポート!F154</f>
        <v>20004L</v>
      </c>
      <c r="H154">
        <f>セットアップレポート!G154</f>
        <v>4</v>
      </c>
      <c r="I154" t="str">
        <f>セットアップレポート!H154</f>
        <v>L</v>
      </c>
      <c r="J154" t="str">
        <f>セットアップレポート!I154</f>
        <v>662917 100715</v>
      </c>
      <c r="K154">
        <f>セットアップレポート!J154</f>
        <v>662917</v>
      </c>
      <c r="L154">
        <f>セットアップレポート!K154</f>
        <v>0</v>
      </c>
      <c r="M154">
        <f>セットアップレポート!L154</f>
        <v>0</v>
      </c>
      <c r="N154">
        <f>セットアップレポート!M154</f>
        <v>0</v>
      </c>
      <c r="O154">
        <f>セットアップレポート!N154</f>
        <v>0</v>
      </c>
      <c r="P154" t="str">
        <f>セットアップレポート!O154</f>
        <v>FA0220AFA654274</v>
      </c>
      <c r="Q154">
        <f>セットアップレポート!P154</f>
        <v>2500</v>
      </c>
      <c r="R154">
        <f>セットアップレポート!Q154</f>
        <v>45950.474247685182</v>
      </c>
      <c r="S154">
        <f>セットアップレポート!R154</f>
        <v>0</v>
      </c>
      <c r="T154" t="str">
        <f>セットアップレポート!S154</f>
        <v>Yes</v>
      </c>
      <c r="U154">
        <f>セットアップレポート!T154</f>
        <v>0</v>
      </c>
      <c r="V154" t="str">
        <f>セットアップレポート!U154</f>
        <v>662917 100839</v>
      </c>
      <c r="W154">
        <f>セットアップレポート!V154</f>
        <v>0</v>
      </c>
      <c r="X154">
        <f>セットアップレポート!W154</f>
        <v>0</v>
      </c>
      <c r="Y154">
        <f>セットアップレポート!X154</f>
        <v>0</v>
      </c>
      <c r="Z154">
        <f>セットアップレポート!Y154</f>
        <v>0</v>
      </c>
      <c r="AA154">
        <f>セットアップレポート!Z154</f>
        <v>0</v>
      </c>
      <c r="AB154" t="str">
        <f>セットアップレポート!AA154</f>
        <v>NONE</v>
      </c>
      <c r="AC154">
        <f>セットアップレポート!AB154</f>
        <v>0</v>
      </c>
      <c r="AD154">
        <f>セットアップレポート!AC154</f>
        <v>0</v>
      </c>
      <c r="AE154">
        <f>セットアップレポート!AD154</f>
        <v>0</v>
      </c>
      <c r="AF154">
        <f>セットアップレポート!AE154</f>
        <v>0</v>
      </c>
      <c r="AG154">
        <f>セットアップレポート!AF154</f>
        <v>0</v>
      </c>
      <c r="AH154">
        <f>セットアップレポート!AG154</f>
        <v>0</v>
      </c>
    </row>
    <row r="155" spans="1:34" x14ac:dyDescent="0.45">
      <c r="A155" t="str">
        <f t="shared" si="2"/>
        <v>L2-NPM030005L908029</v>
      </c>
      <c r="B155" t="str">
        <f>セットアップレポート!A155</f>
        <v>Line-2</v>
      </c>
      <c r="C155" t="str">
        <f>セットアップレポート!B155</f>
        <v>L2-NPM03</v>
      </c>
      <c r="D155" t="str">
        <f>セットアップレポート!C155</f>
        <v>Zone-2-NPMW-3</v>
      </c>
      <c r="E155">
        <f>セットアップレポート!D155</f>
        <v>1</v>
      </c>
      <c r="F155">
        <f>セットアップレポート!E155</f>
        <v>1</v>
      </c>
      <c r="G155" t="str">
        <f>セットアップレポート!F155</f>
        <v>20005L</v>
      </c>
      <c r="H155">
        <f>セットアップレポート!G155</f>
        <v>5</v>
      </c>
      <c r="I155" t="str">
        <f>セットアップレポート!H155</f>
        <v>L</v>
      </c>
      <c r="J155" t="str">
        <f>セットアップレポート!I155</f>
        <v>908029 100191</v>
      </c>
      <c r="K155">
        <f>セットアップレポート!J155</f>
        <v>908029</v>
      </c>
      <c r="L155">
        <f>セットアップレポート!K155</f>
        <v>0</v>
      </c>
      <c r="M155">
        <f>セットアップレポート!L155</f>
        <v>0</v>
      </c>
      <c r="N155">
        <f>セットアップレポート!M155</f>
        <v>0</v>
      </c>
      <c r="O155">
        <f>セットアップレポート!N155</f>
        <v>0</v>
      </c>
      <c r="P155" t="str">
        <f>セットアップレポート!O155</f>
        <v>FA0220AFA654088</v>
      </c>
      <c r="Q155">
        <f>セットアップレポート!P155</f>
        <v>2500</v>
      </c>
      <c r="R155">
        <f>セットアップレポート!Q155</f>
        <v>45950.474247685182</v>
      </c>
      <c r="S155">
        <f>セットアップレポート!R155</f>
        <v>0</v>
      </c>
      <c r="T155">
        <f>セットアップレポート!S155</f>
        <v>0</v>
      </c>
      <c r="U155">
        <f>セットアップレポート!T155</f>
        <v>0</v>
      </c>
      <c r="V155">
        <f>セットアップレポート!U155</f>
        <v>0</v>
      </c>
      <c r="W155">
        <f>セットアップレポート!V155</f>
        <v>0</v>
      </c>
      <c r="X155">
        <f>セットアップレポート!W155</f>
        <v>0</v>
      </c>
      <c r="Y155">
        <f>セットアップレポート!X155</f>
        <v>0</v>
      </c>
      <c r="Z155">
        <f>セットアップレポート!Y155</f>
        <v>0</v>
      </c>
      <c r="AA155">
        <f>セットアップレポート!Z155</f>
        <v>0</v>
      </c>
      <c r="AB155" t="str">
        <f>セットアップレポート!AA155</f>
        <v>NONE</v>
      </c>
      <c r="AC155">
        <f>セットアップレポート!AB155</f>
        <v>0</v>
      </c>
      <c r="AD155">
        <f>セットアップレポート!AC155</f>
        <v>0</v>
      </c>
      <c r="AE155">
        <f>セットアップレポート!AD155</f>
        <v>0</v>
      </c>
      <c r="AF155">
        <f>セットアップレポート!AE155</f>
        <v>0</v>
      </c>
      <c r="AG155">
        <f>セットアップレポート!AF155</f>
        <v>0</v>
      </c>
      <c r="AH155">
        <f>セットアップレポート!AG155</f>
        <v>0</v>
      </c>
    </row>
    <row r="156" spans="1:34" x14ac:dyDescent="0.45">
      <c r="A156" t="str">
        <f t="shared" si="2"/>
        <v>L2-NPM030006L9000058366</v>
      </c>
      <c r="B156" t="str">
        <f>セットアップレポート!A156</f>
        <v>Line-2</v>
      </c>
      <c r="C156" t="str">
        <f>セットアップレポート!B156</f>
        <v>L2-NPM03</v>
      </c>
      <c r="D156" t="str">
        <f>セットアップレポート!C156</f>
        <v>Zone-2-NPMW-3</v>
      </c>
      <c r="E156">
        <f>セットアップレポート!D156</f>
        <v>1</v>
      </c>
      <c r="F156">
        <f>セットアップレポート!E156</f>
        <v>1</v>
      </c>
      <c r="G156" t="str">
        <f>セットアップレポート!F156</f>
        <v>20006L</v>
      </c>
      <c r="H156">
        <f>セットアップレポート!G156</f>
        <v>6</v>
      </c>
      <c r="I156" t="str">
        <f>セットアップレポート!H156</f>
        <v>L</v>
      </c>
      <c r="J156" t="str">
        <f>セットアップレポート!I156</f>
        <v>9000058366 100094</v>
      </c>
      <c r="K156">
        <f>セットアップレポート!J156</f>
        <v>9000058366</v>
      </c>
      <c r="L156">
        <f>セットアップレポート!K156</f>
        <v>0</v>
      </c>
      <c r="M156">
        <f>セットアップレポート!L156</f>
        <v>0</v>
      </c>
      <c r="N156">
        <f>セットアップレポート!M156</f>
        <v>0</v>
      </c>
      <c r="O156">
        <f>セットアップレポート!N156</f>
        <v>0</v>
      </c>
      <c r="P156" t="str">
        <f>セットアップレポート!O156</f>
        <v>FA0220ADF311577</v>
      </c>
      <c r="Q156">
        <f>セットアップレポート!P156</f>
        <v>1500</v>
      </c>
      <c r="R156">
        <f>セットアップレポート!Q156</f>
        <v>45950.474247685182</v>
      </c>
      <c r="S156">
        <f>セットアップレポート!R156</f>
        <v>0</v>
      </c>
      <c r="T156">
        <f>セットアップレポート!S156</f>
        <v>0</v>
      </c>
      <c r="U156">
        <f>セットアップレポート!T156</f>
        <v>0</v>
      </c>
      <c r="V156">
        <f>セットアップレポート!U156</f>
        <v>0</v>
      </c>
      <c r="W156">
        <f>セットアップレポート!V156</f>
        <v>0</v>
      </c>
      <c r="X156">
        <f>セットアップレポート!W156</f>
        <v>0</v>
      </c>
      <c r="Y156">
        <f>セットアップレポート!X156</f>
        <v>0</v>
      </c>
      <c r="Z156">
        <f>セットアップレポート!Y156</f>
        <v>0</v>
      </c>
      <c r="AA156">
        <f>セットアップレポート!Z156</f>
        <v>0</v>
      </c>
      <c r="AB156" t="str">
        <f>セットアップレポート!AA156</f>
        <v>NONE</v>
      </c>
      <c r="AC156">
        <f>セットアップレポート!AB156</f>
        <v>0</v>
      </c>
      <c r="AD156">
        <f>セットアップレポート!AC156</f>
        <v>0</v>
      </c>
      <c r="AE156">
        <f>セットアップレポート!AD156</f>
        <v>0</v>
      </c>
      <c r="AF156">
        <f>セットアップレポート!AE156</f>
        <v>0</v>
      </c>
      <c r="AG156">
        <f>セットアップレポート!AF156</f>
        <v>0</v>
      </c>
      <c r="AH156">
        <f>セットアップレポート!AG156</f>
        <v>0</v>
      </c>
    </row>
    <row r="157" spans="1:34" x14ac:dyDescent="0.45">
      <c r="A157" t="str">
        <f t="shared" si="2"/>
        <v>L2-NPM030007L9000054023</v>
      </c>
      <c r="B157" t="str">
        <f>セットアップレポート!A157</f>
        <v>Line-2</v>
      </c>
      <c r="C157" t="str">
        <f>セットアップレポート!B157</f>
        <v>L2-NPM03</v>
      </c>
      <c r="D157" t="str">
        <f>セットアップレポート!C157</f>
        <v>Zone-2-NPMW-3</v>
      </c>
      <c r="E157">
        <f>セットアップレポート!D157</f>
        <v>1</v>
      </c>
      <c r="F157">
        <f>セットアップレポート!E157</f>
        <v>1</v>
      </c>
      <c r="G157" t="str">
        <f>セットアップレポート!F157</f>
        <v>20007L</v>
      </c>
      <c r="H157">
        <f>セットアップレポート!G157</f>
        <v>7</v>
      </c>
      <c r="I157" t="str">
        <f>セットアップレポート!H157</f>
        <v>L</v>
      </c>
      <c r="J157" t="str">
        <f>セットアップレポート!I157</f>
        <v>9000054023 100191</v>
      </c>
      <c r="K157">
        <f>セットアップレポート!J157</f>
        <v>9000054023</v>
      </c>
      <c r="L157">
        <f>セットアップレポート!K157</f>
        <v>0</v>
      </c>
      <c r="M157">
        <f>セットアップレポート!L157</f>
        <v>0</v>
      </c>
      <c r="N157">
        <f>セットアップレポート!M157</f>
        <v>0</v>
      </c>
      <c r="O157">
        <f>セットアップレポート!N157</f>
        <v>0</v>
      </c>
      <c r="P157" t="str">
        <f>セットアップレポート!O157</f>
        <v>FA0220AFA654276</v>
      </c>
      <c r="Q157">
        <f>セットアップレポート!P157</f>
        <v>3000</v>
      </c>
      <c r="R157">
        <f>セットアップレポート!Q157</f>
        <v>45950.474247685182</v>
      </c>
      <c r="S157">
        <f>セットアップレポート!R157</f>
        <v>0</v>
      </c>
      <c r="T157">
        <f>セットアップレポート!S157</f>
        <v>0</v>
      </c>
      <c r="U157">
        <f>セットアップレポート!T157</f>
        <v>0</v>
      </c>
      <c r="V157">
        <f>セットアップレポート!U157</f>
        <v>0</v>
      </c>
      <c r="W157">
        <f>セットアップレポート!V157</f>
        <v>0</v>
      </c>
      <c r="X157">
        <f>セットアップレポート!W157</f>
        <v>0</v>
      </c>
      <c r="Y157">
        <f>セットアップレポート!X157</f>
        <v>0</v>
      </c>
      <c r="Z157">
        <f>セットアップレポート!Y157</f>
        <v>0</v>
      </c>
      <c r="AA157">
        <f>セットアップレポート!Z157</f>
        <v>0</v>
      </c>
      <c r="AB157" t="str">
        <f>セットアップレポート!AA157</f>
        <v>NONE</v>
      </c>
      <c r="AC157">
        <f>セットアップレポート!AB157</f>
        <v>0</v>
      </c>
      <c r="AD157">
        <f>セットアップレポート!AC157</f>
        <v>0</v>
      </c>
      <c r="AE157">
        <f>セットアップレポート!AD157</f>
        <v>0</v>
      </c>
      <c r="AF157">
        <f>セットアップレポート!AE157</f>
        <v>0</v>
      </c>
      <c r="AG157">
        <f>セットアップレポート!AF157</f>
        <v>0</v>
      </c>
      <c r="AH157">
        <f>セットアップレポート!AG157</f>
        <v>0</v>
      </c>
    </row>
    <row r="158" spans="1:34" x14ac:dyDescent="0.45">
      <c r="A158" t="str">
        <f t="shared" si="2"/>
        <v>L2-NPM030008L9000069359</v>
      </c>
      <c r="B158" t="str">
        <f>セットアップレポート!A158</f>
        <v>Line-2</v>
      </c>
      <c r="C158" t="str">
        <f>セットアップレポート!B158</f>
        <v>L2-NPM03</v>
      </c>
      <c r="D158" t="str">
        <f>セットアップレポート!C158</f>
        <v>Zone-2-NPMW-3</v>
      </c>
      <c r="E158">
        <f>セットアップレポート!D158</f>
        <v>1</v>
      </c>
      <c r="F158">
        <f>セットアップレポート!E158</f>
        <v>1</v>
      </c>
      <c r="G158" t="str">
        <f>セットアップレポート!F158</f>
        <v>20008L</v>
      </c>
      <c r="H158">
        <f>セットアップレポート!G158</f>
        <v>8</v>
      </c>
      <c r="I158" t="str">
        <f>セットアップレポート!H158</f>
        <v>L</v>
      </c>
      <c r="J158" t="str">
        <f>セットアップレポート!I158</f>
        <v>9000069359 100003</v>
      </c>
      <c r="K158">
        <f>セットアップレポート!J158</f>
        <v>9000069359</v>
      </c>
      <c r="L158">
        <f>セットアップレポート!K158</f>
        <v>0</v>
      </c>
      <c r="M158">
        <f>セットアップレポート!L158</f>
        <v>0</v>
      </c>
      <c r="N158">
        <f>セットアップレポート!M158</f>
        <v>0</v>
      </c>
      <c r="O158">
        <f>セットアップレポート!N158</f>
        <v>0</v>
      </c>
      <c r="P158" t="str">
        <f>セットアップレポート!O158</f>
        <v>FA0220AFA654050</v>
      </c>
      <c r="Q158">
        <f>セットアップレポート!P158</f>
        <v>4000</v>
      </c>
      <c r="R158">
        <f>セットアップレポート!Q158</f>
        <v>45950.474247685182</v>
      </c>
      <c r="S158">
        <f>セットアップレポート!R158</f>
        <v>0</v>
      </c>
      <c r="T158">
        <f>セットアップレポート!S158</f>
        <v>0</v>
      </c>
      <c r="U158">
        <f>セットアップレポート!T158</f>
        <v>0</v>
      </c>
      <c r="V158">
        <f>セットアップレポート!U158</f>
        <v>0</v>
      </c>
      <c r="W158">
        <f>セットアップレポート!V158</f>
        <v>0</v>
      </c>
      <c r="X158">
        <f>セットアップレポート!W158</f>
        <v>0</v>
      </c>
      <c r="Y158">
        <f>セットアップレポート!X158</f>
        <v>0</v>
      </c>
      <c r="Z158">
        <f>セットアップレポート!Y158</f>
        <v>0</v>
      </c>
      <c r="AA158">
        <f>セットアップレポート!Z158</f>
        <v>0</v>
      </c>
      <c r="AB158" t="str">
        <f>セットアップレポート!AA158</f>
        <v>NONE</v>
      </c>
      <c r="AC158">
        <f>セットアップレポート!AB158</f>
        <v>0</v>
      </c>
      <c r="AD158">
        <f>セットアップレポート!AC158</f>
        <v>0</v>
      </c>
      <c r="AE158">
        <f>セットアップレポート!AD158</f>
        <v>0</v>
      </c>
      <c r="AF158">
        <f>セットアップレポート!AE158</f>
        <v>0</v>
      </c>
      <c r="AG158">
        <f>セットアップレポート!AF158</f>
        <v>0</v>
      </c>
      <c r="AH158">
        <f>セットアップレポート!AG158</f>
        <v>0</v>
      </c>
    </row>
    <row r="159" spans="1:34" x14ac:dyDescent="0.45">
      <c r="A159" t="str">
        <f t="shared" si="2"/>
        <v>L2-NPM030009L9000070021</v>
      </c>
      <c r="B159" t="str">
        <f>セットアップレポート!A159</f>
        <v>Line-2</v>
      </c>
      <c r="C159" t="str">
        <f>セットアップレポート!B159</f>
        <v>L2-NPM03</v>
      </c>
      <c r="D159" t="str">
        <f>セットアップレポート!C159</f>
        <v>Zone-2-NPMW-3</v>
      </c>
      <c r="E159">
        <f>セットアップレポート!D159</f>
        <v>1</v>
      </c>
      <c r="F159">
        <f>セットアップレポート!E159</f>
        <v>1</v>
      </c>
      <c r="G159" t="str">
        <f>セットアップレポート!F159</f>
        <v>20009L</v>
      </c>
      <c r="H159">
        <f>セットアップレポート!G159</f>
        <v>9</v>
      </c>
      <c r="I159" t="str">
        <f>セットアップレポート!H159</f>
        <v>L</v>
      </c>
      <c r="J159" t="str">
        <f>セットアップレポート!I159</f>
        <v>9000070021 100004</v>
      </c>
      <c r="K159">
        <f>セットアップレポート!J159</f>
        <v>9000070021</v>
      </c>
      <c r="L159">
        <f>セットアップレポート!K159</f>
        <v>0</v>
      </c>
      <c r="M159">
        <f>セットアップレポート!L159</f>
        <v>0</v>
      </c>
      <c r="N159">
        <f>セットアップレポート!M159</f>
        <v>0</v>
      </c>
      <c r="O159">
        <f>セットアップレポート!N159</f>
        <v>0</v>
      </c>
      <c r="P159" t="str">
        <f>セットアップレポート!O159</f>
        <v>FA0220AFA654335</v>
      </c>
      <c r="Q159">
        <f>セットアップレポート!P159</f>
        <v>2000</v>
      </c>
      <c r="R159">
        <f>セットアップレポート!Q159</f>
        <v>45950.474247685182</v>
      </c>
      <c r="S159">
        <f>セットアップレポート!R159</f>
        <v>0</v>
      </c>
      <c r="T159">
        <f>セットアップレポート!S159</f>
        <v>0</v>
      </c>
      <c r="U159">
        <f>セットアップレポート!T159</f>
        <v>0</v>
      </c>
      <c r="V159">
        <f>セットアップレポート!U159</f>
        <v>0</v>
      </c>
      <c r="W159">
        <f>セットアップレポート!V159</f>
        <v>0</v>
      </c>
      <c r="X159">
        <f>セットアップレポート!W159</f>
        <v>0</v>
      </c>
      <c r="Y159">
        <f>セットアップレポート!X159</f>
        <v>0</v>
      </c>
      <c r="Z159">
        <f>セットアップレポート!Y159</f>
        <v>0</v>
      </c>
      <c r="AA159">
        <f>セットアップレポート!Z159</f>
        <v>0</v>
      </c>
      <c r="AB159" t="str">
        <f>セットアップレポート!AA159</f>
        <v>NONE</v>
      </c>
      <c r="AC159">
        <f>セットアップレポート!AB159</f>
        <v>0</v>
      </c>
      <c r="AD159">
        <f>セットアップレポート!AC159</f>
        <v>0</v>
      </c>
      <c r="AE159">
        <f>セットアップレポート!AD159</f>
        <v>0</v>
      </c>
      <c r="AF159">
        <f>セットアップレポート!AE159</f>
        <v>0</v>
      </c>
      <c r="AG159">
        <f>セットアップレポート!AF159</f>
        <v>0</v>
      </c>
      <c r="AH159">
        <f>セットアップレポート!AG159</f>
        <v>0</v>
      </c>
    </row>
    <row r="160" spans="1:34" x14ac:dyDescent="0.45">
      <c r="A160" t="str">
        <f t="shared" si="2"/>
        <v>L2-NPM030010L9000063453</v>
      </c>
      <c r="B160" t="str">
        <f>セットアップレポート!A160</f>
        <v>Line-2</v>
      </c>
      <c r="C160" t="str">
        <f>セットアップレポート!B160</f>
        <v>L2-NPM03</v>
      </c>
      <c r="D160" t="str">
        <f>セットアップレポート!C160</f>
        <v>Zone-2-NPMW-3</v>
      </c>
      <c r="E160">
        <f>セットアップレポート!D160</f>
        <v>1</v>
      </c>
      <c r="F160">
        <f>セットアップレポート!E160</f>
        <v>1</v>
      </c>
      <c r="G160" t="str">
        <f>セットアップレポート!F160</f>
        <v>20010L</v>
      </c>
      <c r="H160">
        <f>セットアップレポート!G160</f>
        <v>10</v>
      </c>
      <c r="I160" t="str">
        <f>セットアップレポート!H160</f>
        <v>L</v>
      </c>
      <c r="J160" t="str">
        <f>セットアップレポート!I160</f>
        <v>9000063453 100009</v>
      </c>
      <c r="K160">
        <f>セットアップレポート!J160</f>
        <v>9000063453</v>
      </c>
      <c r="L160">
        <f>セットアップレポート!K160</f>
        <v>0</v>
      </c>
      <c r="M160">
        <f>セットアップレポート!L160</f>
        <v>0</v>
      </c>
      <c r="N160">
        <f>セットアップレポート!M160</f>
        <v>0</v>
      </c>
      <c r="O160">
        <f>セットアップレポート!N160</f>
        <v>0</v>
      </c>
      <c r="P160" t="str">
        <f>セットアップレポート!O160</f>
        <v>FA0220ADF311664</v>
      </c>
      <c r="Q160">
        <f>セットアップレポート!P160</f>
        <v>2500</v>
      </c>
      <c r="R160">
        <f>セットアップレポート!Q160</f>
        <v>45950.474247685182</v>
      </c>
      <c r="S160">
        <f>セットアップレポート!R160</f>
        <v>0</v>
      </c>
      <c r="T160" t="str">
        <f>セットアップレポート!S160</f>
        <v>Yes</v>
      </c>
      <c r="U160">
        <f>セットアップレポート!T160</f>
        <v>0</v>
      </c>
      <c r="V160" t="str">
        <f>セットアップレポート!U160</f>
        <v>9000063453 100012</v>
      </c>
      <c r="W160">
        <f>セットアップレポート!V160</f>
        <v>0</v>
      </c>
      <c r="X160">
        <f>セットアップレポート!W160</f>
        <v>0</v>
      </c>
      <c r="Y160">
        <f>セットアップレポート!X160</f>
        <v>0</v>
      </c>
      <c r="Z160">
        <f>セットアップレポート!Y160</f>
        <v>0</v>
      </c>
      <c r="AA160">
        <f>セットアップレポート!Z160</f>
        <v>0</v>
      </c>
      <c r="AB160" t="str">
        <f>セットアップレポート!AA160</f>
        <v>NONE</v>
      </c>
      <c r="AC160">
        <f>セットアップレポート!AB160</f>
        <v>0</v>
      </c>
      <c r="AD160">
        <f>セットアップレポート!AC160</f>
        <v>0</v>
      </c>
      <c r="AE160">
        <f>セットアップレポート!AD160</f>
        <v>0</v>
      </c>
      <c r="AF160">
        <f>セットアップレポート!AE160</f>
        <v>0</v>
      </c>
      <c r="AG160">
        <f>セットアップレポート!AF160</f>
        <v>0</v>
      </c>
      <c r="AH160">
        <f>セットアップレポート!AG160</f>
        <v>0</v>
      </c>
    </row>
    <row r="161" spans="1:34" x14ac:dyDescent="0.45">
      <c r="A161" t="str">
        <f t="shared" si="2"/>
        <v>L2-NPM030011L9000064628</v>
      </c>
      <c r="B161" t="str">
        <f>セットアップレポート!A161</f>
        <v>Line-2</v>
      </c>
      <c r="C161" t="str">
        <f>セットアップレポート!B161</f>
        <v>L2-NPM03</v>
      </c>
      <c r="D161" t="str">
        <f>セットアップレポート!C161</f>
        <v>Zone-2-NPMW-3</v>
      </c>
      <c r="E161">
        <f>セットアップレポート!D161</f>
        <v>1</v>
      </c>
      <c r="F161">
        <f>セットアップレポート!E161</f>
        <v>1</v>
      </c>
      <c r="G161" t="str">
        <f>セットアップレポート!F161</f>
        <v>20011L</v>
      </c>
      <c r="H161">
        <f>セットアップレポート!G161</f>
        <v>11</v>
      </c>
      <c r="I161" t="str">
        <f>セットアップレポート!H161</f>
        <v>L</v>
      </c>
      <c r="J161" t="str">
        <f>セットアップレポート!I161</f>
        <v>9000064628 100005</v>
      </c>
      <c r="K161">
        <f>セットアップレポート!J161</f>
        <v>9000064628</v>
      </c>
      <c r="L161">
        <f>セットアップレポート!K161</f>
        <v>0</v>
      </c>
      <c r="M161">
        <f>セットアップレポート!L161</f>
        <v>0</v>
      </c>
      <c r="N161">
        <f>セットアップレポート!M161</f>
        <v>0</v>
      </c>
      <c r="O161">
        <f>セットアップレポート!N161</f>
        <v>0</v>
      </c>
      <c r="P161" t="str">
        <f>セットアップレポート!O161</f>
        <v>FA0201ABD000382</v>
      </c>
      <c r="Q161">
        <f>セットアップレポート!P161</f>
        <v>15000</v>
      </c>
      <c r="R161">
        <f>セットアップレポート!Q161</f>
        <v>45950.474247685182</v>
      </c>
      <c r="S161" t="str">
        <f>セットアップレポート!R161</f>
        <v>ushigome takayuki</v>
      </c>
      <c r="T161" t="str">
        <f>セットアップレポート!S161</f>
        <v>Yes</v>
      </c>
      <c r="U161">
        <f>セットアップレポート!T161</f>
        <v>0</v>
      </c>
      <c r="V161" t="str">
        <f>セットアップレポート!U161</f>
        <v>9000064628 100007</v>
      </c>
      <c r="W161">
        <f>セットアップレポート!V161</f>
        <v>0</v>
      </c>
      <c r="X161">
        <f>セットアップレポート!W161</f>
        <v>0</v>
      </c>
      <c r="Y161">
        <f>セットアップレポート!X161</f>
        <v>0</v>
      </c>
      <c r="Z161">
        <f>セットアップレポート!Y161</f>
        <v>0</v>
      </c>
      <c r="AA161">
        <f>セットアップレポート!Z161</f>
        <v>0</v>
      </c>
      <c r="AB161" t="str">
        <f>セットアップレポート!AA161</f>
        <v>NONE</v>
      </c>
      <c r="AC161">
        <f>セットアップレポート!AB161</f>
        <v>0</v>
      </c>
      <c r="AD161">
        <f>セットアップレポート!AC161</f>
        <v>0</v>
      </c>
      <c r="AE161">
        <f>セットアップレポート!AD161</f>
        <v>0</v>
      </c>
      <c r="AF161">
        <f>セットアップレポート!AE161</f>
        <v>0</v>
      </c>
      <c r="AG161">
        <f>セットアップレポート!AF161</f>
        <v>0</v>
      </c>
      <c r="AH161">
        <f>セットアップレポート!AG161</f>
        <v>0</v>
      </c>
    </row>
    <row r="162" spans="1:34" x14ac:dyDescent="0.45">
      <c r="A162" t="str">
        <f t="shared" si="2"/>
        <v>L2-NPM030028L9000067265</v>
      </c>
      <c r="B162" t="str">
        <f>セットアップレポート!A162</f>
        <v>Line-2</v>
      </c>
      <c r="C162" t="str">
        <f>セットアップレポート!B162</f>
        <v>L2-NPM03</v>
      </c>
      <c r="D162" t="str">
        <f>セットアップレポート!C162</f>
        <v>Zone-2-NPMW-3</v>
      </c>
      <c r="E162">
        <f>セットアップレポート!D162</f>
        <v>1</v>
      </c>
      <c r="F162">
        <f>セットアップレポート!E162</f>
        <v>1</v>
      </c>
      <c r="G162" t="str">
        <f>セットアップレポート!F162</f>
        <v>10028L</v>
      </c>
      <c r="H162">
        <f>セットアップレポート!G162</f>
        <v>28</v>
      </c>
      <c r="I162" t="str">
        <f>セットアップレポート!H162</f>
        <v>L</v>
      </c>
      <c r="J162" t="str">
        <f>セットアップレポート!I162</f>
        <v>9000067265 100037</v>
      </c>
      <c r="K162">
        <f>セットアップレポート!J162</f>
        <v>9000067265</v>
      </c>
      <c r="L162">
        <f>セットアップレポート!K162</f>
        <v>0</v>
      </c>
      <c r="M162">
        <f>セットアップレポート!L162</f>
        <v>0</v>
      </c>
      <c r="N162">
        <f>セットアップレポート!M162</f>
        <v>0</v>
      </c>
      <c r="O162">
        <f>セットアップレポート!N162</f>
        <v>0</v>
      </c>
      <c r="P162" t="str">
        <f>セットアップレポート!O162</f>
        <v>FA0201ACD051057</v>
      </c>
      <c r="Q162">
        <f>セットアップレポート!P162</f>
        <v>4000</v>
      </c>
      <c r="R162">
        <f>セットアップレポート!Q162</f>
        <v>45930.45349537037</v>
      </c>
      <c r="S162">
        <f>セットアップレポート!R162</f>
        <v>0</v>
      </c>
      <c r="T162" t="str">
        <f>セットアップレポート!S162</f>
        <v>Yes</v>
      </c>
      <c r="U162">
        <f>セットアップレポート!T162</f>
        <v>0</v>
      </c>
      <c r="V162" t="str">
        <f>セットアップレポート!U162</f>
        <v>9000067265 100052</v>
      </c>
      <c r="W162">
        <f>セットアップレポート!V162</f>
        <v>0</v>
      </c>
      <c r="X162">
        <f>セットアップレポート!W162</f>
        <v>0</v>
      </c>
      <c r="Y162">
        <f>セットアップレポート!X162</f>
        <v>0</v>
      </c>
      <c r="Z162">
        <f>セットアップレポート!Y162</f>
        <v>0</v>
      </c>
      <c r="AA162">
        <f>セットアップレポート!Z162</f>
        <v>0</v>
      </c>
      <c r="AB162" t="str">
        <f>セットアップレポート!AA162</f>
        <v>NONE</v>
      </c>
      <c r="AC162">
        <f>セットアップレポート!AB162</f>
        <v>0</v>
      </c>
      <c r="AD162">
        <f>セットアップレポート!AC162</f>
        <v>0</v>
      </c>
      <c r="AE162">
        <f>セットアップレポート!AD162</f>
        <v>0</v>
      </c>
      <c r="AF162">
        <f>セットアップレポート!AE162</f>
        <v>0</v>
      </c>
      <c r="AG162">
        <f>セットアップレポート!AF162</f>
        <v>0</v>
      </c>
      <c r="AH162">
        <f>セットアップレポート!AG162</f>
        <v>0</v>
      </c>
    </row>
    <row r="163" spans="1:34" x14ac:dyDescent="0.45">
      <c r="A163" t="str">
        <f t="shared" si="2"/>
        <v>L2-NPM030029L9000035552</v>
      </c>
      <c r="B163" t="str">
        <f>セットアップレポート!A163</f>
        <v>Line-2</v>
      </c>
      <c r="C163" t="str">
        <f>セットアップレポート!B163</f>
        <v>L2-NPM03</v>
      </c>
      <c r="D163" t="str">
        <f>セットアップレポート!C163</f>
        <v>Zone-2-NPMW-3</v>
      </c>
      <c r="E163">
        <f>セットアップレポート!D163</f>
        <v>1</v>
      </c>
      <c r="F163">
        <f>セットアップレポート!E163</f>
        <v>1</v>
      </c>
      <c r="G163" t="str">
        <f>セットアップレポート!F163</f>
        <v>10029L</v>
      </c>
      <c r="H163">
        <f>セットアップレポート!G163</f>
        <v>29</v>
      </c>
      <c r="I163" t="str">
        <f>セットアップレポート!H163</f>
        <v>L</v>
      </c>
      <c r="J163" t="str">
        <f>セットアップレポート!I163</f>
        <v>9000035552 100173</v>
      </c>
      <c r="K163">
        <f>セットアップレポート!J163</f>
        <v>9000035552</v>
      </c>
      <c r="L163">
        <f>セットアップレポート!K163</f>
        <v>0</v>
      </c>
      <c r="M163">
        <f>セットアップレポート!L163</f>
        <v>0</v>
      </c>
      <c r="N163">
        <f>セットアップレポート!M163</f>
        <v>0</v>
      </c>
      <c r="O163">
        <f>セットアップレポート!N163</f>
        <v>0</v>
      </c>
      <c r="P163" t="str">
        <f>セットアップレポート!O163</f>
        <v>FA0201ABD000207</v>
      </c>
      <c r="Q163">
        <f>セットアップレポート!P163</f>
        <v>4000</v>
      </c>
      <c r="R163">
        <f>セットアップレポート!Q163</f>
        <v>45950.474236111113</v>
      </c>
      <c r="S163">
        <f>セットアップレポート!R163</f>
        <v>0</v>
      </c>
      <c r="T163">
        <f>セットアップレポート!S163</f>
        <v>0</v>
      </c>
      <c r="U163">
        <f>セットアップレポート!T163</f>
        <v>0</v>
      </c>
      <c r="V163">
        <f>セットアップレポート!U163</f>
        <v>0</v>
      </c>
      <c r="W163">
        <f>セットアップレポート!V163</f>
        <v>0</v>
      </c>
      <c r="X163">
        <f>セットアップレポート!W163</f>
        <v>0</v>
      </c>
      <c r="Y163">
        <f>セットアップレポート!X163</f>
        <v>0</v>
      </c>
      <c r="Z163">
        <f>セットアップレポート!Y163</f>
        <v>0</v>
      </c>
      <c r="AA163">
        <f>セットアップレポート!Z163</f>
        <v>0</v>
      </c>
      <c r="AB163" t="str">
        <f>セットアップレポート!AA163</f>
        <v>NONE</v>
      </c>
      <c r="AC163">
        <f>セットアップレポート!AB163</f>
        <v>0</v>
      </c>
      <c r="AD163">
        <f>セットアップレポート!AC163</f>
        <v>0</v>
      </c>
      <c r="AE163">
        <f>セットアップレポート!AD163</f>
        <v>0</v>
      </c>
      <c r="AF163">
        <f>セットアップレポート!AE163</f>
        <v>0</v>
      </c>
      <c r="AG163">
        <f>セットアップレポート!AF163</f>
        <v>0</v>
      </c>
      <c r="AH163">
        <f>セットアップレポート!AG163</f>
        <v>0</v>
      </c>
    </row>
    <row r="164" spans="1:34" x14ac:dyDescent="0.45">
      <c r="A164" t="str">
        <f t="shared" si="2"/>
        <v>L2-NPM030012L928444</v>
      </c>
      <c r="B164" t="str">
        <f>セットアップレポート!A164</f>
        <v>Line-2</v>
      </c>
      <c r="C164" t="str">
        <f>セットアップレポート!B164</f>
        <v>L2-NPM03</v>
      </c>
      <c r="D164" t="str">
        <f>セットアップレポート!C164</f>
        <v>Zone-2-NPMW-3</v>
      </c>
      <c r="E164">
        <f>セットアップレポート!D164</f>
        <v>1</v>
      </c>
      <c r="F164">
        <f>セットアップレポート!E164</f>
        <v>1</v>
      </c>
      <c r="G164" t="str">
        <f>セットアップレポート!F164</f>
        <v>20012L</v>
      </c>
      <c r="H164">
        <f>セットアップレポート!G164</f>
        <v>12</v>
      </c>
      <c r="I164" t="str">
        <f>セットアップレポート!H164</f>
        <v>L</v>
      </c>
      <c r="J164" t="str">
        <f>セットアップレポート!I164</f>
        <v>928444 100597</v>
      </c>
      <c r="K164">
        <f>セットアップレポート!J164</f>
        <v>928444</v>
      </c>
      <c r="L164">
        <f>セットアップレポート!K164</f>
        <v>0</v>
      </c>
      <c r="M164">
        <f>セットアップレポート!L164</f>
        <v>0</v>
      </c>
      <c r="N164">
        <f>セットアップレポート!M164</f>
        <v>0</v>
      </c>
      <c r="O164">
        <f>セットアップレポート!N164</f>
        <v>0</v>
      </c>
      <c r="P164" t="str">
        <f>セットアップレポート!O164</f>
        <v>FA0220ADF311648</v>
      </c>
      <c r="Q164">
        <f>セットアップレポート!P164</f>
        <v>2000</v>
      </c>
      <c r="R164">
        <f>セットアップレポート!Q164</f>
        <v>45950.474247685182</v>
      </c>
      <c r="S164">
        <f>セットアップレポート!R164</f>
        <v>0</v>
      </c>
      <c r="T164">
        <f>セットアップレポート!S164</f>
        <v>0</v>
      </c>
      <c r="U164">
        <f>セットアップレポート!T164</f>
        <v>0</v>
      </c>
      <c r="V164">
        <f>セットアップレポート!U164</f>
        <v>0</v>
      </c>
      <c r="W164">
        <f>セットアップレポート!V164</f>
        <v>0</v>
      </c>
      <c r="X164">
        <f>セットアップレポート!W164</f>
        <v>0</v>
      </c>
      <c r="Y164">
        <f>セットアップレポート!X164</f>
        <v>0</v>
      </c>
      <c r="Z164">
        <f>セットアップレポート!Y164</f>
        <v>0</v>
      </c>
      <c r="AA164">
        <f>セットアップレポート!Z164</f>
        <v>0</v>
      </c>
      <c r="AB164" t="str">
        <f>セットアップレポート!AA164</f>
        <v>NONE</v>
      </c>
      <c r="AC164">
        <f>セットアップレポート!AB164</f>
        <v>0</v>
      </c>
      <c r="AD164">
        <f>セットアップレポート!AC164</f>
        <v>0</v>
      </c>
      <c r="AE164">
        <f>セットアップレポート!AD164</f>
        <v>0</v>
      </c>
      <c r="AF164">
        <f>セットアップレポート!AE164</f>
        <v>0</v>
      </c>
      <c r="AG164">
        <f>セットアップレポート!AF164</f>
        <v>0</v>
      </c>
      <c r="AH164">
        <f>セットアップレポート!AG164</f>
        <v>0</v>
      </c>
    </row>
    <row r="165" spans="1:34" x14ac:dyDescent="0.45">
      <c r="A165" t="str">
        <f t="shared" si="2"/>
        <v>L2-NPM030013L650191A</v>
      </c>
      <c r="B165" t="str">
        <f>セットアップレポート!A165</f>
        <v>Line-2</v>
      </c>
      <c r="C165" t="str">
        <f>セットアップレポート!B165</f>
        <v>L2-NPM03</v>
      </c>
      <c r="D165" t="str">
        <f>セットアップレポート!C165</f>
        <v>Zone-2-NPMW-3</v>
      </c>
      <c r="E165">
        <f>セットアップレポート!D165</f>
        <v>1</v>
      </c>
      <c r="F165">
        <f>セットアップレポート!E165</f>
        <v>1</v>
      </c>
      <c r="G165" t="str">
        <f>セットアップレポート!F165</f>
        <v>20013L</v>
      </c>
      <c r="H165">
        <f>セットアップレポート!G165</f>
        <v>13</v>
      </c>
      <c r="I165" t="str">
        <f>セットアップレポート!H165</f>
        <v>L</v>
      </c>
      <c r="J165" t="str">
        <f>セットアップレポート!I165</f>
        <v>650191A100136</v>
      </c>
      <c r="K165" t="str">
        <f>セットアップレポート!J165</f>
        <v>650191A</v>
      </c>
      <c r="L165">
        <f>セットアップレポート!K165</f>
        <v>0</v>
      </c>
      <c r="M165">
        <f>セットアップレポート!L165</f>
        <v>0</v>
      </c>
      <c r="N165">
        <f>セットアップレポート!M165</f>
        <v>0</v>
      </c>
      <c r="O165">
        <f>セットアップレポート!N165</f>
        <v>0</v>
      </c>
      <c r="P165" t="str">
        <f>セットアップレポート!O165</f>
        <v>FA0220AFA654312</v>
      </c>
      <c r="Q165">
        <f>セットアップレポート!P165</f>
        <v>4000</v>
      </c>
      <c r="R165">
        <f>セットアップレポート!Q165</f>
        <v>45950.474247685182</v>
      </c>
      <c r="S165">
        <f>セットアップレポート!R165</f>
        <v>0</v>
      </c>
      <c r="T165">
        <f>セットアップレポート!S165</f>
        <v>0</v>
      </c>
      <c r="U165">
        <f>セットアップレポート!T165</f>
        <v>0</v>
      </c>
      <c r="V165">
        <f>セットアップレポート!U165</f>
        <v>0</v>
      </c>
      <c r="W165">
        <f>セットアップレポート!V165</f>
        <v>0</v>
      </c>
      <c r="X165">
        <f>セットアップレポート!W165</f>
        <v>0</v>
      </c>
      <c r="Y165">
        <f>セットアップレポート!X165</f>
        <v>0</v>
      </c>
      <c r="Z165">
        <f>セットアップレポート!Y165</f>
        <v>0</v>
      </c>
      <c r="AA165">
        <f>セットアップレポート!Z165</f>
        <v>0</v>
      </c>
      <c r="AB165" t="str">
        <f>セットアップレポート!AA165</f>
        <v>NONE</v>
      </c>
      <c r="AC165">
        <f>セットアップレポート!AB165</f>
        <v>0</v>
      </c>
      <c r="AD165">
        <f>セットアップレポート!AC165</f>
        <v>0</v>
      </c>
      <c r="AE165">
        <f>セットアップレポート!AD165</f>
        <v>0</v>
      </c>
      <c r="AF165">
        <f>セットアップレポート!AE165</f>
        <v>0</v>
      </c>
      <c r="AG165">
        <f>セットアップレポート!AF165</f>
        <v>0</v>
      </c>
      <c r="AH165">
        <f>セットアップレポート!AG165</f>
        <v>0</v>
      </c>
    </row>
    <row r="166" spans="1:34" x14ac:dyDescent="0.45">
      <c r="A166" t="str">
        <f t="shared" si="2"/>
        <v>L2-NPM030014L9000063611</v>
      </c>
      <c r="B166" t="str">
        <f>セットアップレポート!A166</f>
        <v>Line-2</v>
      </c>
      <c r="C166" t="str">
        <f>セットアップレポート!B166</f>
        <v>L2-NPM03</v>
      </c>
      <c r="D166" t="str">
        <f>セットアップレポート!C166</f>
        <v>Zone-2-NPMW-3</v>
      </c>
      <c r="E166">
        <f>セットアップレポート!D166</f>
        <v>1</v>
      </c>
      <c r="F166">
        <f>セットアップレポート!E166</f>
        <v>1</v>
      </c>
      <c r="G166" t="str">
        <f>セットアップレポート!F166</f>
        <v>20014L</v>
      </c>
      <c r="H166">
        <f>セットアップレポート!G166</f>
        <v>14</v>
      </c>
      <c r="I166" t="str">
        <f>セットアップレポート!H166</f>
        <v>L</v>
      </c>
      <c r="J166" t="str">
        <f>セットアップレポート!I166</f>
        <v>9000063611 100084</v>
      </c>
      <c r="K166">
        <f>セットアップレポート!J166</f>
        <v>9000063611</v>
      </c>
      <c r="L166">
        <f>セットアップレポート!K166</f>
        <v>0</v>
      </c>
      <c r="M166">
        <f>セットアップレポート!L166</f>
        <v>0</v>
      </c>
      <c r="N166">
        <f>セットアップレポート!M166</f>
        <v>0</v>
      </c>
      <c r="O166">
        <f>セットアップレポート!N166</f>
        <v>0</v>
      </c>
      <c r="P166" t="str">
        <f>セットアップレポート!O166</f>
        <v>FA0220ACH328545</v>
      </c>
      <c r="Q166">
        <f>セットアップレポート!P166</f>
        <v>4000</v>
      </c>
      <c r="R166">
        <f>セットアップレポート!Q166</f>
        <v>45950.474247685182</v>
      </c>
      <c r="S166">
        <f>セットアップレポート!R166</f>
        <v>0</v>
      </c>
      <c r="T166">
        <f>セットアップレポート!S166</f>
        <v>0</v>
      </c>
      <c r="U166">
        <f>セットアップレポート!T166</f>
        <v>0</v>
      </c>
      <c r="V166">
        <f>セットアップレポート!U166</f>
        <v>0</v>
      </c>
      <c r="W166">
        <f>セットアップレポート!V166</f>
        <v>0</v>
      </c>
      <c r="X166">
        <f>セットアップレポート!W166</f>
        <v>0</v>
      </c>
      <c r="Y166">
        <f>セットアップレポート!X166</f>
        <v>0</v>
      </c>
      <c r="Z166">
        <f>セットアップレポート!Y166</f>
        <v>0</v>
      </c>
      <c r="AA166">
        <f>セットアップレポート!Z166</f>
        <v>0</v>
      </c>
      <c r="AB166" t="str">
        <f>セットアップレポート!AA166</f>
        <v>NONE</v>
      </c>
      <c r="AC166">
        <f>セットアップレポート!AB166</f>
        <v>0</v>
      </c>
      <c r="AD166">
        <f>セットアップレポート!AC166</f>
        <v>0</v>
      </c>
      <c r="AE166">
        <f>セットアップレポート!AD166</f>
        <v>0</v>
      </c>
      <c r="AF166">
        <f>セットアップレポート!AE166</f>
        <v>0</v>
      </c>
      <c r="AG166">
        <f>セットアップレポート!AF166</f>
        <v>0</v>
      </c>
      <c r="AH166">
        <f>セットアップレポート!AG166</f>
        <v>0</v>
      </c>
    </row>
    <row r="167" spans="1:34" x14ac:dyDescent="0.45">
      <c r="A167" t="str">
        <f t="shared" si="2"/>
        <v>L2-NPM030015L9000067212</v>
      </c>
      <c r="B167" t="str">
        <f>セットアップレポート!A167</f>
        <v>Line-2</v>
      </c>
      <c r="C167" t="str">
        <f>セットアップレポート!B167</f>
        <v>L2-NPM03</v>
      </c>
      <c r="D167" t="str">
        <f>セットアップレポート!C167</f>
        <v>Zone-2-NPMW-3</v>
      </c>
      <c r="E167">
        <f>セットアップレポート!D167</f>
        <v>1</v>
      </c>
      <c r="F167">
        <f>セットアップレポート!E167</f>
        <v>1</v>
      </c>
      <c r="G167" t="str">
        <f>セットアップレポート!F167</f>
        <v>20015L</v>
      </c>
      <c r="H167">
        <f>セットアップレポート!G167</f>
        <v>15</v>
      </c>
      <c r="I167" t="str">
        <f>セットアップレポート!H167</f>
        <v>L</v>
      </c>
      <c r="J167" t="str">
        <f>セットアップレポート!I167</f>
        <v>9000067212 100007</v>
      </c>
      <c r="K167">
        <f>セットアップレポート!J167</f>
        <v>9000067212</v>
      </c>
      <c r="L167">
        <f>セットアップレポート!K167</f>
        <v>0</v>
      </c>
      <c r="M167">
        <f>セットアップレポート!L167</f>
        <v>0</v>
      </c>
      <c r="N167">
        <f>セットアップレポート!M167</f>
        <v>0</v>
      </c>
      <c r="O167">
        <f>セットアップレポート!N167</f>
        <v>0</v>
      </c>
      <c r="P167" t="str">
        <f>セットアップレポート!O167</f>
        <v>FA0201ACD051440</v>
      </c>
      <c r="Q167">
        <f>セットアップレポート!P167</f>
        <v>2000</v>
      </c>
      <c r="R167">
        <f>セットアップレポート!Q167</f>
        <v>45950.474247685182</v>
      </c>
      <c r="S167">
        <f>セットアップレポート!R167</f>
        <v>0</v>
      </c>
      <c r="T167">
        <f>セットアップレポート!S167</f>
        <v>0</v>
      </c>
      <c r="U167">
        <f>セットアップレポート!T167</f>
        <v>0</v>
      </c>
      <c r="V167">
        <f>セットアップレポート!U167</f>
        <v>0</v>
      </c>
      <c r="W167">
        <f>セットアップレポート!V167</f>
        <v>0</v>
      </c>
      <c r="X167">
        <f>セットアップレポート!W167</f>
        <v>0</v>
      </c>
      <c r="Y167">
        <f>セットアップレポート!X167</f>
        <v>0</v>
      </c>
      <c r="Z167">
        <f>セットアップレポート!Y167</f>
        <v>0</v>
      </c>
      <c r="AA167">
        <f>セットアップレポート!Z167</f>
        <v>0</v>
      </c>
      <c r="AB167" t="str">
        <f>セットアップレポート!AA167</f>
        <v>NONE</v>
      </c>
      <c r="AC167">
        <f>セットアップレポート!AB167</f>
        <v>0</v>
      </c>
      <c r="AD167">
        <f>セットアップレポート!AC167</f>
        <v>0</v>
      </c>
      <c r="AE167">
        <f>セットアップレポート!AD167</f>
        <v>0</v>
      </c>
      <c r="AF167">
        <f>セットアップレポート!AE167</f>
        <v>0</v>
      </c>
      <c r="AG167">
        <f>セットアップレポート!AF167</f>
        <v>0</v>
      </c>
      <c r="AH167">
        <f>セットアップレポート!AG167</f>
        <v>0</v>
      </c>
    </row>
    <row r="168" spans="1:34" x14ac:dyDescent="0.45">
      <c r="A168" t="str">
        <f t="shared" si="2"/>
        <v>L2-NPM030030L667538A</v>
      </c>
      <c r="B168" t="str">
        <f>セットアップレポート!A168</f>
        <v>Line-2</v>
      </c>
      <c r="C168" t="str">
        <f>セットアップレポート!B168</f>
        <v>L2-NPM03</v>
      </c>
      <c r="D168" t="str">
        <f>セットアップレポート!C168</f>
        <v>Zone-2-NPMW-3</v>
      </c>
      <c r="E168">
        <f>セットアップレポート!D168</f>
        <v>1</v>
      </c>
      <c r="F168">
        <f>セットアップレポート!E168</f>
        <v>1</v>
      </c>
      <c r="G168" t="str">
        <f>セットアップレポート!F168</f>
        <v>10030L</v>
      </c>
      <c r="H168">
        <f>セットアップレポート!G168</f>
        <v>30</v>
      </c>
      <c r="I168" t="str">
        <f>セットアップレポート!H168</f>
        <v>L</v>
      </c>
      <c r="J168" t="str">
        <f>セットアップレポート!I168</f>
        <v>667538A100236</v>
      </c>
      <c r="K168" t="str">
        <f>セットアップレポート!J168</f>
        <v>667538A</v>
      </c>
      <c r="L168">
        <f>セットアップレポート!K168</f>
        <v>0</v>
      </c>
      <c r="M168">
        <f>セットアップレポート!L168</f>
        <v>0</v>
      </c>
      <c r="N168">
        <f>セットアップレポート!M168</f>
        <v>0</v>
      </c>
      <c r="O168">
        <f>セットアップレポート!N168</f>
        <v>0</v>
      </c>
      <c r="P168" t="str">
        <f>セットアップレポート!O168</f>
        <v>FA0201ACD051218</v>
      </c>
      <c r="Q168">
        <f>セットアップレポート!P168</f>
        <v>5000</v>
      </c>
      <c r="R168">
        <f>セットアップレポート!Q168</f>
        <v>45950.474247685182</v>
      </c>
      <c r="S168">
        <f>セットアップレポート!R168</f>
        <v>0</v>
      </c>
      <c r="T168" t="str">
        <f>セットアップレポート!S168</f>
        <v>Yes</v>
      </c>
      <c r="U168">
        <f>セットアップレポート!T168</f>
        <v>0</v>
      </c>
      <c r="V168" t="str">
        <f>セットアップレポート!U168</f>
        <v>667538A100281</v>
      </c>
      <c r="W168">
        <f>セットアップレポート!V168</f>
        <v>0</v>
      </c>
      <c r="X168">
        <f>セットアップレポート!W168</f>
        <v>0</v>
      </c>
      <c r="Y168">
        <f>セットアップレポート!X168</f>
        <v>0</v>
      </c>
      <c r="Z168">
        <f>セットアップレポート!Y168</f>
        <v>0</v>
      </c>
      <c r="AA168">
        <f>セットアップレポート!Z168</f>
        <v>0</v>
      </c>
      <c r="AB168" t="str">
        <f>セットアップレポート!AA168</f>
        <v>NONE</v>
      </c>
      <c r="AC168">
        <f>セットアップレポート!AB168</f>
        <v>0</v>
      </c>
      <c r="AD168">
        <f>セットアップレポート!AC168</f>
        <v>0</v>
      </c>
      <c r="AE168">
        <f>セットアップレポート!AD168</f>
        <v>0</v>
      </c>
      <c r="AF168">
        <f>セットアップレポート!AE168</f>
        <v>0</v>
      </c>
      <c r="AG168">
        <f>セットアップレポート!AF168</f>
        <v>0</v>
      </c>
      <c r="AH168">
        <f>セットアップレポート!AG168</f>
        <v>0</v>
      </c>
    </row>
    <row r="169" spans="1:34" x14ac:dyDescent="0.45">
      <c r="A169" t="str">
        <f t="shared" si="2"/>
        <v>L2-NPM030016L661366</v>
      </c>
      <c r="B169" t="str">
        <f>セットアップレポート!A169</f>
        <v>Line-2</v>
      </c>
      <c r="C169" t="str">
        <f>セットアップレポート!B169</f>
        <v>L2-NPM03</v>
      </c>
      <c r="D169" t="str">
        <f>セットアップレポート!C169</f>
        <v>Zone-2-NPMW-3</v>
      </c>
      <c r="E169">
        <f>セットアップレポート!D169</f>
        <v>1</v>
      </c>
      <c r="F169">
        <f>セットアップレポート!E169</f>
        <v>1</v>
      </c>
      <c r="G169" t="str">
        <f>セットアップレポート!F169</f>
        <v>20016L</v>
      </c>
      <c r="H169">
        <f>セットアップレポート!G169</f>
        <v>16</v>
      </c>
      <c r="I169" t="str">
        <f>セットアップレポート!H169</f>
        <v>L</v>
      </c>
      <c r="J169" t="str">
        <f>セットアップレポート!I169</f>
        <v>661366 100480</v>
      </c>
      <c r="K169">
        <f>セットアップレポート!J169</f>
        <v>661366</v>
      </c>
      <c r="L169">
        <f>セットアップレポート!K169</f>
        <v>0</v>
      </c>
      <c r="M169">
        <f>セットアップレポート!L169</f>
        <v>0</v>
      </c>
      <c r="N169">
        <f>セットアップレポート!M169</f>
        <v>0</v>
      </c>
      <c r="O169">
        <f>セットアップレポート!N169</f>
        <v>0</v>
      </c>
      <c r="P169" t="str">
        <f>セットアップレポート!O169</f>
        <v>FA0201ACD049868</v>
      </c>
      <c r="Q169">
        <f>セットアップレポート!P169</f>
        <v>5000</v>
      </c>
      <c r="R169">
        <f>セットアップレポート!Q169</f>
        <v>45950.474247685182</v>
      </c>
      <c r="S169">
        <f>セットアップレポート!R169</f>
        <v>0</v>
      </c>
      <c r="T169" t="str">
        <f>セットアップレポート!S169</f>
        <v>Yes</v>
      </c>
      <c r="U169">
        <f>セットアップレポート!T169</f>
        <v>0</v>
      </c>
      <c r="V169" t="str">
        <f>セットアップレポート!U169</f>
        <v>661366 100508</v>
      </c>
      <c r="W169">
        <f>セットアップレポート!V169</f>
        <v>0</v>
      </c>
      <c r="X169">
        <f>セットアップレポート!W169</f>
        <v>0</v>
      </c>
      <c r="Y169">
        <f>セットアップレポート!X169</f>
        <v>0</v>
      </c>
      <c r="Z169">
        <f>セットアップレポート!Y169</f>
        <v>0</v>
      </c>
      <c r="AA169">
        <f>セットアップレポート!Z169</f>
        <v>0</v>
      </c>
      <c r="AB169" t="str">
        <f>セットアップレポート!AA169</f>
        <v>NONE</v>
      </c>
      <c r="AC169">
        <f>セットアップレポート!AB169</f>
        <v>0</v>
      </c>
      <c r="AD169">
        <f>セットアップレポート!AC169</f>
        <v>0</v>
      </c>
      <c r="AE169">
        <f>セットアップレポート!AD169</f>
        <v>0</v>
      </c>
      <c r="AF169">
        <f>セットアップレポート!AE169</f>
        <v>0</v>
      </c>
      <c r="AG169">
        <f>セットアップレポート!AF169</f>
        <v>0</v>
      </c>
      <c r="AH169">
        <f>セットアップレポート!AG169</f>
        <v>0</v>
      </c>
    </row>
    <row r="170" spans="1:34" x14ac:dyDescent="0.45">
      <c r="A170" t="str">
        <f t="shared" si="2"/>
        <v>L2-NPM030017L9000061664</v>
      </c>
      <c r="B170" t="str">
        <f>セットアップレポート!A170</f>
        <v>Line-2</v>
      </c>
      <c r="C170" t="str">
        <f>セットアップレポート!B170</f>
        <v>L2-NPM03</v>
      </c>
      <c r="D170" t="str">
        <f>セットアップレポート!C170</f>
        <v>Zone-2-NPMW-3</v>
      </c>
      <c r="E170">
        <f>セットアップレポート!D170</f>
        <v>1</v>
      </c>
      <c r="F170">
        <f>セットアップレポート!E170</f>
        <v>1</v>
      </c>
      <c r="G170" t="str">
        <f>セットアップレポート!F170</f>
        <v>20017L</v>
      </c>
      <c r="H170">
        <f>セットアップレポート!G170</f>
        <v>17</v>
      </c>
      <c r="I170" t="str">
        <f>セットアップレポート!H170</f>
        <v>L</v>
      </c>
      <c r="J170" t="str">
        <f>セットアップレポート!I170</f>
        <v>9000061664 100349</v>
      </c>
      <c r="K170">
        <f>セットアップレポート!J170</f>
        <v>9000061664</v>
      </c>
      <c r="L170">
        <f>セットアップレポート!K170</f>
        <v>0</v>
      </c>
      <c r="M170">
        <f>セットアップレポート!L170</f>
        <v>0</v>
      </c>
      <c r="N170">
        <f>セットアップレポート!M170</f>
        <v>0</v>
      </c>
      <c r="O170">
        <f>セットアップレポート!N170</f>
        <v>0</v>
      </c>
      <c r="P170" t="str">
        <f>セットアップレポート!O170</f>
        <v>FA0201ABA002717</v>
      </c>
      <c r="Q170">
        <f>セットアップレポート!P170</f>
        <v>1000</v>
      </c>
      <c r="R170">
        <f>セットアップレポート!Q170</f>
        <v>45950.474247685182</v>
      </c>
      <c r="S170">
        <f>セットアップレポート!R170</f>
        <v>0</v>
      </c>
      <c r="T170">
        <f>セットアップレポート!S170</f>
        <v>0</v>
      </c>
      <c r="U170">
        <f>セットアップレポート!T170</f>
        <v>0</v>
      </c>
      <c r="V170">
        <f>セットアップレポート!U170</f>
        <v>0</v>
      </c>
      <c r="W170">
        <f>セットアップレポート!V170</f>
        <v>0</v>
      </c>
      <c r="X170">
        <f>セットアップレポート!W170</f>
        <v>0</v>
      </c>
      <c r="Y170">
        <f>セットアップレポート!X170</f>
        <v>0</v>
      </c>
      <c r="Z170">
        <f>セットアップレポート!Y170</f>
        <v>0</v>
      </c>
      <c r="AA170">
        <f>セットアップレポート!Z170</f>
        <v>0</v>
      </c>
      <c r="AB170" t="str">
        <f>セットアップレポート!AA170</f>
        <v>NONE</v>
      </c>
      <c r="AC170">
        <f>セットアップレポート!AB170</f>
        <v>0</v>
      </c>
      <c r="AD170">
        <f>セットアップレポート!AC170</f>
        <v>0</v>
      </c>
      <c r="AE170">
        <f>セットアップレポート!AD170</f>
        <v>0</v>
      </c>
      <c r="AF170">
        <f>セットアップレポート!AE170</f>
        <v>0</v>
      </c>
      <c r="AG170">
        <f>セットアップレポート!AF170</f>
        <v>0</v>
      </c>
      <c r="AH170">
        <f>セットアップレポート!AG170</f>
        <v>0</v>
      </c>
    </row>
    <row r="171" spans="1:34" x14ac:dyDescent="0.45">
      <c r="A171" t="str">
        <f t="shared" si="2"/>
        <v>L2-NPM030018LT690878</v>
      </c>
      <c r="B171" t="str">
        <f>セットアップレポート!A171</f>
        <v>Line-2</v>
      </c>
      <c r="C171" t="str">
        <f>セットアップレポート!B171</f>
        <v>L2-NPM03</v>
      </c>
      <c r="D171" t="str">
        <f>セットアップレポート!C171</f>
        <v>Zone-2-NPMW-3</v>
      </c>
      <c r="E171">
        <f>セットアップレポート!D171</f>
        <v>1</v>
      </c>
      <c r="F171">
        <f>セットアップレポート!E171</f>
        <v>1</v>
      </c>
      <c r="G171" t="str">
        <f>セットアップレポート!F171</f>
        <v>20018L</v>
      </c>
      <c r="H171">
        <f>セットアップレポート!G171</f>
        <v>18</v>
      </c>
      <c r="I171" t="str">
        <f>セットアップレポート!H171</f>
        <v>L</v>
      </c>
      <c r="J171" t="str">
        <f>セットアップレポート!I171</f>
        <v>T690878 100001</v>
      </c>
      <c r="K171" t="str">
        <f>セットアップレポート!J171</f>
        <v>T690878</v>
      </c>
      <c r="L171">
        <f>セットアップレポート!K171</f>
        <v>0</v>
      </c>
      <c r="M171">
        <f>セットアップレポート!L171</f>
        <v>0</v>
      </c>
      <c r="N171">
        <f>セットアップレポート!M171</f>
        <v>0</v>
      </c>
      <c r="O171">
        <f>セットアップレポート!N171</f>
        <v>0</v>
      </c>
      <c r="P171" t="str">
        <f>セットアップレポート!O171</f>
        <v>FA0201ABA002173</v>
      </c>
      <c r="Q171">
        <f>セットアップレポート!P171</f>
        <v>5501</v>
      </c>
      <c r="R171">
        <f>セットアップレポート!Q171</f>
        <v>45950.474247685182</v>
      </c>
      <c r="S171">
        <f>セットアップレポート!R171</f>
        <v>0</v>
      </c>
      <c r="T171">
        <f>セットアップレポート!S171</f>
        <v>0</v>
      </c>
      <c r="U171">
        <f>セットアップレポート!T171</f>
        <v>0</v>
      </c>
      <c r="V171">
        <f>セットアップレポート!U171</f>
        <v>0</v>
      </c>
      <c r="W171">
        <f>セットアップレポート!V171</f>
        <v>0</v>
      </c>
      <c r="X171">
        <f>セットアップレポート!W171</f>
        <v>0</v>
      </c>
      <c r="Y171">
        <f>セットアップレポート!X171</f>
        <v>0</v>
      </c>
      <c r="Z171">
        <f>セットアップレポート!Y171</f>
        <v>0</v>
      </c>
      <c r="AA171">
        <f>セットアップレポート!Z171</f>
        <v>0</v>
      </c>
      <c r="AB171" t="str">
        <f>セットアップレポート!AA171</f>
        <v>NONE</v>
      </c>
      <c r="AC171">
        <f>セットアップレポート!AB171</f>
        <v>0</v>
      </c>
      <c r="AD171">
        <f>セットアップレポート!AC171</f>
        <v>0</v>
      </c>
      <c r="AE171">
        <f>セットアップレポート!AD171</f>
        <v>0</v>
      </c>
      <c r="AF171">
        <f>セットアップレポート!AE171</f>
        <v>0</v>
      </c>
      <c r="AG171">
        <f>セットアップレポート!AF171</f>
        <v>0</v>
      </c>
      <c r="AH171">
        <f>セットアップレポート!AG171</f>
        <v>0</v>
      </c>
    </row>
    <row r="172" spans="1:34" x14ac:dyDescent="0.45">
      <c r="A172" t="str">
        <f t="shared" si="2"/>
        <v>L2-NPM030019L678794</v>
      </c>
      <c r="B172" t="str">
        <f>セットアップレポート!A172</f>
        <v>Line-2</v>
      </c>
      <c r="C172" t="str">
        <f>セットアップレポート!B172</f>
        <v>L2-NPM03</v>
      </c>
      <c r="D172" t="str">
        <f>セットアップレポート!C172</f>
        <v>Zone-2-NPMW-3</v>
      </c>
      <c r="E172">
        <f>セットアップレポート!D172</f>
        <v>1</v>
      </c>
      <c r="F172">
        <f>セットアップレポート!E172</f>
        <v>1</v>
      </c>
      <c r="G172" t="str">
        <f>セットアップレポート!F172</f>
        <v>20019L</v>
      </c>
      <c r="H172">
        <f>セットアップレポート!G172</f>
        <v>19</v>
      </c>
      <c r="I172" t="str">
        <f>セットアップレポート!H172</f>
        <v>L</v>
      </c>
      <c r="J172" t="str">
        <f>セットアップレポート!I172</f>
        <v>678794 100119</v>
      </c>
      <c r="K172">
        <f>セットアップレポート!J172</f>
        <v>678794</v>
      </c>
      <c r="L172">
        <f>セットアップレポート!K172</f>
        <v>0</v>
      </c>
      <c r="M172">
        <f>セットアップレポート!L172</f>
        <v>0</v>
      </c>
      <c r="N172">
        <f>セットアップレポート!M172</f>
        <v>0</v>
      </c>
      <c r="O172">
        <f>セットアップレポート!N172</f>
        <v>0</v>
      </c>
      <c r="P172" t="str">
        <f>セットアップレポート!O172</f>
        <v>FA0201ACD051122</v>
      </c>
      <c r="Q172">
        <f>セットアップレポート!P172</f>
        <v>4000</v>
      </c>
      <c r="R172">
        <f>セットアップレポート!Q172</f>
        <v>45950.474247685182</v>
      </c>
      <c r="S172">
        <f>セットアップレポート!R172</f>
        <v>0</v>
      </c>
      <c r="T172">
        <f>セットアップレポート!S172</f>
        <v>0</v>
      </c>
      <c r="U172">
        <f>セットアップレポート!T172</f>
        <v>0</v>
      </c>
      <c r="V172">
        <f>セットアップレポート!U172</f>
        <v>0</v>
      </c>
      <c r="W172">
        <f>セットアップレポート!V172</f>
        <v>0</v>
      </c>
      <c r="X172">
        <f>セットアップレポート!W172</f>
        <v>0</v>
      </c>
      <c r="Y172">
        <f>セットアップレポート!X172</f>
        <v>0</v>
      </c>
      <c r="Z172">
        <f>セットアップレポート!Y172</f>
        <v>0</v>
      </c>
      <c r="AA172">
        <f>セットアップレポート!Z172</f>
        <v>0</v>
      </c>
      <c r="AB172" t="str">
        <f>セットアップレポート!AA172</f>
        <v>NONE</v>
      </c>
      <c r="AC172">
        <f>セットアップレポート!AB172</f>
        <v>0</v>
      </c>
      <c r="AD172">
        <f>セットアップレポート!AC172</f>
        <v>0</v>
      </c>
      <c r="AE172">
        <f>セットアップレポート!AD172</f>
        <v>0</v>
      </c>
      <c r="AF172">
        <f>セットアップレポート!AE172</f>
        <v>0</v>
      </c>
      <c r="AG172">
        <f>セットアップレポート!AF172</f>
        <v>0</v>
      </c>
      <c r="AH172">
        <f>セットアップレポート!AG172</f>
        <v>0</v>
      </c>
    </row>
    <row r="173" spans="1:34" x14ac:dyDescent="0.45">
      <c r="A173" t="str">
        <f t="shared" si="2"/>
        <v>L2-NPM030020L9000044952</v>
      </c>
      <c r="B173" t="str">
        <f>セットアップレポート!A173</f>
        <v>Line-2</v>
      </c>
      <c r="C173" t="str">
        <f>セットアップレポート!B173</f>
        <v>L2-NPM03</v>
      </c>
      <c r="D173" t="str">
        <f>セットアップレポート!C173</f>
        <v>Zone-2-NPMW-3</v>
      </c>
      <c r="E173">
        <f>セットアップレポート!D173</f>
        <v>1</v>
      </c>
      <c r="F173">
        <f>セットアップレポート!E173</f>
        <v>1</v>
      </c>
      <c r="G173" t="str">
        <f>セットアップレポート!F173</f>
        <v>20020L</v>
      </c>
      <c r="H173">
        <f>セットアップレポート!G173</f>
        <v>20</v>
      </c>
      <c r="I173" t="str">
        <f>セットアップレポート!H173</f>
        <v>L</v>
      </c>
      <c r="J173" t="str">
        <f>セットアップレポート!I173</f>
        <v>9000044952 100165</v>
      </c>
      <c r="K173">
        <f>セットアップレポート!J173</f>
        <v>9000044952</v>
      </c>
      <c r="L173">
        <f>セットアップレポート!K173</f>
        <v>0</v>
      </c>
      <c r="M173">
        <f>セットアップレポート!L173</f>
        <v>0</v>
      </c>
      <c r="N173">
        <f>セットアップレポート!M173</f>
        <v>0</v>
      </c>
      <c r="O173">
        <f>セットアップレポート!N173</f>
        <v>0</v>
      </c>
      <c r="P173" t="str">
        <f>セットアップレポート!O173</f>
        <v>FA0201ACD050191</v>
      </c>
      <c r="Q173">
        <f>セットアップレポート!P173</f>
        <v>3000</v>
      </c>
      <c r="R173">
        <f>セットアップレポート!Q173</f>
        <v>45950.474247685182</v>
      </c>
      <c r="S173">
        <f>セットアップレポート!R173</f>
        <v>0</v>
      </c>
      <c r="T173" t="str">
        <f>セットアップレポート!S173</f>
        <v>Yes</v>
      </c>
      <c r="U173">
        <f>セットアップレポート!T173</f>
        <v>0</v>
      </c>
      <c r="V173" t="str">
        <f>セットアップレポート!U173</f>
        <v>9000044952 100173</v>
      </c>
      <c r="W173">
        <f>セットアップレポート!V173</f>
        <v>0</v>
      </c>
      <c r="X173">
        <f>セットアップレポート!W173</f>
        <v>0</v>
      </c>
      <c r="Y173">
        <f>セットアップレポート!X173</f>
        <v>0</v>
      </c>
      <c r="Z173">
        <f>セットアップレポート!Y173</f>
        <v>0</v>
      </c>
      <c r="AA173">
        <f>セットアップレポート!Z173</f>
        <v>0</v>
      </c>
      <c r="AB173" t="str">
        <f>セットアップレポート!AA173</f>
        <v>NONE</v>
      </c>
      <c r="AC173">
        <f>セットアップレポート!AB173</f>
        <v>0</v>
      </c>
      <c r="AD173">
        <f>セットアップレポート!AC173</f>
        <v>0</v>
      </c>
      <c r="AE173">
        <f>セットアップレポート!AD173</f>
        <v>0</v>
      </c>
      <c r="AF173">
        <f>セットアップレポート!AE173</f>
        <v>0</v>
      </c>
      <c r="AG173">
        <f>セットアップレポート!AF173</f>
        <v>0</v>
      </c>
      <c r="AH173">
        <f>セットアップレポート!AG173</f>
        <v>0</v>
      </c>
    </row>
    <row r="174" spans="1:34" x14ac:dyDescent="0.45">
      <c r="A174" t="str">
        <f t="shared" si="2"/>
        <v>L2-NPM030021L9000067788</v>
      </c>
      <c r="B174" t="str">
        <f>セットアップレポート!A174</f>
        <v>Line-2</v>
      </c>
      <c r="C174" t="str">
        <f>セットアップレポート!B174</f>
        <v>L2-NPM03</v>
      </c>
      <c r="D174" t="str">
        <f>セットアップレポート!C174</f>
        <v>Zone-2-NPMW-3</v>
      </c>
      <c r="E174">
        <f>セットアップレポート!D174</f>
        <v>1</v>
      </c>
      <c r="F174">
        <f>セットアップレポート!E174</f>
        <v>1</v>
      </c>
      <c r="G174" t="str">
        <f>セットアップレポート!F174</f>
        <v>20021L</v>
      </c>
      <c r="H174">
        <f>セットアップレポート!G174</f>
        <v>21</v>
      </c>
      <c r="I174" t="str">
        <f>セットアップレポート!H174</f>
        <v>L</v>
      </c>
      <c r="J174" t="str">
        <f>セットアップレポート!I174</f>
        <v>9000067788 100008</v>
      </c>
      <c r="K174">
        <f>セットアップレポート!J174</f>
        <v>9000067788</v>
      </c>
      <c r="L174">
        <f>セットアップレポート!K174</f>
        <v>0</v>
      </c>
      <c r="M174">
        <f>セットアップレポート!L174</f>
        <v>0</v>
      </c>
      <c r="N174">
        <f>セットアップレポート!M174</f>
        <v>0</v>
      </c>
      <c r="O174">
        <f>セットアップレポート!N174</f>
        <v>0</v>
      </c>
      <c r="P174" t="str">
        <f>セットアップレポート!O174</f>
        <v>FA0201ABA002448</v>
      </c>
      <c r="Q174">
        <f>セットアップレポート!P174</f>
        <v>15000</v>
      </c>
      <c r="R174">
        <f>セットアップレポート!Q174</f>
        <v>45950.474247685182</v>
      </c>
      <c r="S174">
        <f>セットアップレポート!R174</f>
        <v>0</v>
      </c>
      <c r="T174">
        <f>セットアップレポート!S174</f>
        <v>0</v>
      </c>
      <c r="U174">
        <f>セットアップレポート!T174</f>
        <v>0</v>
      </c>
      <c r="V174">
        <f>セットアップレポート!U174</f>
        <v>0</v>
      </c>
      <c r="W174">
        <f>セットアップレポート!V174</f>
        <v>0</v>
      </c>
      <c r="X174">
        <f>セットアップレポート!W174</f>
        <v>0</v>
      </c>
      <c r="Y174">
        <f>セットアップレポート!X174</f>
        <v>0</v>
      </c>
      <c r="Z174">
        <f>セットアップレポート!Y174</f>
        <v>0</v>
      </c>
      <c r="AA174">
        <f>セットアップレポート!Z174</f>
        <v>0</v>
      </c>
      <c r="AB174" t="str">
        <f>セットアップレポート!AA174</f>
        <v>NONE</v>
      </c>
      <c r="AC174">
        <f>セットアップレポート!AB174</f>
        <v>0</v>
      </c>
      <c r="AD174">
        <f>セットアップレポート!AC174</f>
        <v>0</v>
      </c>
      <c r="AE174">
        <f>セットアップレポート!AD174</f>
        <v>0</v>
      </c>
      <c r="AF174">
        <f>セットアップレポート!AE174</f>
        <v>0</v>
      </c>
      <c r="AG174">
        <f>セットアップレポート!AF174</f>
        <v>0</v>
      </c>
      <c r="AH174">
        <f>セットアップレポート!AG174</f>
        <v>0</v>
      </c>
    </row>
    <row r="175" spans="1:34" x14ac:dyDescent="0.45">
      <c r="A175" t="str">
        <f t="shared" si="2"/>
        <v>L2-NPM030022L667342A</v>
      </c>
      <c r="B175" t="str">
        <f>セットアップレポート!A175</f>
        <v>Line-2</v>
      </c>
      <c r="C175" t="str">
        <f>セットアップレポート!B175</f>
        <v>L2-NPM03</v>
      </c>
      <c r="D175" t="str">
        <f>セットアップレポート!C175</f>
        <v>Zone-2-NPMW-3</v>
      </c>
      <c r="E175">
        <f>セットアップレポート!D175</f>
        <v>1</v>
      </c>
      <c r="F175">
        <f>セットアップレポート!E175</f>
        <v>1</v>
      </c>
      <c r="G175" t="str">
        <f>セットアップレポート!F175</f>
        <v>20022L</v>
      </c>
      <c r="H175">
        <f>セットアップレポート!G175</f>
        <v>22</v>
      </c>
      <c r="I175" t="str">
        <f>セットアップレポート!H175</f>
        <v>L</v>
      </c>
      <c r="J175" t="str">
        <f>セットアップレポート!I175</f>
        <v>667342A100191</v>
      </c>
      <c r="K175" t="str">
        <f>セットアップレポート!J175</f>
        <v>667342A</v>
      </c>
      <c r="L175">
        <f>セットアップレポート!K175</f>
        <v>0</v>
      </c>
      <c r="M175">
        <f>セットアップレポート!L175</f>
        <v>0</v>
      </c>
      <c r="N175">
        <f>セットアップレポート!M175</f>
        <v>0</v>
      </c>
      <c r="O175">
        <f>セットアップレポート!N175</f>
        <v>0</v>
      </c>
      <c r="P175" t="str">
        <f>セットアップレポート!O175</f>
        <v>FA0201AAD000148</v>
      </c>
      <c r="Q175">
        <f>セットアップレポート!P175</f>
        <v>5000</v>
      </c>
      <c r="R175">
        <f>セットアップレポート!Q175</f>
        <v>45950.474259259259</v>
      </c>
      <c r="S175">
        <f>セットアップレポート!R175</f>
        <v>0</v>
      </c>
      <c r="T175" t="str">
        <f>セットアップレポート!S175</f>
        <v>Yes</v>
      </c>
      <c r="U175">
        <f>セットアップレポート!T175</f>
        <v>0</v>
      </c>
      <c r="V175" t="str">
        <f>セットアップレポート!U175</f>
        <v>667342A100232</v>
      </c>
      <c r="W175">
        <f>セットアップレポート!V175</f>
        <v>0</v>
      </c>
      <c r="X175">
        <f>セットアップレポート!W175</f>
        <v>0</v>
      </c>
      <c r="Y175">
        <f>セットアップレポート!X175</f>
        <v>0</v>
      </c>
      <c r="Z175">
        <f>セットアップレポート!Y175</f>
        <v>0</v>
      </c>
      <c r="AA175">
        <f>セットアップレポート!Z175</f>
        <v>0</v>
      </c>
      <c r="AB175" t="str">
        <f>セットアップレポート!AA175</f>
        <v>NONE</v>
      </c>
      <c r="AC175">
        <f>セットアップレポート!AB175</f>
        <v>0</v>
      </c>
      <c r="AD175">
        <f>セットアップレポート!AC175</f>
        <v>0</v>
      </c>
      <c r="AE175">
        <f>セットアップレポート!AD175</f>
        <v>0</v>
      </c>
      <c r="AF175">
        <f>セットアップレポート!AE175</f>
        <v>0</v>
      </c>
      <c r="AG175">
        <f>セットアップレポート!AF175</f>
        <v>0</v>
      </c>
      <c r="AH175">
        <f>セットアップレポート!AG175</f>
        <v>0</v>
      </c>
    </row>
    <row r="176" spans="1:34" x14ac:dyDescent="0.45">
      <c r="A176" t="str">
        <f t="shared" si="2"/>
        <v>L2-NPM030023L9000066606</v>
      </c>
      <c r="B176" t="str">
        <f>セットアップレポート!A176</f>
        <v>Line-2</v>
      </c>
      <c r="C176" t="str">
        <f>セットアップレポート!B176</f>
        <v>L2-NPM03</v>
      </c>
      <c r="D176" t="str">
        <f>セットアップレポート!C176</f>
        <v>Zone-2-NPMW-3</v>
      </c>
      <c r="E176">
        <f>セットアップレポート!D176</f>
        <v>1</v>
      </c>
      <c r="F176">
        <f>セットアップレポート!E176</f>
        <v>1</v>
      </c>
      <c r="G176" t="str">
        <f>セットアップレポート!F176</f>
        <v>20023L</v>
      </c>
      <c r="H176">
        <f>セットアップレポート!G176</f>
        <v>23</v>
      </c>
      <c r="I176" t="str">
        <f>セットアップレポート!H176</f>
        <v>L</v>
      </c>
      <c r="J176" t="str">
        <f>セットアップレポート!I176</f>
        <v>9000066606 101379</v>
      </c>
      <c r="K176">
        <f>セットアップレポート!J176</f>
        <v>9000066606</v>
      </c>
      <c r="L176">
        <f>セットアップレポート!K176</f>
        <v>0</v>
      </c>
      <c r="M176">
        <f>セットアップレポート!L176</f>
        <v>0</v>
      </c>
      <c r="N176">
        <f>セットアップレポート!M176</f>
        <v>0</v>
      </c>
      <c r="O176">
        <f>セットアップレポート!N176</f>
        <v>0</v>
      </c>
      <c r="P176" t="str">
        <f>セットアップレポート!O176</f>
        <v>FA0201ACD051112</v>
      </c>
      <c r="Q176">
        <f>セットアップレポート!P176</f>
        <v>1000</v>
      </c>
      <c r="R176">
        <f>セットアップレポート!Q176</f>
        <v>45950.474259259259</v>
      </c>
      <c r="S176">
        <f>セットアップレポート!R176</f>
        <v>0</v>
      </c>
      <c r="T176" t="str">
        <f>セットアップレポート!S176</f>
        <v>Yes</v>
      </c>
      <c r="U176">
        <f>セットアップレポート!T176</f>
        <v>0</v>
      </c>
      <c r="V176" t="str">
        <f>セットアップレポート!U176</f>
        <v>9000066606 101425</v>
      </c>
      <c r="W176">
        <f>セットアップレポート!V176</f>
        <v>0</v>
      </c>
      <c r="X176">
        <f>セットアップレポート!W176</f>
        <v>0</v>
      </c>
      <c r="Y176">
        <f>セットアップレポート!X176</f>
        <v>0</v>
      </c>
      <c r="Z176">
        <f>セットアップレポート!Y176</f>
        <v>0</v>
      </c>
      <c r="AA176">
        <f>セットアップレポート!Z176</f>
        <v>0</v>
      </c>
      <c r="AB176" t="str">
        <f>セットアップレポート!AA176</f>
        <v>NONE</v>
      </c>
      <c r="AC176">
        <f>セットアップレポート!AB176</f>
        <v>0</v>
      </c>
      <c r="AD176">
        <f>セットアップレポート!AC176</f>
        <v>0</v>
      </c>
      <c r="AE176">
        <f>セットアップレポート!AD176</f>
        <v>0</v>
      </c>
      <c r="AF176">
        <f>セットアップレポート!AE176</f>
        <v>0</v>
      </c>
      <c r="AG176">
        <f>セットアップレポート!AF176</f>
        <v>0</v>
      </c>
      <c r="AH176">
        <f>セットアップレポート!AG176</f>
        <v>0</v>
      </c>
    </row>
    <row r="177" spans="1:34" x14ac:dyDescent="0.45">
      <c r="A177" t="str">
        <f t="shared" si="2"/>
        <v>L2-NPM030024L669091</v>
      </c>
      <c r="B177" t="str">
        <f>セットアップレポート!A177</f>
        <v>Line-2</v>
      </c>
      <c r="C177" t="str">
        <f>セットアップレポート!B177</f>
        <v>L2-NPM03</v>
      </c>
      <c r="D177" t="str">
        <f>セットアップレポート!C177</f>
        <v>Zone-2-NPMW-3</v>
      </c>
      <c r="E177">
        <f>セットアップレポート!D177</f>
        <v>1</v>
      </c>
      <c r="F177">
        <f>セットアップレポート!E177</f>
        <v>1</v>
      </c>
      <c r="G177" t="str">
        <f>セットアップレポート!F177</f>
        <v>20024L</v>
      </c>
      <c r="H177">
        <f>セットアップレポート!G177</f>
        <v>24</v>
      </c>
      <c r="I177" t="str">
        <f>セットアップレポート!H177</f>
        <v>L</v>
      </c>
      <c r="J177" t="str">
        <f>セットアップレポート!I177</f>
        <v>669091 100212</v>
      </c>
      <c r="K177">
        <f>セットアップレポート!J177</f>
        <v>669091</v>
      </c>
      <c r="L177">
        <f>セットアップレポート!K177</f>
        <v>0</v>
      </c>
      <c r="M177">
        <f>セットアップレポート!L177</f>
        <v>0</v>
      </c>
      <c r="N177">
        <f>セットアップレポート!M177</f>
        <v>0</v>
      </c>
      <c r="O177">
        <f>セットアップレポート!N177</f>
        <v>0</v>
      </c>
      <c r="P177" t="str">
        <f>セットアップレポート!O177</f>
        <v>FA0201ACD051370</v>
      </c>
      <c r="Q177">
        <f>セットアップレポート!P177</f>
        <v>3000</v>
      </c>
      <c r="R177">
        <f>セットアップレポート!Q177</f>
        <v>45950.474259259259</v>
      </c>
      <c r="S177">
        <f>セットアップレポート!R177</f>
        <v>0</v>
      </c>
      <c r="T177">
        <f>セットアップレポート!S177</f>
        <v>0</v>
      </c>
      <c r="U177">
        <f>セットアップレポート!T177</f>
        <v>0</v>
      </c>
      <c r="V177">
        <f>セットアップレポート!U177</f>
        <v>0</v>
      </c>
      <c r="W177">
        <f>セットアップレポート!V177</f>
        <v>0</v>
      </c>
      <c r="X177">
        <f>セットアップレポート!W177</f>
        <v>0</v>
      </c>
      <c r="Y177">
        <f>セットアップレポート!X177</f>
        <v>0</v>
      </c>
      <c r="Z177">
        <f>セットアップレポート!Y177</f>
        <v>0</v>
      </c>
      <c r="AA177">
        <f>セットアップレポート!Z177</f>
        <v>0</v>
      </c>
      <c r="AB177" t="str">
        <f>セットアップレポート!AA177</f>
        <v>NONE</v>
      </c>
      <c r="AC177">
        <f>セットアップレポート!AB177</f>
        <v>0</v>
      </c>
      <c r="AD177">
        <f>セットアップレポート!AC177</f>
        <v>0</v>
      </c>
      <c r="AE177">
        <f>セットアップレポート!AD177</f>
        <v>0</v>
      </c>
      <c r="AF177">
        <f>セットアップレポート!AE177</f>
        <v>0</v>
      </c>
      <c r="AG177">
        <f>セットアップレポート!AF177</f>
        <v>0</v>
      </c>
      <c r="AH177">
        <f>セットアップレポート!AG177</f>
        <v>0</v>
      </c>
    </row>
    <row r="178" spans="1:34" x14ac:dyDescent="0.45">
      <c r="A178" t="str">
        <f t="shared" si="2"/>
        <v>L2-NPM030025L9000070001</v>
      </c>
      <c r="B178" t="str">
        <f>セットアップレポート!A178</f>
        <v>Line-2</v>
      </c>
      <c r="C178" t="str">
        <f>セットアップレポート!B178</f>
        <v>L2-NPM03</v>
      </c>
      <c r="D178" t="str">
        <f>セットアップレポート!C178</f>
        <v>Zone-2-NPMW-3</v>
      </c>
      <c r="E178">
        <f>セットアップレポート!D178</f>
        <v>1</v>
      </c>
      <c r="F178">
        <f>セットアップレポート!E178</f>
        <v>1</v>
      </c>
      <c r="G178" t="str">
        <f>セットアップレポート!F178</f>
        <v>20025L</v>
      </c>
      <c r="H178">
        <f>セットアップレポート!G178</f>
        <v>25</v>
      </c>
      <c r="I178" t="str">
        <f>セットアップレポート!H178</f>
        <v>L</v>
      </c>
      <c r="J178" t="str">
        <f>セットアップレポート!I178</f>
        <v>9000070001 100001</v>
      </c>
      <c r="K178">
        <f>セットアップレポート!J178</f>
        <v>9000070001</v>
      </c>
      <c r="L178">
        <f>セットアップレポート!K178</f>
        <v>0</v>
      </c>
      <c r="M178">
        <f>セットアップレポート!L178</f>
        <v>0</v>
      </c>
      <c r="N178">
        <f>セットアップレポート!M178</f>
        <v>0</v>
      </c>
      <c r="O178">
        <f>セットアップレポート!N178</f>
        <v>0</v>
      </c>
      <c r="P178" t="str">
        <f>セットアップレポート!O178</f>
        <v>FA0201ACD051180</v>
      </c>
      <c r="Q178">
        <f>セットアップレポート!P178</f>
        <v>3000</v>
      </c>
      <c r="R178">
        <f>セットアップレポート!Q178</f>
        <v>45950.474259259259</v>
      </c>
      <c r="S178">
        <f>セットアップレポート!R178</f>
        <v>0</v>
      </c>
      <c r="T178" t="str">
        <f>セットアップレポート!S178</f>
        <v>Yes</v>
      </c>
      <c r="U178">
        <f>セットアップレポート!T178</f>
        <v>0</v>
      </c>
      <c r="V178" t="str">
        <f>セットアップレポート!U178</f>
        <v>9000070001 100003</v>
      </c>
      <c r="W178">
        <f>セットアップレポート!V178</f>
        <v>0</v>
      </c>
      <c r="X178">
        <f>セットアップレポート!W178</f>
        <v>0</v>
      </c>
      <c r="Y178">
        <f>セットアップレポート!X178</f>
        <v>0</v>
      </c>
      <c r="Z178">
        <f>セットアップレポート!Y178</f>
        <v>0</v>
      </c>
      <c r="AA178">
        <f>セットアップレポート!Z178</f>
        <v>0</v>
      </c>
      <c r="AB178" t="str">
        <f>セットアップレポート!AA178</f>
        <v>NONE</v>
      </c>
      <c r="AC178">
        <f>セットアップレポート!AB178</f>
        <v>0</v>
      </c>
      <c r="AD178">
        <f>セットアップレポート!AC178</f>
        <v>0</v>
      </c>
      <c r="AE178">
        <f>セットアップレポート!AD178</f>
        <v>0</v>
      </c>
      <c r="AF178">
        <f>セットアップレポート!AE178</f>
        <v>0</v>
      </c>
      <c r="AG178">
        <f>セットアップレポート!AF178</f>
        <v>0</v>
      </c>
      <c r="AH178">
        <f>セットアップレポート!AG178</f>
        <v>0</v>
      </c>
    </row>
    <row r="179" spans="1:34" x14ac:dyDescent="0.45">
      <c r="A179" t="str">
        <f t="shared" si="2"/>
        <v>L2-NPM030026L534806</v>
      </c>
      <c r="B179" t="str">
        <f>セットアップレポート!A179</f>
        <v>Line-2</v>
      </c>
      <c r="C179" t="str">
        <f>セットアップレポート!B179</f>
        <v>L2-NPM03</v>
      </c>
      <c r="D179" t="str">
        <f>セットアップレポート!C179</f>
        <v>Zone-2-NPMW-3</v>
      </c>
      <c r="E179">
        <f>セットアップレポート!D179</f>
        <v>1</v>
      </c>
      <c r="F179">
        <f>セットアップレポート!E179</f>
        <v>1</v>
      </c>
      <c r="G179" t="str">
        <f>セットアップレポート!F179</f>
        <v>20026L</v>
      </c>
      <c r="H179">
        <f>セットアップレポート!G179</f>
        <v>26</v>
      </c>
      <c r="I179" t="str">
        <f>セットアップレポート!H179</f>
        <v>L</v>
      </c>
      <c r="J179" t="str">
        <f>セットアップレポート!I179</f>
        <v>534806 100203</v>
      </c>
      <c r="K179">
        <f>セットアップレポート!J179</f>
        <v>534806</v>
      </c>
      <c r="L179">
        <f>セットアップレポート!K179</f>
        <v>0</v>
      </c>
      <c r="M179">
        <f>セットアップレポート!L179</f>
        <v>0</v>
      </c>
      <c r="N179">
        <f>セットアップレポート!M179</f>
        <v>0</v>
      </c>
      <c r="O179">
        <f>セットアップレポート!N179</f>
        <v>0</v>
      </c>
      <c r="P179" t="str">
        <f>セットアップレポート!O179</f>
        <v>FA0201ACD050228</v>
      </c>
      <c r="Q179">
        <f>セットアップレポート!P179</f>
        <v>3000</v>
      </c>
      <c r="R179">
        <f>セットアップレポート!Q179</f>
        <v>45950.474259259259</v>
      </c>
      <c r="S179">
        <f>セットアップレポート!R179</f>
        <v>0</v>
      </c>
      <c r="T179">
        <f>セットアップレポート!S179</f>
        <v>0</v>
      </c>
      <c r="U179">
        <f>セットアップレポート!T179</f>
        <v>0</v>
      </c>
      <c r="V179">
        <f>セットアップレポート!U179</f>
        <v>0</v>
      </c>
      <c r="W179">
        <f>セットアップレポート!V179</f>
        <v>0</v>
      </c>
      <c r="X179">
        <f>セットアップレポート!W179</f>
        <v>0</v>
      </c>
      <c r="Y179">
        <f>セットアップレポート!X179</f>
        <v>0</v>
      </c>
      <c r="Z179">
        <f>セットアップレポート!Y179</f>
        <v>0</v>
      </c>
      <c r="AA179">
        <f>セットアップレポート!Z179</f>
        <v>0</v>
      </c>
      <c r="AB179" t="str">
        <f>セットアップレポート!AA179</f>
        <v>NONE</v>
      </c>
      <c r="AC179">
        <f>セットアップレポート!AB179</f>
        <v>0</v>
      </c>
      <c r="AD179">
        <f>セットアップレポート!AC179</f>
        <v>0</v>
      </c>
      <c r="AE179">
        <f>セットアップレポート!AD179</f>
        <v>0</v>
      </c>
      <c r="AF179">
        <f>セットアップレポート!AE179</f>
        <v>0</v>
      </c>
      <c r="AG179">
        <f>セットアップレポート!AF179</f>
        <v>0</v>
      </c>
      <c r="AH179">
        <f>セットアップレポート!AG179</f>
        <v>0</v>
      </c>
    </row>
    <row r="180" spans="1:34" x14ac:dyDescent="0.45">
      <c r="A180" t="str">
        <f t="shared" si="2"/>
        <v>L2-NPM030027L9000069260</v>
      </c>
      <c r="B180" t="str">
        <f>セットアップレポート!A180</f>
        <v>Line-2</v>
      </c>
      <c r="C180" t="str">
        <f>セットアップレポート!B180</f>
        <v>L2-NPM03</v>
      </c>
      <c r="D180" t="str">
        <f>セットアップレポート!C180</f>
        <v>Zone-2-NPMW-3</v>
      </c>
      <c r="E180">
        <f>セットアップレポート!D180</f>
        <v>1</v>
      </c>
      <c r="F180">
        <f>セットアップレポート!E180</f>
        <v>1</v>
      </c>
      <c r="G180" t="str">
        <f>セットアップレポート!F180</f>
        <v>20027L</v>
      </c>
      <c r="H180">
        <f>セットアップレポート!G180</f>
        <v>27</v>
      </c>
      <c r="I180" t="str">
        <f>セットアップレポート!H180</f>
        <v>L</v>
      </c>
      <c r="J180" t="str">
        <f>セットアップレポート!I180</f>
        <v>9000069260 100007</v>
      </c>
      <c r="K180">
        <f>セットアップレポート!J180</f>
        <v>9000069260</v>
      </c>
      <c r="L180">
        <f>セットアップレポート!K180</f>
        <v>0</v>
      </c>
      <c r="M180">
        <f>セットアップレポート!L180</f>
        <v>0</v>
      </c>
      <c r="N180">
        <f>セットアップレポート!M180</f>
        <v>0</v>
      </c>
      <c r="O180">
        <f>セットアップレポート!N180</f>
        <v>0</v>
      </c>
      <c r="P180" t="str">
        <f>セットアップレポート!O180</f>
        <v>FA0201ABD000456</v>
      </c>
      <c r="Q180">
        <f>セットアップレポート!P180</f>
        <v>15000</v>
      </c>
      <c r="R180">
        <f>セットアップレポート!Q180</f>
        <v>45936.767199074071</v>
      </c>
      <c r="S180">
        <f>セットアップレポート!R180</f>
        <v>0</v>
      </c>
      <c r="T180">
        <f>セットアップレポート!S180</f>
        <v>0</v>
      </c>
      <c r="U180">
        <f>セットアップレポート!T180</f>
        <v>0</v>
      </c>
      <c r="V180">
        <f>セットアップレポート!U180</f>
        <v>0</v>
      </c>
      <c r="W180">
        <f>セットアップレポート!V180</f>
        <v>0</v>
      </c>
      <c r="X180">
        <f>セットアップレポート!W180</f>
        <v>0</v>
      </c>
      <c r="Y180">
        <f>セットアップレポート!X180</f>
        <v>0</v>
      </c>
      <c r="Z180">
        <f>セットアップレポート!Y180</f>
        <v>0</v>
      </c>
      <c r="AA180">
        <f>セットアップレポート!Z180</f>
        <v>0</v>
      </c>
      <c r="AB180" t="str">
        <f>セットアップレポート!AA180</f>
        <v>NONE</v>
      </c>
      <c r="AC180">
        <f>セットアップレポート!AB180</f>
        <v>0</v>
      </c>
      <c r="AD180">
        <f>セットアップレポート!AC180</f>
        <v>0</v>
      </c>
      <c r="AE180">
        <f>セットアップレポート!AD180</f>
        <v>0</v>
      </c>
      <c r="AF180">
        <f>セットアップレポート!AE180</f>
        <v>0</v>
      </c>
      <c r="AG180">
        <f>セットアップレポート!AF180</f>
        <v>0</v>
      </c>
      <c r="AH180">
        <f>セットアップレポート!AG180</f>
        <v>0</v>
      </c>
    </row>
    <row r="181" spans="1:34" x14ac:dyDescent="0.45">
      <c r="A181" t="str">
        <f t="shared" si="2"/>
        <v>L2-NPM030028L923502</v>
      </c>
      <c r="B181" t="str">
        <f>セットアップレポート!A181</f>
        <v>Line-2</v>
      </c>
      <c r="C181" t="str">
        <f>セットアップレポート!B181</f>
        <v>L2-NPM03</v>
      </c>
      <c r="D181" t="str">
        <f>セットアップレポート!C181</f>
        <v>Zone-2-NPMW-3</v>
      </c>
      <c r="E181">
        <f>セットアップレポート!D181</f>
        <v>1</v>
      </c>
      <c r="F181">
        <f>セットアップレポート!E181</f>
        <v>1</v>
      </c>
      <c r="G181" t="str">
        <f>セットアップレポート!F181</f>
        <v>20028L</v>
      </c>
      <c r="H181">
        <f>セットアップレポート!G181</f>
        <v>28</v>
      </c>
      <c r="I181" t="str">
        <f>セットアップレポート!H181</f>
        <v>L</v>
      </c>
      <c r="J181" t="str">
        <f>セットアップレポート!I181</f>
        <v>923502 100007</v>
      </c>
      <c r="K181">
        <f>セットアップレポート!J181</f>
        <v>923502</v>
      </c>
      <c r="L181">
        <f>セットアップレポート!K181</f>
        <v>0</v>
      </c>
      <c r="M181">
        <f>セットアップレポート!L181</f>
        <v>0</v>
      </c>
      <c r="N181">
        <f>セットアップレポート!M181</f>
        <v>0</v>
      </c>
      <c r="O181">
        <f>セットアップレポート!N181</f>
        <v>0</v>
      </c>
      <c r="P181" t="str">
        <f>セットアップレポート!O181</f>
        <v>FA0201ACD051480</v>
      </c>
      <c r="Q181">
        <f>セットアップレポート!P181</f>
        <v>1000</v>
      </c>
      <c r="R181">
        <f>セットアップレポート!Q181</f>
        <v>45950.474259259259</v>
      </c>
      <c r="S181">
        <f>セットアップレポート!R181</f>
        <v>0</v>
      </c>
      <c r="T181">
        <f>セットアップレポート!S181</f>
        <v>0</v>
      </c>
      <c r="U181">
        <f>セットアップレポート!T181</f>
        <v>0</v>
      </c>
      <c r="V181">
        <f>セットアップレポート!U181</f>
        <v>0</v>
      </c>
      <c r="W181">
        <f>セットアップレポート!V181</f>
        <v>0</v>
      </c>
      <c r="X181">
        <f>セットアップレポート!W181</f>
        <v>0</v>
      </c>
      <c r="Y181">
        <f>セットアップレポート!X181</f>
        <v>0</v>
      </c>
      <c r="Z181">
        <f>セットアップレポート!Y181</f>
        <v>0</v>
      </c>
      <c r="AA181">
        <f>セットアップレポート!Z181</f>
        <v>0</v>
      </c>
      <c r="AB181" t="str">
        <f>セットアップレポート!AA181</f>
        <v>NONE</v>
      </c>
      <c r="AC181">
        <f>セットアップレポート!AB181</f>
        <v>0</v>
      </c>
      <c r="AD181">
        <f>セットアップレポート!AC181</f>
        <v>0</v>
      </c>
      <c r="AE181">
        <f>セットアップレポート!AD181</f>
        <v>0</v>
      </c>
      <c r="AF181">
        <f>セットアップレポート!AE181</f>
        <v>0</v>
      </c>
      <c r="AG181">
        <f>セットアップレポート!AF181</f>
        <v>0</v>
      </c>
      <c r="AH181">
        <f>セットアップレポート!AG181</f>
        <v>0</v>
      </c>
    </row>
    <row r="182" spans="1:34" x14ac:dyDescent="0.45">
      <c r="A182" t="str">
        <f t="shared" si="2"/>
        <v>L2-NPM030029L721257</v>
      </c>
      <c r="B182" t="str">
        <f>セットアップレポート!A182</f>
        <v>Line-2</v>
      </c>
      <c r="C182" t="str">
        <f>セットアップレポート!B182</f>
        <v>L2-NPM03</v>
      </c>
      <c r="D182" t="str">
        <f>セットアップレポート!C182</f>
        <v>Zone-2-NPMW-3</v>
      </c>
      <c r="E182">
        <f>セットアップレポート!D182</f>
        <v>1</v>
      </c>
      <c r="F182">
        <f>セットアップレポート!E182</f>
        <v>1</v>
      </c>
      <c r="G182" t="str">
        <f>セットアップレポート!F182</f>
        <v>20029L</v>
      </c>
      <c r="H182">
        <f>セットアップレポート!G182</f>
        <v>29</v>
      </c>
      <c r="I182" t="str">
        <f>セットアップレポート!H182</f>
        <v>L</v>
      </c>
      <c r="J182" t="str">
        <f>セットアップレポート!I182</f>
        <v>721257 100004</v>
      </c>
      <c r="K182">
        <f>セットアップレポート!J182</f>
        <v>721257</v>
      </c>
      <c r="L182">
        <f>セットアップレポート!K182</f>
        <v>0</v>
      </c>
      <c r="M182">
        <f>セットアップレポート!L182</f>
        <v>0</v>
      </c>
      <c r="N182">
        <f>セットアップレポート!M182</f>
        <v>0</v>
      </c>
      <c r="O182">
        <f>セットアップレポート!N182</f>
        <v>0</v>
      </c>
      <c r="P182" t="str">
        <f>セットアップレポート!O182</f>
        <v>FA0201ABD000396</v>
      </c>
      <c r="Q182">
        <f>セットアップレポート!P182</f>
        <v>15000</v>
      </c>
      <c r="R182">
        <f>セットアップレポート!Q182</f>
        <v>45950.474259259259</v>
      </c>
      <c r="S182">
        <f>セットアップレポート!R182</f>
        <v>0</v>
      </c>
      <c r="T182">
        <f>セットアップレポート!S182</f>
        <v>0</v>
      </c>
      <c r="U182">
        <f>セットアップレポート!T182</f>
        <v>0</v>
      </c>
      <c r="V182">
        <f>セットアップレポート!U182</f>
        <v>0</v>
      </c>
      <c r="W182">
        <f>セットアップレポート!V182</f>
        <v>0</v>
      </c>
      <c r="X182">
        <f>セットアップレポート!W182</f>
        <v>0</v>
      </c>
      <c r="Y182">
        <f>セットアップレポート!X182</f>
        <v>0</v>
      </c>
      <c r="Z182">
        <f>セットアップレポート!Y182</f>
        <v>0</v>
      </c>
      <c r="AA182">
        <f>セットアップレポート!Z182</f>
        <v>0</v>
      </c>
      <c r="AB182" t="str">
        <f>セットアップレポート!AA182</f>
        <v>NONE</v>
      </c>
      <c r="AC182">
        <f>セットアップレポート!AB182</f>
        <v>0</v>
      </c>
      <c r="AD182">
        <f>セットアップレポート!AC182</f>
        <v>0</v>
      </c>
      <c r="AE182">
        <f>セットアップレポート!AD182</f>
        <v>0</v>
      </c>
      <c r="AF182">
        <f>セットアップレポート!AE182</f>
        <v>0</v>
      </c>
      <c r="AG182">
        <f>セットアップレポート!AF182</f>
        <v>0</v>
      </c>
      <c r="AH182">
        <f>セットアップレポート!AG182</f>
        <v>0</v>
      </c>
    </row>
    <row r="183" spans="1:34" x14ac:dyDescent="0.45">
      <c r="A183" t="str">
        <f t="shared" si="2"/>
        <v>L2-NPM030030L9000047102</v>
      </c>
      <c r="B183" t="str">
        <f>セットアップレポート!A183</f>
        <v>Line-2</v>
      </c>
      <c r="C183" t="str">
        <f>セットアップレポート!B183</f>
        <v>L2-NPM03</v>
      </c>
      <c r="D183" t="str">
        <f>セットアップレポート!C183</f>
        <v>Zone-2-NPMW-3</v>
      </c>
      <c r="E183">
        <f>セットアップレポート!D183</f>
        <v>1</v>
      </c>
      <c r="F183">
        <f>セットアップレポート!E183</f>
        <v>1</v>
      </c>
      <c r="G183" t="str">
        <f>セットアップレポート!F183</f>
        <v>20030L</v>
      </c>
      <c r="H183">
        <f>セットアップレポート!G183</f>
        <v>30</v>
      </c>
      <c r="I183" t="str">
        <f>セットアップレポート!H183</f>
        <v>L</v>
      </c>
      <c r="J183" t="str">
        <f>セットアップレポート!I183</f>
        <v>9000047102 100070</v>
      </c>
      <c r="K183">
        <f>セットアップレポート!J183</f>
        <v>9000047102</v>
      </c>
      <c r="L183">
        <f>セットアップレポート!K183</f>
        <v>0</v>
      </c>
      <c r="M183">
        <f>セットアップレポート!L183</f>
        <v>0</v>
      </c>
      <c r="N183">
        <f>セットアップレポート!M183</f>
        <v>0</v>
      </c>
      <c r="O183">
        <f>セットアップレポート!N183</f>
        <v>0</v>
      </c>
      <c r="P183" t="str">
        <f>セットアップレポート!O183</f>
        <v>FA0201ACD049740</v>
      </c>
      <c r="Q183">
        <f>セットアップレポート!P183</f>
        <v>4000</v>
      </c>
      <c r="R183">
        <f>セットアップレポート!Q183</f>
        <v>45930.453587962962</v>
      </c>
      <c r="S183">
        <f>セットアップレポート!R183</f>
        <v>0</v>
      </c>
      <c r="T183">
        <f>セットアップレポート!S183</f>
        <v>0</v>
      </c>
      <c r="U183">
        <f>セットアップレポート!T183</f>
        <v>0</v>
      </c>
      <c r="V183">
        <f>セットアップレポート!U183</f>
        <v>0</v>
      </c>
      <c r="W183">
        <f>セットアップレポート!V183</f>
        <v>0</v>
      </c>
      <c r="X183">
        <f>セットアップレポート!W183</f>
        <v>0</v>
      </c>
      <c r="Y183">
        <f>セットアップレポート!X183</f>
        <v>0</v>
      </c>
      <c r="Z183">
        <f>セットアップレポート!Y183</f>
        <v>0</v>
      </c>
      <c r="AA183">
        <f>セットアップレポート!Z183</f>
        <v>0</v>
      </c>
      <c r="AB183" t="str">
        <f>セットアップレポート!AA183</f>
        <v>NONE</v>
      </c>
      <c r="AC183">
        <f>セットアップレポート!AB183</f>
        <v>0</v>
      </c>
      <c r="AD183">
        <f>セットアップレポート!AC183</f>
        <v>0</v>
      </c>
      <c r="AE183">
        <f>セットアップレポート!AD183</f>
        <v>0</v>
      </c>
      <c r="AF183">
        <f>セットアップレポート!AE183</f>
        <v>0</v>
      </c>
      <c r="AG183">
        <f>セットアップレポート!AF183</f>
        <v>0</v>
      </c>
      <c r="AH183">
        <f>セットアップレポート!AG183</f>
        <v>0</v>
      </c>
    </row>
    <row r="184" spans="1:34" x14ac:dyDescent="0.45">
      <c r="A184" t="str">
        <f t="shared" si="2"/>
        <v>L2-NPM040018L632718</v>
      </c>
      <c r="B184" t="str">
        <f>セットアップレポート!A184</f>
        <v>Line-2</v>
      </c>
      <c r="C184" t="str">
        <f>セットアップレポート!B184</f>
        <v>L2-NPM04</v>
      </c>
      <c r="D184" t="str">
        <f>セットアップレポート!C184</f>
        <v>Zone-2-NPMW-4</v>
      </c>
      <c r="E184">
        <f>セットアップレポート!D184</f>
        <v>1</v>
      </c>
      <c r="F184">
        <f>セットアップレポート!E184</f>
        <v>1</v>
      </c>
      <c r="G184" t="str">
        <f>セットアップレポート!F184</f>
        <v>10018L</v>
      </c>
      <c r="H184">
        <f>セットアップレポート!G184</f>
        <v>18</v>
      </c>
      <c r="I184" t="str">
        <f>セットアップレポート!H184</f>
        <v>L</v>
      </c>
      <c r="J184" t="str">
        <f>セットアップレポート!I184</f>
        <v>632718 100269</v>
      </c>
      <c r="K184">
        <f>セットアップレポート!J184</f>
        <v>632718</v>
      </c>
      <c r="L184">
        <f>セットアップレポート!K184</f>
        <v>0</v>
      </c>
      <c r="M184">
        <f>セットアップレポート!L184</f>
        <v>0</v>
      </c>
      <c r="N184">
        <f>セットアップレポート!M184</f>
        <v>0</v>
      </c>
      <c r="O184">
        <f>セットアップレポート!N184</f>
        <v>0</v>
      </c>
      <c r="P184" t="str">
        <f>セットアップレポート!O184</f>
        <v>FA0201ABD000386</v>
      </c>
      <c r="Q184">
        <f>セットアップレポート!P184</f>
        <v>10000</v>
      </c>
      <c r="R184">
        <f>セットアップレポート!Q184</f>
        <v>45950.475775462961</v>
      </c>
      <c r="S184">
        <f>セットアップレポート!R184</f>
        <v>0</v>
      </c>
      <c r="T184">
        <f>セットアップレポート!S184</f>
        <v>0</v>
      </c>
      <c r="U184">
        <f>セットアップレポート!T184</f>
        <v>0</v>
      </c>
      <c r="V184">
        <f>セットアップレポート!U184</f>
        <v>0</v>
      </c>
      <c r="W184">
        <f>セットアップレポート!V184</f>
        <v>0</v>
      </c>
      <c r="X184">
        <f>セットアップレポート!W184</f>
        <v>0</v>
      </c>
      <c r="Y184">
        <f>セットアップレポート!X184</f>
        <v>0</v>
      </c>
      <c r="Z184">
        <f>セットアップレポート!Y184</f>
        <v>0</v>
      </c>
      <c r="AA184">
        <f>セットアップレポート!Z184</f>
        <v>0</v>
      </c>
      <c r="AB184" t="str">
        <f>セットアップレポート!AA184</f>
        <v>NONE</v>
      </c>
      <c r="AC184">
        <f>セットアップレポート!AB184</f>
        <v>0</v>
      </c>
      <c r="AD184">
        <f>セットアップレポート!AC184</f>
        <v>0</v>
      </c>
      <c r="AE184">
        <f>セットアップレポート!AD184</f>
        <v>0</v>
      </c>
      <c r="AF184">
        <f>セットアップレポート!AE184</f>
        <v>0</v>
      </c>
      <c r="AG184">
        <f>セットアップレポート!AF184</f>
        <v>0</v>
      </c>
      <c r="AH184">
        <f>セットアップレポート!AG184</f>
        <v>0</v>
      </c>
    </row>
    <row r="185" spans="1:34" x14ac:dyDescent="0.45">
      <c r="A185" t="str">
        <f t="shared" si="2"/>
        <v>L2-NPM040019L9000069256</v>
      </c>
      <c r="B185" t="str">
        <f>セットアップレポート!A185</f>
        <v>Line-2</v>
      </c>
      <c r="C185" t="str">
        <f>セットアップレポート!B185</f>
        <v>L2-NPM04</v>
      </c>
      <c r="D185" t="str">
        <f>セットアップレポート!C185</f>
        <v>Zone-2-NPMW-4</v>
      </c>
      <c r="E185">
        <f>セットアップレポート!D185</f>
        <v>1</v>
      </c>
      <c r="F185">
        <f>セットアップレポート!E185</f>
        <v>1</v>
      </c>
      <c r="G185" t="str">
        <f>セットアップレポート!F185</f>
        <v>10019L</v>
      </c>
      <c r="H185">
        <f>セットアップレポート!G185</f>
        <v>19</v>
      </c>
      <c r="I185" t="str">
        <f>セットアップレポート!H185</f>
        <v>L</v>
      </c>
      <c r="J185" t="str">
        <f>セットアップレポート!I185</f>
        <v>9000069256 100002</v>
      </c>
      <c r="K185">
        <f>セットアップレポート!J185</f>
        <v>9000069256</v>
      </c>
      <c r="L185">
        <f>セットアップレポート!K185</f>
        <v>0</v>
      </c>
      <c r="M185">
        <f>セットアップレポート!L185</f>
        <v>0</v>
      </c>
      <c r="N185">
        <f>セットアップレポート!M185</f>
        <v>0</v>
      </c>
      <c r="O185">
        <f>セットアップレポート!N185</f>
        <v>0</v>
      </c>
      <c r="P185" t="str">
        <f>セットアップレポート!O185</f>
        <v>FA0201ACD049874</v>
      </c>
      <c r="Q185">
        <f>セットアップレポート!P185</f>
        <v>10000</v>
      </c>
      <c r="R185">
        <f>セットアップレポート!Q185</f>
        <v>45950.475775462961</v>
      </c>
      <c r="S185">
        <f>セットアップレポート!R185</f>
        <v>0</v>
      </c>
      <c r="T185" t="str">
        <f>セットアップレポート!S185</f>
        <v>Yes</v>
      </c>
      <c r="U185">
        <f>セットアップレポート!T185</f>
        <v>0</v>
      </c>
      <c r="V185" t="str">
        <f>セットアップレポート!U185</f>
        <v>9000069256 100009</v>
      </c>
      <c r="W185">
        <f>セットアップレポート!V185</f>
        <v>0</v>
      </c>
      <c r="X185">
        <f>セットアップレポート!W185</f>
        <v>0</v>
      </c>
      <c r="Y185">
        <f>セットアップレポート!X185</f>
        <v>0</v>
      </c>
      <c r="Z185">
        <f>セットアップレポート!Y185</f>
        <v>0</v>
      </c>
      <c r="AA185">
        <f>セットアップレポート!Z185</f>
        <v>0</v>
      </c>
      <c r="AB185" t="str">
        <f>セットアップレポート!AA185</f>
        <v>NONE</v>
      </c>
      <c r="AC185">
        <f>セットアップレポート!AB185</f>
        <v>0</v>
      </c>
      <c r="AD185">
        <f>セットアップレポート!AC185</f>
        <v>0</v>
      </c>
      <c r="AE185">
        <f>セットアップレポート!AD185</f>
        <v>0</v>
      </c>
      <c r="AF185">
        <f>セットアップレポート!AE185</f>
        <v>0</v>
      </c>
      <c r="AG185">
        <f>セットアップレポート!AF185</f>
        <v>0</v>
      </c>
      <c r="AH185">
        <f>セットアップレポート!AG185</f>
        <v>0</v>
      </c>
    </row>
    <row r="186" spans="1:34" x14ac:dyDescent="0.45">
      <c r="A186" t="str">
        <f t="shared" si="2"/>
        <v>L2-NPM040020L667235A</v>
      </c>
      <c r="B186" t="str">
        <f>セットアップレポート!A186</f>
        <v>Line-2</v>
      </c>
      <c r="C186" t="str">
        <f>セットアップレポート!B186</f>
        <v>L2-NPM04</v>
      </c>
      <c r="D186" t="str">
        <f>セットアップレポート!C186</f>
        <v>Zone-2-NPMW-4</v>
      </c>
      <c r="E186">
        <f>セットアップレポート!D186</f>
        <v>1</v>
      </c>
      <c r="F186">
        <f>セットアップレポート!E186</f>
        <v>1</v>
      </c>
      <c r="G186" t="str">
        <f>セットアップレポート!F186</f>
        <v>10020L</v>
      </c>
      <c r="H186">
        <f>セットアップレポート!G186</f>
        <v>20</v>
      </c>
      <c r="I186" t="str">
        <f>セットアップレポート!H186</f>
        <v>L</v>
      </c>
      <c r="J186" t="str">
        <f>セットアップレポート!I186</f>
        <v>667235A100367</v>
      </c>
      <c r="K186" t="str">
        <f>セットアップレポート!J186</f>
        <v>667235A</v>
      </c>
      <c r="L186">
        <f>セットアップレポート!K186</f>
        <v>0</v>
      </c>
      <c r="M186">
        <f>セットアップレポート!L186</f>
        <v>0</v>
      </c>
      <c r="N186">
        <f>セットアップレポート!M186</f>
        <v>0</v>
      </c>
      <c r="O186">
        <f>セットアップレポート!N186</f>
        <v>0</v>
      </c>
      <c r="P186" t="str">
        <f>セットアップレポート!O186</f>
        <v>FA0201ACD049773</v>
      </c>
      <c r="Q186">
        <f>セットアップレポート!P186</f>
        <v>5000</v>
      </c>
      <c r="R186">
        <f>セットアップレポート!Q186</f>
        <v>45950.475775462961</v>
      </c>
      <c r="S186">
        <f>セットアップレポート!R186</f>
        <v>0</v>
      </c>
      <c r="T186">
        <f>セットアップレポート!S186</f>
        <v>0</v>
      </c>
      <c r="U186">
        <f>セットアップレポート!T186</f>
        <v>0</v>
      </c>
      <c r="V186">
        <f>セットアップレポート!U186</f>
        <v>0</v>
      </c>
      <c r="W186">
        <f>セットアップレポート!V186</f>
        <v>0</v>
      </c>
      <c r="X186">
        <f>セットアップレポート!W186</f>
        <v>0</v>
      </c>
      <c r="Y186">
        <f>セットアップレポート!X186</f>
        <v>0</v>
      </c>
      <c r="Z186">
        <f>セットアップレポート!Y186</f>
        <v>0</v>
      </c>
      <c r="AA186">
        <f>セットアップレポート!Z186</f>
        <v>0</v>
      </c>
      <c r="AB186" t="str">
        <f>セットアップレポート!AA186</f>
        <v>NONE</v>
      </c>
      <c r="AC186">
        <f>セットアップレポート!AB186</f>
        <v>0</v>
      </c>
      <c r="AD186">
        <f>セットアップレポート!AC186</f>
        <v>0</v>
      </c>
      <c r="AE186">
        <f>セットアップレポート!AD186</f>
        <v>0</v>
      </c>
      <c r="AF186">
        <f>セットアップレポート!AE186</f>
        <v>0</v>
      </c>
      <c r="AG186">
        <f>セットアップレポート!AF186</f>
        <v>0</v>
      </c>
      <c r="AH186">
        <f>セットアップレポート!AG186</f>
        <v>0</v>
      </c>
    </row>
    <row r="187" spans="1:34" x14ac:dyDescent="0.45">
      <c r="A187" t="str">
        <f t="shared" si="2"/>
        <v>L2-NPM040021L667583A</v>
      </c>
      <c r="B187" t="str">
        <f>セットアップレポート!A187</f>
        <v>Line-2</v>
      </c>
      <c r="C187" t="str">
        <f>セットアップレポート!B187</f>
        <v>L2-NPM04</v>
      </c>
      <c r="D187" t="str">
        <f>セットアップレポート!C187</f>
        <v>Zone-2-NPMW-4</v>
      </c>
      <c r="E187">
        <f>セットアップレポート!D187</f>
        <v>1</v>
      </c>
      <c r="F187">
        <f>セットアップレポート!E187</f>
        <v>1</v>
      </c>
      <c r="G187" t="str">
        <f>セットアップレポート!F187</f>
        <v>10021L</v>
      </c>
      <c r="H187">
        <f>セットアップレポート!G187</f>
        <v>21</v>
      </c>
      <c r="I187" t="str">
        <f>セットアップレポート!H187</f>
        <v>L</v>
      </c>
      <c r="J187" t="str">
        <f>セットアップレポート!I187</f>
        <v>667583A100320</v>
      </c>
      <c r="K187" t="str">
        <f>セットアップレポート!J187</f>
        <v>667583A</v>
      </c>
      <c r="L187">
        <f>セットアップレポート!K187</f>
        <v>0</v>
      </c>
      <c r="M187">
        <f>セットアップレポート!L187</f>
        <v>0</v>
      </c>
      <c r="N187">
        <f>セットアップレポート!M187</f>
        <v>0</v>
      </c>
      <c r="O187">
        <f>セットアップレポート!N187</f>
        <v>0</v>
      </c>
      <c r="P187" t="str">
        <f>セットアップレポート!O187</f>
        <v>FA0201ABD000638</v>
      </c>
      <c r="Q187">
        <f>セットアップレポート!P187</f>
        <v>5000</v>
      </c>
      <c r="R187">
        <f>セットアップレポート!Q187</f>
        <v>45950.475775462961</v>
      </c>
      <c r="S187">
        <f>セットアップレポート!R187</f>
        <v>0</v>
      </c>
      <c r="T187">
        <f>セットアップレポート!S187</f>
        <v>0</v>
      </c>
      <c r="U187">
        <f>セットアップレポート!T187</f>
        <v>0</v>
      </c>
      <c r="V187">
        <f>セットアップレポート!U187</f>
        <v>0</v>
      </c>
      <c r="W187">
        <f>セットアップレポート!V187</f>
        <v>0</v>
      </c>
      <c r="X187">
        <f>セットアップレポート!W187</f>
        <v>0</v>
      </c>
      <c r="Y187">
        <f>セットアップレポート!X187</f>
        <v>0</v>
      </c>
      <c r="Z187">
        <f>セットアップレポート!Y187</f>
        <v>0</v>
      </c>
      <c r="AA187">
        <f>セットアップレポート!Z187</f>
        <v>0</v>
      </c>
      <c r="AB187" t="str">
        <f>セットアップレポート!AA187</f>
        <v>NONE</v>
      </c>
      <c r="AC187">
        <f>セットアップレポート!AB187</f>
        <v>0</v>
      </c>
      <c r="AD187">
        <f>セットアップレポート!AC187</f>
        <v>0</v>
      </c>
      <c r="AE187">
        <f>セットアップレポート!AD187</f>
        <v>0</v>
      </c>
      <c r="AF187">
        <f>セットアップレポート!AE187</f>
        <v>0</v>
      </c>
      <c r="AG187">
        <f>セットアップレポート!AF187</f>
        <v>0</v>
      </c>
      <c r="AH187">
        <f>セットアップレポート!AG187</f>
        <v>0</v>
      </c>
    </row>
    <row r="188" spans="1:34" x14ac:dyDescent="0.45">
      <c r="A188" t="str">
        <f t="shared" si="2"/>
        <v>L2-NPM040022L9000058099</v>
      </c>
      <c r="B188" t="str">
        <f>セットアップレポート!A188</f>
        <v>Line-2</v>
      </c>
      <c r="C188" t="str">
        <f>セットアップレポート!B188</f>
        <v>L2-NPM04</v>
      </c>
      <c r="D188" t="str">
        <f>セットアップレポート!C188</f>
        <v>Zone-2-NPMW-4</v>
      </c>
      <c r="E188">
        <f>セットアップレポート!D188</f>
        <v>1</v>
      </c>
      <c r="F188">
        <f>セットアップレポート!E188</f>
        <v>1</v>
      </c>
      <c r="G188" t="str">
        <f>セットアップレポート!F188</f>
        <v>10022L</v>
      </c>
      <c r="H188">
        <f>セットアップレポート!G188</f>
        <v>22</v>
      </c>
      <c r="I188" t="str">
        <f>セットアップレポート!H188</f>
        <v>L</v>
      </c>
      <c r="J188" t="str">
        <f>セットアップレポート!I188</f>
        <v>9000058099 100414</v>
      </c>
      <c r="K188">
        <f>セットアップレポート!J188</f>
        <v>9000058099</v>
      </c>
      <c r="L188">
        <f>セットアップレポート!K188</f>
        <v>0</v>
      </c>
      <c r="M188">
        <f>セットアップレポート!L188</f>
        <v>0</v>
      </c>
      <c r="N188">
        <f>セットアップレポート!M188</f>
        <v>0</v>
      </c>
      <c r="O188">
        <f>セットアップレポート!N188</f>
        <v>0</v>
      </c>
      <c r="P188" t="str">
        <f>セットアップレポート!O188</f>
        <v>FA0201ABA002299</v>
      </c>
      <c r="Q188">
        <f>セットアップレポート!P188</f>
        <v>3000</v>
      </c>
      <c r="R188">
        <f>セットアップレポート!Q188</f>
        <v>45950.475787037038</v>
      </c>
      <c r="S188">
        <f>セットアップレポート!R188</f>
        <v>0</v>
      </c>
      <c r="T188">
        <f>セットアップレポート!S188</f>
        <v>0</v>
      </c>
      <c r="U188">
        <f>セットアップレポート!T188</f>
        <v>0</v>
      </c>
      <c r="V188">
        <f>セットアップレポート!U188</f>
        <v>0</v>
      </c>
      <c r="W188">
        <f>セットアップレポート!V188</f>
        <v>0</v>
      </c>
      <c r="X188">
        <f>セットアップレポート!W188</f>
        <v>0</v>
      </c>
      <c r="Y188">
        <f>セットアップレポート!X188</f>
        <v>0</v>
      </c>
      <c r="Z188">
        <f>セットアップレポート!Y188</f>
        <v>0</v>
      </c>
      <c r="AA188">
        <f>セットアップレポート!Z188</f>
        <v>0</v>
      </c>
      <c r="AB188" t="str">
        <f>セットアップレポート!AA188</f>
        <v>NONE</v>
      </c>
      <c r="AC188">
        <f>セットアップレポート!AB188</f>
        <v>0</v>
      </c>
      <c r="AD188">
        <f>セットアップレポート!AC188</f>
        <v>0</v>
      </c>
      <c r="AE188">
        <f>セットアップレポート!AD188</f>
        <v>0</v>
      </c>
      <c r="AF188">
        <f>セットアップレポート!AE188</f>
        <v>0</v>
      </c>
      <c r="AG188">
        <f>セットアップレポート!AF188</f>
        <v>0</v>
      </c>
      <c r="AH188">
        <f>セットアップレポート!AG188</f>
        <v>0</v>
      </c>
    </row>
    <row r="189" spans="1:34" x14ac:dyDescent="0.45">
      <c r="A189" t="str">
        <f t="shared" si="2"/>
        <v>L2-NPM040023L667485A</v>
      </c>
      <c r="B189" t="str">
        <f>セットアップレポート!A189</f>
        <v>Line-2</v>
      </c>
      <c r="C189" t="str">
        <f>セットアップレポート!B189</f>
        <v>L2-NPM04</v>
      </c>
      <c r="D189" t="str">
        <f>セットアップレポート!C189</f>
        <v>Zone-2-NPMW-4</v>
      </c>
      <c r="E189">
        <f>セットアップレポート!D189</f>
        <v>1</v>
      </c>
      <c r="F189">
        <f>セットアップレポート!E189</f>
        <v>1</v>
      </c>
      <c r="G189" t="str">
        <f>セットアップレポート!F189</f>
        <v>10023L</v>
      </c>
      <c r="H189">
        <f>セットアップレポート!G189</f>
        <v>23</v>
      </c>
      <c r="I189" t="str">
        <f>セットアップレポート!H189</f>
        <v>L</v>
      </c>
      <c r="J189" t="str">
        <f>セットアップレポート!I189</f>
        <v>667485A100198</v>
      </c>
      <c r="K189" t="str">
        <f>セットアップレポート!J189</f>
        <v>667485A</v>
      </c>
      <c r="L189">
        <f>セットアップレポート!K189</f>
        <v>0</v>
      </c>
      <c r="M189">
        <f>セットアップレポート!L189</f>
        <v>0</v>
      </c>
      <c r="N189">
        <f>セットアップレポート!M189</f>
        <v>0</v>
      </c>
      <c r="O189">
        <f>セットアップレポート!N189</f>
        <v>0</v>
      </c>
      <c r="P189" t="str">
        <f>セットアップレポート!O189</f>
        <v>FA0201ACD050984</v>
      </c>
      <c r="Q189">
        <f>セットアップレポート!P189</f>
        <v>5000</v>
      </c>
      <c r="R189">
        <f>セットアップレポート!Q189</f>
        <v>45950.475787037038</v>
      </c>
      <c r="S189">
        <f>セットアップレポート!R189</f>
        <v>0</v>
      </c>
      <c r="T189">
        <f>セットアップレポート!S189</f>
        <v>0</v>
      </c>
      <c r="U189">
        <f>セットアップレポート!T189</f>
        <v>0</v>
      </c>
      <c r="V189">
        <f>セットアップレポート!U189</f>
        <v>0</v>
      </c>
      <c r="W189">
        <f>セットアップレポート!V189</f>
        <v>0</v>
      </c>
      <c r="X189">
        <f>セットアップレポート!W189</f>
        <v>0</v>
      </c>
      <c r="Y189">
        <f>セットアップレポート!X189</f>
        <v>0</v>
      </c>
      <c r="Z189">
        <f>セットアップレポート!Y189</f>
        <v>0</v>
      </c>
      <c r="AA189">
        <f>セットアップレポート!Z189</f>
        <v>0</v>
      </c>
      <c r="AB189" t="str">
        <f>セットアップレポート!AA189</f>
        <v>NONE</v>
      </c>
      <c r="AC189">
        <f>セットアップレポート!AB189</f>
        <v>0</v>
      </c>
      <c r="AD189">
        <f>セットアップレポート!AC189</f>
        <v>0</v>
      </c>
      <c r="AE189">
        <f>セットアップレポート!AD189</f>
        <v>0</v>
      </c>
      <c r="AF189">
        <f>セットアップレポート!AE189</f>
        <v>0</v>
      </c>
      <c r="AG189">
        <f>セットアップレポート!AF189</f>
        <v>0</v>
      </c>
      <c r="AH189">
        <f>セットアップレポート!AG189</f>
        <v>0</v>
      </c>
    </row>
    <row r="190" spans="1:34" x14ac:dyDescent="0.45">
      <c r="A190" t="str">
        <f t="shared" si="2"/>
        <v>L2-NPM040024L667449A</v>
      </c>
      <c r="B190" t="str">
        <f>セットアップレポート!A190</f>
        <v>Line-2</v>
      </c>
      <c r="C190" t="str">
        <f>セットアップレポート!B190</f>
        <v>L2-NPM04</v>
      </c>
      <c r="D190" t="str">
        <f>セットアップレポート!C190</f>
        <v>Zone-2-NPMW-4</v>
      </c>
      <c r="E190">
        <f>セットアップレポート!D190</f>
        <v>1</v>
      </c>
      <c r="F190">
        <f>セットアップレポート!E190</f>
        <v>1</v>
      </c>
      <c r="G190" t="str">
        <f>セットアップレポート!F190</f>
        <v>10024L</v>
      </c>
      <c r="H190">
        <f>セットアップレポート!G190</f>
        <v>24</v>
      </c>
      <c r="I190" t="str">
        <f>セットアップレポート!H190</f>
        <v>L</v>
      </c>
      <c r="J190" t="str">
        <f>セットアップレポート!I190</f>
        <v>667449A100458</v>
      </c>
      <c r="K190" t="str">
        <f>セットアップレポート!J190</f>
        <v>667449A</v>
      </c>
      <c r="L190">
        <f>セットアップレポート!K190</f>
        <v>0</v>
      </c>
      <c r="M190">
        <f>セットアップレポート!L190</f>
        <v>0</v>
      </c>
      <c r="N190">
        <f>セットアップレポート!M190</f>
        <v>0</v>
      </c>
      <c r="O190">
        <f>セットアップレポート!N190</f>
        <v>0</v>
      </c>
      <c r="P190" t="str">
        <f>セットアップレポート!O190</f>
        <v>FA0201ABD000641</v>
      </c>
      <c r="Q190">
        <f>セットアップレポート!P190</f>
        <v>5000</v>
      </c>
      <c r="R190">
        <f>セットアップレポート!Q190</f>
        <v>45950.475787037038</v>
      </c>
      <c r="S190">
        <f>セットアップレポート!R190</f>
        <v>0</v>
      </c>
      <c r="T190">
        <f>セットアップレポート!S190</f>
        <v>0</v>
      </c>
      <c r="U190">
        <f>セットアップレポート!T190</f>
        <v>0</v>
      </c>
      <c r="V190">
        <f>セットアップレポート!U190</f>
        <v>0</v>
      </c>
      <c r="W190">
        <f>セットアップレポート!V190</f>
        <v>0</v>
      </c>
      <c r="X190">
        <f>セットアップレポート!W190</f>
        <v>0</v>
      </c>
      <c r="Y190">
        <f>セットアップレポート!X190</f>
        <v>0</v>
      </c>
      <c r="Z190">
        <f>セットアップレポート!Y190</f>
        <v>0</v>
      </c>
      <c r="AA190">
        <f>セットアップレポート!Z190</f>
        <v>0</v>
      </c>
      <c r="AB190" t="str">
        <f>セットアップレポート!AA190</f>
        <v>NONE</v>
      </c>
      <c r="AC190">
        <f>セットアップレポート!AB190</f>
        <v>0</v>
      </c>
      <c r="AD190">
        <f>セットアップレポート!AC190</f>
        <v>0</v>
      </c>
      <c r="AE190">
        <f>セットアップレポート!AD190</f>
        <v>0</v>
      </c>
      <c r="AF190">
        <f>セットアップレポート!AE190</f>
        <v>0</v>
      </c>
      <c r="AG190">
        <f>セットアップレポート!AF190</f>
        <v>0</v>
      </c>
      <c r="AH190">
        <f>セットアップレポート!AG190</f>
        <v>0</v>
      </c>
    </row>
    <row r="191" spans="1:34" x14ac:dyDescent="0.45">
      <c r="A191" t="str">
        <f t="shared" si="2"/>
        <v>L2-NPM040025L667137A</v>
      </c>
      <c r="B191" t="str">
        <f>セットアップレポート!A191</f>
        <v>Line-2</v>
      </c>
      <c r="C191" t="str">
        <f>セットアップレポート!B191</f>
        <v>L2-NPM04</v>
      </c>
      <c r="D191" t="str">
        <f>セットアップレポート!C191</f>
        <v>Zone-2-NPMW-4</v>
      </c>
      <c r="E191">
        <f>セットアップレポート!D191</f>
        <v>1</v>
      </c>
      <c r="F191">
        <f>セットアップレポート!E191</f>
        <v>1</v>
      </c>
      <c r="G191" t="str">
        <f>セットアップレポート!F191</f>
        <v>10025L</v>
      </c>
      <c r="H191">
        <f>セットアップレポート!G191</f>
        <v>25</v>
      </c>
      <c r="I191" t="str">
        <f>セットアップレポート!H191</f>
        <v>L</v>
      </c>
      <c r="J191" t="str">
        <f>セットアップレポート!I191</f>
        <v>667137A101178</v>
      </c>
      <c r="K191" t="str">
        <f>セットアップレポート!J191</f>
        <v>667137A</v>
      </c>
      <c r="L191">
        <f>セットアップレポート!K191</f>
        <v>0</v>
      </c>
      <c r="M191">
        <f>セットアップレポート!L191</f>
        <v>0</v>
      </c>
      <c r="N191">
        <f>セットアップレポート!M191</f>
        <v>0</v>
      </c>
      <c r="O191">
        <f>セットアップレポート!N191</f>
        <v>0</v>
      </c>
      <c r="P191" t="str">
        <f>セットアップレポート!O191</f>
        <v>FA0201ABD000431</v>
      </c>
      <c r="Q191">
        <f>セットアップレポート!P191</f>
        <v>5000</v>
      </c>
      <c r="R191">
        <f>セットアップレポート!Q191</f>
        <v>45950.475787037038</v>
      </c>
      <c r="S191">
        <f>セットアップレポート!R191</f>
        <v>0</v>
      </c>
      <c r="T191">
        <f>セットアップレポート!S191</f>
        <v>0</v>
      </c>
      <c r="U191">
        <f>セットアップレポート!T191</f>
        <v>0</v>
      </c>
      <c r="V191">
        <f>セットアップレポート!U191</f>
        <v>0</v>
      </c>
      <c r="W191">
        <f>セットアップレポート!V191</f>
        <v>0</v>
      </c>
      <c r="X191">
        <f>セットアップレポート!W191</f>
        <v>0</v>
      </c>
      <c r="Y191">
        <f>セットアップレポート!X191</f>
        <v>0</v>
      </c>
      <c r="Z191">
        <f>セットアップレポート!Y191</f>
        <v>0</v>
      </c>
      <c r="AA191">
        <f>セットアップレポート!Z191</f>
        <v>0</v>
      </c>
      <c r="AB191" t="str">
        <f>セットアップレポート!AA191</f>
        <v>NONE</v>
      </c>
      <c r="AC191">
        <f>セットアップレポート!AB191</f>
        <v>0</v>
      </c>
      <c r="AD191">
        <f>セットアップレポート!AC191</f>
        <v>0</v>
      </c>
      <c r="AE191">
        <f>セットアップレポート!AD191</f>
        <v>0</v>
      </c>
      <c r="AF191">
        <f>セットアップレポート!AE191</f>
        <v>0</v>
      </c>
      <c r="AG191">
        <f>セットアップレポート!AF191</f>
        <v>0</v>
      </c>
      <c r="AH191">
        <f>セットアップレポート!AG191</f>
        <v>0</v>
      </c>
    </row>
    <row r="192" spans="1:34" x14ac:dyDescent="0.45">
      <c r="A192" t="str">
        <f t="shared" si="2"/>
        <v>L2-NPM040026L9000069758</v>
      </c>
      <c r="B192" t="str">
        <f>セットアップレポート!A192</f>
        <v>Line-2</v>
      </c>
      <c r="C192" t="str">
        <f>セットアップレポート!B192</f>
        <v>L2-NPM04</v>
      </c>
      <c r="D192" t="str">
        <f>セットアップレポート!C192</f>
        <v>Zone-2-NPMW-4</v>
      </c>
      <c r="E192">
        <f>セットアップレポート!D192</f>
        <v>1</v>
      </c>
      <c r="F192">
        <f>セットアップレポート!E192</f>
        <v>1</v>
      </c>
      <c r="G192" t="str">
        <f>セットアップレポート!F192</f>
        <v>10026L</v>
      </c>
      <c r="H192">
        <f>セットアップレポート!G192</f>
        <v>26</v>
      </c>
      <c r="I192" t="str">
        <f>セットアップレポート!H192</f>
        <v>L</v>
      </c>
      <c r="J192" t="str">
        <f>セットアップレポート!I192</f>
        <v>9000069758 100003</v>
      </c>
      <c r="K192">
        <f>セットアップレポート!J192</f>
        <v>9000069758</v>
      </c>
      <c r="L192">
        <f>セットアップレポート!K192</f>
        <v>0</v>
      </c>
      <c r="M192">
        <f>セットアップレポート!L192</f>
        <v>0</v>
      </c>
      <c r="N192">
        <f>セットアップレポート!M192</f>
        <v>0</v>
      </c>
      <c r="O192">
        <f>セットアップレポート!N192</f>
        <v>0</v>
      </c>
      <c r="P192" t="str">
        <f>セットアップレポート!O192</f>
        <v>FA0201ACD049728</v>
      </c>
      <c r="Q192">
        <f>セットアップレポート!P192</f>
        <v>3000</v>
      </c>
      <c r="R192">
        <f>セットアップレポート!Q192</f>
        <v>45950.475787037038</v>
      </c>
      <c r="S192">
        <f>セットアップレポート!R192</f>
        <v>0</v>
      </c>
      <c r="T192" t="str">
        <f>セットアップレポート!S192</f>
        <v>Yes</v>
      </c>
      <c r="U192">
        <f>セットアップレポート!T192</f>
        <v>0</v>
      </c>
      <c r="V192" t="str">
        <f>セットアップレポート!U192</f>
        <v>9000069758 100001</v>
      </c>
      <c r="W192">
        <f>セットアップレポート!V192</f>
        <v>0</v>
      </c>
      <c r="X192">
        <f>セットアップレポート!W192</f>
        <v>0</v>
      </c>
      <c r="Y192">
        <f>セットアップレポート!X192</f>
        <v>0</v>
      </c>
      <c r="Z192">
        <f>セットアップレポート!Y192</f>
        <v>0</v>
      </c>
      <c r="AA192">
        <f>セットアップレポート!Z192</f>
        <v>0</v>
      </c>
      <c r="AB192" t="str">
        <f>セットアップレポート!AA192</f>
        <v>NONE</v>
      </c>
      <c r="AC192">
        <f>セットアップレポート!AB192</f>
        <v>0</v>
      </c>
      <c r="AD192">
        <f>セットアップレポート!AC192</f>
        <v>0</v>
      </c>
      <c r="AE192">
        <f>セットアップレポート!AD192</f>
        <v>0</v>
      </c>
      <c r="AF192">
        <f>セットアップレポート!AE192</f>
        <v>0</v>
      </c>
      <c r="AG192">
        <f>セットアップレポート!AF192</f>
        <v>0</v>
      </c>
      <c r="AH192">
        <f>セットアップレポート!AG192</f>
        <v>0</v>
      </c>
    </row>
    <row r="193" spans="1:34" x14ac:dyDescent="0.45">
      <c r="A193" t="str">
        <f t="shared" si="2"/>
        <v>L2-NPM040027L9000051053</v>
      </c>
      <c r="B193" t="str">
        <f>セットアップレポート!A193</f>
        <v>Line-2</v>
      </c>
      <c r="C193" t="str">
        <f>セットアップレポート!B193</f>
        <v>L2-NPM04</v>
      </c>
      <c r="D193" t="str">
        <f>セットアップレポート!C193</f>
        <v>Zone-2-NPMW-4</v>
      </c>
      <c r="E193">
        <f>セットアップレポート!D193</f>
        <v>1</v>
      </c>
      <c r="F193">
        <f>セットアップレポート!E193</f>
        <v>1</v>
      </c>
      <c r="G193" t="str">
        <f>セットアップレポート!F193</f>
        <v>10027L</v>
      </c>
      <c r="H193">
        <f>セットアップレポート!G193</f>
        <v>27</v>
      </c>
      <c r="I193" t="str">
        <f>セットアップレポート!H193</f>
        <v>L</v>
      </c>
      <c r="J193" t="str">
        <f>セットアップレポート!I193</f>
        <v>9000051053 110981</v>
      </c>
      <c r="K193">
        <f>セットアップレポート!J193</f>
        <v>9000051053</v>
      </c>
      <c r="L193">
        <f>セットアップレポート!K193</f>
        <v>0</v>
      </c>
      <c r="M193">
        <f>セットアップレポート!L193</f>
        <v>0</v>
      </c>
      <c r="N193">
        <f>セットアップレポート!M193</f>
        <v>0</v>
      </c>
      <c r="O193">
        <f>セットアップレポート!N193</f>
        <v>0</v>
      </c>
      <c r="P193" t="str">
        <f>セットアップレポート!O193</f>
        <v>FA0201ABA002765</v>
      </c>
      <c r="Q193">
        <f>セットアップレポート!P193</f>
        <v>10000</v>
      </c>
      <c r="R193">
        <f>セットアップレポート!Q193</f>
        <v>45950.475787037038</v>
      </c>
      <c r="S193">
        <f>セットアップレポート!R193</f>
        <v>0</v>
      </c>
      <c r="T193">
        <f>セットアップレポート!S193</f>
        <v>0</v>
      </c>
      <c r="U193">
        <f>セットアップレポート!T193</f>
        <v>0</v>
      </c>
      <c r="V193">
        <f>セットアップレポート!U193</f>
        <v>0</v>
      </c>
      <c r="W193">
        <f>セットアップレポート!V193</f>
        <v>0</v>
      </c>
      <c r="X193">
        <f>セットアップレポート!W193</f>
        <v>0</v>
      </c>
      <c r="Y193">
        <f>セットアップレポート!X193</f>
        <v>0</v>
      </c>
      <c r="Z193">
        <f>セットアップレポート!Y193</f>
        <v>0</v>
      </c>
      <c r="AA193">
        <f>セットアップレポート!Z193</f>
        <v>0</v>
      </c>
      <c r="AB193" t="str">
        <f>セットアップレポート!AA193</f>
        <v>NONE</v>
      </c>
      <c r="AC193">
        <f>セットアップレポート!AB193</f>
        <v>0</v>
      </c>
      <c r="AD193">
        <f>セットアップレポート!AC193</f>
        <v>0</v>
      </c>
      <c r="AE193">
        <f>セットアップレポート!AD193</f>
        <v>0</v>
      </c>
      <c r="AF193">
        <f>セットアップレポート!AE193</f>
        <v>0</v>
      </c>
      <c r="AG193">
        <f>セットアップレポート!AF193</f>
        <v>0</v>
      </c>
      <c r="AH193">
        <f>セットアップレポート!AG193</f>
        <v>0</v>
      </c>
    </row>
    <row r="194" spans="1:34" x14ac:dyDescent="0.45">
      <c r="A194" t="str">
        <f t="shared" si="2"/>
        <v>L2-NPM040028L691529</v>
      </c>
      <c r="B194" t="str">
        <f>セットアップレポート!A194</f>
        <v>Line-2</v>
      </c>
      <c r="C194" t="str">
        <f>セットアップレポート!B194</f>
        <v>L2-NPM04</v>
      </c>
      <c r="D194" t="str">
        <f>セットアップレポート!C194</f>
        <v>Zone-2-NPMW-4</v>
      </c>
      <c r="E194">
        <f>セットアップレポート!D194</f>
        <v>1</v>
      </c>
      <c r="F194">
        <f>セットアップレポート!E194</f>
        <v>1</v>
      </c>
      <c r="G194" t="str">
        <f>セットアップレポート!F194</f>
        <v>10028L</v>
      </c>
      <c r="H194">
        <f>セットアップレポート!G194</f>
        <v>28</v>
      </c>
      <c r="I194" t="str">
        <f>セットアップレポート!H194</f>
        <v>L</v>
      </c>
      <c r="J194" t="str">
        <f>セットアップレポート!I194</f>
        <v>691529 100133</v>
      </c>
      <c r="K194">
        <f>セットアップレポート!J194</f>
        <v>691529</v>
      </c>
      <c r="L194">
        <f>セットアップレポート!K194</f>
        <v>0</v>
      </c>
      <c r="M194">
        <f>セットアップレポート!L194</f>
        <v>0</v>
      </c>
      <c r="N194">
        <f>セットアップレポート!M194</f>
        <v>0</v>
      </c>
      <c r="O194">
        <f>セットアップレポート!N194</f>
        <v>0</v>
      </c>
      <c r="P194" t="str">
        <f>セットアップレポート!O194</f>
        <v>FA0201ABD000428</v>
      </c>
      <c r="Q194">
        <f>セットアップレポート!P194</f>
        <v>10000</v>
      </c>
      <c r="R194">
        <f>セットアップレポート!Q194</f>
        <v>45950.475787037038</v>
      </c>
      <c r="S194">
        <f>セットアップレポート!R194</f>
        <v>0</v>
      </c>
      <c r="T194">
        <f>セットアップレポート!S194</f>
        <v>0</v>
      </c>
      <c r="U194">
        <f>セットアップレポート!T194</f>
        <v>0</v>
      </c>
      <c r="V194">
        <f>セットアップレポート!U194</f>
        <v>0</v>
      </c>
      <c r="W194">
        <f>セットアップレポート!V194</f>
        <v>0</v>
      </c>
      <c r="X194">
        <f>セットアップレポート!W194</f>
        <v>0</v>
      </c>
      <c r="Y194">
        <f>セットアップレポート!X194</f>
        <v>0</v>
      </c>
      <c r="Z194">
        <f>セットアップレポート!Y194</f>
        <v>0</v>
      </c>
      <c r="AA194">
        <f>セットアップレポート!Z194</f>
        <v>0</v>
      </c>
      <c r="AB194" t="str">
        <f>セットアップレポート!AA194</f>
        <v>NONE</v>
      </c>
      <c r="AC194">
        <f>セットアップレポート!AB194</f>
        <v>0</v>
      </c>
      <c r="AD194">
        <f>セットアップレポート!AC194</f>
        <v>0</v>
      </c>
      <c r="AE194">
        <f>セットアップレポート!AD194</f>
        <v>0</v>
      </c>
      <c r="AF194">
        <f>セットアップレポート!AE194</f>
        <v>0</v>
      </c>
      <c r="AG194">
        <f>セットアップレポート!AF194</f>
        <v>0</v>
      </c>
      <c r="AH194">
        <f>セットアップレポート!AG194</f>
        <v>0</v>
      </c>
    </row>
    <row r="195" spans="1:34" x14ac:dyDescent="0.45">
      <c r="A195" t="str">
        <f t="shared" ref="A195:A258" si="3">C195&amp;RIGHT(G195,5)&amp;K195</f>
        <v>L2-NPM040029L9000066815</v>
      </c>
      <c r="B195" t="str">
        <f>セットアップレポート!A195</f>
        <v>Line-2</v>
      </c>
      <c r="C195" t="str">
        <f>セットアップレポート!B195</f>
        <v>L2-NPM04</v>
      </c>
      <c r="D195" t="str">
        <f>セットアップレポート!C195</f>
        <v>Zone-2-NPMW-4</v>
      </c>
      <c r="E195">
        <f>セットアップレポート!D195</f>
        <v>1</v>
      </c>
      <c r="F195">
        <f>セットアップレポート!E195</f>
        <v>1</v>
      </c>
      <c r="G195" t="str">
        <f>セットアップレポート!F195</f>
        <v>10029L</v>
      </c>
      <c r="H195">
        <f>セットアップレポート!G195</f>
        <v>29</v>
      </c>
      <c r="I195" t="str">
        <f>セットアップレポート!H195</f>
        <v>L</v>
      </c>
      <c r="J195" t="str">
        <f>セットアップレポート!I195</f>
        <v>9000066815 100044</v>
      </c>
      <c r="K195">
        <f>セットアップレポート!J195</f>
        <v>9000066815</v>
      </c>
      <c r="L195">
        <f>セットアップレポート!K195</f>
        <v>0</v>
      </c>
      <c r="M195">
        <f>セットアップレポート!L195</f>
        <v>0</v>
      </c>
      <c r="N195">
        <f>セットアップレポート!M195</f>
        <v>0</v>
      </c>
      <c r="O195">
        <f>セットアップレポート!N195</f>
        <v>0</v>
      </c>
      <c r="P195" t="str">
        <f>セットアップレポート!O195</f>
        <v>FA0201ABA002478</v>
      </c>
      <c r="Q195">
        <f>セットアップレポート!P195</f>
        <v>4000</v>
      </c>
      <c r="R195">
        <f>セットアップレポート!Q195</f>
        <v>45950.475787037038</v>
      </c>
      <c r="S195" t="str">
        <f>セットアップレポート!R195</f>
        <v>sato kuniyoshi</v>
      </c>
      <c r="T195">
        <f>セットアップレポート!S195</f>
        <v>0</v>
      </c>
      <c r="U195">
        <f>セットアップレポート!T195</f>
        <v>0</v>
      </c>
      <c r="V195">
        <f>セットアップレポート!U195</f>
        <v>0</v>
      </c>
      <c r="W195">
        <f>セットアップレポート!V195</f>
        <v>0</v>
      </c>
      <c r="X195">
        <f>セットアップレポート!W195</f>
        <v>0</v>
      </c>
      <c r="Y195">
        <f>セットアップレポート!X195</f>
        <v>0</v>
      </c>
      <c r="Z195">
        <f>セットアップレポート!Y195</f>
        <v>0</v>
      </c>
      <c r="AA195">
        <f>セットアップレポート!Z195</f>
        <v>0</v>
      </c>
      <c r="AB195" t="str">
        <f>セットアップレポート!AA195</f>
        <v>NONE</v>
      </c>
      <c r="AC195">
        <f>セットアップレポート!AB195</f>
        <v>0</v>
      </c>
      <c r="AD195">
        <f>セットアップレポート!AC195</f>
        <v>0</v>
      </c>
      <c r="AE195">
        <f>セットアップレポート!AD195</f>
        <v>0</v>
      </c>
      <c r="AF195">
        <f>セットアップレポート!AE195</f>
        <v>0</v>
      </c>
      <c r="AG195">
        <f>セットアップレポート!AF195</f>
        <v>0</v>
      </c>
      <c r="AH195">
        <f>セットアップレポート!AG195</f>
        <v>0</v>
      </c>
    </row>
    <row r="196" spans="1:34" x14ac:dyDescent="0.45">
      <c r="A196" t="str">
        <f t="shared" si="3"/>
        <v>L2-NPM040001L9000070267</v>
      </c>
      <c r="B196" t="str">
        <f>セットアップレポート!A196</f>
        <v>Line-2</v>
      </c>
      <c r="C196" t="str">
        <f>セットアップレポート!B196</f>
        <v>L2-NPM04</v>
      </c>
      <c r="D196" t="str">
        <f>セットアップレポート!C196</f>
        <v>Zone-2-NPMW-4</v>
      </c>
      <c r="E196">
        <f>セットアップレポート!D196</f>
        <v>1</v>
      </c>
      <c r="F196">
        <f>セットアップレポート!E196</f>
        <v>1</v>
      </c>
      <c r="G196" t="str">
        <f>セットアップレポート!F196</f>
        <v>10001L</v>
      </c>
      <c r="H196">
        <f>セットアップレポート!G196</f>
        <v>1</v>
      </c>
      <c r="I196" t="str">
        <f>セットアップレポート!H196</f>
        <v>L</v>
      </c>
      <c r="J196" t="str">
        <f>セットアップレポート!I196</f>
        <v>9000070267 100004</v>
      </c>
      <c r="K196">
        <f>セットアップレポート!J196</f>
        <v>9000070267</v>
      </c>
      <c r="L196">
        <f>セットアップレポート!K196</f>
        <v>0</v>
      </c>
      <c r="M196">
        <f>セットアップレポート!L196</f>
        <v>0</v>
      </c>
      <c r="N196">
        <f>セットアップレポート!M196</f>
        <v>0</v>
      </c>
      <c r="O196">
        <f>セットアップレポート!N196</f>
        <v>0</v>
      </c>
      <c r="P196" t="str">
        <f>セットアップレポート!O196</f>
        <v>FA0220ADF311686</v>
      </c>
      <c r="Q196">
        <f>セットアップレポート!P196</f>
        <v>1600</v>
      </c>
      <c r="R196">
        <f>セットアップレポート!Q196</f>
        <v>45950.475775462961</v>
      </c>
      <c r="S196">
        <f>セットアップレポート!R196</f>
        <v>0</v>
      </c>
      <c r="T196">
        <f>セットアップレポート!S196</f>
        <v>0</v>
      </c>
      <c r="U196">
        <f>セットアップレポート!T196</f>
        <v>0</v>
      </c>
      <c r="V196">
        <f>セットアップレポート!U196</f>
        <v>0</v>
      </c>
      <c r="W196">
        <f>セットアップレポート!V196</f>
        <v>0</v>
      </c>
      <c r="X196">
        <f>セットアップレポート!W196</f>
        <v>0</v>
      </c>
      <c r="Y196">
        <f>セットアップレポート!X196</f>
        <v>0</v>
      </c>
      <c r="Z196">
        <f>セットアップレポート!Y196</f>
        <v>0</v>
      </c>
      <c r="AA196">
        <f>セットアップレポート!Z196</f>
        <v>0</v>
      </c>
      <c r="AB196" t="str">
        <f>セットアップレポート!AA196</f>
        <v>NONE</v>
      </c>
      <c r="AC196">
        <f>セットアップレポート!AB196</f>
        <v>0</v>
      </c>
      <c r="AD196">
        <f>セットアップレポート!AC196</f>
        <v>0</v>
      </c>
      <c r="AE196">
        <f>セットアップレポート!AD196</f>
        <v>0</v>
      </c>
      <c r="AF196">
        <f>セットアップレポート!AE196</f>
        <v>0</v>
      </c>
      <c r="AG196">
        <f>セットアップレポート!AF196</f>
        <v>0</v>
      </c>
      <c r="AH196">
        <f>セットアップレポート!AG196</f>
        <v>0</v>
      </c>
    </row>
    <row r="197" spans="1:34" x14ac:dyDescent="0.45">
      <c r="A197" t="str">
        <f t="shared" si="3"/>
        <v>L2-NPM040002L9000066666</v>
      </c>
      <c r="B197" t="str">
        <f>セットアップレポート!A197</f>
        <v>Line-2</v>
      </c>
      <c r="C197" t="str">
        <f>セットアップレポート!B197</f>
        <v>L2-NPM04</v>
      </c>
      <c r="D197" t="str">
        <f>セットアップレポート!C197</f>
        <v>Zone-2-NPMW-4</v>
      </c>
      <c r="E197">
        <f>セットアップレポート!D197</f>
        <v>1</v>
      </c>
      <c r="F197">
        <f>セットアップレポート!E197</f>
        <v>1</v>
      </c>
      <c r="G197" t="str">
        <f>セットアップレポート!F197</f>
        <v>10002L</v>
      </c>
      <c r="H197">
        <f>セットアップレポート!G197</f>
        <v>2</v>
      </c>
      <c r="I197" t="str">
        <f>セットアップレポート!H197</f>
        <v>L</v>
      </c>
      <c r="J197" t="str">
        <f>セットアップレポート!I197</f>
        <v>9000066666 100026</v>
      </c>
      <c r="K197">
        <f>セットアップレポート!J197</f>
        <v>9000066666</v>
      </c>
      <c r="L197">
        <f>セットアップレポート!K197</f>
        <v>0</v>
      </c>
      <c r="M197">
        <f>セットアップレポート!L197</f>
        <v>0</v>
      </c>
      <c r="N197">
        <f>セットアップレポート!M197</f>
        <v>0</v>
      </c>
      <c r="O197">
        <f>セットアップレポート!N197</f>
        <v>0</v>
      </c>
      <c r="P197" t="str">
        <f>セットアップレポート!O197</f>
        <v>FA0220ACH328543</v>
      </c>
      <c r="Q197">
        <f>セットアップレポート!P197</f>
        <v>3000</v>
      </c>
      <c r="R197">
        <f>セットアップレポート!Q197</f>
        <v>45930.448784722219</v>
      </c>
      <c r="S197">
        <f>セットアップレポート!R197</f>
        <v>0</v>
      </c>
      <c r="T197" t="str">
        <f>セットアップレポート!S197</f>
        <v>Yes</v>
      </c>
      <c r="U197">
        <f>セットアップレポート!T197</f>
        <v>0</v>
      </c>
      <c r="V197" t="str">
        <f>セットアップレポート!U197</f>
        <v>9000066666 100025</v>
      </c>
      <c r="W197">
        <f>セットアップレポート!V197</f>
        <v>0</v>
      </c>
      <c r="X197">
        <f>セットアップレポート!W197</f>
        <v>0</v>
      </c>
      <c r="Y197">
        <f>セットアップレポート!X197</f>
        <v>0</v>
      </c>
      <c r="Z197">
        <f>セットアップレポート!Y197</f>
        <v>0</v>
      </c>
      <c r="AA197">
        <f>セットアップレポート!Z197</f>
        <v>0</v>
      </c>
      <c r="AB197" t="str">
        <f>セットアップレポート!AA197</f>
        <v>NONE</v>
      </c>
      <c r="AC197">
        <f>セットアップレポート!AB197</f>
        <v>0</v>
      </c>
      <c r="AD197">
        <f>セットアップレポート!AC197</f>
        <v>0</v>
      </c>
      <c r="AE197">
        <f>セットアップレポート!AD197</f>
        <v>0</v>
      </c>
      <c r="AF197">
        <f>セットアップレポート!AE197</f>
        <v>0</v>
      </c>
      <c r="AG197">
        <f>セットアップレポート!AF197</f>
        <v>0</v>
      </c>
      <c r="AH197">
        <f>セットアップレポート!AG197</f>
        <v>0</v>
      </c>
    </row>
    <row r="198" spans="1:34" x14ac:dyDescent="0.45">
      <c r="A198" t="str">
        <f t="shared" si="3"/>
        <v>L2-NPM040003L9000058028</v>
      </c>
      <c r="B198" t="str">
        <f>セットアップレポート!A198</f>
        <v>Line-2</v>
      </c>
      <c r="C198" t="str">
        <f>セットアップレポート!B198</f>
        <v>L2-NPM04</v>
      </c>
      <c r="D198" t="str">
        <f>セットアップレポート!C198</f>
        <v>Zone-2-NPMW-4</v>
      </c>
      <c r="E198">
        <f>セットアップレポート!D198</f>
        <v>1</v>
      </c>
      <c r="F198">
        <f>セットアップレポート!E198</f>
        <v>1</v>
      </c>
      <c r="G198" t="str">
        <f>セットアップレポート!F198</f>
        <v>10003L</v>
      </c>
      <c r="H198">
        <f>セットアップレポート!G198</f>
        <v>3</v>
      </c>
      <c r="I198" t="str">
        <f>セットアップレポート!H198</f>
        <v>L</v>
      </c>
      <c r="J198" t="str">
        <f>セットアップレポート!I198</f>
        <v>9000058028 100478</v>
      </c>
      <c r="K198">
        <f>セットアップレポート!J198</f>
        <v>9000058028</v>
      </c>
      <c r="L198">
        <f>セットアップレポート!K198</f>
        <v>0</v>
      </c>
      <c r="M198">
        <f>セットアップレポート!L198</f>
        <v>0</v>
      </c>
      <c r="N198">
        <f>セットアップレポート!M198</f>
        <v>0</v>
      </c>
      <c r="O198">
        <f>セットアップレポート!N198</f>
        <v>0</v>
      </c>
      <c r="P198" t="str">
        <f>セットアップレポート!O198</f>
        <v>FA0220AFA654095</v>
      </c>
      <c r="Q198">
        <f>セットアップレポート!P198</f>
        <v>2000</v>
      </c>
      <c r="R198">
        <f>セットアップレポート!Q198</f>
        <v>45930.448784722219</v>
      </c>
      <c r="S198">
        <f>セットアップレポート!R198</f>
        <v>0</v>
      </c>
      <c r="T198">
        <f>セットアップレポート!S198</f>
        <v>0</v>
      </c>
      <c r="U198">
        <f>セットアップレポート!T198</f>
        <v>0</v>
      </c>
      <c r="V198">
        <f>セットアップレポート!U198</f>
        <v>0</v>
      </c>
      <c r="W198">
        <f>セットアップレポート!V198</f>
        <v>0</v>
      </c>
      <c r="X198">
        <f>セットアップレポート!W198</f>
        <v>0</v>
      </c>
      <c r="Y198">
        <f>セットアップレポート!X198</f>
        <v>0</v>
      </c>
      <c r="Z198">
        <f>セットアップレポート!Y198</f>
        <v>0</v>
      </c>
      <c r="AA198">
        <f>セットアップレポート!Z198</f>
        <v>0</v>
      </c>
      <c r="AB198" t="str">
        <f>セットアップレポート!AA198</f>
        <v>NONE</v>
      </c>
      <c r="AC198">
        <f>セットアップレポート!AB198</f>
        <v>0</v>
      </c>
      <c r="AD198">
        <f>セットアップレポート!AC198</f>
        <v>0</v>
      </c>
      <c r="AE198">
        <f>セットアップレポート!AD198</f>
        <v>0</v>
      </c>
      <c r="AF198">
        <f>セットアップレポート!AE198</f>
        <v>0</v>
      </c>
      <c r="AG198">
        <f>セットアップレポート!AF198</f>
        <v>0</v>
      </c>
      <c r="AH198">
        <f>セットアップレポート!AG198</f>
        <v>0</v>
      </c>
    </row>
    <row r="199" spans="1:34" x14ac:dyDescent="0.45">
      <c r="A199" t="str">
        <f t="shared" si="3"/>
        <v>L2-NPM040004L9000054139</v>
      </c>
      <c r="B199" t="str">
        <f>セットアップレポート!A199</f>
        <v>Line-2</v>
      </c>
      <c r="C199" t="str">
        <f>セットアップレポート!B199</f>
        <v>L2-NPM04</v>
      </c>
      <c r="D199" t="str">
        <f>セットアップレポート!C199</f>
        <v>Zone-2-NPMW-4</v>
      </c>
      <c r="E199">
        <f>セットアップレポート!D199</f>
        <v>1</v>
      </c>
      <c r="F199">
        <f>セットアップレポート!E199</f>
        <v>1</v>
      </c>
      <c r="G199" t="str">
        <f>セットアップレポート!F199</f>
        <v>10004L</v>
      </c>
      <c r="H199">
        <f>セットアップレポート!G199</f>
        <v>4</v>
      </c>
      <c r="I199" t="str">
        <f>セットアップレポート!H199</f>
        <v>L</v>
      </c>
      <c r="J199" t="str">
        <f>セットアップレポート!I199</f>
        <v>9000054139 100039</v>
      </c>
      <c r="K199">
        <f>セットアップレポート!J199</f>
        <v>9000054139</v>
      </c>
      <c r="L199">
        <f>セットアップレポート!K199</f>
        <v>0</v>
      </c>
      <c r="M199">
        <f>セットアップレポート!L199</f>
        <v>0</v>
      </c>
      <c r="N199">
        <f>セットアップレポート!M199</f>
        <v>0</v>
      </c>
      <c r="O199">
        <f>セットアップレポート!N199</f>
        <v>0</v>
      </c>
      <c r="P199" t="str">
        <f>セットアップレポート!O199</f>
        <v>FA0220AFA654059</v>
      </c>
      <c r="Q199">
        <f>セットアップレポート!P199</f>
        <v>3500</v>
      </c>
      <c r="R199">
        <f>セットアップレポート!Q199</f>
        <v>45930.448784722219</v>
      </c>
      <c r="S199">
        <f>セットアップレポート!R199</f>
        <v>0</v>
      </c>
      <c r="T199">
        <f>セットアップレポート!S199</f>
        <v>0</v>
      </c>
      <c r="U199">
        <f>セットアップレポート!T199</f>
        <v>0</v>
      </c>
      <c r="V199">
        <f>セットアップレポート!U199</f>
        <v>0</v>
      </c>
      <c r="W199">
        <f>セットアップレポート!V199</f>
        <v>0</v>
      </c>
      <c r="X199">
        <f>セットアップレポート!W199</f>
        <v>0</v>
      </c>
      <c r="Y199">
        <f>セットアップレポート!X199</f>
        <v>0</v>
      </c>
      <c r="Z199">
        <f>セットアップレポート!Y199</f>
        <v>0</v>
      </c>
      <c r="AA199">
        <f>セットアップレポート!Z199</f>
        <v>0</v>
      </c>
      <c r="AB199" t="str">
        <f>セットアップレポート!AA199</f>
        <v>NONE</v>
      </c>
      <c r="AC199">
        <f>セットアップレポート!AB199</f>
        <v>0</v>
      </c>
      <c r="AD199">
        <f>セットアップレポート!AC199</f>
        <v>0</v>
      </c>
      <c r="AE199">
        <f>セットアップレポート!AD199</f>
        <v>0</v>
      </c>
      <c r="AF199">
        <f>セットアップレポート!AE199</f>
        <v>0</v>
      </c>
      <c r="AG199">
        <f>セットアップレポート!AF199</f>
        <v>0</v>
      </c>
      <c r="AH199">
        <f>セットアップレポート!AG199</f>
        <v>0</v>
      </c>
    </row>
    <row r="200" spans="1:34" x14ac:dyDescent="0.45">
      <c r="A200" t="str">
        <f t="shared" si="3"/>
        <v>L2-NPM040005L9000045924</v>
      </c>
      <c r="B200" t="str">
        <f>セットアップレポート!A200</f>
        <v>Line-2</v>
      </c>
      <c r="C200" t="str">
        <f>セットアップレポート!B200</f>
        <v>L2-NPM04</v>
      </c>
      <c r="D200" t="str">
        <f>セットアップレポート!C200</f>
        <v>Zone-2-NPMW-4</v>
      </c>
      <c r="E200">
        <f>セットアップレポート!D200</f>
        <v>1</v>
      </c>
      <c r="F200">
        <f>セットアップレポート!E200</f>
        <v>1</v>
      </c>
      <c r="G200" t="str">
        <f>セットアップレポート!F200</f>
        <v>10005L</v>
      </c>
      <c r="H200">
        <f>セットアップレポート!G200</f>
        <v>5</v>
      </c>
      <c r="I200" t="str">
        <f>セットアップレポート!H200</f>
        <v>L</v>
      </c>
      <c r="J200" t="str">
        <f>セットアップレポート!I200</f>
        <v>9000045924 100035</v>
      </c>
      <c r="K200">
        <f>セットアップレポート!J200</f>
        <v>9000045924</v>
      </c>
      <c r="L200">
        <f>セットアップレポート!K200</f>
        <v>0</v>
      </c>
      <c r="M200">
        <f>セットアップレポート!L200</f>
        <v>0</v>
      </c>
      <c r="N200">
        <f>セットアップレポート!M200</f>
        <v>0</v>
      </c>
      <c r="O200">
        <f>セットアップレポート!N200</f>
        <v>0</v>
      </c>
      <c r="P200" t="str">
        <f>セットアップレポート!O200</f>
        <v>FA0220AFA654255</v>
      </c>
      <c r="Q200">
        <f>セットアップレポート!P200</f>
        <v>2000</v>
      </c>
      <c r="R200">
        <f>セットアップレポート!Q200</f>
        <v>45950.475775462961</v>
      </c>
      <c r="S200">
        <f>セットアップレポート!R200</f>
        <v>0</v>
      </c>
      <c r="T200">
        <f>セットアップレポート!S200</f>
        <v>0</v>
      </c>
      <c r="U200">
        <f>セットアップレポート!T200</f>
        <v>0</v>
      </c>
      <c r="V200">
        <f>セットアップレポート!U200</f>
        <v>0</v>
      </c>
      <c r="W200">
        <f>セットアップレポート!V200</f>
        <v>0</v>
      </c>
      <c r="X200">
        <f>セットアップレポート!W200</f>
        <v>0</v>
      </c>
      <c r="Y200">
        <f>セットアップレポート!X200</f>
        <v>0</v>
      </c>
      <c r="Z200">
        <f>セットアップレポート!Y200</f>
        <v>0</v>
      </c>
      <c r="AA200">
        <f>セットアップレポート!Z200</f>
        <v>0</v>
      </c>
      <c r="AB200" t="str">
        <f>セットアップレポート!AA200</f>
        <v>NONE</v>
      </c>
      <c r="AC200">
        <f>セットアップレポート!AB200</f>
        <v>0</v>
      </c>
      <c r="AD200">
        <f>セットアップレポート!AC200</f>
        <v>0</v>
      </c>
      <c r="AE200">
        <f>セットアップレポート!AD200</f>
        <v>0</v>
      </c>
      <c r="AF200">
        <f>セットアップレポート!AE200</f>
        <v>0</v>
      </c>
      <c r="AG200">
        <f>セットアップレポート!AF200</f>
        <v>0</v>
      </c>
      <c r="AH200">
        <f>セットアップレポート!AG200</f>
        <v>0</v>
      </c>
    </row>
    <row r="201" spans="1:34" x14ac:dyDescent="0.45">
      <c r="A201" t="str">
        <f t="shared" si="3"/>
        <v>L2-NPM040006L9000045399</v>
      </c>
      <c r="B201" t="str">
        <f>セットアップレポート!A201</f>
        <v>Line-2</v>
      </c>
      <c r="C201" t="str">
        <f>セットアップレポート!B201</f>
        <v>L2-NPM04</v>
      </c>
      <c r="D201" t="str">
        <f>セットアップレポート!C201</f>
        <v>Zone-2-NPMW-4</v>
      </c>
      <c r="E201">
        <f>セットアップレポート!D201</f>
        <v>1</v>
      </c>
      <c r="F201">
        <f>セットアップレポート!E201</f>
        <v>1</v>
      </c>
      <c r="G201" t="str">
        <f>セットアップレポート!F201</f>
        <v>10006L</v>
      </c>
      <c r="H201">
        <f>セットアップレポート!G201</f>
        <v>6</v>
      </c>
      <c r="I201" t="str">
        <f>セットアップレポート!H201</f>
        <v>L</v>
      </c>
      <c r="J201" t="str">
        <f>セットアップレポート!I201</f>
        <v>9000045399 100061</v>
      </c>
      <c r="K201">
        <f>セットアップレポート!J201</f>
        <v>9000045399</v>
      </c>
      <c r="L201">
        <f>セットアップレポート!K201</f>
        <v>0</v>
      </c>
      <c r="M201">
        <f>セットアップレポート!L201</f>
        <v>0</v>
      </c>
      <c r="N201">
        <f>セットアップレポート!M201</f>
        <v>0</v>
      </c>
      <c r="O201">
        <f>セットアップレポート!N201</f>
        <v>0</v>
      </c>
      <c r="P201" t="str">
        <f>セットアップレポート!O201</f>
        <v>FA0220ADF311835</v>
      </c>
      <c r="Q201">
        <f>セットアップレポート!P201</f>
        <v>3000</v>
      </c>
      <c r="R201">
        <f>セットアップレポート!Q201</f>
        <v>45950.475775462961</v>
      </c>
      <c r="S201">
        <f>セットアップレポート!R201</f>
        <v>0</v>
      </c>
      <c r="T201">
        <f>セットアップレポート!S201</f>
        <v>0</v>
      </c>
      <c r="U201">
        <f>セットアップレポート!T201</f>
        <v>0</v>
      </c>
      <c r="V201">
        <f>セットアップレポート!U201</f>
        <v>0</v>
      </c>
      <c r="W201">
        <f>セットアップレポート!V201</f>
        <v>0</v>
      </c>
      <c r="X201">
        <f>セットアップレポート!W201</f>
        <v>0</v>
      </c>
      <c r="Y201">
        <f>セットアップレポート!X201</f>
        <v>0</v>
      </c>
      <c r="Z201">
        <f>セットアップレポート!Y201</f>
        <v>0</v>
      </c>
      <c r="AA201">
        <f>セットアップレポート!Z201</f>
        <v>0</v>
      </c>
      <c r="AB201" t="str">
        <f>セットアップレポート!AA201</f>
        <v>NONE</v>
      </c>
      <c r="AC201">
        <f>セットアップレポート!AB201</f>
        <v>0</v>
      </c>
      <c r="AD201">
        <f>セットアップレポート!AC201</f>
        <v>0</v>
      </c>
      <c r="AE201">
        <f>セットアップレポート!AD201</f>
        <v>0</v>
      </c>
      <c r="AF201">
        <f>セットアップレポート!AE201</f>
        <v>0</v>
      </c>
      <c r="AG201">
        <f>セットアップレポート!AF201</f>
        <v>0</v>
      </c>
      <c r="AH201">
        <f>セットアップレポート!AG201</f>
        <v>0</v>
      </c>
    </row>
    <row r="202" spans="1:34" x14ac:dyDescent="0.45">
      <c r="A202" t="str">
        <f t="shared" si="3"/>
        <v>L2-NPM040007L9000041875</v>
      </c>
      <c r="B202" t="str">
        <f>セットアップレポート!A202</f>
        <v>Line-2</v>
      </c>
      <c r="C202" t="str">
        <f>セットアップレポート!B202</f>
        <v>L2-NPM04</v>
      </c>
      <c r="D202" t="str">
        <f>セットアップレポート!C202</f>
        <v>Zone-2-NPMW-4</v>
      </c>
      <c r="E202">
        <f>セットアップレポート!D202</f>
        <v>1</v>
      </c>
      <c r="F202">
        <f>セットアップレポート!E202</f>
        <v>1</v>
      </c>
      <c r="G202" t="str">
        <f>セットアップレポート!F202</f>
        <v>10007L</v>
      </c>
      <c r="H202">
        <f>セットアップレポート!G202</f>
        <v>7</v>
      </c>
      <c r="I202" t="str">
        <f>セットアップレポート!H202</f>
        <v>L</v>
      </c>
      <c r="J202" t="str">
        <f>セットアップレポート!I202</f>
        <v>9000041875 100303</v>
      </c>
      <c r="K202">
        <f>セットアップレポート!J202</f>
        <v>9000041875</v>
      </c>
      <c r="L202">
        <f>セットアップレポート!K202</f>
        <v>0</v>
      </c>
      <c r="M202">
        <f>セットアップレポート!L202</f>
        <v>0</v>
      </c>
      <c r="N202">
        <f>セットアップレポート!M202</f>
        <v>0</v>
      </c>
      <c r="O202">
        <f>セットアップレポート!N202</f>
        <v>0</v>
      </c>
      <c r="P202" t="str">
        <f>セットアップレポート!O202</f>
        <v>FA0220AFA654239</v>
      </c>
      <c r="Q202">
        <f>セットアップレポート!P202</f>
        <v>2500</v>
      </c>
      <c r="R202">
        <f>セットアップレポート!Q202</f>
        <v>45930.448796296296</v>
      </c>
      <c r="S202">
        <f>セットアップレポート!R202</f>
        <v>0</v>
      </c>
      <c r="T202">
        <f>セットアップレポート!S202</f>
        <v>0</v>
      </c>
      <c r="U202">
        <f>セットアップレポート!T202</f>
        <v>0</v>
      </c>
      <c r="V202">
        <f>セットアップレポート!U202</f>
        <v>0</v>
      </c>
      <c r="W202">
        <f>セットアップレポート!V202</f>
        <v>0</v>
      </c>
      <c r="X202">
        <f>セットアップレポート!W202</f>
        <v>0</v>
      </c>
      <c r="Y202">
        <f>セットアップレポート!X202</f>
        <v>0</v>
      </c>
      <c r="Z202">
        <f>セットアップレポート!Y202</f>
        <v>0</v>
      </c>
      <c r="AA202">
        <f>セットアップレポート!Z202</f>
        <v>0</v>
      </c>
      <c r="AB202" t="str">
        <f>セットアップレポート!AA202</f>
        <v>NONE</v>
      </c>
      <c r="AC202">
        <f>セットアップレポート!AB202</f>
        <v>0</v>
      </c>
      <c r="AD202">
        <f>セットアップレポート!AC202</f>
        <v>0</v>
      </c>
      <c r="AE202">
        <f>セットアップレポート!AD202</f>
        <v>0</v>
      </c>
      <c r="AF202">
        <f>セットアップレポート!AE202</f>
        <v>0</v>
      </c>
      <c r="AG202">
        <f>セットアップレポート!AF202</f>
        <v>0</v>
      </c>
      <c r="AH202">
        <f>セットアップレポート!AG202</f>
        <v>0</v>
      </c>
    </row>
    <row r="203" spans="1:34" x14ac:dyDescent="0.45">
      <c r="A203" t="str">
        <f t="shared" si="3"/>
        <v>L2-NPM040008L9000037024</v>
      </c>
      <c r="B203" t="str">
        <f>セットアップレポート!A203</f>
        <v>Line-2</v>
      </c>
      <c r="C203" t="str">
        <f>セットアップレポート!B203</f>
        <v>L2-NPM04</v>
      </c>
      <c r="D203" t="str">
        <f>セットアップレポート!C203</f>
        <v>Zone-2-NPMW-4</v>
      </c>
      <c r="E203">
        <f>セットアップレポート!D203</f>
        <v>1</v>
      </c>
      <c r="F203">
        <f>セットアップレポート!E203</f>
        <v>1</v>
      </c>
      <c r="G203" t="str">
        <f>セットアップレポート!F203</f>
        <v>10008L</v>
      </c>
      <c r="H203">
        <f>セットアップレポート!G203</f>
        <v>8</v>
      </c>
      <c r="I203" t="str">
        <f>セットアップレポート!H203</f>
        <v>L</v>
      </c>
      <c r="J203" t="str">
        <f>セットアップレポート!I203</f>
        <v>9000037024 100030</v>
      </c>
      <c r="K203">
        <f>セットアップレポート!J203</f>
        <v>9000037024</v>
      </c>
      <c r="L203">
        <f>セットアップレポート!K203</f>
        <v>0</v>
      </c>
      <c r="M203">
        <f>セットアップレポート!L203</f>
        <v>0</v>
      </c>
      <c r="N203">
        <f>セットアップレポート!M203</f>
        <v>0</v>
      </c>
      <c r="O203">
        <f>セットアップレポート!N203</f>
        <v>0</v>
      </c>
      <c r="P203" t="str">
        <f>セットアップレポート!O203</f>
        <v>FA0220ACH328580</v>
      </c>
      <c r="Q203">
        <f>セットアップレポート!P203</f>
        <v>2500</v>
      </c>
      <c r="R203">
        <f>セットアップレポート!Q203</f>
        <v>45930.448796296296</v>
      </c>
      <c r="S203">
        <f>セットアップレポート!R203</f>
        <v>0</v>
      </c>
      <c r="T203">
        <f>セットアップレポート!S203</f>
        <v>0</v>
      </c>
      <c r="U203">
        <f>セットアップレポート!T203</f>
        <v>0</v>
      </c>
      <c r="V203">
        <f>セットアップレポート!U203</f>
        <v>0</v>
      </c>
      <c r="W203">
        <f>セットアップレポート!V203</f>
        <v>0</v>
      </c>
      <c r="X203">
        <f>セットアップレポート!W203</f>
        <v>0</v>
      </c>
      <c r="Y203">
        <f>セットアップレポート!X203</f>
        <v>0</v>
      </c>
      <c r="Z203">
        <f>セットアップレポート!Y203</f>
        <v>0</v>
      </c>
      <c r="AA203">
        <f>セットアップレポート!Z203</f>
        <v>0</v>
      </c>
      <c r="AB203" t="str">
        <f>セットアップレポート!AA203</f>
        <v>NONE</v>
      </c>
      <c r="AC203">
        <f>セットアップレポート!AB203</f>
        <v>0</v>
      </c>
      <c r="AD203">
        <f>セットアップレポート!AC203</f>
        <v>0</v>
      </c>
      <c r="AE203">
        <f>セットアップレポート!AD203</f>
        <v>0</v>
      </c>
      <c r="AF203">
        <f>セットアップレポート!AE203</f>
        <v>0</v>
      </c>
      <c r="AG203">
        <f>セットアップレポート!AF203</f>
        <v>0</v>
      </c>
      <c r="AH203">
        <f>セットアップレポート!AG203</f>
        <v>0</v>
      </c>
    </row>
    <row r="204" spans="1:34" x14ac:dyDescent="0.45">
      <c r="A204" t="str">
        <f t="shared" si="3"/>
        <v>L2-NPM040009L9000006307</v>
      </c>
      <c r="B204" t="str">
        <f>セットアップレポート!A204</f>
        <v>Line-2</v>
      </c>
      <c r="C204" t="str">
        <f>セットアップレポート!B204</f>
        <v>L2-NPM04</v>
      </c>
      <c r="D204" t="str">
        <f>セットアップレポート!C204</f>
        <v>Zone-2-NPMW-4</v>
      </c>
      <c r="E204">
        <f>セットアップレポート!D204</f>
        <v>1</v>
      </c>
      <c r="F204">
        <f>セットアップレポート!E204</f>
        <v>1</v>
      </c>
      <c r="G204" t="str">
        <f>セットアップレポート!F204</f>
        <v>10009L</v>
      </c>
      <c r="H204">
        <f>セットアップレポート!G204</f>
        <v>9</v>
      </c>
      <c r="I204" t="str">
        <f>セットアップレポート!H204</f>
        <v>L</v>
      </c>
      <c r="J204" t="str">
        <f>セットアップレポート!I204</f>
        <v>9000006307 100252</v>
      </c>
      <c r="K204">
        <f>セットアップレポート!J204</f>
        <v>9000006307</v>
      </c>
      <c r="L204">
        <f>セットアップレポート!K204</f>
        <v>0</v>
      </c>
      <c r="M204">
        <f>セットアップレポート!L204</f>
        <v>0</v>
      </c>
      <c r="N204">
        <f>セットアップレポート!M204</f>
        <v>0</v>
      </c>
      <c r="O204">
        <f>セットアップレポート!N204</f>
        <v>0</v>
      </c>
      <c r="P204" t="str">
        <f>セットアップレポート!O204</f>
        <v>FA0220ADF311881</v>
      </c>
      <c r="Q204">
        <f>セットアップレポート!P204</f>
        <v>3000</v>
      </c>
      <c r="R204">
        <f>セットアップレポート!Q204</f>
        <v>45930.448807870373</v>
      </c>
      <c r="S204">
        <f>セットアップレポート!R204</f>
        <v>0</v>
      </c>
      <c r="T204">
        <f>セットアップレポート!S204</f>
        <v>0</v>
      </c>
      <c r="U204">
        <f>セットアップレポート!T204</f>
        <v>0</v>
      </c>
      <c r="V204">
        <f>セットアップレポート!U204</f>
        <v>0</v>
      </c>
      <c r="W204">
        <f>セットアップレポート!V204</f>
        <v>0</v>
      </c>
      <c r="X204">
        <f>セットアップレポート!W204</f>
        <v>0</v>
      </c>
      <c r="Y204">
        <f>セットアップレポート!X204</f>
        <v>0</v>
      </c>
      <c r="Z204">
        <f>セットアップレポート!Y204</f>
        <v>0</v>
      </c>
      <c r="AA204">
        <f>セットアップレポート!Z204</f>
        <v>0</v>
      </c>
      <c r="AB204" t="str">
        <f>セットアップレポート!AA204</f>
        <v>NONE</v>
      </c>
      <c r="AC204">
        <f>セットアップレポート!AB204</f>
        <v>0</v>
      </c>
      <c r="AD204">
        <f>セットアップレポート!AC204</f>
        <v>0</v>
      </c>
      <c r="AE204">
        <f>セットアップレポート!AD204</f>
        <v>0</v>
      </c>
      <c r="AF204">
        <f>セットアップレポート!AE204</f>
        <v>0</v>
      </c>
      <c r="AG204">
        <f>セットアップレポート!AF204</f>
        <v>0</v>
      </c>
      <c r="AH204">
        <f>セットアップレポート!AG204</f>
        <v>0</v>
      </c>
    </row>
    <row r="205" spans="1:34" x14ac:dyDescent="0.45">
      <c r="A205" t="str">
        <f t="shared" si="3"/>
        <v>L2-NPM040010L692671A</v>
      </c>
      <c r="B205" t="str">
        <f>セットアップレポート!A205</f>
        <v>Line-2</v>
      </c>
      <c r="C205" t="str">
        <f>セットアップレポート!B205</f>
        <v>L2-NPM04</v>
      </c>
      <c r="D205" t="str">
        <f>セットアップレポート!C205</f>
        <v>Zone-2-NPMW-4</v>
      </c>
      <c r="E205">
        <f>セットアップレポート!D205</f>
        <v>1</v>
      </c>
      <c r="F205">
        <f>セットアップレポート!E205</f>
        <v>1</v>
      </c>
      <c r="G205" t="str">
        <f>セットアップレポート!F205</f>
        <v>10010L</v>
      </c>
      <c r="H205">
        <f>セットアップレポート!G205</f>
        <v>10</v>
      </c>
      <c r="I205" t="str">
        <f>セットアップレポート!H205</f>
        <v>L</v>
      </c>
      <c r="J205" t="str">
        <f>セットアップレポート!I205</f>
        <v>692671A100266</v>
      </c>
      <c r="K205" t="str">
        <f>セットアップレポート!J205</f>
        <v>692671A</v>
      </c>
      <c r="L205">
        <f>セットアップレポート!K205</f>
        <v>0</v>
      </c>
      <c r="M205">
        <f>セットアップレポート!L205</f>
        <v>0</v>
      </c>
      <c r="N205">
        <f>セットアップレポート!M205</f>
        <v>0</v>
      </c>
      <c r="O205">
        <f>セットアップレポート!N205</f>
        <v>0</v>
      </c>
      <c r="P205" t="str">
        <f>セットアップレポート!O205</f>
        <v>FA0220ADF311888</v>
      </c>
      <c r="Q205">
        <f>セットアップレポート!P205</f>
        <v>2000</v>
      </c>
      <c r="R205">
        <f>セットアップレポート!Q205</f>
        <v>45930.448807870373</v>
      </c>
      <c r="S205">
        <f>セットアップレポート!R205</f>
        <v>0</v>
      </c>
      <c r="T205">
        <f>セットアップレポート!S205</f>
        <v>0</v>
      </c>
      <c r="U205">
        <f>セットアップレポート!T205</f>
        <v>0</v>
      </c>
      <c r="V205">
        <f>セットアップレポート!U205</f>
        <v>0</v>
      </c>
      <c r="W205">
        <f>セットアップレポート!V205</f>
        <v>0</v>
      </c>
      <c r="X205">
        <f>セットアップレポート!W205</f>
        <v>0</v>
      </c>
      <c r="Y205">
        <f>セットアップレポート!X205</f>
        <v>0</v>
      </c>
      <c r="Z205">
        <f>セットアップレポート!Y205</f>
        <v>0</v>
      </c>
      <c r="AA205">
        <f>セットアップレポート!Z205</f>
        <v>0</v>
      </c>
      <c r="AB205" t="str">
        <f>セットアップレポート!AA205</f>
        <v>NONE</v>
      </c>
      <c r="AC205">
        <f>セットアップレポート!AB205</f>
        <v>0</v>
      </c>
      <c r="AD205">
        <f>セットアップレポート!AC205</f>
        <v>0</v>
      </c>
      <c r="AE205">
        <f>セットアップレポート!AD205</f>
        <v>0</v>
      </c>
      <c r="AF205">
        <f>セットアップレポート!AE205</f>
        <v>0</v>
      </c>
      <c r="AG205">
        <f>セットアップレポート!AF205</f>
        <v>0</v>
      </c>
      <c r="AH205">
        <f>セットアップレポート!AG205</f>
        <v>0</v>
      </c>
    </row>
    <row r="206" spans="1:34" x14ac:dyDescent="0.45">
      <c r="A206" t="str">
        <f t="shared" si="3"/>
        <v>L2-NPM040011L691021</v>
      </c>
      <c r="B206" t="str">
        <f>セットアップレポート!A206</f>
        <v>Line-2</v>
      </c>
      <c r="C206" t="str">
        <f>セットアップレポート!B206</f>
        <v>L2-NPM04</v>
      </c>
      <c r="D206" t="str">
        <f>セットアップレポート!C206</f>
        <v>Zone-2-NPMW-4</v>
      </c>
      <c r="E206">
        <f>セットアップレポート!D206</f>
        <v>1</v>
      </c>
      <c r="F206">
        <f>セットアップレポート!E206</f>
        <v>1</v>
      </c>
      <c r="G206" t="str">
        <f>セットアップレポート!F206</f>
        <v>10011L</v>
      </c>
      <c r="H206">
        <f>セットアップレポート!G206</f>
        <v>11</v>
      </c>
      <c r="I206" t="str">
        <f>セットアップレポート!H206</f>
        <v>L</v>
      </c>
      <c r="J206" t="str">
        <f>セットアップレポート!I206</f>
        <v>691021 100179</v>
      </c>
      <c r="K206">
        <f>セットアップレポート!J206</f>
        <v>691021</v>
      </c>
      <c r="L206">
        <f>セットアップレポート!K206</f>
        <v>0</v>
      </c>
      <c r="M206">
        <f>セットアップレポート!L206</f>
        <v>0</v>
      </c>
      <c r="N206">
        <f>セットアップレポート!M206</f>
        <v>0</v>
      </c>
      <c r="O206">
        <f>セットアップレポート!N206</f>
        <v>0</v>
      </c>
      <c r="P206" t="str">
        <f>セットアップレポート!O206</f>
        <v>FA0220ADF311677</v>
      </c>
      <c r="Q206">
        <f>セットアップレポート!P206</f>
        <v>2000</v>
      </c>
      <c r="R206">
        <f>セットアップレポート!Q206</f>
        <v>45930.448807870373</v>
      </c>
      <c r="S206">
        <f>セットアップレポート!R206</f>
        <v>0</v>
      </c>
      <c r="T206">
        <f>セットアップレポート!S206</f>
        <v>0</v>
      </c>
      <c r="U206">
        <f>セットアップレポート!T206</f>
        <v>0</v>
      </c>
      <c r="V206">
        <f>セットアップレポート!U206</f>
        <v>0</v>
      </c>
      <c r="W206">
        <f>セットアップレポート!V206</f>
        <v>0</v>
      </c>
      <c r="X206">
        <f>セットアップレポート!W206</f>
        <v>0</v>
      </c>
      <c r="Y206">
        <f>セットアップレポート!X206</f>
        <v>0</v>
      </c>
      <c r="Z206">
        <f>セットアップレポート!Y206</f>
        <v>0</v>
      </c>
      <c r="AA206">
        <f>セットアップレポート!Z206</f>
        <v>0</v>
      </c>
      <c r="AB206" t="str">
        <f>セットアップレポート!AA206</f>
        <v>NONE</v>
      </c>
      <c r="AC206">
        <f>セットアップレポート!AB206</f>
        <v>0</v>
      </c>
      <c r="AD206">
        <f>セットアップレポート!AC206</f>
        <v>0</v>
      </c>
      <c r="AE206">
        <f>セットアップレポート!AD206</f>
        <v>0</v>
      </c>
      <c r="AF206">
        <f>セットアップレポート!AE206</f>
        <v>0</v>
      </c>
      <c r="AG206">
        <f>セットアップレポート!AF206</f>
        <v>0</v>
      </c>
      <c r="AH206">
        <f>セットアップレポート!AG206</f>
        <v>0</v>
      </c>
    </row>
    <row r="207" spans="1:34" x14ac:dyDescent="0.45">
      <c r="A207" t="str">
        <f t="shared" si="3"/>
        <v>L2-NPM040012L666798</v>
      </c>
      <c r="B207" t="str">
        <f>セットアップレポート!A207</f>
        <v>Line-2</v>
      </c>
      <c r="C207" t="str">
        <f>セットアップレポート!B207</f>
        <v>L2-NPM04</v>
      </c>
      <c r="D207" t="str">
        <f>セットアップレポート!C207</f>
        <v>Zone-2-NPMW-4</v>
      </c>
      <c r="E207">
        <f>セットアップレポート!D207</f>
        <v>1</v>
      </c>
      <c r="F207">
        <f>セットアップレポート!E207</f>
        <v>1</v>
      </c>
      <c r="G207" t="str">
        <f>セットアップレポート!F207</f>
        <v>10012L</v>
      </c>
      <c r="H207">
        <f>セットアップレポート!G207</f>
        <v>12</v>
      </c>
      <c r="I207" t="str">
        <f>セットアップレポート!H207</f>
        <v>L</v>
      </c>
      <c r="J207" t="str">
        <f>セットアップレポート!I207</f>
        <v>666798 100376</v>
      </c>
      <c r="K207">
        <f>セットアップレポート!J207</f>
        <v>666798</v>
      </c>
      <c r="L207">
        <f>セットアップレポート!K207</f>
        <v>0</v>
      </c>
      <c r="M207">
        <f>セットアップレポート!L207</f>
        <v>0</v>
      </c>
      <c r="N207">
        <f>セットアップレポート!M207</f>
        <v>0</v>
      </c>
      <c r="O207">
        <f>セットアップレポート!N207</f>
        <v>0</v>
      </c>
      <c r="P207" t="str">
        <f>セットアップレポート!O207</f>
        <v>FA0220ADF311574</v>
      </c>
      <c r="Q207">
        <f>セットアップレポート!P207</f>
        <v>2000</v>
      </c>
      <c r="R207">
        <f>セットアップレポート!Q207</f>
        <v>45932.770775462966</v>
      </c>
      <c r="S207">
        <f>セットアップレポート!R207</f>
        <v>0</v>
      </c>
      <c r="T207">
        <f>セットアップレポート!S207</f>
        <v>0</v>
      </c>
      <c r="U207">
        <f>セットアップレポート!T207</f>
        <v>0</v>
      </c>
      <c r="V207">
        <f>セットアップレポート!U207</f>
        <v>0</v>
      </c>
      <c r="W207">
        <f>セットアップレポート!V207</f>
        <v>0</v>
      </c>
      <c r="X207">
        <f>セットアップレポート!W207</f>
        <v>0</v>
      </c>
      <c r="Y207">
        <f>セットアップレポート!X207</f>
        <v>0</v>
      </c>
      <c r="Z207">
        <f>セットアップレポート!Y207</f>
        <v>0</v>
      </c>
      <c r="AA207">
        <f>セットアップレポート!Z207</f>
        <v>0</v>
      </c>
      <c r="AB207" t="str">
        <f>セットアップレポート!AA207</f>
        <v>NONE</v>
      </c>
      <c r="AC207">
        <f>セットアップレポート!AB207</f>
        <v>0</v>
      </c>
      <c r="AD207">
        <f>セットアップレポート!AC207</f>
        <v>0</v>
      </c>
      <c r="AE207">
        <f>セットアップレポート!AD207</f>
        <v>0</v>
      </c>
      <c r="AF207">
        <f>セットアップレポート!AE207</f>
        <v>0</v>
      </c>
      <c r="AG207">
        <f>セットアップレポート!AF207</f>
        <v>0</v>
      </c>
      <c r="AH207">
        <f>セットアップレポート!AG207</f>
        <v>0</v>
      </c>
    </row>
    <row r="208" spans="1:34" x14ac:dyDescent="0.45">
      <c r="A208" t="str">
        <f t="shared" si="3"/>
        <v>L2-NPM040013L606177A</v>
      </c>
      <c r="B208" t="str">
        <f>セットアップレポート!A208</f>
        <v>Line-2</v>
      </c>
      <c r="C208" t="str">
        <f>セットアップレポート!B208</f>
        <v>L2-NPM04</v>
      </c>
      <c r="D208" t="str">
        <f>セットアップレポート!C208</f>
        <v>Zone-2-NPMW-4</v>
      </c>
      <c r="E208">
        <f>セットアップレポート!D208</f>
        <v>1</v>
      </c>
      <c r="F208">
        <f>セットアップレポート!E208</f>
        <v>1</v>
      </c>
      <c r="G208" t="str">
        <f>セットアップレポート!F208</f>
        <v>10013L</v>
      </c>
      <c r="H208">
        <f>セットアップレポート!G208</f>
        <v>13</v>
      </c>
      <c r="I208" t="str">
        <f>セットアップレポート!H208</f>
        <v>L</v>
      </c>
      <c r="J208" t="str">
        <f>セットアップレポート!I208</f>
        <v>606177A100264</v>
      </c>
      <c r="K208" t="str">
        <f>セットアップレポート!J208</f>
        <v>606177A</v>
      </c>
      <c r="L208">
        <f>セットアップレポート!K208</f>
        <v>0</v>
      </c>
      <c r="M208">
        <f>セットアップレポート!L208</f>
        <v>0</v>
      </c>
      <c r="N208">
        <f>セットアップレポート!M208</f>
        <v>0</v>
      </c>
      <c r="O208">
        <f>セットアップレポート!N208</f>
        <v>0</v>
      </c>
      <c r="P208" t="str">
        <f>セットアップレポート!O208</f>
        <v>FA0220AFA654081</v>
      </c>
      <c r="Q208">
        <f>セットアップレポート!P208</f>
        <v>1000</v>
      </c>
      <c r="R208">
        <f>セットアップレポート!Q208</f>
        <v>45937.449594907404</v>
      </c>
      <c r="S208">
        <f>セットアップレポート!R208</f>
        <v>0</v>
      </c>
      <c r="T208" t="str">
        <f>セットアップレポート!S208</f>
        <v>Yes</v>
      </c>
      <c r="U208">
        <f>セットアップレポート!T208</f>
        <v>0</v>
      </c>
      <c r="V208" t="str">
        <f>セットアップレポート!U208</f>
        <v>606177A100265</v>
      </c>
      <c r="W208">
        <f>セットアップレポート!V208</f>
        <v>0</v>
      </c>
      <c r="X208">
        <f>セットアップレポート!W208</f>
        <v>0</v>
      </c>
      <c r="Y208">
        <f>セットアップレポート!X208</f>
        <v>0</v>
      </c>
      <c r="Z208">
        <f>セットアップレポート!Y208</f>
        <v>0</v>
      </c>
      <c r="AA208">
        <f>セットアップレポート!Z208</f>
        <v>0</v>
      </c>
      <c r="AB208" t="str">
        <f>セットアップレポート!AA208</f>
        <v>NONE</v>
      </c>
      <c r="AC208">
        <f>セットアップレポート!AB208</f>
        <v>0</v>
      </c>
      <c r="AD208">
        <f>セットアップレポート!AC208</f>
        <v>0</v>
      </c>
      <c r="AE208">
        <f>セットアップレポート!AD208</f>
        <v>0</v>
      </c>
      <c r="AF208">
        <f>セットアップレポート!AE208</f>
        <v>0</v>
      </c>
      <c r="AG208">
        <f>セットアップレポート!AF208</f>
        <v>0</v>
      </c>
      <c r="AH208">
        <f>セットアップレポート!AG208</f>
        <v>0</v>
      </c>
    </row>
    <row r="209" spans="1:34" x14ac:dyDescent="0.45">
      <c r="A209" t="str">
        <f t="shared" si="3"/>
        <v>L2-NPM040014L918375</v>
      </c>
      <c r="B209" t="str">
        <f>セットアップレポート!A209</f>
        <v>Line-2</v>
      </c>
      <c r="C209" t="str">
        <f>セットアップレポート!B209</f>
        <v>L2-NPM04</v>
      </c>
      <c r="D209" t="str">
        <f>セットアップレポート!C209</f>
        <v>Zone-2-NPMW-4</v>
      </c>
      <c r="E209">
        <f>セットアップレポート!D209</f>
        <v>1</v>
      </c>
      <c r="F209">
        <f>セットアップレポート!E209</f>
        <v>1</v>
      </c>
      <c r="G209" t="str">
        <f>セットアップレポート!F209</f>
        <v>10014L</v>
      </c>
      <c r="H209">
        <f>セットアップレポート!G209</f>
        <v>14</v>
      </c>
      <c r="I209" t="str">
        <f>セットアップレポート!H209</f>
        <v>L</v>
      </c>
      <c r="J209" t="str">
        <f>セットアップレポート!I209</f>
        <v>918375 100272</v>
      </c>
      <c r="K209">
        <f>セットアップレポート!J209</f>
        <v>918375</v>
      </c>
      <c r="L209">
        <f>セットアップレポート!K209</f>
        <v>0</v>
      </c>
      <c r="M209">
        <f>セットアップレポート!L209</f>
        <v>0</v>
      </c>
      <c r="N209">
        <f>セットアップレポート!M209</f>
        <v>0</v>
      </c>
      <c r="O209">
        <f>セットアップレポート!N209</f>
        <v>0</v>
      </c>
      <c r="P209" t="str">
        <f>セットアップレポート!O209</f>
        <v>FA0220ADF311840</v>
      </c>
      <c r="Q209">
        <f>セットアップレポート!P209</f>
        <v>2000</v>
      </c>
      <c r="R209">
        <f>セットアップレポート!Q209</f>
        <v>45932.807986111111</v>
      </c>
      <c r="S209">
        <f>セットアップレポート!R209</f>
        <v>0</v>
      </c>
      <c r="T209">
        <f>セットアップレポート!S209</f>
        <v>0</v>
      </c>
      <c r="U209">
        <f>セットアップレポート!T209</f>
        <v>0</v>
      </c>
      <c r="V209">
        <f>セットアップレポート!U209</f>
        <v>0</v>
      </c>
      <c r="W209">
        <f>セットアップレポート!V209</f>
        <v>0</v>
      </c>
      <c r="X209">
        <f>セットアップレポート!W209</f>
        <v>0</v>
      </c>
      <c r="Y209">
        <f>セットアップレポート!X209</f>
        <v>0</v>
      </c>
      <c r="Z209">
        <f>セットアップレポート!Y209</f>
        <v>0</v>
      </c>
      <c r="AA209">
        <f>セットアップレポート!Z209</f>
        <v>0</v>
      </c>
      <c r="AB209" t="str">
        <f>セットアップレポート!AA209</f>
        <v>NONE</v>
      </c>
      <c r="AC209">
        <f>セットアップレポート!AB209</f>
        <v>0</v>
      </c>
      <c r="AD209">
        <f>セットアップレポート!AC209</f>
        <v>0</v>
      </c>
      <c r="AE209">
        <f>セットアップレポート!AD209</f>
        <v>0</v>
      </c>
      <c r="AF209">
        <f>セットアップレポート!AE209</f>
        <v>0</v>
      </c>
      <c r="AG209">
        <f>セットアップレポート!AF209</f>
        <v>0</v>
      </c>
      <c r="AH209">
        <f>セットアップレポート!AG209</f>
        <v>0</v>
      </c>
    </row>
    <row r="210" spans="1:34" x14ac:dyDescent="0.45">
      <c r="A210" t="str">
        <f t="shared" si="3"/>
        <v>L2-NPM040015L9000057871</v>
      </c>
      <c r="B210" t="str">
        <f>セットアップレポート!A210</f>
        <v>Line-2</v>
      </c>
      <c r="C210" t="str">
        <f>セットアップレポート!B210</f>
        <v>L2-NPM04</v>
      </c>
      <c r="D210" t="str">
        <f>セットアップレポート!C210</f>
        <v>Zone-2-NPMW-4</v>
      </c>
      <c r="E210">
        <f>セットアップレポート!D210</f>
        <v>1</v>
      </c>
      <c r="F210">
        <f>セットアップレポート!E210</f>
        <v>1</v>
      </c>
      <c r="G210" t="str">
        <f>セットアップレポート!F210</f>
        <v>10015L</v>
      </c>
      <c r="H210">
        <f>セットアップレポート!G210</f>
        <v>15</v>
      </c>
      <c r="I210" t="str">
        <f>セットアップレポート!H210</f>
        <v>L</v>
      </c>
      <c r="J210" t="str">
        <f>セットアップレポート!I210</f>
        <v>9000057871 100203</v>
      </c>
      <c r="K210">
        <f>セットアップレポート!J210</f>
        <v>9000057871</v>
      </c>
      <c r="L210">
        <f>セットアップレポート!K210</f>
        <v>0</v>
      </c>
      <c r="M210">
        <f>セットアップレポート!L210</f>
        <v>0</v>
      </c>
      <c r="N210">
        <f>セットアップレポート!M210</f>
        <v>0</v>
      </c>
      <c r="O210">
        <f>セットアップレポート!N210</f>
        <v>0</v>
      </c>
      <c r="P210" t="str">
        <f>セットアップレポート!O210</f>
        <v>FA0220AFA653998</v>
      </c>
      <c r="Q210">
        <f>セットアップレポート!P210</f>
        <v>1000</v>
      </c>
      <c r="R210">
        <f>セットアップレポート!Q210</f>
        <v>45950.475775462961</v>
      </c>
      <c r="S210">
        <f>セットアップレポート!R210</f>
        <v>0</v>
      </c>
      <c r="T210">
        <f>セットアップレポート!S210</f>
        <v>0</v>
      </c>
      <c r="U210">
        <f>セットアップレポート!T210</f>
        <v>0</v>
      </c>
      <c r="V210">
        <f>セットアップレポート!U210</f>
        <v>0</v>
      </c>
      <c r="W210">
        <f>セットアップレポート!V210</f>
        <v>0</v>
      </c>
      <c r="X210">
        <f>セットアップレポート!W210</f>
        <v>0</v>
      </c>
      <c r="Y210">
        <f>セットアップレポート!X210</f>
        <v>0</v>
      </c>
      <c r="Z210">
        <f>セットアップレポート!Y210</f>
        <v>0</v>
      </c>
      <c r="AA210">
        <f>セットアップレポート!Z210</f>
        <v>0</v>
      </c>
      <c r="AB210" t="str">
        <f>セットアップレポート!AA210</f>
        <v>NONE</v>
      </c>
      <c r="AC210">
        <f>セットアップレポート!AB210</f>
        <v>0</v>
      </c>
      <c r="AD210">
        <f>セットアップレポート!AC210</f>
        <v>0</v>
      </c>
      <c r="AE210">
        <f>セットアップレポート!AD210</f>
        <v>0</v>
      </c>
      <c r="AF210">
        <f>セットアップレポート!AE210</f>
        <v>0</v>
      </c>
      <c r="AG210">
        <f>セットアップレポート!AF210</f>
        <v>0</v>
      </c>
      <c r="AH210">
        <f>セットアップレポート!AG210</f>
        <v>0</v>
      </c>
    </row>
    <row r="211" spans="1:34" x14ac:dyDescent="0.45">
      <c r="A211" t="str">
        <f t="shared" si="3"/>
        <v>L2-NPM040016L677278</v>
      </c>
      <c r="B211" t="str">
        <f>セットアップレポート!A211</f>
        <v>Line-2</v>
      </c>
      <c r="C211" t="str">
        <f>セットアップレポート!B211</f>
        <v>L2-NPM04</v>
      </c>
      <c r="D211" t="str">
        <f>セットアップレポート!C211</f>
        <v>Zone-2-NPMW-4</v>
      </c>
      <c r="E211">
        <f>セットアップレポート!D211</f>
        <v>1</v>
      </c>
      <c r="F211">
        <f>セットアップレポート!E211</f>
        <v>1</v>
      </c>
      <c r="G211" t="str">
        <f>セットアップレポート!F211</f>
        <v>10016L</v>
      </c>
      <c r="H211">
        <f>セットアップレポート!G211</f>
        <v>16</v>
      </c>
      <c r="I211" t="str">
        <f>セットアップレポート!H211</f>
        <v>L</v>
      </c>
      <c r="J211" t="str">
        <f>セットアップレポート!I211</f>
        <v>677278 100691</v>
      </c>
      <c r="K211">
        <f>セットアップレポート!J211</f>
        <v>677278</v>
      </c>
      <c r="L211">
        <f>セットアップレポート!K211</f>
        <v>0</v>
      </c>
      <c r="M211">
        <f>セットアップレポート!L211</f>
        <v>0</v>
      </c>
      <c r="N211">
        <f>セットアップレポート!M211</f>
        <v>0</v>
      </c>
      <c r="O211">
        <f>セットアップレポート!N211</f>
        <v>0</v>
      </c>
      <c r="P211" t="str">
        <f>セットアップレポート!O211</f>
        <v>FA0220ACH328567</v>
      </c>
      <c r="Q211">
        <f>セットアップレポート!P211</f>
        <v>4000</v>
      </c>
      <c r="R211">
        <f>セットアップレポート!Q211</f>
        <v>45950.475775462961</v>
      </c>
      <c r="S211">
        <f>セットアップレポート!R211</f>
        <v>0</v>
      </c>
      <c r="T211">
        <f>セットアップレポート!S211</f>
        <v>0</v>
      </c>
      <c r="U211">
        <f>セットアップレポート!T211</f>
        <v>0</v>
      </c>
      <c r="V211">
        <f>セットアップレポート!U211</f>
        <v>0</v>
      </c>
      <c r="W211">
        <f>セットアップレポート!V211</f>
        <v>0</v>
      </c>
      <c r="X211">
        <f>セットアップレポート!W211</f>
        <v>0</v>
      </c>
      <c r="Y211">
        <f>セットアップレポート!X211</f>
        <v>0</v>
      </c>
      <c r="Z211">
        <f>セットアップレポート!Y211</f>
        <v>0</v>
      </c>
      <c r="AA211">
        <f>セットアップレポート!Z211</f>
        <v>0</v>
      </c>
      <c r="AB211" t="str">
        <f>セットアップレポート!AA211</f>
        <v>NONE</v>
      </c>
      <c r="AC211">
        <f>セットアップレポート!AB211</f>
        <v>0</v>
      </c>
      <c r="AD211">
        <f>セットアップレポート!AC211</f>
        <v>0</v>
      </c>
      <c r="AE211">
        <f>セットアップレポート!AD211</f>
        <v>0</v>
      </c>
      <c r="AF211">
        <f>セットアップレポート!AE211</f>
        <v>0</v>
      </c>
      <c r="AG211">
        <f>セットアップレポート!AF211</f>
        <v>0</v>
      </c>
      <c r="AH211">
        <f>セットアップレポート!AG211</f>
        <v>0</v>
      </c>
    </row>
    <row r="212" spans="1:34" x14ac:dyDescent="0.45">
      <c r="A212" t="str">
        <f t="shared" si="3"/>
        <v>L2-NPM040017L929826</v>
      </c>
      <c r="B212" t="str">
        <f>セットアップレポート!A212</f>
        <v>Line-2</v>
      </c>
      <c r="C212" t="str">
        <f>セットアップレポート!B212</f>
        <v>L2-NPM04</v>
      </c>
      <c r="D212" t="str">
        <f>セットアップレポート!C212</f>
        <v>Zone-2-NPMW-4</v>
      </c>
      <c r="E212">
        <f>セットアップレポート!D212</f>
        <v>1</v>
      </c>
      <c r="F212">
        <f>セットアップレポート!E212</f>
        <v>1</v>
      </c>
      <c r="G212" t="str">
        <f>セットアップレポート!F212</f>
        <v>10017L</v>
      </c>
      <c r="H212">
        <f>セットアップレポート!G212</f>
        <v>17</v>
      </c>
      <c r="I212" t="str">
        <f>セットアップレポート!H212</f>
        <v>L</v>
      </c>
      <c r="J212" t="str">
        <f>セットアップレポート!I212</f>
        <v>929826 100032</v>
      </c>
      <c r="K212">
        <f>セットアップレポート!J212</f>
        <v>929826</v>
      </c>
      <c r="L212">
        <f>セットアップレポート!K212</f>
        <v>0</v>
      </c>
      <c r="M212">
        <f>セットアップレポート!L212</f>
        <v>0</v>
      </c>
      <c r="N212">
        <f>セットアップレポート!M212</f>
        <v>0</v>
      </c>
      <c r="O212">
        <f>セットアップレポート!N212</f>
        <v>0</v>
      </c>
      <c r="P212" t="str">
        <f>セットアップレポート!O212</f>
        <v>FA0201ABA002171</v>
      </c>
      <c r="Q212">
        <f>セットアップレポート!P212</f>
        <v>4000</v>
      </c>
      <c r="R212">
        <f>セットアップレポート!Q212</f>
        <v>45950.475775462961</v>
      </c>
      <c r="S212">
        <f>セットアップレポート!R212</f>
        <v>0</v>
      </c>
      <c r="T212">
        <f>セットアップレポート!S212</f>
        <v>0</v>
      </c>
      <c r="U212">
        <f>セットアップレポート!T212</f>
        <v>0</v>
      </c>
      <c r="V212">
        <f>セットアップレポート!U212</f>
        <v>0</v>
      </c>
      <c r="W212">
        <f>セットアップレポート!V212</f>
        <v>0</v>
      </c>
      <c r="X212">
        <f>セットアップレポート!W212</f>
        <v>0</v>
      </c>
      <c r="Y212">
        <f>セットアップレポート!X212</f>
        <v>0</v>
      </c>
      <c r="Z212">
        <f>セットアップレポート!Y212</f>
        <v>0</v>
      </c>
      <c r="AA212">
        <f>セットアップレポート!Z212</f>
        <v>0</v>
      </c>
      <c r="AB212" t="str">
        <f>セットアップレポート!AA212</f>
        <v>NONE</v>
      </c>
      <c r="AC212">
        <f>セットアップレポート!AB212</f>
        <v>0</v>
      </c>
      <c r="AD212">
        <f>セットアップレポート!AC212</f>
        <v>0</v>
      </c>
      <c r="AE212">
        <f>セットアップレポート!AD212</f>
        <v>0</v>
      </c>
      <c r="AF212">
        <f>セットアップレポート!AE212</f>
        <v>0</v>
      </c>
      <c r="AG212">
        <f>セットアップレポート!AF212</f>
        <v>0</v>
      </c>
      <c r="AH212">
        <f>セットアップレポート!AG212</f>
        <v>0</v>
      </c>
    </row>
    <row r="213" spans="1:34" x14ac:dyDescent="0.45">
      <c r="A213" t="str">
        <f t="shared" si="3"/>
        <v>L2-NPM040001L9000034883</v>
      </c>
      <c r="B213" t="str">
        <f>セットアップレポート!A213</f>
        <v>Line-2</v>
      </c>
      <c r="C213" t="str">
        <f>セットアップレポート!B213</f>
        <v>L2-NPM04</v>
      </c>
      <c r="D213" t="str">
        <f>セットアップレポート!C213</f>
        <v>Zone-2-NPMW-4</v>
      </c>
      <c r="E213">
        <f>セットアップレポート!D213</f>
        <v>1</v>
      </c>
      <c r="F213">
        <f>セットアップレポート!E213</f>
        <v>1</v>
      </c>
      <c r="G213" t="str">
        <f>セットアップレポート!F213</f>
        <v>20001L</v>
      </c>
      <c r="H213">
        <f>セットアップレポート!G213</f>
        <v>1</v>
      </c>
      <c r="I213" t="str">
        <f>セットアップレポート!H213</f>
        <v>L</v>
      </c>
      <c r="J213" t="str">
        <f>セットアップレポート!I213</f>
        <v>9000034883 100592</v>
      </c>
      <c r="K213">
        <f>セットアップレポート!J213</f>
        <v>9000034883</v>
      </c>
      <c r="L213">
        <f>セットアップレポート!K213</f>
        <v>0</v>
      </c>
      <c r="M213">
        <f>セットアップレポート!L213</f>
        <v>0</v>
      </c>
      <c r="N213">
        <f>セットアップレポート!M213</f>
        <v>0</v>
      </c>
      <c r="O213">
        <f>セットアップレポート!N213</f>
        <v>0</v>
      </c>
      <c r="P213" t="str">
        <f>セットアップレポート!O213</f>
        <v>FA0220AFA654304</v>
      </c>
      <c r="Q213">
        <f>セットアップレポート!P213</f>
        <v>250</v>
      </c>
      <c r="R213">
        <f>セットアップレポート!Q213</f>
        <v>45950.475787037038</v>
      </c>
      <c r="S213">
        <f>セットアップレポート!R213</f>
        <v>0</v>
      </c>
      <c r="T213" t="str">
        <f>セットアップレポート!S213</f>
        <v>Yes</v>
      </c>
      <c r="U213">
        <f>セットアップレポート!T213</f>
        <v>0</v>
      </c>
      <c r="V213" t="str">
        <f>セットアップレポート!U213</f>
        <v>9000034883 100593</v>
      </c>
      <c r="W213">
        <f>セットアップレポート!V213</f>
        <v>0</v>
      </c>
      <c r="X213">
        <f>セットアップレポート!W213</f>
        <v>0</v>
      </c>
      <c r="Y213">
        <f>セットアップレポート!X213</f>
        <v>0</v>
      </c>
      <c r="Z213">
        <f>セットアップレポート!Y213</f>
        <v>0</v>
      </c>
      <c r="AA213">
        <f>セットアップレポート!Z213</f>
        <v>0</v>
      </c>
      <c r="AB213" t="str">
        <f>セットアップレポート!AA213</f>
        <v>NONE</v>
      </c>
      <c r="AC213">
        <f>セットアップレポート!AB213</f>
        <v>0</v>
      </c>
      <c r="AD213">
        <f>セットアップレポート!AC213</f>
        <v>0</v>
      </c>
      <c r="AE213">
        <f>セットアップレポート!AD213</f>
        <v>0</v>
      </c>
      <c r="AF213">
        <f>セットアップレポート!AE213</f>
        <v>0</v>
      </c>
      <c r="AG213">
        <f>セットアップレポート!AF213</f>
        <v>0</v>
      </c>
      <c r="AH213">
        <f>セットアップレポート!AG213</f>
        <v>0</v>
      </c>
    </row>
    <row r="214" spans="1:34" x14ac:dyDescent="0.45">
      <c r="A214" t="str">
        <f t="shared" si="3"/>
        <v>L2-NPM040002L9000059427</v>
      </c>
      <c r="B214" t="str">
        <f>セットアップレポート!A214</f>
        <v>Line-2</v>
      </c>
      <c r="C214" t="str">
        <f>セットアップレポート!B214</f>
        <v>L2-NPM04</v>
      </c>
      <c r="D214" t="str">
        <f>セットアップレポート!C214</f>
        <v>Zone-2-NPMW-4</v>
      </c>
      <c r="E214">
        <f>セットアップレポート!D214</f>
        <v>1</v>
      </c>
      <c r="F214">
        <f>セットアップレポート!E214</f>
        <v>1</v>
      </c>
      <c r="G214" t="str">
        <f>セットアップレポート!F214</f>
        <v>20002L</v>
      </c>
      <c r="H214">
        <f>セットアップレポート!G214</f>
        <v>2</v>
      </c>
      <c r="I214" t="str">
        <f>セットアップレポート!H214</f>
        <v>L</v>
      </c>
      <c r="J214" t="str">
        <f>セットアップレポート!I214</f>
        <v>9000059427 100020</v>
      </c>
      <c r="K214">
        <f>セットアップレポート!J214</f>
        <v>9000059427</v>
      </c>
      <c r="L214">
        <f>セットアップレポート!K214</f>
        <v>0</v>
      </c>
      <c r="M214">
        <f>セットアップレポート!L214</f>
        <v>0</v>
      </c>
      <c r="N214">
        <f>セットアップレポート!M214</f>
        <v>0</v>
      </c>
      <c r="O214">
        <f>セットアップレポート!N214</f>
        <v>0</v>
      </c>
      <c r="P214" t="str">
        <f>セットアップレポート!O214</f>
        <v>FA0220ADF311429</v>
      </c>
      <c r="Q214">
        <f>セットアップレポート!P214</f>
        <v>2000</v>
      </c>
      <c r="R214">
        <f>セットアップレポート!Q214</f>
        <v>45950.475787037038</v>
      </c>
      <c r="S214">
        <f>セットアップレポート!R214</f>
        <v>0</v>
      </c>
      <c r="T214">
        <f>セットアップレポート!S214</f>
        <v>0</v>
      </c>
      <c r="U214">
        <f>セットアップレポート!T214</f>
        <v>0</v>
      </c>
      <c r="V214">
        <f>セットアップレポート!U214</f>
        <v>0</v>
      </c>
      <c r="W214">
        <f>セットアップレポート!V214</f>
        <v>0</v>
      </c>
      <c r="X214">
        <f>セットアップレポート!W214</f>
        <v>0</v>
      </c>
      <c r="Y214">
        <f>セットアップレポート!X214</f>
        <v>0</v>
      </c>
      <c r="Z214">
        <f>セットアップレポート!Y214</f>
        <v>0</v>
      </c>
      <c r="AA214">
        <f>セットアップレポート!Z214</f>
        <v>0</v>
      </c>
      <c r="AB214" t="str">
        <f>セットアップレポート!AA214</f>
        <v>NONE</v>
      </c>
      <c r="AC214">
        <f>セットアップレポート!AB214</f>
        <v>0</v>
      </c>
      <c r="AD214">
        <f>セットアップレポート!AC214</f>
        <v>0</v>
      </c>
      <c r="AE214">
        <f>セットアップレポート!AD214</f>
        <v>0</v>
      </c>
      <c r="AF214">
        <f>セットアップレポート!AE214</f>
        <v>0</v>
      </c>
      <c r="AG214">
        <f>セットアップレポート!AF214</f>
        <v>0</v>
      </c>
      <c r="AH214">
        <f>セットアップレポート!AG214</f>
        <v>0</v>
      </c>
    </row>
    <row r="215" spans="1:34" x14ac:dyDescent="0.45">
      <c r="A215" t="str">
        <f t="shared" si="3"/>
        <v>L2-NPM040003L9000069361</v>
      </c>
      <c r="B215" t="str">
        <f>セットアップレポート!A215</f>
        <v>Line-2</v>
      </c>
      <c r="C215" t="str">
        <f>セットアップレポート!B215</f>
        <v>L2-NPM04</v>
      </c>
      <c r="D215" t="str">
        <f>セットアップレポート!C215</f>
        <v>Zone-2-NPMW-4</v>
      </c>
      <c r="E215">
        <f>セットアップレポート!D215</f>
        <v>1</v>
      </c>
      <c r="F215">
        <f>セットアップレポート!E215</f>
        <v>1</v>
      </c>
      <c r="G215" t="str">
        <f>セットアップレポート!F215</f>
        <v>20003L</v>
      </c>
      <c r="H215">
        <f>セットアップレポート!G215</f>
        <v>3</v>
      </c>
      <c r="I215" t="str">
        <f>セットアップレポート!H215</f>
        <v>L</v>
      </c>
      <c r="J215" t="str">
        <f>セットアップレポート!I215</f>
        <v>9000069361 100003</v>
      </c>
      <c r="K215">
        <f>セットアップレポート!J215</f>
        <v>9000069361</v>
      </c>
      <c r="L215">
        <f>セットアップレポート!K215</f>
        <v>0</v>
      </c>
      <c r="M215">
        <f>セットアップレポート!L215</f>
        <v>0</v>
      </c>
      <c r="N215">
        <f>セットアップレポート!M215</f>
        <v>0</v>
      </c>
      <c r="O215">
        <f>セットアップレポート!N215</f>
        <v>0</v>
      </c>
      <c r="P215" t="str">
        <f>セットアップレポート!O215</f>
        <v>FA0220ACH328564</v>
      </c>
      <c r="Q215">
        <f>セットアップレポート!P215</f>
        <v>4000</v>
      </c>
      <c r="R215">
        <f>セットアップレポート!Q215</f>
        <v>45950.475787037038</v>
      </c>
      <c r="S215">
        <f>セットアップレポート!R215</f>
        <v>0</v>
      </c>
      <c r="T215">
        <f>セットアップレポート!S215</f>
        <v>0</v>
      </c>
      <c r="U215">
        <f>セットアップレポート!T215</f>
        <v>0</v>
      </c>
      <c r="V215">
        <f>セットアップレポート!U215</f>
        <v>0</v>
      </c>
      <c r="W215">
        <f>セットアップレポート!V215</f>
        <v>0</v>
      </c>
      <c r="X215">
        <f>セットアップレポート!W215</f>
        <v>0</v>
      </c>
      <c r="Y215">
        <f>セットアップレポート!X215</f>
        <v>0</v>
      </c>
      <c r="Z215">
        <f>セットアップレポート!Y215</f>
        <v>0</v>
      </c>
      <c r="AA215">
        <f>セットアップレポート!Z215</f>
        <v>0</v>
      </c>
      <c r="AB215" t="str">
        <f>セットアップレポート!AA215</f>
        <v>NONE</v>
      </c>
      <c r="AC215">
        <f>セットアップレポート!AB215</f>
        <v>0</v>
      </c>
      <c r="AD215">
        <f>セットアップレポート!AC215</f>
        <v>0</v>
      </c>
      <c r="AE215">
        <f>セットアップレポート!AD215</f>
        <v>0</v>
      </c>
      <c r="AF215">
        <f>セットアップレポート!AE215</f>
        <v>0</v>
      </c>
      <c r="AG215">
        <f>セットアップレポート!AF215</f>
        <v>0</v>
      </c>
      <c r="AH215">
        <f>セットアップレポート!AG215</f>
        <v>0</v>
      </c>
    </row>
    <row r="216" spans="1:34" x14ac:dyDescent="0.45">
      <c r="A216" t="str">
        <f t="shared" si="3"/>
        <v>L2-NPM040004L9000070306</v>
      </c>
      <c r="B216" t="str">
        <f>セットアップレポート!A216</f>
        <v>Line-2</v>
      </c>
      <c r="C216" t="str">
        <f>セットアップレポート!B216</f>
        <v>L2-NPM04</v>
      </c>
      <c r="D216" t="str">
        <f>セットアップレポート!C216</f>
        <v>Zone-2-NPMW-4</v>
      </c>
      <c r="E216">
        <f>セットアップレポート!D216</f>
        <v>1</v>
      </c>
      <c r="F216">
        <f>セットアップレポート!E216</f>
        <v>1</v>
      </c>
      <c r="G216" t="str">
        <f>セットアップレポート!F216</f>
        <v>20004L</v>
      </c>
      <c r="H216">
        <f>セットアップレポート!G216</f>
        <v>4</v>
      </c>
      <c r="I216" t="str">
        <f>セットアップレポート!H216</f>
        <v>L</v>
      </c>
      <c r="J216" t="str">
        <f>セットアップレポート!I216</f>
        <v>9000070306 100001</v>
      </c>
      <c r="K216">
        <f>セットアップレポート!J216</f>
        <v>9000070306</v>
      </c>
      <c r="L216">
        <f>セットアップレポート!K216</f>
        <v>0</v>
      </c>
      <c r="M216">
        <f>セットアップレポート!L216</f>
        <v>0</v>
      </c>
      <c r="N216">
        <f>セットアップレポート!M216</f>
        <v>0</v>
      </c>
      <c r="O216">
        <f>セットアップレポート!N216</f>
        <v>0</v>
      </c>
      <c r="P216" t="str">
        <f>セットアップレポート!O216</f>
        <v>FA0220AFA653996</v>
      </c>
      <c r="Q216">
        <f>セットアップレポート!P216</f>
        <v>1800</v>
      </c>
      <c r="R216">
        <f>セットアップレポート!Q216</f>
        <v>45950.475787037038</v>
      </c>
      <c r="S216">
        <f>セットアップレポート!R216</f>
        <v>0</v>
      </c>
      <c r="T216">
        <f>セットアップレポート!S216</f>
        <v>0</v>
      </c>
      <c r="U216">
        <f>セットアップレポート!T216</f>
        <v>0</v>
      </c>
      <c r="V216">
        <f>セットアップレポート!U216</f>
        <v>0</v>
      </c>
      <c r="W216">
        <f>セットアップレポート!V216</f>
        <v>0</v>
      </c>
      <c r="X216">
        <f>セットアップレポート!W216</f>
        <v>0</v>
      </c>
      <c r="Y216">
        <f>セットアップレポート!X216</f>
        <v>0</v>
      </c>
      <c r="Z216">
        <f>セットアップレポート!Y216</f>
        <v>0</v>
      </c>
      <c r="AA216">
        <f>セットアップレポート!Z216</f>
        <v>0</v>
      </c>
      <c r="AB216" t="str">
        <f>セットアップレポート!AA216</f>
        <v>NONE</v>
      </c>
      <c r="AC216">
        <f>セットアップレポート!AB216</f>
        <v>0</v>
      </c>
      <c r="AD216">
        <f>セットアップレポート!AC216</f>
        <v>0</v>
      </c>
      <c r="AE216">
        <f>セットアップレポート!AD216</f>
        <v>0</v>
      </c>
      <c r="AF216">
        <f>セットアップレポート!AE216</f>
        <v>0</v>
      </c>
      <c r="AG216">
        <f>セットアップレポート!AF216</f>
        <v>0</v>
      </c>
      <c r="AH216">
        <f>セットアップレポート!AG216</f>
        <v>0</v>
      </c>
    </row>
    <row r="217" spans="1:34" x14ac:dyDescent="0.45">
      <c r="A217" t="str">
        <f t="shared" si="3"/>
        <v>L2-NPM040005L675039</v>
      </c>
      <c r="B217" t="str">
        <f>セットアップレポート!A217</f>
        <v>Line-2</v>
      </c>
      <c r="C217" t="str">
        <f>セットアップレポート!B217</f>
        <v>L2-NPM04</v>
      </c>
      <c r="D217" t="str">
        <f>セットアップレポート!C217</f>
        <v>Zone-2-NPMW-4</v>
      </c>
      <c r="E217">
        <f>セットアップレポート!D217</f>
        <v>1</v>
      </c>
      <c r="F217">
        <f>セットアップレポート!E217</f>
        <v>1</v>
      </c>
      <c r="G217" t="str">
        <f>セットアップレポート!F217</f>
        <v>20005L</v>
      </c>
      <c r="H217">
        <f>セットアップレポート!G217</f>
        <v>5</v>
      </c>
      <c r="I217" t="str">
        <f>セットアップレポート!H217</f>
        <v>L</v>
      </c>
      <c r="J217" t="str">
        <f>セットアップレポート!I217</f>
        <v>675039 100128</v>
      </c>
      <c r="K217">
        <f>セットアップレポート!J217</f>
        <v>675039</v>
      </c>
      <c r="L217">
        <f>セットアップレポート!K217</f>
        <v>0</v>
      </c>
      <c r="M217">
        <f>セットアップレポート!L217</f>
        <v>0</v>
      </c>
      <c r="N217">
        <f>セットアップレポート!M217</f>
        <v>0</v>
      </c>
      <c r="O217">
        <f>セットアップレポート!N217</f>
        <v>0</v>
      </c>
      <c r="P217" t="str">
        <f>セットアップレポート!O217</f>
        <v>FA0220AFA654071</v>
      </c>
      <c r="Q217">
        <f>セットアップレポート!P217</f>
        <v>2000</v>
      </c>
      <c r="R217">
        <f>セットアップレポート!Q217</f>
        <v>45950.475787037038</v>
      </c>
      <c r="S217">
        <f>セットアップレポート!R217</f>
        <v>0</v>
      </c>
      <c r="T217">
        <f>セットアップレポート!S217</f>
        <v>0</v>
      </c>
      <c r="U217">
        <f>セットアップレポート!T217</f>
        <v>0</v>
      </c>
      <c r="V217">
        <f>セットアップレポート!U217</f>
        <v>0</v>
      </c>
      <c r="W217">
        <f>セットアップレポート!V217</f>
        <v>0</v>
      </c>
      <c r="X217">
        <f>セットアップレポート!W217</f>
        <v>0</v>
      </c>
      <c r="Y217">
        <f>セットアップレポート!X217</f>
        <v>0</v>
      </c>
      <c r="Z217">
        <f>セットアップレポート!Y217</f>
        <v>0</v>
      </c>
      <c r="AA217">
        <f>セットアップレポート!Z217</f>
        <v>0</v>
      </c>
      <c r="AB217" t="str">
        <f>セットアップレポート!AA217</f>
        <v>NONE</v>
      </c>
      <c r="AC217">
        <f>セットアップレポート!AB217</f>
        <v>0</v>
      </c>
      <c r="AD217">
        <f>セットアップレポート!AC217</f>
        <v>0</v>
      </c>
      <c r="AE217">
        <f>セットアップレポート!AD217</f>
        <v>0</v>
      </c>
      <c r="AF217">
        <f>セットアップレポート!AE217</f>
        <v>0</v>
      </c>
      <c r="AG217">
        <f>セットアップレポート!AF217</f>
        <v>0</v>
      </c>
      <c r="AH217">
        <f>セットアップレポート!AG217</f>
        <v>0</v>
      </c>
    </row>
    <row r="218" spans="1:34" x14ac:dyDescent="0.45">
      <c r="A218" t="str">
        <f t="shared" si="3"/>
        <v>L2-NPM040006L9000064915</v>
      </c>
      <c r="B218" t="str">
        <f>セットアップレポート!A218</f>
        <v>Line-2</v>
      </c>
      <c r="C218" t="str">
        <f>セットアップレポート!B218</f>
        <v>L2-NPM04</v>
      </c>
      <c r="D218" t="str">
        <f>セットアップレポート!C218</f>
        <v>Zone-2-NPMW-4</v>
      </c>
      <c r="E218">
        <f>セットアップレポート!D218</f>
        <v>1</v>
      </c>
      <c r="F218">
        <f>セットアップレポート!E218</f>
        <v>1</v>
      </c>
      <c r="G218" t="str">
        <f>セットアップレポート!F218</f>
        <v>20006L</v>
      </c>
      <c r="H218">
        <f>セットアップレポート!G218</f>
        <v>6</v>
      </c>
      <c r="I218" t="str">
        <f>セットアップレポート!H218</f>
        <v>L</v>
      </c>
      <c r="J218" t="str">
        <f>セットアップレポート!I218</f>
        <v>9000064915 100009</v>
      </c>
      <c r="K218">
        <f>セットアップレポート!J218</f>
        <v>9000064915</v>
      </c>
      <c r="L218">
        <f>セットアップレポート!K218</f>
        <v>0</v>
      </c>
      <c r="M218">
        <f>セットアップレポート!L218</f>
        <v>0</v>
      </c>
      <c r="N218">
        <f>セットアップレポート!M218</f>
        <v>0</v>
      </c>
      <c r="O218">
        <f>セットアップレポート!N218</f>
        <v>0</v>
      </c>
      <c r="P218" t="str">
        <f>セットアップレポート!O218</f>
        <v>FA0220ACH328546</v>
      </c>
      <c r="Q218">
        <f>セットアップレポート!P218</f>
        <v>2500</v>
      </c>
      <c r="R218">
        <f>セットアップレポート!Q218</f>
        <v>45950.475787037038</v>
      </c>
      <c r="S218">
        <f>セットアップレポート!R218</f>
        <v>0</v>
      </c>
      <c r="T218">
        <f>セットアップレポート!S218</f>
        <v>0</v>
      </c>
      <c r="U218">
        <f>セットアップレポート!T218</f>
        <v>0</v>
      </c>
      <c r="V218">
        <f>セットアップレポート!U218</f>
        <v>0</v>
      </c>
      <c r="W218">
        <f>セットアップレポート!V218</f>
        <v>0</v>
      </c>
      <c r="X218">
        <f>セットアップレポート!W218</f>
        <v>0</v>
      </c>
      <c r="Y218">
        <f>セットアップレポート!X218</f>
        <v>0</v>
      </c>
      <c r="Z218">
        <f>セットアップレポート!Y218</f>
        <v>0</v>
      </c>
      <c r="AA218">
        <f>セットアップレポート!Z218</f>
        <v>0</v>
      </c>
      <c r="AB218" t="str">
        <f>セットアップレポート!AA218</f>
        <v>NONE</v>
      </c>
      <c r="AC218">
        <f>セットアップレポート!AB218</f>
        <v>0</v>
      </c>
      <c r="AD218">
        <f>セットアップレポート!AC218</f>
        <v>0</v>
      </c>
      <c r="AE218">
        <f>セットアップレポート!AD218</f>
        <v>0</v>
      </c>
      <c r="AF218">
        <f>セットアップレポート!AE218</f>
        <v>0</v>
      </c>
      <c r="AG218">
        <f>セットアップレポート!AF218</f>
        <v>0</v>
      </c>
      <c r="AH218">
        <f>セットアップレポート!AG218</f>
        <v>0</v>
      </c>
    </row>
    <row r="219" spans="1:34" x14ac:dyDescent="0.45">
      <c r="A219" t="str">
        <f t="shared" si="3"/>
        <v>L2-NPM040007L9000057872</v>
      </c>
      <c r="B219" t="str">
        <f>セットアップレポート!A219</f>
        <v>Line-2</v>
      </c>
      <c r="C219" t="str">
        <f>セットアップレポート!B219</f>
        <v>L2-NPM04</v>
      </c>
      <c r="D219" t="str">
        <f>セットアップレポート!C219</f>
        <v>Zone-2-NPMW-4</v>
      </c>
      <c r="E219">
        <f>セットアップレポート!D219</f>
        <v>1</v>
      </c>
      <c r="F219">
        <f>セットアップレポート!E219</f>
        <v>1</v>
      </c>
      <c r="G219" t="str">
        <f>セットアップレポート!F219</f>
        <v>20007L</v>
      </c>
      <c r="H219">
        <f>セットアップレポート!G219</f>
        <v>7</v>
      </c>
      <c r="I219" t="str">
        <f>セットアップレポート!H219</f>
        <v>L</v>
      </c>
      <c r="J219" t="str">
        <f>セットアップレポート!I219</f>
        <v>9000057872 100630</v>
      </c>
      <c r="K219">
        <f>セットアップレポート!J219</f>
        <v>9000057872</v>
      </c>
      <c r="L219">
        <f>セットアップレポート!K219</f>
        <v>0</v>
      </c>
      <c r="M219">
        <f>セットアップレポート!L219</f>
        <v>0</v>
      </c>
      <c r="N219">
        <f>セットアップレポート!M219</f>
        <v>0</v>
      </c>
      <c r="O219">
        <f>セットアップレポート!N219</f>
        <v>0</v>
      </c>
      <c r="P219" t="str">
        <f>セットアップレポート!O219</f>
        <v>FA0220AFA654314</v>
      </c>
      <c r="Q219">
        <f>セットアップレポート!P219</f>
        <v>1000</v>
      </c>
      <c r="R219">
        <f>セットアップレポート!Q219</f>
        <v>45950.475787037038</v>
      </c>
      <c r="S219">
        <f>セットアップレポート!R219</f>
        <v>0</v>
      </c>
      <c r="T219">
        <f>セットアップレポート!S219</f>
        <v>0</v>
      </c>
      <c r="U219">
        <f>セットアップレポート!T219</f>
        <v>0</v>
      </c>
      <c r="V219">
        <f>セットアップレポート!U219</f>
        <v>0</v>
      </c>
      <c r="W219">
        <f>セットアップレポート!V219</f>
        <v>0</v>
      </c>
      <c r="X219">
        <f>セットアップレポート!W219</f>
        <v>0</v>
      </c>
      <c r="Y219">
        <f>セットアップレポート!X219</f>
        <v>0</v>
      </c>
      <c r="Z219">
        <f>セットアップレポート!Y219</f>
        <v>0</v>
      </c>
      <c r="AA219">
        <f>セットアップレポート!Z219</f>
        <v>0</v>
      </c>
      <c r="AB219" t="str">
        <f>セットアップレポート!AA219</f>
        <v>NONE</v>
      </c>
      <c r="AC219">
        <f>セットアップレポート!AB219</f>
        <v>0</v>
      </c>
      <c r="AD219">
        <f>セットアップレポート!AC219</f>
        <v>0</v>
      </c>
      <c r="AE219">
        <f>セットアップレポート!AD219</f>
        <v>0</v>
      </c>
      <c r="AF219">
        <f>セットアップレポート!AE219</f>
        <v>0</v>
      </c>
      <c r="AG219">
        <f>セットアップレポート!AF219</f>
        <v>0</v>
      </c>
      <c r="AH219">
        <f>セットアップレポート!AG219</f>
        <v>0</v>
      </c>
    </row>
    <row r="220" spans="1:34" x14ac:dyDescent="0.45">
      <c r="A220" t="str">
        <f t="shared" si="3"/>
        <v>L2-NPM040008L9000060040</v>
      </c>
      <c r="B220" t="str">
        <f>セットアップレポート!A220</f>
        <v>Line-2</v>
      </c>
      <c r="C220" t="str">
        <f>セットアップレポート!B220</f>
        <v>L2-NPM04</v>
      </c>
      <c r="D220" t="str">
        <f>セットアップレポート!C220</f>
        <v>Zone-2-NPMW-4</v>
      </c>
      <c r="E220">
        <f>セットアップレポート!D220</f>
        <v>1</v>
      </c>
      <c r="F220">
        <f>セットアップレポート!E220</f>
        <v>1</v>
      </c>
      <c r="G220" t="str">
        <f>セットアップレポート!F220</f>
        <v>20008L</v>
      </c>
      <c r="H220">
        <f>セットアップレポート!G220</f>
        <v>8</v>
      </c>
      <c r="I220" t="str">
        <f>セットアップレポート!H220</f>
        <v>L</v>
      </c>
      <c r="J220" t="str">
        <f>セットアップレポート!I220</f>
        <v>9000060040 100073</v>
      </c>
      <c r="K220">
        <f>セットアップレポート!J220</f>
        <v>9000060040</v>
      </c>
      <c r="L220">
        <f>セットアップレポート!K220</f>
        <v>0</v>
      </c>
      <c r="M220">
        <f>セットアップレポート!L220</f>
        <v>0</v>
      </c>
      <c r="N220">
        <f>セットアップレポート!M220</f>
        <v>0</v>
      </c>
      <c r="O220">
        <f>セットアップレポート!N220</f>
        <v>0</v>
      </c>
      <c r="P220" t="str">
        <f>セットアップレポート!O220</f>
        <v>FA0220ADF311801</v>
      </c>
      <c r="Q220">
        <f>セットアップレポート!P220</f>
        <v>2500</v>
      </c>
      <c r="R220">
        <f>セットアップレポート!Q220</f>
        <v>45950.475787037038</v>
      </c>
      <c r="S220">
        <f>セットアップレポート!R220</f>
        <v>0</v>
      </c>
      <c r="T220">
        <f>セットアップレポート!S220</f>
        <v>0</v>
      </c>
      <c r="U220">
        <f>セットアップレポート!T220</f>
        <v>0</v>
      </c>
      <c r="V220">
        <f>セットアップレポート!U220</f>
        <v>0</v>
      </c>
      <c r="W220">
        <f>セットアップレポート!V220</f>
        <v>0</v>
      </c>
      <c r="X220">
        <f>セットアップレポート!W220</f>
        <v>0</v>
      </c>
      <c r="Y220">
        <f>セットアップレポート!X220</f>
        <v>0</v>
      </c>
      <c r="Z220">
        <f>セットアップレポート!Y220</f>
        <v>0</v>
      </c>
      <c r="AA220">
        <f>セットアップレポート!Z220</f>
        <v>0</v>
      </c>
      <c r="AB220" t="str">
        <f>セットアップレポート!AA220</f>
        <v>NONE</v>
      </c>
      <c r="AC220">
        <f>セットアップレポート!AB220</f>
        <v>0</v>
      </c>
      <c r="AD220">
        <f>セットアップレポート!AC220</f>
        <v>0</v>
      </c>
      <c r="AE220">
        <f>セットアップレポート!AD220</f>
        <v>0</v>
      </c>
      <c r="AF220">
        <f>セットアップレポート!AE220</f>
        <v>0</v>
      </c>
      <c r="AG220">
        <f>セットアップレポート!AF220</f>
        <v>0</v>
      </c>
      <c r="AH220">
        <f>セットアップレポート!AG220</f>
        <v>0</v>
      </c>
    </row>
    <row r="221" spans="1:34" x14ac:dyDescent="0.45">
      <c r="A221" t="str">
        <f t="shared" si="3"/>
        <v>L2-NPM040009L9000065076</v>
      </c>
      <c r="B221" t="str">
        <f>セットアップレポート!A221</f>
        <v>Line-2</v>
      </c>
      <c r="C221" t="str">
        <f>セットアップレポート!B221</f>
        <v>L2-NPM04</v>
      </c>
      <c r="D221" t="str">
        <f>セットアップレポート!C221</f>
        <v>Zone-2-NPMW-4</v>
      </c>
      <c r="E221">
        <f>セットアップレポート!D221</f>
        <v>1</v>
      </c>
      <c r="F221">
        <f>セットアップレポート!E221</f>
        <v>1</v>
      </c>
      <c r="G221" t="str">
        <f>セットアップレポート!F221</f>
        <v>20009L</v>
      </c>
      <c r="H221">
        <f>セットアップレポート!G221</f>
        <v>9</v>
      </c>
      <c r="I221" t="str">
        <f>セットアップレポート!H221</f>
        <v>L</v>
      </c>
      <c r="J221" t="str">
        <f>セットアップレポート!I221</f>
        <v>9000065076 100016</v>
      </c>
      <c r="K221">
        <f>セットアップレポート!J221</f>
        <v>9000065076</v>
      </c>
      <c r="L221">
        <f>セットアップレポート!K221</f>
        <v>0</v>
      </c>
      <c r="M221">
        <f>セットアップレポート!L221</f>
        <v>0</v>
      </c>
      <c r="N221">
        <f>セットアップレポート!M221</f>
        <v>0</v>
      </c>
      <c r="O221">
        <f>セットアップレポート!N221</f>
        <v>0</v>
      </c>
      <c r="P221" t="str">
        <f>セットアップレポート!O221</f>
        <v>FA0220AFA654309</v>
      </c>
      <c r="Q221">
        <f>セットアップレポート!P221</f>
        <v>1000</v>
      </c>
      <c r="R221">
        <f>セットアップレポート!Q221</f>
        <v>45950.475787037038</v>
      </c>
      <c r="S221">
        <f>セットアップレポート!R221</f>
        <v>0</v>
      </c>
      <c r="T221" t="str">
        <f>セットアップレポート!S221</f>
        <v>Yes</v>
      </c>
      <c r="U221">
        <f>セットアップレポート!T221</f>
        <v>0</v>
      </c>
      <c r="V221" t="str">
        <f>セットアップレポート!U221</f>
        <v>9000065076 100017</v>
      </c>
      <c r="W221">
        <f>セットアップレポート!V221</f>
        <v>0</v>
      </c>
      <c r="X221">
        <f>セットアップレポート!W221</f>
        <v>0</v>
      </c>
      <c r="Y221">
        <f>セットアップレポート!X221</f>
        <v>0</v>
      </c>
      <c r="Z221">
        <f>セットアップレポート!Y221</f>
        <v>0</v>
      </c>
      <c r="AA221">
        <f>セットアップレポート!Z221</f>
        <v>0</v>
      </c>
      <c r="AB221" t="str">
        <f>セットアップレポート!AA221</f>
        <v>NONE</v>
      </c>
      <c r="AC221">
        <f>セットアップレポート!AB221</f>
        <v>0</v>
      </c>
      <c r="AD221">
        <f>セットアップレポート!AC221</f>
        <v>0</v>
      </c>
      <c r="AE221">
        <f>セットアップレポート!AD221</f>
        <v>0</v>
      </c>
      <c r="AF221">
        <f>セットアップレポート!AE221</f>
        <v>0</v>
      </c>
      <c r="AG221">
        <f>セットアップレポート!AF221</f>
        <v>0</v>
      </c>
      <c r="AH221">
        <f>セットアップレポート!AG221</f>
        <v>0</v>
      </c>
    </row>
    <row r="222" spans="1:34" x14ac:dyDescent="0.45">
      <c r="A222" t="str">
        <f t="shared" si="3"/>
        <v>L2-NPM040010L9000066030</v>
      </c>
      <c r="B222" t="str">
        <f>セットアップレポート!A222</f>
        <v>Line-2</v>
      </c>
      <c r="C222" t="str">
        <f>セットアップレポート!B222</f>
        <v>L2-NPM04</v>
      </c>
      <c r="D222" t="str">
        <f>セットアップレポート!C222</f>
        <v>Zone-2-NPMW-4</v>
      </c>
      <c r="E222">
        <f>セットアップレポート!D222</f>
        <v>1</v>
      </c>
      <c r="F222">
        <f>セットアップレポート!E222</f>
        <v>1</v>
      </c>
      <c r="G222" t="str">
        <f>セットアップレポート!F222</f>
        <v>20010L</v>
      </c>
      <c r="H222">
        <f>セットアップレポート!G222</f>
        <v>10</v>
      </c>
      <c r="I222" t="str">
        <f>セットアップレポート!H222</f>
        <v>L</v>
      </c>
      <c r="J222" t="str">
        <f>セットアップレポート!I222</f>
        <v>9000066030 100015</v>
      </c>
      <c r="K222">
        <f>セットアップレポート!J222</f>
        <v>9000066030</v>
      </c>
      <c r="L222">
        <f>セットアップレポート!K222</f>
        <v>0</v>
      </c>
      <c r="M222">
        <f>セットアップレポート!L222</f>
        <v>0</v>
      </c>
      <c r="N222">
        <f>セットアップレポート!M222</f>
        <v>0</v>
      </c>
      <c r="O222">
        <f>セットアップレポート!N222</f>
        <v>0</v>
      </c>
      <c r="P222" t="str">
        <f>セットアップレポート!O222</f>
        <v>FA0220AFA653986</v>
      </c>
      <c r="Q222">
        <f>セットアップレポート!P222</f>
        <v>1000</v>
      </c>
      <c r="R222">
        <f>セットアップレポート!Q222</f>
        <v>45950.475787037038</v>
      </c>
      <c r="S222">
        <f>セットアップレポート!R222</f>
        <v>0</v>
      </c>
      <c r="T222">
        <f>セットアップレポート!S222</f>
        <v>0</v>
      </c>
      <c r="U222">
        <f>セットアップレポート!T222</f>
        <v>0</v>
      </c>
      <c r="V222">
        <f>セットアップレポート!U222</f>
        <v>0</v>
      </c>
      <c r="W222">
        <f>セットアップレポート!V222</f>
        <v>0</v>
      </c>
      <c r="X222">
        <f>セットアップレポート!W222</f>
        <v>0</v>
      </c>
      <c r="Y222">
        <f>セットアップレポート!X222</f>
        <v>0</v>
      </c>
      <c r="Z222">
        <f>セットアップレポート!Y222</f>
        <v>0</v>
      </c>
      <c r="AA222">
        <f>セットアップレポート!Z222</f>
        <v>0</v>
      </c>
      <c r="AB222" t="str">
        <f>セットアップレポート!AA222</f>
        <v>NONE</v>
      </c>
      <c r="AC222">
        <f>セットアップレポート!AB222</f>
        <v>0</v>
      </c>
      <c r="AD222">
        <f>セットアップレポート!AC222</f>
        <v>0</v>
      </c>
      <c r="AE222">
        <f>セットアップレポート!AD222</f>
        <v>0</v>
      </c>
      <c r="AF222">
        <f>セットアップレポート!AE222</f>
        <v>0</v>
      </c>
      <c r="AG222">
        <f>セットアップレポート!AF222</f>
        <v>0</v>
      </c>
      <c r="AH222">
        <f>セットアップレポート!AG222</f>
        <v>0</v>
      </c>
    </row>
    <row r="223" spans="1:34" x14ac:dyDescent="0.45">
      <c r="A223" t="str">
        <f t="shared" si="3"/>
        <v>L2-NPM040011L9000069833</v>
      </c>
      <c r="B223" t="str">
        <f>セットアップレポート!A223</f>
        <v>Line-2</v>
      </c>
      <c r="C223" t="str">
        <f>セットアップレポート!B223</f>
        <v>L2-NPM04</v>
      </c>
      <c r="D223" t="str">
        <f>セットアップレポート!C223</f>
        <v>Zone-2-NPMW-4</v>
      </c>
      <c r="E223">
        <f>セットアップレポート!D223</f>
        <v>1</v>
      </c>
      <c r="F223">
        <f>セットアップレポート!E223</f>
        <v>1</v>
      </c>
      <c r="G223" t="str">
        <f>セットアップレポート!F223</f>
        <v>20011L</v>
      </c>
      <c r="H223">
        <f>セットアップレポート!G223</f>
        <v>11</v>
      </c>
      <c r="I223" t="str">
        <f>セットアップレポート!H223</f>
        <v>L</v>
      </c>
      <c r="J223" t="str">
        <f>セットアップレポート!I223</f>
        <v>9000069833 100001</v>
      </c>
      <c r="K223">
        <f>セットアップレポート!J223</f>
        <v>9000069833</v>
      </c>
      <c r="L223">
        <f>セットアップレポート!K223</f>
        <v>0</v>
      </c>
      <c r="M223">
        <f>セットアップレポート!L223</f>
        <v>0</v>
      </c>
      <c r="N223">
        <f>セットアップレポート!M223</f>
        <v>0</v>
      </c>
      <c r="O223">
        <f>セットアップレポート!N223</f>
        <v>0</v>
      </c>
      <c r="P223" t="str">
        <f>セットアップレポート!O223</f>
        <v>FA0220ACH328563</v>
      </c>
      <c r="Q223">
        <f>セットアップレポート!P223</f>
        <v>2000</v>
      </c>
      <c r="R223">
        <f>セットアップレポート!Q223</f>
        <v>45950.475798611114</v>
      </c>
      <c r="S223">
        <f>セットアップレポート!R223</f>
        <v>0</v>
      </c>
      <c r="T223" t="str">
        <f>セットアップレポート!S223</f>
        <v>Yes</v>
      </c>
      <c r="U223">
        <f>セットアップレポート!T223</f>
        <v>0</v>
      </c>
      <c r="V223" t="str">
        <f>セットアップレポート!U223</f>
        <v>9000069833 100004</v>
      </c>
      <c r="W223">
        <f>セットアップレポート!V223</f>
        <v>0</v>
      </c>
      <c r="X223">
        <f>セットアップレポート!W223</f>
        <v>0</v>
      </c>
      <c r="Y223">
        <f>セットアップレポート!X223</f>
        <v>0</v>
      </c>
      <c r="Z223">
        <f>セットアップレポート!Y223</f>
        <v>0</v>
      </c>
      <c r="AA223">
        <f>セットアップレポート!Z223</f>
        <v>0</v>
      </c>
      <c r="AB223" t="str">
        <f>セットアップレポート!AA223</f>
        <v>NONE</v>
      </c>
      <c r="AC223">
        <f>セットアップレポート!AB223</f>
        <v>0</v>
      </c>
      <c r="AD223">
        <f>セットアップレポート!AC223</f>
        <v>0</v>
      </c>
      <c r="AE223">
        <f>セットアップレポート!AD223</f>
        <v>0</v>
      </c>
      <c r="AF223">
        <f>セットアップレポート!AE223</f>
        <v>0</v>
      </c>
      <c r="AG223">
        <f>セットアップレポート!AF223</f>
        <v>0</v>
      </c>
      <c r="AH223">
        <f>セットアップレポート!AG223</f>
        <v>0</v>
      </c>
    </row>
    <row r="224" spans="1:34" x14ac:dyDescent="0.45">
      <c r="A224" t="str">
        <f t="shared" si="3"/>
        <v>L2-NPM040012L911203</v>
      </c>
      <c r="B224" t="str">
        <f>セットアップレポート!A224</f>
        <v>Line-2</v>
      </c>
      <c r="C224" t="str">
        <f>セットアップレポート!B224</f>
        <v>L2-NPM04</v>
      </c>
      <c r="D224" t="str">
        <f>セットアップレポート!C224</f>
        <v>Zone-2-NPMW-4</v>
      </c>
      <c r="E224">
        <f>セットアップレポート!D224</f>
        <v>1</v>
      </c>
      <c r="F224">
        <f>セットアップレポート!E224</f>
        <v>1</v>
      </c>
      <c r="G224" t="str">
        <f>セットアップレポート!F224</f>
        <v>20012L</v>
      </c>
      <c r="H224">
        <f>セットアップレポート!G224</f>
        <v>12</v>
      </c>
      <c r="I224" t="str">
        <f>セットアップレポート!H224</f>
        <v>L</v>
      </c>
      <c r="J224" t="str">
        <f>セットアップレポート!I224</f>
        <v>911203 100123</v>
      </c>
      <c r="K224">
        <f>セットアップレポート!J224</f>
        <v>911203</v>
      </c>
      <c r="L224">
        <f>セットアップレポート!K224</f>
        <v>0</v>
      </c>
      <c r="M224">
        <f>セットアップレポート!L224</f>
        <v>0</v>
      </c>
      <c r="N224">
        <f>セットアップレポート!M224</f>
        <v>0</v>
      </c>
      <c r="O224">
        <f>セットアップレポート!N224</f>
        <v>0</v>
      </c>
      <c r="P224" t="str">
        <f>セットアップレポート!O224</f>
        <v>FA0220ADF311858</v>
      </c>
      <c r="Q224">
        <f>セットアップレポート!P224</f>
        <v>3000</v>
      </c>
      <c r="R224">
        <f>セットアップレポート!Q224</f>
        <v>45950.475798611114</v>
      </c>
      <c r="S224">
        <f>セットアップレポート!R224</f>
        <v>0</v>
      </c>
      <c r="T224">
        <f>セットアップレポート!S224</f>
        <v>0</v>
      </c>
      <c r="U224">
        <f>セットアップレポート!T224</f>
        <v>0</v>
      </c>
      <c r="V224">
        <f>セットアップレポート!U224</f>
        <v>0</v>
      </c>
      <c r="W224">
        <f>セットアップレポート!V224</f>
        <v>0</v>
      </c>
      <c r="X224">
        <f>セットアップレポート!W224</f>
        <v>0</v>
      </c>
      <c r="Y224">
        <f>セットアップレポート!X224</f>
        <v>0</v>
      </c>
      <c r="Z224">
        <f>セットアップレポート!Y224</f>
        <v>0</v>
      </c>
      <c r="AA224">
        <f>セットアップレポート!Z224</f>
        <v>0</v>
      </c>
      <c r="AB224" t="str">
        <f>セットアップレポート!AA224</f>
        <v>NONE</v>
      </c>
      <c r="AC224">
        <f>セットアップレポート!AB224</f>
        <v>0</v>
      </c>
      <c r="AD224">
        <f>セットアップレポート!AC224</f>
        <v>0</v>
      </c>
      <c r="AE224">
        <f>セットアップレポート!AD224</f>
        <v>0</v>
      </c>
      <c r="AF224">
        <f>セットアップレポート!AE224</f>
        <v>0</v>
      </c>
      <c r="AG224">
        <f>セットアップレポート!AF224</f>
        <v>0</v>
      </c>
      <c r="AH224">
        <f>セットアップレポート!AG224</f>
        <v>0</v>
      </c>
    </row>
    <row r="225" spans="1:34" x14ac:dyDescent="0.45">
      <c r="A225" t="str">
        <f t="shared" si="3"/>
        <v>L2-NPM040013L9000022432</v>
      </c>
      <c r="B225" t="str">
        <f>セットアップレポート!A225</f>
        <v>Line-2</v>
      </c>
      <c r="C225" t="str">
        <f>セットアップレポート!B225</f>
        <v>L2-NPM04</v>
      </c>
      <c r="D225" t="str">
        <f>セットアップレポート!C225</f>
        <v>Zone-2-NPMW-4</v>
      </c>
      <c r="E225">
        <f>セットアップレポート!D225</f>
        <v>1</v>
      </c>
      <c r="F225">
        <f>セットアップレポート!E225</f>
        <v>1</v>
      </c>
      <c r="G225" t="str">
        <f>セットアップレポート!F225</f>
        <v>20013L</v>
      </c>
      <c r="H225">
        <f>セットアップレポート!G225</f>
        <v>13</v>
      </c>
      <c r="I225" t="str">
        <f>セットアップレポート!H225</f>
        <v>L</v>
      </c>
      <c r="J225" t="str">
        <f>セットアップレポート!I225</f>
        <v>9000022432 100040</v>
      </c>
      <c r="K225">
        <f>セットアップレポート!J225</f>
        <v>9000022432</v>
      </c>
      <c r="L225">
        <f>セットアップレポート!K225</f>
        <v>0</v>
      </c>
      <c r="M225">
        <f>セットアップレポート!L225</f>
        <v>0</v>
      </c>
      <c r="N225">
        <f>セットアップレポート!M225</f>
        <v>0</v>
      </c>
      <c r="O225">
        <f>セットアップレポート!N225</f>
        <v>0</v>
      </c>
      <c r="P225" t="str">
        <f>セットアップレポート!O225</f>
        <v>FA0220ADF311691</v>
      </c>
      <c r="Q225">
        <f>セットアップレポート!P225</f>
        <v>1800</v>
      </c>
      <c r="R225">
        <f>セットアップレポート!Q225</f>
        <v>45950.475798611114</v>
      </c>
      <c r="S225">
        <f>セットアップレポート!R225</f>
        <v>0</v>
      </c>
      <c r="T225">
        <f>セットアップレポート!S225</f>
        <v>0</v>
      </c>
      <c r="U225">
        <f>セットアップレポート!T225</f>
        <v>0</v>
      </c>
      <c r="V225">
        <f>セットアップレポート!U225</f>
        <v>0</v>
      </c>
      <c r="W225">
        <f>セットアップレポート!V225</f>
        <v>0</v>
      </c>
      <c r="X225">
        <f>セットアップレポート!W225</f>
        <v>0</v>
      </c>
      <c r="Y225">
        <f>セットアップレポート!X225</f>
        <v>0</v>
      </c>
      <c r="Z225">
        <f>セットアップレポート!Y225</f>
        <v>0</v>
      </c>
      <c r="AA225">
        <f>セットアップレポート!Z225</f>
        <v>0</v>
      </c>
      <c r="AB225" t="str">
        <f>セットアップレポート!AA225</f>
        <v>NONE</v>
      </c>
      <c r="AC225">
        <f>セットアップレポート!AB225</f>
        <v>0</v>
      </c>
      <c r="AD225">
        <f>セットアップレポート!AC225</f>
        <v>0</v>
      </c>
      <c r="AE225">
        <f>セットアップレポート!AD225</f>
        <v>0</v>
      </c>
      <c r="AF225">
        <f>セットアップレポート!AE225</f>
        <v>0</v>
      </c>
      <c r="AG225">
        <f>セットアップレポート!AF225</f>
        <v>0</v>
      </c>
      <c r="AH225">
        <f>セットアップレポート!AG225</f>
        <v>0</v>
      </c>
    </row>
    <row r="226" spans="1:34" x14ac:dyDescent="0.45">
      <c r="A226" t="str">
        <f t="shared" si="3"/>
        <v>L2-NPM040014L9000046995</v>
      </c>
      <c r="B226" t="str">
        <f>セットアップレポート!A226</f>
        <v>Line-2</v>
      </c>
      <c r="C226" t="str">
        <f>セットアップレポート!B226</f>
        <v>L2-NPM04</v>
      </c>
      <c r="D226" t="str">
        <f>セットアップレポート!C226</f>
        <v>Zone-2-NPMW-4</v>
      </c>
      <c r="E226">
        <f>セットアップレポート!D226</f>
        <v>1</v>
      </c>
      <c r="F226">
        <f>セットアップレポート!E226</f>
        <v>1</v>
      </c>
      <c r="G226" t="str">
        <f>セットアップレポート!F226</f>
        <v>20014L</v>
      </c>
      <c r="H226">
        <f>セットアップレポート!G226</f>
        <v>14</v>
      </c>
      <c r="I226" t="str">
        <f>セットアップレポート!H226</f>
        <v>L</v>
      </c>
      <c r="J226" t="str">
        <f>セットアップレポート!I226</f>
        <v>9000046995 100186</v>
      </c>
      <c r="K226">
        <f>セットアップレポート!J226</f>
        <v>9000046995</v>
      </c>
      <c r="L226">
        <f>セットアップレポート!K226</f>
        <v>0</v>
      </c>
      <c r="M226">
        <f>セットアップレポート!L226</f>
        <v>0</v>
      </c>
      <c r="N226">
        <f>セットアップレポート!M226</f>
        <v>0</v>
      </c>
      <c r="O226">
        <f>セットアップレポート!N226</f>
        <v>0</v>
      </c>
      <c r="P226" t="str">
        <f>セットアップレポート!O226</f>
        <v>FA0220AFA654036</v>
      </c>
      <c r="Q226">
        <f>セットアップレポート!P226</f>
        <v>1000</v>
      </c>
      <c r="R226">
        <f>セットアップレポート!Q226</f>
        <v>45950.475798611114</v>
      </c>
      <c r="S226">
        <f>セットアップレポート!R226</f>
        <v>0</v>
      </c>
      <c r="T226">
        <f>セットアップレポート!S226</f>
        <v>0</v>
      </c>
      <c r="U226">
        <f>セットアップレポート!T226</f>
        <v>0</v>
      </c>
      <c r="V226">
        <f>セットアップレポート!U226</f>
        <v>0</v>
      </c>
      <c r="W226">
        <f>セットアップレポート!V226</f>
        <v>0</v>
      </c>
      <c r="X226">
        <f>セットアップレポート!W226</f>
        <v>0</v>
      </c>
      <c r="Y226">
        <f>セットアップレポート!X226</f>
        <v>0</v>
      </c>
      <c r="Z226">
        <f>セットアップレポート!Y226</f>
        <v>0</v>
      </c>
      <c r="AA226">
        <f>セットアップレポート!Z226</f>
        <v>0</v>
      </c>
      <c r="AB226" t="str">
        <f>セットアップレポート!AA226</f>
        <v>NONE</v>
      </c>
      <c r="AC226">
        <f>セットアップレポート!AB226</f>
        <v>0</v>
      </c>
      <c r="AD226">
        <f>セットアップレポート!AC226</f>
        <v>0</v>
      </c>
      <c r="AE226">
        <f>セットアップレポート!AD226</f>
        <v>0</v>
      </c>
      <c r="AF226">
        <f>セットアップレポート!AE226</f>
        <v>0</v>
      </c>
      <c r="AG226">
        <f>セットアップレポート!AF226</f>
        <v>0</v>
      </c>
      <c r="AH226">
        <f>セットアップレポート!AG226</f>
        <v>0</v>
      </c>
    </row>
    <row r="227" spans="1:34" x14ac:dyDescent="0.45">
      <c r="A227" t="str">
        <f t="shared" si="3"/>
        <v>L2-NPM040015L9000047138</v>
      </c>
      <c r="B227" t="str">
        <f>セットアップレポート!A227</f>
        <v>Line-2</v>
      </c>
      <c r="C227" t="str">
        <f>セットアップレポート!B227</f>
        <v>L2-NPM04</v>
      </c>
      <c r="D227" t="str">
        <f>セットアップレポート!C227</f>
        <v>Zone-2-NPMW-4</v>
      </c>
      <c r="E227">
        <f>セットアップレポート!D227</f>
        <v>1</v>
      </c>
      <c r="F227">
        <f>セットアップレポート!E227</f>
        <v>1</v>
      </c>
      <c r="G227" t="str">
        <f>セットアップレポート!F227</f>
        <v>20015L</v>
      </c>
      <c r="H227">
        <f>セットアップレポート!G227</f>
        <v>15</v>
      </c>
      <c r="I227" t="str">
        <f>セットアップレポート!H227</f>
        <v>L</v>
      </c>
      <c r="J227" t="str">
        <f>セットアップレポート!I227</f>
        <v>9000047138 100042</v>
      </c>
      <c r="K227">
        <f>セットアップレポート!J227</f>
        <v>9000047138</v>
      </c>
      <c r="L227">
        <f>セットアップレポート!K227</f>
        <v>0</v>
      </c>
      <c r="M227">
        <f>セットアップレポート!L227</f>
        <v>0</v>
      </c>
      <c r="N227">
        <f>セットアップレポート!M227</f>
        <v>0</v>
      </c>
      <c r="O227">
        <f>セットアップレポート!N227</f>
        <v>0</v>
      </c>
      <c r="P227" t="str">
        <f>セットアップレポート!O227</f>
        <v>FA0220AFA654343</v>
      </c>
      <c r="Q227">
        <f>セットアップレポート!P227</f>
        <v>4000</v>
      </c>
      <c r="R227">
        <f>セットアップレポート!Q227</f>
        <v>45950.475798611114</v>
      </c>
      <c r="S227">
        <f>セットアップレポート!R227</f>
        <v>0</v>
      </c>
      <c r="T227">
        <f>セットアップレポート!S227</f>
        <v>0</v>
      </c>
      <c r="U227">
        <f>セットアップレポート!T227</f>
        <v>0</v>
      </c>
      <c r="V227">
        <f>セットアップレポート!U227</f>
        <v>0</v>
      </c>
      <c r="W227">
        <f>セットアップレポート!V227</f>
        <v>0</v>
      </c>
      <c r="X227">
        <f>セットアップレポート!W227</f>
        <v>0</v>
      </c>
      <c r="Y227">
        <f>セットアップレポート!X227</f>
        <v>0</v>
      </c>
      <c r="Z227">
        <f>セットアップレポート!Y227</f>
        <v>0</v>
      </c>
      <c r="AA227">
        <f>セットアップレポート!Z227</f>
        <v>0</v>
      </c>
      <c r="AB227" t="str">
        <f>セットアップレポート!AA227</f>
        <v>NONE</v>
      </c>
      <c r="AC227">
        <f>セットアップレポート!AB227</f>
        <v>0</v>
      </c>
      <c r="AD227">
        <f>セットアップレポート!AC227</f>
        <v>0</v>
      </c>
      <c r="AE227">
        <f>セットアップレポート!AD227</f>
        <v>0</v>
      </c>
      <c r="AF227">
        <f>セットアップレポート!AE227</f>
        <v>0</v>
      </c>
      <c r="AG227">
        <f>セットアップレポート!AF227</f>
        <v>0</v>
      </c>
      <c r="AH227">
        <f>セットアップレポート!AG227</f>
        <v>0</v>
      </c>
    </row>
    <row r="228" spans="1:34" x14ac:dyDescent="0.45">
      <c r="A228" t="str">
        <f t="shared" si="3"/>
        <v>L2-NPM040016L678651</v>
      </c>
      <c r="B228" t="str">
        <f>セットアップレポート!A228</f>
        <v>Line-2</v>
      </c>
      <c r="C228" t="str">
        <f>セットアップレポート!B228</f>
        <v>L2-NPM04</v>
      </c>
      <c r="D228" t="str">
        <f>セットアップレポート!C228</f>
        <v>Zone-2-NPMW-4</v>
      </c>
      <c r="E228">
        <f>セットアップレポート!D228</f>
        <v>1</v>
      </c>
      <c r="F228">
        <f>セットアップレポート!E228</f>
        <v>1</v>
      </c>
      <c r="G228" t="str">
        <f>セットアップレポート!F228</f>
        <v>20016L</v>
      </c>
      <c r="H228">
        <f>セットアップレポート!G228</f>
        <v>16</v>
      </c>
      <c r="I228" t="str">
        <f>セットアップレポート!H228</f>
        <v>L</v>
      </c>
      <c r="J228" t="str">
        <f>セットアップレポート!I228</f>
        <v>678651 100009</v>
      </c>
      <c r="K228">
        <f>セットアップレポート!J228</f>
        <v>678651</v>
      </c>
      <c r="L228">
        <f>セットアップレポート!K228</f>
        <v>0</v>
      </c>
      <c r="M228">
        <f>セットアップレポート!L228</f>
        <v>0</v>
      </c>
      <c r="N228">
        <f>セットアップレポート!M228</f>
        <v>0</v>
      </c>
      <c r="O228">
        <f>セットアップレポート!N228</f>
        <v>0</v>
      </c>
      <c r="P228" t="str">
        <f>セットアップレポート!O228</f>
        <v>FA0220ADF311660</v>
      </c>
      <c r="Q228">
        <f>セットアップレポート!P228</f>
        <v>2000</v>
      </c>
      <c r="R228">
        <f>セットアップレポート!Q228</f>
        <v>45950.475798611114</v>
      </c>
      <c r="S228">
        <f>セットアップレポート!R228</f>
        <v>0</v>
      </c>
      <c r="T228">
        <f>セットアップレポート!S228</f>
        <v>0</v>
      </c>
      <c r="U228">
        <f>セットアップレポート!T228</f>
        <v>0</v>
      </c>
      <c r="V228">
        <f>セットアップレポート!U228</f>
        <v>0</v>
      </c>
      <c r="W228">
        <f>セットアップレポート!V228</f>
        <v>0</v>
      </c>
      <c r="X228">
        <f>セットアップレポート!W228</f>
        <v>0</v>
      </c>
      <c r="Y228">
        <f>セットアップレポート!X228</f>
        <v>0</v>
      </c>
      <c r="Z228">
        <f>セットアップレポート!Y228</f>
        <v>0</v>
      </c>
      <c r="AA228">
        <f>セットアップレポート!Z228</f>
        <v>0</v>
      </c>
      <c r="AB228" t="str">
        <f>セットアップレポート!AA228</f>
        <v>NONE</v>
      </c>
      <c r="AC228">
        <f>セットアップレポート!AB228</f>
        <v>0</v>
      </c>
      <c r="AD228">
        <f>セットアップレポート!AC228</f>
        <v>0</v>
      </c>
      <c r="AE228">
        <f>セットアップレポート!AD228</f>
        <v>0</v>
      </c>
      <c r="AF228">
        <f>セットアップレポート!AE228</f>
        <v>0</v>
      </c>
      <c r="AG228">
        <f>セットアップレポート!AF228</f>
        <v>0</v>
      </c>
      <c r="AH228">
        <f>セットアップレポート!AG228</f>
        <v>0</v>
      </c>
    </row>
    <row r="229" spans="1:34" x14ac:dyDescent="0.45">
      <c r="A229" t="str">
        <f t="shared" si="3"/>
        <v>L2-NPM040017L9000065077</v>
      </c>
      <c r="B229" t="str">
        <f>セットアップレポート!A229</f>
        <v>Line-2</v>
      </c>
      <c r="C229" t="str">
        <f>セットアップレポート!B229</f>
        <v>L2-NPM04</v>
      </c>
      <c r="D229" t="str">
        <f>セットアップレポート!C229</f>
        <v>Zone-2-NPMW-4</v>
      </c>
      <c r="E229">
        <f>セットアップレポート!D229</f>
        <v>1</v>
      </c>
      <c r="F229">
        <f>セットアップレポート!E229</f>
        <v>1</v>
      </c>
      <c r="G229" t="str">
        <f>セットアップレポート!F229</f>
        <v>20017L</v>
      </c>
      <c r="H229">
        <f>セットアップレポート!G229</f>
        <v>17</v>
      </c>
      <c r="I229" t="str">
        <f>セットアップレポート!H229</f>
        <v>L</v>
      </c>
      <c r="J229" t="str">
        <f>セットアップレポート!I229</f>
        <v>9000065077 100032</v>
      </c>
      <c r="K229">
        <f>セットアップレポート!J229</f>
        <v>9000065077</v>
      </c>
      <c r="L229">
        <f>セットアップレポート!K229</f>
        <v>0</v>
      </c>
      <c r="M229">
        <f>セットアップレポート!L229</f>
        <v>0</v>
      </c>
      <c r="N229">
        <f>セットアップレポート!M229</f>
        <v>0</v>
      </c>
      <c r="O229">
        <f>セットアップレポート!N229</f>
        <v>0</v>
      </c>
      <c r="P229" t="str">
        <f>セットアップレポート!O229</f>
        <v>FA0220ADF311602</v>
      </c>
      <c r="Q229">
        <f>セットアップレポート!P229</f>
        <v>1000</v>
      </c>
      <c r="R229">
        <f>セットアップレポート!Q229</f>
        <v>45950.475798611114</v>
      </c>
      <c r="S229">
        <f>セットアップレポート!R229</f>
        <v>0</v>
      </c>
      <c r="T229" t="str">
        <f>セットアップレポート!S229</f>
        <v>Yes</v>
      </c>
      <c r="U229">
        <f>セットアップレポート!T229</f>
        <v>0</v>
      </c>
      <c r="V229" t="str">
        <f>セットアップレポート!U229</f>
        <v>9000065077 100034</v>
      </c>
      <c r="W229">
        <f>セットアップレポート!V229</f>
        <v>0</v>
      </c>
      <c r="X229">
        <f>セットアップレポート!W229</f>
        <v>0</v>
      </c>
      <c r="Y229">
        <f>セットアップレポート!X229</f>
        <v>0</v>
      </c>
      <c r="Z229">
        <f>セットアップレポート!Y229</f>
        <v>0</v>
      </c>
      <c r="AA229">
        <f>セットアップレポート!Z229</f>
        <v>0</v>
      </c>
      <c r="AB229" t="str">
        <f>セットアップレポート!AA229</f>
        <v>NONE</v>
      </c>
      <c r="AC229">
        <f>セットアップレポート!AB229</f>
        <v>0</v>
      </c>
      <c r="AD229">
        <f>セットアップレポート!AC229</f>
        <v>0</v>
      </c>
      <c r="AE229">
        <f>セットアップレポート!AD229</f>
        <v>0</v>
      </c>
      <c r="AF229">
        <f>セットアップレポート!AE229</f>
        <v>0</v>
      </c>
      <c r="AG229">
        <f>セットアップレポート!AF229</f>
        <v>0</v>
      </c>
      <c r="AH229">
        <f>セットアップレポート!AG229</f>
        <v>0</v>
      </c>
    </row>
    <row r="230" spans="1:34" x14ac:dyDescent="0.45">
      <c r="A230" t="str">
        <f t="shared" si="3"/>
        <v>L2-NPM040018L666789</v>
      </c>
      <c r="B230" t="str">
        <f>セットアップレポート!A230</f>
        <v>Line-2</v>
      </c>
      <c r="C230" t="str">
        <f>セットアップレポート!B230</f>
        <v>L2-NPM04</v>
      </c>
      <c r="D230" t="str">
        <f>セットアップレポート!C230</f>
        <v>Zone-2-NPMW-4</v>
      </c>
      <c r="E230">
        <f>セットアップレポート!D230</f>
        <v>1</v>
      </c>
      <c r="F230">
        <f>セットアップレポート!E230</f>
        <v>1</v>
      </c>
      <c r="G230" t="str">
        <f>セットアップレポート!F230</f>
        <v>20018L</v>
      </c>
      <c r="H230">
        <f>セットアップレポート!G230</f>
        <v>18</v>
      </c>
      <c r="I230" t="str">
        <f>セットアップレポート!H230</f>
        <v>L</v>
      </c>
      <c r="J230" t="str">
        <f>セットアップレポート!I230</f>
        <v>666789 100738</v>
      </c>
      <c r="K230">
        <f>セットアップレポート!J230</f>
        <v>666789</v>
      </c>
      <c r="L230">
        <f>セットアップレポート!K230</f>
        <v>0</v>
      </c>
      <c r="M230">
        <f>セットアップレポート!L230</f>
        <v>0</v>
      </c>
      <c r="N230">
        <f>セットアップレポート!M230</f>
        <v>0</v>
      </c>
      <c r="O230">
        <f>セットアップレポート!N230</f>
        <v>0</v>
      </c>
      <c r="P230" t="str">
        <f>セットアップレポート!O230</f>
        <v>FA0220AFA654092</v>
      </c>
      <c r="Q230">
        <f>セットアップレポート!P230</f>
        <v>2000</v>
      </c>
      <c r="R230">
        <f>セットアップレポート!Q230</f>
        <v>45950.475798611114</v>
      </c>
      <c r="S230">
        <f>セットアップレポート!R230</f>
        <v>0</v>
      </c>
      <c r="T230">
        <f>セットアップレポート!S230</f>
        <v>0</v>
      </c>
      <c r="U230">
        <f>セットアップレポート!T230</f>
        <v>0</v>
      </c>
      <c r="V230">
        <f>セットアップレポート!U230</f>
        <v>0</v>
      </c>
      <c r="W230">
        <f>セットアップレポート!V230</f>
        <v>0</v>
      </c>
      <c r="X230">
        <f>セットアップレポート!W230</f>
        <v>0</v>
      </c>
      <c r="Y230">
        <f>セットアップレポート!X230</f>
        <v>0</v>
      </c>
      <c r="Z230">
        <f>セットアップレポート!Y230</f>
        <v>0</v>
      </c>
      <c r="AA230">
        <f>セットアップレポート!Z230</f>
        <v>0</v>
      </c>
      <c r="AB230" t="str">
        <f>セットアップレポート!AA230</f>
        <v>NONE</v>
      </c>
      <c r="AC230">
        <f>セットアップレポート!AB230</f>
        <v>0</v>
      </c>
      <c r="AD230">
        <f>セットアップレポート!AC230</f>
        <v>0</v>
      </c>
      <c r="AE230">
        <f>セットアップレポート!AD230</f>
        <v>0</v>
      </c>
      <c r="AF230">
        <f>セットアップレポート!AE230</f>
        <v>0</v>
      </c>
      <c r="AG230">
        <f>セットアップレポート!AF230</f>
        <v>0</v>
      </c>
      <c r="AH230">
        <f>セットアップレポート!AG230</f>
        <v>0</v>
      </c>
    </row>
    <row r="231" spans="1:34" x14ac:dyDescent="0.45">
      <c r="A231" t="str">
        <f t="shared" si="3"/>
        <v>L2-NPM040019L9000070702</v>
      </c>
      <c r="B231" t="str">
        <f>セットアップレポート!A231</f>
        <v>Line-2</v>
      </c>
      <c r="C231" t="str">
        <f>セットアップレポート!B231</f>
        <v>L2-NPM04</v>
      </c>
      <c r="D231" t="str">
        <f>セットアップレポート!C231</f>
        <v>Zone-2-NPMW-4</v>
      </c>
      <c r="E231">
        <f>セットアップレポート!D231</f>
        <v>1</v>
      </c>
      <c r="F231">
        <f>セットアップレポート!E231</f>
        <v>1</v>
      </c>
      <c r="G231" t="str">
        <f>セットアップレポート!F231</f>
        <v>20019L</v>
      </c>
      <c r="H231">
        <f>セットアップレポート!G231</f>
        <v>19</v>
      </c>
      <c r="I231" t="str">
        <f>セットアップレポート!H231</f>
        <v>L</v>
      </c>
      <c r="J231" t="str">
        <f>セットアップレポート!I231</f>
        <v>9000070702 100002</v>
      </c>
      <c r="K231">
        <f>セットアップレポート!J231</f>
        <v>9000070702</v>
      </c>
      <c r="L231">
        <f>セットアップレポート!K231</f>
        <v>0</v>
      </c>
      <c r="M231">
        <f>セットアップレポート!L231</f>
        <v>0</v>
      </c>
      <c r="N231">
        <f>セットアップレポート!M231</f>
        <v>0</v>
      </c>
      <c r="O231">
        <f>セットアップレポート!N231</f>
        <v>0</v>
      </c>
      <c r="P231" t="str">
        <f>セットアップレポート!O231</f>
        <v>FA0220ADF311653</v>
      </c>
      <c r="Q231">
        <f>セットアップレポート!P231</f>
        <v>4333</v>
      </c>
      <c r="R231">
        <f>セットアップレポート!Q231</f>
        <v>45950.475798611114</v>
      </c>
      <c r="S231">
        <f>セットアップレポート!R231</f>
        <v>0</v>
      </c>
      <c r="T231">
        <f>セットアップレポート!S231</f>
        <v>0</v>
      </c>
      <c r="U231">
        <f>セットアップレポート!T231</f>
        <v>0</v>
      </c>
      <c r="V231">
        <f>セットアップレポート!U231</f>
        <v>0</v>
      </c>
      <c r="W231">
        <f>セットアップレポート!V231</f>
        <v>0</v>
      </c>
      <c r="X231">
        <f>セットアップレポート!W231</f>
        <v>0</v>
      </c>
      <c r="Y231">
        <f>セットアップレポート!X231</f>
        <v>0</v>
      </c>
      <c r="Z231">
        <f>セットアップレポート!Y231</f>
        <v>0</v>
      </c>
      <c r="AA231">
        <f>セットアップレポート!Z231</f>
        <v>0</v>
      </c>
      <c r="AB231" t="str">
        <f>セットアップレポート!AA231</f>
        <v>NONE</v>
      </c>
      <c r="AC231">
        <f>セットアップレポート!AB231</f>
        <v>0</v>
      </c>
      <c r="AD231">
        <f>セットアップレポート!AC231</f>
        <v>0</v>
      </c>
      <c r="AE231">
        <f>セットアップレポート!AD231</f>
        <v>0</v>
      </c>
      <c r="AF231">
        <f>セットアップレポート!AE231</f>
        <v>0</v>
      </c>
      <c r="AG231">
        <f>セットアップレポート!AF231</f>
        <v>0</v>
      </c>
      <c r="AH231">
        <f>セットアップレポート!AG231</f>
        <v>0</v>
      </c>
    </row>
    <row r="232" spans="1:34" x14ac:dyDescent="0.45">
      <c r="A232" t="str">
        <f t="shared" si="3"/>
        <v>L2-NPM040020L9000048984</v>
      </c>
      <c r="B232" t="str">
        <f>セットアップレポート!A232</f>
        <v>Line-2</v>
      </c>
      <c r="C232" t="str">
        <f>セットアップレポート!B232</f>
        <v>L2-NPM04</v>
      </c>
      <c r="D232" t="str">
        <f>セットアップレポート!C232</f>
        <v>Zone-2-NPMW-4</v>
      </c>
      <c r="E232">
        <f>セットアップレポート!D232</f>
        <v>1</v>
      </c>
      <c r="F232">
        <f>セットアップレポート!E232</f>
        <v>1</v>
      </c>
      <c r="G232" t="str">
        <f>セットアップレポート!F232</f>
        <v>20020L</v>
      </c>
      <c r="H232">
        <f>セットアップレポート!G232</f>
        <v>20</v>
      </c>
      <c r="I232" t="str">
        <f>セットアップレポート!H232</f>
        <v>L</v>
      </c>
      <c r="J232" t="str">
        <f>セットアップレポート!I232</f>
        <v>9000048984 100031</v>
      </c>
      <c r="K232">
        <f>セットアップレポート!J232</f>
        <v>9000048984</v>
      </c>
      <c r="L232">
        <f>セットアップレポート!K232</f>
        <v>0</v>
      </c>
      <c r="M232">
        <f>セットアップレポート!L232</f>
        <v>0</v>
      </c>
      <c r="N232">
        <f>セットアップレポート!M232</f>
        <v>0</v>
      </c>
      <c r="O232">
        <f>セットアップレポート!N232</f>
        <v>0</v>
      </c>
      <c r="P232" t="str">
        <f>セットアップレポート!O232</f>
        <v>FA0220ADF311825</v>
      </c>
      <c r="Q232">
        <f>セットアップレポート!P232</f>
        <v>2500</v>
      </c>
      <c r="R232">
        <f>セットアップレポート!Q232</f>
        <v>45950.475798611114</v>
      </c>
      <c r="S232">
        <f>セットアップレポート!R232</f>
        <v>0</v>
      </c>
      <c r="T232" t="str">
        <f>セットアップレポート!S232</f>
        <v>Yes</v>
      </c>
      <c r="U232">
        <f>セットアップレポート!T232</f>
        <v>0</v>
      </c>
      <c r="V232" t="str">
        <f>セットアップレポート!U232</f>
        <v>9000048984 100029</v>
      </c>
      <c r="W232">
        <f>セットアップレポート!V232</f>
        <v>0</v>
      </c>
      <c r="X232">
        <f>セットアップレポート!W232</f>
        <v>0</v>
      </c>
      <c r="Y232">
        <f>セットアップレポート!X232</f>
        <v>0</v>
      </c>
      <c r="Z232">
        <f>セットアップレポート!Y232</f>
        <v>0</v>
      </c>
      <c r="AA232">
        <f>セットアップレポート!Z232</f>
        <v>0</v>
      </c>
      <c r="AB232" t="str">
        <f>セットアップレポート!AA232</f>
        <v>NONE</v>
      </c>
      <c r="AC232">
        <f>セットアップレポート!AB232</f>
        <v>0</v>
      </c>
      <c r="AD232">
        <f>セットアップレポート!AC232</f>
        <v>0</v>
      </c>
      <c r="AE232">
        <f>セットアップレポート!AD232</f>
        <v>0</v>
      </c>
      <c r="AF232">
        <f>セットアップレポート!AE232</f>
        <v>0</v>
      </c>
      <c r="AG232">
        <f>セットアップレポート!AF232</f>
        <v>0</v>
      </c>
      <c r="AH232">
        <f>セットアップレポート!AG232</f>
        <v>0</v>
      </c>
    </row>
    <row r="233" spans="1:34" x14ac:dyDescent="0.45">
      <c r="A233" t="str">
        <f t="shared" si="3"/>
        <v>L2-NPM040021L9000065930</v>
      </c>
      <c r="B233" t="str">
        <f>セットアップレポート!A233</f>
        <v>Line-2</v>
      </c>
      <c r="C233" t="str">
        <f>セットアップレポート!B233</f>
        <v>L2-NPM04</v>
      </c>
      <c r="D233" t="str">
        <f>セットアップレポート!C233</f>
        <v>Zone-2-NPMW-4</v>
      </c>
      <c r="E233">
        <f>セットアップレポート!D233</f>
        <v>1</v>
      </c>
      <c r="F233">
        <f>セットアップレポート!E233</f>
        <v>1</v>
      </c>
      <c r="G233" t="str">
        <f>セットアップレポート!F233</f>
        <v>20021L</v>
      </c>
      <c r="H233">
        <f>セットアップレポート!G233</f>
        <v>21</v>
      </c>
      <c r="I233" t="str">
        <f>セットアップレポート!H233</f>
        <v>L</v>
      </c>
      <c r="J233" t="str">
        <f>セットアップレポート!I233</f>
        <v>9000065930 100012</v>
      </c>
      <c r="K233">
        <f>セットアップレポート!J233</f>
        <v>9000065930</v>
      </c>
      <c r="L233">
        <f>セットアップレポート!K233</f>
        <v>0</v>
      </c>
      <c r="M233">
        <f>セットアップレポート!L233</f>
        <v>0</v>
      </c>
      <c r="N233">
        <f>セットアップレポート!M233</f>
        <v>0</v>
      </c>
      <c r="O233">
        <f>セットアップレポート!N233</f>
        <v>0</v>
      </c>
      <c r="P233" t="str">
        <f>セットアップレポート!O233</f>
        <v>FA0220AFA653987</v>
      </c>
      <c r="Q233">
        <f>セットアップレポート!P233</f>
        <v>2500</v>
      </c>
      <c r="R233">
        <f>セットアップレポート!Q233</f>
        <v>45950.475798611114</v>
      </c>
      <c r="S233">
        <f>セットアップレポート!R233</f>
        <v>0</v>
      </c>
      <c r="T233">
        <f>セットアップレポート!S233</f>
        <v>0</v>
      </c>
      <c r="U233">
        <f>セットアップレポート!T233</f>
        <v>0</v>
      </c>
      <c r="V233">
        <f>セットアップレポート!U233</f>
        <v>0</v>
      </c>
      <c r="W233">
        <f>セットアップレポート!V233</f>
        <v>0</v>
      </c>
      <c r="X233">
        <f>セットアップレポート!W233</f>
        <v>0</v>
      </c>
      <c r="Y233">
        <f>セットアップレポート!X233</f>
        <v>0</v>
      </c>
      <c r="Z233">
        <f>セットアップレポート!Y233</f>
        <v>0</v>
      </c>
      <c r="AA233">
        <f>セットアップレポート!Z233</f>
        <v>0</v>
      </c>
      <c r="AB233" t="str">
        <f>セットアップレポート!AA233</f>
        <v>NONE</v>
      </c>
      <c r="AC233">
        <f>セットアップレポート!AB233</f>
        <v>0</v>
      </c>
      <c r="AD233">
        <f>セットアップレポート!AC233</f>
        <v>0</v>
      </c>
      <c r="AE233">
        <f>セットアップレポート!AD233</f>
        <v>0</v>
      </c>
      <c r="AF233">
        <f>セットアップレポート!AE233</f>
        <v>0</v>
      </c>
      <c r="AG233">
        <f>セットアップレポート!AF233</f>
        <v>0</v>
      </c>
      <c r="AH233">
        <f>セットアップレポート!AG233</f>
        <v>0</v>
      </c>
    </row>
    <row r="234" spans="1:34" x14ac:dyDescent="0.45">
      <c r="A234" t="str">
        <f t="shared" si="3"/>
        <v>L2-NPM040022L9000069289</v>
      </c>
      <c r="B234" t="str">
        <f>セットアップレポート!A234</f>
        <v>Line-2</v>
      </c>
      <c r="C234" t="str">
        <f>セットアップレポート!B234</f>
        <v>L2-NPM04</v>
      </c>
      <c r="D234" t="str">
        <f>セットアップレポート!C234</f>
        <v>Zone-2-NPMW-4</v>
      </c>
      <c r="E234">
        <f>セットアップレポート!D234</f>
        <v>1</v>
      </c>
      <c r="F234">
        <f>セットアップレポート!E234</f>
        <v>1</v>
      </c>
      <c r="G234" t="str">
        <f>セットアップレポート!F234</f>
        <v>20022L</v>
      </c>
      <c r="H234">
        <f>セットアップレポート!G234</f>
        <v>22</v>
      </c>
      <c r="I234" t="str">
        <f>セットアップレポート!H234</f>
        <v>L</v>
      </c>
      <c r="J234" t="str">
        <f>セットアップレポート!I234</f>
        <v>9000069289 100007</v>
      </c>
      <c r="K234">
        <f>セットアップレポート!J234</f>
        <v>9000069289</v>
      </c>
      <c r="L234">
        <f>セットアップレポート!K234</f>
        <v>0</v>
      </c>
      <c r="M234">
        <f>セットアップレポート!L234</f>
        <v>0</v>
      </c>
      <c r="N234">
        <f>セットアップレポート!M234</f>
        <v>0</v>
      </c>
      <c r="O234">
        <f>セットアップレポート!N234</f>
        <v>0</v>
      </c>
      <c r="P234" t="str">
        <f>セットアップレポート!O234</f>
        <v>FA0220AFA654291</v>
      </c>
      <c r="Q234">
        <f>セットアップレポート!P234</f>
        <v>1000</v>
      </c>
      <c r="R234">
        <f>セットアップレポート!Q234</f>
        <v>45950.475798611114</v>
      </c>
      <c r="S234">
        <f>セットアップレポート!R234</f>
        <v>0</v>
      </c>
      <c r="T234">
        <f>セットアップレポート!S234</f>
        <v>0</v>
      </c>
      <c r="U234">
        <f>セットアップレポート!T234</f>
        <v>0</v>
      </c>
      <c r="V234">
        <f>セットアップレポート!U234</f>
        <v>0</v>
      </c>
      <c r="W234">
        <f>セットアップレポート!V234</f>
        <v>0</v>
      </c>
      <c r="X234">
        <f>セットアップレポート!W234</f>
        <v>0</v>
      </c>
      <c r="Y234">
        <f>セットアップレポート!X234</f>
        <v>0</v>
      </c>
      <c r="Z234">
        <f>セットアップレポート!Y234</f>
        <v>0</v>
      </c>
      <c r="AA234">
        <f>セットアップレポート!Z234</f>
        <v>0</v>
      </c>
      <c r="AB234" t="str">
        <f>セットアップレポート!AA234</f>
        <v>NONE</v>
      </c>
      <c r="AC234">
        <f>セットアップレポート!AB234</f>
        <v>0</v>
      </c>
      <c r="AD234">
        <f>セットアップレポート!AC234</f>
        <v>0</v>
      </c>
      <c r="AE234">
        <f>セットアップレポート!AD234</f>
        <v>0</v>
      </c>
      <c r="AF234">
        <f>セットアップレポート!AE234</f>
        <v>0</v>
      </c>
      <c r="AG234">
        <f>セットアップレポート!AF234</f>
        <v>0</v>
      </c>
      <c r="AH234">
        <f>セットアップレポート!AG234</f>
        <v>0</v>
      </c>
    </row>
    <row r="235" spans="1:34" x14ac:dyDescent="0.45">
      <c r="A235" t="str">
        <f t="shared" si="3"/>
        <v>L2-NPM040023L9000063424</v>
      </c>
      <c r="B235" t="str">
        <f>セットアップレポート!A235</f>
        <v>Line-2</v>
      </c>
      <c r="C235" t="str">
        <f>セットアップレポート!B235</f>
        <v>L2-NPM04</v>
      </c>
      <c r="D235" t="str">
        <f>セットアップレポート!C235</f>
        <v>Zone-2-NPMW-4</v>
      </c>
      <c r="E235">
        <f>セットアップレポート!D235</f>
        <v>1</v>
      </c>
      <c r="F235">
        <f>セットアップレポート!E235</f>
        <v>1</v>
      </c>
      <c r="G235" t="str">
        <f>セットアップレポート!F235</f>
        <v>20023L</v>
      </c>
      <c r="H235">
        <f>セットアップレポート!G235</f>
        <v>23</v>
      </c>
      <c r="I235" t="str">
        <f>セットアップレポート!H235</f>
        <v>L</v>
      </c>
      <c r="J235" t="str">
        <f>セットアップレポート!I235</f>
        <v>9000063424 100045</v>
      </c>
      <c r="K235">
        <f>セットアップレポート!J235</f>
        <v>9000063424</v>
      </c>
      <c r="L235">
        <f>セットアップレポート!K235</f>
        <v>0</v>
      </c>
      <c r="M235">
        <f>セットアップレポート!L235</f>
        <v>0</v>
      </c>
      <c r="N235">
        <f>セットアップレポート!M235</f>
        <v>0</v>
      </c>
      <c r="O235">
        <f>セットアップレポート!N235</f>
        <v>0</v>
      </c>
      <c r="P235" t="str">
        <f>セットアップレポート!O235</f>
        <v>FA0220AFA654270</v>
      </c>
      <c r="Q235">
        <f>セットアップレポート!P235</f>
        <v>2500</v>
      </c>
      <c r="R235">
        <f>セットアップレポート!Q235</f>
        <v>45932.59679398148</v>
      </c>
      <c r="S235">
        <f>セットアップレポート!R235</f>
        <v>0</v>
      </c>
      <c r="T235" t="str">
        <f>セットアップレポート!S235</f>
        <v>Yes</v>
      </c>
      <c r="U235">
        <f>セットアップレポート!T235</f>
        <v>0</v>
      </c>
      <c r="V235" t="str">
        <f>セットアップレポート!U235</f>
        <v>9000063424 100046</v>
      </c>
      <c r="W235">
        <f>セットアップレポート!V235</f>
        <v>0</v>
      </c>
      <c r="X235">
        <f>セットアップレポート!W235</f>
        <v>0</v>
      </c>
      <c r="Y235">
        <f>セットアップレポート!X235</f>
        <v>0</v>
      </c>
      <c r="Z235">
        <f>セットアップレポート!Y235</f>
        <v>0</v>
      </c>
      <c r="AA235">
        <f>セットアップレポート!Z235</f>
        <v>0</v>
      </c>
      <c r="AB235" t="str">
        <f>セットアップレポート!AA235</f>
        <v>NONE</v>
      </c>
      <c r="AC235">
        <f>セットアップレポート!AB235</f>
        <v>0</v>
      </c>
      <c r="AD235">
        <f>セットアップレポート!AC235</f>
        <v>0</v>
      </c>
      <c r="AE235">
        <f>セットアップレポート!AD235</f>
        <v>0</v>
      </c>
      <c r="AF235">
        <f>セットアップレポート!AE235</f>
        <v>0</v>
      </c>
      <c r="AG235">
        <f>セットアップレポート!AF235</f>
        <v>0</v>
      </c>
      <c r="AH235">
        <f>セットアップレポート!AG235</f>
        <v>0</v>
      </c>
    </row>
    <row r="236" spans="1:34" x14ac:dyDescent="0.45">
      <c r="A236" t="str">
        <f t="shared" si="3"/>
        <v>L2-NPM040024L9000051846</v>
      </c>
      <c r="B236" t="str">
        <f>セットアップレポート!A236</f>
        <v>Line-2</v>
      </c>
      <c r="C236" t="str">
        <f>セットアップレポート!B236</f>
        <v>L2-NPM04</v>
      </c>
      <c r="D236" t="str">
        <f>セットアップレポート!C236</f>
        <v>Zone-2-NPMW-4</v>
      </c>
      <c r="E236">
        <f>セットアップレポート!D236</f>
        <v>1</v>
      </c>
      <c r="F236">
        <f>セットアップレポート!E236</f>
        <v>1</v>
      </c>
      <c r="G236" t="str">
        <f>セットアップレポート!F236</f>
        <v>20024L</v>
      </c>
      <c r="H236">
        <f>セットアップレポート!G236</f>
        <v>24</v>
      </c>
      <c r="I236" t="str">
        <f>セットアップレポート!H236</f>
        <v>L</v>
      </c>
      <c r="J236" t="str">
        <f>セットアップレポート!I236</f>
        <v>9000051846 100471</v>
      </c>
      <c r="K236">
        <f>セットアップレポート!J236</f>
        <v>9000051846</v>
      </c>
      <c r="L236">
        <f>セットアップレポート!K236</f>
        <v>0</v>
      </c>
      <c r="M236">
        <f>セットアップレポート!L236</f>
        <v>0</v>
      </c>
      <c r="N236">
        <f>セットアップレポート!M236</f>
        <v>0</v>
      </c>
      <c r="O236">
        <f>セットアップレポート!N236</f>
        <v>0</v>
      </c>
      <c r="P236" t="str">
        <f>セットアップレポート!O236</f>
        <v>FA0220ADF311865</v>
      </c>
      <c r="Q236">
        <f>セットアップレポート!P236</f>
        <v>2500</v>
      </c>
      <c r="R236">
        <f>セットアップレポート!Q236</f>
        <v>45950.475798611114</v>
      </c>
      <c r="S236">
        <f>セットアップレポート!R236</f>
        <v>0</v>
      </c>
      <c r="T236">
        <f>セットアップレポート!S236</f>
        <v>0</v>
      </c>
      <c r="U236">
        <f>セットアップレポート!T236</f>
        <v>0</v>
      </c>
      <c r="V236">
        <f>セットアップレポート!U236</f>
        <v>0</v>
      </c>
      <c r="W236">
        <f>セットアップレポート!V236</f>
        <v>0</v>
      </c>
      <c r="X236">
        <f>セットアップレポート!W236</f>
        <v>0</v>
      </c>
      <c r="Y236">
        <f>セットアップレポート!X236</f>
        <v>0</v>
      </c>
      <c r="Z236">
        <f>セットアップレポート!Y236</f>
        <v>0</v>
      </c>
      <c r="AA236">
        <f>セットアップレポート!Z236</f>
        <v>0</v>
      </c>
      <c r="AB236" t="str">
        <f>セットアップレポート!AA236</f>
        <v>NONE</v>
      </c>
      <c r="AC236">
        <f>セットアップレポート!AB236</f>
        <v>0</v>
      </c>
      <c r="AD236">
        <f>セットアップレポート!AC236</f>
        <v>0</v>
      </c>
      <c r="AE236">
        <f>セットアップレポート!AD236</f>
        <v>0</v>
      </c>
      <c r="AF236">
        <f>セットアップレポート!AE236</f>
        <v>0</v>
      </c>
      <c r="AG236">
        <f>セットアップレポート!AF236</f>
        <v>0</v>
      </c>
      <c r="AH236">
        <f>セットアップレポート!AG236</f>
        <v>0</v>
      </c>
    </row>
    <row r="237" spans="1:34" x14ac:dyDescent="0.45">
      <c r="A237" t="str">
        <f t="shared" si="3"/>
        <v>L2-NPM040025L9000066589</v>
      </c>
      <c r="B237" t="str">
        <f>セットアップレポート!A237</f>
        <v>Line-2</v>
      </c>
      <c r="C237" t="str">
        <f>セットアップレポート!B237</f>
        <v>L2-NPM04</v>
      </c>
      <c r="D237" t="str">
        <f>セットアップレポート!C237</f>
        <v>Zone-2-NPMW-4</v>
      </c>
      <c r="E237">
        <f>セットアップレポート!D237</f>
        <v>1</v>
      </c>
      <c r="F237">
        <f>セットアップレポート!E237</f>
        <v>1</v>
      </c>
      <c r="G237" t="str">
        <f>セットアップレポート!F237</f>
        <v>20025L</v>
      </c>
      <c r="H237">
        <f>セットアップレポート!G237</f>
        <v>25</v>
      </c>
      <c r="I237" t="str">
        <f>セットアップレポート!H237</f>
        <v>L</v>
      </c>
      <c r="J237" t="str">
        <f>セットアップレポート!I237</f>
        <v>9000066589 100014</v>
      </c>
      <c r="K237">
        <f>セットアップレポート!J237</f>
        <v>9000066589</v>
      </c>
      <c r="L237">
        <f>セットアップレポート!K237</f>
        <v>0</v>
      </c>
      <c r="M237">
        <f>セットアップレポート!L237</f>
        <v>0</v>
      </c>
      <c r="N237">
        <f>セットアップレポート!M237</f>
        <v>0</v>
      </c>
      <c r="O237">
        <f>セットアップレポート!N237</f>
        <v>0</v>
      </c>
      <c r="P237" t="str">
        <f>セットアップレポート!O237</f>
        <v>FA0201ABD000372</v>
      </c>
      <c r="Q237">
        <f>セットアップレポート!P237</f>
        <v>10000</v>
      </c>
      <c r="R237">
        <f>セットアップレポート!Q237</f>
        <v>45950.475798611114</v>
      </c>
      <c r="S237">
        <f>セットアップレポート!R237</f>
        <v>0</v>
      </c>
      <c r="T237">
        <f>セットアップレポート!S237</f>
        <v>0</v>
      </c>
      <c r="U237">
        <f>セットアップレポート!T237</f>
        <v>0</v>
      </c>
      <c r="V237">
        <f>セットアップレポート!U237</f>
        <v>0</v>
      </c>
      <c r="W237">
        <f>セットアップレポート!V237</f>
        <v>0</v>
      </c>
      <c r="X237">
        <f>セットアップレポート!W237</f>
        <v>0</v>
      </c>
      <c r="Y237">
        <f>セットアップレポート!X237</f>
        <v>0</v>
      </c>
      <c r="Z237">
        <f>セットアップレポート!Y237</f>
        <v>0</v>
      </c>
      <c r="AA237">
        <f>セットアップレポート!Z237</f>
        <v>0</v>
      </c>
      <c r="AB237" t="str">
        <f>セットアップレポート!AA237</f>
        <v>NONE</v>
      </c>
      <c r="AC237">
        <f>セットアップレポート!AB237</f>
        <v>0</v>
      </c>
      <c r="AD237">
        <f>セットアップレポート!AC237</f>
        <v>0</v>
      </c>
      <c r="AE237">
        <f>セットアップレポート!AD237</f>
        <v>0</v>
      </c>
      <c r="AF237">
        <f>セットアップレポート!AE237</f>
        <v>0</v>
      </c>
      <c r="AG237">
        <f>セットアップレポート!AF237</f>
        <v>0</v>
      </c>
      <c r="AH237">
        <f>セットアップレポート!AG237</f>
        <v>0</v>
      </c>
    </row>
    <row r="238" spans="1:34" x14ac:dyDescent="0.45">
      <c r="A238" t="str">
        <f t="shared" si="3"/>
        <v>L2-NPM040030L667458A</v>
      </c>
      <c r="B238" t="str">
        <f>セットアップレポート!A238</f>
        <v>Line-2</v>
      </c>
      <c r="C238" t="str">
        <f>セットアップレポート!B238</f>
        <v>L2-NPM04</v>
      </c>
      <c r="D238" t="str">
        <f>セットアップレポート!C238</f>
        <v>Zone-2-NPMW-4</v>
      </c>
      <c r="E238">
        <f>セットアップレポート!D238</f>
        <v>1</v>
      </c>
      <c r="F238">
        <f>セットアップレポート!E238</f>
        <v>1</v>
      </c>
      <c r="G238" t="str">
        <f>セットアップレポート!F238</f>
        <v>10030L</v>
      </c>
      <c r="H238">
        <f>セットアップレポート!G238</f>
        <v>30</v>
      </c>
      <c r="I238" t="str">
        <f>セットアップレポート!H238</f>
        <v>L</v>
      </c>
      <c r="J238" t="str">
        <f>セットアップレポート!I238</f>
        <v>667458A100073</v>
      </c>
      <c r="K238" t="str">
        <f>セットアップレポート!J238</f>
        <v>667458A</v>
      </c>
      <c r="L238">
        <f>セットアップレポート!K238</f>
        <v>0</v>
      </c>
      <c r="M238">
        <f>セットアップレポート!L238</f>
        <v>0</v>
      </c>
      <c r="N238">
        <f>セットアップレポート!M238</f>
        <v>0</v>
      </c>
      <c r="O238">
        <f>セットアップレポート!N238</f>
        <v>0</v>
      </c>
      <c r="P238" t="str">
        <f>セットアップレポート!O238</f>
        <v>FA0201ACD050237</v>
      </c>
      <c r="Q238">
        <f>セットアップレポート!P238</f>
        <v>5000</v>
      </c>
      <c r="R238">
        <f>セットアップレポート!Q238</f>
        <v>45933.563009259262</v>
      </c>
      <c r="S238">
        <f>セットアップレポート!R238</f>
        <v>0</v>
      </c>
      <c r="T238">
        <f>セットアップレポート!S238</f>
        <v>0</v>
      </c>
      <c r="U238">
        <f>セットアップレポート!T238</f>
        <v>0</v>
      </c>
      <c r="V238">
        <f>セットアップレポート!U238</f>
        <v>0</v>
      </c>
      <c r="W238">
        <f>セットアップレポート!V238</f>
        <v>0</v>
      </c>
      <c r="X238">
        <f>セットアップレポート!W238</f>
        <v>0</v>
      </c>
      <c r="Y238">
        <f>セットアップレポート!X238</f>
        <v>0</v>
      </c>
      <c r="Z238">
        <f>セットアップレポート!Y238</f>
        <v>0</v>
      </c>
      <c r="AA238">
        <f>セットアップレポート!Z238</f>
        <v>0</v>
      </c>
      <c r="AB238" t="str">
        <f>セットアップレポート!AA238</f>
        <v>NONE</v>
      </c>
      <c r="AC238">
        <f>セットアップレポート!AB238</f>
        <v>0</v>
      </c>
      <c r="AD238">
        <f>セットアップレポート!AC238</f>
        <v>0</v>
      </c>
      <c r="AE238">
        <f>セットアップレポート!AD238</f>
        <v>0</v>
      </c>
      <c r="AF238">
        <f>セットアップレポート!AE238</f>
        <v>0</v>
      </c>
      <c r="AG238">
        <f>セットアップレポート!AF238</f>
        <v>0</v>
      </c>
      <c r="AH238">
        <f>セットアップレポート!AG238</f>
        <v>0</v>
      </c>
    </row>
    <row r="239" spans="1:34" x14ac:dyDescent="0.45">
      <c r="A239" t="str">
        <f t="shared" si="3"/>
        <v>L2-NPM040026L9000044462</v>
      </c>
      <c r="B239" t="str">
        <f>セットアップレポート!A239</f>
        <v>Line-2</v>
      </c>
      <c r="C239" t="str">
        <f>セットアップレポート!B239</f>
        <v>L2-NPM04</v>
      </c>
      <c r="D239" t="str">
        <f>セットアップレポート!C239</f>
        <v>Zone-2-NPMW-4</v>
      </c>
      <c r="E239">
        <f>セットアップレポート!D239</f>
        <v>1</v>
      </c>
      <c r="F239">
        <f>セットアップレポート!E239</f>
        <v>1</v>
      </c>
      <c r="G239" t="str">
        <f>セットアップレポート!F239</f>
        <v>20026L</v>
      </c>
      <c r="H239">
        <f>セットアップレポート!G239</f>
        <v>26</v>
      </c>
      <c r="I239" t="str">
        <f>セットアップレポート!H239</f>
        <v>L</v>
      </c>
      <c r="J239" t="str">
        <f>セットアップレポート!I239</f>
        <v>9000044462 100018</v>
      </c>
      <c r="K239">
        <f>セットアップレポート!J239</f>
        <v>9000044462</v>
      </c>
      <c r="L239">
        <f>セットアップレポート!K239</f>
        <v>0</v>
      </c>
      <c r="M239">
        <f>セットアップレポート!L239</f>
        <v>0</v>
      </c>
      <c r="N239">
        <f>セットアップレポート!M239</f>
        <v>0</v>
      </c>
      <c r="O239">
        <f>セットアップレポート!N239</f>
        <v>0</v>
      </c>
      <c r="P239" t="str">
        <f>セットアップレポート!O239</f>
        <v>FA0201ABD000425</v>
      </c>
      <c r="Q239">
        <f>セットアップレポート!P239</f>
        <v>10000</v>
      </c>
      <c r="R239">
        <f>セットアップレポート!Q239</f>
        <v>45950.707766203705</v>
      </c>
      <c r="S239" t="str">
        <f>セットアップレポート!R239</f>
        <v>OP</v>
      </c>
      <c r="T239">
        <f>セットアップレポート!S239</f>
        <v>0</v>
      </c>
      <c r="U239">
        <f>セットアップレポート!T239</f>
        <v>0</v>
      </c>
      <c r="V239">
        <f>セットアップレポート!U239</f>
        <v>0</v>
      </c>
      <c r="W239">
        <f>セットアップレポート!V239</f>
        <v>0</v>
      </c>
      <c r="X239">
        <f>セットアップレポート!W239</f>
        <v>0</v>
      </c>
      <c r="Y239">
        <f>セットアップレポート!X239</f>
        <v>0</v>
      </c>
      <c r="Z239">
        <f>セットアップレポート!Y239</f>
        <v>0</v>
      </c>
      <c r="AA239">
        <f>セットアップレポート!Z239</f>
        <v>0</v>
      </c>
      <c r="AB239" t="str">
        <f>セットアップレポート!AA239</f>
        <v>NONE</v>
      </c>
      <c r="AC239">
        <f>セットアップレポート!AB239</f>
        <v>0</v>
      </c>
      <c r="AD239">
        <f>セットアップレポート!AC239</f>
        <v>0</v>
      </c>
      <c r="AE239">
        <f>セットアップレポート!AD239</f>
        <v>0</v>
      </c>
      <c r="AF239">
        <f>セットアップレポート!AE239</f>
        <v>0</v>
      </c>
      <c r="AG239">
        <f>セットアップレポート!AF239</f>
        <v>0</v>
      </c>
      <c r="AH239">
        <f>セットアップレポート!AG239</f>
        <v>0</v>
      </c>
    </row>
    <row r="240" spans="1:34" x14ac:dyDescent="0.45">
      <c r="A240" t="str">
        <f t="shared" si="3"/>
        <v>L2-NPM040027L9000008002</v>
      </c>
      <c r="B240" t="str">
        <f>セットアップレポート!A240</f>
        <v>Line-2</v>
      </c>
      <c r="C240" t="str">
        <f>セットアップレポート!B240</f>
        <v>L2-NPM04</v>
      </c>
      <c r="D240" t="str">
        <f>セットアップレポート!C240</f>
        <v>Zone-2-NPMW-4</v>
      </c>
      <c r="E240">
        <f>セットアップレポート!D240</f>
        <v>1</v>
      </c>
      <c r="F240">
        <f>セットアップレポート!E240</f>
        <v>1</v>
      </c>
      <c r="G240" t="str">
        <f>セットアップレポート!F240</f>
        <v>20027L</v>
      </c>
      <c r="H240">
        <f>セットアップレポート!G240</f>
        <v>27</v>
      </c>
      <c r="I240" t="str">
        <f>セットアップレポート!H240</f>
        <v>L</v>
      </c>
      <c r="J240" t="str">
        <f>セットアップレポート!I240</f>
        <v>9000008002 100072</v>
      </c>
      <c r="K240">
        <f>セットアップレポート!J240</f>
        <v>9000008002</v>
      </c>
      <c r="L240">
        <f>セットアップレポート!K240</f>
        <v>0</v>
      </c>
      <c r="M240">
        <f>セットアップレポート!L240</f>
        <v>0</v>
      </c>
      <c r="N240">
        <f>セットアップレポート!M240</f>
        <v>0</v>
      </c>
      <c r="O240">
        <f>セットアップレポート!N240</f>
        <v>0</v>
      </c>
      <c r="P240" t="str">
        <f>セットアップレポート!O240</f>
        <v>FA0201ABD000696</v>
      </c>
      <c r="Q240">
        <f>セットアップレポート!P240</f>
        <v>10000</v>
      </c>
      <c r="R240">
        <f>セットアップレポート!Q240</f>
        <v>45950.475810185184</v>
      </c>
      <c r="S240">
        <f>セットアップレポート!R240</f>
        <v>0</v>
      </c>
      <c r="T240">
        <f>セットアップレポート!S240</f>
        <v>0</v>
      </c>
      <c r="U240">
        <f>セットアップレポート!T240</f>
        <v>0</v>
      </c>
      <c r="V240">
        <f>セットアップレポート!U240</f>
        <v>0</v>
      </c>
      <c r="W240">
        <f>セットアップレポート!V240</f>
        <v>0</v>
      </c>
      <c r="X240">
        <f>セットアップレポート!W240</f>
        <v>0</v>
      </c>
      <c r="Y240">
        <f>セットアップレポート!X240</f>
        <v>0</v>
      </c>
      <c r="Z240">
        <f>セットアップレポート!Y240</f>
        <v>0</v>
      </c>
      <c r="AA240">
        <f>セットアップレポート!Z240</f>
        <v>0</v>
      </c>
      <c r="AB240" t="str">
        <f>セットアップレポート!AA240</f>
        <v>NONE</v>
      </c>
      <c r="AC240">
        <f>セットアップレポート!AB240</f>
        <v>0</v>
      </c>
      <c r="AD240">
        <f>セットアップレポート!AC240</f>
        <v>0</v>
      </c>
      <c r="AE240">
        <f>セットアップレポート!AD240</f>
        <v>0</v>
      </c>
      <c r="AF240">
        <f>セットアップレポート!AE240</f>
        <v>0</v>
      </c>
      <c r="AG240">
        <f>セットアップレポート!AF240</f>
        <v>0</v>
      </c>
      <c r="AH240">
        <f>セットアップレポート!AG240</f>
        <v>0</v>
      </c>
    </row>
    <row r="241" spans="1:34" x14ac:dyDescent="0.45">
      <c r="A241" t="str">
        <f t="shared" si="3"/>
        <v>L2-NPM040028L9000068529</v>
      </c>
      <c r="B241" t="str">
        <f>セットアップレポート!A241</f>
        <v>Line-2</v>
      </c>
      <c r="C241" t="str">
        <f>セットアップレポート!B241</f>
        <v>L2-NPM04</v>
      </c>
      <c r="D241" t="str">
        <f>セットアップレポート!C241</f>
        <v>Zone-2-NPMW-4</v>
      </c>
      <c r="E241">
        <f>セットアップレポート!D241</f>
        <v>1</v>
      </c>
      <c r="F241">
        <f>セットアップレポート!E241</f>
        <v>1</v>
      </c>
      <c r="G241" t="str">
        <f>セットアップレポート!F241</f>
        <v>20028L</v>
      </c>
      <c r="H241">
        <f>セットアップレポート!G241</f>
        <v>28</v>
      </c>
      <c r="I241" t="str">
        <f>セットアップレポート!H241</f>
        <v>L</v>
      </c>
      <c r="J241" t="str">
        <f>セットアップレポート!I241</f>
        <v>9000068529 100003</v>
      </c>
      <c r="K241">
        <f>セットアップレポート!J241</f>
        <v>9000068529</v>
      </c>
      <c r="L241">
        <f>セットアップレポート!K241</f>
        <v>0</v>
      </c>
      <c r="M241">
        <f>セットアップレポート!L241</f>
        <v>0</v>
      </c>
      <c r="N241">
        <f>セットアップレポート!M241</f>
        <v>0</v>
      </c>
      <c r="O241">
        <f>セットアップレポート!N241</f>
        <v>0</v>
      </c>
      <c r="P241" t="str">
        <f>セットアップレポート!O241</f>
        <v>FA0201ABD000621</v>
      </c>
      <c r="Q241">
        <f>セットアップレポート!P241</f>
        <v>10000</v>
      </c>
      <c r="R241">
        <f>セットアップレポート!Q241</f>
        <v>45950.475810185184</v>
      </c>
      <c r="S241">
        <f>セットアップレポート!R241</f>
        <v>0</v>
      </c>
      <c r="T241">
        <f>セットアップレポート!S241</f>
        <v>0</v>
      </c>
      <c r="U241">
        <f>セットアップレポート!T241</f>
        <v>0</v>
      </c>
      <c r="V241">
        <f>セットアップレポート!U241</f>
        <v>0</v>
      </c>
      <c r="W241">
        <f>セットアップレポート!V241</f>
        <v>0</v>
      </c>
      <c r="X241">
        <f>セットアップレポート!W241</f>
        <v>0</v>
      </c>
      <c r="Y241">
        <f>セットアップレポート!X241</f>
        <v>0</v>
      </c>
      <c r="Z241">
        <f>セットアップレポート!Y241</f>
        <v>0</v>
      </c>
      <c r="AA241">
        <f>セットアップレポート!Z241</f>
        <v>0</v>
      </c>
      <c r="AB241" t="str">
        <f>セットアップレポート!AA241</f>
        <v>NONE</v>
      </c>
      <c r="AC241">
        <f>セットアップレポート!AB241</f>
        <v>0</v>
      </c>
      <c r="AD241">
        <f>セットアップレポート!AC241</f>
        <v>0</v>
      </c>
      <c r="AE241">
        <f>セットアップレポート!AD241</f>
        <v>0</v>
      </c>
      <c r="AF241">
        <f>セットアップレポート!AE241</f>
        <v>0</v>
      </c>
      <c r="AG241">
        <f>セットアップレポート!AF241</f>
        <v>0</v>
      </c>
      <c r="AH241">
        <f>セットアップレポート!AG241</f>
        <v>0</v>
      </c>
    </row>
    <row r="242" spans="1:34" x14ac:dyDescent="0.45">
      <c r="A242" t="str">
        <f t="shared" si="3"/>
        <v>L2-NPM040029L667743</v>
      </c>
      <c r="B242" t="str">
        <f>セットアップレポート!A242</f>
        <v>Line-2</v>
      </c>
      <c r="C242" t="str">
        <f>セットアップレポート!B242</f>
        <v>L2-NPM04</v>
      </c>
      <c r="D242" t="str">
        <f>セットアップレポート!C242</f>
        <v>Zone-2-NPMW-4</v>
      </c>
      <c r="E242">
        <f>セットアップレポート!D242</f>
        <v>1</v>
      </c>
      <c r="F242">
        <f>セットアップレポート!E242</f>
        <v>1</v>
      </c>
      <c r="G242" t="str">
        <f>セットアップレポート!F242</f>
        <v>20029L</v>
      </c>
      <c r="H242">
        <f>セットアップレポート!G242</f>
        <v>29</v>
      </c>
      <c r="I242" t="str">
        <f>セットアップレポート!H242</f>
        <v>L</v>
      </c>
      <c r="J242" t="str">
        <f>セットアップレポート!I242</f>
        <v>667743 100319</v>
      </c>
      <c r="K242">
        <f>セットアップレポート!J242</f>
        <v>667743</v>
      </c>
      <c r="L242">
        <f>セットアップレポート!K242</f>
        <v>0</v>
      </c>
      <c r="M242">
        <f>セットアップレポート!L242</f>
        <v>0</v>
      </c>
      <c r="N242">
        <f>セットアップレポート!M242</f>
        <v>0</v>
      </c>
      <c r="O242">
        <f>セットアップレポート!N242</f>
        <v>0</v>
      </c>
      <c r="P242" t="str">
        <f>セットアップレポート!O242</f>
        <v>FA0201ABD000480</v>
      </c>
      <c r="Q242">
        <f>セットアップレポート!P242</f>
        <v>10000</v>
      </c>
      <c r="R242">
        <f>セットアップレポート!Q242</f>
        <v>45950.475810185184</v>
      </c>
      <c r="S242">
        <f>セットアップレポート!R242</f>
        <v>0</v>
      </c>
      <c r="T242">
        <f>セットアップレポート!S242</f>
        <v>0</v>
      </c>
      <c r="U242">
        <f>セットアップレポート!T242</f>
        <v>0</v>
      </c>
      <c r="V242">
        <f>セットアップレポート!U242</f>
        <v>0</v>
      </c>
      <c r="W242">
        <f>セットアップレポート!V242</f>
        <v>0</v>
      </c>
      <c r="X242">
        <f>セットアップレポート!W242</f>
        <v>0</v>
      </c>
      <c r="Y242">
        <f>セットアップレポート!X242</f>
        <v>0</v>
      </c>
      <c r="Z242">
        <f>セットアップレポート!Y242</f>
        <v>0</v>
      </c>
      <c r="AA242">
        <f>セットアップレポート!Z242</f>
        <v>0</v>
      </c>
      <c r="AB242" t="str">
        <f>セットアップレポート!AA242</f>
        <v>NONE</v>
      </c>
      <c r="AC242">
        <f>セットアップレポート!AB242</f>
        <v>0</v>
      </c>
      <c r="AD242">
        <f>セットアップレポート!AC242</f>
        <v>0</v>
      </c>
      <c r="AE242">
        <f>セットアップレポート!AD242</f>
        <v>0</v>
      </c>
      <c r="AF242">
        <f>セットアップレポート!AE242</f>
        <v>0</v>
      </c>
      <c r="AG242">
        <f>セットアップレポート!AF242</f>
        <v>0</v>
      </c>
      <c r="AH242">
        <f>セットアップレポート!AG242</f>
        <v>0</v>
      </c>
    </row>
    <row r="243" spans="1:34" x14ac:dyDescent="0.45">
      <c r="A243" t="str">
        <f t="shared" si="3"/>
        <v>L2-NPM040030L9000043908</v>
      </c>
      <c r="B243" t="str">
        <f>セットアップレポート!A243</f>
        <v>Line-2</v>
      </c>
      <c r="C243" t="str">
        <f>セットアップレポート!B243</f>
        <v>L2-NPM04</v>
      </c>
      <c r="D243" t="str">
        <f>セットアップレポート!C243</f>
        <v>Zone-2-NPMW-4</v>
      </c>
      <c r="E243">
        <f>セットアップレポート!D243</f>
        <v>1</v>
      </c>
      <c r="F243">
        <f>セットアップレポート!E243</f>
        <v>1</v>
      </c>
      <c r="G243" t="str">
        <f>セットアップレポート!F243</f>
        <v>20030L</v>
      </c>
      <c r="H243">
        <f>セットアップレポート!G243</f>
        <v>30</v>
      </c>
      <c r="I243" t="str">
        <f>セットアップレポート!H243</f>
        <v>L</v>
      </c>
      <c r="J243" t="str">
        <f>セットアップレポート!I243</f>
        <v>9000043908 100062</v>
      </c>
      <c r="K243">
        <f>セットアップレポート!J243</f>
        <v>9000043908</v>
      </c>
      <c r="L243">
        <f>セットアップレポート!K243</f>
        <v>0</v>
      </c>
      <c r="M243">
        <f>セットアップレポート!L243</f>
        <v>0</v>
      </c>
      <c r="N243">
        <f>セットアップレポート!M243</f>
        <v>0</v>
      </c>
      <c r="O243">
        <f>セットアップレポート!N243</f>
        <v>0</v>
      </c>
      <c r="P243" t="str">
        <f>セットアップレポート!O243</f>
        <v>FA0201ACD051090</v>
      </c>
      <c r="Q243">
        <f>セットアップレポート!P243</f>
        <v>2000</v>
      </c>
      <c r="R243">
        <f>セットアップレポート!Q243</f>
        <v>45950.475810185184</v>
      </c>
      <c r="S243">
        <f>セットアップレポート!R243</f>
        <v>0</v>
      </c>
      <c r="T243" t="str">
        <f>セットアップレポート!S243</f>
        <v>Yes</v>
      </c>
      <c r="U243">
        <f>セットアップレポート!T243</f>
        <v>0</v>
      </c>
      <c r="V243" t="str">
        <f>セットアップレポート!U243</f>
        <v>9000043908 100056</v>
      </c>
      <c r="W243">
        <f>セットアップレポート!V243</f>
        <v>0</v>
      </c>
      <c r="X243">
        <f>セットアップレポート!W243</f>
        <v>0</v>
      </c>
      <c r="Y243">
        <f>セットアップレポート!X243</f>
        <v>0</v>
      </c>
      <c r="Z243">
        <f>セットアップレポート!Y243</f>
        <v>0</v>
      </c>
      <c r="AA243">
        <f>セットアップレポート!Z243</f>
        <v>0</v>
      </c>
      <c r="AB243" t="str">
        <f>セットアップレポート!AA243</f>
        <v>NONE</v>
      </c>
      <c r="AC243">
        <f>セットアップレポート!AB243</f>
        <v>0</v>
      </c>
      <c r="AD243">
        <f>セットアップレポート!AC243</f>
        <v>0</v>
      </c>
      <c r="AE243">
        <f>セットアップレポート!AD243</f>
        <v>0</v>
      </c>
      <c r="AF243">
        <f>セットアップレポート!AE243</f>
        <v>0</v>
      </c>
      <c r="AG243">
        <f>セットアップレポート!AF243</f>
        <v>0</v>
      </c>
      <c r="AH243">
        <f>セットアップレポート!AG243</f>
        <v>0</v>
      </c>
    </row>
    <row r="244" spans="1:34" x14ac:dyDescent="0.45">
      <c r="A244" t="str">
        <f t="shared" si="3"/>
        <v>L2-NPM050027L9000001063</v>
      </c>
      <c r="B244" t="str">
        <f>セットアップレポート!A244</f>
        <v>Line-2</v>
      </c>
      <c r="C244" t="str">
        <f>セットアップレポート!B244</f>
        <v>L2-NPM05</v>
      </c>
      <c r="D244" t="str">
        <f>セットアップレポート!C244</f>
        <v>Zone-2-NPMW-5</v>
      </c>
      <c r="E244">
        <f>セットアップレポート!D244</f>
        <v>1</v>
      </c>
      <c r="F244">
        <f>セットアップレポート!E244</f>
        <v>1</v>
      </c>
      <c r="G244" t="str">
        <f>セットアップレポート!F244</f>
        <v>10027L</v>
      </c>
      <c r="H244">
        <f>セットアップレポート!G244</f>
        <v>27</v>
      </c>
      <c r="I244" t="str">
        <f>セットアップレポート!H244</f>
        <v>L</v>
      </c>
      <c r="J244" t="str">
        <f>セットアップレポート!I244</f>
        <v>9000001063 100495</v>
      </c>
      <c r="K244">
        <f>セットアップレポート!J244</f>
        <v>9000001063</v>
      </c>
      <c r="L244">
        <f>セットアップレポート!K244</f>
        <v>0</v>
      </c>
      <c r="M244">
        <f>セットアップレポート!L244</f>
        <v>0</v>
      </c>
      <c r="N244">
        <f>セットアップレポート!M244</f>
        <v>0</v>
      </c>
      <c r="O244">
        <f>セットアップレポート!N244</f>
        <v>0</v>
      </c>
      <c r="P244" t="str">
        <f>セットアップレポート!O244</f>
        <v>FA0201ABD000335</v>
      </c>
      <c r="Q244">
        <f>セットアップレポート!P244</f>
        <v>3000</v>
      </c>
      <c r="R244">
        <f>セットアップレポート!Q244</f>
        <v>45950.475335648145</v>
      </c>
      <c r="S244">
        <f>セットアップレポート!R244</f>
        <v>0</v>
      </c>
      <c r="T244">
        <f>セットアップレポート!S244</f>
        <v>0</v>
      </c>
      <c r="U244">
        <f>セットアップレポート!T244</f>
        <v>0</v>
      </c>
      <c r="V244">
        <f>セットアップレポート!U244</f>
        <v>0</v>
      </c>
      <c r="W244">
        <f>セットアップレポート!V244</f>
        <v>0</v>
      </c>
      <c r="X244">
        <f>セットアップレポート!W244</f>
        <v>0</v>
      </c>
      <c r="Y244">
        <f>セットアップレポート!X244</f>
        <v>0</v>
      </c>
      <c r="Z244">
        <f>セットアップレポート!Y244</f>
        <v>0</v>
      </c>
      <c r="AA244">
        <f>セットアップレポート!Z244</f>
        <v>0</v>
      </c>
      <c r="AB244" t="str">
        <f>セットアップレポート!AA244</f>
        <v>NONE</v>
      </c>
      <c r="AC244">
        <f>セットアップレポート!AB244</f>
        <v>0</v>
      </c>
      <c r="AD244">
        <f>セットアップレポート!AC244</f>
        <v>0</v>
      </c>
      <c r="AE244">
        <f>セットアップレポート!AD244</f>
        <v>0</v>
      </c>
      <c r="AF244">
        <f>セットアップレポート!AE244</f>
        <v>0</v>
      </c>
      <c r="AG244">
        <f>セットアップレポート!AF244</f>
        <v>0</v>
      </c>
      <c r="AH244">
        <f>セットアップレポート!AG244</f>
        <v>0</v>
      </c>
    </row>
    <row r="245" spans="1:34" x14ac:dyDescent="0.45">
      <c r="A245" t="str">
        <f t="shared" si="3"/>
        <v>L2-NPM050028L9000066748</v>
      </c>
      <c r="B245" t="str">
        <f>セットアップレポート!A245</f>
        <v>Line-2</v>
      </c>
      <c r="C245" t="str">
        <f>セットアップレポート!B245</f>
        <v>L2-NPM05</v>
      </c>
      <c r="D245" t="str">
        <f>セットアップレポート!C245</f>
        <v>Zone-2-NPMW-5</v>
      </c>
      <c r="E245">
        <f>セットアップレポート!D245</f>
        <v>1</v>
      </c>
      <c r="F245">
        <f>セットアップレポート!E245</f>
        <v>1</v>
      </c>
      <c r="G245" t="str">
        <f>セットアップレポート!F245</f>
        <v>10028L</v>
      </c>
      <c r="H245">
        <f>セットアップレポート!G245</f>
        <v>28</v>
      </c>
      <c r="I245" t="str">
        <f>セットアップレポート!H245</f>
        <v>L</v>
      </c>
      <c r="J245" t="str">
        <f>セットアップレポート!I245</f>
        <v>9000066748 100302</v>
      </c>
      <c r="K245">
        <f>セットアップレポート!J245</f>
        <v>9000066748</v>
      </c>
      <c r="L245">
        <f>セットアップレポート!K245</f>
        <v>0</v>
      </c>
      <c r="M245">
        <f>セットアップレポート!L245</f>
        <v>0</v>
      </c>
      <c r="N245">
        <f>セットアップレポート!M245</f>
        <v>0</v>
      </c>
      <c r="O245">
        <f>セットアップレポート!N245</f>
        <v>0</v>
      </c>
      <c r="P245" t="str">
        <f>セットアップレポート!O245</f>
        <v>FA0201ABD000224</v>
      </c>
      <c r="Q245">
        <f>セットアップレポート!P245</f>
        <v>1000</v>
      </c>
      <c r="R245">
        <f>セットアップレポート!Q245</f>
        <v>45950.475335648145</v>
      </c>
      <c r="S245">
        <f>セットアップレポート!R245</f>
        <v>0</v>
      </c>
      <c r="T245">
        <f>セットアップレポート!S245</f>
        <v>0</v>
      </c>
      <c r="U245">
        <f>セットアップレポート!T245</f>
        <v>0</v>
      </c>
      <c r="V245">
        <f>セットアップレポート!U245</f>
        <v>0</v>
      </c>
      <c r="W245">
        <f>セットアップレポート!V245</f>
        <v>0</v>
      </c>
      <c r="X245">
        <f>セットアップレポート!W245</f>
        <v>0</v>
      </c>
      <c r="Y245">
        <f>セットアップレポート!X245</f>
        <v>0</v>
      </c>
      <c r="Z245">
        <f>セットアップレポート!Y245</f>
        <v>0</v>
      </c>
      <c r="AA245">
        <f>セットアップレポート!Z245</f>
        <v>0</v>
      </c>
      <c r="AB245" t="str">
        <f>セットアップレポート!AA245</f>
        <v>NONE</v>
      </c>
      <c r="AC245">
        <f>セットアップレポート!AB245</f>
        <v>0</v>
      </c>
      <c r="AD245">
        <f>セットアップレポート!AC245</f>
        <v>0</v>
      </c>
      <c r="AE245">
        <f>セットアップレポート!AD245</f>
        <v>0</v>
      </c>
      <c r="AF245">
        <f>セットアップレポート!AE245</f>
        <v>0</v>
      </c>
      <c r="AG245">
        <f>セットアップレポート!AF245</f>
        <v>0</v>
      </c>
      <c r="AH245">
        <f>セットアップレポート!AG245</f>
        <v>0</v>
      </c>
    </row>
    <row r="246" spans="1:34" x14ac:dyDescent="0.45">
      <c r="A246" t="str">
        <f t="shared" si="3"/>
        <v>L2-NPM050029L9000057855</v>
      </c>
      <c r="B246" t="str">
        <f>セットアップレポート!A246</f>
        <v>Line-2</v>
      </c>
      <c r="C246" t="str">
        <f>セットアップレポート!B246</f>
        <v>L2-NPM05</v>
      </c>
      <c r="D246" t="str">
        <f>セットアップレポート!C246</f>
        <v>Zone-2-NPMW-5</v>
      </c>
      <c r="E246">
        <f>セットアップレポート!D246</f>
        <v>1</v>
      </c>
      <c r="F246">
        <f>セットアップレポート!E246</f>
        <v>1</v>
      </c>
      <c r="G246" t="str">
        <f>セットアップレポート!F246</f>
        <v>10029L</v>
      </c>
      <c r="H246">
        <f>セットアップレポート!G246</f>
        <v>29</v>
      </c>
      <c r="I246" t="str">
        <f>セットアップレポート!H246</f>
        <v>L</v>
      </c>
      <c r="J246" t="str">
        <f>セットアップレポート!I246</f>
        <v>9000057855 100099</v>
      </c>
      <c r="K246">
        <f>セットアップレポート!J246</f>
        <v>9000057855</v>
      </c>
      <c r="L246">
        <f>セットアップレポート!K246</f>
        <v>0</v>
      </c>
      <c r="M246">
        <f>セットアップレポート!L246</f>
        <v>0</v>
      </c>
      <c r="N246">
        <f>セットアップレポート!M246</f>
        <v>0</v>
      </c>
      <c r="O246">
        <f>セットアップレポート!N246</f>
        <v>0</v>
      </c>
      <c r="P246" t="str">
        <f>セットアップレポート!O246</f>
        <v>FA0201ABD000494</v>
      </c>
      <c r="Q246">
        <f>セットアップレポート!P246</f>
        <v>2000</v>
      </c>
      <c r="R246">
        <f>セットアップレポート!Q246</f>
        <v>45950.475335648145</v>
      </c>
      <c r="S246">
        <f>セットアップレポート!R246</f>
        <v>0</v>
      </c>
      <c r="T246">
        <f>セットアップレポート!S246</f>
        <v>0</v>
      </c>
      <c r="U246">
        <f>セットアップレポート!T246</f>
        <v>0</v>
      </c>
      <c r="V246">
        <f>セットアップレポート!U246</f>
        <v>0</v>
      </c>
      <c r="W246">
        <f>セットアップレポート!V246</f>
        <v>0</v>
      </c>
      <c r="X246">
        <f>セットアップレポート!W246</f>
        <v>0</v>
      </c>
      <c r="Y246">
        <f>セットアップレポート!X246</f>
        <v>0</v>
      </c>
      <c r="Z246">
        <f>セットアップレポート!Y246</f>
        <v>0</v>
      </c>
      <c r="AA246">
        <f>セットアップレポート!Z246</f>
        <v>0</v>
      </c>
      <c r="AB246" t="str">
        <f>セットアップレポート!AA246</f>
        <v>NONE</v>
      </c>
      <c r="AC246">
        <f>セットアップレポート!AB246</f>
        <v>0</v>
      </c>
      <c r="AD246">
        <f>セットアップレポート!AC246</f>
        <v>0</v>
      </c>
      <c r="AE246">
        <f>セットアップレポート!AD246</f>
        <v>0</v>
      </c>
      <c r="AF246">
        <f>セットアップレポート!AE246</f>
        <v>0</v>
      </c>
      <c r="AG246">
        <f>セットアップレポート!AF246</f>
        <v>0</v>
      </c>
      <c r="AH246">
        <f>セットアップレポート!AG246</f>
        <v>0</v>
      </c>
    </row>
    <row r="247" spans="1:34" x14ac:dyDescent="0.45">
      <c r="A247" t="str">
        <f t="shared" si="3"/>
        <v>L2-NPM050030L587606A</v>
      </c>
      <c r="B247" t="str">
        <f>セットアップレポート!A247</f>
        <v>Line-2</v>
      </c>
      <c r="C247" t="str">
        <f>セットアップレポート!B247</f>
        <v>L2-NPM05</v>
      </c>
      <c r="D247" t="str">
        <f>セットアップレポート!C247</f>
        <v>Zone-2-NPMW-5</v>
      </c>
      <c r="E247">
        <f>セットアップレポート!D247</f>
        <v>1</v>
      </c>
      <c r="F247">
        <f>セットアップレポート!E247</f>
        <v>1</v>
      </c>
      <c r="G247" t="str">
        <f>セットアップレポート!F247</f>
        <v>10030L</v>
      </c>
      <c r="H247">
        <f>セットアップレポート!G247</f>
        <v>30</v>
      </c>
      <c r="I247" t="str">
        <f>セットアップレポート!H247</f>
        <v>L</v>
      </c>
      <c r="J247" t="str">
        <f>セットアップレポート!I247</f>
        <v>587606A100199</v>
      </c>
      <c r="K247" t="str">
        <f>セットアップレポート!J247</f>
        <v>587606A</v>
      </c>
      <c r="L247">
        <f>セットアップレポート!K247</f>
        <v>0</v>
      </c>
      <c r="M247">
        <f>セットアップレポート!L247</f>
        <v>0</v>
      </c>
      <c r="N247">
        <f>セットアップレポート!M247</f>
        <v>0</v>
      </c>
      <c r="O247">
        <f>セットアップレポート!N247</f>
        <v>0</v>
      </c>
      <c r="P247" t="str">
        <f>セットアップレポート!O247</f>
        <v>FA0201ABA002716</v>
      </c>
      <c r="Q247">
        <f>セットアップレポート!P247</f>
        <v>2000</v>
      </c>
      <c r="R247">
        <f>セットアップレポート!Q247</f>
        <v>45950.475335648145</v>
      </c>
      <c r="S247">
        <f>セットアップレポート!R247</f>
        <v>0</v>
      </c>
      <c r="T247">
        <f>セットアップレポート!S247</f>
        <v>0</v>
      </c>
      <c r="U247">
        <f>セットアップレポート!T247</f>
        <v>0</v>
      </c>
      <c r="V247">
        <f>セットアップレポート!U247</f>
        <v>0</v>
      </c>
      <c r="W247">
        <f>セットアップレポート!V247</f>
        <v>0</v>
      </c>
      <c r="X247">
        <f>セットアップレポート!W247</f>
        <v>0</v>
      </c>
      <c r="Y247">
        <f>セットアップレポート!X247</f>
        <v>0</v>
      </c>
      <c r="Z247">
        <f>セットアップレポート!Y247</f>
        <v>0</v>
      </c>
      <c r="AA247">
        <f>セットアップレポート!Z247</f>
        <v>0</v>
      </c>
      <c r="AB247" t="str">
        <f>セットアップレポート!AA247</f>
        <v>NONE</v>
      </c>
      <c r="AC247">
        <f>セットアップレポート!AB247</f>
        <v>0</v>
      </c>
      <c r="AD247">
        <f>セットアップレポート!AC247</f>
        <v>0</v>
      </c>
      <c r="AE247">
        <f>セットアップレポート!AD247</f>
        <v>0</v>
      </c>
      <c r="AF247">
        <f>セットアップレポート!AE247</f>
        <v>0</v>
      </c>
      <c r="AG247">
        <f>セットアップレポート!AF247</f>
        <v>0</v>
      </c>
      <c r="AH247">
        <f>セットアップレポート!AG247</f>
        <v>0</v>
      </c>
    </row>
    <row r="248" spans="1:34" x14ac:dyDescent="0.45">
      <c r="A248" t="str">
        <f t="shared" si="3"/>
        <v>L2-NPM050001L626654A</v>
      </c>
      <c r="B248" t="str">
        <f>セットアップレポート!A248</f>
        <v>Line-2</v>
      </c>
      <c r="C248" t="str">
        <f>セットアップレポート!B248</f>
        <v>L2-NPM05</v>
      </c>
      <c r="D248" t="str">
        <f>セットアップレポート!C248</f>
        <v>Zone-2-NPMW-5</v>
      </c>
      <c r="E248">
        <f>セットアップレポート!D248</f>
        <v>1</v>
      </c>
      <c r="F248">
        <f>セットアップレポート!E248</f>
        <v>1</v>
      </c>
      <c r="G248" t="str">
        <f>セットアップレポート!F248</f>
        <v>20001L</v>
      </c>
      <c r="H248">
        <f>セットアップレポート!G248</f>
        <v>1</v>
      </c>
      <c r="I248" t="str">
        <f>セットアップレポート!H248</f>
        <v>L</v>
      </c>
      <c r="J248" t="str">
        <f>セットアップレポート!I248</f>
        <v>626654A100523</v>
      </c>
      <c r="K248" t="str">
        <f>セットアップレポート!J248</f>
        <v>626654A</v>
      </c>
      <c r="L248">
        <f>セットアップレポート!K248</f>
        <v>0</v>
      </c>
      <c r="M248">
        <f>セットアップレポート!L248</f>
        <v>0</v>
      </c>
      <c r="N248">
        <f>セットアップレポート!M248</f>
        <v>0</v>
      </c>
      <c r="O248">
        <f>セットアップレポート!N248</f>
        <v>0</v>
      </c>
      <c r="P248" t="str">
        <f>セットアップレポート!O248</f>
        <v>FA0230AEA373442</v>
      </c>
      <c r="Q248">
        <f>セットアップレポート!P248</f>
        <v>1500</v>
      </c>
      <c r="R248">
        <f>セットアップレポート!Q248</f>
        <v>45950.475335648145</v>
      </c>
      <c r="S248">
        <f>セットアップレポート!R248</f>
        <v>0</v>
      </c>
      <c r="T248">
        <f>セットアップレポート!S248</f>
        <v>0</v>
      </c>
      <c r="U248">
        <f>セットアップレポート!T248</f>
        <v>0</v>
      </c>
      <c r="V248">
        <f>セットアップレポート!U248</f>
        <v>0</v>
      </c>
      <c r="W248">
        <f>セットアップレポート!V248</f>
        <v>0</v>
      </c>
      <c r="X248">
        <f>セットアップレポート!W248</f>
        <v>0</v>
      </c>
      <c r="Y248">
        <f>セットアップレポート!X248</f>
        <v>0</v>
      </c>
      <c r="Z248">
        <f>セットアップレポート!Y248</f>
        <v>0</v>
      </c>
      <c r="AA248">
        <f>セットアップレポート!Z248</f>
        <v>0</v>
      </c>
      <c r="AB248" t="str">
        <f>セットアップレポート!AA248</f>
        <v>NONE</v>
      </c>
      <c r="AC248">
        <f>セットアップレポート!AB248</f>
        <v>0</v>
      </c>
      <c r="AD248">
        <f>セットアップレポート!AC248</f>
        <v>0</v>
      </c>
      <c r="AE248">
        <f>セットアップレポート!AD248</f>
        <v>0</v>
      </c>
      <c r="AF248">
        <f>セットアップレポート!AE248</f>
        <v>0</v>
      </c>
      <c r="AG248">
        <f>セットアップレポート!AF248</f>
        <v>0</v>
      </c>
      <c r="AH248">
        <f>セットアップレポート!AG248</f>
        <v>0</v>
      </c>
    </row>
    <row r="249" spans="1:34" x14ac:dyDescent="0.45">
      <c r="A249" t="str">
        <f t="shared" si="3"/>
        <v>L2-NPM050003L9000067895</v>
      </c>
      <c r="B249" t="str">
        <f>セットアップレポート!A249</f>
        <v>Line-2</v>
      </c>
      <c r="C249" t="str">
        <f>セットアップレポート!B249</f>
        <v>L2-NPM05</v>
      </c>
      <c r="D249" t="str">
        <f>セットアップレポート!C249</f>
        <v>Zone-2-NPMW-5</v>
      </c>
      <c r="E249">
        <f>セットアップレポート!D249</f>
        <v>1</v>
      </c>
      <c r="F249">
        <f>セットアップレポート!E249</f>
        <v>1</v>
      </c>
      <c r="G249" t="str">
        <f>セットアップレポート!F249</f>
        <v>20003L</v>
      </c>
      <c r="H249">
        <f>セットアップレポート!G249</f>
        <v>3</v>
      </c>
      <c r="I249" t="str">
        <f>セットアップレポート!H249</f>
        <v>L</v>
      </c>
      <c r="J249" t="str">
        <f>セットアップレポート!I249</f>
        <v>9000067895 100004</v>
      </c>
      <c r="K249">
        <f>セットアップレポート!J249</f>
        <v>9000067895</v>
      </c>
      <c r="L249">
        <f>セットアップレポート!K249</f>
        <v>0</v>
      </c>
      <c r="M249">
        <f>セットアップレポート!L249</f>
        <v>0</v>
      </c>
      <c r="N249">
        <f>セットアップレポート!M249</f>
        <v>0</v>
      </c>
      <c r="O249">
        <f>セットアップレポート!N249</f>
        <v>0</v>
      </c>
      <c r="P249" t="str">
        <f>セットアップレポート!O249</f>
        <v>FA0201ABD000693</v>
      </c>
      <c r="Q249">
        <f>セットアップレポート!P249</f>
        <v>15000</v>
      </c>
      <c r="R249">
        <f>セットアップレポート!Q249</f>
        <v>45950.475335648145</v>
      </c>
      <c r="S249">
        <f>セットアップレポート!R249</f>
        <v>0</v>
      </c>
      <c r="T249">
        <f>セットアップレポート!S249</f>
        <v>0</v>
      </c>
      <c r="U249">
        <f>セットアップレポート!T249</f>
        <v>0</v>
      </c>
      <c r="V249">
        <f>セットアップレポート!U249</f>
        <v>0</v>
      </c>
      <c r="W249">
        <f>セットアップレポート!V249</f>
        <v>0</v>
      </c>
      <c r="X249">
        <f>セットアップレポート!W249</f>
        <v>0</v>
      </c>
      <c r="Y249">
        <f>セットアップレポート!X249</f>
        <v>0</v>
      </c>
      <c r="Z249">
        <f>セットアップレポート!Y249</f>
        <v>0</v>
      </c>
      <c r="AA249">
        <f>セットアップレポート!Z249</f>
        <v>0</v>
      </c>
      <c r="AB249" t="str">
        <f>セットアップレポート!AA249</f>
        <v>NONE</v>
      </c>
      <c r="AC249">
        <f>セットアップレポート!AB249</f>
        <v>0</v>
      </c>
      <c r="AD249">
        <f>セットアップレポート!AC249</f>
        <v>0</v>
      </c>
      <c r="AE249">
        <f>セットアップレポート!AD249</f>
        <v>0</v>
      </c>
      <c r="AF249">
        <f>セットアップレポート!AE249</f>
        <v>0</v>
      </c>
      <c r="AG249">
        <f>セットアップレポート!AF249</f>
        <v>0</v>
      </c>
      <c r="AH249">
        <f>セットアップレポート!AG249</f>
        <v>0</v>
      </c>
    </row>
    <row r="250" spans="1:34" x14ac:dyDescent="0.45">
      <c r="A250" t="str">
        <f t="shared" si="3"/>
        <v>L2-NPM050001L9000064828</v>
      </c>
      <c r="B250" t="str">
        <f>セットアップレポート!A250</f>
        <v>Line-2</v>
      </c>
      <c r="C250" t="str">
        <f>セットアップレポート!B250</f>
        <v>L2-NPM05</v>
      </c>
      <c r="D250" t="str">
        <f>セットアップレポート!C250</f>
        <v>Zone-2-NPMW-5</v>
      </c>
      <c r="E250">
        <f>セットアップレポート!D250</f>
        <v>1</v>
      </c>
      <c r="F250">
        <f>セットアップレポート!E250</f>
        <v>1</v>
      </c>
      <c r="G250" t="str">
        <f>セットアップレポート!F250</f>
        <v>10001L</v>
      </c>
      <c r="H250">
        <f>セットアップレポート!G250</f>
        <v>1</v>
      </c>
      <c r="I250" t="str">
        <f>セットアップレポート!H250</f>
        <v>L</v>
      </c>
      <c r="J250" t="str">
        <f>セットアップレポート!I250</f>
        <v>9000064828 101024</v>
      </c>
      <c r="K250">
        <f>セットアップレポート!J250</f>
        <v>9000064828</v>
      </c>
      <c r="L250">
        <f>セットアップレポート!K250</f>
        <v>0</v>
      </c>
      <c r="M250">
        <f>セットアップレポート!L250</f>
        <v>0</v>
      </c>
      <c r="N250">
        <f>セットアップレポート!M250</f>
        <v>0</v>
      </c>
      <c r="O250">
        <f>セットアップレポート!N250</f>
        <v>0</v>
      </c>
      <c r="P250" t="str">
        <f>セットアップレポート!O250</f>
        <v>FA0220ADF311647</v>
      </c>
      <c r="Q250">
        <f>セットアップレポート!P250</f>
        <v>1000</v>
      </c>
      <c r="R250">
        <f>セットアップレポート!Q250</f>
        <v>45950.475324074076</v>
      </c>
      <c r="S250">
        <f>セットアップレポート!R250</f>
        <v>0</v>
      </c>
      <c r="T250" t="str">
        <f>セットアップレポート!S250</f>
        <v>Yes</v>
      </c>
      <c r="U250">
        <f>セットアップレポート!T250</f>
        <v>0</v>
      </c>
      <c r="V250" t="str">
        <f>セットアップレポート!U250</f>
        <v>9000064828 101084</v>
      </c>
      <c r="W250">
        <f>セットアップレポート!V250</f>
        <v>0</v>
      </c>
      <c r="X250">
        <f>セットアップレポート!W250</f>
        <v>0</v>
      </c>
      <c r="Y250">
        <f>セットアップレポート!X250</f>
        <v>0</v>
      </c>
      <c r="Z250">
        <f>セットアップレポート!Y250</f>
        <v>0</v>
      </c>
      <c r="AA250">
        <f>セットアップレポート!Z250</f>
        <v>0</v>
      </c>
      <c r="AB250" t="str">
        <f>セットアップレポート!AA250</f>
        <v>NONE</v>
      </c>
      <c r="AC250">
        <f>セットアップレポート!AB250</f>
        <v>0</v>
      </c>
      <c r="AD250">
        <f>セットアップレポート!AC250</f>
        <v>0</v>
      </c>
      <c r="AE250">
        <f>セットアップレポート!AD250</f>
        <v>0</v>
      </c>
      <c r="AF250">
        <f>セットアップレポート!AE250</f>
        <v>0</v>
      </c>
      <c r="AG250">
        <f>セットアップレポート!AF250</f>
        <v>0</v>
      </c>
      <c r="AH250">
        <f>セットアップレポート!AG250</f>
        <v>0</v>
      </c>
    </row>
    <row r="251" spans="1:34" x14ac:dyDescent="0.45">
      <c r="A251" t="str">
        <f t="shared" si="3"/>
        <v>L2-NPM050002L9000069928</v>
      </c>
      <c r="B251" t="str">
        <f>セットアップレポート!A251</f>
        <v>Line-2</v>
      </c>
      <c r="C251" t="str">
        <f>セットアップレポート!B251</f>
        <v>L2-NPM05</v>
      </c>
      <c r="D251" t="str">
        <f>セットアップレポート!C251</f>
        <v>Zone-2-NPMW-5</v>
      </c>
      <c r="E251">
        <f>セットアップレポート!D251</f>
        <v>1</v>
      </c>
      <c r="F251">
        <f>セットアップレポート!E251</f>
        <v>1</v>
      </c>
      <c r="G251" t="str">
        <f>セットアップレポート!F251</f>
        <v>10002L</v>
      </c>
      <c r="H251">
        <f>セットアップレポート!G251</f>
        <v>2</v>
      </c>
      <c r="I251" t="str">
        <f>セットアップレポート!H251</f>
        <v>L</v>
      </c>
      <c r="J251" t="str">
        <f>セットアップレポート!I251</f>
        <v>9000069928 100008</v>
      </c>
      <c r="K251">
        <f>セットアップレポート!J251</f>
        <v>9000069928</v>
      </c>
      <c r="L251">
        <f>セットアップレポート!K251</f>
        <v>0</v>
      </c>
      <c r="M251">
        <f>セットアップレポート!L251</f>
        <v>0</v>
      </c>
      <c r="N251">
        <f>セットアップレポート!M251</f>
        <v>0</v>
      </c>
      <c r="O251">
        <f>セットアップレポート!N251</f>
        <v>0</v>
      </c>
      <c r="P251" t="str">
        <f>セットアップレポート!O251</f>
        <v>FA0430ADF305094</v>
      </c>
      <c r="Q251">
        <f>セットアップレポート!P251</f>
        <v>500</v>
      </c>
      <c r="R251">
        <f>セットアップレポート!Q251</f>
        <v>45950.475324074076</v>
      </c>
      <c r="S251">
        <f>セットアップレポート!R251</f>
        <v>0</v>
      </c>
      <c r="T251">
        <f>セットアップレポート!S251</f>
        <v>0</v>
      </c>
      <c r="U251">
        <f>セットアップレポート!T251</f>
        <v>0</v>
      </c>
      <c r="V251">
        <f>セットアップレポート!U251</f>
        <v>0</v>
      </c>
      <c r="W251">
        <f>セットアップレポート!V251</f>
        <v>0</v>
      </c>
      <c r="X251">
        <f>セットアップレポート!W251</f>
        <v>0</v>
      </c>
      <c r="Y251">
        <f>セットアップレポート!X251</f>
        <v>0</v>
      </c>
      <c r="Z251">
        <f>セットアップレポート!Y251</f>
        <v>0</v>
      </c>
      <c r="AA251">
        <f>セットアップレポート!Z251</f>
        <v>0</v>
      </c>
      <c r="AB251" t="str">
        <f>セットアップレポート!AA251</f>
        <v>NONE</v>
      </c>
      <c r="AC251">
        <f>セットアップレポート!AB251</f>
        <v>0</v>
      </c>
      <c r="AD251">
        <f>セットアップレポート!AC251</f>
        <v>0</v>
      </c>
      <c r="AE251">
        <f>セットアップレポート!AD251</f>
        <v>0</v>
      </c>
      <c r="AF251">
        <f>セットアップレポート!AE251</f>
        <v>0</v>
      </c>
      <c r="AG251">
        <f>セットアップレポート!AF251</f>
        <v>0</v>
      </c>
      <c r="AH251">
        <f>セットアップレポート!AG251</f>
        <v>0</v>
      </c>
    </row>
    <row r="252" spans="1:34" x14ac:dyDescent="0.45">
      <c r="A252" t="str">
        <f t="shared" si="3"/>
        <v>L2-NPM050003L561456A</v>
      </c>
      <c r="B252" t="str">
        <f>セットアップレポート!A252</f>
        <v>Line-2</v>
      </c>
      <c r="C252" t="str">
        <f>セットアップレポート!B252</f>
        <v>L2-NPM05</v>
      </c>
      <c r="D252" t="str">
        <f>セットアップレポート!C252</f>
        <v>Zone-2-NPMW-5</v>
      </c>
      <c r="E252">
        <f>セットアップレポート!D252</f>
        <v>1</v>
      </c>
      <c r="F252">
        <f>セットアップレポート!E252</f>
        <v>1</v>
      </c>
      <c r="G252" t="str">
        <f>セットアップレポート!F252</f>
        <v>10003L</v>
      </c>
      <c r="H252">
        <f>セットアップレポート!G252</f>
        <v>3</v>
      </c>
      <c r="I252" t="str">
        <f>セットアップレポート!H252</f>
        <v>L</v>
      </c>
      <c r="J252" t="str">
        <f>セットアップレポート!I252</f>
        <v>561456A100070</v>
      </c>
      <c r="K252" t="str">
        <f>セットアップレポート!J252</f>
        <v>561456A</v>
      </c>
      <c r="L252">
        <f>セットアップレポート!K252</f>
        <v>0</v>
      </c>
      <c r="M252">
        <f>セットアップレポート!L252</f>
        <v>0</v>
      </c>
      <c r="N252">
        <f>セットアップレポート!M252</f>
        <v>0</v>
      </c>
      <c r="O252">
        <f>セットアップレポート!N252</f>
        <v>0</v>
      </c>
      <c r="P252" t="str">
        <f>セットアップレポート!O252</f>
        <v>FA0220AFA654259</v>
      </c>
      <c r="Q252">
        <f>セットアップレポート!P252</f>
        <v>4000</v>
      </c>
      <c r="R252">
        <f>セットアップレポート!Q252</f>
        <v>45930.558680555558</v>
      </c>
      <c r="S252">
        <f>セットアップレポート!R252</f>
        <v>0</v>
      </c>
      <c r="T252">
        <f>セットアップレポート!S252</f>
        <v>0</v>
      </c>
      <c r="U252">
        <f>セットアップレポート!T252</f>
        <v>0</v>
      </c>
      <c r="V252">
        <f>セットアップレポート!U252</f>
        <v>0</v>
      </c>
      <c r="W252">
        <f>セットアップレポート!V252</f>
        <v>0</v>
      </c>
      <c r="X252">
        <f>セットアップレポート!W252</f>
        <v>0</v>
      </c>
      <c r="Y252">
        <f>セットアップレポート!X252</f>
        <v>0</v>
      </c>
      <c r="Z252">
        <f>セットアップレポート!Y252</f>
        <v>0</v>
      </c>
      <c r="AA252">
        <f>セットアップレポート!Z252</f>
        <v>0</v>
      </c>
      <c r="AB252" t="str">
        <f>セットアップレポート!AA252</f>
        <v>NONE</v>
      </c>
      <c r="AC252">
        <f>セットアップレポート!AB252</f>
        <v>0</v>
      </c>
      <c r="AD252">
        <f>セットアップレポート!AC252</f>
        <v>0</v>
      </c>
      <c r="AE252">
        <f>セットアップレポート!AD252</f>
        <v>0</v>
      </c>
      <c r="AF252">
        <f>セットアップレポート!AE252</f>
        <v>0</v>
      </c>
      <c r="AG252">
        <f>セットアップレポート!AF252</f>
        <v>0</v>
      </c>
      <c r="AH252">
        <f>セットアップレポート!AG252</f>
        <v>0</v>
      </c>
    </row>
    <row r="253" spans="1:34" x14ac:dyDescent="0.45">
      <c r="A253" t="str">
        <f t="shared" si="3"/>
        <v>L2-NPM050004L9000064829</v>
      </c>
      <c r="B253" t="str">
        <f>セットアップレポート!A253</f>
        <v>Line-2</v>
      </c>
      <c r="C253" t="str">
        <f>セットアップレポート!B253</f>
        <v>L2-NPM05</v>
      </c>
      <c r="D253" t="str">
        <f>セットアップレポート!C253</f>
        <v>Zone-2-NPMW-5</v>
      </c>
      <c r="E253">
        <f>セットアップレポート!D253</f>
        <v>1</v>
      </c>
      <c r="F253">
        <f>セットアップレポート!E253</f>
        <v>1</v>
      </c>
      <c r="G253" t="str">
        <f>セットアップレポート!F253</f>
        <v>10004L</v>
      </c>
      <c r="H253">
        <f>セットアップレポート!G253</f>
        <v>4</v>
      </c>
      <c r="I253" t="str">
        <f>セットアップレポート!H253</f>
        <v>L</v>
      </c>
      <c r="J253" t="str">
        <f>セットアップレポート!I253</f>
        <v>9000064829 101767</v>
      </c>
      <c r="K253">
        <f>セットアップレポート!J253</f>
        <v>9000064829</v>
      </c>
      <c r="L253">
        <f>セットアップレポート!K253</f>
        <v>0</v>
      </c>
      <c r="M253">
        <f>セットアップレポート!L253</f>
        <v>0</v>
      </c>
      <c r="N253">
        <f>セットアップレポート!M253</f>
        <v>0</v>
      </c>
      <c r="O253">
        <f>セットアップレポート!N253</f>
        <v>0</v>
      </c>
      <c r="P253" t="str">
        <f>セットアップレポート!O253</f>
        <v>FA0220AFA654277</v>
      </c>
      <c r="Q253">
        <f>セットアップレポート!P253</f>
        <v>1000</v>
      </c>
      <c r="R253">
        <f>セットアップレポート!Q253</f>
        <v>45950.475324074076</v>
      </c>
      <c r="S253">
        <f>セットアップレポート!R253</f>
        <v>0</v>
      </c>
      <c r="T253" t="str">
        <f>セットアップレポート!S253</f>
        <v>Yes</v>
      </c>
      <c r="U253">
        <f>セットアップレポート!T253</f>
        <v>0</v>
      </c>
      <c r="V253" t="str">
        <f>セットアップレポート!U253</f>
        <v>9000064829 101776</v>
      </c>
      <c r="W253">
        <f>セットアップレポート!V253</f>
        <v>0</v>
      </c>
      <c r="X253">
        <f>セットアップレポート!W253</f>
        <v>0</v>
      </c>
      <c r="Y253">
        <f>セットアップレポート!X253</f>
        <v>0</v>
      </c>
      <c r="Z253">
        <f>セットアップレポート!Y253</f>
        <v>0</v>
      </c>
      <c r="AA253">
        <f>セットアップレポート!Z253</f>
        <v>0</v>
      </c>
      <c r="AB253" t="str">
        <f>セットアップレポート!AA253</f>
        <v>NONE</v>
      </c>
      <c r="AC253">
        <f>セットアップレポート!AB253</f>
        <v>0</v>
      </c>
      <c r="AD253">
        <f>セットアップレポート!AC253</f>
        <v>0</v>
      </c>
      <c r="AE253">
        <f>セットアップレポート!AD253</f>
        <v>0</v>
      </c>
      <c r="AF253">
        <f>セットアップレポート!AE253</f>
        <v>0</v>
      </c>
      <c r="AG253">
        <f>セットアップレポート!AF253</f>
        <v>0</v>
      </c>
      <c r="AH253">
        <f>セットアップレポート!AG253</f>
        <v>0</v>
      </c>
    </row>
    <row r="254" spans="1:34" x14ac:dyDescent="0.45">
      <c r="A254" t="str">
        <f t="shared" si="3"/>
        <v>L2-NPM050005L9000057261</v>
      </c>
      <c r="B254" t="str">
        <f>セットアップレポート!A254</f>
        <v>Line-2</v>
      </c>
      <c r="C254" t="str">
        <f>セットアップレポート!B254</f>
        <v>L2-NPM05</v>
      </c>
      <c r="D254" t="str">
        <f>セットアップレポート!C254</f>
        <v>Zone-2-NPMW-5</v>
      </c>
      <c r="E254">
        <f>セットアップレポート!D254</f>
        <v>1</v>
      </c>
      <c r="F254">
        <f>セットアップレポート!E254</f>
        <v>1</v>
      </c>
      <c r="G254" t="str">
        <f>セットアップレポート!F254</f>
        <v>10005L</v>
      </c>
      <c r="H254">
        <f>セットアップレポート!G254</f>
        <v>5</v>
      </c>
      <c r="I254" t="str">
        <f>セットアップレポート!H254</f>
        <v>L</v>
      </c>
      <c r="J254" t="str">
        <f>セットアップレポート!I254</f>
        <v>9000057261 100058</v>
      </c>
      <c r="K254">
        <f>セットアップレポート!J254</f>
        <v>9000057261</v>
      </c>
      <c r="L254">
        <f>セットアップレポート!K254</f>
        <v>0</v>
      </c>
      <c r="M254">
        <f>セットアップレポート!L254</f>
        <v>0</v>
      </c>
      <c r="N254">
        <f>セットアップレポート!M254</f>
        <v>0</v>
      </c>
      <c r="O254">
        <f>セットアップレポート!N254</f>
        <v>0</v>
      </c>
      <c r="P254" t="str">
        <f>セットアップレポート!O254</f>
        <v>FA0220ADF311687</v>
      </c>
      <c r="Q254">
        <f>セットアップレポート!P254</f>
        <v>2000</v>
      </c>
      <c r="R254">
        <f>セットアップレポート!Q254</f>
        <v>45950.475324074076</v>
      </c>
      <c r="S254">
        <f>セットアップレポート!R254</f>
        <v>0</v>
      </c>
      <c r="T254">
        <f>セットアップレポート!S254</f>
        <v>0</v>
      </c>
      <c r="U254">
        <f>セットアップレポート!T254</f>
        <v>0</v>
      </c>
      <c r="V254">
        <f>セットアップレポート!U254</f>
        <v>0</v>
      </c>
      <c r="W254">
        <f>セットアップレポート!V254</f>
        <v>0</v>
      </c>
      <c r="X254">
        <f>セットアップレポート!W254</f>
        <v>0</v>
      </c>
      <c r="Y254">
        <f>セットアップレポート!X254</f>
        <v>0</v>
      </c>
      <c r="Z254">
        <f>セットアップレポート!Y254</f>
        <v>0</v>
      </c>
      <c r="AA254">
        <f>セットアップレポート!Z254</f>
        <v>0</v>
      </c>
      <c r="AB254" t="str">
        <f>セットアップレポート!AA254</f>
        <v>NONE</v>
      </c>
      <c r="AC254">
        <f>セットアップレポート!AB254</f>
        <v>0</v>
      </c>
      <c r="AD254">
        <f>セットアップレポート!AC254</f>
        <v>0</v>
      </c>
      <c r="AE254">
        <f>セットアップレポート!AD254</f>
        <v>0</v>
      </c>
      <c r="AF254">
        <f>セットアップレポート!AE254</f>
        <v>0</v>
      </c>
      <c r="AG254">
        <f>セットアップレポート!AF254</f>
        <v>0</v>
      </c>
      <c r="AH254">
        <f>セットアップレポート!AG254</f>
        <v>0</v>
      </c>
    </row>
    <row r="255" spans="1:34" x14ac:dyDescent="0.45">
      <c r="A255" t="str">
        <f t="shared" si="3"/>
        <v>L2-NPM050006L658058</v>
      </c>
      <c r="B255" t="str">
        <f>セットアップレポート!A255</f>
        <v>Line-2</v>
      </c>
      <c r="C255" t="str">
        <f>セットアップレポート!B255</f>
        <v>L2-NPM05</v>
      </c>
      <c r="D255" t="str">
        <f>セットアップレポート!C255</f>
        <v>Zone-2-NPMW-5</v>
      </c>
      <c r="E255">
        <f>セットアップレポート!D255</f>
        <v>1</v>
      </c>
      <c r="F255">
        <f>セットアップレポート!E255</f>
        <v>1</v>
      </c>
      <c r="G255" t="str">
        <f>セットアップレポート!F255</f>
        <v>10006L</v>
      </c>
      <c r="H255">
        <f>セットアップレポート!G255</f>
        <v>6</v>
      </c>
      <c r="I255" t="str">
        <f>セットアップレポート!H255</f>
        <v>L</v>
      </c>
      <c r="J255" t="str">
        <f>セットアップレポート!I255</f>
        <v>658058 100188</v>
      </c>
      <c r="K255">
        <f>セットアップレポート!J255</f>
        <v>658058</v>
      </c>
      <c r="L255">
        <f>セットアップレポート!K255</f>
        <v>0</v>
      </c>
      <c r="M255">
        <f>セットアップレポート!L255</f>
        <v>0</v>
      </c>
      <c r="N255">
        <f>セットアップレポート!M255</f>
        <v>0</v>
      </c>
      <c r="O255">
        <f>セットアップレポート!N255</f>
        <v>0</v>
      </c>
      <c r="P255" t="str">
        <f>セットアップレポート!O255</f>
        <v>FA0220ADF311854</v>
      </c>
      <c r="Q255">
        <f>セットアップレポート!P255</f>
        <v>2500</v>
      </c>
      <c r="R255">
        <f>セットアップレポート!Q255</f>
        <v>45950.475324074076</v>
      </c>
      <c r="S255">
        <f>セットアップレポート!R255</f>
        <v>0</v>
      </c>
      <c r="T255">
        <f>セットアップレポート!S255</f>
        <v>0</v>
      </c>
      <c r="U255">
        <f>セットアップレポート!T255</f>
        <v>0</v>
      </c>
      <c r="V255">
        <f>セットアップレポート!U255</f>
        <v>0</v>
      </c>
      <c r="W255">
        <f>セットアップレポート!V255</f>
        <v>0</v>
      </c>
      <c r="X255">
        <f>セットアップレポート!W255</f>
        <v>0</v>
      </c>
      <c r="Y255">
        <f>セットアップレポート!X255</f>
        <v>0</v>
      </c>
      <c r="Z255">
        <f>セットアップレポート!Y255</f>
        <v>0</v>
      </c>
      <c r="AA255">
        <f>セットアップレポート!Z255</f>
        <v>0</v>
      </c>
      <c r="AB255" t="str">
        <f>セットアップレポート!AA255</f>
        <v>NONE</v>
      </c>
      <c r="AC255">
        <f>セットアップレポート!AB255</f>
        <v>0</v>
      </c>
      <c r="AD255">
        <f>セットアップレポート!AC255</f>
        <v>0</v>
      </c>
      <c r="AE255">
        <f>セットアップレポート!AD255</f>
        <v>0</v>
      </c>
      <c r="AF255">
        <f>セットアップレポート!AE255</f>
        <v>0</v>
      </c>
      <c r="AG255">
        <f>セットアップレポート!AF255</f>
        <v>0</v>
      </c>
      <c r="AH255">
        <f>セットアップレポート!AG255</f>
        <v>0</v>
      </c>
    </row>
    <row r="256" spans="1:34" x14ac:dyDescent="0.45">
      <c r="A256" t="str">
        <f t="shared" si="3"/>
        <v>L2-NPM050007L555641A</v>
      </c>
      <c r="B256" t="str">
        <f>セットアップレポート!A256</f>
        <v>Line-2</v>
      </c>
      <c r="C256" t="str">
        <f>セットアップレポート!B256</f>
        <v>L2-NPM05</v>
      </c>
      <c r="D256" t="str">
        <f>セットアップレポート!C256</f>
        <v>Zone-2-NPMW-5</v>
      </c>
      <c r="E256">
        <f>セットアップレポート!D256</f>
        <v>1</v>
      </c>
      <c r="F256">
        <f>セットアップレポート!E256</f>
        <v>1</v>
      </c>
      <c r="G256" t="str">
        <f>セットアップレポート!F256</f>
        <v>10007L</v>
      </c>
      <c r="H256">
        <f>セットアップレポート!G256</f>
        <v>7</v>
      </c>
      <c r="I256" t="str">
        <f>セットアップレポート!H256</f>
        <v>L</v>
      </c>
      <c r="J256" t="str">
        <f>セットアップレポート!I256</f>
        <v>555641A100025</v>
      </c>
      <c r="K256" t="str">
        <f>セットアップレポート!J256</f>
        <v>555641A</v>
      </c>
      <c r="L256">
        <f>セットアップレポート!K256</f>
        <v>0</v>
      </c>
      <c r="M256">
        <f>セットアップレポート!L256</f>
        <v>0</v>
      </c>
      <c r="N256">
        <f>セットアップレポート!M256</f>
        <v>0</v>
      </c>
      <c r="O256">
        <f>セットアップレポート!N256</f>
        <v>0</v>
      </c>
      <c r="P256" t="str">
        <f>セットアップレポート!O256</f>
        <v>FA0220AFA654326</v>
      </c>
      <c r="Q256">
        <f>セットアップレポート!P256</f>
        <v>4000</v>
      </c>
      <c r="R256">
        <f>セットアップレポート!Q256</f>
        <v>45950.475324074076</v>
      </c>
      <c r="S256">
        <f>セットアップレポート!R256</f>
        <v>0</v>
      </c>
      <c r="T256">
        <f>セットアップレポート!S256</f>
        <v>0</v>
      </c>
      <c r="U256">
        <f>セットアップレポート!T256</f>
        <v>0</v>
      </c>
      <c r="V256">
        <f>セットアップレポート!U256</f>
        <v>0</v>
      </c>
      <c r="W256">
        <f>セットアップレポート!V256</f>
        <v>0</v>
      </c>
      <c r="X256">
        <f>セットアップレポート!W256</f>
        <v>0</v>
      </c>
      <c r="Y256">
        <f>セットアップレポート!X256</f>
        <v>0</v>
      </c>
      <c r="Z256">
        <f>セットアップレポート!Y256</f>
        <v>0</v>
      </c>
      <c r="AA256">
        <f>セットアップレポート!Z256</f>
        <v>0</v>
      </c>
      <c r="AB256" t="str">
        <f>セットアップレポート!AA256</f>
        <v>NONE</v>
      </c>
      <c r="AC256">
        <f>セットアップレポート!AB256</f>
        <v>0</v>
      </c>
      <c r="AD256">
        <f>セットアップレポート!AC256</f>
        <v>0</v>
      </c>
      <c r="AE256">
        <f>セットアップレポート!AD256</f>
        <v>0</v>
      </c>
      <c r="AF256">
        <f>セットアップレポート!AE256</f>
        <v>0</v>
      </c>
      <c r="AG256">
        <f>セットアップレポート!AF256</f>
        <v>0</v>
      </c>
      <c r="AH256">
        <f>セットアップレポート!AG256</f>
        <v>0</v>
      </c>
    </row>
    <row r="257" spans="1:34" x14ac:dyDescent="0.45">
      <c r="A257" t="str">
        <f t="shared" si="3"/>
        <v>L2-NPM050008L9000046986</v>
      </c>
      <c r="B257" t="str">
        <f>セットアップレポート!A257</f>
        <v>Line-2</v>
      </c>
      <c r="C257" t="str">
        <f>セットアップレポート!B257</f>
        <v>L2-NPM05</v>
      </c>
      <c r="D257" t="str">
        <f>セットアップレポート!C257</f>
        <v>Zone-2-NPMW-5</v>
      </c>
      <c r="E257">
        <f>セットアップレポート!D257</f>
        <v>1</v>
      </c>
      <c r="F257">
        <f>セットアップレポート!E257</f>
        <v>1</v>
      </c>
      <c r="G257" t="str">
        <f>セットアップレポート!F257</f>
        <v>10008L</v>
      </c>
      <c r="H257">
        <f>セットアップレポート!G257</f>
        <v>8</v>
      </c>
      <c r="I257" t="str">
        <f>セットアップレポート!H257</f>
        <v>L</v>
      </c>
      <c r="J257" t="str">
        <f>セットアップレポート!I257</f>
        <v>9000046986 100614</v>
      </c>
      <c r="K257">
        <f>セットアップレポート!J257</f>
        <v>9000046986</v>
      </c>
      <c r="L257">
        <f>セットアップレポート!K257</f>
        <v>0</v>
      </c>
      <c r="M257">
        <f>セットアップレポート!L257</f>
        <v>0</v>
      </c>
      <c r="N257">
        <f>セットアップレポート!M257</f>
        <v>0</v>
      </c>
      <c r="O257">
        <f>セットアップレポート!N257</f>
        <v>0</v>
      </c>
      <c r="P257" t="str">
        <f>セットアップレポート!O257</f>
        <v>FA0220ADF311847</v>
      </c>
      <c r="Q257">
        <f>セットアップレポート!P257</f>
        <v>2500</v>
      </c>
      <c r="R257">
        <f>セットアップレポート!Q257</f>
        <v>45950.475324074076</v>
      </c>
      <c r="S257">
        <f>セットアップレポート!R257</f>
        <v>0</v>
      </c>
      <c r="T257" t="str">
        <f>セットアップレポート!S257</f>
        <v>Yes</v>
      </c>
      <c r="U257">
        <f>セットアップレポート!T257</f>
        <v>0</v>
      </c>
      <c r="V257" t="str">
        <f>セットアップレポート!U257</f>
        <v>9000046986 100706</v>
      </c>
      <c r="W257">
        <f>セットアップレポート!V257</f>
        <v>0</v>
      </c>
      <c r="X257">
        <f>セットアップレポート!W257</f>
        <v>0</v>
      </c>
      <c r="Y257">
        <f>セットアップレポート!X257</f>
        <v>0</v>
      </c>
      <c r="Z257">
        <f>セットアップレポート!Y257</f>
        <v>0</v>
      </c>
      <c r="AA257">
        <f>セットアップレポート!Z257</f>
        <v>0</v>
      </c>
      <c r="AB257" t="str">
        <f>セットアップレポート!AA257</f>
        <v>NONE</v>
      </c>
      <c r="AC257">
        <f>セットアップレポート!AB257</f>
        <v>0</v>
      </c>
      <c r="AD257">
        <f>セットアップレポート!AC257</f>
        <v>0</v>
      </c>
      <c r="AE257">
        <f>セットアップレポート!AD257</f>
        <v>0</v>
      </c>
      <c r="AF257">
        <f>セットアップレポート!AE257</f>
        <v>0</v>
      </c>
      <c r="AG257">
        <f>セットアップレポート!AF257</f>
        <v>0</v>
      </c>
      <c r="AH257">
        <f>セットアップレポート!AG257</f>
        <v>0</v>
      </c>
    </row>
    <row r="258" spans="1:34" x14ac:dyDescent="0.45">
      <c r="A258" t="str">
        <f t="shared" si="3"/>
        <v>L2-NPM050009L9000045915</v>
      </c>
      <c r="B258" t="str">
        <f>セットアップレポート!A258</f>
        <v>Line-2</v>
      </c>
      <c r="C258" t="str">
        <f>セットアップレポート!B258</f>
        <v>L2-NPM05</v>
      </c>
      <c r="D258" t="str">
        <f>セットアップレポート!C258</f>
        <v>Zone-2-NPMW-5</v>
      </c>
      <c r="E258">
        <f>セットアップレポート!D258</f>
        <v>1</v>
      </c>
      <c r="F258">
        <f>セットアップレポート!E258</f>
        <v>1</v>
      </c>
      <c r="G258" t="str">
        <f>セットアップレポート!F258</f>
        <v>10009L</v>
      </c>
      <c r="H258">
        <f>セットアップレポート!G258</f>
        <v>9</v>
      </c>
      <c r="I258" t="str">
        <f>セットアップレポート!H258</f>
        <v>L</v>
      </c>
      <c r="J258" t="str">
        <f>セットアップレポート!I258</f>
        <v>9000045915 100087</v>
      </c>
      <c r="K258">
        <f>セットアップレポート!J258</f>
        <v>9000045915</v>
      </c>
      <c r="L258">
        <f>セットアップレポート!K258</f>
        <v>0</v>
      </c>
      <c r="M258">
        <f>セットアップレポート!L258</f>
        <v>0</v>
      </c>
      <c r="N258">
        <f>セットアップレポート!M258</f>
        <v>0</v>
      </c>
      <c r="O258">
        <f>セットアップレポート!N258</f>
        <v>0</v>
      </c>
      <c r="P258" t="str">
        <f>セットアップレポート!O258</f>
        <v>FA0220ACH328570</v>
      </c>
      <c r="Q258">
        <f>セットアップレポート!P258</f>
        <v>2500</v>
      </c>
      <c r="R258">
        <f>セットアップレポート!Q258</f>
        <v>45950.475324074076</v>
      </c>
      <c r="S258">
        <f>セットアップレポート!R258</f>
        <v>0</v>
      </c>
      <c r="T258" t="str">
        <f>セットアップレポート!S258</f>
        <v>Yes</v>
      </c>
      <c r="U258">
        <f>セットアップレポート!T258</f>
        <v>0</v>
      </c>
      <c r="V258" t="str">
        <f>セットアップレポート!U258</f>
        <v>9000045915 100072</v>
      </c>
      <c r="W258">
        <f>セットアップレポート!V258</f>
        <v>0</v>
      </c>
      <c r="X258">
        <f>セットアップレポート!W258</f>
        <v>0</v>
      </c>
      <c r="Y258">
        <f>セットアップレポート!X258</f>
        <v>0</v>
      </c>
      <c r="Z258">
        <f>セットアップレポート!Y258</f>
        <v>0</v>
      </c>
      <c r="AA258">
        <f>セットアップレポート!Z258</f>
        <v>0</v>
      </c>
      <c r="AB258" t="str">
        <f>セットアップレポート!AA258</f>
        <v>NONE</v>
      </c>
      <c r="AC258">
        <f>セットアップレポート!AB258</f>
        <v>0</v>
      </c>
      <c r="AD258">
        <f>セットアップレポート!AC258</f>
        <v>0</v>
      </c>
      <c r="AE258">
        <f>セットアップレポート!AD258</f>
        <v>0</v>
      </c>
      <c r="AF258">
        <f>セットアップレポート!AE258</f>
        <v>0</v>
      </c>
      <c r="AG258">
        <f>セットアップレポート!AF258</f>
        <v>0</v>
      </c>
      <c r="AH258">
        <f>セットアップレポート!AG258</f>
        <v>0</v>
      </c>
    </row>
    <row r="259" spans="1:34" x14ac:dyDescent="0.45">
      <c r="A259" t="str">
        <f t="shared" ref="A259:A322" si="4">C259&amp;RIGHT(G259,5)&amp;K259</f>
        <v>L2-NPM050010L9000070725</v>
      </c>
      <c r="B259" t="str">
        <f>セットアップレポート!A259</f>
        <v>Line-2</v>
      </c>
      <c r="C259" t="str">
        <f>セットアップレポート!B259</f>
        <v>L2-NPM05</v>
      </c>
      <c r="D259" t="str">
        <f>セットアップレポート!C259</f>
        <v>Zone-2-NPMW-5</v>
      </c>
      <c r="E259">
        <f>セットアップレポート!D259</f>
        <v>1</v>
      </c>
      <c r="F259">
        <f>セットアップレポート!E259</f>
        <v>1</v>
      </c>
      <c r="G259" t="str">
        <f>セットアップレポート!F259</f>
        <v>10010L</v>
      </c>
      <c r="H259">
        <f>セットアップレポート!G259</f>
        <v>10</v>
      </c>
      <c r="I259" t="str">
        <f>セットアップレポート!H259</f>
        <v>L</v>
      </c>
      <c r="J259" t="str">
        <f>セットアップレポート!I259</f>
        <v>9000070725 100004</v>
      </c>
      <c r="K259">
        <f>セットアップレポート!J259</f>
        <v>9000070725</v>
      </c>
      <c r="L259">
        <f>セットアップレポート!K259</f>
        <v>0</v>
      </c>
      <c r="M259">
        <f>セットアップレポート!L259</f>
        <v>0</v>
      </c>
      <c r="N259">
        <f>セットアップレポート!M259</f>
        <v>0</v>
      </c>
      <c r="O259">
        <f>セットアップレポート!N259</f>
        <v>0</v>
      </c>
      <c r="P259" t="str">
        <f>セットアップレポート!O259</f>
        <v>FA0220AFA654003</v>
      </c>
      <c r="Q259">
        <f>セットアップレポート!P259</f>
        <v>1000</v>
      </c>
      <c r="R259">
        <f>セットアップレポート!Q259</f>
        <v>45950.475324074076</v>
      </c>
      <c r="S259">
        <f>セットアップレポート!R259</f>
        <v>0</v>
      </c>
      <c r="T259">
        <f>セットアップレポート!S259</f>
        <v>0</v>
      </c>
      <c r="U259">
        <f>セットアップレポート!T259</f>
        <v>0</v>
      </c>
      <c r="V259">
        <f>セットアップレポート!U259</f>
        <v>0</v>
      </c>
      <c r="W259">
        <f>セットアップレポート!V259</f>
        <v>0</v>
      </c>
      <c r="X259">
        <f>セットアップレポート!W259</f>
        <v>0</v>
      </c>
      <c r="Y259">
        <f>セットアップレポート!X259</f>
        <v>0</v>
      </c>
      <c r="Z259">
        <f>セットアップレポート!Y259</f>
        <v>0</v>
      </c>
      <c r="AA259">
        <f>セットアップレポート!Z259</f>
        <v>0</v>
      </c>
      <c r="AB259" t="str">
        <f>セットアップレポート!AA259</f>
        <v>NONE</v>
      </c>
      <c r="AC259">
        <f>セットアップレポート!AB259</f>
        <v>0</v>
      </c>
      <c r="AD259">
        <f>セットアップレポート!AC259</f>
        <v>0</v>
      </c>
      <c r="AE259">
        <f>セットアップレポート!AD259</f>
        <v>0</v>
      </c>
      <c r="AF259">
        <f>セットアップレポート!AE259</f>
        <v>0</v>
      </c>
      <c r="AG259">
        <f>セットアップレポート!AF259</f>
        <v>0</v>
      </c>
      <c r="AH259">
        <f>セットアップレポート!AG259</f>
        <v>0</v>
      </c>
    </row>
    <row r="260" spans="1:34" x14ac:dyDescent="0.45">
      <c r="A260" t="str">
        <f t="shared" si="4"/>
        <v>L2-NPM050011L9000066667</v>
      </c>
      <c r="B260" t="str">
        <f>セットアップレポート!A260</f>
        <v>Line-2</v>
      </c>
      <c r="C260" t="str">
        <f>セットアップレポート!B260</f>
        <v>L2-NPM05</v>
      </c>
      <c r="D260" t="str">
        <f>セットアップレポート!C260</f>
        <v>Zone-2-NPMW-5</v>
      </c>
      <c r="E260">
        <f>セットアップレポート!D260</f>
        <v>1</v>
      </c>
      <c r="F260">
        <f>セットアップレポート!E260</f>
        <v>1</v>
      </c>
      <c r="G260" t="str">
        <f>セットアップレポート!F260</f>
        <v>10011L</v>
      </c>
      <c r="H260">
        <f>セットアップレポート!G260</f>
        <v>11</v>
      </c>
      <c r="I260" t="str">
        <f>セットアップレポート!H260</f>
        <v>L</v>
      </c>
      <c r="J260" t="str">
        <f>セットアップレポート!I260</f>
        <v>9000066667 100043</v>
      </c>
      <c r="K260">
        <f>セットアップレポート!J260</f>
        <v>9000066667</v>
      </c>
      <c r="L260">
        <f>セットアップレポート!K260</f>
        <v>0</v>
      </c>
      <c r="M260">
        <f>セットアップレポート!L260</f>
        <v>0</v>
      </c>
      <c r="N260">
        <f>セットアップレポート!M260</f>
        <v>0</v>
      </c>
      <c r="O260">
        <f>セットアップレポート!N260</f>
        <v>0</v>
      </c>
      <c r="P260" t="str">
        <f>セットアップレポート!O260</f>
        <v>FA0220AFA654247</v>
      </c>
      <c r="Q260">
        <f>セットアップレポート!P260</f>
        <v>3000</v>
      </c>
      <c r="R260">
        <f>セットアップレポート!Q260</f>
        <v>45950.475324074076</v>
      </c>
      <c r="S260">
        <f>セットアップレポート!R260</f>
        <v>0</v>
      </c>
      <c r="T260">
        <f>セットアップレポート!S260</f>
        <v>0</v>
      </c>
      <c r="U260">
        <f>セットアップレポート!T260</f>
        <v>0</v>
      </c>
      <c r="V260">
        <f>セットアップレポート!U260</f>
        <v>0</v>
      </c>
      <c r="W260">
        <f>セットアップレポート!V260</f>
        <v>0</v>
      </c>
      <c r="X260">
        <f>セットアップレポート!W260</f>
        <v>0</v>
      </c>
      <c r="Y260">
        <f>セットアップレポート!X260</f>
        <v>0</v>
      </c>
      <c r="Z260">
        <f>セットアップレポート!Y260</f>
        <v>0</v>
      </c>
      <c r="AA260">
        <f>セットアップレポート!Z260</f>
        <v>0</v>
      </c>
      <c r="AB260" t="str">
        <f>セットアップレポート!AA260</f>
        <v>NONE</v>
      </c>
      <c r="AC260">
        <f>セットアップレポート!AB260</f>
        <v>0</v>
      </c>
      <c r="AD260">
        <f>セットアップレポート!AC260</f>
        <v>0</v>
      </c>
      <c r="AE260">
        <f>セットアップレポート!AD260</f>
        <v>0</v>
      </c>
      <c r="AF260">
        <f>セットアップレポート!AE260</f>
        <v>0</v>
      </c>
      <c r="AG260">
        <f>セットアップレポート!AF260</f>
        <v>0</v>
      </c>
      <c r="AH260">
        <f>セットアップレポート!AG260</f>
        <v>0</v>
      </c>
    </row>
    <row r="261" spans="1:34" x14ac:dyDescent="0.45">
      <c r="A261" t="str">
        <f t="shared" si="4"/>
        <v>L2-NPM050012L9000069552</v>
      </c>
      <c r="B261" t="str">
        <f>セットアップレポート!A261</f>
        <v>Line-2</v>
      </c>
      <c r="C261" t="str">
        <f>セットアップレポート!B261</f>
        <v>L2-NPM05</v>
      </c>
      <c r="D261" t="str">
        <f>セットアップレポート!C261</f>
        <v>Zone-2-NPMW-5</v>
      </c>
      <c r="E261">
        <f>セットアップレポート!D261</f>
        <v>1</v>
      </c>
      <c r="F261">
        <f>セットアップレポート!E261</f>
        <v>1</v>
      </c>
      <c r="G261" t="str">
        <f>セットアップレポート!F261</f>
        <v>10012L</v>
      </c>
      <c r="H261">
        <f>セットアップレポート!G261</f>
        <v>12</v>
      </c>
      <c r="I261" t="str">
        <f>セットアップレポート!H261</f>
        <v>L</v>
      </c>
      <c r="J261" t="str">
        <f>セットアップレポート!I261</f>
        <v>9000069552 100046</v>
      </c>
      <c r="K261">
        <f>セットアップレポート!J261</f>
        <v>9000069552</v>
      </c>
      <c r="L261">
        <f>セットアップレポート!K261</f>
        <v>0</v>
      </c>
      <c r="M261">
        <f>セットアップレポート!L261</f>
        <v>0</v>
      </c>
      <c r="N261">
        <f>セットアップレポート!M261</f>
        <v>0</v>
      </c>
      <c r="O261">
        <f>セットアップレポート!N261</f>
        <v>0</v>
      </c>
      <c r="P261" t="str">
        <f>セットアップレポート!O261</f>
        <v>FA0220ADF311831</v>
      </c>
      <c r="Q261">
        <f>セットアップレポート!P261</f>
        <v>1500</v>
      </c>
      <c r="R261">
        <f>セットアップレポート!Q261</f>
        <v>45950.475324074076</v>
      </c>
      <c r="S261">
        <f>セットアップレポート!R261</f>
        <v>0</v>
      </c>
      <c r="T261" t="str">
        <f>セットアップレポート!S261</f>
        <v>Yes</v>
      </c>
      <c r="U261">
        <f>セットアップレポート!T261</f>
        <v>0</v>
      </c>
      <c r="V261" t="str">
        <f>セットアップレポート!U261</f>
        <v>9000069552 100049</v>
      </c>
      <c r="W261">
        <f>セットアップレポート!V261</f>
        <v>0</v>
      </c>
      <c r="X261">
        <f>セットアップレポート!W261</f>
        <v>0</v>
      </c>
      <c r="Y261">
        <f>セットアップレポート!X261</f>
        <v>0</v>
      </c>
      <c r="Z261">
        <f>セットアップレポート!Y261</f>
        <v>0</v>
      </c>
      <c r="AA261">
        <f>セットアップレポート!Z261</f>
        <v>0</v>
      </c>
      <c r="AB261" t="str">
        <f>セットアップレポート!AA261</f>
        <v>NONE</v>
      </c>
      <c r="AC261">
        <f>セットアップレポート!AB261</f>
        <v>0</v>
      </c>
      <c r="AD261">
        <f>セットアップレポート!AC261</f>
        <v>0</v>
      </c>
      <c r="AE261">
        <f>セットアップレポート!AD261</f>
        <v>0</v>
      </c>
      <c r="AF261">
        <f>セットアップレポート!AE261</f>
        <v>0</v>
      </c>
      <c r="AG261">
        <f>セットアップレポート!AF261</f>
        <v>0</v>
      </c>
      <c r="AH261">
        <f>セットアップレポート!AG261</f>
        <v>0</v>
      </c>
    </row>
    <row r="262" spans="1:34" x14ac:dyDescent="0.45">
      <c r="A262" t="str">
        <f t="shared" si="4"/>
        <v>L2-NPM050013L9000063369</v>
      </c>
      <c r="B262" t="str">
        <f>セットアップレポート!A262</f>
        <v>Line-2</v>
      </c>
      <c r="C262" t="str">
        <f>セットアップレポート!B262</f>
        <v>L2-NPM05</v>
      </c>
      <c r="D262" t="str">
        <f>セットアップレポート!C262</f>
        <v>Zone-2-NPMW-5</v>
      </c>
      <c r="E262">
        <f>セットアップレポート!D262</f>
        <v>1</v>
      </c>
      <c r="F262">
        <f>セットアップレポート!E262</f>
        <v>1</v>
      </c>
      <c r="G262" t="str">
        <f>セットアップレポート!F262</f>
        <v>10013L</v>
      </c>
      <c r="H262">
        <f>セットアップレポート!G262</f>
        <v>13</v>
      </c>
      <c r="I262" t="str">
        <f>セットアップレポート!H262</f>
        <v>L</v>
      </c>
      <c r="J262" t="str">
        <f>セットアップレポート!I262</f>
        <v>9000063369 100026</v>
      </c>
      <c r="K262">
        <f>セットアップレポート!J262</f>
        <v>9000063369</v>
      </c>
      <c r="L262">
        <f>セットアップレポート!K262</f>
        <v>0</v>
      </c>
      <c r="M262">
        <f>セットアップレポート!L262</f>
        <v>0</v>
      </c>
      <c r="N262">
        <f>セットアップレポート!M262</f>
        <v>0</v>
      </c>
      <c r="O262">
        <f>セットアップレポート!N262</f>
        <v>0</v>
      </c>
      <c r="P262" t="str">
        <f>セットアップレポート!O262</f>
        <v>FA0220ADF311580</v>
      </c>
      <c r="Q262">
        <f>セットアップレポート!P262</f>
        <v>2500</v>
      </c>
      <c r="R262">
        <f>セットアップレポート!Q262</f>
        <v>45950.475324074076</v>
      </c>
      <c r="S262">
        <f>セットアップレポート!R262</f>
        <v>0</v>
      </c>
      <c r="T262">
        <f>セットアップレポート!S262</f>
        <v>0</v>
      </c>
      <c r="U262">
        <f>セットアップレポート!T262</f>
        <v>0</v>
      </c>
      <c r="V262">
        <f>セットアップレポート!U262</f>
        <v>0</v>
      </c>
      <c r="W262">
        <f>セットアップレポート!V262</f>
        <v>0</v>
      </c>
      <c r="X262">
        <f>セットアップレポート!W262</f>
        <v>0</v>
      </c>
      <c r="Y262">
        <f>セットアップレポート!X262</f>
        <v>0</v>
      </c>
      <c r="Z262">
        <f>セットアップレポート!Y262</f>
        <v>0</v>
      </c>
      <c r="AA262">
        <f>セットアップレポート!Z262</f>
        <v>0</v>
      </c>
      <c r="AB262" t="str">
        <f>セットアップレポート!AA262</f>
        <v>NONE</v>
      </c>
      <c r="AC262">
        <f>セットアップレポート!AB262</f>
        <v>0</v>
      </c>
      <c r="AD262">
        <f>セットアップレポート!AC262</f>
        <v>0</v>
      </c>
      <c r="AE262">
        <f>セットアップレポート!AD262</f>
        <v>0</v>
      </c>
      <c r="AF262">
        <f>セットアップレポート!AE262</f>
        <v>0</v>
      </c>
      <c r="AG262">
        <f>セットアップレポート!AF262</f>
        <v>0</v>
      </c>
      <c r="AH262">
        <f>セットアップレポート!AG262</f>
        <v>0</v>
      </c>
    </row>
    <row r="263" spans="1:34" x14ac:dyDescent="0.45">
      <c r="A263" t="str">
        <f t="shared" si="4"/>
        <v>L2-NPM050014L9000000714</v>
      </c>
      <c r="B263" t="str">
        <f>セットアップレポート!A263</f>
        <v>Line-2</v>
      </c>
      <c r="C263" t="str">
        <f>セットアップレポート!B263</f>
        <v>L2-NPM05</v>
      </c>
      <c r="D263" t="str">
        <f>セットアップレポート!C263</f>
        <v>Zone-2-NPMW-5</v>
      </c>
      <c r="E263">
        <f>セットアップレポート!D263</f>
        <v>1</v>
      </c>
      <c r="F263">
        <f>セットアップレポート!E263</f>
        <v>1</v>
      </c>
      <c r="G263" t="str">
        <f>セットアップレポート!F263</f>
        <v>10014L</v>
      </c>
      <c r="H263">
        <f>セットアップレポート!G263</f>
        <v>14</v>
      </c>
      <c r="I263" t="str">
        <f>セットアップレポート!H263</f>
        <v>L</v>
      </c>
      <c r="J263" t="str">
        <f>セットアップレポート!I263</f>
        <v>9000000714 100595</v>
      </c>
      <c r="K263">
        <f>セットアップレポート!J263</f>
        <v>9000000714</v>
      </c>
      <c r="L263">
        <f>セットアップレポート!K263</f>
        <v>0</v>
      </c>
      <c r="M263">
        <f>セットアップレポート!L263</f>
        <v>0</v>
      </c>
      <c r="N263">
        <f>セットアップレポート!M263</f>
        <v>0</v>
      </c>
      <c r="O263">
        <f>セットアップレポート!N263</f>
        <v>0</v>
      </c>
      <c r="P263" t="str">
        <f>セットアップレポート!O263</f>
        <v>FA0220ADF311733</v>
      </c>
      <c r="Q263">
        <f>セットアップレポート!P263</f>
        <v>1000</v>
      </c>
      <c r="R263">
        <f>セットアップレポート!Q263</f>
        <v>45950.475324074076</v>
      </c>
      <c r="S263">
        <f>セットアップレポート!R263</f>
        <v>0</v>
      </c>
      <c r="T263">
        <f>セットアップレポート!S263</f>
        <v>0</v>
      </c>
      <c r="U263">
        <f>セットアップレポート!T263</f>
        <v>0</v>
      </c>
      <c r="V263">
        <f>セットアップレポート!U263</f>
        <v>0</v>
      </c>
      <c r="W263">
        <f>セットアップレポート!V263</f>
        <v>0</v>
      </c>
      <c r="X263">
        <f>セットアップレポート!W263</f>
        <v>0</v>
      </c>
      <c r="Y263">
        <f>セットアップレポート!X263</f>
        <v>0</v>
      </c>
      <c r="Z263">
        <f>セットアップレポート!Y263</f>
        <v>0</v>
      </c>
      <c r="AA263">
        <f>セットアップレポート!Z263</f>
        <v>0</v>
      </c>
      <c r="AB263" t="str">
        <f>セットアップレポート!AA263</f>
        <v>NONE</v>
      </c>
      <c r="AC263">
        <f>セットアップレポート!AB263</f>
        <v>0</v>
      </c>
      <c r="AD263">
        <f>セットアップレポート!AC263</f>
        <v>0</v>
      </c>
      <c r="AE263">
        <f>セットアップレポート!AD263</f>
        <v>0</v>
      </c>
      <c r="AF263">
        <f>セットアップレポート!AE263</f>
        <v>0</v>
      </c>
      <c r="AG263">
        <f>セットアップレポート!AF263</f>
        <v>0</v>
      </c>
      <c r="AH263">
        <f>セットアップレポート!AG263</f>
        <v>0</v>
      </c>
    </row>
    <row r="264" spans="1:34" x14ac:dyDescent="0.45">
      <c r="A264" t="str">
        <f t="shared" si="4"/>
        <v>L2-NPM050015L9000059659</v>
      </c>
      <c r="B264" t="str">
        <f>セットアップレポート!A264</f>
        <v>Line-2</v>
      </c>
      <c r="C264" t="str">
        <f>セットアップレポート!B264</f>
        <v>L2-NPM05</v>
      </c>
      <c r="D264" t="str">
        <f>セットアップレポート!C264</f>
        <v>Zone-2-NPMW-5</v>
      </c>
      <c r="E264">
        <f>セットアップレポート!D264</f>
        <v>1</v>
      </c>
      <c r="F264">
        <f>セットアップレポート!E264</f>
        <v>1</v>
      </c>
      <c r="G264" t="str">
        <f>セットアップレポート!F264</f>
        <v>10015L</v>
      </c>
      <c r="H264">
        <f>セットアップレポート!G264</f>
        <v>15</v>
      </c>
      <c r="I264" t="str">
        <f>セットアップレポート!H264</f>
        <v>L</v>
      </c>
      <c r="J264" t="str">
        <f>セットアップレポート!I264</f>
        <v>9000059659 100102</v>
      </c>
      <c r="K264">
        <f>セットアップレポート!J264</f>
        <v>9000059659</v>
      </c>
      <c r="L264">
        <f>セットアップレポート!K264</f>
        <v>0</v>
      </c>
      <c r="M264">
        <f>セットアップレポート!L264</f>
        <v>0</v>
      </c>
      <c r="N264">
        <f>セットアップレポート!M264</f>
        <v>0</v>
      </c>
      <c r="O264">
        <f>セットアップレポート!N264</f>
        <v>0</v>
      </c>
      <c r="P264" t="str">
        <f>セットアップレポート!O264</f>
        <v>FA0220AFA654236</v>
      </c>
      <c r="Q264">
        <f>セットアップレポート!P264</f>
        <v>2000</v>
      </c>
      <c r="R264">
        <f>セットアップレポート!Q264</f>
        <v>45950.475324074076</v>
      </c>
      <c r="S264">
        <f>セットアップレポート!R264</f>
        <v>0</v>
      </c>
      <c r="T264">
        <f>セットアップレポート!S264</f>
        <v>0</v>
      </c>
      <c r="U264">
        <f>セットアップレポート!T264</f>
        <v>0</v>
      </c>
      <c r="V264">
        <f>セットアップレポート!U264</f>
        <v>0</v>
      </c>
      <c r="W264">
        <f>セットアップレポート!V264</f>
        <v>0</v>
      </c>
      <c r="X264">
        <f>セットアップレポート!W264</f>
        <v>0</v>
      </c>
      <c r="Y264">
        <f>セットアップレポート!X264</f>
        <v>0</v>
      </c>
      <c r="Z264">
        <f>セットアップレポート!Y264</f>
        <v>0</v>
      </c>
      <c r="AA264">
        <f>セットアップレポート!Z264</f>
        <v>0</v>
      </c>
      <c r="AB264" t="str">
        <f>セットアップレポート!AA264</f>
        <v>NONE</v>
      </c>
      <c r="AC264">
        <f>セットアップレポート!AB264</f>
        <v>0</v>
      </c>
      <c r="AD264">
        <f>セットアップレポート!AC264</f>
        <v>0</v>
      </c>
      <c r="AE264">
        <f>セットアップレポート!AD264</f>
        <v>0</v>
      </c>
      <c r="AF264">
        <f>セットアップレポート!AE264</f>
        <v>0</v>
      </c>
      <c r="AG264">
        <f>セットアップレポート!AF264</f>
        <v>0</v>
      </c>
      <c r="AH264">
        <f>セットアップレポート!AG264</f>
        <v>0</v>
      </c>
    </row>
    <row r="265" spans="1:34" x14ac:dyDescent="0.45">
      <c r="A265" t="str">
        <f t="shared" si="4"/>
        <v>L2-NPM050016L514588B</v>
      </c>
      <c r="B265" t="str">
        <f>セットアップレポート!A265</f>
        <v>Line-2</v>
      </c>
      <c r="C265" t="str">
        <f>セットアップレポート!B265</f>
        <v>L2-NPM05</v>
      </c>
      <c r="D265" t="str">
        <f>セットアップレポート!C265</f>
        <v>Zone-2-NPMW-5</v>
      </c>
      <c r="E265">
        <f>セットアップレポート!D265</f>
        <v>1</v>
      </c>
      <c r="F265">
        <f>セットアップレポート!E265</f>
        <v>1</v>
      </c>
      <c r="G265" t="str">
        <f>セットアップレポート!F265</f>
        <v>10016L</v>
      </c>
      <c r="H265">
        <f>セットアップレポート!G265</f>
        <v>16</v>
      </c>
      <c r="I265" t="str">
        <f>セットアップレポート!H265</f>
        <v>L</v>
      </c>
      <c r="J265" t="str">
        <f>セットアップレポート!I265</f>
        <v>514588B100756</v>
      </c>
      <c r="K265" t="str">
        <f>セットアップレポート!J265</f>
        <v>514588B</v>
      </c>
      <c r="L265">
        <f>セットアップレポート!K265</f>
        <v>0</v>
      </c>
      <c r="M265">
        <f>セットアップレポート!L265</f>
        <v>0</v>
      </c>
      <c r="N265">
        <f>セットアップレポート!M265</f>
        <v>0</v>
      </c>
      <c r="O265">
        <f>セットアップレポート!N265</f>
        <v>0</v>
      </c>
      <c r="P265" t="str">
        <f>セットアップレポート!O265</f>
        <v>FA0220AFA654303</v>
      </c>
      <c r="Q265">
        <f>セットアップレポート!P265</f>
        <v>3000</v>
      </c>
      <c r="R265">
        <f>セットアップレポート!Q265</f>
        <v>45950.475324074076</v>
      </c>
      <c r="S265">
        <f>セットアップレポート!R265</f>
        <v>0</v>
      </c>
      <c r="T265" t="str">
        <f>セットアップレポート!S265</f>
        <v>Yes</v>
      </c>
      <c r="U265">
        <f>セットアップレポート!T265</f>
        <v>0</v>
      </c>
      <c r="V265" t="str">
        <f>セットアップレポート!U265</f>
        <v>514588B100758</v>
      </c>
      <c r="W265">
        <f>セットアップレポート!V265</f>
        <v>0</v>
      </c>
      <c r="X265">
        <f>セットアップレポート!W265</f>
        <v>0</v>
      </c>
      <c r="Y265">
        <f>セットアップレポート!X265</f>
        <v>0</v>
      </c>
      <c r="Z265">
        <f>セットアップレポート!Y265</f>
        <v>0</v>
      </c>
      <c r="AA265">
        <f>セットアップレポート!Z265</f>
        <v>0</v>
      </c>
      <c r="AB265" t="str">
        <f>セットアップレポート!AA265</f>
        <v>NONE</v>
      </c>
      <c r="AC265">
        <f>セットアップレポート!AB265</f>
        <v>0</v>
      </c>
      <c r="AD265">
        <f>セットアップレポート!AC265</f>
        <v>0</v>
      </c>
      <c r="AE265">
        <f>セットアップレポート!AD265</f>
        <v>0</v>
      </c>
      <c r="AF265">
        <f>セットアップレポート!AE265</f>
        <v>0</v>
      </c>
      <c r="AG265">
        <f>セットアップレポート!AF265</f>
        <v>0</v>
      </c>
      <c r="AH265">
        <f>セットアップレポート!AG265</f>
        <v>0</v>
      </c>
    </row>
    <row r="266" spans="1:34" x14ac:dyDescent="0.45">
      <c r="A266" t="str">
        <f t="shared" si="4"/>
        <v>L2-NPM050017L9000070170</v>
      </c>
      <c r="B266" t="str">
        <f>セットアップレポート!A266</f>
        <v>Line-2</v>
      </c>
      <c r="C266" t="str">
        <f>セットアップレポート!B266</f>
        <v>L2-NPM05</v>
      </c>
      <c r="D266" t="str">
        <f>セットアップレポート!C266</f>
        <v>Zone-2-NPMW-5</v>
      </c>
      <c r="E266">
        <f>セットアップレポート!D266</f>
        <v>1</v>
      </c>
      <c r="F266">
        <f>セットアップレポート!E266</f>
        <v>1</v>
      </c>
      <c r="G266" t="str">
        <f>セットアップレポート!F266</f>
        <v>10017L</v>
      </c>
      <c r="H266">
        <f>セットアップレポート!G266</f>
        <v>17</v>
      </c>
      <c r="I266" t="str">
        <f>セットアップレポート!H266</f>
        <v>L</v>
      </c>
      <c r="J266" t="str">
        <f>セットアップレポート!I266</f>
        <v>9000070170 100007</v>
      </c>
      <c r="K266">
        <f>セットアップレポート!J266</f>
        <v>9000070170</v>
      </c>
      <c r="L266">
        <f>セットアップレポート!K266</f>
        <v>0</v>
      </c>
      <c r="M266">
        <f>セットアップレポート!L266</f>
        <v>0</v>
      </c>
      <c r="N266">
        <f>セットアップレポート!M266</f>
        <v>0</v>
      </c>
      <c r="O266">
        <f>セットアップレポート!N266</f>
        <v>0</v>
      </c>
      <c r="P266" t="str">
        <f>セットアップレポート!O266</f>
        <v>FA0220ADF311654</v>
      </c>
      <c r="Q266">
        <f>セットアップレポート!P266</f>
        <v>1000</v>
      </c>
      <c r="R266">
        <f>セットアップレポート!Q266</f>
        <v>45950.475324074076</v>
      </c>
      <c r="S266">
        <f>セットアップレポート!R266</f>
        <v>0</v>
      </c>
      <c r="T266">
        <f>セットアップレポート!S266</f>
        <v>0</v>
      </c>
      <c r="U266">
        <f>セットアップレポート!T266</f>
        <v>0</v>
      </c>
      <c r="V266">
        <f>セットアップレポート!U266</f>
        <v>0</v>
      </c>
      <c r="W266">
        <f>セットアップレポート!V266</f>
        <v>0</v>
      </c>
      <c r="X266">
        <f>セットアップレポート!W266</f>
        <v>0</v>
      </c>
      <c r="Y266">
        <f>セットアップレポート!X266</f>
        <v>0</v>
      </c>
      <c r="Z266">
        <f>セットアップレポート!Y266</f>
        <v>0</v>
      </c>
      <c r="AA266">
        <f>セットアップレポート!Z266</f>
        <v>0</v>
      </c>
      <c r="AB266" t="str">
        <f>セットアップレポート!AA266</f>
        <v>NONE</v>
      </c>
      <c r="AC266">
        <f>セットアップレポート!AB266</f>
        <v>0</v>
      </c>
      <c r="AD266">
        <f>セットアップレポート!AC266</f>
        <v>0</v>
      </c>
      <c r="AE266">
        <f>セットアップレポート!AD266</f>
        <v>0</v>
      </c>
      <c r="AF266">
        <f>セットアップレポート!AE266</f>
        <v>0</v>
      </c>
      <c r="AG266">
        <f>セットアップレポート!AF266</f>
        <v>0</v>
      </c>
      <c r="AH266">
        <f>セットアップレポート!AG266</f>
        <v>0</v>
      </c>
    </row>
    <row r="267" spans="1:34" x14ac:dyDescent="0.45">
      <c r="A267" t="str">
        <f t="shared" si="4"/>
        <v>L2-NPM050018L9000070169</v>
      </c>
      <c r="B267" t="str">
        <f>セットアップレポート!A267</f>
        <v>Line-2</v>
      </c>
      <c r="C267" t="str">
        <f>セットアップレポート!B267</f>
        <v>L2-NPM05</v>
      </c>
      <c r="D267" t="str">
        <f>セットアップレポート!C267</f>
        <v>Zone-2-NPMW-5</v>
      </c>
      <c r="E267">
        <f>セットアップレポート!D267</f>
        <v>1</v>
      </c>
      <c r="F267">
        <f>セットアップレポート!E267</f>
        <v>1</v>
      </c>
      <c r="G267" t="str">
        <f>セットアップレポート!F267</f>
        <v>10018L</v>
      </c>
      <c r="H267">
        <f>セットアップレポート!G267</f>
        <v>18</v>
      </c>
      <c r="I267" t="str">
        <f>セットアップレポート!H267</f>
        <v>L</v>
      </c>
      <c r="J267" t="str">
        <f>セットアップレポート!I267</f>
        <v>9000070169 100007</v>
      </c>
      <c r="K267">
        <f>セットアップレポート!J267</f>
        <v>9000070169</v>
      </c>
      <c r="L267">
        <f>セットアップレポート!K267</f>
        <v>0</v>
      </c>
      <c r="M267">
        <f>セットアップレポート!L267</f>
        <v>0</v>
      </c>
      <c r="N267">
        <f>セットアップレポート!M267</f>
        <v>0</v>
      </c>
      <c r="O267">
        <f>セットアップレポート!N267</f>
        <v>0</v>
      </c>
      <c r="P267" t="str">
        <f>セットアップレポート!O267</f>
        <v>FA0220ADF311851</v>
      </c>
      <c r="Q267">
        <f>セットアップレポート!P267</f>
        <v>1000</v>
      </c>
      <c r="R267">
        <f>セットアップレポート!Q267</f>
        <v>45950.475324074076</v>
      </c>
      <c r="S267">
        <f>セットアップレポート!R267</f>
        <v>0</v>
      </c>
      <c r="T267">
        <f>セットアップレポート!S267</f>
        <v>0</v>
      </c>
      <c r="U267">
        <f>セットアップレポート!T267</f>
        <v>0</v>
      </c>
      <c r="V267">
        <f>セットアップレポート!U267</f>
        <v>0</v>
      </c>
      <c r="W267">
        <f>セットアップレポート!V267</f>
        <v>0</v>
      </c>
      <c r="X267">
        <f>セットアップレポート!W267</f>
        <v>0</v>
      </c>
      <c r="Y267">
        <f>セットアップレポート!X267</f>
        <v>0</v>
      </c>
      <c r="Z267">
        <f>セットアップレポート!Y267</f>
        <v>0</v>
      </c>
      <c r="AA267">
        <f>セットアップレポート!Z267</f>
        <v>0</v>
      </c>
      <c r="AB267" t="str">
        <f>セットアップレポート!AA267</f>
        <v>NONE</v>
      </c>
      <c r="AC267">
        <f>セットアップレポート!AB267</f>
        <v>0</v>
      </c>
      <c r="AD267">
        <f>セットアップレポート!AC267</f>
        <v>0</v>
      </c>
      <c r="AE267">
        <f>セットアップレポート!AD267</f>
        <v>0</v>
      </c>
      <c r="AF267">
        <f>セットアップレポート!AE267</f>
        <v>0</v>
      </c>
      <c r="AG267">
        <f>セットアップレポート!AF267</f>
        <v>0</v>
      </c>
      <c r="AH267">
        <f>セットアップレポート!AG267</f>
        <v>0</v>
      </c>
    </row>
    <row r="268" spans="1:34" x14ac:dyDescent="0.45">
      <c r="A268" t="str">
        <f t="shared" si="4"/>
        <v>L2-NPM050019L9000065071</v>
      </c>
      <c r="B268" t="str">
        <f>セットアップレポート!A268</f>
        <v>Line-2</v>
      </c>
      <c r="C268" t="str">
        <f>セットアップレポート!B268</f>
        <v>L2-NPM05</v>
      </c>
      <c r="D268" t="str">
        <f>セットアップレポート!C268</f>
        <v>Zone-2-NPMW-5</v>
      </c>
      <c r="E268">
        <f>セットアップレポート!D268</f>
        <v>1</v>
      </c>
      <c r="F268">
        <f>セットアップレポート!E268</f>
        <v>1</v>
      </c>
      <c r="G268" t="str">
        <f>セットアップレポート!F268</f>
        <v>10019L</v>
      </c>
      <c r="H268">
        <f>セットアップレポート!G268</f>
        <v>19</v>
      </c>
      <c r="I268" t="str">
        <f>セットアップレポート!H268</f>
        <v>L</v>
      </c>
      <c r="J268" t="str">
        <f>セットアップレポート!I268</f>
        <v>9000065071 100013</v>
      </c>
      <c r="K268">
        <f>セットアップレポート!J268</f>
        <v>9000065071</v>
      </c>
      <c r="L268">
        <f>セットアップレポート!K268</f>
        <v>0</v>
      </c>
      <c r="M268">
        <f>セットアップレポート!L268</f>
        <v>0</v>
      </c>
      <c r="N268">
        <f>セットアップレポート!M268</f>
        <v>0</v>
      </c>
      <c r="O268">
        <f>セットアップレポート!N268</f>
        <v>0</v>
      </c>
      <c r="P268" t="str">
        <f>セットアップレポート!O268</f>
        <v>FA0220ADF311666</v>
      </c>
      <c r="Q268">
        <f>セットアップレポート!P268</f>
        <v>3000</v>
      </c>
      <c r="R268">
        <f>セットアップレポート!Q268</f>
        <v>45950.475324074076</v>
      </c>
      <c r="S268">
        <f>セットアップレポート!R268</f>
        <v>0</v>
      </c>
      <c r="T268">
        <f>セットアップレポート!S268</f>
        <v>0</v>
      </c>
      <c r="U268">
        <f>セットアップレポート!T268</f>
        <v>0</v>
      </c>
      <c r="V268">
        <f>セットアップレポート!U268</f>
        <v>0</v>
      </c>
      <c r="W268">
        <f>セットアップレポート!V268</f>
        <v>0</v>
      </c>
      <c r="X268">
        <f>セットアップレポート!W268</f>
        <v>0</v>
      </c>
      <c r="Y268">
        <f>セットアップレポート!X268</f>
        <v>0</v>
      </c>
      <c r="Z268">
        <f>セットアップレポート!Y268</f>
        <v>0</v>
      </c>
      <c r="AA268">
        <f>セットアップレポート!Z268</f>
        <v>0</v>
      </c>
      <c r="AB268" t="str">
        <f>セットアップレポート!AA268</f>
        <v>NONE</v>
      </c>
      <c r="AC268">
        <f>セットアップレポート!AB268</f>
        <v>0</v>
      </c>
      <c r="AD268">
        <f>セットアップレポート!AC268</f>
        <v>0</v>
      </c>
      <c r="AE268">
        <f>セットアップレポート!AD268</f>
        <v>0</v>
      </c>
      <c r="AF268">
        <f>セットアップレポート!AE268</f>
        <v>0</v>
      </c>
      <c r="AG268">
        <f>セットアップレポート!AF268</f>
        <v>0</v>
      </c>
      <c r="AH268">
        <f>セットアップレポート!AG268</f>
        <v>0</v>
      </c>
    </row>
    <row r="269" spans="1:34" x14ac:dyDescent="0.45">
      <c r="A269" t="str">
        <f t="shared" si="4"/>
        <v>L2-NPM050020L9000065070</v>
      </c>
      <c r="B269" t="str">
        <f>セットアップレポート!A269</f>
        <v>Line-2</v>
      </c>
      <c r="C269" t="str">
        <f>セットアップレポート!B269</f>
        <v>L2-NPM05</v>
      </c>
      <c r="D269" t="str">
        <f>セットアップレポート!C269</f>
        <v>Zone-2-NPMW-5</v>
      </c>
      <c r="E269">
        <f>セットアップレポート!D269</f>
        <v>1</v>
      </c>
      <c r="F269">
        <f>セットアップレポート!E269</f>
        <v>1</v>
      </c>
      <c r="G269" t="str">
        <f>セットアップレポート!F269</f>
        <v>10020L</v>
      </c>
      <c r="H269">
        <f>セットアップレポート!G269</f>
        <v>20</v>
      </c>
      <c r="I269" t="str">
        <f>セットアップレポート!H269</f>
        <v>L</v>
      </c>
      <c r="J269" t="str">
        <f>セットアップレポート!I269</f>
        <v>9000065070 100012</v>
      </c>
      <c r="K269">
        <f>セットアップレポート!J269</f>
        <v>9000065070</v>
      </c>
      <c r="L269">
        <f>セットアップレポート!K269</f>
        <v>0</v>
      </c>
      <c r="M269">
        <f>セットアップレポート!L269</f>
        <v>0</v>
      </c>
      <c r="N269">
        <f>セットアップレポート!M269</f>
        <v>0</v>
      </c>
      <c r="O269">
        <f>セットアップレポート!N269</f>
        <v>0</v>
      </c>
      <c r="P269" t="str">
        <f>セットアップレポート!O269</f>
        <v>FA0220ADF311609</v>
      </c>
      <c r="Q269">
        <f>セットアップレポート!P269</f>
        <v>1000</v>
      </c>
      <c r="R269">
        <f>セットアップレポート!Q269</f>
        <v>45950.475324074076</v>
      </c>
      <c r="S269">
        <f>セットアップレポート!R269</f>
        <v>0</v>
      </c>
      <c r="T269">
        <f>セットアップレポート!S269</f>
        <v>0</v>
      </c>
      <c r="U269">
        <f>セットアップレポート!T269</f>
        <v>0</v>
      </c>
      <c r="V269">
        <f>セットアップレポート!U269</f>
        <v>0</v>
      </c>
      <c r="W269">
        <f>セットアップレポート!V269</f>
        <v>0</v>
      </c>
      <c r="X269">
        <f>セットアップレポート!W269</f>
        <v>0</v>
      </c>
      <c r="Y269">
        <f>セットアップレポート!X269</f>
        <v>0</v>
      </c>
      <c r="Z269">
        <f>セットアップレポート!Y269</f>
        <v>0</v>
      </c>
      <c r="AA269">
        <f>セットアップレポート!Z269</f>
        <v>0</v>
      </c>
      <c r="AB269" t="str">
        <f>セットアップレポート!AA269</f>
        <v>NONE</v>
      </c>
      <c r="AC269">
        <f>セットアップレポート!AB269</f>
        <v>0</v>
      </c>
      <c r="AD269">
        <f>セットアップレポート!AC269</f>
        <v>0</v>
      </c>
      <c r="AE269">
        <f>セットアップレポート!AD269</f>
        <v>0</v>
      </c>
      <c r="AF269">
        <f>セットアップレポート!AE269</f>
        <v>0</v>
      </c>
      <c r="AG269">
        <f>セットアップレポート!AF269</f>
        <v>0</v>
      </c>
      <c r="AH269">
        <f>セットアップレポート!AG269</f>
        <v>0</v>
      </c>
    </row>
    <row r="270" spans="1:34" x14ac:dyDescent="0.45">
      <c r="A270" t="str">
        <f t="shared" si="4"/>
        <v>L2-NPM050021L9000070000</v>
      </c>
      <c r="B270" t="str">
        <f>セットアップレポート!A270</f>
        <v>Line-2</v>
      </c>
      <c r="C270" t="str">
        <f>セットアップレポート!B270</f>
        <v>L2-NPM05</v>
      </c>
      <c r="D270" t="str">
        <f>セットアップレポート!C270</f>
        <v>Zone-2-NPMW-5</v>
      </c>
      <c r="E270">
        <f>セットアップレポート!D270</f>
        <v>1</v>
      </c>
      <c r="F270">
        <f>セットアップレポート!E270</f>
        <v>1</v>
      </c>
      <c r="G270" t="str">
        <f>セットアップレポート!F270</f>
        <v>10021L</v>
      </c>
      <c r="H270">
        <f>セットアップレポート!G270</f>
        <v>21</v>
      </c>
      <c r="I270" t="str">
        <f>セットアップレポート!H270</f>
        <v>L</v>
      </c>
      <c r="J270" t="str">
        <f>セットアップレポート!I270</f>
        <v>9000070000 100004</v>
      </c>
      <c r="K270">
        <f>セットアップレポート!J270</f>
        <v>9000070000</v>
      </c>
      <c r="L270">
        <f>セットアップレポート!K270</f>
        <v>0</v>
      </c>
      <c r="M270">
        <f>セットアップレポート!L270</f>
        <v>0</v>
      </c>
      <c r="N270">
        <f>セットアップレポート!M270</f>
        <v>0</v>
      </c>
      <c r="O270">
        <f>セットアップレポート!N270</f>
        <v>0</v>
      </c>
      <c r="P270" t="str">
        <f>セットアップレポート!O270</f>
        <v>FA0220AFA654281</v>
      </c>
      <c r="Q270">
        <f>セットアップレポート!P270</f>
        <v>1000</v>
      </c>
      <c r="R270">
        <f>セットアップレポート!Q270</f>
        <v>45950.475324074076</v>
      </c>
      <c r="S270">
        <f>セットアップレポート!R270</f>
        <v>0</v>
      </c>
      <c r="T270">
        <f>セットアップレポート!S270</f>
        <v>0</v>
      </c>
      <c r="U270">
        <f>セットアップレポート!T270</f>
        <v>0</v>
      </c>
      <c r="V270">
        <f>セットアップレポート!U270</f>
        <v>0</v>
      </c>
      <c r="W270">
        <f>セットアップレポート!V270</f>
        <v>0</v>
      </c>
      <c r="X270">
        <f>セットアップレポート!W270</f>
        <v>0</v>
      </c>
      <c r="Y270">
        <f>セットアップレポート!X270</f>
        <v>0</v>
      </c>
      <c r="Z270">
        <f>セットアップレポート!Y270</f>
        <v>0</v>
      </c>
      <c r="AA270">
        <f>セットアップレポート!Z270</f>
        <v>0</v>
      </c>
      <c r="AB270" t="str">
        <f>セットアップレポート!AA270</f>
        <v>NONE</v>
      </c>
      <c r="AC270">
        <f>セットアップレポート!AB270</f>
        <v>0</v>
      </c>
      <c r="AD270">
        <f>セットアップレポート!AC270</f>
        <v>0</v>
      </c>
      <c r="AE270">
        <f>セットアップレポート!AD270</f>
        <v>0</v>
      </c>
      <c r="AF270">
        <f>セットアップレポート!AE270</f>
        <v>0</v>
      </c>
      <c r="AG270">
        <f>セットアップレポート!AF270</f>
        <v>0</v>
      </c>
      <c r="AH270">
        <f>セットアップレポート!AG270</f>
        <v>0</v>
      </c>
    </row>
    <row r="271" spans="1:34" x14ac:dyDescent="0.45">
      <c r="A271" t="str">
        <f t="shared" si="4"/>
        <v>L2-NPM050022L9000060539</v>
      </c>
      <c r="B271" t="str">
        <f>セットアップレポート!A271</f>
        <v>Line-2</v>
      </c>
      <c r="C271" t="str">
        <f>セットアップレポート!B271</f>
        <v>L2-NPM05</v>
      </c>
      <c r="D271" t="str">
        <f>セットアップレポート!C271</f>
        <v>Zone-2-NPMW-5</v>
      </c>
      <c r="E271">
        <f>セットアップレポート!D271</f>
        <v>1</v>
      </c>
      <c r="F271">
        <f>セットアップレポート!E271</f>
        <v>1</v>
      </c>
      <c r="G271" t="str">
        <f>セットアップレポート!F271</f>
        <v>10022L</v>
      </c>
      <c r="H271">
        <f>セットアップレポート!G271</f>
        <v>22</v>
      </c>
      <c r="I271" t="str">
        <f>セットアップレポート!H271</f>
        <v>L</v>
      </c>
      <c r="J271" t="str">
        <f>セットアップレポート!I271</f>
        <v>9000060539 100249</v>
      </c>
      <c r="K271">
        <f>セットアップレポート!J271</f>
        <v>9000060539</v>
      </c>
      <c r="L271">
        <f>セットアップレポート!K271</f>
        <v>0</v>
      </c>
      <c r="M271">
        <f>セットアップレポート!L271</f>
        <v>0</v>
      </c>
      <c r="N271">
        <f>セットアップレポート!M271</f>
        <v>0</v>
      </c>
      <c r="O271">
        <f>セットアップレポート!N271</f>
        <v>0</v>
      </c>
      <c r="P271" t="str">
        <f>セットアップレポート!O271</f>
        <v>FA0220ADF311671</v>
      </c>
      <c r="Q271">
        <f>セットアップレポート!P271</f>
        <v>2000</v>
      </c>
      <c r="R271">
        <f>セットアップレポート!Q271</f>
        <v>45950.475324074076</v>
      </c>
      <c r="S271">
        <f>セットアップレポート!R271</f>
        <v>0</v>
      </c>
      <c r="T271">
        <f>セットアップレポート!S271</f>
        <v>0</v>
      </c>
      <c r="U271">
        <f>セットアップレポート!T271</f>
        <v>0</v>
      </c>
      <c r="V271">
        <f>セットアップレポート!U271</f>
        <v>0</v>
      </c>
      <c r="W271">
        <f>セットアップレポート!V271</f>
        <v>0</v>
      </c>
      <c r="X271">
        <f>セットアップレポート!W271</f>
        <v>0</v>
      </c>
      <c r="Y271">
        <f>セットアップレポート!X271</f>
        <v>0</v>
      </c>
      <c r="Z271">
        <f>セットアップレポート!Y271</f>
        <v>0</v>
      </c>
      <c r="AA271">
        <f>セットアップレポート!Z271</f>
        <v>0</v>
      </c>
      <c r="AB271" t="str">
        <f>セットアップレポート!AA271</f>
        <v>NONE</v>
      </c>
      <c r="AC271">
        <f>セットアップレポート!AB271</f>
        <v>0</v>
      </c>
      <c r="AD271">
        <f>セットアップレポート!AC271</f>
        <v>0</v>
      </c>
      <c r="AE271">
        <f>セットアップレポート!AD271</f>
        <v>0</v>
      </c>
      <c r="AF271">
        <f>セットアップレポート!AE271</f>
        <v>0</v>
      </c>
      <c r="AG271">
        <f>セットアップレポート!AF271</f>
        <v>0</v>
      </c>
      <c r="AH271">
        <f>セットアップレポート!AG271</f>
        <v>0</v>
      </c>
    </row>
    <row r="272" spans="1:34" x14ac:dyDescent="0.45">
      <c r="A272" t="str">
        <f t="shared" si="4"/>
        <v>L2-NPM050023L9000057687</v>
      </c>
      <c r="B272" t="str">
        <f>セットアップレポート!A272</f>
        <v>Line-2</v>
      </c>
      <c r="C272" t="str">
        <f>セットアップレポート!B272</f>
        <v>L2-NPM05</v>
      </c>
      <c r="D272" t="str">
        <f>セットアップレポート!C272</f>
        <v>Zone-2-NPMW-5</v>
      </c>
      <c r="E272">
        <f>セットアップレポート!D272</f>
        <v>1</v>
      </c>
      <c r="F272">
        <f>セットアップレポート!E272</f>
        <v>1</v>
      </c>
      <c r="G272" t="str">
        <f>セットアップレポート!F272</f>
        <v>10023L</v>
      </c>
      <c r="H272">
        <f>セットアップレポート!G272</f>
        <v>23</v>
      </c>
      <c r="I272" t="str">
        <f>セットアップレポート!H272</f>
        <v>L</v>
      </c>
      <c r="J272" t="str">
        <f>セットアップレポート!I272</f>
        <v>9000057687 100325</v>
      </c>
      <c r="K272">
        <f>セットアップレポート!J272</f>
        <v>9000057687</v>
      </c>
      <c r="L272">
        <f>セットアップレポート!K272</f>
        <v>0</v>
      </c>
      <c r="M272">
        <f>セットアップレポート!L272</f>
        <v>0</v>
      </c>
      <c r="N272">
        <f>セットアップレポート!M272</f>
        <v>0</v>
      </c>
      <c r="O272">
        <f>セットアップレポート!N272</f>
        <v>0</v>
      </c>
      <c r="P272" t="str">
        <f>セットアップレポート!O272</f>
        <v>FA0220ADF311866</v>
      </c>
      <c r="Q272">
        <f>セットアップレポート!P272</f>
        <v>3500</v>
      </c>
      <c r="R272">
        <f>セットアップレポート!Q272</f>
        <v>45950.475324074076</v>
      </c>
      <c r="S272">
        <f>セットアップレポート!R272</f>
        <v>0</v>
      </c>
      <c r="T272">
        <f>セットアップレポート!S272</f>
        <v>0</v>
      </c>
      <c r="U272">
        <f>セットアップレポート!T272</f>
        <v>0</v>
      </c>
      <c r="V272">
        <f>セットアップレポート!U272</f>
        <v>0</v>
      </c>
      <c r="W272">
        <f>セットアップレポート!V272</f>
        <v>0</v>
      </c>
      <c r="X272">
        <f>セットアップレポート!W272</f>
        <v>0</v>
      </c>
      <c r="Y272">
        <f>セットアップレポート!X272</f>
        <v>0</v>
      </c>
      <c r="Z272">
        <f>セットアップレポート!Y272</f>
        <v>0</v>
      </c>
      <c r="AA272">
        <f>セットアップレポート!Z272</f>
        <v>0</v>
      </c>
      <c r="AB272" t="str">
        <f>セットアップレポート!AA272</f>
        <v>NONE</v>
      </c>
      <c r="AC272">
        <f>セットアップレポート!AB272</f>
        <v>0</v>
      </c>
      <c r="AD272">
        <f>セットアップレポート!AC272</f>
        <v>0</v>
      </c>
      <c r="AE272">
        <f>セットアップレポート!AD272</f>
        <v>0</v>
      </c>
      <c r="AF272">
        <f>セットアップレポート!AE272</f>
        <v>0</v>
      </c>
      <c r="AG272">
        <f>セットアップレポート!AF272</f>
        <v>0</v>
      </c>
      <c r="AH272">
        <f>セットアップレポート!AG272</f>
        <v>0</v>
      </c>
    </row>
    <row r="273" spans="1:34" x14ac:dyDescent="0.45">
      <c r="A273" t="str">
        <f t="shared" si="4"/>
        <v>L2-NPM050024L625067A</v>
      </c>
      <c r="B273" t="str">
        <f>セットアップレポート!A273</f>
        <v>Line-2</v>
      </c>
      <c r="C273" t="str">
        <f>セットアップレポート!B273</f>
        <v>L2-NPM05</v>
      </c>
      <c r="D273" t="str">
        <f>セットアップレポート!C273</f>
        <v>Zone-2-NPMW-5</v>
      </c>
      <c r="E273">
        <f>セットアップレポート!D273</f>
        <v>1</v>
      </c>
      <c r="F273">
        <f>セットアップレポート!E273</f>
        <v>1</v>
      </c>
      <c r="G273" t="str">
        <f>セットアップレポート!F273</f>
        <v>10024L</v>
      </c>
      <c r="H273">
        <f>セットアップレポート!G273</f>
        <v>24</v>
      </c>
      <c r="I273" t="str">
        <f>セットアップレポート!H273</f>
        <v>L</v>
      </c>
      <c r="J273" t="str">
        <f>セットアップレポート!I273</f>
        <v>625067A100080</v>
      </c>
      <c r="K273" t="str">
        <f>セットアップレポート!J273</f>
        <v>625067A</v>
      </c>
      <c r="L273">
        <f>セットアップレポート!K273</f>
        <v>0</v>
      </c>
      <c r="M273">
        <f>セットアップレポート!L273</f>
        <v>0</v>
      </c>
      <c r="N273">
        <f>セットアップレポート!M273</f>
        <v>0</v>
      </c>
      <c r="O273">
        <f>セットアップレポート!N273</f>
        <v>0</v>
      </c>
      <c r="P273" t="str">
        <f>セットアップレポート!O273</f>
        <v>FA0220AFA654018</v>
      </c>
      <c r="Q273">
        <f>セットアップレポート!P273</f>
        <v>816</v>
      </c>
      <c r="R273">
        <f>セットアップレポート!Q273</f>
        <v>45950.475324074076</v>
      </c>
      <c r="S273">
        <f>セットアップレポート!R273</f>
        <v>0</v>
      </c>
      <c r="T273">
        <f>セットアップレポート!S273</f>
        <v>0</v>
      </c>
      <c r="U273">
        <f>セットアップレポート!T273</f>
        <v>0</v>
      </c>
      <c r="V273">
        <f>セットアップレポート!U273</f>
        <v>0</v>
      </c>
      <c r="W273">
        <f>セットアップレポート!V273</f>
        <v>0</v>
      </c>
      <c r="X273">
        <f>セットアップレポート!W273</f>
        <v>0</v>
      </c>
      <c r="Y273">
        <f>セットアップレポート!X273</f>
        <v>0</v>
      </c>
      <c r="Z273">
        <f>セットアップレポート!Y273</f>
        <v>0</v>
      </c>
      <c r="AA273">
        <f>セットアップレポート!Z273</f>
        <v>0</v>
      </c>
      <c r="AB273" t="str">
        <f>セットアップレポート!AA273</f>
        <v>NONE</v>
      </c>
      <c r="AC273">
        <f>セットアップレポート!AB273</f>
        <v>0</v>
      </c>
      <c r="AD273">
        <f>セットアップレポート!AC273</f>
        <v>0</v>
      </c>
      <c r="AE273">
        <f>セットアップレポート!AD273</f>
        <v>0</v>
      </c>
      <c r="AF273">
        <f>セットアップレポート!AE273</f>
        <v>0</v>
      </c>
      <c r="AG273">
        <f>セットアップレポート!AF273</f>
        <v>0</v>
      </c>
      <c r="AH273">
        <f>セットアップレポート!AG273</f>
        <v>0</v>
      </c>
    </row>
    <row r="274" spans="1:34" x14ac:dyDescent="0.45">
      <c r="A274" t="str">
        <f t="shared" si="4"/>
        <v>L2-NPM050025L9000070461</v>
      </c>
      <c r="B274" t="str">
        <f>セットアップレポート!A274</f>
        <v>Line-2</v>
      </c>
      <c r="C274" t="str">
        <f>セットアップレポート!B274</f>
        <v>L2-NPM05</v>
      </c>
      <c r="D274" t="str">
        <f>セットアップレポート!C274</f>
        <v>Zone-2-NPMW-5</v>
      </c>
      <c r="E274">
        <f>セットアップレポート!D274</f>
        <v>1</v>
      </c>
      <c r="F274">
        <f>セットアップレポート!E274</f>
        <v>1</v>
      </c>
      <c r="G274" t="str">
        <f>セットアップレポート!F274</f>
        <v>10025L</v>
      </c>
      <c r="H274">
        <f>セットアップレポート!G274</f>
        <v>25</v>
      </c>
      <c r="I274" t="str">
        <f>セットアップレポート!H274</f>
        <v>L</v>
      </c>
      <c r="J274" t="str">
        <f>セットアップレポート!I274</f>
        <v>9000070461 100005</v>
      </c>
      <c r="K274">
        <f>セットアップレポート!J274</f>
        <v>9000070461</v>
      </c>
      <c r="L274">
        <f>セットアップレポート!K274</f>
        <v>0</v>
      </c>
      <c r="M274">
        <f>セットアップレポート!L274</f>
        <v>0</v>
      </c>
      <c r="N274">
        <f>セットアップレポート!M274</f>
        <v>0</v>
      </c>
      <c r="O274">
        <f>セットアップレポート!N274</f>
        <v>0</v>
      </c>
      <c r="P274" t="str">
        <f>セットアップレポート!O274</f>
        <v>FA0220ADF311626</v>
      </c>
      <c r="Q274">
        <f>セットアップレポート!P274</f>
        <v>1000</v>
      </c>
      <c r="R274">
        <f>セットアップレポート!Q274</f>
        <v>45950.475324074076</v>
      </c>
      <c r="S274">
        <f>セットアップレポート!R274</f>
        <v>0</v>
      </c>
      <c r="T274">
        <f>セットアップレポート!S274</f>
        <v>0</v>
      </c>
      <c r="U274">
        <f>セットアップレポート!T274</f>
        <v>0</v>
      </c>
      <c r="V274">
        <f>セットアップレポート!U274</f>
        <v>0</v>
      </c>
      <c r="W274">
        <f>セットアップレポート!V274</f>
        <v>0</v>
      </c>
      <c r="X274">
        <f>セットアップレポート!W274</f>
        <v>0</v>
      </c>
      <c r="Y274">
        <f>セットアップレポート!X274</f>
        <v>0</v>
      </c>
      <c r="Z274">
        <f>セットアップレポート!Y274</f>
        <v>0</v>
      </c>
      <c r="AA274">
        <f>セットアップレポート!Z274</f>
        <v>0</v>
      </c>
      <c r="AB274" t="str">
        <f>セットアップレポート!AA274</f>
        <v>NONE</v>
      </c>
      <c r="AC274">
        <f>セットアップレポート!AB274</f>
        <v>0</v>
      </c>
      <c r="AD274">
        <f>セットアップレポート!AC274</f>
        <v>0</v>
      </c>
      <c r="AE274">
        <f>セットアップレポート!AD274</f>
        <v>0</v>
      </c>
      <c r="AF274">
        <f>セットアップレポート!AE274</f>
        <v>0</v>
      </c>
      <c r="AG274">
        <f>セットアップレポート!AF274</f>
        <v>0</v>
      </c>
      <c r="AH274">
        <f>セットアップレポート!AG274</f>
        <v>0</v>
      </c>
    </row>
    <row r="275" spans="1:34" x14ac:dyDescent="0.45">
      <c r="A275" t="str">
        <f t="shared" si="4"/>
        <v>L2-NPM050026L662516</v>
      </c>
      <c r="B275" t="str">
        <f>セットアップレポート!A275</f>
        <v>Line-2</v>
      </c>
      <c r="C275" t="str">
        <f>セットアップレポート!B275</f>
        <v>L2-NPM05</v>
      </c>
      <c r="D275" t="str">
        <f>セットアップレポート!C275</f>
        <v>Zone-2-NPMW-5</v>
      </c>
      <c r="E275">
        <f>セットアップレポート!D275</f>
        <v>1</v>
      </c>
      <c r="F275">
        <f>セットアップレポート!E275</f>
        <v>1</v>
      </c>
      <c r="G275" t="str">
        <f>セットアップレポート!F275</f>
        <v>10026L</v>
      </c>
      <c r="H275">
        <f>セットアップレポート!G275</f>
        <v>26</v>
      </c>
      <c r="I275" t="str">
        <f>セットアップレポート!H275</f>
        <v>L</v>
      </c>
      <c r="J275" t="str">
        <f>セットアップレポート!I275</f>
        <v>662516 100269</v>
      </c>
      <c r="K275">
        <f>セットアップレポート!J275</f>
        <v>662516</v>
      </c>
      <c r="L275">
        <f>セットアップレポート!K275</f>
        <v>0</v>
      </c>
      <c r="M275">
        <f>セットアップレポート!L275</f>
        <v>0</v>
      </c>
      <c r="N275">
        <f>セットアップレポート!M275</f>
        <v>0</v>
      </c>
      <c r="O275">
        <f>セットアップレポート!N275</f>
        <v>0</v>
      </c>
      <c r="P275" t="str">
        <f>セットアップレポート!O275</f>
        <v>FA0201ACD049762</v>
      </c>
      <c r="Q275">
        <f>セットアップレポート!P275</f>
        <v>3000</v>
      </c>
      <c r="R275">
        <f>セットアップレポート!Q275</f>
        <v>45950.475324074076</v>
      </c>
      <c r="S275">
        <f>セットアップレポート!R275</f>
        <v>0</v>
      </c>
      <c r="T275">
        <f>セットアップレポート!S275</f>
        <v>0</v>
      </c>
      <c r="U275">
        <f>セットアップレポート!T275</f>
        <v>0</v>
      </c>
      <c r="V275">
        <f>セットアップレポート!U275</f>
        <v>0</v>
      </c>
      <c r="W275">
        <f>セットアップレポート!V275</f>
        <v>0</v>
      </c>
      <c r="X275">
        <f>セットアップレポート!W275</f>
        <v>0</v>
      </c>
      <c r="Y275">
        <f>セットアップレポート!X275</f>
        <v>0</v>
      </c>
      <c r="Z275">
        <f>セットアップレポート!Y275</f>
        <v>0</v>
      </c>
      <c r="AA275">
        <f>セットアップレポート!Z275</f>
        <v>0</v>
      </c>
      <c r="AB275" t="str">
        <f>セットアップレポート!AA275</f>
        <v>NONE</v>
      </c>
      <c r="AC275">
        <f>セットアップレポート!AB275</f>
        <v>0</v>
      </c>
      <c r="AD275">
        <f>セットアップレポート!AC275</f>
        <v>0</v>
      </c>
      <c r="AE275">
        <f>セットアップレポート!AD275</f>
        <v>0</v>
      </c>
      <c r="AF275">
        <f>セットアップレポート!AE275</f>
        <v>0</v>
      </c>
      <c r="AG275">
        <f>セットアップレポート!AF275</f>
        <v>0</v>
      </c>
      <c r="AH275">
        <f>セットアップレポート!AG275</f>
        <v>0</v>
      </c>
    </row>
    <row r="276" spans="1:34" x14ac:dyDescent="0.45">
      <c r="A276" t="str">
        <f t="shared" si="4"/>
        <v>L2-NPM050004L9000067264</v>
      </c>
      <c r="B276" t="str">
        <f>セットアップレポート!A276</f>
        <v>Line-2</v>
      </c>
      <c r="C276" t="str">
        <f>セットアップレポート!B276</f>
        <v>L2-NPM05</v>
      </c>
      <c r="D276" t="str">
        <f>セットアップレポート!C276</f>
        <v>Zone-2-NPMW-5</v>
      </c>
      <c r="E276">
        <f>セットアップレポート!D276</f>
        <v>1</v>
      </c>
      <c r="F276">
        <f>セットアップレポート!E276</f>
        <v>1</v>
      </c>
      <c r="G276" t="str">
        <f>セットアップレポート!F276</f>
        <v>20004L</v>
      </c>
      <c r="H276">
        <f>セットアップレポート!G276</f>
        <v>4</v>
      </c>
      <c r="I276" t="str">
        <f>セットアップレポート!H276</f>
        <v>L</v>
      </c>
      <c r="J276" t="str">
        <f>セットアップレポート!I276</f>
        <v>9000067264 100091</v>
      </c>
      <c r="K276">
        <f>セットアップレポート!J276</f>
        <v>9000067264</v>
      </c>
      <c r="L276">
        <f>セットアップレポート!K276</f>
        <v>0</v>
      </c>
      <c r="M276">
        <f>セットアップレポート!L276</f>
        <v>0</v>
      </c>
      <c r="N276">
        <f>セットアップレポート!M276</f>
        <v>0</v>
      </c>
      <c r="O276">
        <f>セットアップレポート!N276</f>
        <v>0</v>
      </c>
      <c r="P276" t="str">
        <f>セットアップレポート!O276</f>
        <v>FA0220ADF311869</v>
      </c>
      <c r="Q276">
        <f>セットアップレポート!P276</f>
        <v>1000</v>
      </c>
      <c r="R276">
        <f>セットアップレポート!Q276</f>
        <v>45950.475335648145</v>
      </c>
      <c r="S276">
        <f>セットアップレポート!R276</f>
        <v>0</v>
      </c>
      <c r="T276">
        <f>セットアップレポート!S276</f>
        <v>0</v>
      </c>
      <c r="U276">
        <f>セットアップレポート!T276</f>
        <v>0</v>
      </c>
      <c r="V276">
        <f>セットアップレポート!U276</f>
        <v>0</v>
      </c>
      <c r="W276">
        <f>セットアップレポート!V276</f>
        <v>0</v>
      </c>
      <c r="X276">
        <f>セットアップレポート!W276</f>
        <v>0</v>
      </c>
      <c r="Y276">
        <f>セットアップレポート!X276</f>
        <v>0</v>
      </c>
      <c r="Z276">
        <f>セットアップレポート!Y276</f>
        <v>0</v>
      </c>
      <c r="AA276">
        <f>セットアップレポート!Z276</f>
        <v>0</v>
      </c>
      <c r="AB276" t="str">
        <f>セットアップレポート!AA276</f>
        <v>NONE</v>
      </c>
      <c r="AC276">
        <f>セットアップレポート!AB276</f>
        <v>0</v>
      </c>
      <c r="AD276">
        <f>セットアップレポート!AC276</f>
        <v>0</v>
      </c>
      <c r="AE276">
        <f>セットアップレポート!AD276</f>
        <v>0</v>
      </c>
      <c r="AF276">
        <f>セットアップレポート!AE276</f>
        <v>0</v>
      </c>
      <c r="AG276">
        <f>セットアップレポート!AF276</f>
        <v>0</v>
      </c>
      <c r="AH276">
        <f>セットアップレポート!AG276</f>
        <v>0</v>
      </c>
    </row>
    <row r="277" spans="1:34" x14ac:dyDescent="0.45">
      <c r="A277" t="str">
        <f t="shared" si="4"/>
        <v>L2-NPM050005L9000065030</v>
      </c>
      <c r="B277" t="str">
        <f>セットアップレポート!A277</f>
        <v>Line-2</v>
      </c>
      <c r="C277" t="str">
        <f>セットアップレポート!B277</f>
        <v>L2-NPM05</v>
      </c>
      <c r="D277" t="str">
        <f>セットアップレポート!C277</f>
        <v>Zone-2-NPMW-5</v>
      </c>
      <c r="E277">
        <f>セットアップレポート!D277</f>
        <v>1</v>
      </c>
      <c r="F277">
        <f>セットアップレポート!E277</f>
        <v>1</v>
      </c>
      <c r="G277" t="str">
        <f>セットアップレポート!F277</f>
        <v>20005L</v>
      </c>
      <c r="H277">
        <f>セットアップレポート!G277</f>
        <v>5</v>
      </c>
      <c r="I277" t="str">
        <f>セットアップレポート!H277</f>
        <v>L</v>
      </c>
      <c r="J277" t="str">
        <f>セットアップレポート!I277</f>
        <v>9000065030 100177</v>
      </c>
      <c r="K277">
        <f>セットアップレポート!J277</f>
        <v>9000065030</v>
      </c>
      <c r="L277">
        <f>セットアップレポート!K277</f>
        <v>0</v>
      </c>
      <c r="M277">
        <f>セットアップレポート!L277</f>
        <v>0</v>
      </c>
      <c r="N277">
        <f>セットアップレポート!M277</f>
        <v>0</v>
      </c>
      <c r="O277">
        <f>セットアップレポート!N277</f>
        <v>0</v>
      </c>
      <c r="P277" t="str">
        <f>セットアップレポート!O277</f>
        <v>FA0220ADF311738</v>
      </c>
      <c r="Q277">
        <f>セットアップレポート!P277</f>
        <v>1000</v>
      </c>
      <c r="R277">
        <f>セットアップレポート!Q277</f>
        <v>45950.475335648145</v>
      </c>
      <c r="S277">
        <f>セットアップレポート!R277</f>
        <v>0</v>
      </c>
      <c r="T277" t="str">
        <f>セットアップレポート!S277</f>
        <v>Yes</v>
      </c>
      <c r="U277">
        <f>セットアップレポート!T277</f>
        <v>0</v>
      </c>
      <c r="V277" t="str">
        <f>セットアップレポート!U277</f>
        <v>9000065030 100184</v>
      </c>
      <c r="W277">
        <f>セットアップレポート!V277</f>
        <v>0</v>
      </c>
      <c r="X277">
        <f>セットアップレポート!W277</f>
        <v>0</v>
      </c>
      <c r="Y277">
        <f>セットアップレポート!X277</f>
        <v>0</v>
      </c>
      <c r="Z277">
        <f>セットアップレポート!Y277</f>
        <v>0</v>
      </c>
      <c r="AA277">
        <f>セットアップレポート!Z277</f>
        <v>0</v>
      </c>
      <c r="AB277" t="str">
        <f>セットアップレポート!AA277</f>
        <v>NONE</v>
      </c>
      <c r="AC277">
        <f>セットアップレポート!AB277</f>
        <v>0</v>
      </c>
      <c r="AD277">
        <f>セットアップレポート!AC277</f>
        <v>0</v>
      </c>
      <c r="AE277">
        <f>セットアップレポート!AD277</f>
        <v>0</v>
      </c>
      <c r="AF277">
        <f>セットアップレポート!AE277</f>
        <v>0</v>
      </c>
      <c r="AG277">
        <f>セットアップレポート!AF277</f>
        <v>0</v>
      </c>
      <c r="AH277">
        <f>セットアップレポート!AG277</f>
        <v>0</v>
      </c>
    </row>
    <row r="278" spans="1:34" x14ac:dyDescent="0.45">
      <c r="A278" t="str">
        <f t="shared" si="4"/>
        <v>L2-NPM050006L9000002204</v>
      </c>
      <c r="B278" t="str">
        <f>セットアップレポート!A278</f>
        <v>Line-2</v>
      </c>
      <c r="C278" t="str">
        <f>セットアップレポート!B278</f>
        <v>L2-NPM05</v>
      </c>
      <c r="D278" t="str">
        <f>セットアップレポート!C278</f>
        <v>Zone-2-NPMW-5</v>
      </c>
      <c r="E278">
        <f>セットアップレポート!D278</f>
        <v>1</v>
      </c>
      <c r="F278">
        <f>セットアップレポート!E278</f>
        <v>1</v>
      </c>
      <c r="G278" t="str">
        <f>セットアップレポート!F278</f>
        <v>20006L</v>
      </c>
      <c r="H278">
        <f>セットアップレポート!G278</f>
        <v>6</v>
      </c>
      <c r="I278" t="str">
        <f>セットアップレポート!H278</f>
        <v>L</v>
      </c>
      <c r="J278" t="str">
        <f>セットアップレポート!I278</f>
        <v>9000002204 100105</v>
      </c>
      <c r="K278">
        <f>セットアップレポート!J278</f>
        <v>9000002204</v>
      </c>
      <c r="L278">
        <f>セットアップレポート!K278</f>
        <v>0</v>
      </c>
      <c r="M278">
        <f>セットアップレポート!L278</f>
        <v>0</v>
      </c>
      <c r="N278">
        <f>セットアップレポート!M278</f>
        <v>0</v>
      </c>
      <c r="O278">
        <f>セットアップレポート!N278</f>
        <v>0</v>
      </c>
      <c r="P278" t="str">
        <f>セットアップレポート!O278</f>
        <v>FA0220AFA654244</v>
      </c>
      <c r="Q278">
        <f>セットアップレポート!P278</f>
        <v>4000</v>
      </c>
      <c r="R278">
        <f>セットアップレポート!Q278</f>
        <v>45950.475335648145</v>
      </c>
      <c r="S278">
        <f>セットアップレポート!R278</f>
        <v>0</v>
      </c>
      <c r="T278">
        <f>セットアップレポート!S278</f>
        <v>0</v>
      </c>
      <c r="U278">
        <f>セットアップレポート!T278</f>
        <v>0</v>
      </c>
      <c r="V278">
        <f>セットアップレポート!U278</f>
        <v>0</v>
      </c>
      <c r="W278">
        <f>セットアップレポート!V278</f>
        <v>0</v>
      </c>
      <c r="X278">
        <f>セットアップレポート!W278</f>
        <v>0</v>
      </c>
      <c r="Y278">
        <f>セットアップレポート!X278</f>
        <v>0</v>
      </c>
      <c r="Z278">
        <f>セットアップレポート!Y278</f>
        <v>0</v>
      </c>
      <c r="AA278">
        <f>セットアップレポート!Z278</f>
        <v>0</v>
      </c>
      <c r="AB278" t="str">
        <f>セットアップレポート!AA278</f>
        <v>NONE</v>
      </c>
      <c r="AC278">
        <f>セットアップレポート!AB278</f>
        <v>0</v>
      </c>
      <c r="AD278">
        <f>セットアップレポート!AC278</f>
        <v>0</v>
      </c>
      <c r="AE278">
        <f>セットアップレポート!AD278</f>
        <v>0</v>
      </c>
      <c r="AF278">
        <f>セットアップレポート!AE278</f>
        <v>0</v>
      </c>
      <c r="AG278">
        <f>セットアップレポート!AF278</f>
        <v>0</v>
      </c>
      <c r="AH278">
        <f>セットアップレポート!AG278</f>
        <v>0</v>
      </c>
    </row>
    <row r="279" spans="1:34" x14ac:dyDescent="0.45">
      <c r="A279" t="str">
        <f t="shared" si="4"/>
        <v>L2-NPM050007L935864</v>
      </c>
      <c r="B279" t="str">
        <f>セットアップレポート!A279</f>
        <v>Line-2</v>
      </c>
      <c r="C279" t="str">
        <f>セットアップレポート!B279</f>
        <v>L2-NPM05</v>
      </c>
      <c r="D279" t="str">
        <f>セットアップレポート!C279</f>
        <v>Zone-2-NPMW-5</v>
      </c>
      <c r="E279">
        <f>セットアップレポート!D279</f>
        <v>1</v>
      </c>
      <c r="F279">
        <f>セットアップレポート!E279</f>
        <v>1</v>
      </c>
      <c r="G279" t="str">
        <f>セットアップレポート!F279</f>
        <v>20007L</v>
      </c>
      <c r="H279">
        <f>セットアップレポート!G279</f>
        <v>7</v>
      </c>
      <c r="I279" t="str">
        <f>セットアップレポート!H279</f>
        <v>L</v>
      </c>
      <c r="J279" t="str">
        <f>セットアップレポート!I279</f>
        <v>935864 100524</v>
      </c>
      <c r="K279">
        <f>セットアップレポート!J279</f>
        <v>935864</v>
      </c>
      <c r="L279">
        <f>セットアップレポート!K279</f>
        <v>0</v>
      </c>
      <c r="M279">
        <f>セットアップレポート!L279</f>
        <v>0</v>
      </c>
      <c r="N279">
        <f>セットアップレポート!M279</f>
        <v>0</v>
      </c>
      <c r="O279">
        <f>セットアップレポート!N279</f>
        <v>0</v>
      </c>
      <c r="P279" t="str">
        <f>セットアップレポート!O279</f>
        <v>FA0220AFA654062</v>
      </c>
      <c r="Q279">
        <f>セットアップレポート!P279</f>
        <v>300</v>
      </c>
      <c r="R279">
        <f>セットアップレポート!Q279</f>
        <v>45932.639097222222</v>
      </c>
      <c r="S279">
        <f>セットアップレポート!R279</f>
        <v>0</v>
      </c>
      <c r="T279" t="str">
        <f>セットアップレポート!S279</f>
        <v>Yes</v>
      </c>
      <c r="U279">
        <f>セットアップレポート!T279</f>
        <v>0</v>
      </c>
      <c r="V279" t="str">
        <f>セットアップレポート!U279</f>
        <v>935864 100525</v>
      </c>
      <c r="W279">
        <f>セットアップレポート!V279</f>
        <v>0</v>
      </c>
      <c r="X279">
        <f>セットアップレポート!W279</f>
        <v>0</v>
      </c>
      <c r="Y279">
        <f>セットアップレポート!X279</f>
        <v>0</v>
      </c>
      <c r="Z279">
        <f>セットアップレポート!Y279</f>
        <v>0</v>
      </c>
      <c r="AA279">
        <f>セットアップレポート!Z279</f>
        <v>0</v>
      </c>
      <c r="AB279" t="str">
        <f>セットアップレポート!AA279</f>
        <v>NONE</v>
      </c>
      <c r="AC279">
        <f>セットアップレポート!AB279</f>
        <v>0</v>
      </c>
      <c r="AD279">
        <f>セットアップレポート!AC279</f>
        <v>0</v>
      </c>
      <c r="AE279">
        <f>セットアップレポート!AD279</f>
        <v>0</v>
      </c>
      <c r="AF279">
        <f>セットアップレポート!AE279</f>
        <v>0</v>
      </c>
      <c r="AG279">
        <f>セットアップレポート!AF279</f>
        <v>0</v>
      </c>
      <c r="AH279">
        <f>セットアップレポート!AG279</f>
        <v>0</v>
      </c>
    </row>
    <row r="280" spans="1:34" x14ac:dyDescent="0.45">
      <c r="A280" t="str">
        <f t="shared" si="4"/>
        <v>L2-NPM050008L9000063666</v>
      </c>
      <c r="B280" t="str">
        <f>セットアップレポート!A280</f>
        <v>Line-2</v>
      </c>
      <c r="C280" t="str">
        <f>セットアップレポート!B280</f>
        <v>L2-NPM05</v>
      </c>
      <c r="D280" t="str">
        <f>セットアップレポート!C280</f>
        <v>Zone-2-NPMW-5</v>
      </c>
      <c r="E280">
        <f>セットアップレポート!D280</f>
        <v>1</v>
      </c>
      <c r="F280">
        <f>セットアップレポート!E280</f>
        <v>1</v>
      </c>
      <c r="G280" t="str">
        <f>セットアップレポート!F280</f>
        <v>20008L</v>
      </c>
      <c r="H280">
        <f>セットアップレポート!G280</f>
        <v>8</v>
      </c>
      <c r="I280" t="str">
        <f>セットアップレポート!H280</f>
        <v>L</v>
      </c>
      <c r="J280" t="str">
        <f>セットアップレポート!I280</f>
        <v>9000063666 100063</v>
      </c>
      <c r="K280">
        <f>セットアップレポート!J280</f>
        <v>9000063666</v>
      </c>
      <c r="L280">
        <f>セットアップレポート!K280</f>
        <v>0</v>
      </c>
      <c r="M280">
        <f>セットアップレポート!L280</f>
        <v>0</v>
      </c>
      <c r="N280">
        <f>セットアップレポート!M280</f>
        <v>0</v>
      </c>
      <c r="O280">
        <f>セットアップレポート!N280</f>
        <v>0</v>
      </c>
      <c r="P280" t="str">
        <f>セットアップレポート!O280</f>
        <v>FA0220ADF311680</v>
      </c>
      <c r="Q280">
        <f>セットアップレポート!P280</f>
        <v>900</v>
      </c>
      <c r="R280">
        <f>セットアップレポート!Q280</f>
        <v>45950.475335648145</v>
      </c>
      <c r="S280">
        <f>セットアップレポート!R280</f>
        <v>0</v>
      </c>
      <c r="T280">
        <f>セットアップレポート!S280</f>
        <v>0</v>
      </c>
      <c r="U280">
        <f>セットアップレポート!T280</f>
        <v>0</v>
      </c>
      <c r="V280">
        <f>セットアップレポート!U280</f>
        <v>0</v>
      </c>
      <c r="W280">
        <f>セットアップレポート!V280</f>
        <v>0</v>
      </c>
      <c r="X280">
        <f>セットアップレポート!W280</f>
        <v>0</v>
      </c>
      <c r="Y280">
        <f>セットアップレポート!X280</f>
        <v>0</v>
      </c>
      <c r="Z280">
        <f>セットアップレポート!Y280</f>
        <v>0</v>
      </c>
      <c r="AA280">
        <f>セットアップレポート!Z280</f>
        <v>0</v>
      </c>
      <c r="AB280" t="str">
        <f>セットアップレポート!AA280</f>
        <v>NONE</v>
      </c>
      <c r="AC280">
        <f>セットアップレポート!AB280</f>
        <v>0</v>
      </c>
      <c r="AD280">
        <f>セットアップレポート!AC280</f>
        <v>0</v>
      </c>
      <c r="AE280">
        <f>セットアップレポート!AD280</f>
        <v>0</v>
      </c>
      <c r="AF280">
        <f>セットアップレポート!AE280</f>
        <v>0</v>
      </c>
      <c r="AG280">
        <f>セットアップレポート!AF280</f>
        <v>0</v>
      </c>
      <c r="AH280">
        <f>セットアップレポート!AG280</f>
        <v>0</v>
      </c>
    </row>
    <row r="281" spans="1:34" x14ac:dyDescent="0.45">
      <c r="A281" t="str">
        <f t="shared" si="4"/>
        <v>L2-NPM050009L9000064697</v>
      </c>
      <c r="B281" t="str">
        <f>セットアップレポート!A281</f>
        <v>Line-2</v>
      </c>
      <c r="C281" t="str">
        <f>セットアップレポート!B281</f>
        <v>L2-NPM05</v>
      </c>
      <c r="D281" t="str">
        <f>セットアップレポート!C281</f>
        <v>Zone-2-NPMW-5</v>
      </c>
      <c r="E281">
        <f>セットアップレポート!D281</f>
        <v>1</v>
      </c>
      <c r="F281">
        <f>セットアップレポート!E281</f>
        <v>1</v>
      </c>
      <c r="G281" t="str">
        <f>セットアップレポート!F281</f>
        <v>20009L</v>
      </c>
      <c r="H281">
        <f>セットアップレポート!G281</f>
        <v>9</v>
      </c>
      <c r="I281" t="str">
        <f>セットアップレポート!H281</f>
        <v>L</v>
      </c>
      <c r="J281" t="str">
        <f>セットアップレポート!I281</f>
        <v>9000064697 100005</v>
      </c>
      <c r="K281">
        <f>セットアップレポート!J281</f>
        <v>9000064697</v>
      </c>
      <c r="L281">
        <f>セットアップレポート!K281</f>
        <v>0</v>
      </c>
      <c r="M281">
        <f>セットアップレポート!L281</f>
        <v>0</v>
      </c>
      <c r="N281">
        <f>セットアップレポート!M281</f>
        <v>0</v>
      </c>
      <c r="O281">
        <f>セットアップレポート!N281</f>
        <v>0</v>
      </c>
      <c r="P281" t="str">
        <f>セットアップレポート!O281</f>
        <v>FA0220AFA654077</v>
      </c>
      <c r="Q281">
        <f>セットアップレポート!P281</f>
        <v>3000</v>
      </c>
      <c r="R281">
        <f>セットアップレポート!Q281</f>
        <v>45950.475335648145</v>
      </c>
      <c r="S281">
        <f>セットアップレポート!R281</f>
        <v>0</v>
      </c>
      <c r="T281">
        <f>セットアップレポート!S281</f>
        <v>0</v>
      </c>
      <c r="U281">
        <f>セットアップレポート!T281</f>
        <v>0</v>
      </c>
      <c r="V281">
        <f>セットアップレポート!U281</f>
        <v>0</v>
      </c>
      <c r="W281">
        <f>セットアップレポート!V281</f>
        <v>0</v>
      </c>
      <c r="X281">
        <f>セットアップレポート!W281</f>
        <v>0</v>
      </c>
      <c r="Y281">
        <f>セットアップレポート!X281</f>
        <v>0</v>
      </c>
      <c r="Z281">
        <f>セットアップレポート!Y281</f>
        <v>0</v>
      </c>
      <c r="AA281">
        <f>セットアップレポート!Z281</f>
        <v>0</v>
      </c>
      <c r="AB281" t="str">
        <f>セットアップレポート!AA281</f>
        <v>NONE</v>
      </c>
      <c r="AC281">
        <f>セットアップレポート!AB281</f>
        <v>0</v>
      </c>
      <c r="AD281">
        <f>セットアップレポート!AC281</f>
        <v>0</v>
      </c>
      <c r="AE281">
        <f>セットアップレポート!AD281</f>
        <v>0</v>
      </c>
      <c r="AF281">
        <f>セットアップレポート!AE281</f>
        <v>0</v>
      </c>
      <c r="AG281">
        <f>セットアップレポート!AF281</f>
        <v>0</v>
      </c>
      <c r="AH281">
        <f>セットアップレポート!AG281</f>
        <v>0</v>
      </c>
    </row>
    <row r="282" spans="1:34" x14ac:dyDescent="0.45">
      <c r="A282" t="str">
        <f t="shared" si="4"/>
        <v>L2-NPM050010L9000069354</v>
      </c>
      <c r="B282" t="str">
        <f>セットアップレポート!A282</f>
        <v>Line-2</v>
      </c>
      <c r="C282" t="str">
        <f>セットアップレポート!B282</f>
        <v>L2-NPM05</v>
      </c>
      <c r="D282" t="str">
        <f>セットアップレポート!C282</f>
        <v>Zone-2-NPMW-5</v>
      </c>
      <c r="E282">
        <f>セットアップレポート!D282</f>
        <v>1</v>
      </c>
      <c r="F282">
        <f>セットアップレポート!E282</f>
        <v>1</v>
      </c>
      <c r="G282" t="str">
        <f>セットアップレポート!F282</f>
        <v>20010L</v>
      </c>
      <c r="H282">
        <f>セットアップレポート!G282</f>
        <v>10</v>
      </c>
      <c r="I282" t="str">
        <f>セットアップレポート!H282</f>
        <v>L</v>
      </c>
      <c r="J282" t="str">
        <f>セットアップレポート!I282</f>
        <v>9000069354 100015</v>
      </c>
      <c r="K282">
        <f>セットアップレポート!J282</f>
        <v>9000069354</v>
      </c>
      <c r="L282">
        <f>セットアップレポート!K282</f>
        <v>0</v>
      </c>
      <c r="M282">
        <f>セットアップレポート!L282</f>
        <v>0</v>
      </c>
      <c r="N282">
        <f>セットアップレポート!M282</f>
        <v>0</v>
      </c>
      <c r="O282">
        <f>セットアップレポート!N282</f>
        <v>0</v>
      </c>
      <c r="P282" t="str">
        <f>セットアップレポート!O282</f>
        <v>FA0220AFA654044</v>
      </c>
      <c r="Q282">
        <f>セットアップレポート!P282</f>
        <v>1000</v>
      </c>
      <c r="R282">
        <f>セットアップレポート!Q282</f>
        <v>45950.475335648145</v>
      </c>
      <c r="S282">
        <f>セットアップレポート!R282</f>
        <v>0</v>
      </c>
      <c r="T282">
        <f>セットアップレポート!S282</f>
        <v>0</v>
      </c>
      <c r="U282">
        <f>セットアップレポート!T282</f>
        <v>0</v>
      </c>
      <c r="V282">
        <f>セットアップレポート!U282</f>
        <v>0</v>
      </c>
      <c r="W282">
        <f>セットアップレポート!V282</f>
        <v>0</v>
      </c>
      <c r="X282">
        <f>セットアップレポート!W282</f>
        <v>0</v>
      </c>
      <c r="Y282">
        <f>セットアップレポート!X282</f>
        <v>0</v>
      </c>
      <c r="Z282">
        <f>セットアップレポート!Y282</f>
        <v>0</v>
      </c>
      <c r="AA282">
        <f>セットアップレポート!Z282</f>
        <v>0</v>
      </c>
      <c r="AB282" t="str">
        <f>セットアップレポート!AA282</f>
        <v>NONE</v>
      </c>
      <c r="AC282">
        <f>セットアップレポート!AB282</f>
        <v>0</v>
      </c>
      <c r="AD282">
        <f>セットアップレポート!AC282</f>
        <v>0</v>
      </c>
      <c r="AE282">
        <f>セットアップレポート!AD282</f>
        <v>0</v>
      </c>
      <c r="AF282">
        <f>セットアップレポート!AE282</f>
        <v>0</v>
      </c>
      <c r="AG282">
        <f>セットアップレポート!AF282</f>
        <v>0</v>
      </c>
      <c r="AH282">
        <f>セットアップレポート!AG282</f>
        <v>0</v>
      </c>
    </row>
    <row r="283" spans="1:34" x14ac:dyDescent="0.45">
      <c r="A283" t="str">
        <f t="shared" si="4"/>
        <v>L2-NPM050011L662935A</v>
      </c>
      <c r="B283" t="str">
        <f>セットアップレポート!A283</f>
        <v>Line-2</v>
      </c>
      <c r="C283" t="str">
        <f>セットアップレポート!B283</f>
        <v>L2-NPM05</v>
      </c>
      <c r="D283" t="str">
        <f>セットアップレポート!C283</f>
        <v>Zone-2-NPMW-5</v>
      </c>
      <c r="E283">
        <f>セットアップレポート!D283</f>
        <v>1</v>
      </c>
      <c r="F283">
        <f>セットアップレポート!E283</f>
        <v>1</v>
      </c>
      <c r="G283" t="str">
        <f>セットアップレポート!F283</f>
        <v>20011L</v>
      </c>
      <c r="H283">
        <f>セットアップレポート!G283</f>
        <v>11</v>
      </c>
      <c r="I283" t="str">
        <f>セットアップレポート!H283</f>
        <v>L</v>
      </c>
      <c r="J283" t="str">
        <f>セットアップレポート!I283</f>
        <v>662935A100013</v>
      </c>
      <c r="K283" t="str">
        <f>セットアップレポート!J283</f>
        <v>662935A</v>
      </c>
      <c r="L283">
        <f>セットアップレポート!K283</f>
        <v>0</v>
      </c>
      <c r="M283">
        <f>セットアップレポート!L283</f>
        <v>0</v>
      </c>
      <c r="N283">
        <f>セットアップレポート!M283</f>
        <v>0</v>
      </c>
      <c r="O283">
        <f>セットアップレポート!N283</f>
        <v>0</v>
      </c>
      <c r="P283" t="str">
        <f>セットアップレポート!O283</f>
        <v>FA0220AFA654347</v>
      </c>
      <c r="Q283">
        <f>セットアップレポート!P283</f>
        <v>2000</v>
      </c>
      <c r="R283">
        <f>セットアップレポート!Q283</f>
        <v>45950.475335648145</v>
      </c>
      <c r="S283">
        <f>セットアップレポート!R283</f>
        <v>0</v>
      </c>
      <c r="T283">
        <f>セットアップレポート!S283</f>
        <v>0</v>
      </c>
      <c r="U283">
        <f>セットアップレポート!T283</f>
        <v>0</v>
      </c>
      <c r="V283">
        <f>セットアップレポート!U283</f>
        <v>0</v>
      </c>
      <c r="W283">
        <f>セットアップレポート!V283</f>
        <v>0</v>
      </c>
      <c r="X283">
        <f>セットアップレポート!W283</f>
        <v>0</v>
      </c>
      <c r="Y283">
        <f>セットアップレポート!X283</f>
        <v>0</v>
      </c>
      <c r="Z283">
        <f>セットアップレポート!Y283</f>
        <v>0</v>
      </c>
      <c r="AA283">
        <f>セットアップレポート!Z283</f>
        <v>0</v>
      </c>
      <c r="AB283" t="str">
        <f>セットアップレポート!AA283</f>
        <v>NONE</v>
      </c>
      <c r="AC283">
        <f>セットアップレポート!AB283</f>
        <v>0</v>
      </c>
      <c r="AD283">
        <f>セットアップレポート!AC283</f>
        <v>0</v>
      </c>
      <c r="AE283">
        <f>セットアップレポート!AD283</f>
        <v>0</v>
      </c>
      <c r="AF283">
        <f>セットアップレポート!AE283</f>
        <v>0</v>
      </c>
      <c r="AG283">
        <f>セットアップレポート!AF283</f>
        <v>0</v>
      </c>
      <c r="AH283">
        <f>セットアップレポート!AG283</f>
        <v>0</v>
      </c>
    </row>
    <row r="284" spans="1:34" x14ac:dyDescent="0.45">
      <c r="A284" t="str">
        <f t="shared" si="4"/>
        <v>L2-NPM050012L9000059543</v>
      </c>
      <c r="B284" t="str">
        <f>セットアップレポート!A284</f>
        <v>Line-2</v>
      </c>
      <c r="C284" t="str">
        <f>セットアップレポート!B284</f>
        <v>L2-NPM05</v>
      </c>
      <c r="D284" t="str">
        <f>セットアップレポート!C284</f>
        <v>Zone-2-NPMW-5</v>
      </c>
      <c r="E284">
        <f>セットアップレポート!D284</f>
        <v>1</v>
      </c>
      <c r="F284">
        <f>セットアップレポート!E284</f>
        <v>1</v>
      </c>
      <c r="G284" t="str">
        <f>セットアップレポート!F284</f>
        <v>20012L</v>
      </c>
      <c r="H284">
        <f>セットアップレポート!G284</f>
        <v>12</v>
      </c>
      <c r="I284" t="str">
        <f>セットアップレポート!H284</f>
        <v>L</v>
      </c>
      <c r="J284" t="str">
        <f>セットアップレポート!I284</f>
        <v>9000059543 100812</v>
      </c>
      <c r="K284">
        <f>セットアップレポート!J284</f>
        <v>9000059543</v>
      </c>
      <c r="L284">
        <f>セットアップレポート!K284</f>
        <v>0</v>
      </c>
      <c r="M284">
        <f>セットアップレポート!L284</f>
        <v>0</v>
      </c>
      <c r="N284">
        <f>セットアップレポート!M284</f>
        <v>0</v>
      </c>
      <c r="O284">
        <f>セットアップレポート!N284</f>
        <v>0</v>
      </c>
      <c r="P284" t="str">
        <f>セットアップレポート!O284</f>
        <v>FA0220AFA654253</v>
      </c>
      <c r="Q284">
        <f>セットアップレポート!P284</f>
        <v>2000</v>
      </c>
      <c r="R284">
        <f>セットアップレポート!Q284</f>
        <v>45950.475335648145</v>
      </c>
      <c r="S284">
        <f>セットアップレポート!R284</f>
        <v>0</v>
      </c>
      <c r="T284">
        <f>セットアップレポート!S284</f>
        <v>0</v>
      </c>
      <c r="U284">
        <f>セットアップレポート!T284</f>
        <v>0</v>
      </c>
      <c r="V284">
        <f>セットアップレポート!U284</f>
        <v>0</v>
      </c>
      <c r="W284">
        <f>セットアップレポート!V284</f>
        <v>0</v>
      </c>
      <c r="X284">
        <f>セットアップレポート!W284</f>
        <v>0</v>
      </c>
      <c r="Y284">
        <f>セットアップレポート!X284</f>
        <v>0</v>
      </c>
      <c r="Z284">
        <f>セットアップレポート!Y284</f>
        <v>0</v>
      </c>
      <c r="AA284">
        <f>セットアップレポート!Z284</f>
        <v>0</v>
      </c>
      <c r="AB284" t="str">
        <f>セットアップレポート!AA284</f>
        <v>NONE</v>
      </c>
      <c r="AC284">
        <f>セットアップレポート!AB284</f>
        <v>0</v>
      </c>
      <c r="AD284">
        <f>セットアップレポート!AC284</f>
        <v>0</v>
      </c>
      <c r="AE284">
        <f>セットアップレポート!AD284</f>
        <v>0</v>
      </c>
      <c r="AF284">
        <f>セットアップレポート!AE284</f>
        <v>0</v>
      </c>
      <c r="AG284">
        <f>セットアップレポート!AF284</f>
        <v>0</v>
      </c>
      <c r="AH284">
        <f>セットアップレポート!AG284</f>
        <v>0</v>
      </c>
    </row>
    <row r="285" spans="1:34" x14ac:dyDescent="0.45">
      <c r="A285" t="str">
        <f t="shared" si="4"/>
        <v>L2-NPM050013L9000041866</v>
      </c>
      <c r="B285" t="str">
        <f>セットアップレポート!A285</f>
        <v>Line-2</v>
      </c>
      <c r="C285" t="str">
        <f>セットアップレポート!B285</f>
        <v>L2-NPM05</v>
      </c>
      <c r="D285" t="str">
        <f>セットアップレポート!C285</f>
        <v>Zone-2-NPMW-5</v>
      </c>
      <c r="E285">
        <f>セットアップレポート!D285</f>
        <v>1</v>
      </c>
      <c r="F285">
        <f>セットアップレポート!E285</f>
        <v>1</v>
      </c>
      <c r="G285" t="str">
        <f>セットアップレポート!F285</f>
        <v>20013L</v>
      </c>
      <c r="H285">
        <f>セットアップレポート!G285</f>
        <v>13</v>
      </c>
      <c r="I285" t="str">
        <f>セットアップレポート!H285</f>
        <v>L</v>
      </c>
      <c r="J285" t="str">
        <f>セットアップレポート!I285</f>
        <v>9000041866 100377</v>
      </c>
      <c r="K285">
        <f>セットアップレポート!J285</f>
        <v>9000041866</v>
      </c>
      <c r="L285">
        <f>セットアップレポート!K285</f>
        <v>0</v>
      </c>
      <c r="M285">
        <f>セットアップレポート!L285</f>
        <v>0</v>
      </c>
      <c r="N285">
        <f>セットアップレポート!M285</f>
        <v>0</v>
      </c>
      <c r="O285">
        <f>セットアップレポート!N285</f>
        <v>0</v>
      </c>
      <c r="P285" t="str">
        <f>セットアップレポート!O285</f>
        <v>FA0220AFA654067</v>
      </c>
      <c r="Q285">
        <f>セットアップレポート!P285</f>
        <v>1000</v>
      </c>
      <c r="R285">
        <f>セットアップレポート!Q285</f>
        <v>45950.475335648145</v>
      </c>
      <c r="S285">
        <f>セットアップレポート!R285</f>
        <v>0</v>
      </c>
      <c r="T285">
        <f>セットアップレポート!S285</f>
        <v>0</v>
      </c>
      <c r="U285">
        <f>セットアップレポート!T285</f>
        <v>0</v>
      </c>
      <c r="V285">
        <f>セットアップレポート!U285</f>
        <v>0</v>
      </c>
      <c r="W285">
        <f>セットアップレポート!V285</f>
        <v>0</v>
      </c>
      <c r="X285">
        <f>セットアップレポート!W285</f>
        <v>0</v>
      </c>
      <c r="Y285">
        <f>セットアップレポート!X285</f>
        <v>0</v>
      </c>
      <c r="Z285">
        <f>セットアップレポート!Y285</f>
        <v>0</v>
      </c>
      <c r="AA285">
        <f>セットアップレポート!Z285</f>
        <v>0</v>
      </c>
      <c r="AB285" t="str">
        <f>セットアップレポート!AA285</f>
        <v>NONE</v>
      </c>
      <c r="AC285">
        <f>セットアップレポート!AB285</f>
        <v>0</v>
      </c>
      <c r="AD285">
        <f>セットアップレポート!AC285</f>
        <v>0</v>
      </c>
      <c r="AE285">
        <f>セットアップレポート!AD285</f>
        <v>0</v>
      </c>
      <c r="AF285">
        <f>セットアップレポート!AE285</f>
        <v>0</v>
      </c>
      <c r="AG285">
        <f>セットアップレポート!AF285</f>
        <v>0</v>
      </c>
      <c r="AH285">
        <f>セットアップレポート!AG285</f>
        <v>0</v>
      </c>
    </row>
    <row r="286" spans="1:34" x14ac:dyDescent="0.45">
      <c r="A286" t="str">
        <f t="shared" si="4"/>
        <v>L2-NPM050014L9000069832</v>
      </c>
      <c r="B286" t="str">
        <f>セットアップレポート!A286</f>
        <v>Line-2</v>
      </c>
      <c r="C286" t="str">
        <f>セットアップレポート!B286</f>
        <v>L2-NPM05</v>
      </c>
      <c r="D286" t="str">
        <f>セットアップレポート!C286</f>
        <v>Zone-2-NPMW-5</v>
      </c>
      <c r="E286">
        <f>セットアップレポート!D286</f>
        <v>1</v>
      </c>
      <c r="F286">
        <f>セットアップレポート!E286</f>
        <v>1</v>
      </c>
      <c r="G286" t="str">
        <f>セットアップレポート!F286</f>
        <v>20014L</v>
      </c>
      <c r="H286">
        <f>セットアップレポート!G286</f>
        <v>14</v>
      </c>
      <c r="I286" t="str">
        <f>セットアップレポート!H286</f>
        <v>L</v>
      </c>
      <c r="J286" t="str">
        <f>セットアップレポート!I286</f>
        <v>9000069832 100004</v>
      </c>
      <c r="K286">
        <f>セットアップレポート!J286</f>
        <v>9000069832</v>
      </c>
      <c r="L286">
        <f>セットアップレポート!K286</f>
        <v>0</v>
      </c>
      <c r="M286">
        <f>セットアップレポート!L286</f>
        <v>0</v>
      </c>
      <c r="N286">
        <f>セットアップレポート!M286</f>
        <v>0</v>
      </c>
      <c r="O286">
        <f>セットアップレポート!N286</f>
        <v>0</v>
      </c>
      <c r="P286" t="str">
        <f>セットアップレポート!O286</f>
        <v>FA0220ADF311421</v>
      </c>
      <c r="Q286">
        <f>セットアップレポート!P286</f>
        <v>1500</v>
      </c>
      <c r="R286">
        <f>セットアップレポート!Q286</f>
        <v>45950.475335648145</v>
      </c>
      <c r="S286">
        <f>セットアップレポート!R286</f>
        <v>0</v>
      </c>
      <c r="T286">
        <f>セットアップレポート!S286</f>
        <v>0</v>
      </c>
      <c r="U286">
        <f>セットアップレポート!T286</f>
        <v>0</v>
      </c>
      <c r="V286">
        <f>セットアップレポート!U286</f>
        <v>0</v>
      </c>
      <c r="W286">
        <f>セットアップレポート!V286</f>
        <v>0</v>
      </c>
      <c r="X286">
        <f>セットアップレポート!W286</f>
        <v>0</v>
      </c>
      <c r="Y286">
        <f>セットアップレポート!X286</f>
        <v>0</v>
      </c>
      <c r="Z286">
        <f>セットアップレポート!Y286</f>
        <v>0</v>
      </c>
      <c r="AA286">
        <f>セットアップレポート!Z286</f>
        <v>0</v>
      </c>
      <c r="AB286" t="str">
        <f>セットアップレポート!AA286</f>
        <v>NONE</v>
      </c>
      <c r="AC286">
        <f>セットアップレポート!AB286</f>
        <v>0</v>
      </c>
      <c r="AD286">
        <f>セットアップレポート!AC286</f>
        <v>0</v>
      </c>
      <c r="AE286">
        <f>セットアップレポート!AD286</f>
        <v>0</v>
      </c>
      <c r="AF286">
        <f>セットアップレポート!AE286</f>
        <v>0</v>
      </c>
      <c r="AG286">
        <f>セットアップレポート!AF286</f>
        <v>0</v>
      </c>
      <c r="AH286">
        <f>セットアップレポート!AG286</f>
        <v>0</v>
      </c>
    </row>
    <row r="287" spans="1:34" x14ac:dyDescent="0.45">
      <c r="A287" t="str">
        <f t="shared" si="4"/>
        <v>L2-NPM050015L679347A</v>
      </c>
      <c r="B287" t="str">
        <f>セットアップレポート!A287</f>
        <v>Line-2</v>
      </c>
      <c r="C287" t="str">
        <f>セットアップレポート!B287</f>
        <v>L2-NPM05</v>
      </c>
      <c r="D287" t="str">
        <f>セットアップレポート!C287</f>
        <v>Zone-2-NPMW-5</v>
      </c>
      <c r="E287">
        <f>セットアップレポート!D287</f>
        <v>1</v>
      </c>
      <c r="F287">
        <f>セットアップレポート!E287</f>
        <v>1</v>
      </c>
      <c r="G287" t="str">
        <f>セットアップレポート!F287</f>
        <v>20015L</v>
      </c>
      <c r="H287">
        <f>セットアップレポート!G287</f>
        <v>15</v>
      </c>
      <c r="I287" t="str">
        <f>セットアップレポート!H287</f>
        <v>L</v>
      </c>
      <c r="J287" t="str">
        <f>セットアップレポート!I287</f>
        <v>679347A100126</v>
      </c>
      <c r="K287" t="str">
        <f>セットアップレポート!J287</f>
        <v>679347A</v>
      </c>
      <c r="L287">
        <f>セットアップレポート!K287</f>
        <v>0</v>
      </c>
      <c r="M287">
        <f>セットアップレポート!L287</f>
        <v>0</v>
      </c>
      <c r="N287">
        <f>セットアップレポート!M287</f>
        <v>0</v>
      </c>
      <c r="O287">
        <f>セットアップレポート!N287</f>
        <v>0</v>
      </c>
      <c r="P287" t="str">
        <f>セットアップレポート!O287</f>
        <v>FA0220ADF311427</v>
      </c>
      <c r="Q287">
        <f>セットアップレポート!P287</f>
        <v>2500</v>
      </c>
      <c r="R287">
        <f>セットアップレポート!Q287</f>
        <v>45950.475335648145</v>
      </c>
      <c r="S287">
        <f>セットアップレポート!R287</f>
        <v>0</v>
      </c>
      <c r="T287">
        <f>セットアップレポート!S287</f>
        <v>0</v>
      </c>
      <c r="U287">
        <f>セットアップレポート!T287</f>
        <v>0</v>
      </c>
      <c r="V287">
        <f>セットアップレポート!U287</f>
        <v>0</v>
      </c>
      <c r="W287">
        <f>セットアップレポート!V287</f>
        <v>0</v>
      </c>
      <c r="X287">
        <f>セットアップレポート!W287</f>
        <v>0</v>
      </c>
      <c r="Y287">
        <f>セットアップレポート!X287</f>
        <v>0</v>
      </c>
      <c r="Z287">
        <f>セットアップレポート!Y287</f>
        <v>0</v>
      </c>
      <c r="AA287">
        <f>セットアップレポート!Z287</f>
        <v>0</v>
      </c>
      <c r="AB287" t="str">
        <f>セットアップレポート!AA287</f>
        <v>NONE</v>
      </c>
      <c r="AC287">
        <f>セットアップレポート!AB287</f>
        <v>0</v>
      </c>
      <c r="AD287">
        <f>セットアップレポート!AC287</f>
        <v>0</v>
      </c>
      <c r="AE287">
        <f>セットアップレポート!AD287</f>
        <v>0</v>
      </c>
      <c r="AF287">
        <f>セットアップレポート!AE287</f>
        <v>0</v>
      </c>
      <c r="AG287">
        <f>セットアップレポート!AF287</f>
        <v>0</v>
      </c>
      <c r="AH287">
        <f>セットアップレポート!AG287</f>
        <v>0</v>
      </c>
    </row>
    <row r="288" spans="1:34" x14ac:dyDescent="0.45">
      <c r="A288" t="str">
        <f t="shared" si="4"/>
        <v>L2-NPM050016L9000045889</v>
      </c>
      <c r="B288" t="str">
        <f>セットアップレポート!A288</f>
        <v>Line-2</v>
      </c>
      <c r="C288" t="str">
        <f>セットアップレポート!B288</f>
        <v>L2-NPM05</v>
      </c>
      <c r="D288" t="str">
        <f>セットアップレポート!C288</f>
        <v>Zone-2-NPMW-5</v>
      </c>
      <c r="E288">
        <f>セットアップレポート!D288</f>
        <v>1</v>
      </c>
      <c r="F288">
        <f>セットアップレポート!E288</f>
        <v>1</v>
      </c>
      <c r="G288" t="str">
        <f>セットアップレポート!F288</f>
        <v>20016L</v>
      </c>
      <c r="H288">
        <f>セットアップレポート!G288</f>
        <v>16</v>
      </c>
      <c r="I288" t="str">
        <f>セットアップレポート!H288</f>
        <v>L</v>
      </c>
      <c r="J288" t="str">
        <f>セットアップレポート!I288</f>
        <v>9000045889 100185</v>
      </c>
      <c r="K288">
        <f>セットアップレポート!J288</f>
        <v>9000045889</v>
      </c>
      <c r="L288">
        <f>セットアップレポート!K288</f>
        <v>0</v>
      </c>
      <c r="M288">
        <f>セットアップレポート!L288</f>
        <v>0</v>
      </c>
      <c r="N288">
        <f>セットアップレポート!M288</f>
        <v>0</v>
      </c>
      <c r="O288">
        <f>セットアップレポート!N288</f>
        <v>0</v>
      </c>
      <c r="P288" t="str">
        <f>セットアップレポート!O288</f>
        <v>FA0220ADF311665</v>
      </c>
      <c r="Q288">
        <f>セットアップレポート!P288</f>
        <v>4000</v>
      </c>
      <c r="R288">
        <f>セットアップレポート!Q288</f>
        <v>45950.475335648145</v>
      </c>
      <c r="S288">
        <f>セットアップレポート!R288</f>
        <v>0</v>
      </c>
      <c r="T288">
        <f>セットアップレポート!S288</f>
        <v>0</v>
      </c>
      <c r="U288">
        <f>セットアップレポート!T288</f>
        <v>0</v>
      </c>
      <c r="V288">
        <f>セットアップレポート!U288</f>
        <v>0</v>
      </c>
      <c r="W288">
        <f>セットアップレポート!V288</f>
        <v>0</v>
      </c>
      <c r="X288">
        <f>セットアップレポート!W288</f>
        <v>0</v>
      </c>
      <c r="Y288">
        <f>セットアップレポート!X288</f>
        <v>0</v>
      </c>
      <c r="Z288">
        <f>セットアップレポート!Y288</f>
        <v>0</v>
      </c>
      <c r="AA288">
        <f>セットアップレポート!Z288</f>
        <v>0</v>
      </c>
      <c r="AB288" t="str">
        <f>セットアップレポート!AA288</f>
        <v>NONE</v>
      </c>
      <c r="AC288">
        <f>セットアップレポート!AB288</f>
        <v>0</v>
      </c>
      <c r="AD288">
        <f>セットアップレポート!AC288</f>
        <v>0</v>
      </c>
      <c r="AE288">
        <f>セットアップレポート!AD288</f>
        <v>0</v>
      </c>
      <c r="AF288">
        <f>セットアップレポート!AE288</f>
        <v>0</v>
      </c>
      <c r="AG288">
        <f>セットアップレポート!AF288</f>
        <v>0</v>
      </c>
      <c r="AH288">
        <f>セットアップレポート!AG288</f>
        <v>0</v>
      </c>
    </row>
    <row r="289" spans="1:34" x14ac:dyDescent="0.45">
      <c r="A289" t="str">
        <f t="shared" si="4"/>
        <v>L2-NPM050017L9000047174</v>
      </c>
      <c r="B289" t="str">
        <f>セットアップレポート!A289</f>
        <v>Line-2</v>
      </c>
      <c r="C289" t="str">
        <f>セットアップレポート!B289</f>
        <v>L2-NPM05</v>
      </c>
      <c r="D289" t="str">
        <f>セットアップレポート!C289</f>
        <v>Zone-2-NPMW-5</v>
      </c>
      <c r="E289">
        <f>セットアップレポート!D289</f>
        <v>1</v>
      </c>
      <c r="F289">
        <f>セットアップレポート!E289</f>
        <v>1</v>
      </c>
      <c r="G289" t="str">
        <f>セットアップレポート!F289</f>
        <v>20017L</v>
      </c>
      <c r="H289">
        <f>セットアップレポート!G289</f>
        <v>17</v>
      </c>
      <c r="I289" t="str">
        <f>セットアップレポート!H289</f>
        <v>L</v>
      </c>
      <c r="J289" t="str">
        <f>セットアップレポート!I289</f>
        <v>9000047174 100006</v>
      </c>
      <c r="K289">
        <f>セットアップレポート!J289</f>
        <v>9000047174</v>
      </c>
      <c r="L289">
        <f>セットアップレポート!K289</f>
        <v>0</v>
      </c>
      <c r="M289">
        <f>セットアップレポート!L289</f>
        <v>0</v>
      </c>
      <c r="N289">
        <f>セットアップレポート!M289</f>
        <v>0</v>
      </c>
      <c r="O289">
        <f>セットアップレポート!N289</f>
        <v>0</v>
      </c>
      <c r="P289" t="str">
        <f>セットアップレポート!O289</f>
        <v>FA0220ADF311747</v>
      </c>
      <c r="Q289">
        <f>セットアップレポート!P289</f>
        <v>2000</v>
      </c>
      <c r="R289">
        <f>セットアップレポート!Q289</f>
        <v>45931.823750000003</v>
      </c>
      <c r="S289">
        <f>セットアップレポート!R289</f>
        <v>0</v>
      </c>
      <c r="T289">
        <f>セットアップレポート!S289</f>
        <v>0</v>
      </c>
      <c r="U289">
        <f>セットアップレポート!T289</f>
        <v>0</v>
      </c>
      <c r="V289">
        <f>セットアップレポート!U289</f>
        <v>0</v>
      </c>
      <c r="W289">
        <f>セットアップレポート!V289</f>
        <v>0</v>
      </c>
      <c r="X289">
        <f>セットアップレポート!W289</f>
        <v>0</v>
      </c>
      <c r="Y289">
        <f>セットアップレポート!X289</f>
        <v>0</v>
      </c>
      <c r="Z289">
        <f>セットアップレポート!Y289</f>
        <v>0</v>
      </c>
      <c r="AA289">
        <f>セットアップレポート!Z289</f>
        <v>0</v>
      </c>
      <c r="AB289" t="str">
        <f>セットアップレポート!AA289</f>
        <v>NONE</v>
      </c>
      <c r="AC289">
        <f>セットアップレポート!AB289</f>
        <v>0</v>
      </c>
      <c r="AD289">
        <f>セットアップレポート!AC289</f>
        <v>0</v>
      </c>
      <c r="AE289">
        <f>セットアップレポート!AD289</f>
        <v>0</v>
      </c>
      <c r="AF289">
        <f>セットアップレポート!AE289</f>
        <v>0</v>
      </c>
      <c r="AG289">
        <f>セットアップレポート!AF289</f>
        <v>0</v>
      </c>
      <c r="AH289">
        <f>セットアップレポート!AG289</f>
        <v>0</v>
      </c>
    </row>
    <row r="290" spans="1:34" x14ac:dyDescent="0.45">
      <c r="A290" t="str">
        <f t="shared" si="4"/>
        <v>L2-NPM050018L9000057386</v>
      </c>
      <c r="B290" t="str">
        <f>セットアップレポート!A290</f>
        <v>Line-2</v>
      </c>
      <c r="C290" t="str">
        <f>セットアップレポート!B290</f>
        <v>L2-NPM05</v>
      </c>
      <c r="D290" t="str">
        <f>セットアップレポート!C290</f>
        <v>Zone-2-NPMW-5</v>
      </c>
      <c r="E290">
        <f>セットアップレポート!D290</f>
        <v>1</v>
      </c>
      <c r="F290">
        <f>セットアップレポート!E290</f>
        <v>1</v>
      </c>
      <c r="G290" t="str">
        <f>セットアップレポート!F290</f>
        <v>20018L</v>
      </c>
      <c r="H290">
        <f>セットアップレポート!G290</f>
        <v>18</v>
      </c>
      <c r="I290" t="str">
        <f>セットアップレポート!H290</f>
        <v>L</v>
      </c>
      <c r="J290" t="str">
        <f>セットアップレポート!I290</f>
        <v>9000057386 100696</v>
      </c>
      <c r="K290">
        <f>セットアップレポート!J290</f>
        <v>9000057386</v>
      </c>
      <c r="L290">
        <f>セットアップレポート!K290</f>
        <v>0</v>
      </c>
      <c r="M290">
        <f>セットアップレポート!L290</f>
        <v>0</v>
      </c>
      <c r="N290">
        <f>セットアップレポート!M290</f>
        <v>0</v>
      </c>
      <c r="O290">
        <f>セットアップレポート!N290</f>
        <v>0</v>
      </c>
      <c r="P290" t="str">
        <f>セットアップレポート!O290</f>
        <v>FA0220ADF311432</v>
      </c>
      <c r="Q290">
        <f>セットアップレポート!P290</f>
        <v>1000</v>
      </c>
      <c r="R290">
        <f>セットアップレポート!Q290</f>
        <v>45950.475335648145</v>
      </c>
      <c r="S290">
        <f>セットアップレポート!R290</f>
        <v>0</v>
      </c>
      <c r="T290">
        <f>セットアップレポート!S290</f>
        <v>0</v>
      </c>
      <c r="U290">
        <f>セットアップレポート!T290</f>
        <v>0</v>
      </c>
      <c r="V290">
        <f>セットアップレポート!U290</f>
        <v>0</v>
      </c>
      <c r="W290">
        <f>セットアップレポート!V290</f>
        <v>0</v>
      </c>
      <c r="X290">
        <f>セットアップレポート!W290</f>
        <v>0</v>
      </c>
      <c r="Y290">
        <f>セットアップレポート!X290</f>
        <v>0</v>
      </c>
      <c r="Z290">
        <f>セットアップレポート!Y290</f>
        <v>0</v>
      </c>
      <c r="AA290">
        <f>セットアップレポート!Z290</f>
        <v>0</v>
      </c>
      <c r="AB290" t="str">
        <f>セットアップレポート!AA290</f>
        <v>NONE</v>
      </c>
      <c r="AC290">
        <f>セットアップレポート!AB290</f>
        <v>0</v>
      </c>
      <c r="AD290">
        <f>セットアップレポート!AC290</f>
        <v>0</v>
      </c>
      <c r="AE290">
        <f>セットアップレポート!AD290</f>
        <v>0</v>
      </c>
      <c r="AF290">
        <f>セットアップレポート!AE290</f>
        <v>0</v>
      </c>
      <c r="AG290">
        <f>セットアップレポート!AF290</f>
        <v>0</v>
      </c>
      <c r="AH290">
        <f>セットアップレポート!AG290</f>
        <v>0</v>
      </c>
    </row>
    <row r="291" spans="1:34" x14ac:dyDescent="0.45">
      <c r="A291" t="str">
        <f t="shared" si="4"/>
        <v>L2-NPM050019L9000059611</v>
      </c>
      <c r="B291" t="str">
        <f>セットアップレポート!A291</f>
        <v>Line-2</v>
      </c>
      <c r="C291" t="str">
        <f>セットアップレポート!B291</f>
        <v>L2-NPM05</v>
      </c>
      <c r="D291" t="str">
        <f>セットアップレポート!C291</f>
        <v>Zone-2-NPMW-5</v>
      </c>
      <c r="E291">
        <f>セットアップレポート!D291</f>
        <v>1</v>
      </c>
      <c r="F291">
        <f>セットアップレポート!E291</f>
        <v>1</v>
      </c>
      <c r="G291" t="str">
        <f>セットアップレポート!F291</f>
        <v>20019L</v>
      </c>
      <c r="H291">
        <f>セットアップレポート!G291</f>
        <v>19</v>
      </c>
      <c r="I291" t="str">
        <f>セットアップレポート!H291</f>
        <v>L</v>
      </c>
      <c r="J291" t="str">
        <f>セットアップレポート!I291</f>
        <v>9000059611 100356</v>
      </c>
      <c r="K291">
        <f>セットアップレポート!J291</f>
        <v>9000059611</v>
      </c>
      <c r="L291">
        <f>セットアップレポート!K291</f>
        <v>0</v>
      </c>
      <c r="M291">
        <f>セットアップレポート!L291</f>
        <v>0</v>
      </c>
      <c r="N291">
        <f>セットアップレポート!M291</f>
        <v>0</v>
      </c>
      <c r="O291">
        <f>セットアップレポート!N291</f>
        <v>0</v>
      </c>
      <c r="P291" t="str">
        <f>セットアップレポート!O291</f>
        <v>FA0220ACH328572</v>
      </c>
      <c r="Q291">
        <f>セットアップレポート!P291</f>
        <v>1500</v>
      </c>
      <c r="R291">
        <f>セットアップレポート!Q291</f>
        <v>45931.823761574073</v>
      </c>
      <c r="S291">
        <f>セットアップレポート!R291</f>
        <v>0</v>
      </c>
      <c r="T291" t="str">
        <f>セットアップレポート!S291</f>
        <v>Yes</v>
      </c>
      <c r="U291">
        <f>セットアップレポート!T291</f>
        <v>0</v>
      </c>
      <c r="V291" t="str">
        <f>セットアップレポート!U291</f>
        <v>9000059611 100393</v>
      </c>
      <c r="W291">
        <f>セットアップレポート!V291</f>
        <v>0</v>
      </c>
      <c r="X291">
        <f>セットアップレポート!W291</f>
        <v>0</v>
      </c>
      <c r="Y291">
        <f>セットアップレポート!X291</f>
        <v>0</v>
      </c>
      <c r="Z291">
        <f>セットアップレポート!Y291</f>
        <v>0</v>
      </c>
      <c r="AA291">
        <f>セットアップレポート!Z291</f>
        <v>0</v>
      </c>
      <c r="AB291" t="str">
        <f>セットアップレポート!AA291</f>
        <v>NONE</v>
      </c>
      <c r="AC291">
        <f>セットアップレポート!AB291</f>
        <v>0</v>
      </c>
      <c r="AD291">
        <f>セットアップレポート!AC291</f>
        <v>0</v>
      </c>
      <c r="AE291">
        <f>セットアップレポート!AD291</f>
        <v>0</v>
      </c>
      <c r="AF291">
        <f>セットアップレポート!AE291</f>
        <v>0</v>
      </c>
      <c r="AG291">
        <f>セットアップレポート!AF291</f>
        <v>0</v>
      </c>
      <c r="AH291">
        <f>セットアップレポート!AG291</f>
        <v>0</v>
      </c>
    </row>
    <row r="292" spans="1:34" x14ac:dyDescent="0.45">
      <c r="A292" t="str">
        <f t="shared" si="4"/>
        <v>L2-NPM050020L9000069402</v>
      </c>
      <c r="B292" t="str">
        <f>セットアップレポート!A292</f>
        <v>Line-2</v>
      </c>
      <c r="C292" t="str">
        <f>セットアップレポート!B292</f>
        <v>L2-NPM05</v>
      </c>
      <c r="D292" t="str">
        <f>セットアップレポート!C292</f>
        <v>Zone-2-NPMW-5</v>
      </c>
      <c r="E292">
        <f>セットアップレポート!D292</f>
        <v>1</v>
      </c>
      <c r="F292">
        <f>セットアップレポート!E292</f>
        <v>1</v>
      </c>
      <c r="G292" t="str">
        <f>セットアップレポート!F292</f>
        <v>20020L</v>
      </c>
      <c r="H292">
        <f>セットアップレポート!G292</f>
        <v>20</v>
      </c>
      <c r="I292" t="str">
        <f>セットアップレポート!H292</f>
        <v>L</v>
      </c>
      <c r="J292" t="str">
        <f>セットアップレポート!I292</f>
        <v>9000069402 100001</v>
      </c>
      <c r="K292">
        <f>セットアップレポート!J292</f>
        <v>9000069402</v>
      </c>
      <c r="L292">
        <f>セットアップレポート!K292</f>
        <v>0</v>
      </c>
      <c r="M292">
        <f>セットアップレポート!L292</f>
        <v>0</v>
      </c>
      <c r="N292">
        <f>セットアップレポート!M292</f>
        <v>0</v>
      </c>
      <c r="O292">
        <f>セットアップレポート!N292</f>
        <v>0</v>
      </c>
      <c r="P292" t="str">
        <f>セットアップレポート!O292</f>
        <v>FA0220AFA654042</v>
      </c>
      <c r="Q292">
        <f>セットアップレポート!P292</f>
        <v>1000</v>
      </c>
      <c r="R292">
        <f>セットアップレポート!Q292</f>
        <v>45950.475335648145</v>
      </c>
      <c r="S292">
        <f>セットアップレポート!R292</f>
        <v>0</v>
      </c>
      <c r="T292">
        <f>セットアップレポート!S292</f>
        <v>0</v>
      </c>
      <c r="U292">
        <f>セットアップレポート!T292</f>
        <v>0</v>
      </c>
      <c r="V292">
        <f>セットアップレポート!U292</f>
        <v>0</v>
      </c>
      <c r="W292">
        <f>セットアップレポート!V292</f>
        <v>0</v>
      </c>
      <c r="X292">
        <f>セットアップレポート!W292</f>
        <v>0</v>
      </c>
      <c r="Y292">
        <f>セットアップレポート!X292</f>
        <v>0</v>
      </c>
      <c r="Z292">
        <f>セットアップレポート!Y292</f>
        <v>0</v>
      </c>
      <c r="AA292">
        <f>セットアップレポート!Z292</f>
        <v>0</v>
      </c>
      <c r="AB292" t="str">
        <f>セットアップレポート!AA292</f>
        <v>NONE</v>
      </c>
      <c r="AC292">
        <f>セットアップレポート!AB292</f>
        <v>0</v>
      </c>
      <c r="AD292">
        <f>セットアップレポート!AC292</f>
        <v>0</v>
      </c>
      <c r="AE292">
        <f>セットアップレポート!AD292</f>
        <v>0</v>
      </c>
      <c r="AF292">
        <f>セットアップレポート!AE292</f>
        <v>0</v>
      </c>
      <c r="AG292">
        <f>セットアップレポート!AF292</f>
        <v>0</v>
      </c>
      <c r="AH292">
        <f>セットアップレポート!AG292</f>
        <v>0</v>
      </c>
    </row>
    <row r="293" spans="1:34" x14ac:dyDescent="0.45">
      <c r="A293" t="str">
        <f t="shared" si="4"/>
        <v>L2-NPM050021L626877A</v>
      </c>
      <c r="B293" t="str">
        <f>セットアップレポート!A293</f>
        <v>Line-2</v>
      </c>
      <c r="C293" t="str">
        <f>セットアップレポート!B293</f>
        <v>L2-NPM05</v>
      </c>
      <c r="D293" t="str">
        <f>セットアップレポート!C293</f>
        <v>Zone-2-NPMW-5</v>
      </c>
      <c r="E293">
        <f>セットアップレポート!D293</f>
        <v>1</v>
      </c>
      <c r="F293">
        <f>セットアップレポート!E293</f>
        <v>1</v>
      </c>
      <c r="G293" t="str">
        <f>セットアップレポート!F293</f>
        <v>20021L</v>
      </c>
      <c r="H293">
        <f>セットアップレポート!G293</f>
        <v>21</v>
      </c>
      <c r="I293" t="str">
        <f>セットアップレポート!H293</f>
        <v>L</v>
      </c>
      <c r="J293" t="str">
        <f>セットアップレポート!I293</f>
        <v>626877A100399</v>
      </c>
      <c r="K293" t="str">
        <f>セットアップレポート!J293</f>
        <v>626877A</v>
      </c>
      <c r="L293">
        <f>セットアップレポート!K293</f>
        <v>0</v>
      </c>
      <c r="M293">
        <f>セットアップレポート!L293</f>
        <v>0</v>
      </c>
      <c r="N293">
        <f>セットアップレポート!M293</f>
        <v>0</v>
      </c>
      <c r="O293">
        <f>セットアップレポート!N293</f>
        <v>0</v>
      </c>
      <c r="P293" t="str">
        <f>セットアップレポート!O293</f>
        <v>FA0220ADF311625</v>
      </c>
      <c r="Q293">
        <f>セットアップレポート!P293</f>
        <v>1500</v>
      </c>
      <c r="R293">
        <f>セットアップレポート!Q293</f>
        <v>45950.475347222222</v>
      </c>
      <c r="S293">
        <f>セットアップレポート!R293</f>
        <v>0</v>
      </c>
      <c r="T293">
        <f>セットアップレポート!S293</f>
        <v>0</v>
      </c>
      <c r="U293">
        <f>セットアップレポート!T293</f>
        <v>0</v>
      </c>
      <c r="V293">
        <f>セットアップレポート!U293</f>
        <v>0</v>
      </c>
      <c r="W293">
        <f>セットアップレポート!V293</f>
        <v>0</v>
      </c>
      <c r="X293">
        <f>セットアップレポート!W293</f>
        <v>0</v>
      </c>
      <c r="Y293">
        <f>セットアップレポート!X293</f>
        <v>0</v>
      </c>
      <c r="Z293">
        <f>セットアップレポート!Y293</f>
        <v>0</v>
      </c>
      <c r="AA293">
        <f>セットアップレポート!Z293</f>
        <v>0</v>
      </c>
      <c r="AB293" t="str">
        <f>セットアップレポート!AA293</f>
        <v>NONE</v>
      </c>
      <c r="AC293">
        <f>セットアップレポート!AB293</f>
        <v>0</v>
      </c>
      <c r="AD293">
        <f>セットアップレポート!AC293</f>
        <v>0</v>
      </c>
      <c r="AE293">
        <f>セットアップレポート!AD293</f>
        <v>0</v>
      </c>
      <c r="AF293">
        <f>セットアップレポート!AE293</f>
        <v>0</v>
      </c>
      <c r="AG293">
        <f>セットアップレポート!AF293</f>
        <v>0</v>
      </c>
      <c r="AH293">
        <f>セットアップレポート!AG293</f>
        <v>0</v>
      </c>
    </row>
    <row r="294" spans="1:34" x14ac:dyDescent="0.45">
      <c r="A294" t="str">
        <f t="shared" si="4"/>
        <v>L2-NPM050022L9000069784</v>
      </c>
      <c r="B294" t="str">
        <f>セットアップレポート!A294</f>
        <v>Line-2</v>
      </c>
      <c r="C294" t="str">
        <f>セットアップレポート!B294</f>
        <v>L2-NPM05</v>
      </c>
      <c r="D294" t="str">
        <f>セットアップレポート!C294</f>
        <v>Zone-2-NPMW-5</v>
      </c>
      <c r="E294">
        <f>セットアップレポート!D294</f>
        <v>1</v>
      </c>
      <c r="F294">
        <f>セットアップレポート!E294</f>
        <v>1</v>
      </c>
      <c r="G294" t="str">
        <f>セットアップレポート!F294</f>
        <v>20022L</v>
      </c>
      <c r="H294">
        <f>セットアップレポート!G294</f>
        <v>22</v>
      </c>
      <c r="I294" t="str">
        <f>セットアップレポート!H294</f>
        <v>L</v>
      </c>
      <c r="J294" t="str">
        <f>セットアップレポート!I294</f>
        <v>9000069784 100001</v>
      </c>
      <c r="K294">
        <f>セットアップレポート!J294</f>
        <v>9000069784</v>
      </c>
      <c r="L294">
        <f>セットアップレポート!K294</f>
        <v>0</v>
      </c>
      <c r="M294">
        <f>セットアップレポート!L294</f>
        <v>0</v>
      </c>
      <c r="N294">
        <f>セットアップレポート!M294</f>
        <v>0</v>
      </c>
      <c r="O294">
        <f>セットアップレポート!N294</f>
        <v>0</v>
      </c>
      <c r="P294" t="str">
        <f>セットアップレポート!O294</f>
        <v>FA0220ADF311572</v>
      </c>
      <c r="Q294">
        <f>セットアップレポート!P294</f>
        <v>826</v>
      </c>
      <c r="R294">
        <f>セットアップレポート!Q294</f>
        <v>45950.475347222222</v>
      </c>
      <c r="S294">
        <f>セットアップレポート!R294</f>
        <v>0</v>
      </c>
      <c r="T294" t="str">
        <f>セットアップレポート!S294</f>
        <v>Yes</v>
      </c>
      <c r="U294">
        <f>セットアップレポート!T294</f>
        <v>0</v>
      </c>
      <c r="V294" t="str">
        <f>セットアップレポート!U294</f>
        <v>9000069784 100005</v>
      </c>
      <c r="W294">
        <f>セットアップレポート!V294</f>
        <v>0</v>
      </c>
      <c r="X294">
        <f>セットアップレポート!W294</f>
        <v>0</v>
      </c>
      <c r="Y294">
        <f>セットアップレポート!X294</f>
        <v>0</v>
      </c>
      <c r="Z294">
        <f>セットアップレポート!Y294</f>
        <v>0</v>
      </c>
      <c r="AA294">
        <f>セットアップレポート!Z294</f>
        <v>0</v>
      </c>
      <c r="AB294" t="str">
        <f>セットアップレポート!AA294</f>
        <v>NONE</v>
      </c>
      <c r="AC294">
        <f>セットアップレポート!AB294</f>
        <v>0</v>
      </c>
      <c r="AD294">
        <f>セットアップレポート!AC294</f>
        <v>0</v>
      </c>
      <c r="AE294">
        <f>セットアップレポート!AD294</f>
        <v>0</v>
      </c>
      <c r="AF294">
        <f>セットアップレポート!AE294</f>
        <v>0</v>
      </c>
      <c r="AG294">
        <f>セットアップレポート!AF294</f>
        <v>0</v>
      </c>
      <c r="AH294">
        <f>セットアップレポート!AG294</f>
        <v>0</v>
      </c>
    </row>
    <row r="295" spans="1:34" x14ac:dyDescent="0.45">
      <c r="A295" t="str">
        <f t="shared" si="4"/>
        <v>L2-NPM050023L9000066299</v>
      </c>
      <c r="B295" t="str">
        <f>セットアップレポート!A295</f>
        <v>Line-2</v>
      </c>
      <c r="C295" t="str">
        <f>セットアップレポート!B295</f>
        <v>L2-NPM05</v>
      </c>
      <c r="D295" t="str">
        <f>セットアップレポート!C295</f>
        <v>Zone-2-NPMW-5</v>
      </c>
      <c r="E295">
        <f>セットアップレポート!D295</f>
        <v>1</v>
      </c>
      <c r="F295">
        <f>セットアップレポート!E295</f>
        <v>1</v>
      </c>
      <c r="G295" t="str">
        <f>セットアップレポート!F295</f>
        <v>20023L</v>
      </c>
      <c r="H295">
        <f>セットアップレポート!G295</f>
        <v>23</v>
      </c>
      <c r="I295" t="str">
        <f>セットアップレポート!H295</f>
        <v>L</v>
      </c>
      <c r="J295" t="str">
        <f>セットアップレポート!I295</f>
        <v>9000066299 100158</v>
      </c>
      <c r="K295">
        <f>セットアップレポート!J295</f>
        <v>9000066299</v>
      </c>
      <c r="L295">
        <f>セットアップレポート!K295</f>
        <v>0</v>
      </c>
      <c r="M295">
        <f>セットアップレポート!L295</f>
        <v>0</v>
      </c>
      <c r="N295">
        <f>セットアップレポート!M295</f>
        <v>0</v>
      </c>
      <c r="O295">
        <f>セットアップレポート!N295</f>
        <v>0</v>
      </c>
      <c r="P295" t="str">
        <f>セットアップレポート!O295</f>
        <v>FA0220AFA654339</v>
      </c>
      <c r="Q295">
        <f>セットアップレポート!P295</f>
        <v>2500</v>
      </c>
      <c r="R295">
        <f>セットアップレポート!Q295</f>
        <v>45950.475347222222</v>
      </c>
      <c r="S295">
        <f>セットアップレポート!R295</f>
        <v>0</v>
      </c>
      <c r="T295">
        <f>セットアップレポート!S295</f>
        <v>0</v>
      </c>
      <c r="U295">
        <f>セットアップレポート!T295</f>
        <v>0</v>
      </c>
      <c r="V295">
        <f>セットアップレポート!U295</f>
        <v>0</v>
      </c>
      <c r="W295">
        <f>セットアップレポート!V295</f>
        <v>0</v>
      </c>
      <c r="X295">
        <f>セットアップレポート!W295</f>
        <v>0</v>
      </c>
      <c r="Y295">
        <f>セットアップレポート!X295</f>
        <v>0</v>
      </c>
      <c r="Z295">
        <f>セットアップレポート!Y295</f>
        <v>0</v>
      </c>
      <c r="AA295">
        <f>セットアップレポート!Z295</f>
        <v>0</v>
      </c>
      <c r="AB295" t="str">
        <f>セットアップレポート!AA295</f>
        <v>NONE</v>
      </c>
      <c r="AC295">
        <f>セットアップレポート!AB295</f>
        <v>0</v>
      </c>
      <c r="AD295">
        <f>セットアップレポート!AC295</f>
        <v>0</v>
      </c>
      <c r="AE295">
        <f>セットアップレポート!AD295</f>
        <v>0</v>
      </c>
      <c r="AF295">
        <f>セットアップレポート!AE295</f>
        <v>0</v>
      </c>
      <c r="AG295">
        <f>セットアップレポート!AF295</f>
        <v>0</v>
      </c>
      <c r="AH295">
        <f>セットアップレポート!AG295</f>
        <v>0</v>
      </c>
    </row>
    <row r="296" spans="1:34" x14ac:dyDescent="0.45">
      <c r="A296" t="str">
        <f t="shared" si="4"/>
        <v>L2-NPM050024L9000069797</v>
      </c>
      <c r="B296" t="str">
        <f>セットアップレポート!A296</f>
        <v>Line-2</v>
      </c>
      <c r="C296" t="str">
        <f>セットアップレポート!B296</f>
        <v>L2-NPM05</v>
      </c>
      <c r="D296" t="str">
        <f>セットアップレポート!C296</f>
        <v>Zone-2-NPMW-5</v>
      </c>
      <c r="E296">
        <f>セットアップレポート!D296</f>
        <v>1</v>
      </c>
      <c r="F296">
        <f>セットアップレポート!E296</f>
        <v>1</v>
      </c>
      <c r="G296" t="str">
        <f>セットアップレポート!F296</f>
        <v>20024L</v>
      </c>
      <c r="H296">
        <f>セットアップレポート!G296</f>
        <v>24</v>
      </c>
      <c r="I296" t="str">
        <f>セットアップレポート!H296</f>
        <v>L</v>
      </c>
      <c r="J296" t="str">
        <f>セットアップレポート!I296</f>
        <v>9000069797 100006</v>
      </c>
      <c r="K296">
        <f>セットアップレポート!J296</f>
        <v>9000069797</v>
      </c>
      <c r="L296">
        <f>セットアップレポート!K296</f>
        <v>0</v>
      </c>
      <c r="M296">
        <f>セットアップレポート!L296</f>
        <v>0</v>
      </c>
      <c r="N296">
        <f>セットアップレポート!M296</f>
        <v>0</v>
      </c>
      <c r="O296">
        <f>セットアップレポート!N296</f>
        <v>0</v>
      </c>
      <c r="P296" t="str">
        <f>セットアップレポート!O296</f>
        <v>FA0220AFA654320</v>
      </c>
      <c r="Q296">
        <f>セットアップレポート!P296</f>
        <v>2000</v>
      </c>
      <c r="R296">
        <f>セットアップレポート!Q296</f>
        <v>45950.475347222222</v>
      </c>
      <c r="S296">
        <f>セットアップレポート!R296</f>
        <v>0</v>
      </c>
      <c r="T296" t="str">
        <f>セットアップレポート!S296</f>
        <v>Yes</v>
      </c>
      <c r="U296">
        <f>セットアップレポート!T296</f>
        <v>0</v>
      </c>
      <c r="V296" t="str">
        <f>セットアップレポート!U296</f>
        <v>9000069797 100015</v>
      </c>
      <c r="W296">
        <f>セットアップレポート!V296</f>
        <v>0</v>
      </c>
      <c r="X296">
        <f>セットアップレポート!W296</f>
        <v>0</v>
      </c>
      <c r="Y296">
        <f>セットアップレポート!X296</f>
        <v>0</v>
      </c>
      <c r="Z296">
        <f>セットアップレポート!Y296</f>
        <v>0</v>
      </c>
      <c r="AA296">
        <f>セットアップレポート!Z296</f>
        <v>0</v>
      </c>
      <c r="AB296" t="str">
        <f>セットアップレポート!AA296</f>
        <v>NONE</v>
      </c>
      <c r="AC296">
        <f>セットアップレポート!AB296</f>
        <v>0</v>
      </c>
      <c r="AD296">
        <f>セットアップレポート!AC296</f>
        <v>0</v>
      </c>
      <c r="AE296">
        <f>セットアップレポート!AD296</f>
        <v>0</v>
      </c>
      <c r="AF296">
        <f>セットアップレポート!AE296</f>
        <v>0</v>
      </c>
      <c r="AG296">
        <f>セットアップレポート!AF296</f>
        <v>0</v>
      </c>
      <c r="AH296">
        <f>セットアップレポート!AG296</f>
        <v>0</v>
      </c>
    </row>
    <row r="297" spans="1:34" x14ac:dyDescent="0.45">
      <c r="A297" t="str">
        <f t="shared" si="4"/>
        <v>L2-NPM050025L933411</v>
      </c>
      <c r="B297" t="str">
        <f>セットアップレポート!A297</f>
        <v>Line-2</v>
      </c>
      <c r="C297" t="str">
        <f>セットアップレポート!B297</f>
        <v>L2-NPM05</v>
      </c>
      <c r="D297" t="str">
        <f>セットアップレポート!C297</f>
        <v>Zone-2-NPMW-5</v>
      </c>
      <c r="E297">
        <f>セットアップレポート!D297</f>
        <v>1</v>
      </c>
      <c r="F297">
        <f>セットアップレポート!E297</f>
        <v>1</v>
      </c>
      <c r="G297" t="str">
        <f>セットアップレポート!F297</f>
        <v>20025L</v>
      </c>
      <c r="H297">
        <f>セットアップレポート!G297</f>
        <v>25</v>
      </c>
      <c r="I297" t="str">
        <f>セットアップレポート!H297</f>
        <v>L</v>
      </c>
      <c r="J297" t="str">
        <f>セットアップレポート!I297</f>
        <v>933411 100655</v>
      </c>
      <c r="K297">
        <f>セットアップレポート!J297</f>
        <v>933411</v>
      </c>
      <c r="L297">
        <f>セットアップレポート!K297</f>
        <v>0</v>
      </c>
      <c r="M297">
        <f>セットアップレポート!L297</f>
        <v>0</v>
      </c>
      <c r="N297">
        <f>セットアップレポート!M297</f>
        <v>0</v>
      </c>
      <c r="O297">
        <f>セットアップレポート!N297</f>
        <v>0</v>
      </c>
      <c r="P297" t="str">
        <f>セットアップレポート!O297</f>
        <v>FA0220ADF311438</v>
      </c>
      <c r="Q297">
        <f>セットアップレポート!P297</f>
        <v>2000</v>
      </c>
      <c r="R297">
        <f>セットアップレポート!Q297</f>
        <v>45950.475347222222</v>
      </c>
      <c r="S297">
        <f>セットアップレポート!R297</f>
        <v>0</v>
      </c>
      <c r="T297">
        <f>セットアップレポート!S297</f>
        <v>0</v>
      </c>
      <c r="U297">
        <f>セットアップレポート!T297</f>
        <v>0</v>
      </c>
      <c r="V297">
        <f>セットアップレポート!U297</f>
        <v>0</v>
      </c>
      <c r="W297">
        <f>セットアップレポート!V297</f>
        <v>0</v>
      </c>
      <c r="X297">
        <f>セットアップレポート!W297</f>
        <v>0</v>
      </c>
      <c r="Y297">
        <f>セットアップレポート!X297</f>
        <v>0</v>
      </c>
      <c r="Z297">
        <f>セットアップレポート!Y297</f>
        <v>0</v>
      </c>
      <c r="AA297">
        <f>セットアップレポート!Z297</f>
        <v>0</v>
      </c>
      <c r="AB297" t="str">
        <f>セットアップレポート!AA297</f>
        <v>NONE</v>
      </c>
      <c r="AC297">
        <f>セットアップレポート!AB297</f>
        <v>0</v>
      </c>
      <c r="AD297">
        <f>セットアップレポート!AC297</f>
        <v>0</v>
      </c>
      <c r="AE297">
        <f>セットアップレポート!AD297</f>
        <v>0</v>
      </c>
      <c r="AF297">
        <f>セットアップレポート!AE297</f>
        <v>0</v>
      </c>
      <c r="AG297">
        <f>セットアップレポート!AF297</f>
        <v>0</v>
      </c>
      <c r="AH297">
        <f>セットアップレポート!AG297</f>
        <v>0</v>
      </c>
    </row>
    <row r="298" spans="1:34" x14ac:dyDescent="0.45">
      <c r="A298" t="str">
        <f t="shared" si="4"/>
        <v>L2-NPM050026L9000069794</v>
      </c>
      <c r="B298" t="str">
        <f>セットアップレポート!A298</f>
        <v>Line-2</v>
      </c>
      <c r="C298" t="str">
        <f>セットアップレポート!B298</f>
        <v>L2-NPM05</v>
      </c>
      <c r="D298" t="str">
        <f>セットアップレポート!C298</f>
        <v>Zone-2-NPMW-5</v>
      </c>
      <c r="E298">
        <f>セットアップレポート!D298</f>
        <v>1</v>
      </c>
      <c r="F298">
        <f>セットアップレポート!E298</f>
        <v>1</v>
      </c>
      <c r="G298" t="str">
        <f>セットアップレポート!F298</f>
        <v>20026L</v>
      </c>
      <c r="H298">
        <f>セットアップレポート!G298</f>
        <v>26</v>
      </c>
      <c r="I298" t="str">
        <f>セットアップレポート!H298</f>
        <v>L</v>
      </c>
      <c r="J298" t="str">
        <f>セットアップレポート!I298</f>
        <v>9000069794 100015</v>
      </c>
      <c r="K298">
        <f>セットアップレポート!J298</f>
        <v>9000069794</v>
      </c>
      <c r="L298">
        <f>セットアップレポート!K298</f>
        <v>0</v>
      </c>
      <c r="M298">
        <f>セットアップレポート!L298</f>
        <v>0</v>
      </c>
      <c r="N298">
        <f>セットアップレポート!M298</f>
        <v>0</v>
      </c>
      <c r="O298">
        <f>セットアップレポート!N298</f>
        <v>0</v>
      </c>
      <c r="P298" t="str">
        <f>セットアップレポート!O298</f>
        <v>FA0220ADF311842</v>
      </c>
      <c r="Q298">
        <f>セットアップレポート!P298</f>
        <v>2500</v>
      </c>
      <c r="R298">
        <f>セットアップレポート!Q298</f>
        <v>45950.475347222222</v>
      </c>
      <c r="S298">
        <f>セットアップレポート!R298</f>
        <v>0</v>
      </c>
      <c r="T298">
        <f>セットアップレポート!S298</f>
        <v>0</v>
      </c>
      <c r="U298">
        <f>セットアップレポート!T298</f>
        <v>0</v>
      </c>
      <c r="V298">
        <f>セットアップレポート!U298</f>
        <v>0</v>
      </c>
      <c r="W298">
        <f>セットアップレポート!V298</f>
        <v>0</v>
      </c>
      <c r="X298">
        <f>セットアップレポート!W298</f>
        <v>0</v>
      </c>
      <c r="Y298">
        <f>セットアップレポート!X298</f>
        <v>0</v>
      </c>
      <c r="Z298">
        <f>セットアップレポート!Y298</f>
        <v>0</v>
      </c>
      <c r="AA298">
        <f>セットアップレポート!Z298</f>
        <v>0</v>
      </c>
      <c r="AB298" t="str">
        <f>セットアップレポート!AA298</f>
        <v>NONE</v>
      </c>
      <c r="AC298">
        <f>セットアップレポート!AB298</f>
        <v>0</v>
      </c>
      <c r="AD298">
        <f>セットアップレポート!AC298</f>
        <v>0</v>
      </c>
      <c r="AE298">
        <f>セットアップレポート!AD298</f>
        <v>0</v>
      </c>
      <c r="AF298">
        <f>セットアップレポート!AE298</f>
        <v>0</v>
      </c>
      <c r="AG298">
        <f>セットアップレポート!AF298</f>
        <v>0</v>
      </c>
      <c r="AH298">
        <f>セットアップレポート!AG298</f>
        <v>0</v>
      </c>
    </row>
    <row r="299" spans="1:34" x14ac:dyDescent="0.45">
      <c r="A299" t="str">
        <f t="shared" si="4"/>
        <v>L2-NPM050027L545901B</v>
      </c>
      <c r="B299" t="str">
        <f>セットアップレポート!A299</f>
        <v>Line-2</v>
      </c>
      <c r="C299" t="str">
        <f>セットアップレポート!B299</f>
        <v>L2-NPM05</v>
      </c>
      <c r="D299" t="str">
        <f>セットアップレポート!C299</f>
        <v>Zone-2-NPMW-5</v>
      </c>
      <c r="E299">
        <f>セットアップレポート!D299</f>
        <v>1</v>
      </c>
      <c r="F299">
        <f>セットアップレポート!E299</f>
        <v>1</v>
      </c>
      <c r="G299" t="str">
        <f>セットアップレポート!F299</f>
        <v>20027L</v>
      </c>
      <c r="H299">
        <f>セットアップレポート!G299</f>
        <v>27</v>
      </c>
      <c r="I299" t="str">
        <f>セットアップレポート!H299</f>
        <v>L</v>
      </c>
      <c r="J299" t="str">
        <f>セットアップレポート!I299</f>
        <v>545901B100149</v>
      </c>
      <c r="K299" t="str">
        <f>セットアップレポート!J299</f>
        <v>545901B</v>
      </c>
      <c r="L299">
        <f>セットアップレポート!K299</f>
        <v>0</v>
      </c>
      <c r="M299">
        <f>セットアップレポート!L299</f>
        <v>0</v>
      </c>
      <c r="N299">
        <f>セットアップレポート!M299</f>
        <v>0</v>
      </c>
      <c r="O299">
        <f>セットアップレポート!N299</f>
        <v>0</v>
      </c>
      <c r="P299" t="str">
        <f>セットアップレポート!O299</f>
        <v>FA0220ADF311631</v>
      </c>
      <c r="Q299">
        <f>セットアップレポート!P299</f>
        <v>3000</v>
      </c>
      <c r="R299">
        <f>セットアップレポート!Q299</f>
        <v>45950.475347222222</v>
      </c>
      <c r="S299">
        <f>セットアップレポート!R299</f>
        <v>0</v>
      </c>
      <c r="T299" t="str">
        <f>セットアップレポート!S299</f>
        <v>Yes</v>
      </c>
      <c r="U299">
        <f>セットアップレポート!T299</f>
        <v>0</v>
      </c>
      <c r="V299" t="str">
        <f>セットアップレポート!U299</f>
        <v>545901B100154</v>
      </c>
      <c r="W299">
        <f>セットアップレポート!V299</f>
        <v>0</v>
      </c>
      <c r="X299">
        <f>セットアップレポート!W299</f>
        <v>0</v>
      </c>
      <c r="Y299">
        <f>セットアップレポート!X299</f>
        <v>0</v>
      </c>
      <c r="Z299">
        <f>セットアップレポート!Y299</f>
        <v>0</v>
      </c>
      <c r="AA299">
        <f>セットアップレポート!Z299</f>
        <v>0</v>
      </c>
      <c r="AB299" t="str">
        <f>セットアップレポート!AA299</f>
        <v>NONE</v>
      </c>
      <c r="AC299">
        <f>セットアップレポート!AB299</f>
        <v>0</v>
      </c>
      <c r="AD299">
        <f>セットアップレポート!AC299</f>
        <v>0</v>
      </c>
      <c r="AE299">
        <f>セットアップレポート!AD299</f>
        <v>0</v>
      </c>
      <c r="AF299">
        <f>セットアップレポート!AE299</f>
        <v>0</v>
      </c>
      <c r="AG299">
        <f>セットアップレポート!AF299</f>
        <v>0</v>
      </c>
      <c r="AH299">
        <f>セットアップレポート!AG299</f>
        <v>0</v>
      </c>
    </row>
    <row r="300" spans="1:34" x14ac:dyDescent="0.45">
      <c r="A300" t="str">
        <f t="shared" si="4"/>
        <v>L2-NPM050028L9000058442</v>
      </c>
      <c r="B300" t="str">
        <f>セットアップレポート!A300</f>
        <v>Line-2</v>
      </c>
      <c r="C300" t="str">
        <f>セットアップレポート!B300</f>
        <v>L2-NPM05</v>
      </c>
      <c r="D300" t="str">
        <f>セットアップレポート!C300</f>
        <v>Zone-2-NPMW-5</v>
      </c>
      <c r="E300">
        <f>セットアップレポート!D300</f>
        <v>1</v>
      </c>
      <c r="F300">
        <f>セットアップレポート!E300</f>
        <v>1</v>
      </c>
      <c r="G300" t="str">
        <f>セットアップレポート!F300</f>
        <v>20028L</v>
      </c>
      <c r="H300">
        <f>セットアップレポート!G300</f>
        <v>28</v>
      </c>
      <c r="I300" t="str">
        <f>セットアップレポート!H300</f>
        <v>L</v>
      </c>
      <c r="J300" t="str">
        <f>セットアップレポート!I300</f>
        <v>9000058442 100195</v>
      </c>
      <c r="K300">
        <f>セットアップレポート!J300</f>
        <v>9000058442</v>
      </c>
      <c r="L300">
        <f>セットアップレポート!K300</f>
        <v>0</v>
      </c>
      <c r="M300">
        <f>セットアップレポート!L300</f>
        <v>0</v>
      </c>
      <c r="N300">
        <f>セットアップレポート!M300</f>
        <v>0</v>
      </c>
      <c r="O300">
        <f>セットアップレポート!N300</f>
        <v>0</v>
      </c>
      <c r="P300" t="str">
        <f>セットアップレポート!O300</f>
        <v>FA0430ABH314549</v>
      </c>
      <c r="Q300">
        <f>セットアップレポート!P300</f>
        <v>2000</v>
      </c>
      <c r="R300">
        <f>セットアップレポート!Q300</f>
        <v>45950.475347222222</v>
      </c>
      <c r="S300">
        <f>セットアップレポート!R300</f>
        <v>0</v>
      </c>
      <c r="T300">
        <f>セットアップレポート!S300</f>
        <v>0</v>
      </c>
      <c r="U300">
        <f>セットアップレポート!T300</f>
        <v>0</v>
      </c>
      <c r="V300">
        <f>セットアップレポート!U300</f>
        <v>0</v>
      </c>
      <c r="W300">
        <f>セットアップレポート!V300</f>
        <v>0</v>
      </c>
      <c r="X300">
        <f>セットアップレポート!W300</f>
        <v>0</v>
      </c>
      <c r="Y300">
        <f>セットアップレポート!X300</f>
        <v>0</v>
      </c>
      <c r="Z300">
        <f>セットアップレポート!Y300</f>
        <v>0</v>
      </c>
      <c r="AA300">
        <f>セットアップレポート!Z300</f>
        <v>0</v>
      </c>
      <c r="AB300" t="str">
        <f>セットアップレポート!AA300</f>
        <v>NONE</v>
      </c>
      <c r="AC300">
        <f>セットアップレポート!AB300</f>
        <v>0</v>
      </c>
      <c r="AD300">
        <f>セットアップレポート!AC300</f>
        <v>0</v>
      </c>
      <c r="AE300">
        <f>セットアップレポート!AD300</f>
        <v>0</v>
      </c>
      <c r="AF300">
        <f>セットアップレポート!AE300</f>
        <v>0</v>
      </c>
      <c r="AG300">
        <f>セットアップレポート!AF300</f>
        <v>0</v>
      </c>
      <c r="AH300">
        <f>セットアップレポート!AG300</f>
        <v>0</v>
      </c>
    </row>
    <row r="301" spans="1:34" x14ac:dyDescent="0.45">
      <c r="A301" t="str">
        <f t="shared" si="4"/>
        <v>L2-NPM050029L614498A</v>
      </c>
      <c r="B301" t="str">
        <f>セットアップレポート!A301</f>
        <v>Line-2</v>
      </c>
      <c r="C301" t="str">
        <f>セットアップレポート!B301</f>
        <v>L2-NPM05</v>
      </c>
      <c r="D301" t="str">
        <f>セットアップレポート!C301</f>
        <v>Zone-2-NPMW-5</v>
      </c>
      <c r="E301">
        <f>セットアップレポート!D301</f>
        <v>1</v>
      </c>
      <c r="F301">
        <f>セットアップレポート!E301</f>
        <v>1</v>
      </c>
      <c r="G301" t="str">
        <f>セットアップレポート!F301</f>
        <v>20029L</v>
      </c>
      <c r="H301">
        <f>セットアップレポート!G301</f>
        <v>29</v>
      </c>
      <c r="I301" t="str">
        <f>セットアップレポート!H301</f>
        <v>L</v>
      </c>
      <c r="J301" t="str">
        <f>セットアップレポート!I301</f>
        <v>614498A100189</v>
      </c>
      <c r="K301" t="str">
        <f>セットアップレポート!J301</f>
        <v>614498A</v>
      </c>
      <c r="L301">
        <f>セットアップレポート!K301</f>
        <v>0</v>
      </c>
      <c r="M301">
        <f>セットアップレポート!L301</f>
        <v>0</v>
      </c>
      <c r="N301">
        <f>セットアップレポート!M301</f>
        <v>0</v>
      </c>
      <c r="O301">
        <f>セットアップレポート!N301</f>
        <v>0</v>
      </c>
      <c r="P301" t="str">
        <f>セットアップレポート!O301</f>
        <v>FA0220AFA654290</v>
      </c>
      <c r="Q301">
        <f>セットアップレポート!P301</f>
        <v>2000</v>
      </c>
      <c r="R301">
        <f>セットアップレポート!Q301</f>
        <v>45937.46974537037</v>
      </c>
      <c r="S301">
        <f>セットアップレポート!R301</f>
        <v>0</v>
      </c>
      <c r="T301">
        <f>セットアップレポート!S301</f>
        <v>0</v>
      </c>
      <c r="U301">
        <f>セットアップレポート!T301</f>
        <v>0</v>
      </c>
      <c r="V301">
        <f>セットアップレポート!U301</f>
        <v>0</v>
      </c>
      <c r="W301">
        <f>セットアップレポート!V301</f>
        <v>0</v>
      </c>
      <c r="X301">
        <f>セットアップレポート!W301</f>
        <v>0</v>
      </c>
      <c r="Y301">
        <f>セットアップレポート!X301</f>
        <v>0</v>
      </c>
      <c r="Z301">
        <f>セットアップレポート!Y301</f>
        <v>0</v>
      </c>
      <c r="AA301">
        <f>セットアップレポート!Z301</f>
        <v>0</v>
      </c>
      <c r="AB301" t="str">
        <f>セットアップレポート!AA301</f>
        <v>NONE</v>
      </c>
      <c r="AC301">
        <f>セットアップレポート!AB301</f>
        <v>0</v>
      </c>
      <c r="AD301">
        <f>セットアップレポート!AC301</f>
        <v>0</v>
      </c>
      <c r="AE301">
        <f>セットアップレポート!AD301</f>
        <v>0</v>
      </c>
      <c r="AF301">
        <f>セットアップレポート!AE301</f>
        <v>0</v>
      </c>
      <c r="AG301">
        <f>セットアップレポート!AF301</f>
        <v>0</v>
      </c>
      <c r="AH301">
        <f>セットアップレポート!AG301</f>
        <v>0</v>
      </c>
    </row>
    <row r="302" spans="1:34" x14ac:dyDescent="0.45">
      <c r="A302" t="str">
        <f t="shared" si="4"/>
        <v>L2-NPM050030L9000065072</v>
      </c>
      <c r="B302" t="str">
        <f>セットアップレポート!A302</f>
        <v>Line-2</v>
      </c>
      <c r="C302" t="str">
        <f>セットアップレポート!B302</f>
        <v>L2-NPM05</v>
      </c>
      <c r="D302" t="str">
        <f>セットアップレポート!C302</f>
        <v>Zone-2-NPMW-5</v>
      </c>
      <c r="E302">
        <f>セットアップレポート!D302</f>
        <v>1</v>
      </c>
      <c r="F302">
        <f>セットアップレポート!E302</f>
        <v>1</v>
      </c>
      <c r="G302" t="str">
        <f>セットアップレポート!F302</f>
        <v>20030L</v>
      </c>
      <c r="H302">
        <f>セットアップレポート!G302</f>
        <v>30</v>
      </c>
      <c r="I302" t="str">
        <f>セットアップレポート!H302</f>
        <v>L</v>
      </c>
      <c r="J302" t="str">
        <f>セットアップレポート!I302</f>
        <v>9000065072 100053</v>
      </c>
      <c r="K302">
        <f>セットアップレポート!J302</f>
        <v>9000065072</v>
      </c>
      <c r="L302">
        <f>セットアップレポート!K302</f>
        <v>0</v>
      </c>
      <c r="M302">
        <f>セットアップレポート!L302</f>
        <v>0</v>
      </c>
      <c r="N302">
        <f>セットアップレポート!M302</f>
        <v>0</v>
      </c>
      <c r="O302">
        <f>セットアップレポート!N302</f>
        <v>0</v>
      </c>
      <c r="P302" t="str">
        <f>セットアップレポート!O302</f>
        <v>FA0220ACH328542</v>
      </c>
      <c r="Q302">
        <f>セットアップレポート!P302</f>
        <v>350</v>
      </c>
      <c r="R302">
        <f>セットアップレポート!Q302</f>
        <v>45950.475358796299</v>
      </c>
      <c r="S302">
        <f>セットアップレポート!R302</f>
        <v>0</v>
      </c>
      <c r="T302">
        <f>セットアップレポート!S302</f>
        <v>0</v>
      </c>
      <c r="U302">
        <f>セットアップレポート!T302</f>
        <v>0</v>
      </c>
      <c r="V302">
        <f>セットアップレポート!U302</f>
        <v>0</v>
      </c>
      <c r="W302">
        <f>セットアップレポート!V302</f>
        <v>0</v>
      </c>
      <c r="X302">
        <f>セットアップレポート!W302</f>
        <v>0</v>
      </c>
      <c r="Y302">
        <f>セットアップレポート!X302</f>
        <v>0</v>
      </c>
      <c r="Z302">
        <f>セットアップレポート!Y302</f>
        <v>0</v>
      </c>
      <c r="AA302">
        <f>セットアップレポート!Z302</f>
        <v>0</v>
      </c>
      <c r="AB302" t="str">
        <f>セットアップレポート!AA302</f>
        <v>NONE</v>
      </c>
      <c r="AC302">
        <f>セットアップレポート!AB302</f>
        <v>0</v>
      </c>
      <c r="AD302">
        <f>セットアップレポート!AC302</f>
        <v>0</v>
      </c>
      <c r="AE302">
        <f>セットアップレポート!AD302</f>
        <v>0</v>
      </c>
      <c r="AF302">
        <f>セットアップレポート!AE302</f>
        <v>0</v>
      </c>
      <c r="AG302">
        <f>セットアップレポート!AF302</f>
        <v>0</v>
      </c>
      <c r="AH302">
        <f>セットアップレポート!AG302</f>
        <v>0</v>
      </c>
    </row>
    <row r="303" spans="1:34" x14ac:dyDescent="0.45">
      <c r="A303" t="str">
        <f t="shared" si="4"/>
        <v>L2-NPM060001L9000057279</v>
      </c>
      <c r="B303" t="str">
        <f>セットアップレポート!A303</f>
        <v>Line-2</v>
      </c>
      <c r="C303" t="str">
        <f>セットアップレポート!B303</f>
        <v>L2-NPM06</v>
      </c>
      <c r="D303" t="str">
        <f>セットアップレポート!C303</f>
        <v>Zone-2-NPMW-6</v>
      </c>
      <c r="E303">
        <f>セットアップレポート!D303</f>
        <v>1</v>
      </c>
      <c r="F303">
        <f>セットアップレポート!E303</f>
        <v>1</v>
      </c>
      <c r="G303" t="str">
        <f>セットアップレポート!F303</f>
        <v>10001L</v>
      </c>
      <c r="H303">
        <f>セットアップレポート!G303</f>
        <v>1</v>
      </c>
      <c r="I303" t="str">
        <f>セットアップレポート!H303</f>
        <v>L</v>
      </c>
      <c r="J303" t="str">
        <f>セットアップレポート!I303</f>
        <v>9000057279 106944</v>
      </c>
      <c r="K303">
        <f>セットアップレポート!J303</f>
        <v>9000057279</v>
      </c>
      <c r="L303">
        <f>セットアップレポート!K303</f>
        <v>0</v>
      </c>
      <c r="M303">
        <f>セットアップレポート!L303</f>
        <v>0</v>
      </c>
      <c r="N303">
        <f>セットアップレポート!M303</f>
        <v>0</v>
      </c>
      <c r="O303">
        <f>セットアップレポート!N303</f>
        <v>0</v>
      </c>
      <c r="P303" t="str">
        <f>セットアップレポート!O303</f>
        <v>FA0430ABH314555</v>
      </c>
      <c r="Q303">
        <f>セットアップレポート!P303</f>
        <v>200</v>
      </c>
      <c r="R303">
        <f>セットアップレポート!Q303</f>
        <v>45950.474722222221</v>
      </c>
      <c r="S303">
        <f>セットアップレポート!R303</f>
        <v>0</v>
      </c>
      <c r="T303">
        <f>セットアップレポート!S303</f>
        <v>0</v>
      </c>
      <c r="U303">
        <f>セットアップレポート!T303</f>
        <v>0</v>
      </c>
      <c r="V303">
        <f>セットアップレポート!U303</f>
        <v>0</v>
      </c>
      <c r="W303">
        <f>セットアップレポート!V303</f>
        <v>0</v>
      </c>
      <c r="X303">
        <f>セットアップレポート!W303</f>
        <v>0</v>
      </c>
      <c r="Y303">
        <f>セットアップレポート!X303</f>
        <v>0</v>
      </c>
      <c r="Z303">
        <f>セットアップレポート!Y303</f>
        <v>0</v>
      </c>
      <c r="AA303">
        <f>セットアップレポート!Z303</f>
        <v>0</v>
      </c>
      <c r="AB303" t="str">
        <f>セットアップレポート!AA303</f>
        <v>NONE</v>
      </c>
      <c r="AC303">
        <f>セットアップレポート!AB303</f>
        <v>0</v>
      </c>
      <c r="AD303">
        <f>セットアップレポート!AC303</f>
        <v>0</v>
      </c>
      <c r="AE303">
        <f>セットアップレポート!AD303</f>
        <v>0</v>
      </c>
      <c r="AF303">
        <f>セットアップレポート!AE303</f>
        <v>0</v>
      </c>
      <c r="AG303">
        <f>セットアップレポート!AF303</f>
        <v>0</v>
      </c>
      <c r="AH303">
        <f>セットアップレポート!AG303</f>
        <v>0</v>
      </c>
    </row>
    <row r="304" spans="1:34" x14ac:dyDescent="0.45">
      <c r="A304" t="str">
        <f t="shared" si="4"/>
        <v>L2-NPM060003L719991</v>
      </c>
      <c r="B304" t="str">
        <f>セットアップレポート!A304</f>
        <v>Line-2</v>
      </c>
      <c r="C304" t="str">
        <f>セットアップレポート!B304</f>
        <v>L2-NPM06</v>
      </c>
      <c r="D304" t="str">
        <f>セットアップレポート!C304</f>
        <v>Zone-2-NPMW-6</v>
      </c>
      <c r="E304">
        <f>セットアップレポート!D304</f>
        <v>1</v>
      </c>
      <c r="F304">
        <f>セットアップレポート!E304</f>
        <v>1</v>
      </c>
      <c r="G304" t="str">
        <f>セットアップレポート!F304</f>
        <v>10003L</v>
      </c>
      <c r="H304">
        <f>セットアップレポート!G304</f>
        <v>3</v>
      </c>
      <c r="I304" t="str">
        <f>セットアップレポート!H304</f>
        <v>L</v>
      </c>
      <c r="J304" t="str">
        <f>セットアップレポート!I304</f>
        <v>719991 100012</v>
      </c>
      <c r="K304">
        <f>セットアップレポート!J304</f>
        <v>719991</v>
      </c>
      <c r="L304">
        <f>セットアップレポート!K304</f>
        <v>0</v>
      </c>
      <c r="M304">
        <f>セットアップレポート!L304</f>
        <v>0</v>
      </c>
      <c r="N304">
        <f>セットアップレポート!M304</f>
        <v>0</v>
      </c>
      <c r="O304">
        <f>セットアップレポート!N304</f>
        <v>0</v>
      </c>
      <c r="P304" t="str">
        <f>セットアップレポート!O304</f>
        <v>FA0240AEA354392</v>
      </c>
      <c r="Q304">
        <f>セットアップレポート!P304</f>
        <v>1000</v>
      </c>
      <c r="R304">
        <f>セットアップレポート!Q304</f>
        <v>45947.674768518518</v>
      </c>
      <c r="S304">
        <f>セットアップレポート!R304</f>
        <v>0</v>
      </c>
      <c r="T304">
        <f>セットアップレポート!S304</f>
        <v>0</v>
      </c>
      <c r="U304">
        <f>セットアップレポート!T304</f>
        <v>0</v>
      </c>
      <c r="V304">
        <f>セットアップレポート!U304</f>
        <v>0</v>
      </c>
      <c r="W304">
        <f>セットアップレポート!V304</f>
        <v>0</v>
      </c>
      <c r="X304">
        <f>セットアップレポート!W304</f>
        <v>0</v>
      </c>
      <c r="Y304">
        <f>セットアップレポート!X304</f>
        <v>0</v>
      </c>
      <c r="Z304">
        <f>セットアップレポート!Y304</f>
        <v>0</v>
      </c>
      <c r="AA304">
        <f>セットアップレポート!Z304</f>
        <v>0</v>
      </c>
      <c r="AB304" t="str">
        <f>セットアップレポート!AA304</f>
        <v>NONE</v>
      </c>
      <c r="AC304">
        <f>セットアップレポート!AB304</f>
        <v>0</v>
      </c>
      <c r="AD304">
        <f>セットアップレポート!AC304</f>
        <v>0</v>
      </c>
      <c r="AE304">
        <f>セットアップレポート!AD304</f>
        <v>0</v>
      </c>
      <c r="AF304">
        <f>セットアップレポート!AE304</f>
        <v>0</v>
      </c>
      <c r="AG304">
        <f>セットアップレポート!AF304</f>
        <v>0</v>
      </c>
      <c r="AH304">
        <f>セットアップレポート!AG304</f>
        <v>0</v>
      </c>
    </row>
    <row r="305" spans="1:34" x14ac:dyDescent="0.45">
      <c r="A305" t="str">
        <f t="shared" si="4"/>
        <v>L2-NPM060004L9000045523</v>
      </c>
      <c r="B305" t="str">
        <f>セットアップレポート!A305</f>
        <v>Line-2</v>
      </c>
      <c r="C305" t="str">
        <f>セットアップレポート!B305</f>
        <v>L2-NPM06</v>
      </c>
      <c r="D305" t="str">
        <f>セットアップレポート!C305</f>
        <v>Zone-2-NPMW-6</v>
      </c>
      <c r="E305">
        <f>セットアップレポート!D305</f>
        <v>1</v>
      </c>
      <c r="F305">
        <f>セットアップレポート!E305</f>
        <v>1</v>
      </c>
      <c r="G305" t="str">
        <f>セットアップレポート!F305</f>
        <v>10004L</v>
      </c>
      <c r="H305">
        <f>セットアップレポート!G305</f>
        <v>4</v>
      </c>
      <c r="I305" t="str">
        <f>セットアップレポート!H305</f>
        <v>L</v>
      </c>
      <c r="J305" t="str">
        <f>セットアップレポート!I305</f>
        <v>9000045523 100141</v>
      </c>
      <c r="K305">
        <f>セットアップレポート!J305</f>
        <v>9000045523</v>
      </c>
      <c r="L305">
        <f>セットアップレポート!K305</f>
        <v>0</v>
      </c>
      <c r="M305">
        <f>セットアップレポート!L305</f>
        <v>0</v>
      </c>
      <c r="N305">
        <f>セットアップレポート!M305</f>
        <v>0</v>
      </c>
      <c r="O305">
        <f>セットアップレポート!N305</f>
        <v>0</v>
      </c>
      <c r="P305" t="str">
        <f>セットアップレポート!O305</f>
        <v>FA0230AEA373514</v>
      </c>
      <c r="Q305">
        <f>セットアップレポート!P305</f>
        <v>1300</v>
      </c>
      <c r="R305">
        <f>セットアップレポート!Q305</f>
        <v>45937.445416666669</v>
      </c>
      <c r="S305">
        <f>セットアップレポート!R305</f>
        <v>0</v>
      </c>
      <c r="T305">
        <f>セットアップレポート!S305</f>
        <v>0</v>
      </c>
      <c r="U305">
        <f>セットアップレポート!T305</f>
        <v>0</v>
      </c>
      <c r="V305">
        <f>セットアップレポート!U305</f>
        <v>0</v>
      </c>
      <c r="W305">
        <f>セットアップレポート!V305</f>
        <v>0</v>
      </c>
      <c r="X305">
        <f>セットアップレポート!W305</f>
        <v>0</v>
      </c>
      <c r="Y305">
        <f>セットアップレポート!X305</f>
        <v>0</v>
      </c>
      <c r="Z305">
        <f>セットアップレポート!Y305</f>
        <v>0</v>
      </c>
      <c r="AA305">
        <f>セットアップレポート!Z305</f>
        <v>0</v>
      </c>
      <c r="AB305" t="str">
        <f>セットアップレポート!AA305</f>
        <v>NONE</v>
      </c>
      <c r="AC305">
        <f>セットアップレポート!AB305</f>
        <v>0</v>
      </c>
      <c r="AD305">
        <f>セットアップレポート!AC305</f>
        <v>0</v>
      </c>
      <c r="AE305">
        <f>セットアップレポート!AD305</f>
        <v>0</v>
      </c>
      <c r="AF305">
        <f>セットアップレポート!AE305</f>
        <v>0</v>
      </c>
      <c r="AG305">
        <f>セットアップレポート!AF305</f>
        <v>0</v>
      </c>
      <c r="AH305">
        <f>セットアップレポート!AG305</f>
        <v>0</v>
      </c>
    </row>
    <row r="306" spans="1:34" x14ac:dyDescent="0.45">
      <c r="A306" t="str">
        <f t="shared" si="4"/>
        <v>L2-NPM060006L9000003114</v>
      </c>
      <c r="B306" t="str">
        <f>セットアップレポート!A306</f>
        <v>Line-2</v>
      </c>
      <c r="C306" t="str">
        <f>セットアップレポート!B306</f>
        <v>L2-NPM06</v>
      </c>
      <c r="D306" t="str">
        <f>セットアップレポート!C306</f>
        <v>Zone-2-NPMW-6</v>
      </c>
      <c r="E306">
        <f>セットアップレポート!D306</f>
        <v>1</v>
      </c>
      <c r="F306">
        <f>セットアップレポート!E306</f>
        <v>1</v>
      </c>
      <c r="G306" t="str">
        <f>セットアップレポート!F306</f>
        <v>10006L</v>
      </c>
      <c r="H306">
        <f>セットアップレポート!G306</f>
        <v>6</v>
      </c>
      <c r="I306" t="str">
        <f>セットアップレポート!H306</f>
        <v>L</v>
      </c>
      <c r="J306" t="str">
        <f>セットアップレポート!I306</f>
        <v>9000003114 100026</v>
      </c>
      <c r="K306">
        <f>セットアップレポート!J306</f>
        <v>9000003114</v>
      </c>
      <c r="L306">
        <f>セットアップレポート!K306</f>
        <v>0</v>
      </c>
      <c r="M306">
        <f>セットアップレポート!L306</f>
        <v>0</v>
      </c>
      <c r="N306">
        <f>セットアップレポート!M306</f>
        <v>0</v>
      </c>
      <c r="O306">
        <f>セットアップレポート!N306</f>
        <v>0</v>
      </c>
      <c r="P306" t="str">
        <f>セットアップレポート!O306</f>
        <v>FA0430ABH314543</v>
      </c>
      <c r="Q306">
        <f>セットアップレポート!P306</f>
        <v>1100</v>
      </c>
      <c r="R306">
        <f>セットアップレポート!Q306</f>
        <v>45950.474722222221</v>
      </c>
      <c r="S306" t="str">
        <f>セットアップレポート!R306</f>
        <v>sato kuniyoshi</v>
      </c>
      <c r="T306">
        <f>セットアップレポート!S306</f>
        <v>0</v>
      </c>
      <c r="U306">
        <f>セットアップレポート!T306</f>
        <v>0</v>
      </c>
      <c r="V306">
        <f>セットアップレポート!U306</f>
        <v>0</v>
      </c>
      <c r="W306">
        <f>セットアップレポート!V306</f>
        <v>0</v>
      </c>
      <c r="X306">
        <f>セットアップレポート!W306</f>
        <v>0</v>
      </c>
      <c r="Y306">
        <f>セットアップレポート!X306</f>
        <v>0</v>
      </c>
      <c r="Z306">
        <f>セットアップレポート!Y306</f>
        <v>0</v>
      </c>
      <c r="AA306">
        <f>セットアップレポート!Z306</f>
        <v>0</v>
      </c>
      <c r="AB306" t="str">
        <f>セットアップレポート!AA306</f>
        <v>NONE</v>
      </c>
      <c r="AC306">
        <f>セットアップレポート!AB306</f>
        <v>0</v>
      </c>
      <c r="AD306">
        <f>セットアップレポート!AC306</f>
        <v>0</v>
      </c>
      <c r="AE306">
        <f>セットアップレポート!AD306</f>
        <v>0</v>
      </c>
      <c r="AF306">
        <f>セットアップレポート!AE306</f>
        <v>0</v>
      </c>
      <c r="AG306">
        <f>セットアップレポート!AF306</f>
        <v>0</v>
      </c>
      <c r="AH306">
        <f>セットアップレポート!AG306</f>
        <v>0</v>
      </c>
    </row>
    <row r="307" spans="1:34" x14ac:dyDescent="0.45">
      <c r="A307" t="str">
        <f t="shared" si="4"/>
        <v>L2-NPM060008L9000069620</v>
      </c>
      <c r="B307" t="str">
        <f>セットアップレポート!A307</f>
        <v>Line-2</v>
      </c>
      <c r="C307" t="str">
        <f>セットアップレポート!B307</f>
        <v>L2-NPM06</v>
      </c>
      <c r="D307" t="str">
        <f>セットアップレポート!C307</f>
        <v>Zone-2-NPMW-6</v>
      </c>
      <c r="E307">
        <f>セットアップレポート!D307</f>
        <v>1</v>
      </c>
      <c r="F307">
        <f>セットアップレポート!E307</f>
        <v>1</v>
      </c>
      <c r="G307" t="str">
        <f>セットアップレポート!F307</f>
        <v>10008L</v>
      </c>
      <c r="H307">
        <f>セットアップレポート!G307</f>
        <v>8</v>
      </c>
      <c r="I307" t="str">
        <f>セットアップレポート!H307</f>
        <v>L</v>
      </c>
      <c r="J307" t="str">
        <f>セットアップレポート!I307</f>
        <v>9000069620 100009</v>
      </c>
      <c r="K307">
        <f>セットアップレポート!J307</f>
        <v>9000069620</v>
      </c>
      <c r="L307">
        <f>セットアップレポート!K307</f>
        <v>0</v>
      </c>
      <c r="M307">
        <f>セットアップレポート!L307</f>
        <v>0</v>
      </c>
      <c r="N307">
        <f>セットアップレポート!M307</f>
        <v>0</v>
      </c>
      <c r="O307">
        <f>セットアップレポート!N307</f>
        <v>0</v>
      </c>
      <c r="P307" t="str">
        <f>セットアップレポート!O307</f>
        <v>FA0430ABH314542</v>
      </c>
      <c r="Q307">
        <f>セットアップレポート!P307</f>
        <v>700</v>
      </c>
      <c r="R307">
        <f>セットアップレポート!Q307</f>
        <v>45950.474722222221</v>
      </c>
      <c r="S307">
        <f>セットアップレポート!R307</f>
        <v>0</v>
      </c>
      <c r="T307">
        <f>セットアップレポート!S307</f>
        <v>0</v>
      </c>
      <c r="U307">
        <f>セットアップレポート!T307</f>
        <v>0</v>
      </c>
      <c r="V307">
        <f>セットアップレポート!U307</f>
        <v>0</v>
      </c>
      <c r="W307">
        <f>セットアップレポート!V307</f>
        <v>0</v>
      </c>
      <c r="X307">
        <f>セットアップレポート!W307</f>
        <v>0</v>
      </c>
      <c r="Y307">
        <f>セットアップレポート!X307</f>
        <v>0</v>
      </c>
      <c r="Z307">
        <f>セットアップレポート!Y307</f>
        <v>0</v>
      </c>
      <c r="AA307">
        <f>セットアップレポート!Z307</f>
        <v>0</v>
      </c>
      <c r="AB307" t="str">
        <f>セットアップレポート!AA307</f>
        <v>NONE</v>
      </c>
      <c r="AC307">
        <f>セットアップレポート!AB307</f>
        <v>0</v>
      </c>
      <c r="AD307">
        <f>セットアップレポート!AC307</f>
        <v>0</v>
      </c>
      <c r="AE307">
        <f>セットアップレポート!AD307</f>
        <v>0</v>
      </c>
      <c r="AF307">
        <f>セットアップレポート!AE307</f>
        <v>0</v>
      </c>
      <c r="AG307">
        <f>セットアップレポート!AF307</f>
        <v>0</v>
      </c>
      <c r="AH307">
        <f>セットアップレポート!AG307</f>
        <v>0</v>
      </c>
    </row>
    <row r="308" spans="1:34" x14ac:dyDescent="0.45">
      <c r="A308" t="str">
        <f t="shared" si="4"/>
        <v>L2-NPM060010L917625</v>
      </c>
      <c r="B308" t="str">
        <f>セットアップレポート!A308</f>
        <v>Line-2</v>
      </c>
      <c r="C308" t="str">
        <f>セットアップレポート!B308</f>
        <v>L2-NPM06</v>
      </c>
      <c r="D308" t="str">
        <f>セットアップレポート!C308</f>
        <v>Zone-2-NPMW-6</v>
      </c>
      <c r="E308">
        <f>セットアップレポート!D308</f>
        <v>1</v>
      </c>
      <c r="F308">
        <f>セットアップレポート!E308</f>
        <v>1</v>
      </c>
      <c r="G308" t="str">
        <f>セットアップレポート!F308</f>
        <v>10010L</v>
      </c>
      <c r="H308">
        <f>セットアップレポート!G308</f>
        <v>10</v>
      </c>
      <c r="I308" t="str">
        <f>セットアップレポート!H308</f>
        <v>L</v>
      </c>
      <c r="J308" t="str">
        <f>セットアップレポート!I308</f>
        <v>917625 100787</v>
      </c>
      <c r="K308">
        <f>セットアップレポート!J308</f>
        <v>917625</v>
      </c>
      <c r="L308">
        <f>セットアップレポート!K308</f>
        <v>0</v>
      </c>
      <c r="M308">
        <f>セットアップレポート!L308</f>
        <v>0</v>
      </c>
      <c r="N308">
        <f>セットアップレポート!M308</f>
        <v>0</v>
      </c>
      <c r="O308">
        <f>セットアップレポート!N308</f>
        <v>0</v>
      </c>
      <c r="P308" t="str">
        <f>セットアップレポート!O308</f>
        <v>FA0430ABH314509</v>
      </c>
      <c r="Q308">
        <f>セットアップレポート!P308</f>
        <v>500</v>
      </c>
      <c r="R308">
        <f>セットアップレポート!Q308</f>
        <v>45950.474722222221</v>
      </c>
      <c r="S308">
        <f>セットアップレポート!R308</f>
        <v>0</v>
      </c>
      <c r="T308">
        <f>セットアップレポート!S308</f>
        <v>0</v>
      </c>
      <c r="U308">
        <f>セットアップレポート!T308</f>
        <v>0</v>
      </c>
      <c r="V308">
        <f>セットアップレポート!U308</f>
        <v>0</v>
      </c>
      <c r="W308">
        <f>セットアップレポート!V308</f>
        <v>0</v>
      </c>
      <c r="X308">
        <f>セットアップレポート!W308</f>
        <v>0</v>
      </c>
      <c r="Y308">
        <f>セットアップレポート!X308</f>
        <v>0</v>
      </c>
      <c r="Z308">
        <f>セットアップレポート!Y308</f>
        <v>0</v>
      </c>
      <c r="AA308">
        <f>セットアップレポート!Z308</f>
        <v>0</v>
      </c>
      <c r="AB308" t="str">
        <f>セットアップレポート!AA308</f>
        <v>NONE</v>
      </c>
      <c r="AC308">
        <f>セットアップレポート!AB308</f>
        <v>0</v>
      </c>
      <c r="AD308">
        <f>セットアップレポート!AC308</f>
        <v>0</v>
      </c>
      <c r="AE308">
        <f>セットアップレポート!AD308</f>
        <v>0</v>
      </c>
      <c r="AF308">
        <f>セットアップレポート!AE308</f>
        <v>0</v>
      </c>
      <c r="AG308">
        <f>セットアップレポート!AF308</f>
        <v>0</v>
      </c>
      <c r="AH308">
        <f>セットアップレポート!AG308</f>
        <v>0</v>
      </c>
    </row>
    <row r="309" spans="1:34" x14ac:dyDescent="0.45">
      <c r="A309" t="str">
        <f t="shared" si="4"/>
        <v>L2-NPM060012L9000003186</v>
      </c>
      <c r="B309" t="str">
        <f>セットアップレポート!A309</f>
        <v>Line-2</v>
      </c>
      <c r="C309" t="str">
        <f>セットアップレポート!B309</f>
        <v>L2-NPM06</v>
      </c>
      <c r="D309" t="str">
        <f>セットアップレポート!C309</f>
        <v>Zone-2-NPMW-6</v>
      </c>
      <c r="E309">
        <f>セットアップレポート!D309</f>
        <v>1</v>
      </c>
      <c r="F309">
        <f>セットアップレポート!E309</f>
        <v>1</v>
      </c>
      <c r="G309" t="str">
        <f>セットアップレポート!F309</f>
        <v>10012L</v>
      </c>
      <c r="H309">
        <f>セットアップレポート!G309</f>
        <v>12</v>
      </c>
      <c r="I309" t="str">
        <f>セットアップレポート!H309</f>
        <v>L</v>
      </c>
      <c r="J309" t="str">
        <f>セットアップレポート!I309</f>
        <v>9000003186 100006</v>
      </c>
      <c r="K309">
        <f>セットアップレポート!J309</f>
        <v>9000003186</v>
      </c>
      <c r="L309">
        <f>セットアップレポート!K309</f>
        <v>0</v>
      </c>
      <c r="M309">
        <f>セットアップレポート!L309</f>
        <v>0</v>
      </c>
      <c r="N309">
        <f>セットアップレポート!M309</f>
        <v>0</v>
      </c>
      <c r="O309">
        <f>セットアップレポート!N309</f>
        <v>0</v>
      </c>
      <c r="P309" t="str">
        <f>セットアップレポート!O309</f>
        <v>FA0230AEA373461</v>
      </c>
      <c r="Q309">
        <f>セットアップレポート!P309</f>
        <v>1300</v>
      </c>
      <c r="R309">
        <f>セットアップレポート!Q309</f>
        <v>45950.474722222221</v>
      </c>
      <c r="S309">
        <f>セットアップレポート!R309</f>
        <v>0</v>
      </c>
      <c r="T309">
        <f>セットアップレポート!S309</f>
        <v>0</v>
      </c>
      <c r="U309">
        <f>セットアップレポート!T309</f>
        <v>0</v>
      </c>
      <c r="V309">
        <f>セットアップレポート!U309</f>
        <v>0</v>
      </c>
      <c r="W309">
        <f>セットアップレポート!V309</f>
        <v>0</v>
      </c>
      <c r="X309">
        <f>セットアップレポート!W309</f>
        <v>0</v>
      </c>
      <c r="Y309">
        <f>セットアップレポート!X309</f>
        <v>0</v>
      </c>
      <c r="Z309">
        <f>セットアップレポート!Y309</f>
        <v>0</v>
      </c>
      <c r="AA309">
        <f>セットアップレポート!Z309</f>
        <v>0</v>
      </c>
      <c r="AB309" t="str">
        <f>セットアップレポート!AA309</f>
        <v>NONE</v>
      </c>
      <c r="AC309">
        <f>セットアップレポート!AB309</f>
        <v>0</v>
      </c>
      <c r="AD309">
        <f>セットアップレポート!AC309</f>
        <v>0</v>
      </c>
      <c r="AE309">
        <f>セットアップレポート!AD309</f>
        <v>0</v>
      </c>
      <c r="AF309">
        <f>セットアップレポート!AE309</f>
        <v>0</v>
      </c>
      <c r="AG309">
        <f>セットアップレポート!AF309</f>
        <v>0</v>
      </c>
      <c r="AH309">
        <f>セットアップレポート!AG309</f>
        <v>0</v>
      </c>
    </row>
    <row r="310" spans="1:34" x14ac:dyDescent="0.45">
      <c r="A310" t="str">
        <f t="shared" si="4"/>
        <v>L2-NPM060014L9000045532</v>
      </c>
      <c r="B310" t="str">
        <f>セットアップレポート!A310</f>
        <v>Line-2</v>
      </c>
      <c r="C310" t="str">
        <f>セットアップレポート!B310</f>
        <v>L2-NPM06</v>
      </c>
      <c r="D310" t="str">
        <f>セットアップレポート!C310</f>
        <v>Zone-2-NPMW-6</v>
      </c>
      <c r="E310">
        <f>セットアップレポート!D310</f>
        <v>1</v>
      </c>
      <c r="F310">
        <f>セットアップレポート!E310</f>
        <v>1</v>
      </c>
      <c r="G310" t="str">
        <f>セットアップレポート!F310</f>
        <v>10014L</v>
      </c>
      <c r="H310">
        <f>セットアップレポート!G310</f>
        <v>14</v>
      </c>
      <c r="I310" t="str">
        <f>セットアップレポート!H310</f>
        <v>L</v>
      </c>
      <c r="J310" t="str">
        <f>セットアップレポート!I310</f>
        <v>9000045532 100021</v>
      </c>
      <c r="K310">
        <f>セットアップレポート!J310</f>
        <v>9000045532</v>
      </c>
      <c r="L310">
        <f>セットアップレポート!K310</f>
        <v>0</v>
      </c>
      <c r="M310">
        <f>セットアップレポート!L310</f>
        <v>0</v>
      </c>
      <c r="N310">
        <f>セットアップレポート!M310</f>
        <v>0</v>
      </c>
      <c r="O310">
        <f>セットアップレポート!N310</f>
        <v>0</v>
      </c>
      <c r="P310" t="str">
        <f>セットアップレポート!O310</f>
        <v>FA0230AEA373465</v>
      </c>
      <c r="Q310">
        <f>セットアップレポート!P310</f>
        <v>1300</v>
      </c>
      <c r="R310">
        <f>セットアップレポート!Q310</f>
        <v>45950.474722222221</v>
      </c>
      <c r="S310" t="str">
        <f>セットアップレポート!R310</f>
        <v>sato kuniyoshi</v>
      </c>
      <c r="T310">
        <f>セットアップレポート!S310</f>
        <v>0</v>
      </c>
      <c r="U310">
        <f>セットアップレポート!T310</f>
        <v>0</v>
      </c>
      <c r="V310">
        <f>セットアップレポート!U310</f>
        <v>0</v>
      </c>
      <c r="W310">
        <f>セットアップレポート!V310</f>
        <v>0</v>
      </c>
      <c r="X310">
        <f>セットアップレポート!W310</f>
        <v>0</v>
      </c>
      <c r="Y310">
        <f>セットアップレポート!X310</f>
        <v>0</v>
      </c>
      <c r="Z310">
        <f>セットアップレポート!Y310</f>
        <v>0</v>
      </c>
      <c r="AA310">
        <f>セットアップレポート!Z310</f>
        <v>0</v>
      </c>
      <c r="AB310" t="str">
        <f>セットアップレポート!AA310</f>
        <v>NONE</v>
      </c>
      <c r="AC310">
        <f>セットアップレポート!AB310</f>
        <v>0</v>
      </c>
      <c r="AD310">
        <f>セットアップレポート!AC310</f>
        <v>0</v>
      </c>
      <c r="AE310">
        <f>セットアップレポート!AD310</f>
        <v>0</v>
      </c>
      <c r="AF310">
        <f>セットアップレポート!AE310</f>
        <v>0</v>
      </c>
      <c r="AG310">
        <f>セットアップレポート!AF310</f>
        <v>0</v>
      </c>
      <c r="AH310">
        <f>セットアップレポート!AG310</f>
        <v>0</v>
      </c>
    </row>
    <row r="311" spans="1:34" x14ac:dyDescent="0.45">
      <c r="A311" t="str">
        <f t="shared" si="4"/>
        <v>L2-NPM060016L9000069781</v>
      </c>
      <c r="B311" t="str">
        <f>セットアップレポート!A311</f>
        <v>Line-2</v>
      </c>
      <c r="C311" t="str">
        <f>セットアップレポート!B311</f>
        <v>L2-NPM06</v>
      </c>
      <c r="D311" t="str">
        <f>セットアップレポート!C311</f>
        <v>Zone-2-NPMW-6</v>
      </c>
      <c r="E311">
        <f>セットアップレポート!D311</f>
        <v>1</v>
      </c>
      <c r="F311">
        <f>セットアップレポート!E311</f>
        <v>1</v>
      </c>
      <c r="G311" t="str">
        <f>セットアップレポート!F311</f>
        <v>10016L</v>
      </c>
      <c r="H311">
        <f>セットアップレポート!G311</f>
        <v>16</v>
      </c>
      <c r="I311" t="str">
        <f>セットアップレポート!H311</f>
        <v>L</v>
      </c>
      <c r="J311" t="str">
        <f>セットアップレポート!I311</f>
        <v>9000069781 100010</v>
      </c>
      <c r="K311">
        <f>セットアップレポート!J311</f>
        <v>9000069781</v>
      </c>
      <c r="L311">
        <f>セットアップレポート!K311</f>
        <v>0</v>
      </c>
      <c r="M311">
        <f>セットアップレポート!L311</f>
        <v>0</v>
      </c>
      <c r="N311">
        <f>セットアップレポート!M311</f>
        <v>0</v>
      </c>
      <c r="O311">
        <f>セットアップレポート!N311</f>
        <v>0</v>
      </c>
      <c r="P311" t="str">
        <f>セットアップレポート!O311</f>
        <v>FA0230AEA373444</v>
      </c>
      <c r="Q311">
        <f>セットアップレポート!P311</f>
        <v>1000</v>
      </c>
      <c r="R311">
        <f>セットアップレポート!Q311</f>
        <v>45950.474722222221</v>
      </c>
      <c r="S311">
        <f>セットアップレポート!R311</f>
        <v>0</v>
      </c>
      <c r="T311">
        <f>セットアップレポート!S311</f>
        <v>0</v>
      </c>
      <c r="U311">
        <f>セットアップレポート!T311</f>
        <v>0</v>
      </c>
      <c r="V311">
        <f>セットアップレポート!U311</f>
        <v>0</v>
      </c>
      <c r="W311">
        <f>セットアップレポート!V311</f>
        <v>0</v>
      </c>
      <c r="X311">
        <f>セットアップレポート!W311</f>
        <v>0</v>
      </c>
      <c r="Y311">
        <f>セットアップレポート!X311</f>
        <v>0</v>
      </c>
      <c r="Z311">
        <f>セットアップレポート!Y311</f>
        <v>0</v>
      </c>
      <c r="AA311">
        <f>セットアップレポート!Z311</f>
        <v>0</v>
      </c>
      <c r="AB311" t="str">
        <f>セットアップレポート!AA311</f>
        <v>NONE</v>
      </c>
      <c r="AC311">
        <f>セットアップレポート!AB311</f>
        <v>0</v>
      </c>
      <c r="AD311">
        <f>セットアップレポート!AC311</f>
        <v>0</v>
      </c>
      <c r="AE311">
        <f>セットアップレポート!AD311</f>
        <v>0</v>
      </c>
      <c r="AF311">
        <f>セットアップレポート!AE311</f>
        <v>0</v>
      </c>
      <c r="AG311">
        <f>セットアップレポート!AF311</f>
        <v>0</v>
      </c>
      <c r="AH311">
        <f>セットアップレポート!AG311</f>
        <v>0</v>
      </c>
    </row>
    <row r="312" spans="1:34" x14ac:dyDescent="0.45">
      <c r="A312" t="str">
        <f t="shared" si="4"/>
        <v>L2-NPM060018L9000069771</v>
      </c>
      <c r="B312" t="str">
        <f>セットアップレポート!A312</f>
        <v>Line-2</v>
      </c>
      <c r="C312" t="str">
        <f>セットアップレポート!B312</f>
        <v>L2-NPM06</v>
      </c>
      <c r="D312" t="str">
        <f>セットアップレポート!C312</f>
        <v>Zone-2-NPMW-6</v>
      </c>
      <c r="E312">
        <f>セットアップレポート!D312</f>
        <v>1</v>
      </c>
      <c r="F312">
        <f>セットアップレポート!E312</f>
        <v>1</v>
      </c>
      <c r="G312" t="str">
        <f>セットアップレポート!F312</f>
        <v>10018L</v>
      </c>
      <c r="H312">
        <f>セットアップレポート!G312</f>
        <v>18</v>
      </c>
      <c r="I312" t="str">
        <f>セットアップレポート!H312</f>
        <v>L</v>
      </c>
      <c r="J312" t="str">
        <f>セットアップレポート!I312</f>
        <v>9000069771 100005</v>
      </c>
      <c r="K312">
        <f>セットアップレポート!J312</f>
        <v>9000069771</v>
      </c>
      <c r="L312">
        <f>セットアップレポート!K312</f>
        <v>0</v>
      </c>
      <c r="M312">
        <f>セットアップレポート!L312</f>
        <v>0</v>
      </c>
      <c r="N312">
        <f>セットアップレポート!M312</f>
        <v>0</v>
      </c>
      <c r="O312">
        <f>セットアップレポート!N312</f>
        <v>0</v>
      </c>
      <c r="P312" t="str">
        <f>セットアップレポート!O312</f>
        <v>FA0230AEA373487</v>
      </c>
      <c r="Q312">
        <f>セットアップレポート!P312</f>
        <v>1000</v>
      </c>
      <c r="R312">
        <f>セットアップレポート!Q312</f>
        <v>45950.474722222221</v>
      </c>
      <c r="S312">
        <f>セットアップレポート!R312</f>
        <v>0</v>
      </c>
      <c r="T312">
        <f>セットアップレポート!S312</f>
        <v>0</v>
      </c>
      <c r="U312">
        <f>セットアップレポート!T312</f>
        <v>0</v>
      </c>
      <c r="V312">
        <f>セットアップレポート!U312</f>
        <v>0</v>
      </c>
      <c r="W312">
        <f>セットアップレポート!V312</f>
        <v>0</v>
      </c>
      <c r="X312">
        <f>セットアップレポート!W312</f>
        <v>0</v>
      </c>
      <c r="Y312">
        <f>セットアップレポート!X312</f>
        <v>0</v>
      </c>
      <c r="Z312">
        <f>セットアップレポート!Y312</f>
        <v>0</v>
      </c>
      <c r="AA312">
        <f>セットアップレポート!Z312</f>
        <v>0</v>
      </c>
      <c r="AB312" t="str">
        <f>セットアップレポート!AA312</f>
        <v>NONE</v>
      </c>
      <c r="AC312">
        <f>セットアップレポート!AB312</f>
        <v>0</v>
      </c>
      <c r="AD312">
        <f>セットアップレポート!AC312</f>
        <v>0</v>
      </c>
      <c r="AE312">
        <f>セットアップレポート!AD312</f>
        <v>0</v>
      </c>
      <c r="AF312">
        <f>セットアップレポート!AE312</f>
        <v>0</v>
      </c>
      <c r="AG312">
        <f>セットアップレポート!AF312</f>
        <v>0</v>
      </c>
      <c r="AH312">
        <f>セットアップレポート!AG312</f>
        <v>0</v>
      </c>
    </row>
    <row r="313" spans="1:34" x14ac:dyDescent="0.45">
      <c r="A313" t="str">
        <f t="shared" si="4"/>
        <v>L2-NPM060020L9000070068</v>
      </c>
      <c r="B313" t="str">
        <f>セットアップレポート!A313</f>
        <v>Line-2</v>
      </c>
      <c r="C313" t="str">
        <f>セットアップレポート!B313</f>
        <v>L2-NPM06</v>
      </c>
      <c r="D313" t="str">
        <f>セットアップレポート!C313</f>
        <v>Zone-2-NPMW-6</v>
      </c>
      <c r="E313">
        <f>セットアップレポート!D313</f>
        <v>1</v>
      </c>
      <c r="F313">
        <f>セットアップレポート!E313</f>
        <v>1</v>
      </c>
      <c r="G313" t="str">
        <f>セットアップレポート!F313</f>
        <v>10020L</v>
      </c>
      <c r="H313">
        <f>セットアップレポート!G313</f>
        <v>20</v>
      </c>
      <c r="I313" t="str">
        <f>セットアップレポート!H313</f>
        <v>L</v>
      </c>
      <c r="J313" t="str">
        <f>セットアップレポート!I313</f>
        <v>9000070068 100004</v>
      </c>
      <c r="K313">
        <f>セットアップレポート!J313</f>
        <v>9000070068</v>
      </c>
      <c r="L313">
        <f>セットアップレポート!K313</f>
        <v>0</v>
      </c>
      <c r="M313">
        <f>セットアップレポート!L313</f>
        <v>0</v>
      </c>
      <c r="N313">
        <f>セットアップレポート!M313</f>
        <v>0</v>
      </c>
      <c r="O313">
        <f>セットアップレポート!N313</f>
        <v>0</v>
      </c>
      <c r="P313" t="str">
        <f>セットアップレポート!O313</f>
        <v>FA0230AEA373510</v>
      </c>
      <c r="Q313">
        <f>セットアップレポート!P313</f>
        <v>2000</v>
      </c>
      <c r="R313">
        <f>セットアップレポート!Q313</f>
        <v>45950.474722222221</v>
      </c>
      <c r="S313">
        <f>セットアップレポート!R313</f>
        <v>0</v>
      </c>
      <c r="T313">
        <f>セットアップレポート!S313</f>
        <v>0</v>
      </c>
      <c r="U313">
        <f>セットアップレポート!T313</f>
        <v>0</v>
      </c>
      <c r="V313">
        <f>セットアップレポート!U313</f>
        <v>0</v>
      </c>
      <c r="W313">
        <f>セットアップレポート!V313</f>
        <v>0</v>
      </c>
      <c r="X313">
        <f>セットアップレポート!W313</f>
        <v>0</v>
      </c>
      <c r="Y313">
        <f>セットアップレポート!X313</f>
        <v>0</v>
      </c>
      <c r="Z313">
        <f>セットアップレポート!Y313</f>
        <v>0</v>
      </c>
      <c r="AA313">
        <f>セットアップレポート!Z313</f>
        <v>0</v>
      </c>
      <c r="AB313" t="str">
        <f>セットアップレポート!AA313</f>
        <v>NONE</v>
      </c>
      <c r="AC313">
        <f>セットアップレポート!AB313</f>
        <v>0</v>
      </c>
      <c r="AD313">
        <f>セットアップレポート!AC313</f>
        <v>0</v>
      </c>
      <c r="AE313">
        <f>セットアップレポート!AD313</f>
        <v>0</v>
      </c>
      <c r="AF313">
        <f>セットアップレポート!AE313</f>
        <v>0</v>
      </c>
      <c r="AG313">
        <f>セットアップレポート!AF313</f>
        <v>0</v>
      </c>
      <c r="AH313">
        <f>セットアップレポート!AG313</f>
        <v>0</v>
      </c>
    </row>
    <row r="314" spans="1:34" x14ac:dyDescent="0.45">
      <c r="A314" t="str">
        <f t="shared" si="4"/>
        <v>L2-NPM060022L9000065018</v>
      </c>
      <c r="B314" t="str">
        <f>セットアップレポート!A314</f>
        <v>Line-2</v>
      </c>
      <c r="C314" t="str">
        <f>セットアップレポート!B314</f>
        <v>L2-NPM06</v>
      </c>
      <c r="D314" t="str">
        <f>セットアップレポート!C314</f>
        <v>Zone-2-NPMW-6</v>
      </c>
      <c r="E314">
        <f>セットアップレポート!D314</f>
        <v>1</v>
      </c>
      <c r="F314">
        <f>セットアップレポート!E314</f>
        <v>1</v>
      </c>
      <c r="G314" t="str">
        <f>セットアップレポート!F314</f>
        <v>10022L</v>
      </c>
      <c r="H314">
        <f>セットアップレポート!G314</f>
        <v>22</v>
      </c>
      <c r="I314" t="str">
        <f>セットアップレポート!H314</f>
        <v>L</v>
      </c>
      <c r="J314" t="str">
        <f>セットアップレポート!I314</f>
        <v>9000065018 100025</v>
      </c>
      <c r="K314">
        <f>セットアップレポート!J314</f>
        <v>9000065018</v>
      </c>
      <c r="L314">
        <f>セットアップレポート!K314</f>
        <v>0</v>
      </c>
      <c r="M314">
        <f>セットアップレポート!L314</f>
        <v>0</v>
      </c>
      <c r="N314">
        <f>セットアップレポート!M314</f>
        <v>0</v>
      </c>
      <c r="O314">
        <f>セットアップレポート!N314</f>
        <v>0</v>
      </c>
      <c r="P314" t="str">
        <f>セットアップレポート!O314</f>
        <v>FA0430ABH314550</v>
      </c>
      <c r="Q314">
        <f>セットアップレポート!P314</f>
        <v>500</v>
      </c>
      <c r="R314">
        <f>セットアップレポート!Q314</f>
        <v>45950.474722222221</v>
      </c>
      <c r="S314">
        <f>セットアップレポート!R314</f>
        <v>0</v>
      </c>
      <c r="T314">
        <f>セットアップレポート!S314</f>
        <v>0</v>
      </c>
      <c r="U314">
        <f>セットアップレポート!T314</f>
        <v>0</v>
      </c>
      <c r="V314">
        <f>セットアップレポート!U314</f>
        <v>0</v>
      </c>
      <c r="W314">
        <f>セットアップレポート!V314</f>
        <v>0</v>
      </c>
      <c r="X314">
        <f>セットアップレポート!W314</f>
        <v>0</v>
      </c>
      <c r="Y314">
        <f>セットアップレポート!X314</f>
        <v>0</v>
      </c>
      <c r="Z314">
        <f>セットアップレポート!Y314</f>
        <v>0</v>
      </c>
      <c r="AA314">
        <f>セットアップレポート!Z314</f>
        <v>0</v>
      </c>
      <c r="AB314" t="str">
        <f>セットアップレポート!AA314</f>
        <v>NONE</v>
      </c>
      <c r="AC314">
        <f>セットアップレポート!AB314</f>
        <v>0</v>
      </c>
      <c r="AD314">
        <f>セットアップレポート!AC314</f>
        <v>0</v>
      </c>
      <c r="AE314">
        <f>セットアップレポート!AD314</f>
        <v>0</v>
      </c>
      <c r="AF314">
        <f>セットアップレポート!AE314</f>
        <v>0</v>
      </c>
      <c r="AG314">
        <f>セットアップレポート!AF314</f>
        <v>0</v>
      </c>
      <c r="AH314">
        <f>セットアップレポート!AG314</f>
        <v>0</v>
      </c>
    </row>
    <row r="315" spans="1:34" x14ac:dyDescent="0.45">
      <c r="A315" t="str">
        <f t="shared" si="4"/>
        <v>L2-NPM060024L361636C</v>
      </c>
      <c r="B315" t="str">
        <f>セットアップレポート!A315</f>
        <v>Line-2</v>
      </c>
      <c r="C315" t="str">
        <f>セットアップレポート!B315</f>
        <v>L2-NPM06</v>
      </c>
      <c r="D315" t="str">
        <f>セットアップレポート!C315</f>
        <v>Zone-2-NPMW-6</v>
      </c>
      <c r="E315">
        <f>セットアップレポート!D315</f>
        <v>1</v>
      </c>
      <c r="F315">
        <f>セットアップレポート!E315</f>
        <v>1</v>
      </c>
      <c r="G315" t="str">
        <f>セットアップレポート!F315</f>
        <v>10024L</v>
      </c>
      <c r="H315">
        <f>セットアップレポート!G315</f>
        <v>24</v>
      </c>
      <c r="I315" t="str">
        <f>セットアップレポート!H315</f>
        <v>L</v>
      </c>
      <c r="J315" t="str">
        <f>セットアップレポート!I315</f>
        <v>361636C100836</v>
      </c>
      <c r="K315" t="str">
        <f>セットアップレポート!J315</f>
        <v>361636C</v>
      </c>
      <c r="L315">
        <f>セットアップレポート!K315</f>
        <v>0</v>
      </c>
      <c r="M315">
        <f>セットアップレポート!L315</f>
        <v>0</v>
      </c>
      <c r="N315">
        <f>セットアップレポート!M315</f>
        <v>0</v>
      </c>
      <c r="O315">
        <f>セットアップレポート!N315</f>
        <v>0</v>
      </c>
      <c r="P315" t="str">
        <f>セットアップレポート!O315</f>
        <v>FA0220ACH328579</v>
      </c>
      <c r="Q315">
        <f>セットアップレポート!P315</f>
        <v>2000</v>
      </c>
      <c r="R315">
        <f>セットアップレポート!Q315</f>
        <v>45950.474722222221</v>
      </c>
      <c r="S315">
        <f>セットアップレポート!R315</f>
        <v>0</v>
      </c>
      <c r="T315">
        <f>セットアップレポート!S315</f>
        <v>0</v>
      </c>
      <c r="U315">
        <f>セットアップレポート!T315</f>
        <v>0</v>
      </c>
      <c r="V315">
        <f>セットアップレポート!U315</f>
        <v>0</v>
      </c>
      <c r="W315">
        <f>セットアップレポート!V315</f>
        <v>0</v>
      </c>
      <c r="X315">
        <f>セットアップレポート!W315</f>
        <v>0</v>
      </c>
      <c r="Y315">
        <f>セットアップレポート!X315</f>
        <v>0</v>
      </c>
      <c r="Z315">
        <f>セットアップレポート!Y315</f>
        <v>0</v>
      </c>
      <c r="AA315">
        <f>セットアップレポート!Z315</f>
        <v>0</v>
      </c>
      <c r="AB315" t="str">
        <f>セットアップレポート!AA315</f>
        <v>NONE</v>
      </c>
      <c r="AC315">
        <f>セットアップレポート!AB315</f>
        <v>0</v>
      </c>
      <c r="AD315">
        <f>セットアップレポート!AC315</f>
        <v>0</v>
      </c>
      <c r="AE315">
        <f>セットアップレポート!AD315</f>
        <v>0</v>
      </c>
      <c r="AF315">
        <f>セットアップレポート!AE315</f>
        <v>0</v>
      </c>
      <c r="AG315">
        <f>セットアップレポート!AF315</f>
        <v>0</v>
      </c>
      <c r="AH315">
        <f>セットアップレポート!AG315</f>
        <v>0</v>
      </c>
    </row>
    <row r="316" spans="1:34" x14ac:dyDescent="0.45">
      <c r="A316" t="str">
        <f t="shared" si="4"/>
        <v>L2-NPM060025L9000070245</v>
      </c>
      <c r="B316" t="str">
        <f>セットアップレポート!A316</f>
        <v>Line-2</v>
      </c>
      <c r="C316" t="str">
        <f>セットアップレポート!B316</f>
        <v>L2-NPM06</v>
      </c>
      <c r="D316" t="str">
        <f>セットアップレポート!C316</f>
        <v>Zone-2-NPMW-6</v>
      </c>
      <c r="E316">
        <f>セットアップレポート!D316</f>
        <v>1</v>
      </c>
      <c r="F316">
        <f>セットアップレポート!E316</f>
        <v>1</v>
      </c>
      <c r="G316" t="str">
        <f>セットアップレポート!F316</f>
        <v>10025L</v>
      </c>
      <c r="H316">
        <f>セットアップレポート!G316</f>
        <v>25</v>
      </c>
      <c r="I316" t="str">
        <f>セットアップレポート!H316</f>
        <v>L</v>
      </c>
      <c r="J316" t="str">
        <f>セットアップレポート!I316</f>
        <v>9000070245 100002</v>
      </c>
      <c r="K316">
        <f>セットアップレポート!J316</f>
        <v>9000070245</v>
      </c>
      <c r="L316">
        <f>セットアップレポート!K316</f>
        <v>0</v>
      </c>
      <c r="M316">
        <f>セットアップレポート!L316</f>
        <v>0</v>
      </c>
      <c r="N316">
        <f>セットアップレポート!M316</f>
        <v>0</v>
      </c>
      <c r="O316">
        <f>セットアップレポート!N316</f>
        <v>0</v>
      </c>
      <c r="P316" t="str">
        <f>セットアップレポート!O316</f>
        <v>FA0220ADF311634</v>
      </c>
      <c r="Q316">
        <f>セットアップレポート!P316</f>
        <v>2500</v>
      </c>
      <c r="R316">
        <f>セットアップレポート!Q316</f>
        <v>45931.823900462965</v>
      </c>
      <c r="S316">
        <f>セットアップレポート!R316</f>
        <v>0</v>
      </c>
      <c r="T316">
        <f>セットアップレポート!S316</f>
        <v>0</v>
      </c>
      <c r="U316">
        <f>セットアップレポート!T316</f>
        <v>0</v>
      </c>
      <c r="V316">
        <f>セットアップレポート!U316</f>
        <v>0</v>
      </c>
      <c r="W316">
        <f>セットアップレポート!V316</f>
        <v>0</v>
      </c>
      <c r="X316">
        <f>セットアップレポート!W316</f>
        <v>0</v>
      </c>
      <c r="Y316">
        <f>セットアップレポート!X316</f>
        <v>0</v>
      </c>
      <c r="Z316">
        <f>セットアップレポート!Y316</f>
        <v>0</v>
      </c>
      <c r="AA316">
        <f>セットアップレポート!Z316</f>
        <v>0</v>
      </c>
      <c r="AB316" t="str">
        <f>セットアップレポート!AA316</f>
        <v>NONE</v>
      </c>
      <c r="AC316">
        <f>セットアップレポート!AB316</f>
        <v>0</v>
      </c>
      <c r="AD316">
        <f>セットアップレポート!AC316</f>
        <v>0</v>
      </c>
      <c r="AE316">
        <f>セットアップレポート!AD316</f>
        <v>0</v>
      </c>
      <c r="AF316">
        <f>セットアップレポート!AE316</f>
        <v>0</v>
      </c>
      <c r="AG316">
        <f>セットアップレポート!AF316</f>
        <v>0</v>
      </c>
      <c r="AH316">
        <f>セットアップレポート!AG316</f>
        <v>0</v>
      </c>
    </row>
    <row r="317" spans="1:34" x14ac:dyDescent="0.45">
      <c r="A317" t="str">
        <f t="shared" si="4"/>
        <v>L2-NPM060026L9000001856</v>
      </c>
      <c r="B317" t="str">
        <f>セットアップレポート!A317</f>
        <v>Line-2</v>
      </c>
      <c r="C317" t="str">
        <f>セットアップレポート!B317</f>
        <v>L2-NPM06</v>
      </c>
      <c r="D317" t="str">
        <f>セットアップレポート!C317</f>
        <v>Zone-2-NPMW-6</v>
      </c>
      <c r="E317">
        <f>セットアップレポート!D317</f>
        <v>1</v>
      </c>
      <c r="F317">
        <f>セットアップレポート!E317</f>
        <v>1</v>
      </c>
      <c r="G317" t="str">
        <f>セットアップレポート!F317</f>
        <v>10026L</v>
      </c>
      <c r="H317">
        <f>セットアップレポート!G317</f>
        <v>26</v>
      </c>
      <c r="I317" t="str">
        <f>セットアップレポート!H317</f>
        <v>L</v>
      </c>
      <c r="J317" t="str">
        <f>セットアップレポート!I317</f>
        <v>9000001856 100206</v>
      </c>
      <c r="K317">
        <f>セットアップレポート!J317</f>
        <v>9000001856</v>
      </c>
      <c r="L317">
        <f>セットアップレポート!K317</f>
        <v>0</v>
      </c>
      <c r="M317">
        <f>セットアップレポート!L317</f>
        <v>0</v>
      </c>
      <c r="N317">
        <f>セットアップレポート!M317</f>
        <v>0</v>
      </c>
      <c r="O317">
        <f>セットアップレポート!N317</f>
        <v>0</v>
      </c>
      <c r="P317" t="str">
        <f>セットアップレポート!O317</f>
        <v>FA0220ADF311621</v>
      </c>
      <c r="Q317">
        <f>セットアップレポート!P317</f>
        <v>1000</v>
      </c>
      <c r="R317">
        <f>セットアップレポート!Q317</f>
        <v>45950.474722222221</v>
      </c>
      <c r="S317">
        <f>セットアップレポート!R317</f>
        <v>0</v>
      </c>
      <c r="T317">
        <f>セットアップレポート!S317</f>
        <v>0</v>
      </c>
      <c r="U317">
        <f>セットアップレポート!T317</f>
        <v>0</v>
      </c>
      <c r="V317">
        <f>セットアップレポート!U317</f>
        <v>0</v>
      </c>
      <c r="W317">
        <f>セットアップレポート!V317</f>
        <v>0</v>
      </c>
      <c r="X317">
        <f>セットアップレポート!W317</f>
        <v>0</v>
      </c>
      <c r="Y317">
        <f>セットアップレポート!X317</f>
        <v>0</v>
      </c>
      <c r="Z317">
        <f>セットアップレポート!Y317</f>
        <v>0</v>
      </c>
      <c r="AA317">
        <f>セットアップレポート!Z317</f>
        <v>0</v>
      </c>
      <c r="AB317" t="str">
        <f>セットアップレポート!AA317</f>
        <v>NONE</v>
      </c>
      <c r="AC317">
        <f>セットアップレポート!AB317</f>
        <v>0</v>
      </c>
      <c r="AD317">
        <f>セットアップレポート!AC317</f>
        <v>0</v>
      </c>
      <c r="AE317">
        <f>セットアップレポート!AD317</f>
        <v>0</v>
      </c>
      <c r="AF317">
        <f>セットアップレポート!AE317</f>
        <v>0</v>
      </c>
      <c r="AG317">
        <f>セットアップレポート!AF317</f>
        <v>0</v>
      </c>
      <c r="AH317">
        <f>セットアップレポート!AG317</f>
        <v>0</v>
      </c>
    </row>
    <row r="318" spans="1:34" x14ac:dyDescent="0.45">
      <c r="A318" t="str">
        <f t="shared" si="4"/>
        <v>L2-NPM060027L9000070244</v>
      </c>
      <c r="B318" t="str">
        <f>セットアップレポート!A318</f>
        <v>Line-2</v>
      </c>
      <c r="C318" t="str">
        <f>セットアップレポート!B318</f>
        <v>L2-NPM06</v>
      </c>
      <c r="D318" t="str">
        <f>セットアップレポート!C318</f>
        <v>Zone-2-NPMW-6</v>
      </c>
      <c r="E318">
        <f>セットアップレポート!D318</f>
        <v>1</v>
      </c>
      <c r="F318">
        <f>セットアップレポート!E318</f>
        <v>1</v>
      </c>
      <c r="G318" t="str">
        <f>セットアップレポート!F318</f>
        <v>10027L</v>
      </c>
      <c r="H318">
        <f>セットアップレポート!G318</f>
        <v>27</v>
      </c>
      <c r="I318" t="str">
        <f>セットアップレポート!H318</f>
        <v>L</v>
      </c>
      <c r="J318" t="str">
        <f>セットアップレポート!I318</f>
        <v>9000070244 100002</v>
      </c>
      <c r="K318">
        <f>セットアップレポート!J318</f>
        <v>9000070244</v>
      </c>
      <c r="L318">
        <f>セットアップレポート!K318</f>
        <v>0</v>
      </c>
      <c r="M318">
        <f>セットアップレポート!L318</f>
        <v>0</v>
      </c>
      <c r="N318">
        <f>セットアップレポート!M318</f>
        <v>0</v>
      </c>
      <c r="O318">
        <f>セットアップレポート!N318</f>
        <v>0</v>
      </c>
      <c r="P318" t="str">
        <f>セットアップレポート!O318</f>
        <v>FA0220ADF311651</v>
      </c>
      <c r="Q318">
        <f>セットアップレポート!P318</f>
        <v>2500</v>
      </c>
      <c r="R318">
        <f>セットアップレポート!Q318</f>
        <v>45950.474722222221</v>
      </c>
      <c r="S318">
        <f>セットアップレポート!R318</f>
        <v>0</v>
      </c>
      <c r="T318">
        <f>セットアップレポート!S318</f>
        <v>0</v>
      </c>
      <c r="U318">
        <f>セットアップレポート!T318</f>
        <v>0</v>
      </c>
      <c r="V318">
        <f>セットアップレポート!U318</f>
        <v>0</v>
      </c>
      <c r="W318">
        <f>セットアップレポート!V318</f>
        <v>0</v>
      </c>
      <c r="X318">
        <f>セットアップレポート!W318</f>
        <v>0</v>
      </c>
      <c r="Y318">
        <f>セットアップレポート!X318</f>
        <v>0</v>
      </c>
      <c r="Z318">
        <f>セットアップレポート!Y318</f>
        <v>0</v>
      </c>
      <c r="AA318">
        <f>セットアップレポート!Z318</f>
        <v>0</v>
      </c>
      <c r="AB318" t="str">
        <f>セットアップレポート!AA318</f>
        <v>NONE</v>
      </c>
      <c r="AC318">
        <f>セットアップレポート!AB318</f>
        <v>0</v>
      </c>
      <c r="AD318">
        <f>セットアップレポート!AC318</f>
        <v>0</v>
      </c>
      <c r="AE318">
        <f>セットアップレポート!AD318</f>
        <v>0</v>
      </c>
      <c r="AF318">
        <f>セットアップレポート!AE318</f>
        <v>0</v>
      </c>
      <c r="AG318">
        <f>セットアップレポート!AF318</f>
        <v>0</v>
      </c>
      <c r="AH318">
        <f>セットアップレポート!AG318</f>
        <v>0</v>
      </c>
    </row>
    <row r="319" spans="1:34" x14ac:dyDescent="0.45">
      <c r="A319" t="str">
        <f t="shared" si="4"/>
        <v>L2-NPM060028L9000053728</v>
      </c>
      <c r="B319" t="str">
        <f>セットアップレポート!A319</f>
        <v>Line-2</v>
      </c>
      <c r="C319" t="str">
        <f>セットアップレポート!B319</f>
        <v>L2-NPM06</v>
      </c>
      <c r="D319" t="str">
        <f>セットアップレポート!C319</f>
        <v>Zone-2-NPMW-6</v>
      </c>
      <c r="E319">
        <f>セットアップレポート!D319</f>
        <v>1</v>
      </c>
      <c r="F319">
        <f>セットアップレポート!E319</f>
        <v>1</v>
      </c>
      <c r="G319" t="str">
        <f>セットアップレポート!F319</f>
        <v>10028L</v>
      </c>
      <c r="H319">
        <f>セットアップレポート!G319</f>
        <v>28</v>
      </c>
      <c r="I319" t="str">
        <f>セットアップレポート!H319</f>
        <v>L</v>
      </c>
      <c r="J319" t="str">
        <f>セットアップレポート!I319</f>
        <v>9000053728 100037</v>
      </c>
      <c r="K319">
        <f>セットアップレポート!J319</f>
        <v>9000053728</v>
      </c>
      <c r="L319">
        <f>セットアップレポート!K319</f>
        <v>0</v>
      </c>
      <c r="M319">
        <f>セットアップレポート!L319</f>
        <v>0</v>
      </c>
      <c r="N319">
        <f>セットアップレポート!M319</f>
        <v>0</v>
      </c>
      <c r="O319">
        <f>セットアップレポート!N319</f>
        <v>0</v>
      </c>
      <c r="P319" t="str">
        <f>セットアップレポート!O319</f>
        <v>FA0220AFA654031</v>
      </c>
      <c r="Q319">
        <f>セットアップレポート!P319</f>
        <v>3000</v>
      </c>
      <c r="R319">
        <f>セットアップレポート!Q319</f>
        <v>45950.474722222221</v>
      </c>
      <c r="S319">
        <f>セットアップレポート!R319</f>
        <v>0</v>
      </c>
      <c r="T319" t="str">
        <f>セットアップレポート!S319</f>
        <v>Yes</v>
      </c>
      <c r="U319">
        <f>セットアップレポート!T319</f>
        <v>0</v>
      </c>
      <c r="V319" t="str">
        <f>セットアップレポート!U319</f>
        <v>9000053728 100047</v>
      </c>
      <c r="W319">
        <f>セットアップレポート!V319</f>
        <v>0</v>
      </c>
      <c r="X319">
        <f>セットアップレポート!W319</f>
        <v>0</v>
      </c>
      <c r="Y319">
        <f>セットアップレポート!X319</f>
        <v>0</v>
      </c>
      <c r="Z319">
        <f>セットアップレポート!Y319</f>
        <v>0</v>
      </c>
      <c r="AA319">
        <f>セットアップレポート!Z319</f>
        <v>0</v>
      </c>
      <c r="AB319" t="str">
        <f>セットアップレポート!AA319</f>
        <v>NONE</v>
      </c>
      <c r="AC319">
        <f>セットアップレポート!AB319</f>
        <v>0</v>
      </c>
      <c r="AD319">
        <f>セットアップレポート!AC319</f>
        <v>0</v>
      </c>
      <c r="AE319">
        <f>セットアップレポート!AD319</f>
        <v>0</v>
      </c>
      <c r="AF319">
        <f>セットアップレポート!AE319</f>
        <v>0</v>
      </c>
      <c r="AG319">
        <f>セットアップレポート!AF319</f>
        <v>0</v>
      </c>
      <c r="AH319">
        <f>セットアップレポート!AG319</f>
        <v>0</v>
      </c>
    </row>
    <row r="320" spans="1:34" x14ac:dyDescent="0.45">
      <c r="A320" t="str">
        <f t="shared" si="4"/>
        <v>L2-NPM060029L9000057675</v>
      </c>
      <c r="B320" t="str">
        <f>セットアップレポート!A320</f>
        <v>Line-2</v>
      </c>
      <c r="C320" t="str">
        <f>セットアップレポート!B320</f>
        <v>L2-NPM06</v>
      </c>
      <c r="D320" t="str">
        <f>セットアップレポート!C320</f>
        <v>Zone-2-NPMW-6</v>
      </c>
      <c r="E320">
        <f>セットアップレポート!D320</f>
        <v>1</v>
      </c>
      <c r="F320">
        <f>セットアップレポート!E320</f>
        <v>1</v>
      </c>
      <c r="G320" t="str">
        <f>セットアップレポート!F320</f>
        <v>10029L</v>
      </c>
      <c r="H320">
        <f>セットアップレポート!G320</f>
        <v>29</v>
      </c>
      <c r="I320" t="str">
        <f>セットアップレポート!H320</f>
        <v>L</v>
      </c>
      <c r="J320" t="str">
        <f>セットアップレポート!I320</f>
        <v>9000057675 100056</v>
      </c>
      <c r="K320">
        <f>セットアップレポート!J320</f>
        <v>9000057675</v>
      </c>
      <c r="L320">
        <f>セットアップレポート!K320</f>
        <v>0</v>
      </c>
      <c r="M320">
        <f>セットアップレポート!L320</f>
        <v>0</v>
      </c>
      <c r="N320">
        <f>セットアップレポート!M320</f>
        <v>0</v>
      </c>
      <c r="O320">
        <f>セットアップレポート!N320</f>
        <v>0</v>
      </c>
      <c r="P320" t="str">
        <f>セットアップレポート!O320</f>
        <v>FA0220AFA654097</v>
      </c>
      <c r="Q320">
        <f>セットアップレポート!P320</f>
        <v>3000</v>
      </c>
      <c r="R320">
        <f>セットアップレポート!Q320</f>
        <v>45950.474733796298</v>
      </c>
      <c r="S320">
        <f>セットアップレポート!R320</f>
        <v>0</v>
      </c>
      <c r="T320">
        <f>セットアップレポート!S320</f>
        <v>0</v>
      </c>
      <c r="U320">
        <f>セットアップレポート!T320</f>
        <v>0</v>
      </c>
      <c r="V320">
        <f>セットアップレポート!U320</f>
        <v>0</v>
      </c>
      <c r="W320">
        <f>セットアップレポート!V320</f>
        <v>0</v>
      </c>
      <c r="X320">
        <f>セットアップレポート!W320</f>
        <v>0</v>
      </c>
      <c r="Y320">
        <f>セットアップレポート!X320</f>
        <v>0</v>
      </c>
      <c r="Z320">
        <f>セットアップレポート!Y320</f>
        <v>0</v>
      </c>
      <c r="AA320">
        <f>セットアップレポート!Z320</f>
        <v>0</v>
      </c>
      <c r="AB320" t="str">
        <f>セットアップレポート!AA320</f>
        <v>NONE</v>
      </c>
      <c r="AC320">
        <f>セットアップレポート!AB320</f>
        <v>0</v>
      </c>
      <c r="AD320">
        <f>セットアップレポート!AC320</f>
        <v>0</v>
      </c>
      <c r="AE320">
        <f>セットアップレポート!AD320</f>
        <v>0</v>
      </c>
      <c r="AF320">
        <f>セットアップレポート!AE320</f>
        <v>0</v>
      </c>
      <c r="AG320">
        <f>セットアップレポート!AF320</f>
        <v>0</v>
      </c>
      <c r="AH320">
        <f>セットアップレポート!AG320</f>
        <v>0</v>
      </c>
    </row>
    <row r="321" spans="1:34" x14ac:dyDescent="0.45">
      <c r="A321" t="str">
        <f t="shared" si="4"/>
        <v>L2-NPM060030L9000021317</v>
      </c>
      <c r="B321" t="str">
        <f>セットアップレポート!A321</f>
        <v>Line-2</v>
      </c>
      <c r="C321" t="str">
        <f>セットアップレポート!B321</f>
        <v>L2-NPM06</v>
      </c>
      <c r="D321" t="str">
        <f>セットアップレポート!C321</f>
        <v>Zone-2-NPMW-6</v>
      </c>
      <c r="E321">
        <f>セットアップレポート!D321</f>
        <v>1</v>
      </c>
      <c r="F321">
        <f>セットアップレポート!E321</f>
        <v>1</v>
      </c>
      <c r="G321" t="str">
        <f>セットアップレポート!F321</f>
        <v>10030L</v>
      </c>
      <c r="H321">
        <f>セットアップレポート!G321</f>
        <v>30</v>
      </c>
      <c r="I321" t="str">
        <f>セットアップレポート!H321</f>
        <v>L</v>
      </c>
      <c r="J321" t="str">
        <f>セットアップレポート!I321</f>
        <v>9000021317 100351</v>
      </c>
      <c r="K321">
        <f>セットアップレポート!J321</f>
        <v>9000021317</v>
      </c>
      <c r="L321">
        <f>セットアップレポート!K321</f>
        <v>0</v>
      </c>
      <c r="M321">
        <f>セットアップレポート!L321</f>
        <v>0</v>
      </c>
      <c r="N321">
        <f>セットアップレポート!M321</f>
        <v>0</v>
      </c>
      <c r="O321">
        <f>セットアップレポート!N321</f>
        <v>0</v>
      </c>
      <c r="P321" t="str">
        <f>セットアップレポート!O321</f>
        <v>FA0201ACD051056</v>
      </c>
      <c r="Q321">
        <f>セットアップレポート!P321</f>
        <v>3000</v>
      </c>
      <c r="R321">
        <f>セットアップレポート!Q321</f>
        <v>45950.474733796298</v>
      </c>
      <c r="S321">
        <f>セットアップレポート!R321</f>
        <v>0</v>
      </c>
      <c r="T321">
        <f>セットアップレポート!S321</f>
        <v>0</v>
      </c>
      <c r="U321">
        <f>セットアップレポート!T321</f>
        <v>0</v>
      </c>
      <c r="V321">
        <f>セットアップレポート!U321</f>
        <v>0</v>
      </c>
      <c r="W321">
        <f>セットアップレポート!V321</f>
        <v>0</v>
      </c>
      <c r="X321">
        <f>セットアップレポート!W321</f>
        <v>0</v>
      </c>
      <c r="Y321">
        <f>セットアップレポート!X321</f>
        <v>0</v>
      </c>
      <c r="Z321">
        <f>セットアップレポート!Y321</f>
        <v>0</v>
      </c>
      <c r="AA321">
        <f>セットアップレポート!Z321</f>
        <v>0</v>
      </c>
      <c r="AB321" t="str">
        <f>セットアップレポート!AA321</f>
        <v>NONE</v>
      </c>
      <c r="AC321">
        <f>セットアップレポート!AB321</f>
        <v>0</v>
      </c>
      <c r="AD321">
        <f>セットアップレポート!AC321</f>
        <v>0</v>
      </c>
      <c r="AE321">
        <f>セットアップレポート!AD321</f>
        <v>0</v>
      </c>
      <c r="AF321">
        <f>セットアップレポート!AE321</f>
        <v>0</v>
      </c>
      <c r="AG321">
        <f>セットアップレポート!AF321</f>
        <v>0</v>
      </c>
      <c r="AH321">
        <f>セットアップレポート!AG321</f>
        <v>0</v>
      </c>
    </row>
    <row r="322" spans="1:34" x14ac:dyDescent="0.45">
      <c r="A322" t="str">
        <f t="shared" si="4"/>
        <v>L2-NPM060001L9000069358</v>
      </c>
      <c r="B322" t="str">
        <f>セットアップレポート!A322</f>
        <v>Line-2</v>
      </c>
      <c r="C322" t="str">
        <f>セットアップレポート!B322</f>
        <v>L2-NPM06</v>
      </c>
      <c r="D322" t="str">
        <f>セットアップレポート!C322</f>
        <v>Zone-2-NPMW-6</v>
      </c>
      <c r="E322">
        <f>セットアップレポート!D322</f>
        <v>1</v>
      </c>
      <c r="F322">
        <f>セットアップレポート!E322</f>
        <v>1</v>
      </c>
      <c r="G322" t="str">
        <f>セットアップレポート!F322</f>
        <v>20001L</v>
      </c>
      <c r="H322">
        <f>セットアップレポート!G322</f>
        <v>1</v>
      </c>
      <c r="I322" t="str">
        <f>セットアップレポート!H322</f>
        <v>L</v>
      </c>
      <c r="J322" t="str">
        <f>セットアップレポート!I322</f>
        <v>9000069358 100017</v>
      </c>
      <c r="K322">
        <f>セットアップレポート!J322</f>
        <v>9000069358</v>
      </c>
      <c r="L322">
        <f>セットアップレポート!K322</f>
        <v>0</v>
      </c>
      <c r="M322">
        <f>セットアップレポート!L322</f>
        <v>0</v>
      </c>
      <c r="N322">
        <f>セットアップレポート!M322</f>
        <v>0</v>
      </c>
      <c r="O322">
        <f>セットアップレポート!N322</f>
        <v>0</v>
      </c>
      <c r="P322" t="str">
        <f>セットアップレポート!O322</f>
        <v>FA0240AFA350096</v>
      </c>
      <c r="Q322">
        <f>セットアップレポート!P322</f>
        <v>175</v>
      </c>
      <c r="R322">
        <f>セットアップレポート!Q322</f>
        <v>45950.474733796298</v>
      </c>
      <c r="S322">
        <f>セットアップレポート!R322</f>
        <v>0</v>
      </c>
      <c r="T322">
        <f>セットアップレポート!S322</f>
        <v>0</v>
      </c>
      <c r="U322">
        <f>セットアップレポート!T322</f>
        <v>0</v>
      </c>
      <c r="V322">
        <f>セットアップレポート!U322</f>
        <v>0</v>
      </c>
      <c r="W322">
        <f>セットアップレポート!V322</f>
        <v>0</v>
      </c>
      <c r="X322">
        <f>セットアップレポート!W322</f>
        <v>0</v>
      </c>
      <c r="Y322">
        <f>セットアップレポート!X322</f>
        <v>0</v>
      </c>
      <c r="Z322">
        <f>セットアップレポート!Y322</f>
        <v>0</v>
      </c>
      <c r="AA322">
        <f>セットアップレポート!Z322</f>
        <v>0</v>
      </c>
      <c r="AB322" t="str">
        <f>セットアップレポート!AA322</f>
        <v>NONE</v>
      </c>
      <c r="AC322">
        <f>セットアップレポート!AB322</f>
        <v>0</v>
      </c>
      <c r="AD322">
        <f>セットアップレポート!AC322</f>
        <v>0</v>
      </c>
      <c r="AE322">
        <f>セットアップレポート!AD322</f>
        <v>0</v>
      </c>
      <c r="AF322">
        <f>セットアップレポート!AE322</f>
        <v>0</v>
      </c>
      <c r="AG322">
        <f>セットアップレポート!AF322</f>
        <v>0</v>
      </c>
      <c r="AH322">
        <f>セットアップレポート!AG322</f>
        <v>0</v>
      </c>
    </row>
    <row r="323" spans="1:34" x14ac:dyDescent="0.45">
      <c r="A323" t="str">
        <f t="shared" ref="A323:A386" si="5">C323&amp;RIGHT(G323,5)&amp;K323</f>
        <v>L2-NPM060003L9000055004</v>
      </c>
      <c r="B323" t="str">
        <f>セットアップレポート!A323</f>
        <v>Line-2</v>
      </c>
      <c r="C323" t="str">
        <f>セットアップレポート!B323</f>
        <v>L2-NPM06</v>
      </c>
      <c r="D323" t="str">
        <f>セットアップレポート!C323</f>
        <v>Zone-2-NPMW-6</v>
      </c>
      <c r="E323">
        <f>セットアップレポート!D323</f>
        <v>1</v>
      </c>
      <c r="F323">
        <f>セットアップレポート!E323</f>
        <v>1</v>
      </c>
      <c r="G323" t="str">
        <f>セットアップレポート!F323</f>
        <v>20003L</v>
      </c>
      <c r="H323">
        <f>セットアップレポート!G323</f>
        <v>3</v>
      </c>
      <c r="I323" t="str">
        <f>セットアップレポート!H323</f>
        <v>L</v>
      </c>
      <c r="J323" t="str">
        <f>セットアップレポート!I323</f>
        <v>9000055004 100095</v>
      </c>
      <c r="K323">
        <f>セットアップレポート!J323</f>
        <v>9000055004</v>
      </c>
      <c r="L323">
        <f>セットアップレポート!K323</f>
        <v>0</v>
      </c>
      <c r="M323">
        <f>セットアップレポート!L323</f>
        <v>0</v>
      </c>
      <c r="N323">
        <f>セットアップレポート!M323</f>
        <v>0</v>
      </c>
      <c r="O323">
        <f>セットアップレポート!N323</f>
        <v>0</v>
      </c>
      <c r="P323" t="str">
        <f>セットアップレポート!O323</f>
        <v>FA0230AEA373478</v>
      </c>
      <c r="Q323">
        <f>セットアップレポート!P323</f>
        <v>1000</v>
      </c>
      <c r="R323">
        <f>セットアップレポート!Q323</f>
        <v>45930.457280092596</v>
      </c>
      <c r="S323">
        <f>セットアップレポート!R323</f>
        <v>0</v>
      </c>
      <c r="T323">
        <f>セットアップレポート!S323</f>
        <v>0</v>
      </c>
      <c r="U323">
        <f>セットアップレポート!T323</f>
        <v>0</v>
      </c>
      <c r="V323">
        <f>セットアップレポート!U323</f>
        <v>0</v>
      </c>
      <c r="W323">
        <f>セットアップレポート!V323</f>
        <v>0</v>
      </c>
      <c r="X323">
        <f>セットアップレポート!W323</f>
        <v>0</v>
      </c>
      <c r="Y323">
        <f>セットアップレポート!X323</f>
        <v>0</v>
      </c>
      <c r="Z323">
        <f>セットアップレポート!Y323</f>
        <v>0</v>
      </c>
      <c r="AA323">
        <f>セットアップレポート!Z323</f>
        <v>0</v>
      </c>
      <c r="AB323" t="str">
        <f>セットアップレポート!AA323</f>
        <v>NONE</v>
      </c>
      <c r="AC323">
        <f>セットアップレポート!AB323</f>
        <v>0</v>
      </c>
      <c r="AD323">
        <f>セットアップレポート!AC323</f>
        <v>0</v>
      </c>
      <c r="AE323">
        <f>セットアップレポート!AD323</f>
        <v>0</v>
      </c>
      <c r="AF323">
        <f>セットアップレポート!AE323</f>
        <v>0</v>
      </c>
      <c r="AG323">
        <f>セットアップレポート!AF323</f>
        <v>0</v>
      </c>
      <c r="AH323">
        <f>セットアップレポート!AG323</f>
        <v>0</v>
      </c>
    </row>
    <row r="324" spans="1:34" x14ac:dyDescent="0.45">
      <c r="A324" t="str">
        <f t="shared" si="5"/>
        <v>L2-NPM060004L9000056993</v>
      </c>
      <c r="B324" t="str">
        <f>セットアップレポート!A324</f>
        <v>Line-2</v>
      </c>
      <c r="C324" t="str">
        <f>セットアップレポート!B324</f>
        <v>L2-NPM06</v>
      </c>
      <c r="D324" t="str">
        <f>セットアップレポート!C324</f>
        <v>Zone-2-NPMW-6</v>
      </c>
      <c r="E324">
        <f>セットアップレポート!D324</f>
        <v>1</v>
      </c>
      <c r="F324">
        <f>セットアップレポート!E324</f>
        <v>1</v>
      </c>
      <c r="G324" t="str">
        <f>セットアップレポート!F324</f>
        <v>20004L</v>
      </c>
      <c r="H324">
        <f>セットアップレポート!G324</f>
        <v>4</v>
      </c>
      <c r="I324" t="str">
        <f>セットアップレポート!H324</f>
        <v>L</v>
      </c>
      <c r="J324" t="str">
        <f>セットアップレポート!I324</f>
        <v>9000056993 100353</v>
      </c>
      <c r="K324">
        <f>セットアップレポート!J324</f>
        <v>9000056993</v>
      </c>
      <c r="L324">
        <f>セットアップレポート!K324</f>
        <v>0</v>
      </c>
      <c r="M324">
        <f>セットアップレポート!L324</f>
        <v>0</v>
      </c>
      <c r="N324">
        <f>セットアップレポート!M324</f>
        <v>0</v>
      </c>
      <c r="O324">
        <f>セットアップレポート!N324</f>
        <v>0</v>
      </c>
      <c r="P324" t="str">
        <f>セットアップレポート!O324</f>
        <v>FA0220ADF311898</v>
      </c>
      <c r="Q324">
        <f>セットアップレポート!P324</f>
        <v>1400</v>
      </c>
      <c r="R324">
        <f>セットアップレポート!Q324</f>
        <v>45931.823912037034</v>
      </c>
      <c r="S324">
        <f>セットアップレポート!R324</f>
        <v>0</v>
      </c>
      <c r="T324">
        <f>セットアップレポート!S324</f>
        <v>0</v>
      </c>
      <c r="U324">
        <f>セットアップレポート!T324</f>
        <v>0</v>
      </c>
      <c r="V324">
        <f>セットアップレポート!U324</f>
        <v>0</v>
      </c>
      <c r="W324">
        <f>セットアップレポート!V324</f>
        <v>0</v>
      </c>
      <c r="X324">
        <f>セットアップレポート!W324</f>
        <v>0</v>
      </c>
      <c r="Y324">
        <f>セットアップレポート!X324</f>
        <v>0</v>
      </c>
      <c r="Z324">
        <f>セットアップレポート!Y324</f>
        <v>0</v>
      </c>
      <c r="AA324">
        <f>セットアップレポート!Z324</f>
        <v>0</v>
      </c>
      <c r="AB324" t="str">
        <f>セットアップレポート!AA324</f>
        <v>NONE</v>
      </c>
      <c r="AC324">
        <f>セットアップレポート!AB324</f>
        <v>0</v>
      </c>
      <c r="AD324">
        <f>セットアップレポート!AC324</f>
        <v>0</v>
      </c>
      <c r="AE324">
        <f>セットアップレポート!AD324</f>
        <v>0</v>
      </c>
      <c r="AF324">
        <f>セットアップレポート!AE324</f>
        <v>0</v>
      </c>
      <c r="AG324">
        <f>セットアップレポート!AF324</f>
        <v>0</v>
      </c>
      <c r="AH324">
        <f>セットアップレポート!AG324</f>
        <v>0</v>
      </c>
    </row>
    <row r="325" spans="1:34" x14ac:dyDescent="0.45">
      <c r="A325" t="str">
        <f t="shared" si="5"/>
        <v>L2-NPM060005L9000003132</v>
      </c>
      <c r="B325" t="str">
        <f>セットアップレポート!A325</f>
        <v>Line-2</v>
      </c>
      <c r="C325" t="str">
        <f>セットアップレポート!B325</f>
        <v>L2-NPM06</v>
      </c>
      <c r="D325" t="str">
        <f>セットアップレポート!C325</f>
        <v>Zone-2-NPMW-6</v>
      </c>
      <c r="E325">
        <f>セットアップレポート!D325</f>
        <v>1</v>
      </c>
      <c r="F325">
        <f>セットアップレポート!E325</f>
        <v>1</v>
      </c>
      <c r="G325" t="str">
        <f>セットアップレポート!F325</f>
        <v>20005L</v>
      </c>
      <c r="H325">
        <f>セットアップレポート!G325</f>
        <v>5</v>
      </c>
      <c r="I325" t="str">
        <f>セットアップレポート!H325</f>
        <v>L</v>
      </c>
      <c r="J325" t="str">
        <f>セットアップレポート!I325</f>
        <v>9000003132 100225</v>
      </c>
      <c r="K325">
        <f>セットアップレポート!J325</f>
        <v>9000003132</v>
      </c>
      <c r="L325">
        <f>セットアップレポート!K325</f>
        <v>0</v>
      </c>
      <c r="M325">
        <f>セットアップレポート!L325</f>
        <v>0</v>
      </c>
      <c r="N325">
        <f>セットアップレポート!M325</f>
        <v>0</v>
      </c>
      <c r="O325">
        <f>セットアップレポート!N325</f>
        <v>0</v>
      </c>
      <c r="P325" t="str">
        <f>セットアップレポート!O325</f>
        <v>FA0430ADF305030</v>
      </c>
      <c r="Q325">
        <f>セットアップレポート!P325</f>
        <v>800</v>
      </c>
      <c r="R325">
        <f>セットアップレポート!Q325</f>
        <v>45950.709513888891</v>
      </c>
      <c r="S325" t="str">
        <f>セットアップレポート!R325</f>
        <v>OP</v>
      </c>
      <c r="T325">
        <f>セットアップレポート!S325</f>
        <v>0</v>
      </c>
      <c r="U325">
        <f>セットアップレポート!T325</f>
        <v>0</v>
      </c>
      <c r="V325">
        <f>セットアップレポート!U325</f>
        <v>0</v>
      </c>
      <c r="W325">
        <f>セットアップレポート!V325</f>
        <v>0</v>
      </c>
      <c r="X325">
        <f>セットアップレポート!W325</f>
        <v>0</v>
      </c>
      <c r="Y325">
        <f>セットアップレポート!X325</f>
        <v>0</v>
      </c>
      <c r="Z325">
        <f>セットアップレポート!Y325</f>
        <v>0</v>
      </c>
      <c r="AA325">
        <f>セットアップレポート!Z325</f>
        <v>0</v>
      </c>
      <c r="AB325" t="str">
        <f>セットアップレポート!AA325</f>
        <v>NONE</v>
      </c>
      <c r="AC325">
        <f>セットアップレポート!AB325</f>
        <v>0</v>
      </c>
      <c r="AD325">
        <f>セットアップレポート!AC325</f>
        <v>0</v>
      </c>
      <c r="AE325">
        <f>セットアップレポート!AD325</f>
        <v>0</v>
      </c>
      <c r="AF325">
        <f>セットアップレポート!AE325</f>
        <v>0</v>
      </c>
      <c r="AG325">
        <f>セットアップレポート!AF325</f>
        <v>0</v>
      </c>
      <c r="AH325">
        <f>セットアップレポート!AG325</f>
        <v>0</v>
      </c>
    </row>
    <row r="326" spans="1:34" x14ac:dyDescent="0.45">
      <c r="A326" t="str">
        <f t="shared" si="5"/>
        <v>L2-NPM060007L9000069356</v>
      </c>
      <c r="B326" t="str">
        <f>セットアップレポート!A326</f>
        <v>Line-2</v>
      </c>
      <c r="C326" t="str">
        <f>セットアップレポート!B326</f>
        <v>L2-NPM06</v>
      </c>
      <c r="D326" t="str">
        <f>セットアップレポート!C326</f>
        <v>Zone-2-NPMW-6</v>
      </c>
      <c r="E326">
        <f>セットアップレポート!D326</f>
        <v>1</v>
      </c>
      <c r="F326">
        <f>セットアップレポート!E326</f>
        <v>1</v>
      </c>
      <c r="G326" t="str">
        <f>セットアップレポート!F326</f>
        <v>20007L</v>
      </c>
      <c r="H326">
        <f>セットアップレポート!G326</f>
        <v>7</v>
      </c>
      <c r="I326" t="str">
        <f>セットアップレポート!H326</f>
        <v>L</v>
      </c>
      <c r="J326" t="str">
        <f>セットアップレポート!I326</f>
        <v>9000069356 100008</v>
      </c>
      <c r="K326">
        <f>セットアップレポート!J326</f>
        <v>9000069356</v>
      </c>
      <c r="L326">
        <f>セットアップレポート!K326</f>
        <v>0</v>
      </c>
      <c r="M326">
        <f>セットアップレポート!L326</f>
        <v>0</v>
      </c>
      <c r="N326">
        <f>セットアップレポート!M326</f>
        <v>0</v>
      </c>
      <c r="O326">
        <f>セットアップレポート!N326</f>
        <v>0</v>
      </c>
      <c r="P326" t="str">
        <f>セットアップレポート!O326</f>
        <v>FA0440ADF301219</v>
      </c>
      <c r="Q326">
        <f>セットアップレポート!P326</f>
        <v>500</v>
      </c>
      <c r="R326">
        <f>セットアップレポート!Q326</f>
        <v>45950.474733796298</v>
      </c>
      <c r="S326">
        <f>セットアップレポート!R326</f>
        <v>0</v>
      </c>
      <c r="T326">
        <f>セットアップレポート!S326</f>
        <v>0</v>
      </c>
      <c r="U326">
        <f>セットアップレポート!T326</f>
        <v>0</v>
      </c>
      <c r="V326">
        <f>セットアップレポート!U326</f>
        <v>0</v>
      </c>
      <c r="W326">
        <f>セットアップレポート!V326</f>
        <v>0</v>
      </c>
      <c r="X326">
        <f>セットアップレポート!W326</f>
        <v>0</v>
      </c>
      <c r="Y326">
        <f>セットアップレポート!X326</f>
        <v>0</v>
      </c>
      <c r="Z326">
        <f>セットアップレポート!Y326</f>
        <v>0</v>
      </c>
      <c r="AA326">
        <f>セットアップレポート!Z326</f>
        <v>0</v>
      </c>
      <c r="AB326" t="str">
        <f>セットアップレポート!AA326</f>
        <v>NONE</v>
      </c>
      <c r="AC326">
        <f>セットアップレポート!AB326</f>
        <v>0</v>
      </c>
      <c r="AD326">
        <f>セットアップレポート!AC326</f>
        <v>0</v>
      </c>
      <c r="AE326">
        <f>セットアップレポート!AD326</f>
        <v>0</v>
      </c>
      <c r="AF326">
        <f>セットアップレポート!AE326</f>
        <v>0</v>
      </c>
      <c r="AG326">
        <f>セットアップレポート!AF326</f>
        <v>0</v>
      </c>
      <c r="AH326">
        <f>セットアップレポート!AG326</f>
        <v>0</v>
      </c>
    </row>
    <row r="327" spans="1:34" x14ac:dyDescent="0.45">
      <c r="A327" t="str">
        <f t="shared" si="5"/>
        <v>L2-NPM060009L934731</v>
      </c>
      <c r="B327" t="str">
        <f>セットアップレポート!A327</f>
        <v>Line-2</v>
      </c>
      <c r="C327" t="str">
        <f>セットアップレポート!B327</f>
        <v>L2-NPM06</v>
      </c>
      <c r="D327" t="str">
        <f>セットアップレポート!C327</f>
        <v>Zone-2-NPMW-6</v>
      </c>
      <c r="E327">
        <f>セットアップレポート!D327</f>
        <v>1</v>
      </c>
      <c r="F327">
        <f>セットアップレポート!E327</f>
        <v>1</v>
      </c>
      <c r="G327" t="str">
        <f>セットアップレポート!F327</f>
        <v>20009L</v>
      </c>
      <c r="H327">
        <f>セットアップレポート!G327</f>
        <v>9</v>
      </c>
      <c r="I327" t="str">
        <f>セットアップレポート!H327</f>
        <v>L</v>
      </c>
      <c r="J327" t="str">
        <f>セットアップレポート!I327</f>
        <v>934731 100679</v>
      </c>
      <c r="K327">
        <f>セットアップレポート!J327</f>
        <v>934731</v>
      </c>
      <c r="L327">
        <f>セットアップレポート!K327</f>
        <v>0</v>
      </c>
      <c r="M327">
        <f>セットアップレポート!L327</f>
        <v>0</v>
      </c>
      <c r="N327">
        <f>セットアップレポート!M327</f>
        <v>0</v>
      </c>
      <c r="O327">
        <f>セットアップレポート!N327</f>
        <v>0</v>
      </c>
      <c r="P327" t="str">
        <f>セットアップレポート!O327</f>
        <v>FA0430ADF305090</v>
      </c>
      <c r="Q327">
        <f>セットアップレポート!P327</f>
        <v>500</v>
      </c>
      <c r="R327">
        <f>セットアップレポート!Q327</f>
        <v>45931.788622685184</v>
      </c>
      <c r="S327">
        <f>セットアップレポート!R327</f>
        <v>0</v>
      </c>
      <c r="T327" t="str">
        <f>セットアップレポート!S327</f>
        <v>Yes</v>
      </c>
      <c r="U327">
        <f>セットアップレポート!T327</f>
        <v>0</v>
      </c>
      <c r="V327" t="str">
        <f>セットアップレポート!U327</f>
        <v>934731 100682</v>
      </c>
      <c r="W327">
        <f>セットアップレポート!V327</f>
        <v>0</v>
      </c>
      <c r="X327">
        <f>セットアップレポート!W327</f>
        <v>0</v>
      </c>
      <c r="Y327">
        <f>セットアップレポート!X327</f>
        <v>0</v>
      </c>
      <c r="Z327">
        <f>セットアップレポート!Y327</f>
        <v>0</v>
      </c>
      <c r="AA327">
        <f>セットアップレポート!Z327</f>
        <v>0</v>
      </c>
      <c r="AB327" t="str">
        <f>セットアップレポート!AA327</f>
        <v>NONE</v>
      </c>
      <c r="AC327">
        <f>セットアップレポート!AB327</f>
        <v>0</v>
      </c>
      <c r="AD327">
        <f>セットアップレポート!AC327</f>
        <v>0</v>
      </c>
      <c r="AE327">
        <f>セットアップレポート!AD327</f>
        <v>0</v>
      </c>
      <c r="AF327">
        <f>セットアップレポート!AE327</f>
        <v>0</v>
      </c>
      <c r="AG327">
        <f>セットアップレポート!AF327</f>
        <v>0</v>
      </c>
      <c r="AH327">
        <f>セットアップレポート!AG327</f>
        <v>0</v>
      </c>
    </row>
    <row r="328" spans="1:34" x14ac:dyDescent="0.45">
      <c r="A328" t="str">
        <f t="shared" si="5"/>
        <v>L2-NPM060010L9000069780</v>
      </c>
      <c r="B328" t="str">
        <f>セットアップレポート!A328</f>
        <v>Line-2</v>
      </c>
      <c r="C328" t="str">
        <f>セットアップレポート!B328</f>
        <v>L2-NPM06</v>
      </c>
      <c r="D328" t="str">
        <f>セットアップレポート!C328</f>
        <v>Zone-2-NPMW-6</v>
      </c>
      <c r="E328">
        <f>セットアップレポート!D328</f>
        <v>1</v>
      </c>
      <c r="F328">
        <f>セットアップレポート!E328</f>
        <v>1</v>
      </c>
      <c r="G328" t="str">
        <f>セットアップレポート!F328</f>
        <v>20010L</v>
      </c>
      <c r="H328">
        <f>セットアップレポート!G328</f>
        <v>10</v>
      </c>
      <c r="I328" t="str">
        <f>セットアップレポート!H328</f>
        <v>L</v>
      </c>
      <c r="J328" t="str">
        <f>セットアップレポート!I328</f>
        <v>9000069780 100005</v>
      </c>
      <c r="K328">
        <f>セットアップレポート!J328</f>
        <v>9000069780</v>
      </c>
      <c r="L328">
        <f>セットアップレポート!K328</f>
        <v>0</v>
      </c>
      <c r="M328">
        <f>セットアップレポート!L328</f>
        <v>0</v>
      </c>
      <c r="N328">
        <f>セットアップレポート!M328</f>
        <v>0</v>
      </c>
      <c r="O328">
        <f>セットアップレポート!N328</f>
        <v>0</v>
      </c>
      <c r="P328" t="str">
        <f>セットアップレポート!O328</f>
        <v>FA0440ADF301202</v>
      </c>
      <c r="Q328">
        <f>セットアップレポート!P328</f>
        <v>1000</v>
      </c>
      <c r="R328">
        <f>セットアップレポート!Q328</f>
        <v>45931.823912037034</v>
      </c>
      <c r="S328">
        <f>セットアップレポート!R328</f>
        <v>0</v>
      </c>
      <c r="T328">
        <f>セットアップレポート!S328</f>
        <v>0</v>
      </c>
      <c r="U328">
        <f>セットアップレポート!T328</f>
        <v>0</v>
      </c>
      <c r="V328">
        <f>セットアップレポート!U328</f>
        <v>0</v>
      </c>
      <c r="W328">
        <f>セットアップレポート!V328</f>
        <v>0</v>
      </c>
      <c r="X328">
        <f>セットアップレポート!W328</f>
        <v>0</v>
      </c>
      <c r="Y328">
        <f>セットアップレポート!X328</f>
        <v>0</v>
      </c>
      <c r="Z328">
        <f>セットアップレポート!Y328</f>
        <v>0</v>
      </c>
      <c r="AA328">
        <f>セットアップレポート!Z328</f>
        <v>0</v>
      </c>
      <c r="AB328" t="str">
        <f>セットアップレポート!AA328</f>
        <v>NONE</v>
      </c>
      <c r="AC328">
        <f>セットアップレポート!AB328</f>
        <v>0</v>
      </c>
      <c r="AD328">
        <f>セットアップレポート!AC328</f>
        <v>0</v>
      </c>
      <c r="AE328">
        <f>セットアップレポート!AD328</f>
        <v>0</v>
      </c>
      <c r="AF328">
        <f>セットアップレポート!AE328</f>
        <v>0</v>
      </c>
      <c r="AG328">
        <f>セットアップレポート!AF328</f>
        <v>0</v>
      </c>
      <c r="AH328">
        <f>セットアップレポート!AG328</f>
        <v>0</v>
      </c>
    </row>
    <row r="329" spans="1:34" x14ac:dyDescent="0.45">
      <c r="A329" t="str">
        <f t="shared" si="5"/>
        <v>L2-NPM060011L915823A</v>
      </c>
      <c r="B329" t="str">
        <f>セットアップレポート!A329</f>
        <v>Line-2</v>
      </c>
      <c r="C329" t="str">
        <f>セットアップレポート!B329</f>
        <v>L2-NPM06</v>
      </c>
      <c r="D329" t="str">
        <f>セットアップレポート!C329</f>
        <v>Zone-2-NPMW-6</v>
      </c>
      <c r="E329">
        <f>セットアップレポート!D329</f>
        <v>1</v>
      </c>
      <c r="F329">
        <f>セットアップレポート!E329</f>
        <v>1</v>
      </c>
      <c r="G329" t="str">
        <f>セットアップレポート!F329</f>
        <v>20011L</v>
      </c>
      <c r="H329">
        <f>セットアップレポート!G329</f>
        <v>11</v>
      </c>
      <c r="I329" t="str">
        <f>セットアップレポート!H329</f>
        <v>L</v>
      </c>
      <c r="J329" t="str">
        <f>セットアップレポート!I329</f>
        <v>915823A100041</v>
      </c>
      <c r="K329" t="str">
        <f>セットアップレポート!J329</f>
        <v>915823A</v>
      </c>
      <c r="L329">
        <f>セットアップレポート!K329</f>
        <v>0</v>
      </c>
      <c r="M329">
        <f>セットアップレポート!L329</f>
        <v>0</v>
      </c>
      <c r="N329">
        <f>セットアップレポート!M329</f>
        <v>0</v>
      </c>
      <c r="O329">
        <f>セットアップレポート!N329</f>
        <v>0</v>
      </c>
      <c r="P329" t="str">
        <f>セットアップレポート!O329</f>
        <v>FA0230AEA373447</v>
      </c>
      <c r="Q329">
        <f>セットアップレポート!P329</f>
        <v>2000</v>
      </c>
      <c r="R329">
        <f>セットアップレポート!Q329</f>
        <v>45930.457291666666</v>
      </c>
      <c r="S329">
        <f>セットアップレポート!R329</f>
        <v>0</v>
      </c>
      <c r="T329" t="str">
        <f>セットアップレポート!S329</f>
        <v>Yes</v>
      </c>
      <c r="U329">
        <f>セットアップレポート!T329</f>
        <v>0</v>
      </c>
      <c r="V329" t="str">
        <f>セットアップレポート!U329</f>
        <v>915823A100054</v>
      </c>
      <c r="W329">
        <f>セットアップレポート!V329</f>
        <v>0</v>
      </c>
      <c r="X329">
        <f>セットアップレポート!W329</f>
        <v>0</v>
      </c>
      <c r="Y329">
        <f>セットアップレポート!X329</f>
        <v>0</v>
      </c>
      <c r="Z329">
        <f>セットアップレポート!Y329</f>
        <v>0</v>
      </c>
      <c r="AA329">
        <f>セットアップレポート!Z329</f>
        <v>0</v>
      </c>
      <c r="AB329" t="str">
        <f>セットアップレポート!AA329</f>
        <v>NONE</v>
      </c>
      <c r="AC329">
        <f>セットアップレポート!AB329</f>
        <v>0</v>
      </c>
      <c r="AD329">
        <f>セットアップレポート!AC329</f>
        <v>0</v>
      </c>
      <c r="AE329">
        <f>セットアップレポート!AD329</f>
        <v>0</v>
      </c>
      <c r="AF329">
        <f>セットアップレポート!AE329</f>
        <v>0</v>
      </c>
      <c r="AG329">
        <f>セットアップレポート!AF329</f>
        <v>0</v>
      </c>
      <c r="AH329">
        <f>セットアップレポート!AG329</f>
        <v>0</v>
      </c>
    </row>
    <row r="330" spans="1:34" x14ac:dyDescent="0.45">
      <c r="A330" t="str">
        <f t="shared" si="5"/>
        <v>L2-NPM060013L9000063526</v>
      </c>
      <c r="B330" t="str">
        <f>セットアップレポート!A330</f>
        <v>Line-2</v>
      </c>
      <c r="C330" t="str">
        <f>セットアップレポート!B330</f>
        <v>L2-NPM06</v>
      </c>
      <c r="D330" t="str">
        <f>セットアップレポート!C330</f>
        <v>Zone-2-NPMW-6</v>
      </c>
      <c r="E330">
        <f>セットアップレポート!D330</f>
        <v>1</v>
      </c>
      <c r="F330">
        <f>セットアップレポート!E330</f>
        <v>1</v>
      </c>
      <c r="G330" t="str">
        <f>セットアップレポート!F330</f>
        <v>20013L</v>
      </c>
      <c r="H330">
        <f>セットアップレポート!G330</f>
        <v>13</v>
      </c>
      <c r="I330" t="str">
        <f>セットアップレポート!H330</f>
        <v>L</v>
      </c>
      <c r="J330" t="str">
        <f>セットアップレポート!I330</f>
        <v>9000063526 100010</v>
      </c>
      <c r="K330">
        <f>セットアップレポート!J330</f>
        <v>9000063526</v>
      </c>
      <c r="L330">
        <f>セットアップレポート!K330</f>
        <v>0</v>
      </c>
      <c r="M330">
        <f>セットアップレポート!L330</f>
        <v>0</v>
      </c>
      <c r="N330">
        <f>セットアップレポート!M330</f>
        <v>0</v>
      </c>
      <c r="O330">
        <f>セットアップレポート!N330</f>
        <v>0</v>
      </c>
      <c r="P330" t="str">
        <f>セットアップレポート!O330</f>
        <v>FA0230AEA373476</v>
      </c>
      <c r="Q330">
        <f>セットアップレポート!P330</f>
        <v>1000</v>
      </c>
      <c r="R330">
        <f>セットアップレポート!Q330</f>
        <v>45950.474733796298</v>
      </c>
      <c r="S330">
        <f>セットアップレポート!R330</f>
        <v>0</v>
      </c>
      <c r="T330" t="str">
        <f>セットアップレポート!S330</f>
        <v>Yes</v>
      </c>
      <c r="U330">
        <f>セットアップレポート!T330</f>
        <v>0</v>
      </c>
      <c r="V330" t="str">
        <f>セットアップレポート!U330</f>
        <v>9000063526 100012</v>
      </c>
      <c r="W330">
        <f>セットアップレポート!V330</f>
        <v>0</v>
      </c>
      <c r="X330">
        <f>セットアップレポート!W330</f>
        <v>0</v>
      </c>
      <c r="Y330">
        <f>セットアップレポート!X330</f>
        <v>0</v>
      </c>
      <c r="Z330">
        <f>セットアップレポート!Y330</f>
        <v>0</v>
      </c>
      <c r="AA330">
        <f>セットアップレポート!Z330</f>
        <v>0</v>
      </c>
      <c r="AB330" t="str">
        <f>セットアップレポート!AA330</f>
        <v>NONE</v>
      </c>
      <c r="AC330">
        <f>セットアップレポート!AB330</f>
        <v>0</v>
      </c>
      <c r="AD330">
        <f>セットアップレポート!AC330</f>
        <v>0</v>
      </c>
      <c r="AE330">
        <f>セットアップレポート!AD330</f>
        <v>0</v>
      </c>
      <c r="AF330">
        <f>セットアップレポート!AE330</f>
        <v>0</v>
      </c>
      <c r="AG330">
        <f>セットアップレポート!AF330</f>
        <v>0</v>
      </c>
      <c r="AH330">
        <f>セットアップレポート!AG330</f>
        <v>0</v>
      </c>
    </row>
    <row r="331" spans="1:34" x14ac:dyDescent="0.45">
      <c r="A331" t="str">
        <f t="shared" si="5"/>
        <v>L2-NPM060015L9000063696</v>
      </c>
      <c r="B331" t="str">
        <f>セットアップレポート!A331</f>
        <v>Line-2</v>
      </c>
      <c r="C331" t="str">
        <f>セットアップレポート!B331</f>
        <v>L2-NPM06</v>
      </c>
      <c r="D331" t="str">
        <f>セットアップレポート!C331</f>
        <v>Zone-2-NPMW-6</v>
      </c>
      <c r="E331">
        <f>セットアップレポート!D331</f>
        <v>1</v>
      </c>
      <c r="F331">
        <f>セットアップレポート!E331</f>
        <v>1</v>
      </c>
      <c r="G331" t="str">
        <f>セットアップレポート!F331</f>
        <v>20015L</v>
      </c>
      <c r="H331">
        <f>セットアップレポート!G331</f>
        <v>15</v>
      </c>
      <c r="I331" t="str">
        <f>セットアップレポート!H331</f>
        <v>L</v>
      </c>
      <c r="J331" t="str">
        <f>セットアップレポート!I331</f>
        <v>9000063696 100021</v>
      </c>
      <c r="K331">
        <f>セットアップレポート!J331</f>
        <v>9000063696</v>
      </c>
      <c r="L331">
        <f>セットアップレポート!K331</f>
        <v>0</v>
      </c>
      <c r="M331">
        <f>セットアップレポート!L331</f>
        <v>0</v>
      </c>
      <c r="N331">
        <f>セットアップレポート!M331</f>
        <v>0</v>
      </c>
      <c r="O331">
        <f>セットアップレポート!N331</f>
        <v>0</v>
      </c>
      <c r="P331" t="str">
        <f>セットアップレポート!O331</f>
        <v>FA0430ABH314572</v>
      </c>
      <c r="Q331">
        <f>セットアップレポート!P331</f>
        <v>250</v>
      </c>
      <c r="R331">
        <f>セットアップレポート!Q331</f>
        <v>45950.474733796298</v>
      </c>
      <c r="S331">
        <f>セットアップレポート!R331</f>
        <v>0</v>
      </c>
      <c r="T331">
        <f>セットアップレポート!S331</f>
        <v>0</v>
      </c>
      <c r="U331">
        <f>セットアップレポート!T331</f>
        <v>0</v>
      </c>
      <c r="V331">
        <f>セットアップレポート!U331</f>
        <v>0</v>
      </c>
      <c r="W331">
        <f>セットアップレポート!V331</f>
        <v>0</v>
      </c>
      <c r="X331">
        <f>セットアップレポート!W331</f>
        <v>0</v>
      </c>
      <c r="Y331">
        <f>セットアップレポート!X331</f>
        <v>0</v>
      </c>
      <c r="Z331">
        <f>セットアップレポート!Y331</f>
        <v>0</v>
      </c>
      <c r="AA331">
        <f>セットアップレポート!Z331</f>
        <v>0</v>
      </c>
      <c r="AB331" t="str">
        <f>セットアップレポート!AA331</f>
        <v>NONE</v>
      </c>
      <c r="AC331">
        <f>セットアップレポート!AB331</f>
        <v>0</v>
      </c>
      <c r="AD331">
        <f>セットアップレポート!AC331</f>
        <v>0</v>
      </c>
      <c r="AE331">
        <f>セットアップレポート!AD331</f>
        <v>0</v>
      </c>
      <c r="AF331">
        <f>セットアップレポート!AE331</f>
        <v>0</v>
      </c>
      <c r="AG331">
        <f>セットアップレポート!AF331</f>
        <v>0</v>
      </c>
      <c r="AH331">
        <f>セットアップレポート!AG331</f>
        <v>0</v>
      </c>
    </row>
    <row r="332" spans="1:34" x14ac:dyDescent="0.45">
      <c r="A332" t="str">
        <f t="shared" si="5"/>
        <v>L2-NPM060017L9000045559</v>
      </c>
      <c r="B332" t="str">
        <f>セットアップレポート!A332</f>
        <v>Line-2</v>
      </c>
      <c r="C332" t="str">
        <f>セットアップレポート!B332</f>
        <v>L2-NPM06</v>
      </c>
      <c r="D332" t="str">
        <f>セットアップレポート!C332</f>
        <v>Zone-2-NPMW-6</v>
      </c>
      <c r="E332">
        <f>セットアップレポート!D332</f>
        <v>1</v>
      </c>
      <c r="F332">
        <f>セットアップレポート!E332</f>
        <v>1</v>
      </c>
      <c r="G332" t="str">
        <f>セットアップレポート!F332</f>
        <v>20017L</v>
      </c>
      <c r="H332">
        <f>セットアップレポート!G332</f>
        <v>17</v>
      </c>
      <c r="I332" t="str">
        <f>セットアップレポート!H332</f>
        <v>L</v>
      </c>
      <c r="J332" t="str">
        <f>セットアップレポート!I332</f>
        <v>9000045559 100028</v>
      </c>
      <c r="K332">
        <f>セットアップレポート!J332</f>
        <v>9000045559</v>
      </c>
      <c r="L332">
        <f>セットアップレポート!K332</f>
        <v>0</v>
      </c>
      <c r="M332">
        <f>セットアップレポート!L332</f>
        <v>0</v>
      </c>
      <c r="N332">
        <f>セットアップレポート!M332</f>
        <v>0</v>
      </c>
      <c r="O332">
        <f>セットアップレポート!N332</f>
        <v>0</v>
      </c>
      <c r="P332" t="str">
        <f>セットアップレポート!O332</f>
        <v>FA0230AEA373450</v>
      </c>
      <c r="Q332">
        <f>セットアップレポート!P332</f>
        <v>1100</v>
      </c>
      <c r="R332">
        <f>セットアップレポート!Q332</f>
        <v>45931.823923611111</v>
      </c>
      <c r="S332">
        <f>セットアップレポート!R332</f>
        <v>0</v>
      </c>
      <c r="T332">
        <f>セットアップレポート!S332</f>
        <v>0</v>
      </c>
      <c r="U332">
        <f>セットアップレポート!T332</f>
        <v>0</v>
      </c>
      <c r="V332">
        <f>セットアップレポート!U332</f>
        <v>0</v>
      </c>
      <c r="W332">
        <f>セットアップレポート!V332</f>
        <v>0</v>
      </c>
      <c r="X332">
        <f>セットアップレポート!W332</f>
        <v>0</v>
      </c>
      <c r="Y332">
        <f>セットアップレポート!X332</f>
        <v>0</v>
      </c>
      <c r="Z332">
        <f>セットアップレポート!Y332</f>
        <v>0</v>
      </c>
      <c r="AA332">
        <f>セットアップレポート!Z332</f>
        <v>0</v>
      </c>
      <c r="AB332" t="str">
        <f>セットアップレポート!AA332</f>
        <v>NONE</v>
      </c>
      <c r="AC332">
        <f>セットアップレポート!AB332</f>
        <v>0</v>
      </c>
      <c r="AD332">
        <f>セットアップレポート!AC332</f>
        <v>0</v>
      </c>
      <c r="AE332">
        <f>セットアップレポート!AD332</f>
        <v>0</v>
      </c>
      <c r="AF332">
        <f>セットアップレポート!AE332</f>
        <v>0</v>
      </c>
      <c r="AG332">
        <f>セットアップレポート!AF332</f>
        <v>0</v>
      </c>
      <c r="AH332">
        <f>セットアップレポート!AG332</f>
        <v>0</v>
      </c>
    </row>
    <row r="333" spans="1:34" x14ac:dyDescent="0.45">
      <c r="A333" t="str">
        <f t="shared" si="5"/>
        <v>L2-NPM060018L9000047441</v>
      </c>
      <c r="B333" t="str">
        <f>セットアップレポート!A333</f>
        <v>Line-2</v>
      </c>
      <c r="C333" t="str">
        <f>セットアップレポート!B333</f>
        <v>L2-NPM06</v>
      </c>
      <c r="D333" t="str">
        <f>セットアップレポート!C333</f>
        <v>Zone-2-NPMW-6</v>
      </c>
      <c r="E333">
        <f>セットアップレポート!D333</f>
        <v>1</v>
      </c>
      <c r="F333">
        <f>セットアップレポート!E333</f>
        <v>1</v>
      </c>
      <c r="G333" t="str">
        <f>セットアップレポート!F333</f>
        <v>20018L</v>
      </c>
      <c r="H333">
        <f>セットアップレポート!G333</f>
        <v>18</v>
      </c>
      <c r="I333" t="str">
        <f>セットアップレポート!H333</f>
        <v>L</v>
      </c>
      <c r="J333" t="str">
        <f>セットアップレポート!I333</f>
        <v>9000047441 100105</v>
      </c>
      <c r="K333">
        <f>セットアップレポート!J333</f>
        <v>9000047441</v>
      </c>
      <c r="L333">
        <f>セットアップレポート!K333</f>
        <v>0</v>
      </c>
      <c r="M333">
        <f>セットアップレポート!L333</f>
        <v>0</v>
      </c>
      <c r="N333">
        <f>セットアップレポート!M333</f>
        <v>0</v>
      </c>
      <c r="O333">
        <f>セットアップレポート!N333</f>
        <v>0</v>
      </c>
      <c r="P333" t="str">
        <f>セットアップレポート!O333</f>
        <v>FA0240AEA353972</v>
      </c>
      <c r="Q333">
        <f>セットアップレポート!P333</f>
        <v>900</v>
      </c>
      <c r="R333">
        <f>セットアップレポート!Q333</f>
        <v>45930.457303240742</v>
      </c>
      <c r="S333">
        <f>セットアップレポート!R333</f>
        <v>0</v>
      </c>
      <c r="T333">
        <f>セットアップレポート!S333</f>
        <v>0</v>
      </c>
      <c r="U333">
        <f>セットアップレポート!T333</f>
        <v>0</v>
      </c>
      <c r="V333">
        <f>セットアップレポート!U333</f>
        <v>0</v>
      </c>
      <c r="W333">
        <f>セットアップレポート!V333</f>
        <v>0</v>
      </c>
      <c r="X333">
        <f>セットアップレポート!W333</f>
        <v>0</v>
      </c>
      <c r="Y333">
        <f>セットアップレポート!X333</f>
        <v>0</v>
      </c>
      <c r="Z333">
        <f>セットアップレポート!Y333</f>
        <v>0</v>
      </c>
      <c r="AA333">
        <f>セットアップレポート!Z333</f>
        <v>0</v>
      </c>
      <c r="AB333" t="str">
        <f>セットアップレポート!AA333</f>
        <v>NONE</v>
      </c>
      <c r="AC333">
        <f>セットアップレポート!AB333</f>
        <v>0</v>
      </c>
      <c r="AD333">
        <f>セットアップレポート!AC333</f>
        <v>0</v>
      </c>
      <c r="AE333">
        <f>セットアップレポート!AD333</f>
        <v>0</v>
      </c>
      <c r="AF333">
        <f>セットアップレポート!AE333</f>
        <v>0</v>
      </c>
      <c r="AG333">
        <f>セットアップレポート!AF333</f>
        <v>0</v>
      </c>
      <c r="AH333">
        <f>セットアップレポート!AG333</f>
        <v>0</v>
      </c>
    </row>
    <row r="334" spans="1:34" x14ac:dyDescent="0.45">
      <c r="A334" t="str">
        <f t="shared" si="5"/>
        <v>L2-NPM060019L9000058344</v>
      </c>
      <c r="B334" t="str">
        <f>セットアップレポート!A334</f>
        <v>Line-2</v>
      </c>
      <c r="C334" t="str">
        <f>セットアップレポート!B334</f>
        <v>L2-NPM06</v>
      </c>
      <c r="D334" t="str">
        <f>セットアップレポート!C334</f>
        <v>Zone-2-NPMW-6</v>
      </c>
      <c r="E334">
        <f>セットアップレポート!D334</f>
        <v>1</v>
      </c>
      <c r="F334">
        <f>セットアップレポート!E334</f>
        <v>1</v>
      </c>
      <c r="G334" t="str">
        <f>セットアップレポート!F334</f>
        <v>20019L</v>
      </c>
      <c r="H334">
        <f>セットアップレポート!G334</f>
        <v>19</v>
      </c>
      <c r="I334" t="str">
        <f>セットアップレポート!H334</f>
        <v>L</v>
      </c>
      <c r="J334" t="str">
        <f>セットアップレポート!I334</f>
        <v>9000058344 100027</v>
      </c>
      <c r="K334">
        <f>セットアップレポート!J334</f>
        <v>9000058344</v>
      </c>
      <c r="L334">
        <f>セットアップレポート!K334</f>
        <v>0</v>
      </c>
      <c r="M334">
        <f>セットアップレポート!L334</f>
        <v>0</v>
      </c>
      <c r="N334">
        <f>セットアップレポート!M334</f>
        <v>0</v>
      </c>
      <c r="O334">
        <f>セットアップレポート!N334</f>
        <v>0</v>
      </c>
      <c r="P334" t="str">
        <f>セットアップレポート!O334</f>
        <v>FA0230AEA373479</v>
      </c>
      <c r="Q334">
        <f>セットアップレポート!P334</f>
        <v>1100</v>
      </c>
      <c r="R334">
        <f>セットアップレポート!Q334</f>
        <v>45931.823923611111</v>
      </c>
      <c r="S334">
        <f>セットアップレポート!R334</f>
        <v>0</v>
      </c>
      <c r="T334">
        <f>セットアップレポート!S334</f>
        <v>0</v>
      </c>
      <c r="U334">
        <f>セットアップレポート!T334</f>
        <v>0</v>
      </c>
      <c r="V334">
        <f>セットアップレポート!U334</f>
        <v>0</v>
      </c>
      <c r="W334">
        <f>セットアップレポート!V334</f>
        <v>0</v>
      </c>
      <c r="X334">
        <f>セットアップレポート!W334</f>
        <v>0</v>
      </c>
      <c r="Y334">
        <f>セットアップレポート!X334</f>
        <v>0</v>
      </c>
      <c r="Z334">
        <f>セットアップレポート!Y334</f>
        <v>0</v>
      </c>
      <c r="AA334">
        <f>セットアップレポート!Z334</f>
        <v>0</v>
      </c>
      <c r="AB334" t="str">
        <f>セットアップレポート!AA334</f>
        <v>NONE</v>
      </c>
      <c r="AC334">
        <f>セットアップレポート!AB334</f>
        <v>0</v>
      </c>
      <c r="AD334">
        <f>セットアップレポート!AC334</f>
        <v>0</v>
      </c>
      <c r="AE334">
        <f>セットアップレポート!AD334</f>
        <v>0</v>
      </c>
      <c r="AF334">
        <f>セットアップレポート!AE334</f>
        <v>0</v>
      </c>
      <c r="AG334">
        <f>セットアップレポート!AF334</f>
        <v>0</v>
      </c>
      <c r="AH334">
        <f>セットアップレポート!AG334</f>
        <v>0</v>
      </c>
    </row>
    <row r="335" spans="1:34" x14ac:dyDescent="0.45">
      <c r="A335" t="str">
        <f t="shared" si="5"/>
        <v>L2-NPM060021L9000065017</v>
      </c>
      <c r="B335" t="str">
        <f>セットアップレポート!A335</f>
        <v>Line-2</v>
      </c>
      <c r="C335" t="str">
        <f>セットアップレポート!B335</f>
        <v>L2-NPM06</v>
      </c>
      <c r="D335" t="str">
        <f>セットアップレポート!C335</f>
        <v>Zone-2-NPMW-6</v>
      </c>
      <c r="E335">
        <f>セットアップレポート!D335</f>
        <v>1</v>
      </c>
      <c r="F335">
        <f>セットアップレポート!E335</f>
        <v>1</v>
      </c>
      <c r="G335" t="str">
        <f>セットアップレポート!F335</f>
        <v>20021L</v>
      </c>
      <c r="H335">
        <f>セットアップレポート!G335</f>
        <v>21</v>
      </c>
      <c r="I335" t="str">
        <f>セットアップレポート!H335</f>
        <v>L</v>
      </c>
      <c r="J335" t="str">
        <f>セットアップレポート!I335</f>
        <v>9000065017 100017</v>
      </c>
      <c r="K335">
        <f>セットアップレポート!J335</f>
        <v>9000065017</v>
      </c>
      <c r="L335">
        <f>セットアップレポート!K335</f>
        <v>0</v>
      </c>
      <c r="M335">
        <f>セットアップレポート!L335</f>
        <v>0</v>
      </c>
      <c r="N335">
        <f>セットアップレポート!M335</f>
        <v>0</v>
      </c>
      <c r="O335">
        <f>セットアップレポート!N335</f>
        <v>0</v>
      </c>
      <c r="P335" t="str">
        <f>セットアップレポート!O335</f>
        <v>FA0430ADF305017</v>
      </c>
      <c r="Q335">
        <f>セットアップレポート!P335</f>
        <v>1000</v>
      </c>
      <c r="R335">
        <f>セットアップレポート!Q335</f>
        <v>45950.474733796298</v>
      </c>
      <c r="S335">
        <f>セットアップレポート!R335</f>
        <v>0</v>
      </c>
      <c r="T335">
        <f>セットアップレポート!S335</f>
        <v>0</v>
      </c>
      <c r="U335">
        <f>セットアップレポート!T335</f>
        <v>0</v>
      </c>
      <c r="V335">
        <f>セットアップレポート!U335</f>
        <v>0</v>
      </c>
      <c r="W335">
        <f>セットアップレポート!V335</f>
        <v>0</v>
      </c>
      <c r="X335">
        <f>セットアップレポート!W335</f>
        <v>0</v>
      </c>
      <c r="Y335">
        <f>セットアップレポート!X335</f>
        <v>0</v>
      </c>
      <c r="Z335">
        <f>セットアップレポート!Y335</f>
        <v>0</v>
      </c>
      <c r="AA335">
        <f>セットアップレポート!Z335</f>
        <v>0</v>
      </c>
      <c r="AB335" t="str">
        <f>セットアップレポート!AA335</f>
        <v>NONE</v>
      </c>
      <c r="AC335">
        <f>セットアップレポート!AB335</f>
        <v>0</v>
      </c>
      <c r="AD335">
        <f>セットアップレポート!AC335</f>
        <v>0</v>
      </c>
      <c r="AE335">
        <f>セットアップレポート!AD335</f>
        <v>0</v>
      </c>
      <c r="AF335">
        <f>セットアップレポート!AE335</f>
        <v>0</v>
      </c>
      <c r="AG335">
        <f>セットアップレポート!AF335</f>
        <v>0</v>
      </c>
      <c r="AH335">
        <f>セットアップレポート!AG335</f>
        <v>0</v>
      </c>
    </row>
    <row r="336" spans="1:34" x14ac:dyDescent="0.45">
      <c r="A336" t="str">
        <f t="shared" si="5"/>
        <v>L2-NPM060023L9000003123</v>
      </c>
      <c r="B336" t="str">
        <f>セットアップレポート!A336</f>
        <v>Line-2</v>
      </c>
      <c r="C336" t="str">
        <f>セットアップレポート!B336</f>
        <v>L2-NPM06</v>
      </c>
      <c r="D336" t="str">
        <f>セットアップレポート!C336</f>
        <v>Zone-2-NPMW-6</v>
      </c>
      <c r="E336">
        <f>セットアップレポート!D336</f>
        <v>1</v>
      </c>
      <c r="F336">
        <f>セットアップレポート!E336</f>
        <v>1</v>
      </c>
      <c r="G336" t="str">
        <f>セットアップレポート!F336</f>
        <v>20023L</v>
      </c>
      <c r="H336">
        <f>セットアップレポート!G336</f>
        <v>23</v>
      </c>
      <c r="I336" t="str">
        <f>セットアップレポート!H336</f>
        <v>L</v>
      </c>
      <c r="J336" t="str">
        <f>セットアップレポート!I336</f>
        <v>9000003123 100052</v>
      </c>
      <c r="K336">
        <f>セットアップレポート!J336</f>
        <v>9000003123</v>
      </c>
      <c r="L336">
        <f>セットアップレポート!K336</f>
        <v>0</v>
      </c>
      <c r="M336">
        <f>セットアップレポート!L336</f>
        <v>0</v>
      </c>
      <c r="N336">
        <f>セットアップレポート!M336</f>
        <v>0</v>
      </c>
      <c r="O336">
        <f>セットアップレポート!N336</f>
        <v>0</v>
      </c>
      <c r="P336" t="str">
        <f>セットアップレポート!O336</f>
        <v>FA0230AEA373471</v>
      </c>
      <c r="Q336">
        <f>セットアップレポート!P336</f>
        <v>1100</v>
      </c>
      <c r="R336">
        <f>セットアップレポート!Q336</f>
        <v>45931.823923611111</v>
      </c>
      <c r="S336">
        <f>セットアップレポート!R336</f>
        <v>0</v>
      </c>
      <c r="T336">
        <f>セットアップレポート!S336</f>
        <v>0</v>
      </c>
      <c r="U336">
        <f>セットアップレポート!T336</f>
        <v>0</v>
      </c>
      <c r="V336">
        <f>セットアップレポート!U336</f>
        <v>0</v>
      </c>
      <c r="W336">
        <f>セットアップレポート!V336</f>
        <v>0</v>
      </c>
      <c r="X336">
        <f>セットアップレポート!W336</f>
        <v>0</v>
      </c>
      <c r="Y336">
        <f>セットアップレポート!X336</f>
        <v>0</v>
      </c>
      <c r="Z336">
        <f>セットアップレポート!Y336</f>
        <v>0</v>
      </c>
      <c r="AA336">
        <f>セットアップレポート!Z336</f>
        <v>0</v>
      </c>
      <c r="AB336" t="str">
        <f>セットアップレポート!AA336</f>
        <v>NONE</v>
      </c>
      <c r="AC336">
        <f>セットアップレポート!AB336</f>
        <v>0</v>
      </c>
      <c r="AD336">
        <f>セットアップレポート!AC336</f>
        <v>0</v>
      </c>
      <c r="AE336">
        <f>セットアップレポート!AD336</f>
        <v>0</v>
      </c>
      <c r="AF336">
        <f>セットアップレポート!AE336</f>
        <v>0</v>
      </c>
      <c r="AG336">
        <f>セットアップレポート!AF336</f>
        <v>0</v>
      </c>
      <c r="AH336">
        <f>セットアップレポート!AG336</f>
        <v>0</v>
      </c>
    </row>
    <row r="337" spans="1:34" x14ac:dyDescent="0.45">
      <c r="A337" t="str">
        <f t="shared" si="5"/>
        <v>L2-NPM060024L649139A</v>
      </c>
      <c r="B337" t="str">
        <f>セットアップレポート!A337</f>
        <v>Line-2</v>
      </c>
      <c r="C337" t="str">
        <f>セットアップレポート!B337</f>
        <v>L2-NPM06</v>
      </c>
      <c r="D337" t="str">
        <f>セットアップレポート!C337</f>
        <v>Zone-2-NPMW-6</v>
      </c>
      <c r="E337">
        <f>セットアップレポート!D337</f>
        <v>1</v>
      </c>
      <c r="F337">
        <f>セットアップレポート!E337</f>
        <v>1</v>
      </c>
      <c r="G337" t="str">
        <f>セットアップレポート!F337</f>
        <v>20024L</v>
      </c>
      <c r="H337">
        <f>セットアップレポート!G337</f>
        <v>24</v>
      </c>
      <c r="I337" t="str">
        <f>セットアップレポート!H337</f>
        <v>L</v>
      </c>
      <c r="J337" t="str">
        <f>セットアップレポート!I337</f>
        <v>649139A100113</v>
      </c>
      <c r="K337" t="str">
        <f>セットアップレポート!J337</f>
        <v>649139A</v>
      </c>
      <c r="L337">
        <f>セットアップレポート!K337</f>
        <v>0</v>
      </c>
      <c r="M337">
        <f>セットアップレポート!L337</f>
        <v>0</v>
      </c>
      <c r="N337">
        <f>セットアップレポート!M337</f>
        <v>0</v>
      </c>
      <c r="O337">
        <f>セットアップレポート!N337</f>
        <v>0</v>
      </c>
      <c r="P337" t="str">
        <f>セットアップレポート!O337</f>
        <v>FA0230AEA373491</v>
      </c>
      <c r="Q337">
        <f>セットアップレポート!P337</f>
        <v>1000</v>
      </c>
      <c r="R337">
        <f>セットアップレポート!Q337</f>
        <v>45930.457303240742</v>
      </c>
      <c r="S337">
        <f>セットアップレポート!R337</f>
        <v>0</v>
      </c>
      <c r="T337" t="str">
        <f>セットアップレポート!S337</f>
        <v>Yes</v>
      </c>
      <c r="U337">
        <f>セットアップレポート!T337</f>
        <v>0</v>
      </c>
      <c r="V337" t="str">
        <f>セットアップレポート!U337</f>
        <v>649139A100114</v>
      </c>
      <c r="W337">
        <f>セットアップレポート!V337</f>
        <v>0</v>
      </c>
      <c r="X337">
        <f>セットアップレポート!W337</f>
        <v>0</v>
      </c>
      <c r="Y337">
        <f>セットアップレポート!X337</f>
        <v>0</v>
      </c>
      <c r="Z337">
        <f>セットアップレポート!Y337</f>
        <v>0</v>
      </c>
      <c r="AA337">
        <f>セットアップレポート!Z337</f>
        <v>0</v>
      </c>
      <c r="AB337" t="str">
        <f>セットアップレポート!AA337</f>
        <v>NONE</v>
      </c>
      <c r="AC337">
        <f>セットアップレポート!AB337</f>
        <v>0</v>
      </c>
      <c r="AD337">
        <f>セットアップレポート!AC337</f>
        <v>0</v>
      </c>
      <c r="AE337">
        <f>セットアップレポート!AD337</f>
        <v>0</v>
      </c>
      <c r="AF337">
        <f>セットアップレポート!AE337</f>
        <v>0</v>
      </c>
      <c r="AG337">
        <f>セットアップレポート!AF337</f>
        <v>0</v>
      </c>
      <c r="AH337">
        <f>セットアップレポート!AG337</f>
        <v>0</v>
      </c>
    </row>
    <row r="338" spans="1:34" x14ac:dyDescent="0.45">
      <c r="A338" t="str">
        <f t="shared" si="5"/>
        <v>L2-NPM060025L9000069685</v>
      </c>
      <c r="B338" t="str">
        <f>セットアップレポート!A338</f>
        <v>Line-2</v>
      </c>
      <c r="C338" t="str">
        <f>セットアップレポート!B338</f>
        <v>L2-NPM06</v>
      </c>
      <c r="D338" t="str">
        <f>セットアップレポート!C338</f>
        <v>Zone-2-NPMW-6</v>
      </c>
      <c r="E338">
        <f>セットアップレポート!D338</f>
        <v>1</v>
      </c>
      <c r="F338">
        <f>セットアップレポート!E338</f>
        <v>1</v>
      </c>
      <c r="G338" t="str">
        <f>セットアップレポート!F338</f>
        <v>20025L</v>
      </c>
      <c r="H338">
        <f>セットアップレポート!G338</f>
        <v>25</v>
      </c>
      <c r="I338" t="str">
        <f>セットアップレポート!H338</f>
        <v>L</v>
      </c>
      <c r="J338" t="str">
        <f>セットアップレポート!I338</f>
        <v>9000069685 100008</v>
      </c>
      <c r="K338">
        <f>セットアップレポート!J338</f>
        <v>9000069685</v>
      </c>
      <c r="L338">
        <f>セットアップレポート!K338</f>
        <v>0</v>
      </c>
      <c r="M338">
        <f>セットアップレポート!L338</f>
        <v>0</v>
      </c>
      <c r="N338">
        <f>セットアップレポート!M338</f>
        <v>0</v>
      </c>
      <c r="O338">
        <f>セットアップレポート!N338</f>
        <v>0</v>
      </c>
      <c r="P338" t="str">
        <f>セットアップレポート!O338</f>
        <v>FA0220ADF311882</v>
      </c>
      <c r="Q338">
        <f>セットアップレポート!P338</f>
        <v>1000</v>
      </c>
      <c r="R338">
        <f>セットアップレポート!Q338</f>
        <v>45932.589456018519</v>
      </c>
      <c r="S338">
        <f>セットアップレポート!R338</f>
        <v>0</v>
      </c>
      <c r="T338">
        <f>セットアップレポート!S338</f>
        <v>0</v>
      </c>
      <c r="U338">
        <f>セットアップレポート!T338</f>
        <v>0</v>
      </c>
      <c r="V338">
        <f>セットアップレポート!U338</f>
        <v>0</v>
      </c>
      <c r="W338">
        <f>セットアップレポート!V338</f>
        <v>0</v>
      </c>
      <c r="X338">
        <f>セットアップレポート!W338</f>
        <v>0</v>
      </c>
      <c r="Y338">
        <f>セットアップレポート!X338</f>
        <v>0</v>
      </c>
      <c r="Z338">
        <f>セットアップレポート!Y338</f>
        <v>0</v>
      </c>
      <c r="AA338">
        <f>セットアップレポート!Z338</f>
        <v>0</v>
      </c>
      <c r="AB338" t="str">
        <f>セットアップレポート!AA338</f>
        <v>NONE</v>
      </c>
      <c r="AC338">
        <f>セットアップレポート!AB338</f>
        <v>0</v>
      </c>
      <c r="AD338">
        <f>セットアップレポート!AC338</f>
        <v>0</v>
      </c>
      <c r="AE338">
        <f>セットアップレポート!AD338</f>
        <v>0</v>
      </c>
      <c r="AF338">
        <f>セットアップレポート!AE338</f>
        <v>0</v>
      </c>
      <c r="AG338">
        <f>セットアップレポート!AF338</f>
        <v>0</v>
      </c>
      <c r="AH338">
        <f>セットアップレポート!AG338</f>
        <v>0</v>
      </c>
    </row>
    <row r="339" spans="1:34" x14ac:dyDescent="0.45">
      <c r="A339" t="str">
        <f t="shared" si="5"/>
        <v>L2-NPM060026L346047B</v>
      </c>
      <c r="B339" t="str">
        <f>セットアップレポート!A339</f>
        <v>Line-2</v>
      </c>
      <c r="C339" t="str">
        <f>セットアップレポート!B339</f>
        <v>L2-NPM06</v>
      </c>
      <c r="D339" t="str">
        <f>セットアップレポート!C339</f>
        <v>Zone-2-NPMW-6</v>
      </c>
      <c r="E339">
        <f>セットアップレポート!D339</f>
        <v>1</v>
      </c>
      <c r="F339">
        <f>セットアップレポート!E339</f>
        <v>1</v>
      </c>
      <c r="G339" t="str">
        <f>セットアップレポート!F339</f>
        <v>20026L</v>
      </c>
      <c r="H339">
        <f>セットアップレポート!G339</f>
        <v>26</v>
      </c>
      <c r="I339" t="str">
        <f>セットアップレポート!H339</f>
        <v>L</v>
      </c>
      <c r="J339" t="str">
        <f>セットアップレポート!I339</f>
        <v>346047B101153</v>
      </c>
      <c r="K339" t="str">
        <f>セットアップレポート!J339</f>
        <v>346047B</v>
      </c>
      <c r="L339">
        <f>セットアップレポート!K339</f>
        <v>0</v>
      </c>
      <c r="M339">
        <f>セットアップレポート!L339</f>
        <v>0</v>
      </c>
      <c r="N339">
        <f>セットアップレポート!M339</f>
        <v>0</v>
      </c>
      <c r="O339">
        <f>セットアップレポート!N339</f>
        <v>0</v>
      </c>
      <c r="P339" t="str">
        <f>セットアップレポート!O339</f>
        <v>FA0220AFA654056</v>
      </c>
      <c r="Q339">
        <f>セットアップレポート!P339</f>
        <v>2000</v>
      </c>
      <c r="R339">
        <f>セットアップレポート!Q339</f>
        <v>45950.474733796298</v>
      </c>
      <c r="S339">
        <f>セットアップレポート!R339</f>
        <v>0</v>
      </c>
      <c r="T339">
        <f>セットアップレポート!S339</f>
        <v>0</v>
      </c>
      <c r="U339">
        <f>セットアップレポート!T339</f>
        <v>0</v>
      </c>
      <c r="V339">
        <f>セットアップレポート!U339</f>
        <v>0</v>
      </c>
      <c r="W339">
        <f>セットアップレポート!V339</f>
        <v>0</v>
      </c>
      <c r="X339">
        <f>セットアップレポート!W339</f>
        <v>0</v>
      </c>
      <c r="Y339">
        <f>セットアップレポート!X339</f>
        <v>0</v>
      </c>
      <c r="Z339">
        <f>セットアップレポート!Y339</f>
        <v>0</v>
      </c>
      <c r="AA339">
        <f>セットアップレポート!Z339</f>
        <v>0</v>
      </c>
      <c r="AB339" t="str">
        <f>セットアップレポート!AA339</f>
        <v>NONE</v>
      </c>
      <c r="AC339">
        <f>セットアップレポート!AB339</f>
        <v>0</v>
      </c>
      <c r="AD339">
        <f>セットアップレポート!AC339</f>
        <v>0</v>
      </c>
      <c r="AE339">
        <f>セットアップレポート!AD339</f>
        <v>0</v>
      </c>
      <c r="AF339">
        <f>セットアップレポート!AE339</f>
        <v>0</v>
      </c>
      <c r="AG339">
        <f>セットアップレポート!AF339</f>
        <v>0</v>
      </c>
      <c r="AH339">
        <f>セットアップレポート!AG339</f>
        <v>0</v>
      </c>
    </row>
    <row r="340" spans="1:34" x14ac:dyDescent="0.45">
      <c r="A340" t="str">
        <f t="shared" si="5"/>
        <v>L2-NPM060027L9000063376</v>
      </c>
      <c r="B340" t="str">
        <f>セットアップレポート!A340</f>
        <v>Line-2</v>
      </c>
      <c r="C340" t="str">
        <f>セットアップレポート!B340</f>
        <v>L2-NPM06</v>
      </c>
      <c r="D340" t="str">
        <f>セットアップレポート!C340</f>
        <v>Zone-2-NPMW-6</v>
      </c>
      <c r="E340">
        <f>セットアップレポート!D340</f>
        <v>1</v>
      </c>
      <c r="F340">
        <f>セットアップレポート!E340</f>
        <v>1</v>
      </c>
      <c r="G340" t="str">
        <f>セットアップレポート!F340</f>
        <v>20027L</v>
      </c>
      <c r="H340">
        <f>セットアップレポート!G340</f>
        <v>27</v>
      </c>
      <c r="I340" t="str">
        <f>セットアップレポート!H340</f>
        <v>L</v>
      </c>
      <c r="J340" t="str">
        <f>セットアップレポート!I340</f>
        <v>9000063376 100281</v>
      </c>
      <c r="K340">
        <f>セットアップレポート!J340</f>
        <v>9000063376</v>
      </c>
      <c r="L340">
        <f>セットアップレポート!K340</f>
        <v>0</v>
      </c>
      <c r="M340">
        <f>セットアップレポート!L340</f>
        <v>0</v>
      </c>
      <c r="N340">
        <f>セットアップレポート!M340</f>
        <v>0</v>
      </c>
      <c r="O340">
        <f>セットアップレポート!N340</f>
        <v>0</v>
      </c>
      <c r="P340" t="str">
        <f>セットアップレポート!O340</f>
        <v>FA0230AEA373506</v>
      </c>
      <c r="Q340">
        <f>セットアップレポート!P340</f>
        <v>500</v>
      </c>
      <c r="R340">
        <f>セットアップレポート!Q340</f>
        <v>45950.474733796298</v>
      </c>
      <c r="S340">
        <f>セットアップレポート!R340</f>
        <v>0</v>
      </c>
      <c r="T340">
        <f>セットアップレポート!S340</f>
        <v>0</v>
      </c>
      <c r="U340">
        <f>セットアップレポート!T340</f>
        <v>0</v>
      </c>
      <c r="V340">
        <f>セットアップレポート!U340</f>
        <v>0</v>
      </c>
      <c r="W340">
        <f>セットアップレポート!V340</f>
        <v>0</v>
      </c>
      <c r="X340">
        <f>セットアップレポート!W340</f>
        <v>0</v>
      </c>
      <c r="Y340">
        <f>セットアップレポート!X340</f>
        <v>0</v>
      </c>
      <c r="Z340">
        <f>セットアップレポート!Y340</f>
        <v>0</v>
      </c>
      <c r="AA340">
        <f>セットアップレポート!Z340</f>
        <v>0</v>
      </c>
      <c r="AB340" t="str">
        <f>セットアップレポート!AA340</f>
        <v>NONE</v>
      </c>
      <c r="AC340">
        <f>セットアップレポート!AB340</f>
        <v>0</v>
      </c>
      <c r="AD340">
        <f>セットアップレポート!AC340</f>
        <v>0</v>
      </c>
      <c r="AE340">
        <f>セットアップレポート!AD340</f>
        <v>0</v>
      </c>
      <c r="AF340">
        <f>セットアップレポート!AE340</f>
        <v>0</v>
      </c>
      <c r="AG340">
        <f>セットアップレポート!AF340</f>
        <v>0</v>
      </c>
      <c r="AH340">
        <f>セットアップレポート!AG340</f>
        <v>0</v>
      </c>
    </row>
    <row r="341" spans="1:34" x14ac:dyDescent="0.45">
      <c r="A341" t="str">
        <f t="shared" si="5"/>
        <v>L2-NPM060028L9000001027</v>
      </c>
      <c r="B341" t="str">
        <f>セットアップレポート!A341</f>
        <v>Line-2</v>
      </c>
      <c r="C341" t="str">
        <f>セットアップレポート!B341</f>
        <v>L2-NPM06</v>
      </c>
      <c r="D341" t="str">
        <f>セットアップレポート!C341</f>
        <v>Zone-2-NPMW-6</v>
      </c>
      <c r="E341">
        <f>セットアップレポート!D341</f>
        <v>1</v>
      </c>
      <c r="F341">
        <f>セットアップレポート!E341</f>
        <v>1</v>
      </c>
      <c r="G341" t="str">
        <f>セットアップレポート!F341</f>
        <v>20028L</v>
      </c>
      <c r="H341">
        <f>セットアップレポート!G341</f>
        <v>28</v>
      </c>
      <c r="I341" t="str">
        <f>セットアップレポート!H341</f>
        <v>L</v>
      </c>
      <c r="J341" t="str">
        <f>セットアップレポート!I341</f>
        <v>9000001027 100210</v>
      </c>
      <c r="K341">
        <f>セットアップレポート!J341</f>
        <v>9000001027</v>
      </c>
      <c r="L341">
        <f>セットアップレポート!K341</f>
        <v>0</v>
      </c>
      <c r="M341">
        <f>セットアップレポート!L341</f>
        <v>0</v>
      </c>
      <c r="N341">
        <f>セットアップレポート!M341</f>
        <v>0</v>
      </c>
      <c r="O341">
        <f>セットアップレポート!N341</f>
        <v>0</v>
      </c>
      <c r="P341" t="str">
        <f>セットアップレポート!O341</f>
        <v>FA0220AFA654241</v>
      </c>
      <c r="Q341">
        <f>セットアップレポート!P341</f>
        <v>1000</v>
      </c>
      <c r="R341">
        <f>セットアップレポート!Q341</f>
        <v>45946.526377314818</v>
      </c>
      <c r="S341">
        <f>セットアップレポート!R341</f>
        <v>0</v>
      </c>
      <c r="T341">
        <f>セットアップレポート!S341</f>
        <v>0</v>
      </c>
      <c r="U341">
        <f>セットアップレポート!T341</f>
        <v>0</v>
      </c>
      <c r="V341">
        <f>セットアップレポート!U341</f>
        <v>0</v>
      </c>
      <c r="W341">
        <f>セットアップレポート!V341</f>
        <v>0</v>
      </c>
      <c r="X341">
        <f>セットアップレポート!W341</f>
        <v>0</v>
      </c>
      <c r="Y341">
        <f>セットアップレポート!X341</f>
        <v>0</v>
      </c>
      <c r="Z341">
        <f>セットアップレポート!Y341</f>
        <v>0</v>
      </c>
      <c r="AA341">
        <f>セットアップレポート!Z341</f>
        <v>0</v>
      </c>
      <c r="AB341" t="str">
        <f>セットアップレポート!AA341</f>
        <v>NONE</v>
      </c>
      <c r="AC341">
        <f>セットアップレポート!AB341</f>
        <v>0</v>
      </c>
      <c r="AD341">
        <f>セットアップレポート!AC341</f>
        <v>0</v>
      </c>
      <c r="AE341">
        <f>セットアップレポート!AD341</f>
        <v>0</v>
      </c>
      <c r="AF341">
        <f>セットアップレポート!AE341</f>
        <v>0</v>
      </c>
      <c r="AG341">
        <f>セットアップレポート!AF341</f>
        <v>0</v>
      </c>
      <c r="AH341">
        <f>セットアップレポート!AG341</f>
        <v>0</v>
      </c>
    </row>
    <row r="342" spans="1:34" x14ac:dyDescent="0.45">
      <c r="A342" t="str">
        <f t="shared" si="5"/>
        <v>L2-NPM060029L9000003097</v>
      </c>
      <c r="B342" t="str">
        <f>セットアップレポート!A342</f>
        <v>Line-2</v>
      </c>
      <c r="C342" t="str">
        <f>セットアップレポート!B342</f>
        <v>L2-NPM06</v>
      </c>
      <c r="D342" t="str">
        <f>セットアップレポート!C342</f>
        <v>Zone-2-NPMW-6</v>
      </c>
      <c r="E342">
        <f>セットアップレポート!D342</f>
        <v>1</v>
      </c>
      <c r="F342">
        <f>セットアップレポート!E342</f>
        <v>1</v>
      </c>
      <c r="G342" t="str">
        <f>セットアップレポート!F342</f>
        <v>20029L</v>
      </c>
      <c r="H342">
        <f>セットアップレポート!G342</f>
        <v>29</v>
      </c>
      <c r="I342" t="str">
        <f>セットアップレポート!H342</f>
        <v>L</v>
      </c>
      <c r="J342" t="str">
        <f>セットアップレポート!I342</f>
        <v>9000003097 100030</v>
      </c>
      <c r="K342">
        <f>セットアップレポート!J342</f>
        <v>9000003097</v>
      </c>
      <c r="L342">
        <f>セットアップレポート!K342</f>
        <v>0</v>
      </c>
      <c r="M342">
        <f>セットアップレポート!L342</f>
        <v>0</v>
      </c>
      <c r="N342">
        <f>セットアップレポート!M342</f>
        <v>0</v>
      </c>
      <c r="O342">
        <f>セットアップレポート!N342</f>
        <v>0</v>
      </c>
      <c r="P342" t="str">
        <f>セットアップレポート!O342</f>
        <v>FA0230AEA373483</v>
      </c>
      <c r="Q342">
        <f>セットアップレポート!P342</f>
        <v>800</v>
      </c>
      <c r="R342">
        <f>セットアップレポート!Q342</f>
        <v>45950.474733796298</v>
      </c>
      <c r="S342">
        <f>セットアップレポート!R342</f>
        <v>0</v>
      </c>
      <c r="T342">
        <f>セットアップレポート!S342</f>
        <v>0</v>
      </c>
      <c r="U342">
        <f>セットアップレポート!T342</f>
        <v>0</v>
      </c>
      <c r="V342">
        <f>セットアップレポート!U342</f>
        <v>0</v>
      </c>
      <c r="W342">
        <f>セットアップレポート!V342</f>
        <v>0</v>
      </c>
      <c r="X342">
        <f>セットアップレポート!W342</f>
        <v>0</v>
      </c>
      <c r="Y342">
        <f>セットアップレポート!X342</f>
        <v>0</v>
      </c>
      <c r="Z342">
        <f>セットアップレポート!Y342</f>
        <v>0</v>
      </c>
      <c r="AA342">
        <f>セットアップレポート!Z342</f>
        <v>0</v>
      </c>
      <c r="AB342" t="str">
        <f>セットアップレポート!AA342</f>
        <v>NONE</v>
      </c>
      <c r="AC342">
        <f>セットアップレポート!AB342</f>
        <v>0</v>
      </c>
      <c r="AD342">
        <f>セットアップレポート!AC342</f>
        <v>0</v>
      </c>
      <c r="AE342">
        <f>セットアップレポート!AD342</f>
        <v>0</v>
      </c>
      <c r="AF342">
        <f>セットアップレポート!AE342</f>
        <v>0</v>
      </c>
      <c r="AG342">
        <f>セットアップレポート!AF342</f>
        <v>0</v>
      </c>
      <c r="AH342">
        <f>セットアップレポート!AG342</f>
        <v>0</v>
      </c>
    </row>
    <row r="343" spans="1:34" x14ac:dyDescent="0.45">
      <c r="A343" t="str">
        <f t="shared" si="5"/>
        <v>L2-NPM060030L917581</v>
      </c>
      <c r="B343" t="str">
        <f>セットアップレポート!A343</f>
        <v>Line-2</v>
      </c>
      <c r="C343" t="str">
        <f>セットアップレポート!B343</f>
        <v>L2-NPM06</v>
      </c>
      <c r="D343" t="str">
        <f>セットアップレポート!C343</f>
        <v>Zone-2-NPMW-6</v>
      </c>
      <c r="E343">
        <f>セットアップレポート!D343</f>
        <v>1</v>
      </c>
      <c r="F343">
        <f>セットアップレポート!E343</f>
        <v>1</v>
      </c>
      <c r="G343" t="str">
        <f>セットアップレポート!F343</f>
        <v>20030L</v>
      </c>
      <c r="H343">
        <f>セットアップレポート!G343</f>
        <v>30</v>
      </c>
      <c r="I343" t="str">
        <f>セットアップレポート!H343</f>
        <v>L</v>
      </c>
      <c r="J343" t="str">
        <f>セットアップレポート!I343</f>
        <v>917581 101137</v>
      </c>
      <c r="K343">
        <f>セットアップレポート!J343</f>
        <v>917581</v>
      </c>
      <c r="L343">
        <f>セットアップレポート!K343</f>
        <v>0</v>
      </c>
      <c r="M343">
        <f>セットアップレポート!L343</f>
        <v>0</v>
      </c>
      <c r="N343">
        <f>セットアップレポート!M343</f>
        <v>0</v>
      </c>
      <c r="O343">
        <f>セットアップレポート!N343</f>
        <v>0</v>
      </c>
      <c r="P343" t="str">
        <f>セットアップレポート!O343</f>
        <v>FA0220AFA654030</v>
      </c>
      <c r="Q343">
        <f>セットアップレポート!P343</f>
        <v>900</v>
      </c>
      <c r="R343">
        <f>セットアップレポート!Q343</f>
        <v>45937.567893518521</v>
      </c>
      <c r="S343">
        <f>セットアップレポート!R343</f>
        <v>0</v>
      </c>
      <c r="T343">
        <f>セットアップレポート!S343</f>
        <v>0</v>
      </c>
      <c r="U343">
        <f>セットアップレポート!T343</f>
        <v>0</v>
      </c>
      <c r="V343">
        <f>セットアップレポート!U343</f>
        <v>0</v>
      </c>
      <c r="W343">
        <f>セットアップレポート!V343</f>
        <v>0</v>
      </c>
      <c r="X343">
        <f>セットアップレポート!W343</f>
        <v>0</v>
      </c>
      <c r="Y343">
        <f>セットアップレポート!X343</f>
        <v>0</v>
      </c>
      <c r="Z343">
        <f>セットアップレポート!Y343</f>
        <v>0</v>
      </c>
      <c r="AA343">
        <f>セットアップレポート!Z343</f>
        <v>0</v>
      </c>
      <c r="AB343" t="str">
        <f>セットアップレポート!AA343</f>
        <v>NONE</v>
      </c>
      <c r="AC343">
        <f>セットアップレポート!AB343</f>
        <v>0</v>
      </c>
      <c r="AD343">
        <f>セットアップレポート!AC343</f>
        <v>0</v>
      </c>
      <c r="AE343">
        <f>セットアップレポート!AD343</f>
        <v>0</v>
      </c>
      <c r="AF343">
        <f>セットアップレポート!AE343</f>
        <v>0</v>
      </c>
      <c r="AG343">
        <f>セットアップレポート!AF343</f>
        <v>0</v>
      </c>
      <c r="AH343">
        <f>セットアップレポート!AG343</f>
        <v>0</v>
      </c>
    </row>
    <row r="344" spans="1:34" x14ac:dyDescent="0.45">
      <c r="A344" t="str">
        <f t="shared" si="5"/>
        <v>L2-NPM070001L9000064891</v>
      </c>
      <c r="B344" t="str">
        <f>セットアップレポート!A344</f>
        <v>Line-2</v>
      </c>
      <c r="C344" t="str">
        <f>セットアップレポート!B344</f>
        <v>L2-NPM07</v>
      </c>
      <c r="D344" t="str">
        <f>セットアップレポート!C344</f>
        <v>Zone-2-NPMW-7</v>
      </c>
      <c r="E344">
        <f>セットアップレポート!D344</f>
        <v>1</v>
      </c>
      <c r="F344">
        <f>セットアップレポート!E344</f>
        <v>1</v>
      </c>
      <c r="G344" t="str">
        <f>セットアップレポート!F344</f>
        <v>10001L</v>
      </c>
      <c r="H344">
        <f>セットアップレポート!G344</f>
        <v>1</v>
      </c>
      <c r="I344" t="str">
        <f>セットアップレポート!H344</f>
        <v>L</v>
      </c>
      <c r="J344" t="str">
        <f>セットアップレポート!I344</f>
        <v>9000064891 100105</v>
      </c>
      <c r="K344">
        <f>セットアップレポート!J344</f>
        <v>9000064891</v>
      </c>
      <c r="L344">
        <f>セットアップレポート!K344</f>
        <v>0</v>
      </c>
      <c r="M344">
        <f>セットアップレポート!L344</f>
        <v>0</v>
      </c>
      <c r="N344">
        <f>セットアップレポート!M344</f>
        <v>0</v>
      </c>
      <c r="O344">
        <f>セットアップレポート!N344</f>
        <v>0</v>
      </c>
      <c r="P344" t="str">
        <f>セットアップレポート!O344</f>
        <v>FA0201ABA002322</v>
      </c>
      <c r="Q344">
        <f>セットアップレポート!P344</f>
        <v>3000</v>
      </c>
      <c r="R344">
        <f>セットアップレポート!Q344</f>
        <v>45950.474363425928</v>
      </c>
      <c r="S344">
        <f>セットアップレポート!R344</f>
        <v>0</v>
      </c>
      <c r="T344">
        <f>セットアップレポート!S344</f>
        <v>0</v>
      </c>
      <c r="U344">
        <f>セットアップレポート!T344</f>
        <v>0</v>
      </c>
      <c r="V344">
        <f>セットアップレポート!U344</f>
        <v>0</v>
      </c>
      <c r="W344">
        <f>セットアップレポート!V344</f>
        <v>0</v>
      </c>
      <c r="X344">
        <f>セットアップレポート!W344</f>
        <v>0</v>
      </c>
      <c r="Y344">
        <f>セットアップレポート!X344</f>
        <v>0</v>
      </c>
      <c r="Z344">
        <f>セットアップレポート!Y344</f>
        <v>0</v>
      </c>
      <c r="AA344">
        <f>セットアップレポート!Z344</f>
        <v>0</v>
      </c>
      <c r="AB344" t="str">
        <f>セットアップレポート!AA344</f>
        <v>NONE</v>
      </c>
      <c r="AC344">
        <f>セットアップレポート!AB344</f>
        <v>0</v>
      </c>
      <c r="AD344">
        <f>セットアップレポート!AC344</f>
        <v>0</v>
      </c>
      <c r="AE344">
        <f>セットアップレポート!AD344</f>
        <v>0</v>
      </c>
      <c r="AF344">
        <f>セットアップレポート!AE344</f>
        <v>0</v>
      </c>
      <c r="AG344">
        <f>セットアップレポート!AF344</f>
        <v>0</v>
      </c>
      <c r="AH344">
        <f>セットアップレポート!AG344</f>
        <v>0</v>
      </c>
    </row>
    <row r="345" spans="1:34" x14ac:dyDescent="0.45">
      <c r="A345" t="str">
        <f t="shared" si="5"/>
        <v>L2-NPM070003L9000053719</v>
      </c>
      <c r="B345" t="str">
        <f>セットアップレポート!A345</f>
        <v>Line-2</v>
      </c>
      <c r="C345" t="str">
        <f>セットアップレポート!B345</f>
        <v>L2-NPM07</v>
      </c>
      <c r="D345" t="str">
        <f>セットアップレポート!C345</f>
        <v>Zone-2-NPMW-7</v>
      </c>
      <c r="E345">
        <f>セットアップレポート!D345</f>
        <v>1</v>
      </c>
      <c r="F345">
        <f>セットアップレポート!E345</f>
        <v>1</v>
      </c>
      <c r="G345" t="str">
        <f>セットアップレポート!F345</f>
        <v>10003L</v>
      </c>
      <c r="H345">
        <f>セットアップレポート!G345</f>
        <v>3</v>
      </c>
      <c r="I345" t="str">
        <f>セットアップレポート!H345</f>
        <v>L</v>
      </c>
      <c r="J345" t="str">
        <f>セットアップレポート!I345</f>
        <v>9000053719 100008</v>
      </c>
      <c r="K345">
        <f>セットアップレポート!J345</f>
        <v>9000053719</v>
      </c>
      <c r="L345">
        <f>セットアップレポート!K345</f>
        <v>0</v>
      </c>
      <c r="M345">
        <f>セットアップレポート!L345</f>
        <v>0</v>
      </c>
      <c r="N345">
        <f>セットアップレポート!M345</f>
        <v>0</v>
      </c>
      <c r="O345">
        <f>セットアップレポート!N345</f>
        <v>0</v>
      </c>
      <c r="P345" t="str">
        <f>セットアップレポート!O345</f>
        <v>FA0220AFA653992</v>
      </c>
      <c r="Q345">
        <f>セットアップレポート!P345</f>
        <v>3000</v>
      </c>
      <c r="R345">
        <f>セットアップレポート!Q345</f>
        <v>45932.590995370374</v>
      </c>
      <c r="S345">
        <f>セットアップレポート!R345</f>
        <v>0</v>
      </c>
      <c r="T345">
        <f>セットアップレポート!S345</f>
        <v>0</v>
      </c>
      <c r="U345">
        <f>セットアップレポート!T345</f>
        <v>0</v>
      </c>
      <c r="V345">
        <f>セットアップレポート!U345</f>
        <v>0</v>
      </c>
      <c r="W345">
        <f>セットアップレポート!V345</f>
        <v>0</v>
      </c>
      <c r="X345">
        <f>セットアップレポート!W345</f>
        <v>0</v>
      </c>
      <c r="Y345">
        <f>セットアップレポート!X345</f>
        <v>0</v>
      </c>
      <c r="Z345">
        <f>セットアップレポート!Y345</f>
        <v>0</v>
      </c>
      <c r="AA345">
        <f>セットアップレポート!Z345</f>
        <v>0</v>
      </c>
      <c r="AB345" t="str">
        <f>セットアップレポート!AA345</f>
        <v>NONE</v>
      </c>
      <c r="AC345">
        <f>セットアップレポート!AB345</f>
        <v>0</v>
      </c>
      <c r="AD345">
        <f>セットアップレポート!AC345</f>
        <v>0</v>
      </c>
      <c r="AE345">
        <f>セットアップレポート!AD345</f>
        <v>0</v>
      </c>
      <c r="AF345">
        <f>セットアップレポート!AE345</f>
        <v>0</v>
      </c>
      <c r="AG345">
        <f>セットアップレポート!AF345</f>
        <v>0</v>
      </c>
      <c r="AH345">
        <f>セットアップレポート!AG345</f>
        <v>0</v>
      </c>
    </row>
    <row r="346" spans="1:34" x14ac:dyDescent="0.45">
      <c r="A346" t="str">
        <f t="shared" si="5"/>
        <v>L2-NPM070004L9000070305</v>
      </c>
      <c r="B346" t="str">
        <f>セットアップレポート!A346</f>
        <v>Line-2</v>
      </c>
      <c r="C346" t="str">
        <f>セットアップレポート!B346</f>
        <v>L2-NPM07</v>
      </c>
      <c r="D346" t="str">
        <f>セットアップレポート!C346</f>
        <v>Zone-2-NPMW-7</v>
      </c>
      <c r="E346">
        <f>セットアップレポート!D346</f>
        <v>1</v>
      </c>
      <c r="F346">
        <f>セットアップレポート!E346</f>
        <v>1</v>
      </c>
      <c r="G346" t="str">
        <f>セットアップレポート!F346</f>
        <v>10004L</v>
      </c>
      <c r="H346">
        <f>セットアップレポート!G346</f>
        <v>4</v>
      </c>
      <c r="I346" t="str">
        <f>セットアップレポート!H346</f>
        <v>L</v>
      </c>
      <c r="J346" t="str">
        <f>セットアップレポート!I346</f>
        <v>9000070305 100003</v>
      </c>
      <c r="K346">
        <f>セットアップレポート!J346</f>
        <v>9000070305</v>
      </c>
      <c r="L346">
        <f>セットアップレポート!K346</f>
        <v>0</v>
      </c>
      <c r="M346">
        <f>セットアップレポート!L346</f>
        <v>0</v>
      </c>
      <c r="N346">
        <f>セットアップレポート!M346</f>
        <v>0</v>
      </c>
      <c r="O346">
        <f>セットアップレポート!N346</f>
        <v>0</v>
      </c>
      <c r="P346" t="str">
        <f>セットアップレポート!O346</f>
        <v>FA0220ADF311845</v>
      </c>
      <c r="Q346">
        <f>セットアップレポート!P346</f>
        <v>831</v>
      </c>
      <c r="R346">
        <f>セットアップレポート!Q346</f>
        <v>45950.474363425928</v>
      </c>
      <c r="S346">
        <f>セットアップレポート!R346</f>
        <v>0</v>
      </c>
      <c r="T346">
        <f>セットアップレポート!S346</f>
        <v>0</v>
      </c>
      <c r="U346">
        <f>セットアップレポート!T346</f>
        <v>0</v>
      </c>
      <c r="V346">
        <f>セットアップレポート!U346</f>
        <v>0</v>
      </c>
      <c r="W346">
        <f>セットアップレポート!V346</f>
        <v>0</v>
      </c>
      <c r="X346">
        <f>セットアップレポート!W346</f>
        <v>0</v>
      </c>
      <c r="Y346">
        <f>セットアップレポート!X346</f>
        <v>0</v>
      </c>
      <c r="Z346">
        <f>セットアップレポート!Y346</f>
        <v>0</v>
      </c>
      <c r="AA346">
        <f>セットアップレポート!Z346</f>
        <v>0</v>
      </c>
      <c r="AB346" t="str">
        <f>セットアップレポート!AA346</f>
        <v>NONE</v>
      </c>
      <c r="AC346">
        <f>セットアップレポート!AB346</f>
        <v>0</v>
      </c>
      <c r="AD346">
        <f>セットアップレポート!AC346</f>
        <v>0</v>
      </c>
      <c r="AE346">
        <f>セットアップレポート!AD346</f>
        <v>0</v>
      </c>
      <c r="AF346">
        <f>セットアップレポート!AE346</f>
        <v>0</v>
      </c>
      <c r="AG346">
        <f>セットアップレポート!AF346</f>
        <v>0</v>
      </c>
      <c r="AH346">
        <f>セットアップレポート!AG346</f>
        <v>0</v>
      </c>
    </row>
    <row r="347" spans="1:34" x14ac:dyDescent="0.45">
      <c r="A347" t="str">
        <f t="shared" si="5"/>
        <v>L2-NPM070005L9000053701</v>
      </c>
      <c r="B347" t="str">
        <f>セットアップレポート!A347</f>
        <v>Line-2</v>
      </c>
      <c r="C347" t="str">
        <f>セットアップレポート!B347</f>
        <v>L2-NPM07</v>
      </c>
      <c r="D347" t="str">
        <f>セットアップレポート!C347</f>
        <v>Zone-2-NPMW-7</v>
      </c>
      <c r="E347">
        <f>セットアップレポート!D347</f>
        <v>1</v>
      </c>
      <c r="F347">
        <f>セットアップレポート!E347</f>
        <v>1</v>
      </c>
      <c r="G347" t="str">
        <f>セットアップレポート!F347</f>
        <v>10005L</v>
      </c>
      <c r="H347">
        <f>セットアップレポート!G347</f>
        <v>5</v>
      </c>
      <c r="I347" t="str">
        <f>セットアップレポート!H347</f>
        <v>L</v>
      </c>
      <c r="J347" t="str">
        <f>セットアップレポート!I347</f>
        <v>9000053701 100099</v>
      </c>
      <c r="K347">
        <f>セットアップレポート!J347</f>
        <v>9000053701</v>
      </c>
      <c r="L347">
        <f>セットアップレポート!K347</f>
        <v>0</v>
      </c>
      <c r="M347">
        <f>セットアップレポート!L347</f>
        <v>0</v>
      </c>
      <c r="N347">
        <f>セットアップレポート!M347</f>
        <v>0</v>
      </c>
      <c r="O347">
        <f>セットアップレポート!N347</f>
        <v>0</v>
      </c>
      <c r="P347" t="str">
        <f>セットアップレポート!O347</f>
        <v>FA0220AFA654324</v>
      </c>
      <c r="Q347">
        <f>セットアップレポート!P347</f>
        <v>3000</v>
      </c>
      <c r="R347">
        <f>セットアップレポート!Q347</f>
        <v>45947.752418981479</v>
      </c>
      <c r="S347">
        <f>セットアップレポート!R347</f>
        <v>0</v>
      </c>
      <c r="T347">
        <f>セットアップレポート!S347</f>
        <v>0</v>
      </c>
      <c r="U347">
        <f>セットアップレポート!T347</f>
        <v>0</v>
      </c>
      <c r="V347">
        <f>セットアップレポート!U347</f>
        <v>0</v>
      </c>
      <c r="W347">
        <f>セットアップレポート!V347</f>
        <v>0</v>
      </c>
      <c r="X347">
        <f>セットアップレポート!W347</f>
        <v>0</v>
      </c>
      <c r="Y347">
        <f>セットアップレポート!X347</f>
        <v>0</v>
      </c>
      <c r="Z347">
        <f>セットアップレポート!Y347</f>
        <v>0</v>
      </c>
      <c r="AA347">
        <f>セットアップレポート!Z347</f>
        <v>0</v>
      </c>
      <c r="AB347" t="str">
        <f>セットアップレポート!AA347</f>
        <v>NONE</v>
      </c>
      <c r="AC347">
        <f>セットアップレポート!AB347</f>
        <v>0</v>
      </c>
      <c r="AD347">
        <f>セットアップレポート!AC347</f>
        <v>0</v>
      </c>
      <c r="AE347">
        <f>セットアップレポート!AD347</f>
        <v>0</v>
      </c>
      <c r="AF347">
        <f>セットアップレポート!AE347</f>
        <v>0</v>
      </c>
      <c r="AG347">
        <f>セットアップレポート!AF347</f>
        <v>0</v>
      </c>
      <c r="AH347">
        <f>セットアップレポート!AG347</f>
        <v>0</v>
      </c>
    </row>
    <row r="348" spans="1:34" x14ac:dyDescent="0.45">
      <c r="A348" t="str">
        <f t="shared" si="5"/>
        <v>L2-NPM070006L930878</v>
      </c>
      <c r="B348" t="str">
        <f>セットアップレポート!A348</f>
        <v>Line-2</v>
      </c>
      <c r="C348" t="str">
        <f>セットアップレポート!B348</f>
        <v>L2-NPM07</v>
      </c>
      <c r="D348" t="str">
        <f>セットアップレポート!C348</f>
        <v>Zone-2-NPMW-7</v>
      </c>
      <c r="E348">
        <f>セットアップレポート!D348</f>
        <v>1</v>
      </c>
      <c r="F348">
        <f>セットアップレポート!E348</f>
        <v>1</v>
      </c>
      <c r="G348" t="str">
        <f>セットアップレポート!F348</f>
        <v>10006L</v>
      </c>
      <c r="H348">
        <f>セットアップレポート!G348</f>
        <v>6</v>
      </c>
      <c r="I348" t="str">
        <f>セットアップレポート!H348</f>
        <v>L</v>
      </c>
      <c r="J348" t="str">
        <f>セットアップレポート!I348</f>
        <v>930878 100158</v>
      </c>
      <c r="K348">
        <f>セットアップレポート!J348</f>
        <v>930878</v>
      </c>
      <c r="L348">
        <f>セットアップレポート!K348</f>
        <v>0</v>
      </c>
      <c r="M348">
        <f>セットアップレポート!L348</f>
        <v>0</v>
      </c>
      <c r="N348">
        <f>セットアップレポート!M348</f>
        <v>0</v>
      </c>
      <c r="O348">
        <f>セットアップレポート!N348</f>
        <v>0</v>
      </c>
      <c r="P348" t="str">
        <f>セットアップレポート!O348</f>
        <v>FA0230AEA373482</v>
      </c>
      <c r="Q348">
        <f>セットアップレポート!P348</f>
        <v>1000</v>
      </c>
      <c r="R348">
        <f>セットアップレポート!Q348</f>
        <v>45932.372499999998</v>
      </c>
      <c r="S348">
        <f>セットアップレポート!R348</f>
        <v>0</v>
      </c>
      <c r="T348" t="str">
        <f>セットアップレポート!S348</f>
        <v>Yes</v>
      </c>
      <c r="U348">
        <f>セットアップレポート!T348</f>
        <v>0</v>
      </c>
      <c r="V348" t="str">
        <f>セットアップレポート!U348</f>
        <v>930878 100162</v>
      </c>
      <c r="W348">
        <f>セットアップレポート!V348</f>
        <v>0</v>
      </c>
      <c r="X348">
        <f>セットアップレポート!W348</f>
        <v>0</v>
      </c>
      <c r="Y348">
        <f>セットアップレポート!X348</f>
        <v>0</v>
      </c>
      <c r="Z348">
        <f>セットアップレポート!Y348</f>
        <v>0</v>
      </c>
      <c r="AA348">
        <f>セットアップレポート!Z348</f>
        <v>0</v>
      </c>
      <c r="AB348" t="str">
        <f>セットアップレポート!AA348</f>
        <v>NONE</v>
      </c>
      <c r="AC348">
        <f>セットアップレポート!AB348</f>
        <v>0</v>
      </c>
      <c r="AD348">
        <f>セットアップレポート!AC348</f>
        <v>0</v>
      </c>
      <c r="AE348">
        <f>セットアップレポート!AD348</f>
        <v>0</v>
      </c>
      <c r="AF348">
        <f>セットアップレポート!AE348</f>
        <v>0</v>
      </c>
      <c r="AG348">
        <f>セットアップレポート!AF348</f>
        <v>0</v>
      </c>
      <c r="AH348">
        <f>セットアップレポート!AG348</f>
        <v>0</v>
      </c>
    </row>
    <row r="349" spans="1:34" x14ac:dyDescent="0.45">
      <c r="A349" t="str">
        <f t="shared" si="5"/>
        <v>L2-NPM070007L9000054986</v>
      </c>
      <c r="B349" t="str">
        <f>セットアップレポート!A349</f>
        <v>Line-2</v>
      </c>
      <c r="C349" t="str">
        <f>セットアップレポート!B349</f>
        <v>L2-NPM07</v>
      </c>
      <c r="D349" t="str">
        <f>セットアップレポート!C349</f>
        <v>Zone-2-NPMW-7</v>
      </c>
      <c r="E349">
        <f>セットアップレポート!D349</f>
        <v>1</v>
      </c>
      <c r="F349">
        <f>セットアップレポート!E349</f>
        <v>1</v>
      </c>
      <c r="G349" t="str">
        <f>セットアップレポート!F349</f>
        <v>10007L</v>
      </c>
      <c r="H349">
        <f>セットアップレポート!G349</f>
        <v>7</v>
      </c>
      <c r="I349" t="str">
        <f>セットアップレポート!H349</f>
        <v>L</v>
      </c>
      <c r="J349" t="str">
        <f>セットアップレポート!I349</f>
        <v>9000054986 100081</v>
      </c>
      <c r="K349">
        <f>セットアップレポート!J349</f>
        <v>9000054986</v>
      </c>
      <c r="L349">
        <f>セットアップレポート!K349</f>
        <v>0</v>
      </c>
      <c r="M349">
        <f>セットアップレポート!L349</f>
        <v>0</v>
      </c>
      <c r="N349">
        <f>セットアップレポート!M349</f>
        <v>0</v>
      </c>
      <c r="O349">
        <f>セットアップレポート!N349</f>
        <v>0</v>
      </c>
      <c r="P349" t="str">
        <f>セットアップレポート!O349</f>
        <v>FA0440ADF301203</v>
      </c>
      <c r="Q349">
        <f>セットアップレポート!P349</f>
        <v>1100</v>
      </c>
      <c r="R349">
        <f>セットアップレポート!Q349</f>
        <v>45933.518240740741</v>
      </c>
      <c r="S349">
        <f>セットアップレポート!R349</f>
        <v>0</v>
      </c>
      <c r="T349">
        <f>セットアップレポート!S349</f>
        <v>0</v>
      </c>
      <c r="U349">
        <f>セットアップレポート!T349</f>
        <v>0</v>
      </c>
      <c r="V349">
        <f>セットアップレポート!U349</f>
        <v>0</v>
      </c>
      <c r="W349">
        <f>セットアップレポート!V349</f>
        <v>0</v>
      </c>
      <c r="X349">
        <f>セットアップレポート!W349</f>
        <v>0</v>
      </c>
      <c r="Y349">
        <f>セットアップレポート!X349</f>
        <v>0</v>
      </c>
      <c r="Z349">
        <f>セットアップレポート!Y349</f>
        <v>0</v>
      </c>
      <c r="AA349">
        <f>セットアップレポート!Z349</f>
        <v>0</v>
      </c>
      <c r="AB349" t="str">
        <f>セットアップレポート!AA349</f>
        <v>NONE</v>
      </c>
      <c r="AC349">
        <f>セットアップレポート!AB349</f>
        <v>0</v>
      </c>
      <c r="AD349">
        <f>セットアップレポート!AC349</f>
        <v>0</v>
      </c>
      <c r="AE349">
        <f>セットアップレポート!AD349</f>
        <v>0</v>
      </c>
      <c r="AF349">
        <f>セットアップレポート!AE349</f>
        <v>0</v>
      </c>
      <c r="AG349">
        <f>セットアップレポート!AF349</f>
        <v>0</v>
      </c>
      <c r="AH349">
        <f>セットアップレポート!AG349</f>
        <v>0</v>
      </c>
    </row>
    <row r="350" spans="1:34" x14ac:dyDescent="0.45">
      <c r="A350" t="str">
        <f t="shared" si="5"/>
        <v>L2-NPM070008L9000069621</v>
      </c>
      <c r="B350" t="str">
        <f>セットアップレポート!A350</f>
        <v>Line-2</v>
      </c>
      <c r="C350" t="str">
        <f>セットアップレポート!B350</f>
        <v>L2-NPM07</v>
      </c>
      <c r="D350" t="str">
        <f>セットアップレポート!C350</f>
        <v>Zone-2-NPMW-7</v>
      </c>
      <c r="E350">
        <f>セットアップレポート!D350</f>
        <v>1</v>
      </c>
      <c r="F350">
        <f>セットアップレポート!E350</f>
        <v>1</v>
      </c>
      <c r="G350" t="str">
        <f>セットアップレポート!F350</f>
        <v>10008L</v>
      </c>
      <c r="H350">
        <f>セットアップレポート!G350</f>
        <v>8</v>
      </c>
      <c r="I350" t="str">
        <f>セットアップレポート!H350</f>
        <v>L</v>
      </c>
      <c r="J350" t="str">
        <f>セットアップレポート!I350</f>
        <v>9000069621 100009</v>
      </c>
      <c r="K350">
        <f>セットアップレポート!J350</f>
        <v>9000069621</v>
      </c>
      <c r="L350">
        <f>セットアップレポート!K350</f>
        <v>0</v>
      </c>
      <c r="M350">
        <f>セットアップレポート!L350</f>
        <v>0</v>
      </c>
      <c r="N350">
        <f>セットアップレポート!M350</f>
        <v>0</v>
      </c>
      <c r="O350">
        <f>セットアップレポート!N350</f>
        <v>0</v>
      </c>
      <c r="P350" t="str">
        <f>セットアップレポート!O350</f>
        <v>FA0430ABH314565</v>
      </c>
      <c r="Q350">
        <f>セットアップレポート!P350</f>
        <v>700</v>
      </c>
      <c r="R350">
        <f>セットアップレポート!Q350</f>
        <v>45932.403668981482</v>
      </c>
      <c r="S350">
        <f>セットアップレポート!R350</f>
        <v>0</v>
      </c>
      <c r="T350">
        <f>セットアップレポート!S350</f>
        <v>0</v>
      </c>
      <c r="U350">
        <f>セットアップレポート!T350</f>
        <v>0</v>
      </c>
      <c r="V350">
        <f>セットアップレポート!U350</f>
        <v>0</v>
      </c>
      <c r="W350">
        <f>セットアップレポート!V350</f>
        <v>0</v>
      </c>
      <c r="X350">
        <f>セットアップレポート!W350</f>
        <v>0</v>
      </c>
      <c r="Y350">
        <f>セットアップレポート!X350</f>
        <v>0</v>
      </c>
      <c r="Z350">
        <f>セットアップレポート!Y350</f>
        <v>0</v>
      </c>
      <c r="AA350">
        <f>セットアップレポート!Z350</f>
        <v>0</v>
      </c>
      <c r="AB350" t="str">
        <f>セットアップレポート!AA350</f>
        <v>NONE</v>
      </c>
      <c r="AC350">
        <f>セットアップレポート!AB350</f>
        <v>0</v>
      </c>
      <c r="AD350">
        <f>セットアップレポート!AC350</f>
        <v>0</v>
      </c>
      <c r="AE350">
        <f>セットアップレポート!AD350</f>
        <v>0</v>
      </c>
      <c r="AF350">
        <f>セットアップレポート!AE350</f>
        <v>0</v>
      </c>
      <c r="AG350">
        <f>セットアップレポート!AF350</f>
        <v>0</v>
      </c>
      <c r="AH350">
        <f>セットアップレポート!AG350</f>
        <v>0</v>
      </c>
    </row>
    <row r="351" spans="1:34" x14ac:dyDescent="0.45">
      <c r="A351" t="str">
        <f t="shared" si="5"/>
        <v>L2-NPM070010L9000064911</v>
      </c>
      <c r="B351" t="str">
        <f>セットアップレポート!A351</f>
        <v>Line-2</v>
      </c>
      <c r="C351" t="str">
        <f>セットアップレポート!B351</f>
        <v>L2-NPM07</v>
      </c>
      <c r="D351" t="str">
        <f>セットアップレポート!C351</f>
        <v>Zone-2-NPMW-7</v>
      </c>
      <c r="E351">
        <f>セットアップレポート!D351</f>
        <v>1</v>
      </c>
      <c r="F351">
        <f>セットアップレポート!E351</f>
        <v>1</v>
      </c>
      <c r="G351" t="str">
        <f>セットアップレポート!F351</f>
        <v>10010L</v>
      </c>
      <c r="H351">
        <f>セットアップレポート!G351</f>
        <v>10</v>
      </c>
      <c r="I351" t="str">
        <f>セットアップレポート!H351</f>
        <v>L</v>
      </c>
      <c r="J351" t="str">
        <f>セットアップレポート!I351</f>
        <v>9000064911 100012</v>
      </c>
      <c r="K351">
        <f>セットアップレポート!J351</f>
        <v>9000064911</v>
      </c>
      <c r="L351">
        <f>セットアップレポート!K351</f>
        <v>0</v>
      </c>
      <c r="M351">
        <f>セットアップレポート!L351</f>
        <v>0</v>
      </c>
      <c r="N351">
        <f>セットアップレポート!M351</f>
        <v>0</v>
      </c>
      <c r="O351">
        <f>セットアップレポート!N351</f>
        <v>0</v>
      </c>
      <c r="P351" t="str">
        <f>セットアップレポート!O351</f>
        <v>FA0230AEA373480</v>
      </c>
      <c r="Q351">
        <f>セットアップレポート!P351</f>
        <v>1300</v>
      </c>
      <c r="R351">
        <f>セットアップレポート!Q351</f>
        <v>45950.474363425928</v>
      </c>
      <c r="S351">
        <f>セットアップレポート!R351</f>
        <v>0</v>
      </c>
      <c r="T351">
        <f>セットアップレポート!S351</f>
        <v>0</v>
      </c>
      <c r="U351">
        <f>セットアップレポート!T351</f>
        <v>0</v>
      </c>
      <c r="V351">
        <f>セットアップレポート!U351</f>
        <v>0</v>
      </c>
      <c r="W351">
        <f>セットアップレポート!V351</f>
        <v>0</v>
      </c>
      <c r="X351">
        <f>セットアップレポート!W351</f>
        <v>0</v>
      </c>
      <c r="Y351">
        <f>セットアップレポート!X351</f>
        <v>0</v>
      </c>
      <c r="Z351">
        <f>セットアップレポート!Y351</f>
        <v>0</v>
      </c>
      <c r="AA351">
        <f>セットアップレポート!Z351</f>
        <v>0</v>
      </c>
      <c r="AB351" t="str">
        <f>セットアップレポート!AA351</f>
        <v>NONE</v>
      </c>
      <c r="AC351">
        <f>セットアップレポート!AB351</f>
        <v>0</v>
      </c>
      <c r="AD351">
        <f>セットアップレポート!AC351</f>
        <v>0</v>
      </c>
      <c r="AE351">
        <f>セットアップレポート!AD351</f>
        <v>0</v>
      </c>
      <c r="AF351">
        <f>セットアップレポート!AE351</f>
        <v>0</v>
      </c>
      <c r="AG351">
        <f>セットアップレポート!AF351</f>
        <v>0</v>
      </c>
      <c r="AH351">
        <f>セットアップレポート!AG351</f>
        <v>0</v>
      </c>
    </row>
    <row r="352" spans="1:34" x14ac:dyDescent="0.45">
      <c r="A352" t="str">
        <f t="shared" si="5"/>
        <v>L2-NPM070012L9000028364</v>
      </c>
      <c r="B352" t="str">
        <f>セットアップレポート!A352</f>
        <v>Line-2</v>
      </c>
      <c r="C352" t="str">
        <f>セットアップレポート!B352</f>
        <v>L2-NPM07</v>
      </c>
      <c r="D352" t="str">
        <f>セットアップレポート!C352</f>
        <v>Zone-2-NPMW-7</v>
      </c>
      <c r="E352">
        <f>セットアップレポート!D352</f>
        <v>1</v>
      </c>
      <c r="F352">
        <f>セットアップレポート!E352</f>
        <v>1</v>
      </c>
      <c r="G352" t="str">
        <f>セットアップレポート!F352</f>
        <v>10012L</v>
      </c>
      <c r="H352">
        <f>セットアップレポート!G352</f>
        <v>12</v>
      </c>
      <c r="I352" t="str">
        <f>セットアップレポート!H352</f>
        <v>L</v>
      </c>
      <c r="J352" t="str">
        <f>セットアップレポート!I352</f>
        <v>9000028364 100444</v>
      </c>
      <c r="K352">
        <f>セットアップレポート!J352</f>
        <v>9000028364</v>
      </c>
      <c r="L352">
        <f>セットアップレポート!K352</f>
        <v>0</v>
      </c>
      <c r="M352">
        <f>セットアップレポート!L352</f>
        <v>0</v>
      </c>
      <c r="N352">
        <f>セットアップレポート!M352</f>
        <v>0</v>
      </c>
      <c r="O352">
        <f>セットアップレポート!N352</f>
        <v>0</v>
      </c>
      <c r="P352" t="str">
        <f>セットアップレポート!O352</f>
        <v>FA0430ABH314505</v>
      </c>
      <c r="Q352">
        <f>セットアップレポート!P352</f>
        <v>500</v>
      </c>
      <c r="R352">
        <f>セットアップレポート!Q352</f>
        <v>45932.372499999998</v>
      </c>
      <c r="S352">
        <f>セットアップレポート!R352</f>
        <v>0</v>
      </c>
      <c r="T352">
        <f>セットアップレポート!S352</f>
        <v>0</v>
      </c>
      <c r="U352">
        <f>セットアップレポート!T352</f>
        <v>0</v>
      </c>
      <c r="V352">
        <f>セットアップレポート!U352</f>
        <v>0</v>
      </c>
      <c r="W352">
        <f>セットアップレポート!V352</f>
        <v>0</v>
      </c>
      <c r="X352">
        <f>セットアップレポート!W352</f>
        <v>0</v>
      </c>
      <c r="Y352">
        <f>セットアップレポート!X352</f>
        <v>0</v>
      </c>
      <c r="Z352">
        <f>セットアップレポート!Y352</f>
        <v>0</v>
      </c>
      <c r="AA352">
        <f>セットアップレポート!Z352</f>
        <v>0</v>
      </c>
      <c r="AB352" t="str">
        <f>セットアップレポート!AA352</f>
        <v>NONE</v>
      </c>
      <c r="AC352">
        <f>セットアップレポート!AB352</f>
        <v>0</v>
      </c>
      <c r="AD352">
        <f>セットアップレポート!AC352</f>
        <v>0</v>
      </c>
      <c r="AE352">
        <f>セットアップレポート!AD352</f>
        <v>0</v>
      </c>
      <c r="AF352">
        <f>セットアップレポート!AE352</f>
        <v>0</v>
      </c>
      <c r="AG352">
        <f>セットアップレポート!AF352</f>
        <v>0</v>
      </c>
      <c r="AH352">
        <f>セットアップレポート!AG352</f>
        <v>0</v>
      </c>
    </row>
    <row r="353" spans="1:34" x14ac:dyDescent="0.45">
      <c r="A353" t="str">
        <f t="shared" si="5"/>
        <v>L2-NPM070013L911578B</v>
      </c>
      <c r="B353" t="str">
        <f>セットアップレポート!A353</f>
        <v>Line-2</v>
      </c>
      <c r="C353" t="str">
        <f>セットアップレポート!B353</f>
        <v>L2-NPM07</v>
      </c>
      <c r="D353" t="str">
        <f>セットアップレポート!C353</f>
        <v>Zone-2-NPMW-7</v>
      </c>
      <c r="E353">
        <f>セットアップレポート!D353</f>
        <v>1</v>
      </c>
      <c r="F353">
        <f>セットアップレポート!E353</f>
        <v>1</v>
      </c>
      <c r="G353" t="str">
        <f>セットアップレポート!F353</f>
        <v>10013L</v>
      </c>
      <c r="H353">
        <f>セットアップレポート!G353</f>
        <v>13</v>
      </c>
      <c r="I353" t="str">
        <f>セットアップレポート!H353</f>
        <v>L</v>
      </c>
      <c r="J353" t="str">
        <f>セットアップレポート!I353</f>
        <v>911578B100424</v>
      </c>
      <c r="K353" t="str">
        <f>セットアップレポート!J353</f>
        <v>911578B</v>
      </c>
      <c r="L353">
        <f>セットアップレポート!K353</f>
        <v>0</v>
      </c>
      <c r="M353">
        <f>セットアップレポート!L353</f>
        <v>0</v>
      </c>
      <c r="N353">
        <f>セットアップレポート!M353</f>
        <v>0</v>
      </c>
      <c r="O353">
        <f>セットアップレポート!N353</f>
        <v>0</v>
      </c>
      <c r="P353" t="str">
        <f>セットアップレポート!O353</f>
        <v>FA0440ADF301204</v>
      </c>
      <c r="Q353">
        <f>セットアップレポート!P353</f>
        <v>450</v>
      </c>
      <c r="R353">
        <f>セットアップレポート!Q353</f>
        <v>45946.479432870372</v>
      </c>
      <c r="S353">
        <f>セットアップレポート!R353</f>
        <v>0</v>
      </c>
      <c r="T353">
        <f>セットアップレポート!S353</f>
        <v>0</v>
      </c>
      <c r="U353">
        <f>セットアップレポート!T353</f>
        <v>0</v>
      </c>
      <c r="V353">
        <f>セットアップレポート!U353</f>
        <v>0</v>
      </c>
      <c r="W353">
        <f>セットアップレポート!V353</f>
        <v>0</v>
      </c>
      <c r="X353">
        <f>セットアップレポート!W353</f>
        <v>0</v>
      </c>
      <c r="Y353">
        <f>セットアップレポート!X353</f>
        <v>0</v>
      </c>
      <c r="Z353">
        <f>セットアップレポート!Y353</f>
        <v>0</v>
      </c>
      <c r="AA353">
        <f>セットアップレポート!Z353</f>
        <v>0</v>
      </c>
      <c r="AB353" t="str">
        <f>セットアップレポート!AA353</f>
        <v>NONE</v>
      </c>
      <c r="AC353">
        <f>セットアップレポート!AB353</f>
        <v>0</v>
      </c>
      <c r="AD353">
        <f>セットアップレポート!AC353</f>
        <v>0</v>
      </c>
      <c r="AE353">
        <f>セットアップレポート!AD353</f>
        <v>0</v>
      </c>
      <c r="AF353">
        <f>セットアップレポート!AE353</f>
        <v>0</v>
      </c>
      <c r="AG353">
        <f>セットアップレポート!AF353</f>
        <v>0</v>
      </c>
      <c r="AH353">
        <f>セットアップレポート!AG353</f>
        <v>0</v>
      </c>
    </row>
    <row r="354" spans="1:34" x14ac:dyDescent="0.45">
      <c r="A354" t="str">
        <f t="shared" si="5"/>
        <v>L2-NPM070014L9000047076</v>
      </c>
      <c r="B354" t="str">
        <f>セットアップレポート!A354</f>
        <v>Line-2</v>
      </c>
      <c r="C354" t="str">
        <f>セットアップレポート!B354</f>
        <v>L2-NPM07</v>
      </c>
      <c r="D354" t="str">
        <f>セットアップレポート!C354</f>
        <v>Zone-2-NPMW-7</v>
      </c>
      <c r="E354">
        <f>セットアップレポート!D354</f>
        <v>1</v>
      </c>
      <c r="F354">
        <f>セットアップレポート!E354</f>
        <v>1</v>
      </c>
      <c r="G354" t="str">
        <f>セットアップレポート!F354</f>
        <v>10014L</v>
      </c>
      <c r="H354">
        <f>セットアップレポート!G354</f>
        <v>14</v>
      </c>
      <c r="I354" t="str">
        <f>セットアップレポート!H354</f>
        <v>L</v>
      </c>
      <c r="J354" t="str">
        <f>セットアップレポート!I354</f>
        <v>9000047076 100059</v>
      </c>
      <c r="K354">
        <f>セットアップレポート!J354</f>
        <v>9000047076</v>
      </c>
      <c r="L354">
        <f>セットアップレポート!K354</f>
        <v>0</v>
      </c>
      <c r="M354">
        <f>セットアップレポート!L354</f>
        <v>0</v>
      </c>
      <c r="N354">
        <f>セットアップレポート!M354</f>
        <v>0</v>
      </c>
      <c r="O354">
        <f>セットアップレポート!N354</f>
        <v>0</v>
      </c>
      <c r="P354" t="str">
        <f>セットアップレポート!O354</f>
        <v>FA0430ABH314508</v>
      </c>
      <c r="Q354">
        <f>セットアップレポート!P354</f>
        <v>5000</v>
      </c>
      <c r="R354">
        <f>セットアップレポート!Q354</f>
        <v>45932.372499999998</v>
      </c>
      <c r="S354">
        <f>セットアップレポート!R354</f>
        <v>0</v>
      </c>
      <c r="T354">
        <f>セットアップレポート!S354</f>
        <v>0</v>
      </c>
      <c r="U354">
        <f>セットアップレポート!T354</f>
        <v>0</v>
      </c>
      <c r="V354">
        <f>セットアップレポート!U354</f>
        <v>0</v>
      </c>
      <c r="W354">
        <f>セットアップレポート!V354</f>
        <v>0</v>
      </c>
      <c r="X354">
        <f>セットアップレポート!W354</f>
        <v>0</v>
      </c>
      <c r="Y354">
        <f>セットアップレポート!X354</f>
        <v>0</v>
      </c>
      <c r="Z354">
        <f>セットアップレポート!Y354</f>
        <v>0</v>
      </c>
      <c r="AA354">
        <f>セットアップレポート!Z354</f>
        <v>0</v>
      </c>
      <c r="AB354" t="str">
        <f>セットアップレポート!AA354</f>
        <v>NONE</v>
      </c>
      <c r="AC354">
        <f>セットアップレポート!AB354</f>
        <v>0</v>
      </c>
      <c r="AD354">
        <f>セットアップレポート!AC354</f>
        <v>0</v>
      </c>
      <c r="AE354">
        <f>セットアップレポート!AD354</f>
        <v>0</v>
      </c>
      <c r="AF354">
        <f>セットアップレポート!AE354</f>
        <v>0</v>
      </c>
      <c r="AG354">
        <f>セットアップレポート!AF354</f>
        <v>0</v>
      </c>
      <c r="AH354">
        <f>セットアップレポート!AG354</f>
        <v>0</v>
      </c>
    </row>
    <row r="355" spans="1:34" x14ac:dyDescent="0.45">
      <c r="A355" t="str">
        <f t="shared" si="5"/>
        <v>L2-NPM070016L919739</v>
      </c>
      <c r="B355" t="str">
        <f>セットアップレポート!A355</f>
        <v>Line-2</v>
      </c>
      <c r="C355" t="str">
        <f>セットアップレポート!B355</f>
        <v>L2-NPM07</v>
      </c>
      <c r="D355" t="str">
        <f>セットアップレポート!C355</f>
        <v>Zone-2-NPMW-7</v>
      </c>
      <c r="E355">
        <f>セットアップレポート!D355</f>
        <v>1</v>
      </c>
      <c r="F355">
        <f>セットアップレポート!E355</f>
        <v>1</v>
      </c>
      <c r="G355" t="str">
        <f>セットアップレポート!F355</f>
        <v>10016L</v>
      </c>
      <c r="H355">
        <f>セットアップレポート!G355</f>
        <v>16</v>
      </c>
      <c r="I355" t="str">
        <f>セットアップレポート!H355</f>
        <v>L</v>
      </c>
      <c r="J355" t="str">
        <f>セットアップレポート!I355</f>
        <v>919739 100049</v>
      </c>
      <c r="K355">
        <f>セットアップレポート!J355</f>
        <v>919739</v>
      </c>
      <c r="L355">
        <f>セットアップレポート!K355</f>
        <v>0</v>
      </c>
      <c r="M355">
        <f>セットアップレポート!L355</f>
        <v>0</v>
      </c>
      <c r="N355">
        <f>セットアップレポート!M355</f>
        <v>0</v>
      </c>
      <c r="O355">
        <f>セットアップレポート!N355</f>
        <v>0</v>
      </c>
      <c r="P355" t="str">
        <f>セットアップレポート!O355</f>
        <v>FA0430ABH314504</v>
      </c>
      <c r="Q355">
        <f>セットアップレポート!P355</f>
        <v>500</v>
      </c>
      <c r="R355">
        <f>セットアップレポート!Q355</f>
        <v>45950.474363425928</v>
      </c>
      <c r="S355">
        <f>セットアップレポート!R355</f>
        <v>0</v>
      </c>
      <c r="T355">
        <f>セットアップレポート!S355</f>
        <v>0</v>
      </c>
      <c r="U355">
        <f>セットアップレポート!T355</f>
        <v>0</v>
      </c>
      <c r="V355">
        <f>セットアップレポート!U355</f>
        <v>0</v>
      </c>
      <c r="W355">
        <f>セットアップレポート!V355</f>
        <v>0</v>
      </c>
      <c r="X355">
        <f>セットアップレポート!W355</f>
        <v>0</v>
      </c>
      <c r="Y355">
        <f>セットアップレポート!X355</f>
        <v>0</v>
      </c>
      <c r="Z355">
        <f>セットアップレポート!Y355</f>
        <v>0</v>
      </c>
      <c r="AA355">
        <f>セットアップレポート!Z355</f>
        <v>0</v>
      </c>
      <c r="AB355" t="str">
        <f>セットアップレポート!AA355</f>
        <v>NONE</v>
      </c>
      <c r="AC355">
        <f>セットアップレポート!AB355</f>
        <v>0</v>
      </c>
      <c r="AD355">
        <f>セットアップレポート!AC355</f>
        <v>0</v>
      </c>
      <c r="AE355">
        <f>セットアップレポート!AD355</f>
        <v>0</v>
      </c>
      <c r="AF355">
        <f>セットアップレポート!AE355</f>
        <v>0</v>
      </c>
      <c r="AG355">
        <f>セットアップレポート!AF355</f>
        <v>0</v>
      </c>
      <c r="AH355">
        <f>セットアップレポート!AG355</f>
        <v>0</v>
      </c>
    </row>
    <row r="356" spans="1:34" x14ac:dyDescent="0.45">
      <c r="A356" t="str">
        <f t="shared" si="5"/>
        <v>L2-NPM070018L9000069779</v>
      </c>
      <c r="B356" t="str">
        <f>セットアップレポート!A356</f>
        <v>Line-2</v>
      </c>
      <c r="C356" t="str">
        <f>セットアップレポート!B356</f>
        <v>L2-NPM07</v>
      </c>
      <c r="D356" t="str">
        <f>セットアップレポート!C356</f>
        <v>Zone-2-NPMW-7</v>
      </c>
      <c r="E356">
        <f>セットアップレポート!D356</f>
        <v>1</v>
      </c>
      <c r="F356">
        <f>セットアップレポート!E356</f>
        <v>1</v>
      </c>
      <c r="G356" t="str">
        <f>セットアップレポート!F356</f>
        <v>10018L</v>
      </c>
      <c r="H356">
        <f>セットアップレポート!G356</f>
        <v>18</v>
      </c>
      <c r="I356" t="str">
        <f>セットアップレポート!H356</f>
        <v>L</v>
      </c>
      <c r="J356" t="str">
        <f>セットアップレポート!I356</f>
        <v>9000069779 100004</v>
      </c>
      <c r="K356">
        <f>セットアップレポート!J356</f>
        <v>9000069779</v>
      </c>
      <c r="L356">
        <f>セットアップレポート!K356</f>
        <v>0</v>
      </c>
      <c r="M356">
        <f>セットアップレポート!L356</f>
        <v>0</v>
      </c>
      <c r="N356">
        <f>セットアップレポート!M356</f>
        <v>0</v>
      </c>
      <c r="O356">
        <f>セットアップレポート!N356</f>
        <v>0</v>
      </c>
      <c r="P356" t="str">
        <f>セットアップレポート!O356</f>
        <v>FA0240AEA354397</v>
      </c>
      <c r="Q356">
        <f>セットアップレポート!P356</f>
        <v>2000</v>
      </c>
      <c r="R356">
        <f>セットアップレポート!Q356</f>
        <v>45950.474363425928</v>
      </c>
      <c r="S356">
        <f>セットアップレポート!R356</f>
        <v>0</v>
      </c>
      <c r="T356">
        <f>セットアップレポート!S356</f>
        <v>0</v>
      </c>
      <c r="U356">
        <f>セットアップレポート!T356</f>
        <v>0</v>
      </c>
      <c r="V356">
        <f>セットアップレポート!U356</f>
        <v>0</v>
      </c>
      <c r="W356">
        <f>セットアップレポート!V356</f>
        <v>0</v>
      </c>
      <c r="X356">
        <f>セットアップレポート!W356</f>
        <v>0</v>
      </c>
      <c r="Y356">
        <f>セットアップレポート!X356</f>
        <v>0</v>
      </c>
      <c r="Z356">
        <f>セットアップレポート!Y356</f>
        <v>0</v>
      </c>
      <c r="AA356">
        <f>セットアップレポート!Z356</f>
        <v>0</v>
      </c>
      <c r="AB356" t="str">
        <f>セットアップレポート!AA356</f>
        <v>NONE</v>
      </c>
      <c r="AC356">
        <f>セットアップレポート!AB356</f>
        <v>0</v>
      </c>
      <c r="AD356">
        <f>セットアップレポート!AC356</f>
        <v>0</v>
      </c>
      <c r="AE356">
        <f>セットアップレポート!AD356</f>
        <v>0</v>
      </c>
      <c r="AF356">
        <f>セットアップレポート!AE356</f>
        <v>0</v>
      </c>
      <c r="AG356">
        <f>セットアップレポート!AF356</f>
        <v>0</v>
      </c>
      <c r="AH356">
        <f>セットアップレポート!AG356</f>
        <v>0</v>
      </c>
    </row>
    <row r="357" spans="1:34" x14ac:dyDescent="0.45">
      <c r="A357" t="str">
        <f t="shared" si="5"/>
        <v>L2-NPM070020L572203A</v>
      </c>
      <c r="B357" t="str">
        <f>セットアップレポート!A357</f>
        <v>Line-2</v>
      </c>
      <c r="C357" t="str">
        <f>セットアップレポート!B357</f>
        <v>L2-NPM07</v>
      </c>
      <c r="D357" t="str">
        <f>セットアップレポート!C357</f>
        <v>Zone-2-NPMW-7</v>
      </c>
      <c r="E357">
        <f>セットアップレポート!D357</f>
        <v>1</v>
      </c>
      <c r="F357">
        <f>セットアップレポート!E357</f>
        <v>1</v>
      </c>
      <c r="G357" t="str">
        <f>セットアップレポート!F357</f>
        <v>10020L</v>
      </c>
      <c r="H357">
        <f>セットアップレポート!G357</f>
        <v>20</v>
      </c>
      <c r="I357" t="str">
        <f>セットアップレポート!H357</f>
        <v>L</v>
      </c>
      <c r="J357" t="str">
        <f>セットアップレポート!I357</f>
        <v>572203A100335</v>
      </c>
      <c r="K357" t="str">
        <f>セットアップレポート!J357</f>
        <v>572203A</v>
      </c>
      <c r="L357">
        <f>セットアップレポート!K357</f>
        <v>0</v>
      </c>
      <c r="M357">
        <f>セットアップレポート!L357</f>
        <v>0</v>
      </c>
      <c r="N357">
        <f>セットアップレポート!M357</f>
        <v>0</v>
      </c>
      <c r="O357">
        <f>セットアップレポート!N357</f>
        <v>0</v>
      </c>
      <c r="P357" t="str">
        <f>セットアップレポート!O357</f>
        <v>FA0430ABH314506</v>
      </c>
      <c r="Q357">
        <f>セットアップレポート!P357</f>
        <v>500</v>
      </c>
      <c r="R357">
        <f>セットアップレポート!Q357</f>
        <v>45937.545856481483</v>
      </c>
      <c r="S357">
        <f>セットアップレポート!R357</f>
        <v>0</v>
      </c>
      <c r="T357">
        <f>セットアップレポート!S357</f>
        <v>0</v>
      </c>
      <c r="U357">
        <f>セットアップレポート!T357</f>
        <v>0</v>
      </c>
      <c r="V357">
        <f>セットアップレポート!U357</f>
        <v>0</v>
      </c>
      <c r="W357">
        <f>セットアップレポート!V357</f>
        <v>0</v>
      </c>
      <c r="X357">
        <f>セットアップレポート!W357</f>
        <v>0</v>
      </c>
      <c r="Y357">
        <f>セットアップレポート!X357</f>
        <v>0</v>
      </c>
      <c r="Z357">
        <f>セットアップレポート!Y357</f>
        <v>0</v>
      </c>
      <c r="AA357">
        <f>セットアップレポート!Z357</f>
        <v>0</v>
      </c>
      <c r="AB357" t="str">
        <f>セットアップレポート!AA357</f>
        <v>NONE</v>
      </c>
      <c r="AC357">
        <f>セットアップレポート!AB357</f>
        <v>0</v>
      </c>
      <c r="AD357">
        <f>セットアップレポート!AC357</f>
        <v>0</v>
      </c>
      <c r="AE357">
        <f>セットアップレポート!AD357</f>
        <v>0</v>
      </c>
      <c r="AF357">
        <f>セットアップレポート!AE357</f>
        <v>0</v>
      </c>
      <c r="AG357">
        <f>セットアップレポート!AF357</f>
        <v>0</v>
      </c>
      <c r="AH357">
        <f>セットアップレポート!AG357</f>
        <v>0</v>
      </c>
    </row>
    <row r="358" spans="1:34" x14ac:dyDescent="0.45">
      <c r="A358" t="str">
        <f t="shared" si="5"/>
        <v>L2-NPM070021L9000069616</v>
      </c>
      <c r="B358" t="str">
        <f>セットアップレポート!A358</f>
        <v>Line-2</v>
      </c>
      <c r="C358" t="str">
        <f>セットアップレポート!B358</f>
        <v>L2-NPM07</v>
      </c>
      <c r="D358" t="str">
        <f>セットアップレポート!C358</f>
        <v>Zone-2-NPMW-7</v>
      </c>
      <c r="E358">
        <f>セットアップレポート!D358</f>
        <v>1</v>
      </c>
      <c r="F358">
        <f>セットアップレポート!E358</f>
        <v>1</v>
      </c>
      <c r="G358" t="str">
        <f>セットアップレポート!F358</f>
        <v>10021L</v>
      </c>
      <c r="H358">
        <f>セットアップレポート!G358</f>
        <v>21</v>
      </c>
      <c r="I358" t="str">
        <f>セットアップレポート!H358</f>
        <v>L</v>
      </c>
      <c r="J358" t="str">
        <f>セットアップレポート!I358</f>
        <v>9000069616 100005</v>
      </c>
      <c r="K358">
        <f>セットアップレポート!J358</f>
        <v>9000069616</v>
      </c>
      <c r="L358">
        <f>セットアップレポート!K358</f>
        <v>0</v>
      </c>
      <c r="M358">
        <f>セットアップレポート!L358</f>
        <v>0</v>
      </c>
      <c r="N358">
        <f>セットアップレポート!M358</f>
        <v>0</v>
      </c>
      <c r="O358">
        <f>セットアップレポート!N358</f>
        <v>0</v>
      </c>
      <c r="P358" t="str">
        <f>セットアップレポート!O358</f>
        <v>FA0240AEA354398</v>
      </c>
      <c r="Q358">
        <f>セットアップレポート!P358</f>
        <v>500</v>
      </c>
      <c r="R358">
        <f>セットアップレポート!Q358</f>
        <v>45932.647129629629</v>
      </c>
      <c r="S358">
        <f>セットアップレポート!R358</f>
        <v>0</v>
      </c>
      <c r="T358">
        <f>セットアップレポート!S358</f>
        <v>0</v>
      </c>
      <c r="U358">
        <f>セットアップレポート!T358</f>
        <v>0</v>
      </c>
      <c r="V358">
        <f>セットアップレポート!U358</f>
        <v>0</v>
      </c>
      <c r="W358">
        <f>セットアップレポート!V358</f>
        <v>0</v>
      </c>
      <c r="X358">
        <f>セットアップレポート!W358</f>
        <v>0</v>
      </c>
      <c r="Y358">
        <f>セットアップレポート!X358</f>
        <v>0</v>
      </c>
      <c r="Z358">
        <f>セットアップレポート!Y358</f>
        <v>0</v>
      </c>
      <c r="AA358">
        <f>セットアップレポート!Z358</f>
        <v>0</v>
      </c>
      <c r="AB358" t="str">
        <f>セットアップレポート!AA358</f>
        <v>NONE</v>
      </c>
      <c r="AC358">
        <f>セットアップレポート!AB358</f>
        <v>0</v>
      </c>
      <c r="AD358">
        <f>セットアップレポート!AC358</f>
        <v>0</v>
      </c>
      <c r="AE358">
        <f>セットアップレポート!AD358</f>
        <v>0</v>
      </c>
      <c r="AF358">
        <f>セットアップレポート!AE358</f>
        <v>0</v>
      </c>
      <c r="AG358">
        <f>セットアップレポート!AF358</f>
        <v>0</v>
      </c>
      <c r="AH358">
        <f>セットアップレポート!AG358</f>
        <v>0</v>
      </c>
    </row>
    <row r="359" spans="1:34" x14ac:dyDescent="0.45">
      <c r="A359" t="str">
        <f t="shared" si="5"/>
        <v>L2-NPM070022L616023A</v>
      </c>
      <c r="B359" t="str">
        <f>セットアップレポート!A359</f>
        <v>Line-2</v>
      </c>
      <c r="C359" t="str">
        <f>セットアップレポート!B359</f>
        <v>L2-NPM07</v>
      </c>
      <c r="D359" t="str">
        <f>セットアップレポート!C359</f>
        <v>Zone-2-NPMW-7</v>
      </c>
      <c r="E359">
        <f>セットアップレポート!D359</f>
        <v>1</v>
      </c>
      <c r="F359">
        <f>セットアップレポート!E359</f>
        <v>1</v>
      </c>
      <c r="G359" t="str">
        <f>セットアップレポート!F359</f>
        <v>10022L</v>
      </c>
      <c r="H359">
        <f>セットアップレポート!G359</f>
        <v>22</v>
      </c>
      <c r="I359" t="str">
        <f>セットアップレポート!H359</f>
        <v>L</v>
      </c>
      <c r="J359" t="str">
        <f>セットアップレポート!I359</f>
        <v>616023A100378</v>
      </c>
      <c r="K359" t="str">
        <f>セットアップレポート!J359</f>
        <v>616023A</v>
      </c>
      <c r="L359">
        <f>セットアップレポート!K359</f>
        <v>0</v>
      </c>
      <c r="M359">
        <f>セットアップレポート!L359</f>
        <v>0</v>
      </c>
      <c r="N359">
        <f>セットアップレポート!M359</f>
        <v>0</v>
      </c>
      <c r="O359">
        <f>セットアップレポート!N359</f>
        <v>0</v>
      </c>
      <c r="P359" t="str">
        <f>セットアップレポート!O359</f>
        <v>FA0430ADF305016</v>
      </c>
      <c r="Q359">
        <f>セットアップレポート!P359</f>
        <v>500</v>
      </c>
      <c r="R359">
        <f>セットアップレポート!Q359</f>
        <v>45946.526574074072</v>
      </c>
      <c r="S359">
        <f>セットアップレポート!R359</f>
        <v>0</v>
      </c>
      <c r="T359">
        <f>セットアップレポート!S359</f>
        <v>0</v>
      </c>
      <c r="U359">
        <f>セットアップレポート!T359</f>
        <v>0</v>
      </c>
      <c r="V359">
        <f>セットアップレポート!U359</f>
        <v>0</v>
      </c>
      <c r="W359">
        <f>セットアップレポート!V359</f>
        <v>0</v>
      </c>
      <c r="X359">
        <f>セットアップレポート!W359</f>
        <v>0</v>
      </c>
      <c r="Y359">
        <f>セットアップレポート!X359</f>
        <v>0</v>
      </c>
      <c r="Z359">
        <f>セットアップレポート!Y359</f>
        <v>0</v>
      </c>
      <c r="AA359">
        <f>セットアップレポート!Z359</f>
        <v>0</v>
      </c>
      <c r="AB359" t="str">
        <f>セットアップレポート!AA359</f>
        <v>NONE</v>
      </c>
      <c r="AC359">
        <f>セットアップレポート!AB359</f>
        <v>0</v>
      </c>
      <c r="AD359">
        <f>セットアップレポート!AC359</f>
        <v>0</v>
      </c>
      <c r="AE359">
        <f>セットアップレポート!AD359</f>
        <v>0</v>
      </c>
      <c r="AF359">
        <f>セットアップレポート!AE359</f>
        <v>0</v>
      </c>
      <c r="AG359">
        <f>セットアップレポート!AF359</f>
        <v>0</v>
      </c>
      <c r="AH359">
        <f>セットアップレポート!AG359</f>
        <v>0</v>
      </c>
    </row>
    <row r="360" spans="1:34" x14ac:dyDescent="0.45">
      <c r="A360" t="str">
        <f t="shared" si="5"/>
        <v>L2-NPM070024L679356A</v>
      </c>
      <c r="B360" t="str">
        <f>セットアップレポート!A360</f>
        <v>Line-2</v>
      </c>
      <c r="C360" t="str">
        <f>セットアップレポート!B360</f>
        <v>L2-NPM07</v>
      </c>
      <c r="D360" t="str">
        <f>セットアップレポート!C360</f>
        <v>Zone-2-NPMW-7</v>
      </c>
      <c r="E360">
        <f>セットアップレポート!D360</f>
        <v>1</v>
      </c>
      <c r="F360">
        <f>セットアップレポート!E360</f>
        <v>1</v>
      </c>
      <c r="G360" t="str">
        <f>セットアップレポート!F360</f>
        <v>10024L</v>
      </c>
      <c r="H360">
        <f>セットアップレポート!G360</f>
        <v>24</v>
      </c>
      <c r="I360" t="str">
        <f>セットアップレポート!H360</f>
        <v>L</v>
      </c>
      <c r="J360" t="str">
        <f>セットアップレポート!I360</f>
        <v>679356A100382</v>
      </c>
      <c r="K360" t="str">
        <f>セットアップレポート!J360</f>
        <v>679356A</v>
      </c>
      <c r="L360">
        <f>セットアップレポート!K360</f>
        <v>0</v>
      </c>
      <c r="M360">
        <f>セットアップレポート!L360</f>
        <v>0</v>
      </c>
      <c r="N360">
        <f>セットアップレポート!M360</f>
        <v>0</v>
      </c>
      <c r="O360">
        <f>セットアップレポート!N360</f>
        <v>0</v>
      </c>
      <c r="P360" t="str">
        <f>セットアップレポート!O360</f>
        <v>FA0430ADF305085</v>
      </c>
      <c r="Q360">
        <f>セットアップレポート!P360</f>
        <v>500</v>
      </c>
      <c r="R360">
        <f>セットアップレポート!Q360</f>
        <v>45946.488553240742</v>
      </c>
      <c r="S360">
        <f>セットアップレポート!R360</f>
        <v>0</v>
      </c>
      <c r="T360">
        <f>セットアップレポート!S360</f>
        <v>0</v>
      </c>
      <c r="U360">
        <f>セットアップレポート!T360</f>
        <v>0</v>
      </c>
      <c r="V360">
        <f>セットアップレポート!U360</f>
        <v>0</v>
      </c>
      <c r="W360">
        <f>セットアップレポート!V360</f>
        <v>0</v>
      </c>
      <c r="X360">
        <f>セットアップレポート!W360</f>
        <v>0</v>
      </c>
      <c r="Y360">
        <f>セットアップレポート!X360</f>
        <v>0</v>
      </c>
      <c r="Z360">
        <f>セットアップレポート!Y360</f>
        <v>0</v>
      </c>
      <c r="AA360">
        <f>セットアップレポート!Z360</f>
        <v>0</v>
      </c>
      <c r="AB360" t="str">
        <f>セットアップレポート!AA360</f>
        <v>NONE</v>
      </c>
      <c r="AC360">
        <f>セットアップレポート!AB360</f>
        <v>0</v>
      </c>
      <c r="AD360">
        <f>セットアップレポート!AC360</f>
        <v>0</v>
      </c>
      <c r="AE360">
        <f>セットアップレポート!AD360</f>
        <v>0</v>
      </c>
      <c r="AF360">
        <f>セットアップレポート!AE360</f>
        <v>0</v>
      </c>
      <c r="AG360">
        <f>セットアップレポート!AF360</f>
        <v>0</v>
      </c>
      <c r="AH360">
        <f>セットアップレポート!AG360</f>
        <v>0</v>
      </c>
    </row>
    <row r="361" spans="1:34" x14ac:dyDescent="0.45">
      <c r="A361" t="str">
        <f t="shared" si="5"/>
        <v>L2-NPM070026L9000046023</v>
      </c>
      <c r="B361" t="str">
        <f>セットアップレポート!A361</f>
        <v>Line-2</v>
      </c>
      <c r="C361" t="str">
        <f>セットアップレポート!B361</f>
        <v>L2-NPM07</v>
      </c>
      <c r="D361" t="str">
        <f>セットアップレポート!C361</f>
        <v>Zone-2-NPMW-7</v>
      </c>
      <c r="E361">
        <f>セットアップレポート!D361</f>
        <v>1</v>
      </c>
      <c r="F361">
        <f>セットアップレポート!E361</f>
        <v>1</v>
      </c>
      <c r="G361" t="str">
        <f>セットアップレポート!F361</f>
        <v>10026L</v>
      </c>
      <c r="H361">
        <f>セットアップレポート!G361</f>
        <v>26</v>
      </c>
      <c r="I361" t="str">
        <f>セットアップレポート!H361</f>
        <v>L</v>
      </c>
      <c r="J361" t="str">
        <f>セットアップレポート!I361</f>
        <v>9000046023 100169</v>
      </c>
      <c r="K361">
        <f>セットアップレポート!J361</f>
        <v>9000046023</v>
      </c>
      <c r="L361">
        <f>セットアップレポート!K361</f>
        <v>0</v>
      </c>
      <c r="M361">
        <f>セットアップレポート!L361</f>
        <v>0</v>
      </c>
      <c r="N361">
        <f>セットアップレポート!M361</f>
        <v>0</v>
      </c>
      <c r="O361">
        <f>セットアップレポート!N361</f>
        <v>0</v>
      </c>
      <c r="P361" t="str">
        <f>セットアップレポート!O361</f>
        <v>FA0230AEA373463</v>
      </c>
      <c r="Q361">
        <f>セットアップレポート!P361</f>
        <v>1100</v>
      </c>
      <c r="R361">
        <f>セットアップレポート!Q361</f>
        <v>45950.474363425928</v>
      </c>
      <c r="S361">
        <f>セットアップレポート!R361</f>
        <v>0</v>
      </c>
      <c r="T361">
        <f>セットアップレポート!S361</f>
        <v>0</v>
      </c>
      <c r="U361">
        <f>セットアップレポート!T361</f>
        <v>0</v>
      </c>
      <c r="V361">
        <f>セットアップレポート!U361</f>
        <v>0</v>
      </c>
      <c r="W361">
        <f>セットアップレポート!V361</f>
        <v>0</v>
      </c>
      <c r="X361">
        <f>セットアップレポート!W361</f>
        <v>0</v>
      </c>
      <c r="Y361">
        <f>セットアップレポート!X361</f>
        <v>0</v>
      </c>
      <c r="Z361">
        <f>セットアップレポート!Y361</f>
        <v>0</v>
      </c>
      <c r="AA361">
        <f>セットアップレポート!Z361</f>
        <v>0</v>
      </c>
      <c r="AB361" t="str">
        <f>セットアップレポート!AA361</f>
        <v>NONE</v>
      </c>
      <c r="AC361">
        <f>セットアップレポート!AB361</f>
        <v>0</v>
      </c>
      <c r="AD361">
        <f>セットアップレポート!AC361</f>
        <v>0</v>
      </c>
      <c r="AE361">
        <f>セットアップレポート!AD361</f>
        <v>0</v>
      </c>
      <c r="AF361">
        <f>セットアップレポート!AE361</f>
        <v>0</v>
      </c>
      <c r="AG361">
        <f>セットアップレポート!AF361</f>
        <v>0</v>
      </c>
      <c r="AH361">
        <f>セットアップレポート!AG361</f>
        <v>0</v>
      </c>
    </row>
    <row r="362" spans="1:34" x14ac:dyDescent="0.45">
      <c r="A362" t="str">
        <f t="shared" si="5"/>
        <v>L2-NPM070028L9000069182</v>
      </c>
      <c r="B362" t="str">
        <f>セットアップレポート!A362</f>
        <v>Line-2</v>
      </c>
      <c r="C362" t="str">
        <f>セットアップレポート!B362</f>
        <v>L2-NPM07</v>
      </c>
      <c r="D362" t="str">
        <f>セットアップレポート!C362</f>
        <v>Zone-2-NPMW-7</v>
      </c>
      <c r="E362">
        <f>セットアップレポート!D362</f>
        <v>1</v>
      </c>
      <c r="F362">
        <f>セットアップレポート!E362</f>
        <v>1</v>
      </c>
      <c r="G362" t="str">
        <f>セットアップレポート!F362</f>
        <v>10028L</v>
      </c>
      <c r="H362">
        <f>セットアップレポート!G362</f>
        <v>28</v>
      </c>
      <c r="I362" t="str">
        <f>セットアップレポート!H362</f>
        <v>L</v>
      </c>
      <c r="J362" t="str">
        <f>セットアップレポート!I362</f>
        <v>9000069182 100084</v>
      </c>
      <c r="K362">
        <f>セットアップレポート!J362</f>
        <v>9000069182</v>
      </c>
      <c r="L362">
        <f>セットアップレポート!K362</f>
        <v>0</v>
      </c>
      <c r="M362">
        <f>セットアップレポート!L362</f>
        <v>0</v>
      </c>
      <c r="N362">
        <f>セットアップレポート!M362</f>
        <v>0</v>
      </c>
      <c r="O362">
        <f>セットアップレポート!N362</f>
        <v>0</v>
      </c>
      <c r="P362" t="str">
        <f>セットアップレポート!O362</f>
        <v>FA0440AAF300046</v>
      </c>
      <c r="Q362">
        <f>セットアップレポート!P362</f>
        <v>200</v>
      </c>
      <c r="R362">
        <f>セットアップレポート!Q362</f>
        <v>45950.474363425928</v>
      </c>
      <c r="S362">
        <f>セットアップレポート!R362</f>
        <v>0</v>
      </c>
      <c r="T362">
        <f>セットアップレポート!S362</f>
        <v>0</v>
      </c>
      <c r="U362">
        <f>セットアップレポート!T362</f>
        <v>0</v>
      </c>
      <c r="V362">
        <f>セットアップレポート!U362</f>
        <v>0</v>
      </c>
      <c r="W362">
        <f>セットアップレポート!V362</f>
        <v>0</v>
      </c>
      <c r="X362">
        <f>セットアップレポート!W362</f>
        <v>0</v>
      </c>
      <c r="Y362">
        <f>セットアップレポート!X362</f>
        <v>0</v>
      </c>
      <c r="Z362">
        <f>セットアップレポート!Y362</f>
        <v>0</v>
      </c>
      <c r="AA362">
        <f>セットアップレポート!Z362</f>
        <v>0</v>
      </c>
      <c r="AB362" t="str">
        <f>セットアップレポート!AA362</f>
        <v>NONE</v>
      </c>
      <c r="AC362">
        <f>セットアップレポート!AB362</f>
        <v>0</v>
      </c>
      <c r="AD362">
        <f>セットアップレポート!AC362</f>
        <v>0</v>
      </c>
      <c r="AE362">
        <f>セットアップレポート!AD362</f>
        <v>0</v>
      </c>
      <c r="AF362">
        <f>セットアップレポート!AE362</f>
        <v>0</v>
      </c>
      <c r="AG362">
        <f>セットアップレポート!AF362</f>
        <v>0</v>
      </c>
      <c r="AH362">
        <f>セットアップレポート!AG362</f>
        <v>0</v>
      </c>
    </row>
    <row r="363" spans="1:34" x14ac:dyDescent="0.45">
      <c r="A363" t="str">
        <f t="shared" si="5"/>
        <v>L2-NPM070030L9000070347</v>
      </c>
      <c r="B363" t="str">
        <f>セットアップレポート!A363</f>
        <v>Line-2</v>
      </c>
      <c r="C363" t="str">
        <f>セットアップレポート!B363</f>
        <v>L2-NPM07</v>
      </c>
      <c r="D363" t="str">
        <f>セットアップレポート!C363</f>
        <v>Zone-2-NPMW-7</v>
      </c>
      <c r="E363">
        <f>セットアップレポート!D363</f>
        <v>1</v>
      </c>
      <c r="F363">
        <f>セットアップレポート!E363</f>
        <v>1</v>
      </c>
      <c r="G363" t="str">
        <f>セットアップレポート!F363</f>
        <v>10030L</v>
      </c>
      <c r="H363">
        <f>セットアップレポート!G363</f>
        <v>30</v>
      </c>
      <c r="I363" t="str">
        <f>セットアップレポート!H363</f>
        <v>L</v>
      </c>
      <c r="J363" t="str">
        <f>セットアップレポート!I363</f>
        <v>9000070347 100047</v>
      </c>
      <c r="K363">
        <f>セットアップレポート!J363</f>
        <v>9000070347</v>
      </c>
      <c r="L363">
        <f>セットアップレポート!K363</f>
        <v>0</v>
      </c>
      <c r="M363">
        <f>セットアップレポート!L363</f>
        <v>0</v>
      </c>
      <c r="N363">
        <f>セットアップレポート!M363</f>
        <v>0</v>
      </c>
      <c r="O363">
        <f>セットアップレポート!N363</f>
        <v>0</v>
      </c>
      <c r="P363" t="str">
        <f>セットアップレポート!O363</f>
        <v>FA0220AFA654072</v>
      </c>
      <c r="Q363">
        <f>セットアップレポート!P363</f>
        <v>700</v>
      </c>
      <c r="R363">
        <f>セットアップレポート!Q363</f>
        <v>45932.791921296295</v>
      </c>
      <c r="S363">
        <f>セットアップレポート!R363</f>
        <v>0</v>
      </c>
      <c r="T363">
        <f>セットアップレポート!S363</f>
        <v>0</v>
      </c>
      <c r="U363">
        <f>セットアップレポート!T363</f>
        <v>0</v>
      </c>
      <c r="V363">
        <f>セットアップレポート!U363</f>
        <v>0</v>
      </c>
      <c r="W363">
        <f>セットアップレポート!V363</f>
        <v>0</v>
      </c>
      <c r="X363">
        <f>セットアップレポート!W363</f>
        <v>0</v>
      </c>
      <c r="Y363">
        <f>セットアップレポート!X363</f>
        <v>0</v>
      </c>
      <c r="Z363">
        <f>セットアップレポート!Y363</f>
        <v>0</v>
      </c>
      <c r="AA363">
        <f>セットアップレポート!Z363</f>
        <v>0</v>
      </c>
      <c r="AB363" t="str">
        <f>セットアップレポート!AA363</f>
        <v>NONE</v>
      </c>
      <c r="AC363">
        <f>セットアップレポート!AB363</f>
        <v>0</v>
      </c>
      <c r="AD363">
        <f>セットアップレポート!AC363</f>
        <v>0</v>
      </c>
      <c r="AE363">
        <f>セットアップレポート!AD363</f>
        <v>0</v>
      </c>
      <c r="AF363">
        <f>セットアップレポート!AE363</f>
        <v>0</v>
      </c>
      <c r="AG363">
        <f>セットアップレポート!AF363</f>
        <v>0</v>
      </c>
      <c r="AH363">
        <f>セットアップレポート!AG363</f>
        <v>0</v>
      </c>
    </row>
    <row r="364" spans="1:34" x14ac:dyDescent="0.45">
      <c r="A364" t="str">
        <f t="shared" si="5"/>
        <v>L2-NPM010030RT9000066581</v>
      </c>
      <c r="B364" t="str">
        <f>セットアップレポート!A364</f>
        <v>Line-2</v>
      </c>
      <c r="C364" t="str">
        <f>セットアップレポート!B364</f>
        <v>L2-NPM01</v>
      </c>
      <c r="D364" t="str">
        <f>セットアップレポート!C364</f>
        <v>Zone-2-NPMW-1</v>
      </c>
      <c r="E364">
        <f>セットアップレポート!D364</f>
        <v>1</v>
      </c>
      <c r="F364">
        <f>セットアップレポート!E364</f>
        <v>1</v>
      </c>
      <c r="G364" t="str">
        <f>セットアップレポート!F364</f>
        <v>20030R</v>
      </c>
      <c r="H364">
        <f>セットアップレポート!G364</f>
        <v>30</v>
      </c>
      <c r="I364" t="str">
        <f>セットアップレポート!H364</f>
        <v>R</v>
      </c>
      <c r="J364" t="str">
        <f>セットアップレポート!I364</f>
        <v>T9000066581100001</v>
      </c>
      <c r="K364" t="str">
        <f>セットアップレポート!J364</f>
        <v>T9000066581</v>
      </c>
      <c r="L364">
        <f>セットアップレポート!K364</f>
        <v>0</v>
      </c>
      <c r="M364">
        <f>セットアップレポート!L364</f>
        <v>0</v>
      </c>
      <c r="N364">
        <f>セットアップレポート!M364</f>
        <v>0</v>
      </c>
      <c r="O364">
        <f>セットアップレポート!N364</f>
        <v>0</v>
      </c>
      <c r="P364" t="str">
        <f>セットアップレポート!O364</f>
        <v>FA0201ACD051289</v>
      </c>
      <c r="Q364">
        <f>セットアップレポート!P364</f>
        <v>3300</v>
      </c>
      <c r="R364">
        <f>セットアップレポート!Q364</f>
        <v>45931.82136574074</v>
      </c>
      <c r="S364">
        <f>セットアップレポート!R364</f>
        <v>0</v>
      </c>
      <c r="T364">
        <f>セットアップレポート!S364</f>
        <v>0</v>
      </c>
      <c r="U364">
        <f>セットアップレポート!T364</f>
        <v>0</v>
      </c>
      <c r="V364">
        <f>セットアップレポート!U364</f>
        <v>0</v>
      </c>
      <c r="W364">
        <f>セットアップレポート!V364</f>
        <v>0</v>
      </c>
      <c r="X364">
        <f>セットアップレポート!W364</f>
        <v>0</v>
      </c>
      <c r="Y364">
        <f>セットアップレポート!X364</f>
        <v>0</v>
      </c>
      <c r="Z364">
        <f>セットアップレポート!Y364</f>
        <v>0</v>
      </c>
      <c r="AA364">
        <f>セットアップレポート!Z364</f>
        <v>0</v>
      </c>
      <c r="AB364" t="str">
        <f>セットアップレポート!AA364</f>
        <v>NONE</v>
      </c>
      <c r="AC364">
        <f>セットアップレポート!AB364</f>
        <v>0</v>
      </c>
      <c r="AD364">
        <f>セットアップレポート!AC364</f>
        <v>0</v>
      </c>
      <c r="AE364">
        <f>セットアップレポート!AD364</f>
        <v>0</v>
      </c>
      <c r="AF364">
        <f>セットアップレポート!AE364</f>
        <v>0</v>
      </c>
      <c r="AG364">
        <f>セットアップレポート!AF364</f>
        <v>0</v>
      </c>
      <c r="AH364">
        <f>セットアップレポート!AG364</f>
        <v>0</v>
      </c>
    </row>
    <row r="365" spans="1:34" x14ac:dyDescent="0.45">
      <c r="A365" t="str">
        <f t="shared" si="5"/>
        <v>L2-NPM010020R667832</v>
      </c>
      <c r="B365" t="str">
        <f>セットアップレポート!A365</f>
        <v>Line-2</v>
      </c>
      <c r="C365" t="str">
        <f>セットアップレポート!B365</f>
        <v>L2-NPM01</v>
      </c>
      <c r="D365" t="str">
        <f>セットアップレポート!C365</f>
        <v>Zone-2-NPMW-1</v>
      </c>
      <c r="E365">
        <f>セットアップレポート!D365</f>
        <v>1</v>
      </c>
      <c r="F365">
        <f>セットアップレポート!E365</f>
        <v>1</v>
      </c>
      <c r="G365" t="str">
        <f>セットアップレポート!F365</f>
        <v>20020R</v>
      </c>
      <c r="H365">
        <f>セットアップレポート!G365</f>
        <v>20</v>
      </c>
      <c r="I365" t="str">
        <f>セットアップレポート!H365</f>
        <v>R</v>
      </c>
      <c r="J365" t="str">
        <f>セットアップレポート!I365</f>
        <v>667832 100042</v>
      </c>
      <c r="K365">
        <f>セットアップレポート!J365</f>
        <v>667832</v>
      </c>
      <c r="L365">
        <f>セットアップレポート!K365</f>
        <v>0</v>
      </c>
      <c r="M365">
        <f>セットアップレポート!L365</f>
        <v>0</v>
      </c>
      <c r="N365">
        <f>セットアップレポート!M365</f>
        <v>0</v>
      </c>
      <c r="O365">
        <f>セットアップレポート!N365</f>
        <v>0</v>
      </c>
      <c r="P365" t="str">
        <f>セットアップレポート!O365</f>
        <v>FA0201ABD000379</v>
      </c>
      <c r="Q365">
        <f>セットアップレポート!P365</f>
        <v>10000</v>
      </c>
      <c r="R365">
        <f>セットアップレポート!Q365</f>
        <v>45931.82135416667</v>
      </c>
      <c r="S365">
        <f>セットアップレポート!R365</f>
        <v>0</v>
      </c>
      <c r="T365">
        <f>セットアップレポート!S365</f>
        <v>0</v>
      </c>
      <c r="U365">
        <f>セットアップレポート!T365</f>
        <v>0</v>
      </c>
      <c r="V365">
        <f>セットアップレポート!U365</f>
        <v>0</v>
      </c>
      <c r="W365">
        <f>セットアップレポート!V365</f>
        <v>0</v>
      </c>
      <c r="X365">
        <f>セットアップレポート!W365</f>
        <v>0</v>
      </c>
      <c r="Y365">
        <f>セットアップレポート!X365</f>
        <v>0</v>
      </c>
      <c r="Z365">
        <f>セットアップレポート!Y365</f>
        <v>0</v>
      </c>
      <c r="AA365">
        <f>セットアップレポート!Z365</f>
        <v>0</v>
      </c>
      <c r="AB365" t="str">
        <f>セットアップレポート!AA365</f>
        <v>NONE</v>
      </c>
      <c r="AC365">
        <f>セットアップレポート!AB365</f>
        <v>0</v>
      </c>
      <c r="AD365">
        <f>セットアップレポート!AC365</f>
        <v>0</v>
      </c>
      <c r="AE365">
        <f>セットアップレポート!AD365</f>
        <v>0</v>
      </c>
      <c r="AF365">
        <f>セットアップレポート!AE365</f>
        <v>0</v>
      </c>
      <c r="AG365">
        <f>セットアップレポート!AF365</f>
        <v>0</v>
      </c>
      <c r="AH365">
        <f>セットアップレポート!AG365</f>
        <v>0</v>
      </c>
    </row>
    <row r="366" spans="1:34" x14ac:dyDescent="0.45">
      <c r="A366" t="str">
        <f t="shared" si="5"/>
        <v>L2-NPM010019R9000066581</v>
      </c>
      <c r="B366" t="str">
        <f>セットアップレポート!A366</f>
        <v>Line-2</v>
      </c>
      <c r="C366" t="str">
        <f>セットアップレポート!B366</f>
        <v>L2-NPM01</v>
      </c>
      <c r="D366" t="str">
        <f>セットアップレポート!C366</f>
        <v>Zone-2-NPMW-1</v>
      </c>
      <c r="E366">
        <f>セットアップレポート!D366</f>
        <v>1</v>
      </c>
      <c r="F366">
        <f>セットアップレポート!E366</f>
        <v>1</v>
      </c>
      <c r="G366" t="str">
        <f>セットアップレポート!F366</f>
        <v>20019R</v>
      </c>
      <c r="H366">
        <f>セットアップレポート!G366</f>
        <v>19</v>
      </c>
      <c r="I366" t="str">
        <f>セットアップレポート!H366</f>
        <v>R</v>
      </c>
      <c r="J366" t="str">
        <f>セットアップレポート!I366</f>
        <v>9000066581 100010</v>
      </c>
      <c r="K366">
        <f>セットアップレポート!J366</f>
        <v>9000066581</v>
      </c>
      <c r="L366">
        <f>セットアップレポート!K366</f>
        <v>0</v>
      </c>
      <c r="M366">
        <f>セットアップレポート!L366</f>
        <v>0</v>
      </c>
      <c r="N366">
        <f>セットアップレポート!M366</f>
        <v>0</v>
      </c>
      <c r="O366">
        <f>セットアップレポート!N366</f>
        <v>0</v>
      </c>
      <c r="P366" t="str">
        <f>セットアップレポート!O366</f>
        <v>FA0201ACD051491</v>
      </c>
      <c r="Q366">
        <f>セットアップレポート!P366</f>
        <v>10000</v>
      </c>
      <c r="R366">
        <f>セットアップレポート!Q366</f>
        <v>45950.475081018521</v>
      </c>
      <c r="S366">
        <f>セットアップレポート!R366</f>
        <v>0</v>
      </c>
      <c r="T366" t="str">
        <f>セットアップレポート!S366</f>
        <v>Yes</v>
      </c>
      <c r="U366">
        <f>セットアップレポート!T366</f>
        <v>0</v>
      </c>
      <c r="V366" t="str">
        <f>セットアップレポート!U366</f>
        <v>9000066581 100012</v>
      </c>
      <c r="W366">
        <f>セットアップレポート!V366</f>
        <v>0</v>
      </c>
      <c r="X366">
        <f>セットアップレポート!W366</f>
        <v>0</v>
      </c>
      <c r="Y366">
        <f>セットアップレポート!X366</f>
        <v>0</v>
      </c>
      <c r="Z366">
        <f>セットアップレポート!Y366</f>
        <v>0</v>
      </c>
      <c r="AA366">
        <f>セットアップレポート!Z366</f>
        <v>0</v>
      </c>
      <c r="AB366" t="str">
        <f>セットアップレポート!AA366</f>
        <v>NONE</v>
      </c>
      <c r="AC366">
        <f>セットアップレポート!AB366</f>
        <v>0</v>
      </c>
      <c r="AD366">
        <f>セットアップレポート!AC366</f>
        <v>0</v>
      </c>
      <c r="AE366">
        <f>セットアップレポート!AD366</f>
        <v>0</v>
      </c>
      <c r="AF366">
        <f>セットアップレポート!AE366</f>
        <v>0</v>
      </c>
      <c r="AG366">
        <f>セットアップレポート!AF366</f>
        <v>0</v>
      </c>
      <c r="AH366">
        <f>セットアップレポート!AG366</f>
        <v>0</v>
      </c>
    </row>
    <row r="367" spans="1:34" x14ac:dyDescent="0.45">
      <c r="A367" t="str">
        <f t="shared" si="5"/>
        <v>L2-NPM010018R9000065149</v>
      </c>
      <c r="B367" t="str">
        <f>セットアップレポート!A367</f>
        <v>Line-2</v>
      </c>
      <c r="C367" t="str">
        <f>セットアップレポート!B367</f>
        <v>L2-NPM01</v>
      </c>
      <c r="D367" t="str">
        <f>セットアップレポート!C367</f>
        <v>Zone-2-NPMW-1</v>
      </c>
      <c r="E367">
        <f>セットアップレポート!D367</f>
        <v>1</v>
      </c>
      <c r="F367">
        <f>セットアップレポート!E367</f>
        <v>1</v>
      </c>
      <c r="G367" t="str">
        <f>セットアップレポート!F367</f>
        <v>20018R</v>
      </c>
      <c r="H367">
        <f>セットアップレポート!G367</f>
        <v>18</v>
      </c>
      <c r="I367" t="str">
        <f>セットアップレポート!H367</f>
        <v>R</v>
      </c>
      <c r="J367" t="str">
        <f>セットアップレポート!I367</f>
        <v>9000065149 100006</v>
      </c>
      <c r="K367">
        <f>セットアップレポート!J367</f>
        <v>9000065149</v>
      </c>
      <c r="L367">
        <f>セットアップレポート!K367</f>
        <v>0</v>
      </c>
      <c r="M367">
        <f>セットアップレポート!L367</f>
        <v>0</v>
      </c>
      <c r="N367">
        <f>セットアップレポート!M367</f>
        <v>0</v>
      </c>
      <c r="O367">
        <f>セットアップレポート!N367</f>
        <v>0</v>
      </c>
      <c r="P367" t="str">
        <f>セットアップレポート!O367</f>
        <v>FA0201ACD049720</v>
      </c>
      <c r="Q367">
        <f>セットアップレポート!P367</f>
        <v>10000</v>
      </c>
      <c r="R367">
        <f>セットアップレポート!Q367</f>
        <v>45950.697962962964</v>
      </c>
      <c r="S367" t="str">
        <f>セットアップレポート!R367</f>
        <v>OP</v>
      </c>
      <c r="T367">
        <f>セットアップレポート!S367</f>
        <v>0</v>
      </c>
      <c r="U367">
        <f>セットアップレポート!T367</f>
        <v>0</v>
      </c>
      <c r="V367">
        <f>セットアップレポート!U367</f>
        <v>0</v>
      </c>
      <c r="W367">
        <f>セットアップレポート!V367</f>
        <v>0</v>
      </c>
      <c r="X367">
        <f>セットアップレポート!W367</f>
        <v>0</v>
      </c>
      <c r="Y367">
        <f>セットアップレポート!X367</f>
        <v>0</v>
      </c>
      <c r="Z367">
        <f>セットアップレポート!Y367</f>
        <v>0</v>
      </c>
      <c r="AA367">
        <f>セットアップレポート!Z367</f>
        <v>0</v>
      </c>
      <c r="AB367" t="str">
        <f>セットアップレポート!AA367</f>
        <v>NONE</v>
      </c>
      <c r="AC367">
        <f>セットアップレポート!AB367</f>
        <v>0</v>
      </c>
      <c r="AD367">
        <f>セットアップレポート!AC367</f>
        <v>0</v>
      </c>
      <c r="AE367">
        <f>セットアップレポート!AD367</f>
        <v>0</v>
      </c>
      <c r="AF367">
        <f>セットアップレポート!AE367</f>
        <v>0</v>
      </c>
      <c r="AG367">
        <f>セットアップレポート!AF367</f>
        <v>0</v>
      </c>
      <c r="AH367">
        <f>セットアップレポート!AG367</f>
        <v>0</v>
      </c>
    </row>
    <row r="368" spans="1:34" x14ac:dyDescent="0.45">
      <c r="A368" t="str">
        <f t="shared" si="5"/>
        <v>L2-NPM010017R9000066682</v>
      </c>
      <c r="B368" t="str">
        <f>セットアップレポート!A368</f>
        <v>Line-2</v>
      </c>
      <c r="C368" t="str">
        <f>セットアップレポート!B368</f>
        <v>L2-NPM01</v>
      </c>
      <c r="D368" t="str">
        <f>セットアップレポート!C368</f>
        <v>Zone-2-NPMW-1</v>
      </c>
      <c r="E368">
        <f>セットアップレポート!D368</f>
        <v>1</v>
      </c>
      <c r="F368">
        <f>セットアップレポート!E368</f>
        <v>1</v>
      </c>
      <c r="G368" t="str">
        <f>セットアップレポート!F368</f>
        <v>20017R</v>
      </c>
      <c r="H368">
        <f>セットアップレポート!G368</f>
        <v>17</v>
      </c>
      <c r="I368" t="str">
        <f>セットアップレポート!H368</f>
        <v>R</v>
      </c>
      <c r="J368" t="str">
        <f>セットアップレポート!I368</f>
        <v>9000066682 100010</v>
      </c>
      <c r="K368">
        <f>セットアップレポート!J368</f>
        <v>9000066682</v>
      </c>
      <c r="L368">
        <f>セットアップレポート!K368</f>
        <v>0</v>
      </c>
      <c r="M368">
        <f>セットアップレポート!L368</f>
        <v>0</v>
      </c>
      <c r="N368">
        <f>セットアップレポート!M368</f>
        <v>0</v>
      </c>
      <c r="O368">
        <f>セットアップレポート!N368</f>
        <v>0</v>
      </c>
      <c r="P368" t="str">
        <f>セットアップレポート!O368</f>
        <v>FA0201ACD051382</v>
      </c>
      <c r="Q368">
        <f>セットアップレポート!P368</f>
        <v>2000</v>
      </c>
      <c r="R368">
        <f>セットアップレポート!Q368</f>
        <v>45950.475081018521</v>
      </c>
      <c r="S368">
        <f>セットアップレポート!R368</f>
        <v>0</v>
      </c>
      <c r="T368" t="str">
        <f>セットアップレポート!S368</f>
        <v>Yes</v>
      </c>
      <c r="U368">
        <f>セットアップレポート!T368</f>
        <v>0</v>
      </c>
      <c r="V368" t="str">
        <f>セットアップレポート!U368</f>
        <v>9000066682 100012</v>
      </c>
      <c r="W368">
        <f>セットアップレポート!V368</f>
        <v>0</v>
      </c>
      <c r="X368">
        <f>セットアップレポート!W368</f>
        <v>0</v>
      </c>
      <c r="Y368">
        <f>セットアップレポート!X368</f>
        <v>0</v>
      </c>
      <c r="Z368">
        <f>セットアップレポート!Y368</f>
        <v>0</v>
      </c>
      <c r="AA368">
        <f>セットアップレポート!Z368</f>
        <v>0</v>
      </c>
      <c r="AB368" t="str">
        <f>セットアップレポート!AA368</f>
        <v>NONE</v>
      </c>
      <c r="AC368">
        <f>セットアップレポート!AB368</f>
        <v>0</v>
      </c>
      <c r="AD368">
        <f>セットアップレポート!AC368</f>
        <v>0</v>
      </c>
      <c r="AE368">
        <f>セットアップレポート!AD368</f>
        <v>0</v>
      </c>
      <c r="AF368">
        <f>セットアップレポート!AE368</f>
        <v>0</v>
      </c>
      <c r="AG368">
        <f>セットアップレポート!AF368</f>
        <v>0</v>
      </c>
      <c r="AH368">
        <f>セットアップレポート!AG368</f>
        <v>0</v>
      </c>
    </row>
    <row r="369" spans="1:34" x14ac:dyDescent="0.45">
      <c r="A369" t="str">
        <f t="shared" si="5"/>
        <v>L2-NPM010016R909607</v>
      </c>
      <c r="B369" t="str">
        <f>セットアップレポート!A369</f>
        <v>Line-2</v>
      </c>
      <c r="C369" t="str">
        <f>セットアップレポート!B369</f>
        <v>L2-NPM01</v>
      </c>
      <c r="D369" t="str">
        <f>セットアップレポート!C369</f>
        <v>Zone-2-NPMW-1</v>
      </c>
      <c r="E369">
        <f>セットアップレポート!D369</f>
        <v>1</v>
      </c>
      <c r="F369">
        <f>セットアップレポート!E369</f>
        <v>1</v>
      </c>
      <c r="G369" t="str">
        <f>セットアップレポート!F369</f>
        <v>20016R</v>
      </c>
      <c r="H369">
        <f>セットアップレポート!G369</f>
        <v>16</v>
      </c>
      <c r="I369" t="str">
        <f>セットアップレポート!H369</f>
        <v>R</v>
      </c>
      <c r="J369" t="str">
        <f>セットアップレポート!I369</f>
        <v>909607 100216</v>
      </c>
      <c r="K369">
        <f>セットアップレポート!J369</f>
        <v>909607</v>
      </c>
      <c r="L369">
        <f>セットアップレポート!K369</f>
        <v>0</v>
      </c>
      <c r="M369">
        <f>セットアップレポート!L369</f>
        <v>0</v>
      </c>
      <c r="N369">
        <f>セットアップレポート!M369</f>
        <v>0</v>
      </c>
      <c r="O369">
        <f>セットアップレポート!N369</f>
        <v>0</v>
      </c>
      <c r="P369" t="str">
        <f>セットアップレポート!O369</f>
        <v>FA0201ABA002386</v>
      </c>
      <c r="Q369">
        <f>セットアップレポート!P369</f>
        <v>10000</v>
      </c>
      <c r="R369">
        <f>セットアップレポート!Q369</f>
        <v>45950.475081018521</v>
      </c>
      <c r="S369">
        <f>セットアップレポート!R369</f>
        <v>0</v>
      </c>
      <c r="T369">
        <f>セットアップレポート!S369</f>
        <v>0</v>
      </c>
      <c r="U369">
        <f>セットアップレポート!T369</f>
        <v>0</v>
      </c>
      <c r="V369">
        <f>セットアップレポート!U369</f>
        <v>0</v>
      </c>
      <c r="W369">
        <f>セットアップレポート!V369</f>
        <v>0</v>
      </c>
      <c r="X369">
        <f>セットアップレポート!W369</f>
        <v>0</v>
      </c>
      <c r="Y369">
        <f>セットアップレポート!X369</f>
        <v>0</v>
      </c>
      <c r="Z369">
        <f>セットアップレポート!Y369</f>
        <v>0</v>
      </c>
      <c r="AA369">
        <f>セットアップレポート!Z369</f>
        <v>0</v>
      </c>
      <c r="AB369" t="str">
        <f>セットアップレポート!AA369</f>
        <v>NONE</v>
      </c>
      <c r="AC369">
        <f>セットアップレポート!AB369</f>
        <v>0</v>
      </c>
      <c r="AD369">
        <f>セットアップレポート!AC369</f>
        <v>0</v>
      </c>
      <c r="AE369">
        <f>セットアップレポート!AD369</f>
        <v>0</v>
      </c>
      <c r="AF369">
        <f>セットアップレポート!AE369</f>
        <v>0</v>
      </c>
      <c r="AG369">
        <f>セットアップレポート!AF369</f>
        <v>0</v>
      </c>
      <c r="AH369">
        <f>セットアップレポート!AG369</f>
        <v>0</v>
      </c>
    </row>
    <row r="370" spans="1:34" x14ac:dyDescent="0.45">
      <c r="A370" t="str">
        <f t="shared" si="5"/>
        <v>L2-NPM010015R678615</v>
      </c>
      <c r="B370" t="str">
        <f>セットアップレポート!A370</f>
        <v>Line-2</v>
      </c>
      <c r="C370" t="str">
        <f>セットアップレポート!B370</f>
        <v>L2-NPM01</v>
      </c>
      <c r="D370" t="str">
        <f>セットアップレポート!C370</f>
        <v>Zone-2-NPMW-1</v>
      </c>
      <c r="E370">
        <f>セットアップレポート!D370</f>
        <v>1</v>
      </c>
      <c r="F370">
        <f>セットアップレポート!E370</f>
        <v>1</v>
      </c>
      <c r="G370" t="str">
        <f>セットアップレポート!F370</f>
        <v>20015R</v>
      </c>
      <c r="H370">
        <f>セットアップレポート!G370</f>
        <v>15</v>
      </c>
      <c r="I370" t="str">
        <f>セットアップレポート!H370</f>
        <v>R</v>
      </c>
      <c r="J370" t="str">
        <f>セットアップレポート!I370</f>
        <v>678615 100272</v>
      </c>
      <c r="K370">
        <f>セットアップレポート!J370</f>
        <v>678615</v>
      </c>
      <c r="L370">
        <f>セットアップレポート!K370</f>
        <v>0</v>
      </c>
      <c r="M370">
        <f>セットアップレポート!L370</f>
        <v>0</v>
      </c>
      <c r="N370">
        <f>セットアップレポート!M370</f>
        <v>0</v>
      </c>
      <c r="O370">
        <f>セットアップレポート!N370</f>
        <v>0</v>
      </c>
      <c r="P370" t="str">
        <f>セットアップレポート!O370</f>
        <v>FA0201ACD051097</v>
      </c>
      <c r="Q370">
        <f>セットアップレポート!P370</f>
        <v>10000</v>
      </c>
      <c r="R370">
        <f>セットアップレポート!Q370</f>
        <v>45950.475081018521</v>
      </c>
      <c r="S370">
        <f>セットアップレポート!R370</f>
        <v>0</v>
      </c>
      <c r="T370">
        <f>セットアップレポート!S370</f>
        <v>0</v>
      </c>
      <c r="U370">
        <f>セットアップレポート!T370</f>
        <v>0</v>
      </c>
      <c r="V370">
        <f>セットアップレポート!U370</f>
        <v>0</v>
      </c>
      <c r="W370">
        <f>セットアップレポート!V370</f>
        <v>0</v>
      </c>
      <c r="X370">
        <f>セットアップレポート!W370</f>
        <v>0</v>
      </c>
      <c r="Y370">
        <f>セットアップレポート!X370</f>
        <v>0</v>
      </c>
      <c r="Z370">
        <f>セットアップレポート!Y370</f>
        <v>0</v>
      </c>
      <c r="AA370">
        <f>セットアップレポート!Z370</f>
        <v>0</v>
      </c>
      <c r="AB370" t="str">
        <f>セットアップレポート!AA370</f>
        <v>NONE</v>
      </c>
      <c r="AC370">
        <f>セットアップレポート!AB370</f>
        <v>0</v>
      </c>
      <c r="AD370">
        <f>セットアップレポート!AC370</f>
        <v>0</v>
      </c>
      <c r="AE370">
        <f>セットアップレポート!AD370</f>
        <v>0</v>
      </c>
      <c r="AF370">
        <f>セットアップレポート!AE370</f>
        <v>0</v>
      </c>
      <c r="AG370">
        <f>セットアップレポート!AF370</f>
        <v>0</v>
      </c>
      <c r="AH370">
        <f>セットアップレポート!AG370</f>
        <v>0</v>
      </c>
    </row>
    <row r="371" spans="1:34" x14ac:dyDescent="0.45">
      <c r="A371" t="str">
        <f t="shared" si="5"/>
        <v>L2-NPM010014R9000068528</v>
      </c>
      <c r="B371" t="str">
        <f>セットアップレポート!A371</f>
        <v>Line-2</v>
      </c>
      <c r="C371" t="str">
        <f>セットアップレポート!B371</f>
        <v>L2-NPM01</v>
      </c>
      <c r="D371" t="str">
        <f>セットアップレポート!C371</f>
        <v>Zone-2-NPMW-1</v>
      </c>
      <c r="E371">
        <f>セットアップレポート!D371</f>
        <v>1</v>
      </c>
      <c r="F371">
        <f>セットアップレポート!E371</f>
        <v>1</v>
      </c>
      <c r="G371" t="str">
        <f>セットアップレポート!F371</f>
        <v>20014R</v>
      </c>
      <c r="H371">
        <f>セットアップレポート!G371</f>
        <v>14</v>
      </c>
      <c r="I371" t="str">
        <f>セットアップレポート!H371</f>
        <v>R</v>
      </c>
      <c r="J371" t="str">
        <f>セットアップレポート!I371</f>
        <v>9000068528 100017</v>
      </c>
      <c r="K371">
        <f>セットアップレポート!J371</f>
        <v>9000068528</v>
      </c>
      <c r="L371">
        <f>セットアップレポート!K371</f>
        <v>0</v>
      </c>
      <c r="M371">
        <f>セットアップレポート!L371</f>
        <v>0</v>
      </c>
      <c r="N371">
        <f>セットアップレポート!M371</f>
        <v>0</v>
      </c>
      <c r="O371">
        <f>セットアップレポート!N371</f>
        <v>0</v>
      </c>
      <c r="P371" t="str">
        <f>セットアップレポート!O371</f>
        <v>FA0201ACD051085</v>
      </c>
      <c r="Q371">
        <f>セットアップレポート!P371</f>
        <v>10000</v>
      </c>
      <c r="R371">
        <f>セットアップレポート!Q371</f>
        <v>45950.475081018521</v>
      </c>
      <c r="S371">
        <f>セットアップレポート!R371</f>
        <v>0</v>
      </c>
      <c r="T371">
        <f>セットアップレポート!S371</f>
        <v>0</v>
      </c>
      <c r="U371">
        <f>セットアップレポート!T371</f>
        <v>0</v>
      </c>
      <c r="V371">
        <f>セットアップレポート!U371</f>
        <v>0</v>
      </c>
      <c r="W371">
        <f>セットアップレポート!V371</f>
        <v>0</v>
      </c>
      <c r="X371">
        <f>セットアップレポート!W371</f>
        <v>0</v>
      </c>
      <c r="Y371">
        <f>セットアップレポート!X371</f>
        <v>0</v>
      </c>
      <c r="Z371">
        <f>セットアップレポート!Y371</f>
        <v>0</v>
      </c>
      <c r="AA371">
        <f>セットアップレポート!Z371</f>
        <v>0</v>
      </c>
      <c r="AB371" t="str">
        <f>セットアップレポート!AA371</f>
        <v>NONE</v>
      </c>
      <c r="AC371">
        <f>セットアップレポート!AB371</f>
        <v>0</v>
      </c>
      <c r="AD371">
        <f>セットアップレポート!AC371</f>
        <v>0</v>
      </c>
      <c r="AE371">
        <f>セットアップレポート!AD371</f>
        <v>0</v>
      </c>
      <c r="AF371">
        <f>セットアップレポート!AE371</f>
        <v>0</v>
      </c>
      <c r="AG371">
        <f>セットアップレポート!AF371</f>
        <v>0</v>
      </c>
      <c r="AH371">
        <f>セットアップレポート!AG371</f>
        <v>0</v>
      </c>
    </row>
    <row r="372" spans="1:34" x14ac:dyDescent="0.45">
      <c r="A372" t="str">
        <f t="shared" si="5"/>
        <v>L2-NPM010013R910089</v>
      </c>
      <c r="B372" t="str">
        <f>セットアップレポート!A372</f>
        <v>Line-2</v>
      </c>
      <c r="C372" t="str">
        <f>セットアップレポート!B372</f>
        <v>L2-NPM01</v>
      </c>
      <c r="D372" t="str">
        <f>セットアップレポート!C372</f>
        <v>Zone-2-NPMW-1</v>
      </c>
      <c r="E372">
        <f>セットアップレポート!D372</f>
        <v>1</v>
      </c>
      <c r="F372">
        <f>セットアップレポート!E372</f>
        <v>1</v>
      </c>
      <c r="G372" t="str">
        <f>セットアップレポート!F372</f>
        <v>20013R</v>
      </c>
      <c r="H372">
        <f>セットアップレポート!G372</f>
        <v>13</v>
      </c>
      <c r="I372" t="str">
        <f>セットアップレポート!H372</f>
        <v>R</v>
      </c>
      <c r="J372" t="str">
        <f>セットアップレポート!I372</f>
        <v>910089 100104</v>
      </c>
      <c r="K372">
        <f>セットアップレポート!J372</f>
        <v>910089</v>
      </c>
      <c r="L372">
        <f>セットアップレポート!K372</f>
        <v>0</v>
      </c>
      <c r="M372">
        <f>セットアップレポート!L372</f>
        <v>0</v>
      </c>
      <c r="N372">
        <f>セットアップレポート!M372</f>
        <v>0</v>
      </c>
      <c r="O372">
        <f>セットアップレポート!N372</f>
        <v>0</v>
      </c>
      <c r="P372" t="str">
        <f>セットアップレポート!O372</f>
        <v>FA0201ACD051093</v>
      </c>
      <c r="Q372">
        <f>セットアップレポート!P372</f>
        <v>10000</v>
      </c>
      <c r="R372">
        <f>セットアップレポート!Q372</f>
        <v>45950.475081018521</v>
      </c>
      <c r="S372">
        <f>セットアップレポート!R372</f>
        <v>0</v>
      </c>
      <c r="T372">
        <f>セットアップレポート!S372</f>
        <v>0</v>
      </c>
      <c r="U372">
        <f>セットアップレポート!T372</f>
        <v>0</v>
      </c>
      <c r="V372">
        <f>セットアップレポート!U372</f>
        <v>0</v>
      </c>
      <c r="W372">
        <f>セットアップレポート!V372</f>
        <v>0</v>
      </c>
      <c r="X372">
        <f>セットアップレポート!W372</f>
        <v>0</v>
      </c>
      <c r="Y372">
        <f>セットアップレポート!X372</f>
        <v>0</v>
      </c>
      <c r="Z372">
        <f>セットアップレポート!Y372</f>
        <v>0</v>
      </c>
      <c r="AA372">
        <f>セットアップレポート!Z372</f>
        <v>0</v>
      </c>
      <c r="AB372" t="str">
        <f>セットアップレポート!AA372</f>
        <v>NONE</v>
      </c>
      <c r="AC372">
        <f>セットアップレポート!AB372</f>
        <v>0</v>
      </c>
      <c r="AD372">
        <f>セットアップレポート!AC372</f>
        <v>0</v>
      </c>
      <c r="AE372">
        <f>セットアップレポート!AD372</f>
        <v>0</v>
      </c>
      <c r="AF372">
        <f>セットアップレポート!AE372</f>
        <v>0</v>
      </c>
      <c r="AG372">
        <f>セットアップレポート!AF372</f>
        <v>0</v>
      </c>
      <c r="AH372">
        <f>セットアップレポート!AG372</f>
        <v>0</v>
      </c>
    </row>
    <row r="373" spans="1:34" x14ac:dyDescent="0.45">
      <c r="A373" t="str">
        <f t="shared" si="5"/>
        <v>L2-NPM010012R672612</v>
      </c>
      <c r="B373" t="str">
        <f>セットアップレポート!A373</f>
        <v>Line-2</v>
      </c>
      <c r="C373" t="str">
        <f>セットアップレポート!B373</f>
        <v>L2-NPM01</v>
      </c>
      <c r="D373" t="str">
        <f>セットアップレポート!C373</f>
        <v>Zone-2-NPMW-1</v>
      </c>
      <c r="E373">
        <f>セットアップレポート!D373</f>
        <v>1</v>
      </c>
      <c r="F373">
        <f>セットアップレポート!E373</f>
        <v>1</v>
      </c>
      <c r="G373" t="str">
        <f>セットアップレポート!F373</f>
        <v>20012R</v>
      </c>
      <c r="H373">
        <f>セットアップレポート!G373</f>
        <v>12</v>
      </c>
      <c r="I373" t="str">
        <f>セットアップレポート!H373</f>
        <v>R</v>
      </c>
      <c r="J373" t="str">
        <f>セットアップレポート!I373</f>
        <v>672612 100016</v>
      </c>
      <c r="K373">
        <f>セットアップレポート!J373</f>
        <v>672612</v>
      </c>
      <c r="L373">
        <f>セットアップレポート!K373</f>
        <v>0</v>
      </c>
      <c r="M373">
        <f>セットアップレポート!L373</f>
        <v>0</v>
      </c>
      <c r="N373">
        <f>セットアップレポート!M373</f>
        <v>0</v>
      </c>
      <c r="O373">
        <f>セットアップレポート!N373</f>
        <v>0</v>
      </c>
      <c r="P373" t="str">
        <f>セットアップレポート!O373</f>
        <v>FA0201ACD051088</v>
      </c>
      <c r="Q373">
        <f>セットアップレポート!P373</f>
        <v>10000</v>
      </c>
      <c r="R373">
        <f>セットアップレポート!Q373</f>
        <v>45950.475081018521</v>
      </c>
      <c r="S373">
        <f>セットアップレポート!R373</f>
        <v>0</v>
      </c>
      <c r="T373">
        <f>セットアップレポート!S373</f>
        <v>0</v>
      </c>
      <c r="U373">
        <f>セットアップレポート!T373</f>
        <v>0</v>
      </c>
      <c r="V373">
        <f>セットアップレポート!U373</f>
        <v>0</v>
      </c>
      <c r="W373">
        <f>セットアップレポート!V373</f>
        <v>0</v>
      </c>
      <c r="X373">
        <f>セットアップレポート!W373</f>
        <v>0</v>
      </c>
      <c r="Y373">
        <f>セットアップレポート!X373</f>
        <v>0</v>
      </c>
      <c r="Z373">
        <f>セットアップレポート!Y373</f>
        <v>0</v>
      </c>
      <c r="AA373">
        <f>セットアップレポート!Z373</f>
        <v>0</v>
      </c>
      <c r="AB373" t="str">
        <f>セットアップレポート!AA373</f>
        <v>NONE</v>
      </c>
      <c r="AC373">
        <f>セットアップレポート!AB373</f>
        <v>0</v>
      </c>
      <c r="AD373">
        <f>セットアップレポート!AC373</f>
        <v>0</v>
      </c>
      <c r="AE373">
        <f>セットアップレポート!AD373</f>
        <v>0</v>
      </c>
      <c r="AF373">
        <f>セットアップレポート!AE373</f>
        <v>0</v>
      </c>
      <c r="AG373">
        <f>セットアップレポート!AF373</f>
        <v>0</v>
      </c>
      <c r="AH373">
        <f>セットアップレポート!AG373</f>
        <v>0</v>
      </c>
    </row>
    <row r="374" spans="1:34" x14ac:dyDescent="0.45">
      <c r="A374" t="str">
        <f t="shared" si="5"/>
        <v>L2-NPM010011R910098</v>
      </c>
      <c r="B374" t="str">
        <f>セットアップレポート!A374</f>
        <v>Line-2</v>
      </c>
      <c r="C374" t="str">
        <f>セットアップレポート!B374</f>
        <v>L2-NPM01</v>
      </c>
      <c r="D374" t="str">
        <f>セットアップレポート!C374</f>
        <v>Zone-2-NPMW-1</v>
      </c>
      <c r="E374">
        <f>セットアップレポート!D374</f>
        <v>1</v>
      </c>
      <c r="F374">
        <f>セットアップレポート!E374</f>
        <v>1</v>
      </c>
      <c r="G374" t="str">
        <f>セットアップレポート!F374</f>
        <v>20011R</v>
      </c>
      <c r="H374">
        <f>セットアップレポート!G374</f>
        <v>11</v>
      </c>
      <c r="I374" t="str">
        <f>セットアップレポート!H374</f>
        <v>R</v>
      </c>
      <c r="J374" t="str">
        <f>セットアップレポート!I374</f>
        <v>910098 100034</v>
      </c>
      <c r="K374">
        <f>セットアップレポート!J374</f>
        <v>910098</v>
      </c>
      <c r="L374">
        <f>セットアップレポート!K374</f>
        <v>0</v>
      </c>
      <c r="M374">
        <f>セットアップレポート!L374</f>
        <v>0</v>
      </c>
      <c r="N374">
        <f>セットアップレポート!M374</f>
        <v>0</v>
      </c>
      <c r="O374">
        <f>セットアップレポート!N374</f>
        <v>0</v>
      </c>
      <c r="P374" t="str">
        <f>セットアップレポート!O374</f>
        <v>FA0201ACD051202</v>
      </c>
      <c r="Q374">
        <f>セットアップレポート!P374</f>
        <v>10000</v>
      </c>
      <c r="R374">
        <f>セットアップレポート!Q374</f>
        <v>45950.475081018521</v>
      </c>
      <c r="S374">
        <f>セットアップレポート!R374</f>
        <v>0</v>
      </c>
      <c r="T374" t="str">
        <f>セットアップレポート!S374</f>
        <v>Yes</v>
      </c>
      <c r="U374">
        <f>セットアップレポート!T374</f>
        <v>0</v>
      </c>
      <c r="V374" t="str">
        <f>セットアップレポート!U374</f>
        <v>910098 100047</v>
      </c>
      <c r="W374">
        <f>セットアップレポート!V374</f>
        <v>0</v>
      </c>
      <c r="X374">
        <f>セットアップレポート!W374</f>
        <v>0</v>
      </c>
      <c r="Y374">
        <f>セットアップレポート!X374</f>
        <v>0</v>
      </c>
      <c r="Z374">
        <f>セットアップレポート!Y374</f>
        <v>0</v>
      </c>
      <c r="AA374">
        <f>セットアップレポート!Z374</f>
        <v>0</v>
      </c>
      <c r="AB374" t="str">
        <f>セットアップレポート!AA374</f>
        <v>NONE</v>
      </c>
      <c r="AC374">
        <f>セットアップレポート!AB374</f>
        <v>0</v>
      </c>
      <c r="AD374">
        <f>セットアップレポート!AC374</f>
        <v>0</v>
      </c>
      <c r="AE374">
        <f>セットアップレポート!AD374</f>
        <v>0</v>
      </c>
      <c r="AF374">
        <f>セットアップレポート!AE374</f>
        <v>0</v>
      </c>
      <c r="AG374">
        <f>セットアップレポート!AF374</f>
        <v>0</v>
      </c>
      <c r="AH374">
        <f>セットアップレポート!AG374</f>
        <v>0</v>
      </c>
    </row>
    <row r="375" spans="1:34" x14ac:dyDescent="0.45">
      <c r="A375" t="str">
        <f t="shared" si="5"/>
        <v>L2-NPM010010R667779</v>
      </c>
      <c r="B375" t="str">
        <f>セットアップレポート!A375</f>
        <v>Line-2</v>
      </c>
      <c r="C375" t="str">
        <f>セットアップレポート!B375</f>
        <v>L2-NPM01</v>
      </c>
      <c r="D375" t="str">
        <f>セットアップレポート!C375</f>
        <v>Zone-2-NPMW-1</v>
      </c>
      <c r="E375">
        <f>セットアップレポート!D375</f>
        <v>1</v>
      </c>
      <c r="F375">
        <f>セットアップレポート!E375</f>
        <v>1</v>
      </c>
      <c r="G375" t="str">
        <f>セットアップレポート!F375</f>
        <v>20010R</v>
      </c>
      <c r="H375">
        <f>セットアップレポート!G375</f>
        <v>10</v>
      </c>
      <c r="I375" t="str">
        <f>セットアップレポート!H375</f>
        <v>R</v>
      </c>
      <c r="J375" t="str">
        <f>セットアップレポート!I375</f>
        <v>667779 100181</v>
      </c>
      <c r="K375">
        <f>セットアップレポート!J375</f>
        <v>667779</v>
      </c>
      <c r="L375">
        <f>セットアップレポート!K375</f>
        <v>0</v>
      </c>
      <c r="M375">
        <f>セットアップレポート!L375</f>
        <v>0</v>
      </c>
      <c r="N375">
        <f>セットアップレポート!M375</f>
        <v>0</v>
      </c>
      <c r="O375">
        <f>セットアップレポート!N375</f>
        <v>0</v>
      </c>
      <c r="P375" t="str">
        <f>セットアップレポート!O375</f>
        <v>FA0201ABD000429</v>
      </c>
      <c r="Q375">
        <f>セットアップレポート!P375</f>
        <v>10000</v>
      </c>
      <c r="R375">
        <f>セットアップレポート!Q375</f>
        <v>45950.475081018521</v>
      </c>
      <c r="S375">
        <f>セットアップレポート!R375</f>
        <v>0</v>
      </c>
      <c r="T375" t="str">
        <f>セットアップレポート!S375</f>
        <v>Yes</v>
      </c>
      <c r="U375">
        <f>セットアップレポート!T375</f>
        <v>0</v>
      </c>
      <c r="V375" t="str">
        <f>セットアップレポート!U375</f>
        <v>667779 100286</v>
      </c>
      <c r="W375">
        <f>セットアップレポート!V375</f>
        <v>0</v>
      </c>
      <c r="X375">
        <f>セットアップレポート!W375</f>
        <v>0</v>
      </c>
      <c r="Y375">
        <f>セットアップレポート!X375</f>
        <v>0</v>
      </c>
      <c r="Z375">
        <f>セットアップレポート!Y375</f>
        <v>0</v>
      </c>
      <c r="AA375">
        <f>セットアップレポート!Z375</f>
        <v>0</v>
      </c>
      <c r="AB375" t="str">
        <f>セットアップレポート!AA375</f>
        <v>NONE</v>
      </c>
      <c r="AC375">
        <f>セットアップレポート!AB375</f>
        <v>0</v>
      </c>
      <c r="AD375">
        <f>セットアップレポート!AC375</f>
        <v>0</v>
      </c>
      <c r="AE375">
        <f>セットアップレポート!AD375</f>
        <v>0</v>
      </c>
      <c r="AF375">
        <f>セットアップレポート!AE375</f>
        <v>0</v>
      </c>
      <c r="AG375">
        <f>セットアップレポート!AF375</f>
        <v>0</v>
      </c>
      <c r="AH375">
        <f>セットアップレポート!AG375</f>
        <v>0</v>
      </c>
    </row>
    <row r="376" spans="1:34" x14ac:dyDescent="0.45">
      <c r="A376" t="str">
        <f t="shared" si="5"/>
        <v>L2-NPM010009R667672</v>
      </c>
      <c r="B376" t="str">
        <f>セットアップレポート!A376</f>
        <v>Line-2</v>
      </c>
      <c r="C376" t="str">
        <f>セットアップレポート!B376</f>
        <v>L2-NPM01</v>
      </c>
      <c r="D376" t="str">
        <f>セットアップレポート!C376</f>
        <v>Zone-2-NPMW-1</v>
      </c>
      <c r="E376">
        <f>セットアップレポート!D376</f>
        <v>1</v>
      </c>
      <c r="F376">
        <f>セットアップレポート!E376</f>
        <v>1</v>
      </c>
      <c r="G376" t="str">
        <f>セットアップレポート!F376</f>
        <v>20009R</v>
      </c>
      <c r="H376">
        <f>セットアップレポート!G376</f>
        <v>9</v>
      </c>
      <c r="I376" t="str">
        <f>セットアップレポート!H376</f>
        <v>R</v>
      </c>
      <c r="J376" t="str">
        <f>セットアップレポート!I376</f>
        <v>667672 100500</v>
      </c>
      <c r="K376">
        <f>セットアップレポート!J376</f>
        <v>667672</v>
      </c>
      <c r="L376">
        <f>セットアップレポート!K376</f>
        <v>0</v>
      </c>
      <c r="M376">
        <f>セットアップレポート!L376</f>
        <v>0</v>
      </c>
      <c r="N376">
        <f>セットアップレポート!M376</f>
        <v>0</v>
      </c>
      <c r="O376">
        <f>セットアップレポート!N376</f>
        <v>0</v>
      </c>
      <c r="P376" t="str">
        <f>セットアップレポート!O376</f>
        <v>FA0201ACD051183</v>
      </c>
      <c r="Q376">
        <f>セットアップレポート!P376</f>
        <v>10000</v>
      </c>
      <c r="R376">
        <f>セットアップレポート!Q376</f>
        <v>45950.475081018521</v>
      </c>
      <c r="S376">
        <f>セットアップレポート!R376</f>
        <v>0</v>
      </c>
      <c r="T376">
        <f>セットアップレポート!S376</f>
        <v>0</v>
      </c>
      <c r="U376">
        <f>セットアップレポート!T376</f>
        <v>0</v>
      </c>
      <c r="V376">
        <f>セットアップレポート!U376</f>
        <v>0</v>
      </c>
      <c r="W376">
        <f>セットアップレポート!V376</f>
        <v>0</v>
      </c>
      <c r="X376">
        <f>セットアップレポート!W376</f>
        <v>0</v>
      </c>
      <c r="Y376">
        <f>セットアップレポート!X376</f>
        <v>0</v>
      </c>
      <c r="Z376">
        <f>セットアップレポート!Y376</f>
        <v>0</v>
      </c>
      <c r="AA376">
        <f>セットアップレポート!Z376</f>
        <v>0</v>
      </c>
      <c r="AB376" t="str">
        <f>セットアップレポート!AA376</f>
        <v>NONE</v>
      </c>
      <c r="AC376">
        <f>セットアップレポート!AB376</f>
        <v>0</v>
      </c>
      <c r="AD376">
        <f>セットアップレポート!AC376</f>
        <v>0</v>
      </c>
      <c r="AE376">
        <f>セットアップレポート!AD376</f>
        <v>0</v>
      </c>
      <c r="AF376">
        <f>セットアップレポート!AE376</f>
        <v>0</v>
      </c>
      <c r="AG376">
        <f>セットアップレポート!AF376</f>
        <v>0</v>
      </c>
      <c r="AH376">
        <f>セットアップレポート!AG376</f>
        <v>0</v>
      </c>
    </row>
    <row r="377" spans="1:34" x14ac:dyDescent="0.45">
      <c r="A377" t="str">
        <f t="shared" si="5"/>
        <v>L2-NPM010008R667814</v>
      </c>
      <c r="B377" t="str">
        <f>セットアップレポート!A377</f>
        <v>Line-2</v>
      </c>
      <c r="C377" t="str">
        <f>セットアップレポート!B377</f>
        <v>L2-NPM01</v>
      </c>
      <c r="D377" t="str">
        <f>セットアップレポート!C377</f>
        <v>Zone-2-NPMW-1</v>
      </c>
      <c r="E377">
        <f>セットアップレポート!D377</f>
        <v>1</v>
      </c>
      <c r="F377">
        <f>セットアップレポート!E377</f>
        <v>1</v>
      </c>
      <c r="G377" t="str">
        <f>セットアップレポート!F377</f>
        <v>20008R</v>
      </c>
      <c r="H377">
        <f>セットアップレポート!G377</f>
        <v>8</v>
      </c>
      <c r="I377" t="str">
        <f>セットアップレポート!H377</f>
        <v>R</v>
      </c>
      <c r="J377" t="str">
        <f>セットアップレポート!I377</f>
        <v>667814 100511</v>
      </c>
      <c r="K377">
        <f>セットアップレポート!J377</f>
        <v>667814</v>
      </c>
      <c r="L377">
        <f>セットアップレポート!K377</f>
        <v>0</v>
      </c>
      <c r="M377">
        <f>セットアップレポート!L377</f>
        <v>0</v>
      </c>
      <c r="N377">
        <f>セットアップレポート!M377</f>
        <v>0</v>
      </c>
      <c r="O377">
        <f>セットアップレポート!N377</f>
        <v>0</v>
      </c>
      <c r="P377" t="str">
        <f>セットアップレポート!O377</f>
        <v>FA0201ACD049747</v>
      </c>
      <c r="Q377">
        <f>セットアップレポート!P377</f>
        <v>10000</v>
      </c>
      <c r="R377">
        <f>セットアップレポート!Q377</f>
        <v>45950.475081018521</v>
      </c>
      <c r="S377">
        <f>セットアップレポート!R377</f>
        <v>0</v>
      </c>
      <c r="T377">
        <f>セットアップレポート!S377</f>
        <v>0</v>
      </c>
      <c r="U377">
        <f>セットアップレポート!T377</f>
        <v>0</v>
      </c>
      <c r="V377">
        <f>セットアップレポート!U377</f>
        <v>0</v>
      </c>
      <c r="W377">
        <f>セットアップレポート!V377</f>
        <v>0</v>
      </c>
      <c r="X377">
        <f>セットアップレポート!W377</f>
        <v>0</v>
      </c>
      <c r="Y377">
        <f>セットアップレポート!X377</f>
        <v>0</v>
      </c>
      <c r="Z377">
        <f>セットアップレポート!Y377</f>
        <v>0</v>
      </c>
      <c r="AA377">
        <f>セットアップレポート!Z377</f>
        <v>0</v>
      </c>
      <c r="AB377" t="str">
        <f>セットアップレポート!AA377</f>
        <v>NONE</v>
      </c>
      <c r="AC377">
        <f>セットアップレポート!AB377</f>
        <v>0</v>
      </c>
      <c r="AD377">
        <f>セットアップレポート!AC377</f>
        <v>0</v>
      </c>
      <c r="AE377">
        <f>セットアップレポート!AD377</f>
        <v>0</v>
      </c>
      <c r="AF377">
        <f>セットアップレポート!AE377</f>
        <v>0</v>
      </c>
      <c r="AG377">
        <f>セットアップレポート!AF377</f>
        <v>0</v>
      </c>
      <c r="AH377">
        <f>セットアップレポート!AG377</f>
        <v>0</v>
      </c>
    </row>
    <row r="378" spans="1:34" x14ac:dyDescent="0.45">
      <c r="A378" t="str">
        <f t="shared" si="5"/>
        <v>L2-NPM010007R910062</v>
      </c>
      <c r="B378" t="str">
        <f>セットアップレポート!A378</f>
        <v>Line-2</v>
      </c>
      <c r="C378" t="str">
        <f>セットアップレポート!B378</f>
        <v>L2-NPM01</v>
      </c>
      <c r="D378" t="str">
        <f>セットアップレポート!C378</f>
        <v>Zone-2-NPMW-1</v>
      </c>
      <c r="E378">
        <f>セットアップレポート!D378</f>
        <v>1</v>
      </c>
      <c r="F378">
        <f>セットアップレポート!E378</f>
        <v>1</v>
      </c>
      <c r="G378" t="str">
        <f>セットアップレポート!F378</f>
        <v>20007R</v>
      </c>
      <c r="H378">
        <f>セットアップレポート!G378</f>
        <v>7</v>
      </c>
      <c r="I378" t="str">
        <f>セットアップレポート!H378</f>
        <v>R</v>
      </c>
      <c r="J378" t="str">
        <f>セットアップレポート!I378</f>
        <v>910062 100264</v>
      </c>
      <c r="K378">
        <f>セットアップレポート!J378</f>
        <v>910062</v>
      </c>
      <c r="L378">
        <f>セットアップレポート!K378</f>
        <v>0</v>
      </c>
      <c r="M378">
        <f>セットアップレポート!L378</f>
        <v>0</v>
      </c>
      <c r="N378">
        <f>セットアップレポート!M378</f>
        <v>0</v>
      </c>
      <c r="O378">
        <f>セットアップレポート!N378</f>
        <v>0</v>
      </c>
      <c r="P378" t="str">
        <f>セットアップレポート!O378</f>
        <v>FA0201ACD051387</v>
      </c>
      <c r="Q378">
        <f>セットアップレポート!P378</f>
        <v>10000</v>
      </c>
      <c r="R378">
        <f>セットアップレポート!Q378</f>
        <v>45950.475069444445</v>
      </c>
      <c r="S378">
        <f>セットアップレポート!R378</f>
        <v>0</v>
      </c>
      <c r="T378">
        <f>セットアップレポート!S378</f>
        <v>0</v>
      </c>
      <c r="U378">
        <f>セットアップレポート!T378</f>
        <v>0</v>
      </c>
      <c r="V378">
        <f>セットアップレポート!U378</f>
        <v>0</v>
      </c>
      <c r="W378">
        <f>セットアップレポート!V378</f>
        <v>0</v>
      </c>
      <c r="X378">
        <f>セットアップレポート!W378</f>
        <v>0</v>
      </c>
      <c r="Y378">
        <f>セットアップレポート!X378</f>
        <v>0</v>
      </c>
      <c r="Z378">
        <f>セットアップレポート!Y378</f>
        <v>0</v>
      </c>
      <c r="AA378">
        <f>セットアップレポート!Z378</f>
        <v>0</v>
      </c>
      <c r="AB378" t="str">
        <f>セットアップレポート!AA378</f>
        <v>NONE</v>
      </c>
      <c r="AC378">
        <f>セットアップレポート!AB378</f>
        <v>0</v>
      </c>
      <c r="AD378">
        <f>セットアップレポート!AC378</f>
        <v>0</v>
      </c>
      <c r="AE378">
        <f>セットアップレポート!AD378</f>
        <v>0</v>
      </c>
      <c r="AF378">
        <f>セットアップレポート!AE378</f>
        <v>0</v>
      </c>
      <c r="AG378">
        <f>セットアップレポート!AF378</f>
        <v>0</v>
      </c>
      <c r="AH378">
        <f>セットアップレポート!AG378</f>
        <v>0</v>
      </c>
    </row>
    <row r="379" spans="1:34" x14ac:dyDescent="0.45">
      <c r="A379" t="str">
        <f t="shared" si="5"/>
        <v>L2-NPM010006R587535</v>
      </c>
      <c r="B379" t="str">
        <f>セットアップレポート!A379</f>
        <v>Line-2</v>
      </c>
      <c r="C379" t="str">
        <f>セットアップレポート!B379</f>
        <v>L2-NPM01</v>
      </c>
      <c r="D379" t="str">
        <f>セットアップレポート!C379</f>
        <v>Zone-2-NPMW-1</v>
      </c>
      <c r="E379">
        <f>セットアップレポート!D379</f>
        <v>1</v>
      </c>
      <c r="F379">
        <f>セットアップレポート!E379</f>
        <v>1</v>
      </c>
      <c r="G379" t="str">
        <f>セットアップレポート!F379</f>
        <v>20006R</v>
      </c>
      <c r="H379">
        <f>セットアップレポート!G379</f>
        <v>6</v>
      </c>
      <c r="I379" t="str">
        <f>セットアップレポート!H379</f>
        <v>R</v>
      </c>
      <c r="J379" t="str">
        <f>セットアップレポート!I379</f>
        <v>587535 100529</v>
      </c>
      <c r="K379">
        <f>セットアップレポート!J379</f>
        <v>587535</v>
      </c>
      <c r="L379">
        <f>セットアップレポート!K379</f>
        <v>0</v>
      </c>
      <c r="M379">
        <f>セットアップレポート!L379</f>
        <v>0</v>
      </c>
      <c r="N379">
        <f>セットアップレポート!M379</f>
        <v>0</v>
      </c>
      <c r="O379">
        <f>セットアップレポート!N379</f>
        <v>0</v>
      </c>
      <c r="P379" t="str">
        <f>セットアップレポート!O379</f>
        <v>FA0201ACD049758</v>
      </c>
      <c r="Q379">
        <f>セットアップレポート!P379</f>
        <v>3000</v>
      </c>
      <c r="R379">
        <f>セットアップレポート!Q379</f>
        <v>45950.475069444445</v>
      </c>
      <c r="S379">
        <f>セットアップレポート!R379</f>
        <v>0</v>
      </c>
      <c r="T379" t="str">
        <f>セットアップレポート!S379</f>
        <v>Yes</v>
      </c>
      <c r="U379">
        <f>セットアップレポート!T379</f>
        <v>0</v>
      </c>
      <c r="V379" t="str">
        <f>セットアップレポート!U379</f>
        <v>587535 100567</v>
      </c>
      <c r="W379">
        <f>セットアップレポート!V379</f>
        <v>0</v>
      </c>
      <c r="X379">
        <f>セットアップレポート!W379</f>
        <v>0</v>
      </c>
      <c r="Y379">
        <f>セットアップレポート!X379</f>
        <v>0</v>
      </c>
      <c r="Z379">
        <f>セットアップレポート!Y379</f>
        <v>0</v>
      </c>
      <c r="AA379">
        <f>セットアップレポート!Z379</f>
        <v>0</v>
      </c>
      <c r="AB379" t="str">
        <f>セットアップレポート!AA379</f>
        <v>NONE</v>
      </c>
      <c r="AC379">
        <f>セットアップレポート!AB379</f>
        <v>0</v>
      </c>
      <c r="AD379">
        <f>セットアップレポート!AC379</f>
        <v>0</v>
      </c>
      <c r="AE379">
        <f>セットアップレポート!AD379</f>
        <v>0</v>
      </c>
      <c r="AF379">
        <f>セットアップレポート!AE379</f>
        <v>0</v>
      </c>
      <c r="AG379">
        <f>セットアップレポート!AF379</f>
        <v>0</v>
      </c>
      <c r="AH379">
        <f>セットアップレポート!AG379</f>
        <v>0</v>
      </c>
    </row>
    <row r="380" spans="1:34" x14ac:dyDescent="0.45">
      <c r="A380" t="str">
        <f t="shared" si="5"/>
        <v>L2-NPM010005R9000069350</v>
      </c>
      <c r="B380" t="str">
        <f>セットアップレポート!A380</f>
        <v>Line-2</v>
      </c>
      <c r="C380" t="str">
        <f>セットアップレポート!B380</f>
        <v>L2-NPM01</v>
      </c>
      <c r="D380" t="str">
        <f>セットアップレポート!C380</f>
        <v>Zone-2-NPMW-1</v>
      </c>
      <c r="E380">
        <f>セットアップレポート!D380</f>
        <v>1</v>
      </c>
      <c r="F380">
        <f>セットアップレポート!E380</f>
        <v>1</v>
      </c>
      <c r="G380" t="str">
        <f>セットアップレポート!F380</f>
        <v>20005R</v>
      </c>
      <c r="H380">
        <f>セットアップレポート!G380</f>
        <v>5</v>
      </c>
      <c r="I380" t="str">
        <f>セットアップレポート!H380</f>
        <v>R</v>
      </c>
      <c r="J380" t="str">
        <f>セットアップレポート!I380</f>
        <v>9000069350 100005</v>
      </c>
      <c r="K380">
        <f>セットアップレポート!J380</f>
        <v>9000069350</v>
      </c>
      <c r="L380">
        <f>セットアップレポート!K380</f>
        <v>0</v>
      </c>
      <c r="M380">
        <f>セットアップレポート!L380</f>
        <v>0</v>
      </c>
      <c r="N380">
        <f>セットアップレポート!M380</f>
        <v>0</v>
      </c>
      <c r="O380">
        <f>セットアップレポート!N380</f>
        <v>0</v>
      </c>
      <c r="P380" t="str">
        <f>セットアップレポート!O380</f>
        <v>FA0201ABA002827</v>
      </c>
      <c r="Q380">
        <f>セットアップレポート!P380</f>
        <v>3000</v>
      </c>
      <c r="R380">
        <f>セットアップレポート!Q380</f>
        <v>45950.475069444445</v>
      </c>
      <c r="S380">
        <f>セットアップレポート!R380</f>
        <v>0</v>
      </c>
      <c r="T380">
        <f>セットアップレポート!S380</f>
        <v>0</v>
      </c>
      <c r="U380">
        <f>セットアップレポート!T380</f>
        <v>0</v>
      </c>
      <c r="V380">
        <f>セットアップレポート!U380</f>
        <v>0</v>
      </c>
      <c r="W380">
        <f>セットアップレポート!V380</f>
        <v>0</v>
      </c>
      <c r="X380">
        <f>セットアップレポート!W380</f>
        <v>0</v>
      </c>
      <c r="Y380">
        <f>セットアップレポート!X380</f>
        <v>0</v>
      </c>
      <c r="Z380">
        <f>セットアップレポート!Y380</f>
        <v>0</v>
      </c>
      <c r="AA380">
        <f>セットアップレポート!Z380</f>
        <v>0</v>
      </c>
      <c r="AB380" t="str">
        <f>セットアップレポート!AA380</f>
        <v>NONE</v>
      </c>
      <c r="AC380">
        <f>セットアップレポート!AB380</f>
        <v>0</v>
      </c>
      <c r="AD380">
        <f>セットアップレポート!AC380</f>
        <v>0</v>
      </c>
      <c r="AE380">
        <f>セットアップレポート!AD380</f>
        <v>0</v>
      </c>
      <c r="AF380">
        <f>セットアップレポート!AE380</f>
        <v>0</v>
      </c>
      <c r="AG380">
        <f>セットアップレポート!AF380</f>
        <v>0</v>
      </c>
      <c r="AH380">
        <f>セットアップレポート!AG380</f>
        <v>0</v>
      </c>
    </row>
    <row r="381" spans="1:34" x14ac:dyDescent="0.45">
      <c r="A381" t="str">
        <f t="shared" si="5"/>
        <v>L2-NPM010004R673326</v>
      </c>
      <c r="B381" t="str">
        <f>セットアップレポート!A381</f>
        <v>Line-2</v>
      </c>
      <c r="C381" t="str">
        <f>セットアップレポート!B381</f>
        <v>L2-NPM01</v>
      </c>
      <c r="D381" t="str">
        <f>セットアップレポート!C381</f>
        <v>Zone-2-NPMW-1</v>
      </c>
      <c r="E381">
        <f>セットアップレポート!D381</f>
        <v>1</v>
      </c>
      <c r="F381">
        <f>セットアップレポート!E381</f>
        <v>1</v>
      </c>
      <c r="G381" t="str">
        <f>セットアップレポート!F381</f>
        <v>20004R</v>
      </c>
      <c r="H381">
        <f>セットアップレポート!G381</f>
        <v>4</v>
      </c>
      <c r="I381" t="str">
        <f>セットアップレポート!H381</f>
        <v>R</v>
      </c>
      <c r="J381" t="str">
        <f>セットアップレポート!I381</f>
        <v>673326 100216</v>
      </c>
      <c r="K381">
        <f>セットアップレポート!J381</f>
        <v>673326</v>
      </c>
      <c r="L381">
        <f>セットアップレポート!K381</f>
        <v>0</v>
      </c>
      <c r="M381">
        <f>セットアップレポート!L381</f>
        <v>0</v>
      </c>
      <c r="N381">
        <f>セットアップレポート!M381</f>
        <v>0</v>
      </c>
      <c r="O381">
        <f>セットアップレポート!N381</f>
        <v>0</v>
      </c>
      <c r="P381" t="str">
        <f>セットアップレポート!O381</f>
        <v>FA0201ACD051138</v>
      </c>
      <c r="Q381">
        <f>セットアップレポート!P381</f>
        <v>10000</v>
      </c>
      <c r="R381">
        <f>セットアップレポート!Q381</f>
        <v>45950.475069444445</v>
      </c>
      <c r="S381">
        <f>セットアップレポート!R381</f>
        <v>0</v>
      </c>
      <c r="T381">
        <f>セットアップレポート!S381</f>
        <v>0</v>
      </c>
      <c r="U381">
        <f>セットアップレポート!T381</f>
        <v>0</v>
      </c>
      <c r="V381">
        <f>セットアップレポート!U381</f>
        <v>0</v>
      </c>
      <c r="W381">
        <f>セットアップレポート!V381</f>
        <v>0</v>
      </c>
      <c r="X381">
        <f>セットアップレポート!W381</f>
        <v>0</v>
      </c>
      <c r="Y381">
        <f>セットアップレポート!X381</f>
        <v>0</v>
      </c>
      <c r="Z381">
        <f>セットアップレポート!Y381</f>
        <v>0</v>
      </c>
      <c r="AA381">
        <f>セットアップレポート!Z381</f>
        <v>0</v>
      </c>
      <c r="AB381" t="str">
        <f>セットアップレポート!AA381</f>
        <v>NONE</v>
      </c>
      <c r="AC381">
        <f>セットアップレポート!AB381</f>
        <v>0</v>
      </c>
      <c r="AD381">
        <f>セットアップレポート!AC381</f>
        <v>0</v>
      </c>
      <c r="AE381">
        <f>セットアップレポート!AD381</f>
        <v>0</v>
      </c>
      <c r="AF381">
        <f>セットアップレポート!AE381</f>
        <v>0</v>
      </c>
      <c r="AG381">
        <f>セットアップレポート!AF381</f>
        <v>0</v>
      </c>
      <c r="AH381">
        <f>セットアップレポート!AG381</f>
        <v>0</v>
      </c>
    </row>
    <row r="382" spans="1:34" x14ac:dyDescent="0.45">
      <c r="A382" t="str">
        <f t="shared" si="5"/>
        <v>L2-NPM010003R667859</v>
      </c>
      <c r="B382" t="str">
        <f>セットアップレポート!A382</f>
        <v>Line-2</v>
      </c>
      <c r="C382" t="str">
        <f>セットアップレポート!B382</f>
        <v>L2-NPM01</v>
      </c>
      <c r="D382" t="str">
        <f>セットアップレポート!C382</f>
        <v>Zone-2-NPMW-1</v>
      </c>
      <c r="E382">
        <f>セットアップレポート!D382</f>
        <v>1</v>
      </c>
      <c r="F382">
        <f>セットアップレポート!E382</f>
        <v>1</v>
      </c>
      <c r="G382" t="str">
        <f>セットアップレポート!F382</f>
        <v>20003R</v>
      </c>
      <c r="H382">
        <f>セットアップレポート!G382</f>
        <v>3</v>
      </c>
      <c r="I382" t="str">
        <f>セットアップレポート!H382</f>
        <v>R</v>
      </c>
      <c r="J382" t="str">
        <f>セットアップレポート!I382</f>
        <v>667859 101066</v>
      </c>
      <c r="K382">
        <f>セットアップレポート!J382</f>
        <v>667859</v>
      </c>
      <c r="L382">
        <f>セットアップレポート!K382</f>
        <v>0</v>
      </c>
      <c r="M382">
        <f>セットアップレポート!L382</f>
        <v>0</v>
      </c>
      <c r="N382">
        <f>セットアップレポート!M382</f>
        <v>0</v>
      </c>
      <c r="O382">
        <f>セットアップレポート!N382</f>
        <v>0</v>
      </c>
      <c r="P382" t="str">
        <f>セットアップレポート!O382</f>
        <v>FA0201ACD051338</v>
      </c>
      <c r="Q382">
        <f>セットアップレポート!P382</f>
        <v>10000</v>
      </c>
      <c r="R382">
        <f>セットアップレポート!Q382</f>
        <v>45950.475069444445</v>
      </c>
      <c r="S382">
        <f>セットアップレポート!R382</f>
        <v>0</v>
      </c>
      <c r="T382">
        <f>セットアップレポート!S382</f>
        <v>0</v>
      </c>
      <c r="U382">
        <f>セットアップレポート!T382</f>
        <v>0</v>
      </c>
      <c r="V382">
        <f>セットアップレポート!U382</f>
        <v>0</v>
      </c>
      <c r="W382">
        <f>セットアップレポート!V382</f>
        <v>0</v>
      </c>
      <c r="X382">
        <f>セットアップレポート!W382</f>
        <v>0</v>
      </c>
      <c r="Y382">
        <f>セットアップレポート!X382</f>
        <v>0</v>
      </c>
      <c r="Z382">
        <f>セットアップレポート!Y382</f>
        <v>0</v>
      </c>
      <c r="AA382">
        <f>セットアップレポート!Z382</f>
        <v>0</v>
      </c>
      <c r="AB382" t="str">
        <f>セットアップレポート!AA382</f>
        <v>NONE</v>
      </c>
      <c r="AC382">
        <f>セットアップレポート!AB382</f>
        <v>0</v>
      </c>
      <c r="AD382">
        <f>セットアップレポート!AC382</f>
        <v>0</v>
      </c>
      <c r="AE382">
        <f>セットアップレポート!AD382</f>
        <v>0</v>
      </c>
      <c r="AF382">
        <f>セットアップレポート!AE382</f>
        <v>0</v>
      </c>
      <c r="AG382">
        <f>セットアップレポート!AF382</f>
        <v>0</v>
      </c>
      <c r="AH382">
        <f>セットアップレポート!AG382</f>
        <v>0</v>
      </c>
    </row>
    <row r="383" spans="1:34" x14ac:dyDescent="0.45">
      <c r="A383" t="str">
        <f t="shared" si="5"/>
        <v>L2-NPM010002R9000068526</v>
      </c>
      <c r="B383" t="str">
        <f>セットアップレポート!A383</f>
        <v>Line-2</v>
      </c>
      <c r="C383" t="str">
        <f>セットアップレポート!B383</f>
        <v>L2-NPM01</v>
      </c>
      <c r="D383" t="str">
        <f>セットアップレポート!C383</f>
        <v>Zone-2-NPMW-1</v>
      </c>
      <c r="E383">
        <f>セットアップレポート!D383</f>
        <v>1</v>
      </c>
      <c r="F383">
        <f>セットアップレポート!E383</f>
        <v>1</v>
      </c>
      <c r="G383" t="str">
        <f>セットアップレポート!F383</f>
        <v>20002R</v>
      </c>
      <c r="H383">
        <f>セットアップレポート!G383</f>
        <v>2</v>
      </c>
      <c r="I383" t="str">
        <f>セットアップレポート!H383</f>
        <v>R</v>
      </c>
      <c r="J383" t="str">
        <f>セットアップレポート!I383</f>
        <v>9000068526 100204</v>
      </c>
      <c r="K383">
        <f>セットアップレポート!J383</f>
        <v>9000068526</v>
      </c>
      <c r="L383">
        <f>セットアップレポート!K383</f>
        <v>0</v>
      </c>
      <c r="M383">
        <f>セットアップレポート!L383</f>
        <v>0</v>
      </c>
      <c r="N383">
        <f>セットアップレポート!M383</f>
        <v>0</v>
      </c>
      <c r="O383">
        <f>セットアップレポート!N383</f>
        <v>0</v>
      </c>
      <c r="P383" t="str">
        <f>セットアップレポート!O383</f>
        <v>FA0201ABD000609</v>
      </c>
      <c r="Q383">
        <f>セットアップレポート!P383</f>
        <v>10000</v>
      </c>
      <c r="R383">
        <f>セットアップレポート!Q383</f>
        <v>45950.475069444445</v>
      </c>
      <c r="S383">
        <f>セットアップレポート!R383</f>
        <v>0</v>
      </c>
      <c r="T383">
        <f>セットアップレポート!S383</f>
        <v>0</v>
      </c>
      <c r="U383">
        <f>セットアップレポート!T383</f>
        <v>0</v>
      </c>
      <c r="V383">
        <f>セットアップレポート!U383</f>
        <v>0</v>
      </c>
      <c r="W383">
        <f>セットアップレポート!V383</f>
        <v>0</v>
      </c>
      <c r="X383">
        <f>セットアップレポート!W383</f>
        <v>0</v>
      </c>
      <c r="Y383">
        <f>セットアップレポート!X383</f>
        <v>0</v>
      </c>
      <c r="Z383">
        <f>セットアップレポート!Y383</f>
        <v>0</v>
      </c>
      <c r="AA383">
        <f>セットアップレポート!Z383</f>
        <v>0</v>
      </c>
      <c r="AB383" t="str">
        <f>セットアップレポート!AA383</f>
        <v>NONE</v>
      </c>
      <c r="AC383">
        <f>セットアップレポート!AB383</f>
        <v>0</v>
      </c>
      <c r="AD383">
        <f>セットアップレポート!AC383</f>
        <v>0</v>
      </c>
      <c r="AE383">
        <f>セットアップレポート!AD383</f>
        <v>0</v>
      </c>
      <c r="AF383">
        <f>セットアップレポート!AE383</f>
        <v>0</v>
      </c>
      <c r="AG383">
        <f>セットアップレポート!AF383</f>
        <v>0</v>
      </c>
      <c r="AH383">
        <f>セットアップレポート!AG383</f>
        <v>0</v>
      </c>
    </row>
    <row r="384" spans="1:34" x14ac:dyDescent="0.45">
      <c r="A384" t="str">
        <f t="shared" si="5"/>
        <v>L2-NPM010001R606426A</v>
      </c>
      <c r="B384" t="str">
        <f>セットアップレポート!A384</f>
        <v>Line-2</v>
      </c>
      <c r="C384" t="str">
        <f>セットアップレポート!B384</f>
        <v>L2-NPM01</v>
      </c>
      <c r="D384" t="str">
        <f>セットアップレポート!C384</f>
        <v>Zone-2-NPMW-1</v>
      </c>
      <c r="E384">
        <f>セットアップレポート!D384</f>
        <v>1</v>
      </c>
      <c r="F384">
        <f>セットアップレポート!E384</f>
        <v>1</v>
      </c>
      <c r="G384" t="str">
        <f>セットアップレポート!F384</f>
        <v>20001R</v>
      </c>
      <c r="H384">
        <f>セットアップレポート!G384</f>
        <v>1</v>
      </c>
      <c r="I384" t="str">
        <f>セットアップレポート!H384</f>
        <v>R</v>
      </c>
      <c r="J384" t="str">
        <f>セットアップレポート!I384</f>
        <v>606426A103038</v>
      </c>
      <c r="K384" t="str">
        <f>セットアップレポート!J384</f>
        <v>606426A</v>
      </c>
      <c r="L384">
        <f>セットアップレポート!K384</f>
        <v>0</v>
      </c>
      <c r="M384">
        <f>セットアップレポート!L384</f>
        <v>0</v>
      </c>
      <c r="N384">
        <f>セットアップレポート!M384</f>
        <v>0</v>
      </c>
      <c r="O384">
        <f>セットアップレポート!N384</f>
        <v>0</v>
      </c>
      <c r="P384" t="str">
        <f>セットアップレポート!O384</f>
        <v>FA0201ABA002635</v>
      </c>
      <c r="Q384">
        <f>セットアップレポート!P384</f>
        <v>10000</v>
      </c>
      <c r="R384">
        <f>セットアップレポート!Q384</f>
        <v>45950.475069444445</v>
      </c>
      <c r="S384">
        <f>セットアップレポート!R384</f>
        <v>0</v>
      </c>
      <c r="T384">
        <f>セットアップレポート!S384</f>
        <v>0</v>
      </c>
      <c r="U384">
        <f>セットアップレポート!T384</f>
        <v>0</v>
      </c>
      <c r="V384">
        <f>セットアップレポート!U384</f>
        <v>0</v>
      </c>
      <c r="W384">
        <f>セットアップレポート!V384</f>
        <v>0</v>
      </c>
      <c r="X384">
        <f>セットアップレポート!W384</f>
        <v>0</v>
      </c>
      <c r="Y384">
        <f>セットアップレポート!X384</f>
        <v>0</v>
      </c>
      <c r="Z384">
        <f>セットアップレポート!Y384</f>
        <v>0</v>
      </c>
      <c r="AA384">
        <f>セットアップレポート!Z384</f>
        <v>0</v>
      </c>
      <c r="AB384" t="str">
        <f>セットアップレポート!AA384</f>
        <v>NONE</v>
      </c>
      <c r="AC384">
        <f>セットアップレポート!AB384</f>
        <v>0</v>
      </c>
      <c r="AD384">
        <f>セットアップレポート!AC384</f>
        <v>0</v>
      </c>
      <c r="AE384">
        <f>セットアップレポート!AD384</f>
        <v>0</v>
      </c>
      <c r="AF384">
        <f>セットアップレポート!AE384</f>
        <v>0</v>
      </c>
      <c r="AG384">
        <f>セットアップレポート!AF384</f>
        <v>0</v>
      </c>
      <c r="AH384">
        <f>セットアップレポート!AG384</f>
        <v>0</v>
      </c>
    </row>
    <row r="385" spans="1:34" x14ac:dyDescent="0.45">
      <c r="A385" t="str">
        <f t="shared" si="5"/>
        <v>L2-NPM010015RT9000064630</v>
      </c>
      <c r="B385" t="str">
        <f>セットアップレポート!A385</f>
        <v>Line-2</v>
      </c>
      <c r="C385" t="str">
        <f>セットアップレポート!B385</f>
        <v>L2-NPM01</v>
      </c>
      <c r="D385" t="str">
        <f>セットアップレポート!C385</f>
        <v>Zone-2-NPMW-1</v>
      </c>
      <c r="E385">
        <f>セットアップレポート!D385</f>
        <v>1</v>
      </c>
      <c r="F385">
        <f>セットアップレポート!E385</f>
        <v>1</v>
      </c>
      <c r="G385" t="str">
        <f>セットアップレポート!F385</f>
        <v>10015R</v>
      </c>
      <c r="H385">
        <f>セットアップレポート!G385</f>
        <v>15</v>
      </c>
      <c r="I385" t="str">
        <f>セットアップレポート!H385</f>
        <v>R</v>
      </c>
      <c r="J385" t="str">
        <f>セットアップレポート!I385</f>
        <v>T9000064630100001</v>
      </c>
      <c r="K385" t="str">
        <f>セットアップレポート!J385</f>
        <v>T9000064630</v>
      </c>
      <c r="L385">
        <f>セットアップレポート!K385</f>
        <v>0</v>
      </c>
      <c r="M385">
        <f>セットアップレポート!L385</f>
        <v>0</v>
      </c>
      <c r="N385">
        <f>セットアップレポート!M385</f>
        <v>0</v>
      </c>
      <c r="O385">
        <f>セットアップレポート!N385</f>
        <v>0</v>
      </c>
      <c r="P385" t="str">
        <f>セットアップレポート!O385</f>
        <v>FA0201ABA002709</v>
      </c>
      <c r="Q385">
        <f>セットアップレポート!P385</f>
        <v>12452</v>
      </c>
      <c r="R385">
        <f>セットアップレポート!Q385</f>
        <v>45931.821273148147</v>
      </c>
      <c r="S385">
        <f>セットアップレポート!R385</f>
        <v>0</v>
      </c>
      <c r="T385">
        <f>セットアップレポート!S385</f>
        <v>0</v>
      </c>
      <c r="U385">
        <f>セットアップレポート!T385</f>
        <v>0</v>
      </c>
      <c r="V385">
        <f>セットアップレポート!U385</f>
        <v>0</v>
      </c>
      <c r="W385">
        <f>セットアップレポート!V385</f>
        <v>0</v>
      </c>
      <c r="X385">
        <f>セットアップレポート!W385</f>
        <v>0</v>
      </c>
      <c r="Y385">
        <f>セットアップレポート!X385</f>
        <v>0</v>
      </c>
      <c r="Z385">
        <f>セットアップレポート!Y385</f>
        <v>0</v>
      </c>
      <c r="AA385">
        <f>セットアップレポート!Z385</f>
        <v>0</v>
      </c>
      <c r="AB385" t="str">
        <f>セットアップレポート!AA385</f>
        <v>NONE</v>
      </c>
      <c r="AC385">
        <f>セットアップレポート!AB385</f>
        <v>0</v>
      </c>
      <c r="AD385">
        <f>セットアップレポート!AC385</f>
        <v>0</v>
      </c>
      <c r="AE385">
        <f>セットアップレポート!AD385</f>
        <v>0</v>
      </c>
      <c r="AF385">
        <f>セットアップレポート!AE385</f>
        <v>0</v>
      </c>
      <c r="AG385">
        <f>セットアップレポート!AF385</f>
        <v>0</v>
      </c>
      <c r="AH385">
        <f>セットアップレポート!AG385</f>
        <v>0</v>
      </c>
    </row>
    <row r="386" spans="1:34" x14ac:dyDescent="0.45">
      <c r="A386" t="str">
        <f t="shared" si="5"/>
        <v>L2-NPM010014R9000058674</v>
      </c>
      <c r="B386" t="str">
        <f>セットアップレポート!A386</f>
        <v>Line-2</v>
      </c>
      <c r="C386" t="str">
        <f>セットアップレポート!B386</f>
        <v>L2-NPM01</v>
      </c>
      <c r="D386" t="str">
        <f>セットアップレポート!C386</f>
        <v>Zone-2-NPMW-1</v>
      </c>
      <c r="E386">
        <f>セットアップレポート!D386</f>
        <v>1</v>
      </c>
      <c r="F386">
        <f>セットアップレポート!E386</f>
        <v>1</v>
      </c>
      <c r="G386" t="str">
        <f>セットアップレポート!F386</f>
        <v>10014R</v>
      </c>
      <c r="H386">
        <f>セットアップレポート!G386</f>
        <v>14</v>
      </c>
      <c r="I386" t="str">
        <f>セットアップレポート!H386</f>
        <v>R</v>
      </c>
      <c r="J386" t="str">
        <f>セットアップレポート!I386</f>
        <v>9000058674 100009</v>
      </c>
      <c r="K386">
        <f>セットアップレポート!J386</f>
        <v>9000058674</v>
      </c>
      <c r="L386">
        <f>セットアップレポート!K386</f>
        <v>0</v>
      </c>
      <c r="M386">
        <f>セットアップレポート!L386</f>
        <v>0</v>
      </c>
      <c r="N386">
        <f>セットアップレポート!M386</f>
        <v>0</v>
      </c>
      <c r="O386">
        <f>セットアップレポート!N386</f>
        <v>0</v>
      </c>
      <c r="P386" t="str">
        <f>セットアップレポート!O386</f>
        <v>FA0201ACD050182</v>
      </c>
      <c r="Q386">
        <f>セットアップレポート!P386</f>
        <v>15000</v>
      </c>
      <c r="R386">
        <f>セットアップレポート!Q386</f>
        <v>45931.821273148147</v>
      </c>
      <c r="S386">
        <f>セットアップレポート!R386</f>
        <v>0</v>
      </c>
      <c r="T386">
        <f>セットアップレポート!S386</f>
        <v>0</v>
      </c>
      <c r="U386">
        <f>セットアップレポート!T386</f>
        <v>0</v>
      </c>
      <c r="V386">
        <f>セットアップレポート!U386</f>
        <v>0</v>
      </c>
      <c r="W386">
        <f>セットアップレポート!V386</f>
        <v>0</v>
      </c>
      <c r="X386">
        <f>セットアップレポート!W386</f>
        <v>0</v>
      </c>
      <c r="Y386">
        <f>セットアップレポート!X386</f>
        <v>0</v>
      </c>
      <c r="Z386">
        <f>セットアップレポート!Y386</f>
        <v>0</v>
      </c>
      <c r="AA386">
        <f>セットアップレポート!Z386</f>
        <v>0</v>
      </c>
      <c r="AB386" t="str">
        <f>セットアップレポート!AA386</f>
        <v>NONE</v>
      </c>
      <c r="AC386">
        <f>セットアップレポート!AB386</f>
        <v>0</v>
      </c>
      <c r="AD386">
        <f>セットアップレポート!AC386</f>
        <v>0</v>
      </c>
      <c r="AE386">
        <f>セットアップレポート!AD386</f>
        <v>0</v>
      </c>
      <c r="AF386">
        <f>セットアップレポート!AE386</f>
        <v>0</v>
      </c>
      <c r="AG386">
        <f>セットアップレポート!AF386</f>
        <v>0</v>
      </c>
      <c r="AH386">
        <f>セットアップレポート!AG386</f>
        <v>0</v>
      </c>
    </row>
    <row r="387" spans="1:34" x14ac:dyDescent="0.45">
      <c r="A387" t="str">
        <f t="shared" ref="A387:A450" si="6">C387&amp;RIGHT(G387,5)&amp;K387</f>
        <v>L2-NPM010013R9000069969</v>
      </c>
      <c r="B387" t="str">
        <f>セットアップレポート!A387</f>
        <v>Line-2</v>
      </c>
      <c r="C387" t="str">
        <f>セットアップレポート!B387</f>
        <v>L2-NPM01</v>
      </c>
      <c r="D387" t="str">
        <f>セットアップレポート!C387</f>
        <v>Zone-2-NPMW-1</v>
      </c>
      <c r="E387">
        <f>セットアップレポート!D387</f>
        <v>1</v>
      </c>
      <c r="F387">
        <f>セットアップレポート!E387</f>
        <v>1</v>
      </c>
      <c r="G387" t="str">
        <f>セットアップレポート!F387</f>
        <v>10013R</v>
      </c>
      <c r="H387">
        <f>セットアップレポート!G387</f>
        <v>13</v>
      </c>
      <c r="I387" t="str">
        <f>セットアップレポート!H387</f>
        <v>R</v>
      </c>
      <c r="J387" t="str">
        <f>セットアップレポート!I387</f>
        <v>9000069969 100002</v>
      </c>
      <c r="K387">
        <f>セットアップレポート!J387</f>
        <v>9000069969</v>
      </c>
      <c r="L387">
        <f>セットアップレポート!K387</f>
        <v>0</v>
      </c>
      <c r="M387">
        <f>セットアップレポート!L387</f>
        <v>0</v>
      </c>
      <c r="N387">
        <f>セットアップレポート!M387</f>
        <v>0</v>
      </c>
      <c r="O387">
        <f>セットアップレポート!N387</f>
        <v>0</v>
      </c>
      <c r="P387" t="str">
        <f>セットアップレポート!O387</f>
        <v>FA0201ABD000642</v>
      </c>
      <c r="Q387">
        <f>セットアップレポート!P387</f>
        <v>10000</v>
      </c>
      <c r="R387">
        <f>セットアップレポート!Q387</f>
        <v>45931.821273148147</v>
      </c>
      <c r="S387">
        <f>セットアップレポート!R387</f>
        <v>0</v>
      </c>
      <c r="T387">
        <f>セットアップレポート!S387</f>
        <v>0</v>
      </c>
      <c r="U387">
        <f>セットアップレポート!T387</f>
        <v>0</v>
      </c>
      <c r="V387">
        <f>セットアップレポート!U387</f>
        <v>0</v>
      </c>
      <c r="W387">
        <f>セットアップレポート!V387</f>
        <v>0</v>
      </c>
      <c r="X387">
        <f>セットアップレポート!W387</f>
        <v>0</v>
      </c>
      <c r="Y387">
        <f>セットアップレポート!X387</f>
        <v>0</v>
      </c>
      <c r="Z387">
        <f>セットアップレポート!Y387</f>
        <v>0</v>
      </c>
      <c r="AA387">
        <f>セットアップレポート!Z387</f>
        <v>0</v>
      </c>
      <c r="AB387" t="str">
        <f>セットアップレポート!AA387</f>
        <v>NONE</v>
      </c>
      <c r="AC387">
        <f>セットアップレポート!AB387</f>
        <v>0</v>
      </c>
      <c r="AD387">
        <f>セットアップレポート!AC387</f>
        <v>0</v>
      </c>
      <c r="AE387">
        <f>セットアップレポート!AD387</f>
        <v>0</v>
      </c>
      <c r="AF387">
        <f>セットアップレポート!AE387</f>
        <v>0</v>
      </c>
      <c r="AG387">
        <f>セットアップレポート!AF387</f>
        <v>0</v>
      </c>
      <c r="AH387">
        <f>セットアップレポート!AG387</f>
        <v>0</v>
      </c>
    </row>
    <row r="388" spans="1:34" x14ac:dyDescent="0.45">
      <c r="A388" t="str">
        <f t="shared" si="6"/>
        <v>L2-NPM010012R9000066582</v>
      </c>
      <c r="B388" t="str">
        <f>セットアップレポート!A388</f>
        <v>Line-2</v>
      </c>
      <c r="C388" t="str">
        <f>セットアップレポート!B388</f>
        <v>L2-NPM01</v>
      </c>
      <c r="D388" t="str">
        <f>セットアップレポート!C388</f>
        <v>Zone-2-NPMW-1</v>
      </c>
      <c r="E388">
        <f>セットアップレポート!D388</f>
        <v>1</v>
      </c>
      <c r="F388">
        <f>セットアップレポート!E388</f>
        <v>1</v>
      </c>
      <c r="G388" t="str">
        <f>セットアップレポート!F388</f>
        <v>10012R</v>
      </c>
      <c r="H388">
        <f>セットアップレポート!G388</f>
        <v>12</v>
      </c>
      <c r="I388" t="str">
        <f>セットアップレポート!H388</f>
        <v>R</v>
      </c>
      <c r="J388" t="str">
        <f>セットアップレポート!I388</f>
        <v>9000066582 100468</v>
      </c>
      <c r="K388">
        <f>セットアップレポート!J388</f>
        <v>9000066582</v>
      </c>
      <c r="L388">
        <f>セットアップレポート!K388</f>
        <v>0</v>
      </c>
      <c r="M388">
        <f>セットアップレポート!L388</f>
        <v>0</v>
      </c>
      <c r="N388">
        <f>セットアップレポート!M388</f>
        <v>0</v>
      </c>
      <c r="O388">
        <f>セットアップレポート!N388</f>
        <v>0</v>
      </c>
      <c r="P388" t="str">
        <f>セットアップレポート!O388</f>
        <v>FA0201ABA002183</v>
      </c>
      <c r="Q388">
        <f>セットアップレポート!P388</f>
        <v>10000</v>
      </c>
      <c r="R388">
        <f>セットアップレポート!Q388</f>
        <v>45932.616446759261</v>
      </c>
      <c r="S388">
        <f>セットアップレポート!R388</f>
        <v>0</v>
      </c>
      <c r="T388">
        <f>セットアップレポート!S388</f>
        <v>0</v>
      </c>
      <c r="U388">
        <f>セットアップレポート!T388</f>
        <v>0</v>
      </c>
      <c r="V388">
        <f>セットアップレポート!U388</f>
        <v>0</v>
      </c>
      <c r="W388">
        <f>セットアップレポート!V388</f>
        <v>0</v>
      </c>
      <c r="X388">
        <f>セットアップレポート!W388</f>
        <v>0</v>
      </c>
      <c r="Y388">
        <f>セットアップレポート!X388</f>
        <v>0</v>
      </c>
      <c r="Z388">
        <f>セットアップレポート!Y388</f>
        <v>0</v>
      </c>
      <c r="AA388">
        <f>セットアップレポート!Z388</f>
        <v>0</v>
      </c>
      <c r="AB388" t="str">
        <f>セットアップレポート!AA388</f>
        <v>NONE</v>
      </c>
      <c r="AC388">
        <f>セットアップレポート!AB388</f>
        <v>0</v>
      </c>
      <c r="AD388">
        <f>セットアップレポート!AC388</f>
        <v>0</v>
      </c>
      <c r="AE388">
        <f>セットアップレポート!AD388</f>
        <v>0</v>
      </c>
      <c r="AF388">
        <f>セットアップレポート!AE388</f>
        <v>0</v>
      </c>
      <c r="AG388">
        <f>セットアップレポート!AF388</f>
        <v>0</v>
      </c>
      <c r="AH388">
        <f>セットアップレポート!AG388</f>
        <v>0</v>
      </c>
    </row>
    <row r="389" spans="1:34" x14ac:dyDescent="0.45">
      <c r="A389" t="str">
        <f t="shared" si="6"/>
        <v>L2-NPM010011R667752</v>
      </c>
      <c r="B389" t="str">
        <f>セットアップレポート!A389</f>
        <v>Line-2</v>
      </c>
      <c r="C389" t="str">
        <f>セットアップレポート!B389</f>
        <v>L2-NPM01</v>
      </c>
      <c r="D389" t="str">
        <f>セットアップレポート!C389</f>
        <v>Zone-2-NPMW-1</v>
      </c>
      <c r="E389">
        <f>セットアップレポート!D389</f>
        <v>1</v>
      </c>
      <c r="F389">
        <f>セットアップレポート!E389</f>
        <v>1</v>
      </c>
      <c r="G389" t="str">
        <f>セットアップレポート!F389</f>
        <v>10011R</v>
      </c>
      <c r="H389">
        <f>セットアップレポート!G389</f>
        <v>11</v>
      </c>
      <c r="I389" t="str">
        <f>セットアップレポート!H389</f>
        <v>R</v>
      </c>
      <c r="J389" t="str">
        <f>セットアップレポート!I389</f>
        <v>667752 100246</v>
      </c>
      <c r="K389">
        <f>セットアップレポート!J389</f>
        <v>667752</v>
      </c>
      <c r="L389">
        <f>セットアップレポート!K389</f>
        <v>0</v>
      </c>
      <c r="M389">
        <f>セットアップレポート!L389</f>
        <v>0</v>
      </c>
      <c r="N389">
        <f>セットアップレポート!M389</f>
        <v>0</v>
      </c>
      <c r="O389">
        <f>セットアップレポート!N389</f>
        <v>0</v>
      </c>
      <c r="P389" t="str">
        <f>セットアップレポート!O389</f>
        <v>FA0201ABA001991</v>
      </c>
      <c r="Q389">
        <f>セットアップレポート!P389</f>
        <v>10000</v>
      </c>
      <c r="R389">
        <f>セットアップレポート!Q389</f>
        <v>45950.475069444445</v>
      </c>
      <c r="S389">
        <f>セットアップレポート!R389</f>
        <v>0</v>
      </c>
      <c r="T389">
        <f>セットアップレポート!S389</f>
        <v>0</v>
      </c>
      <c r="U389">
        <f>セットアップレポート!T389</f>
        <v>0</v>
      </c>
      <c r="V389">
        <f>セットアップレポート!U389</f>
        <v>0</v>
      </c>
      <c r="W389">
        <f>セットアップレポート!V389</f>
        <v>0</v>
      </c>
      <c r="X389">
        <f>セットアップレポート!W389</f>
        <v>0</v>
      </c>
      <c r="Y389">
        <f>セットアップレポート!X389</f>
        <v>0</v>
      </c>
      <c r="Z389">
        <f>セットアップレポート!Y389</f>
        <v>0</v>
      </c>
      <c r="AA389">
        <f>セットアップレポート!Z389</f>
        <v>0</v>
      </c>
      <c r="AB389" t="str">
        <f>セットアップレポート!AA389</f>
        <v>NONE</v>
      </c>
      <c r="AC389">
        <f>セットアップレポート!AB389</f>
        <v>0</v>
      </c>
      <c r="AD389">
        <f>セットアップレポート!AC389</f>
        <v>0</v>
      </c>
      <c r="AE389">
        <f>セットアップレポート!AD389</f>
        <v>0</v>
      </c>
      <c r="AF389">
        <f>セットアップレポート!AE389</f>
        <v>0</v>
      </c>
      <c r="AG389">
        <f>セットアップレポート!AF389</f>
        <v>0</v>
      </c>
      <c r="AH389">
        <f>セットアップレポート!AG389</f>
        <v>0</v>
      </c>
    </row>
    <row r="390" spans="1:34" x14ac:dyDescent="0.45">
      <c r="A390" t="str">
        <f t="shared" si="6"/>
        <v>L2-NPM010010R667636</v>
      </c>
      <c r="B390" t="str">
        <f>セットアップレポート!A390</f>
        <v>Line-2</v>
      </c>
      <c r="C390" t="str">
        <f>セットアップレポート!B390</f>
        <v>L2-NPM01</v>
      </c>
      <c r="D390" t="str">
        <f>セットアップレポート!C390</f>
        <v>Zone-2-NPMW-1</v>
      </c>
      <c r="E390">
        <f>セットアップレポート!D390</f>
        <v>1</v>
      </c>
      <c r="F390">
        <f>セットアップレポート!E390</f>
        <v>1</v>
      </c>
      <c r="G390" t="str">
        <f>セットアップレポート!F390</f>
        <v>10010R</v>
      </c>
      <c r="H390">
        <f>セットアップレポート!G390</f>
        <v>10</v>
      </c>
      <c r="I390" t="str">
        <f>セットアップレポート!H390</f>
        <v>R</v>
      </c>
      <c r="J390" t="str">
        <f>セットアップレポート!I390</f>
        <v>667636 105571</v>
      </c>
      <c r="K390">
        <f>セットアップレポート!J390</f>
        <v>667636</v>
      </c>
      <c r="L390">
        <f>セットアップレポート!K390</f>
        <v>0</v>
      </c>
      <c r="M390">
        <f>セットアップレポート!L390</f>
        <v>0</v>
      </c>
      <c r="N390">
        <f>セットアップレポート!M390</f>
        <v>0</v>
      </c>
      <c r="O390">
        <f>セットアップレポート!N390</f>
        <v>0</v>
      </c>
      <c r="P390" t="str">
        <f>セットアップレポート!O390</f>
        <v>FA0201ABA002227</v>
      </c>
      <c r="Q390">
        <f>セットアップレポート!P390</f>
        <v>10000</v>
      </c>
      <c r="R390">
        <f>セットアップレポート!Q390</f>
        <v>45950.475057870368</v>
      </c>
      <c r="S390">
        <f>セットアップレポート!R390</f>
        <v>0</v>
      </c>
      <c r="T390" t="str">
        <f>セットアップレポート!S390</f>
        <v>Yes</v>
      </c>
      <c r="U390">
        <f>セットアップレポート!T390</f>
        <v>0</v>
      </c>
      <c r="V390" t="str">
        <f>セットアップレポート!U390</f>
        <v>667636 105597</v>
      </c>
      <c r="W390">
        <f>セットアップレポート!V390</f>
        <v>0</v>
      </c>
      <c r="X390">
        <f>セットアップレポート!W390</f>
        <v>0</v>
      </c>
      <c r="Y390">
        <f>セットアップレポート!X390</f>
        <v>0</v>
      </c>
      <c r="Z390">
        <f>セットアップレポート!Y390</f>
        <v>0</v>
      </c>
      <c r="AA390">
        <f>セットアップレポート!Z390</f>
        <v>0</v>
      </c>
      <c r="AB390" t="str">
        <f>セットアップレポート!AA390</f>
        <v>NONE</v>
      </c>
      <c r="AC390">
        <f>セットアップレポート!AB390</f>
        <v>0</v>
      </c>
      <c r="AD390">
        <f>セットアップレポート!AC390</f>
        <v>0</v>
      </c>
      <c r="AE390">
        <f>セットアップレポート!AD390</f>
        <v>0</v>
      </c>
      <c r="AF390">
        <f>セットアップレポート!AE390</f>
        <v>0</v>
      </c>
      <c r="AG390">
        <f>セットアップレポート!AF390</f>
        <v>0</v>
      </c>
      <c r="AH390">
        <f>セットアップレポート!AG390</f>
        <v>0</v>
      </c>
    </row>
    <row r="391" spans="1:34" x14ac:dyDescent="0.45">
      <c r="A391" t="str">
        <f t="shared" si="6"/>
        <v>L2-NPM010009R9000068532</v>
      </c>
      <c r="B391" t="str">
        <f>セットアップレポート!A391</f>
        <v>Line-2</v>
      </c>
      <c r="C391" t="str">
        <f>セットアップレポート!B391</f>
        <v>L2-NPM01</v>
      </c>
      <c r="D391" t="str">
        <f>セットアップレポート!C391</f>
        <v>Zone-2-NPMW-1</v>
      </c>
      <c r="E391">
        <f>セットアップレポート!D391</f>
        <v>1</v>
      </c>
      <c r="F391">
        <f>セットアップレポート!E391</f>
        <v>1</v>
      </c>
      <c r="G391" t="str">
        <f>セットアップレポート!F391</f>
        <v>10009R</v>
      </c>
      <c r="H391">
        <f>セットアップレポート!G391</f>
        <v>9</v>
      </c>
      <c r="I391" t="str">
        <f>セットアップレポート!H391</f>
        <v>R</v>
      </c>
      <c r="J391" t="str">
        <f>セットアップレポート!I391</f>
        <v>9000068532 100127</v>
      </c>
      <c r="K391">
        <f>セットアップレポート!J391</f>
        <v>9000068532</v>
      </c>
      <c r="L391">
        <f>セットアップレポート!K391</f>
        <v>0</v>
      </c>
      <c r="M391">
        <f>セットアップレポート!L391</f>
        <v>0</v>
      </c>
      <c r="N391">
        <f>セットアップレポート!M391</f>
        <v>0</v>
      </c>
      <c r="O391">
        <f>セットアップレポート!N391</f>
        <v>0</v>
      </c>
      <c r="P391" t="str">
        <f>セットアップレポート!O391</f>
        <v>FA0201ACD051062</v>
      </c>
      <c r="Q391">
        <f>セットアップレポート!P391</f>
        <v>10000</v>
      </c>
      <c r="R391">
        <f>セットアップレポート!Q391</f>
        <v>45950.475057870368</v>
      </c>
      <c r="S391">
        <f>セットアップレポート!R391</f>
        <v>0</v>
      </c>
      <c r="T391">
        <f>セットアップレポート!S391</f>
        <v>0</v>
      </c>
      <c r="U391">
        <f>セットアップレポート!T391</f>
        <v>0</v>
      </c>
      <c r="V391">
        <f>セットアップレポート!U391</f>
        <v>0</v>
      </c>
      <c r="W391">
        <f>セットアップレポート!V391</f>
        <v>0</v>
      </c>
      <c r="X391">
        <f>セットアップレポート!W391</f>
        <v>0</v>
      </c>
      <c r="Y391">
        <f>セットアップレポート!X391</f>
        <v>0</v>
      </c>
      <c r="Z391">
        <f>セットアップレポート!Y391</f>
        <v>0</v>
      </c>
      <c r="AA391">
        <f>セットアップレポート!Z391</f>
        <v>0</v>
      </c>
      <c r="AB391" t="str">
        <f>セットアップレポート!AA391</f>
        <v>NONE</v>
      </c>
      <c r="AC391">
        <f>セットアップレポート!AB391</f>
        <v>0</v>
      </c>
      <c r="AD391">
        <f>セットアップレポート!AC391</f>
        <v>0</v>
      </c>
      <c r="AE391">
        <f>セットアップレポート!AD391</f>
        <v>0</v>
      </c>
      <c r="AF391">
        <f>セットアップレポート!AE391</f>
        <v>0</v>
      </c>
      <c r="AG391">
        <f>セットアップレポート!AF391</f>
        <v>0</v>
      </c>
      <c r="AH391">
        <f>セットアップレポート!AG391</f>
        <v>0</v>
      </c>
    </row>
    <row r="392" spans="1:34" x14ac:dyDescent="0.45">
      <c r="A392" t="str">
        <f t="shared" si="6"/>
        <v>L2-NPM010008R9000069261</v>
      </c>
      <c r="B392" t="str">
        <f>セットアップレポート!A392</f>
        <v>Line-2</v>
      </c>
      <c r="C392" t="str">
        <f>セットアップレポート!B392</f>
        <v>L2-NPM01</v>
      </c>
      <c r="D392" t="str">
        <f>セットアップレポート!C392</f>
        <v>Zone-2-NPMW-1</v>
      </c>
      <c r="E392">
        <f>セットアップレポート!D392</f>
        <v>1</v>
      </c>
      <c r="F392">
        <f>セットアップレポート!E392</f>
        <v>1</v>
      </c>
      <c r="G392" t="str">
        <f>セットアップレポート!F392</f>
        <v>10008R</v>
      </c>
      <c r="H392">
        <f>セットアップレポート!G392</f>
        <v>8</v>
      </c>
      <c r="I392" t="str">
        <f>セットアップレポート!H392</f>
        <v>R</v>
      </c>
      <c r="J392" t="str">
        <f>セットアップレポート!I392</f>
        <v>9000069261 100002</v>
      </c>
      <c r="K392">
        <f>セットアップレポート!J392</f>
        <v>9000069261</v>
      </c>
      <c r="L392">
        <f>セットアップレポート!K392</f>
        <v>0</v>
      </c>
      <c r="M392">
        <f>セットアップレポート!L392</f>
        <v>0</v>
      </c>
      <c r="N392">
        <f>セットアップレポート!M392</f>
        <v>0</v>
      </c>
      <c r="O392">
        <f>セットアップレポート!N392</f>
        <v>0</v>
      </c>
      <c r="P392" t="str">
        <f>セットアップレポート!O392</f>
        <v>FA0201ABA002181</v>
      </c>
      <c r="Q392">
        <f>セットアップレポート!P392</f>
        <v>15000</v>
      </c>
      <c r="R392">
        <f>セットアップレポート!Q392</f>
        <v>45950.475057870368</v>
      </c>
      <c r="S392">
        <f>セットアップレポート!R392</f>
        <v>0</v>
      </c>
      <c r="T392">
        <f>セットアップレポート!S392</f>
        <v>0</v>
      </c>
      <c r="U392">
        <f>セットアップレポート!T392</f>
        <v>0</v>
      </c>
      <c r="V392">
        <f>セットアップレポート!U392</f>
        <v>0</v>
      </c>
      <c r="W392">
        <f>セットアップレポート!V392</f>
        <v>0</v>
      </c>
      <c r="X392">
        <f>セットアップレポート!W392</f>
        <v>0</v>
      </c>
      <c r="Y392">
        <f>セットアップレポート!X392</f>
        <v>0</v>
      </c>
      <c r="Z392">
        <f>セットアップレポート!Y392</f>
        <v>0</v>
      </c>
      <c r="AA392">
        <f>セットアップレポート!Z392</f>
        <v>0</v>
      </c>
      <c r="AB392" t="str">
        <f>セットアップレポート!AA392</f>
        <v>NONE</v>
      </c>
      <c r="AC392">
        <f>セットアップレポート!AB392</f>
        <v>0</v>
      </c>
      <c r="AD392">
        <f>セットアップレポート!AC392</f>
        <v>0</v>
      </c>
      <c r="AE392">
        <f>セットアップレポート!AD392</f>
        <v>0</v>
      </c>
      <c r="AF392">
        <f>セットアップレポート!AE392</f>
        <v>0</v>
      </c>
      <c r="AG392">
        <f>セットアップレポート!AF392</f>
        <v>0</v>
      </c>
      <c r="AH392">
        <f>セットアップレポート!AG392</f>
        <v>0</v>
      </c>
    </row>
    <row r="393" spans="1:34" x14ac:dyDescent="0.45">
      <c r="A393" t="str">
        <f t="shared" si="6"/>
        <v>L2-NPM010007R668885</v>
      </c>
      <c r="B393" t="str">
        <f>セットアップレポート!A393</f>
        <v>Line-2</v>
      </c>
      <c r="C393" t="str">
        <f>セットアップレポート!B393</f>
        <v>L2-NPM01</v>
      </c>
      <c r="D393" t="str">
        <f>セットアップレポート!C393</f>
        <v>Zone-2-NPMW-1</v>
      </c>
      <c r="E393">
        <f>セットアップレポート!D393</f>
        <v>1</v>
      </c>
      <c r="F393">
        <f>セットアップレポート!E393</f>
        <v>1</v>
      </c>
      <c r="G393" t="str">
        <f>セットアップレポート!F393</f>
        <v>10007R</v>
      </c>
      <c r="H393">
        <f>セットアップレポート!G393</f>
        <v>7</v>
      </c>
      <c r="I393" t="str">
        <f>セットアップレポート!H393</f>
        <v>R</v>
      </c>
      <c r="J393" t="str">
        <f>セットアップレポート!I393</f>
        <v>668885 102476</v>
      </c>
      <c r="K393">
        <f>セットアップレポート!J393</f>
        <v>668885</v>
      </c>
      <c r="L393">
        <f>セットアップレポート!K393</f>
        <v>0</v>
      </c>
      <c r="M393">
        <f>セットアップレポート!L393</f>
        <v>0</v>
      </c>
      <c r="N393">
        <f>セットアップレポート!M393</f>
        <v>0</v>
      </c>
      <c r="O393">
        <f>セットアップレポート!N393</f>
        <v>0</v>
      </c>
      <c r="P393" t="str">
        <f>セットアップレポート!O393</f>
        <v>FA0201ACD051201</v>
      </c>
      <c r="Q393">
        <f>セットアップレポート!P393</f>
        <v>10000</v>
      </c>
      <c r="R393">
        <f>セットアップレポート!Q393</f>
        <v>45950.475057870368</v>
      </c>
      <c r="S393">
        <f>セットアップレポート!R393</f>
        <v>0</v>
      </c>
      <c r="T393">
        <f>セットアップレポート!S393</f>
        <v>0</v>
      </c>
      <c r="U393">
        <f>セットアップレポート!T393</f>
        <v>0</v>
      </c>
      <c r="V393">
        <f>セットアップレポート!U393</f>
        <v>0</v>
      </c>
      <c r="W393">
        <f>セットアップレポート!V393</f>
        <v>0</v>
      </c>
      <c r="X393">
        <f>セットアップレポート!W393</f>
        <v>0</v>
      </c>
      <c r="Y393">
        <f>セットアップレポート!X393</f>
        <v>0</v>
      </c>
      <c r="Z393">
        <f>セットアップレポート!Y393</f>
        <v>0</v>
      </c>
      <c r="AA393">
        <f>セットアップレポート!Z393</f>
        <v>0</v>
      </c>
      <c r="AB393" t="str">
        <f>セットアップレポート!AA393</f>
        <v>NONE</v>
      </c>
      <c r="AC393">
        <f>セットアップレポート!AB393</f>
        <v>0</v>
      </c>
      <c r="AD393">
        <f>セットアップレポート!AC393</f>
        <v>0</v>
      </c>
      <c r="AE393">
        <f>セットアップレポート!AD393</f>
        <v>0</v>
      </c>
      <c r="AF393">
        <f>セットアップレポート!AE393</f>
        <v>0</v>
      </c>
      <c r="AG393">
        <f>セットアップレポート!AF393</f>
        <v>0</v>
      </c>
      <c r="AH393">
        <f>セットアップレポート!AG393</f>
        <v>0</v>
      </c>
    </row>
    <row r="394" spans="1:34" x14ac:dyDescent="0.45">
      <c r="A394" t="str">
        <f t="shared" si="6"/>
        <v>L2-NPM010006R9000025385</v>
      </c>
      <c r="B394" t="str">
        <f>セットアップレポート!A394</f>
        <v>Line-2</v>
      </c>
      <c r="C394" t="str">
        <f>セットアップレポート!B394</f>
        <v>L2-NPM01</v>
      </c>
      <c r="D394" t="str">
        <f>セットアップレポート!C394</f>
        <v>Zone-2-NPMW-1</v>
      </c>
      <c r="E394">
        <f>セットアップレポート!D394</f>
        <v>1</v>
      </c>
      <c r="F394">
        <f>セットアップレポート!E394</f>
        <v>1</v>
      </c>
      <c r="G394" t="str">
        <f>セットアップレポート!F394</f>
        <v>10006R</v>
      </c>
      <c r="H394">
        <f>セットアップレポート!G394</f>
        <v>6</v>
      </c>
      <c r="I394" t="str">
        <f>セットアップレポート!H394</f>
        <v>R</v>
      </c>
      <c r="J394" t="str">
        <f>セットアップレポート!I394</f>
        <v>9000025385 100191</v>
      </c>
      <c r="K394">
        <f>セットアップレポート!J394</f>
        <v>9000025385</v>
      </c>
      <c r="L394">
        <f>セットアップレポート!K394</f>
        <v>0</v>
      </c>
      <c r="M394">
        <f>セットアップレポート!L394</f>
        <v>0</v>
      </c>
      <c r="N394">
        <f>セットアップレポート!M394</f>
        <v>0</v>
      </c>
      <c r="O394">
        <f>セットアップレポート!N394</f>
        <v>0</v>
      </c>
      <c r="P394" t="str">
        <f>セットアップレポート!O394</f>
        <v>FA0201ABA002292</v>
      </c>
      <c r="Q394">
        <f>セットアップレポート!P394</f>
        <v>10000</v>
      </c>
      <c r="R394">
        <f>セットアップレポート!Q394</f>
        <v>45950.475057870368</v>
      </c>
      <c r="S394">
        <f>セットアップレポート!R394</f>
        <v>0</v>
      </c>
      <c r="T394" t="str">
        <f>セットアップレポート!S394</f>
        <v>Yes</v>
      </c>
      <c r="U394">
        <f>セットアップレポート!T394</f>
        <v>0</v>
      </c>
      <c r="V394" t="str">
        <f>セットアップレポート!U394</f>
        <v>9000025385 100209</v>
      </c>
      <c r="W394">
        <f>セットアップレポート!V394</f>
        <v>0</v>
      </c>
      <c r="X394">
        <f>セットアップレポート!W394</f>
        <v>0</v>
      </c>
      <c r="Y394">
        <f>セットアップレポート!X394</f>
        <v>0</v>
      </c>
      <c r="Z394">
        <f>セットアップレポート!Y394</f>
        <v>0</v>
      </c>
      <c r="AA394">
        <f>セットアップレポート!Z394</f>
        <v>0</v>
      </c>
      <c r="AB394" t="str">
        <f>セットアップレポート!AA394</f>
        <v>NONE</v>
      </c>
      <c r="AC394">
        <f>セットアップレポート!AB394</f>
        <v>0</v>
      </c>
      <c r="AD394">
        <f>セットアップレポート!AC394</f>
        <v>0</v>
      </c>
      <c r="AE394">
        <f>セットアップレポート!AD394</f>
        <v>0</v>
      </c>
      <c r="AF394">
        <f>セットアップレポート!AE394</f>
        <v>0</v>
      </c>
      <c r="AG394">
        <f>セットアップレポート!AF394</f>
        <v>0</v>
      </c>
      <c r="AH394">
        <f>セットアップレポート!AG394</f>
        <v>0</v>
      </c>
    </row>
    <row r="395" spans="1:34" x14ac:dyDescent="0.45">
      <c r="A395" t="str">
        <f t="shared" si="6"/>
        <v>L2-NPM010005R9000050393</v>
      </c>
      <c r="B395" t="str">
        <f>セットアップレポート!A395</f>
        <v>Line-2</v>
      </c>
      <c r="C395" t="str">
        <f>セットアップレポート!B395</f>
        <v>L2-NPM01</v>
      </c>
      <c r="D395" t="str">
        <f>セットアップレポート!C395</f>
        <v>Zone-2-NPMW-1</v>
      </c>
      <c r="E395">
        <f>セットアップレポート!D395</f>
        <v>1</v>
      </c>
      <c r="F395">
        <f>セットアップレポート!E395</f>
        <v>1</v>
      </c>
      <c r="G395" t="str">
        <f>セットアップレポート!F395</f>
        <v>10005R</v>
      </c>
      <c r="H395">
        <f>セットアップレポート!G395</f>
        <v>5</v>
      </c>
      <c r="I395" t="str">
        <f>セットアップレポート!H395</f>
        <v>R</v>
      </c>
      <c r="J395" t="str">
        <f>セットアップレポート!I395</f>
        <v>9000050393 100005</v>
      </c>
      <c r="K395">
        <f>セットアップレポート!J395</f>
        <v>9000050393</v>
      </c>
      <c r="L395">
        <f>セットアップレポート!K395</f>
        <v>0</v>
      </c>
      <c r="M395">
        <f>セットアップレポート!L395</f>
        <v>0</v>
      </c>
      <c r="N395">
        <f>セットアップレポート!M395</f>
        <v>0</v>
      </c>
      <c r="O395">
        <f>セットアップレポート!N395</f>
        <v>0</v>
      </c>
      <c r="P395" t="str">
        <f>セットアップレポート!O395</f>
        <v>FA0201ABA002777</v>
      </c>
      <c r="Q395">
        <f>セットアップレポート!P395</f>
        <v>10000</v>
      </c>
      <c r="R395">
        <f>セットアップレポート!Q395</f>
        <v>45950.475057870368</v>
      </c>
      <c r="S395">
        <f>セットアップレポート!R395</f>
        <v>0</v>
      </c>
      <c r="T395">
        <f>セットアップレポート!S395</f>
        <v>0</v>
      </c>
      <c r="U395">
        <f>セットアップレポート!T395</f>
        <v>0</v>
      </c>
      <c r="V395">
        <f>セットアップレポート!U395</f>
        <v>0</v>
      </c>
      <c r="W395">
        <f>セットアップレポート!V395</f>
        <v>0</v>
      </c>
      <c r="X395">
        <f>セットアップレポート!W395</f>
        <v>0</v>
      </c>
      <c r="Y395">
        <f>セットアップレポート!X395</f>
        <v>0</v>
      </c>
      <c r="Z395">
        <f>セットアップレポート!Y395</f>
        <v>0</v>
      </c>
      <c r="AA395">
        <f>セットアップレポート!Z395</f>
        <v>0</v>
      </c>
      <c r="AB395" t="str">
        <f>セットアップレポート!AA395</f>
        <v>NONE</v>
      </c>
      <c r="AC395">
        <f>セットアップレポート!AB395</f>
        <v>0</v>
      </c>
      <c r="AD395">
        <f>セットアップレポート!AC395</f>
        <v>0</v>
      </c>
      <c r="AE395">
        <f>セットアップレポート!AD395</f>
        <v>0</v>
      </c>
      <c r="AF395">
        <f>セットアップレポート!AE395</f>
        <v>0</v>
      </c>
      <c r="AG395">
        <f>セットアップレポート!AF395</f>
        <v>0</v>
      </c>
      <c r="AH395">
        <f>セットアップレポート!AG395</f>
        <v>0</v>
      </c>
    </row>
    <row r="396" spans="1:34" x14ac:dyDescent="0.45">
      <c r="A396" t="str">
        <f t="shared" si="6"/>
        <v>L2-NPM010004R9000066580</v>
      </c>
      <c r="B396" t="str">
        <f>セットアップレポート!A396</f>
        <v>Line-2</v>
      </c>
      <c r="C396" t="str">
        <f>セットアップレポート!B396</f>
        <v>L2-NPM01</v>
      </c>
      <c r="D396" t="str">
        <f>セットアップレポート!C396</f>
        <v>Zone-2-NPMW-1</v>
      </c>
      <c r="E396">
        <f>セットアップレポート!D396</f>
        <v>1</v>
      </c>
      <c r="F396">
        <f>セットアップレポート!E396</f>
        <v>1</v>
      </c>
      <c r="G396" t="str">
        <f>セットアップレポート!F396</f>
        <v>10004R</v>
      </c>
      <c r="H396">
        <f>セットアップレポート!G396</f>
        <v>4</v>
      </c>
      <c r="I396" t="str">
        <f>セットアップレポート!H396</f>
        <v>R</v>
      </c>
      <c r="J396" t="str">
        <f>セットアップレポート!I396</f>
        <v>9000066580 100010</v>
      </c>
      <c r="K396">
        <f>セットアップレポート!J396</f>
        <v>9000066580</v>
      </c>
      <c r="L396">
        <f>セットアップレポート!K396</f>
        <v>0</v>
      </c>
      <c r="M396">
        <f>セットアップレポート!L396</f>
        <v>0</v>
      </c>
      <c r="N396">
        <f>セットアップレポート!M396</f>
        <v>0</v>
      </c>
      <c r="O396">
        <f>セットアップレポート!N396</f>
        <v>0</v>
      </c>
      <c r="P396" t="str">
        <f>セットアップレポート!O396</f>
        <v>FA0201ACD051064</v>
      </c>
      <c r="Q396">
        <f>セットアップレポート!P396</f>
        <v>10000</v>
      </c>
      <c r="R396">
        <f>セットアップレポート!Q396</f>
        <v>45950.475046296298</v>
      </c>
      <c r="S396">
        <f>セットアップレポート!R396</f>
        <v>0</v>
      </c>
      <c r="T396" t="str">
        <f>セットアップレポート!S396</f>
        <v>Yes</v>
      </c>
      <c r="U396">
        <f>セットアップレポート!T396</f>
        <v>0</v>
      </c>
      <c r="V396" t="str">
        <f>セットアップレポート!U396</f>
        <v>9000066580 100012</v>
      </c>
      <c r="W396">
        <f>セットアップレポート!V396</f>
        <v>0</v>
      </c>
      <c r="X396">
        <f>セットアップレポート!W396</f>
        <v>0</v>
      </c>
      <c r="Y396">
        <f>セットアップレポート!X396</f>
        <v>0</v>
      </c>
      <c r="Z396">
        <f>セットアップレポート!Y396</f>
        <v>0</v>
      </c>
      <c r="AA396">
        <f>セットアップレポート!Z396</f>
        <v>0</v>
      </c>
      <c r="AB396" t="str">
        <f>セットアップレポート!AA396</f>
        <v>NONE</v>
      </c>
      <c r="AC396">
        <f>セットアップレポート!AB396</f>
        <v>0</v>
      </c>
      <c r="AD396">
        <f>セットアップレポート!AC396</f>
        <v>0</v>
      </c>
      <c r="AE396">
        <f>セットアップレポート!AD396</f>
        <v>0</v>
      </c>
      <c r="AF396">
        <f>セットアップレポート!AE396</f>
        <v>0</v>
      </c>
      <c r="AG396">
        <f>セットアップレポート!AF396</f>
        <v>0</v>
      </c>
      <c r="AH396">
        <f>セットアップレポート!AG396</f>
        <v>0</v>
      </c>
    </row>
    <row r="397" spans="1:34" x14ac:dyDescent="0.45">
      <c r="A397" t="str">
        <f t="shared" si="6"/>
        <v>L2-NPM010003R9000068756</v>
      </c>
      <c r="B397" t="str">
        <f>セットアップレポート!A397</f>
        <v>Line-2</v>
      </c>
      <c r="C397" t="str">
        <f>セットアップレポート!B397</f>
        <v>L2-NPM01</v>
      </c>
      <c r="D397" t="str">
        <f>セットアップレポート!C397</f>
        <v>Zone-2-NPMW-1</v>
      </c>
      <c r="E397">
        <f>セットアップレポート!D397</f>
        <v>1</v>
      </c>
      <c r="F397">
        <f>セットアップレポート!E397</f>
        <v>1</v>
      </c>
      <c r="G397" t="str">
        <f>セットアップレポート!F397</f>
        <v>10003R</v>
      </c>
      <c r="H397">
        <f>セットアップレポート!G397</f>
        <v>3</v>
      </c>
      <c r="I397" t="str">
        <f>セットアップレポート!H397</f>
        <v>R</v>
      </c>
      <c r="J397" t="str">
        <f>セットアップレポート!I397</f>
        <v>9000068756 100014</v>
      </c>
      <c r="K397">
        <f>セットアップレポート!J397</f>
        <v>9000068756</v>
      </c>
      <c r="L397">
        <f>セットアップレポート!K397</f>
        <v>0</v>
      </c>
      <c r="M397">
        <f>セットアップレポート!L397</f>
        <v>0</v>
      </c>
      <c r="N397">
        <f>セットアップレポート!M397</f>
        <v>0</v>
      </c>
      <c r="O397">
        <f>セットアップレポート!N397</f>
        <v>0</v>
      </c>
      <c r="P397" t="str">
        <f>セットアップレポート!O397</f>
        <v>FA0201ABA002417</v>
      </c>
      <c r="Q397">
        <f>セットアップレポート!P397</f>
        <v>15000</v>
      </c>
      <c r="R397">
        <f>セットアップレポート!Q397</f>
        <v>45950.475046296298</v>
      </c>
      <c r="S397">
        <f>セットアップレポート!R397</f>
        <v>0</v>
      </c>
      <c r="T397">
        <f>セットアップレポート!S397</f>
        <v>0</v>
      </c>
      <c r="U397">
        <f>セットアップレポート!T397</f>
        <v>0</v>
      </c>
      <c r="V397">
        <f>セットアップレポート!U397</f>
        <v>0</v>
      </c>
      <c r="W397">
        <f>セットアップレポート!V397</f>
        <v>0</v>
      </c>
      <c r="X397">
        <f>セットアップレポート!W397</f>
        <v>0</v>
      </c>
      <c r="Y397">
        <f>セットアップレポート!X397</f>
        <v>0</v>
      </c>
      <c r="Z397">
        <f>セットアップレポート!Y397</f>
        <v>0</v>
      </c>
      <c r="AA397">
        <f>セットアップレポート!Z397</f>
        <v>0</v>
      </c>
      <c r="AB397" t="str">
        <f>セットアップレポート!AA397</f>
        <v>NONE</v>
      </c>
      <c r="AC397">
        <f>セットアップレポート!AB397</f>
        <v>0</v>
      </c>
      <c r="AD397">
        <f>セットアップレポート!AC397</f>
        <v>0</v>
      </c>
      <c r="AE397">
        <f>セットアップレポート!AD397</f>
        <v>0</v>
      </c>
      <c r="AF397">
        <f>セットアップレポート!AE397</f>
        <v>0</v>
      </c>
      <c r="AG397">
        <f>セットアップレポート!AF397</f>
        <v>0</v>
      </c>
      <c r="AH397">
        <f>セットアップレポート!AG397</f>
        <v>0</v>
      </c>
    </row>
    <row r="398" spans="1:34" x14ac:dyDescent="0.45">
      <c r="A398" t="str">
        <f t="shared" si="6"/>
        <v>L2-NPM010002R903489</v>
      </c>
      <c r="B398" t="str">
        <f>セットアップレポート!A398</f>
        <v>Line-2</v>
      </c>
      <c r="C398" t="str">
        <f>セットアップレポート!B398</f>
        <v>L2-NPM01</v>
      </c>
      <c r="D398" t="str">
        <f>セットアップレポート!C398</f>
        <v>Zone-2-NPMW-1</v>
      </c>
      <c r="E398">
        <f>セットアップレポート!D398</f>
        <v>1</v>
      </c>
      <c r="F398">
        <f>セットアップレポート!E398</f>
        <v>1</v>
      </c>
      <c r="G398" t="str">
        <f>セットアップレポート!F398</f>
        <v>10002R</v>
      </c>
      <c r="H398">
        <f>セットアップレポート!G398</f>
        <v>2</v>
      </c>
      <c r="I398" t="str">
        <f>セットアップレポート!H398</f>
        <v>R</v>
      </c>
      <c r="J398" t="str">
        <f>セットアップレポート!I398</f>
        <v>903489 100136</v>
      </c>
      <c r="K398">
        <f>セットアップレポート!J398</f>
        <v>903489</v>
      </c>
      <c r="L398">
        <f>セットアップレポート!K398</f>
        <v>0</v>
      </c>
      <c r="M398">
        <f>セットアップレポート!L398</f>
        <v>0</v>
      </c>
      <c r="N398">
        <f>セットアップレポート!M398</f>
        <v>0</v>
      </c>
      <c r="O398">
        <f>セットアップレポート!N398</f>
        <v>0</v>
      </c>
      <c r="P398" t="str">
        <f>セットアップレポート!O398</f>
        <v>FA0201ABA002855</v>
      </c>
      <c r="Q398">
        <f>セットアップレポート!P398</f>
        <v>10000</v>
      </c>
      <c r="R398">
        <f>セットアップレポート!Q398</f>
        <v>45950.475046296298</v>
      </c>
      <c r="S398">
        <f>セットアップレポート!R398</f>
        <v>0</v>
      </c>
      <c r="T398">
        <f>セットアップレポート!S398</f>
        <v>0</v>
      </c>
      <c r="U398">
        <f>セットアップレポート!T398</f>
        <v>0</v>
      </c>
      <c r="V398">
        <f>セットアップレポート!U398</f>
        <v>0</v>
      </c>
      <c r="W398">
        <f>セットアップレポート!V398</f>
        <v>0</v>
      </c>
      <c r="X398">
        <f>セットアップレポート!W398</f>
        <v>0</v>
      </c>
      <c r="Y398">
        <f>セットアップレポート!X398</f>
        <v>0</v>
      </c>
      <c r="Z398">
        <f>セットアップレポート!Y398</f>
        <v>0</v>
      </c>
      <c r="AA398">
        <f>セットアップレポート!Z398</f>
        <v>0</v>
      </c>
      <c r="AB398" t="str">
        <f>セットアップレポート!AA398</f>
        <v>NONE</v>
      </c>
      <c r="AC398">
        <f>セットアップレポート!AB398</f>
        <v>0</v>
      </c>
      <c r="AD398">
        <f>セットアップレポート!AC398</f>
        <v>0</v>
      </c>
      <c r="AE398">
        <f>セットアップレポート!AD398</f>
        <v>0</v>
      </c>
      <c r="AF398">
        <f>セットアップレポート!AE398</f>
        <v>0</v>
      </c>
      <c r="AG398">
        <f>セットアップレポート!AF398</f>
        <v>0</v>
      </c>
      <c r="AH398">
        <f>セットアップレポート!AG398</f>
        <v>0</v>
      </c>
    </row>
    <row r="399" spans="1:34" x14ac:dyDescent="0.45">
      <c r="A399" t="str">
        <f t="shared" si="6"/>
        <v>L2-NPM020004R9000070112</v>
      </c>
      <c r="B399" t="str">
        <f>セットアップレポート!A399</f>
        <v>Line-2</v>
      </c>
      <c r="C399" t="str">
        <f>セットアップレポート!B399</f>
        <v>L2-NPM02</v>
      </c>
      <c r="D399" t="str">
        <f>セットアップレポート!C399</f>
        <v>Zone-2-NPMW-2</v>
      </c>
      <c r="E399">
        <f>セットアップレポート!D399</f>
        <v>1</v>
      </c>
      <c r="F399">
        <f>セットアップレポート!E399</f>
        <v>1</v>
      </c>
      <c r="G399" t="str">
        <f>セットアップレポート!F399</f>
        <v>10004R</v>
      </c>
      <c r="H399">
        <f>セットアップレポート!G399</f>
        <v>4</v>
      </c>
      <c r="I399" t="str">
        <f>セットアップレポート!H399</f>
        <v>R</v>
      </c>
      <c r="J399" t="str">
        <f>セットアップレポート!I399</f>
        <v>9000070112 100003</v>
      </c>
      <c r="K399">
        <f>セットアップレポート!J399</f>
        <v>9000070112</v>
      </c>
      <c r="L399">
        <f>セットアップレポート!K399</f>
        <v>0</v>
      </c>
      <c r="M399">
        <f>セットアップレポート!L399</f>
        <v>0</v>
      </c>
      <c r="N399">
        <f>セットアップレポート!M399</f>
        <v>0</v>
      </c>
      <c r="O399">
        <f>セットアップレポート!N399</f>
        <v>0</v>
      </c>
      <c r="P399" t="str">
        <f>セットアップレポート!O399</f>
        <v>FA0201ACD051162</v>
      </c>
      <c r="Q399">
        <f>セットアップレポート!P399</f>
        <v>3000</v>
      </c>
      <c r="R399">
        <f>セットアップレポート!Q399</f>
        <v>45950.475115740737</v>
      </c>
      <c r="S399">
        <f>セットアップレポート!R399</f>
        <v>0</v>
      </c>
      <c r="T399">
        <f>セットアップレポート!S399</f>
        <v>0</v>
      </c>
      <c r="U399">
        <f>セットアップレポート!T399</f>
        <v>0</v>
      </c>
      <c r="V399">
        <f>セットアップレポート!U399</f>
        <v>0</v>
      </c>
      <c r="W399">
        <f>セットアップレポート!V399</f>
        <v>0</v>
      </c>
      <c r="X399">
        <f>セットアップレポート!W399</f>
        <v>0</v>
      </c>
      <c r="Y399">
        <f>セットアップレポート!X399</f>
        <v>0</v>
      </c>
      <c r="Z399">
        <f>セットアップレポート!Y399</f>
        <v>0</v>
      </c>
      <c r="AA399">
        <f>セットアップレポート!Z399</f>
        <v>0</v>
      </c>
      <c r="AB399" t="str">
        <f>セットアップレポート!AA399</f>
        <v>NONE</v>
      </c>
      <c r="AC399">
        <f>セットアップレポート!AB399</f>
        <v>0</v>
      </c>
      <c r="AD399">
        <f>セットアップレポート!AC399</f>
        <v>0</v>
      </c>
      <c r="AE399">
        <f>セットアップレポート!AD399</f>
        <v>0</v>
      </c>
      <c r="AF399">
        <f>セットアップレポート!AE399</f>
        <v>0</v>
      </c>
      <c r="AG399">
        <f>セットアップレポート!AF399</f>
        <v>0</v>
      </c>
      <c r="AH399">
        <f>セットアップレポート!AG399</f>
        <v>0</v>
      </c>
    </row>
    <row r="400" spans="1:34" x14ac:dyDescent="0.45">
      <c r="A400" t="str">
        <f t="shared" si="6"/>
        <v>L2-NPM020003R9000069299</v>
      </c>
      <c r="B400" t="str">
        <f>セットアップレポート!A400</f>
        <v>Line-2</v>
      </c>
      <c r="C400" t="str">
        <f>セットアップレポート!B400</f>
        <v>L2-NPM02</v>
      </c>
      <c r="D400" t="str">
        <f>セットアップレポート!C400</f>
        <v>Zone-2-NPMW-2</v>
      </c>
      <c r="E400">
        <f>セットアップレポート!D400</f>
        <v>1</v>
      </c>
      <c r="F400">
        <f>セットアップレポート!E400</f>
        <v>1</v>
      </c>
      <c r="G400" t="str">
        <f>セットアップレポート!F400</f>
        <v>10003R</v>
      </c>
      <c r="H400">
        <f>セットアップレポート!G400</f>
        <v>3</v>
      </c>
      <c r="I400" t="str">
        <f>セットアップレポート!H400</f>
        <v>R</v>
      </c>
      <c r="J400" t="str">
        <f>セットアップレポート!I400</f>
        <v>9000069299 100004</v>
      </c>
      <c r="K400">
        <f>セットアップレポート!J400</f>
        <v>9000069299</v>
      </c>
      <c r="L400">
        <f>セットアップレポート!K400</f>
        <v>0</v>
      </c>
      <c r="M400">
        <f>セットアップレポート!L400</f>
        <v>0</v>
      </c>
      <c r="N400">
        <f>セットアップレポート!M400</f>
        <v>0</v>
      </c>
      <c r="O400">
        <f>セットアップレポート!N400</f>
        <v>0</v>
      </c>
      <c r="P400" t="str">
        <f>セットアップレポート!O400</f>
        <v>FA0201ACD051031</v>
      </c>
      <c r="Q400">
        <f>セットアップレポート!P400</f>
        <v>3000</v>
      </c>
      <c r="R400">
        <f>セットアップレポート!Q400</f>
        <v>45950.475115740737</v>
      </c>
      <c r="S400">
        <f>セットアップレポート!R400</f>
        <v>0</v>
      </c>
      <c r="T400">
        <f>セットアップレポート!S400</f>
        <v>0</v>
      </c>
      <c r="U400">
        <f>セットアップレポート!T400</f>
        <v>0</v>
      </c>
      <c r="V400">
        <f>セットアップレポート!U400</f>
        <v>0</v>
      </c>
      <c r="W400">
        <f>セットアップレポート!V400</f>
        <v>0</v>
      </c>
      <c r="X400">
        <f>セットアップレポート!W400</f>
        <v>0</v>
      </c>
      <c r="Y400">
        <f>セットアップレポート!X400</f>
        <v>0</v>
      </c>
      <c r="Z400">
        <f>セットアップレポート!Y400</f>
        <v>0</v>
      </c>
      <c r="AA400">
        <f>セットアップレポート!Z400</f>
        <v>0</v>
      </c>
      <c r="AB400" t="str">
        <f>セットアップレポート!AA400</f>
        <v>NONE</v>
      </c>
      <c r="AC400">
        <f>セットアップレポート!AB400</f>
        <v>0</v>
      </c>
      <c r="AD400">
        <f>セットアップレポート!AC400</f>
        <v>0</v>
      </c>
      <c r="AE400">
        <f>セットアップレポート!AD400</f>
        <v>0</v>
      </c>
      <c r="AF400">
        <f>セットアップレポート!AE400</f>
        <v>0</v>
      </c>
      <c r="AG400">
        <f>セットアップレポート!AF400</f>
        <v>0</v>
      </c>
      <c r="AH400">
        <f>セットアップレポート!AG400</f>
        <v>0</v>
      </c>
    </row>
    <row r="401" spans="1:34" x14ac:dyDescent="0.45">
      <c r="A401" t="str">
        <f t="shared" si="6"/>
        <v>L2-NPM020002R9000069997</v>
      </c>
      <c r="B401" t="str">
        <f>セットアップレポート!A401</f>
        <v>Line-2</v>
      </c>
      <c r="C401" t="str">
        <f>セットアップレポート!B401</f>
        <v>L2-NPM02</v>
      </c>
      <c r="D401" t="str">
        <f>セットアップレポート!C401</f>
        <v>Zone-2-NPMW-2</v>
      </c>
      <c r="E401">
        <f>セットアップレポート!D401</f>
        <v>1</v>
      </c>
      <c r="F401">
        <f>セットアップレポート!E401</f>
        <v>1</v>
      </c>
      <c r="G401" t="str">
        <f>セットアップレポート!F401</f>
        <v>10002R</v>
      </c>
      <c r="H401">
        <f>セットアップレポート!G401</f>
        <v>2</v>
      </c>
      <c r="I401" t="str">
        <f>セットアップレポート!H401</f>
        <v>R</v>
      </c>
      <c r="J401" t="str">
        <f>セットアップレポート!I401</f>
        <v>9000069997 100001</v>
      </c>
      <c r="K401">
        <f>セットアップレポート!J401</f>
        <v>9000069997</v>
      </c>
      <c r="L401">
        <f>セットアップレポート!K401</f>
        <v>0</v>
      </c>
      <c r="M401">
        <f>セットアップレポート!L401</f>
        <v>0</v>
      </c>
      <c r="N401">
        <f>セットアップレポート!M401</f>
        <v>0</v>
      </c>
      <c r="O401">
        <f>セットアップレポート!N401</f>
        <v>0</v>
      </c>
      <c r="P401" t="str">
        <f>セットアップレポート!O401</f>
        <v>FA0201ACD051354</v>
      </c>
      <c r="Q401">
        <f>セットアップレポート!P401</f>
        <v>2000</v>
      </c>
      <c r="R401">
        <f>セットアップレポート!Q401</f>
        <v>45950.475115740737</v>
      </c>
      <c r="S401">
        <f>セットアップレポート!R401</f>
        <v>0</v>
      </c>
      <c r="T401">
        <f>セットアップレポート!S401</f>
        <v>0</v>
      </c>
      <c r="U401">
        <f>セットアップレポート!T401</f>
        <v>0</v>
      </c>
      <c r="V401">
        <f>セットアップレポート!U401</f>
        <v>0</v>
      </c>
      <c r="W401">
        <f>セットアップレポート!V401</f>
        <v>0</v>
      </c>
      <c r="X401">
        <f>セットアップレポート!W401</f>
        <v>0</v>
      </c>
      <c r="Y401">
        <f>セットアップレポート!X401</f>
        <v>0</v>
      </c>
      <c r="Z401">
        <f>セットアップレポート!Y401</f>
        <v>0</v>
      </c>
      <c r="AA401">
        <f>セットアップレポート!Z401</f>
        <v>0</v>
      </c>
      <c r="AB401" t="str">
        <f>セットアップレポート!AA401</f>
        <v>NONE</v>
      </c>
      <c r="AC401">
        <f>セットアップレポート!AB401</f>
        <v>0</v>
      </c>
      <c r="AD401">
        <f>セットアップレポート!AC401</f>
        <v>0</v>
      </c>
      <c r="AE401">
        <f>セットアップレポート!AD401</f>
        <v>0</v>
      </c>
      <c r="AF401">
        <f>セットアップレポート!AE401</f>
        <v>0</v>
      </c>
      <c r="AG401">
        <f>セットアップレポート!AF401</f>
        <v>0</v>
      </c>
      <c r="AH401">
        <f>セットアップレポート!AG401</f>
        <v>0</v>
      </c>
    </row>
    <row r="402" spans="1:34" x14ac:dyDescent="0.45">
      <c r="A402" t="str">
        <f t="shared" si="6"/>
        <v>L2-NPM020001R9000066517</v>
      </c>
      <c r="B402" t="str">
        <f>セットアップレポート!A402</f>
        <v>Line-2</v>
      </c>
      <c r="C402" t="str">
        <f>セットアップレポート!B402</f>
        <v>L2-NPM02</v>
      </c>
      <c r="D402" t="str">
        <f>セットアップレポート!C402</f>
        <v>Zone-2-NPMW-2</v>
      </c>
      <c r="E402">
        <f>セットアップレポート!D402</f>
        <v>1</v>
      </c>
      <c r="F402">
        <f>セットアップレポート!E402</f>
        <v>1</v>
      </c>
      <c r="G402" t="str">
        <f>セットアップレポート!F402</f>
        <v>10001R</v>
      </c>
      <c r="H402">
        <f>セットアップレポート!G402</f>
        <v>1</v>
      </c>
      <c r="I402" t="str">
        <f>セットアップレポート!H402</f>
        <v>R</v>
      </c>
      <c r="J402" t="str">
        <f>セットアップレポート!I402</f>
        <v>9000066517 100165</v>
      </c>
      <c r="K402">
        <f>セットアップレポート!J402</f>
        <v>9000066517</v>
      </c>
      <c r="L402">
        <f>セットアップレポート!K402</f>
        <v>0</v>
      </c>
      <c r="M402">
        <f>セットアップレポート!L402</f>
        <v>0</v>
      </c>
      <c r="N402">
        <f>セットアップレポート!M402</f>
        <v>0</v>
      </c>
      <c r="O402">
        <f>セットアップレポート!N402</f>
        <v>0</v>
      </c>
      <c r="P402" t="str">
        <f>セットアップレポート!O402</f>
        <v>FA0201ABA002213</v>
      </c>
      <c r="Q402">
        <f>セットアップレポート!P402</f>
        <v>10000</v>
      </c>
      <c r="R402">
        <f>セットアップレポート!Q402</f>
        <v>45930.448576388888</v>
      </c>
      <c r="S402">
        <f>セットアップレポート!R402</f>
        <v>0</v>
      </c>
      <c r="T402">
        <f>セットアップレポート!S402</f>
        <v>0</v>
      </c>
      <c r="U402">
        <f>セットアップレポート!T402</f>
        <v>0</v>
      </c>
      <c r="V402">
        <f>セットアップレポート!U402</f>
        <v>0</v>
      </c>
      <c r="W402">
        <f>セットアップレポート!V402</f>
        <v>0</v>
      </c>
      <c r="X402">
        <f>セットアップレポート!W402</f>
        <v>0</v>
      </c>
      <c r="Y402">
        <f>セットアップレポート!X402</f>
        <v>0</v>
      </c>
      <c r="Z402">
        <f>セットアップレポート!Y402</f>
        <v>0</v>
      </c>
      <c r="AA402">
        <f>セットアップレポート!Z402</f>
        <v>0</v>
      </c>
      <c r="AB402" t="str">
        <f>セットアップレポート!AA402</f>
        <v>NONE</v>
      </c>
      <c r="AC402">
        <f>セットアップレポート!AB402</f>
        <v>0</v>
      </c>
      <c r="AD402">
        <f>セットアップレポート!AC402</f>
        <v>0</v>
      </c>
      <c r="AE402">
        <f>セットアップレポート!AD402</f>
        <v>0</v>
      </c>
      <c r="AF402">
        <f>セットアップレポート!AE402</f>
        <v>0</v>
      </c>
      <c r="AG402">
        <f>セットアップレポート!AF402</f>
        <v>0</v>
      </c>
      <c r="AH402">
        <f>セットアップレポート!AG402</f>
        <v>0</v>
      </c>
    </row>
    <row r="403" spans="1:34" x14ac:dyDescent="0.45">
      <c r="A403" t="str">
        <f t="shared" si="6"/>
        <v>L2-NPM020012R9000070427</v>
      </c>
      <c r="B403" t="str">
        <f>セットアップレポート!A403</f>
        <v>Line-2</v>
      </c>
      <c r="C403" t="str">
        <f>セットアップレポート!B403</f>
        <v>L2-NPM02</v>
      </c>
      <c r="D403" t="str">
        <f>セットアップレポート!C403</f>
        <v>Zone-2-NPMW-2</v>
      </c>
      <c r="E403">
        <f>セットアップレポート!D403</f>
        <v>1</v>
      </c>
      <c r="F403">
        <f>セットアップレポート!E403</f>
        <v>1</v>
      </c>
      <c r="G403" t="str">
        <f>セットアップレポート!F403</f>
        <v>10012R</v>
      </c>
      <c r="H403">
        <f>セットアップレポート!G403</f>
        <v>12</v>
      </c>
      <c r="I403" t="str">
        <f>セットアップレポート!H403</f>
        <v>R</v>
      </c>
      <c r="J403" t="str">
        <f>セットアップレポート!I403</f>
        <v>9000070427 100002</v>
      </c>
      <c r="K403">
        <f>セットアップレポート!J403</f>
        <v>9000070427</v>
      </c>
      <c r="L403">
        <f>セットアップレポート!K403</f>
        <v>0</v>
      </c>
      <c r="M403">
        <f>セットアップレポート!L403</f>
        <v>0</v>
      </c>
      <c r="N403">
        <f>セットアップレポート!M403</f>
        <v>0</v>
      </c>
      <c r="O403">
        <f>セットアップレポート!N403</f>
        <v>0</v>
      </c>
      <c r="P403" t="str">
        <f>セットアップレポート!O403</f>
        <v>FA0201ABD000630</v>
      </c>
      <c r="Q403">
        <f>セットアップレポート!P403</f>
        <v>10000</v>
      </c>
      <c r="R403">
        <f>セットアップレポート!Q403</f>
        <v>45950.475127314814</v>
      </c>
      <c r="S403">
        <f>セットアップレポート!R403</f>
        <v>0</v>
      </c>
      <c r="T403">
        <f>セットアップレポート!S403</f>
        <v>0</v>
      </c>
      <c r="U403">
        <f>セットアップレポート!T403</f>
        <v>0</v>
      </c>
      <c r="V403">
        <f>セットアップレポート!U403</f>
        <v>0</v>
      </c>
      <c r="W403">
        <f>セットアップレポート!V403</f>
        <v>0</v>
      </c>
      <c r="X403">
        <f>セットアップレポート!W403</f>
        <v>0</v>
      </c>
      <c r="Y403">
        <f>セットアップレポート!X403</f>
        <v>0</v>
      </c>
      <c r="Z403">
        <f>セットアップレポート!Y403</f>
        <v>0</v>
      </c>
      <c r="AA403">
        <f>セットアップレポート!Z403</f>
        <v>0</v>
      </c>
      <c r="AB403" t="str">
        <f>セットアップレポート!AA403</f>
        <v>NONE</v>
      </c>
      <c r="AC403">
        <f>セットアップレポート!AB403</f>
        <v>0</v>
      </c>
      <c r="AD403">
        <f>セットアップレポート!AC403</f>
        <v>0</v>
      </c>
      <c r="AE403">
        <f>セットアップレポート!AD403</f>
        <v>0</v>
      </c>
      <c r="AF403">
        <f>セットアップレポート!AE403</f>
        <v>0</v>
      </c>
      <c r="AG403">
        <f>セットアップレポート!AF403</f>
        <v>0</v>
      </c>
      <c r="AH403">
        <f>セットアップレポート!AG403</f>
        <v>0</v>
      </c>
    </row>
    <row r="404" spans="1:34" x14ac:dyDescent="0.45">
      <c r="A404" t="str">
        <f t="shared" si="6"/>
        <v>L2-NPM020011R620606</v>
      </c>
      <c r="B404" t="str">
        <f>セットアップレポート!A404</f>
        <v>Line-2</v>
      </c>
      <c r="C404" t="str">
        <f>セットアップレポート!B404</f>
        <v>L2-NPM02</v>
      </c>
      <c r="D404" t="str">
        <f>セットアップレポート!C404</f>
        <v>Zone-2-NPMW-2</v>
      </c>
      <c r="E404">
        <f>セットアップレポート!D404</f>
        <v>1</v>
      </c>
      <c r="F404">
        <f>セットアップレポート!E404</f>
        <v>1</v>
      </c>
      <c r="G404" t="str">
        <f>セットアップレポート!F404</f>
        <v>10011R</v>
      </c>
      <c r="H404">
        <f>セットアップレポート!G404</f>
        <v>11</v>
      </c>
      <c r="I404" t="str">
        <f>セットアップレポート!H404</f>
        <v>R</v>
      </c>
      <c r="J404" t="str">
        <f>セットアップレポート!I404</f>
        <v>620606 100131</v>
      </c>
      <c r="K404">
        <f>セットアップレポート!J404</f>
        <v>620606</v>
      </c>
      <c r="L404">
        <f>セットアップレポート!K404</f>
        <v>0</v>
      </c>
      <c r="M404">
        <f>セットアップレポート!L404</f>
        <v>0</v>
      </c>
      <c r="N404">
        <f>セットアップレポート!M404</f>
        <v>0</v>
      </c>
      <c r="O404">
        <f>セットアップレポート!N404</f>
        <v>0</v>
      </c>
      <c r="P404" t="str">
        <f>セットアップレポート!O404</f>
        <v>FA0201ABD000705</v>
      </c>
      <c r="Q404">
        <f>セットアップレポート!P404</f>
        <v>10000</v>
      </c>
      <c r="R404">
        <f>セットアップレポート!Q404</f>
        <v>45950.475127314814</v>
      </c>
      <c r="S404">
        <f>セットアップレポート!R404</f>
        <v>0</v>
      </c>
      <c r="T404">
        <f>セットアップレポート!S404</f>
        <v>0</v>
      </c>
      <c r="U404">
        <f>セットアップレポート!T404</f>
        <v>0</v>
      </c>
      <c r="V404">
        <f>セットアップレポート!U404</f>
        <v>0</v>
      </c>
      <c r="W404">
        <f>セットアップレポート!V404</f>
        <v>0</v>
      </c>
      <c r="X404">
        <f>セットアップレポート!W404</f>
        <v>0</v>
      </c>
      <c r="Y404">
        <f>セットアップレポート!X404</f>
        <v>0</v>
      </c>
      <c r="Z404">
        <f>セットアップレポート!Y404</f>
        <v>0</v>
      </c>
      <c r="AA404">
        <f>セットアップレポート!Z404</f>
        <v>0</v>
      </c>
      <c r="AB404" t="str">
        <f>セットアップレポート!AA404</f>
        <v>NONE</v>
      </c>
      <c r="AC404">
        <f>セットアップレポート!AB404</f>
        <v>0</v>
      </c>
      <c r="AD404">
        <f>セットアップレポート!AC404</f>
        <v>0</v>
      </c>
      <c r="AE404">
        <f>セットアップレポート!AD404</f>
        <v>0</v>
      </c>
      <c r="AF404">
        <f>セットアップレポート!AE404</f>
        <v>0</v>
      </c>
      <c r="AG404">
        <f>セットアップレポート!AF404</f>
        <v>0</v>
      </c>
      <c r="AH404">
        <f>セットアップレポート!AG404</f>
        <v>0</v>
      </c>
    </row>
    <row r="405" spans="1:34" x14ac:dyDescent="0.45">
      <c r="A405" t="str">
        <f t="shared" si="6"/>
        <v>L2-NPM020010R683984</v>
      </c>
      <c r="B405" t="str">
        <f>セットアップレポート!A405</f>
        <v>Line-2</v>
      </c>
      <c r="C405" t="str">
        <f>セットアップレポート!B405</f>
        <v>L2-NPM02</v>
      </c>
      <c r="D405" t="str">
        <f>セットアップレポート!C405</f>
        <v>Zone-2-NPMW-2</v>
      </c>
      <c r="E405">
        <f>セットアップレポート!D405</f>
        <v>1</v>
      </c>
      <c r="F405">
        <f>セットアップレポート!E405</f>
        <v>1</v>
      </c>
      <c r="G405" t="str">
        <f>セットアップレポート!F405</f>
        <v>10010R</v>
      </c>
      <c r="H405">
        <f>セットアップレポート!G405</f>
        <v>10</v>
      </c>
      <c r="I405" t="str">
        <f>セットアップレポート!H405</f>
        <v>R</v>
      </c>
      <c r="J405" t="str">
        <f>セットアップレポート!I405</f>
        <v>683984 101115</v>
      </c>
      <c r="K405">
        <f>セットアップレポート!J405</f>
        <v>683984</v>
      </c>
      <c r="L405">
        <f>セットアップレポート!K405</f>
        <v>0</v>
      </c>
      <c r="M405">
        <f>セットアップレポート!L405</f>
        <v>0</v>
      </c>
      <c r="N405">
        <f>セットアップレポート!M405</f>
        <v>0</v>
      </c>
      <c r="O405">
        <f>セットアップレポート!N405</f>
        <v>0</v>
      </c>
      <c r="P405" t="str">
        <f>セットアップレポート!O405</f>
        <v>FA0201ABD000639</v>
      </c>
      <c r="Q405">
        <f>セットアップレポート!P405</f>
        <v>4000</v>
      </c>
      <c r="R405">
        <f>セットアップレポート!Q405</f>
        <v>45930.448599537034</v>
      </c>
      <c r="S405">
        <f>セットアップレポート!R405</f>
        <v>0</v>
      </c>
      <c r="T405" t="str">
        <f>セットアップレポート!S405</f>
        <v>Yes</v>
      </c>
      <c r="U405">
        <f>セットアップレポート!T405</f>
        <v>0</v>
      </c>
      <c r="V405" t="str">
        <f>セットアップレポート!U405</f>
        <v>683984 101116</v>
      </c>
      <c r="W405">
        <f>セットアップレポート!V405</f>
        <v>0</v>
      </c>
      <c r="X405">
        <f>セットアップレポート!W405</f>
        <v>0</v>
      </c>
      <c r="Y405">
        <f>セットアップレポート!X405</f>
        <v>0</v>
      </c>
      <c r="Z405">
        <f>セットアップレポート!Y405</f>
        <v>0</v>
      </c>
      <c r="AA405">
        <f>セットアップレポート!Z405</f>
        <v>0</v>
      </c>
      <c r="AB405" t="str">
        <f>セットアップレポート!AA405</f>
        <v>NONE</v>
      </c>
      <c r="AC405">
        <f>セットアップレポート!AB405</f>
        <v>0</v>
      </c>
      <c r="AD405">
        <f>セットアップレポート!AC405</f>
        <v>0</v>
      </c>
      <c r="AE405">
        <f>セットアップレポート!AD405</f>
        <v>0</v>
      </c>
      <c r="AF405">
        <f>セットアップレポート!AE405</f>
        <v>0</v>
      </c>
      <c r="AG405">
        <f>セットアップレポート!AF405</f>
        <v>0</v>
      </c>
      <c r="AH405">
        <f>セットアップレポート!AG405</f>
        <v>0</v>
      </c>
    </row>
    <row r="406" spans="1:34" x14ac:dyDescent="0.45">
      <c r="A406" t="str">
        <f t="shared" si="6"/>
        <v>L2-NPM020009R632023</v>
      </c>
      <c r="B406" t="str">
        <f>セットアップレポート!A406</f>
        <v>Line-2</v>
      </c>
      <c r="C406" t="str">
        <f>セットアップレポート!B406</f>
        <v>L2-NPM02</v>
      </c>
      <c r="D406" t="str">
        <f>セットアップレポート!C406</f>
        <v>Zone-2-NPMW-2</v>
      </c>
      <c r="E406">
        <f>セットアップレポート!D406</f>
        <v>1</v>
      </c>
      <c r="F406">
        <f>セットアップレポート!E406</f>
        <v>1</v>
      </c>
      <c r="G406" t="str">
        <f>セットアップレポート!F406</f>
        <v>10009R</v>
      </c>
      <c r="H406">
        <f>セットアップレポート!G406</f>
        <v>9</v>
      </c>
      <c r="I406" t="str">
        <f>セットアップレポート!H406</f>
        <v>R</v>
      </c>
      <c r="J406" t="str">
        <f>セットアップレポート!I406</f>
        <v>632023 100568</v>
      </c>
      <c r="K406">
        <f>セットアップレポート!J406</f>
        <v>632023</v>
      </c>
      <c r="L406">
        <f>セットアップレポート!K406</f>
        <v>0</v>
      </c>
      <c r="M406">
        <f>セットアップレポート!L406</f>
        <v>0</v>
      </c>
      <c r="N406">
        <f>セットアップレポート!M406</f>
        <v>0</v>
      </c>
      <c r="O406">
        <f>セットアップレポート!N406</f>
        <v>0</v>
      </c>
      <c r="P406" t="str">
        <f>セットアップレポート!O406</f>
        <v>FA0201AAD000153</v>
      </c>
      <c r="Q406">
        <f>セットアップレポート!P406</f>
        <v>10000</v>
      </c>
      <c r="R406">
        <f>セットアップレポート!Q406</f>
        <v>45950.475127314814</v>
      </c>
      <c r="S406">
        <f>セットアップレポート!R406</f>
        <v>0</v>
      </c>
      <c r="T406">
        <f>セットアップレポート!S406</f>
        <v>0</v>
      </c>
      <c r="U406">
        <f>セットアップレポート!T406</f>
        <v>0</v>
      </c>
      <c r="V406">
        <f>セットアップレポート!U406</f>
        <v>0</v>
      </c>
      <c r="W406">
        <f>セットアップレポート!V406</f>
        <v>0</v>
      </c>
      <c r="X406">
        <f>セットアップレポート!W406</f>
        <v>0</v>
      </c>
      <c r="Y406">
        <f>セットアップレポート!X406</f>
        <v>0</v>
      </c>
      <c r="Z406">
        <f>セットアップレポート!Y406</f>
        <v>0</v>
      </c>
      <c r="AA406">
        <f>セットアップレポート!Z406</f>
        <v>0</v>
      </c>
      <c r="AB406" t="str">
        <f>セットアップレポート!AA406</f>
        <v>NONE</v>
      </c>
      <c r="AC406">
        <f>セットアップレポート!AB406</f>
        <v>0</v>
      </c>
      <c r="AD406">
        <f>セットアップレポート!AC406</f>
        <v>0</v>
      </c>
      <c r="AE406">
        <f>セットアップレポート!AD406</f>
        <v>0</v>
      </c>
      <c r="AF406">
        <f>セットアップレポート!AE406</f>
        <v>0</v>
      </c>
      <c r="AG406">
        <f>セットアップレポート!AF406</f>
        <v>0</v>
      </c>
      <c r="AH406">
        <f>セットアップレポート!AG406</f>
        <v>0</v>
      </c>
    </row>
    <row r="407" spans="1:34" x14ac:dyDescent="0.45">
      <c r="A407" t="str">
        <f t="shared" si="6"/>
        <v>L2-NPM020008R9000068499</v>
      </c>
      <c r="B407" t="str">
        <f>セットアップレポート!A407</f>
        <v>Line-2</v>
      </c>
      <c r="C407" t="str">
        <f>セットアップレポート!B407</f>
        <v>L2-NPM02</v>
      </c>
      <c r="D407" t="str">
        <f>セットアップレポート!C407</f>
        <v>Zone-2-NPMW-2</v>
      </c>
      <c r="E407">
        <f>セットアップレポート!D407</f>
        <v>1</v>
      </c>
      <c r="F407">
        <f>セットアップレポート!E407</f>
        <v>1</v>
      </c>
      <c r="G407" t="str">
        <f>セットアップレポート!F407</f>
        <v>10008R</v>
      </c>
      <c r="H407">
        <f>セットアップレポート!G407</f>
        <v>8</v>
      </c>
      <c r="I407" t="str">
        <f>セットアップレポート!H407</f>
        <v>R</v>
      </c>
      <c r="J407" t="str">
        <f>セットアップレポート!I407</f>
        <v>9000068499 100276</v>
      </c>
      <c r="K407">
        <f>セットアップレポート!J407</f>
        <v>9000068499</v>
      </c>
      <c r="L407">
        <f>セットアップレポート!K407</f>
        <v>0</v>
      </c>
      <c r="M407">
        <f>セットアップレポート!L407</f>
        <v>0</v>
      </c>
      <c r="N407">
        <f>セットアップレポート!M407</f>
        <v>0</v>
      </c>
      <c r="O407">
        <f>セットアップレポート!N407</f>
        <v>0</v>
      </c>
      <c r="P407" t="str">
        <f>セットアップレポート!O407</f>
        <v>FA0201ABA002847</v>
      </c>
      <c r="Q407">
        <f>セットアップレポート!P407</f>
        <v>10000</v>
      </c>
      <c r="R407">
        <f>セットアップレポート!Q407</f>
        <v>45950.475127314814</v>
      </c>
      <c r="S407">
        <f>セットアップレポート!R407</f>
        <v>0</v>
      </c>
      <c r="T407">
        <f>セットアップレポート!S407</f>
        <v>0</v>
      </c>
      <c r="U407">
        <f>セットアップレポート!T407</f>
        <v>0</v>
      </c>
      <c r="V407">
        <f>セットアップレポート!U407</f>
        <v>0</v>
      </c>
      <c r="W407">
        <f>セットアップレポート!V407</f>
        <v>0</v>
      </c>
      <c r="X407">
        <f>セットアップレポート!W407</f>
        <v>0</v>
      </c>
      <c r="Y407">
        <f>セットアップレポート!X407</f>
        <v>0</v>
      </c>
      <c r="Z407">
        <f>セットアップレポート!Y407</f>
        <v>0</v>
      </c>
      <c r="AA407">
        <f>セットアップレポート!Z407</f>
        <v>0</v>
      </c>
      <c r="AB407" t="str">
        <f>セットアップレポート!AA407</f>
        <v>NONE</v>
      </c>
      <c r="AC407">
        <f>セットアップレポート!AB407</f>
        <v>0</v>
      </c>
      <c r="AD407">
        <f>セットアップレポート!AC407</f>
        <v>0</v>
      </c>
      <c r="AE407">
        <f>セットアップレポート!AD407</f>
        <v>0</v>
      </c>
      <c r="AF407">
        <f>セットアップレポート!AE407</f>
        <v>0</v>
      </c>
      <c r="AG407">
        <f>セットアップレポート!AF407</f>
        <v>0</v>
      </c>
      <c r="AH407">
        <f>セットアップレポート!AG407</f>
        <v>0</v>
      </c>
    </row>
    <row r="408" spans="1:34" x14ac:dyDescent="0.45">
      <c r="A408" t="str">
        <f t="shared" si="6"/>
        <v>L2-NPM020007R9000066594</v>
      </c>
      <c r="B408" t="str">
        <f>セットアップレポート!A408</f>
        <v>Line-2</v>
      </c>
      <c r="C408" t="str">
        <f>セットアップレポート!B408</f>
        <v>L2-NPM02</v>
      </c>
      <c r="D408" t="str">
        <f>セットアップレポート!C408</f>
        <v>Zone-2-NPMW-2</v>
      </c>
      <c r="E408">
        <f>セットアップレポート!D408</f>
        <v>1</v>
      </c>
      <c r="F408">
        <f>セットアップレポート!E408</f>
        <v>1</v>
      </c>
      <c r="G408" t="str">
        <f>セットアップレポート!F408</f>
        <v>10007R</v>
      </c>
      <c r="H408">
        <f>セットアップレポート!G408</f>
        <v>7</v>
      </c>
      <c r="I408" t="str">
        <f>セットアップレポート!H408</f>
        <v>R</v>
      </c>
      <c r="J408" t="str">
        <f>セットアップレポート!I408</f>
        <v>9000066594 100261</v>
      </c>
      <c r="K408">
        <f>セットアップレポート!J408</f>
        <v>9000066594</v>
      </c>
      <c r="L408">
        <f>セットアップレポート!K408</f>
        <v>0</v>
      </c>
      <c r="M408">
        <f>セットアップレポート!L408</f>
        <v>0</v>
      </c>
      <c r="N408">
        <f>セットアップレポート!M408</f>
        <v>0</v>
      </c>
      <c r="O408">
        <f>セットアップレポート!N408</f>
        <v>0</v>
      </c>
      <c r="P408" t="str">
        <f>セットアップレポート!O408</f>
        <v>FA0201ABA001992</v>
      </c>
      <c r="Q408">
        <f>セットアップレポート!P408</f>
        <v>4000</v>
      </c>
      <c r="R408">
        <f>セットアップレポート!Q408</f>
        <v>45950.475127314814</v>
      </c>
      <c r="S408">
        <f>セットアップレポート!R408</f>
        <v>0</v>
      </c>
      <c r="T408">
        <f>セットアップレポート!S408</f>
        <v>0</v>
      </c>
      <c r="U408">
        <f>セットアップレポート!T408</f>
        <v>0</v>
      </c>
      <c r="V408">
        <f>セットアップレポート!U408</f>
        <v>0</v>
      </c>
      <c r="W408">
        <f>セットアップレポート!V408</f>
        <v>0</v>
      </c>
      <c r="X408">
        <f>セットアップレポート!W408</f>
        <v>0</v>
      </c>
      <c r="Y408">
        <f>セットアップレポート!X408</f>
        <v>0</v>
      </c>
      <c r="Z408">
        <f>セットアップレポート!Y408</f>
        <v>0</v>
      </c>
      <c r="AA408">
        <f>セットアップレポート!Z408</f>
        <v>0</v>
      </c>
      <c r="AB408" t="str">
        <f>セットアップレポート!AA408</f>
        <v>NONE</v>
      </c>
      <c r="AC408">
        <f>セットアップレポート!AB408</f>
        <v>0</v>
      </c>
      <c r="AD408">
        <f>セットアップレポート!AC408</f>
        <v>0</v>
      </c>
      <c r="AE408">
        <f>セットアップレポート!AD408</f>
        <v>0</v>
      </c>
      <c r="AF408">
        <f>セットアップレポート!AE408</f>
        <v>0</v>
      </c>
      <c r="AG408">
        <f>セットアップレポート!AF408</f>
        <v>0</v>
      </c>
      <c r="AH408">
        <f>セットアップレポート!AG408</f>
        <v>0</v>
      </c>
    </row>
    <row r="409" spans="1:34" x14ac:dyDescent="0.45">
      <c r="A409" t="str">
        <f t="shared" si="6"/>
        <v>L2-NPM020006R9000047111</v>
      </c>
      <c r="B409" t="str">
        <f>セットアップレポート!A409</f>
        <v>Line-2</v>
      </c>
      <c r="C409" t="str">
        <f>セットアップレポート!B409</f>
        <v>L2-NPM02</v>
      </c>
      <c r="D409" t="str">
        <f>セットアップレポート!C409</f>
        <v>Zone-2-NPMW-2</v>
      </c>
      <c r="E409">
        <f>セットアップレポート!D409</f>
        <v>1</v>
      </c>
      <c r="F409">
        <f>セットアップレポート!E409</f>
        <v>1</v>
      </c>
      <c r="G409" t="str">
        <f>セットアップレポート!F409</f>
        <v>10006R</v>
      </c>
      <c r="H409">
        <f>セットアップレポート!G409</f>
        <v>6</v>
      </c>
      <c r="I409" t="str">
        <f>セットアップレポート!H409</f>
        <v>R</v>
      </c>
      <c r="J409" t="str">
        <f>セットアップレポート!I409</f>
        <v>9000047111 100096</v>
      </c>
      <c r="K409">
        <f>セットアップレポート!J409</f>
        <v>9000047111</v>
      </c>
      <c r="L409">
        <f>セットアップレポート!K409</f>
        <v>0</v>
      </c>
      <c r="M409">
        <f>セットアップレポート!L409</f>
        <v>0</v>
      </c>
      <c r="N409">
        <f>セットアップレポート!M409</f>
        <v>0</v>
      </c>
      <c r="O409">
        <f>セットアップレポート!N409</f>
        <v>0</v>
      </c>
      <c r="P409" t="str">
        <f>セットアップレポート!O409</f>
        <v>FA0201ACD051125</v>
      </c>
      <c r="Q409">
        <f>セットアップレポート!P409</f>
        <v>4000</v>
      </c>
      <c r="R409">
        <f>セットアップレポート!Q409</f>
        <v>45950.475127314814</v>
      </c>
      <c r="S409">
        <f>セットアップレポート!R409</f>
        <v>0</v>
      </c>
      <c r="T409">
        <f>セットアップレポート!S409</f>
        <v>0</v>
      </c>
      <c r="U409">
        <f>セットアップレポート!T409</f>
        <v>0</v>
      </c>
      <c r="V409">
        <f>セットアップレポート!U409</f>
        <v>0</v>
      </c>
      <c r="W409">
        <f>セットアップレポート!V409</f>
        <v>0</v>
      </c>
      <c r="X409">
        <f>セットアップレポート!W409</f>
        <v>0</v>
      </c>
      <c r="Y409">
        <f>セットアップレポート!X409</f>
        <v>0</v>
      </c>
      <c r="Z409">
        <f>セットアップレポート!Y409</f>
        <v>0</v>
      </c>
      <c r="AA409">
        <f>セットアップレポート!Z409</f>
        <v>0</v>
      </c>
      <c r="AB409" t="str">
        <f>セットアップレポート!AA409</f>
        <v>NONE</v>
      </c>
      <c r="AC409">
        <f>セットアップレポート!AB409</f>
        <v>0</v>
      </c>
      <c r="AD409">
        <f>セットアップレポート!AC409</f>
        <v>0</v>
      </c>
      <c r="AE409">
        <f>セットアップレポート!AD409</f>
        <v>0</v>
      </c>
      <c r="AF409">
        <f>セットアップレポート!AE409</f>
        <v>0</v>
      </c>
      <c r="AG409">
        <f>セットアップレポート!AF409</f>
        <v>0</v>
      </c>
      <c r="AH409">
        <f>セットアップレポート!AG409</f>
        <v>0</v>
      </c>
    </row>
    <row r="410" spans="1:34" x14ac:dyDescent="0.45">
      <c r="A410" t="str">
        <f t="shared" si="6"/>
        <v>L2-NPM020005R667556A</v>
      </c>
      <c r="B410" t="str">
        <f>セットアップレポート!A410</f>
        <v>Line-2</v>
      </c>
      <c r="C410" t="str">
        <f>セットアップレポート!B410</f>
        <v>L2-NPM02</v>
      </c>
      <c r="D410" t="str">
        <f>セットアップレポート!C410</f>
        <v>Zone-2-NPMW-2</v>
      </c>
      <c r="E410">
        <f>セットアップレポート!D410</f>
        <v>1</v>
      </c>
      <c r="F410">
        <f>セットアップレポート!E410</f>
        <v>1</v>
      </c>
      <c r="G410" t="str">
        <f>セットアップレポート!F410</f>
        <v>10005R</v>
      </c>
      <c r="H410">
        <f>セットアップレポート!G410</f>
        <v>5</v>
      </c>
      <c r="I410" t="str">
        <f>セットアップレポート!H410</f>
        <v>R</v>
      </c>
      <c r="J410" t="str">
        <f>セットアップレポート!I410</f>
        <v>667556A102042</v>
      </c>
      <c r="K410" t="str">
        <f>セットアップレポート!J410</f>
        <v>667556A</v>
      </c>
      <c r="L410">
        <f>セットアップレポート!K410</f>
        <v>0</v>
      </c>
      <c r="M410">
        <f>セットアップレポート!L410</f>
        <v>0</v>
      </c>
      <c r="N410">
        <f>セットアップレポート!M410</f>
        <v>0</v>
      </c>
      <c r="O410">
        <f>セットアップレポート!N410</f>
        <v>0</v>
      </c>
      <c r="P410" t="str">
        <f>セットアップレポート!O410</f>
        <v>FA0201ACD051369</v>
      </c>
      <c r="Q410">
        <f>セットアップレポート!P410</f>
        <v>5000</v>
      </c>
      <c r="R410">
        <f>セットアップレポート!Q410</f>
        <v>45950.475115740737</v>
      </c>
      <c r="S410">
        <f>セットアップレポート!R410</f>
        <v>0</v>
      </c>
      <c r="T410">
        <f>セットアップレポート!S410</f>
        <v>0</v>
      </c>
      <c r="U410">
        <f>セットアップレポート!T410</f>
        <v>0</v>
      </c>
      <c r="V410">
        <f>セットアップレポート!U410</f>
        <v>0</v>
      </c>
      <c r="W410">
        <f>セットアップレポート!V410</f>
        <v>0</v>
      </c>
      <c r="X410">
        <f>セットアップレポート!W410</f>
        <v>0</v>
      </c>
      <c r="Y410">
        <f>セットアップレポート!X410</f>
        <v>0</v>
      </c>
      <c r="Z410">
        <f>セットアップレポート!Y410</f>
        <v>0</v>
      </c>
      <c r="AA410">
        <f>セットアップレポート!Z410</f>
        <v>0</v>
      </c>
      <c r="AB410" t="str">
        <f>セットアップレポート!AA410</f>
        <v>NONE</v>
      </c>
      <c r="AC410">
        <f>セットアップレポート!AB410</f>
        <v>0</v>
      </c>
      <c r="AD410">
        <f>セットアップレポート!AC410</f>
        <v>0</v>
      </c>
      <c r="AE410">
        <f>セットアップレポート!AD410</f>
        <v>0</v>
      </c>
      <c r="AF410">
        <f>セットアップレポート!AE410</f>
        <v>0</v>
      </c>
      <c r="AG410">
        <f>セットアップレポート!AF410</f>
        <v>0</v>
      </c>
      <c r="AH410">
        <f>セットアップレポート!AG410</f>
        <v>0</v>
      </c>
    </row>
    <row r="411" spans="1:34" x14ac:dyDescent="0.45">
      <c r="A411" t="str">
        <f t="shared" si="6"/>
        <v>L2-NPM020028R522989A</v>
      </c>
      <c r="B411" t="str">
        <f>セットアップレポート!A411</f>
        <v>Line-2</v>
      </c>
      <c r="C411" t="str">
        <f>セットアップレポート!B411</f>
        <v>L2-NPM02</v>
      </c>
      <c r="D411" t="str">
        <f>セットアップレポート!C411</f>
        <v>Zone-2-NPMW-2</v>
      </c>
      <c r="E411">
        <f>セットアップレポート!D411</f>
        <v>1</v>
      </c>
      <c r="F411">
        <f>セットアップレポート!E411</f>
        <v>1</v>
      </c>
      <c r="G411" t="str">
        <f>セットアップレポート!F411</f>
        <v>10028R</v>
      </c>
      <c r="H411">
        <f>セットアップレポート!G411</f>
        <v>28</v>
      </c>
      <c r="I411" t="str">
        <f>セットアップレポート!H411</f>
        <v>R</v>
      </c>
      <c r="J411" t="str">
        <f>セットアップレポート!I411</f>
        <v>522989A101454</v>
      </c>
      <c r="K411" t="str">
        <f>セットアップレポート!J411</f>
        <v>522989A</v>
      </c>
      <c r="L411">
        <f>セットアップレポート!K411</f>
        <v>0</v>
      </c>
      <c r="M411">
        <f>セットアップレポート!L411</f>
        <v>0</v>
      </c>
      <c r="N411">
        <f>セットアップレポート!M411</f>
        <v>0</v>
      </c>
      <c r="O411">
        <f>セットアップレポート!N411</f>
        <v>0</v>
      </c>
      <c r="P411" t="str">
        <f>セットアップレポート!O411</f>
        <v>FA0201ACD051342</v>
      </c>
      <c r="Q411">
        <f>セットアップレポート!P411</f>
        <v>3000</v>
      </c>
      <c r="R411">
        <f>セットアップレポート!Q411</f>
        <v>45930.44866898148</v>
      </c>
      <c r="S411">
        <f>セットアップレポート!R411</f>
        <v>0</v>
      </c>
      <c r="T411">
        <f>セットアップレポート!S411</f>
        <v>0</v>
      </c>
      <c r="U411">
        <f>セットアップレポート!T411</f>
        <v>0</v>
      </c>
      <c r="V411">
        <f>セットアップレポート!U411</f>
        <v>0</v>
      </c>
      <c r="W411">
        <f>セットアップレポート!V411</f>
        <v>0</v>
      </c>
      <c r="X411">
        <f>セットアップレポート!W411</f>
        <v>0</v>
      </c>
      <c r="Y411">
        <f>セットアップレポート!X411</f>
        <v>0</v>
      </c>
      <c r="Z411">
        <f>セットアップレポート!Y411</f>
        <v>0</v>
      </c>
      <c r="AA411">
        <f>セットアップレポート!Z411</f>
        <v>0</v>
      </c>
      <c r="AB411" t="str">
        <f>セットアップレポート!AA411</f>
        <v>NONE</v>
      </c>
      <c r="AC411">
        <f>セットアップレポート!AB411</f>
        <v>0</v>
      </c>
      <c r="AD411">
        <f>セットアップレポート!AC411</f>
        <v>0</v>
      </c>
      <c r="AE411">
        <f>セットアップレポート!AD411</f>
        <v>0</v>
      </c>
      <c r="AF411">
        <f>セットアップレポート!AE411</f>
        <v>0</v>
      </c>
      <c r="AG411">
        <f>セットアップレポート!AF411</f>
        <v>0</v>
      </c>
      <c r="AH411">
        <f>セットアップレポート!AG411</f>
        <v>0</v>
      </c>
    </row>
    <row r="412" spans="1:34" x14ac:dyDescent="0.45">
      <c r="A412" t="str">
        <f t="shared" si="6"/>
        <v>L2-NPM020027R9000048511</v>
      </c>
      <c r="B412" t="str">
        <f>セットアップレポート!A412</f>
        <v>Line-2</v>
      </c>
      <c r="C412" t="str">
        <f>セットアップレポート!B412</f>
        <v>L2-NPM02</v>
      </c>
      <c r="D412" t="str">
        <f>セットアップレポート!C412</f>
        <v>Zone-2-NPMW-2</v>
      </c>
      <c r="E412">
        <f>セットアップレポート!D412</f>
        <v>1</v>
      </c>
      <c r="F412">
        <f>セットアップレポート!E412</f>
        <v>1</v>
      </c>
      <c r="G412" t="str">
        <f>セットアップレポート!F412</f>
        <v>10027R</v>
      </c>
      <c r="H412">
        <f>セットアップレポート!G412</f>
        <v>27</v>
      </c>
      <c r="I412" t="str">
        <f>セットアップレポート!H412</f>
        <v>R</v>
      </c>
      <c r="J412" t="str">
        <f>セットアップレポート!I412</f>
        <v>9000048511 100749</v>
      </c>
      <c r="K412">
        <f>セットアップレポート!J412</f>
        <v>9000048511</v>
      </c>
      <c r="L412">
        <f>セットアップレポート!K412</f>
        <v>0</v>
      </c>
      <c r="M412">
        <f>セットアップレポート!L412</f>
        <v>0</v>
      </c>
      <c r="N412">
        <f>セットアップレポート!M412</f>
        <v>0</v>
      </c>
      <c r="O412">
        <f>セットアップレポート!N412</f>
        <v>0</v>
      </c>
      <c r="P412" t="str">
        <f>セットアップレポート!O412</f>
        <v>FA0201ACD049828</v>
      </c>
      <c r="Q412">
        <f>セットアップレポート!P412</f>
        <v>3000</v>
      </c>
      <c r="R412">
        <f>セットアップレポート!Q412</f>
        <v>45950.475127314814</v>
      </c>
      <c r="S412">
        <f>セットアップレポート!R412</f>
        <v>0</v>
      </c>
      <c r="T412">
        <f>セットアップレポート!S412</f>
        <v>0</v>
      </c>
      <c r="U412">
        <f>セットアップレポート!T412</f>
        <v>0</v>
      </c>
      <c r="V412">
        <f>セットアップレポート!U412</f>
        <v>0</v>
      </c>
      <c r="W412">
        <f>セットアップレポート!V412</f>
        <v>0</v>
      </c>
      <c r="X412">
        <f>セットアップレポート!W412</f>
        <v>0</v>
      </c>
      <c r="Y412">
        <f>セットアップレポート!X412</f>
        <v>0</v>
      </c>
      <c r="Z412">
        <f>セットアップレポート!Y412</f>
        <v>0</v>
      </c>
      <c r="AA412">
        <f>セットアップレポート!Z412</f>
        <v>0</v>
      </c>
      <c r="AB412" t="str">
        <f>セットアップレポート!AA412</f>
        <v>NONE</v>
      </c>
      <c r="AC412">
        <f>セットアップレポート!AB412</f>
        <v>0</v>
      </c>
      <c r="AD412">
        <f>セットアップレポート!AC412</f>
        <v>0</v>
      </c>
      <c r="AE412">
        <f>セットアップレポート!AD412</f>
        <v>0</v>
      </c>
      <c r="AF412">
        <f>セットアップレポート!AE412</f>
        <v>0</v>
      </c>
      <c r="AG412">
        <f>セットアップレポート!AF412</f>
        <v>0</v>
      </c>
      <c r="AH412">
        <f>セットアップレポート!AG412</f>
        <v>0</v>
      </c>
    </row>
    <row r="413" spans="1:34" x14ac:dyDescent="0.45">
      <c r="A413" t="str">
        <f t="shared" si="6"/>
        <v>L2-NPM020026R568012B</v>
      </c>
      <c r="B413" t="str">
        <f>セットアップレポート!A413</f>
        <v>Line-2</v>
      </c>
      <c r="C413" t="str">
        <f>セットアップレポート!B413</f>
        <v>L2-NPM02</v>
      </c>
      <c r="D413" t="str">
        <f>セットアップレポート!C413</f>
        <v>Zone-2-NPMW-2</v>
      </c>
      <c r="E413">
        <f>セットアップレポート!D413</f>
        <v>1</v>
      </c>
      <c r="F413">
        <f>セットアップレポート!E413</f>
        <v>1</v>
      </c>
      <c r="G413" t="str">
        <f>セットアップレポート!F413</f>
        <v>10026R</v>
      </c>
      <c r="H413">
        <f>セットアップレポート!G413</f>
        <v>26</v>
      </c>
      <c r="I413" t="str">
        <f>セットアップレポート!H413</f>
        <v>R</v>
      </c>
      <c r="J413" t="str">
        <f>セットアップレポート!I413</f>
        <v>568012B100069</v>
      </c>
      <c r="K413" t="str">
        <f>セットアップレポート!J413</f>
        <v>568012B</v>
      </c>
      <c r="L413">
        <f>セットアップレポート!K413</f>
        <v>0</v>
      </c>
      <c r="M413">
        <f>セットアップレポート!L413</f>
        <v>0</v>
      </c>
      <c r="N413">
        <f>セットアップレポート!M413</f>
        <v>0</v>
      </c>
      <c r="O413">
        <f>セットアップレポート!N413</f>
        <v>0</v>
      </c>
      <c r="P413" t="str">
        <f>セットアップレポート!O413</f>
        <v>FA0201ABD000391</v>
      </c>
      <c r="Q413">
        <f>セットアップレポート!P413</f>
        <v>5000</v>
      </c>
      <c r="R413">
        <f>セットアップレポート!Q413</f>
        <v>45946.442106481481</v>
      </c>
      <c r="S413">
        <f>セットアップレポート!R413</f>
        <v>0</v>
      </c>
      <c r="T413">
        <f>セットアップレポート!S413</f>
        <v>0</v>
      </c>
      <c r="U413">
        <f>セットアップレポート!T413</f>
        <v>0</v>
      </c>
      <c r="V413">
        <f>セットアップレポート!U413</f>
        <v>0</v>
      </c>
      <c r="W413">
        <f>セットアップレポート!V413</f>
        <v>0</v>
      </c>
      <c r="X413">
        <f>セットアップレポート!W413</f>
        <v>0</v>
      </c>
      <c r="Y413">
        <f>セットアップレポート!X413</f>
        <v>0</v>
      </c>
      <c r="Z413">
        <f>セットアップレポート!Y413</f>
        <v>0</v>
      </c>
      <c r="AA413">
        <f>セットアップレポート!Z413</f>
        <v>0</v>
      </c>
      <c r="AB413" t="str">
        <f>セットアップレポート!AA413</f>
        <v>NONE</v>
      </c>
      <c r="AC413">
        <f>セットアップレポート!AB413</f>
        <v>0</v>
      </c>
      <c r="AD413">
        <f>セットアップレポート!AC413</f>
        <v>0</v>
      </c>
      <c r="AE413">
        <f>セットアップレポート!AD413</f>
        <v>0</v>
      </c>
      <c r="AF413">
        <f>セットアップレポート!AE413</f>
        <v>0</v>
      </c>
      <c r="AG413">
        <f>セットアップレポート!AF413</f>
        <v>0</v>
      </c>
      <c r="AH413">
        <f>セットアップレポート!AG413</f>
        <v>0</v>
      </c>
    </row>
    <row r="414" spans="1:34" x14ac:dyDescent="0.45">
      <c r="A414" t="str">
        <f t="shared" si="6"/>
        <v>L2-NPM020025R529581A</v>
      </c>
      <c r="B414" t="str">
        <f>セットアップレポート!A414</f>
        <v>Line-2</v>
      </c>
      <c r="C414" t="str">
        <f>セットアップレポート!B414</f>
        <v>L2-NPM02</v>
      </c>
      <c r="D414" t="str">
        <f>セットアップレポート!C414</f>
        <v>Zone-2-NPMW-2</v>
      </c>
      <c r="E414">
        <f>セットアップレポート!D414</f>
        <v>1</v>
      </c>
      <c r="F414">
        <f>セットアップレポート!E414</f>
        <v>1</v>
      </c>
      <c r="G414" t="str">
        <f>セットアップレポート!F414</f>
        <v>10025R</v>
      </c>
      <c r="H414">
        <f>セットアップレポート!G414</f>
        <v>25</v>
      </c>
      <c r="I414" t="str">
        <f>セットアップレポート!H414</f>
        <v>R</v>
      </c>
      <c r="J414" t="str">
        <f>セットアップレポート!I414</f>
        <v>529581A100232</v>
      </c>
      <c r="K414" t="str">
        <f>セットアップレポート!J414</f>
        <v>529581A</v>
      </c>
      <c r="L414">
        <f>セットアップレポート!K414</f>
        <v>0</v>
      </c>
      <c r="M414">
        <f>セットアップレポート!L414</f>
        <v>0</v>
      </c>
      <c r="N414">
        <f>セットアップレポート!M414</f>
        <v>0</v>
      </c>
      <c r="O414">
        <f>セットアップレポート!N414</f>
        <v>0</v>
      </c>
      <c r="P414" t="str">
        <f>セットアップレポート!O414</f>
        <v>FA0201ABD000513</v>
      </c>
      <c r="Q414">
        <f>セットアップレポート!P414</f>
        <v>4000</v>
      </c>
      <c r="R414">
        <f>セットアップレポート!Q414</f>
        <v>45930.448657407411</v>
      </c>
      <c r="S414">
        <f>セットアップレポート!R414</f>
        <v>0</v>
      </c>
      <c r="T414">
        <f>セットアップレポート!S414</f>
        <v>0</v>
      </c>
      <c r="U414">
        <f>セットアップレポート!T414</f>
        <v>0</v>
      </c>
      <c r="V414">
        <f>セットアップレポート!U414</f>
        <v>0</v>
      </c>
      <c r="W414">
        <f>セットアップレポート!V414</f>
        <v>0</v>
      </c>
      <c r="X414">
        <f>セットアップレポート!W414</f>
        <v>0</v>
      </c>
      <c r="Y414">
        <f>セットアップレポート!X414</f>
        <v>0</v>
      </c>
      <c r="Z414">
        <f>セットアップレポート!Y414</f>
        <v>0</v>
      </c>
      <c r="AA414">
        <f>セットアップレポート!Z414</f>
        <v>0</v>
      </c>
      <c r="AB414" t="str">
        <f>セットアップレポート!AA414</f>
        <v>NONE</v>
      </c>
      <c r="AC414">
        <f>セットアップレポート!AB414</f>
        <v>0</v>
      </c>
      <c r="AD414">
        <f>セットアップレポート!AC414</f>
        <v>0</v>
      </c>
      <c r="AE414">
        <f>セットアップレポート!AD414</f>
        <v>0</v>
      </c>
      <c r="AF414">
        <f>セットアップレポート!AE414</f>
        <v>0</v>
      </c>
      <c r="AG414">
        <f>セットアップレポート!AF414</f>
        <v>0</v>
      </c>
      <c r="AH414">
        <f>セットアップレポート!AG414</f>
        <v>0</v>
      </c>
    </row>
    <row r="415" spans="1:34" x14ac:dyDescent="0.45">
      <c r="A415" t="str">
        <f t="shared" si="6"/>
        <v>L2-NPM020024R934767</v>
      </c>
      <c r="B415" t="str">
        <f>セットアップレポート!A415</f>
        <v>Line-2</v>
      </c>
      <c r="C415" t="str">
        <f>セットアップレポート!B415</f>
        <v>L2-NPM02</v>
      </c>
      <c r="D415" t="str">
        <f>セットアップレポート!C415</f>
        <v>Zone-2-NPMW-2</v>
      </c>
      <c r="E415">
        <f>セットアップレポート!D415</f>
        <v>1</v>
      </c>
      <c r="F415">
        <f>セットアップレポート!E415</f>
        <v>1</v>
      </c>
      <c r="G415" t="str">
        <f>セットアップレポート!F415</f>
        <v>10024R</v>
      </c>
      <c r="H415">
        <f>セットアップレポート!G415</f>
        <v>24</v>
      </c>
      <c r="I415" t="str">
        <f>セットアップレポート!H415</f>
        <v>R</v>
      </c>
      <c r="J415" t="str">
        <f>セットアップレポート!I415</f>
        <v>934767 100176</v>
      </c>
      <c r="K415">
        <f>セットアップレポート!J415</f>
        <v>934767</v>
      </c>
      <c r="L415">
        <f>セットアップレポート!K415</f>
        <v>0</v>
      </c>
      <c r="M415">
        <f>セットアップレポート!L415</f>
        <v>0</v>
      </c>
      <c r="N415">
        <f>セットアップレポート!M415</f>
        <v>0</v>
      </c>
      <c r="O415">
        <f>セットアップレポート!N415</f>
        <v>0</v>
      </c>
      <c r="P415" t="str">
        <f>セットアップレポート!O415</f>
        <v>FA0201ACD050212</v>
      </c>
      <c r="Q415">
        <f>セットアップレポート!P415</f>
        <v>3000</v>
      </c>
      <c r="R415">
        <f>セットアップレポート!Q415</f>
        <v>45930.448645833334</v>
      </c>
      <c r="S415">
        <f>セットアップレポート!R415</f>
        <v>0</v>
      </c>
      <c r="T415">
        <f>セットアップレポート!S415</f>
        <v>0</v>
      </c>
      <c r="U415">
        <f>セットアップレポート!T415</f>
        <v>0</v>
      </c>
      <c r="V415">
        <f>セットアップレポート!U415</f>
        <v>0</v>
      </c>
      <c r="W415">
        <f>セットアップレポート!V415</f>
        <v>0</v>
      </c>
      <c r="X415">
        <f>セットアップレポート!W415</f>
        <v>0</v>
      </c>
      <c r="Y415">
        <f>セットアップレポート!X415</f>
        <v>0</v>
      </c>
      <c r="Z415">
        <f>セットアップレポート!Y415</f>
        <v>0</v>
      </c>
      <c r="AA415">
        <f>セットアップレポート!Z415</f>
        <v>0</v>
      </c>
      <c r="AB415" t="str">
        <f>セットアップレポート!AA415</f>
        <v>NONE</v>
      </c>
      <c r="AC415">
        <f>セットアップレポート!AB415</f>
        <v>0</v>
      </c>
      <c r="AD415">
        <f>セットアップレポート!AC415</f>
        <v>0</v>
      </c>
      <c r="AE415">
        <f>セットアップレポート!AD415</f>
        <v>0</v>
      </c>
      <c r="AF415">
        <f>セットアップレポート!AE415</f>
        <v>0</v>
      </c>
      <c r="AG415">
        <f>セットアップレポート!AF415</f>
        <v>0</v>
      </c>
      <c r="AH415">
        <f>セットアップレポート!AG415</f>
        <v>0</v>
      </c>
    </row>
    <row r="416" spans="1:34" x14ac:dyDescent="0.45">
      <c r="A416" t="str">
        <f t="shared" si="6"/>
        <v>L2-NPM020023R667476A</v>
      </c>
      <c r="B416" t="str">
        <f>セットアップレポート!A416</f>
        <v>Line-2</v>
      </c>
      <c r="C416" t="str">
        <f>セットアップレポート!B416</f>
        <v>L2-NPM02</v>
      </c>
      <c r="D416" t="str">
        <f>セットアップレポート!C416</f>
        <v>Zone-2-NPMW-2</v>
      </c>
      <c r="E416">
        <f>セットアップレポート!D416</f>
        <v>1</v>
      </c>
      <c r="F416">
        <f>セットアップレポート!E416</f>
        <v>1</v>
      </c>
      <c r="G416" t="str">
        <f>セットアップレポート!F416</f>
        <v>10023R</v>
      </c>
      <c r="H416">
        <f>セットアップレポート!G416</f>
        <v>23</v>
      </c>
      <c r="I416" t="str">
        <f>セットアップレポート!H416</f>
        <v>R</v>
      </c>
      <c r="J416" t="str">
        <f>セットアップレポート!I416</f>
        <v>667476A100654</v>
      </c>
      <c r="K416" t="str">
        <f>セットアップレポート!J416</f>
        <v>667476A</v>
      </c>
      <c r="L416">
        <f>セットアップレポート!K416</f>
        <v>0</v>
      </c>
      <c r="M416">
        <f>セットアップレポート!L416</f>
        <v>0</v>
      </c>
      <c r="N416">
        <f>セットアップレポート!M416</f>
        <v>0</v>
      </c>
      <c r="O416">
        <f>セットアップレポート!N416</f>
        <v>0</v>
      </c>
      <c r="P416" t="str">
        <f>セットアップレポート!O416</f>
        <v>FA0201AAD000164</v>
      </c>
      <c r="Q416">
        <f>セットアップレポート!P416</f>
        <v>5000</v>
      </c>
      <c r="R416">
        <f>セットアップレポート!Q416</f>
        <v>45950.475127314814</v>
      </c>
      <c r="S416">
        <f>セットアップレポート!R416</f>
        <v>0</v>
      </c>
      <c r="T416">
        <f>セットアップレポート!S416</f>
        <v>0</v>
      </c>
      <c r="U416">
        <f>セットアップレポート!T416</f>
        <v>0</v>
      </c>
      <c r="V416">
        <f>セットアップレポート!U416</f>
        <v>0</v>
      </c>
      <c r="W416">
        <f>セットアップレポート!V416</f>
        <v>0</v>
      </c>
      <c r="X416">
        <f>セットアップレポート!W416</f>
        <v>0</v>
      </c>
      <c r="Y416">
        <f>セットアップレポート!X416</f>
        <v>0</v>
      </c>
      <c r="Z416">
        <f>セットアップレポート!Y416</f>
        <v>0</v>
      </c>
      <c r="AA416">
        <f>セットアップレポート!Z416</f>
        <v>0</v>
      </c>
      <c r="AB416" t="str">
        <f>セットアップレポート!AA416</f>
        <v>NONE</v>
      </c>
      <c r="AC416">
        <f>セットアップレポート!AB416</f>
        <v>0</v>
      </c>
      <c r="AD416">
        <f>セットアップレポート!AC416</f>
        <v>0</v>
      </c>
      <c r="AE416">
        <f>セットアップレポート!AD416</f>
        <v>0</v>
      </c>
      <c r="AF416">
        <f>セットアップレポート!AE416</f>
        <v>0</v>
      </c>
      <c r="AG416">
        <f>セットアップレポート!AF416</f>
        <v>0</v>
      </c>
      <c r="AH416">
        <f>セットアップレポート!AG416</f>
        <v>0</v>
      </c>
    </row>
    <row r="417" spans="1:34" x14ac:dyDescent="0.45">
      <c r="A417" t="str">
        <f t="shared" si="6"/>
        <v>L2-NPM020022R907636B</v>
      </c>
      <c r="B417" t="str">
        <f>セットアップレポート!A417</f>
        <v>Line-2</v>
      </c>
      <c r="C417" t="str">
        <f>セットアップレポート!B417</f>
        <v>L2-NPM02</v>
      </c>
      <c r="D417" t="str">
        <f>セットアップレポート!C417</f>
        <v>Zone-2-NPMW-2</v>
      </c>
      <c r="E417">
        <f>セットアップレポート!D417</f>
        <v>1</v>
      </c>
      <c r="F417">
        <f>セットアップレポート!E417</f>
        <v>1</v>
      </c>
      <c r="G417" t="str">
        <f>セットアップレポート!F417</f>
        <v>10022R</v>
      </c>
      <c r="H417">
        <f>セットアップレポート!G417</f>
        <v>22</v>
      </c>
      <c r="I417" t="str">
        <f>セットアップレポート!H417</f>
        <v>R</v>
      </c>
      <c r="J417" t="str">
        <f>セットアップレポート!I417</f>
        <v>907636B100175</v>
      </c>
      <c r="K417" t="str">
        <f>セットアップレポート!J417</f>
        <v>907636B</v>
      </c>
      <c r="L417">
        <f>セットアップレポート!K417</f>
        <v>0</v>
      </c>
      <c r="M417">
        <f>セットアップレポート!L417</f>
        <v>0</v>
      </c>
      <c r="N417">
        <f>セットアップレポート!M417</f>
        <v>0</v>
      </c>
      <c r="O417">
        <f>セットアップレポート!N417</f>
        <v>0</v>
      </c>
      <c r="P417" t="str">
        <f>セットアップレポート!O417</f>
        <v>FA0201ABA002566</v>
      </c>
      <c r="Q417">
        <f>セットアップレポート!P417</f>
        <v>3000</v>
      </c>
      <c r="R417">
        <f>セットアップレポート!Q417</f>
        <v>45930.448645833334</v>
      </c>
      <c r="S417">
        <f>セットアップレポート!R417</f>
        <v>0</v>
      </c>
      <c r="T417">
        <f>セットアップレポート!S417</f>
        <v>0</v>
      </c>
      <c r="U417">
        <f>セットアップレポート!T417</f>
        <v>0</v>
      </c>
      <c r="V417">
        <f>セットアップレポート!U417</f>
        <v>0</v>
      </c>
      <c r="W417">
        <f>セットアップレポート!V417</f>
        <v>0</v>
      </c>
      <c r="X417">
        <f>セットアップレポート!W417</f>
        <v>0</v>
      </c>
      <c r="Y417">
        <f>セットアップレポート!X417</f>
        <v>0</v>
      </c>
      <c r="Z417">
        <f>セットアップレポート!Y417</f>
        <v>0</v>
      </c>
      <c r="AA417">
        <f>セットアップレポート!Z417</f>
        <v>0</v>
      </c>
      <c r="AB417" t="str">
        <f>セットアップレポート!AA417</f>
        <v>NONE</v>
      </c>
      <c r="AC417">
        <f>セットアップレポート!AB417</f>
        <v>0</v>
      </c>
      <c r="AD417">
        <f>セットアップレポート!AC417</f>
        <v>0</v>
      </c>
      <c r="AE417">
        <f>セットアップレポート!AD417</f>
        <v>0</v>
      </c>
      <c r="AF417">
        <f>セットアップレポート!AE417</f>
        <v>0</v>
      </c>
      <c r="AG417">
        <f>セットアップレポート!AF417</f>
        <v>0</v>
      </c>
      <c r="AH417">
        <f>セットアップレポート!AG417</f>
        <v>0</v>
      </c>
    </row>
    <row r="418" spans="1:34" x14ac:dyDescent="0.45">
      <c r="A418" t="str">
        <f t="shared" si="6"/>
        <v>L2-NPM020021R672595</v>
      </c>
      <c r="B418" t="str">
        <f>セットアップレポート!A418</f>
        <v>Line-2</v>
      </c>
      <c r="C418" t="str">
        <f>セットアップレポート!B418</f>
        <v>L2-NPM02</v>
      </c>
      <c r="D418" t="str">
        <f>セットアップレポート!C418</f>
        <v>Zone-2-NPMW-2</v>
      </c>
      <c r="E418">
        <f>セットアップレポート!D418</f>
        <v>1</v>
      </c>
      <c r="F418">
        <f>セットアップレポート!E418</f>
        <v>1</v>
      </c>
      <c r="G418" t="str">
        <f>セットアップレポート!F418</f>
        <v>10021R</v>
      </c>
      <c r="H418">
        <f>セットアップレポート!G418</f>
        <v>21</v>
      </c>
      <c r="I418" t="str">
        <f>セットアップレポート!H418</f>
        <v>R</v>
      </c>
      <c r="J418" t="str">
        <f>セットアップレポート!I418</f>
        <v>672595 102573</v>
      </c>
      <c r="K418">
        <f>セットアップレポート!J418</f>
        <v>672595</v>
      </c>
      <c r="L418">
        <f>セットアップレポート!K418</f>
        <v>0</v>
      </c>
      <c r="M418">
        <f>セットアップレポート!L418</f>
        <v>0</v>
      </c>
      <c r="N418">
        <f>セットアップレポート!M418</f>
        <v>0</v>
      </c>
      <c r="O418">
        <f>セットアップレポート!N418</f>
        <v>0</v>
      </c>
      <c r="P418" t="str">
        <f>セットアップレポート!O418</f>
        <v>FA0201ABD000464</v>
      </c>
      <c r="Q418">
        <f>セットアップレポート!P418</f>
        <v>10000</v>
      </c>
      <c r="R418">
        <f>セットアップレポート!Q418</f>
        <v>45950.475127314814</v>
      </c>
      <c r="S418">
        <f>セットアップレポート!R418</f>
        <v>0</v>
      </c>
      <c r="T418">
        <f>セットアップレポート!S418</f>
        <v>0</v>
      </c>
      <c r="U418">
        <f>セットアップレポート!T418</f>
        <v>0</v>
      </c>
      <c r="V418">
        <f>セットアップレポート!U418</f>
        <v>0</v>
      </c>
      <c r="W418">
        <f>セットアップレポート!V418</f>
        <v>0</v>
      </c>
      <c r="X418">
        <f>セットアップレポート!W418</f>
        <v>0</v>
      </c>
      <c r="Y418">
        <f>セットアップレポート!X418</f>
        <v>0</v>
      </c>
      <c r="Z418">
        <f>セットアップレポート!Y418</f>
        <v>0</v>
      </c>
      <c r="AA418">
        <f>セットアップレポート!Z418</f>
        <v>0</v>
      </c>
      <c r="AB418" t="str">
        <f>セットアップレポート!AA418</f>
        <v>NONE</v>
      </c>
      <c r="AC418">
        <f>セットアップレポート!AB418</f>
        <v>0</v>
      </c>
      <c r="AD418">
        <f>セットアップレポート!AC418</f>
        <v>0</v>
      </c>
      <c r="AE418">
        <f>セットアップレポート!AD418</f>
        <v>0</v>
      </c>
      <c r="AF418">
        <f>セットアップレポート!AE418</f>
        <v>0</v>
      </c>
      <c r="AG418">
        <f>セットアップレポート!AF418</f>
        <v>0</v>
      </c>
      <c r="AH418">
        <f>セットアップレポート!AG418</f>
        <v>0</v>
      </c>
    </row>
    <row r="419" spans="1:34" x14ac:dyDescent="0.45">
      <c r="A419" t="str">
        <f t="shared" si="6"/>
        <v>L2-NPM020020R684368</v>
      </c>
      <c r="B419" t="str">
        <f>セットアップレポート!A419</f>
        <v>Line-2</v>
      </c>
      <c r="C419" t="str">
        <f>セットアップレポート!B419</f>
        <v>L2-NPM02</v>
      </c>
      <c r="D419" t="str">
        <f>セットアップレポート!C419</f>
        <v>Zone-2-NPMW-2</v>
      </c>
      <c r="E419">
        <f>セットアップレポート!D419</f>
        <v>1</v>
      </c>
      <c r="F419">
        <f>セットアップレポート!E419</f>
        <v>1</v>
      </c>
      <c r="G419" t="str">
        <f>セットアップレポート!F419</f>
        <v>10020R</v>
      </c>
      <c r="H419">
        <f>セットアップレポート!G419</f>
        <v>20</v>
      </c>
      <c r="I419" t="str">
        <f>セットアップレポート!H419</f>
        <v>R</v>
      </c>
      <c r="J419" t="str">
        <f>セットアップレポート!I419</f>
        <v>684368 100884</v>
      </c>
      <c r="K419">
        <f>セットアップレポート!J419</f>
        <v>684368</v>
      </c>
      <c r="L419">
        <f>セットアップレポート!K419</f>
        <v>0</v>
      </c>
      <c r="M419">
        <f>セットアップレポート!L419</f>
        <v>0</v>
      </c>
      <c r="N419">
        <f>セットアップレポート!M419</f>
        <v>0</v>
      </c>
      <c r="O419">
        <f>セットアップレポート!N419</f>
        <v>0</v>
      </c>
      <c r="P419" t="str">
        <f>セットアップレポート!O419</f>
        <v>FA0201ACD051292</v>
      </c>
      <c r="Q419">
        <f>セットアップレポート!P419</f>
        <v>10000</v>
      </c>
      <c r="R419">
        <f>セットアップレポート!Q419</f>
        <v>45946.59412037037</v>
      </c>
      <c r="S419">
        <f>セットアップレポート!R419</f>
        <v>0</v>
      </c>
      <c r="T419">
        <f>セットアップレポート!S419</f>
        <v>0</v>
      </c>
      <c r="U419">
        <f>セットアップレポート!T419</f>
        <v>0</v>
      </c>
      <c r="V419">
        <f>セットアップレポート!U419</f>
        <v>0</v>
      </c>
      <c r="W419">
        <f>セットアップレポート!V419</f>
        <v>0</v>
      </c>
      <c r="X419">
        <f>セットアップレポート!W419</f>
        <v>0</v>
      </c>
      <c r="Y419">
        <f>セットアップレポート!X419</f>
        <v>0</v>
      </c>
      <c r="Z419">
        <f>セットアップレポート!Y419</f>
        <v>0</v>
      </c>
      <c r="AA419">
        <f>セットアップレポート!Z419</f>
        <v>0</v>
      </c>
      <c r="AB419" t="str">
        <f>セットアップレポート!AA419</f>
        <v>NONE</v>
      </c>
      <c r="AC419">
        <f>セットアップレポート!AB419</f>
        <v>0</v>
      </c>
      <c r="AD419">
        <f>セットアップレポート!AC419</f>
        <v>0</v>
      </c>
      <c r="AE419">
        <f>セットアップレポート!AD419</f>
        <v>0</v>
      </c>
      <c r="AF419">
        <f>セットアップレポート!AE419</f>
        <v>0</v>
      </c>
      <c r="AG419">
        <f>セットアップレポート!AF419</f>
        <v>0</v>
      </c>
      <c r="AH419">
        <f>セットアップレポート!AG419</f>
        <v>0</v>
      </c>
    </row>
    <row r="420" spans="1:34" x14ac:dyDescent="0.45">
      <c r="A420" t="str">
        <f t="shared" si="6"/>
        <v>L2-NPM020019R620508</v>
      </c>
      <c r="B420" t="str">
        <f>セットアップレポート!A420</f>
        <v>Line-2</v>
      </c>
      <c r="C420" t="str">
        <f>セットアップレポート!B420</f>
        <v>L2-NPM02</v>
      </c>
      <c r="D420" t="str">
        <f>セットアップレポート!C420</f>
        <v>Zone-2-NPMW-2</v>
      </c>
      <c r="E420">
        <f>セットアップレポート!D420</f>
        <v>1</v>
      </c>
      <c r="F420">
        <f>セットアップレポート!E420</f>
        <v>1</v>
      </c>
      <c r="G420" t="str">
        <f>セットアップレポート!F420</f>
        <v>10019R</v>
      </c>
      <c r="H420">
        <f>セットアップレポート!G420</f>
        <v>19</v>
      </c>
      <c r="I420" t="str">
        <f>セットアップレポート!H420</f>
        <v>R</v>
      </c>
      <c r="J420" t="str">
        <f>セットアップレポート!I420</f>
        <v>620508 104938</v>
      </c>
      <c r="K420">
        <f>セットアップレポート!J420</f>
        <v>620508</v>
      </c>
      <c r="L420">
        <f>セットアップレポート!K420</f>
        <v>0</v>
      </c>
      <c r="M420">
        <f>セットアップレポート!L420</f>
        <v>0</v>
      </c>
      <c r="N420">
        <f>セットアップレポート!M420</f>
        <v>0</v>
      </c>
      <c r="O420">
        <f>セットアップレポート!N420</f>
        <v>0</v>
      </c>
      <c r="P420" t="str">
        <f>セットアップレポート!O420</f>
        <v>FA0201ABA002857</v>
      </c>
      <c r="Q420">
        <f>セットアップレポート!P420</f>
        <v>4000</v>
      </c>
      <c r="R420">
        <f>セットアップレポート!Q420</f>
        <v>45944.538819444446</v>
      </c>
      <c r="S420">
        <f>セットアップレポート!R420</f>
        <v>0</v>
      </c>
      <c r="T420">
        <f>セットアップレポート!S420</f>
        <v>0</v>
      </c>
      <c r="U420">
        <f>セットアップレポート!T420</f>
        <v>0</v>
      </c>
      <c r="V420">
        <f>セットアップレポート!U420</f>
        <v>0</v>
      </c>
      <c r="W420">
        <f>セットアップレポート!V420</f>
        <v>0</v>
      </c>
      <c r="X420">
        <f>セットアップレポート!W420</f>
        <v>0</v>
      </c>
      <c r="Y420">
        <f>セットアップレポート!X420</f>
        <v>0</v>
      </c>
      <c r="Z420">
        <f>セットアップレポート!Y420</f>
        <v>0</v>
      </c>
      <c r="AA420">
        <f>セットアップレポート!Z420</f>
        <v>0</v>
      </c>
      <c r="AB420" t="str">
        <f>セットアップレポート!AA420</f>
        <v>NONE</v>
      </c>
      <c r="AC420">
        <f>セットアップレポート!AB420</f>
        <v>0</v>
      </c>
      <c r="AD420">
        <f>セットアップレポート!AC420</f>
        <v>0</v>
      </c>
      <c r="AE420">
        <f>セットアップレポート!AD420</f>
        <v>0</v>
      </c>
      <c r="AF420">
        <f>セットアップレポート!AE420</f>
        <v>0</v>
      </c>
      <c r="AG420">
        <f>セットアップレポート!AF420</f>
        <v>0</v>
      </c>
      <c r="AH420">
        <f>セットアップレポート!AG420</f>
        <v>0</v>
      </c>
    </row>
    <row r="421" spans="1:34" x14ac:dyDescent="0.45">
      <c r="A421" t="str">
        <f t="shared" si="6"/>
        <v>L2-NPM020018R683832</v>
      </c>
      <c r="B421" t="str">
        <f>セットアップレポート!A421</f>
        <v>Line-2</v>
      </c>
      <c r="C421" t="str">
        <f>セットアップレポート!B421</f>
        <v>L2-NPM02</v>
      </c>
      <c r="D421" t="str">
        <f>セットアップレポート!C421</f>
        <v>Zone-2-NPMW-2</v>
      </c>
      <c r="E421">
        <f>セットアップレポート!D421</f>
        <v>1</v>
      </c>
      <c r="F421">
        <f>セットアップレポート!E421</f>
        <v>1</v>
      </c>
      <c r="G421" t="str">
        <f>セットアップレポート!F421</f>
        <v>10018R</v>
      </c>
      <c r="H421">
        <f>セットアップレポート!G421</f>
        <v>18</v>
      </c>
      <c r="I421" t="str">
        <f>セットアップレポート!H421</f>
        <v>R</v>
      </c>
      <c r="J421" t="str">
        <f>セットアップレポート!I421</f>
        <v>683832 100192</v>
      </c>
      <c r="K421">
        <f>セットアップレポート!J421</f>
        <v>683832</v>
      </c>
      <c r="L421">
        <f>セットアップレポート!K421</f>
        <v>0</v>
      </c>
      <c r="M421">
        <f>セットアップレポート!L421</f>
        <v>0</v>
      </c>
      <c r="N421">
        <f>セットアップレポート!M421</f>
        <v>0</v>
      </c>
      <c r="O421">
        <f>セットアップレポート!N421</f>
        <v>0</v>
      </c>
      <c r="P421" t="str">
        <f>セットアップレポート!O421</f>
        <v>FA0201ABA002579</v>
      </c>
      <c r="Q421">
        <f>セットアップレポート!P421</f>
        <v>10000</v>
      </c>
      <c r="R421">
        <f>セットアップレポート!Q421</f>
        <v>45930.448622685188</v>
      </c>
      <c r="S421">
        <f>セットアップレポート!R421</f>
        <v>0</v>
      </c>
      <c r="T421">
        <f>セットアップレポート!S421</f>
        <v>0</v>
      </c>
      <c r="U421">
        <f>セットアップレポート!T421</f>
        <v>0</v>
      </c>
      <c r="V421">
        <f>セットアップレポート!U421</f>
        <v>0</v>
      </c>
      <c r="W421">
        <f>セットアップレポート!V421</f>
        <v>0</v>
      </c>
      <c r="X421">
        <f>セットアップレポート!W421</f>
        <v>0</v>
      </c>
      <c r="Y421">
        <f>セットアップレポート!X421</f>
        <v>0</v>
      </c>
      <c r="Z421">
        <f>セットアップレポート!Y421</f>
        <v>0</v>
      </c>
      <c r="AA421">
        <f>セットアップレポート!Z421</f>
        <v>0</v>
      </c>
      <c r="AB421" t="str">
        <f>セットアップレポート!AA421</f>
        <v>NONE</v>
      </c>
      <c r="AC421">
        <f>セットアップレポート!AB421</f>
        <v>0</v>
      </c>
      <c r="AD421">
        <f>セットアップレポート!AC421</f>
        <v>0</v>
      </c>
      <c r="AE421">
        <f>セットアップレポート!AD421</f>
        <v>0</v>
      </c>
      <c r="AF421">
        <f>セットアップレポート!AE421</f>
        <v>0</v>
      </c>
      <c r="AG421">
        <f>セットアップレポート!AF421</f>
        <v>0</v>
      </c>
      <c r="AH421">
        <f>セットアップレポート!AG421</f>
        <v>0</v>
      </c>
    </row>
    <row r="422" spans="1:34" x14ac:dyDescent="0.45">
      <c r="A422" t="str">
        <f t="shared" si="6"/>
        <v>L2-NPM020017R620624</v>
      </c>
      <c r="B422" t="str">
        <f>セットアップレポート!A422</f>
        <v>Line-2</v>
      </c>
      <c r="C422" t="str">
        <f>セットアップレポート!B422</f>
        <v>L2-NPM02</v>
      </c>
      <c r="D422" t="str">
        <f>セットアップレポート!C422</f>
        <v>Zone-2-NPMW-2</v>
      </c>
      <c r="E422">
        <f>セットアップレポート!D422</f>
        <v>1</v>
      </c>
      <c r="F422">
        <f>セットアップレポート!E422</f>
        <v>1</v>
      </c>
      <c r="G422" t="str">
        <f>セットアップレポート!F422</f>
        <v>10017R</v>
      </c>
      <c r="H422">
        <f>セットアップレポート!G422</f>
        <v>17</v>
      </c>
      <c r="I422" t="str">
        <f>セットアップレポート!H422</f>
        <v>R</v>
      </c>
      <c r="J422" t="str">
        <f>セットアップレポート!I422</f>
        <v>620624 100814</v>
      </c>
      <c r="K422">
        <f>セットアップレポート!J422</f>
        <v>620624</v>
      </c>
      <c r="L422">
        <f>セットアップレポート!K422</f>
        <v>0</v>
      </c>
      <c r="M422">
        <f>セットアップレポート!L422</f>
        <v>0</v>
      </c>
      <c r="N422">
        <f>セットアップレポート!M422</f>
        <v>0</v>
      </c>
      <c r="O422">
        <f>セットアップレポート!N422</f>
        <v>0</v>
      </c>
      <c r="P422" t="str">
        <f>セットアップレポート!O422</f>
        <v>FA0201ABA002837</v>
      </c>
      <c r="Q422">
        <f>セットアップレポート!P422</f>
        <v>10000</v>
      </c>
      <c r="R422">
        <f>セットアップレポート!Q422</f>
        <v>45950.475127314814</v>
      </c>
      <c r="S422">
        <f>セットアップレポート!R422</f>
        <v>0</v>
      </c>
      <c r="T422">
        <f>セットアップレポート!S422</f>
        <v>0</v>
      </c>
      <c r="U422">
        <f>セットアップレポート!T422</f>
        <v>0</v>
      </c>
      <c r="V422">
        <f>セットアップレポート!U422</f>
        <v>0</v>
      </c>
      <c r="W422">
        <f>セットアップレポート!V422</f>
        <v>0</v>
      </c>
      <c r="X422">
        <f>セットアップレポート!W422</f>
        <v>0</v>
      </c>
      <c r="Y422">
        <f>セットアップレポート!X422</f>
        <v>0</v>
      </c>
      <c r="Z422">
        <f>セットアップレポート!Y422</f>
        <v>0</v>
      </c>
      <c r="AA422">
        <f>セットアップレポート!Z422</f>
        <v>0</v>
      </c>
      <c r="AB422" t="str">
        <f>セットアップレポート!AA422</f>
        <v>NONE</v>
      </c>
      <c r="AC422">
        <f>セットアップレポート!AB422</f>
        <v>0</v>
      </c>
      <c r="AD422">
        <f>セットアップレポート!AC422</f>
        <v>0</v>
      </c>
      <c r="AE422">
        <f>セットアップレポート!AD422</f>
        <v>0</v>
      </c>
      <c r="AF422">
        <f>セットアップレポート!AE422</f>
        <v>0</v>
      </c>
      <c r="AG422">
        <f>セットアップレポート!AF422</f>
        <v>0</v>
      </c>
      <c r="AH422">
        <f>セットアップレポート!AG422</f>
        <v>0</v>
      </c>
    </row>
    <row r="423" spans="1:34" x14ac:dyDescent="0.45">
      <c r="A423" t="str">
        <f t="shared" si="6"/>
        <v>L2-NPM020016R9000007948</v>
      </c>
      <c r="B423" t="str">
        <f>セットアップレポート!A423</f>
        <v>Line-2</v>
      </c>
      <c r="C423" t="str">
        <f>セットアップレポート!B423</f>
        <v>L2-NPM02</v>
      </c>
      <c r="D423" t="str">
        <f>セットアップレポート!C423</f>
        <v>Zone-2-NPMW-2</v>
      </c>
      <c r="E423">
        <f>セットアップレポート!D423</f>
        <v>1</v>
      </c>
      <c r="F423">
        <f>セットアップレポート!E423</f>
        <v>1</v>
      </c>
      <c r="G423" t="str">
        <f>セットアップレポート!F423</f>
        <v>10016R</v>
      </c>
      <c r="H423">
        <f>セットアップレポート!G423</f>
        <v>16</v>
      </c>
      <c r="I423" t="str">
        <f>セットアップレポート!H423</f>
        <v>R</v>
      </c>
      <c r="J423" t="str">
        <f>セットアップレポート!I423</f>
        <v>9000007948 100413</v>
      </c>
      <c r="K423">
        <f>セットアップレポート!J423</f>
        <v>9000007948</v>
      </c>
      <c r="L423">
        <f>セットアップレポート!K423</f>
        <v>0</v>
      </c>
      <c r="M423">
        <f>セットアップレポート!L423</f>
        <v>0</v>
      </c>
      <c r="N423">
        <f>セットアップレポート!M423</f>
        <v>0</v>
      </c>
      <c r="O423">
        <f>セットアップレポート!N423</f>
        <v>0</v>
      </c>
      <c r="P423" t="str">
        <f>セットアップレポート!O423</f>
        <v>FA0201ACD051476</v>
      </c>
      <c r="Q423">
        <f>セットアップレポート!P423</f>
        <v>5000</v>
      </c>
      <c r="R423">
        <f>セットアップレポート!Q423</f>
        <v>45930.63140046296</v>
      </c>
      <c r="S423">
        <f>セットアップレポート!R423</f>
        <v>0</v>
      </c>
      <c r="T423">
        <f>セットアップレポート!S423</f>
        <v>0</v>
      </c>
      <c r="U423">
        <f>セットアップレポート!T423</f>
        <v>0</v>
      </c>
      <c r="V423">
        <f>セットアップレポート!U423</f>
        <v>0</v>
      </c>
      <c r="W423">
        <f>セットアップレポート!V423</f>
        <v>0</v>
      </c>
      <c r="X423">
        <f>セットアップレポート!W423</f>
        <v>0</v>
      </c>
      <c r="Y423">
        <f>セットアップレポート!X423</f>
        <v>0</v>
      </c>
      <c r="Z423">
        <f>セットアップレポート!Y423</f>
        <v>0</v>
      </c>
      <c r="AA423">
        <f>セットアップレポート!Z423</f>
        <v>0</v>
      </c>
      <c r="AB423" t="str">
        <f>セットアップレポート!AA423</f>
        <v>NONE</v>
      </c>
      <c r="AC423">
        <f>セットアップレポート!AB423</f>
        <v>0</v>
      </c>
      <c r="AD423">
        <f>セットアップレポート!AC423</f>
        <v>0</v>
      </c>
      <c r="AE423">
        <f>セットアップレポート!AD423</f>
        <v>0</v>
      </c>
      <c r="AF423">
        <f>セットアップレポート!AE423</f>
        <v>0</v>
      </c>
      <c r="AG423">
        <f>セットアップレポート!AF423</f>
        <v>0</v>
      </c>
      <c r="AH423">
        <f>セットアップレポート!AG423</f>
        <v>0</v>
      </c>
    </row>
    <row r="424" spans="1:34" x14ac:dyDescent="0.45">
      <c r="A424" t="str">
        <f t="shared" si="6"/>
        <v>L2-NPM020015R927071</v>
      </c>
      <c r="B424" t="str">
        <f>セットアップレポート!A424</f>
        <v>Line-2</v>
      </c>
      <c r="C424" t="str">
        <f>セットアップレポート!B424</f>
        <v>L2-NPM02</v>
      </c>
      <c r="D424" t="str">
        <f>セットアップレポート!C424</f>
        <v>Zone-2-NPMW-2</v>
      </c>
      <c r="E424">
        <f>セットアップレポート!D424</f>
        <v>1</v>
      </c>
      <c r="F424">
        <f>セットアップレポート!E424</f>
        <v>1</v>
      </c>
      <c r="G424" t="str">
        <f>セットアップレポート!F424</f>
        <v>10015R</v>
      </c>
      <c r="H424">
        <f>セットアップレポート!G424</f>
        <v>15</v>
      </c>
      <c r="I424" t="str">
        <f>セットアップレポート!H424</f>
        <v>R</v>
      </c>
      <c r="J424" t="str">
        <f>セットアップレポート!I424</f>
        <v>927071 100161</v>
      </c>
      <c r="K424">
        <f>セットアップレポート!J424</f>
        <v>927071</v>
      </c>
      <c r="L424">
        <f>セットアップレポート!K424</f>
        <v>0</v>
      </c>
      <c r="M424">
        <f>セットアップレポート!L424</f>
        <v>0</v>
      </c>
      <c r="N424">
        <f>セットアップレポート!M424</f>
        <v>0</v>
      </c>
      <c r="O424">
        <f>セットアップレポート!N424</f>
        <v>0</v>
      </c>
      <c r="P424" t="str">
        <f>セットアップレポート!O424</f>
        <v>FA0201ABD000668</v>
      </c>
      <c r="Q424">
        <f>セットアップレポート!P424</f>
        <v>10000</v>
      </c>
      <c r="R424">
        <f>セットアップレポート!Q424</f>
        <v>45930.448611111111</v>
      </c>
      <c r="S424">
        <f>セットアップレポート!R424</f>
        <v>0</v>
      </c>
      <c r="T424">
        <f>セットアップレポート!S424</f>
        <v>0</v>
      </c>
      <c r="U424">
        <f>セットアップレポート!T424</f>
        <v>0</v>
      </c>
      <c r="V424">
        <f>セットアップレポート!U424</f>
        <v>0</v>
      </c>
      <c r="W424">
        <f>セットアップレポート!V424</f>
        <v>0</v>
      </c>
      <c r="X424">
        <f>セットアップレポート!W424</f>
        <v>0</v>
      </c>
      <c r="Y424">
        <f>セットアップレポート!X424</f>
        <v>0</v>
      </c>
      <c r="Z424">
        <f>セットアップレポート!Y424</f>
        <v>0</v>
      </c>
      <c r="AA424">
        <f>セットアップレポート!Z424</f>
        <v>0</v>
      </c>
      <c r="AB424" t="str">
        <f>セットアップレポート!AA424</f>
        <v>NONE</v>
      </c>
      <c r="AC424">
        <f>セットアップレポート!AB424</f>
        <v>0</v>
      </c>
      <c r="AD424">
        <f>セットアップレポート!AC424</f>
        <v>0</v>
      </c>
      <c r="AE424">
        <f>セットアップレポート!AD424</f>
        <v>0</v>
      </c>
      <c r="AF424">
        <f>セットアップレポート!AE424</f>
        <v>0</v>
      </c>
      <c r="AG424">
        <f>セットアップレポート!AF424</f>
        <v>0</v>
      </c>
      <c r="AH424">
        <f>セットアップレポート!AG424</f>
        <v>0</v>
      </c>
    </row>
    <row r="425" spans="1:34" x14ac:dyDescent="0.45">
      <c r="A425" t="str">
        <f t="shared" si="6"/>
        <v>L2-NPM020014R667208A</v>
      </c>
      <c r="B425" t="str">
        <f>セットアップレポート!A425</f>
        <v>Line-2</v>
      </c>
      <c r="C425" t="str">
        <f>セットアップレポート!B425</f>
        <v>L2-NPM02</v>
      </c>
      <c r="D425" t="str">
        <f>セットアップレポート!C425</f>
        <v>Zone-2-NPMW-2</v>
      </c>
      <c r="E425">
        <f>セットアップレポート!D425</f>
        <v>1</v>
      </c>
      <c r="F425">
        <f>セットアップレポート!E425</f>
        <v>1</v>
      </c>
      <c r="G425" t="str">
        <f>セットアップレポート!F425</f>
        <v>10014R</v>
      </c>
      <c r="H425">
        <f>セットアップレポート!G425</f>
        <v>14</v>
      </c>
      <c r="I425" t="str">
        <f>セットアップレポート!H425</f>
        <v>R</v>
      </c>
      <c r="J425" t="str">
        <f>セットアップレポート!I425</f>
        <v>667208A102241</v>
      </c>
      <c r="K425" t="str">
        <f>セットアップレポート!J425</f>
        <v>667208A</v>
      </c>
      <c r="L425">
        <f>セットアップレポート!K425</f>
        <v>0</v>
      </c>
      <c r="M425">
        <f>セットアップレポート!L425</f>
        <v>0</v>
      </c>
      <c r="N425">
        <f>セットアップレポート!M425</f>
        <v>0</v>
      </c>
      <c r="O425">
        <f>セットアップレポート!N425</f>
        <v>0</v>
      </c>
      <c r="P425" t="str">
        <f>セットアップレポート!O425</f>
        <v>FA0201ABD000708</v>
      </c>
      <c r="Q425">
        <f>セットアップレポート!P425</f>
        <v>5000</v>
      </c>
      <c r="R425">
        <f>セットアップレポート!Q425</f>
        <v>45950.475127314814</v>
      </c>
      <c r="S425">
        <f>セットアップレポート!R425</f>
        <v>0</v>
      </c>
      <c r="T425">
        <f>セットアップレポート!S425</f>
        <v>0</v>
      </c>
      <c r="U425">
        <f>セットアップレポート!T425</f>
        <v>0</v>
      </c>
      <c r="V425">
        <f>セットアップレポート!U425</f>
        <v>0</v>
      </c>
      <c r="W425">
        <f>セットアップレポート!V425</f>
        <v>0</v>
      </c>
      <c r="X425">
        <f>セットアップレポート!W425</f>
        <v>0</v>
      </c>
      <c r="Y425">
        <f>セットアップレポート!X425</f>
        <v>0</v>
      </c>
      <c r="Z425">
        <f>セットアップレポート!Y425</f>
        <v>0</v>
      </c>
      <c r="AA425">
        <f>セットアップレポート!Z425</f>
        <v>0</v>
      </c>
      <c r="AB425" t="str">
        <f>セットアップレポート!AA425</f>
        <v>NONE</v>
      </c>
      <c r="AC425">
        <f>セットアップレポート!AB425</f>
        <v>0</v>
      </c>
      <c r="AD425">
        <f>セットアップレポート!AC425</f>
        <v>0</v>
      </c>
      <c r="AE425">
        <f>セットアップレポート!AD425</f>
        <v>0</v>
      </c>
      <c r="AF425">
        <f>セットアップレポート!AE425</f>
        <v>0</v>
      </c>
      <c r="AG425">
        <f>セットアップレポート!AF425</f>
        <v>0</v>
      </c>
      <c r="AH425">
        <f>セットアップレポート!AG425</f>
        <v>0</v>
      </c>
    </row>
    <row r="426" spans="1:34" x14ac:dyDescent="0.45">
      <c r="A426" t="str">
        <f t="shared" si="6"/>
        <v>L2-NPM020013R667788</v>
      </c>
      <c r="B426" t="str">
        <f>セットアップレポート!A426</f>
        <v>Line-2</v>
      </c>
      <c r="C426" t="str">
        <f>セットアップレポート!B426</f>
        <v>L2-NPM02</v>
      </c>
      <c r="D426" t="str">
        <f>セットアップレポート!C426</f>
        <v>Zone-2-NPMW-2</v>
      </c>
      <c r="E426">
        <f>セットアップレポート!D426</f>
        <v>1</v>
      </c>
      <c r="F426">
        <f>セットアップレポート!E426</f>
        <v>1</v>
      </c>
      <c r="G426" t="str">
        <f>セットアップレポート!F426</f>
        <v>10013R</v>
      </c>
      <c r="H426">
        <f>セットアップレポート!G426</f>
        <v>13</v>
      </c>
      <c r="I426" t="str">
        <f>セットアップレポート!H426</f>
        <v>R</v>
      </c>
      <c r="J426" t="str">
        <f>セットアップレポート!I426</f>
        <v>667788 101185</v>
      </c>
      <c r="K426">
        <f>セットアップレポート!J426</f>
        <v>667788</v>
      </c>
      <c r="L426">
        <f>セットアップレポート!K426</f>
        <v>0</v>
      </c>
      <c r="M426">
        <f>セットアップレポート!L426</f>
        <v>0</v>
      </c>
      <c r="N426">
        <f>セットアップレポート!M426</f>
        <v>0</v>
      </c>
      <c r="O426">
        <f>セットアップレポート!N426</f>
        <v>0</v>
      </c>
      <c r="P426" t="str">
        <f>セットアップレポート!O426</f>
        <v>FA0201ABD000417</v>
      </c>
      <c r="Q426">
        <f>セットアップレポート!P426</f>
        <v>10000</v>
      </c>
      <c r="R426">
        <f>セットアップレポート!Q426</f>
        <v>45950.475127314814</v>
      </c>
      <c r="S426">
        <f>セットアップレポート!R426</f>
        <v>0</v>
      </c>
      <c r="T426">
        <f>セットアップレポート!S426</f>
        <v>0</v>
      </c>
      <c r="U426">
        <f>セットアップレポート!T426</f>
        <v>0</v>
      </c>
      <c r="V426">
        <f>セットアップレポート!U426</f>
        <v>0</v>
      </c>
      <c r="W426">
        <f>セットアップレポート!V426</f>
        <v>0</v>
      </c>
      <c r="X426">
        <f>セットアップレポート!W426</f>
        <v>0</v>
      </c>
      <c r="Y426">
        <f>セットアップレポート!X426</f>
        <v>0</v>
      </c>
      <c r="Z426">
        <f>セットアップレポート!Y426</f>
        <v>0</v>
      </c>
      <c r="AA426">
        <f>セットアップレポート!Z426</f>
        <v>0</v>
      </c>
      <c r="AB426" t="str">
        <f>セットアップレポート!AA426</f>
        <v>NONE</v>
      </c>
      <c r="AC426">
        <f>セットアップレポート!AB426</f>
        <v>0</v>
      </c>
      <c r="AD426">
        <f>セットアップレポート!AC426</f>
        <v>0</v>
      </c>
      <c r="AE426">
        <f>セットアップレポート!AD426</f>
        <v>0</v>
      </c>
      <c r="AF426">
        <f>セットアップレポート!AE426</f>
        <v>0</v>
      </c>
      <c r="AG426">
        <f>セットアップレポート!AF426</f>
        <v>0</v>
      </c>
      <c r="AH426">
        <f>セットアップレポート!AG426</f>
        <v>0</v>
      </c>
    </row>
    <row r="427" spans="1:34" x14ac:dyDescent="0.45">
      <c r="A427" t="str">
        <f t="shared" si="6"/>
        <v>L2-NPM020030R9000069401</v>
      </c>
      <c r="B427" t="str">
        <f>セットアップレポート!A427</f>
        <v>Line-2</v>
      </c>
      <c r="C427" t="str">
        <f>セットアップレポート!B427</f>
        <v>L2-NPM02</v>
      </c>
      <c r="D427" t="str">
        <f>セットアップレポート!C427</f>
        <v>Zone-2-NPMW-2</v>
      </c>
      <c r="E427">
        <f>セットアップレポート!D427</f>
        <v>1</v>
      </c>
      <c r="F427">
        <f>セットアップレポート!E427</f>
        <v>1</v>
      </c>
      <c r="G427" t="str">
        <f>セットアップレポート!F427</f>
        <v>20030R</v>
      </c>
      <c r="H427">
        <f>セットアップレポート!G427</f>
        <v>30</v>
      </c>
      <c r="I427" t="str">
        <f>セットアップレポート!H427</f>
        <v>R</v>
      </c>
      <c r="J427" t="str">
        <f>セットアップレポート!I427</f>
        <v>9000069401 100002</v>
      </c>
      <c r="K427">
        <f>セットアップレポート!J427</f>
        <v>9000069401</v>
      </c>
      <c r="L427">
        <f>セットアップレポート!K427</f>
        <v>0</v>
      </c>
      <c r="M427">
        <f>セットアップレポート!L427</f>
        <v>0</v>
      </c>
      <c r="N427">
        <f>セットアップレポート!M427</f>
        <v>0</v>
      </c>
      <c r="O427">
        <f>セットアップレポート!N427</f>
        <v>0</v>
      </c>
      <c r="P427" t="str">
        <f>セットアップレポート!O427</f>
        <v>FA0201ACD051024</v>
      </c>
      <c r="Q427">
        <f>セットアップレポート!P427</f>
        <v>5000</v>
      </c>
      <c r="R427">
        <f>セットアップレポート!Q427</f>
        <v>45950.47515046296</v>
      </c>
      <c r="S427">
        <f>セットアップレポート!R427</f>
        <v>0</v>
      </c>
      <c r="T427">
        <f>セットアップレポート!S427</f>
        <v>0</v>
      </c>
      <c r="U427">
        <f>セットアップレポート!T427</f>
        <v>0</v>
      </c>
      <c r="V427">
        <f>セットアップレポート!U427</f>
        <v>0</v>
      </c>
      <c r="W427">
        <f>セットアップレポート!V427</f>
        <v>0</v>
      </c>
      <c r="X427">
        <f>セットアップレポート!W427</f>
        <v>0</v>
      </c>
      <c r="Y427">
        <f>セットアップレポート!X427</f>
        <v>0</v>
      </c>
      <c r="Z427">
        <f>セットアップレポート!Y427</f>
        <v>0</v>
      </c>
      <c r="AA427">
        <f>セットアップレポート!Z427</f>
        <v>0</v>
      </c>
      <c r="AB427" t="str">
        <f>セットアップレポート!AA427</f>
        <v>NONE</v>
      </c>
      <c r="AC427">
        <f>セットアップレポート!AB427</f>
        <v>0</v>
      </c>
      <c r="AD427">
        <f>セットアップレポート!AC427</f>
        <v>0</v>
      </c>
      <c r="AE427">
        <f>セットアップレポート!AD427</f>
        <v>0</v>
      </c>
      <c r="AF427">
        <f>セットアップレポート!AE427</f>
        <v>0</v>
      </c>
      <c r="AG427">
        <f>セットアップレポート!AF427</f>
        <v>0</v>
      </c>
      <c r="AH427">
        <f>セットアップレポート!AG427</f>
        <v>0</v>
      </c>
    </row>
    <row r="428" spans="1:34" x14ac:dyDescent="0.45">
      <c r="A428" t="str">
        <f t="shared" si="6"/>
        <v>L2-NPM020029R670579</v>
      </c>
      <c r="B428" t="str">
        <f>セットアップレポート!A428</f>
        <v>Line-2</v>
      </c>
      <c r="C428" t="str">
        <f>セットアップレポート!B428</f>
        <v>L2-NPM02</v>
      </c>
      <c r="D428" t="str">
        <f>セットアップレポート!C428</f>
        <v>Zone-2-NPMW-2</v>
      </c>
      <c r="E428">
        <f>セットアップレポート!D428</f>
        <v>1</v>
      </c>
      <c r="F428">
        <f>セットアップレポート!E428</f>
        <v>1</v>
      </c>
      <c r="G428" t="str">
        <f>セットアップレポート!F428</f>
        <v>20029R</v>
      </c>
      <c r="H428">
        <f>セットアップレポート!G428</f>
        <v>29</v>
      </c>
      <c r="I428" t="str">
        <f>セットアップレポート!H428</f>
        <v>R</v>
      </c>
      <c r="J428" t="str">
        <f>セットアップレポート!I428</f>
        <v>670579 100055</v>
      </c>
      <c r="K428">
        <f>セットアップレポート!J428</f>
        <v>670579</v>
      </c>
      <c r="L428">
        <f>セットアップレポート!K428</f>
        <v>0</v>
      </c>
      <c r="M428">
        <f>セットアップレポート!L428</f>
        <v>0</v>
      </c>
      <c r="N428">
        <f>セットアップレポート!M428</f>
        <v>0</v>
      </c>
      <c r="O428">
        <f>セットアップレポート!N428</f>
        <v>0</v>
      </c>
      <c r="P428" t="str">
        <f>セットアップレポート!O428</f>
        <v>FA0201ABD000392</v>
      </c>
      <c r="Q428">
        <f>セットアップレポート!P428</f>
        <v>5000</v>
      </c>
      <c r="R428">
        <f>セットアップレポート!Q428</f>
        <v>45950.703935185185</v>
      </c>
      <c r="S428" t="str">
        <f>セットアップレポート!R428</f>
        <v>OP</v>
      </c>
      <c r="T428">
        <f>セットアップレポート!S428</f>
        <v>0</v>
      </c>
      <c r="U428">
        <f>セットアップレポート!T428</f>
        <v>0</v>
      </c>
      <c r="V428">
        <f>セットアップレポート!U428</f>
        <v>0</v>
      </c>
      <c r="W428">
        <f>セットアップレポート!V428</f>
        <v>0</v>
      </c>
      <c r="X428">
        <f>セットアップレポート!W428</f>
        <v>0</v>
      </c>
      <c r="Y428">
        <f>セットアップレポート!X428</f>
        <v>0</v>
      </c>
      <c r="Z428">
        <f>セットアップレポート!Y428</f>
        <v>0</v>
      </c>
      <c r="AA428">
        <f>セットアップレポート!Z428</f>
        <v>0</v>
      </c>
      <c r="AB428" t="str">
        <f>セットアップレポート!AA428</f>
        <v>NONE</v>
      </c>
      <c r="AC428">
        <f>セットアップレポート!AB428</f>
        <v>0</v>
      </c>
      <c r="AD428">
        <f>セットアップレポート!AC428</f>
        <v>0</v>
      </c>
      <c r="AE428">
        <f>セットアップレポート!AD428</f>
        <v>0</v>
      </c>
      <c r="AF428">
        <f>セットアップレポート!AE428</f>
        <v>0</v>
      </c>
      <c r="AG428">
        <f>セットアップレポート!AF428</f>
        <v>0</v>
      </c>
      <c r="AH428">
        <f>セットアップレポート!AG428</f>
        <v>0</v>
      </c>
    </row>
    <row r="429" spans="1:34" x14ac:dyDescent="0.45">
      <c r="A429" t="str">
        <f t="shared" si="6"/>
        <v>L2-NPM020028R9000061801</v>
      </c>
      <c r="B429" t="str">
        <f>セットアップレポート!A429</f>
        <v>Line-2</v>
      </c>
      <c r="C429" t="str">
        <f>セットアップレポート!B429</f>
        <v>L2-NPM02</v>
      </c>
      <c r="D429" t="str">
        <f>セットアップレポート!C429</f>
        <v>Zone-2-NPMW-2</v>
      </c>
      <c r="E429">
        <f>セットアップレポート!D429</f>
        <v>1</v>
      </c>
      <c r="F429">
        <f>セットアップレポート!E429</f>
        <v>1</v>
      </c>
      <c r="G429" t="str">
        <f>セットアップレポート!F429</f>
        <v>20028R</v>
      </c>
      <c r="H429">
        <f>セットアップレポート!G429</f>
        <v>28</v>
      </c>
      <c r="I429" t="str">
        <f>セットアップレポート!H429</f>
        <v>R</v>
      </c>
      <c r="J429" t="str">
        <f>セットアップレポート!I429</f>
        <v>9000061801 100022</v>
      </c>
      <c r="K429">
        <f>セットアップレポート!J429</f>
        <v>9000061801</v>
      </c>
      <c r="L429">
        <f>セットアップレポート!K429</f>
        <v>0</v>
      </c>
      <c r="M429">
        <f>セットアップレポート!L429</f>
        <v>0</v>
      </c>
      <c r="N429">
        <f>セットアップレポート!M429</f>
        <v>0</v>
      </c>
      <c r="O429">
        <f>セットアップレポート!N429</f>
        <v>0</v>
      </c>
      <c r="P429" t="str">
        <f>セットアップレポート!O429</f>
        <v>FA0201ACD051104</v>
      </c>
      <c r="Q429">
        <f>セットアップレポート!P429</f>
        <v>3000</v>
      </c>
      <c r="R429">
        <f>セットアップレポート!Q429</f>
        <v>45950.47515046296</v>
      </c>
      <c r="S429">
        <f>セットアップレポート!R429</f>
        <v>0</v>
      </c>
      <c r="T429">
        <f>セットアップレポート!S429</f>
        <v>0</v>
      </c>
      <c r="U429">
        <f>セットアップレポート!T429</f>
        <v>0</v>
      </c>
      <c r="V429">
        <f>セットアップレポート!U429</f>
        <v>0</v>
      </c>
      <c r="W429">
        <f>セットアップレポート!V429</f>
        <v>0</v>
      </c>
      <c r="X429">
        <f>セットアップレポート!W429</f>
        <v>0</v>
      </c>
      <c r="Y429">
        <f>セットアップレポート!X429</f>
        <v>0</v>
      </c>
      <c r="Z429">
        <f>セットアップレポート!Y429</f>
        <v>0</v>
      </c>
      <c r="AA429">
        <f>セットアップレポート!Z429</f>
        <v>0</v>
      </c>
      <c r="AB429" t="str">
        <f>セットアップレポート!AA429</f>
        <v>NONE</v>
      </c>
      <c r="AC429">
        <f>セットアップレポート!AB429</f>
        <v>0</v>
      </c>
      <c r="AD429">
        <f>セットアップレポート!AC429</f>
        <v>0</v>
      </c>
      <c r="AE429">
        <f>セットアップレポート!AD429</f>
        <v>0</v>
      </c>
      <c r="AF429">
        <f>セットアップレポート!AE429</f>
        <v>0</v>
      </c>
      <c r="AG429">
        <f>セットアップレポート!AF429</f>
        <v>0</v>
      </c>
      <c r="AH429">
        <f>セットアップレポート!AG429</f>
        <v>0</v>
      </c>
    </row>
    <row r="430" spans="1:34" x14ac:dyDescent="0.45">
      <c r="A430" t="str">
        <f t="shared" si="6"/>
        <v>L2-NPM020027R9000066683</v>
      </c>
      <c r="B430" t="str">
        <f>セットアップレポート!A430</f>
        <v>Line-2</v>
      </c>
      <c r="C430" t="str">
        <f>セットアップレポート!B430</f>
        <v>L2-NPM02</v>
      </c>
      <c r="D430" t="str">
        <f>セットアップレポート!C430</f>
        <v>Zone-2-NPMW-2</v>
      </c>
      <c r="E430">
        <f>セットアップレポート!D430</f>
        <v>1</v>
      </c>
      <c r="F430">
        <f>セットアップレポート!E430</f>
        <v>1</v>
      </c>
      <c r="G430" t="str">
        <f>セットアップレポート!F430</f>
        <v>20027R</v>
      </c>
      <c r="H430">
        <f>セットアップレポート!G430</f>
        <v>27</v>
      </c>
      <c r="I430" t="str">
        <f>セットアップレポート!H430</f>
        <v>R</v>
      </c>
      <c r="J430" t="str">
        <f>セットアップレポート!I430</f>
        <v>9000066683 100016</v>
      </c>
      <c r="K430">
        <f>セットアップレポート!J430</f>
        <v>9000066683</v>
      </c>
      <c r="L430">
        <f>セットアップレポート!K430</f>
        <v>0</v>
      </c>
      <c r="M430">
        <f>セットアップレポート!L430</f>
        <v>0</v>
      </c>
      <c r="N430">
        <f>セットアップレポート!M430</f>
        <v>0</v>
      </c>
      <c r="O430">
        <f>セットアップレポート!N430</f>
        <v>0</v>
      </c>
      <c r="P430" t="str">
        <f>セットアップレポート!O430</f>
        <v>FA0201ABA002274</v>
      </c>
      <c r="Q430">
        <f>セットアップレポート!P430</f>
        <v>10000</v>
      </c>
      <c r="R430">
        <f>セットアップレポート!Q430</f>
        <v>45950.47515046296</v>
      </c>
      <c r="S430">
        <f>セットアップレポート!R430</f>
        <v>0</v>
      </c>
      <c r="T430">
        <f>セットアップレポート!S430</f>
        <v>0</v>
      </c>
      <c r="U430">
        <f>セットアップレポート!T430</f>
        <v>0</v>
      </c>
      <c r="V430">
        <f>セットアップレポート!U430</f>
        <v>0</v>
      </c>
      <c r="W430">
        <f>セットアップレポート!V430</f>
        <v>0</v>
      </c>
      <c r="X430">
        <f>セットアップレポート!W430</f>
        <v>0</v>
      </c>
      <c r="Y430">
        <f>セットアップレポート!X430</f>
        <v>0</v>
      </c>
      <c r="Z430">
        <f>セットアップレポート!Y430</f>
        <v>0</v>
      </c>
      <c r="AA430">
        <f>セットアップレポート!Z430</f>
        <v>0</v>
      </c>
      <c r="AB430" t="str">
        <f>セットアップレポート!AA430</f>
        <v>NONE</v>
      </c>
      <c r="AC430">
        <f>セットアップレポート!AB430</f>
        <v>0</v>
      </c>
      <c r="AD430">
        <f>セットアップレポート!AC430</f>
        <v>0</v>
      </c>
      <c r="AE430">
        <f>セットアップレポート!AD430</f>
        <v>0</v>
      </c>
      <c r="AF430">
        <f>セットアップレポート!AE430</f>
        <v>0</v>
      </c>
      <c r="AG430">
        <f>セットアップレポート!AF430</f>
        <v>0</v>
      </c>
      <c r="AH430">
        <f>セットアップレポート!AG430</f>
        <v>0</v>
      </c>
    </row>
    <row r="431" spans="1:34" x14ac:dyDescent="0.45">
      <c r="A431" t="str">
        <f t="shared" si="6"/>
        <v>L2-NPM020026R9000069296</v>
      </c>
      <c r="B431" t="str">
        <f>セットアップレポート!A431</f>
        <v>Line-2</v>
      </c>
      <c r="C431" t="str">
        <f>セットアップレポート!B431</f>
        <v>L2-NPM02</v>
      </c>
      <c r="D431" t="str">
        <f>セットアップレポート!C431</f>
        <v>Zone-2-NPMW-2</v>
      </c>
      <c r="E431">
        <f>セットアップレポート!D431</f>
        <v>1</v>
      </c>
      <c r="F431">
        <f>セットアップレポート!E431</f>
        <v>1</v>
      </c>
      <c r="G431" t="str">
        <f>セットアップレポート!F431</f>
        <v>20026R</v>
      </c>
      <c r="H431">
        <f>セットアップレポート!G431</f>
        <v>26</v>
      </c>
      <c r="I431" t="str">
        <f>セットアップレポート!H431</f>
        <v>R</v>
      </c>
      <c r="J431" t="str">
        <f>セットアップレポート!I431</f>
        <v>9000069296 100001</v>
      </c>
      <c r="K431">
        <f>セットアップレポート!J431</f>
        <v>9000069296</v>
      </c>
      <c r="L431">
        <f>セットアップレポート!K431</f>
        <v>0</v>
      </c>
      <c r="M431">
        <f>セットアップレポート!L431</f>
        <v>0</v>
      </c>
      <c r="N431">
        <f>セットアップレポート!M431</f>
        <v>0</v>
      </c>
      <c r="O431">
        <f>セットアップレポート!N431</f>
        <v>0</v>
      </c>
      <c r="P431" t="str">
        <f>セットアップレポート!O431</f>
        <v>FA0201ACD050209</v>
      </c>
      <c r="Q431">
        <f>セットアップレポート!P431</f>
        <v>3000</v>
      </c>
      <c r="R431">
        <f>セットアップレポート!Q431</f>
        <v>45950.47515046296</v>
      </c>
      <c r="S431">
        <f>セットアップレポート!R431</f>
        <v>0</v>
      </c>
      <c r="T431">
        <f>セットアップレポート!S431</f>
        <v>0</v>
      </c>
      <c r="U431">
        <f>セットアップレポート!T431</f>
        <v>0</v>
      </c>
      <c r="V431">
        <f>セットアップレポート!U431</f>
        <v>0</v>
      </c>
      <c r="W431">
        <f>セットアップレポート!V431</f>
        <v>0</v>
      </c>
      <c r="X431">
        <f>セットアップレポート!W431</f>
        <v>0</v>
      </c>
      <c r="Y431">
        <f>セットアップレポート!X431</f>
        <v>0</v>
      </c>
      <c r="Z431">
        <f>セットアップレポート!Y431</f>
        <v>0</v>
      </c>
      <c r="AA431">
        <f>セットアップレポート!Z431</f>
        <v>0</v>
      </c>
      <c r="AB431" t="str">
        <f>セットアップレポート!AA431</f>
        <v>NONE</v>
      </c>
      <c r="AC431">
        <f>セットアップレポート!AB431</f>
        <v>0</v>
      </c>
      <c r="AD431">
        <f>セットアップレポート!AC431</f>
        <v>0</v>
      </c>
      <c r="AE431">
        <f>セットアップレポート!AD431</f>
        <v>0</v>
      </c>
      <c r="AF431">
        <f>セットアップレポート!AE431</f>
        <v>0</v>
      </c>
      <c r="AG431">
        <f>セットアップレポート!AF431</f>
        <v>0</v>
      </c>
      <c r="AH431">
        <f>セットアップレポート!AG431</f>
        <v>0</v>
      </c>
    </row>
    <row r="432" spans="1:34" x14ac:dyDescent="0.45">
      <c r="A432" t="str">
        <f t="shared" si="6"/>
        <v>L2-NPM020025R9000070441</v>
      </c>
      <c r="B432" t="str">
        <f>セットアップレポート!A432</f>
        <v>Line-2</v>
      </c>
      <c r="C432" t="str">
        <f>セットアップレポート!B432</f>
        <v>L2-NPM02</v>
      </c>
      <c r="D432" t="str">
        <f>セットアップレポート!C432</f>
        <v>Zone-2-NPMW-2</v>
      </c>
      <c r="E432">
        <f>セットアップレポート!D432</f>
        <v>1</v>
      </c>
      <c r="F432">
        <f>セットアップレポート!E432</f>
        <v>1</v>
      </c>
      <c r="G432" t="str">
        <f>セットアップレポート!F432</f>
        <v>20025R</v>
      </c>
      <c r="H432">
        <f>セットアップレポート!G432</f>
        <v>25</v>
      </c>
      <c r="I432" t="str">
        <f>セットアップレポート!H432</f>
        <v>R</v>
      </c>
      <c r="J432" t="str">
        <f>セットアップレポート!I432</f>
        <v>9000070441 100002</v>
      </c>
      <c r="K432">
        <f>セットアップレポート!J432</f>
        <v>9000070441</v>
      </c>
      <c r="L432">
        <f>セットアップレポート!K432</f>
        <v>0</v>
      </c>
      <c r="M432">
        <f>セットアップレポート!L432</f>
        <v>0</v>
      </c>
      <c r="N432">
        <f>セットアップレポート!M432</f>
        <v>0</v>
      </c>
      <c r="O432">
        <f>セットアップレポート!N432</f>
        <v>0</v>
      </c>
      <c r="P432" t="str">
        <f>セットアップレポート!O432</f>
        <v>FA0201ABD000259</v>
      </c>
      <c r="Q432">
        <f>セットアップレポート!P432</f>
        <v>10000</v>
      </c>
      <c r="R432">
        <f>セットアップレポート!Q432</f>
        <v>45950.47515046296</v>
      </c>
      <c r="S432">
        <f>セットアップレポート!R432</f>
        <v>0</v>
      </c>
      <c r="T432">
        <f>セットアップレポート!S432</f>
        <v>0</v>
      </c>
      <c r="U432">
        <f>セットアップレポート!T432</f>
        <v>0</v>
      </c>
      <c r="V432">
        <f>セットアップレポート!U432</f>
        <v>0</v>
      </c>
      <c r="W432">
        <f>セットアップレポート!V432</f>
        <v>0</v>
      </c>
      <c r="X432">
        <f>セットアップレポート!W432</f>
        <v>0</v>
      </c>
      <c r="Y432">
        <f>セットアップレポート!X432</f>
        <v>0</v>
      </c>
      <c r="Z432">
        <f>セットアップレポート!Y432</f>
        <v>0</v>
      </c>
      <c r="AA432">
        <f>セットアップレポート!Z432</f>
        <v>0</v>
      </c>
      <c r="AB432" t="str">
        <f>セットアップレポート!AA432</f>
        <v>NONE</v>
      </c>
      <c r="AC432">
        <f>セットアップレポート!AB432</f>
        <v>0</v>
      </c>
      <c r="AD432">
        <f>セットアップレポート!AC432</f>
        <v>0</v>
      </c>
      <c r="AE432">
        <f>セットアップレポート!AD432</f>
        <v>0</v>
      </c>
      <c r="AF432">
        <f>セットアップレポート!AE432</f>
        <v>0</v>
      </c>
      <c r="AG432">
        <f>セットアップレポート!AF432</f>
        <v>0</v>
      </c>
      <c r="AH432">
        <f>セットアップレポート!AG432</f>
        <v>0</v>
      </c>
    </row>
    <row r="433" spans="1:34" x14ac:dyDescent="0.45">
      <c r="A433" t="str">
        <f t="shared" si="6"/>
        <v>L2-NPM020024R677349</v>
      </c>
      <c r="B433" t="str">
        <f>セットアップレポート!A433</f>
        <v>Line-2</v>
      </c>
      <c r="C433" t="str">
        <f>セットアップレポート!B433</f>
        <v>L2-NPM02</v>
      </c>
      <c r="D433" t="str">
        <f>セットアップレポート!C433</f>
        <v>Zone-2-NPMW-2</v>
      </c>
      <c r="E433">
        <f>セットアップレポート!D433</f>
        <v>1</v>
      </c>
      <c r="F433">
        <f>セットアップレポート!E433</f>
        <v>1</v>
      </c>
      <c r="G433" t="str">
        <f>セットアップレポート!F433</f>
        <v>20024R</v>
      </c>
      <c r="H433">
        <f>セットアップレポート!G433</f>
        <v>24</v>
      </c>
      <c r="I433" t="str">
        <f>セットアップレポート!H433</f>
        <v>R</v>
      </c>
      <c r="J433" t="str">
        <f>セットアップレポート!I433</f>
        <v>677349 100183</v>
      </c>
      <c r="K433">
        <f>セットアップレポート!J433</f>
        <v>677349</v>
      </c>
      <c r="L433">
        <f>セットアップレポート!K433</f>
        <v>0</v>
      </c>
      <c r="M433">
        <f>セットアップレポート!L433</f>
        <v>0</v>
      </c>
      <c r="N433">
        <f>セットアップレポート!M433</f>
        <v>0</v>
      </c>
      <c r="O433">
        <f>セットアップレポート!N433</f>
        <v>0</v>
      </c>
      <c r="P433" t="str">
        <f>セットアップレポート!O433</f>
        <v>FA0201ABD000354</v>
      </c>
      <c r="Q433">
        <f>セットアップレポート!P433</f>
        <v>10000</v>
      </c>
      <c r="R433">
        <f>セットアップレポート!Q433</f>
        <v>45950.47515046296</v>
      </c>
      <c r="S433">
        <f>セットアップレポート!R433</f>
        <v>0</v>
      </c>
      <c r="T433">
        <f>セットアップレポート!S433</f>
        <v>0</v>
      </c>
      <c r="U433">
        <f>セットアップレポート!T433</f>
        <v>0</v>
      </c>
      <c r="V433">
        <f>セットアップレポート!U433</f>
        <v>0</v>
      </c>
      <c r="W433">
        <f>セットアップレポート!V433</f>
        <v>0</v>
      </c>
      <c r="X433">
        <f>セットアップレポート!W433</f>
        <v>0</v>
      </c>
      <c r="Y433">
        <f>セットアップレポート!X433</f>
        <v>0</v>
      </c>
      <c r="Z433">
        <f>セットアップレポート!Y433</f>
        <v>0</v>
      </c>
      <c r="AA433">
        <f>セットアップレポート!Z433</f>
        <v>0</v>
      </c>
      <c r="AB433" t="str">
        <f>セットアップレポート!AA433</f>
        <v>NONE</v>
      </c>
      <c r="AC433">
        <f>セットアップレポート!AB433</f>
        <v>0</v>
      </c>
      <c r="AD433">
        <f>セットアップレポート!AC433</f>
        <v>0</v>
      </c>
      <c r="AE433">
        <f>セットアップレポート!AD433</f>
        <v>0</v>
      </c>
      <c r="AF433">
        <f>セットアップレポート!AE433</f>
        <v>0</v>
      </c>
      <c r="AG433">
        <f>セットアップレポート!AF433</f>
        <v>0</v>
      </c>
      <c r="AH433">
        <f>セットアップレポート!AG433</f>
        <v>0</v>
      </c>
    </row>
    <row r="434" spans="1:34" x14ac:dyDescent="0.45">
      <c r="A434" t="str">
        <f t="shared" si="6"/>
        <v>L2-NPM020023R9000006361</v>
      </c>
      <c r="B434" t="str">
        <f>セットアップレポート!A434</f>
        <v>Line-2</v>
      </c>
      <c r="C434" t="str">
        <f>セットアップレポート!B434</f>
        <v>L2-NPM02</v>
      </c>
      <c r="D434" t="str">
        <f>セットアップレポート!C434</f>
        <v>Zone-2-NPMW-2</v>
      </c>
      <c r="E434">
        <f>セットアップレポート!D434</f>
        <v>1</v>
      </c>
      <c r="F434">
        <f>セットアップレポート!E434</f>
        <v>1</v>
      </c>
      <c r="G434" t="str">
        <f>セットアップレポート!F434</f>
        <v>20023R</v>
      </c>
      <c r="H434">
        <f>セットアップレポート!G434</f>
        <v>23</v>
      </c>
      <c r="I434" t="str">
        <f>セットアップレポート!H434</f>
        <v>R</v>
      </c>
      <c r="J434" t="str">
        <f>セットアップレポート!I434</f>
        <v>9000006361 100499</v>
      </c>
      <c r="K434">
        <f>セットアップレポート!J434</f>
        <v>9000006361</v>
      </c>
      <c r="L434">
        <f>セットアップレポート!K434</f>
        <v>0</v>
      </c>
      <c r="M434">
        <f>セットアップレポート!L434</f>
        <v>0</v>
      </c>
      <c r="N434">
        <f>セットアップレポート!M434</f>
        <v>0</v>
      </c>
      <c r="O434">
        <f>セットアップレポート!N434</f>
        <v>0</v>
      </c>
      <c r="P434" t="str">
        <f>セットアップレポート!O434</f>
        <v>FA0201ABD000491</v>
      </c>
      <c r="Q434">
        <f>セットアップレポート!P434</f>
        <v>3000</v>
      </c>
      <c r="R434">
        <f>セットアップレポート!Q434</f>
        <v>45950.47515046296</v>
      </c>
      <c r="S434">
        <f>セットアップレポート!R434</f>
        <v>0</v>
      </c>
      <c r="T434">
        <f>セットアップレポート!S434</f>
        <v>0</v>
      </c>
      <c r="U434">
        <f>セットアップレポート!T434</f>
        <v>0</v>
      </c>
      <c r="V434">
        <f>セットアップレポート!U434</f>
        <v>0</v>
      </c>
      <c r="W434">
        <f>セットアップレポート!V434</f>
        <v>0</v>
      </c>
      <c r="X434">
        <f>セットアップレポート!W434</f>
        <v>0</v>
      </c>
      <c r="Y434">
        <f>セットアップレポート!X434</f>
        <v>0</v>
      </c>
      <c r="Z434">
        <f>セットアップレポート!Y434</f>
        <v>0</v>
      </c>
      <c r="AA434">
        <f>セットアップレポート!Z434</f>
        <v>0</v>
      </c>
      <c r="AB434" t="str">
        <f>セットアップレポート!AA434</f>
        <v>NONE</v>
      </c>
      <c r="AC434">
        <f>セットアップレポート!AB434</f>
        <v>0</v>
      </c>
      <c r="AD434">
        <f>セットアップレポート!AC434</f>
        <v>0</v>
      </c>
      <c r="AE434">
        <f>セットアップレポート!AD434</f>
        <v>0</v>
      </c>
      <c r="AF434">
        <f>セットアップレポート!AE434</f>
        <v>0</v>
      </c>
      <c r="AG434">
        <f>セットアップレポート!AF434</f>
        <v>0</v>
      </c>
      <c r="AH434">
        <f>セットアップレポート!AG434</f>
        <v>0</v>
      </c>
    </row>
    <row r="435" spans="1:34" x14ac:dyDescent="0.45">
      <c r="A435" t="str">
        <f t="shared" si="6"/>
        <v>L2-NPM020022R9000057870</v>
      </c>
      <c r="B435" t="str">
        <f>セットアップレポート!A435</f>
        <v>Line-2</v>
      </c>
      <c r="C435" t="str">
        <f>セットアップレポート!B435</f>
        <v>L2-NPM02</v>
      </c>
      <c r="D435" t="str">
        <f>セットアップレポート!C435</f>
        <v>Zone-2-NPMW-2</v>
      </c>
      <c r="E435">
        <f>セットアップレポート!D435</f>
        <v>1</v>
      </c>
      <c r="F435">
        <f>セットアップレポート!E435</f>
        <v>1</v>
      </c>
      <c r="G435" t="str">
        <f>セットアップレポート!F435</f>
        <v>20022R</v>
      </c>
      <c r="H435">
        <f>セットアップレポート!G435</f>
        <v>22</v>
      </c>
      <c r="I435" t="str">
        <f>セットアップレポート!H435</f>
        <v>R</v>
      </c>
      <c r="J435" t="str">
        <f>セットアップレポート!I435</f>
        <v>9000057870 101009</v>
      </c>
      <c r="K435">
        <f>セットアップレポート!J435</f>
        <v>9000057870</v>
      </c>
      <c r="L435">
        <f>セットアップレポート!K435</f>
        <v>0</v>
      </c>
      <c r="M435">
        <f>セットアップレポート!L435</f>
        <v>0</v>
      </c>
      <c r="N435">
        <f>セットアップレポート!M435</f>
        <v>0</v>
      </c>
      <c r="O435">
        <f>セットアップレポート!N435</f>
        <v>0</v>
      </c>
      <c r="P435" t="str">
        <f>セットアップレポート!O435</f>
        <v>FA0201ACD051216</v>
      </c>
      <c r="Q435">
        <f>セットアップレポート!P435</f>
        <v>3000</v>
      </c>
      <c r="R435">
        <f>セットアップレポート!Q435</f>
        <v>45950.47515046296</v>
      </c>
      <c r="S435">
        <f>セットアップレポート!R435</f>
        <v>0</v>
      </c>
      <c r="T435">
        <f>セットアップレポート!S435</f>
        <v>0</v>
      </c>
      <c r="U435">
        <f>セットアップレポート!T435</f>
        <v>0</v>
      </c>
      <c r="V435">
        <f>セットアップレポート!U435</f>
        <v>0</v>
      </c>
      <c r="W435">
        <f>セットアップレポート!V435</f>
        <v>0</v>
      </c>
      <c r="X435">
        <f>セットアップレポート!W435</f>
        <v>0</v>
      </c>
      <c r="Y435">
        <f>セットアップレポート!X435</f>
        <v>0</v>
      </c>
      <c r="Z435">
        <f>セットアップレポート!Y435</f>
        <v>0</v>
      </c>
      <c r="AA435">
        <f>セットアップレポート!Z435</f>
        <v>0</v>
      </c>
      <c r="AB435" t="str">
        <f>セットアップレポート!AA435</f>
        <v>NONE</v>
      </c>
      <c r="AC435">
        <f>セットアップレポート!AB435</f>
        <v>0</v>
      </c>
      <c r="AD435">
        <f>セットアップレポート!AC435</f>
        <v>0</v>
      </c>
      <c r="AE435">
        <f>セットアップレポート!AD435</f>
        <v>0</v>
      </c>
      <c r="AF435">
        <f>セットアップレポート!AE435</f>
        <v>0</v>
      </c>
      <c r="AG435">
        <f>セットアップレポート!AF435</f>
        <v>0</v>
      </c>
      <c r="AH435">
        <f>セットアップレポート!AG435</f>
        <v>0</v>
      </c>
    </row>
    <row r="436" spans="1:34" x14ac:dyDescent="0.45">
      <c r="A436" t="str">
        <f t="shared" si="6"/>
        <v>L2-NPM020021R667681</v>
      </c>
      <c r="B436" t="str">
        <f>セットアップレポート!A436</f>
        <v>Line-2</v>
      </c>
      <c r="C436" t="str">
        <f>セットアップレポート!B436</f>
        <v>L2-NPM02</v>
      </c>
      <c r="D436" t="str">
        <f>セットアップレポート!C436</f>
        <v>Zone-2-NPMW-2</v>
      </c>
      <c r="E436">
        <f>セットアップレポート!D436</f>
        <v>1</v>
      </c>
      <c r="F436">
        <f>セットアップレポート!E436</f>
        <v>1</v>
      </c>
      <c r="G436" t="str">
        <f>セットアップレポート!F436</f>
        <v>20021R</v>
      </c>
      <c r="H436">
        <f>セットアップレポート!G436</f>
        <v>21</v>
      </c>
      <c r="I436" t="str">
        <f>セットアップレポート!H436</f>
        <v>R</v>
      </c>
      <c r="J436" t="str">
        <f>セットアップレポート!I436</f>
        <v>667681 100249</v>
      </c>
      <c r="K436">
        <f>セットアップレポート!J436</f>
        <v>667681</v>
      </c>
      <c r="L436">
        <f>セットアップレポート!K436</f>
        <v>0</v>
      </c>
      <c r="M436">
        <f>セットアップレポート!L436</f>
        <v>0</v>
      </c>
      <c r="N436">
        <f>セットアップレポート!M436</f>
        <v>0</v>
      </c>
      <c r="O436">
        <f>セットアップレポート!N436</f>
        <v>0</v>
      </c>
      <c r="P436" t="str">
        <f>セットアップレポート!O436</f>
        <v>FA0201ABA002638</v>
      </c>
      <c r="Q436">
        <f>セットアップレポート!P436</f>
        <v>10000</v>
      </c>
      <c r="R436">
        <f>セットアップレポート!Q436</f>
        <v>45950.47515046296</v>
      </c>
      <c r="S436">
        <f>セットアップレポート!R436</f>
        <v>0</v>
      </c>
      <c r="T436">
        <f>セットアップレポート!S436</f>
        <v>0</v>
      </c>
      <c r="U436">
        <f>セットアップレポート!T436</f>
        <v>0</v>
      </c>
      <c r="V436">
        <f>セットアップレポート!U436</f>
        <v>0</v>
      </c>
      <c r="W436">
        <f>セットアップレポート!V436</f>
        <v>0</v>
      </c>
      <c r="X436">
        <f>セットアップレポート!W436</f>
        <v>0</v>
      </c>
      <c r="Y436">
        <f>セットアップレポート!X436</f>
        <v>0</v>
      </c>
      <c r="Z436">
        <f>セットアップレポート!Y436</f>
        <v>0</v>
      </c>
      <c r="AA436">
        <f>セットアップレポート!Z436</f>
        <v>0</v>
      </c>
      <c r="AB436" t="str">
        <f>セットアップレポート!AA436</f>
        <v>NONE</v>
      </c>
      <c r="AC436">
        <f>セットアップレポート!AB436</f>
        <v>0</v>
      </c>
      <c r="AD436">
        <f>セットアップレポート!AC436</f>
        <v>0</v>
      </c>
      <c r="AE436">
        <f>セットアップレポート!AD436</f>
        <v>0</v>
      </c>
      <c r="AF436">
        <f>セットアップレポート!AE436</f>
        <v>0</v>
      </c>
      <c r="AG436">
        <f>セットアップレポート!AF436</f>
        <v>0</v>
      </c>
      <c r="AH436">
        <f>セットアップレポート!AG436</f>
        <v>0</v>
      </c>
    </row>
    <row r="437" spans="1:34" x14ac:dyDescent="0.45">
      <c r="A437" t="str">
        <f t="shared" si="6"/>
        <v>L2-NPM020020R9000063423</v>
      </c>
      <c r="B437" t="str">
        <f>セットアップレポート!A437</f>
        <v>Line-2</v>
      </c>
      <c r="C437" t="str">
        <f>セットアップレポート!B437</f>
        <v>L2-NPM02</v>
      </c>
      <c r="D437" t="str">
        <f>セットアップレポート!C437</f>
        <v>Zone-2-NPMW-2</v>
      </c>
      <c r="E437">
        <f>セットアップレポート!D437</f>
        <v>1</v>
      </c>
      <c r="F437">
        <f>セットアップレポート!E437</f>
        <v>1</v>
      </c>
      <c r="G437" t="str">
        <f>セットアップレポート!F437</f>
        <v>20020R</v>
      </c>
      <c r="H437">
        <f>セットアップレポート!G437</f>
        <v>20</v>
      </c>
      <c r="I437" t="str">
        <f>セットアップレポート!H437</f>
        <v>R</v>
      </c>
      <c r="J437" t="str">
        <f>セットアップレポート!I437</f>
        <v>9000063423 100017</v>
      </c>
      <c r="K437">
        <f>セットアップレポート!J437</f>
        <v>9000063423</v>
      </c>
      <c r="L437">
        <f>セットアップレポート!K437</f>
        <v>0</v>
      </c>
      <c r="M437">
        <f>セットアップレポート!L437</f>
        <v>0</v>
      </c>
      <c r="N437">
        <f>セットアップレポート!M437</f>
        <v>0</v>
      </c>
      <c r="O437">
        <f>セットアップレポート!N437</f>
        <v>0</v>
      </c>
      <c r="P437" t="str">
        <f>セットアップレポート!O437</f>
        <v>FA0201ACD050831</v>
      </c>
      <c r="Q437">
        <f>セットアップレポート!P437</f>
        <v>3000</v>
      </c>
      <c r="R437">
        <f>セットアップレポート!Q437</f>
        <v>45950.47515046296</v>
      </c>
      <c r="S437">
        <f>セットアップレポート!R437</f>
        <v>0</v>
      </c>
      <c r="T437">
        <f>セットアップレポート!S437</f>
        <v>0</v>
      </c>
      <c r="U437">
        <f>セットアップレポート!T437</f>
        <v>0</v>
      </c>
      <c r="V437">
        <f>セットアップレポート!U437</f>
        <v>0</v>
      </c>
      <c r="W437">
        <f>セットアップレポート!V437</f>
        <v>0</v>
      </c>
      <c r="X437">
        <f>セットアップレポート!W437</f>
        <v>0</v>
      </c>
      <c r="Y437">
        <f>セットアップレポート!X437</f>
        <v>0</v>
      </c>
      <c r="Z437">
        <f>セットアップレポート!Y437</f>
        <v>0</v>
      </c>
      <c r="AA437">
        <f>セットアップレポート!Z437</f>
        <v>0</v>
      </c>
      <c r="AB437" t="str">
        <f>セットアップレポート!AA437</f>
        <v>NONE</v>
      </c>
      <c r="AC437">
        <f>セットアップレポート!AB437</f>
        <v>0</v>
      </c>
      <c r="AD437">
        <f>セットアップレポート!AC437</f>
        <v>0</v>
      </c>
      <c r="AE437">
        <f>セットアップレポート!AD437</f>
        <v>0</v>
      </c>
      <c r="AF437">
        <f>セットアップレポート!AE437</f>
        <v>0</v>
      </c>
      <c r="AG437">
        <f>セットアップレポート!AF437</f>
        <v>0</v>
      </c>
      <c r="AH437">
        <f>セットアップレポート!AG437</f>
        <v>0</v>
      </c>
    </row>
    <row r="438" spans="1:34" x14ac:dyDescent="0.45">
      <c r="A438" t="str">
        <f t="shared" si="6"/>
        <v>L2-NPM020019R916804</v>
      </c>
      <c r="B438" t="str">
        <f>セットアップレポート!A438</f>
        <v>Line-2</v>
      </c>
      <c r="C438" t="str">
        <f>セットアップレポート!B438</f>
        <v>L2-NPM02</v>
      </c>
      <c r="D438" t="str">
        <f>セットアップレポート!C438</f>
        <v>Zone-2-NPMW-2</v>
      </c>
      <c r="E438">
        <f>セットアップレポート!D438</f>
        <v>1</v>
      </c>
      <c r="F438">
        <f>セットアップレポート!E438</f>
        <v>1</v>
      </c>
      <c r="G438" t="str">
        <f>セットアップレポート!F438</f>
        <v>20019R</v>
      </c>
      <c r="H438">
        <f>セットアップレポート!G438</f>
        <v>19</v>
      </c>
      <c r="I438" t="str">
        <f>セットアップレポート!H438</f>
        <v>R</v>
      </c>
      <c r="J438" t="str">
        <f>セットアップレポート!I438</f>
        <v>916804 101826</v>
      </c>
      <c r="K438">
        <f>セットアップレポート!J438</f>
        <v>916804</v>
      </c>
      <c r="L438">
        <f>セットアップレポート!K438</f>
        <v>0</v>
      </c>
      <c r="M438">
        <f>セットアップレポート!L438</f>
        <v>0</v>
      </c>
      <c r="N438">
        <f>セットアップレポート!M438</f>
        <v>0</v>
      </c>
      <c r="O438">
        <f>セットアップレポート!N438</f>
        <v>0</v>
      </c>
      <c r="P438" t="str">
        <f>セットアップレポート!O438</f>
        <v>FA0201ACD051127</v>
      </c>
      <c r="Q438">
        <f>セットアップレポート!P438</f>
        <v>3000</v>
      </c>
      <c r="R438">
        <f>セットアップレポート!Q438</f>
        <v>45950.47515046296</v>
      </c>
      <c r="S438">
        <f>セットアップレポート!R438</f>
        <v>0</v>
      </c>
      <c r="T438">
        <f>セットアップレポート!S438</f>
        <v>0</v>
      </c>
      <c r="U438">
        <f>セットアップレポート!T438</f>
        <v>0</v>
      </c>
      <c r="V438">
        <f>セットアップレポート!U438</f>
        <v>0</v>
      </c>
      <c r="W438">
        <f>セットアップレポート!V438</f>
        <v>0</v>
      </c>
      <c r="X438">
        <f>セットアップレポート!W438</f>
        <v>0</v>
      </c>
      <c r="Y438">
        <f>セットアップレポート!X438</f>
        <v>0</v>
      </c>
      <c r="Z438">
        <f>セットアップレポート!Y438</f>
        <v>0</v>
      </c>
      <c r="AA438">
        <f>セットアップレポート!Z438</f>
        <v>0</v>
      </c>
      <c r="AB438" t="str">
        <f>セットアップレポート!AA438</f>
        <v>NONE</v>
      </c>
      <c r="AC438">
        <f>セットアップレポート!AB438</f>
        <v>0</v>
      </c>
      <c r="AD438">
        <f>セットアップレポート!AC438</f>
        <v>0</v>
      </c>
      <c r="AE438">
        <f>セットアップレポート!AD438</f>
        <v>0</v>
      </c>
      <c r="AF438">
        <f>セットアップレポート!AE438</f>
        <v>0</v>
      </c>
      <c r="AG438">
        <f>セットアップレポート!AF438</f>
        <v>0</v>
      </c>
      <c r="AH438">
        <f>セットアップレポート!AG438</f>
        <v>0</v>
      </c>
    </row>
    <row r="439" spans="1:34" x14ac:dyDescent="0.45">
      <c r="A439" t="str">
        <f t="shared" si="6"/>
        <v>L2-NPM020018R9000047129</v>
      </c>
      <c r="B439" t="str">
        <f>セットアップレポート!A439</f>
        <v>Line-2</v>
      </c>
      <c r="C439" t="str">
        <f>セットアップレポート!B439</f>
        <v>L2-NPM02</v>
      </c>
      <c r="D439" t="str">
        <f>セットアップレポート!C439</f>
        <v>Zone-2-NPMW-2</v>
      </c>
      <c r="E439">
        <f>セットアップレポート!D439</f>
        <v>1</v>
      </c>
      <c r="F439">
        <f>セットアップレポート!E439</f>
        <v>1</v>
      </c>
      <c r="G439" t="str">
        <f>セットアップレポート!F439</f>
        <v>20018R</v>
      </c>
      <c r="H439">
        <f>セットアップレポート!G439</f>
        <v>18</v>
      </c>
      <c r="I439" t="str">
        <f>セットアップレポート!H439</f>
        <v>R</v>
      </c>
      <c r="J439" t="str">
        <f>セットアップレポート!I439</f>
        <v>9000047129 100037</v>
      </c>
      <c r="K439">
        <f>セットアップレポート!J439</f>
        <v>9000047129</v>
      </c>
      <c r="L439">
        <f>セットアップレポート!K439</f>
        <v>0</v>
      </c>
      <c r="M439">
        <f>セットアップレポート!L439</f>
        <v>0</v>
      </c>
      <c r="N439">
        <f>セットアップレポート!M439</f>
        <v>0</v>
      </c>
      <c r="O439">
        <f>セットアップレポート!N439</f>
        <v>0</v>
      </c>
      <c r="P439" t="str">
        <f>セットアップレポート!O439</f>
        <v>FA0201ABA002593</v>
      </c>
      <c r="Q439">
        <f>セットアップレポート!P439</f>
        <v>4000</v>
      </c>
      <c r="R439">
        <f>セットアップレポート!Q439</f>
        <v>45950.47515046296</v>
      </c>
      <c r="S439">
        <f>セットアップレポート!R439</f>
        <v>0</v>
      </c>
      <c r="T439">
        <f>セットアップレポート!S439</f>
        <v>0</v>
      </c>
      <c r="U439">
        <f>セットアップレポート!T439</f>
        <v>0</v>
      </c>
      <c r="V439">
        <f>セットアップレポート!U439</f>
        <v>0</v>
      </c>
      <c r="W439">
        <f>セットアップレポート!V439</f>
        <v>0</v>
      </c>
      <c r="X439">
        <f>セットアップレポート!W439</f>
        <v>0</v>
      </c>
      <c r="Y439">
        <f>セットアップレポート!X439</f>
        <v>0</v>
      </c>
      <c r="Z439">
        <f>セットアップレポート!Y439</f>
        <v>0</v>
      </c>
      <c r="AA439">
        <f>セットアップレポート!Z439</f>
        <v>0</v>
      </c>
      <c r="AB439" t="str">
        <f>セットアップレポート!AA439</f>
        <v>NONE</v>
      </c>
      <c r="AC439">
        <f>セットアップレポート!AB439</f>
        <v>0</v>
      </c>
      <c r="AD439">
        <f>セットアップレポート!AC439</f>
        <v>0</v>
      </c>
      <c r="AE439">
        <f>セットアップレポート!AD439</f>
        <v>0</v>
      </c>
      <c r="AF439">
        <f>セットアップレポート!AE439</f>
        <v>0</v>
      </c>
      <c r="AG439">
        <f>セットアップレポート!AF439</f>
        <v>0</v>
      </c>
      <c r="AH439">
        <f>セットアップレポート!AG439</f>
        <v>0</v>
      </c>
    </row>
    <row r="440" spans="1:34" x14ac:dyDescent="0.45">
      <c r="A440" t="str">
        <f t="shared" si="6"/>
        <v>L2-NPM020017R667511A</v>
      </c>
      <c r="B440" t="str">
        <f>セットアップレポート!A440</f>
        <v>Line-2</v>
      </c>
      <c r="C440" t="str">
        <f>セットアップレポート!B440</f>
        <v>L2-NPM02</v>
      </c>
      <c r="D440" t="str">
        <f>セットアップレポート!C440</f>
        <v>Zone-2-NPMW-2</v>
      </c>
      <c r="E440">
        <f>セットアップレポート!D440</f>
        <v>1</v>
      </c>
      <c r="F440">
        <f>セットアップレポート!E440</f>
        <v>1</v>
      </c>
      <c r="G440" t="str">
        <f>セットアップレポート!F440</f>
        <v>20017R</v>
      </c>
      <c r="H440">
        <f>セットアップレポート!G440</f>
        <v>17</v>
      </c>
      <c r="I440" t="str">
        <f>セットアップレポート!H440</f>
        <v>R</v>
      </c>
      <c r="J440" t="str">
        <f>セットアップレポート!I440</f>
        <v>667511A100511</v>
      </c>
      <c r="K440" t="str">
        <f>セットアップレポート!J440</f>
        <v>667511A</v>
      </c>
      <c r="L440">
        <f>セットアップレポート!K440</f>
        <v>0</v>
      </c>
      <c r="M440">
        <f>セットアップレポート!L440</f>
        <v>0</v>
      </c>
      <c r="N440">
        <f>セットアップレポート!M440</f>
        <v>0</v>
      </c>
      <c r="O440">
        <f>セットアップレポート!N440</f>
        <v>0</v>
      </c>
      <c r="P440" t="str">
        <f>セットアップレポート!O440</f>
        <v>FA0201ABD000546</v>
      </c>
      <c r="Q440">
        <f>セットアップレポート!P440</f>
        <v>5000</v>
      </c>
      <c r="R440">
        <f>セットアップレポート!Q440</f>
        <v>45950.475138888891</v>
      </c>
      <c r="S440">
        <f>セットアップレポート!R440</f>
        <v>0</v>
      </c>
      <c r="T440">
        <f>セットアップレポート!S440</f>
        <v>0</v>
      </c>
      <c r="U440">
        <f>セットアップレポート!T440</f>
        <v>0</v>
      </c>
      <c r="V440">
        <f>セットアップレポート!U440</f>
        <v>0</v>
      </c>
      <c r="W440">
        <f>セットアップレポート!V440</f>
        <v>0</v>
      </c>
      <c r="X440">
        <f>セットアップレポート!W440</f>
        <v>0</v>
      </c>
      <c r="Y440">
        <f>セットアップレポート!X440</f>
        <v>0</v>
      </c>
      <c r="Z440">
        <f>セットアップレポート!Y440</f>
        <v>0</v>
      </c>
      <c r="AA440">
        <f>セットアップレポート!Z440</f>
        <v>0</v>
      </c>
      <c r="AB440" t="str">
        <f>セットアップレポート!AA440</f>
        <v>NONE</v>
      </c>
      <c r="AC440">
        <f>セットアップレポート!AB440</f>
        <v>0</v>
      </c>
      <c r="AD440">
        <f>セットアップレポート!AC440</f>
        <v>0</v>
      </c>
      <c r="AE440">
        <f>セットアップレポート!AD440</f>
        <v>0</v>
      </c>
      <c r="AF440">
        <f>セットアップレポート!AE440</f>
        <v>0</v>
      </c>
      <c r="AG440">
        <f>セットアップレポート!AF440</f>
        <v>0</v>
      </c>
      <c r="AH440">
        <f>セットアップレポート!AG440</f>
        <v>0</v>
      </c>
    </row>
    <row r="441" spans="1:34" x14ac:dyDescent="0.45">
      <c r="A441" t="str">
        <f t="shared" si="6"/>
        <v>L2-NPM020016R550174B</v>
      </c>
      <c r="B441" t="str">
        <f>セットアップレポート!A441</f>
        <v>Line-2</v>
      </c>
      <c r="C441" t="str">
        <f>セットアップレポート!B441</f>
        <v>L2-NPM02</v>
      </c>
      <c r="D441" t="str">
        <f>セットアップレポート!C441</f>
        <v>Zone-2-NPMW-2</v>
      </c>
      <c r="E441">
        <f>セットアップレポート!D441</f>
        <v>1</v>
      </c>
      <c r="F441">
        <f>セットアップレポート!E441</f>
        <v>1</v>
      </c>
      <c r="G441" t="str">
        <f>セットアップレポート!F441</f>
        <v>20016R</v>
      </c>
      <c r="H441">
        <f>セットアップレポート!G441</f>
        <v>16</v>
      </c>
      <c r="I441" t="str">
        <f>セットアップレポート!H441</f>
        <v>R</v>
      </c>
      <c r="J441" t="str">
        <f>セットアップレポート!I441</f>
        <v>550174B100541</v>
      </c>
      <c r="K441" t="str">
        <f>セットアップレポート!J441</f>
        <v>550174B</v>
      </c>
      <c r="L441">
        <f>セットアップレポート!K441</f>
        <v>0</v>
      </c>
      <c r="M441">
        <f>セットアップレポート!L441</f>
        <v>0</v>
      </c>
      <c r="N441">
        <f>セットアップレポート!M441</f>
        <v>0</v>
      </c>
      <c r="O441">
        <f>セットアップレポート!N441</f>
        <v>0</v>
      </c>
      <c r="P441" t="str">
        <f>セットアップレポート!O441</f>
        <v>FA0201ABD000400</v>
      </c>
      <c r="Q441">
        <f>セットアップレポート!P441</f>
        <v>5000</v>
      </c>
      <c r="R441">
        <f>セットアップレポート!Q441</f>
        <v>45950.475138888891</v>
      </c>
      <c r="S441">
        <f>セットアップレポート!R441</f>
        <v>0</v>
      </c>
      <c r="T441">
        <f>セットアップレポート!S441</f>
        <v>0</v>
      </c>
      <c r="U441">
        <f>セットアップレポート!T441</f>
        <v>0</v>
      </c>
      <c r="V441">
        <f>セットアップレポート!U441</f>
        <v>0</v>
      </c>
      <c r="W441">
        <f>セットアップレポート!V441</f>
        <v>0</v>
      </c>
      <c r="X441">
        <f>セットアップレポート!W441</f>
        <v>0</v>
      </c>
      <c r="Y441">
        <f>セットアップレポート!X441</f>
        <v>0</v>
      </c>
      <c r="Z441">
        <f>セットアップレポート!Y441</f>
        <v>0</v>
      </c>
      <c r="AA441">
        <f>セットアップレポート!Z441</f>
        <v>0</v>
      </c>
      <c r="AB441" t="str">
        <f>セットアップレポート!AA441</f>
        <v>NONE</v>
      </c>
      <c r="AC441">
        <f>セットアップレポート!AB441</f>
        <v>0</v>
      </c>
      <c r="AD441">
        <f>セットアップレポート!AC441</f>
        <v>0</v>
      </c>
      <c r="AE441">
        <f>セットアップレポート!AD441</f>
        <v>0</v>
      </c>
      <c r="AF441">
        <f>セットアップレポート!AE441</f>
        <v>0</v>
      </c>
      <c r="AG441">
        <f>セットアップレポート!AF441</f>
        <v>0</v>
      </c>
      <c r="AH441">
        <f>セットアップレポート!AG441</f>
        <v>0</v>
      </c>
    </row>
    <row r="442" spans="1:34" x14ac:dyDescent="0.45">
      <c r="A442" t="str">
        <f t="shared" si="6"/>
        <v>L2-NPM020015R641263</v>
      </c>
      <c r="B442" t="str">
        <f>セットアップレポート!A442</f>
        <v>Line-2</v>
      </c>
      <c r="C442" t="str">
        <f>セットアップレポート!B442</f>
        <v>L2-NPM02</v>
      </c>
      <c r="D442" t="str">
        <f>セットアップレポート!C442</f>
        <v>Zone-2-NPMW-2</v>
      </c>
      <c r="E442">
        <f>セットアップレポート!D442</f>
        <v>1</v>
      </c>
      <c r="F442">
        <f>セットアップレポート!E442</f>
        <v>1</v>
      </c>
      <c r="G442" t="str">
        <f>セットアップレポート!F442</f>
        <v>20015R</v>
      </c>
      <c r="H442">
        <f>セットアップレポート!G442</f>
        <v>15</v>
      </c>
      <c r="I442" t="str">
        <f>セットアップレポート!H442</f>
        <v>R</v>
      </c>
      <c r="J442" t="str">
        <f>セットアップレポート!I442</f>
        <v>641263 100884</v>
      </c>
      <c r="K442">
        <f>セットアップレポート!J442</f>
        <v>641263</v>
      </c>
      <c r="L442">
        <f>セットアップレポート!K442</f>
        <v>0</v>
      </c>
      <c r="M442">
        <f>セットアップレポート!L442</f>
        <v>0</v>
      </c>
      <c r="N442">
        <f>セットアップレポート!M442</f>
        <v>0</v>
      </c>
      <c r="O442">
        <f>セットアップレポート!N442</f>
        <v>0</v>
      </c>
      <c r="P442" t="str">
        <f>セットアップレポート!O442</f>
        <v>FA0201ABA002594</v>
      </c>
      <c r="Q442">
        <f>セットアップレポート!P442</f>
        <v>4000</v>
      </c>
      <c r="R442">
        <f>セットアップレポート!Q442</f>
        <v>45950.475138888891</v>
      </c>
      <c r="S442">
        <f>セットアップレポート!R442</f>
        <v>0</v>
      </c>
      <c r="T442">
        <f>セットアップレポート!S442</f>
        <v>0</v>
      </c>
      <c r="U442">
        <f>セットアップレポート!T442</f>
        <v>0</v>
      </c>
      <c r="V442">
        <f>セットアップレポート!U442</f>
        <v>0</v>
      </c>
      <c r="W442">
        <f>セットアップレポート!V442</f>
        <v>0</v>
      </c>
      <c r="X442">
        <f>セットアップレポート!W442</f>
        <v>0</v>
      </c>
      <c r="Y442">
        <f>セットアップレポート!X442</f>
        <v>0</v>
      </c>
      <c r="Z442">
        <f>セットアップレポート!Y442</f>
        <v>0</v>
      </c>
      <c r="AA442">
        <f>セットアップレポート!Z442</f>
        <v>0</v>
      </c>
      <c r="AB442" t="str">
        <f>セットアップレポート!AA442</f>
        <v>NONE</v>
      </c>
      <c r="AC442">
        <f>セットアップレポート!AB442</f>
        <v>0</v>
      </c>
      <c r="AD442">
        <f>セットアップレポート!AC442</f>
        <v>0</v>
      </c>
      <c r="AE442">
        <f>セットアップレポート!AD442</f>
        <v>0</v>
      </c>
      <c r="AF442">
        <f>セットアップレポート!AE442</f>
        <v>0</v>
      </c>
      <c r="AG442">
        <f>セットアップレポート!AF442</f>
        <v>0</v>
      </c>
      <c r="AH442">
        <f>セットアップレポート!AG442</f>
        <v>0</v>
      </c>
    </row>
    <row r="443" spans="1:34" x14ac:dyDescent="0.45">
      <c r="A443" t="str">
        <f t="shared" si="6"/>
        <v>L2-NPM020014R667253A</v>
      </c>
      <c r="B443" t="str">
        <f>セットアップレポート!A443</f>
        <v>Line-2</v>
      </c>
      <c r="C443" t="str">
        <f>セットアップレポート!B443</f>
        <v>L2-NPM02</v>
      </c>
      <c r="D443" t="str">
        <f>セットアップレポート!C443</f>
        <v>Zone-2-NPMW-2</v>
      </c>
      <c r="E443">
        <f>セットアップレポート!D443</f>
        <v>1</v>
      </c>
      <c r="F443">
        <f>セットアップレポート!E443</f>
        <v>1</v>
      </c>
      <c r="G443" t="str">
        <f>セットアップレポート!F443</f>
        <v>20014R</v>
      </c>
      <c r="H443">
        <f>セットアップレポート!G443</f>
        <v>14</v>
      </c>
      <c r="I443" t="str">
        <f>セットアップレポート!H443</f>
        <v>R</v>
      </c>
      <c r="J443" t="str">
        <f>セットアップレポート!I443</f>
        <v>667253A100209</v>
      </c>
      <c r="K443" t="str">
        <f>セットアップレポート!J443</f>
        <v>667253A</v>
      </c>
      <c r="L443">
        <f>セットアップレポート!K443</f>
        <v>0</v>
      </c>
      <c r="M443">
        <f>セットアップレポート!L443</f>
        <v>0</v>
      </c>
      <c r="N443">
        <f>セットアップレポート!M443</f>
        <v>0</v>
      </c>
      <c r="O443">
        <f>セットアップレポート!N443</f>
        <v>0</v>
      </c>
      <c r="P443" t="str">
        <f>セットアップレポート!O443</f>
        <v>FA0201ABD000365</v>
      </c>
      <c r="Q443">
        <f>セットアップレポート!P443</f>
        <v>5000</v>
      </c>
      <c r="R443">
        <f>セットアップレポート!Q443</f>
        <v>45950.475138888891</v>
      </c>
      <c r="S443">
        <f>セットアップレポート!R443</f>
        <v>0</v>
      </c>
      <c r="T443">
        <f>セットアップレポート!S443</f>
        <v>0</v>
      </c>
      <c r="U443">
        <f>セットアップレポート!T443</f>
        <v>0</v>
      </c>
      <c r="V443">
        <f>セットアップレポート!U443</f>
        <v>0</v>
      </c>
      <c r="W443">
        <f>セットアップレポート!V443</f>
        <v>0</v>
      </c>
      <c r="X443">
        <f>セットアップレポート!W443</f>
        <v>0</v>
      </c>
      <c r="Y443">
        <f>セットアップレポート!X443</f>
        <v>0</v>
      </c>
      <c r="Z443">
        <f>セットアップレポート!Y443</f>
        <v>0</v>
      </c>
      <c r="AA443">
        <f>セットアップレポート!Z443</f>
        <v>0</v>
      </c>
      <c r="AB443" t="str">
        <f>セットアップレポート!AA443</f>
        <v>NONE</v>
      </c>
      <c r="AC443">
        <f>セットアップレポート!AB443</f>
        <v>0</v>
      </c>
      <c r="AD443">
        <f>セットアップレポート!AC443</f>
        <v>0</v>
      </c>
      <c r="AE443">
        <f>セットアップレポート!AD443</f>
        <v>0</v>
      </c>
      <c r="AF443">
        <f>セットアップレポート!AE443</f>
        <v>0</v>
      </c>
      <c r="AG443">
        <f>セットアップレポート!AF443</f>
        <v>0</v>
      </c>
      <c r="AH443">
        <f>セットアップレポート!AG443</f>
        <v>0</v>
      </c>
    </row>
    <row r="444" spans="1:34" x14ac:dyDescent="0.45">
      <c r="A444" t="str">
        <f t="shared" si="6"/>
        <v>L2-NPM020013R9000048529</v>
      </c>
      <c r="B444" t="str">
        <f>セットアップレポート!A444</f>
        <v>Line-2</v>
      </c>
      <c r="C444" t="str">
        <f>セットアップレポート!B444</f>
        <v>L2-NPM02</v>
      </c>
      <c r="D444" t="str">
        <f>セットアップレポート!C444</f>
        <v>Zone-2-NPMW-2</v>
      </c>
      <c r="E444">
        <f>セットアップレポート!D444</f>
        <v>1</v>
      </c>
      <c r="F444">
        <f>セットアップレポート!E444</f>
        <v>1</v>
      </c>
      <c r="G444" t="str">
        <f>セットアップレポート!F444</f>
        <v>20013R</v>
      </c>
      <c r="H444">
        <f>セットアップレポート!G444</f>
        <v>13</v>
      </c>
      <c r="I444" t="str">
        <f>セットアップレポート!H444</f>
        <v>R</v>
      </c>
      <c r="J444" t="str">
        <f>セットアップレポート!I444</f>
        <v>9000048529 100327</v>
      </c>
      <c r="K444">
        <f>セットアップレポート!J444</f>
        <v>9000048529</v>
      </c>
      <c r="L444">
        <f>セットアップレポート!K444</f>
        <v>0</v>
      </c>
      <c r="M444">
        <f>セットアップレポート!L444</f>
        <v>0</v>
      </c>
      <c r="N444">
        <f>セットアップレポート!M444</f>
        <v>0</v>
      </c>
      <c r="O444">
        <f>セットアップレポート!N444</f>
        <v>0</v>
      </c>
      <c r="P444" t="str">
        <f>セットアップレポート!O444</f>
        <v>FA0201ACD049869</v>
      </c>
      <c r="Q444">
        <f>セットアップレポート!P444</f>
        <v>3000</v>
      </c>
      <c r="R444">
        <f>セットアップレポート!Q444</f>
        <v>45950.475138888891</v>
      </c>
      <c r="S444">
        <f>セットアップレポート!R444</f>
        <v>0</v>
      </c>
      <c r="T444" t="str">
        <f>セットアップレポート!S444</f>
        <v>Yes</v>
      </c>
      <c r="U444">
        <f>セットアップレポート!T444</f>
        <v>0</v>
      </c>
      <c r="V444" t="str">
        <f>セットアップレポート!U444</f>
        <v>9000048529 100335</v>
      </c>
      <c r="W444">
        <f>セットアップレポート!V444</f>
        <v>0</v>
      </c>
      <c r="X444">
        <f>セットアップレポート!W444</f>
        <v>0</v>
      </c>
      <c r="Y444">
        <f>セットアップレポート!X444</f>
        <v>0</v>
      </c>
      <c r="Z444">
        <f>セットアップレポート!Y444</f>
        <v>0</v>
      </c>
      <c r="AA444">
        <f>セットアップレポート!Z444</f>
        <v>0</v>
      </c>
      <c r="AB444" t="str">
        <f>セットアップレポート!AA444</f>
        <v>NONE</v>
      </c>
      <c r="AC444">
        <f>セットアップレポート!AB444</f>
        <v>0</v>
      </c>
      <c r="AD444">
        <f>セットアップレポート!AC444</f>
        <v>0</v>
      </c>
      <c r="AE444">
        <f>セットアップレポート!AD444</f>
        <v>0</v>
      </c>
      <c r="AF444">
        <f>セットアップレポート!AE444</f>
        <v>0</v>
      </c>
      <c r="AG444">
        <f>セットアップレポート!AF444</f>
        <v>0</v>
      </c>
      <c r="AH444">
        <f>セットアップレポート!AG444</f>
        <v>0</v>
      </c>
    </row>
    <row r="445" spans="1:34" x14ac:dyDescent="0.45">
      <c r="A445" t="str">
        <f t="shared" si="6"/>
        <v>L2-NPM020012R907752</v>
      </c>
      <c r="B445" t="str">
        <f>セットアップレポート!A445</f>
        <v>Line-2</v>
      </c>
      <c r="C445" t="str">
        <f>セットアップレポート!B445</f>
        <v>L2-NPM02</v>
      </c>
      <c r="D445" t="str">
        <f>セットアップレポート!C445</f>
        <v>Zone-2-NPMW-2</v>
      </c>
      <c r="E445">
        <f>セットアップレポート!D445</f>
        <v>1</v>
      </c>
      <c r="F445">
        <f>セットアップレポート!E445</f>
        <v>1</v>
      </c>
      <c r="G445" t="str">
        <f>セットアップレポート!F445</f>
        <v>20012R</v>
      </c>
      <c r="H445">
        <f>セットアップレポート!G445</f>
        <v>12</v>
      </c>
      <c r="I445" t="str">
        <f>セットアップレポート!H445</f>
        <v>R</v>
      </c>
      <c r="J445" t="str">
        <f>セットアップレポート!I445</f>
        <v>907752 100173</v>
      </c>
      <c r="K445">
        <f>セットアップレポート!J445</f>
        <v>907752</v>
      </c>
      <c r="L445">
        <f>セットアップレポート!K445</f>
        <v>0</v>
      </c>
      <c r="M445">
        <f>セットアップレポート!L445</f>
        <v>0</v>
      </c>
      <c r="N445">
        <f>セットアップレポート!M445</f>
        <v>0</v>
      </c>
      <c r="O445">
        <f>セットアップレポート!N445</f>
        <v>0</v>
      </c>
      <c r="P445" t="str">
        <f>セットアップレポート!O445</f>
        <v>FA0201ABD000561</v>
      </c>
      <c r="Q445">
        <f>セットアップレポート!P445</f>
        <v>10000</v>
      </c>
      <c r="R445">
        <f>セットアップレポート!Q445</f>
        <v>45950.475138888891</v>
      </c>
      <c r="S445">
        <f>セットアップレポート!R445</f>
        <v>0</v>
      </c>
      <c r="T445">
        <f>セットアップレポート!S445</f>
        <v>0</v>
      </c>
      <c r="U445">
        <f>セットアップレポート!T445</f>
        <v>0</v>
      </c>
      <c r="V445">
        <f>セットアップレポート!U445</f>
        <v>0</v>
      </c>
      <c r="W445">
        <f>セットアップレポート!V445</f>
        <v>0</v>
      </c>
      <c r="X445">
        <f>セットアップレポート!W445</f>
        <v>0</v>
      </c>
      <c r="Y445">
        <f>セットアップレポート!X445</f>
        <v>0</v>
      </c>
      <c r="Z445">
        <f>セットアップレポート!Y445</f>
        <v>0</v>
      </c>
      <c r="AA445">
        <f>セットアップレポート!Z445</f>
        <v>0</v>
      </c>
      <c r="AB445" t="str">
        <f>セットアップレポート!AA445</f>
        <v>NONE</v>
      </c>
      <c r="AC445">
        <f>セットアップレポート!AB445</f>
        <v>0</v>
      </c>
      <c r="AD445">
        <f>セットアップレポート!AC445</f>
        <v>0</v>
      </c>
      <c r="AE445">
        <f>セットアップレポート!AD445</f>
        <v>0</v>
      </c>
      <c r="AF445">
        <f>セットアップレポート!AE445</f>
        <v>0</v>
      </c>
      <c r="AG445">
        <f>セットアップレポート!AF445</f>
        <v>0</v>
      </c>
      <c r="AH445">
        <f>セットアップレポート!AG445</f>
        <v>0</v>
      </c>
    </row>
    <row r="446" spans="1:34" x14ac:dyDescent="0.45">
      <c r="A446" t="str">
        <f t="shared" si="6"/>
        <v>L2-NPM020011R577252A</v>
      </c>
      <c r="B446" t="str">
        <f>セットアップレポート!A446</f>
        <v>Line-2</v>
      </c>
      <c r="C446" t="str">
        <f>セットアップレポート!B446</f>
        <v>L2-NPM02</v>
      </c>
      <c r="D446" t="str">
        <f>セットアップレポート!C446</f>
        <v>Zone-2-NPMW-2</v>
      </c>
      <c r="E446">
        <f>セットアップレポート!D446</f>
        <v>1</v>
      </c>
      <c r="F446">
        <f>セットアップレポート!E446</f>
        <v>1</v>
      </c>
      <c r="G446" t="str">
        <f>セットアップレポート!F446</f>
        <v>20011R</v>
      </c>
      <c r="H446">
        <f>セットアップレポート!G446</f>
        <v>11</v>
      </c>
      <c r="I446" t="str">
        <f>セットアップレポート!H446</f>
        <v>R</v>
      </c>
      <c r="J446" t="str">
        <f>セットアップレポート!I446</f>
        <v>577252A101547</v>
      </c>
      <c r="K446" t="str">
        <f>セットアップレポート!J446</f>
        <v>577252A</v>
      </c>
      <c r="L446">
        <f>セットアップレポート!K446</f>
        <v>0</v>
      </c>
      <c r="M446">
        <f>セットアップレポート!L446</f>
        <v>0</v>
      </c>
      <c r="N446">
        <f>セットアップレポート!M446</f>
        <v>0</v>
      </c>
      <c r="O446">
        <f>セットアップレポート!N446</f>
        <v>0</v>
      </c>
      <c r="P446" t="str">
        <f>セットアップレポート!O446</f>
        <v>FA0201ABD000686</v>
      </c>
      <c r="Q446">
        <f>セットアップレポート!P446</f>
        <v>4000</v>
      </c>
      <c r="R446">
        <f>セットアップレポート!Q446</f>
        <v>45950.475138888891</v>
      </c>
      <c r="S446">
        <f>セットアップレポート!R446</f>
        <v>0</v>
      </c>
      <c r="T446">
        <f>セットアップレポート!S446</f>
        <v>0</v>
      </c>
      <c r="U446">
        <f>セットアップレポート!T446</f>
        <v>0</v>
      </c>
      <c r="V446">
        <f>セットアップレポート!U446</f>
        <v>0</v>
      </c>
      <c r="W446">
        <f>セットアップレポート!V446</f>
        <v>0</v>
      </c>
      <c r="X446">
        <f>セットアップレポート!W446</f>
        <v>0</v>
      </c>
      <c r="Y446">
        <f>セットアップレポート!X446</f>
        <v>0</v>
      </c>
      <c r="Z446">
        <f>セットアップレポート!Y446</f>
        <v>0</v>
      </c>
      <c r="AA446">
        <f>セットアップレポート!Z446</f>
        <v>0</v>
      </c>
      <c r="AB446" t="str">
        <f>セットアップレポート!AA446</f>
        <v>NONE</v>
      </c>
      <c r="AC446">
        <f>セットアップレポート!AB446</f>
        <v>0</v>
      </c>
      <c r="AD446">
        <f>セットアップレポート!AC446</f>
        <v>0</v>
      </c>
      <c r="AE446">
        <f>セットアップレポート!AD446</f>
        <v>0</v>
      </c>
      <c r="AF446">
        <f>セットアップレポート!AE446</f>
        <v>0</v>
      </c>
      <c r="AG446">
        <f>セットアップレポート!AF446</f>
        <v>0</v>
      </c>
      <c r="AH446">
        <f>セットアップレポート!AG446</f>
        <v>0</v>
      </c>
    </row>
    <row r="447" spans="1:34" x14ac:dyDescent="0.45">
      <c r="A447" t="str">
        <f t="shared" si="6"/>
        <v>L2-NPM020010R631853A</v>
      </c>
      <c r="B447" t="str">
        <f>セットアップレポート!A447</f>
        <v>Line-2</v>
      </c>
      <c r="C447" t="str">
        <f>セットアップレポート!B447</f>
        <v>L2-NPM02</v>
      </c>
      <c r="D447" t="str">
        <f>セットアップレポート!C447</f>
        <v>Zone-2-NPMW-2</v>
      </c>
      <c r="E447">
        <f>セットアップレポート!D447</f>
        <v>1</v>
      </c>
      <c r="F447">
        <f>セットアップレポート!E447</f>
        <v>1</v>
      </c>
      <c r="G447" t="str">
        <f>セットアップレポート!F447</f>
        <v>20010R</v>
      </c>
      <c r="H447">
        <f>セットアップレポート!G447</f>
        <v>10</v>
      </c>
      <c r="I447" t="str">
        <f>セットアップレポート!H447</f>
        <v>R</v>
      </c>
      <c r="J447" t="str">
        <f>セットアップレポート!I447</f>
        <v>631853A100226</v>
      </c>
      <c r="K447" t="str">
        <f>セットアップレポート!J447</f>
        <v>631853A</v>
      </c>
      <c r="L447">
        <f>セットアップレポート!K447</f>
        <v>0</v>
      </c>
      <c r="M447">
        <f>セットアップレポート!L447</f>
        <v>0</v>
      </c>
      <c r="N447">
        <f>セットアップレポート!M447</f>
        <v>0</v>
      </c>
      <c r="O447">
        <f>セットアップレポート!N447</f>
        <v>0</v>
      </c>
      <c r="P447" t="str">
        <f>セットアップレポート!O447</f>
        <v>FA0201ABA002000</v>
      </c>
      <c r="Q447">
        <f>セットアップレポート!P447</f>
        <v>3000</v>
      </c>
      <c r="R447">
        <f>セットアップレポート!Q447</f>
        <v>45950.475138888891</v>
      </c>
      <c r="S447">
        <f>セットアップレポート!R447</f>
        <v>0</v>
      </c>
      <c r="T447" t="str">
        <f>セットアップレポート!S447</f>
        <v>Yes</v>
      </c>
      <c r="U447">
        <f>セットアップレポート!T447</f>
        <v>0</v>
      </c>
      <c r="V447" t="str">
        <f>セットアップレポート!U447</f>
        <v>631853A100239</v>
      </c>
      <c r="W447">
        <f>セットアップレポート!V447</f>
        <v>0</v>
      </c>
      <c r="X447">
        <f>セットアップレポート!W447</f>
        <v>0</v>
      </c>
      <c r="Y447">
        <f>セットアップレポート!X447</f>
        <v>0</v>
      </c>
      <c r="Z447">
        <f>セットアップレポート!Y447</f>
        <v>0</v>
      </c>
      <c r="AA447">
        <f>セットアップレポート!Z447</f>
        <v>0</v>
      </c>
      <c r="AB447" t="str">
        <f>セットアップレポート!AA447</f>
        <v>NONE</v>
      </c>
      <c r="AC447">
        <f>セットアップレポート!AB447</f>
        <v>0</v>
      </c>
      <c r="AD447">
        <f>セットアップレポート!AC447</f>
        <v>0</v>
      </c>
      <c r="AE447">
        <f>セットアップレポート!AD447</f>
        <v>0</v>
      </c>
      <c r="AF447">
        <f>セットアップレポート!AE447</f>
        <v>0</v>
      </c>
      <c r="AG447">
        <f>セットアップレポート!AF447</f>
        <v>0</v>
      </c>
      <c r="AH447">
        <f>セットアップレポート!AG447</f>
        <v>0</v>
      </c>
    </row>
    <row r="448" spans="1:34" x14ac:dyDescent="0.45">
      <c r="A448" t="str">
        <f t="shared" si="6"/>
        <v>L2-NPM020009R644955</v>
      </c>
      <c r="B448" t="str">
        <f>セットアップレポート!A448</f>
        <v>Line-2</v>
      </c>
      <c r="C448" t="str">
        <f>セットアップレポート!B448</f>
        <v>L2-NPM02</v>
      </c>
      <c r="D448" t="str">
        <f>セットアップレポート!C448</f>
        <v>Zone-2-NPMW-2</v>
      </c>
      <c r="E448">
        <f>セットアップレポート!D448</f>
        <v>1</v>
      </c>
      <c r="F448">
        <f>セットアップレポート!E448</f>
        <v>1</v>
      </c>
      <c r="G448" t="str">
        <f>セットアップレポート!F448</f>
        <v>20009R</v>
      </c>
      <c r="H448">
        <f>セットアップレポート!G448</f>
        <v>9</v>
      </c>
      <c r="I448" t="str">
        <f>セットアップレポート!H448</f>
        <v>R</v>
      </c>
      <c r="J448" t="str">
        <f>セットアップレポート!I448</f>
        <v>644955 100658</v>
      </c>
      <c r="K448">
        <f>セットアップレポート!J448</f>
        <v>644955</v>
      </c>
      <c r="L448">
        <f>セットアップレポート!K448</f>
        <v>0</v>
      </c>
      <c r="M448">
        <f>セットアップレポート!L448</f>
        <v>0</v>
      </c>
      <c r="N448">
        <f>セットアップレポート!M448</f>
        <v>0</v>
      </c>
      <c r="O448">
        <f>セットアップレポート!N448</f>
        <v>0</v>
      </c>
      <c r="P448" t="str">
        <f>セットアップレポート!O448</f>
        <v>FA0201ABA002104</v>
      </c>
      <c r="Q448">
        <f>セットアップレポート!P448</f>
        <v>5000</v>
      </c>
      <c r="R448">
        <f>セットアップレポート!Q448</f>
        <v>45950.475138888891</v>
      </c>
      <c r="S448">
        <f>セットアップレポート!R448</f>
        <v>0</v>
      </c>
      <c r="T448">
        <f>セットアップレポート!S448</f>
        <v>0</v>
      </c>
      <c r="U448">
        <f>セットアップレポート!T448</f>
        <v>0</v>
      </c>
      <c r="V448">
        <f>セットアップレポート!U448</f>
        <v>0</v>
      </c>
      <c r="W448">
        <f>セットアップレポート!V448</f>
        <v>0</v>
      </c>
      <c r="X448">
        <f>セットアップレポート!W448</f>
        <v>0</v>
      </c>
      <c r="Y448">
        <f>セットアップレポート!X448</f>
        <v>0</v>
      </c>
      <c r="Z448">
        <f>セットアップレポート!Y448</f>
        <v>0</v>
      </c>
      <c r="AA448">
        <f>セットアップレポート!Z448</f>
        <v>0</v>
      </c>
      <c r="AB448" t="str">
        <f>セットアップレポート!AA448</f>
        <v>NONE</v>
      </c>
      <c r="AC448">
        <f>セットアップレポート!AB448</f>
        <v>0</v>
      </c>
      <c r="AD448">
        <f>セットアップレポート!AC448</f>
        <v>0</v>
      </c>
      <c r="AE448">
        <f>セットアップレポート!AD448</f>
        <v>0</v>
      </c>
      <c r="AF448">
        <f>セットアップレポート!AE448</f>
        <v>0</v>
      </c>
      <c r="AG448">
        <f>セットアップレポート!AF448</f>
        <v>0</v>
      </c>
      <c r="AH448">
        <f>セットアップレポート!AG448</f>
        <v>0</v>
      </c>
    </row>
    <row r="449" spans="1:34" x14ac:dyDescent="0.45">
      <c r="A449" t="str">
        <f t="shared" si="6"/>
        <v>L2-NPM020008R9000057973</v>
      </c>
      <c r="B449" t="str">
        <f>セットアップレポート!A449</f>
        <v>Line-2</v>
      </c>
      <c r="C449" t="str">
        <f>セットアップレポート!B449</f>
        <v>L2-NPM02</v>
      </c>
      <c r="D449" t="str">
        <f>セットアップレポート!C449</f>
        <v>Zone-2-NPMW-2</v>
      </c>
      <c r="E449">
        <f>セットアップレポート!D449</f>
        <v>1</v>
      </c>
      <c r="F449">
        <f>セットアップレポート!E449</f>
        <v>1</v>
      </c>
      <c r="G449" t="str">
        <f>セットアップレポート!F449</f>
        <v>20008R</v>
      </c>
      <c r="H449">
        <f>セットアップレポート!G449</f>
        <v>8</v>
      </c>
      <c r="I449" t="str">
        <f>セットアップレポート!H449</f>
        <v>R</v>
      </c>
      <c r="J449" t="str">
        <f>セットアップレポート!I449</f>
        <v>9000057973 100075</v>
      </c>
      <c r="K449">
        <f>セットアップレポート!J449</f>
        <v>9000057973</v>
      </c>
      <c r="L449">
        <f>セットアップレポート!K449</f>
        <v>0</v>
      </c>
      <c r="M449">
        <f>セットアップレポート!L449</f>
        <v>0</v>
      </c>
      <c r="N449">
        <f>セットアップレポート!M449</f>
        <v>0</v>
      </c>
      <c r="O449">
        <f>セットアップレポート!N449</f>
        <v>0</v>
      </c>
      <c r="P449" t="str">
        <f>セットアップレポート!O449</f>
        <v>FA0201ABD000384</v>
      </c>
      <c r="Q449">
        <f>セットアップレポート!P449</f>
        <v>10000</v>
      </c>
      <c r="R449">
        <f>セットアップレポート!Q449</f>
        <v>45950.475138888891</v>
      </c>
      <c r="S449">
        <f>セットアップレポート!R449</f>
        <v>0</v>
      </c>
      <c r="T449">
        <f>セットアップレポート!S449</f>
        <v>0</v>
      </c>
      <c r="U449">
        <f>セットアップレポート!T449</f>
        <v>0</v>
      </c>
      <c r="V449">
        <f>セットアップレポート!U449</f>
        <v>0</v>
      </c>
      <c r="W449">
        <f>セットアップレポート!V449</f>
        <v>0</v>
      </c>
      <c r="X449">
        <f>セットアップレポート!W449</f>
        <v>0</v>
      </c>
      <c r="Y449">
        <f>セットアップレポート!X449</f>
        <v>0</v>
      </c>
      <c r="Z449">
        <f>セットアップレポート!Y449</f>
        <v>0</v>
      </c>
      <c r="AA449">
        <f>セットアップレポート!Z449</f>
        <v>0</v>
      </c>
      <c r="AB449" t="str">
        <f>セットアップレポート!AA449</f>
        <v>NONE</v>
      </c>
      <c r="AC449">
        <f>セットアップレポート!AB449</f>
        <v>0</v>
      </c>
      <c r="AD449">
        <f>セットアップレポート!AC449</f>
        <v>0</v>
      </c>
      <c r="AE449">
        <f>セットアップレポート!AD449</f>
        <v>0</v>
      </c>
      <c r="AF449">
        <f>セットアップレポート!AE449</f>
        <v>0</v>
      </c>
      <c r="AG449">
        <f>セットアップレポート!AF449</f>
        <v>0</v>
      </c>
      <c r="AH449">
        <f>セットアップレポート!AG449</f>
        <v>0</v>
      </c>
    </row>
    <row r="450" spans="1:34" x14ac:dyDescent="0.45">
      <c r="A450" t="str">
        <f t="shared" si="6"/>
        <v>L2-NPM020007R912122</v>
      </c>
      <c r="B450" t="str">
        <f>セットアップレポート!A450</f>
        <v>Line-2</v>
      </c>
      <c r="C450" t="str">
        <f>セットアップレポート!B450</f>
        <v>L2-NPM02</v>
      </c>
      <c r="D450" t="str">
        <f>セットアップレポート!C450</f>
        <v>Zone-2-NPMW-2</v>
      </c>
      <c r="E450">
        <f>セットアップレポート!D450</f>
        <v>1</v>
      </c>
      <c r="F450">
        <f>セットアップレポート!E450</f>
        <v>1</v>
      </c>
      <c r="G450" t="str">
        <f>セットアップレポート!F450</f>
        <v>20007R</v>
      </c>
      <c r="H450">
        <f>セットアップレポート!G450</f>
        <v>7</v>
      </c>
      <c r="I450" t="str">
        <f>セットアップレポート!H450</f>
        <v>R</v>
      </c>
      <c r="J450" t="str">
        <f>セットアップレポート!I450</f>
        <v>912122 101034</v>
      </c>
      <c r="K450">
        <f>セットアップレポート!J450</f>
        <v>912122</v>
      </c>
      <c r="L450">
        <f>セットアップレポート!K450</f>
        <v>0</v>
      </c>
      <c r="M450">
        <f>セットアップレポート!L450</f>
        <v>0</v>
      </c>
      <c r="N450">
        <f>セットアップレポート!M450</f>
        <v>0</v>
      </c>
      <c r="O450">
        <f>セットアップレポート!N450</f>
        <v>0</v>
      </c>
      <c r="P450" t="str">
        <f>セットアップレポート!O450</f>
        <v>FA0201ABA002280</v>
      </c>
      <c r="Q450">
        <f>セットアップレポート!P450</f>
        <v>2000</v>
      </c>
      <c r="R450">
        <f>セットアップレポート!Q450</f>
        <v>45950.475138888891</v>
      </c>
      <c r="S450">
        <f>セットアップレポート!R450</f>
        <v>0</v>
      </c>
      <c r="T450">
        <f>セットアップレポート!S450</f>
        <v>0</v>
      </c>
      <c r="U450">
        <f>セットアップレポート!T450</f>
        <v>0</v>
      </c>
      <c r="V450">
        <f>セットアップレポート!U450</f>
        <v>0</v>
      </c>
      <c r="W450">
        <f>セットアップレポート!V450</f>
        <v>0</v>
      </c>
      <c r="X450">
        <f>セットアップレポート!W450</f>
        <v>0</v>
      </c>
      <c r="Y450">
        <f>セットアップレポート!X450</f>
        <v>0</v>
      </c>
      <c r="Z450">
        <f>セットアップレポート!Y450</f>
        <v>0</v>
      </c>
      <c r="AA450">
        <f>セットアップレポート!Z450</f>
        <v>0</v>
      </c>
      <c r="AB450" t="str">
        <f>セットアップレポート!AA450</f>
        <v>NONE</v>
      </c>
      <c r="AC450">
        <f>セットアップレポート!AB450</f>
        <v>0</v>
      </c>
      <c r="AD450">
        <f>セットアップレポート!AC450</f>
        <v>0</v>
      </c>
      <c r="AE450">
        <f>セットアップレポート!AD450</f>
        <v>0</v>
      </c>
      <c r="AF450">
        <f>セットアップレポート!AE450</f>
        <v>0</v>
      </c>
      <c r="AG450">
        <f>セットアップレポート!AF450</f>
        <v>0</v>
      </c>
      <c r="AH450">
        <f>セットアップレポート!AG450</f>
        <v>0</v>
      </c>
    </row>
    <row r="451" spans="1:34" x14ac:dyDescent="0.45">
      <c r="A451" t="str">
        <f t="shared" ref="A451:A514" si="7">C451&amp;RIGHT(G451,5)&amp;K451</f>
        <v>L2-NPM020006R9000069295</v>
      </c>
      <c r="B451" t="str">
        <f>セットアップレポート!A451</f>
        <v>Line-2</v>
      </c>
      <c r="C451" t="str">
        <f>セットアップレポート!B451</f>
        <v>L2-NPM02</v>
      </c>
      <c r="D451" t="str">
        <f>セットアップレポート!C451</f>
        <v>Zone-2-NPMW-2</v>
      </c>
      <c r="E451">
        <f>セットアップレポート!D451</f>
        <v>1</v>
      </c>
      <c r="F451">
        <f>セットアップレポート!E451</f>
        <v>1</v>
      </c>
      <c r="G451" t="str">
        <f>セットアップレポート!F451</f>
        <v>20006R</v>
      </c>
      <c r="H451">
        <f>セットアップレポート!G451</f>
        <v>6</v>
      </c>
      <c r="I451" t="str">
        <f>セットアップレポート!H451</f>
        <v>R</v>
      </c>
      <c r="J451" t="str">
        <f>セットアップレポート!I451</f>
        <v>9000069295 100005</v>
      </c>
      <c r="K451">
        <f>セットアップレポート!J451</f>
        <v>9000069295</v>
      </c>
      <c r="L451">
        <f>セットアップレポート!K451</f>
        <v>0</v>
      </c>
      <c r="M451">
        <f>セットアップレポート!L451</f>
        <v>0</v>
      </c>
      <c r="N451">
        <f>セットアップレポート!M451</f>
        <v>0</v>
      </c>
      <c r="O451">
        <f>セットアップレポート!N451</f>
        <v>0</v>
      </c>
      <c r="P451" t="str">
        <f>セットアップレポート!O451</f>
        <v>FA0201ABA002711</v>
      </c>
      <c r="Q451">
        <f>セットアップレポート!P451</f>
        <v>3000</v>
      </c>
      <c r="R451">
        <f>セットアップレポート!Q451</f>
        <v>45950.475138888891</v>
      </c>
      <c r="S451">
        <f>セットアップレポート!R451</f>
        <v>0</v>
      </c>
      <c r="T451" t="str">
        <f>セットアップレポート!S451</f>
        <v>Yes</v>
      </c>
      <c r="U451">
        <f>セットアップレポート!T451</f>
        <v>0</v>
      </c>
      <c r="V451" t="str">
        <f>セットアップレポート!U451</f>
        <v>9000069295 100006</v>
      </c>
      <c r="W451">
        <f>セットアップレポート!V451</f>
        <v>0</v>
      </c>
      <c r="X451">
        <f>セットアップレポート!W451</f>
        <v>0</v>
      </c>
      <c r="Y451">
        <f>セットアップレポート!X451</f>
        <v>0</v>
      </c>
      <c r="Z451">
        <f>セットアップレポート!Y451</f>
        <v>0</v>
      </c>
      <c r="AA451">
        <f>セットアップレポート!Z451</f>
        <v>0</v>
      </c>
      <c r="AB451" t="str">
        <f>セットアップレポート!AA451</f>
        <v>NONE</v>
      </c>
      <c r="AC451">
        <f>セットアップレポート!AB451</f>
        <v>0</v>
      </c>
      <c r="AD451">
        <f>セットアップレポート!AC451</f>
        <v>0</v>
      </c>
      <c r="AE451">
        <f>セットアップレポート!AD451</f>
        <v>0</v>
      </c>
      <c r="AF451">
        <f>セットアップレポート!AE451</f>
        <v>0</v>
      </c>
      <c r="AG451">
        <f>セットアップレポート!AF451</f>
        <v>0</v>
      </c>
      <c r="AH451">
        <f>セットアップレポート!AG451</f>
        <v>0</v>
      </c>
    </row>
    <row r="452" spans="1:34" x14ac:dyDescent="0.45">
      <c r="A452" t="str">
        <f t="shared" si="7"/>
        <v>L2-NPM020005R9000063136</v>
      </c>
      <c r="B452" t="str">
        <f>セットアップレポート!A452</f>
        <v>Line-2</v>
      </c>
      <c r="C452" t="str">
        <f>セットアップレポート!B452</f>
        <v>L2-NPM02</v>
      </c>
      <c r="D452" t="str">
        <f>セットアップレポート!C452</f>
        <v>Zone-2-NPMW-2</v>
      </c>
      <c r="E452">
        <f>セットアップレポート!D452</f>
        <v>1</v>
      </c>
      <c r="F452">
        <f>セットアップレポート!E452</f>
        <v>1</v>
      </c>
      <c r="G452" t="str">
        <f>セットアップレポート!F452</f>
        <v>20005R</v>
      </c>
      <c r="H452">
        <f>セットアップレポート!G452</f>
        <v>5</v>
      </c>
      <c r="I452" t="str">
        <f>セットアップレポート!H452</f>
        <v>R</v>
      </c>
      <c r="J452" t="str">
        <f>セットアップレポート!I452</f>
        <v>9000063136 100024</v>
      </c>
      <c r="K452">
        <f>セットアップレポート!J452</f>
        <v>9000063136</v>
      </c>
      <c r="L452">
        <f>セットアップレポート!K452</f>
        <v>0</v>
      </c>
      <c r="M452">
        <f>セットアップレポート!L452</f>
        <v>0</v>
      </c>
      <c r="N452">
        <f>セットアップレポート!M452</f>
        <v>0</v>
      </c>
      <c r="O452">
        <f>セットアップレポート!N452</f>
        <v>0</v>
      </c>
      <c r="P452" t="str">
        <f>セットアップレポート!O452</f>
        <v>FA0201ABD000697</v>
      </c>
      <c r="Q452">
        <f>セットアップレポート!P452</f>
        <v>15000</v>
      </c>
      <c r="R452">
        <f>セットアップレポート!Q452</f>
        <v>45950.475138888891</v>
      </c>
      <c r="S452">
        <f>セットアップレポート!R452</f>
        <v>0</v>
      </c>
      <c r="T452">
        <f>セットアップレポート!S452</f>
        <v>0</v>
      </c>
      <c r="U452">
        <f>セットアップレポート!T452</f>
        <v>0</v>
      </c>
      <c r="V452">
        <f>セットアップレポート!U452</f>
        <v>0</v>
      </c>
      <c r="W452">
        <f>セットアップレポート!V452</f>
        <v>0</v>
      </c>
      <c r="X452">
        <f>セットアップレポート!W452</f>
        <v>0</v>
      </c>
      <c r="Y452">
        <f>セットアップレポート!X452</f>
        <v>0</v>
      </c>
      <c r="Z452">
        <f>セットアップレポート!Y452</f>
        <v>0</v>
      </c>
      <c r="AA452">
        <f>セットアップレポート!Z452</f>
        <v>0</v>
      </c>
      <c r="AB452" t="str">
        <f>セットアップレポート!AA452</f>
        <v>NONE</v>
      </c>
      <c r="AC452">
        <f>セットアップレポート!AB452</f>
        <v>0</v>
      </c>
      <c r="AD452">
        <f>セットアップレポート!AC452</f>
        <v>0</v>
      </c>
      <c r="AE452">
        <f>セットアップレポート!AD452</f>
        <v>0</v>
      </c>
      <c r="AF452">
        <f>セットアップレポート!AE452</f>
        <v>0</v>
      </c>
      <c r="AG452">
        <f>セットアップレポート!AF452</f>
        <v>0</v>
      </c>
      <c r="AH452">
        <f>セットアップレポート!AG452</f>
        <v>0</v>
      </c>
    </row>
    <row r="453" spans="1:34" x14ac:dyDescent="0.45">
      <c r="A453" t="str">
        <f t="shared" si="7"/>
        <v>L2-NPM020004R667155A</v>
      </c>
      <c r="B453" t="str">
        <f>セットアップレポート!A453</f>
        <v>Line-2</v>
      </c>
      <c r="C453" t="str">
        <f>セットアップレポート!B453</f>
        <v>L2-NPM02</v>
      </c>
      <c r="D453" t="str">
        <f>セットアップレポート!C453</f>
        <v>Zone-2-NPMW-2</v>
      </c>
      <c r="E453">
        <f>セットアップレポート!D453</f>
        <v>1</v>
      </c>
      <c r="F453">
        <f>セットアップレポート!E453</f>
        <v>1</v>
      </c>
      <c r="G453" t="str">
        <f>セットアップレポート!F453</f>
        <v>20004R</v>
      </c>
      <c r="H453">
        <f>セットアップレポート!G453</f>
        <v>4</v>
      </c>
      <c r="I453" t="str">
        <f>セットアップレポート!H453</f>
        <v>R</v>
      </c>
      <c r="J453" t="str">
        <f>セットアップレポート!I453</f>
        <v>667155A100319</v>
      </c>
      <c r="K453" t="str">
        <f>セットアップレポート!J453</f>
        <v>667155A</v>
      </c>
      <c r="L453">
        <f>セットアップレポート!K453</f>
        <v>0</v>
      </c>
      <c r="M453">
        <f>セットアップレポート!L453</f>
        <v>0</v>
      </c>
      <c r="N453">
        <f>セットアップレポート!M453</f>
        <v>0</v>
      </c>
      <c r="O453">
        <f>セットアップレポート!N453</f>
        <v>0</v>
      </c>
      <c r="P453" t="str">
        <f>セットアップレポート!O453</f>
        <v>FA0201ABD000363</v>
      </c>
      <c r="Q453">
        <f>セットアップレポート!P453</f>
        <v>5000</v>
      </c>
      <c r="R453">
        <f>セットアップレポート!Q453</f>
        <v>45950.475138888891</v>
      </c>
      <c r="S453">
        <f>セットアップレポート!R453</f>
        <v>0</v>
      </c>
      <c r="T453" t="str">
        <f>セットアップレポート!S453</f>
        <v>Yes</v>
      </c>
      <c r="U453">
        <f>セットアップレポート!T453</f>
        <v>0</v>
      </c>
      <c r="V453" t="str">
        <f>セットアップレポート!U453</f>
        <v>667155A100373</v>
      </c>
      <c r="W453">
        <f>セットアップレポート!V453</f>
        <v>0</v>
      </c>
      <c r="X453">
        <f>セットアップレポート!W453</f>
        <v>0</v>
      </c>
      <c r="Y453">
        <f>セットアップレポート!X453</f>
        <v>0</v>
      </c>
      <c r="Z453">
        <f>セットアップレポート!Y453</f>
        <v>0</v>
      </c>
      <c r="AA453">
        <f>セットアップレポート!Z453</f>
        <v>0</v>
      </c>
      <c r="AB453" t="str">
        <f>セットアップレポート!AA453</f>
        <v>NONE</v>
      </c>
      <c r="AC453">
        <f>セットアップレポート!AB453</f>
        <v>0</v>
      </c>
      <c r="AD453">
        <f>セットアップレポート!AC453</f>
        <v>0</v>
      </c>
      <c r="AE453">
        <f>セットアップレポート!AD453</f>
        <v>0</v>
      </c>
      <c r="AF453">
        <f>セットアップレポート!AE453</f>
        <v>0</v>
      </c>
      <c r="AG453">
        <f>セットアップレポート!AF453</f>
        <v>0</v>
      </c>
      <c r="AH453">
        <f>セットアップレポート!AG453</f>
        <v>0</v>
      </c>
    </row>
    <row r="454" spans="1:34" x14ac:dyDescent="0.45">
      <c r="A454" t="str">
        <f t="shared" si="7"/>
        <v>L2-NPM020003R922183</v>
      </c>
      <c r="B454" t="str">
        <f>セットアップレポート!A454</f>
        <v>Line-2</v>
      </c>
      <c r="C454" t="str">
        <f>セットアップレポート!B454</f>
        <v>L2-NPM02</v>
      </c>
      <c r="D454" t="str">
        <f>セットアップレポート!C454</f>
        <v>Zone-2-NPMW-2</v>
      </c>
      <c r="E454">
        <f>セットアップレポート!D454</f>
        <v>1</v>
      </c>
      <c r="F454">
        <f>セットアップレポート!E454</f>
        <v>1</v>
      </c>
      <c r="G454" t="str">
        <f>セットアップレポート!F454</f>
        <v>20003R</v>
      </c>
      <c r="H454">
        <f>セットアップレポート!G454</f>
        <v>3</v>
      </c>
      <c r="I454" t="str">
        <f>セットアップレポート!H454</f>
        <v>R</v>
      </c>
      <c r="J454" t="str">
        <f>セットアップレポート!I454</f>
        <v>922183 100121</v>
      </c>
      <c r="K454">
        <f>セットアップレポート!J454</f>
        <v>922183</v>
      </c>
      <c r="L454">
        <f>セットアップレポート!K454</f>
        <v>0</v>
      </c>
      <c r="M454">
        <f>セットアップレポート!L454</f>
        <v>0</v>
      </c>
      <c r="N454">
        <f>セットアップレポート!M454</f>
        <v>0</v>
      </c>
      <c r="O454">
        <f>セットアップレポート!N454</f>
        <v>0</v>
      </c>
      <c r="P454" t="str">
        <f>セットアップレポート!O454</f>
        <v>FA0201ACD051305</v>
      </c>
      <c r="Q454">
        <f>セットアップレポート!P454</f>
        <v>4000</v>
      </c>
      <c r="R454">
        <f>セットアップレポート!Q454</f>
        <v>45950.475127314814</v>
      </c>
      <c r="S454">
        <f>セットアップレポート!R454</f>
        <v>0</v>
      </c>
      <c r="T454">
        <f>セットアップレポート!S454</f>
        <v>0</v>
      </c>
      <c r="U454">
        <f>セットアップレポート!T454</f>
        <v>0</v>
      </c>
      <c r="V454">
        <f>セットアップレポート!U454</f>
        <v>0</v>
      </c>
      <c r="W454">
        <f>セットアップレポート!V454</f>
        <v>0</v>
      </c>
      <c r="X454">
        <f>セットアップレポート!W454</f>
        <v>0</v>
      </c>
      <c r="Y454">
        <f>セットアップレポート!X454</f>
        <v>0</v>
      </c>
      <c r="Z454">
        <f>セットアップレポート!Y454</f>
        <v>0</v>
      </c>
      <c r="AA454">
        <f>セットアップレポート!Z454</f>
        <v>0</v>
      </c>
      <c r="AB454" t="str">
        <f>セットアップレポート!AA454</f>
        <v>NONE</v>
      </c>
      <c r="AC454">
        <f>セットアップレポート!AB454</f>
        <v>0</v>
      </c>
      <c r="AD454">
        <f>セットアップレポート!AC454</f>
        <v>0</v>
      </c>
      <c r="AE454">
        <f>セットアップレポート!AD454</f>
        <v>0</v>
      </c>
      <c r="AF454">
        <f>セットアップレポート!AE454</f>
        <v>0</v>
      </c>
      <c r="AG454">
        <f>セットアップレポート!AF454</f>
        <v>0</v>
      </c>
      <c r="AH454">
        <f>セットアップレポート!AG454</f>
        <v>0</v>
      </c>
    </row>
    <row r="455" spans="1:34" x14ac:dyDescent="0.45">
      <c r="A455" t="str">
        <f t="shared" si="7"/>
        <v>L2-NPM020002RT9000070441</v>
      </c>
      <c r="B455" t="str">
        <f>セットアップレポート!A455</f>
        <v>Line-2</v>
      </c>
      <c r="C455" t="str">
        <f>セットアップレポート!B455</f>
        <v>L2-NPM02</v>
      </c>
      <c r="D455" t="str">
        <f>セットアップレポート!C455</f>
        <v>Zone-2-NPMW-2</v>
      </c>
      <c r="E455">
        <f>セットアップレポート!D455</f>
        <v>1</v>
      </c>
      <c r="F455">
        <f>セットアップレポート!E455</f>
        <v>1</v>
      </c>
      <c r="G455" t="str">
        <f>セットアップレポート!F455</f>
        <v>20002R</v>
      </c>
      <c r="H455">
        <f>セットアップレポート!G455</f>
        <v>2</v>
      </c>
      <c r="I455" t="str">
        <f>セットアップレポート!H455</f>
        <v>R</v>
      </c>
      <c r="J455" t="str">
        <f>セットアップレポート!I455</f>
        <v>T9000070441100001</v>
      </c>
      <c r="K455" t="str">
        <f>セットアップレポート!J455</f>
        <v>T9000070441</v>
      </c>
      <c r="L455">
        <f>セットアップレポート!K455</f>
        <v>0</v>
      </c>
      <c r="M455">
        <f>セットアップレポート!L455</f>
        <v>0</v>
      </c>
      <c r="N455">
        <f>セットアップレポート!M455</f>
        <v>0</v>
      </c>
      <c r="O455">
        <f>セットアップレポート!N455</f>
        <v>0</v>
      </c>
      <c r="P455" t="str">
        <f>セットアップレポート!O455</f>
        <v>FA0201ACD051355</v>
      </c>
      <c r="Q455">
        <f>セットアップレポート!P455</f>
        <v>9899</v>
      </c>
      <c r="R455">
        <f>セットアップレポート!Q455</f>
        <v>45950.475127314814</v>
      </c>
      <c r="S455">
        <f>セットアップレポート!R455</f>
        <v>0</v>
      </c>
      <c r="T455">
        <f>セットアップレポート!S455</f>
        <v>0</v>
      </c>
      <c r="U455">
        <f>セットアップレポート!T455</f>
        <v>0</v>
      </c>
      <c r="V455">
        <f>セットアップレポート!U455</f>
        <v>0</v>
      </c>
      <c r="W455">
        <f>セットアップレポート!V455</f>
        <v>0</v>
      </c>
      <c r="X455">
        <f>セットアップレポート!W455</f>
        <v>0</v>
      </c>
      <c r="Y455">
        <f>セットアップレポート!X455</f>
        <v>0</v>
      </c>
      <c r="Z455">
        <f>セットアップレポート!Y455</f>
        <v>0</v>
      </c>
      <c r="AA455">
        <f>セットアップレポート!Z455</f>
        <v>0</v>
      </c>
      <c r="AB455" t="str">
        <f>セットアップレポート!AA455</f>
        <v>NONE</v>
      </c>
      <c r="AC455">
        <f>セットアップレポート!AB455</f>
        <v>0</v>
      </c>
      <c r="AD455">
        <f>セットアップレポート!AC455</f>
        <v>0</v>
      </c>
      <c r="AE455">
        <f>セットアップレポート!AD455</f>
        <v>0</v>
      </c>
      <c r="AF455">
        <f>セットアップレポート!AE455</f>
        <v>0</v>
      </c>
      <c r="AG455">
        <f>セットアップレポート!AF455</f>
        <v>0</v>
      </c>
      <c r="AH455">
        <f>セットアップレポート!AG455</f>
        <v>0</v>
      </c>
    </row>
    <row r="456" spans="1:34" x14ac:dyDescent="0.45">
      <c r="A456" t="str">
        <f t="shared" si="7"/>
        <v>L2-NPM020029R9000066588</v>
      </c>
      <c r="B456" t="str">
        <f>セットアップレポート!A456</f>
        <v>Line-2</v>
      </c>
      <c r="C456" t="str">
        <f>セットアップレポート!B456</f>
        <v>L2-NPM02</v>
      </c>
      <c r="D456" t="str">
        <f>セットアップレポート!C456</f>
        <v>Zone-2-NPMW-2</v>
      </c>
      <c r="E456">
        <f>セットアップレポート!D456</f>
        <v>1</v>
      </c>
      <c r="F456">
        <f>セットアップレポート!E456</f>
        <v>1</v>
      </c>
      <c r="G456" t="str">
        <f>セットアップレポート!F456</f>
        <v>10029R</v>
      </c>
      <c r="H456">
        <f>セットアップレポート!G456</f>
        <v>29</v>
      </c>
      <c r="I456" t="str">
        <f>セットアップレポート!H456</f>
        <v>R</v>
      </c>
      <c r="J456" t="str">
        <f>セットアップレポート!I456</f>
        <v>9000066588 100282</v>
      </c>
      <c r="K456">
        <f>セットアップレポート!J456</f>
        <v>9000066588</v>
      </c>
      <c r="L456">
        <f>セットアップレポート!K456</f>
        <v>0</v>
      </c>
      <c r="M456">
        <f>セットアップレポート!L456</f>
        <v>0</v>
      </c>
      <c r="N456">
        <f>セットアップレポート!M456</f>
        <v>0</v>
      </c>
      <c r="O456">
        <f>セットアップレポート!N456</f>
        <v>0</v>
      </c>
      <c r="P456" t="str">
        <f>セットアップレポート!O456</f>
        <v>FA0201ABD000450</v>
      </c>
      <c r="Q456">
        <f>セットアップレポート!P456</f>
        <v>4000</v>
      </c>
      <c r="R456">
        <f>セットアップレポート!Q456</f>
        <v>45930.44866898148</v>
      </c>
      <c r="S456">
        <f>セットアップレポート!R456</f>
        <v>0</v>
      </c>
      <c r="T456">
        <f>セットアップレポート!S456</f>
        <v>0</v>
      </c>
      <c r="U456">
        <f>セットアップレポート!T456</f>
        <v>0</v>
      </c>
      <c r="V456">
        <f>セットアップレポート!U456</f>
        <v>0</v>
      </c>
      <c r="W456">
        <f>セットアップレポート!V456</f>
        <v>0</v>
      </c>
      <c r="X456">
        <f>セットアップレポート!W456</f>
        <v>0</v>
      </c>
      <c r="Y456">
        <f>セットアップレポート!X456</f>
        <v>0</v>
      </c>
      <c r="Z456">
        <f>セットアップレポート!Y456</f>
        <v>0</v>
      </c>
      <c r="AA456">
        <f>セットアップレポート!Z456</f>
        <v>0</v>
      </c>
      <c r="AB456" t="str">
        <f>セットアップレポート!AA456</f>
        <v>NONE</v>
      </c>
      <c r="AC456">
        <f>セットアップレポート!AB456</f>
        <v>0</v>
      </c>
      <c r="AD456">
        <f>セットアップレポート!AC456</f>
        <v>0</v>
      </c>
      <c r="AE456">
        <f>セットアップレポート!AD456</f>
        <v>0</v>
      </c>
      <c r="AF456">
        <f>セットアップレポート!AE456</f>
        <v>0</v>
      </c>
      <c r="AG456">
        <f>セットアップレポート!AF456</f>
        <v>0</v>
      </c>
      <c r="AH456">
        <f>セットアップレポート!AG456</f>
        <v>0</v>
      </c>
    </row>
    <row r="457" spans="1:34" x14ac:dyDescent="0.45">
      <c r="A457" t="str">
        <f t="shared" si="7"/>
        <v>L2-NPM030006R660287A</v>
      </c>
      <c r="B457" t="str">
        <f>セットアップレポート!A457</f>
        <v>Line-2</v>
      </c>
      <c r="C457" t="str">
        <f>セットアップレポート!B457</f>
        <v>L2-NPM03</v>
      </c>
      <c r="D457" t="str">
        <f>セットアップレポート!C457</f>
        <v>Zone-2-NPMW-3</v>
      </c>
      <c r="E457">
        <f>セットアップレポート!D457</f>
        <v>1</v>
      </c>
      <c r="F457">
        <f>セットアップレポート!E457</f>
        <v>1</v>
      </c>
      <c r="G457" t="str">
        <f>セットアップレポート!F457</f>
        <v>10006R</v>
      </c>
      <c r="H457">
        <f>セットアップレポート!G457</f>
        <v>6</v>
      </c>
      <c r="I457" t="str">
        <f>セットアップレポート!H457</f>
        <v>R</v>
      </c>
      <c r="J457" t="str">
        <f>セットアップレポート!I457</f>
        <v>660287A100092</v>
      </c>
      <c r="K457" t="str">
        <f>セットアップレポート!J457</f>
        <v>660287A</v>
      </c>
      <c r="L457">
        <f>セットアップレポート!K457</f>
        <v>0</v>
      </c>
      <c r="M457">
        <f>セットアップレポート!L457</f>
        <v>0</v>
      </c>
      <c r="N457">
        <f>セットアップレポート!M457</f>
        <v>0</v>
      </c>
      <c r="O457">
        <f>セットアップレポート!N457</f>
        <v>0</v>
      </c>
      <c r="P457" t="str">
        <f>セットアップレポート!O457</f>
        <v>FA0201ACD050226</v>
      </c>
      <c r="Q457">
        <f>セットアップレポート!P457</f>
        <v>5000</v>
      </c>
      <c r="R457">
        <f>セットアップレポート!Q457</f>
        <v>45950.474224537036</v>
      </c>
      <c r="S457">
        <f>セットアップレポート!R457</f>
        <v>0</v>
      </c>
      <c r="T457">
        <f>セットアップレポート!S457</f>
        <v>0</v>
      </c>
      <c r="U457">
        <f>セットアップレポート!T457</f>
        <v>0</v>
      </c>
      <c r="V457">
        <f>セットアップレポート!U457</f>
        <v>0</v>
      </c>
      <c r="W457">
        <f>セットアップレポート!V457</f>
        <v>0</v>
      </c>
      <c r="X457">
        <f>セットアップレポート!W457</f>
        <v>0</v>
      </c>
      <c r="Y457">
        <f>セットアップレポート!X457</f>
        <v>0</v>
      </c>
      <c r="Z457">
        <f>セットアップレポート!Y457</f>
        <v>0</v>
      </c>
      <c r="AA457">
        <f>セットアップレポート!Z457</f>
        <v>0</v>
      </c>
      <c r="AB457" t="str">
        <f>セットアップレポート!AA457</f>
        <v>NONE</v>
      </c>
      <c r="AC457">
        <f>セットアップレポート!AB457</f>
        <v>0</v>
      </c>
      <c r="AD457">
        <f>セットアップレポート!AC457</f>
        <v>0</v>
      </c>
      <c r="AE457">
        <f>セットアップレポート!AD457</f>
        <v>0</v>
      </c>
      <c r="AF457">
        <f>セットアップレポート!AE457</f>
        <v>0</v>
      </c>
      <c r="AG457">
        <f>セットアップレポート!AF457</f>
        <v>0</v>
      </c>
      <c r="AH457">
        <f>セットアップレポート!AG457</f>
        <v>0</v>
      </c>
    </row>
    <row r="458" spans="1:34" x14ac:dyDescent="0.45">
      <c r="A458" t="str">
        <f t="shared" si="7"/>
        <v>L2-NPM030018R513517</v>
      </c>
      <c r="B458" t="str">
        <f>セットアップレポート!A458</f>
        <v>Line-2</v>
      </c>
      <c r="C458" t="str">
        <f>セットアップレポート!B458</f>
        <v>L2-NPM03</v>
      </c>
      <c r="D458" t="str">
        <f>セットアップレポート!C458</f>
        <v>Zone-2-NPMW-3</v>
      </c>
      <c r="E458">
        <f>セットアップレポート!D458</f>
        <v>1</v>
      </c>
      <c r="F458">
        <f>セットアップレポート!E458</f>
        <v>1</v>
      </c>
      <c r="G458" t="str">
        <f>セットアップレポート!F458</f>
        <v>20018R</v>
      </c>
      <c r="H458">
        <f>セットアップレポート!G458</f>
        <v>18</v>
      </c>
      <c r="I458" t="str">
        <f>セットアップレポート!H458</f>
        <v>R</v>
      </c>
      <c r="J458" t="str">
        <f>セットアップレポート!I458</f>
        <v>513517 101446</v>
      </c>
      <c r="K458">
        <f>セットアップレポート!J458</f>
        <v>513517</v>
      </c>
      <c r="L458">
        <f>セットアップレポート!K458</f>
        <v>0</v>
      </c>
      <c r="M458">
        <f>セットアップレポート!L458</f>
        <v>0</v>
      </c>
      <c r="N458">
        <f>セットアップレポート!M458</f>
        <v>0</v>
      </c>
      <c r="O458">
        <f>セットアップレポート!N458</f>
        <v>0</v>
      </c>
      <c r="P458" t="str">
        <f>セットアップレポート!O458</f>
        <v>FA0201ACD050233</v>
      </c>
      <c r="Q458">
        <f>セットアップレポート!P458</f>
        <v>3000</v>
      </c>
      <c r="R458">
        <f>セットアップレポート!Q458</f>
        <v>45950.474247685182</v>
      </c>
      <c r="S458">
        <f>セットアップレポート!R458</f>
        <v>0</v>
      </c>
      <c r="T458">
        <f>セットアップレポート!S458</f>
        <v>0</v>
      </c>
      <c r="U458">
        <f>セットアップレポート!T458</f>
        <v>0</v>
      </c>
      <c r="V458">
        <f>セットアップレポート!U458</f>
        <v>0</v>
      </c>
      <c r="W458">
        <f>セットアップレポート!V458</f>
        <v>0</v>
      </c>
      <c r="X458">
        <f>セットアップレポート!W458</f>
        <v>0</v>
      </c>
      <c r="Y458">
        <f>セットアップレポート!X458</f>
        <v>0</v>
      </c>
      <c r="Z458">
        <f>セットアップレポート!Y458</f>
        <v>0</v>
      </c>
      <c r="AA458">
        <f>セットアップレポート!Z458</f>
        <v>0</v>
      </c>
      <c r="AB458" t="str">
        <f>セットアップレポート!AA458</f>
        <v>NONE</v>
      </c>
      <c r="AC458">
        <f>セットアップレポート!AB458</f>
        <v>0</v>
      </c>
      <c r="AD458">
        <f>セットアップレポート!AC458</f>
        <v>0</v>
      </c>
      <c r="AE458">
        <f>セットアップレポート!AD458</f>
        <v>0</v>
      </c>
      <c r="AF458">
        <f>セットアップレポート!AE458</f>
        <v>0</v>
      </c>
      <c r="AG458">
        <f>セットアップレポート!AF458</f>
        <v>0</v>
      </c>
      <c r="AH458">
        <f>セットアップレポート!AG458</f>
        <v>0</v>
      </c>
    </row>
    <row r="459" spans="1:34" x14ac:dyDescent="0.45">
      <c r="A459" t="str">
        <f t="shared" si="7"/>
        <v>L2-NPM030017R632032</v>
      </c>
      <c r="B459" t="str">
        <f>セットアップレポート!A459</f>
        <v>Line-2</v>
      </c>
      <c r="C459" t="str">
        <f>セットアップレポート!B459</f>
        <v>L2-NPM03</v>
      </c>
      <c r="D459" t="str">
        <f>セットアップレポート!C459</f>
        <v>Zone-2-NPMW-3</v>
      </c>
      <c r="E459">
        <f>セットアップレポート!D459</f>
        <v>1</v>
      </c>
      <c r="F459">
        <f>セットアップレポート!E459</f>
        <v>1</v>
      </c>
      <c r="G459" t="str">
        <f>セットアップレポート!F459</f>
        <v>20017R</v>
      </c>
      <c r="H459">
        <f>セットアップレポート!G459</f>
        <v>17</v>
      </c>
      <c r="I459" t="str">
        <f>セットアップレポート!H459</f>
        <v>R</v>
      </c>
      <c r="J459" t="str">
        <f>セットアップレポート!I459</f>
        <v>632032 100119</v>
      </c>
      <c r="K459">
        <f>セットアップレポート!J459</f>
        <v>632032</v>
      </c>
      <c r="L459">
        <f>セットアップレポート!K459</f>
        <v>0</v>
      </c>
      <c r="M459">
        <f>セットアップレポート!L459</f>
        <v>0</v>
      </c>
      <c r="N459">
        <f>セットアップレポート!M459</f>
        <v>0</v>
      </c>
      <c r="O459">
        <f>セットアップレポート!N459</f>
        <v>0</v>
      </c>
      <c r="P459" t="str">
        <f>セットアップレポート!O459</f>
        <v>FA0201ACD051023</v>
      </c>
      <c r="Q459">
        <f>セットアップレポート!P459</f>
        <v>10000</v>
      </c>
      <c r="R459">
        <f>セットアップレポート!Q459</f>
        <v>45950.474247685182</v>
      </c>
      <c r="S459">
        <f>セットアップレポート!R459</f>
        <v>0</v>
      </c>
      <c r="T459">
        <f>セットアップレポート!S459</f>
        <v>0</v>
      </c>
      <c r="U459">
        <f>セットアップレポート!T459</f>
        <v>0</v>
      </c>
      <c r="V459">
        <f>セットアップレポート!U459</f>
        <v>0</v>
      </c>
      <c r="W459">
        <f>セットアップレポート!V459</f>
        <v>0</v>
      </c>
      <c r="X459">
        <f>セットアップレポート!W459</f>
        <v>0</v>
      </c>
      <c r="Y459">
        <f>セットアップレポート!X459</f>
        <v>0</v>
      </c>
      <c r="Z459">
        <f>セットアップレポート!Y459</f>
        <v>0</v>
      </c>
      <c r="AA459">
        <f>セットアップレポート!Z459</f>
        <v>0</v>
      </c>
      <c r="AB459" t="str">
        <f>セットアップレポート!AA459</f>
        <v>NONE</v>
      </c>
      <c r="AC459">
        <f>セットアップレポート!AB459</f>
        <v>0</v>
      </c>
      <c r="AD459">
        <f>セットアップレポート!AC459</f>
        <v>0</v>
      </c>
      <c r="AE459">
        <f>セットアップレポート!AD459</f>
        <v>0</v>
      </c>
      <c r="AF459">
        <f>セットアップレポート!AE459</f>
        <v>0</v>
      </c>
      <c r="AG459">
        <f>セットアップレポート!AF459</f>
        <v>0</v>
      </c>
      <c r="AH459">
        <f>セットアップレポート!AG459</f>
        <v>0</v>
      </c>
    </row>
    <row r="460" spans="1:34" x14ac:dyDescent="0.45">
      <c r="A460" t="str">
        <f t="shared" si="7"/>
        <v>L2-NPM030016R9000066595</v>
      </c>
      <c r="B460" t="str">
        <f>セットアップレポート!A460</f>
        <v>Line-2</v>
      </c>
      <c r="C460" t="str">
        <f>セットアップレポート!B460</f>
        <v>L2-NPM03</v>
      </c>
      <c r="D460" t="str">
        <f>セットアップレポート!C460</f>
        <v>Zone-2-NPMW-3</v>
      </c>
      <c r="E460">
        <f>セットアップレポート!D460</f>
        <v>1</v>
      </c>
      <c r="F460">
        <f>セットアップレポート!E460</f>
        <v>1</v>
      </c>
      <c r="G460" t="str">
        <f>セットアップレポート!F460</f>
        <v>20016R</v>
      </c>
      <c r="H460">
        <f>セットアップレポート!G460</f>
        <v>16</v>
      </c>
      <c r="I460" t="str">
        <f>セットアップレポート!H460</f>
        <v>R</v>
      </c>
      <c r="J460" t="str">
        <f>セットアップレポート!I460</f>
        <v>9000066595 101566</v>
      </c>
      <c r="K460">
        <f>セットアップレポート!J460</f>
        <v>9000066595</v>
      </c>
      <c r="L460">
        <f>セットアップレポート!K460</f>
        <v>0</v>
      </c>
      <c r="M460">
        <f>セットアップレポート!L460</f>
        <v>0</v>
      </c>
      <c r="N460">
        <f>セットアップレポート!M460</f>
        <v>0</v>
      </c>
      <c r="O460">
        <f>セットアップレポート!N460</f>
        <v>0</v>
      </c>
      <c r="P460" t="str">
        <f>セットアップレポート!O460</f>
        <v>FA0201ACD051129</v>
      </c>
      <c r="Q460">
        <f>セットアップレポート!P460</f>
        <v>4000</v>
      </c>
      <c r="R460">
        <f>セットアップレポート!Q460</f>
        <v>45950.705972222226</v>
      </c>
      <c r="S460" t="str">
        <f>セットアップレポート!R460</f>
        <v>OP</v>
      </c>
      <c r="T460">
        <f>セットアップレポート!S460</f>
        <v>0</v>
      </c>
      <c r="U460">
        <f>セットアップレポート!T460</f>
        <v>0</v>
      </c>
      <c r="V460">
        <f>セットアップレポート!U460</f>
        <v>0</v>
      </c>
      <c r="W460">
        <f>セットアップレポート!V460</f>
        <v>0</v>
      </c>
      <c r="X460">
        <f>セットアップレポート!W460</f>
        <v>0</v>
      </c>
      <c r="Y460">
        <f>セットアップレポート!X460</f>
        <v>0</v>
      </c>
      <c r="Z460">
        <f>セットアップレポート!Y460</f>
        <v>0</v>
      </c>
      <c r="AA460">
        <f>セットアップレポート!Z460</f>
        <v>0</v>
      </c>
      <c r="AB460" t="str">
        <f>セットアップレポート!AA460</f>
        <v>NONE</v>
      </c>
      <c r="AC460">
        <f>セットアップレポート!AB460</f>
        <v>0</v>
      </c>
      <c r="AD460">
        <f>セットアップレポート!AC460</f>
        <v>0</v>
      </c>
      <c r="AE460">
        <f>セットアップレポート!AD460</f>
        <v>0</v>
      </c>
      <c r="AF460">
        <f>セットアップレポート!AE460</f>
        <v>0</v>
      </c>
      <c r="AG460">
        <f>セットアップレポート!AF460</f>
        <v>0</v>
      </c>
      <c r="AH460">
        <f>セットアップレポート!AG460</f>
        <v>0</v>
      </c>
    </row>
    <row r="461" spans="1:34" x14ac:dyDescent="0.45">
      <c r="A461" t="str">
        <f t="shared" si="7"/>
        <v>L2-NPM030030R9000035864A</v>
      </c>
      <c r="B461" t="str">
        <f>セットアップレポート!A461</f>
        <v>Line-2</v>
      </c>
      <c r="C461" t="str">
        <f>セットアップレポート!B461</f>
        <v>L2-NPM03</v>
      </c>
      <c r="D461" t="str">
        <f>セットアップレポート!C461</f>
        <v>Zone-2-NPMW-3</v>
      </c>
      <c r="E461">
        <f>セットアップレポート!D461</f>
        <v>1</v>
      </c>
      <c r="F461">
        <f>セットアップレポート!E461</f>
        <v>1</v>
      </c>
      <c r="G461" t="str">
        <f>セットアップレポート!F461</f>
        <v>10030R</v>
      </c>
      <c r="H461">
        <f>セットアップレポート!G461</f>
        <v>30</v>
      </c>
      <c r="I461" t="str">
        <f>セットアップレポート!H461</f>
        <v>R</v>
      </c>
      <c r="J461" t="str">
        <f>セットアップレポート!I461</f>
        <v>9000035864A100153</v>
      </c>
      <c r="K461" t="str">
        <f>セットアップレポート!J461</f>
        <v>9000035864A</v>
      </c>
      <c r="L461">
        <f>セットアップレポート!K461</f>
        <v>0</v>
      </c>
      <c r="M461">
        <f>セットアップレポート!L461</f>
        <v>0</v>
      </c>
      <c r="N461">
        <f>セットアップレポート!M461</f>
        <v>0</v>
      </c>
      <c r="O461">
        <f>セットアップレポート!N461</f>
        <v>0</v>
      </c>
      <c r="P461" t="str">
        <f>セットアップレポート!O461</f>
        <v>FA0201ACD051307</v>
      </c>
      <c r="Q461">
        <f>セットアップレポート!P461</f>
        <v>3000</v>
      </c>
      <c r="R461">
        <f>セットアップレポート!Q461</f>
        <v>45950.474247685182</v>
      </c>
      <c r="S461">
        <f>セットアップレポート!R461</f>
        <v>0</v>
      </c>
      <c r="T461">
        <f>セットアップレポート!S461</f>
        <v>0</v>
      </c>
      <c r="U461">
        <f>セットアップレポート!T461</f>
        <v>0</v>
      </c>
      <c r="V461">
        <f>セットアップレポート!U461</f>
        <v>0</v>
      </c>
      <c r="W461">
        <f>セットアップレポート!V461</f>
        <v>0</v>
      </c>
      <c r="X461">
        <f>セットアップレポート!W461</f>
        <v>0</v>
      </c>
      <c r="Y461">
        <f>セットアップレポート!X461</f>
        <v>0</v>
      </c>
      <c r="Z461">
        <f>セットアップレポート!Y461</f>
        <v>0</v>
      </c>
      <c r="AA461">
        <f>セットアップレポート!Z461</f>
        <v>0</v>
      </c>
      <c r="AB461" t="str">
        <f>セットアップレポート!AA461</f>
        <v>NONE</v>
      </c>
      <c r="AC461">
        <f>セットアップレポート!AB461</f>
        <v>0</v>
      </c>
      <c r="AD461">
        <f>セットアップレポート!AC461</f>
        <v>0</v>
      </c>
      <c r="AE461">
        <f>セットアップレポート!AD461</f>
        <v>0</v>
      </c>
      <c r="AF461">
        <f>セットアップレポート!AE461</f>
        <v>0</v>
      </c>
      <c r="AG461">
        <f>セットアップレポート!AF461</f>
        <v>0</v>
      </c>
      <c r="AH461">
        <f>セットアップレポート!AG461</f>
        <v>0</v>
      </c>
    </row>
    <row r="462" spans="1:34" x14ac:dyDescent="0.45">
      <c r="A462" t="str">
        <f t="shared" si="7"/>
        <v>L2-NPM030015R9000060617</v>
      </c>
      <c r="B462" t="str">
        <f>セットアップレポート!A462</f>
        <v>Line-2</v>
      </c>
      <c r="C462" t="str">
        <f>セットアップレポート!B462</f>
        <v>L2-NPM03</v>
      </c>
      <c r="D462" t="str">
        <f>セットアップレポート!C462</f>
        <v>Zone-2-NPMW-3</v>
      </c>
      <c r="E462">
        <f>セットアップレポート!D462</f>
        <v>1</v>
      </c>
      <c r="F462">
        <f>セットアップレポート!E462</f>
        <v>1</v>
      </c>
      <c r="G462" t="str">
        <f>セットアップレポート!F462</f>
        <v>20015R</v>
      </c>
      <c r="H462">
        <f>セットアップレポート!G462</f>
        <v>15</v>
      </c>
      <c r="I462" t="str">
        <f>セットアップレポート!H462</f>
        <v>R</v>
      </c>
      <c r="J462" t="str">
        <f>セットアップレポート!I462</f>
        <v>9000060617 100153</v>
      </c>
      <c r="K462">
        <f>セットアップレポート!J462</f>
        <v>9000060617</v>
      </c>
      <c r="L462">
        <f>セットアップレポート!K462</f>
        <v>0</v>
      </c>
      <c r="M462">
        <f>セットアップレポート!L462</f>
        <v>0</v>
      </c>
      <c r="N462">
        <f>セットアップレポート!M462</f>
        <v>0</v>
      </c>
      <c r="O462">
        <f>セットアップレポート!N462</f>
        <v>0</v>
      </c>
      <c r="P462" t="str">
        <f>セットアップレポート!O462</f>
        <v>FA0201ABA002596</v>
      </c>
      <c r="Q462">
        <f>セットアップレポート!P462</f>
        <v>4000</v>
      </c>
      <c r="R462">
        <f>セットアップレポート!Q462</f>
        <v>45930.453530092593</v>
      </c>
      <c r="S462">
        <f>セットアップレポート!R462</f>
        <v>0</v>
      </c>
      <c r="T462">
        <f>セットアップレポート!S462</f>
        <v>0</v>
      </c>
      <c r="U462">
        <f>セットアップレポート!T462</f>
        <v>0</v>
      </c>
      <c r="V462">
        <f>セットアップレポート!U462</f>
        <v>0</v>
      </c>
      <c r="W462">
        <f>セットアップレポート!V462</f>
        <v>0</v>
      </c>
      <c r="X462">
        <f>セットアップレポート!W462</f>
        <v>0</v>
      </c>
      <c r="Y462">
        <f>セットアップレポート!X462</f>
        <v>0</v>
      </c>
      <c r="Z462">
        <f>セットアップレポート!Y462</f>
        <v>0</v>
      </c>
      <c r="AA462">
        <f>セットアップレポート!Z462</f>
        <v>0</v>
      </c>
      <c r="AB462" t="str">
        <f>セットアップレポート!AA462</f>
        <v>NONE</v>
      </c>
      <c r="AC462">
        <f>セットアップレポート!AB462</f>
        <v>0</v>
      </c>
      <c r="AD462">
        <f>セットアップレポート!AC462</f>
        <v>0</v>
      </c>
      <c r="AE462">
        <f>セットアップレポート!AD462</f>
        <v>0</v>
      </c>
      <c r="AF462">
        <f>セットアップレポート!AE462</f>
        <v>0</v>
      </c>
      <c r="AG462">
        <f>セットアップレポート!AF462</f>
        <v>0</v>
      </c>
      <c r="AH462">
        <f>セットアップレポート!AG462</f>
        <v>0</v>
      </c>
    </row>
    <row r="463" spans="1:34" x14ac:dyDescent="0.45">
      <c r="A463" t="str">
        <f t="shared" si="7"/>
        <v>L2-NPM030029R376522A</v>
      </c>
      <c r="B463" t="str">
        <f>セットアップレポート!A463</f>
        <v>Line-2</v>
      </c>
      <c r="C463" t="str">
        <f>セットアップレポート!B463</f>
        <v>L2-NPM03</v>
      </c>
      <c r="D463" t="str">
        <f>セットアップレポート!C463</f>
        <v>Zone-2-NPMW-3</v>
      </c>
      <c r="E463">
        <f>セットアップレポート!D463</f>
        <v>1</v>
      </c>
      <c r="F463">
        <f>セットアップレポート!E463</f>
        <v>1</v>
      </c>
      <c r="G463" t="str">
        <f>セットアップレポート!F463</f>
        <v>10029R</v>
      </c>
      <c r="H463">
        <f>セットアップレポート!G463</f>
        <v>29</v>
      </c>
      <c r="I463" t="str">
        <f>セットアップレポート!H463</f>
        <v>R</v>
      </c>
      <c r="J463" t="str">
        <f>セットアップレポート!I463</f>
        <v>376522A100033</v>
      </c>
      <c r="K463" t="str">
        <f>セットアップレポート!J463</f>
        <v>376522A</v>
      </c>
      <c r="L463">
        <f>セットアップレポート!K463</f>
        <v>0</v>
      </c>
      <c r="M463">
        <f>セットアップレポート!L463</f>
        <v>0</v>
      </c>
      <c r="N463">
        <f>セットアップレポート!M463</f>
        <v>0</v>
      </c>
      <c r="O463">
        <f>セットアップレポート!N463</f>
        <v>0</v>
      </c>
      <c r="P463" t="str">
        <f>セットアップレポート!O463</f>
        <v>FA0201ABA001998</v>
      </c>
      <c r="Q463">
        <f>セットアップレポート!P463</f>
        <v>5000</v>
      </c>
      <c r="R463">
        <f>セットアップレポート!Q463</f>
        <v>45950.474236111113</v>
      </c>
      <c r="S463">
        <f>セットアップレポート!R463</f>
        <v>0</v>
      </c>
      <c r="T463">
        <f>セットアップレポート!S463</f>
        <v>0</v>
      </c>
      <c r="U463">
        <f>セットアップレポート!T463</f>
        <v>0</v>
      </c>
      <c r="V463">
        <f>セットアップレポート!U463</f>
        <v>0</v>
      </c>
      <c r="W463">
        <f>セットアップレポート!V463</f>
        <v>0</v>
      </c>
      <c r="X463">
        <f>セットアップレポート!W463</f>
        <v>0</v>
      </c>
      <c r="Y463">
        <f>セットアップレポート!X463</f>
        <v>0</v>
      </c>
      <c r="Z463">
        <f>セットアップレポート!Y463</f>
        <v>0</v>
      </c>
      <c r="AA463">
        <f>セットアップレポート!Z463</f>
        <v>0</v>
      </c>
      <c r="AB463" t="str">
        <f>セットアップレポート!AA463</f>
        <v>NONE</v>
      </c>
      <c r="AC463">
        <f>セットアップレポート!AB463</f>
        <v>0</v>
      </c>
      <c r="AD463">
        <f>セットアップレポート!AC463</f>
        <v>0</v>
      </c>
      <c r="AE463">
        <f>セットアップレポート!AD463</f>
        <v>0</v>
      </c>
      <c r="AF463">
        <f>セットアップレポート!AE463</f>
        <v>0</v>
      </c>
      <c r="AG463">
        <f>セットアップレポート!AF463</f>
        <v>0</v>
      </c>
      <c r="AH463">
        <f>セットアップレポート!AG463</f>
        <v>0</v>
      </c>
    </row>
    <row r="464" spans="1:34" x14ac:dyDescent="0.45">
      <c r="A464" t="str">
        <f t="shared" si="7"/>
        <v>L2-NPM030028R667182A</v>
      </c>
      <c r="B464" t="str">
        <f>セットアップレポート!A464</f>
        <v>Line-2</v>
      </c>
      <c r="C464" t="str">
        <f>セットアップレポート!B464</f>
        <v>L2-NPM03</v>
      </c>
      <c r="D464" t="str">
        <f>セットアップレポート!C464</f>
        <v>Zone-2-NPMW-3</v>
      </c>
      <c r="E464">
        <f>セットアップレポート!D464</f>
        <v>1</v>
      </c>
      <c r="F464">
        <f>セットアップレポート!E464</f>
        <v>1</v>
      </c>
      <c r="G464" t="str">
        <f>セットアップレポート!F464</f>
        <v>10028R</v>
      </c>
      <c r="H464">
        <f>セットアップレポート!G464</f>
        <v>28</v>
      </c>
      <c r="I464" t="str">
        <f>セットアップレポート!H464</f>
        <v>R</v>
      </c>
      <c r="J464" t="str">
        <f>セットアップレポート!I464</f>
        <v>667182A100116</v>
      </c>
      <c r="K464" t="str">
        <f>セットアップレポート!J464</f>
        <v>667182A</v>
      </c>
      <c r="L464">
        <f>セットアップレポート!K464</f>
        <v>0</v>
      </c>
      <c r="M464">
        <f>セットアップレポート!L464</f>
        <v>0</v>
      </c>
      <c r="N464">
        <f>セットアップレポート!M464</f>
        <v>0</v>
      </c>
      <c r="O464">
        <f>セットアップレポート!N464</f>
        <v>0</v>
      </c>
      <c r="P464" t="str">
        <f>セットアップレポート!O464</f>
        <v>FA0201ACD051092</v>
      </c>
      <c r="Q464">
        <f>セットアップレポート!P464</f>
        <v>5000</v>
      </c>
      <c r="R464">
        <f>セットアップレポート!Q464</f>
        <v>45930.45349537037</v>
      </c>
      <c r="S464">
        <f>セットアップレポート!R464</f>
        <v>0</v>
      </c>
      <c r="T464">
        <f>セットアップレポート!S464</f>
        <v>0</v>
      </c>
      <c r="U464">
        <f>セットアップレポート!T464</f>
        <v>0</v>
      </c>
      <c r="V464">
        <f>セットアップレポート!U464</f>
        <v>0</v>
      </c>
      <c r="W464">
        <f>セットアップレポート!V464</f>
        <v>0</v>
      </c>
      <c r="X464">
        <f>セットアップレポート!W464</f>
        <v>0</v>
      </c>
      <c r="Y464">
        <f>セットアップレポート!X464</f>
        <v>0</v>
      </c>
      <c r="Z464">
        <f>セットアップレポート!Y464</f>
        <v>0</v>
      </c>
      <c r="AA464">
        <f>セットアップレポート!Z464</f>
        <v>0</v>
      </c>
      <c r="AB464" t="str">
        <f>セットアップレポート!AA464</f>
        <v>NONE</v>
      </c>
      <c r="AC464">
        <f>セットアップレポート!AB464</f>
        <v>0</v>
      </c>
      <c r="AD464">
        <f>セットアップレポート!AC464</f>
        <v>0</v>
      </c>
      <c r="AE464">
        <f>セットアップレポート!AD464</f>
        <v>0</v>
      </c>
      <c r="AF464">
        <f>セットアップレポート!AE464</f>
        <v>0</v>
      </c>
      <c r="AG464">
        <f>セットアップレポート!AF464</f>
        <v>0</v>
      </c>
      <c r="AH464">
        <f>セットアップレポート!AG464</f>
        <v>0</v>
      </c>
    </row>
    <row r="465" spans="1:34" x14ac:dyDescent="0.45">
      <c r="A465" t="str">
        <f t="shared" si="7"/>
        <v>L2-NPM030011R9000070440</v>
      </c>
      <c r="B465" t="str">
        <f>セットアップレポート!A465</f>
        <v>Line-2</v>
      </c>
      <c r="C465" t="str">
        <f>セットアップレポート!B465</f>
        <v>L2-NPM03</v>
      </c>
      <c r="D465" t="str">
        <f>セットアップレポート!C465</f>
        <v>Zone-2-NPMW-3</v>
      </c>
      <c r="E465">
        <f>セットアップレポート!D465</f>
        <v>1</v>
      </c>
      <c r="F465">
        <f>セットアップレポート!E465</f>
        <v>1</v>
      </c>
      <c r="G465" t="str">
        <f>セットアップレポート!F465</f>
        <v>20011R</v>
      </c>
      <c r="H465">
        <f>セットアップレポート!G465</f>
        <v>11</v>
      </c>
      <c r="I465" t="str">
        <f>セットアップレポート!H465</f>
        <v>R</v>
      </c>
      <c r="J465" t="str">
        <f>セットアップレポート!I465</f>
        <v>9000070440 100001</v>
      </c>
      <c r="K465">
        <f>セットアップレポート!J465</f>
        <v>9000070440</v>
      </c>
      <c r="L465">
        <f>セットアップレポート!K465</f>
        <v>0</v>
      </c>
      <c r="M465">
        <f>セットアップレポート!L465</f>
        <v>0</v>
      </c>
      <c r="N465">
        <f>セットアップレポート!M465</f>
        <v>0</v>
      </c>
      <c r="O465">
        <f>セットアップレポート!N465</f>
        <v>0</v>
      </c>
      <c r="P465" t="str">
        <f>セットアップレポート!O465</f>
        <v>FA0201ACD051395</v>
      </c>
      <c r="Q465">
        <f>セットアップレポート!P465</f>
        <v>1000</v>
      </c>
      <c r="R465">
        <f>セットアップレポート!Q465</f>
        <v>45950.474247685182</v>
      </c>
      <c r="S465">
        <f>セットアップレポート!R465</f>
        <v>0</v>
      </c>
      <c r="T465" t="str">
        <f>セットアップレポート!S465</f>
        <v>Yes</v>
      </c>
      <c r="U465">
        <f>セットアップレポート!T465</f>
        <v>0</v>
      </c>
      <c r="V465" t="str">
        <f>セットアップレポート!U465</f>
        <v>9000070440 100004</v>
      </c>
      <c r="W465">
        <f>セットアップレポート!V465</f>
        <v>0</v>
      </c>
      <c r="X465">
        <f>セットアップレポート!W465</f>
        <v>0</v>
      </c>
      <c r="Y465">
        <f>セットアップレポート!X465</f>
        <v>0</v>
      </c>
      <c r="Z465">
        <f>セットアップレポート!Y465</f>
        <v>0</v>
      </c>
      <c r="AA465">
        <f>セットアップレポート!Z465</f>
        <v>0</v>
      </c>
      <c r="AB465" t="str">
        <f>セットアップレポート!AA465</f>
        <v>NONE</v>
      </c>
      <c r="AC465">
        <f>セットアップレポート!AB465</f>
        <v>0</v>
      </c>
      <c r="AD465">
        <f>セットアップレポート!AC465</f>
        <v>0</v>
      </c>
      <c r="AE465">
        <f>セットアップレポート!AD465</f>
        <v>0</v>
      </c>
      <c r="AF465">
        <f>セットアップレポート!AE465</f>
        <v>0</v>
      </c>
      <c r="AG465">
        <f>セットアップレポート!AF465</f>
        <v>0</v>
      </c>
      <c r="AH465">
        <f>セットアップレポート!AG465</f>
        <v>0</v>
      </c>
    </row>
    <row r="466" spans="1:34" x14ac:dyDescent="0.45">
      <c r="A466" t="str">
        <f t="shared" si="7"/>
        <v>L2-NPM030026R668662A</v>
      </c>
      <c r="B466" t="str">
        <f>セットアップレポート!A466</f>
        <v>Line-2</v>
      </c>
      <c r="C466" t="str">
        <f>セットアップレポート!B466</f>
        <v>L2-NPM03</v>
      </c>
      <c r="D466" t="str">
        <f>セットアップレポート!C466</f>
        <v>Zone-2-NPMW-3</v>
      </c>
      <c r="E466">
        <f>セットアップレポート!D466</f>
        <v>1</v>
      </c>
      <c r="F466">
        <f>セットアップレポート!E466</f>
        <v>1</v>
      </c>
      <c r="G466" t="str">
        <f>セットアップレポート!F466</f>
        <v>10026R</v>
      </c>
      <c r="H466">
        <f>セットアップレポート!G466</f>
        <v>26</v>
      </c>
      <c r="I466" t="str">
        <f>セットアップレポート!H466</f>
        <v>R</v>
      </c>
      <c r="J466" t="str">
        <f>セットアップレポート!I466</f>
        <v>668662A100047</v>
      </c>
      <c r="K466" t="str">
        <f>セットアップレポート!J466</f>
        <v>668662A</v>
      </c>
      <c r="L466">
        <f>セットアップレポート!K466</f>
        <v>0</v>
      </c>
      <c r="M466">
        <f>セットアップレポート!L466</f>
        <v>0</v>
      </c>
      <c r="N466">
        <f>セットアップレポート!M466</f>
        <v>0</v>
      </c>
      <c r="O466">
        <f>セットアップレポート!N466</f>
        <v>0</v>
      </c>
      <c r="P466" t="str">
        <f>セットアップレポート!O466</f>
        <v>FA0201ABD000438</v>
      </c>
      <c r="Q466">
        <f>セットアップレポート!P466</f>
        <v>5000</v>
      </c>
      <c r="R466">
        <f>セットアップレポート!Q466</f>
        <v>45950.474236111113</v>
      </c>
      <c r="S466">
        <f>セットアップレポート!R466</f>
        <v>0</v>
      </c>
      <c r="T466">
        <f>セットアップレポート!S466</f>
        <v>0</v>
      </c>
      <c r="U466">
        <f>セットアップレポート!T466</f>
        <v>0</v>
      </c>
      <c r="V466">
        <f>セットアップレポート!U466</f>
        <v>0</v>
      </c>
      <c r="W466">
        <f>セットアップレポート!V466</f>
        <v>0</v>
      </c>
      <c r="X466">
        <f>セットアップレポート!W466</f>
        <v>0</v>
      </c>
      <c r="Y466">
        <f>セットアップレポート!X466</f>
        <v>0</v>
      </c>
      <c r="Z466">
        <f>セットアップレポート!Y466</f>
        <v>0</v>
      </c>
      <c r="AA466">
        <f>セットアップレポート!Z466</f>
        <v>0</v>
      </c>
      <c r="AB466" t="str">
        <f>セットアップレポート!AA466</f>
        <v>NONE</v>
      </c>
      <c r="AC466">
        <f>セットアップレポート!AB466</f>
        <v>0</v>
      </c>
      <c r="AD466">
        <f>セットアップレポート!AC466</f>
        <v>0</v>
      </c>
      <c r="AE466">
        <f>セットアップレポート!AD466</f>
        <v>0</v>
      </c>
      <c r="AF466">
        <f>セットアップレポート!AE466</f>
        <v>0</v>
      </c>
      <c r="AG466">
        <f>セットアップレポート!AF466</f>
        <v>0</v>
      </c>
      <c r="AH466">
        <f>セットアップレポート!AG466</f>
        <v>0</v>
      </c>
    </row>
    <row r="467" spans="1:34" x14ac:dyDescent="0.45">
      <c r="A467" t="str">
        <f t="shared" si="7"/>
        <v>L2-NPM030027R661606</v>
      </c>
      <c r="B467" t="str">
        <f>セットアップレポート!A467</f>
        <v>Line-2</v>
      </c>
      <c r="C467" t="str">
        <f>セットアップレポート!B467</f>
        <v>L2-NPM03</v>
      </c>
      <c r="D467" t="str">
        <f>セットアップレポート!C467</f>
        <v>Zone-2-NPMW-3</v>
      </c>
      <c r="E467">
        <f>セットアップレポート!D467</f>
        <v>1</v>
      </c>
      <c r="F467">
        <f>セットアップレポート!E467</f>
        <v>1</v>
      </c>
      <c r="G467" t="str">
        <f>セットアップレポート!F467</f>
        <v>10027R</v>
      </c>
      <c r="H467">
        <f>セットアップレポート!G467</f>
        <v>27</v>
      </c>
      <c r="I467" t="str">
        <f>セットアップレポート!H467</f>
        <v>R</v>
      </c>
      <c r="J467" t="str">
        <f>セットアップレポート!I467</f>
        <v>661606 100059</v>
      </c>
      <c r="K467">
        <f>セットアップレポート!J467</f>
        <v>661606</v>
      </c>
      <c r="L467">
        <f>セットアップレポート!K467</f>
        <v>0</v>
      </c>
      <c r="M467">
        <f>セットアップレポート!L467</f>
        <v>0</v>
      </c>
      <c r="N467">
        <f>セットアップレポート!M467</f>
        <v>0</v>
      </c>
      <c r="O467">
        <f>セットアップレポート!N467</f>
        <v>0</v>
      </c>
      <c r="P467" t="str">
        <f>セットアップレポート!O467</f>
        <v>FA0201ABA002073</v>
      </c>
      <c r="Q467">
        <f>セットアップレポート!P467</f>
        <v>4000</v>
      </c>
      <c r="R467">
        <f>セットアップレポート!Q467</f>
        <v>45930.453483796293</v>
      </c>
      <c r="S467">
        <f>セットアップレポート!R467</f>
        <v>0</v>
      </c>
      <c r="T467">
        <f>セットアップレポート!S467</f>
        <v>0</v>
      </c>
      <c r="U467">
        <f>セットアップレポート!T467</f>
        <v>0</v>
      </c>
      <c r="V467">
        <f>セットアップレポート!U467</f>
        <v>0</v>
      </c>
      <c r="W467">
        <f>セットアップレポート!V467</f>
        <v>0</v>
      </c>
      <c r="X467">
        <f>セットアップレポート!W467</f>
        <v>0</v>
      </c>
      <c r="Y467">
        <f>セットアップレポート!X467</f>
        <v>0</v>
      </c>
      <c r="Z467">
        <f>セットアップレポート!Y467</f>
        <v>0</v>
      </c>
      <c r="AA467">
        <f>セットアップレポート!Z467</f>
        <v>0</v>
      </c>
      <c r="AB467" t="str">
        <f>セットアップレポート!AA467</f>
        <v>NONE</v>
      </c>
      <c r="AC467">
        <f>セットアップレポート!AB467</f>
        <v>0</v>
      </c>
      <c r="AD467">
        <f>セットアップレポート!AC467</f>
        <v>0</v>
      </c>
      <c r="AE467">
        <f>セットアップレポート!AD467</f>
        <v>0</v>
      </c>
      <c r="AF467">
        <f>セットアップレポート!AE467</f>
        <v>0</v>
      </c>
      <c r="AG467">
        <f>セットアップレポート!AF467</f>
        <v>0</v>
      </c>
      <c r="AH467">
        <f>セットアップレポート!AG467</f>
        <v>0</v>
      </c>
    </row>
    <row r="468" spans="1:34" x14ac:dyDescent="0.45">
      <c r="A468" t="str">
        <f t="shared" si="7"/>
        <v>L2-NPM030025R919392</v>
      </c>
      <c r="B468" t="str">
        <f>セットアップレポート!A468</f>
        <v>Line-2</v>
      </c>
      <c r="C468" t="str">
        <f>セットアップレポート!B468</f>
        <v>L2-NPM03</v>
      </c>
      <c r="D468" t="str">
        <f>セットアップレポート!C468</f>
        <v>Zone-2-NPMW-3</v>
      </c>
      <c r="E468">
        <f>セットアップレポート!D468</f>
        <v>1</v>
      </c>
      <c r="F468">
        <f>セットアップレポート!E468</f>
        <v>1</v>
      </c>
      <c r="G468" t="str">
        <f>セットアップレポート!F468</f>
        <v>10025R</v>
      </c>
      <c r="H468">
        <f>セットアップレポート!G468</f>
        <v>25</v>
      </c>
      <c r="I468" t="str">
        <f>セットアップレポート!H468</f>
        <v>R</v>
      </c>
      <c r="J468" t="str">
        <f>セットアップレポート!I468</f>
        <v>919392 100414</v>
      </c>
      <c r="K468">
        <f>セットアップレポート!J468</f>
        <v>919392</v>
      </c>
      <c r="L468">
        <f>セットアップレポート!K468</f>
        <v>0</v>
      </c>
      <c r="M468">
        <f>セットアップレポート!L468</f>
        <v>0</v>
      </c>
      <c r="N468">
        <f>セットアップレポート!M468</f>
        <v>0</v>
      </c>
      <c r="O468">
        <f>セットアップレポート!N468</f>
        <v>0</v>
      </c>
      <c r="P468" t="str">
        <f>セットアップレポート!O468</f>
        <v>FA0201ABA002809</v>
      </c>
      <c r="Q468">
        <f>セットアップレポート!P468</f>
        <v>5000</v>
      </c>
      <c r="R468">
        <f>セットアップレポート!Q468</f>
        <v>45950.474236111113</v>
      </c>
      <c r="S468">
        <f>セットアップレポート!R468</f>
        <v>0</v>
      </c>
      <c r="T468">
        <f>セットアップレポート!S468</f>
        <v>0</v>
      </c>
      <c r="U468">
        <f>セットアップレポート!T468</f>
        <v>0</v>
      </c>
      <c r="V468">
        <f>セットアップレポート!U468</f>
        <v>0</v>
      </c>
      <c r="W468">
        <f>セットアップレポート!V468</f>
        <v>0</v>
      </c>
      <c r="X468">
        <f>セットアップレポート!W468</f>
        <v>0</v>
      </c>
      <c r="Y468">
        <f>セットアップレポート!X468</f>
        <v>0</v>
      </c>
      <c r="Z468">
        <f>セットアップレポート!Y468</f>
        <v>0</v>
      </c>
      <c r="AA468">
        <f>セットアップレポート!Z468</f>
        <v>0</v>
      </c>
      <c r="AB468" t="str">
        <f>セットアップレポート!AA468</f>
        <v>NONE</v>
      </c>
      <c r="AC468">
        <f>セットアップレポート!AB468</f>
        <v>0</v>
      </c>
      <c r="AD468">
        <f>セットアップレポート!AC468</f>
        <v>0</v>
      </c>
      <c r="AE468">
        <f>セットアップレポート!AD468</f>
        <v>0</v>
      </c>
      <c r="AF468">
        <f>セットアップレポート!AE468</f>
        <v>0</v>
      </c>
      <c r="AG468">
        <f>セットアップレポート!AF468</f>
        <v>0</v>
      </c>
      <c r="AH468">
        <f>セットアップレポート!AG468</f>
        <v>0</v>
      </c>
    </row>
    <row r="469" spans="1:34" x14ac:dyDescent="0.45">
      <c r="A469" t="str">
        <f t="shared" si="7"/>
        <v>L2-NPM030024R578937A</v>
      </c>
      <c r="B469" t="str">
        <f>セットアップレポート!A469</f>
        <v>Line-2</v>
      </c>
      <c r="C469" t="str">
        <f>セットアップレポート!B469</f>
        <v>L2-NPM03</v>
      </c>
      <c r="D469" t="str">
        <f>セットアップレポート!C469</f>
        <v>Zone-2-NPMW-3</v>
      </c>
      <c r="E469">
        <f>セットアップレポート!D469</f>
        <v>1</v>
      </c>
      <c r="F469">
        <f>セットアップレポート!E469</f>
        <v>1</v>
      </c>
      <c r="G469" t="str">
        <f>セットアップレポート!F469</f>
        <v>10024R</v>
      </c>
      <c r="H469">
        <f>セットアップレポート!G469</f>
        <v>24</v>
      </c>
      <c r="I469" t="str">
        <f>セットアップレポート!H469</f>
        <v>R</v>
      </c>
      <c r="J469" t="str">
        <f>セットアップレポート!I469</f>
        <v>578937A100044</v>
      </c>
      <c r="K469" t="str">
        <f>セットアップレポート!J469</f>
        <v>578937A</v>
      </c>
      <c r="L469">
        <f>セットアップレポート!K469</f>
        <v>0</v>
      </c>
      <c r="M469">
        <f>セットアップレポート!L469</f>
        <v>0</v>
      </c>
      <c r="N469">
        <f>セットアップレポート!M469</f>
        <v>0</v>
      </c>
      <c r="O469">
        <f>セットアップレポート!N469</f>
        <v>0</v>
      </c>
      <c r="P469" t="str">
        <f>セットアップレポート!O469</f>
        <v>FA0201ABA002482</v>
      </c>
      <c r="Q469">
        <f>セットアップレポート!P469</f>
        <v>5000</v>
      </c>
      <c r="R469">
        <f>セットアップレポート!Q469</f>
        <v>45950.474236111113</v>
      </c>
      <c r="S469">
        <f>セットアップレポート!R469</f>
        <v>0</v>
      </c>
      <c r="T469">
        <f>セットアップレポート!S469</f>
        <v>0</v>
      </c>
      <c r="U469">
        <f>セットアップレポート!T469</f>
        <v>0</v>
      </c>
      <c r="V469">
        <f>セットアップレポート!U469</f>
        <v>0</v>
      </c>
      <c r="W469">
        <f>セットアップレポート!V469</f>
        <v>0</v>
      </c>
      <c r="X469">
        <f>セットアップレポート!W469</f>
        <v>0</v>
      </c>
      <c r="Y469">
        <f>セットアップレポート!X469</f>
        <v>0</v>
      </c>
      <c r="Z469">
        <f>セットアップレポート!Y469</f>
        <v>0</v>
      </c>
      <c r="AA469">
        <f>セットアップレポート!Z469</f>
        <v>0</v>
      </c>
      <c r="AB469" t="str">
        <f>セットアップレポート!AA469</f>
        <v>NONE</v>
      </c>
      <c r="AC469">
        <f>セットアップレポート!AB469</f>
        <v>0</v>
      </c>
      <c r="AD469">
        <f>セットアップレポート!AC469</f>
        <v>0</v>
      </c>
      <c r="AE469">
        <f>セットアップレポート!AD469</f>
        <v>0</v>
      </c>
      <c r="AF469">
        <f>セットアップレポート!AE469</f>
        <v>0</v>
      </c>
      <c r="AG469">
        <f>セットアップレポート!AF469</f>
        <v>0</v>
      </c>
      <c r="AH469">
        <f>セットアップレポート!AG469</f>
        <v>0</v>
      </c>
    </row>
    <row r="470" spans="1:34" x14ac:dyDescent="0.45">
      <c r="A470" t="str">
        <f t="shared" si="7"/>
        <v>L2-NPM030023R9000031021</v>
      </c>
      <c r="B470" t="str">
        <f>セットアップレポート!A470</f>
        <v>Line-2</v>
      </c>
      <c r="C470" t="str">
        <f>セットアップレポート!B470</f>
        <v>L2-NPM03</v>
      </c>
      <c r="D470" t="str">
        <f>セットアップレポート!C470</f>
        <v>Zone-2-NPMW-3</v>
      </c>
      <c r="E470">
        <f>セットアップレポート!D470</f>
        <v>1</v>
      </c>
      <c r="F470">
        <f>セットアップレポート!E470</f>
        <v>1</v>
      </c>
      <c r="G470" t="str">
        <f>セットアップレポート!F470</f>
        <v>10023R</v>
      </c>
      <c r="H470">
        <f>セットアップレポート!G470</f>
        <v>23</v>
      </c>
      <c r="I470" t="str">
        <f>セットアップレポート!H470</f>
        <v>R</v>
      </c>
      <c r="J470" t="str">
        <f>セットアップレポート!I470</f>
        <v>9000031021 100914</v>
      </c>
      <c r="K470">
        <f>セットアップレポート!J470</f>
        <v>9000031021</v>
      </c>
      <c r="L470">
        <f>セットアップレポート!K470</f>
        <v>0</v>
      </c>
      <c r="M470">
        <f>セットアップレポート!L470</f>
        <v>0</v>
      </c>
      <c r="N470">
        <f>セットアップレポート!M470</f>
        <v>0</v>
      </c>
      <c r="O470">
        <f>セットアップレポート!N470</f>
        <v>0</v>
      </c>
      <c r="P470" t="str">
        <f>セットアップレポート!O470</f>
        <v>FA0201ACD051419</v>
      </c>
      <c r="Q470">
        <f>セットアップレポート!P470</f>
        <v>3000</v>
      </c>
      <c r="R470">
        <f>セットアップレポート!Q470</f>
        <v>45950.474236111113</v>
      </c>
      <c r="S470">
        <f>セットアップレポート!R470</f>
        <v>0</v>
      </c>
      <c r="T470">
        <f>セットアップレポート!S470</f>
        <v>0</v>
      </c>
      <c r="U470">
        <f>セットアップレポート!T470</f>
        <v>0</v>
      </c>
      <c r="V470">
        <f>セットアップレポート!U470</f>
        <v>0</v>
      </c>
      <c r="W470">
        <f>セットアップレポート!V470</f>
        <v>0</v>
      </c>
      <c r="X470">
        <f>セットアップレポート!W470</f>
        <v>0</v>
      </c>
      <c r="Y470">
        <f>セットアップレポート!X470</f>
        <v>0</v>
      </c>
      <c r="Z470">
        <f>セットアップレポート!Y470</f>
        <v>0</v>
      </c>
      <c r="AA470">
        <f>セットアップレポート!Z470</f>
        <v>0</v>
      </c>
      <c r="AB470" t="str">
        <f>セットアップレポート!AA470</f>
        <v>NONE</v>
      </c>
      <c r="AC470">
        <f>セットアップレポート!AB470</f>
        <v>0</v>
      </c>
      <c r="AD470">
        <f>セットアップレポート!AC470</f>
        <v>0</v>
      </c>
      <c r="AE470">
        <f>セットアップレポート!AD470</f>
        <v>0</v>
      </c>
      <c r="AF470">
        <f>セットアップレポート!AE470</f>
        <v>0</v>
      </c>
      <c r="AG470">
        <f>セットアップレポート!AF470</f>
        <v>0</v>
      </c>
      <c r="AH470">
        <f>セットアップレポート!AG470</f>
        <v>0</v>
      </c>
    </row>
    <row r="471" spans="1:34" x14ac:dyDescent="0.45">
      <c r="A471" t="str">
        <f t="shared" si="7"/>
        <v>L2-NPM030022R9000025394</v>
      </c>
      <c r="B471" t="str">
        <f>セットアップレポート!A471</f>
        <v>Line-2</v>
      </c>
      <c r="C471" t="str">
        <f>セットアップレポート!B471</f>
        <v>L2-NPM03</v>
      </c>
      <c r="D471" t="str">
        <f>セットアップレポート!C471</f>
        <v>Zone-2-NPMW-3</v>
      </c>
      <c r="E471">
        <f>セットアップレポート!D471</f>
        <v>1</v>
      </c>
      <c r="F471">
        <f>セットアップレポート!E471</f>
        <v>1</v>
      </c>
      <c r="G471" t="str">
        <f>セットアップレポート!F471</f>
        <v>10022R</v>
      </c>
      <c r="H471">
        <f>セットアップレポート!G471</f>
        <v>22</v>
      </c>
      <c r="I471" t="str">
        <f>セットアップレポート!H471</f>
        <v>R</v>
      </c>
      <c r="J471" t="str">
        <f>セットアップレポート!I471</f>
        <v>9000025394 101875</v>
      </c>
      <c r="K471">
        <f>セットアップレポート!J471</f>
        <v>9000025394</v>
      </c>
      <c r="L471">
        <f>セットアップレポート!K471</f>
        <v>0</v>
      </c>
      <c r="M471">
        <f>セットアップレポート!L471</f>
        <v>0</v>
      </c>
      <c r="N471">
        <f>セットアップレポート!M471</f>
        <v>0</v>
      </c>
      <c r="O471">
        <f>セットアップレポート!N471</f>
        <v>0</v>
      </c>
      <c r="P471" t="str">
        <f>セットアップレポート!O471</f>
        <v>FA0201ABD000629</v>
      </c>
      <c r="Q471">
        <f>セットアップレポート!P471</f>
        <v>4000</v>
      </c>
      <c r="R471">
        <f>セットアップレポート!Q471</f>
        <v>45950.474236111113</v>
      </c>
      <c r="S471">
        <f>セットアップレポート!R471</f>
        <v>0</v>
      </c>
      <c r="T471">
        <f>セットアップレポート!S471</f>
        <v>0</v>
      </c>
      <c r="U471">
        <f>セットアップレポート!T471</f>
        <v>0</v>
      </c>
      <c r="V471">
        <f>セットアップレポート!U471</f>
        <v>0</v>
      </c>
      <c r="W471">
        <f>セットアップレポート!V471</f>
        <v>0</v>
      </c>
      <c r="X471">
        <f>セットアップレポート!W471</f>
        <v>0</v>
      </c>
      <c r="Y471">
        <f>セットアップレポート!X471</f>
        <v>0</v>
      </c>
      <c r="Z471">
        <f>セットアップレポート!Y471</f>
        <v>0</v>
      </c>
      <c r="AA471">
        <f>セットアップレポート!Z471</f>
        <v>0</v>
      </c>
      <c r="AB471" t="str">
        <f>セットアップレポート!AA471</f>
        <v>NONE</v>
      </c>
      <c r="AC471">
        <f>セットアップレポート!AB471</f>
        <v>0</v>
      </c>
      <c r="AD471">
        <f>セットアップレポート!AC471</f>
        <v>0</v>
      </c>
      <c r="AE471">
        <f>セットアップレポート!AD471</f>
        <v>0</v>
      </c>
      <c r="AF471">
        <f>セットアップレポート!AE471</f>
        <v>0</v>
      </c>
      <c r="AG471">
        <f>セットアップレポート!AF471</f>
        <v>0</v>
      </c>
      <c r="AH471">
        <f>セットアップレポート!AG471</f>
        <v>0</v>
      </c>
    </row>
    <row r="472" spans="1:34" x14ac:dyDescent="0.45">
      <c r="A472" t="str">
        <f t="shared" si="7"/>
        <v>L2-NPM030021R9000069185</v>
      </c>
      <c r="B472" t="str">
        <f>セットアップレポート!A472</f>
        <v>Line-2</v>
      </c>
      <c r="C472" t="str">
        <f>セットアップレポート!B472</f>
        <v>L2-NPM03</v>
      </c>
      <c r="D472" t="str">
        <f>セットアップレポート!C472</f>
        <v>Zone-2-NPMW-3</v>
      </c>
      <c r="E472">
        <f>セットアップレポート!D472</f>
        <v>1</v>
      </c>
      <c r="F472">
        <f>セットアップレポート!E472</f>
        <v>1</v>
      </c>
      <c r="G472" t="str">
        <f>セットアップレポート!F472</f>
        <v>10021R</v>
      </c>
      <c r="H472">
        <f>セットアップレポート!G472</f>
        <v>21</v>
      </c>
      <c r="I472" t="str">
        <f>セットアップレポート!H472</f>
        <v>R</v>
      </c>
      <c r="J472" t="str">
        <f>セットアップレポート!I472</f>
        <v>9000069185 100026</v>
      </c>
      <c r="K472">
        <f>セットアップレポート!J472</f>
        <v>9000069185</v>
      </c>
      <c r="L472">
        <f>セットアップレポート!K472</f>
        <v>0</v>
      </c>
      <c r="M472">
        <f>セットアップレポート!L472</f>
        <v>0</v>
      </c>
      <c r="N472">
        <f>セットアップレポート!M472</f>
        <v>0</v>
      </c>
      <c r="O472">
        <f>セットアップレポート!N472</f>
        <v>0</v>
      </c>
      <c r="P472" t="str">
        <f>セットアップレポート!O472</f>
        <v>FA0201ABD000217</v>
      </c>
      <c r="Q472">
        <f>セットアップレポート!P472</f>
        <v>10000</v>
      </c>
      <c r="R472">
        <f>セットアップレポート!Q472</f>
        <v>45950.474236111113</v>
      </c>
      <c r="S472">
        <f>セットアップレポート!R472</f>
        <v>0</v>
      </c>
      <c r="T472">
        <f>セットアップレポート!S472</f>
        <v>0</v>
      </c>
      <c r="U472">
        <f>セットアップレポート!T472</f>
        <v>0</v>
      </c>
      <c r="V472">
        <f>セットアップレポート!U472</f>
        <v>0</v>
      </c>
      <c r="W472">
        <f>セットアップレポート!V472</f>
        <v>0</v>
      </c>
      <c r="X472">
        <f>セットアップレポート!W472</f>
        <v>0</v>
      </c>
      <c r="Y472">
        <f>セットアップレポート!X472</f>
        <v>0</v>
      </c>
      <c r="Z472">
        <f>セットアップレポート!Y472</f>
        <v>0</v>
      </c>
      <c r="AA472">
        <f>セットアップレポート!Z472</f>
        <v>0</v>
      </c>
      <c r="AB472" t="str">
        <f>セットアップレポート!AA472</f>
        <v>NONE</v>
      </c>
      <c r="AC472">
        <f>セットアップレポート!AB472</f>
        <v>0</v>
      </c>
      <c r="AD472">
        <f>セットアップレポート!AC472</f>
        <v>0</v>
      </c>
      <c r="AE472">
        <f>セットアップレポート!AD472</f>
        <v>0</v>
      </c>
      <c r="AF472">
        <f>セットアップレポート!AE472</f>
        <v>0</v>
      </c>
      <c r="AG472">
        <f>セットアップレポート!AF472</f>
        <v>0</v>
      </c>
      <c r="AH472">
        <f>セットアップレポート!AG472</f>
        <v>0</v>
      </c>
    </row>
    <row r="473" spans="1:34" x14ac:dyDescent="0.45">
      <c r="A473" t="str">
        <f t="shared" si="7"/>
        <v>L2-NPM030020R687454</v>
      </c>
      <c r="B473" t="str">
        <f>セットアップレポート!A473</f>
        <v>Line-2</v>
      </c>
      <c r="C473" t="str">
        <f>セットアップレポート!B473</f>
        <v>L2-NPM03</v>
      </c>
      <c r="D473" t="str">
        <f>セットアップレポート!C473</f>
        <v>Zone-2-NPMW-3</v>
      </c>
      <c r="E473">
        <f>セットアップレポート!D473</f>
        <v>1</v>
      </c>
      <c r="F473">
        <f>セットアップレポート!E473</f>
        <v>1</v>
      </c>
      <c r="G473" t="str">
        <f>セットアップレポート!F473</f>
        <v>10020R</v>
      </c>
      <c r="H473">
        <f>セットアップレポート!G473</f>
        <v>20</v>
      </c>
      <c r="I473" t="str">
        <f>セットアップレポート!H473</f>
        <v>R</v>
      </c>
      <c r="J473" t="str">
        <f>セットアップレポート!I473</f>
        <v>687454 100359</v>
      </c>
      <c r="K473">
        <f>セットアップレポート!J473</f>
        <v>687454</v>
      </c>
      <c r="L473">
        <f>セットアップレポート!K473</f>
        <v>0</v>
      </c>
      <c r="M473">
        <f>セットアップレポート!L473</f>
        <v>0</v>
      </c>
      <c r="N473">
        <f>セットアップレポート!M473</f>
        <v>0</v>
      </c>
      <c r="O473">
        <f>セットアップレポート!N473</f>
        <v>0</v>
      </c>
      <c r="P473" t="str">
        <f>セットアップレポート!O473</f>
        <v>FA0201ACD051134</v>
      </c>
      <c r="Q473">
        <f>セットアップレポート!P473</f>
        <v>3000</v>
      </c>
      <c r="R473">
        <f>セットアップレポート!Q473</f>
        <v>45950.474236111113</v>
      </c>
      <c r="S473" t="str">
        <f>セットアップレポート!R473</f>
        <v>sato kuniyoshi</v>
      </c>
      <c r="T473">
        <f>セットアップレポート!S473</f>
        <v>0</v>
      </c>
      <c r="U473">
        <f>セットアップレポート!T473</f>
        <v>0</v>
      </c>
      <c r="V473">
        <f>セットアップレポート!U473</f>
        <v>0</v>
      </c>
      <c r="W473">
        <f>セットアップレポート!V473</f>
        <v>0</v>
      </c>
      <c r="X473">
        <f>セットアップレポート!W473</f>
        <v>0</v>
      </c>
      <c r="Y473">
        <f>セットアップレポート!X473</f>
        <v>0</v>
      </c>
      <c r="Z473">
        <f>セットアップレポート!Y473</f>
        <v>0</v>
      </c>
      <c r="AA473">
        <f>セットアップレポート!Z473</f>
        <v>0</v>
      </c>
      <c r="AB473" t="str">
        <f>セットアップレポート!AA473</f>
        <v>NONE</v>
      </c>
      <c r="AC473">
        <f>セットアップレポート!AB473</f>
        <v>0</v>
      </c>
      <c r="AD473">
        <f>セットアップレポート!AC473</f>
        <v>0</v>
      </c>
      <c r="AE473">
        <f>セットアップレポート!AD473</f>
        <v>0</v>
      </c>
      <c r="AF473">
        <f>セットアップレポート!AE473</f>
        <v>0</v>
      </c>
      <c r="AG473">
        <f>セットアップレポート!AF473</f>
        <v>0</v>
      </c>
      <c r="AH473">
        <f>セットアップレポート!AG473</f>
        <v>0</v>
      </c>
    </row>
    <row r="474" spans="1:34" x14ac:dyDescent="0.45">
      <c r="A474" t="str">
        <f t="shared" si="7"/>
        <v>L2-NPM030019R9000066596</v>
      </c>
      <c r="B474" t="str">
        <f>セットアップレポート!A474</f>
        <v>Line-2</v>
      </c>
      <c r="C474" t="str">
        <f>セットアップレポート!B474</f>
        <v>L2-NPM03</v>
      </c>
      <c r="D474" t="str">
        <f>セットアップレポート!C474</f>
        <v>Zone-2-NPMW-3</v>
      </c>
      <c r="E474">
        <f>セットアップレポート!D474</f>
        <v>1</v>
      </c>
      <c r="F474">
        <f>セットアップレポート!E474</f>
        <v>1</v>
      </c>
      <c r="G474" t="str">
        <f>セットアップレポート!F474</f>
        <v>10019R</v>
      </c>
      <c r="H474">
        <f>セットアップレポート!G474</f>
        <v>19</v>
      </c>
      <c r="I474" t="str">
        <f>セットアップレポート!H474</f>
        <v>R</v>
      </c>
      <c r="J474" t="str">
        <f>セットアップレポート!I474</f>
        <v>9000066596 100279</v>
      </c>
      <c r="K474">
        <f>セットアップレポート!J474</f>
        <v>9000066596</v>
      </c>
      <c r="L474">
        <f>セットアップレポート!K474</f>
        <v>0</v>
      </c>
      <c r="M474">
        <f>セットアップレポート!L474</f>
        <v>0</v>
      </c>
      <c r="N474">
        <f>セットアップレポート!M474</f>
        <v>0</v>
      </c>
      <c r="O474">
        <f>セットアップレポート!N474</f>
        <v>0</v>
      </c>
      <c r="P474" t="str">
        <f>セットアップレポート!O474</f>
        <v>FA0201ABA002782</v>
      </c>
      <c r="Q474">
        <f>セットアップレポート!P474</f>
        <v>4000</v>
      </c>
      <c r="R474">
        <f>セットアップレポート!Q474</f>
        <v>45950.474236111113</v>
      </c>
      <c r="S474">
        <f>セットアップレポート!R474</f>
        <v>0</v>
      </c>
      <c r="T474">
        <f>セットアップレポート!S474</f>
        <v>0</v>
      </c>
      <c r="U474">
        <f>セットアップレポート!T474</f>
        <v>0</v>
      </c>
      <c r="V474">
        <f>セットアップレポート!U474</f>
        <v>0</v>
      </c>
      <c r="W474">
        <f>セットアップレポート!V474</f>
        <v>0</v>
      </c>
      <c r="X474">
        <f>セットアップレポート!W474</f>
        <v>0</v>
      </c>
      <c r="Y474">
        <f>セットアップレポート!X474</f>
        <v>0</v>
      </c>
      <c r="Z474">
        <f>セットアップレポート!Y474</f>
        <v>0</v>
      </c>
      <c r="AA474">
        <f>セットアップレポート!Z474</f>
        <v>0</v>
      </c>
      <c r="AB474" t="str">
        <f>セットアップレポート!AA474</f>
        <v>NONE</v>
      </c>
      <c r="AC474">
        <f>セットアップレポート!AB474</f>
        <v>0</v>
      </c>
      <c r="AD474">
        <f>セットアップレポート!AC474</f>
        <v>0</v>
      </c>
      <c r="AE474">
        <f>セットアップレポート!AD474</f>
        <v>0</v>
      </c>
      <c r="AF474">
        <f>セットアップレポート!AE474</f>
        <v>0</v>
      </c>
      <c r="AG474">
        <f>セットアップレポート!AF474</f>
        <v>0</v>
      </c>
      <c r="AH474">
        <f>セットアップレポート!AG474</f>
        <v>0</v>
      </c>
    </row>
    <row r="475" spans="1:34" x14ac:dyDescent="0.45">
      <c r="A475" t="str">
        <f t="shared" si="7"/>
        <v>L2-NPM030018R9000061221</v>
      </c>
      <c r="B475" t="str">
        <f>セットアップレポート!A475</f>
        <v>Line-2</v>
      </c>
      <c r="C475" t="str">
        <f>セットアップレポート!B475</f>
        <v>L2-NPM03</v>
      </c>
      <c r="D475" t="str">
        <f>セットアップレポート!C475</f>
        <v>Zone-2-NPMW-3</v>
      </c>
      <c r="E475">
        <f>セットアップレポート!D475</f>
        <v>1</v>
      </c>
      <c r="F475">
        <f>セットアップレポート!E475</f>
        <v>1</v>
      </c>
      <c r="G475" t="str">
        <f>セットアップレポート!F475</f>
        <v>10018R</v>
      </c>
      <c r="H475">
        <f>セットアップレポート!G475</f>
        <v>18</v>
      </c>
      <c r="I475" t="str">
        <f>セットアップレポート!H475</f>
        <v>R</v>
      </c>
      <c r="J475" t="str">
        <f>セットアップレポート!I475</f>
        <v>9000061221 100036</v>
      </c>
      <c r="K475">
        <f>セットアップレポート!J475</f>
        <v>9000061221</v>
      </c>
      <c r="L475">
        <f>セットアップレポート!K475</f>
        <v>0</v>
      </c>
      <c r="M475">
        <f>セットアップレポート!L475</f>
        <v>0</v>
      </c>
      <c r="N475">
        <f>セットアップレポート!M475</f>
        <v>0</v>
      </c>
      <c r="O475">
        <f>セットアップレポート!N475</f>
        <v>0</v>
      </c>
      <c r="P475" t="str">
        <f>セットアップレポート!O475</f>
        <v>FA0201ACD051225</v>
      </c>
      <c r="Q475">
        <f>セットアップレポート!P475</f>
        <v>3000</v>
      </c>
      <c r="R475">
        <f>セットアップレポート!Q475</f>
        <v>45950.474236111113</v>
      </c>
      <c r="S475">
        <f>セットアップレポート!R475</f>
        <v>0</v>
      </c>
      <c r="T475" t="str">
        <f>セットアップレポート!S475</f>
        <v>Yes</v>
      </c>
      <c r="U475">
        <f>セットアップレポート!T475</f>
        <v>0</v>
      </c>
      <c r="V475" t="str">
        <f>セットアップレポート!U475</f>
        <v>9000061221 100038</v>
      </c>
      <c r="W475">
        <f>セットアップレポート!V475</f>
        <v>0</v>
      </c>
      <c r="X475">
        <f>セットアップレポート!W475</f>
        <v>0</v>
      </c>
      <c r="Y475">
        <f>セットアップレポート!X475</f>
        <v>0</v>
      </c>
      <c r="Z475">
        <f>セットアップレポート!Y475</f>
        <v>0</v>
      </c>
      <c r="AA475">
        <f>セットアップレポート!Z475</f>
        <v>0</v>
      </c>
      <c r="AB475" t="str">
        <f>セットアップレポート!AA475</f>
        <v>NONE</v>
      </c>
      <c r="AC475">
        <f>セットアップレポート!AB475</f>
        <v>0</v>
      </c>
      <c r="AD475">
        <f>セットアップレポート!AC475</f>
        <v>0</v>
      </c>
      <c r="AE475">
        <f>セットアップレポート!AD475</f>
        <v>0</v>
      </c>
      <c r="AF475">
        <f>セットアップレポート!AE475</f>
        <v>0</v>
      </c>
      <c r="AG475">
        <f>セットアップレポート!AF475</f>
        <v>0</v>
      </c>
      <c r="AH475">
        <f>セットアップレポート!AG475</f>
        <v>0</v>
      </c>
    </row>
    <row r="476" spans="1:34" x14ac:dyDescent="0.45">
      <c r="A476" t="str">
        <f t="shared" si="7"/>
        <v>L2-NPM030017R9000068520</v>
      </c>
      <c r="B476" t="str">
        <f>セットアップレポート!A476</f>
        <v>Line-2</v>
      </c>
      <c r="C476" t="str">
        <f>セットアップレポート!B476</f>
        <v>L2-NPM03</v>
      </c>
      <c r="D476" t="str">
        <f>セットアップレポート!C476</f>
        <v>Zone-2-NPMW-3</v>
      </c>
      <c r="E476">
        <f>セットアップレポート!D476</f>
        <v>1</v>
      </c>
      <c r="F476">
        <f>セットアップレポート!E476</f>
        <v>1</v>
      </c>
      <c r="G476" t="str">
        <f>セットアップレポート!F476</f>
        <v>10017R</v>
      </c>
      <c r="H476">
        <f>セットアップレポート!G476</f>
        <v>17</v>
      </c>
      <c r="I476" t="str">
        <f>セットアップレポート!H476</f>
        <v>R</v>
      </c>
      <c r="J476" t="str">
        <f>セットアップレポート!I476</f>
        <v>9000068520 100043</v>
      </c>
      <c r="K476">
        <f>セットアップレポート!J476</f>
        <v>9000068520</v>
      </c>
      <c r="L476">
        <f>セットアップレポート!K476</f>
        <v>0</v>
      </c>
      <c r="M476">
        <f>セットアップレポート!L476</f>
        <v>0</v>
      </c>
      <c r="N476">
        <f>セットアップレポート!M476</f>
        <v>0</v>
      </c>
      <c r="O476">
        <f>セットアップレポート!N476</f>
        <v>0</v>
      </c>
      <c r="P476" t="str">
        <f>セットアップレポート!O476</f>
        <v>FA0201ABA002362</v>
      </c>
      <c r="Q476">
        <f>セットアップレポート!P476</f>
        <v>3000</v>
      </c>
      <c r="R476">
        <f>セットアップレポート!Q476</f>
        <v>45950.474236111113</v>
      </c>
      <c r="S476">
        <f>セットアップレポート!R476</f>
        <v>0</v>
      </c>
      <c r="T476">
        <f>セットアップレポート!S476</f>
        <v>0</v>
      </c>
      <c r="U476">
        <f>セットアップレポート!T476</f>
        <v>0</v>
      </c>
      <c r="V476">
        <f>セットアップレポート!U476</f>
        <v>0</v>
      </c>
      <c r="W476">
        <f>セットアップレポート!V476</f>
        <v>0</v>
      </c>
      <c r="X476">
        <f>セットアップレポート!W476</f>
        <v>0</v>
      </c>
      <c r="Y476">
        <f>セットアップレポート!X476</f>
        <v>0</v>
      </c>
      <c r="Z476">
        <f>セットアップレポート!Y476</f>
        <v>0</v>
      </c>
      <c r="AA476">
        <f>セットアップレポート!Z476</f>
        <v>0</v>
      </c>
      <c r="AB476" t="str">
        <f>セットアップレポート!AA476</f>
        <v>NONE</v>
      </c>
      <c r="AC476">
        <f>セットアップレポート!AB476</f>
        <v>0</v>
      </c>
      <c r="AD476">
        <f>セットアップレポート!AC476</f>
        <v>0</v>
      </c>
      <c r="AE476">
        <f>セットアップレポート!AD476</f>
        <v>0</v>
      </c>
      <c r="AF476">
        <f>セットアップレポート!AE476</f>
        <v>0</v>
      </c>
      <c r="AG476">
        <f>セットアップレポート!AF476</f>
        <v>0</v>
      </c>
      <c r="AH476">
        <f>セットアップレポート!AG476</f>
        <v>0</v>
      </c>
    </row>
    <row r="477" spans="1:34" x14ac:dyDescent="0.45">
      <c r="A477" t="str">
        <f t="shared" si="7"/>
        <v>L2-NPM030016R667164A</v>
      </c>
      <c r="B477" t="str">
        <f>セットアップレポート!A477</f>
        <v>Line-2</v>
      </c>
      <c r="C477" t="str">
        <f>セットアップレポート!B477</f>
        <v>L2-NPM03</v>
      </c>
      <c r="D477" t="str">
        <f>セットアップレポート!C477</f>
        <v>Zone-2-NPMW-3</v>
      </c>
      <c r="E477">
        <f>セットアップレポート!D477</f>
        <v>1</v>
      </c>
      <c r="F477">
        <f>セットアップレポート!E477</f>
        <v>1</v>
      </c>
      <c r="G477" t="str">
        <f>セットアップレポート!F477</f>
        <v>10016R</v>
      </c>
      <c r="H477">
        <f>セットアップレポート!G477</f>
        <v>16</v>
      </c>
      <c r="I477" t="str">
        <f>セットアップレポート!H477</f>
        <v>R</v>
      </c>
      <c r="J477" t="str">
        <f>セットアップレポート!I477</f>
        <v>667164A101364</v>
      </c>
      <c r="K477" t="str">
        <f>セットアップレポート!J477</f>
        <v>667164A</v>
      </c>
      <c r="L477">
        <f>セットアップレポート!K477</f>
        <v>0</v>
      </c>
      <c r="M477">
        <f>セットアップレポート!L477</f>
        <v>0</v>
      </c>
      <c r="N477">
        <f>セットアップレポート!M477</f>
        <v>0</v>
      </c>
      <c r="O477">
        <f>セットアップレポート!N477</f>
        <v>0</v>
      </c>
      <c r="P477" t="str">
        <f>セットアップレポート!O477</f>
        <v>FA0201ACD051439</v>
      </c>
      <c r="Q477">
        <f>セットアップレポート!P477</f>
        <v>5000</v>
      </c>
      <c r="R477">
        <f>セットアップレポート!Q477</f>
        <v>45950.474236111113</v>
      </c>
      <c r="S477">
        <f>セットアップレポート!R477</f>
        <v>0</v>
      </c>
      <c r="T477">
        <f>セットアップレポート!S477</f>
        <v>0</v>
      </c>
      <c r="U477">
        <f>セットアップレポート!T477</f>
        <v>0</v>
      </c>
      <c r="V477">
        <f>セットアップレポート!U477</f>
        <v>0</v>
      </c>
      <c r="W477">
        <f>セットアップレポート!V477</f>
        <v>0</v>
      </c>
      <c r="X477">
        <f>セットアップレポート!W477</f>
        <v>0</v>
      </c>
      <c r="Y477">
        <f>セットアップレポート!X477</f>
        <v>0</v>
      </c>
      <c r="Z477">
        <f>セットアップレポート!Y477</f>
        <v>0</v>
      </c>
      <c r="AA477">
        <f>セットアップレポート!Z477</f>
        <v>0</v>
      </c>
      <c r="AB477" t="str">
        <f>セットアップレポート!AA477</f>
        <v>NONE</v>
      </c>
      <c r="AC477">
        <f>セットアップレポート!AB477</f>
        <v>0</v>
      </c>
      <c r="AD477">
        <f>セットアップレポート!AC477</f>
        <v>0</v>
      </c>
      <c r="AE477">
        <f>セットアップレポート!AD477</f>
        <v>0</v>
      </c>
      <c r="AF477">
        <f>セットアップレポート!AE477</f>
        <v>0</v>
      </c>
      <c r="AG477">
        <f>セットアップレポート!AF477</f>
        <v>0</v>
      </c>
      <c r="AH477">
        <f>セットアップレポート!AG477</f>
        <v>0</v>
      </c>
    </row>
    <row r="478" spans="1:34" x14ac:dyDescent="0.45">
      <c r="A478" t="str">
        <f t="shared" si="7"/>
        <v>L2-NPM030015R667565A</v>
      </c>
      <c r="B478" t="str">
        <f>セットアップレポート!A478</f>
        <v>Line-2</v>
      </c>
      <c r="C478" t="str">
        <f>セットアップレポート!B478</f>
        <v>L2-NPM03</v>
      </c>
      <c r="D478" t="str">
        <f>セットアップレポート!C478</f>
        <v>Zone-2-NPMW-3</v>
      </c>
      <c r="E478">
        <f>セットアップレポート!D478</f>
        <v>1</v>
      </c>
      <c r="F478">
        <f>セットアップレポート!E478</f>
        <v>1</v>
      </c>
      <c r="G478" t="str">
        <f>セットアップレポート!F478</f>
        <v>10015R</v>
      </c>
      <c r="H478">
        <f>セットアップレポート!G478</f>
        <v>15</v>
      </c>
      <c r="I478" t="str">
        <f>セットアップレポート!H478</f>
        <v>R</v>
      </c>
      <c r="J478" t="str">
        <f>セットアップレポート!I478</f>
        <v>667565A100047</v>
      </c>
      <c r="K478" t="str">
        <f>セットアップレポート!J478</f>
        <v>667565A</v>
      </c>
      <c r="L478">
        <f>セットアップレポート!K478</f>
        <v>0</v>
      </c>
      <c r="M478">
        <f>セットアップレポート!L478</f>
        <v>0</v>
      </c>
      <c r="N478">
        <f>セットアップレポート!M478</f>
        <v>0</v>
      </c>
      <c r="O478">
        <f>セットアップレポート!N478</f>
        <v>0</v>
      </c>
      <c r="P478" t="str">
        <f>セットアップレポート!O478</f>
        <v>FA0201ABD000628</v>
      </c>
      <c r="Q478">
        <f>セットアップレポート!P478</f>
        <v>5000</v>
      </c>
      <c r="R478">
        <f>セットアップレポート!Q478</f>
        <v>45950.474236111113</v>
      </c>
      <c r="S478">
        <f>セットアップレポート!R478</f>
        <v>0</v>
      </c>
      <c r="T478">
        <f>セットアップレポート!S478</f>
        <v>0</v>
      </c>
      <c r="U478">
        <f>セットアップレポート!T478</f>
        <v>0</v>
      </c>
      <c r="V478">
        <f>セットアップレポート!U478</f>
        <v>0</v>
      </c>
      <c r="W478">
        <f>セットアップレポート!V478</f>
        <v>0</v>
      </c>
      <c r="X478">
        <f>セットアップレポート!W478</f>
        <v>0</v>
      </c>
      <c r="Y478">
        <f>セットアップレポート!X478</f>
        <v>0</v>
      </c>
      <c r="Z478">
        <f>セットアップレポート!Y478</f>
        <v>0</v>
      </c>
      <c r="AA478">
        <f>セットアップレポート!Z478</f>
        <v>0</v>
      </c>
      <c r="AB478" t="str">
        <f>セットアップレポート!AA478</f>
        <v>NONE</v>
      </c>
      <c r="AC478">
        <f>セットアップレポート!AB478</f>
        <v>0</v>
      </c>
      <c r="AD478">
        <f>セットアップレポート!AC478</f>
        <v>0</v>
      </c>
      <c r="AE478">
        <f>セットアップレポート!AD478</f>
        <v>0</v>
      </c>
      <c r="AF478">
        <f>セットアップレポート!AE478</f>
        <v>0</v>
      </c>
      <c r="AG478">
        <f>セットアップレポート!AF478</f>
        <v>0</v>
      </c>
      <c r="AH478">
        <f>セットアップレポート!AG478</f>
        <v>0</v>
      </c>
    </row>
    <row r="479" spans="1:34" x14ac:dyDescent="0.45">
      <c r="A479" t="str">
        <f t="shared" si="7"/>
        <v>L2-NPM030014R9000066602</v>
      </c>
      <c r="B479" t="str">
        <f>セットアップレポート!A479</f>
        <v>Line-2</v>
      </c>
      <c r="C479" t="str">
        <f>セットアップレポート!B479</f>
        <v>L2-NPM03</v>
      </c>
      <c r="D479" t="str">
        <f>セットアップレポート!C479</f>
        <v>Zone-2-NPMW-3</v>
      </c>
      <c r="E479">
        <f>セットアップレポート!D479</f>
        <v>1</v>
      </c>
      <c r="F479">
        <f>セットアップレポート!E479</f>
        <v>1</v>
      </c>
      <c r="G479" t="str">
        <f>セットアップレポート!F479</f>
        <v>10014R</v>
      </c>
      <c r="H479">
        <f>セットアップレポート!G479</f>
        <v>14</v>
      </c>
      <c r="I479" t="str">
        <f>セットアップレポート!H479</f>
        <v>R</v>
      </c>
      <c r="J479" t="str">
        <f>セットアップレポート!I479</f>
        <v>9000066602 100023</v>
      </c>
      <c r="K479">
        <f>セットアップレポート!J479</f>
        <v>9000066602</v>
      </c>
      <c r="L479">
        <f>セットアップレポート!K479</f>
        <v>0</v>
      </c>
      <c r="M479">
        <f>セットアップレポート!L479</f>
        <v>0</v>
      </c>
      <c r="N479">
        <f>セットアップレポート!M479</f>
        <v>0</v>
      </c>
      <c r="O479">
        <f>セットアップレポート!N479</f>
        <v>0</v>
      </c>
      <c r="P479" t="str">
        <f>セットアップレポート!O479</f>
        <v>FA0201ACD051130</v>
      </c>
      <c r="Q479">
        <f>セットアップレポート!P479</f>
        <v>2000</v>
      </c>
      <c r="R479">
        <f>セットアップレポート!Q479</f>
        <v>45950.474236111113</v>
      </c>
      <c r="S479">
        <f>セットアップレポート!R479</f>
        <v>0</v>
      </c>
      <c r="T479">
        <f>セットアップレポート!S479</f>
        <v>0</v>
      </c>
      <c r="U479">
        <f>セットアップレポート!T479</f>
        <v>0</v>
      </c>
      <c r="V479">
        <f>セットアップレポート!U479</f>
        <v>0</v>
      </c>
      <c r="W479">
        <f>セットアップレポート!V479</f>
        <v>0</v>
      </c>
      <c r="X479">
        <f>セットアップレポート!W479</f>
        <v>0</v>
      </c>
      <c r="Y479">
        <f>セットアップレポート!X479</f>
        <v>0</v>
      </c>
      <c r="Z479">
        <f>セットアップレポート!Y479</f>
        <v>0</v>
      </c>
      <c r="AA479">
        <f>セットアップレポート!Z479</f>
        <v>0</v>
      </c>
      <c r="AB479" t="str">
        <f>セットアップレポート!AA479</f>
        <v>NONE</v>
      </c>
      <c r="AC479">
        <f>セットアップレポート!AB479</f>
        <v>0</v>
      </c>
      <c r="AD479">
        <f>セットアップレポート!AC479</f>
        <v>0</v>
      </c>
      <c r="AE479">
        <f>セットアップレポート!AD479</f>
        <v>0</v>
      </c>
      <c r="AF479">
        <f>セットアップレポート!AE479</f>
        <v>0</v>
      </c>
      <c r="AG479">
        <f>セットアップレポート!AF479</f>
        <v>0</v>
      </c>
      <c r="AH479">
        <f>セットアップレポート!AG479</f>
        <v>0</v>
      </c>
    </row>
    <row r="480" spans="1:34" x14ac:dyDescent="0.45">
      <c r="A480" t="str">
        <f t="shared" si="7"/>
        <v>L2-NPM030013R649255</v>
      </c>
      <c r="B480" t="str">
        <f>セットアップレポート!A480</f>
        <v>Line-2</v>
      </c>
      <c r="C480" t="str">
        <f>セットアップレポート!B480</f>
        <v>L2-NPM03</v>
      </c>
      <c r="D480" t="str">
        <f>セットアップレポート!C480</f>
        <v>Zone-2-NPMW-3</v>
      </c>
      <c r="E480">
        <f>セットアップレポート!D480</f>
        <v>1</v>
      </c>
      <c r="F480">
        <f>セットアップレポート!E480</f>
        <v>1</v>
      </c>
      <c r="G480" t="str">
        <f>セットアップレポート!F480</f>
        <v>10013R</v>
      </c>
      <c r="H480">
        <f>セットアップレポート!G480</f>
        <v>13</v>
      </c>
      <c r="I480" t="str">
        <f>セットアップレポート!H480</f>
        <v>R</v>
      </c>
      <c r="J480" t="str">
        <f>セットアップレポート!I480</f>
        <v>649255 100447</v>
      </c>
      <c r="K480">
        <f>セットアップレポート!J480</f>
        <v>649255</v>
      </c>
      <c r="L480">
        <f>セットアップレポート!K480</f>
        <v>0</v>
      </c>
      <c r="M480">
        <f>セットアップレポート!L480</f>
        <v>0</v>
      </c>
      <c r="N480">
        <f>セットアップレポート!M480</f>
        <v>0</v>
      </c>
      <c r="O480">
        <f>セットアップレポート!N480</f>
        <v>0</v>
      </c>
      <c r="P480" t="str">
        <f>セットアップレポート!O480</f>
        <v>FA0201ABA002438</v>
      </c>
      <c r="Q480">
        <f>セットアップレポート!P480</f>
        <v>4000</v>
      </c>
      <c r="R480">
        <f>セットアップレポート!Q480</f>
        <v>45950.474236111113</v>
      </c>
      <c r="S480">
        <f>セットアップレポート!R480</f>
        <v>0</v>
      </c>
      <c r="T480" t="str">
        <f>セットアップレポート!S480</f>
        <v>Yes</v>
      </c>
      <c r="U480">
        <f>セットアップレポート!T480</f>
        <v>0</v>
      </c>
      <c r="V480" t="str">
        <f>セットアップレポート!U480</f>
        <v>649255 100553</v>
      </c>
      <c r="W480">
        <f>セットアップレポート!V480</f>
        <v>0</v>
      </c>
      <c r="X480">
        <f>セットアップレポート!W480</f>
        <v>0</v>
      </c>
      <c r="Y480">
        <f>セットアップレポート!X480</f>
        <v>0</v>
      </c>
      <c r="Z480">
        <f>セットアップレポート!Y480</f>
        <v>0</v>
      </c>
      <c r="AA480">
        <f>セットアップレポート!Z480</f>
        <v>0</v>
      </c>
      <c r="AB480" t="str">
        <f>セットアップレポート!AA480</f>
        <v>NONE</v>
      </c>
      <c r="AC480">
        <f>セットアップレポート!AB480</f>
        <v>0</v>
      </c>
      <c r="AD480">
        <f>セットアップレポート!AC480</f>
        <v>0</v>
      </c>
      <c r="AE480">
        <f>セットアップレポート!AD480</f>
        <v>0</v>
      </c>
      <c r="AF480">
        <f>セットアップレポート!AE480</f>
        <v>0</v>
      </c>
      <c r="AG480">
        <f>セットアップレポート!AF480</f>
        <v>0</v>
      </c>
      <c r="AH480">
        <f>セットアップレポート!AG480</f>
        <v>0</v>
      </c>
    </row>
    <row r="481" spans="1:34" x14ac:dyDescent="0.45">
      <c r="A481" t="str">
        <f t="shared" si="7"/>
        <v>L2-NPM030012R515141B</v>
      </c>
      <c r="B481" t="str">
        <f>セットアップレポート!A481</f>
        <v>Line-2</v>
      </c>
      <c r="C481" t="str">
        <f>セットアップレポート!B481</f>
        <v>L2-NPM03</v>
      </c>
      <c r="D481" t="str">
        <f>セットアップレポート!C481</f>
        <v>Zone-2-NPMW-3</v>
      </c>
      <c r="E481">
        <f>セットアップレポート!D481</f>
        <v>1</v>
      </c>
      <c r="F481">
        <f>セットアップレポート!E481</f>
        <v>1</v>
      </c>
      <c r="G481" t="str">
        <f>セットアップレポート!F481</f>
        <v>10012R</v>
      </c>
      <c r="H481">
        <f>セットアップレポート!G481</f>
        <v>12</v>
      </c>
      <c r="I481" t="str">
        <f>セットアップレポート!H481</f>
        <v>R</v>
      </c>
      <c r="J481" t="str">
        <f>セットアップレポート!I481</f>
        <v>515141B101100</v>
      </c>
      <c r="K481" t="str">
        <f>セットアップレポート!J481</f>
        <v>515141B</v>
      </c>
      <c r="L481">
        <f>セットアップレポート!K481</f>
        <v>0</v>
      </c>
      <c r="M481">
        <f>セットアップレポート!L481</f>
        <v>0</v>
      </c>
      <c r="N481">
        <f>セットアップレポート!M481</f>
        <v>0</v>
      </c>
      <c r="O481">
        <f>セットアップレポート!N481</f>
        <v>0</v>
      </c>
      <c r="P481" t="str">
        <f>セットアップレポート!O481</f>
        <v>FA0201ABA002420</v>
      </c>
      <c r="Q481">
        <f>セットアップレポート!P481</f>
        <v>4000</v>
      </c>
      <c r="R481">
        <f>セットアップレポート!Q481</f>
        <v>45930.4534375</v>
      </c>
      <c r="S481">
        <f>セットアップレポート!R481</f>
        <v>0</v>
      </c>
      <c r="T481">
        <f>セットアップレポート!S481</f>
        <v>0</v>
      </c>
      <c r="U481">
        <f>セットアップレポート!T481</f>
        <v>0</v>
      </c>
      <c r="V481">
        <f>セットアップレポート!U481</f>
        <v>0</v>
      </c>
      <c r="W481">
        <f>セットアップレポート!V481</f>
        <v>0</v>
      </c>
      <c r="X481">
        <f>セットアップレポート!W481</f>
        <v>0</v>
      </c>
      <c r="Y481">
        <f>セットアップレポート!X481</f>
        <v>0</v>
      </c>
      <c r="Z481">
        <f>セットアップレポート!Y481</f>
        <v>0</v>
      </c>
      <c r="AA481">
        <f>セットアップレポート!Z481</f>
        <v>0</v>
      </c>
      <c r="AB481" t="str">
        <f>セットアップレポート!AA481</f>
        <v>NONE</v>
      </c>
      <c r="AC481">
        <f>セットアップレポート!AB481</f>
        <v>0</v>
      </c>
      <c r="AD481">
        <f>セットアップレポート!AC481</f>
        <v>0</v>
      </c>
      <c r="AE481">
        <f>セットアップレポート!AD481</f>
        <v>0</v>
      </c>
      <c r="AF481">
        <f>セットアップレポート!AE481</f>
        <v>0</v>
      </c>
      <c r="AG481">
        <f>セットアップレポート!AF481</f>
        <v>0</v>
      </c>
      <c r="AH481">
        <f>セットアップレポート!AG481</f>
        <v>0</v>
      </c>
    </row>
    <row r="482" spans="1:34" x14ac:dyDescent="0.45">
      <c r="A482" t="str">
        <f t="shared" si="7"/>
        <v>L2-NPM030011R667128A</v>
      </c>
      <c r="B482" t="str">
        <f>セットアップレポート!A482</f>
        <v>Line-2</v>
      </c>
      <c r="C482" t="str">
        <f>セットアップレポート!B482</f>
        <v>L2-NPM03</v>
      </c>
      <c r="D482" t="str">
        <f>セットアップレポート!C482</f>
        <v>Zone-2-NPMW-3</v>
      </c>
      <c r="E482">
        <f>セットアップレポート!D482</f>
        <v>1</v>
      </c>
      <c r="F482">
        <f>セットアップレポート!E482</f>
        <v>1</v>
      </c>
      <c r="G482" t="str">
        <f>セットアップレポート!F482</f>
        <v>10011R</v>
      </c>
      <c r="H482">
        <f>セットアップレポート!G482</f>
        <v>11</v>
      </c>
      <c r="I482" t="str">
        <f>セットアップレポート!H482</f>
        <v>R</v>
      </c>
      <c r="J482" t="str">
        <f>セットアップレポート!I482</f>
        <v>667128A101523</v>
      </c>
      <c r="K482" t="str">
        <f>セットアップレポート!J482</f>
        <v>667128A</v>
      </c>
      <c r="L482">
        <f>セットアップレポート!K482</f>
        <v>0</v>
      </c>
      <c r="M482">
        <f>セットアップレポート!L482</f>
        <v>0</v>
      </c>
      <c r="N482">
        <f>セットアップレポート!M482</f>
        <v>0</v>
      </c>
      <c r="O482">
        <f>セットアップレポート!N482</f>
        <v>0</v>
      </c>
      <c r="P482" t="str">
        <f>セットアップレポート!O482</f>
        <v>FA0201ABD000572</v>
      </c>
      <c r="Q482">
        <f>セットアップレポート!P482</f>
        <v>5000</v>
      </c>
      <c r="R482">
        <f>セットアップレポート!Q482</f>
        <v>45950.474236111113</v>
      </c>
      <c r="S482">
        <f>セットアップレポート!R482</f>
        <v>0</v>
      </c>
      <c r="T482">
        <f>セットアップレポート!S482</f>
        <v>0</v>
      </c>
      <c r="U482">
        <f>セットアップレポート!T482</f>
        <v>0</v>
      </c>
      <c r="V482">
        <f>セットアップレポート!U482</f>
        <v>0</v>
      </c>
      <c r="W482">
        <f>セットアップレポート!V482</f>
        <v>0</v>
      </c>
      <c r="X482">
        <f>セットアップレポート!W482</f>
        <v>0</v>
      </c>
      <c r="Y482">
        <f>セットアップレポート!X482</f>
        <v>0</v>
      </c>
      <c r="Z482">
        <f>セットアップレポート!Y482</f>
        <v>0</v>
      </c>
      <c r="AA482">
        <f>セットアップレポート!Z482</f>
        <v>0</v>
      </c>
      <c r="AB482" t="str">
        <f>セットアップレポート!AA482</f>
        <v>NONE</v>
      </c>
      <c r="AC482">
        <f>セットアップレポート!AB482</f>
        <v>0</v>
      </c>
      <c r="AD482">
        <f>セットアップレポート!AC482</f>
        <v>0</v>
      </c>
      <c r="AE482">
        <f>セットアップレポート!AD482</f>
        <v>0</v>
      </c>
      <c r="AF482">
        <f>セットアップレポート!AE482</f>
        <v>0</v>
      </c>
      <c r="AG482">
        <f>セットアップレポート!AF482</f>
        <v>0</v>
      </c>
      <c r="AH482">
        <f>セットアップレポート!AG482</f>
        <v>0</v>
      </c>
    </row>
    <row r="483" spans="1:34" x14ac:dyDescent="0.45">
      <c r="A483" t="str">
        <f t="shared" si="7"/>
        <v>L2-NPM030010R9000070368</v>
      </c>
      <c r="B483" t="str">
        <f>セットアップレポート!A483</f>
        <v>Line-2</v>
      </c>
      <c r="C483" t="str">
        <f>セットアップレポート!B483</f>
        <v>L2-NPM03</v>
      </c>
      <c r="D483" t="str">
        <f>セットアップレポート!C483</f>
        <v>Zone-2-NPMW-3</v>
      </c>
      <c r="E483">
        <f>セットアップレポート!D483</f>
        <v>1</v>
      </c>
      <c r="F483">
        <f>セットアップレポート!E483</f>
        <v>1</v>
      </c>
      <c r="G483" t="str">
        <f>セットアップレポート!F483</f>
        <v>10010R</v>
      </c>
      <c r="H483">
        <f>セットアップレポート!G483</f>
        <v>10</v>
      </c>
      <c r="I483" t="str">
        <f>セットアップレポート!H483</f>
        <v>R</v>
      </c>
      <c r="J483" t="str">
        <f>セットアップレポート!I483</f>
        <v>9000070368 100042</v>
      </c>
      <c r="K483">
        <f>セットアップレポート!J483</f>
        <v>9000070368</v>
      </c>
      <c r="L483">
        <f>セットアップレポート!K483</f>
        <v>0</v>
      </c>
      <c r="M483">
        <f>セットアップレポート!L483</f>
        <v>0</v>
      </c>
      <c r="N483">
        <f>セットアップレポート!M483</f>
        <v>0</v>
      </c>
      <c r="O483">
        <f>セットアップレポート!N483</f>
        <v>0</v>
      </c>
      <c r="P483" t="str">
        <f>セットアップレポート!O483</f>
        <v>FA0201ABA002787</v>
      </c>
      <c r="Q483">
        <f>セットアップレポート!P483</f>
        <v>3000</v>
      </c>
      <c r="R483">
        <f>セットアップレポート!Q483</f>
        <v>45950.474236111113</v>
      </c>
      <c r="S483">
        <f>セットアップレポート!R483</f>
        <v>0</v>
      </c>
      <c r="T483">
        <f>セットアップレポート!S483</f>
        <v>0</v>
      </c>
      <c r="U483">
        <f>セットアップレポート!T483</f>
        <v>0</v>
      </c>
      <c r="V483">
        <f>セットアップレポート!U483</f>
        <v>0</v>
      </c>
      <c r="W483">
        <f>セットアップレポート!V483</f>
        <v>0</v>
      </c>
      <c r="X483">
        <f>セットアップレポート!W483</f>
        <v>0</v>
      </c>
      <c r="Y483">
        <f>セットアップレポート!X483</f>
        <v>0</v>
      </c>
      <c r="Z483">
        <f>セットアップレポート!Y483</f>
        <v>0</v>
      </c>
      <c r="AA483">
        <f>セットアップレポート!Z483</f>
        <v>0</v>
      </c>
      <c r="AB483" t="str">
        <f>セットアップレポート!AA483</f>
        <v>NONE</v>
      </c>
      <c r="AC483">
        <f>セットアップレポート!AB483</f>
        <v>0</v>
      </c>
      <c r="AD483">
        <f>セットアップレポート!AC483</f>
        <v>0</v>
      </c>
      <c r="AE483">
        <f>セットアップレポート!AD483</f>
        <v>0</v>
      </c>
      <c r="AF483">
        <f>セットアップレポート!AE483</f>
        <v>0</v>
      </c>
      <c r="AG483">
        <f>セットアップレポート!AF483</f>
        <v>0</v>
      </c>
      <c r="AH483">
        <f>セットアップレポート!AG483</f>
        <v>0</v>
      </c>
    </row>
    <row r="484" spans="1:34" x14ac:dyDescent="0.45">
      <c r="A484" t="str">
        <f t="shared" si="7"/>
        <v>L2-NPM030009R920185</v>
      </c>
      <c r="B484" t="str">
        <f>セットアップレポート!A484</f>
        <v>Line-2</v>
      </c>
      <c r="C484" t="str">
        <f>セットアップレポート!B484</f>
        <v>L2-NPM03</v>
      </c>
      <c r="D484" t="str">
        <f>セットアップレポート!C484</f>
        <v>Zone-2-NPMW-3</v>
      </c>
      <c r="E484">
        <f>セットアップレポート!D484</f>
        <v>1</v>
      </c>
      <c r="F484">
        <f>セットアップレポート!E484</f>
        <v>1</v>
      </c>
      <c r="G484" t="str">
        <f>セットアップレポート!F484</f>
        <v>10009R</v>
      </c>
      <c r="H484">
        <f>セットアップレポート!G484</f>
        <v>9</v>
      </c>
      <c r="I484" t="str">
        <f>セットアップレポート!H484</f>
        <v>R</v>
      </c>
      <c r="J484" t="str">
        <f>セットアップレポート!I484</f>
        <v>920185 100184</v>
      </c>
      <c r="K484">
        <f>セットアップレポート!J484</f>
        <v>920185</v>
      </c>
      <c r="L484">
        <f>セットアップレポート!K484</f>
        <v>0</v>
      </c>
      <c r="M484">
        <f>セットアップレポート!L484</f>
        <v>0</v>
      </c>
      <c r="N484">
        <f>セットアップレポート!M484</f>
        <v>0</v>
      </c>
      <c r="O484">
        <f>セットアップレポート!N484</f>
        <v>0</v>
      </c>
      <c r="P484" t="str">
        <f>セットアップレポート!O484</f>
        <v>FA0201ACD051040</v>
      </c>
      <c r="Q484">
        <f>セットアップレポート!P484</f>
        <v>3000</v>
      </c>
      <c r="R484">
        <f>セットアップレポート!Q484</f>
        <v>45950.474224537036</v>
      </c>
      <c r="S484">
        <f>セットアップレポート!R484</f>
        <v>0</v>
      </c>
      <c r="T484">
        <f>セットアップレポート!S484</f>
        <v>0</v>
      </c>
      <c r="U484">
        <f>セットアップレポート!T484</f>
        <v>0</v>
      </c>
      <c r="V484">
        <f>セットアップレポート!U484</f>
        <v>0</v>
      </c>
      <c r="W484">
        <f>セットアップレポート!V484</f>
        <v>0</v>
      </c>
      <c r="X484">
        <f>セットアップレポート!W484</f>
        <v>0</v>
      </c>
      <c r="Y484">
        <f>セットアップレポート!X484</f>
        <v>0</v>
      </c>
      <c r="Z484">
        <f>セットアップレポート!Y484</f>
        <v>0</v>
      </c>
      <c r="AA484">
        <f>セットアップレポート!Z484</f>
        <v>0</v>
      </c>
      <c r="AB484" t="str">
        <f>セットアップレポート!AA484</f>
        <v>NONE</v>
      </c>
      <c r="AC484">
        <f>セットアップレポート!AB484</f>
        <v>0</v>
      </c>
      <c r="AD484">
        <f>セットアップレポート!AC484</f>
        <v>0</v>
      </c>
      <c r="AE484">
        <f>セットアップレポート!AD484</f>
        <v>0</v>
      </c>
      <c r="AF484">
        <f>セットアップレポート!AE484</f>
        <v>0</v>
      </c>
      <c r="AG484">
        <f>セットアップレポート!AF484</f>
        <v>0</v>
      </c>
      <c r="AH484">
        <f>セットアップレポート!AG484</f>
        <v>0</v>
      </c>
    </row>
    <row r="485" spans="1:34" x14ac:dyDescent="0.45">
      <c r="A485" t="str">
        <f t="shared" si="7"/>
        <v>L2-NPM030008R924796</v>
      </c>
      <c r="B485" t="str">
        <f>セットアップレポート!A485</f>
        <v>Line-2</v>
      </c>
      <c r="C485" t="str">
        <f>セットアップレポート!B485</f>
        <v>L2-NPM03</v>
      </c>
      <c r="D485" t="str">
        <f>セットアップレポート!C485</f>
        <v>Zone-2-NPMW-3</v>
      </c>
      <c r="E485">
        <f>セットアップレポート!D485</f>
        <v>1</v>
      </c>
      <c r="F485">
        <f>セットアップレポート!E485</f>
        <v>1</v>
      </c>
      <c r="G485" t="str">
        <f>セットアップレポート!F485</f>
        <v>10008R</v>
      </c>
      <c r="H485">
        <f>セットアップレポート!G485</f>
        <v>8</v>
      </c>
      <c r="I485" t="str">
        <f>セットアップレポート!H485</f>
        <v>R</v>
      </c>
      <c r="J485" t="str">
        <f>セットアップレポート!I485</f>
        <v>924796 100035</v>
      </c>
      <c r="K485">
        <f>セットアップレポート!J485</f>
        <v>924796</v>
      </c>
      <c r="L485">
        <f>セットアップレポート!K485</f>
        <v>0</v>
      </c>
      <c r="M485">
        <f>セットアップレポート!L485</f>
        <v>0</v>
      </c>
      <c r="N485">
        <f>セットアップレポート!M485</f>
        <v>0</v>
      </c>
      <c r="O485">
        <f>セットアップレポート!N485</f>
        <v>0</v>
      </c>
      <c r="P485" t="str">
        <f>セットアップレポート!O485</f>
        <v>FA0201ACD050924</v>
      </c>
      <c r="Q485">
        <f>セットアップレポート!P485</f>
        <v>3000</v>
      </c>
      <c r="R485">
        <f>セットアップレポート!Q485</f>
        <v>45950.474224537036</v>
      </c>
      <c r="S485">
        <f>セットアップレポート!R485</f>
        <v>0</v>
      </c>
      <c r="T485">
        <f>セットアップレポート!S485</f>
        <v>0</v>
      </c>
      <c r="U485">
        <f>セットアップレポート!T485</f>
        <v>0</v>
      </c>
      <c r="V485">
        <f>セットアップレポート!U485</f>
        <v>0</v>
      </c>
      <c r="W485">
        <f>セットアップレポート!V485</f>
        <v>0</v>
      </c>
      <c r="X485">
        <f>セットアップレポート!W485</f>
        <v>0</v>
      </c>
      <c r="Y485">
        <f>セットアップレポート!X485</f>
        <v>0</v>
      </c>
      <c r="Z485">
        <f>セットアップレポート!Y485</f>
        <v>0</v>
      </c>
      <c r="AA485">
        <f>セットアップレポート!Z485</f>
        <v>0</v>
      </c>
      <c r="AB485" t="str">
        <f>セットアップレポート!AA485</f>
        <v>NONE</v>
      </c>
      <c r="AC485">
        <f>セットアップレポート!AB485</f>
        <v>0</v>
      </c>
      <c r="AD485">
        <f>セットアップレポート!AC485</f>
        <v>0</v>
      </c>
      <c r="AE485">
        <f>セットアップレポート!AD485</f>
        <v>0</v>
      </c>
      <c r="AF485">
        <f>セットアップレポート!AE485</f>
        <v>0</v>
      </c>
      <c r="AG485">
        <f>セットアップレポート!AF485</f>
        <v>0</v>
      </c>
      <c r="AH485">
        <f>セットアップレポート!AG485</f>
        <v>0</v>
      </c>
    </row>
    <row r="486" spans="1:34" x14ac:dyDescent="0.45">
      <c r="A486" t="str">
        <f t="shared" si="7"/>
        <v>L2-NPM030007R663729</v>
      </c>
      <c r="B486" t="str">
        <f>セットアップレポート!A486</f>
        <v>Line-2</v>
      </c>
      <c r="C486" t="str">
        <f>セットアップレポート!B486</f>
        <v>L2-NPM03</v>
      </c>
      <c r="D486" t="str">
        <f>セットアップレポート!C486</f>
        <v>Zone-2-NPMW-3</v>
      </c>
      <c r="E486">
        <f>セットアップレポート!D486</f>
        <v>1</v>
      </c>
      <c r="F486">
        <f>セットアップレポート!E486</f>
        <v>1</v>
      </c>
      <c r="G486" t="str">
        <f>セットアップレポート!F486</f>
        <v>10007R</v>
      </c>
      <c r="H486">
        <f>セットアップレポート!G486</f>
        <v>7</v>
      </c>
      <c r="I486" t="str">
        <f>セットアップレポート!H486</f>
        <v>R</v>
      </c>
      <c r="J486" t="str">
        <f>セットアップレポート!I486</f>
        <v>663729 100024</v>
      </c>
      <c r="K486">
        <f>セットアップレポート!J486</f>
        <v>663729</v>
      </c>
      <c r="L486">
        <f>セットアップレポート!K486</f>
        <v>0</v>
      </c>
      <c r="M486">
        <f>セットアップレポート!L486</f>
        <v>0</v>
      </c>
      <c r="N486">
        <f>セットアップレポート!M486</f>
        <v>0</v>
      </c>
      <c r="O486">
        <f>セットアップレポート!N486</f>
        <v>0</v>
      </c>
      <c r="P486" t="str">
        <f>セットアップレポート!O486</f>
        <v>FA0201ABD000541</v>
      </c>
      <c r="Q486">
        <f>セットアップレポート!P486</f>
        <v>5000</v>
      </c>
      <c r="R486">
        <f>セットアップレポート!Q486</f>
        <v>45950.474224537036</v>
      </c>
      <c r="S486">
        <f>セットアップレポート!R486</f>
        <v>0</v>
      </c>
      <c r="T486">
        <f>セットアップレポート!S486</f>
        <v>0</v>
      </c>
      <c r="U486">
        <f>セットアップレポート!T486</f>
        <v>0</v>
      </c>
      <c r="V486">
        <f>セットアップレポート!U486</f>
        <v>0</v>
      </c>
      <c r="W486">
        <f>セットアップレポート!V486</f>
        <v>0</v>
      </c>
      <c r="X486">
        <f>セットアップレポート!W486</f>
        <v>0</v>
      </c>
      <c r="Y486">
        <f>セットアップレポート!X486</f>
        <v>0</v>
      </c>
      <c r="Z486">
        <f>セットアップレポート!Y486</f>
        <v>0</v>
      </c>
      <c r="AA486">
        <f>セットアップレポート!Z486</f>
        <v>0</v>
      </c>
      <c r="AB486" t="str">
        <f>セットアップレポート!AA486</f>
        <v>NONE</v>
      </c>
      <c r="AC486">
        <f>セットアップレポート!AB486</f>
        <v>0</v>
      </c>
      <c r="AD486">
        <f>セットアップレポート!AC486</f>
        <v>0</v>
      </c>
      <c r="AE486">
        <f>セットアップレポート!AD486</f>
        <v>0</v>
      </c>
      <c r="AF486">
        <f>セットアップレポート!AE486</f>
        <v>0</v>
      </c>
      <c r="AG486">
        <f>セットアップレポート!AF486</f>
        <v>0</v>
      </c>
      <c r="AH486">
        <f>セットアップレポート!AG486</f>
        <v>0</v>
      </c>
    </row>
    <row r="487" spans="1:34" x14ac:dyDescent="0.45">
      <c r="A487" t="str">
        <f t="shared" si="7"/>
        <v>L2-NPM030026R930922</v>
      </c>
      <c r="B487" t="str">
        <f>セットアップレポート!A487</f>
        <v>Line-2</v>
      </c>
      <c r="C487" t="str">
        <f>セットアップレポート!B487</f>
        <v>L2-NPM03</v>
      </c>
      <c r="D487" t="str">
        <f>セットアップレポート!C487</f>
        <v>Zone-2-NPMW-3</v>
      </c>
      <c r="E487">
        <f>セットアップレポート!D487</f>
        <v>1</v>
      </c>
      <c r="F487">
        <f>セットアップレポート!E487</f>
        <v>1</v>
      </c>
      <c r="G487" t="str">
        <f>セットアップレポート!F487</f>
        <v>20026R</v>
      </c>
      <c r="H487">
        <f>セットアップレポート!G487</f>
        <v>26</v>
      </c>
      <c r="I487" t="str">
        <f>セットアップレポート!H487</f>
        <v>R</v>
      </c>
      <c r="J487" t="str">
        <f>セットアップレポート!I487</f>
        <v>930922 100065</v>
      </c>
      <c r="K487">
        <f>セットアップレポート!J487</f>
        <v>930922</v>
      </c>
      <c r="L487">
        <f>セットアップレポート!K487</f>
        <v>0</v>
      </c>
      <c r="M487">
        <f>セットアップレポート!L487</f>
        <v>0</v>
      </c>
      <c r="N487">
        <f>セットアップレポート!M487</f>
        <v>0</v>
      </c>
      <c r="O487">
        <f>セットアップレポート!N487</f>
        <v>0</v>
      </c>
      <c r="P487" t="str">
        <f>セットアップレポート!O487</f>
        <v>FA0201ACD051322</v>
      </c>
      <c r="Q487">
        <f>セットアップレポート!P487</f>
        <v>3000</v>
      </c>
      <c r="R487">
        <f>セットアップレポート!Q487</f>
        <v>45950.474259259259</v>
      </c>
      <c r="S487">
        <f>セットアップレポート!R487</f>
        <v>0</v>
      </c>
      <c r="T487">
        <f>セットアップレポート!S487</f>
        <v>0</v>
      </c>
      <c r="U487">
        <f>セットアップレポート!T487</f>
        <v>0</v>
      </c>
      <c r="V487">
        <f>セットアップレポート!U487</f>
        <v>0</v>
      </c>
      <c r="W487">
        <f>セットアップレポート!V487</f>
        <v>0</v>
      </c>
      <c r="X487">
        <f>セットアップレポート!W487</f>
        <v>0</v>
      </c>
      <c r="Y487">
        <f>セットアップレポート!X487</f>
        <v>0</v>
      </c>
      <c r="Z487">
        <f>セットアップレポート!Y487</f>
        <v>0</v>
      </c>
      <c r="AA487">
        <f>セットアップレポート!Z487</f>
        <v>0</v>
      </c>
      <c r="AB487" t="str">
        <f>セットアップレポート!AA487</f>
        <v>NONE</v>
      </c>
      <c r="AC487">
        <f>セットアップレポート!AB487</f>
        <v>0</v>
      </c>
      <c r="AD487">
        <f>セットアップレポート!AC487</f>
        <v>0</v>
      </c>
      <c r="AE487">
        <f>セットアップレポート!AD487</f>
        <v>0</v>
      </c>
      <c r="AF487">
        <f>セットアップレポート!AE487</f>
        <v>0</v>
      </c>
      <c r="AG487">
        <f>セットアップレポート!AF487</f>
        <v>0</v>
      </c>
      <c r="AH487">
        <f>セットアップレポート!AG487</f>
        <v>0</v>
      </c>
    </row>
    <row r="488" spans="1:34" x14ac:dyDescent="0.45">
      <c r="A488" t="str">
        <f t="shared" si="7"/>
        <v>L2-NPM030025R9000049457</v>
      </c>
      <c r="B488" t="str">
        <f>セットアップレポート!A488</f>
        <v>Line-2</v>
      </c>
      <c r="C488" t="str">
        <f>セットアップレポート!B488</f>
        <v>L2-NPM03</v>
      </c>
      <c r="D488" t="str">
        <f>セットアップレポート!C488</f>
        <v>Zone-2-NPMW-3</v>
      </c>
      <c r="E488">
        <f>セットアップレポート!D488</f>
        <v>1</v>
      </c>
      <c r="F488">
        <f>セットアップレポート!E488</f>
        <v>1</v>
      </c>
      <c r="G488" t="str">
        <f>セットアップレポート!F488</f>
        <v>20025R</v>
      </c>
      <c r="H488">
        <f>セットアップレポート!G488</f>
        <v>25</v>
      </c>
      <c r="I488" t="str">
        <f>セットアップレポート!H488</f>
        <v>R</v>
      </c>
      <c r="J488" t="str">
        <f>セットアップレポート!I488</f>
        <v>9000049457 100151</v>
      </c>
      <c r="K488">
        <f>セットアップレポート!J488</f>
        <v>9000049457</v>
      </c>
      <c r="L488">
        <f>セットアップレポート!K488</f>
        <v>0</v>
      </c>
      <c r="M488">
        <f>セットアップレポート!L488</f>
        <v>0</v>
      </c>
      <c r="N488">
        <f>セットアップレポート!M488</f>
        <v>0</v>
      </c>
      <c r="O488">
        <f>セットアップレポート!N488</f>
        <v>0</v>
      </c>
      <c r="P488" t="str">
        <f>セットアップレポート!O488</f>
        <v>FA0201ACD051422</v>
      </c>
      <c r="Q488">
        <f>セットアップレポート!P488</f>
        <v>10000</v>
      </c>
      <c r="R488">
        <f>セットアップレポート!Q488</f>
        <v>45950.474259259259</v>
      </c>
      <c r="S488">
        <f>セットアップレポート!R488</f>
        <v>0</v>
      </c>
      <c r="T488">
        <f>セットアップレポート!S488</f>
        <v>0</v>
      </c>
      <c r="U488">
        <f>セットアップレポート!T488</f>
        <v>0</v>
      </c>
      <c r="V488">
        <f>セットアップレポート!U488</f>
        <v>0</v>
      </c>
      <c r="W488">
        <f>セットアップレポート!V488</f>
        <v>0</v>
      </c>
      <c r="X488">
        <f>セットアップレポート!W488</f>
        <v>0</v>
      </c>
      <c r="Y488">
        <f>セットアップレポート!X488</f>
        <v>0</v>
      </c>
      <c r="Z488">
        <f>セットアップレポート!Y488</f>
        <v>0</v>
      </c>
      <c r="AA488">
        <f>セットアップレポート!Z488</f>
        <v>0</v>
      </c>
      <c r="AB488" t="str">
        <f>セットアップレポート!AA488</f>
        <v>NONE</v>
      </c>
      <c r="AC488">
        <f>セットアップレポート!AB488</f>
        <v>0</v>
      </c>
      <c r="AD488">
        <f>セットアップレポート!AC488</f>
        <v>0</v>
      </c>
      <c r="AE488">
        <f>セットアップレポート!AD488</f>
        <v>0</v>
      </c>
      <c r="AF488">
        <f>セットアップレポート!AE488</f>
        <v>0</v>
      </c>
      <c r="AG488">
        <f>セットアップレポート!AF488</f>
        <v>0</v>
      </c>
      <c r="AH488">
        <f>セットアップレポート!AG488</f>
        <v>0</v>
      </c>
    </row>
    <row r="489" spans="1:34" x14ac:dyDescent="0.45">
      <c r="A489" t="str">
        <f t="shared" si="7"/>
        <v>L2-NPM030024R9000063371</v>
      </c>
      <c r="B489" t="str">
        <f>セットアップレポート!A489</f>
        <v>Line-2</v>
      </c>
      <c r="C489" t="str">
        <f>セットアップレポート!B489</f>
        <v>L2-NPM03</v>
      </c>
      <c r="D489" t="str">
        <f>セットアップレポート!C489</f>
        <v>Zone-2-NPMW-3</v>
      </c>
      <c r="E489">
        <f>セットアップレポート!D489</f>
        <v>1</v>
      </c>
      <c r="F489">
        <f>セットアップレポート!E489</f>
        <v>1</v>
      </c>
      <c r="G489" t="str">
        <f>セットアップレポート!F489</f>
        <v>20024R</v>
      </c>
      <c r="H489">
        <f>セットアップレポート!G489</f>
        <v>24</v>
      </c>
      <c r="I489" t="str">
        <f>セットアップレポート!H489</f>
        <v>R</v>
      </c>
      <c r="J489" t="str">
        <f>セットアップレポート!I489</f>
        <v>9000063371 100005</v>
      </c>
      <c r="K489">
        <f>セットアップレポート!J489</f>
        <v>9000063371</v>
      </c>
      <c r="L489">
        <f>セットアップレポート!K489</f>
        <v>0</v>
      </c>
      <c r="M489">
        <f>セットアップレポート!L489</f>
        <v>0</v>
      </c>
      <c r="N489">
        <f>セットアップレポート!M489</f>
        <v>0</v>
      </c>
      <c r="O489">
        <f>セットアップレポート!N489</f>
        <v>0</v>
      </c>
      <c r="P489" t="str">
        <f>セットアップレポート!O489</f>
        <v>FA0201ABA002350</v>
      </c>
      <c r="Q489">
        <f>セットアップレポート!P489</f>
        <v>3000</v>
      </c>
      <c r="R489">
        <f>セットアップレポート!Q489</f>
        <v>45950.474259259259</v>
      </c>
      <c r="S489">
        <f>セットアップレポート!R489</f>
        <v>0</v>
      </c>
      <c r="T489" t="str">
        <f>セットアップレポート!S489</f>
        <v>Yes</v>
      </c>
      <c r="U489">
        <f>セットアップレポート!T489</f>
        <v>0</v>
      </c>
      <c r="V489" t="str">
        <f>セットアップレポート!U489</f>
        <v>9000063371 100007</v>
      </c>
      <c r="W489">
        <f>セットアップレポート!V489</f>
        <v>0</v>
      </c>
      <c r="X489">
        <f>セットアップレポート!W489</f>
        <v>0</v>
      </c>
      <c r="Y489">
        <f>セットアップレポート!X489</f>
        <v>0</v>
      </c>
      <c r="Z489">
        <f>セットアップレポート!Y489</f>
        <v>0</v>
      </c>
      <c r="AA489">
        <f>セットアップレポート!Z489</f>
        <v>0</v>
      </c>
      <c r="AB489" t="str">
        <f>セットアップレポート!AA489</f>
        <v>NONE</v>
      </c>
      <c r="AC489">
        <f>セットアップレポート!AB489</f>
        <v>0</v>
      </c>
      <c r="AD489">
        <f>セットアップレポート!AC489</f>
        <v>0</v>
      </c>
      <c r="AE489">
        <f>セットアップレポート!AD489</f>
        <v>0</v>
      </c>
      <c r="AF489">
        <f>セットアップレポート!AE489</f>
        <v>0</v>
      </c>
      <c r="AG489">
        <f>セットアップレポート!AF489</f>
        <v>0</v>
      </c>
      <c r="AH489">
        <f>セットアップレポート!AG489</f>
        <v>0</v>
      </c>
    </row>
    <row r="490" spans="1:34" x14ac:dyDescent="0.45">
      <c r="A490" t="str">
        <f t="shared" si="7"/>
        <v>L2-NPM030023R668769A</v>
      </c>
      <c r="B490" t="str">
        <f>セットアップレポート!A490</f>
        <v>Line-2</v>
      </c>
      <c r="C490" t="str">
        <f>セットアップレポート!B490</f>
        <v>L2-NPM03</v>
      </c>
      <c r="D490" t="str">
        <f>セットアップレポート!C490</f>
        <v>Zone-2-NPMW-3</v>
      </c>
      <c r="E490">
        <f>セットアップレポート!D490</f>
        <v>1</v>
      </c>
      <c r="F490">
        <f>セットアップレポート!E490</f>
        <v>1</v>
      </c>
      <c r="G490" t="str">
        <f>セットアップレポート!F490</f>
        <v>20023R</v>
      </c>
      <c r="H490">
        <f>セットアップレポート!G490</f>
        <v>23</v>
      </c>
      <c r="I490" t="str">
        <f>セットアップレポート!H490</f>
        <v>R</v>
      </c>
      <c r="J490" t="str">
        <f>セットアップレポート!I490</f>
        <v>668769A101477</v>
      </c>
      <c r="K490" t="str">
        <f>セットアップレポート!J490</f>
        <v>668769A</v>
      </c>
      <c r="L490">
        <f>セットアップレポート!K490</f>
        <v>0</v>
      </c>
      <c r="M490">
        <f>セットアップレポート!L490</f>
        <v>0</v>
      </c>
      <c r="N490">
        <f>セットアップレポート!M490</f>
        <v>0</v>
      </c>
      <c r="O490">
        <f>セットアップレポート!N490</f>
        <v>0</v>
      </c>
      <c r="P490" t="str">
        <f>セットアップレポート!O490</f>
        <v>FA0201ABA002372</v>
      </c>
      <c r="Q490">
        <f>セットアップレポート!P490</f>
        <v>3000</v>
      </c>
      <c r="R490">
        <f>セットアップレポート!Q490</f>
        <v>45950.474259259259</v>
      </c>
      <c r="S490">
        <f>セットアップレポート!R490</f>
        <v>0</v>
      </c>
      <c r="T490">
        <f>セットアップレポート!S490</f>
        <v>0</v>
      </c>
      <c r="U490">
        <f>セットアップレポート!T490</f>
        <v>0</v>
      </c>
      <c r="V490">
        <f>セットアップレポート!U490</f>
        <v>0</v>
      </c>
      <c r="W490">
        <f>セットアップレポート!V490</f>
        <v>0</v>
      </c>
      <c r="X490">
        <f>セットアップレポート!W490</f>
        <v>0</v>
      </c>
      <c r="Y490">
        <f>セットアップレポート!X490</f>
        <v>0</v>
      </c>
      <c r="Z490">
        <f>セットアップレポート!Y490</f>
        <v>0</v>
      </c>
      <c r="AA490">
        <f>セットアップレポート!Z490</f>
        <v>0</v>
      </c>
      <c r="AB490" t="str">
        <f>セットアップレポート!AA490</f>
        <v>NONE</v>
      </c>
      <c r="AC490">
        <f>セットアップレポート!AB490</f>
        <v>0</v>
      </c>
      <c r="AD490">
        <f>セットアップレポート!AC490</f>
        <v>0</v>
      </c>
      <c r="AE490">
        <f>セットアップレポート!AD490</f>
        <v>0</v>
      </c>
      <c r="AF490">
        <f>セットアップレポート!AE490</f>
        <v>0</v>
      </c>
      <c r="AG490">
        <f>セットアップレポート!AF490</f>
        <v>0</v>
      </c>
      <c r="AH490">
        <f>セットアップレポート!AG490</f>
        <v>0</v>
      </c>
    </row>
    <row r="491" spans="1:34" x14ac:dyDescent="0.45">
      <c r="A491" t="str">
        <f t="shared" si="7"/>
        <v>L2-NPM030022R9000066712</v>
      </c>
      <c r="B491" t="str">
        <f>セットアップレポート!A491</f>
        <v>Line-2</v>
      </c>
      <c r="C491" t="str">
        <f>セットアップレポート!B491</f>
        <v>L2-NPM03</v>
      </c>
      <c r="D491" t="str">
        <f>セットアップレポート!C491</f>
        <v>Zone-2-NPMW-3</v>
      </c>
      <c r="E491">
        <f>セットアップレポート!D491</f>
        <v>1</v>
      </c>
      <c r="F491">
        <f>セットアップレポート!E491</f>
        <v>1</v>
      </c>
      <c r="G491" t="str">
        <f>セットアップレポート!F491</f>
        <v>20022R</v>
      </c>
      <c r="H491">
        <f>セットアップレポート!G491</f>
        <v>22</v>
      </c>
      <c r="I491" t="str">
        <f>セットアップレポート!H491</f>
        <v>R</v>
      </c>
      <c r="J491" t="str">
        <f>セットアップレポート!I491</f>
        <v>9000066712 101381</v>
      </c>
      <c r="K491">
        <f>セットアップレポート!J491</f>
        <v>9000066712</v>
      </c>
      <c r="L491">
        <f>セットアップレポート!K491</f>
        <v>0</v>
      </c>
      <c r="M491">
        <f>セットアップレポート!L491</f>
        <v>0</v>
      </c>
      <c r="N491">
        <f>セットアップレポート!M491</f>
        <v>0</v>
      </c>
      <c r="O491">
        <f>セットアップレポート!N491</f>
        <v>0</v>
      </c>
      <c r="P491" t="str">
        <f>セットアップレポート!O491</f>
        <v>FA0201ACD051377</v>
      </c>
      <c r="Q491">
        <f>セットアップレポート!P491</f>
        <v>2000</v>
      </c>
      <c r="R491">
        <f>セットアップレポート!Q491</f>
        <v>45950.474259259259</v>
      </c>
      <c r="S491">
        <f>セットアップレポート!R491</f>
        <v>0</v>
      </c>
      <c r="T491" t="str">
        <f>セットアップレポート!S491</f>
        <v>Yes</v>
      </c>
      <c r="U491">
        <f>セットアップレポート!T491</f>
        <v>0</v>
      </c>
      <c r="V491" t="str">
        <f>セットアップレポート!U491</f>
        <v>9000066712 101391</v>
      </c>
      <c r="W491">
        <f>セットアップレポート!V491</f>
        <v>0</v>
      </c>
      <c r="X491">
        <f>セットアップレポート!W491</f>
        <v>0</v>
      </c>
      <c r="Y491">
        <f>セットアップレポート!X491</f>
        <v>0</v>
      </c>
      <c r="Z491">
        <f>セットアップレポート!Y491</f>
        <v>0</v>
      </c>
      <c r="AA491">
        <f>セットアップレポート!Z491</f>
        <v>0</v>
      </c>
      <c r="AB491" t="str">
        <f>セットアップレポート!AA491</f>
        <v>NONE</v>
      </c>
      <c r="AC491">
        <f>セットアップレポート!AB491</f>
        <v>0</v>
      </c>
      <c r="AD491">
        <f>セットアップレポート!AC491</f>
        <v>0</v>
      </c>
      <c r="AE491">
        <f>セットアップレポート!AD491</f>
        <v>0</v>
      </c>
      <c r="AF491">
        <f>セットアップレポート!AE491</f>
        <v>0</v>
      </c>
      <c r="AG491">
        <f>セットアップレポート!AF491</f>
        <v>0</v>
      </c>
      <c r="AH491">
        <f>セットアップレポート!AG491</f>
        <v>0</v>
      </c>
    </row>
    <row r="492" spans="1:34" x14ac:dyDescent="0.45">
      <c r="A492" t="str">
        <f t="shared" si="7"/>
        <v>L2-NPM030021R670873</v>
      </c>
      <c r="B492" t="str">
        <f>セットアップレポート!A492</f>
        <v>Line-2</v>
      </c>
      <c r="C492" t="str">
        <f>セットアップレポート!B492</f>
        <v>L2-NPM03</v>
      </c>
      <c r="D492" t="str">
        <f>セットアップレポート!C492</f>
        <v>Zone-2-NPMW-3</v>
      </c>
      <c r="E492">
        <f>セットアップレポート!D492</f>
        <v>1</v>
      </c>
      <c r="F492">
        <f>セットアップレポート!E492</f>
        <v>1</v>
      </c>
      <c r="G492" t="str">
        <f>セットアップレポート!F492</f>
        <v>20021R</v>
      </c>
      <c r="H492">
        <f>セットアップレポート!G492</f>
        <v>21</v>
      </c>
      <c r="I492" t="str">
        <f>セットアップレポート!H492</f>
        <v>R</v>
      </c>
      <c r="J492" t="str">
        <f>セットアップレポート!I492</f>
        <v>670873 100137</v>
      </c>
      <c r="K492">
        <f>セットアップレポート!J492</f>
        <v>670873</v>
      </c>
      <c r="L492">
        <f>セットアップレポート!K492</f>
        <v>0</v>
      </c>
      <c r="M492">
        <f>セットアップレポート!L492</f>
        <v>0</v>
      </c>
      <c r="N492">
        <f>セットアップレポート!M492</f>
        <v>0</v>
      </c>
      <c r="O492">
        <f>セットアップレポート!N492</f>
        <v>0</v>
      </c>
      <c r="P492" t="str">
        <f>セットアップレポート!O492</f>
        <v>FA0201ACD049717</v>
      </c>
      <c r="Q492">
        <f>セットアップレポート!P492</f>
        <v>3000</v>
      </c>
      <c r="R492">
        <f>セットアップレポート!Q492</f>
        <v>45950.474259259259</v>
      </c>
      <c r="S492">
        <f>セットアップレポート!R492</f>
        <v>0</v>
      </c>
      <c r="T492" t="str">
        <f>セットアップレポート!S492</f>
        <v>Yes</v>
      </c>
      <c r="U492">
        <f>セットアップレポート!T492</f>
        <v>0</v>
      </c>
      <c r="V492" t="str">
        <f>セットアップレポート!U492</f>
        <v>670873 100158</v>
      </c>
      <c r="W492">
        <f>セットアップレポート!V492</f>
        <v>0</v>
      </c>
      <c r="X492">
        <f>セットアップレポート!W492</f>
        <v>0</v>
      </c>
      <c r="Y492">
        <f>セットアップレポート!X492</f>
        <v>0</v>
      </c>
      <c r="Z492">
        <f>セットアップレポート!Y492</f>
        <v>0</v>
      </c>
      <c r="AA492">
        <f>セットアップレポート!Z492</f>
        <v>0</v>
      </c>
      <c r="AB492" t="str">
        <f>セットアップレポート!AA492</f>
        <v>NONE</v>
      </c>
      <c r="AC492">
        <f>セットアップレポート!AB492</f>
        <v>0</v>
      </c>
      <c r="AD492">
        <f>セットアップレポート!AC492</f>
        <v>0</v>
      </c>
      <c r="AE492">
        <f>セットアップレポート!AD492</f>
        <v>0</v>
      </c>
      <c r="AF492">
        <f>セットアップレポート!AE492</f>
        <v>0</v>
      </c>
      <c r="AG492">
        <f>セットアップレポート!AF492</f>
        <v>0</v>
      </c>
      <c r="AH492">
        <f>セットアップレポート!AG492</f>
        <v>0</v>
      </c>
    </row>
    <row r="493" spans="1:34" x14ac:dyDescent="0.45">
      <c r="A493" t="str">
        <f t="shared" si="7"/>
        <v>L2-NPM030020R9000067544</v>
      </c>
      <c r="B493" t="str">
        <f>セットアップレポート!A493</f>
        <v>Line-2</v>
      </c>
      <c r="C493" t="str">
        <f>セットアップレポート!B493</f>
        <v>L2-NPM03</v>
      </c>
      <c r="D493" t="str">
        <f>セットアップレポート!C493</f>
        <v>Zone-2-NPMW-3</v>
      </c>
      <c r="E493">
        <f>セットアップレポート!D493</f>
        <v>1</v>
      </c>
      <c r="F493">
        <f>セットアップレポート!E493</f>
        <v>1</v>
      </c>
      <c r="G493" t="str">
        <f>セットアップレポート!F493</f>
        <v>20020R</v>
      </c>
      <c r="H493">
        <f>セットアップレポート!G493</f>
        <v>20</v>
      </c>
      <c r="I493" t="str">
        <f>セットアップレポート!H493</f>
        <v>R</v>
      </c>
      <c r="J493" t="str">
        <f>セットアップレポート!I493</f>
        <v>9000067544 100535</v>
      </c>
      <c r="K493">
        <f>セットアップレポート!J493</f>
        <v>9000067544</v>
      </c>
      <c r="L493">
        <f>セットアップレポート!K493</f>
        <v>0</v>
      </c>
      <c r="M493">
        <f>セットアップレポート!L493</f>
        <v>0</v>
      </c>
      <c r="N493">
        <f>セットアップレポート!M493</f>
        <v>0</v>
      </c>
      <c r="O493">
        <f>セットアップレポート!N493</f>
        <v>0</v>
      </c>
      <c r="P493" t="str">
        <f>セットアップレポート!O493</f>
        <v>FA0201ACD051166</v>
      </c>
      <c r="Q493">
        <f>セットアップレポート!P493</f>
        <v>2000</v>
      </c>
      <c r="R493">
        <f>セットアップレポート!Q493</f>
        <v>45950.474247685182</v>
      </c>
      <c r="S493">
        <f>セットアップレポート!R493</f>
        <v>0</v>
      </c>
      <c r="T493">
        <f>セットアップレポート!S493</f>
        <v>0</v>
      </c>
      <c r="U493">
        <f>セットアップレポート!T493</f>
        <v>0</v>
      </c>
      <c r="V493">
        <f>セットアップレポート!U493</f>
        <v>0</v>
      </c>
      <c r="W493">
        <f>セットアップレポート!V493</f>
        <v>0</v>
      </c>
      <c r="X493">
        <f>セットアップレポート!W493</f>
        <v>0</v>
      </c>
      <c r="Y493">
        <f>セットアップレポート!X493</f>
        <v>0</v>
      </c>
      <c r="Z493">
        <f>セットアップレポート!Y493</f>
        <v>0</v>
      </c>
      <c r="AA493">
        <f>セットアップレポート!Z493</f>
        <v>0</v>
      </c>
      <c r="AB493" t="str">
        <f>セットアップレポート!AA493</f>
        <v>NONE</v>
      </c>
      <c r="AC493">
        <f>セットアップレポート!AB493</f>
        <v>0</v>
      </c>
      <c r="AD493">
        <f>セットアップレポート!AC493</f>
        <v>0</v>
      </c>
      <c r="AE493">
        <f>セットアップレポート!AD493</f>
        <v>0</v>
      </c>
      <c r="AF493">
        <f>セットアップレポート!AE493</f>
        <v>0</v>
      </c>
      <c r="AG493">
        <f>セットアップレポート!AF493</f>
        <v>0</v>
      </c>
      <c r="AH493">
        <f>セットアップレポート!AG493</f>
        <v>0</v>
      </c>
    </row>
    <row r="494" spans="1:34" x14ac:dyDescent="0.45">
      <c r="A494" t="str">
        <f t="shared" si="7"/>
        <v>L2-NPM030019R9000066597</v>
      </c>
      <c r="B494" t="str">
        <f>セットアップレポート!A494</f>
        <v>Line-2</v>
      </c>
      <c r="C494" t="str">
        <f>セットアップレポート!B494</f>
        <v>L2-NPM03</v>
      </c>
      <c r="D494" t="str">
        <f>セットアップレポート!C494</f>
        <v>Zone-2-NPMW-3</v>
      </c>
      <c r="E494">
        <f>セットアップレポート!D494</f>
        <v>1</v>
      </c>
      <c r="F494">
        <f>セットアップレポート!E494</f>
        <v>1</v>
      </c>
      <c r="G494" t="str">
        <f>セットアップレポート!F494</f>
        <v>20019R</v>
      </c>
      <c r="H494">
        <f>セットアップレポート!G494</f>
        <v>19</v>
      </c>
      <c r="I494" t="str">
        <f>セットアップレポート!H494</f>
        <v>R</v>
      </c>
      <c r="J494" t="str">
        <f>セットアップレポート!I494</f>
        <v>9000066597 100332</v>
      </c>
      <c r="K494">
        <f>セットアップレポート!J494</f>
        <v>9000066597</v>
      </c>
      <c r="L494">
        <f>セットアップレポート!K494</f>
        <v>0</v>
      </c>
      <c r="M494">
        <f>セットアップレポート!L494</f>
        <v>0</v>
      </c>
      <c r="N494">
        <f>セットアップレポート!M494</f>
        <v>0</v>
      </c>
      <c r="O494">
        <f>セットアップレポート!N494</f>
        <v>0</v>
      </c>
      <c r="P494" t="str">
        <f>セットアップレポート!O494</f>
        <v>FA0201ACD050222</v>
      </c>
      <c r="Q494">
        <f>セットアップレポート!P494</f>
        <v>2000</v>
      </c>
      <c r="R494">
        <f>セットアップレポート!Q494</f>
        <v>45950.474247685182</v>
      </c>
      <c r="S494">
        <f>セットアップレポート!R494</f>
        <v>0</v>
      </c>
      <c r="T494" t="str">
        <f>セットアップレポート!S494</f>
        <v>Yes</v>
      </c>
      <c r="U494">
        <f>セットアップレポート!T494</f>
        <v>0</v>
      </c>
      <c r="V494" t="str">
        <f>セットアップレポート!U494</f>
        <v>9000066597 100377</v>
      </c>
      <c r="W494">
        <f>セットアップレポート!V494</f>
        <v>0</v>
      </c>
      <c r="X494">
        <f>セットアップレポート!W494</f>
        <v>0</v>
      </c>
      <c r="Y494">
        <f>セットアップレポート!X494</f>
        <v>0</v>
      </c>
      <c r="Z494">
        <f>セットアップレポート!Y494</f>
        <v>0</v>
      </c>
      <c r="AA494">
        <f>セットアップレポート!Z494</f>
        <v>0</v>
      </c>
      <c r="AB494" t="str">
        <f>セットアップレポート!AA494</f>
        <v>NONE</v>
      </c>
      <c r="AC494">
        <f>セットアップレポート!AB494</f>
        <v>0</v>
      </c>
      <c r="AD494">
        <f>セットアップレポート!AC494</f>
        <v>0</v>
      </c>
      <c r="AE494">
        <f>セットアップレポート!AD494</f>
        <v>0</v>
      </c>
      <c r="AF494">
        <f>セットアップレポート!AE494</f>
        <v>0</v>
      </c>
      <c r="AG494">
        <f>セットアップレポート!AF494</f>
        <v>0</v>
      </c>
      <c r="AH494">
        <f>セットアップレポート!AG494</f>
        <v>0</v>
      </c>
    </row>
    <row r="495" spans="1:34" x14ac:dyDescent="0.45">
      <c r="A495" t="str">
        <f t="shared" si="7"/>
        <v>L2-NPM030030R9000053399</v>
      </c>
      <c r="B495" t="str">
        <f>セットアップレポート!A495</f>
        <v>Line-2</v>
      </c>
      <c r="C495" t="str">
        <f>セットアップレポート!B495</f>
        <v>L2-NPM03</v>
      </c>
      <c r="D495" t="str">
        <f>セットアップレポート!C495</f>
        <v>Zone-2-NPMW-3</v>
      </c>
      <c r="E495">
        <f>セットアップレポート!D495</f>
        <v>1</v>
      </c>
      <c r="F495">
        <f>セットアップレポート!E495</f>
        <v>1</v>
      </c>
      <c r="G495" t="str">
        <f>セットアップレポート!F495</f>
        <v>20030R</v>
      </c>
      <c r="H495">
        <f>セットアップレポート!G495</f>
        <v>30</v>
      </c>
      <c r="I495" t="str">
        <f>セットアップレポート!H495</f>
        <v>R</v>
      </c>
      <c r="J495" t="str">
        <f>セットアップレポート!I495</f>
        <v>9000053399 100191</v>
      </c>
      <c r="K495">
        <f>セットアップレポート!J495</f>
        <v>9000053399</v>
      </c>
      <c r="L495">
        <f>セットアップレポート!K495</f>
        <v>0</v>
      </c>
      <c r="M495">
        <f>セットアップレポート!L495</f>
        <v>0</v>
      </c>
      <c r="N495">
        <f>セットアップレポート!M495</f>
        <v>0</v>
      </c>
      <c r="O495">
        <f>セットアップレポート!N495</f>
        <v>0</v>
      </c>
      <c r="P495" t="str">
        <f>セットアップレポート!O495</f>
        <v>FA0201ACD051336</v>
      </c>
      <c r="Q495">
        <f>セットアップレポート!P495</f>
        <v>3000</v>
      </c>
      <c r="R495">
        <f>セットアップレポート!Q495</f>
        <v>45950.474259259259</v>
      </c>
      <c r="S495">
        <f>セットアップレポート!R495</f>
        <v>0</v>
      </c>
      <c r="T495">
        <f>セットアップレポート!S495</f>
        <v>0</v>
      </c>
      <c r="U495">
        <f>セットアップレポート!T495</f>
        <v>0</v>
      </c>
      <c r="V495">
        <f>セットアップレポート!U495</f>
        <v>0</v>
      </c>
      <c r="W495">
        <f>セットアップレポート!V495</f>
        <v>0</v>
      </c>
      <c r="X495">
        <f>セットアップレポート!W495</f>
        <v>0</v>
      </c>
      <c r="Y495">
        <f>セットアップレポート!X495</f>
        <v>0</v>
      </c>
      <c r="Z495">
        <f>セットアップレポート!Y495</f>
        <v>0</v>
      </c>
      <c r="AA495">
        <f>セットアップレポート!Z495</f>
        <v>0</v>
      </c>
      <c r="AB495" t="str">
        <f>セットアップレポート!AA495</f>
        <v>NONE</v>
      </c>
      <c r="AC495">
        <f>セットアップレポート!AB495</f>
        <v>0</v>
      </c>
      <c r="AD495">
        <f>セットアップレポート!AC495</f>
        <v>0</v>
      </c>
      <c r="AE495">
        <f>セットアップレポート!AD495</f>
        <v>0</v>
      </c>
      <c r="AF495">
        <f>セットアップレポート!AE495</f>
        <v>0</v>
      </c>
      <c r="AG495">
        <f>セットアップレポート!AF495</f>
        <v>0</v>
      </c>
      <c r="AH495">
        <f>セットアップレポート!AG495</f>
        <v>0</v>
      </c>
    </row>
    <row r="496" spans="1:34" x14ac:dyDescent="0.45">
      <c r="A496" t="str">
        <f t="shared" si="7"/>
        <v>L2-NPM030029R671275A</v>
      </c>
      <c r="B496" t="str">
        <f>セットアップレポート!A496</f>
        <v>Line-2</v>
      </c>
      <c r="C496" t="str">
        <f>セットアップレポート!B496</f>
        <v>L2-NPM03</v>
      </c>
      <c r="D496" t="str">
        <f>セットアップレポート!C496</f>
        <v>Zone-2-NPMW-3</v>
      </c>
      <c r="E496">
        <f>セットアップレポート!D496</f>
        <v>1</v>
      </c>
      <c r="F496">
        <f>セットアップレポート!E496</f>
        <v>1</v>
      </c>
      <c r="G496" t="str">
        <f>セットアップレポート!F496</f>
        <v>20029R</v>
      </c>
      <c r="H496">
        <f>セットアップレポート!G496</f>
        <v>29</v>
      </c>
      <c r="I496" t="str">
        <f>セットアップレポート!H496</f>
        <v>R</v>
      </c>
      <c r="J496" t="str">
        <f>セットアップレポート!I496</f>
        <v>671275A100092</v>
      </c>
      <c r="K496" t="str">
        <f>セットアップレポート!J496</f>
        <v>671275A</v>
      </c>
      <c r="L496">
        <f>セットアップレポート!K496</f>
        <v>0</v>
      </c>
      <c r="M496">
        <f>セットアップレポート!L496</f>
        <v>0</v>
      </c>
      <c r="N496">
        <f>セットアップレポート!M496</f>
        <v>0</v>
      </c>
      <c r="O496">
        <f>セットアップレポート!N496</f>
        <v>0</v>
      </c>
      <c r="P496" t="str">
        <f>セットアップレポート!O496</f>
        <v>FA0201ACD051044</v>
      </c>
      <c r="Q496">
        <f>セットアップレポート!P496</f>
        <v>5000</v>
      </c>
      <c r="R496">
        <f>セットアップレポート!Q496</f>
        <v>45950.474259259259</v>
      </c>
      <c r="S496">
        <f>セットアップレポート!R496</f>
        <v>0</v>
      </c>
      <c r="T496">
        <f>セットアップレポート!S496</f>
        <v>0</v>
      </c>
      <c r="U496">
        <f>セットアップレポート!T496</f>
        <v>0</v>
      </c>
      <c r="V496">
        <f>セットアップレポート!U496</f>
        <v>0</v>
      </c>
      <c r="W496">
        <f>セットアップレポート!V496</f>
        <v>0</v>
      </c>
      <c r="X496">
        <f>セットアップレポート!W496</f>
        <v>0</v>
      </c>
      <c r="Y496">
        <f>セットアップレポート!X496</f>
        <v>0</v>
      </c>
      <c r="Z496">
        <f>セットアップレポート!Y496</f>
        <v>0</v>
      </c>
      <c r="AA496">
        <f>セットアップレポート!Z496</f>
        <v>0</v>
      </c>
      <c r="AB496" t="str">
        <f>セットアップレポート!AA496</f>
        <v>NONE</v>
      </c>
      <c r="AC496">
        <f>セットアップレポート!AB496</f>
        <v>0</v>
      </c>
      <c r="AD496">
        <f>セットアップレポート!AC496</f>
        <v>0</v>
      </c>
      <c r="AE496">
        <f>セットアップレポート!AD496</f>
        <v>0</v>
      </c>
      <c r="AF496">
        <f>セットアップレポート!AE496</f>
        <v>0</v>
      </c>
      <c r="AG496">
        <f>セットアップレポート!AF496</f>
        <v>0</v>
      </c>
      <c r="AH496">
        <f>セットアップレポート!AG496</f>
        <v>0</v>
      </c>
    </row>
    <row r="497" spans="1:34" x14ac:dyDescent="0.45">
      <c r="A497" t="str">
        <f t="shared" si="7"/>
        <v>L2-NPM030028R9000000358</v>
      </c>
      <c r="B497" t="str">
        <f>セットアップレポート!A497</f>
        <v>Line-2</v>
      </c>
      <c r="C497" t="str">
        <f>セットアップレポート!B497</f>
        <v>L2-NPM03</v>
      </c>
      <c r="D497" t="str">
        <f>セットアップレポート!C497</f>
        <v>Zone-2-NPMW-3</v>
      </c>
      <c r="E497">
        <f>セットアップレポート!D497</f>
        <v>1</v>
      </c>
      <c r="F497">
        <f>セットアップレポート!E497</f>
        <v>1</v>
      </c>
      <c r="G497" t="str">
        <f>セットアップレポート!F497</f>
        <v>20028R</v>
      </c>
      <c r="H497">
        <f>セットアップレポート!G497</f>
        <v>28</v>
      </c>
      <c r="I497" t="str">
        <f>セットアップレポート!H497</f>
        <v>R</v>
      </c>
      <c r="J497" t="str">
        <f>セットアップレポート!I497</f>
        <v>9000000358 100431</v>
      </c>
      <c r="K497">
        <f>セットアップレポート!J497</f>
        <v>9000000358</v>
      </c>
      <c r="L497">
        <f>セットアップレポート!K497</f>
        <v>0</v>
      </c>
      <c r="M497">
        <f>セットアップレポート!L497</f>
        <v>0</v>
      </c>
      <c r="N497">
        <f>セットアップレポート!M497</f>
        <v>0</v>
      </c>
      <c r="O497">
        <f>セットアップレポート!N497</f>
        <v>0</v>
      </c>
      <c r="P497" t="str">
        <f>セットアップレポート!O497</f>
        <v>FA0201ACD051381</v>
      </c>
      <c r="Q497">
        <f>セットアップレポート!P497</f>
        <v>3000</v>
      </c>
      <c r="R497">
        <f>セットアップレポート!Q497</f>
        <v>45950.474259259259</v>
      </c>
      <c r="S497">
        <f>セットアップレポート!R497</f>
        <v>0</v>
      </c>
      <c r="T497" t="str">
        <f>セットアップレポート!S497</f>
        <v>Yes</v>
      </c>
      <c r="U497">
        <f>セットアップレポート!T497</f>
        <v>0</v>
      </c>
      <c r="V497" t="str">
        <f>セットアップレポート!U497</f>
        <v>9000000358 100522</v>
      </c>
      <c r="W497">
        <f>セットアップレポート!V497</f>
        <v>0</v>
      </c>
      <c r="X497">
        <f>セットアップレポート!W497</f>
        <v>0</v>
      </c>
      <c r="Y497">
        <f>セットアップレポート!X497</f>
        <v>0</v>
      </c>
      <c r="Z497">
        <f>セットアップレポート!Y497</f>
        <v>0</v>
      </c>
      <c r="AA497">
        <f>セットアップレポート!Z497</f>
        <v>0</v>
      </c>
      <c r="AB497" t="str">
        <f>セットアップレポート!AA497</f>
        <v>NONE</v>
      </c>
      <c r="AC497">
        <f>セットアップレポート!AB497</f>
        <v>0</v>
      </c>
      <c r="AD497">
        <f>セットアップレポート!AC497</f>
        <v>0</v>
      </c>
      <c r="AE497">
        <f>セットアップレポート!AD497</f>
        <v>0</v>
      </c>
      <c r="AF497">
        <f>セットアップレポート!AE497</f>
        <v>0</v>
      </c>
      <c r="AG497">
        <f>セットアップレポート!AF497</f>
        <v>0</v>
      </c>
      <c r="AH497">
        <f>セットアップレポート!AG497</f>
        <v>0</v>
      </c>
    </row>
    <row r="498" spans="1:34" x14ac:dyDescent="0.45">
      <c r="A498" t="str">
        <f t="shared" si="7"/>
        <v>L2-NPM030027R910115</v>
      </c>
      <c r="B498" t="str">
        <f>セットアップレポート!A498</f>
        <v>Line-2</v>
      </c>
      <c r="C498" t="str">
        <f>セットアップレポート!B498</f>
        <v>L2-NPM03</v>
      </c>
      <c r="D498" t="str">
        <f>セットアップレポート!C498</f>
        <v>Zone-2-NPMW-3</v>
      </c>
      <c r="E498">
        <f>セットアップレポート!D498</f>
        <v>1</v>
      </c>
      <c r="F498">
        <f>セットアップレポート!E498</f>
        <v>1</v>
      </c>
      <c r="G498" t="str">
        <f>セットアップレポート!F498</f>
        <v>20027R</v>
      </c>
      <c r="H498">
        <f>セットアップレポート!G498</f>
        <v>27</v>
      </c>
      <c r="I498" t="str">
        <f>セットアップレポート!H498</f>
        <v>R</v>
      </c>
      <c r="J498" t="str">
        <f>セットアップレポート!I498</f>
        <v>910115 100154</v>
      </c>
      <c r="K498">
        <f>セットアップレポート!J498</f>
        <v>910115</v>
      </c>
      <c r="L498">
        <f>セットアップレポート!K498</f>
        <v>0</v>
      </c>
      <c r="M498">
        <f>セットアップレポート!L498</f>
        <v>0</v>
      </c>
      <c r="N498">
        <f>セットアップレポート!M498</f>
        <v>0</v>
      </c>
      <c r="O498">
        <f>セットアップレポート!N498</f>
        <v>0</v>
      </c>
      <c r="P498" t="str">
        <f>セットアップレポート!O498</f>
        <v>FA0201ACD049732</v>
      </c>
      <c r="Q498">
        <f>セットアップレポート!P498</f>
        <v>10000</v>
      </c>
      <c r="R498">
        <f>セットアップレポート!Q498</f>
        <v>45950.474259259259</v>
      </c>
      <c r="S498">
        <f>セットアップレポート!R498</f>
        <v>0</v>
      </c>
      <c r="T498">
        <f>セットアップレポート!S498</f>
        <v>0</v>
      </c>
      <c r="U498">
        <f>セットアップレポート!T498</f>
        <v>0</v>
      </c>
      <c r="V498">
        <f>セットアップレポート!U498</f>
        <v>0</v>
      </c>
      <c r="W498">
        <f>セットアップレポート!V498</f>
        <v>0</v>
      </c>
      <c r="X498">
        <f>セットアップレポート!W498</f>
        <v>0</v>
      </c>
      <c r="Y498">
        <f>セットアップレポート!X498</f>
        <v>0</v>
      </c>
      <c r="Z498">
        <f>セットアップレポート!Y498</f>
        <v>0</v>
      </c>
      <c r="AA498">
        <f>セットアップレポート!Z498</f>
        <v>0</v>
      </c>
      <c r="AB498" t="str">
        <f>セットアップレポート!AA498</f>
        <v>NONE</v>
      </c>
      <c r="AC498">
        <f>セットアップレポート!AB498</f>
        <v>0</v>
      </c>
      <c r="AD498">
        <f>セットアップレポート!AC498</f>
        <v>0</v>
      </c>
      <c r="AE498">
        <f>セットアップレポート!AD498</f>
        <v>0</v>
      </c>
      <c r="AF498">
        <f>セットアップレポート!AE498</f>
        <v>0</v>
      </c>
      <c r="AG498">
        <f>セットアップレポート!AF498</f>
        <v>0</v>
      </c>
      <c r="AH498">
        <f>セットアップレポート!AG498</f>
        <v>0</v>
      </c>
    </row>
    <row r="499" spans="1:34" x14ac:dyDescent="0.45">
      <c r="A499" t="str">
        <f t="shared" si="7"/>
        <v>L2-NPM040021R9000066603</v>
      </c>
      <c r="B499" t="str">
        <f>セットアップレポート!A499</f>
        <v>Line-2</v>
      </c>
      <c r="C499" t="str">
        <f>セットアップレポート!B499</f>
        <v>L2-NPM04</v>
      </c>
      <c r="D499" t="str">
        <f>セットアップレポート!C499</f>
        <v>Zone-2-NPMW-4</v>
      </c>
      <c r="E499">
        <f>セットアップレポート!D499</f>
        <v>1</v>
      </c>
      <c r="F499">
        <f>セットアップレポート!E499</f>
        <v>1</v>
      </c>
      <c r="G499" t="str">
        <f>セットアップレポート!F499</f>
        <v>10021R</v>
      </c>
      <c r="H499">
        <f>セットアップレポート!G499</f>
        <v>21</v>
      </c>
      <c r="I499" t="str">
        <f>セットアップレポート!H499</f>
        <v>R</v>
      </c>
      <c r="J499" t="str">
        <f>セットアップレポート!I499</f>
        <v>9000066603 100988</v>
      </c>
      <c r="K499">
        <f>セットアップレポート!J499</f>
        <v>9000066603</v>
      </c>
      <c r="L499">
        <f>セットアップレポート!K499</f>
        <v>0</v>
      </c>
      <c r="M499">
        <f>セットアップレポート!L499</f>
        <v>0</v>
      </c>
      <c r="N499">
        <f>セットアップレポート!M499</f>
        <v>0</v>
      </c>
      <c r="O499">
        <f>セットアップレポート!N499</f>
        <v>0</v>
      </c>
      <c r="P499" t="str">
        <f>セットアップレポート!O499</f>
        <v>FA0201ACD049838</v>
      </c>
      <c r="Q499">
        <f>セットアップレポート!P499</f>
        <v>2000</v>
      </c>
      <c r="R499">
        <f>セットアップレポート!Q499</f>
        <v>45950.475775462961</v>
      </c>
      <c r="S499">
        <f>セットアップレポート!R499</f>
        <v>0</v>
      </c>
      <c r="T499">
        <f>セットアップレポート!S499</f>
        <v>0</v>
      </c>
      <c r="U499">
        <f>セットアップレポート!T499</f>
        <v>0</v>
      </c>
      <c r="V499">
        <f>セットアップレポート!U499</f>
        <v>0</v>
      </c>
      <c r="W499">
        <f>セットアップレポート!V499</f>
        <v>0</v>
      </c>
      <c r="X499">
        <f>セットアップレポート!W499</f>
        <v>0</v>
      </c>
      <c r="Y499">
        <f>セットアップレポート!X499</f>
        <v>0</v>
      </c>
      <c r="Z499">
        <f>セットアップレポート!Y499</f>
        <v>0</v>
      </c>
      <c r="AA499">
        <f>セットアップレポート!Z499</f>
        <v>0</v>
      </c>
      <c r="AB499" t="str">
        <f>セットアップレポート!AA499</f>
        <v>NONE</v>
      </c>
      <c r="AC499">
        <f>セットアップレポート!AB499</f>
        <v>0</v>
      </c>
      <c r="AD499">
        <f>セットアップレポート!AC499</f>
        <v>0</v>
      </c>
      <c r="AE499">
        <f>セットアップレポート!AD499</f>
        <v>0</v>
      </c>
      <c r="AF499">
        <f>セットアップレポート!AE499</f>
        <v>0</v>
      </c>
      <c r="AG499">
        <f>セットアップレポート!AF499</f>
        <v>0</v>
      </c>
      <c r="AH499">
        <f>セットアップレポート!AG499</f>
        <v>0</v>
      </c>
    </row>
    <row r="500" spans="1:34" x14ac:dyDescent="0.45">
      <c r="A500" t="str">
        <f t="shared" si="7"/>
        <v>L2-NPM040020R9000002632</v>
      </c>
      <c r="B500" t="str">
        <f>セットアップレポート!A500</f>
        <v>Line-2</v>
      </c>
      <c r="C500" t="str">
        <f>セットアップレポート!B500</f>
        <v>L2-NPM04</v>
      </c>
      <c r="D500" t="str">
        <f>セットアップレポート!C500</f>
        <v>Zone-2-NPMW-4</v>
      </c>
      <c r="E500">
        <f>セットアップレポート!D500</f>
        <v>1</v>
      </c>
      <c r="F500">
        <f>セットアップレポート!E500</f>
        <v>1</v>
      </c>
      <c r="G500" t="str">
        <f>セットアップレポート!F500</f>
        <v>10020R</v>
      </c>
      <c r="H500">
        <f>セットアップレポート!G500</f>
        <v>20</v>
      </c>
      <c r="I500" t="str">
        <f>セットアップレポート!H500</f>
        <v>R</v>
      </c>
      <c r="J500" t="str">
        <f>セットアップレポート!I500</f>
        <v>9000002632 100126</v>
      </c>
      <c r="K500">
        <f>セットアップレポート!J500</f>
        <v>9000002632</v>
      </c>
      <c r="L500">
        <f>セットアップレポート!K500</f>
        <v>0</v>
      </c>
      <c r="M500">
        <f>セットアップレポート!L500</f>
        <v>0</v>
      </c>
      <c r="N500">
        <f>セットアップレポート!M500</f>
        <v>0</v>
      </c>
      <c r="O500">
        <f>セットアップレポート!N500</f>
        <v>0</v>
      </c>
      <c r="P500" t="str">
        <f>セットアップレポート!O500</f>
        <v>FA0201ACD051277</v>
      </c>
      <c r="Q500">
        <f>セットアップレポート!P500</f>
        <v>2000</v>
      </c>
      <c r="R500">
        <f>セットアップレポート!Q500</f>
        <v>45950.475775462961</v>
      </c>
      <c r="S500">
        <f>セットアップレポート!R500</f>
        <v>0</v>
      </c>
      <c r="T500">
        <f>セットアップレポート!S500</f>
        <v>0</v>
      </c>
      <c r="U500">
        <f>セットアップレポート!T500</f>
        <v>0</v>
      </c>
      <c r="V500">
        <f>セットアップレポート!U500</f>
        <v>0</v>
      </c>
      <c r="W500">
        <f>セットアップレポート!V500</f>
        <v>0</v>
      </c>
      <c r="X500">
        <f>セットアップレポート!W500</f>
        <v>0</v>
      </c>
      <c r="Y500">
        <f>セットアップレポート!X500</f>
        <v>0</v>
      </c>
      <c r="Z500">
        <f>セットアップレポート!Y500</f>
        <v>0</v>
      </c>
      <c r="AA500">
        <f>セットアップレポート!Z500</f>
        <v>0</v>
      </c>
      <c r="AB500" t="str">
        <f>セットアップレポート!AA500</f>
        <v>NONE</v>
      </c>
      <c r="AC500">
        <f>セットアップレポート!AB500</f>
        <v>0</v>
      </c>
      <c r="AD500">
        <f>セットアップレポート!AC500</f>
        <v>0</v>
      </c>
      <c r="AE500">
        <f>セットアップレポート!AD500</f>
        <v>0</v>
      </c>
      <c r="AF500">
        <f>セットアップレポート!AE500</f>
        <v>0</v>
      </c>
      <c r="AG500">
        <f>セットアップレポート!AF500</f>
        <v>0</v>
      </c>
      <c r="AH500">
        <f>セットアップレポート!AG500</f>
        <v>0</v>
      </c>
    </row>
    <row r="501" spans="1:34" x14ac:dyDescent="0.45">
      <c r="A501" t="str">
        <f t="shared" si="7"/>
        <v>L2-NPM040019R9000070425</v>
      </c>
      <c r="B501" t="str">
        <f>セットアップレポート!A501</f>
        <v>Line-2</v>
      </c>
      <c r="C501" t="str">
        <f>セットアップレポート!B501</f>
        <v>L2-NPM04</v>
      </c>
      <c r="D501" t="str">
        <f>セットアップレポート!C501</f>
        <v>Zone-2-NPMW-4</v>
      </c>
      <c r="E501">
        <f>セットアップレポート!D501</f>
        <v>1</v>
      </c>
      <c r="F501">
        <f>セットアップレポート!E501</f>
        <v>1</v>
      </c>
      <c r="G501" t="str">
        <f>セットアップレポート!F501</f>
        <v>10019R</v>
      </c>
      <c r="H501">
        <f>セットアップレポート!G501</f>
        <v>19</v>
      </c>
      <c r="I501" t="str">
        <f>セットアップレポート!H501</f>
        <v>R</v>
      </c>
      <c r="J501" t="str">
        <f>セットアップレポート!I501</f>
        <v>9000070425 100003</v>
      </c>
      <c r="K501">
        <f>セットアップレポート!J501</f>
        <v>9000070425</v>
      </c>
      <c r="L501">
        <f>セットアップレポート!K501</f>
        <v>0</v>
      </c>
      <c r="M501">
        <f>セットアップレポート!L501</f>
        <v>0</v>
      </c>
      <c r="N501">
        <f>セットアップレポート!M501</f>
        <v>0</v>
      </c>
      <c r="O501">
        <f>セットアップレポート!N501</f>
        <v>0</v>
      </c>
      <c r="P501" t="str">
        <f>セットアップレポート!O501</f>
        <v>FA0201ACD051351</v>
      </c>
      <c r="Q501">
        <f>セットアップレポート!P501</f>
        <v>4000</v>
      </c>
      <c r="R501">
        <f>セットアップレポート!Q501</f>
        <v>45950.475775462961</v>
      </c>
      <c r="S501">
        <f>セットアップレポート!R501</f>
        <v>0</v>
      </c>
      <c r="T501">
        <f>セットアップレポート!S501</f>
        <v>0</v>
      </c>
      <c r="U501">
        <f>セットアップレポート!T501</f>
        <v>0</v>
      </c>
      <c r="V501">
        <f>セットアップレポート!U501</f>
        <v>0</v>
      </c>
      <c r="W501">
        <f>セットアップレポート!V501</f>
        <v>0</v>
      </c>
      <c r="X501">
        <f>セットアップレポート!W501</f>
        <v>0</v>
      </c>
      <c r="Y501">
        <f>セットアップレポート!X501</f>
        <v>0</v>
      </c>
      <c r="Z501">
        <f>セットアップレポート!Y501</f>
        <v>0</v>
      </c>
      <c r="AA501">
        <f>セットアップレポート!Z501</f>
        <v>0</v>
      </c>
      <c r="AB501" t="str">
        <f>セットアップレポート!AA501</f>
        <v>NONE</v>
      </c>
      <c r="AC501">
        <f>セットアップレポート!AB501</f>
        <v>0</v>
      </c>
      <c r="AD501">
        <f>セットアップレポート!AC501</f>
        <v>0</v>
      </c>
      <c r="AE501">
        <f>セットアップレポート!AD501</f>
        <v>0</v>
      </c>
      <c r="AF501">
        <f>セットアップレポート!AE501</f>
        <v>0</v>
      </c>
      <c r="AG501">
        <f>セットアップレポート!AF501</f>
        <v>0</v>
      </c>
      <c r="AH501">
        <f>セットアップレポート!AG501</f>
        <v>0</v>
      </c>
    </row>
    <row r="502" spans="1:34" x14ac:dyDescent="0.45">
      <c r="A502" t="str">
        <f t="shared" si="7"/>
        <v>L2-NPM040018R9000069421</v>
      </c>
      <c r="B502" t="str">
        <f>セットアップレポート!A502</f>
        <v>Line-2</v>
      </c>
      <c r="C502" t="str">
        <f>セットアップレポート!B502</f>
        <v>L2-NPM04</v>
      </c>
      <c r="D502" t="str">
        <f>セットアップレポート!C502</f>
        <v>Zone-2-NPMW-4</v>
      </c>
      <c r="E502">
        <f>セットアップレポート!D502</f>
        <v>1</v>
      </c>
      <c r="F502">
        <f>セットアップレポート!E502</f>
        <v>1</v>
      </c>
      <c r="G502" t="str">
        <f>セットアップレポート!F502</f>
        <v>10018R</v>
      </c>
      <c r="H502">
        <f>セットアップレポート!G502</f>
        <v>18</v>
      </c>
      <c r="I502" t="str">
        <f>セットアップレポート!H502</f>
        <v>R</v>
      </c>
      <c r="J502" t="str">
        <f>セットアップレポート!I502</f>
        <v>9000069421 100005</v>
      </c>
      <c r="K502">
        <f>セットアップレポート!J502</f>
        <v>9000069421</v>
      </c>
      <c r="L502">
        <f>セットアップレポート!K502</f>
        <v>0</v>
      </c>
      <c r="M502">
        <f>セットアップレポート!L502</f>
        <v>0</v>
      </c>
      <c r="N502">
        <f>セットアップレポート!M502</f>
        <v>0</v>
      </c>
      <c r="O502">
        <f>セットアップレポート!N502</f>
        <v>0</v>
      </c>
      <c r="P502" t="str">
        <f>セットアップレポート!O502</f>
        <v>FA0201ACD050183</v>
      </c>
      <c r="Q502">
        <f>セットアップレポート!P502</f>
        <v>3000</v>
      </c>
      <c r="R502">
        <f>セットアップレポート!Q502</f>
        <v>45950.475775462961</v>
      </c>
      <c r="S502">
        <f>セットアップレポート!R502</f>
        <v>0</v>
      </c>
      <c r="T502">
        <f>セットアップレポート!S502</f>
        <v>0</v>
      </c>
      <c r="U502">
        <f>セットアップレポート!T502</f>
        <v>0</v>
      </c>
      <c r="V502">
        <f>セットアップレポート!U502</f>
        <v>0</v>
      </c>
      <c r="W502">
        <f>セットアップレポート!V502</f>
        <v>0</v>
      </c>
      <c r="X502">
        <f>セットアップレポート!W502</f>
        <v>0</v>
      </c>
      <c r="Y502">
        <f>セットアップレポート!X502</f>
        <v>0</v>
      </c>
      <c r="Z502">
        <f>セットアップレポート!Y502</f>
        <v>0</v>
      </c>
      <c r="AA502">
        <f>セットアップレポート!Z502</f>
        <v>0</v>
      </c>
      <c r="AB502" t="str">
        <f>セットアップレポート!AA502</f>
        <v>NONE</v>
      </c>
      <c r="AC502">
        <f>セットアップレポート!AB502</f>
        <v>0</v>
      </c>
      <c r="AD502">
        <f>セットアップレポート!AC502</f>
        <v>0</v>
      </c>
      <c r="AE502">
        <f>セットアップレポート!AD502</f>
        <v>0</v>
      </c>
      <c r="AF502">
        <f>セットアップレポート!AE502</f>
        <v>0</v>
      </c>
      <c r="AG502">
        <f>セットアップレポート!AF502</f>
        <v>0</v>
      </c>
      <c r="AH502">
        <f>セットアップレポート!AG502</f>
        <v>0</v>
      </c>
    </row>
    <row r="503" spans="1:34" x14ac:dyDescent="0.45">
      <c r="A503" t="str">
        <f t="shared" si="7"/>
        <v>L2-NPM040029R9000066591</v>
      </c>
      <c r="B503" t="str">
        <f>セットアップレポート!A503</f>
        <v>Line-2</v>
      </c>
      <c r="C503" t="str">
        <f>セットアップレポート!B503</f>
        <v>L2-NPM04</v>
      </c>
      <c r="D503" t="str">
        <f>セットアップレポート!C503</f>
        <v>Zone-2-NPMW-4</v>
      </c>
      <c r="E503">
        <f>セットアップレポート!D503</f>
        <v>1</v>
      </c>
      <c r="F503">
        <f>セットアップレポート!E503</f>
        <v>1</v>
      </c>
      <c r="G503" t="str">
        <f>セットアップレポート!F503</f>
        <v>10029R</v>
      </c>
      <c r="H503">
        <f>セットアップレポート!G503</f>
        <v>29</v>
      </c>
      <c r="I503" t="str">
        <f>セットアップレポート!H503</f>
        <v>R</v>
      </c>
      <c r="J503" t="str">
        <f>セットアップレポート!I503</f>
        <v>9000066591 100173</v>
      </c>
      <c r="K503">
        <f>セットアップレポート!J503</f>
        <v>9000066591</v>
      </c>
      <c r="L503">
        <f>セットアップレポート!K503</f>
        <v>0</v>
      </c>
      <c r="M503">
        <f>セットアップレポート!L503</f>
        <v>0</v>
      </c>
      <c r="N503">
        <f>セットアップレポート!M503</f>
        <v>0</v>
      </c>
      <c r="O503">
        <f>セットアップレポート!N503</f>
        <v>0</v>
      </c>
      <c r="P503" t="str">
        <f>セットアップレポート!O503</f>
        <v>FA0201ABD000512</v>
      </c>
      <c r="Q503">
        <f>セットアップレポート!P503</f>
        <v>4000</v>
      </c>
      <c r="R503">
        <f>セットアップレポート!Q503</f>
        <v>45950.475787037038</v>
      </c>
      <c r="S503">
        <f>セットアップレポート!R503</f>
        <v>0</v>
      </c>
      <c r="T503">
        <f>セットアップレポート!S503</f>
        <v>0</v>
      </c>
      <c r="U503">
        <f>セットアップレポート!T503</f>
        <v>0</v>
      </c>
      <c r="V503">
        <f>セットアップレポート!U503</f>
        <v>0</v>
      </c>
      <c r="W503">
        <f>セットアップレポート!V503</f>
        <v>0</v>
      </c>
      <c r="X503">
        <f>セットアップレポート!W503</f>
        <v>0</v>
      </c>
      <c r="Y503">
        <f>セットアップレポート!X503</f>
        <v>0</v>
      </c>
      <c r="Z503">
        <f>セットアップレポート!Y503</f>
        <v>0</v>
      </c>
      <c r="AA503">
        <f>セットアップレポート!Z503</f>
        <v>0</v>
      </c>
      <c r="AB503" t="str">
        <f>セットアップレポート!AA503</f>
        <v>NONE</v>
      </c>
      <c r="AC503">
        <f>セットアップレポート!AB503</f>
        <v>0</v>
      </c>
      <c r="AD503">
        <f>セットアップレポート!AC503</f>
        <v>0</v>
      </c>
      <c r="AE503">
        <f>セットアップレポート!AD503</f>
        <v>0</v>
      </c>
      <c r="AF503">
        <f>セットアップレポート!AE503</f>
        <v>0</v>
      </c>
      <c r="AG503">
        <f>セットアップレポート!AF503</f>
        <v>0</v>
      </c>
      <c r="AH503">
        <f>セットアップレポート!AG503</f>
        <v>0</v>
      </c>
    </row>
    <row r="504" spans="1:34" x14ac:dyDescent="0.45">
      <c r="A504" t="str">
        <f t="shared" si="7"/>
        <v>L2-NPM040028R9000066593</v>
      </c>
      <c r="B504" t="str">
        <f>セットアップレポート!A504</f>
        <v>Line-2</v>
      </c>
      <c r="C504" t="str">
        <f>セットアップレポート!B504</f>
        <v>L2-NPM04</v>
      </c>
      <c r="D504" t="str">
        <f>セットアップレポート!C504</f>
        <v>Zone-2-NPMW-4</v>
      </c>
      <c r="E504">
        <f>セットアップレポート!D504</f>
        <v>1</v>
      </c>
      <c r="F504">
        <f>セットアップレポート!E504</f>
        <v>1</v>
      </c>
      <c r="G504" t="str">
        <f>セットアップレポート!F504</f>
        <v>10028R</v>
      </c>
      <c r="H504">
        <f>セットアップレポート!G504</f>
        <v>28</v>
      </c>
      <c r="I504" t="str">
        <f>セットアップレポート!H504</f>
        <v>R</v>
      </c>
      <c r="J504" t="str">
        <f>セットアップレポート!I504</f>
        <v>9000066593 100003</v>
      </c>
      <c r="K504">
        <f>セットアップレポート!J504</f>
        <v>9000066593</v>
      </c>
      <c r="L504">
        <f>セットアップレポート!K504</f>
        <v>0</v>
      </c>
      <c r="M504">
        <f>セットアップレポート!L504</f>
        <v>0</v>
      </c>
      <c r="N504">
        <f>セットアップレポート!M504</f>
        <v>0</v>
      </c>
      <c r="O504">
        <f>セットアップレポート!N504</f>
        <v>0</v>
      </c>
      <c r="P504" t="str">
        <f>セットアップレポート!O504</f>
        <v>FA0201ACD051433</v>
      </c>
      <c r="Q504">
        <f>セットアップレポート!P504</f>
        <v>10000</v>
      </c>
      <c r="R504">
        <f>セットアップレポート!Q504</f>
        <v>45950.475787037038</v>
      </c>
      <c r="S504">
        <f>セットアップレポート!R504</f>
        <v>0</v>
      </c>
      <c r="T504">
        <f>セットアップレポート!S504</f>
        <v>0</v>
      </c>
      <c r="U504">
        <f>セットアップレポート!T504</f>
        <v>0</v>
      </c>
      <c r="V504">
        <f>セットアップレポート!U504</f>
        <v>0</v>
      </c>
      <c r="W504">
        <f>セットアップレポート!V504</f>
        <v>0</v>
      </c>
      <c r="X504">
        <f>セットアップレポート!W504</f>
        <v>0</v>
      </c>
      <c r="Y504">
        <f>セットアップレポート!X504</f>
        <v>0</v>
      </c>
      <c r="Z504">
        <f>セットアップレポート!Y504</f>
        <v>0</v>
      </c>
      <c r="AA504">
        <f>セットアップレポート!Z504</f>
        <v>0</v>
      </c>
      <c r="AB504" t="str">
        <f>セットアップレポート!AA504</f>
        <v>NONE</v>
      </c>
      <c r="AC504">
        <f>セットアップレポート!AB504</f>
        <v>0</v>
      </c>
      <c r="AD504">
        <f>セットアップレポート!AC504</f>
        <v>0</v>
      </c>
      <c r="AE504">
        <f>セットアップレポート!AD504</f>
        <v>0</v>
      </c>
      <c r="AF504">
        <f>セットアップレポート!AE504</f>
        <v>0</v>
      </c>
      <c r="AG504">
        <f>セットアップレポート!AF504</f>
        <v>0</v>
      </c>
      <c r="AH504">
        <f>セットアップレポート!AG504</f>
        <v>0</v>
      </c>
    </row>
    <row r="505" spans="1:34" x14ac:dyDescent="0.45">
      <c r="A505" t="str">
        <f t="shared" si="7"/>
        <v>L2-NPM040027R9000001036</v>
      </c>
      <c r="B505" t="str">
        <f>セットアップレポート!A505</f>
        <v>Line-2</v>
      </c>
      <c r="C505" t="str">
        <f>セットアップレポート!B505</f>
        <v>L2-NPM04</v>
      </c>
      <c r="D505" t="str">
        <f>セットアップレポート!C505</f>
        <v>Zone-2-NPMW-4</v>
      </c>
      <c r="E505">
        <f>セットアップレポート!D505</f>
        <v>1</v>
      </c>
      <c r="F505">
        <f>セットアップレポート!E505</f>
        <v>1</v>
      </c>
      <c r="G505" t="str">
        <f>セットアップレポート!F505</f>
        <v>10027R</v>
      </c>
      <c r="H505">
        <f>セットアップレポート!G505</f>
        <v>27</v>
      </c>
      <c r="I505" t="str">
        <f>セットアップレポート!H505</f>
        <v>R</v>
      </c>
      <c r="J505" t="str">
        <f>セットアップレポート!I505</f>
        <v>9000001036 103360</v>
      </c>
      <c r="K505">
        <f>セットアップレポート!J505</f>
        <v>9000001036</v>
      </c>
      <c r="L505">
        <f>セットアップレポート!K505</f>
        <v>0</v>
      </c>
      <c r="M505">
        <f>セットアップレポート!L505</f>
        <v>0</v>
      </c>
      <c r="N505">
        <f>セットアップレポート!M505</f>
        <v>0</v>
      </c>
      <c r="O505">
        <f>セットアップレポート!N505</f>
        <v>0</v>
      </c>
      <c r="P505" t="str">
        <f>セットアップレポート!O505</f>
        <v>FA0201ABA002380</v>
      </c>
      <c r="Q505">
        <f>セットアップレポート!P505</f>
        <v>3000</v>
      </c>
      <c r="R505">
        <f>セットアップレポート!Q505</f>
        <v>45950.475787037038</v>
      </c>
      <c r="S505">
        <f>セットアップレポート!R505</f>
        <v>0</v>
      </c>
      <c r="T505" t="str">
        <f>セットアップレポート!S505</f>
        <v>Yes</v>
      </c>
      <c r="U505">
        <f>セットアップレポート!T505</f>
        <v>0</v>
      </c>
      <c r="V505" t="str">
        <f>セットアップレポート!U505</f>
        <v>9000001036 103387</v>
      </c>
      <c r="W505">
        <f>セットアップレポート!V505</f>
        <v>0</v>
      </c>
      <c r="X505">
        <f>セットアップレポート!W505</f>
        <v>0</v>
      </c>
      <c r="Y505">
        <f>セットアップレポート!X505</f>
        <v>0</v>
      </c>
      <c r="Z505">
        <f>セットアップレポート!Y505</f>
        <v>0</v>
      </c>
      <c r="AA505">
        <f>セットアップレポート!Z505</f>
        <v>0</v>
      </c>
      <c r="AB505" t="str">
        <f>セットアップレポート!AA505</f>
        <v>NONE</v>
      </c>
      <c r="AC505">
        <f>セットアップレポート!AB505</f>
        <v>0</v>
      </c>
      <c r="AD505">
        <f>セットアップレポート!AC505</f>
        <v>0</v>
      </c>
      <c r="AE505">
        <f>セットアップレポート!AD505</f>
        <v>0</v>
      </c>
      <c r="AF505">
        <f>セットアップレポート!AE505</f>
        <v>0</v>
      </c>
      <c r="AG505">
        <f>セットアップレポート!AF505</f>
        <v>0</v>
      </c>
      <c r="AH505">
        <f>セットアップレポート!AG505</f>
        <v>0</v>
      </c>
    </row>
    <row r="506" spans="1:34" x14ac:dyDescent="0.45">
      <c r="A506" t="str">
        <f t="shared" si="7"/>
        <v>L2-NPM040026R667841</v>
      </c>
      <c r="B506" t="str">
        <f>セットアップレポート!A506</f>
        <v>Line-2</v>
      </c>
      <c r="C506" t="str">
        <f>セットアップレポート!B506</f>
        <v>L2-NPM04</v>
      </c>
      <c r="D506" t="str">
        <f>セットアップレポート!C506</f>
        <v>Zone-2-NPMW-4</v>
      </c>
      <c r="E506">
        <f>セットアップレポート!D506</f>
        <v>1</v>
      </c>
      <c r="F506">
        <f>セットアップレポート!E506</f>
        <v>1</v>
      </c>
      <c r="G506" t="str">
        <f>セットアップレポート!F506</f>
        <v>10026R</v>
      </c>
      <c r="H506">
        <f>セットアップレポート!G506</f>
        <v>26</v>
      </c>
      <c r="I506" t="str">
        <f>セットアップレポート!H506</f>
        <v>R</v>
      </c>
      <c r="J506" t="str">
        <f>セットアップレポート!I506</f>
        <v>667841 102709</v>
      </c>
      <c r="K506">
        <f>セットアップレポート!J506</f>
        <v>667841</v>
      </c>
      <c r="L506">
        <f>セットアップレポート!K506</f>
        <v>0</v>
      </c>
      <c r="M506">
        <f>セットアップレポート!L506</f>
        <v>0</v>
      </c>
      <c r="N506">
        <f>セットアップレポート!M506</f>
        <v>0</v>
      </c>
      <c r="O506">
        <f>セットアップレポート!N506</f>
        <v>0</v>
      </c>
      <c r="P506" t="str">
        <f>セットアップレポート!O506</f>
        <v>FA0201ABD000540</v>
      </c>
      <c r="Q506">
        <f>セットアップレポート!P506</f>
        <v>10000</v>
      </c>
      <c r="R506">
        <f>セットアップレポート!Q506</f>
        <v>45950.475787037038</v>
      </c>
      <c r="S506">
        <f>セットアップレポート!R506</f>
        <v>0</v>
      </c>
      <c r="T506">
        <f>セットアップレポート!S506</f>
        <v>0</v>
      </c>
      <c r="U506">
        <f>セットアップレポート!T506</f>
        <v>0</v>
      </c>
      <c r="V506">
        <f>セットアップレポート!U506</f>
        <v>0</v>
      </c>
      <c r="W506">
        <f>セットアップレポート!V506</f>
        <v>0</v>
      </c>
      <c r="X506">
        <f>セットアップレポート!W506</f>
        <v>0</v>
      </c>
      <c r="Y506">
        <f>セットアップレポート!X506</f>
        <v>0</v>
      </c>
      <c r="Z506">
        <f>セットアップレポート!Y506</f>
        <v>0</v>
      </c>
      <c r="AA506">
        <f>セットアップレポート!Z506</f>
        <v>0</v>
      </c>
      <c r="AB506" t="str">
        <f>セットアップレポート!AA506</f>
        <v>NONE</v>
      </c>
      <c r="AC506">
        <f>セットアップレポート!AB506</f>
        <v>0</v>
      </c>
      <c r="AD506">
        <f>セットアップレポート!AC506</f>
        <v>0</v>
      </c>
      <c r="AE506">
        <f>セットアップレポート!AD506</f>
        <v>0</v>
      </c>
      <c r="AF506">
        <f>セットアップレポート!AE506</f>
        <v>0</v>
      </c>
      <c r="AG506">
        <f>セットアップレポート!AF506</f>
        <v>0</v>
      </c>
      <c r="AH506">
        <f>セットアップレポート!AG506</f>
        <v>0</v>
      </c>
    </row>
    <row r="507" spans="1:34" x14ac:dyDescent="0.45">
      <c r="A507" t="str">
        <f t="shared" si="7"/>
        <v>L2-NPM040025R667173A</v>
      </c>
      <c r="B507" t="str">
        <f>セットアップレポート!A507</f>
        <v>Line-2</v>
      </c>
      <c r="C507" t="str">
        <f>セットアップレポート!B507</f>
        <v>L2-NPM04</v>
      </c>
      <c r="D507" t="str">
        <f>セットアップレポート!C507</f>
        <v>Zone-2-NPMW-4</v>
      </c>
      <c r="E507">
        <f>セットアップレポート!D507</f>
        <v>1</v>
      </c>
      <c r="F507">
        <f>セットアップレポート!E507</f>
        <v>1</v>
      </c>
      <c r="G507" t="str">
        <f>セットアップレポート!F507</f>
        <v>10025R</v>
      </c>
      <c r="H507">
        <f>セットアップレポート!G507</f>
        <v>25</v>
      </c>
      <c r="I507" t="str">
        <f>セットアップレポート!H507</f>
        <v>R</v>
      </c>
      <c r="J507" t="str">
        <f>セットアップレポート!I507</f>
        <v>667173A100552</v>
      </c>
      <c r="K507" t="str">
        <f>セットアップレポート!J507</f>
        <v>667173A</v>
      </c>
      <c r="L507">
        <f>セットアップレポート!K507</f>
        <v>0</v>
      </c>
      <c r="M507">
        <f>セットアップレポート!L507</f>
        <v>0</v>
      </c>
      <c r="N507">
        <f>セットアップレポート!M507</f>
        <v>0</v>
      </c>
      <c r="O507">
        <f>セットアップレポート!N507</f>
        <v>0</v>
      </c>
      <c r="P507" t="str">
        <f>セットアップレポート!O507</f>
        <v>FA0201ABA002314</v>
      </c>
      <c r="Q507">
        <f>セットアップレポート!P507</f>
        <v>5000</v>
      </c>
      <c r="R507">
        <f>セットアップレポート!Q507</f>
        <v>45950.475787037038</v>
      </c>
      <c r="S507">
        <f>セットアップレポート!R507</f>
        <v>0</v>
      </c>
      <c r="T507">
        <f>セットアップレポート!S507</f>
        <v>0</v>
      </c>
      <c r="U507">
        <f>セットアップレポート!T507</f>
        <v>0</v>
      </c>
      <c r="V507">
        <f>セットアップレポート!U507</f>
        <v>0</v>
      </c>
      <c r="W507">
        <f>セットアップレポート!V507</f>
        <v>0</v>
      </c>
      <c r="X507">
        <f>セットアップレポート!W507</f>
        <v>0</v>
      </c>
      <c r="Y507">
        <f>セットアップレポート!X507</f>
        <v>0</v>
      </c>
      <c r="Z507">
        <f>セットアップレポート!Y507</f>
        <v>0</v>
      </c>
      <c r="AA507">
        <f>セットアップレポート!Z507</f>
        <v>0</v>
      </c>
      <c r="AB507" t="str">
        <f>セットアップレポート!AA507</f>
        <v>NONE</v>
      </c>
      <c r="AC507">
        <f>セットアップレポート!AB507</f>
        <v>0</v>
      </c>
      <c r="AD507">
        <f>セットアップレポート!AC507</f>
        <v>0</v>
      </c>
      <c r="AE507">
        <f>セットアップレポート!AD507</f>
        <v>0</v>
      </c>
      <c r="AF507">
        <f>セットアップレポート!AE507</f>
        <v>0</v>
      </c>
      <c r="AG507">
        <f>セットアップレポート!AF507</f>
        <v>0</v>
      </c>
      <c r="AH507">
        <f>セットアップレポート!AG507</f>
        <v>0</v>
      </c>
    </row>
    <row r="508" spans="1:34" x14ac:dyDescent="0.45">
      <c r="A508" t="str">
        <f t="shared" si="7"/>
        <v>L2-NPM040024R537572B</v>
      </c>
      <c r="B508" t="str">
        <f>セットアップレポート!A508</f>
        <v>Line-2</v>
      </c>
      <c r="C508" t="str">
        <f>セットアップレポート!B508</f>
        <v>L2-NPM04</v>
      </c>
      <c r="D508" t="str">
        <f>セットアップレポート!C508</f>
        <v>Zone-2-NPMW-4</v>
      </c>
      <c r="E508">
        <f>セットアップレポート!D508</f>
        <v>1</v>
      </c>
      <c r="F508">
        <f>セットアップレポート!E508</f>
        <v>1</v>
      </c>
      <c r="G508" t="str">
        <f>セットアップレポート!F508</f>
        <v>10024R</v>
      </c>
      <c r="H508">
        <f>セットアップレポート!G508</f>
        <v>24</v>
      </c>
      <c r="I508" t="str">
        <f>セットアップレポート!H508</f>
        <v>R</v>
      </c>
      <c r="J508" t="str">
        <f>セットアップレポート!I508</f>
        <v>537572B100698</v>
      </c>
      <c r="K508" t="str">
        <f>セットアップレポート!J508</f>
        <v>537572B</v>
      </c>
      <c r="L508">
        <f>セットアップレポート!K508</f>
        <v>0</v>
      </c>
      <c r="M508">
        <f>セットアップレポート!L508</f>
        <v>0</v>
      </c>
      <c r="N508">
        <f>セットアップレポート!M508</f>
        <v>0</v>
      </c>
      <c r="O508">
        <f>セットアップレポート!N508</f>
        <v>0</v>
      </c>
      <c r="P508" t="str">
        <f>セットアップレポート!O508</f>
        <v>FA0201AAD000146</v>
      </c>
      <c r="Q508">
        <f>セットアップレポート!P508</f>
        <v>5000</v>
      </c>
      <c r="R508">
        <f>セットアップレポート!Q508</f>
        <v>45950.475787037038</v>
      </c>
      <c r="S508">
        <f>セットアップレポート!R508</f>
        <v>0</v>
      </c>
      <c r="T508">
        <f>セットアップレポート!S508</f>
        <v>0</v>
      </c>
      <c r="U508">
        <f>セットアップレポート!T508</f>
        <v>0</v>
      </c>
      <c r="V508">
        <f>セットアップレポート!U508</f>
        <v>0</v>
      </c>
      <c r="W508">
        <f>セットアップレポート!V508</f>
        <v>0</v>
      </c>
      <c r="X508">
        <f>セットアップレポート!W508</f>
        <v>0</v>
      </c>
      <c r="Y508">
        <f>セットアップレポート!X508</f>
        <v>0</v>
      </c>
      <c r="Z508">
        <f>セットアップレポート!Y508</f>
        <v>0</v>
      </c>
      <c r="AA508">
        <f>セットアップレポート!Z508</f>
        <v>0</v>
      </c>
      <c r="AB508" t="str">
        <f>セットアップレポート!AA508</f>
        <v>NONE</v>
      </c>
      <c r="AC508">
        <f>セットアップレポート!AB508</f>
        <v>0</v>
      </c>
      <c r="AD508">
        <f>セットアップレポート!AC508</f>
        <v>0</v>
      </c>
      <c r="AE508">
        <f>セットアップレポート!AD508</f>
        <v>0</v>
      </c>
      <c r="AF508">
        <f>セットアップレポート!AE508</f>
        <v>0</v>
      </c>
      <c r="AG508">
        <f>セットアップレポート!AF508</f>
        <v>0</v>
      </c>
      <c r="AH508">
        <f>セットアップレポート!AG508</f>
        <v>0</v>
      </c>
    </row>
    <row r="509" spans="1:34" x14ac:dyDescent="0.45">
      <c r="A509" t="str">
        <f t="shared" si="7"/>
        <v>L2-NPM040023R661393</v>
      </c>
      <c r="B509" t="str">
        <f>セットアップレポート!A509</f>
        <v>Line-2</v>
      </c>
      <c r="C509" t="str">
        <f>セットアップレポート!B509</f>
        <v>L2-NPM04</v>
      </c>
      <c r="D509" t="str">
        <f>セットアップレポート!C509</f>
        <v>Zone-2-NPMW-4</v>
      </c>
      <c r="E509">
        <f>セットアップレポート!D509</f>
        <v>1</v>
      </c>
      <c r="F509">
        <f>セットアップレポート!E509</f>
        <v>1</v>
      </c>
      <c r="G509" t="str">
        <f>セットアップレポート!F509</f>
        <v>10023R</v>
      </c>
      <c r="H509">
        <f>セットアップレポート!G509</f>
        <v>23</v>
      </c>
      <c r="I509" t="str">
        <f>セットアップレポート!H509</f>
        <v>R</v>
      </c>
      <c r="J509" t="str">
        <f>セットアップレポート!I509</f>
        <v>661393 100579</v>
      </c>
      <c r="K509">
        <f>セットアップレポート!J509</f>
        <v>661393</v>
      </c>
      <c r="L509">
        <f>セットアップレポート!K509</f>
        <v>0</v>
      </c>
      <c r="M509">
        <f>セットアップレポート!L509</f>
        <v>0</v>
      </c>
      <c r="N509">
        <f>セットアップレポート!M509</f>
        <v>0</v>
      </c>
      <c r="O509">
        <f>セットアップレポート!N509</f>
        <v>0</v>
      </c>
      <c r="P509" t="str">
        <f>セットアップレポート!O509</f>
        <v>FA0201ABD000645</v>
      </c>
      <c r="Q509">
        <f>セットアップレポート!P509</f>
        <v>5000</v>
      </c>
      <c r="R509">
        <f>セットアップレポート!Q509</f>
        <v>45950.475787037038</v>
      </c>
      <c r="S509">
        <f>セットアップレポート!R509</f>
        <v>0</v>
      </c>
      <c r="T509">
        <f>セットアップレポート!S509</f>
        <v>0</v>
      </c>
      <c r="U509">
        <f>セットアップレポート!T509</f>
        <v>0</v>
      </c>
      <c r="V509">
        <f>セットアップレポート!U509</f>
        <v>0</v>
      </c>
      <c r="W509">
        <f>セットアップレポート!V509</f>
        <v>0</v>
      </c>
      <c r="X509">
        <f>セットアップレポート!W509</f>
        <v>0</v>
      </c>
      <c r="Y509">
        <f>セットアップレポート!X509</f>
        <v>0</v>
      </c>
      <c r="Z509">
        <f>セットアップレポート!Y509</f>
        <v>0</v>
      </c>
      <c r="AA509">
        <f>セットアップレポート!Z509</f>
        <v>0</v>
      </c>
      <c r="AB509" t="str">
        <f>セットアップレポート!AA509</f>
        <v>NONE</v>
      </c>
      <c r="AC509">
        <f>セットアップレポート!AB509</f>
        <v>0</v>
      </c>
      <c r="AD509">
        <f>セットアップレポート!AC509</f>
        <v>0</v>
      </c>
      <c r="AE509">
        <f>セットアップレポート!AD509</f>
        <v>0</v>
      </c>
      <c r="AF509">
        <f>セットアップレポート!AE509</f>
        <v>0</v>
      </c>
      <c r="AG509">
        <f>セットアップレポート!AF509</f>
        <v>0</v>
      </c>
      <c r="AH509">
        <f>セットアップレポート!AG509</f>
        <v>0</v>
      </c>
    </row>
    <row r="510" spans="1:34" x14ac:dyDescent="0.45">
      <c r="A510" t="str">
        <f t="shared" si="7"/>
        <v>L2-NPM040022R668671A</v>
      </c>
      <c r="B510" t="str">
        <f>セットアップレポート!A510</f>
        <v>Line-2</v>
      </c>
      <c r="C510" t="str">
        <f>セットアップレポート!B510</f>
        <v>L2-NPM04</v>
      </c>
      <c r="D510" t="str">
        <f>セットアップレポート!C510</f>
        <v>Zone-2-NPMW-4</v>
      </c>
      <c r="E510">
        <f>セットアップレポート!D510</f>
        <v>1</v>
      </c>
      <c r="F510">
        <f>セットアップレポート!E510</f>
        <v>1</v>
      </c>
      <c r="G510" t="str">
        <f>セットアップレポート!F510</f>
        <v>10022R</v>
      </c>
      <c r="H510">
        <f>セットアップレポート!G510</f>
        <v>22</v>
      </c>
      <c r="I510" t="str">
        <f>セットアップレポート!H510</f>
        <v>R</v>
      </c>
      <c r="J510" t="str">
        <f>セットアップレポート!I510</f>
        <v>668671A100217</v>
      </c>
      <c r="K510" t="str">
        <f>セットアップレポート!J510</f>
        <v>668671A</v>
      </c>
      <c r="L510">
        <f>セットアップレポート!K510</f>
        <v>0</v>
      </c>
      <c r="M510">
        <f>セットアップレポート!L510</f>
        <v>0</v>
      </c>
      <c r="N510">
        <f>セットアップレポート!M510</f>
        <v>0</v>
      </c>
      <c r="O510">
        <f>セットアップレポート!N510</f>
        <v>0</v>
      </c>
      <c r="P510" t="str">
        <f>セットアップレポート!O510</f>
        <v>FA0201ABA002759</v>
      </c>
      <c r="Q510">
        <f>セットアップレポート!P510</f>
        <v>5000</v>
      </c>
      <c r="R510">
        <f>セットアップレポート!Q510</f>
        <v>45950.475787037038</v>
      </c>
      <c r="S510">
        <f>セットアップレポート!R510</f>
        <v>0</v>
      </c>
      <c r="T510">
        <f>セットアップレポート!S510</f>
        <v>0</v>
      </c>
      <c r="U510">
        <f>セットアップレポート!T510</f>
        <v>0</v>
      </c>
      <c r="V510">
        <f>セットアップレポート!U510</f>
        <v>0</v>
      </c>
      <c r="W510">
        <f>セットアップレポート!V510</f>
        <v>0</v>
      </c>
      <c r="X510">
        <f>セットアップレポート!W510</f>
        <v>0</v>
      </c>
      <c r="Y510">
        <f>セットアップレポート!X510</f>
        <v>0</v>
      </c>
      <c r="Z510">
        <f>セットアップレポート!Y510</f>
        <v>0</v>
      </c>
      <c r="AA510">
        <f>セットアップレポート!Z510</f>
        <v>0</v>
      </c>
      <c r="AB510" t="str">
        <f>セットアップレポート!AA510</f>
        <v>NONE</v>
      </c>
      <c r="AC510">
        <f>セットアップレポート!AB510</f>
        <v>0</v>
      </c>
      <c r="AD510">
        <f>セットアップレポート!AC510</f>
        <v>0</v>
      </c>
      <c r="AE510">
        <f>セットアップレポート!AD510</f>
        <v>0</v>
      </c>
      <c r="AF510">
        <f>セットアップレポート!AE510</f>
        <v>0</v>
      </c>
      <c r="AG510">
        <f>セットアップレポート!AF510</f>
        <v>0</v>
      </c>
      <c r="AH510">
        <f>セットアップレポート!AG510</f>
        <v>0</v>
      </c>
    </row>
    <row r="511" spans="1:34" x14ac:dyDescent="0.45">
      <c r="A511" t="str">
        <f t="shared" si="7"/>
        <v>L2-NPM040017R9000070451</v>
      </c>
      <c r="B511" t="str">
        <f>セットアップレポート!A511</f>
        <v>Line-2</v>
      </c>
      <c r="C511" t="str">
        <f>セットアップレポート!B511</f>
        <v>L2-NPM04</v>
      </c>
      <c r="D511" t="str">
        <f>セットアップレポート!C511</f>
        <v>Zone-2-NPMW-4</v>
      </c>
      <c r="E511">
        <f>セットアップレポート!D511</f>
        <v>1</v>
      </c>
      <c r="F511">
        <f>セットアップレポート!E511</f>
        <v>1</v>
      </c>
      <c r="G511" t="str">
        <f>セットアップレポート!F511</f>
        <v>10017R</v>
      </c>
      <c r="H511">
        <f>セットアップレポート!G511</f>
        <v>17</v>
      </c>
      <c r="I511" t="str">
        <f>セットアップレポート!H511</f>
        <v>R</v>
      </c>
      <c r="J511" t="str">
        <f>セットアップレポート!I511</f>
        <v>9000070451 100001</v>
      </c>
      <c r="K511">
        <f>セットアップレポート!J511</f>
        <v>9000070451</v>
      </c>
      <c r="L511">
        <f>セットアップレポート!K511</f>
        <v>0</v>
      </c>
      <c r="M511">
        <f>セットアップレポート!L511</f>
        <v>0</v>
      </c>
      <c r="N511">
        <f>セットアップレポート!M511</f>
        <v>0</v>
      </c>
      <c r="O511">
        <f>セットアップレポート!N511</f>
        <v>0</v>
      </c>
      <c r="P511" t="str">
        <f>セットアップレポート!O511</f>
        <v>FA0201ACD051105</v>
      </c>
      <c r="Q511">
        <f>セットアップレポート!P511</f>
        <v>3000</v>
      </c>
      <c r="R511">
        <f>セットアップレポート!Q511</f>
        <v>45950.475775462961</v>
      </c>
      <c r="S511">
        <f>セットアップレポート!R511</f>
        <v>0</v>
      </c>
      <c r="T511" t="str">
        <f>セットアップレポート!S511</f>
        <v>Yes</v>
      </c>
      <c r="U511">
        <f>セットアップレポート!T511</f>
        <v>0</v>
      </c>
      <c r="V511" t="str">
        <f>セットアップレポート!U511</f>
        <v>9000070451 100003</v>
      </c>
      <c r="W511">
        <f>セットアップレポート!V511</f>
        <v>0</v>
      </c>
      <c r="X511">
        <f>セットアップレポート!W511</f>
        <v>0</v>
      </c>
      <c r="Y511">
        <f>セットアップレポート!X511</f>
        <v>0</v>
      </c>
      <c r="Z511">
        <f>セットアップレポート!Y511</f>
        <v>0</v>
      </c>
      <c r="AA511">
        <f>セットアップレポート!Z511</f>
        <v>0</v>
      </c>
      <c r="AB511" t="str">
        <f>セットアップレポート!AA511</f>
        <v>NONE</v>
      </c>
      <c r="AC511">
        <f>セットアップレポート!AB511</f>
        <v>0</v>
      </c>
      <c r="AD511">
        <f>セットアップレポート!AC511</f>
        <v>0</v>
      </c>
      <c r="AE511">
        <f>セットアップレポート!AD511</f>
        <v>0</v>
      </c>
      <c r="AF511">
        <f>セットアップレポート!AE511</f>
        <v>0</v>
      </c>
      <c r="AG511">
        <f>セットアップレポート!AF511</f>
        <v>0</v>
      </c>
      <c r="AH511">
        <f>セットアップレポート!AG511</f>
        <v>0</v>
      </c>
    </row>
    <row r="512" spans="1:34" x14ac:dyDescent="0.45">
      <c r="A512" t="str">
        <f t="shared" si="7"/>
        <v>L2-NPM040025R9000060150</v>
      </c>
      <c r="B512" t="str">
        <f>セットアップレポート!A512</f>
        <v>Line-2</v>
      </c>
      <c r="C512" t="str">
        <f>セットアップレポート!B512</f>
        <v>L2-NPM04</v>
      </c>
      <c r="D512" t="str">
        <f>セットアップレポート!C512</f>
        <v>Zone-2-NPMW-4</v>
      </c>
      <c r="E512">
        <f>セットアップレポート!D512</f>
        <v>1</v>
      </c>
      <c r="F512">
        <f>セットアップレポート!E512</f>
        <v>1</v>
      </c>
      <c r="G512" t="str">
        <f>セットアップレポート!F512</f>
        <v>20025R</v>
      </c>
      <c r="H512">
        <f>セットアップレポート!G512</f>
        <v>25</v>
      </c>
      <c r="I512" t="str">
        <f>セットアップレポート!H512</f>
        <v>R</v>
      </c>
      <c r="J512" t="str">
        <f>セットアップレポート!I512</f>
        <v>9000060150 100010</v>
      </c>
      <c r="K512">
        <f>セットアップレポート!J512</f>
        <v>9000060150</v>
      </c>
      <c r="L512">
        <f>セットアップレポート!K512</f>
        <v>0</v>
      </c>
      <c r="M512">
        <f>セットアップレポート!L512</f>
        <v>0</v>
      </c>
      <c r="N512">
        <f>セットアップレポート!M512</f>
        <v>0</v>
      </c>
      <c r="O512">
        <f>セットアップレポート!N512</f>
        <v>0</v>
      </c>
      <c r="P512" t="str">
        <f>セットアップレポート!O512</f>
        <v>FA0201ABD000253</v>
      </c>
      <c r="Q512">
        <f>セットアップレポート!P512</f>
        <v>4753</v>
      </c>
      <c r="R512">
        <f>セットアップレポート!Q512</f>
        <v>45950.475810185184</v>
      </c>
      <c r="S512">
        <f>セットアップレポート!R512</f>
        <v>0</v>
      </c>
      <c r="T512">
        <f>セットアップレポート!S512</f>
        <v>0</v>
      </c>
      <c r="U512">
        <f>セットアップレポート!T512</f>
        <v>0</v>
      </c>
      <c r="V512">
        <f>セットアップレポート!U512</f>
        <v>0</v>
      </c>
      <c r="W512">
        <f>セットアップレポート!V512</f>
        <v>0</v>
      </c>
      <c r="X512">
        <f>セットアップレポート!W512</f>
        <v>0</v>
      </c>
      <c r="Y512">
        <f>セットアップレポート!X512</f>
        <v>0</v>
      </c>
      <c r="Z512">
        <f>セットアップレポート!Y512</f>
        <v>0</v>
      </c>
      <c r="AA512">
        <f>セットアップレポート!Z512</f>
        <v>0</v>
      </c>
      <c r="AB512" t="str">
        <f>セットアップレポート!AA512</f>
        <v>NONE</v>
      </c>
      <c r="AC512">
        <f>セットアップレポート!AB512</f>
        <v>0</v>
      </c>
      <c r="AD512">
        <f>セットアップレポート!AC512</f>
        <v>0</v>
      </c>
      <c r="AE512">
        <f>セットアップレポート!AD512</f>
        <v>0</v>
      </c>
      <c r="AF512">
        <f>セットアップレポート!AE512</f>
        <v>0</v>
      </c>
      <c r="AG512">
        <f>セットアップレポート!AF512</f>
        <v>0</v>
      </c>
      <c r="AH512">
        <f>セットアップレポート!AG512</f>
        <v>0</v>
      </c>
    </row>
    <row r="513" spans="1:34" x14ac:dyDescent="0.45">
      <c r="A513" t="str">
        <f t="shared" si="7"/>
        <v>L2-NPM040030R927062</v>
      </c>
      <c r="B513" t="str">
        <f>セットアップレポート!A513</f>
        <v>Line-2</v>
      </c>
      <c r="C513" t="str">
        <f>セットアップレポート!B513</f>
        <v>L2-NPM04</v>
      </c>
      <c r="D513" t="str">
        <f>セットアップレポート!C513</f>
        <v>Zone-2-NPMW-4</v>
      </c>
      <c r="E513">
        <f>セットアップレポート!D513</f>
        <v>1</v>
      </c>
      <c r="F513">
        <f>セットアップレポート!E513</f>
        <v>1</v>
      </c>
      <c r="G513" t="str">
        <f>セットアップレポート!F513</f>
        <v>20030R</v>
      </c>
      <c r="H513">
        <f>セットアップレポート!G513</f>
        <v>30</v>
      </c>
      <c r="I513" t="str">
        <f>セットアップレポート!H513</f>
        <v>R</v>
      </c>
      <c r="J513" t="str">
        <f>セットアップレポート!I513</f>
        <v>927062 100344</v>
      </c>
      <c r="K513">
        <f>セットアップレポート!J513</f>
        <v>927062</v>
      </c>
      <c r="L513">
        <f>セットアップレポート!K513</f>
        <v>0</v>
      </c>
      <c r="M513">
        <f>セットアップレポート!L513</f>
        <v>0</v>
      </c>
      <c r="N513">
        <f>セットアップレポート!M513</f>
        <v>0</v>
      </c>
      <c r="O513">
        <f>セットアップレポート!N513</f>
        <v>0</v>
      </c>
      <c r="P513" t="str">
        <f>セットアップレポート!O513</f>
        <v>FA0201ACD050894</v>
      </c>
      <c r="Q513">
        <f>セットアップレポート!P513</f>
        <v>10000</v>
      </c>
      <c r="R513">
        <f>セットアップレポート!Q513</f>
        <v>45950.475821759261</v>
      </c>
      <c r="S513">
        <f>セットアップレポート!R513</f>
        <v>0</v>
      </c>
      <c r="T513">
        <f>セットアップレポート!S513</f>
        <v>0</v>
      </c>
      <c r="U513">
        <f>セットアップレポート!T513</f>
        <v>0</v>
      </c>
      <c r="V513">
        <f>セットアップレポート!U513</f>
        <v>0</v>
      </c>
      <c r="W513">
        <f>セットアップレポート!V513</f>
        <v>0</v>
      </c>
      <c r="X513">
        <f>セットアップレポート!W513</f>
        <v>0</v>
      </c>
      <c r="Y513">
        <f>セットアップレポート!X513</f>
        <v>0</v>
      </c>
      <c r="Z513">
        <f>セットアップレポート!Y513</f>
        <v>0</v>
      </c>
      <c r="AA513">
        <f>セットアップレポート!Z513</f>
        <v>0</v>
      </c>
      <c r="AB513" t="str">
        <f>セットアップレポート!AA513</f>
        <v>NONE</v>
      </c>
      <c r="AC513">
        <f>セットアップレポート!AB513</f>
        <v>0</v>
      </c>
      <c r="AD513">
        <f>セットアップレポート!AC513</f>
        <v>0</v>
      </c>
      <c r="AE513">
        <f>セットアップレポート!AD513</f>
        <v>0</v>
      </c>
      <c r="AF513">
        <f>セットアップレポート!AE513</f>
        <v>0</v>
      </c>
      <c r="AG513">
        <f>セットアップレポート!AF513</f>
        <v>0</v>
      </c>
      <c r="AH513">
        <f>セットアップレポート!AG513</f>
        <v>0</v>
      </c>
    </row>
    <row r="514" spans="1:34" x14ac:dyDescent="0.45">
      <c r="A514" t="str">
        <f t="shared" si="7"/>
        <v>L2-NPM040029R667761</v>
      </c>
      <c r="B514" t="str">
        <f>セットアップレポート!A514</f>
        <v>Line-2</v>
      </c>
      <c r="C514" t="str">
        <f>セットアップレポート!B514</f>
        <v>L2-NPM04</v>
      </c>
      <c r="D514" t="str">
        <f>セットアップレポート!C514</f>
        <v>Zone-2-NPMW-4</v>
      </c>
      <c r="E514">
        <f>セットアップレポート!D514</f>
        <v>1</v>
      </c>
      <c r="F514">
        <f>セットアップレポート!E514</f>
        <v>1</v>
      </c>
      <c r="G514" t="str">
        <f>セットアップレポート!F514</f>
        <v>20029R</v>
      </c>
      <c r="H514">
        <f>セットアップレポート!G514</f>
        <v>29</v>
      </c>
      <c r="I514" t="str">
        <f>セットアップレポート!H514</f>
        <v>R</v>
      </c>
      <c r="J514" t="str">
        <f>セットアップレポート!I514</f>
        <v>667761 100546</v>
      </c>
      <c r="K514">
        <f>セットアップレポート!J514</f>
        <v>667761</v>
      </c>
      <c r="L514">
        <f>セットアップレポート!K514</f>
        <v>0</v>
      </c>
      <c r="M514">
        <f>セットアップレポート!L514</f>
        <v>0</v>
      </c>
      <c r="N514">
        <f>セットアップレポート!M514</f>
        <v>0</v>
      </c>
      <c r="O514">
        <f>セットアップレポート!N514</f>
        <v>0</v>
      </c>
      <c r="P514" t="str">
        <f>セットアップレポート!O514</f>
        <v>FA0201ABD000610</v>
      </c>
      <c r="Q514">
        <f>セットアップレポート!P514</f>
        <v>10000</v>
      </c>
      <c r="R514">
        <f>セットアップレポート!Q514</f>
        <v>45950.475810185184</v>
      </c>
      <c r="S514">
        <f>セットアップレポート!R514</f>
        <v>0</v>
      </c>
      <c r="T514">
        <f>セットアップレポート!S514</f>
        <v>0</v>
      </c>
      <c r="U514">
        <f>セットアップレポート!T514</f>
        <v>0</v>
      </c>
      <c r="V514">
        <f>セットアップレポート!U514</f>
        <v>0</v>
      </c>
      <c r="W514">
        <f>セットアップレポート!V514</f>
        <v>0</v>
      </c>
      <c r="X514">
        <f>セットアップレポート!W514</f>
        <v>0</v>
      </c>
      <c r="Y514">
        <f>セットアップレポート!X514</f>
        <v>0</v>
      </c>
      <c r="Z514">
        <f>セットアップレポート!Y514</f>
        <v>0</v>
      </c>
      <c r="AA514">
        <f>セットアップレポート!Z514</f>
        <v>0</v>
      </c>
      <c r="AB514" t="str">
        <f>セットアップレポート!AA514</f>
        <v>NONE</v>
      </c>
      <c r="AC514">
        <f>セットアップレポート!AB514</f>
        <v>0</v>
      </c>
      <c r="AD514">
        <f>セットアップレポート!AC514</f>
        <v>0</v>
      </c>
      <c r="AE514">
        <f>セットアップレポート!AD514</f>
        <v>0</v>
      </c>
      <c r="AF514">
        <f>セットアップレポート!AE514</f>
        <v>0</v>
      </c>
      <c r="AG514">
        <f>セットアップレポート!AF514</f>
        <v>0</v>
      </c>
      <c r="AH514">
        <f>セットアップレポート!AG514</f>
        <v>0</v>
      </c>
    </row>
    <row r="515" spans="1:34" x14ac:dyDescent="0.45">
      <c r="A515" t="str">
        <f t="shared" ref="A515:A578" si="8">C515&amp;RIGHT(G515,5)&amp;K515</f>
        <v>L2-NPM040028R667725</v>
      </c>
      <c r="B515" t="str">
        <f>セットアップレポート!A515</f>
        <v>Line-2</v>
      </c>
      <c r="C515" t="str">
        <f>セットアップレポート!B515</f>
        <v>L2-NPM04</v>
      </c>
      <c r="D515" t="str">
        <f>セットアップレポート!C515</f>
        <v>Zone-2-NPMW-4</v>
      </c>
      <c r="E515">
        <f>セットアップレポート!D515</f>
        <v>1</v>
      </c>
      <c r="F515">
        <f>セットアップレポート!E515</f>
        <v>1</v>
      </c>
      <c r="G515" t="str">
        <f>セットアップレポート!F515</f>
        <v>20028R</v>
      </c>
      <c r="H515">
        <f>セットアップレポート!G515</f>
        <v>28</v>
      </c>
      <c r="I515" t="str">
        <f>セットアップレポート!H515</f>
        <v>R</v>
      </c>
      <c r="J515" t="str">
        <f>セットアップレポート!I515</f>
        <v>667725 100721</v>
      </c>
      <c r="K515">
        <f>セットアップレポート!J515</f>
        <v>667725</v>
      </c>
      <c r="L515">
        <f>セットアップレポート!K515</f>
        <v>0</v>
      </c>
      <c r="M515">
        <f>セットアップレポート!L515</f>
        <v>0</v>
      </c>
      <c r="N515">
        <f>セットアップレポート!M515</f>
        <v>0</v>
      </c>
      <c r="O515">
        <f>セットアップレポート!N515</f>
        <v>0</v>
      </c>
      <c r="P515" t="str">
        <f>セットアップレポート!O515</f>
        <v>FA0201ABD000677</v>
      </c>
      <c r="Q515">
        <f>セットアップレポート!P515</f>
        <v>10000</v>
      </c>
      <c r="R515">
        <f>セットアップレポート!Q515</f>
        <v>45950.475810185184</v>
      </c>
      <c r="S515">
        <f>セットアップレポート!R515</f>
        <v>0</v>
      </c>
      <c r="T515">
        <f>セットアップレポート!S515</f>
        <v>0</v>
      </c>
      <c r="U515">
        <f>セットアップレポート!T515</f>
        <v>0</v>
      </c>
      <c r="V515">
        <f>セットアップレポート!U515</f>
        <v>0</v>
      </c>
      <c r="W515">
        <f>セットアップレポート!V515</f>
        <v>0</v>
      </c>
      <c r="X515">
        <f>セットアップレポート!W515</f>
        <v>0</v>
      </c>
      <c r="Y515">
        <f>セットアップレポート!X515</f>
        <v>0</v>
      </c>
      <c r="Z515">
        <f>セットアップレポート!Y515</f>
        <v>0</v>
      </c>
      <c r="AA515">
        <f>セットアップレポート!Z515</f>
        <v>0</v>
      </c>
      <c r="AB515" t="str">
        <f>セットアップレポート!AA515</f>
        <v>NONE</v>
      </c>
      <c r="AC515">
        <f>セットアップレポート!AB515</f>
        <v>0</v>
      </c>
      <c r="AD515">
        <f>セットアップレポート!AC515</f>
        <v>0</v>
      </c>
      <c r="AE515">
        <f>セットアップレポート!AD515</f>
        <v>0</v>
      </c>
      <c r="AF515">
        <f>セットアップレポート!AE515</f>
        <v>0</v>
      </c>
      <c r="AG515">
        <f>セットアップレポート!AF515</f>
        <v>0</v>
      </c>
      <c r="AH515">
        <f>セットアップレポート!AG515</f>
        <v>0</v>
      </c>
    </row>
    <row r="516" spans="1:34" x14ac:dyDescent="0.45">
      <c r="A516" t="str">
        <f t="shared" si="8"/>
        <v>L2-NPM040027R667627</v>
      </c>
      <c r="B516" t="str">
        <f>セットアップレポート!A516</f>
        <v>Line-2</v>
      </c>
      <c r="C516" t="str">
        <f>セットアップレポート!B516</f>
        <v>L2-NPM04</v>
      </c>
      <c r="D516" t="str">
        <f>セットアップレポート!C516</f>
        <v>Zone-2-NPMW-4</v>
      </c>
      <c r="E516">
        <f>セットアップレポート!D516</f>
        <v>1</v>
      </c>
      <c r="F516">
        <f>セットアップレポート!E516</f>
        <v>1</v>
      </c>
      <c r="G516" t="str">
        <f>セットアップレポート!F516</f>
        <v>20027R</v>
      </c>
      <c r="H516">
        <f>セットアップレポート!G516</f>
        <v>27</v>
      </c>
      <c r="I516" t="str">
        <f>セットアップレポート!H516</f>
        <v>R</v>
      </c>
      <c r="J516" t="str">
        <f>セットアップレポート!I516</f>
        <v>667627 103214</v>
      </c>
      <c r="K516">
        <f>セットアップレポート!J516</f>
        <v>667627</v>
      </c>
      <c r="L516">
        <f>セットアップレポート!K516</f>
        <v>0</v>
      </c>
      <c r="M516">
        <f>セットアップレポート!L516</f>
        <v>0</v>
      </c>
      <c r="N516">
        <f>セットアップレポート!M516</f>
        <v>0</v>
      </c>
      <c r="O516">
        <f>セットアップレポート!N516</f>
        <v>0</v>
      </c>
      <c r="P516" t="str">
        <f>セットアップレポート!O516</f>
        <v>FA0201ABD000315</v>
      </c>
      <c r="Q516">
        <f>セットアップレポート!P516</f>
        <v>10000</v>
      </c>
      <c r="R516">
        <f>セットアップレポート!Q516</f>
        <v>45950.475810185184</v>
      </c>
      <c r="S516">
        <f>セットアップレポート!R516</f>
        <v>0</v>
      </c>
      <c r="T516" t="str">
        <f>セットアップレポート!S516</f>
        <v>Yes</v>
      </c>
      <c r="U516">
        <f>セットアップレポート!T516</f>
        <v>0</v>
      </c>
      <c r="V516" t="str">
        <f>セットアップレポート!U516</f>
        <v>667627 103228</v>
      </c>
      <c r="W516">
        <f>セットアップレポート!V516</f>
        <v>0</v>
      </c>
      <c r="X516">
        <f>セットアップレポート!W516</f>
        <v>0</v>
      </c>
      <c r="Y516">
        <f>セットアップレポート!X516</f>
        <v>0</v>
      </c>
      <c r="Z516">
        <f>セットアップレポート!Y516</f>
        <v>0</v>
      </c>
      <c r="AA516">
        <f>セットアップレポート!Z516</f>
        <v>0</v>
      </c>
      <c r="AB516" t="str">
        <f>セットアップレポート!AA516</f>
        <v>NONE</v>
      </c>
      <c r="AC516">
        <f>セットアップレポート!AB516</f>
        <v>0</v>
      </c>
      <c r="AD516">
        <f>セットアップレポート!AC516</f>
        <v>0</v>
      </c>
      <c r="AE516">
        <f>セットアップレポート!AD516</f>
        <v>0</v>
      </c>
      <c r="AF516">
        <f>セットアップレポート!AE516</f>
        <v>0</v>
      </c>
      <c r="AG516">
        <f>セットアップレポート!AF516</f>
        <v>0</v>
      </c>
      <c r="AH516">
        <f>セットアップレポート!AG516</f>
        <v>0</v>
      </c>
    </row>
    <row r="517" spans="1:34" x14ac:dyDescent="0.45">
      <c r="A517" t="str">
        <f t="shared" si="8"/>
        <v>L2-NPM040026R910035</v>
      </c>
      <c r="B517" t="str">
        <f>セットアップレポート!A517</f>
        <v>Line-2</v>
      </c>
      <c r="C517" t="str">
        <f>セットアップレポート!B517</f>
        <v>L2-NPM04</v>
      </c>
      <c r="D517" t="str">
        <f>セットアップレポート!C517</f>
        <v>Zone-2-NPMW-4</v>
      </c>
      <c r="E517">
        <f>セットアップレポート!D517</f>
        <v>1</v>
      </c>
      <c r="F517">
        <f>セットアップレポート!E517</f>
        <v>1</v>
      </c>
      <c r="G517" t="str">
        <f>セットアップレポート!F517</f>
        <v>20026R</v>
      </c>
      <c r="H517">
        <f>セットアップレポート!G517</f>
        <v>26</v>
      </c>
      <c r="I517" t="str">
        <f>セットアップレポート!H517</f>
        <v>R</v>
      </c>
      <c r="J517" t="str">
        <f>セットアップレポート!I517</f>
        <v>910035 100063</v>
      </c>
      <c r="K517">
        <f>セットアップレポート!J517</f>
        <v>910035</v>
      </c>
      <c r="L517">
        <f>セットアップレポート!K517</f>
        <v>0</v>
      </c>
      <c r="M517">
        <f>セットアップレポート!L517</f>
        <v>0</v>
      </c>
      <c r="N517">
        <f>セットアップレポート!M517</f>
        <v>0</v>
      </c>
      <c r="O517">
        <f>セットアップレポート!N517</f>
        <v>0</v>
      </c>
      <c r="P517" t="str">
        <f>セットアップレポート!O517</f>
        <v>FA0201ABA002803</v>
      </c>
      <c r="Q517">
        <f>セットアップレポート!P517</f>
        <v>10000</v>
      </c>
      <c r="R517">
        <f>セットアップレポート!Q517</f>
        <v>45950.475810185184</v>
      </c>
      <c r="S517">
        <f>セットアップレポート!R517</f>
        <v>0</v>
      </c>
      <c r="T517">
        <f>セットアップレポート!S517</f>
        <v>0</v>
      </c>
      <c r="U517">
        <f>セットアップレポート!T517</f>
        <v>0</v>
      </c>
      <c r="V517">
        <f>セットアップレポート!U517</f>
        <v>0</v>
      </c>
      <c r="W517">
        <f>セットアップレポート!V517</f>
        <v>0</v>
      </c>
      <c r="X517">
        <f>セットアップレポート!W517</f>
        <v>0</v>
      </c>
      <c r="Y517">
        <f>セットアップレポート!X517</f>
        <v>0</v>
      </c>
      <c r="Z517">
        <f>セットアップレポート!Y517</f>
        <v>0</v>
      </c>
      <c r="AA517">
        <f>セットアップレポート!Z517</f>
        <v>0</v>
      </c>
      <c r="AB517" t="str">
        <f>セットアップレポート!AA517</f>
        <v>NONE</v>
      </c>
      <c r="AC517">
        <f>セットアップレポート!AB517</f>
        <v>0</v>
      </c>
      <c r="AD517">
        <f>セットアップレポート!AC517</f>
        <v>0</v>
      </c>
      <c r="AE517">
        <f>セットアップレポート!AD517</f>
        <v>0</v>
      </c>
      <c r="AF517">
        <f>セットアップレポート!AE517</f>
        <v>0</v>
      </c>
      <c r="AG517">
        <f>セットアップレポート!AF517</f>
        <v>0</v>
      </c>
      <c r="AH517">
        <f>セットアップレポート!AG517</f>
        <v>0</v>
      </c>
    </row>
    <row r="518" spans="1:34" x14ac:dyDescent="0.45">
      <c r="A518" t="str">
        <f t="shared" si="8"/>
        <v>L2-NPM040030R667378A</v>
      </c>
      <c r="B518" t="str">
        <f>セットアップレポート!A518</f>
        <v>Line-2</v>
      </c>
      <c r="C518" t="str">
        <f>セットアップレポート!B518</f>
        <v>L2-NPM04</v>
      </c>
      <c r="D518" t="str">
        <f>セットアップレポート!C518</f>
        <v>Zone-2-NPMW-4</v>
      </c>
      <c r="E518">
        <f>セットアップレポート!D518</f>
        <v>1</v>
      </c>
      <c r="F518">
        <f>セットアップレポート!E518</f>
        <v>1</v>
      </c>
      <c r="G518" t="str">
        <f>セットアップレポート!F518</f>
        <v>10030R</v>
      </c>
      <c r="H518">
        <f>セットアップレポート!G518</f>
        <v>30</v>
      </c>
      <c r="I518" t="str">
        <f>セットアップレポート!H518</f>
        <v>R</v>
      </c>
      <c r="J518" t="str">
        <f>セットアップレポート!I518</f>
        <v>667378A100129</v>
      </c>
      <c r="K518" t="str">
        <f>セットアップレポート!J518</f>
        <v>667378A</v>
      </c>
      <c r="L518">
        <f>セットアップレポート!K518</f>
        <v>0</v>
      </c>
      <c r="M518">
        <f>セットアップレポート!L518</f>
        <v>0</v>
      </c>
      <c r="N518">
        <f>セットアップレポート!M518</f>
        <v>0</v>
      </c>
      <c r="O518">
        <f>セットアップレポート!N518</f>
        <v>0</v>
      </c>
      <c r="P518" t="str">
        <f>セットアップレポート!O518</f>
        <v>FA0201ABD000671</v>
      </c>
      <c r="Q518">
        <f>セットアップレポート!P518</f>
        <v>5000</v>
      </c>
      <c r="R518">
        <f>セットアップレポート!Q518</f>
        <v>45930.448877314811</v>
      </c>
      <c r="S518">
        <f>セットアップレポート!R518</f>
        <v>0</v>
      </c>
      <c r="T518" t="str">
        <f>セットアップレポート!S518</f>
        <v>Yes</v>
      </c>
      <c r="U518">
        <f>セットアップレポート!T518</f>
        <v>0</v>
      </c>
      <c r="V518" t="str">
        <f>セットアップレポート!U518</f>
        <v>667378A100108</v>
      </c>
      <c r="W518">
        <f>セットアップレポート!V518</f>
        <v>0</v>
      </c>
      <c r="X518">
        <f>セットアップレポート!W518</f>
        <v>0</v>
      </c>
      <c r="Y518">
        <f>セットアップレポート!X518</f>
        <v>0</v>
      </c>
      <c r="Z518">
        <f>セットアップレポート!Y518</f>
        <v>0</v>
      </c>
      <c r="AA518">
        <f>セットアップレポート!Z518</f>
        <v>0</v>
      </c>
      <c r="AB518" t="str">
        <f>セットアップレポート!AA518</f>
        <v>NONE</v>
      </c>
      <c r="AC518">
        <f>セットアップレポート!AB518</f>
        <v>0</v>
      </c>
      <c r="AD518">
        <f>セットアップレポート!AC518</f>
        <v>0</v>
      </c>
      <c r="AE518">
        <f>セットアップレポート!AD518</f>
        <v>0</v>
      </c>
      <c r="AF518">
        <f>セットアップレポート!AE518</f>
        <v>0</v>
      </c>
      <c r="AG518">
        <f>セットアップレポート!AF518</f>
        <v>0</v>
      </c>
      <c r="AH518">
        <f>セットアップレポート!AG518</f>
        <v>0</v>
      </c>
    </row>
    <row r="519" spans="1:34" x14ac:dyDescent="0.45">
      <c r="A519" t="str">
        <f t="shared" si="8"/>
        <v>L2-NPM050028R9000057817</v>
      </c>
      <c r="B519" t="str">
        <f>セットアップレポート!A519</f>
        <v>Line-2</v>
      </c>
      <c r="C519" t="str">
        <f>セットアップレポート!B519</f>
        <v>L2-NPM05</v>
      </c>
      <c r="D519" t="str">
        <f>セットアップレポート!C519</f>
        <v>Zone-2-NPMW-5</v>
      </c>
      <c r="E519">
        <f>セットアップレポート!D519</f>
        <v>1</v>
      </c>
      <c r="F519">
        <f>セットアップレポート!E519</f>
        <v>1</v>
      </c>
      <c r="G519" t="str">
        <f>セットアップレポート!F519</f>
        <v>10028R</v>
      </c>
      <c r="H519">
        <f>セットアップレポート!G519</f>
        <v>28</v>
      </c>
      <c r="I519" t="str">
        <f>セットアップレポート!H519</f>
        <v>R</v>
      </c>
      <c r="J519" t="str">
        <f>セットアップレポート!I519</f>
        <v>9000057817 101157</v>
      </c>
      <c r="K519">
        <f>セットアップレポート!J519</f>
        <v>9000057817</v>
      </c>
      <c r="L519">
        <f>セットアップレポート!K519</f>
        <v>0</v>
      </c>
      <c r="M519">
        <f>セットアップレポート!L519</f>
        <v>0</v>
      </c>
      <c r="N519">
        <f>セットアップレポート!M519</f>
        <v>0</v>
      </c>
      <c r="O519">
        <f>セットアップレポート!N519</f>
        <v>0</v>
      </c>
      <c r="P519" t="str">
        <f>セットアップレポート!O519</f>
        <v>FA0201ACD050207</v>
      </c>
      <c r="Q519">
        <f>セットアップレポート!P519</f>
        <v>1000</v>
      </c>
      <c r="R519">
        <f>セットアップレポート!Q519</f>
        <v>45950.475335648145</v>
      </c>
      <c r="S519">
        <f>セットアップレポート!R519</f>
        <v>0</v>
      </c>
      <c r="T519">
        <f>セットアップレポート!S519</f>
        <v>0</v>
      </c>
      <c r="U519">
        <f>セットアップレポート!T519</f>
        <v>0</v>
      </c>
      <c r="V519">
        <f>セットアップレポート!U519</f>
        <v>0</v>
      </c>
      <c r="W519">
        <f>セットアップレポート!V519</f>
        <v>0</v>
      </c>
      <c r="X519">
        <f>セットアップレポート!W519</f>
        <v>0</v>
      </c>
      <c r="Y519">
        <f>セットアップレポート!X519</f>
        <v>0</v>
      </c>
      <c r="Z519">
        <f>セットアップレポート!Y519</f>
        <v>0</v>
      </c>
      <c r="AA519">
        <f>セットアップレポート!Z519</f>
        <v>0</v>
      </c>
      <c r="AB519" t="str">
        <f>セットアップレポート!AA519</f>
        <v>NONE</v>
      </c>
      <c r="AC519">
        <f>セットアップレポート!AB519</f>
        <v>0</v>
      </c>
      <c r="AD519">
        <f>セットアップレポート!AC519</f>
        <v>0</v>
      </c>
      <c r="AE519">
        <f>セットアップレポート!AD519</f>
        <v>0</v>
      </c>
      <c r="AF519">
        <f>セットアップレポート!AE519</f>
        <v>0</v>
      </c>
      <c r="AG519">
        <f>セットアップレポート!AF519</f>
        <v>0</v>
      </c>
      <c r="AH519">
        <f>セットアップレポート!AG519</f>
        <v>0</v>
      </c>
    </row>
    <row r="520" spans="1:34" x14ac:dyDescent="0.45">
      <c r="A520" t="str">
        <f t="shared" si="8"/>
        <v>L2-NPM050027R9000069293</v>
      </c>
      <c r="B520" t="str">
        <f>セットアップレポート!A520</f>
        <v>Line-2</v>
      </c>
      <c r="C520" t="str">
        <f>セットアップレポート!B520</f>
        <v>L2-NPM05</v>
      </c>
      <c r="D520" t="str">
        <f>セットアップレポート!C520</f>
        <v>Zone-2-NPMW-5</v>
      </c>
      <c r="E520">
        <f>セットアップレポート!D520</f>
        <v>1</v>
      </c>
      <c r="F520">
        <f>セットアップレポート!E520</f>
        <v>1</v>
      </c>
      <c r="G520" t="str">
        <f>セットアップレポート!F520</f>
        <v>10027R</v>
      </c>
      <c r="H520">
        <f>セットアップレポート!G520</f>
        <v>27</v>
      </c>
      <c r="I520" t="str">
        <f>セットアップレポート!H520</f>
        <v>R</v>
      </c>
      <c r="J520" t="str">
        <f>セットアップレポート!I520</f>
        <v>9000069293 100006</v>
      </c>
      <c r="K520">
        <f>セットアップレポート!J520</f>
        <v>9000069293</v>
      </c>
      <c r="L520">
        <f>セットアップレポート!K520</f>
        <v>0</v>
      </c>
      <c r="M520">
        <f>セットアップレポート!L520</f>
        <v>0</v>
      </c>
      <c r="N520">
        <f>セットアップレポート!M520</f>
        <v>0</v>
      </c>
      <c r="O520">
        <f>セットアップレポート!N520</f>
        <v>0</v>
      </c>
      <c r="P520" t="str">
        <f>セットアップレポート!O520</f>
        <v>FA0201AAD000151</v>
      </c>
      <c r="Q520">
        <f>セットアップレポート!P520</f>
        <v>3000</v>
      </c>
      <c r="R520">
        <f>セットアップレポート!Q520</f>
        <v>45950.475335648145</v>
      </c>
      <c r="S520" t="str">
        <f>セットアップレポート!R520</f>
        <v>sato kuniyoshi</v>
      </c>
      <c r="T520" t="str">
        <f>セットアップレポート!S520</f>
        <v>Yes</v>
      </c>
      <c r="U520">
        <f>セットアップレポート!T520</f>
        <v>0</v>
      </c>
      <c r="V520" t="str">
        <f>セットアップレポート!U520</f>
        <v>9000069293 100008</v>
      </c>
      <c r="W520">
        <f>セットアップレポート!V520</f>
        <v>0</v>
      </c>
      <c r="X520">
        <f>セットアップレポート!W520</f>
        <v>0</v>
      </c>
      <c r="Y520">
        <f>セットアップレポート!X520</f>
        <v>0</v>
      </c>
      <c r="Z520">
        <f>セットアップレポート!Y520</f>
        <v>0</v>
      </c>
      <c r="AA520">
        <f>セットアップレポート!Z520</f>
        <v>0</v>
      </c>
      <c r="AB520" t="str">
        <f>セットアップレポート!AA520</f>
        <v>NONE</v>
      </c>
      <c r="AC520">
        <f>セットアップレポート!AB520</f>
        <v>0</v>
      </c>
      <c r="AD520">
        <f>セットアップレポート!AC520</f>
        <v>0</v>
      </c>
      <c r="AE520">
        <f>セットアップレポート!AD520</f>
        <v>0</v>
      </c>
      <c r="AF520">
        <f>セットアップレポート!AE520</f>
        <v>0</v>
      </c>
      <c r="AG520">
        <f>セットアップレポート!AF520</f>
        <v>0</v>
      </c>
      <c r="AH520">
        <f>セットアップレポート!AG520</f>
        <v>0</v>
      </c>
    </row>
    <row r="521" spans="1:34" x14ac:dyDescent="0.45">
      <c r="A521" t="str">
        <f t="shared" si="8"/>
        <v>L2-NPM050003R9000067897</v>
      </c>
      <c r="B521" t="str">
        <f>セットアップレポート!A521</f>
        <v>Line-2</v>
      </c>
      <c r="C521" t="str">
        <f>セットアップレポート!B521</f>
        <v>L2-NPM05</v>
      </c>
      <c r="D521" t="str">
        <f>セットアップレポート!C521</f>
        <v>Zone-2-NPMW-5</v>
      </c>
      <c r="E521">
        <f>セットアップレポート!D521</f>
        <v>1</v>
      </c>
      <c r="F521">
        <f>セットアップレポート!E521</f>
        <v>1</v>
      </c>
      <c r="G521" t="str">
        <f>セットアップレポート!F521</f>
        <v>20003R</v>
      </c>
      <c r="H521">
        <f>セットアップレポート!G521</f>
        <v>3</v>
      </c>
      <c r="I521" t="str">
        <f>セットアップレポート!H521</f>
        <v>R</v>
      </c>
      <c r="J521" t="str">
        <f>セットアップレポート!I521</f>
        <v>9000067897 100022</v>
      </c>
      <c r="K521">
        <f>セットアップレポート!J521</f>
        <v>9000067897</v>
      </c>
      <c r="L521">
        <f>セットアップレポート!K521</f>
        <v>0</v>
      </c>
      <c r="M521">
        <f>セットアップレポート!L521</f>
        <v>0</v>
      </c>
      <c r="N521">
        <f>セットアップレポート!M521</f>
        <v>0</v>
      </c>
      <c r="O521">
        <f>セットアップレポート!N521</f>
        <v>0</v>
      </c>
      <c r="P521" t="str">
        <f>セットアップレポート!O521</f>
        <v>FA0201ABA002854</v>
      </c>
      <c r="Q521">
        <f>セットアップレポート!P521</f>
        <v>15000</v>
      </c>
      <c r="R521">
        <f>セットアップレポート!Q521</f>
        <v>45950.475335648145</v>
      </c>
      <c r="S521">
        <f>セットアップレポート!R521</f>
        <v>0</v>
      </c>
      <c r="T521">
        <f>セットアップレポート!S521</f>
        <v>0</v>
      </c>
      <c r="U521">
        <f>セットアップレポート!T521</f>
        <v>0</v>
      </c>
      <c r="V521">
        <f>セットアップレポート!U521</f>
        <v>0</v>
      </c>
      <c r="W521">
        <f>セットアップレポート!V521</f>
        <v>0</v>
      </c>
      <c r="X521">
        <f>セットアップレポート!W521</f>
        <v>0</v>
      </c>
      <c r="Y521">
        <f>セットアップレポート!X521</f>
        <v>0</v>
      </c>
      <c r="Z521">
        <f>セットアップレポート!Y521</f>
        <v>0</v>
      </c>
      <c r="AA521">
        <f>セットアップレポート!Z521</f>
        <v>0</v>
      </c>
      <c r="AB521" t="str">
        <f>セットアップレポート!AA521</f>
        <v>NONE</v>
      </c>
      <c r="AC521">
        <f>セットアップレポート!AB521</f>
        <v>0</v>
      </c>
      <c r="AD521">
        <f>セットアップレポート!AC521</f>
        <v>0</v>
      </c>
      <c r="AE521">
        <f>セットアップレポート!AD521</f>
        <v>0</v>
      </c>
      <c r="AF521">
        <f>セットアップレポート!AE521</f>
        <v>0</v>
      </c>
      <c r="AG521">
        <f>セットアップレポート!AF521</f>
        <v>0</v>
      </c>
      <c r="AH521">
        <f>セットアップレポート!AG521</f>
        <v>0</v>
      </c>
    </row>
    <row r="522" spans="1:34" x14ac:dyDescent="0.45">
      <c r="A522" t="str">
        <f t="shared" si="8"/>
        <v>L2-NPM050030R930958</v>
      </c>
      <c r="B522" t="str">
        <f>セットアップレポート!A522</f>
        <v>Line-2</v>
      </c>
      <c r="C522" t="str">
        <f>セットアップレポート!B522</f>
        <v>L2-NPM05</v>
      </c>
      <c r="D522" t="str">
        <f>セットアップレポート!C522</f>
        <v>Zone-2-NPMW-5</v>
      </c>
      <c r="E522">
        <f>セットアップレポート!D522</f>
        <v>1</v>
      </c>
      <c r="F522">
        <f>セットアップレポート!E522</f>
        <v>1</v>
      </c>
      <c r="G522" t="str">
        <f>セットアップレポート!F522</f>
        <v>10030R</v>
      </c>
      <c r="H522">
        <f>セットアップレポート!G522</f>
        <v>30</v>
      </c>
      <c r="I522" t="str">
        <f>セットアップレポート!H522</f>
        <v>R</v>
      </c>
      <c r="J522" t="str">
        <f>セットアップレポート!I522</f>
        <v>930958 100206</v>
      </c>
      <c r="K522">
        <f>セットアップレポート!J522</f>
        <v>930958</v>
      </c>
      <c r="L522">
        <f>セットアップレポート!K522</f>
        <v>0</v>
      </c>
      <c r="M522">
        <f>セットアップレポート!L522</f>
        <v>0</v>
      </c>
      <c r="N522">
        <f>セットアップレポート!M522</f>
        <v>0</v>
      </c>
      <c r="O522">
        <f>セットアップレポート!N522</f>
        <v>0</v>
      </c>
      <c r="P522" t="str">
        <f>セットアップレポート!O522</f>
        <v>FA0201ABD000626</v>
      </c>
      <c r="Q522">
        <f>セットアップレポート!P522</f>
        <v>3000</v>
      </c>
      <c r="R522">
        <f>セットアップレポート!Q522</f>
        <v>45950.475335648145</v>
      </c>
      <c r="S522">
        <f>セットアップレポート!R522</f>
        <v>0</v>
      </c>
      <c r="T522" t="str">
        <f>セットアップレポート!S522</f>
        <v>Yes</v>
      </c>
      <c r="U522">
        <f>セットアップレポート!T522</f>
        <v>0</v>
      </c>
      <c r="V522" t="str">
        <f>セットアップレポート!U522</f>
        <v>930958 100196</v>
      </c>
      <c r="W522">
        <f>セットアップレポート!V522</f>
        <v>0</v>
      </c>
      <c r="X522">
        <f>セットアップレポート!W522</f>
        <v>0</v>
      </c>
      <c r="Y522">
        <f>セットアップレポート!X522</f>
        <v>0</v>
      </c>
      <c r="Z522">
        <f>セットアップレポート!Y522</f>
        <v>0</v>
      </c>
      <c r="AA522">
        <f>セットアップレポート!Z522</f>
        <v>0</v>
      </c>
      <c r="AB522" t="str">
        <f>セットアップレポート!AA522</f>
        <v>NONE</v>
      </c>
      <c r="AC522">
        <f>セットアップレポート!AB522</f>
        <v>0</v>
      </c>
      <c r="AD522">
        <f>セットアップレポート!AC522</f>
        <v>0</v>
      </c>
      <c r="AE522">
        <f>セットアップレポート!AD522</f>
        <v>0</v>
      </c>
      <c r="AF522">
        <f>セットアップレポート!AE522</f>
        <v>0</v>
      </c>
      <c r="AG522">
        <f>セットアップレポート!AF522</f>
        <v>0</v>
      </c>
      <c r="AH522">
        <f>セットアップレポート!AG522</f>
        <v>0</v>
      </c>
    </row>
    <row r="523" spans="1:34" x14ac:dyDescent="0.45">
      <c r="A523" t="str">
        <f t="shared" si="8"/>
        <v>L2-NPM050029R9000066605</v>
      </c>
      <c r="B523" t="str">
        <f>セットアップレポート!A523</f>
        <v>Line-2</v>
      </c>
      <c r="C523" t="str">
        <f>セットアップレポート!B523</f>
        <v>L2-NPM05</v>
      </c>
      <c r="D523" t="str">
        <f>セットアップレポート!C523</f>
        <v>Zone-2-NPMW-5</v>
      </c>
      <c r="E523">
        <f>セットアップレポート!D523</f>
        <v>1</v>
      </c>
      <c r="F523">
        <f>セットアップレポート!E523</f>
        <v>1</v>
      </c>
      <c r="G523" t="str">
        <f>セットアップレポート!F523</f>
        <v>10029R</v>
      </c>
      <c r="H523">
        <f>セットアップレポート!G523</f>
        <v>29</v>
      </c>
      <c r="I523" t="str">
        <f>セットアップレポート!H523</f>
        <v>R</v>
      </c>
      <c r="J523" t="str">
        <f>セットアップレポート!I523</f>
        <v>9000066605 100140</v>
      </c>
      <c r="K523">
        <f>セットアップレポート!J523</f>
        <v>9000066605</v>
      </c>
      <c r="L523">
        <f>セットアップレポート!K523</f>
        <v>0</v>
      </c>
      <c r="M523">
        <f>セットアップレポート!L523</f>
        <v>0</v>
      </c>
      <c r="N523">
        <f>セットアップレポート!M523</f>
        <v>0</v>
      </c>
      <c r="O523">
        <f>セットアップレポート!N523</f>
        <v>0</v>
      </c>
      <c r="P523" t="str">
        <f>セットアップレポート!O523</f>
        <v>FA0201ACD051408</v>
      </c>
      <c r="Q523">
        <f>セットアップレポート!P523</f>
        <v>1000</v>
      </c>
      <c r="R523">
        <f>セットアップレポート!Q523</f>
        <v>45950.475335648145</v>
      </c>
      <c r="S523">
        <f>セットアップレポート!R523</f>
        <v>0</v>
      </c>
      <c r="T523">
        <f>セットアップレポート!S523</f>
        <v>0</v>
      </c>
      <c r="U523">
        <f>セットアップレポート!T523</f>
        <v>0</v>
      </c>
      <c r="V523">
        <f>セットアップレポート!U523</f>
        <v>0</v>
      </c>
      <c r="W523">
        <f>セットアップレポート!V523</f>
        <v>0</v>
      </c>
      <c r="X523">
        <f>セットアップレポート!W523</f>
        <v>0</v>
      </c>
      <c r="Y523">
        <f>セットアップレポート!X523</f>
        <v>0</v>
      </c>
      <c r="Z523">
        <f>セットアップレポート!Y523</f>
        <v>0</v>
      </c>
      <c r="AA523">
        <f>セットアップレポート!Z523</f>
        <v>0</v>
      </c>
      <c r="AB523" t="str">
        <f>セットアップレポート!AA523</f>
        <v>NONE</v>
      </c>
      <c r="AC523">
        <f>セットアップレポート!AB523</f>
        <v>0</v>
      </c>
      <c r="AD523">
        <f>セットアップレポート!AC523</f>
        <v>0</v>
      </c>
      <c r="AE523">
        <f>セットアップレポート!AD523</f>
        <v>0</v>
      </c>
      <c r="AF523">
        <f>セットアップレポート!AE523</f>
        <v>0</v>
      </c>
      <c r="AG523">
        <f>セットアップレポート!AF523</f>
        <v>0</v>
      </c>
      <c r="AH523">
        <f>セットアップレポート!AG523</f>
        <v>0</v>
      </c>
    </row>
    <row r="524" spans="1:34" x14ac:dyDescent="0.45">
      <c r="A524" t="str">
        <f t="shared" si="8"/>
        <v>L2-NPM050026R9000069909</v>
      </c>
      <c r="B524" t="str">
        <f>セットアップレポート!A524</f>
        <v>Line-2</v>
      </c>
      <c r="C524" t="str">
        <f>セットアップレポート!B524</f>
        <v>L2-NPM05</v>
      </c>
      <c r="D524" t="str">
        <f>セットアップレポート!C524</f>
        <v>Zone-2-NPMW-5</v>
      </c>
      <c r="E524">
        <f>セットアップレポート!D524</f>
        <v>1</v>
      </c>
      <c r="F524">
        <f>セットアップレポート!E524</f>
        <v>1</v>
      </c>
      <c r="G524" t="str">
        <f>セットアップレポート!F524</f>
        <v>10026R</v>
      </c>
      <c r="H524">
        <f>セットアップレポート!G524</f>
        <v>26</v>
      </c>
      <c r="I524" t="str">
        <f>セットアップレポート!H524</f>
        <v>R</v>
      </c>
      <c r="J524" t="str">
        <f>セットアップレポート!I524</f>
        <v>9000069909 100052</v>
      </c>
      <c r="K524">
        <f>セットアップレポート!J524</f>
        <v>9000069909</v>
      </c>
      <c r="L524">
        <f>セットアップレポート!K524</f>
        <v>0</v>
      </c>
      <c r="M524">
        <f>セットアップレポート!L524</f>
        <v>0</v>
      </c>
      <c r="N524">
        <f>セットアップレポート!M524</f>
        <v>0</v>
      </c>
      <c r="O524">
        <f>セットアップレポート!N524</f>
        <v>0</v>
      </c>
      <c r="P524" t="str">
        <f>セットアップレポート!O524</f>
        <v>FA0201ABD000426</v>
      </c>
      <c r="Q524">
        <f>セットアップレポート!P524</f>
        <v>3000</v>
      </c>
      <c r="R524">
        <f>セットアップレポート!Q524</f>
        <v>45950.475335648145</v>
      </c>
      <c r="S524">
        <f>セットアップレポート!R524</f>
        <v>0</v>
      </c>
      <c r="T524" t="str">
        <f>セットアップレポート!S524</f>
        <v>Yes</v>
      </c>
      <c r="U524">
        <f>セットアップレポート!T524</f>
        <v>0</v>
      </c>
      <c r="V524" t="str">
        <f>セットアップレポート!U524</f>
        <v>9000069909 100088</v>
      </c>
      <c r="W524">
        <f>セットアップレポート!V524</f>
        <v>0</v>
      </c>
      <c r="X524">
        <f>セットアップレポート!W524</f>
        <v>0</v>
      </c>
      <c r="Y524">
        <f>セットアップレポート!X524</f>
        <v>0</v>
      </c>
      <c r="Z524">
        <f>セットアップレポート!Y524</f>
        <v>0</v>
      </c>
      <c r="AA524">
        <f>セットアップレポート!Z524</f>
        <v>0</v>
      </c>
      <c r="AB524" t="str">
        <f>セットアップレポート!AA524</f>
        <v>NONE</v>
      </c>
      <c r="AC524">
        <f>セットアップレポート!AB524</f>
        <v>0</v>
      </c>
      <c r="AD524">
        <f>セットアップレポート!AC524</f>
        <v>0</v>
      </c>
      <c r="AE524">
        <f>セットアップレポート!AD524</f>
        <v>0</v>
      </c>
      <c r="AF524">
        <f>セットアップレポート!AE524</f>
        <v>0</v>
      </c>
      <c r="AG524">
        <f>セットアップレポート!AF524</f>
        <v>0</v>
      </c>
      <c r="AH524">
        <f>セットアップレポート!AG524</f>
        <v>0</v>
      </c>
    </row>
    <row r="525" spans="1:34" x14ac:dyDescent="0.45">
      <c r="A525" t="str">
        <f t="shared" si="8"/>
        <v>L2-NPM060030R929265</v>
      </c>
      <c r="B525" t="str">
        <f>セットアップレポート!A525</f>
        <v>Line-2</v>
      </c>
      <c r="C525" t="str">
        <f>セットアップレポート!B525</f>
        <v>L2-NPM06</v>
      </c>
      <c r="D525" t="str">
        <f>セットアップレポート!C525</f>
        <v>Zone-2-NPMW-6</v>
      </c>
      <c r="E525">
        <f>セットアップレポート!D525</f>
        <v>1</v>
      </c>
      <c r="F525">
        <f>セットアップレポート!E525</f>
        <v>1</v>
      </c>
      <c r="G525" t="str">
        <f>セットアップレポート!F525</f>
        <v>10030R</v>
      </c>
      <c r="H525">
        <f>セットアップレポート!G525</f>
        <v>30</v>
      </c>
      <c r="I525" t="str">
        <f>セットアップレポート!H525</f>
        <v>R</v>
      </c>
      <c r="J525" t="str">
        <f>セットアップレポート!I525</f>
        <v>929265 100113</v>
      </c>
      <c r="K525">
        <f>セットアップレポート!J525</f>
        <v>929265</v>
      </c>
      <c r="L525">
        <f>セットアップレポート!K525</f>
        <v>0</v>
      </c>
      <c r="M525">
        <f>セットアップレポート!L525</f>
        <v>0</v>
      </c>
      <c r="N525">
        <f>セットアップレポート!M525</f>
        <v>0</v>
      </c>
      <c r="O525">
        <f>セットアップレポート!N525</f>
        <v>0</v>
      </c>
      <c r="P525" t="str">
        <f>セットアップレポート!O525</f>
        <v>FA0201ACD051457</v>
      </c>
      <c r="Q525">
        <f>セットアップレポート!P525</f>
        <v>3000</v>
      </c>
      <c r="R525">
        <f>セットアップレポート!Q525</f>
        <v>45950.474733796298</v>
      </c>
      <c r="S525">
        <f>セットアップレポート!R525</f>
        <v>0</v>
      </c>
      <c r="T525" t="str">
        <f>セットアップレポート!S525</f>
        <v>Yes</v>
      </c>
      <c r="U525">
        <f>セットアップレポート!T525</f>
        <v>0</v>
      </c>
      <c r="V525" t="str">
        <f>セットアップレポート!U525</f>
        <v>929265 100163</v>
      </c>
      <c r="W525">
        <f>セットアップレポート!V525</f>
        <v>0</v>
      </c>
      <c r="X525">
        <f>セットアップレポート!W525</f>
        <v>0</v>
      </c>
      <c r="Y525">
        <f>セットアップレポート!X525</f>
        <v>0</v>
      </c>
      <c r="Z525">
        <f>セットアップレポート!Y525</f>
        <v>0</v>
      </c>
      <c r="AA525">
        <f>セットアップレポート!Z525</f>
        <v>0</v>
      </c>
      <c r="AB525" t="str">
        <f>セットアップレポート!AA525</f>
        <v>NONE</v>
      </c>
      <c r="AC525">
        <f>セットアップレポート!AB525</f>
        <v>0</v>
      </c>
      <c r="AD525">
        <f>セットアップレポート!AC525</f>
        <v>0</v>
      </c>
      <c r="AE525">
        <f>セットアップレポート!AD525</f>
        <v>0</v>
      </c>
      <c r="AF525">
        <f>セットアップレポート!AE525</f>
        <v>0</v>
      </c>
      <c r="AG525">
        <f>セットアップレポート!AF525</f>
        <v>0</v>
      </c>
      <c r="AH525">
        <f>セットアップレポート!AG525</f>
        <v>0</v>
      </c>
    </row>
    <row r="526" spans="1:34" x14ac:dyDescent="0.45">
      <c r="A526" t="str">
        <f t="shared" si="8"/>
        <v>000</v>
      </c>
      <c r="B526">
        <f>セットアップレポート!A526</f>
        <v>0</v>
      </c>
      <c r="C526">
        <f>セットアップレポート!B526</f>
        <v>0</v>
      </c>
      <c r="D526">
        <f>セットアップレポート!C526</f>
        <v>0</v>
      </c>
      <c r="E526">
        <f>セットアップレポート!D526</f>
        <v>0</v>
      </c>
      <c r="F526">
        <f>セットアップレポート!E526</f>
        <v>0</v>
      </c>
      <c r="G526">
        <f>セットアップレポート!F526</f>
        <v>0</v>
      </c>
      <c r="H526">
        <f>セットアップレポート!G526</f>
        <v>0</v>
      </c>
      <c r="I526">
        <f>セットアップレポート!H526</f>
        <v>0</v>
      </c>
      <c r="J526">
        <f>セットアップレポート!I526</f>
        <v>0</v>
      </c>
      <c r="K526">
        <f>セットアップレポート!J526</f>
        <v>0</v>
      </c>
      <c r="L526">
        <f>セットアップレポート!K526</f>
        <v>0</v>
      </c>
      <c r="M526">
        <f>セットアップレポート!L526</f>
        <v>0</v>
      </c>
      <c r="N526">
        <f>セットアップレポート!M526</f>
        <v>0</v>
      </c>
      <c r="O526">
        <f>セットアップレポート!N526</f>
        <v>0</v>
      </c>
      <c r="P526">
        <f>セットアップレポート!O526</f>
        <v>0</v>
      </c>
      <c r="Q526">
        <f>セットアップレポート!P526</f>
        <v>0</v>
      </c>
      <c r="R526">
        <f>セットアップレポート!Q526</f>
        <v>0</v>
      </c>
      <c r="S526">
        <f>セットアップレポート!R526</f>
        <v>0</v>
      </c>
      <c r="T526">
        <f>セットアップレポート!S526</f>
        <v>0</v>
      </c>
      <c r="U526">
        <f>セットアップレポート!T526</f>
        <v>0</v>
      </c>
      <c r="V526">
        <f>セットアップレポート!U526</f>
        <v>0</v>
      </c>
      <c r="W526">
        <f>セットアップレポート!V526</f>
        <v>0</v>
      </c>
      <c r="X526">
        <f>セットアップレポート!W526</f>
        <v>0</v>
      </c>
      <c r="Y526">
        <f>セットアップレポート!X526</f>
        <v>0</v>
      </c>
      <c r="Z526">
        <f>セットアップレポート!Y526</f>
        <v>0</v>
      </c>
      <c r="AA526">
        <f>セットアップレポート!Z526</f>
        <v>0</v>
      </c>
      <c r="AB526">
        <f>セットアップレポート!AA526</f>
        <v>0</v>
      </c>
      <c r="AC526">
        <f>セットアップレポート!AB526</f>
        <v>0</v>
      </c>
      <c r="AD526">
        <f>セットアップレポート!AC526</f>
        <v>0</v>
      </c>
      <c r="AE526">
        <f>セットアップレポート!AD526</f>
        <v>0</v>
      </c>
      <c r="AF526">
        <f>セットアップレポート!AE526</f>
        <v>0</v>
      </c>
      <c r="AG526">
        <f>セットアップレポート!AF526</f>
        <v>0</v>
      </c>
      <c r="AH526">
        <f>セットアップレポート!AG526</f>
        <v>0</v>
      </c>
    </row>
    <row r="527" spans="1:34" x14ac:dyDescent="0.45">
      <c r="A527" t="str">
        <f t="shared" si="8"/>
        <v>000</v>
      </c>
      <c r="B527">
        <f>セットアップレポート!A527</f>
        <v>0</v>
      </c>
      <c r="C527">
        <f>セットアップレポート!B527</f>
        <v>0</v>
      </c>
      <c r="D527">
        <f>セットアップレポート!C527</f>
        <v>0</v>
      </c>
      <c r="E527">
        <f>セットアップレポート!D527</f>
        <v>0</v>
      </c>
      <c r="F527">
        <f>セットアップレポート!E527</f>
        <v>0</v>
      </c>
      <c r="G527">
        <f>セットアップレポート!F527</f>
        <v>0</v>
      </c>
      <c r="H527">
        <f>セットアップレポート!G527</f>
        <v>0</v>
      </c>
      <c r="I527">
        <f>セットアップレポート!H527</f>
        <v>0</v>
      </c>
      <c r="J527">
        <f>セットアップレポート!I527</f>
        <v>0</v>
      </c>
      <c r="K527">
        <f>セットアップレポート!J527</f>
        <v>0</v>
      </c>
      <c r="L527">
        <f>セットアップレポート!K527</f>
        <v>0</v>
      </c>
      <c r="M527">
        <f>セットアップレポート!L527</f>
        <v>0</v>
      </c>
      <c r="N527">
        <f>セットアップレポート!M527</f>
        <v>0</v>
      </c>
      <c r="O527">
        <f>セットアップレポート!N527</f>
        <v>0</v>
      </c>
      <c r="P527">
        <f>セットアップレポート!O527</f>
        <v>0</v>
      </c>
      <c r="Q527">
        <f>セットアップレポート!P527</f>
        <v>0</v>
      </c>
      <c r="R527">
        <f>セットアップレポート!Q527</f>
        <v>0</v>
      </c>
      <c r="S527">
        <f>セットアップレポート!R527</f>
        <v>0</v>
      </c>
      <c r="T527">
        <f>セットアップレポート!S527</f>
        <v>0</v>
      </c>
      <c r="U527">
        <f>セットアップレポート!T527</f>
        <v>0</v>
      </c>
      <c r="V527">
        <f>セットアップレポート!U527</f>
        <v>0</v>
      </c>
      <c r="W527">
        <f>セットアップレポート!V527</f>
        <v>0</v>
      </c>
      <c r="X527">
        <f>セットアップレポート!W527</f>
        <v>0</v>
      </c>
      <c r="Y527">
        <f>セットアップレポート!X527</f>
        <v>0</v>
      </c>
      <c r="Z527">
        <f>セットアップレポート!Y527</f>
        <v>0</v>
      </c>
      <c r="AA527">
        <f>セットアップレポート!Z527</f>
        <v>0</v>
      </c>
      <c r="AB527">
        <f>セットアップレポート!AA527</f>
        <v>0</v>
      </c>
      <c r="AC527">
        <f>セットアップレポート!AB527</f>
        <v>0</v>
      </c>
      <c r="AD527">
        <f>セットアップレポート!AC527</f>
        <v>0</v>
      </c>
      <c r="AE527">
        <f>セットアップレポート!AD527</f>
        <v>0</v>
      </c>
      <c r="AF527">
        <f>セットアップレポート!AE527</f>
        <v>0</v>
      </c>
      <c r="AG527">
        <f>セットアップレポート!AF527</f>
        <v>0</v>
      </c>
      <c r="AH527">
        <f>セットアップレポート!AG527</f>
        <v>0</v>
      </c>
    </row>
    <row r="528" spans="1:34" x14ac:dyDescent="0.45">
      <c r="A528" t="str">
        <f t="shared" si="8"/>
        <v>000</v>
      </c>
      <c r="B528">
        <f>セットアップレポート!A528</f>
        <v>0</v>
      </c>
      <c r="C528">
        <f>セットアップレポート!B528</f>
        <v>0</v>
      </c>
      <c r="D528">
        <f>セットアップレポート!C528</f>
        <v>0</v>
      </c>
      <c r="E528">
        <f>セットアップレポート!D528</f>
        <v>0</v>
      </c>
      <c r="F528">
        <f>セットアップレポート!E528</f>
        <v>0</v>
      </c>
      <c r="G528">
        <f>セットアップレポート!F528</f>
        <v>0</v>
      </c>
      <c r="H528">
        <f>セットアップレポート!G528</f>
        <v>0</v>
      </c>
      <c r="I528">
        <f>セットアップレポート!H528</f>
        <v>0</v>
      </c>
      <c r="J528">
        <f>セットアップレポート!I528</f>
        <v>0</v>
      </c>
      <c r="K528">
        <f>セットアップレポート!J528</f>
        <v>0</v>
      </c>
      <c r="L528">
        <f>セットアップレポート!K528</f>
        <v>0</v>
      </c>
      <c r="M528">
        <f>セットアップレポート!L528</f>
        <v>0</v>
      </c>
      <c r="N528">
        <f>セットアップレポート!M528</f>
        <v>0</v>
      </c>
      <c r="O528">
        <f>セットアップレポート!N528</f>
        <v>0</v>
      </c>
      <c r="P528">
        <f>セットアップレポート!O528</f>
        <v>0</v>
      </c>
      <c r="Q528">
        <f>セットアップレポート!P528</f>
        <v>0</v>
      </c>
      <c r="R528">
        <f>セットアップレポート!Q528</f>
        <v>0</v>
      </c>
      <c r="S528">
        <f>セットアップレポート!R528</f>
        <v>0</v>
      </c>
      <c r="T528">
        <f>セットアップレポート!S528</f>
        <v>0</v>
      </c>
      <c r="U528">
        <f>セットアップレポート!T528</f>
        <v>0</v>
      </c>
      <c r="V528">
        <f>セットアップレポート!U528</f>
        <v>0</v>
      </c>
      <c r="W528">
        <f>セットアップレポート!V528</f>
        <v>0</v>
      </c>
      <c r="X528">
        <f>セットアップレポート!W528</f>
        <v>0</v>
      </c>
      <c r="Y528">
        <f>セットアップレポート!X528</f>
        <v>0</v>
      </c>
      <c r="Z528">
        <f>セットアップレポート!Y528</f>
        <v>0</v>
      </c>
      <c r="AA528">
        <f>セットアップレポート!Z528</f>
        <v>0</v>
      </c>
      <c r="AB528">
        <f>セットアップレポート!AA528</f>
        <v>0</v>
      </c>
      <c r="AC528">
        <f>セットアップレポート!AB528</f>
        <v>0</v>
      </c>
      <c r="AD528">
        <f>セットアップレポート!AC528</f>
        <v>0</v>
      </c>
      <c r="AE528">
        <f>セットアップレポート!AD528</f>
        <v>0</v>
      </c>
      <c r="AF528">
        <f>セットアップレポート!AE528</f>
        <v>0</v>
      </c>
      <c r="AG528">
        <f>セットアップレポート!AF528</f>
        <v>0</v>
      </c>
      <c r="AH528">
        <f>セットアップレポート!AG528</f>
        <v>0</v>
      </c>
    </row>
    <row r="529" spans="1:34" x14ac:dyDescent="0.45">
      <c r="A529" t="str">
        <f t="shared" si="8"/>
        <v>000</v>
      </c>
      <c r="B529">
        <f>セットアップレポート!A529</f>
        <v>0</v>
      </c>
      <c r="C529">
        <f>セットアップレポート!B529</f>
        <v>0</v>
      </c>
      <c r="D529">
        <f>セットアップレポート!C529</f>
        <v>0</v>
      </c>
      <c r="E529">
        <f>セットアップレポート!D529</f>
        <v>0</v>
      </c>
      <c r="F529">
        <f>セットアップレポート!E529</f>
        <v>0</v>
      </c>
      <c r="G529">
        <f>セットアップレポート!F529</f>
        <v>0</v>
      </c>
      <c r="H529">
        <f>セットアップレポート!G529</f>
        <v>0</v>
      </c>
      <c r="I529">
        <f>セットアップレポート!H529</f>
        <v>0</v>
      </c>
      <c r="J529">
        <f>セットアップレポート!I529</f>
        <v>0</v>
      </c>
      <c r="K529">
        <f>セットアップレポート!J529</f>
        <v>0</v>
      </c>
      <c r="L529">
        <f>セットアップレポート!K529</f>
        <v>0</v>
      </c>
      <c r="M529">
        <f>セットアップレポート!L529</f>
        <v>0</v>
      </c>
      <c r="N529">
        <f>セットアップレポート!M529</f>
        <v>0</v>
      </c>
      <c r="O529">
        <f>セットアップレポート!N529</f>
        <v>0</v>
      </c>
      <c r="P529">
        <f>セットアップレポート!O529</f>
        <v>0</v>
      </c>
      <c r="Q529">
        <f>セットアップレポート!P529</f>
        <v>0</v>
      </c>
      <c r="R529">
        <f>セットアップレポート!Q529</f>
        <v>0</v>
      </c>
      <c r="S529">
        <f>セットアップレポート!R529</f>
        <v>0</v>
      </c>
      <c r="T529">
        <f>セットアップレポート!S529</f>
        <v>0</v>
      </c>
      <c r="U529">
        <f>セットアップレポート!T529</f>
        <v>0</v>
      </c>
      <c r="V529">
        <f>セットアップレポート!U529</f>
        <v>0</v>
      </c>
      <c r="W529">
        <f>セットアップレポート!V529</f>
        <v>0</v>
      </c>
      <c r="X529">
        <f>セットアップレポート!W529</f>
        <v>0</v>
      </c>
      <c r="Y529">
        <f>セットアップレポート!X529</f>
        <v>0</v>
      </c>
      <c r="Z529">
        <f>セットアップレポート!Y529</f>
        <v>0</v>
      </c>
      <c r="AA529">
        <f>セットアップレポート!Z529</f>
        <v>0</v>
      </c>
      <c r="AB529">
        <f>セットアップレポート!AA529</f>
        <v>0</v>
      </c>
      <c r="AC529">
        <f>セットアップレポート!AB529</f>
        <v>0</v>
      </c>
      <c r="AD529">
        <f>セットアップレポート!AC529</f>
        <v>0</v>
      </c>
      <c r="AE529">
        <f>セットアップレポート!AD529</f>
        <v>0</v>
      </c>
      <c r="AF529">
        <f>セットアップレポート!AE529</f>
        <v>0</v>
      </c>
      <c r="AG529">
        <f>セットアップレポート!AF529</f>
        <v>0</v>
      </c>
      <c r="AH529">
        <f>セットアップレポート!AG529</f>
        <v>0</v>
      </c>
    </row>
    <row r="530" spans="1:34" x14ac:dyDescent="0.45">
      <c r="A530" t="str">
        <f t="shared" si="8"/>
        <v>000</v>
      </c>
      <c r="B530">
        <f>セットアップレポート!A530</f>
        <v>0</v>
      </c>
      <c r="C530">
        <f>セットアップレポート!B530</f>
        <v>0</v>
      </c>
      <c r="D530">
        <f>セットアップレポート!C530</f>
        <v>0</v>
      </c>
      <c r="E530">
        <f>セットアップレポート!D530</f>
        <v>0</v>
      </c>
      <c r="F530">
        <f>セットアップレポート!E530</f>
        <v>0</v>
      </c>
      <c r="G530">
        <f>セットアップレポート!F530</f>
        <v>0</v>
      </c>
      <c r="H530">
        <f>セットアップレポート!G530</f>
        <v>0</v>
      </c>
      <c r="I530">
        <f>セットアップレポート!H530</f>
        <v>0</v>
      </c>
      <c r="J530">
        <f>セットアップレポート!I530</f>
        <v>0</v>
      </c>
      <c r="K530">
        <f>セットアップレポート!J530</f>
        <v>0</v>
      </c>
      <c r="L530">
        <f>セットアップレポート!K530</f>
        <v>0</v>
      </c>
      <c r="M530">
        <f>セットアップレポート!L530</f>
        <v>0</v>
      </c>
      <c r="N530">
        <f>セットアップレポート!M530</f>
        <v>0</v>
      </c>
      <c r="O530">
        <f>セットアップレポート!N530</f>
        <v>0</v>
      </c>
      <c r="P530">
        <f>セットアップレポート!O530</f>
        <v>0</v>
      </c>
      <c r="Q530">
        <f>セットアップレポート!P530</f>
        <v>0</v>
      </c>
      <c r="R530">
        <f>セットアップレポート!Q530</f>
        <v>0</v>
      </c>
      <c r="S530">
        <f>セットアップレポート!R530</f>
        <v>0</v>
      </c>
      <c r="T530">
        <f>セットアップレポート!S530</f>
        <v>0</v>
      </c>
      <c r="U530">
        <f>セットアップレポート!T530</f>
        <v>0</v>
      </c>
      <c r="V530">
        <f>セットアップレポート!U530</f>
        <v>0</v>
      </c>
      <c r="W530">
        <f>セットアップレポート!V530</f>
        <v>0</v>
      </c>
      <c r="X530">
        <f>セットアップレポート!W530</f>
        <v>0</v>
      </c>
      <c r="Y530">
        <f>セットアップレポート!X530</f>
        <v>0</v>
      </c>
      <c r="Z530">
        <f>セットアップレポート!Y530</f>
        <v>0</v>
      </c>
      <c r="AA530">
        <f>セットアップレポート!Z530</f>
        <v>0</v>
      </c>
      <c r="AB530">
        <f>セットアップレポート!AA530</f>
        <v>0</v>
      </c>
      <c r="AC530">
        <f>セットアップレポート!AB530</f>
        <v>0</v>
      </c>
      <c r="AD530">
        <f>セットアップレポート!AC530</f>
        <v>0</v>
      </c>
      <c r="AE530">
        <f>セットアップレポート!AD530</f>
        <v>0</v>
      </c>
      <c r="AF530">
        <f>セットアップレポート!AE530</f>
        <v>0</v>
      </c>
      <c r="AG530">
        <f>セットアップレポート!AF530</f>
        <v>0</v>
      </c>
      <c r="AH530">
        <f>セットアップレポート!AG530</f>
        <v>0</v>
      </c>
    </row>
    <row r="531" spans="1:34" x14ac:dyDescent="0.45">
      <c r="A531" t="str">
        <f t="shared" si="8"/>
        <v>000</v>
      </c>
      <c r="B531">
        <f>セットアップレポート!A531</f>
        <v>0</v>
      </c>
      <c r="C531">
        <f>セットアップレポート!B531</f>
        <v>0</v>
      </c>
      <c r="D531">
        <f>セットアップレポート!C531</f>
        <v>0</v>
      </c>
      <c r="E531">
        <f>セットアップレポート!D531</f>
        <v>0</v>
      </c>
      <c r="F531">
        <f>セットアップレポート!E531</f>
        <v>0</v>
      </c>
      <c r="G531">
        <f>セットアップレポート!F531</f>
        <v>0</v>
      </c>
      <c r="H531">
        <f>セットアップレポート!G531</f>
        <v>0</v>
      </c>
      <c r="I531">
        <f>セットアップレポート!H531</f>
        <v>0</v>
      </c>
      <c r="J531">
        <f>セットアップレポート!I531</f>
        <v>0</v>
      </c>
      <c r="K531">
        <f>セットアップレポート!J531</f>
        <v>0</v>
      </c>
      <c r="L531">
        <f>セットアップレポート!K531</f>
        <v>0</v>
      </c>
      <c r="M531">
        <f>セットアップレポート!L531</f>
        <v>0</v>
      </c>
      <c r="N531">
        <f>セットアップレポート!M531</f>
        <v>0</v>
      </c>
      <c r="O531">
        <f>セットアップレポート!N531</f>
        <v>0</v>
      </c>
      <c r="P531">
        <f>セットアップレポート!O531</f>
        <v>0</v>
      </c>
      <c r="Q531">
        <f>セットアップレポート!P531</f>
        <v>0</v>
      </c>
      <c r="R531">
        <f>セットアップレポート!Q531</f>
        <v>0</v>
      </c>
      <c r="S531">
        <f>セットアップレポート!R531</f>
        <v>0</v>
      </c>
      <c r="T531">
        <f>セットアップレポート!S531</f>
        <v>0</v>
      </c>
      <c r="U531">
        <f>セットアップレポート!T531</f>
        <v>0</v>
      </c>
      <c r="V531">
        <f>セットアップレポート!U531</f>
        <v>0</v>
      </c>
      <c r="W531">
        <f>セットアップレポート!V531</f>
        <v>0</v>
      </c>
      <c r="X531">
        <f>セットアップレポート!W531</f>
        <v>0</v>
      </c>
      <c r="Y531">
        <f>セットアップレポート!X531</f>
        <v>0</v>
      </c>
      <c r="Z531">
        <f>セットアップレポート!Y531</f>
        <v>0</v>
      </c>
      <c r="AA531">
        <f>セットアップレポート!Z531</f>
        <v>0</v>
      </c>
      <c r="AB531">
        <f>セットアップレポート!AA531</f>
        <v>0</v>
      </c>
      <c r="AC531">
        <f>セットアップレポート!AB531</f>
        <v>0</v>
      </c>
      <c r="AD531">
        <f>セットアップレポート!AC531</f>
        <v>0</v>
      </c>
      <c r="AE531">
        <f>セットアップレポート!AD531</f>
        <v>0</v>
      </c>
      <c r="AF531">
        <f>セットアップレポート!AE531</f>
        <v>0</v>
      </c>
      <c r="AG531">
        <f>セットアップレポート!AF531</f>
        <v>0</v>
      </c>
      <c r="AH531">
        <f>セットアップレポート!AG531</f>
        <v>0</v>
      </c>
    </row>
    <row r="532" spans="1:34" x14ac:dyDescent="0.45">
      <c r="A532" t="str">
        <f t="shared" si="8"/>
        <v>000</v>
      </c>
      <c r="B532">
        <f>セットアップレポート!A532</f>
        <v>0</v>
      </c>
      <c r="C532">
        <f>セットアップレポート!B532</f>
        <v>0</v>
      </c>
      <c r="D532">
        <f>セットアップレポート!C532</f>
        <v>0</v>
      </c>
      <c r="E532">
        <f>セットアップレポート!D532</f>
        <v>0</v>
      </c>
      <c r="F532">
        <f>セットアップレポート!E532</f>
        <v>0</v>
      </c>
      <c r="G532">
        <f>セットアップレポート!F532</f>
        <v>0</v>
      </c>
      <c r="H532">
        <f>セットアップレポート!G532</f>
        <v>0</v>
      </c>
      <c r="I532">
        <f>セットアップレポート!H532</f>
        <v>0</v>
      </c>
      <c r="J532">
        <f>セットアップレポート!I532</f>
        <v>0</v>
      </c>
      <c r="K532">
        <f>セットアップレポート!J532</f>
        <v>0</v>
      </c>
      <c r="L532">
        <f>セットアップレポート!K532</f>
        <v>0</v>
      </c>
      <c r="M532">
        <f>セットアップレポート!L532</f>
        <v>0</v>
      </c>
      <c r="N532">
        <f>セットアップレポート!M532</f>
        <v>0</v>
      </c>
      <c r="O532">
        <f>セットアップレポート!N532</f>
        <v>0</v>
      </c>
      <c r="P532">
        <f>セットアップレポート!O532</f>
        <v>0</v>
      </c>
      <c r="Q532">
        <f>セットアップレポート!P532</f>
        <v>0</v>
      </c>
      <c r="R532">
        <f>セットアップレポート!Q532</f>
        <v>0</v>
      </c>
      <c r="S532">
        <f>セットアップレポート!R532</f>
        <v>0</v>
      </c>
      <c r="T532">
        <f>セットアップレポート!S532</f>
        <v>0</v>
      </c>
      <c r="U532">
        <f>セットアップレポート!T532</f>
        <v>0</v>
      </c>
      <c r="V532">
        <f>セットアップレポート!U532</f>
        <v>0</v>
      </c>
      <c r="W532">
        <f>セットアップレポート!V532</f>
        <v>0</v>
      </c>
      <c r="X532">
        <f>セットアップレポート!W532</f>
        <v>0</v>
      </c>
      <c r="Y532">
        <f>セットアップレポート!X532</f>
        <v>0</v>
      </c>
      <c r="Z532">
        <f>セットアップレポート!Y532</f>
        <v>0</v>
      </c>
      <c r="AA532">
        <f>セットアップレポート!Z532</f>
        <v>0</v>
      </c>
      <c r="AB532">
        <f>セットアップレポート!AA532</f>
        <v>0</v>
      </c>
      <c r="AC532">
        <f>セットアップレポート!AB532</f>
        <v>0</v>
      </c>
      <c r="AD532">
        <f>セットアップレポート!AC532</f>
        <v>0</v>
      </c>
      <c r="AE532">
        <f>セットアップレポート!AD532</f>
        <v>0</v>
      </c>
      <c r="AF532">
        <f>セットアップレポート!AE532</f>
        <v>0</v>
      </c>
      <c r="AG532">
        <f>セットアップレポート!AF532</f>
        <v>0</v>
      </c>
      <c r="AH532">
        <f>セットアップレポート!AG532</f>
        <v>0</v>
      </c>
    </row>
    <row r="533" spans="1:34" x14ac:dyDescent="0.45">
      <c r="A533" t="str">
        <f t="shared" si="8"/>
        <v>000</v>
      </c>
      <c r="B533">
        <f>セットアップレポート!A533</f>
        <v>0</v>
      </c>
      <c r="C533">
        <f>セットアップレポート!B533</f>
        <v>0</v>
      </c>
      <c r="D533">
        <f>セットアップレポート!C533</f>
        <v>0</v>
      </c>
      <c r="E533">
        <f>セットアップレポート!D533</f>
        <v>0</v>
      </c>
      <c r="F533">
        <f>セットアップレポート!E533</f>
        <v>0</v>
      </c>
      <c r="G533">
        <f>セットアップレポート!F533</f>
        <v>0</v>
      </c>
      <c r="H533">
        <f>セットアップレポート!G533</f>
        <v>0</v>
      </c>
      <c r="I533">
        <f>セットアップレポート!H533</f>
        <v>0</v>
      </c>
      <c r="J533">
        <f>セットアップレポート!I533</f>
        <v>0</v>
      </c>
      <c r="K533">
        <f>セットアップレポート!J533</f>
        <v>0</v>
      </c>
      <c r="L533">
        <f>セットアップレポート!K533</f>
        <v>0</v>
      </c>
      <c r="M533">
        <f>セットアップレポート!L533</f>
        <v>0</v>
      </c>
      <c r="N533">
        <f>セットアップレポート!M533</f>
        <v>0</v>
      </c>
      <c r="O533">
        <f>セットアップレポート!N533</f>
        <v>0</v>
      </c>
      <c r="P533">
        <f>セットアップレポート!O533</f>
        <v>0</v>
      </c>
      <c r="Q533">
        <f>セットアップレポート!P533</f>
        <v>0</v>
      </c>
      <c r="R533">
        <f>セットアップレポート!Q533</f>
        <v>0</v>
      </c>
      <c r="S533">
        <f>セットアップレポート!R533</f>
        <v>0</v>
      </c>
      <c r="T533">
        <f>セットアップレポート!S533</f>
        <v>0</v>
      </c>
      <c r="U533">
        <f>セットアップレポート!T533</f>
        <v>0</v>
      </c>
      <c r="V533">
        <f>セットアップレポート!U533</f>
        <v>0</v>
      </c>
      <c r="W533">
        <f>セットアップレポート!V533</f>
        <v>0</v>
      </c>
      <c r="X533">
        <f>セットアップレポート!W533</f>
        <v>0</v>
      </c>
      <c r="Y533">
        <f>セットアップレポート!X533</f>
        <v>0</v>
      </c>
      <c r="Z533">
        <f>セットアップレポート!Y533</f>
        <v>0</v>
      </c>
      <c r="AA533">
        <f>セットアップレポート!Z533</f>
        <v>0</v>
      </c>
      <c r="AB533">
        <f>セットアップレポート!AA533</f>
        <v>0</v>
      </c>
      <c r="AC533">
        <f>セットアップレポート!AB533</f>
        <v>0</v>
      </c>
      <c r="AD533">
        <f>セットアップレポート!AC533</f>
        <v>0</v>
      </c>
      <c r="AE533">
        <f>セットアップレポート!AD533</f>
        <v>0</v>
      </c>
      <c r="AF533">
        <f>セットアップレポート!AE533</f>
        <v>0</v>
      </c>
      <c r="AG533">
        <f>セットアップレポート!AF533</f>
        <v>0</v>
      </c>
      <c r="AH533">
        <f>セットアップレポート!AG533</f>
        <v>0</v>
      </c>
    </row>
    <row r="534" spans="1:34" x14ac:dyDescent="0.45">
      <c r="A534" t="str">
        <f t="shared" si="8"/>
        <v>000</v>
      </c>
      <c r="B534">
        <f>セットアップレポート!A534</f>
        <v>0</v>
      </c>
      <c r="C534">
        <f>セットアップレポート!B534</f>
        <v>0</v>
      </c>
      <c r="D534">
        <f>セットアップレポート!C534</f>
        <v>0</v>
      </c>
      <c r="E534">
        <f>セットアップレポート!D534</f>
        <v>0</v>
      </c>
      <c r="F534">
        <f>セットアップレポート!E534</f>
        <v>0</v>
      </c>
      <c r="G534">
        <f>セットアップレポート!F534</f>
        <v>0</v>
      </c>
      <c r="H534">
        <f>セットアップレポート!G534</f>
        <v>0</v>
      </c>
      <c r="I534">
        <f>セットアップレポート!H534</f>
        <v>0</v>
      </c>
      <c r="J534">
        <f>セットアップレポート!I534</f>
        <v>0</v>
      </c>
      <c r="K534">
        <f>セットアップレポート!J534</f>
        <v>0</v>
      </c>
      <c r="L534">
        <f>セットアップレポート!K534</f>
        <v>0</v>
      </c>
      <c r="M534">
        <f>セットアップレポート!L534</f>
        <v>0</v>
      </c>
      <c r="N534">
        <f>セットアップレポート!M534</f>
        <v>0</v>
      </c>
      <c r="O534">
        <f>セットアップレポート!N534</f>
        <v>0</v>
      </c>
      <c r="P534">
        <f>セットアップレポート!O534</f>
        <v>0</v>
      </c>
      <c r="Q534">
        <f>セットアップレポート!P534</f>
        <v>0</v>
      </c>
      <c r="R534">
        <f>セットアップレポート!Q534</f>
        <v>0</v>
      </c>
      <c r="S534">
        <f>セットアップレポート!R534</f>
        <v>0</v>
      </c>
      <c r="T534">
        <f>セットアップレポート!S534</f>
        <v>0</v>
      </c>
      <c r="U534">
        <f>セットアップレポート!T534</f>
        <v>0</v>
      </c>
      <c r="V534">
        <f>セットアップレポート!U534</f>
        <v>0</v>
      </c>
      <c r="W534">
        <f>セットアップレポート!V534</f>
        <v>0</v>
      </c>
      <c r="X534">
        <f>セットアップレポート!W534</f>
        <v>0</v>
      </c>
      <c r="Y534">
        <f>セットアップレポート!X534</f>
        <v>0</v>
      </c>
      <c r="Z534">
        <f>セットアップレポート!Y534</f>
        <v>0</v>
      </c>
      <c r="AA534">
        <f>セットアップレポート!Z534</f>
        <v>0</v>
      </c>
      <c r="AB534">
        <f>セットアップレポート!AA534</f>
        <v>0</v>
      </c>
      <c r="AC534">
        <f>セットアップレポート!AB534</f>
        <v>0</v>
      </c>
      <c r="AD534">
        <f>セットアップレポート!AC534</f>
        <v>0</v>
      </c>
      <c r="AE534">
        <f>セットアップレポート!AD534</f>
        <v>0</v>
      </c>
      <c r="AF534">
        <f>セットアップレポート!AE534</f>
        <v>0</v>
      </c>
      <c r="AG534">
        <f>セットアップレポート!AF534</f>
        <v>0</v>
      </c>
      <c r="AH534">
        <f>セットアップレポート!AG534</f>
        <v>0</v>
      </c>
    </row>
    <row r="535" spans="1:34" x14ac:dyDescent="0.45">
      <c r="A535" t="str">
        <f t="shared" si="8"/>
        <v>000</v>
      </c>
      <c r="B535">
        <f>セットアップレポート!A535</f>
        <v>0</v>
      </c>
      <c r="C535">
        <f>セットアップレポート!B535</f>
        <v>0</v>
      </c>
      <c r="D535">
        <f>セットアップレポート!C535</f>
        <v>0</v>
      </c>
      <c r="E535">
        <f>セットアップレポート!D535</f>
        <v>0</v>
      </c>
      <c r="F535">
        <f>セットアップレポート!E535</f>
        <v>0</v>
      </c>
      <c r="G535">
        <f>セットアップレポート!F535</f>
        <v>0</v>
      </c>
      <c r="H535">
        <f>セットアップレポート!G535</f>
        <v>0</v>
      </c>
      <c r="I535">
        <f>セットアップレポート!H535</f>
        <v>0</v>
      </c>
      <c r="J535">
        <f>セットアップレポート!I535</f>
        <v>0</v>
      </c>
      <c r="K535">
        <f>セットアップレポート!J535</f>
        <v>0</v>
      </c>
      <c r="L535">
        <f>セットアップレポート!K535</f>
        <v>0</v>
      </c>
      <c r="M535">
        <f>セットアップレポート!L535</f>
        <v>0</v>
      </c>
      <c r="N535">
        <f>セットアップレポート!M535</f>
        <v>0</v>
      </c>
      <c r="O535">
        <f>セットアップレポート!N535</f>
        <v>0</v>
      </c>
      <c r="P535">
        <f>セットアップレポート!O535</f>
        <v>0</v>
      </c>
      <c r="Q535">
        <f>セットアップレポート!P535</f>
        <v>0</v>
      </c>
      <c r="R535">
        <f>セットアップレポート!Q535</f>
        <v>0</v>
      </c>
      <c r="S535">
        <f>セットアップレポート!R535</f>
        <v>0</v>
      </c>
      <c r="T535">
        <f>セットアップレポート!S535</f>
        <v>0</v>
      </c>
      <c r="U535">
        <f>セットアップレポート!T535</f>
        <v>0</v>
      </c>
      <c r="V535">
        <f>セットアップレポート!U535</f>
        <v>0</v>
      </c>
      <c r="W535">
        <f>セットアップレポート!V535</f>
        <v>0</v>
      </c>
      <c r="X535">
        <f>セットアップレポート!W535</f>
        <v>0</v>
      </c>
      <c r="Y535">
        <f>セットアップレポート!X535</f>
        <v>0</v>
      </c>
      <c r="Z535">
        <f>セットアップレポート!Y535</f>
        <v>0</v>
      </c>
      <c r="AA535">
        <f>セットアップレポート!Z535</f>
        <v>0</v>
      </c>
      <c r="AB535">
        <f>セットアップレポート!AA535</f>
        <v>0</v>
      </c>
      <c r="AC535">
        <f>セットアップレポート!AB535</f>
        <v>0</v>
      </c>
      <c r="AD535">
        <f>セットアップレポート!AC535</f>
        <v>0</v>
      </c>
      <c r="AE535">
        <f>セットアップレポート!AD535</f>
        <v>0</v>
      </c>
      <c r="AF535">
        <f>セットアップレポート!AE535</f>
        <v>0</v>
      </c>
      <c r="AG535">
        <f>セットアップレポート!AF535</f>
        <v>0</v>
      </c>
      <c r="AH535">
        <f>セットアップレポート!AG535</f>
        <v>0</v>
      </c>
    </row>
    <row r="536" spans="1:34" x14ac:dyDescent="0.45">
      <c r="A536" t="str">
        <f t="shared" si="8"/>
        <v>000</v>
      </c>
      <c r="B536">
        <f>セットアップレポート!A536</f>
        <v>0</v>
      </c>
      <c r="C536">
        <f>セットアップレポート!B536</f>
        <v>0</v>
      </c>
      <c r="D536">
        <f>セットアップレポート!C536</f>
        <v>0</v>
      </c>
      <c r="E536">
        <f>セットアップレポート!D536</f>
        <v>0</v>
      </c>
      <c r="F536">
        <f>セットアップレポート!E536</f>
        <v>0</v>
      </c>
      <c r="G536">
        <f>セットアップレポート!F536</f>
        <v>0</v>
      </c>
      <c r="H536">
        <f>セットアップレポート!G536</f>
        <v>0</v>
      </c>
      <c r="I536">
        <f>セットアップレポート!H536</f>
        <v>0</v>
      </c>
      <c r="J536">
        <f>セットアップレポート!I536</f>
        <v>0</v>
      </c>
      <c r="K536">
        <f>セットアップレポート!J536</f>
        <v>0</v>
      </c>
      <c r="L536">
        <f>セットアップレポート!K536</f>
        <v>0</v>
      </c>
      <c r="M536">
        <f>セットアップレポート!L536</f>
        <v>0</v>
      </c>
      <c r="N536">
        <f>セットアップレポート!M536</f>
        <v>0</v>
      </c>
      <c r="O536">
        <f>セットアップレポート!N536</f>
        <v>0</v>
      </c>
      <c r="P536">
        <f>セットアップレポート!O536</f>
        <v>0</v>
      </c>
      <c r="Q536">
        <f>セットアップレポート!P536</f>
        <v>0</v>
      </c>
      <c r="R536">
        <f>セットアップレポート!Q536</f>
        <v>0</v>
      </c>
      <c r="S536">
        <f>セットアップレポート!R536</f>
        <v>0</v>
      </c>
      <c r="T536">
        <f>セットアップレポート!S536</f>
        <v>0</v>
      </c>
      <c r="U536">
        <f>セットアップレポート!T536</f>
        <v>0</v>
      </c>
      <c r="V536">
        <f>セットアップレポート!U536</f>
        <v>0</v>
      </c>
      <c r="W536">
        <f>セットアップレポート!V536</f>
        <v>0</v>
      </c>
      <c r="X536">
        <f>セットアップレポート!W536</f>
        <v>0</v>
      </c>
      <c r="Y536">
        <f>セットアップレポート!X536</f>
        <v>0</v>
      </c>
      <c r="Z536">
        <f>セットアップレポート!Y536</f>
        <v>0</v>
      </c>
      <c r="AA536">
        <f>セットアップレポート!Z536</f>
        <v>0</v>
      </c>
      <c r="AB536">
        <f>セットアップレポート!AA536</f>
        <v>0</v>
      </c>
      <c r="AC536">
        <f>セットアップレポート!AB536</f>
        <v>0</v>
      </c>
      <c r="AD536">
        <f>セットアップレポート!AC536</f>
        <v>0</v>
      </c>
      <c r="AE536">
        <f>セットアップレポート!AD536</f>
        <v>0</v>
      </c>
      <c r="AF536">
        <f>セットアップレポート!AE536</f>
        <v>0</v>
      </c>
      <c r="AG536">
        <f>セットアップレポート!AF536</f>
        <v>0</v>
      </c>
      <c r="AH536">
        <f>セットアップレポート!AG536</f>
        <v>0</v>
      </c>
    </row>
    <row r="537" spans="1:34" x14ac:dyDescent="0.45">
      <c r="A537" t="str">
        <f t="shared" si="8"/>
        <v>000</v>
      </c>
      <c r="B537">
        <f>セットアップレポート!A537</f>
        <v>0</v>
      </c>
      <c r="C537">
        <f>セットアップレポート!B537</f>
        <v>0</v>
      </c>
      <c r="D537">
        <f>セットアップレポート!C537</f>
        <v>0</v>
      </c>
      <c r="E537">
        <f>セットアップレポート!D537</f>
        <v>0</v>
      </c>
      <c r="F537">
        <f>セットアップレポート!E537</f>
        <v>0</v>
      </c>
      <c r="G537">
        <f>セットアップレポート!F537</f>
        <v>0</v>
      </c>
      <c r="H537">
        <f>セットアップレポート!G537</f>
        <v>0</v>
      </c>
      <c r="I537">
        <f>セットアップレポート!H537</f>
        <v>0</v>
      </c>
      <c r="J537">
        <f>セットアップレポート!I537</f>
        <v>0</v>
      </c>
      <c r="K537">
        <f>セットアップレポート!J537</f>
        <v>0</v>
      </c>
      <c r="L537">
        <f>セットアップレポート!K537</f>
        <v>0</v>
      </c>
      <c r="M537">
        <f>セットアップレポート!L537</f>
        <v>0</v>
      </c>
      <c r="N537">
        <f>セットアップレポート!M537</f>
        <v>0</v>
      </c>
      <c r="O537">
        <f>セットアップレポート!N537</f>
        <v>0</v>
      </c>
      <c r="P537">
        <f>セットアップレポート!O537</f>
        <v>0</v>
      </c>
      <c r="Q537">
        <f>セットアップレポート!P537</f>
        <v>0</v>
      </c>
      <c r="R537">
        <f>セットアップレポート!Q537</f>
        <v>0</v>
      </c>
      <c r="S537">
        <f>セットアップレポート!R537</f>
        <v>0</v>
      </c>
      <c r="T537">
        <f>セットアップレポート!S537</f>
        <v>0</v>
      </c>
      <c r="U537">
        <f>セットアップレポート!T537</f>
        <v>0</v>
      </c>
      <c r="V537">
        <f>セットアップレポート!U537</f>
        <v>0</v>
      </c>
      <c r="W537">
        <f>セットアップレポート!V537</f>
        <v>0</v>
      </c>
      <c r="X537">
        <f>セットアップレポート!W537</f>
        <v>0</v>
      </c>
      <c r="Y537">
        <f>セットアップレポート!X537</f>
        <v>0</v>
      </c>
      <c r="Z537">
        <f>セットアップレポート!Y537</f>
        <v>0</v>
      </c>
      <c r="AA537">
        <f>セットアップレポート!Z537</f>
        <v>0</v>
      </c>
      <c r="AB537">
        <f>セットアップレポート!AA537</f>
        <v>0</v>
      </c>
      <c r="AC537">
        <f>セットアップレポート!AB537</f>
        <v>0</v>
      </c>
      <c r="AD537">
        <f>セットアップレポート!AC537</f>
        <v>0</v>
      </c>
      <c r="AE537">
        <f>セットアップレポート!AD537</f>
        <v>0</v>
      </c>
      <c r="AF537">
        <f>セットアップレポート!AE537</f>
        <v>0</v>
      </c>
      <c r="AG537">
        <f>セットアップレポート!AF537</f>
        <v>0</v>
      </c>
      <c r="AH537">
        <f>セットアップレポート!AG537</f>
        <v>0</v>
      </c>
    </row>
    <row r="538" spans="1:34" x14ac:dyDescent="0.45">
      <c r="A538" t="str">
        <f t="shared" si="8"/>
        <v>000</v>
      </c>
      <c r="B538">
        <f>セットアップレポート!A538</f>
        <v>0</v>
      </c>
      <c r="C538">
        <f>セットアップレポート!B538</f>
        <v>0</v>
      </c>
      <c r="D538">
        <f>セットアップレポート!C538</f>
        <v>0</v>
      </c>
      <c r="E538">
        <f>セットアップレポート!D538</f>
        <v>0</v>
      </c>
      <c r="F538">
        <f>セットアップレポート!E538</f>
        <v>0</v>
      </c>
      <c r="G538">
        <f>セットアップレポート!F538</f>
        <v>0</v>
      </c>
      <c r="H538">
        <f>セットアップレポート!G538</f>
        <v>0</v>
      </c>
      <c r="I538">
        <f>セットアップレポート!H538</f>
        <v>0</v>
      </c>
      <c r="J538">
        <f>セットアップレポート!I538</f>
        <v>0</v>
      </c>
      <c r="K538">
        <f>セットアップレポート!J538</f>
        <v>0</v>
      </c>
      <c r="L538">
        <f>セットアップレポート!K538</f>
        <v>0</v>
      </c>
      <c r="M538">
        <f>セットアップレポート!L538</f>
        <v>0</v>
      </c>
      <c r="N538">
        <f>セットアップレポート!M538</f>
        <v>0</v>
      </c>
      <c r="O538">
        <f>セットアップレポート!N538</f>
        <v>0</v>
      </c>
      <c r="P538">
        <f>セットアップレポート!O538</f>
        <v>0</v>
      </c>
      <c r="Q538">
        <f>セットアップレポート!P538</f>
        <v>0</v>
      </c>
      <c r="R538">
        <f>セットアップレポート!Q538</f>
        <v>0</v>
      </c>
      <c r="S538">
        <f>セットアップレポート!R538</f>
        <v>0</v>
      </c>
      <c r="T538">
        <f>セットアップレポート!S538</f>
        <v>0</v>
      </c>
      <c r="U538">
        <f>セットアップレポート!T538</f>
        <v>0</v>
      </c>
      <c r="V538">
        <f>セットアップレポート!U538</f>
        <v>0</v>
      </c>
      <c r="W538">
        <f>セットアップレポート!V538</f>
        <v>0</v>
      </c>
      <c r="X538">
        <f>セットアップレポート!W538</f>
        <v>0</v>
      </c>
      <c r="Y538">
        <f>セットアップレポート!X538</f>
        <v>0</v>
      </c>
      <c r="Z538">
        <f>セットアップレポート!Y538</f>
        <v>0</v>
      </c>
      <c r="AA538">
        <f>セットアップレポート!Z538</f>
        <v>0</v>
      </c>
      <c r="AB538">
        <f>セットアップレポート!AA538</f>
        <v>0</v>
      </c>
      <c r="AC538">
        <f>セットアップレポート!AB538</f>
        <v>0</v>
      </c>
      <c r="AD538">
        <f>セットアップレポート!AC538</f>
        <v>0</v>
      </c>
      <c r="AE538">
        <f>セットアップレポート!AD538</f>
        <v>0</v>
      </c>
      <c r="AF538">
        <f>セットアップレポート!AE538</f>
        <v>0</v>
      </c>
      <c r="AG538">
        <f>セットアップレポート!AF538</f>
        <v>0</v>
      </c>
      <c r="AH538">
        <f>セットアップレポート!AG538</f>
        <v>0</v>
      </c>
    </row>
    <row r="539" spans="1:34" x14ac:dyDescent="0.45">
      <c r="A539" t="str">
        <f t="shared" si="8"/>
        <v>000</v>
      </c>
      <c r="B539">
        <f>セットアップレポート!A539</f>
        <v>0</v>
      </c>
      <c r="C539">
        <f>セットアップレポート!B539</f>
        <v>0</v>
      </c>
      <c r="D539">
        <f>セットアップレポート!C539</f>
        <v>0</v>
      </c>
      <c r="E539">
        <f>セットアップレポート!D539</f>
        <v>0</v>
      </c>
      <c r="F539">
        <f>セットアップレポート!E539</f>
        <v>0</v>
      </c>
      <c r="G539">
        <f>セットアップレポート!F539</f>
        <v>0</v>
      </c>
      <c r="H539">
        <f>セットアップレポート!G539</f>
        <v>0</v>
      </c>
      <c r="I539">
        <f>セットアップレポート!H539</f>
        <v>0</v>
      </c>
      <c r="J539">
        <f>セットアップレポート!I539</f>
        <v>0</v>
      </c>
      <c r="K539">
        <f>セットアップレポート!J539</f>
        <v>0</v>
      </c>
      <c r="L539">
        <f>セットアップレポート!K539</f>
        <v>0</v>
      </c>
      <c r="M539">
        <f>セットアップレポート!L539</f>
        <v>0</v>
      </c>
      <c r="N539">
        <f>セットアップレポート!M539</f>
        <v>0</v>
      </c>
      <c r="O539">
        <f>セットアップレポート!N539</f>
        <v>0</v>
      </c>
      <c r="P539">
        <f>セットアップレポート!O539</f>
        <v>0</v>
      </c>
      <c r="Q539">
        <f>セットアップレポート!P539</f>
        <v>0</v>
      </c>
      <c r="R539">
        <f>セットアップレポート!Q539</f>
        <v>0</v>
      </c>
      <c r="S539">
        <f>セットアップレポート!R539</f>
        <v>0</v>
      </c>
      <c r="T539">
        <f>セットアップレポート!S539</f>
        <v>0</v>
      </c>
      <c r="U539">
        <f>セットアップレポート!T539</f>
        <v>0</v>
      </c>
      <c r="V539">
        <f>セットアップレポート!U539</f>
        <v>0</v>
      </c>
      <c r="W539">
        <f>セットアップレポート!V539</f>
        <v>0</v>
      </c>
      <c r="X539">
        <f>セットアップレポート!W539</f>
        <v>0</v>
      </c>
      <c r="Y539">
        <f>セットアップレポート!X539</f>
        <v>0</v>
      </c>
      <c r="Z539">
        <f>セットアップレポート!Y539</f>
        <v>0</v>
      </c>
      <c r="AA539">
        <f>セットアップレポート!Z539</f>
        <v>0</v>
      </c>
      <c r="AB539">
        <f>セットアップレポート!AA539</f>
        <v>0</v>
      </c>
      <c r="AC539">
        <f>セットアップレポート!AB539</f>
        <v>0</v>
      </c>
      <c r="AD539">
        <f>セットアップレポート!AC539</f>
        <v>0</v>
      </c>
      <c r="AE539">
        <f>セットアップレポート!AD539</f>
        <v>0</v>
      </c>
      <c r="AF539">
        <f>セットアップレポート!AE539</f>
        <v>0</v>
      </c>
      <c r="AG539">
        <f>セットアップレポート!AF539</f>
        <v>0</v>
      </c>
      <c r="AH539">
        <f>セットアップレポート!AG539</f>
        <v>0</v>
      </c>
    </row>
    <row r="540" spans="1:34" x14ac:dyDescent="0.45">
      <c r="A540" t="str">
        <f t="shared" si="8"/>
        <v>000</v>
      </c>
      <c r="B540">
        <f>セットアップレポート!A540</f>
        <v>0</v>
      </c>
      <c r="C540">
        <f>セットアップレポート!B540</f>
        <v>0</v>
      </c>
      <c r="D540">
        <f>セットアップレポート!C540</f>
        <v>0</v>
      </c>
      <c r="E540">
        <f>セットアップレポート!D540</f>
        <v>0</v>
      </c>
      <c r="F540">
        <f>セットアップレポート!E540</f>
        <v>0</v>
      </c>
      <c r="G540">
        <f>セットアップレポート!F540</f>
        <v>0</v>
      </c>
      <c r="H540">
        <f>セットアップレポート!G540</f>
        <v>0</v>
      </c>
      <c r="I540">
        <f>セットアップレポート!H540</f>
        <v>0</v>
      </c>
      <c r="J540">
        <f>セットアップレポート!I540</f>
        <v>0</v>
      </c>
      <c r="K540">
        <f>セットアップレポート!J540</f>
        <v>0</v>
      </c>
      <c r="L540">
        <f>セットアップレポート!K540</f>
        <v>0</v>
      </c>
      <c r="M540">
        <f>セットアップレポート!L540</f>
        <v>0</v>
      </c>
      <c r="N540">
        <f>セットアップレポート!M540</f>
        <v>0</v>
      </c>
      <c r="O540">
        <f>セットアップレポート!N540</f>
        <v>0</v>
      </c>
      <c r="P540">
        <f>セットアップレポート!O540</f>
        <v>0</v>
      </c>
      <c r="Q540">
        <f>セットアップレポート!P540</f>
        <v>0</v>
      </c>
      <c r="R540">
        <f>セットアップレポート!Q540</f>
        <v>0</v>
      </c>
      <c r="S540">
        <f>セットアップレポート!R540</f>
        <v>0</v>
      </c>
      <c r="T540">
        <f>セットアップレポート!S540</f>
        <v>0</v>
      </c>
      <c r="U540">
        <f>セットアップレポート!T540</f>
        <v>0</v>
      </c>
      <c r="V540">
        <f>セットアップレポート!U540</f>
        <v>0</v>
      </c>
      <c r="W540">
        <f>セットアップレポート!V540</f>
        <v>0</v>
      </c>
      <c r="X540">
        <f>セットアップレポート!W540</f>
        <v>0</v>
      </c>
      <c r="Y540">
        <f>セットアップレポート!X540</f>
        <v>0</v>
      </c>
      <c r="Z540">
        <f>セットアップレポート!Y540</f>
        <v>0</v>
      </c>
      <c r="AA540">
        <f>セットアップレポート!Z540</f>
        <v>0</v>
      </c>
      <c r="AB540">
        <f>セットアップレポート!AA540</f>
        <v>0</v>
      </c>
      <c r="AC540">
        <f>セットアップレポート!AB540</f>
        <v>0</v>
      </c>
      <c r="AD540">
        <f>セットアップレポート!AC540</f>
        <v>0</v>
      </c>
      <c r="AE540">
        <f>セットアップレポート!AD540</f>
        <v>0</v>
      </c>
      <c r="AF540">
        <f>セットアップレポート!AE540</f>
        <v>0</v>
      </c>
      <c r="AG540">
        <f>セットアップレポート!AF540</f>
        <v>0</v>
      </c>
      <c r="AH540">
        <f>セットアップレポート!AG540</f>
        <v>0</v>
      </c>
    </row>
    <row r="541" spans="1:34" x14ac:dyDescent="0.45">
      <c r="A541" t="str">
        <f t="shared" si="8"/>
        <v>000</v>
      </c>
      <c r="B541">
        <f>セットアップレポート!A541</f>
        <v>0</v>
      </c>
      <c r="C541">
        <f>セットアップレポート!B541</f>
        <v>0</v>
      </c>
      <c r="D541">
        <f>セットアップレポート!C541</f>
        <v>0</v>
      </c>
      <c r="E541">
        <f>セットアップレポート!D541</f>
        <v>0</v>
      </c>
      <c r="F541">
        <f>セットアップレポート!E541</f>
        <v>0</v>
      </c>
      <c r="G541">
        <f>セットアップレポート!F541</f>
        <v>0</v>
      </c>
      <c r="H541">
        <f>セットアップレポート!G541</f>
        <v>0</v>
      </c>
      <c r="I541">
        <f>セットアップレポート!H541</f>
        <v>0</v>
      </c>
      <c r="J541">
        <f>セットアップレポート!I541</f>
        <v>0</v>
      </c>
      <c r="K541">
        <f>セットアップレポート!J541</f>
        <v>0</v>
      </c>
      <c r="L541">
        <f>セットアップレポート!K541</f>
        <v>0</v>
      </c>
      <c r="M541">
        <f>セットアップレポート!L541</f>
        <v>0</v>
      </c>
      <c r="N541">
        <f>セットアップレポート!M541</f>
        <v>0</v>
      </c>
      <c r="O541">
        <f>セットアップレポート!N541</f>
        <v>0</v>
      </c>
      <c r="P541">
        <f>セットアップレポート!O541</f>
        <v>0</v>
      </c>
      <c r="Q541">
        <f>セットアップレポート!P541</f>
        <v>0</v>
      </c>
      <c r="R541">
        <f>セットアップレポート!Q541</f>
        <v>0</v>
      </c>
      <c r="S541">
        <f>セットアップレポート!R541</f>
        <v>0</v>
      </c>
      <c r="T541">
        <f>セットアップレポート!S541</f>
        <v>0</v>
      </c>
      <c r="U541">
        <f>セットアップレポート!T541</f>
        <v>0</v>
      </c>
      <c r="V541">
        <f>セットアップレポート!U541</f>
        <v>0</v>
      </c>
      <c r="W541">
        <f>セットアップレポート!V541</f>
        <v>0</v>
      </c>
      <c r="X541">
        <f>セットアップレポート!W541</f>
        <v>0</v>
      </c>
      <c r="Y541">
        <f>セットアップレポート!X541</f>
        <v>0</v>
      </c>
      <c r="Z541">
        <f>セットアップレポート!Y541</f>
        <v>0</v>
      </c>
      <c r="AA541">
        <f>セットアップレポート!Z541</f>
        <v>0</v>
      </c>
      <c r="AB541">
        <f>セットアップレポート!AA541</f>
        <v>0</v>
      </c>
      <c r="AC541">
        <f>セットアップレポート!AB541</f>
        <v>0</v>
      </c>
      <c r="AD541">
        <f>セットアップレポート!AC541</f>
        <v>0</v>
      </c>
      <c r="AE541">
        <f>セットアップレポート!AD541</f>
        <v>0</v>
      </c>
      <c r="AF541">
        <f>セットアップレポート!AE541</f>
        <v>0</v>
      </c>
      <c r="AG541">
        <f>セットアップレポート!AF541</f>
        <v>0</v>
      </c>
      <c r="AH541">
        <f>セットアップレポート!AG541</f>
        <v>0</v>
      </c>
    </row>
    <row r="542" spans="1:34" x14ac:dyDescent="0.45">
      <c r="A542" t="str">
        <f t="shared" si="8"/>
        <v>000</v>
      </c>
      <c r="B542">
        <f>セットアップレポート!A542</f>
        <v>0</v>
      </c>
      <c r="C542">
        <f>セットアップレポート!B542</f>
        <v>0</v>
      </c>
      <c r="D542">
        <f>セットアップレポート!C542</f>
        <v>0</v>
      </c>
      <c r="E542">
        <f>セットアップレポート!D542</f>
        <v>0</v>
      </c>
      <c r="F542">
        <f>セットアップレポート!E542</f>
        <v>0</v>
      </c>
      <c r="G542">
        <f>セットアップレポート!F542</f>
        <v>0</v>
      </c>
      <c r="H542">
        <f>セットアップレポート!G542</f>
        <v>0</v>
      </c>
      <c r="I542">
        <f>セットアップレポート!H542</f>
        <v>0</v>
      </c>
      <c r="J542">
        <f>セットアップレポート!I542</f>
        <v>0</v>
      </c>
      <c r="K542">
        <f>セットアップレポート!J542</f>
        <v>0</v>
      </c>
      <c r="L542">
        <f>セットアップレポート!K542</f>
        <v>0</v>
      </c>
      <c r="M542">
        <f>セットアップレポート!L542</f>
        <v>0</v>
      </c>
      <c r="N542">
        <f>セットアップレポート!M542</f>
        <v>0</v>
      </c>
      <c r="O542">
        <f>セットアップレポート!N542</f>
        <v>0</v>
      </c>
      <c r="P542">
        <f>セットアップレポート!O542</f>
        <v>0</v>
      </c>
      <c r="Q542">
        <f>セットアップレポート!P542</f>
        <v>0</v>
      </c>
      <c r="R542">
        <f>セットアップレポート!Q542</f>
        <v>0</v>
      </c>
      <c r="S542">
        <f>セットアップレポート!R542</f>
        <v>0</v>
      </c>
      <c r="T542">
        <f>セットアップレポート!S542</f>
        <v>0</v>
      </c>
      <c r="U542">
        <f>セットアップレポート!T542</f>
        <v>0</v>
      </c>
      <c r="V542">
        <f>セットアップレポート!U542</f>
        <v>0</v>
      </c>
      <c r="W542">
        <f>セットアップレポート!V542</f>
        <v>0</v>
      </c>
      <c r="X542">
        <f>セットアップレポート!W542</f>
        <v>0</v>
      </c>
      <c r="Y542">
        <f>セットアップレポート!X542</f>
        <v>0</v>
      </c>
      <c r="Z542">
        <f>セットアップレポート!Y542</f>
        <v>0</v>
      </c>
      <c r="AA542">
        <f>セットアップレポート!Z542</f>
        <v>0</v>
      </c>
      <c r="AB542">
        <f>セットアップレポート!AA542</f>
        <v>0</v>
      </c>
      <c r="AC542">
        <f>セットアップレポート!AB542</f>
        <v>0</v>
      </c>
      <c r="AD542">
        <f>セットアップレポート!AC542</f>
        <v>0</v>
      </c>
      <c r="AE542">
        <f>セットアップレポート!AD542</f>
        <v>0</v>
      </c>
      <c r="AF542">
        <f>セットアップレポート!AE542</f>
        <v>0</v>
      </c>
      <c r="AG542">
        <f>セットアップレポート!AF542</f>
        <v>0</v>
      </c>
      <c r="AH542">
        <f>セットアップレポート!AG542</f>
        <v>0</v>
      </c>
    </row>
    <row r="543" spans="1:34" x14ac:dyDescent="0.45">
      <c r="A543" t="str">
        <f t="shared" si="8"/>
        <v>000</v>
      </c>
      <c r="B543">
        <f>セットアップレポート!A543</f>
        <v>0</v>
      </c>
      <c r="C543">
        <f>セットアップレポート!B543</f>
        <v>0</v>
      </c>
      <c r="D543">
        <f>セットアップレポート!C543</f>
        <v>0</v>
      </c>
      <c r="E543">
        <f>セットアップレポート!D543</f>
        <v>0</v>
      </c>
      <c r="F543">
        <f>セットアップレポート!E543</f>
        <v>0</v>
      </c>
      <c r="G543">
        <f>セットアップレポート!F543</f>
        <v>0</v>
      </c>
      <c r="H543">
        <f>セットアップレポート!G543</f>
        <v>0</v>
      </c>
      <c r="I543">
        <f>セットアップレポート!H543</f>
        <v>0</v>
      </c>
      <c r="J543">
        <f>セットアップレポート!I543</f>
        <v>0</v>
      </c>
      <c r="K543">
        <f>セットアップレポート!J543</f>
        <v>0</v>
      </c>
      <c r="L543">
        <f>セットアップレポート!K543</f>
        <v>0</v>
      </c>
      <c r="M543">
        <f>セットアップレポート!L543</f>
        <v>0</v>
      </c>
      <c r="N543">
        <f>セットアップレポート!M543</f>
        <v>0</v>
      </c>
      <c r="O543">
        <f>セットアップレポート!N543</f>
        <v>0</v>
      </c>
      <c r="P543">
        <f>セットアップレポート!O543</f>
        <v>0</v>
      </c>
      <c r="Q543">
        <f>セットアップレポート!P543</f>
        <v>0</v>
      </c>
      <c r="R543">
        <f>セットアップレポート!Q543</f>
        <v>0</v>
      </c>
      <c r="S543">
        <f>セットアップレポート!R543</f>
        <v>0</v>
      </c>
      <c r="T543">
        <f>セットアップレポート!S543</f>
        <v>0</v>
      </c>
      <c r="U543">
        <f>セットアップレポート!T543</f>
        <v>0</v>
      </c>
      <c r="V543">
        <f>セットアップレポート!U543</f>
        <v>0</v>
      </c>
      <c r="W543">
        <f>セットアップレポート!V543</f>
        <v>0</v>
      </c>
      <c r="X543">
        <f>セットアップレポート!W543</f>
        <v>0</v>
      </c>
      <c r="Y543">
        <f>セットアップレポート!X543</f>
        <v>0</v>
      </c>
      <c r="Z543">
        <f>セットアップレポート!Y543</f>
        <v>0</v>
      </c>
      <c r="AA543">
        <f>セットアップレポート!Z543</f>
        <v>0</v>
      </c>
      <c r="AB543">
        <f>セットアップレポート!AA543</f>
        <v>0</v>
      </c>
      <c r="AC543">
        <f>セットアップレポート!AB543</f>
        <v>0</v>
      </c>
      <c r="AD543">
        <f>セットアップレポート!AC543</f>
        <v>0</v>
      </c>
      <c r="AE543">
        <f>セットアップレポート!AD543</f>
        <v>0</v>
      </c>
      <c r="AF543">
        <f>セットアップレポート!AE543</f>
        <v>0</v>
      </c>
      <c r="AG543">
        <f>セットアップレポート!AF543</f>
        <v>0</v>
      </c>
      <c r="AH543">
        <f>セットアップレポート!AG543</f>
        <v>0</v>
      </c>
    </row>
    <row r="544" spans="1:34" x14ac:dyDescent="0.45">
      <c r="A544" t="str">
        <f t="shared" si="8"/>
        <v>000</v>
      </c>
      <c r="B544">
        <f>セットアップレポート!A544</f>
        <v>0</v>
      </c>
      <c r="C544">
        <f>セットアップレポート!B544</f>
        <v>0</v>
      </c>
      <c r="D544">
        <f>セットアップレポート!C544</f>
        <v>0</v>
      </c>
      <c r="E544">
        <f>セットアップレポート!D544</f>
        <v>0</v>
      </c>
      <c r="F544">
        <f>セットアップレポート!E544</f>
        <v>0</v>
      </c>
      <c r="G544">
        <f>セットアップレポート!F544</f>
        <v>0</v>
      </c>
      <c r="H544">
        <f>セットアップレポート!G544</f>
        <v>0</v>
      </c>
      <c r="I544">
        <f>セットアップレポート!H544</f>
        <v>0</v>
      </c>
      <c r="J544">
        <f>セットアップレポート!I544</f>
        <v>0</v>
      </c>
      <c r="K544">
        <f>セットアップレポート!J544</f>
        <v>0</v>
      </c>
      <c r="L544">
        <f>セットアップレポート!K544</f>
        <v>0</v>
      </c>
      <c r="M544">
        <f>セットアップレポート!L544</f>
        <v>0</v>
      </c>
      <c r="N544">
        <f>セットアップレポート!M544</f>
        <v>0</v>
      </c>
      <c r="O544">
        <f>セットアップレポート!N544</f>
        <v>0</v>
      </c>
      <c r="P544">
        <f>セットアップレポート!O544</f>
        <v>0</v>
      </c>
      <c r="Q544">
        <f>セットアップレポート!P544</f>
        <v>0</v>
      </c>
      <c r="R544">
        <f>セットアップレポート!Q544</f>
        <v>0</v>
      </c>
      <c r="S544">
        <f>セットアップレポート!R544</f>
        <v>0</v>
      </c>
      <c r="T544">
        <f>セットアップレポート!S544</f>
        <v>0</v>
      </c>
      <c r="U544">
        <f>セットアップレポート!T544</f>
        <v>0</v>
      </c>
      <c r="V544">
        <f>セットアップレポート!U544</f>
        <v>0</v>
      </c>
      <c r="W544">
        <f>セットアップレポート!V544</f>
        <v>0</v>
      </c>
      <c r="X544">
        <f>セットアップレポート!W544</f>
        <v>0</v>
      </c>
      <c r="Y544">
        <f>セットアップレポート!X544</f>
        <v>0</v>
      </c>
      <c r="Z544">
        <f>セットアップレポート!Y544</f>
        <v>0</v>
      </c>
      <c r="AA544">
        <f>セットアップレポート!Z544</f>
        <v>0</v>
      </c>
      <c r="AB544">
        <f>セットアップレポート!AA544</f>
        <v>0</v>
      </c>
      <c r="AC544">
        <f>セットアップレポート!AB544</f>
        <v>0</v>
      </c>
      <c r="AD544">
        <f>セットアップレポート!AC544</f>
        <v>0</v>
      </c>
      <c r="AE544">
        <f>セットアップレポート!AD544</f>
        <v>0</v>
      </c>
      <c r="AF544">
        <f>セットアップレポート!AE544</f>
        <v>0</v>
      </c>
      <c r="AG544">
        <f>セットアップレポート!AF544</f>
        <v>0</v>
      </c>
      <c r="AH544">
        <f>セットアップレポート!AG544</f>
        <v>0</v>
      </c>
    </row>
    <row r="545" spans="1:34" x14ac:dyDescent="0.45">
      <c r="A545" t="str">
        <f t="shared" si="8"/>
        <v>000</v>
      </c>
      <c r="B545">
        <f>セットアップレポート!A545</f>
        <v>0</v>
      </c>
      <c r="C545">
        <f>セットアップレポート!B545</f>
        <v>0</v>
      </c>
      <c r="D545">
        <f>セットアップレポート!C545</f>
        <v>0</v>
      </c>
      <c r="E545">
        <f>セットアップレポート!D545</f>
        <v>0</v>
      </c>
      <c r="F545">
        <f>セットアップレポート!E545</f>
        <v>0</v>
      </c>
      <c r="G545">
        <f>セットアップレポート!F545</f>
        <v>0</v>
      </c>
      <c r="H545">
        <f>セットアップレポート!G545</f>
        <v>0</v>
      </c>
      <c r="I545">
        <f>セットアップレポート!H545</f>
        <v>0</v>
      </c>
      <c r="J545">
        <f>セットアップレポート!I545</f>
        <v>0</v>
      </c>
      <c r="K545">
        <f>セットアップレポート!J545</f>
        <v>0</v>
      </c>
      <c r="L545">
        <f>セットアップレポート!K545</f>
        <v>0</v>
      </c>
      <c r="M545">
        <f>セットアップレポート!L545</f>
        <v>0</v>
      </c>
      <c r="N545">
        <f>セットアップレポート!M545</f>
        <v>0</v>
      </c>
      <c r="O545">
        <f>セットアップレポート!N545</f>
        <v>0</v>
      </c>
      <c r="P545">
        <f>セットアップレポート!O545</f>
        <v>0</v>
      </c>
      <c r="Q545">
        <f>セットアップレポート!P545</f>
        <v>0</v>
      </c>
      <c r="R545">
        <f>セットアップレポート!Q545</f>
        <v>0</v>
      </c>
      <c r="S545">
        <f>セットアップレポート!R545</f>
        <v>0</v>
      </c>
      <c r="T545">
        <f>セットアップレポート!S545</f>
        <v>0</v>
      </c>
      <c r="U545">
        <f>セットアップレポート!T545</f>
        <v>0</v>
      </c>
      <c r="V545">
        <f>セットアップレポート!U545</f>
        <v>0</v>
      </c>
      <c r="W545">
        <f>セットアップレポート!V545</f>
        <v>0</v>
      </c>
      <c r="X545">
        <f>セットアップレポート!W545</f>
        <v>0</v>
      </c>
      <c r="Y545">
        <f>セットアップレポート!X545</f>
        <v>0</v>
      </c>
      <c r="Z545">
        <f>セットアップレポート!Y545</f>
        <v>0</v>
      </c>
      <c r="AA545">
        <f>セットアップレポート!Z545</f>
        <v>0</v>
      </c>
      <c r="AB545">
        <f>セットアップレポート!AA545</f>
        <v>0</v>
      </c>
      <c r="AC545">
        <f>セットアップレポート!AB545</f>
        <v>0</v>
      </c>
      <c r="AD545">
        <f>セットアップレポート!AC545</f>
        <v>0</v>
      </c>
      <c r="AE545">
        <f>セットアップレポート!AD545</f>
        <v>0</v>
      </c>
      <c r="AF545">
        <f>セットアップレポート!AE545</f>
        <v>0</v>
      </c>
      <c r="AG545">
        <f>セットアップレポート!AF545</f>
        <v>0</v>
      </c>
      <c r="AH545">
        <f>セットアップレポート!AG545</f>
        <v>0</v>
      </c>
    </row>
    <row r="546" spans="1:34" x14ac:dyDescent="0.45">
      <c r="A546" t="str">
        <f t="shared" si="8"/>
        <v>000</v>
      </c>
      <c r="B546">
        <f>セットアップレポート!A546</f>
        <v>0</v>
      </c>
      <c r="C546">
        <f>セットアップレポート!B546</f>
        <v>0</v>
      </c>
      <c r="D546">
        <f>セットアップレポート!C546</f>
        <v>0</v>
      </c>
      <c r="E546">
        <f>セットアップレポート!D546</f>
        <v>0</v>
      </c>
      <c r="F546">
        <f>セットアップレポート!E546</f>
        <v>0</v>
      </c>
      <c r="G546">
        <f>セットアップレポート!F546</f>
        <v>0</v>
      </c>
      <c r="H546">
        <f>セットアップレポート!G546</f>
        <v>0</v>
      </c>
      <c r="I546">
        <f>セットアップレポート!H546</f>
        <v>0</v>
      </c>
      <c r="J546">
        <f>セットアップレポート!I546</f>
        <v>0</v>
      </c>
      <c r="K546">
        <f>セットアップレポート!J546</f>
        <v>0</v>
      </c>
      <c r="L546">
        <f>セットアップレポート!K546</f>
        <v>0</v>
      </c>
      <c r="M546">
        <f>セットアップレポート!L546</f>
        <v>0</v>
      </c>
      <c r="N546">
        <f>セットアップレポート!M546</f>
        <v>0</v>
      </c>
      <c r="O546">
        <f>セットアップレポート!N546</f>
        <v>0</v>
      </c>
      <c r="P546">
        <f>セットアップレポート!O546</f>
        <v>0</v>
      </c>
      <c r="Q546">
        <f>セットアップレポート!P546</f>
        <v>0</v>
      </c>
      <c r="R546">
        <f>セットアップレポート!Q546</f>
        <v>0</v>
      </c>
      <c r="S546">
        <f>セットアップレポート!R546</f>
        <v>0</v>
      </c>
      <c r="T546">
        <f>セットアップレポート!S546</f>
        <v>0</v>
      </c>
      <c r="U546">
        <f>セットアップレポート!T546</f>
        <v>0</v>
      </c>
      <c r="V546">
        <f>セットアップレポート!U546</f>
        <v>0</v>
      </c>
      <c r="W546">
        <f>セットアップレポート!V546</f>
        <v>0</v>
      </c>
      <c r="X546">
        <f>セットアップレポート!W546</f>
        <v>0</v>
      </c>
      <c r="Y546">
        <f>セットアップレポート!X546</f>
        <v>0</v>
      </c>
      <c r="Z546">
        <f>セットアップレポート!Y546</f>
        <v>0</v>
      </c>
      <c r="AA546">
        <f>セットアップレポート!Z546</f>
        <v>0</v>
      </c>
      <c r="AB546">
        <f>セットアップレポート!AA546</f>
        <v>0</v>
      </c>
      <c r="AC546">
        <f>セットアップレポート!AB546</f>
        <v>0</v>
      </c>
      <c r="AD546">
        <f>セットアップレポート!AC546</f>
        <v>0</v>
      </c>
      <c r="AE546">
        <f>セットアップレポート!AD546</f>
        <v>0</v>
      </c>
      <c r="AF546">
        <f>セットアップレポート!AE546</f>
        <v>0</v>
      </c>
      <c r="AG546">
        <f>セットアップレポート!AF546</f>
        <v>0</v>
      </c>
      <c r="AH546">
        <f>セットアップレポート!AG546</f>
        <v>0</v>
      </c>
    </row>
    <row r="547" spans="1:34" x14ac:dyDescent="0.45">
      <c r="A547" t="str">
        <f t="shared" si="8"/>
        <v>000</v>
      </c>
      <c r="B547">
        <f>セットアップレポート!A547</f>
        <v>0</v>
      </c>
      <c r="C547">
        <f>セットアップレポート!B547</f>
        <v>0</v>
      </c>
      <c r="D547">
        <f>セットアップレポート!C547</f>
        <v>0</v>
      </c>
      <c r="E547">
        <f>セットアップレポート!D547</f>
        <v>0</v>
      </c>
      <c r="F547">
        <f>セットアップレポート!E547</f>
        <v>0</v>
      </c>
      <c r="G547">
        <f>セットアップレポート!F547</f>
        <v>0</v>
      </c>
      <c r="H547">
        <f>セットアップレポート!G547</f>
        <v>0</v>
      </c>
      <c r="I547">
        <f>セットアップレポート!H547</f>
        <v>0</v>
      </c>
      <c r="J547">
        <f>セットアップレポート!I547</f>
        <v>0</v>
      </c>
      <c r="K547">
        <f>セットアップレポート!J547</f>
        <v>0</v>
      </c>
      <c r="L547">
        <f>セットアップレポート!K547</f>
        <v>0</v>
      </c>
      <c r="M547">
        <f>セットアップレポート!L547</f>
        <v>0</v>
      </c>
      <c r="N547">
        <f>セットアップレポート!M547</f>
        <v>0</v>
      </c>
      <c r="O547">
        <f>セットアップレポート!N547</f>
        <v>0</v>
      </c>
      <c r="P547">
        <f>セットアップレポート!O547</f>
        <v>0</v>
      </c>
      <c r="Q547">
        <f>セットアップレポート!P547</f>
        <v>0</v>
      </c>
      <c r="R547">
        <f>セットアップレポート!Q547</f>
        <v>0</v>
      </c>
      <c r="S547">
        <f>セットアップレポート!R547</f>
        <v>0</v>
      </c>
      <c r="T547">
        <f>セットアップレポート!S547</f>
        <v>0</v>
      </c>
      <c r="U547">
        <f>セットアップレポート!T547</f>
        <v>0</v>
      </c>
      <c r="V547">
        <f>セットアップレポート!U547</f>
        <v>0</v>
      </c>
      <c r="W547">
        <f>セットアップレポート!V547</f>
        <v>0</v>
      </c>
      <c r="X547">
        <f>セットアップレポート!W547</f>
        <v>0</v>
      </c>
      <c r="Y547">
        <f>セットアップレポート!X547</f>
        <v>0</v>
      </c>
      <c r="Z547">
        <f>セットアップレポート!Y547</f>
        <v>0</v>
      </c>
      <c r="AA547">
        <f>セットアップレポート!Z547</f>
        <v>0</v>
      </c>
      <c r="AB547">
        <f>セットアップレポート!AA547</f>
        <v>0</v>
      </c>
      <c r="AC547">
        <f>セットアップレポート!AB547</f>
        <v>0</v>
      </c>
      <c r="AD547">
        <f>セットアップレポート!AC547</f>
        <v>0</v>
      </c>
      <c r="AE547">
        <f>セットアップレポート!AD547</f>
        <v>0</v>
      </c>
      <c r="AF547">
        <f>セットアップレポート!AE547</f>
        <v>0</v>
      </c>
      <c r="AG547">
        <f>セットアップレポート!AF547</f>
        <v>0</v>
      </c>
      <c r="AH547">
        <f>セットアップレポート!AG547</f>
        <v>0</v>
      </c>
    </row>
    <row r="548" spans="1:34" x14ac:dyDescent="0.45">
      <c r="A548" t="str">
        <f t="shared" si="8"/>
        <v>000</v>
      </c>
      <c r="B548">
        <f>セットアップレポート!A548</f>
        <v>0</v>
      </c>
      <c r="C548">
        <f>セットアップレポート!B548</f>
        <v>0</v>
      </c>
      <c r="D548">
        <f>セットアップレポート!C548</f>
        <v>0</v>
      </c>
      <c r="E548">
        <f>セットアップレポート!D548</f>
        <v>0</v>
      </c>
      <c r="F548">
        <f>セットアップレポート!E548</f>
        <v>0</v>
      </c>
      <c r="G548">
        <f>セットアップレポート!F548</f>
        <v>0</v>
      </c>
      <c r="H548">
        <f>セットアップレポート!G548</f>
        <v>0</v>
      </c>
      <c r="I548">
        <f>セットアップレポート!H548</f>
        <v>0</v>
      </c>
      <c r="J548">
        <f>セットアップレポート!I548</f>
        <v>0</v>
      </c>
      <c r="K548">
        <f>セットアップレポート!J548</f>
        <v>0</v>
      </c>
      <c r="L548">
        <f>セットアップレポート!K548</f>
        <v>0</v>
      </c>
      <c r="M548">
        <f>セットアップレポート!L548</f>
        <v>0</v>
      </c>
      <c r="N548">
        <f>セットアップレポート!M548</f>
        <v>0</v>
      </c>
      <c r="O548">
        <f>セットアップレポート!N548</f>
        <v>0</v>
      </c>
      <c r="P548">
        <f>セットアップレポート!O548</f>
        <v>0</v>
      </c>
      <c r="Q548">
        <f>セットアップレポート!P548</f>
        <v>0</v>
      </c>
      <c r="R548">
        <f>セットアップレポート!Q548</f>
        <v>0</v>
      </c>
      <c r="S548">
        <f>セットアップレポート!R548</f>
        <v>0</v>
      </c>
      <c r="T548">
        <f>セットアップレポート!S548</f>
        <v>0</v>
      </c>
      <c r="U548">
        <f>セットアップレポート!T548</f>
        <v>0</v>
      </c>
      <c r="V548">
        <f>セットアップレポート!U548</f>
        <v>0</v>
      </c>
      <c r="W548">
        <f>セットアップレポート!V548</f>
        <v>0</v>
      </c>
      <c r="X548">
        <f>セットアップレポート!W548</f>
        <v>0</v>
      </c>
      <c r="Y548">
        <f>セットアップレポート!X548</f>
        <v>0</v>
      </c>
      <c r="Z548">
        <f>セットアップレポート!Y548</f>
        <v>0</v>
      </c>
      <c r="AA548">
        <f>セットアップレポート!Z548</f>
        <v>0</v>
      </c>
      <c r="AB548">
        <f>セットアップレポート!AA548</f>
        <v>0</v>
      </c>
      <c r="AC548">
        <f>セットアップレポート!AB548</f>
        <v>0</v>
      </c>
      <c r="AD548">
        <f>セットアップレポート!AC548</f>
        <v>0</v>
      </c>
      <c r="AE548">
        <f>セットアップレポート!AD548</f>
        <v>0</v>
      </c>
      <c r="AF548">
        <f>セットアップレポート!AE548</f>
        <v>0</v>
      </c>
      <c r="AG548">
        <f>セットアップレポート!AF548</f>
        <v>0</v>
      </c>
      <c r="AH548">
        <f>セットアップレポート!AG548</f>
        <v>0</v>
      </c>
    </row>
    <row r="549" spans="1:34" x14ac:dyDescent="0.45">
      <c r="A549" t="str">
        <f t="shared" si="8"/>
        <v>000</v>
      </c>
      <c r="B549">
        <f>セットアップレポート!A549</f>
        <v>0</v>
      </c>
      <c r="C549">
        <f>セットアップレポート!B549</f>
        <v>0</v>
      </c>
      <c r="D549">
        <f>セットアップレポート!C549</f>
        <v>0</v>
      </c>
      <c r="E549">
        <f>セットアップレポート!D549</f>
        <v>0</v>
      </c>
      <c r="F549">
        <f>セットアップレポート!E549</f>
        <v>0</v>
      </c>
      <c r="G549">
        <f>セットアップレポート!F549</f>
        <v>0</v>
      </c>
      <c r="H549">
        <f>セットアップレポート!G549</f>
        <v>0</v>
      </c>
      <c r="I549">
        <f>セットアップレポート!H549</f>
        <v>0</v>
      </c>
      <c r="J549">
        <f>セットアップレポート!I549</f>
        <v>0</v>
      </c>
      <c r="K549">
        <f>セットアップレポート!J549</f>
        <v>0</v>
      </c>
      <c r="L549">
        <f>セットアップレポート!K549</f>
        <v>0</v>
      </c>
      <c r="M549">
        <f>セットアップレポート!L549</f>
        <v>0</v>
      </c>
      <c r="N549">
        <f>セットアップレポート!M549</f>
        <v>0</v>
      </c>
      <c r="O549">
        <f>セットアップレポート!N549</f>
        <v>0</v>
      </c>
      <c r="P549">
        <f>セットアップレポート!O549</f>
        <v>0</v>
      </c>
      <c r="Q549">
        <f>セットアップレポート!P549</f>
        <v>0</v>
      </c>
      <c r="R549">
        <f>セットアップレポート!Q549</f>
        <v>0</v>
      </c>
      <c r="S549">
        <f>セットアップレポート!R549</f>
        <v>0</v>
      </c>
      <c r="T549">
        <f>セットアップレポート!S549</f>
        <v>0</v>
      </c>
      <c r="U549">
        <f>セットアップレポート!T549</f>
        <v>0</v>
      </c>
      <c r="V549">
        <f>セットアップレポート!U549</f>
        <v>0</v>
      </c>
      <c r="W549">
        <f>セットアップレポート!V549</f>
        <v>0</v>
      </c>
      <c r="X549">
        <f>セットアップレポート!W549</f>
        <v>0</v>
      </c>
      <c r="Y549">
        <f>セットアップレポート!X549</f>
        <v>0</v>
      </c>
      <c r="Z549">
        <f>セットアップレポート!Y549</f>
        <v>0</v>
      </c>
      <c r="AA549">
        <f>セットアップレポート!Z549</f>
        <v>0</v>
      </c>
      <c r="AB549">
        <f>セットアップレポート!AA549</f>
        <v>0</v>
      </c>
      <c r="AC549">
        <f>セットアップレポート!AB549</f>
        <v>0</v>
      </c>
      <c r="AD549">
        <f>セットアップレポート!AC549</f>
        <v>0</v>
      </c>
      <c r="AE549">
        <f>セットアップレポート!AD549</f>
        <v>0</v>
      </c>
      <c r="AF549">
        <f>セットアップレポート!AE549</f>
        <v>0</v>
      </c>
      <c r="AG549">
        <f>セットアップレポート!AF549</f>
        <v>0</v>
      </c>
      <c r="AH549">
        <f>セットアップレポート!AG549</f>
        <v>0</v>
      </c>
    </row>
    <row r="550" spans="1:34" x14ac:dyDescent="0.45">
      <c r="A550" t="str">
        <f t="shared" si="8"/>
        <v>000</v>
      </c>
      <c r="B550">
        <f>セットアップレポート!A550</f>
        <v>0</v>
      </c>
      <c r="C550">
        <f>セットアップレポート!B550</f>
        <v>0</v>
      </c>
      <c r="D550">
        <f>セットアップレポート!C550</f>
        <v>0</v>
      </c>
      <c r="E550">
        <f>セットアップレポート!D550</f>
        <v>0</v>
      </c>
      <c r="F550">
        <f>セットアップレポート!E550</f>
        <v>0</v>
      </c>
      <c r="G550">
        <f>セットアップレポート!F550</f>
        <v>0</v>
      </c>
      <c r="H550">
        <f>セットアップレポート!G550</f>
        <v>0</v>
      </c>
      <c r="I550">
        <f>セットアップレポート!H550</f>
        <v>0</v>
      </c>
      <c r="J550">
        <f>セットアップレポート!I550</f>
        <v>0</v>
      </c>
      <c r="K550">
        <f>セットアップレポート!J550</f>
        <v>0</v>
      </c>
      <c r="L550">
        <f>セットアップレポート!K550</f>
        <v>0</v>
      </c>
      <c r="M550">
        <f>セットアップレポート!L550</f>
        <v>0</v>
      </c>
      <c r="N550">
        <f>セットアップレポート!M550</f>
        <v>0</v>
      </c>
      <c r="O550">
        <f>セットアップレポート!N550</f>
        <v>0</v>
      </c>
      <c r="P550">
        <f>セットアップレポート!O550</f>
        <v>0</v>
      </c>
      <c r="Q550">
        <f>セットアップレポート!P550</f>
        <v>0</v>
      </c>
      <c r="R550">
        <f>セットアップレポート!Q550</f>
        <v>0</v>
      </c>
      <c r="S550">
        <f>セットアップレポート!R550</f>
        <v>0</v>
      </c>
      <c r="T550">
        <f>セットアップレポート!S550</f>
        <v>0</v>
      </c>
      <c r="U550">
        <f>セットアップレポート!T550</f>
        <v>0</v>
      </c>
      <c r="V550">
        <f>セットアップレポート!U550</f>
        <v>0</v>
      </c>
      <c r="W550">
        <f>セットアップレポート!V550</f>
        <v>0</v>
      </c>
      <c r="X550">
        <f>セットアップレポート!W550</f>
        <v>0</v>
      </c>
      <c r="Y550">
        <f>セットアップレポート!X550</f>
        <v>0</v>
      </c>
      <c r="Z550">
        <f>セットアップレポート!Y550</f>
        <v>0</v>
      </c>
      <c r="AA550">
        <f>セットアップレポート!Z550</f>
        <v>0</v>
      </c>
      <c r="AB550">
        <f>セットアップレポート!AA550</f>
        <v>0</v>
      </c>
      <c r="AC550">
        <f>セットアップレポート!AB550</f>
        <v>0</v>
      </c>
      <c r="AD550">
        <f>セットアップレポート!AC550</f>
        <v>0</v>
      </c>
      <c r="AE550">
        <f>セットアップレポート!AD550</f>
        <v>0</v>
      </c>
      <c r="AF550">
        <f>セットアップレポート!AE550</f>
        <v>0</v>
      </c>
      <c r="AG550">
        <f>セットアップレポート!AF550</f>
        <v>0</v>
      </c>
      <c r="AH550">
        <f>セットアップレポート!AG550</f>
        <v>0</v>
      </c>
    </row>
    <row r="551" spans="1:34" x14ac:dyDescent="0.45">
      <c r="A551" t="str">
        <f t="shared" si="8"/>
        <v>000</v>
      </c>
      <c r="B551">
        <f>セットアップレポート!A551</f>
        <v>0</v>
      </c>
      <c r="C551">
        <f>セットアップレポート!B551</f>
        <v>0</v>
      </c>
      <c r="D551">
        <f>セットアップレポート!C551</f>
        <v>0</v>
      </c>
      <c r="E551">
        <f>セットアップレポート!D551</f>
        <v>0</v>
      </c>
      <c r="F551">
        <f>セットアップレポート!E551</f>
        <v>0</v>
      </c>
      <c r="G551">
        <f>セットアップレポート!F551</f>
        <v>0</v>
      </c>
      <c r="H551">
        <f>セットアップレポート!G551</f>
        <v>0</v>
      </c>
      <c r="I551">
        <f>セットアップレポート!H551</f>
        <v>0</v>
      </c>
      <c r="J551">
        <f>セットアップレポート!I551</f>
        <v>0</v>
      </c>
      <c r="K551">
        <f>セットアップレポート!J551</f>
        <v>0</v>
      </c>
      <c r="L551">
        <f>セットアップレポート!K551</f>
        <v>0</v>
      </c>
      <c r="M551">
        <f>セットアップレポート!L551</f>
        <v>0</v>
      </c>
      <c r="N551">
        <f>セットアップレポート!M551</f>
        <v>0</v>
      </c>
      <c r="O551">
        <f>セットアップレポート!N551</f>
        <v>0</v>
      </c>
      <c r="P551">
        <f>セットアップレポート!O551</f>
        <v>0</v>
      </c>
      <c r="Q551">
        <f>セットアップレポート!P551</f>
        <v>0</v>
      </c>
      <c r="R551">
        <f>セットアップレポート!Q551</f>
        <v>0</v>
      </c>
      <c r="S551">
        <f>セットアップレポート!R551</f>
        <v>0</v>
      </c>
      <c r="T551">
        <f>セットアップレポート!S551</f>
        <v>0</v>
      </c>
      <c r="U551">
        <f>セットアップレポート!T551</f>
        <v>0</v>
      </c>
      <c r="V551">
        <f>セットアップレポート!U551</f>
        <v>0</v>
      </c>
      <c r="W551">
        <f>セットアップレポート!V551</f>
        <v>0</v>
      </c>
      <c r="X551">
        <f>セットアップレポート!W551</f>
        <v>0</v>
      </c>
      <c r="Y551">
        <f>セットアップレポート!X551</f>
        <v>0</v>
      </c>
      <c r="Z551">
        <f>セットアップレポート!Y551</f>
        <v>0</v>
      </c>
      <c r="AA551">
        <f>セットアップレポート!Z551</f>
        <v>0</v>
      </c>
      <c r="AB551">
        <f>セットアップレポート!AA551</f>
        <v>0</v>
      </c>
      <c r="AC551">
        <f>セットアップレポート!AB551</f>
        <v>0</v>
      </c>
      <c r="AD551">
        <f>セットアップレポート!AC551</f>
        <v>0</v>
      </c>
      <c r="AE551">
        <f>セットアップレポート!AD551</f>
        <v>0</v>
      </c>
      <c r="AF551">
        <f>セットアップレポート!AE551</f>
        <v>0</v>
      </c>
      <c r="AG551">
        <f>セットアップレポート!AF551</f>
        <v>0</v>
      </c>
      <c r="AH551">
        <f>セットアップレポート!AG551</f>
        <v>0</v>
      </c>
    </row>
    <row r="552" spans="1:34" x14ac:dyDescent="0.45">
      <c r="A552" t="str">
        <f t="shared" si="8"/>
        <v>000</v>
      </c>
      <c r="B552">
        <f>セットアップレポート!A552</f>
        <v>0</v>
      </c>
      <c r="C552">
        <f>セットアップレポート!B552</f>
        <v>0</v>
      </c>
      <c r="D552">
        <f>セットアップレポート!C552</f>
        <v>0</v>
      </c>
      <c r="E552">
        <f>セットアップレポート!D552</f>
        <v>0</v>
      </c>
      <c r="F552">
        <f>セットアップレポート!E552</f>
        <v>0</v>
      </c>
      <c r="G552">
        <f>セットアップレポート!F552</f>
        <v>0</v>
      </c>
      <c r="H552">
        <f>セットアップレポート!G552</f>
        <v>0</v>
      </c>
      <c r="I552">
        <f>セットアップレポート!H552</f>
        <v>0</v>
      </c>
      <c r="J552">
        <f>セットアップレポート!I552</f>
        <v>0</v>
      </c>
      <c r="K552">
        <f>セットアップレポート!J552</f>
        <v>0</v>
      </c>
      <c r="L552">
        <f>セットアップレポート!K552</f>
        <v>0</v>
      </c>
      <c r="M552">
        <f>セットアップレポート!L552</f>
        <v>0</v>
      </c>
      <c r="N552">
        <f>セットアップレポート!M552</f>
        <v>0</v>
      </c>
      <c r="O552">
        <f>セットアップレポート!N552</f>
        <v>0</v>
      </c>
      <c r="P552">
        <f>セットアップレポート!O552</f>
        <v>0</v>
      </c>
      <c r="Q552">
        <f>セットアップレポート!P552</f>
        <v>0</v>
      </c>
      <c r="R552">
        <f>セットアップレポート!Q552</f>
        <v>0</v>
      </c>
      <c r="S552">
        <f>セットアップレポート!R552</f>
        <v>0</v>
      </c>
      <c r="T552">
        <f>セットアップレポート!S552</f>
        <v>0</v>
      </c>
      <c r="U552">
        <f>セットアップレポート!T552</f>
        <v>0</v>
      </c>
      <c r="V552">
        <f>セットアップレポート!U552</f>
        <v>0</v>
      </c>
      <c r="W552">
        <f>セットアップレポート!V552</f>
        <v>0</v>
      </c>
      <c r="X552">
        <f>セットアップレポート!W552</f>
        <v>0</v>
      </c>
      <c r="Y552">
        <f>セットアップレポート!X552</f>
        <v>0</v>
      </c>
      <c r="Z552">
        <f>セットアップレポート!Y552</f>
        <v>0</v>
      </c>
      <c r="AA552">
        <f>セットアップレポート!Z552</f>
        <v>0</v>
      </c>
      <c r="AB552">
        <f>セットアップレポート!AA552</f>
        <v>0</v>
      </c>
      <c r="AC552">
        <f>セットアップレポート!AB552</f>
        <v>0</v>
      </c>
      <c r="AD552">
        <f>セットアップレポート!AC552</f>
        <v>0</v>
      </c>
      <c r="AE552">
        <f>セットアップレポート!AD552</f>
        <v>0</v>
      </c>
      <c r="AF552">
        <f>セットアップレポート!AE552</f>
        <v>0</v>
      </c>
      <c r="AG552">
        <f>セットアップレポート!AF552</f>
        <v>0</v>
      </c>
      <c r="AH552">
        <f>セットアップレポート!AG552</f>
        <v>0</v>
      </c>
    </row>
    <row r="553" spans="1:34" x14ac:dyDescent="0.45">
      <c r="A553" t="str">
        <f t="shared" si="8"/>
        <v>000</v>
      </c>
      <c r="B553">
        <f>セットアップレポート!A553</f>
        <v>0</v>
      </c>
      <c r="C553">
        <f>セットアップレポート!B553</f>
        <v>0</v>
      </c>
      <c r="D553">
        <f>セットアップレポート!C553</f>
        <v>0</v>
      </c>
      <c r="E553">
        <f>セットアップレポート!D553</f>
        <v>0</v>
      </c>
      <c r="F553">
        <f>セットアップレポート!E553</f>
        <v>0</v>
      </c>
      <c r="G553">
        <f>セットアップレポート!F553</f>
        <v>0</v>
      </c>
      <c r="H553">
        <f>セットアップレポート!G553</f>
        <v>0</v>
      </c>
      <c r="I553">
        <f>セットアップレポート!H553</f>
        <v>0</v>
      </c>
      <c r="J553">
        <f>セットアップレポート!I553</f>
        <v>0</v>
      </c>
      <c r="K553">
        <f>セットアップレポート!J553</f>
        <v>0</v>
      </c>
      <c r="L553">
        <f>セットアップレポート!K553</f>
        <v>0</v>
      </c>
      <c r="M553">
        <f>セットアップレポート!L553</f>
        <v>0</v>
      </c>
      <c r="N553">
        <f>セットアップレポート!M553</f>
        <v>0</v>
      </c>
      <c r="O553">
        <f>セットアップレポート!N553</f>
        <v>0</v>
      </c>
      <c r="P553">
        <f>セットアップレポート!O553</f>
        <v>0</v>
      </c>
      <c r="Q553">
        <f>セットアップレポート!P553</f>
        <v>0</v>
      </c>
      <c r="R553">
        <f>セットアップレポート!Q553</f>
        <v>0</v>
      </c>
      <c r="S553">
        <f>セットアップレポート!R553</f>
        <v>0</v>
      </c>
      <c r="T553">
        <f>セットアップレポート!S553</f>
        <v>0</v>
      </c>
      <c r="U553">
        <f>セットアップレポート!T553</f>
        <v>0</v>
      </c>
      <c r="V553">
        <f>セットアップレポート!U553</f>
        <v>0</v>
      </c>
      <c r="W553">
        <f>セットアップレポート!V553</f>
        <v>0</v>
      </c>
      <c r="X553">
        <f>セットアップレポート!W553</f>
        <v>0</v>
      </c>
      <c r="Y553">
        <f>セットアップレポート!X553</f>
        <v>0</v>
      </c>
      <c r="Z553">
        <f>セットアップレポート!Y553</f>
        <v>0</v>
      </c>
      <c r="AA553">
        <f>セットアップレポート!Z553</f>
        <v>0</v>
      </c>
      <c r="AB553">
        <f>セットアップレポート!AA553</f>
        <v>0</v>
      </c>
      <c r="AC553">
        <f>セットアップレポート!AB553</f>
        <v>0</v>
      </c>
      <c r="AD553">
        <f>セットアップレポート!AC553</f>
        <v>0</v>
      </c>
      <c r="AE553">
        <f>セットアップレポート!AD553</f>
        <v>0</v>
      </c>
      <c r="AF553">
        <f>セットアップレポート!AE553</f>
        <v>0</v>
      </c>
      <c r="AG553">
        <f>セットアップレポート!AF553</f>
        <v>0</v>
      </c>
      <c r="AH553">
        <f>セットアップレポート!AG553</f>
        <v>0</v>
      </c>
    </row>
    <row r="554" spans="1:34" x14ac:dyDescent="0.45">
      <c r="A554" t="str">
        <f t="shared" si="8"/>
        <v>000</v>
      </c>
      <c r="B554">
        <f>セットアップレポート!A554</f>
        <v>0</v>
      </c>
      <c r="C554">
        <f>セットアップレポート!B554</f>
        <v>0</v>
      </c>
      <c r="D554">
        <f>セットアップレポート!C554</f>
        <v>0</v>
      </c>
      <c r="E554">
        <f>セットアップレポート!D554</f>
        <v>0</v>
      </c>
      <c r="F554">
        <f>セットアップレポート!E554</f>
        <v>0</v>
      </c>
      <c r="G554">
        <f>セットアップレポート!F554</f>
        <v>0</v>
      </c>
      <c r="H554">
        <f>セットアップレポート!G554</f>
        <v>0</v>
      </c>
      <c r="I554">
        <f>セットアップレポート!H554</f>
        <v>0</v>
      </c>
      <c r="J554">
        <f>セットアップレポート!I554</f>
        <v>0</v>
      </c>
      <c r="K554">
        <f>セットアップレポート!J554</f>
        <v>0</v>
      </c>
      <c r="L554">
        <f>セットアップレポート!K554</f>
        <v>0</v>
      </c>
      <c r="M554">
        <f>セットアップレポート!L554</f>
        <v>0</v>
      </c>
      <c r="N554">
        <f>セットアップレポート!M554</f>
        <v>0</v>
      </c>
      <c r="O554">
        <f>セットアップレポート!N554</f>
        <v>0</v>
      </c>
      <c r="P554">
        <f>セットアップレポート!O554</f>
        <v>0</v>
      </c>
      <c r="Q554">
        <f>セットアップレポート!P554</f>
        <v>0</v>
      </c>
      <c r="R554">
        <f>セットアップレポート!Q554</f>
        <v>0</v>
      </c>
      <c r="S554">
        <f>セットアップレポート!R554</f>
        <v>0</v>
      </c>
      <c r="T554">
        <f>セットアップレポート!S554</f>
        <v>0</v>
      </c>
      <c r="U554">
        <f>セットアップレポート!T554</f>
        <v>0</v>
      </c>
      <c r="V554">
        <f>セットアップレポート!U554</f>
        <v>0</v>
      </c>
      <c r="W554">
        <f>セットアップレポート!V554</f>
        <v>0</v>
      </c>
      <c r="X554">
        <f>セットアップレポート!W554</f>
        <v>0</v>
      </c>
      <c r="Y554">
        <f>セットアップレポート!X554</f>
        <v>0</v>
      </c>
      <c r="Z554">
        <f>セットアップレポート!Y554</f>
        <v>0</v>
      </c>
      <c r="AA554">
        <f>セットアップレポート!Z554</f>
        <v>0</v>
      </c>
      <c r="AB554">
        <f>セットアップレポート!AA554</f>
        <v>0</v>
      </c>
      <c r="AC554">
        <f>セットアップレポート!AB554</f>
        <v>0</v>
      </c>
      <c r="AD554">
        <f>セットアップレポート!AC554</f>
        <v>0</v>
      </c>
      <c r="AE554">
        <f>セットアップレポート!AD554</f>
        <v>0</v>
      </c>
      <c r="AF554">
        <f>セットアップレポート!AE554</f>
        <v>0</v>
      </c>
      <c r="AG554">
        <f>セットアップレポート!AF554</f>
        <v>0</v>
      </c>
      <c r="AH554">
        <f>セットアップレポート!AG554</f>
        <v>0</v>
      </c>
    </row>
    <row r="555" spans="1:34" x14ac:dyDescent="0.45">
      <c r="A555" t="str">
        <f t="shared" si="8"/>
        <v>000</v>
      </c>
      <c r="B555">
        <f>セットアップレポート!A555</f>
        <v>0</v>
      </c>
      <c r="C555">
        <f>セットアップレポート!B555</f>
        <v>0</v>
      </c>
      <c r="D555">
        <f>セットアップレポート!C555</f>
        <v>0</v>
      </c>
      <c r="E555">
        <f>セットアップレポート!D555</f>
        <v>0</v>
      </c>
      <c r="F555">
        <f>セットアップレポート!E555</f>
        <v>0</v>
      </c>
      <c r="G555">
        <f>セットアップレポート!F555</f>
        <v>0</v>
      </c>
      <c r="H555">
        <f>セットアップレポート!G555</f>
        <v>0</v>
      </c>
      <c r="I555">
        <f>セットアップレポート!H555</f>
        <v>0</v>
      </c>
      <c r="J555">
        <f>セットアップレポート!I555</f>
        <v>0</v>
      </c>
      <c r="K555">
        <f>セットアップレポート!J555</f>
        <v>0</v>
      </c>
      <c r="L555">
        <f>セットアップレポート!K555</f>
        <v>0</v>
      </c>
      <c r="M555">
        <f>セットアップレポート!L555</f>
        <v>0</v>
      </c>
      <c r="N555">
        <f>セットアップレポート!M555</f>
        <v>0</v>
      </c>
      <c r="O555">
        <f>セットアップレポート!N555</f>
        <v>0</v>
      </c>
      <c r="P555">
        <f>セットアップレポート!O555</f>
        <v>0</v>
      </c>
      <c r="Q555">
        <f>セットアップレポート!P555</f>
        <v>0</v>
      </c>
      <c r="R555">
        <f>セットアップレポート!Q555</f>
        <v>0</v>
      </c>
      <c r="S555">
        <f>セットアップレポート!R555</f>
        <v>0</v>
      </c>
      <c r="T555">
        <f>セットアップレポート!S555</f>
        <v>0</v>
      </c>
      <c r="U555">
        <f>セットアップレポート!T555</f>
        <v>0</v>
      </c>
      <c r="V555">
        <f>セットアップレポート!U555</f>
        <v>0</v>
      </c>
      <c r="W555">
        <f>セットアップレポート!V555</f>
        <v>0</v>
      </c>
      <c r="X555">
        <f>セットアップレポート!W555</f>
        <v>0</v>
      </c>
      <c r="Y555">
        <f>セットアップレポート!X555</f>
        <v>0</v>
      </c>
      <c r="Z555">
        <f>セットアップレポート!Y555</f>
        <v>0</v>
      </c>
      <c r="AA555">
        <f>セットアップレポート!Z555</f>
        <v>0</v>
      </c>
      <c r="AB555">
        <f>セットアップレポート!AA555</f>
        <v>0</v>
      </c>
      <c r="AC555">
        <f>セットアップレポート!AB555</f>
        <v>0</v>
      </c>
      <c r="AD555">
        <f>セットアップレポート!AC555</f>
        <v>0</v>
      </c>
      <c r="AE555">
        <f>セットアップレポート!AD555</f>
        <v>0</v>
      </c>
      <c r="AF555">
        <f>セットアップレポート!AE555</f>
        <v>0</v>
      </c>
      <c r="AG555">
        <f>セットアップレポート!AF555</f>
        <v>0</v>
      </c>
      <c r="AH555">
        <f>セットアップレポート!AG555</f>
        <v>0</v>
      </c>
    </row>
    <row r="556" spans="1:34" x14ac:dyDescent="0.45">
      <c r="A556" t="str">
        <f t="shared" si="8"/>
        <v>000</v>
      </c>
      <c r="B556">
        <f>セットアップレポート!A556</f>
        <v>0</v>
      </c>
      <c r="C556">
        <f>セットアップレポート!B556</f>
        <v>0</v>
      </c>
      <c r="D556">
        <f>セットアップレポート!C556</f>
        <v>0</v>
      </c>
      <c r="E556">
        <f>セットアップレポート!D556</f>
        <v>0</v>
      </c>
      <c r="F556">
        <f>セットアップレポート!E556</f>
        <v>0</v>
      </c>
      <c r="G556">
        <f>セットアップレポート!F556</f>
        <v>0</v>
      </c>
      <c r="H556">
        <f>セットアップレポート!G556</f>
        <v>0</v>
      </c>
      <c r="I556">
        <f>セットアップレポート!H556</f>
        <v>0</v>
      </c>
      <c r="J556">
        <f>セットアップレポート!I556</f>
        <v>0</v>
      </c>
      <c r="K556">
        <f>セットアップレポート!J556</f>
        <v>0</v>
      </c>
      <c r="L556">
        <f>セットアップレポート!K556</f>
        <v>0</v>
      </c>
      <c r="M556">
        <f>セットアップレポート!L556</f>
        <v>0</v>
      </c>
      <c r="N556">
        <f>セットアップレポート!M556</f>
        <v>0</v>
      </c>
      <c r="O556">
        <f>セットアップレポート!N556</f>
        <v>0</v>
      </c>
      <c r="P556">
        <f>セットアップレポート!O556</f>
        <v>0</v>
      </c>
      <c r="Q556">
        <f>セットアップレポート!P556</f>
        <v>0</v>
      </c>
      <c r="R556">
        <f>セットアップレポート!Q556</f>
        <v>0</v>
      </c>
      <c r="S556">
        <f>セットアップレポート!R556</f>
        <v>0</v>
      </c>
      <c r="T556">
        <f>セットアップレポート!S556</f>
        <v>0</v>
      </c>
      <c r="U556">
        <f>セットアップレポート!T556</f>
        <v>0</v>
      </c>
      <c r="V556">
        <f>セットアップレポート!U556</f>
        <v>0</v>
      </c>
      <c r="W556">
        <f>セットアップレポート!V556</f>
        <v>0</v>
      </c>
      <c r="X556">
        <f>セットアップレポート!W556</f>
        <v>0</v>
      </c>
      <c r="Y556">
        <f>セットアップレポート!X556</f>
        <v>0</v>
      </c>
      <c r="Z556">
        <f>セットアップレポート!Y556</f>
        <v>0</v>
      </c>
      <c r="AA556">
        <f>セットアップレポート!Z556</f>
        <v>0</v>
      </c>
      <c r="AB556">
        <f>セットアップレポート!AA556</f>
        <v>0</v>
      </c>
      <c r="AC556">
        <f>セットアップレポート!AB556</f>
        <v>0</v>
      </c>
      <c r="AD556">
        <f>セットアップレポート!AC556</f>
        <v>0</v>
      </c>
      <c r="AE556">
        <f>セットアップレポート!AD556</f>
        <v>0</v>
      </c>
      <c r="AF556">
        <f>セットアップレポート!AE556</f>
        <v>0</v>
      </c>
      <c r="AG556">
        <f>セットアップレポート!AF556</f>
        <v>0</v>
      </c>
      <c r="AH556">
        <f>セットアップレポート!AG556</f>
        <v>0</v>
      </c>
    </row>
    <row r="557" spans="1:34" x14ac:dyDescent="0.45">
      <c r="A557" t="str">
        <f t="shared" si="8"/>
        <v>000</v>
      </c>
      <c r="B557">
        <f>セットアップレポート!A557</f>
        <v>0</v>
      </c>
      <c r="C557">
        <f>セットアップレポート!B557</f>
        <v>0</v>
      </c>
      <c r="D557">
        <f>セットアップレポート!C557</f>
        <v>0</v>
      </c>
      <c r="E557">
        <f>セットアップレポート!D557</f>
        <v>0</v>
      </c>
      <c r="F557">
        <f>セットアップレポート!E557</f>
        <v>0</v>
      </c>
      <c r="G557">
        <f>セットアップレポート!F557</f>
        <v>0</v>
      </c>
      <c r="H557">
        <f>セットアップレポート!G557</f>
        <v>0</v>
      </c>
      <c r="I557">
        <f>セットアップレポート!H557</f>
        <v>0</v>
      </c>
      <c r="J557">
        <f>セットアップレポート!I557</f>
        <v>0</v>
      </c>
      <c r="K557">
        <f>セットアップレポート!J557</f>
        <v>0</v>
      </c>
      <c r="L557">
        <f>セットアップレポート!K557</f>
        <v>0</v>
      </c>
      <c r="M557">
        <f>セットアップレポート!L557</f>
        <v>0</v>
      </c>
      <c r="N557">
        <f>セットアップレポート!M557</f>
        <v>0</v>
      </c>
      <c r="O557">
        <f>セットアップレポート!N557</f>
        <v>0</v>
      </c>
      <c r="P557">
        <f>セットアップレポート!O557</f>
        <v>0</v>
      </c>
      <c r="Q557">
        <f>セットアップレポート!P557</f>
        <v>0</v>
      </c>
      <c r="R557">
        <f>セットアップレポート!Q557</f>
        <v>0</v>
      </c>
      <c r="S557">
        <f>セットアップレポート!R557</f>
        <v>0</v>
      </c>
      <c r="T557">
        <f>セットアップレポート!S557</f>
        <v>0</v>
      </c>
      <c r="U557">
        <f>セットアップレポート!T557</f>
        <v>0</v>
      </c>
      <c r="V557">
        <f>セットアップレポート!U557</f>
        <v>0</v>
      </c>
      <c r="W557">
        <f>セットアップレポート!V557</f>
        <v>0</v>
      </c>
      <c r="X557">
        <f>セットアップレポート!W557</f>
        <v>0</v>
      </c>
      <c r="Y557">
        <f>セットアップレポート!X557</f>
        <v>0</v>
      </c>
      <c r="Z557">
        <f>セットアップレポート!Y557</f>
        <v>0</v>
      </c>
      <c r="AA557">
        <f>セットアップレポート!Z557</f>
        <v>0</v>
      </c>
      <c r="AB557">
        <f>セットアップレポート!AA557</f>
        <v>0</v>
      </c>
      <c r="AC557">
        <f>セットアップレポート!AB557</f>
        <v>0</v>
      </c>
      <c r="AD557">
        <f>セットアップレポート!AC557</f>
        <v>0</v>
      </c>
      <c r="AE557">
        <f>セットアップレポート!AD557</f>
        <v>0</v>
      </c>
      <c r="AF557">
        <f>セットアップレポート!AE557</f>
        <v>0</v>
      </c>
      <c r="AG557">
        <f>セットアップレポート!AF557</f>
        <v>0</v>
      </c>
      <c r="AH557">
        <f>セットアップレポート!AG557</f>
        <v>0</v>
      </c>
    </row>
    <row r="558" spans="1:34" x14ac:dyDescent="0.45">
      <c r="A558" t="str">
        <f t="shared" si="8"/>
        <v>000</v>
      </c>
      <c r="B558">
        <f>セットアップレポート!A558</f>
        <v>0</v>
      </c>
      <c r="C558">
        <f>セットアップレポート!B558</f>
        <v>0</v>
      </c>
      <c r="D558">
        <f>セットアップレポート!C558</f>
        <v>0</v>
      </c>
      <c r="E558">
        <f>セットアップレポート!D558</f>
        <v>0</v>
      </c>
      <c r="F558">
        <f>セットアップレポート!E558</f>
        <v>0</v>
      </c>
      <c r="G558">
        <f>セットアップレポート!F558</f>
        <v>0</v>
      </c>
      <c r="H558">
        <f>セットアップレポート!G558</f>
        <v>0</v>
      </c>
      <c r="I558">
        <f>セットアップレポート!H558</f>
        <v>0</v>
      </c>
      <c r="J558">
        <f>セットアップレポート!I558</f>
        <v>0</v>
      </c>
      <c r="K558">
        <f>セットアップレポート!J558</f>
        <v>0</v>
      </c>
      <c r="L558">
        <f>セットアップレポート!K558</f>
        <v>0</v>
      </c>
      <c r="M558">
        <f>セットアップレポート!L558</f>
        <v>0</v>
      </c>
      <c r="N558">
        <f>セットアップレポート!M558</f>
        <v>0</v>
      </c>
      <c r="O558">
        <f>セットアップレポート!N558</f>
        <v>0</v>
      </c>
      <c r="P558">
        <f>セットアップレポート!O558</f>
        <v>0</v>
      </c>
      <c r="Q558">
        <f>セットアップレポート!P558</f>
        <v>0</v>
      </c>
      <c r="R558">
        <f>セットアップレポート!Q558</f>
        <v>0</v>
      </c>
      <c r="S558">
        <f>セットアップレポート!R558</f>
        <v>0</v>
      </c>
      <c r="T558">
        <f>セットアップレポート!S558</f>
        <v>0</v>
      </c>
      <c r="U558">
        <f>セットアップレポート!T558</f>
        <v>0</v>
      </c>
      <c r="V558">
        <f>セットアップレポート!U558</f>
        <v>0</v>
      </c>
      <c r="W558">
        <f>セットアップレポート!V558</f>
        <v>0</v>
      </c>
      <c r="X558">
        <f>セットアップレポート!W558</f>
        <v>0</v>
      </c>
      <c r="Y558">
        <f>セットアップレポート!X558</f>
        <v>0</v>
      </c>
      <c r="Z558">
        <f>セットアップレポート!Y558</f>
        <v>0</v>
      </c>
      <c r="AA558">
        <f>セットアップレポート!Z558</f>
        <v>0</v>
      </c>
      <c r="AB558">
        <f>セットアップレポート!AA558</f>
        <v>0</v>
      </c>
      <c r="AC558">
        <f>セットアップレポート!AB558</f>
        <v>0</v>
      </c>
      <c r="AD558">
        <f>セットアップレポート!AC558</f>
        <v>0</v>
      </c>
      <c r="AE558">
        <f>セットアップレポート!AD558</f>
        <v>0</v>
      </c>
      <c r="AF558">
        <f>セットアップレポート!AE558</f>
        <v>0</v>
      </c>
      <c r="AG558">
        <f>セットアップレポート!AF558</f>
        <v>0</v>
      </c>
      <c r="AH558">
        <f>セットアップレポート!AG558</f>
        <v>0</v>
      </c>
    </row>
    <row r="559" spans="1:34" x14ac:dyDescent="0.45">
      <c r="A559" t="str">
        <f t="shared" si="8"/>
        <v>000</v>
      </c>
      <c r="B559">
        <f>セットアップレポート!A559</f>
        <v>0</v>
      </c>
      <c r="C559">
        <f>セットアップレポート!B559</f>
        <v>0</v>
      </c>
      <c r="D559">
        <f>セットアップレポート!C559</f>
        <v>0</v>
      </c>
      <c r="E559">
        <f>セットアップレポート!D559</f>
        <v>0</v>
      </c>
      <c r="F559">
        <f>セットアップレポート!E559</f>
        <v>0</v>
      </c>
      <c r="G559">
        <f>セットアップレポート!F559</f>
        <v>0</v>
      </c>
      <c r="H559">
        <f>セットアップレポート!G559</f>
        <v>0</v>
      </c>
      <c r="I559">
        <f>セットアップレポート!H559</f>
        <v>0</v>
      </c>
      <c r="J559">
        <f>セットアップレポート!I559</f>
        <v>0</v>
      </c>
      <c r="K559">
        <f>セットアップレポート!J559</f>
        <v>0</v>
      </c>
      <c r="L559">
        <f>セットアップレポート!K559</f>
        <v>0</v>
      </c>
      <c r="M559">
        <f>セットアップレポート!L559</f>
        <v>0</v>
      </c>
      <c r="N559">
        <f>セットアップレポート!M559</f>
        <v>0</v>
      </c>
      <c r="O559">
        <f>セットアップレポート!N559</f>
        <v>0</v>
      </c>
      <c r="P559">
        <f>セットアップレポート!O559</f>
        <v>0</v>
      </c>
      <c r="Q559">
        <f>セットアップレポート!P559</f>
        <v>0</v>
      </c>
      <c r="R559">
        <f>セットアップレポート!Q559</f>
        <v>0</v>
      </c>
      <c r="S559">
        <f>セットアップレポート!R559</f>
        <v>0</v>
      </c>
      <c r="T559">
        <f>セットアップレポート!S559</f>
        <v>0</v>
      </c>
      <c r="U559">
        <f>セットアップレポート!T559</f>
        <v>0</v>
      </c>
      <c r="V559">
        <f>セットアップレポート!U559</f>
        <v>0</v>
      </c>
      <c r="W559">
        <f>セットアップレポート!V559</f>
        <v>0</v>
      </c>
      <c r="X559">
        <f>セットアップレポート!W559</f>
        <v>0</v>
      </c>
      <c r="Y559">
        <f>セットアップレポート!X559</f>
        <v>0</v>
      </c>
      <c r="Z559">
        <f>セットアップレポート!Y559</f>
        <v>0</v>
      </c>
      <c r="AA559">
        <f>セットアップレポート!Z559</f>
        <v>0</v>
      </c>
      <c r="AB559">
        <f>セットアップレポート!AA559</f>
        <v>0</v>
      </c>
      <c r="AC559">
        <f>セットアップレポート!AB559</f>
        <v>0</v>
      </c>
      <c r="AD559">
        <f>セットアップレポート!AC559</f>
        <v>0</v>
      </c>
      <c r="AE559">
        <f>セットアップレポート!AD559</f>
        <v>0</v>
      </c>
      <c r="AF559">
        <f>セットアップレポート!AE559</f>
        <v>0</v>
      </c>
      <c r="AG559">
        <f>セットアップレポート!AF559</f>
        <v>0</v>
      </c>
      <c r="AH559">
        <f>セットアップレポート!AG559</f>
        <v>0</v>
      </c>
    </row>
    <row r="560" spans="1:34" x14ac:dyDescent="0.45">
      <c r="A560" t="str">
        <f t="shared" si="8"/>
        <v>000</v>
      </c>
      <c r="B560">
        <f>セットアップレポート!A560</f>
        <v>0</v>
      </c>
      <c r="C560">
        <f>セットアップレポート!B560</f>
        <v>0</v>
      </c>
      <c r="D560">
        <f>セットアップレポート!C560</f>
        <v>0</v>
      </c>
      <c r="E560">
        <f>セットアップレポート!D560</f>
        <v>0</v>
      </c>
      <c r="F560">
        <f>セットアップレポート!E560</f>
        <v>0</v>
      </c>
      <c r="G560">
        <f>セットアップレポート!F560</f>
        <v>0</v>
      </c>
      <c r="H560">
        <f>セットアップレポート!G560</f>
        <v>0</v>
      </c>
      <c r="I560">
        <f>セットアップレポート!H560</f>
        <v>0</v>
      </c>
      <c r="J560">
        <f>セットアップレポート!I560</f>
        <v>0</v>
      </c>
      <c r="K560">
        <f>セットアップレポート!J560</f>
        <v>0</v>
      </c>
      <c r="L560">
        <f>セットアップレポート!K560</f>
        <v>0</v>
      </c>
      <c r="M560">
        <f>セットアップレポート!L560</f>
        <v>0</v>
      </c>
      <c r="N560">
        <f>セットアップレポート!M560</f>
        <v>0</v>
      </c>
      <c r="O560">
        <f>セットアップレポート!N560</f>
        <v>0</v>
      </c>
      <c r="P560">
        <f>セットアップレポート!O560</f>
        <v>0</v>
      </c>
      <c r="Q560">
        <f>セットアップレポート!P560</f>
        <v>0</v>
      </c>
      <c r="R560">
        <f>セットアップレポート!Q560</f>
        <v>0</v>
      </c>
      <c r="S560">
        <f>セットアップレポート!R560</f>
        <v>0</v>
      </c>
      <c r="T560">
        <f>セットアップレポート!S560</f>
        <v>0</v>
      </c>
      <c r="U560">
        <f>セットアップレポート!T560</f>
        <v>0</v>
      </c>
      <c r="V560">
        <f>セットアップレポート!U560</f>
        <v>0</v>
      </c>
      <c r="W560">
        <f>セットアップレポート!V560</f>
        <v>0</v>
      </c>
      <c r="X560">
        <f>セットアップレポート!W560</f>
        <v>0</v>
      </c>
      <c r="Y560">
        <f>セットアップレポート!X560</f>
        <v>0</v>
      </c>
      <c r="Z560">
        <f>セットアップレポート!Y560</f>
        <v>0</v>
      </c>
      <c r="AA560">
        <f>セットアップレポート!Z560</f>
        <v>0</v>
      </c>
      <c r="AB560">
        <f>セットアップレポート!AA560</f>
        <v>0</v>
      </c>
      <c r="AC560">
        <f>セットアップレポート!AB560</f>
        <v>0</v>
      </c>
      <c r="AD560">
        <f>セットアップレポート!AC560</f>
        <v>0</v>
      </c>
      <c r="AE560">
        <f>セットアップレポート!AD560</f>
        <v>0</v>
      </c>
      <c r="AF560">
        <f>セットアップレポート!AE560</f>
        <v>0</v>
      </c>
      <c r="AG560">
        <f>セットアップレポート!AF560</f>
        <v>0</v>
      </c>
      <c r="AH560">
        <f>セットアップレポート!AG560</f>
        <v>0</v>
      </c>
    </row>
    <row r="561" spans="1:34" x14ac:dyDescent="0.45">
      <c r="A561" t="str">
        <f t="shared" si="8"/>
        <v>000</v>
      </c>
      <c r="B561">
        <f>セットアップレポート!A561</f>
        <v>0</v>
      </c>
      <c r="C561">
        <f>セットアップレポート!B561</f>
        <v>0</v>
      </c>
      <c r="D561">
        <f>セットアップレポート!C561</f>
        <v>0</v>
      </c>
      <c r="E561">
        <f>セットアップレポート!D561</f>
        <v>0</v>
      </c>
      <c r="F561">
        <f>セットアップレポート!E561</f>
        <v>0</v>
      </c>
      <c r="G561">
        <f>セットアップレポート!F561</f>
        <v>0</v>
      </c>
      <c r="H561">
        <f>セットアップレポート!G561</f>
        <v>0</v>
      </c>
      <c r="I561">
        <f>セットアップレポート!H561</f>
        <v>0</v>
      </c>
      <c r="J561">
        <f>セットアップレポート!I561</f>
        <v>0</v>
      </c>
      <c r="K561">
        <f>セットアップレポート!J561</f>
        <v>0</v>
      </c>
      <c r="L561">
        <f>セットアップレポート!K561</f>
        <v>0</v>
      </c>
      <c r="M561">
        <f>セットアップレポート!L561</f>
        <v>0</v>
      </c>
      <c r="N561">
        <f>セットアップレポート!M561</f>
        <v>0</v>
      </c>
      <c r="O561">
        <f>セットアップレポート!N561</f>
        <v>0</v>
      </c>
      <c r="P561">
        <f>セットアップレポート!O561</f>
        <v>0</v>
      </c>
      <c r="Q561">
        <f>セットアップレポート!P561</f>
        <v>0</v>
      </c>
      <c r="R561">
        <f>セットアップレポート!Q561</f>
        <v>0</v>
      </c>
      <c r="S561">
        <f>セットアップレポート!R561</f>
        <v>0</v>
      </c>
      <c r="T561">
        <f>セットアップレポート!S561</f>
        <v>0</v>
      </c>
      <c r="U561">
        <f>セットアップレポート!T561</f>
        <v>0</v>
      </c>
      <c r="V561">
        <f>セットアップレポート!U561</f>
        <v>0</v>
      </c>
      <c r="W561">
        <f>セットアップレポート!V561</f>
        <v>0</v>
      </c>
      <c r="X561">
        <f>セットアップレポート!W561</f>
        <v>0</v>
      </c>
      <c r="Y561">
        <f>セットアップレポート!X561</f>
        <v>0</v>
      </c>
      <c r="Z561">
        <f>セットアップレポート!Y561</f>
        <v>0</v>
      </c>
      <c r="AA561">
        <f>セットアップレポート!Z561</f>
        <v>0</v>
      </c>
      <c r="AB561">
        <f>セットアップレポート!AA561</f>
        <v>0</v>
      </c>
      <c r="AC561">
        <f>セットアップレポート!AB561</f>
        <v>0</v>
      </c>
      <c r="AD561">
        <f>セットアップレポート!AC561</f>
        <v>0</v>
      </c>
      <c r="AE561">
        <f>セットアップレポート!AD561</f>
        <v>0</v>
      </c>
      <c r="AF561">
        <f>セットアップレポート!AE561</f>
        <v>0</v>
      </c>
      <c r="AG561">
        <f>セットアップレポート!AF561</f>
        <v>0</v>
      </c>
      <c r="AH561">
        <f>セットアップレポート!AG561</f>
        <v>0</v>
      </c>
    </row>
    <row r="562" spans="1:34" x14ac:dyDescent="0.45">
      <c r="A562" t="str">
        <f t="shared" si="8"/>
        <v>000</v>
      </c>
      <c r="B562">
        <f>セットアップレポート!A562</f>
        <v>0</v>
      </c>
      <c r="C562">
        <f>セットアップレポート!B562</f>
        <v>0</v>
      </c>
      <c r="D562">
        <f>セットアップレポート!C562</f>
        <v>0</v>
      </c>
      <c r="E562">
        <f>セットアップレポート!D562</f>
        <v>0</v>
      </c>
      <c r="F562">
        <f>セットアップレポート!E562</f>
        <v>0</v>
      </c>
      <c r="G562">
        <f>セットアップレポート!F562</f>
        <v>0</v>
      </c>
      <c r="H562">
        <f>セットアップレポート!G562</f>
        <v>0</v>
      </c>
      <c r="I562">
        <f>セットアップレポート!H562</f>
        <v>0</v>
      </c>
      <c r="J562">
        <f>セットアップレポート!I562</f>
        <v>0</v>
      </c>
      <c r="K562">
        <f>セットアップレポート!J562</f>
        <v>0</v>
      </c>
      <c r="L562">
        <f>セットアップレポート!K562</f>
        <v>0</v>
      </c>
      <c r="M562">
        <f>セットアップレポート!L562</f>
        <v>0</v>
      </c>
      <c r="N562">
        <f>セットアップレポート!M562</f>
        <v>0</v>
      </c>
      <c r="O562">
        <f>セットアップレポート!N562</f>
        <v>0</v>
      </c>
      <c r="P562">
        <f>セットアップレポート!O562</f>
        <v>0</v>
      </c>
      <c r="Q562">
        <f>セットアップレポート!P562</f>
        <v>0</v>
      </c>
      <c r="R562">
        <f>セットアップレポート!Q562</f>
        <v>0</v>
      </c>
      <c r="S562">
        <f>セットアップレポート!R562</f>
        <v>0</v>
      </c>
      <c r="T562">
        <f>セットアップレポート!S562</f>
        <v>0</v>
      </c>
      <c r="U562">
        <f>セットアップレポート!T562</f>
        <v>0</v>
      </c>
      <c r="V562">
        <f>セットアップレポート!U562</f>
        <v>0</v>
      </c>
      <c r="W562">
        <f>セットアップレポート!V562</f>
        <v>0</v>
      </c>
      <c r="X562">
        <f>セットアップレポート!W562</f>
        <v>0</v>
      </c>
      <c r="Y562">
        <f>セットアップレポート!X562</f>
        <v>0</v>
      </c>
      <c r="Z562">
        <f>セットアップレポート!Y562</f>
        <v>0</v>
      </c>
      <c r="AA562">
        <f>セットアップレポート!Z562</f>
        <v>0</v>
      </c>
      <c r="AB562">
        <f>セットアップレポート!AA562</f>
        <v>0</v>
      </c>
      <c r="AC562">
        <f>セットアップレポート!AB562</f>
        <v>0</v>
      </c>
      <c r="AD562">
        <f>セットアップレポート!AC562</f>
        <v>0</v>
      </c>
      <c r="AE562">
        <f>セットアップレポート!AD562</f>
        <v>0</v>
      </c>
      <c r="AF562">
        <f>セットアップレポート!AE562</f>
        <v>0</v>
      </c>
      <c r="AG562">
        <f>セットアップレポート!AF562</f>
        <v>0</v>
      </c>
      <c r="AH562">
        <f>セットアップレポート!AG562</f>
        <v>0</v>
      </c>
    </row>
    <row r="563" spans="1:34" x14ac:dyDescent="0.45">
      <c r="A563" t="str">
        <f t="shared" si="8"/>
        <v>000</v>
      </c>
      <c r="B563">
        <f>セットアップレポート!A563</f>
        <v>0</v>
      </c>
      <c r="C563">
        <f>セットアップレポート!B563</f>
        <v>0</v>
      </c>
      <c r="D563">
        <f>セットアップレポート!C563</f>
        <v>0</v>
      </c>
      <c r="E563">
        <f>セットアップレポート!D563</f>
        <v>0</v>
      </c>
      <c r="F563">
        <f>セットアップレポート!E563</f>
        <v>0</v>
      </c>
      <c r="G563">
        <f>セットアップレポート!F563</f>
        <v>0</v>
      </c>
      <c r="H563">
        <f>セットアップレポート!G563</f>
        <v>0</v>
      </c>
      <c r="I563">
        <f>セットアップレポート!H563</f>
        <v>0</v>
      </c>
      <c r="J563">
        <f>セットアップレポート!I563</f>
        <v>0</v>
      </c>
      <c r="K563">
        <f>セットアップレポート!J563</f>
        <v>0</v>
      </c>
      <c r="L563">
        <f>セットアップレポート!K563</f>
        <v>0</v>
      </c>
      <c r="M563">
        <f>セットアップレポート!L563</f>
        <v>0</v>
      </c>
      <c r="N563">
        <f>セットアップレポート!M563</f>
        <v>0</v>
      </c>
      <c r="O563">
        <f>セットアップレポート!N563</f>
        <v>0</v>
      </c>
      <c r="P563">
        <f>セットアップレポート!O563</f>
        <v>0</v>
      </c>
      <c r="Q563">
        <f>セットアップレポート!P563</f>
        <v>0</v>
      </c>
      <c r="R563">
        <f>セットアップレポート!Q563</f>
        <v>0</v>
      </c>
      <c r="S563">
        <f>セットアップレポート!R563</f>
        <v>0</v>
      </c>
      <c r="T563">
        <f>セットアップレポート!S563</f>
        <v>0</v>
      </c>
      <c r="U563">
        <f>セットアップレポート!T563</f>
        <v>0</v>
      </c>
      <c r="V563">
        <f>セットアップレポート!U563</f>
        <v>0</v>
      </c>
      <c r="W563">
        <f>セットアップレポート!V563</f>
        <v>0</v>
      </c>
      <c r="X563">
        <f>セットアップレポート!W563</f>
        <v>0</v>
      </c>
      <c r="Y563">
        <f>セットアップレポート!X563</f>
        <v>0</v>
      </c>
      <c r="Z563">
        <f>セットアップレポート!Y563</f>
        <v>0</v>
      </c>
      <c r="AA563">
        <f>セットアップレポート!Z563</f>
        <v>0</v>
      </c>
      <c r="AB563">
        <f>セットアップレポート!AA563</f>
        <v>0</v>
      </c>
      <c r="AC563">
        <f>セットアップレポート!AB563</f>
        <v>0</v>
      </c>
      <c r="AD563">
        <f>セットアップレポート!AC563</f>
        <v>0</v>
      </c>
      <c r="AE563">
        <f>セットアップレポート!AD563</f>
        <v>0</v>
      </c>
      <c r="AF563">
        <f>セットアップレポート!AE563</f>
        <v>0</v>
      </c>
      <c r="AG563">
        <f>セットアップレポート!AF563</f>
        <v>0</v>
      </c>
      <c r="AH563">
        <f>セットアップレポート!AG563</f>
        <v>0</v>
      </c>
    </row>
    <row r="564" spans="1:34" x14ac:dyDescent="0.45">
      <c r="A564" t="str">
        <f t="shared" si="8"/>
        <v>000</v>
      </c>
      <c r="B564">
        <f>セットアップレポート!A564</f>
        <v>0</v>
      </c>
      <c r="C564">
        <f>セットアップレポート!B564</f>
        <v>0</v>
      </c>
      <c r="D564">
        <f>セットアップレポート!C564</f>
        <v>0</v>
      </c>
      <c r="E564">
        <f>セットアップレポート!D564</f>
        <v>0</v>
      </c>
      <c r="F564">
        <f>セットアップレポート!E564</f>
        <v>0</v>
      </c>
      <c r="G564">
        <f>セットアップレポート!F564</f>
        <v>0</v>
      </c>
      <c r="H564">
        <f>セットアップレポート!G564</f>
        <v>0</v>
      </c>
      <c r="I564">
        <f>セットアップレポート!H564</f>
        <v>0</v>
      </c>
      <c r="J564">
        <f>セットアップレポート!I564</f>
        <v>0</v>
      </c>
      <c r="K564">
        <f>セットアップレポート!J564</f>
        <v>0</v>
      </c>
      <c r="L564">
        <f>セットアップレポート!K564</f>
        <v>0</v>
      </c>
      <c r="M564">
        <f>セットアップレポート!L564</f>
        <v>0</v>
      </c>
      <c r="N564">
        <f>セットアップレポート!M564</f>
        <v>0</v>
      </c>
      <c r="O564">
        <f>セットアップレポート!N564</f>
        <v>0</v>
      </c>
      <c r="P564">
        <f>セットアップレポート!O564</f>
        <v>0</v>
      </c>
      <c r="Q564">
        <f>セットアップレポート!P564</f>
        <v>0</v>
      </c>
      <c r="R564">
        <f>セットアップレポート!Q564</f>
        <v>0</v>
      </c>
      <c r="S564">
        <f>セットアップレポート!R564</f>
        <v>0</v>
      </c>
      <c r="T564">
        <f>セットアップレポート!S564</f>
        <v>0</v>
      </c>
      <c r="U564">
        <f>セットアップレポート!T564</f>
        <v>0</v>
      </c>
      <c r="V564">
        <f>セットアップレポート!U564</f>
        <v>0</v>
      </c>
      <c r="W564">
        <f>セットアップレポート!V564</f>
        <v>0</v>
      </c>
      <c r="X564">
        <f>セットアップレポート!W564</f>
        <v>0</v>
      </c>
      <c r="Y564">
        <f>セットアップレポート!X564</f>
        <v>0</v>
      </c>
      <c r="Z564">
        <f>セットアップレポート!Y564</f>
        <v>0</v>
      </c>
      <c r="AA564">
        <f>セットアップレポート!Z564</f>
        <v>0</v>
      </c>
      <c r="AB564">
        <f>セットアップレポート!AA564</f>
        <v>0</v>
      </c>
      <c r="AC564">
        <f>セットアップレポート!AB564</f>
        <v>0</v>
      </c>
      <c r="AD564">
        <f>セットアップレポート!AC564</f>
        <v>0</v>
      </c>
      <c r="AE564">
        <f>セットアップレポート!AD564</f>
        <v>0</v>
      </c>
      <c r="AF564">
        <f>セットアップレポート!AE564</f>
        <v>0</v>
      </c>
      <c r="AG564">
        <f>セットアップレポート!AF564</f>
        <v>0</v>
      </c>
      <c r="AH564">
        <f>セットアップレポート!AG564</f>
        <v>0</v>
      </c>
    </row>
    <row r="565" spans="1:34" x14ac:dyDescent="0.45">
      <c r="A565" t="str">
        <f t="shared" si="8"/>
        <v>000</v>
      </c>
      <c r="B565">
        <f>セットアップレポート!A565</f>
        <v>0</v>
      </c>
      <c r="C565">
        <f>セットアップレポート!B565</f>
        <v>0</v>
      </c>
      <c r="D565">
        <f>セットアップレポート!C565</f>
        <v>0</v>
      </c>
      <c r="E565">
        <f>セットアップレポート!D565</f>
        <v>0</v>
      </c>
      <c r="F565">
        <f>セットアップレポート!E565</f>
        <v>0</v>
      </c>
      <c r="G565">
        <f>セットアップレポート!F565</f>
        <v>0</v>
      </c>
      <c r="H565">
        <f>セットアップレポート!G565</f>
        <v>0</v>
      </c>
      <c r="I565">
        <f>セットアップレポート!H565</f>
        <v>0</v>
      </c>
      <c r="J565">
        <f>セットアップレポート!I565</f>
        <v>0</v>
      </c>
      <c r="K565">
        <f>セットアップレポート!J565</f>
        <v>0</v>
      </c>
      <c r="L565">
        <f>セットアップレポート!K565</f>
        <v>0</v>
      </c>
      <c r="M565">
        <f>セットアップレポート!L565</f>
        <v>0</v>
      </c>
      <c r="N565">
        <f>セットアップレポート!M565</f>
        <v>0</v>
      </c>
      <c r="O565">
        <f>セットアップレポート!N565</f>
        <v>0</v>
      </c>
      <c r="P565">
        <f>セットアップレポート!O565</f>
        <v>0</v>
      </c>
      <c r="Q565">
        <f>セットアップレポート!P565</f>
        <v>0</v>
      </c>
      <c r="R565">
        <f>セットアップレポート!Q565</f>
        <v>0</v>
      </c>
      <c r="S565">
        <f>セットアップレポート!R565</f>
        <v>0</v>
      </c>
      <c r="T565">
        <f>セットアップレポート!S565</f>
        <v>0</v>
      </c>
      <c r="U565">
        <f>セットアップレポート!T565</f>
        <v>0</v>
      </c>
      <c r="V565">
        <f>セットアップレポート!U565</f>
        <v>0</v>
      </c>
      <c r="W565">
        <f>セットアップレポート!V565</f>
        <v>0</v>
      </c>
      <c r="X565">
        <f>セットアップレポート!W565</f>
        <v>0</v>
      </c>
      <c r="Y565">
        <f>セットアップレポート!X565</f>
        <v>0</v>
      </c>
      <c r="Z565">
        <f>セットアップレポート!Y565</f>
        <v>0</v>
      </c>
      <c r="AA565">
        <f>セットアップレポート!Z565</f>
        <v>0</v>
      </c>
      <c r="AB565">
        <f>セットアップレポート!AA565</f>
        <v>0</v>
      </c>
      <c r="AC565">
        <f>セットアップレポート!AB565</f>
        <v>0</v>
      </c>
      <c r="AD565">
        <f>セットアップレポート!AC565</f>
        <v>0</v>
      </c>
      <c r="AE565">
        <f>セットアップレポート!AD565</f>
        <v>0</v>
      </c>
      <c r="AF565">
        <f>セットアップレポート!AE565</f>
        <v>0</v>
      </c>
      <c r="AG565">
        <f>セットアップレポート!AF565</f>
        <v>0</v>
      </c>
      <c r="AH565">
        <f>セットアップレポート!AG565</f>
        <v>0</v>
      </c>
    </row>
    <row r="566" spans="1:34" x14ac:dyDescent="0.45">
      <c r="A566" t="str">
        <f t="shared" si="8"/>
        <v>000</v>
      </c>
      <c r="B566">
        <f>セットアップレポート!A566</f>
        <v>0</v>
      </c>
      <c r="C566">
        <f>セットアップレポート!B566</f>
        <v>0</v>
      </c>
      <c r="D566">
        <f>セットアップレポート!C566</f>
        <v>0</v>
      </c>
      <c r="E566">
        <f>セットアップレポート!D566</f>
        <v>0</v>
      </c>
      <c r="F566">
        <f>セットアップレポート!E566</f>
        <v>0</v>
      </c>
      <c r="G566">
        <f>セットアップレポート!F566</f>
        <v>0</v>
      </c>
      <c r="H566">
        <f>セットアップレポート!G566</f>
        <v>0</v>
      </c>
      <c r="I566">
        <f>セットアップレポート!H566</f>
        <v>0</v>
      </c>
      <c r="J566">
        <f>セットアップレポート!I566</f>
        <v>0</v>
      </c>
      <c r="K566">
        <f>セットアップレポート!J566</f>
        <v>0</v>
      </c>
      <c r="L566">
        <f>セットアップレポート!K566</f>
        <v>0</v>
      </c>
      <c r="M566">
        <f>セットアップレポート!L566</f>
        <v>0</v>
      </c>
      <c r="N566">
        <f>セットアップレポート!M566</f>
        <v>0</v>
      </c>
      <c r="O566">
        <f>セットアップレポート!N566</f>
        <v>0</v>
      </c>
      <c r="P566">
        <f>セットアップレポート!O566</f>
        <v>0</v>
      </c>
      <c r="Q566">
        <f>セットアップレポート!P566</f>
        <v>0</v>
      </c>
      <c r="R566">
        <f>セットアップレポート!Q566</f>
        <v>0</v>
      </c>
      <c r="S566">
        <f>セットアップレポート!R566</f>
        <v>0</v>
      </c>
      <c r="T566">
        <f>セットアップレポート!S566</f>
        <v>0</v>
      </c>
      <c r="U566">
        <f>セットアップレポート!T566</f>
        <v>0</v>
      </c>
      <c r="V566">
        <f>セットアップレポート!U566</f>
        <v>0</v>
      </c>
      <c r="W566">
        <f>セットアップレポート!V566</f>
        <v>0</v>
      </c>
      <c r="X566">
        <f>セットアップレポート!W566</f>
        <v>0</v>
      </c>
      <c r="Y566">
        <f>セットアップレポート!X566</f>
        <v>0</v>
      </c>
      <c r="Z566">
        <f>セットアップレポート!Y566</f>
        <v>0</v>
      </c>
      <c r="AA566">
        <f>セットアップレポート!Z566</f>
        <v>0</v>
      </c>
      <c r="AB566">
        <f>セットアップレポート!AA566</f>
        <v>0</v>
      </c>
      <c r="AC566">
        <f>セットアップレポート!AB566</f>
        <v>0</v>
      </c>
      <c r="AD566">
        <f>セットアップレポート!AC566</f>
        <v>0</v>
      </c>
      <c r="AE566">
        <f>セットアップレポート!AD566</f>
        <v>0</v>
      </c>
      <c r="AF566">
        <f>セットアップレポート!AE566</f>
        <v>0</v>
      </c>
      <c r="AG566">
        <f>セットアップレポート!AF566</f>
        <v>0</v>
      </c>
      <c r="AH566">
        <f>セットアップレポート!AG566</f>
        <v>0</v>
      </c>
    </row>
    <row r="567" spans="1:34" x14ac:dyDescent="0.45">
      <c r="A567" t="str">
        <f t="shared" si="8"/>
        <v>000</v>
      </c>
      <c r="B567">
        <f>セットアップレポート!A567</f>
        <v>0</v>
      </c>
      <c r="C567">
        <f>セットアップレポート!B567</f>
        <v>0</v>
      </c>
      <c r="D567">
        <f>セットアップレポート!C567</f>
        <v>0</v>
      </c>
      <c r="E567">
        <f>セットアップレポート!D567</f>
        <v>0</v>
      </c>
      <c r="F567">
        <f>セットアップレポート!E567</f>
        <v>0</v>
      </c>
      <c r="G567">
        <f>セットアップレポート!F567</f>
        <v>0</v>
      </c>
      <c r="H567">
        <f>セットアップレポート!G567</f>
        <v>0</v>
      </c>
      <c r="I567">
        <f>セットアップレポート!H567</f>
        <v>0</v>
      </c>
      <c r="J567">
        <f>セットアップレポート!I567</f>
        <v>0</v>
      </c>
      <c r="K567">
        <f>セットアップレポート!J567</f>
        <v>0</v>
      </c>
      <c r="L567">
        <f>セットアップレポート!K567</f>
        <v>0</v>
      </c>
      <c r="M567">
        <f>セットアップレポート!L567</f>
        <v>0</v>
      </c>
      <c r="N567">
        <f>セットアップレポート!M567</f>
        <v>0</v>
      </c>
      <c r="O567">
        <f>セットアップレポート!N567</f>
        <v>0</v>
      </c>
      <c r="P567">
        <f>セットアップレポート!O567</f>
        <v>0</v>
      </c>
      <c r="Q567">
        <f>セットアップレポート!P567</f>
        <v>0</v>
      </c>
      <c r="R567">
        <f>セットアップレポート!Q567</f>
        <v>0</v>
      </c>
      <c r="S567">
        <f>セットアップレポート!R567</f>
        <v>0</v>
      </c>
      <c r="T567">
        <f>セットアップレポート!S567</f>
        <v>0</v>
      </c>
      <c r="U567">
        <f>セットアップレポート!T567</f>
        <v>0</v>
      </c>
      <c r="V567">
        <f>セットアップレポート!U567</f>
        <v>0</v>
      </c>
      <c r="W567">
        <f>セットアップレポート!V567</f>
        <v>0</v>
      </c>
      <c r="X567">
        <f>セットアップレポート!W567</f>
        <v>0</v>
      </c>
      <c r="Y567">
        <f>セットアップレポート!X567</f>
        <v>0</v>
      </c>
      <c r="Z567">
        <f>セットアップレポート!Y567</f>
        <v>0</v>
      </c>
      <c r="AA567">
        <f>セットアップレポート!Z567</f>
        <v>0</v>
      </c>
      <c r="AB567">
        <f>セットアップレポート!AA567</f>
        <v>0</v>
      </c>
      <c r="AC567">
        <f>セットアップレポート!AB567</f>
        <v>0</v>
      </c>
      <c r="AD567">
        <f>セットアップレポート!AC567</f>
        <v>0</v>
      </c>
      <c r="AE567">
        <f>セットアップレポート!AD567</f>
        <v>0</v>
      </c>
      <c r="AF567">
        <f>セットアップレポート!AE567</f>
        <v>0</v>
      </c>
      <c r="AG567">
        <f>セットアップレポート!AF567</f>
        <v>0</v>
      </c>
      <c r="AH567">
        <f>セットアップレポート!AG567</f>
        <v>0</v>
      </c>
    </row>
    <row r="568" spans="1:34" x14ac:dyDescent="0.45">
      <c r="A568" t="str">
        <f t="shared" si="8"/>
        <v>000</v>
      </c>
      <c r="B568">
        <f>セットアップレポート!A568</f>
        <v>0</v>
      </c>
      <c r="C568">
        <f>セットアップレポート!B568</f>
        <v>0</v>
      </c>
      <c r="D568">
        <f>セットアップレポート!C568</f>
        <v>0</v>
      </c>
      <c r="E568">
        <f>セットアップレポート!D568</f>
        <v>0</v>
      </c>
      <c r="F568">
        <f>セットアップレポート!E568</f>
        <v>0</v>
      </c>
      <c r="G568">
        <f>セットアップレポート!F568</f>
        <v>0</v>
      </c>
      <c r="H568">
        <f>セットアップレポート!G568</f>
        <v>0</v>
      </c>
      <c r="I568">
        <f>セットアップレポート!H568</f>
        <v>0</v>
      </c>
      <c r="J568">
        <f>セットアップレポート!I568</f>
        <v>0</v>
      </c>
      <c r="K568">
        <f>セットアップレポート!J568</f>
        <v>0</v>
      </c>
      <c r="L568">
        <f>セットアップレポート!K568</f>
        <v>0</v>
      </c>
      <c r="M568">
        <f>セットアップレポート!L568</f>
        <v>0</v>
      </c>
      <c r="N568">
        <f>セットアップレポート!M568</f>
        <v>0</v>
      </c>
      <c r="O568">
        <f>セットアップレポート!N568</f>
        <v>0</v>
      </c>
      <c r="P568">
        <f>セットアップレポート!O568</f>
        <v>0</v>
      </c>
      <c r="Q568">
        <f>セットアップレポート!P568</f>
        <v>0</v>
      </c>
      <c r="R568">
        <f>セットアップレポート!Q568</f>
        <v>0</v>
      </c>
      <c r="S568">
        <f>セットアップレポート!R568</f>
        <v>0</v>
      </c>
      <c r="T568">
        <f>セットアップレポート!S568</f>
        <v>0</v>
      </c>
      <c r="U568">
        <f>セットアップレポート!T568</f>
        <v>0</v>
      </c>
      <c r="V568">
        <f>セットアップレポート!U568</f>
        <v>0</v>
      </c>
      <c r="W568">
        <f>セットアップレポート!V568</f>
        <v>0</v>
      </c>
      <c r="X568">
        <f>セットアップレポート!W568</f>
        <v>0</v>
      </c>
      <c r="Y568">
        <f>セットアップレポート!X568</f>
        <v>0</v>
      </c>
      <c r="Z568">
        <f>セットアップレポート!Y568</f>
        <v>0</v>
      </c>
      <c r="AA568">
        <f>セットアップレポート!Z568</f>
        <v>0</v>
      </c>
      <c r="AB568">
        <f>セットアップレポート!AA568</f>
        <v>0</v>
      </c>
      <c r="AC568">
        <f>セットアップレポート!AB568</f>
        <v>0</v>
      </c>
      <c r="AD568">
        <f>セットアップレポート!AC568</f>
        <v>0</v>
      </c>
      <c r="AE568">
        <f>セットアップレポート!AD568</f>
        <v>0</v>
      </c>
      <c r="AF568">
        <f>セットアップレポート!AE568</f>
        <v>0</v>
      </c>
      <c r="AG568">
        <f>セットアップレポート!AF568</f>
        <v>0</v>
      </c>
      <c r="AH568">
        <f>セットアップレポート!AG568</f>
        <v>0</v>
      </c>
    </row>
    <row r="569" spans="1:34" x14ac:dyDescent="0.45">
      <c r="A569" t="str">
        <f t="shared" si="8"/>
        <v>000</v>
      </c>
      <c r="B569">
        <f>セットアップレポート!A569</f>
        <v>0</v>
      </c>
      <c r="C569">
        <f>セットアップレポート!B569</f>
        <v>0</v>
      </c>
      <c r="D569">
        <f>セットアップレポート!C569</f>
        <v>0</v>
      </c>
      <c r="E569">
        <f>セットアップレポート!D569</f>
        <v>0</v>
      </c>
      <c r="F569">
        <f>セットアップレポート!E569</f>
        <v>0</v>
      </c>
      <c r="G569">
        <f>セットアップレポート!F569</f>
        <v>0</v>
      </c>
      <c r="H569">
        <f>セットアップレポート!G569</f>
        <v>0</v>
      </c>
      <c r="I569">
        <f>セットアップレポート!H569</f>
        <v>0</v>
      </c>
      <c r="J569">
        <f>セットアップレポート!I569</f>
        <v>0</v>
      </c>
      <c r="K569">
        <f>セットアップレポート!J569</f>
        <v>0</v>
      </c>
      <c r="L569">
        <f>セットアップレポート!K569</f>
        <v>0</v>
      </c>
      <c r="M569">
        <f>セットアップレポート!L569</f>
        <v>0</v>
      </c>
      <c r="N569">
        <f>セットアップレポート!M569</f>
        <v>0</v>
      </c>
      <c r="O569">
        <f>セットアップレポート!N569</f>
        <v>0</v>
      </c>
      <c r="P569">
        <f>セットアップレポート!O569</f>
        <v>0</v>
      </c>
      <c r="Q569">
        <f>セットアップレポート!P569</f>
        <v>0</v>
      </c>
      <c r="R569">
        <f>セットアップレポート!Q569</f>
        <v>0</v>
      </c>
      <c r="S569">
        <f>セットアップレポート!R569</f>
        <v>0</v>
      </c>
      <c r="T569">
        <f>セットアップレポート!S569</f>
        <v>0</v>
      </c>
      <c r="U569">
        <f>セットアップレポート!T569</f>
        <v>0</v>
      </c>
      <c r="V569">
        <f>セットアップレポート!U569</f>
        <v>0</v>
      </c>
      <c r="W569">
        <f>セットアップレポート!V569</f>
        <v>0</v>
      </c>
      <c r="X569">
        <f>セットアップレポート!W569</f>
        <v>0</v>
      </c>
      <c r="Y569">
        <f>セットアップレポート!X569</f>
        <v>0</v>
      </c>
      <c r="Z569">
        <f>セットアップレポート!Y569</f>
        <v>0</v>
      </c>
      <c r="AA569">
        <f>セットアップレポート!Z569</f>
        <v>0</v>
      </c>
      <c r="AB569">
        <f>セットアップレポート!AA569</f>
        <v>0</v>
      </c>
      <c r="AC569">
        <f>セットアップレポート!AB569</f>
        <v>0</v>
      </c>
      <c r="AD569">
        <f>セットアップレポート!AC569</f>
        <v>0</v>
      </c>
      <c r="AE569">
        <f>セットアップレポート!AD569</f>
        <v>0</v>
      </c>
      <c r="AF569">
        <f>セットアップレポート!AE569</f>
        <v>0</v>
      </c>
      <c r="AG569">
        <f>セットアップレポート!AF569</f>
        <v>0</v>
      </c>
      <c r="AH569">
        <f>セットアップレポート!AG569</f>
        <v>0</v>
      </c>
    </row>
    <row r="570" spans="1:34" x14ac:dyDescent="0.45">
      <c r="A570" t="str">
        <f t="shared" si="8"/>
        <v>000</v>
      </c>
      <c r="B570">
        <f>セットアップレポート!A570</f>
        <v>0</v>
      </c>
      <c r="C570">
        <f>セットアップレポート!B570</f>
        <v>0</v>
      </c>
      <c r="D570">
        <f>セットアップレポート!C570</f>
        <v>0</v>
      </c>
      <c r="E570">
        <f>セットアップレポート!D570</f>
        <v>0</v>
      </c>
      <c r="F570">
        <f>セットアップレポート!E570</f>
        <v>0</v>
      </c>
      <c r="G570">
        <f>セットアップレポート!F570</f>
        <v>0</v>
      </c>
      <c r="H570">
        <f>セットアップレポート!G570</f>
        <v>0</v>
      </c>
      <c r="I570">
        <f>セットアップレポート!H570</f>
        <v>0</v>
      </c>
      <c r="J570">
        <f>セットアップレポート!I570</f>
        <v>0</v>
      </c>
      <c r="K570">
        <f>セットアップレポート!J570</f>
        <v>0</v>
      </c>
      <c r="L570">
        <f>セットアップレポート!K570</f>
        <v>0</v>
      </c>
      <c r="M570">
        <f>セットアップレポート!L570</f>
        <v>0</v>
      </c>
      <c r="N570">
        <f>セットアップレポート!M570</f>
        <v>0</v>
      </c>
      <c r="O570">
        <f>セットアップレポート!N570</f>
        <v>0</v>
      </c>
      <c r="P570">
        <f>セットアップレポート!O570</f>
        <v>0</v>
      </c>
      <c r="Q570">
        <f>セットアップレポート!P570</f>
        <v>0</v>
      </c>
      <c r="R570">
        <f>セットアップレポート!Q570</f>
        <v>0</v>
      </c>
      <c r="S570">
        <f>セットアップレポート!R570</f>
        <v>0</v>
      </c>
      <c r="T570">
        <f>セットアップレポート!S570</f>
        <v>0</v>
      </c>
      <c r="U570">
        <f>セットアップレポート!T570</f>
        <v>0</v>
      </c>
      <c r="V570">
        <f>セットアップレポート!U570</f>
        <v>0</v>
      </c>
      <c r="W570">
        <f>セットアップレポート!V570</f>
        <v>0</v>
      </c>
      <c r="X570">
        <f>セットアップレポート!W570</f>
        <v>0</v>
      </c>
      <c r="Y570">
        <f>セットアップレポート!X570</f>
        <v>0</v>
      </c>
      <c r="Z570">
        <f>セットアップレポート!Y570</f>
        <v>0</v>
      </c>
      <c r="AA570">
        <f>セットアップレポート!Z570</f>
        <v>0</v>
      </c>
      <c r="AB570">
        <f>セットアップレポート!AA570</f>
        <v>0</v>
      </c>
      <c r="AC570">
        <f>セットアップレポート!AB570</f>
        <v>0</v>
      </c>
      <c r="AD570">
        <f>セットアップレポート!AC570</f>
        <v>0</v>
      </c>
      <c r="AE570">
        <f>セットアップレポート!AD570</f>
        <v>0</v>
      </c>
      <c r="AF570">
        <f>セットアップレポート!AE570</f>
        <v>0</v>
      </c>
      <c r="AG570">
        <f>セットアップレポート!AF570</f>
        <v>0</v>
      </c>
      <c r="AH570">
        <f>セットアップレポート!AG570</f>
        <v>0</v>
      </c>
    </row>
    <row r="571" spans="1:34" x14ac:dyDescent="0.45">
      <c r="A571" t="str">
        <f t="shared" si="8"/>
        <v>000</v>
      </c>
      <c r="B571">
        <f>セットアップレポート!A571</f>
        <v>0</v>
      </c>
      <c r="C571">
        <f>セットアップレポート!B571</f>
        <v>0</v>
      </c>
      <c r="D571">
        <f>セットアップレポート!C571</f>
        <v>0</v>
      </c>
      <c r="E571">
        <f>セットアップレポート!D571</f>
        <v>0</v>
      </c>
      <c r="F571">
        <f>セットアップレポート!E571</f>
        <v>0</v>
      </c>
      <c r="G571">
        <f>セットアップレポート!F571</f>
        <v>0</v>
      </c>
      <c r="H571">
        <f>セットアップレポート!G571</f>
        <v>0</v>
      </c>
      <c r="I571">
        <f>セットアップレポート!H571</f>
        <v>0</v>
      </c>
      <c r="J571">
        <f>セットアップレポート!I571</f>
        <v>0</v>
      </c>
      <c r="K571">
        <f>セットアップレポート!J571</f>
        <v>0</v>
      </c>
      <c r="L571">
        <f>セットアップレポート!K571</f>
        <v>0</v>
      </c>
      <c r="M571">
        <f>セットアップレポート!L571</f>
        <v>0</v>
      </c>
      <c r="N571">
        <f>セットアップレポート!M571</f>
        <v>0</v>
      </c>
      <c r="O571">
        <f>セットアップレポート!N571</f>
        <v>0</v>
      </c>
      <c r="P571">
        <f>セットアップレポート!O571</f>
        <v>0</v>
      </c>
      <c r="Q571">
        <f>セットアップレポート!P571</f>
        <v>0</v>
      </c>
      <c r="R571">
        <f>セットアップレポート!Q571</f>
        <v>0</v>
      </c>
      <c r="S571">
        <f>セットアップレポート!R571</f>
        <v>0</v>
      </c>
      <c r="T571">
        <f>セットアップレポート!S571</f>
        <v>0</v>
      </c>
      <c r="U571">
        <f>セットアップレポート!T571</f>
        <v>0</v>
      </c>
      <c r="V571">
        <f>セットアップレポート!U571</f>
        <v>0</v>
      </c>
      <c r="W571">
        <f>セットアップレポート!V571</f>
        <v>0</v>
      </c>
      <c r="X571">
        <f>セットアップレポート!W571</f>
        <v>0</v>
      </c>
      <c r="Y571">
        <f>セットアップレポート!X571</f>
        <v>0</v>
      </c>
      <c r="Z571">
        <f>セットアップレポート!Y571</f>
        <v>0</v>
      </c>
      <c r="AA571">
        <f>セットアップレポート!Z571</f>
        <v>0</v>
      </c>
      <c r="AB571">
        <f>セットアップレポート!AA571</f>
        <v>0</v>
      </c>
      <c r="AC571">
        <f>セットアップレポート!AB571</f>
        <v>0</v>
      </c>
      <c r="AD571">
        <f>セットアップレポート!AC571</f>
        <v>0</v>
      </c>
      <c r="AE571">
        <f>セットアップレポート!AD571</f>
        <v>0</v>
      </c>
      <c r="AF571">
        <f>セットアップレポート!AE571</f>
        <v>0</v>
      </c>
      <c r="AG571">
        <f>セットアップレポート!AF571</f>
        <v>0</v>
      </c>
      <c r="AH571">
        <f>セットアップレポート!AG571</f>
        <v>0</v>
      </c>
    </row>
    <row r="572" spans="1:34" x14ac:dyDescent="0.45">
      <c r="A572" t="str">
        <f t="shared" si="8"/>
        <v>000</v>
      </c>
      <c r="B572">
        <f>セットアップレポート!A572</f>
        <v>0</v>
      </c>
      <c r="C572">
        <f>セットアップレポート!B572</f>
        <v>0</v>
      </c>
      <c r="D572">
        <f>セットアップレポート!C572</f>
        <v>0</v>
      </c>
      <c r="E572">
        <f>セットアップレポート!D572</f>
        <v>0</v>
      </c>
      <c r="F572">
        <f>セットアップレポート!E572</f>
        <v>0</v>
      </c>
      <c r="G572">
        <f>セットアップレポート!F572</f>
        <v>0</v>
      </c>
      <c r="H572">
        <f>セットアップレポート!G572</f>
        <v>0</v>
      </c>
      <c r="I572">
        <f>セットアップレポート!H572</f>
        <v>0</v>
      </c>
      <c r="J572">
        <f>セットアップレポート!I572</f>
        <v>0</v>
      </c>
      <c r="K572">
        <f>セットアップレポート!J572</f>
        <v>0</v>
      </c>
      <c r="L572">
        <f>セットアップレポート!K572</f>
        <v>0</v>
      </c>
      <c r="M572">
        <f>セットアップレポート!L572</f>
        <v>0</v>
      </c>
      <c r="N572">
        <f>セットアップレポート!M572</f>
        <v>0</v>
      </c>
      <c r="O572">
        <f>セットアップレポート!N572</f>
        <v>0</v>
      </c>
      <c r="P572">
        <f>セットアップレポート!O572</f>
        <v>0</v>
      </c>
      <c r="Q572">
        <f>セットアップレポート!P572</f>
        <v>0</v>
      </c>
      <c r="R572">
        <f>セットアップレポート!Q572</f>
        <v>0</v>
      </c>
      <c r="S572">
        <f>セットアップレポート!R572</f>
        <v>0</v>
      </c>
      <c r="T572">
        <f>セットアップレポート!S572</f>
        <v>0</v>
      </c>
      <c r="U572">
        <f>セットアップレポート!T572</f>
        <v>0</v>
      </c>
      <c r="V572">
        <f>セットアップレポート!U572</f>
        <v>0</v>
      </c>
      <c r="W572">
        <f>セットアップレポート!V572</f>
        <v>0</v>
      </c>
      <c r="X572">
        <f>セットアップレポート!W572</f>
        <v>0</v>
      </c>
      <c r="Y572">
        <f>セットアップレポート!X572</f>
        <v>0</v>
      </c>
      <c r="Z572">
        <f>セットアップレポート!Y572</f>
        <v>0</v>
      </c>
      <c r="AA572">
        <f>セットアップレポート!Z572</f>
        <v>0</v>
      </c>
      <c r="AB572">
        <f>セットアップレポート!AA572</f>
        <v>0</v>
      </c>
      <c r="AC572">
        <f>セットアップレポート!AB572</f>
        <v>0</v>
      </c>
      <c r="AD572">
        <f>セットアップレポート!AC572</f>
        <v>0</v>
      </c>
      <c r="AE572">
        <f>セットアップレポート!AD572</f>
        <v>0</v>
      </c>
      <c r="AF572">
        <f>セットアップレポート!AE572</f>
        <v>0</v>
      </c>
      <c r="AG572">
        <f>セットアップレポート!AF572</f>
        <v>0</v>
      </c>
      <c r="AH572">
        <f>セットアップレポート!AG572</f>
        <v>0</v>
      </c>
    </row>
    <row r="573" spans="1:34" x14ac:dyDescent="0.45">
      <c r="A573" t="str">
        <f t="shared" si="8"/>
        <v>000</v>
      </c>
      <c r="B573">
        <f>セットアップレポート!A573</f>
        <v>0</v>
      </c>
      <c r="C573">
        <f>セットアップレポート!B573</f>
        <v>0</v>
      </c>
      <c r="D573">
        <f>セットアップレポート!C573</f>
        <v>0</v>
      </c>
      <c r="E573">
        <f>セットアップレポート!D573</f>
        <v>0</v>
      </c>
      <c r="F573">
        <f>セットアップレポート!E573</f>
        <v>0</v>
      </c>
      <c r="G573">
        <f>セットアップレポート!F573</f>
        <v>0</v>
      </c>
      <c r="H573">
        <f>セットアップレポート!G573</f>
        <v>0</v>
      </c>
      <c r="I573">
        <f>セットアップレポート!H573</f>
        <v>0</v>
      </c>
      <c r="J573">
        <f>セットアップレポート!I573</f>
        <v>0</v>
      </c>
      <c r="K573">
        <f>セットアップレポート!J573</f>
        <v>0</v>
      </c>
      <c r="L573">
        <f>セットアップレポート!K573</f>
        <v>0</v>
      </c>
      <c r="M573">
        <f>セットアップレポート!L573</f>
        <v>0</v>
      </c>
      <c r="N573">
        <f>セットアップレポート!M573</f>
        <v>0</v>
      </c>
      <c r="O573">
        <f>セットアップレポート!N573</f>
        <v>0</v>
      </c>
      <c r="P573">
        <f>セットアップレポート!O573</f>
        <v>0</v>
      </c>
      <c r="Q573">
        <f>セットアップレポート!P573</f>
        <v>0</v>
      </c>
      <c r="R573">
        <f>セットアップレポート!Q573</f>
        <v>0</v>
      </c>
      <c r="S573">
        <f>セットアップレポート!R573</f>
        <v>0</v>
      </c>
      <c r="T573">
        <f>セットアップレポート!S573</f>
        <v>0</v>
      </c>
      <c r="U573">
        <f>セットアップレポート!T573</f>
        <v>0</v>
      </c>
      <c r="V573">
        <f>セットアップレポート!U573</f>
        <v>0</v>
      </c>
      <c r="W573">
        <f>セットアップレポート!V573</f>
        <v>0</v>
      </c>
      <c r="X573">
        <f>セットアップレポート!W573</f>
        <v>0</v>
      </c>
      <c r="Y573">
        <f>セットアップレポート!X573</f>
        <v>0</v>
      </c>
      <c r="Z573">
        <f>セットアップレポート!Y573</f>
        <v>0</v>
      </c>
      <c r="AA573">
        <f>セットアップレポート!Z573</f>
        <v>0</v>
      </c>
      <c r="AB573">
        <f>セットアップレポート!AA573</f>
        <v>0</v>
      </c>
      <c r="AC573">
        <f>セットアップレポート!AB573</f>
        <v>0</v>
      </c>
      <c r="AD573">
        <f>セットアップレポート!AC573</f>
        <v>0</v>
      </c>
      <c r="AE573">
        <f>セットアップレポート!AD573</f>
        <v>0</v>
      </c>
      <c r="AF573">
        <f>セットアップレポート!AE573</f>
        <v>0</v>
      </c>
      <c r="AG573">
        <f>セットアップレポート!AF573</f>
        <v>0</v>
      </c>
      <c r="AH573">
        <f>セットアップレポート!AG573</f>
        <v>0</v>
      </c>
    </row>
    <row r="574" spans="1:34" x14ac:dyDescent="0.45">
      <c r="A574" t="str">
        <f t="shared" si="8"/>
        <v>000</v>
      </c>
      <c r="B574">
        <f>セットアップレポート!A574</f>
        <v>0</v>
      </c>
      <c r="C574">
        <f>セットアップレポート!B574</f>
        <v>0</v>
      </c>
      <c r="D574">
        <f>セットアップレポート!C574</f>
        <v>0</v>
      </c>
      <c r="E574">
        <f>セットアップレポート!D574</f>
        <v>0</v>
      </c>
      <c r="F574">
        <f>セットアップレポート!E574</f>
        <v>0</v>
      </c>
      <c r="G574">
        <f>セットアップレポート!F574</f>
        <v>0</v>
      </c>
      <c r="H574">
        <f>セットアップレポート!G574</f>
        <v>0</v>
      </c>
      <c r="I574">
        <f>セットアップレポート!H574</f>
        <v>0</v>
      </c>
      <c r="J574">
        <f>セットアップレポート!I574</f>
        <v>0</v>
      </c>
      <c r="K574">
        <f>セットアップレポート!J574</f>
        <v>0</v>
      </c>
      <c r="L574">
        <f>セットアップレポート!K574</f>
        <v>0</v>
      </c>
      <c r="M574">
        <f>セットアップレポート!L574</f>
        <v>0</v>
      </c>
      <c r="N574">
        <f>セットアップレポート!M574</f>
        <v>0</v>
      </c>
      <c r="O574">
        <f>セットアップレポート!N574</f>
        <v>0</v>
      </c>
      <c r="P574">
        <f>セットアップレポート!O574</f>
        <v>0</v>
      </c>
      <c r="Q574">
        <f>セットアップレポート!P574</f>
        <v>0</v>
      </c>
      <c r="R574">
        <f>セットアップレポート!Q574</f>
        <v>0</v>
      </c>
      <c r="S574">
        <f>セットアップレポート!R574</f>
        <v>0</v>
      </c>
      <c r="T574">
        <f>セットアップレポート!S574</f>
        <v>0</v>
      </c>
      <c r="U574">
        <f>セットアップレポート!T574</f>
        <v>0</v>
      </c>
      <c r="V574">
        <f>セットアップレポート!U574</f>
        <v>0</v>
      </c>
      <c r="W574">
        <f>セットアップレポート!V574</f>
        <v>0</v>
      </c>
      <c r="X574">
        <f>セットアップレポート!W574</f>
        <v>0</v>
      </c>
      <c r="Y574">
        <f>セットアップレポート!X574</f>
        <v>0</v>
      </c>
      <c r="Z574">
        <f>セットアップレポート!Y574</f>
        <v>0</v>
      </c>
      <c r="AA574">
        <f>セットアップレポート!Z574</f>
        <v>0</v>
      </c>
      <c r="AB574">
        <f>セットアップレポート!AA574</f>
        <v>0</v>
      </c>
      <c r="AC574">
        <f>セットアップレポート!AB574</f>
        <v>0</v>
      </c>
      <c r="AD574">
        <f>セットアップレポート!AC574</f>
        <v>0</v>
      </c>
      <c r="AE574">
        <f>セットアップレポート!AD574</f>
        <v>0</v>
      </c>
      <c r="AF574">
        <f>セットアップレポート!AE574</f>
        <v>0</v>
      </c>
      <c r="AG574">
        <f>セットアップレポート!AF574</f>
        <v>0</v>
      </c>
      <c r="AH574">
        <f>セットアップレポート!AG574</f>
        <v>0</v>
      </c>
    </row>
    <row r="575" spans="1:34" x14ac:dyDescent="0.45">
      <c r="A575" t="str">
        <f t="shared" si="8"/>
        <v>000</v>
      </c>
      <c r="B575">
        <f>セットアップレポート!A575</f>
        <v>0</v>
      </c>
      <c r="C575">
        <f>セットアップレポート!B575</f>
        <v>0</v>
      </c>
      <c r="D575">
        <f>セットアップレポート!C575</f>
        <v>0</v>
      </c>
      <c r="E575">
        <f>セットアップレポート!D575</f>
        <v>0</v>
      </c>
      <c r="F575">
        <f>セットアップレポート!E575</f>
        <v>0</v>
      </c>
      <c r="G575">
        <f>セットアップレポート!F575</f>
        <v>0</v>
      </c>
      <c r="H575">
        <f>セットアップレポート!G575</f>
        <v>0</v>
      </c>
      <c r="I575">
        <f>セットアップレポート!H575</f>
        <v>0</v>
      </c>
      <c r="J575">
        <f>セットアップレポート!I575</f>
        <v>0</v>
      </c>
      <c r="K575">
        <f>セットアップレポート!J575</f>
        <v>0</v>
      </c>
      <c r="L575">
        <f>セットアップレポート!K575</f>
        <v>0</v>
      </c>
      <c r="M575">
        <f>セットアップレポート!L575</f>
        <v>0</v>
      </c>
      <c r="N575">
        <f>セットアップレポート!M575</f>
        <v>0</v>
      </c>
      <c r="O575">
        <f>セットアップレポート!N575</f>
        <v>0</v>
      </c>
      <c r="P575">
        <f>セットアップレポート!O575</f>
        <v>0</v>
      </c>
      <c r="Q575">
        <f>セットアップレポート!P575</f>
        <v>0</v>
      </c>
      <c r="R575">
        <f>セットアップレポート!Q575</f>
        <v>0</v>
      </c>
      <c r="S575">
        <f>セットアップレポート!R575</f>
        <v>0</v>
      </c>
      <c r="T575">
        <f>セットアップレポート!S575</f>
        <v>0</v>
      </c>
      <c r="U575">
        <f>セットアップレポート!T575</f>
        <v>0</v>
      </c>
      <c r="V575">
        <f>セットアップレポート!U575</f>
        <v>0</v>
      </c>
      <c r="W575">
        <f>セットアップレポート!V575</f>
        <v>0</v>
      </c>
      <c r="X575">
        <f>セットアップレポート!W575</f>
        <v>0</v>
      </c>
      <c r="Y575">
        <f>セットアップレポート!X575</f>
        <v>0</v>
      </c>
      <c r="Z575">
        <f>セットアップレポート!Y575</f>
        <v>0</v>
      </c>
      <c r="AA575">
        <f>セットアップレポート!Z575</f>
        <v>0</v>
      </c>
      <c r="AB575">
        <f>セットアップレポート!AA575</f>
        <v>0</v>
      </c>
      <c r="AC575">
        <f>セットアップレポート!AB575</f>
        <v>0</v>
      </c>
      <c r="AD575">
        <f>セットアップレポート!AC575</f>
        <v>0</v>
      </c>
      <c r="AE575">
        <f>セットアップレポート!AD575</f>
        <v>0</v>
      </c>
      <c r="AF575">
        <f>セットアップレポート!AE575</f>
        <v>0</v>
      </c>
      <c r="AG575">
        <f>セットアップレポート!AF575</f>
        <v>0</v>
      </c>
      <c r="AH575">
        <f>セットアップレポート!AG575</f>
        <v>0</v>
      </c>
    </row>
    <row r="576" spans="1:34" x14ac:dyDescent="0.45">
      <c r="A576" t="str">
        <f t="shared" si="8"/>
        <v>000</v>
      </c>
      <c r="B576">
        <f>セットアップレポート!A576</f>
        <v>0</v>
      </c>
      <c r="C576">
        <f>セットアップレポート!B576</f>
        <v>0</v>
      </c>
      <c r="D576">
        <f>セットアップレポート!C576</f>
        <v>0</v>
      </c>
      <c r="E576">
        <f>セットアップレポート!D576</f>
        <v>0</v>
      </c>
      <c r="F576">
        <f>セットアップレポート!E576</f>
        <v>0</v>
      </c>
      <c r="G576">
        <f>セットアップレポート!F576</f>
        <v>0</v>
      </c>
      <c r="H576">
        <f>セットアップレポート!G576</f>
        <v>0</v>
      </c>
      <c r="I576">
        <f>セットアップレポート!H576</f>
        <v>0</v>
      </c>
      <c r="J576">
        <f>セットアップレポート!I576</f>
        <v>0</v>
      </c>
      <c r="K576">
        <f>セットアップレポート!J576</f>
        <v>0</v>
      </c>
      <c r="L576">
        <f>セットアップレポート!K576</f>
        <v>0</v>
      </c>
      <c r="M576">
        <f>セットアップレポート!L576</f>
        <v>0</v>
      </c>
      <c r="N576">
        <f>セットアップレポート!M576</f>
        <v>0</v>
      </c>
      <c r="O576">
        <f>セットアップレポート!N576</f>
        <v>0</v>
      </c>
      <c r="P576">
        <f>セットアップレポート!O576</f>
        <v>0</v>
      </c>
      <c r="Q576">
        <f>セットアップレポート!P576</f>
        <v>0</v>
      </c>
      <c r="R576">
        <f>セットアップレポート!Q576</f>
        <v>0</v>
      </c>
      <c r="S576">
        <f>セットアップレポート!R576</f>
        <v>0</v>
      </c>
      <c r="T576">
        <f>セットアップレポート!S576</f>
        <v>0</v>
      </c>
      <c r="U576">
        <f>セットアップレポート!T576</f>
        <v>0</v>
      </c>
      <c r="V576">
        <f>セットアップレポート!U576</f>
        <v>0</v>
      </c>
      <c r="W576">
        <f>セットアップレポート!V576</f>
        <v>0</v>
      </c>
      <c r="X576">
        <f>セットアップレポート!W576</f>
        <v>0</v>
      </c>
      <c r="Y576">
        <f>セットアップレポート!X576</f>
        <v>0</v>
      </c>
      <c r="Z576">
        <f>セットアップレポート!Y576</f>
        <v>0</v>
      </c>
      <c r="AA576">
        <f>セットアップレポート!Z576</f>
        <v>0</v>
      </c>
      <c r="AB576">
        <f>セットアップレポート!AA576</f>
        <v>0</v>
      </c>
      <c r="AC576">
        <f>セットアップレポート!AB576</f>
        <v>0</v>
      </c>
      <c r="AD576">
        <f>セットアップレポート!AC576</f>
        <v>0</v>
      </c>
      <c r="AE576">
        <f>セットアップレポート!AD576</f>
        <v>0</v>
      </c>
      <c r="AF576">
        <f>セットアップレポート!AE576</f>
        <v>0</v>
      </c>
      <c r="AG576">
        <f>セットアップレポート!AF576</f>
        <v>0</v>
      </c>
      <c r="AH576">
        <f>セットアップレポート!AG576</f>
        <v>0</v>
      </c>
    </row>
    <row r="577" spans="1:34" x14ac:dyDescent="0.45">
      <c r="A577" t="str">
        <f t="shared" si="8"/>
        <v>000</v>
      </c>
      <c r="B577">
        <f>セットアップレポート!A577</f>
        <v>0</v>
      </c>
      <c r="C577">
        <f>セットアップレポート!B577</f>
        <v>0</v>
      </c>
      <c r="D577">
        <f>セットアップレポート!C577</f>
        <v>0</v>
      </c>
      <c r="E577">
        <f>セットアップレポート!D577</f>
        <v>0</v>
      </c>
      <c r="F577">
        <f>セットアップレポート!E577</f>
        <v>0</v>
      </c>
      <c r="G577">
        <f>セットアップレポート!F577</f>
        <v>0</v>
      </c>
      <c r="H577">
        <f>セットアップレポート!G577</f>
        <v>0</v>
      </c>
      <c r="I577">
        <f>セットアップレポート!H577</f>
        <v>0</v>
      </c>
      <c r="J577">
        <f>セットアップレポート!I577</f>
        <v>0</v>
      </c>
      <c r="K577">
        <f>セットアップレポート!J577</f>
        <v>0</v>
      </c>
      <c r="L577">
        <f>セットアップレポート!K577</f>
        <v>0</v>
      </c>
      <c r="M577">
        <f>セットアップレポート!L577</f>
        <v>0</v>
      </c>
      <c r="N577">
        <f>セットアップレポート!M577</f>
        <v>0</v>
      </c>
      <c r="O577">
        <f>セットアップレポート!N577</f>
        <v>0</v>
      </c>
      <c r="P577">
        <f>セットアップレポート!O577</f>
        <v>0</v>
      </c>
      <c r="Q577">
        <f>セットアップレポート!P577</f>
        <v>0</v>
      </c>
      <c r="R577">
        <f>セットアップレポート!Q577</f>
        <v>0</v>
      </c>
      <c r="S577">
        <f>セットアップレポート!R577</f>
        <v>0</v>
      </c>
      <c r="T577">
        <f>セットアップレポート!S577</f>
        <v>0</v>
      </c>
      <c r="U577">
        <f>セットアップレポート!T577</f>
        <v>0</v>
      </c>
      <c r="V577">
        <f>セットアップレポート!U577</f>
        <v>0</v>
      </c>
      <c r="W577">
        <f>セットアップレポート!V577</f>
        <v>0</v>
      </c>
      <c r="X577">
        <f>セットアップレポート!W577</f>
        <v>0</v>
      </c>
      <c r="Y577">
        <f>セットアップレポート!X577</f>
        <v>0</v>
      </c>
      <c r="Z577">
        <f>セットアップレポート!Y577</f>
        <v>0</v>
      </c>
      <c r="AA577">
        <f>セットアップレポート!Z577</f>
        <v>0</v>
      </c>
      <c r="AB577">
        <f>セットアップレポート!AA577</f>
        <v>0</v>
      </c>
      <c r="AC577">
        <f>セットアップレポート!AB577</f>
        <v>0</v>
      </c>
      <c r="AD577">
        <f>セットアップレポート!AC577</f>
        <v>0</v>
      </c>
      <c r="AE577">
        <f>セットアップレポート!AD577</f>
        <v>0</v>
      </c>
      <c r="AF577">
        <f>セットアップレポート!AE577</f>
        <v>0</v>
      </c>
      <c r="AG577">
        <f>セットアップレポート!AF577</f>
        <v>0</v>
      </c>
      <c r="AH577">
        <f>セットアップレポート!AG577</f>
        <v>0</v>
      </c>
    </row>
    <row r="578" spans="1:34" x14ac:dyDescent="0.45">
      <c r="A578" t="str">
        <f t="shared" si="8"/>
        <v>000</v>
      </c>
      <c r="B578">
        <f>セットアップレポート!A578</f>
        <v>0</v>
      </c>
      <c r="C578">
        <f>セットアップレポート!B578</f>
        <v>0</v>
      </c>
      <c r="D578">
        <f>セットアップレポート!C578</f>
        <v>0</v>
      </c>
      <c r="E578">
        <f>セットアップレポート!D578</f>
        <v>0</v>
      </c>
      <c r="F578">
        <f>セットアップレポート!E578</f>
        <v>0</v>
      </c>
      <c r="G578">
        <f>セットアップレポート!F578</f>
        <v>0</v>
      </c>
      <c r="H578">
        <f>セットアップレポート!G578</f>
        <v>0</v>
      </c>
      <c r="I578">
        <f>セットアップレポート!H578</f>
        <v>0</v>
      </c>
      <c r="J578">
        <f>セットアップレポート!I578</f>
        <v>0</v>
      </c>
      <c r="K578">
        <f>セットアップレポート!J578</f>
        <v>0</v>
      </c>
      <c r="L578">
        <f>セットアップレポート!K578</f>
        <v>0</v>
      </c>
      <c r="M578">
        <f>セットアップレポート!L578</f>
        <v>0</v>
      </c>
      <c r="N578">
        <f>セットアップレポート!M578</f>
        <v>0</v>
      </c>
      <c r="O578">
        <f>セットアップレポート!N578</f>
        <v>0</v>
      </c>
      <c r="P578">
        <f>セットアップレポート!O578</f>
        <v>0</v>
      </c>
      <c r="Q578">
        <f>セットアップレポート!P578</f>
        <v>0</v>
      </c>
      <c r="R578">
        <f>セットアップレポート!Q578</f>
        <v>0</v>
      </c>
      <c r="S578">
        <f>セットアップレポート!R578</f>
        <v>0</v>
      </c>
      <c r="T578">
        <f>セットアップレポート!S578</f>
        <v>0</v>
      </c>
      <c r="U578">
        <f>セットアップレポート!T578</f>
        <v>0</v>
      </c>
      <c r="V578">
        <f>セットアップレポート!U578</f>
        <v>0</v>
      </c>
      <c r="W578">
        <f>セットアップレポート!V578</f>
        <v>0</v>
      </c>
      <c r="X578">
        <f>セットアップレポート!W578</f>
        <v>0</v>
      </c>
      <c r="Y578">
        <f>セットアップレポート!X578</f>
        <v>0</v>
      </c>
      <c r="Z578">
        <f>セットアップレポート!Y578</f>
        <v>0</v>
      </c>
      <c r="AA578">
        <f>セットアップレポート!Z578</f>
        <v>0</v>
      </c>
      <c r="AB578">
        <f>セットアップレポート!AA578</f>
        <v>0</v>
      </c>
      <c r="AC578">
        <f>セットアップレポート!AB578</f>
        <v>0</v>
      </c>
      <c r="AD578">
        <f>セットアップレポート!AC578</f>
        <v>0</v>
      </c>
      <c r="AE578">
        <f>セットアップレポート!AD578</f>
        <v>0</v>
      </c>
      <c r="AF578">
        <f>セットアップレポート!AE578</f>
        <v>0</v>
      </c>
      <c r="AG578">
        <f>セットアップレポート!AF578</f>
        <v>0</v>
      </c>
      <c r="AH578">
        <f>セットアップレポート!AG578</f>
        <v>0</v>
      </c>
    </row>
    <row r="579" spans="1:34" x14ac:dyDescent="0.45">
      <c r="A579" t="str">
        <f t="shared" ref="A579:A642" si="9">C579&amp;RIGHT(G579,5)&amp;K579</f>
        <v>000</v>
      </c>
      <c r="B579">
        <f>セットアップレポート!A579</f>
        <v>0</v>
      </c>
      <c r="C579">
        <f>セットアップレポート!B579</f>
        <v>0</v>
      </c>
      <c r="D579">
        <f>セットアップレポート!C579</f>
        <v>0</v>
      </c>
      <c r="E579">
        <f>セットアップレポート!D579</f>
        <v>0</v>
      </c>
      <c r="F579">
        <f>セットアップレポート!E579</f>
        <v>0</v>
      </c>
      <c r="G579">
        <f>セットアップレポート!F579</f>
        <v>0</v>
      </c>
      <c r="H579">
        <f>セットアップレポート!G579</f>
        <v>0</v>
      </c>
      <c r="I579">
        <f>セットアップレポート!H579</f>
        <v>0</v>
      </c>
      <c r="J579">
        <f>セットアップレポート!I579</f>
        <v>0</v>
      </c>
      <c r="K579">
        <f>セットアップレポート!J579</f>
        <v>0</v>
      </c>
      <c r="L579">
        <f>セットアップレポート!K579</f>
        <v>0</v>
      </c>
      <c r="M579">
        <f>セットアップレポート!L579</f>
        <v>0</v>
      </c>
      <c r="N579">
        <f>セットアップレポート!M579</f>
        <v>0</v>
      </c>
      <c r="O579">
        <f>セットアップレポート!N579</f>
        <v>0</v>
      </c>
      <c r="P579">
        <f>セットアップレポート!O579</f>
        <v>0</v>
      </c>
      <c r="Q579">
        <f>セットアップレポート!P579</f>
        <v>0</v>
      </c>
      <c r="R579">
        <f>セットアップレポート!Q579</f>
        <v>0</v>
      </c>
      <c r="S579">
        <f>セットアップレポート!R579</f>
        <v>0</v>
      </c>
      <c r="T579">
        <f>セットアップレポート!S579</f>
        <v>0</v>
      </c>
      <c r="U579">
        <f>セットアップレポート!T579</f>
        <v>0</v>
      </c>
      <c r="V579">
        <f>セットアップレポート!U579</f>
        <v>0</v>
      </c>
      <c r="W579">
        <f>セットアップレポート!V579</f>
        <v>0</v>
      </c>
      <c r="X579">
        <f>セットアップレポート!W579</f>
        <v>0</v>
      </c>
      <c r="Y579">
        <f>セットアップレポート!X579</f>
        <v>0</v>
      </c>
      <c r="Z579">
        <f>セットアップレポート!Y579</f>
        <v>0</v>
      </c>
      <c r="AA579">
        <f>セットアップレポート!Z579</f>
        <v>0</v>
      </c>
      <c r="AB579">
        <f>セットアップレポート!AA579</f>
        <v>0</v>
      </c>
      <c r="AC579">
        <f>セットアップレポート!AB579</f>
        <v>0</v>
      </c>
      <c r="AD579">
        <f>セットアップレポート!AC579</f>
        <v>0</v>
      </c>
      <c r="AE579">
        <f>セットアップレポート!AD579</f>
        <v>0</v>
      </c>
      <c r="AF579">
        <f>セットアップレポート!AE579</f>
        <v>0</v>
      </c>
      <c r="AG579">
        <f>セットアップレポート!AF579</f>
        <v>0</v>
      </c>
      <c r="AH579">
        <f>セットアップレポート!AG579</f>
        <v>0</v>
      </c>
    </row>
    <row r="580" spans="1:34" x14ac:dyDescent="0.45">
      <c r="A580" t="str">
        <f t="shared" si="9"/>
        <v>000</v>
      </c>
      <c r="B580">
        <f>セットアップレポート!A580</f>
        <v>0</v>
      </c>
      <c r="C580">
        <f>セットアップレポート!B580</f>
        <v>0</v>
      </c>
      <c r="D580">
        <f>セットアップレポート!C580</f>
        <v>0</v>
      </c>
      <c r="E580">
        <f>セットアップレポート!D580</f>
        <v>0</v>
      </c>
      <c r="F580">
        <f>セットアップレポート!E580</f>
        <v>0</v>
      </c>
      <c r="G580">
        <f>セットアップレポート!F580</f>
        <v>0</v>
      </c>
      <c r="H580">
        <f>セットアップレポート!G580</f>
        <v>0</v>
      </c>
      <c r="I580">
        <f>セットアップレポート!H580</f>
        <v>0</v>
      </c>
      <c r="J580">
        <f>セットアップレポート!I580</f>
        <v>0</v>
      </c>
      <c r="K580">
        <f>セットアップレポート!J580</f>
        <v>0</v>
      </c>
      <c r="L580">
        <f>セットアップレポート!K580</f>
        <v>0</v>
      </c>
      <c r="M580">
        <f>セットアップレポート!L580</f>
        <v>0</v>
      </c>
      <c r="N580">
        <f>セットアップレポート!M580</f>
        <v>0</v>
      </c>
      <c r="O580">
        <f>セットアップレポート!N580</f>
        <v>0</v>
      </c>
      <c r="P580">
        <f>セットアップレポート!O580</f>
        <v>0</v>
      </c>
      <c r="Q580">
        <f>セットアップレポート!P580</f>
        <v>0</v>
      </c>
      <c r="R580">
        <f>セットアップレポート!Q580</f>
        <v>0</v>
      </c>
      <c r="S580">
        <f>セットアップレポート!R580</f>
        <v>0</v>
      </c>
      <c r="T580">
        <f>セットアップレポート!S580</f>
        <v>0</v>
      </c>
      <c r="U580">
        <f>セットアップレポート!T580</f>
        <v>0</v>
      </c>
      <c r="V580">
        <f>セットアップレポート!U580</f>
        <v>0</v>
      </c>
      <c r="W580">
        <f>セットアップレポート!V580</f>
        <v>0</v>
      </c>
      <c r="X580">
        <f>セットアップレポート!W580</f>
        <v>0</v>
      </c>
      <c r="Y580">
        <f>セットアップレポート!X580</f>
        <v>0</v>
      </c>
      <c r="Z580">
        <f>セットアップレポート!Y580</f>
        <v>0</v>
      </c>
      <c r="AA580">
        <f>セットアップレポート!Z580</f>
        <v>0</v>
      </c>
      <c r="AB580">
        <f>セットアップレポート!AA580</f>
        <v>0</v>
      </c>
      <c r="AC580">
        <f>セットアップレポート!AB580</f>
        <v>0</v>
      </c>
      <c r="AD580">
        <f>セットアップレポート!AC580</f>
        <v>0</v>
      </c>
      <c r="AE580">
        <f>セットアップレポート!AD580</f>
        <v>0</v>
      </c>
      <c r="AF580">
        <f>セットアップレポート!AE580</f>
        <v>0</v>
      </c>
      <c r="AG580">
        <f>セットアップレポート!AF580</f>
        <v>0</v>
      </c>
      <c r="AH580">
        <f>セットアップレポート!AG580</f>
        <v>0</v>
      </c>
    </row>
    <row r="581" spans="1:34" x14ac:dyDescent="0.45">
      <c r="A581" t="str">
        <f t="shared" si="9"/>
        <v>000</v>
      </c>
      <c r="B581">
        <f>セットアップレポート!A581</f>
        <v>0</v>
      </c>
      <c r="C581">
        <f>セットアップレポート!B581</f>
        <v>0</v>
      </c>
      <c r="D581">
        <f>セットアップレポート!C581</f>
        <v>0</v>
      </c>
      <c r="E581">
        <f>セットアップレポート!D581</f>
        <v>0</v>
      </c>
      <c r="F581">
        <f>セットアップレポート!E581</f>
        <v>0</v>
      </c>
      <c r="G581">
        <f>セットアップレポート!F581</f>
        <v>0</v>
      </c>
      <c r="H581">
        <f>セットアップレポート!G581</f>
        <v>0</v>
      </c>
      <c r="I581">
        <f>セットアップレポート!H581</f>
        <v>0</v>
      </c>
      <c r="J581">
        <f>セットアップレポート!I581</f>
        <v>0</v>
      </c>
      <c r="K581">
        <f>セットアップレポート!J581</f>
        <v>0</v>
      </c>
      <c r="L581">
        <f>セットアップレポート!K581</f>
        <v>0</v>
      </c>
      <c r="M581">
        <f>セットアップレポート!L581</f>
        <v>0</v>
      </c>
      <c r="N581">
        <f>セットアップレポート!M581</f>
        <v>0</v>
      </c>
      <c r="O581">
        <f>セットアップレポート!N581</f>
        <v>0</v>
      </c>
      <c r="P581">
        <f>セットアップレポート!O581</f>
        <v>0</v>
      </c>
      <c r="Q581">
        <f>セットアップレポート!P581</f>
        <v>0</v>
      </c>
      <c r="R581">
        <f>セットアップレポート!Q581</f>
        <v>0</v>
      </c>
      <c r="S581">
        <f>セットアップレポート!R581</f>
        <v>0</v>
      </c>
      <c r="T581">
        <f>セットアップレポート!S581</f>
        <v>0</v>
      </c>
      <c r="U581">
        <f>セットアップレポート!T581</f>
        <v>0</v>
      </c>
      <c r="V581">
        <f>セットアップレポート!U581</f>
        <v>0</v>
      </c>
      <c r="W581">
        <f>セットアップレポート!V581</f>
        <v>0</v>
      </c>
      <c r="X581">
        <f>セットアップレポート!W581</f>
        <v>0</v>
      </c>
      <c r="Y581">
        <f>セットアップレポート!X581</f>
        <v>0</v>
      </c>
      <c r="Z581">
        <f>セットアップレポート!Y581</f>
        <v>0</v>
      </c>
      <c r="AA581">
        <f>セットアップレポート!Z581</f>
        <v>0</v>
      </c>
      <c r="AB581">
        <f>セットアップレポート!AA581</f>
        <v>0</v>
      </c>
      <c r="AC581">
        <f>セットアップレポート!AB581</f>
        <v>0</v>
      </c>
      <c r="AD581">
        <f>セットアップレポート!AC581</f>
        <v>0</v>
      </c>
      <c r="AE581">
        <f>セットアップレポート!AD581</f>
        <v>0</v>
      </c>
      <c r="AF581">
        <f>セットアップレポート!AE581</f>
        <v>0</v>
      </c>
      <c r="AG581">
        <f>セットアップレポート!AF581</f>
        <v>0</v>
      </c>
      <c r="AH581">
        <f>セットアップレポート!AG581</f>
        <v>0</v>
      </c>
    </row>
    <row r="582" spans="1:34" x14ac:dyDescent="0.45">
      <c r="A582" t="str">
        <f t="shared" si="9"/>
        <v>000</v>
      </c>
      <c r="B582">
        <f>セットアップレポート!A582</f>
        <v>0</v>
      </c>
      <c r="C582">
        <f>セットアップレポート!B582</f>
        <v>0</v>
      </c>
      <c r="D582">
        <f>セットアップレポート!C582</f>
        <v>0</v>
      </c>
      <c r="E582">
        <f>セットアップレポート!D582</f>
        <v>0</v>
      </c>
      <c r="F582">
        <f>セットアップレポート!E582</f>
        <v>0</v>
      </c>
      <c r="G582">
        <f>セットアップレポート!F582</f>
        <v>0</v>
      </c>
      <c r="H582">
        <f>セットアップレポート!G582</f>
        <v>0</v>
      </c>
      <c r="I582">
        <f>セットアップレポート!H582</f>
        <v>0</v>
      </c>
      <c r="J582">
        <f>セットアップレポート!I582</f>
        <v>0</v>
      </c>
      <c r="K582">
        <f>セットアップレポート!J582</f>
        <v>0</v>
      </c>
      <c r="L582">
        <f>セットアップレポート!K582</f>
        <v>0</v>
      </c>
      <c r="M582">
        <f>セットアップレポート!L582</f>
        <v>0</v>
      </c>
      <c r="N582">
        <f>セットアップレポート!M582</f>
        <v>0</v>
      </c>
      <c r="O582">
        <f>セットアップレポート!N582</f>
        <v>0</v>
      </c>
      <c r="P582">
        <f>セットアップレポート!O582</f>
        <v>0</v>
      </c>
      <c r="Q582">
        <f>セットアップレポート!P582</f>
        <v>0</v>
      </c>
      <c r="R582">
        <f>セットアップレポート!Q582</f>
        <v>0</v>
      </c>
      <c r="S582">
        <f>セットアップレポート!R582</f>
        <v>0</v>
      </c>
      <c r="T582">
        <f>セットアップレポート!S582</f>
        <v>0</v>
      </c>
      <c r="U582">
        <f>セットアップレポート!T582</f>
        <v>0</v>
      </c>
      <c r="V582">
        <f>セットアップレポート!U582</f>
        <v>0</v>
      </c>
      <c r="W582">
        <f>セットアップレポート!V582</f>
        <v>0</v>
      </c>
      <c r="X582">
        <f>セットアップレポート!W582</f>
        <v>0</v>
      </c>
      <c r="Y582">
        <f>セットアップレポート!X582</f>
        <v>0</v>
      </c>
      <c r="Z582">
        <f>セットアップレポート!Y582</f>
        <v>0</v>
      </c>
      <c r="AA582">
        <f>セットアップレポート!Z582</f>
        <v>0</v>
      </c>
      <c r="AB582">
        <f>セットアップレポート!AA582</f>
        <v>0</v>
      </c>
      <c r="AC582">
        <f>セットアップレポート!AB582</f>
        <v>0</v>
      </c>
      <c r="AD582">
        <f>セットアップレポート!AC582</f>
        <v>0</v>
      </c>
      <c r="AE582">
        <f>セットアップレポート!AD582</f>
        <v>0</v>
      </c>
      <c r="AF582">
        <f>セットアップレポート!AE582</f>
        <v>0</v>
      </c>
      <c r="AG582">
        <f>セットアップレポート!AF582</f>
        <v>0</v>
      </c>
      <c r="AH582">
        <f>セットアップレポート!AG582</f>
        <v>0</v>
      </c>
    </row>
    <row r="583" spans="1:34" x14ac:dyDescent="0.45">
      <c r="A583" t="str">
        <f t="shared" si="9"/>
        <v>000</v>
      </c>
      <c r="B583">
        <f>セットアップレポート!A583</f>
        <v>0</v>
      </c>
      <c r="C583">
        <f>セットアップレポート!B583</f>
        <v>0</v>
      </c>
      <c r="D583">
        <f>セットアップレポート!C583</f>
        <v>0</v>
      </c>
      <c r="E583">
        <f>セットアップレポート!D583</f>
        <v>0</v>
      </c>
      <c r="F583">
        <f>セットアップレポート!E583</f>
        <v>0</v>
      </c>
      <c r="G583">
        <f>セットアップレポート!F583</f>
        <v>0</v>
      </c>
      <c r="H583">
        <f>セットアップレポート!G583</f>
        <v>0</v>
      </c>
      <c r="I583">
        <f>セットアップレポート!H583</f>
        <v>0</v>
      </c>
      <c r="J583">
        <f>セットアップレポート!I583</f>
        <v>0</v>
      </c>
      <c r="K583">
        <f>セットアップレポート!J583</f>
        <v>0</v>
      </c>
      <c r="L583">
        <f>セットアップレポート!K583</f>
        <v>0</v>
      </c>
      <c r="M583">
        <f>セットアップレポート!L583</f>
        <v>0</v>
      </c>
      <c r="N583">
        <f>セットアップレポート!M583</f>
        <v>0</v>
      </c>
      <c r="O583">
        <f>セットアップレポート!N583</f>
        <v>0</v>
      </c>
      <c r="P583">
        <f>セットアップレポート!O583</f>
        <v>0</v>
      </c>
      <c r="Q583">
        <f>セットアップレポート!P583</f>
        <v>0</v>
      </c>
      <c r="R583">
        <f>セットアップレポート!Q583</f>
        <v>0</v>
      </c>
      <c r="S583">
        <f>セットアップレポート!R583</f>
        <v>0</v>
      </c>
      <c r="T583">
        <f>セットアップレポート!S583</f>
        <v>0</v>
      </c>
      <c r="U583">
        <f>セットアップレポート!T583</f>
        <v>0</v>
      </c>
      <c r="V583">
        <f>セットアップレポート!U583</f>
        <v>0</v>
      </c>
      <c r="W583">
        <f>セットアップレポート!V583</f>
        <v>0</v>
      </c>
      <c r="X583">
        <f>セットアップレポート!W583</f>
        <v>0</v>
      </c>
      <c r="Y583">
        <f>セットアップレポート!X583</f>
        <v>0</v>
      </c>
      <c r="Z583">
        <f>セットアップレポート!Y583</f>
        <v>0</v>
      </c>
      <c r="AA583">
        <f>セットアップレポート!Z583</f>
        <v>0</v>
      </c>
      <c r="AB583">
        <f>セットアップレポート!AA583</f>
        <v>0</v>
      </c>
      <c r="AC583">
        <f>セットアップレポート!AB583</f>
        <v>0</v>
      </c>
      <c r="AD583">
        <f>セットアップレポート!AC583</f>
        <v>0</v>
      </c>
      <c r="AE583">
        <f>セットアップレポート!AD583</f>
        <v>0</v>
      </c>
      <c r="AF583">
        <f>セットアップレポート!AE583</f>
        <v>0</v>
      </c>
      <c r="AG583">
        <f>セットアップレポート!AF583</f>
        <v>0</v>
      </c>
      <c r="AH583">
        <f>セットアップレポート!AG583</f>
        <v>0</v>
      </c>
    </row>
    <row r="584" spans="1:34" x14ac:dyDescent="0.45">
      <c r="A584" t="str">
        <f t="shared" si="9"/>
        <v>000</v>
      </c>
      <c r="B584">
        <f>セットアップレポート!A584</f>
        <v>0</v>
      </c>
      <c r="C584">
        <f>セットアップレポート!B584</f>
        <v>0</v>
      </c>
      <c r="D584">
        <f>セットアップレポート!C584</f>
        <v>0</v>
      </c>
      <c r="E584">
        <f>セットアップレポート!D584</f>
        <v>0</v>
      </c>
      <c r="F584">
        <f>セットアップレポート!E584</f>
        <v>0</v>
      </c>
      <c r="G584">
        <f>セットアップレポート!F584</f>
        <v>0</v>
      </c>
      <c r="H584">
        <f>セットアップレポート!G584</f>
        <v>0</v>
      </c>
      <c r="I584">
        <f>セットアップレポート!H584</f>
        <v>0</v>
      </c>
      <c r="J584">
        <f>セットアップレポート!I584</f>
        <v>0</v>
      </c>
      <c r="K584">
        <f>セットアップレポート!J584</f>
        <v>0</v>
      </c>
      <c r="L584">
        <f>セットアップレポート!K584</f>
        <v>0</v>
      </c>
      <c r="M584">
        <f>セットアップレポート!L584</f>
        <v>0</v>
      </c>
      <c r="N584">
        <f>セットアップレポート!M584</f>
        <v>0</v>
      </c>
      <c r="O584">
        <f>セットアップレポート!N584</f>
        <v>0</v>
      </c>
      <c r="P584">
        <f>セットアップレポート!O584</f>
        <v>0</v>
      </c>
      <c r="Q584">
        <f>セットアップレポート!P584</f>
        <v>0</v>
      </c>
      <c r="R584">
        <f>セットアップレポート!Q584</f>
        <v>0</v>
      </c>
      <c r="S584">
        <f>セットアップレポート!R584</f>
        <v>0</v>
      </c>
      <c r="T584">
        <f>セットアップレポート!S584</f>
        <v>0</v>
      </c>
      <c r="U584">
        <f>セットアップレポート!T584</f>
        <v>0</v>
      </c>
      <c r="V584">
        <f>セットアップレポート!U584</f>
        <v>0</v>
      </c>
      <c r="W584">
        <f>セットアップレポート!V584</f>
        <v>0</v>
      </c>
      <c r="X584">
        <f>セットアップレポート!W584</f>
        <v>0</v>
      </c>
      <c r="Y584">
        <f>セットアップレポート!X584</f>
        <v>0</v>
      </c>
      <c r="Z584">
        <f>セットアップレポート!Y584</f>
        <v>0</v>
      </c>
      <c r="AA584">
        <f>セットアップレポート!Z584</f>
        <v>0</v>
      </c>
      <c r="AB584">
        <f>セットアップレポート!AA584</f>
        <v>0</v>
      </c>
      <c r="AC584">
        <f>セットアップレポート!AB584</f>
        <v>0</v>
      </c>
      <c r="AD584">
        <f>セットアップレポート!AC584</f>
        <v>0</v>
      </c>
      <c r="AE584">
        <f>セットアップレポート!AD584</f>
        <v>0</v>
      </c>
      <c r="AF584">
        <f>セットアップレポート!AE584</f>
        <v>0</v>
      </c>
      <c r="AG584">
        <f>セットアップレポート!AF584</f>
        <v>0</v>
      </c>
      <c r="AH584">
        <f>セットアップレポート!AG584</f>
        <v>0</v>
      </c>
    </row>
    <row r="585" spans="1:34" x14ac:dyDescent="0.45">
      <c r="A585" t="str">
        <f t="shared" si="9"/>
        <v>000</v>
      </c>
      <c r="B585">
        <f>セットアップレポート!A585</f>
        <v>0</v>
      </c>
      <c r="C585">
        <f>セットアップレポート!B585</f>
        <v>0</v>
      </c>
      <c r="D585">
        <f>セットアップレポート!C585</f>
        <v>0</v>
      </c>
      <c r="E585">
        <f>セットアップレポート!D585</f>
        <v>0</v>
      </c>
      <c r="F585">
        <f>セットアップレポート!E585</f>
        <v>0</v>
      </c>
      <c r="G585">
        <f>セットアップレポート!F585</f>
        <v>0</v>
      </c>
      <c r="H585">
        <f>セットアップレポート!G585</f>
        <v>0</v>
      </c>
      <c r="I585">
        <f>セットアップレポート!H585</f>
        <v>0</v>
      </c>
      <c r="J585">
        <f>セットアップレポート!I585</f>
        <v>0</v>
      </c>
      <c r="K585">
        <f>セットアップレポート!J585</f>
        <v>0</v>
      </c>
      <c r="L585">
        <f>セットアップレポート!K585</f>
        <v>0</v>
      </c>
      <c r="M585">
        <f>セットアップレポート!L585</f>
        <v>0</v>
      </c>
      <c r="N585">
        <f>セットアップレポート!M585</f>
        <v>0</v>
      </c>
      <c r="O585">
        <f>セットアップレポート!N585</f>
        <v>0</v>
      </c>
      <c r="P585">
        <f>セットアップレポート!O585</f>
        <v>0</v>
      </c>
      <c r="Q585">
        <f>セットアップレポート!P585</f>
        <v>0</v>
      </c>
      <c r="R585">
        <f>セットアップレポート!Q585</f>
        <v>0</v>
      </c>
      <c r="S585">
        <f>セットアップレポート!R585</f>
        <v>0</v>
      </c>
      <c r="T585">
        <f>セットアップレポート!S585</f>
        <v>0</v>
      </c>
      <c r="U585">
        <f>セットアップレポート!T585</f>
        <v>0</v>
      </c>
      <c r="V585">
        <f>セットアップレポート!U585</f>
        <v>0</v>
      </c>
      <c r="W585">
        <f>セットアップレポート!V585</f>
        <v>0</v>
      </c>
      <c r="X585">
        <f>セットアップレポート!W585</f>
        <v>0</v>
      </c>
      <c r="Y585">
        <f>セットアップレポート!X585</f>
        <v>0</v>
      </c>
      <c r="Z585">
        <f>セットアップレポート!Y585</f>
        <v>0</v>
      </c>
      <c r="AA585">
        <f>セットアップレポート!Z585</f>
        <v>0</v>
      </c>
      <c r="AB585">
        <f>セットアップレポート!AA585</f>
        <v>0</v>
      </c>
      <c r="AC585">
        <f>セットアップレポート!AB585</f>
        <v>0</v>
      </c>
      <c r="AD585">
        <f>セットアップレポート!AC585</f>
        <v>0</v>
      </c>
      <c r="AE585">
        <f>セットアップレポート!AD585</f>
        <v>0</v>
      </c>
      <c r="AF585">
        <f>セットアップレポート!AE585</f>
        <v>0</v>
      </c>
      <c r="AG585">
        <f>セットアップレポート!AF585</f>
        <v>0</v>
      </c>
      <c r="AH585">
        <f>セットアップレポート!AG585</f>
        <v>0</v>
      </c>
    </row>
    <row r="586" spans="1:34" x14ac:dyDescent="0.45">
      <c r="A586" t="str">
        <f t="shared" si="9"/>
        <v>000</v>
      </c>
      <c r="B586">
        <f>セットアップレポート!A586</f>
        <v>0</v>
      </c>
      <c r="C586">
        <f>セットアップレポート!B586</f>
        <v>0</v>
      </c>
      <c r="D586">
        <f>セットアップレポート!C586</f>
        <v>0</v>
      </c>
      <c r="E586">
        <f>セットアップレポート!D586</f>
        <v>0</v>
      </c>
      <c r="F586">
        <f>セットアップレポート!E586</f>
        <v>0</v>
      </c>
      <c r="G586">
        <f>セットアップレポート!F586</f>
        <v>0</v>
      </c>
      <c r="H586">
        <f>セットアップレポート!G586</f>
        <v>0</v>
      </c>
      <c r="I586">
        <f>セットアップレポート!H586</f>
        <v>0</v>
      </c>
      <c r="J586">
        <f>セットアップレポート!I586</f>
        <v>0</v>
      </c>
      <c r="K586">
        <f>セットアップレポート!J586</f>
        <v>0</v>
      </c>
      <c r="L586">
        <f>セットアップレポート!K586</f>
        <v>0</v>
      </c>
      <c r="M586">
        <f>セットアップレポート!L586</f>
        <v>0</v>
      </c>
      <c r="N586">
        <f>セットアップレポート!M586</f>
        <v>0</v>
      </c>
      <c r="O586">
        <f>セットアップレポート!N586</f>
        <v>0</v>
      </c>
      <c r="P586">
        <f>セットアップレポート!O586</f>
        <v>0</v>
      </c>
      <c r="Q586">
        <f>セットアップレポート!P586</f>
        <v>0</v>
      </c>
      <c r="R586">
        <f>セットアップレポート!Q586</f>
        <v>0</v>
      </c>
      <c r="S586">
        <f>セットアップレポート!R586</f>
        <v>0</v>
      </c>
      <c r="T586">
        <f>セットアップレポート!S586</f>
        <v>0</v>
      </c>
      <c r="U586">
        <f>セットアップレポート!T586</f>
        <v>0</v>
      </c>
      <c r="V586">
        <f>セットアップレポート!U586</f>
        <v>0</v>
      </c>
      <c r="W586">
        <f>セットアップレポート!V586</f>
        <v>0</v>
      </c>
      <c r="X586">
        <f>セットアップレポート!W586</f>
        <v>0</v>
      </c>
      <c r="Y586">
        <f>セットアップレポート!X586</f>
        <v>0</v>
      </c>
      <c r="Z586">
        <f>セットアップレポート!Y586</f>
        <v>0</v>
      </c>
      <c r="AA586">
        <f>セットアップレポート!Z586</f>
        <v>0</v>
      </c>
      <c r="AB586">
        <f>セットアップレポート!AA586</f>
        <v>0</v>
      </c>
      <c r="AC586">
        <f>セットアップレポート!AB586</f>
        <v>0</v>
      </c>
      <c r="AD586">
        <f>セットアップレポート!AC586</f>
        <v>0</v>
      </c>
      <c r="AE586">
        <f>セットアップレポート!AD586</f>
        <v>0</v>
      </c>
      <c r="AF586">
        <f>セットアップレポート!AE586</f>
        <v>0</v>
      </c>
      <c r="AG586">
        <f>セットアップレポート!AF586</f>
        <v>0</v>
      </c>
      <c r="AH586">
        <f>セットアップレポート!AG586</f>
        <v>0</v>
      </c>
    </row>
    <row r="587" spans="1:34" x14ac:dyDescent="0.45">
      <c r="A587" t="str">
        <f t="shared" si="9"/>
        <v>000</v>
      </c>
      <c r="B587">
        <f>セットアップレポート!A587</f>
        <v>0</v>
      </c>
      <c r="C587">
        <f>セットアップレポート!B587</f>
        <v>0</v>
      </c>
      <c r="D587">
        <f>セットアップレポート!C587</f>
        <v>0</v>
      </c>
      <c r="E587">
        <f>セットアップレポート!D587</f>
        <v>0</v>
      </c>
      <c r="F587">
        <f>セットアップレポート!E587</f>
        <v>0</v>
      </c>
      <c r="G587">
        <f>セットアップレポート!F587</f>
        <v>0</v>
      </c>
      <c r="H587">
        <f>セットアップレポート!G587</f>
        <v>0</v>
      </c>
      <c r="I587">
        <f>セットアップレポート!H587</f>
        <v>0</v>
      </c>
      <c r="J587">
        <f>セットアップレポート!I587</f>
        <v>0</v>
      </c>
      <c r="K587">
        <f>セットアップレポート!J587</f>
        <v>0</v>
      </c>
      <c r="L587">
        <f>セットアップレポート!K587</f>
        <v>0</v>
      </c>
      <c r="M587">
        <f>セットアップレポート!L587</f>
        <v>0</v>
      </c>
      <c r="N587">
        <f>セットアップレポート!M587</f>
        <v>0</v>
      </c>
      <c r="O587">
        <f>セットアップレポート!N587</f>
        <v>0</v>
      </c>
      <c r="P587">
        <f>セットアップレポート!O587</f>
        <v>0</v>
      </c>
      <c r="Q587">
        <f>セットアップレポート!P587</f>
        <v>0</v>
      </c>
      <c r="R587">
        <f>セットアップレポート!Q587</f>
        <v>0</v>
      </c>
      <c r="S587">
        <f>セットアップレポート!R587</f>
        <v>0</v>
      </c>
      <c r="T587">
        <f>セットアップレポート!S587</f>
        <v>0</v>
      </c>
      <c r="U587">
        <f>セットアップレポート!T587</f>
        <v>0</v>
      </c>
      <c r="V587">
        <f>セットアップレポート!U587</f>
        <v>0</v>
      </c>
      <c r="W587">
        <f>セットアップレポート!V587</f>
        <v>0</v>
      </c>
      <c r="X587">
        <f>セットアップレポート!W587</f>
        <v>0</v>
      </c>
      <c r="Y587">
        <f>セットアップレポート!X587</f>
        <v>0</v>
      </c>
      <c r="Z587">
        <f>セットアップレポート!Y587</f>
        <v>0</v>
      </c>
      <c r="AA587">
        <f>セットアップレポート!Z587</f>
        <v>0</v>
      </c>
      <c r="AB587">
        <f>セットアップレポート!AA587</f>
        <v>0</v>
      </c>
      <c r="AC587">
        <f>セットアップレポート!AB587</f>
        <v>0</v>
      </c>
      <c r="AD587">
        <f>セットアップレポート!AC587</f>
        <v>0</v>
      </c>
      <c r="AE587">
        <f>セットアップレポート!AD587</f>
        <v>0</v>
      </c>
      <c r="AF587">
        <f>セットアップレポート!AE587</f>
        <v>0</v>
      </c>
      <c r="AG587">
        <f>セットアップレポート!AF587</f>
        <v>0</v>
      </c>
      <c r="AH587">
        <f>セットアップレポート!AG587</f>
        <v>0</v>
      </c>
    </row>
    <row r="588" spans="1:34" x14ac:dyDescent="0.45">
      <c r="A588" t="str">
        <f t="shared" si="9"/>
        <v>000</v>
      </c>
      <c r="B588">
        <f>セットアップレポート!A588</f>
        <v>0</v>
      </c>
      <c r="C588">
        <f>セットアップレポート!B588</f>
        <v>0</v>
      </c>
      <c r="D588">
        <f>セットアップレポート!C588</f>
        <v>0</v>
      </c>
      <c r="E588">
        <f>セットアップレポート!D588</f>
        <v>0</v>
      </c>
      <c r="F588">
        <f>セットアップレポート!E588</f>
        <v>0</v>
      </c>
      <c r="G588">
        <f>セットアップレポート!F588</f>
        <v>0</v>
      </c>
      <c r="H588">
        <f>セットアップレポート!G588</f>
        <v>0</v>
      </c>
      <c r="I588">
        <f>セットアップレポート!H588</f>
        <v>0</v>
      </c>
      <c r="J588">
        <f>セットアップレポート!I588</f>
        <v>0</v>
      </c>
      <c r="K588">
        <f>セットアップレポート!J588</f>
        <v>0</v>
      </c>
      <c r="L588">
        <f>セットアップレポート!K588</f>
        <v>0</v>
      </c>
      <c r="M588">
        <f>セットアップレポート!L588</f>
        <v>0</v>
      </c>
      <c r="N588">
        <f>セットアップレポート!M588</f>
        <v>0</v>
      </c>
      <c r="O588">
        <f>セットアップレポート!N588</f>
        <v>0</v>
      </c>
      <c r="P588">
        <f>セットアップレポート!O588</f>
        <v>0</v>
      </c>
      <c r="Q588">
        <f>セットアップレポート!P588</f>
        <v>0</v>
      </c>
      <c r="R588">
        <f>セットアップレポート!Q588</f>
        <v>0</v>
      </c>
      <c r="S588">
        <f>セットアップレポート!R588</f>
        <v>0</v>
      </c>
      <c r="T588">
        <f>セットアップレポート!S588</f>
        <v>0</v>
      </c>
      <c r="U588">
        <f>セットアップレポート!T588</f>
        <v>0</v>
      </c>
      <c r="V588">
        <f>セットアップレポート!U588</f>
        <v>0</v>
      </c>
      <c r="W588">
        <f>セットアップレポート!V588</f>
        <v>0</v>
      </c>
      <c r="X588">
        <f>セットアップレポート!W588</f>
        <v>0</v>
      </c>
      <c r="Y588">
        <f>セットアップレポート!X588</f>
        <v>0</v>
      </c>
      <c r="Z588">
        <f>セットアップレポート!Y588</f>
        <v>0</v>
      </c>
      <c r="AA588">
        <f>セットアップレポート!Z588</f>
        <v>0</v>
      </c>
      <c r="AB588">
        <f>セットアップレポート!AA588</f>
        <v>0</v>
      </c>
      <c r="AC588">
        <f>セットアップレポート!AB588</f>
        <v>0</v>
      </c>
      <c r="AD588">
        <f>セットアップレポート!AC588</f>
        <v>0</v>
      </c>
      <c r="AE588">
        <f>セットアップレポート!AD588</f>
        <v>0</v>
      </c>
      <c r="AF588">
        <f>セットアップレポート!AE588</f>
        <v>0</v>
      </c>
      <c r="AG588">
        <f>セットアップレポート!AF588</f>
        <v>0</v>
      </c>
      <c r="AH588">
        <f>セットアップレポート!AG588</f>
        <v>0</v>
      </c>
    </row>
    <row r="589" spans="1:34" x14ac:dyDescent="0.45">
      <c r="A589" t="str">
        <f t="shared" si="9"/>
        <v>000</v>
      </c>
      <c r="B589">
        <f>セットアップレポート!A589</f>
        <v>0</v>
      </c>
      <c r="C589">
        <f>セットアップレポート!B589</f>
        <v>0</v>
      </c>
      <c r="D589">
        <f>セットアップレポート!C589</f>
        <v>0</v>
      </c>
      <c r="E589">
        <f>セットアップレポート!D589</f>
        <v>0</v>
      </c>
      <c r="F589">
        <f>セットアップレポート!E589</f>
        <v>0</v>
      </c>
      <c r="G589">
        <f>セットアップレポート!F589</f>
        <v>0</v>
      </c>
      <c r="H589">
        <f>セットアップレポート!G589</f>
        <v>0</v>
      </c>
      <c r="I589">
        <f>セットアップレポート!H589</f>
        <v>0</v>
      </c>
      <c r="J589">
        <f>セットアップレポート!I589</f>
        <v>0</v>
      </c>
      <c r="K589">
        <f>セットアップレポート!J589</f>
        <v>0</v>
      </c>
      <c r="L589">
        <f>セットアップレポート!K589</f>
        <v>0</v>
      </c>
      <c r="M589">
        <f>セットアップレポート!L589</f>
        <v>0</v>
      </c>
      <c r="N589">
        <f>セットアップレポート!M589</f>
        <v>0</v>
      </c>
      <c r="O589">
        <f>セットアップレポート!N589</f>
        <v>0</v>
      </c>
      <c r="P589">
        <f>セットアップレポート!O589</f>
        <v>0</v>
      </c>
      <c r="Q589">
        <f>セットアップレポート!P589</f>
        <v>0</v>
      </c>
      <c r="R589">
        <f>セットアップレポート!Q589</f>
        <v>0</v>
      </c>
      <c r="S589">
        <f>セットアップレポート!R589</f>
        <v>0</v>
      </c>
      <c r="T589">
        <f>セットアップレポート!S589</f>
        <v>0</v>
      </c>
      <c r="U589">
        <f>セットアップレポート!T589</f>
        <v>0</v>
      </c>
      <c r="V589">
        <f>セットアップレポート!U589</f>
        <v>0</v>
      </c>
      <c r="W589">
        <f>セットアップレポート!V589</f>
        <v>0</v>
      </c>
      <c r="X589">
        <f>セットアップレポート!W589</f>
        <v>0</v>
      </c>
      <c r="Y589">
        <f>セットアップレポート!X589</f>
        <v>0</v>
      </c>
      <c r="Z589">
        <f>セットアップレポート!Y589</f>
        <v>0</v>
      </c>
      <c r="AA589">
        <f>セットアップレポート!Z589</f>
        <v>0</v>
      </c>
      <c r="AB589">
        <f>セットアップレポート!AA589</f>
        <v>0</v>
      </c>
      <c r="AC589">
        <f>セットアップレポート!AB589</f>
        <v>0</v>
      </c>
      <c r="AD589">
        <f>セットアップレポート!AC589</f>
        <v>0</v>
      </c>
      <c r="AE589">
        <f>セットアップレポート!AD589</f>
        <v>0</v>
      </c>
      <c r="AF589">
        <f>セットアップレポート!AE589</f>
        <v>0</v>
      </c>
      <c r="AG589">
        <f>セットアップレポート!AF589</f>
        <v>0</v>
      </c>
      <c r="AH589">
        <f>セットアップレポート!AG589</f>
        <v>0</v>
      </c>
    </row>
    <row r="590" spans="1:34" x14ac:dyDescent="0.45">
      <c r="A590" t="str">
        <f t="shared" si="9"/>
        <v>000</v>
      </c>
      <c r="B590">
        <f>セットアップレポート!A590</f>
        <v>0</v>
      </c>
      <c r="C590">
        <f>セットアップレポート!B590</f>
        <v>0</v>
      </c>
      <c r="D590">
        <f>セットアップレポート!C590</f>
        <v>0</v>
      </c>
      <c r="E590">
        <f>セットアップレポート!D590</f>
        <v>0</v>
      </c>
      <c r="F590">
        <f>セットアップレポート!E590</f>
        <v>0</v>
      </c>
      <c r="G590">
        <f>セットアップレポート!F590</f>
        <v>0</v>
      </c>
      <c r="H590">
        <f>セットアップレポート!G590</f>
        <v>0</v>
      </c>
      <c r="I590">
        <f>セットアップレポート!H590</f>
        <v>0</v>
      </c>
      <c r="J590">
        <f>セットアップレポート!I590</f>
        <v>0</v>
      </c>
      <c r="K590">
        <f>セットアップレポート!J590</f>
        <v>0</v>
      </c>
      <c r="L590">
        <f>セットアップレポート!K590</f>
        <v>0</v>
      </c>
      <c r="M590">
        <f>セットアップレポート!L590</f>
        <v>0</v>
      </c>
      <c r="N590">
        <f>セットアップレポート!M590</f>
        <v>0</v>
      </c>
      <c r="O590">
        <f>セットアップレポート!N590</f>
        <v>0</v>
      </c>
      <c r="P590">
        <f>セットアップレポート!O590</f>
        <v>0</v>
      </c>
      <c r="Q590">
        <f>セットアップレポート!P590</f>
        <v>0</v>
      </c>
      <c r="R590">
        <f>セットアップレポート!Q590</f>
        <v>0</v>
      </c>
      <c r="S590">
        <f>セットアップレポート!R590</f>
        <v>0</v>
      </c>
      <c r="T590">
        <f>セットアップレポート!S590</f>
        <v>0</v>
      </c>
      <c r="U590">
        <f>セットアップレポート!T590</f>
        <v>0</v>
      </c>
      <c r="V590">
        <f>セットアップレポート!U590</f>
        <v>0</v>
      </c>
      <c r="W590">
        <f>セットアップレポート!V590</f>
        <v>0</v>
      </c>
      <c r="X590">
        <f>セットアップレポート!W590</f>
        <v>0</v>
      </c>
      <c r="Y590">
        <f>セットアップレポート!X590</f>
        <v>0</v>
      </c>
      <c r="Z590">
        <f>セットアップレポート!Y590</f>
        <v>0</v>
      </c>
      <c r="AA590">
        <f>セットアップレポート!Z590</f>
        <v>0</v>
      </c>
      <c r="AB590">
        <f>セットアップレポート!AA590</f>
        <v>0</v>
      </c>
      <c r="AC590">
        <f>セットアップレポート!AB590</f>
        <v>0</v>
      </c>
      <c r="AD590">
        <f>セットアップレポート!AC590</f>
        <v>0</v>
      </c>
      <c r="AE590">
        <f>セットアップレポート!AD590</f>
        <v>0</v>
      </c>
      <c r="AF590">
        <f>セットアップレポート!AE590</f>
        <v>0</v>
      </c>
      <c r="AG590">
        <f>セットアップレポート!AF590</f>
        <v>0</v>
      </c>
      <c r="AH590">
        <f>セットアップレポート!AG590</f>
        <v>0</v>
      </c>
    </row>
    <row r="591" spans="1:34" x14ac:dyDescent="0.45">
      <c r="A591" t="str">
        <f t="shared" si="9"/>
        <v>000</v>
      </c>
      <c r="B591">
        <f>セットアップレポート!A591</f>
        <v>0</v>
      </c>
      <c r="C591">
        <f>セットアップレポート!B591</f>
        <v>0</v>
      </c>
      <c r="D591">
        <f>セットアップレポート!C591</f>
        <v>0</v>
      </c>
      <c r="E591">
        <f>セットアップレポート!D591</f>
        <v>0</v>
      </c>
      <c r="F591">
        <f>セットアップレポート!E591</f>
        <v>0</v>
      </c>
      <c r="G591">
        <f>セットアップレポート!F591</f>
        <v>0</v>
      </c>
      <c r="H591">
        <f>セットアップレポート!G591</f>
        <v>0</v>
      </c>
      <c r="I591">
        <f>セットアップレポート!H591</f>
        <v>0</v>
      </c>
      <c r="J591">
        <f>セットアップレポート!I591</f>
        <v>0</v>
      </c>
      <c r="K591">
        <f>セットアップレポート!J591</f>
        <v>0</v>
      </c>
      <c r="L591">
        <f>セットアップレポート!K591</f>
        <v>0</v>
      </c>
      <c r="M591">
        <f>セットアップレポート!L591</f>
        <v>0</v>
      </c>
      <c r="N591">
        <f>セットアップレポート!M591</f>
        <v>0</v>
      </c>
      <c r="O591">
        <f>セットアップレポート!N591</f>
        <v>0</v>
      </c>
      <c r="P591">
        <f>セットアップレポート!O591</f>
        <v>0</v>
      </c>
      <c r="Q591">
        <f>セットアップレポート!P591</f>
        <v>0</v>
      </c>
      <c r="R591">
        <f>セットアップレポート!Q591</f>
        <v>0</v>
      </c>
      <c r="S591">
        <f>セットアップレポート!R591</f>
        <v>0</v>
      </c>
      <c r="T591">
        <f>セットアップレポート!S591</f>
        <v>0</v>
      </c>
      <c r="U591">
        <f>セットアップレポート!T591</f>
        <v>0</v>
      </c>
      <c r="V591">
        <f>セットアップレポート!U591</f>
        <v>0</v>
      </c>
      <c r="W591">
        <f>セットアップレポート!V591</f>
        <v>0</v>
      </c>
      <c r="X591">
        <f>セットアップレポート!W591</f>
        <v>0</v>
      </c>
      <c r="Y591">
        <f>セットアップレポート!X591</f>
        <v>0</v>
      </c>
      <c r="Z591">
        <f>セットアップレポート!Y591</f>
        <v>0</v>
      </c>
      <c r="AA591">
        <f>セットアップレポート!Z591</f>
        <v>0</v>
      </c>
      <c r="AB591">
        <f>セットアップレポート!AA591</f>
        <v>0</v>
      </c>
      <c r="AC591">
        <f>セットアップレポート!AB591</f>
        <v>0</v>
      </c>
      <c r="AD591">
        <f>セットアップレポート!AC591</f>
        <v>0</v>
      </c>
      <c r="AE591">
        <f>セットアップレポート!AD591</f>
        <v>0</v>
      </c>
      <c r="AF591">
        <f>セットアップレポート!AE591</f>
        <v>0</v>
      </c>
      <c r="AG591">
        <f>セットアップレポート!AF591</f>
        <v>0</v>
      </c>
      <c r="AH591">
        <f>セットアップレポート!AG591</f>
        <v>0</v>
      </c>
    </row>
    <row r="592" spans="1:34" x14ac:dyDescent="0.45">
      <c r="A592" t="str">
        <f t="shared" si="9"/>
        <v>000</v>
      </c>
      <c r="B592">
        <f>セットアップレポート!A592</f>
        <v>0</v>
      </c>
      <c r="C592">
        <f>セットアップレポート!B592</f>
        <v>0</v>
      </c>
      <c r="D592">
        <f>セットアップレポート!C592</f>
        <v>0</v>
      </c>
      <c r="E592">
        <f>セットアップレポート!D592</f>
        <v>0</v>
      </c>
      <c r="F592">
        <f>セットアップレポート!E592</f>
        <v>0</v>
      </c>
      <c r="G592">
        <f>セットアップレポート!F592</f>
        <v>0</v>
      </c>
      <c r="H592">
        <f>セットアップレポート!G592</f>
        <v>0</v>
      </c>
      <c r="I592">
        <f>セットアップレポート!H592</f>
        <v>0</v>
      </c>
      <c r="J592">
        <f>セットアップレポート!I592</f>
        <v>0</v>
      </c>
      <c r="K592">
        <f>セットアップレポート!J592</f>
        <v>0</v>
      </c>
      <c r="L592">
        <f>セットアップレポート!K592</f>
        <v>0</v>
      </c>
      <c r="M592">
        <f>セットアップレポート!L592</f>
        <v>0</v>
      </c>
      <c r="N592">
        <f>セットアップレポート!M592</f>
        <v>0</v>
      </c>
      <c r="O592">
        <f>セットアップレポート!N592</f>
        <v>0</v>
      </c>
      <c r="P592">
        <f>セットアップレポート!O592</f>
        <v>0</v>
      </c>
      <c r="Q592">
        <f>セットアップレポート!P592</f>
        <v>0</v>
      </c>
      <c r="R592">
        <f>セットアップレポート!Q592</f>
        <v>0</v>
      </c>
      <c r="S592">
        <f>セットアップレポート!R592</f>
        <v>0</v>
      </c>
      <c r="T592">
        <f>セットアップレポート!S592</f>
        <v>0</v>
      </c>
      <c r="U592">
        <f>セットアップレポート!T592</f>
        <v>0</v>
      </c>
      <c r="V592">
        <f>セットアップレポート!U592</f>
        <v>0</v>
      </c>
      <c r="W592">
        <f>セットアップレポート!V592</f>
        <v>0</v>
      </c>
      <c r="X592">
        <f>セットアップレポート!W592</f>
        <v>0</v>
      </c>
      <c r="Y592">
        <f>セットアップレポート!X592</f>
        <v>0</v>
      </c>
      <c r="Z592">
        <f>セットアップレポート!Y592</f>
        <v>0</v>
      </c>
      <c r="AA592">
        <f>セットアップレポート!Z592</f>
        <v>0</v>
      </c>
      <c r="AB592">
        <f>セットアップレポート!AA592</f>
        <v>0</v>
      </c>
      <c r="AC592">
        <f>セットアップレポート!AB592</f>
        <v>0</v>
      </c>
      <c r="AD592">
        <f>セットアップレポート!AC592</f>
        <v>0</v>
      </c>
      <c r="AE592">
        <f>セットアップレポート!AD592</f>
        <v>0</v>
      </c>
      <c r="AF592">
        <f>セットアップレポート!AE592</f>
        <v>0</v>
      </c>
      <c r="AG592">
        <f>セットアップレポート!AF592</f>
        <v>0</v>
      </c>
      <c r="AH592">
        <f>セットアップレポート!AG592</f>
        <v>0</v>
      </c>
    </row>
    <row r="593" spans="1:34" x14ac:dyDescent="0.45">
      <c r="A593" t="str">
        <f t="shared" si="9"/>
        <v>000</v>
      </c>
      <c r="B593">
        <f>セットアップレポート!A593</f>
        <v>0</v>
      </c>
      <c r="C593">
        <f>セットアップレポート!B593</f>
        <v>0</v>
      </c>
      <c r="D593">
        <f>セットアップレポート!C593</f>
        <v>0</v>
      </c>
      <c r="E593">
        <f>セットアップレポート!D593</f>
        <v>0</v>
      </c>
      <c r="F593">
        <f>セットアップレポート!E593</f>
        <v>0</v>
      </c>
      <c r="G593">
        <f>セットアップレポート!F593</f>
        <v>0</v>
      </c>
      <c r="H593">
        <f>セットアップレポート!G593</f>
        <v>0</v>
      </c>
      <c r="I593">
        <f>セットアップレポート!H593</f>
        <v>0</v>
      </c>
      <c r="J593">
        <f>セットアップレポート!I593</f>
        <v>0</v>
      </c>
      <c r="K593">
        <f>セットアップレポート!J593</f>
        <v>0</v>
      </c>
      <c r="L593">
        <f>セットアップレポート!K593</f>
        <v>0</v>
      </c>
      <c r="M593">
        <f>セットアップレポート!L593</f>
        <v>0</v>
      </c>
      <c r="N593">
        <f>セットアップレポート!M593</f>
        <v>0</v>
      </c>
      <c r="O593">
        <f>セットアップレポート!N593</f>
        <v>0</v>
      </c>
      <c r="P593">
        <f>セットアップレポート!O593</f>
        <v>0</v>
      </c>
      <c r="Q593">
        <f>セットアップレポート!P593</f>
        <v>0</v>
      </c>
      <c r="R593">
        <f>セットアップレポート!Q593</f>
        <v>0</v>
      </c>
      <c r="S593">
        <f>セットアップレポート!R593</f>
        <v>0</v>
      </c>
      <c r="T593">
        <f>セットアップレポート!S593</f>
        <v>0</v>
      </c>
      <c r="U593">
        <f>セットアップレポート!T593</f>
        <v>0</v>
      </c>
      <c r="V593">
        <f>セットアップレポート!U593</f>
        <v>0</v>
      </c>
      <c r="W593">
        <f>セットアップレポート!V593</f>
        <v>0</v>
      </c>
      <c r="X593">
        <f>セットアップレポート!W593</f>
        <v>0</v>
      </c>
      <c r="Y593">
        <f>セットアップレポート!X593</f>
        <v>0</v>
      </c>
      <c r="Z593">
        <f>セットアップレポート!Y593</f>
        <v>0</v>
      </c>
      <c r="AA593">
        <f>セットアップレポート!Z593</f>
        <v>0</v>
      </c>
      <c r="AB593">
        <f>セットアップレポート!AA593</f>
        <v>0</v>
      </c>
      <c r="AC593">
        <f>セットアップレポート!AB593</f>
        <v>0</v>
      </c>
      <c r="AD593">
        <f>セットアップレポート!AC593</f>
        <v>0</v>
      </c>
      <c r="AE593">
        <f>セットアップレポート!AD593</f>
        <v>0</v>
      </c>
      <c r="AF593">
        <f>セットアップレポート!AE593</f>
        <v>0</v>
      </c>
      <c r="AG593">
        <f>セットアップレポート!AF593</f>
        <v>0</v>
      </c>
      <c r="AH593">
        <f>セットアップレポート!AG593</f>
        <v>0</v>
      </c>
    </row>
    <row r="594" spans="1:34" x14ac:dyDescent="0.45">
      <c r="A594" t="str">
        <f t="shared" si="9"/>
        <v>000</v>
      </c>
      <c r="B594">
        <f>セットアップレポート!A594</f>
        <v>0</v>
      </c>
      <c r="C594">
        <f>セットアップレポート!B594</f>
        <v>0</v>
      </c>
      <c r="D594">
        <f>セットアップレポート!C594</f>
        <v>0</v>
      </c>
      <c r="E594">
        <f>セットアップレポート!D594</f>
        <v>0</v>
      </c>
      <c r="F594">
        <f>セットアップレポート!E594</f>
        <v>0</v>
      </c>
      <c r="G594">
        <f>セットアップレポート!F594</f>
        <v>0</v>
      </c>
      <c r="H594">
        <f>セットアップレポート!G594</f>
        <v>0</v>
      </c>
      <c r="I594">
        <f>セットアップレポート!H594</f>
        <v>0</v>
      </c>
      <c r="J594">
        <f>セットアップレポート!I594</f>
        <v>0</v>
      </c>
      <c r="K594">
        <f>セットアップレポート!J594</f>
        <v>0</v>
      </c>
      <c r="L594">
        <f>セットアップレポート!K594</f>
        <v>0</v>
      </c>
      <c r="M594">
        <f>セットアップレポート!L594</f>
        <v>0</v>
      </c>
      <c r="N594">
        <f>セットアップレポート!M594</f>
        <v>0</v>
      </c>
      <c r="O594">
        <f>セットアップレポート!N594</f>
        <v>0</v>
      </c>
      <c r="P594">
        <f>セットアップレポート!O594</f>
        <v>0</v>
      </c>
      <c r="Q594">
        <f>セットアップレポート!P594</f>
        <v>0</v>
      </c>
      <c r="R594">
        <f>セットアップレポート!Q594</f>
        <v>0</v>
      </c>
      <c r="S594">
        <f>セットアップレポート!R594</f>
        <v>0</v>
      </c>
      <c r="T594">
        <f>セットアップレポート!S594</f>
        <v>0</v>
      </c>
      <c r="U594">
        <f>セットアップレポート!T594</f>
        <v>0</v>
      </c>
      <c r="V594">
        <f>セットアップレポート!U594</f>
        <v>0</v>
      </c>
      <c r="W594">
        <f>セットアップレポート!V594</f>
        <v>0</v>
      </c>
      <c r="X594">
        <f>セットアップレポート!W594</f>
        <v>0</v>
      </c>
      <c r="Y594">
        <f>セットアップレポート!X594</f>
        <v>0</v>
      </c>
      <c r="Z594">
        <f>セットアップレポート!Y594</f>
        <v>0</v>
      </c>
      <c r="AA594">
        <f>セットアップレポート!Z594</f>
        <v>0</v>
      </c>
      <c r="AB594">
        <f>セットアップレポート!AA594</f>
        <v>0</v>
      </c>
      <c r="AC594">
        <f>セットアップレポート!AB594</f>
        <v>0</v>
      </c>
      <c r="AD594">
        <f>セットアップレポート!AC594</f>
        <v>0</v>
      </c>
      <c r="AE594">
        <f>セットアップレポート!AD594</f>
        <v>0</v>
      </c>
      <c r="AF594">
        <f>セットアップレポート!AE594</f>
        <v>0</v>
      </c>
      <c r="AG594">
        <f>セットアップレポート!AF594</f>
        <v>0</v>
      </c>
      <c r="AH594">
        <f>セットアップレポート!AG594</f>
        <v>0</v>
      </c>
    </row>
    <row r="595" spans="1:34" x14ac:dyDescent="0.45">
      <c r="A595" t="str">
        <f t="shared" si="9"/>
        <v>000</v>
      </c>
      <c r="B595">
        <f>セットアップレポート!A595</f>
        <v>0</v>
      </c>
      <c r="C595">
        <f>セットアップレポート!B595</f>
        <v>0</v>
      </c>
      <c r="D595">
        <f>セットアップレポート!C595</f>
        <v>0</v>
      </c>
      <c r="E595">
        <f>セットアップレポート!D595</f>
        <v>0</v>
      </c>
      <c r="F595">
        <f>セットアップレポート!E595</f>
        <v>0</v>
      </c>
      <c r="G595">
        <f>セットアップレポート!F595</f>
        <v>0</v>
      </c>
      <c r="H595">
        <f>セットアップレポート!G595</f>
        <v>0</v>
      </c>
      <c r="I595">
        <f>セットアップレポート!H595</f>
        <v>0</v>
      </c>
      <c r="J595">
        <f>セットアップレポート!I595</f>
        <v>0</v>
      </c>
      <c r="K595">
        <f>セットアップレポート!J595</f>
        <v>0</v>
      </c>
      <c r="L595">
        <f>セットアップレポート!K595</f>
        <v>0</v>
      </c>
      <c r="M595">
        <f>セットアップレポート!L595</f>
        <v>0</v>
      </c>
      <c r="N595">
        <f>セットアップレポート!M595</f>
        <v>0</v>
      </c>
      <c r="O595">
        <f>セットアップレポート!N595</f>
        <v>0</v>
      </c>
      <c r="P595">
        <f>セットアップレポート!O595</f>
        <v>0</v>
      </c>
      <c r="Q595">
        <f>セットアップレポート!P595</f>
        <v>0</v>
      </c>
      <c r="R595">
        <f>セットアップレポート!Q595</f>
        <v>0</v>
      </c>
      <c r="S595">
        <f>セットアップレポート!R595</f>
        <v>0</v>
      </c>
      <c r="T595">
        <f>セットアップレポート!S595</f>
        <v>0</v>
      </c>
      <c r="U595">
        <f>セットアップレポート!T595</f>
        <v>0</v>
      </c>
      <c r="V595">
        <f>セットアップレポート!U595</f>
        <v>0</v>
      </c>
      <c r="W595">
        <f>セットアップレポート!V595</f>
        <v>0</v>
      </c>
      <c r="X595">
        <f>セットアップレポート!W595</f>
        <v>0</v>
      </c>
      <c r="Y595">
        <f>セットアップレポート!X595</f>
        <v>0</v>
      </c>
      <c r="Z595">
        <f>セットアップレポート!Y595</f>
        <v>0</v>
      </c>
      <c r="AA595">
        <f>セットアップレポート!Z595</f>
        <v>0</v>
      </c>
      <c r="AB595">
        <f>セットアップレポート!AA595</f>
        <v>0</v>
      </c>
      <c r="AC595">
        <f>セットアップレポート!AB595</f>
        <v>0</v>
      </c>
      <c r="AD595">
        <f>セットアップレポート!AC595</f>
        <v>0</v>
      </c>
      <c r="AE595">
        <f>セットアップレポート!AD595</f>
        <v>0</v>
      </c>
      <c r="AF595">
        <f>セットアップレポート!AE595</f>
        <v>0</v>
      </c>
      <c r="AG595">
        <f>セットアップレポート!AF595</f>
        <v>0</v>
      </c>
      <c r="AH595">
        <f>セットアップレポート!AG595</f>
        <v>0</v>
      </c>
    </row>
    <row r="596" spans="1:34" x14ac:dyDescent="0.45">
      <c r="A596" t="str">
        <f t="shared" si="9"/>
        <v>000</v>
      </c>
      <c r="B596">
        <f>セットアップレポート!A596</f>
        <v>0</v>
      </c>
      <c r="C596">
        <f>セットアップレポート!B596</f>
        <v>0</v>
      </c>
      <c r="D596">
        <f>セットアップレポート!C596</f>
        <v>0</v>
      </c>
      <c r="E596">
        <f>セットアップレポート!D596</f>
        <v>0</v>
      </c>
      <c r="F596">
        <f>セットアップレポート!E596</f>
        <v>0</v>
      </c>
      <c r="G596">
        <f>セットアップレポート!F596</f>
        <v>0</v>
      </c>
      <c r="H596">
        <f>セットアップレポート!G596</f>
        <v>0</v>
      </c>
      <c r="I596">
        <f>セットアップレポート!H596</f>
        <v>0</v>
      </c>
      <c r="J596">
        <f>セットアップレポート!I596</f>
        <v>0</v>
      </c>
      <c r="K596">
        <f>セットアップレポート!J596</f>
        <v>0</v>
      </c>
      <c r="L596">
        <f>セットアップレポート!K596</f>
        <v>0</v>
      </c>
      <c r="M596">
        <f>セットアップレポート!L596</f>
        <v>0</v>
      </c>
      <c r="N596">
        <f>セットアップレポート!M596</f>
        <v>0</v>
      </c>
      <c r="O596">
        <f>セットアップレポート!N596</f>
        <v>0</v>
      </c>
      <c r="P596">
        <f>セットアップレポート!O596</f>
        <v>0</v>
      </c>
      <c r="Q596">
        <f>セットアップレポート!P596</f>
        <v>0</v>
      </c>
      <c r="R596">
        <f>セットアップレポート!Q596</f>
        <v>0</v>
      </c>
      <c r="S596">
        <f>セットアップレポート!R596</f>
        <v>0</v>
      </c>
      <c r="T596">
        <f>セットアップレポート!S596</f>
        <v>0</v>
      </c>
      <c r="U596">
        <f>セットアップレポート!T596</f>
        <v>0</v>
      </c>
      <c r="V596">
        <f>セットアップレポート!U596</f>
        <v>0</v>
      </c>
      <c r="W596">
        <f>セットアップレポート!V596</f>
        <v>0</v>
      </c>
      <c r="X596">
        <f>セットアップレポート!W596</f>
        <v>0</v>
      </c>
      <c r="Y596">
        <f>セットアップレポート!X596</f>
        <v>0</v>
      </c>
      <c r="Z596">
        <f>セットアップレポート!Y596</f>
        <v>0</v>
      </c>
      <c r="AA596">
        <f>セットアップレポート!Z596</f>
        <v>0</v>
      </c>
      <c r="AB596">
        <f>セットアップレポート!AA596</f>
        <v>0</v>
      </c>
      <c r="AC596">
        <f>セットアップレポート!AB596</f>
        <v>0</v>
      </c>
      <c r="AD596">
        <f>セットアップレポート!AC596</f>
        <v>0</v>
      </c>
      <c r="AE596">
        <f>セットアップレポート!AD596</f>
        <v>0</v>
      </c>
      <c r="AF596">
        <f>セットアップレポート!AE596</f>
        <v>0</v>
      </c>
      <c r="AG596">
        <f>セットアップレポート!AF596</f>
        <v>0</v>
      </c>
      <c r="AH596">
        <f>セットアップレポート!AG596</f>
        <v>0</v>
      </c>
    </row>
    <row r="597" spans="1:34" x14ac:dyDescent="0.45">
      <c r="A597" t="str">
        <f t="shared" si="9"/>
        <v>000</v>
      </c>
      <c r="B597">
        <f>セットアップレポート!A597</f>
        <v>0</v>
      </c>
      <c r="C597">
        <f>セットアップレポート!B597</f>
        <v>0</v>
      </c>
      <c r="D597">
        <f>セットアップレポート!C597</f>
        <v>0</v>
      </c>
      <c r="E597">
        <f>セットアップレポート!D597</f>
        <v>0</v>
      </c>
      <c r="F597">
        <f>セットアップレポート!E597</f>
        <v>0</v>
      </c>
      <c r="G597">
        <f>セットアップレポート!F597</f>
        <v>0</v>
      </c>
      <c r="H597">
        <f>セットアップレポート!G597</f>
        <v>0</v>
      </c>
      <c r="I597">
        <f>セットアップレポート!H597</f>
        <v>0</v>
      </c>
      <c r="J597">
        <f>セットアップレポート!I597</f>
        <v>0</v>
      </c>
      <c r="K597">
        <f>セットアップレポート!J597</f>
        <v>0</v>
      </c>
      <c r="L597">
        <f>セットアップレポート!K597</f>
        <v>0</v>
      </c>
      <c r="M597">
        <f>セットアップレポート!L597</f>
        <v>0</v>
      </c>
      <c r="N597">
        <f>セットアップレポート!M597</f>
        <v>0</v>
      </c>
      <c r="O597">
        <f>セットアップレポート!N597</f>
        <v>0</v>
      </c>
      <c r="P597">
        <f>セットアップレポート!O597</f>
        <v>0</v>
      </c>
      <c r="Q597">
        <f>セットアップレポート!P597</f>
        <v>0</v>
      </c>
      <c r="R597">
        <f>セットアップレポート!Q597</f>
        <v>0</v>
      </c>
      <c r="S597">
        <f>セットアップレポート!R597</f>
        <v>0</v>
      </c>
      <c r="T597">
        <f>セットアップレポート!S597</f>
        <v>0</v>
      </c>
      <c r="U597">
        <f>セットアップレポート!T597</f>
        <v>0</v>
      </c>
      <c r="V597">
        <f>セットアップレポート!U597</f>
        <v>0</v>
      </c>
      <c r="W597">
        <f>セットアップレポート!V597</f>
        <v>0</v>
      </c>
      <c r="X597">
        <f>セットアップレポート!W597</f>
        <v>0</v>
      </c>
      <c r="Y597">
        <f>セットアップレポート!X597</f>
        <v>0</v>
      </c>
      <c r="Z597">
        <f>セットアップレポート!Y597</f>
        <v>0</v>
      </c>
      <c r="AA597">
        <f>セットアップレポート!Z597</f>
        <v>0</v>
      </c>
      <c r="AB597">
        <f>セットアップレポート!AA597</f>
        <v>0</v>
      </c>
      <c r="AC597">
        <f>セットアップレポート!AB597</f>
        <v>0</v>
      </c>
      <c r="AD597">
        <f>セットアップレポート!AC597</f>
        <v>0</v>
      </c>
      <c r="AE597">
        <f>セットアップレポート!AD597</f>
        <v>0</v>
      </c>
      <c r="AF597">
        <f>セットアップレポート!AE597</f>
        <v>0</v>
      </c>
      <c r="AG597">
        <f>セットアップレポート!AF597</f>
        <v>0</v>
      </c>
      <c r="AH597">
        <f>セットアップレポート!AG597</f>
        <v>0</v>
      </c>
    </row>
    <row r="598" spans="1:34" x14ac:dyDescent="0.45">
      <c r="A598" t="str">
        <f t="shared" si="9"/>
        <v>000</v>
      </c>
      <c r="B598">
        <f>セットアップレポート!A598</f>
        <v>0</v>
      </c>
      <c r="C598">
        <f>セットアップレポート!B598</f>
        <v>0</v>
      </c>
      <c r="D598">
        <f>セットアップレポート!C598</f>
        <v>0</v>
      </c>
      <c r="E598">
        <f>セットアップレポート!D598</f>
        <v>0</v>
      </c>
      <c r="F598">
        <f>セットアップレポート!E598</f>
        <v>0</v>
      </c>
      <c r="G598">
        <f>セットアップレポート!F598</f>
        <v>0</v>
      </c>
      <c r="H598">
        <f>セットアップレポート!G598</f>
        <v>0</v>
      </c>
      <c r="I598">
        <f>セットアップレポート!H598</f>
        <v>0</v>
      </c>
      <c r="J598">
        <f>セットアップレポート!I598</f>
        <v>0</v>
      </c>
      <c r="K598">
        <f>セットアップレポート!J598</f>
        <v>0</v>
      </c>
      <c r="L598">
        <f>セットアップレポート!K598</f>
        <v>0</v>
      </c>
      <c r="M598">
        <f>セットアップレポート!L598</f>
        <v>0</v>
      </c>
      <c r="N598">
        <f>セットアップレポート!M598</f>
        <v>0</v>
      </c>
      <c r="O598">
        <f>セットアップレポート!N598</f>
        <v>0</v>
      </c>
      <c r="P598">
        <f>セットアップレポート!O598</f>
        <v>0</v>
      </c>
      <c r="Q598">
        <f>セットアップレポート!P598</f>
        <v>0</v>
      </c>
      <c r="R598">
        <f>セットアップレポート!Q598</f>
        <v>0</v>
      </c>
      <c r="S598">
        <f>セットアップレポート!R598</f>
        <v>0</v>
      </c>
      <c r="T598">
        <f>セットアップレポート!S598</f>
        <v>0</v>
      </c>
      <c r="U598">
        <f>セットアップレポート!T598</f>
        <v>0</v>
      </c>
      <c r="V598">
        <f>セットアップレポート!U598</f>
        <v>0</v>
      </c>
      <c r="W598">
        <f>セットアップレポート!V598</f>
        <v>0</v>
      </c>
      <c r="X598">
        <f>セットアップレポート!W598</f>
        <v>0</v>
      </c>
      <c r="Y598">
        <f>セットアップレポート!X598</f>
        <v>0</v>
      </c>
      <c r="Z598">
        <f>セットアップレポート!Y598</f>
        <v>0</v>
      </c>
      <c r="AA598">
        <f>セットアップレポート!Z598</f>
        <v>0</v>
      </c>
      <c r="AB598">
        <f>セットアップレポート!AA598</f>
        <v>0</v>
      </c>
      <c r="AC598">
        <f>セットアップレポート!AB598</f>
        <v>0</v>
      </c>
      <c r="AD598">
        <f>セットアップレポート!AC598</f>
        <v>0</v>
      </c>
      <c r="AE598">
        <f>セットアップレポート!AD598</f>
        <v>0</v>
      </c>
      <c r="AF598">
        <f>セットアップレポート!AE598</f>
        <v>0</v>
      </c>
      <c r="AG598">
        <f>セットアップレポート!AF598</f>
        <v>0</v>
      </c>
      <c r="AH598">
        <f>セットアップレポート!AG598</f>
        <v>0</v>
      </c>
    </row>
    <row r="599" spans="1:34" x14ac:dyDescent="0.45">
      <c r="A599" t="str">
        <f t="shared" si="9"/>
        <v>000</v>
      </c>
      <c r="B599">
        <f>セットアップレポート!A599</f>
        <v>0</v>
      </c>
      <c r="C599">
        <f>セットアップレポート!B599</f>
        <v>0</v>
      </c>
      <c r="D599">
        <f>セットアップレポート!C599</f>
        <v>0</v>
      </c>
      <c r="E599">
        <f>セットアップレポート!D599</f>
        <v>0</v>
      </c>
      <c r="F599">
        <f>セットアップレポート!E599</f>
        <v>0</v>
      </c>
      <c r="G599">
        <f>セットアップレポート!F599</f>
        <v>0</v>
      </c>
      <c r="H599">
        <f>セットアップレポート!G599</f>
        <v>0</v>
      </c>
      <c r="I599">
        <f>セットアップレポート!H599</f>
        <v>0</v>
      </c>
      <c r="J599">
        <f>セットアップレポート!I599</f>
        <v>0</v>
      </c>
      <c r="K599">
        <f>セットアップレポート!J599</f>
        <v>0</v>
      </c>
      <c r="L599">
        <f>セットアップレポート!K599</f>
        <v>0</v>
      </c>
      <c r="M599">
        <f>セットアップレポート!L599</f>
        <v>0</v>
      </c>
      <c r="N599">
        <f>セットアップレポート!M599</f>
        <v>0</v>
      </c>
      <c r="O599">
        <f>セットアップレポート!N599</f>
        <v>0</v>
      </c>
      <c r="P599">
        <f>セットアップレポート!O599</f>
        <v>0</v>
      </c>
      <c r="Q599">
        <f>セットアップレポート!P599</f>
        <v>0</v>
      </c>
      <c r="R599">
        <f>セットアップレポート!Q599</f>
        <v>0</v>
      </c>
      <c r="S599">
        <f>セットアップレポート!R599</f>
        <v>0</v>
      </c>
      <c r="T599">
        <f>セットアップレポート!S599</f>
        <v>0</v>
      </c>
      <c r="U599">
        <f>セットアップレポート!T599</f>
        <v>0</v>
      </c>
      <c r="V599">
        <f>セットアップレポート!U599</f>
        <v>0</v>
      </c>
      <c r="W599">
        <f>セットアップレポート!V599</f>
        <v>0</v>
      </c>
      <c r="X599">
        <f>セットアップレポート!W599</f>
        <v>0</v>
      </c>
      <c r="Y599">
        <f>セットアップレポート!X599</f>
        <v>0</v>
      </c>
      <c r="Z599">
        <f>セットアップレポート!Y599</f>
        <v>0</v>
      </c>
      <c r="AA599">
        <f>セットアップレポート!Z599</f>
        <v>0</v>
      </c>
      <c r="AB599">
        <f>セットアップレポート!AA599</f>
        <v>0</v>
      </c>
      <c r="AC599">
        <f>セットアップレポート!AB599</f>
        <v>0</v>
      </c>
      <c r="AD599">
        <f>セットアップレポート!AC599</f>
        <v>0</v>
      </c>
      <c r="AE599">
        <f>セットアップレポート!AD599</f>
        <v>0</v>
      </c>
      <c r="AF599">
        <f>セットアップレポート!AE599</f>
        <v>0</v>
      </c>
      <c r="AG599">
        <f>セットアップレポート!AF599</f>
        <v>0</v>
      </c>
      <c r="AH599">
        <f>セットアップレポート!AG599</f>
        <v>0</v>
      </c>
    </row>
    <row r="600" spans="1:34" x14ac:dyDescent="0.45">
      <c r="A600" t="str">
        <f t="shared" si="9"/>
        <v>000</v>
      </c>
      <c r="B600">
        <f>セットアップレポート!A600</f>
        <v>0</v>
      </c>
      <c r="C600">
        <f>セットアップレポート!B600</f>
        <v>0</v>
      </c>
      <c r="D600">
        <f>セットアップレポート!C600</f>
        <v>0</v>
      </c>
      <c r="E600">
        <f>セットアップレポート!D600</f>
        <v>0</v>
      </c>
      <c r="F600">
        <f>セットアップレポート!E600</f>
        <v>0</v>
      </c>
      <c r="G600">
        <f>セットアップレポート!F600</f>
        <v>0</v>
      </c>
      <c r="H600">
        <f>セットアップレポート!G600</f>
        <v>0</v>
      </c>
      <c r="I600">
        <f>セットアップレポート!H600</f>
        <v>0</v>
      </c>
      <c r="J600">
        <f>セットアップレポート!I600</f>
        <v>0</v>
      </c>
      <c r="K600">
        <f>セットアップレポート!J600</f>
        <v>0</v>
      </c>
      <c r="L600">
        <f>セットアップレポート!K600</f>
        <v>0</v>
      </c>
      <c r="M600">
        <f>セットアップレポート!L600</f>
        <v>0</v>
      </c>
      <c r="N600">
        <f>セットアップレポート!M600</f>
        <v>0</v>
      </c>
      <c r="O600">
        <f>セットアップレポート!N600</f>
        <v>0</v>
      </c>
      <c r="P600">
        <f>セットアップレポート!O600</f>
        <v>0</v>
      </c>
      <c r="Q600">
        <f>セットアップレポート!P600</f>
        <v>0</v>
      </c>
      <c r="R600">
        <f>セットアップレポート!Q600</f>
        <v>0</v>
      </c>
      <c r="S600">
        <f>セットアップレポート!R600</f>
        <v>0</v>
      </c>
      <c r="T600">
        <f>セットアップレポート!S600</f>
        <v>0</v>
      </c>
      <c r="U600">
        <f>セットアップレポート!T600</f>
        <v>0</v>
      </c>
      <c r="V600">
        <f>セットアップレポート!U600</f>
        <v>0</v>
      </c>
      <c r="W600">
        <f>セットアップレポート!V600</f>
        <v>0</v>
      </c>
      <c r="X600">
        <f>セットアップレポート!W600</f>
        <v>0</v>
      </c>
      <c r="Y600">
        <f>セットアップレポート!X600</f>
        <v>0</v>
      </c>
      <c r="Z600">
        <f>セットアップレポート!Y600</f>
        <v>0</v>
      </c>
      <c r="AA600">
        <f>セットアップレポート!Z600</f>
        <v>0</v>
      </c>
      <c r="AB600">
        <f>セットアップレポート!AA600</f>
        <v>0</v>
      </c>
      <c r="AC600">
        <f>セットアップレポート!AB600</f>
        <v>0</v>
      </c>
      <c r="AD600">
        <f>セットアップレポート!AC600</f>
        <v>0</v>
      </c>
      <c r="AE600">
        <f>セットアップレポート!AD600</f>
        <v>0</v>
      </c>
      <c r="AF600">
        <f>セットアップレポート!AE600</f>
        <v>0</v>
      </c>
      <c r="AG600">
        <f>セットアップレポート!AF600</f>
        <v>0</v>
      </c>
      <c r="AH600">
        <f>セットアップレポート!AG600</f>
        <v>0</v>
      </c>
    </row>
    <row r="601" spans="1:34" x14ac:dyDescent="0.45">
      <c r="A601" t="str">
        <f t="shared" si="9"/>
        <v>000</v>
      </c>
      <c r="B601">
        <f>セットアップレポート!A601</f>
        <v>0</v>
      </c>
      <c r="C601">
        <f>セットアップレポート!B601</f>
        <v>0</v>
      </c>
      <c r="D601">
        <f>セットアップレポート!C601</f>
        <v>0</v>
      </c>
      <c r="E601">
        <f>セットアップレポート!D601</f>
        <v>0</v>
      </c>
      <c r="F601">
        <f>セットアップレポート!E601</f>
        <v>0</v>
      </c>
      <c r="G601">
        <f>セットアップレポート!F601</f>
        <v>0</v>
      </c>
      <c r="H601">
        <f>セットアップレポート!G601</f>
        <v>0</v>
      </c>
      <c r="I601">
        <f>セットアップレポート!H601</f>
        <v>0</v>
      </c>
      <c r="J601">
        <f>セットアップレポート!I601</f>
        <v>0</v>
      </c>
      <c r="K601">
        <f>セットアップレポート!J601</f>
        <v>0</v>
      </c>
      <c r="L601">
        <f>セットアップレポート!K601</f>
        <v>0</v>
      </c>
      <c r="M601">
        <f>セットアップレポート!L601</f>
        <v>0</v>
      </c>
      <c r="N601">
        <f>セットアップレポート!M601</f>
        <v>0</v>
      </c>
      <c r="O601">
        <f>セットアップレポート!N601</f>
        <v>0</v>
      </c>
      <c r="P601">
        <f>セットアップレポート!O601</f>
        <v>0</v>
      </c>
      <c r="Q601">
        <f>セットアップレポート!P601</f>
        <v>0</v>
      </c>
      <c r="R601">
        <f>セットアップレポート!Q601</f>
        <v>0</v>
      </c>
      <c r="S601">
        <f>セットアップレポート!R601</f>
        <v>0</v>
      </c>
      <c r="T601">
        <f>セットアップレポート!S601</f>
        <v>0</v>
      </c>
      <c r="U601">
        <f>セットアップレポート!T601</f>
        <v>0</v>
      </c>
      <c r="V601">
        <f>セットアップレポート!U601</f>
        <v>0</v>
      </c>
      <c r="W601">
        <f>セットアップレポート!V601</f>
        <v>0</v>
      </c>
      <c r="X601">
        <f>セットアップレポート!W601</f>
        <v>0</v>
      </c>
      <c r="Y601">
        <f>セットアップレポート!X601</f>
        <v>0</v>
      </c>
      <c r="Z601">
        <f>セットアップレポート!Y601</f>
        <v>0</v>
      </c>
      <c r="AA601">
        <f>セットアップレポート!Z601</f>
        <v>0</v>
      </c>
      <c r="AB601">
        <f>セットアップレポート!AA601</f>
        <v>0</v>
      </c>
      <c r="AC601">
        <f>セットアップレポート!AB601</f>
        <v>0</v>
      </c>
      <c r="AD601">
        <f>セットアップレポート!AC601</f>
        <v>0</v>
      </c>
      <c r="AE601">
        <f>セットアップレポート!AD601</f>
        <v>0</v>
      </c>
      <c r="AF601">
        <f>セットアップレポート!AE601</f>
        <v>0</v>
      </c>
      <c r="AG601">
        <f>セットアップレポート!AF601</f>
        <v>0</v>
      </c>
      <c r="AH601">
        <f>セットアップレポート!AG601</f>
        <v>0</v>
      </c>
    </row>
    <row r="602" spans="1:34" x14ac:dyDescent="0.45">
      <c r="A602" t="str">
        <f t="shared" si="9"/>
        <v>000</v>
      </c>
      <c r="B602">
        <f>セットアップレポート!A602</f>
        <v>0</v>
      </c>
      <c r="C602">
        <f>セットアップレポート!B602</f>
        <v>0</v>
      </c>
      <c r="D602">
        <f>セットアップレポート!C602</f>
        <v>0</v>
      </c>
      <c r="E602">
        <f>セットアップレポート!D602</f>
        <v>0</v>
      </c>
      <c r="F602">
        <f>セットアップレポート!E602</f>
        <v>0</v>
      </c>
      <c r="G602">
        <f>セットアップレポート!F602</f>
        <v>0</v>
      </c>
      <c r="H602">
        <f>セットアップレポート!G602</f>
        <v>0</v>
      </c>
      <c r="I602">
        <f>セットアップレポート!H602</f>
        <v>0</v>
      </c>
      <c r="J602">
        <f>セットアップレポート!I602</f>
        <v>0</v>
      </c>
      <c r="K602">
        <f>セットアップレポート!J602</f>
        <v>0</v>
      </c>
      <c r="L602">
        <f>セットアップレポート!K602</f>
        <v>0</v>
      </c>
      <c r="M602">
        <f>セットアップレポート!L602</f>
        <v>0</v>
      </c>
      <c r="N602">
        <f>セットアップレポート!M602</f>
        <v>0</v>
      </c>
      <c r="O602">
        <f>セットアップレポート!N602</f>
        <v>0</v>
      </c>
      <c r="P602">
        <f>セットアップレポート!O602</f>
        <v>0</v>
      </c>
      <c r="Q602">
        <f>セットアップレポート!P602</f>
        <v>0</v>
      </c>
      <c r="R602">
        <f>セットアップレポート!Q602</f>
        <v>0</v>
      </c>
      <c r="S602">
        <f>セットアップレポート!R602</f>
        <v>0</v>
      </c>
      <c r="T602">
        <f>セットアップレポート!S602</f>
        <v>0</v>
      </c>
      <c r="U602">
        <f>セットアップレポート!T602</f>
        <v>0</v>
      </c>
      <c r="V602">
        <f>セットアップレポート!U602</f>
        <v>0</v>
      </c>
      <c r="W602">
        <f>セットアップレポート!V602</f>
        <v>0</v>
      </c>
      <c r="X602">
        <f>セットアップレポート!W602</f>
        <v>0</v>
      </c>
      <c r="Y602">
        <f>セットアップレポート!X602</f>
        <v>0</v>
      </c>
      <c r="Z602">
        <f>セットアップレポート!Y602</f>
        <v>0</v>
      </c>
      <c r="AA602">
        <f>セットアップレポート!Z602</f>
        <v>0</v>
      </c>
      <c r="AB602">
        <f>セットアップレポート!AA602</f>
        <v>0</v>
      </c>
      <c r="AC602">
        <f>セットアップレポート!AB602</f>
        <v>0</v>
      </c>
      <c r="AD602">
        <f>セットアップレポート!AC602</f>
        <v>0</v>
      </c>
      <c r="AE602">
        <f>セットアップレポート!AD602</f>
        <v>0</v>
      </c>
      <c r="AF602">
        <f>セットアップレポート!AE602</f>
        <v>0</v>
      </c>
      <c r="AG602">
        <f>セットアップレポート!AF602</f>
        <v>0</v>
      </c>
      <c r="AH602">
        <f>セットアップレポート!AG602</f>
        <v>0</v>
      </c>
    </row>
    <row r="603" spans="1:34" x14ac:dyDescent="0.45">
      <c r="A603" t="str">
        <f t="shared" si="9"/>
        <v>000</v>
      </c>
      <c r="B603">
        <f>セットアップレポート!A603</f>
        <v>0</v>
      </c>
      <c r="C603">
        <f>セットアップレポート!B603</f>
        <v>0</v>
      </c>
      <c r="D603">
        <f>セットアップレポート!C603</f>
        <v>0</v>
      </c>
      <c r="E603">
        <f>セットアップレポート!D603</f>
        <v>0</v>
      </c>
      <c r="F603">
        <f>セットアップレポート!E603</f>
        <v>0</v>
      </c>
      <c r="G603">
        <f>セットアップレポート!F603</f>
        <v>0</v>
      </c>
      <c r="H603">
        <f>セットアップレポート!G603</f>
        <v>0</v>
      </c>
      <c r="I603">
        <f>セットアップレポート!H603</f>
        <v>0</v>
      </c>
      <c r="J603">
        <f>セットアップレポート!I603</f>
        <v>0</v>
      </c>
      <c r="K603">
        <f>セットアップレポート!J603</f>
        <v>0</v>
      </c>
      <c r="L603">
        <f>セットアップレポート!K603</f>
        <v>0</v>
      </c>
      <c r="M603">
        <f>セットアップレポート!L603</f>
        <v>0</v>
      </c>
      <c r="N603">
        <f>セットアップレポート!M603</f>
        <v>0</v>
      </c>
      <c r="O603">
        <f>セットアップレポート!N603</f>
        <v>0</v>
      </c>
      <c r="P603">
        <f>セットアップレポート!O603</f>
        <v>0</v>
      </c>
      <c r="Q603">
        <f>セットアップレポート!P603</f>
        <v>0</v>
      </c>
      <c r="R603">
        <f>セットアップレポート!Q603</f>
        <v>0</v>
      </c>
      <c r="S603">
        <f>セットアップレポート!R603</f>
        <v>0</v>
      </c>
      <c r="T603">
        <f>セットアップレポート!S603</f>
        <v>0</v>
      </c>
      <c r="U603">
        <f>セットアップレポート!T603</f>
        <v>0</v>
      </c>
      <c r="V603">
        <f>セットアップレポート!U603</f>
        <v>0</v>
      </c>
      <c r="W603">
        <f>セットアップレポート!V603</f>
        <v>0</v>
      </c>
      <c r="X603">
        <f>セットアップレポート!W603</f>
        <v>0</v>
      </c>
      <c r="Y603">
        <f>セットアップレポート!X603</f>
        <v>0</v>
      </c>
      <c r="Z603">
        <f>セットアップレポート!Y603</f>
        <v>0</v>
      </c>
      <c r="AA603">
        <f>セットアップレポート!Z603</f>
        <v>0</v>
      </c>
      <c r="AB603">
        <f>セットアップレポート!AA603</f>
        <v>0</v>
      </c>
      <c r="AC603">
        <f>セットアップレポート!AB603</f>
        <v>0</v>
      </c>
      <c r="AD603">
        <f>セットアップレポート!AC603</f>
        <v>0</v>
      </c>
      <c r="AE603">
        <f>セットアップレポート!AD603</f>
        <v>0</v>
      </c>
      <c r="AF603">
        <f>セットアップレポート!AE603</f>
        <v>0</v>
      </c>
      <c r="AG603">
        <f>セットアップレポート!AF603</f>
        <v>0</v>
      </c>
      <c r="AH603">
        <f>セットアップレポート!AG603</f>
        <v>0</v>
      </c>
    </row>
    <row r="604" spans="1:34" x14ac:dyDescent="0.45">
      <c r="A604" t="str">
        <f t="shared" si="9"/>
        <v>000</v>
      </c>
      <c r="B604">
        <f>セットアップレポート!A604</f>
        <v>0</v>
      </c>
      <c r="C604">
        <f>セットアップレポート!B604</f>
        <v>0</v>
      </c>
      <c r="D604">
        <f>セットアップレポート!C604</f>
        <v>0</v>
      </c>
      <c r="E604">
        <f>セットアップレポート!D604</f>
        <v>0</v>
      </c>
      <c r="F604">
        <f>セットアップレポート!E604</f>
        <v>0</v>
      </c>
      <c r="G604">
        <f>セットアップレポート!F604</f>
        <v>0</v>
      </c>
      <c r="H604">
        <f>セットアップレポート!G604</f>
        <v>0</v>
      </c>
      <c r="I604">
        <f>セットアップレポート!H604</f>
        <v>0</v>
      </c>
      <c r="J604">
        <f>セットアップレポート!I604</f>
        <v>0</v>
      </c>
      <c r="K604">
        <f>セットアップレポート!J604</f>
        <v>0</v>
      </c>
      <c r="L604">
        <f>セットアップレポート!K604</f>
        <v>0</v>
      </c>
      <c r="M604">
        <f>セットアップレポート!L604</f>
        <v>0</v>
      </c>
      <c r="N604">
        <f>セットアップレポート!M604</f>
        <v>0</v>
      </c>
      <c r="O604">
        <f>セットアップレポート!N604</f>
        <v>0</v>
      </c>
      <c r="P604">
        <f>セットアップレポート!O604</f>
        <v>0</v>
      </c>
      <c r="Q604">
        <f>セットアップレポート!P604</f>
        <v>0</v>
      </c>
      <c r="R604">
        <f>セットアップレポート!Q604</f>
        <v>0</v>
      </c>
      <c r="S604">
        <f>セットアップレポート!R604</f>
        <v>0</v>
      </c>
      <c r="T604">
        <f>セットアップレポート!S604</f>
        <v>0</v>
      </c>
      <c r="U604">
        <f>セットアップレポート!T604</f>
        <v>0</v>
      </c>
      <c r="V604">
        <f>セットアップレポート!U604</f>
        <v>0</v>
      </c>
      <c r="W604">
        <f>セットアップレポート!V604</f>
        <v>0</v>
      </c>
      <c r="X604">
        <f>セットアップレポート!W604</f>
        <v>0</v>
      </c>
      <c r="Y604">
        <f>セットアップレポート!X604</f>
        <v>0</v>
      </c>
      <c r="Z604">
        <f>セットアップレポート!Y604</f>
        <v>0</v>
      </c>
      <c r="AA604">
        <f>セットアップレポート!Z604</f>
        <v>0</v>
      </c>
      <c r="AB604">
        <f>セットアップレポート!AA604</f>
        <v>0</v>
      </c>
      <c r="AC604">
        <f>セットアップレポート!AB604</f>
        <v>0</v>
      </c>
      <c r="AD604">
        <f>セットアップレポート!AC604</f>
        <v>0</v>
      </c>
      <c r="AE604">
        <f>セットアップレポート!AD604</f>
        <v>0</v>
      </c>
      <c r="AF604">
        <f>セットアップレポート!AE604</f>
        <v>0</v>
      </c>
      <c r="AG604">
        <f>セットアップレポート!AF604</f>
        <v>0</v>
      </c>
      <c r="AH604">
        <f>セットアップレポート!AG604</f>
        <v>0</v>
      </c>
    </row>
    <row r="605" spans="1:34" x14ac:dyDescent="0.45">
      <c r="A605" t="str">
        <f t="shared" si="9"/>
        <v>000</v>
      </c>
      <c r="B605">
        <f>セットアップレポート!A605</f>
        <v>0</v>
      </c>
      <c r="C605">
        <f>セットアップレポート!B605</f>
        <v>0</v>
      </c>
      <c r="D605">
        <f>セットアップレポート!C605</f>
        <v>0</v>
      </c>
      <c r="E605">
        <f>セットアップレポート!D605</f>
        <v>0</v>
      </c>
      <c r="F605">
        <f>セットアップレポート!E605</f>
        <v>0</v>
      </c>
      <c r="G605">
        <f>セットアップレポート!F605</f>
        <v>0</v>
      </c>
      <c r="H605">
        <f>セットアップレポート!G605</f>
        <v>0</v>
      </c>
      <c r="I605">
        <f>セットアップレポート!H605</f>
        <v>0</v>
      </c>
      <c r="J605">
        <f>セットアップレポート!I605</f>
        <v>0</v>
      </c>
      <c r="K605">
        <f>セットアップレポート!J605</f>
        <v>0</v>
      </c>
      <c r="L605">
        <f>セットアップレポート!K605</f>
        <v>0</v>
      </c>
      <c r="M605">
        <f>セットアップレポート!L605</f>
        <v>0</v>
      </c>
      <c r="N605">
        <f>セットアップレポート!M605</f>
        <v>0</v>
      </c>
      <c r="O605">
        <f>セットアップレポート!N605</f>
        <v>0</v>
      </c>
      <c r="P605">
        <f>セットアップレポート!O605</f>
        <v>0</v>
      </c>
      <c r="Q605">
        <f>セットアップレポート!P605</f>
        <v>0</v>
      </c>
      <c r="R605">
        <f>セットアップレポート!Q605</f>
        <v>0</v>
      </c>
      <c r="S605">
        <f>セットアップレポート!R605</f>
        <v>0</v>
      </c>
      <c r="T605">
        <f>セットアップレポート!S605</f>
        <v>0</v>
      </c>
      <c r="U605">
        <f>セットアップレポート!T605</f>
        <v>0</v>
      </c>
      <c r="V605">
        <f>セットアップレポート!U605</f>
        <v>0</v>
      </c>
      <c r="W605">
        <f>セットアップレポート!V605</f>
        <v>0</v>
      </c>
      <c r="X605">
        <f>セットアップレポート!W605</f>
        <v>0</v>
      </c>
      <c r="Y605">
        <f>セットアップレポート!X605</f>
        <v>0</v>
      </c>
      <c r="Z605">
        <f>セットアップレポート!Y605</f>
        <v>0</v>
      </c>
      <c r="AA605">
        <f>セットアップレポート!Z605</f>
        <v>0</v>
      </c>
      <c r="AB605">
        <f>セットアップレポート!AA605</f>
        <v>0</v>
      </c>
      <c r="AC605">
        <f>セットアップレポート!AB605</f>
        <v>0</v>
      </c>
      <c r="AD605">
        <f>セットアップレポート!AC605</f>
        <v>0</v>
      </c>
      <c r="AE605">
        <f>セットアップレポート!AD605</f>
        <v>0</v>
      </c>
      <c r="AF605">
        <f>セットアップレポート!AE605</f>
        <v>0</v>
      </c>
      <c r="AG605">
        <f>セットアップレポート!AF605</f>
        <v>0</v>
      </c>
      <c r="AH605">
        <f>セットアップレポート!AG605</f>
        <v>0</v>
      </c>
    </row>
    <row r="606" spans="1:34" x14ac:dyDescent="0.45">
      <c r="A606" t="str">
        <f t="shared" si="9"/>
        <v>000</v>
      </c>
      <c r="B606">
        <f>セットアップレポート!A606</f>
        <v>0</v>
      </c>
      <c r="C606">
        <f>セットアップレポート!B606</f>
        <v>0</v>
      </c>
      <c r="D606">
        <f>セットアップレポート!C606</f>
        <v>0</v>
      </c>
      <c r="E606">
        <f>セットアップレポート!D606</f>
        <v>0</v>
      </c>
      <c r="F606">
        <f>セットアップレポート!E606</f>
        <v>0</v>
      </c>
      <c r="G606">
        <f>セットアップレポート!F606</f>
        <v>0</v>
      </c>
      <c r="H606">
        <f>セットアップレポート!G606</f>
        <v>0</v>
      </c>
      <c r="I606">
        <f>セットアップレポート!H606</f>
        <v>0</v>
      </c>
      <c r="J606">
        <f>セットアップレポート!I606</f>
        <v>0</v>
      </c>
      <c r="K606">
        <f>セットアップレポート!J606</f>
        <v>0</v>
      </c>
      <c r="L606">
        <f>セットアップレポート!K606</f>
        <v>0</v>
      </c>
      <c r="M606">
        <f>セットアップレポート!L606</f>
        <v>0</v>
      </c>
      <c r="N606">
        <f>セットアップレポート!M606</f>
        <v>0</v>
      </c>
      <c r="O606">
        <f>セットアップレポート!N606</f>
        <v>0</v>
      </c>
      <c r="P606">
        <f>セットアップレポート!O606</f>
        <v>0</v>
      </c>
      <c r="Q606">
        <f>セットアップレポート!P606</f>
        <v>0</v>
      </c>
      <c r="R606">
        <f>セットアップレポート!Q606</f>
        <v>0</v>
      </c>
      <c r="S606">
        <f>セットアップレポート!R606</f>
        <v>0</v>
      </c>
      <c r="T606">
        <f>セットアップレポート!S606</f>
        <v>0</v>
      </c>
      <c r="U606">
        <f>セットアップレポート!T606</f>
        <v>0</v>
      </c>
      <c r="V606">
        <f>セットアップレポート!U606</f>
        <v>0</v>
      </c>
      <c r="W606">
        <f>セットアップレポート!V606</f>
        <v>0</v>
      </c>
      <c r="X606">
        <f>セットアップレポート!W606</f>
        <v>0</v>
      </c>
      <c r="Y606">
        <f>セットアップレポート!X606</f>
        <v>0</v>
      </c>
      <c r="Z606">
        <f>セットアップレポート!Y606</f>
        <v>0</v>
      </c>
      <c r="AA606">
        <f>セットアップレポート!Z606</f>
        <v>0</v>
      </c>
      <c r="AB606">
        <f>セットアップレポート!AA606</f>
        <v>0</v>
      </c>
      <c r="AC606">
        <f>セットアップレポート!AB606</f>
        <v>0</v>
      </c>
      <c r="AD606">
        <f>セットアップレポート!AC606</f>
        <v>0</v>
      </c>
      <c r="AE606">
        <f>セットアップレポート!AD606</f>
        <v>0</v>
      </c>
      <c r="AF606">
        <f>セットアップレポート!AE606</f>
        <v>0</v>
      </c>
      <c r="AG606">
        <f>セットアップレポート!AF606</f>
        <v>0</v>
      </c>
      <c r="AH606">
        <f>セットアップレポート!AG606</f>
        <v>0</v>
      </c>
    </row>
    <row r="607" spans="1:34" x14ac:dyDescent="0.45">
      <c r="A607" t="str">
        <f t="shared" si="9"/>
        <v>000</v>
      </c>
      <c r="B607">
        <f>セットアップレポート!A607</f>
        <v>0</v>
      </c>
      <c r="C607">
        <f>セットアップレポート!B607</f>
        <v>0</v>
      </c>
      <c r="D607">
        <f>セットアップレポート!C607</f>
        <v>0</v>
      </c>
      <c r="E607">
        <f>セットアップレポート!D607</f>
        <v>0</v>
      </c>
      <c r="F607">
        <f>セットアップレポート!E607</f>
        <v>0</v>
      </c>
      <c r="G607">
        <f>セットアップレポート!F607</f>
        <v>0</v>
      </c>
      <c r="H607">
        <f>セットアップレポート!G607</f>
        <v>0</v>
      </c>
      <c r="I607">
        <f>セットアップレポート!H607</f>
        <v>0</v>
      </c>
      <c r="J607">
        <f>セットアップレポート!I607</f>
        <v>0</v>
      </c>
      <c r="K607">
        <f>セットアップレポート!J607</f>
        <v>0</v>
      </c>
      <c r="L607">
        <f>セットアップレポート!K607</f>
        <v>0</v>
      </c>
      <c r="M607">
        <f>セットアップレポート!L607</f>
        <v>0</v>
      </c>
      <c r="N607">
        <f>セットアップレポート!M607</f>
        <v>0</v>
      </c>
      <c r="O607">
        <f>セットアップレポート!N607</f>
        <v>0</v>
      </c>
      <c r="P607">
        <f>セットアップレポート!O607</f>
        <v>0</v>
      </c>
      <c r="Q607">
        <f>セットアップレポート!P607</f>
        <v>0</v>
      </c>
      <c r="R607">
        <f>セットアップレポート!Q607</f>
        <v>0</v>
      </c>
      <c r="S607">
        <f>セットアップレポート!R607</f>
        <v>0</v>
      </c>
      <c r="T607">
        <f>セットアップレポート!S607</f>
        <v>0</v>
      </c>
      <c r="U607">
        <f>セットアップレポート!T607</f>
        <v>0</v>
      </c>
      <c r="V607">
        <f>セットアップレポート!U607</f>
        <v>0</v>
      </c>
      <c r="W607">
        <f>セットアップレポート!V607</f>
        <v>0</v>
      </c>
      <c r="X607">
        <f>セットアップレポート!W607</f>
        <v>0</v>
      </c>
      <c r="Y607">
        <f>セットアップレポート!X607</f>
        <v>0</v>
      </c>
      <c r="Z607">
        <f>セットアップレポート!Y607</f>
        <v>0</v>
      </c>
      <c r="AA607">
        <f>セットアップレポート!Z607</f>
        <v>0</v>
      </c>
      <c r="AB607">
        <f>セットアップレポート!AA607</f>
        <v>0</v>
      </c>
      <c r="AC607">
        <f>セットアップレポート!AB607</f>
        <v>0</v>
      </c>
      <c r="AD607">
        <f>セットアップレポート!AC607</f>
        <v>0</v>
      </c>
      <c r="AE607">
        <f>セットアップレポート!AD607</f>
        <v>0</v>
      </c>
      <c r="AF607">
        <f>セットアップレポート!AE607</f>
        <v>0</v>
      </c>
      <c r="AG607">
        <f>セットアップレポート!AF607</f>
        <v>0</v>
      </c>
      <c r="AH607">
        <f>セットアップレポート!AG607</f>
        <v>0</v>
      </c>
    </row>
    <row r="608" spans="1:34" x14ac:dyDescent="0.45">
      <c r="A608" t="str">
        <f t="shared" si="9"/>
        <v>000</v>
      </c>
      <c r="B608">
        <f>セットアップレポート!A608</f>
        <v>0</v>
      </c>
      <c r="C608">
        <f>セットアップレポート!B608</f>
        <v>0</v>
      </c>
      <c r="D608">
        <f>セットアップレポート!C608</f>
        <v>0</v>
      </c>
      <c r="E608">
        <f>セットアップレポート!D608</f>
        <v>0</v>
      </c>
      <c r="F608">
        <f>セットアップレポート!E608</f>
        <v>0</v>
      </c>
      <c r="G608">
        <f>セットアップレポート!F608</f>
        <v>0</v>
      </c>
      <c r="H608">
        <f>セットアップレポート!G608</f>
        <v>0</v>
      </c>
      <c r="I608">
        <f>セットアップレポート!H608</f>
        <v>0</v>
      </c>
      <c r="J608">
        <f>セットアップレポート!I608</f>
        <v>0</v>
      </c>
      <c r="K608">
        <f>セットアップレポート!J608</f>
        <v>0</v>
      </c>
      <c r="L608">
        <f>セットアップレポート!K608</f>
        <v>0</v>
      </c>
      <c r="M608">
        <f>セットアップレポート!L608</f>
        <v>0</v>
      </c>
      <c r="N608">
        <f>セットアップレポート!M608</f>
        <v>0</v>
      </c>
      <c r="O608">
        <f>セットアップレポート!N608</f>
        <v>0</v>
      </c>
      <c r="P608">
        <f>セットアップレポート!O608</f>
        <v>0</v>
      </c>
      <c r="Q608">
        <f>セットアップレポート!P608</f>
        <v>0</v>
      </c>
      <c r="R608">
        <f>セットアップレポート!Q608</f>
        <v>0</v>
      </c>
      <c r="S608">
        <f>セットアップレポート!R608</f>
        <v>0</v>
      </c>
      <c r="T608">
        <f>セットアップレポート!S608</f>
        <v>0</v>
      </c>
      <c r="U608">
        <f>セットアップレポート!T608</f>
        <v>0</v>
      </c>
      <c r="V608">
        <f>セットアップレポート!U608</f>
        <v>0</v>
      </c>
      <c r="W608">
        <f>セットアップレポート!V608</f>
        <v>0</v>
      </c>
      <c r="X608">
        <f>セットアップレポート!W608</f>
        <v>0</v>
      </c>
      <c r="Y608">
        <f>セットアップレポート!X608</f>
        <v>0</v>
      </c>
      <c r="Z608">
        <f>セットアップレポート!Y608</f>
        <v>0</v>
      </c>
      <c r="AA608">
        <f>セットアップレポート!Z608</f>
        <v>0</v>
      </c>
      <c r="AB608">
        <f>セットアップレポート!AA608</f>
        <v>0</v>
      </c>
      <c r="AC608">
        <f>セットアップレポート!AB608</f>
        <v>0</v>
      </c>
      <c r="AD608">
        <f>セットアップレポート!AC608</f>
        <v>0</v>
      </c>
      <c r="AE608">
        <f>セットアップレポート!AD608</f>
        <v>0</v>
      </c>
      <c r="AF608">
        <f>セットアップレポート!AE608</f>
        <v>0</v>
      </c>
      <c r="AG608">
        <f>セットアップレポート!AF608</f>
        <v>0</v>
      </c>
      <c r="AH608">
        <f>セットアップレポート!AG608</f>
        <v>0</v>
      </c>
    </row>
    <row r="609" spans="1:34" x14ac:dyDescent="0.45">
      <c r="A609" t="str">
        <f t="shared" si="9"/>
        <v>000</v>
      </c>
      <c r="B609">
        <f>セットアップレポート!A609</f>
        <v>0</v>
      </c>
      <c r="C609">
        <f>セットアップレポート!B609</f>
        <v>0</v>
      </c>
      <c r="D609">
        <f>セットアップレポート!C609</f>
        <v>0</v>
      </c>
      <c r="E609">
        <f>セットアップレポート!D609</f>
        <v>0</v>
      </c>
      <c r="F609">
        <f>セットアップレポート!E609</f>
        <v>0</v>
      </c>
      <c r="G609">
        <f>セットアップレポート!F609</f>
        <v>0</v>
      </c>
      <c r="H609">
        <f>セットアップレポート!G609</f>
        <v>0</v>
      </c>
      <c r="I609">
        <f>セットアップレポート!H609</f>
        <v>0</v>
      </c>
      <c r="J609">
        <f>セットアップレポート!I609</f>
        <v>0</v>
      </c>
      <c r="K609">
        <f>セットアップレポート!J609</f>
        <v>0</v>
      </c>
      <c r="L609">
        <f>セットアップレポート!K609</f>
        <v>0</v>
      </c>
      <c r="M609">
        <f>セットアップレポート!L609</f>
        <v>0</v>
      </c>
      <c r="N609">
        <f>セットアップレポート!M609</f>
        <v>0</v>
      </c>
      <c r="O609">
        <f>セットアップレポート!N609</f>
        <v>0</v>
      </c>
      <c r="P609">
        <f>セットアップレポート!O609</f>
        <v>0</v>
      </c>
      <c r="Q609">
        <f>セットアップレポート!P609</f>
        <v>0</v>
      </c>
      <c r="R609">
        <f>セットアップレポート!Q609</f>
        <v>0</v>
      </c>
      <c r="S609">
        <f>セットアップレポート!R609</f>
        <v>0</v>
      </c>
      <c r="T609">
        <f>セットアップレポート!S609</f>
        <v>0</v>
      </c>
      <c r="U609">
        <f>セットアップレポート!T609</f>
        <v>0</v>
      </c>
      <c r="V609">
        <f>セットアップレポート!U609</f>
        <v>0</v>
      </c>
      <c r="W609">
        <f>セットアップレポート!V609</f>
        <v>0</v>
      </c>
      <c r="X609">
        <f>セットアップレポート!W609</f>
        <v>0</v>
      </c>
      <c r="Y609">
        <f>セットアップレポート!X609</f>
        <v>0</v>
      </c>
      <c r="Z609">
        <f>セットアップレポート!Y609</f>
        <v>0</v>
      </c>
      <c r="AA609">
        <f>セットアップレポート!Z609</f>
        <v>0</v>
      </c>
      <c r="AB609">
        <f>セットアップレポート!AA609</f>
        <v>0</v>
      </c>
      <c r="AC609">
        <f>セットアップレポート!AB609</f>
        <v>0</v>
      </c>
      <c r="AD609">
        <f>セットアップレポート!AC609</f>
        <v>0</v>
      </c>
      <c r="AE609">
        <f>セットアップレポート!AD609</f>
        <v>0</v>
      </c>
      <c r="AF609">
        <f>セットアップレポート!AE609</f>
        <v>0</v>
      </c>
      <c r="AG609">
        <f>セットアップレポート!AF609</f>
        <v>0</v>
      </c>
      <c r="AH609">
        <f>セットアップレポート!AG609</f>
        <v>0</v>
      </c>
    </row>
    <row r="610" spans="1:34" x14ac:dyDescent="0.45">
      <c r="A610" t="str">
        <f t="shared" si="9"/>
        <v>000</v>
      </c>
      <c r="B610">
        <f>セットアップレポート!A610</f>
        <v>0</v>
      </c>
      <c r="C610">
        <f>セットアップレポート!B610</f>
        <v>0</v>
      </c>
      <c r="D610">
        <f>セットアップレポート!C610</f>
        <v>0</v>
      </c>
      <c r="E610">
        <f>セットアップレポート!D610</f>
        <v>0</v>
      </c>
      <c r="F610">
        <f>セットアップレポート!E610</f>
        <v>0</v>
      </c>
      <c r="G610">
        <f>セットアップレポート!F610</f>
        <v>0</v>
      </c>
      <c r="H610">
        <f>セットアップレポート!G610</f>
        <v>0</v>
      </c>
      <c r="I610">
        <f>セットアップレポート!H610</f>
        <v>0</v>
      </c>
      <c r="J610">
        <f>セットアップレポート!I610</f>
        <v>0</v>
      </c>
      <c r="K610">
        <f>セットアップレポート!J610</f>
        <v>0</v>
      </c>
      <c r="L610">
        <f>セットアップレポート!K610</f>
        <v>0</v>
      </c>
      <c r="M610">
        <f>セットアップレポート!L610</f>
        <v>0</v>
      </c>
      <c r="N610">
        <f>セットアップレポート!M610</f>
        <v>0</v>
      </c>
      <c r="O610">
        <f>セットアップレポート!N610</f>
        <v>0</v>
      </c>
      <c r="P610">
        <f>セットアップレポート!O610</f>
        <v>0</v>
      </c>
      <c r="Q610">
        <f>セットアップレポート!P610</f>
        <v>0</v>
      </c>
      <c r="R610">
        <f>セットアップレポート!Q610</f>
        <v>0</v>
      </c>
      <c r="S610">
        <f>セットアップレポート!R610</f>
        <v>0</v>
      </c>
      <c r="T610">
        <f>セットアップレポート!S610</f>
        <v>0</v>
      </c>
      <c r="U610">
        <f>セットアップレポート!T610</f>
        <v>0</v>
      </c>
      <c r="V610">
        <f>セットアップレポート!U610</f>
        <v>0</v>
      </c>
      <c r="W610">
        <f>セットアップレポート!V610</f>
        <v>0</v>
      </c>
      <c r="X610">
        <f>セットアップレポート!W610</f>
        <v>0</v>
      </c>
      <c r="Y610">
        <f>セットアップレポート!X610</f>
        <v>0</v>
      </c>
      <c r="Z610">
        <f>セットアップレポート!Y610</f>
        <v>0</v>
      </c>
      <c r="AA610">
        <f>セットアップレポート!Z610</f>
        <v>0</v>
      </c>
      <c r="AB610">
        <f>セットアップレポート!AA610</f>
        <v>0</v>
      </c>
      <c r="AC610">
        <f>セットアップレポート!AB610</f>
        <v>0</v>
      </c>
      <c r="AD610">
        <f>セットアップレポート!AC610</f>
        <v>0</v>
      </c>
      <c r="AE610">
        <f>セットアップレポート!AD610</f>
        <v>0</v>
      </c>
      <c r="AF610">
        <f>セットアップレポート!AE610</f>
        <v>0</v>
      </c>
      <c r="AG610">
        <f>セットアップレポート!AF610</f>
        <v>0</v>
      </c>
      <c r="AH610">
        <f>セットアップレポート!AG610</f>
        <v>0</v>
      </c>
    </row>
    <row r="611" spans="1:34" x14ac:dyDescent="0.45">
      <c r="A611" t="str">
        <f t="shared" si="9"/>
        <v>000</v>
      </c>
      <c r="B611">
        <f>セットアップレポート!A611</f>
        <v>0</v>
      </c>
      <c r="C611">
        <f>セットアップレポート!B611</f>
        <v>0</v>
      </c>
      <c r="D611">
        <f>セットアップレポート!C611</f>
        <v>0</v>
      </c>
      <c r="E611">
        <f>セットアップレポート!D611</f>
        <v>0</v>
      </c>
      <c r="F611">
        <f>セットアップレポート!E611</f>
        <v>0</v>
      </c>
      <c r="G611">
        <f>セットアップレポート!F611</f>
        <v>0</v>
      </c>
      <c r="H611">
        <f>セットアップレポート!G611</f>
        <v>0</v>
      </c>
      <c r="I611">
        <f>セットアップレポート!H611</f>
        <v>0</v>
      </c>
      <c r="J611">
        <f>セットアップレポート!I611</f>
        <v>0</v>
      </c>
      <c r="K611">
        <f>セットアップレポート!J611</f>
        <v>0</v>
      </c>
      <c r="L611">
        <f>セットアップレポート!K611</f>
        <v>0</v>
      </c>
      <c r="M611">
        <f>セットアップレポート!L611</f>
        <v>0</v>
      </c>
      <c r="N611">
        <f>セットアップレポート!M611</f>
        <v>0</v>
      </c>
      <c r="O611">
        <f>セットアップレポート!N611</f>
        <v>0</v>
      </c>
      <c r="P611">
        <f>セットアップレポート!O611</f>
        <v>0</v>
      </c>
      <c r="Q611">
        <f>セットアップレポート!P611</f>
        <v>0</v>
      </c>
      <c r="R611">
        <f>セットアップレポート!Q611</f>
        <v>0</v>
      </c>
      <c r="S611">
        <f>セットアップレポート!R611</f>
        <v>0</v>
      </c>
      <c r="T611">
        <f>セットアップレポート!S611</f>
        <v>0</v>
      </c>
      <c r="U611">
        <f>セットアップレポート!T611</f>
        <v>0</v>
      </c>
      <c r="V611">
        <f>セットアップレポート!U611</f>
        <v>0</v>
      </c>
      <c r="W611">
        <f>セットアップレポート!V611</f>
        <v>0</v>
      </c>
      <c r="X611">
        <f>セットアップレポート!W611</f>
        <v>0</v>
      </c>
      <c r="Y611">
        <f>セットアップレポート!X611</f>
        <v>0</v>
      </c>
      <c r="Z611">
        <f>セットアップレポート!Y611</f>
        <v>0</v>
      </c>
      <c r="AA611">
        <f>セットアップレポート!Z611</f>
        <v>0</v>
      </c>
      <c r="AB611">
        <f>セットアップレポート!AA611</f>
        <v>0</v>
      </c>
      <c r="AC611">
        <f>セットアップレポート!AB611</f>
        <v>0</v>
      </c>
      <c r="AD611">
        <f>セットアップレポート!AC611</f>
        <v>0</v>
      </c>
      <c r="AE611">
        <f>セットアップレポート!AD611</f>
        <v>0</v>
      </c>
      <c r="AF611">
        <f>セットアップレポート!AE611</f>
        <v>0</v>
      </c>
      <c r="AG611">
        <f>セットアップレポート!AF611</f>
        <v>0</v>
      </c>
      <c r="AH611">
        <f>セットアップレポート!AG611</f>
        <v>0</v>
      </c>
    </row>
    <row r="612" spans="1:34" x14ac:dyDescent="0.45">
      <c r="A612" t="str">
        <f t="shared" si="9"/>
        <v>000</v>
      </c>
      <c r="B612">
        <f>セットアップレポート!A612</f>
        <v>0</v>
      </c>
      <c r="C612">
        <f>セットアップレポート!B612</f>
        <v>0</v>
      </c>
      <c r="D612">
        <f>セットアップレポート!C612</f>
        <v>0</v>
      </c>
      <c r="E612">
        <f>セットアップレポート!D612</f>
        <v>0</v>
      </c>
      <c r="F612">
        <f>セットアップレポート!E612</f>
        <v>0</v>
      </c>
      <c r="G612">
        <f>セットアップレポート!F612</f>
        <v>0</v>
      </c>
      <c r="H612">
        <f>セットアップレポート!G612</f>
        <v>0</v>
      </c>
      <c r="I612">
        <f>セットアップレポート!H612</f>
        <v>0</v>
      </c>
      <c r="J612">
        <f>セットアップレポート!I612</f>
        <v>0</v>
      </c>
      <c r="K612">
        <f>セットアップレポート!J612</f>
        <v>0</v>
      </c>
      <c r="L612">
        <f>セットアップレポート!K612</f>
        <v>0</v>
      </c>
      <c r="M612">
        <f>セットアップレポート!L612</f>
        <v>0</v>
      </c>
      <c r="N612">
        <f>セットアップレポート!M612</f>
        <v>0</v>
      </c>
      <c r="O612">
        <f>セットアップレポート!N612</f>
        <v>0</v>
      </c>
      <c r="P612">
        <f>セットアップレポート!O612</f>
        <v>0</v>
      </c>
      <c r="Q612">
        <f>セットアップレポート!P612</f>
        <v>0</v>
      </c>
      <c r="R612">
        <f>セットアップレポート!Q612</f>
        <v>0</v>
      </c>
      <c r="S612">
        <f>セットアップレポート!R612</f>
        <v>0</v>
      </c>
      <c r="T612">
        <f>セットアップレポート!S612</f>
        <v>0</v>
      </c>
      <c r="U612">
        <f>セットアップレポート!T612</f>
        <v>0</v>
      </c>
      <c r="V612">
        <f>セットアップレポート!U612</f>
        <v>0</v>
      </c>
      <c r="W612">
        <f>セットアップレポート!V612</f>
        <v>0</v>
      </c>
      <c r="X612">
        <f>セットアップレポート!W612</f>
        <v>0</v>
      </c>
      <c r="Y612">
        <f>セットアップレポート!X612</f>
        <v>0</v>
      </c>
      <c r="Z612">
        <f>セットアップレポート!Y612</f>
        <v>0</v>
      </c>
      <c r="AA612">
        <f>セットアップレポート!Z612</f>
        <v>0</v>
      </c>
      <c r="AB612">
        <f>セットアップレポート!AA612</f>
        <v>0</v>
      </c>
      <c r="AC612">
        <f>セットアップレポート!AB612</f>
        <v>0</v>
      </c>
      <c r="AD612">
        <f>セットアップレポート!AC612</f>
        <v>0</v>
      </c>
      <c r="AE612">
        <f>セットアップレポート!AD612</f>
        <v>0</v>
      </c>
      <c r="AF612">
        <f>セットアップレポート!AE612</f>
        <v>0</v>
      </c>
      <c r="AG612">
        <f>セットアップレポート!AF612</f>
        <v>0</v>
      </c>
      <c r="AH612">
        <f>セットアップレポート!AG612</f>
        <v>0</v>
      </c>
    </row>
    <row r="613" spans="1:34" x14ac:dyDescent="0.45">
      <c r="A613" t="str">
        <f t="shared" si="9"/>
        <v>000</v>
      </c>
      <c r="B613">
        <f>セットアップレポート!A613</f>
        <v>0</v>
      </c>
      <c r="C613">
        <f>セットアップレポート!B613</f>
        <v>0</v>
      </c>
      <c r="D613">
        <f>セットアップレポート!C613</f>
        <v>0</v>
      </c>
      <c r="E613">
        <f>セットアップレポート!D613</f>
        <v>0</v>
      </c>
      <c r="F613">
        <f>セットアップレポート!E613</f>
        <v>0</v>
      </c>
      <c r="G613">
        <f>セットアップレポート!F613</f>
        <v>0</v>
      </c>
      <c r="H613">
        <f>セットアップレポート!G613</f>
        <v>0</v>
      </c>
      <c r="I613">
        <f>セットアップレポート!H613</f>
        <v>0</v>
      </c>
      <c r="J613">
        <f>セットアップレポート!I613</f>
        <v>0</v>
      </c>
      <c r="K613">
        <f>セットアップレポート!J613</f>
        <v>0</v>
      </c>
      <c r="L613">
        <f>セットアップレポート!K613</f>
        <v>0</v>
      </c>
      <c r="M613">
        <f>セットアップレポート!L613</f>
        <v>0</v>
      </c>
      <c r="N613">
        <f>セットアップレポート!M613</f>
        <v>0</v>
      </c>
      <c r="O613">
        <f>セットアップレポート!N613</f>
        <v>0</v>
      </c>
      <c r="P613">
        <f>セットアップレポート!O613</f>
        <v>0</v>
      </c>
      <c r="Q613">
        <f>セットアップレポート!P613</f>
        <v>0</v>
      </c>
      <c r="R613">
        <f>セットアップレポート!Q613</f>
        <v>0</v>
      </c>
      <c r="S613">
        <f>セットアップレポート!R613</f>
        <v>0</v>
      </c>
      <c r="T613">
        <f>セットアップレポート!S613</f>
        <v>0</v>
      </c>
      <c r="U613">
        <f>セットアップレポート!T613</f>
        <v>0</v>
      </c>
      <c r="V613">
        <f>セットアップレポート!U613</f>
        <v>0</v>
      </c>
      <c r="W613">
        <f>セットアップレポート!V613</f>
        <v>0</v>
      </c>
      <c r="X613">
        <f>セットアップレポート!W613</f>
        <v>0</v>
      </c>
      <c r="Y613">
        <f>セットアップレポート!X613</f>
        <v>0</v>
      </c>
      <c r="Z613">
        <f>セットアップレポート!Y613</f>
        <v>0</v>
      </c>
      <c r="AA613">
        <f>セットアップレポート!Z613</f>
        <v>0</v>
      </c>
      <c r="AB613">
        <f>セットアップレポート!AA613</f>
        <v>0</v>
      </c>
      <c r="AC613">
        <f>セットアップレポート!AB613</f>
        <v>0</v>
      </c>
      <c r="AD613">
        <f>セットアップレポート!AC613</f>
        <v>0</v>
      </c>
      <c r="AE613">
        <f>セットアップレポート!AD613</f>
        <v>0</v>
      </c>
      <c r="AF613">
        <f>セットアップレポート!AE613</f>
        <v>0</v>
      </c>
      <c r="AG613">
        <f>セットアップレポート!AF613</f>
        <v>0</v>
      </c>
      <c r="AH613">
        <f>セットアップレポート!AG613</f>
        <v>0</v>
      </c>
    </row>
    <row r="614" spans="1:34" x14ac:dyDescent="0.45">
      <c r="A614" t="str">
        <f t="shared" si="9"/>
        <v>000</v>
      </c>
      <c r="B614">
        <f>セットアップレポート!A614</f>
        <v>0</v>
      </c>
      <c r="C614">
        <f>セットアップレポート!B614</f>
        <v>0</v>
      </c>
      <c r="D614">
        <f>セットアップレポート!C614</f>
        <v>0</v>
      </c>
      <c r="E614">
        <f>セットアップレポート!D614</f>
        <v>0</v>
      </c>
      <c r="F614">
        <f>セットアップレポート!E614</f>
        <v>0</v>
      </c>
      <c r="G614">
        <f>セットアップレポート!F614</f>
        <v>0</v>
      </c>
      <c r="H614">
        <f>セットアップレポート!G614</f>
        <v>0</v>
      </c>
      <c r="I614">
        <f>セットアップレポート!H614</f>
        <v>0</v>
      </c>
      <c r="J614">
        <f>セットアップレポート!I614</f>
        <v>0</v>
      </c>
      <c r="K614">
        <f>セットアップレポート!J614</f>
        <v>0</v>
      </c>
      <c r="L614">
        <f>セットアップレポート!K614</f>
        <v>0</v>
      </c>
      <c r="M614">
        <f>セットアップレポート!L614</f>
        <v>0</v>
      </c>
      <c r="N614">
        <f>セットアップレポート!M614</f>
        <v>0</v>
      </c>
      <c r="O614">
        <f>セットアップレポート!N614</f>
        <v>0</v>
      </c>
      <c r="P614">
        <f>セットアップレポート!O614</f>
        <v>0</v>
      </c>
      <c r="Q614">
        <f>セットアップレポート!P614</f>
        <v>0</v>
      </c>
      <c r="R614">
        <f>セットアップレポート!Q614</f>
        <v>0</v>
      </c>
      <c r="S614">
        <f>セットアップレポート!R614</f>
        <v>0</v>
      </c>
      <c r="T614">
        <f>セットアップレポート!S614</f>
        <v>0</v>
      </c>
      <c r="U614">
        <f>セットアップレポート!T614</f>
        <v>0</v>
      </c>
      <c r="V614">
        <f>セットアップレポート!U614</f>
        <v>0</v>
      </c>
      <c r="W614">
        <f>セットアップレポート!V614</f>
        <v>0</v>
      </c>
      <c r="X614">
        <f>セットアップレポート!W614</f>
        <v>0</v>
      </c>
      <c r="Y614">
        <f>セットアップレポート!X614</f>
        <v>0</v>
      </c>
      <c r="Z614">
        <f>セットアップレポート!Y614</f>
        <v>0</v>
      </c>
      <c r="AA614">
        <f>セットアップレポート!Z614</f>
        <v>0</v>
      </c>
      <c r="AB614">
        <f>セットアップレポート!AA614</f>
        <v>0</v>
      </c>
      <c r="AC614">
        <f>セットアップレポート!AB614</f>
        <v>0</v>
      </c>
      <c r="AD614">
        <f>セットアップレポート!AC614</f>
        <v>0</v>
      </c>
      <c r="AE614">
        <f>セットアップレポート!AD614</f>
        <v>0</v>
      </c>
      <c r="AF614">
        <f>セットアップレポート!AE614</f>
        <v>0</v>
      </c>
      <c r="AG614">
        <f>セットアップレポート!AF614</f>
        <v>0</v>
      </c>
      <c r="AH614">
        <f>セットアップレポート!AG614</f>
        <v>0</v>
      </c>
    </row>
    <row r="615" spans="1:34" x14ac:dyDescent="0.45">
      <c r="A615" t="str">
        <f t="shared" si="9"/>
        <v>000</v>
      </c>
      <c r="B615">
        <f>セットアップレポート!A615</f>
        <v>0</v>
      </c>
      <c r="C615">
        <f>セットアップレポート!B615</f>
        <v>0</v>
      </c>
      <c r="D615">
        <f>セットアップレポート!C615</f>
        <v>0</v>
      </c>
      <c r="E615">
        <f>セットアップレポート!D615</f>
        <v>0</v>
      </c>
      <c r="F615">
        <f>セットアップレポート!E615</f>
        <v>0</v>
      </c>
      <c r="G615">
        <f>セットアップレポート!F615</f>
        <v>0</v>
      </c>
      <c r="H615">
        <f>セットアップレポート!G615</f>
        <v>0</v>
      </c>
      <c r="I615">
        <f>セットアップレポート!H615</f>
        <v>0</v>
      </c>
      <c r="J615">
        <f>セットアップレポート!I615</f>
        <v>0</v>
      </c>
      <c r="K615">
        <f>セットアップレポート!J615</f>
        <v>0</v>
      </c>
      <c r="L615">
        <f>セットアップレポート!K615</f>
        <v>0</v>
      </c>
      <c r="M615">
        <f>セットアップレポート!L615</f>
        <v>0</v>
      </c>
      <c r="N615">
        <f>セットアップレポート!M615</f>
        <v>0</v>
      </c>
      <c r="O615">
        <f>セットアップレポート!N615</f>
        <v>0</v>
      </c>
      <c r="P615">
        <f>セットアップレポート!O615</f>
        <v>0</v>
      </c>
      <c r="Q615">
        <f>セットアップレポート!P615</f>
        <v>0</v>
      </c>
      <c r="R615">
        <f>セットアップレポート!Q615</f>
        <v>0</v>
      </c>
      <c r="S615">
        <f>セットアップレポート!R615</f>
        <v>0</v>
      </c>
      <c r="T615">
        <f>セットアップレポート!S615</f>
        <v>0</v>
      </c>
      <c r="U615">
        <f>セットアップレポート!T615</f>
        <v>0</v>
      </c>
      <c r="V615">
        <f>セットアップレポート!U615</f>
        <v>0</v>
      </c>
      <c r="W615">
        <f>セットアップレポート!V615</f>
        <v>0</v>
      </c>
      <c r="X615">
        <f>セットアップレポート!W615</f>
        <v>0</v>
      </c>
      <c r="Y615">
        <f>セットアップレポート!X615</f>
        <v>0</v>
      </c>
      <c r="Z615">
        <f>セットアップレポート!Y615</f>
        <v>0</v>
      </c>
      <c r="AA615">
        <f>セットアップレポート!Z615</f>
        <v>0</v>
      </c>
      <c r="AB615">
        <f>セットアップレポート!AA615</f>
        <v>0</v>
      </c>
      <c r="AC615">
        <f>セットアップレポート!AB615</f>
        <v>0</v>
      </c>
      <c r="AD615">
        <f>セットアップレポート!AC615</f>
        <v>0</v>
      </c>
      <c r="AE615">
        <f>セットアップレポート!AD615</f>
        <v>0</v>
      </c>
      <c r="AF615">
        <f>セットアップレポート!AE615</f>
        <v>0</v>
      </c>
      <c r="AG615">
        <f>セットアップレポート!AF615</f>
        <v>0</v>
      </c>
      <c r="AH615">
        <f>セットアップレポート!AG615</f>
        <v>0</v>
      </c>
    </row>
    <row r="616" spans="1:34" x14ac:dyDescent="0.45">
      <c r="A616" t="str">
        <f t="shared" si="9"/>
        <v>000</v>
      </c>
      <c r="B616">
        <f>セットアップレポート!A616</f>
        <v>0</v>
      </c>
      <c r="C616">
        <f>セットアップレポート!B616</f>
        <v>0</v>
      </c>
      <c r="D616">
        <f>セットアップレポート!C616</f>
        <v>0</v>
      </c>
      <c r="E616">
        <f>セットアップレポート!D616</f>
        <v>0</v>
      </c>
      <c r="F616">
        <f>セットアップレポート!E616</f>
        <v>0</v>
      </c>
      <c r="G616">
        <f>セットアップレポート!F616</f>
        <v>0</v>
      </c>
      <c r="H616">
        <f>セットアップレポート!G616</f>
        <v>0</v>
      </c>
      <c r="I616">
        <f>セットアップレポート!H616</f>
        <v>0</v>
      </c>
      <c r="J616">
        <f>セットアップレポート!I616</f>
        <v>0</v>
      </c>
      <c r="K616">
        <f>セットアップレポート!J616</f>
        <v>0</v>
      </c>
      <c r="L616">
        <f>セットアップレポート!K616</f>
        <v>0</v>
      </c>
      <c r="M616">
        <f>セットアップレポート!L616</f>
        <v>0</v>
      </c>
      <c r="N616">
        <f>セットアップレポート!M616</f>
        <v>0</v>
      </c>
      <c r="O616">
        <f>セットアップレポート!N616</f>
        <v>0</v>
      </c>
      <c r="P616">
        <f>セットアップレポート!O616</f>
        <v>0</v>
      </c>
      <c r="Q616">
        <f>セットアップレポート!P616</f>
        <v>0</v>
      </c>
      <c r="R616">
        <f>セットアップレポート!Q616</f>
        <v>0</v>
      </c>
      <c r="S616">
        <f>セットアップレポート!R616</f>
        <v>0</v>
      </c>
      <c r="T616">
        <f>セットアップレポート!S616</f>
        <v>0</v>
      </c>
      <c r="U616">
        <f>セットアップレポート!T616</f>
        <v>0</v>
      </c>
      <c r="V616">
        <f>セットアップレポート!U616</f>
        <v>0</v>
      </c>
      <c r="W616">
        <f>セットアップレポート!V616</f>
        <v>0</v>
      </c>
      <c r="X616">
        <f>セットアップレポート!W616</f>
        <v>0</v>
      </c>
      <c r="Y616">
        <f>セットアップレポート!X616</f>
        <v>0</v>
      </c>
      <c r="Z616">
        <f>セットアップレポート!Y616</f>
        <v>0</v>
      </c>
      <c r="AA616">
        <f>セットアップレポート!Z616</f>
        <v>0</v>
      </c>
      <c r="AB616">
        <f>セットアップレポート!AA616</f>
        <v>0</v>
      </c>
      <c r="AC616">
        <f>セットアップレポート!AB616</f>
        <v>0</v>
      </c>
      <c r="AD616">
        <f>セットアップレポート!AC616</f>
        <v>0</v>
      </c>
      <c r="AE616">
        <f>セットアップレポート!AD616</f>
        <v>0</v>
      </c>
      <c r="AF616">
        <f>セットアップレポート!AE616</f>
        <v>0</v>
      </c>
      <c r="AG616">
        <f>セットアップレポート!AF616</f>
        <v>0</v>
      </c>
      <c r="AH616">
        <f>セットアップレポート!AG616</f>
        <v>0</v>
      </c>
    </row>
    <row r="617" spans="1:34" x14ac:dyDescent="0.45">
      <c r="A617" t="str">
        <f t="shared" si="9"/>
        <v>000</v>
      </c>
      <c r="B617">
        <f>セットアップレポート!A617</f>
        <v>0</v>
      </c>
      <c r="C617">
        <f>セットアップレポート!B617</f>
        <v>0</v>
      </c>
      <c r="D617">
        <f>セットアップレポート!C617</f>
        <v>0</v>
      </c>
      <c r="E617">
        <f>セットアップレポート!D617</f>
        <v>0</v>
      </c>
      <c r="F617">
        <f>セットアップレポート!E617</f>
        <v>0</v>
      </c>
      <c r="G617">
        <f>セットアップレポート!F617</f>
        <v>0</v>
      </c>
      <c r="H617">
        <f>セットアップレポート!G617</f>
        <v>0</v>
      </c>
      <c r="I617">
        <f>セットアップレポート!H617</f>
        <v>0</v>
      </c>
      <c r="J617">
        <f>セットアップレポート!I617</f>
        <v>0</v>
      </c>
      <c r="K617">
        <f>セットアップレポート!J617</f>
        <v>0</v>
      </c>
      <c r="L617">
        <f>セットアップレポート!K617</f>
        <v>0</v>
      </c>
      <c r="M617">
        <f>セットアップレポート!L617</f>
        <v>0</v>
      </c>
      <c r="N617">
        <f>セットアップレポート!M617</f>
        <v>0</v>
      </c>
      <c r="O617">
        <f>セットアップレポート!N617</f>
        <v>0</v>
      </c>
      <c r="P617">
        <f>セットアップレポート!O617</f>
        <v>0</v>
      </c>
      <c r="Q617">
        <f>セットアップレポート!P617</f>
        <v>0</v>
      </c>
      <c r="R617">
        <f>セットアップレポート!Q617</f>
        <v>0</v>
      </c>
      <c r="S617">
        <f>セットアップレポート!R617</f>
        <v>0</v>
      </c>
      <c r="T617">
        <f>セットアップレポート!S617</f>
        <v>0</v>
      </c>
      <c r="U617">
        <f>セットアップレポート!T617</f>
        <v>0</v>
      </c>
      <c r="V617">
        <f>セットアップレポート!U617</f>
        <v>0</v>
      </c>
      <c r="W617">
        <f>セットアップレポート!V617</f>
        <v>0</v>
      </c>
      <c r="X617">
        <f>セットアップレポート!W617</f>
        <v>0</v>
      </c>
      <c r="Y617">
        <f>セットアップレポート!X617</f>
        <v>0</v>
      </c>
      <c r="Z617">
        <f>セットアップレポート!Y617</f>
        <v>0</v>
      </c>
      <c r="AA617">
        <f>セットアップレポート!Z617</f>
        <v>0</v>
      </c>
      <c r="AB617">
        <f>セットアップレポート!AA617</f>
        <v>0</v>
      </c>
      <c r="AC617">
        <f>セットアップレポート!AB617</f>
        <v>0</v>
      </c>
      <c r="AD617">
        <f>セットアップレポート!AC617</f>
        <v>0</v>
      </c>
      <c r="AE617">
        <f>セットアップレポート!AD617</f>
        <v>0</v>
      </c>
      <c r="AF617">
        <f>セットアップレポート!AE617</f>
        <v>0</v>
      </c>
      <c r="AG617">
        <f>セットアップレポート!AF617</f>
        <v>0</v>
      </c>
      <c r="AH617">
        <f>セットアップレポート!AG617</f>
        <v>0</v>
      </c>
    </row>
    <row r="618" spans="1:34" x14ac:dyDescent="0.45">
      <c r="A618" t="str">
        <f t="shared" si="9"/>
        <v>000</v>
      </c>
      <c r="B618">
        <f>セットアップレポート!A618</f>
        <v>0</v>
      </c>
      <c r="C618">
        <f>セットアップレポート!B618</f>
        <v>0</v>
      </c>
      <c r="D618">
        <f>セットアップレポート!C618</f>
        <v>0</v>
      </c>
      <c r="E618">
        <f>セットアップレポート!D618</f>
        <v>0</v>
      </c>
      <c r="F618">
        <f>セットアップレポート!E618</f>
        <v>0</v>
      </c>
      <c r="G618">
        <f>セットアップレポート!F618</f>
        <v>0</v>
      </c>
      <c r="H618">
        <f>セットアップレポート!G618</f>
        <v>0</v>
      </c>
      <c r="I618">
        <f>セットアップレポート!H618</f>
        <v>0</v>
      </c>
      <c r="J618">
        <f>セットアップレポート!I618</f>
        <v>0</v>
      </c>
      <c r="K618">
        <f>セットアップレポート!J618</f>
        <v>0</v>
      </c>
      <c r="L618">
        <f>セットアップレポート!K618</f>
        <v>0</v>
      </c>
      <c r="M618">
        <f>セットアップレポート!L618</f>
        <v>0</v>
      </c>
      <c r="N618">
        <f>セットアップレポート!M618</f>
        <v>0</v>
      </c>
      <c r="O618">
        <f>セットアップレポート!N618</f>
        <v>0</v>
      </c>
      <c r="P618">
        <f>セットアップレポート!O618</f>
        <v>0</v>
      </c>
      <c r="Q618">
        <f>セットアップレポート!P618</f>
        <v>0</v>
      </c>
      <c r="R618">
        <f>セットアップレポート!Q618</f>
        <v>0</v>
      </c>
      <c r="S618">
        <f>セットアップレポート!R618</f>
        <v>0</v>
      </c>
      <c r="T618">
        <f>セットアップレポート!S618</f>
        <v>0</v>
      </c>
      <c r="U618">
        <f>セットアップレポート!T618</f>
        <v>0</v>
      </c>
      <c r="V618">
        <f>セットアップレポート!U618</f>
        <v>0</v>
      </c>
      <c r="W618">
        <f>セットアップレポート!V618</f>
        <v>0</v>
      </c>
      <c r="X618">
        <f>セットアップレポート!W618</f>
        <v>0</v>
      </c>
      <c r="Y618">
        <f>セットアップレポート!X618</f>
        <v>0</v>
      </c>
      <c r="Z618">
        <f>セットアップレポート!Y618</f>
        <v>0</v>
      </c>
      <c r="AA618">
        <f>セットアップレポート!Z618</f>
        <v>0</v>
      </c>
      <c r="AB618">
        <f>セットアップレポート!AA618</f>
        <v>0</v>
      </c>
      <c r="AC618">
        <f>セットアップレポート!AB618</f>
        <v>0</v>
      </c>
      <c r="AD618">
        <f>セットアップレポート!AC618</f>
        <v>0</v>
      </c>
      <c r="AE618">
        <f>セットアップレポート!AD618</f>
        <v>0</v>
      </c>
      <c r="AF618">
        <f>セットアップレポート!AE618</f>
        <v>0</v>
      </c>
      <c r="AG618">
        <f>セットアップレポート!AF618</f>
        <v>0</v>
      </c>
      <c r="AH618">
        <f>セットアップレポート!AG618</f>
        <v>0</v>
      </c>
    </row>
    <row r="619" spans="1:34" x14ac:dyDescent="0.45">
      <c r="A619" t="str">
        <f t="shared" si="9"/>
        <v>000</v>
      </c>
      <c r="B619">
        <f>セットアップレポート!A619</f>
        <v>0</v>
      </c>
      <c r="C619">
        <f>セットアップレポート!B619</f>
        <v>0</v>
      </c>
      <c r="D619">
        <f>セットアップレポート!C619</f>
        <v>0</v>
      </c>
      <c r="E619">
        <f>セットアップレポート!D619</f>
        <v>0</v>
      </c>
      <c r="F619">
        <f>セットアップレポート!E619</f>
        <v>0</v>
      </c>
      <c r="G619">
        <f>セットアップレポート!F619</f>
        <v>0</v>
      </c>
      <c r="H619">
        <f>セットアップレポート!G619</f>
        <v>0</v>
      </c>
      <c r="I619">
        <f>セットアップレポート!H619</f>
        <v>0</v>
      </c>
      <c r="J619">
        <f>セットアップレポート!I619</f>
        <v>0</v>
      </c>
      <c r="K619">
        <f>セットアップレポート!J619</f>
        <v>0</v>
      </c>
      <c r="L619">
        <f>セットアップレポート!K619</f>
        <v>0</v>
      </c>
      <c r="M619">
        <f>セットアップレポート!L619</f>
        <v>0</v>
      </c>
      <c r="N619">
        <f>セットアップレポート!M619</f>
        <v>0</v>
      </c>
      <c r="O619">
        <f>セットアップレポート!N619</f>
        <v>0</v>
      </c>
      <c r="P619">
        <f>セットアップレポート!O619</f>
        <v>0</v>
      </c>
      <c r="Q619">
        <f>セットアップレポート!P619</f>
        <v>0</v>
      </c>
      <c r="R619">
        <f>セットアップレポート!Q619</f>
        <v>0</v>
      </c>
      <c r="S619">
        <f>セットアップレポート!R619</f>
        <v>0</v>
      </c>
      <c r="T619">
        <f>セットアップレポート!S619</f>
        <v>0</v>
      </c>
      <c r="U619">
        <f>セットアップレポート!T619</f>
        <v>0</v>
      </c>
      <c r="V619">
        <f>セットアップレポート!U619</f>
        <v>0</v>
      </c>
      <c r="W619">
        <f>セットアップレポート!V619</f>
        <v>0</v>
      </c>
      <c r="X619">
        <f>セットアップレポート!W619</f>
        <v>0</v>
      </c>
      <c r="Y619">
        <f>セットアップレポート!X619</f>
        <v>0</v>
      </c>
      <c r="Z619">
        <f>セットアップレポート!Y619</f>
        <v>0</v>
      </c>
      <c r="AA619">
        <f>セットアップレポート!Z619</f>
        <v>0</v>
      </c>
      <c r="AB619">
        <f>セットアップレポート!AA619</f>
        <v>0</v>
      </c>
      <c r="AC619">
        <f>セットアップレポート!AB619</f>
        <v>0</v>
      </c>
      <c r="AD619">
        <f>セットアップレポート!AC619</f>
        <v>0</v>
      </c>
      <c r="AE619">
        <f>セットアップレポート!AD619</f>
        <v>0</v>
      </c>
      <c r="AF619">
        <f>セットアップレポート!AE619</f>
        <v>0</v>
      </c>
      <c r="AG619">
        <f>セットアップレポート!AF619</f>
        <v>0</v>
      </c>
      <c r="AH619">
        <f>セットアップレポート!AG619</f>
        <v>0</v>
      </c>
    </row>
    <row r="620" spans="1:34" x14ac:dyDescent="0.45">
      <c r="A620" t="str">
        <f t="shared" si="9"/>
        <v>000</v>
      </c>
      <c r="B620">
        <f>セットアップレポート!A620</f>
        <v>0</v>
      </c>
      <c r="C620">
        <f>セットアップレポート!B620</f>
        <v>0</v>
      </c>
      <c r="D620">
        <f>セットアップレポート!C620</f>
        <v>0</v>
      </c>
      <c r="E620">
        <f>セットアップレポート!D620</f>
        <v>0</v>
      </c>
      <c r="F620">
        <f>セットアップレポート!E620</f>
        <v>0</v>
      </c>
      <c r="G620">
        <f>セットアップレポート!F620</f>
        <v>0</v>
      </c>
      <c r="H620">
        <f>セットアップレポート!G620</f>
        <v>0</v>
      </c>
      <c r="I620">
        <f>セットアップレポート!H620</f>
        <v>0</v>
      </c>
      <c r="J620">
        <f>セットアップレポート!I620</f>
        <v>0</v>
      </c>
      <c r="K620">
        <f>セットアップレポート!J620</f>
        <v>0</v>
      </c>
      <c r="L620">
        <f>セットアップレポート!K620</f>
        <v>0</v>
      </c>
      <c r="M620">
        <f>セットアップレポート!L620</f>
        <v>0</v>
      </c>
      <c r="N620">
        <f>セットアップレポート!M620</f>
        <v>0</v>
      </c>
      <c r="O620">
        <f>セットアップレポート!N620</f>
        <v>0</v>
      </c>
      <c r="P620">
        <f>セットアップレポート!O620</f>
        <v>0</v>
      </c>
      <c r="Q620">
        <f>セットアップレポート!P620</f>
        <v>0</v>
      </c>
      <c r="R620">
        <f>セットアップレポート!Q620</f>
        <v>0</v>
      </c>
      <c r="S620">
        <f>セットアップレポート!R620</f>
        <v>0</v>
      </c>
      <c r="T620">
        <f>セットアップレポート!S620</f>
        <v>0</v>
      </c>
      <c r="U620">
        <f>セットアップレポート!T620</f>
        <v>0</v>
      </c>
      <c r="V620">
        <f>セットアップレポート!U620</f>
        <v>0</v>
      </c>
      <c r="W620">
        <f>セットアップレポート!V620</f>
        <v>0</v>
      </c>
      <c r="X620">
        <f>セットアップレポート!W620</f>
        <v>0</v>
      </c>
      <c r="Y620">
        <f>セットアップレポート!X620</f>
        <v>0</v>
      </c>
      <c r="Z620">
        <f>セットアップレポート!Y620</f>
        <v>0</v>
      </c>
      <c r="AA620">
        <f>セットアップレポート!Z620</f>
        <v>0</v>
      </c>
      <c r="AB620">
        <f>セットアップレポート!AA620</f>
        <v>0</v>
      </c>
      <c r="AC620">
        <f>セットアップレポート!AB620</f>
        <v>0</v>
      </c>
      <c r="AD620">
        <f>セットアップレポート!AC620</f>
        <v>0</v>
      </c>
      <c r="AE620">
        <f>セットアップレポート!AD620</f>
        <v>0</v>
      </c>
      <c r="AF620">
        <f>セットアップレポート!AE620</f>
        <v>0</v>
      </c>
      <c r="AG620">
        <f>セットアップレポート!AF620</f>
        <v>0</v>
      </c>
      <c r="AH620">
        <f>セットアップレポート!AG620</f>
        <v>0</v>
      </c>
    </row>
    <row r="621" spans="1:34" x14ac:dyDescent="0.45">
      <c r="A621" t="str">
        <f t="shared" si="9"/>
        <v>000</v>
      </c>
      <c r="B621">
        <f>セットアップレポート!A621</f>
        <v>0</v>
      </c>
      <c r="C621">
        <f>セットアップレポート!B621</f>
        <v>0</v>
      </c>
      <c r="D621">
        <f>セットアップレポート!C621</f>
        <v>0</v>
      </c>
      <c r="E621">
        <f>セットアップレポート!D621</f>
        <v>0</v>
      </c>
      <c r="F621">
        <f>セットアップレポート!E621</f>
        <v>0</v>
      </c>
      <c r="G621">
        <f>セットアップレポート!F621</f>
        <v>0</v>
      </c>
      <c r="H621">
        <f>セットアップレポート!G621</f>
        <v>0</v>
      </c>
      <c r="I621">
        <f>セットアップレポート!H621</f>
        <v>0</v>
      </c>
      <c r="J621">
        <f>セットアップレポート!I621</f>
        <v>0</v>
      </c>
      <c r="K621">
        <f>セットアップレポート!J621</f>
        <v>0</v>
      </c>
      <c r="L621">
        <f>セットアップレポート!K621</f>
        <v>0</v>
      </c>
      <c r="M621">
        <f>セットアップレポート!L621</f>
        <v>0</v>
      </c>
      <c r="N621">
        <f>セットアップレポート!M621</f>
        <v>0</v>
      </c>
      <c r="O621">
        <f>セットアップレポート!N621</f>
        <v>0</v>
      </c>
      <c r="P621">
        <f>セットアップレポート!O621</f>
        <v>0</v>
      </c>
      <c r="Q621">
        <f>セットアップレポート!P621</f>
        <v>0</v>
      </c>
      <c r="R621">
        <f>セットアップレポート!Q621</f>
        <v>0</v>
      </c>
      <c r="S621">
        <f>セットアップレポート!R621</f>
        <v>0</v>
      </c>
      <c r="T621">
        <f>セットアップレポート!S621</f>
        <v>0</v>
      </c>
      <c r="U621">
        <f>セットアップレポート!T621</f>
        <v>0</v>
      </c>
      <c r="V621">
        <f>セットアップレポート!U621</f>
        <v>0</v>
      </c>
      <c r="W621">
        <f>セットアップレポート!V621</f>
        <v>0</v>
      </c>
      <c r="X621">
        <f>セットアップレポート!W621</f>
        <v>0</v>
      </c>
      <c r="Y621">
        <f>セットアップレポート!X621</f>
        <v>0</v>
      </c>
      <c r="Z621">
        <f>セットアップレポート!Y621</f>
        <v>0</v>
      </c>
      <c r="AA621">
        <f>セットアップレポート!Z621</f>
        <v>0</v>
      </c>
      <c r="AB621">
        <f>セットアップレポート!AA621</f>
        <v>0</v>
      </c>
      <c r="AC621">
        <f>セットアップレポート!AB621</f>
        <v>0</v>
      </c>
      <c r="AD621">
        <f>セットアップレポート!AC621</f>
        <v>0</v>
      </c>
      <c r="AE621">
        <f>セットアップレポート!AD621</f>
        <v>0</v>
      </c>
      <c r="AF621">
        <f>セットアップレポート!AE621</f>
        <v>0</v>
      </c>
      <c r="AG621">
        <f>セットアップレポート!AF621</f>
        <v>0</v>
      </c>
      <c r="AH621">
        <f>セットアップレポート!AG621</f>
        <v>0</v>
      </c>
    </row>
    <row r="622" spans="1:34" x14ac:dyDescent="0.45">
      <c r="A622" t="str">
        <f t="shared" si="9"/>
        <v>000</v>
      </c>
      <c r="B622">
        <f>セットアップレポート!A622</f>
        <v>0</v>
      </c>
      <c r="C622">
        <f>セットアップレポート!B622</f>
        <v>0</v>
      </c>
      <c r="D622">
        <f>セットアップレポート!C622</f>
        <v>0</v>
      </c>
      <c r="E622">
        <f>セットアップレポート!D622</f>
        <v>0</v>
      </c>
      <c r="F622">
        <f>セットアップレポート!E622</f>
        <v>0</v>
      </c>
      <c r="G622">
        <f>セットアップレポート!F622</f>
        <v>0</v>
      </c>
      <c r="H622">
        <f>セットアップレポート!G622</f>
        <v>0</v>
      </c>
      <c r="I622">
        <f>セットアップレポート!H622</f>
        <v>0</v>
      </c>
      <c r="J622">
        <f>セットアップレポート!I622</f>
        <v>0</v>
      </c>
      <c r="K622">
        <f>セットアップレポート!J622</f>
        <v>0</v>
      </c>
      <c r="L622">
        <f>セットアップレポート!K622</f>
        <v>0</v>
      </c>
      <c r="M622">
        <f>セットアップレポート!L622</f>
        <v>0</v>
      </c>
      <c r="N622">
        <f>セットアップレポート!M622</f>
        <v>0</v>
      </c>
      <c r="O622">
        <f>セットアップレポート!N622</f>
        <v>0</v>
      </c>
      <c r="P622">
        <f>セットアップレポート!O622</f>
        <v>0</v>
      </c>
      <c r="Q622">
        <f>セットアップレポート!P622</f>
        <v>0</v>
      </c>
      <c r="R622">
        <f>セットアップレポート!Q622</f>
        <v>0</v>
      </c>
      <c r="S622">
        <f>セットアップレポート!R622</f>
        <v>0</v>
      </c>
      <c r="T622">
        <f>セットアップレポート!S622</f>
        <v>0</v>
      </c>
      <c r="U622">
        <f>セットアップレポート!T622</f>
        <v>0</v>
      </c>
      <c r="V622">
        <f>セットアップレポート!U622</f>
        <v>0</v>
      </c>
      <c r="W622">
        <f>セットアップレポート!V622</f>
        <v>0</v>
      </c>
      <c r="X622">
        <f>セットアップレポート!W622</f>
        <v>0</v>
      </c>
      <c r="Y622">
        <f>セットアップレポート!X622</f>
        <v>0</v>
      </c>
      <c r="Z622">
        <f>セットアップレポート!Y622</f>
        <v>0</v>
      </c>
      <c r="AA622">
        <f>セットアップレポート!Z622</f>
        <v>0</v>
      </c>
      <c r="AB622">
        <f>セットアップレポート!AA622</f>
        <v>0</v>
      </c>
      <c r="AC622">
        <f>セットアップレポート!AB622</f>
        <v>0</v>
      </c>
      <c r="AD622">
        <f>セットアップレポート!AC622</f>
        <v>0</v>
      </c>
      <c r="AE622">
        <f>セットアップレポート!AD622</f>
        <v>0</v>
      </c>
      <c r="AF622">
        <f>セットアップレポート!AE622</f>
        <v>0</v>
      </c>
      <c r="AG622">
        <f>セットアップレポート!AF622</f>
        <v>0</v>
      </c>
      <c r="AH622">
        <f>セットアップレポート!AG622</f>
        <v>0</v>
      </c>
    </row>
    <row r="623" spans="1:34" x14ac:dyDescent="0.45">
      <c r="A623" t="str">
        <f t="shared" si="9"/>
        <v>000</v>
      </c>
      <c r="B623">
        <f>セットアップレポート!A623</f>
        <v>0</v>
      </c>
      <c r="C623">
        <f>セットアップレポート!B623</f>
        <v>0</v>
      </c>
      <c r="D623">
        <f>セットアップレポート!C623</f>
        <v>0</v>
      </c>
      <c r="E623">
        <f>セットアップレポート!D623</f>
        <v>0</v>
      </c>
      <c r="F623">
        <f>セットアップレポート!E623</f>
        <v>0</v>
      </c>
      <c r="G623">
        <f>セットアップレポート!F623</f>
        <v>0</v>
      </c>
      <c r="H623">
        <f>セットアップレポート!G623</f>
        <v>0</v>
      </c>
      <c r="I623">
        <f>セットアップレポート!H623</f>
        <v>0</v>
      </c>
      <c r="J623">
        <f>セットアップレポート!I623</f>
        <v>0</v>
      </c>
      <c r="K623">
        <f>セットアップレポート!J623</f>
        <v>0</v>
      </c>
      <c r="L623">
        <f>セットアップレポート!K623</f>
        <v>0</v>
      </c>
      <c r="M623">
        <f>セットアップレポート!L623</f>
        <v>0</v>
      </c>
      <c r="N623">
        <f>セットアップレポート!M623</f>
        <v>0</v>
      </c>
      <c r="O623">
        <f>セットアップレポート!N623</f>
        <v>0</v>
      </c>
      <c r="P623">
        <f>セットアップレポート!O623</f>
        <v>0</v>
      </c>
      <c r="Q623">
        <f>セットアップレポート!P623</f>
        <v>0</v>
      </c>
      <c r="R623">
        <f>セットアップレポート!Q623</f>
        <v>0</v>
      </c>
      <c r="S623">
        <f>セットアップレポート!R623</f>
        <v>0</v>
      </c>
      <c r="T623">
        <f>セットアップレポート!S623</f>
        <v>0</v>
      </c>
      <c r="U623">
        <f>セットアップレポート!T623</f>
        <v>0</v>
      </c>
      <c r="V623">
        <f>セットアップレポート!U623</f>
        <v>0</v>
      </c>
      <c r="W623">
        <f>セットアップレポート!V623</f>
        <v>0</v>
      </c>
      <c r="X623">
        <f>セットアップレポート!W623</f>
        <v>0</v>
      </c>
      <c r="Y623">
        <f>セットアップレポート!X623</f>
        <v>0</v>
      </c>
      <c r="Z623">
        <f>セットアップレポート!Y623</f>
        <v>0</v>
      </c>
      <c r="AA623">
        <f>セットアップレポート!Z623</f>
        <v>0</v>
      </c>
      <c r="AB623">
        <f>セットアップレポート!AA623</f>
        <v>0</v>
      </c>
      <c r="AC623">
        <f>セットアップレポート!AB623</f>
        <v>0</v>
      </c>
      <c r="AD623">
        <f>セットアップレポート!AC623</f>
        <v>0</v>
      </c>
      <c r="AE623">
        <f>セットアップレポート!AD623</f>
        <v>0</v>
      </c>
      <c r="AF623">
        <f>セットアップレポート!AE623</f>
        <v>0</v>
      </c>
      <c r="AG623">
        <f>セットアップレポート!AF623</f>
        <v>0</v>
      </c>
      <c r="AH623">
        <f>セットアップレポート!AG623</f>
        <v>0</v>
      </c>
    </row>
    <row r="624" spans="1:34" x14ac:dyDescent="0.45">
      <c r="A624" t="str">
        <f t="shared" si="9"/>
        <v>000</v>
      </c>
      <c r="B624">
        <f>セットアップレポート!A624</f>
        <v>0</v>
      </c>
      <c r="C624">
        <f>セットアップレポート!B624</f>
        <v>0</v>
      </c>
      <c r="D624">
        <f>セットアップレポート!C624</f>
        <v>0</v>
      </c>
      <c r="E624">
        <f>セットアップレポート!D624</f>
        <v>0</v>
      </c>
      <c r="F624">
        <f>セットアップレポート!E624</f>
        <v>0</v>
      </c>
      <c r="G624">
        <f>セットアップレポート!F624</f>
        <v>0</v>
      </c>
      <c r="H624">
        <f>セットアップレポート!G624</f>
        <v>0</v>
      </c>
      <c r="I624">
        <f>セットアップレポート!H624</f>
        <v>0</v>
      </c>
      <c r="J624">
        <f>セットアップレポート!I624</f>
        <v>0</v>
      </c>
      <c r="K624">
        <f>セットアップレポート!J624</f>
        <v>0</v>
      </c>
      <c r="L624">
        <f>セットアップレポート!K624</f>
        <v>0</v>
      </c>
      <c r="M624">
        <f>セットアップレポート!L624</f>
        <v>0</v>
      </c>
      <c r="N624">
        <f>セットアップレポート!M624</f>
        <v>0</v>
      </c>
      <c r="O624">
        <f>セットアップレポート!N624</f>
        <v>0</v>
      </c>
      <c r="P624">
        <f>セットアップレポート!O624</f>
        <v>0</v>
      </c>
      <c r="Q624">
        <f>セットアップレポート!P624</f>
        <v>0</v>
      </c>
      <c r="R624">
        <f>セットアップレポート!Q624</f>
        <v>0</v>
      </c>
      <c r="S624">
        <f>セットアップレポート!R624</f>
        <v>0</v>
      </c>
      <c r="T624">
        <f>セットアップレポート!S624</f>
        <v>0</v>
      </c>
      <c r="U624">
        <f>セットアップレポート!T624</f>
        <v>0</v>
      </c>
      <c r="V624">
        <f>セットアップレポート!U624</f>
        <v>0</v>
      </c>
      <c r="W624">
        <f>セットアップレポート!V624</f>
        <v>0</v>
      </c>
      <c r="X624">
        <f>セットアップレポート!W624</f>
        <v>0</v>
      </c>
      <c r="Y624">
        <f>セットアップレポート!X624</f>
        <v>0</v>
      </c>
      <c r="Z624">
        <f>セットアップレポート!Y624</f>
        <v>0</v>
      </c>
      <c r="AA624">
        <f>セットアップレポート!Z624</f>
        <v>0</v>
      </c>
      <c r="AB624">
        <f>セットアップレポート!AA624</f>
        <v>0</v>
      </c>
      <c r="AC624">
        <f>セットアップレポート!AB624</f>
        <v>0</v>
      </c>
      <c r="AD624">
        <f>セットアップレポート!AC624</f>
        <v>0</v>
      </c>
      <c r="AE624">
        <f>セットアップレポート!AD624</f>
        <v>0</v>
      </c>
      <c r="AF624">
        <f>セットアップレポート!AE624</f>
        <v>0</v>
      </c>
      <c r="AG624">
        <f>セットアップレポート!AF624</f>
        <v>0</v>
      </c>
      <c r="AH624">
        <f>セットアップレポート!AG624</f>
        <v>0</v>
      </c>
    </row>
    <row r="625" spans="1:34" x14ac:dyDescent="0.45">
      <c r="A625" t="str">
        <f t="shared" si="9"/>
        <v>000</v>
      </c>
      <c r="B625">
        <f>セットアップレポート!A625</f>
        <v>0</v>
      </c>
      <c r="C625">
        <f>セットアップレポート!B625</f>
        <v>0</v>
      </c>
      <c r="D625">
        <f>セットアップレポート!C625</f>
        <v>0</v>
      </c>
      <c r="E625">
        <f>セットアップレポート!D625</f>
        <v>0</v>
      </c>
      <c r="F625">
        <f>セットアップレポート!E625</f>
        <v>0</v>
      </c>
      <c r="G625">
        <f>セットアップレポート!F625</f>
        <v>0</v>
      </c>
      <c r="H625">
        <f>セットアップレポート!G625</f>
        <v>0</v>
      </c>
      <c r="I625">
        <f>セットアップレポート!H625</f>
        <v>0</v>
      </c>
      <c r="J625">
        <f>セットアップレポート!I625</f>
        <v>0</v>
      </c>
      <c r="K625">
        <f>セットアップレポート!J625</f>
        <v>0</v>
      </c>
      <c r="L625">
        <f>セットアップレポート!K625</f>
        <v>0</v>
      </c>
      <c r="M625">
        <f>セットアップレポート!L625</f>
        <v>0</v>
      </c>
      <c r="N625">
        <f>セットアップレポート!M625</f>
        <v>0</v>
      </c>
      <c r="O625">
        <f>セットアップレポート!N625</f>
        <v>0</v>
      </c>
      <c r="P625">
        <f>セットアップレポート!O625</f>
        <v>0</v>
      </c>
      <c r="Q625">
        <f>セットアップレポート!P625</f>
        <v>0</v>
      </c>
      <c r="R625">
        <f>セットアップレポート!Q625</f>
        <v>0</v>
      </c>
      <c r="S625">
        <f>セットアップレポート!R625</f>
        <v>0</v>
      </c>
      <c r="T625">
        <f>セットアップレポート!S625</f>
        <v>0</v>
      </c>
      <c r="U625">
        <f>セットアップレポート!T625</f>
        <v>0</v>
      </c>
      <c r="V625">
        <f>セットアップレポート!U625</f>
        <v>0</v>
      </c>
      <c r="W625">
        <f>セットアップレポート!V625</f>
        <v>0</v>
      </c>
      <c r="X625">
        <f>セットアップレポート!W625</f>
        <v>0</v>
      </c>
      <c r="Y625">
        <f>セットアップレポート!X625</f>
        <v>0</v>
      </c>
      <c r="Z625">
        <f>セットアップレポート!Y625</f>
        <v>0</v>
      </c>
      <c r="AA625">
        <f>セットアップレポート!Z625</f>
        <v>0</v>
      </c>
      <c r="AB625">
        <f>セットアップレポート!AA625</f>
        <v>0</v>
      </c>
      <c r="AC625">
        <f>セットアップレポート!AB625</f>
        <v>0</v>
      </c>
      <c r="AD625">
        <f>セットアップレポート!AC625</f>
        <v>0</v>
      </c>
      <c r="AE625">
        <f>セットアップレポート!AD625</f>
        <v>0</v>
      </c>
      <c r="AF625">
        <f>セットアップレポート!AE625</f>
        <v>0</v>
      </c>
      <c r="AG625">
        <f>セットアップレポート!AF625</f>
        <v>0</v>
      </c>
      <c r="AH625">
        <f>セットアップレポート!AG625</f>
        <v>0</v>
      </c>
    </row>
    <row r="626" spans="1:34" x14ac:dyDescent="0.45">
      <c r="A626" t="str">
        <f t="shared" si="9"/>
        <v>000</v>
      </c>
      <c r="B626">
        <f>セットアップレポート!A626</f>
        <v>0</v>
      </c>
      <c r="C626">
        <f>セットアップレポート!B626</f>
        <v>0</v>
      </c>
      <c r="D626">
        <f>セットアップレポート!C626</f>
        <v>0</v>
      </c>
      <c r="E626">
        <f>セットアップレポート!D626</f>
        <v>0</v>
      </c>
      <c r="F626">
        <f>セットアップレポート!E626</f>
        <v>0</v>
      </c>
      <c r="G626">
        <f>セットアップレポート!F626</f>
        <v>0</v>
      </c>
      <c r="H626">
        <f>セットアップレポート!G626</f>
        <v>0</v>
      </c>
      <c r="I626">
        <f>セットアップレポート!H626</f>
        <v>0</v>
      </c>
      <c r="J626">
        <f>セットアップレポート!I626</f>
        <v>0</v>
      </c>
      <c r="K626">
        <f>セットアップレポート!J626</f>
        <v>0</v>
      </c>
      <c r="L626">
        <f>セットアップレポート!K626</f>
        <v>0</v>
      </c>
      <c r="M626">
        <f>セットアップレポート!L626</f>
        <v>0</v>
      </c>
      <c r="N626">
        <f>セットアップレポート!M626</f>
        <v>0</v>
      </c>
      <c r="O626">
        <f>セットアップレポート!N626</f>
        <v>0</v>
      </c>
      <c r="P626">
        <f>セットアップレポート!O626</f>
        <v>0</v>
      </c>
      <c r="Q626">
        <f>セットアップレポート!P626</f>
        <v>0</v>
      </c>
      <c r="R626">
        <f>セットアップレポート!Q626</f>
        <v>0</v>
      </c>
      <c r="S626">
        <f>セットアップレポート!R626</f>
        <v>0</v>
      </c>
      <c r="T626">
        <f>セットアップレポート!S626</f>
        <v>0</v>
      </c>
      <c r="U626">
        <f>セットアップレポート!T626</f>
        <v>0</v>
      </c>
      <c r="V626">
        <f>セットアップレポート!U626</f>
        <v>0</v>
      </c>
      <c r="W626">
        <f>セットアップレポート!V626</f>
        <v>0</v>
      </c>
      <c r="X626">
        <f>セットアップレポート!W626</f>
        <v>0</v>
      </c>
      <c r="Y626">
        <f>セットアップレポート!X626</f>
        <v>0</v>
      </c>
      <c r="Z626">
        <f>セットアップレポート!Y626</f>
        <v>0</v>
      </c>
      <c r="AA626">
        <f>セットアップレポート!Z626</f>
        <v>0</v>
      </c>
      <c r="AB626">
        <f>セットアップレポート!AA626</f>
        <v>0</v>
      </c>
      <c r="AC626">
        <f>セットアップレポート!AB626</f>
        <v>0</v>
      </c>
      <c r="AD626">
        <f>セットアップレポート!AC626</f>
        <v>0</v>
      </c>
      <c r="AE626">
        <f>セットアップレポート!AD626</f>
        <v>0</v>
      </c>
      <c r="AF626">
        <f>セットアップレポート!AE626</f>
        <v>0</v>
      </c>
      <c r="AG626">
        <f>セットアップレポート!AF626</f>
        <v>0</v>
      </c>
      <c r="AH626">
        <f>セットアップレポート!AG626</f>
        <v>0</v>
      </c>
    </row>
    <row r="627" spans="1:34" x14ac:dyDescent="0.45">
      <c r="A627" t="str">
        <f t="shared" si="9"/>
        <v>000</v>
      </c>
      <c r="B627">
        <f>セットアップレポート!A627</f>
        <v>0</v>
      </c>
      <c r="C627">
        <f>セットアップレポート!B627</f>
        <v>0</v>
      </c>
      <c r="D627">
        <f>セットアップレポート!C627</f>
        <v>0</v>
      </c>
      <c r="E627">
        <f>セットアップレポート!D627</f>
        <v>0</v>
      </c>
      <c r="F627">
        <f>セットアップレポート!E627</f>
        <v>0</v>
      </c>
      <c r="G627">
        <f>セットアップレポート!F627</f>
        <v>0</v>
      </c>
      <c r="H627">
        <f>セットアップレポート!G627</f>
        <v>0</v>
      </c>
      <c r="I627">
        <f>セットアップレポート!H627</f>
        <v>0</v>
      </c>
      <c r="J627">
        <f>セットアップレポート!I627</f>
        <v>0</v>
      </c>
      <c r="K627">
        <f>セットアップレポート!J627</f>
        <v>0</v>
      </c>
      <c r="L627">
        <f>セットアップレポート!K627</f>
        <v>0</v>
      </c>
      <c r="M627">
        <f>セットアップレポート!L627</f>
        <v>0</v>
      </c>
      <c r="N627">
        <f>セットアップレポート!M627</f>
        <v>0</v>
      </c>
      <c r="O627">
        <f>セットアップレポート!N627</f>
        <v>0</v>
      </c>
      <c r="P627">
        <f>セットアップレポート!O627</f>
        <v>0</v>
      </c>
      <c r="Q627">
        <f>セットアップレポート!P627</f>
        <v>0</v>
      </c>
      <c r="R627">
        <f>セットアップレポート!Q627</f>
        <v>0</v>
      </c>
      <c r="S627">
        <f>セットアップレポート!R627</f>
        <v>0</v>
      </c>
      <c r="T627">
        <f>セットアップレポート!S627</f>
        <v>0</v>
      </c>
      <c r="U627">
        <f>セットアップレポート!T627</f>
        <v>0</v>
      </c>
      <c r="V627">
        <f>セットアップレポート!U627</f>
        <v>0</v>
      </c>
      <c r="W627">
        <f>セットアップレポート!V627</f>
        <v>0</v>
      </c>
      <c r="X627">
        <f>セットアップレポート!W627</f>
        <v>0</v>
      </c>
      <c r="Y627">
        <f>セットアップレポート!X627</f>
        <v>0</v>
      </c>
      <c r="Z627">
        <f>セットアップレポート!Y627</f>
        <v>0</v>
      </c>
      <c r="AA627">
        <f>セットアップレポート!Z627</f>
        <v>0</v>
      </c>
      <c r="AB627">
        <f>セットアップレポート!AA627</f>
        <v>0</v>
      </c>
      <c r="AC627">
        <f>セットアップレポート!AB627</f>
        <v>0</v>
      </c>
      <c r="AD627">
        <f>セットアップレポート!AC627</f>
        <v>0</v>
      </c>
      <c r="AE627">
        <f>セットアップレポート!AD627</f>
        <v>0</v>
      </c>
      <c r="AF627">
        <f>セットアップレポート!AE627</f>
        <v>0</v>
      </c>
      <c r="AG627">
        <f>セットアップレポート!AF627</f>
        <v>0</v>
      </c>
      <c r="AH627">
        <f>セットアップレポート!AG627</f>
        <v>0</v>
      </c>
    </row>
    <row r="628" spans="1:34" x14ac:dyDescent="0.45">
      <c r="A628" t="str">
        <f t="shared" si="9"/>
        <v>000</v>
      </c>
      <c r="B628">
        <f>セットアップレポート!A628</f>
        <v>0</v>
      </c>
      <c r="C628">
        <f>セットアップレポート!B628</f>
        <v>0</v>
      </c>
      <c r="D628">
        <f>セットアップレポート!C628</f>
        <v>0</v>
      </c>
      <c r="E628">
        <f>セットアップレポート!D628</f>
        <v>0</v>
      </c>
      <c r="F628">
        <f>セットアップレポート!E628</f>
        <v>0</v>
      </c>
      <c r="G628">
        <f>セットアップレポート!F628</f>
        <v>0</v>
      </c>
      <c r="H628">
        <f>セットアップレポート!G628</f>
        <v>0</v>
      </c>
      <c r="I628">
        <f>セットアップレポート!H628</f>
        <v>0</v>
      </c>
      <c r="J628">
        <f>セットアップレポート!I628</f>
        <v>0</v>
      </c>
      <c r="K628">
        <f>セットアップレポート!J628</f>
        <v>0</v>
      </c>
      <c r="L628">
        <f>セットアップレポート!K628</f>
        <v>0</v>
      </c>
      <c r="M628">
        <f>セットアップレポート!L628</f>
        <v>0</v>
      </c>
      <c r="N628">
        <f>セットアップレポート!M628</f>
        <v>0</v>
      </c>
      <c r="O628">
        <f>セットアップレポート!N628</f>
        <v>0</v>
      </c>
      <c r="P628">
        <f>セットアップレポート!O628</f>
        <v>0</v>
      </c>
      <c r="Q628">
        <f>セットアップレポート!P628</f>
        <v>0</v>
      </c>
      <c r="R628">
        <f>セットアップレポート!Q628</f>
        <v>0</v>
      </c>
      <c r="S628">
        <f>セットアップレポート!R628</f>
        <v>0</v>
      </c>
      <c r="T628">
        <f>セットアップレポート!S628</f>
        <v>0</v>
      </c>
      <c r="U628">
        <f>セットアップレポート!T628</f>
        <v>0</v>
      </c>
      <c r="V628">
        <f>セットアップレポート!U628</f>
        <v>0</v>
      </c>
      <c r="W628">
        <f>セットアップレポート!V628</f>
        <v>0</v>
      </c>
      <c r="X628">
        <f>セットアップレポート!W628</f>
        <v>0</v>
      </c>
      <c r="Y628">
        <f>セットアップレポート!X628</f>
        <v>0</v>
      </c>
      <c r="Z628">
        <f>セットアップレポート!Y628</f>
        <v>0</v>
      </c>
      <c r="AA628">
        <f>セットアップレポート!Z628</f>
        <v>0</v>
      </c>
      <c r="AB628">
        <f>セットアップレポート!AA628</f>
        <v>0</v>
      </c>
      <c r="AC628">
        <f>セットアップレポート!AB628</f>
        <v>0</v>
      </c>
      <c r="AD628">
        <f>セットアップレポート!AC628</f>
        <v>0</v>
      </c>
      <c r="AE628">
        <f>セットアップレポート!AD628</f>
        <v>0</v>
      </c>
      <c r="AF628">
        <f>セットアップレポート!AE628</f>
        <v>0</v>
      </c>
      <c r="AG628">
        <f>セットアップレポート!AF628</f>
        <v>0</v>
      </c>
      <c r="AH628">
        <f>セットアップレポート!AG628</f>
        <v>0</v>
      </c>
    </row>
    <row r="629" spans="1:34" x14ac:dyDescent="0.45">
      <c r="A629" t="str">
        <f t="shared" si="9"/>
        <v>000</v>
      </c>
      <c r="B629">
        <f>セットアップレポート!A629</f>
        <v>0</v>
      </c>
      <c r="C629">
        <f>セットアップレポート!B629</f>
        <v>0</v>
      </c>
      <c r="D629">
        <f>セットアップレポート!C629</f>
        <v>0</v>
      </c>
      <c r="E629">
        <f>セットアップレポート!D629</f>
        <v>0</v>
      </c>
      <c r="F629">
        <f>セットアップレポート!E629</f>
        <v>0</v>
      </c>
      <c r="G629">
        <f>セットアップレポート!F629</f>
        <v>0</v>
      </c>
      <c r="H629">
        <f>セットアップレポート!G629</f>
        <v>0</v>
      </c>
      <c r="I629">
        <f>セットアップレポート!H629</f>
        <v>0</v>
      </c>
      <c r="J629">
        <f>セットアップレポート!I629</f>
        <v>0</v>
      </c>
      <c r="K629">
        <f>セットアップレポート!J629</f>
        <v>0</v>
      </c>
      <c r="L629">
        <f>セットアップレポート!K629</f>
        <v>0</v>
      </c>
      <c r="M629">
        <f>セットアップレポート!L629</f>
        <v>0</v>
      </c>
      <c r="N629">
        <f>セットアップレポート!M629</f>
        <v>0</v>
      </c>
      <c r="O629">
        <f>セットアップレポート!N629</f>
        <v>0</v>
      </c>
      <c r="P629">
        <f>セットアップレポート!O629</f>
        <v>0</v>
      </c>
      <c r="Q629">
        <f>セットアップレポート!P629</f>
        <v>0</v>
      </c>
      <c r="R629">
        <f>セットアップレポート!Q629</f>
        <v>0</v>
      </c>
      <c r="S629">
        <f>セットアップレポート!R629</f>
        <v>0</v>
      </c>
      <c r="T629">
        <f>セットアップレポート!S629</f>
        <v>0</v>
      </c>
      <c r="U629">
        <f>セットアップレポート!T629</f>
        <v>0</v>
      </c>
      <c r="V629">
        <f>セットアップレポート!U629</f>
        <v>0</v>
      </c>
      <c r="W629">
        <f>セットアップレポート!V629</f>
        <v>0</v>
      </c>
      <c r="X629">
        <f>セットアップレポート!W629</f>
        <v>0</v>
      </c>
      <c r="Y629">
        <f>セットアップレポート!X629</f>
        <v>0</v>
      </c>
      <c r="Z629">
        <f>セットアップレポート!Y629</f>
        <v>0</v>
      </c>
      <c r="AA629">
        <f>セットアップレポート!Z629</f>
        <v>0</v>
      </c>
      <c r="AB629">
        <f>セットアップレポート!AA629</f>
        <v>0</v>
      </c>
      <c r="AC629">
        <f>セットアップレポート!AB629</f>
        <v>0</v>
      </c>
      <c r="AD629">
        <f>セットアップレポート!AC629</f>
        <v>0</v>
      </c>
      <c r="AE629">
        <f>セットアップレポート!AD629</f>
        <v>0</v>
      </c>
      <c r="AF629">
        <f>セットアップレポート!AE629</f>
        <v>0</v>
      </c>
      <c r="AG629">
        <f>セットアップレポート!AF629</f>
        <v>0</v>
      </c>
      <c r="AH629">
        <f>セットアップレポート!AG629</f>
        <v>0</v>
      </c>
    </row>
    <row r="630" spans="1:34" x14ac:dyDescent="0.45">
      <c r="A630" t="str">
        <f t="shared" si="9"/>
        <v>000</v>
      </c>
      <c r="B630">
        <f>セットアップレポート!A630</f>
        <v>0</v>
      </c>
      <c r="C630">
        <f>セットアップレポート!B630</f>
        <v>0</v>
      </c>
      <c r="D630">
        <f>セットアップレポート!C630</f>
        <v>0</v>
      </c>
      <c r="E630">
        <f>セットアップレポート!D630</f>
        <v>0</v>
      </c>
      <c r="F630">
        <f>セットアップレポート!E630</f>
        <v>0</v>
      </c>
      <c r="G630">
        <f>セットアップレポート!F630</f>
        <v>0</v>
      </c>
      <c r="H630">
        <f>セットアップレポート!G630</f>
        <v>0</v>
      </c>
      <c r="I630">
        <f>セットアップレポート!H630</f>
        <v>0</v>
      </c>
      <c r="J630">
        <f>セットアップレポート!I630</f>
        <v>0</v>
      </c>
      <c r="K630">
        <f>セットアップレポート!J630</f>
        <v>0</v>
      </c>
      <c r="L630">
        <f>セットアップレポート!K630</f>
        <v>0</v>
      </c>
      <c r="M630">
        <f>セットアップレポート!L630</f>
        <v>0</v>
      </c>
      <c r="N630">
        <f>セットアップレポート!M630</f>
        <v>0</v>
      </c>
      <c r="O630">
        <f>セットアップレポート!N630</f>
        <v>0</v>
      </c>
      <c r="P630">
        <f>セットアップレポート!O630</f>
        <v>0</v>
      </c>
      <c r="Q630">
        <f>セットアップレポート!P630</f>
        <v>0</v>
      </c>
      <c r="R630">
        <f>セットアップレポート!Q630</f>
        <v>0</v>
      </c>
      <c r="S630">
        <f>セットアップレポート!R630</f>
        <v>0</v>
      </c>
      <c r="T630">
        <f>セットアップレポート!S630</f>
        <v>0</v>
      </c>
      <c r="U630">
        <f>セットアップレポート!T630</f>
        <v>0</v>
      </c>
      <c r="V630">
        <f>セットアップレポート!U630</f>
        <v>0</v>
      </c>
      <c r="W630">
        <f>セットアップレポート!V630</f>
        <v>0</v>
      </c>
      <c r="X630">
        <f>セットアップレポート!W630</f>
        <v>0</v>
      </c>
      <c r="Y630">
        <f>セットアップレポート!X630</f>
        <v>0</v>
      </c>
      <c r="Z630">
        <f>セットアップレポート!Y630</f>
        <v>0</v>
      </c>
      <c r="AA630">
        <f>セットアップレポート!Z630</f>
        <v>0</v>
      </c>
      <c r="AB630">
        <f>セットアップレポート!AA630</f>
        <v>0</v>
      </c>
      <c r="AC630">
        <f>セットアップレポート!AB630</f>
        <v>0</v>
      </c>
      <c r="AD630">
        <f>セットアップレポート!AC630</f>
        <v>0</v>
      </c>
      <c r="AE630">
        <f>セットアップレポート!AD630</f>
        <v>0</v>
      </c>
      <c r="AF630">
        <f>セットアップレポート!AE630</f>
        <v>0</v>
      </c>
      <c r="AG630">
        <f>セットアップレポート!AF630</f>
        <v>0</v>
      </c>
      <c r="AH630">
        <f>セットアップレポート!AG630</f>
        <v>0</v>
      </c>
    </row>
    <row r="631" spans="1:34" x14ac:dyDescent="0.45">
      <c r="A631" t="str">
        <f t="shared" si="9"/>
        <v>000</v>
      </c>
      <c r="B631">
        <f>セットアップレポート!A631</f>
        <v>0</v>
      </c>
      <c r="C631">
        <f>セットアップレポート!B631</f>
        <v>0</v>
      </c>
      <c r="D631">
        <f>セットアップレポート!C631</f>
        <v>0</v>
      </c>
      <c r="E631">
        <f>セットアップレポート!D631</f>
        <v>0</v>
      </c>
      <c r="F631">
        <f>セットアップレポート!E631</f>
        <v>0</v>
      </c>
      <c r="G631">
        <f>セットアップレポート!F631</f>
        <v>0</v>
      </c>
      <c r="H631">
        <f>セットアップレポート!G631</f>
        <v>0</v>
      </c>
      <c r="I631">
        <f>セットアップレポート!H631</f>
        <v>0</v>
      </c>
      <c r="J631">
        <f>セットアップレポート!I631</f>
        <v>0</v>
      </c>
      <c r="K631">
        <f>セットアップレポート!J631</f>
        <v>0</v>
      </c>
      <c r="L631">
        <f>セットアップレポート!K631</f>
        <v>0</v>
      </c>
      <c r="M631">
        <f>セットアップレポート!L631</f>
        <v>0</v>
      </c>
      <c r="N631">
        <f>セットアップレポート!M631</f>
        <v>0</v>
      </c>
      <c r="O631">
        <f>セットアップレポート!N631</f>
        <v>0</v>
      </c>
      <c r="P631">
        <f>セットアップレポート!O631</f>
        <v>0</v>
      </c>
      <c r="Q631">
        <f>セットアップレポート!P631</f>
        <v>0</v>
      </c>
      <c r="R631">
        <f>セットアップレポート!Q631</f>
        <v>0</v>
      </c>
      <c r="S631">
        <f>セットアップレポート!R631</f>
        <v>0</v>
      </c>
      <c r="T631">
        <f>セットアップレポート!S631</f>
        <v>0</v>
      </c>
      <c r="U631">
        <f>セットアップレポート!T631</f>
        <v>0</v>
      </c>
      <c r="V631">
        <f>セットアップレポート!U631</f>
        <v>0</v>
      </c>
      <c r="W631">
        <f>セットアップレポート!V631</f>
        <v>0</v>
      </c>
      <c r="X631">
        <f>セットアップレポート!W631</f>
        <v>0</v>
      </c>
      <c r="Y631">
        <f>セットアップレポート!X631</f>
        <v>0</v>
      </c>
      <c r="Z631">
        <f>セットアップレポート!Y631</f>
        <v>0</v>
      </c>
      <c r="AA631">
        <f>セットアップレポート!Z631</f>
        <v>0</v>
      </c>
      <c r="AB631">
        <f>セットアップレポート!AA631</f>
        <v>0</v>
      </c>
      <c r="AC631">
        <f>セットアップレポート!AB631</f>
        <v>0</v>
      </c>
      <c r="AD631">
        <f>セットアップレポート!AC631</f>
        <v>0</v>
      </c>
      <c r="AE631">
        <f>セットアップレポート!AD631</f>
        <v>0</v>
      </c>
      <c r="AF631">
        <f>セットアップレポート!AE631</f>
        <v>0</v>
      </c>
      <c r="AG631">
        <f>セットアップレポート!AF631</f>
        <v>0</v>
      </c>
      <c r="AH631">
        <f>セットアップレポート!AG631</f>
        <v>0</v>
      </c>
    </row>
    <row r="632" spans="1:34" x14ac:dyDescent="0.45">
      <c r="A632" t="str">
        <f t="shared" si="9"/>
        <v>000</v>
      </c>
      <c r="B632">
        <f>セットアップレポート!A632</f>
        <v>0</v>
      </c>
      <c r="C632">
        <f>セットアップレポート!B632</f>
        <v>0</v>
      </c>
      <c r="D632">
        <f>セットアップレポート!C632</f>
        <v>0</v>
      </c>
      <c r="E632">
        <f>セットアップレポート!D632</f>
        <v>0</v>
      </c>
      <c r="F632">
        <f>セットアップレポート!E632</f>
        <v>0</v>
      </c>
      <c r="G632">
        <f>セットアップレポート!F632</f>
        <v>0</v>
      </c>
      <c r="H632">
        <f>セットアップレポート!G632</f>
        <v>0</v>
      </c>
      <c r="I632">
        <f>セットアップレポート!H632</f>
        <v>0</v>
      </c>
      <c r="J632">
        <f>セットアップレポート!I632</f>
        <v>0</v>
      </c>
      <c r="K632">
        <f>セットアップレポート!J632</f>
        <v>0</v>
      </c>
      <c r="L632">
        <f>セットアップレポート!K632</f>
        <v>0</v>
      </c>
      <c r="M632">
        <f>セットアップレポート!L632</f>
        <v>0</v>
      </c>
      <c r="N632">
        <f>セットアップレポート!M632</f>
        <v>0</v>
      </c>
      <c r="O632">
        <f>セットアップレポート!N632</f>
        <v>0</v>
      </c>
      <c r="P632">
        <f>セットアップレポート!O632</f>
        <v>0</v>
      </c>
      <c r="Q632">
        <f>セットアップレポート!P632</f>
        <v>0</v>
      </c>
      <c r="R632">
        <f>セットアップレポート!Q632</f>
        <v>0</v>
      </c>
      <c r="S632">
        <f>セットアップレポート!R632</f>
        <v>0</v>
      </c>
      <c r="T632">
        <f>セットアップレポート!S632</f>
        <v>0</v>
      </c>
      <c r="U632">
        <f>セットアップレポート!T632</f>
        <v>0</v>
      </c>
      <c r="V632">
        <f>セットアップレポート!U632</f>
        <v>0</v>
      </c>
      <c r="W632">
        <f>セットアップレポート!V632</f>
        <v>0</v>
      </c>
      <c r="X632">
        <f>セットアップレポート!W632</f>
        <v>0</v>
      </c>
      <c r="Y632">
        <f>セットアップレポート!X632</f>
        <v>0</v>
      </c>
      <c r="Z632">
        <f>セットアップレポート!Y632</f>
        <v>0</v>
      </c>
      <c r="AA632">
        <f>セットアップレポート!Z632</f>
        <v>0</v>
      </c>
      <c r="AB632">
        <f>セットアップレポート!AA632</f>
        <v>0</v>
      </c>
      <c r="AC632">
        <f>セットアップレポート!AB632</f>
        <v>0</v>
      </c>
      <c r="AD632">
        <f>セットアップレポート!AC632</f>
        <v>0</v>
      </c>
      <c r="AE632">
        <f>セットアップレポート!AD632</f>
        <v>0</v>
      </c>
      <c r="AF632">
        <f>セットアップレポート!AE632</f>
        <v>0</v>
      </c>
      <c r="AG632">
        <f>セットアップレポート!AF632</f>
        <v>0</v>
      </c>
      <c r="AH632">
        <f>セットアップレポート!AG632</f>
        <v>0</v>
      </c>
    </row>
    <row r="633" spans="1:34" x14ac:dyDescent="0.45">
      <c r="A633" t="str">
        <f t="shared" si="9"/>
        <v>000</v>
      </c>
      <c r="B633">
        <f>セットアップレポート!A633</f>
        <v>0</v>
      </c>
      <c r="C633">
        <f>セットアップレポート!B633</f>
        <v>0</v>
      </c>
      <c r="D633">
        <f>セットアップレポート!C633</f>
        <v>0</v>
      </c>
      <c r="E633">
        <f>セットアップレポート!D633</f>
        <v>0</v>
      </c>
      <c r="F633">
        <f>セットアップレポート!E633</f>
        <v>0</v>
      </c>
      <c r="G633">
        <f>セットアップレポート!F633</f>
        <v>0</v>
      </c>
      <c r="H633">
        <f>セットアップレポート!G633</f>
        <v>0</v>
      </c>
      <c r="I633">
        <f>セットアップレポート!H633</f>
        <v>0</v>
      </c>
      <c r="J633">
        <f>セットアップレポート!I633</f>
        <v>0</v>
      </c>
      <c r="K633">
        <f>セットアップレポート!J633</f>
        <v>0</v>
      </c>
      <c r="L633">
        <f>セットアップレポート!K633</f>
        <v>0</v>
      </c>
      <c r="M633">
        <f>セットアップレポート!L633</f>
        <v>0</v>
      </c>
      <c r="N633">
        <f>セットアップレポート!M633</f>
        <v>0</v>
      </c>
      <c r="O633">
        <f>セットアップレポート!N633</f>
        <v>0</v>
      </c>
      <c r="P633">
        <f>セットアップレポート!O633</f>
        <v>0</v>
      </c>
      <c r="Q633">
        <f>セットアップレポート!P633</f>
        <v>0</v>
      </c>
      <c r="R633">
        <f>セットアップレポート!Q633</f>
        <v>0</v>
      </c>
      <c r="S633">
        <f>セットアップレポート!R633</f>
        <v>0</v>
      </c>
      <c r="T633">
        <f>セットアップレポート!S633</f>
        <v>0</v>
      </c>
      <c r="U633">
        <f>セットアップレポート!T633</f>
        <v>0</v>
      </c>
      <c r="V633">
        <f>セットアップレポート!U633</f>
        <v>0</v>
      </c>
      <c r="W633">
        <f>セットアップレポート!V633</f>
        <v>0</v>
      </c>
      <c r="X633">
        <f>セットアップレポート!W633</f>
        <v>0</v>
      </c>
      <c r="Y633">
        <f>セットアップレポート!X633</f>
        <v>0</v>
      </c>
      <c r="Z633">
        <f>セットアップレポート!Y633</f>
        <v>0</v>
      </c>
      <c r="AA633">
        <f>セットアップレポート!Z633</f>
        <v>0</v>
      </c>
      <c r="AB633">
        <f>セットアップレポート!AA633</f>
        <v>0</v>
      </c>
      <c r="AC633">
        <f>セットアップレポート!AB633</f>
        <v>0</v>
      </c>
      <c r="AD633">
        <f>セットアップレポート!AC633</f>
        <v>0</v>
      </c>
      <c r="AE633">
        <f>セットアップレポート!AD633</f>
        <v>0</v>
      </c>
      <c r="AF633">
        <f>セットアップレポート!AE633</f>
        <v>0</v>
      </c>
      <c r="AG633">
        <f>セットアップレポート!AF633</f>
        <v>0</v>
      </c>
      <c r="AH633">
        <f>セットアップレポート!AG633</f>
        <v>0</v>
      </c>
    </row>
    <row r="634" spans="1:34" x14ac:dyDescent="0.45">
      <c r="A634" t="str">
        <f t="shared" si="9"/>
        <v>000</v>
      </c>
      <c r="B634">
        <f>セットアップレポート!A634</f>
        <v>0</v>
      </c>
      <c r="C634">
        <f>セットアップレポート!B634</f>
        <v>0</v>
      </c>
      <c r="D634">
        <f>セットアップレポート!C634</f>
        <v>0</v>
      </c>
      <c r="E634">
        <f>セットアップレポート!D634</f>
        <v>0</v>
      </c>
      <c r="F634">
        <f>セットアップレポート!E634</f>
        <v>0</v>
      </c>
      <c r="G634">
        <f>セットアップレポート!F634</f>
        <v>0</v>
      </c>
      <c r="H634">
        <f>セットアップレポート!G634</f>
        <v>0</v>
      </c>
      <c r="I634">
        <f>セットアップレポート!H634</f>
        <v>0</v>
      </c>
      <c r="J634">
        <f>セットアップレポート!I634</f>
        <v>0</v>
      </c>
      <c r="K634">
        <f>セットアップレポート!J634</f>
        <v>0</v>
      </c>
      <c r="L634">
        <f>セットアップレポート!K634</f>
        <v>0</v>
      </c>
      <c r="M634">
        <f>セットアップレポート!L634</f>
        <v>0</v>
      </c>
      <c r="N634">
        <f>セットアップレポート!M634</f>
        <v>0</v>
      </c>
      <c r="O634">
        <f>セットアップレポート!N634</f>
        <v>0</v>
      </c>
      <c r="P634">
        <f>セットアップレポート!O634</f>
        <v>0</v>
      </c>
      <c r="Q634">
        <f>セットアップレポート!P634</f>
        <v>0</v>
      </c>
      <c r="R634">
        <f>セットアップレポート!Q634</f>
        <v>0</v>
      </c>
      <c r="S634">
        <f>セットアップレポート!R634</f>
        <v>0</v>
      </c>
      <c r="T634">
        <f>セットアップレポート!S634</f>
        <v>0</v>
      </c>
      <c r="U634">
        <f>セットアップレポート!T634</f>
        <v>0</v>
      </c>
      <c r="V634">
        <f>セットアップレポート!U634</f>
        <v>0</v>
      </c>
      <c r="W634">
        <f>セットアップレポート!V634</f>
        <v>0</v>
      </c>
      <c r="X634">
        <f>セットアップレポート!W634</f>
        <v>0</v>
      </c>
      <c r="Y634">
        <f>セットアップレポート!X634</f>
        <v>0</v>
      </c>
      <c r="Z634">
        <f>セットアップレポート!Y634</f>
        <v>0</v>
      </c>
      <c r="AA634">
        <f>セットアップレポート!Z634</f>
        <v>0</v>
      </c>
      <c r="AB634">
        <f>セットアップレポート!AA634</f>
        <v>0</v>
      </c>
      <c r="AC634">
        <f>セットアップレポート!AB634</f>
        <v>0</v>
      </c>
      <c r="AD634">
        <f>セットアップレポート!AC634</f>
        <v>0</v>
      </c>
      <c r="AE634">
        <f>セットアップレポート!AD634</f>
        <v>0</v>
      </c>
      <c r="AF634">
        <f>セットアップレポート!AE634</f>
        <v>0</v>
      </c>
      <c r="AG634">
        <f>セットアップレポート!AF634</f>
        <v>0</v>
      </c>
      <c r="AH634">
        <f>セットアップレポート!AG634</f>
        <v>0</v>
      </c>
    </row>
    <row r="635" spans="1:34" x14ac:dyDescent="0.45">
      <c r="A635" t="str">
        <f t="shared" si="9"/>
        <v>000</v>
      </c>
      <c r="B635">
        <f>セットアップレポート!A635</f>
        <v>0</v>
      </c>
      <c r="C635">
        <f>セットアップレポート!B635</f>
        <v>0</v>
      </c>
      <c r="D635">
        <f>セットアップレポート!C635</f>
        <v>0</v>
      </c>
      <c r="E635">
        <f>セットアップレポート!D635</f>
        <v>0</v>
      </c>
      <c r="F635">
        <f>セットアップレポート!E635</f>
        <v>0</v>
      </c>
      <c r="G635">
        <f>セットアップレポート!F635</f>
        <v>0</v>
      </c>
      <c r="H635">
        <f>セットアップレポート!G635</f>
        <v>0</v>
      </c>
      <c r="I635">
        <f>セットアップレポート!H635</f>
        <v>0</v>
      </c>
      <c r="J635">
        <f>セットアップレポート!I635</f>
        <v>0</v>
      </c>
      <c r="K635">
        <f>セットアップレポート!J635</f>
        <v>0</v>
      </c>
      <c r="L635">
        <f>セットアップレポート!K635</f>
        <v>0</v>
      </c>
      <c r="M635">
        <f>セットアップレポート!L635</f>
        <v>0</v>
      </c>
      <c r="N635">
        <f>セットアップレポート!M635</f>
        <v>0</v>
      </c>
      <c r="O635">
        <f>セットアップレポート!N635</f>
        <v>0</v>
      </c>
      <c r="P635">
        <f>セットアップレポート!O635</f>
        <v>0</v>
      </c>
      <c r="Q635">
        <f>セットアップレポート!P635</f>
        <v>0</v>
      </c>
      <c r="R635">
        <f>セットアップレポート!Q635</f>
        <v>0</v>
      </c>
      <c r="S635">
        <f>セットアップレポート!R635</f>
        <v>0</v>
      </c>
      <c r="T635">
        <f>セットアップレポート!S635</f>
        <v>0</v>
      </c>
      <c r="U635">
        <f>セットアップレポート!T635</f>
        <v>0</v>
      </c>
      <c r="V635">
        <f>セットアップレポート!U635</f>
        <v>0</v>
      </c>
      <c r="W635">
        <f>セットアップレポート!V635</f>
        <v>0</v>
      </c>
      <c r="X635">
        <f>セットアップレポート!W635</f>
        <v>0</v>
      </c>
      <c r="Y635">
        <f>セットアップレポート!X635</f>
        <v>0</v>
      </c>
      <c r="Z635">
        <f>セットアップレポート!Y635</f>
        <v>0</v>
      </c>
      <c r="AA635">
        <f>セットアップレポート!Z635</f>
        <v>0</v>
      </c>
      <c r="AB635">
        <f>セットアップレポート!AA635</f>
        <v>0</v>
      </c>
      <c r="AC635">
        <f>セットアップレポート!AB635</f>
        <v>0</v>
      </c>
      <c r="AD635">
        <f>セットアップレポート!AC635</f>
        <v>0</v>
      </c>
      <c r="AE635">
        <f>セットアップレポート!AD635</f>
        <v>0</v>
      </c>
      <c r="AF635">
        <f>セットアップレポート!AE635</f>
        <v>0</v>
      </c>
      <c r="AG635">
        <f>セットアップレポート!AF635</f>
        <v>0</v>
      </c>
      <c r="AH635">
        <f>セットアップレポート!AG635</f>
        <v>0</v>
      </c>
    </row>
    <row r="636" spans="1:34" x14ac:dyDescent="0.45">
      <c r="A636" t="str">
        <f t="shared" si="9"/>
        <v>000</v>
      </c>
      <c r="B636">
        <f>セットアップレポート!A636</f>
        <v>0</v>
      </c>
      <c r="C636">
        <f>セットアップレポート!B636</f>
        <v>0</v>
      </c>
      <c r="D636">
        <f>セットアップレポート!C636</f>
        <v>0</v>
      </c>
      <c r="E636">
        <f>セットアップレポート!D636</f>
        <v>0</v>
      </c>
      <c r="F636">
        <f>セットアップレポート!E636</f>
        <v>0</v>
      </c>
      <c r="G636">
        <f>セットアップレポート!F636</f>
        <v>0</v>
      </c>
      <c r="H636">
        <f>セットアップレポート!G636</f>
        <v>0</v>
      </c>
      <c r="I636">
        <f>セットアップレポート!H636</f>
        <v>0</v>
      </c>
      <c r="J636">
        <f>セットアップレポート!I636</f>
        <v>0</v>
      </c>
      <c r="K636">
        <f>セットアップレポート!J636</f>
        <v>0</v>
      </c>
      <c r="L636">
        <f>セットアップレポート!K636</f>
        <v>0</v>
      </c>
      <c r="M636">
        <f>セットアップレポート!L636</f>
        <v>0</v>
      </c>
      <c r="N636">
        <f>セットアップレポート!M636</f>
        <v>0</v>
      </c>
      <c r="O636">
        <f>セットアップレポート!N636</f>
        <v>0</v>
      </c>
      <c r="P636">
        <f>セットアップレポート!O636</f>
        <v>0</v>
      </c>
      <c r="Q636">
        <f>セットアップレポート!P636</f>
        <v>0</v>
      </c>
      <c r="R636">
        <f>セットアップレポート!Q636</f>
        <v>0</v>
      </c>
      <c r="S636">
        <f>セットアップレポート!R636</f>
        <v>0</v>
      </c>
      <c r="T636">
        <f>セットアップレポート!S636</f>
        <v>0</v>
      </c>
      <c r="U636">
        <f>セットアップレポート!T636</f>
        <v>0</v>
      </c>
      <c r="V636">
        <f>セットアップレポート!U636</f>
        <v>0</v>
      </c>
      <c r="W636">
        <f>セットアップレポート!V636</f>
        <v>0</v>
      </c>
      <c r="X636">
        <f>セットアップレポート!W636</f>
        <v>0</v>
      </c>
      <c r="Y636">
        <f>セットアップレポート!X636</f>
        <v>0</v>
      </c>
      <c r="Z636">
        <f>セットアップレポート!Y636</f>
        <v>0</v>
      </c>
      <c r="AA636">
        <f>セットアップレポート!Z636</f>
        <v>0</v>
      </c>
      <c r="AB636">
        <f>セットアップレポート!AA636</f>
        <v>0</v>
      </c>
      <c r="AC636">
        <f>セットアップレポート!AB636</f>
        <v>0</v>
      </c>
      <c r="AD636">
        <f>セットアップレポート!AC636</f>
        <v>0</v>
      </c>
      <c r="AE636">
        <f>セットアップレポート!AD636</f>
        <v>0</v>
      </c>
      <c r="AF636">
        <f>セットアップレポート!AE636</f>
        <v>0</v>
      </c>
      <c r="AG636">
        <f>セットアップレポート!AF636</f>
        <v>0</v>
      </c>
      <c r="AH636">
        <f>セットアップレポート!AG636</f>
        <v>0</v>
      </c>
    </row>
    <row r="637" spans="1:34" x14ac:dyDescent="0.45">
      <c r="A637" t="str">
        <f t="shared" si="9"/>
        <v>000</v>
      </c>
      <c r="B637">
        <f>セットアップレポート!A637</f>
        <v>0</v>
      </c>
      <c r="C637">
        <f>セットアップレポート!B637</f>
        <v>0</v>
      </c>
      <c r="D637">
        <f>セットアップレポート!C637</f>
        <v>0</v>
      </c>
      <c r="E637">
        <f>セットアップレポート!D637</f>
        <v>0</v>
      </c>
      <c r="F637">
        <f>セットアップレポート!E637</f>
        <v>0</v>
      </c>
      <c r="G637">
        <f>セットアップレポート!F637</f>
        <v>0</v>
      </c>
      <c r="H637">
        <f>セットアップレポート!G637</f>
        <v>0</v>
      </c>
      <c r="I637">
        <f>セットアップレポート!H637</f>
        <v>0</v>
      </c>
      <c r="J637">
        <f>セットアップレポート!I637</f>
        <v>0</v>
      </c>
      <c r="K637">
        <f>セットアップレポート!J637</f>
        <v>0</v>
      </c>
      <c r="L637">
        <f>セットアップレポート!K637</f>
        <v>0</v>
      </c>
      <c r="M637">
        <f>セットアップレポート!L637</f>
        <v>0</v>
      </c>
      <c r="N637">
        <f>セットアップレポート!M637</f>
        <v>0</v>
      </c>
      <c r="O637">
        <f>セットアップレポート!N637</f>
        <v>0</v>
      </c>
      <c r="P637">
        <f>セットアップレポート!O637</f>
        <v>0</v>
      </c>
      <c r="Q637">
        <f>セットアップレポート!P637</f>
        <v>0</v>
      </c>
      <c r="R637">
        <f>セットアップレポート!Q637</f>
        <v>0</v>
      </c>
      <c r="S637">
        <f>セットアップレポート!R637</f>
        <v>0</v>
      </c>
      <c r="T637">
        <f>セットアップレポート!S637</f>
        <v>0</v>
      </c>
      <c r="U637">
        <f>セットアップレポート!T637</f>
        <v>0</v>
      </c>
      <c r="V637">
        <f>セットアップレポート!U637</f>
        <v>0</v>
      </c>
      <c r="W637">
        <f>セットアップレポート!V637</f>
        <v>0</v>
      </c>
      <c r="X637">
        <f>セットアップレポート!W637</f>
        <v>0</v>
      </c>
      <c r="Y637">
        <f>セットアップレポート!X637</f>
        <v>0</v>
      </c>
      <c r="Z637">
        <f>セットアップレポート!Y637</f>
        <v>0</v>
      </c>
      <c r="AA637">
        <f>セットアップレポート!Z637</f>
        <v>0</v>
      </c>
      <c r="AB637">
        <f>セットアップレポート!AA637</f>
        <v>0</v>
      </c>
      <c r="AC637">
        <f>セットアップレポート!AB637</f>
        <v>0</v>
      </c>
      <c r="AD637">
        <f>セットアップレポート!AC637</f>
        <v>0</v>
      </c>
      <c r="AE637">
        <f>セットアップレポート!AD637</f>
        <v>0</v>
      </c>
      <c r="AF637">
        <f>セットアップレポート!AE637</f>
        <v>0</v>
      </c>
      <c r="AG637">
        <f>セットアップレポート!AF637</f>
        <v>0</v>
      </c>
      <c r="AH637">
        <f>セットアップレポート!AG637</f>
        <v>0</v>
      </c>
    </row>
    <row r="638" spans="1:34" x14ac:dyDescent="0.45">
      <c r="A638" t="str">
        <f t="shared" si="9"/>
        <v>000</v>
      </c>
      <c r="B638">
        <f>セットアップレポート!A638</f>
        <v>0</v>
      </c>
      <c r="C638">
        <f>セットアップレポート!B638</f>
        <v>0</v>
      </c>
      <c r="D638">
        <f>セットアップレポート!C638</f>
        <v>0</v>
      </c>
      <c r="E638">
        <f>セットアップレポート!D638</f>
        <v>0</v>
      </c>
      <c r="F638">
        <f>セットアップレポート!E638</f>
        <v>0</v>
      </c>
      <c r="G638">
        <f>セットアップレポート!F638</f>
        <v>0</v>
      </c>
      <c r="H638">
        <f>セットアップレポート!G638</f>
        <v>0</v>
      </c>
      <c r="I638">
        <f>セットアップレポート!H638</f>
        <v>0</v>
      </c>
      <c r="J638">
        <f>セットアップレポート!I638</f>
        <v>0</v>
      </c>
      <c r="K638">
        <f>セットアップレポート!J638</f>
        <v>0</v>
      </c>
      <c r="L638">
        <f>セットアップレポート!K638</f>
        <v>0</v>
      </c>
      <c r="M638">
        <f>セットアップレポート!L638</f>
        <v>0</v>
      </c>
      <c r="N638">
        <f>セットアップレポート!M638</f>
        <v>0</v>
      </c>
      <c r="O638">
        <f>セットアップレポート!N638</f>
        <v>0</v>
      </c>
      <c r="P638">
        <f>セットアップレポート!O638</f>
        <v>0</v>
      </c>
      <c r="Q638">
        <f>セットアップレポート!P638</f>
        <v>0</v>
      </c>
      <c r="R638">
        <f>セットアップレポート!Q638</f>
        <v>0</v>
      </c>
      <c r="S638">
        <f>セットアップレポート!R638</f>
        <v>0</v>
      </c>
      <c r="T638">
        <f>セットアップレポート!S638</f>
        <v>0</v>
      </c>
      <c r="U638">
        <f>セットアップレポート!T638</f>
        <v>0</v>
      </c>
      <c r="V638">
        <f>セットアップレポート!U638</f>
        <v>0</v>
      </c>
      <c r="W638">
        <f>セットアップレポート!V638</f>
        <v>0</v>
      </c>
      <c r="X638">
        <f>セットアップレポート!W638</f>
        <v>0</v>
      </c>
      <c r="Y638">
        <f>セットアップレポート!X638</f>
        <v>0</v>
      </c>
      <c r="Z638">
        <f>セットアップレポート!Y638</f>
        <v>0</v>
      </c>
      <c r="AA638">
        <f>セットアップレポート!Z638</f>
        <v>0</v>
      </c>
      <c r="AB638">
        <f>セットアップレポート!AA638</f>
        <v>0</v>
      </c>
      <c r="AC638">
        <f>セットアップレポート!AB638</f>
        <v>0</v>
      </c>
      <c r="AD638">
        <f>セットアップレポート!AC638</f>
        <v>0</v>
      </c>
      <c r="AE638">
        <f>セットアップレポート!AD638</f>
        <v>0</v>
      </c>
      <c r="AF638">
        <f>セットアップレポート!AE638</f>
        <v>0</v>
      </c>
      <c r="AG638">
        <f>セットアップレポート!AF638</f>
        <v>0</v>
      </c>
      <c r="AH638">
        <f>セットアップレポート!AG638</f>
        <v>0</v>
      </c>
    </row>
    <row r="639" spans="1:34" x14ac:dyDescent="0.45">
      <c r="A639" t="str">
        <f t="shared" si="9"/>
        <v>000</v>
      </c>
      <c r="B639">
        <f>セットアップレポート!A639</f>
        <v>0</v>
      </c>
      <c r="C639">
        <f>セットアップレポート!B639</f>
        <v>0</v>
      </c>
      <c r="D639">
        <f>セットアップレポート!C639</f>
        <v>0</v>
      </c>
      <c r="E639">
        <f>セットアップレポート!D639</f>
        <v>0</v>
      </c>
      <c r="F639">
        <f>セットアップレポート!E639</f>
        <v>0</v>
      </c>
      <c r="G639">
        <f>セットアップレポート!F639</f>
        <v>0</v>
      </c>
      <c r="H639">
        <f>セットアップレポート!G639</f>
        <v>0</v>
      </c>
      <c r="I639">
        <f>セットアップレポート!H639</f>
        <v>0</v>
      </c>
      <c r="J639">
        <f>セットアップレポート!I639</f>
        <v>0</v>
      </c>
      <c r="K639">
        <f>セットアップレポート!J639</f>
        <v>0</v>
      </c>
      <c r="L639">
        <f>セットアップレポート!K639</f>
        <v>0</v>
      </c>
      <c r="M639">
        <f>セットアップレポート!L639</f>
        <v>0</v>
      </c>
      <c r="N639">
        <f>セットアップレポート!M639</f>
        <v>0</v>
      </c>
      <c r="O639">
        <f>セットアップレポート!N639</f>
        <v>0</v>
      </c>
      <c r="P639">
        <f>セットアップレポート!O639</f>
        <v>0</v>
      </c>
      <c r="Q639">
        <f>セットアップレポート!P639</f>
        <v>0</v>
      </c>
      <c r="R639">
        <f>セットアップレポート!Q639</f>
        <v>0</v>
      </c>
      <c r="S639">
        <f>セットアップレポート!R639</f>
        <v>0</v>
      </c>
      <c r="T639">
        <f>セットアップレポート!S639</f>
        <v>0</v>
      </c>
      <c r="U639">
        <f>セットアップレポート!T639</f>
        <v>0</v>
      </c>
      <c r="V639">
        <f>セットアップレポート!U639</f>
        <v>0</v>
      </c>
      <c r="W639">
        <f>セットアップレポート!V639</f>
        <v>0</v>
      </c>
      <c r="X639">
        <f>セットアップレポート!W639</f>
        <v>0</v>
      </c>
      <c r="Y639">
        <f>セットアップレポート!X639</f>
        <v>0</v>
      </c>
      <c r="Z639">
        <f>セットアップレポート!Y639</f>
        <v>0</v>
      </c>
      <c r="AA639">
        <f>セットアップレポート!Z639</f>
        <v>0</v>
      </c>
      <c r="AB639">
        <f>セットアップレポート!AA639</f>
        <v>0</v>
      </c>
      <c r="AC639">
        <f>セットアップレポート!AB639</f>
        <v>0</v>
      </c>
      <c r="AD639">
        <f>セットアップレポート!AC639</f>
        <v>0</v>
      </c>
      <c r="AE639">
        <f>セットアップレポート!AD639</f>
        <v>0</v>
      </c>
      <c r="AF639">
        <f>セットアップレポート!AE639</f>
        <v>0</v>
      </c>
      <c r="AG639">
        <f>セットアップレポート!AF639</f>
        <v>0</v>
      </c>
      <c r="AH639">
        <f>セットアップレポート!AG639</f>
        <v>0</v>
      </c>
    </row>
    <row r="640" spans="1:34" x14ac:dyDescent="0.45">
      <c r="A640" t="str">
        <f t="shared" si="9"/>
        <v>000</v>
      </c>
      <c r="B640">
        <f>セットアップレポート!A640</f>
        <v>0</v>
      </c>
      <c r="C640">
        <f>セットアップレポート!B640</f>
        <v>0</v>
      </c>
      <c r="D640">
        <f>セットアップレポート!C640</f>
        <v>0</v>
      </c>
      <c r="E640">
        <f>セットアップレポート!D640</f>
        <v>0</v>
      </c>
      <c r="F640">
        <f>セットアップレポート!E640</f>
        <v>0</v>
      </c>
      <c r="G640">
        <f>セットアップレポート!F640</f>
        <v>0</v>
      </c>
      <c r="H640">
        <f>セットアップレポート!G640</f>
        <v>0</v>
      </c>
      <c r="I640">
        <f>セットアップレポート!H640</f>
        <v>0</v>
      </c>
      <c r="J640">
        <f>セットアップレポート!I640</f>
        <v>0</v>
      </c>
      <c r="K640">
        <f>セットアップレポート!J640</f>
        <v>0</v>
      </c>
      <c r="L640">
        <f>セットアップレポート!K640</f>
        <v>0</v>
      </c>
      <c r="M640">
        <f>セットアップレポート!L640</f>
        <v>0</v>
      </c>
      <c r="N640">
        <f>セットアップレポート!M640</f>
        <v>0</v>
      </c>
      <c r="O640">
        <f>セットアップレポート!N640</f>
        <v>0</v>
      </c>
      <c r="P640">
        <f>セットアップレポート!O640</f>
        <v>0</v>
      </c>
      <c r="Q640">
        <f>セットアップレポート!P640</f>
        <v>0</v>
      </c>
      <c r="R640">
        <f>セットアップレポート!Q640</f>
        <v>0</v>
      </c>
      <c r="S640">
        <f>セットアップレポート!R640</f>
        <v>0</v>
      </c>
      <c r="T640">
        <f>セットアップレポート!S640</f>
        <v>0</v>
      </c>
      <c r="U640">
        <f>セットアップレポート!T640</f>
        <v>0</v>
      </c>
      <c r="V640">
        <f>セットアップレポート!U640</f>
        <v>0</v>
      </c>
      <c r="W640">
        <f>セットアップレポート!V640</f>
        <v>0</v>
      </c>
      <c r="X640">
        <f>セットアップレポート!W640</f>
        <v>0</v>
      </c>
      <c r="Y640">
        <f>セットアップレポート!X640</f>
        <v>0</v>
      </c>
      <c r="Z640">
        <f>セットアップレポート!Y640</f>
        <v>0</v>
      </c>
      <c r="AA640">
        <f>セットアップレポート!Z640</f>
        <v>0</v>
      </c>
      <c r="AB640">
        <f>セットアップレポート!AA640</f>
        <v>0</v>
      </c>
      <c r="AC640">
        <f>セットアップレポート!AB640</f>
        <v>0</v>
      </c>
      <c r="AD640">
        <f>セットアップレポート!AC640</f>
        <v>0</v>
      </c>
      <c r="AE640">
        <f>セットアップレポート!AD640</f>
        <v>0</v>
      </c>
      <c r="AF640">
        <f>セットアップレポート!AE640</f>
        <v>0</v>
      </c>
      <c r="AG640">
        <f>セットアップレポート!AF640</f>
        <v>0</v>
      </c>
      <c r="AH640">
        <f>セットアップレポート!AG640</f>
        <v>0</v>
      </c>
    </row>
    <row r="641" spans="1:34" x14ac:dyDescent="0.45">
      <c r="A641" t="str">
        <f t="shared" si="9"/>
        <v>000</v>
      </c>
      <c r="B641">
        <f>セットアップレポート!A641</f>
        <v>0</v>
      </c>
      <c r="C641">
        <f>セットアップレポート!B641</f>
        <v>0</v>
      </c>
      <c r="D641">
        <f>セットアップレポート!C641</f>
        <v>0</v>
      </c>
      <c r="E641">
        <f>セットアップレポート!D641</f>
        <v>0</v>
      </c>
      <c r="F641">
        <f>セットアップレポート!E641</f>
        <v>0</v>
      </c>
      <c r="G641">
        <f>セットアップレポート!F641</f>
        <v>0</v>
      </c>
      <c r="H641">
        <f>セットアップレポート!G641</f>
        <v>0</v>
      </c>
      <c r="I641">
        <f>セットアップレポート!H641</f>
        <v>0</v>
      </c>
      <c r="J641">
        <f>セットアップレポート!I641</f>
        <v>0</v>
      </c>
      <c r="K641">
        <f>セットアップレポート!J641</f>
        <v>0</v>
      </c>
      <c r="L641">
        <f>セットアップレポート!K641</f>
        <v>0</v>
      </c>
      <c r="M641">
        <f>セットアップレポート!L641</f>
        <v>0</v>
      </c>
      <c r="N641">
        <f>セットアップレポート!M641</f>
        <v>0</v>
      </c>
      <c r="O641">
        <f>セットアップレポート!N641</f>
        <v>0</v>
      </c>
      <c r="P641">
        <f>セットアップレポート!O641</f>
        <v>0</v>
      </c>
      <c r="Q641">
        <f>セットアップレポート!P641</f>
        <v>0</v>
      </c>
      <c r="R641">
        <f>セットアップレポート!Q641</f>
        <v>0</v>
      </c>
      <c r="S641">
        <f>セットアップレポート!R641</f>
        <v>0</v>
      </c>
      <c r="T641">
        <f>セットアップレポート!S641</f>
        <v>0</v>
      </c>
      <c r="U641">
        <f>セットアップレポート!T641</f>
        <v>0</v>
      </c>
      <c r="V641">
        <f>セットアップレポート!U641</f>
        <v>0</v>
      </c>
      <c r="W641">
        <f>セットアップレポート!V641</f>
        <v>0</v>
      </c>
      <c r="X641">
        <f>セットアップレポート!W641</f>
        <v>0</v>
      </c>
      <c r="Y641">
        <f>セットアップレポート!X641</f>
        <v>0</v>
      </c>
      <c r="Z641">
        <f>セットアップレポート!Y641</f>
        <v>0</v>
      </c>
      <c r="AA641">
        <f>セットアップレポート!Z641</f>
        <v>0</v>
      </c>
      <c r="AB641">
        <f>セットアップレポート!AA641</f>
        <v>0</v>
      </c>
      <c r="AC641">
        <f>セットアップレポート!AB641</f>
        <v>0</v>
      </c>
      <c r="AD641">
        <f>セットアップレポート!AC641</f>
        <v>0</v>
      </c>
      <c r="AE641">
        <f>セットアップレポート!AD641</f>
        <v>0</v>
      </c>
      <c r="AF641">
        <f>セットアップレポート!AE641</f>
        <v>0</v>
      </c>
      <c r="AG641">
        <f>セットアップレポート!AF641</f>
        <v>0</v>
      </c>
      <c r="AH641">
        <f>セットアップレポート!AG641</f>
        <v>0</v>
      </c>
    </row>
    <row r="642" spans="1:34" x14ac:dyDescent="0.45">
      <c r="A642" t="str">
        <f t="shared" si="9"/>
        <v>000</v>
      </c>
      <c r="B642">
        <f>セットアップレポート!A642</f>
        <v>0</v>
      </c>
      <c r="C642">
        <f>セットアップレポート!B642</f>
        <v>0</v>
      </c>
      <c r="D642">
        <f>セットアップレポート!C642</f>
        <v>0</v>
      </c>
      <c r="E642">
        <f>セットアップレポート!D642</f>
        <v>0</v>
      </c>
      <c r="F642">
        <f>セットアップレポート!E642</f>
        <v>0</v>
      </c>
      <c r="G642">
        <f>セットアップレポート!F642</f>
        <v>0</v>
      </c>
      <c r="H642">
        <f>セットアップレポート!G642</f>
        <v>0</v>
      </c>
      <c r="I642">
        <f>セットアップレポート!H642</f>
        <v>0</v>
      </c>
      <c r="J642">
        <f>セットアップレポート!I642</f>
        <v>0</v>
      </c>
      <c r="K642">
        <f>セットアップレポート!J642</f>
        <v>0</v>
      </c>
      <c r="L642">
        <f>セットアップレポート!K642</f>
        <v>0</v>
      </c>
      <c r="M642">
        <f>セットアップレポート!L642</f>
        <v>0</v>
      </c>
      <c r="N642">
        <f>セットアップレポート!M642</f>
        <v>0</v>
      </c>
      <c r="O642">
        <f>セットアップレポート!N642</f>
        <v>0</v>
      </c>
      <c r="P642">
        <f>セットアップレポート!O642</f>
        <v>0</v>
      </c>
      <c r="Q642">
        <f>セットアップレポート!P642</f>
        <v>0</v>
      </c>
      <c r="R642">
        <f>セットアップレポート!Q642</f>
        <v>0</v>
      </c>
      <c r="S642">
        <f>セットアップレポート!R642</f>
        <v>0</v>
      </c>
      <c r="T642">
        <f>セットアップレポート!S642</f>
        <v>0</v>
      </c>
      <c r="U642">
        <f>セットアップレポート!T642</f>
        <v>0</v>
      </c>
      <c r="V642">
        <f>セットアップレポート!U642</f>
        <v>0</v>
      </c>
      <c r="W642">
        <f>セットアップレポート!V642</f>
        <v>0</v>
      </c>
      <c r="X642">
        <f>セットアップレポート!W642</f>
        <v>0</v>
      </c>
      <c r="Y642">
        <f>セットアップレポート!X642</f>
        <v>0</v>
      </c>
      <c r="Z642">
        <f>セットアップレポート!Y642</f>
        <v>0</v>
      </c>
      <c r="AA642">
        <f>セットアップレポート!Z642</f>
        <v>0</v>
      </c>
      <c r="AB642">
        <f>セットアップレポート!AA642</f>
        <v>0</v>
      </c>
      <c r="AC642">
        <f>セットアップレポート!AB642</f>
        <v>0</v>
      </c>
      <c r="AD642">
        <f>セットアップレポート!AC642</f>
        <v>0</v>
      </c>
      <c r="AE642">
        <f>セットアップレポート!AD642</f>
        <v>0</v>
      </c>
      <c r="AF642">
        <f>セットアップレポート!AE642</f>
        <v>0</v>
      </c>
      <c r="AG642">
        <f>セットアップレポート!AF642</f>
        <v>0</v>
      </c>
      <c r="AH642">
        <f>セットアップレポート!AG642</f>
        <v>0</v>
      </c>
    </row>
    <row r="643" spans="1:34" x14ac:dyDescent="0.45">
      <c r="A643" t="str">
        <f t="shared" ref="A643:A706" si="10">C643&amp;RIGHT(G643,5)&amp;K643</f>
        <v>000</v>
      </c>
      <c r="B643">
        <f>セットアップレポート!A643</f>
        <v>0</v>
      </c>
      <c r="C643">
        <f>セットアップレポート!B643</f>
        <v>0</v>
      </c>
      <c r="D643">
        <f>セットアップレポート!C643</f>
        <v>0</v>
      </c>
      <c r="E643">
        <f>セットアップレポート!D643</f>
        <v>0</v>
      </c>
      <c r="F643">
        <f>セットアップレポート!E643</f>
        <v>0</v>
      </c>
      <c r="G643">
        <f>セットアップレポート!F643</f>
        <v>0</v>
      </c>
      <c r="H643">
        <f>セットアップレポート!G643</f>
        <v>0</v>
      </c>
      <c r="I643">
        <f>セットアップレポート!H643</f>
        <v>0</v>
      </c>
      <c r="J643">
        <f>セットアップレポート!I643</f>
        <v>0</v>
      </c>
      <c r="K643">
        <f>セットアップレポート!J643</f>
        <v>0</v>
      </c>
      <c r="L643">
        <f>セットアップレポート!K643</f>
        <v>0</v>
      </c>
      <c r="M643">
        <f>セットアップレポート!L643</f>
        <v>0</v>
      </c>
      <c r="N643">
        <f>セットアップレポート!M643</f>
        <v>0</v>
      </c>
      <c r="O643">
        <f>セットアップレポート!N643</f>
        <v>0</v>
      </c>
      <c r="P643">
        <f>セットアップレポート!O643</f>
        <v>0</v>
      </c>
      <c r="Q643">
        <f>セットアップレポート!P643</f>
        <v>0</v>
      </c>
      <c r="R643">
        <f>セットアップレポート!Q643</f>
        <v>0</v>
      </c>
      <c r="S643">
        <f>セットアップレポート!R643</f>
        <v>0</v>
      </c>
      <c r="T643">
        <f>セットアップレポート!S643</f>
        <v>0</v>
      </c>
      <c r="U643">
        <f>セットアップレポート!T643</f>
        <v>0</v>
      </c>
      <c r="V643">
        <f>セットアップレポート!U643</f>
        <v>0</v>
      </c>
      <c r="W643">
        <f>セットアップレポート!V643</f>
        <v>0</v>
      </c>
      <c r="X643">
        <f>セットアップレポート!W643</f>
        <v>0</v>
      </c>
      <c r="Y643">
        <f>セットアップレポート!X643</f>
        <v>0</v>
      </c>
      <c r="Z643">
        <f>セットアップレポート!Y643</f>
        <v>0</v>
      </c>
      <c r="AA643">
        <f>セットアップレポート!Z643</f>
        <v>0</v>
      </c>
      <c r="AB643">
        <f>セットアップレポート!AA643</f>
        <v>0</v>
      </c>
      <c r="AC643">
        <f>セットアップレポート!AB643</f>
        <v>0</v>
      </c>
      <c r="AD643">
        <f>セットアップレポート!AC643</f>
        <v>0</v>
      </c>
      <c r="AE643">
        <f>セットアップレポート!AD643</f>
        <v>0</v>
      </c>
      <c r="AF643">
        <f>セットアップレポート!AE643</f>
        <v>0</v>
      </c>
      <c r="AG643">
        <f>セットアップレポート!AF643</f>
        <v>0</v>
      </c>
      <c r="AH643">
        <f>セットアップレポート!AG643</f>
        <v>0</v>
      </c>
    </row>
    <row r="644" spans="1:34" x14ac:dyDescent="0.45">
      <c r="A644" t="str">
        <f t="shared" si="10"/>
        <v>000</v>
      </c>
      <c r="B644">
        <f>セットアップレポート!A644</f>
        <v>0</v>
      </c>
      <c r="C644">
        <f>セットアップレポート!B644</f>
        <v>0</v>
      </c>
      <c r="D644">
        <f>セットアップレポート!C644</f>
        <v>0</v>
      </c>
      <c r="E644">
        <f>セットアップレポート!D644</f>
        <v>0</v>
      </c>
      <c r="F644">
        <f>セットアップレポート!E644</f>
        <v>0</v>
      </c>
      <c r="G644">
        <f>セットアップレポート!F644</f>
        <v>0</v>
      </c>
      <c r="H644">
        <f>セットアップレポート!G644</f>
        <v>0</v>
      </c>
      <c r="I644">
        <f>セットアップレポート!H644</f>
        <v>0</v>
      </c>
      <c r="J644">
        <f>セットアップレポート!I644</f>
        <v>0</v>
      </c>
      <c r="K644">
        <f>セットアップレポート!J644</f>
        <v>0</v>
      </c>
      <c r="L644">
        <f>セットアップレポート!K644</f>
        <v>0</v>
      </c>
      <c r="M644">
        <f>セットアップレポート!L644</f>
        <v>0</v>
      </c>
      <c r="N644">
        <f>セットアップレポート!M644</f>
        <v>0</v>
      </c>
      <c r="O644">
        <f>セットアップレポート!N644</f>
        <v>0</v>
      </c>
      <c r="P644">
        <f>セットアップレポート!O644</f>
        <v>0</v>
      </c>
      <c r="Q644">
        <f>セットアップレポート!P644</f>
        <v>0</v>
      </c>
      <c r="R644">
        <f>セットアップレポート!Q644</f>
        <v>0</v>
      </c>
      <c r="S644">
        <f>セットアップレポート!R644</f>
        <v>0</v>
      </c>
      <c r="T644">
        <f>セットアップレポート!S644</f>
        <v>0</v>
      </c>
      <c r="U644">
        <f>セットアップレポート!T644</f>
        <v>0</v>
      </c>
      <c r="V644">
        <f>セットアップレポート!U644</f>
        <v>0</v>
      </c>
      <c r="W644">
        <f>セットアップレポート!V644</f>
        <v>0</v>
      </c>
      <c r="X644">
        <f>セットアップレポート!W644</f>
        <v>0</v>
      </c>
      <c r="Y644">
        <f>セットアップレポート!X644</f>
        <v>0</v>
      </c>
      <c r="Z644">
        <f>セットアップレポート!Y644</f>
        <v>0</v>
      </c>
      <c r="AA644">
        <f>セットアップレポート!Z644</f>
        <v>0</v>
      </c>
      <c r="AB644">
        <f>セットアップレポート!AA644</f>
        <v>0</v>
      </c>
      <c r="AC644">
        <f>セットアップレポート!AB644</f>
        <v>0</v>
      </c>
      <c r="AD644">
        <f>セットアップレポート!AC644</f>
        <v>0</v>
      </c>
      <c r="AE644">
        <f>セットアップレポート!AD644</f>
        <v>0</v>
      </c>
      <c r="AF644">
        <f>セットアップレポート!AE644</f>
        <v>0</v>
      </c>
      <c r="AG644">
        <f>セットアップレポート!AF644</f>
        <v>0</v>
      </c>
      <c r="AH644">
        <f>セットアップレポート!AG644</f>
        <v>0</v>
      </c>
    </row>
    <row r="645" spans="1:34" x14ac:dyDescent="0.45">
      <c r="A645" t="str">
        <f t="shared" si="10"/>
        <v>000</v>
      </c>
      <c r="B645">
        <f>セットアップレポート!A645</f>
        <v>0</v>
      </c>
      <c r="C645">
        <f>セットアップレポート!B645</f>
        <v>0</v>
      </c>
      <c r="D645">
        <f>セットアップレポート!C645</f>
        <v>0</v>
      </c>
      <c r="E645">
        <f>セットアップレポート!D645</f>
        <v>0</v>
      </c>
      <c r="F645">
        <f>セットアップレポート!E645</f>
        <v>0</v>
      </c>
      <c r="G645">
        <f>セットアップレポート!F645</f>
        <v>0</v>
      </c>
      <c r="H645">
        <f>セットアップレポート!G645</f>
        <v>0</v>
      </c>
      <c r="I645">
        <f>セットアップレポート!H645</f>
        <v>0</v>
      </c>
      <c r="J645">
        <f>セットアップレポート!I645</f>
        <v>0</v>
      </c>
      <c r="K645">
        <f>セットアップレポート!J645</f>
        <v>0</v>
      </c>
      <c r="L645">
        <f>セットアップレポート!K645</f>
        <v>0</v>
      </c>
      <c r="M645">
        <f>セットアップレポート!L645</f>
        <v>0</v>
      </c>
      <c r="N645">
        <f>セットアップレポート!M645</f>
        <v>0</v>
      </c>
      <c r="O645">
        <f>セットアップレポート!N645</f>
        <v>0</v>
      </c>
      <c r="P645">
        <f>セットアップレポート!O645</f>
        <v>0</v>
      </c>
      <c r="Q645">
        <f>セットアップレポート!P645</f>
        <v>0</v>
      </c>
      <c r="R645">
        <f>セットアップレポート!Q645</f>
        <v>0</v>
      </c>
      <c r="S645">
        <f>セットアップレポート!R645</f>
        <v>0</v>
      </c>
      <c r="T645">
        <f>セットアップレポート!S645</f>
        <v>0</v>
      </c>
      <c r="U645">
        <f>セットアップレポート!T645</f>
        <v>0</v>
      </c>
      <c r="V645">
        <f>セットアップレポート!U645</f>
        <v>0</v>
      </c>
      <c r="W645">
        <f>セットアップレポート!V645</f>
        <v>0</v>
      </c>
      <c r="X645">
        <f>セットアップレポート!W645</f>
        <v>0</v>
      </c>
      <c r="Y645">
        <f>セットアップレポート!X645</f>
        <v>0</v>
      </c>
      <c r="Z645">
        <f>セットアップレポート!Y645</f>
        <v>0</v>
      </c>
      <c r="AA645">
        <f>セットアップレポート!Z645</f>
        <v>0</v>
      </c>
      <c r="AB645">
        <f>セットアップレポート!AA645</f>
        <v>0</v>
      </c>
      <c r="AC645">
        <f>セットアップレポート!AB645</f>
        <v>0</v>
      </c>
      <c r="AD645">
        <f>セットアップレポート!AC645</f>
        <v>0</v>
      </c>
      <c r="AE645">
        <f>セットアップレポート!AD645</f>
        <v>0</v>
      </c>
      <c r="AF645">
        <f>セットアップレポート!AE645</f>
        <v>0</v>
      </c>
      <c r="AG645">
        <f>セットアップレポート!AF645</f>
        <v>0</v>
      </c>
      <c r="AH645">
        <f>セットアップレポート!AG645</f>
        <v>0</v>
      </c>
    </row>
    <row r="646" spans="1:34" x14ac:dyDescent="0.45">
      <c r="A646" t="str">
        <f t="shared" si="10"/>
        <v>000</v>
      </c>
      <c r="B646">
        <f>セットアップレポート!A646</f>
        <v>0</v>
      </c>
      <c r="C646">
        <f>セットアップレポート!B646</f>
        <v>0</v>
      </c>
      <c r="D646">
        <f>セットアップレポート!C646</f>
        <v>0</v>
      </c>
      <c r="E646">
        <f>セットアップレポート!D646</f>
        <v>0</v>
      </c>
      <c r="F646">
        <f>セットアップレポート!E646</f>
        <v>0</v>
      </c>
      <c r="G646">
        <f>セットアップレポート!F646</f>
        <v>0</v>
      </c>
      <c r="H646">
        <f>セットアップレポート!G646</f>
        <v>0</v>
      </c>
      <c r="I646">
        <f>セットアップレポート!H646</f>
        <v>0</v>
      </c>
      <c r="J646">
        <f>セットアップレポート!I646</f>
        <v>0</v>
      </c>
      <c r="K646">
        <f>セットアップレポート!J646</f>
        <v>0</v>
      </c>
      <c r="L646">
        <f>セットアップレポート!K646</f>
        <v>0</v>
      </c>
      <c r="M646">
        <f>セットアップレポート!L646</f>
        <v>0</v>
      </c>
      <c r="N646">
        <f>セットアップレポート!M646</f>
        <v>0</v>
      </c>
      <c r="O646">
        <f>セットアップレポート!N646</f>
        <v>0</v>
      </c>
      <c r="P646">
        <f>セットアップレポート!O646</f>
        <v>0</v>
      </c>
      <c r="Q646">
        <f>セットアップレポート!P646</f>
        <v>0</v>
      </c>
      <c r="R646">
        <f>セットアップレポート!Q646</f>
        <v>0</v>
      </c>
      <c r="S646">
        <f>セットアップレポート!R646</f>
        <v>0</v>
      </c>
      <c r="T646">
        <f>セットアップレポート!S646</f>
        <v>0</v>
      </c>
      <c r="U646">
        <f>セットアップレポート!T646</f>
        <v>0</v>
      </c>
      <c r="V646">
        <f>セットアップレポート!U646</f>
        <v>0</v>
      </c>
      <c r="W646">
        <f>セットアップレポート!V646</f>
        <v>0</v>
      </c>
      <c r="X646">
        <f>セットアップレポート!W646</f>
        <v>0</v>
      </c>
      <c r="Y646">
        <f>セットアップレポート!X646</f>
        <v>0</v>
      </c>
      <c r="Z646">
        <f>セットアップレポート!Y646</f>
        <v>0</v>
      </c>
      <c r="AA646">
        <f>セットアップレポート!Z646</f>
        <v>0</v>
      </c>
      <c r="AB646">
        <f>セットアップレポート!AA646</f>
        <v>0</v>
      </c>
      <c r="AC646">
        <f>セットアップレポート!AB646</f>
        <v>0</v>
      </c>
      <c r="AD646">
        <f>セットアップレポート!AC646</f>
        <v>0</v>
      </c>
      <c r="AE646">
        <f>セットアップレポート!AD646</f>
        <v>0</v>
      </c>
      <c r="AF646">
        <f>セットアップレポート!AE646</f>
        <v>0</v>
      </c>
      <c r="AG646">
        <f>セットアップレポート!AF646</f>
        <v>0</v>
      </c>
      <c r="AH646">
        <f>セットアップレポート!AG646</f>
        <v>0</v>
      </c>
    </row>
    <row r="647" spans="1:34" x14ac:dyDescent="0.45">
      <c r="A647" t="str">
        <f t="shared" si="10"/>
        <v>000</v>
      </c>
      <c r="B647">
        <f>セットアップレポート!A647</f>
        <v>0</v>
      </c>
      <c r="C647">
        <f>セットアップレポート!B647</f>
        <v>0</v>
      </c>
      <c r="D647">
        <f>セットアップレポート!C647</f>
        <v>0</v>
      </c>
      <c r="E647">
        <f>セットアップレポート!D647</f>
        <v>0</v>
      </c>
      <c r="F647">
        <f>セットアップレポート!E647</f>
        <v>0</v>
      </c>
      <c r="G647">
        <f>セットアップレポート!F647</f>
        <v>0</v>
      </c>
      <c r="H647">
        <f>セットアップレポート!G647</f>
        <v>0</v>
      </c>
      <c r="I647">
        <f>セットアップレポート!H647</f>
        <v>0</v>
      </c>
      <c r="J647">
        <f>セットアップレポート!I647</f>
        <v>0</v>
      </c>
      <c r="K647">
        <f>セットアップレポート!J647</f>
        <v>0</v>
      </c>
      <c r="L647">
        <f>セットアップレポート!K647</f>
        <v>0</v>
      </c>
      <c r="M647">
        <f>セットアップレポート!L647</f>
        <v>0</v>
      </c>
      <c r="N647">
        <f>セットアップレポート!M647</f>
        <v>0</v>
      </c>
      <c r="O647">
        <f>セットアップレポート!N647</f>
        <v>0</v>
      </c>
      <c r="P647">
        <f>セットアップレポート!O647</f>
        <v>0</v>
      </c>
      <c r="Q647">
        <f>セットアップレポート!P647</f>
        <v>0</v>
      </c>
      <c r="R647">
        <f>セットアップレポート!Q647</f>
        <v>0</v>
      </c>
      <c r="S647">
        <f>セットアップレポート!R647</f>
        <v>0</v>
      </c>
      <c r="T647">
        <f>セットアップレポート!S647</f>
        <v>0</v>
      </c>
      <c r="U647">
        <f>セットアップレポート!T647</f>
        <v>0</v>
      </c>
      <c r="V647">
        <f>セットアップレポート!U647</f>
        <v>0</v>
      </c>
      <c r="W647">
        <f>セットアップレポート!V647</f>
        <v>0</v>
      </c>
      <c r="X647">
        <f>セットアップレポート!W647</f>
        <v>0</v>
      </c>
      <c r="Y647">
        <f>セットアップレポート!X647</f>
        <v>0</v>
      </c>
      <c r="Z647">
        <f>セットアップレポート!Y647</f>
        <v>0</v>
      </c>
      <c r="AA647">
        <f>セットアップレポート!Z647</f>
        <v>0</v>
      </c>
      <c r="AB647">
        <f>セットアップレポート!AA647</f>
        <v>0</v>
      </c>
      <c r="AC647">
        <f>セットアップレポート!AB647</f>
        <v>0</v>
      </c>
      <c r="AD647">
        <f>セットアップレポート!AC647</f>
        <v>0</v>
      </c>
      <c r="AE647">
        <f>セットアップレポート!AD647</f>
        <v>0</v>
      </c>
      <c r="AF647">
        <f>セットアップレポート!AE647</f>
        <v>0</v>
      </c>
      <c r="AG647">
        <f>セットアップレポート!AF647</f>
        <v>0</v>
      </c>
      <c r="AH647">
        <f>セットアップレポート!AG647</f>
        <v>0</v>
      </c>
    </row>
    <row r="648" spans="1:34" x14ac:dyDescent="0.45">
      <c r="A648" t="str">
        <f t="shared" si="10"/>
        <v>000</v>
      </c>
      <c r="B648">
        <f>セットアップレポート!A648</f>
        <v>0</v>
      </c>
      <c r="C648">
        <f>セットアップレポート!B648</f>
        <v>0</v>
      </c>
      <c r="D648">
        <f>セットアップレポート!C648</f>
        <v>0</v>
      </c>
      <c r="E648">
        <f>セットアップレポート!D648</f>
        <v>0</v>
      </c>
      <c r="F648">
        <f>セットアップレポート!E648</f>
        <v>0</v>
      </c>
      <c r="G648">
        <f>セットアップレポート!F648</f>
        <v>0</v>
      </c>
      <c r="H648">
        <f>セットアップレポート!G648</f>
        <v>0</v>
      </c>
      <c r="I648">
        <f>セットアップレポート!H648</f>
        <v>0</v>
      </c>
      <c r="J648">
        <f>セットアップレポート!I648</f>
        <v>0</v>
      </c>
      <c r="K648">
        <f>セットアップレポート!J648</f>
        <v>0</v>
      </c>
      <c r="L648">
        <f>セットアップレポート!K648</f>
        <v>0</v>
      </c>
      <c r="M648">
        <f>セットアップレポート!L648</f>
        <v>0</v>
      </c>
      <c r="N648">
        <f>セットアップレポート!M648</f>
        <v>0</v>
      </c>
      <c r="O648">
        <f>セットアップレポート!N648</f>
        <v>0</v>
      </c>
      <c r="P648">
        <f>セットアップレポート!O648</f>
        <v>0</v>
      </c>
      <c r="Q648">
        <f>セットアップレポート!P648</f>
        <v>0</v>
      </c>
      <c r="R648">
        <f>セットアップレポート!Q648</f>
        <v>0</v>
      </c>
      <c r="S648">
        <f>セットアップレポート!R648</f>
        <v>0</v>
      </c>
      <c r="T648">
        <f>セットアップレポート!S648</f>
        <v>0</v>
      </c>
      <c r="U648">
        <f>セットアップレポート!T648</f>
        <v>0</v>
      </c>
      <c r="V648">
        <f>セットアップレポート!U648</f>
        <v>0</v>
      </c>
      <c r="W648">
        <f>セットアップレポート!V648</f>
        <v>0</v>
      </c>
      <c r="X648">
        <f>セットアップレポート!W648</f>
        <v>0</v>
      </c>
      <c r="Y648">
        <f>セットアップレポート!X648</f>
        <v>0</v>
      </c>
      <c r="Z648">
        <f>セットアップレポート!Y648</f>
        <v>0</v>
      </c>
      <c r="AA648">
        <f>セットアップレポート!Z648</f>
        <v>0</v>
      </c>
      <c r="AB648">
        <f>セットアップレポート!AA648</f>
        <v>0</v>
      </c>
      <c r="AC648">
        <f>セットアップレポート!AB648</f>
        <v>0</v>
      </c>
      <c r="AD648">
        <f>セットアップレポート!AC648</f>
        <v>0</v>
      </c>
      <c r="AE648">
        <f>セットアップレポート!AD648</f>
        <v>0</v>
      </c>
      <c r="AF648">
        <f>セットアップレポート!AE648</f>
        <v>0</v>
      </c>
      <c r="AG648">
        <f>セットアップレポート!AF648</f>
        <v>0</v>
      </c>
      <c r="AH648">
        <f>セットアップレポート!AG648</f>
        <v>0</v>
      </c>
    </row>
    <row r="649" spans="1:34" x14ac:dyDescent="0.45">
      <c r="A649" t="str">
        <f t="shared" si="10"/>
        <v>000</v>
      </c>
      <c r="B649">
        <f>セットアップレポート!A649</f>
        <v>0</v>
      </c>
      <c r="C649">
        <f>セットアップレポート!B649</f>
        <v>0</v>
      </c>
      <c r="D649">
        <f>セットアップレポート!C649</f>
        <v>0</v>
      </c>
      <c r="E649">
        <f>セットアップレポート!D649</f>
        <v>0</v>
      </c>
      <c r="F649">
        <f>セットアップレポート!E649</f>
        <v>0</v>
      </c>
      <c r="G649">
        <f>セットアップレポート!F649</f>
        <v>0</v>
      </c>
      <c r="H649">
        <f>セットアップレポート!G649</f>
        <v>0</v>
      </c>
      <c r="I649">
        <f>セットアップレポート!H649</f>
        <v>0</v>
      </c>
      <c r="J649">
        <f>セットアップレポート!I649</f>
        <v>0</v>
      </c>
      <c r="K649">
        <f>セットアップレポート!J649</f>
        <v>0</v>
      </c>
      <c r="L649">
        <f>セットアップレポート!K649</f>
        <v>0</v>
      </c>
      <c r="M649">
        <f>セットアップレポート!L649</f>
        <v>0</v>
      </c>
      <c r="N649">
        <f>セットアップレポート!M649</f>
        <v>0</v>
      </c>
      <c r="O649">
        <f>セットアップレポート!N649</f>
        <v>0</v>
      </c>
      <c r="P649">
        <f>セットアップレポート!O649</f>
        <v>0</v>
      </c>
      <c r="Q649">
        <f>セットアップレポート!P649</f>
        <v>0</v>
      </c>
      <c r="R649">
        <f>セットアップレポート!Q649</f>
        <v>0</v>
      </c>
      <c r="S649">
        <f>セットアップレポート!R649</f>
        <v>0</v>
      </c>
      <c r="T649">
        <f>セットアップレポート!S649</f>
        <v>0</v>
      </c>
      <c r="U649">
        <f>セットアップレポート!T649</f>
        <v>0</v>
      </c>
      <c r="V649">
        <f>セットアップレポート!U649</f>
        <v>0</v>
      </c>
      <c r="W649">
        <f>セットアップレポート!V649</f>
        <v>0</v>
      </c>
      <c r="X649">
        <f>セットアップレポート!W649</f>
        <v>0</v>
      </c>
      <c r="Y649">
        <f>セットアップレポート!X649</f>
        <v>0</v>
      </c>
      <c r="Z649">
        <f>セットアップレポート!Y649</f>
        <v>0</v>
      </c>
      <c r="AA649">
        <f>セットアップレポート!Z649</f>
        <v>0</v>
      </c>
      <c r="AB649">
        <f>セットアップレポート!AA649</f>
        <v>0</v>
      </c>
      <c r="AC649">
        <f>セットアップレポート!AB649</f>
        <v>0</v>
      </c>
      <c r="AD649">
        <f>セットアップレポート!AC649</f>
        <v>0</v>
      </c>
      <c r="AE649">
        <f>セットアップレポート!AD649</f>
        <v>0</v>
      </c>
      <c r="AF649">
        <f>セットアップレポート!AE649</f>
        <v>0</v>
      </c>
      <c r="AG649">
        <f>セットアップレポート!AF649</f>
        <v>0</v>
      </c>
      <c r="AH649">
        <f>セットアップレポート!AG649</f>
        <v>0</v>
      </c>
    </row>
    <row r="650" spans="1:34" x14ac:dyDescent="0.45">
      <c r="A650" t="str">
        <f t="shared" si="10"/>
        <v>000</v>
      </c>
      <c r="B650">
        <f>セットアップレポート!A650</f>
        <v>0</v>
      </c>
      <c r="C650">
        <f>セットアップレポート!B650</f>
        <v>0</v>
      </c>
      <c r="D650">
        <f>セットアップレポート!C650</f>
        <v>0</v>
      </c>
      <c r="E650">
        <f>セットアップレポート!D650</f>
        <v>0</v>
      </c>
      <c r="F650">
        <f>セットアップレポート!E650</f>
        <v>0</v>
      </c>
      <c r="G650">
        <f>セットアップレポート!F650</f>
        <v>0</v>
      </c>
      <c r="H650">
        <f>セットアップレポート!G650</f>
        <v>0</v>
      </c>
      <c r="I650">
        <f>セットアップレポート!H650</f>
        <v>0</v>
      </c>
      <c r="J650">
        <f>セットアップレポート!I650</f>
        <v>0</v>
      </c>
      <c r="K650">
        <f>セットアップレポート!J650</f>
        <v>0</v>
      </c>
      <c r="L650">
        <f>セットアップレポート!K650</f>
        <v>0</v>
      </c>
      <c r="M650">
        <f>セットアップレポート!L650</f>
        <v>0</v>
      </c>
      <c r="N650">
        <f>セットアップレポート!M650</f>
        <v>0</v>
      </c>
      <c r="O650">
        <f>セットアップレポート!N650</f>
        <v>0</v>
      </c>
      <c r="P650">
        <f>セットアップレポート!O650</f>
        <v>0</v>
      </c>
      <c r="Q650">
        <f>セットアップレポート!P650</f>
        <v>0</v>
      </c>
      <c r="R650">
        <f>セットアップレポート!Q650</f>
        <v>0</v>
      </c>
      <c r="S650">
        <f>セットアップレポート!R650</f>
        <v>0</v>
      </c>
      <c r="T650">
        <f>セットアップレポート!S650</f>
        <v>0</v>
      </c>
      <c r="U650">
        <f>セットアップレポート!T650</f>
        <v>0</v>
      </c>
      <c r="V650">
        <f>セットアップレポート!U650</f>
        <v>0</v>
      </c>
      <c r="W650">
        <f>セットアップレポート!V650</f>
        <v>0</v>
      </c>
      <c r="X650">
        <f>セットアップレポート!W650</f>
        <v>0</v>
      </c>
      <c r="Y650">
        <f>セットアップレポート!X650</f>
        <v>0</v>
      </c>
      <c r="Z650">
        <f>セットアップレポート!Y650</f>
        <v>0</v>
      </c>
      <c r="AA650">
        <f>セットアップレポート!Z650</f>
        <v>0</v>
      </c>
      <c r="AB650">
        <f>セットアップレポート!AA650</f>
        <v>0</v>
      </c>
      <c r="AC650">
        <f>セットアップレポート!AB650</f>
        <v>0</v>
      </c>
      <c r="AD650">
        <f>セットアップレポート!AC650</f>
        <v>0</v>
      </c>
      <c r="AE650">
        <f>セットアップレポート!AD650</f>
        <v>0</v>
      </c>
      <c r="AF650">
        <f>セットアップレポート!AE650</f>
        <v>0</v>
      </c>
      <c r="AG650">
        <f>セットアップレポート!AF650</f>
        <v>0</v>
      </c>
      <c r="AH650">
        <f>セットアップレポート!AG650</f>
        <v>0</v>
      </c>
    </row>
    <row r="651" spans="1:34" x14ac:dyDescent="0.45">
      <c r="A651" t="str">
        <f t="shared" si="10"/>
        <v>000</v>
      </c>
      <c r="B651">
        <f>セットアップレポート!A651</f>
        <v>0</v>
      </c>
      <c r="C651">
        <f>セットアップレポート!B651</f>
        <v>0</v>
      </c>
      <c r="D651">
        <f>セットアップレポート!C651</f>
        <v>0</v>
      </c>
      <c r="E651">
        <f>セットアップレポート!D651</f>
        <v>0</v>
      </c>
      <c r="F651">
        <f>セットアップレポート!E651</f>
        <v>0</v>
      </c>
      <c r="G651">
        <f>セットアップレポート!F651</f>
        <v>0</v>
      </c>
      <c r="H651">
        <f>セットアップレポート!G651</f>
        <v>0</v>
      </c>
      <c r="I651">
        <f>セットアップレポート!H651</f>
        <v>0</v>
      </c>
      <c r="J651">
        <f>セットアップレポート!I651</f>
        <v>0</v>
      </c>
      <c r="K651">
        <f>セットアップレポート!J651</f>
        <v>0</v>
      </c>
      <c r="L651">
        <f>セットアップレポート!K651</f>
        <v>0</v>
      </c>
      <c r="M651">
        <f>セットアップレポート!L651</f>
        <v>0</v>
      </c>
      <c r="N651">
        <f>セットアップレポート!M651</f>
        <v>0</v>
      </c>
      <c r="O651">
        <f>セットアップレポート!N651</f>
        <v>0</v>
      </c>
      <c r="P651">
        <f>セットアップレポート!O651</f>
        <v>0</v>
      </c>
      <c r="Q651">
        <f>セットアップレポート!P651</f>
        <v>0</v>
      </c>
      <c r="R651">
        <f>セットアップレポート!Q651</f>
        <v>0</v>
      </c>
      <c r="S651">
        <f>セットアップレポート!R651</f>
        <v>0</v>
      </c>
      <c r="T651">
        <f>セットアップレポート!S651</f>
        <v>0</v>
      </c>
      <c r="U651">
        <f>セットアップレポート!T651</f>
        <v>0</v>
      </c>
      <c r="V651">
        <f>セットアップレポート!U651</f>
        <v>0</v>
      </c>
      <c r="W651">
        <f>セットアップレポート!V651</f>
        <v>0</v>
      </c>
      <c r="X651">
        <f>セットアップレポート!W651</f>
        <v>0</v>
      </c>
      <c r="Y651">
        <f>セットアップレポート!X651</f>
        <v>0</v>
      </c>
      <c r="Z651">
        <f>セットアップレポート!Y651</f>
        <v>0</v>
      </c>
      <c r="AA651">
        <f>セットアップレポート!Z651</f>
        <v>0</v>
      </c>
      <c r="AB651">
        <f>セットアップレポート!AA651</f>
        <v>0</v>
      </c>
      <c r="AC651">
        <f>セットアップレポート!AB651</f>
        <v>0</v>
      </c>
      <c r="AD651">
        <f>セットアップレポート!AC651</f>
        <v>0</v>
      </c>
      <c r="AE651">
        <f>セットアップレポート!AD651</f>
        <v>0</v>
      </c>
      <c r="AF651">
        <f>セットアップレポート!AE651</f>
        <v>0</v>
      </c>
      <c r="AG651">
        <f>セットアップレポート!AF651</f>
        <v>0</v>
      </c>
      <c r="AH651">
        <f>セットアップレポート!AG651</f>
        <v>0</v>
      </c>
    </row>
    <row r="652" spans="1:34" x14ac:dyDescent="0.45">
      <c r="A652" t="str">
        <f t="shared" si="10"/>
        <v>000</v>
      </c>
      <c r="B652">
        <f>セットアップレポート!A652</f>
        <v>0</v>
      </c>
      <c r="C652">
        <f>セットアップレポート!B652</f>
        <v>0</v>
      </c>
      <c r="D652">
        <f>セットアップレポート!C652</f>
        <v>0</v>
      </c>
      <c r="E652">
        <f>セットアップレポート!D652</f>
        <v>0</v>
      </c>
      <c r="F652">
        <f>セットアップレポート!E652</f>
        <v>0</v>
      </c>
      <c r="G652">
        <f>セットアップレポート!F652</f>
        <v>0</v>
      </c>
      <c r="H652">
        <f>セットアップレポート!G652</f>
        <v>0</v>
      </c>
      <c r="I652">
        <f>セットアップレポート!H652</f>
        <v>0</v>
      </c>
      <c r="J652">
        <f>セットアップレポート!I652</f>
        <v>0</v>
      </c>
      <c r="K652">
        <f>セットアップレポート!J652</f>
        <v>0</v>
      </c>
      <c r="L652">
        <f>セットアップレポート!K652</f>
        <v>0</v>
      </c>
      <c r="M652">
        <f>セットアップレポート!L652</f>
        <v>0</v>
      </c>
      <c r="N652">
        <f>セットアップレポート!M652</f>
        <v>0</v>
      </c>
      <c r="O652">
        <f>セットアップレポート!N652</f>
        <v>0</v>
      </c>
      <c r="P652">
        <f>セットアップレポート!O652</f>
        <v>0</v>
      </c>
      <c r="Q652">
        <f>セットアップレポート!P652</f>
        <v>0</v>
      </c>
      <c r="R652">
        <f>セットアップレポート!Q652</f>
        <v>0</v>
      </c>
      <c r="S652">
        <f>セットアップレポート!R652</f>
        <v>0</v>
      </c>
      <c r="T652">
        <f>セットアップレポート!S652</f>
        <v>0</v>
      </c>
      <c r="U652">
        <f>セットアップレポート!T652</f>
        <v>0</v>
      </c>
      <c r="V652">
        <f>セットアップレポート!U652</f>
        <v>0</v>
      </c>
      <c r="W652">
        <f>セットアップレポート!V652</f>
        <v>0</v>
      </c>
      <c r="X652">
        <f>セットアップレポート!W652</f>
        <v>0</v>
      </c>
      <c r="Y652">
        <f>セットアップレポート!X652</f>
        <v>0</v>
      </c>
      <c r="Z652">
        <f>セットアップレポート!Y652</f>
        <v>0</v>
      </c>
      <c r="AA652">
        <f>セットアップレポート!Z652</f>
        <v>0</v>
      </c>
      <c r="AB652">
        <f>セットアップレポート!AA652</f>
        <v>0</v>
      </c>
      <c r="AC652">
        <f>セットアップレポート!AB652</f>
        <v>0</v>
      </c>
      <c r="AD652">
        <f>セットアップレポート!AC652</f>
        <v>0</v>
      </c>
      <c r="AE652">
        <f>セットアップレポート!AD652</f>
        <v>0</v>
      </c>
      <c r="AF652">
        <f>セットアップレポート!AE652</f>
        <v>0</v>
      </c>
      <c r="AG652">
        <f>セットアップレポート!AF652</f>
        <v>0</v>
      </c>
      <c r="AH652">
        <f>セットアップレポート!AG652</f>
        <v>0</v>
      </c>
    </row>
    <row r="653" spans="1:34" x14ac:dyDescent="0.45">
      <c r="A653" t="str">
        <f t="shared" si="10"/>
        <v>000</v>
      </c>
      <c r="B653">
        <f>セットアップレポート!A653</f>
        <v>0</v>
      </c>
      <c r="C653">
        <f>セットアップレポート!B653</f>
        <v>0</v>
      </c>
      <c r="D653">
        <f>セットアップレポート!C653</f>
        <v>0</v>
      </c>
      <c r="E653">
        <f>セットアップレポート!D653</f>
        <v>0</v>
      </c>
      <c r="F653">
        <f>セットアップレポート!E653</f>
        <v>0</v>
      </c>
      <c r="G653">
        <f>セットアップレポート!F653</f>
        <v>0</v>
      </c>
      <c r="H653">
        <f>セットアップレポート!G653</f>
        <v>0</v>
      </c>
      <c r="I653">
        <f>セットアップレポート!H653</f>
        <v>0</v>
      </c>
      <c r="J653">
        <f>セットアップレポート!I653</f>
        <v>0</v>
      </c>
      <c r="K653">
        <f>セットアップレポート!J653</f>
        <v>0</v>
      </c>
      <c r="L653">
        <f>セットアップレポート!K653</f>
        <v>0</v>
      </c>
      <c r="M653">
        <f>セットアップレポート!L653</f>
        <v>0</v>
      </c>
      <c r="N653">
        <f>セットアップレポート!M653</f>
        <v>0</v>
      </c>
      <c r="O653">
        <f>セットアップレポート!N653</f>
        <v>0</v>
      </c>
      <c r="P653">
        <f>セットアップレポート!O653</f>
        <v>0</v>
      </c>
      <c r="Q653">
        <f>セットアップレポート!P653</f>
        <v>0</v>
      </c>
      <c r="R653">
        <f>セットアップレポート!Q653</f>
        <v>0</v>
      </c>
      <c r="S653">
        <f>セットアップレポート!R653</f>
        <v>0</v>
      </c>
      <c r="T653">
        <f>セットアップレポート!S653</f>
        <v>0</v>
      </c>
      <c r="U653">
        <f>セットアップレポート!T653</f>
        <v>0</v>
      </c>
      <c r="V653">
        <f>セットアップレポート!U653</f>
        <v>0</v>
      </c>
      <c r="W653">
        <f>セットアップレポート!V653</f>
        <v>0</v>
      </c>
      <c r="X653">
        <f>セットアップレポート!W653</f>
        <v>0</v>
      </c>
      <c r="Y653">
        <f>セットアップレポート!X653</f>
        <v>0</v>
      </c>
      <c r="Z653">
        <f>セットアップレポート!Y653</f>
        <v>0</v>
      </c>
      <c r="AA653">
        <f>セットアップレポート!Z653</f>
        <v>0</v>
      </c>
      <c r="AB653">
        <f>セットアップレポート!AA653</f>
        <v>0</v>
      </c>
      <c r="AC653">
        <f>セットアップレポート!AB653</f>
        <v>0</v>
      </c>
      <c r="AD653">
        <f>セットアップレポート!AC653</f>
        <v>0</v>
      </c>
      <c r="AE653">
        <f>セットアップレポート!AD653</f>
        <v>0</v>
      </c>
      <c r="AF653">
        <f>セットアップレポート!AE653</f>
        <v>0</v>
      </c>
      <c r="AG653">
        <f>セットアップレポート!AF653</f>
        <v>0</v>
      </c>
      <c r="AH653">
        <f>セットアップレポート!AG653</f>
        <v>0</v>
      </c>
    </row>
    <row r="654" spans="1:34" x14ac:dyDescent="0.45">
      <c r="A654" t="str">
        <f t="shared" si="10"/>
        <v>000</v>
      </c>
      <c r="B654">
        <f>セットアップレポート!A654</f>
        <v>0</v>
      </c>
      <c r="C654">
        <f>セットアップレポート!B654</f>
        <v>0</v>
      </c>
      <c r="D654">
        <f>セットアップレポート!C654</f>
        <v>0</v>
      </c>
      <c r="E654">
        <f>セットアップレポート!D654</f>
        <v>0</v>
      </c>
      <c r="F654">
        <f>セットアップレポート!E654</f>
        <v>0</v>
      </c>
      <c r="G654">
        <f>セットアップレポート!F654</f>
        <v>0</v>
      </c>
      <c r="H654">
        <f>セットアップレポート!G654</f>
        <v>0</v>
      </c>
      <c r="I654">
        <f>セットアップレポート!H654</f>
        <v>0</v>
      </c>
      <c r="J654">
        <f>セットアップレポート!I654</f>
        <v>0</v>
      </c>
      <c r="K654">
        <f>セットアップレポート!J654</f>
        <v>0</v>
      </c>
      <c r="L654">
        <f>セットアップレポート!K654</f>
        <v>0</v>
      </c>
      <c r="M654">
        <f>セットアップレポート!L654</f>
        <v>0</v>
      </c>
      <c r="N654">
        <f>セットアップレポート!M654</f>
        <v>0</v>
      </c>
      <c r="O654">
        <f>セットアップレポート!N654</f>
        <v>0</v>
      </c>
      <c r="P654">
        <f>セットアップレポート!O654</f>
        <v>0</v>
      </c>
      <c r="Q654">
        <f>セットアップレポート!P654</f>
        <v>0</v>
      </c>
      <c r="R654">
        <f>セットアップレポート!Q654</f>
        <v>0</v>
      </c>
      <c r="S654">
        <f>セットアップレポート!R654</f>
        <v>0</v>
      </c>
      <c r="T654">
        <f>セットアップレポート!S654</f>
        <v>0</v>
      </c>
      <c r="U654">
        <f>セットアップレポート!T654</f>
        <v>0</v>
      </c>
      <c r="V654">
        <f>セットアップレポート!U654</f>
        <v>0</v>
      </c>
      <c r="W654">
        <f>セットアップレポート!V654</f>
        <v>0</v>
      </c>
      <c r="X654">
        <f>セットアップレポート!W654</f>
        <v>0</v>
      </c>
      <c r="Y654">
        <f>セットアップレポート!X654</f>
        <v>0</v>
      </c>
      <c r="Z654">
        <f>セットアップレポート!Y654</f>
        <v>0</v>
      </c>
      <c r="AA654">
        <f>セットアップレポート!Z654</f>
        <v>0</v>
      </c>
      <c r="AB654">
        <f>セットアップレポート!AA654</f>
        <v>0</v>
      </c>
      <c r="AC654">
        <f>セットアップレポート!AB654</f>
        <v>0</v>
      </c>
      <c r="AD654">
        <f>セットアップレポート!AC654</f>
        <v>0</v>
      </c>
      <c r="AE654">
        <f>セットアップレポート!AD654</f>
        <v>0</v>
      </c>
      <c r="AF654">
        <f>セットアップレポート!AE654</f>
        <v>0</v>
      </c>
      <c r="AG654">
        <f>セットアップレポート!AF654</f>
        <v>0</v>
      </c>
      <c r="AH654">
        <f>セットアップレポート!AG654</f>
        <v>0</v>
      </c>
    </row>
    <row r="655" spans="1:34" x14ac:dyDescent="0.45">
      <c r="A655" t="str">
        <f t="shared" si="10"/>
        <v>000</v>
      </c>
      <c r="B655">
        <f>セットアップレポート!A655</f>
        <v>0</v>
      </c>
      <c r="C655">
        <f>セットアップレポート!B655</f>
        <v>0</v>
      </c>
      <c r="D655">
        <f>セットアップレポート!C655</f>
        <v>0</v>
      </c>
      <c r="E655">
        <f>セットアップレポート!D655</f>
        <v>0</v>
      </c>
      <c r="F655">
        <f>セットアップレポート!E655</f>
        <v>0</v>
      </c>
      <c r="G655">
        <f>セットアップレポート!F655</f>
        <v>0</v>
      </c>
      <c r="H655">
        <f>セットアップレポート!G655</f>
        <v>0</v>
      </c>
      <c r="I655">
        <f>セットアップレポート!H655</f>
        <v>0</v>
      </c>
      <c r="J655">
        <f>セットアップレポート!I655</f>
        <v>0</v>
      </c>
      <c r="K655">
        <f>セットアップレポート!J655</f>
        <v>0</v>
      </c>
      <c r="L655">
        <f>セットアップレポート!K655</f>
        <v>0</v>
      </c>
      <c r="M655">
        <f>セットアップレポート!L655</f>
        <v>0</v>
      </c>
      <c r="N655">
        <f>セットアップレポート!M655</f>
        <v>0</v>
      </c>
      <c r="O655">
        <f>セットアップレポート!N655</f>
        <v>0</v>
      </c>
      <c r="P655">
        <f>セットアップレポート!O655</f>
        <v>0</v>
      </c>
      <c r="Q655">
        <f>セットアップレポート!P655</f>
        <v>0</v>
      </c>
      <c r="R655">
        <f>セットアップレポート!Q655</f>
        <v>0</v>
      </c>
      <c r="S655">
        <f>セットアップレポート!R655</f>
        <v>0</v>
      </c>
      <c r="T655">
        <f>セットアップレポート!S655</f>
        <v>0</v>
      </c>
      <c r="U655">
        <f>セットアップレポート!T655</f>
        <v>0</v>
      </c>
      <c r="V655">
        <f>セットアップレポート!U655</f>
        <v>0</v>
      </c>
      <c r="W655">
        <f>セットアップレポート!V655</f>
        <v>0</v>
      </c>
      <c r="X655">
        <f>セットアップレポート!W655</f>
        <v>0</v>
      </c>
      <c r="Y655">
        <f>セットアップレポート!X655</f>
        <v>0</v>
      </c>
      <c r="Z655">
        <f>セットアップレポート!Y655</f>
        <v>0</v>
      </c>
      <c r="AA655">
        <f>セットアップレポート!Z655</f>
        <v>0</v>
      </c>
      <c r="AB655">
        <f>セットアップレポート!AA655</f>
        <v>0</v>
      </c>
      <c r="AC655">
        <f>セットアップレポート!AB655</f>
        <v>0</v>
      </c>
      <c r="AD655">
        <f>セットアップレポート!AC655</f>
        <v>0</v>
      </c>
      <c r="AE655">
        <f>セットアップレポート!AD655</f>
        <v>0</v>
      </c>
      <c r="AF655">
        <f>セットアップレポート!AE655</f>
        <v>0</v>
      </c>
      <c r="AG655">
        <f>セットアップレポート!AF655</f>
        <v>0</v>
      </c>
      <c r="AH655">
        <f>セットアップレポート!AG655</f>
        <v>0</v>
      </c>
    </row>
    <row r="656" spans="1:34" x14ac:dyDescent="0.45">
      <c r="A656" t="str">
        <f t="shared" si="10"/>
        <v>000</v>
      </c>
      <c r="B656">
        <f>セットアップレポート!A656</f>
        <v>0</v>
      </c>
      <c r="C656">
        <f>セットアップレポート!B656</f>
        <v>0</v>
      </c>
      <c r="D656">
        <f>セットアップレポート!C656</f>
        <v>0</v>
      </c>
      <c r="E656">
        <f>セットアップレポート!D656</f>
        <v>0</v>
      </c>
      <c r="F656">
        <f>セットアップレポート!E656</f>
        <v>0</v>
      </c>
      <c r="G656">
        <f>セットアップレポート!F656</f>
        <v>0</v>
      </c>
      <c r="H656">
        <f>セットアップレポート!G656</f>
        <v>0</v>
      </c>
      <c r="I656">
        <f>セットアップレポート!H656</f>
        <v>0</v>
      </c>
      <c r="J656">
        <f>セットアップレポート!I656</f>
        <v>0</v>
      </c>
      <c r="K656">
        <f>セットアップレポート!J656</f>
        <v>0</v>
      </c>
      <c r="L656">
        <f>セットアップレポート!K656</f>
        <v>0</v>
      </c>
      <c r="M656">
        <f>セットアップレポート!L656</f>
        <v>0</v>
      </c>
      <c r="N656">
        <f>セットアップレポート!M656</f>
        <v>0</v>
      </c>
      <c r="O656">
        <f>セットアップレポート!N656</f>
        <v>0</v>
      </c>
      <c r="P656">
        <f>セットアップレポート!O656</f>
        <v>0</v>
      </c>
      <c r="Q656">
        <f>セットアップレポート!P656</f>
        <v>0</v>
      </c>
      <c r="R656">
        <f>セットアップレポート!Q656</f>
        <v>0</v>
      </c>
      <c r="S656">
        <f>セットアップレポート!R656</f>
        <v>0</v>
      </c>
      <c r="T656">
        <f>セットアップレポート!S656</f>
        <v>0</v>
      </c>
      <c r="U656">
        <f>セットアップレポート!T656</f>
        <v>0</v>
      </c>
      <c r="V656">
        <f>セットアップレポート!U656</f>
        <v>0</v>
      </c>
      <c r="W656">
        <f>セットアップレポート!V656</f>
        <v>0</v>
      </c>
      <c r="X656">
        <f>セットアップレポート!W656</f>
        <v>0</v>
      </c>
      <c r="Y656">
        <f>セットアップレポート!X656</f>
        <v>0</v>
      </c>
      <c r="Z656">
        <f>セットアップレポート!Y656</f>
        <v>0</v>
      </c>
      <c r="AA656">
        <f>セットアップレポート!Z656</f>
        <v>0</v>
      </c>
      <c r="AB656">
        <f>セットアップレポート!AA656</f>
        <v>0</v>
      </c>
      <c r="AC656">
        <f>セットアップレポート!AB656</f>
        <v>0</v>
      </c>
      <c r="AD656">
        <f>セットアップレポート!AC656</f>
        <v>0</v>
      </c>
      <c r="AE656">
        <f>セットアップレポート!AD656</f>
        <v>0</v>
      </c>
      <c r="AF656">
        <f>セットアップレポート!AE656</f>
        <v>0</v>
      </c>
      <c r="AG656">
        <f>セットアップレポート!AF656</f>
        <v>0</v>
      </c>
      <c r="AH656">
        <f>セットアップレポート!AG656</f>
        <v>0</v>
      </c>
    </row>
    <row r="657" spans="1:34" x14ac:dyDescent="0.45">
      <c r="A657" t="str">
        <f t="shared" si="10"/>
        <v>000</v>
      </c>
      <c r="B657">
        <f>セットアップレポート!A657</f>
        <v>0</v>
      </c>
      <c r="C657">
        <f>セットアップレポート!B657</f>
        <v>0</v>
      </c>
      <c r="D657">
        <f>セットアップレポート!C657</f>
        <v>0</v>
      </c>
      <c r="E657">
        <f>セットアップレポート!D657</f>
        <v>0</v>
      </c>
      <c r="F657">
        <f>セットアップレポート!E657</f>
        <v>0</v>
      </c>
      <c r="G657">
        <f>セットアップレポート!F657</f>
        <v>0</v>
      </c>
      <c r="H657">
        <f>セットアップレポート!G657</f>
        <v>0</v>
      </c>
      <c r="I657">
        <f>セットアップレポート!H657</f>
        <v>0</v>
      </c>
      <c r="J657">
        <f>セットアップレポート!I657</f>
        <v>0</v>
      </c>
      <c r="K657">
        <f>セットアップレポート!J657</f>
        <v>0</v>
      </c>
      <c r="L657">
        <f>セットアップレポート!K657</f>
        <v>0</v>
      </c>
      <c r="M657">
        <f>セットアップレポート!L657</f>
        <v>0</v>
      </c>
      <c r="N657">
        <f>セットアップレポート!M657</f>
        <v>0</v>
      </c>
      <c r="O657">
        <f>セットアップレポート!N657</f>
        <v>0</v>
      </c>
      <c r="P657">
        <f>セットアップレポート!O657</f>
        <v>0</v>
      </c>
      <c r="Q657">
        <f>セットアップレポート!P657</f>
        <v>0</v>
      </c>
      <c r="R657">
        <f>セットアップレポート!Q657</f>
        <v>0</v>
      </c>
      <c r="S657">
        <f>セットアップレポート!R657</f>
        <v>0</v>
      </c>
      <c r="T657">
        <f>セットアップレポート!S657</f>
        <v>0</v>
      </c>
      <c r="U657">
        <f>セットアップレポート!T657</f>
        <v>0</v>
      </c>
      <c r="V657">
        <f>セットアップレポート!U657</f>
        <v>0</v>
      </c>
      <c r="W657">
        <f>セットアップレポート!V657</f>
        <v>0</v>
      </c>
      <c r="X657">
        <f>セットアップレポート!W657</f>
        <v>0</v>
      </c>
      <c r="Y657">
        <f>セットアップレポート!X657</f>
        <v>0</v>
      </c>
      <c r="Z657">
        <f>セットアップレポート!Y657</f>
        <v>0</v>
      </c>
      <c r="AA657">
        <f>セットアップレポート!Z657</f>
        <v>0</v>
      </c>
      <c r="AB657">
        <f>セットアップレポート!AA657</f>
        <v>0</v>
      </c>
      <c r="AC657">
        <f>セットアップレポート!AB657</f>
        <v>0</v>
      </c>
      <c r="AD657">
        <f>セットアップレポート!AC657</f>
        <v>0</v>
      </c>
      <c r="AE657">
        <f>セットアップレポート!AD657</f>
        <v>0</v>
      </c>
      <c r="AF657">
        <f>セットアップレポート!AE657</f>
        <v>0</v>
      </c>
      <c r="AG657">
        <f>セットアップレポート!AF657</f>
        <v>0</v>
      </c>
      <c r="AH657">
        <f>セットアップレポート!AG657</f>
        <v>0</v>
      </c>
    </row>
    <row r="658" spans="1:34" x14ac:dyDescent="0.45">
      <c r="A658" t="str">
        <f t="shared" si="10"/>
        <v>000</v>
      </c>
      <c r="B658">
        <f>セットアップレポート!A658</f>
        <v>0</v>
      </c>
      <c r="C658">
        <f>セットアップレポート!B658</f>
        <v>0</v>
      </c>
      <c r="D658">
        <f>セットアップレポート!C658</f>
        <v>0</v>
      </c>
      <c r="E658">
        <f>セットアップレポート!D658</f>
        <v>0</v>
      </c>
      <c r="F658">
        <f>セットアップレポート!E658</f>
        <v>0</v>
      </c>
      <c r="G658">
        <f>セットアップレポート!F658</f>
        <v>0</v>
      </c>
      <c r="H658">
        <f>セットアップレポート!G658</f>
        <v>0</v>
      </c>
      <c r="I658">
        <f>セットアップレポート!H658</f>
        <v>0</v>
      </c>
      <c r="J658">
        <f>セットアップレポート!I658</f>
        <v>0</v>
      </c>
      <c r="K658">
        <f>セットアップレポート!J658</f>
        <v>0</v>
      </c>
      <c r="L658">
        <f>セットアップレポート!K658</f>
        <v>0</v>
      </c>
      <c r="M658">
        <f>セットアップレポート!L658</f>
        <v>0</v>
      </c>
      <c r="N658">
        <f>セットアップレポート!M658</f>
        <v>0</v>
      </c>
      <c r="O658">
        <f>セットアップレポート!N658</f>
        <v>0</v>
      </c>
      <c r="P658">
        <f>セットアップレポート!O658</f>
        <v>0</v>
      </c>
      <c r="Q658">
        <f>セットアップレポート!P658</f>
        <v>0</v>
      </c>
      <c r="R658">
        <f>セットアップレポート!Q658</f>
        <v>0</v>
      </c>
      <c r="S658">
        <f>セットアップレポート!R658</f>
        <v>0</v>
      </c>
      <c r="T658">
        <f>セットアップレポート!S658</f>
        <v>0</v>
      </c>
      <c r="U658">
        <f>セットアップレポート!T658</f>
        <v>0</v>
      </c>
      <c r="V658">
        <f>セットアップレポート!U658</f>
        <v>0</v>
      </c>
      <c r="W658">
        <f>セットアップレポート!V658</f>
        <v>0</v>
      </c>
      <c r="X658">
        <f>セットアップレポート!W658</f>
        <v>0</v>
      </c>
      <c r="Y658">
        <f>セットアップレポート!X658</f>
        <v>0</v>
      </c>
      <c r="Z658">
        <f>セットアップレポート!Y658</f>
        <v>0</v>
      </c>
      <c r="AA658">
        <f>セットアップレポート!Z658</f>
        <v>0</v>
      </c>
      <c r="AB658">
        <f>セットアップレポート!AA658</f>
        <v>0</v>
      </c>
      <c r="AC658">
        <f>セットアップレポート!AB658</f>
        <v>0</v>
      </c>
      <c r="AD658">
        <f>セットアップレポート!AC658</f>
        <v>0</v>
      </c>
      <c r="AE658">
        <f>セットアップレポート!AD658</f>
        <v>0</v>
      </c>
      <c r="AF658">
        <f>セットアップレポート!AE658</f>
        <v>0</v>
      </c>
      <c r="AG658">
        <f>セットアップレポート!AF658</f>
        <v>0</v>
      </c>
      <c r="AH658">
        <f>セットアップレポート!AG658</f>
        <v>0</v>
      </c>
    </row>
    <row r="659" spans="1:34" x14ac:dyDescent="0.45">
      <c r="A659" t="str">
        <f t="shared" si="10"/>
        <v>000</v>
      </c>
      <c r="B659">
        <f>セットアップレポート!A659</f>
        <v>0</v>
      </c>
      <c r="C659">
        <f>セットアップレポート!B659</f>
        <v>0</v>
      </c>
      <c r="D659">
        <f>セットアップレポート!C659</f>
        <v>0</v>
      </c>
      <c r="E659">
        <f>セットアップレポート!D659</f>
        <v>0</v>
      </c>
      <c r="F659">
        <f>セットアップレポート!E659</f>
        <v>0</v>
      </c>
      <c r="G659">
        <f>セットアップレポート!F659</f>
        <v>0</v>
      </c>
      <c r="H659">
        <f>セットアップレポート!G659</f>
        <v>0</v>
      </c>
      <c r="I659">
        <f>セットアップレポート!H659</f>
        <v>0</v>
      </c>
      <c r="J659">
        <f>セットアップレポート!I659</f>
        <v>0</v>
      </c>
      <c r="K659">
        <f>セットアップレポート!J659</f>
        <v>0</v>
      </c>
      <c r="L659">
        <f>セットアップレポート!K659</f>
        <v>0</v>
      </c>
      <c r="M659">
        <f>セットアップレポート!L659</f>
        <v>0</v>
      </c>
      <c r="N659">
        <f>セットアップレポート!M659</f>
        <v>0</v>
      </c>
      <c r="O659">
        <f>セットアップレポート!N659</f>
        <v>0</v>
      </c>
      <c r="P659">
        <f>セットアップレポート!O659</f>
        <v>0</v>
      </c>
      <c r="Q659">
        <f>セットアップレポート!P659</f>
        <v>0</v>
      </c>
      <c r="R659">
        <f>セットアップレポート!Q659</f>
        <v>0</v>
      </c>
      <c r="S659">
        <f>セットアップレポート!R659</f>
        <v>0</v>
      </c>
      <c r="T659">
        <f>セットアップレポート!S659</f>
        <v>0</v>
      </c>
      <c r="U659">
        <f>セットアップレポート!T659</f>
        <v>0</v>
      </c>
      <c r="V659">
        <f>セットアップレポート!U659</f>
        <v>0</v>
      </c>
      <c r="W659">
        <f>セットアップレポート!V659</f>
        <v>0</v>
      </c>
      <c r="X659">
        <f>セットアップレポート!W659</f>
        <v>0</v>
      </c>
      <c r="Y659">
        <f>セットアップレポート!X659</f>
        <v>0</v>
      </c>
      <c r="Z659">
        <f>セットアップレポート!Y659</f>
        <v>0</v>
      </c>
      <c r="AA659">
        <f>セットアップレポート!Z659</f>
        <v>0</v>
      </c>
      <c r="AB659">
        <f>セットアップレポート!AA659</f>
        <v>0</v>
      </c>
      <c r="AC659">
        <f>セットアップレポート!AB659</f>
        <v>0</v>
      </c>
      <c r="AD659">
        <f>セットアップレポート!AC659</f>
        <v>0</v>
      </c>
      <c r="AE659">
        <f>セットアップレポート!AD659</f>
        <v>0</v>
      </c>
      <c r="AF659">
        <f>セットアップレポート!AE659</f>
        <v>0</v>
      </c>
      <c r="AG659">
        <f>セットアップレポート!AF659</f>
        <v>0</v>
      </c>
      <c r="AH659">
        <f>セットアップレポート!AG659</f>
        <v>0</v>
      </c>
    </row>
    <row r="660" spans="1:34" x14ac:dyDescent="0.45">
      <c r="A660" t="str">
        <f t="shared" si="10"/>
        <v>000</v>
      </c>
      <c r="B660">
        <f>セットアップレポート!A660</f>
        <v>0</v>
      </c>
      <c r="C660">
        <f>セットアップレポート!B660</f>
        <v>0</v>
      </c>
      <c r="D660">
        <f>セットアップレポート!C660</f>
        <v>0</v>
      </c>
      <c r="E660">
        <f>セットアップレポート!D660</f>
        <v>0</v>
      </c>
      <c r="F660">
        <f>セットアップレポート!E660</f>
        <v>0</v>
      </c>
      <c r="G660">
        <f>セットアップレポート!F660</f>
        <v>0</v>
      </c>
      <c r="H660">
        <f>セットアップレポート!G660</f>
        <v>0</v>
      </c>
      <c r="I660">
        <f>セットアップレポート!H660</f>
        <v>0</v>
      </c>
      <c r="J660">
        <f>セットアップレポート!I660</f>
        <v>0</v>
      </c>
      <c r="K660">
        <f>セットアップレポート!J660</f>
        <v>0</v>
      </c>
      <c r="L660">
        <f>セットアップレポート!K660</f>
        <v>0</v>
      </c>
      <c r="M660">
        <f>セットアップレポート!L660</f>
        <v>0</v>
      </c>
      <c r="N660">
        <f>セットアップレポート!M660</f>
        <v>0</v>
      </c>
      <c r="O660">
        <f>セットアップレポート!N660</f>
        <v>0</v>
      </c>
      <c r="P660">
        <f>セットアップレポート!O660</f>
        <v>0</v>
      </c>
      <c r="Q660">
        <f>セットアップレポート!P660</f>
        <v>0</v>
      </c>
      <c r="R660">
        <f>セットアップレポート!Q660</f>
        <v>0</v>
      </c>
      <c r="S660">
        <f>セットアップレポート!R660</f>
        <v>0</v>
      </c>
      <c r="T660">
        <f>セットアップレポート!S660</f>
        <v>0</v>
      </c>
      <c r="U660">
        <f>セットアップレポート!T660</f>
        <v>0</v>
      </c>
      <c r="V660">
        <f>セットアップレポート!U660</f>
        <v>0</v>
      </c>
      <c r="W660">
        <f>セットアップレポート!V660</f>
        <v>0</v>
      </c>
      <c r="X660">
        <f>セットアップレポート!W660</f>
        <v>0</v>
      </c>
      <c r="Y660">
        <f>セットアップレポート!X660</f>
        <v>0</v>
      </c>
      <c r="Z660">
        <f>セットアップレポート!Y660</f>
        <v>0</v>
      </c>
      <c r="AA660">
        <f>セットアップレポート!Z660</f>
        <v>0</v>
      </c>
      <c r="AB660">
        <f>セットアップレポート!AA660</f>
        <v>0</v>
      </c>
      <c r="AC660">
        <f>セットアップレポート!AB660</f>
        <v>0</v>
      </c>
      <c r="AD660">
        <f>セットアップレポート!AC660</f>
        <v>0</v>
      </c>
      <c r="AE660">
        <f>セットアップレポート!AD660</f>
        <v>0</v>
      </c>
      <c r="AF660">
        <f>セットアップレポート!AE660</f>
        <v>0</v>
      </c>
      <c r="AG660">
        <f>セットアップレポート!AF660</f>
        <v>0</v>
      </c>
      <c r="AH660">
        <f>セットアップレポート!AG660</f>
        <v>0</v>
      </c>
    </row>
    <row r="661" spans="1:34" x14ac:dyDescent="0.45">
      <c r="A661" t="str">
        <f t="shared" si="10"/>
        <v>000</v>
      </c>
      <c r="B661">
        <f>セットアップレポート!A661</f>
        <v>0</v>
      </c>
      <c r="C661">
        <f>セットアップレポート!B661</f>
        <v>0</v>
      </c>
      <c r="D661">
        <f>セットアップレポート!C661</f>
        <v>0</v>
      </c>
      <c r="E661">
        <f>セットアップレポート!D661</f>
        <v>0</v>
      </c>
      <c r="F661">
        <f>セットアップレポート!E661</f>
        <v>0</v>
      </c>
      <c r="G661">
        <f>セットアップレポート!F661</f>
        <v>0</v>
      </c>
      <c r="H661">
        <f>セットアップレポート!G661</f>
        <v>0</v>
      </c>
      <c r="I661">
        <f>セットアップレポート!H661</f>
        <v>0</v>
      </c>
      <c r="J661">
        <f>セットアップレポート!I661</f>
        <v>0</v>
      </c>
      <c r="K661">
        <f>セットアップレポート!J661</f>
        <v>0</v>
      </c>
      <c r="L661">
        <f>セットアップレポート!K661</f>
        <v>0</v>
      </c>
      <c r="M661">
        <f>セットアップレポート!L661</f>
        <v>0</v>
      </c>
      <c r="N661">
        <f>セットアップレポート!M661</f>
        <v>0</v>
      </c>
      <c r="O661">
        <f>セットアップレポート!N661</f>
        <v>0</v>
      </c>
      <c r="P661">
        <f>セットアップレポート!O661</f>
        <v>0</v>
      </c>
      <c r="Q661">
        <f>セットアップレポート!P661</f>
        <v>0</v>
      </c>
      <c r="R661">
        <f>セットアップレポート!Q661</f>
        <v>0</v>
      </c>
      <c r="S661">
        <f>セットアップレポート!R661</f>
        <v>0</v>
      </c>
      <c r="T661">
        <f>セットアップレポート!S661</f>
        <v>0</v>
      </c>
      <c r="U661">
        <f>セットアップレポート!T661</f>
        <v>0</v>
      </c>
      <c r="V661">
        <f>セットアップレポート!U661</f>
        <v>0</v>
      </c>
      <c r="W661">
        <f>セットアップレポート!V661</f>
        <v>0</v>
      </c>
      <c r="X661">
        <f>セットアップレポート!W661</f>
        <v>0</v>
      </c>
      <c r="Y661">
        <f>セットアップレポート!X661</f>
        <v>0</v>
      </c>
      <c r="Z661">
        <f>セットアップレポート!Y661</f>
        <v>0</v>
      </c>
      <c r="AA661">
        <f>セットアップレポート!Z661</f>
        <v>0</v>
      </c>
      <c r="AB661">
        <f>セットアップレポート!AA661</f>
        <v>0</v>
      </c>
      <c r="AC661">
        <f>セットアップレポート!AB661</f>
        <v>0</v>
      </c>
      <c r="AD661">
        <f>セットアップレポート!AC661</f>
        <v>0</v>
      </c>
      <c r="AE661">
        <f>セットアップレポート!AD661</f>
        <v>0</v>
      </c>
      <c r="AF661">
        <f>セットアップレポート!AE661</f>
        <v>0</v>
      </c>
      <c r="AG661">
        <f>セットアップレポート!AF661</f>
        <v>0</v>
      </c>
      <c r="AH661">
        <f>セットアップレポート!AG661</f>
        <v>0</v>
      </c>
    </row>
    <row r="662" spans="1:34" x14ac:dyDescent="0.45">
      <c r="A662" t="str">
        <f t="shared" si="10"/>
        <v>000</v>
      </c>
      <c r="B662">
        <f>セットアップレポート!A662</f>
        <v>0</v>
      </c>
      <c r="C662">
        <f>セットアップレポート!B662</f>
        <v>0</v>
      </c>
      <c r="D662">
        <f>セットアップレポート!C662</f>
        <v>0</v>
      </c>
      <c r="E662">
        <f>セットアップレポート!D662</f>
        <v>0</v>
      </c>
      <c r="F662">
        <f>セットアップレポート!E662</f>
        <v>0</v>
      </c>
      <c r="G662">
        <f>セットアップレポート!F662</f>
        <v>0</v>
      </c>
      <c r="H662">
        <f>セットアップレポート!G662</f>
        <v>0</v>
      </c>
      <c r="I662">
        <f>セットアップレポート!H662</f>
        <v>0</v>
      </c>
      <c r="J662">
        <f>セットアップレポート!I662</f>
        <v>0</v>
      </c>
      <c r="K662">
        <f>セットアップレポート!J662</f>
        <v>0</v>
      </c>
      <c r="L662">
        <f>セットアップレポート!K662</f>
        <v>0</v>
      </c>
      <c r="M662">
        <f>セットアップレポート!L662</f>
        <v>0</v>
      </c>
      <c r="N662">
        <f>セットアップレポート!M662</f>
        <v>0</v>
      </c>
      <c r="O662">
        <f>セットアップレポート!N662</f>
        <v>0</v>
      </c>
      <c r="P662">
        <f>セットアップレポート!O662</f>
        <v>0</v>
      </c>
      <c r="Q662">
        <f>セットアップレポート!P662</f>
        <v>0</v>
      </c>
      <c r="R662">
        <f>セットアップレポート!Q662</f>
        <v>0</v>
      </c>
      <c r="S662">
        <f>セットアップレポート!R662</f>
        <v>0</v>
      </c>
      <c r="T662">
        <f>セットアップレポート!S662</f>
        <v>0</v>
      </c>
      <c r="U662">
        <f>セットアップレポート!T662</f>
        <v>0</v>
      </c>
      <c r="V662">
        <f>セットアップレポート!U662</f>
        <v>0</v>
      </c>
      <c r="W662">
        <f>セットアップレポート!V662</f>
        <v>0</v>
      </c>
      <c r="X662">
        <f>セットアップレポート!W662</f>
        <v>0</v>
      </c>
      <c r="Y662">
        <f>セットアップレポート!X662</f>
        <v>0</v>
      </c>
      <c r="Z662">
        <f>セットアップレポート!Y662</f>
        <v>0</v>
      </c>
      <c r="AA662">
        <f>セットアップレポート!Z662</f>
        <v>0</v>
      </c>
      <c r="AB662">
        <f>セットアップレポート!AA662</f>
        <v>0</v>
      </c>
      <c r="AC662">
        <f>セットアップレポート!AB662</f>
        <v>0</v>
      </c>
      <c r="AD662">
        <f>セットアップレポート!AC662</f>
        <v>0</v>
      </c>
      <c r="AE662">
        <f>セットアップレポート!AD662</f>
        <v>0</v>
      </c>
      <c r="AF662">
        <f>セットアップレポート!AE662</f>
        <v>0</v>
      </c>
      <c r="AG662">
        <f>セットアップレポート!AF662</f>
        <v>0</v>
      </c>
      <c r="AH662">
        <f>セットアップレポート!AG662</f>
        <v>0</v>
      </c>
    </row>
    <row r="663" spans="1:34" x14ac:dyDescent="0.45">
      <c r="A663" t="str">
        <f t="shared" si="10"/>
        <v>000</v>
      </c>
      <c r="B663">
        <f>セットアップレポート!A663</f>
        <v>0</v>
      </c>
      <c r="C663">
        <f>セットアップレポート!B663</f>
        <v>0</v>
      </c>
      <c r="D663">
        <f>セットアップレポート!C663</f>
        <v>0</v>
      </c>
      <c r="E663">
        <f>セットアップレポート!D663</f>
        <v>0</v>
      </c>
      <c r="F663">
        <f>セットアップレポート!E663</f>
        <v>0</v>
      </c>
      <c r="G663">
        <f>セットアップレポート!F663</f>
        <v>0</v>
      </c>
      <c r="H663">
        <f>セットアップレポート!G663</f>
        <v>0</v>
      </c>
      <c r="I663">
        <f>セットアップレポート!H663</f>
        <v>0</v>
      </c>
      <c r="J663">
        <f>セットアップレポート!I663</f>
        <v>0</v>
      </c>
      <c r="K663">
        <f>セットアップレポート!J663</f>
        <v>0</v>
      </c>
      <c r="L663">
        <f>セットアップレポート!K663</f>
        <v>0</v>
      </c>
      <c r="M663">
        <f>セットアップレポート!L663</f>
        <v>0</v>
      </c>
      <c r="N663">
        <f>セットアップレポート!M663</f>
        <v>0</v>
      </c>
      <c r="O663">
        <f>セットアップレポート!N663</f>
        <v>0</v>
      </c>
      <c r="P663">
        <f>セットアップレポート!O663</f>
        <v>0</v>
      </c>
      <c r="Q663">
        <f>セットアップレポート!P663</f>
        <v>0</v>
      </c>
      <c r="R663">
        <f>セットアップレポート!Q663</f>
        <v>0</v>
      </c>
      <c r="S663">
        <f>セットアップレポート!R663</f>
        <v>0</v>
      </c>
      <c r="T663">
        <f>セットアップレポート!S663</f>
        <v>0</v>
      </c>
      <c r="U663">
        <f>セットアップレポート!T663</f>
        <v>0</v>
      </c>
      <c r="V663">
        <f>セットアップレポート!U663</f>
        <v>0</v>
      </c>
      <c r="W663">
        <f>セットアップレポート!V663</f>
        <v>0</v>
      </c>
      <c r="X663">
        <f>セットアップレポート!W663</f>
        <v>0</v>
      </c>
      <c r="Y663">
        <f>セットアップレポート!X663</f>
        <v>0</v>
      </c>
      <c r="Z663">
        <f>セットアップレポート!Y663</f>
        <v>0</v>
      </c>
      <c r="AA663">
        <f>セットアップレポート!Z663</f>
        <v>0</v>
      </c>
      <c r="AB663">
        <f>セットアップレポート!AA663</f>
        <v>0</v>
      </c>
      <c r="AC663">
        <f>セットアップレポート!AB663</f>
        <v>0</v>
      </c>
      <c r="AD663">
        <f>セットアップレポート!AC663</f>
        <v>0</v>
      </c>
      <c r="AE663">
        <f>セットアップレポート!AD663</f>
        <v>0</v>
      </c>
      <c r="AF663">
        <f>セットアップレポート!AE663</f>
        <v>0</v>
      </c>
      <c r="AG663">
        <f>セットアップレポート!AF663</f>
        <v>0</v>
      </c>
      <c r="AH663">
        <f>セットアップレポート!AG663</f>
        <v>0</v>
      </c>
    </row>
    <row r="664" spans="1:34" x14ac:dyDescent="0.45">
      <c r="A664" t="str">
        <f t="shared" si="10"/>
        <v>000</v>
      </c>
      <c r="B664">
        <f>セットアップレポート!A664</f>
        <v>0</v>
      </c>
      <c r="C664">
        <f>セットアップレポート!B664</f>
        <v>0</v>
      </c>
      <c r="D664">
        <f>セットアップレポート!C664</f>
        <v>0</v>
      </c>
      <c r="E664">
        <f>セットアップレポート!D664</f>
        <v>0</v>
      </c>
      <c r="F664">
        <f>セットアップレポート!E664</f>
        <v>0</v>
      </c>
      <c r="G664">
        <f>セットアップレポート!F664</f>
        <v>0</v>
      </c>
      <c r="H664">
        <f>セットアップレポート!G664</f>
        <v>0</v>
      </c>
      <c r="I664">
        <f>セットアップレポート!H664</f>
        <v>0</v>
      </c>
      <c r="J664">
        <f>セットアップレポート!I664</f>
        <v>0</v>
      </c>
      <c r="K664">
        <f>セットアップレポート!J664</f>
        <v>0</v>
      </c>
      <c r="L664">
        <f>セットアップレポート!K664</f>
        <v>0</v>
      </c>
      <c r="M664">
        <f>セットアップレポート!L664</f>
        <v>0</v>
      </c>
      <c r="N664">
        <f>セットアップレポート!M664</f>
        <v>0</v>
      </c>
      <c r="O664">
        <f>セットアップレポート!N664</f>
        <v>0</v>
      </c>
      <c r="P664">
        <f>セットアップレポート!O664</f>
        <v>0</v>
      </c>
      <c r="Q664">
        <f>セットアップレポート!P664</f>
        <v>0</v>
      </c>
      <c r="R664">
        <f>セットアップレポート!Q664</f>
        <v>0</v>
      </c>
      <c r="S664">
        <f>セットアップレポート!R664</f>
        <v>0</v>
      </c>
      <c r="T664">
        <f>セットアップレポート!S664</f>
        <v>0</v>
      </c>
      <c r="U664">
        <f>セットアップレポート!T664</f>
        <v>0</v>
      </c>
      <c r="V664">
        <f>セットアップレポート!U664</f>
        <v>0</v>
      </c>
      <c r="W664">
        <f>セットアップレポート!V664</f>
        <v>0</v>
      </c>
      <c r="X664">
        <f>セットアップレポート!W664</f>
        <v>0</v>
      </c>
      <c r="Y664">
        <f>セットアップレポート!X664</f>
        <v>0</v>
      </c>
      <c r="Z664">
        <f>セットアップレポート!Y664</f>
        <v>0</v>
      </c>
      <c r="AA664">
        <f>セットアップレポート!Z664</f>
        <v>0</v>
      </c>
      <c r="AB664">
        <f>セットアップレポート!AA664</f>
        <v>0</v>
      </c>
      <c r="AC664">
        <f>セットアップレポート!AB664</f>
        <v>0</v>
      </c>
      <c r="AD664">
        <f>セットアップレポート!AC664</f>
        <v>0</v>
      </c>
      <c r="AE664">
        <f>セットアップレポート!AD664</f>
        <v>0</v>
      </c>
      <c r="AF664">
        <f>セットアップレポート!AE664</f>
        <v>0</v>
      </c>
      <c r="AG664">
        <f>セットアップレポート!AF664</f>
        <v>0</v>
      </c>
      <c r="AH664">
        <f>セットアップレポート!AG664</f>
        <v>0</v>
      </c>
    </row>
    <row r="665" spans="1:34" x14ac:dyDescent="0.45">
      <c r="A665" t="str">
        <f t="shared" si="10"/>
        <v>000</v>
      </c>
      <c r="B665">
        <f>セットアップレポート!A665</f>
        <v>0</v>
      </c>
      <c r="C665">
        <f>セットアップレポート!B665</f>
        <v>0</v>
      </c>
      <c r="D665">
        <f>セットアップレポート!C665</f>
        <v>0</v>
      </c>
      <c r="E665">
        <f>セットアップレポート!D665</f>
        <v>0</v>
      </c>
      <c r="F665">
        <f>セットアップレポート!E665</f>
        <v>0</v>
      </c>
      <c r="G665">
        <f>セットアップレポート!F665</f>
        <v>0</v>
      </c>
      <c r="H665">
        <f>セットアップレポート!G665</f>
        <v>0</v>
      </c>
      <c r="I665">
        <f>セットアップレポート!H665</f>
        <v>0</v>
      </c>
      <c r="J665">
        <f>セットアップレポート!I665</f>
        <v>0</v>
      </c>
      <c r="K665">
        <f>セットアップレポート!J665</f>
        <v>0</v>
      </c>
      <c r="L665">
        <f>セットアップレポート!K665</f>
        <v>0</v>
      </c>
      <c r="M665">
        <f>セットアップレポート!L665</f>
        <v>0</v>
      </c>
      <c r="N665">
        <f>セットアップレポート!M665</f>
        <v>0</v>
      </c>
      <c r="O665">
        <f>セットアップレポート!N665</f>
        <v>0</v>
      </c>
      <c r="P665">
        <f>セットアップレポート!O665</f>
        <v>0</v>
      </c>
      <c r="Q665">
        <f>セットアップレポート!P665</f>
        <v>0</v>
      </c>
      <c r="R665">
        <f>セットアップレポート!Q665</f>
        <v>0</v>
      </c>
      <c r="S665">
        <f>セットアップレポート!R665</f>
        <v>0</v>
      </c>
      <c r="T665">
        <f>セットアップレポート!S665</f>
        <v>0</v>
      </c>
      <c r="U665">
        <f>セットアップレポート!T665</f>
        <v>0</v>
      </c>
      <c r="V665">
        <f>セットアップレポート!U665</f>
        <v>0</v>
      </c>
      <c r="W665">
        <f>セットアップレポート!V665</f>
        <v>0</v>
      </c>
      <c r="X665">
        <f>セットアップレポート!W665</f>
        <v>0</v>
      </c>
      <c r="Y665">
        <f>セットアップレポート!X665</f>
        <v>0</v>
      </c>
      <c r="Z665">
        <f>セットアップレポート!Y665</f>
        <v>0</v>
      </c>
      <c r="AA665">
        <f>セットアップレポート!Z665</f>
        <v>0</v>
      </c>
      <c r="AB665">
        <f>セットアップレポート!AA665</f>
        <v>0</v>
      </c>
      <c r="AC665">
        <f>セットアップレポート!AB665</f>
        <v>0</v>
      </c>
      <c r="AD665">
        <f>セットアップレポート!AC665</f>
        <v>0</v>
      </c>
      <c r="AE665">
        <f>セットアップレポート!AD665</f>
        <v>0</v>
      </c>
      <c r="AF665">
        <f>セットアップレポート!AE665</f>
        <v>0</v>
      </c>
      <c r="AG665">
        <f>セットアップレポート!AF665</f>
        <v>0</v>
      </c>
      <c r="AH665">
        <f>セットアップレポート!AG665</f>
        <v>0</v>
      </c>
    </row>
    <row r="666" spans="1:34" x14ac:dyDescent="0.45">
      <c r="A666" t="str">
        <f t="shared" si="10"/>
        <v>000</v>
      </c>
      <c r="B666">
        <f>セットアップレポート!A666</f>
        <v>0</v>
      </c>
      <c r="C666">
        <f>セットアップレポート!B666</f>
        <v>0</v>
      </c>
      <c r="D666">
        <f>セットアップレポート!C666</f>
        <v>0</v>
      </c>
      <c r="E666">
        <f>セットアップレポート!D666</f>
        <v>0</v>
      </c>
      <c r="F666">
        <f>セットアップレポート!E666</f>
        <v>0</v>
      </c>
      <c r="G666">
        <f>セットアップレポート!F666</f>
        <v>0</v>
      </c>
      <c r="H666">
        <f>セットアップレポート!G666</f>
        <v>0</v>
      </c>
      <c r="I666">
        <f>セットアップレポート!H666</f>
        <v>0</v>
      </c>
      <c r="J666">
        <f>セットアップレポート!I666</f>
        <v>0</v>
      </c>
      <c r="K666">
        <f>セットアップレポート!J666</f>
        <v>0</v>
      </c>
      <c r="L666">
        <f>セットアップレポート!K666</f>
        <v>0</v>
      </c>
      <c r="M666">
        <f>セットアップレポート!L666</f>
        <v>0</v>
      </c>
      <c r="N666">
        <f>セットアップレポート!M666</f>
        <v>0</v>
      </c>
      <c r="O666">
        <f>セットアップレポート!N666</f>
        <v>0</v>
      </c>
      <c r="P666">
        <f>セットアップレポート!O666</f>
        <v>0</v>
      </c>
      <c r="Q666">
        <f>セットアップレポート!P666</f>
        <v>0</v>
      </c>
      <c r="R666">
        <f>セットアップレポート!Q666</f>
        <v>0</v>
      </c>
      <c r="S666">
        <f>セットアップレポート!R666</f>
        <v>0</v>
      </c>
      <c r="T666">
        <f>セットアップレポート!S666</f>
        <v>0</v>
      </c>
      <c r="U666">
        <f>セットアップレポート!T666</f>
        <v>0</v>
      </c>
      <c r="V666">
        <f>セットアップレポート!U666</f>
        <v>0</v>
      </c>
      <c r="W666">
        <f>セットアップレポート!V666</f>
        <v>0</v>
      </c>
      <c r="X666">
        <f>セットアップレポート!W666</f>
        <v>0</v>
      </c>
      <c r="Y666">
        <f>セットアップレポート!X666</f>
        <v>0</v>
      </c>
      <c r="Z666">
        <f>セットアップレポート!Y666</f>
        <v>0</v>
      </c>
      <c r="AA666">
        <f>セットアップレポート!Z666</f>
        <v>0</v>
      </c>
      <c r="AB666">
        <f>セットアップレポート!AA666</f>
        <v>0</v>
      </c>
      <c r="AC666">
        <f>セットアップレポート!AB666</f>
        <v>0</v>
      </c>
      <c r="AD666">
        <f>セットアップレポート!AC666</f>
        <v>0</v>
      </c>
      <c r="AE666">
        <f>セットアップレポート!AD666</f>
        <v>0</v>
      </c>
      <c r="AF666">
        <f>セットアップレポート!AE666</f>
        <v>0</v>
      </c>
      <c r="AG666">
        <f>セットアップレポート!AF666</f>
        <v>0</v>
      </c>
      <c r="AH666">
        <f>セットアップレポート!AG666</f>
        <v>0</v>
      </c>
    </row>
    <row r="667" spans="1:34" x14ac:dyDescent="0.45">
      <c r="A667" t="str">
        <f t="shared" si="10"/>
        <v>000</v>
      </c>
      <c r="B667">
        <f>セットアップレポート!A667</f>
        <v>0</v>
      </c>
      <c r="C667">
        <f>セットアップレポート!B667</f>
        <v>0</v>
      </c>
      <c r="D667">
        <f>セットアップレポート!C667</f>
        <v>0</v>
      </c>
      <c r="E667">
        <f>セットアップレポート!D667</f>
        <v>0</v>
      </c>
      <c r="F667">
        <f>セットアップレポート!E667</f>
        <v>0</v>
      </c>
      <c r="G667">
        <f>セットアップレポート!F667</f>
        <v>0</v>
      </c>
      <c r="H667">
        <f>セットアップレポート!G667</f>
        <v>0</v>
      </c>
      <c r="I667">
        <f>セットアップレポート!H667</f>
        <v>0</v>
      </c>
      <c r="J667">
        <f>セットアップレポート!I667</f>
        <v>0</v>
      </c>
      <c r="K667">
        <f>セットアップレポート!J667</f>
        <v>0</v>
      </c>
      <c r="L667">
        <f>セットアップレポート!K667</f>
        <v>0</v>
      </c>
      <c r="M667">
        <f>セットアップレポート!L667</f>
        <v>0</v>
      </c>
      <c r="N667">
        <f>セットアップレポート!M667</f>
        <v>0</v>
      </c>
      <c r="O667">
        <f>セットアップレポート!N667</f>
        <v>0</v>
      </c>
      <c r="P667">
        <f>セットアップレポート!O667</f>
        <v>0</v>
      </c>
      <c r="Q667">
        <f>セットアップレポート!P667</f>
        <v>0</v>
      </c>
      <c r="R667">
        <f>セットアップレポート!Q667</f>
        <v>0</v>
      </c>
      <c r="S667">
        <f>セットアップレポート!R667</f>
        <v>0</v>
      </c>
      <c r="T667">
        <f>セットアップレポート!S667</f>
        <v>0</v>
      </c>
      <c r="U667">
        <f>セットアップレポート!T667</f>
        <v>0</v>
      </c>
      <c r="V667">
        <f>セットアップレポート!U667</f>
        <v>0</v>
      </c>
      <c r="W667">
        <f>セットアップレポート!V667</f>
        <v>0</v>
      </c>
      <c r="X667">
        <f>セットアップレポート!W667</f>
        <v>0</v>
      </c>
      <c r="Y667">
        <f>セットアップレポート!X667</f>
        <v>0</v>
      </c>
      <c r="Z667">
        <f>セットアップレポート!Y667</f>
        <v>0</v>
      </c>
      <c r="AA667">
        <f>セットアップレポート!Z667</f>
        <v>0</v>
      </c>
      <c r="AB667">
        <f>セットアップレポート!AA667</f>
        <v>0</v>
      </c>
      <c r="AC667">
        <f>セットアップレポート!AB667</f>
        <v>0</v>
      </c>
      <c r="AD667">
        <f>セットアップレポート!AC667</f>
        <v>0</v>
      </c>
      <c r="AE667">
        <f>セットアップレポート!AD667</f>
        <v>0</v>
      </c>
      <c r="AF667">
        <f>セットアップレポート!AE667</f>
        <v>0</v>
      </c>
      <c r="AG667">
        <f>セットアップレポート!AF667</f>
        <v>0</v>
      </c>
      <c r="AH667">
        <f>セットアップレポート!AG667</f>
        <v>0</v>
      </c>
    </row>
    <row r="668" spans="1:34" x14ac:dyDescent="0.45">
      <c r="A668" t="str">
        <f t="shared" si="10"/>
        <v>000</v>
      </c>
      <c r="B668">
        <f>セットアップレポート!A668</f>
        <v>0</v>
      </c>
      <c r="C668">
        <f>セットアップレポート!B668</f>
        <v>0</v>
      </c>
      <c r="D668">
        <f>セットアップレポート!C668</f>
        <v>0</v>
      </c>
      <c r="E668">
        <f>セットアップレポート!D668</f>
        <v>0</v>
      </c>
      <c r="F668">
        <f>セットアップレポート!E668</f>
        <v>0</v>
      </c>
      <c r="G668">
        <f>セットアップレポート!F668</f>
        <v>0</v>
      </c>
      <c r="H668">
        <f>セットアップレポート!G668</f>
        <v>0</v>
      </c>
      <c r="I668">
        <f>セットアップレポート!H668</f>
        <v>0</v>
      </c>
      <c r="J668">
        <f>セットアップレポート!I668</f>
        <v>0</v>
      </c>
      <c r="K668">
        <f>セットアップレポート!J668</f>
        <v>0</v>
      </c>
      <c r="L668">
        <f>セットアップレポート!K668</f>
        <v>0</v>
      </c>
      <c r="M668">
        <f>セットアップレポート!L668</f>
        <v>0</v>
      </c>
      <c r="N668">
        <f>セットアップレポート!M668</f>
        <v>0</v>
      </c>
      <c r="O668">
        <f>セットアップレポート!N668</f>
        <v>0</v>
      </c>
      <c r="P668">
        <f>セットアップレポート!O668</f>
        <v>0</v>
      </c>
      <c r="Q668">
        <f>セットアップレポート!P668</f>
        <v>0</v>
      </c>
      <c r="R668">
        <f>セットアップレポート!Q668</f>
        <v>0</v>
      </c>
      <c r="S668">
        <f>セットアップレポート!R668</f>
        <v>0</v>
      </c>
      <c r="T668">
        <f>セットアップレポート!S668</f>
        <v>0</v>
      </c>
      <c r="U668">
        <f>セットアップレポート!T668</f>
        <v>0</v>
      </c>
      <c r="V668">
        <f>セットアップレポート!U668</f>
        <v>0</v>
      </c>
      <c r="W668">
        <f>セットアップレポート!V668</f>
        <v>0</v>
      </c>
      <c r="X668">
        <f>セットアップレポート!W668</f>
        <v>0</v>
      </c>
      <c r="Y668">
        <f>セットアップレポート!X668</f>
        <v>0</v>
      </c>
      <c r="Z668">
        <f>セットアップレポート!Y668</f>
        <v>0</v>
      </c>
      <c r="AA668">
        <f>セットアップレポート!Z668</f>
        <v>0</v>
      </c>
      <c r="AB668">
        <f>セットアップレポート!AA668</f>
        <v>0</v>
      </c>
      <c r="AC668">
        <f>セットアップレポート!AB668</f>
        <v>0</v>
      </c>
      <c r="AD668">
        <f>セットアップレポート!AC668</f>
        <v>0</v>
      </c>
      <c r="AE668">
        <f>セットアップレポート!AD668</f>
        <v>0</v>
      </c>
      <c r="AF668">
        <f>セットアップレポート!AE668</f>
        <v>0</v>
      </c>
      <c r="AG668">
        <f>セットアップレポート!AF668</f>
        <v>0</v>
      </c>
      <c r="AH668">
        <f>セットアップレポート!AG668</f>
        <v>0</v>
      </c>
    </row>
    <row r="669" spans="1:34" x14ac:dyDescent="0.45">
      <c r="A669" t="str">
        <f t="shared" si="10"/>
        <v>000</v>
      </c>
      <c r="B669">
        <f>セットアップレポート!A669</f>
        <v>0</v>
      </c>
      <c r="C669">
        <f>セットアップレポート!B669</f>
        <v>0</v>
      </c>
      <c r="D669">
        <f>セットアップレポート!C669</f>
        <v>0</v>
      </c>
      <c r="E669">
        <f>セットアップレポート!D669</f>
        <v>0</v>
      </c>
      <c r="F669">
        <f>セットアップレポート!E669</f>
        <v>0</v>
      </c>
      <c r="G669">
        <f>セットアップレポート!F669</f>
        <v>0</v>
      </c>
      <c r="H669">
        <f>セットアップレポート!G669</f>
        <v>0</v>
      </c>
      <c r="I669">
        <f>セットアップレポート!H669</f>
        <v>0</v>
      </c>
      <c r="J669">
        <f>セットアップレポート!I669</f>
        <v>0</v>
      </c>
      <c r="K669">
        <f>セットアップレポート!J669</f>
        <v>0</v>
      </c>
      <c r="L669">
        <f>セットアップレポート!K669</f>
        <v>0</v>
      </c>
      <c r="M669">
        <f>セットアップレポート!L669</f>
        <v>0</v>
      </c>
      <c r="N669">
        <f>セットアップレポート!M669</f>
        <v>0</v>
      </c>
      <c r="O669">
        <f>セットアップレポート!N669</f>
        <v>0</v>
      </c>
      <c r="P669">
        <f>セットアップレポート!O669</f>
        <v>0</v>
      </c>
      <c r="Q669">
        <f>セットアップレポート!P669</f>
        <v>0</v>
      </c>
      <c r="R669">
        <f>セットアップレポート!Q669</f>
        <v>0</v>
      </c>
      <c r="S669">
        <f>セットアップレポート!R669</f>
        <v>0</v>
      </c>
      <c r="T669">
        <f>セットアップレポート!S669</f>
        <v>0</v>
      </c>
      <c r="U669">
        <f>セットアップレポート!T669</f>
        <v>0</v>
      </c>
      <c r="V669">
        <f>セットアップレポート!U669</f>
        <v>0</v>
      </c>
      <c r="W669">
        <f>セットアップレポート!V669</f>
        <v>0</v>
      </c>
      <c r="X669">
        <f>セットアップレポート!W669</f>
        <v>0</v>
      </c>
      <c r="Y669">
        <f>セットアップレポート!X669</f>
        <v>0</v>
      </c>
      <c r="Z669">
        <f>セットアップレポート!Y669</f>
        <v>0</v>
      </c>
      <c r="AA669">
        <f>セットアップレポート!Z669</f>
        <v>0</v>
      </c>
      <c r="AB669">
        <f>セットアップレポート!AA669</f>
        <v>0</v>
      </c>
      <c r="AC669">
        <f>セットアップレポート!AB669</f>
        <v>0</v>
      </c>
      <c r="AD669">
        <f>セットアップレポート!AC669</f>
        <v>0</v>
      </c>
      <c r="AE669">
        <f>セットアップレポート!AD669</f>
        <v>0</v>
      </c>
      <c r="AF669">
        <f>セットアップレポート!AE669</f>
        <v>0</v>
      </c>
      <c r="AG669">
        <f>セットアップレポート!AF669</f>
        <v>0</v>
      </c>
      <c r="AH669">
        <f>セットアップレポート!AG669</f>
        <v>0</v>
      </c>
    </row>
    <row r="670" spans="1:34" x14ac:dyDescent="0.45">
      <c r="A670" t="str">
        <f t="shared" si="10"/>
        <v>000</v>
      </c>
      <c r="B670">
        <f>セットアップレポート!A670</f>
        <v>0</v>
      </c>
      <c r="C670">
        <f>セットアップレポート!B670</f>
        <v>0</v>
      </c>
      <c r="D670">
        <f>セットアップレポート!C670</f>
        <v>0</v>
      </c>
      <c r="E670">
        <f>セットアップレポート!D670</f>
        <v>0</v>
      </c>
      <c r="F670">
        <f>セットアップレポート!E670</f>
        <v>0</v>
      </c>
      <c r="G670">
        <f>セットアップレポート!F670</f>
        <v>0</v>
      </c>
      <c r="H670">
        <f>セットアップレポート!G670</f>
        <v>0</v>
      </c>
      <c r="I670">
        <f>セットアップレポート!H670</f>
        <v>0</v>
      </c>
      <c r="J670">
        <f>セットアップレポート!I670</f>
        <v>0</v>
      </c>
      <c r="K670">
        <f>セットアップレポート!J670</f>
        <v>0</v>
      </c>
      <c r="L670">
        <f>セットアップレポート!K670</f>
        <v>0</v>
      </c>
      <c r="M670">
        <f>セットアップレポート!L670</f>
        <v>0</v>
      </c>
      <c r="N670">
        <f>セットアップレポート!M670</f>
        <v>0</v>
      </c>
      <c r="O670">
        <f>セットアップレポート!N670</f>
        <v>0</v>
      </c>
      <c r="P670">
        <f>セットアップレポート!O670</f>
        <v>0</v>
      </c>
      <c r="Q670">
        <f>セットアップレポート!P670</f>
        <v>0</v>
      </c>
      <c r="R670">
        <f>セットアップレポート!Q670</f>
        <v>0</v>
      </c>
      <c r="S670">
        <f>セットアップレポート!R670</f>
        <v>0</v>
      </c>
      <c r="T670">
        <f>セットアップレポート!S670</f>
        <v>0</v>
      </c>
      <c r="U670">
        <f>セットアップレポート!T670</f>
        <v>0</v>
      </c>
      <c r="V670">
        <f>セットアップレポート!U670</f>
        <v>0</v>
      </c>
      <c r="W670">
        <f>セットアップレポート!V670</f>
        <v>0</v>
      </c>
      <c r="X670">
        <f>セットアップレポート!W670</f>
        <v>0</v>
      </c>
      <c r="Y670">
        <f>セットアップレポート!X670</f>
        <v>0</v>
      </c>
      <c r="Z670">
        <f>セットアップレポート!Y670</f>
        <v>0</v>
      </c>
      <c r="AA670">
        <f>セットアップレポート!Z670</f>
        <v>0</v>
      </c>
      <c r="AB670">
        <f>セットアップレポート!AA670</f>
        <v>0</v>
      </c>
      <c r="AC670">
        <f>セットアップレポート!AB670</f>
        <v>0</v>
      </c>
      <c r="AD670">
        <f>セットアップレポート!AC670</f>
        <v>0</v>
      </c>
      <c r="AE670">
        <f>セットアップレポート!AD670</f>
        <v>0</v>
      </c>
      <c r="AF670">
        <f>セットアップレポート!AE670</f>
        <v>0</v>
      </c>
      <c r="AG670">
        <f>セットアップレポート!AF670</f>
        <v>0</v>
      </c>
      <c r="AH670">
        <f>セットアップレポート!AG670</f>
        <v>0</v>
      </c>
    </row>
    <row r="671" spans="1:34" x14ac:dyDescent="0.45">
      <c r="A671" t="str">
        <f t="shared" si="10"/>
        <v>000</v>
      </c>
      <c r="B671">
        <f>セットアップレポート!A671</f>
        <v>0</v>
      </c>
      <c r="C671">
        <f>セットアップレポート!B671</f>
        <v>0</v>
      </c>
      <c r="D671">
        <f>セットアップレポート!C671</f>
        <v>0</v>
      </c>
      <c r="E671">
        <f>セットアップレポート!D671</f>
        <v>0</v>
      </c>
      <c r="F671">
        <f>セットアップレポート!E671</f>
        <v>0</v>
      </c>
      <c r="G671">
        <f>セットアップレポート!F671</f>
        <v>0</v>
      </c>
      <c r="H671">
        <f>セットアップレポート!G671</f>
        <v>0</v>
      </c>
      <c r="I671">
        <f>セットアップレポート!H671</f>
        <v>0</v>
      </c>
      <c r="J671">
        <f>セットアップレポート!I671</f>
        <v>0</v>
      </c>
      <c r="K671">
        <f>セットアップレポート!J671</f>
        <v>0</v>
      </c>
      <c r="L671">
        <f>セットアップレポート!K671</f>
        <v>0</v>
      </c>
      <c r="M671">
        <f>セットアップレポート!L671</f>
        <v>0</v>
      </c>
      <c r="N671">
        <f>セットアップレポート!M671</f>
        <v>0</v>
      </c>
      <c r="O671">
        <f>セットアップレポート!N671</f>
        <v>0</v>
      </c>
      <c r="P671">
        <f>セットアップレポート!O671</f>
        <v>0</v>
      </c>
      <c r="Q671">
        <f>セットアップレポート!P671</f>
        <v>0</v>
      </c>
      <c r="R671">
        <f>セットアップレポート!Q671</f>
        <v>0</v>
      </c>
      <c r="S671">
        <f>セットアップレポート!R671</f>
        <v>0</v>
      </c>
      <c r="T671">
        <f>セットアップレポート!S671</f>
        <v>0</v>
      </c>
      <c r="U671">
        <f>セットアップレポート!T671</f>
        <v>0</v>
      </c>
      <c r="V671">
        <f>セットアップレポート!U671</f>
        <v>0</v>
      </c>
      <c r="W671">
        <f>セットアップレポート!V671</f>
        <v>0</v>
      </c>
      <c r="X671">
        <f>セットアップレポート!W671</f>
        <v>0</v>
      </c>
      <c r="Y671">
        <f>セットアップレポート!X671</f>
        <v>0</v>
      </c>
      <c r="Z671">
        <f>セットアップレポート!Y671</f>
        <v>0</v>
      </c>
      <c r="AA671">
        <f>セットアップレポート!Z671</f>
        <v>0</v>
      </c>
      <c r="AB671">
        <f>セットアップレポート!AA671</f>
        <v>0</v>
      </c>
      <c r="AC671">
        <f>セットアップレポート!AB671</f>
        <v>0</v>
      </c>
      <c r="AD671">
        <f>セットアップレポート!AC671</f>
        <v>0</v>
      </c>
      <c r="AE671">
        <f>セットアップレポート!AD671</f>
        <v>0</v>
      </c>
      <c r="AF671">
        <f>セットアップレポート!AE671</f>
        <v>0</v>
      </c>
      <c r="AG671">
        <f>セットアップレポート!AF671</f>
        <v>0</v>
      </c>
      <c r="AH671">
        <f>セットアップレポート!AG671</f>
        <v>0</v>
      </c>
    </row>
    <row r="672" spans="1:34" x14ac:dyDescent="0.45">
      <c r="A672" t="str">
        <f t="shared" si="10"/>
        <v>000</v>
      </c>
      <c r="B672">
        <f>セットアップレポート!A672</f>
        <v>0</v>
      </c>
      <c r="C672">
        <f>セットアップレポート!B672</f>
        <v>0</v>
      </c>
      <c r="D672">
        <f>セットアップレポート!C672</f>
        <v>0</v>
      </c>
      <c r="E672">
        <f>セットアップレポート!D672</f>
        <v>0</v>
      </c>
      <c r="F672">
        <f>セットアップレポート!E672</f>
        <v>0</v>
      </c>
      <c r="G672">
        <f>セットアップレポート!F672</f>
        <v>0</v>
      </c>
      <c r="H672">
        <f>セットアップレポート!G672</f>
        <v>0</v>
      </c>
      <c r="I672">
        <f>セットアップレポート!H672</f>
        <v>0</v>
      </c>
      <c r="J672">
        <f>セットアップレポート!I672</f>
        <v>0</v>
      </c>
      <c r="K672">
        <f>セットアップレポート!J672</f>
        <v>0</v>
      </c>
      <c r="L672">
        <f>セットアップレポート!K672</f>
        <v>0</v>
      </c>
      <c r="M672">
        <f>セットアップレポート!L672</f>
        <v>0</v>
      </c>
      <c r="N672">
        <f>セットアップレポート!M672</f>
        <v>0</v>
      </c>
      <c r="O672">
        <f>セットアップレポート!N672</f>
        <v>0</v>
      </c>
      <c r="P672">
        <f>セットアップレポート!O672</f>
        <v>0</v>
      </c>
      <c r="Q672">
        <f>セットアップレポート!P672</f>
        <v>0</v>
      </c>
      <c r="R672">
        <f>セットアップレポート!Q672</f>
        <v>0</v>
      </c>
      <c r="S672">
        <f>セットアップレポート!R672</f>
        <v>0</v>
      </c>
      <c r="T672">
        <f>セットアップレポート!S672</f>
        <v>0</v>
      </c>
      <c r="U672">
        <f>セットアップレポート!T672</f>
        <v>0</v>
      </c>
      <c r="V672">
        <f>セットアップレポート!U672</f>
        <v>0</v>
      </c>
      <c r="W672">
        <f>セットアップレポート!V672</f>
        <v>0</v>
      </c>
      <c r="X672">
        <f>セットアップレポート!W672</f>
        <v>0</v>
      </c>
      <c r="Y672">
        <f>セットアップレポート!X672</f>
        <v>0</v>
      </c>
      <c r="Z672">
        <f>セットアップレポート!Y672</f>
        <v>0</v>
      </c>
      <c r="AA672">
        <f>セットアップレポート!Z672</f>
        <v>0</v>
      </c>
      <c r="AB672">
        <f>セットアップレポート!AA672</f>
        <v>0</v>
      </c>
      <c r="AC672">
        <f>セットアップレポート!AB672</f>
        <v>0</v>
      </c>
      <c r="AD672">
        <f>セットアップレポート!AC672</f>
        <v>0</v>
      </c>
      <c r="AE672">
        <f>セットアップレポート!AD672</f>
        <v>0</v>
      </c>
      <c r="AF672">
        <f>セットアップレポート!AE672</f>
        <v>0</v>
      </c>
      <c r="AG672">
        <f>セットアップレポート!AF672</f>
        <v>0</v>
      </c>
      <c r="AH672">
        <f>セットアップレポート!AG672</f>
        <v>0</v>
      </c>
    </row>
    <row r="673" spans="1:34" x14ac:dyDescent="0.45">
      <c r="A673" t="str">
        <f t="shared" si="10"/>
        <v>000</v>
      </c>
      <c r="B673">
        <f>セットアップレポート!A673</f>
        <v>0</v>
      </c>
      <c r="C673">
        <f>セットアップレポート!B673</f>
        <v>0</v>
      </c>
      <c r="D673">
        <f>セットアップレポート!C673</f>
        <v>0</v>
      </c>
      <c r="E673">
        <f>セットアップレポート!D673</f>
        <v>0</v>
      </c>
      <c r="F673">
        <f>セットアップレポート!E673</f>
        <v>0</v>
      </c>
      <c r="G673">
        <f>セットアップレポート!F673</f>
        <v>0</v>
      </c>
      <c r="H673">
        <f>セットアップレポート!G673</f>
        <v>0</v>
      </c>
      <c r="I673">
        <f>セットアップレポート!H673</f>
        <v>0</v>
      </c>
      <c r="J673">
        <f>セットアップレポート!I673</f>
        <v>0</v>
      </c>
      <c r="K673">
        <f>セットアップレポート!J673</f>
        <v>0</v>
      </c>
      <c r="L673">
        <f>セットアップレポート!K673</f>
        <v>0</v>
      </c>
      <c r="M673">
        <f>セットアップレポート!L673</f>
        <v>0</v>
      </c>
      <c r="N673">
        <f>セットアップレポート!M673</f>
        <v>0</v>
      </c>
      <c r="O673">
        <f>セットアップレポート!N673</f>
        <v>0</v>
      </c>
      <c r="P673">
        <f>セットアップレポート!O673</f>
        <v>0</v>
      </c>
      <c r="Q673">
        <f>セットアップレポート!P673</f>
        <v>0</v>
      </c>
      <c r="R673">
        <f>セットアップレポート!Q673</f>
        <v>0</v>
      </c>
      <c r="S673">
        <f>セットアップレポート!R673</f>
        <v>0</v>
      </c>
      <c r="T673">
        <f>セットアップレポート!S673</f>
        <v>0</v>
      </c>
      <c r="U673">
        <f>セットアップレポート!T673</f>
        <v>0</v>
      </c>
      <c r="V673">
        <f>セットアップレポート!U673</f>
        <v>0</v>
      </c>
      <c r="W673">
        <f>セットアップレポート!V673</f>
        <v>0</v>
      </c>
      <c r="X673">
        <f>セットアップレポート!W673</f>
        <v>0</v>
      </c>
      <c r="Y673">
        <f>セットアップレポート!X673</f>
        <v>0</v>
      </c>
      <c r="Z673">
        <f>セットアップレポート!Y673</f>
        <v>0</v>
      </c>
      <c r="AA673">
        <f>セットアップレポート!Z673</f>
        <v>0</v>
      </c>
      <c r="AB673">
        <f>セットアップレポート!AA673</f>
        <v>0</v>
      </c>
      <c r="AC673">
        <f>セットアップレポート!AB673</f>
        <v>0</v>
      </c>
      <c r="AD673">
        <f>セットアップレポート!AC673</f>
        <v>0</v>
      </c>
      <c r="AE673">
        <f>セットアップレポート!AD673</f>
        <v>0</v>
      </c>
      <c r="AF673">
        <f>セットアップレポート!AE673</f>
        <v>0</v>
      </c>
      <c r="AG673">
        <f>セットアップレポート!AF673</f>
        <v>0</v>
      </c>
      <c r="AH673">
        <f>セットアップレポート!AG673</f>
        <v>0</v>
      </c>
    </row>
    <row r="674" spans="1:34" x14ac:dyDescent="0.45">
      <c r="A674" t="str">
        <f t="shared" si="10"/>
        <v>000</v>
      </c>
      <c r="B674">
        <f>セットアップレポート!A674</f>
        <v>0</v>
      </c>
      <c r="C674">
        <f>セットアップレポート!B674</f>
        <v>0</v>
      </c>
      <c r="D674">
        <f>セットアップレポート!C674</f>
        <v>0</v>
      </c>
      <c r="E674">
        <f>セットアップレポート!D674</f>
        <v>0</v>
      </c>
      <c r="F674">
        <f>セットアップレポート!E674</f>
        <v>0</v>
      </c>
      <c r="G674">
        <f>セットアップレポート!F674</f>
        <v>0</v>
      </c>
      <c r="H674">
        <f>セットアップレポート!G674</f>
        <v>0</v>
      </c>
      <c r="I674">
        <f>セットアップレポート!H674</f>
        <v>0</v>
      </c>
      <c r="J674">
        <f>セットアップレポート!I674</f>
        <v>0</v>
      </c>
      <c r="K674">
        <f>セットアップレポート!J674</f>
        <v>0</v>
      </c>
      <c r="L674">
        <f>セットアップレポート!K674</f>
        <v>0</v>
      </c>
      <c r="M674">
        <f>セットアップレポート!L674</f>
        <v>0</v>
      </c>
      <c r="N674">
        <f>セットアップレポート!M674</f>
        <v>0</v>
      </c>
      <c r="O674">
        <f>セットアップレポート!N674</f>
        <v>0</v>
      </c>
      <c r="P674">
        <f>セットアップレポート!O674</f>
        <v>0</v>
      </c>
      <c r="Q674">
        <f>セットアップレポート!P674</f>
        <v>0</v>
      </c>
      <c r="R674">
        <f>セットアップレポート!Q674</f>
        <v>0</v>
      </c>
      <c r="S674">
        <f>セットアップレポート!R674</f>
        <v>0</v>
      </c>
      <c r="T674">
        <f>セットアップレポート!S674</f>
        <v>0</v>
      </c>
      <c r="U674">
        <f>セットアップレポート!T674</f>
        <v>0</v>
      </c>
      <c r="V674">
        <f>セットアップレポート!U674</f>
        <v>0</v>
      </c>
      <c r="W674">
        <f>セットアップレポート!V674</f>
        <v>0</v>
      </c>
      <c r="X674">
        <f>セットアップレポート!W674</f>
        <v>0</v>
      </c>
      <c r="Y674">
        <f>セットアップレポート!X674</f>
        <v>0</v>
      </c>
      <c r="Z674">
        <f>セットアップレポート!Y674</f>
        <v>0</v>
      </c>
      <c r="AA674">
        <f>セットアップレポート!Z674</f>
        <v>0</v>
      </c>
      <c r="AB674">
        <f>セットアップレポート!AA674</f>
        <v>0</v>
      </c>
      <c r="AC674">
        <f>セットアップレポート!AB674</f>
        <v>0</v>
      </c>
      <c r="AD674">
        <f>セットアップレポート!AC674</f>
        <v>0</v>
      </c>
      <c r="AE674">
        <f>セットアップレポート!AD674</f>
        <v>0</v>
      </c>
      <c r="AF674">
        <f>セットアップレポート!AE674</f>
        <v>0</v>
      </c>
      <c r="AG674">
        <f>セットアップレポート!AF674</f>
        <v>0</v>
      </c>
      <c r="AH674">
        <f>セットアップレポート!AG674</f>
        <v>0</v>
      </c>
    </row>
    <row r="675" spans="1:34" x14ac:dyDescent="0.45">
      <c r="A675" t="str">
        <f t="shared" si="10"/>
        <v>000</v>
      </c>
      <c r="B675">
        <f>セットアップレポート!A675</f>
        <v>0</v>
      </c>
      <c r="C675">
        <f>セットアップレポート!B675</f>
        <v>0</v>
      </c>
      <c r="D675">
        <f>セットアップレポート!C675</f>
        <v>0</v>
      </c>
      <c r="E675">
        <f>セットアップレポート!D675</f>
        <v>0</v>
      </c>
      <c r="F675">
        <f>セットアップレポート!E675</f>
        <v>0</v>
      </c>
      <c r="G675">
        <f>セットアップレポート!F675</f>
        <v>0</v>
      </c>
      <c r="H675">
        <f>セットアップレポート!G675</f>
        <v>0</v>
      </c>
      <c r="I675">
        <f>セットアップレポート!H675</f>
        <v>0</v>
      </c>
      <c r="J675">
        <f>セットアップレポート!I675</f>
        <v>0</v>
      </c>
      <c r="K675">
        <f>セットアップレポート!J675</f>
        <v>0</v>
      </c>
      <c r="L675">
        <f>セットアップレポート!K675</f>
        <v>0</v>
      </c>
      <c r="M675">
        <f>セットアップレポート!L675</f>
        <v>0</v>
      </c>
      <c r="N675">
        <f>セットアップレポート!M675</f>
        <v>0</v>
      </c>
      <c r="O675">
        <f>セットアップレポート!N675</f>
        <v>0</v>
      </c>
      <c r="P675">
        <f>セットアップレポート!O675</f>
        <v>0</v>
      </c>
      <c r="Q675">
        <f>セットアップレポート!P675</f>
        <v>0</v>
      </c>
      <c r="R675">
        <f>セットアップレポート!Q675</f>
        <v>0</v>
      </c>
      <c r="S675">
        <f>セットアップレポート!R675</f>
        <v>0</v>
      </c>
      <c r="T675">
        <f>セットアップレポート!S675</f>
        <v>0</v>
      </c>
      <c r="U675">
        <f>セットアップレポート!T675</f>
        <v>0</v>
      </c>
      <c r="V675">
        <f>セットアップレポート!U675</f>
        <v>0</v>
      </c>
      <c r="W675">
        <f>セットアップレポート!V675</f>
        <v>0</v>
      </c>
      <c r="X675">
        <f>セットアップレポート!W675</f>
        <v>0</v>
      </c>
      <c r="Y675">
        <f>セットアップレポート!X675</f>
        <v>0</v>
      </c>
      <c r="Z675">
        <f>セットアップレポート!Y675</f>
        <v>0</v>
      </c>
      <c r="AA675">
        <f>セットアップレポート!Z675</f>
        <v>0</v>
      </c>
      <c r="AB675">
        <f>セットアップレポート!AA675</f>
        <v>0</v>
      </c>
      <c r="AC675">
        <f>セットアップレポート!AB675</f>
        <v>0</v>
      </c>
      <c r="AD675">
        <f>セットアップレポート!AC675</f>
        <v>0</v>
      </c>
      <c r="AE675">
        <f>セットアップレポート!AD675</f>
        <v>0</v>
      </c>
      <c r="AF675">
        <f>セットアップレポート!AE675</f>
        <v>0</v>
      </c>
      <c r="AG675">
        <f>セットアップレポート!AF675</f>
        <v>0</v>
      </c>
      <c r="AH675">
        <f>セットアップレポート!AG675</f>
        <v>0</v>
      </c>
    </row>
    <row r="676" spans="1:34" x14ac:dyDescent="0.45">
      <c r="A676" t="str">
        <f t="shared" si="10"/>
        <v>000</v>
      </c>
      <c r="B676">
        <f>セットアップレポート!A676</f>
        <v>0</v>
      </c>
      <c r="C676">
        <f>セットアップレポート!B676</f>
        <v>0</v>
      </c>
      <c r="D676">
        <f>セットアップレポート!C676</f>
        <v>0</v>
      </c>
      <c r="E676">
        <f>セットアップレポート!D676</f>
        <v>0</v>
      </c>
      <c r="F676">
        <f>セットアップレポート!E676</f>
        <v>0</v>
      </c>
      <c r="G676">
        <f>セットアップレポート!F676</f>
        <v>0</v>
      </c>
      <c r="H676">
        <f>セットアップレポート!G676</f>
        <v>0</v>
      </c>
      <c r="I676">
        <f>セットアップレポート!H676</f>
        <v>0</v>
      </c>
      <c r="J676">
        <f>セットアップレポート!I676</f>
        <v>0</v>
      </c>
      <c r="K676">
        <f>セットアップレポート!J676</f>
        <v>0</v>
      </c>
      <c r="L676">
        <f>セットアップレポート!K676</f>
        <v>0</v>
      </c>
      <c r="M676">
        <f>セットアップレポート!L676</f>
        <v>0</v>
      </c>
      <c r="N676">
        <f>セットアップレポート!M676</f>
        <v>0</v>
      </c>
      <c r="O676">
        <f>セットアップレポート!N676</f>
        <v>0</v>
      </c>
      <c r="P676">
        <f>セットアップレポート!O676</f>
        <v>0</v>
      </c>
      <c r="Q676">
        <f>セットアップレポート!P676</f>
        <v>0</v>
      </c>
      <c r="R676">
        <f>セットアップレポート!Q676</f>
        <v>0</v>
      </c>
      <c r="S676">
        <f>セットアップレポート!R676</f>
        <v>0</v>
      </c>
      <c r="T676">
        <f>セットアップレポート!S676</f>
        <v>0</v>
      </c>
      <c r="U676">
        <f>セットアップレポート!T676</f>
        <v>0</v>
      </c>
      <c r="V676">
        <f>セットアップレポート!U676</f>
        <v>0</v>
      </c>
      <c r="W676">
        <f>セットアップレポート!V676</f>
        <v>0</v>
      </c>
      <c r="X676">
        <f>セットアップレポート!W676</f>
        <v>0</v>
      </c>
      <c r="Y676">
        <f>セットアップレポート!X676</f>
        <v>0</v>
      </c>
      <c r="Z676">
        <f>セットアップレポート!Y676</f>
        <v>0</v>
      </c>
      <c r="AA676">
        <f>セットアップレポート!Z676</f>
        <v>0</v>
      </c>
      <c r="AB676">
        <f>セットアップレポート!AA676</f>
        <v>0</v>
      </c>
      <c r="AC676">
        <f>セットアップレポート!AB676</f>
        <v>0</v>
      </c>
      <c r="AD676">
        <f>セットアップレポート!AC676</f>
        <v>0</v>
      </c>
      <c r="AE676">
        <f>セットアップレポート!AD676</f>
        <v>0</v>
      </c>
      <c r="AF676">
        <f>セットアップレポート!AE676</f>
        <v>0</v>
      </c>
      <c r="AG676">
        <f>セットアップレポート!AF676</f>
        <v>0</v>
      </c>
      <c r="AH676">
        <f>セットアップレポート!AG676</f>
        <v>0</v>
      </c>
    </row>
    <row r="677" spans="1:34" x14ac:dyDescent="0.45">
      <c r="A677" t="str">
        <f t="shared" si="10"/>
        <v>000</v>
      </c>
      <c r="B677">
        <f>セットアップレポート!A677</f>
        <v>0</v>
      </c>
      <c r="C677">
        <f>セットアップレポート!B677</f>
        <v>0</v>
      </c>
      <c r="D677">
        <f>セットアップレポート!C677</f>
        <v>0</v>
      </c>
      <c r="E677">
        <f>セットアップレポート!D677</f>
        <v>0</v>
      </c>
      <c r="F677">
        <f>セットアップレポート!E677</f>
        <v>0</v>
      </c>
      <c r="G677">
        <f>セットアップレポート!F677</f>
        <v>0</v>
      </c>
      <c r="H677">
        <f>セットアップレポート!G677</f>
        <v>0</v>
      </c>
      <c r="I677">
        <f>セットアップレポート!H677</f>
        <v>0</v>
      </c>
      <c r="J677">
        <f>セットアップレポート!I677</f>
        <v>0</v>
      </c>
      <c r="K677">
        <f>セットアップレポート!J677</f>
        <v>0</v>
      </c>
      <c r="L677">
        <f>セットアップレポート!K677</f>
        <v>0</v>
      </c>
      <c r="M677">
        <f>セットアップレポート!L677</f>
        <v>0</v>
      </c>
      <c r="N677">
        <f>セットアップレポート!M677</f>
        <v>0</v>
      </c>
      <c r="O677">
        <f>セットアップレポート!N677</f>
        <v>0</v>
      </c>
      <c r="P677">
        <f>セットアップレポート!O677</f>
        <v>0</v>
      </c>
      <c r="Q677">
        <f>セットアップレポート!P677</f>
        <v>0</v>
      </c>
      <c r="R677">
        <f>セットアップレポート!Q677</f>
        <v>0</v>
      </c>
      <c r="S677">
        <f>セットアップレポート!R677</f>
        <v>0</v>
      </c>
      <c r="T677">
        <f>セットアップレポート!S677</f>
        <v>0</v>
      </c>
      <c r="U677">
        <f>セットアップレポート!T677</f>
        <v>0</v>
      </c>
      <c r="V677">
        <f>セットアップレポート!U677</f>
        <v>0</v>
      </c>
      <c r="W677">
        <f>セットアップレポート!V677</f>
        <v>0</v>
      </c>
      <c r="X677">
        <f>セットアップレポート!W677</f>
        <v>0</v>
      </c>
      <c r="Y677">
        <f>セットアップレポート!X677</f>
        <v>0</v>
      </c>
      <c r="Z677">
        <f>セットアップレポート!Y677</f>
        <v>0</v>
      </c>
      <c r="AA677">
        <f>セットアップレポート!Z677</f>
        <v>0</v>
      </c>
      <c r="AB677">
        <f>セットアップレポート!AA677</f>
        <v>0</v>
      </c>
      <c r="AC677">
        <f>セットアップレポート!AB677</f>
        <v>0</v>
      </c>
      <c r="AD677">
        <f>セットアップレポート!AC677</f>
        <v>0</v>
      </c>
      <c r="AE677">
        <f>セットアップレポート!AD677</f>
        <v>0</v>
      </c>
      <c r="AF677">
        <f>セットアップレポート!AE677</f>
        <v>0</v>
      </c>
      <c r="AG677">
        <f>セットアップレポート!AF677</f>
        <v>0</v>
      </c>
      <c r="AH677">
        <f>セットアップレポート!AG677</f>
        <v>0</v>
      </c>
    </row>
    <row r="678" spans="1:34" x14ac:dyDescent="0.45">
      <c r="A678" t="str">
        <f t="shared" si="10"/>
        <v>000</v>
      </c>
      <c r="B678">
        <f>セットアップレポート!A678</f>
        <v>0</v>
      </c>
      <c r="C678">
        <f>セットアップレポート!B678</f>
        <v>0</v>
      </c>
      <c r="D678">
        <f>セットアップレポート!C678</f>
        <v>0</v>
      </c>
      <c r="E678">
        <f>セットアップレポート!D678</f>
        <v>0</v>
      </c>
      <c r="F678">
        <f>セットアップレポート!E678</f>
        <v>0</v>
      </c>
      <c r="G678">
        <f>セットアップレポート!F678</f>
        <v>0</v>
      </c>
      <c r="H678">
        <f>セットアップレポート!G678</f>
        <v>0</v>
      </c>
      <c r="I678">
        <f>セットアップレポート!H678</f>
        <v>0</v>
      </c>
      <c r="J678">
        <f>セットアップレポート!I678</f>
        <v>0</v>
      </c>
      <c r="K678">
        <f>セットアップレポート!J678</f>
        <v>0</v>
      </c>
      <c r="L678">
        <f>セットアップレポート!K678</f>
        <v>0</v>
      </c>
      <c r="M678">
        <f>セットアップレポート!L678</f>
        <v>0</v>
      </c>
      <c r="N678">
        <f>セットアップレポート!M678</f>
        <v>0</v>
      </c>
      <c r="O678">
        <f>セットアップレポート!N678</f>
        <v>0</v>
      </c>
      <c r="P678">
        <f>セットアップレポート!O678</f>
        <v>0</v>
      </c>
      <c r="Q678">
        <f>セットアップレポート!P678</f>
        <v>0</v>
      </c>
      <c r="R678">
        <f>セットアップレポート!Q678</f>
        <v>0</v>
      </c>
      <c r="S678">
        <f>セットアップレポート!R678</f>
        <v>0</v>
      </c>
      <c r="T678">
        <f>セットアップレポート!S678</f>
        <v>0</v>
      </c>
      <c r="U678">
        <f>セットアップレポート!T678</f>
        <v>0</v>
      </c>
      <c r="V678">
        <f>セットアップレポート!U678</f>
        <v>0</v>
      </c>
      <c r="W678">
        <f>セットアップレポート!V678</f>
        <v>0</v>
      </c>
      <c r="X678">
        <f>セットアップレポート!W678</f>
        <v>0</v>
      </c>
      <c r="Y678">
        <f>セットアップレポート!X678</f>
        <v>0</v>
      </c>
      <c r="Z678">
        <f>セットアップレポート!Y678</f>
        <v>0</v>
      </c>
      <c r="AA678">
        <f>セットアップレポート!Z678</f>
        <v>0</v>
      </c>
      <c r="AB678">
        <f>セットアップレポート!AA678</f>
        <v>0</v>
      </c>
      <c r="AC678">
        <f>セットアップレポート!AB678</f>
        <v>0</v>
      </c>
      <c r="AD678">
        <f>セットアップレポート!AC678</f>
        <v>0</v>
      </c>
      <c r="AE678">
        <f>セットアップレポート!AD678</f>
        <v>0</v>
      </c>
      <c r="AF678">
        <f>セットアップレポート!AE678</f>
        <v>0</v>
      </c>
      <c r="AG678">
        <f>セットアップレポート!AF678</f>
        <v>0</v>
      </c>
      <c r="AH678">
        <f>セットアップレポート!AG678</f>
        <v>0</v>
      </c>
    </row>
    <row r="679" spans="1:34" x14ac:dyDescent="0.45">
      <c r="A679" t="str">
        <f t="shared" si="10"/>
        <v>000</v>
      </c>
      <c r="B679">
        <f>セットアップレポート!A679</f>
        <v>0</v>
      </c>
      <c r="C679">
        <f>セットアップレポート!B679</f>
        <v>0</v>
      </c>
      <c r="D679">
        <f>セットアップレポート!C679</f>
        <v>0</v>
      </c>
      <c r="E679">
        <f>セットアップレポート!D679</f>
        <v>0</v>
      </c>
      <c r="F679">
        <f>セットアップレポート!E679</f>
        <v>0</v>
      </c>
      <c r="G679">
        <f>セットアップレポート!F679</f>
        <v>0</v>
      </c>
      <c r="H679">
        <f>セットアップレポート!G679</f>
        <v>0</v>
      </c>
      <c r="I679">
        <f>セットアップレポート!H679</f>
        <v>0</v>
      </c>
      <c r="J679">
        <f>セットアップレポート!I679</f>
        <v>0</v>
      </c>
      <c r="K679">
        <f>セットアップレポート!J679</f>
        <v>0</v>
      </c>
      <c r="L679">
        <f>セットアップレポート!K679</f>
        <v>0</v>
      </c>
      <c r="M679">
        <f>セットアップレポート!L679</f>
        <v>0</v>
      </c>
      <c r="N679">
        <f>セットアップレポート!M679</f>
        <v>0</v>
      </c>
      <c r="O679">
        <f>セットアップレポート!N679</f>
        <v>0</v>
      </c>
      <c r="P679">
        <f>セットアップレポート!O679</f>
        <v>0</v>
      </c>
      <c r="Q679">
        <f>セットアップレポート!P679</f>
        <v>0</v>
      </c>
      <c r="R679">
        <f>セットアップレポート!Q679</f>
        <v>0</v>
      </c>
      <c r="S679">
        <f>セットアップレポート!R679</f>
        <v>0</v>
      </c>
      <c r="T679">
        <f>セットアップレポート!S679</f>
        <v>0</v>
      </c>
      <c r="U679">
        <f>セットアップレポート!T679</f>
        <v>0</v>
      </c>
      <c r="V679">
        <f>セットアップレポート!U679</f>
        <v>0</v>
      </c>
      <c r="W679">
        <f>セットアップレポート!V679</f>
        <v>0</v>
      </c>
      <c r="X679">
        <f>セットアップレポート!W679</f>
        <v>0</v>
      </c>
      <c r="Y679">
        <f>セットアップレポート!X679</f>
        <v>0</v>
      </c>
      <c r="Z679">
        <f>セットアップレポート!Y679</f>
        <v>0</v>
      </c>
      <c r="AA679">
        <f>セットアップレポート!Z679</f>
        <v>0</v>
      </c>
      <c r="AB679">
        <f>セットアップレポート!AA679</f>
        <v>0</v>
      </c>
      <c r="AC679">
        <f>セットアップレポート!AB679</f>
        <v>0</v>
      </c>
      <c r="AD679">
        <f>セットアップレポート!AC679</f>
        <v>0</v>
      </c>
      <c r="AE679">
        <f>セットアップレポート!AD679</f>
        <v>0</v>
      </c>
      <c r="AF679">
        <f>セットアップレポート!AE679</f>
        <v>0</v>
      </c>
      <c r="AG679">
        <f>セットアップレポート!AF679</f>
        <v>0</v>
      </c>
      <c r="AH679">
        <f>セットアップレポート!AG679</f>
        <v>0</v>
      </c>
    </row>
    <row r="680" spans="1:34" x14ac:dyDescent="0.45">
      <c r="A680" t="str">
        <f t="shared" si="10"/>
        <v>000</v>
      </c>
      <c r="B680">
        <f>セットアップレポート!A680</f>
        <v>0</v>
      </c>
      <c r="C680">
        <f>セットアップレポート!B680</f>
        <v>0</v>
      </c>
      <c r="D680">
        <f>セットアップレポート!C680</f>
        <v>0</v>
      </c>
      <c r="E680">
        <f>セットアップレポート!D680</f>
        <v>0</v>
      </c>
      <c r="F680">
        <f>セットアップレポート!E680</f>
        <v>0</v>
      </c>
      <c r="G680">
        <f>セットアップレポート!F680</f>
        <v>0</v>
      </c>
      <c r="H680">
        <f>セットアップレポート!G680</f>
        <v>0</v>
      </c>
      <c r="I680">
        <f>セットアップレポート!H680</f>
        <v>0</v>
      </c>
      <c r="J680">
        <f>セットアップレポート!I680</f>
        <v>0</v>
      </c>
      <c r="K680">
        <f>セットアップレポート!J680</f>
        <v>0</v>
      </c>
      <c r="L680">
        <f>セットアップレポート!K680</f>
        <v>0</v>
      </c>
      <c r="M680">
        <f>セットアップレポート!L680</f>
        <v>0</v>
      </c>
      <c r="N680">
        <f>セットアップレポート!M680</f>
        <v>0</v>
      </c>
      <c r="O680">
        <f>セットアップレポート!N680</f>
        <v>0</v>
      </c>
      <c r="P680">
        <f>セットアップレポート!O680</f>
        <v>0</v>
      </c>
      <c r="Q680">
        <f>セットアップレポート!P680</f>
        <v>0</v>
      </c>
      <c r="R680">
        <f>セットアップレポート!Q680</f>
        <v>0</v>
      </c>
      <c r="S680">
        <f>セットアップレポート!R680</f>
        <v>0</v>
      </c>
      <c r="T680">
        <f>セットアップレポート!S680</f>
        <v>0</v>
      </c>
      <c r="U680">
        <f>セットアップレポート!T680</f>
        <v>0</v>
      </c>
      <c r="V680">
        <f>セットアップレポート!U680</f>
        <v>0</v>
      </c>
      <c r="W680">
        <f>セットアップレポート!V680</f>
        <v>0</v>
      </c>
      <c r="X680">
        <f>セットアップレポート!W680</f>
        <v>0</v>
      </c>
      <c r="Y680">
        <f>セットアップレポート!X680</f>
        <v>0</v>
      </c>
      <c r="Z680">
        <f>セットアップレポート!Y680</f>
        <v>0</v>
      </c>
      <c r="AA680">
        <f>セットアップレポート!Z680</f>
        <v>0</v>
      </c>
      <c r="AB680">
        <f>セットアップレポート!AA680</f>
        <v>0</v>
      </c>
      <c r="AC680">
        <f>セットアップレポート!AB680</f>
        <v>0</v>
      </c>
      <c r="AD680">
        <f>セットアップレポート!AC680</f>
        <v>0</v>
      </c>
      <c r="AE680">
        <f>セットアップレポート!AD680</f>
        <v>0</v>
      </c>
      <c r="AF680">
        <f>セットアップレポート!AE680</f>
        <v>0</v>
      </c>
      <c r="AG680">
        <f>セットアップレポート!AF680</f>
        <v>0</v>
      </c>
      <c r="AH680">
        <f>セットアップレポート!AG680</f>
        <v>0</v>
      </c>
    </row>
    <row r="681" spans="1:34" x14ac:dyDescent="0.45">
      <c r="A681" t="str">
        <f t="shared" si="10"/>
        <v>000</v>
      </c>
      <c r="B681">
        <f>セットアップレポート!A681</f>
        <v>0</v>
      </c>
      <c r="C681">
        <f>セットアップレポート!B681</f>
        <v>0</v>
      </c>
      <c r="D681">
        <f>セットアップレポート!C681</f>
        <v>0</v>
      </c>
      <c r="E681">
        <f>セットアップレポート!D681</f>
        <v>0</v>
      </c>
      <c r="F681">
        <f>セットアップレポート!E681</f>
        <v>0</v>
      </c>
      <c r="G681">
        <f>セットアップレポート!F681</f>
        <v>0</v>
      </c>
      <c r="H681">
        <f>セットアップレポート!G681</f>
        <v>0</v>
      </c>
      <c r="I681">
        <f>セットアップレポート!H681</f>
        <v>0</v>
      </c>
      <c r="J681">
        <f>セットアップレポート!I681</f>
        <v>0</v>
      </c>
      <c r="K681">
        <f>セットアップレポート!J681</f>
        <v>0</v>
      </c>
      <c r="L681">
        <f>セットアップレポート!K681</f>
        <v>0</v>
      </c>
      <c r="M681">
        <f>セットアップレポート!L681</f>
        <v>0</v>
      </c>
      <c r="N681">
        <f>セットアップレポート!M681</f>
        <v>0</v>
      </c>
      <c r="O681">
        <f>セットアップレポート!N681</f>
        <v>0</v>
      </c>
      <c r="P681">
        <f>セットアップレポート!O681</f>
        <v>0</v>
      </c>
      <c r="Q681">
        <f>セットアップレポート!P681</f>
        <v>0</v>
      </c>
      <c r="R681">
        <f>セットアップレポート!Q681</f>
        <v>0</v>
      </c>
      <c r="S681">
        <f>セットアップレポート!R681</f>
        <v>0</v>
      </c>
      <c r="T681">
        <f>セットアップレポート!S681</f>
        <v>0</v>
      </c>
      <c r="U681">
        <f>セットアップレポート!T681</f>
        <v>0</v>
      </c>
      <c r="V681">
        <f>セットアップレポート!U681</f>
        <v>0</v>
      </c>
      <c r="W681">
        <f>セットアップレポート!V681</f>
        <v>0</v>
      </c>
      <c r="X681">
        <f>セットアップレポート!W681</f>
        <v>0</v>
      </c>
      <c r="Y681">
        <f>セットアップレポート!X681</f>
        <v>0</v>
      </c>
      <c r="Z681">
        <f>セットアップレポート!Y681</f>
        <v>0</v>
      </c>
      <c r="AA681">
        <f>セットアップレポート!Z681</f>
        <v>0</v>
      </c>
      <c r="AB681">
        <f>セットアップレポート!AA681</f>
        <v>0</v>
      </c>
      <c r="AC681">
        <f>セットアップレポート!AB681</f>
        <v>0</v>
      </c>
      <c r="AD681">
        <f>セットアップレポート!AC681</f>
        <v>0</v>
      </c>
      <c r="AE681">
        <f>セットアップレポート!AD681</f>
        <v>0</v>
      </c>
      <c r="AF681">
        <f>セットアップレポート!AE681</f>
        <v>0</v>
      </c>
      <c r="AG681">
        <f>セットアップレポート!AF681</f>
        <v>0</v>
      </c>
      <c r="AH681">
        <f>セットアップレポート!AG681</f>
        <v>0</v>
      </c>
    </row>
    <row r="682" spans="1:34" x14ac:dyDescent="0.45">
      <c r="A682" t="str">
        <f t="shared" si="10"/>
        <v>000</v>
      </c>
      <c r="B682">
        <f>セットアップレポート!A682</f>
        <v>0</v>
      </c>
      <c r="C682">
        <f>セットアップレポート!B682</f>
        <v>0</v>
      </c>
      <c r="D682">
        <f>セットアップレポート!C682</f>
        <v>0</v>
      </c>
      <c r="E682">
        <f>セットアップレポート!D682</f>
        <v>0</v>
      </c>
      <c r="F682">
        <f>セットアップレポート!E682</f>
        <v>0</v>
      </c>
      <c r="G682">
        <f>セットアップレポート!F682</f>
        <v>0</v>
      </c>
      <c r="H682">
        <f>セットアップレポート!G682</f>
        <v>0</v>
      </c>
      <c r="I682">
        <f>セットアップレポート!H682</f>
        <v>0</v>
      </c>
      <c r="J682">
        <f>セットアップレポート!I682</f>
        <v>0</v>
      </c>
      <c r="K682">
        <f>セットアップレポート!J682</f>
        <v>0</v>
      </c>
      <c r="L682">
        <f>セットアップレポート!K682</f>
        <v>0</v>
      </c>
      <c r="M682">
        <f>セットアップレポート!L682</f>
        <v>0</v>
      </c>
      <c r="N682">
        <f>セットアップレポート!M682</f>
        <v>0</v>
      </c>
      <c r="O682">
        <f>セットアップレポート!N682</f>
        <v>0</v>
      </c>
      <c r="P682">
        <f>セットアップレポート!O682</f>
        <v>0</v>
      </c>
      <c r="Q682">
        <f>セットアップレポート!P682</f>
        <v>0</v>
      </c>
      <c r="R682">
        <f>セットアップレポート!Q682</f>
        <v>0</v>
      </c>
      <c r="S682">
        <f>セットアップレポート!R682</f>
        <v>0</v>
      </c>
      <c r="T682">
        <f>セットアップレポート!S682</f>
        <v>0</v>
      </c>
      <c r="U682">
        <f>セットアップレポート!T682</f>
        <v>0</v>
      </c>
      <c r="V682">
        <f>セットアップレポート!U682</f>
        <v>0</v>
      </c>
      <c r="W682">
        <f>セットアップレポート!V682</f>
        <v>0</v>
      </c>
      <c r="X682">
        <f>セットアップレポート!W682</f>
        <v>0</v>
      </c>
      <c r="Y682">
        <f>セットアップレポート!X682</f>
        <v>0</v>
      </c>
      <c r="Z682">
        <f>セットアップレポート!Y682</f>
        <v>0</v>
      </c>
      <c r="AA682">
        <f>セットアップレポート!Z682</f>
        <v>0</v>
      </c>
      <c r="AB682">
        <f>セットアップレポート!AA682</f>
        <v>0</v>
      </c>
      <c r="AC682">
        <f>セットアップレポート!AB682</f>
        <v>0</v>
      </c>
      <c r="AD682">
        <f>セットアップレポート!AC682</f>
        <v>0</v>
      </c>
      <c r="AE682">
        <f>セットアップレポート!AD682</f>
        <v>0</v>
      </c>
      <c r="AF682">
        <f>セットアップレポート!AE682</f>
        <v>0</v>
      </c>
      <c r="AG682">
        <f>セットアップレポート!AF682</f>
        <v>0</v>
      </c>
      <c r="AH682">
        <f>セットアップレポート!AG682</f>
        <v>0</v>
      </c>
    </row>
    <row r="683" spans="1:34" x14ac:dyDescent="0.45">
      <c r="A683" t="str">
        <f t="shared" si="10"/>
        <v>000</v>
      </c>
      <c r="B683">
        <f>セットアップレポート!A683</f>
        <v>0</v>
      </c>
      <c r="C683">
        <f>セットアップレポート!B683</f>
        <v>0</v>
      </c>
      <c r="D683">
        <f>セットアップレポート!C683</f>
        <v>0</v>
      </c>
      <c r="E683">
        <f>セットアップレポート!D683</f>
        <v>0</v>
      </c>
      <c r="F683">
        <f>セットアップレポート!E683</f>
        <v>0</v>
      </c>
      <c r="G683">
        <f>セットアップレポート!F683</f>
        <v>0</v>
      </c>
      <c r="H683">
        <f>セットアップレポート!G683</f>
        <v>0</v>
      </c>
      <c r="I683">
        <f>セットアップレポート!H683</f>
        <v>0</v>
      </c>
      <c r="J683">
        <f>セットアップレポート!I683</f>
        <v>0</v>
      </c>
      <c r="K683">
        <f>セットアップレポート!J683</f>
        <v>0</v>
      </c>
      <c r="L683">
        <f>セットアップレポート!K683</f>
        <v>0</v>
      </c>
      <c r="M683">
        <f>セットアップレポート!L683</f>
        <v>0</v>
      </c>
      <c r="N683">
        <f>セットアップレポート!M683</f>
        <v>0</v>
      </c>
      <c r="O683">
        <f>セットアップレポート!N683</f>
        <v>0</v>
      </c>
      <c r="P683">
        <f>セットアップレポート!O683</f>
        <v>0</v>
      </c>
      <c r="Q683">
        <f>セットアップレポート!P683</f>
        <v>0</v>
      </c>
      <c r="R683">
        <f>セットアップレポート!Q683</f>
        <v>0</v>
      </c>
      <c r="S683">
        <f>セットアップレポート!R683</f>
        <v>0</v>
      </c>
      <c r="T683">
        <f>セットアップレポート!S683</f>
        <v>0</v>
      </c>
      <c r="U683">
        <f>セットアップレポート!T683</f>
        <v>0</v>
      </c>
      <c r="V683">
        <f>セットアップレポート!U683</f>
        <v>0</v>
      </c>
      <c r="W683">
        <f>セットアップレポート!V683</f>
        <v>0</v>
      </c>
      <c r="X683">
        <f>セットアップレポート!W683</f>
        <v>0</v>
      </c>
      <c r="Y683">
        <f>セットアップレポート!X683</f>
        <v>0</v>
      </c>
      <c r="Z683">
        <f>セットアップレポート!Y683</f>
        <v>0</v>
      </c>
      <c r="AA683">
        <f>セットアップレポート!Z683</f>
        <v>0</v>
      </c>
      <c r="AB683">
        <f>セットアップレポート!AA683</f>
        <v>0</v>
      </c>
      <c r="AC683">
        <f>セットアップレポート!AB683</f>
        <v>0</v>
      </c>
      <c r="AD683">
        <f>セットアップレポート!AC683</f>
        <v>0</v>
      </c>
      <c r="AE683">
        <f>セットアップレポート!AD683</f>
        <v>0</v>
      </c>
      <c r="AF683">
        <f>セットアップレポート!AE683</f>
        <v>0</v>
      </c>
      <c r="AG683">
        <f>セットアップレポート!AF683</f>
        <v>0</v>
      </c>
      <c r="AH683">
        <f>セットアップレポート!AG683</f>
        <v>0</v>
      </c>
    </row>
    <row r="684" spans="1:34" x14ac:dyDescent="0.45">
      <c r="A684" t="str">
        <f t="shared" si="10"/>
        <v>000</v>
      </c>
      <c r="B684">
        <f>セットアップレポート!A684</f>
        <v>0</v>
      </c>
      <c r="C684">
        <f>セットアップレポート!B684</f>
        <v>0</v>
      </c>
      <c r="D684">
        <f>セットアップレポート!C684</f>
        <v>0</v>
      </c>
      <c r="E684">
        <f>セットアップレポート!D684</f>
        <v>0</v>
      </c>
      <c r="F684">
        <f>セットアップレポート!E684</f>
        <v>0</v>
      </c>
      <c r="G684">
        <f>セットアップレポート!F684</f>
        <v>0</v>
      </c>
      <c r="H684">
        <f>セットアップレポート!G684</f>
        <v>0</v>
      </c>
      <c r="I684">
        <f>セットアップレポート!H684</f>
        <v>0</v>
      </c>
      <c r="J684">
        <f>セットアップレポート!I684</f>
        <v>0</v>
      </c>
      <c r="K684">
        <f>セットアップレポート!J684</f>
        <v>0</v>
      </c>
      <c r="L684">
        <f>セットアップレポート!K684</f>
        <v>0</v>
      </c>
      <c r="M684">
        <f>セットアップレポート!L684</f>
        <v>0</v>
      </c>
      <c r="N684">
        <f>セットアップレポート!M684</f>
        <v>0</v>
      </c>
      <c r="O684">
        <f>セットアップレポート!N684</f>
        <v>0</v>
      </c>
      <c r="P684">
        <f>セットアップレポート!O684</f>
        <v>0</v>
      </c>
      <c r="Q684">
        <f>セットアップレポート!P684</f>
        <v>0</v>
      </c>
      <c r="R684">
        <f>セットアップレポート!Q684</f>
        <v>0</v>
      </c>
      <c r="S684">
        <f>セットアップレポート!R684</f>
        <v>0</v>
      </c>
      <c r="T684">
        <f>セットアップレポート!S684</f>
        <v>0</v>
      </c>
      <c r="U684">
        <f>セットアップレポート!T684</f>
        <v>0</v>
      </c>
      <c r="V684">
        <f>セットアップレポート!U684</f>
        <v>0</v>
      </c>
      <c r="W684">
        <f>セットアップレポート!V684</f>
        <v>0</v>
      </c>
      <c r="X684">
        <f>セットアップレポート!W684</f>
        <v>0</v>
      </c>
      <c r="Y684">
        <f>セットアップレポート!X684</f>
        <v>0</v>
      </c>
      <c r="Z684">
        <f>セットアップレポート!Y684</f>
        <v>0</v>
      </c>
      <c r="AA684">
        <f>セットアップレポート!Z684</f>
        <v>0</v>
      </c>
      <c r="AB684">
        <f>セットアップレポート!AA684</f>
        <v>0</v>
      </c>
      <c r="AC684">
        <f>セットアップレポート!AB684</f>
        <v>0</v>
      </c>
      <c r="AD684">
        <f>セットアップレポート!AC684</f>
        <v>0</v>
      </c>
      <c r="AE684">
        <f>セットアップレポート!AD684</f>
        <v>0</v>
      </c>
      <c r="AF684">
        <f>セットアップレポート!AE684</f>
        <v>0</v>
      </c>
      <c r="AG684">
        <f>セットアップレポート!AF684</f>
        <v>0</v>
      </c>
      <c r="AH684">
        <f>セットアップレポート!AG684</f>
        <v>0</v>
      </c>
    </row>
    <row r="685" spans="1:34" x14ac:dyDescent="0.45">
      <c r="A685" t="str">
        <f t="shared" si="10"/>
        <v>000</v>
      </c>
      <c r="B685">
        <f>セットアップレポート!A685</f>
        <v>0</v>
      </c>
      <c r="C685">
        <f>セットアップレポート!B685</f>
        <v>0</v>
      </c>
      <c r="D685">
        <f>セットアップレポート!C685</f>
        <v>0</v>
      </c>
      <c r="E685">
        <f>セットアップレポート!D685</f>
        <v>0</v>
      </c>
      <c r="F685">
        <f>セットアップレポート!E685</f>
        <v>0</v>
      </c>
      <c r="G685">
        <f>セットアップレポート!F685</f>
        <v>0</v>
      </c>
      <c r="H685">
        <f>セットアップレポート!G685</f>
        <v>0</v>
      </c>
      <c r="I685">
        <f>セットアップレポート!H685</f>
        <v>0</v>
      </c>
      <c r="J685">
        <f>セットアップレポート!I685</f>
        <v>0</v>
      </c>
      <c r="K685">
        <f>セットアップレポート!J685</f>
        <v>0</v>
      </c>
      <c r="L685">
        <f>セットアップレポート!K685</f>
        <v>0</v>
      </c>
      <c r="M685">
        <f>セットアップレポート!L685</f>
        <v>0</v>
      </c>
      <c r="N685">
        <f>セットアップレポート!M685</f>
        <v>0</v>
      </c>
      <c r="O685">
        <f>セットアップレポート!N685</f>
        <v>0</v>
      </c>
      <c r="P685">
        <f>セットアップレポート!O685</f>
        <v>0</v>
      </c>
      <c r="Q685">
        <f>セットアップレポート!P685</f>
        <v>0</v>
      </c>
      <c r="R685">
        <f>セットアップレポート!Q685</f>
        <v>0</v>
      </c>
      <c r="S685">
        <f>セットアップレポート!R685</f>
        <v>0</v>
      </c>
      <c r="T685">
        <f>セットアップレポート!S685</f>
        <v>0</v>
      </c>
      <c r="U685">
        <f>セットアップレポート!T685</f>
        <v>0</v>
      </c>
      <c r="V685">
        <f>セットアップレポート!U685</f>
        <v>0</v>
      </c>
      <c r="W685">
        <f>セットアップレポート!V685</f>
        <v>0</v>
      </c>
      <c r="X685">
        <f>セットアップレポート!W685</f>
        <v>0</v>
      </c>
      <c r="Y685">
        <f>セットアップレポート!X685</f>
        <v>0</v>
      </c>
      <c r="Z685">
        <f>セットアップレポート!Y685</f>
        <v>0</v>
      </c>
      <c r="AA685">
        <f>セットアップレポート!Z685</f>
        <v>0</v>
      </c>
      <c r="AB685">
        <f>セットアップレポート!AA685</f>
        <v>0</v>
      </c>
      <c r="AC685">
        <f>セットアップレポート!AB685</f>
        <v>0</v>
      </c>
      <c r="AD685">
        <f>セットアップレポート!AC685</f>
        <v>0</v>
      </c>
      <c r="AE685">
        <f>セットアップレポート!AD685</f>
        <v>0</v>
      </c>
      <c r="AF685">
        <f>セットアップレポート!AE685</f>
        <v>0</v>
      </c>
      <c r="AG685">
        <f>セットアップレポート!AF685</f>
        <v>0</v>
      </c>
      <c r="AH685">
        <f>セットアップレポート!AG685</f>
        <v>0</v>
      </c>
    </row>
    <row r="686" spans="1:34" x14ac:dyDescent="0.45">
      <c r="A686" t="str">
        <f t="shared" si="10"/>
        <v>000</v>
      </c>
      <c r="B686">
        <f>セットアップレポート!A686</f>
        <v>0</v>
      </c>
      <c r="C686">
        <f>セットアップレポート!B686</f>
        <v>0</v>
      </c>
      <c r="D686">
        <f>セットアップレポート!C686</f>
        <v>0</v>
      </c>
      <c r="E686">
        <f>セットアップレポート!D686</f>
        <v>0</v>
      </c>
      <c r="F686">
        <f>セットアップレポート!E686</f>
        <v>0</v>
      </c>
      <c r="G686">
        <f>セットアップレポート!F686</f>
        <v>0</v>
      </c>
      <c r="H686">
        <f>セットアップレポート!G686</f>
        <v>0</v>
      </c>
      <c r="I686">
        <f>セットアップレポート!H686</f>
        <v>0</v>
      </c>
      <c r="J686">
        <f>セットアップレポート!I686</f>
        <v>0</v>
      </c>
      <c r="K686">
        <f>セットアップレポート!J686</f>
        <v>0</v>
      </c>
      <c r="L686">
        <f>セットアップレポート!K686</f>
        <v>0</v>
      </c>
      <c r="M686">
        <f>セットアップレポート!L686</f>
        <v>0</v>
      </c>
      <c r="N686">
        <f>セットアップレポート!M686</f>
        <v>0</v>
      </c>
      <c r="O686">
        <f>セットアップレポート!N686</f>
        <v>0</v>
      </c>
      <c r="P686">
        <f>セットアップレポート!O686</f>
        <v>0</v>
      </c>
      <c r="Q686">
        <f>セットアップレポート!P686</f>
        <v>0</v>
      </c>
      <c r="R686">
        <f>セットアップレポート!Q686</f>
        <v>0</v>
      </c>
      <c r="S686">
        <f>セットアップレポート!R686</f>
        <v>0</v>
      </c>
      <c r="T686">
        <f>セットアップレポート!S686</f>
        <v>0</v>
      </c>
      <c r="U686">
        <f>セットアップレポート!T686</f>
        <v>0</v>
      </c>
      <c r="V686">
        <f>セットアップレポート!U686</f>
        <v>0</v>
      </c>
      <c r="W686">
        <f>セットアップレポート!V686</f>
        <v>0</v>
      </c>
      <c r="X686">
        <f>セットアップレポート!W686</f>
        <v>0</v>
      </c>
      <c r="Y686">
        <f>セットアップレポート!X686</f>
        <v>0</v>
      </c>
      <c r="Z686">
        <f>セットアップレポート!Y686</f>
        <v>0</v>
      </c>
      <c r="AA686">
        <f>セットアップレポート!Z686</f>
        <v>0</v>
      </c>
      <c r="AB686">
        <f>セットアップレポート!AA686</f>
        <v>0</v>
      </c>
      <c r="AC686">
        <f>セットアップレポート!AB686</f>
        <v>0</v>
      </c>
      <c r="AD686">
        <f>セットアップレポート!AC686</f>
        <v>0</v>
      </c>
      <c r="AE686">
        <f>セットアップレポート!AD686</f>
        <v>0</v>
      </c>
      <c r="AF686">
        <f>セットアップレポート!AE686</f>
        <v>0</v>
      </c>
      <c r="AG686">
        <f>セットアップレポート!AF686</f>
        <v>0</v>
      </c>
      <c r="AH686">
        <f>セットアップレポート!AG686</f>
        <v>0</v>
      </c>
    </row>
    <row r="687" spans="1:34" x14ac:dyDescent="0.45">
      <c r="A687" t="str">
        <f t="shared" si="10"/>
        <v>000</v>
      </c>
      <c r="B687">
        <f>セットアップレポート!A687</f>
        <v>0</v>
      </c>
      <c r="C687">
        <f>セットアップレポート!B687</f>
        <v>0</v>
      </c>
      <c r="D687">
        <f>セットアップレポート!C687</f>
        <v>0</v>
      </c>
      <c r="E687">
        <f>セットアップレポート!D687</f>
        <v>0</v>
      </c>
      <c r="F687">
        <f>セットアップレポート!E687</f>
        <v>0</v>
      </c>
      <c r="G687">
        <f>セットアップレポート!F687</f>
        <v>0</v>
      </c>
      <c r="H687">
        <f>セットアップレポート!G687</f>
        <v>0</v>
      </c>
      <c r="I687">
        <f>セットアップレポート!H687</f>
        <v>0</v>
      </c>
      <c r="J687">
        <f>セットアップレポート!I687</f>
        <v>0</v>
      </c>
      <c r="K687">
        <f>セットアップレポート!J687</f>
        <v>0</v>
      </c>
      <c r="L687">
        <f>セットアップレポート!K687</f>
        <v>0</v>
      </c>
      <c r="M687">
        <f>セットアップレポート!L687</f>
        <v>0</v>
      </c>
      <c r="N687">
        <f>セットアップレポート!M687</f>
        <v>0</v>
      </c>
      <c r="O687">
        <f>セットアップレポート!N687</f>
        <v>0</v>
      </c>
      <c r="P687">
        <f>セットアップレポート!O687</f>
        <v>0</v>
      </c>
      <c r="Q687">
        <f>セットアップレポート!P687</f>
        <v>0</v>
      </c>
      <c r="R687">
        <f>セットアップレポート!Q687</f>
        <v>0</v>
      </c>
      <c r="S687">
        <f>セットアップレポート!R687</f>
        <v>0</v>
      </c>
      <c r="T687">
        <f>セットアップレポート!S687</f>
        <v>0</v>
      </c>
      <c r="U687">
        <f>セットアップレポート!T687</f>
        <v>0</v>
      </c>
      <c r="V687">
        <f>セットアップレポート!U687</f>
        <v>0</v>
      </c>
      <c r="W687">
        <f>セットアップレポート!V687</f>
        <v>0</v>
      </c>
      <c r="X687">
        <f>セットアップレポート!W687</f>
        <v>0</v>
      </c>
      <c r="Y687">
        <f>セットアップレポート!X687</f>
        <v>0</v>
      </c>
      <c r="Z687">
        <f>セットアップレポート!Y687</f>
        <v>0</v>
      </c>
      <c r="AA687">
        <f>セットアップレポート!Z687</f>
        <v>0</v>
      </c>
      <c r="AB687">
        <f>セットアップレポート!AA687</f>
        <v>0</v>
      </c>
      <c r="AC687">
        <f>セットアップレポート!AB687</f>
        <v>0</v>
      </c>
      <c r="AD687">
        <f>セットアップレポート!AC687</f>
        <v>0</v>
      </c>
      <c r="AE687">
        <f>セットアップレポート!AD687</f>
        <v>0</v>
      </c>
      <c r="AF687">
        <f>セットアップレポート!AE687</f>
        <v>0</v>
      </c>
      <c r="AG687">
        <f>セットアップレポート!AF687</f>
        <v>0</v>
      </c>
      <c r="AH687">
        <f>セットアップレポート!AG687</f>
        <v>0</v>
      </c>
    </row>
    <row r="688" spans="1:34" x14ac:dyDescent="0.45">
      <c r="A688" t="str">
        <f t="shared" si="10"/>
        <v>000</v>
      </c>
      <c r="B688">
        <f>セットアップレポート!A688</f>
        <v>0</v>
      </c>
      <c r="C688">
        <f>セットアップレポート!B688</f>
        <v>0</v>
      </c>
      <c r="D688">
        <f>セットアップレポート!C688</f>
        <v>0</v>
      </c>
      <c r="E688">
        <f>セットアップレポート!D688</f>
        <v>0</v>
      </c>
      <c r="F688">
        <f>セットアップレポート!E688</f>
        <v>0</v>
      </c>
      <c r="G688">
        <f>セットアップレポート!F688</f>
        <v>0</v>
      </c>
      <c r="H688">
        <f>セットアップレポート!G688</f>
        <v>0</v>
      </c>
      <c r="I688">
        <f>セットアップレポート!H688</f>
        <v>0</v>
      </c>
      <c r="J688">
        <f>セットアップレポート!I688</f>
        <v>0</v>
      </c>
      <c r="K688">
        <f>セットアップレポート!J688</f>
        <v>0</v>
      </c>
      <c r="L688">
        <f>セットアップレポート!K688</f>
        <v>0</v>
      </c>
      <c r="M688">
        <f>セットアップレポート!L688</f>
        <v>0</v>
      </c>
      <c r="N688">
        <f>セットアップレポート!M688</f>
        <v>0</v>
      </c>
      <c r="O688">
        <f>セットアップレポート!N688</f>
        <v>0</v>
      </c>
      <c r="P688">
        <f>セットアップレポート!O688</f>
        <v>0</v>
      </c>
      <c r="Q688">
        <f>セットアップレポート!P688</f>
        <v>0</v>
      </c>
      <c r="R688">
        <f>セットアップレポート!Q688</f>
        <v>0</v>
      </c>
      <c r="S688">
        <f>セットアップレポート!R688</f>
        <v>0</v>
      </c>
      <c r="T688">
        <f>セットアップレポート!S688</f>
        <v>0</v>
      </c>
      <c r="U688">
        <f>セットアップレポート!T688</f>
        <v>0</v>
      </c>
      <c r="V688">
        <f>セットアップレポート!U688</f>
        <v>0</v>
      </c>
      <c r="W688">
        <f>セットアップレポート!V688</f>
        <v>0</v>
      </c>
      <c r="X688">
        <f>セットアップレポート!W688</f>
        <v>0</v>
      </c>
      <c r="Y688">
        <f>セットアップレポート!X688</f>
        <v>0</v>
      </c>
      <c r="Z688">
        <f>セットアップレポート!Y688</f>
        <v>0</v>
      </c>
      <c r="AA688">
        <f>セットアップレポート!Z688</f>
        <v>0</v>
      </c>
      <c r="AB688">
        <f>セットアップレポート!AA688</f>
        <v>0</v>
      </c>
      <c r="AC688">
        <f>セットアップレポート!AB688</f>
        <v>0</v>
      </c>
      <c r="AD688">
        <f>セットアップレポート!AC688</f>
        <v>0</v>
      </c>
      <c r="AE688">
        <f>セットアップレポート!AD688</f>
        <v>0</v>
      </c>
      <c r="AF688">
        <f>セットアップレポート!AE688</f>
        <v>0</v>
      </c>
      <c r="AG688">
        <f>セットアップレポート!AF688</f>
        <v>0</v>
      </c>
      <c r="AH688">
        <f>セットアップレポート!AG688</f>
        <v>0</v>
      </c>
    </row>
    <row r="689" spans="1:34" x14ac:dyDescent="0.45">
      <c r="A689" t="str">
        <f t="shared" si="10"/>
        <v>000</v>
      </c>
      <c r="B689">
        <f>セットアップレポート!A689</f>
        <v>0</v>
      </c>
      <c r="C689">
        <f>セットアップレポート!B689</f>
        <v>0</v>
      </c>
      <c r="D689">
        <f>セットアップレポート!C689</f>
        <v>0</v>
      </c>
      <c r="E689">
        <f>セットアップレポート!D689</f>
        <v>0</v>
      </c>
      <c r="F689">
        <f>セットアップレポート!E689</f>
        <v>0</v>
      </c>
      <c r="G689">
        <f>セットアップレポート!F689</f>
        <v>0</v>
      </c>
      <c r="H689">
        <f>セットアップレポート!G689</f>
        <v>0</v>
      </c>
      <c r="I689">
        <f>セットアップレポート!H689</f>
        <v>0</v>
      </c>
      <c r="J689">
        <f>セットアップレポート!I689</f>
        <v>0</v>
      </c>
      <c r="K689">
        <f>セットアップレポート!J689</f>
        <v>0</v>
      </c>
      <c r="L689">
        <f>セットアップレポート!K689</f>
        <v>0</v>
      </c>
      <c r="M689">
        <f>セットアップレポート!L689</f>
        <v>0</v>
      </c>
      <c r="N689">
        <f>セットアップレポート!M689</f>
        <v>0</v>
      </c>
      <c r="O689">
        <f>セットアップレポート!N689</f>
        <v>0</v>
      </c>
      <c r="P689">
        <f>セットアップレポート!O689</f>
        <v>0</v>
      </c>
      <c r="Q689">
        <f>セットアップレポート!P689</f>
        <v>0</v>
      </c>
      <c r="R689">
        <f>セットアップレポート!Q689</f>
        <v>0</v>
      </c>
      <c r="S689">
        <f>セットアップレポート!R689</f>
        <v>0</v>
      </c>
      <c r="T689">
        <f>セットアップレポート!S689</f>
        <v>0</v>
      </c>
      <c r="U689">
        <f>セットアップレポート!T689</f>
        <v>0</v>
      </c>
      <c r="V689">
        <f>セットアップレポート!U689</f>
        <v>0</v>
      </c>
      <c r="W689">
        <f>セットアップレポート!V689</f>
        <v>0</v>
      </c>
      <c r="X689">
        <f>セットアップレポート!W689</f>
        <v>0</v>
      </c>
      <c r="Y689">
        <f>セットアップレポート!X689</f>
        <v>0</v>
      </c>
      <c r="Z689">
        <f>セットアップレポート!Y689</f>
        <v>0</v>
      </c>
      <c r="AA689">
        <f>セットアップレポート!Z689</f>
        <v>0</v>
      </c>
      <c r="AB689">
        <f>セットアップレポート!AA689</f>
        <v>0</v>
      </c>
      <c r="AC689">
        <f>セットアップレポート!AB689</f>
        <v>0</v>
      </c>
      <c r="AD689">
        <f>セットアップレポート!AC689</f>
        <v>0</v>
      </c>
      <c r="AE689">
        <f>セットアップレポート!AD689</f>
        <v>0</v>
      </c>
      <c r="AF689">
        <f>セットアップレポート!AE689</f>
        <v>0</v>
      </c>
      <c r="AG689">
        <f>セットアップレポート!AF689</f>
        <v>0</v>
      </c>
      <c r="AH689">
        <f>セットアップレポート!AG689</f>
        <v>0</v>
      </c>
    </row>
    <row r="690" spans="1:34" x14ac:dyDescent="0.45">
      <c r="A690" t="str">
        <f t="shared" si="10"/>
        <v>000</v>
      </c>
      <c r="B690">
        <f>セットアップレポート!A690</f>
        <v>0</v>
      </c>
      <c r="C690">
        <f>セットアップレポート!B690</f>
        <v>0</v>
      </c>
      <c r="D690">
        <f>セットアップレポート!C690</f>
        <v>0</v>
      </c>
      <c r="E690">
        <f>セットアップレポート!D690</f>
        <v>0</v>
      </c>
      <c r="F690">
        <f>セットアップレポート!E690</f>
        <v>0</v>
      </c>
      <c r="G690">
        <f>セットアップレポート!F690</f>
        <v>0</v>
      </c>
      <c r="H690">
        <f>セットアップレポート!G690</f>
        <v>0</v>
      </c>
      <c r="I690">
        <f>セットアップレポート!H690</f>
        <v>0</v>
      </c>
      <c r="J690">
        <f>セットアップレポート!I690</f>
        <v>0</v>
      </c>
      <c r="K690">
        <f>セットアップレポート!J690</f>
        <v>0</v>
      </c>
      <c r="L690">
        <f>セットアップレポート!K690</f>
        <v>0</v>
      </c>
      <c r="M690">
        <f>セットアップレポート!L690</f>
        <v>0</v>
      </c>
      <c r="N690">
        <f>セットアップレポート!M690</f>
        <v>0</v>
      </c>
      <c r="O690">
        <f>セットアップレポート!N690</f>
        <v>0</v>
      </c>
      <c r="P690">
        <f>セットアップレポート!O690</f>
        <v>0</v>
      </c>
      <c r="Q690">
        <f>セットアップレポート!P690</f>
        <v>0</v>
      </c>
      <c r="R690">
        <f>セットアップレポート!Q690</f>
        <v>0</v>
      </c>
      <c r="S690">
        <f>セットアップレポート!R690</f>
        <v>0</v>
      </c>
      <c r="T690">
        <f>セットアップレポート!S690</f>
        <v>0</v>
      </c>
      <c r="U690">
        <f>セットアップレポート!T690</f>
        <v>0</v>
      </c>
      <c r="V690">
        <f>セットアップレポート!U690</f>
        <v>0</v>
      </c>
      <c r="W690">
        <f>セットアップレポート!V690</f>
        <v>0</v>
      </c>
      <c r="X690">
        <f>セットアップレポート!W690</f>
        <v>0</v>
      </c>
      <c r="Y690">
        <f>セットアップレポート!X690</f>
        <v>0</v>
      </c>
      <c r="Z690">
        <f>セットアップレポート!Y690</f>
        <v>0</v>
      </c>
      <c r="AA690">
        <f>セットアップレポート!Z690</f>
        <v>0</v>
      </c>
      <c r="AB690">
        <f>セットアップレポート!AA690</f>
        <v>0</v>
      </c>
      <c r="AC690">
        <f>セットアップレポート!AB690</f>
        <v>0</v>
      </c>
      <c r="AD690">
        <f>セットアップレポート!AC690</f>
        <v>0</v>
      </c>
      <c r="AE690">
        <f>セットアップレポート!AD690</f>
        <v>0</v>
      </c>
      <c r="AF690">
        <f>セットアップレポート!AE690</f>
        <v>0</v>
      </c>
      <c r="AG690">
        <f>セットアップレポート!AF690</f>
        <v>0</v>
      </c>
      <c r="AH690">
        <f>セットアップレポート!AG690</f>
        <v>0</v>
      </c>
    </row>
    <row r="691" spans="1:34" x14ac:dyDescent="0.45">
      <c r="A691" t="str">
        <f t="shared" si="10"/>
        <v>000</v>
      </c>
      <c r="B691">
        <f>セットアップレポート!A691</f>
        <v>0</v>
      </c>
      <c r="C691">
        <f>セットアップレポート!B691</f>
        <v>0</v>
      </c>
      <c r="D691">
        <f>セットアップレポート!C691</f>
        <v>0</v>
      </c>
      <c r="E691">
        <f>セットアップレポート!D691</f>
        <v>0</v>
      </c>
      <c r="F691">
        <f>セットアップレポート!E691</f>
        <v>0</v>
      </c>
      <c r="G691">
        <f>セットアップレポート!F691</f>
        <v>0</v>
      </c>
      <c r="H691">
        <f>セットアップレポート!G691</f>
        <v>0</v>
      </c>
      <c r="I691">
        <f>セットアップレポート!H691</f>
        <v>0</v>
      </c>
      <c r="J691">
        <f>セットアップレポート!I691</f>
        <v>0</v>
      </c>
      <c r="K691">
        <f>セットアップレポート!J691</f>
        <v>0</v>
      </c>
      <c r="L691">
        <f>セットアップレポート!K691</f>
        <v>0</v>
      </c>
      <c r="M691">
        <f>セットアップレポート!L691</f>
        <v>0</v>
      </c>
      <c r="N691">
        <f>セットアップレポート!M691</f>
        <v>0</v>
      </c>
      <c r="O691">
        <f>セットアップレポート!N691</f>
        <v>0</v>
      </c>
      <c r="P691">
        <f>セットアップレポート!O691</f>
        <v>0</v>
      </c>
      <c r="Q691">
        <f>セットアップレポート!P691</f>
        <v>0</v>
      </c>
      <c r="R691">
        <f>セットアップレポート!Q691</f>
        <v>0</v>
      </c>
      <c r="S691">
        <f>セットアップレポート!R691</f>
        <v>0</v>
      </c>
      <c r="T691">
        <f>セットアップレポート!S691</f>
        <v>0</v>
      </c>
      <c r="U691">
        <f>セットアップレポート!T691</f>
        <v>0</v>
      </c>
      <c r="V691">
        <f>セットアップレポート!U691</f>
        <v>0</v>
      </c>
      <c r="W691">
        <f>セットアップレポート!V691</f>
        <v>0</v>
      </c>
      <c r="X691">
        <f>セットアップレポート!W691</f>
        <v>0</v>
      </c>
      <c r="Y691">
        <f>セットアップレポート!X691</f>
        <v>0</v>
      </c>
      <c r="Z691">
        <f>セットアップレポート!Y691</f>
        <v>0</v>
      </c>
      <c r="AA691">
        <f>セットアップレポート!Z691</f>
        <v>0</v>
      </c>
      <c r="AB691">
        <f>セットアップレポート!AA691</f>
        <v>0</v>
      </c>
      <c r="AC691">
        <f>セットアップレポート!AB691</f>
        <v>0</v>
      </c>
      <c r="AD691">
        <f>セットアップレポート!AC691</f>
        <v>0</v>
      </c>
      <c r="AE691">
        <f>セットアップレポート!AD691</f>
        <v>0</v>
      </c>
      <c r="AF691">
        <f>セットアップレポート!AE691</f>
        <v>0</v>
      </c>
      <c r="AG691">
        <f>セットアップレポート!AF691</f>
        <v>0</v>
      </c>
      <c r="AH691">
        <f>セットアップレポート!AG691</f>
        <v>0</v>
      </c>
    </row>
    <row r="692" spans="1:34" x14ac:dyDescent="0.45">
      <c r="A692" t="str">
        <f t="shared" si="10"/>
        <v>000</v>
      </c>
      <c r="B692">
        <f>セットアップレポート!A692</f>
        <v>0</v>
      </c>
      <c r="C692">
        <f>セットアップレポート!B692</f>
        <v>0</v>
      </c>
      <c r="D692">
        <f>セットアップレポート!C692</f>
        <v>0</v>
      </c>
      <c r="E692">
        <f>セットアップレポート!D692</f>
        <v>0</v>
      </c>
      <c r="F692">
        <f>セットアップレポート!E692</f>
        <v>0</v>
      </c>
      <c r="G692">
        <f>セットアップレポート!F692</f>
        <v>0</v>
      </c>
      <c r="H692">
        <f>セットアップレポート!G692</f>
        <v>0</v>
      </c>
      <c r="I692">
        <f>セットアップレポート!H692</f>
        <v>0</v>
      </c>
      <c r="J692">
        <f>セットアップレポート!I692</f>
        <v>0</v>
      </c>
      <c r="K692">
        <f>セットアップレポート!J692</f>
        <v>0</v>
      </c>
      <c r="L692">
        <f>セットアップレポート!K692</f>
        <v>0</v>
      </c>
      <c r="M692">
        <f>セットアップレポート!L692</f>
        <v>0</v>
      </c>
      <c r="N692">
        <f>セットアップレポート!M692</f>
        <v>0</v>
      </c>
      <c r="O692">
        <f>セットアップレポート!N692</f>
        <v>0</v>
      </c>
      <c r="P692">
        <f>セットアップレポート!O692</f>
        <v>0</v>
      </c>
      <c r="Q692">
        <f>セットアップレポート!P692</f>
        <v>0</v>
      </c>
      <c r="R692">
        <f>セットアップレポート!Q692</f>
        <v>0</v>
      </c>
      <c r="S692">
        <f>セットアップレポート!R692</f>
        <v>0</v>
      </c>
      <c r="T692">
        <f>セットアップレポート!S692</f>
        <v>0</v>
      </c>
      <c r="U692">
        <f>セットアップレポート!T692</f>
        <v>0</v>
      </c>
      <c r="V692">
        <f>セットアップレポート!U692</f>
        <v>0</v>
      </c>
      <c r="W692">
        <f>セットアップレポート!V692</f>
        <v>0</v>
      </c>
      <c r="X692">
        <f>セットアップレポート!W692</f>
        <v>0</v>
      </c>
      <c r="Y692">
        <f>セットアップレポート!X692</f>
        <v>0</v>
      </c>
      <c r="Z692">
        <f>セットアップレポート!Y692</f>
        <v>0</v>
      </c>
      <c r="AA692">
        <f>セットアップレポート!Z692</f>
        <v>0</v>
      </c>
      <c r="AB692">
        <f>セットアップレポート!AA692</f>
        <v>0</v>
      </c>
      <c r="AC692">
        <f>セットアップレポート!AB692</f>
        <v>0</v>
      </c>
      <c r="AD692">
        <f>セットアップレポート!AC692</f>
        <v>0</v>
      </c>
      <c r="AE692">
        <f>セットアップレポート!AD692</f>
        <v>0</v>
      </c>
      <c r="AF692">
        <f>セットアップレポート!AE692</f>
        <v>0</v>
      </c>
      <c r="AG692">
        <f>セットアップレポート!AF692</f>
        <v>0</v>
      </c>
      <c r="AH692">
        <f>セットアップレポート!AG692</f>
        <v>0</v>
      </c>
    </row>
    <row r="693" spans="1:34" x14ac:dyDescent="0.45">
      <c r="A693" t="str">
        <f t="shared" si="10"/>
        <v>000</v>
      </c>
      <c r="B693">
        <f>セットアップレポート!A693</f>
        <v>0</v>
      </c>
      <c r="C693">
        <f>セットアップレポート!B693</f>
        <v>0</v>
      </c>
      <c r="D693">
        <f>セットアップレポート!C693</f>
        <v>0</v>
      </c>
      <c r="E693">
        <f>セットアップレポート!D693</f>
        <v>0</v>
      </c>
      <c r="F693">
        <f>セットアップレポート!E693</f>
        <v>0</v>
      </c>
      <c r="G693">
        <f>セットアップレポート!F693</f>
        <v>0</v>
      </c>
      <c r="H693">
        <f>セットアップレポート!G693</f>
        <v>0</v>
      </c>
      <c r="I693">
        <f>セットアップレポート!H693</f>
        <v>0</v>
      </c>
      <c r="J693">
        <f>セットアップレポート!I693</f>
        <v>0</v>
      </c>
      <c r="K693">
        <f>セットアップレポート!J693</f>
        <v>0</v>
      </c>
      <c r="L693">
        <f>セットアップレポート!K693</f>
        <v>0</v>
      </c>
      <c r="M693">
        <f>セットアップレポート!L693</f>
        <v>0</v>
      </c>
      <c r="N693">
        <f>セットアップレポート!M693</f>
        <v>0</v>
      </c>
      <c r="O693">
        <f>セットアップレポート!N693</f>
        <v>0</v>
      </c>
      <c r="P693">
        <f>セットアップレポート!O693</f>
        <v>0</v>
      </c>
      <c r="Q693">
        <f>セットアップレポート!P693</f>
        <v>0</v>
      </c>
      <c r="R693">
        <f>セットアップレポート!Q693</f>
        <v>0</v>
      </c>
      <c r="S693">
        <f>セットアップレポート!R693</f>
        <v>0</v>
      </c>
      <c r="T693">
        <f>セットアップレポート!S693</f>
        <v>0</v>
      </c>
      <c r="U693">
        <f>セットアップレポート!T693</f>
        <v>0</v>
      </c>
      <c r="V693">
        <f>セットアップレポート!U693</f>
        <v>0</v>
      </c>
      <c r="W693">
        <f>セットアップレポート!V693</f>
        <v>0</v>
      </c>
      <c r="X693">
        <f>セットアップレポート!W693</f>
        <v>0</v>
      </c>
      <c r="Y693">
        <f>セットアップレポート!X693</f>
        <v>0</v>
      </c>
      <c r="Z693">
        <f>セットアップレポート!Y693</f>
        <v>0</v>
      </c>
      <c r="AA693">
        <f>セットアップレポート!Z693</f>
        <v>0</v>
      </c>
      <c r="AB693">
        <f>セットアップレポート!AA693</f>
        <v>0</v>
      </c>
      <c r="AC693">
        <f>セットアップレポート!AB693</f>
        <v>0</v>
      </c>
      <c r="AD693">
        <f>セットアップレポート!AC693</f>
        <v>0</v>
      </c>
      <c r="AE693">
        <f>セットアップレポート!AD693</f>
        <v>0</v>
      </c>
      <c r="AF693">
        <f>セットアップレポート!AE693</f>
        <v>0</v>
      </c>
      <c r="AG693">
        <f>セットアップレポート!AF693</f>
        <v>0</v>
      </c>
      <c r="AH693">
        <f>セットアップレポート!AG693</f>
        <v>0</v>
      </c>
    </row>
    <row r="694" spans="1:34" x14ac:dyDescent="0.45">
      <c r="A694" t="str">
        <f t="shared" si="10"/>
        <v>000</v>
      </c>
      <c r="B694">
        <f>セットアップレポート!A694</f>
        <v>0</v>
      </c>
      <c r="C694">
        <f>セットアップレポート!B694</f>
        <v>0</v>
      </c>
      <c r="D694">
        <f>セットアップレポート!C694</f>
        <v>0</v>
      </c>
      <c r="E694">
        <f>セットアップレポート!D694</f>
        <v>0</v>
      </c>
      <c r="F694">
        <f>セットアップレポート!E694</f>
        <v>0</v>
      </c>
      <c r="G694">
        <f>セットアップレポート!F694</f>
        <v>0</v>
      </c>
      <c r="H694">
        <f>セットアップレポート!G694</f>
        <v>0</v>
      </c>
      <c r="I694">
        <f>セットアップレポート!H694</f>
        <v>0</v>
      </c>
      <c r="J694">
        <f>セットアップレポート!I694</f>
        <v>0</v>
      </c>
      <c r="K694">
        <f>セットアップレポート!J694</f>
        <v>0</v>
      </c>
      <c r="L694">
        <f>セットアップレポート!K694</f>
        <v>0</v>
      </c>
      <c r="M694">
        <f>セットアップレポート!L694</f>
        <v>0</v>
      </c>
      <c r="N694">
        <f>セットアップレポート!M694</f>
        <v>0</v>
      </c>
      <c r="O694">
        <f>セットアップレポート!N694</f>
        <v>0</v>
      </c>
      <c r="P694">
        <f>セットアップレポート!O694</f>
        <v>0</v>
      </c>
      <c r="Q694">
        <f>セットアップレポート!P694</f>
        <v>0</v>
      </c>
      <c r="R694">
        <f>セットアップレポート!Q694</f>
        <v>0</v>
      </c>
      <c r="S694">
        <f>セットアップレポート!R694</f>
        <v>0</v>
      </c>
      <c r="T694">
        <f>セットアップレポート!S694</f>
        <v>0</v>
      </c>
      <c r="U694">
        <f>セットアップレポート!T694</f>
        <v>0</v>
      </c>
      <c r="V694">
        <f>セットアップレポート!U694</f>
        <v>0</v>
      </c>
      <c r="W694">
        <f>セットアップレポート!V694</f>
        <v>0</v>
      </c>
      <c r="X694">
        <f>セットアップレポート!W694</f>
        <v>0</v>
      </c>
      <c r="Y694">
        <f>セットアップレポート!X694</f>
        <v>0</v>
      </c>
      <c r="Z694">
        <f>セットアップレポート!Y694</f>
        <v>0</v>
      </c>
      <c r="AA694">
        <f>セットアップレポート!Z694</f>
        <v>0</v>
      </c>
      <c r="AB694">
        <f>セットアップレポート!AA694</f>
        <v>0</v>
      </c>
      <c r="AC694">
        <f>セットアップレポート!AB694</f>
        <v>0</v>
      </c>
      <c r="AD694">
        <f>セットアップレポート!AC694</f>
        <v>0</v>
      </c>
      <c r="AE694">
        <f>セットアップレポート!AD694</f>
        <v>0</v>
      </c>
      <c r="AF694">
        <f>セットアップレポート!AE694</f>
        <v>0</v>
      </c>
      <c r="AG694">
        <f>セットアップレポート!AF694</f>
        <v>0</v>
      </c>
      <c r="AH694">
        <f>セットアップレポート!AG694</f>
        <v>0</v>
      </c>
    </row>
    <row r="695" spans="1:34" x14ac:dyDescent="0.45">
      <c r="A695" t="str">
        <f t="shared" si="10"/>
        <v>000</v>
      </c>
      <c r="B695">
        <f>セットアップレポート!A695</f>
        <v>0</v>
      </c>
      <c r="C695">
        <f>セットアップレポート!B695</f>
        <v>0</v>
      </c>
      <c r="D695">
        <f>セットアップレポート!C695</f>
        <v>0</v>
      </c>
      <c r="E695">
        <f>セットアップレポート!D695</f>
        <v>0</v>
      </c>
      <c r="F695">
        <f>セットアップレポート!E695</f>
        <v>0</v>
      </c>
      <c r="G695">
        <f>セットアップレポート!F695</f>
        <v>0</v>
      </c>
      <c r="H695">
        <f>セットアップレポート!G695</f>
        <v>0</v>
      </c>
      <c r="I695">
        <f>セットアップレポート!H695</f>
        <v>0</v>
      </c>
      <c r="J695">
        <f>セットアップレポート!I695</f>
        <v>0</v>
      </c>
      <c r="K695">
        <f>セットアップレポート!J695</f>
        <v>0</v>
      </c>
      <c r="L695">
        <f>セットアップレポート!K695</f>
        <v>0</v>
      </c>
      <c r="M695">
        <f>セットアップレポート!L695</f>
        <v>0</v>
      </c>
      <c r="N695">
        <f>セットアップレポート!M695</f>
        <v>0</v>
      </c>
      <c r="O695">
        <f>セットアップレポート!N695</f>
        <v>0</v>
      </c>
      <c r="P695">
        <f>セットアップレポート!O695</f>
        <v>0</v>
      </c>
      <c r="Q695">
        <f>セットアップレポート!P695</f>
        <v>0</v>
      </c>
      <c r="R695">
        <f>セットアップレポート!Q695</f>
        <v>0</v>
      </c>
      <c r="S695">
        <f>セットアップレポート!R695</f>
        <v>0</v>
      </c>
      <c r="T695">
        <f>セットアップレポート!S695</f>
        <v>0</v>
      </c>
      <c r="U695">
        <f>セットアップレポート!T695</f>
        <v>0</v>
      </c>
      <c r="V695">
        <f>セットアップレポート!U695</f>
        <v>0</v>
      </c>
      <c r="W695">
        <f>セットアップレポート!V695</f>
        <v>0</v>
      </c>
      <c r="X695">
        <f>セットアップレポート!W695</f>
        <v>0</v>
      </c>
      <c r="Y695">
        <f>セットアップレポート!X695</f>
        <v>0</v>
      </c>
      <c r="Z695">
        <f>セットアップレポート!Y695</f>
        <v>0</v>
      </c>
      <c r="AA695">
        <f>セットアップレポート!Z695</f>
        <v>0</v>
      </c>
      <c r="AB695">
        <f>セットアップレポート!AA695</f>
        <v>0</v>
      </c>
      <c r="AC695">
        <f>セットアップレポート!AB695</f>
        <v>0</v>
      </c>
      <c r="AD695">
        <f>セットアップレポート!AC695</f>
        <v>0</v>
      </c>
      <c r="AE695">
        <f>セットアップレポート!AD695</f>
        <v>0</v>
      </c>
      <c r="AF695">
        <f>セットアップレポート!AE695</f>
        <v>0</v>
      </c>
      <c r="AG695">
        <f>セットアップレポート!AF695</f>
        <v>0</v>
      </c>
      <c r="AH695">
        <f>セットアップレポート!AG695</f>
        <v>0</v>
      </c>
    </row>
    <row r="696" spans="1:34" x14ac:dyDescent="0.45">
      <c r="A696" t="str">
        <f t="shared" si="10"/>
        <v>000</v>
      </c>
      <c r="B696">
        <f>セットアップレポート!A696</f>
        <v>0</v>
      </c>
      <c r="C696">
        <f>セットアップレポート!B696</f>
        <v>0</v>
      </c>
      <c r="D696">
        <f>セットアップレポート!C696</f>
        <v>0</v>
      </c>
      <c r="E696">
        <f>セットアップレポート!D696</f>
        <v>0</v>
      </c>
      <c r="F696">
        <f>セットアップレポート!E696</f>
        <v>0</v>
      </c>
      <c r="G696">
        <f>セットアップレポート!F696</f>
        <v>0</v>
      </c>
      <c r="H696">
        <f>セットアップレポート!G696</f>
        <v>0</v>
      </c>
      <c r="I696">
        <f>セットアップレポート!H696</f>
        <v>0</v>
      </c>
      <c r="J696">
        <f>セットアップレポート!I696</f>
        <v>0</v>
      </c>
      <c r="K696">
        <f>セットアップレポート!J696</f>
        <v>0</v>
      </c>
      <c r="L696">
        <f>セットアップレポート!K696</f>
        <v>0</v>
      </c>
      <c r="M696">
        <f>セットアップレポート!L696</f>
        <v>0</v>
      </c>
      <c r="N696">
        <f>セットアップレポート!M696</f>
        <v>0</v>
      </c>
      <c r="O696">
        <f>セットアップレポート!N696</f>
        <v>0</v>
      </c>
      <c r="P696">
        <f>セットアップレポート!O696</f>
        <v>0</v>
      </c>
      <c r="Q696">
        <f>セットアップレポート!P696</f>
        <v>0</v>
      </c>
      <c r="R696">
        <f>セットアップレポート!Q696</f>
        <v>0</v>
      </c>
      <c r="S696">
        <f>セットアップレポート!R696</f>
        <v>0</v>
      </c>
      <c r="T696">
        <f>セットアップレポート!S696</f>
        <v>0</v>
      </c>
      <c r="U696">
        <f>セットアップレポート!T696</f>
        <v>0</v>
      </c>
      <c r="V696">
        <f>セットアップレポート!U696</f>
        <v>0</v>
      </c>
      <c r="W696">
        <f>セットアップレポート!V696</f>
        <v>0</v>
      </c>
      <c r="X696">
        <f>セットアップレポート!W696</f>
        <v>0</v>
      </c>
      <c r="Y696">
        <f>セットアップレポート!X696</f>
        <v>0</v>
      </c>
      <c r="Z696">
        <f>セットアップレポート!Y696</f>
        <v>0</v>
      </c>
      <c r="AA696">
        <f>セットアップレポート!Z696</f>
        <v>0</v>
      </c>
      <c r="AB696">
        <f>セットアップレポート!AA696</f>
        <v>0</v>
      </c>
      <c r="AC696">
        <f>セットアップレポート!AB696</f>
        <v>0</v>
      </c>
      <c r="AD696">
        <f>セットアップレポート!AC696</f>
        <v>0</v>
      </c>
      <c r="AE696">
        <f>セットアップレポート!AD696</f>
        <v>0</v>
      </c>
      <c r="AF696">
        <f>セットアップレポート!AE696</f>
        <v>0</v>
      </c>
      <c r="AG696">
        <f>セットアップレポート!AF696</f>
        <v>0</v>
      </c>
      <c r="AH696">
        <f>セットアップレポート!AG696</f>
        <v>0</v>
      </c>
    </row>
    <row r="697" spans="1:34" x14ac:dyDescent="0.45">
      <c r="A697" t="str">
        <f t="shared" si="10"/>
        <v>000</v>
      </c>
      <c r="B697">
        <f>セットアップレポート!A697</f>
        <v>0</v>
      </c>
      <c r="C697">
        <f>セットアップレポート!B697</f>
        <v>0</v>
      </c>
      <c r="D697">
        <f>セットアップレポート!C697</f>
        <v>0</v>
      </c>
      <c r="E697">
        <f>セットアップレポート!D697</f>
        <v>0</v>
      </c>
      <c r="F697">
        <f>セットアップレポート!E697</f>
        <v>0</v>
      </c>
      <c r="G697">
        <f>セットアップレポート!F697</f>
        <v>0</v>
      </c>
      <c r="H697">
        <f>セットアップレポート!G697</f>
        <v>0</v>
      </c>
      <c r="I697">
        <f>セットアップレポート!H697</f>
        <v>0</v>
      </c>
      <c r="J697">
        <f>セットアップレポート!I697</f>
        <v>0</v>
      </c>
      <c r="K697">
        <f>セットアップレポート!J697</f>
        <v>0</v>
      </c>
      <c r="L697">
        <f>セットアップレポート!K697</f>
        <v>0</v>
      </c>
      <c r="M697">
        <f>セットアップレポート!L697</f>
        <v>0</v>
      </c>
      <c r="N697">
        <f>セットアップレポート!M697</f>
        <v>0</v>
      </c>
      <c r="O697">
        <f>セットアップレポート!N697</f>
        <v>0</v>
      </c>
      <c r="P697">
        <f>セットアップレポート!O697</f>
        <v>0</v>
      </c>
      <c r="Q697">
        <f>セットアップレポート!P697</f>
        <v>0</v>
      </c>
      <c r="R697">
        <f>セットアップレポート!Q697</f>
        <v>0</v>
      </c>
      <c r="S697">
        <f>セットアップレポート!R697</f>
        <v>0</v>
      </c>
      <c r="T697">
        <f>セットアップレポート!S697</f>
        <v>0</v>
      </c>
      <c r="U697">
        <f>セットアップレポート!T697</f>
        <v>0</v>
      </c>
      <c r="V697">
        <f>セットアップレポート!U697</f>
        <v>0</v>
      </c>
      <c r="W697">
        <f>セットアップレポート!V697</f>
        <v>0</v>
      </c>
      <c r="X697">
        <f>セットアップレポート!W697</f>
        <v>0</v>
      </c>
      <c r="Y697">
        <f>セットアップレポート!X697</f>
        <v>0</v>
      </c>
      <c r="Z697">
        <f>セットアップレポート!Y697</f>
        <v>0</v>
      </c>
      <c r="AA697">
        <f>セットアップレポート!Z697</f>
        <v>0</v>
      </c>
      <c r="AB697">
        <f>セットアップレポート!AA697</f>
        <v>0</v>
      </c>
      <c r="AC697">
        <f>セットアップレポート!AB697</f>
        <v>0</v>
      </c>
      <c r="AD697">
        <f>セットアップレポート!AC697</f>
        <v>0</v>
      </c>
      <c r="AE697">
        <f>セットアップレポート!AD697</f>
        <v>0</v>
      </c>
      <c r="AF697">
        <f>セットアップレポート!AE697</f>
        <v>0</v>
      </c>
      <c r="AG697">
        <f>セットアップレポート!AF697</f>
        <v>0</v>
      </c>
      <c r="AH697">
        <f>セットアップレポート!AG697</f>
        <v>0</v>
      </c>
    </row>
    <row r="698" spans="1:34" x14ac:dyDescent="0.45">
      <c r="A698" t="str">
        <f t="shared" si="10"/>
        <v>000</v>
      </c>
      <c r="B698">
        <f>セットアップレポート!A698</f>
        <v>0</v>
      </c>
      <c r="C698">
        <f>セットアップレポート!B698</f>
        <v>0</v>
      </c>
      <c r="D698">
        <f>セットアップレポート!C698</f>
        <v>0</v>
      </c>
      <c r="E698">
        <f>セットアップレポート!D698</f>
        <v>0</v>
      </c>
      <c r="F698">
        <f>セットアップレポート!E698</f>
        <v>0</v>
      </c>
      <c r="G698">
        <f>セットアップレポート!F698</f>
        <v>0</v>
      </c>
      <c r="H698">
        <f>セットアップレポート!G698</f>
        <v>0</v>
      </c>
      <c r="I698">
        <f>セットアップレポート!H698</f>
        <v>0</v>
      </c>
      <c r="J698">
        <f>セットアップレポート!I698</f>
        <v>0</v>
      </c>
      <c r="K698">
        <f>セットアップレポート!J698</f>
        <v>0</v>
      </c>
      <c r="L698">
        <f>セットアップレポート!K698</f>
        <v>0</v>
      </c>
      <c r="M698">
        <f>セットアップレポート!L698</f>
        <v>0</v>
      </c>
      <c r="N698">
        <f>セットアップレポート!M698</f>
        <v>0</v>
      </c>
      <c r="O698">
        <f>セットアップレポート!N698</f>
        <v>0</v>
      </c>
      <c r="P698">
        <f>セットアップレポート!O698</f>
        <v>0</v>
      </c>
      <c r="Q698">
        <f>セットアップレポート!P698</f>
        <v>0</v>
      </c>
      <c r="R698">
        <f>セットアップレポート!Q698</f>
        <v>0</v>
      </c>
      <c r="S698">
        <f>セットアップレポート!R698</f>
        <v>0</v>
      </c>
      <c r="T698">
        <f>セットアップレポート!S698</f>
        <v>0</v>
      </c>
      <c r="U698">
        <f>セットアップレポート!T698</f>
        <v>0</v>
      </c>
      <c r="V698">
        <f>セットアップレポート!U698</f>
        <v>0</v>
      </c>
      <c r="W698">
        <f>セットアップレポート!V698</f>
        <v>0</v>
      </c>
      <c r="X698">
        <f>セットアップレポート!W698</f>
        <v>0</v>
      </c>
      <c r="Y698">
        <f>セットアップレポート!X698</f>
        <v>0</v>
      </c>
      <c r="Z698">
        <f>セットアップレポート!Y698</f>
        <v>0</v>
      </c>
      <c r="AA698">
        <f>セットアップレポート!Z698</f>
        <v>0</v>
      </c>
      <c r="AB698">
        <f>セットアップレポート!AA698</f>
        <v>0</v>
      </c>
      <c r="AC698">
        <f>セットアップレポート!AB698</f>
        <v>0</v>
      </c>
      <c r="AD698">
        <f>セットアップレポート!AC698</f>
        <v>0</v>
      </c>
      <c r="AE698">
        <f>セットアップレポート!AD698</f>
        <v>0</v>
      </c>
      <c r="AF698">
        <f>セットアップレポート!AE698</f>
        <v>0</v>
      </c>
      <c r="AG698">
        <f>セットアップレポート!AF698</f>
        <v>0</v>
      </c>
      <c r="AH698">
        <f>セットアップレポート!AG698</f>
        <v>0</v>
      </c>
    </row>
    <row r="699" spans="1:34" x14ac:dyDescent="0.45">
      <c r="A699" t="str">
        <f t="shared" si="10"/>
        <v>000</v>
      </c>
      <c r="B699">
        <f>セットアップレポート!A699</f>
        <v>0</v>
      </c>
      <c r="C699">
        <f>セットアップレポート!B699</f>
        <v>0</v>
      </c>
      <c r="D699">
        <f>セットアップレポート!C699</f>
        <v>0</v>
      </c>
      <c r="E699">
        <f>セットアップレポート!D699</f>
        <v>0</v>
      </c>
      <c r="F699">
        <f>セットアップレポート!E699</f>
        <v>0</v>
      </c>
      <c r="G699">
        <f>セットアップレポート!F699</f>
        <v>0</v>
      </c>
      <c r="H699">
        <f>セットアップレポート!G699</f>
        <v>0</v>
      </c>
      <c r="I699">
        <f>セットアップレポート!H699</f>
        <v>0</v>
      </c>
      <c r="J699">
        <f>セットアップレポート!I699</f>
        <v>0</v>
      </c>
      <c r="K699">
        <f>セットアップレポート!J699</f>
        <v>0</v>
      </c>
      <c r="L699">
        <f>セットアップレポート!K699</f>
        <v>0</v>
      </c>
      <c r="M699">
        <f>セットアップレポート!L699</f>
        <v>0</v>
      </c>
      <c r="N699">
        <f>セットアップレポート!M699</f>
        <v>0</v>
      </c>
      <c r="O699">
        <f>セットアップレポート!N699</f>
        <v>0</v>
      </c>
      <c r="P699">
        <f>セットアップレポート!O699</f>
        <v>0</v>
      </c>
      <c r="Q699">
        <f>セットアップレポート!P699</f>
        <v>0</v>
      </c>
      <c r="R699">
        <f>セットアップレポート!Q699</f>
        <v>0</v>
      </c>
      <c r="S699">
        <f>セットアップレポート!R699</f>
        <v>0</v>
      </c>
      <c r="T699">
        <f>セットアップレポート!S699</f>
        <v>0</v>
      </c>
      <c r="U699">
        <f>セットアップレポート!T699</f>
        <v>0</v>
      </c>
      <c r="V699">
        <f>セットアップレポート!U699</f>
        <v>0</v>
      </c>
      <c r="W699">
        <f>セットアップレポート!V699</f>
        <v>0</v>
      </c>
      <c r="X699">
        <f>セットアップレポート!W699</f>
        <v>0</v>
      </c>
      <c r="Y699">
        <f>セットアップレポート!X699</f>
        <v>0</v>
      </c>
      <c r="Z699">
        <f>セットアップレポート!Y699</f>
        <v>0</v>
      </c>
      <c r="AA699">
        <f>セットアップレポート!Z699</f>
        <v>0</v>
      </c>
      <c r="AB699">
        <f>セットアップレポート!AA699</f>
        <v>0</v>
      </c>
      <c r="AC699">
        <f>セットアップレポート!AB699</f>
        <v>0</v>
      </c>
      <c r="AD699">
        <f>セットアップレポート!AC699</f>
        <v>0</v>
      </c>
      <c r="AE699">
        <f>セットアップレポート!AD699</f>
        <v>0</v>
      </c>
      <c r="AF699">
        <f>セットアップレポート!AE699</f>
        <v>0</v>
      </c>
      <c r="AG699">
        <f>セットアップレポート!AF699</f>
        <v>0</v>
      </c>
      <c r="AH699">
        <f>セットアップレポート!AG699</f>
        <v>0</v>
      </c>
    </row>
    <row r="700" spans="1:34" x14ac:dyDescent="0.45">
      <c r="A700" t="str">
        <f t="shared" si="10"/>
        <v>000</v>
      </c>
      <c r="B700">
        <f>セットアップレポート!A700</f>
        <v>0</v>
      </c>
      <c r="C700">
        <f>セットアップレポート!B700</f>
        <v>0</v>
      </c>
      <c r="D700">
        <f>セットアップレポート!C700</f>
        <v>0</v>
      </c>
      <c r="E700">
        <f>セットアップレポート!D700</f>
        <v>0</v>
      </c>
      <c r="F700">
        <f>セットアップレポート!E700</f>
        <v>0</v>
      </c>
      <c r="G700">
        <f>セットアップレポート!F700</f>
        <v>0</v>
      </c>
      <c r="H700">
        <f>セットアップレポート!G700</f>
        <v>0</v>
      </c>
      <c r="I700">
        <f>セットアップレポート!H700</f>
        <v>0</v>
      </c>
      <c r="J700">
        <f>セットアップレポート!I700</f>
        <v>0</v>
      </c>
      <c r="K700">
        <f>セットアップレポート!J700</f>
        <v>0</v>
      </c>
      <c r="L700">
        <f>セットアップレポート!K700</f>
        <v>0</v>
      </c>
      <c r="M700">
        <f>セットアップレポート!L700</f>
        <v>0</v>
      </c>
      <c r="N700">
        <f>セットアップレポート!M700</f>
        <v>0</v>
      </c>
      <c r="O700">
        <f>セットアップレポート!N700</f>
        <v>0</v>
      </c>
      <c r="P700">
        <f>セットアップレポート!O700</f>
        <v>0</v>
      </c>
      <c r="Q700">
        <f>セットアップレポート!P700</f>
        <v>0</v>
      </c>
      <c r="R700">
        <f>セットアップレポート!Q700</f>
        <v>0</v>
      </c>
      <c r="S700">
        <f>セットアップレポート!R700</f>
        <v>0</v>
      </c>
      <c r="T700">
        <f>セットアップレポート!S700</f>
        <v>0</v>
      </c>
      <c r="U700">
        <f>セットアップレポート!T700</f>
        <v>0</v>
      </c>
      <c r="V700">
        <f>セットアップレポート!U700</f>
        <v>0</v>
      </c>
      <c r="W700">
        <f>セットアップレポート!V700</f>
        <v>0</v>
      </c>
      <c r="X700">
        <f>セットアップレポート!W700</f>
        <v>0</v>
      </c>
      <c r="Y700">
        <f>セットアップレポート!X700</f>
        <v>0</v>
      </c>
      <c r="Z700">
        <f>セットアップレポート!Y700</f>
        <v>0</v>
      </c>
      <c r="AA700">
        <f>セットアップレポート!Z700</f>
        <v>0</v>
      </c>
      <c r="AB700">
        <f>セットアップレポート!AA700</f>
        <v>0</v>
      </c>
      <c r="AC700">
        <f>セットアップレポート!AB700</f>
        <v>0</v>
      </c>
      <c r="AD700">
        <f>セットアップレポート!AC700</f>
        <v>0</v>
      </c>
      <c r="AE700">
        <f>セットアップレポート!AD700</f>
        <v>0</v>
      </c>
      <c r="AF700">
        <f>セットアップレポート!AE700</f>
        <v>0</v>
      </c>
      <c r="AG700">
        <f>セットアップレポート!AF700</f>
        <v>0</v>
      </c>
      <c r="AH700">
        <f>セットアップレポート!AG700</f>
        <v>0</v>
      </c>
    </row>
    <row r="701" spans="1:34" x14ac:dyDescent="0.45">
      <c r="A701" t="str">
        <f t="shared" si="10"/>
        <v>000</v>
      </c>
      <c r="B701">
        <f>セットアップレポート!A701</f>
        <v>0</v>
      </c>
      <c r="C701">
        <f>セットアップレポート!B701</f>
        <v>0</v>
      </c>
      <c r="D701">
        <f>セットアップレポート!C701</f>
        <v>0</v>
      </c>
      <c r="E701">
        <f>セットアップレポート!D701</f>
        <v>0</v>
      </c>
      <c r="F701">
        <f>セットアップレポート!E701</f>
        <v>0</v>
      </c>
      <c r="G701">
        <f>セットアップレポート!F701</f>
        <v>0</v>
      </c>
      <c r="H701">
        <f>セットアップレポート!G701</f>
        <v>0</v>
      </c>
      <c r="I701">
        <f>セットアップレポート!H701</f>
        <v>0</v>
      </c>
      <c r="J701">
        <f>セットアップレポート!I701</f>
        <v>0</v>
      </c>
      <c r="K701">
        <f>セットアップレポート!J701</f>
        <v>0</v>
      </c>
      <c r="L701">
        <f>セットアップレポート!K701</f>
        <v>0</v>
      </c>
      <c r="M701">
        <f>セットアップレポート!L701</f>
        <v>0</v>
      </c>
      <c r="N701">
        <f>セットアップレポート!M701</f>
        <v>0</v>
      </c>
      <c r="O701">
        <f>セットアップレポート!N701</f>
        <v>0</v>
      </c>
      <c r="P701">
        <f>セットアップレポート!O701</f>
        <v>0</v>
      </c>
      <c r="Q701">
        <f>セットアップレポート!P701</f>
        <v>0</v>
      </c>
      <c r="R701">
        <f>セットアップレポート!Q701</f>
        <v>0</v>
      </c>
      <c r="S701">
        <f>セットアップレポート!R701</f>
        <v>0</v>
      </c>
      <c r="T701">
        <f>セットアップレポート!S701</f>
        <v>0</v>
      </c>
      <c r="U701">
        <f>セットアップレポート!T701</f>
        <v>0</v>
      </c>
      <c r="V701">
        <f>セットアップレポート!U701</f>
        <v>0</v>
      </c>
      <c r="W701">
        <f>セットアップレポート!V701</f>
        <v>0</v>
      </c>
      <c r="X701">
        <f>セットアップレポート!W701</f>
        <v>0</v>
      </c>
      <c r="Y701">
        <f>セットアップレポート!X701</f>
        <v>0</v>
      </c>
      <c r="Z701">
        <f>セットアップレポート!Y701</f>
        <v>0</v>
      </c>
      <c r="AA701">
        <f>セットアップレポート!Z701</f>
        <v>0</v>
      </c>
      <c r="AB701">
        <f>セットアップレポート!AA701</f>
        <v>0</v>
      </c>
      <c r="AC701">
        <f>セットアップレポート!AB701</f>
        <v>0</v>
      </c>
      <c r="AD701">
        <f>セットアップレポート!AC701</f>
        <v>0</v>
      </c>
      <c r="AE701">
        <f>セットアップレポート!AD701</f>
        <v>0</v>
      </c>
      <c r="AF701">
        <f>セットアップレポート!AE701</f>
        <v>0</v>
      </c>
      <c r="AG701">
        <f>セットアップレポート!AF701</f>
        <v>0</v>
      </c>
      <c r="AH701">
        <f>セットアップレポート!AG701</f>
        <v>0</v>
      </c>
    </row>
    <row r="702" spans="1:34" x14ac:dyDescent="0.45">
      <c r="A702" t="str">
        <f t="shared" si="10"/>
        <v>000</v>
      </c>
      <c r="B702">
        <f>セットアップレポート!A702</f>
        <v>0</v>
      </c>
      <c r="C702">
        <f>セットアップレポート!B702</f>
        <v>0</v>
      </c>
      <c r="D702">
        <f>セットアップレポート!C702</f>
        <v>0</v>
      </c>
      <c r="E702">
        <f>セットアップレポート!D702</f>
        <v>0</v>
      </c>
      <c r="F702">
        <f>セットアップレポート!E702</f>
        <v>0</v>
      </c>
      <c r="G702">
        <f>セットアップレポート!F702</f>
        <v>0</v>
      </c>
      <c r="H702">
        <f>セットアップレポート!G702</f>
        <v>0</v>
      </c>
      <c r="I702">
        <f>セットアップレポート!H702</f>
        <v>0</v>
      </c>
      <c r="J702">
        <f>セットアップレポート!I702</f>
        <v>0</v>
      </c>
      <c r="K702">
        <f>セットアップレポート!J702</f>
        <v>0</v>
      </c>
      <c r="L702">
        <f>セットアップレポート!K702</f>
        <v>0</v>
      </c>
      <c r="M702">
        <f>セットアップレポート!L702</f>
        <v>0</v>
      </c>
      <c r="N702">
        <f>セットアップレポート!M702</f>
        <v>0</v>
      </c>
      <c r="O702">
        <f>セットアップレポート!N702</f>
        <v>0</v>
      </c>
      <c r="P702">
        <f>セットアップレポート!O702</f>
        <v>0</v>
      </c>
      <c r="Q702">
        <f>セットアップレポート!P702</f>
        <v>0</v>
      </c>
      <c r="R702">
        <f>セットアップレポート!Q702</f>
        <v>0</v>
      </c>
      <c r="S702">
        <f>セットアップレポート!R702</f>
        <v>0</v>
      </c>
      <c r="T702">
        <f>セットアップレポート!S702</f>
        <v>0</v>
      </c>
      <c r="U702">
        <f>セットアップレポート!T702</f>
        <v>0</v>
      </c>
      <c r="V702">
        <f>セットアップレポート!U702</f>
        <v>0</v>
      </c>
      <c r="W702">
        <f>セットアップレポート!V702</f>
        <v>0</v>
      </c>
      <c r="X702">
        <f>セットアップレポート!W702</f>
        <v>0</v>
      </c>
      <c r="Y702">
        <f>セットアップレポート!X702</f>
        <v>0</v>
      </c>
      <c r="Z702">
        <f>セットアップレポート!Y702</f>
        <v>0</v>
      </c>
      <c r="AA702">
        <f>セットアップレポート!Z702</f>
        <v>0</v>
      </c>
      <c r="AB702">
        <f>セットアップレポート!AA702</f>
        <v>0</v>
      </c>
      <c r="AC702">
        <f>セットアップレポート!AB702</f>
        <v>0</v>
      </c>
      <c r="AD702">
        <f>セットアップレポート!AC702</f>
        <v>0</v>
      </c>
      <c r="AE702">
        <f>セットアップレポート!AD702</f>
        <v>0</v>
      </c>
      <c r="AF702">
        <f>セットアップレポート!AE702</f>
        <v>0</v>
      </c>
      <c r="AG702">
        <f>セットアップレポート!AF702</f>
        <v>0</v>
      </c>
      <c r="AH702">
        <f>セットアップレポート!AG702</f>
        <v>0</v>
      </c>
    </row>
    <row r="703" spans="1:34" x14ac:dyDescent="0.45">
      <c r="A703" t="str">
        <f t="shared" si="10"/>
        <v>000</v>
      </c>
      <c r="B703">
        <f>セットアップレポート!A703</f>
        <v>0</v>
      </c>
      <c r="C703">
        <f>セットアップレポート!B703</f>
        <v>0</v>
      </c>
      <c r="D703">
        <f>セットアップレポート!C703</f>
        <v>0</v>
      </c>
      <c r="E703">
        <f>セットアップレポート!D703</f>
        <v>0</v>
      </c>
      <c r="F703">
        <f>セットアップレポート!E703</f>
        <v>0</v>
      </c>
      <c r="G703">
        <f>セットアップレポート!F703</f>
        <v>0</v>
      </c>
      <c r="H703">
        <f>セットアップレポート!G703</f>
        <v>0</v>
      </c>
      <c r="I703">
        <f>セットアップレポート!H703</f>
        <v>0</v>
      </c>
      <c r="J703">
        <f>セットアップレポート!I703</f>
        <v>0</v>
      </c>
      <c r="K703">
        <f>セットアップレポート!J703</f>
        <v>0</v>
      </c>
      <c r="L703">
        <f>セットアップレポート!K703</f>
        <v>0</v>
      </c>
      <c r="M703">
        <f>セットアップレポート!L703</f>
        <v>0</v>
      </c>
      <c r="N703">
        <f>セットアップレポート!M703</f>
        <v>0</v>
      </c>
      <c r="O703">
        <f>セットアップレポート!N703</f>
        <v>0</v>
      </c>
      <c r="P703">
        <f>セットアップレポート!O703</f>
        <v>0</v>
      </c>
      <c r="Q703">
        <f>セットアップレポート!P703</f>
        <v>0</v>
      </c>
      <c r="R703">
        <f>セットアップレポート!Q703</f>
        <v>0</v>
      </c>
      <c r="S703">
        <f>セットアップレポート!R703</f>
        <v>0</v>
      </c>
      <c r="T703">
        <f>セットアップレポート!S703</f>
        <v>0</v>
      </c>
      <c r="U703">
        <f>セットアップレポート!T703</f>
        <v>0</v>
      </c>
      <c r="V703">
        <f>セットアップレポート!U703</f>
        <v>0</v>
      </c>
      <c r="W703">
        <f>セットアップレポート!V703</f>
        <v>0</v>
      </c>
      <c r="X703">
        <f>セットアップレポート!W703</f>
        <v>0</v>
      </c>
      <c r="Y703">
        <f>セットアップレポート!X703</f>
        <v>0</v>
      </c>
      <c r="Z703">
        <f>セットアップレポート!Y703</f>
        <v>0</v>
      </c>
      <c r="AA703">
        <f>セットアップレポート!Z703</f>
        <v>0</v>
      </c>
      <c r="AB703">
        <f>セットアップレポート!AA703</f>
        <v>0</v>
      </c>
      <c r="AC703">
        <f>セットアップレポート!AB703</f>
        <v>0</v>
      </c>
      <c r="AD703">
        <f>セットアップレポート!AC703</f>
        <v>0</v>
      </c>
      <c r="AE703">
        <f>セットアップレポート!AD703</f>
        <v>0</v>
      </c>
      <c r="AF703">
        <f>セットアップレポート!AE703</f>
        <v>0</v>
      </c>
      <c r="AG703">
        <f>セットアップレポート!AF703</f>
        <v>0</v>
      </c>
      <c r="AH703">
        <f>セットアップレポート!AG703</f>
        <v>0</v>
      </c>
    </row>
    <row r="704" spans="1:34" x14ac:dyDescent="0.45">
      <c r="A704" t="str">
        <f t="shared" si="10"/>
        <v>000</v>
      </c>
      <c r="B704">
        <f>セットアップレポート!A704</f>
        <v>0</v>
      </c>
      <c r="C704">
        <f>セットアップレポート!B704</f>
        <v>0</v>
      </c>
      <c r="D704">
        <f>セットアップレポート!C704</f>
        <v>0</v>
      </c>
      <c r="E704">
        <f>セットアップレポート!D704</f>
        <v>0</v>
      </c>
      <c r="F704">
        <f>セットアップレポート!E704</f>
        <v>0</v>
      </c>
      <c r="G704">
        <f>セットアップレポート!F704</f>
        <v>0</v>
      </c>
      <c r="H704">
        <f>セットアップレポート!G704</f>
        <v>0</v>
      </c>
      <c r="I704">
        <f>セットアップレポート!H704</f>
        <v>0</v>
      </c>
      <c r="J704">
        <f>セットアップレポート!I704</f>
        <v>0</v>
      </c>
      <c r="K704">
        <f>セットアップレポート!J704</f>
        <v>0</v>
      </c>
      <c r="L704">
        <f>セットアップレポート!K704</f>
        <v>0</v>
      </c>
      <c r="M704">
        <f>セットアップレポート!L704</f>
        <v>0</v>
      </c>
      <c r="N704">
        <f>セットアップレポート!M704</f>
        <v>0</v>
      </c>
      <c r="O704">
        <f>セットアップレポート!N704</f>
        <v>0</v>
      </c>
      <c r="P704">
        <f>セットアップレポート!O704</f>
        <v>0</v>
      </c>
      <c r="Q704">
        <f>セットアップレポート!P704</f>
        <v>0</v>
      </c>
      <c r="R704">
        <f>セットアップレポート!Q704</f>
        <v>0</v>
      </c>
      <c r="S704">
        <f>セットアップレポート!R704</f>
        <v>0</v>
      </c>
      <c r="T704">
        <f>セットアップレポート!S704</f>
        <v>0</v>
      </c>
      <c r="U704">
        <f>セットアップレポート!T704</f>
        <v>0</v>
      </c>
      <c r="V704">
        <f>セットアップレポート!U704</f>
        <v>0</v>
      </c>
      <c r="W704">
        <f>セットアップレポート!V704</f>
        <v>0</v>
      </c>
      <c r="X704">
        <f>セットアップレポート!W704</f>
        <v>0</v>
      </c>
      <c r="Y704">
        <f>セットアップレポート!X704</f>
        <v>0</v>
      </c>
      <c r="Z704">
        <f>セットアップレポート!Y704</f>
        <v>0</v>
      </c>
      <c r="AA704">
        <f>セットアップレポート!Z704</f>
        <v>0</v>
      </c>
      <c r="AB704">
        <f>セットアップレポート!AA704</f>
        <v>0</v>
      </c>
      <c r="AC704">
        <f>セットアップレポート!AB704</f>
        <v>0</v>
      </c>
      <c r="AD704">
        <f>セットアップレポート!AC704</f>
        <v>0</v>
      </c>
      <c r="AE704">
        <f>セットアップレポート!AD704</f>
        <v>0</v>
      </c>
      <c r="AF704">
        <f>セットアップレポート!AE704</f>
        <v>0</v>
      </c>
      <c r="AG704">
        <f>セットアップレポート!AF704</f>
        <v>0</v>
      </c>
      <c r="AH704">
        <f>セットアップレポート!AG704</f>
        <v>0</v>
      </c>
    </row>
    <row r="705" spans="1:34" x14ac:dyDescent="0.45">
      <c r="A705" t="str">
        <f t="shared" si="10"/>
        <v>000</v>
      </c>
      <c r="B705">
        <f>セットアップレポート!A705</f>
        <v>0</v>
      </c>
      <c r="C705">
        <f>セットアップレポート!B705</f>
        <v>0</v>
      </c>
      <c r="D705">
        <f>セットアップレポート!C705</f>
        <v>0</v>
      </c>
      <c r="E705">
        <f>セットアップレポート!D705</f>
        <v>0</v>
      </c>
      <c r="F705">
        <f>セットアップレポート!E705</f>
        <v>0</v>
      </c>
      <c r="G705">
        <f>セットアップレポート!F705</f>
        <v>0</v>
      </c>
      <c r="H705">
        <f>セットアップレポート!G705</f>
        <v>0</v>
      </c>
      <c r="I705">
        <f>セットアップレポート!H705</f>
        <v>0</v>
      </c>
      <c r="J705">
        <f>セットアップレポート!I705</f>
        <v>0</v>
      </c>
      <c r="K705">
        <f>セットアップレポート!J705</f>
        <v>0</v>
      </c>
      <c r="L705">
        <f>セットアップレポート!K705</f>
        <v>0</v>
      </c>
      <c r="M705">
        <f>セットアップレポート!L705</f>
        <v>0</v>
      </c>
      <c r="N705">
        <f>セットアップレポート!M705</f>
        <v>0</v>
      </c>
      <c r="O705">
        <f>セットアップレポート!N705</f>
        <v>0</v>
      </c>
      <c r="P705">
        <f>セットアップレポート!O705</f>
        <v>0</v>
      </c>
      <c r="Q705">
        <f>セットアップレポート!P705</f>
        <v>0</v>
      </c>
      <c r="R705">
        <f>セットアップレポート!Q705</f>
        <v>0</v>
      </c>
      <c r="S705">
        <f>セットアップレポート!R705</f>
        <v>0</v>
      </c>
      <c r="T705">
        <f>セットアップレポート!S705</f>
        <v>0</v>
      </c>
      <c r="U705">
        <f>セットアップレポート!T705</f>
        <v>0</v>
      </c>
      <c r="V705">
        <f>セットアップレポート!U705</f>
        <v>0</v>
      </c>
      <c r="W705">
        <f>セットアップレポート!V705</f>
        <v>0</v>
      </c>
      <c r="X705">
        <f>セットアップレポート!W705</f>
        <v>0</v>
      </c>
      <c r="Y705">
        <f>セットアップレポート!X705</f>
        <v>0</v>
      </c>
      <c r="Z705">
        <f>セットアップレポート!Y705</f>
        <v>0</v>
      </c>
      <c r="AA705">
        <f>セットアップレポート!Z705</f>
        <v>0</v>
      </c>
      <c r="AB705">
        <f>セットアップレポート!AA705</f>
        <v>0</v>
      </c>
      <c r="AC705">
        <f>セットアップレポート!AB705</f>
        <v>0</v>
      </c>
      <c r="AD705">
        <f>セットアップレポート!AC705</f>
        <v>0</v>
      </c>
      <c r="AE705">
        <f>セットアップレポート!AD705</f>
        <v>0</v>
      </c>
      <c r="AF705">
        <f>セットアップレポート!AE705</f>
        <v>0</v>
      </c>
      <c r="AG705">
        <f>セットアップレポート!AF705</f>
        <v>0</v>
      </c>
      <c r="AH705">
        <f>セットアップレポート!AG705</f>
        <v>0</v>
      </c>
    </row>
    <row r="706" spans="1:34" x14ac:dyDescent="0.45">
      <c r="A706" t="str">
        <f t="shared" si="10"/>
        <v>000</v>
      </c>
      <c r="B706">
        <f>セットアップレポート!A706</f>
        <v>0</v>
      </c>
      <c r="C706">
        <f>セットアップレポート!B706</f>
        <v>0</v>
      </c>
      <c r="D706">
        <f>セットアップレポート!C706</f>
        <v>0</v>
      </c>
      <c r="E706">
        <f>セットアップレポート!D706</f>
        <v>0</v>
      </c>
      <c r="F706">
        <f>セットアップレポート!E706</f>
        <v>0</v>
      </c>
      <c r="G706">
        <f>セットアップレポート!F706</f>
        <v>0</v>
      </c>
      <c r="H706">
        <f>セットアップレポート!G706</f>
        <v>0</v>
      </c>
      <c r="I706">
        <f>セットアップレポート!H706</f>
        <v>0</v>
      </c>
      <c r="J706">
        <f>セットアップレポート!I706</f>
        <v>0</v>
      </c>
      <c r="K706">
        <f>セットアップレポート!J706</f>
        <v>0</v>
      </c>
      <c r="L706">
        <f>セットアップレポート!K706</f>
        <v>0</v>
      </c>
      <c r="M706">
        <f>セットアップレポート!L706</f>
        <v>0</v>
      </c>
      <c r="N706">
        <f>セットアップレポート!M706</f>
        <v>0</v>
      </c>
      <c r="O706">
        <f>セットアップレポート!N706</f>
        <v>0</v>
      </c>
      <c r="P706">
        <f>セットアップレポート!O706</f>
        <v>0</v>
      </c>
      <c r="Q706">
        <f>セットアップレポート!P706</f>
        <v>0</v>
      </c>
      <c r="R706">
        <f>セットアップレポート!Q706</f>
        <v>0</v>
      </c>
      <c r="S706">
        <f>セットアップレポート!R706</f>
        <v>0</v>
      </c>
      <c r="T706">
        <f>セットアップレポート!S706</f>
        <v>0</v>
      </c>
      <c r="U706">
        <f>セットアップレポート!T706</f>
        <v>0</v>
      </c>
      <c r="V706">
        <f>セットアップレポート!U706</f>
        <v>0</v>
      </c>
      <c r="W706">
        <f>セットアップレポート!V706</f>
        <v>0</v>
      </c>
      <c r="X706">
        <f>セットアップレポート!W706</f>
        <v>0</v>
      </c>
      <c r="Y706">
        <f>セットアップレポート!X706</f>
        <v>0</v>
      </c>
      <c r="Z706">
        <f>セットアップレポート!Y706</f>
        <v>0</v>
      </c>
      <c r="AA706">
        <f>セットアップレポート!Z706</f>
        <v>0</v>
      </c>
      <c r="AB706">
        <f>セットアップレポート!AA706</f>
        <v>0</v>
      </c>
      <c r="AC706">
        <f>セットアップレポート!AB706</f>
        <v>0</v>
      </c>
      <c r="AD706">
        <f>セットアップレポート!AC706</f>
        <v>0</v>
      </c>
      <c r="AE706">
        <f>セットアップレポート!AD706</f>
        <v>0</v>
      </c>
      <c r="AF706">
        <f>セットアップレポート!AE706</f>
        <v>0</v>
      </c>
      <c r="AG706">
        <f>セットアップレポート!AF706</f>
        <v>0</v>
      </c>
      <c r="AH706">
        <f>セットアップレポート!AG706</f>
        <v>0</v>
      </c>
    </row>
    <row r="707" spans="1:34" x14ac:dyDescent="0.45">
      <c r="A707" t="str">
        <f t="shared" ref="A707:A770" si="11">C707&amp;RIGHT(G707,5)&amp;K707</f>
        <v>000</v>
      </c>
      <c r="B707">
        <f>セットアップレポート!A707</f>
        <v>0</v>
      </c>
      <c r="C707">
        <f>セットアップレポート!B707</f>
        <v>0</v>
      </c>
      <c r="D707">
        <f>セットアップレポート!C707</f>
        <v>0</v>
      </c>
      <c r="E707">
        <f>セットアップレポート!D707</f>
        <v>0</v>
      </c>
      <c r="F707">
        <f>セットアップレポート!E707</f>
        <v>0</v>
      </c>
      <c r="G707">
        <f>セットアップレポート!F707</f>
        <v>0</v>
      </c>
      <c r="H707">
        <f>セットアップレポート!G707</f>
        <v>0</v>
      </c>
      <c r="I707">
        <f>セットアップレポート!H707</f>
        <v>0</v>
      </c>
      <c r="J707">
        <f>セットアップレポート!I707</f>
        <v>0</v>
      </c>
      <c r="K707">
        <f>セットアップレポート!J707</f>
        <v>0</v>
      </c>
      <c r="L707">
        <f>セットアップレポート!K707</f>
        <v>0</v>
      </c>
      <c r="M707">
        <f>セットアップレポート!L707</f>
        <v>0</v>
      </c>
      <c r="N707">
        <f>セットアップレポート!M707</f>
        <v>0</v>
      </c>
      <c r="O707">
        <f>セットアップレポート!N707</f>
        <v>0</v>
      </c>
      <c r="P707">
        <f>セットアップレポート!O707</f>
        <v>0</v>
      </c>
      <c r="Q707">
        <f>セットアップレポート!P707</f>
        <v>0</v>
      </c>
      <c r="R707">
        <f>セットアップレポート!Q707</f>
        <v>0</v>
      </c>
      <c r="S707">
        <f>セットアップレポート!R707</f>
        <v>0</v>
      </c>
      <c r="T707">
        <f>セットアップレポート!S707</f>
        <v>0</v>
      </c>
      <c r="U707">
        <f>セットアップレポート!T707</f>
        <v>0</v>
      </c>
      <c r="V707">
        <f>セットアップレポート!U707</f>
        <v>0</v>
      </c>
      <c r="W707">
        <f>セットアップレポート!V707</f>
        <v>0</v>
      </c>
      <c r="X707">
        <f>セットアップレポート!W707</f>
        <v>0</v>
      </c>
      <c r="Y707">
        <f>セットアップレポート!X707</f>
        <v>0</v>
      </c>
      <c r="Z707">
        <f>セットアップレポート!Y707</f>
        <v>0</v>
      </c>
      <c r="AA707">
        <f>セットアップレポート!Z707</f>
        <v>0</v>
      </c>
      <c r="AB707">
        <f>セットアップレポート!AA707</f>
        <v>0</v>
      </c>
      <c r="AC707">
        <f>セットアップレポート!AB707</f>
        <v>0</v>
      </c>
      <c r="AD707">
        <f>セットアップレポート!AC707</f>
        <v>0</v>
      </c>
      <c r="AE707">
        <f>セットアップレポート!AD707</f>
        <v>0</v>
      </c>
      <c r="AF707">
        <f>セットアップレポート!AE707</f>
        <v>0</v>
      </c>
      <c r="AG707">
        <f>セットアップレポート!AF707</f>
        <v>0</v>
      </c>
      <c r="AH707">
        <f>セットアップレポート!AG707</f>
        <v>0</v>
      </c>
    </row>
    <row r="708" spans="1:34" x14ac:dyDescent="0.45">
      <c r="A708" t="str">
        <f t="shared" si="11"/>
        <v>000</v>
      </c>
      <c r="B708">
        <f>セットアップレポート!A708</f>
        <v>0</v>
      </c>
      <c r="C708">
        <f>セットアップレポート!B708</f>
        <v>0</v>
      </c>
      <c r="D708">
        <f>セットアップレポート!C708</f>
        <v>0</v>
      </c>
      <c r="E708">
        <f>セットアップレポート!D708</f>
        <v>0</v>
      </c>
      <c r="F708">
        <f>セットアップレポート!E708</f>
        <v>0</v>
      </c>
      <c r="G708">
        <f>セットアップレポート!F708</f>
        <v>0</v>
      </c>
      <c r="H708">
        <f>セットアップレポート!G708</f>
        <v>0</v>
      </c>
      <c r="I708">
        <f>セットアップレポート!H708</f>
        <v>0</v>
      </c>
      <c r="J708">
        <f>セットアップレポート!I708</f>
        <v>0</v>
      </c>
      <c r="K708">
        <f>セットアップレポート!J708</f>
        <v>0</v>
      </c>
      <c r="L708">
        <f>セットアップレポート!K708</f>
        <v>0</v>
      </c>
      <c r="M708">
        <f>セットアップレポート!L708</f>
        <v>0</v>
      </c>
      <c r="N708">
        <f>セットアップレポート!M708</f>
        <v>0</v>
      </c>
      <c r="O708">
        <f>セットアップレポート!N708</f>
        <v>0</v>
      </c>
      <c r="P708">
        <f>セットアップレポート!O708</f>
        <v>0</v>
      </c>
      <c r="Q708">
        <f>セットアップレポート!P708</f>
        <v>0</v>
      </c>
      <c r="R708">
        <f>セットアップレポート!Q708</f>
        <v>0</v>
      </c>
      <c r="S708">
        <f>セットアップレポート!R708</f>
        <v>0</v>
      </c>
      <c r="T708">
        <f>セットアップレポート!S708</f>
        <v>0</v>
      </c>
      <c r="U708">
        <f>セットアップレポート!T708</f>
        <v>0</v>
      </c>
      <c r="V708">
        <f>セットアップレポート!U708</f>
        <v>0</v>
      </c>
      <c r="W708">
        <f>セットアップレポート!V708</f>
        <v>0</v>
      </c>
      <c r="X708">
        <f>セットアップレポート!W708</f>
        <v>0</v>
      </c>
      <c r="Y708">
        <f>セットアップレポート!X708</f>
        <v>0</v>
      </c>
      <c r="Z708">
        <f>セットアップレポート!Y708</f>
        <v>0</v>
      </c>
      <c r="AA708">
        <f>セットアップレポート!Z708</f>
        <v>0</v>
      </c>
      <c r="AB708">
        <f>セットアップレポート!AA708</f>
        <v>0</v>
      </c>
      <c r="AC708">
        <f>セットアップレポート!AB708</f>
        <v>0</v>
      </c>
      <c r="AD708">
        <f>セットアップレポート!AC708</f>
        <v>0</v>
      </c>
      <c r="AE708">
        <f>セットアップレポート!AD708</f>
        <v>0</v>
      </c>
      <c r="AF708">
        <f>セットアップレポート!AE708</f>
        <v>0</v>
      </c>
      <c r="AG708">
        <f>セットアップレポート!AF708</f>
        <v>0</v>
      </c>
      <c r="AH708">
        <f>セットアップレポート!AG708</f>
        <v>0</v>
      </c>
    </row>
    <row r="709" spans="1:34" x14ac:dyDescent="0.45">
      <c r="A709" t="str">
        <f t="shared" si="11"/>
        <v>000</v>
      </c>
      <c r="B709">
        <f>セットアップレポート!A709</f>
        <v>0</v>
      </c>
      <c r="C709">
        <f>セットアップレポート!B709</f>
        <v>0</v>
      </c>
      <c r="D709">
        <f>セットアップレポート!C709</f>
        <v>0</v>
      </c>
      <c r="E709">
        <f>セットアップレポート!D709</f>
        <v>0</v>
      </c>
      <c r="F709">
        <f>セットアップレポート!E709</f>
        <v>0</v>
      </c>
      <c r="G709">
        <f>セットアップレポート!F709</f>
        <v>0</v>
      </c>
      <c r="H709">
        <f>セットアップレポート!G709</f>
        <v>0</v>
      </c>
      <c r="I709">
        <f>セットアップレポート!H709</f>
        <v>0</v>
      </c>
      <c r="J709">
        <f>セットアップレポート!I709</f>
        <v>0</v>
      </c>
      <c r="K709">
        <f>セットアップレポート!J709</f>
        <v>0</v>
      </c>
      <c r="L709">
        <f>セットアップレポート!K709</f>
        <v>0</v>
      </c>
      <c r="M709">
        <f>セットアップレポート!L709</f>
        <v>0</v>
      </c>
      <c r="N709">
        <f>セットアップレポート!M709</f>
        <v>0</v>
      </c>
      <c r="O709">
        <f>セットアップレポート!N709</f>
        <v>0</v>
      </c>
      <c r="P709">
        <f>セットアップレポート!O709</f>
        <v>0</v>
      </c>
      <c r="Q709">
        <f>セットアップレポート!P709</f>
        <v>0</v>
      </c>
      <c r="R709">
        <f>セットアップレポート!Q709</f>
        <v>0</v>
      </c>
      <c r="S709">
        <f>セットアップレポート!R709</f>
        <v>0</v>
      </c>
      <c r="T709">
        <f>セットアップレポート!S709</f>
        <v>0</v>
      </c>
      <c r="U709">
        <f>セットアップレポート!T709</f>
        <v>0</v>
      </c>
      <c r="V709">
        <f>セットアップレポート!U709</f>
        <v>0</v>
      </c>
      <c r="W709">
        <f>セットアップレポート!V709</f>
        <v>0</v>
      </c>
      <c r="X709">
        <f>セットアップレポート!W709</f>
        <v>0</v>
      </c>
      <c r="Y709">
        <f>セットアップレポート!X709</f>
        <v>0</v>
      </c>
      <c r="Z709">
        <f>セットアップレポート!Y709</f>
        <v>0</v>
      </c>
      <c r="AA709">
        <f>セットアップレポート!Z709</f>
        <v>0</v>
      </c>
      <c r="AB709">
        <f>セットアップレポート!AA709</f>
        <v>0</v>
      </c>
      <c r="AC709">
        <f>セットアップレポート!AB709</f>
        <v>0</v>
      </c>
      <c r="AD709">
        <f>セットアップレポート!AC709</f>
        <v>0</v>
      </c>
      <c r="AE709">
        <f>セットアップレポート!AD709</f>
        <v>0</v>
      </c>
      <c r="AF709">
        <f>セットアップレポート!AE709</f>
        <v>0</v>
      </c>
      <c r="AG709">
        <f>セットアップレポート!AF709</f>
        <v>0</v>
      </c>
      <c r="AH709">
        <f>セットアップレポート!AG709</f>
        <v>0</v>
      </c>
    </row>
    <row r="710" spans="1:34" x14ac:dyDescent="0.45">
      <c r="A710" t="str">
        <f t="shared" si="11"/>
        <v>000</v>
      </c>
      <c r="B710">
        <f>セットアップレポート!A710</f>
        <v>0</v>
      </c>
      <c r="C710">
        <f>セットアップレポート!B710</f>
        <v>0</v>
      </c>
      <c r="D710">
        <f>セットアップレポート!C710</f>
        <v>0</v>
      </c>
      <c r="E710">
        <f>セットアップレポート!D710</f>
        <v>0</v>
      </c>
      <c r="F710">
        <f>セットアップレポート!E710</f>
        <v>0</v>
      </c>
      <c r="G710">
        <f>セットアップレポート!F710</f>
        <v>0</v>
      </c>
      <c r="H710">
        <f>セットアップレポート!G710</f>
        <v>0</v>
      </c>
      <c r="I710">
        <f>セットアップレポート!H710</f>
        <v>0</v>
      </c>
      <c r="J710">
        <f>セットアップレポート!I710</f>
        <v>0</v>
      </c>
      <c r="K710">
        <f>セットアップレポート!J710</f>
        <v>0</v>
      </c>
      <c r="L710">
        <f>セットアップレポート!K710</f>
        <v>0</v>
      </c>
      <c r="M710">
        <f>セットアップレポート!L710</f>
        <v>0</v>
      </c>
      <c r="N710">
        <f>セットアップレポート!M710</f>
        <v>0</v>
      </c>
      <c r="O710">
        <f>セットアップレポート!N710</f>
        <v>0</v>
      </c>
      <c r="P710">
        <f>セットアップレポート!O710</f>
        <v>0</v>
      </c>
      <c r="Q710">
        <f>セットアップレポート!P710</f>
        <v>0</v>
      </c>
      <c r="R710">
        <f>セットアップレポート!Q710</f>
        <v>0</v>
      </c>
      <c r="S710">
        <f>セットアップレポート!R710</f>
        <v>0</v>
      </c>
      <c r="T710">
        <f>セットアップレポート!S710</f>
        <v>0</v>
      </c>
      <c r="U710">
        <f>セットアップレポート!T710</f>
        <v>0</v>
      </c>
      <c r="V710">
        <f>セットアップレポート!U710</f>
        <v>0</v>
      </c>
      <c r="W710">
        <f>セットアップレポート!V710</f>
        <v>0</v>
      </c>
      <c r="X710">
        <f>セットアップレポート!W710</f>
        <v>0</v>
      </c>
      <c r="Y710">
        <f>セットアップレポート!X710</f>
        <v>0</v>
      </c>
      <c r="Z710">
        <f>セットアップレポート!Y710</f>
        <v>0</v>
      </c>
      <c r="AA710">
        <f>セットアップレポート!Z710</f>
        <v>0</v>
      </c>
      <c r="AB710">
        <f>セットアップレポート!AA710</f>
        <v>0</v>
      </c>
      <c r="AC710">
        <f>セットアップレポート!AB710</f>
        <v>0</v>
      </c>
      <c r="AD710">
        <f>セットアップレポート!AC710</f>
        <v>0</v>
      </c>
      <c r="AE710">
        <f>セットアップレポート!AD710</f>
        <v>0</v>
      </c>
      <c r="AF710">
        <f>セットアップレポート!AE710</f>
        <v>0</v>
      </c>
      <c r="AG710">
        <f>セットアップレポート!AF710</f>
        <v>0</v>
      </c>
      <c r="AH710">
        <f>セットアップレポート!AG710</f>
        <v>0</v>
      </c>
    </row>
    <row r="711" spans="1:34" x14ac:dyDescent="0.45">
      <c r="A711" t="str">
        <f t="shared" si="11"/>
        <v>000</v>
      </c>
      <c r="B711">
        <f>セットアップレポート!A711</f>
        <v>0</v>
      </c>
      <c r="C711">
        <f>セットアップレポート!B711</f>
        <v>0</v>
      </c>
      <c r="D711">
        <f>セットアップレポート!C711</f>
        <v>0</v>
      </c>
      <c r="E711">
        <f>セットアップレポート!D711</f>
        <v>0</v>
      </c>
      <c r="F711">
        <f>セットアップレポート!E711</f>
        <v>0</v>
      </c>
      <c r="G711">
        <f>セットアップレポート!F711</f>
        <v>0</v>
      </c>
      <c r="H711">
        <f>セットアップレポート!G711</f>
        <v>0</v>
      </c>
      <c r="I711">
        <f>セットアップレポート!H711</f>
        <v>0</v>
      </c>
      <c r="J711">
        <f>セットアップレポート!I711</f>
        <v>0</v>
      </c>
      <c r="K711">
        <f>セットアップレポート!J711</f>
        <v>0</v>
      </c>
      <c r="L711">
        <f>セットアップレポート!K711</f>
        <v>0</v>
      </c>
      <c r="M711">
        <f>セットアップレポート!L711</f>
        <v>0</v>
      </c>
      <c r="N711">
        <f>セットアップレポート!M711</f>
        <v>0</v>
      </c>
      <c r="O711">
        <f>セットアップレポート!N711</f>
        <v>0</v>
      </c>
      <c r="P711">
        <f>セットアップレポート!O711</f>
        <v>0</v>
      </c>
      <c r="Q711">
        <f>セットアップレポート!P711</f>
        <v>0</v>
      </c>
      <c r="R711">
        <f>セットアップレポート!Q711</f>
        <v>0</v>
      </c>
      <c r="S711">
        <f>セットアップレポート!R711</f>
        <v>0</v>
      </c>
      <c r="T711">
        <f>セットアップレポート!S711</f>
        <v>0</v>
      </c>
      <c r="U711">
        <f>セットアップレポート!T711</f>
        <v>0</v>
      </c>
      <c r="V711">
        <f>セットアップレポート!U711</f>
        <v>0</v>
      </c>
      <c r="W711">
        <f>セットアップレポート!V711</f>
        <v>0</v>
      </c>
      <c r="X711">
        <f>セットアップレポート!W711</f>
        <v>0</v>
      </c>
      <c r="Y711">
        <f>セットアップレポート!X711</f>
        <v>0</v>
      </c>
      <c r="Z711">
        <f>セットアップレポート!Y711</f>
        <v>0</v>
      </c>
      <c r="AA711">
        <f>セットアップレポート!Z711</f>
        <v>0</v>
      </c>
      <c r="AB711">
        <f>セットアップレポート!AA711</f>
        <v>0</v>
      </c>
      <c r="AC711">
        <f>セットアップレポート!AB711</f>
        <v>0</v>
      </c>
      <c r="AD711">
        <f>セットアップレポート!AC711</f>
        <v>0</v>
      </c>
      <c r="AE711">
        <f>セットアップレポート!AD711</f>
        <v>0</v>
      </c>
      <c r="AF711">
        <f>セットアップレポート!AE711</f>
        <v>0</v>
      </c>
      <c r="AG711">
        <f>セットアップレポート!AF711</f>
        <v>0</v>
      </c>
      <c r="AH711">
        <f>セットアップレポート!AG711</f>
        <v>0</v>
      </c>
    </row>
    <row r="712" spans="1:34" x14ac:dyDescent="0.45">
      <c r="A712" t="str">
        <f t="shared" si="11"/>
        <v>000</v>
      </c>
      <c r="B712">
        <f>セットアップレポート!A712</f>
        <v>0</v>
      </c>
      <c r="C712">
        <f>セットアップレポート!B712</f>
        <v>0</v>
      </c>
      <c r="D712">
        <f>セットアップレポート!C712</f>
        <v>0</v>
      </c>
      <c r="E712">
        <f>セットアップレポート!D712</f>
        <v>0</v>
      </c>
      <c r="F712">
        <f>セットアップレポート!E712</f>
        <v>0</v>
      </c>
      <c r="G712">
        <f>セットアップレポート!F712</f>
        <v>0</v>
      </c>
      <c r="H712">
        <f>セットアップレポート!G712</f>
        <v>0</v>
      </c>
      <c r="I712">
        <f>セットアップレポート!H712</f>
        <v>0</v>
      </c>
      <c r="J712">
        <f>セットアップレポート!I712</f>
        <v>0</v>
      </c>
      <c r="K712">
        <f>セットアップレポート!J712</f>
        <v>0</v>
      </c>
      <c r="L712">
        <f>セットアップレポート!K712</f>
        <v>0</v>
      </c>
      <c r="M712">
        <f>セットアップレポート!L712</f>
        <v>0</v>
      </c>
      <c r="N712">
        <f>セットアップレポート!M712</f>
        <v>0</v>
      </c>
      <c r="O712">
        <f>セットアップレポート!N712</f>
        <v>0</v>
      </c>
      <c r="P712">
        <f>セットアップレポート!O712</f>
        <v>0</v>
      </c>
      <c r="Q712">
        <f>セットアップレポート!P712</f>
        <v>0</v>
      </c>
      <c r="R712">
        <f>セットアップレポート!Q712</f>
        <v>0</v>
      </c>
      <c r="S712">
        <f>セットアップレポート!R712</f>
        <v>0</v>
      </c>
      <c r="T712">
        <f>セットアップレポート!S712</f>
        <v>0</v>
      </c>
      <c r="U712">
        <f>セットアップレポート!T712</f>
        <v>0</v>
      </c>
      <c r="V712">
        <f>セットアップレポート!U712</f>
        <v>0</v>
      </c>
      <c r="W712">
        <f>セットアップレポート!V712</f>
        <v>0</v>
      </c>
      <c r="X712">
        <f>セットアップレポート!W712</f>
        <v>0</v>
      </c>
      <c r="Y712">
        <f>セットアップレポート!X712</f>
        <v>0</v>
      </c>
      <c r="Z712">
        <f>セットアップレポート!Y712</f>
        <v>0</v>
      </c>
      <c r="AA712">
        <f>セットアップレポート!Z712</f>
        <v>0</v>
      </c>
      <c r="AB712">
        <f>セットアップレポート!AA712</f>
        <v>0</v>
      </c>
      <c r="AC712">
        <f>セットアップレポート!AB712</f>
        <v>0</v>
      </c>
      <c r="AD712">
        <f>セットアップレポート!AC712</f>
        <v>0</v>
      </c>
      <c r="AE712">
        <f>セットアップレポート!AD712</f>
        <v>0</v>
      </c>
      <c r="AF712">
        <f>セットアップレポート!AE712</f>
        <v>0</v>
      </c>
      <c r="AG712">
        <f>セットアップレポート!AF712</f>
        <v>0</v>
      </c>
      <c r="AH712">
        <f>セットアップレポート!AG712</f>
        <v>0</v>
      </c>
    </row>
    <row r="713" spans="1:34" x14ac:dyDescent="0.45">
      <c r="A713" t="str">
        <f t="shared" si="11"/>
        <v>000</v>
      </c>
      <c r="B713">
        <f>セットアップレポート!A713</f>
        <v>0</v>
      </c>
      <c r="C713">
        <f>セットアップレポート!B713</f>
        <v>0</v>
      </c>
      <c r="D713">
        <f>セットアップレポート!C713</f>
        <v>0</v>
      </c>
      <c r="E713">
        <f>セットアップレポート!D713</f>
        <v>0</v>
      </c>
      <c r="F713">
        <f>セットアップレポート!E713</f>
        <v>0</v>
      </c>
      <c r="G713">
        <f>セットアップレポート!F713</f>
        <v>0</v>
      </c>
      <c r="H713">
        <f>セットアップレポート!G713</f>
        <v>0</v>
      </c>
      <c r="I713">
        <f>セットアップレポート!H713</f>
        <v>0</v>
      </c>
      <c r="J713">
        <f>セットアップレポート!I713</f>
        <v>0</v>
      </c>
      <c r="K713">
        <f>セットアップレポート!J713</f>
        <v>0</v>
      </c>
      <c r="L713">
        <f>セットアップレポート!K713</f>
        <v>0</v>
      </c>
      <c r="M713">
        <f>セットアップレポート!L713</f>
        <v>0</v>
      </c>
      <c r="N713">
        <f>セットアップレポート!M713</f>
        <v>0</v>
      </c>
      <c r="O713">
        <f>セットアップレポート!N713</f>
        <v>0</v>
      </c>
      <c r="P713">
        <f>セットアップレポート!O713</f>
        <v>0</v>
      </c>
      <c r="Q713">
        <f>セットアップレポート!P713</f>
        <v>0</v>
      </c>
      <c r="R713">
        <f>セットアップレポート!Q713</f>
        <v>0</v>
      </c>
      <c r="S713">
        <f>セットアップレポート!R713</f>
        <v>0</v>
      </c>
      <c r="T713">
        <f>セットアップレポート!S713</f>
        <v>0</v>
      </c>
      <c r="U713">
        <f>セットアップレポート!T713</f>
        <v>0</v>
      </c>
      <c r="V713">
        <f>セットアップレポート!U713</f>
        <v>0</v>
      </c>
      <c r="W713">
        <f>セットアップレポート!V713</f>
        <v>0</v>
      </c>
      <c r="X713">
        <f>セットアップレポート!W713</f>
        <v>0</v>
      </c>
      <c r="Y713">
        <f>セットアップレポート!X713</f>
        <v>0</v>
      </c>
      <c r="Z713">
        <f>セットアップレポート!Y713</f>
        <v>0</v>
      </c>
      <c r="AA713">
        <f>セットアップレポート!Z713</f>
        <v>0</v>
      </c>
      <c r="AB713">
        <f>セットアップレポート!AA713</f>
        <v>0</v>
      </c>
      <c r="AC713">
        <f>セットアップレポート!AB713</f>
        <v>0</v>
      </c>
      <c r="AD713">
        <f>セットアップレポート!AC713</f>
        <v>0</v>
      </c>
      <c r="AE713">
        <f>セットアップレポート!AD713</f>
        <v>0</v>
      </c>
      <c r="AF713">
        <f>セットアップレポート!AE713</f>
        <v>0</v>
      </c>
      <c r="AG713">
        <f>セットアップレポート!AF713</f>
        <v>0</v>
      </c>
      <c r="AH713">
        <f>セットアップレポート!AG713</f>
        <v>0</v>
      </c>
    </row>
    <row r="714" spans="1:34" x14ac:dyDescent="0.45">
      <c r="A714" t="str">
        <f t="shared" si="11"/>
        <v>000</v>
      </c>
      <c r="B714">
        <f>セットアップレポート!A714</f>
        <v>0</v>
      </c>
      <c r="C714">
        <f>セットアップレポート!B714</f>
        <v>0</v>
      </c>
      <c r="D714">
        <f>セットアップレポート!C714</f>
        <v>0</v>
      </c>
      <c r="E714">
        <f>セットアップレポート!D714</f>
        <v>0</v>
      </c>
      <c r="F714">
        <f>セットアップレポート!E714</f>
        <v>0</v>
      </c>
      <c r="G714">
        <f>セットアップレポート!F714</f>
        <v>0</v>
      </c>
      <c r="H714">
        <f>セットアップレポート!G714</f>
        <v>0</v>
      </c>
      <c r="I714">
        <f>セットアップレポート!H714</f>
        <v>0</v>
      </c>
      <c r="J714">
        <f>セットアップレポート!I714</f>
        <v>0</v>
      </c>
      <c r="K714">
        <f>セットアップレポート!J714</f>
        <v>0</v>
      </c>
      <c r="L714">
        <f>セットアップレポート!K714</f>
        <v>0</v>
      </c>
      <c r="M714">
        <f>セットアップレポート!L714</f>
        <v>0</v>
      </c>
      <c r="N714">
        <f>セットアップレポート!M714</f>
        <v>0</v>
      </c>
      <c r="O714">
        <f>セットアップレポート!N714</f>
        <v>0</v>
      </c>
      <c r="P714">
        <f>セットアップレポート!O714</f>
        <v>0</v>
      </c>
      <c r="Q714">
        <f>セットアップレポート!P714</f>
        <v>0</v>
      </c>
      <c r="R714">
        <f>セットアップレポート!Q714</f>
        <v>0</v>
      </c>
      <c r="S714">
        <f>セットアップレポート!R714</f>
        <v>0</v>
      </c>
      <c r="T714">
        <f>セットアップレポート!S714</f>
        <v>0</v>
      </c>
      <c r="U714">
        <f>セットアップレポート!T714</f>
        <v>0</v>
      </c>
      <c r="V714">
        <f>セットアップレポート!U714</f>
        <v>0</v>
      </c>
      <c r="W714">
        <f>セットアップレポート!V714</f>
        <v>0</v>
      </c>
      <c r="X714">
        <f>セットアップレポート!W714</f>
        <v>0</v>
      </c>
      <c r="Y714">
        <f>セットアップレポート!X714</f>
        <v>0</v>
      </c>
      <c r="Z714">
        <f>セットアップレポート!Y714</f>
        <v>0</v>
      </c>
      <c r="AA714">
        <f>セットアップレポート!Z714</f>
        <v>0</v>
      </c>
      <c r="AB714">
        <f>セットアップレポート!AA714</f>
        <v>0</v>
      </c>
      <c r="AC714">
        <f>セットアップレポート!AB714</f>
        <v>0</v>
      </c>
      <c r="AD714">
        <f>セットアップレポート!AC714</f>
        <v>0</v>
      </c>
      <c r="AE714">
        <f>セットアップレポート!AD714</f>
        <v>0</v>
      </c>
      <c r="AF714">
        <f>セットアップレポート!AE714</f>
        <v>0</v>
      </c>
      <c r="AG714">
        <f>セットアップレポート!AF714</f>
        <v>0</v>
      </c>
      <c r="AH714">
        <f>セットアップレポート!AG714</f>
        <v>0</v>
      </c>
    </row>
    <row r="715" spans="1:34" x14ac:dyDescent="0.45">
      <c r="A715" t="str">
        <f t="shared" si="11"/>
        <v>000</v>
      </c>
      <c r="B715">
        <f>セットアップレポート!A715</f>
        <v>0</v>
      </c>
      <c r="C715">
        <f>セットアップレポート!B715</f>
        <v>0</v>
      </c>
      <c r="D715">
        <f>セットアップレポート!C715</f>
        <v>0</v>
      </c>
      <c r="E715">
        <f>セットアップレポート!D715</f>
        <v>0</v>
      </c>
      <c r="F715">
        <f>セットアップレポート!E715</f>
        <v>0</v>
      </c>
      <c r="G715">
        <f>セットアップレポート!F715</f>
        <v>0</v>
      </c>
      <c r="H715">
        <f>セットアップレポート!G715</f>
        <v>0</v>
      </c>
      <c r="I715">
        <f>セットアップレポート!H715</f>
        <v>0</v>
      </c>
      <c r="J715">
        <f>セットアップレポート!I715</f>
        <v>0</v>
      </c>
      <c r="K715">
        <f>セットアップレポート!J715</f>
        <v>0</v>
      </c>
      <c r="L715">
        <f>セットアップレポート!K715</f>
        <v>0</v>
      </c>
      <c r="M715">
        <f>セットアップレポート!L715</f>
        <v>0</v>
      </c>
      <c r="N715">
        <f>セットアップレポート!M715</f>
        <v>0</v>
      </c>
      <c r="O715">
        <f>セットアップレポート!N715</f>
        <v>0</v>
      </c>
      <c r="P715">
        <f>セットアップレポート!O715</f>
        <v>0</v>
      </c>
      <c r="Q715">
        <f>セットアップレポート!P715</f>
        <v>0</v>
      </c>
      <c r="R715">
        <f>セットアップレポート!Q715</f>
        <v>0</v>
      </c>
      <c r="S715">
        <f>セットアップレポート!R715</f>
        <v>0</v>
      </c>
      <c r="T715">
        <f>セットアップレポート!S715</f>
        <v>0</v>
      </c>
      <c r="U715">
        <f>セットアップレポート!T715</f>
        <v>0</v>
      </c>
      <c r="V715">
        <f>セットアップレポート!U715</f>
        <v>0</v>
      </c>
      <c r="W715">
        <f>セットアップレポート!V715</f>
        <v>0</v>
      </c>
      <c r="X715">
        <f>セットアップレポート!W715</f>
        <v>0</v>
      </c>
      <c r="Y715">
        <f>セットアップレポート!X715</f>
        <v>0</v>
      </c>
      <c r="Z715">
        <f>セットアップレポート!Y715</f>
        <v>0</v>
      </c>
      <c r="AA715">
        <f>セットアップレポート!Z715</f>
        <v>0</v>
      </c>
      <c r="AB715">
        <f>セットアップレポート!AA715</f>
        <v>0</v>
      </c>
      <c r="AC715">
        <f>セットアップレポート!AB715</f>
        <v>0</v>
      </c>
      <c r="AD715">
        <f>セットアップレポート!AC715</f>
        <v>0</v>
      </c>
      <c r="AE715">
        <f>セットアップレポート!AD715</f>
        <v>0</v>
      </c>
      <c r="AF715">
        <f>セットアップレポート!AE715</f>
        <v>0</v>
      </c>
      <c r="AG715">
        <f>セットアップレポート!AF715</f>
        <v>0</v>
      </c>
      <c r="AH715">
        <f>セットアップレポート!AG715</f>
        <v>0</v>
      </c>
    </row>
    <row r="716" spans="1:34" x14ac:dyDescent="0.45">
      <c r="A716" t="str">
        <f t="shared" si="11"/>
        <v>000</v>
      </c>
      <c r="B716">
        <f>セットアップレポート!A716</f>
        <v>0</v>
      </c>
      <c r="C716">
        <f>セットアップレポート!B716</f>
        <v>0</v>
      </c>
      <c r="D716">
        <f>セットアップレポート!C716</f>
        <v>0</v>
      </c>
      <c r="E716">
        <f>セットアップレポート!D716</f>
        <v>0</v>
      </c>
      <c r="F716">
        <f>セットアップレポート!E716</f>
        <v>0</v>
      </c>
      <c r="G716">
        <f>セットアップレポート!F716</f>
        <v>0</v>
      </c>
      <c r="H716">
        <f>セットアップレポート!G716</f>
        <v>0</v>
      </c>
      <c r="I716">
        <f>セットアップレポート!H716</f>
        <v>0</v>
      </c>
      <c r="J716">
        <f>セットアップレポート!I716</f>
        <v>0</v>
      </c>
      <c r="K716">
        <f>セットアップレポート!J716</f>
        <v>0</v>
      </c>
      <c r="L716">
        <f>セットアップレポート!K716</f>
        <v>0</v>
      </c>
      <c r="M716">
        <f>セットアップレポート!L716</f>
        <v>0</v>
      </c>
      <c r="N716">
        <f>セットアップレポート!M716</f>
        <v>0</v>
      </c>
      <c r="O716">
        <f>セットアップレポート!N716</f>
        <v>0</v>
      </c>
      <c r="P716">
        <f>セットアップレポート!O716</f>
        <v>0</v>
      </c>
      <c r="Q716">
        <f>セットアップレポート!P716</f>
        <v>0</v>
      </c>
      <c r="R716">
        <f>セットアップレポート!Q716</f>
        <v>0</v>
      </c>
      <c r="S716">
        <f>セットアップレポート!R716</f>
        <v>0</v>
      </c>
      <c r="T716">
        <f>セットアップレポート!S716</f>
        <v>0</v>
      </c>
      <c r="U716">
        <f>セットアップレポート!T716</f>
        <v>0</v>
      </c>
      <c r="V716">
        <f>セットアップレポート!U716</f>
        <v>0</v>
      </c>
      <c r="W716">
        <f>セットアップレポート!V716</f>
        <v>0</v>
      </c>
      <c r="X716">
        <f>セットアップレポート!W716</f>
        <v>0</v>
      </c>
      <c r="Y716">
        <f>セットアップレポート!X716</f>
        <v>0</v>
      </c>
      <c r="Z716">
        <f>セットアップレポート!Y716</f>
        <v>0</v>
      </c>
      <c r="AA716">
        <f>セットアップレポート!Z716</f>
        <v>0</v>
      </c>
      <c r="AB716">
        <f>セットアップレポート!AA716</f>
        <v>0</v>
      </c>
      <c r="AC716">
        <f>セットアップレポート!AB716</f>
        <v>0</v>
      </c>
      <c r="AD716">
        <f>セットアップレポート!AC716</f>
        <v>0</v>
      </c>
      <c r="AE716">
        <f>セットアップレポート!AD716</f>
        <v>0</v>
      </c>
      <c r="AF716">
        <f>セットアップレポート!AE716</f>
        <v>0</v>
      </c>
      <c r="AG716">
        <f>セットアップレポート!AF716</f>
        <v>0</v>
      </c>
      <c r="AH716">
        <f>セットアップレポート!AG716</f>
        <v>0</v>
      </c>
    </row>
    <row r="717" spans="1:34" x14ac:dyDescent="0.45">
      <c r="A717" t="str">
        <f t="shared" si="11"/>
        <v>000</v>
      </c>
      <c r="B717">
        <f>セットアップレポート!A717</f>
        <v>0</v>
      </c>
      <c r="C717">
        <f>セットアップレポート!B717</f>
        <v>0</v>
      </c>
      <c r="D717">
        <f>セットアップレポート!C717</f>
        <v>0</v>
      </c>
      <c r="E717">
        <f>セットアップレポート!D717</f>
        <v>0</v>
      </c>
      <c r="F717">
        <f>セットアップレポート!E717</f>
        <v>0</v>
      </c>
      <c r="G717">
        <f>セットアップレポート!F717</f>
        <v>0</v>
      </c>
      <c r="H717">
        <f>セットアップレポート!G717</f>
        <v>0</v>
      </c>
      <c r="I717">
        <f>セットアップレポート!H717</f>
        <v>0</v>
      </c>
      <c r="J717">
        <f>セットアップレポート!I717</f>
        <v>0</v>
      </c>
      <c r="K717">
        <f>セットアップレポート!J717</f>
        <v>0</v>
      </c>
      <c r="L717">
        <f>セットアップレポート!K717</f>
        <v>0</v>
      </c>
      <c r="M717">
        <f>セットアップレポート!L717</f>
        <v>0</v>
      </c>
      <c r="N717">
        <f>セットアップレポート!M717</f>
        <v>0</v>
      </c>
      <c r="O717">
        <f>セットアップレポート!N717</f>
        <v>0</v>
      </c>
      <c r="P717">
        <f>セットアップレポート!O717</f>
        <v>0</v>
      </c>
      <c r="Q717">
        <f>セットアップレポート!P717</f>
        <v>0</v>
      </c>
      <c r="R717">
        <f>セットアップレポート!Q717</f>
        <v>0</v>
      </c>
      <c r="S717">
        <f>セットアップレポート!R717</f>
        <v>0</v>
      </c>
      <c r="T717">
        <f>セットアップレポート!S717</f>
        <v>0</v>
      </c>
      <c r="U717">
        <f>セットアップレポート!T717</f>
        <v>0</v>
      </c>
      <c r="V717">
        <f>セットアップレポート!U717</f>
        <v>0</v>
      </c>
      <c r="W717">
        <f>セットアップレポート!V717</f>
        <v>0</v>
      </c>
      <c r="X717">
        <f>セットアップレポート!W717</f>
        <v>0</v>
      </c>
      <c r="Y717">
        <f>セットアップレポート!X717</f>
        <v>0</v>
      </c>
      <c r="Z717">
        <f>セットアップレポート!Y717</f>
        <v>0</v>
      </c>
      <c r="AA717">
        <f>セットアップレポート!Z717</f>
        <v>0</v>
      </c>
      <c r="AB717">
        <f>セットアップレポート!AA717</f>
        <v>0</v>
      </c>
      <c r="AC717">
        <f>セットアップレポート!AB717</f>
        <v>0</v>
      </c>
      <c r="AD717">
        <f>セットアップレポート!AC717</f>
        <v>0</v>
      </c>
      <c r="AE717">
        <f>セットアップレポート!AD717</f>
        <v>0</v>
      </c>
      <c r="AF717">
        <f>セットアップレポート!AE717</f>
        <v>0</v>
      </c>
      <c r="AG717">
        <f>セットアップレポート!AF717</f>
        <v>0</v>
      </c>
      <c r="AH717">
        <f>セットアップレポート!AG717</f>
        <v>0</v>
      </c>
    </row>
    <row r="718" spans="1:34" x14ac:dyDescent="0.45">
      <c r="A718" t="str">
        <f t="shared" si="11"/>
        <v>000</v>
      </c>
      <c r="B718">
        <f>セットアップレポート!A718</f>
        <v>0</v>
      </c>
      <c r="C718">
        <f>セットアップレポート!B718</f>
        <v>0</v>
      </c>
      <c r="D718">
        <f>セットアップレポート!C718</f>
        <v>0</v>
      </c>
      <c r="E718">
        <f>セットアップレポート!D718</f>
        <v>0</v>
      </c>
      <c r="F718">
        <f>セットアップレポート!E718</f>
        <v>0</v>
      </c>
      <c r="G718">
        <f>セットアップレポート!F718</f>
        <v>0</v>
      </c>
      <c r="H718">
        <f>セットアップレポート!G718</f>
        <v>0</v>
      </c>
      <c r="I718">
        <f>セットアップレポート!H718</f>
        <v>0</v>
      </c>
      <c r="J718">
        <f>セットアップレポート!I718</f>
        <v>0</v>
      </c>
      <c r="K718">
        <f>セットアップレポート!J718</f>
        <v>0</v>
      </c>
      <c r="L718">
        <f>セットアップレポート!K718</f>
        <v>0</v>
      </c>
      <c r="M718">
        <f>セットアップレポート!L718</f>
        <v>0</v>
      </c>
      <c r="N718">
        <f>セットアップレポート!M718</f>
        <v>0</v>
      </c>
      <c r="O718">
        <f>セットアップレポート!N718</f>
        <v>0</v>
      </c>
      <c r="P718">
        <f>セットアップレポート!O718</f>
        <v>0</v>
      </c>
      <c r="Q718">
        <f>セットアップレポート!P718</f>
        <v>0</v>
      </c>
      <c r="R718">
        <f>セットアップレポート!Q718</f>
        <v>0</v>
      </c>
      <c r="S718">
        <f>セットアップレポート!R718</f>
        <v>0</v>
      </c>
      <c r="T718">
        <f>セットアップレポート!S718</f>
        <v>0</v>
      </c>
      <c r="U718">
        <f>セットアップレポート!T718</f>
        <v>0</v>
      </c>
      <c r="V718">
        <f>セットアップレポート!U718</f>
        <v>0</v>
      </c>
      <c r="W718">
        <f>セットアップレポート!V718</f>
        <v>0</v>
      </c>
      <c r="X718">
        <f>セットアップレポート!W718</f>
        <v>0</v>
      </c>
      <c r="Y718">
        <f>セットアップレポート!X718</f>
        <v>0</v>
      </c>
      <c r="Z718">
        <f>セットアップレポート!Y718</f>
        <v>0</v>
      </c>
      <c r="AA718">
        <f>セットアップレポート!Z718</f>
        <v>0</v>
      </c>
      <c r="AB718">
        <f>セットアップレポート!AA718</f>
        <v>0</v>
      </c>
      <c r="AC718">
        <f>セットアップレポート!AB718</f>
        <v>0</v>
      </c>
      <c r="AD718">
        <f>セットアップレポート!AC718</f>
        <v>0</v>
      </c>
      <c r="AE718">
        <f>セットアップレポート!AD718</f>
        <v>0</v>
      </c>
      <c r="AF718">
        <f>セットアップレポート!AE718</f>
        <v>0</v>
      </c>
      <c r="AG718">
        <f>セットアップレポート!AF718</f>
        <v>0</v>
      </c>
      <c r="AH718">
        <f>セットアップレポート!AG718</f>
        <v>0</v>
      </c>
    </row>
    <row r="719" spans="1:34" x14ac:dyDescent="0.45">
      <c r="A719" t="str">
        <f t="shared" si="11"/>
        <v>000</v>
      </c>
      <c r="B719">
        <f>セットアップレポート!A719</f>
        <v>0</v>
      </c>
      <c r="C719">
        <f>セットアップレポート!B719</f>
        <v>0</v>
      </c>
      <c r="D719">
        <f>セットアップレポート!C719</f>
        <v>0</v>
      </c>
      <c r="E719">
        <f>セットアップレポート!D719</f>
        <v>0</v>
      </c>
      <c r="F719">
        <f>セットアップレポート!E719</f>
        <v>0</v>
      </c>
      <c r="G719">
        <f>セットアップレポート!F719</f>
        <v>0</v>
      </c>
      <c r="H719">
        <f>セットアップレポート!G719</f>
        <v>0</v>
      </c>
      <c r="I719">
        <f>セットアップレポート!H719</f>
        <v>0</v>
      </c>
      <c r="J719">
        <f>セットアップレポート!I719</f>
        <v>0</v>
      </c>
      <c r="K719">
        <f>セットアップレポート!J719</f>
        <v>0</v>
      </c>
      <c r="L719">
        <f>セットアップレポート!K719</f>
        <v>0</v>
      </c>
      <c r="M719">
        <f>セットアップレポート!L719</f>
        <v>0</v>
      </c>
      <c r="N719">
        <f>セットアップレポート!M719</f>
        <v>0</v>
      </c>
      <c r="O719">
        <f>セットアップレポート!N719</f>
        <v>0</v>
      </c>
      <c r="P719">
        <f>セットアップレポート!O719</f>
        <v>0</v>
      </c>
      <c r="Q719">
        <f>セットアップレポート!P719</f>
        <v>0</v>
      </c>
      <c r="R719">
        <f>セットアップレポート!Q719</f>
        <v>0</v>
      </c>
      <c r="S719">
        <f>セットアップレポート!R719</f>
        <v>0</v>
      </c>
      <c r="T719">
        <f>セットアップレポート!S719</f>
        <v>0</v>
      </c>
      <c r="U719">
        <f>セットアップレポート!T719</f>
        <v>0</v>
      </c>
      <c r="V719">
        <f>セットアップレポート!U719</f>
        <v>0</v>
      </c>
      <c r="W719">
        <f>セットアップレポート!V719</f>
        <v>0</v>
      </c>
      <c r="X719">
        <f>セットアップレポート!W719</f>
        <v>0</v>
      </c>
      <c r="Y719">
        <f>セットアップレポート!X719</f>
        <v>0</v>
      </c>
      <c r="Z719">
        <f>セットアップレポート!Y719</f>
        <v>0</v>
      </c>
      <c r="AA719">
        <f>セットアップレポート!Z719</f>
        <v>0</v>
      </c>
      <c r="AB719">
        <f>セットアップレポート!AA719</f>
        <v>0</v>
      </c>
      <c r="AC719">
        <f>セットアップレポート!AB719</f>
        <v>0</v>
      </c>
      <c r="AD719">
        <f>セットアップレポート!AC719</f>
        <v>0</v>
      </c>
      <c r="AE719">
        <f>セットアップレポート!AD719</f>
        <v>0</v>
      </c>
      <c r="AF719">
        <f>セットアップレポート!AE719</f>
        <v>0</v>
      </c>
      <c r="AG719">
        <f>セットアップレポート!AF719</f>
        <v>0</v>
      </c>
      <c r="AH719">
        <f>セットアップレポート!AG719</f>
        <v>0</v>
      </c>
    </row>
    <row r="720" spans="1:34" x14ac:dyDescent="0.45">
      <c r="A720" t="str">
        <f t="shared" si="11"/>
        <v>000</v>
      </c>
      <c r="B720">
        <f>セットアップレポート!A720</f>
        <v>0</v>
      </c>
      <c r="C720">
        <f>セットアップレポート!B720</f>
        <v>0</v>
      </c>
      <c r="D720">
        <f>セットアップレポート!C720</f>
        <v>0</v>
      </c>
      <c r="E720">
        <f>セットアップレポート!D720</f>
        <v>0</v>
      </c>
      <c r="F720">
        <f>セットアップレポート!E720</f>
        <v>0</v>
      </c>
      <c r="G720">
        <f>セットアップレポート!F720</f>
        <v>0</v>
      </c>
      <c r="H720">
        <f>セットアップレポート!G720</f>
        <v>0</v>
      </c>
      <c r="I720">
        <f>セットアップレポート!H720</f>
        <v>0</v>
      </c>
      <c r="J720">
        <f>セットアップレポート!I720</f>
        <v>0</v>
      </c>
      <c r="K720">
        <f>セットアップレポート!J720</f>
        <v>0</v>
      </c>
      <c r="L720">
        <f>セットアップレポート!K720</f>
        <v>0</v>
      </c>
      <c r="M720">
        <f>セットアップレポート!L720</f>
        <v>0</v>
      </c>
      <c r="N720">
        <f>セットアップレポート!M720</f>
        <v>0</v>
      </c>
      <c r="O720">
        <f>セットアップレポート!N720</f>
        <v>0</v>
      </c>
      <c r="P720">
        <f>セットアップレポート!O720</f>
        <v>0</v>
      </c>
      <c r="Q720">
        <f>セットアップレポート!P720</f>
        <v>0</v>
      </c>
      <c r="R720">
        <f>セットアップレポート!Q720</f>
        <v>0</v>
      </c>
      <c r="S720">
        <f>セットアップレポート!R720</f>
        <v>0</v>
      </c>
      <c r="T720">
        <f>セットアップレポート!S720</f>
        <v>0</v>
      </c>
      <c r="U720">
        <f>セットアップレポート!T720</f>
        <v>0</v>
      </c>
      <c r="V720">
        <f>セットアップレポート!U720</f>
        <v>0</v>
      </c>
      <c r="W720">
        <f>セットアップレポート!V720</f>
        <v>0</v>
      </c>
      <c r="X720">
        <f>セットアップレポート!W720</f>
        <v>0</v>
      </c>
      <c r="Y720">
        <f>セットアップレポート!X720</f>
        <v>0</v>
      </c>
      <c r="Z720">
        <f>セットアップレポート!Y720</f>
        <v>0</v>
      </c>
      <c r="AA720">
        <f>セットアップレポート!Z720</f>
        <v>0</v>
      </c>
      <c r="AB720">
        <f>セットアップレポート!AA720</f>
        <v>0</v>
      </c>
      <c r="AC720">
        <f>セットアップレポート!AB720</f>
        <v>0</v>
      </c>
      <c r="AD720">
        <f>セットアップレポート!AC720</f>
        <v>0</v>
      </c>
      <c r="AE720">
        <f>セットアップレポート!AD720</f>
        <v>0</v>
      </c>
      <c r="AF720">
        <f>セットアップレポート!AE720</f>
        <v>0</v>
      </c>
      <c r="AG720">
        <f>セットアップレポート!AF720</f>
        <v>0</v>
      </c>
      <c r="AH720">
        <f>セットアップレポート!AG720</f>
        <v>0</v>
      </c>
    </row>
    <row r="721" spans="1:34" x14ac:dyDescent="0.45">
      <c r="A721" t="str">
        <f t="shared" si="11"/>
        <v>000</v>
      </c>
      <c r="B721">
        <f>セットアップレポート!A721</f>
        <v>0</v>
      </c>
      <c r="C721">
        <f>セットアップレポート!B721</f>
        <v>0</v>
      </c>
      <c r="D721">
        <f>セットアップレポート!C721</f>
        <v>0</v>
      </c>
      <c r="E721">
        <f>セットアップレポート!D721</f>
        <v>0</v>
      </c>
      <c r="F721">
        <f>セットアップレポート!E721</f>
        <v>0</v>
      </c>
      <c r="G721">
        <f>セットアップレポート!F721</f>
        <v>0</v>
      </c>
      <c r="H721">
        <f>セットアップレポート!G721</f>
        <v>0</v>
      </c>
      <c r="I721">
        <f>セットアップレポート!H721</f>
        <v>0</v>
      </c>
      <c r="J721">
        <f>セットアップレポート!I721</f>
        <v>0</v>
      </c>
      <c r="K721">
        <f>セットアップレポート!J721</f>
        <v>0</v>
      </c>
      <c r="L721">
        <f>セットアップレポート!K721</f>
        <v>0</v>
      </c>
      <c r="M721">
        <f>セットアップレポート!L721</f>
        <v>0</v>
      </c>
      <c r="N721">
        <f>セットアップレポート!M721</f>
        <v>0</v>
      </c>
      <c r="O721">
        <f>セットアップレポート!N721</f>
        <v>0</v>
      </c>
      <c r="P721">
        <f>セットアップレポート!O721</f>
        <v>0</v>
      </c>
      <c r="Q721">
        <f>セットアップレポート!P721</f>
        <v>0</v>
      </c>
      <c r="R721">
        <f>セットアップレポート!Q721</f>
        <v>0</v>
      </c>
      <c r="S721">
        <f>セットアップレポート!R721</f>
        <v>0</v>
      </c>
      <c r="T721">
        <f>セットアップレポート!S721</f>
        <v>0</v>
      </c>
      <c r="U721">
        <f>セットアップレポート!T721</f>
        <v>0</v>
      </c>
      <c r="V721">
        <f>セットアップレポート!U721</f>
        <v>0</v>
      </c>
      <c r="W721">
        <f>セットアップレポート!V721</f>
        <v>0</v>
      </c>
      <c r="X721">
        <f>セットアップレポート!W721</f>
        <v>0</v>
      </c>
      <c r="Y721">
        <f>セットアップレポート!X721</f>
        <v>0</v>
      </c>
      <c r="Z721">
        <f>セットアップレポート!Y721</f>
        <v>0</v>
      </c>
      <c r="AA721">
        <f>セットアップレポート!Z721</f>
        <v>0</v>
      </c>
      <c r="AB721">
        <f>セットアップレポート!AA721</f>
        <v>0</v>
      </c>
      <c r="AC721">
        <f>セットアップレポート!AB721</f>
        <v>0</v>
      </c>
      <c r="AD721">
        <f>セットアップレポート!AC721</f>
        <v>0</v>
      </c>
      <c r="AE721">
        <f>セットアップレポート!AD721</f>
        <v>0</v>
      </c>
      <c r="AF721">
        <f>セットアップレポート!AE721</f>
        <v>0</v>
      </c>
      <c r="AG721">
        <f>セットアップレポート!AF721</f>
        <v>0</v>
      </c>
      <c r="AH721">
        <f>セットアップレポート!AG721</f>
        <v>0</v>
      </c>
    </row>
    <row r="722" spans="1:34" x14ac:dyDescent="0.45">
      <c r="A722" t="str">
        <f t="shared" si="11"/>
        <v>000</v>
      </c>
      <c r="B722">
        <f>セットアップレポート!A722</f>
        <v>0</v>
      </c>
      <c r="C722">
        <f>セットアップレポート!B722</f>
        <v>0</v>
      </c>
      <c r="D722">
        <f>セットアップレポート!C722</f>
        <v>0</v>
      </c>
      <c r="E722">
        <f>セットアップレポート!D722</f>
        <v>0</v>
      </c>
      <c r="F722">
        <f>セットアップレポート!E722</f>
        <v>0</v>
      </c>
      <c r="G722">
        <f>セットアップレポート!F722</f>
        <v>0</v>
      </c>
      <c r="H722">
        <f>セットアップレポート!G722</f>
        <v>0</v>
      </c>
      <c r="I722">
        <f>セットアップレポート!H722</f>
        <v>0</v>
      </c>
      <c r="J722">
        <f>セットアップレポート!I722</f>
        <v>0</v>
      </c>
      <c r="K722">
        <f>セットアップレポート!J722</f>
        <v>0</v>
      </c>
      <c r="L722">
        <f>セットアップレポート!K722</f>
        <v>0</v>
      </c>
      <c r="M722">
        <f>セットアップレポート!L722</f>
        <v>0</v>
      </c>
      <c r="N722">
        <f>セットアップレポート!M722</f>
        <v>0</v>
      </c>
      <c r="O722">
        <f>セットアップレポート!N722</f>
        <v>0</v>
      </c>
      <c r="P722">
        <f>セットアップレポート!O722</f>
        <v>0</v>
      </c>
      <c r="Q722">
        <f>セットアップレポート!P722</f>
        <v>0</v>
      </c>
      <c r="R722">
        <f>セットアップレポート!Q722</f>
        <v>0</v>
      </c>
      <c r="S722">
        <f>セットアップレポート!R722</f>
        <v>0</v>
      </c>
      <c r="T722">
        <f>セットアップレポート!S722</f>
        <v>0</v>
      </c>
      <c r="U722">
        <f>セットアップレポート!T722</f>
        <v>0</v>
      </c>
      <c r="V722">
        <f>セットアップレポート!U722</f>
        <v>0</v>
      </c>
      <c r="W722">
        <f>セットアップレポート!V722</f>
        <v>0</v>
      </c>
      <c r="X722">
        <f>セットアップレポート!W722</f>
        <v>0</v>
      </c>
      <c r="Y722">
        <f>セットアップレポート!X722</f>
        <v>0</v>
      </c>
      <c r="Z722">
        <f>セットアップレポート!Y722</f>
        <v>0</v>
      </c>
      <c r="AA722">
        <f>セットアップレポート!Z722</f>
        <v>0</v>
      </c>
      <c r="AB722">
        <f>セットアップレポート!AA722</f>
        <v>0</v>
      </c>
      <c r="AC722">
        <f>セットアップレポート!AB722</f>
        <v>0</v>
      </c>
      <c r="AD722">
        <f>セットアップレポート!AC722</f>
        <v>0</v>
      </c>
      <c r="AE722">
        <f>セットアップレポート!AD722</f>
        <v>0</v>
      </c>
      <c r="AF722">
        <f>セットアップレポート!AE722</f>
        <v>0</v>
      </c>
      <c r="AG722">
        <f>セットアップレポート!AF722</f>
        <v>0</v>
      </c>
      <c r="AH722">
        <f>セットアップレポート!AG722</f>
        <v>0</v>
      </c>
    </row>
    <row r="723" spans="1:34" x14ac:dyDescent="0.45">
      <c r="A723" t="str">
        <f t="shared" si="11"/>
        <v>000</v>
      </c>
      <c r="B723">
        <f>セットアップレポート!A723</f>
        <v>0</v>
      </c>
      <c r="C723">
        <f>セットアップレポート!B723</f>
        <v>0</v>
      </c>
      <c r="D723">
        <f>セットアップレポート!C723</f>
        <v>0</v>
      </c>
      <c r="E723">
        <f>セットアップレポート!D723</f>
        <v>0</v>
      </c>
      <c r="F723">
        <f>セットアップレポート!E723</f>
        <v>0</v>
      </c>
      <c r="G723">
        <f>セットアップレポート!F723</f>
        <v>0</v>
      </c>
      <c r="H723">
        <f>セットアップレポート!G723</f>
        <v>0</v>
      </c>
      <c r="I723">
        <f>セットアップレポート!H723</f>
        <v>0</v>
      </c>
      <c r="J723">
        <f>セットアップレポート!I723</f>
        <v>0</v>
      </c>
      <c r="K723">
        <f>セットアップレポート!J723</f>
        <v>0</v>
      </c>
      <c r="L723">
        <f>セットアップレポート!K723</f>
        <v>0</v>
      </c>
      <c r="M723">
        <f>セットアップレポート!L723</f>
        <v>0</v>
      </c>
      <c r="N723">
        <f>セットアップレポート!M723</f>
        <v>0</v>
      </c>
      <c r="O723">
        <f>セットアップレポート!N723</f>
        <v>0</v>
      </c>
      <c r="P723">
        <f>セットアップレポート!O723</f>
        <v>0</v>
      </c>
      <c r="Q723">
        <f>セットアップレポート!P723</f>
        <v>0</v>
      </c>
      <c r="R723">
        <f>セットアップレポート!Q723</f>
        <v>0</v>
      </c>
      <c r="S723">
        <f>セットアップレポート!R723</f>
        <v>0</v>
      </c>
      <c r="T723">
        <f>セットアップレポート!S723</f>
        <v>0</v>
      </c>
      <c r="U723">
        <f>セットアップレポート!T723</f>
        <v>0</v>
      </c>
      <c r="V723">
        <f>セットアップレポート!U723</f>
        <v>0</v>
      </c>
      <c r="W723">
        <f>セットアップレポート!V723</f>
        <v>0</v>
      </c>
      <c r="X723">
        <f>セットアップレポート!W723</f>
        <v>0</v>
      </c>
      <c r="Y723">
        <f>セットアップレポート!X723</f>
        <v>0</v>
      </c>
      <c r="Z723">
        <f>セットアップレポート!Y723</f>
        <v>0</v>
      </c>
      <c r="AA723">
        <f>セットアップレポート!Z723</f>
        <v>0</v>
      </c>
      <c r="AB723">
        <f>セットアップレポート!AA723</f>
        <v>0</v>
      </c>
      <c r="AC723">
        <f>セットアップレポート!AB723</f>
        <v>0</v>
      </c>
      <c r="AD723">
        <f>セットアップレポート!AC723</f>
        <v>0</v>
      </c>
      <c r="AE723">
        <f>セットアップレポート!AD723</f>
        <v>0</v>
      </c>
      <c r="AF723">
        <f>セットアップレポート!AE723</f>
        <v>0</v>
      </c>
      <c r="AG723">
        <f>セットアップレポート!AF723</f>
        <v>0</v>
      </c>
      <c r="AH723">
        <f>セットアップレポート!AG723</f>
        <v>0</v>
      </c>
    </row>
    <row r="724" spans="1:34" x14ac:dyDescent="0.45">
      <c r="A724" t="str">
        <f t="shared" si="11"/>
        <v>000</v>
      </c>
      <c r="B724">
        <f>セットアップレポート!A724</f>
        <v>0</v>
      </c>
      <c r="C724">
        <f>セットアップレポート!B724</f>
        <v>0</v>
      </c>
      <c r="D724">
        <f>セットアップレポート!C724</f>
        <v>0</v>
      </c>
      <c r="E724">
        <f>セットアップレポート!D724</f>
        <v>0</v>
      </c>
      <c r="F724">
        <f>セットアップレポート!E724</f>
        <v>0</v>
      </c>
      <c r="G724">
        <f>セットアップレポート!F724</f>
        <v>0</v>
      </c>
      <c r="H724">
        <f>セットアップレポート!G724</f>
        <v>0</v>
      </c>
      <c r="I724">
        <f>セットアップレポート!H724</f>
        <v>0</v>
      </c>
      <c r="J724">
        <f>セットアップレポート!I724</f>
        <v>0</v>
      </c>
      <c r="K724">
        <f>セットアップレポート!J724</f>
        <v>0</v>
      </c>
      <c r="L724">
        <f>セットアップレポート!K724</f>
        <v>0</v>
      </c>
      <c r="M724">
        <f>セットアップレポート!L724</f>
        <v>0</v>
      </c>
      <c r="N724">
        <f>セットアップレポート!M724</f>
        <v>0</v>
      </c>
      <c r="O724">
        <f>セットアップレポート!N724</f>
        <v>0</v>
      </c>
      <c r="P724">
        <f>セットアップレポート!O724</f>
        <v>0</v>
      </c>
      <c r="Q724">
        <f>セットアップレポート!P724</f>
        <v>0</v>
      </c>
      <c r="R724">
        <f>セットアップレポート!Q724</f>
        <v>0</v>
      </c>
      <c r="S724">
        <f>セットアップレポート!R724</f>
        <v>0</v>
      </c>
      <c r="T724">
        <f>セットアップレポート!S724</f>
        <v>0</v>
      </c>
      <c r="U724">
        <f>セットアップレポート!T724</f>
        <v>0</v>
      </c>
      <c r="V724">
        <f>セットアップレポート!U724</f>
        <v>0</v>
      </c>
      <c r="W724">
        <f>セットアップレポート!V724</f>
        <v>0</v>
      </c>
      <c r="X724">
        <f>セットアップレポート!W724</f>
        <v>0</v>
      </c>
      <c r="Y724">
        <f>セットアップレポート!X724</f>
        <v>0</v>
      </c>
      <c r="Z724">
        <f>セットアップレポート!Y724</f>
        <v>0</v>
      </c>
      <c r="AA724">
        <f>セットアップレポート!Z724</f>
        <v>0</v>
      </c>
      <c r="AB724">
        <f>セットアップレポート!AA724</f>
        <v>0</v>
      </c>
      <c r="AC724">
        <f>セットアップレポート!AB724</f>
        <v>0</v>
      </c>
      <c r="AD724">
        <f>セットアップレポート!AC724</f>
        <v>0</v>
      </c>
      <c r="AE724">
        <f>セットアップレポート!AD724</f>
        <v>0</v>
      </c>
      <c r="AF724">
        <f>セットアップレポート!AE724</f>
        <v>0</v>
      </c>
      <c r="AG724">
        <f>セットアップレポート!AF724</f>
        <v>0</v>
      </c>
      <c r="AH724">
        <f>セットアップレポート!AG724</f>
        <v>0</v>
      </c>
    </row>
    <row r="725" spans="1:34" x14ac:dyDescent="0.45">
      <c r="A725" t="str">
        <f t="shared" si="11"/>
        <v>000</v>
      </c>
      <c r="B725">
        <f>セットアップレポート!A725</f>
        <v>0</v>
      </c>
      <c r="C725">
        <f>セットアップレポート!B725</f>
        <v>0</v>
      </c>
      <c r="D725">
        <f>セットアップレポート!C725</f>
        <v>0</v>
      </c>
      <c r="E725">
        <f>セットアップレポート!D725</f>
        <v>0</v>
      </c>
      <c r="F725">
        <f>セットアップレポート!E725</f>
        <v>0</v>
      </c>
      <c r="G725">
        <f>セットアップレポート!F725</f>
        <v>0</v>
      </c>
      <c r="H725">
        <f>セットアップレポート!G725</f>
        <v>0</v>
      </c>
      <c r="I725">
        <f>セットアップレポート!H725</f>
        <v>0</v>
      </c>
      <c r="J725">
        <f>セットアップレポート!I725</f>
        <v>0</v>
      </c>
      <c r="K725">
        <f>セットアップレポート!J725</f>
        <v>0</v>
      </c>
      <c r="L725">
        <f>セットアップレポート!K725</f>
        <v>0</v>
      </c>
      <c r="M725">
        <f>セットアップレポート!L725</f>
        <v>0</v>
      </c>
      <c r="N725">
        <f>セットアップレポート!M725</f>
        <v>0</v>
      </c>
      <c r="O725">
        <f>セットアップレポート!N725</f>
        <v>0</v>
      </c>
      <c r="P725">
        <f>セットアップレポート!O725</f>
        <v>0</v>
      </c>
      <c r="Q725">
        <f>セットアップレポート!P725</f>
        <v>0</v>
      </c>
      <c r="R725">
        <f>セットアップレポート!Q725</f>
        <v>0</v>
      </c>
      <c r="S725">
        <f>セットアップレポート!R725</f>
        <v>0</v>
      </c>
      <c r="T725">
        <f>セットアップレポート!S725</f>
        <v>0</v>
      </c>
      <c r="U725">
        <f>セットアップレポート!T725</f>
        <v>0</v>
      </c>
      <c r="V725">
        <f>セットアップレポート!U725</f>
        <v>0</v>
      </c>
      <c r="W725">
        <f>セットアップレポート!V725</f>
        <v>0</v>
      </c>
      <c r="X725">
        <f>セットアップレポート!W725</f>
        <v>0</v>
      </c>
      <c r="Y725">
        <f>セットアップレポート!X725</f>
        <v>0</v>
      </c>
      <c r="Z725">
        <f>セットアップレポート!Y725</f>
        <v>0</v>
      </c>
      <c r="AA725">
        <f>セットアップレポート!Z725</f>
        <v>0</v>
      </c>
      <c r="AB725">
        <f>セットアップレポート!AA725</f>
        <v>0</v>
      </c>
      <c r="AC725">
        <f>セットアップレポート!AB725</f>
        <v>0</v>
      </c>
      <c r="AD725">
        <f>セットアップレポート!AC725</f>
        <v>0</v>
      </c>
      <c r="AE725">
        <f>セットアップレポート!AD725</f>
        <v>0</v>
      </c>
      <c r="AF725">
        <f>セットアップレポート!AE725</f>
        <v>0</v>
      </c>
      <c r="AG725">
        <f>セットアップレポート!AF725</f>
        <v>0</v>
      </c>
      <c r="AH725">
        <f>セットアップレポート!AG725</f>
        <v>0</v>
      </c>
    </row>
    <row r="726" spans="1:34" x14ac:dyDescent="0.45">
      <c r="A726" t="str">
        <f t="shared" si="11"/>
        <v>000</v>
      </c>
      <c r="B726">
        <f>セットアップレポート!A726</f>
        <v>0</v>
      </c>
      <c r="C726">
        <f>セットアップレポート!B726</f>
        <v>0</v>
      </c>
      <c r="D726">
        <f>セットアップレポート!C726</f>
        <v>0</v>
      </c>
      <c r="E726">
        <f>セットアップレポート!D726</f>
        <v>0</v>
      </c>
      <c r="F726">
        <f>セットアップレポート!E726</f>
        <v>0</v>
      </c>
      <c r="G726">
        <f>セットアップレポート!F726</f>
        <v>0</v>
      </c>
      <c r="H726">
        <f>セットアップレポート!G726</f>
        <v>0</v>
      </c>
      <c r="I726">
        <f>セットアップレポート!H726</f>
        <v>0</v>
      </c>
      <c r="J726">
        <f>セットアップレポート!I726</f>
        <v>0</v>
      </c>
      <c r="K726">
        <f>セットアップレポート!J726</f>
        <v>0</v>
      </c>
      <c r="L726">
        <f>セットアップレポート!K726</f>
        <v>0</v>
      </c>
      <c r="M726">
        <f>セットアップレポート!L726</f>
        <v>0</v>
      </c>
      <c r="N726">
        <f>セットアップレポート!M726</f>
        <v>0</v>
      </c>
      <c r="O726">
        <f>セットアップレポート!N726</f>
        <v>0</v>
      </c>
      <c r="P726">
        <f>セットアップレポート!O726</f>
        <v>0</v>
      </c>
      <c r="Q726">
        <f>セットアップレポート!P726</f>
        <v>0</v>
      </c>
      <c r="R726">
        <f>セットアップレポート!Q726</f>
        <v>0</v>
      </c>
      <c r="S726">
        <f>セットアップレポート!R726</f>
        <v>0</v>
      </c>
      <c r="T726">
        <f>セットアップレポート!S726</f>
        <v>0</v>
      </c>
      <c r="U726">
        <f>セットアップレポート!T726</f>
        <v>0</v>
      </c>
      <c r="V726">
        <f>セットアップレポート!U726</f>
        <v>0</v>
      </c>
      <c r="W726">
        <f>セットアップレポート!V726</f>
        <v>0</v>
      </c>
      <c r="X726">
        <f>セットアップレポート!W726</f>
        <v>0</v>
      </c>
      <c r="Y726">
        <f>セットアップレポート!X726</f>
        <v>0</v>
      </c>
      <c r="Z726">
        <f>セットアップレポート!Y726</f>
        <v>0</v>
      </c>
      <c r="AA726">
        <f>セットアップレポート!Z726</f>
        <v>0</v>
      </c>
      <c r="AB726">
        <f>セットアップレポート!AA726</f>
        <v>0</v>
      </c>
      <c r="AC726">
        <f>セットアップレポート!AB726</f>
        <v>0</v>
      </c>
      <c r="AD726">
        <f>セットアップレポート!AC726</f>
        <v>0</v>
      </c>
      <c r="AE726">
        <f>セットアップレポート!AD726</f>
        <v>0</v>
      </c>
      <c r="AF726">
        <f>セットアップレポート!AE726</f>
        <v>0</v>
      </c>
      <c r="AG726">
        <f>セットアップレポート!AF726</f>
        <v>0</v>
      </c>
      <c r="AH726">
        <f>セットアップレポート!AG726</f>
        <v>0</v>
      </c>
    </row>
    <row r="727" spans="1:34" x14ac:dyDescent="0.45">
      <c r="A727" t="str">
        <f t="shared" si="11"/>
        <v>000</v>
      </c>
      <c r="B727">
        <f>セットアップレポート!A727</f>
        <v>0</v>
      </c>
      <c r="C727">
        <f>セットアップレポート!B727</f>
        <v>0</v>
      </c>
      <c r="D727">
        <f>セットアップレポート!C727</f>
        <v>0</v>
      </c>
      <c r="E727">
        <f>セットアップレポート!D727</f>
        <v>0</v>
      </c>
      <c r="F727">
        <f>セットアップレポート!E727</f>
        <v>0</v>
      </c>
      <c r="G727">
        <f>セットアップレポート!F727</f>
        <v>0</v>
      </c>
      <c r="H727">
        <f>セットアップレポート!G727</f>
        <v>0</v>
      </c>
      <c r="I727">
        <f>セットアップレポート!H727</f>
        <v>0</v>
      </c>
      <c r="J727">
        <f>セットアップレポート!I727</f>
        <v>0</v>
      </c>
      <c r="K727">
        <f>セットアップレポート!J727</f>
        <v>0</v>
      </c>
      <c r="L727">
        <f>セットアップレポート!K727</f>
        <v>0</v>
      </c>
      <c r="M727">
        <f>セットアップレポート!L727</f>
        <v>0</v>
      </c>
      <c r="N727">
        <f>セットアップレポート!M727</f>
        <v>0</v>
      </c>
      <c r="O727">
        <f>セットアップレポート!N727</f>
        <v>0</v>
      </c>
      <c r="P727">
        <f>セットアップレポート!O727</f>
        <v>0</v>
      </c>
      <c r="Q727">
        <f>セットアップレポート!P727</f>
        <v>0</v>
      </c>
      <c r="R727">
        <f>セットアップレポート!Q727</f>
        <v>0</v>
      </c>
      <c r="S727">
        <f>セットアップレポート!R727</f>
        <v>0</v>
      </c>
      <c r="T727">
        <f>セットアップレポート!S727</f>
        <v>0</v>
      </c>
      <c r="U727">
        <f>セットアップレポート!T727</f>
        <v>0</v>
      </c>
      <c r="V727">
        <f>セットアップレポート!U727</f>
        <v>0</v>
      </c>
      <c r="W727">
        <f>セットアップレポート!V727</f>
        <v>0</v>
      </c>
      <c r="X727">
        <f>セットアップレポート!W727</f>
        <v>0</v>
      </c>
      <c r="Y727">
        <f>セットアップレポート!X727</f>
        <v>0</v>
      </c>
      <c r="Z727">
        <f>セットアップレポート!Y727</f>
        <v>0</v>
      </c>
      <c r="AA727">
        <f>セットアップレポート!Z727</f>
        <v>0</v>
      </c>
      <c r="AB727">
        <f>セットアップレポート!AA727</f>
        <v>0</v>
      </c>
      <c r="AC727">
        <f>セットアップレポート!AB727</f>
        <v>0</v>
      </c>
      <c r="AD727">
        <f>セットアップレポート!AC727</f>
        <v>0</v>
      </c>
      <c r="AE727">
        <f>セットアップレポート!AD727</f>
        <v>0</v>
      </c>
      <c r="AF727">
        <f>セットアップレポート!AE727</f>
        <v>0</v>
      </c>
      <c r="AG727">
        <f>セットアップレポート!AF727</f>
        <v>0</v>
      </c>
      <c r="AH727">
        <f>セットアップレポート!AG727</f>
        <v>0</v>
      </c>
    </row>
    <row r="728" spans="1:34" x14ac:dyDescent="0.45">
      <c r="A728" t="str">
        <f t="shared" si="11"/>
        <v>000</v>
      </c>
      <c r="B728">
        <f>セットアップレポート!A728</f>
        <v>0</v>
      </c>
      <c r="C728">
        <f>セットアップレポート!B728</f>
        <v>0</v>
      </c>
      <c r="D728">
        <f>セットアップレポート!C728</f>
        <v>0</v>
      </c>
      <c r="E728">
        <f>セットアップレポート!D728</f>
        <v>0</v>
      </c>
      <c r="F728">
        <f>セットアップレポート!E728</f>
        <v>0</v>
      </c>
      <c r="G728">
        <f>セットアップレポート!F728</f>
        <v>0</v>
      </c>
      <c r="H728">
        <f>セットアップレポート!G728</f>
        <v>0</v>
      </c>
      <c r="I728">
        <f>セットアップレポート!H728</f>
        <v>0</v>
      </c>
      <c r="J728">
        <f>セットアップレポート!I728</f>
        <v>0</v>
      </c>
      <c r="K728">
        <f>セットアップレポート!J728</f>
        <v>0</v>
      </c>
      <c r="L728">
        <f>セットアップレポート!K728</f>
        <v>0</v>
      </c>
      <c r="M728">
        <f>セットアップレポート!L728</f>
        <v>0</v>
      </c>
      <c r="N728">
        <f>セットアップレポート!M728</f>
        <v>0</v>
      </c>
      <c r="O728">
        <f>セットアップレポート!N728</f>
        <v>0</v>
      </c>
      <c r="P728">
        <f>セットアップレポート!O728</f>
        <v>0</v>
      </c>
      <c r="Q728">
        <f>セットアップレポート!P728</f>
        <v>0</v>
      </c>
      <c r="R728">
        <f>セットアップレポート!Q728</f>
        <v>0</v>
      </c>
      <c r="S728">
        <f>セットアップレポート!R728</f>
        <v>0</v>
      </c>
      <c r="T728">
        <f>セットアップレポート!S728</f>
        <v>0</v>
      </c>
      <c r="U728">
        <f>セットアップレポート!T728</f>
        <v>0</v>
      </c>
      <c r="V728">
        <f>セットアップレポート!U728</f>
        <v>0</v>
      </c>
      <c r="W728">
        <f>セットアップレポート!V728</f>
        <v>0</v>
      </c>
      <c r="X728">
        <f>セットアップレポート!W728</f>
        <v>0</v>
      </c>
      <c r="Y728">
        <f>セットアップレポート!X728</f>
        <v>0</v>
      </c>
      <c r="Z728">
        <f>セットアップレポート!Y728</f>
        <v>0</v>
      </c>
      <c r="AA728">
        <f>セットアップレポート!Z728</f>
        <v>0</v>
      </c>
      <c r="AB728">
        <f>セットアップレポート!AA728</f>
        <v>0</v>
      </c>
      <c r="AC728">
        <f>セットアップレポート!AB728</f>
        <v>0</v>
      </c>
      <c r="AD728">
        <f>セットアップレポート!AC728</f>
        <v>0</v>
      </c>
      <c r="AE728">
        <f>セットアップレポート!AD728</f>
        <v>0</v>
      </c>
      <c r="AF728">
        <f>セットアップレポート!AE728</f>
        <v>0</v>
      </c>
      <c r="AG728">
        <f>セットアップレポート!AF728</f>
        <v>0</v>
      </c>
      <c r="AH728">
        <f>セットアップレポート!AG728</f>
        <v>0</v>
      </c>
    </row>
    <row r="729" spans="1:34" x14ac:dyDescent="0.45">
      <c r="A729" t="str">
        <f t="shared" si="11"/>
        <v>000</v>
      </c>
      <c r="B729">
        <f>セットアップレポート!A729</f>
        <v>0</v>
      </c>
      <c r="C729">
        <f>セットアップレポート!B729</f>
        <v>0</v>
      </c>
      <c r="D729">
        <f>セットアップレポート!C729</f>
        <v>0</v>
      </c>
      <c r="E729">
        <f>セットアップレポート!D729</f>
        <v>0</v>
      </c>
      <c r="F729">
        <f>セットアップレポート!E729</f>
        <v>0</v>
      </c>
      <c r="G729">
        <f>セットアップレポート!F729</f>
        <v>0</v>
      </c>
      <c r="H729">
        <f>セットアップレポート!G729</f>
        <v>0</v>
      </c>
      <c r="I729">
        <f>セットアップレポート!H729</f>
        <v>0</v>
      </c>
      <c r="J729">
        <f>セットアップレポート!I729</f>
        <v>0</v>
      </c>
      <c r="K729">
        <f>セットアップレポート!J729</f>
        <v>0</v>
      </c>
      <c r="L729">
        <f>セットアップレポート!K729</f>
        <v>0</v>
      </c>
      <c r="M729">
        <f>セットアップレポート!L729</f>
        <v>0</v>
      </c>
      <c r="N729">
        <f>セットアップレポート!M729</f>
        <v>0</v>
      </c>
      <c r="O729">
        <f>セットアップレポート!N729</f>
        <v>0</v>
      </c>
      <c r="P729">
        <f>セットアップレポート!O729</f>
        <v>0</v>
      </c>
      <c r="Q729">
        <f>セットアップレポート!P729</f>
        <v>0</v>
      </c>
      <c r="R729">
        <f>セットアップレポート!Q729</f>
        <v>0</v>
      </c>
      <c r="S729">
        <f>セットアップレポート!R729</f>
        <v>0</v>
      </c>
      <c r="T729">
        <f>セットアップレポート!S729</f>
        <v>0</v>
      </c>
      <c r="U729">
        <f>セットアップレポート!T729</f>
        <v>0</v>
      </c>
      <c r="V729">
        <f>セットアップレポート!U729</f>
        <v>0</v>
      </c>
      <c r="W729">
        <f>セットアップレポート!V729</f>
        <v>0</v>
      </c>
      <c r="X729">
        <f>セットアップレポート!W729</f>
        <v>0</v>
      </c>
      <c r="Y729">
        <f>セットアップレポート!X729</f>
        <v>0</v>
      </c>
      <c r="Z729">
        <f>セットアップレポート!Y729</f>
        <v>0</v>
      </c>
      <c r="AA729">
        <f>セットアップレポート!Z729</f>
        <v>0</v>
      </c>
      <c r="AB729">
        <f>セットアップレポート!AA729</f>
        <v>0</v>
      </c>
      <c r="AC729">
        <f>セットアップレポート!AB729</f>
        <v>0</v>
      </c>
      <c r="AD729">
        <f>セットアップレポート!AC729</f>
        <v>0</v>
      </c>
      <c r="AE729">
        <f>セットアップレポート!AD729</f>
        <v>0</v>
      </c>
      <c r="AF729">
        <f>セットアップレポート!AE729</f>
        <v>0</v>
      </c>
      <c r="AG729">
        <f>セットアップレポート!AF729</f>
        <v>0</v>
      </c>
      <c r="AH729">
        <f>セットアップレポート!AG729</f>
        <v>0</v>
      </c>
    </row>
    <row r="730" spans="1:34" x14ac:dyDescent="0.45">
      <c r="A730" t="str">
        <f t="shared" si="11"/>
        <v>000</v>
      </c>
      <c r="B730">
        <f>セットアップレポート!A730</f>
        <v>0</v>
      </c>
      <c r="C730">
        <f>セットアップレポート!B730</f>
        <v>0</v>
      </c>
      <c r="D730">
        <f>セットアップレポート!C730</f>
        <v>0</v>
      </c>
      <c r="E730">
        <f>セットアップレポート!D730</f>
        <v>0</v>
      </c>
      <c r="F730">
        <f>セットアップレポート!E730</f>
        <v>0</v>
      </c>
      <c r="G730">
        <f>セットアップレポート!F730</f>
        <v>0</v>
      </c>
      <c r="H730">
        <f>セットアップレポート!G730</f>
        <v>0</v>
      </c>
      <c r="I730">
        <f>セットアップレポート!H730</f>
        <v>0</v>
      </c>
      <c r="J730">
        <f>セットアップレポート!I730</f>
        <v>0</v>
      </c>
      <c r="K730">
        <f>セットアップレポート!J730</f>
        <v>0</v>
      </c>
      <c r="L730">
        <f>セットアップレポート!K730</f>
        <v>0</v>
      </c>
      <c r="M730">
        <f>セットアップレポート!L730</f>
        <v>0</v>
      </c>
      <c r="N730">
        <f>セットアップレポート!M730</f>
        <v>0</v>
      </c>
      <c r="O730">
        <f>セットアップレポート!N730</f>
        <v>0</v>
      </c>
      <c r="P730">
        <f>セットアップレポート!O730</f>
        <v>0</v>
      </c>
      <c r="Q730">
        <f>セットアップレポート!P730</f>
        <v>0</v>
      </c>
      <c r="R730">
        <f>セットアップレポート!Q730</f>
        <v>0</v>
      </c>
      <c r="S730">
        <f>セットアップレポート!R730</f>
        <v>0</v>
      </c>
      <c r="T730">
        <f>セットアップレポート!S730</f>
        <v>0</v>
      </c>
      <c r="U730">
        <f>セットアップレポート!T730</f>
        <v>0</v>
      </c>
      <c r="V730">
        <f>セットアップレポート!U730</f>
        <v>0</v>
      </c>
      <c r="W730">
        <f>セットアップレポート!V730</f>
        <v>0</v>
      </c>
      <c r="X730">
        <f>セットアップレポート!W730</f>
        <v>0</v>
      </c>
      <c r="Y730">
        <f>セットアップレポート!X730</f>
        <v>0</v>
      </c>
      <c r="Z730">
        <f>セットアップレポート!Y730</f>
        <v>0</v>
      </c>
      <c r="AA730">
        <f>セットアップレポート!Z730</f>
        <v>0</v>
      </c>
      <c r="AB730">
        <f>セットアップレポート!AA730</f>
        <v>0</v>
      </c>
      <c r="AC730">
        <f>セットアップレポート!AB730</f>
        <v>0</v>
      </c>
      <c r="AD730">
        <f>セットアップレポート!AC730</f>
        <v>0</v>
      </c>
      <c r="AE730">
        <f>セットアップレポート!AD730</f>
        <v>0</v>
      </c>
      <c r="AF730">
        <f>セットアップレポート!AE730</f>
        <v>0</v>
      </c>
      <c r="AG730">
        <f>セットアップレポート!AF730</f>
        <v>0</v>
      </c>
      <c r="AH730">
        <f>セットアップレポート!AG730</f>
        <v>0</v>
      </c>
    </row>
    <row r="731" spans="1:34" x14ac:dyDescent="0.45">
      <c r="A731" t="str">
        <f t="shared" si="11"/>
        <v>000</v>
      </c>
      <c r="B731">
        <f>セットアップレポート!A731</f>
        <v>0</v>
      </c>
      <c r="C731">
        <f>セットアップレポート!B731</f>
        <v>0</v>
      </c>
      <c r="D731">
        <f>セットアップレポート!C731</f>
        <v>0</v>
      </c>
      <c r="E731">
        <f>セットアップレポート!D731</f>
        <v>0</v>
      </c>
      <c r="F731">
        <f>セットアップレポート!E731</f>
        <v>0</v>
      </c>
      <c r="G731">
        <f>セットアップレポート!F731</f>
        <v>0</v>
      </c>
      <c r="H731">
        <f>セットアップレポート!G731</f>
        <v>0</v>
      </c>
      <c r="I731">
        <f>セットアップレポート!H731</f>
        <v>0</v>
      </c>
      <c r="J731">
        <f>セットアップレポート!I731</f>
        <v>0</v>
      </c>
      <c r="K731">
        <f>セットアップレポート!J731</f>
        <v>0</v>
      </c>
      <c r="L731">
        <f>セットアップレポート!K731</f>
        <v>0</v>
      </c>
      <c r="M731">
        <f>セットアップレポート!L731</f>
        <v>0</v>
      </c>
      <c r="N731">
        <f>セットアップレポート!M731</f>
        <v>0</v>
      </c>
      <c r="O731">
        <f>セットアップレポート!N731</f>
        <v>0</v>
      </c>
      <c r="P731">
        <f>セットアップレポート!O731</f>
        <v>0</v>
      </c>
      <c r="Q731">
        <f>セットアップレポート!P731</f>
        <v>0</v>
      </c>
      <c r="R731">
        <f>セットアップレポート!Q731</f>
        <v>0</v>
      </c>
      <c r="S731">
        <f>セットアップレポート!R731</f>
        <v>0</v>
      </c>
      <c r="T731">
        <f>セットアップレポート!S731</f>
        <v>0</v>
      </c>
      <c r="U731">
        <f>セットアップレポート!T731</f>
        <v>0</v>
      </c>
      <c r="V731">
        <f>セットアップレポート!U731</f>
        <v>0</v>
      </c>
      <c r="W731">
        <f>セットアップレポート!V731</f>
        <v>0</v>
      </c>
      <c r="X731">
        <f>セットアップレポート!W731</f>
        <v>0</v>
      </c>
      <c r="Y731">
        <f>セットアップレポート!X731</f>
        <v>0</v>
      </c>
      <c r="Z731">
        <f>セットアップレポート!Y731</f>
        <v>0</v>
      </c>
      <c r="AA731">
        <f>セットアップレポート!Z731</f>
        <v>0</v>
      </c>
      <c r="AB731">
        <f>セットアップレポート!AA731</f>
        <v>0</v>
      </c>
      <c r="AC731">
        <f>セットアップレポート!AB731</f>
        <v>0</v>
      </c>
      <c r="AD731">
        <f>セットアップレポート!AC731</f>
        <v>0</v>
      </c>
      <c r="AE731">
        <f>セットアップレポート!AD731</f>
        <v>0</v>
      </c>
      <c r="AF731">
        <f>セットアップレポート!AE731</f>
        <v>0</v>
      </c>
      <c r="AG731">
        <f>セットアップレポート!AF731</f>
        <v>0</v>
      </c>
      <c r="AH731">
        <f>セットアップレポート!AG731</f>
        <v>0</v>
      </c>
    </row>
    <row r="732" spans="1:34" x14ac:dyDescent="0.45">
      <c r="A732" t="str">
        <f t="shared" si="11"/>
        <v>000</v>
      </c>
      <c r="B732">
        <f>セットアップレポート!A732</f>
        <v>0</v>
      </c>
      <c r="C732">
        <f>セットアップレポート!B732</f>
        <v>0</v>
      </c>
      <c r="D732">
        <f>セットアップレポート!C732</f>
        <v>0</v>
      </c>
      <c r="E732">
        <f>セットアップレポート!D732</f>
        <v>0</v>
      </c>
      <c r="F732">
        <f>セットアップレポート!E732</f>
        <v>0</v>
      </c>
      <c r="G732">
        <f>セットアップレポート!F732</f>
        <v>0</v>
      </c>
      <c r="H732">
        <f>セットアップレポート!G732</f>
        <v>0</v>
      </c>
      <c r="I732">
        <f>セットアップレポート!H732</f>
        <v>0</v>
      </c>
      <c r="J732">
        <f>セットアップレポート!I732</f>
        <v>0</v>
      </c>
      <c r="K732">
        <f>セットアップレポート!J732</f>
        <v>0</v>
      </c>
      <c r="L732">
        <f>セットアップレポート!K732</f>
        <v>0</v>
      </c>
      <c r="M732">
        <f>セットアップレポート!L732</f>
        <v>0</v>
      </c>
      <c r="N732">
        <f>セットアップレポート!M732</f>
        <v>0</v>
      </c>
      <c r="O732">
        <f>セットアップレポート!N732</f>
        <v>0</v>
      </c>
      <c r="P732">
        <f>セットアップレポート!O732</f>
        <v>0</v>
      </c>
      <c r="Q732">
        <f>セットアップレポート!P732</f>
        <v>0</v>
      </c>
      <c r="R732">
        <f>セットアップレポート!Q732</f>
        <v>0</v>
      </c>
      <c r="S732">
        <f>セットアップレポート!R732</f>
        <v>0</v>
      </c>
      <c r="T732">
        <f>セットアップレポート!S732</f>
        <v>0</v>
      </c>
      <c r="U732">
        <f>セットアップレポート!T732</f>
        <v>0</v>
      </c>
      <c r="V732">
        <f>セットアップレポート!U732</f>
        <v>0</v>
      </c>
      <c r="W732">
        <f>セットアップレポート!V732</f>
        <v>0</v>
      </c>
      <c r="X732">
        <f>セットアップレポート!W732</f>
        <v>0</v>
      </c>
      <c r="Y732">
        <f>セットアップレポート!X732</f>
        <v>0</v>
      </c>
      <c r="Z732">
        <f>セットアップレポート!Y732</f>
        <v>0</v>
      </c>
      <c r="AA732">
        <f>セットアップレポート!Z732</f>
        <v>0</v>
      </c>
      <c r="AB732">
        <f>セットアップレポート!AA732</f>
        <v>0</v>
      </c>
      <c r="AC732">
        <f>セットアップレポート!AB732</f>
        <v>0</v>
      </c>
      <c r="AD732">
        <f>セットアップレポート!AC732</f>
        <v>0</v>
      </c>
      <c r="AE732">
        <f>セットアップレポート!AD732</f>
        <v>0</v>
      </c>
      <c r="AF732">
        <f>セットアップレポート!AE732</f>
        <v>0</v>
      </c>
      <c r="AG732">
        <f>セットアップレポート!AF732</f>
        <v>0</v>
      </c>
      <c r="AH732">
        <f>セットアップレポート!AG732</f>
        <v>0</v>
      </c>
    </row>
    <row r="733" spans="1:34" x14ac:dyDescent="0.45">
      <c r="A733" t="str">
        <f t="shared" si="11"/>
        <v>000</v>
      </c>
      <c r="B733">
        <f>セットアップレポート!A733</f>
        <v>0</v>
      </c>
      <c r="C733">
        <f>セットアップレポート!B733</f>
        <v>0</v>
      </c>
      <c r="D733">
        <f>セットアップレポート!C733</f>
        <v>0</v>
      </c>
      <c r="E733">
        <f>セットアップレポート!D733</f>
        <v>0</v>
      </c>
      <c r="F733">
        <f>セットアップレポート!E733</f>
        <v>0</v>
      </c>
      <c r="G733">
        <f>セットアップレポート!F733</f>
        <v>0</v>
      </c>
      <c r="H733">
        <f>セットアップレポート!G733</f>
        <v>0</v>
      </c>
      <c r="I733">
        <f>セットアップレポート!H733</f>
        <v>0</v>
      </c>
      <c r="J733">
        <f>セットアップレポート!I733</f>
        <v>0</v>
      </c>
      <c r="K733">
        <f>セットアップレポート!J733</f>
        <v>0</v>
      </c>
      <c r="L733">
        <f>セットアップレポート!K733</f>
        <v>0</v>
      </c>
      <c r="M733">
        <f>セットアップレポート!L733</f>
        <v>0</v>
      </c>
      <c r="N733">
        <f>セットアップレポート!M733</f>
        <v>0</v>
      </c>
      <c r="O733">
        <f>セットアップレポート!N733</f>
        <v>0</v>
      </c>
      <c r="P733">
        <f>セットアップレポート!O733</f>
        <v>0</v>
      </c>
      <c r="Q733">
        <f>セットアップレポート!P733</f>
        <v>0</v>
      </c>
      <c r="R733">
        <f>セットアップレポート!Q733</f>
        <v>0</v>
      </c>
      <c r="S733">
        <f>セットアップレポート!R733</f>
        <v>0</v>
      </c>
      <c r="T733">
        <f>セットアップレポート!S733</f>
        <v>0</v>
      </c>
      <c r="U733">
        <f>セットアップレポート!T733</f>
        <v>0</v>
      </c>
      <c r="V733">
        <f>セットアップレポート!U733</f>
        <v>0</v>
      </c>
      <c r="W733">
        <f>セットアップレポート!V733</f>
        <v>0</v>
      </c>
      <c r="X733">
        <f>セットアップレポート!W733</f>
        <v>0</v>
      </c>
      <c r="Y733">
        <f>セットアップレポート!X733</f>
        <v>0</v>
      </c>
      <c r="Z733">
        <f>セットアップレポート!Y733</f>
        <v>0</v>
      </c>
      <c r="AA733">
        <f>セットアップレポート!Z733</f>
        <v>0</v>
      </c>
      <c r="AB733">
        <f>セットアップレポート!AA733</f>
        <v>0</v>
      </c>
      <c r="AC733">
        <f>セットアップレポート!AB733</f>
        <v>0</v>
      </c>
      <c r="AD733">
        <f>セットアップレポート!AC733</f>
        <v>0</v>
      </c>
      <c r="AE733">
        <f>セットアップレポート!AD733</f>
        <v>0</v>
      </c>
      <c r="AF733">
        <f>セットアップレポート!AE733</f>
        <v>0</v>
      </c>
      <c r="AG733">
        <f>セットアップレポート!AF733</f>
        <v>0</v>
      </c>
      <c r="AH733">
        <f>セットアップレポート!AG733</f>
        <v>0</v>
      </c>
    </row>
    <row r="734" spans="1:34" x14ac:dyDescent="0.45">
      <c r="A734" t="str">
        <f t="shared" si="11"/>
        <v>000</v>
      </c>
      <c r="B734">
        <f>セットアップレポート!A734</f>
        <v>0</v>
      </c>
      <c r="C734">
        <f>セットアップレポート!B734</f>
        <v>0</v>
      </c>
      <c r="D734">
        <f>セットアップレポート!C734</f>
        <v>0</v>
      </c>
      <c r="E734">
        <f>セットアップレポート!D734</f>
        <v>0</v>
      </c>
      <c r="F734">
        <f>セットアップレポート!E734</f>
        <v>0</v>
      </c>
      <c r="G734">
        <f>セットアップレポート!F734</f>
        <v>0</v>
      </c>
      <c r="H734">
        <f>セットアップレポート!G734</f>
        <v>0</v>
      </c>
      <c r="I734">
        <f>セットアップレポート!H734</f>
        <v>0</v>
      </c>
      <c r="J734">
        <f>セットアップレポート!I734</f>
        <v>0</v>
      </c>
      <c r="K734">
        <f>セットアップレポート!J734</f>
        <v>0</v>
      </c>
      <c r="L734">
        <f>セットアップレポート!K734</f>
        <v>0</v>
      </c>
      <c r="M734">
        <f>セットアップレポート!L734</f>
        <v>0</v>
      </c>
      <c r="N734">
        <f>セットアップレポート!M734</f>
        <v>0</v>
      </c>
      <c r="O734">
        <f>セットアップレポート!N734</f>
        <v>0</v>
      </c>
      <c r="P734">
        <f>セットアップレポート!O734</f>
        <v>0</v>
      </c>
      <c r="Q734">
        <f>セットアップレポート!P734</f>
        <v>0</v>
      </c>
      <c r="R734">
        <f>セットアップレポート!Q734</f>
        <v>0</v>
      </c>
      <c r="S734">
        <f>セットアップレポート!R734</f>
        <v>0</v>
      </c>
      <c r="T734">
        <f>セットアップレポート!S734</f>
        <v>0</v>
      </c>
      <c r="U734">
        <f>セットアップレポート!T734</f>
        <v>0</v>
      </c>
      <c r="V734">
        <f>セットアップレポート!U734</f>
        <v>0</v>
      </c>
      <c r="W734">
        <f>セットアップレポート!V734</f>
        <v>0</v>
      </c>
      <c r="X734">
        <f>セットアップレポート!W734</f>
        <v>0</v>
      </c>
      <c r="Y734">
        <f>セットアップレポート!X734</f>
        <v>0</v>
      </c>
      <c r="Z734">
        <f>セットアップレポート!Y734</f>
        <v>0</v>
      </c>
      <c r="AA734">
        <f>セットアップレポート!Z734</f>
        <v>0</v>
      </c>
      <c r="AB734">
        <f>セットアップレポート!AA734</f>
        <v>0</v>
      </c>
      <c r="AC734">
        <f>セットアップレポート!AB734</f>
        <v>0</v>
      </c>
      <c r="AD734">
        <f>セットアップレポート!AC734</f>
        <v>0</v>
      </c>
      <c r="AE734">
        <f>セットアップレポート!AD734</f>
        <v>0</v>
      </c>
      <c r="AF734">
        <f>セットアップレポート!AE734</f>
        <v>0</v>
      </c>
      <c r="AG734">
        <f>セットアップレポート!AF734</f>
        <v>0</v>
      </c>
      <c r="AH734">
        <f>セットアップレポート!AG734</f>
        <v>0</v>
      </c>
    </row>
    <row r="735" spans="1:34" x14ac:dyDescent="0.45">
      <c r="A735" t="str">
        <f t="shared" si="11"/>
        <v>000</v>
      </c>
      <c r="B735">
        <f>セットアップレポート!A735</f>
        <v>0</v>
      </c>
      <c r="C735">
        <f>セットアップレポート!B735</f>
        <v>0</v>
      </c>
      <c r="D735">
        <f>セットアップレポート!C735</f>
        <v>0</v>
      </c>
      <c r="E735">
        <f>セットアップレポート!D735</f>
        <v>0</v>
      </c>
      <c r="F735">
        <f>セットアップレポート!E735</f>
        <v>0</v>
      </c>
      <c r="G735">
        <f>セットアップレポート!F735</f>
        <v>0</v>
      </c>
      <c r="H735">
        <f>セットアップレポート!G735</f>
        <v>0</v>
      </c>
      <c r="I735">
        <f>セットアップレポート!H735</f>
        <v>0</v>
      </c>
      <c r="J735">
        <f>セットアップレポート!I735</f>
        <v>0</v>
      </c>
      <c r="K735">
        <f>セットアップレポート!J735</f>
        <v>0</v>
      </c>
      <c r="L735">
        <f>セットアップレポート!K735</f>
        <v>0</v>
      </c>
      <c r="M735">
        <f>セットアップレポート!L735</f>
        <v>0</v>
      </c>
      <c r="N735">
        <f>セットアップレポート!M735</f>
        <v>0</v>
      </c>
      <c r="O735">
        <f>セットアップレポート!N735</f>
        <v>0</v>
      </c>
      <c r="P735">
        <f>セットアップレポート!O735</f>
        <v>0</v>
      </c>
      <c r="Q735">
        <f>セットアップレポート!P735</f>
        <v>0</v>
      </c>
      <c r="R735">
        <f>セットアップレポート!Q735</f>
        <v>0</v>
      </c>
      <c r="S735">
        <f>セットアップレポート!R735</f>
        <v>0</v>
      </c>
      <c r="T735">
        <f>セットアップレポート!S735</f>
        <v>0</v>
      </c>
      <c r="U735">
        <f>セットアップレポート!T735</f>
        <v>0</v>
      </c>
      <c r="V735">
        <f>セットアップレポート!U735</f>
        <v>0</v>
      </c>
      <c r="W735">
        <f>セットアップレポート!V735</f>
        <v>0</v>
      </c>
      <c r="X735">
        <f>セットアップレポート!W735</f>
        <v>0</v>
      </c>
      <c r="Y735">
        <f>セットアップレポート!X735</f>
        <v>0</v>
      </c>
      <c r="Z735">
        <f>セットアップレポート!Y735</f>
        <v>0</v>
      </c>
      <c r="AA735">
        <f>セットアップレポート!Z735</f>
        <v>0</v>
      </c>
      <c r="AB735">
        <f>セットアップレポート!AA735</f>
        <v>0</v>
      </c>
      <c r="AC735">
        <f>セットアップレポート!AB735</f>
        <v>0</v>
      </c>
      <c r="AD735">
        <f>セットアップレポート!AC735</f>
        <v>0</v>
      </c>
      <c r="AE735">
        <f>セットアップレポート!AD735</f>
        <v>0</v>
      </c>
      <c r="AF735">
        <f>セットアップレポート!AE735</f>
        <v>0</v>
      </c>
      <c r="AG735">
        <f>セットアップレポート!AF735</f>
        <v>0</v>
      </c>
      <c r="AH735">
        <f>セットアップレポート!AG735</f>
        <v>0</v>
      </c>
    </row>
    <row r="736" spans="1:34" x14ac:dyDescent="0.45">
      <c r="A736" t="str">
        <f t="shared" si="11"/>
        <v>000</v>
      </c>
      <c r="B736">
        <f>セットアップレポート!A736</f>
        <v>0</v>
      </c>
      <c r="C736">
        <f>セットアップレポート!B736</f>
        <v>0</v>
      </c>
      <c r="D736">
        <f>セットアップレポート!C736</f>
        <v>0</v>
      </c>
      <c r="E736">
        <f>セットアップレポート!D736</f>
        <v>0</v>
      </c>
      <c r="F736">
        <f>セットアップレポート!E736</f>
        <v>0</v>
      </c>
      <c r="G736">
        <f>セットアップレポート!F736</f>
        <v>0</v>
      </c>
      <c r="H736">
        <f>セットアップレポート!G736</f>
        <v>0</v>
      </c>
      <c r="I736">
        <f>セットアップレポート!H736</f>
        <v>0</v>
      </c>
      <c r="J736">
        <f>セットアップレポート!I736</f>
        <v>0</v>
      </c>
      <c r="K736">
        <f>セットアップレポート!J736</f>
        <v>0</v>
      </c>
      <c r="L736">
        <f>セットアップレポート!K736</f>
        <v>0</v>
      </c>
      <c r="M736">
        <f>セットアップレポート!L736</f>
        <v>0</v>
      </c>
      <c r="N736">
        <f>セットアップレポート!M736</f>
        <v>0</v>
      </c>
      <c r="O736">
        <f>セットアップレポート!N736</f>
        <v>0</v>
      </c>
      <c r="P736">
        <f>セットアップレポート!O736</f>
        <v>0</v>
      </c>
      <c r="Q736">
        <f>セットアップレポート!P736</f>
        <v>0</v>
      </c>
      <c r="R736">
        <f>セットアップレポート!Q736</f>
        <v>0</v>
      </c>
      <c r="S736">
        <f>セットアップレポート!R736</f>
        <v>0</v>
      </c>
      <c r="T736">
        <f>セットアップレポート!S736</f>
        <v>0</v>
      </c>
      <c r="U736">
        <f>セットアップレポート!T736</f>
        <v>0</v>
      </c>
      <c r="V736">
        <f>セットアップレポート!U736</f>
        <v>0</v>
      </c>
      <c r="W736">
        <f>セットアップレポート!V736</f>
        <v>0</v>
      </c>
      <c r="X736">
        <f>セットアップレポート!W736</f>
        <v>0</v>
      </c>
      <c r="Y736">
        <f>セットアップレポート!X736</f>
        <v>0</v>
      </c>
      <c r="Z736">
        <f>セットアップレポート!Y736</f>
        <v>0</v>
      </c>
      <c r="AA736">
        <f>セットアップレポート!Z736</f>
        <v>0</v>
      </c>
      <c r="AB736">
        <f>セットアップレポート!AA736</f>
        <v>0</v>
      </c>
      <c r="AC736">
        <f>セットアップレポート!AB736</f>
        <v>0</v>
      </c>
      <c r="AD736">
        <f>セットアップレポート!AC736</f>
        <v>0</v>
      </c>
      <c r="AE736">
        <f>セットアップレポート!AD736</f>
        <v>0</v>
      </c>
      <c r="AF736">
        <f>セットアップレポート!AE736</f>
        <v>0</v>
      </c>
      <c r="AG736">
        <f>セットアップレポート!AF736</f>
        <v>0</v>
      </c>
      <c r="AH736">
        <f>セットアップレポート!AG736</f>
        <v>0</v>
      </c>
    </row>
    <row r="737" spans="1:34" x14ac:dyDescent="0.45">
      <c r="A737" t="str">
        <f t="shared" si="11"/>
        <v>000</v>
      </c>
      <c r="B737">
        <f>セットアップレポート!A737</f>
        <v>0</v>
      </c>
      <c r="C737">
        <f>セットアップレポート!B737</f>
        <v>0</v>
      </c>
      <c r="D737">
        <f>セットアップレポート!C737</f>
        <v>0</v>
      </c>
      <c r="E737">
        <f>セットアップレポート!D737</f>
        <v>0</v>
      </c>
      <c r="F737">
        <f>セットアップレポート!E737</f>
        <v>0</v>
      </c>
      <c r="G737">
        <f>セットアップレポート!F737</f>
        <v>0</v>
      </c>
      <c r="H737">
        <f>セットアップレポート!G737</f>
        <v>0</v>
      </c>
      <c r="I737">
        <f>セットアップレポート!H737</f>
        <v>0</v>
      </c>
      <c r="J737">
        <f>セットアップレポート!I737</f>
        <v>0</v>
      </c>
      <c r="K737">
        <f>セットアップレポート!J737</f>
        <v>0</v>
      </c>
      <c r="L737">
        <f>セットアップレポート!K737</f>
        <v>0</v>
      </c>
      <c r="M737">
        <f>セットアップレポート!L737</f>
        <v>0</v>
      </c>
      <c r="N737">
        <f>セットアップレポート!M737</f>
        <v>0</v>
      </c>
      <c r="O737">
        <f>セットアップレポート!N737</f>
        <v>0</v>
      </c>
      <c r="P737">
        <f>セットアップレポート!O737</f>
        <v>0</v>
      </c>
      <c r="Q737">
        <f>セットアップレポート!P737</f>
        <v>0</v>
      </c>
      <c r="R737">
        <f>セットアップレポート!Q737</f>
        <v>0</v>
      </c>
      <c r="S737">
        <f>セットアップレポート!R737</f>
        <v>0</v>
      </c>
      <c r="T737">
        <f>セットアップレポート!S737</f>
        <v>0</v>
      </c>
      <c r="U737">
        <f>セットアップレポート!T737</f>
        <v>0</v>
      </c>
      <c r="V737">
        <f>セットアップレポート!U737</f>
        <v>0</v>
      </c>
      <c r="W737">
        <f>セットアップレポート!V737</f>
        <v>0</v>
      </c>
      <c r="X737">
        <f>セットアップレポート!W737</f>
        <v>0</v>
      </c>
      <c r="Y737">
        <f>セットアップレポート!X737</f>
        <v>0</v>
      </c>
      <c r="Z737">
        <f>セットアップレポート!Y737</f>
        <v>0</v>
      </c>
      <c r="AA737">
        <f>セットアップレポート!Z737</f>
        <v>0</v>
      </c>
      <c r="AB737">
        <f>セットアップレポート!AA737</f>
        <v>0</v>
      </c>
      <c r="AC737">
        <f>セットアップレポート!AB737</f>
        <v>0</v>
      </c>
      <c r="AD737">
        <f>セットアップレポート!AC737</f>
        <v>0</v>
      </c>
      <c r="AE737">
        <f>セットアップレポート!AD737</f>
        <v>0</v>
      </c>
      <c r="AF737">
        <f>セットアップレポート!AE737</f>
        <v>0</v>
      </c>
      <c r="AG737">
        <f>セットアップレポート!AF737</f>
        <v>0</v>
      </c>
      <c r="AH737">
        <f>セットアップレポート!AG737</f>
        <v>0</v>
      </c>
    </row>
    <row r="738" spans="1:34" x14ac:dyDescent="0.45">
      <c r="A738" t="str">
        <f t="shared" si="11"/>
        <v>000</v>
      </c>
      <c r="B738">
        <f>セットアップレポート!A738</f>
        <v>0</v>
      </c>
      <c r="C738">
        <f>セットアップレポート!B738</f>
        <v>0</v>
      </c>
      <c r="D738">
        <f>セットアップレポート!C738</f>
        <v>0</v>
      </c>
      <c r="E738">
        <f>セットアップレポート!D738</f>
        <v>0</v>
      </c>
      <c r="F738">
        <f>セットアップレポート!E738</f>
        <v>0</v>
      </c>
      <c r="G738">
        <f>セットアップレポート!F738</f>
        <v>0</v>
      </c>
      <c r="H738">
        <f>セットアップレポート!G738</f>
        <v>0</v>
      </c>
      <c r="I738">
        <f>セットアップレポート!H738</f>
        <v>0</v>
      </c>
      <c r="J738">
        <f>セットアップレポート!I738</f>
        <v>0</v>
      </c>
      <c r="K738">
        <f>セットアップレポート!J738</f>
        <v>0</v>
      </c>
      <c r="L738">
        <f>セットアップレポート!K738</f>
        <v>0</v>
      </c>
      <c r="M738">
        <f>セットアップレポート!L738</f>
        <v>0</v>
      </c>
      <c r="N738">
        <f>セットアップレポート!M738</f>
        <v>0</v>
      </c>
      <c r="O738">
        <f>セットアップレポート!N738</f>
        <v>0</v>
      </c>
      <c r="P738">
        <f>セットアップレポート!O738</f>
        <v>0</v>
      </c>
      <c r="Q738">
        <f>セットアップレポート!P738</f>
        <v>0</v>
      </c>
      <c r="R738">
        <f>セットアップレポート!Q738</f>
        <v>0</v>
      </c>
      <c r="S738">
        <f>セットアップレポート!R738</f>
        <v>0</v>
      </c>
      <c r="T738">
        <f>セットアップレポート!S738</f>
        <v>0</v>
      </c>
      <c r="U738">
        <f>セットアップレポート!T738</f>
        <v>0</v>
      </c>
      <c r="V738">
        <f>セットアップレポート!U738</f>
        <v>0</v>
      </c>
      <c r="W738">
        <f>セットアップレポート!V738</f>
        <v>0</v>
      </c>
      <c r="X738">
        <f>セットアップレポート!W738</f>
        <v>0</v>
      </c>
      <c r="Y738">
        <f>セットアップレポート!X738</f>
        <v>0</v>
      </c>
      <c r="Z738">
        <f>セットアップレポート!Y738</f>
        <v>0</v>
      </c>
      <c r="AA738">
        <f>セットアップレポート!Z738</f>
        <v>0</v>
      </c>
      <c r="AB738">
        <f>セットアップレポート!AA738</f>
        <v>0</v>
      </c>
      <c r="AC738">
        <f>セットアップレポート!AB738</f>
        <v>0</v>
      </c>
      <c r="AD738">
        <f>セットアップレポート!AC738</f>
        <v>0</v>
      </c>
      <c r="AE738">
        <f>セットアップレポート!AD738</f>
        <v>0</v>
      </c>
      <c r="AF738">
        <f>セットアップレポート!AE738</f>
        <v>0</v>
      </c>
      <c r="AG738">
        <f>セットアップレポート!AF738</f>
        <v>0</v>
      </c>
      <c r="AH738">
        <f>セットアップレポート!AG738</f>
        <v>0</v>
      </c>
    </row>
    <row r="739" spans="1:34" x14ac:dyDescent="0.45">
      <c r="A739" t="str">
        <f t="shared" si="11"/>
        <v>000</v>
      </c>
      <c r="B739">
        <f>セットアップレポート!A739</f>
        <v>0</v>
      </c>
      <c r="C739">
        <f>セットアップレポート!B739</f>
        <v>0</v>
      </c>
      <c r="D739">
        <f>セットアップレポート!C739</f>
        <v>0</v>
      </c>
      <c r="E739">
        <f>セットアップレポート!D739</f>
        <v>0</v>
      </c>
      <c r="F739">
        <f>セットアップレポート!E739</f>
        <v>0</v>
      </c>
      <c r="G739">
        <f>セットアップレポート!F739</f>
        <v>0</v>
      </c>
      <c r="H739">
        <f>セットアップレポート!G739</f>
        <v>0</v>
      </c>
      <c r="I739">
        <f>セットアップレポート!H739</f>
        <v>0</v>
      </c>
      <c r="J739">
        <f>セットアップレポート!I739</f>
        <v>0</v>
      </c>
      <c r="K739">
        <f>セットアップレポート!J739</f>
        <v>0</v>
      </c>
      <c r="L739">
        <f>セットアップレポート!K739</f>
        <v>0</v>
      </c>
      <c r="M739">
        <f>セットアップレポート!L739</f>
        <v>0</v>
      </c>
      <c r="N739">
        <f>セットアップレポート!M739</f>
        <v>0</v>
      </c>
      <c r="O739">
        <f>セットアップレポート!N739</f>
        <v>0</v>
      </c>
      <c r="P739">
        <f>セットアップレポート!O739</f>
        <v>0</v>
      </c>
      <c r="Q739">
        <f>セットアップレポート!P739</f>
        <v>0</v>
      </c>
      <c r="R739">
        <f>セットアップレポート!Q739</f>
        <v>0</v>
      </c>
      <c r="S739">
        <f>セットアップレポート!R739</f>
        <v>0</v>
      </c>
      <c r="T739">
        <f>セットアップレポート!S739</f>
        <v>0</v>
      </c>
      <c r="U739">
        <f>セットアップレポート!T739</f>
        <v>0</v>
      </c>
      <c r="V739">
        <f>セットアップレポート!U739</f>
        <v>0</v>
      </c>
      <c r="W739">
        <f>セットアップレポート!V739</f>
        <v>0</v>
      </c>
      <c r="X739">
        <f>セットアップレポート!W739</f>
        <v>0</v>
      </c>
      <c r="Y739">
        <f>セットアップレポート!X739</f>
        <v>0</v>
      </c>
      <c r="Z739">
        <f>セットアップレポート!Y739</f>
        <v>0</v>
      </c>
      <c r="AA739">
        <f>セットアップレポート!Z739</f>
        <v>0</v>
      </c>
      <c r="AB739">
        <f>セットアップレポート!AA739</f>
        <v>0</v>
      </c>
      <c r="AC739">
        <f>セットアップレポート!AB739</f>
        <v>0</v>
      </c>
      <c r="AD739">
        <f>セットアップレポート!AC739</f>
        <v>0</v>
      </c>
      <c r="AE739">
        <f>セットアップレポート!AD739</f>
        <v>0</v>
      </c>
      <c r="AF739">
        <f>セットアップレポート!AE739</f>
        <v>0</v>
      </c>
      <c r="AG739">
        <f>セットアップレポート!AF739</f>
        <v>0</v>
      </c>
      <c r="AH739">
        <f>セットアップレポート!AG739</f>
        <v>0</v>
      </c>
    </row>
    <row r="740" spans="1:34" x14ac:dyDescent="0.45">
      <c r="A740" t="str">
        <f t="shared" si="11"/>
        <v>000</v>
      </c>
      <c r="B740">
        <f>セットアップレポート!A740</f>
        <v>0</v>
      </c>
      <c r="C740">
        <f>セットアップレポート!B740</f>
        <v>0</v>
      </c>
      <c r="D740">
        <f>セットアップレポート!C740</f>
        <v>0</v>
      </c>
      <c r="E740">
        <f>セットアップレポート!D740</f>
        <v>0</v>
      </c>
      <c r="F740">
        <f>セットアップレポート!E740</f>
        <v>0</v>
      </c>
      <c r="G740">
        <f>セットアップレポート!F740</f>
        <v>0</v>
      </c>
      <c r="H740">
        <f>セットアップレポート!G740</f>
        <v>0</v>
      </c>
      <c r="I740">
        <f>セットアップレポート!H740</f>
        <v>0</v>
      </c>
      <c r="J740">
        <f>セットアップレポート!I740</f>
        <v>0</v>
      </c>
      <c r="K740">
        <f>セットアップレポート!J740</f>
        <v>0</v>
      </c>
      <c r="L740">
        <f>セットアップレポート!K740</f>
        <v>0</v>
      </c>
      <c r="M740">
        <f>セットアップレポート!L740</f>
        <v>0</v>
      </c>
      <c r="N740">
        <f>セットアップレポート!M740</f>
        <v>0</v>
      </c>
      <c r="O740">
        <f>セットアップレポート!N740</f>
        <v>0</v>
      </c>
      <c r="P740">
        <f>セットアップレポート!O740</f>
        <v>0</v>
      </c>
      <c r="Q740">
        <f>セットアップレポート!P740</f>
        <v>0</v>
      </c>
      <c r="R740">
        <f>セットアップレポート!Q740</f>
        <v>0</v>
      </c>
      <c r="S740">
        <f>セットアップレポート!R740</f>
        <v>0</v>
      </c>
      <c r="T740">
        <f>セットアップレポート!S740</f>
        <v>0</v>
      </c>
      <c r="U740">
        <f>セットアップレポート!T740</f>
        <v>0</v>
      </c>
      <c r="V740">
        <f>セットアップレポート!U740</f>
        <v>0</v>
      </c>
      <c r="W740">
        <f>セットアップレポート!V740</f>
        <v>0</v>
      </c>
      <c r="X740">
        <f>セットアップレポート!W740</f>
        <v>0</v>
      </c>
      <c r="Y740">
        <f>セットアップレポート!X740</f>
        <v>0</v>
      </c>
      <c r="Z740">
        <f>セットアップレポート!Y740</f>
        <v>0</v>
      </c>
      <c r="AA740">
        <f>セットアップレポート!Z740</f>
        <v>0</v>
      </c>
      <c r="AB740">
        <f>セットアップレポート!AA740</f>
        <v>0</v>
      </c>
      <c r="AC740">
        <f>セットアップレポート!AB740</f>
        <v>0</v>
      </c>
      <c r="AD740">
        <f>セットアップレポート!AC740</f>
        <v>0</v>
      </c>
      <c r="AE740">
        <f>セットアップレポート!AD740</f>
        <v>0</v>
      </c>
      <c r="AF740">
        <f>セットアップレポート!AE740</f>
        <v>0</v>
      </c>
      <c r="AG740">
        <f>セットアップレポート!AF740</f>
        <v>0</v>
      </c>
      <c r="AH740">
        <f>セットアップレポート!AG740</f>
        <v>0</v>
      </c>
    </row>
    <row r="741" spans="1:34" x14ac:dyDescent="0.45">
      <c r="A741" t="str">
        <f t="shared" si="11"/>
        <v>000</v>
      </c>
      <c r="B741">
        <f>セットアップレポート!A741</f>
        <v>0</v>
      </c>
      <c r="C741">
        <f>セットアップレポート!B741</f>
        <v>0</v>
      </c>
      <c r="D741">
        <f>セットアップレポート!C741</f>
        <v>0</v>
      </c>
      <c r="E741">
        <f>セットアップレポート!D741</f>
        <v>0</v>
      </c>
      <c r="F741">
        <f>セットアップレポート!E741</f>
        <v>0</v>
      </c>
      <c r="G741">
        <f>セットアップレポート!F741</f>
        <v>0</v>
      </c>
      <c r="H741">
        <f>セットアップレポート!G741</f>
        <v>0</v>
      </c>
      <c r="I741">
        <f>セットアップレポート!H741</f>
        <v>0</v>
      </c>
      <c r="J741">
        <f>セットアップレポート!I741</f>
        <v>0</v>
      </c>
      <c r="K741">
        <f>セットアップレポート!J741</f>
        <v>0</v>
      </c>
      <c r="L741">
        <f>セットアップレポート!K741</f>
        <v>0</v>
      </c>
      <c r="M741">
        <f>セットアップレポート!L741</f>
        <v>0</v>
      </c>
      <c r="N741">
        <f>セットアップレポート!M741</f>
        <v>0</v>
      </c>
      <c r="O741">
        <f>セットアップレポート!N741</f>
        <v>0</v>
      </c>
      <c r="P741">
        <f>セットアップレポート!O741</f>
        <v>0</v>
      </c>
      <c r="Q741">
        <f>セットアップレポート!P741</f>
        <v>0</v>
      </c>
      <c r="R741">
        <f>セットアップレポート!Q741</f>
        <v>0</v>
      </c>
      <c r="S741">
        <f>セットアップレポート!R741</f>
        <v>0</v>
      </c>
      <c r="T741">
        <f>セットアップレポート!S741</f>
        <v>0</v>
      </c>
      <c r="U741">
        <f>セットアップレポート!T741</f>
        <v>0</v>
      </c>
      <c r="V741">
        <f>セットアップレポート!U741</f>
        <v>0</v>
      </c>
      <c r="W741">
        <f>セットアップレポート!V741</f>
        <v>0</v>
      </c>
      <c r="X741">
        <f>セットアップレポート!W741</f>
        <v>0</v>
      </c>
      <c r="Y741">
        <f>セットアップレポート!X741</f>
        <v>0</v>
      </c>
      <c r="Z741">
        <f>セットアップレポート!Y741</f>
        <v>0</v>
      </c>
      <c r="AA741">
        <f>セットアップレポート!Z741</f>
        <v>0</v>
      </c>
      <c r="AB741">
        <f>セットアップレポート!AA741</f>
        <v>0</v>
      </c>
      <c r="AC741">
        <f>セットアップレポート!AB741</f>
        <v>0</v>
      </c>
      <c r="AD741">
        <f>セットアップレポート!AC741</f>
        <v>0</v>
      </c>
      <c r="AE741">
        <f>セットアップレポート!AD741</f>
        <v>0</v>
      </c>
      <c r="AF741">
        <f>セットアップレポート!AE741</f>
        <v>0</v>
      </c>
      <c r="AG741">
        <f>セットアップレポート!AF741</f>
        <v>0</v>
      </c>
      <c r="AH741">
        <f>セットアップレポート!AG741</f>
        <v>0</v>
      </c>
    </row>
    <row r="742" spans="1:34" x14ac:dyDescent="0.45">
      <c r="A742" t="str">
        <f t="shared" si="11"/>
        <v>000</v>
      </c>
      <c r="B742">
        <f>セットアップレポート!A742</f>
        <v>0</v>
      </c>
      <c r="C742">
        <f>セットアップレポート!B742</f>
        <v>0</v>
      </c>
      <c r="D742">
        <f>セットアップレポート!C742</f>
        <v>0</v>
      </c>
      <c r="E742">
        <f>セットアップレポート!D742</f>
        <v>0</v>
      </c>
      <c r="F742">
        <f>セットアップレポート!E742</f>
        <v>0</v>
      </c>
      <c r="G742">
        <f>セットアップレポート!F742</f>
        <v>0</v>
      </c>
      <c r="H742">
        <f>セットアップレポート!G742</f>
        <v>0</v>
      </c>
      <c r="I742">
        <f>セットアップレポート!H742</f>
        <v>0</v>
      </c>
      <c r="J742">
        <f>セットアップレポート!I742</f>
        <v>0</v>
      </c>
      <c r="K742">
        <f>セットアップレポート!J742</f>
        <v>0</v>
      </c>
      <c r="L742">
        <f>セットアップレポート!K742</f>
        <v>0</v>
      </c>
      <c r="M742">
        <f>セットアップレポート!L742</f>
        <v>0</v>
      </c>
      <c r="N742">
        <f>セットアップレポート!M742</f>
        <v>0</v>
      </c>
      <c r="O742">
        <f>セットアップレポート!N742</f>
        <v>0</v>
      </c>
      <c r="P742">
        <f>セットアップレポート!O742</f>
        <v>0</v>
      </c>
      <c r="Q742">
        <f>セットアップレポート!P742</f>
        <v>0</v>
      </c>
      <c r="R742">
        <f>セットアップレポート!Q742</f>
        <v>0</v>
      </c>
      <c r="S742">
        <f>セットアップレポート!R742</f>
        <v>0</v>
      </c>
      <c r="T742">
        <f>セットアップレポート!S742</f>
        <v>0</v>
      </c>
      <c r="U742">
        <f>セットアップレポート!T742</f>
        <v>0</v>
      </c>
      <c r="V742">
        <f>セットアップレポート!U742</f>
        <v>0</v>
      </c>
      <c r="W742">
        <f>セットアップレポート!V742</f>
        <v>0</v>
      </c>
      <c r="X742">
        <f>セットアップレポート!W742</f>
        <v>0</v>
      </c>
      <c r="Y742">
        <f>セットアップレポート!X742</f>
        <v>0</v>
      </c>
      <c r="Z742">
        <f>セットアップレポート!Y742</f>
        <v>0</v>
      </c>
      <c r="AA742">
        <f>セットアップレポート!Z742</f>
        <v>0</v>
      </c>
      <c r="AB742">
        <f>セットアップレポート!AA742</f>
        <v>0</v>
      </c>
      <c r="AC742">
        <f>セットアップレポート!AB742</f>
        <v>0</v>
      </c>
      <c r="AD742">
        <f>セットアップレポート!AC742</f>
        <v>0</v>
      </c>
      <c r="AE742">
        <f>セットアップレポート!AD742</f>
        <v>0</v>
      </c>
      <c r="AF742">
        <f>セットアップレポート!AE742</f>
        <v>0</v>
      </c>
      <c r="AG742">
        <f>セットアップレポート!AF742</f>
        <v>0</v>
      </c>
      <c r="AH742">
        <f>セットアップレポート!AG742</f>
        <v>0</v>
      </c>
    </row>
    <row r="743" spans="1:34" x14ac:dyDescent="0.45">
      <c r="A743" t="str">
        <f t="shared" si="11"/>
        <v>000</v>
      </c>
      <c r="B743">
        <f>セットアップレポート!A743</f>
        <v>0</v>
      </c>
      <c r="C743">
        <f>セットアップレポート!B743</f>
        <v>0</v>
      </c>
      <c r="D743">
        <f>セットアップレポート!C743</f>
        <v>0</v>
      </c>
      <c r="E743">
        <f>セットアップレポート!D743</f>
        <v>0</v>
      </c>
      <c r="F743">
        <f>セットアップレポート!E743</f>
        <v>0</v>
      </c>
      <c r="G743">
        <f>セットアップレポート!F743</f>
        <v>0</v>
      </c>
      <c r="H743">
        <f>セットアップレポート!G743</f>
        <v>0</v>
      </c>
      <c r="I743">
        <f>セットアップレポート!H743</f>
        <v>0</v>
      </c>
      <c r="J743">
        <f>セットアップレポート!I743</f>
        <v>0</v>
      </c>
      <c r="K743">
        <f>セットアップレポート!J743</f>
        <v>0</v>
      </c>
      <c r="L743">
        <f>セットアップレポート!K743</f>
        <v>0</v>
      </c>
      <c r="M743">
        <f>セットアップレポート!L743</f>
        <v>0</v>
      </c>
      <c r="N743">
        <f>セットアップレポート!M743</f>
        <v>0</v>
      </c>
      <c r="O743">
        <f>セットアップレポート!N743</f>
        <v>0</v>
      </c>
      <c r="P743">
        <f>セットアップレポート!O743</f>
        <v>0</v>
      </c>
      <c r="Q743">
        <f>セットアップレポート!P743</f>
        <v>0</v>
      </c>
      <c r="R743">
        <f>セットアップレポート!Q743</f>
        <v>0</v>
      </c>
      <c r="S743">
        <f>セットアップレポート!R743</f>
        <v>0</v>
      </c>
      <c r="T743">
        <f>セットアップレポート!S743</f>
        <v>0</v>
      </c>
      <c r="U743">
        <f>セットアップレポート!T743</f>
        <v>0</v>
      </c>
      <c r="V743">
        <f>セットアップレポート!U743</f>
        <v>0</v>
      </c>
      <c r="W743">
        <f>セットアップレポート!V743</f>
        <v>0</v>
      </c>
      <c r="X743">
        <f>セットアップレポート!W743</f>
        <v>0</v>
      </c>
      <c r="Y743">
        <f>セットアップレポート!X743</f>
        <v>0</v>
      </c>
      <c r="Z743">
        <f>セットアップレポート!Y743</f>
        <v>0</v>
      </c>
      <c r="AA743">
        <f>セットアップレポート!Z743</f>
        <v>0</v>
      </c>
      <c r="AB743">
        <f>セットアップレポート!AA743</f>
        <v>0</v>
      </c>
      <c r="AC743">
        <f>セットアップレポート!AB743</f>
        <v>0</v>
      </c>
      <c r="AD743">
        <f>セットアップレポート!AC743</f>
        <v>0</v>
      </c>
      <c r="AE743">
        <f>セットアップレポート!AD743</f>
        <v>0</v>
      </c>
      <c r="AF743">
        <f>セットアップレポート!AE743</f>
        <v>0</v>
      </c>
      <c r="AG743">
        <f>セットアップレポート!AF743</f>
        <v>0</v>
      </c>
      <c r="AH743">
        <f>セットアップレポート!AG743</f>
        <v>0</v>
      </c>
    </row>
    <row r="744" spans="1:34" x14ac:dyDescent="0.45">
      <c r="A744" t="str">
        <f t="shared" si="11"/>
        <v>000</v>
      </c>
      <c r="B744">
        <f>セットアップレポート!A744</f>
        <v>0</v>
      </c>
      <c r="C744">
        <f>セットアップレポート!B744</f>
        <v>0</v>
      </c>
      <c r="D744">
        <f>セットアップレポート!C744</f>
        <v>0</v>
      </c>
      <c r="E744">
        <f>セットアップレポート!D744</f>
        <v>0</v>
      </c>
      <c r="F744">
        <f>セットアップレポート!E744</f>
        <v>0</v>
      </c>
      <c r="G744">
        <f>セットアップレポート!F744</f>
        <v>0</v>
      </c>
      <c r="H744">
        <f>セットアップレポート!G744</f>
        <v>0</v>
      </c>
      <c r="I744">
        <f>セットアップレポート!H744</f>
        <v>0</v>
      </c>
      <c r="J744">
        <f>セットアップレポート!I744</f>
        <v>0</v>
      </c>
      <c r="K744">
        <f>セットアップレポート!J744</f>
        <v>0</v>
      </c>
      <c r="L744">
        <f>セットアップレポート!K744</f>
        <v>0</v>
      </c>
      <c r="M744">
        <f>セットアップレポート!L744</f>
        <v>0</v>
      </c>
      <c r="N744">
        <f>セットアップレポート!M744</f>
        <v>0</v>
      </c>
      <c r="O744">
        <f>セットアップレポート!N744</f>
        <v>0</v>
      </c>
      <c r="P744">
        <f>セットアップレポート!O744</f>
        <v>0</v>
      </c>
      <c r="Q744">
        <f>セットアップレポート!P744</f>
        <v>0</v>
      </c>
      <c r="R744">
        <f>セットアップレポート!Q744</f>
        <v>0</v>
      </c>
      <c r="S744">
        <f>セットアップレポート!R744</f>
        <v>0</v>
      </c>
      <c r="T744">
        <f>セットアップレポート!S744</f>
        <v>0</v>
      </c>
      <c r="U744">
        <f>セットアップレポート!T744</f>
        <v>0</v>
      </c>
      <c r="V744">
        <f>セットアップレポート!U744</f>
        <v>0</v>
      </c>
      <c r="W744">
        <f>セットアップレポート!V744</f>
        <v>0</v>
      </c>
      <c r="X744">
        <f>セットアップレポート!W744</f>
        <v>0</v>
      </c>
      <c r="Y744">
        <f>セットアップレポート!X744</f>
        <v>0</v>
      </c>
      <c r="Z744">
        <f>セットアップレポート!Y744</f>
        <v>0</v>
      </c>
      <c r="AA744">
        <f>セットアップレポート!Z744</f>
        <v>0</v>
      </c>
      <c r="AB744">
        <f>セットアップレポート!AA744</f>
        <v>0</v>
      </c>
      <c r="AC744">
        <f>セットアップレポート!AB744</f>
        <v>0</v>
      </c>
      <c r="AD744">
        <f>セットアップレポート!AC744</f>
        <v>0</v>
      </c>
      <c r="AE744">
        <f>セットアップレポート!AD744</f>
        <v>0</v>
      </c>
      <c r="AF744">
        <f>セットアップレポート!AE744</f>
        <v>0</v>
      </c>
      <c r="AG744">
        <f>セットアップレポート!AF744</f>
        <v>0</v>
      </c>
      <c r="AH744">
        <f>セットアップレポート!AG744</f>
        <v>0</v>
      </c>
    </row>
    <row r="745" spans="1:34" x14ac:dyDescent="0.45">
      <c r="A745" t="str">
        <f t="shared" si="11"/>
        <v>000</v>
      </c>
      <c r="B745">
        <f>セットアップレポート!A745</f>
        <v>0</v>
      </c>
      <c r="C745">
        <f>セットアップレポート!B745</f>
        <v>0</v>
      </c>
      <c r="D745">
        <f>セットアップレポート!C745</f>
        <v>0</v>
      </c>
      <c r="E745">
        <f>セットアップレポート!D745</f>
        <v>0</v>
      </c>
      <c r="F745">
        <f>セットアップレポート!E745</f>
        <v>0</v>
      </c>
      <c r="G745">
        <f>セットアップレポート!F745</f>
        <v>0</v>
      </c>
      <c r="H745">
        <f>セットアップレポート!G745</f>
        <v>0</v>
      </c>
      <c r="I745">
        <f>セットアップレポート!H745</f>
        <v>0</v>
      </c>
      <c r="J745">
        <f>セットアップレポート!I745</f>
        <v>0</v>
      </c>
      <c r="K745">
        <f>セットアップレポート!J745</f>
        <v>0</v>
      </c>
      <c r="L745">
        <f>セットアップレポート!K745</f>
        <v>0</v>
      </c>
      <c r="M745">
        <f>セットアップレポート!L745</f>
        <v>0</v>
      </c>
      <c r="N745">
        <f>セットアップレポート!M745</f>
        <v>0</v>
      </c>
      <c r="O745">
        <f>セットアップレポート!N745</f>
        <v>0</v>
      </c>
      <c r="P745">
        <f>セットアップレポート!O745</f>
        <v>0</v>
      </c>
      <c r="Q745">
        <f>セットアップレポート!P745</f>
        <v>0</v>
      </c>
      <c r="R745">
        <f>セットアップレポート!Q745</f>
        <v>0</v>
      </c>
      <c r="S745">
        <f>セットアップレポート!R745</f>
        <v>0</v>
      </c>
      <c r="T745">
        <f>セットアップレポート!S745</f>
        <v>0</v>
      </c>
      <c r="U745">
        <f>セットアップレポート!T745</f>
        <v>0</v>
      </c>
      <c r="V745">
        <f>セットアップレポート!U745</f>
        <v>0</v>
      </c>
      <c r="W745">
        <f>セットアップレポート!V745</f>
        <v>0</v>
      </c>
      <c r="X745">
        <f>セットアップレポート!W745</f>
        <v>0</v>
      </c>
      <c r="Y745">
        <f>セットアップレポート!X745</f>
        <v>0</v>
      </c>
      <c r="Z745">
        <f>セットアップレポート!Y745</f>
        <v>0</v>
      </c>
      <c r="AA745">
        <f>セットアップレポート!Z745</f>
        <v>0</v>
      </c>
      <c r="AB745">
        <f>セットアップレポート!AA745</f>
        <v>0</v>
      </c>
      <c r="AC745">
        <f>セットアップレポート!AB745</f>
        <v>0</v>
      </c>
      <c r="AD745">
        <f>セットアップレポート!AC745</f>
        <v>0</v>
      </c>
      <c r="AE745">
        <f>セットアップレポート!AD745</f>
        <v>0</v>
      </c>
      <c r="AF745">
        <f>セットアップレポート!AE745</f>
        <v>0</v>
      </c>
      <c r="AG745">
        <f>セットアップレポート!AF745</f>
        <v>0</v>
      </c>
      <c r="AH745">
        <f>セットアップレポート!AG745</f>
        <v>0</v>
      </c>
    </row>
    <row r="746" spans="1:34" x14ac:dyDescent="0.45">
      <c r="A746" t="str">
        <f t="shared" si="11"/>
        <v>000</v>
      </c>
      <c r="B746">
        <f>セットアップレポート!A746</f>
        <v>0</v>
      </c>
      <c r="C746">
        <f>セットアップレポート!B746</f>
        <v>0</v>
      </c>
      <c r="D746">
        <f>セットアップレポート!C746</f>
        <v>0</v>
      </c>
      <c r="E746">
        <f>セットアップレポート!D746</f>
        <v>0</v>
      </c>
      <c r="F746">
        <f>セットアップレポート!E746</f>
        <v>0</v>
      </c>
      <c r="G746">
        <f>セットアップレポート!F746</f>
        <v>0</v>
      </c>
      <c r="H746">
        <f>セットアップレポート!G746</f>
        <v>0</v>
      </c>
      <c r="I746">
        <f>セットアップレポート!H746</f>
        <v>0</v>
      </c>
      <c r="J746">
        <f>セットアップレポート!I746</f>
        <v>0</v>
      </c>
      <c r="K746">
        <f>セットアップレポート!J746</f>
        <v>0</v>
      </c>
      <c r="L746">
        <f>セットアップレポート!K746</f>
        <v>0</v>
      </c>
      <c r="M746">
        <f>セットアップレポート!L746</f>
        <v>0</v>
      </c>
      <c r="N746">
        <f>セットアップレポート!M746</f>
        <v>0</v>
      </c>
      <c r="O746">
        <f>セットアップレポート!N746</f>
        <v>0</v>
      </c>
      <c r="P746">
        <f>セットアップレポート!O746</f>
        <v>0</v>
      </c>
      <c r="Q746">
        <f>セットアップレポート!P746</f>
        <v>0</v>
      </c>
      <c r="R746">
        <f>セットアップレポート!Q746</f>
        <v>0</v>
      </c>
      <c r="S746">
        <f>セットアップレポート!R746</f>
        <v>0</v>
      </c>
      <c r="T746">
        <f>セットアップレポート!S746</f>
        <v>0</v>
      </c>
      <c r="U746">
        <f>セットアップレポート!T746</f>
        <v>0</v>
      </c>
      <c r="V746">
        <f>セットアップレポート!U746</f>
        <v>0</v>
      </c>
      <c r="W746">
        <f>セットアップレポート!V746</f>
        <v>0</v>
      </c>
      <c r="X746">
        <f>セットアップレポート!W746</f>
        <v>0</v>
      </c>
      <c r="Y746">
        <f>セットアップレポート!X746</f>
        <v>0</v>
      </c>
      <c r="Z746">
        <f>セットアップレポート!Y746</f>
        <v>0</v>
      </c>
      <c r="AA746">
        <f>セットアップレポート!Z746</f>
        <v>0</v>
      </c>
      <c r="AB746">
        <f>セットアップレポート!AA746</f>
        <v>0</v>
      </c>
      <c r="AC746">
        <f>セットアップレポート!AB746</f>
        <v>0</v>
      </c>
      <c r="AD746">
        <f>セットアップレポート!AC746</f>
        <v>0</v>
      </c>
      <c r="AE746">
        <f>セットアップレポート!AD746</f>
        <v>0</v>
      </c>
      <c r="AF746">
        <f>セットアップレポート!AE746</f>
        <v>0</v>
      </c>
      <c r="AG746">
        <f>セットアップレポート!AF746</f>
        <v>0</v>
      </c>
      <c r="AH746">
        <f>セットアップレポート!AG746</f>
        <v>0</v>
      </c>
    </row>
    <row r="747" spans="1:34" x14ac:dyDescent="0.45">
      <c r="A747" t="str">
        <f t="shared" si="11"/>
        <v>000</v>
      </c>
      <c r="B747">
        <f>セットアップレポート!A747</f>
        <v>0</v>
      </c>
      <c r="C747">
        <f>セットアップレポート!B747</f>
        <v>0</v>
      </c>
      <c r="D747">
        <f>セットアップレポート!C747</f>
        <v>0</v>
      </c>
      <c r="E747">
        <f>セットアップレポート!D747</f>
        <v>0</v>
      </c>
      <c r="F747">
        <f>セットアップレポート!E747</f>
        <v>0</v>
      </c>
      <c r="G747">
        <f>セットアップレポート!F747</f>
        <v>0</v>
      </c>
      <c r="H747">
        <f>セットアップレポート!G747</f>
        <v>0</v>
      </c>
      <c r="I747">
        <f>セットアップレポート!H747</f>
        <v>0</v>
      </c>
      <c r="J747">
        <f>セットアップレポート!I747</f>
        <v>0</v>
      </c>
      <c r="K747">
        <f>セットアップレポート!J747</f>
        <v>0</v>
      </c>
      <c r="L747">
        <f>セットアップレポート!K747</f>
        <v>0</v>
      </c>
      <c r="M747">
        <f>セットアップレポート!L747</f>
        <v>0</v>
      </c>
      <c r="N747">
        <f>セットアップレポート!M747</f>
        <v>0</v>
      </c>
      <c r="O747">
        <f>セットアップレポート!N747</f>
        <v>0</v>
      </c>
      <c r="P747">
        <f>セットアップレポート!O747</f>
        <v>0</v>
      </c>
      <c r="Q747">
        <f>セットアップレポート!P747</f>
        <v>0</v>
      </c>
      <c r="R747">
        <f>セットアップレポート!Q747</f>
        <v>0</v>
      </c>
      <c r="S747">
        <f>セットアップレポート!R747</f>
        <v>0</v>
      </c>
      <c r="T747">
        <f>セットアップレポート!S747</f>
        <v>0</v>
      </c>
      <c r="U747">
        <f>セットアップレポート!T747</f>
        <v>0</v>
      </c>
      <c r="V747">
        <f>セットアップレポート!U747</f>
        <v>0</v>
      </c>
      <c r="W747">
        <f>セットアップレポート!V747</f>
        <v>0</v>
      </c>
      <c r="X747">
        <f>セットアップレポート!W747</f>
        <v>0</v>
      </c>
      <c r="Y747">
        <f>セットアップレポート!X747</f>
        <v>0</v>
      </c>
      <c r="Z747">
        <f>セットアップレポート!Y747</f>
        <v>0</v>
      </c>
      <c r="AA747">
        <f>セットアップレポート!Z747</f>
        <v>0</v>
      </c>
      <c r="AB747">
        <f>セットアップレポート!AA747</f>
        <v>0</v>
      </c>
      <c r="AC747">
        <f>セットアップレポート!AB747</f>
        <v>0</v>
      </c>
      <c r="AD747">
        <f>セットアップレポート!AC747</f>
        <v>0</v>
      </c>
      <c r="AE747">
        <f>セットアップレポート!AD747</f>
        <v>0</v>
      </c>
      <c r="AF747">
        <f>セットアップレポート!AE747</f>
        <v>0</v>
      </c>
      <c r="AG747">
        <f>セットアップレポート!AF747</f>
        <v>0</v>
      </c>
      <c r="AH747">
        <f>セットアップレポート!AG747</f>
        <v>0</v>
      </c>
    </row>
    <row r="748" spans="1:34" x14ac:dyDescent="0.45">
      <c r="A748" t="str">
        <f t="shared" si="11"/>
        <v>000</v>
      </c>
      <c r="B748">
        <f>セットアップレポート!A748</f>
        <v>0</v>
      </c>
      <c r="C748">
        <f>セットアップレポート!B748</f>
        <v>0</v>
      </c>
      <c r="D748">
        <f>セットアップレポート!C748</f>
        <v>0</v>
      </c>
      <c r="E748">
        <f>セットアップレポート!D748</f>
        <v>0</v>
      </c>
      <c r="F748">
        <f>セットアップレポート!E748</f>
        <v>0</v>
      </c>
      <c r="G748">
        <f>セットアップレポート!F748</f>
        <v>0</v>
      </c>
      <c r="H748">
        <f>セットアップレポート!G748</f>
        <v>0</v>
      </c>
      <c r="I748">
        <f>セットアップレポート!H748</f>
        <v>0</v>
      </c>
      <c r="J748">
        <f>セットアップレポート!I748</f>
        <v>0</v>
      </c>
      <c r="K748">
        <f>セットアップレポート!J748</f>
        <v>0</v>
      </c>
      <c r="L748">
        <f>セットアップレポート!K748</f>
        <v>0</v>
      </c>
      <c r="M748">
        <f>セットアップレポート!L748</f>
        <v>0</v>
      </c>
      <c r="N748">
        <f>セットアップレポート!M748</f>
        <v>0</v>
      </c>
      <c r="O748">
        <f>セットアップレポート!N748</f>
        <v>0</v>
      </c>
      <c r="P748">
        <f>セットアップレポート!O748</f>
        <v>0</v>
      </c>
      <c r="Q748">
        <f>セットアップレポート!P748</f>
        <v>0</v>
      </c>
      <c r="R748">
        <f>セットアップレポート!Q748</f>
        <v>0</v>
      </c>
      <c r="S748">
        <f>セットアップレポート!R748</f>
        <v>0</v>
      </c>
      <c r="T748">
        <f>セットアップレポート!S748</f>
        <v>0</v>
      </c>
      <c r="U748">
        <f>セットアップレポート!T748</f>
        <v>0</v>
      </c>
      <c r="V748">
        <f>セットアップレポート!U748</f>
        <v>0</v>
      </c>
      <c r="W748">
        <f>セットアップレポート!V748</f>
        <v>0</v>
      </c>
      <c r="X748">
        <f>セットアップレポート!W748</f>
        <v>0</v>
      </c>
      <c r="Y748">
        <f>セットアップレポート!X748</f>
        <v>0</v>
      </c>
      <c r="Z748">
        <f>セットアップレポート!Y748</f>
        <v>0</v>
      </c>
      <c r="AA748">
        <f>セットアップレポート!Z748</f>
        <v>0</v>
      </c>
      <c r="AB748">
        <f>セットアップレポート!AA748</f>
        <v>0</v>
      </c>
      <c r="AC748">
        <f>セットアップレポート!AB748</f>
        <v>0</v>
      </c>
      <c r="AD748">
        <f>セットアップレポート!AC748</f>
        <v>0</v>
      </c>
      <c r="AE748">
        <f>セットアップレポート!AD748</f>
        <v>0</v>
      </c>
      <c r="AF748">
        <f>セットアップレポート!AE748</f>
        <v>0</v>
      </c>
      <c r="AG748">
        <f>セットアップレポート!AF748</f>
        <v>0</v>
      </c>
      <c r="AH748">
        <f>セットアップレポート!AG748</f>
        <v>0</v>
      </c>
    </row>
    <row r="749" spans="1:34" x14ac:dyDescent="0.45">
      <c r="A749" t="str">
        <f t="shared" si="11"/>
        <v>000</v>
      </c>
      <c r="B749">
        <f>セットアップレポート!A749</f>
        <v>0</v>
      </c>
      <c r="C749">
        <f>セットアップレポート!B749</f>
        <v>0</v>
      </c>
      <c r="D749">
        <f>セットアップレポート!C749</f>
        <v>0</v>
      </c>
      <c r="E749">
        <f>セットアップレポート!D749</f>
        <v>0</v>
      </c>
      <c r="F749">
        <f>セットアップレポート!E749</f>
        <v>0</v>
      </c>
      <c r="G749">
        <f>セットアップレポート!F749</f>
        <v>0</v>
      </c>
      <c r="H749">
        <f>セットアップレポート!G749</f>
        <v>0</v>
      </c>
      <c r="I749">
        <f>セットアップレポート!H749</f>
        <v>0</v>
      </c>
      <c r="J749">
        <f>セットアップレポート!I749</f>
        <v>0</v>
      </c>
      <c r="K749">
        <f>セットアップレポート!J749</f>
        <v>0</v>
      </c>
      <c r="L749">
        <f>セットアップレポート!K749</f>
        <v>0</v>
      </c>
      <c r="M749">
        <f>セットアップレポート!L749</f>
        <v>0</v>
      </c>
      <c r="N749">
        <f>セットアップレポート!M749</f>
        <v>0</v>
      </c>
      <c r="O749">
        <f>セットアップレポート!N749</f>
        <v>0</v>
      </c>
      <c r="P749">
        <f>セットアップレポート!O749</f>
        <v>0</v>
      </c>
      <c r="Q749">
        <f>セットアップレポート!P749</f>
        <v>0</v>
      </c>
      <c r="R749">
        <f>セットアップレポート!Q749</f>
        <v>0</v>
      </c>
      <c r="S749">
        <f>セットアップレポート!R749</f>
        <v>0</v>
      </c>
      <c r="T749">
        <f>セットアップレポート!S749</f>
        <v>0</v>
      </c>
      <c r="U749">
        <f>セットアップレポート!T749</f>
        <v>0</v>
      </c>
      <c r="V749">
        <f>セットアップレポート!U749</f>
        <v>0</v>
      </c>
      <c r="W749">
        <f>セットアップレポート!V749</f>
        <v>0</v>
      </c>
      <c r="X749">
        <f>セットアップレポート!W749</f>
        <v>0</v>
      </c>
      <c r="Y749">
        <f>セットアップレポート!X749</f>
        <v>0</v>
      </c>
      <c r="Z749">
        <f>セットアップレポート!Y749</f>
        <v>0</v>
      </c>
      <c r="AA749">
        <f>セットアップレポート!Z749</f>
        <v>0</v>
      </c>
      <c r="AB749">
        <f>セットアップレポート!AA749</f>
        <v>0</v>
      </c>
      <c r="AC749">
        <f>セットアップレポート!AB749</f>
        <v>0</v>
      </c>
      <c r="AD749">
        <f>セットアップレポート!AC749</f>
        <v>0</v>
      </c>
      <c r="AE749">
        <f>セットアップレポート!AD749</f>
        <v>0</v>
      </c>
      <c r="AF749">
        <f>セットアップレポート!AE749</f>
        <v>0</v>
      </c>
      <c r="AG749">
        <f>セットアップレポート!AF749</f>
        <v>0</v>
      </c>
      <c r="AH749">
        <f>セットアップレポート!AG749</f>
        <v>0</v>
      </c>
    </row>
    <row r="750" spans="1:34" x14ac:dyDescent="0.45">
      <c r="A750" t="str">
        <f t="shared" si="11"/>
        <v>000</v>
      </c>
      <c r="B750">
        <f>セットアップレポート!A750</f>
        <v>0</v>
      </c>
      <c r="C750">
        <f>セットアップレポート!B750</f>
        <v>0</v>
      </c>
      <c r="D750">
        <f>セットアップレポート!C750</f>
        <v>0</v>
      </c>
      <c r="E750">
        <f>セットアップレポート!D750</f>
        <v>0</v>
      </c>
      <c r="F750">
        <f>セットアップレポート!E750</f>
        <v>0</v>
      </c>
      <c r="G750">
        <f>セットアップレポート!F750</f>
        <v>0</v>
      </c>
      <c r="H750">
        <f>セットアップレポート!G750</f>
        <v>0</v>
      </c>
      <c r="I750">
        <f>セットアップレポート!H750</f>
        <v>0</v>
      </c>
      <c r="J750">
        <f>セットアップレポート!I750</f>
        <v>0</v>
      </c>
      <c r="K750">
        <f>セットアップレポート!J750</f>
        <v>0</v>
      </c>
      <c r="L750">
        <f>セットアップレポート!K750</f>
        <v>0</v>
      </c>
      <c r="M750">
        <f>セットアップレポート!L750</f>
        <v>0</v>
      </c>
      <c r="N750">
        <f>セットアップレポート!M750</f>
        <v>0</v>
      </c>
      <c r="O750">
        <f>セットアップレポート!N750</f>
        <v>0</v>
      </c>
      <c r="P750">
        <f>セットアップレポート!O750</f>
        <v>0</v>
      </c>
      <c r="Q750">
        <f>セットアップレポート!P750</f>
        <v>0</v>
      </c>
      <c r="R750">
        <f>セットアップレポート!Q750</f>
        <v>0</v>
      </c>
      <c r="S750">
        <f>セットアップレポート!R750</f>
        <v>0</v>
      </c>
      <c r="T750">
        <f>セットアップレポート!S750</f>
        <v>0</v>
      </c>
      <c r="U750">
        <f>セットアップレポート!T750</f>
        <v>0</v>
      </c>
      <c r="V750">
        <f>セットアップレポート!U750</f>
        <v>0</v>
      </c>
      <c r="W750">
        <f>セットアップレポート!V750</f>
        <v>0</v>
      </c>
      <c r="X750">
        <f>セットアップレポート!W750</f>
        <v>0</v>
      </c>
      <c r="Y750">
        <f>セットアップレポート!X750</f>
        <v>0</v>
      </c>
      <c r="Z750">
        <f>セットアップレポート!Y750</f>
        <v>0</v>
      </c>
      <c r="AA750">
        <f>セットアップレポート!Z750</f>
        <v>0</v>
      </c>
      <c r="AB750">
        <f>セットアップレポート!AA750</f>
        <v>0</v>
      </c>
      <c r="AC750">
        <f>セットアップレポート!AB750</f>
        <v>0</v>
      </c>
      <c r="AD750">
        <f>セットアップレポート!AC750</f>
        <v>0</v>
      </c>
      <c r="AE750">
        <f>セットアップレポート!AD750</f>
        <v>0</v>
      </c>
      <c r="AF750">
        <f>セットアップレポート!AE750</f>
        <v>0</v>
      </c>
      <c r="AG750">
        <f>セットアップレポート!AF750</f>
        <v>0</v>
      </c>
      <c r="AH750">
        <f>セットアップレポート!AG750</f>
        <v>0</v>
      </c>
    </row>
    <row r="751" spans="1:34" x14ac:dyDescent="0.45">
      <c r="A751" t="str">
        <f t="shared" si="11"/>
        <v>000</v>
      </c>
      <c r="B751">
        <f>セットアップレポート!A751</f>
        <v>0</v>
      </c>
      <c r="C751">
        <f>セットアップレポート!B751</f>
        <v>0</v>
      </c>
      <c r="D751">
        <f>セットアップレポート!C751</f>
        <v>0</v>
      </c>
      <c r="E751">
        <f>セットアップレポート!D751</f>
        <v>0</v>
      </c>
      <c r="F751">
        <f>セットアップレポート!E751</f>
        <v>0</v>
      </c>
      <c r="G751">
        <f>セットアップレポート!F751</f>
        <v>0</v>
      </c>
      <c r="H751">
        <f>セットアップレポート!G751</f>
        <v>0</v>
      </c>
      <c r="I751">
        <f>セットアップレポート!H751</f>
        <v>0</v>
      </c>
      <c r="J751">
        <f>セットアップレポート!I751</f>
        <v>0</v>
      </c>
      <c r="K751">
        <f>セットアップレポート!J751</f>
        <v>0</v>
      </c>
      <c r="L751">
        <f>セットアップレポート!K751</f>
        <v>0</v>
      </c>
      <c r="M751">
        <f>セットアップレポート!L751</f>
        <v>0</v>
      </c>
      <c r="N751">
        <f>セットアップレポート!M751</f>
        <v>0</v>
      </c>
      <c r="O751">
        <f>セットアップレポート!N751</f>
        <v>0</v>
      </c>
      <c r="P751">
        <f>セットアップレポート!O751</f>
        <v>0</v>
      </c>
      <c r="Q751">
        <f>セットアップレポート!P751</f>
        <v>0</v>
      </c>
      <c r="R751">
        <f>セットアップレポート!Q751</f>
        <v>0</v>
      </c>
      <c r="S751">
        <f>セットアップレポート!R751</f>
        <v>0</v>
      </c>
      <c r="T751">
        <f>セットアップレポート!S751</f>
        <v>0</v>
      </c>
      <c r="U751">
        <f>セットアップレポート!T751</f>
        <v>0</v>
      </c>
      <c r="V751">
        <f>セットアップレポート!U751</f>
        <v>0</v>
      </c>
      <c r="W751">
        <f>セットアップレポート!V751</f>
        <v>0</v>
      </c>
      <c r="X751">
        <f>セットアップレポート!W751</f>
        <v>0</v>
      </c>
      <c r="Y751">
        <f>セットアップレポート!X751</f>
        <v>0</v>
      </c>
      <c r="Z751">
        <f>セットアップレポート!Y751</f>
        <v>0</v>
      </c>
      <c r="AA751">
        <f>セットアップレポート!Z751</f>
        <v>0</v>
      </c>
      <c r="AB751">
        <f>セットアップレポート!AA751</f>
        <v>0</v>
      </c>
      <c r="AC751">
        <f>セットアップレポート!AB751</f>
        <v>0</v>
      </c>
      <c r="AD751">
        <f>セットアップレポート!AC751</f>
        <v>0</v>
      </c>
      <c r="AE751">
        <f>セットアップレポート!AD751</f>
        <v>0</v>
      </c>
      <c r="AF751">
        <f>セットアップレポート!AE751</f>
        <v>0</v>
      </c>
      <c r="AG751">
        <f>セットアップレポート!AF751</f>
        <v>0</v>
      </c>
      <c r="AH751">
        <f>セットアップレポート!AG751</f>
        <v>0</v>
      </c>
    </row>
    <row r="752" spans="1:34" x14ac:dyDescent="0.45">
      <c r="A752" t="str">
        <f t="shared" si="11"/>
        <v>000</v>
      </c>
      <c r="B752">
        <f>セットアップレポート!A752</f>
        <v>0</v>
      </c>
      <c r="C752">
        <f>セットアップレポート!B752</f>
        <v>0</v>
      </c>
      <c r="D752">
        <f>セットアップレポート!C752</f>
        <v>0</v>
      </c>
      <c r="E752">
        <f>セットアップレポート!D752</f>
        <v>0</v>
      </c>
      <c r="F752">
        <f>セットアップレポート!E752</f>
        <v>0</v>
      </c>
      <c r="G752">
        <f>セットアップレポート!F752</f>
        <v>0</v>
      </c>
      <c r="H752">
        <f>セットアップレポート!G752</f>
        <v>0</v>
      </c>
      <c r="I752">
        <f>セットアップレポート!H752</f>
        <v>0</v>
      </c>
      <c r="J752">
        <f>セットアップレポート!I752</f>
        <v>0</v>
      </c>
      <c r="K752">
        <f>セットアップレポート!J752</f>
        <v>0</v>
      </c>
      <c r="L752">
        <f>セットアップレポート!K752</f>
        <v>0</v>
      </c>
      <c r="M752">
        <f>セットアップレポート!L752</f>
        <v>0</v>
      </c>
      <c r="N752">
        <f>セットアップレポート!M752</f>
        <v>0</v>
      </c>
      <c r="O752">
        <f>セットアップレポート!N752</f>
        <v>0</v>
      </c>
      <c r="P752">
        <f>セットアップレポート!O752</f>
        <v>0</v>
      </c>
      <c r="Q752">
        <f>セットアップレポート!P752</f>
        <v>0</v>
      </c>
      <c r="R752">
        <f>セットアップレポート!Q752</f>
        <v>0</v>
      </c>
      <c r="S752">
        <f>セットアップレポート!R752</f>
        <v>0</v>
      </c>
      <c r="T752">
        <f>セットアップレポート!S752</f>
        <v>0</v>
      </c>
      <c r="U752">
        <f>セットアップレポート!T752</f>
        <v>0</v>
      </c>
      <c r="V752">
        <f>セットアップレポート!U752</f>
        <v>0</v>
      </c>
      <c r="W752">
        <f>セットアップレポート!V752</f>
        <v>0</v>
      </c>
      <c r="X752">
        <f>セットアップレポート!W752</f>
        <v>0</v>
      </c>
      <c r="Y752">
        <f>セットアップレポート!X752</f>
        <v>0</v>
      </c>
      <c r="Z752">
        <f>セットアップレポート!Y752</f>
        <v>0</v>
      </c>
      <c r="AA752">
        <f>セットアップレポート!Z752</f>
        <v>0</v>
      </c>
      <c r="AB752">
        <f>セットアップレポート!AA752</f>
        <v>0</v>
      </c>
      <c r="AC752">
        <f>セットアップレポート!AB752</f>
        <v>0</v>
      </c>
      <c r="AD752">
        <f>セットアップレポート!AC752</f>
        <v>0</v>
      </c>
      <c r="AE752">
        <f>セットアップレポート!AD752</f>
        <v>0</v>
      </c>
      <c r="AF752">
        <f>セットアップレポート!AE752</f>
        <v>0</v>
      </c>
      <c r="AG752">
        <f>セットアップレポート!AF752</f>
        <v>0</v>
      </c>
      <c r="AH752">
        <f>セットアップレポート!AG752</f>
        <v>0</v>
      </c>
    </row>
    <row r="753" spans="1:34" x14ac:dyDescent="0.45">
      <c r="A753" t="str">
        <f t="shared" si="11"/>
        <v>000</v>
      </c>
      <c r="B753">
        <f>セットアップレポート!A753</f>
        <v>0</v>
      </c>
      <c r="C753">
        <f>セットアップレポート!B753</f>
        <v>0</v>
      </c>
      <c r="D753">
        <f>セットアップレポート!C753</f>
        <v>0</v>
      </c>
      <c r="E753">
        <f>セットアップレポート!D753</f>
        <v>0</v>
      </c>
      <c r="F753">
        <f>セットアップレポート!E753</f>
        <v>0</v>
      </c>
      <c r="G753">
        <f>セットアップレポート!F753</f>
        <v>0</v>
      </c>
      <c r="H753">
        <f>セットアップレポート!G753</f>
        <v>0</v>
      </c>
      <c r="I753">
        <f>セットアップレポート!H753</f>
        <v>0</v>
      </c>
      <c r="J753">
        <f>セットアップレポート!I753</f>
        <v>0</v>
      </c>
      <c r="K753">
        <f>セットアップレポート!J753</f>
        <v>0</v>
      </c>
      <c r="L753">
        <f>セットアップレポート!K753</f>
        <v>0</v>
      </c>
      <c r="M753">
        <f>セットアップレポート!L753</f>
        <v>0</v>
      </c>
      <c r="N753">
        <f>セットアップレポート!M753</f>
        <v>0</v>
      </c>
      <c r="O753">
        <f>セットアップレポート!N753</f>
        <v>0</v>
      </c>
      <c r="P753">
        <f>セットアップレポート!O753</f>
        <v>0</v>
      </c>
      <c r="Q753">
        <f>セットアップレポート!P753</f>
        <v>0</v>
      </c>
      <c r="R753">
        <f>セットアップレポート!Q753</f>
        <v>0</v>
      </c>
      <c r="S753">
        <f>セットアップレポート!R753</f>
        <v>0</v>
      </c>
      <c r="T753">
        <f>セットアップレポート!S753</f>
        <v>0</v>
      </c>
      <c r="U753">
        <f>セットアップレポート!T753</f>
        <v>0</v>
      </c>
      <c r="V753">
        <f>セットアップレポート!U753</f>
        <v>0</v>
      </c>
      <c r="W753">
        <f>セットアップレポート!V753</f>
        <v>0</v>
      </c>
      <c r="X753">
        <f>セットアップレポート!W753</f>
        <v>0</v>
      </c>
      <c r="Y753">
        <f>セットアップレポート!X753</f>
        <v>0</v>
      </c>
      <c r="Z753">
        <f>セットアップレポート!Y753</f>
        <v>0</v>
      </c>
      <c r="AA753">
        <f>セットアップレポート!Z753</f>
        <v>0</v>
      </c>
      <c r="AB753">
        <f>セットアップレポート!AA753</f>
        <v>0</v>
      </c>
      <c r="AC753">
        <f>セットアップレポート!AB753</f>
        <v>0</v>
      </c>
      <c r="AD753">
        <f>セットアップレポート!AC753</f>
        <v>0</v>
      </c>
      <c r="AE753">
        <f>セットアップレポート!AD753</f>
        <v>0</v>
      </c>
      <c r="AF753">
        <f>セットアップレポート!AE753</f>
        <v>0</v>
      </c>
      <c r="AG753">
        <f>セットアップレポート!AF753</f>
        <v>0</v>
      </c>
      <c r="AH753">
        <f>セットアップレポート!AG753</f>
        <v>0</v>
      </c>
    </row>
    <row r="754" spans="1:34" x14ac:dyDescent="0.45">
      <c r="A754" t="str">
        <f t="shared" si="11"/>
        <v>000</v>
      </c>
      <c r="B754">
        <f>セットアップレポート!A754</f>
        <v>0</v>
      </c>
      <c r="C754">
        <f>セットアップレポート!B754</f>
        <v>0</v>
      </c>
      <c r="D754">
        <f>セットアップレポート!C754</f>
        <v>0</v>
      </c>
      <c r="E754">
        <f>セットアップレポート!D754</f>
        <v>0</v>
      </c>
      <c r="F754">
        <f>セットアップレポート!E754</f>
        <v>0</v>
      </c>
      <c r="G754">
        <f>セットアップレポート!F754</f>
        <v>0</v>
      </c>
      <c r="H754">
        <f>セットアップレポート!G754</f>
        <v>0</v>
      </c>
      <c r="I754">
        <f>セットアップレポート!H754</f>
        <v>0</v>
      </c>
      <c r="J754">
        <f>セットアップレポート!I754</f>
        <v>0</v>
      </c>
      <c r="K754">
        <f>セットアップレポート!J754</f>
        <v>0</v>
      </c>
      <c r="L754">
        <f>セットアップレポート!K754</f>
        <v>0</v>
      </c>
      <c r="M754">
        <f>セットアップレポート!L754</f>
        <v>0</v>
      </c>
      <c r="N754">
        <f>セットアップレポート!M754</f>
        <v>0</v>
      </c>
      <c r="O754">
        <f>セットアップレポート!N754</f>
        <v>0</v>
      </c>
      <c r="P754">
        <f>セットアップレポート!O754</f>
        <v>0</v>
      </c>
      <c r="Q754">
        <f>セットアップレポート!P754</f>
        <v>0</v>
      </c>
      <c r="R754">
        <f>セットアップレポート!Q754</f>
        <v>0</v>
      </c>
      <c r="S754">
        <f>セットアップレポート!R754</f>
        <v>0</v>
      </c>
      <c r="T754">
        <f>セットアップレポート!S754</f>
        <v>0</v>
      </c>
      <c r="U754">
        <f>セットアップレポート!T754</f>
        <v>0</v>
      </c>
      <c r="V754">
        <f>セットアップレポート!U754</f>
        <v>0</v>
      </c>
      <c r="W754">
        <f>セットアップレポート!V754</f>
        <v>0</v>
      </c>
      <c r="X754">
        <f>セットアップレポート!W754</f>
        <v>0</v>
      </c>
      <c r="Y754">
        <f>セットアップレポート!X754</f>
        <v>0</v>
      </c>
      <c r="Z754">
        <f>セットアップレポート!Y754</f>
        <v>0</v>
      </c>
      <c r="AA754">
        <f>セットアップレポート!Z754</f>
        <v>0</v>
      </c>
      <c r="AB754">
        <f>セットアップレポート!AA754</f>
        <v>0</v>
      </c>
      <c r="AC754">
        <f>セットアップレポート!AB754</f>
        <v>0</v>
      </c>
      <c r="AD754">
        <f>セットアップレポート!AC754</f>
        <v>0</v>
      </c>
      <c r="AE754">
        <f>セットアップレポート!AD754</f>
        <v>0</v>
      </c>
      <c r="AF754">
        <f>セットアップレポート!AE754</f>
        <v>0</v>
      </c>
      <c r="AG754">
        <f>セットアップレポート!AF754</f>
        <v>0</v>
      </c>
      <c r="AH754">
        <f>セットアップレポート!AG754</f>
        <v>0</v>
      </c>
    </row>
    <row r="755" spans="1:34" x14ac:dyDescent="0.45">
      <c r="A755" t="str">
        <f t="shared" si="11"/>
        <v>000</v>
      </c>
      <c r="B755">
        <f>セットアップレポート!A755</f>
        <v>0</v>
      </c>
      <c r="C755">
        <f>セットアップレポート!B755</f>
        <v>0</v>
      </c>
      <c r="D755">
        <f>セットアップレポート!C755</f>
        <v>0</v>
      </c>
      <c r="E755">
        <f>セットアップレポート!D755</f>
        <v>0</v>
      </c>
      <c r="F755">
        <f>セットアップレポート!E755</f>
        <v>0</v>
      </c>
      <c r="G755">
        <f>セットアップレポート!F755</f>
        <v>0</v>
      </c>
      <c r="H755">
        <f>セットアップレポート!G755</f>
        <v>0</v>
      </c>
      <c r="I755">
        <f>セットアップレポート!H755</f>
        <v>0</v>
      </c>
      <c r="J755">
        <f>セットアップレポート!I755</f>
        <v>0</v>
      </c>
      <c r="K755">
        <f>セットアップレポート!J755</f>
        <v>0</v>
      </c>
      <c r="L755">
        <f>セットアップレポート!K755</f>
        <v>0</v>
      </c>
      <c r="M755">
        <f>セットアップレポート!L755</f>
        <v>0</v>
      </c>
      <c r="N755">
        <f>セットアップレポート!M755</f>
        <v>0</v>
      </c>
      <c r="O755">
        <f>セットアップレポート!N755</f>
        <v>0</v>
      </c>
      <c r="P755">
        <f>セットアップレポート!O755</f>
        <v>0</v>
      </c>
      <c r="Q755">
        <f>セットアップレポート!P755</f>
        <v>0</v>
      </c>
      <c r="R755">
        <f>セットアップレポート!Q755</f>
        <v>0</v>
      </c>
      <c r="S755">
        <f>セットアップレポート!R755</f>
        <v>0</v>
      </c>
      <c r="T755">
        <f>セットアップレポート!S755</f>
        <v>0</v>
      </c>
      <c r="U755">
        <f>セットアップレポート!T755</f>
        <v>0</v>
      </c>
      <c r="V755">
        <f>セットアップレポート!U755</f>
        <v>0</v>
      </c>
      <c r="W755">
        <f>セットアップレポート!V755</f>
        <v>0</v>
      </c>
      <c r="X755">
        <f>セットアップレポート!W755</f>
        <v>0</v>
      </c>
      <c r="Y755">
        <f>セットアップレポート!X755</f>
        <v>0</v>
      </c>
      <c r="Z755">
        <f>セットアップレポート!Y755</f>
        <v>0</v>
      </c>
      <c r="AA755">
        <f>セットアップレポート!Z755</f>
        <v>0</v>
      </c>
      <c r="AB755">
        <f>セットアップレポート!AA755</f>
        <v>0</v>
      </c>
      <c r="AC755">
        <f>セットアップレポート!AB755</f>
        <v>0</v>
      </c>
      <c r="AD755">
        <f>セットアップレポート!AC755</f>
        <v>0</v>
      </c>
      <c r="AE755">
        <f>セットアップレポート!AD755</f>
        <v>0</v>
      </c>
      <c r="AF755">
        <f>セットアップレポート!AE755</f>
        <v>0</v>
      </c>
      <c r="AG755">
        <f>セットアップレポート!AF755</f>
        <v>0</v>
      </c>
      <c r="AH755">
        <f>セットアップレポート!AG755</f>
        <v>0</v>
      </c>
    </row>
    <row r="756" spans="1:34" x14ac:dyDescent="0.45">
      <c r="A756" t="str">
        <f t="shared" si="11"/>
        <v>000</v>
      </c>
      <c r="B756">
        <f>セットアップレポート!A756</f>
        <v>0</v>
      </c>
      <c r="C756">
        <f>セットアップレポート!B756</f>
        <v>0</v>
      </c>
      <c r="D756">
        <f>セットアップレポート!C756</f>
        <v>0</v>
      </c>
      <c r="E756">
        <f>セットアップレポート!D756</f>
        <v>0</v>
      </c>
      <c r="F756">
        <f>セットアップレポート!E756</f>
        <v>0</v>
      </c>
      <c r="G756">
        <f>セットアップレポート!F756</f>
        <v>0</v>
      </c>
      <c r="H756">
        <f>セットアップレポート!G756</f>
        <v>0</v>
      </c>
      <c r="I756">
        <f>セットアップレポート!H756</f>
        <v>0</v>
      </c>
      <c r="J756">
        <f>セットアップレポート!I756</f>
        <v>0</v>
      </c>
      <c r="K756">
        <f>セットアップレポート!J756</f>
        <v>0</v>
      </c>
      <c r="L756">
        <f>セットアップレポート!K756</f>
        <v>0</v>
      </c>
      <c r="M756">
        <f>セットアップレポート!L756</f>
        <v>0</v>
      </c>
      <c r="N756">
        <f>セットアップレポート!M756</f>
        <v>0</v>
      </c>
      <c r="O756">
        <f>セットアップレポート!N756</f>
        <v>0</v>
      </c>
      <c r="P756">
        <f>セットアップレポート!O756</f>
        <v>0</v>
      </c>
      <c r="Q756">
        <f>セットアップレポート!P756</f>
        <v>0</v>
      </c>
      <c r="R756">
        <f>セットアップレポート!Q756</f>
        <v>0</v>
      </c>
      <c r="S756">
        <f>セットアップレポート!R756</f>
        <v>0</v>
      </c>
      <c r="T756">
        <f>セットアップレポート!S756</f>
        <v>0</v>
      </c>
      <c r="U756">
        <f>セットアップレポート!T756</f>
        <v>0</v>
      </c>
      <c r="V756">
        <f>セットアップレポート!U756</f>
        <v>0</v>
      </c>
      <c r="W756">
        <f>セットアップレポート!V756</f>
        <v>0</v>
      </c>
      <c r="X756">
        <f>セットアップレポート!W756</f>
        <v>0</v>
      </c>
      <c r="Y756">
        <f>セットアップレポート!X756</f>
        <v>0</v>
      </c>
      <c r="Z756">
        <f>セットアップレポート!Y756</f>
        <v>0</v>
      </c>
      <c r="AA756">
        <f>セットアップレポート!Z756</f>
        <v>0</v>
      </c>
      <c r="AB756">
        <f>セットアップレポート!AA756</f>
        <v>0</v>
      </c>
      <c r="AC756">
        <f>セットアップレポート!AB756</f>
        <v>0</v>
      </c>
      <c r="AD756">
        <f>セットアップレポート!AC756</f>
        <v>0</v>
      </c>
      <c r="AE756">
        <f>セットアップレポート!AD756</f>
        <v>0</v>
      </c>
      <c r="AF756">
        <f>セットアップレポート!AE756</f>
        <v>0</v>
      </c>
      <c r="AG756">
        <f>セットアップレポート!AF756</f>
        <v>0</v>
      </c>
      <c r="AH756">
        <f>セットアップレポート!AG756</f>
        <v>0</v>
      </c>
    </row>
    <row r="757" spans="1:34" x14ac:dyDescent="0.45">
      <c r="A757" t="str">
        <f t="shared" si="11"/>
        <v>000</v>
      </c>
      <c r="B757">
        <f>セットアップレポート!A757</f>
        <v>0</v>
      </c>
      <c r="C757">
        <f>セットアップレポート!B757</f>
        <v>0</v>
      </c>
      <c r="D757">
        <f>セットアップレポート!C757</f>
        <v>0</v>
      </c>
      <c r="E757">
        <f>セットアップレポート!D757</f>
        <v>0</v>
      </c>
      <c r="F757">
        <f>セットアップレポート!E757</f>
        <v>0</v>
      </c>
      <c r="G757">
        <f>セットアップレポート!F757</f>
        <v>0</v>
      </c>
      <c r="H757">
        <f>セットアップレポート!G757</f>
        <v>0</v>
      </c>
      <c r="I757">
        <f>セットアップレポート!H757</f>
        <v>0</v>
      </c>
      <c r="J757">
        <f>セットアップレポート!I757</f>
        <v>0</v>
      </c>
      <c r="K757">
        <f>セットアップレポート!J757</f>
        <v>0</v>
      </c>
      <c r="L757">
        <f>セットアップレポート!K757</f>
        <v>0</v>
      </c>
      <c r="M757">
        <f>セットアップレポート!L757</f>
        <v>0</v>
      </c>
      <c r="N757">
        <f>セットアップレポート!M757</f>
        <v>0</v>
      </c>
      <c r="O757">
        <f>セットアップレポート!N757</f>
        <v>0</v>
      </c>
      <c r="P757">
        <f>セットアップレポート!O757</f>
        <v>0</v>
      </c>
      <c r="Q757">
        <f>セットアップレポート!P757</f>
        <v>0</v>
      </c>
      <c r="R757">
        <f>セットアップレポート!Q757</f>
        <v>0</v>
      </c>
      <c r="S757">
        <f>セットアップレポート!R757</f>
        <v>0</v>
      </c>
      <c r="T757">
        <f>セットアップレポート!S757</f>
        <v>0</v>
      </c>
      <c r="U757">
        <f>セットアップレポート!T757</f>
        <v>0</v>
      </c>
      <c r="V757">
        <f>セットアップレポート!U757</f>
        <v>0</v>
      </c>
      <c r="W757">
        <f>セットアップレポート!V757</f>
        <v>0</v>
      </c>
      <c r="X757">
        <f>セットアップレポート!W757</f>
        <v>0</v>
      </c>
      <c r="Y757">
        <f>セットアップレポート!X757</f>
        <v>0</v>
      </c>
      <c r="Z757">
        <f>セットアップレポート!Y757</f>
        <v>0</v>
      </c>
      <c r="AA757">
        <f>セットアップレポート!Z757</f>
        <v>0</v>
      </c>
      <c r="AB757">
        <f>セットアップレポート!AA757</f>
        <v>0</v>
      </c>
      <c r="AC757">
        <f>セットアップレポート!AB757</f>
        <v>0</v>
      </c>
      <c r="AD757">
        <f>セットアップレポート!AC757</f>
        <v>0</v>
      </c>
      <c r="AE757">
        <f>セットアップレポート!AD757</f>
        <v>0</v>
      </c>
      <c r="AF757">
        <f>セットアップレポート!AE757</f>
        <v>0</v>
      </c>
      <c r="AG757">
        <f>セットアップレポート!AF757</f>
        <v>0</v>
      </c>
      <c r="AH757">
        <f>セットアップレポート!AG757</f>
        <v>0</v>
      </c>
    </row>
    <row r="758" spans="1:34" x14ac:dyDescent="0.45">
      <c r="A758" t="str">
        <f t="shared" si="11"/>
        <v>000</v>
      </c>
      <c r="B758">
        <f>セットアップレポート!A758</f>
        <v>0</v>
      </c>
      <c r="C758">
        <f>セットアップレポート!B758</f>
        <v>0</v>
      </c>
      <c r="D758">
        <f>セットアップレポート!C758</f>
        <v>0</v>
      </c>
      <c r="E758">
        <f>セットアップレポート!D758</f>
        <v>0</v>
      </c>
      <c r="F758">
        <f>セットアップレポート!E758</f>
        <v>0</v>
      </c>
      <c r="G758">
        <f>セットアップレポート!F758</f>
        <v>0</v>
      </c>
      <c r="H758">
        <f>セットアップレポート!G758</f>
        <v>0</v>
      </c>
      <c r="I758">
        <f>セットアップレポート!H758</f>
        <v>0</v>
      </c>
      <c r="J758">
        <f>セットアップレポート!I758</f>
        <v>0</v>
      </c>
      <c r="K758">
        <f>セットアップレポート!J758</f>
        <v>0</v>
      </c>
      <c r="L758">
        <f>セットアップレポート!K758</f>
        <v>0</v>
      </c>
      <c r="M758">
        <f>セットアップレポート!L758</f>
        <v>0</v>
      </c>
      <c r="N758">
        <f>セットアップレポート!M758</f>
        <v>0</v>
      </c>
      <c r="O758">
        <f>セットアップレポート!N758</f>
        <v>0</v>
      </c>
      <c r="P758">
        <f>セットアップレポート!O758</f>
        <v>0</v>
      </c>
      <c r="Q758">
        <f>セットアップレポート!P758</f>
        <v>0</v>
      </c>
      <c r="R758">
        <f>セットアップレポート!Q758</f>
        <v>0</v>
      </c>
      <c r="S758">
        <f>セットアップレポート!R758</f>
        <v>0</v>
      </c>
      <c r="T758">
        <f>セットアップレポート!S758</f>
        <v>0</v>
      </c>
      <c r="U758">
        <f>セットアップレポート!T758</f>
        <v>0</v>
      </c>
      <c r="V758">
        <f>セットアップレポート!U758</f>
        <v>0</v>
      </c>
      <c r="W758">
        <f>セットアップレポート!V758</f>
        <v>0</v>
      </c>
      <c r="X758">
        <f>セットアップレポート!W758</f>
        <v>0</v>
      </c>
      <c r="Y758">
        <f>セットアップレポート!X758</f>
        <v>0</v>
      </c>
      <c r="Z758">
        <f>セットアップレポート!Y758</f>
        <v>0</v>
      </c>
      <c r="AA758">
        <f>セットアップレポート!Z758</f>
        <v>0</v>
      </c>
      <c r="AB758">
        <f>セットアップレポート!AA758</f>
        <v>0</v>
      </c>
      <c r="AC758">
        <f>セットアップレポート!AB758</f>
        <v>0</v>
      </c>
      <c r="AD758">
        <f>セットアップレポート!AC758</f>
        <v>0</v>
      </c>
      <c r="AE758">
        <f>セットアップレポート!AD758</f>
        <v>0</v>
      </c>
      <c r="AF758">
        <f>セットアップレポート!AE758</f>
        <v>0</v>
      </c>
      <c r="AG758">
        <f>セットアップレポート!AF758</f>
        <v>0</v>
      </c>
      <c r="AH758">
        <f>セットアップレポート!AG758</f>
        <v>0</v>
      </c>
    </row>
    <row r="759" spans="1:34" x14ac:dyDescent="0.45">
      <c r="A759" t="str">
        <f t="shared" si="11"/>
        <v>000</v>
      </c>
      <c r="B759">
        <f>セットアップレポート!A759</f>
        <v>0</v>
      </c>
      <c r="C759">
        <f>セットアップレポート!B759</f>
        <v>0</v>
      </c>
      <c r="D759">
        <f>セットアップレポート!C759</f>
        <v>0</v>
      </c>
      <c r="E759">
        <f>セットアップレポート!D759</f>
        <v>0</v>
      </c>
      <c r="F759">
        <f>セットアップレポート!E759</f>
        <v>0</v>
      </c>
      <c r="G759">
        <f>セットアップレポート!F759</f>
        <v>0</v>
      </c>
      <c r="H759">
        <f>セットアップレポート!G759</f>
        <v>0</v>
      </c>
      <c r="I759">
        <f>セットアップレポート!H759</f>
        <v>0</v>
      </c>
      <c r="J759">
        <f>セットアップレポート!I759</f>
        <v>0</v>
      </c>
      <c r="K759">
        <f>セットアップレポート!J759</f>
        <v>0</v>
      </c>
      <c r="L759">
        <f>セットアップレポート!K759</f>
        <v>0</v>
      </c>
      <c r="M759">
        <f>セットアップレポート!L759</f>
        <v>0</v>
      </c>
      <c r="N759">
        <f>セットアップレポート!M759</f>
        <v>0</v>
      </c>
      <c r="O759">
        <f>セットアップレポート!N759</f>
        <v>0</v>
      </c>
      <c r="P759">
        <f>セットアップレポート!O759</f>
        <v>0</v>
      </c>
      <c r="Q759">
        <f>セットアップレポート!P759</f>
        <v>0</v>
      </c>
      <c r="R759">
        <f>セットアップレポート!Q759</f>
        <v>0</v>
      </c>
      <c r="S759">
        <f>セットアップレポート!R759</f>
        <v>0</v>
      </c>
      <c r="T759">
        <f>セットアップレポート!S759</f>
        <v>0</v>
      </c>
      <c r="U759">
        <f>セットアップレポート!T759</f>
        <v>0</v>
      </c>
      <c r="V759">
        <f>セットアップレポート!U759</f>
        <v>0</v>
      </c>
      <c r="W759">
        <f>セットアップレポート!V759</f>
        <v>0</v>
      </c>
      <c r="X759">
        <f>セットアップレポート!W759</f>
        <v>0</v>
      </c>
      <c r="Y759">
        <f>セットアップレポート!X759</f>
        <v>0</v>
      </c>
      <c r="Z759">
        <f>セットアップレポート!Y759</f>
        <v>0</v>
      </c>
      <c r="AA759">
        <f>セットアップレポート!Z759</f>
        <v>0</v>
      </c>
      <c r="AB759">
        <f>セットアップレポート!AA759</f>
        <v>0</v>
      </c>
      <c r="AC759">
        <f>セットアップレポート!AB759</f>
        <v>0</v>
      </c>
      <c r="AD759">
        <f>セットアップレポート!AC759</f>
        <v>0</v>
      </c>
      <c r="AE759">
        <f>セットアップレポート!AD759</f>
        <v>0</v>
      </c>
      <c r="AF759">
        <f>セットアップレポート!AE759</f>
        <v>0</v>
      </c>
      <c r="AG759">
        <f>セットアップレポート!AF759</f>
        <v>0</v>
      </c>
      <c r="AH759">
        <f>セットアップレポート!AG759</f>
        <v>0</v>
      </c>
    </row>
    <row r="760" spans="1:34" x14ac:dyDescent="0.45">
      <c r="A760" t="str">
        <f t="shared" si="11"/>
        <v>000</v>
      </c>
      <c r="B760">
        <f>セットアップレポート!A760</f>
        <v>0</v>
      </c>
      <c r="C760">
        <f>セットアップレポート!B760</f>
        <v>0</v>
      </c>
      <c r="D760">
        <f>セットアップレポート!C760</f>
        <v>0</v>
      </c>
      <c r="E760">
        <f>セットアップレポート!D760</f>
        <v>0</v>
      </c>
      <c r="F760">
        <f>セットアップレポート!E760</f>
        <v>0</v>
      </c>
      <c r="G760">
        <f>セットアップレポート!F760</f>
        <v>0</v>
      </c>
      <c r="H760">
        <f>セットアップレポート!G760</f>
        <v>0</v>
      </c>
      <c r="I760">
        <f>セットアップレポート!H760</f>
        <v>0</v>
      </c>
      <c r="J760">
        <f>セットアップレポート!I760</f>
        <v>0</v>
      </c>
      <c r="K760">
        <f>セットアップレポート!J760</f>
        <v>0</v>
      </c>
      <c r="L760">
        <f>セットアップレポート!K760</f>
        <v>0</v>
      </c>
      <c r="M760">
        <f>セットアップレポート!L760</f>
        <v>0</v>
      </c>
      <c r="N760">
        <f>セットアップレポート!M760</f>
        <v>0</v>
      </c>
      <c r="O760">
        <f>セットアップレポート!N760</f>
        <v>0</v>
      </c>
      <c r="P760">
        <f>セットアップレポート!O760</f>
        <v>0</v>
      </c>
      <c r="Q760">
        <f>セットアップレポート!P760</f>
        <v>0</v>
      </c>
      <c r="R760">
        <f>セットアップレポート!Q760</f>
        <v>0</v>
      </c>
      <c r="S760">
        <f>セットアップレポート!R760</f>
        <v>0</v>
      </c>
      <c r="T760">
        <f>セットアップレポート!S760</f>
        <v>0</v>
      </c>
      <c r="U760">
        <f>セットアップレポート!T760</f>
        <v>0</v>
      </c>
      <c r="V760">
        <f>セットアップレポート!U760</f>
        <v>0</v>
      </c>
      <c r="W760">
        <f>セットアップレポート!V760</f>
        <v>0</v>
      </c>
      <c r="X760">
        <f>セットアップレポート!W760</f>
        <v>0</v>
      </c>
      <c r="Y760">
        <f>セットアップレポート!X760</f>
        <v>0</v>
      </c>
      <c r="Z760">
        <f>セットアップレポート!Y760</f>
        <v>0</v>
      </c>
      <c r="AA760">
        <f>セットアップレポート!Z760</f>
        <v>0</v>
      </c>
      <c r="AB760">
        <f>セットアップレポート!AA760</f>
        <v>0</v>
      </c>
      <c r="AC760">
        <f>セットアップレポート!AB760</f>
        <v>0</v>
      </c>
      <c r="AD760">
        <f>セットアップレポート!AC760</f>
        <v>0</v>
      </c>
      <c r="AE760">
        <f>セットアップレポート!AD760</f>
        <v>0</v>
      </c>
      <c r="AF760">
        <f>セットアップレポート!AE760</f>
        <v>0</v>
      </c>
      <c r="AG760">
        <f>セットアップレポート!AF760</f>
        <v>0</v>
      </c>
      <c r="AH760">
        <f>セットアップレポート!AG760</f>
        <v>0</v>
      </c>
    </row>
    <row r="761" spans="1:34" x14ac:dyDescent="0.45">
      <c r="A761" t="str">
        <f t="shared" si="11"/>
        <v>000</v>
      </c>
      <c r="B761">
        <f>セットアップレポート!A761</f>
        <v>0</v>
      </c>
      <c r="C761">
        <f>セットアップレポート!B761</f>
        <v>0</v>
      </c>
      <c r="D761">
        <f>セットアップレポート!C761</f>
        <v>0</v>
      </c>
      <c r="E761">
        <f>セットアップレポート!D761</f>
        <v>0</v>
      </c>
      <c r="F761">
        <f>セットアップレポート!E761</f>
        <v>0</v>
      </c>
      <c r="G761">
        <f>セットアップレポート!F761</f>
        <v>0</v>
      </c>
      <c r="H761">
        <f>セットアップレポート!G761</f>
        <v>0</v>
      </c>
      <c r="I761">
        <f>セットアップレポート!H761</f>
        <v>0</v>
      </c>
      <c r="J761">
        <f>セットアップレポート!I761</f>
        <v>0</v>
      </c>
      <c r="K761">
        <f>セットアップレポート!J761</f>
        <v>0</v>
      </c>
      <c r="L761">
        <f>セットアップレポート!K761</f>
        <v>0</v>
      </c>
      <c r="M761">
        <f>セットアップレポート!L761</f>
        <v>0</v>
      </c>
      <c r="N761">
        <f>セットアップレポート!M761</f>
        <v>0</v>
      </c>
      <c r="O761">
        <f>セットアップレポート!N761</f>
        <v>0</v>
      </c>
      <c r="P761">
        <f>セットアップレポート!O761</f>
        <v>0</v>
      </c>
      <c r="Q761">
        <f>セットアップレポート!P761</f>
        <v>0</v>
      </c>
      <c r="R761">
        <f>セットアップレポート!Q761</f>
        <v>0</v>
      </c>
      <c r="S761">
        <f>セットアップレポート!R761</f>
        <v>0</v>
      </c>
      <c r="T761">
        <f>セットアップレポート!S761</f>
        <v>0</v>
      </c>
      <c r="U761">
        <f>セットアップレポート!T761</f>
        <v>0</v>
      </c>
      <c r="V761">
        <f>セットアップレポート!U761</f>
        <v>0</v>
      </c>
      <c r="W761">
        <f>セットアップレポート!V761</f>
        <v>0</v>
      </c>
      <c r="X761">
        <f>セットアップレポート!W761</f>
        <v>0</v>
      </c>
      <c r="Y761">
        <f>セットアップレポート!X761</f>
        <v>0</v>
      </c>
      <c r="Z761">
        <f>セットアップレポート!Y761</f>
        <v>0</v>
      </c>
      <c r="AA761">
        <f>セットアップレポート!Z761</f>
        <v>0</v>
      </c>
      <c r="AB761">
        <f>セットアップレポート!AA761</f>
        <v>0</v>
      </c>
      <c r="AC761">
        <f>セットアップレポート!AB761</f>
        <v>0</v>
      </c>
      <c r="AD761">
        <f>セットアップレポート!AC761</f>
        <v>0</v>
      </c>
      <c r="AE761">
        <f>セットアップレポート!AD761</f>
        <v>0</v>
      </c>
      <c r="AF761">
        <f>セットアップレポート!AE761</f>
        <v>0</v>
      </c>
      <c r="AG761">
        <f>セットアップレポート!AF761</f>
        <v>0</v>
      </c>
      <c r="AH761">
        <f>セットアップレポート!AG761</f>
        <v>0</v>
      </c>
    </row>
    <row r="762" spans="1:34" x14ac:dyDescent="0.45">
      <c r="A762" t="str">
        <f t="shared" si="11"/>
        <v>000</v>
      </c>
      <c r="B762">
        <f>セットアップレポート!A762</f>
        <v>0</v>
      </c>
      <c r="C762">
        <f>セットアップレポート!B762</f>
        <v>0</v>
      </c>
      <c r="D762">
        <f>セットアップレポート!C762</f>
        <v>0</v>
      </c>
      <c r="E762">
        <f>セットアップレポート!D762</f>
        <v>0</v>
      </c>
      <c r="F762">
        <f>セットアップレポート!E762</f>
        <v>0</v>
      </c>
      <c r="G762">
        <f>セットアップレポート!F762</f>
        <v>0</v>
      </c>
      <c r="H762">
        <f>セットアップレポート!G762</f>
        <v>0</v>
      </c>
      <c r="I762">
        <f>セットアップレポート!H762</f>
        <v>0</v>
      </c>
      <c r="J762">
        <f>セットアップレポート!I762</f>
        <v>0</v>
      </c>
      <c r="K762">
        <f>セットアップレポート!J762</f>
        <v>0</v>
      </c>
      <c r="L762">
        <f>セットアップレポート!K762</f>
        <v>0</v>
      </c>
      <c r="M762">
        <f>セットアップレポート!L762</f>
        <v>0</v>
      </c>
      <c r="N762">
        <f>セットアップレポート!M762</f>
        <v>0</v>
      </c>
      <c r="O762">
        <f>セットアップレポート!N762</f>
        <v>0</v>
      </c>
      <c r="P762">
        <f>セットアップレポート!O762</f>
        <v>0</v>
      </c>
      <c r="Q762">
        <f>セットアップレポート!P762</f>
        <v>0</v>
      </c>
      <c r="R762">
        <f>セットアップレポート!Q762</f>
        <v>0</v>
      </c>
      <c r="S762">
        <f>セットアップレポート!R762</f>
        <v>0</v>
      </c>
      <c r="T762">
        <f>セットアップレポート!S762</f>
        <v>0</v>
      </c>
      <c r="U762">
        <f>セットアップレポート!T762</f>
        <v>0</v>
      </c>
      <c r="V762">
        <f>セットアップレポート!U762</f>
        <v>0</v>
      </c>
      <c r="W762">
        <f>セットアップレポート!V762</f>
        <v>0</v>
      </c>
      <c r="X762">
        <f>セットアップレポート!W762</f>
        <v>0</v>
      </c>
      <c r="Y762">
        <f>セットアップレポート!X762</f>
        <v>0</v>
      </c>
      <c r="Z762">
        <f>セットアップレポート!Y762</f>
        <v>0</v>
      </c>
      <c r="AA762">
        <f>セットアップレポート!Z762</f>
        <v>0</v>
      </c>
      <c r="AB762">
        <f>セットアップレポート!AA762</f>
        <v>0</v>
      </c>
      <c r="AC762">
        <f>セットアップレポート!AB762</f>
        <v>0</v>
      </c>
      <c r="AD762">
        <f>セットアップレポート!AC762</f>
        <v>0</v>
      </c>
      <c r="AE762">
        <f>セットアップレポート!AD762</f>
        <v>0</v>
      </c>
      <c r="AF762">
        <f>セットアップレポート!AE762</f>
        <v>0</v>
      </c>
      <c r="AG762">
        <f>セットアップレポート!AF762</f>
        <v>0</v>
      </c>
      <c r="AH762">
        <f>セットアップレポート!AG762</f>
        <v>0</v>
      </c>
    </row>
    <row r="763" spans="1:34" x14ac:dyDescent="0.45">
      <c r="A763" t="str">
        <f t="shared" si="11"/>
        <v>000</v>
      </c>
      <c r="B763">
        <f>セットアップレポート!A763</f>
        <v>0</v>
      </c>
      <c r="C763">
        <f>セットアップレポート!B763</f>
        <v>0</v>
      </c>
      <c r="D763">
        <f>セットアップレポート!C763</f>
        <v>0</v>
      </c>
      <c r="E763">
        <f>セットアップレポート!D763</f>
        <v>0</v>
      </c>
      <c r="F763">
        <f>セットアップレポート!E763</f>
        <v>0</v>
      </c>
      <c r="G763">
        <f>セットアップレポート!F763</f>
        <v>0</v>
      </c>
      <c r="H763">
        <f>セットアップレポート!G763</f>
        <v>0</v>
      </c>
      <c r="I763">
        <f>セットアップレポート!H763</f>
        <v>0</v>
      </c>
      <c r="J763">
        <f>セットアップレポート!I763</f>
        <v>0</v>
      </c>
      <c r="K763">
        <f>セットアップレポート!J763</f>
        <v>0</v>
      </c>
      <c r="L763">
        <f>セットアップレポート!K763</f>
        <v>0</v>
      </c>
      <c r="M763">
        <f>セットアップレポート!L763</f>
        <v>0</v>
      </c>
      <c r="N763">
        <f>セットアップレポート!M763</f>
        <v>0</v>
      </c>
      <c r="O763">
        <f>セットアップレポート!N763</f>
        <v>0</v>
      </c>
      <c r="P763">
        <f>セットアップレポート!O763</f>
        <v>0</v>
      </c>
      <c r="Q763">
        <f>セットアップレポート!P763</f>
        <v>0</v>
      </c>
      <c r="R763">
        <f>セットアップレポート!Q763</f>
        <v>0</v>
      </c>
      <c r="S763">
        <f>セットアップレポート!R763</f>
        <v>0</v>
      </c>
      <c r="T763">
        <f>セットアップレポート!S763</f>
        <v>0</v>
      </c>
      <c r="U763">
        <f>セットアップレポート!T763</f>
        <v>0</v>
      </c>
      <c r="V763">
        <f>セットアップレポート!U763</f>
        <v>0</v>
      </c>
      <c r="W763">
        <f>セットアップレポート!V763</f>
        <v>0</v>
      </c>
      <c r="X763">
        <f>セットアップレポート!W763</f>
        <v>0</v>
      </c>
      <c r="Y763">
        <f>セットアップレポート!X763</f>
        <v>0</v>
      </c>
      <c r="Z763">
        <f>セットアップレポート!Y763</f>
        <v>0</v>
      </c>
      <c r="AA763">
        <f>セットアップレポート!Z763</f>
        <v>0</v>
      </c>
      <c r="AB763">
        <f>セットアップレポート!AA763</f>
        <v>0</v>
      </c>
      <c r="AC763">
        <f>セットアップレポート!AB763</f>
        <v>0</v>
      </c>
      <c r="AD763">
        <f>セットアップレポート!AC763</f>
        <v>0</v>
      </c>
      <c r="AE763">
        <f>セットアップレポート!AD763</f>
        <v>0</v>
      </c>
      <c r="AF763">
        <f>セットアップレポート!AE763</f>
        <v>0</v>
      </c>
      <c r="AG763">
        <f>セットアップレポート!AF763</f>
        <v>0</v>
      </c>
      <c r="AH763">
        <f>セットアップレポート!AG763</f>
        <v>0</v>
      </c>
    </row>
    <row r="764" spans="1:34" x14ac:dyDescent="0.45">
      <c r="A764" t="str">
        <f t="shared" si="11"/>
        <v>000</v>
      </c>
      <c r="B764">
        <f>セットアップレポート!A764</f>
        <v>0</v>
      </c>
      <c r="C764">
        <f>セットアップレポート!B764</f>
        <v>0</v>
      </c>
      <c r="D764">
        <f>セットアップレポート!C764</f>
        <v>0</v>
      </c>
      <c r="E764">
        <f>セットアップレポート!D764</f>
        <v>0</v>
      </c>
      <c r="F764">
        <f>セットアップレポート!E764</f>
        <v>0</v>
      </c>
      <c r="G764">
        <f>セットアップレポート!F764</f>
        <v>0</v>
      </c>
      <c r="H764">
        <f>セットアップレポート!G764</f>
        <v>0</v>
      </c>
      <c r="I764">
        <f>セットアップレポート!H764</f>
        <v>0</v>
      </c>
      <c r="J764">
        <f>セットアップレポート!I764</f>
        <v>0</v>
      </c>
      <c r="K764">
        <f>セットアップレポート!J764</f>
        <v>0</v>
      </c>
      <c r="L764">
        <f>セットアップレポート!K764</f>
        <v>0</v>
      </c>
      <c r="M764">
        <f>セットアップレポート!L764</f>
        <v>0</v>
      </c>
      <c r="N764">
        <f>セットアップレポート!M764</f>
        <v>0</v>
      </c>
      <c r="O764">
        <f>セットアップレポート!N764</f>
        <v>0</v>
      </c>
      <c r="P764">
        <f>セットアップレポート!O764</f>
        <v>0</v>
      </c>
      <c r="Q764">
        <f>セットアップレポート!P764</f>
        <v>0</v>
      </c>
      <c r="R764">
        <f>セットアップレポート!Q764</f>
        <v>0</v>
      </c>
      <c r="S764">
        <f>セットアップレポート!R764</f>
        <v>0</v>
      </c>
      <c r="T764">
        <f>セットアップレポート!S764</f>
        <v>0</v>
      </c>
      <c r="U764">
        <f>セットアップレポート!T764</f>
        <v>0</v>
      </c>
      <c r="V764">
        <f>セットアップレポート!U764</f>
        <v>0</v>
      </c>
      <c r="W764">
        <f>セットアップレポート!V764</f>
        <v>0</v>
      </c>
      <c r="X764">
        <f>セットアップレポート!W764</f>
        <v>0</v>
      </c>
      <c r="Y764">
        <f>セットアップレポート!X764</f>
        <v>0</v>
      </c>
      <c r="Z764">
        <f>セットアップレポート!Y764</f>
        <v>0</v>
      </c>
      <c r="AA764">
        <f>セットアップレポート!Z764</f>
        <v>0</v>
      </c>
      <c r="AB764">
        <f>セットアップレポート!AA764</f>
        <v>0</v>
      </c>
      <c r="AC764">
        <f>セットアップレポート!AB764</f>
        <v>0</v>
      </c>
      <c r="AD764">
        <f>セットアップレポート!AC764</f>
        <v>0</v>
      </c>
      <c r="AE764">
        <f>セットアップレポート!AD764</f>
        <v>0</v>
      </c>
      <c r="AF764">
        <f>セットアップレポート!AE764</f>
        <v>0</v>
      </c>
      <c r="AG764">
        <f>セットアップレポート!AF764</f>
        <v>0</v>
      </c>
      <c r="AH764">
        <f>セットアップレポート!AG764</f>
        <v>0</v>
      </c>
    </row>
    <row r="765" spans="1:34" x14ac:dyDescent="0.45">
      <c r="A765" t="str">
        <f t="shared" si="11"/>
        <v>000</v>
      </c>
      <c r="B765">
        <f>セットアップレポート!A765</f>
        <v>0</v>
      </c>
      <c r="C765">
        <f>セットアップレポート!B765</f>
        <v>0</v>
      </c>
      <c r="D765">
        <f>セットアップレポート!C765</f>
        <v>0</v>
      </c>
      <c r="E765">
        <f>セットアップレポート!D765</f>
        <v>0</v>
      </c>
      <c r="F765">
        <f>セットアップレポート!E765</f>
        <v>0</v>
      </c>
      <c r="G765">
        <f>セットアップレポート!F765</f>
        <v>0</v>
      </c>
      <c r="H765">
        <f>セットアップレポート!G765</f>
        <v>0</v>
      </c>
      <c r="I765">
        <f>セットアップレポート!H765</f>
        <v>0</v>
      </c>
      <c r="J765">
        <f>セットアップレポート!I765</f>
        <v>0</v>
      </c>
      <c r="K765">
        <f>セットアップレポート!J765</f>
        <v>0</v>
      </c>
      <c r="L765">
        <f>セットアップレポート!K765</f>
        <v>0</v>
      </c>
      <c r="M765">
        <f>セットアップレポート!L765</f>
        <v>0</v>
      </c>
      <c r="N765">
        <f>セットアップレポート!M765</f>
        <v>0</v>
      </c>
      <c r="O765">
        <f>セットアップレポート!N765</f>
        <v>0</v>
      </c>
      <c r="P765">
        <f>セットアップレポート!O765</f>
        <v>0</v>
      </c>
      <c r="Q765">
        <f>セットアップレポート!P765</f>
        <v>0</v>
      </c>
      <c r="R765">
        <f>セットアップレポート!Q765</f>
        <v>0</v>
      </c>
      <c r="S765">
        <f>セットアップレポート!R765</f>
        <v>0</v>
      </c>
      <c r="T765">
        <f>セットアップレポート!S765</f>
        <v>0</v>
      </c>
      <c r="U765">
        <f>セットアップレポート!T765</f>
        <v>0</v>
      </c>
      <c r="V765">
        <f>セットアップレポート!U765</f>
        <v>0</v>
      </c>
      <c r="W765">
        <f>セットアップレポート!V765</f>
        <v>0</v>
      </c>
      <c r="X765">
        <f>セットアップレポート!W765</f>
        <v>0</v>
      </c>
      <c r="Y765">
        <f>セットアップレポート!X765</f>
        <v>0</v>
      </c>
      <c r="Z765">
        <f>セットアップレポート!Y765</f>
        <v>0</v>
      </c>
      <c r="AA765">
        <f>セットアップレポート!Z765</f>
        <v>0</v>
      </c>
      <c r="AB765">
        <f>セットアップレポート!AA765</f>
        <v>0</v>
      </c>
      <c r="AC765">
        <f>セットアップレポート!AB765</f>
        <v>0</v>
      </c>
      <c r="AD765">
        <f>セットアップレポート!AC765</f>
        <v>0</v>
      </c>
      <c r="AE765">
        <f>セットアップレポート!AD765</f>
        <v>0</v>
      </c>
      <c r="AF765">
        <f>セットアップレポート!AE765</f>
        <v>0</v>
      </c>
      <c r="AG765">
        <f>セットアップレポート!AF765</f>
        <v>0</v>
      </c>
      <c r="AH765">
        <f>セットアップレポート!AG765</f>
        <v>0</v>
      </c>
    </row>
    <row r="766" spans="1:34" x14ac:dyDescent="0.45">
      <c r="A766" t="str">
        <f t="shared" si="11"/>
        <v>000</v>
      </c>
      <c r="B766">
        <f>セットアップレポート!A766</f>
        <v>0</v>
      </c>
      <c r="C766">
        <f>セットアップレポート!B766</f>
        <v>0</v>
      </c>
      <c r="D766">
        <f>セットアップレポート!C766</f>
        <v>0</v>
      </c>
      <c r="E766">
        <f>セットアップレポート!D766</f>
        <v>0</v>
      </c>
      <c r="F766">
        <f>セットアップレポート!E766</f>
        <v>0</v>
      </c>
      <c r="G766">
        <f>セットアップレポート!F766</f>
        <v>0</v>
      </c>
      <c r="H766">
        <f>セットアップレポート!G766</f>
        <v>0</v>
      </c>
      <c r="I766">
        <f>セットアップレポート!H766</f>
        <v>0</v>
      </c>
      <c r="J766">
        <f>セットアップレポート!I766</f>
        <v>0</v>
      </c>
      <c r="K766">
        <f>セットアップレポート!J766</f>
        <v>0</v>
      </c>
      <c r="L766">
        <f>セットアップレポート!K766</f>
        <v>0</v>
      </c>
      <c r="M766">
        <f>セットアップレポート!L766</f>
        <v>0</v>
      </c>
      <c r="N766">
        <f>セットアップレポート!M766</f>
        <v>0</v>
      </c>
      <c r="O766">
        <f>セットアップレポート!N766</f>
        <v>0</v>
      </c>
      <c r="P766">
        <f>セットアップレポート!O766</f>
        <v>0</v>
      </c>
      <c r="Q766">
        <f>セットアップレポート!P766</f>
        <v>0</v>
      </c>
      <c r="R766">
        <f>セットアップレポート!Q766</f>
        <v>0</v>
      </c>
      <c r="S766">
        <f>セットアップレポート!R766</f>
        <v>0</v>
      </c>
      <c r="T766">
        <f>セットアップレポート!S766</f>
        <v>0</v>
      </c>
      <c r="U766">
        <f>セットアップレポート!T766</f>
        <v>0</v>
      </c>
      <c r="V766">
        <f>セットアップレポート!U766</f>
        <v>0</v>
      </c>
      <c r="W766">
        <f>セットアップレポート!V766</f>
        <v>0</v>
      </c>
      <c r="X766">
        <f>セットアップレポート!W766</f>
        <v>0</v>
      </c>
      <c r="Y766">
        <f>セットアップレポート!X766</f>
        <v>0</v>
      </c>
      <c r="Z766">
        <f>セットアップレポート!Y766</f>
        <v>0</v>
      </c>
      <c r="AA766">
        <f>セットアップレポート!Z766</f>
        <v>0</v>
      </c>
      <c r="AB766">
        <f>セットアップレポート!AA766</f>
        <v>0</v>
      </c>
      <c r="AC766">
        <f>セットアップレポート!AB766</f>
        <v>0</v>
      </c>
      <c r="AD766">
        <f>セットアップレポート!AC766</f>
        <v>0</v>
      </c>
      <c r="AE766">
        <f>セットアップレポート!AD766</f>
        <v>0</v>
      </c>
      <c r="AF766">
        <f>セットアップレポート!AE766</f>
        <v>0</v>
      </c>
      <c r="AG766">
        <f>セットアップレポート!AF766</f>
        <v>0</v>
      </c>
      <c r="AH766">
        <f>セットアップレポート!AG766</f>
        <v>0</v>
      </c>
    </row>
    <row r="767" spans="1:34" x14ac:dyDescent="0.45">
      <c r="A767" t="str">
        <f t="shared" si="11"/>
        <v>000</v>
      </c>
      <c r="B767">
        <f>セットアップレポート!A767</f>
        <v>0</v>
      </c>
      <c r="C767">
        <f>セットアップレポート!B767</f>
        <v>0</v>
      </c>
      <c r="D767">
        <f>セットアップレポート!C767</f>
        <v>0</v>
      </c>
      <c r="E767">
        <f>セットアップレポート!D767</f>
        <v>0</v>
      </c>
      <c r="F767">
        <f>セットアップレポート!E767</f>
        <v>0</v>
      </c>
      <c r="G767">
        <f>セットアップレポート!F767</f>
        <v>0</v>
      </c>
      <c r="H767">
        <f>セットアップレポート!G767</f>
        <v>0</v>
      </c>
      <c r="I767">
        <f>セットアップレポート!H767</f>
        <v>0</v>
      </c>
      <c r="J767">
        <f>セットアップレポート!I767</f>
        <v>0</v>
      </c>
      <c r="K767">
        <f>セットアップレポート!J767</f>
        <v>0</v>
      </c>
      <c r="L767">
        <f>セットアップレポート!K767</f>
        <v>0</v>
      </c>
      <c r="M767">
        <f>セットアップレポート!L767</f>
        <v>0</v>
      </c>
      <c r="N767">
        <f>セットアップレポート!M767</f>
        <v>0</v>
      </c>
      <c r="O767">
        <f>セットアップレポート!N767</f>
        <v>0</v>
      </c>
      <c r="P767">
        <f>セットアップレポート!O767</f>
        <v>0</v>
      </c>
      <c r="Q767">
        <f>セットアップレポート!P767</f>
        <v>0</v>
      </c>
      <c r="R767">
        <f>セットアップレポート!Q767</f>
        <v>0</v>
      </c>
      <c r="S767">
        <f>セットアップレポート!R767</f>
        <v>0</v>
      </c>
      <c r="T767">
        <f>セットアップレポート!S767</f>
        <v>0</v>
      </c>
      <c r="U767">
        <f>セットアップレポート!T767</f>
        <v>0</v>
      </c>
      <c r="V767">
        <f>セットアップレポート!U767</f>
        <v>0</v>
      </c>
      <c r="W767">
        <f>セットアップレポート!V767</f>
        <v>0</v>
      </c>
      <c r="X767">
        <f>セットアップレポート!W767</f>
        <v>0</v>
      </c>
      <c r="Y767">
        <f>セットアップレポート!X767</f>
        <v>0</v>
      </c>
      <c r="Z767">
        <f>セットアップレポート!Y767</f>
        <v>0</v>
      </c>
      <c r="AA767">
        <f>セットアップレポート!Z767</f>
        <v>0</v>
      </c>
      <c r="AB767">
        <f>セットアップレポート!AA767</f>
        <v>0</v>
      </c>
      <c r="AC767">
        <f>セットアップレポート!AB767</f>
        <v>0</v>
      </c>
      <c r="AD767">
        <f>セットアップレポート!AC767</f>
        <v>0</v>
      </c>
      <c r="AE767">
        <f>セットアップレポート!AD767</f>
        <v>0</v>
      </c>
      <c r="AF767">
        <f>セットアップレポート!AE767</f>
        <v>0</v>
      </c>
      <c r="AG767">
        <f>セットアップレポート!AF767</f>
        <v>0</v>
      </c>
      <c r="AH767">
        <f>セットアップレポート!AG767</f>
        <v>0</v>
      </c>
    </row>
    <row r="768" spans="1:34" x14ac:dyDescent="0.45">
      <c r="A768" t="str">
        <f t="shared" si="11"/>
        <v>000</v>
      </c>
      <c r="B768">
        <f>セットアップレポート!A768</f>
        <v>0</v>
      </c>
      <c r="C768">
        <f>セットアップレポート!B768</f>
        <v>0</v>
      </c>
      <c r="D768">
        <f>セットアップレポート!C768</f>
        <v>0</v>
      </c>
      <c r="E768">
        <f>セットアップレポート!D768</f>
        <v>0</v>
      </c>
      <c r="F768">
        <f>セットアップレポート!E768</f>
        <v>0</v>
      </c>
      <c r="G768">
        <f>セットアップレポート!F768</f>
        <v>0</v>
      </c>
      <c r="H768">
        <f>セットアップレポート!G768</f>
        <v>0</v>
      </c>
      <c r="I768">
        <f>セットアップレポート!H768</f>
        <v>0</v>
      </c>
      <c r="J768">
        <f>セットアップレポート!I768</f>
        <v>0</v>
      </c>
      <c r="K768">
        <f>セットアップレポート!J768</f>
        <v>0</v>
      </c>
      <c r="L768">
        <f>セットアップレポート!K768</f>
        <v>0</v>
      </c>
      <c r="M768">
        <f>セットアップレポート!L768</f>
        <v>0</v>
      </c>
      <c r="N768">
        <f>セットアップレポート!M768</f>
        <v>0</v>
      </c>
      <c r="O768">
        <f>セットアップレポート!N768</f>
        <v>0</v>
      </c>
      <c r="P768">
        <f>セットアップレポート!O768</f>
        <v>0</v>
      </c>
      <c r="Q768">
        <f>セットアップレポート!P768</f>
        <v>0</v>
      </c>
      <c r="R768">
        <f>セットアップレポート!Q768</f>
        <v>0</v>
      </c>
      <c r="S768">
        <f>セットアップレポート!R768</f>
        <v>0</v>
      </c>
      <c r="T768">
        <f>セットアップレポート!S768</f>
        <v>0</v>
      </c>
      <c r="U768">
        <f>セットアップレポート!T768</f>
        <v>0</v>
      </c>
      <c r="V768">
        <f>セットアップレポート!U768</f>
        <v>0</v>
      </c>
      <c r="W768">
        <f>セットアップレポート!V768</f>
        <v>0</v>
      </c>
      <c r="X768">
        <f>セットアップレポート!W768</f>
        <v>0</v>
      </c>
      <c r="Y768">
        <f>セットアップレポート!X768</f>
        <v>0</v>
      </c>
      <c r="Z768">
        <f>セットアップレポート!Y768</f>
        <v>0</v>
      </c>
      <c r="AA768">
        <f>セットアップレポート!Z768</f>
        <v>0</v>
      </c>
      <c r="AB768">
        <f>セットアップレポート!AA768</f>
        <v>0</v>
      </c>
      <c r="AC768">
        <f>セットアップレポート!AB768</f>
        <v>0</v>
      </c>
      <c r="AD768">
        <f>セットアップレポート!AC768</f>
        <v>0</v>
      </c>
      <c r="AE768">
        <f>セットアップレポート!AD768</f>
        <v>0</v>
      </c>
      <c r="AF768">
        <f>セットアップレポート!AE768</f>
        <v>0</v>
      </c>
      <c r="AG768">
        <f>セットアップレポート!AF768</f>
        <v>0</v>
      </c>
      <c r="AH768">
        <f>セットアップレポート!AG768</f>
        <v>0</v>
      </c>
    </row>
    <row r="769" spans="1:34" x14ac:dyDescent="0.45">
      <c r="A769" t="str">
        <f t="shared" si="11"/>
        <v>000</v>
      </c>
      <c r="B769">
        <f>セットアップレポート!A769</f>
        <v>0</v>
      </c>
      <c r="C769">
        <f>セットアップレポート!B769</f>
        <v>0</v>
      </c>
      <c r="D769">
        <f>セットアップレポート!C769</f>
        <v>0</v>
      </c>
      <c r="E769">
        <f>セットアップレポート!D769</f>
        <v>0</v>
      </c>
      <c r="F769">
        <f>セットアップレポート!E769</f>
        <v>0</v>
      </c>
      <c r="G769">
        <f>セットアップレポート!F769</f>
        <v>0</v>
      </c>
      <c r="H769">
        <f>セットアップレポート!G769</f>
        <v>0</v>
      </c>
      <c r="I769">
        <f>セットアップレポート!H769</f>
        <v>0</v>
      </c>
      <c r="J769">
        <f>セットアップレポート!I769</f>
        <v>0</v>
      </c>
      <c r="K769">
        <f>セットアップレポート!J769</f>
        <v>0</v>
      </c>
      <c r="L769">
        <f>セットアップレポート!K769</f>
        <v>0</v>
      </c>
      <c r="M769">
        <f>セットアップレポート!L769</f>
        <v>0</v>
      </c>
      <c r="N769">
        <f>セットアップレポート!M769</f>
        <v>0</v>
      </c>
      <c r="O769">
        <f>セットアップレポート!N769</f>
        <v>0</v>
      </c>
      <c r="P769">
        <f>セットアップレポート!O769</f>
        <v>0</v>
      </c>
      <c r="Q769">
        <f>セットアップレポート!P769</f>
        <v>0</v>
      </c>
      <c r="R769">
        <f>セットアップレポート!Q769</f>
        <v>0</v>
      </c>
      <c r="S769">
        <f>セットアップレポート!R769</f>
        <v>0</v>
      </c>
      <c r="T769">
        <f>セットアップレポート!S769</f>
        <v>0</v>
      </c>
      <c r="U769">
        <f>セットアップレポート!T769</f>
        <v>0</v>
      </c>
      <c r="V769">
        <f>セットアップレポート!U769</f>
        <v>0</v>
      </c>
      <c r="W769">
        <f>セットアップレポート!V769</f>
        <v>0</v>
      </c>
      <c r="X769">
        <f>セットアップレポート!W769</f>
        <v>0</v>
      </c>
      <c r="Y769">
        <f>セットアップレポート!X769</f>
        <v>0</v>
      </c>
      <c r="Z769">
        <f>セットアップレポート!Y769</f>
        <v>0</v>
      </c>
      <c r="AA769">
        <f>セットアップレポート!Z769</f>
        <v>0</v>
      </c>
      <c r="AB769">
        <f>セットアップレポート!AA769</f>
        <v>0</v>
      </c>
      <c r="AC769">
        <f>セットアップレポート!AB769</f>
        <v>0</v>
      </c>
      <c r="AD769">
        <f>セットアップレポート!AC769</f>
        <v>0</v>
      </c>
      <c r="AE769">
        <f>セットアップレポート!AD769</f>
        <v>0</v>
      </c>
      <c r="AF769">
        <f>セットアップレポート!AE769</f>
        <v>0</v>
      </c>
      <c r="AG769">
        <f>セットアップレポート!AF769</f>
        <v>0</v>
      </c>
      <c r="AH769">
        <f>セットアップレポート!AG769</f>
        <v>0</v>
      </c>
    </row>
    <row r="770" spans="1:34" x14ac:dyDescent="0.45">
      <c r="A770" t="str">
        <f t="shared" si="11"/>
        <v>000</v>
      </c>
      <c r="B770">
        <f>セットアップレポート!A770</f>
        <v>0</v>
      </c>
      <c r="C770">
        <f>セットアップレポート!B770</f>
        <v>0</v>
      </c>
      <c r="D770">
        <f>セットアップレポート!C770</f>
        <v>0</v>
      </c>
      <c r="E770">
        <f>セットアップレポート!D770</f>
        <v>0</v>
      </c>
      <c r="F770">
        <f>セットアップレポート!E770</f>
        <v>0</v>
      </c>
      <c r="G770">
        <f>セットアップレポート!F770</f>
        <v>0</v>
      </c>
      <c r="H770">
        <f>セットアップレポート!G770</f>
        <v>0</v>
      </c>
      <c r="I770">
        <f>セットアップレポート!H770</f>
        <v>0</v>
      </c>
      <c r="J770">
        <f>セットアップレポート!I770</f>
        <v>0</v>
      </c>
      <c r="K770">
        <f>セットアップレポート!J770</f>
        <v>0</v>
      </c>
      <c r="L770">
        <f>セットアップレポート!K770</f>
        <v>0</v>
      </c>
      <c r="M770">
        <f>セットアップレポート!L770</f>
        <v>0</v>
      </c>
      <c r="N770">
        <f>セットアップレポート!M770</f>
        <v>0</v>
      </c>
      <c r="O770">
        <f>セットアップレポート!N770</f>
        <v>0</v>
      </c>
      <c r="P770">
        <f>セットアップレポート!O770</f>
        <v>0</v>
      </c>
      <c r="Q770">
        <f>セットアップレポート!P770</f>
        <v>0</v>
      </c>
      <c r="R770">
        <f>セットアップレポート!Q770</f>
        <v>0</v>
      </c>
      <c r="S770">
        <f>セットアップレポート!R770</f>
        <v>0</v>
      </c>
      <c r="T770">
        <f>セットアップレポート!S770</f>
        <v>0</v>
      </c>
      <c r="U770">
        <f>セットアップレポート!T770</f>
        <v>0</v>
      </c>
      <c r="V770">
        <f>セットアップレポート!U770</f>
        <v>0</v>
      </c>
      <c r="W770">
        <f>セットアップレポート!V770</f>
        <v>0</v>
      </c>
      <c r="X770">
        <f>セットアップレポート!W770</f>
        <v>0</v>
      </c>
      <c r="Y770">
        <f>セットアップレポート!X770</f>
        <v>0</v>
      </c>
      <c r="Z770">
        <f>セットアップレポート!Y770</f>
        <v>0</v>
      </c>
      <c r="AA770">
        <f>セットアップレポート!Z770</f>
        <v>0</v>
      </c>
      <c r="AB770">
        <f>セットアップレポート!AA770</f>
        <v>0</v>
      </c>
      <c r="AC770">
        <f>セットアップレポート!AB770</f>
        <v>0</v>
      </c>
      <c r="AD770">
        <f>セットアップレポート!AC770</f>
        <v>0</v>
      </c>
      <c r="AE770">
        <f>セットアップレポート!AD770</f>
        <v>0</v>
      </c>
      <c r="AF770">
        <f>セットアップレポート!AE770</f>
        <v>0</v>
      </c>
      <c r="AG770">
        <f>セットアップレポート!AF770</f>
        <v>0</v>
      </c>
      <c r="AH770">
        <f>セットアップレポート!AG770</f>
        <v>0</v>
      </c>
    </row>
    <row r="771" spans="1:34" x14ac:dyDescent="0.45">
      <c r="A771" t="str">
        <f t="shared" ref="A771:A834" si="12">C771&amp;RIGHT(G771,5)&amp;K771</f>
        <v>000</v>
      </c>
      <c r="B771">
        <f>セットアップレポート!A771</f>
        <v>0</v>
      </c>
      <c r="C771">
        <f>セットアップレポート!B771</f>
        <v>0</v>
      </c>
      <c r="D771">
        <f>セットアップレポート!C771</f>
        <v>0</v>
      </c>
      <c r="E771">
        <f>セットアップレポート!D771</f>
        <v>0</v>
      </c>
      <c r="F771">
        <f>セットアップレポート!E771</f>
        <v>0</v>
      </c>
      <c r="G771">
        <f>セットアップレポート!F771</f>
        <v>0</v>
      </c>
      <c r="H771">
        <f>セットアップレポート!G771</f>
        <v>0</v>
      </c>
      <c r="I771">
        <f>セットアップレポート!H771</f>
        <v>0</v>
      </c>
      <c r="J771">
        <f>セットアップレポート!I771</f>
        <v>0</v>
      </c>
      <c r="K771">
        <f>セットアップレポート!J771</f>
        <v>0</v>
      </c>
      <c r="L771">
        <f>セットアップレポート!K771</f>
        <v>0</v>
      </c>
      <c r="M771">
        <f>セットアップレポート!L771</f>
        <v>0</v>
      </c>
      <c r="N771">
        <f>セットアップレポート!M771</f>
        <v>0</v>
      </c>
      <c r="O771">
        <f>セットアップレポート!N771</f>
        <v>0</v>
      </c>
      <c r="P771">
        <f>セットアップレポート!O771</f>
        <v>0</v>
      </c>
      <c r="Q771">
        <f>セットアップレポート!P771</f>
        <v>0</v>
      </c>
      <c r="R771">
        <f>セットアップレポート!Q771</f>
        <v>0</v>
      </c>
      <c r="S771">
        <f>セットアップレポート!R771</f>
        <v>0</v>
      </c>
      <c r="T771">
        <f>セットアップレポート!S771</f>
        <v>0</v>
      </c>
      <c r="U771">
        <f>セットアップレポート!T771</f>
        <v>0</v>
      </c>
      <c r="V771">
        <f>セットアップレポート!U771</f>
        <v>0</v>
      </c>
      <c r="W771">
        <f>セットアップレポート!V771</f>
        <v>0</v>
      </c>
      <c r="X771">
        <f>セットアップレポート!W771</f>
        <v>0</v>
      </c>
      <c r="Y771">
        <f>セットアップレポート!X771</f>
        <v>0</v>
      </c>
      <c r="Z771">
        <f>セットアップレポート!Y771</f>
        <v>0</v>
      </c>
      <c r="AA771">
        <f>セットアップレポート!Z771</f>
        <v>0</v>
      </c>
      <c r="AB771">
        <f>セットアップレポート!AA771</f>
        <v>0</v>
      </c>
      <c r="AC771">
        <f>セットアップレポート!AB771</f>
        <v>0</v>
      </c>
      <c r="AD771">
        <f>セットアップレポート!AC771</f>
        <v>0</v>
      </c>
      <c r="AE771">
        <f>セットアップレポート!AD771</f>
        <v>0</v>
      </c>
      <c r="AF771">
        <f>セットアップレポート!AE771</f>
        <v>0</v>
      </c>
      <c r="AG771">
        <f>セットアップレポート!AF771</f>
        <v>0</v>
      </c>
      <c r="AH771">
        <f>セットアップレポート!AG771</f>
        <v>0</v>
      </c>
    </row>
    <row r="772" spans="1:34" x14ac:dyDescent="0.45">
      <c r="A772" t="str">
        <f t="shared" si="12"/>
        <v>000</v>
      </c>
      <c r="B772">
        <f>セットアップレポート!A772</f>
        <v>0</v>
      </c>
      <c r="C772">
        <f>セットアップレポート!B772</f>
        <v>0</v>
      </c>
      <c r="D772">
        <f>セットアップレポート!C772</f>
        <v>0</v>
      </c>
      <c r="E772">
        <f>セットアップレポート!D772</f>
        <v>0</v>
      </c>
      <c r="F772">
        <f>セットアップレポート!E772</f>
        <v>0</v>
      </c>
      <c r="G772">
        <f>セットアップレポート!F772</f>
        <v>0</v>
      </c>
      <c r="H772">
        <f>セットアップレポート!G772</f>
        <v>0</v>
      </c>
      <c r="I772">
        <f>セットアップレポート!H772</f>
        <v>0</v>
      </c>
      <c r="J772">
        <f>セットアップレポート!I772</f>
        <v>0</v>
      </c>
      <c r="K772">
        <f>セットアップレポート!J772</f>
        <v>0</v>
      </c>
      <c r="L772">
        <f>セットアップレポート!K772</f>
        <v>0</v>
      </c>
      <c r="M772">
        <f>セットアップレポート!L772</f>
        <v>0</v>
      </c>
      <c r="N772">
        <f>セットアップレポート!M772</f>
        <v>0</v>
      </c>
      <c r="O772">
        <f>セットアップレポート!N772</f>
        <v>0</v>
      </c>
      <c r="P772">
        <f>セットアップレポート!O772</f>
        <v>0</v>
      </c>
      <c r="Q772">
        <f>セットアップレポート!P772</f>
        <v>0</v>
      </c>
      <c r="R772">
        <f>セットアップレポート!Q772</f>
        <v>0</v>
      </c>
      <c r="S772">
        <f>セットアップレポート!R772</f>
        <v>0</v>
      </c>
      <c r="T772">
        <f>セットアップレポート!S772</f>
        <v>0</v>
      </c>
      <c r="U772">
        <f>セットアップレポート!T772</f>
        <v>0</v>
      </c>
      <c r="V772">
        <f>セットアップレポート!U772</f>
        <v>0</v>
      </c>
      <c r="W772">
        <f>セットアップレポート!V772</f>
        <v>0</v>
      </c>
      <c r="X772">
        <f>セットアップレポート!W772</f>
        <v>0</v>
      </c>
      <c r="Y772">
        <f>セットアップレポート!X772</f>
        <v>0</v>
      </c>
      <c r="Z772">
        <f>セットアップレポート!Y772</f>
        <v>0</v>
      </c>
      <c r="AA772">
        <f>セットアップレポート!Z772</f>
        <v>0</v>
      </c>
      <c r="AB772">
        <f>セットアップレポート!AA772</f>
        <v>0</v>
      </c>
      <c r="AC772">
        <f>セットアップレポート!AB772</f>
        <v>0</v>
      </c>
      <c r="AD772">
        <f>セットアップレポート!AC772</f>
        <v>0</v>
      </c>
      <c r="AE772">
        <f>セットアップレポート!AD772</f>
        <v>0</v>
      </c>
      <c r="AF772">
        <f>セットアップレポート!AE772</f>
        <v>0</v>
      </c>
      <c r="AG772">
        <f>セットアップレポート!AF772</f>
        <v>0</v>
      </c>
      <c r="AH772">
        <f>セットアップレポート!AG772</f>
        <v>0</v>
      </c>
    </row>
    <row r="773" spans="1:34" x14ac:dyDescent="0.45">
      <c r="A773" t="str">
        <f t="shared" si="12"/>
        <v>000</v>
      </c>
      <c r="B773">
        <f>セットアップレポート!A773</f>
        <v>0</v>
      </c>
      <c r="C773">
        <f>セットアップレポート!B773</f>
        <v>0</v>
      </c>
      <c r="D773">
        <f>セットアップレポート!C773</f>
        <v>0</v>
      </c>
      <c r="E773">
        <f>セットアップレポート!D773</f>
        <v>0</v>
      </c>
      <c r="F773">
        <f>セットアップレポート!E773</f>
        <v>0</v>
      </c>
      <c r="G773">
        <f>セットアップレポート!F773</f>
        <v>0</v>
      </c>
      <c r="H773">
        <f>セットアップレポート!G773</f>
        <v>0</v>
      </c>
      <c r="I773">
        <f>セットアップレポート!H773</f>
        <v>0</v>
      </c>
      <c r="J773">
        <f>セットアップレポート!I773</f>
        <v>0</v>
      </c>
      <c r="K773">
        <f>セットアップレポート!J773</f>
        <v>0</v>
      </c>
      <c r="L773">
        <f>セットアップレポート!K773</f>
        <v>0</v>
      </c>
      <c r="M773">
        <f>セットアップレポート!L773</f>
        <v>0</v>
      </c>
      <c r="N773">
        <f>セットアップレポート!M773</f>
        <v>0</v>
      </c>
      <c r="O773">
        <f>セットアップレポート!N773</f>
        <v>0</v>
      </c>
      <c r="P773">
        <f>セットアップレポート!O773</f>
        <v>0</v>
      </c>
      <c r="Q773">
        <f>セットアップレポート!P773</f>
        <v>0</v>
      </c>
      <c r="R773">
        <f>セットアップレポート!Q773</f>
        <v>0</v>
      </c>
      <c r="S773">
        <f>セットアップレポート!R773</f>
        <v>0</v>
      </c>
      <c r="T773">
        <f>セットアップレポート!S773</f>
        <v>0</v>
      </c>
      <c r="U773">
        <f>セットアップレポート!T773</f>
        <v>0</v>
      </c>
      <c r="V773">
        <f>セットアップレポート!U773</f>
        <v>0</v>
      </c>
      <c r="W773">
        <f>セットアップレポート!V773</f>
        <v>0</v>
      </c>
      <c r="X773">
        <f>セットアップレポート!W773</f>
        <v>0</v>
      </c>
      <c r="Y773">
        <f>セットアップレポート!X773</f>
        <v>0</v>
      </c>
      <c r="Z773">
        <f>セットアップレポート!Y773</f>
        <v>0</v>
      </c>
      <c r="AA773">
        <f>セットアップレポート!Z773</f>
        <v>0</v>
      </c>
      <c r="AB773">
        <f>セットアップレポート!AA773</f>
        <v>0</v>
      </c>
      <c r="AC773">
        <f>セットアップレポート!AB773</f>
        <v>0</v>
      </c>
      <c r="AD773">
        <f>セットアップレポート!AC773</f>
        <v>0</v>
      </c>
      <c r="AE773">
        <f>セットアップレポート!AD773</f>
        <v>0</v>
      </c>
      <c r="AF773">
        <f>セットアップレポート!AE773</f>
        <v>0</v>
      </c>
      <c r="AG773">
        <f>セットアップレポート!AF773</f>
        <v>0</v>
      </c>
      <c r="AH773">
        <f>セットアップレポート!AG773</f>
        <v>0</v>
      </c>
    </row>
    <row r="774" spans="1:34" x14ac:dyDescent="0.45">
      <c r="A774" t="str">
        <f t="shared" si="12"/>
        <v>000</v>
      </c>
      <c r="B774">
        <f>セットアップレポート!A774</f>
        <v>0</v>
      </c>
      <c r="C774">
        <f>セットアップレポート!B774</f>
        <v>0</v>
      </c>
      <c r="D774">
        <f>セットアップレポート!C774</f>
        <v>0</v>
      </c>
      <c r="E774">
        <f>セットアップレポート!D774</f>
        <v>0</v>
      </c>
      <c r="F774">
        <f>セットアップレポート!E774</f>
        <v>0</v>
      </c>
      <c r="G774">
        <f>セットアップレポート!F774</f>
        <v>0</v>
      </c>
      <c r="H774">
        <f>セットアップレポート!G774</f>
        <v>0</v>
      </c>
      <c r="I774">
        <f>セットアップレポート!H774</f>
        <v>0</v>
      </c>
      <c r="J774">
        <f>セットアップレポート!I774</f>
        <v>0</v>
      </c>
      <c r="K774">
        <f>セットアップレポート!J774</f>
        <v>0</v>
      </c>
      <c r="L774">
        <f>セットアップレポート!K774</f>
        <v>0</v>
      </c>
      <c r="M774">
        <f>セットアップレポート!L774</f>
        <v>0</v>
      </c>
      <c r="N774">
        <f>セットアップレポート!M774</f>
        <v>0</v>
      </c>
      <c r="O774">
        <f>セットアップレポート!N774</f>
        <v>0</v>
      </c>
      <c r="P774">
        <f>セットアップレポート!O774</f>
        <v>0</v>
      </c>
      <c r="Q774">
        <f>セットアップレポート!P774</f>
        <v>0</v>
      </c>
      <c r="R774">
        <f>セットアップレポート!Q774</f>
        <v>0</v>
      </c>
      <c r="S774">
        <f>セットアップレポート!R774</f>
        <v>0</v>
      </c>
      <c r="T774">
        <f>セットアップレポート!S774</f>
        <v>0</v>
      </c>
      <c r="U774">
        <f>セットアップレポート!T774</f>
        <v>0</v>
      </c>
      <c r="V774">
        <f>セットアップレポート!U774</f>
        <v>0</v>
      </c>
      <c r="W774">
        <f>セットアップレポート!V774</f>
        <v>0</v>
      </c>
      <c r="X774">
        <f>セットアップレポート!W774</f>
        <v>0</v>
      </c>
      <c r="Y774">
        <f>セットアップレポート!X774</f>
        <v>0</v>
      </c>
      <c r="Z774">
        <f>セットアップレポート!Y774</f>
        <v>0</v>
      </c>
      <c r="AA774">
        <f>セットアップレポート!Z774</f>
        <v>0</v>
      </c>
      <c r="AB774">
        <f>セットアップレポート!AA774</f>
        <v>0</v>
      </c>
      <c r="AC774">
        <f>セットアップレポート!AB774</f>
        <v>0</v>
      </c>
      <c r="AD774">
        <f>セットアップレポート!AC774</f>
        <v>0</v>
      </c>
      <c r="AE774">
        <f>セットアップレポート!AD774</f>
        <v>0</v>
      </c>
      <c r="AF774">
        <f>セットアップレポート!AE774</f>
        <v>0</v>
      </c>
      <c r="AG774">
        <f>セットアップレポート!AF774</f>
        <v>0</v>
      </c>
      <c r="AH774">
        <f>セットアップレポート!AG774</f>
        <v>0</v>
      </c>
    </row>
    <row r="775" spans="1:34" x14ac:dyDescent="0.45">
      <c r="A775" t="str">
        <f t="shared" si="12"/>
        <v>000</v>
      </c>
      <c r="B775">
        <f>セットアップレポート!A775</f>
        <v>0</v>
      </c>
      <c r="C775">
        <f>セットアップレポート!B775</f>
        <v>0</v>
      </c>
      <c r="D775">
        <f>セットアップレポート!C775</f>
        <v>0</v>
      </c>
      <c r="E775">
        <f>セットアップレポート!D775</f>
        <v>0</v>
      </c>
      <c r="F775">
        <f>セットアップレポート!E775</f>
        <v>0</v>
      </c>
      <c r="G775">
        <f>セットアップレポート!F775</f>
        <v>0</v>
      </c>
      <c r="H775">
        <f>セットアップレポート!G775</f>
        <v>0</v>
      </c>
      <c r="I775">
        <f>セットアップレポート!H775</f>
        <v>0</v>
      </c>
      <c r="J775">
        <f>セットアップレポート!I775</f>
        <v>0</v>
      </c>
      <c r="K775">
        <f>セットアップレポート!J775</f>
        <v>0</v>
      </c>
      <c r="L775">
        <f>セットアップレポート!K775</f>
        <v>0</v>
      </c>
      <c r="M775">
        <f>セットアップレポート!L775</f>
        <v>0</v>
      </c>
      <c r="N775">
        <f>セットアップレポート!M775</f>
        <v>0</v>
      </c>
      <c r="O775">
        <f>セットアップレポート!N775</f>
        <v>0</v>
      </c>
      <c r="P775">
        <f>セットアップレポート!O775</f>
        <v>0</v>
      </c>
      <c r="Q775">
        <f>セットアップレポート!P775</f>
        <v>0</v>
      </c>
      <c r="R775">
        <f>セットアップレポート!Q775</f>
        <v>0</v>
      </c>
      <c r="S775">
        <f>セットアップレポート!R775</f>
        <v>0</v>
      </c>
      <c r="T775">
        <f>セットアップレポート!S775</f>
        <v>0</v>
      </c>
      <c r="U775">
        <f>セットアップレポート!T775</f>
        <v>0</v>
      </c>
      <c r="V775">
        <f>セットアップレポート!U775</f>
        <v>0</v>
      </c>
      <c r="W775">
        <f>セットアップレポート!V775</f>
        <v>0</v>
      </c>
      <c r="X775">
        <f>セットアップレポート!W775</f>
        <v>0</v>
      </c>
      <c r="Y775">
        <f>セットアップレポート!X775</f>
        <v>0</v>
      </c>
      <c r="Z775">
        <f>セットアップレポート!Y775</f>
        <v>0</v>
      </c>
      <c r="AA775">
        <f>セットアップレポート!Z775</f>
        <v>0</v>
      </c>
      <c r="AB775">
        <f>セットアップレポート!AA775</f>
        <v>0</v>
      </c>
      <c r="AC775">
        <f>セットアップレポート!AB775</f>
        <v>0</v>
      </c>
      <c r="AD775">
        <f>セットアップレポート!AC775</f>
        <v>0</v>
      </c>
      <c r="AE775">
        <f>セットアップレポート!AD775</f>
        <v>0</v>
      </c>
      <c r="AF775">
        <f>セットアップレポート!AE775</f>
        <v>0</v>
      </c>
      <c r="AG775">
        <f>セットアップレポート!AF775</f>
        <v>0</v>
      </c>
      <c r="AH775">
        <f>セットアップレポート!AG775</f>
        <v>0</v>
      </c>
    </row>
    <row r="776" spans="1:34" x14ac:dyDescent="0.45">
      <c r="A776" t="str">
        <f t="shared" si="12"/>
        <v>000</v>
      </c>
      <c r="B776">
        <f>セットアップレポート!A776</f>
        <v>0</v>
      </c>
      <c r="C776">
        <f>セットアップレポート!B776</f>
        <v>0</v>
      </c>
      <c r="D776">
        <f>セットアップレポート!C776</f>
        <v>0</v>
      </c>
      <c r="E776">
        <f>セットアップレポート!D776</f>
        <v>0</v>
      </c>
      <c r="F776">
        <f>セットアップレポート!E776</f>
        <v>0</v>
      </c>
      <c r="G776">
        <f>セットアップレポート!F776</f>
        <v>0</v>
      </c>
      <c r="H776">
        <f>セットアップレポート!G776</f>
        <v>0</v>
      </c>
      <c r="I776">
        <f>セットアップレポート!H776</f>
        <v>0</v>
      </c>
      <c r="J776">
        <f>セットアップレポート!I776</f>
        <v>0</v>
      </c>
      <c r="K776">
        <f>セットアップレポート!J776</f>
        <v>0</v>
      </c>
      <c r="L776">
        <f>セットアップレポート!K776</f>
        <v>0</v>
      </c>
      <c r="M776">
        <f>セットアップレポート!L776</f>
        <v>0</v>
      </c>
      <c r="N776">
        <f>セットアップレポート!M776</f>
        <v>0</v>
      </c>
      <c r="O776">
        <f>セットアップレポート!N776</f>
        <v>0</v>
      </c>
      <c r="P776">
        <f>セットアップレポート!O776</f>
        <v>0</v>
      </c>
      <c r="Q776">
        <f>セットアップレポート!P776</f>
        <v>0</v>
      </c>
      <c r="R776">
        <f>セットアップレポート!Q776</f>
        <v>0</v>
      </c>
      <c r="S776">
        <f>セットアップレポート!R776</f>
        <v>0</v>
      </c>
      <c r="T776">
        <f>セットアップレポート!S776</f>
        <v>0</v>
      </c>
      <c r="U776">
        <f>セットアップレポート!T776</f>
        <v>0</v>
      </c>
      <c r="V776">
        <f>セットアップレポート!U776</f>
        <v>0</v>
      </c>
      <c r="W776">
        <f>セットアップレポート!V776</f>
        <v>0</v>
      </c>
      <c r="X776">
        <f>セットアップレポート!W776</f>
        <v>0</v>
      </c>
      <c r="Y776">
        <f>セットアップレポート!X776</f>
        <v>0</v>
      </c>
      <c r="Z776">
        <f>セットアップレポート!Y776</f>
        <v>0</v>
      </c>
      <c r="AA776">
        <f>セットアップレポート!Z776</f>
        <v>0</v>
      </c>
      <c r="AB776">
        <f>セットアップレポート!AA776</f>
        <v>0</v>
      </c>
      <c r="AC776">
        <f>セットアップレポート!AB776</f>
        <v>0</v>
      </c>
      <c r="AD776">
        <f>セットアップレポート!AC776</f>
        <v>0</v>
      </c>
      <c r="AE776">
        <f>セットアップレポート!AD776</f>
        <v>0</v>
      </c>
      <c r="AF776">
        <f>セットアップレポート!AE776</f>
        <v>0</v>
      </c>
      <c r="AG776">
        <f>セットアップレポート!AF776</f>
        <v>0</v>
      </c>
      <c r="AH776">
        <f>セットアップレポート!AG776</f>
        <v>0</v>
      </c>
    </row>
    <row r="777" spans="1:34" x14ac:dyDescent="0.45">
      <c r="A777" t="str">
        <f t="shared" si="12"/>
        <v>000</v>
      </c>
      <c r="B777">
        <f>セットアップレポート!A777</f>
        <v>0</v>
      </c>
      <c r="C777">
        <f>セットアップレポート!B777</f>
        <v>0</v>
      </c>
      <c r="D777">
        <f>セットアップレポート!C777</f>
        <v>0</v>
      </c>
      <c r="E777">
        <f>セットアップレポート!D777</f>
        <v>0</v>
      </c>
      <c r="F777">
        <f>セットアップレポート!E777</f>
        <v>0</v>
      </c>
      <c r="G777">
        <f>セットアップレポート!F777</f>
        <v>0</v>
      </c>
      <c r="H777">
        <f>セットアップレポート!G777</f>
        <v>0</v>
      </c>
      <c r="I777">
        <f>セットアップレポート!H777</f>
        <v>0</v>
      </c>
      <c r="J777">
        <f>セットアップレポート!I777</f>
        <v>0</v>
      </c>
      <c r="K777">
        <f>セットアップレポート!J777</f>
        <v>0</v>
      </c>
      <c r="L777">
        <f>セットアップレポート!K777</f>
        <v>0</v>
      </c>
      <c r="M777">
        <f>セットアップレポート!L777</f>
        <v>0</v>
      </c>
      <c r="N777">
        <f>セットアップレポート!M777</f>
        <v>0</v>
      </c>
      <c r="O777">
        <f>セットアップレポート!N777</f>
        <v>0</v>
      </c>
      <c r="P777">
        <f>セットアップレポート!O777</f>
        <v>0</v>
      </c>
      <c r="Q777">
        <f>セットアップレポート!P777</f>
        <v>0</v>
      </c>
      <c r="R777">
        <f>セットアップレポート!Q777</f>
        <v>0</v>
      </c>
      <c r="S777">
        <f>セットアップレポート!R777</f>
        <v>0</v>
      </c>
      <c r="T777">
        <f>セットアップレポート!S777</f>
        <v>0</v>
      </c>
      <c r="U777">
        <f>セットアップレポート!T777</f>
        <v>0</v>
      </c>
      <c r="V777">
        <f>セットアップレポート!U777</f>
        <v>0</v>
      </c>
      <c r="W777">
        <f>セットアップレポート!V777</f>
        <v>0</v>
      </c>
      <c r="X777">
        <f>セットアップレポート!W777</f>
        <v>0</v>
      </c>
      <c r="Y777">
        <f>セットアップレポート!X777</f>
        <v>0</v>
      </c>
      <c r="Z777">
        <f>セットアップレポート!Y777</f>
        <v>0</v>
      </c>
      <c r="AA777">
        <f>セットアップレポート!Z777</f>
        <v>0</v>
      </c>
      <c r="AB777">
        <f>セットアップレポート!AA777</f>
        <v>0</v>
      </c>
      <c r="AC777">
        <f>セットアップレポート!AB777</f>
        <v>0</v>
      </c>
      <c r="AD777">
        <f>セットアップレポート!AC777</f>
        <v>0</v>
      </c>
      <c r="AE777">
        <f>セットアップレポート!AD777</f>
        <v>0</v>
      </c>
      <c r="AF777">
        <f>セットアップレポート!AE777</f>
        <v>0</v>
      </c>
      <c r="AG777">
        <f>セットアップレポート!AF777</f>
        <v>0</v>
      </c>
      <c r="AH777">
        <f>セットアップレポート!AG777</f>
        <v>0</v>
      </c>
    </row>
    <row r="778" spans="1:34" x14ac:dyDescent="0.45">
      <c r="A778" t="str">
        <f t="shared" si="12"/>
        <v>000</v>
      </c>
      <c r="B778">
        <f>セットアップレポート!A778</f>
        <v>0</v>
      </c>
      <c r="C778">
        <f>セットアップレポート!B778</f>
        <v>0</v>
      </c>
      <c r="D778">
        <f>セットアップレポート!C778</f>
        <v>0</v>
      </c>
      <c r="E778">
        <f>セットアップレポート!D778</f>
        <v>0</v>
      </c>
      <c r="F778">
        <f>セットアップレポート!E778</f>
        <v>0</v>
      </c>
      <c r="G778">
        <f>セットアップレポート!F778</f>
        <v>0</v>
      </c>
      <c r="H778">
        <f>セットアップレポート!G778</f>
        <v>0</v>
      </c>
      <c r="I778">
        <f>セットアップレポート!H778</f>
        <v>0</v>
      </c>
      <c r="J778">
        <f>セットアップレポート!I778</f>
        <v>0</v>
      </c>
      <c r="K778">
        <f>セットアップレポート!J778</f>
        <v>0</v>
      </c>
      <c r="L778">
        <f>セットアップレポート!K778</f>
        <v>0</v>
      </c>
      <c r="M778">
        <f>セットアップレポート!L778</f>
        <v>0</v>
      </c>
      <c r="N778">
        <f>セットアップレポート!M778</f>
        <v>0</v>
      </c>
      <c r="O778">
        <f>セットアップレポート!N778</f>
        <v>0</v>
      </c>
      <c r="P778">
        <f>セットアップレポート!O778</f>
        <v>0</v>
      </c>
      <c r="Q778">
        <f>セットアップレポート!P778</f>
        <v>0</v>
      </c>
      <c r="R778">
        <f>セットアップレポート!Q778</f>
        <v>0</v>
      </c>
      <c r="S778">
        <f>セットアップレポート!R778</f>
        <v>0</v>
      </c>
      <c r="T778">
        <f>セットアップレポート!S778</f>
        <v>0</v>
      </c>
      <c r="U778">
        <f>セットアップレポート!T778</f>
        <v>0</v>
      </c>
      <c r="V778">
        <f>セットアップレポート!U778</f>
        <v>0</v>
      </c>
      <c r="W778">
        <f>セットアップレポート!V778</f>
        <v>0</v>
      </c>
      <c r="X778">
        <f>セットアップレポート!W778</f>
        <v>0</v>
      </c>
      <c r="Y778">
        <f>セットアップレポート!X778</f>
        <v>0</v>
      </c>
      <c r="Z778">
        <f>セットアップレポート!Y778</f>
        <v>0</v>
      </c>
      <c r="AA778">
        <f>セットアップレポート!Z778</f>
        <v>0</v>
      </c>
      <c r="AB778">
        <f>セットアップレポート!AA778</f>
        <v>0</v>
      </c>
      <c r="AC778">
        <f>セットアップレポート!AB778</f>
        <v>0</v>
      </c>
      <c r="AD778">
        <f>セットアップレポート!AC778</f>
        <v>0</v>
      </c>
      <c r="AE778">
        <f>セットアップレポート!AD778</f>
        <v>0</v>
      </c>
      <c r="AF778">
        <f>セットアップレポート!AE778</f>
        <v>0</v>
      </c>
      <c r="AG778">
        <f>セットアップレポート!AF778</f>
        <v>0</v>
      </c>
      <c r="AH778">
        <f>セットアップレポート!AG778</f>
        <v>0</v>
      </c>
    </row>
    <row r="779" spans="1:34" x14ac:dyDescent="0.45">
      <c r="A779" t="str">
        <f t="shared" si="12"/>
        <v>000</v>
      </c>
      <c r="B779">
        <f>セットアップレポート!A779</f>
        <v>0</v>
      </c>
      <c r="C779">
        <f>セットアップレポート!B779</f>
        <v>0</v>
      </c>
      <c r="D779">
        <f>セットアップレポート!C779</f>
        <v>0</v>
      </c>
      <c r="E779">
        <f>セットアップレポート!D779</f>
        <v>0</v>
      </c>
      <c r="F779">
        <f>セットアップレポート!E779</f>
        <v>0</v>
      </c>
      <c r="G779">
        <f>セットアップレポート!F779</f>
        <v>0</v>
      </c>
      <c r="H779">
        <f>セットアップレポート!G779</f>
        <v>0</v>
      </c>
      <c r="I779">
        <f>セットアップレポート!H779</f>
        <v>0</v>
      </c>
      <c r="J779">
        <f>セットアップレポート!I779</f>
        <v>0</v>
      </c>
      <c r="K779">
        <f>セットアップレポート!J779</f>
        <v>0</v>
      </c>
      <c r="L779">
        <f>セットアップレポート!K779</f>
        <v>0</v>
      </c>
      <c r="M779">
        <f>セットアップレポート!L779</f>
        <v>0</v>
      </c>
      <c r="N779">
        <f>セットアップレポート!M779</f>
        <v>0</v>
      </c>
      <c r="O779">
        <f>セットアップレポート!N779</f>
        <v>0</v>
      </c>
      <c r="P779">
        <f>セットアップレポート!O779</f>
        <v>0</v>
      </c>
      <c r="Q779">
        <f>セットアップレポート!P779</f>
        <v>0</v>
      </c>
      <c r="R779">
        <f>セットアップレポート!Q779</f>
        <v>0</v>
      </c>
      <c r="S779">
        <f>セットアップレポート!R779</f>
        <v>0</v>
      </c>
      <c r="T779">
        <f>セットアップレポート!S779</f>
        <v>0</v>
      </c>
      <c r="U779">
        <f>セットアップレポート!T779</f>
        <v>0</v>
      </c>
      <c r="V779">
        <f>セットアップレポート!U779</f>
        <v>0</v>
      </c>
      <c r="W779">
        <f>セットアップレポート!V779</f>
        <v>0</v>
      </c>
      <c r="X779">
        <f>セットアップレポート!W779</f>
        <v>0</v>
      </c>
      <c r="Y779">
        <f>セットアップレポート!X779</f>
        <v>0</v>
      </c>
      <c r="Z779">
        <f>セットアップレポート!Y779</f>
        <v>0</v>
      </c>
      <c r="AA779">
        <f>セットアップレポート!Z779</f>
        <v>0</v>
      </c>
      <c r="AB779">
        <f>セットアップレポート!AA779</f>
        <v>0</v>
      </c>
      <c r="AC779">
        <f>セットアップレポート!AB779</f>
        <v>0</v>
      </c>
      <c r="AD779">
        <f>セットアップレポート!AC779</f>
        <v>0</v>
      </c>
      <c r="AE779">
        <f>セットアップレポート!AD779</f>
        <v>0</v>
      </c>
      <c r="AF779">
        <f>セットアップレポート!AE779</f>
        <v>0</v>
      </c>
      <c r="AG779">
        <f>セットアップレポート!AF779</f>
        <v>0</v>
      </c>
      <c r="AH779">
        <f>セットアップレポート!AG779</f>
        <v>0</v>
      </c>
    </row>
    <row r="780" spans="1:34" x14ac:dyDescent="0.45">
      <c r="A780" t="str">
        <f t="shared" si="12"/>
        <v>000</v>
      </c>
      <c r="B780">
        <f>セットアップレポート!A780</f>
        <v>0</v>
      </c>
      <c r="C780">
        <f>セットアップレポート!B780</f>
        <v>0</v>
      </c>
      <c r="D780">
        <f>セットアップレポート!C780</f>
        <v>0</v>
      </c>
      <c r="E780">
        <f>セットアップレポート!D780</f>
        <v>0</v>
      </c>
      <c r="F780">
        <f>セットアップレポート!E780</f>
        <v>0</v>
      </c>
      <c r="G780">
        <f>セットアップレポート!F780</f>
        <v>0</v>
      </c>
      <c r="H780">
        <f>セットアップレポート!G780</f>
        <v>0</v>
      </c>
      <c r="I780">
        <f>セットアップレポート!H780</f>
        <v>0</v>
      </c>
      <c r="J780">
        <f>セットアップレポート!I780</f>
        <v>0</v>
      </c>
      <c r="K780">
        <f>セットアップレポート!J780</f>
        <v>0</v>
      </c>
      <c r="L780">
        <f>セットアップレポート!K780</f>
        <v>0</v>
      </c>
      <c r="M780">
        <f>セットアップレポート!L780</f>
        <v>0</v>
      </c>
      <c r="N780">
        <f>セットアップレポート!M780</f>
        <v>0</v>
      </c>
      <c r="O780">
        <f>セットアップレポート!N780</f>
        <v>0</v>
      </c>
      <c r="P780">
        <f>セットアップレポート!O780</f>
        <v>0</v>
      </c>
      <c r="Q780">
        <f>セットアップレポート!P780</f>
        <v>0</v>
      </c>
      <c r="R780">
        <f>セットアップレポート!Q780</f>
        <v>0</v>
      </c>
      <c r="S780">
        <f>セットアップレポート!R780</f>
        <v>0</v>
      </c>
      <c r="T780">
        <f>セットアップレポート!S780</f>
        <v>0</v>
      </c>
      <c r="U780">
        <f>セットアップレポート!T780</f>
        <v>0</v>
      </c>
      <c r="V780">
        <f>セットアップレポート!U780</f>
        <v>0</v>
      </c>
      <c r="W780">
        <f>セットアップレポート!V780</f>
        <v>0</v>
      </c>
      <c r="X780">
        <f>セットアップレポート!W780</f>
        <v>0</v>
      </c>
      <c r="Y780">
        <f>セットアップレポート!X780</f>
        <v>0</v>
      </c>
      <c r="Z780">
        <f>セットアップレポート!Y780</f>
        <v>0</v>
      </c>
      <c r="AA780">
        <f>セットアップレポート!Z780</f>
        <v>0</v>
      </c>
      <c r="AB780">
        <f>セットアップレポート!AA780</f>
        <v>0</v>
      </c>
      <c r="AC780">
        <f>セットアップレポート!AB780</f>
        <v>0</v>
      </c>
      <c r="AD780">
        <f>セットアップレポート!AC780</f>
        <v>0</v>
      </c>
      <c r="AE780">
        <f>セットアップレポート!AD780</f>
        <v>0</v>
      </c>
      <c r="AF780">
        <f>セットアップレポート!AE780</f>
        <v>0</v>
      </c>
      <c r="AG780">
        <f>セットアップレポート!AF780</f>
        <v>0</v>
      </c>
      <c r="AH780">
        <f>セットアップレポート!AG780</f>
        <v>0</v>
      </c>
    </row>
    <row r="781" spans="1:34" x14ac:dyDescent="0.45">
      <c r="A781" t="str">
        <f t="shared" si="12"/>
        <v>000</v>
      </c>
      <c r="B781">
        <f>セットアップレポート!A781</f>
        <v>0</v>
      </c>
      <c r="C781">
        <f>セットアップレポート!B781</f>
        <v>0</v>
      </c>
      <c r="D781">
        <f>セットアップレポート!C781</f>
        <v>0</v>
      </c>
      <c r="E781">
        <f>セットアップレポート!D781</f>
        <v>0</v>
      </c>
      <c r="F781">
        <f>セットアップレポート!E781</f>
        <v>0</v>
      </c>
      <c r="G781">
        <f>セットアップレポート!F781</f>
        <v>0</v>
      </c>
      <c r="H781">
        <f>セットアップレポート!G781</f>
        <v>0</v>
      </c>
      <c r="I781">
        <f>セットアップレポート!H781</f>
        <v>0</v>
      </c>
      <c r="J781">
        <f>セットアップレポート!I781</f>
        <v>0</v>
      </c>
      <c r="K781">
        <f>セットアップレポート!J781</f>
        <v>0</v>
      </c>
      <c r="L781">
        <f>セットアップレポート!K781</f>
        <v>0</v>
      </c>
      <c r="M781">
        <f>セットアップレポート!L781</f>
        <v>0</v>
      </c>
      <c r="N781">
        <f>セットアップレポート!M781</f>
        <v>0</v>
      </c>
      <c r="O781">
        <f>セットアップレポート!N781</f>
        <v>0</v>
      </c>
      <c r="P781">
        <f>セットアップレポート!O781</f>
        <v>0</v>
      </c>
      <c r="Q781">
        <f>セットアップレポート!P781</f>
        <v>0</v>
      </c>
      <c r="R781">
        <f>セットアップレポート!Q781</f>
        <v>0</v>
      </c>
      <c r="S781">
        <f>セットアップレポート!R781</f>
        <v>0</v>
      </c>
      <c r="T781">
        <f>セットアップレポート!S781</f>
        <v>0</v>
      </c>
      <c r="U781">
        <f>セットアップレポート!T781</f>
        <v>0</v>
      </c>
      <c r="V781">
        <f>セットアップレポート!U781</f>
        <v>0</v>
      </c>
      <c r="W781">
        <f>セットアップレポート!V781</f>
        <v>0</v>
      </c>
      <c r="X781">
        <f>セットアップレポート!W781</f>
        <v>0</v>
      </c>
      <c r="Y781">
        <f>セットアップレポート!X781</f>
        <v>0</v>
      </c>
      <c r="Z781">
        <f>セットアップレポート!Y781</f>
        <v>0</v>
      </c>
      <c r="AA781">
        <f>セットアップレポート!Z781</f>
        <v>0</v>
      </c>
      <c r="AB781">
        <f>セットアップレポート!AA781</f>
        <v>0</v>
      </c>
      <c r="AC781">
        <f>セットアップレポート!AB781</f>
        <v>0</v>
      </c>
      <c r="AD781">
        <f>セットアップレポート!AC781</f>
        <v>0</v>
      </c>
      <c r="AE781">
        <f>セットアップレポート!AD781</f>
        <v>0</v>
      </c>
      <c r="AF781">
        <f>セットアップレポート!AE781</f>
        <v>0</v>
      </c>
      <c r="AG781">
        <f>セットアップレポート!AF781</f>
        <v>0</v>
      </c>
      <c r="AH781">
        <f>セットアップレポート!AG781</f>
        <v>0</v>
      </c>
    </row>
    <row r="782" spans="1:34" x14ac:dyDescent="0.45">
      <c r="A782" t="str">
        <f t="shared" si="12"/>
        <v>000</v>
      </c>
      <c r="B782">
        <f>セットアップレポート!A782</f>
        <v>0</v>
      </c>
      <c r="C782">
        <f>セットアップレポート!B782</f>
        <v>0</v>
      </c>
      <c r="D782">
        <f>セットアップレポート!C782</f>
        <v>0</v>
      </c>
      <c r="E782">
        <f>セットアップレポート!D782</f>
        <v>0</v>
      </c>
      <c r="F782">
        <f>セットアップレポート!E782</f>
        <v>0</v>
      </c>
      <c r="G782">
        <f>セットアップレポート!F782</f>
        <v>0</v>
      </c>
      <c r="H782">
        <f>セットアップレポート!G782</f>
        <v>0</v>
      </c>
      <c r="I782">
        <f>セットアップレポート!H782</f>
        <v>0</v>
      </c>
      <c r="J782">
        <f>セットアップレポート!I782</f>
        <v>0</v>
      </c>
      <c r="K782">
        <f>セットアップレポート!J782</f>
        <v>0</v>
      </c>
      <c r="L782">
        <f>セットアップレポート!K782</f>
        <v>0</v>
      </c>
      <c r="M782">
        <f>セットアップレポート!L782</f>
        <v>0</v>
      </c>
      <c r="N782">
        <f>セットアップレポート!M782</f>
        <v>0</v>
      </c>
      <c r="O782">
        <f>セットアップレポート!N782</f>
        <v>0</v>
      </c>
      <c r="P782">
        <f>セットアップレポート!O782</f>
        <v>0</v>
      </c>
      <c r="Q782">
        <f>セットアップレポート!P782</f>
        <v>0</v>
      </c>
      <c r="R782">
        <f>セットアップレポート!Q782</f>
        <v>0</v>
      </c>
      <c r="S782">
        <f>セットアップレポート!R782</f>
        <v>0</v>
      </c>
      <c r="T782">
        <f>セットアップレポート!S782</f>
        <v>0</v>
      </c>
      <c r="U782">
        <f>セットアップレポート!T782</f>
        <v>0</v>
      </c>
      <c r="V782">
        <f>セットアップレポート!U782</f>
        <v>0</v>
      </c>
      <c r="W782">
        <f>セットアップレポート!V782</f>
        <v>0</v>
      </c>
      <c r="X782">
        <f>セットアップレポート!W782</f>
        <v>0</v>
      </c>
      <c r="Y782">
        <f>セットアップレポート!X782</f>
        <v>0</v>
      </c>
      <c r="Z782">
        <f>セットアップレポート!Y782</f>
        <v>0</v>
      </c>
      <c r="AA782">
        <f>セットアップレポート!Z782</f>
        <v>0</v>
      </c>
      <c r="AB782">
        <f>セットアップレポート!AA782</f>
        <v>0</v>
      </c>
      <c r="AC782">
        <f>セットアップレポート!AB782</f>
        <v>0</v>
      </c>
      <c r="AD782">
        <f>セットアップレポート!AC782</f>
        <v>0</v>
      </c>
      <c r="AE782">
        <f>セットアップレポート!AD782</f>
        <v>0</v>
      </c>
      <c r="AF782">
        <f>セットアップレポート!AE782</f>
        <v>0</v>
      </c>
      <c r="AG782">
        <f>セットアップレポート!AF782</f>
        <v>0</v>
      </c>
      <c r="AH782">
        <f>セットアップレポート!AG782</f>
        <v>0</v>
      </c>
    </row>
    <row r="783" spans="1:34" x14ac:dyDescent="0.45">
      <c r="A783" t="str">
        <f t="shared" si="12"/>
        <v>000</v>
      </c>
      <c r="B783">
        <f>セットアップレポート!A783</f>
        <v>0</v>
      </c>
      <c r="C783">
        <f>セットアップレポート!B783</f>
        <v>0</v>
      </c>
      <c r="D783">
        <f>セットアップレポート!C783</f>
        <v>0</v>
      </c>
      <c r="E783">
        <f>セットアップレポート!D783</f>
        <v>0</v>
      </c>
      <c r="F783">
        <f>セットアップレポート!E783</f>
        <v>0</v>
      </c>
      <c r="G783">
        <f>セットアップレポート!F783</f>
        <v>0</v>
      </c>
      <c r="H783">
        <f>セットアップレポート!G783</f>
        <v>0</v>
      </c>
      <c r="I783">
        <f>セットアップレポート!H783</f>
        <v>0</v>
      </c>
      <c r="J783">
        <f>セットアップレポート!I783</f>
        <v>0</v>
      </c>
      <c r="K783">
        <f>セットアップレポート!J783</f>
        <v>0</v>
      </c>
      <c r="L783">
        <f>セットアップレポート!K783</f>
        <v>0</v>
      </c>
      <c r="M783">
        <f>セットアップレポート!L783</f>
        <v>0</v>
      </c>
      <c r="N783">
        <f>セットアップレポート!M783</f>
        <v>0</v>
      </c>
      <c r="O783">
        <f>セットアップレポート!N783</f>
        <v>0</v>
      </c>
      <c r="P783">
        <f>セットアップレポート!O783</f>
        <v>0</v>
      </c>
      <c r="Q783">
        <f>セットアップレポート!P783</f>
        <v>0</v>
      </c>
      <c r="R783">
        <f>セットアップレポート!Q783</f>
        <v>0</v>
      </c>
      <c r="S783">
        <f>セットアップレポート!R783</f>
        <v>0</v>
      </c>
      <c r="T783">
        <f>セットアップレポート!S783</f>
        <v>0</v>
      </c>
      <c r="U783">
        <f>セットアップレポート!T783</f>
        <v>0</v>
      </c>
      <c r="V783">
        <f>セットアップレポート!U783</f>
        <v>0</v>
      </c>
      <c r="W783">
        <f>セットアップレポート!V783</f>
        <v>0</v>
      </c>
      <c r="X783">
        <f>セットアップレポート!W783</f>
        <v>0</v>
      </c>
      <c r="Y783">
        <f>セットアップレポート!X783</f>
        <v>0</v>
      </c>
      <c r="Z783">
        <f>セットアップレポート!Y783</f>
        <v>0</v>
      </c>
      <c r="AA783">
        <f>セットアップレポート!Z783</f>
        <v>0</v>
      </c>
      <c r="AB783">
        <f>セットアップレポート!AA783</f>
        <v>0</v>
      </c>
      <c r="AC783">
        <f>セットアップレポート!AB783</f>
        <v>0</v>
      </c>
      <c r="AD783">
        <f>セットアップレポート!AC783</f>
        <v>0</v>
      </c>
      <c r="AE783">
        <f>セットアップレポート!AD783</f>
        <v>0</v>
      </c>
      <c r="AF783">
        <f>セットアップレポート!AE783</f>
        <v>0</v>
      </c>
      <c r="AG783">
        <f>セットアップレポート!AF783</f>
        <v>0</v>
      </c>
      <c r="AH783">
        <f>セットアップレポート!AG783</f>
        <v>0</v>
      </c>
    </row>
    <row r="784" spans="1:34" x14ac:dyDescent="0.45">
      <c r="A784" t="str">
        <f t="shared" si="12"/>
        <v>000</v>
      </c>
      <c r="B784">
        <f>セットアップレポート!A784</f>
        <v>0</v>
      </c>
      <c r="C784">
        <f>セットアップレポート!B784</f>
        <v>0</v>
      </c>
      <c r="D784">
        <f>セットアップレポート!C784</f>
        <v>0</v>
      </c>
      <c r="E784">
        <f>セットアップレポート!D784</f>
        <v>0</v>
      </c>
      <c r="F784">
        <f>セットアップレポート!E784</f>
        <v>0</v>
      </c>
      <c r="G784">
        <f>セットアップレポート!F784</f>
        <v>0</v>
      </c>
      <c r="H784">
        <f>セットアップレポート!G784</f>
        <v>0</v>
      </c>
      <c r="I784">
        <f>セットアップレポート!H784</f>
        <v>0</v>
      </c>
      <c r="J784">
        <f>セットアップレポート!I784</f>
        <v>0</v>
      </c>
      <c r="K784">
        <f>セットアップレポート!J784</f>
        <v>0</v>
      </c>
      <c r="L784">
        <f>セットアップレポート!K784</f>
        <v>0</v>
      </c>
      <c r="M784">
        <f>セットアップレポート!L784</f>
        <v>0</v>
      </c>
      <c r="N784">
        <f>セットアップレポート!M784</f>
        <v>0</v>
      </c>
      <c r="O784">
        <f>セットアップレポート!N784</f>
        <v>0</v>
      </c>
      <c r="P784">
        <f>セットアップレポート!O784</f>
        <v>0</v>
      </c>
      <c r="Q784">
        <f>セットアップレポート!P784</f>
        <v>0</v>
      </c>
      <c r="R784">
        <f>セットアップレポート!Q784</f>
        <v>0</v>
      </c>
      <c r="S784">
        <f>セットアップレポート!R784</f>
        <v>0</v>
      </c>
      <c r="T784">
        <f>セットアップレポート!S784</f>
        <v>0</v>
      </c>
      <c r="U784">
        <f>セットアップレポート!T784</f>
        <v>0</v>
      </c>
      <c r="V784">
        <f>セットアップレポート!U784</f>
        <v>0</v>
      </c>
      <c r="W784">
        <f>セットアップレポート!V784</f>
        <v>0</v>
      </c>
      <c r="X784">
        <f>セットアップレポート!W784</f>
        <v>0</v>
      </c>
      <c r="Y784">
        <f>セットアップレポート!X784</f>
        <v>0</v>
      </c>
      <c r="Z784">
        <f>セットアップレポート!Y784</f>
        <v>0</v>
      </c>
      <c r="AA784">
        <f>セットアップレポート!Z784</f>
        <v>0</v>
      </c>
      <c r="AB784">
        <f>セットアップレポート!AA784</f>
        <v>0</v>
      </c>
      <c r="AC784">
        <f>セットアップレポート!AB784</f>
        <v>0</v>
      </c>
      <c r="AD784">
        <f>セットアップレポート!AC784</f>
        <v>0</v>
      </c>
      <c r="AE784">
        <f>セットアップレポート!AD784</f>
        <v>0</v>
      </c>
      <c r="AF784">
        <f>セットアップレポート!AE784</f>
        <v>0</v>
      </c>
      <c r="AG784">
        <f>セットアップレポート!AF784</f>
        <v>0</v>
      </c>
      <c r="AH784">
        <f>セットアップレポート!AG784</f>
        <v>0</v>
      </c>
    </row>
    <row r="785" spans="1:34" x14ac:dyDescent="0.45">
      <c r="A785" t="str">
        <f t="shared" si="12"/>
        <v>000</v>
      </c>
      <c r="B785">
        <f>セットアップレポート!A785</f>
        <v>0</v>
      </c>
      <c r="C785">
        <f>セットアップレポート!B785</f>
        <v>0</v>
      </c>
      <c r="D785">
        <f>セットアップレポート!C785</f>
        <v>0</v>
      </c>
      <c r="E785">
        <f>セットアップレポート!D785</f>
        <v>0</v>
      </c>
      <c r="F785">
        <f>セットアップレポート!E785</f>
        <v>0</v>
      </c>
      <c r="G785">
        <f>セットアップレポート!F785</f>
        <v>0</v>
      </c>
      <c r="H785">
        <f>セットアップレポート!G785</f>
        <v>0</v>
      </c>
      <c r="I785">
        <f>セットアップレポート!H785</f>
        <v>0</v>
      </c>
      <c r="J785">
        <f>セットアップレポート!I785</f>
        <v>0</v>
      </c>
      <c r="K785">
        <f>セットアップレポート!J785</f>
        <v>0</v>
      </c>
      <c r="L785">
        <f>セットアップレポート!K785</f>
        <v>0</v>
      </c>
      <c r="M785">
        <f>セットアップレポート!L785</f>
        <v>0</v>
      </c>
      <c r="N785">
        <f>セットアップレポート!M785</f>
        <v>0</v>
      </c>
      <c r="O785">
        <f>セットアップレポート!N785</f>
        <v>0</v>
      </c>
      <c r="P785">
        <f>セットアップレポート!O785</f>
        <v>0</v>
      </c>
      <c r="Q785">
        <f>セットアップレポート!P785</f>
        <v>0</v>
      </c>
      <c r="R785">
        <f>セットアップレポート!Q785</f>
        <v>0</v>
      </c>
      <c r="S785">
        <f>セットアップレポート!R785</f>
        <v>0</v>
      </c>
      <c r="T785">
        <f>セットアップレポート!S785</f>
        <v>0</v>
      </c>
      <c r="U785">
        <f>セットアップレポート!T785</f>
        <v>0</v>
      </c>
      <c r="V785">
        <f>セットアップレポート!U785</f>
        <v>0</v>
      </c>
      <c r="W785">
        <f>セットアップレポート!V785</f>
        <v>0</v>
      </c>
      <c r="X785">
        <f>セットアップレポート!W785</f>
        <v>0</v>
      </c>
      <c r="Y785">
        <f>セットアップレポート!X785</f>
        <v>0</v>
      </c>
      <c r="Z785">
        <f>セットアップレポート!Y785</f>
        <v>0</v>
      </c>
      <c r="AA785">
        <f>セットアップレポート!Z785</f>
        <v>0</v>
      </c>
      <c r="AB785">
        <f>セットアップレポート!AA785</f>
        <v>0</v>
      </c>
      <c r="AC785">
        <f>セットアップレポート!AB785</f>
        <v>0</v>
      </c>
      <c r="AD785">
        <f>セットアップレポート!AC785</f>
        <v>0</v>
      </c>
      <c r="AE785">
        <f>セットアップレポート!AD785</f>
        <v>0</v>
      </c>
      <c r="AF785">
        <f>セットアップレポート!AE785</f>
        <v>0</v>
      </c>
      <c r="AG785">
        <f>セットアップレポート!AF785</f>
        <v>0</v>
      </c>
      <c r="AH785">
        <f>セットアップレポート!AG785</f>
        <v>0</v>
      </c>
    </row>
    <row r="786" spans="1:34" x14ac:dyDescent="0.45">
      <c r="A786" t="str">
        <f t="shared" si="12"/>
        <v>000</v>
      </c>
      <c r="B786">
        <f>セットアップレポート!A786</f>
        <v>0</v>
      </c>
      <c r="C786">
        <f>セットアップレポート!B786</f>
        <v>0</v>
      </c>
      <c r="D786">
        <f>セットアップレポート!C786</f>
        <v>0</v>
      </c>
      <c r="E786">
        <f>セットアップレポート!D786</f>
        <v>0</v>
      </c>
      <c r="F786">
        <f>セットアップレポート!E786</f>
        <v>0</v>
      </c>
      <c r="G786">
        <f>セットアップレポート!F786</f>
        <v>0</v>
      </c>
      <c r="H786">
        <f>セットアップレポート!G786</f>
        <v>0</v>
      </c>
      <c r="I786">
        <f>セットアップレポート!H786</f>
        <v>0</v>
      </c>
      <c r="J786">
        <f>セットアップレポート!I786</f>
        <v>0</v>
      </c>
      <c r="K786">
        <f>セットアップレポート!J786</f>
        <v>0</v>
      </c>
      <c r="L786">
        <f>セットアップレポート!K786</f>
        <v>0</v>
      </c>
      <c r="M786">
        <f>セットアップレポート!L786</f>
        <v>0</v>
      </c>
      <c r="N786">
        <f>セットアップレポート!M786</f>
        <v>0</v>
      </c>
      <c r="O786">
        <f>セットアップレポート!N786</f>
        <v>0</v>
      </c>
      <c r="P786">
        <f>セットアップレポート!O786</f>
        <v>0</v>
      </c>
      <c r="Q786">
        <f>セットアップレポート!P786</f>
        <v>0</v>
      </c>
      <c r="R786">
        <f>セットアップレポート!Q786</f>
        <v>0</v>
      </c>
      <c r="S786">
        <f>セットアップレポート!R786</f>
        <v>0</v>
      </c>
      <c r="T786">
        <f>セットアップレポート!S786</f>
        <v>0</v>
      </c>
      <c r="U786">
        <f>セットアップレポート!T786</f>
        <v>0</v>
      </c>
      <c r="V786">
        <f>セットアップレポート!U786</f>
        <v>0</v>
      </c>
      <c r="W786">
        <f>セットアップレポート!V786</f>
        <v>0</v>
      </c>
      <c r="X786">
        <f>セットアップレポート!W786</f>
        <v>0</v>
      </c>
      <c r="Y786">
        <f>セットアップレポート!X786</f>
        <v>0</v>
      </c>
      <c r="Z786">
        <f>セットアップレポート!Y786</f>
        <v>0</v>
      </c>
      <c r="AA786">
        <f>セットアップレポート!Z786</f>
        <v>0</v>
      </c>
      <c r="AB786">
        <f>セットアップレポート!AA786</f>
        <v>0</v>
      </c>
      <c r="AC786">
        <f>セットアップレポート!AB786</f>
        <v>0</v>
      </c>
      <c r="AD786">
        <f>セットアップレポート!AC786</f>
        <v>0</v>
      </c>
      <c r="AE786">
        <f>セットアップレポート!AD786</f>
        <v>0</v>
      </c>
      <c r="AF786">
        <f>セットアップレポート!AE786</f>
        <v>0</v>
      </c>
      <c r="AG786">
        <f>セットアップレポート!AF786</f>
        <v>0</v>
      </c>
      <c r="AH786">
        <f>セットアップレポート!AG786</f>
        <v>0</v>
      </c>
    </row>
    <row r="787" spans="1:34" x14ac:dyDescent="0.45">
      <c r="A787" t="str">
        <f t="shared" si="12"/>
        <v>000</v>
      </c>
      <c r="B787">
        <f>セットアップレポート!A787</f>
        <v>0</v>
      </c>
      <c r="C787">
        <f>セットアップレポート!B787</f>
        <v>0</v>
      </c>
      <c r="D787">
        <f>セットアップレポート!C787</f>
        <v>0</v>
      </c>
      <c r="E787">
        <f>セットアップレポート!D787</f>
        <v>0</v>
      </c>
      <c r="F787">
        <f>セットアップレポート!E787</f>
        <v>0</v>
      </c>
      <c r="G787">
        <f>セットアップレポート!F787</f>
        <v>0</v>
      </c>
      <c r="H787">
        <f>セットアップレポート!G787</f>
        <v>0</v>
      </c>
      <c r="I787">
        <f>セットアップレポート!H787</f>
        <v>0</v>
      </c>
      <c r="J787">
        <f>セットアップレポート!I787</f>
        <v>0</v>
      </c>
      <c r="K787">
        <f>セットアップレポート!J787</f>
        <v>0</v>
      </c>
      <c r="L787">
        <f>セットアップレポート!K787</f>
        <v>0</v>
      </c>
      <c r="M787">
        <f>セットアップレポート!L787</f>
        <v>0</v>
      </c>
      <c r="N787">
        <f>セットアップレポート!M787</f>
        <v>0</v>
      </c>
      <c r="O787">
        <f>セットアップレポート!N787</f>
        <v>0</v>
      </c>
      <c r="P787">
        <f>セットアップレポート!O787</f>
        <v>0</v>
      </c>
      <c r="Q787">
        <f>セットアップレポート!P787</f>
        <v>0</v>
      </c>
      <c r="R787">
        <f>セットアップレポート!Q787</f>
        <v>0</v>
      </c>
      <c r="S787">
        <f>セットアップレポート!R787</f>
        <v>0</v>
      </c>
      <c r="T787">
        <f>セットアップレポート!S787</f>
        <v>0</v>
      </c>
      <c r="U787">
        <f>セットアップレポート!T787</f>
        <v>0</v>
      </c>
      <c r="V787">
        <f>セットアップレポート!U787</f>
        <v>0</v>
      </c>
      <c r="W787">
        <f>セットアップレポート!V787</f>
        <v>0</v>
      </c>
      <c r="X787">
        <f>セットアップレポート!W787</f>
        <v>0</v>
      </c>
      <c r="Y787">
        <f>セットアップレポート!X787</f>
        <v>0</v>
      </c>
      <c r="Z787">
        <f>セットアップレポート!Y787</f>
        <v>0</v>
      </c>
      <c r="AA787">
        <f>セットアップレポート!Z787</f>
        <v>0</v>
      </c>
      <c r="AB787">
        <f>セットアップレポート!AA787</f>
        <v>0</v>
      </c>
      <c r="AC787">
        <f>セットアップレポート!AB787</f>
        <v>0</v>
      </c>
      <c r="AD787">
        <f>セットアップレポート!AC787</f>
        <v>0</v>
      </c>
      <c r="AE787">
        <f>セットアップレポート!AD787</f>
        <v>0</v>
      </c>
      <c r="AF787">
        <f>セットアップレポート!AE787</f>
        <v>0</v>
      </c>
      <c r="AG787">
        <f>セットアップレポート!AF787</f>
        <v>0</v>
      </c>
      <c r="AH787">
        <f>セットアップレポート!AG787</f>
        <v>0</v>
      </c>
    </row>
    <row r="788" spans="1:34" x14ac:dyDescent="0.45">
      <c r="A788" t="str">
        <f t="shared" si="12"/>
        <v>000</v>
      </c>
      <c r="B788">
        <f>セットアップレポート!A788</f>
        <v>0</v>
      </c>
      <c r="C788">
        <f>セットアップレポート!B788</f>
        <v>0</v>
      </c>
      <c r="D788">
        <f>セットアップレポート!C788</f>
        <v>0</v>
      </c>
      <c r="E788">
        <f>セットアップレポート!D788</f>
        <v>0</v>
      </c>
      <c r="F788">
        <f>セットアップレポート!E788</f>
        <v>0</v>
      </c>
      <c r="G788">
        <f>セットアップレポート!F788</f>
        <v>0</v>
      </c>
      <c r="H788">
        <f>セットアップレポート!G788</f>
        <v>0</v>
      </c>
      <c r="I788">
        <f>セットアップレポート!H788</f>
        <v>0</v>
      </c>
      <c r="J788">
        <f>セットアップレポート!I788</f>
        <v>0</v>
      </c>
      <c r="K788">
        <f>セットアップレポート!J788</f>
        <v>0</v>
      </c>
      <c r="L788">
        <f>セットアップレポート!K788</f>
        <v>0</v>
      </c>
      <c r="M788">
        <f>セットアップレポート!L788</f>
        <v>0</v>
      </c>
      <c r="N788">
        <f>セットアップレポート!M788</f>
        <v>0</v>
      </c>
      <c r="O788">
        <f>セットアップレポート!N788</f>
        <v>0</v>
      </c>
      <c r="P788">
        <f>セットアップレポート!O788</f>
        <v>0</v>
      </c>
      <c r="Q788">
        <f>セットアップレポート!P788</f>
        <v>0</v>
      </c>
      <c r="R788">
        <f>セットアップレポート!Q788</f>
        <v>0</v>
      </c>
      <c r="S788">
        <f>セットアップレポート!R788</f>
        <v>0</v>
      </c>
      <c r="T788">
        <f>セットアップレポート!S788</f>
        <v>0</v>
      </c>
      <c r="U788">
        <f>セットアップレポート!T788</f>
        <v>0</v>
      </c>
      <c r="V788">
        <f>セットアップレポート!U788</f>
        <v>0</v>
      </c>
      <c r="W788">
        <f>セットアップレポート!V788</f>
        <v>0</v>
      </c>
      <c r="X788">
        <f>セットアップレポート!W788</f>
        <v>0</v>
      </c>
      <c r="Y788">
        <f>セットアップレポート!X788</f>
        <v>0</v>
      </c>
      <c r="Z788">
        <f>セットアップレポート!Y788</f>
        <v>0</v>
      </c>
      <c r="AA788">
        <f>セットアップレポート!Z788</f>
        <v>0</v>
      </c>
      <c r="AB788">
        <f>セットアップレポート!AA788</f>
        <v>0</v>
      </c>
      <c r="AC788">
        <f>セットアップレポート!AB788</f>
        <v>0</v>
      </c>
      <c r="AD788">
        <f>セットアップレポート!AC788</f>
        <v>0</v>
      </c>
      <c r="AE788">
        <f>セットアップレポート!AD788</f>
        <v>0</v>
      </c>
      <c r="AF788">
        <f>セットアップレポート!AE788</f>
        <v>0</v>
      </c>
      <c r="AG788">
        <f>セットアップレポート!AF788</f>
        <v>0</v>
      </c>
      <c r="AH788">
        <f>セットアップレポート!AG788</f>
        <v>0</v>
      </c>
    </row>
    <row r="789" spans="1:34" x14ac:dyDescent="0.45">
      <c r="A789" t="str">
        <f t="shared" si="12"/>
        <v>000</v>
      </c>
      <c r="B789">
        <f>セットアップレポート!A789</f>
        <v>0</v>
      </c>
      <c r="C789">
        <f>セットアップレポート!B789</f>
        <v>0</v>
      </c>
      <c r="D789">
        <f>セットアップレポート!C789</f>
        <v>0</v>
      </c>
      <c r="E789">
        <f>セットアップレポート!D789</f>
        <v>0</v>
      </c>
      <c r="F789">
        <f>セットアップレポート!E789</f>
        <v>0</v>
      </c>
      <c r="G789">
        <f>セットアップレポート!F789</f>
        <v>0</v>
      </c>
      <c r="H789">
        <f>セットアップレポート!G789</f>
        <v>0</v>
      </c>
      <c r="I789">
        <f>セットアップレポート!H789</f>
        <v>0</v>
      </c>
      <c r="J789">
        <f>セットアップレポート!I789</f>
        <v>0</v>
      </c>
      <c r="K789">
        <f>セットアップレポート!J789</f>
        <v>0</v>
      </c>
      <c r="L789">
        <f>セットアップレポート!K789</f>
        <v>0</v>
      </c>
      <c r="M789">
        <f>セットアップレポート!L789</f>
        <v>0</v>
      </c>
      <c r="N789">
        <f>セットアップレポート!M789</f>
        <v>0</v>
      </c>
      <c r="O789">
        <f>セットアップレポート!N789</f>
        <v>0</v>
      </c>
      <c r="P789">
        <f>セットアップレポート!O789</f>
        <v>0</v>
      </c>
      <c r="Q789">
        <f>セットアップレポート!P789</f>
        <v>0</v>
      </c>
      <c r="R789">
        <f>セットアップレポート!Q789</f>
        <v>0</v>
      </c>
      <c r="S789">
        <f>セットアップレポート!R789</f>
        <v>0</v>
      </c>
      <c r="T789">
        <f>セットアップレポート!S789</f>
        <v>0</v>
      </c>
      <c r="U789">
        <f>セットアップレポート!T789</f>
        <v>0</v>
      </c>
      <c r="V789">
        <f>セットアップレポート!U789</f>
        <v>0</v>
      </c>
      <c r="W789">
        <f>セットアップレポート!V789</f>
        <v>0</v>
      </c>
      <c r="X789">
        <f>セットアップレポート!W789</f>
        <v>0</v>
      </c>
      <c r="Y789">
        <f>セットアップレポート!X789</f>
        <v>0</v>
      </c>
      <c r="Z789">
        <f>セットアップレポート!Y789</f>
        <v>0</v>
      </c>
      <c r="AA789">
        <f>セットアップレポート!Z789</f>
        <v>0</v>
      </c>
      <c r="AB789">
        <f>セットアップレポート!AA789</f>
        <v>0</v>
      </c>
      <c r="AC789">
        <f>セットアップレポート!AB789</f>
        <v>0</v>
      </c>
      <c r="AD789">
        <f>セットアップレポート!AC789</f>
        <v>0</v>
      </c>
      <c r="AE789">
        <f>セットアップレポート!AD789</f>
        <v>0</v>
      </c>
      <c r="AF789">
        <f>セットアップレポート!AE789</f>
        <v>0</v>
      </c>
      <c r="AG789">
        <f>セットアップレポート!AF789</f>
        <v>0</v>
      </c>
      <c r="AH789">
        <f>セットアップレポート!AG789</f>
        <v>0</v>
      </c>
    </row>
    <row r="790" spans="1:34" x14ac:dyDescent="0.45">
      <c r="A790" t="str">
        <f t="shared" si="12"/>
        <v>000</v>
      </c>
      <c r="B790">
        <f>セットアップレポート!A790</f>
        <v>0</v>
      </c>
      <c r="C790">
        <f>セットアップレポート!B790</f>
        <v>0</v>
      </c>
      <c r="D790">
        <f>セットアップレポート!C790</f>
        <v>0</v>
      </c>
      <c r="E790">
        <f>セットアップレポート!D790</f>
        <v>0</v>
      </c>
      <c r="F790">
        <f>セットアップレポート!E790</f>
        <v>0</v>
      </c>
      <c r="G790">
        <f>セットアップレポート!F790</f>
        <v>0</v>
      </c>
      <c r="H790">
        <f>セットアップレポート!G790</f>
        <v>0</v>
      </c>
      <c r="I790">
        <f>セットアップレポート!H790</f>
        <v>0</v>
      </c>
      <c r="J790">
        <f>セットアップレポート!I790</f>
        <v>0</v>
      </c>
      <c r="K790">
        <f>セットアップレポート!J790</f>
        <v>0</v>
      </c>
      <c r="L790">
        <f>セットアップレポート!K790</f>
        <v>0</v>
      </c>
      <c r="M790">
        <f>セットアップレポート!L790</f>
        <v>0</v>
      </c>
      <c r="N790">
        <f>セットアップレポート!M790</f>
        <v>0</v>
      </c>
      <c r="O790">
        <f>セットアップレポート!N790</f>
        <v>0</v>
      </c>
      <c r="P790">
        <f>セットアップレポート!O790</f>
        <v>0</v>
      </c>
      <c r="Q790">
        <f>セットアップレポート!P790</f>
        <v>0</v>
      </c>
      <c r="R790">
        <f>セットアップレポート!Q790</f>
        <v>0</v>
      </c>
      <c r="S790">
        <f>セットアップレポート!R790</f>
        <v>0</v>
      </c>
      <c r="T790">
        <f>セットアップレポート!S790</f>
        <v>0</v>
      </c>
      <c r="U790">
        <f>セットアップレポート!T790</f>
        <v>0</v>
      </c>
      <c r="V790">
        <f>セットアップレポート!U790</f>
        <v>0</v>
      </c>
      <c r="W790">
        <f>セットアップレポート!V790</f>
        <v>0</v>
      </c>
      <c r="X790">
        <f>セットアップレポート!W790</f>
        <v>0</v>
      </c>
      <c r="Y790">
        <f>セットアップレポート!X790</f>
        <v>0</v>
      </c>
      <c r="Z790">
        <f>セットアップレポート!Y790</f>
        <v>0</v>
      </c>
      <c r="AA790">
        <f>セットアップレポート!Z790</f>
        <v>0</v>
      </c>
      <c r="AB790">
        <f>セットアップレポート!AA790</f>
        <v>0</v>
      </c>
      <c r="AC790">
        <f>セットアップレポート!AB790</f>
        <v>0</v>
      </c>
      <c r="AD790">
        <f>セットアップレポート!AC790</f>
        <v>0</v>
      </c>
      <c r="AE790">
        <f>セットアップレポート!AD790</f>
        <v>0</v>
      </c>
      <c r="AF790">
        <f>セットアップレポート!AE790</f>
        <v>0</v>
      </c>
      <c r="AG790">
        <f>セットアップレポート!AF790</f>
        <v>0</v>
      </c>
      <c r="AH790">
        <f>セットアップレポート!AG790</f>
        <v>0</v>
      </c>
    </row>
    <row r="791" spans="1:34" x14ac:dyDescent="0.45">
      <c r="A791" t="str">
        <f t="shared" si="12"/>
        <v>000</v>
      </c>
      <c r="B791">
        <f>セットアップレポート!A791</f>
        <v>0</v>
      </c>
      <c r="C791">
        <f>セットアップレポート!B791</f>
        <v>0</v>
      </c>
      <c r="D791">
        <f>セットアップレポート!C791</f>
        <v>0</v>
      </c>
      <c r="E791">
        <f>セットアップレポート!D791</f>
        <v>0</v>
      </c>
      <c r="F791">
        <f>セットアップレポート!E791</f>
        <v>0</v>
      </c>
      <c r="G791">
        <f>セットアップレポート!F791</f>
        <v>0</v>
      </c>
      <c r="H791">
        <f>セットアップレポート!G791</f>
        <v>0</v>
      </c>
      <c r="I791">
        <f>セットアップレポート!H791</f>
        <v>0</v>
      </c>
      <c r="J791">
        <f>セットアップレポート!I791</f>
        <v>0</v>
      </c>
      <c r="K791">
        <f>セットアップレポート!J791</f>
        <v>0</v>
      </c>
      <c r="L791">
        <f>セットアップレポート!K791</f>
        <v>0</v>
      </c>
      <c r="M791">
        <f>セットアップレポート!L791</f>
        <v>0</v>
      </c>
      <c r="N791">
        <f>セットアップレポート!M791</f>
        <v>0</v>
      </c>
      <c r="O791">
        <f>セットアップレポート!N791</f>
        <v>0</v>
      </c>
      <c r="P791">
        <f>セットアップレポート!O791</f>
        <v>0</v>
      </c>
      <c r="Q791">
        <f>セットアップレポート!P791</f>
        <v>0</v>
      </c>
      <c r="R791">
        <f>セットアップレポート!Q791</f>
        <v>0</v>
      </c>
      <c r="S791">
        <f>セットアップレポート!R791</f>
        <v>0</v>
      </c>
      <c r="T791">
        <f>セットアップレポート!S791</f>
        <v>0</v>
      </c>
      <c r="U791">
        <f>セットアップレポート!T791</f>
        <v>0</v>
      </c>
      <c r="V791">
        <f>セットアップレポート!U791</f>
        <v>0</v>
      </c>
      <c r="W791">
        <f>セットアップレポート!V791</f>
        <v>0</v>
      </c>
      <c r="X791">
        <f>セットアップレポート!W791</f>
        <v>0</v>
      </c>
      <c r="Y791">
        <f>セットアップレポート!X791</f>
        <v>0</v>
      </c>
      <c r="Z791">
        <f>セットアップレポート!Y791</f>
        <v>0</v>
      </c>
      <c r="AA791">
        <f>セットアップレポート!Z791</f>
        <v>0</v>
      </c>
      <c r="AB791">
        <f>セットアップレポート!AA791</f>
        <v>0</v>
      </c>
      <c r="AC791">
        <f>セットアップレポート!AB791</f>
        <v>0</v>
      </c>
      <c r="AD791">
        <f>セットアップレポート!AC791</f>
        <v>0</v>
      </c>
      <c r="AE791">
        <f>セットアップレポート!AD791</f>
        <v>0</v>
      </c>
      <c r="AF791">
        <f>セットアップレポート!AE791</f>
        <v>0</v>
      </c>
      <c r="AG791">
        <f>セットアップレポート!AF791</f>
        <v>0</v>
      </c>
      <c r="AH791">
        <f>セットアップレポート!AG791</f>
        <v>0</v>
      </c>
    </row>
    <row r="792" spans="1:34" x14ac:dyDescent="0.45">
      <c r="A792" t="str">
        <f t="shared" si="12"/>
        <v>000</v>
      </c>
      <c r="B792">
        <f>セットアップレポート!A792</f>
        <v>0</v>
      </c>
      <c r="C792">
        <f>セットアップレポート!B792</f>
        <v>0</v>
      </c>
      <c r="D792">
        <f>セットアップレポート!C792</f>
        <v>0</v>
      </c>
      <c r="E792">
        <f>セットアップレポート!D792</f>
        <v>0</v>
      </c>
      <c r="F792">
        <f>セットアップレポート!E792</f>
        <v>0</v>
      </c>
      <c r="G792">
        <f>セットアップレポート!F792</f>
        <v>0</v>
      </c>
      <c r="H792">
        <f>セットアップレポート!G792</f>
        <v>0</v>
      </c>
      <c r="I792">
        <f>セットアップレポート!H792</f>
        <v>0</v>
      </c>
      <c r="J792">
        <f>セットアップレポート!I792</f>
        <v>0</v>
      </c>
      <c r="K792">
        <f>セットアップレポート!J792</f>
        <v>0</v>
      </c>
      <c r="L792">
        <f>セットアップレポート!K792</f>
        <v>0</v>
      </c>
      <c r="M792">
        <f>セットアップレポート!L792</f>
        <v>0</v>
      </c>
      <c r="N792">
        <f>セットアップレポート!M792</f>
        <v>0</v>
      </c>
      <c r="O792">
        <f>セットアップレポート!N792</f>
        <v>0</v>
      </c>
      <c r="P792">
        <f>セットアップレポート!O792</f>
        <v>0</v>
      </c>
      <c r="Q792">
        <f>セットアップレポート!P792</f>
        <v>0</v>
      </c>
      <c r="R792">
        <f>セットアップレポート!Q792</f>
        <v>0</v>
      </c>
      <c r="S792">
        <f>セットアップレポート!R792</f>
        <v>0</v>
      </c>
      <c r="T792">
        <f>セットアップレポート!S792</f>
        <v>0</v>
      </c>
      <c r="U792">
        <f>セットアップレポート!T792</f>
        <v>0</v>
      </c>
      <c r="V792">
        <f>セットアップレポート!U792</f>
        <v>0</v>
      </c>
      <c r="W792">
        <f>セットアップレポート!V792</f>
        <v>0</v>
      </c>
      <c r="X792">
        <f>セットアップレポート!W792</f>
        <v>0</v>
      </c>
      <c r="Y792">
        <f>セットアップレポート!X792</f>
        <v>0</v>
      </c>
      <c r="Z792">
        <f>セットアップレポート!Y792</f>
        <v>0</v>
      </c>
      <c r="AA792">
        <f>セットアップレポート!Z792</f>
        <v>0</v>
      </c>
      <c r="AB792">
        <f>セットアップレポート!AA792</f>
        <v>0</v>
      </c>
      <c r="AC792">
        <f>セットアップレポート!AB792</f>
        <v>0</v>
      </c>
      <c r="AD792">
        <f>セットアップレポート!AC792</f>
        <v>0</v>
      </c>
      <c r="AE792">
        <f>セットアップレポート!AD792</f>
        <v>0</v>
      </c>
      <c r="AF792">
        <f>セットアップレポート!AE792</f>
        <v>0</v>
      </c>
      <c r="AG792">
        <f>セットアップレポート!AF792</f>
        <v>0</v>
      </c>
      <c r="AH792">
        <f>セットアップレポート!AG792</f>
        <v>0</v>
      </c>
    </row>
    <row r="793" spans="1:34" x14ac:dyDescent="0.45">
      <c r="A793" t="str">
        <f t="shared" si="12"/>
        <v>000</v>
      </c>
      <c r="B793">
        <f>セットアップレポート!A793</f>
        <v>0</v>
      </c>
      <c r="C793">
        <f>セットアップレポート!B793</f>
        <v>0</v>
      </c>
      <c r="D793">
        <f>セットアップレポート!C793</f>
        <v>0</v>
      </c>
      <c r="E793">
        <f>セットアップレポート!D793</f>
        <v>0</v>
      </c>
      <c r="F793">
        <f>セットアップレポート!E793</f>
        <v>0</v>
      </c>
      <c r="G793">
        <f>セットアップレポート!F793</f>
        <v>0</v>
      </c>
      <c r="H793">
        <f>セットアップレポート!G793</f>
        <v>0</v>
      </c>
      <c r="I793">
        <f>セットアップレポート!H793</f>
        <v>0</v>
      </c>
      <c r="J793">
        <f>セットアップレポート!I793</f>
        <v>0</v>
      </c>
      <c r="K793">
        <f>セットアップレポート!J793</f>
        <v>0</v>
      </c>
      <c r="L793">
        <f>セットアップレポート!K793</f>
        <v>0</v>
      </c>
      <c r="M793">
        <f>セットアップレポート!L793</f>
        <v>0</v>
      </c>
      <c r="N793">
        <f>セットアップレポート!M793</f>
        <v>0</v>
      </c>
      <c r="O793">
        <f>セットアップレポート!N793</f>
        <v>0</v>
      </c>
      <c r="P793">
        <f>セットアップレポート!O793</f>
        <v>0</v>
      </c>
      <c r="Q793">
        <f>セットアップレポート!P793</f>
        <v>0</v>
      </c>
      <c r="R793">
        <f>セットアップレポート!Q793</f>
        <v>0</v>
      </c>
      <c r="S793">
        <f>セットアップレポート!R793</f>
        <v>0</v>
      </c>
      <c r="T793">
        <f>セットアップレポート!S793</f>
        <v>0</v>
      </c>
      <c r="U793">
        <f>セットアップレポート!T793</f>
        <v>0</v>
      </c>
      <c r="V793">
        <f>セットアップレポート!U793</f>
        <v>0</v>
      </c>
      <c r="W793">
        <f>セットアップレポート!V793</f>
        <v>0</v>
      </c>
      <c r="X793">
        <f>セットアップレポート!W793</f>
        <v>0</v>
      </c>
      <c r="Y793">
        <f>セットアップレポート!X793</f>
        <v>0</v>
      </c>
      <c r="Z793">
        <f>セットアップレポート!Y793</f>
        <v>0</v>
      </c>
      <c r="AA793">
        <f>セットアップレポート!Z793</f>
        <v>0</v>
      </c>
      <c r="AB793">
        <f>セットアップレポート!AA793</f>
        <v>0</v>
      </c>
      <c r="AC793">
        <f>セットアップレポート!AB793</f>
        <v>0</v>
      </c>
      <c r="AD793">
        <f>セットアップレポート!AC793</f>
        <v>0</v>
      </c>
      <c r="AE793">
        <f>セットアップレポート!AD793</f>
        <v>0</v>
      </c>
      <c r="AF793">
        <f>セットアップレポート!AE793</f>
        <v>0</v>
      </c>
      <c r="AG793">
        <f>セットアップレポート!AF793</f>
        <v>0</v>
      </c>
      <c r="AH793">
        <f>セットアップレポート!AG793</f>
        <v>0</v>
      </c>
    </row>
    <row r="794" spans="1:34" x14ac:dyDescent="0.45">
      <c r="A794" t="str">
        <f t="shared" si="12"/>
        <v>000</v>
      </c>
      <c r="B794">
        <f>セットアップレポート!A794</f>
        <v>0</v>
      </c>
      <c r="C794">
        <f>セットアップレポート!B794</f>
        <v>0</v>
      </c>
      <c r="D794">
        <f>セットアップレポート!C794</f>
        <v>0</v>
      </c>
      <c r="E794">
        <f>セットアップレポート!D794</f>
        <v>0</v>
      </c>
      <c r="F794">
        <f>セットアップレポート!E794</f>
        <v>0</v>
      </c>
      <c r="G794">
        <f>セットアップレポート!F794</f>
        <v>0</v>
      </c>
      <c r="H794">
        <f>セットアップレポート!G794</f>
        <v>0</v>
      </c>
      <c r="I794">
        <f>セットアップレポート!H794</f>
        <v>0</v>
      </c>
      <c r="J794">
        <f>セットアップレポート!I794</f>
        <v>0</v>
      </c>
      <c r="K794">
        <f>セットアップレポート!J794</f>
        <v>0</v>
      </c>
      <c r="L794">
        <f>セットアップレポート!K794</f>
        <v>0</v>
      </c>
      <c r="M794">
        <f>セットアップレポート!L794</f>
        <v>0</v>
      </c>
      <c r="N794">
        <f>セットアップレポート!M794</f>
        <v>0</v>
      </c>
      <c r="O794">
        <f>セットアップレポート!N794</f>
        <v>0</v>
      </c>
      <c r="P794">
        <f>セットアップレポート!O794</f>
        <v>0</v>
      </c>
      <c r="Q794">
        <f>セットアップレポート!P794</f>
        <v>0</v>
      </c>
      <c r="R794">
        <f>セットアップレポート!Q794</f>
        <v>0</v>
      </c>
      <c r="S794">
        <f>セットアップレポート!R794</f>
        <v>0</v>
      </c>
      <c r="T794">
        <f>セットアップレポート!S794</f>
        <v>0</v>
      </c>
      <c r="U794">
        <f>セットアップレポート!T794</f>
        <v>0</v>
      </c>
      <c r="V794">
        <f>セットアップレポート!U794</f>
        <v>0</v>
      </c>
      <c r="W794">
        <f>セットアップレポート!V794</f>
        <v>0</v>
      </c>
      <c r="X794">
        <f>セットアップレポート!W794</f>
        <v>0</v>
      </c>
      <c r="Y794">
        <f>セットアップレポート!X794</f>
        <v>0</v>
      </c>
      <c r="Z794">
        <f>セットアップレポート!Y794</f>
        <v>0</v>
      </c>
      <c r="AA794">
        <f>セットアップレポート!Z794</f>
        <v>0</v>
      </c>
      <c r="AB794">
        <f>セットアップレポート!AA794</f>
        <v>0</v>
      </c>
      <c r="AC794">
        <f>セットアップレポート!AB794</f>
        <v>0</v>
      </c>
      <c r="AD794">
        <f>セットアップレポート!AC794</f>
        <v>0</v>
      </c>
      <c r="AE794">
        <f>セットアップレポート!AD794</f>
        <v>0</v>
      </c>
      <c r="AF794">
        <f>セットアップレポート!AE794</f>
        <v>0</v>
      </c>
      <c r="AG794">
        <f>セットアップレポート!AF794</f>
        <v>0</v>
      </c>
      <c r="AH794">
        <f>セットアップレポート!AG794</f>
        <v>0</v>
      </c>
    </row>
    <row r="795" spans="1:34" x14ac:dyDescent="0.45">
      <c r="A795" t="str">
        <f t="shared" si="12"/>
        <v>000</v>
      </c>
      <c r="B795">
        <f>セットアップレポート!A795</f>
        <v>0</v>
      </c>
      <c r="C795">
        <f>セットアップレポート!B795</f>
        <v>0</v>
      </c>
      <c r="D795">
        <f>セットアップレポート!C795</f>
        <v>0</v>
      </c>
      <c r="E795">
        <f>セットアップレポート!D795</f>
        <v>0</v>
      </c>
      <c r="F795">
        <f>セットアップレポート!E795</f>
        <v>0</v>
      </c>
      <c r="G795">
        <f>セットアップレポート!F795</f>
        <v>0</v>
      </c>
      <c r="H795">
        <f>セットアップレポート!G795</f>
        <v>0</v>
      </c>
      <c r="I795">
        <f>セットアップレポート!H795</f>
        <v>0</v>
      </c>
      <c r="J795">
        <f>セットアップレポート!I795</f>
        <v>0</v>
      </c>
      <c r="K795">
        <f>セットアップレポート!J795</f>
        <v>0</v>
      </c>
      <c r="L795">
        <f>セットアップレポート!K795</f>
        <v>0</v>
      </c>
      <c r="M795">
        <f>セットアップレポート!L795</f>
        <v>0</v>
      </c>
      <c r="N795">
        <f>セットアップレポート!M795</f>
        <v>0</v>
      </c>
      <c r="O795">
        <f>セットアップレポート!N795</f>
        <v>0</v>
      </c>
      <c r="P795">
        <f>セットアップレポート!O795</f>
        <v>0</v>
      </c>
      <c r="Q795">
        <f>セットアップレポート!P795</f>
        <v>0</v>
      </c>
      <c r="R795">
        <f>セットアップレポート!Q795</f>
        <v>0</v>
      </c>
      <c r="S795">
        <f>セットアップレポート!R795</f>
        <v>0</v>
      </c>
      <c r="T795">
        <f>セットアップレポート!S795</f>
        <v>0</v>
      </c>
      <c r="U795">
        <f>セットアップレポート!T795</f>
        <v>0</v>
      </c>
      <c r="V795">
        <f>セットアップレポート!U795</f>
        <v>0</v>
      </c>
      <c r="W795">
        <f>セットアップレポート!V795</f>
        <v>0</v>
      </c>
      <c r="X795">
        <f>セットアップレポート!W795</f>
        <v>0</v>
      </c>
      <c r="Y795">
        <f>セットアップレポート!X795</f>
        <v>0</v>
      </c>
      <c r="Z795">
        <f>セットアップレポート!Y795</f>
        <v>0</v>
      </c>
      <c r="AA795">
        <f>セットアップレポート!Z795</f>
        <v>0</v>
      </c>
      <c r="AB795">
        <f>セットアップレポート!AA795</f>
        <v>0</v>
      </c>
      <c r="AC795">
        <f>セットアップレポート!AB795</f>
        <v>0</v>
      </c>
      <c r="AD795">
        <f>セットアップレポート!AC795</f>
        <v>0</v>
      </c>
      <c r="AE795">
        <f>セットアップレポート!AD795</f>
        <v>0</v>
      </c>
      <c r="AF795">
        <f>セットアップレポート!AE795</f>
        <v>0</v>
      </c>
      <c r="AG795">
        <f>セットアップレポート!AF795</f>
        <v>0</v>
      </c>
      <c r="AH795">
        <f>セットアップレポート!AG795</f>
        <v>0</v>
      </c>
    </row>
    <row r="796" spans="1:34" x14ac:dyDescent="0.45">
      <c r="A796" t="str">
        <f t="shared" si="12"/>
        <v>000</v>
      </c>
      <c r="B796">
        <f>セットアップレポート!A796</f>
        <v>0</v>
      </c>
      <c r="C796">
        <f>セットアップレポート!B796</f>
        <v>0</v>
      </c>
      <c r="D796">
        <f>セットアップレポート!C796</f>
        <v>0</v>
      </c>
      <c r="E796">
        <f>セットアップレポート!D796</f>
        <v>0</v>
      </c>
      <c r="F796">
        <f>セットアップレポート!E796</f>
        <v>0</v>
      </c>
      <c r="G796">
        <f>セットアップレポート!F796</f>
        <v>0</v>
      </c>
      <c r="H796">
        <f>セットアップレポート!G796</f>
        <v>0</v>
      </c>
      <c r="I796">
        <f>セットアップレポート!H796</f>
        <v>0</v>
      </c>
      <c r="J796">
        <f>セットアップレポート!I796</f>
        <v>0</v>
      </c>
      <c r="K796">
        <f>セットアップレポート!J796</f>
        <v>0</v>
      </c>
      <c r="L796">
        <f>セットアップレポート!K796</f>
        <v>0</v>
      </c>
      <c r="M796">
        <f>セットアップレポート!L796</f>
        <v>0</v>
      </c>
      <c r="N796">
        <f>セットアップレポート!M796</f>
        <v>0</v>
      </c>
      <c r="O796">
        <f>セットアップレポート!N796</f>
        <v>0</v>
      </c>
      <c r="P796">
        <f>セットアップレポート!O796</f>
        <v>0</v>
      </c>
      <c r="Q796">
        <f>セットアップレポート!P796</f>
        <v>0</v>
      </c>
      <c r="R796">
        <f>セットアップレポート!Q796</f>
        <v>0</v>
      </c>
      <c r="S796">
        <f>セットアップレポート!R796</f>
        <v>0</v>
      </c>
      <c r="T796">
        <f>セットアップレポート!S796</f>
        <v>0</v>
      </c>
      <c r="U796">
        <f>セットアップレポート!T796</f>
        <v>0</v>
      </c>
      <c r="V796">
        <f>セットアップレポート!U796</f>
        <v>0</v>
      </c>
      <c r="W796">
        <f>セットアップレポート!V796</f>
        <v>0</v>
      </c>
      <c r="X796">
        <f>セットアップレポート!W796</f>
        <v>0</v>
      </c>
      <c r="Y796">
        <f>セットアップレポート!X796</f>
        <v>0</v>
      </c>
      <c r="Z796">
        <f>セットアップレポート!Y796</f>
        <v>0</v>
      </c>
      <c r="AA796">
        <f>セットアップレポート!Z796</f>
        <v>0</v>
      </c>
      <c r="AB796">
        <f>セットアップレポート!AA796</f>
        <v>0</v>
      </c>
      <c r="AC796">
        <f>セットアップレポート!AB796</f>
        <v>0</v>
      </c>
      <c r="AD796">
        <f>セットアップレポート!AC796</f>
        <v>0</v>
      </c>
      <c r="AE796">
        <f>セットアップレポート!AD796</f>
        <v>0</v>
      </c>
      <c r="AF796">
        <f>セットアップレポート!AE796</f>
        <v>0</v>
      </c>
      <c r="AG796">
        <f>セットアップレポート!AF796</f>
        <v>0</v>
      </c>
      <c r="AH796">
        <f>セットアップレポート!AG796</f>
        <v>0</v>
      </c>
    </row>
    <row r="797" spans="1:34" x14ac:dyDescent="0.45">
      <c r="A797" t="str">
        <f t="shared" si="12"/>
        <v>000</v>
      </c>
      <c r="B797">
        <f>セットアップレポート!A797</f>
        <v>0</v>
      </c>
      <c r="C797">
        <f>セットアップレポート!B797</f>
        <v>0</v>
      </c>
      <c r="D797">
        <f>セットアップレポート!C797</f>
        <v>0</v>
      </c>
      <c r="E797">
        <f>セットアップレポート!D797</f>
        <v>0</v>
      </c>
      <c r="F797">
        <f>セットアップレポート!E797</f>
        <v>0</v>
      </c>
      <c r="G797">
        <f>セットアップレポート!F797</f>
        <v>0</v>
      </c>
      <c r="H797">
        <f>セットアップレポート!G797</f>
        <v>0</v>
      </c>
      <c r="I797">
        <f>セットアップレポート!H797</f>
        <v>0</v>
      </c>
      <c r="J797">
        <f>セットアップレポート!I797</f>
        <v>0</v>
      </c>
      <c r="K797">
        <f>セットアップレポート!J797</f>
        <v>0</v>
      </c>
      <c r="L797">
        <f>セットアップレポート!K797</f>
        <v>0</v>
      </c>
      <c r="M797">
        <f>セットアップレポート!L797</f>
        <v>0</v>
      </c>
      <c r="N797">
        <f>セットアップレポート!M797</f>
        <v>0</v>
      </c>
      <c r="O797">
        <f>セットアップレポート!N797</f>
        <v>0</v>
      </c>
      <c r="P797">
        <f>セットアップレポート!O797</f>
        <v>0</v>
      </c>
      <c r="Q797">
        <f>セットアップレポート!P797</f>
        <v>0</v>
      </c>
      <c r="R797">
        <f>セットアップレポート!Q797</f>
        <v>0</v>
      </c>
      <c r="S797">
        <f>セットアップレポート!R797</f>
        <v>0</v>
      </c>
      <c r="T797">
        <f>セットアップレポート!S797</f>
        <v>0</v>
      </c>
      <c r="U797">
        <f>セットアップレポート!T797</f>
        <v>0</v>
      </c>
      <c r="V797">
        <f>セットアップレポート!U797</f>
        <v>0</v>
      </c>
      <c r="W797">
        <f>セットアップレポート!V797</f>
        <v>0</v>
      </c>
      <c r="X797">
        <f>セットアップレポート!W797</f>
        <v>0</v>
      </c>
      <c r="Y797">
        <f>セットアップレポート!X797</f>
        <v>0</v>
      </c>
      <c r="Z797">
        <f>セットアップレポート!Y797</f>
        <v>0</v>
      </c>
      <c r="AA797">
        <f>セットアップレポート!Z797</f>
        <v>0</v>
      </c>
      <c r="AB797">
        <f>セットアップレポート!AA797</f>
        <v>0</v>
      </c>
      <c r="AC797">
        <f>セットアップレポート!AB797</f>
        <v>0</v>
      </c>
      <c r="AD797">
        <f>セットアップレポート!AC797</f>
        <v>0</v>
      </c>
      <c r="AE797">
        <f>セットアップレポート!AD797</f>
        <v>0</v>
      </c>
      <c r="AF797">
        <f>セットアップレポート!AE797</f>
        <v>0</v>
      </c>
      <c r="AG797">
        <f>セットアップレポート!AF797</f>
        <v>0</v>
      </c>
      <c r="AH797">
        <f>セットアップレポート!AG797</f>
        <v>0</v>
      </c>
    </row>
    <row r="798" spans="1:34" x14ac:dyDescent="0.45">
      <c r="A798" t="str">
        <f t="shared" si="12"/>
        <v>000</v>
      </c>
      <c r="B798">
        <f>セットアップレポート!A798</f>
        <v>0</v>
      </c>
      <c r="C798">
        <f>セットアップレポート!B798</f>
        <v>0</v>
      </c>
      <c r="D798">
        <f>セットアップレポート!C798</f>
        <v>0</v>
      </c>
      <c r="E798">
        <f>セットアップレポート!D798</f>
        <v>0</v>
      </c>
      <c r="F798">
        <f>セットアップレポート!E798</f>
        <v>0</v>
      </c>
      <c r="G798">
        <f>セットアップレポート!F798</f>
        <v>0</v>
      </c>
      <c r="H798">
        <f>セットアップレポート!G798</f>
        <v>0</v>
      </c>
      <c r="I798">
        <f>セットアップレポート!H798</f>
        <v>0</v>
      </c>
      <c r="J798">
        <f>セットアップレポート!I798</f>
        <v>0</v>
      </c>
      <c r="K798">
        <f>セットアップレポート!J798</f>
        <v>0</v>
      </c>
      <c r="L798">
        <f>セットアップレポート!K798</f>
        <v>0</v>
      </c>
      <c r="M798">
        <f>セットアップレポート!L798</f>
        <v>0</v>
      </c>
      <c r="N798">
        <f>セットアップレポート!M798</f>
        <v>0</v>
      </c>
      <c r="O798">
        <f>セットアップレポート!N798</f>
        <v>0</v>
      </c>
      <c r="P798">
        <f>セットアップレポート!O798</f>
        <v>0</v>
      </c>
      <c r="Q798">
        <f>セットアップレポート!P798</f>
        <v>0</v>
      </c>
      <c r="R798">
        <f>セットアップレポート!Q798</f>
        <v>0</v>
      </c>
      <c r="S798">
        <f>セットアップレポート!R798</f>
        <v>0</v>
      </c>
      <c r="T798">
        <f>セットアップレポート!S798</f>
        <v>0</v>
      </c>
      <c r="U798">
        <f>セットアップレポート!T798</f>
        <v>0</v>
      </c>
      <c r="V798">
        <f>セットアップレポート!U798</f>
        <v>0</v>
      </c>
      <c r="W798">
        <f>セットアップレポート!V798</f>
        <v>0</v>
      </c>
      <c r="X798">
        <f>セットアップレポート!W798</f>
        <v>0</v>
      </c>
      <c r="Y798">
        <f>セットアップレポート!X798</f>
        <v>0</v>
      </c>
      <c r="Z798">
        <f>セットアップレポート!Y798</f>
        <v>0</v>
      </c>
      <c r="AA798">
        <f>セットアップレポート!Z798</f>
        <v>0</v>
      </c>
      <c r="AB798">
        <f>セットアップレポート!AA798</f>
        <v>0</v>
      </c>
      <c r="AC798">
        <f>セットアップレポート!AB798</f>
        <v>0</v>
      </c>
      <c r="AD798">
        <f>セットアップレポート!AC798</f>
        <v>0</v>
      </c>
      <c r="AE798">
        <f>セットアップレポート!AD798</f>
        <v>0</v>
      </c>
      <c r="AF798">
        <f>セットアップレポート!AE798</f>
        <v>0</v>
      </c>
      <c r="AG798">
        <f>セットアップレポート!AF798</f>
        <v>0</v>
      </c>
      <c r="AH798">
        <f>セットアップレポート!AG798</f>
        <v>0</v>
      </c>
    </row>
    <row r="799" spans="1:34" x14ac:dyDescent="0.45">
      <c r="A799" t="str">
        <f t="shared" si="12"/>
        <v>000</v>
      </c>
      <c r="B799">
        <f>セットアップレポート!A799</f>
        <v>0</v>
      </c>
      <c r="C799">
        <f>セットアップレポート!B799</f>
        <v>0</v>
      </c>
      <c r="D799">
        <f>セットアップレポート!C799</f>
        <v>0</v>
      </c>
      <c r="E799">
        <f>セットアップレポート!D799</f>
        <v>0</v>
      </c>
      <c r="F799">
        <f>セットアップレポート!E799</f>
        <v>0</v>
      </c>
      <c r="G799">
        <f>セットアップレポート!F799</f>
        <v>0</v>
      </c>
      <c r="H799">
        <f>セットアップレポート!G799</f>
        <v>0</v>
      </c>
      <c r="I799">
        <f>セットアップレポート!H799</f>
        <v>0</v>
      </c>
      <c r="J799">
        <f>セットアップレポート!I799</f>
        <v>0</v>
      </c>
      <c r="K799">
        <f>セットアップレポート!J799</f>
        <v>0</v>
      </c>
      <c r="L799">
        <f>セットアップレポート!K799</f>
        <v>0</v>
      </c>
      <c r="M799">
        <f>セットアップレポート!L799</f>
        <v>0</v>
      </c>
      <c r="N799">
        <f>セットアップレポート!M799</f>
        <v>0</v>
      </c>
      <c r="O799">
        <f>セットアップレポート!N799</f>
        <v>0</v>
      </c>
      <c r="P799">
        <f>セットアップレポート!O799</f>
        <v>0</v>
      </c>
      <c r="Q799">
        <f>セットアップレポート!P799</f>
        <v>0</v>
      </c>
      <c r="R799">
        <f>セットアップレポート!Q799</f>
        <v>0</v>
      </c>
      <c r="S799">
        <f>セットアップレポート!R799</f>
        <v>0</v>
      </c>
      <c r="T799">
        <f>セットアップレポート!S799</f>
        <v>0</v>
      </c>
      <c r="U799">
        <f>セットアップレポート!T799</f>
        <v>0</v>
      </c>
      <c r="V799">
        <f>セットアップレポート!U799</f>
        <v>0</v>
      </c>
      <c r="W799">
        <f>セットアップレポート!V799</f>
        <v>0</v>
      </c>
      <c r="X799">
        <f>セットアップレポート!W799</f>
        <v>0</v>
      </c>
      <c r="Y799">
        <f>セットアップレポート!X799</f>
        <v>0</v>
      </c>
      <c r="Z799">
        <f>セットアップレポート!Y799</f>
        <v>0</v>
      </c>
      <c r="AA799">
        <f>セットアップレポート!Z799</f>
        <v>0</v>
      </c>
      <c r="AB799">
        <f>セットアップレポート!AA799</f>
        <v>0</v>
      </c>
      <c r="AC799">
        <f>セットアップレポート!AB799</f>
        <v>0</v>
      </c>
      <c r="AD799">
        <f>セットアップレポート!AC799</f>
        <v>0</v>
      </c>
      <c r="AE799">
        <f>セットアップレポート!AD799</f>
        <v>0</v>
      </c>
      <c r="AF799">
        <f>セットアップレポート!AE799</f>
        <v>0</v>
      </c>
      <c r="AG799">
        <f>セットアップレポート!AF799</f>
        <v>0</v>
      </c>
      <c r="AH799">
        <f>セットアップレポート!AG799</f>
        <v>0</v>
      </c>
    </row>
    <row r="800" spans="1:34" x14ac:dyDescent="0.45">
      <c r="A800" t="str">
        <f t="shared" si="12"/>
        <v>000</v>
      </c>
      <c r="B800">
        <f>セットアップレポート!A800</f>
        <v>0</v>
      </c>
      <c r="C800">
        <f>セットアップレポート!B800</f>
        <v>0</v>
      </c>
      <c r="D800">
        <f>セットアップレポート!C800</f>
        <v>0</v>
      </c>
      <c r="E800">
        <f>セットアップレポート!D800</f>
        <v>0</v>
      </c>
      <c r="F800">
        <f>セットアップレポート!E800</f>
        <v>0</v>
      </c>
      <c r="G800">
        <f>セットアップレポート!F800</f>
        <v>0</v>
      </c>
      <c r="H800">
        <f>セットアップレポート!G800</f>
        <v>0</v>
      </c>
      <c r="I800">
        <f>セットアップレポート!H800</f>
        <v>0</v>
      </c>
      <c r="J800">
        <f>セットアップレポート!I800</f>
        <v>0</v>
      </c>
      <c r="K800">
        <f>セットアップレポート!J800</f>
        <v>0</v>
      </c>
      <c r="L800">
        <f>セットアップレポート!K800</f>
        <v>0</v>
      </c>
      <c r="M800">
        <f>セットアップレポート!L800</f>
        <v>0</v>
      </c>
      <c r="N800">
        <f>セットアップレポート!M800</f>
        <v>0</v>
      </c>
      <c r="O800">
        <f>セットアップレポート!N800</f>
        <v>0</v>
      </c>
      <c r="P800">
        <f>セットアップレポート!O800</f>
        <v>0</v>
      </c>
      <c r="Q800">
        <f>セットアップレポート!P800</f>
        <v>0</v>
      </c>
      <c r="R800">
        <f>セットアップレポート!Q800</f>
        <v>0</v>
      </c>
      <c r="S800">
        <f>セットアップレポート!R800</f>
        <v>0</v>
      </c>
      <c r="T800">
        <f>セットアップレポート!S800</f>
        <v>0</v>
      </c>
      <c r="U800">
        <f>セットアップレポート!T800</f>
        <v>0</v>
      </c>
      <c r="V800">
        <f>セットアップレポート!U800</f>
        <v>0</v>
      </c>
      <c r="W800">
        <f>セットアップレポート!V800</f>
        <v>0</v>
      </c>
      <c r="X800">
        <f>セットアップレポート!W800</f>
        <v>0</v>
      </c>
      <c r="Y800">
        <f>セットアップレポート!X800</f>
        <v>0</v>
      </c>
      <c r="Z800">
        <f>セットアップレポート!Y800</f>
        <v>0</v>
      </c>
      <c r="AA800">
        <f>セットアップレポート!Z800</f>
        <v>0</v>
      </c>
      <c r="AB800">
        <f>セットアップレポート!AA800</f>
        <v>0</v>
      </c>
      <c r="AC800">
        <f>セットアップレポート!AB800</f>
        <v>0</v>
      </c>
      <c r="AD800">
        <f>セットアップレポート!AC800</f>
        <v>0</v>
      </c>
      <c r="AE800">
        <f>セットアップレポート!AD800</f>
        <v>0</v>
      </c>
      <c r="AF800">
        <f>セットアップレポート!AE800</f>
        <v>0</v>
      </c>
      <c r="AG800">
        <f>セットアップレポート!AF800</f>
        <v>0</v>
      </c>
      <c r="AH800">
        <f>セットアップレポート!AG800</f>
        <v>0</v>
      </c>
    </row>
    <row r="801" spans="1:34" x14ac:dyDescent="0.45">
      <c r="A801" t="str">
        <f t="shared" si="12"/>
        <v>000</v>
      </c>
      <c r="B801">
        <f>セットアップレポート!A801</f>
        <v>0</v>
      </c>
      <c r="C801">
        <f>セットアップレポート!B801</f>
        <v>0</v>
      </c>
      <c r="D801">
        <f>セットアップレポート!C801</f>
        <v>0</v>
      </c>
      <c r="E801">
        <f>セットアップレポート!D801</f>
        <v>0</v>
      </c>
      <c r="F801">
        <f>セットアップレポート!E801</f>
        <v>0</v>
      </c>
      <c r="G801">
        <f>セットアップレポート!F801</f>
        <v>0</v>
      </c>
      <c r="H801">
        <f>セットアップレポート!G801</f>
        <v>0</v>
      </c>
      <c r="I801">
        <f>セットアップレポート!H801</f>
        <v>0</v>
      </c>
      <c r="J801">
        <f>セットアップレポート!I801</f>
        <v>0</v>
      </c>
      <c r="K801">
        <f>セットアップレポート!J801</f>
        <v>0</v>
      </c>
      <c r="L801">
        <f>セットアップレポート!K801</f>
        <v>0</v>
      </c>
      <c r="M801">
        <f>セットアップレポート!L801</f>
        <v>0</v>
      </c>
      <c r="N801">
        <f>セットアップレポート!M801</f>
        <v>0</v>
      </c>
      <c r="O801">
        <f>セットアップレポート!N801</f>
        <v>0</v>
      </c>
      <c r="P801">
        <f>セットアップレポート!O801</f>
        <v>0</v>
      </c>
      <c r="Q801">
        <f>セットアップレポート!P801</f>
        <v>0</v>
      </c>
      <c r="R801">
        <f>セットアップレポート!Q801</f>
        <v>0</v>
      </c>
      <c r="S801">
        <f>セットアップレポート!R801</f>
        <v>0</v>
      </c>
      <c r="T801">
        <f>セットアップレポート!S801</f>
        <v>0</v>
      </c>
      <c r="U801">
        <f>セットアップレポート!T801</f>
        <v>0</v>
      </c>
      <c r="V801">
        <f>セットアップレポート!U801</f>
        <v>0</v>
      </c>
      <c r="W801">
        <f>セットアップレポート!V801</f>
        <v>0</v>
      </c>
      <c r="X801">
        <f>セットアップレポート!W801</f>
        <v>0</v>
      </c>
      <c r="Y801">
        <f>セットアップレポート!X801</f>
        <v>0</v>
      </c>
      <c r="Z801">
        <f>セットアップレポート!Y801</f>
        <v>0</v>
      </c>
      <c r="AA801">
        <f>セットアップレポート!Z801</f>
        <v>0</v>
      </c>
      <c r="AB801">
        <f>セットアップレポート!AA801</f>
        <v>0</v>
      </c>
      <c r="AC801">
        <f>セットアップレポート!AB801</f>
        <v>0</v>
      </c>
      <c r="AD801">
        <f>セットアップレポート!AC801</f>
        <v>0</v>
      </c>
      <c r="AE801">
        <f>セットアップレポート!AD801</f>
        <v>0</v>
      </c>
      <c r="AF801">
        <f>セットアップレポート!AE801</f>
        <v>0</v>
      </c>
      <c r="AG801">
        <f>セットアップレポート!AF801</f>
        <v>0</v>
      </c>
      <c r="AH801">
        <f>セットアップレポート!AG801</f>
        <v>0</v>
      </c>
    </row>
    <row r="802" spans="1:34" x14ac:dyDescent="0.45">
      <c r="A802" t="str">
        <f t="shared" si="12"/>
        <v>000</v>
      </c>
      <c r="B802">
        <f>セットアップレポート!A802</f>
        <v>0</v>
      </c>
      <c r="C802">
        <f>セットアップレポート!B802</f>
        <v>0</v>
      </c>
      <c r="D802">
        <f>セットアップレポート!C802</f>
        <v>0</v>
      </c>
      <c r="E802">
        <f>セットアップレポート!D802</f>
        <v>0</v>
      </c>
      <c r="F802">
        <f>セットアップレポート!E802</f>
        <v>0</v>
      </c>
      <c r="G802">
        <f>セットアップレポート!F802</f>
        <v>0</v>
      </c>
      <c r="H802">
        <f>セットアップレポート!G802</f>
        <v>0</v>
      </c>
      <c r="I802">
        <f>セットアップレポート!H802</f>
        <v>0</v>
      </c>
      <c r="J802">
        <f>セットアップレポート!I802</f>
        <v>0</v>
      </c>
      <c r="K802">
        <f>セットアップレポート!J802</f>
        <v>0</v>
      </c>
      <c r="L802">
        <f>セットアップレポート!K802</f>
        <v>0</v>
      </c>
      <c r="M802">
        <f>セットアップレポート!L802</f>
        <v>0</v>
      </c>
      <c r="N802">
        <f>セットアップレポート!M802</f>
        <v>0</v>
      </c>
      <c r="O802">
        <f>セットアップレポート!N802</f>
        <v>0</v>
      </c>
      <c r="P802">
        <f>セットアップレポート!O802</f>
        <v>0</v>
      </c>
      <c r="Q802">
        <f>セットアップレポート!P802</f>
        <v>0</v>
      </c>
      <c r="R802">
        <f>セットアップレポート!Q802</f>
        <v>0</v>
      </c>
      <c r="S802">
        <f>セットアップレポート!R802</f>
        <v>0</v>
      </c>
      <c r="T802">
        <f>セットアップレポート!S802</f>
        <v>0</v>
      </c>
      <c r="U802">
        <f>セットアップレポート!T802</f>
        <v>0</v>
      </c>
      <c r="V802">
        <f>セットアップレポート!U802</f>
        <v>0</v>
      </c>
      <c r="W802">
        <f>セットアップレポート!V802</f>
        <v>0</v>
      </c>
      <c r="X802">
        <f>セットアップレポート!W802</f>
        <v>0</v>
      </c>
      <c r="Y802">
        <f>セットアップレポート!X802</f>
        <v>0</v>
      </c>
      <c r="Z802">
        <f>セットアップレポート!Y802</f>
        <v>0</v>
      </c>
      <c r="AA802">
        <f>セットアップレポート!Z802</f>
        <v>0</v>
      </c>
      <c r="AB802">
        <f>セットアップレポート!AA802</f>
        <v>0</v>
      </c>
      <c r="AC802">
        <f>セットアップレポート!AB802</f>
        <v>0</v>
      </c>
      <c r="AD802">
        <f>セットアップレポート!AC802</f>
        <v>0</v>
      </c>
      <c r="AE802">
        <f>セットアップレポート!AD802</f>
        <v>0</v>
      </c>
      <c r="AF802">
        <f>セットアップレポート!AE802</f>
        <v>0</v>
      </c>
      <c r="AG802">
        <f>セットアップレポート!AF802</f>
        <v>0</v>
      </c>
      <c r="AH802">
        <f>セットアップレポート!AG802</f>
        <v>0</v>
      </c>
    </row>
    <row r="803" spans="1:34" x14ac:dyDescent="0.45">
      <c r="A803" t="str">
        <f t="shared" si="12"/>
        <v>000</v>
      </c>
      <c r="B803">
        <f>セットアップレポート!A803</f>
        <v>0</v>
      </c>
      <c r="C803">
        <f>セットアップレポート!B803</f>
        <v>0</v>
      </c>
      <c r="D803">
        <f>セットアップレポート!C803</f>
        <v>0</v>
      </c>
      <c r="E803">
        <f>セットアップレポート!D803</f>
        <v>0</v>
      </c>
      <c r="F803">
        <f>セットアップレポート!E803</f>
        <v>0</v>
      </c>
      <c r="G803">
        <f>セットアップレポート!F803</f>
        <v>0</v>
      </c>
      <c r="H803">
        <f>セットアップレポート!G803</f>
        <v>0</v>
      </c>
      <c r="I803">
        <f>セットアップレポート!H803</f>
        <v>0</v>
      </c>
      <c r="J803">
        <f>セットアップレポート!I803</f>
        <v>0</v>
      </c>
      <c r="K803">
        <f>セットアップレポート!J803</f>
        <v>0</v>
      </c>
      <c r="L803">
        <f>セットアップレポート!K803</f>
        <v>0</v>
      </c>
      <c r="M803">
        <f>セットアップレポート!L803</f>
        <v>0</v>
      </c>
      <c r="N803">
        <f>セットアップレポート!M803</f>
        <v>0</v>
      </c>
      <c r="O803">
        <f>セットアップレポート!N803</f>
        <v>0</v>
      </c>
      <c r="P803">
        <f>セットアップレポート!O803</f>
        <v>0</v>
      </c>
      <c r="Q803">
        <f>セットアップレポート!P803</f>
        <v>0</v>
      </c>
      <c r="R803">
        <f>セットアップレポート!Q803</f>
        <v>0</v>
      </c>
      <c r="S803">
        <f>セットアップレポート!R803</f>
        <v>0</v>
      </c>
      <c r="T803">
        <f>セットアップレポート!S803</f>
        <v>0</v>
      </c>
      <c r="U803">
        <f>セットアップレポート!T803</f>
        <v>0</v>
      </c>
      <c r="V803">
        <f>セットアップレポート!U803</f>
        <v>0</v>
      </c>
      <c r="W803">
        <f>セットアップレポート!V803</f>
        <v>0</v>
      </c>
      <c r="X803">
        <f>セットアップレポート!W803</f>
        <v>0</v>
      </c>
      <c r="Y803">
        <f>セットアップレポート!X803</f>
        <v>0</v>
      </c>
      <c r="Z803">
        <f>セットアップレポート!Y803</f>
        <v>0</v>
      </c>
      <c r="AA803">
        <f>セットアップレポート!Z803</f>
        <v>0</v>
      </c>
      <c r="AB803">
        <f>セットアップレポート!AA803</f>
        <v>0</v>
      </c>
      <c r="AC803">
        <f>セットアップレポート!AB803</f>
        <v>0</v>
      </c>
      <c r="AD803">
        <f>セットアップレポート!AC803</f>
        <v>0</v>
      </c>
      <c r="AE803">
        <f>セットアップレポート!AD803</f>
        <v>0</v>
      </c>
      <c r="AF803">
        <f>セットアップレポート!AE803</f>
        <v>0</v>
      </c>
      <c r="AG803">
        <f>セットアップレポート!AF803</f>
        <v>0</v>
      </c>
      <c r="AH803">
        <f>セットアップレポート!AG803</f>
        <v>0</v>
      </c>
    </row>
    <row r="804" spans="1:34" x14ac:dyDescent="0.45">
      <c r="A804" t="str">
        <f t="shared" si="12"/>
        <v>000</v>
      </c>
      <c r="B804">
        <f>セットアップレポート!A804</f>
        <v>0</v>
      </c>
      <c r="C804">
        <f>セットアップレポート!B804</f>
        <v>0</v>
      </c>
      <c r="D804">
        <f>セットアップレポート!C804</f>
        <v>0</v>
      </c>
      <c r="E804">
        <f>セットアップレポート!D804</f>
        <v>0</v>
      </c>
      <c r="F804">
        <f>セットアップレポート!E804</f>
        <v>0</v>
      </c>
      <c r="G804">
        <f>セットアップレポート!F804</f>
        <v>0</v>
      </c>
      <c r="H804">
        <f>セットアップレポート!G804</f>
        <v>0</v>
      </c>
      <c r="I804">
        <f>セットアップレポート!H804</f>
        <v>0</v>
      </c>
      <c r="J804">
        <f>セットアップレポート!I804</f>
        <v>0</v>
      </c>
      <c r="K804">
        <f>セットアップレポート!J804</f>
        <v>0</v>
      </c>
      <c r="L804">
        <f>セットアップレポート!K804</f>
        <v>0</v>
      </c>
      <c r="M804">
        <f>セットアップレポート!L804</f>
        <v>0</v>
      </c>
      <c r="N804">
        <f>セットアップレポート!M804</f>
        <v>0</v>
      </c>
      <c r="O804">
        <f>セットアップレポート!N804</f>
        <v>0</v>
      </c>
      <c r="P804">
        <f>セットアップレポート!O804</f>
        <v>0</v>
      </c>
      <c r="Q804">
        <f>セットアップレポート!P804</f>
        <v>0</v>
      </c>
      <c r="R804">
        <f>セットアップレポート!Q804</f>
        <v>0</v>
      </c>
      <c r="S804">
        <f>セットアップレポート!R804</f>
        <v>0</v>
      </c>
      <c r="T804">
        <f>セットアップレポート!S804</f>
        <v>0</v>
      </c>
      <c r="U804">
        <f>セットアップレポート!T804</f>
        <v>0</v>
      </c>
      <c r="V804">
        <f>セットアップレポート!U804</f>
        <v>0</v>
      </c>
      <c r="W804">
        <f>セットアップレポート!V804</f>
        <v>0</v>
      </c>
      <c r="X804">
        <f>セットアップレポート!W804</f>
        <v>0</v>
      </c>
      <c r="Y804">
        <f>セットアップレポート!X804</f>
        <v>0</v>
      </c>
      <c r="Z804">
        <f>セットアップレポート!Y804</f>
        <v>0</v>
      </c>
      <c r="AA804">
        <f>セットアップレポート!Z804</f>
        <v>0</v>
      </c>
      <c r="AB804">
        <f>セットアップレポート!AA804</f>
        <v>0</v>
      </c>
      <c r="AC804">
        <f>セットアップレポート!AB804</f>
        <v>0</v>
      </c>
      <c r="AD804">
        <f>セットアップレポート!AC804</f>
        <v>0</v>
      </c>
      <c r="AE804">
        <f>セットアップレポート!AD804</f>
        <v>0</v>
      </c>
      <c r="AF804">
        <f>セットアップレポート!AE804</f>
        <v>0</v>
      </c>
      <c r="AG804">
        <f>セットアップレポート!AF804</f>
        <v>0</v>
      </c>
      <c r="AH804">
        <f>セットアップレポート!AG804</f>
        <v>0</v>
      </c>
    </row>
    <row r="805" spans="1:34" x14ac:dyDescent="0.45">
      <c r="A805" t="str">
        <f t="shared" si="12"/>
        <v>000</v>
      </c>
      <c r="B805">
        <f>セットアップレポート!A805</f>
        <v>0</v>
      </c>
      <c r="C805">
        <f>セットアップレポート!B805</f>
        <v>0</v>
      </c>
      <c r="D805">
        <f>セットアップレポート!C805</f>
        <v>0</v>
      </c>
      <c r="E805">
        <f>セットアップレポート!D805</f>
        <v>0</v>
      </c>
      <c r="F805">
        <f>セットアップレポート!E805</f>
        <v>0</v>
      </c>
      <c r="G805">
        <f>セットアップレポート!F805</f>
        <v>0</v>
      </c>
      <c r="H805">
        <f>セットアップレポート!G805</f>
        <v>0</v>
      </c>
      <c r="I805">
        <f>セットアップレポート!H805</f>
        <v>0</v>
      </c>
      <c r="J805">
        <f>セットアップレポート!I805</f>
        <v>0</v>
      </c>
      <c r="K805">
        <f>セットアップレポート!J805</f>
        <v>0</v>
      </c>
      <c r="L805">
        <f>セットアップレポート!K805</f>
        <v>0</v>
      </c>
      <c r="M805">
        <f>セットアップレポート!L805</f>
        <v>0</v>
      </c>
      <c r="N805">
        <f>セットアップレポート!M805</f>
        <v>0</v>
      </c>
      <c r="O805">
        <f>セットアップレポート!N805</f>
        <v>0</v>
      </c>
      <c r="P805">
        <f>セットアップレポート!O805</f>
        <v>0</v>
      </c>
      <c r="Q805">
        <f>セットアップレポート!P805</f>
        <v>0</v>
      </c>
      <c r="R805">
        <f>セットアップレポート!Q805</f>
        <v>0</v>
      </c>
      <c r="S805">
        <f>セットアップレポート!R805</f>
        <v>0</v>
      </c>
      <c r="T805">
        <f>セットアップレポート!S805</f>
        <v>0</v>
      </c>
      <c r="U805">
        <f>セットアップレポート!T805</f>
        <v>0</v>
      </c>
      <c r="V805">
        <f>セットアップレポート!U805</f>
        <v>0</v>
      </c>
      <c r="W805">
        <f>セットアップレポート!V805</f>
        <v>0</v>
      </c>
      <c r="X805">
        <f>セットアップレポート!W805</f>
        <v>0</v>
      </c>
      <c r="Y805">
        <f>セットアップレポート!X805</f>
        <v>0</v>
      </c>
      <c r="Z805">
        <f>セットアップレポート!Y805</f>
        <v>0</v>
      </c>
      <c r="AA805">
        <f>セットアップレポート!Z805</f>
        <v>0</v>
      </c>
      <c r="AB805">
        <f>セットアップレポート!AA805</f>
        <v>0</v>
      </c>
      <c r="AC805">
        <f>セットアップレポート!AB805</f>
        <v>0</v>
      </c>
      <c r="AD805">
        <f>セットアップレポート!AC805</f>
        <v>0</v>
      </c>
      <c r="AE805">
        <f>セットアップレポート!AD805</f>
        <v>0</v>
      </c>
      <c r="AF805">
        <f>セットアップレポート!AE805</f>
        <v>0</v>
      </c>
      <c r="AG805">
        <f>セットアップレポート!AF805</f>
        <v>0</v>
      </c>
      <c r="AH805">
        <f>セットアップレポート!AG805</f>
        <v>0</v>
      </c>
    </row>
    <row r="806" spans="1:34" x14ac:dyDescent="0.45">
      <c r="A806" t="str">
        <f t="shared" si="12"/>
        <v>000</v>
      </c>
      <c r="B806">
        <f>セットアップレポート!A806</f>
        <v>0</v>
      </c>
      <c r="C806">
        <f>セットアップレポート!B806</f>
        <v>0</v>
      </c>
      <c r="D806">
        <f>セットアップレポート!C806</f>
        <v>0</v>
      </c>
      <c r="E806">
        <f>セットアップレポート!D806</f>
        <v>0</v>
      </c>
      <c r="F806">
        <f>セットアップレポート!E806</f>
        <v>0</v>
      </c>
      <c r="G806">
        <f>セットアップレポート!F806</f>
        <v>0</v>
      </c>
      <c r="H806">
        <f>セットアップレポート!G806</f>
        <v>0</v>
      </c>
      <c r="I806">
        <f>セットアップレポート!H806</f>
        <v>0</v>
      </c>
      <c r="J806">
        <f>セットアップレポート!I806</f>
        <v>0</v>
      </c>
      <c r="K806">
        <f>セットアップレポート!J806</f>
        <v>0</v>
      </c>
      <c r="L806">
        <f>セットアップレポート!K806</f>
        <v>0</v>
      </c>
      <c r="M806">
        <f>セットアップレポート!L806</f>
        <v>0</v>
      </c>
      <c r="N806">
        <f>セットアップレポート!M806</f>
        <v>0</v>
      </c>
      <c r="O806">
        <f>セットアップレポート!N806</f>
        <v>0</v>
      </c>
      <c r="P806">
        <f>セットアップレポート!O806</f>
        <v>0</v>
      </c>
      <c r="Q806">
        <f>セットアップレポート!P806</f>
        <v>0</v>
      </c>
      <c r="R806">
        <f>セットアップレポート!Q806</f>
        <v>0</v>
      </c>
      <c r="S806">
        <f>セットアップレポート!R806</f>
        <v>0</v>
      </c>
      <c r="T806">
        <f>セットアップレポート!S806</f>
        <v>0</v>
      </c>
      <c r="U806">
        <f>セットアップレポート!T806</f>
        <v>0</v>
      </c>
      <c r="V806">
        <f>セットアップレポート!U806</f>
        <v>0</v>
      </c>
      <c r="W806">
        <f>セットアップレポート!V806</f>
        <v>0</v>
      </c>
      <c r="X806">
        <f>セットアップレポート!W806</f>
        <v>0</v>
      </c>
      <c r="Y806">
        <f>セットアップレポート!X806</f>
        <v>0</v>
      </c>
      <c r="Z806">
        <f>セットアップレポート!Y806</f>
        <v>0</v>
      </c>
      <c r="AA806">
        <f>セットアップレポート!Z806</f>
        <v>0</v>
      </c>
      <c r="AB806">
        <f>セットアップレポート!AA806</f>
        <v>0</v>
      </c>
      <c r="AC806">
        <f>セットアップレポート!AB806</f>
        <v>0</v>
      </c>
      <c r="AD806">
        <f>セットアップレポート!AC806</f>
        <v>0</v>
      </c>
      <c r="AE806">
        <f>セットアップレポート!AD806</f>
        <v>0</v>
      </c>
      <c r="AF806">
        <f>セットアップレポート!AE806</f>
        <v>0</v>
      </c>
      <c r="AG806">
        <f>セットアップレポート!AF806</f>
        <v>0</v>
      </c>
      <c r="AH806">
        <f>セットアップレポート!AG806</f>
        <v>0</v>
      </c>
    </row>
    <row r="807" spans="1:34" x14ac:dyDescent="0.45">
      <c r="A807" t="str">
        <f t="shared" si="12"/>
        <v>000</v>
      </c>
      <c r="B807">
        <f>セットアップレポート!A807</f>
        <v>0</v>
      </c>
      <c r="C807">
        <f>セットアップレポート!B807</f>
        <v>0</v>
      </c>
      <c r="D807">
        <f>セットアップレポート!C807</f>
        <v>0</v>
      </c>
      <c r="E807">
        <f>セットアップレポート!D807</f>
        <v>0</v>
      </c>
      <c r="F807">
        <f>セットアップレポート!E807</f>
        <v>0</v>
      </c>
      <c r="G807">
        <f>セットアップレポート!F807</f>
        <v>0</v>
      </c>
      <c r="H807">
        <f>セットアップレポート!G807</f>
        <v>0</v>
      </c>
      <c r="I807">
        <f>セットアップレポート!H807</f>
        <v>0</v>
      </c>
      <c r="J807">
        <f>セットアップレポート!I807</f>
        <v>0</v>
      </c>
      <c r="K807">
        <f>セットアップレポート!J807</f>
        <v>0</v>
      </c>
      <c r="L807">
        <f>セットアップレポート!K807</f>
        <v>0</v>
      </c>
      <c r="M807">
        <f>セットアップレポート!L807</f>
        <v>0</v>
      </c>
      <c r="N807">
        <f>セットアップレポート!M807</f>
        <v>0</v>
      </c>
      <c r="O807">
        <f>セットアップレポート!N807</f>
        <v>0</v>
      </c>
      <c r="P807">
        <f>セットアップレポート!O807</f>
        <v>0</v>
      </c>
      <c r="Q807">
        <f>セットアップレポート!P807</f>
        <v>0</v>
      </c>
      <c r="R807">
        <f>セットアップレポート!Q807</f>
        <v>0</v>
      </c>
      <c r="S807">
        <f>セットアップレポート!R807</f>
        <v>0</v>
      </c>
      <c r="T807">
        <f>セットアップレポート!S807</f>
        <v>0</v>
      </c>
      <c r="U807">
        <f>セットアップレポート!T807</f>
        <v>0</v>
      </c>
      <c r="V807">
        <f>セットアップレポート!U807</f>
        <v>0</v>
      </c>
      <c r="W807">
        <f>セットアップレポート!V807</f>
        <v>0</v>
      </c>
      <c r="X807">
        <f>セットアップレポート!W807</f>
        <v>0</v>
      </c>
      <c r="Y807">
        <f>セットアップレポート!X807</f>
        <v>0</v>
      </c>
      <c r="Z807">
        <f>セットアップレポート!Y807</f>
        <v>0</v>
      </c>
      <c r="AA807">
        <f>セットアップレポート!Z807</f>
        <v>0</v>
      </c>
      <c r="AB807">
        <f>セットアップレポート!AA807</f>
        <v>0</v>
      </c>
      <c r="AC807">
        <f>セットアップレポート!AB807</f>
        <v>0</v>
      </c>
      <c r="AD807">
        <f>セットアップレポート!AC807</f>
        <v>0</v>
      </c>
      <c r="AE807">
        <f>セットアップレポート!AD807</f>
        <v>0</v>
      </c>
      <c r="AF807">
        <f>セットアップレポート!AE807</f>
        <v>0</v>
      </c>
      <c r="AG807">
        <f>セットアップレポート!AF807</f>
        <v>0</v>
      </c>
      <c r="AH807">
        <f>セットアップレポート!AG807</f>
        <v>0</v>
      </c>
    </row>
    <row r="808" spans="1:34" x14ac:dyDescent="0.45">
      <c r="A808" t="str">
        <f t="shared" si="12"/>
        <v>000</v>
      </c>
      <c r="B808">
        <f>セットアップレポート!A808</f>
        <v>0</v>
      </c>
      <c r="C808">
        <f>セットアップレポート!B808</f>
        <v>0</v>
      </c>
      <c r="D808">
        <f>セットアップレポート!C808</f>
        <v>0</v>
      </c>
      <c r="E808">
        <f>セットアップレポート!D808</f>
        <v>0</v>
      </c>
      <c r="F808">
        <f>セットアップレポート!E808</f>
        <v>0</v>
      </c>
      <c r="G808">
        <f>セットアップレポート!F808</f>
        <v>0</v>
      </c>
      <c r="H808">
        <f>セットアップレポート!G808</f>
        <v>0</v>
      </c>
      <c r="I808">
        <f>セットアップレポート!H808</f>
        <v>0</v>
      </c>
      <c r="J808">
        <f>セットアップレポート!I808</f>
        <v>0</v>
      </c>
      <c r="K808">
        <f>セットアップレポート!J808</f>
        <v>0</v>
      </c>
      <c r="L808">
        <f>セットアップレポート!K808</f>
        <v>0</v>
      </c>
      <c r="M808">
        <f>セットアップレポート!L808</f>
        <v>0</v>
      </c>
      <c r="N808">
        <f>セットアップレポート!M808</f>
        <v>0</v>
      </c>
      <c r="O808">
        <f>セットアップレポート!N808</f>
        <v>0</v>
      </c>
      <c r="P808">
        <f>セットアップレポート!O808</f>
        <v>0</v>
      </c>
      <c r="Q808">
        <f>セットアップレポート!P808</f>
        <v>0</v>
      </c>
      <c r="R808">
        <f>セットアップレポート!Q808</f>
        <v>0</v>
      </c>
      <c r="S808">
        <f>セットアップレポート!R808</f>
        <v>0</v>
      </c>
      <c r="T808">
        <f>セットアップレポート!S808</f>
        <v>0</v>
      </c>
      <c r="U808">
        <f>セットアップレポート!T808</f>
        <v>0</v>
      </c>
      <c r="V808">
        <f>セットアップレポート!U808</f>
        <v>0</v>
      </c>
      <c r="W808">
        <f>セットアップレポート!V808</f>
        <v>0</v>
      </c>
      <c r="X808">
        <f>セットアップレポート!W808</f>
        <v>0</v>
      </c>
      <c r="Y808">
        <f>セットアップレポート!X808</f>
        <v>0</v>
      </c>
      <c r="Z808">
        <f>セットアップレポート!Y808</f>
        <v>0</v>
      </c>
      <c r="AA808">
        <f>セットアップレポート!Z808</f>
        <v>0</v>
      </c>
      <c r="AB808">
        <f>セットアップレポート!AA808</f>
        <v>0</v>
      </c>
      <c r="AC808">
        <f>セットアップレポート!AB808</f>
        <v>0</v>
      </c>
      <c r="AD808">
        <f>セットアップレポート!AC808</f>
        <v>0</v>
      </c>
      <c r="AE808">
        <f>セットアップレポート!AD808</f>
        <v>0</v>
      </c>
      <c r="AF808">
        <f>セットアップレポート!AE808</f>
        <v>0</v>
      </c>
      <c r="AG808">
        <f>セットアップレポート!AF808</f>
        <v>0</v>
      </c>
      <c r="AH808">
        <f>セットアップレポート!AG808</f>
        <v>0</v>
      </c>
    </row>
    <row r="809" spans="1:34" x14ac:dyDescent="0.45">
      <c r="A809" t="str">
        <f t="shared" si="12"/>
        <v>000</v>
      </c>
      <c r="B809">
        <f>セットアップレポート!A809</f>
        <v>0</v>
      </c>
      <c r="C809">
        <f>セットアップレポート!B809</f>
        <v>0</v>
      </c>
      <c r="D809">
        <f>セットアップレポート!C809</f>
        <v>0</v>
      </c>
      <c r="E809">
        <f>セットアップレポート!D809</f>
        <v>0</v>
      </c>
      <c r="F809">
        <f>セットアップレポート!E809</f>
        <v>0</v>
      </c>
      <c r="G809">
        <f>セットアップレポート!F809</f>
        <v>0</v>
      </c>
      <c r="H809">
        <f>セットアップレポート!G809</f>
        <v>0</v>
      </c>
      <c r="I809">
        <f>セットアップレポート!H809</f>
        <v>0</v>
      </c>
      <c r="J809">
        <f>セットアップレポート!I809</f>
        <v>0</v>
      </c>
      <c r="K809">
        <f>セットアップレポート!J809</f>
        <v>0</v>
      </c>
      <c r="L809">
        <f>セットアップレポート!K809</f>
        <v>0</v>
      </c>
      <c r="M809">
        <f>セットアップレポート!L809</f>
        <v>0</v>
      </c>
      <c r="N809">
        <f>セットアップレポート!M809</f>
        <v>0</v>
      </c>
      <c r="O809">
        <f>セットアップレポート!N809</f>
        <v>0</v>
      </c>
      <c r="P809">
        <f>セットアップレポート!O809</f>
        <v>0</v>
      </c>
      <c r="Q809">
        <f>セットアップレポート!P809</f>
        <v>0</v>
      </c>
      <c r="R809">
        <f>セットアップレポート!Q809</f>
        <v>0</v>
      </c>
      <c r="S809">
        <f>セットアップレポート!R809</f>
        <v>0</v>
      </c>
      <c r="T809">
        <f>セットアップレポート!S809</f>
        <v>0</v>
      </c>
      <c r="U809">
        <f>セットアップレポート!T809</f>
        <v>0</v>
      </c>
      <c r="V809">
        <f>セットアップレポート!U809</f>
        <v>0</v>
      </c>
      <c r="W809">
        <f>セットアップレポート!V809</f>
        <v>0</v>
      </c>
      <c r="X809">
        <f>セットアップレポート!W809</f>
        <v>0</v>
      </c>
      <c r="Y809">
        <f>セットアップレポート!X809</f>
        <v>0</v>
      </c>
      <c r="Z809">
        <f>セットアップレポート!Y809</f>
        <v>0</v>
      </c>
      <c r="AA809">
        <f>セットアップレポート!Z809</f>
        <v>0</v>
      </c>
      <c r="AB809">
        <f>セットアップレポート!AA809</f>
        <v>0</v>
      </c>
      <c r="AC809">
        <f>セットアップレポート!AB809</f>
        <v>0</v>
      </c>
      <c r="AD809">
        <f>セットアップレポート!AC809</f>
        <v>0</v>
      </c>
      <c r="AE809">
        <f>セットアップレポート!AD809</f>
        <v>0</v>
      </c>
      <c r="AF809">
        <f>セットアップレポート!AE809</f>
        <v>0</v>
      </c>
      <c r="AG809">
        <f>セットアップレポート!AF809</f>
        <v>0</v>
      </c>
      <c r="AH809">
        <f>セットアップレポート!AG809</f>
        <v>0</v>
      </c>
    </row>
    <row r="810" spans="1:34" x14ac:dyDescent="0.45">
      <c r="A810" t="str">
        <f t="shared" si="12"/>
        <v>000</v>
      </c>
      <c r="B810">
        <f>セットアップレポート!A810</f>
        <v>0</v>
      </c>
      <c r="C810">
        <f>セットアップレポート!B810</f>
        <v>0</v>
      </c>
      <c r="D810">
        <f>セットアップレポート!C810</f>
        <v>0</v>
      </c>
      <c r="E810">
        <f>セットアップレポート!D810</f>
        <v>0</v>
      </c>
      <c r="F810">
        <f>セットアップレポート!E810</f>
        <v>0</v>
      </c>
      <c r="G810">
        <f>セットアップレポート!F810</f>
        <v>0</v>
      </c>
      <c r="H810">
        <f>セットアップレポート!G810</f>
        <v>0</v>
      </c>
      <c r="I810">
        <f>セットアップレポート!H810</f>
        <v>0</v>
      </c>
      <c r="J810">
        <f>セットアップレポート!I810</f>
        <v>0</v>
      </c>
      <c r="K810">
        <f>セットアップレポート!J810</f>
        <v>0</v>
      </c>
      <c r="L810">
        <f>セットアップレポート!K810</f>
        <v>0</v>
      </c>
      <c r="M810">
        <f>セットアップレポート!L810</f>
        <v>0</v>
      </c>
      <c r="N810">
        <f>セットアップレポート!M810</f>
        <v>0</v>
      </c>
      <c r="O810">
        <f>セットアップレポート!N810</f>
        <v>0</v>
      </c>
      <c r="P810">
        <f>セットアップレポート!O810</f>
        <v>0</v>
      </c>
      <c r="Q810">
        <f>セットアップレポート!P810</f>
        <v>0</v>
      </c>
      <c r="R810">
        <f>セットアップレポート!Q810</f>
        <v>0</v>
      </c>
      <c r="S810">
        <f>セットアップレポート!R810</f>
        <v>0</v>
      </c>
      <c r="T810">
        <f>セットアップレポート!S810</f>
        <v>0</v>
      </c>
      <c r="U810">
        <f>セットアップレポート!T810</f>
        <v>0</v>
      </c>
      <c r="V810">
        <f>セットアップレポート!U810</f>
        <v>0</v>
      </c>
      <c r="W810">
        <f>セットアップレポート!V810</f>
        <v>0</v>
      </c>
      <c r="X810">
        <f>セットアップレポート!W810</f>
        <v>0</v>
      </c>
      <c r="Y810">
        <f>セットアップレポート!X810</f>
        <v>0</v>
      </c>
      <c r="Z810">
        <f>セットアップレポート!Y810</f>
        <v>0</v>
      </c>
      <c r="AA810">
        <f>セットアップレポート!Z810</f>
        <v>0</v>
      </c>
      <c r="AB810">
        <f>セットアップレポート!AA810</f>
        <v>0</v>
      </c>
      <c r="AC810">
        <f>セットアップレポート!AB810</f>
        <v>0</v>
      </c>
      <c r="AD810">
        <f>セットアップレポート!AC810</f>
        <v>0</v>
      </c>
      <c r="AE810">
        <f>セットアップレポート!AD810</f>
        <v>0</v>
      </c>
      <c r="AF810">
        <f>セットアップレポート!AE810</f>
        <v>0</v>
      </c>
      <c r="AG810">
        <f>セットアップレポート!AF810</f>
        <v>0</v>
      </c>
      <c r="AH810">
        <f>セットアップレポート!AG810</f>
        <v>0</v>
      </c>
    </row>
    <row r="811" spans="1:34" x14ac:dyDescent="0.45">
      <c r="A811" t="str">
        <f t="shared" si="12"/>
        <v>000</v>
      </c>
      <c r="B811">
        <f>セットアップレポート!A811</f>
        <v>0</v>
      </c>
      <c r="C811">
        <f>セットアップレポート!B811</f>
        <v>0</v>
      </c>
      <c r="D811">
        <f>セットアップレポート!C811</f>
        <v>0</v>
      </c>
      <c r="E811">
        <f>セットアップレポート!D811</f>
        <v>0</v>
      </c>
      <c r="F811">
        <f>セットアップレポート!E811</f>
        <v>0</v>
      </c>
      <c r="G811">
        <f>セットアップレポート!F811</f>
        <v>0</v>
      </c>
      <c r="H811">
        <f>セットアップレポート!G811</f>
        <v>0</v>
      </c>
      <c r="I811">
        <f>セットアップレポート!H811</f>
        <v>0</v>
      </c>
      <c r="J811">
        <f>セットアップレポート!I811</f>
        <v>0</v>
      </c>
      <c r="K811">
        <f>セットアップレポート!J811</f>
        <v>0</v>
      </c>
      <c r="L811">
        <f>セットアップレポート!K811</f>
        <v>0</v>
      </c>
      <c r="M811">
        <f>セットアップレポート!L811</f>
        <v>0</v>
      </c>
      <c r="N811">
        <f>セットアップレポート!M811</f>
        <v>0</v>
      </c>
      <c r="O811">
        <f>セットアップレポート!N811</f>
        <v>0</v>
      </c>
      <c r="P811">
        <f>セットアップレポート!O811</f>
        <v>0</v>
      </c>
      <c r="Q811">
        <f>セットアップレポート!P811</f>
        <v>0</v>
      </c>
      <c r="R811">
        <f>セットアップレポート!Q811</f>
        <v>0</v>
      </c>
      <c r="S811">
        <f>セットアップレポート!R811</f>
        <v>0</v>
      </c>
      <c r="T811">
        <f>セットアップレポート!S811</f>
        <v>0</v>
      </c>
      <c r="U811">
        <f>セットアップレポート!T811</f>
        <v>0</v>
      </c>
      <c r="V811">
        <f>セットアップレポート!U811</f>
        <v>0</v>
      </c>
      <c r="W811">
        <f>セットアップレポート!V811</f>
        <v>0</v>
      </c>
      <c r="X811">
        <f>セットアップレポート!W811</f>
        <v>0</v>
      </c>
      <c r="Y811">
        <f>セットアップレポート!X811</f>
        <v>0</v>
      </c>
      <c r="Z811">
        <f>セットアップレポート!Y811</f>
        <v>0</v>
      </c>
      <c r="AA811">
        <f>セットアップレポート!Z811</f>
        <v>0</v>
      </c>
      <c r="AB811">
        <f>セットアップレポート!AA811</f>
        <v>0</v>
      </c>
      <c r="AC811">
        <f>セットアップレポート!AB811</f>
        <v>0</v>
      </c>
      <c r="AD811">
        <f>セットアップレポート!AC811</f>
        <v>0</v>
      </c>
      <c r="AE811">
        <f>セットアップレポート!AD811</f>
        <v>0</v>
      </c>
      <c r="AF811">
        <f>セットアップレポート!AE811</f>
        <v>0</v>
      </c>
      <c r="AG811">
        <f>セットアップレポート!AF811</f>
        <v>0</v>
      </c>
      <c r="AH811">
        <f>セットアップレポート!AG811</f>
        <v>0</v>
      </c>
    </row>
    <row r="812" spans="1:34" x14ac:dyDescent="0.45">
      <c r="A812" t="str">
        <f t="shared" si="12"/>
        <v>000</v>
      </c>
      <c r="B812">
        <f>セットアップレポート!A812</f>
        <v>0</v>
      </c>
      <c r="C812">
        <f>セットアップレポート!B812</f>
        <v>0</v>
      </c>
      <c r="D812">
        <f>セットアップレポート!C812</f>
        <v>0</v>
      </c>
      <c r="E812">
        <f>セットアップレポート!D812</f>
        <v>0</v>
      </c>
      <c r="F812">
        <f>セットアップレポート!E812</f>
        <v>0</v>
      </c>
      <c r="G812">
        <f>セットアップレポート!F812</f>
        <v>0</v>
      </c>
      <c r="H812">
        <f>セットアップレポート!G812</f>
        <v>0</v>
      </c>
      <c r="I812">
        <f>セットアップレポート!H812</f>
        <v>0</v>
      </c>
      <c r="J812">
        <f>セットアップレポート!I812</f>
        <v>0</v>
      </c>
      <c r="K812">
        <f>セットアップレポート!J812</f>
        <v>0</v>
      </c>
      <c r="L812">
        <f>セットアップレポート!K812</f>
        <v>0</v>
      </c>
      <c r="M812">
        <f>セットアップレポート!L812</f>
        <v>0</v>
      </c>
      <c r="N812">
        <f>セットアップレポート!M812</f>
        <v>0</v>
      </c>
      <c r="O812">
        <f>セットアップレポート!N812</f>
        <v>0</v>
      </c>
      <c r="P812">
        <f>セットアップレポート!O812</f>
        <v>0</v>
      </c>
      <c r="Q812">
        <f>セットアップレポート!P812</f>
        <v>0</v>
      </c>
      <c r="R812">
        <f>セットアップレポート!Q812</f>
        <v>0</v>
      </c>
      <c r="S812">
        <f>セットアップレポート!R812</f>
        <v>0</v>
      </c>
      <c r="T812">
        <f>セットアップレポート!S812</f>
        <v>0</v>
      </c>
      <c r="U812">
        <f>セットアップレポート!T812</f>
        <v>0</v>
      </c>
      <c r="V812">
        <f>セットアップレポート!U812</f>
        <v>0</v>
      </c>
      <c r="W812">
        <f>セットアップレポート!V812</f>
        <v>0</v>
      </c>
      <c r="X812">
        <f>セットアップレポート!W812</f>
        <v>0</v>
      </c>
      <c r="Y812">
        <f>セットアップレポート!X812</f>
        <v>0</v>
      </c>
      <c r="Z812">
        <f>セットアップレポート!Y812</f>
        <v>0</v>
      </c>
      <c r="AA812">
        <f>セットアップレポート!Z812</f>
        <v>0</v>
      </c>
      <c r="AB812">
        <f>セットアップレポート!AA812</f>
        <v>0</v>
      </c>
      <c r="AC812">
        <f>セットアップレポート!AB812</f>
        <v>0</v>
      </c>
      <c r="AD812">
        <f>セットアップレポート!AC812</f>
        <v>0</v>
      </c>
      <c r="AE812">
        <f>セットアップレポート!AD812</f>
        <v>0</v>
      </c>
      <c r="AF812">
        <f>セットアップレポート!AE812</f>
        <v>0</v>
      </c>
      <c r="AG812">
        <f>セットアップレポート!AF812</f>
        <v>0</v>
      </c>
      <c r="AH812">
        <f>セットアップレポート!AG812</f>
        <v>0</v>
      </c>
    </row>
    <row r="813" spans="1:34" x14ac:dyDescent="0.45">
      <c r="A813" t="str">
        <f t="shared" si="12"/>
        <v>000</v>
      </c>
      <c r="B813">
        <f>セットアップレポート!A813</f>
        <v>0</v>
      </c>
      <c r="C813">
        <f>セットアップレポート!B813</f>
        <v>0</v>
      </c>
      <c r="D813">
        <f>セットアップレポート!C813</f>
        <v>0</v>
      </c>
      <c r="E813">
        <f>セットアップレポート!D813</f>
        <v>0</v>
      </c>
      <c r="F813">
        <f>セットアップレポート!E813</f>
        <v>0</v>
      </c>
      <c r="G813">
        <f>セットアップレポート!F813</f>
        <v>0</v>
      </c>
      <c r="H813">
        <f>セットアップレポート!G813</f>
        <v>0</v>
      </c>
      <c r="I813">
        <f>セットアップレポート!H813</f>
        <v>0</v>
      </c>
      <c r="J813">
        <f>セットアップレポート!I813</f>
        <v>0</v>
      </c>
      <c r="K813">
        <f>セットアップレポート!J813</f>
        <v>0</v>
      </c>
      <c r="L813">
        <f>セットアップレポート!K813</f>
        <v>0</v>
      </c>
      <c r="M813">
        <f>セットアップレポート!L813</f>
        <v>0</v>
      </c>
      <c r="N813">
        <f>セットアップレポート!M813</f>
        <v>0</v>
      </c>
      <c r="O813">
        <f>セットアップレポート!N813</f>
        <v>0</v>
      </c>
      <c r="P813">
        <f>セットアップレポート!O813</f>
        <v>0</v>
      </c>
      <c r="Q813">
        <f>セットアップレポート!P813</f>
        <v>0</v>
      </c>
      <c r="R813">
        <f>セットアップレポート!Q813</f>
        <v>0</v>
      </c>
      <c r="S813">
        <f>セットアップレポート!R813</f>
        <v>0</v>
      </c>
      <c r="T813">
        <f>セットアップレポート!S813</f>
        <v>0</v>
      </c>
      <c r="U813">
        <f>セットアップレポート!T813</f>
        <v>0</v>
      </c>
      <c r="V813">
        <f>セットアップレポート!U813</f>
        <v>0</v>
      </c>
      <c r="W813">
        <f>セットアップレポート!V813</f>
        <v>0</v>
      </c>
      <c r="X813">
        <f>セットアップレポート!W813</f>
        <v>0</v>
      </c>
      <c r="Y813">
        <f>セットアップレポート!X813</f>
        <v>0</v>
      </c>
      <c r="Z813">
        <f>セットアップレポート!Y813</f>
        <v>0</v>
      </c>
      <c r="AA813">
        <f>セットアップレポート!Z813</f>
        <v>0</v>
      </c>
      <c r="AB813">
        <f>セットアップレポート!AA813</f>
        <v>0</v>
      </c>
      <c r="AC813">
        <f>セットアップレポート!AB813</f>
        <v>0</v>
      </c>
      <c r="AD813">
        <f>セットアップレポート!AC813</f>
        <v>0</v>
      </c>
      <c r="AE813">
        <f>セットアップレポート!AD813</f>
        <v>0</v>
      </c>
      <c r="AF813">
        <f>セットアップレポート!AE813</f>
        <v>0</v>
      </c>
      <c r="AG813">
        <f>セットアップレポート!AF813</f>
        <v>0</v>
      </c>
      <c r="AH813">
        <f>セットアップレポート!AG813</f>
        <v>0</v>
      </c>
    </row>
    <row r="814" spans="1:34" x14ac:dyDescent="0.45">
      <c r="A814" t="str">
        <f t="shared" si="12"/>
        <v>000</v>
      </c>
      <c r="B814">
        <f>セットアップレポート!A814</f>
        <v>0</v>
      </c>
      <c r="C814">
        <f>セットアップレポート!B814</f>
        <v>0</v>
      </c>
      <c r="D814">
        <f>セットアップレポート!C814</f>
        <v>0</v>
      </c>
      <c r="E814">
        <f>セットアップレポート!D814</f>
        <v>0</v>
      </c>
      <c r="F814">
        <f>セットアップレポート!E814</f>
        <v>0</v>
      </c>
      <c r="G814">
        <f>セットアップレポート!F814</f>
        <v>0</v>
      </c>
      <c r="H814">
        <f>セットアップレポート!G814</f>
        <v>0</v>
      </c>
      <c r="I814">
        <f>セットアップレポート!H814</f>
        <v>0</v>
      </c>
      <c r="J814">
        <f>セットアップレポート!I814</f>
        <v>0</v>
      </c>
      <c r="K814">
        <f>セットアップレポート!J814</f>
        <v>0</v>
      </c>
      <c r="L814">
        <f>セットアップレポート!K814</f>
        <v>0</v>
      </c>
      <c r="M814">
        <f>セットアップレポート!L814</f>
        <v>0</v>
      </c>
      <c r="N814">
        <f>セットアップレポート!M814</f>
        <v>0</v>
      </c>
      <c r="O814">
        <f>セットアップレポート!N814</f>
        <v>0</v>
      </c>
      <c r="P814">
        <f>セットアップレポート!O814</f>
        <v>0</v>
      </c>
      <c r="Q814">
        <f>セットアップレポート!P814</f>
        <v>0</v>
      </c>
      <c r="R814">
        <f>セットアップレポート!Q814</f>
        <v>0</v>
      </c>
      <c r="S814">
        <f>セットアップレポート!R814</f>
        <v>0</v>
      </c>
      <c r="T814">
        <f>セットアップレポート!S814</f>
        <v>0</v>
      </c>
      <c r="U814">
        <f>セットアップレポート!T814</f>
        <v>0</v>
      </c>
      <c r="V814">
        <f>セットアップレポート!U814</f>
        <v>0</v>
      </c>
      <c r="W814">
        <f>セットアップレポート!V814</f>
        <v>0</v>
      </c>
      <c r="X814">
        <f>セットアップレポート!W814</f>
        <v>0</v>
      </c>
      <c r="Y814">
        <f>セットアップレポート!X814</f>
        <v>0</v>
      </c>
      <c r="Z814">
        <f>セットアップレポート!Y814</f>
        <v>0</v>
      </c>
      <c r="AA814">
        <f>セットアップレポート!Z814</f>
        <v>0</v>
      </c>
      <c r="AB814">
        <f>セットアップレポート!AA814</f>
        <v>0</v>
      </c>
      <c r="AC814">
        <f>セットアップレポート!AB814</f>
        <v>0</v>
      </c>
      <c r="AD814">
        <f>セットアップレポート!AC814</f>
        <v>0</v>
      </c>
      <c r="AE814">
        <f>セットアップレポート!AD814</f>
        <v>0</v>
      </c>
      <c r="AF814">
        <f>セットアップレポート!AE814</f>
        <v>0</v>
      </c>
      <c r="AG814">
        <f>セットアップレポート!AF814</f>
        <v>0</v>
      </c>
      <c r="AH814">
        <f>セットアップレポート!AG814</f>
        <v>0</v>
      </c>
    </row>
    <row r="815" spans="1:34" x14ac:dyDescent="0.45">
      <c r="A815" t="str">
        <f t="shared" si="12"/>
        <v>000</v>
      </c>
      <c r="B815">
        <f>セットアップレポート!A815</f>
        <v>0</v>
      </c>
      <c r="C815">
        <f>セットアップレポート!B815</f>
        <v>0</v>
      </c>
      <c r="D815">
        <f>セットアップレポート!C815</f>
        <v>0</v>
      </c>
      <c r="E815">
        <f>セットアップレポート!D815</f>
        <v>0</v>
      </c>
      <c r="F815">
        <f>セットアップレポート!E815</f>
        <v>0</v>
      </c>
      <c r="G815">
        <f>セットアップレポート!F815</f>
        <v>0</v>
      </c>
      <c r="H815">
        <f>セットアップレポート!G815</f>
        <v>0</v>
      </c>
      <c r="I815">
        <f>セットアップレポート!H815</f>
        <v>0</v>
      </c>
      <c r="J815">
        <f>セットアップレポート!I815</f>
        <v>0</v>
      </c>
      <c r="K815">
        <f>セットアップレポート!J815</f>
        <v>0</v>
      </c>
      <c r="L815">
        <f>セットアップレポート!K815</f>
        <v>0</v>
      </c>
      <c r="M815">
        <f>セットアップレポート!L815</f>
        <v>0</v>
      </c>
      <c r="N815">
        <f>セットアップレポート!M815</f>
        <v>0</v>
      </c>
      <c r="O815">
        <f>セットアップレポート!N815</f>
        <v>0</v>
      </c>
      <c r="P815">
        <f>セットアップレポート!O815</f>
        <v>0</v>
      </c>
      <c r="Q815">
        <f>セットアップレポート!P815</f>
        <v>0</v>
      </c>
      <c r="R815">
        <f>セットアップレポート!Q815</f>
        <v>0</v>
      </c>
      <c r="S815">
        <f>セットアップレポート!R815</f>
        <v>0</v>
      </c>
      <c r="T815">
        <f>セットアップレポート!S815</f>
        <v>0</v>
      </c>
      <c r="U815">
        <f>セットアップレポート!T815</f>
        <v>0</v>
      </c>
      <c r="V815">
        <f>セットアップレポート!U815</f>
        <v>0</v>
      </c>
      <c r="W815">
        <f>セットアップレポート!V815</f>
        <v>0</v>
      </c>
      <c r="X815">
        <f>セットアップレポート!W815</f>
        <v>0</v>
      </c>
      <c r="Y815">
        <f>セットアップレポート!X815</f>
        <v>0</v>
      </c>
      <c r="Z815">
        <f>セットアップレポート!Y815</f>
        <v>0</v>
      </c>
      <c r="AA815">
        <f>セットアップレポート!Z815</f>
        <v>0</v>
      </c>
      <c r="AB815">
        <f>セットアップレポート!AA815</f>
        <v>0</v>
      </c>
      <c r="AC815">
        <f>セットアップレポート!AB815</f>
        <v>0</v>
      </c>
      <c r="AD815">
        <f>セットアップレポート!AC815</f>
        <v>0</v>
      </c>
      <c r="AE815">
        <f>セットアップレポート!AD815</f>
        <v>0</v>
      </c>
      <c r="AF815">
        <f>セットアップレポート!AE815</f>
        <v>0</v>
      </c>
      <c r="AG815">
        <f>セットアップレポート!AF815</f>
        <v>0</v>
      </c>
      <c r="AH815">
        <f>セットアップレポート!AG815</f>
        <v>0</v>
      </c>
    </row>
    <row r="816" spans="1:34" x14ac:dyDescent="0.45">
      <c r="A816" t="str">
        <f t="shared" si="12"/>
        <v>000</v>
      </c>
      <c r="B816">
        <f>セットアップレポート!A816</f>
        <v>0</v>
      </c>
      <c r="C816">
        <f>セットアップレポート!B816</f>
        <v>0</v>
      </c>
      <c r="D816">
        <f>セットアップレポート!C816</f>
        <v>0</v>
      </c>
      <c r="E816">
        <f>セットアップレポート!D816</f>
        <v>0</v>
      </c>
      <c r="F816">
        <f>セットアップレポート!E816</f>
        <v>0</v>
      </c>
      <c r="G816">
        <f>セットアップレポート!F816</f>
        <v>0</v>
      </c>
      <c r="H816">
        <f>セットアップレポート!G816</f>
        <v>0</v>
      </c>
      <c r="I816">
        <f>セットアップレポート!H816</f>
        <v>0</v>
      </c>
      <c r="J816">
        <f>セットアップレポート!I816</f>
        <v>0</v>
      </c>
      <c r="K816">
        <f>セットアップレポート!J816</f>
        <v>0</v>
      </c>
      <c r="L816">
        <f>セットアップレポート!K816</f>
        <v>0</v>
      </c>
      <c r="M816">
        <f>セットアップレポート!L816</f>
        <v>0</v>
      </c>
      <c r="N816">
        <f>セットアップレポート!M816</f>
        <v>0</v>
      </c>
      <c r="O816">
        <f>セットアップレポート!N816</f>
        <v>0</v>
      </c>
      <c r="P816">
        <f>セットアップレポート!O816</f>
        <v>0</v>
      </c>
      <c r="Q816">
        <f>セットアップレポート!P816</f>
        <v>0</v>
      </c>
      <c r="R816">
        <f>セットアップレポート!Q816</f>
        <v>0</v>
      </c>
      <c r="S816">
        <f>セットアップレポート!R816</f>
        <v>0</v>
      </c>
      <c r="T816">
        <f>セットアップレポート!S816</f>
        <v>0</v>
      </c>
      <c r="U816">
        <f>セットアップレポート!T816</f>
        <v>0</v>
      </c>
      <c r="V816">
        <f>セットアップレポート!U816</f>
        <v>0</v>
      </c>
      <c r="W816">
        <f>セットアップレポート!V816</f>
        <v>0</v>
      </c>
      <c r="X816">
        <f>セットアップレポート!W816</f>
        <v>0</v>
      </c>
      <c r="Y816">
        <f>セットアップレポート!X816</f>
        <v>0</v>
      </c>
      <c r="Z816">
        <f>セットアップレポート!Y816</f>
        <v>0</v>
      </c>
      <c r="AA816">
        <f>セットアップレポート!Z816</f>
        <v>0</v>
      </c>
      <c r="AB816">
        <f>セットアップレポート!AA816</f>
        <v>0</v>
      </c>
      <c r="AC816">
        <f>セットアップレポート!AB816</f>
        <v>0</v>
      </c>
      <c r="AD816">
        <f>セットアップレポート!AC816</f>
        <v>0</v>
      </c>
      <c r="AE816">
        <f>セットアップレポート!AD816</f>
        <v>0</v>
      </c>
      <c r="AF816">
        <f>セットアップレポート!AE816</f>
        <v>0</v>
      </c>
      <c r="AG816">
        <f>セットアップレポート!AF816</f>
        <v>0</v>
      </c>
      <c r="AH816">
        <f>セットアップレポート!AG816</f>
        <v>0</v>
      </c>
    </row>
    <row r="817" spans="1:34" x14ac:dyDescent="0.45">
      <c r="A817" t="str">
        <f t="shared" si="12"/>
        <v>000</v>
      </c>
      <c r="B817">
        <f>セットアップレポート!A817</f>
        <v>0</v>
      </c>
      <c r="C817">
        <f>セットアップレポート!B817</f>
        <v>0</v>
      </c>
      <c r="D817">
        <f>セットアップレポート!C817</f>
        <v>0</v>
      </c>
      <c r="E817">
        <f>セットアップレポート!D817</f>
        <v>0</v>
      </c>
      <c r="F817">
        <f>セットアップレポート!E817</f>
        <v>0</v>
      </c>
      <c r="G817">
        <f>セットアップレポート!F817</f>
        <v>0</v>
      </c>
      <c r="H817">
        <f>セットアップレポート!G817</f>
        <v>0</v>
      </c>
      <c r="I817">
        <f>セットアップレポート!H817</f>
        <v>0</v>
      </c>
      <c r="J817">
        <f>セットアップレポート!I817</f>
        <v>0</v>
      </c>
      <c r="K817">
        <f>セットアップレポート!J817</f>
        <v>0</v>
      </c>
      <c r="L817">
        <f>セットアップレポート!K817</f>
        <v>0</v>
      </c>
      <c r="M817">
        <f>セットアップレポート!L817</f>
        <v>0</v>
      </c>
      <c r="N817">
        <f>セットアップレポート!M817</f>
        <v>0</v>
      </c>
      <c r="O817">
        <f>セットアップレポート!N817</f>
        <v>0</v>
      </c>
      <c r="P817">
        <f>セットアップレポート!O817</f>
        <v>0</v>
      </c>
      <c r="Q817">
        <f>セットアップレポート!P817</f>
        <v>0</v>
      </c>
      <c r="R817">
        <f>セットアップレポート!Q817</f>
        <v>0</v>
      </c>
      <c r="S817">
        <f>セットアップレポート!R817</f>
        <v>0</v>
      </c>
      <c r="T817">
        <f>セットアップレポート!S817</f>
        <v>0</v>
      </c>
      <c r="U817">
        <f>セットアップレポート!T817</f>
        <v>0</v>
      </c>
      <c r="V817">
        <f>セットアップレポート!U817</f>
        <v>0</v>
      </c>
      <c r="W817">
        <f>セットアップレポート!V817</f>
        <v>0</v>
      </c>
      <c r="X817">
        <f>セットアップレポート!W817</f>
        <v>0</v>
      </c>
      <c r="Y817">
        <f>セットアップレポート!X817</f>
        <v>0</v>
      </c>
      <c r="Z817">
        <f>セットアップレポート!Y817</f>
        <v>0</v>
      </c>
      <c r="AA817">
        <f>セットアップレポート!Z817</f>
        <v>0</v>
      </c>
      <c r="AB817">
        <f>セットアップレポート!AA817</f>
        <v>0</v>
      </c>
      <c r="AC817">
        <f>セットアップレポート!AB817</f>
        <v>0</v>
      </c>
      <c r="AD817">
        <f>セットアップレポート!AC817</f>
        <v>0</v>
      </c>
      <c r="AE817">
        <f>セットアップレポート!AD817</f>
        <v>0</v>
      </c>
      <c r="AF817">
        <f>セットアップレポート!AE817</f>
        <v>0</v>
      </c>
      <c r="AG817">
        <f>セットアップレポート!AF817</f>
        <v>0</v>
      </c>
      <c r="AH817">
        <f>セットアップレポート!AG817</f>
        <v>0</v>
      </c>
    </row>
    <row r="818" spans="1:34" x14ac:dyDescent="0.45">
      <c r="A818" t="str">
        <f t="shared" si="12"/>
        <v>000</v>
      </c>
      <c r="B818">
        <f>セットアップレポート!A818</f>
        <v>0</v>
      </c>
      <c r="C818">
        <f>セットアップレポート!B818</f>
        <v>0</v>
      </c>
      <c r="D818">
        <f>セットアップレポート!C818</f>
        <v>0</v>
      </c>
      <c r="E818">
        <f>セットアップレポート!D818</f>
        <v>0</v>
      </c>
      <c r="F818">
        <f>セットアップレポート!E818</f>
        <v>0</v>
      </c>
      <c r="G818">
        <f>セットアップレポート!F818</f>
        <v>0</v>
      </c>
      <c r="H818">
        <f>セットアップレポート!G818</f>
        <v>0</v>
      </c>
      <c r="I818">
        <f>セットアップレポート!H818</f>
        <v>0</v>
      </c>
      <c r="J818">
        <f>セットアップレポート!I818</f>
        <v>0</v>
      </c>
      <c r="K818">
        <f>セットアップレポート!J818</f>
        <v>0</v>
      </c>
      <c r="L818">
        <f>セットアップレポート!K818</f>
        <v>0</v>
      </c>
      <c r="M818">
        <f>セットアップレポート!L818</f>
        <v>0</v>
      </c>
      <c r="N818">
        <f>セットアップレポート!M818</f>
        <v>0</v>
      </c>
      <c r="O818">
        <f>セットアップレポート!N818</f>
        <v>0</v>
      </c>
      <c r="P818">
        <f>セットアップレポート!O818</f>
        <v>0</v>
      </c>
      <c r="Q818">
        <f>セットアップレポート!P818</f>
        <v>0</v>
      </c>
      <c r="R818">
        <f>セットアップレポート!Q818</f>
        <v>0</v>
      </c>
      <c r="S818">
        <f>セットアップレポート!R818</f>
        <v>0</v>
      </c>
      <c r="T818">
        <f>セットアップレポート!S818</f>
        <v>0</v>
      </c>
      <c r="U818">
        <f>セットアップレポート!T818</f>
        <v>0</v>
      </c>
      <c r="V818">
        <f>セットアップレポート!U818</f>
        <v>0</v>
      </c>
      <c r="W818">
        <f>セットアップレポート!V818</f>
        <v>0</v>
      </c>
      <c r="X818">
        <f>セットアップレポート!W818</f>
        <v>0</v>
      </c>
      <c r="Y818">
        <f>セットアップレポート!X818</f>
        <v>0</v>
      </c>
      <c r="Z818">
        <f>セットアップレポート!Y818</f>
        <v>0</v>
      </c>
      <c r="AA818">
        <f>セットアップレポート!Z818</f>
        <v>0</v>
      </c>
      <c r="AB818">
        <f>セットアップレポート!AA818</f>
        <v>0</v>
      </c>
      <c r="AC818">
        <f>セットアップレポート!AB818</f>
        <v>0</v>
      </c>
      <c r="AD818">
        <f>セットアップレポート!AC818</f>
        <v>0</v>
      </c>
      <c r="AE818">
        <f>セットアップレポート!AD818</f>
        <v>0</v>
      </c>
      <c r="AF818">
        <f>セットアップレポート!AE818</f>
        <v>0</v>
      </c>
      <c r="AG818">
        <f>セットアップレポート!AF818</f>
        <v>0</v>
      </c>
      <c r="AH818">
        <f>セットアップレポート!AG818</f>
        <v>0</v>
      </c>
    </row>
    <row r="819" spans="1:34" x14ac:dyDescent="0.45">
      <c r="A819" t="str">
        <f t="shared" si="12"/>
        <v>000</v>
      </c>
      <c r="B819">
        <f>セットアップレポート!A819</f>
        <v>0</v>
      </c>
      <c r="C819">
        <f>セットアップレポート!B819</f>
        <v>0</v>
      </c>
      <c r="D819">
        <f>セットアップレポート!C819</f>
        <v>0</v>
      </c>
      <c r="E819">
        <f>セットアップレポート!D819</f>
        <v>0</v>
      </c>
      <c r="F819">
        <f>セットアップレポート!E819</f>
        <v>0</v>
      </c>
      <c r="G819">
        <f>セットアップレポート!F819</f>
        <v>0</v>
      </c>
      <c r="H819">
        <f>セットアップレポート!G819</f>
        <v>0</v>
      </c>
      <c r="I819">
        <f>セットアップレポート!H819</f>
        <v>0</v>
      </c>
      <c r="J819">
        <f>セットアップレポート!I819</f>
        <v>0</v>
      </c>
      <c r="K819">
        <f>セットアップレポート!J819</f>
        <v>0</v>
      </c>
      <c r="L819">
        <f>セットアップレポート!K819</f>
        <v>0</v>
      </c>
      <c r="M819">
        <f>セットアップレポート!L819</f>
        <v>0</v>
      </c>
      <c r="N819">
        <f>セットアップレポート!M819</f>
        <v>0</v>
      </c>
      <c r="O819">
        <f>セットアップレポート!N819</f>
        <v>0</v>
      </c>
      <c r="P819">
        <f>セットアップレポート!O819</f>
        <v>0</v>
      </c>
      <c r="Q819">
        <f>セットアップレポート!P819</f>
        <v>0</v>
      </c>
      <c r="R819">
        <f>セットアップレポート!Q819</f>
        <v>0</v>
      </c>
      <c r="S819">
        <f>セットアップレポート!R819</f>
        <v>0</v>
      </c>
      <c r="T819">
        <f>セットアップレポート!S819</f>
        <v>0</v>
      </c>
      <c r="U819">
        <f>セットアップレポート!T819</f>
        <v>0</v>
      </c>
      <c r="V819">
        <f>セットアップレポート!U819</f>
        <v>0</v>
      </c>
      <c r="W819">
        <f>セットアップレポート!V819</f>
        <v>0</v>
      </c>
      <c r="X819">
        <f>セットアップレポート!W819</f>
        <v>0</v>
      </c>
      <c r="Y819">
        <f>セットアップレポート!X819</f>
        <v>0</v>
      </c>
      <c r="Z819">
        <f>セットアップレポート!Y819</f>
        <v>0</v>
      </c>
      <c r="AA819">
        <f>セットアップレポート!Z819</f>
        <v>0</v>
      </c>
      <c r="AB819">
        <f>セットアップレポート!AA819</f>
        <v>0</v>
      </c>
      <c r="AC819">
        <f>セットアップレポート!AB819</f>
        <v>0</v>
      </c>
      <c r="AD819">
        <f>セットアップレポート!AC819</f>
        <v>0</v>
      </c>
      <c r="AE819">
        <f>セットアップレポート!AD819</f>
        <v>0</v>
      </c>
      <c r="AF819">
        <f>セットアップレポート!AE819</f>
        <v>0</v>
      </c>
      <c r="AG819">
        <f>セットアップレポート!AF819</f>
        <v>0</v>
      </c>
      <c r="AH819">
        <f>セットアップレポート!AG819</f>
        <v>0</v>
      </c>
    </row>
    <row r="820" spans="1:34" x14ac:dyDescent="0.45">
      <c r="A820" t="str">
        <f t="shared" si="12"/>
        <v>000</v>
      </c>
      <c r="B820">
        <f>セットアップレポート!A820</f>
        <v>0</v>
      </c>
      <c r="C820">
        <f>セットアップレポート!B820</f>
        <v>0</v>
      </c>
      <c r="D820">
        <f>セットアップレポート!C820</f>
        <v>0</v>
      </c>
      <c r="E820">
        <f>セットアップレポート!D820</f>
        <v>0</v>
      </c>
      <c r="F820">
        <f>セットアップレポート!E820</f>
        <v>0</v>
      </c>
      <c r="G820">
        <f>セットアップレポート!F820</f>
        <v>0</v>
      </c>
      <c r="H820">
        <f>セットアップレポート!G820</f>
        <v>0</v>
      </c>
      <c r="I820">
        <f>セットアップレポート!H820</f>
        <v>0</v>
      </c>
      <c r="J820">
        <f>セットアップレポート!I820</f>
        <v>0</v>
      </c>
      <c r="K820">
        <f>セットアップレポート!J820</f>
        <v>0</v>
      </c>
      <c r="L820">
        <f>セットアップレポート!K820</f>
        <v>0</v>
      </c>
      <c r="M820">
        <f>セットアップレポート!L820</f>
        <v>0</v>
      </c>
      <c r="N820">
        <f>セットアップレポート!M820</f>
        <v>0</v>
      </c>
      <c r="O820">
        <f>セットアップレポート!N820</f>
        <v>0</v>
      </c>
      <c r="P820">
        <f>セットアップレポート!O820</f>
        <v>0</v>
      </c>
      <c r="Q820">
        <f>セットアップレポート!P820</f>
        <v>0</v>
      </c>
      <c r="R820">
        <f>セットアップレポート!Q820</f>
        <v>0</v>
      </c>
      <c r="S820">
        <f>セットアップレポート!R820</f>
        <v>0</v>
      </c>
      <c r="T820">
        <f>セットアップレポート!S820</f>
        <v>0</v>
      </c>
      <c r="U820">
        <f>セットアップレポート!T820</f>
        <v>0</v>
      </c>
      <c r="V820">
        <f>セットアップレポート!U820</f>
        <v>0</v>
      </c>
      <c r="W820">
        <f>セットアップレポート!V820</f>
        <v>0</v>
      </c>
      <c r="X820">
        <f>セットアップレポート!W820</f>
        <v>0</v>
      </c>
      <c r="Y820">
        <f>セットアップレポート!X820</f>
        <v>0</v>
      </c>
      <c r="Z820">
        <f>セットアップレポート!Y820</f>
        <v>0</v>
      </c>
      <c r="AA820">
        <f>セットアップレポート!Z820</f>
        <v>0</v>
      </c>
      <c r="AB820">
        <f>セットアップレポート!AA820</f>
        <v>0</v>
      </c>
      <c r="AC820">
        <f>セットアップレポート!AB820</f>
        <v>0</v>
      </c>
      <c r="AD820">
        <f>セットアップレポート!AC820</f>
        <v>0</v>
      </c>
      <c r="AE820">
        <f>セットアップレポート!AD820</f>
        <v>0</v>
      </c>
      <c r="AF820">
        <f>セットアップレポート!AE820</f>
        <v>0</v>
      </c>
      <c r="AG820">
        <f>セットアップレポート!AF820</f>
        <v>0</v>
      </c>
      <c r="AH820">
        <f>セットアップレポート!AG820</f>
        <v>0</v>
      </c>
    </row>
    <row r="821" spans="1:34" x14ac:dyDescent="0.45">
      <c r="A821" t="str">
        <f t="shared" si="12"/>
        <v>000</v>
      </c>
      <c r="B821">
        <f>セットアップレポート!A821</f>
        <v>0</v>
      </c>
      <c r="C821">
        <f>セットアップレポート!B821</f>
        <v>0</v>
      </c>
      <c r="D821">
        <f>セットアップレポート!C821</f>
        <v>0</v>
      </c>
      <c r="E821">
        <f>セットアップレポート!D821</f>
        <v>0</v>
      </c>
      <c r="F821">
        <f>セットアップレポート!E821</f>
        <v>0</v>
      </c>
      <c r="G821">
        <f>セットアップレポート!F821</f>
        <v>0</v>
      </c>
      <c r="H821">
        <f>セットアップレポート!G821</f>
        <v>0</v>
      </c>
      <c r="I821">
        <f>セットアップレポート!H821</f>
        <v>0</v>
      </c>
      <c r="J821">
        <f>セットアップレポート!I821</f>
        <v>0</v>
      </c>
      <c r="K821">
        <f>セットアップレポート!J821</f>
        <v>0</v>
      </c>
      <c r="L821">
        <f>セットアップレポート!K821</f>
        <v>0</v>
      </c>
      <c r="M821">
        <f>セットアップレポート!L821</f>
        <v>0</v>
      </c>
      <c r="N821">
        <f>セットアップレポート!M821</f>
        <v>0</v>
      </c>
      <c r="O821">
        <f>セットアップレポート!N821</f>
        <v>0</v>
      </c>
      <c r="P821">
        <f>セットアップレポート!O821</f>
        <v>0</v>
      </c>
      <c r="Q821">
        <f>セットアップレポート!P821</f>
        <v>0</v>
      </c>
      <c r="R821">
        <f>セットアップレポート!Q821</f>
        <v>0</v>
      </c>
      <c r="S821">
        <f>セットアップレポート!R821</f>
        <v>0</v>
      </c>
      <c r="T821">
        <f>セットアップレポート!S821</f>
        <v>0</v>
      </c>
      <c r="U821">
        <f>セットアップレポート!T821</f>
        <v>0</v>
      </c>
      <c r="V821">
        <f>セットアップレポート!U821</f>
        <v>0</v>
      </c>
      <c r="W821">
        <f>セットアップレポート!V821</f>
        <v>0</v>
      </c>
      <c r="X821">
        <f>セットアップレポート!W821</f>
        <v>0</v>
      </c>
      <c r="Y821">
        <f>セットアップレポート!X821</f>
        <v>0</v>
      </c>
      <c r="Z821">
        <f>セットアップレポート!Y821</f>
        <v>0</v>
      </c>
      <c r="AA821">
        <f>セットアップレポート!Z821</f>
        <v>0</v>
      </c>
      <c r="AB821">
        <f>セットアップレポート!AA821</f>
        <v>0</v>
      </c>
      <c r="AC821">
        <f>セットアップレポート!AB821</f>
        <v>0</v>
      </c>
      <c r="AD821">
        <f>セットアップレポート!AC821</f>
        <v>0</v>
      </c>
      <c r="AE821">
        <f>セットアップレポート!AD821</f>
        <v>0</v>
      </c>
      <c r="AF821">
        <f>セットアップレポート!AE821</f>
        <v>0</v>
      </c>
      <c r="AG821">
        <f>セットアップレポート!AF821</f>
        <v>0</v>
      </c>
      <c r="AH821">
        <f>セットアップレポート!AG821</f>
        <v>0</v>
      </c>
    </row>
    <row r="822" spans="1:34" x14ac:dyDescent="0.45">
      <c r="A822" t="str">
        <f t="shared" si="12"/>
        <v>000</v>
      </c>
      <c r="B822">
        <f>セットアップレポート!A822</f>
        <v>0</v>
      </c>
      <c r="C822">
        <f>セットアップレポート!B822</f>
        <v>0</v>
      </c>
      <c r="D822">
        <f>セットアップレポート!C822</f>
        <v>0</v>
      </c>
      <c r="E822">
        <f>セットアップレポート!D822</f>
        <v>0</v>
      </c>
      <c r="F822">
        <f>セットアップレポート!E822</f>
        <v>0</v>
      </c>
      <c r="G822">
        <f>セットアップレポート!F822</f>
        <v>0</v>
      </c>
      <c r="H822">
        <f>セットアップレポート!G822</f>
        <v>0</v>
      </c>
      <c r="I822">
        <f>セットアップレポート!H822</f>
        <v>0</v>
      </c>
      <c r="J822">
        <f>セットアップレポート!I822</f>
        <v>0</v>
      </c>
      <c r="K822">
        <f>セットアップレポート!J822</f>
        <v>0</v>
      </c>
      <c r="L822">
        <f>セットアップレポート!K822</f>
        <v>0</v>
      </c>
      <c r="M822">
        <f>セットアップレポート!L822</f>
        <v>0</v>
      </c>
      <c r="N822">
        <f>セットアップレポート!M822</f>
        <v>0</v>
      </c>
      <c r="O822">
        <f>セットアップレポート!N822</f>
        <v>0</v>
      </c>
      <c r="P822">
        <f>セットアップレポート!O822</f>
        <v>0</v>
      </c>
      <c r="Q822">
        <f>セットアップレポート!P822</f>
        <v>0</v>
      </c>
      <c r="R822">
        <f>セットアップレポート!Q822</f>
        <v>0</v>
      </c>
      <c r="S822">
        <f>セットアップレポート!R822</f>
        <v>0</v>
      </c>
      <c r="T822">
        <f>セットアップレポート!S822</f>
        <v>0</v>
      </c>
      <c r="U822">
        <f>セットアップレポート!T822</f>
        <v>0</v>
      </c>
      <c r="V822">
        <f>セットアップレポート!U822</f>
        <v>0</v>
      </c>
      <c r="W822">
        <f>セットアップレポート!V822</f>
        <v>0</v>
      </c>
      <c r="X822">
        <f>セットアップレポート!W822</f>
        <v>0</v>
      </c>
      <c r="Y822">
        <f>セットアップレポート!X822</f>
        <v>0</v>
      </c>
      <c r="Z822">
        <f>セットアップレポート!Y822</f>
        <v>0</v>
      </c>
      <c r="AA822">
        <f>セットアップレポート!Z822</f>
        <v>0</v>
      </c>
      <c r="AB822">
        <f>セットアップレポート!AA822</f>
        <v>0</v>
      </c>
      <c r="AC822">
        <f>セットアップレポート!AB822</f>
        <v>0</v>
      </c>
      <c r="AD822">
        <f>セットアップレポート!AC822</f>
        <v>0</v>
      </c>
      <c r="AE822">
        <f>セットアップレポート!AD822</f>
        <v>0</v>
      </c>
      <c r="AF822">
        <f>セットアップレポート!AE822</f>
        <v>0</v>
      </c>
      <c r="AG822">
        <f>セットアップレポート!AF822</f>
        <v>0</v>
      </c>
      <c r="AH822">
        <f>セットアップレポート!AG822</f>
        <v>0</v>
      </c>
    </row>
    <row r="823" spans="1:34" x14ac:dyDescent="0.45">
      <c r="A823" t="str">
        <f t="shared" si="12"/>
        <v>000</v>
      </c>
      <c r="B823">
        <f>セットアップレポート!A823</f>
        <v>0</v>
      </c>
      <c r="C823">
        <f>セットアップレポート!B823</f>
        <v>0</v>
      </c>
      <c r="D823">
        <f>セットアップレポート!C823</f>
        <v>0</v>
      </c>
      <c r="E823">
        <f>セットアップレポート!D823</f>
        <v>0</v>
      </c>
      <c r="F823">
        <f>セットアップレポート!E823</f>
        <v>0</v>
      </c>
      <c r="G823">
        <f>セットアップレポート!F823</f>
        <v>0</v>
      </c>
      <c r="H823">
        <f>セットアップレポート!G823</f>
        <v>0</v>
      </c>
      <c r="I823">
        <f>セットアップレポート!H823</f>
        <v>0</v>
      </c>
      <c r="J823">
        <f>セットアップレポート!I823</f>
        <v>0</v>
      </c>
      <c r="K823">
        <f>セットアップレポート!J823</f>
        <v>0</v>
      </c>
      <c r="L823">
        <f>セットアップレポート!K823</f>
        <v>0</v>
      </c>
      <c r="M823">
        <f>セットアップレポート!L823</f>
        <v>0</v>
      </c>
      <c r="N823">
        <f>セットアップレポート!M823</f>
        <v>0</v>
      </c>
      <c r="O823">
        <f>セットアップレポート!N823</f>
        <v>0</v>
      </c>
      <c r="P823">
        <f>セットアップレポート!O823</f>
        <v>0</v>
      </c>
      <c r="Q823">
        <f>セットアップレポート!P823</f>
        <v>0</v>
      </c>
      <c r="R823">
        <f>セットアップレポート!Q823</f>
        <v>0</v>
      </c>
      <c r="S823">
        <f>セットアップレポート!R823</f>
        <v>0</v>
      </c>
      <c r="T823">
        <f>セットアップレポート!S823</f>
        <v>0</v>
      </c>
      <c r="U823">
        <f>セットアップレポート!T823</f>
        <v>0</v>
      </c>
      <c r="V823">
        <f>セットアップレポート!U823</f>
        <v>0</v>
      </c>
      <c r="W823">
        <f>セットアップレポート!V823</f>
        <v>0</v>
      </c>
      <c r="X823">
        <f>セットアップレポート!W823</f>
        <v>0</v>
      </c>
      <c r="Y823">
        <f>セットアップレポート!X823</f>
        <v>0</v>
      </c>
      <c r="Z823">
        <f>セットアップレポート!Y823</f>
        <v>0</v>
      </c>
      <c r="AA823">
        <f>セットアップレポート!Z823</f>
        <v>0</v>
      </c>
      <c r="AB823">
        <f>セットアップレポート!AA823</f>
        <v>0</v>
      </c>
      <c r="AC823">
        <f>セットアップレポート!AB823</f>
        <v>0</v>
      </c>
      <c r="AD823">
        <f>セットアップレポート!AC823</f>
        <v>0</v>
      </c>
      <c r="AE823">
        <f>セットアップレポート!AD823</f>
        <v>0</v>
      </c>
      <c r="AF823">
        <f>セットアップレポート!AE823</f>
        <v>0</v>
      </c>
      <c r="AG823">
        <f>セットアップレポート!AF823</f>
        <v>0</v>
      </c>
      <c r="AH823">
        <f>セットアップレポート!AG823</f>
        <v>0</v>
      </c>
    </row>
    <row r="824" spans="1:34" x14ac:dyDescent="0.45">
      <c r="A824" t="str">
        <f t="shared" si="12"/>
        <v>000</v>
      </c>
      <c r="B824">
        <f>セットアップレポート!A824</f>
        <v>0</v>
      </c>
      <c r="C824">
        <f>セットアップレポート!B824</f>
        <v>0</v>
      </c>
      <c r="D824">
        <f>セットアップレポート!C824</f>
        <v>0</v>
      </c>
      <c r="E824">
        <f>セットアップレポート!D824</f>
        <v>0</v>
      </c>
      <c r="F824">
        <f>セットアップレポート!E824</f>
        <v>0</v>
      </c>
      <c r="G824">
        <f>セットアップレポート!F824</f>
        <v>0</v>
      </c>
      <c r="H824">
        <f>セットアップレポート!G824</f>
        <v>0</v>
      </c>
      <c r="I824">
        <f>セットアップレポート!H824</f>
        <v>0</v>
      </c>
      <c r="J824">
        <f>セットアップレポート!I824</f>
        <v>0</v>
      </c>
      <c r="K824">
        <f>セットアップレポート!J824</f>
        <v>0</v>
      </c>
      <c r="L824">
        <f>セットアップレポート!K824</f>
        <v>0</v>
      </c>
      <c r="M824">
        <f>セットアップレポート!L824</f>
        <v>0</v>
      </c>
      <c r="N824">
        <f>セットアップレポート!M824</f>
        <v>0</v>
      </c>
      <c r="O824">
        <f>セットアップレポート!N824</f>
        <v>0</v>
      </c>
      <c r="P824">
        <f>セットアップレポート!O824</f>
        <v>0</v>
      </c>
      <c r="Q824">
        <f>セットアップレポート!P824</f>
        <v>0</v>
      </c>
      <c r="R824">
        <f>セットアップレポート!Q824</f>
        <v>0</v>
      </c>
      <c r="S824">
        <f>セットアップレポート!R824</f>
        <v>0</v>
      </c>
      <c r="T824">
        <f>セットアップレポート!S824</f>
        <v>0</v>
      </c>
      <c r="U824">
        <f>セットアップレポート!T824</f>
        <v>0</v>
      </c>
      <c r="V824">
        <f>セットアップレポート!U824</f>
        <v>0</v>
      </c>
      <c r="W824">
        <f>セットアップレポート!V824</f>
        <v>0</v>
      </c>
      <c r="X824">
        <f>セットアップレポート!W824</f>
        <v>0</v>
      </c>
      <c r="Y824">
        <f>セットアップレポート!X824</f>
        <v>0</v>
      </c>
      <c r="Z824">
        <f>セットアップレポート!Y824</f>
        <v>0</v>
      </c>
      <c r="AA824">
        <f>セットアップレポート!Z824</f>
        <v>0</v>
      </c>
      <c r="AB824">
        <f>セットアップレポート!AA824</f>
        <v>0</v>
      </c>
      <c r="AC824">
        <f>セットアップレポート!AB824</f>
        <v>0</v>
      </c>
      <c r="AD824">
        <f>セットアップレポート!AC824</f>
        <v>0</v>
      </c>
      <c r="AE824">
        <f>セットアップレポート!AD824</f>
        <v>0</v>
      </c>
      <c r="AF824">
        <f>セットアップレポート!AE824</f>
        <v>0</v>
      </c>
      <c r="AG824">
        <f>セットアップレポート!AF824</f>
        <v>0</v>
      </c>
      <c r="AH824">
        <f>セットアップレポート!AG824</f>
        <v>0</v>
      </c>
    </row>
    <row r="825" spans="1:34" x14ac:dyDescent="0.45">
      <c r="A825" t="str">
        <f t="shared" si="12"/>
        <v>000</v>
      </c>
      <c r="B825">
        <f>セットアップレポート!A825</f>
        <v>0</v>
      </c>
      <c r="C825">
        <f>セットアップレポート!B825</f>
        <v>0</v>
      </c>
      <c r="D825">
        <f>セットアップレポート!C825</f>
        <v>0</v>
      </c>
      <c r="E825">
        <f>セットアップレポート!D825</f>
        <v>0</v>
      </c>
      <c r="F825">
        <f>セットアップレポート!E825</f>
        <v>0</v>
      </c>
      <c r="G825">
        <f>セットアップレポート!F825</f>
        <v>0</v>
      </c>
      <c r="H825">
        <f>セットアップレポート!G825</f>
        <v>0</v>
      </c>
      <c r="I825">
        <f>セットアップレポート!H825</f>
        <v>0</v>
      </c>
      <c r="J825">
        <f>セットアップレポート!I825</f>
        <v>0</v>
      </c>
      <c r="K825">
        <f>セットアップレポート!J825</f>
        <v>0</v>
      </c>
      <c r="L825">
        <f>セットアップレポート!K825</f>
        <v>0</v>
      </c>
      <c r="M825">
        <f>セットアップレポート!L825</f>
        <v>0</v>
      </c>
      <c r="N825">
        <f>セットアップレポート!M825</f>
        <v>0</v>
      </c>
      <c r="O825">
        <f>セットアップレポート!N825</f>
        <v>0</v>
      </c>
      <c r="P825">
        <f>セットアップレポート!O825</f>
        <v>0</v>
      </c>
      <c r="Q825">
        <f>セットアップレポート!P825</f>
        <v>0</v>
      </c>
      <c r="R825">
        <f>セットアップレポート!Q825</f>
        <v>0</v>
      </c>
      <c r="S825">
        <f>セットアップレポート!R825</f>
        <v>0</v>
      </c>
      <c r="T825">
        <f>セットアップレポート!S825</f>
        <v>0</v>
      </c>
      <c r="U825">
        <f>セットアップレポート!T825</f>
        <v>0</v>
      </c>
      <c r="V825">
        <f>セットアップレポート!U825</f>
        <v>0</v>
      </c>
      <c r="W825">
        <f>セットアップレポート!V825</f>
        <v>0</v>
      </c>
      <c r="X825">
        <f>セットアップレポート!W825</f>
        <v>0</v>
      </c>
      <c r="Y825">
        <f>セットアップレポート!X825</f>
        <v>0</v>
      </c>
      <c r="Z825">
        <f>セットアップレポート!Y825</f>
        <v>0</v>
      </c>
      <c r="AA825">
        <f>セットアップレポート!Z825</f>
        <v>0</v>
      </c>
      <c r="AB825">
        <f>セットアップレポート!AA825</f>
        <v>0</v>
      </c>
      <c r="AC825">
        <f>セットアップレポート!AB825</f>
        <v>0</v>
      </c>
      <c r="AD825">
        <f>セットアップレポート!AC825</f>
        <v>0</v>
      </c>
      <c r="AE825">
        <f>セットアップレポート!AD825</f>
        <v>0</v>
      </c>
      <c r="AF825">
        <f>セットアップレポート!AE825</f>
        <v>0</v>
      </c>
      <c r="AG825">
        <f>セットアップレポート!AF825</f>
        <v>0</v>
      </c>
      <c r="AH825">
        <f>セットアップレポート!AG825</f>
        <v>0</v>
      </c>
    </row>
    <row r="826" spans="1:34" x14ac:dyDescent="0.45">
      <c r="A826" t="str">
        <f t="shared" si="12"/>
        <v>000</v>
      </c>
      <c r="B826">
        <f>セットアップレポート!A826</f>
        <v>0</v>
      </c>
      <c r="C826">
        <f>セットアップレポート!B826</f>
        <v>0</v>
      </c>
      <c r="D826">
        <f>セットアップレポート!C826</f>
        <v>0</v>
      </c>
      <c r="E826">
        <f>セットアップレポート!D826</f>
        <v>0</v>
      </c>
      <c r="F826">
        <f>セットアップレポート!E826</f>
        <v>0</v>
      </c>
      <c r="G826">
        <f>セットアップレポート!F826</f>
        <v>0</v>
      </c>
      <c r="H826">
        <f>セットアップレポート!G826</f>
        <v>0</v>
      </c>
      <c r="I826">
        <f>セットアップレポート!H826</f>
        <v>0</v>
      </c>
      <c r="J826">
        <f>セットアップレポート!I826</f>
        <v>0</v>
      </c>
      <c r="K826">
        <f>セットアップレポート!J826</f>
        <v>0</v>
      </c>
      <c r="L826">
        <f>セットアップレポート!K826</f>
        <v>0</v>
      </c>
      <c r="M826">
        <f>セットアップレポート!L826</f>
        <v>0</v>
      </c>
      <c r="N826">
        <f>セットアップレポート!M826</f>
        <v>0</v>
      </c>
      <c r="O826">
        <f>セットアップレポート!N826</f>
        <v>0</v>
      </c>
      <c r="P826">
        <f>セットアップレポート!O826</f>
        <v>0</v>
      </c>
      <c r="Q826">
        <f>セットアップレポート!P826</f>
        <v>0</v>
      </c>
      <c r="R826">
        <f>セットアップレポート!Q826</f>
        <v>0</v>
      </c>
      <c r="S826">
        <f>セットアップレポート!R826</f>
        <v>0</v>
      </c>
      <c r="T826">
        <f>セットアップレポート!S826</f>
        <v>0</v>
      </c>
      <c r="U826">
        <f>セットアップレポート!T826</f>
        <v>0</v>
      </c>
      <c r="V826">
        <f>セットアップレポート!U826</f>
        <v>0</v>
      </c>
      <c r="W826">
        <f>セットアップレポート!V826</f>
        <v>0</v>
      </c>
      <c r="X826">
        <f>セットアップレポート!W826</f>
        <v>0</v>
      </c>
      <c r="Y826">
        <f>セットアップレポート!X826</f>
        <v>0</v>
      </c>
      <c r="Z826">
        <f>セットアップレポート!Y826</f>
        <v>0</v>
      </c>
      <c r="AA826">
        <f>セットアップレポート!Z826</f>
        <v>0</v>
      </c>
      <c r="AB826">
        <f>セットアップレポート!AA826</f>
        <v>0</v>
      </c>
      <c r="AC826">
        <f>セットアップレポート!AB826</f>
        <v>0</v>
      </c>
      <c r="AD826">
        <f>セットアップレポート!AC826</f>
        <v>0</v>
      </c>
      <c r="AE826">
        <f>セットアップレポート!AD826</f>
        <v>0</v>
      </c>
      <c r="AF826">
        <f>セットアップレポート!AE826</f>
        <v>0</v>
      </c>
      <c r="AG826">
        <f>セットアップレポート!AF826</f>
        <v>0</v>
      </c>
      <c r="AH826">
        <f>セットアップレポート!AG826</f>
        <v>0</v>
      </c>
    </row>
    <row r="827" spans="1:34" x14ac:dyDescent="0.45">
      <c r="A827" t="str">
        <f t="shared" si="12"/>
        <v>000</v>
      </c>
      <c r="B827">
        <f>セットアップレポート!A827</f>
        <v>0</v>
      </c>
      <c r="C827">
        <f>セットアップレポート!B827</f>
        <v>0</v>
      </c>
      <c r="D827">
        <f>セットアップレポート!C827</f>
        <v>0</v>
      </c>
      <c r="E827">
        <f>セットアップレポート!D827</f>
        <v>0</v>
      </c>
      <c r="F827">
        <f>セットアップレポート!E827</f>
        <v>0</v>
      </c>
      <c r="G827">
        <f>セットアップレポート!F827</f>
        <v>0</v>
      </c>
      <c r="H827">
        <f>セットアップレポート!G827</f>
        <v>0</v>
      </c>
      <c r="I827">
        <f>セットアップレポート!H827</f>
        <v>0</v>
      </c>
      <c r="J827">
        <f>セットアップレポート!I827</f>
        <v>0</v>
      </c>
      <c r="K827">
        <f>セットアップレポート!J827</f>
        <v>0</v>
      </c>
      <c r="L827">
        <f>セットアップレポート!K827</f>
        <v>0</v>
      </c>
      <c r="M827">
        <f>セットアップレポート!L827</f>
        <v>0</v>
      </c>
      <c r="N827">
        <f>セットアップレポート!M827</f>
        <v>0</v>
      </c>
      <c r="O827">
        <f>セットアップレポート!N827</f>
        <v>0</v>
      </c>
      <c r="P827">
        <f>セットアップレポート!O827</f>
        <v>0</v>
      </c>
      <c r="Q827">
        <f>セットアップレポート!P827</f>
        <v>0</v>
      </c>
      <c r="R827">
        <f>セットアップレポート!Q827</f>
        <v>0</v>
      </c>
      <c r="S827">
        <f>セットアップレポート!R827</f>
        <v>0</v>
      </c>
      <c r="T827">
        <f>セットアップレポート!S827</f>
        <v>0</v>
      </c>
      <c r="U827">
        <f>セットアップレポート!T827</f>
        <v>0</v>
      </c>
      <c r="V827">
        <f>セットアップレポート!U827</f>
        <v>0</v>
      </c>
      <c r="W827">
        <f>セットアップレポート!V827</f>
        <v>0</v>
      </c>
      <c r="X827">
        <f>セットアップレポート!W827</f>
        <v>0</v>
      </c>
      <c r="Y827">
        <f>セットアップレポート!X827</f>
        <v>0</v>
      </c>
      <c r="Z827">
        <f>セットアップレポート!Y827</f>
        <v>0</v>
      </c>
      <c r="AA827">
        <f>セットアップレポート!Z827</f>
        <v>0</v>
      </c>
      <c r="AB827">
        <f>セットアップレポート!AA827</f>
        <v>0</v>
      </c>
      <c r="AC827">
        <f>セットアップレポート!AB827</f>
        <v>0</v>
      </c>
      <c r="AD827">
        <f>セットアップレポート!AC827</f>
        <v>0</v>
      </c>
      <c r="AE827">
        <f>セットアップレポート!AD827</f>
        <v>0</v>
      </c>
      <c r="AF827">
        <f>セットアップレポート!AE827</f>
        <v>0</v>
      </c>
      <c r="AG827">
        <f>セットアップレポート!AF827</f>
        <v>0</v>
      </c>
      <c r="AH827">
        <f>セットアップレポート!AG827</f>
        <v>0</v>
      </c>
    </row>
    <row r="828" spans="1:34" x14ac:dyDescent="0.45">
      <c r="A828" t="str">
        <f t="shared" si="12"/>
        <v>000</v>
      </c>
      <c r="B828">
        <f>セットアップレポート!A828</f>
        <v>0</v>
      </c>
      <c r="C828">
        <f>セットアップレポート!B828</f>
        <v>0</v>
      </c>
      <c r="D828">
        <f>セットアップレポート!C828</f>
        <v>0</v>
      </c>
      <c r="E828">
        <f>セットアップレポート!D828</f>
        <v>0</v>
      </c>
      <c r="F828">
        <f>セットアップレポート!E828</f>
        <v>0</v>
      </c>
      <c r="G828">
        <f>セットアップレポート!F828</f>
        <v>0</v>
      </c>
      <c r="H828">
        <f>セットアップレポート!G828</f>
        <v>0</v>
      </c>
      <c r="I828">
        <f>セットアップレポート!H828</f>
        <v>0</v>
      </c>
      <c r="J828">
        <f>セットアップレポート!I828</f>
        <v>0</v>
      </c>
      <c r="K828">
        <f>セットアップレポート!J828</f>
        <v>0</v>
      </c>
      <c r="L828">
        <f>セットアップレポート!K828</f>
        <v>0</v>
      </c>
      <c r="M828">
        <f>セットアップレポート!L828</f>
        <v>0</v>
      </c>
      <c r="N828">
        <f>セットアップレポート!M828</f>
        <v>0</v>
      </c>
      <c r="O828">
        <f>セットアップレポート!N828</f>
        <v>0</v>
      </c>
      <c r="P828">
        <f>セットアップレポート!O828</f>
        <v>0</v>
      </c>
      <c r="Q828">
        <f>セットアップレポート!P828</f>
        <v>0</v>
      </c>
      <c r="R828">
        <f>セットアップレポート!Q828</f>
        <v>0</v>
      </c>
      <c r="S828">
        <f>セットアップレポート!R828</f>
        <v>0</v>
      </c>
      <c r="T828">
        <f>セットアップレポート!S828</f>
        <v>0</v>
      </c>
      <c r="U828">
        <f>セットアップレポート!T828</f>
        <v>0</v>
      </c>
      <c r="V828">
        <f>セットアップレポート!U828</f>
        <v>0</v>
      </c>
      <c r="W828">
        <f>セットアップレポート!V828</f>
        <v>0</v>
      </c>
      <c r="X828">
        <f>セットアップレポート!W828</f>
        <v>0</v>
      </c>
      <c r="Y828">
        <f>セットアップレポート!X828</f>
        <v>0</v>
      </c>
      <c r="Z828">
        <f>セットアップレポート!Y828</f>
        <v>0</v>
      </c>
      <c r="AA828">
        <f>セットアップレポート!Z828</f>
        <v>0</v>
      </c>
      <c r="AB828">
        <f>セットアップレポート!AA828</f>
        <v>0</v>
      </c>
      <c r="AC828">
        <f>セットアップレポート!AB828</f>
        <v>0</v>
      </c>
      <c r="AD828">
        <f>セットアップレポート!AC828</f>
        <v>0</v>
      </c>
      <c r="AE828">
        <f>セットアップレポート!AD828</f>
        <v>0</v>
      </c>
      <c r="AF828">
        <f>セットアップレポート!AE828</f>
        <v>0</v>
      </c>
      <c r="AG828">
        <f>セットアップレポート!AF828</f>
        <v>0</v>
      </c>
      <c r="AH828">
        <f>セットアップレポート!AG828</f>
        <v>0</v>
      </c>
    </row>
    <row r="829" spans="1:34" x14ac:dyDescent="0.45">
      <c r="A829" t="str">
        <f t="shared" si="12"/>
        <v>000</v>
      </c>
      <c r="B829">
        <f>セットアップレポート!A829</f>
        <v>0</v>
      </c>
      <c r="C829">
        <f>セットアップレポート!B829</f>
        <v>0</v>
      </c>
      <c r="D829">
        <f>セットアップレポート!C829</f>
        <v>0</v>
      </c>
      <c r="E829">
        <f>セットアップレポート!D829</f>
        <v>0</v>
      </c>
      <c r="F829">
        <f>セットアップレポート!E829</f>
        <v>0</v>
      </c>
      <c r="G829">
        <f>セットアップレポート!F829</f>
        <v>0</v>
      </c>
      <c r="H829">
        <f>セットアップレポート!G829</f>
        <v>0</v>
      </c>
      <c r="I829">
        <f>セットアップレポート!H829</f>
        <v>0</v>
      </c>
      <c r="J829">
        <f>セットアップレポート!I829</f>
        <v>0</v>
      </c>
      <c r="K829">
        <f>セットアップレポート!J829</f>
        <v>0</v>
      </c>
      <c r="L829">
        <f>セットアップレポート!K829</f>
        <v>0</v>
      </c>
      <c r="M829">
        <f>セットアップレポート!L829</f>
        <v>0</v>
      </c>
      <c r="N829">
        <f>セットアップレポート!M829</f>
        <v>0</v>
      </c>
      <c r="O829">
        <f>セットアップレポート!N829</f>
        <v>0</v>
      </c>
      <c r="P829">
        <f>セットアップレポート!O829</f>
        <v>0</v>
      </c>
      <c r="Q829">
        <f>セットアップレポート!P829</f>
        <v>0</v>
      </c>
      <c r="R829">
        <f>セットアップレポート!Q829</f>
        <v>0</v>
      </c>
      <c r="S829">
        <f>セットアップレポート!R829</f>
        <v>0</v>
      </c>
      <c r="T829">
        <f>セットアップレポート!S829</f>
        <v>0</v>
      </c>
      <c r="U829">
        <f>セットアップレポート!T829</f>
        <v>0</v>
      </c>
      <c r="V829">
        <f>セットアップレポート!U829</f>
        <v>0</v>
      </c>
      <c r="W829">
        <f>セットアップレポート!V829</f>
        <v>0</v>
      </c>
      <c r="X829">
        <f>セットアップレポート!W829</f>
        <v>0</v>
      </c>
      <c r="Y829">
        <f>セットアップレポート!X829</f>
        <v>0</v>
      </c>
      <c r="Z829">
        <f>セットアップレポート!Y829</f>
        <v>0</v>
      </c>
      <c r="AA829">
        <f>セットアップレポート!Z829</f>
        <v>0</v>
      </c>
      <c r="AB829">
        <f>セットアップレポート!AA829</f>
        <v>0</v>
      </c>
      <c r="AC829">
        <f>セットアップレポート!AB829</f>
        <v>0</v>
      </c>
      <c r="AD829">
        <f>セットアップレポート!AC829</f>
        <v>0</v>
      </c>
      <c r="AE829">
        <f>セットアップレポート!AD829</f>
        <v>0</v>
      </c>
      <c r="AF829">
        <f>セットアップレポート!AE829</f>
        <v>0</v>
      </c>
      <c r="AG829">
        <f>セットアップレポート!AF829</f>
        <v>0</v>
      </c>
      <c r="AH829">
        <f>セットアップレポート!AG829</f>
        <v>0</v>
      </c>
    </row>
    <row r="830" spans="1:34" x14ac:dyDescent="0.45">
      <c r="A830" t="str">
        <f t="shared" si="12"/>
        <v>000</v>
      </c>
      <c r="B830">
        <f>セットアップレポート!A830</f>
        <v>0</v>
      </c>
      <c r="C830">
        <f>セットアップレポート!B830</f>
        <v>0</v>
      </c>
      <c r="D830">
        <f>セットアップレポート!C830</f>
        <v>0</v>
      </c>
      <c r="E830">
        <f>セットアップレポート!D830</f>
        <v>0</v>
      </c>
      <c r="F830">
        <f>セットアップレポート!E830</f>
        <v>0</v>
      </c>
      <c r="G830">
        <f>セットアップレポート!F830</f>
        <v>0</v>
      </c>
      <c r="H830">
        <f>セットアップレポート!G830</f>
        <v>0</v>
      </c>
      <c r="I830">
        <f>セットアップレポート!H830</f>
        <v>0</v>
      </c>
      <c r="J830">
        <f>セットアップレポート!I830</f>
        <v>0</v>
      </c>
      <c r="K830">
        <f>セットアップレポート!J830</f>
        <v>0</v>
      </c>
      <c r="L830">
        <f>セットアップレポート!K830</f>
        <v>0</v>
      </c>
      <c r="M830">
        <f>セットアップレポート!L830</f>
        <v>0</v>
      </c>
      <c r="N830">
        <f>セットアップレポート!M830</f>
        <v>0</v>
      </c>
      <c r="O830">
        <f>セットアップレポート!N830</f>
        <v>0</v>
      </c>
      <c r="P830">
        <f>セットアップレポート!O830</f>
        <v>0</v>
      </c>
      <c r="Q830">
        <f>セットアップレポート!P830</f>
        <v>0</v>
      </c>
      <c r="R830">
        <f>セットアップレポート!Q830</f>
        <v>0</v>
      </c>
      <c r="S830">
        <f>セットアップレポート!R830</f>
        <v>0</v>
      </c>
      <c r="T830">
        <f>セットアップレポート!S830</f>
        <v>0</v>
      </c>
      <c r="U830">
        <f>セットアップレポート!T830</f>
        <v>0</v>
      </c>
      <c r="V830">
        <f>セットアップレポート!U830</f>
        <v>0</v>
      </c>
      <c r="W830">
        <f>セットアップレポート!V830</f>
        <v>0</v>
      </c>
      <c r="X830">
        <f>セットアップレポート!W830</f>
        <v>0</v>
      </c>
      <c r="Y830">
        <f>セットアップレポート!X830</f>
        <v>0</v>
      </c>
      <c r="Z830">
        <f>セットアップレポート!Y830</f>
        <v>0</v>
      </c>
      <c r="AA830">
        <f>セットアップレポート!Z830</f>
        <v>0</v>
      </c>
      <c r="AB830">
        <f>セットアップレポート!AA830</f>
        <v>0</v>
      </c>
      <c r="AC830">
        <f>セットアップレポート!AB830</f>
        <v>0</v>
      </c>
      <c r="AD830">
        <f>セットアップレポート!AC830</f>
        <v>0</v>
      </c>
      <c r="AE830">
        <f>セットアップレポート!AD830</f>
        <v>0</v>
      </c>
      <c r="AF830">
        <f>セットアップレポート!AE830</f>
        <v>0</v>
      </c>
      <c r="AG830">
        <f>セットアップレポート!AF830</f>
        <v>0</v>
      </c>
      <c r="AH830">
        <f>セットアップレポート!AG830</f>
        <v>0</v>
      </c>
    </row>
    <row r="831" spans="1:34" x14ac:dyDescent="0.45">
      <c r="A831" t="str">
        <f t="shared" si="12"/>
        <v>000</v>
      </c>
      <c r="B831">
        <f>セットアップレポート!A831</f>
        <v>0</v>
      </c>
      <c r="C831">
        <f>セットアップレポート!B831</f>
        <v>0</v>
      </c>
      <c r="D831">
        <f>セットアップレポート!C831</f>
        <v>0</v>
      </c>
      <c r="E831">
        <f>セットアップレポート!D831</f>
        <v>0</v>
      </c>
      <c r="F831">
        <f>セットアップレポート!E831</f>
        <v>0</v>
      </c>
      <c r="G831">
        <f>セットアップレポート!F831</f>
        <v>0</v>
      </c>
      <c r="H831">
        <f>セットアップレポート!G831</f>
        <v>0</v>
      </c>
      <c r="I831">
        <f>セットアップレポート!H831</f>
        <v>0</v>
      </c>
      <c r="J831">
        <f>セットアップレポート!I831</f>
        <v>0</v>
      </c>
      <c r="K831">
        <f>セットアップレポート!J831</f>
        <v>0</v>
      </c>
      <c r="L831">
        <f>セットアップレポート!K831</f>
        <v>0</v>
      </c>
      <c r="M831">
        <f>セットアップレポート!L831</f>
        <v>0</v>
      </c>
      <c r="N831">
        <f>セットアップレポート!M831</f>
        <v>0</v>
      </c>
      <c r="O831">
        <f>セットアップレポート!N831</f>
        <v>0</v>
      </c>
      <c r="P831">
        <f>セットアップレポート!O831</f>
        <v>0</v>
      </c>
      <c r="Q831">
        <f>セットアップレポート!P831</f>
        <v>0</v>
      </c>
      <c r="R831">
        <f>セットアップレポート!Q831</f>
        <v>0</v>
      </c>
      <c r="S831">
        <f>セットアップレポート!R831</f>
        <v>0</v>
      </c>
      <c r="T831">
        <f>セットアップレポート!S831</f>
        <v>0</v>
      </c>
      <c r="U831">
        <f>セットアップレポート!T831</f>
        <v>0</v>
      </c>
      <c r="V831">
        <f>セットアップレポート!U831</f>
        <v>0</v>
      </c>
      <c r="W831">
        <f>セットアップレポート!V831</f>
        <v>0</v>
      </c>
      <c r="X831">
        <f>セットアップレポート!W831</f>
        <v>0</v>
      </c>
      <c r="Y831">
        <f>セットアップレポート!X831</f>
        <v>0</v>
      </c>
      <c r="Z831">
        <f>セットアップレポート!Y831</f>
        <v>0</v>
      </c>
      <c r="AA831">
        <f>セットアップレポート!Z831</f>
        <v>0</v>
      </c>
      <c r="AB831">
        <f>セットアップレポート!AA831</f>
        <v>0</v>
      </c>
      <c r="AC831">
        <f>セットアップレポート!AB831</f>
        <v>0</v>
      </c>
      <c r="AD831">
        <f>セットアップレポート!AC831</f>
        <v>0</v>
      </c>
      <c r="AE831">
        <f>セットアップレポート!AD831</f>
        <v>0</v>
      </c>
      <c r="AF831">
        <f>セットアップレポート!AE831</f>
        <v>0</v>
      </c>
      <c r="AG831">
        <f>セットアップレポート!AF831</f>
        <v>0</v>
      </c>
      <c r="AH831">
        <f>セットアップレポート!AG831</f>
        <v>0</v>
      </c>
    </row>
    <row r="832" spans="1:34" x14ac:dyDescent="0.45">
      <c r="A832" t="str">
        <f t="shared" si="12"/>
        <v>000</v>
      </c>
      <c r="B832">
        <f>セットアップレポート!A832</f>
        <v>0</v>
      </c>
      <c r="C832">
        <f>セットアップレポート!B832</f>
        <v>0</v>
      </c>
      <c r="D832">
        <f>セットアップレポート!C832</f>
        <v>0</v>
      </c>
      <c r="E832">
        <f>セットアップレポート!D832</f>
        <v>0</v>
      </c>
      <c r="F832">
        <f>セットアップレポート!E832</f>
        <v>0</v>
      </c>
      <c r="G832">
        <f>セットアップレポート!F832</f>
        <v>0</v>
      </c>
      <c r="H832">
        <f>セットアップレポート!G832</f>
        <v>0</v>
      </c>
      <c r="I832">
        <f>セットアップレポート!H832</f>
        <v>0</v>
      </c>
      <c r="J832">
        <f>セットアップレポート!I832</f>
        <v>0</v>
      </c>
      <c r="K832">
        <f>セットアップレポート!J832</f>
        <v>0</v>
      </c>
      <c r="L832">
        <f>セットアップレポート!K832</f>
        <v>0</v>
      </c>
      <c r="M832">
        <f>セットアップレポート!L832</f>
        <v>0</v>
      </c>
      <c r="N832">
        <f>セットアップレポート!M832</f>
        <v>0</v>
      </c>
      <c r="O832">
        <f>セットアップレポート!N832</f>
        <v>0</v>
      </c>
      <c r="P832">
        <f>セットアップレポート!O832</f>
        <v>0</v>
      </c>
      <c r="Q832">
        <f>セットアップレポート!P832</f>
        <v>0</v>
      </c>
      <c r="R832">
        <f>セットアップレポート!Q832</f>
        <v>0</v>
      </c>
      <c r="S832">
        <f>セットアップレポート!R832</f>
        <v>0</v>
      </c>
      <c r="T832">
        <f>セットアップレポート!S832</f>
        <v>0</v>
      </c>
      <c r="U832">
        <f>セットアップレポート!T832</f>
        <v>0</v>
      </c>
      <c r="V832">
        <f>セットアップレポート!U832</f>
        <v>0</v>
      </c>
      <c r="W832">
        <f>セットアップレポート!V832</f>
        <v>0</v>
      </c>
      <c r="X832">
        <f>セットアップレポート!W832</f>
        <v>0</v>
      </c>
      <c r="Y832">
        <f>セットアップレポート!X832</f>
        <v>0</v>
      </c>
      <c r="Z832">
        <f>セットアップレポート!Y832</f>
        <v>0</v>
      </c>
      <c r="AA832">
        <f>セットアップレポート!Z832</f>
        <v>0</v>
      </c>
      <c r="AB832">
        <f>セットアップレポート!AA832</f>
        <v>0</v>
      </c>
      <c r="AC832">
        <f>セットアップレポート!AB832</f>
        <v>0</v>
      </c>
      <c r="AD832">
        <f>セットアップレポート!AC832</f>
        <v>0</v>
      </c>
      <c r="AE832">
        <f>セットアップレポート!AD832</f>
        <v>0</v>
      </c>
      <c r="AF832">
        <f>セットアップレポート!AE832</f>
        <v>0</v>
      </c>
      <c r="AG832">
        <f>セットアップレポート!AF832</f>
        <v>0</v>
      </c>
      <c r="AH832">
        <f>セットアップレポート!AG832</f>
        <v>0</v>
      </c>
    </row>
    <row r="833" spans="1:34" x14ac:dyDescent="0.45">
      <c r="A833" t="str">
        <f t="shared" si="12"/>
        <v>000</v>
      </c>
      <c r="B833">
        <f>セットアップレポート!A833</f>
        <v>0</v>
      </c>
      <c r="C833">
        <f>セットアップレポート!B833</f>
        <v>0</v>
      </c>
      <c r="D833">
        <f>セットアップレポート!C833</f>
        <v>0</v>
      </c>
      <c r="E833">
        <f>セットアップレポート!D833</f>
        <v>0</v>
      </c>
      <c r="F833">
        <f>セットアップレポート!E833</f>
        <v>0</v>
      </c>
      <c r="G833">
        <f>セットアップレポート!F833</f>
        <v>0</v>
      </c>
      <c r="H833">
        <f>セットアップレポート!G833</f>
        <v>0</v>
      </c>
      <c r="I833">
        <f>セットアップレポート!H833</f>
        <v>0</v>
      </c>
      <c r="J833">
        <f>セットアップレポート!I833</f>
        <v>0</v>
      </c>
      <c r="K833">
        <f>セットアップレポート!J833</f>
        <v>0</v>
      </c>
      <c r="L833">
        <f>セットアップレポート!K833</f>
        <v>0</v>
      </c>
      <c r="M833">
        <f>セットアップレポート!L833</f>
        <v>0</v>
      </c>
      <c r="N833">
        <f>セットアップレポート!M833</f>
        <v>0</v>
      </c>
      <c r="O833">
        <f>セットアップレポート!N833</f>
        <v>0</v>
      </c>
      <c r="P833">
        <f>セットアップレポート!O833</f>
        <v>0</v>
      </c>
      <c r="Q833">
        <f>セットアップレポート!P833</f>
        <v>0</v>
      </c>
      <c r="R833">
        <f>セットアップレポート!Q833</f>
        <v>0</v>
      </c>
      <c r="S833">
        <f>セットアップレポート!R833</f>
        <v>0</v>
      </c>
      <c r="T833">
        <f>セットアップレポート!S833</f>
        <v>0</v>
      </c>
      <c r="U833">
        <f>セットアップレポート!T833</f>
        <v>0</v>
      </c>
      <c r="V833">
        <f>セットアップレポート!U833</f>
        <v>0</v>
      </c>
      <c r="W833">
        <f>セットアップレポート!V833</f>
        <v>0</v>
      </c>
      <c r="X833">
        <f>セットアップレポート!W833</f>
        <v>0</v>
      </c>
      <c r="Y833">
        <f>セットアップレポート!X833</f>
        <v>0</v>
      </c>
      <c r="Z833">
        <f>セットアップレポート!Y833</f>
        <v>0</v>
      </c>
      <c r="AA833">
        <f>セットアップレポート!Z833</f>
        <v>0</v>
      </c>
      <c r="AB833">
        <f>セットアップレポート!AA833</f>
        <v>0</v>
      </c>
      <c r="AC833">
        <f>セットアップレポート!AB833</f>
        <v>0</v>
      </c>
      <c r="AD833">
        <f>セットアップレポート!AC833</f>
        <v>0</v>
      </c>
      <c r="AE833">
        <f>セットアップレポート!AD833</f>
        <v>0</v>
      </c>
      <c r="AF833">
        <f>セットアップレポート!AE833</f>
        <v>0</v>
      </c>
      <c r="AG833">
        <f>セットアップレポート!AF833</f>
        <v>0</v>
      </c>
      <c r="AH833">
        <f>セットアップレポート!AG833</f>
        <v>0</v>
      </c>
    </row>
    <row r="834" spans="1:34" x14ac:dyDescent="0.45">
      <c r="A834" t="str">
        <f t="shared" si="12"/>
        <v>000</v>
      </c>
      <c r="B834">
        <f>セットアップレポート!A834</f>
        <v>0</v>
      </c>
      <c r="C834">
        <f>セットアップレポート!B834</f>
        <v>0</v>
      </c>
      <c r="D834">
        <f>セットアップレポート!C834</f>
        <v>0</v>
      </c>
      <c r="E834">
        <f>セットアップレポート!D834</f>
        <v>0</v>
      </c>
      <c r="F834">
        <f>セットアップレポート!E834</f>
        <v>0</v>
      </c>
      <c r="G834">
        <f>セットアップレポート!F834</f>
        <v>0</v>
      </c>
      <c r="H834">
        <f>セットアップレポート!G834</f>
        <v>0</v>
      </c>
      <c r="I834">
        <f>セットアップレポート!H834</f>
        <v>0</v>
      </c>
      <c r="J834">
        <f>セットアップレポート!I834</f>
        <v>0</v>
      </c>
      <c r="K834">
        <f>セットアップレポート!J834</f>
        <v>0</v>
      </c>
      <c r="L834">
        <f>セットアップレポート!K834</f>
        <v>0</v>
      </c>
      <c r="M834">
        <f>セットアップレポート!L834</f>
        <v>0</v>
      </c>
      <c r="N834">
        <f>セットアップレポート!M834</f>
        <v>0</v>
      </c>
      <c r="O834">
        <f>セットアップレポート!N834</f>
        <v>0</v>
      </c>
      <c r="P834">
        <f>セットアップレポート!O834</f>
        <v>0</v>
      </c>
      <c r="Q834">
        <f>セットアップレポート!P834</f>
        <v>0</v>
      </c>
      <c r="R834">
        <f>セットアップレポート!Q834</f>
        <v>0</v>
      </c>
      <c r="S834">
        <f>セットアップレポート!R834</f>
        <v>0</v>
      </c>
      <c r="T834">
        <f>セットアップレポート!S834</f>
        <v>0</v>
      </c>
      <c r="U834">
        <f>セットアップレポート!T834</f>
        <v>0</v>
      </c>
      <c r="V834">
        <f>セットアップレポート!U834</f>
        <v>0</v>
      </c>
      <c r="W834">
        <f>セットアップレポート!V834</f>
        <v>0</v>
      </c>
      <c r="X834">
        <f>セットアップレポート!W834</f>
        <v>0</v>
      </c>
      <c r="Y834">
        <f>セットアップレポート!X834</f>
        <v>0</v>
      </c>
      <c r="Z834">
        <f>セットアップレポート!Y834</f>
        <v>0</v>
      </c>
      <c r="AA834">
        <f>セットアップレポート!Z834</f>
        <v>0</v>
      </c>
      <c r="AB834">
        <f>セットアップレポート!AA834</f>
        <v>0</v>
      </c>
      <c r="AC834">
        <f>セットアップレポート!AB834</f>
        <v>0</v>
      </c>
      <c r="AD834">
        <f>セットアップレポート!AC834</f>
        <v>0</v>
      </c>
      <c r="AE834">
        <f>セットアップレポート!AD834</f>
        <v>0</v>
      </c>
      <c r="AF834">
        <f>セットアップレポート!AE834</f>
        <v>0</v>
      </c>
      <c r="AG834">
        <f>セットアップレポート!AF834</f>
        <v>0</v>
      </c>
      <c r="AH834">
        <f>セットアップレポート!AG834</f>
        <v>0</v>
      </c>
    </row>
    <row r="835" spans="1:34" x14ac:dyDescent="0.45">
      <c r="A835" t="str">
        <f t="shared" ref="A835:A898" si="13">C835&amp;RIGHT(G835,5)&amp;K835</f>
        <v>000</v>
      </c>
      <c r="B835">
        <f>セットアップレポート!A835</f>
        <v>0</v>
      </c>
      <c r="C835">
        <f>セットアップレポート!B835</f>
        <v>0</v>
      </c>
      <c r="D835">
        <f>セットアップレポート!C835</f>
        <v>0</v>
      </c>
      <c r="E835">
        <f>セットアップレポート!D835</f>
        <v>0</v>
      </c>
      <c r="F835">
        <f>セットアップレポート!E835</f>
        <v>0</v>
      </c>
      <c r="G835">
        <f>セットアップレポート!F835</f>
        <v>0</v>
      </c>
      <c r="H835">
        <f>セットアップレポート!G835</f>
        <v>0</v>
      </c>
      <c r="I835">
        <f>セットアップレポート!H835</f>
        <v>0</v>
      </c>
      <c r="J835">
        <f>セットアップレポート!I835</f>
        <v>0</v>
      </c>
      <c r="K835">
        <f>セットアップレポート!J835</f>
        <v>0</v>
      </c>
      <c r="L835">
        <f>セットアップレポート!K835</f>
        <v>0</v>
      </c>
      <c r="M835">
        <f>セットアップレポート!L835</f>
        <v>0</v>
      </c>
      <c r="N835">
        <f>セットアップレポート!M835</f>
        <v>0</v>
      </c>
      <c r="O835">
        <f>セットアップレポート!N835</f>
        <v>0</v>
      </c>
      <c r="P835">
        <f>セットアップレポート!O835</f>
        <v>0</v>
      </c>
      <c r="Q835">
        <f>セットアップレポート!P835</f>
        <v>0</v>
      </c>
      <c r="R835">
        <f>セットアップレポート!Q835</f>
        <v>0</v>
      </c>
      <c r="S835">
        <f>セットアップレポート!R835</f>
        <v>0</v>
      </c>
      <c r="T835">
        <f>セットアップレポート!S835</f>
        <v>0</v>
      </c>
      <c r="U835">
        <f>セットアップレポート!T835</f>
        <v>0</v>
      </c>
      <c r="V835">
        <f>セットアップレポート!U835</f>
        <v>0</v>
      </c>
      <c r="W835">
        <f>セットアップレポート!V835</f>
        <v>0</v>
      </c>
      <c r="X835">
        <f>セットアップレポート!W835</f>
        <v>0</v>
      </c>
      <c r="Y835">
        <f>セットアップレポート!X835</f>
        <v>0</v>
      </c>
      <c r="Z835">
        <f>セットアップレポート!Y835</f>
        <v>0</v>
      </c>
      <c r="AA835">
        <f>セットアップレポート!Z835</f>
        <v>0</v>
      </c>
      <c r="AB835">
        <f>セットアップレポート!AA835</f>
        <v>0</v>
      </c>
      <c r="AC835">
        <f>セットアップレポート!AB835</f>
        <v>0</v>
      </c>
      <c r="AD835">
        <f>セットアップレポート!AC835</f>
        <v>0</v>
      </c>
      <c r="AE835">
        <f>セットアップレポート!AD835</f>
        <v>0</v>
      </c>
      <c r="AF835">
        <f>セットアップレポート!AE835</f>
        <v>0</v>
      </c>
      <c r="AG835">
        <f>セットアップレポート!AF835</f>
        <v>0</v>
      </c>
      <c r="AH835">
        <f>セットアップレポート!AG835</f>
        <v>0</v>
      </c>
    </row>
    <row r="836" spans="1:34" x14ac:dyDescent="0.45">
      <c r="A836" t="str">
        <f t="shared" si="13"/>
        <v>000</v>
      </c>
      <c r="B836">
        <f>セットアップレポート!A836</f>
        <v>0</v>
      </c>
      <c r="C836">
        <f>セットアップレポート!B836</f>
        <v>0</v>
      </c>
      <c r="D836">
        <f>セットアップレポート!C836</f>
        <v>0</v>
      </c>
      <c r="E836">
        <f>セットアップレポート!D836</f>
        <v>0</v>
      </c>
      <c r="F836">
        <f>セットアップレポート!E836</f>
        <v>0</v>
      </c>
      <c r="G836">
        <f>セットアップレポート!F836</f>
        <v>0</v>
      </c>
      <c r="H836">
        <f>セットアップレポート!G836</f>
        <v>0</v>
      </c>
      <c r="I836">
        <f>セットアップレポート!H836</f>
        <v>0</v>
      </c>
      <c r="J836">
        <f>セットアップレポート!I836</f>
        <v>0</v>
      </c>
      <c r="K836">
        <f>セットアップレポート!J836</f>
        <v>0</v>
      </c>
      <c r="L836">
        <f>セットアップレポート!K836</f>
        <v>0</v>
      </c>
      <c r="M836">
        <f>セットアップレポート!L836</f>
        <v>0</v>
      </c>
      <c r="N836">
        <f>セットアップレポート!M836</f>
        <v>0</v>
      </c>
      <c r="O836">
        <f>セットアップレポート!N836</f>
        <v>0</v>
      </c>
      <c r="P836">
        <f>セットアップレポート!O836</f>
        <v>0</v>
      </c>
      <c r="Q836">
        <f>セットアップレポート!P836</f>
        <v>0</v>
      </c>
      <c r="R836">
        <f>セットアップレポート!Q836</f>
        <v>0</v>
      </c>
      <c r="S836">
        <f>セットアップレポート!R836</f>
        <v>0</v>
      </c>
      <c r="T836">
        <f>セットアップレポート!S836</f>
        <v>0</v>
      </c>
      <c r="U836">
        <f>セットアップレポート!T836</f>
        <v>0</v>
      </c>
      <c r="V836">
        <f>セットアップレポート!U836</f>
        <v>0</v>
      </c>
      <c r="W836">
        <f>セットアップレポート!V836</f>
        <v>0</v>
      </c>
      <c r="X836">
        <f>セットアップレポート!W836</f>
        <v>0</v>
      </c>
      <c r="Y836">
        <f>セットアップレポート!X836</f>
        <v>0</v>
      </c>
      <c r="Z836">
        <f>セットアップレポート!Y836</f>
        <v>0</v>
      </c>
      <c r="AA836">
        <f>セットアップレポート!Z836</f>
        <v>0</v>
      </c>
      <c r="AB836">
        <f>セットアップレポート!AA836</f>
        <v>0</v>
      </c>
      <c r="AC836">
        <f>セットアップレポート!AB836</f>
        <v>0</v>
      </c>
      <c r="AD836">
        <f>セットアップレポート!AC836</f>
        <v>0</v>
      </c>
      <c r="AE836">
        <f>セットアップレポート!AD836</f>
        <v>0</v>
      </c>
      <c r="AF836">
        <f>セットアップレポート!AE836</f>
        <v>0</v>
      </c>
      <c r="AG836">
        <f>セットアップレポート!AF836</f>
        <v>0</v>
      </c>
      <c r="AH836">
        <f>セットアップレポート!AG836</f>
        <v>0</v>
      </c>
    </row>
    <row r="837" spans="1:34" x14ac:dyDescent="0.45">
      <c r="A837" t="str">
        <f t="shared" si="13"/>
        <v>000</v>
      </c>
      <c r="B837">
        <f>セットアップレポート!A837</f>
        <v>0</v>
      </c>
      <c r="C837">
        <f>セットアップレポート!B837</f>
        <v>0</v>
      </c>
      <c r="D837">
        <f>セットアップレポート!C837</f>
        <v>0</v>
      </c>
      <c r="E837">
        <f>セットアップレポート!D837</f>
        <v>0</v>
      </c>
      <c r="F837">
        <f>セットアップレポート!E837</f>
        <v>0</v>
      </c>
      <c r="G837">
        <f>セットアップレポート!F837</f>
        <v>0</v>
      </c>
      <c r="H837">
        <f>セットアップレポート!G837</f>
        <v>0</v>
      </c>
      <c r="I837">
        <f>セットアップレポート!H837</f>
        <v>0</v>
      </c>
      <c r="J837">
        <f>セットアップレポート!I837</f>
        <v>0</v>
      </c>
      <c r="K837">
        <f>セットアップレポート!J837</f>
        <v>0</v>
      </c>
      <c r="L837">
        <f>セットアップレポート!K837</f>
        <v>0</v>
      </c>
      <c r="M837">
        <f>セットアップレポート!L837</f>
        <v>0</v>
      </c>
      <c r="N837">
        <f>セットアップレポート!M837</f>
        <v>0</v>
      </c>
      <c r="O837">
        <f>セットアップレポート!N837</f>
        <v>0</v>
      </c>
      <c r="P837">
        <f>セットアップレポート!O837</f>
        <v>0</v>
      </c>
      <c r="Q837">
        <f>セットアップレポート!P837</f>
        <v>0</v>
      </c>
      <c r="R837">
        <f>セットアップレポート!Q837</f>
        <v>0</v>
      </c>
      <c r="S837">
        <f>セットアップレポート!R837</f>
        <v>0</v>
      </c>
      <c r="T837">
        <f>セットアップレポート!S837</f>
        <v>0</v>
      </c>
      <c r="U837">
        <f>セットアップレポート!T837</f>
        <v>0</v>
      </c>
      <c r="V837">
        <f>セットアップレポート!U837</f>
        <v>0</v>
      </c>
      <c r="W837">
        <f>セットアップレポート!V837</f>
        <v>0</v>
      </c>
      <c r="X837">
        <f>セットアップレポート!W837</f>
        <v>0</v>
      </c>
      <c r="Y837">
        <f>セットアップレポート!X837</f>
        <v>0</v>
      </c>
      <c r="Z837">
        <f>セットアップレポート!Y837</f>
        <v>0</v>
      </c>
      <c r="AA837">
        <f>セットアップレポート!Z837</f>
        <v>0</v>
      </c>
      <c r="AB837">
        <f>セットアップレポート!AA837</f>
        <v>0</v>
      </c>
      <c r="AC837">
        <f>セットアップレポート!AB837</f>
        <v>0</v>
      </c>
      <c r="AD837">
        <f>セットアップレポート!AC837</f>
        <v>0</v>
      </c>
      <c r="AE837">
        <f>セットアップレポート!AD837</f>
        <v>0</v>
      </c>
      <c r="AF837">
        <f>セットアップレポート!AE837</f>
        <v>0</v>
      </c>
      <c r="AG837">
        <f>セットアップレポート!AF837</f>
        <v>0</v>
      </c>
      <c r="AH837">
        <f>セットアップレポート!AG837</f>
        <v>0</v>
      </c>
    </row>
    <row r="838" spans="1:34" x14ac:dyDescent="0.45">
      <c r="A838" t="str">
        <f t="shared" si="13"/>
        <v>000</v>
      </c>
      <c r="B838">
        <f>セットアップレポート!A838</f>
        <v>0</v>
      </c>
      <c r="C838">
        <f>セットアップレポート!B838</f>
        <v>0</v>
      </c>
      <c r="D838">
        <f>セットアップレポート!C838</f>
        <v>0</v>
      </c>
      <c r="E838">
        <f>セットアップレポート!D838</f>
        <v>0</v>
      </c>
      <c r="F838">
        <f>セットアップレポート!E838</f>
        <v>0</v>
      </c>
      <c r="G838">
        <f>セットアップレポート!F838</f>
        <v>0</v>
      </c>
      <c r="H838">
        <f>セットアップレポート!G838</f>
        <v>0</v>
      </c>
      <c r="I838">
        <f>セットアップレポート!H838</f>
        <v>0</v>
      </c>
      <c r="J838">
        <f>セットアップレポート!I838</f>
        <v>0</v>
      </c>
      <c r="K838">
        <f>セットアップレポート!J838</f>
        <v>0</v>
      </c>
      <c r="L838">
        <f>セットアップレポート!K838</f>
        <v>0</v>
      </c>
      <c r="M838">
        <f>セットアップレポート!L838</f>
        <v>0</v>
      </c>
      <c r="N838">
        <f>セットアップレポート!M838</f>
        <v>0</v>
      </c>
      <c r="O838">
        <f>セットアップレポート!N838</f>
        <v>0</v>
      </c>
      <c r="P838">
        <f>セットアップレポート!O838</f>
        <v>0</v>
      </c>
      <c r="Q838">
        <f>セットアップレポート!P838</f>
        <v>0</v>
      </c>
      <c r="R838">
        <f>セットアップレポート!Q838</f>
        <v>0</v>
      </c>
      <c r="S838">
        <f>セットアップレポート!R838</f>
        <v>0</v>
      </c>
      <c r="T838">
        <f>セットアップレポート!S838</f>
        <v>0</v>
      </c>
      <c r="U838">
        <f>セットアップレポート!T838</f>
        <v>0</v>
      </c>
      <c r="V838">
        <f>セットアップレポート!U838</f>
        <v>0</v>
      </c>
      <c r="W838">
        <f>セットアップレポート!V838</f>
        <v>0</v>
      </c>
      <c r="X838">
        <f>セットアップレポート!W838</f>
        <v>0</v>
      </c>
      <c r="Y838">
        <f>セットアップレポート!X838</f>
        <v>0</v>
      </c>
      <c r="Z838">
        <f>セットアップレポート!Y838</f>
        <v>0</v>
      </c>
      <c r="AA838">
        <f>セットアップレポート!Z838</f>
        <v>0</v>
      </c>
      <c r="AB838">
        <f>セットアップレポート!AA838</f>
        <v>0</v>
      </c>
      <c r="AC838">
        <f>セットアップレポート!AB838</f>
        <v>0</v>
      </c>
      <c r="AD838">
        <f>セットアップレポート!AC838</f>
        <v>0</v>
      </c>
      <c r="AE838">
        <f>セットアップレポート!AD838</f>
        <v>0</v>
      </c>
      <c r="AF838">
        <f>セットアップレポート!AE838</f>
        <v>0</v>
      </c>
      <c r="AG838">
        <f>セットアップレポート!AF838</f>
        <v>0</v>
      </c>
      <c r="AH838">
        <f>セットアップレポート!AG838</f>
        <v>0</v>
      </c>
    </row>
    <row r="839" spans="1:34" x14ac:dyDescent="0.45">
      <c r="A839" t="str">
        <f t="shared" si="13"/>
        <v>000</v>
      </c>
      <c r="B839">
        <f>セットアップレポート!A839</f>
        <v>0</v>
      </c>
      <c r="C839">
        <f>セットアップレポート!B839</f>
        <v>0</v>
      </c>
      <c r="D839">
        <f>セットアップレポート!C839</f>
        <v>0</v>
      </c>
      <c r="E839">
        <f>セットアップレポート!D839</f>
        <v>0</v>
      </c>
      <c r="F839">
        <f>セットアップレポート!E839</f>
        <v>0</v>
      </c>
      <c r="G839">
        <f>セットアップレポート!F839</f>
        <v>0</v>
      </c>
      <c r="H839">
        <f>セットアップレポート!G839</f>
        <v>0</v>
      </c>
      <c r="I839">
        <f>セットアップレポート!H839</f>
        <v>0</v>
      </c>
      <c r="J839">
        <f>セットアップレポート!I839</f>
        <v>0</v>
      </c>
      <c r="K839">
        <f>セットアップレポート!J839</f>
        <v>0</v>
      </c>
      <c r="L839">
        <f>セットアップレポート!K839</f>
        <v>0</v>
      </c>
      <c r="M839">
        <f>セットアップレポート!L839</f>
        <v>0</v>
      </c>
      <c r="N839">
        <f>セットアップレポート!M839</f>
        <v>0</v>
      </c>
      <c r="O839">
        <f>セットアップレポート!N839</f>
        <v>0</v>
      </c>
      <c r="P839">
        <f>セットアップレポート!O839</f>
        <v>0</v>
      </c>
      <c r="Q839">
        <f>セットアップレポート!P839</f>
        <v>0</v>
      </c>
      <c r="R839">
        <f>セットアップレポート!Q839</f>
        <v>0</v>
      </c>
      <c r="S839">
        <f>セットアップレポート!R839</f>
        <v>0</v>
      </c>
      <c r="T839">
        <f>セットアップレポート!S839</f>
        <v>0</v>
      </c>
      <c r="U839">
        <f>セットアップレポート!T839</f>
        <v>0</v>
      </c>
      <c r="V839">
        <f>セットアップレポート!U839</f>
        <v>0</v>
      </c>
      <c r="W839">
        <f>セットアップレポート!V839</f>
        <v>0</v>
      </c>
      <c r="X839">
        <f>セットアップレポート!W839</f>
        <v>0</v>
      </c>
      <c r="Y839">
        <f>セットアップレポート!X839</f>
        <v>0</v>
      </c>
      <c r="Z839">
        <f>セットアップレポート!Y839</f>
        <v>0</v>
      </c>
      <c r="AA839">
        <f>セットアップレポート!Z839</f>
        <v>0</v>
      </c>
      <c r="AB839">
        <f>セットアップレポート!AA839</f>
        <v>0</v>
      </c>
      <c r="AC839">
        <f>セットアップレポート!AB839</f>
        <v>0</v>
      </c>
      <c r="AD839">
        <f>セットアップレポート!AC839</f>
        <v>0</v>
      </c>
      <c r="AE839">
        <f>セットアップレポート!AD839</f>
        <v>0</v>
      </c>
      <c r="AF839">
        <f>セットアップレポート!AE839</f>
        <v>0</v>
      </c>
      <c r="AG839">
        <f>セットアップレポート!AF839</f>
        <v>0</v>
      </c>
      <c r="AH839">
        <f>セットアップレポート!AG839</f>
        <v>0</v>
      </c>
    </row>
    <row r="840" spans="1:34" x14ac:dyDescent="0.45">
      <c r="A840" t="str">
        <f t="shared" si="13"/>
        <v>000</v>
      </c>
      <c r="B840">
        <f>セットアップレポート!A840</f>
        <v>0</v>
      </c>
      <c r="C840">
        <f>セットアップレポート!B840</f>
        <v>0</v>
      </c>
      <c r="D840">
        <f>セットアップレポート!C840</f>
        <v>0</v>
      </c>
      <c r="E840">
        <f>セットアップレポート!D840</f>
        <v>0</v>
      </c>
      <c r="F840">
        <f>セットアップレポート!E840</f>
        <v>0</v>
      </c>
      <c r="G840">
        <f>セットアップレポート!F840</f>
        <v>0</v>
      </c>
      <c r="H840">
        <f>セットアップレポート!G840</f>
        <v>0</v>
      </c>
      <c r="I840">
        <f>セットアップレポート!H840</f>
        <v>0</v>
      </c>
      <c r="J840">
        <f>セットアップレポート!I840</f>
        <v>0</v>
      </c>
      <c r="K840">
        <f>セットアップレポート!J840</f>
        <v>0</v>
      </c>
      <c r="L840">
        <f>セットアップレポート!K840</f>
        <v>0</v>
      </c>
      <c r="M840">
        <f>セットアップレポート!L840</f>
        <v>0</v>
      </c>
      <c r="N840">
        <f>セットアップレポート!M840</f>
        <v>0</v>
      </c>
      <c r="O840">
        <f>セットアップレポート!N840</f>
        <v>0</v>
      </c>
      <c r="P840">
        <f>セットアップレポート!O840</f>
        <v>0</v>
      </c>
      <c r="Q840">
        <f>セットアップレポート!P840</f>
        <v>0</v>
      </c>
      <c r="R840">
        <f>セットアップレポート!Q840</f>
        <v>0</v>
      </c>
      <c r="S840">
        <f>セットアップレポート!R840</f>
        <v>0</v>
      </c>
      <c r="T840">
        <f>セットアップレポート!S840</f>
        <v>0</v>
      </c>
      <c r="U840">
        <f>セットアップレポート!T840</f>
        <v>0</v>
      </c>
      <c r="V840">
        <f>セットアップレポート!U840</f>
        <v>0</v>
      </c>
      <c r="W840">
        <f>セットアップレポート!V840</f>
        <v>0</v>
      </c>
      <c r="X840">
        <f>セットアップレポート!W840</f>
        <v>0</v>
      </c>
      <c r="Y840">
        <f>セットアップレポート!X840</f>
        <v>0</v>
      </c>
      <c r="Z840">
        <f>セットアップレポート!Y840</f>
        <v>0</v>
      </c>
      <c r="AA840">
        <f>セットアップレポート!Z840</f>
        <v>0</v>
      </c>
      <c r="AB840">
        <f>セットアップレポート!AA840</f>
        <v>0</v>
      </c>
      <c r="AC840">
        <f>セットアップレポート!AB840</f>
        <v>0</v>
      </c>
      <c r="AD840">
        <f>セットアップレポート!AC840</f>
        <v>0</v>
      </c>
      <c r="AE840">
        <f>セットアップレポート!AD840</f>
        <v>0</v>
      </c>
      <c r="AF840">
        <f>セットアップレポート!AE840</f>
        <v>0</v>
      </c>
      <c r="AG840">
        <f>セットアップレポート!AF840</f>
        <v>0</v>
      </c>
      <c r="AH840">
        <f>セットアップレポート!AG840</f>
        <v>0</v>
      </c>
    </row>
    <row r="841" spans="1:34" x14ac:dyDescent="0.45">
      <c r="A841" t="str">
        <f t="shared" si="13"/>
        <v>000</v>
      </c>
      <c r="B841">
        <f>セットアップレポート!A841</f>
        <v>0</v>
      </c>
      <c r="C841">
        <f>セットアップレポート!B841</f>
        <v>0</v>
      </c>
      <c r="D841">
        <f>セットアップレポート!C841</f>
        <v>0</v>
      </c>
      <c r="E841">
        <f>セットアップレポート!D841</f>
        <v>0</v>
      </c>
      <c r="F841">
        <f>セットアップレポート!E841</f>
        <v>0</v>
      </c>
      <c r="G841">
        <f>セットアップレポート!F841</f>
        <v>0</v>
      </c>
      <c r="H841">
        <f>セットアップレポート!G841</f>
        <v>0</v>
      </c>
      <c r="I841">
        <f>セットアップレポート!H841</f>
        <v>0</v>
      </c>
      <c r="J841">
        <f>セットアップレポート!I841</f>
        <v>0</v>
      </c>
      <c r="K841">
        <f>セットアップレポート!J841</f>
        <v>0</v>
      </c>
      <c r="L841">
        <f>セットアップレポート!K841</f>
        <v>0</v>
      </c>
      <c r="M841">
        <f>セットアップレポート!L841</f>
        <v>0</v>
      </c>
      <c r="N841">
        <f>セットアップレポート!M841</f>
        <v>0</v>
      </c>
      <c r="O841">
        <f>セットアップレポート!N841</f>
        <v>0</v>
      </c>
      <c r="P841">
        <f>セットアップレポート!O841</f>
        <v>0</v>
      </c>
      <c r="Q841">
        <f>セットアップレポート!P841</f>
        <v>0</v>
      </c>
      <c r="R841">
        <f>セットアップレポート!Q841</f>
        <v>0</v>
      </c>
      <c r="S841">
        <f>セットアップレポート!R841</f>
        <v>0</v>
      </c>
      <c r="T841">
        <f>セットアップレポート!S841</f>
        <v>0</v>
      </c>
      <c r="U841">
        <f>セットアップレポート!T841</f>
        <v>0</v>
      </c>
      <c r="V841">
        <f>セットアップレポート!U841</f>
        <v>0</v>
      </c>
      <c r="W841">
        <f>セットアップレポート!V841</f>
        <v>0</v>
      </c>
      <c r="X841">
        <f>セットアップレポート!W841</f>
        <v>0</v>
      </c>
      <c r="Y841">
        <f>セットアップレポート!X841</f>
        <v>0</v>
      </c>
      <c r="Z841">
        <f>セットアップレポート!Y841</f>
        <v>0</v>
      </c>
      <c r="AA841">
        <f>セットアップレポート!Z841</f>
        <v>0</v>
      </c>
      <c r="AB841">
        <f>セットアップレポート!AA841</f>
        <v>0</v>
      </c>
      <c r="AC841">
        <f>セットアップレポート!AB841</f>
        <v>0</v>
      </c>
      <c r="AD841">
        <f>セットアップレポート!AC841</f>
        <v>0</v>
      </c>
      <c r="AE841">
        <f>セットアップレポート!AD841</f>
        <v>0</v>
      </c>
      <c r="AF841">
        <f>セットアップレポート!AE841</f>
        <v>0</v>
      </c>
      <c r="AG841">
        <f>セットアップレポート!AF841</f>
        <v>0</v>
      </c>
      <c r="AH841">
        <f>セットアップレポート!AG841</f>
        <v>0</v>
      </c>
    </row>
    <row r="842" spans="1:34" x14ac:dyDescent="0.45">
      <c r="A842" t="str">
        <f t="shared" si="13"/>
        <v>000</v>
      </c>
      <c r="B842">
        <f>セットアップレポート!A842</f>
        <v>0</v>
      </c>
      <c r="C842">
        <f>セットアップレポート!B842</f>
        <v>0</v>
      </c>
      <c r="D842">
        <f>セットアップレポート!C842</f>
        <v>0</v>
      </c>
      <c r="E842">
        <f>セットアップレポート!D842</f>
        <v>0</v>
      </c>
      <c r="F842">
        <f>セットアップレポート!E842</f>
        <v>0</v>
      </c>
      <c r="G842">
        <f>セットアップレポート!F842</f>
        <v>0</v>
      </c>
      <c r="H842">
        <f>セットアップレポート!G842</f>
        <v>0</v>
      </c>
      <c r="I842">
        <f>セットアップレポート!H842</f>
        <v>0</v>
      </c>
      <c r="J842">
        <f>セットアップレポート!I842</f>
        <v>0</v>
      </c>
      <c r="K842">
        <f>セットアップレポート!J842</f>
        <v>0</v>
      </c>
      <c r="L842">
        <f>セットアップレポート!K842</f>
        <v>0</v>
      </c>
      <c r="M842">
        <f>セットアップレポート!L842</f>
        <v>0</v>
      </c>
      <c r="N842">
        <f>セットアップレポート!M842</f>
        <v>0</v>
      </c>
      <c r="O842">
        <f>セットアップレポート!N842</f>
        <v>0</v>
      </c>
      <c r="P842">
        <f>セットアップレポート!O842</f>
        <v>0</v>
      </c>
      <c r="Q842">
        <f>セットアップレポート!P842</f>
        <v>0</v>
      </c>
      <c r="R842">
        <f>セットアップレポート!Q842</f>
        <v>0</v>
      </c>
      <c r="S842">
        <f>セットアップレポート!R842</f>
        <v>0</v>
      </c>
      <c r="T842">
        <f>セットアップレポート!S842</f>
        <v>0</v>
      </c>
      <c r="U842">
        <f>セットアップレポート!T842</f>
        <v>0</v>
      </c>
      <c r="V842">
        <f>セットアップレポート!U842</f>
        <v>0</v>
      </c>
      <c r="W842">
        <f>セットアップレポート!V842</f>
        <v>0</v>
      </c>
      <c r="X842">
        <f>セットアップレポート!W842</f>
        <v>0</v>
      </c>
      <c r="Y842">
        <f>セットアップレポート!X842</f>
        <v>0</v>
      </c>
      <c r="Z842">
        <f>セットアップレポート!Y842</f>
        <v>0</v>
      </c>
      <c r="AA842">
        <f>セットアップレポート!Z842</f>
        <v>0</v>
      </c>
      <c r="AB842">
        <f>セットアップレポート!AA842</f>
        <v>0</v>
      </c>
      <c r="AC842">
        <f>セットアップレポート!AB842</f>
        <v>0</v>
      </c>
      <c r="AD842">
        <f>セットアップレポート!AC842</f>
        <v>0</v>
      </c>
      <c r="AE842">
        <f>セットアップレポート!AD842</f>
        <v>0</v>
      </c>
      <c r="AF842">
        <f>セットアップレポート!AE842</f>
        <v>0</v>
      </c>
      <c r="AG842">
        <f>セットアップレポート!AF842</f>
        <v>0</v>
      </c>
      <c r="AH842">
        <f>セットアップレポート!AG842</f>
        <v>0</v>
      </c>
    </row>
    <row r="843" spans="1:34" x14ac:dyDescent="0.45">
      <c r="A843" t="str">
        <f t="shared" si="13"/>
        <v>000</v>
      </c>
      <c r="B843">
        <f>セットアップレポート!A843</f>
        <v>0</v>
      </c>
      <c r="C843">
        <f>セットアップレポート!B843</f>
        <v>0</v>
      </c>
      <c r="D843">
        <f>セットアップレポート!C843</f>
        <v>0</v>
      </c>
      <c r="E843">
        <f>セットアップレポート!D843</f>
        <v>0</v>
      </c>
      <c r="F843">
        <f>セットアップレポート!E843</f>
        <v>0</v>
      </c>
      <c r="G843">
        <f>セットアップレポート!F843</f>
        <v>0</v>
      </c>
      <c r="H843">
        <f>セットアップレポート!G843</f>
        <v>0</v>
      </c>
      <c r="I843">
        <f>セットアップレポート!H843</f>
        <v>0</v>
      </c>
      <c r="J843">
        <f>セットアップレポート!I843</f>
        <v>0</v>
      </c>
      <c r="K843">
        <f>セットアップレポート!J843</f>
        <v>0</v>
      </c>
      <c r="L843">
        <f>セットアップレポート!K843</f>
        <v>0</v>
      </c>
      <c r="M843">
        <f>セットアップレポート!L843</f>
        <v>0</v>
      </c>
      <c r="N843">
        <f>セットアップレポート!M843</f>
        <v>0</v>
      </c>
      <c r="O843">
        <f>セットアップレポート!N843</f>
        <v>0</v>
      </c>
      <c r="P843">
        <f>セットアップレポート!O843</f>
        <v>0</v>
      </c>
      <c r="Q843">
        <f>セットアップレポート!P843</f>
        <v>0</v>
      </c>
      <c r="R843">
        <f>セットアップレポート!Q843</f>
        <v>0</v>
      </c>
      <c r="S843">
        <f>セットアップレポート!R843</f>
        <v>0</v>
      </c>
      <c r="T843">
        <f>セットアップレポート!S843</f>
        <v>0</v>
      </c>
      <c r="U843">
        <f>セットアップレポート!T843</f>
        <v>0</v>
      </c>
      <c r="V843">
        <f>セットアップレポート!U843</f>
        <v>0</v>
      </c>
      <c r="W843">
        <f>セットアップレポート!V843</f>
        <v>0</v>
      </c>
      <c r="X843">
        <f>セットアップレポート!W843</f>
        <v>0</v>
      </c>
      <c r="Y843">
        <f>セットアップレポート!X843</f>
        <v>0</v>
      </c>
      <c r="Z843">
        <f>セットアップレポート!Y843</f>
        <v>0</v>
      </c>
      <c r="AA843">
        <f>セットアップレポート!Z843</f>
        <v>0</v>
      </c>
      <c r="AB843">
        <f>セットアップレポート!AA843</f>
        <v>0</v>
      </c>
      <c r="AC843">
        <f>セットアップレポート!AB843</f>
        <v>0</v>
      </c>
      <c r="AD843">
        <f>セットアップレポート!AC843</f>
        <v>0</v>
      </c>
      <c r="AE843">
        <f>セットアップレポート!AD843</f>
        <v>0</v>
      </c>
      <c r="AF843">
        <f>セットアップレポート!AE843</f>
        <v>0</v>
      </c>
      <c r="AG843">
        <f>セットアップレポート!AF843</f>
        <v>0</v>
      </c>
      <c r="AH843">
        <f>セットアップレポート!AG843</f>
        <v>0</v>
      </c>
    </row>
    <row r="844" spans="1:34" x14ac:dyDescent="0.45">
      <c r="A844" t="str">
        <f t="shared" si="13"/>
        <v>000</v>
      </c>
      <c r="B844">
        <f>セットアップレポート!A844</f>
        <v>0</v>
      </c>
      <c r="C844">
        <f>セットアップレポート!B844</f>
        <v>0</v>
      </c>
      <c r="D844">
        <f>セットアップレポート!C844</f>
        <v>0</v>
      </c>
      <c r="E844">
        <f>セットアップレポート!D844</f>
        <v>0</v>
      </c>
      <c r="F844">
        <f>セットアップレポート!E844</f>
        <v>0</v>
      </c>
      <c r="G844">
        <f>セットアップレポート!F844</f>
        <v>0</v>
      </c>
      <c r="H844">
        <f>セットアップレポート!G844</f>
        <v>0</v>
      </c>
      <c r="I844">
        <f>セットアップレポート!H844</f>
        <v>0</v>
      </c>
      <c r="J844">
        <f>セットアップレポート!I844</f>
        <v>0</v>
      </c>
      <c r="K844">
        <f>セットアップレポート!J844</f>
        <v>0</v>
      </c>
      <c r="L844">
        <f>セットアップレポート!K844</f>
        <v>0</v>
      </c>
      <c r="M844">
        <f>セットアップレポート!L844</f>
        <v>0</v>
      </c>
      <c r="N844">
        <f>セットアップレポート!M844</f>
        <v>0</v>
      </c>
      <c r="O844">
        <f>セットアップレポート!N844</f>
        <v>0</v>
      </c>
      <c r="P844">
        <f>セットアップレポート!O844</f>
        <v>0</v>
      </c>
      <c r="Q844">
        <f>セットアップレポート!P844</f>
        <v>0</v>
      </c>
      <c r="R844">
        <f>セットアップレポート!Q844</f>
        <v>0</v>
      </c>
      <c r="S844">
        <f>セットアップレポート!R844</f>
        <v>0</v>
      </c>
      <c r="T844">
        <f>セットアップレポート!S844</f>
        <v>0</v>
      </c>
      <c r="U844">
        <f>セットアップレポート!T844</f>
        <v>0</v>
      </c>
      <c r="V844">
        <f>セットアップレポート!U844</f>
        <v>0</v>
      </c>
      <c r="W844">
        <f>セットアップレポート!V844</f>
        <v>0</v>
      </c>
      <c r="X844">
        <f>セットアップレポート!W844</f>
        <v>0</v>
      </c>
      <c r="Y844">
        <f>セットアップレポート!X844</f>
        <v>0</v>
      </c>
      <c r="Z844">
        <f>セットアップレポート!Y844</f>
        <v>0</v>
      </c>
      <c r="AA844">
        <f>セットアップレポート!Z844</f>
        <v>0</v>
      </c>
      <c r="AB844">
        <f>セットアップレポート!AA844</f>
        <v>0</v>
      </c>
      <c r="AC844">
        <f>セットアップレポート!AB844</f>
        <v>0</v>
      </c>
      <c r="AD844">
        <f>セットアップレポート!AC844</f>
        <v>0</v>
      </c>
      <c r="AE844">
        <f>セットアップレポート!AD844</f>
        <v>0</v>
      </c>
      <c r="AF844">
        <f>セットアップレポート!AE844</f>
        <v>0</v>
      </c>
      <c r="AG844">
        <f>セットアップレポート!AF844</f>
        <v>0</v>
      </c>
      <c r="AH844">
        <f>セットアップレポート!AG844</f>
        <v>0</v>
      </c>
    </row>
    <row r="845" spans="1:34" x14ac:dyDescent="0.45">
      <c r="A845" t="str">
        <f t="shared" si="13"/>
        <v>000</v>
      </c>
      <c r="B845">
        <f>セットアップレポート!A845</f>
        <v>0</v>
      </c>
      <c r="C845">
        <f>セットアップレポート!B845</f>
        <v>0</v>
      </c>
      <c r="D845">
        <f>セットアップレポート!C845</f>
        <v>0</v>
      </c>
      <c r="E845">
        <f>セットアップレポート!D845</f>
        <v>0</v>
      </c>
      <c r="F845">
        <f>セットアップレポート!E845</f>
        <v>0</v>
      </c>
      <c r="G845">
        <f>セットアップレポート!F845</f>
        <v>0</v>
      </c>
      <c r="H845">
        <f>セットアップレポート!G845</f>
        <v>0</v>
      </c>
      <c r="I845">
        <f>セットアップレポート!H845</f>
        <v>0</v>
      </c>
      <c r="J845">
        <f>セットアップレポート!I845</f>
        <v>0</v>
      </c>
      <c r="K845">
        <f>セットアップレポート!J845</f>
        <v>0</v>
      </c>
      <c r="L845">
        <f>セットアップレポート!K845</f>
        <v>0</v>
      </c>
      <c r="M845">
        <f>セットアップレポート!L845</f>
        <v>0</v>
      </c>
      <c r="N845">
        <f>セットアップレポート!M845</f>
        <v>0</v>
      </c>
      <c r="O845">
        <f>セットアップレポート!N845</f>
        <v>0</v>
      </c>
      <c r="P845">
        <f>セットアップレポート!O845</f>
        <v>0</v>
      </c>
      <c r="Q845">
        <f>セットアップレポート!P845</f>
        <v>0</v>
      </c>
      <c r="R845">
        <f>セットアップレポート!Q845</f>
        <v>0</v>
      </c>
      <c r="S845">
        <f>セットアップレポート!R845</f>
        <v>0</v>
      </c>
      <c r="T845">
        <f>セットアップレポート!S845</f>
        <v>0</v>
      </c>
      <c r="U845">
        <f>セットアップレポート!T845</f>
        <v>0</v>
      </c>
      <c r="V845">
        <f>セットアップレポート!U845</f>
        <v>0</v>
      </c>
      <c r="W845">
        <f>セットアップレポート!V845</f>
        <v>0</v>
      </c>
      <c r="X845">
        <f>セットアップレポート!W845</f>
        <v>0</v>
      </c>
      <c r="Y845">
        <f>セットアップレポート!X845</f>
        <v>0</v>
      </c>
      <c r="Z845">
        <f>セットアップレポート!Y845</f>
        <v>0</v>
      </c>
      <c r="AA845">
        <f>セットアップレポート!Z845</f>
        <v>0</v>
      </c>
      <c r="AB845">
        <f>セットアップレポート!AA845</f>
        <v>0</v>
      </c>
      <c r="AC845">
        <f>セットアップレポート!AB845</f>
        <v>0</v>
      </c>
      <c r="AD845">
        <f>セットアップレポート!AC845</f>
        <v>0</v>
      </c>
      <c r="AE845">
        <f>セットアップレポート!AD845</f>
        <v>0</v>
      </c>
      <c r="AF845">
        <f>セットアップレポート!AE845</f>
        <v>0</v>
      </c>
      <c r="AG845">
        <f>セットアップレポート!AF845</f>
        <v>0</v>
      </c>
      <c r="AH845">
        <f>セットアップレポート!AG845</f>
        <v>0</v>
      </c>
    </row>
    <row r="846" spans="1:34" x14ac:dyDescent="0.45">
      <c r="A846" t="str">
        <f t="shared" si="13"/>
        <v>000</v>
      </c>
      <c r="B846">
        <f>セットアップレポート!A846</f>
        <v>0</v>
      </c>
      <c r="C846">
        <f>セットアップレポート!B846</f>
        <v>0</v>
      </c>
      <c r="D846">
        <f>セットアップレポート!C846</f>
        <v>0</v>
      </c>
      <c r="E846">
        <f>セットアップレポート!D846</f>
        <v>0</v>
      </c>
      <c r="F846">
        <f>セットアップレポート!E846</f>
        <v>0</v>
      </c>
      <c r="G846">
        <f>セットアップレポート!F846</f>
        <v>0</v>
      </c>
      <c r="H846">
        <f>セットアップレポート!G846</f>
        <v>0</v>
      </c>
      <c r="I846">
        <f>セットアップレポート!H846</f>
        <v>0</v>
      </c>
      <c r="J846">
        <f>セットアップレポート!I846</f>
        <v>0</v>
      </c>
      <c r="K846">
        <f>セットアップレポート!J846</f>
        <v>0</v>
      </c>
      <c r="L846">
        <f>セットアップレポート!K846</f>
        <v>0</v>
      </c>
      <c r="M846">
        <f>セットアップレポート!L846</f>
        <v>0</v>
      </c>
      <c r="N846">
        <f>セットアップレポート!M846</f>
        <v>0</v>
      </c>
      <c r="O846">
        <f>セットアップレポート!N846</f>
        <v>0</v>
      </c>
      <c r="P846">
        <f>セットアップレポート!O846</f>
        <v>0</v>
      </c>
      <c r="Q846">
        <f>セットアップレポート!P846</f>
        <v>0</v>
      </c>
      <c r="R846">
        <f>セットアップレポート!Q846</f>
        <v>0</v>
      </c>
      <c r="S846">
        <f>セットアップレポート!R846</f>
        <v>0</v>
      </c>
      <c r="T846">
        <f>セットアップレポート!S846</f>
        <v>0</v>
      </c>
      <c r="U846">
        <f>セットアップレポート!T846</f>
        <v>0</v>
      </c>
      <c r="V846">
        <f>セットアップレポート!U846</f>
        <v>0</v>
      </c>
      <c r="W846">
        <f>セットアップレポート!V846</f>
        <v>0</v>
      </c>
      <c r="X846">
        <f>セットアップレポート!W846</f>
        <v>0</v>
      </c>
      <c r="Y846">
        <f>セットアップレポート!X846</f>
        <v>0</v>
      </c>
      <c r="Z846">
        <f>セットアップレポート!Y846</f>
        <v>0</v>
      </c>
      <c r="AA846">
        <f>セットアップレポート!Z846</f>
        <v>0</v>
      </c>
      <c r="AB846">
        <f>セットアップレポート!AA846</f>
        <v>0</v>
      </c>
      <c r="AC846">
        <f>セットアップレポート!AB846</f>
        <v>0</v>
      </c>
      <c r="AD846">
        <f>セットアップレポート!AC846</f>
        <v>0</v>
      </c>
      <c r="AE846">
        <f>セットアップレポート!AD846</f>
        <v>0</v>
      </c>
      <c r="AF846">
        <f>セットアップレポート!AE846</f>
        <v>0</v>
      </c>
      <c r="AG846">
        <f>セットアップレポート!AF846</f>
        <v>0</v>
      </c>
      <c r="AH846">
        <f>セットアップレポート!AG846</f>
        <v>0</v>
      </c>
    </row>
    <row r="847" spans="1:34" x14ac:dyDescent="0.45">
      <c r="A847" t="str">
        <f t="shared" si="13"/>
        <v>000</v>
      </c>
      <c r="B847">
        <f>セットアップレポート!A847</f>
        <v>0</v>
      </c>
      <c r="C847">
        <f>セットアップレポート!B847</f>
        <v>0</v>
      </c>
      <c r="D847">
        <f>セットアップレポート!C847</f>
        <v>0</v>
      </c>
      <c r="E847">
        <f>セットアップレポート!D847</f>
        <v>0</v>
      </c>
      <c r="F847">
        <f>セットアップレポート!E847</f>
        <v>0</v>
      </c>
      <c r="G847">
        <f>セットアップレポート!F847</f>
        <v>0</v>
      </c>
      <c r="H847">
        <f>セットアップレポート!G847</f>
        <v>0</v>
      </c>
      <c r="I847">
        <f>セットアップレポート!H847</f>
        <v>0</v>
      </c>
      <c r="J847">
        <f>セットアップレポート!I847</f>
        <v>0</v>
      </c>
      <c r="K847">
        <f>セットアップレポート!J847</f>
        <v>0</v>
      </c>
      <c r="L847">
        <f>セットアップレポート!K847</f>
        <v>0</v>
      </c>
      <c r="M847">
        <f>セットアップレポート!L847</f>
        <v>0</v>
      </c>
      <c r="N847">
        <f>セットアップレポート!M847</f>
        <v>0</v>
      </c>
      <c r="O847">
        <f>セットアップレポート!N847</f>
        <v>0</v>
      </c>
      <c r="P847">
        <f>セットアップレポート!O847</f>
        <v>0</v>
      </c>
      <c r="Q847">
        <f>セットアップレポート!P847</f>
        <v>0</v>
      </c>
      <c r="R847">
        <f>セットアップレポート!Q847</f>
        <v>0</v>
      </c>
      <c r="S847">
        <f>セットアップレポート!R847</f>
        <v>0</v>
      </c>
      <c r="T847">
        <f>セットアップレポート!S847</f>
        <v>0</v>
      </c>
      <c r="U847">
        <f>セットアップレポート!T847</f>
        <v>0</v>
      </c>
      <c r="V847">
        <f>セットアップレポート!U847</f>
        <v>0</v>
      </c>
      <c r="W847">
        <f>セットアップレポート!V847</f>
        <v>0</v>
      </c>
      <c r="X847">
        <f>セットアップレポート!W847</f>
        <v>0</v>
      </c>
      <c r="Y847">
        <f>セットアップレポート!X847</f>
        <v>0</v>
      </c>
      <c r="Z847">
        <f>セットアップレポート!Y847</f>
        <v>0</v>
      </c>
      <c r="AA847">
        <f>セットアップレポート!Z847</f>
        <v>0</v>
      </c>
      <c r="AB847">
        <f>セットアップレポート!AA847</f>
        <v>0</v>
      </c>
      <c r="AC847">
        <f>セットアップレポート!AB847</f>
        <v>0</v>
      </c>
      <c r="AD847">
        <f>セットアップレポート!AC847</f>
        <v>0</v>
      </c>
      <c r="AE847">
        <f>セットアップレポート!AD847</f>
        <v>0</v>
      </c>
      <c r="AF847">
        <f>セットアップレポート!AE847</f>
        <v>0</v>
      </c>
      <c r="AG847">
        <f>セットアップレポート!AF847</f>
        <v>0</v>
      </c>
      <c r="AH847">
        <f>セットアップレポート!AG847</f>
        <v>0</v>
      </c>
    </row>
    <row r="848" spans="1:34" x14ac:dyDescent="0.45">
      <c r="A848" t="str">
        <f t="shared" si="13"/>
        <v>000</v>
      </c>
      <c r="B848">
        <f>セットアップレポート!A848</f>
        <v>0</v>
      </c>
      <c r="C848">
        <f>セットアップレポート!B848</f>
        <v>0</v>
      </c>
      <c r="D848">
        <f>セットアップレポート!C848</f>
        <v>0</v>
      </c>
      <c r="E848">
        <f>セットアップレポート!D848</f>
        <v>0</v>
      </c>
      <c r="F848">
        <f>セットアップレポート!E848</f>
        <v>0</v>
      </c>
      <c r="G848">
        <f>セットアップレポート!F848</f>
        <v>0</v>
      </c>
      <c r="H848">
        <f>セットアップレポート!G848</f>
        <v>0</v>
      </c>
      <c r="I848">
        <f>セットアップレポート!H848</f>
        <v>0</v>
      </c>
      <c r="J848">
        <f>セットアップレポート!I848</f>
        <v>0</v>
      </c>
      <c r="K848">
        <f>セットアップレポート!J848</f>
        <v>0</v>
      </c>
      <c r="L848">
        <f>セットアップレポート!K848</f>
        <v>0</v>
      </c>
      <c r="M848">
        <f>セットアップレポート!L848</f>
        <v>0</v>
      </c>
      <c r="N848">
        <f>セットアップレポート!M848</f>
        <v>0</v>
      </c>
      <c r="O848">
        <f>セットアップレポート!N848</f>
        <v>0</v>
      </c>
      <c r="P848">
        <f>セットアップレポート!O848</f>
        <v>0</v>
      </c>
      <c r="Q848">
        <f>セットアップレポート!P848</f>
        <v>0</v>
      </c>
      <c r="R848">
        <f>セットアップレポート!Q848</f>
        <v>0</v>
      </c>
      <c r="S848">
        <f>セットアップレポート!R848</f>
        <v>0</v>
      </c>
      <c r="T848">
        <f>セットアップレポート!S848</f>
        <v>0</v>
      </c>
      <c r="U848">
        <f>セットアップレポート!T848</f>
        <v>0</v>
      </c>
      <c r="V848">
        <f>セットアップレポート!U848</f>
        <v>0</v>
      </c>
      <c r="W848">
        <f>セットアップレポート!V848</f>
        <v>0</v>
      </c>
      <c r="X848">
        <f>セットアップレポート!W848</f>
        <v>0</v>
      </c>
      <c r="Y848">
        <f>セットアップレポート!X848</f>
        <v>0</v>
      </c>
      <c r="Z848">
        <f>セットアップレポート!Y848</f>
        <v>0</v>
      </c>
      <c r="AA848">
        <f>セットアップレポート!Z848</f>
        <v>0</v>
      </c>
      <c r="AB848">
        <f>セットアップレポート!AA848</f>
        <v>0</v>
      </c>
      <c r="AC848">
        <f>セットアップレポート!AB848</f>
        <v>0</v>
      </c>
      <c r="AD848">
        <f>セットアップレポート!AC848</f>
        <v>0</v>
      </c>
      <c r="AE848">
        <f>セットアップレポート!AD848</f>
        <v>0</v>
      </c>
      <c r="AF848">
        <f>セットアップレポート!AE848</f>
        <v>0</v>
      </c>
      <c r="AG848">
        <f>セットアップレポート!AF848</f>
        <v>0</v>
      </c>
      <c r="AH848">
        <f>セットアップレポート!AG848</f>
        <v>0</v>
      </c>
    </row>
    <row r="849" spans="1:34" x14ac:dyDescent="0.45">
      <c r="A849" t="str">
        <f t="shared" si="13"/>
        <v>000</v>
      </c>
      <c r="B849">
        <f>セットアップレポート!A849</f>
        <v>0</v>
      </c>
      <c r="C849">
        <f>セットアップレポート!B849</f>
        <v>0</v>
      </c>
      <c r="D849">
        <f>セットアップレポート!C849</f>
        <v>0</v>
      </c>
      <c r="E849">
        <f>セットアップレポート!D849</f>
        <v>0</v>
      </c>
      <c r="F849">
        <f>セットアップレポート!E849</f>
        <v>0</v>
      </c>
      <c r="G849">
        <f>セットアップレポート!F849</f>
        <v>0</v>
      </c>
      <c r="H849">
        <f>セットアップレポート!G849</f>
        <v>0</v>
      </c>
      <c r="I849">
        <f>セットアップレポート!H849</f>
        <v>0</v>
      </c>
      <c r="J849">
        <f>セットアップレポート!I849</f>
        <v>0</v>
      </c>
      <c r="K849">
        <f>セットアップレポート!J849</f>
        <v>0</v>
      </c>
      <c r="L849">
        <f>セットアップレポート!K849</f>
        <v>0</v>
      </c>
      <c r="M849">
        <f>セットアップレポート!L849</f>
        <v>0</v>
      </c>
      <c r="N849">
        <f>セットアップレポート!M849</f>
        <v>0</v>
      </c>
      <c r="O849">
        <f>セットアップレポート!N849</f>
        <v>0</v>
      </c>
      <c r="P849">
        <f>セットアップレポート!O849</f>
        <v>0</v>
      </c>
      <c r="Q849">
        <f>セットアップレポート!P849</f>
        <v>0</v>
      </c>
      <c r="R849">
        <f>セットアップレポート!Q849</f>
        <v>0</v>
      </c>
      <c r="S849">
        <f>セットアップレポート!R849</f>
        <v>0</v>
      </c>
      <c r="T849">
        <f>セットアップレポート!S849</f>
        <v>0</v>
      </c>
      <c r="U849">
        <f>セットアップレポート!T849</f>
        <v>0</v>
      </c>
      <c r="V849">
        <f>セットアップレポート!U849</f>
        <v>0</v>
      </c>
      <c r="W849">
        <f>セットアップレポート!V849</f>
        <v>0</v>
      </c>
      <c r="X849">
        <f>セットアップレポート!W849</f>
        <v>0</v>
      </c>
      <c r="Y849">
        <f>セットアップレポート!X849</f>
        <v>0</v>
      </c>
      <c r="Z849">
        <f>セットアップレポート!Y849</f>
        <v>0</v>
      </c>
      <c r="AA849">
        <f>セットアップレポート!Z849</f>
        <v>0</v>
      </c>
      <c r="AB849">
        <f>セットアップレポート!AA849</f>
        <v>0</v>
      </c>
      <c r="AC849">
        <f>セットアップレポート!AB849</f>
        <v>0</v>
      </c>
      <c r="AD849">
        <f>セットアップレポート!AC849</f>
        <v>0</v>
      </c>
      <c r="AE849">
        <f>セットアップレポート!AD849</f>
        <v>0</v>
      </c>
      <c r="AF849">
        <f>セットアップレポート!AE849</f>
        <v>0</v>
      </c>
      <c r="AG849">
        <f>セットアップレポート!AF849</f>
        <v>0</v>
      </c>
      <c r="AH849">
        <f>セットアップレポート!AG849</f>
        <v>0</v>
      </c>
    </row>
    <row r="850" spans="1:34" x14ac:dyDescent="0.45">
      <c r="A850" t="str">
        <f t="shared" si="13"/>
        <v>000</v>
      </c>
      <c r="B850">
        <f>セットアップレポート!A850</f>
        <v>0</v>
      </c>
      <c r="C850">
        <f>セットアップレポート!B850</f>
        <v>0</v>
      </c>
      <c r="D850">
        <f>セットアップレポート!C850</f>
        <v>0</v>
      </c>
      <c r="E850">
        <f>セットアップレポート!D850</f>
        <v>0</v>
      </c>
      <c r="F850">
        <f>セットアップレポート!E850</f>
        <v>0</v>
      </c>
      <c r="G850">
        <f>セットアップレポート!F850</f>
        <v>0</v>
      </c>
      <c r="H850">
        <f>セットアップレポート!G850</f>
        <v>0</v>
      </c>
      <c r="I850">
        <f>セットアップレポート!H850</f>
        <v>0</v>
      </c>
      <c r="J850">
        <f>セットアップレポート!I850</f>
        <v>0</v>
      </c>
      <c r="K850">
        <f>セットアップレポート!J850</f>
        <v>0</v>
      </c>
      <c r="L850">
        <f>セットアップレポート!K850</f>
        <v>0</v>
      </c>
      <c r="M850">
        <f>セットアップレポート!L850</f>
        <v>0</v>
      </c>
      <c r="N850">
        <f>セットアップレポート!M850</f>
        <v>0</v>
      </c>
      <c r="O850">
        <f>セットアップレポート!N850</f>
        <v>0</v>
      </c>
      <c r="P850">
        <f>セットアップレポート!O850</f>
        <v>0</v>
      </c>
      <c r="Q850">
        <f>セットアップレポート!P850</f>
        <v>0</v>
      </c>
      <c r="R850">
        <f>セットアップレポート!Q850</f>
        <v>0</v>
      </c>
      <c r="S850">
        <f>セットアップレポート!R850</f>
        <v>0</v>
      </c>
      <c r="T850">
        <f>セットアップレポート!S850</f>
        <v>0</v>
      </c>
      <c r="U850">
        <f>セットアップレポート!T850</f>
        <v>0</v>
      </c>
      <c r="V850">
        <f>セットアップレポート!U850</f>
        <v>0</v>
      </c>
      <c r="W850">
        <f>セットアップレポート!V850</f>
        <v>0</v>
      </c>
      <c r="X850">
        <f>セットアップレポート!W850</f>
        <v>0</v>
      </c>
      <c r="Y850">
        <f>セットアップレポート!X850</f>
        <v>0</v>
      </c>
      <c r="Z850">
        <f>セットアップレポート!Y850</f>
        <v>0</v>
      </c>
      <c r="AA850">
        <f>セットアップレポート!Z850</f>
        <v>0</v>
      </c>
      <c r="AB850">
        <f>セットアップレポート!AA850</f>
        <v>0</v>
      </c>
      <c r="AC850">
        <f>セットアップレポート!AB850</f>
        <v>0</v>
      </c>
      <c r="AD850">
        <f>セットアップレポート!AC850</f>
        <v>0</v>
      </c>
      <c r="AE850">
        <f>セットアップレポート!AD850</f>
        <v>0</v>
      </c>
      <c r="AF850">
        <f>セットアップレポート!AE850</f>
        <v>0</v>
      </c>
      <c r="AG850">
        <f>セットアップレポート!AF850</f>
        <v>0</v>
      </c>
      <c r="AH850">
        <f>セットアップレポート!AG850</f>
        <v>0</v>
      </c>
    </row>
    <row r="851" spans="1:34" x14ac:dyDescent="0.45">
      <c r="A851" t="str">
        <f t="shared" si="13"/>
        <v>000</v>
      </c>
      <c r="B851">
        <f>セットアップレポート!A851</f>
        <v>0</v>
      </c>
      <c r="C851">
        <f>セットアップレポート!B851</f>
        <v>0</v>
      </c>
      <c r="D851">
        <f>セットアップレポート!C851</f>
        <v>0</v>
      </c>
      <c r="E851">
        <f>セットアップレポート!D851</f>
        <v>0</v>
      </c>
      <c r="F851">
        <f>セットアップレポート!E851</f>
        <v>0</v>
      </c>
      <c r="G851">
        <f>セットアップレポート!F851</f>
        <v>0</v>
      </c>
      <c r="H851">
        <f>セットアップレポート!G851</f>
        <v>0</v>
      </c>
      <c r="I851">
        <f>セットアップレポート!H851</f>
        <v>0</v>
      </c>
      <c r="J851">
        <f>セットアップレポート!I851</f>
        <v>0</v>
      </c>
      <c r="K851">
        <f>セットアップレポート!J851</f>
        <v>0</v>
      </c>
      <c r="L851">
        <f>セットアップレポート!K851</f>
        <v>0</v>
      </c>
      <c r="M851">
        <f>セットアップレポート!L851</f>
        <v>0</v>
      </c>
      <c r="N851">
        <f>セットアップレポート!M851</f>
        <v>0</v>
      </c>
      <c r="O851">
        <f>セットアップレポート!N851</f>
        <v>0</v>
      </c>
      <c r="P851">
        <f>セットアップレポート!O851</f>
        <v>0</v>
      </c>
      <c r="Q851">
        <f>セットアップレポート!P851</f>
        <v>0</v>
      </c>
      <c r="R851">
        <f>セットアップレポート!Q851</f>
        <v>0</v>
      </c>
      <c r="S851">
        <f>セットアップレポート!R851</f>
        <v>0</v>
      </c>
      <c r="T851">
        <f>セットアップレポート!S851</f>
        <v>0</v>
      </c>
      <c r="U851">
        <f>セットアップレポート!T851</f>
        <v>0</v>
      </c>
      <c r="V851">
        <f>セットアップレポート!U851</f>
        <v>0</v>
      </c>
      <c r="W851">
        <f>セットアップレポート!V851</f>
        <v>0</v>
      </c>
      <c r="X851">
        <f>セットアップレポート!W851</f>
        <v>0</v>
      </c>
      <c r="Y851">
        <f>セットアップレポート!X851</f>
        <v>0</v>
      </c>
      <c r="Z851">
        <f>セットアップレポート!Y851</f>
        <v>0</v>
      </c>
      <c r="AA851">
        <f>セットアップレポート!Z851</f>
        <v>0</v>
      </c>
      <c r="AB851">
        <f>セットアップレポート!AA851</f>
        <v>0</v>
      </c>
      <c r="AC851">
        <f>セットアップレポート!AB851</f>
        <v>0</v>
      </c>
      <c r="AD851">
        <f>セットアップレポート!AC851</f>
        <v>0</v>
      </c>
      <c r="AE851">
        <f>セットアップレポート!AD851</f>
        <v>0</v>
      </c>
      <c r="AF851">
        <f>セットアップレポート!AE851</f>
        <v>0</v>
      </c>
      <c r="AG851">
        <f>セットアップレポート!AF851</f>
        <v>0</v>
      </c>
      <c r="AH851">
        <f>セットアップレポート!AG851</f>
        <v>0</v>
      </c>
    </row>
    <row r="852" spans="1:34" x14ac:dyDescent="0.45">
      <c r="A852" t="str">
        <f t="shared" si="13"/>
        <v>000</v>
      </c>
      <c r="B852">
        <f>セットアップレポート!A852</f>
        <v>0</v>
      </c>
      <c r="C852">
        <f>セットアップレポート!B852</f>
        <v>0</v>
      </c>
      <c r="D852">
        <f>セットアップレポート!C852</f>
        <v>0</v>
      </c>
      <c r="E852">
        <f>セットアップレポート!D852</f>
        <v>0</v>
      </c>
      <c r="F852">
        <f>セットアップレポート!E852</f>
        <v>0</v>
      </c>
      <c r="G852">
        <f>セットアップレポート!F852</f>
        <v>0</v>
      </c>
      <c r="H852">
        <f>セットアップレポート!G852</f>
        <v>0</v>
      </c>
      <c r="I852">
        <f>セットアップレポート!H852</f>
        <v>0</v>
      </c>
      <c r="J852">
        <f>セットアップレポート!I852</f>
        <v>0</v>
      </c>
      <c r="K852">
        <f>セットアップレポート!J852</f>
        <v>0</v>
      </c>
      <c r="L852">
        <f>セットアップレポート!K852</f>
        <v>0</v>
      </c>
      <c r="M852">
        <f>セットアップレポート!L852</f>
        <v>0</v>
      </c>
      <c r="N852">
        <f>セットアップレポート!M852</f>
        <v>0</v>
      </c>
      <c r="O852">
        <f>セットアップレポート!N852</f>
        <v>0</v>
      </c>
      <c r="P852">
        <f>セットアップレポート!O852</f>
        <v>0</v>
      </c>
      <c r="Q852">
        <f>セットアップレポート!P852</f>
        <v>0</v>
      </c>
      <c r="R852">
        <f>セットアップレポート!Q852</f>
        <v>0</v>
      </c>
      <c r="S852">
        <f>セットアップレポート!R852</f>
        <v>0</v>
      </c>
      <c r="T852">
        <f>セットアップレポート!S852</f>
        <v>0</v>
      </c>
      <c r="U852">
        <f>セットアップレポート!T852</f>
        <v>0</v>
      </c>
      <c r="V852">
        <f>セットアップレポート!U852</f>
        <v>0</v>
      </c>
      <c r="W852">
        <f>セットアップレポート!V852</f>
        <v>0</v>
      </c>
      <c r="X852">
        <f>セットアップレポート!W852</f>
        <v>0</v>
      </c>
      <c r="Y852">
        <f>セットアップレポート!X852</f>
        <v>0</v>
      </c>
      <c r="Z852">
        <f>セットアップレポート!Y852</f>
        <v>0</v>
      </c>
      <c r="AA852">
        <f>セットアップレポート!Z852</f>
        <v>0</v>
      </c>
      <c r="AB852">
        <f>セットアップレポート!AA852</f>
        <v>0</v>
      </c>
      <c r="AC852">
        <f>セットアップレポート!AB852</f>
        <v>0</v>
      </c>
      <c r="AD852">
        <f>セットアップレポート!AC852</f>
        <v>0</v>
      </c>
      <c r="AE852">
        <f>セットアップレポート!AD852</f>
        <v>0</v>
      </c>
      <c r="AF852">
        <f>セットアップレポート!AE852</f>
        <v>0</v>
      </c>
      <c r="AG852">
        <f>セットアップレポート!AF852</f>
        <v>0</v>
      </c>
      <c r="AH852">
        <f>セットアップレポート!AG852</f>
        <v>0</v>
      </c>
    </row>
    <row r="853" spans="1:34" x14ac:dyDescent="0.45">
      <c r="A853" t="str">
        <f t="shared" si="13"/>
        <v>000</v>
      </c>
      <c r="B853">
        <f>セットアップレポート!A853</f>
        <v>0</v>
      </c>
      <c r="C853">
        <f>セットアップレポート!B853</f>
        <v>0</v>
      </c>
      <c r="D853">
        <f>セットアップレポート!C853</f>
        <v>0</v>
      </c>
      <c r="E853">
        <f>セットアップレポート!D853</f>
        <v>0</v>
      </c>
      <c r="F853">
        <f>セットアップレポート!E853</f>
        <v>0</v>
      </c>
      <c r="G853">
        <f>セットアップレポート!F853</f>
        <v>0</v>
      </c>
      <c r="H853">
        <f>セットアップレポート!G853</f>
        <v>0</v>
      </c>
      <c r="I853">
        <f>セットアップレポート!H853</f>
        <v>0</v>
      </c>
      <c r="J853">
        <f>セットアップレポート!I853</f>
        <v>0</v>
      </c>
      <c r="K853">
        <f>セットアップレポート!J853</f>
        <v>0</v>
      </c>
      <c r="L853">
        <f>セットアップレポート!K853</f>
        <v>0</v>
      </c>
      <c r="M853">
        <f>セットアップレポート!L853</f>
        <v>0</v>
      </c>
      <c r="N853">
        <f>セットアップレポート!M853</f>
        <v>0</v>
      </c>
      <c r="O853">
        <f>セットアップレポート!N853</f>
        <v>0</v>
      </c>
      <c r="P853">
        <f>セットアップレポート!O853</f>
        <v>0</v>
      </c>
      <c r="Q853">
        <f>セットアップレポート!P853</f>
        <v>0</v>
      </c>
      <c r="R853">
        <f>セットアップレポート!Q853</f>
        <v>0</v>
      </c>
      <c r="S853">
        <f>セットアップレポート!R853</f>
        <v>0</v>
      </c>
      <c r="T853">
        <f>セットアップレポート!S853</f>
        <v>0</v>
      </c>
      <c r="U853">
        <f>セットアップレポート!T853</f>
        <v>0</v>
      </c>
      <c r="V853">
        <f>セットアップレポート!U853</f>
        <v>0</v>
      </c>
      <c r="W853">
        <f>セットアップレポート!V853</f>
        <v>0</v>
      </c>
      <c r="X853">
        <f>セットアップレポート!W853</f>
        <v>0</v>
      </c>
      <c r="Y853">
        <f>セットアップレポート!X853</f>
        <v>0</v>
      </c>
      <c r="Z853">
        <f>セットアップレポート!Y853</f>
        <v>0</v>
      </c>
      <c r="AA853">
        <f>セットアップレポート!Z853</f>
        <v>0</v>
      </c>
      <c r="AB853">
        <f>セットアップレポート!AA853</f>
        <v>0</v>
      </c>
      <c r="AC853">
        <f>セットアップレポート!AB853</f>
        <v>0</v>
      </c>
      <c r="AD853">
        <f>セットアップレポート!AC853</f>
        <v>0</v>
      </c>
      <c r="AE853">
        <f>セットアップレポート!AD853</f>
        <v>0</v>
      </c>
      <c r="AF853">
        <f>セットアップレポート!AE853</f>
        <v>0</v>
      </c>
      <c r="AG853">
        <f>セットアップレポート!AF853</f>
        <v>0</v>
      </c>
      <c r="AH853">
        <f>セットアップレポート!AG853</f>
        <v>0</v>
      </c>
    </row>
    <row r="854" spans="1:34" x14ac:dyDescent="0.45">
      <c r="A854" t="str">
        <f t="shared" si="13"/>
        <v>000</v>
      </c>
      <c r="B854">
        <f>セットアップレポート!A854</f>
        <v>0</v>
      </c>
      <c r="C854">
        <f>セットアップレポート!B854</f>
        <v>0</v>
      </c>
      <c r="D854">
        <f>セットアップレポート!C854</f>
        <v>0</v>
      </c>
      <c r="E854">
        <f>セットアップレポート!D854</f>
        <v>0</v>
      </c>
      <c r="F854">
        <f>セットアップレポート!E854</f>
        <v>0</v>
      </c>
      <c r="G854">
        <f>セットアップレポート!F854</f>
        <v>0</v>
      </c>
      <c r="H854">
        <f>セットアップレポート!G854</f>
        <v>0</v>
      </c>
      <c r="I854">
        <f>セットアップレポート!H854</f>
        <v>0</v>
      </c>
      <c r="J854">
        <f>セットアップレポート!I854</f>
        <v>0</v>
      </c>
      <c r="K854">
        <f>セットアップレポート!J854</f>
        <v>0</v>
      </c>
      <c r="L854">
        <f>セットアップレポート!K854</f>
        <v>0</v>
      </c>
      <c r="M854">
        <f>セットアップレポート!L854</f>
        <v>0</v>
      </c>
      <c r="N854">
        <f>セットアップレポート!M854</f>
        <v>0</v>
      </c>
      <c r="O854">
        <f>セットアップレポート!N854</f>
        <v>0</v>
      </c>
      <c r="P854">
        <f>セットアップレポート!O854</f>
        <v>0</v>
      </c>
      <c r="Q854">
        <f>セットアップレポート!P854</f>
        <v>0</v>
      </c>
      <c r="R854">
        <f>セットアップレポート!Q854</f>
        <v>0</v>
      </c>
      <c r="S854">
        <f>セットアップレポート!R854</f>
        <v>0</v>
      </c>
      <c r="T854">
        <f>セットアップレポート!S854</f>
        <v>0</v>
      </c>
      <c r="U854">
        <f>セットアップレポート!T854</f>
        <v>0</v>
      </c>
      <c r="V854">
        <f>セットアップレポート!U854</f>
        <v>0</v>
      </c>
      <c r="W854">
        <f>セットアップレポート!V854</f>
        <v>0</v>
      </c>
      <c r="X854">
        <f>セットアップレポート!W854</f>
        <v>0</v>
      </c>
      <c r="Y854">
        <f>セットアップレポート!X854</f>
        <v>0</v>
      </c>
      <c r="Z854">
        <f>セットアップレポート!Y854</f>
        <v>0</v>
      </c>
      <c r="AA854">
        <f>セットアップレポート!Z854</f>
        <v>0</v>
      </c>
      <c r="AB854">
        <f>セットアップレポート!AA854</f>
        <v>0</v>
      </c>
      <c r="AC854">
        <f>セットアップレポート!AB854</f>
        <v>0</v>
      </c>
      <c r="AD854">
        <f>セットアップレポート!AC854</f>
        <v>0</v>
      </c>
      <c r="AE854">
        <f>セットアップレポート!AD854</f>
        <v>0</v>
      </c>
      <c r="AF854">
        <f>セットアップレポート!AE854</f>
        <v>0</v>
      </c>
      <c r="AG854">
        <f>セットアップレポート!AF854</f>
        <v>0</v>
      </c>
      <c r="AH854">
        <f>セットアップレポート!AG854</f>
        <v>0</v>
      </c>
    </row>
    <row r="855" spans="1:34" x14ac:dyDescent="0.45">
      <c r="A855" t="str">
        <f t="shared" si="13"/>
        <v>000</v>
      </c>
      <c r="B855">
        <f>セットアップレポート!A855</f>
        <v>0</v>
      </c>
      <c r="C855">
        <f>セットアップレポート!B855</f>
        <v>0</v>
      </c>
      <c r="D855">
        <f>セットアップレポート!C855</f>
        <v>0</v>
      </c>
      <c r="E855">
        <f>セットアップレポート!D855</f>
        <v>0</v>
      </c>
      <c r="F855">
        <f>セットアップレポート!E855</f>
        <v>0</v>
      </c>
      <c r="G855">
        <f>セットアップレポート!F855</f>
        <v>0</v>
      </c>
      <c r="H855">
        <f>セットアップレポート!G855</f>
        <v>0</v>
      </c>
      <c r="I855">
        <f>セットアップレポート!H855</f>
        <v>0</v>
      </c>
      <c r="J855">
        <f>セットアップレポート!I855</f>
        <v>0</v>
      </c>
      <c r="K855">
        <f>セットアップレポート!J855</f>
        <v>0</v>
      </c>
      <c r="L855">
        <f>セットアップレポート!K855</f>
        <v>0</v>
      </c>
      <c r="M855">
        <f>セットアップレポート!L855</f>
        <v>0</v>
      </c>
      <c r="N855">
        <f>セットアップレポート!M855</f>
        <v>0</v>
      </c>
      <c r="O855">
        <f>セットアップレポート!N855</f>
        <v>0</v>
      </c>
      <c r="P855">
        <f>セットアップレポート!O855</f>
        <v>0</v>
      </c>
      <c r="Q855">
        <f>セットアップレポート!P855</f>
        <v>0</v>
      </c>
      <c r="R855">
        <f>セットアップレポート!Q855</f>
        <v>0</v>
      </c>
      <c r="S855">
        <f>セットアップレポート!R855</f>
        <v>0</v>
      </c>
      <c r="T855">
        <f>セットアップレポート!S855</f>
        <v>0</v>
      </c>
      <c r="U855">
        <f>セットアップレポート!T855</f>
        <v>0</v>
      </c>
      <c r="V855">
        <f>セットアップレポート!U855</f>
        <v>0</v>
      </c>
      <c r="W855">
        <f>セットアップレポート!V855</f>
        <v>0</v>
      </c>
      <c r="X855">
        <f>セットアップレポート!W855</f>
        <v>0</v>
      </c>
      <c r="Y855">
        <f>セットアップレポート!X855</f>
        <v>0</v>
      </c>
      <c r="Z855">
        <f>セットアップレポート!Y855</f>
        <v>0</v>
      </c>
      <c r="AA855">
        <f>セットアップレポート!Z855</f>
        <v>0</v>
      </c>
      <c r="AB855">
        <f>セットアップレポート!AA855</f>
        <v>0</v>
      </c>
      <c r="AC855">
        <f>セットアップレポート!AB855</f>
        <v>0</v>
      </c>
      <c r="AD855">
        <f>セットアップレポート!AC855</f>
        <v>0</v>
      </c>
      <c r="AE855">
        <f>セットアップレポート!AD855</f>
        <v>0</v>
      </c>
      <c r="AF855">
        <f>セットアップレポート!AE855</f>
        <v>0</v>
      </c>
      <c r="AG855">
        <f>セットアップレポート!AF855</f>
        <v>0</v>
      </c>
      <c r="AH855">
        <f>セットアップレポート!AG855</f>
        <v>0</v>
      </c>
    </row>
    <row r="856" spans="1:34" x14ac:dyDescent="0.45">
      <c r="A856" t="str">
        <f t="shared" si="13"/>
        <v>000</v>
      </c>
      <c r="B856">
        <f>セットアップレポート!A856</f>
        <v>0</v>
      </c>
      <c r="C856">
        <f>セットアップレポート!B856</f>
        <v>0</v>
      </c>
      <c r="D856">
        <f>セットアップレポート!C856</f>
        <v>0</v>
      </c>
      <c r="E856">
        <f>セットアップレポート!D856</f>
        <v>0</v>
      </c>
      <c r="F856">
        <f>セットアップレポート!E856</f>
        <v>0</v>
      </c>
      <c r="G856">
        <f>セットアップレポート!F856</f>
        <v>0</v>
      </c>
      <c r="H856">
        <f>セットアップレポート!G856</f>
        <v>0</v>
      </c>
      <c r="I856">
        <f>セットアップレポート!H856</f>
        <v>0</v>
      </c>
      <c r="J856">
        <f>セットアップレポート!I856</f>
        <v>0</v>
      </c>
      <c r="K856">
        <f>セットアップレポート!J856</f>
        <v>0</v>
      </c>
      <c r="L856">
        <f>セットアップレポート!K856</f>
        <v>0</v>
      </c>
      <c r="M856">
        <f>セットアップレポート!L856</f>
        <v>0</v>
      </c>
      <c r="N856">
        <f>セットアップレポート!M856</f>
        <v>0</v>
      </c>
      <c r="O856">
        <f>セットアップレポート!N856</f>
        <v>0</v>
      </c>
      <c r="P856">
        <f>セットアップレポート!O856</f>
        <v>0</v>
      </c>
      <c r="Q856">
        <f>セットアップレポート!P856</f>
        <v>0</v>
      </c>
      <c r="R856">
        <f>セットアップレポート!Q856</f>
        <v>0</v>
      </c>
      <c r="S856">
        <f>セットアップレポート!R856</f>
        <v>0</v>
      </c>
      <c r="T856">
        <f>セットアップレポート!S856</f>
        <v>0</v>
      </c>
      <c r="U856">
        <f>セットアップレポート!T856</f>
        <v>0</v>
      </c>
      <c r="V856">
        <f>セットアップレポート!U856</f>
        <v>0</v>
      </c>
      <c r="W856">
        <f>セットアップレポート!V856</f>
        <v>0</v>
      </c>
      <c r="X856">
        <f>セットアップレポート!W856</f>
        <v>0</v>
      </c>
      <c r="Y856">
        <f>セットアップレポート!X856</f>
        <v>0</v>
      </c>
      <c r="Z856">
        <f>セットアップレポート!Y856</f>
        <v>0</v>
      </c>
      <c r="AA856">
        <f>セットアップレポート!Z856</f>
        <v>0</v>
      </c>
      <c r="AB856">
        <f>セットアップレポート!AA856</f>
        <v>0</v>
      </c>
      <c r="AC856">
        <f>セットアップレポート!AB856</f>
        <v>0</v>
      </c>
      <c r="AD856">
        <f>セットアップレポート!AC856</f>
        <v>0</v>
      </c>
      <c r="AE856">
        <f>セットアップレポート!AD856</f>
        <v>0</v>
      </c>
      <c r="AF856">
        <f>セットアップレポート!AE856</f>
        <v>0</v>
      </c>
      <c r="AG856">
        <f>セットアップレポート!AF856</f>
        <v>0</v>
      </c>
      <c r="AH856">
        <f>セットアップレポート!AG856</f>
        <v>0</v>
      </c>
    </row>
    <row r="857" spans="1:34" x14ac:dyDescent="0.45">
      <c r="A857" t="str">
        <f t="shared" si="13"/>
        <v>000</v>
      </c>
      <c r="B857">
        <f>セットアップレポート!A857</f>
        <v>0</v>
      </c>
      <c r="C857">
        <f>セットアップレポート!B857</f>
        <v>0</v>
      </c>
      <c r="D857">
        <f>セットアップレポート!C857</f>
        <v>0</v>
      </c>
      <c r="E857">
        <f>セットアップレポート!D857</f>
        <v>0</v>
      </c>
      <c r="F857">
        <f>セットアップレポート!E857</f>
        <v>0</v>
      </c>
      <c r="G857">
        <f>セットアップレポート!F857</f>
        <v>0</v>
      </c>
      <c r="H857">
        <f>セットアップレポート!G857</f>
        <v>0</v>
      </c>
      <c r="I857">
        <f>セットアップレポート!H857</f>
        <v>0</v>
      </c>
      <c r="J857">
        <f>セットアップレポート!I857</f>
        <v>0</v>
      </c>
      <c r="K857">
        <f>セットアップレポート!J857</f>
        <v>0</v>
      </c>
      <c r="L857">
        <f>セットアップレポート!K857</f>
        <v>0</v>
      </c>
      <c r="M857">
        <f>セットアップレポート!L857</f>
        <v>0</v>
      </c>
      <c r="N857">
        <f>セットアップレポート!M857</f>
        <v>0</v>
      </c>
      <c r="O857">
        <f>セットアップレポート!N857</f>
        <v>0</v>
      </c>
      <c r="P857">
        <f>セットアップレポート!O857</f>
        <v>0</v>
      </c>
      <c r="Q857">
        <f>セットアップレポート!P857</f>
        <v>0</v>
      </c>
      <c r="R857">
        <f>セットアップレポート!Q857</f>
        <v>0</v>
      </c>
      <c r="S857">
        <f>セットアップレポート!R857</f>
        <v>0</v>
      </c>
      <c r="T857">
        <f>セットアップレポート!S857</f>
        <v>0</v>
      </c>
      <c r="U857">
        <f>セットアップレポート!T857</f>
        <v>0</v>
      </c>
      <c r="V857">
        <f>セットアップレポート!U857</f>
        <v>0</v>
      </c>
      <c r="W857">
        <f>セットアップレポート!V857</f>
        <v>0</v>
      </c>
      <c r="X857">
        <f>セットアップレポート!W857</f>
        <v>0</v>
      </c>
      <c r="Y857">
        <f>セットアップレポート!X857</f>
        <v>0</v>
      </c>
      <c r="Z857">
        <f>セットアップレポート!Y857</f>
        <v>0</v>
      </c>
      <c r="AA857">
        <f>セットアップレポート!Z857</f>
        <v>0</v>
      </c>
      <c r="AB857">
        <f>セットアップレポート!AA857</f>
        <v>0</v>
      </c>
      <c r="AC857">
        <f>セットアップレポート!AB857</f>
        <v>0</v>
      </c>
      <c r="AD857">
        <f>セットアップレポート!AC857</f>
        <v>0</v>
      </c>
      <c r="AE857">
        <f>セットアップレポート!AD857</f>
        <v>0</v>
      </c>
      <c r="AF857">
        <f>セットアップレポート!AE857</f>
        <v>0</v>
      </c>
      <c r="AG857">
        <f>セットアップレポート!AF857</f>
        <v>0</v>
      </c>
      <c r="AH857">
        <f>セットアップレポート!AG857</f>
        <v>0</v>
      </c>
    </row>
    <row r="858" spans="1:34" x14ac:dyDescent="0.45">
      <c r="A858" t="str">
        <f t="shared" si="13"/>
        <v>000</v>
      </c>
      <c r="B858">
        <f>セットアップレポート!A858</f>
        <v>0</v>
      </c>
      <c r="C858">
        <f>セットアップレポート!B858</f>
        <v>0</v>
      </c>
      <c r="D858">
        <f>セットアップレポート!C858</f>
        <v>0</v>
      </c>
      <c r="E858">
        <f>セットアップレポート!D858</f>
        <v>0</v>
      </c>
      <c r="F858">
        <f>セットアップレポート!E858</f>
        <v>0</v>
      </c>
      <c r="G858">
        <f>セットアップレポート!F858</f>
        <v>0</v>
      </c>
      <c r="H858">
        <f>セットアップレポート!G858</f>
        <v>0</v>
      </c>
      <c r="I858">
        <f>セットアップレポート!H858</f>
        <v>0</v>
      </c>
      <c r="J858">
        <f>セットアップレポート!I858</f>
        <v>0</v>
      </c>
      <c r="K858">
        <f>セットアップレポート!J858</f>
        <v>0</v>
      </c>
      <c r="L858">
        <f>セットアップレポート!K858</f>
        <v>0</v>
      </c>
      <c r="M858">
        <f>セットアップレポート!L858</f>
        <v>0</v>
      </c>
      <c r="N858">
        <f>セットアップレポート!M858</f>
        <v>0</v>
      </c>
      <c r="O858">
        <f>セットアップレポート!N858</f>
        <v>0</v>
      </c>
      <c r="P858">
        <f>セットアップレポート!O858</f>
        <v>0</v>
      </c>
      <c r="Q858">
        <f>セットアップレポート!P858</f>
        <v>0</v>
      </c>
      <c r="R858">
        <f>セットアップレポート!Q858</f>
        <v>0</v>
      </c>
      <c r="S858">
        <f>セットアップレポート!R858</f>
        <v>0</v>
      </c>
      <c r="T858">
        <f>セットアップレポート!S858</f>
        <v>0</v>
      </c>
      <c r="U858">
        <f>セットアップレポート!T858</f>
        <v>0</v>
      </c>
      <c r="V858">
        <f>セットアップレポート!U858</f>
        <v>0</v>
      </c>
      <c r="W858">
        <f>セットアップレポート!V858</f>
        <v>0</v>
      </c>
      <c r="X858">
        <f>セットアップレポート!W858</f>
        <v>0</v>
      </c>
      <c r="Y858">
        <f>セットアップレポート!X858</f>
        <v>0</v>
      </c>
      <c r="Z858">
        <f>セットアップレポート!Y858</f>
        <v>0</v>
      </c>
      <c r="AA858">
        <f>セットアップレポート!Z858</f>
        <v>0</v>
      </c>
      <c r="AB858">
        <f>セットアップレポート!AA858</f>
        <v>0</v>
      </c>
      <c r="AC858">
        <f>セットアップレポート!AB858</f>
        <v>0</v>
      </c>
      <c r="AD858">
        <f>セットアップレポート!AC858</f>
        <v>0</v>
      </c>
      <c r="AE858">
        <f>セットアップレポート!AD858</f>
        <v>0</v>
      </c>
      <c r="AF858">
        <f>セットアップレポート!AE858</f>
        <v>0</v>
      </c>
      <c r="AG858">
        <f>セットアップレポート!AF858</f>
        <v>0</v>
      </c>
      <c r="AH858">
        <f>セットアップレポート!AG858</f>
        <v>0</v>
      </c>
    </row>
    <row r="859" spans="1:34" x14ac:dyDescent="0.45">
      <c r="A859" t="str">
        <f t="shared" si="13"/>
        <v>000</v>
      </c>
      <c r="B859">
        <f>セットアップレポート!A859</f>
        <v>0</v>
      </c>
      <c r="C859">
        <f>セットアップレポート!B859</f>
        <v>0</v>
      </c>
      <c r="D859">
        <f>セットアップレポート!C859</f>
        <v>0</v>
      </c>
      <c r="E859">
        <f>セットアップレポート!D859</f>
        <v>0</v>
      </c>
      <c r="F859">
        <f>セットアップレポート!E859</f>
        <v>0</v>
      </c>
      <c r="G859">
        <f>セットアップレポート!F859</f>
        <v>0</v>
      </c>
      <c r="H859">
        <f>セットアップレポート!G859</f>
        <v>0</v>
      </c>
      <c r="I859">
        <f>セットアップレポート!H859</f>
        <v>0</v>
      </c>
      <c r="J859">
        <f>セットアップレポート!I859</f>
        <v>0</v>
      </c>
      <c r="K859">
        <f>セットアップレポート!J859</f>
        <v>0</v>
      </c>
      <c r="L859">
        <f>セットアップレポート!K859</f>
        <v>0</v>
      </c>
      <c r="M859">
        <f>セットアップレポート!L859</f>
        <v>0</v>
      </c>
      <c r="N859">
        <f>セットアップレポート!M859</f>
        <v>0</v>
      </c>
      <c r="O859">
        <f>セットアップレポート!N859</f>
        <v>0</v>
      </c>
      <c r="P859">
        <f>セットアップレポート!O859</f>
        <v>0</v>
      </c>
      <c r="Q859">
        <f>セットアップレポート!P859</f>
        <v>0</v>
      </c>
      <c r="R859">
        <f>セットアップレポート!Q859</f>
        <v>0</v>
      </c>
      <c r="S859">
        <f>セットアップレポート!R859</f>
        <v>0</v>
      </c>
      <c r="T859">
        <f>セットアップレポート!S859</f>
        <v>0</v>
      </c>
      <c r="U859">
        <f>セットアップレポート!T859</f>
        <v>0</v>
      </c>
      <c r="V859">
        <f>セットアップレポート!U859</f>
        <v>0</v>
      </c>
      <c r="W859">
        <f>セットアップレポート!V859</f>
        <v>0</v>
      </c>
      <c r="X859">
        <f>セットアップレポート!W859</f>
        <v>0</v>
      </c>
      <c r="Y859">
        <f>セットアップレポート!X859</f>
        <v>0</v>
      </c>
      <c r="Z859">
        <f>セットアップレポート!Y859</f>
        <v>0</v>
      </c>
      <c r="AA859">
        <f>セットアップレポート!Z859</f>
        <v>0</v>
      </c>
      <c r="AB859">
        <f>セットアップレポート!AA859</f>
        <v>0</v>
      </c>
      <c r="AC859">
        <f>セットアップレポート!AB859</f>
        <v>0</v>
      </c>
      <c r="AD859">
        <f>セットアップレポート!AC859</f>
        <v>0</v>
      </c>
      <c r="AE859">
        <f>セットアップレポート!AD859</f>
        <v>0</v>
      </c>
      <c r="AF859">
        <f>セットアップレポート!AE859</f>
        <v>0</v>
      </c>
      <c r="AG859">
        <f>セットアップレポート!AF859</f>
        <v>0</v>
      </c>
      <c r="AH859">
        <f>セットアップレポート!AG859</f>
        <v>0</v>
      </c>
    </row>
    <row r="860" spans="1:34" x14ac:dyDescent="0.45">
      <c r="A860" t="str">
        <f t="shared" si="13"/>
        <v>000</v>
      </c>
      <c r="B860">
        <f>セットアップレポート!A860</f>
        <v>0</v>
      </c>
      <c r="C860">
        <f>セットアップレポート!B860</f>
        <v>0</v>
      </c>
      <c r="D860">
        <f>セットアップレポート!C860</f>
        <v>0</v>
      </c>
      <c r="E860">
        <f>セットアップレポート!D860</f>
        <v>0</v>
      </c>
      <c r="F860">
        <f>セットアップレポート!E860</f>
        <v>0</v>
      </c>
      <c r="G860">
        <f>セットアップレポート!F860</f>
        <v>0</v>
      </c>
      <c r="H860">
        <f>セットアップレポート!G860</f>
        <v>0</v>
      </c>
      <c r="I860">
        <f>セットアップレポート!H860</f>
        <v>0</v>
      </c>
      <c r="J860">
        <f>セットアップレポート!I860</f>
        <v>0</v>
      </c>
      <c r="K860">
        <f>セットアップレポート!J860</f>
        <v>0</v>
      </c>
      <c r="L860">
        <f>セットアップレポート!K860</f>
        <v>0</v>
      </c>
      <c r="M860">
        <f>セットアップレポート!L860</f>
        <v>0</v>
      </c>
      <c r="N860">
        <f>セットアップレポート!M860</f>
        <v>0</v>
      </c>
      <c r="O860">
        <f>セットアップレポート!N860</f>
        <v>0</v>
      </c>
      <c r="P860">
        <f>セットアップレポート!O860</f>
        <v>0</v>
      </c>
      <c r="Q860">
        <f>セットアップレポート!P860</f>
        <v>0</v>
      </c>
      <c r="R860">
        <f>セットアップレポート!Q860</f>
        <v>0</v>
      </c>
      <c r="S860">
        <f>セットアップレポート!R860</f>
        <v>0</v>
      </c>
      <c r="T860">
        <f>セットアップレポート!S860</f>
        <v>0</v>
      </c>
      <c r="U860">
        <f>セットアップレポート!T860</f>
        <v>0</v>
      </c>
      <c r="V860">
        <f>セットアップレポート!U860</f>
        <v>0</v>
      </c>
      <c r="W860">
        <f>セットアップレポート!V860</f>
        <v>0</v>
      </c>
      <c r="X860">
        <f>セットアップレポート!W860</f>
        <v>0</v>
      </c>
      <c r="Y860">
        <f>セットアップレポート!X860</f>
        <v>0</v>
      </c>
      <c r="Z860">
        <f>セットアップレポート!Y860</f>
        <v>0</v>
      </c>
      <c r="AA860">
        <f>セットアップレポート!Z860</f>
        <v>0</v>
      </c>
      <c r="AB860">
        <f>セットアップレポート!AA860</f>
        <v>0</v>
      </c>
      <c r="AC860">
        <f>セットアップレポート!AB860</f>
        <v>0</v>
      </c>
      <c r="AD860">
        <f>セットアップレポート!AC860</f>
        <v>0</v>
      </c>
      <c r="AE860">
        <f>セットアップレポート!AD860</f>
        <v>0</v>
      </c>
      <c r="AF860">
        <f>セットアップレポート!AE860</f>
        <v>0</v>
      </c>
      <c r="AG860">
        <f>セットアップレポート!AF860</f>
        <v>0</v>
      </c>
      <c r="AH860">
        <f>セットアップレポート!AG860</f>
        <v>0</v>
      </c>
    </row>
    <row r="861" spans="1:34" x14ac:dyDescent="0.45">
      <c r="A861" t="str">
        <f t="shared" si="13"/>
        <v>000</v>
      </c>
      <c r="B861">
        <f>セットアップレポート!A861</f>
        <v>0</v>
      </c>
      <c r="C861">
        <f>セットアップレポート!B861</f>
        <v>0</v>
      </c>
      <c r="D861">
        <f>セットアップレポート!C861</f>
        <v>0</v>
      </c>
      <c r="E861">
        <f>セットアップレポート!D861</f>
        <v>0</v>
      </c>
      <c r="F861">
        <f>セットアップレポート!E861</f>
        <v>0</v>
      </c>
      <c r="G861">
        <f>セットアップレポート!F861</f>
        <v>0</v>
      </c>
      <c r="H861">
        <f>セットアップレポート!G861</f>
        <v>0</v>
      </c>
      <c r="I861">
        <f>セットアップレポート!H861</f>
        <v>0</v>
      </c>
      <c r="J861">
        <f>セットアップレポート!I861</f>
        <v>0</v>
      </c>
      <c r="K861">
        <f>セットアップレポート!J861</f>
        <v>0</v>
      </c>
      <c r="L861">
        <f>セットアップレポート!K861</f>
        <v>0</v>
      </c>
      <c r="M861">
        <f>セットアップレポート!L861</f>
        <v>0</v>
      </c>
      <c r="N861">
        <f>セットアップレポート!M861</f>
        <v>0</v>
      </c>
      <c r="O861">
        <f>セットアップレポート!N861</f>
        <v>0</v>
      </c>
      <c r="P861">
        <f>セットアップレポート!O861</f>
        <v>0</v>
      </c>
      <c r="Q861">
        <f>セットアップレポート!P861</f>
        <v>0</v>
      </c>
      <c r="R861">
        <f>セットアップレポート!Q861</f>
        <v>0</v>
      </c>
      <c r="S861">
        <f>セットアップレポート!R861</f>
        <v>0</v>
      </c>
      <c r="T861">
        <f>セットアップレポート!S861</f>
        <v>0</v>
      </c>
      <c r="U861">
        <f>セットアップレポート!T861</f>
        <v>0</v>
      </c>
      <c r="V861">
        <f>セットアップレポート!U861</f>
        <v>0</v>
      </c>
      <c r="W861">
        <f>セットアップレポート!V861</f>
        <v>0</v>
      </c>
      <c r="X861">
        <f>セットアップレポート!W861</f>
        <v>0</v>
      </c>
      <c r="Y861">
        <f>セットアップレポート!X861</f>
        <v>0</v>
      </c>
      <c r="Z861">
        <f>セットアップレポート!Y861</f>
        <v>0</v>
      </c>
      <c r="AA861">
        <f>セットアップレポート!Z861</f>
        <v>0</v>
      </c>
      <c r="AB861">
        <f>セットアップレポート!AA861</f>
        <v>0</v>
      </c>
      <c r="AC861">
        <f>セットアップレポート!AB861</f>
        <v>0</v>
      </c>
      <c r="AD861">
        <f>セットアップレポート!AC861</f>
        <v>0</v>
      </c>
      <c r="AE861">
        <f>セットアップレポート!AD861</f>
        <v>0</v>
      </c>
      <c r="AF861">
        <f>セットアップレポート!AE861</f>
        <v>0</v>
      </c>
      <c r="AG861">
        <f>セットアップレポート!AF861</f>
        <v>0</v>
      </c>
      <c r="AH861">
        <f>セットアップレポート!AG861</f>
        <v>0</v>
      </c>
    </row>
    <row r="862" spans="1:34" x14ac:dyDescent="0.45">
      <c r="A862" t="str">
        <f t="shared" si="13"/>
        <v>000</v>
      </c>
      <c r="B862">
        <f>セットアップレポート!A862</f>
        <v>0</v>
      </c>
      <c r="C862">
        <f>セットアップレポート!B862</f>
        <v>0</v>
      </c>
      <c r="D862">
        <f>セットアップレポート!C862</f>
        <v>0</v>
      </c>
      <c r="E862">
        <f>セットアップレポート!D862</f>
        <v>0</v>
      </c>
      <c r="F862">
        <f>セットアップレポート!E862</f>
        <v>0</v>
      </c>
      <c r="G862">
        <f>セットアップレポート!F862</f>
        <v>0</v>
      </c>
      <c r="H862">
        <f>セットアップレポート!G862</f>
        <v>0</v>
      </c>
      <c r="I862">
        <f>セットアップレポート!H862</f>
        <v>0</v>
      </c>
      <c r="J862">
        <f>セットアップレポート!I862</f>
        <v>0</v>
      </c>
      <c r="K862">
        <f>セットアップレポート!J862</f>
        <v>0</v>
      </c>
      <c r="L862">
        <f>セットアップレポート!K862</f>
        <v>0</v>
      </c>
      <c r="M862">
        <f>セットアップレポート!L862</f>
        <v>0</v>
      </c>
      <c r="N862">
        <f>セットアップレポート!M862</f>
        <v>0</v>
      </c>
      <c r="O862">
        <f>セットアップレポート!N862</f>
        <v>0</v>
      </c>
      <c r="P862">
        <f>セットアップレポート!O862</f>
        <v>0</v>
      </c>
      <c r="Q862">
        <f>セットアップレポート!P862</f>
        <v>0</v>
      </c>
      <c r="R862">
        <f>セットアップレポート!Q862</f>
        <v>0</v>
      </c>
      <c r="S862">
        <f>セットアップレポート!R862</f>
        <v>0</v>
      </c>
      <c r="T862">
        <f>セットアップレポート!S862</f>
        <v>0</v>
      </c>
      <c r="U862">
        <f>セットアップレポート!T862</f>
        <v>0</v>
      </c>
      <c r="V862">
        <f>セットアップレポート!U862</f>
        <v>0</v>
      </c>
      <c r="W862">
        <f>セットアップレポート!V862</f>
        <v>0</v>
      </c>
      <c r="X862">
        <f>セットアップレポート!W862</f>
        <v>0</v>
      </c>
      <c r="Y862">
        <f>セットアップレポート!X862</f>
        <v>0</v>
      </c>
      <c r="Z862">
        <f>セットアップレポート!Y862</f>
        <v>0</v>
      </c>
      <c r="AA862">
        <f>セットアップレポート!Z862</f>
        <v>0</v>
      </c>
      <c r="AB862">
        <f>セットアップレポート!AA862</f>
        <v>0</v>
      </c>
      <c r="AC862">
        <f>セットアップレポート!AB862</f>
        <v>0</v>
      </c>
      <c r="AD862">
        <f>セットアップレポート!AC862</f>
        <v>0</v>
      </c>
      <c r="AE862">
        <f>セットアップレポート!AD862</f>
        <v>0</v>
      </c>
      <c r="AF862">
        <f>セットアップレポート!AE862</f>
        <v>0</v>
      </c>
      <c r="AG862">
        <f>セットアップレポート!AF862</f>
        <v>0</v>
      </c>
      <c r="AH862">
        <f>セットアップレポート!AG862</f>
        <v>0</v>
      </c>
    </row>
    <row r="863" spans="1:34" x14ac:dyDescent="0.45">
      <c r="A863" t="str">
        <f t="shared" si="13"/>
        <v>000</v>
      </c>
      <c r="B863">
        <f>セットアップレポート!A863</f>
        <v>0</v>
      </c>
      <c r="C863">
        <f>セットアップレポート!B863</f>
        <v>0</v>
      </c>
      <c r="D863">
        <f>セットアップレポート!C863</f>
        <v>0</v>
      </c>
      <c r="E863">
        <f>セットアップレポート!D863</f>
        <v>0</v>
      </c>
      <c r="F863">
        <f>セットアップレポート!E863</f>
        <v>0</v>
      </c>
      <c r="G863">
        <f>セットアップレポート!F863</f>
        <v>0</v>
      </c>
      <c r="H863">
        <f>セットアップレポート!G863</f>
        <v>0</v>
      </c>
      <c r="I863">
        <f>セットアップレポート!H863</f>
        <v>0</v>
      </c>
      <c r="J863">
        <f>セットアップレポート!I863</f>
        <v>0</v>
      </c>
      <c r="K863">
        <f>セットアップレポート!J863</f>
        <v>0</v>
      </c>
      <c r="L863">
        <f>セットアップレポート!K863</f>
        <v>0</v>
      </c>
      <c r="M863">
        <f>セットアップレポート!L863</f>
        <v>0</v>
      </c>
      <c r="N863">
        <f>セットアップレポート!M863</f>
        <v>0</v>
      </c>
      <c r="O863">
        <f>セットアップレポート!N863</f>
        <v>0</v>
      </c>
      <c r="P863">
        <f>セットアップレポート!O863</f>
        <v>0</v>
      </c>
      <c r="Q863">
        <f>セットアップレポート!P863</f>
        <v>0</v>
      </c>
      <c r="R863">
        <f>セットアップレポート!Q863</f>
        <v>0</v>
      </c>
      <c r="S863">
        <f>セットアップレポート!R863</f>
        <v>0</v>
      </c>
      <c r="T863">
        <f>セットアップレポート!S863</f>
        <v>0</v>
      </c>
      <c r="U863">
        <f>セットアップレポート!T863</f>
        <v>0</v>
      </c>
      <c r="V863">
        <f>セットアップレポート!U863</f>
        <v>0</v>
      </c>
      <c r="W863">
        <f>セットアップレポート!V863</f>
        <v>0</v>
      </c>
      <c r="X863">
        <f>セットアップレポート!W863</f>
        <v>0</v>
      </c>
      <c r="Y863">
        <f>セットアップレポート!X863</f>
        <v>0</v>
      </c>
      <c r="Z863">
        <f>セットアップレポート!Y863</f>
        <v>0</v>
      </c>
      <c r="AA863">
        <f>セットアップレポート!Z863</f>
        <v>0</v>
      </c>
      <c r="AB863">
        <f>セットアップレポート!AA863</f>
        <v>0</v>
      </c>
      <c r="AC863">
        <f>セットアップレポート!AB863</f>
        <v>0</v>
      </c>
      <c r="AD863">
        <f>セットアップレポート!AC863</f>
        <v>0</v>
      </c>
      <c r="AE863">
        <f>セットアップレポート!AD863</f>
        <v>0</v>
      </c>
      <c r="AF863">
        <f>セットアップレポート!AE863</f>
        <v>0</v>
      </c>
      <c r="AG863">
        <f>セットアップレポート!AF863</f>
        <v>0</v>
      </c>
      <c r="AH863">
        <f>セットアップレポート!AG863</f>
        <v>0</v>
      </c>
    </row>
    <row r="864" spans="1:34" x14ac:dyDescent="0.45">
      <c r="A864" t="str">
        <f t="shared" si="13"/>
        <v>000</v>
      </c>
      <c r="B864">
        <f>セットアップレポート!A864</f>
        <v>0</v>
      </c>
      <c r="C864">
        <f>セットアップレポート!B864</f>
        <v>0</v>
      </c>
      <c r="D864">
        <f>セットアップレポート!C864</f>
        <v>0</v>
      </c>
      <c r="E864">
        <f>セットアップレポート!D864</f>
        <v>0</v>
      </c>
      <c r="F864">
        <f>セットアップレポート!E864</f>
        <v>0</v>
      </c>
      <c r="G864">
        <f>セットアップレポート!F864</f>
        <v>0</v>
      </c>
      <c r="H864">
        <f>セットアップレポート!G864</f>
        <v>0</v>
      </c>
      <c r="I864">
        <f>セットアップレポート!H864</f>
        <v>0</v>
      </c>
      <c r="J864">
        <f>セットアップレポート!I864</f>
        <v>0</v>
      </c>
      <c r="K864">
        <f>セットアップレポート!J864</f>
        <v>0</v>
      </c>
      <c r="L864">
        <f>セットアップレポート!K864</f>
        <v>0</v>
      </c>
      <c r="M864">
        <f>セットアップレポート!L864</f>
        <v>0</v>
      </c>
      <c r="N864">
        <f>セットアップレポート!M864</f>
        <v>0</v>
      </c>
      <c r="O864">
        <f>セットアップレポート!N864</f>
        <v>0</v>
      </c>
      <c r="P864">
        <f>セットアップレポート!O864</f>
        <v>0</v>
      </c>
      <c r="Q864">
        <f>セットアップレポート!P864</f>
        <v>0</v>
      </c>
      <c r="R864">
        <f>セットアップレポート!Q864</f>
        <v>0</v>
      </c>
      <c r="S864">
        <f>セットアップレポート!R864</f>
        <v>0</v>
      </c>
      <c r="T864">
        <f>セットアップレポート!S864</f>
        <v>0</v>
      </c>
      <c r="U864">
        <f>セットアップレポート!T864</f>
        <v>0</v>
      </c>
      <c r="V864">
        <f>セットアップレポート!U864</f>
        <v>0</v>
      </c>
      <c r="W864">
        <f>セットアップレポート!V864</f>
        <v>0</v>
      </c>
      <c r="X864">
        <f>セットアップレポート!W864</f>
        <v>0</v>
      </c>
      <c r="Y864">
        <f>セットアップレポート!X864</f>
        <v>0</v>
      </c>
      <c r="Z864">
        <f>セットアップレポート!Y864</f>
        <v>0</v>
      </c>
      <c r="AA864">
        <f>セットアップレポート!Z864</f>
        <v>0</v>
      </c>
      <c r="AB864">
        <f>セットアップレポート!AA864</f>
        <v>0</v>
      </c>
      <c r="AC864">
        <f>セットアップレポート!AB864</f>
        <v>0</v>
      </c>
      <c r="AD864">
        <f>セットアップレポート!AC864</f>
        <v>0</v>
      </c>
      <c r="AE864">
        <f>セットアップレポート!AD864</f>
        <v>0</v>
      </c>
      <c r="AF864">
        <f>セットアップレポート!AE864</f>
        <v>0</v>
      </c>
      <c r="AG864">
        <f>セットアップレポート!AF864</f>
        <v>0</v>
      </c>
      <c r="AH864">
        <f>セットアップレポート!AG864</f>
        <v>0</v>
      </c>
    </row>
    <row r="865" spans="1:34" x14ac:dyDescent="0.45">
      <c r="A865" t="str">
        <f t="shared" si="13"/>
        <v>000</v>
      </c>
      <c r="B865">
        <f>セットアップレポート!A865</f>
        <v>0</v>
      </c>
      <c r="C865">
        <f>セットアップレポート!B865</f>
        <v>0</v>
      </c>
      <c r="D865">
        <f>セットアップレポート!C865</f>
        <v>0</v>
      </c>
      <c r="E865">
        <f>セットアップレポート!D865</f>
        <v>0</v>
      </c>
      <c r="F865">
        <f>セットアップレポート!E865</f>
        <v>0</v>
      </c>
      <c r="G865">
        <f>セットアップレポート!F865</f>
        <v>0</v>
      </c>
      <c r="H865">
        <f>セットアップレポート!G865</f>
        <v>0</v>
      </c>
      <c r="I865">
        <f>セットアップレポート!H865</f>
        <v>0</v>
      </c>
      <c r="J865">
        <f>セットアップレポート!I865</f>
        <v>0</v>
      </c>
      <c r="K865">
        <f>セットアップレポート!J865</f>
        <v>0</v>
      </c>
      <c r="L865">
        <f>セットアップレポート!K865</f>
        <v>0</v>
      </c>
      <c r="M865">
        <f>セットアップレポート!L865</f>
        <v>0</v>
      </c>
      <c r="N865">
        <f>セットアップレポート!M865</f>
        <v>0</v>
      </c>
      <c r="O865">
        <f>セットアップレポート!N865</f>
        <v>0</v>
      </c>
      <c r="P865">
        <f>セットアップレポート!O865</f>
        <v>0</v>
      </c>
      <c r="Q865">
        <f>セットアップレポート!P865</f>
        <v>0</v>
      </c>
      <c r="R865">
        <f>セットアップレポート!Q865</f>
        <v>0</v>
      </c>
      <c r="S865">
        <f>セットアップレポート!R865</f>
        <v>0</v>
      </c>
      <c r="T865">
        <f>セットアップレポート!S865</f>
        <v>0</v>
      </c>
      <c r="U865">
        <f>セットアップレポート!T865</f>
        <v>0</v>
      </c>
      <c r="V865">
        <f>セットアップレポート!U865</f>
        <v>0</v>
      </c>
      <c r="W865">
        <f>セットアップレポート!V865</f>
        <v>0</v>
      </c>
      <c r="X865">
        <f>セットアップレポート!W865</f>
        <v>0</v>
      </c>
      <c r="Y865">
        <f>セットアップレポート!X865</f>
        <v>0</v>
      </c>
      <c r="Z865">
        <f>セットアップレポート!Y865</f>
        <v>0</v>
      </c>
      <c r="AA865">
        <f>セットアップレポート!Z865</f>
        <v>0</v>
      </c>
      <c r="AB865">
        <f>セットアップレポート!AA865</f>
        <v>0</v>
      </c>
      <c r="AC865">
        <f>セットアップレポート!AB865</f>
        <v>0</v>
      </c>
      <c r="AD865">
        <f>セットアップレポート!AC865</f>
        <v>0</v>
      </c>
      <c r="AE865">
        <f>セットアップレポート!AD865</f>
        <v>0</v>
      </c>
      <c r="AF865">
        <f>セットアップレポート!AE865</f>
        <v>0</v>
      </c>
      <c r="AG865">
        <f>セットアップレポート!AF865</f>
        <v>0</v>
      </c>
      <c r="AH865">
        <f>セットアップレポート!AG865</f>
        <v>0</v>
      </c>
    </row>
    <row r="866" spans="1:34" x14ac:dyDescent="0.45">
      <c r="A866" t="str">
        <f t="shared" si="13"/>
        <v>000</v>
      </c>
      <c r="B866">
        <f>セットアップレポート!A866</f>
        <v>0</v>
      </c>
      <c r="C866">
        <f>セットアップレポート!B866</f>
        <v>0</v>
      </c>
      <c r="D866">
        <f>セットアップレポート!C866</f>
        <v>0</v>
      </c>
      <c r="E866">
        <f>セットアップレポート!D866</f>
        <v>0</v>
      </c>
      <c r="F866">
        <f>セットアップレポート!E866</f>
        <v>0</v>
      </c>
      <c r="G866">
        <f>セットアップレポート!F866</f>
        <v>0</v>
      </c>
      <c r="H866">
        <f>セットアップレポート!G866</f>
        <v>0</v>
      </c>
      <c r="I866">
        <f>セットアップレポート!H866</f>
        <v>0</v>
      </c>
      <c r="J866">
        <f>セットアップレポート!I866</f>
        <v>0</v>
      </c>
      <c r="K866">
        <f>セットアップレポート!J866</f>
        <v>0</v>
      </c>
      <c r="L866">
        <f>セットアップレポート!K866</f>
        <v>0</v>
      </c>
      <c r="M866">
        <f>セットアップレポート!L866</f>
        <v>0</v>
      </c>
      <c r="N866">
        <f>セットアップレポート!M866</f>
        <v>0</v>
      </c>
      <c r="O866">
        <f>セットアップレポート!N866</f>
        <v>0</v>
      </c>
      <c r="P866">
        <f>セットアップレポート!O866</f>
        <v>0</v>
      </c>
      <c r="Q866">
        <f>セットアップレポート!P866</f>
        <v>0</v>
      </c>
      <c r="R866">
        <f>セットアップレポート!Q866</f>
        <v>0</v>
      </c>
      <c r="S866">
        <f>セットアップレポート!R866</f>
        <v>0</v>
      </c>
      <c r="T866">
        <f>セットアップレポート!S866</f>
        <v>0</v>
      </c>
      <c r="U866">
        <f>セットアップレポート!T866</f>
        <v>0</v>
      </c>
      <c r="V866">
        <f>セットアップレポート!U866</f>
        <v>0</v>
      </c>
      <c r="W866">
        <f>セットアップレポート!V866</f>
        <v>0</v>
      </c>
      <c r="X866">
        <f>セットアップレポート!W866</f>
        <v>0</v>
      </c>
      <c r="Y866">
        <f>セットアップレポート!X866</f>
        <v>0</v>
      </c>
      <c r="Z866">
        <f>セットアップレポート!Y866</f>
        <v>0</v>
      </c>
      <c r="AA866">
        <f>セットアップレポート!Z866</f>
        <v>0</v>
      </c>
      <c r="AB866">
        <f>セットアップレポート!AA866</f>
        <v>0</v>
      </c>
      <c r="AC866">
        <f>セットアップレポート!AB866</f>
        <v>0</v>
      </c>
      <c r="AD866">
        <f>セットアップレポート!AC866</f>
        <v>0</v>
      </c>
      <c r="AE866">
        <f>セットアップレポート!AD866</f>
        <v>0</v>
      </c>
      <c r="AF866">
        <f>セットアップレポート!AE866</f>
        <v>0</v>
      </c>
      <c r="AG866">
        <f>セットアップレポート!AF866</f>
        <v>0</v>
      </c>
      <c r="AH866">
        <f>セットアップレポート!AG866</f>
        <v>0</v>
      </c>
    </row>
    <row r="867" spans="1:34" x14ac:dyDescent="0.45">
      <c r="A867" t="str">
        <f t="shared" si="13"/>
        <v>000</v>
      </c>
      <c r="B867">
        <f>セットアップレポート!A867</f>
        <v>0</v>
      </c>
      <c r="C867">
        <f>セットアップレポート!B867</f>
        <v>0</v>
      </c>
      <c r="D867">
        <f>セットアップレポート!C867</f>
        <v>0</v>
      </c>
      <c r="E867">
        <f>セットアップレポート!D867</f>
        <v>0</v>
      </c>
      <c r="F867">
        <f>セットアップレポート!E867</f>
        <v>0</v>
      </c>
      <c r="G867">
        <f>セットアップレポート!F867</f>
        <v>0</v>
      </c>
      <c r="H867">
        <f>セットアップレポート!G867</f>
        <v>0</v>
      </c>
      <c r="I867">
        <f>セットアップレポート!H867</f>
        <v>0</v>
      </c>
      <c r="J867">
        <f>セットアップレポート!I867</f>
        <v>0</v>
      </c>
      <c r="K867">
        <f>セットアップレポート!J867</f>
        <v>0</v>
      </c>
      <c r="L867">
        <f>セットアップレポート!K867</f>
        <v>0</v>
      </c>
      <c r="M867">
        <f>セットアップレポート!L867</f>
        <v>0</v>
      </c>
      <c r="N867">
        <f>セットアップレポート!M867</f>
        <v>0</v>
      </c>
      <c r="O867">
        <f>セットアップレポート!N867</f>
        <v>0</v>
      </c>
      <c r="P867">
        <f>セットアップレポート!O867</f>
        <v>0</v>
      </c>
      <c r="Q867">
        <f>セットアップレポート!P867</f>
        <v>0</v>
      </c>
      <c r="R867">
        <f>セットアップレポート!Q867</f>
        <v>0</v>
      </c>
      <c r="S867">
        <f>セットアップレポート!R867</f>
        <v>0</v>
      </c>
      <c r="T867">
        <f>セットアップレポート!S867</f>
        <v>0</v>
      </c>
      <c r="U867">
        <f>セットアップレポート!T867</f>
        <v>0</v>
      </c>
      <c r="V867">
        <f>セットアップレポート!U867</f>
        <v>0</v>
      </c>
      <c r="W867">
        <f>セットアップレポート!V867</f>
        <v>0</v>
      </c>
      <c r="X867">
        <f>セットアップレポート!W867</f>
        <v>0</v>
      </c>
      <c r="Y867">
        <f>セットアップレポート!X867</f>
        <v>0</v>
      </c>
      <c r="Z867">
        <f>セットアップレポート!Y867</f>
        <v>0</v>
      </c>
      <c r="AA867">
        <f>セットアップレポート!Z867</f>
        <v>0</v>
      </c>
      <c r="AB867">
        <f>セットアップレポート!AA867</f>
        <v>0</v>
      </c>
      <c r="AC867">
        <f>セットアップレポート!AB867</f>
        <v>0</v>
      </c>
      <c r="AD867">
        <f>セットアップレポート!AC867</f>
        <v>0</v>
      </c>
      <c r="AE867">
        <f>セットアップレポート!AD867</f>
        <v>0</v>
      </c>
      <c r="AF867">
        <f>セットアップレポート!AE867</f>
        <v>0</v>
      </c>
      <c r="AG867">
        <f>セットアップレポート!AF867</f>
        <v>0</v>
      </c>
      <c r="AH867">
        <f>セットアップレポート!AG867</f>
        <v>0</v>
      </c>
    </row>
    <row r="868" spans="1:34" x14ac:dyDescent="0.45">
      <c r="A868" t="str">
        <f t="shared" si="13"/>
        <v>000</v>
      </c>
      <c r="B868">
        <f>セットアップレポート!A868</f>
        <v>0</v>
      </c>
      <c r="C868">
        <f>セットアップレポート!B868</f>
        <v>0</v>
      </c>
      <c r="D868">
        <f>セットアップレポート!C868</f>
        <v>0</v>
      </c>
      <c r="E868">
        <f>セットアップレポート!D868</f>
        <v>0</v>
      </c>
      <c r="F868">
        <f>セットアップレポート!E868</f>
        <v>0</v>
      </c>
      <c r="G868">
        <f>セットアップレポート!F868</f>
        <v>0</v>
      </c>
      <c r="H868">
        <f>セットアップレポート!G868</f>
        <v>0</v>
      </c>
      <c r="I868">
        <f>セットアップレポート!H868</f>
        <v>0</v>
      </c>
      <c r="J868">
        <f>セットアップレポート!I868</f>
        <v>0</v>
      </c>
      <c r="K868">
        <f>セットアップレポート!J868</f>
        <v>0</v>
      </c>
      <c r="L868">
        <f>セットアップレポート!K868</f>
        <v>0</v>
      </c>
      <c r="M868">
        <f>セットアップレポート!L868</f>
        <v>0</v>
      </c>
      <c r="N868">
        <f>セットアップレポート!M868</f>
        <v>0</v>
      </c>
      <c r="O868">
        <f>セットアップレポート!N868</f>
        <v>0</v>
      </c>
      <c r="P868">
        <f>セットアップレポート!O868</f>
        <v>0</v>
      </c>
      <c r="Q868">
        <f>セットアップレポート!P868</f>
        <v>0</v>
      </c>
      <c r="R868">
        <f>セットアップレポート!Q868</f>
        <v>0</v>
      </c>
      <c r="S868">
        <f>セットアップレポート!R868</f>
        <v>0</v>
      </c>
      <c r="T868">
        <f>セットアップレポート!S868</f>
        <v>0</v>
      </c>
      <c r="U868">
        <f>セットアップレポート!T868</f>
        <v>0</v>
      </c>
      <c r="V868">
        <f>セットアップレポート!U868</f>
        <v>0</v>
      </c>
      <c r="W868">
        <f>セットアップレポート!V868</f>
        <v>0</v>
      </c>
      <c r="X868">
        <f>セットアップレポート!W868</f>
        <v>0</v>
      </c>
      <c r="Y868">
        <f>セットアップレポート!X868</f>
        <v>0</v>
      </c>
      <c r="Z868">
        <f>セットアップレポート!Y868</f>
        <v>0</v>
      </c>
      <c r="AA868">
        <f>セットアップレポート!Z868</f>
        <v>0</v>
      </c>
      <c r="AB868">
        <f>セットアップレポート!AA868</f>
        <v>0</v>
      </c>
      <c r="AC868">
        <f>セットアップレポート!AB868</f>
        <v>0</v>
      </c>
      <c r="AD868">
        <f>セットアップレポート!AC868</f>
        <v>0</v>
      </c>
      <c r="AE868">
        <f>セットアップレポート!AD868</f>
        <v>0</v>
      </c>
      <c r="AF868">
        <f>セットアップレポート!AE868</f>
        <v>0</v>
      </c>
      <c r="AG868">
        <f>セットアップレポート!AF868</f>
        <v>0</v>
      </c>
      <c r="AH868">
        <f>セットアップレポート!AG868</f>
        <v>0</v>
      </c>
    </row>
    <row r="869" spans="1:34" x14ac:dyDescent="0.45">
      <c r="A869" t="str">
        <f t="shared" si="13"/>
        <v>000</v>
      </c>
      <c r="B869">
        <f>セットアップレポート!A869</f>
        <v>0</v>
      </c>
      <c r="C869">
        <f>セットアップレポート!B869</f>
        <v>0</v>
      </c>
      <c r="D869">
        <f>セットアップレポート!C869</f>
        <v>0</v>
      </c>
      <c r="E869">
        <f>セットアップレポート!D869</f>
        <v>0</v>
      </c>
      <c r="F869">
        <f>セットアップレポート!E869</f>
        <v>0</v>
      </c>
      <c r="G869">
        <f>セットアップレポート!F869</f>
        <v>0</v>
      </c>
      <c r="H869">
        <f>セットアップレポート!G869</f>
        <v>0</v>
      </c>
      <c r="I869">
        <f>セットアップレポート!H869</f>
        <v>0</v>
      </c>
      <c r="J869">
        <f>セットアップレポート!I869</f>
        <v>0</v>
      </c>
      <c r="K869">
        <f>セットアップレポート!J869</f>
        <v>0</v>
      </c>
      <c r="L869">
        <f>セットアップレポート!K869</f>
        <v>0</v>
      </c>
      <c r="M869">
        <f>セットアップレポート!L869</f>
        <v>0</v>
      </c>
      <c r="N869">
        <f>セットアップレポート!M869</f>
        <v>0</v>
      </c>
      <c r="O869">
        <f>セットアップレポート!N869</f>
        <v>0</v>
      </c>
      <c r="P869">
        <f>セットアップレポート!O869</f>
        <v>0</v>
      </c>
      <c r="Q869">
        <f>セットアップレポート!P869</f>
        <v>0</v>
      </c>
      <c r="R869">
        <f>セットアップレポート!Q869</f>
        <v>0</v>
      </c>
      <c r="S869">
        <f>セットアップレポート!R869</f>
        <v>0</v>
      </c>
      <c r="T869">
        <f>セットアップレポート!S869</f>
        <v>0</v>
      </c>
      <c r="U869">
        <f>セットアップレポート!T869</f>
        <v>0</v>
      </c>
      <c r="V869">
        <f>セットアップレポート!U869</f>
        <v>0</v>
      </c>
      <c r="W869">
        <f>セットアップレポート!V869</f>
        <v>0</v>
      </c>
      <c r="X869">
        <f>セットアップレポート!W869</f>
        <v>0</v>
      </c>
      <c r="Y869">
        <f>セットアップレポート!X869</f>
        <v>0</v>
      </c>
      <c r="Z869">
        <f>セットアップレポート!Y869</f>
        <v>0</v>
      </c>
      <c r="AA869">
        <f>セットアップレポート!Z869</f>
        <v>0</v>
      </c>
      <c r="AB869">
        <f>セットアップレポート!AA869</f>
        <v>0</v>
      </c>
      <c r="AC869">
        <f>セットアップレポート!AB869</f>
        <v>0</v>
      </c>
      <c r="AD869">
        <f>セットアップレポート!AC869</f>
        <v>0</v>
      </c>
      <c r="AE869">
        <f>セットアップレポート!AD869</f>
        <v>0</v>
      </c>
      <c r="AF869">
        <f>セットアップレポート!AE869</f>
        <v>0</v>
      </c>
      <c r="AG869">
        <f>セットアップレポート!AF869</f>
        <v>0</v>
      </c>
      <c r="AH869">
        <f>セットアップレポート!AG869</f>
        <v>0</v>
      </c>
    </row>
    <row r="870" spans="1:34" x14ac:dyDescent="0.45">
      <c r="A870" t="str">
        <f t="shared" si="13"/>
        <v>000</v>
      </c>
      <c r="B870">
        <f>セットアップレポート!A870</f>
        <v>0</v>
      </c>
      <c r="C870">
        <f>セットアップレポート!B870</f>
        <v>0</v>
      </c>
      <c r="D870">
        <f>セットアップレポート!C870</f>
        <v>0</v>
      </c>
      <c r="E870">
        <f>セットアップレポート!D870</f>
        <v>0</v>
      </c>
      <c r="F870">
        <f>セットアップレポート!E870</f>
        <v>0</v>
      </c>
      <c r="G870">
        <f>セットアップレポート!F870</f>
        <v>0</v>
      </c>
      <c r="H870">
        <f>セットアップレポート!G870</f>
        <v>0</v>
      </c>
      <c r="I870">
        <f>セットアップレポート!H870</f>
        <v>0</v>
      </c>
      <c r="J870">
        <f>セットアップレポート!I870</f>
        <v>0</v>
      </c>
      <c r="K870">
        <f>セットアップレポート!J870</f>
        <v>0</v>
      </c>
      <c r="L870">
        <f>セットアップレポート!K870</f>
        <v>0</v>
      </c>
      <c r="M870">
        <f>セットアップレポート!L870</f>
        <v>0</v>
      </c>
      <c r="N870">
        <f>セットアップレポート!M870</f>
        <v>0</v>
      </c>
      <c r="O870">
        <f>セットアップレポート!N870</f>
        <v>0</v>
      </c>
      <c r="P870">
        <f>セットアップレポート!O870</f>
        <v>0</v>
      </c>
      <c r="Q870">
        <f>セットアップレポート!P870</f>
        <v>0</v>
      </c>
      <c r="R870">
        <f>セットアップレポート!Q870</f>
        <v>0</v>
      </c>
      <c r="S870">
        <f>セットアップレポート!R870</f>
        <v>0</v>
      </c>
      <c r="T870">
        <f>セットアップレポート!S870</f>
        <v>0</v>
      </c>
      <c r="U870">
        <f>セットアップレポート!T870</f>
        <v>0</v>
      </c>
      <c r="V870">
        <f>セットアップレポート!U870</f>
        <v>0</v>
      </c>
      <c r="W870">
        <f>セットアップレポート!V870</f>
        <v>0</v>
      </c>
      <c r="X870">
        <f>セットアップレポート!W870</f>
        <v>0</v>
      </c>
      <c r="Y870">
        <f>セットアップレポート!X870</f>
        <v>0</v>
      </c>
      <c r="Z870">
        <f>セットアップレポート!Y870</f>
        <v>0</v>
      </c>
      <c r="AA870">
        <f>セットアップレポート!Z870</f>
        <v>0</v>
      </c>
      <c r="AB870">
        <f>セットアップレポート!AA870</f>
        <v>0</v>
      </c>
      <c r="AC870">
        <f>セットアップレポート!AB870</f>
        <v>0</v>
      </c>
      <c r="AD870">
        <f>セットアップレポート!AC870</f>
        <v>0</v>
      </c>
      <c r="AE870">
        <f>セットアップレポート!AD870</f>
        <v>0</v>
      </c>
      <c r="AF870">
        <f>セットアップレポート!AE870</f>
        <v>0</v>
      </c>
      <c r="AG870">
        <f>セットアップレポート!AF870</f>
        <v>0</v>
      </c>
      <c r="AH870">
        <f>セットアップレポート!AG870</f>
        <v>0</v>
      </c>
    </row>
    <row r="871" spans="1:34" x14ac:dyDescent="0.45">
      <c r="A871" t="str">
        <f t="shared" si="13"/>
        <v>000</v>
      </c>
      <c r="B871">
        <f>セットアップレポート!A871</f>
        <v>0</v>
      </c>
      <c r="C871">
        <f>セットアップレポート!B871</f>
        <v>0</v>
      </c>
      <c r="D871">
        <f>セットアップレポート!C871</f>
        <v>0</v>
      </c>
      <c r="E871">
        <f>セットアップレポート!D871</f>
        <v>0</v>
      </c>
      <c r="F871">
        <f>セットアップレポート!E871</f>
        <v>0</v>
      </c>
      <c r="G871">
        <f>セットアップレポート!F871</f>
        <v>0</v>
      </c>
      <c r="H871">
        <f>セットアップレポート!G871</f>
        <v>0</v>
      </c>
      <c r="I871">
        <f>セットアップレポート!H871</f>
        <v>0</v>
      </c>
      <c r="J871">
        <f>セットアップレポート!I871</f>
        <v>0</v>
      </c>
      <c r="K871">
        <f>セットアップレポート!J871</f>
        <v>0</v>
      </c>
      <c r="L871">
        <f>セットアップレポート!K871</f>
        <v>0</v>
      </c>
      <c r="M871">
        <f>セットアップレポート!L871</f>
        <v>0</v>
      </c>
      <c r="N871">
        <f>セットアップレポート!M871</f>
        <v>0</v>
      </c>
      <c r="O871">
        <f>セットアップレポート!N871</f>
        <v>0</v>
      </c>
      <c r="P871">
        <f>セットアップレポート!O871</f>
        <v>0</v>
      </c>
      <c r="Q871">
        <f>セットアップレポート!P871</f>
        <v>0</v>
      </c>
      <c r="R871">
        <f>セットアップレポート!Q871</f>
        <v>0</v>
      </c>
      <c r="S871">
        <f>セットアップレポート!R871</f>
        <v>0</v>
      </c>
      <c r="T871">
        <f>セットアップレポート!S871</f>
        <v>0</v>
      </c>
      <c r="U871">
        <f>セットアップレポート!T871</f>
        <v>0</v>
      </c>
      <c r="V871">
        <f>セットアップレポート!U871</f>
        <v>0</v>
      </c>
      <c r="W871">
        <f>セットアップレポート!V871</f>
        <v>0</v>
      </c>
      <c r="X871">
        <f>セットアップレポート!W871</f>
        <v>0</v>
      </c>
      <c r="Y871">
        <f>セットアップレポート!X871</f>
        <v>0</v>
      </c>
      <c r="Z871">
        <f>セットアップレポート!Y871</f>
        <v>0</v>
      </c>
      <c r="AA871">
        <f>セットアップレポート!Z871</f>
        <v>0</v>
      </c>
      <c r="AB871">
        <f>セットアップレポート!AA871</f>
        <v>0</v>
      </c>
      <c r="AC871">
        <f>セットアップレポート!AB871</f>
        <v>0</v>
      </c>
      <c r="AD871">
        <f>セットアップレポート!AC871</f>
        <v>0</v>
      </c>
      <c r="AE871">
        <f>セットアップレポート!AD871</f>
        <v>0</v>
      </c>
      <c r="AF871">
        <f>セットアップレポート!AE871</f>
        <v>0</v>
      </c>
      <c r="AG871">
        <f>セットアップレポート!AF871</f>
        <v>0</v>
      </c>
      <c r="AH871">
        <f>セットアップレポート!AG871</f>
        <v>0</v>
      </c>
    </row>
    <row r="872" spans="1:34" x14ac:dyDescent="0.45">
      <c r="A872" t="str">
        <f t="shared" si="13"/>
        <v>000</v>
      </c>
      <c r="B872">
        <f>セットアップレポート!A872</f>
        <v>0</v>
      </c>
      <c r="C872">
        <f>セットアップレポート!B872</f>
        <v>0</v>
      </c>
      <c r="D872">
        <f>セットアップレポート!C872</f>
        <v>0</v>
      </c>
      <c r="E872">
        <f>セットアップレポート!D872</f>
        <v>0</v>
      </c>
      <c r="F872">
        <f>セットアップレポート!E872</f>
        <v>0</v>
      </c>
      <c r="G872">
        <f>セットアップレポート!F872</f>
        <v>0</v>
      </c>
      <c r="H872">
        <f>セットアップレポート!G872</f>
        <v>0</v>
      </c>
      <c r="I872">
        <f>セットアップレポート!H872</f>
        <v>0</v>
      </c>
      <c r="J872">
        <f>セットアップレポート!I872</f>
        <v>0</v>
      </c>
      <c r="K872">
        <f>セットアップレポート!J872</f>
        <v>0</v>
      </c>
      <c r="L872">
        <f>セットアップレポート!K872</f>
        <v>0</v>
      </c>
      <c r="M872">
        <f>セットアップレポート!L872</f>
        <v>0</v>
      </c>
      <c r="N872">
        <f>セットアップレポート!M872</f>
        <v>0</v>
      </c>
      <c r="O872">
        <f>セットアップレポート!N872</f>
        <v>0</v>
      </c>
      <c r="P872">
        <f>セットアップレポート!O872</f>
        <v>0</v>
      </c>
      <c r="Q872">
        <f>セットアップレポート!P872</f>
        <v>0</v>
      </c>
      <c r="R872">
        <f>セットアップレポート!Q872</f>
        <v>0</v>
      </c>
      <c r="S872">
        <f>セットアップレポート!R872</f>
        <v>0</v>
      </c>
      <c r="T872">
        <f>セットアップレポート!S872</f>
        <v>0</v>
      </c>
      <c r="U872">
        <f>セットアップレポート!T872</f>
        <v>0</v>
      </c>
      <c r="V872">
        <f>セットアップレポート!U872</f>
        <v>0</v>
      </c>
      <c r="W872">
        <f>セットアップレポート!V872</f>
        <v>0</v>
      </c>
      <c r="X872">
        <f>セットアップレポート!W872</f>
        <v>0</v>
      </c>
      <c r="Y872">
        <f>セットアップレポート!X872</f>
        <v>0</v>
      </c>
      <c r="Z872">
        <f>セットアップレポート!Y872</f>
        <v>0</v>
      </c>
      <c r="AA872">
        <f>セットアップレポート!Z872</f>
        <v>0</v>
      </c>
      <c r="AB872">
        <f>セットアップレポート!AA872</f>
        <v>0</v>
      </c>
      <c r="AC872">
        <f>セットアップレポート!AB872</f>
        <v>0</v>
      </c>
      <c r="AD872">
        <f>セットアップレポート!AC872</f>
        <v>0</v>
      </c>
      <c r="AE872">
        <f>セットアップレポート!AD872</f>
        <v>0</v>
      </c>
      <c r="AF872">
        <f>セットアップレポート!AE872</f>
        <v>0</v>
      </c>
      <c r="AG872">
        <f>セットアップレポート!AF872</f>
        <v>0</v>
      </c>
      <c r="AH872">
        <f>セットアップレポート!AG872</f>
        <v>0</v>
      </c>
    </row>
    <row r="873" spans="1:34" x14ac:dyDescent="0.45">
      <c r="A873" t="str">
        <f t="shared" si="13"/>
        <v>000</v>
      </c>
      <c r="B873">
        <f>セットアップレポート!A873</f>
        <v>0</v>
      </c>
      <c r="C873">
        <f>セットアップレポート!B873</f>
        <v>0</v>
      </c>
      <c r="D873">
        <f>セットアップレポート!C873</f>
        <v>0</v>
      </c>
      <c r="E873">
        <f>セットアップレポート!D873</f>
        <v>0</v>
      </c>
      <c r="F873">
        <f>セットアップレポート!E873</f>
        <v>0</v>
      </c>
      <c r="G873">
        <f>セットアップレポート!F873</f>
        <v>0</v>
      </c>
      <c r="H873">
        <f>セットアップレポート!G873</f>
        <v>0</v>
      </c>
      <c r="I873">
        <f>セットアップレポート!H873</f>
        <v>0</v>
      </c>
      <c r="J873">
        <f>セットアップレポート!I873</f>
        <v>0</v>
      </c>
      <c r="K873">
        <f>セットアップレポート!J873</f>
        <v>0</v>
      </c>
      <c r="L873">
        <f>セットアップレポート!K873</f>
        <v>0</v>
      </c>
      <c r="M873">
        <f>セットアップレポート!L873</f>
        <v>0</v>
      </c>
      <c r="N873">
        <f>セットアップレポート!M873</f>
        <v>0</v>
      </c>
      <c r="O873">
        <f>セットアップレポート!N873</f>
        <v>0</v>
      </c>
      <c r="P873">
        <f>セットアップレポート!O873</f>
        <v>0</v>
      </c>
      <c r="Q873">
        <f>セットアップレポート!P873</f>
        <v>0</v>
      </c>
      <c r="R873">
        <f>セットアップレポート!Q873</f>
        <v>0</v>
      </c>
      <c r="S873">
        <f>セットアップレポート!R873</f>
        <v>0</v>
      </c>
      <c r="T873">
        <f>セットアップレポート!S873</f>
        <v>0</v>
      </c>
      <c r="U873">
        <f>セットアップレポート!T873</f>
        <v>0</v>
      </c>
      <c r="V873">
        <f>セットアップレポート!U873</f>
        <v>0</v>
      </c>
      <c r="W873">
        <f>セットアップレポート!V873</f>
        <v>0</v>
      </c>
      <c r="X873">
        <f>セットアップレポート!W873</f>
        <v>0</v>
      </c>
      <c r="Y873">
        <f>セットアップレポート!X873</f>
        <v>0</v>
      </c>
      <c r="Z873">
        <f>セットアップレポート!Y873</f>
        <v>0</v>
      </c>
      <c r="AA873">
        <f>セットアップレポート!Z873</f>
        <v>0</v>
      </c>
      <c r="AB873">
        <f>セットアップレポート!AA873</f>
        <v>0</v>
      </c>
      <c r="AC873">
        <f>セットアップレポート!AB873</f>
        <v>0</v>
      </c>
      <c r="AD873">
        <f>セットアップレポート!AC873</f>
        <v>0</v>
      </c>
      <c r="AE873">
        <f>セットアップレポート!AD873</f>
        <v>0</v>
      </c>
      <c r="AF873">
        <f>セットアップレポート!AE873</f>
        <v>0</v>
      </c>
      <c r="AG873">
        <f>セットアップレポート!AF873</f>
        <v>0</v>
      </c>
      <c r="AH873">
        <f>セットアップレポート!AG873</f>
        <v>0</v>
      </c>
    </row>
    <row r="874" spans="1:34" x14ac:dyDescent="0.45">
      <c r="A874" t="str">
        <f t="shared" si="13"/>
        <v>000</v>
      </c>
      <c r="B874">
        <f>セットアップレポート!A874</f>
        <v>0</v>
      </c>
      <c r="C874">
        <f>セットアップレポート!B874</f>
        <v>0</v>
      </c>
      <c r="D874">
        <f>セットアップレポート!C874</f>
        <v>0</v>
      </c>
      <c r="E874">
        <f>セットアップレポート!D874</f>
        <v>0</v>
      </c>
      <c r="F874">
        <f>セットアップレポート!E874</f>
        <v>0</v>
      </c>
      <c r="G874">
        <f>セットアップレポート!F874</f>
        <v>0</v>
      </c>
      <c r="H874">
        <f>セットアップレポート!G874</f>
        <v>0</v>
      </c>
      <c r="I874">
        <f>セットアップレポート!H874</f>
        <v>0</v>
      </c>
      <c r="J874">
        <f>セットアップレポート!I874</f>
        <v>0</v>
      </c>
      <c r="K874">
        <f>セットアップレポート!J874</f>
        <v>0</v>
      </c>
      <c r="L874">
        <f>セットアップレポート!K874</f>
        <v>0</v>
      </c>
      <c r="M874">
        <f>セットアップレポート!L874</f>
        <v>0</v>
      </c>
      <c r="N874">
        <f>セットアップレポート!M874</f>
        <v>0</v>
      </c>
      <c r="O874">
        <f>セットアップレポート!N874</f>
        <v>0</v>
      </c>
      <c r="P874">
        <f>セットアップレポート!O874</f>
        <v>0</v>
      </c>
      <c r="Q874">
        <f>セットアップレポート!P874</f>
        <v>0</v>
      </c>
      <c r="R874">
        <f>セットアップレポート!Q874</f>
        <v>0</v>
      </c>
      <c r="S874">
        <f>セットアップレポート!R874</f>
        <v>0</v>
      </c>
      <c r="T874">
        <f>セットアップレポート!S874</f>
        <v>0</v>
      </c>
      <c r="U874">
        <f>セットアップレポート!T874</f>
        <v>0</v>
      </c>
      <c r="V874">
        <f>セットアップレポート!U874</f>
        <v>0</v>
      </c>
      <c r="W874">
        <f>セットアップレポート!V874</f>
        <v>0</v>
      </c>
      <c r="X874">
        <f>セットアップレポート!W874</f>
        <v>0</v>
      </c>
      <c r="Y874">
        <f>セットアップレポート!X874</f>
        <v>0</v>
      </c>
      <c r="Z874">
        <f>セットアップレポート!Y874</f>
        <v>0</v>
      </c>
      <c r="AA874">
        <f>セットアップレポート!Z874</f>
        <v>0</v>
      </c>
      <c r="AB874">
        <f>セットアップレポート!AA874</f>
        <v>0</v>
      </c>
      <c r="AC874">
        <f>セットアップレポート!AB874</f>
        <v>0</v>
      </c>
      <c r="AD874">
        <f>セットアップレポート!AC874</f>
        <v>0</v>
      </c>
      <c r="AE874">
        <f>セットアップレポート!AD874</f>
        <v>0</v>
      </c>
      <c r="AF874">
        <f>セットアップレポート!AE874</f>
        <v>0</v>
      </c>
      <c r="AG874">
        <f>セットアップレポート!AF874</f>
        <v>0</v>
      </c>
      <c r="AH874">
        <f>セットアップレポート!AG874</f>
        <v>0</v>
      </c>
    </row>
    <row r="875" spans="1:34" x14ac:dyDescent="0.45">
      <c r="A875" t="str">
        <f t="shared" si="13"/>
        <v>000</v>
      </c>
      <c r="B875">
        <f>セットアップレポート!A875</f>
        <v>0</v>
      </c>
      <c r="C875">
        <f>セットアップレポート!B875</f>
        <v>0</v>
      </c>
      <c r="D875">
        <f>セットアップレポート!C875</f>
        <v>0</v>
      </c>
      <c r="E875">
        <f>セットアップレポート!D875</f>
        <v>0</v>
      </c>
      <c r="F875">
        <f>セットアップレポート!E875</f>
        <v>0</v>
      </c>
      <c r="G875">
        <f>セットアップレポート!F875</f>
        <v>0</v>
      </c>
      <c r="H875">
        <f>セットアップレポート!G875</f>
        <v>0</v>
      </c>
      <c r="I875">
        <f>セットアップレポート!H875</f>
        <v>0</v>
      </c>
      <c r="J875">
        <f>セットアップレポート!I875</f>
        <v>0</v>
      </c>
      <c r="K875">
        <f>セットアップレポート!J875</f>
        <v>0</v>
      </c>
      <c r="L875">
        <f>セットアップレポート!K875</f>
        <v>0</v>
      </c>
      <c r="M875">
        <f>セットアップレポート!L875</f>
        <v>0</v>
      </c>
      <c r="N875">
        <f>セットアップレポート!M875</f>
        <v>0</v>
      </c>
      <c r="O875">
        <f>セットアップレポート!N875</f>
        <v>0</v>
      </c>
      <c r="P875">
        <f>セットアップレポート!O875</f>
        <v>0</v>
      </c>
      <c r="Q875">
        <f>セットアップレポート!P875</f>
        <v>0</v>
      </c>
      <c r="R875">
        <f>セットアップレポート!Q875</f>
        <v>0</v>
      </c>
      <c r="S875">
        <f>セットアップレポート!R875</f>
        <v>0</v>
      </c>
      <c r="T875">
        <f>セットアップレポート!S875</f>
        <v>0</v>
      </c>
      <c r="U875">
        <f>セットアップレポート!T875</f>
        <v>0</v>
      </c>
      <c r="V875">
        <f>セットアップレポート!U875</f>
        <v>0</v>
      </c>
      <c r="W875">
        <f>セットアップレポート!V875</f>
        <v>0</v>
      </c>
      <c r="X875">
        <f>セットアップレポート!W875</f>
        <v>0</v>
      </c>
      <c r="Y875">
        <f>セットアップレポート!X875</f>
        <v>0</v>
      </c>
      <c r="Z875">
        <f>セットアップレポート!Y875</f>
        <v>0</v>
      </c>
      <c r="AA875">
        <f>セットアップレポート!Z875</f>
        <v>0</v>
      </c>
      <c r="AB875">
        <f>セットアップレポート!AA875</f>
        <v>0</v>
      </c>
      <c r="AC875">
        <f>セットアップレポート!AB875</f>
        <v>0</v>
      </c>
      <c r="AD875">
        <f>セットアップレポート!AC875</f>
        <v>0</v>
      </c>
      <c r="AE875">
        <f>セットアップレポート!AD875</f>
        <v>0</v>
      </c>
      <c r="AF875">
        <f>セットアップレポート!AE875</f>
        <v>0</v>
      </c>
      <c r="AG875">
        <f>セットアップレポート!AF875</f>
        <v>0</v>
      </c>
      <c r="AH875">
        <f>セットアップレポート!AG875</f>
        <v>0</v>
      </c>
    </row>
    <row r="876" spans="1:34" x14ac:dyDescent="0.45">
      <c r="A876" t="str">
        <f t="shared" si="13"/>
        <v>000</v>
      </c>
      <c r="B876">
        <f>セットアップレポート!A876</f>
        <v>0</v>
      </c>
      <c r="C876">
        <f>セットアップレポート!B876</f>
        <v>0</v>
      </c>
      <c r="D876">
        <f>セットアップレポート!C876</f>
        <v>0</v>
      </c>
      <c r="E876">
        <f>セットアップレポート!D876</f>
        <v>0</v>
      </c>
      <c r="F876">
        <f>セットアップレポート!E876</f>
        <v>0</v>
      </c>
      <c r="G876">
        <f>セットアップレポート!F876</f>
        <v>0</v>
      </c>
      <c r="H876">
        <f>セットアップレポート!G876</f>
        <v>0</v>
      </c>
      <c r="I876">
        <f>セットアップレポート!H876</f>
        <v>0</v>
      </c>
      <c r="J876">
        <f>セットアップレポート!I876</f>
        <v>0</v>
      </c>
      <c r="K876">
        <f>セットアップレポート!J876</f>
        <v>0</v>
      </c>
      <c r="L876">
        <f>セットアップレポート!K876</f>
        <v>0</v>
      </c>
      <c r="M876">
        <f>セットアップレポート!L876</f>
        <v>0</v>
      </c>
      <c r="N876">
        <f>セットアップレポート!M876</f>
        <v>0</v>
      </c>
      <c r="O876">
        <f>セットアップレポート!N876</f>
        <v>0</v>
      </c>
      <c r="P876">
        <f>セットアップレポート!O876</f>
        <v>0</v>
      </c>
      <c r="Q876">
        <f>セットアップレポート!P876</f>
        <v>0</v>
      </c>
      <c r="R876">
        <f>セットアップレポート!Q876</f>
        <v>0</v>
      </c>
      <c r="S876">
        <f>セットアップレポート!R876</f>
        <v>0</v>
      </c>
      <c r="T876">
        <f>セットアップレポート!S876</f>
        <v>0</v>
      </c>
      <c r="U876">
        <f>セットアップレポート!T876</f>
        <v>0</v>
      </c>
      <c r="V876">
        <f>セットアップレポート!U876</f>
        <v>0</v>
      </c>
      <c r="W876">
        <f>セットアップレポート!V876</f>
        <v>0</v>
      </c>
      <c r="X876">
        <f>セットアップレポート!W876</f>
        <v>0</v>
      </c>
      <c r="Y876">
        <f>セットアップレポート!X876</f>
        <v>0</v>
      </c>
      <c r="Z876">
        <f>セットアップレポート!Y876</f>
        <v>0</v>
      </c>
      <c r="AA876">
        <f>セットアップレポート!Z876</f>
        <v>0</v>
      </c>
      <c r="AB876">
        <f>セットアップレポート!AA876</f>
        <v>0</v>
      </c>
      <c r="AC876">
        <f>セットアップレポート!AB876</f>
        <v>0</v>
      </c>
      <c r="AD876">
        <f>セットアップレポート!AC876</f>
        <v>0</v>
      </c>
      <c r="AE876">
        <f>セットアップレポート!AD876</f>
        <v>0</v>
      </c>
      <c r="AF876">
        <f>セットアップレポート!AE876</f>
        <v>0</v>
      </c>
      <c r="AG876">
        <f>セットアップレポート!AF876</f>
        <v>0</v>
      </c>
      <c r="AH876">
        <f>セットアップレポート!AG876</f>
        <v>0</v>
      </c>
    </row>
    <row r="877" spans="1:34" x14ac:dyDescent="0.45">
      <c r="A877" t="str">
        <f t="shared" si="13"/>
        <v>000</v>
      </c>
      <c r="B877">
        <f>セットアップレポート!A877</f>
        <v>0</v>
      </c>
      <c r="C877">
        <f>セットアップレポート!B877</f>
        <v>0</v>
      </c>
      <c r="D877">
        <f>セットアップレポート!C877</f>
        <v>0</v>
      </c>
      <c r="E877">
        <f>セットアップレポート!D877</f>
        <v>0</v>
      </c>
      <c r="F877">
        <f>セットアップレポート!E877</f>
        <v>0</v>
      </c>
      <c r="G877">
        <f>セットアップレポート!F877</f>
        <v>0</v>
      </c>
      <c r="H877">
        <f>セットアップレポート!G877</f>
        <v>0</v>
      </c>
      <c r="I877">
        <f>セットアップレポート!H877</f>
        <v>0</v>
      </c>
      <c r="J877">
        <f>セットアップレポート!I877</f>
        <v>0</v>
      </c>
      <c r="K877">
        <f>セットアップレポート!J877</f>
        <v>0</v>
      </c>
      <c r="L877">
        <f>セットアップレポート!K877</f>
        <v>0</v>
      </c>
      <c r="M877">
        <f>セットアップレポート!L877</f>
        <v>0</v>
      </c>
      <c r="N877">
        <f>セットアップレポート!M877</f>
        <v>0</v>
      </c>
      <c r="O877">
        <f>セットアップレポート!N877</f>
        <v>0</v>
      </c>
      <c r="P877">
        <f>セットアップレポート!O877</f>
        <v>0</v>
      </c>
      <c r="Q877">
        <f>セットアップレポート!P877</f>
        <v>0</v>
      </c>
      <c r="R877">
        <f>セットアップレポート!Q877</f>
        <v>0</v>
      </c>
      <c r="S877">
        <f>セットアップレポート!R877</f>
        <v>0</v>
      </c>
      <c r="T877">
        <f>セットアップレポート!S877</f>
        <v>0</v>
      </c>
      <c r="U877">
        <f>セットアップレポート!T877</f>
        <v>0</v>
      </c>
      <c r="V877">
        <f>セットアップレポート!U877</f>
        <v>0</v>
      </c>
      <c r="W877">
        <f>セットアップレポート!V877</f>
        <v>0</v>
      </c>
      <c r="X877">
        <f>セットアップレポート!W877</f>
        <v>0</v>
      </c>
      <c r="Y877">
        <f>セットアップレポート!X877</f>
        <v>0</v>
      </c>
      <c r="Z877">
        <f>セットアップレポート!Y877</f>
        <v>0</v>
      </c>
      <c r="AA877">
        <f>セットアップレポート!Z877</f>
        <v>0</v>
      </c>
      <c r="AB877">
        <f>セットアップレポート!AA877</f>
        <v>0</v>
      </c>
      <c r="AC877">
        <f>セットアップレポート!AB877</f>
        <v>0</v>
      </c>
      <c r="AD877">
        <f>セットアップレポート!AC877</f>
        <v>0</v>
      </c>
      <c r="AE877">
        <f>セットアップレポート!AD877</f>
        <v>0</v>
      </c>
      <c r="AF877">
        <f>セットアップレポート!AE877</f>
        <v>0</v>
      </c>
      <c r="AG877">
        <f>セットアップレポート!AF877</f>
        <v>0</v>
      </c>
      <c r="AH877">
        <f>セットアップレポート!AG877</f>
        <v>0</v>
      </c>
    </row>
    <row r="878" spans="1:34" x14ac:dyDescent="0.45">
      <c r="A878" t="str">
        <f t="shared" si="13"/>
        <v>000</v>
      </c>
      <c r="B878">
        <f>セットアップレポート!A878</f>
        <v>0</v>
      </c>
      <c r="C878">
        <f>セットアップレポート!B878</f>
        <v>0</v>
      </c>
      <c r="D878">
        <f>セットアップレポート!C878</f>
        <v>0</v>
      </c>
      <c r="E878">
        <f>セットアップレポート!D878</f>
        <v>0</v>
      </c>
      <c r="F878">
        <f>セットアップレポート!E878</f>
        <v>0</v>
      </c>
      <c r="G878">
        <f>セットアップレポート!F878</f>
        <v>0</v>
      </c>
      <c r="H878">
        <f>セットアップレポート!G878</f>
        <v>0</v>
      </c>
      <c r="I878">
        <f>セットアップレポート!H878</f>
        <v>0</v>
      </c>
      <c r="J878">
        <f>セットアップレポート!I878</f>
        <v>0</v>
      </c>
      <c r="K878">
        <f>セットアップレポート!J878</f>
        <v>0</v>
      </c>
      <c r="L878">
        <f>セットアップレポート!K878</f>
        <v>0</v>
      </c>
      <c r="M878">
        <f>セットアップレポート!L878</f>
        <v>0</v>
      </c>
      <c r="N878">
        <f>セットアップレポート!M878</f>
        <v>0</v>
      </c>
      <c r="O878">
        <f>セットアップレポート!N878</f>
        <v>0</v>
      </c>
      <c r="P878">
        <f>セットアップレポート!O878</f>
        <v>0</v>
      </c>
      <c r="Q878">
        <f>セットアップレポート!P878</f>
        <v>0</v>
      </c>
      <c r="R878">
        <f>セットアップレポート!Q878</f>
        <v>0</v>
      </c>
      <c r="S878">
        <f>セットアップレポート!R878</f>
        <v>0</v>
      </c>
      <c r="T878">
        <f>セットアップレポート!S878</f>
        <v>0</v>
      </c>
      <c r="U878">
        <f>セットアップレポート!T878</f>
        <v>0</v>
      </c>
      <c r="V878">
        <f>セットアップレポート!U878</f>
        <v>0</v>
      </c>
      <c r="W878">
        <f>セットアップレポート!V878</f>
        <v>0</v>
      </c>
      <c r="X878">
        <f>セットアップレポート!W878</f>
        <v>0</v>
      </c>
      <c r="Y878">
        <f>セットアップレポート!X878</f>
        <v>0</v>
      </c>
      <c r="Z878">
        <f>セットアップレポート!Y878</f>
        <v>0</v>
      </c>
      <c r="AA878">
        <f>セットアップレポート!Z878</f>
        <v>0</v>
      </c>
      <c r="AB878">
        <f>セットアップレポート!AA878</f>
        <v>0</v>
      </c>
      <c r="AC878">
        <f>セットアップレポート!AB878</f>
        <v>0</v>
      </c>
      <c r="AD878">
        <f>セットアップレポート!AC878</f>
        <v>0</v>
      </c>
      <c r="AE878">
        <f>セットアップレポート!AD878</f>
        <v>0</v>
      </c>
      <c r="AF878">
        <f>セットアップレポート!AE878</f>
        <v>0</v>
      </c>
      <c r="AG878">
        <f>セットアップレポート!AF878</f>
        <v>0</v>
      </c>
      <c r="AH878">
        <f>セットアップレポート!AG878</f>
        <v>0</v>
      </c>
    </row>
    <row r="879" spans="1:34" x14ac:dyDescent="0.45">
      <c r="A879" t="str">
        <f t="shared" si="13"/>
        <v>000</v>
      </c>
      <c r="B879">
        <f>セットアップレポート!A879</f>
        <v>0</v>
      </c>
      <c r="C879">
        <f>セットアップレポート!B879</f>
        <v>0</v>
      </c>
      <c r="D879">
        <f>セットアップレポート!C879</f>
        <v>0</v>
      </c>
      <c r="E879">
        <f>セットアップレポート!D879</f>
        <v>0</v>
      </c>
      <c r="F879">
        <f>セットアップレポート!E879</f>
        <v>0</v>
      </c>
      <c r="G879">
        <f>セットアップレポート!F879</f>
        <v>0</v>
      </c>
      <c r="H879">
        <f>セットアップレポート!G879</f>
        <v>0</v>
      </c>
      <c r="I879">
        <f>セットアップレポート!H879</f>
        <v>0</v>
      </c>
      <c r="J879">
        <f>セットアップレポート!I879</f>
        <v>0</v>
      </c>
      <c r="K879">
        <f>セットアップレポート!J879</f>
        <v>0</v>
      </c>
      <c r="L879">
        <f>セットアップレポート!K879</f>
        <v>0</v>
      </c>
      <c r="M879">
        <f>セットアップレポート!L879</f>
        <v>0</v>
      </c>
      <c r="N879">
        <f>セットアップレポート!M879</f>
        <v>0</v>
      </c>
      <c r="O879">
        <f>セットアップレポート!N879</f>
        <v>0</v>
      </c>
      <c r="P879">
        <f>セットアップレポート!O879</f>
        <v>0</v>
      </c>
      <c r="Q879">
        <f>セットアップレポート!P879</f>
        <v>0</v>
      </c>
      <c r="R879">
        <f>セットアップレポート!Q879</f>
        <v>0</v>
      </c>
      <c r="S879">
        <f>セットアップレポート!R879</f>
        <v>0</v>
      </c>
      <c r="T879">
        <f>セットアップレポート!S879</f>
        <v>0</v>
      </c>
      <c r="U879">
        <f>セットアップレポート!T879</f>
        <v>0</v>
      </c>
      <c r="V879">
        <f>セットアップレポート!U879</f>
        <v>0</v>
      </c>
      <c r="W879">
        <f>セットアップレポート!V879</f>
        <v>0</v>
      </c>
      <c r="X879">
        <f>セットアップレポート!W879</f>
        <v>0</v>
      </c>
      <c r="Y879">
        <f>セットアップレポート!X879</f>
        <v>0</v>
      </c>
      <c r="Z879">
        <f>セットアップレポート!Y879</f>
        <v>0</v>
      </c>
      <c r="AA879">
        <f>セットアップレポート!Z879</f>
        <v>0</v>
      </c>
      <c r="AB879">
        <f>セットアップレポート!AA879</f>
        <v>0</v>
      </c>
      <c r="AC879">
        <f>セットアップレポート!AB879</f>
        <v>0</v>
      </c>
      <c r="AD879">
        <f>セットアップレポート!AC879</f>
        <v>0</v>
      </c>
      <c r="AE879">
        <f>セットアップレポート!AD879</f>
        <v>0</v>
      </c>
      <c r="AF879">
        <f>セットアップレポート!AE879</f>
        <v>0</v>
      </c>
      <c r="AG879">
        <f>セットアップレポート!AF879</f>
        <v>0</v>
      </c>
      <c r="AH879">
        <f>セットアップレポート!AG879</f>
        <v>0</v>
      </c>
    </row>
    <row r="880" spans="1:34" x14ac:dyDescent="0.45">
      <c r="A880" t="str">
        <f t="shared" si="13"/>
        <v>000</v>
      </c>
      <c r="B880">
        <f>セットアップレポート!A880</f>
        <v>0</v>
      </c>
      <c r="C880">
        <f>セットアップレポート!B880</f>
        <v>0</v>
      </c>
      <c r="D880">
        <f>セットアップレポート!C880</f>
        <v>0</v>
      </c>
      <c r="E880">
        <f>セットアップレポート!D880</f>
        <v>0</v>
      </c>
      <c r="F880">
        <f>セットアップレポート!E880</f>
        <v>0</v>
      </c>
      <c r="G880">
        <f>セットアップレポート!F880</f>
        <v>0</v>
      </c>
      <c r="H880">
        <f>セットアップレポート!G880</f>
        <v>0</v>
      </c>
      <c r="I880">
        <f>セットアップレポート!H880</f>
        <v>0</v>
      </c>
      <c r="J880">
        <f>セットアップレポート!I880</f>
        <v>0</v>
      </c>
      <c r="K880">
        <f>セットアップレポート!J880</f>
        <v>0</v>
      </c>
      <c r="L880">
        <f>セットアップレポート!K880</f>
        <v>0</v>
      </c>
      <c r="M880">
        <f>セットアップレポート!L880</f>
        <v>0</v>
      </c>
      <c r="N880">
        <f>セットアップレポート!M880</f>
        <v>0</v>
      </c>
      <c r="O880">
        <f>セットアップレポート!N880</f>
        <v>0</v>
      </c>
      <c r="P880">
        <f>セットアップレポート!O880</f>
        <v>0</v>
      </c>
      <c r="Q880">
        <f>セットアップレポート!P880</f>
        <v>0</v>
      </c>
      <c r="R880">
        <f>セットアップレポート!Q880</f>
        <v>0</v>
      </c>
      <c r="S880">
        <f>セットアップレポート!R880</f>
        <v>0</v>
      </c>
      <c r="T880">
        <f>セットアップレポート!S880</f>
        <v>0</v>
      </c>
      <c r="U880">
        <f>セットアップレポート!T880</f>
        <v>0</v>
      </c>
      <c r="V880">
        <f>セットアップレポート!U880</f>
        <v>0</v>
      </c>
      <c r="W880">
        <f>セットアップレポート!V880</f>
        <v>0</v>
      </c>
      <c r="X880">
        <f>セットアップレポート!W880</f>
        <v>0</v>
      </c>
      <c r="Y880">
        <f>セットアップレポート!X880</f>
        <v>0</v>
      </c>
      <c r="Z880">
        <f>セットアップレポート!Y880</f>
        <v>0</v>
      </c>
      <c r="AA880">
        <f>セットアップレポート!Z880</f>
        <v>0</v>
      </c>
      <c r="AB880">
        <f>セットアップレポート!AA880</f>
        <v>0</v>
      </c>
      <c r="AC880">
        <f>セットアップレポート!AB880</f>
        <v>0</v>
      </c>
      <c r="AD880">
        <f>セットアップレポート!AC880</f>
        <v>0</v>
      </c>
      <c r="AE880">
        <f>セットアップレポート!AD880</f>
        <v>0</v>
      </c>
      <c r="AF880">
        <f>セットアップレポート!AE880</f>
        <v>0</v>
      </c>
      <c r="AG880">
        <f>セットアップレポート!AF880</f>
        <v>0</v>
      </c>
      <c r="AH880">
        <f>セットアップレポート!AG880</f>
        <v>0</v>
      </c>
    </row>
    <row r="881" spans="1:34" x14ac:dyDescent="0.45">
      <c r="A881" t="str">
        <f t="shared" si="13"/>
        <v>000</v>
      </c>
      <c r="B881">
        <f>セットアップレポート!A881</f>
        <v>0</v>
      </c>
      <c r="C881">
        <f>セットアップレポート!B881</f>
        <v>0</v>
      </c>
      <c r="D881">
        <f>セットアップレポート!C881</f>
        <v>0</v>
      </c>
      <c r="E881">
        <f>セットアップレポート!D881</f>
        <v>0</v>
      </c>
      <c r="F881">
        <f>セットアップレポート!E881</f>
        <v>0</v>
      </c>
      <c r="G881">
        <f>セットアップレポート!F881</f>
        <v>0</v>
      </c>
      <c r="H881">
        <f>セットアップレポート!G881</f>
        <v>0</v>
      </c>
      <c r="I881">
        <f>セットアップレポート!H881</f>
        <v>0</v>
      </c>
      <c r="J881">
        <f>セットアップレポート!I881</f>
        <v>0</v>
      </c>
      <c r="K881">
        <f>セットアップレポート!J881</f>
        <v>0</v>
      </c>
      <c r="L881">
        <f>セットアップレポート!K881</f>
        <v>0</v>
      </c>
      <c r="M881">
        <f>セットアップレポート!L881</f>
        <v>0</v>
      </c>
      <c r="N881">
        <f>セットアップレポート!M881</f>
        <v>0</v>
      </c>
      <c r="O881">
        <f>セットアップレポート!N881</f>
        <v>0</v>
      </c>
      <c r="P881">
        <f>セットアップレポート!O881</f>
        <v>0</v>
      </c>
      <c r="Q881">
        <f>セットアップレポート!P881</f>
        <v>0</v>
      </c>
      <c r="R881">
        <f>セットアップレポート!Q881</f>
        <v>0</v>
      </c>
      <c r="S881">
        <f>セットアップレポート!R881</f>
        <v>0</v>
      </c>
      <c r="T881">
        <f>セットアップレポート!S881</f>
        <v>0</v>
      </c>
      <c r="U881">
        <f>セットアップレポート!T881</f>
        <v>0</v>
      </c>
      <c r="V881">
        <f>セットアップレポート!U881</f>
        <v>0</v>
      </c>
      <c r="W881">
        <f>セットアップレポート!V881</f>
        <v>0</v>
      </c>
      <c r="X881">
        <f>セットアップレポート!W881</f>
        <v>0</v>
      </c>
      <c r="Y881">
        <f>セットアップレポート!X881</f>
        <v>0</v>
      </c>
      <c r="Z881">
        <f>セットアップレポート!Y881</f>
        <v>0</v>
      </c>
      <c r="AA881">
        <f>セットアップレポート!Z881</f>
        <v>0</v>
      </c>
      <c r="AB881">
        <f>セットアップレポート!AA881</f>
        <v>0</v>
      </c>
      <c r="AC881">
        <f>セットアップレポート!AB881</f>
        <v>0</v>
      </c>
      <c r="AD881">
        <f>セットアップレポート!AC881</f>
        <v>0</v>
      </c>
      <c r="AE881">
        <f>セットアップレポート!AD881</f>
        <v>0</v>
      </c>
      <c r="AF881">
        <f>セットアップレポート!AE881</f>
        <v>0</v>
      </c>
      <c r="AG881">
        <f>セットアップレポート!AF881</f>
        <v>0</v>
      </c>
      <c r="AH881">
        <f>セットアップレポート!AG881</f>
        <v>0</v>
      </c>
    </row>
    <row r="882" spans="1:34" x14ac:dyDescent="0.45">
      <c r="A882" t="str">
        <f t="shared" si="13"/>
        <v>000</v>
      </c>
      <c r="B882">
        <f>セットアップレポート!A882</f>
        <v>0</v>
      </c>
      <c r="C882">
        <f>セットアップレポート!B882</f>
        <v>0</v>
      </c>
      <c r="D882">
        <f>セットアップレポート!C882</f>
        <v>0</v>
      </c>
      <c r="E882">
        <f>セットアップレポート!D882</f>
        <v>0</v>
      </c>
      <c r="F882">
        <f>セットアップレポート!E882</f>
        <v>0</v>
      </c>
      <c r="G882">
        <f>セットアップレポート!F882</f>
        <v>0</v>
      </c>
      <c r="H882">
        <f>セットアップレポート!G882</f>
        <v>0</v>
      </c>
      <c r="I882">
        <f>セットアップレポート!H882</f>
        <v>0</v>
      </c>
      <c r="J882">
        <f>セットアップレポート!I882</f>
        <v>0</v>
      </c>
      <c r="K882">
        <f>セットアップレポート!J882</f>
        <v>0</v>
      </c>
      <c r="L882">
        <f>セットアップレポート!K882</f>
        <v>0</v>
      </c>
      <c r="M882">
        <f>セットアップレポート!L882</f>
        <v>0</v>
      </c>
      <c r="N882">
        <f>セットアップレポート!M882</f>
        <v>0</v>
      </c>
      <c r="O882">
        <f>セットアップレポート!N882</f>
        <v>0</v>
      </c>
      <c r="P882">
        <f>セットアップレポート!O882</f>
        <v>0</v>
      </c>
      <c r="Q882">
        <f>セットアップレポート!P882</f>
        <v>0</v>
      </c>
      <c r="R882">
        <f>セットアップレポート!Q882</f>
        <v>0</v>
      </c>
      <c r="S882">
        <f>セットアップレポート!R882</f>
        <v>0</v>
      </c>
      <c r="T882">
        <f>セットアップレポート!S882</f>
        <v>0</v>
      </c>
      <c r="U882">
        <f>セットアップレポート!T882</f>
        <v>0</v>
      </c>
      <c r="V882">
        <f>セットアップレポート!U882</f>
        <v>0</v>
      </c>
      <c r="W882">
        <f>セットアップレポート!V882</f>
        <v>0</v>
      </c>
      <c r="X882">
        <f>セットアップレポート!W882</f>
        <v>0</v>
      </c>
      <c r="Y882">
        <f>セットアップレポート!X882</f>
        <v>0</v>
      </c>
      <c r="Z882">
        <f>セットアップレポート!Y882</f>
        <v>0</v>
      </c>
      <c r="AA882">
        <f>セットアップレポート!Z882</f>
        <v>0</v>
      </c>
      <c r="AB882">
        <f>セットアップレポート!AA882</f>
        <v>0</v>
      </c>
      <c r="AC882">
        <f>セットアップレポート!AB882</f>
        <v>0</v>
      </c>
      <c r="AD882">
        <f>セットアップレポート!AC882</f>
        <v>0</v>
      </c>
      <c r="AE882">
        <f>セットアップレポート!AD882</f>
        <v>0</v>
      </c>
      <c r="AF882">
        <f>セットアップレポート!AE882</f>
        <v>0</v>
      </c>
      <c r="AG882">
        <f>セットアップレポート!AF882</f>
        <v>0</v>
      </c>
      <c r="AH882">
        <f>セットアップレポート!AG882</f>
        <v>0</v>
      </c>
    </row>
    <row r="883" spans="1:34" x14ac:dyDescent="0.45">
      <c r="A883" t="str">
        <f t="shared" si="13"/>
        <v>000</v>
      </c>
      <c r="B883">
        <f>セットアップレポート!A883</f>
        <v>0</v>
      </c>
      <c r="C883">
        <f>セットアップレポート!B883</f>
        <v>0</v>
      </c>
      <c r="D883">
        <f>セットアップレポート!C883</f>
        <v>0</v>
      </c>
      <c r="E883">
        <f>セットアップレポート!D883</f>
        <v>0</v>
      </c>
      <c r="F883">
        <f>セットアップレポート!E883</f>
        <v>0</v>
      </c>
      <c r="G883">
        <f>セットアップレポート!F883</f>
        <v>0</v>
      </c>
      <c r="H883">
        <f>セットアップレポート!G883</f>
        <v>0</v>
      </c>
      <c r="I883">
        <f>セットアップレポート!H883</f>
        <v>0</v>
      </c>
      <c r="J883">
        <f>セットアップレポート!I883</f>
        <v>0</v>
      </c>
      <c r="K883">
        <f>セットアップレポート!J883</f>
        <v>0</v>
      </c>
      <c r="L883">
        <f>セットアップレポート!K883</f>
        <v>0</v>
      </c>
      <c r="M883">
        <f>セットアップレポート!L883</f>
        <v>0</v>
      </c>
      <c r="N883">
        <f>セットアップレポート!M883</f>
        <v>0</v>
      </c>
      <c r="O883">
        <f>セットアップレポート!N883</f>
        <v>0</v>
      </c>
      <c r="P883">
        <f>セットアップレポート!O883</f>
        <v>0</v>
      </c>
      <c r="Q883">
        <f>セットアップレポート!P883</f>
        <v>0</v>
      </c>
      <c r="R883">
        <f>セットアップレポート!Q883</f>
        <v>0</v>
      </c>
      <c r="S883">
        <f>セットアップレポート!R883</f>
        <v>0</v>
      </c>
      <c r="T883">
        <f>セットアップレポート!S883</f>
        <v>0</v>
      </c>
      <c r="U883">
        <f>セットアップレポート!T883</f>
        <v>0</v>
      </c>
      <c r="V883">
        <f>セットアップレポート!U883</f>
        <v>0</v>
      </c>
      <c r="W883">
        <f>セットアップレポート!V883</f>
        <v>0</v>
      </c>
      <c r="X883">
        <f>セットアップレポート!W883</f>
        <v>0</v>
      </c>
      <c r="Y883">
        <f>セットアップレポート!X883</f>
        <v>0</v>
      </c>
      <c r="Z883">
        <f>セットアップレポート!Y883</f>
        <v>0</v>
      </c>
      <c r="AA883">
        <f>セットアップレポート!Z883</f>
        <v>0</v>
      </c>
      <c r="AB883">
        <f>セットアップレポート!AA883</f>
        <v>0</v>
      </c>
      <c r="AC883">
        <f>セットアップレポート!AB883</f>
        <v>0</v>
      </c>
      <c r="AD883">
        <f>セットアップレポート!AC883</f>
        <v>0</v>
      </c>
      <c r="AE883">
        <f>セットアップレポート!AD883</f>
        <v>0</v>
      </c>
      <c r="AF883">
        <f>セットアップレポート!AE883</f>
        <v>0</v>
      </c>
      <c r="AG883">
        <f>セットアップレポート!AF883</f>
        <v>0</v>
      </c>
      <c r="AH883">
        <f>セットアップレポート!AG883</f>
        <v>0</v>
      </c>
    </row>
    <row r="884" spans="1:34" x14ac:dyDescent="0.45">
      <c r="A884" t="str">
        <f t="shared" si="13"/>
        <v>000</v>
      </c>
      <c r="B884">
        <f>セットアップレポート!A884</f>
        <v>0</v>
      </c>
      <c r="C884">
        <f>セットアップレポート!B884</f>
        <v>0</v>
      </c>
      <c r="D884">
        <f>セットアップレポート!C884</f>
        <v>0</v>
      </c>
      <c r="E884">
        <f>セットアップレポート!D884</f>
        <v>0</v>
      </c>
      <c r="F884">
        <f>セットアップレポート!E884</f>
        <v>0</v>
      </c>
      <c r="G884">
        <f>セットアップレポート!F884</f>
        <v>0</v>
      </c>
      <c r="H884">
        <f>セットアップレポート!G884</f>
        <v>0</v>
      </c>
      <c r="I884">
        <f>セットアップレポート!H884</f>
        <v>0</v>
      </c>
      <c r="J884">
        <f>セットアップレポート!I884</f>
        <v>0</v>
      </c>
      <c r="K884">
        <f>セットアップレポート!J884</f>
        <v>0</v>
      </c>
      <c r="L884">
        <f>セットアップレポート!K884</f>
        <v>0</v>
      </c>
      <c r="M884">
        <f>セットアップレポート!L884</f>
        <v>0</v>
      </c>
      <c r="N884">
        <f>セットアップレポート!M884</f>
        <v>0</v>
      </c>
      <c r="O884">
        <f>セットアップレポート!N884</f>
        <v>0</v>
      </c>
      <c r="P884">
        <f>セットアップレポート!O884</f>
        <v>0</v>
      </c>
      <c r="Q884">
        <f>セットアップレポート!P884</f>
        <v>0</v>
      </c>
      <c r="R884">
        <f>セットアップレポート!Q884</f>
        <v>0</v>
      </c>
      <c r="S884">
        <f>セットアップレポート!R884</f>
        <v>0</v>
      </c>
      <c r="T884">
        <f>セットアップレポート!S884</f>
        <v>0</v>
      </c>
      <c r="U884">
        <f>セットアップレポート!T884</f>
        <v>0</v>
      </c>
      <c r="V884">
        <f>セットアップレポート!U884</f>
        <v>0</v>
      </c>
      <c r="W884">
        <f>セットアップレポート!V884</f>
        <v>0</v>
      </c>
      <c r="X884">
        <f>セットアップレポート!W884</f>
        <v>0</v>
      </c>
      <c r="Y884">
        <f>セットアップレポート!X884</f>
        <v>0</v>
      </c>
      <c r="Z884">
        <f>セットアップレポート!Y884</f>
        <v>0</v>
      </c>
      <c r="AA884">
        <f>セットアップレポート!Z884</f>
        <v>0</v>
      </c>
      <c r="AB884">
        <f>セットアップレポート!AA884</f>
        <v>0</v>
      </c>
      <c r="AC884">
        <f>セットアップレポート!AB884</f>
        <v>0</v>
      </c>
      <c r="AD884">
        <f>セットアップレポート!AC884</f>
        <v>0</v>
      </c>
      <c r="AE884">
        <f>セットアップレポート!AD884</f>
        <v>0</v>
      </c>
      <c r="AF884">
        <f>セットアップレポート!AE884</f>
        <v>0</v>
      </c>
      <c r="AG884">
        <f>セットアップレポート!AF884</f>
        <v>0</v>
      </c>
      <c r="AH884">
        <f>セットアップレポート!AG884</f>
        <v>0</v>
      </c>
    </row>
    <row r="885" spans="1:34" x14ac:dyDescent="0.45">
      <c r="A885" t="str">
        <f t="shared" si="13"/>
        <v>000</v>
      </c>
      <c r="B885">
        <f>セットアップレポート!A885</f>
        <v>0</v>
      </c>
      <c r="C885">
        <f>セットアップレポート!B885</f>
        <v>0</v>
      </c>
      <c r="D885">
        <f>セットアップレポート!C885</f>
        <v>0</v>
      </c>
      <c r="E885">
        <f>セットアップレポート!D885</f>
        <v>0</v>
      </c>
      <c r="F885">
        <f>セットアップレポート!E885</f>
        <v>0</v>
      </c>
      <c r="G885">
        <f>セットアップレポート!F885</f>
        <v>0</v>
      </c>
      <c r="H885">
        <f>セットアップレポート!G885</f>
        <v>0</v>
      </c>
      <c r="I885">
        <f>セットアップレポート!H885</f>
        <v>0</v>
      </c>
      <c r="J885">
        <f>セットアップレポート!I885</f>
        <v>0</v>
      </c>
      <c r="K885">
        <f>セットアップレポート!J885</f>
        <v>0</v>
      </c>
      <c r="L885">
        <f>セットアップレポート!K885</f>
        <v>0</v>
      </c>
      <c r="M885">
        <f>セットアップレポート!L885</f>
        <v>0</v>
      </c>
      <c r="N885">
        <f>セットアップレポート!M885</f>
        <v>0</v>
      </c>
      <c r="O885">
        <f>セットアップレポート!N885</f>
        <v>0</v>
      </c>
      <c r="P885">
        <f>セットアップレポート!O885</f>
        <v>0</v>
      </c>
      <c r="Q885">
        <f>セットアップレポート!P885</f>
        <v>0</v>
      </c>
      <c r="R885">
        <f>セットアップレポート!Q885</f>
        <v>0</v>
      </c>
      <c r="S885">
        <f>セットアップレポート!R885</f>
        <v>0</v>
      </c>
      <c r="T885">
        <f>セットアップレポート!S885</f>
        <v>0</v>
      </c>
      <c r="U885">
        <f>セットアップレポート!T885</f>
        <v>0</v>
      </c>
      <c r="V885">
        <f>セットアップレポート!U885</f>
        <v>0</v>
      </c>
      <c r="W885">
        <f>セットアップレポート!V885</f>
        <v>0</v>
      </c>
      <c r="X885">
        <f>セットアップレポート!W885</f>
        <v>0</v>
      </c>
      <c r="Y885">
        <f>セットアップレポート!X885</f>
        <v>0</v>
      </c>
      <c r="Z885">
        <f>セットアップレポート!Y885</f>
        <v>0</v>
      </c>
      <c r="AA885">
        <f>セットアップレポート!Z885</f>
        <v>0</v>
      </c>
      <c r="AB885">
        <f>セットアップレポート!AA885</f>
        <v>0</v>
      </c>
      <c r="AC885">
        <f>セットアップレポート!AB885</f>
        <v>0</v>
      </c>
      <c r="AD885">
        <f>セットアップレポート!AC885</f>
        <v>0</v>
      </c>
      <c r="AE885">
        <f>セットアップレポート!AD885</f>
        <v>0</v>
      </c>
      <c r="AF885">
        <f>セットアップレポート!AE885</f>
        <v>0</v>
      </c>
      <c r="AG885">
        <f>セットアップレポート!AF885</f>
        <v>0</v>
      </c>
      <c r="AH885">
        <f>セットアップレポート!AG885</f>
        <v>0</v>
      </c>
    </row>
    <row r="886" spans="1:34" x14ac:dyDescent="0.45">
      <c r="A886" t="str">
        <f t="shared" si="13"/>
        <v>000</v>
      </c>
      <c r="B886">
        <f>セットアップレポート!A886</f>
        <v>0</v>
      </c>
      <c r="C886">
        <f>セットアップレポート!B886</f>
        <v>0</v>
      </c>
      <c r="D886">
        <f>セットアップレポート!C886</f>
        <v>0</v>
      </c>
      <c r="E886">
        <f>セットアップレポート!D886</f>
        <v>0</v>
      </c>
      <c r="F886">
        <f>セットアップレポート!E886</f>
        <v>0</v>
      </c>
      <c r="G886">
        <f>セットアップレポート!F886</f>
        <v>0</v>
      </c>
      <c r="H886">
        <f>セットアップレポート!G886</f>
        <v>0</v>
      </c>
      <c r="I886">
        <f>セットアップレポート!H886</f>
        <v>0</v>
      </c>
      <c r="J886">
        <f>セットアップレポート!I886</f>
        <v>0</v>
      </c>
      <c r="K886">
        <f>セットアップレポート!J886</f>
        <v>0</v>
      </c>
      <c r="L886">
        <f>セットアップレポート!K886</f>
        <v>0</v>
      </c>
      <c r="M886">
        <f>セットアップレポート!L886</f>
        <v>0</v>
      </c>
      <c r="N886">
        <f>セットアップレポート!M886</f>
        <v>0</v>
      </c>
      <c r="O886">
        <f>セットアップレポート!N886</f>
        <v>0</v>
      </c>
      <c r="P886">
        <f>セットアップレポート!O886</f>
        <v>0</v>
      </c>
      <c r="Q886">
        <f>セットアップレポート!P886</f>
        <v>0</v>
      </c>
      <c r="R886">
        <f>セットアップレポート!Q886</f>
        <v>0</v>
      </c>
      <c r="S886">
        <f>セットアップレポート!R886</f>
        <v>0</v>
      </c>
      <c r="T886">
        <f>セットアップレポート!S886</f>
        <v>0</v>
      </c>
      <c r="U886">
        <f>セットアップレポート!T886</f>
        <v>0</v>
      </c>
      <c r="V886">
        <f>セットアップレポート!U886</f>
        <v>0</v>
      </c>
      <c r="W886">
        <f>セットアップレポート!V886</f>
        <v>0</v>
      </c>
      <c r="X886">
        <f>セットアップレポート!W886</f>
        <v>0</v>
      </c>
      <c r="Y886">
        <f>セットアップレポート!X886</f>
        <v>0</v>
      </c>
      <c r="Z886">
        <f>セットアップレポート!Y886</f>
        <v>0</v>
      </c>
      <c r="AA886">
        <f>セットアップレポート!Z886</f>
        <v>0</v>
      </c>
      <c r="AB886">
        <f>セットアップレポート!AA886</f>
        <v>0</v>
      </c>
      <c r="AC886">
        <f>セットアップレポート!AB886</f>
        <v>0</v>
      </c>
      <c r="AD886">
        <f>セットアップレポート!AC886</f>
        <v>0</v>
      </c>
      <c r="AE886">
        <f>セットアップレポート!AD886</f>
        <v>0</v>
      </c>
      <c r="AF886">
        <f>セットアップレポート!AE886</f>
        <v>0</v>
      </c>
      <c r="AG886">
        <f>セットアップレポート!AF886</f>
        <v>0</v>
      </c>
      <c r="AH886">
        <f>セットアップレポート!AG886</f>
        <v>0</v>
      </c>
    </row>
    <row r="887" spans="1:34" x14ac:dyDescent="0.45">
      <c r="A887" t="str">
        <f t="shared" si="13"/>
        <v>000</v>
      </c>
      <c r="B887">
        <f>セットアップレポート!A887</f>
        <v>0</v>
      </c>
      <c r="C887">
        <f>セットアップレポート!B887</f>
        <v>0</v>
      </c>
      <c r="D887">
        <f>セットアップレポート!C887</f>
        <v>0</v>
      </c>
      <c r="E887">
        <f>セットアップレポート!D887</f>
        <v>0</v>
      </c>
      <c r="F887">
        <f>セットアップレポート!E887</f>
        <v>0</v>
      </c>
      <c r="G887">
        <f>セットアップレポート!F887</f>
        <v>0</v>
      </c>
      <c r="H887">
        <f>セットアップレポート!G887</f>
        <v>0</v>
      </c>
      <c r="I887">
        <f>セットアップレポート!H887</f>
        <v>0</v>
      </c>
      <c r="J887">
        <f>セットアップレポート!I887</f>
        <v>0</v>
      </c>
      <c r="K887">
        <f>セットアップレポート!J887</f>
        <v>0</v>
      </c>
      <c r="L887">
        <f>セットアップレポート!K887</f>
        <v>0</v>
      </c>
      <c r="M887">
        <f>セットアップレポート!L887</f>
        <v>0</v>
      </c>
      <c r="N887">
        <f>セットアップレポート!M887</f>
        <v>0</v>
      </c>
      <c r="O887">
        <f>セットアップレポート!N887</f>
        <v>0</v>
      </c>
      <c r="P887">
        <f>セットアップレポート!O887</f>
        <v>0</v>
      </c>
      <c r="Q887">
        <f>セットアップレポート!P887</f>
        <v>0</v>
      </c>
      <c r="R887">
        <f>セットアップレポート!Q887</f>
        <v>0</v>
      </c>
      <c r="S887">
        <f>セットアップレポート!R887</f>
        <v>0</v>
      </c>
      <c r="T887">
        <f>セットアップレポート!S887</f>
        <v>0</v>
      </c>
      <c r="U887">
        <f>セットアップレポート!T887</f>
        <v>0</v>
      </c>
      <c r="V887">
        <f>セットアップレポート!U887</f>
        <v>0</v>
      </c>
      <c r="W887">
        <f>セットアップレポート!V887</f>
        <v>0</v>
      </c>
      <c r="X887">
        <f>セットアップレポート!W887</f>
        <v>0</v>
      </c>
      <c r="Y887">
        <f>セットアップレポート!X887</f>
        <v>0</v>
      </c>
      <c r="Z887">
        <f>セットアップレポート!Y887</f>
        <v>0</v>
      </c>
      <c r="AA887">
        <f>セットアップレポート!Z887</f>
        <v>0</v>
      </c>
      <c r="AB887">
        <f>セットアップレポート!AA887</f>
        <v>0</v>
      </c>
      <c r="AC887">
        <f>セットアップレポート!AB887</f>
        <v>0</v>
      </c>
      <c r="AD887">
        <f>セットアップレポート!AC887</f>
        <v>0</v>
      </c>
      <c r="AE887">
        <f>セットアップレポート!AD887</f>
        <v>0</v>
      </c>
      <c r="AF887">
        <f>セットアップレポート!AE887</f>
        <v>0</v>
      </c>
      <c r="AG887">
        <f>セットアップレポート!AF887</f>
        <v>0</v>
      </c>
      <c r="AH887">
        <f>セットアップレポート!AG887</f>
        <v>0</v>
      </c>
    </row>
    <row r="888" spans="1:34" x14ac:dyDescent="0.45">
      <c r="A888" t="str">
        <f t="shared" si="13"/>
        <v>000</v>
      </c>
      <c r="B888">
        <f>セットアップレポート!A888</f>
        <v>0</v>
      </c>
      <c r="C888">
        <f>セットアップレポート!B888</f>
        <v>0</v>
      </c>
      <c r="D888">
        <f>セットアップレポート!C888</f>
        <v>0</v>
      </c>
      <c r="E888">
        <f>セットアップレポート!D888</f>
        <v>0</v>
      </c>
      <c r="F888">
        <f>セットアップレポート!E888</f>
        <v>0</v>
      </c>
      <c r="G888">
        <f>セットアップレポート!F888</f>
        <v>0</v>
      </c>
      <c r="H888">
        <f>セットアップレポート!G888</f>
        <v>0</v>
      </c>
      <c r="I888">
        <f>セットアップレポート!H888</f>
        <v>0</v>
      </c>
      <c r="J888">
        <f>セットアップレポート!I888</f>
        <v>0</v>
      </c>
      <c r="K888">
        <f>セットアップレポート!J888</f>
        <v>0</v>
      </c>
      <c r="L888">
        <f>セットアップレポート!K888</f>
        <v>0</v>
      </c>
      <c r="M888">
        <f>セットアップレポート!L888</f>
        <v>0</v>
      </c>
      <c r="N888">
        <f>セットアップレポート!M888</f>
        <v>0</v>
      </c>
      <c r="O888">
        <f>セットアップレポート!N888</f>
        <v>0</v>
      </c>
      <c r="P888">
        <f>セットアップレポート!O888</f>
        <v>0</v>
      </c>
      <c r="Q888">
        <f>セットアップレポート!P888</f>
        <v>0</v>
      </c>
      <c r="R888">
        <f>セットアップレポート!Q888</f>
        <v>0</v>
      </c>
      <c r="S888">
        <f>セットアップレポート!R888</f>
        <v>0</v>
      </c>
      <c r="T888">
        <f>セットアップレポート!S888</f>
        <v>0</v>
      </c>
      <c r="U888">
        <f>セットアップレポート!T888</f>
        <v>0</v>
      </c>
      <c r="V888">
        <f>セットアップレポート!U888</f>
        <v>0</v>
      </c>
      <c r="W888">
        <f>セットアップレポート!V888</f>
        <v>0</v>
      </c>
      <c r="X888">
        <f>セットアップレポート!W888</f>
        <v>0</v>
      </c>
      <c r="Y888">
        <f>セットアップレポート!X888</f>
        <v>0</v>
      </c>
      <c r="Z888">
        <f>セットアップレポート!Y888</f>
        <v>0</v>
      </c>
      <c r="AA888">
        <f>セットアップレポート!Z888</f>
        <v>0</v>
      </c>
      <c r="AB888">
        <f>セットアップレポート!AA888</f>
        <v>0</v>
      </c>
      <c r="AC888">
        <f>セットアップレポート!AB888</f>
        <v>0</v>
      </c>
      <c r="AD888">
        <f>セットアップレポート!AC888</f>
        <v>0</v>
      </c>
      <c r="AE888">
        <f>セットアップレポート!AD888</f>
        <v>0</v>
      </c>
      <c r="AF888">
        <f>セットアップレポート!AE888</f>
        <v>0</v>
      </c>
      <c r="AG888">
        <f>セットアップレポート!AF888</f>
        <v>0</v>
      </c>
      <c r="AH888">
        <f>セットアップレポート!AG888</f>
        <v>0</v>
      </c>
    </row>
    <row r="889" spans="1:34" x14ac:dyDescent="0.45">
      <c r="A889" t="str">
        <f t="shared" si="13"/>
        <v>000</v>
      </c>
      <c r="B889">
        <f>セットアップレポート!A889</f>
        <v>0</v>
      </c>
      <c r="C889">
        <f>セットアップレポート!B889</f>
        <v>0</v>
      </c>
      <c r="D889">
        <f>セットアップレポート!C889</f>
        <v>0</v>
      </c>
      <c r="E889">
        <f>セットアップレポート!D889</f>
        <v>0</v>
      </c>
      <c r="F889">
        <f>セットアップレポート!E889</f>
        <v>0</v>
      </c>
      <c r="G889">
        <f>セットアップレポート!F889</f>
        <v>0</v>
      </c>
      <c r="H889">
        <f>セットアップレポート!G889</f>
        <v>0</v>
      </c>
      <c r="I889">
        <f>セットアップレポート!H889</f>
        <v>0</v>
      </c>
      <c r="J889">
        <f>セットアップレポート!I889</f>
        <v>0</v>
      </c>
      <c r="K889">
        <f>セットアップレポート!J889</f>
        <v>0</v>
      </c>
      <c r="L889">
        <f>セットアップレポート!K889</f>
        <v>0</v>
      </c>
      <c r="M889">
        <f>セットアップレポート!L889</f>
        <v>0</v>
      </c>
      <c r="N889">
        <f>セットアップレポート!M889</f>
        <v>0</v>
      </c>
      <c r="O889">
        <f>セットアップレポート!N889</f>
        <v>0</v>
      </c>
      <c r="P889">
        <f>セットアップレポート!O889</f>
        <v>0</v>
      </c>
      <c r="Q889">
        <f>セットアップレポート!P889</f>
        <v>0</v>
      </c>
      <c r="R889">
        <f>セットアップレポート!Q889</f>
        <v>0</v>
      </c>
      <c r="S889">
        <f>セットアップレポート!R889</f>
        <v>0</v>
      </c>
      <c r="T889">
        <f>セットアップレポート!S889</f>
        <v>0</v>
      </c>
      <c r="U889">
        <f>セットアップレポート!T889</f>
        <v>0</v>
      </c>
      <c r="V889">
        <f>セットアップレポート!U889</f>
        <v>0</v>
      </c>
      <c r="W889">
        <f>セットアップレポート!V889</f>
        <v>0</v>
      </c>
      <c r="X889">
        <f>セットアップレポート!W889</f>
        <v>0</v>
      </c>
      <c r="Y889">
        <f>セットアップレポート!X889</f>
        <v>0</v>
      </c>
      <c r="Z889">
        <f>セットアップレポート!Y889</f>
        <v>0</v>
      </c>
      <c r="AA889">
        <f>セットアップレポート!Z889</f>
        <v>0</v>
      </c>
      <c r="AB889">
        <f>セットアップレポート!AA889</f>
        <v>0</v>
      </c>
      <c r="AC889">
        <f>セットアップレポート!AB889</f>
        <v>0</v>
      </c>
      <c r="AD889">
        <f>セットアップレポート!AC889</f>
        <v>0</v>
      </c>
      <c r="AE889">
        <f>セットアップレポート!AD889</f>
        <v>0</v>
      </c>
      <c r="AF889">
        <f>セットアップレポート!AE889</f>
        <v>0</v>
      </c>
      <c r="AG889">
        <f>セットアップレポート!AF889</f>
        <v>0</v>
      </c>
      <c r="AH889">
        <f>セットアップレポート!AG889</f>
        <v>0</v>
      </c>
    </row>
    <row r="890" spans="1:34" x14ac:dyDescent="0.45">
      <c r="A890" t="str">
        <f t="shared" si="13"/>
        <v>000</v>
      </c>
      <c r="B890">
        <f>セットアップレポート!A890</f>
        <v>0</v>
      </c>
      <c r="C890">
        <f>セットアップレポート!B890</f>
        <v>0</v>
      </c>
      <c r="D890">
        <f>セットアップレポート!C890</f>
        <v>0</v>
      </c>
      <c r="E890">
        <f>セットアップレポート!D890</f>
        <v>0</v>
      </c>
      <c r="F890">
        <f>セットアップレポート!E890</f>
        <v>0</v>
      </c>
      <c r="G890">
        <f>セットアップレポート!F890</f>
        <v>0</v>
      </c>
      <c r="H890">
        <f>セットアップレポート!G890</f>
        <v>0</v>
      </c>
      <c r="I890">
        <f>セットアップレポート!H890</f>
        <v>0</v>
      </c>
      <c r="J890">
        <f>セットアップレポート!I890</f>
        <v>0</v>
      </c>
      <c r="K890">
        <f>セットアップレポート!J890</f>
        <v>0</v>
      </c>
      <c r="L890">
        <f>セットアップレポート!K890</f>
        <v>0</v>
      </c>
      <c r="M890">
        <f>セットアップレポート!L890</f>
        <v>0</v>
      </c>
      <c r="N890">
        <f>セットアップレポート!M890</f>
        <v>0</v>
      </c>
      <c r="O890">
        <f>セットアップレポート!N890</f>
        <v>0</v>
      </c>
      <c r="P890">
        <f>セットアップレポート!O890</f>
        <v>0</v>
      </c>
      <c r="Q890">
        <f>セットアップレポート!P890</f>
        <v>0</v>
      </c>
      <c r="R890">
        <f>セットアップレポート!Q890</f>
        <v>0</v>
      </c>
      <c r="S890">
        <f>セットアップレポート!R890</f>
        <v>0</v>
      </c>
      <c r="T890">
        <f>セットアップレポート!S890</f>
        <v>0</v>
      </c>
      <c r="U890">
        <f>セットアップレポート!T890</f>
        <v>0</v>
      </c>
      <c r="V890">
        <f>セットアップレポート!U890</f>
        <v>0</v>
      </c>
      <c r="W890">
        <f>セットアップレポート!V890</f>
        <v>0</v>
      </c>
      <c r="X890">
        <f>セットアップレポート!W890</f>
        <v>0</v>
      </c>
      <c r="Y890">
        <f>セットアップレポート!X890</f>
        <v>0</v>
      </c>
      <c r="Z890">
        <f>セットアップレポート!Y890</f>
        <v>0</v>
      </c>
      <c r="AA890">
        <f>セットアップレポート!Z890</f>
        <v>0</v>
      </c>
      <c r="AB890">
        <f>セットアップレポート!AA890</f>
        <v>0</v>
      </c>
      <c r="AC890">
        <f>セットアップレポート!AB890</f>
        <v>0</v>
      </c>
      <c r="AD890">
        <f>セットアップレポート!AC890</f>
        <v>0</v>
      </c>
      <c r="AE890">
        <f>セットアップレポート!AD890</f>
        <v>0</v>
      </c>
      <c r="AF890">
        <f>セットアップレポート!AE890</f>
        <v>0</v>
      </c>
      <c r="AG890">
        <f>セットアップレポート!AF890</f>
        <v>0</v>
      </c>
      <c r="AH890">
        <f>セットアップレポート!AG890</f>
        <v>0</v>
      </c>
    </row>
    <row r="891" spans="1:34" x14ac:dyDescent="0.45">
      <c r="A891" t="str">
        <f t="shared" si="13"/>
        <v>000</v>
      </c>
      <c r="B891">
        <f>セットアップレポート!A891</f>
        <v>0</v>
      </c>
      <c r="C891">
        <f>セットアップレポート!B891</f>
        <v>0</v>
      </c>
      <c r="D891">
        <f>セットアップレポート!C891</f>
        <v>0</v>
      </c>
      <c r="E891">
        <f>セットアップレポート!D891</f>
        <v>0</v>
      </c>
      <c r="F891">
        <f>セットアップレポート!E891</f>
        <v>0</v>
      </c>
      <c r="G891">
        <f>セットアップレポート!F891</f>
        <v>0</v>
      </c>
      <c r="H891">
        <f>セットアップレポート!G891</f>
        <v>0</v>
      </c>
      <c r="I891">
        <f>セットアップレポート!H891</f>
        <v>0</v>
      </c>
      <c r="J891">
        <f>セットアップレポート!I891</f>
        <v>0</v>
      </c>
      <c r="K891">
        <f>セットアップレポート!J891</f>
        <v>0</v>
      </c>
      <c r="L891">
        <f>セットアップレポート!K891</f>
        <v>0</v>
      </c>
      <c r="M891">
        <f>セットアップレポート!L891</f>
        <v>0</v>
      </c>
      <c r="N891">
        <f>セットアップレポート!M891</f>
        <v>0</v>
      </c>
      <c r="O891">
        <f>セットアップレポート!N891</f>
        <v>0</v>
      </c>
      <c r="P891">
        <f>セットアップレポート!O891</f>
        <v>0</v>
      </c>
      <c r="Q891">
        <f>セットアップレポート!P891</f>
        <v>0</v>
      </c>
      <c r="R891">
        <f>セットアップレポート!Q891</f>
        <v>0</v>
      </c>
      <c r="S891">
        <f>セットアップレポート!R891</f>
        <v>0</v>
      </c>
      <c r="T891">
        <f>セットアップレポート!S891</f>
        <v>0</v>
      </c>
      <c r="U891">
        <f>セットアップレポート!T891</f>
        <v>0</v>
      </c>
      <c r="V891">
        <f>セットアップレポート!U891</f>
        <v>0</v>
      </c>
      <c r="W891">
        <f>セットアップレポート!V891</f>
        <v>0</v>
      </c>
      <c r="X891">
        <f>セットアップレポート!W891</f>
        <v>0</v>
      </c>
      <c r="Y891">
        <f>セットアップレポート!X891</f>
        <v>0</v>
      </c>
      <c r="Z891">
        <f>セットアップレポート!Y891</f>
        <v>0</v>
      </c>
      <c r="AA891">
        <f>セットアップレポート!Z891</f>
        <v>0</v>
      </c>
      <c r="AB891">
        <f>セットアップレポート!AA891</f>
        <v>0</v>
      </c>
      <c r="AC891">
        <f>セットアップレポート!AB891</f>
        <v>0</v>
      </c>
      <c r="AD891">
        <f>セットアップレポート!AC891</f>
        <v>0</v>
      </c>
      <c r="AE891">
        <f>セットアップレポート!AD891</f>
        <v>0</v>
      </c>
      <c r="AF891">
        <f>セットアップレポート!AE891</f>
        <v>0</v>
      </c>
      <c r="AG891">
        <f>セットアップレポート!AF891</f>
        <v>0</v>
      </c>
      <c r="AH891">
        <f>セットアップレポート!AG891</f>
        <v>0</v>
      </c>
    </row>
    <row r="892" spans="1:34" x14ac:dyDescent="0.45">
      <c r="A892" t="str">
        <f t="shared" si="13"/>
        <v>000</v>
      </c>
      <c r="B892">
        <f>セットアップレポート!A892</f>
        <v>0</v>
      </c>
      <c r="C892">
        <f>セットアップレポート!B892</f>
        <v>0</v>
      </c>
      <c r="D892">
        <f>セットアップレポート!C892</f>
        <v>0</v>
      </c>
      <c r="E892">
        <f>セットアップレポート!D892</f>
        <v>0</v>
      </c>
      <c r="F892">
        <f>セットアップレポート!E892</f>
        <v>0</v>
      </c>
      <c r="G892">
        <f>セットアップレポート!F892</f>
        <v>0</v>
      </c>
      <c r="H892">
        <f>セットアップレポート!G892</f>
        <v>0</v>
      </c>
      <c r="I892">
        <f>セットアップレポート!H892</f>
        <v>0</v>
      </c>
      <c r="J892">
        <f>セットアップレポート!I892</f>
        <v>0</v>
      </c>
      <c r="K892">
        <f>セットアップレポート!J892</f>
        <v>0</v>
      </c>
      <c r="L892">
        <f>セットアップレポート!K892</f>
        <v>0</v>
      </c>
      <c r="M892">
        <f>セットアップレポート!L892</f>
        <v>0</v>
      </c>
      <c r="N892">
        <f>セットアップレポート!M892</f>
        <v>0</v>
      </c>
      <c r="O892">
        <f>セットアップレポート!N892</f>
        <v>0</v>
      </c>
      <c r="P892">
        <f>セットアップレポート!O892</f>
        <v>0</v>
      </c>
      <c r="Q892">
        <f>セットアップレポート!P892</f>
        <v>0</v>
      </c>
      <c r="R892">
        <f>セットアップレポート!Q892</f>
        <v>0</v>
      </c>
      <c r="S892">
        <f>セットアップレポート!R892</f>
        <v>0</v>
      </c>
      <c r="T892">
        <f>セットアップレポート!S892</f>
        <v>0</v>
      </c>
      <c r="U892">
        <f>セットアップレポート!T892</f>
        <v>0</v>
      </c>
      <c r="V892">
        <f>セットアップレポート!U892</f>
        <v>0</v>
      </c>
      <c r="W892">
        <f>セットアップレポート!V892</f>
        <v>0</v>
      </c>
      <c r="X892">
        <f>セットアップレポート!W892</f>
        <v>0</v>
      </c>
      <c r="Y892">
        <f>セットアップレポート!X892</f>
        <v>0</v>
      </c>
      <c r="Z892">
        <f>セットアップレポート!Y892</f>
        <v>0</v>
      </c>
      <c r="AA892">
        <f>セットアップレポート!Z892</f>
        <v>0</v>
      </c>
      <c r="AB892">
        <f>セットアップレポート!AA892</f>
        <v>0</v>
      </c>
      <c r="AC892">
        <f>セットアップレポート!AB892</f>
        <v>0</v>
      </c>
      <c r="AD892">
        <f>セットアップレポート!AC892</f>
        <v>0</v>
      </c>
      <c r="AE892">
        <f>セットアップレポート!AD892</f>
        <v>0</v>
      </c>
      <c r="AF892">
        <f>セットアップレポート!AE892</f>
        <v>0</v>
      </c>
      <c r="AG892">
        <f>セットアップレポート!AF892</f>
        <v>0</v>
      </c>
      <c r="AH892">
        <f>セットアップレポート!AG892</f>
        <v>0</v>
      </c>
    </row>
    <row r="893" spans="1:34" x14ac:dyDescent="0.45">
      <c r="A893" t="str">
        <f t="shared" si="13"/>
        <v>000</v>
      </c>
      <c r="B893">
        <f>セットアップレポート!A893</f>
        <v>0</v>
      </c>
      <c r="C893">
        <f>セットアップレポート!B893</f>
        <v>0</v>
      </c>
      <c r="D893">
        <f>セットアップレポート!C893</f>
        <v>0</v>
      </c>
      <c r="E893">
        <f>セットアップレポート!D893</f>
        <v>0</v>
      </c>
      <c r="F893">
        <f>セットアップレポート!E893</f>
        <v>0</v>
      </c>
      <c r="G893">
        <f>セットアップレポート!F893</f>
        <v>0</v>
      </c>
      <c r="H893">
        <f>セットアップレポート!G893</f>
        <v>0</v>
      </c>
      <c r="I893">
        <f>セットアップレポート!H893</f>
        <v>0</v>
      </c>
      <c r="J893">
        <f>セットアップレポート!I893</f>
        <v>0</v>
      </c>
      <c r="K893">
        <f>セットアップレポート!J893</f>
        <v>0</v>
      </c>
      <c r="L893">
        <f>セットアップレポート!K893</f>
        <v>0</v>
      </c>
      <c r="M893">
        <f>セットアップレポート!L893</f>
        <v>0</v>
      </c>
      <c r="N893">
        <f>セットアップレポート!M893</f>
        <v>0</v>
      </c>
      <c r="O893">
        <f>セットアップレポート!N893</f>
        <v>0</v>
      </c>
      <c r="P893">
        <f>セットアップレポート!O893</f>
        <v>0</v>
      </c>
      <c r="Q893">
        <f>セットアップレポート!P893</f>
        <v>0</v>
      </c>
      <c r="R893">
        <f>セットアップレポート!Q893</f>
        <v>0</v>
      </c>
      <c r="S893">
        <f>セットアップレポート!R893</f>
        <v>0</v>
      </c>
      <c r="T893">
        <f>セットアップレポート!S893</f>
        <v>0</v>
      </c>
      <c r="U893">
        <f>セットアップレポート!T893</f>
        <v>0</v>
      </c>
      <c r="V893">
        <f>セットアップレポート!U893</f>
        <v>0</v>
      </c>
      <c r="W893">
        <f>セットアップレポート!V893</f>
        <v>0</v>
      </c>
      <c r="X893">
        <f>セットアップレポート!W893</f>
        <v>0</v>
      </c>
      <c r="Y893">
        <f>セットアップレポート!X893</f>
        <v>0</v>
      </c>
      <c r="Z893">
        <f>セットアップレポート!Y893</f>
        <v>0</v>
      </c>
      <c r="AA893">
        <f>セットアップレポート!Z893</f>
        <v>0</v>
      </c>
      <c r="AB893">
        <f>セットアップレポート!AA893</f>
        <v>0</v>
      </c>
      <c r="AC893">
        <f>セットアップレポート!AB893</f>
        <v>0</v>
      </c>
      <c r="AD893">
        <f>セットアップレポート!AC893</f>
        <v>0</v>
      </c>
      <c r="AE893">
        <f>セットアップレポート!AD893</f>
        <v>0</v>
      </c>
      <c r="AF893">
        <f>セットアップレポート!AE893</f>
        <v>0</v>
      </c>
      <c r="AG893">
        <f>セットアップレポート!AF893</f>
        <v>0</v>
      </c>
      <c r="AH893">
        <f>セットアップレポート!AG893</f>
        <v>0</v>
      </c>
    </row>
    <row r="894" spans="1:34" x14ac:dyDescent="0.45">
      <c r="A894" t="str">
        <f t="shared" si="13"/>
        <v>000</v>
      </c>
      <c r="B894">
        <f>セットアップレポート!A894</f>
        <v>0</v>
      </c>
      <c r="C894">
        <f>セットアップレポート!B894</f>
        <v>0</v>
      </c>
      <c r="D894">
        <f>セットアップレポート!C894</f>
        <v>0</v>
      </c>
      <c r="E894">
        <f>セットアップレポート!D894</f>
        <v>0</v>
      </c>
      <c r="F894">
        <f>セットアップレポート!E894</f>
        <v>0</v>
      </c>
      <c r="G894">
        <f>セットアップレポート!F894</f>
        <v>0</v>
      </c>
      <c r="H894">
        <f>セットアップレポート!G894</f>
        <v>0</v>
      </c>
      <c r="I894">
        <f>セットアップレポート!H894</f>
        <v>0</v>
      </c>
      <c r="J894">
        <f>セットアップレポート!I894</f>
        <v>0</v>
      </c>
      <c r="K894">
        <f>セットアップレポート!J894</f>
        <v>0</v>
      </c>
      <c r="L894">
        <f>セットアップレポート!K894</f>
        <v>0</v>
      </c>
      <c r="M894">
        <f>セットアップレポート!L894</f>
        <v>0</v>
      </c>
      <c r="N894">
        <f>セットアップレポート!M894</f>
        <v>0</v>
      </c>
      <c r="O894">
        <f>セットアップレポート!N894</f>
        <v>0</v>
      </c>
      <c r="P894">
        <f>セットアップレポート!O894</f>
        <v>0</v>
      </c>
      <c r="Q894">
        <f>セットアップレポート!P894</f>
        <v>0</v>
      </c>
      <c r="R894">
        <f>セットアップレポート!Q894</f>
        <v>0</v>
      </c>
      <c r="S894">
        <f>セットアップレポート!R894</f>
        <v>0</v>
      </c>
      <c r="T894">
        <f>セットアップレポート!S894</f>
        <v>0</v>
      </c>
      <c r="U894">
        <f>セットアップレポート!T894</f>
        <v>0</v>
      </c>
      <c r="V894">
        <f>セットアップレポート!U894</f>
        <v>0</v>
      </c>
      <c r="W894">
        <f>セットアップレポート!V894</f>
        <v>0</v>
      </c>
      <c r="X894">
        <f>セットアップレポート!W894</f>
        <v>0</v>
      </c>
      <c r="Y894">
        <f>セットアップレポート!X894</f>
        <v>0</v>
      </c>
      <c r="Z894">
        <f>セットアップレポート!Y894</f>
        <v>0</v>
      </c>
      <c r="AA894">
        <f>セットアップレポート!Z894</f>
        <v>0</v>
      </c>
      <c r="AB894">
        <f>セットアップレポート!AA894</f>
        <v>0</v>
      </c>
      <c r="AC894">
        <f>セットアップレポート!AB894</f>
        <v>0</v>
      </c>
      <c r="AD894">
        <f>セットアップレポート!AC894</f>
        <v>0</v>
      </c>
      <c r="AE894">
        <f>セットアップレポート!AD894</f>
        <v>0</v>
      </c>
      <c r="AF894">
        <f>セットアップレポート!AE894</f>
        <v>0</v>
      </c>
      <c r="AG894">
        <f>セットアップレポート!AF894</f>
        <v>0</v>
      </c>
      <c r="AH894">
        <f>セットアップレポート!AG894</f>
        <v>0</v>
      </c>
    </row>
    <row r="895" spans="1:34" x14ac:dyDescent="0.45">
      <c r="A895" t="str">
        <f t="shared" si="13"/>
        <v>000</v>
      </c>
      <c r="B895">
        <f>セットアップレポート!A895</f>
        <v>0</v>
      </c>
      <c r="C895">
        <f>セットアップレポート!B895</f>
        <v>0</v>
      </c>
      <c r="D895">
        <f>セットアップレポート!C895</f>
        <v>0</v>
      </c>
      <c r="E895">
        <f>セットアップレポート!D895</f>
        <v>0</v>
      </c>
      <c r="F895">
        <f>セットアップレポート!E895</f>
        <v>0</v>
      </c>
      <c r="G895">
        <f>セットアップレポート!F895</f>
        <v>0</v>
      </c>
      <c r="H895">
        <f>セットアップレポート!G895</f>
        <v>0</v>
      </c>
      <c r="I895">
        <f>セットアップレポート!H895</f>
        <v>0</v>
      </c>
      <c r="J895">
        <f>セットアップレポート!I895</f>
        <v>0</v>
      </c>
      <c r="K895">
        <f>セットアップレポート!J895</f>
        <v>0</v>
      </c>
      <c r="L895">
        <f>セットアップレポート!K895</f>
        <v>0</v>
      </c>
      <c r="M895">
        <f>セットアップレポート!L895</f>
        <v>0</v>
      </c>
      <c r="N895">
        <f>セットアップレポート!M895</f>
        <v>0</v>
      </c>
      <c r="O895">
        <f>セットアップレポート!N895</f>
        <v>0</v>
      </c>
      <c r="P895">
        <f>セットアップレポート!O895</f>
        <v>0</v>
      </c>
      <c r="Q895">
        <f>セットアップレポート!P895</f>
        <v>0</v>
      </c>
      <c r="R895">
        <f>セットアップレポート!Q895</f>
        <v>0</v>
      </c>
      <c r="S895">
        <f>セットアップレポート!R895</f>
        <v>0</v>
      </c>
      <c r="T895">
        <f>セットアップレポート!S895</f>
        <v>0</v>
      </c>
      <c r="U895">
        <f>セットアップレポート!T895</f>
        <v>0</v>
      </c>
      <c r="V895">
        <f>セットアップレポート!U895</f>
        <v>0</v>
      </c>
      <c r="W895">
        <f>セットアップレポート!V895</f>
        <v>0</v>
      </c>
      <c r="X895">
        <f>セットアップレポート!W895</f>
        <v>0</v>
      </c>
      <c r="Y895">
        <f>セットアップレポート!X895</f>
        <v>0</v>
      </c>
      <c r="Z895">
        <f>セットアップレポート!Y895</f>
        <v>0</v>
      </c>
      <c r="AA895">
        <f>セットアップレポート!Z895</f>
        <v>0</v>
      </c>
      <c r="AB895">
        <f>セットアップレポート!AA895</f>
        <v>0</v>
      </c>
      <c r="AC895">
        <f>セットアップレポート!AB895</f>
        <v>0</v>
      </c>
      <c r="AD895">
        <f>セットアップレポート!AC895</f>
        <v>0</v>
      </c>
      <c r="AE895">
        <f>セットアップレポート!AD895</f>
        <v>0</v>
      </c>
      <c r="AF895">
        <f>セットアップレポート!AE895</f>
        <v>0</v>
      </c>
      <c r="AG895">
        <f>セットアップレポート!AF895</f>
        <v>0</v>
      </c>
      <c r="AH895">
        <f>セットアップレポート!AG895</f>
        <v>0</v>
      </c>
    </row>
    <row r="896" spans="1:34" x14ac:dyDescent="0.45">
      <c r="A896" t="str">
        <f t="shared" si="13"/>
        <v>000</v>
      </c>
      <c r="B896">
        <f>セットアップレポート!A896</f>
        <v>0</v>
      </c>
      <c r="C896">
        <f>セットアップレポート!B896</f>
        <v>0</v>
      </c>
      <c r="D896">
        <f>セットアップレポート!C896</f>
        <v>0</v>
      </c>
      <c r="E896">
        <f>セットアップレポート!D896</f>
        <v>0</v>
      </c>
      <c r="F896">
        <f>セットアップレポート!E896</f>
        <v>0</v>
      </c>
      <c r="G896">
        <f>セットアップレポート!F896</f>
        <v>0</v>
      </c>
      <c r="H896">
        <f>セットアップレポート!G896</f>
        <v>0</v>
      </c>
      <c r="I896">
        <f>セットアップレポート!H896</f>
        <v>0</v>
      </c>
      <c r="J896">
        <f>セットアップレポート!I896</f>
        <v>0</v>
      </c>
      <c r="K896">
        <f>セットアップレポート!J896</f>
        <v>0</v>
      </c>
      <c r="L896">
        <f>セットアップレポート!K896</f>
        <v>0</v>
      </c>
      <c r="M896">
        <f>セットアップレポート!L896</f>
        <v>0</v>
      </c>
      <c r="N896">
        <f>セットアップレポート!M896</f>
        <v>0</v>
      </c>
      <c r="O896">
        <f>セットアップレポート!N896</f>
        <v>0</v>
      </c>
      <c r="P896">
        <f>セットアップレポート!O896</f>
        <v>0</v>
      </c>
      <c r="Q896">
        <f>セットアップレポート!P896</f>
        <v>0</v>
      </c>
      <c r="R896">
        <f>セットアップレポート!Q896</f>
        <v>0</v>
      </c>
      <c r="S896">
        <f>セットアップレポート!R896</f>
        <v>0</v>
      </c>
      <c r="T896">
        <f>セットアップレポート!S896</f>
        <v>0</v>
      </c>
      <c r="U896">
        <f>セットアップレポート!T896</f>
        <v>0</v>
      </c>
      <c r="V896">
        <f>セットアップレポート!U896</f>
        <v>0</v>
      </c>
      <c r="W896">
        <f>セットアップレポート!V896</f>
        <v>0</v>
      </c>
      <c r="X896">
        <f>セットアップレポート!W896</f>
        <v>0</v>
      </c>
      <c r="Y896">
        <f>セットアップレポート!X896</f>
        <v>0</v>
      </c>
      <c r="Z896">
        <f>セットアップレポート!Y896</f>
        <v>0</v>
      </c>
      <c r="AA896">
        <f>セットアップレポート!Z896</f>
        <v>0</v>
      </c>
      <c r="AB896">
        <f>セットアップレポート!AA896</f>
        <v>0</v>
      </c>
      <c r="AC896">
        <f>セットアップレポート!AB896</f>
        <v>0</v>
      </c>
      <c r="AD896">
        <f>セットアップレポート!AC896</f>
        <v>0</v>
      </c>
      <c r="AE896">
        <f>セットアップレポート!AD896</f>
        <v>0</v>
      </c>
      <c r="AF896">
        <f>セットアップレポート!AE896</f>
        <v>0</v>
      </c>
      <c r="AG896">
        <f>セットアップレポート!AF896</f>
        <v>0</v>
      </c>
      <c r="AH896">
        <f>セットアップレポート!AG896</f>
        <v>0</v>
      </c>
    </row>
    <row r="897" spans="1:34" x14ac:dyDescent="0.45">
      <c r="A897" t="str">
        <f t="shared" si="13"/>
        <v>000</v>
      </c>
      <c r="B897">
        <f>セットアップレポート!A897</f>
        <v>0</v>
      </c>
      <c r="C897">
        <f>セットアップレポート!B897</f>
        <v>0</v>
      </c>
      <c r="D897">
        <f>セットアップレポート!C897</f>
        <v>0</v>
      </c>
      <c r="E897">
        <f>セットアップレポート!D897</f>
        <v>0</v>
      </c>
      <c r="F897">
        <f>セットアップレポート!E897</f>
        <v>0</v>
      </c>
      <c r="G897">
        <f>セットアップレポート!F897</f>
        <v>0</v>
      </c>
      <c r="H897">
        <f>セットアップレポート!G897</f>
        <v>0</v>
      </c>
      <c r="I897">
        <f>セットアップレポート!H897</f>
        <v>0</v>
      </c>
      <c r="J897">
        <f>セットアップレポート!I897</f>
        <v>0</v>
      </c>
      <c r="K897">
        <f>セットアップレポート!J897</f>
        <v>0</v>
      </c>
      <c r="L897">
        <f>セットアップレポート!K897</f>
        <v>0</v>
      </c>
      <c r="M897">
        <f>セットアップレポート!L897</f>
        <v>0</v>
      </c>
      <c r="N897">
        <f>セットアップレポート!M897</f>
        <v>0</v>
      </c>
      <c r="O897">
        <f>セットアップレポート!N897</f>
        <v>0</v>
      </c>
      <c r="P897">
        <f>セットアップレポート!O897</f>
        <v>0</v>
      </c>
      <c r="Q897">
        <f>セットアップレポート!P897</f>
        <v>0</v>
      </c>
      <c r="R897">
        <f>セットアップレポート!Q897</f>
        <v>0</v>
      </c>
      <c r="S897">
        <f>セットアップレポート!R897</f>
        <v>0</v>
      </c>
      <c r="T897">
        <f>セットアップレポート!S897</f>
        <v>0</v>
      </c>
      <c r="U897">
        <f>セットアップレポート!T897</f>
        <v>0</v>
      </c>
      <c r="V897">
        <f>セットアップレポート!U897</f>
        <v>0</v>
      </c>
      <c r="W897">
        <f>セットアップレポート!V897</f>
        <v>0</v>
      </c>
      <c r="X897">
        <f>セットアップレポート!W897</f>
        <v>0</v>
      </c>
      <c r="Y897">
        <f>セットアップレポート!X897</f>
        <v>0</v>
      </c>
      <c r="Z897">
        <f>セットアップレポート!Y897</f>
        <v>0</v>
      </c>
      <c r="AA897">
        <f>セットアップレポート!Z897</f>
        <v>0</v>
      </c>
      <c r="AB897">
        <f>セットアップレポート!AA897</f>
        <v>0</v>
      </c>
      <c r="AC897">
        <f>セットアップレポート!AB897</f>
        <v>0</v>
      </c>
      <c r="AD897">
        <f>セットアップレポート!AC897</f>
        <v>0</v>
      </c>
      <c r="AE897">
        <f>セットアップレポート!AD897</f>
        <v>0</v>
      </c>
      <c r="AF897">
        <f>セットアップレポート!AE897</f>
        <v>0</v>
      </c>
      <c r="AG897">
        <f>セットアップレポート!AF897</f>
        <v>0</v>
      </c>
      <c r="AH897">
        <f>セットアップレポート!AG897</f>
        <v>0</v>
      </c>
    </row>
    <row r="898" spans="1:34" x14ac:dyDescent="0.45">
      <c r="A898" t="str">
        <f t="shared" si="13"/>
        <v>000</v>
      </c>
      <c r="B898">
        <f>セットアップレポート!A898</f>
        <v>0</v>
      </c>
      <c r="C898">
        <f>セットアップレポート!B898</f>
        <v>0</v>
      </c>
      <c r="D898">
        <f>セットアップレポート!C898</f>
        <v>0</v>
      </c>
      <c r="E898">
        <f>セットアップレポート!D898</f>
        <v>0</v>
      </c>
      <c r="F898">
        <f>セットアップレポート!E898</f>
        <v>0</v>
      </c>
      <c r="G898">
        <f>セットアップレポート!F898</f>
        <v>0</v>
      </c>
      <c r="H898">
        <f>セットアップレポート!G898</f>
        <v>0</v>
      </c>
      <c r="I898">
        <f>セットアップレポート!H898</f>
        <v>0</v>
      </c>
      <c r="J898">
        <f>セットアップレポート!I898</f>
        <v>0</v>
      </c>
      <c r="K898">
        <f>セットアップレポート!J898</f>
        <v>0</v>
      </c>
      <c r="L898">
        <f>セットアップレポート!K898</f>
        <v>0</v>
      </c>
      <c r="M898">
        <f>セットアップレポート!L898</f>
        <v>0</v>
      </c>
      <c r="N898">
        <f>セットアップレポート!M898</f>
        <v>0</v>
      </c>
      <c r="O898">
        <f>セットアップレポート!N898</f>
        <v>0</v>
      </c>
      <c r="P898">
        <f>セットアップレポート!O898</f>
        <v>0</v>
      </c>
      <c r="Q898">
        <f>セットアップレポート!P898</f>
        <v>0</v>
      </c>
      <c r="R898">
        <f>セットアップレポート!Q898</f>
        <v>0</v>
      </c>
      <c r="S898">
        <f>セットアップレポート!R898</f>
        <v>0</v>
      </c>
      <c r="T898">
        <f>セットアップレポート!S898</f>
        <v>0</v>
      </c>
      <c r="U898">
        <f>セットアップレポート!T898</f>
        <v>0</v>
      </c>
      <c r="V898">
        <f>セットアップレポート!U898</f>
        <v>0</v>
      </c>
      <c r="W898">
        <f>セットアップレポート!V898</f>
        <v>0</v>
      </c>
      <c r="X898">
        <f>セットアップレポート!W898</f>
        <v>0</v>
      </c>
      <c r="Y898">
        <f>セットアップレポート!X898</f>
        <v>0</v>
      </c>
      <c r="Z898">
        <f>セットアップレポート!Y898</f>
        <v>0</v>
      </c>
      <c r="AA898">
        <f>セットアップレポート!Z898</f>
        <v>0</v>
      </c>
      <c r="AB898">
        <f>セットアップレポート!AA898</f>
        <v>0</v>
      </c>
      <c r="AC898">
        <f>セットアップレポート!AB898</f>
        <v>0</v>
      </c>
      <c r="AD898">
        <f>セットアップレポート!AC898</f>
        <v>0</v>
      </c>
      <c r="AE898">
        <f>セットアップレポート!AD898</f>
        <v>0</v>
      </c>
      <c r="AF898">
        <f>セットアップレポート!AE898</f>
        <v>0</v>
      </c>
      <c r="AG898">
        <f>セットアップレポート!AF898</f>
        <v>0</v>
      </c>
      <c r="AH898">
        <f>セットアップレポート!AG898</f>
        <v>0</v>
      </c>
    </row>
    <row r="899" spans="1:34" x14ac:dyDescent="0.45">
      <c r="A899" t="str">
        <f t="shared" ref="A899:A962" si="14">C899&amp;RIGHT(G899,5)&amp;K899</f>
        <v>000</v>
      </c>
      <c r="B899">
        <f>セットアップレポート!A899</f>
        <v>0</v>
      </c>
      <c r="C899">
        <f>セットアップレポート!B899</f>
        <v>0</v>
      </c>
      <c r="D899">
        <f>セットアップレポート!C899</f>
        <v>0</v>
      </c>
      <c r="E899">
        <f>セットアップレポート!D899</f>
        <v>0</v>
      </c>
      <c r="F899">
        <f>セットアップレポート!E899</f>
        <v>0</v>
      </c>
      <c r="G899">
        <f>セットアップレポート!F899</f>
        <v>0</v>
      </c>
      <c r="H899">
        <f>セットアップレポート!G899</f>
        <v>0</v>
      </c>
      <c r="I899">
        <f>セットアップレポート!H899</f>
        <v>0</v>
      </c>
      <c r="J899">
        <f>セットアップレポート!I899</f>
        <v>0</v>
      </c>
      <c r="K899">
        <f>セットアップレポート!J899</f>
        <v>0</v>
      </c>
      <c r="L899">
        <f>セットアップレポート!K899</f>
        <v>0</v>
      </c>
      <c r="M899">
        <f>セットアップレポート!L899</f>
        <v>0</v>
      </c>
      <c r="N899">
        <f>セットアップレポート!M899</f>
        <v>0</v>
      </c>
      <c r="O899">
        <f>セットアップレポート!N899</f>
        <v>0</v>
      </c>
      <c r="P899">
        <f>セットアップレポート!O899</f>
        <v>0</v>
      </c>
      <c r="Q899">
        <f>セットアップレポート!P899</f>
        <v>0</v>
      </c>
      <c r="R899">
        <f>セットアップレポート!Q899</f>
        <v>0</v>
      </c>
      <c r="S899">
        <f>セットアップレポート!R899</f>
        <v>0</v>
      </c>
      <c r="T899">
        <f>セットアップレポート!S899</f>
        <v>0</v>
      </c>
      <c r="U899">
        <f>セットアップレポート!T899</f>
        <v>0</v>
      </c>
      <c r="V899">
        <f>セットアップレポート!U899</f>
        <v>0</v>
      </c>
      <c r="W899">
        <f>セットアップレポート!V899</f>
        <v>0</v>
      </c>
      <c r="X899">
        <f>セットアップレポート!W899</f>
        <v>0</v>
      </c>
      <c r="Y899">
        <f>セットアップレポート!X899</f>
        <v>0</v>
      </c>
      <c r="Z899">
        <f>セットアップレポート!Y899</f>
        <v>0</v>
      </c>
      <c r="AA899">
        <f>セットアップレポート!Z899</f>
        <v>0</v>
      </c>
      <c r="AB899">
        <f>セットアップレポート!AA899</f>
        <v>0</v>
      </c>
      <c r="AC899">
        <f>セットアップレポート!AB899</f>
        <v>0</v>
      </c>
      <c r="AD899">
        <f>セットアップレポート!AC899</f>
        <v>0</v>
      </c>
      <c r="AE899">
        <f>セットアップレポート!AD899</f>
        <v>0</v>
      </c>
      <c r="AF899">
        <f>セットアップレポート!AE899</f>
        <v>0</v>
      </c>
      <c r="AG899">
        <f>セットアップレポート!AF899</f>
        <v>0</v>
      </c>
      <c r="AH899">
        <f>セットアップレポート!AG899</f>
        <v>0</v>
      </c>
    </row>
    <row r="900" spans="1:34" x14ac:dyDescent="0.45">
      <c r="A900" t="str">
        <f t="shared" si="14"/>
        <v>000</v>
      </c>
      <c r="B900">
        <f>セットアップレポート!A900</f>
        <v>0</v>
      </c>
      <c r="C900">
        <f>セットアップレポート!B900</f>
        <v>0</v>
      </c>
      <c r="D900">
        <f>セットアップレポート!C900</f>
        <v>0</v>
      </c>
      <c r="E900">
        <f>セットアップレポート!D900</f>
        <v>0</v>
      </c>
      <c r="F900">
        <f>セットアップレポート!E900</f>
        <v>0</v>
      </c>
      <c r="G900">
        <f>セットアップレポート!F900</f>
        <v>0</v>
      </c>
      <c r="H900">
        <f>セットアップレポート!G900</f>
        <v>0</v>
      </c>
      <c r="I900">
        <f>セットアップレポート!H900</f>
        <v>0</v>
      </c>
      <c r="J900">
        <f>セットアップレポート!I900</f>
        <v>0</v>
      </c>
      <c r="K900">
        <f>セットアップレポート!J900</f>
        <v>0</v>
      </c>
      <c r="L900">
        <f>セットアップレポート!K900</f>
        <v>0</v>
      </c>
      <c r="M900">
        <f>セットアップレポート!L900</f>
        <v>0</v>
      </c>
      <c r="N900">
        <f>セットアップレポート!M900</f>
        <v>0</v>
      </c>
      <c r="O900">
        <f>セットアップレポート!N900</f>
        <v>0</v>
      </c>
      <c r="P900">
        <f>セットアップレポート!O900</f>
        <v>0</v>
      </c>
      <c r="Q900">
        <f>セットアップレポート!P900</f>
        <v>0</v>
      </c>
      <c r="R900">
        <f>セットアップレポート!Q900</f>
        <v>0</v>
      </c>
      <c r="S900">
        <f>セットアップレポート!R900</f>
        <v>0</v>
      </c>
      <c r="T900">
        <f>セットアップレポート!S900</f>
        <v>0</v>
      </c>
      <c r="U900">
        <f>セットアップレポート!T900</f>
        <v>0</v>
      </c>
      <c r="V900">
        <f>セットアップレポート!U900</f>
        <v>0</v>
      </c>
      <c r="W900">
        <f>セットアップレポート!V900</f>
        <v>0</v>
      </c>
      <c r="X900">
        <f>セットアップレポート!W900</f>
        <v>0</v>
      </c>
      <c r="Y900">
        <f>セットアップレポート!X900</f>
        <v>0</v>
      </c>
      <c r="Z900">
        <f>セットアップレポート!Y900</f>
        <v>0</v>
      </c>
      <c r="AA900">
        <f>セットアップレポート!Z900</f>
        <v>0</v>
      </c>
      <c r="AB900">
        <f>セットアップレポート!AA900</f>
        <v>0</v>
      </c>
      <c r="AC900">
        <f>セットアップレポート!AB900</f>
        <v>0</v>
      </c>
      <c r="AD900">
        <f>セットアップレポート!AC900</f>
        <v>0</v>
      </c>
      <c r="AE900">
        <f>セットアップレポート!AD900</f>
        <v>0</v>
      </c>
      <c r="AF900">
        <f>セットアップレポート!AE900</f>
        <v>0</v>
      </c>
      <c r="AG900">
        <f>セットアップレポート!AF900</f>
        <v>0</v>
      </c>
      <c r="AH900">
        <f>セットアップレポート!AG900</f>
        <v>0</v>
      </c>
    </row>
    <row r="901" spans="1:34" x14ac:dyDescent="0.45">
      <c r="A901" t="str">
        <f t="shared" si="14"/>
        <v>000</v>
      </c>
      <c r="B901">
        <f>セットアップレポート!A901</f>
        <v>0</v>
      </c>
      <c r="C901">
        <f>セットアップレポート!B901</f>
        <v>0</v>
      </c>
      <c r="D901">
        <f>セットアップレポート!C901</f>
        <v>0</v>
      </c>
      <c r="E901">
        <f>セットアップレポート!D901</f>
        <v>0</v>
      </c>
      <c r="F901">
        <f>セットアップレポート!E901</f>
        <v>0</v>
      </c>
      <c r="G901">
        <f>セットアップレポート!F901</f>
        <v>0</v>
      </c>
      <c r="H901">
        <f>セットアップレポート!G901</f>
        <v>0</v>
      </c>
      <c r="I901">
        <f>セットアップレポート!H901</f>
        <v>0</v>
      </c>
      <c r="J901">
        <f>セットアップレポート!I901</f>
        <v>0</v>
      </c>
      <c r="K901">
        <f>セットアップレポート!J901</f>
        <v>0</v>
      </c>
      <c r="L901">
        <f>セットアップレポート!K901</f>
        <v>0</v>
      </c>
      <c r="M901">
        <f>セットアップレポート!L901</f>
        <v>0</v>
      </c>
      <c r="N901">
        <f>セットアップレポート!M901</f>
        <v>0</v>
      </c>
      <c r="O901">
        <f>セットアップレポート!N901</f>
        <v>0</v>
      </c>
      <c r="P901">
        <f>セットアップレポート!O901</f>
        <v>0</v>
      </c>
      <c r="Q901">
        <f>セットアップレポート!P901</f>
        <v>0</v>
      </c>
      <c r="R901">
        <f>セットアップレポート!Q901</f>
        <v>0</v>
      </c>
      <c r="S901">
        <f>セットアップレポート!R901</f>
        <v>0</v>
      </c>
      <c r="T901">
        <f>セットアップレポート!S901</f>
        <v>0</v>
      </c>
      <c r="U901">
        <f>セットアップレポート!T901</f>
        <v>0</v>
      </c>
      <c r="V901">
        <f>セットアップレポート!U901</f>
        <v>0</v>
      </c>
      <c r="W901">
        <f>セットアップレポート!V901</f>
        <v>0</v>
      </c>
      <c r="X901">
        <f>セットアップレポート!W901</f>
        <v>0</v>
      </c>
      <c r="Y901">
        <f>セットアップレポート!X901</f>
        <v>0</v>
      </c>
      <c r="Z901">
        <f>セットアップレポート!Y901</f>
        <v>0</v>
      </c>
      <c r="AA901">
        <f>セットアップレポート!Z901</f>
        <v>0</v>
      </c>
      <c r="AB901">
        <f>セットアップレポート!AA901</f>
        <v>0</v>
      </c>
      <c r="AC901">
        <f>セットアップレポート!AB901</f>
        <v>0</v>
      </c>
      <c r="AD901">
        <f>セットアップレポート!AC901</f>
        <v>0</v>
      </c>
      <c r="AE901">
        <f>セットアップレポート!AD901</f>
        <v>0</v>
      </c>
      <c r="AF901">
        <f>セットアップレポート!AE901</f>
        <v>0</v>
      </c>
      <c r="AG901">
        <f>セットアップレポート!AF901</f>
        <v>0</v>
      </c>
      <c r="AH901">
        <f>セットアップレポート!AG901</f>
        <v>0</v>
      </c>
    </row>
    <row r="902" spans="1:34" x14ac:dyDescent="0.45">
      <c r="A902" t="str">
        <f t="shared" si="14"/>
        <v>000</v>
      </c>
      <c r="B902">
        <f>セットアップレポート!A902</f>
        <v>0</v>
      </c>
      <c r="C902">
        <f>セットアップレポート!B902</f>
        <v>0</v>
      </c>
      <c r="D902">
        <f>セットアップレポート!C902</f>
        <v>0</v>
      </c>
      <c r="E902">
        <f>セットアップレポート!D902</f>
        <v>0</v>
      </c>
      <c r="F902">
        <f>セットアップレポート!E902</f>
        <v>0</v>
      </c>
      <c r="G902">
        <f>セットアップレポート!F902</f>
        <v>0</v>
      </c>
      <c r="H902">
        <f>セットアップレポート!G902</f>
        <v>0</v>
      </c>
      <c r="I902">
        <f>セットアップレポート!H902</f>
        <v>0</v>
      </c>
      <c r="J902">
        <f>セットアップレポート!I902</f>
        <v>0</v>
      </c>
      <c r="K902">
        <f>セットアップレポート!J902</f>
        <v>0</v>
      </c>
      <c r="L902">
        <f>セットアップレポート!K902</f>
        <v>0</v>
      </c>
      <c r="M902">
        <f>セットアップレポート!L902</f>
        <v>0</v>
      </c>
      <c r="N902">
        <f>セットアップレポート!M902</f>
        <v>0</v>
      </c>
      <c r="O902">
        <f>セットアップレポート!N902</f>
        <v>0</v>
      </c>
      <c r="P902">
        <f>セットアップレポート!O902</f>
        <v>0</v>
      </c>
      <c r="Q902">
        <f>セットアップレポート!P902</f>
        <v>0</v>
      </c>
      <c r="R902">
        <f>セットアップレポート!Q902</f>
        <v>0</v>
      </c>
      <c r="S902">
        <f>セットアップレポート!R902</f>
        <v>0</v>
      </c>
      <c r="T902">
        <f>セットアップレポート!S902</f>
        <v>0</v>
      </c>
      <c r="U902">
        <f>セットアップレポート!T902</f>
        <v>0</v>
      </c>
      <c r="V902">
        <f>セットアップレポート!U902</f>
        <v>0</v>
      </c>
      <c r="W902">
        <f>セットアップレポート!V902</f>
        <v>0</v>
      </c>
      <c r="X902">
        <f>セットアップレポート!W902</f>
        <v>0</v>
      </c>
      <c r="Y902">
        <f>セットアップレポート!X902</f>
        <v>0</v>
      </c>
      <c r="Z902">
        <f>セットアップレポート!Y902</f>
        <v>0</v>
      </c>
      <c r="AA902">
        <f>セットアップレポート!Z902</f>
        <v>0</v>
      </c>
      <c r="AB902">
        <f>セットアップレポート!AA902</f>
        <v>0</v>
      </c>
      <c r="AC902">
        <f>セットアップレポート!AB902</f>
        <v>0</v>
      </c>
      <c r="AD902">
        <f>セットアップレポート!AC902</f>
        <v>0</v>
      </c>
      <c r="AE902">
        <f>セットアップレポート!AD902</f>
        <v>0</v>
      </c>
      <c r="AF902">
        <f>セットアップレポート!AE902</f>
        <v>0</v>
      </c>
      <c r="AG902">
        <f>セットアップレポート!AF902</f>
        <v>0</v>
      </c>
      <c r="AH902">
        <f>セットアップレポート!AG902</f>
        <v>0</v>
      </c>
    </row>
    <row r="903" spans="1:34" x14ac:dyDescent="0.45">
      <c r="A903" t="str">
        <f t="shared" si="14"/>
        <v>000</v>
      </c>
      <c r="B903">
        <f>セットアップレポート!A903</f>
        <v>0</v>
      </c>
      <c r="C903">
        <f>セットアップレポート!B903</f>
        <v>0</v>
      </c>
      <c r="D903">
        <f>セットアップレポート!C903</f>
        <v>0</v>
      </c>
      <c r="E903">
        <f>セットアップレポート!D903</f>
        <v>0</v>
      </c>
      <c r="F903">
        <f>セットアップレポート!E903</f>
        <v>0</v>
      </c>
      <c r="G903">
        <f>セットアップレポート!F903</f>
        <v>0</v>
      </c>
      <c r="H903">
        <f>セットアップレポート!G903</f>
        <v>0</v>
      </c>
      <c r="I903">
        <f>セットアップレポート!H903</f>
        <v>0</v>
      </c>
      <c r="J903">
        <f>セットアップレポート!I903</f>
        <v>0</v>
      </c>
      <c r="K903">
        <f>セットアップレポート!J903</f>
        <v>0</v>
      </c>
      <c r="L903">
        <f>セットアップレポート!K903</f>
        <v>0</v>
      </c>
      <c r="M903">
        <f>セットアップレポート!L903</f>
        <v>0</v>
      </c>
      <c r="N903">
        <f>セットアップレポート!M903</f>
        <v>0</v>
      </c>
      <c r="O903">
        <f>セットアップレポート!N903</f>
        <v>0</v>
      </c>
      <c r="P903">
        <f>セットアップレポート!O903</f>
        <v>0</v>
      </c>
      <c r="Q903">
        <f>セットアップレポート!P903</f>
        <v>0</v>
      </c>
      <c r="R903">
        <f>セットアップレポート!Q903</f>
        <v>0</v>
      </c>
      <c r="S903">
        <f>セットアップレポート!R903</f>
        <v>0</v>
      </c>
      <c r="T903">
        <f>セットアップレポート!S903</f>
        <v>0</v>
      </c>
      <c r="U903">
        <f>セットアップレポート!T903</f>
        <v>0</v>
      </c>
      <c r="V903">
        <f>セットアップレポート!U903</f>
        <v>0</v>
      </c>
      <c r="W903">
        <f>セットアップレポート!V903</f>
        <v>0</v>
      </c>
      <c r="X903">
        <f>セットアップレポート!W903</f>
        <v>0</v>
      </c>
      <c r="Y903">
        <f>セットアップレポート!X903</f>
        <v>0</v>
      </c>
      <c r="Z903">
        <f>セットアップレポート!Y903</f>
        <v>0</v>
      </c>
      <c r="AA903">
        <f>セットアップレポート!Z903</f>
        <v>0</v>
      </c>
      <c r="AB903">
        <f>セットアップレポート!AA903</f>
        <v>0</v>
      </c>
      <c r="AC903">
        <f>セットアップレポート!AB903</f>
        <v>0</v>
      </c>
      <c r="AD903">
        <f>セットアップレポート!AC903</f>
        <v>0</v>
      </c>
      <c r="AE903">
        <f>セットアップレポート!AD903</f>
        <v>0</v>
      </c>
      <c r="AF903">
        <f>セットアップレポート!AE903</f>
        <v>0</v>
      </c>
      <c r="AG903">
        <f>セットアップレポート!AF903</f>
        <v>0</v>
      </c>
      <c r="AH903">
        <f>セットアップレポート!AG903</f>
        <v>0</v>
      </c>
    </row>
    <row r="904" spans="1:34" x14ac:dyDescent="0.45">
      <c r="A904" t="str">
        <f t="shared" si="14"/>
        <v>000</v>
      </c>
      <c r="B904">
        <f>セットアップレポート!A904</f>
        <v>0</v>
      </c>
      <c r="C904">
        <f>セットアップレポート!B904</f>
        <v>0</v>
      </c>
      <c r="D904">
        <f>セットアップレポート!C904</f>
        <v>0</v>
      </c>
      <c r="E904">
        <f>セットアップレポート!D904</f>
        <v>0</v>
      </c>
      <c r="F904">
        <f>セットアップレポート!E904</f>
        <v>0</v>
      </c>
      <c r="G904">
        <f>セットアップレポート!F904</f>
        <v>0</v>
      </c>
      <c r="H904">
        <f>セットアップレポート!G904</f>
        <v>0</v>
      </c>
      <c r="I904">
        <f>セットアップレポート!H904</f>
        <v>0</v>
      </c>
      <c r="J904">
        <f>セットアップレポート!I904</f>
        <v>0</v>
      </c>
      <c r="K904">
        <f>セットアップレポート!J904</f>
        <v>0</v>
      </c>
      <c r="L904">
        <f>セットアップレポート!K904</f>
        <v>0</v>
      </c>
      <c r="M904">
        <f>セットアップレポート!L904</f>
        <v>0</v>
      </c>
      <c r="N904">
        <f>セットアップレポート!M904</f>
        <v>0</v>
      </c>
      <c r="O904">
        <f>セットアップレポート!N904</f>
        <v>0</v>
      </c>
      <c r="P904">
        <f>セットアップレポート!O904</f>
        <v>0</v>
      </c>
      <c r="Q904">
        <f>セットアップレポート!P904</f>
        <v>0</v>
      </c>
      <c r="R904">
        <f>セットアップレポート!Q904</f>
        <v>0</v>
      </c>
      <c r="S904">
        <f>セットアップレポート!R904</f>
        <v>0</v>
      </c>
      <c r="T904">
        <f>セットアップレポート!S904</f>
        <v>0</v>
      </c>
      <c r="U904">
        <f>セットアップレポート!T904</f>
        <v>0</v>
      </c>
      <c r="V904">
        <f>セットアップレポート!U904</f>
        <v>0</v>
      </c>
      <c r="W904">
        <f>セットアップレポート!V904</f>
        <v>0</v>
      </c>
      <c r="X904">
        <f>セットアップレポート!W904</f>
        <v>0</v>
      </c>
      <c r="Y904">
        <f>セットアップレポート!X904</f>
        <v>0</v>
      </c>
      <c r="Z904">
        <f>セットアップレポート!Y904</f>
        <v>0</v>
      </c>
      <c r="AA904">
        <f>セットアップレポート!Z904</f>
        <v>0</v>
      </c>
      <c r="AB904">
        <f>セットアップレポート!AA904</f>
        <v>0</v>
      </c>
      <c r="AC904">
        <f>セットアップレポート!AB904</f>
        <v>0</v>
      </c>
      <c r="AD904">
        <f>セットアップレポート!AC904</f>
        <v>0</v>
      </c>
      <c r="AE904">
        <f>セットアップレポート!AD904</f>
        <v>0</v>
      </c>
      <c r="AF904">
        <f>セットアップレポート!AE904</f>
        <v>0</v>
      </c>
      <c r="AG904">
        <f>セットアップレポート!AF904</f>
        <v>0</v>
      </c>
      <c r="AH904">
        <f>セットアップレポート!AG904</f>
        <v>0</v>
      </c>
    </row>
    <row r="905" spans="1:34" x14ac:dyDescent="0.45">
      <c r="A905" t="str">
        <f t="shared" si="14"/>
        <v>000</v>
      </c>
      <c r="B905">
        <f>セットアップレポート!A905</f>
        <v>0</v>
      </c>
      <c r="C905">
        <f>セットアップレポート!B905</f>
        <v>0</v>
      </c>
      <c r="D905">
        <f>セットアップレポート!C905</f>
        <v>0</v>
      </c>
      <c r="E905">
        <f>セットアップレポート!D905</f>
        <v>0</v>
      </c>
      <c r="F905">
        <f>セットアップレポート!E905</f>
        <v>0</v>
      </c>
      <c r="G905">
        <f>セットアップレポート!F905</f>
        <v>0</v>
      </c>
      <c r="H905">
        <f>セットアップレポート!G905</f>
        <v>0</v>
      </c>
      <c r="I905">
        <f>セットアップレポート!H905</f>
        <v>0</v>
      </c>
      <c r="J905">
        <f>セットアップレポート!I905</f>
        <v>0</v>
      </c>
      <c r="K905">
        <f>セットアップレポート!J905</f>
        <v>0</v>
      </c>
      <c r="L905">
        <f>セットアップレポート!K905</f>
        <v>0</v>
      </c>
      <c r="M905">
        <f>セットアップレポート!L905</f>
        <v>0</v>
      </c>
      <c r="N905">
        <f>セットアップレポート!M905</f>
        <v>0</v>
      </c>
      <c r="O905">
        <f>セットアップレポート!N905</f>
        <v>0</v>
      </c>
      <c r="P905">
        <f>セットアップレポート!O905</f>
        <v>0</v>
      </c>
      <c r="Q905">
        <f>セットアップレポート!P905</f>
        <v>0</v>
      </c>
      <c r="R905">
        <f>セットアップレポート!Q905</f>
        <v>0</v>
      </c>
      <c r="S905">
        <f>セットアップレポート!R905</f>
        <v>0</v>
      </c>
      <c r="T905">
        <f>セットアップレポート!S905</f>
        <v>0</v>
      </c>
      <c r="U905">
        <f>セットアップレポート!T905</f>
        <v>0</v>
      </c>
      <c r="V905">
        <f>セットアップレポート!U905</f>
        <v>0</v>
      </c>
      <c r="W905">
        <f>セットアップレポート!V905</f>
        <v>0</v>
      </c>
      <c r="X905">
        <f>セットアップレポート!W905</f>
        <v>0</v>
      </c>
      <c r="Y905">
        <f>セットアップレポート!X905</f>
        <v>0</v>
      </c>
      <c r="Z905">
        <f>セットアップレポート!Y905</f>
        <v>0</v>
      </c>
      <c r="AA905">
        <f>セットアップレポート!Z905</f>
        <v>0</v>
      </c>
      <c r="AB905">
        <f>セットアップレポート!AA905</f>
        <v>0</v>
      </c>
      <c r="AC905">
        <f>セットアップレポート!AB905</f>
        <v>0</v>
      </c>
      <c r="AD905">
        <f>セットアップレポート!AC905</f>
        <v>0</v>
      </c>
      <c r="AE905">
        <f>セットアップレポート!AD905</f>
        <v>0</v>
      </c>
      <c r="AF905">
        <f>セットアップレポート!AE905</f>
        <v>0</v>
      </c>
      <c r="AG905">
        <f>セットアップレポート!AF905</f>
        <v>0</v>
      </c>
      <c r="AH905">
        <f>セットアップレポート!AG905</f>
        <v>0</v>
      </c>
    </row>
    <row r="906" spans="1:34" x14ac:dyDescent="0.45">
      <c r="A906" t="str">
        <f t="shared" si="14"/>
        <v>000</v>
      </c>
      <c r="B906">
        <f>セットアップレポート!A906</f>
        <v>0</v>
      </c>
      <c r="C906">
        <f>セットアップレポート!B906</f>
        <v>0</v>
      </c>
      <c r="D906">
        <f>セットアップレポート!C906</f>
        <v>0</v>
      </c>
      <c r="E906">
        <f>セットアップレポート!D906</f>
        <v>0</v>
      </c>
      <c r="F906">
        <f>セットアップレポート!E906</f>
        <v>0</v>
      </c>
      <c r="G906">
        <f>セットアップレポート!F906</f>
        <v>0</v>
      </c>
      <c r="H906">
        <f>セットアップレポート!G906</f>
        <v>0</v>
      </c>
      <c r="I906">
        <f>セットアップレポート!H906</f>
        <v>0</v>
      </c>
      <c r="J906">
        <f>セットアップレポート!I906</f>
        <v>0</v>
      </c>
      <c r="K906">
        <f>セットアップレポート!J906</f>
        <v>0</v>
      </c>
      <c r="L906">
        <f>セットアップレポート!K906</f>
        <v>0</v>
      </c>
      <c r="M906">
        <f>セットアップレポート!L906</f>
        <v>0</v>
      </c>
      <c r="N906">
        <f>セットアップレポート!M906</f>
        <v>0</v>
      </c>
      <c r="O906">
        <f>セットアップレポート!N906</f>
        <v>0</v>
      </c>
      <c r="P906">
        <f>セットアップレポート!O906</f>
        <v>0</v>
      </c>
      <c r="Q906">
        <f>セットアップレポート!P906</f>
        <v>0</v>
      </c>
      <c r="R906">
        <f>セットアップレポート!Q906</f>
        <v>0</v>
      </c>
      <c r="S906">
        <f>セットアップレポート!R906</f>
        <v>0</v>
      </c>
      <c r="T906">
        <f>セットアップレポート!S906</f>
        <v>0</v>
      </c>
      <c r="U906">
        <f>セットアップレポート!T906</f>
        <v>0</v>
      </c>
      <c r="V906">
        <f>セットアップレポート!U906</f>
        <v>0</v>
      </c>
      <c r="W906">
        <f>セットアップレポート!V906</f>
        <v>0</v>
      </c>
      <c r="X906">
        <f>セットアップレポート!W906</f>
        <v>0</v>
      </c>
      <c r="Y906">
        <f>セットアップレポート!X906</f>
        <v>0</v>
      </c>
      <c r="Z906">
        <f>セットアップレポート!Y906</f>
        <v>0</v>
      </c>
      <c r="AA906">
        <f>セットアップレポート!Z906</f>
        <v>0</v>
      </c>
      <c r="AB906">
        <f>セットアップレポート!AA906</f>
        <v>0</v>
      </c>
      <c r="AC906">
        <f>セットアップレポート!AB906</f>
        <v>0</v>
      </c>
      <c r="AD906">
        <f>セットアップレポート!AC906</f>
        <v>0</v>
      </c>
      <c r="AE906">
        <f>セットアップレポート!AD906</f>
        <v>0</v>
      </c>
      <c r="AF906">
        <f>セットアップレポート!AE906</f>
        <v>0</v>
      </c>
      <c r="AG906">
        <f>セットアップレポート!AF906</f>
        <v>0</v>
      </c>
      <c r="AH906">
        <f>セットアップレポート!AG906</f>
        <v>0</v>
      </c>
    </row>
    <row r="907" spans="1:34" x14ac:dyDescent="0.45">
      <c r="A907" t="str">
        <f t="shared" si="14"/>
        <v>000</v>
      </c>
      <c r="B907">
        <f>セットアップレポート!A907</f>
        <v>0</v>
      </c>
      <c r="C907">
        <f>セットアップレポート!B907</f>
        <v>0</v>
      </c>
      <c r="D907">
        <f>セットアップレポート!C907</f>
        <v>0</v>
      </c>
      <c r="E907">
        <f>セットアップレポート!D907</f>
        <v>0</v>
      </c>
      <c r="F907">
        <f>セットアップレポート!E907</f>
        <v>0</v>
      </c>
      <c r="G907">
        <f>セットアップレポート!F907</f>
        <v>0</v>
      </c>
      <c r="H907">
        <f>セットアップレポート!G907</f>
        <v>0</v>
      </c>
      <c r="I907">
        <f>セットアップレポート!H907</f>
        <v>0</v>
      </c>
      <c r="J907">
        <f>セットアップレポート!I907</f>
        <v>0</v>
      </c>
      <c r="K907">
        <f>セットアップレポート!J907</f>
        <v>0</v>
      </c>
      <c r="L907">
        <f>セットアップレポート!K907</f>
        <v>0</v>
      </c>
      <c r="M907">
        <f>セットアップレポート!L907</f>
        <v>0</v>
      </c>
      <c r="N907">
        <f>セットアップレポート!M907</f>
        <v>0</v>
      </c>
      <c r="O907">
        <f>セットアップレポート!N907</f>
        <v>0</v>
      </c>
      <c r="P907">
        <f>セットアップレポート!O907</f>
        <v>0</v>
      </c>
      <c r="Q907">
        <f>セットアップレポート!P907</f>
        <v>0</v>
      </c>
      <c r="R907">
        <f>セットアップレポート!Q907</f>
        <v>0</v>
      </c>
      <c r="S907">
        <f>セットアップレポート!R907</f>
        <v>0</v>
      </c>
      <c r="T907">
        <f>セットアップレポート!S907</f>
        <v>0</v>
      </c>
      <c r="U907">
        <f>セットアップレポート!T907</f>
        <v>0</v>
      </c>
      <c r="V907">
        <f>セットアップレポート!U907</f>
        <v>0</v>
      </c>
      <c r="W907">
        <f>セットアップレポート!V907</f>
        <v>0</v>
      </c>
      <c r="X907">
        <f>セットアップレポート!W907</f>
        <v>0</v>
      </c>
      <c r="Y907">
        <f>セットアップレポート!X907</f>
        <v>0</v>
      </c>
      <c r="Z907">
        <f>セットアップレポート!Y907</f>
        <v>0</v>
      </c>
      <c r="AA907">
        <f>セットアップレポート!Z907</f>
        <v>0</v>
      </c>
      <c r="AB907">
        <f>セットアップレポート!AA907</f>
        <v>0</v>
      </c>
      <c r="AC907">
        <f>セットアップレポート!AB907</f>
        <v>0</v>
      </c>
      <c r="AD907">
        <f>セットアップレポート!AC907</f>
        <v>0</v>
      </c>
      <c r="AE907">
        <f>セットアップレポート!AD907</f>
        <v>0</v>
      </c>
      <c r="AF907">
        <f>セットアップレポート!AE907</f>
        <v>0</v>
      </c>
      <c r="AG907">
        <f>セットアップレポート!AF907</f>
        <v>0</v>
      </c>
      <c r="AH907">
        <f>セットアップレポート!AG907</f>
        <v>0</v>
      </c>
    </row>
    <row r="908" spans="1:34" x14ac:dyDescent="0.45">
      <c r="A908" t="str">
        <f t="shared" si="14"/>
        <v>000</v>
      </c>
      <c r="B908">
        <f>セットアップレポート!A908</f>
        <v>0</v>
      </c>
      <c r="C908">
        <f>セットアップレポート!B908</f>
        <v>0</v>
      </c>
      <c r="D908">
        <f>セットアップレポート!C908</f>
        <v>0</v>
      </c>
      <c r="E908">
        <f>セットアップレポート!D908</f>
        <v>0</v>
      </c>
      <c r="F908">
        <f>セットアップレポート!E908</f>
        <v>0</v>
      </c>
      <c r="G908">
        <f>セットアップレポート!F908</f>
        <v>0</v>
      </c>
      <c r="H908">
        <f>セットアップレポート!G908</f>
        <v>0</v>
      </c>
      <c r="I908">
        <f>セットアップレポート!H908</f>
        <v>0</v>
      </c>
      <c r="J908">
        <f>セットアップレポート!I908</f>
        <v>0</v>
      </c>
      <c r="K908">
        <f>セットアップレポート!J908</f>
        <v>0</v>
      </c>
      <c r="L908">
        <f>セットアップレポート!K908</f>
        <v>0</v>
      </c>
      <c r="M908">
        <f>セットアップレポート!L908</f>
        <v>0</v>
      </c>
      <c r="N908">
        <f>セットアップレポート!M908</f>
        <v>0</v>
      </c>
      <c r="O908">
        <f>セットアップレポート!N908</f>
        <v>0</v>
      </c>
      <c r="P908">
        <f>セットアップレポート!O908</f>
        <v>0</v>
      </c>
      <c r="Q908">
        <f>セットアップレポート!P908</f>
        <v>0</v>
      </c>
      <c r="R908">
        <f>セットアップレポート!Q908</f>
        <v>0</v>
      </c>
      <c r="S908">
        <f>セットアップレポート!R908</f>
        <v>0</v>
      </c>
      <c r="T908">
        <f>セットアップレポート!S908</f>
        <v>0</v>
      </c>
      <c r="U908">
        <f>セットアップレポート!T908</f>
        <v>0</v>
      </c>
      <c r="V908">
        <f>セットアップレポート!U908</f>
        <v>0</v>
      </c>
      <c r="W908">
        <f>セットアップレポート!V908</f>
        <v>0</v>
      </c>
      <c r="X908">
        <f>セットアップレポート!W908</f>
        <v>0</v>
      </c>
      <c r="Y908">
        <f>セットアップレポート!X908</f>
        <v>0</v>
      </c>
      <c r="Z908">
        <f>セットアップレポート!Y908</f>
        <v>0</v>
      </c>
      <c r="AA908">
        <f>セットアップレポート!Z908</f>
        <v>0</v>
      </c>
      <c r="AB908">
        <f>セットアップレポート!AA908</f>
        <v>0</v>
      </c>
      <c r="AC908">
        <f>セットアップレポート!AB908</f>
        <v>0</v>
      </c>
      <c r="AD908">
        <f>セットアップレポート!AC908</f>
        <v>0</v>
      </c>
      <c r="AE908">
        <f>セットアップレポート!AD908</f>
        <v>0</v>
      </c>
      <c r="AF908">
        <f>セットアップレポート!AE908</f>
        <v>0</v>
      </c>
      <c r="AG908">
        <f>セットアップレポート!AF908</f>
        <v>0</v>
      </c>
      <c r="AH908">
        <f>セットアップレポート!AG908</f>
        <v>0</v>
      </c>
    </row>
    <row r="909" spans="1:34" x14ac:dyDescent="0.45">
      <c r="A909" t="str">
        <f t="shared" si="14"/>
        <v>000</v>
      </c>
      <c r="B909">
        <f>セットアップレポート!A909</f>
        <v>0</v>
      </c>
      <c r="C909">
        <f>セットアップレポート!B909</f>
        <v>0</v>
      </c>
      <c r="D909">
        <f>セットアップレポート!C909</f>
        <v>0</v>
      </c>
      <c r="E909">
        <f>セットアップレポート!D909</f>
        <v>0</v>
      </c>
      <c r="F909">
        <f>セットアップレポート!E909</f>
        <v>0</v>
      </c>
      <c r="G909">
        <f>セットアップレポート!F909</f>
        <v>0</v>
      </c>
      <c r="H909">
        <f>セットアップレポート!G909</f>
        <v>0</v>
      </c>
      <c r="I909">
        <f>セットアップレポート!H909</f>
        <v>0</v>
      </c>
      <c r="J909">
        <f>セットアップレポート!I909</f>
        <v>0</v>
      </c>
      <c r="K909">
        <f>セットアップレポート!J909</f>
        <v>0</v>
      </c>
      <c r="L909">
        <f>セットアップレポート!K909</f>
        <v>0</v>
      </c>
      <c r="M909">
        <f>セットアップレポート!L909</f>
        <v>0</v>
      </c>
      <c r="N909">
        <f>セットアップレポート!M909</f>
        <v>0</v>
      </c>
      <c r="O909">
        <f>セットアップレポート!N909</f>
        <v>0</v>
      </c>
      <c r="P909">
        <f>セットアップレポート!O909</f>
        <v>0</v>
      </c>
      <c r="Q909">
        <f>セットアップレポート!P909</f>
        <v>0</v>
      </c>
      <c r="R909">
        <f>セットアップレポート!Q909</f>
        <v>0</v>
      </c>
      <c r="S909">
        <f>セットアップレポート!R909</f>
        <v>0</v>
      </c>
      <c r="T909">
        <f>セットアップレポート!S909</f>
        <v>0</v>
      </c>
      <c r="U909">
        <f>セットアップレポート!T909</f>
        <v>0</v>
      </c>
      <c r="V909">
        <f>セットアップレポート!U909</f>
        <v>0</v>
      </c>
      <c r="W909">
        <f>セットアップレポート!V909</f>
        <v>0</v>
      </c>
      <c r="X909">
        <f>セットアップレポート!W909</f>
        <v>0</v>
      </c>
      <c r="Y909">
        <f>セットアップレポート!X909</f>
        <v>0</v>
      </c>
      <c r="Z909">
        <f>セットアップレポート!Y909</f>
        <v>0</v>
      </c>
      <c r="AA909">
        <f>セットアップレポート!Z909</f>
        <v>0</v>
      </c>
      <c r="AB909">
        <f>セットアップレポート!AA909</f>
        <v>0</v>
      </c>
      <c r="AC909">
        <f>セットアップレポート!AB909</f>
        <v>0</v>
      </c>
      <c r="AD909">
        <f>セットアップレポート!AC909</f>
        <v>0</v>
      </c>
      <c r="AE909">
        <f>セットアップレポート!AD909</f>
        <v>0</v>
      </c>
      <c r="AF909">
        <f>セットアップレポート!AE909</f>
        <v>0</v>
      </c>
      <c r="AG909">
        <f>セットアップレポート!AF909</f>
        <v>0</v>
      </c>
      <c r="AH909">
        <f>セットアップレポート!AG909</f>
        <v>0</v>
      </c>
    </row>
    <row r="910" spans="1:34" x14ac:dyDescent="0.45">
      <c r="A910" t="str">
        <f t="shared" si="14"/>
        <v>000</v>
      </c>
      <c r="B910">
        <f>セットアップレポート!A910</f>
        <v>0</v>
      </c>
      <c r="C910">
        <f>セットアップレポート!B910</f>
        <v>0</v>
      </c>
      <c r="D910">
        <f>セットアップレポート!C910</f>
        <v>0</v>
      </c>
      <c r="E910">
        <f>セットアップレポート!D910</f>
        <v>0</v>
      </c>
      <c r="F910">
        <f>セットアップレポート!E910</f>
        <v>0</v>
      </c>
      <c r="G910">
        <f>セットアップレポート!F910</f>
        <v>0</v>
      </c>
      <c r="H910">
        <f>セットアップレポート!G910</f>
        <v>0</v>
      </c>
      <c r="I910">
        <f>セットアップレポート!H910</f>
        <v>0</v>
      </c>
      <c r="J910">
        <f>セットアップレポート!I910</f>
        <v>0</v>
      </c>
      <c r="K910">
        <f>セットアップレポート!J910</f>
        <v>0</v>
      </c>
      <c r="L910">
        <f>セットアップレポート!K910</f>
        <v>0</v>
      </c>
      <c r="M910">
        <f>セットアップレポート!L910</f>
        <v>0</v>
      </c>
      <c r="N910">
        <f>セットアップレポート!M910</f>
        <v>0</v>
      </c>
      <c r="O910">
        <f>セットアップレポート!N910</f>
        <v>0</v>
      </c>
      <c r="P910">
        <f>セットアップレポート!O910</f>
        <v>0</v>
      </c>
      <c r="Q910">
        <f>セットアップレポート!P910</f>
        <v>0</v>
      </c>
      <c r="R910">
        <f>セットアップレポート!Q910</f>
        <v>0</v>
      </c>
      <c r="S910">
        <f>セットアップレポート!R910</f>
        <v>0</v>
      </c>
      <c r="T910">
        <f>セットアップレポート!S910</f>
        <v>0</v>
      </c>
      <c r="U910">
        <f>セットアップレポート!T910</f>
        <v>0</v>
      </c>
      <c r="V910">
        <f>セットアップレポート!U910</f>
        <v>0</v>
      </c>
      <c r="W910">
        <f>セットアップレポート!V910</f>
        <v>0</v>
      </c>
      <c r="X910">
        <f>セットアップレポート!W910</f>
        <v>0</v>
      </c>
      <c r="Y910">
        <f>セットアップレポート!X910</f>
        <v>0</v>
      </c>
      <c r="Z910">
        <f>セットアップレポート!Y910</f>
        <v>0</v>
      </c>
      <c r="AA910">
        <f>セットアップレポート!Z910</f>
        <v>0</v>
      </c>
      <c r="AB910">
        <f>セットアップレポート!AA910</f>
        <v>0</v>
      </c>
      <c r="AC910">
        <f>セットアップレポート!AB910</f>
        <v>0</v>
      </c>
      <c r="AD910">
        <f>セットアップレポート!AC910</f>
        <v>0</v>
      </c>
      <c r="AE910">
        <f>セットアップレポート!AD910</f>
        <v>0</v>
      </c>
      <c r="AF910">
        <f>セットアップレポート!AE910</f>
        <v>0</v>
      </c>
      <c r="AG910">
        <f>セットアップレポート!AF910</f>
        <v>0</v>
      </c>
      <c r="AH910">
        <f>セットアップレポート!AG910</f>
        <v>0</v>
      </c>
    </row>
    <row r="911" spans="1:34" x14ac:dyDescent="0.45">
      <c r="A911" t="str">
        <f t="shared" si="14"/>
        <v>000</v>
      </c>
      <c r="B911">
        <f>セットアップレポート!A911</f>
        <v>0</v>
      </c>
      <c r="C911">
        <f>セットアップレポート!B911</f>
        <v>0</v>
      </c>
      <c r="D911">
        <f>セットアップレポート!C911</f>
        <v>0</v>
      </c>
      <c r="E911">
        <f>セットアップレポート!D911</f>
        <v>0</v>
      </c>
      <c r="F911">
        <f>セットアップレポート!E911</f>
        <v>0</v>
      </c>
      <c r="G911">
        <f>セットアップレポート!F911</f>
        <v>0</v>
      </c>
      <c r="H911">
        <f>セットアップレポート!G911</f>
        <v>0</v>
      </c>
      <c r="I911">
        <f>セットアップレポート!H911</f>
        <v>0</v>
      </c>
      <c r="J911">
        <f>セットアップレポート!I911</f>
        <v>0</v>
      </c>
      <c r="K911">
        <f>セットアップレポート!J911</f>
        <v>0</v>
      </c>
      <c r="L911">
        <f>セットアップレポート!K911</f>
        <v>0</v>
      </c>
      <c r="M911">
        <f>セットアップレポート!L911</f>
        <v>0</v>
      </c>
      <c r="N911">
        <f>セットアップレポート!M911</f>
        <v>0</v>
      </c>
      <c r="O911">
        <f>セットアップレポート!N911</f>
        <v>0</v>
      </c>
      <c r="P911">
        <f>セットアップレポート!O911</f>
        <v>0</v>
      </c>
      <c r="Q911">
        <f>セットアップレポート!P911</f>
        <v>0</v>
      </c>
      <c r="R911">
        <f>セットアップレポート!Q911</f>
        <v>0</v>
      </c>
      <c r="S911">
        <f>セットアップレポート!R911</f>
        <v>0</v>
      </c>
      <c r="T911">
        <f>セットアップレポート!S911</f>
        <v>0</v>
      </c>
      <c r="U911">
        <f>セットアップレポート!T911</f>
        <v>0</v>
      </c>
      <c r="V911">
        <f>セットアップレポート!U911</f>
        <v>0</v>
      </c>
      <c r="W911">
        <f>セットアップレポート!V911</f>
        <v>0</v>
      </c>
      <c r="X911">
        <f>セットアップレポート!W911</f>
        <v>0</v>
      </c>
      <c r="Y911">
        <f>セットアップレポート!X911</f>
        <v>0</v>
      </c>
      <c r="Z911">
        <f>セットアップレポート!Y911</f>
        <v>0</v>
      </c>
      <c r="AA911">
        <f>セットアップレポート!Z911</f>
        <v>0</v>
      </c>
      <c r="AB911">
        <f>セットアップレポート!AA911</f>
        <v>0</v>
      </c>
      <c r="AC911">
        <f>セットアップレポート!AB911</f>
        <v>0</v>
      </c>
      <c r="AD911">
        <f>セットアップレポート!AC911</f>
        <v>0</v>
      </c>
      <c r="AE911">
        <f>セットアップレポート!AD911</f>
        <v>0</v>
      </c>
      <c r="AF911">
        <f>セットアップレポート!AE911</f>
        <v>0</v>
      </c>
      <c r="AG911">
        <f>セットアップレポート!AF911</f>
        <v>0</v>
      </c>
      <c r="AH911">
        <f>セットアップレポート!AG911</f>
        <v>0</v>
      </c>
    </row>
    <row r="912" spans="1:34" x14ac:dyDescent="0.45">
      <c r="A912" t="str">
        <f t="shared" si="14"/>
        <v>000</v>
      </c>
      <c r="B912">
        <f>セットアップレポート!A912</f>
        <v>0</v>
      </c>
      <c r="C912">
        <f>セットアップレポート!B912</f>
        <v>0</v>
      </c>
      <c r="D912">
        <f>セットアップレポート!C912</f>
        <v>0</v>
      </c>
      <c r="E912">
        <f>セットアップレポート!D912</f>
        <v>0</v>
      </c>
      <c r="F912">
        <f>セットアップレポート!E912</f>
        <v>0</v>
      </c>
      <c r="G912">
        <f>セットアップレポート!F912</f>
        <v>0</v>
      </c>
      <c r="H912">
        <f>セットアップレポート!G912</f>
        <v>0</v>
      </c>
      <c r="I912">
        <f>セットアップレポート!H912</f>
        <v>0</v>
      </c>
      <c r="J912">
        <f>セットアップレポート!I912</f>
        <v>0</v>
      </c>
      <c r="K912">
        <f>セットアップレポート!J912</f>
        <v>0</v>
      </c>
      <c r="L912">
        <f>セットアップレポート!K912</f>
        <v>0</v>
      </c>
      <c r="M912">
        <f>セットアップレポート!L912</f>
        <v>0</v>
      </c>
      <c r="N912">
        <f>セットアップレポート!M912</f>
        <v>0</v>
      </c>
      <c r="O912">
        <f>セットアップレポート!N912</f>
        <v>0</v>
      </c>
      <c r="P912">
        <f>セットアップレポート!O912</f>
        <v>0</v>
      </c>
      <c r="Q912">
        <f>セットアップレポート!P912</f>
        <v>0</v>
      </c>
      <c r="R912">
        <f>セットアップレポート!Q912</f>
        <v>0</v>
      </c>
      <c r="S912">
        <f>セットアップレポート!R912</f>
        <v>0</v>
      </c>
      <c r="T912">
        <f>セットアップレポート!S912</f>
        <v>0</v>
      </c>
      <c r="U912">
        <f>セットアップレポート!T912</f>
        <v>0</v>
      </c>
      <c r="V912">
        <f>セットアップレポート!U912</f>
        <v>0</v>
      </c>
      <c r="W912">
        <f>セットアップレポート!V912</f>
        <v>0</v>
      </c>
      <c r="X912">
        <f>セットアップレポート!W912</f>
        <v>0</v>
      </c>
      <c r="Y912">
        <f>セットアップレポート!X912</f>
        <v>0</v>
      </c>
      <c r="Z912">
        <f>セットアップレポート!Y912</f>
        <v>0</v>
      </c>
      <c r="AA912">
        <f>セットアップレポート!Z912</f>
        <v>0</v>
      </c>
      <c r="AB912">
        <f>セットアップレポート!AA912</f>
        <v>0</v>
      </c>
      <c r="AC912">
        <f>セットアップレポート!AB912</f>
        <v>0</v>
      </c>
      <c r="AD912">
        <f>セットアップレポート!AC912</f>
        <v>0</v>
      </c>
      <c r="AE912">
        <f>セットアップレポート!AD912</f>
        <v>0</v>
      </c>
      <c r="AF912">
        <f>セットアップレポート!AE912</f>
        <v>0</v>
      </c>
      <c r="AG912">
        <f>セットアップレポート!AF912</f>
        <v>0</v>
      </c>
      <c r="AH912">
        <f>セットアップレポート!AG912</f>
        <v>0</v>
      </c>
    </row>
    <row r="913" spans="1:34" x14ac:dyDescent="0.45">
      <c r="A913" t="str">
        <f t="shared" si="14"/>
        <v>000</v>
      </c>
      <c r="B913">
        <f>セットアップレポート!A913</f>
        <v>0</v>
      </c>
      <c r="C913">
        <f>セットアップレポート!B913</f>
        <v>0</v>
      </c>
      <c r="D913">
        <f>セットアップレポート!C913</f>
        <v>0</v>
      </c>
      <c r="E913">
        <f>セットアップレポート!D913</f>
        <v>0</v>
      </c>
      <c r="F913">
        <f>セットアップレポート!E913</f>
        <v>0</v>
      </c>
      <c r="G913">
        <f>セットアップレポート!F913</f>
        <v>0</v>
      </c>
      <c r="H913">
        <f>セットアップレポート!G913</f>
        <v>0</v>
      </c>
      <c r="I913">
        <f>セットアップレポート!H913</f>
        <v>0</v>
      </c>
      <c r="J913">
        <f>セットアップレポート!I913</f>
        <v>0</v>
      </c>
      <c r="K913">
        <f>セットアップレポート!J913</f>
        <v>0</v>
      </c>
      <c r="L913">
        <f>セットアップレポート!K913</f>
        <v>0</v>
      </c>
      <c r="M913">
        <f>セットアップレポート!L913</f>
        <v>0</v>
      </c>
      <c r="N913">
        <f>セットアップレポート!M913</f>
        <v>0</v>
      </c>
      <c r="O913">
        <f>セットアップレポート!N913</f>
        <v>0</v>
      </c>
      <c r="P913">
        <f>セットアップレポート!O913</f>
        <v>0</v>
      </c>
      <c r="Q913">
        <f>セットアップレポート!P913</f>
        <v>0</v>
      </c>
      <c r="R913">
        <f>セットアップレポート!Q913</f>
        <v>0</v>
      </c>
      <c r="S913">
        <f>セットアップレポート!R913</f>
        <v>0</v>
      </c>
      <c r="T913">
        <f>セットアップレポート!S913</f>
        <v>0</v>
      </c>
      <c r="U913">
        <f>セットアップレポート!T913</f>
        <v>0</v>
      </c>
      <c r="V913">
        <f>セットアップレポート!U913</f>
        <v>0</v>
      </c>
      <c r="W913">
        <f>セットアップレポート!V913</f>
        <v>0</v>
      </c>
      <c r="X913">
        <f>セットアップレポート!W913</f>
        <v>0</v>
      </c>
      <c r="Y913">
        <f>セットアップレポート!X913</f>
        <v>0</v>
      </c>
      <c r="Z913">
        <f>セットアップレポート!Y913</f>
        <v>0</v>
      </c>
      <c r="AA913">
        <f>セットアップレポート!Z913</f>
        <v>0</v>
      </c>
      <c r="AB913">
        <f>セットアップレポート!AA913</f>
        <v>0</v>
      </c>
      <c r="AC913">
        <f>セットアップレポート!AB913</f>
        <v>0</v>
      </c>
      <c r="AD913">
        <f>セットアップレポート!AC913</f>
        <v>0</v>
      </c>
      <c r="AE913">
        <f>セットアップレポート!AD913</f>
        <v>0</v>
      </c>
      <c r="AF913">
        <f>セットアップレポート!AE913</f>
        <v>0</v>
      </c>
      <c r="AG913">
        <f>セットアップレポート!AF913</f>
        <v>0</v>
      </c>
      <c r="AH913">
        <f>セットアップレポート!AG913</f>
        <v>0</v>
      </c>
    </row>
    <row r="914" spans="1:34" x14ac:dyDescent="0.45">
      <c r="A914" t="str">
        <f t="shared" si="14"/>
        <v>000</v>
      </c>
      <c r="B914">
        <f>セットアップレポート!A914</f>
        <v>0</v>
      </c>
      <c r="C914">
        <f>セットアップレポート!B914</f>
        <v>0</v>
      </c>
      <c r="D914">
        <f>セットアップレポート!C914</f>
        <v>0</v>
      </c>
      <c r="E914">
        <f>セットアップレポート!D914</f>
        <v>0</v>
      </c>
      <c r="F914">
        <f>セットアップレポート!E914</f>
        <v>0</v>
      </c>
      <c r="G914">
        <f>セットアップレポート!F914</f>
        <v>0</v>
      </c>
      <c r="H914">
        <f>セットアップレポート!G914</f>
        <v>0</v>
      </c>
      <c r="I914">
        <f>セットアップレポート!H914</f>
        <v>0</v>
      </c>
      <c r="J914">
        <f>セットアップレポート!I914</f>
        <v>0</v>
      </c>
      <c r="K914">
        <f>セットアップレポート!J914</f>
        <v>0</v>
      </c>
      <c r="L914">
        <f>セットアップレポート!K914</f>
        <v>0</v>
      </c>
      <c r="M914">
        <f>セットアップレポート!L914</f>
        <v>0</v>
      </c>
      <c r="N914">
        <f>セットアップレポート!M914</f>
        <v>0</v>
      </c>
      <c r="O914">
        <f>セットアップレポート!N914</f>
        <v>0</v>
      </c>
      <c r="P914">
        <f>セットアップレポート!O914</f>
        <v>0</v>
      </c>
      <c r="Q914">
        <f>セットアップレポート!P914</f>
        <v>0</v>
      </c>
      <c r="R914">
        <f>セットアップレポート!Q914</f>
        <v>0</v>
      </c>
      <c r="S914">
        <f>セットアップレポート!R914</f>
        <v>0</v>
      </c>
      <c r="T914">
        <f>セットアップレポート!S914</f>
        <v>0</v>
      </c>
      <c r="U914">
        <f>セットアップレポート!T914</f>
        <v>0</v>
      </c>
      <c r="V914">
        <f>セットアップレポート!U914</f>
        <v>0</v>
      </c>
      <c r="W914">
        <f>セットアップレポート!V914</f>
        <v>0</v>
      </c>
      <c r="X914">
        <f>セットアップレポート!W914</f>
        <v>0</v>
      </c>
      <c r="Y914">
        <f>セットアップレポート!X914</f>
        <v>0</v>
      </c>
      <c r="Z914">
        <f>セットアップレポート!Y914</f>
        <v>0</v>
      </c>
      <c r="AA914">
        <f>セットアップレポート!Z914</f>
        <v>0</v>
      </c>
      <c r="AB914">
        <f>セットアップレポート!AA914</f>
        <v>0</v>
      </c>
      <c r="AC914">
        <f>セットアップレポート!AB914</f>
        <v>0</v>
      </c>
      <c r="AD914">
        <f>セットアップレポート!AC914</f>
        <v>0</v>
      </c>
      <c r="AE914">
        <f>セットアップレポート!AD914</f>
        <v>0</v>
      </c>
      <c r="AF914">
        <f>セットアップレポート!AE914</f>
        <v>0</v>
      </c>
      <c r="AG914">
        <f>セットアップレポート!AF914</f>
        <v>0</v>
      </c>
      <c r="AH914">
        <f>セットアップレポート!AG914</f>
        <v>0</v>
      </c>
    </row>
    <row r="915" spans="1:34" x14ac:dyDescent="0.45">
      <c r="A915" t="str">
        <f t="shared" si="14"/>
        <v>000</v>
      </c>
      <c r="B915">
        <f>セットアップレポート!A915</f>
        <v>0</v>
      </c>
      <c r="C915">
        <f>セットアップレポート!B915</f>
        <v>0</v>
      </c>
      <c r="D915">
        <f>セットアップレポート!C915</f>
        <v>0</v>
      </c>
      <c r="E915">
        <f>セットアップレポート!D915</f>
        <v>0</v>
      </c>
      <c r="F915">
        <f>セットアップレポート!E915</f>
        <v>0</v>
      </c>
      <c r="G915">
        <f>セットアップレポート!F915</f>
        <v>0</v>
      </c>
      <c r="H915">
        <f>セットアップレポート!G915</f>
        <v>0</v>
      </c>
      <c r="I915">
        <f>セットアップレポート!H915</f>
        <v>0</v>
      </c>
      <c r="J915">
        <f>セットアップレポート!I915</f>
        <v>0</v>
      </c>
      <c r="K915">
        <f>セットアップレポート!J915</f>
        <v>0</v>
      </c>
      <c r="L915">
        <f>セットアップレポート!K915</f>
        <v>0</v>
      </c>
      <c r="M915">
        <f>セットアップレポート!L915</f>
        <v>0</v>
      </c>
      <c r="N915">
        <f>セットアップレポート!M915</f>
        <v>0</v>
      </c>
      <c r="O915">
        <f>セットアップレポート!N915</f>
        <v>0</v>
      </c>
      <c r="P915">
        <f>セットアップレポート!O915</f>
        <v>0</v>
      </c>
      <c r="Q915">
        <f>セットアップレポート!P915</f>
        <v>0</v>
      </c>
      <c r="R915">
        <f>セットアップレポート!Q915</f>
        <v>0</v>
      </c>
      <c r="S915">
        <f>セットアップレポート!R915</f>
        <v>0</v>
      </c>
      <c r="T915">
        <f>セットアップレポート!S915</f>
        <v>0</v>
      </c>
      <c r="U915">
        <f>セットアップレポート!T915</f>
        <v>0</v>
      </c>
      <c r="V915">
        <f>セットアップレポート!U915</f>
        <v>0</v>
      </c>
      <c r="W915">
        <f>セットアップレポート!V915</f>
        <v>0</v>
      </c>
      <c r="X915">
        <f>セットアップレポート!W915</f>
        <v>0</v>
      </c>
      <c r="Y915">
        <f>セットアップレポート!X915</f>
        <v>0</v>
      </c>
      <c r="Z915">
        <f>セットアップレポート!Y915</f>
        <v>0</v>
      </c>
      <c r="AA915">
        <f>セットアップレポート!Z915</f>
        <v>0</v>
      </c>
      <c r="AB915">
        <f>セットアップレポート!AA915</f>
        <v>0</v>
      </c>
      <c r="AC915">
        <f>セットアップレポート!AB915</f>
        <v>0</v>
      </c>
      <c r="AD915">
        <f>セットアップレポート!AC915</f>
        <v>0</v>
      </c>
      <c r="AE915">
        <f>セットアップレポート!AD915</f>
        <v>0</v>
      </c>
      <c r="AF915">
        <f>セットアップレポート!AE915</f>
        <v>0</v>
      </c>
      <c r="AG915">
        <f>セットアップレポート!AF915</f>
        <v>0</v>
      </c>
      <c r="AH915">
        <f>セットアップレポート!AG915</f>
        <v>0</v>
      </c>
    </row>
    <row r="916" spans="1:34" x14ac:dyDescent="0.45">
      <c r="A916" t="str">
        <f t="shared" si="14"/>
        <v>000</v>
      </c>
      <c r="B916">
        <f>セットアップレポート!A916</f>
        <v>0</v>
      </c>
      <c r="C916">
        <f>セットアップレポート!B916</f>
        <v>0</v>
      </c>
      <c r="D916">
        <f>セットアップレポート!C916</f>
        <v>0</v>
      </c>
      <c r="E916">
        <f>セットアップレポート!D916</f>
        <v>0</v>
      </c>
      <c r="F916">
        <f>セットアップレポート!E916</f>
        <v>0</v>
      </c>
      <c r="G916">
        <f>セットアップレポート!F916</f>
        <v>0</v>
      </c>
      <c r="H916">
        <f>セットアップレポート!G916</f>
        <v>0</v>
      </c>
      <c r="I916">
        <f>セットアップレポート!H916</f>
        <v>0</v>
      </c>
      <c r="J916">
        <f>セットアップレポート!I916</f>
        <v>0</v>
      </c>
      <c r="K916">
        <f>セットアップレポート!J916</f>
        <v>0</v>
      </c>
      <c r="L916">
        <f>セットアップレポート!K916</f>
        <v>0</v>
      </c>
      <c r="M916">
        <f>セットアップレポート!L916</f>
        <v>0</v>
      </c>
      <c r="N916">
        <f>セットアップレポート!M916</f>
        <v>0</v>
      </c>
      <c r="O916">
        <f>セットアップレポート!N916</f>
        <v>0</v>
      </c>
      <c r="P916">
        <f>セットアップレポート!O916</f>
        <v>0</v>
      </c>
      <c r="Q916">
        <f>セットアップレポート!P916</f>
        <v>0</v>
      </c>
      <c r="R916">
        <f>セットアップレポート!Q916</f>
        <v>0</v>
      </c>
      <c r="S916">
        <f>セットアップレポート!R916</f>
        <v>0</v>
      </c>
      <c r="T916">
        <f>セットアップレポート!S916</f>
        <v>0</v>
      </c>
      <c r="U916">
        <f>セットアップレポート!T916</f>
        <v>0</v>
      </c>
      <c r="V916">
        <f>セットアップレポート!U916</f>
        <v>0</v>
      </c>
      <c r="W916">
        <f>セットアップレポート!V916</f>
        <v>0</v>
      </c>
      <c r="X916">
        <f>セットアップレポート!W916</f>
        <v>0</v>
      </c>
      <c r="Y916">
        <f>セットアップレポート!X916</f>
        <v>0</v>
      </c>
      <c r="Z916">
        <f>セットアップレポート!Y916</f>
        <v>0</v>
      </c>
      <c r="AA916">
        <f>セットアップレポート!Z916</f>
        <v>0</v>
      </c>
      <c r="AB916">
        <f>セットアップレポート!AA916</f>
        <v>0</v>
      </c>
      <c r="AC916">
        <f>セットアップレポート!AB916</f>
        <v>0</v>
      </c>
      <c r="AD916">
        <f>セットアップレポート!AC916</f>
        <v>0</v>
      </c>
      <c r="AE916">
        <f>セットアップレポート!AD916</f>
        <v>0</v>
      </c>
      <c r="AF916">
        <f>セットアップレポート!AE916</f>
        <v>0</v>
      </c>
      <c r="AG916">
        <f>セットアップレポート!AF916</f>
        <v>0</v>
      </c>
      <c r="AH916">
        <f>セットアップレポート!AG916</f>
        <v>0</v>
      </c>
    </row>
    <row r="917" spans="1:34" x14ac:dyDescent="0.45">
      <c r="A917" t="str">
        <f t="shared" si="14"/>
        <v>000</v>
      </c>
      <c r="B917">
        <f>セットアップレポート!A917</f>
        <v>0</v>
      </c>
      <c r="C917">
        <f>セットアップレポート!B917</f>
        <v>0</v>
      </c>
      <c r="D917">
        <f>セットアップレポート!C917</f>
        <v>0</v>
      </c>
      <c r="E917">
        <f>セットアップレポート!D917</f>
        <v>0</v>
      </c>
      <c r="F917">
        <f>セットアップレポート!E917</f>
        <v>0</v>
      </c>
      <c r="G917">
        <f>セットアップレポート!F917</f>
        <v>0</v>
      </c>
      <c r="H917">
        <f>セットアップレポート!G917</f>
        <v>0</v>
      </c>
      <c r="I917">
        <f>セットアップレポート!H917</f>
        <v>0</v>
      </c>
      <c r="J917">
        <f>セットアップレポート!I917</f>
        <v>0</v>
      </c>
      <c r="K917">
        <f>セットアップレポート!J917</f>
        <v>0</v>
      </c>
      <c r="L917">
        <f>セットアップレポート!K917</f>
        <v>0</v>
      </c>
      <c r="M917">
        <f>セットアップレポート!L917</f>
        <v>0</v>
      </c>
      <c r="N917">
        <f>セットアップレポート!M917</f>
        <v>0</v>
      </c>
      <c r="O917">
        <f>セットアップレポート!N917</f>
        <v>0</v>
      </c>
      <c r="P917">
        <f>セットアップレポート!O917</f>
        <v>0</v>
      </c>
      <c r="Q917">
        <f>セットアップレポート!P917</f>
        <v>0</v>
      </c>
      <c r="R917">
        <f>セットアップレポート!Q917</f>
        <v>0</v>
      </c>
      <c r="S917">
        <f>セットアップレポート!R917</f>
        <v>0</v>
      </c>
      <c r="T917">
        <f>セットアップレポート!S917</f>
        <v>0</v>
      </c>
      <c r="U917">
        <f>セットアップレポート!T917</f>
        <v>0</v>
      </c>
      <c r="V917">
        <f>セットアップレポート!U917</f>
        <v>0</v>
      </c>
      <c r="W917">
        <f>セットアップレポート!V917</f>
        <v>0</v>
      </c>
      <c r="X917">
        <f>セットアップレポート!W917</f>
        <v>0</v>
      </c>
      <c r="Y917">
        <f>セットアップレポート!X917</f>
        <v>0</v>
      </c>
      <c r="Z917">
        <f>セットアップレポート!Y917</f>
        <v>0</v>
      </c>
      <c r="AA917">
        <f>セットアップレポート!Z917</f>
        <v>0</v>
      </c>
      <c r="AB917">
        <f>セットアップレポート!AA917</f>
        <v>0</v>
      </c>
      <c r="AC917">
        <f>セットアップレポート!AB917</f>
        <v>0</v>
      </c>
      <c r="AD917">
        <f>セットアップレポート!AC917</f>
        <v>0</v>
      </c>
      <c r="AE917">
        <f>セットアップレポート!AD917</f>
        <v>0</v>
      </c>
      <c r="AF917">
        <f>セットアップレポート!AE917</f>
        <v>0</v>
      </c>
      <c r="AG917">
        <f>セットアップレポート!AF917</f>
        <v>0</v>
      </c>
      <c r="AH917">
        <f>セットアップレポート!AG917</f>
        <v>0</v>
      </c>
    </row>
    <row r="918" spans="1:34" x14ac:dyDescent="0.45">
      <c r="A918" t="str">
        <f t="shared" si="14"/>
        <v>000</v>
      </c>
      <c r="B918">
        <f>セットアップレポート!A918</f>
        <v>0</v>
      </c>
      <c r="C918">
        <f>セットアップレポート!B918</f>
        <v>0</v>
      </c>
      <c r="D918">
        <f>セットアップレポート!C918</f>
        <v>0</v>
      </c>
      <c r="E918">
        <f>セットアップレポート!D918</f>
        <v>0</v>
      </c>
      <c r="F918">
        <f>セットアップレポート!E918</f>
        <v>0</v>
      </c>
      <c r="G918">
        <f>セットアップレポート!F918</f>
        <v>0</v>
      </c>
      <c r="H918">
        <f>セットアップレポート!G918</f>
        <v>0</v>
      </c>
      <c r="I918">
        <f>セットアップレポート!H918</f>
        <v>0</v>
      </c>
      <c r="J918">
        <f>セットアップレポート!I918</f>
        <v>0</v>
      </c>
      <c r="K918">
        <f>セットアップレポート!J918</f>
        <v>0</v>
      </c>
      <c r="L918">
        <f>セットアップレポート!K918</f>
        <v>0</v>
      </c>
      <c r="M918">
        <f>セットアップレポート!L918</f>
        <v>0</v>
      </c>
      <c r="N918">
        <f>セットアップレポート!M918</f>
        <v>0</v>
      </c>
      <c r="O918">
        <f>セットアップレポート!N918</f>
        <v>0</v>
      </c>
      <c r="P918">
        <f>セットアップレポート!O918</f>
        <v>0</v>
      </c>
      <c r="Q918">
        <f>セットアップレポート!P918</f>
        <v>0</v>
      </c>
      <c r="R918">
        <f>セットアップレポート!Q918</f>
        <v>0</v>
      </c>
      <c r="S918">
        <f>セットアップレポート!R918</f>
        <v>0</v>
      </c>
      <c r="T918">
        <f>セットアップレポート!S918</f>
        <v>0</v>
      </c>
      <c r="U918">
        <f>セットアップレポート!T918</f>
        <v>0</v>
      </c>
      <c r="V918">
        <f>セットアップレポート!U918</f>
        <v>0</v>
      </c>
      <c r="W918">
        <f>セットアップレポート!V918</f>
        <v>0</v>
      </c>
      <c r="X918">
        <f>セットアップレポート!W918</f>
        <v>0</v>
      </c>
      <c r="Y918">
        <f>セットアップレポート!X918</f>
        <v>0</v>
      </c>
      <c r="Z918">
        <f>セットアップレポート!Y918</f>
        <v>0</v>
      </c>
      <c r="AA918">
        <f>セットアップレポート!Z918</f>
        <v>0</v>
      </c>
      <c r="AB918">
        <f>セットアップレポート!AA918</f>
        <v>0</v>
      </c>
      <c r="AC918">
        <f>セットアップレポート!AB918</f>
        <v>0</v>
      </c>
      <c r="AD918">
        <f>セットアップレポート!AC918</f>
        <v>0</v>
      </c>
      <c r="AE918">
        <f>セットアップレポート!AD918</f>
        <v>0</v>
      </c>
      <c r="AF918">
        <f>セットアップレポート!AE918</f>
        <v>0</v>
      </c>
      <c r="AG918">
        <f>セットアップレポート!AF918</f>
        <v>0</v>
      </c>
      <c r="AH918">
        <f>セットアップレポート!AG918</f>
        <v>0</v>
      </c>
    </row>
    <row r="919" spans="1:34" x14ac:dyDescent="0.45">
      <c r="A919" t="str">
        <f t="shared" si="14"/>
        <v>000</v>
      </c>
      <c r="B919">
        <f>セットアップレポート!A919</f>
        <v>0</v>
      </c>
      <c r="C919">
        <f>セットアップレポート!B919</f>
        <v>0</v>
      </c>
      <c r="D919">
        <f>セットアップレポート!C919</f>
        <v>0</v>
      </c>
      <c r="E919">
        <f>セットアップレポート!D919</f>
        <v>0</v>
      </c>
      <c r="F919">
        <f>セットアップレポート!E919</f>
        <v>0</v>
      </c>
      <c r="G919">
        <f>セットアップレポート!F919</f>
        <v>0</v>
      </c>
      <c r="H919">
        <f>セットアップレポート!G919</f>
        <v>0</v>
      </c>
      <c r="I919">
        <f>セットアップレポート!H919</f>
        <v>0</v>
      </c>
      <c r="J919">
        <f>セットアップレポート!I919</f>
        <v>0</v>
      </c>
      <c r="K919">
        <f>セットアップレポート!J919</f>
        <v>0</v>
      </c>
      <c r="L919">
        <f>セットアップレポート!K919</f>
        <v>0</v>
      </c>
      <c r="M919">
        <f>セットアップレポート!L919</f>
        <v>0</v>
      </c>
      <c r="N919">
        <f>セットアップレポート!M919</f>
        <v>0</v>
      </c>
      <c r="O919">
        <f>セットアップレポート!N919</f>
        <v>0</v>
      </c>
      <c r="P919">
        <f>セットアップレポート!O919</f>
        <v>0</v>
      </c>
      <c r="Q919">
        <f>セットアップレポート!P919</f>
        <v>0</v>
      </c>
      <c r="R919">
        <f>セットアップレポート!Q919</f>
        <v>0</v>
      </c>
      <c r="S919">
        <f>セットアップレポート!R919</f>
        <v>0</v>
      </c>
      <c r="T919">
        <f>セットアップレポート!S919</f>
        <v>0</v>
      </c>
      <c r="U919">
        <f>セットアップレポート!T919</f>
        <v>0</v>
      </c>
      <c r="V919">
        <f>セットアップレポート!U919</f>
        <v>0</v>
      </c>
      <c r="W919">
        <f>セットアップレポート!V919</f>
        <v>0</v>
      </c>
      <c r="X919">
        <f>セットアップレポート!W919</f>
        <v>0</v>
      </c>
      <c r="Y919">
        <f>セットアップレポート!X919</f>
        <v>0</v>
      </c>
      <c r="Z919">
        <f>セットアップレポート!Y919</f>
        <v>0</v>
      </c>
      <c r="AA919">
        <f>セットアップレポート!Z919</f>
        <v>0</v>
      </c>
      <c r="AB919">
        <f>セットアップレポート!AA919</f>
        <v>0</v>
      </c>
      <c r="AC919">
        <f>セットアップレポート!AB919</f>
        <v>0</v>
      </c>
      <c r="AD919">
        <f>セットアップレポート!AC919</f>
        <v>0</v>
      </c>
      <c r="AE919">
        <f>セットアップレポート!AD919</f>
        <v>0</v>
      </c>
      <c r="AF919">
        <f>セットアップレポート!AE919</f>
        <v>0</v>
      </c>
      <c r="AG919">
        <f>セットアップレポート!AF919</f>
        <v>0</v>
      </c>
      <c r="AH919">
        <f>セットアップレポート!AG919</f>
        <v>0</v>
      </c>
    </row>
    <row r="920" spans="1:34" x14ac:dyDescent="0.45">
      <c r="A920" t="str">
        <f t="shared" si="14"/>
        <v>000</v>
      </c>
      <c r="B920">
        <f>セットアップレポート!A920</f>
        <v>0</v>
      </c>
      <c r="C920">
        <f>セットアップレポート!B920</f>
        <v>0</v>
      </c>
      <c r="D920">
        <f>セットアップレポート!C920</f>
        <v>0</v>
      </c>
      <c r="E920">
        <f>セットアップレポート!D920</f>
        <v>0</v>
      </c>
      <c r="F920">
        <f>セットアップレポート!E920</f>
        <v>0</v>
      </c>
      <c r="G920">
        <f>セットアップレポート!F920</f>
        <v>0</v>
      </c>
      <c r="H920">
        <f>セットアップレポート!G920</f>
        <v>0</v>
      </c>
      <c r="I920">
        <f>セットアップレポート!H920</f>
        <v>0</v>
      </c>
      <c r="J920">
        <f>セットアップレポート!I920</f>
        <v>0</v>
      </c>
      <c r="K920">
        <f>セットアップレポート!J920</f>
        <v>0</v>
      </c>
      <c r="L920">
        <f>セットアップレポート!K920</f>
        <v>0</v>
      </c>
      <c r="M920">
        <f>セットアップレポート!L920</f>
        <v>0</v>
      </c>
      <c r="N920">
        <f>セットアップレポート!M920</f>
        <v>0</v>
      </c>
      <c r="O920">
        <f>セットアップレポート!N920</f>
        <v>0</v>
      </c>
      <c r="P920">
        <f>セットアップレポート!O920</f>
        <v>0</v>
      </c>
      <c r="Q920">
        <f>セットアップレポート!P920</f>
        <v>0</v>
      </c>
      <c r="R920">
        <f>セットアップレポート!Q920</f>
        <v>0</v>
      </c>
      <c r="S920">
        <f>セットアップレポート!R920</f>
        <v>0</v>
      </c>
      <c r="T920">
        <f>セットアップレポート!S920</f>
        <v>0</v>
      </c>
      <c r="U920">
        <f>セットアップレポート!T920</f>
        <v>0</v>
      </c>
      <c r="V920">
        <f>セットアップレポート!U920</f>
        <v>0</v>
      </c>
      <c r="W920">
        <f>セットアップレポート!V920</f>
        <v>0</v>
      </c>
      <c r="X920">
        <f>セットアップレポート!W920</f>
        <v>0</v>
      </c>
      <c r="Y920">
        <f>セットアップレポート!X920</f>
        <v>0</v>
      </c>
      <c r="Z920">
        <f>セットアップレポート!Y920</f>
        <v>0</v>
      </c>
      <c r="AA920">
        <f>セットアップレポート!Z920</f>
        <v>0</v>
      </c>
      <c r="AB920">
        <f>セットアップレポート!AA920</f>
        <v>0</v>
      </c>
      <c r="AC920">
        <f>セットアップレポート!AB920</f>
        <v>0</v>
      </c>
      <c r="AD920">
        <f>セットアップレポート!AC920</f>
        <v>0</v>
      </c>
      <c r="AE920">
        <f>セットアップレポート!AD920</f>
        <v>0</v>
      </c>
      <c r="AF920">
        <f>セットアップレポート!AE920</f>
        <v>0</v>
      </c>
      <c r="AG920">
        <f>セットアップレポート!AF920</f>
        <v>0</v>
      </c>
      <c r="AH920">
        <f>セットアップレポート!AG920</f>
        <v>0</v>
      </c>
    </row>
    <row r="921" spans="1:34" x14ac:dyDescent="0.45">
      <c r="A921" t="str">
        <f t="shared" si="14"/>
        <v>000</v>
      </c>
      <c r="B921">
        <f>セットアップレポート!A921</f>
        <v>0</v>
      </c>
      <c r="C921">
        <f>セットアップレポート!B921</f>
        <v>0</v>
      </c>
      <c r="D921">
        <f>セットアップレポート!C921</f>
        <v>0</v>
      </c>
      <c r="E921">
        <f>セットアップレポート!D921</f>
        <v>0</v>
      </c>
      <c r="F921">
        <f>セットアップレポート!E921</f>
        <v>0</v>
      </c>
      <c r="G921">
        <f>セットアップレポート!F921</f>
        <v>0</v>
      </c>
      <c r="H921">
        <f>セットアップレポート!G921</f>
        <v>0</v>
      </c>
      <c r="I921">
        <f>セットアップレポート!H921</f>
        <v>0</v>
      </c>
      <c r="J921">
        <f>セットアップレポート!I921</f>
        <v>0</v>
      </c>
      <c r="K921">
        <f>セットアップレポート!J921</f>
        <v>0</v>
      </c>
      <c r="L921">
        <f>セットアップレポート!K921</f>
        <v>0</v>
      </c>
      <c r="M921">
        <f>セットアップレポート!L921</f>
        <v>0</v>
      </c>
      <c r="N921">
        <f>セットアップレポート!M921</f>
        <v>0</v>
      </c>
      <c r="O921">
        <f>セットアップレポート!N921</f>
        <v>0</v>
      </c>
      <c r="P921">
        <f>セットアップレポート!O921</f>
        <v>0</v>
      </c>
      <c r="Q921">
        <f>セットアップレポート!P921</f>
        <v>0</v>
      </c>
      <c r="R921">
        <f>セットアップレポート!Q921</f>
        <v>0</v>
      </c>
      <c r="S921">
        <f>セットアップレポート!R921</f>
        <v>0</v>
      </c>
      <c r="T921">
        <f>セットアップレポート!S921</f>
        <v>0</v>
      </c>
      <c r="U921">
        <f>セットアップレポート!T921</f>
        <v>0</v>
      </c>
      <c r="V921">
        <f>セットアップレポート!U921</f>
        <v>0</v>
      </c>
      <c r="W921">
        <f>セットアップレポート!V921</f>
        <v>0</v>
      </c>
      <c r="X921">
        <f>セットアップレポート!W921</f>
        <v>0</v>
      </c>
      <c r="Y921">
        <f>セットアップレポート!X921</f>
        <v>0</v>
      </c>
      <c r="Z921">
        <f>セットアップレポート!Y921</f>
        <v>0</v>
      </c>
      <c r="AA921">
        <f>セットアップレポート!Z921</f>
        <v>0</v>
      </c>
      <c r="AB921">
        <f>セットアップレポート!AA921</f>
        <v>0</v>
      </c>
      <c r="AC921">
        <f>セットアップレポート!AB921</f>
        <v>0</v>
      </c>
      <c r="AD921">
        <f>セットアップレポート!AC921</f>
        <v>0</v>
      </c>
      <c r="AE921">
        <f>セットアップレポート!AD921</f>
        <v>0</v>
      </c>
      <c r="AF921">
        <f>セットアップレポート!AE921</f>
        <v>0</v>
      </c>
      <c r="AG921">
        <f>セットアップレポート!AF921</f>
        <v>0</v>
      </c>
      <c r="AH921">
        <f>セットアップレポート!AG921</f>
        <v>0</v>
      </c>
    </row>
    <row r="922" spans="1:34" x14ac:dyDescent="0.45">
      <c r="A922" t="str">
        <f t="shared" si="14"/>
        <v>000</v>
      </c>
      <c r="B922">
        <f>セットアップレポート!A922</f>
        <v>0</v>
      </c>
      <c r="C922">
        <f>セットアップレポート!B922</f>
        <v>0</v>
      </c>
      <c r="D922">
        <f>セットアップレポート!C922</f>
        <v>0</v>
      </c>
      <c r="E922">
        <f>セットアップレポート!D922</f>
        <v>0</v>
      </c>
      <c r="F922">
        <f>セットアップレポート!E922</f>
        <v>0</v>
      </c>
      <c r="G922">
        <f>セットアップレポート!F922</f>
        <v>0</v>
      </c>
      <c r="H922">
        <f>セットアップレポート!G922</f>
        <v>0</v>
      </c>
      <c r="I922">
        <f>セットアップレポート!H922</f>
        <v>0</v>
      </c>
      <c r="J922">
        <f>セットアップレポート!I922</f>
        <v>0</v>
      </c>
      <c r="K922">
        <f>セットアップレポート!J922</f>
        <v>0</v>
      </c>
      <c r="L922">
        <f>セットアップレポート!K922</f>
        <v>0</v>
      </c>
      <c r="M922">
        <f>セットアップレポート!L922</f>
        <v>0</v>
      </c>
      <c r="N922">
        <f>セットアップレポート!M922</f>
        <v>0</v>
      </c>
      <c r="O922">
        <f>セットアップレポート!N922</f>
        <v>0</v>
      </c>
      <c r="P922">
        <f>セットアップレポート!O922</f>
        <v>0</v>
      </c>
      <c r="Q922">
        <f>セットアップレポート!P922</f>
        <v>0</v>
      </c>
      <c r="R922">
        <f>セットアップレポート!Q922</f>
        <v>0</v>
      </c>
      <c r="S922">
        <f>セットアップレポート!R922</f>
        <v>0</v>
      </c>
      <c r="T922">
        <f>セットアップレポート!S922</f>
        <v>0</v>
      </c>
      <c r="U922">
        <f>セットアップレポート!T922</f>
        <v>0</v>
      </c>
      <c r="V922">
        <f>セットアップレポート!U922</f>
        <v>0</v>
      </c>
      <c r="W922">
        <f>セットアップレポート!V922</f>
        <v>0</v>
      </c>
      <c r="X922">
        <f>セットアップレポート!W922</f>
        <v>0</v>
      </c>
      <c r="Y922">
        <f>セットアップレポート!X922</f>
        <v>0</v>
      </c>
      <c r="Z922">
        <f>セットアップレポート!Y922</f>
        <v>0</v>
      </c>
      <c r="AA922">
        <f>セットアップレポート!Z922</f>
        <v>0</v>
      </c>
      <c r="AB922">
        <f>セットアップレポート!AA922</f>
        <v>0</v>
      </c>
      <c r="AC922">
        <f>セットアップレポート!AB922</f>
        <v>0</v>
      </c>
      <c r="AD922">
        <f>セットアップレポート!AC922</f>
        <v>0</v>
      </c>
      <c r="AE922">
        <f>セットアップレポート!AD922</f>
        <v>0</v>
      </c>
      <c r="AF922">
        <f>セットアップレポート!AE922</f>
        <v>0</v>
      </c>
      <c r="AG922">
        <f>セットアップレポート!AF922</f>
        <v>0</v>
      </c>
      <c r="AH922">
        <f>セットアップレポート!AG922</f>
        <v>0</v>
      </c>
    </row>
    <row r="923" spans="1:34" x14ac:dyDescent="0.45">
      <c r="A923" t="str">
        <f t="shared" si="14"/>
        <v>000</v>
      </c>
      <c r="B923">
        <f>セットアップレポート!A923</f>
        <v>0</v>
      </c>
      <c r="C923">
        <f>セットアップレポート!B923</f>
        <v>0</v>
      </c>
      <c r="D923">
        <f>セットアップレポート!C923</f>
        <v>0</v>
      </c>
      <c r="E923">
        <f>セットアップレポート!D923</f>
        <v>0</v>
      </c>
      <c r="F923">
        <f>セットアップレポート!E923</f>
        <v>0</v>
      </c>
      <c r="G923">
        <f>セットアップレポート!F923</f>
        <v>0</v>
      </c>
      <c r="H923">
        <f>セットアップレポート!G923</f>
        <v>0</v>
      </c>
      <c r="I923">
        <f>セットアップレポート!H923</f>
        <v>0</v>
      </c>
      <c r="J923">
        <f>セットアップレポート!I923</f>
        <v>0</v>
      </c>
      <c r="K923">
        <f>セットアップレポート!J923</f>
        <v>0</v>
      </c>
      <c r="L923">
        <f>セットアップレポート!K923</f>
        <v>0</v>
      </c>
      <c r="M923">
        <f>セットアップレポート!L923</f>
        <v>0</v>
      </c>
      <c r="N923">
        <f>セットアップレポート!M923</f>
        <v>0</v>
      </c>
      <c r="O923">
        <f>セットアップレポート!N923</f>
        <v>0</v>
      </c>
      <c r="P923">
        <f>セットアップレポート!O923</f>
        <v>0</v>
      </c>
      <c r="Q923">
        <f>セットアップレポート!P923</f>
        <v>0</v>
      </c>
      <c r="R923">
        <f>セットアップレポート!Q923</f>
        <v>0</v>
      </c>
      <c r="S923">
        <f>セットアップレポート!R923</f>
        <v>0</v>
      </c>
      <c r="T923">
        <f>セットアップレポート!S923</f>
        <v>0</v>
      </c>
      <c r="U923">
        <f>セットアップレポート!T923</f>
        <v>0</v>
      </c>
      <c r="V923">
        <f>セットアップレポート!U923</f>
        <v>0</v>
      </c>
      <c r="W923">
        <f>セットアップレポート!V923</f>
        <v>0</v>
      </c>
      <c r="X923">
        <f>セットアップレポート!W923</f>
        <v>0</v>
      </c>
      <c r="Y923">
        <f>セットアップレポート!X923</f>
        <v>0</v>
      </c>
      <c r="Z923">
        <f>セットアップレポート!Y923</f>
        <v>0</v>
      </c>
      <c r="AA923">
        <f>セットアップレポート!Z923</f>
        <v>0</v>
      </c>
      <c r="AB923">
        <f>セットアップレポート!AA923</f>
        <v>0</v>
      </c>
      <c r="AC923">
        <f>セットアップレポート!AB923</f>
        <v>0</v>
      </c>
      <c r="AD923">
        <f>セットアップレポート!AC923</f>
        <v>0</v>
      </c>
      <c r="AE923">
        <f>セットアップレポート!AD923</f>
        <v>0</v>
      </c>
      <c r="AF923">
        <f>セットアップレポート!AE923</f>
        <v>0</v>
      </c>
      <c r="AG923">
        <f>セットアップレポート!AF923</f>
        <v>0</v>
      </c>
      <c r="AH923">
        <f>セットアップレポート!AG923</f>
        <v>0</v>
      </c>
    </row>
    <row r="924" spans="1:34" x14ac:dyDescent="0.45">
      <c r="A924" t="str">
        <f t="shared" si="14"/>
        <v>000</v>
      </c>
      <c r="B924">
        <f>セットアップレポート!A924</f>
        <v>0</v>
      </c>
      <c r="C924">
        <f>セットアップレポート!B924</f>
        <v>0</v>
      </c>
      <c r="D924">
        <f>セットアップレポート!C924</f>
        <v>0</v>
      </c>
      <c r="E924">
        <f>セットアップレポート!D924</f>
        <v>0</v>
      </c>
      <c r="F924">
        <f>セットアップレポート!E924</f>
        <v>0</v>
      </c>
      <c r="G924">
        <f>セットアップレポート!F924</f>
        <v>0</v>
      </c>
      <c r="H924">
        <f>セットアップレポート!G924</f>
        <v>0</v>
      </c>
      <c r="I924">
        <f>セットアップレポート!H924</f>
        <v>0</v>
      </c>
      <c r="J924">
        <f>セットアップレポート!I924</f>
        <v>0</v>
      </c>
      <c r="K924">
        <f>セットアップレポート!J924</f>
        <v>0</v>
      </c>
      <c r="L924">
        <f>セットアップレポート!K924</f>
        <v>0</v>
      </c>
      <c r="M924">
        <f>セットアップレポート!L924</f>
        <v>0</v>
      </c>
      <c r="N924">
        <f>セットアップレポート!M924</f>
        <v>0</v>
      </c>
      <c r="O924">
        <f>セットアップレポート!N924</f>
        <v>0</v>
      </c>
      <c r="P924">
        <f>セットアップレポート!O924</f>
        <v>0</v>
      </c>
      <c r="Q924">
        <f>セットアップレポート!P924</f>
        <v>0</v>
      </c>
      <c r="R924">
        <f>セットアップレポート!Q924</f>
        <v>0</v>
      </c>
      <c r="S924">
        <f>セットアップレポート!R924</f>
        <v>0</v>
      </c>
      <c r="T924">
        <f>セットアップレポート!S924</f>
        <v>0</v>
      </c>
      <c r="U924">
        <f>セットアップレポート!T924</f>
        <v>0</v>
      </c>
      <c r="V924">
        <f>セットアップレポート!U924</f>
        <v>0</v>
      </c>
      <c r="W924">
        <f>セットアップレポート!V924</f>
        <v>0</v>
      </c>
      <c r="X924">
        <f>セットアップレポート!W924</f>
        <v>0</v>
      </c>
      <c r="Y924">
        <f>セットアップレポート!X924</f>
        <v>0</v>
      </c>
      <c r="Z924">
        <f>セットアップレポート!Y924</f>
        <v>0</v>
      </c>
      <c r="AA924">
        <f>セットアップレポート!Z924</f>
        <v>0</v>
      </c>
      <c r="AB924">
        <f>セットアップレポート!AA924</f>
        <v>0</v>
      </c>
      <c r="AC924">
        <f>セットアップレポート!AB924</f>
        <v>0</v>
      </c>
      <c r="AD924">
        <f>セットアップレポート!AC924</f>
        <v>0</v>
      </c>
      <c r="AE924">
        <f>セットアップレポート!AD924</f>
        <v>0</v>
      </c>
      <c r="AF924">
        <f>セットアップレポート!AE924</f>
        <v>0</v>
      </c>
      <c r="AG924">
        <f>セットアップレポート!AF924</f>
        <v>0</v>
      </c>
      <c r="AH924">
        <f>セットアップレポート!AG924</f>
        <v>0</v>
      </c>
    </row>
    <row r="925" spans="1:34" x14ac:dyDescent="0.45">
      <c r="A925" t="str">
        <f t="shared" si="14"/>
        <v>000</v>
      </c>
      <c r="B925">
        <f>セットアップレポート!A925</f>
        <v>0</v>
      </c>
      <c r="C925">
        <f>セットアップレポート!B925</f>
        <v>0</v>
      </c>
      <c r="D925">
        <f>セットアップレポート!C925</f>
        <v>0</v>
      </c>
      <c r="E925">
        <f>セットアップレポート!D925</f>
        <v>0</v>
      </c>
      <c r="F925">
        <f>セットアップレポート!E925</f>
        <v>0</v>
      </c>
      <c r="G925">
        <f>セットアップレポート!F925</f>
        <v>0</v>
      </c>
      <c r="H925">
        <f>セットアップレポート!G925</f>
        <v>0</v>
      </c>
      <c r="I925">
        <f>セットアップレポート!H925</f>
        <v>0</v>
      </c>
      <c r="J925">
        <f>セットアップレポート!I925</f>
        <v>0</v>
      </c>
      <c r="K925">
        <f>セットアップレポート!J925</f>
        <v>0</v>
      </c>
      <c r="L925">
        <f>セットアップレポート!K925</f>
        <v>0</v>
      </c>
      <c r="M925">
        <f>セットアップレポート!L925</f>
        <v>0</v>
      </c>
      <c r="N925">
        <f>セットアップレポート!M925</f>
        <v>0</v>
      </c>
      <c r="O925">
        <f>セットアップレポート!N925</f>
        <v>0</v>
      </c>
      <c r="P925">
        <f>セットアップレポート!O925</f>
        <v>0</v>
      </c>
      <c r="Q925">
        <f>セットアップレポート!P925</f>
        <v>0</v>
      </c>
      <c r="R925">
        <f>セットアップレポート!Q925</f>
        <v>0</v>
      </c>
      <c r="S925">
        <f>セットアップレポート!R925</f>
        <v>0</v>
      </c>
      <c r="T925">
        <f>セットアップレポート!S925</f>
        <v>0</v>
      </c>
      <c r="U925">
        <f>セットアップレポート!T925</f>
        <v>0</v>
      </c>
      <c r="V925">
        <f>セットアップレポート!U925</f>
        <v>0</v>
      </c>
      <c r="W925">
        <f>セットアップレポート!V925</f>
        <v>0</v>
      </c>
      <c r="X925">
        <f>セットアップレポート!W925</f>
        <v>0</v>
      </c>
      <c r="Y925">
        <f>セットアップレポート!X925</f>
        <v>0</v>
      </c>
      <c r="Z925">
        <f>セットアップレポート!Y925</f>
        <v>0</v>
      </c>
      <c r="AA925">
        <f>セットアップレポート!Z925</f>
        <v>0</v>
      </c>
      <c r="AB925">
        <f>セットアップレポート!AA925</f>
        <v>0</v>
      </c>
      <c r="AC925">
        <f>セットアップレポート!AB925</f>
        <v>0</v>
      </c>
      <c r="AD925">
        <f>セットアップレポート!AC925</f>
        <v>0</v>
      </c>
      <c r="AE925">
        <f>セットアップレポート!AD925</f>
        <v>0</v>
      </c>
      <c r="AF925">
        <f>セットアップレポート!AE925</f>
        <v>0</v>
      </c>
      <c r="AG925">
        <f>セットアップレポート!AF925</f>
        <v>0</v>
      </c>
      <c r="AH925">
        <f>セットアップレポート!AG925</f>
        <v>0</v>
      </c>
    </row>
    <row r="926" spans="1:34" x14ac:dyDescent="0.45">
      <c r="A926" t="str">
        <f t="shared" si="14"/>
        <v>000</v>
      </c>
      <c r="B926">
        <f>セットアップレポート!A926</f>
        <v>0</v>
      </c>
      <c r="C926">
        <f>セットアップレポート!B926</f>
        <v>0</v>
      </c>
      <c r="D926">
        <f>セットアップレポート!C926</f>
        <v>0</v>
      </c>
      <c r="E926">
        <f>セットアップレポート!D926</f>
        <v>0</v>
      </c>
      <c r="F926">
        <f>セットアップレポート!E926</f>
        <v>0</v>
      </c>
      <c r="G926">
        <f>セットアップレポート!F926</f>
        <v>0</v>
      </c>
      <c r="H926">
        <f>セットアップレポート!G926</f>
        <v>0</v>
      </c>
      <c r="I926">
        <f>セットアップレポート!H926</f>
        <v>0</v>
      </c>
      <c r="J926">
        <f>セットアップレポート!I926</f>
        <v>0</v>
      </c>
      <c r="K926">
        <f>セットアップレポート!J926</f>
        <v>0</v>
      </c>
      <c r="L926">
        <f>セットアップレポート!K926</f>
        <v>0</v>
      </c>
      <c r="M926">
        <f>セットアップレポート!L926</f>
        <v>0</v>
      </c>
      <c r="N926">
        <f>セットアップレポート!M926</f>
        <v>0</v>
      </c>
      <c r="O926">
        <f>セットアップレポート!N926</f>
        <v>0</v>
      </c>
      <c r="P926">
        <f>セットアップレポート!O926</f>
        <v>0</v>
      </c>
      <c r="Q926">
        <f>セットアップレポート!P926</f>
        <v>0</v>
      </c>
      <c r="R926">
        <f>セットアップレポート!Q926</f>
        <v>0</v>
      </c>
      <c r="S926">
        <f>セットアップレポート!R926</f>
        <v>0</v>
      </c>
      <c r="T926">
        <f>セットアップレポート!S926</f>
        <v>0</v>
      </c>
      <c r="U926">
        <f>セットアップレポート!T926</f>
        <v>0</v>
      </c>
      <c r="V926">
        <f>セットアップレポート!U926</f>
        <v>0</v>
      </c>
      <c r="W926">
        <f>セットアップレポート!V926</f>
        <v>0</v>
      </c>
      <c r="X926">
        <f>セットアップレポート!W926</f>
        <v>0</v>
      </c>
      <c r="Y926">
        <f>セットアップレポート!X926</f>
        <v>0</v>
      </c>
      <c r="Z926">
        <f>セットアップレポート!Y926</f>
        <v>0</v>
      </c>
      <c r="AA926">
        <f>セットアップレポート!Z926</f>
        <v>0</v>
      </c>
      <c r="AB926">
        <f>セットアップレポート!AA926</f>
        <v>0</v>
      </c>
      <c r="AC926">
        <f>セットアップレポート!AB926</f>
        <v>0</v>
      </c>
      <c r="AD926">
        <f>セットアップレポート!AC926</f>
        <v>0</v>
      </c>
      <c r="AE926">
        <f>セットアップレポート!AD926</f>
        <v>0</v>
      </c>
      <c r="AF926">
        <f>セットアップレポート!AE926</f>
        <v>0</v>
      </c>
      <c r="AG926">
        <f>セットアップレポート!AF926</f>
        <v>0</v>
      </c>
      <c r="AH926">
        <f>セットアップレポート!AG926</f>
        <v>0</v>
      </c>
    </row>
    <row r="927" spans="1:34" x14ac:dyDescent="0.45">
      <c r="A927" t="str">
        <f t="shared" si="14"/>
        <v>000</v>
      </c>
      <c r="B927">
        <f>セットアップレポート!A927</f>
        <v>0</v>
      </c>
      <c r="C927">
        <f>セットアップレポート!B927</f>
        <v>0</v>
      </c>
      <c r="D927">
        <f>セットアップレポート!C927</f>
        <v>0</v>
      </c>
      <c r="E927">
        <f>セットアップレポート!D927</f>
        <v>0</v>
      </c>
      <c r="F927">
        <f>セットアップレポート!E927</f>
        <v>0</v>
      </c>
      <c r="G927">
        <f>セットアップレポート!F927</f>
        <v>0</v>
      </c>
      <c r="H927">
        <f>セットアップレポート!G927</f>
        <v>0</v>
      </c>
      <c r="I927">
        <f>セットアップレポート!H927</f>
        <v>0</v>
      </c>
      <c r="J927">
        <f>セットアップレポート!I927</f>
        <v>0</v>
      </c>
      <c r="K927">
        <f>セットアップレポート!J927</f>
        <v>0</v>
      </c>
      <c r="L927">
        <f>セットアップレポート!K927</f>
        <v>0</v>
      </c>
      <c r="M927">
        <f>セットアップレポート!L927</f>
        <v>0</v>
      </c>
      <c r="N927">
        <f>セットアップレポート!M927</f>
        <v>0</v>
      </c>
      <c r="O927">
        <f>セットアップレポート!N927</f>
        <v>0</v>
      </c>
      <c r="P927">
        <f>セットアップレポート!O927</f>
        <v>0</v>
      </c>
      <c r="Q927">
        <f>セットアップレポート!P927</f>
        <v>0</v>
      </c>
      <c r="R927">
        <f>セットアップレポート!Q927</f>
        <v>0</v>
      </c>
      <c r="S927">
        <f>セットアップレポート!R927</f>
        <v>0</v>
      </c>
      <c r="T927">
        <f>セットアップレポート!S927</f>
        <v>0</v>
      </c>
      <c r="U927">
        <f>セットアップレポート!T927</f>
        <v>0</v>
      </c>
      <c r="V927">
        <f>セットアップレポート!U927</f>
        <v>0</v>
      </c>
      <c r="W927">
        <f>セットアップレポート!V927</f>
        <v>0</v>
      </c>
      <c r="X927">
        <f>セットアップレポート!W927</f>
        <v>0</v>
      </c>
      <c r="Y927">
        <f>セットアップレポート!X927</f>
        <v>0</v>
      </c>
      <c r="Z927">
        <f>セットアップレポート!Y927</f>
        <v>0</v>
      </c>
      <c r="AA927">
        <f>セットアップレポート!Z927</f>
        <v>0</v>
      </c>
      <c r="AB927">
        <f>セットアップレポート!AA927</f>
        <v>0</v>
      </c>
      <c r="AC927">
        <f>セットアップレポート!AB927</f>
        <v>0</v>
      </c>
      <c r="AD927">
        <f>セットアップレポート!AC927</f>
        <v>0</v>
      </c>
      <c r="AE927">
        <f>セットアップレポート!AD927</f>
        <v>0</v>
      </c>
      <c r="AF927">
        <f>セットアップレポート!AE927</f>
        <v>0</v>
      </c>
      <c r="AG927">
        <f>セットアップレポート!AF927</f>
        <v>0</v>
      </c>
      <c r="AH927">
        <f>セットアップレポート!AG927</f>
        <v>0</v>
      </c>
    </row>
    <row r="928" spans="1:34" x14ac:dyDescent="0.45">
      <c r="A928" t="str">
        <f t="shared" si="14"/>
        <v>000</v>
      </c>
      <c r="B928">
        <f>セットアップレポート!A928</f>
        <v>0</v>
      </c>
      <c r="C928">
        <f>セットアップレポート!B928</f>
        <v>0</v>
      </c>
      <c r="D928">
        <f>セットアップレポート!C928</f>
        <v>0</v>
      </c>
      <c r="E928">
        <f>セットアップレポート!D928</f>
        <v>0</v>
      </c>
      <c r="F928">
        <f>セットアップレポート!E928</f>
        <v>0</v>
      </c>
      <c r="G928">
        <f>セットアップレポート!F928</f>
        <v>0</v>
      </c>
      <c r="H928">
        <f>セットアップレポート!G928</f>
        <v>0</v>
      </c>
      <c r="I928">
        <f>セットアップレポート!H928</f>
        <v>0</v>
      </c>
      <c r="J928">
        <f>セットアップレポート!I928</f>
        <v>0</v>
      </c>
      <c r="K928">
        <f>セットアップレポート!J928</f>
        <v>0</v>
      </c>
      <c r="L928">
        <f>セットアップレポート!K928</f>
        <v>0</v>
      </c>
      <c r="M928">
        <f>セットアップレポート!L928</f>
        <v>0</v>
      </c>
      <c r="N928">
        <f>セットアップレポート!M928</f>
        <v>0</v>
      </c>
      <c r="O928">
        <f>セットアップレポート!N928</f>
        <v>0</v>
      </c>
      <c r="P928">
        <f>セットアップレポート!O928</f>
        <v>0</v>
      </c>
      <c r="Q928">
        <f>セットアップレポート!P928</f>
        <v>0</v>
      </c>
      <c r="R928">
        <f>セットアップレポート!Q928</f>
        <v>0</v>
      </c>
      <c r="S928">
        <f>セットアップレポート!R928</f>
        <v>0</v>
      </c>
      <c r="T928">
        <f>セットアップレポート!S928</f>
        <v>0</v>
      </c>
      <c r="U928">
        <f>セットアップレポート!T928</f>
        <v>0</v>
      </c>
      <c r="V928">
        <f>セットアップレポート!U928</f>
        <v>0</v>
      </c>
      <c r="W928">
        <f>セットアップレポート!V928</f>
        <v>0</v>
      </c>
      <c r="X928">
        <f>セットアップレポート!W928</f>
        <v>0</v>
      </c>
      <c r="Y928">
        <f>セットアップレポート!X928</f>
        <v>0</v>
      </c>
      <c r="Z928">
        <f>セットアップレポート!Y928</f>
        <v>0</v>
      </c>
      <c r="AA928">
        <f>セットアップレポート!Z928</f>
        <v>0</v>
      </c>
      <c r="AB928">
        <f>セットアップレポート!AA928</f>
        <v>0</v>
      </c>
      <c r="AC928">
        <f>セットアップレポート!AB928</f>
        <v>0</v>
      </c>
      <c r="AD928">
        <f>セットアップレポート!AC928</f>
        <v>0</v>
      </c>
      <c r="AE928">
        <f>セットアップレポート!AD928</f>
        <v>0</v>
      </c>
      <c r="AF928">
        <f>セットアップレポート!AE928</f>
        <v>0</v>
      </c>
      <c r="AG928">
        <f>セットアップレポート!AF928</f>
        <v>0</v>
      </c>
      <c r="AH928">
        <f>セットアップレポート!AG928</f>
        <v>0</v>
      </c>
    </row>
    <row r="929" spans="1:34" x14ac:dyDescent="0.45">
      <c r="A929" t="str">
        <f t="shared" si="14"/>
        <v>000</v>
      </c>
      <c r="B929">
        <f>セットアップレポート!A929</f>
        <v>0</v>
      </c>
      <c r="C929">
        <f>セットアップレポート!B929</f>
        <v>0</v>
      </c>
      <c r="D929">
        <f>セットアップレポート!C929</f>
        <v>0</v>
      </c>
      <c r="E929">
        <f>セットアップレポート!D929</f>
        <v>0</v>
      </c>
      <c r="F929">
        <f>セットアップレポート!E929</f>
        <v>0</v>
      </c>
      <c r="G929">
        <f>セットアップレポート!F929</f>
        <v>0</v>
      </c>
      <c r="H929">
        <f>セットアップレポート!G929</f>
        <v>0</v>
      </c>
      <c r="I929">
        <f>セットアップレポート!H929</f>
        <v>0</v>
      </c>
      <c r="J929">
        <f>セットアップレポート!I929</f>
        <v>0</v>
      </c>
      <c r="K929">
        <f>セットアップレポート!J929</f>
        <v>0</v>
      </c>
      <c r="L929">
        <f>セットアップレポート!K929</f>
        <v>0</v>
      </c>
      <c r="M929">
        <f>セットアップレポート!L929</f>
        <v>0</v>
      </c>
      <c r="N929">
        <f>セットアップレポート!M929</f>
        <v>0</v>
      </c>
      <c r="O929">
        <f>セットアップレポート!N929</f>
        <v>0</v>
      </c>
      <c r="P929">
        <f>セットアップレポート!O929</f>
        <v>0</v>
      </c>
      <c r="Q929">
        <f>セットアップレポート!P929</f>
        <v>0</v>
      </c>
      <c r="R929">
        <f>セットアップレポート!Q929</f>
        <v>0</v>
      </c>
      <c r="S929">
        <f>セットアップレポート!R929</f>
        <v>0</v>
      </c>
      <c r="T929">
        <f>セットアップレポート!S929</f>
        <v>0</v>
      </c>
      <c r="U929">
        <f>セットアップレポート!T929</f>
        <v>0</v>
      </c>
      <c r="V929">
        <f>セットアップレポート!U929</f>
        <v>0</v>
      </c>
      <c r="W929">
        <f>セットアップレポート!V929</f>
        <v>0</v>
      </c>
      <c r="X929">
        <f>セットアップレポート!W929</f>
        <v>0</v>
      </c>
      <c r="Y929">
        <f>セットアップレポート!X929</f>
        <v>0</v>
      </c>
      <c r="Z929">
        <f>セットアップレポート!Y929</f>
        <v>0</v>
      </c>
      <c r="AA929">
        <f>セットアップレポート!Z929</f>
        <v>0</v>
      </c>
      <c r="AB929">
        <f>セットアップレポート!AA929</f>
        <v>0</v>
      </c>
      <c r="AC929">
        <f>セットアップレポート!AB929</f>
        <v>0</v>
      </c>
      <c r="AD929">
        <f>セットアップレポート!AC929</f>
        <v>0</v>
      </c>
      <c r="AE929">
        <f>セットアップレポート!AD929</f>
        <v>0</v>
      </c>
      <c r="AF929">
        <f>セットアップレポート!AE929</f>
        <v>0</v>
      </c>
      <c r="AG929">
        <f>セットアップレポート!AF929</f>
        <v>0</v>
      </c>
      <c r="AH929">
        <f>セットアップレポート!AG929</f>
        <v>0</v>
      </c>
    </row>
    <row r="930" spans="1:34" x14ac:dyDescent="0.45">
      <c r="A930" t="str">
        <f t="shared" si="14"/>
        <v>000</v>
      </c>
      <c r="B930">
        <f>セットアップレポート!A930</f>
        <v>0</v>
      </c>
      <c r="C930">
        <f>セットアップレポート!B930</f>
        <v>0</v>
      </c>
      <c r="D930">
        <f>セットアップレポート!C930</f>
        <v>0</v>
      </c>
      <c r="E930">
        <f>セットアップレポート!D930</f>
        <v>0</v>
      </c>
      <c r="F930">
        <f>セットアップレポート!E930</f>
        <v>0</v>
      </c>
      <c r="G930">
        <f>セットアップレポート!F930</f>
        <v>0</v>
      </c>
      <c r="H930">
        <f>セットアップレポート!G930</f>
        <v>0</v>
      </c>
      <c r="I930">
        <f>セットアップレポート!H930</f>
        <v>0</v>
      </c>
      <c r="J930">
        <f>セットアップレポート!I930</f>
        <v>0</v>
      </c>
      <c r="K930">
        <f>セットアップレポート!J930</f>
        <v>0</v>
      </c>
      <c r="L930">
        <f>セットアップレポート!K930</f>
        <v>0</v>
      </c>
      <c r="M930">
        <f>セットアップレポート!L930</f>
        <v>0</v>
      </c>
      <c r="N930">
        <f>セットアップレポート!M930</f>
        <v>0</v>
      </c>
      <c r="O930">
        <f>セットアップレポート!N930</f>
        <v>0</v>
      </c>
      <c r="P930">
        <f>セットアップレポート!O930</f>
        <v>0</v>
      </c>
      <c r="Q930">
        <f>セットアップレポート!P930</f>
        <v>0</v>
      </c>
      <c r="R930">
        <f>セットアップレポート!Q930</f>
        <v>0</v>
      </c>
      <c r="S930">
        <f>セットアップレポート!R930</f>
        <v>0</v>
      </c>
      <c r="T930">
        <f>セットアップレポート!S930</f>
        <v>0</v>
      </c>
      <c r="U930">
        <f>セットアップレポート!T930</f>
        <v>0</v>
      </c>
      <c r="V930">
        <f>セットアップレポート!U930</f>
        <v>0</v>
      </c>
      <c r="W930">
        <f>セットアップレポート!V930</f>
        <v>0</v>
      </c>
      <c r="X930">
        <f>セットアップレポート!W930</f>
        <v>0</v>
      </c>
      <c r="Y930">
        <f>セットアップレポート!X930</f>
        <v>0</v>
      </c>
      <c r="Z930">
        <f>セットアップレポート!Y930</f>
        <v>0</v>
      </c>
      <c r="AA930">
        <f>セットアップレポート!Z930</f>
        <v>0</v>
      </c>
      <c r="AB930">
        <f>セットアップレポート!AA930</f>
        <v>0</v>
      </c>
      <c r="AC930">
        <f>セットアップレポート!AB930</f>
        <v>0</v>
      </c>
      <c r="AD930">
        <f>セットアップレポート!AC930</f>
        <v>0</v>
      </c>
      <c r="AE930">
        <f>セットアップレポート!AD930</f>
        <v>0</v>
      </c>
      <c r="AF930">
        <f>セットアップレポート!AE930</f>
        <v>0</v>
      </c>
      <c r="AG930">
        <f>セットアップレポート!AF930</f>
        <v>0</v>
      </c>
      <c r="AH930">
        <f>セットアップレポート!AG930</f>
        <v>0</v>
      </c>
    </row>
    <row r="931" spans="1:34" x14ac:dyDescent="0.45">
      <c r="A931" t="str">
        <f t="shared" si="14"/>
        <v>000</v>
      </c>
      <c r="B931">
        <f>セットアップレポート!A931</f>
        <v>0</v>
      </c>
      <c r="C931">
        <f>セットアップレポート!B931</f>
        <v>0</v>
      </c>
      <c r="D931">
        <f>セットアップレポート!C931</f>
        <v>0</v>
      </c>
      <c r="E931">
        <f>セットアップレポート!D931</f>
        <v>0</v>
      </c>
      <c r="F931">
        <f>セットアップレポート!E931</f>
        <v>0</v>
      </c>
      <c r="G931">
        <f>セットアップレポート!F931</f>
        <v>0</v>
      </c>
      <c r="H931">
        <f>セットアップレポート!G931</f>
        <v>0</v>
      </c>
      <c r="I931">
        <f>セットアップレポート!H931</f>
        <v>0</v>
      </c>
      <c r="J931">
        <f>セットアップレポート!I931</f>
        <v>0</v>
      </c>
      <c r="K931">
        <f>セットアップレポート!J931</f>
        <v>0</v>
      </c>
      <c r="L931">
        <f>セットアップレポート!K931</f>
        <v>0</v>
      </c>
      <c r="M931">
        <f>セットアップレポート!L931</f>
        <v>0</v>
      </c>
      <c r="N931">
        <f>セットアップレポート!M931</f>
        <v>0</v>
      </c>
      <c r="O931">
        <f>セットアップレポート!N931</f>
        <v>0</v>
      </c>
      <c r="P931">
        <f>セットアップレポート!O931</f>
        <v>0</v>
      </c>
      <c r="Q931">
        <f>セットアップレポート!P931</f>
        <v>0</v>
      </c>
      <c r="R931">
        <f>セットアップレポート!Q931</f>
        <v>0</v>
      </c>
      <c r="S931">
        <f>セットアップレポート!R931</f>
        <v>0</v>
      </c>
      <c r="T931">
        <f>セットアップレポート!S931</f>
        <v>0</v>
      </c>
      <c r="U931">
        <f>セットアップレポート!T931</f>
        <v>0</v>
      </c>
      <c r="V931">
        <f>セットアップレポート!U931</f>
        <v>0</v>
      </c>
      <c r="W931">
        <f>セットアップレポート!V931</f>
        <v>0</v>
      </c>
      <c r="X931">
        <f>セットアップレポート!W931</f>
        <v>0</v>
      </c>
      <c r="Y931">
        <f>セットアップレポート!X931</f>
        <v>0</v>
      </c>
      <c r="Z931">
        <f>セットアップレポート!Y931</f>
        <v>0</v>
      </c>
      <c r="AA931">
        <f>セットアップレポート!Z931</f>
        <v>0</v>
      </c>
      <c r="AB931">
        <f>セットアップレポート!AA931</f>
        <v>0</v>
      </c>
      <c r="AC931">
        <f>セットアップレポート!AB931</f>
        <v>0</v>
      </c>
      <c r="AD931">
        <f>セットアップレポート!AC931</f>
        <v>0</v>
      </c>
      <c r="AE931">
        <f>セットアップレポート!AD931</f>
        <v>0</v>
      </c>
      <c r="AF931">
        <f>セットアップレポート!AE931</f>
        <v>0</v>
      </c>
      <c r="AG931">
        <f>セットアップレポート!AF931</f>
        <v>0</v>
      </c>
      <c r="AH931">
        <f>セットアップレポート!AG931</f>
        <v>0</v>
      </c>
    </row>
    <row r="932" spans="1:34" x14ac:dyDescent="0.45">
      <c r="A932" t="str">
        <f t="shared" si="14"/>
        <v>000</v>
      </c>
      <c r="B932">
        <f>セットアップレポート!A932</f>
        <v>0</v>
      </c>
      <c r="C932">
        <f>セットアップレポート!B932</f>
        <v>0</v>
      </c>
      <c r="D932">
        <f>セットアップレポート!C932</f>
        <v>0</v>
      </c>
      <c r="E932">
        <f>セットアップレポート!D932</f>
        <v>0</v>
      </c>
      <c r="F932">
        <f>セットアップレポート!E932</f>
        <v>0</v>
      </c>
      <c r="G932">
        <f>セットアップレポート!F932</f>
        <v>0</v>
      </c>
      <c r="H932">
        <f>セットアップレポート!G932</f>
        <v>0</v>
      </c>
      <c r="I932">
        <f>セットアップレポート!H932</f>
        <v>0</v>
      </c>
      <c r="J932">
        <f>セットアップレポート!I932</f>
        <v>0</v>
      </c>
      <c r="K932">
        <f>セットアップレポート!J932</f>
        <v>0</v>
      </c>
      <c r="L932">
        <f>セットアップレポート!K932</f>
        <v>0</v>
      </c>
      <c r="M932">
        <f>セットアップレポート!L932</f>
        <v>0</v>
      </c>
      <c r="N932">
        <f>セットアップレポート!M932</f>
        <v>0</v>
      </c>
      <c r="O932">
        <f>セットアップレポート!N932</f>
        <v>0</v>
      </c>
      <c r="P932">
        <f>セットアップレポート!O932</f>
        <v>0</v>
      </c>
      <c r="Q932">
        <f>セットアップレポート!P932</f>
        <v>0</v>
      </c>
      <c r="R932">
        <f>セットアップレポート!Q932</f>
        <v>0</v>
      </c>
      <c r="S932">
        <f>セットアップレポート!R932</f>
        <v>0</v>
      </c>
      <c r="T932">
        <f>セットアップレポート!S932</f>
        <v>0</v>
      </c>
      <c r="U932">
        <f>セットアップレポート!T932</f>
        <v>0</v>
      </c>
      <c r="V932">
        <f>セットアップレポート!U932</f>
        <v>0</v>
      </c>
      <c r="W932">
        <f>セットアップレポート!V932</f>
        <v>0</v>
      </c>
      <c r="X932">
        <f>セットアップレポート!W932</f>
        <v>0</v>
      </c>
      <c r="Y932">
        <f>セットアップレポート!X932</f>
        <v>0</v>
      </c>
      <c r="Z932">
        <f>セットアップレポート!Y932</f>
        <v>0</v>
      </c>
      <c r="AA932">
        <f>セットアップレポート!Z932</f>
        <v>0</v>
      </c>
      <c r="AB932">
        <f>セットアップレポート!AA932</f>
        <v>0</v>
      </c>
      <c r="AC932">
        <f>セットアップレポート!AB932</f>
        <v>0</v>
      </c>
      <c r="AD932">
        <f>セットアップレポート!AC932</f>
        <v>0</v>
      </c>
      <c r="AE932">
        <f>セットアップレポート!AD932</f>
        <v>0</v>
      </c>
      <c r="AF932">
        <f>セットアップレポート!AE932</f>
        <v>0</v>
      </c>
      <c r="AG932">
        <f>セットアップレポート!AF932</f>
        <v>0</v>
      </c>
      <c r="AH932">
        <f>セットアップレポート!AG932</f>
        <v>0</v>
      </c>
    </row>
    <row r="933" spans="1:34" x14ac:dyDescent="0.45">
      <c r="A933" t="str">
        <f t="shared" si="14"/>
        <v>000</v>
      </c>
      <c r="B933">
        <f>セットアップレポート!A933</f>
        <v>0</v>
      </c>
      <c r="C933">
        <f>セットアップレポート!B933</f>
        <v>0</v>
      </c>
      <c r="D933">
        <f>セットアップレポート!C933</f>
        <v>0</v>
      </c>
      <c r="E933">
        <f>セットアップレポート!D933</f>
        <v>0</v>
      </c>
      <c r="F933">
        <f>セットアップレポート!E933</f>
        <v>0</v>
      </c>
      <c r="G933">
        <f>セットアップレポート!F933</f>
        <v>0</v>
      </c>
      <c r="H933">
        <f>セットアップレポート!G933</f>
        <v>0</v>
      </c>
      <c r="I933">
        <f>セットアップレポート!H933</f>
        <v>0</v>
      </c>
      <c r="J933">
        <f>セットアップレポート!I933</f>
        <v>0</v>
      </c>
      <c r="K933">
        <f>セットアップレポート!J933</f>
        <v>0</v>
      </c>
      <c r="L933">
        <f>セットアップレポート!K933</f>
        <v>0</v>
      </c>
      <c r="M933">
        <f>セットアップレポート!L933</f>
        <v>0</v>
      </c>
      <c r="N933">
        <f>セットアップレポート!M933</f>
        <v>0</v>
      </c>
      <c r="O933">
        <f>セットアップレポート!N933</f>
        <v>0</v>
      </c>
      <c r="P933">
        <f>セットアップレポート!O933</f>
        <v>0</v>
      </c>
      <c r="Q933">
        <f>セットアップレポート!P933</f>
        <v>0</v>
      </c>
      <c r="R933">
        <f>セットアップレポート!Q933</f>
        <v>0</v>
      </c>
      <c r="S933">
        <f>セットアップレポート!R933</f>
        <v>0</v>
      </c>
      <c r="T933">
        <f>セットアップレポート!S933</f>
        <v>0</v>
      </c>
      <c r="U933">
        <f>セットアップレポート!T933</f>
        <v>0</v>
      </c>
      <c r="V933">
        <f>セットアップレポート!U933</f>
        <v>0</v>
      </c>
      <c r="W933">
        <f>セットアップレポート!V933</f>
        <v>0</v>
      </c>
      <c r="X933">
        <f>セットアップレポート!W933</f>
        <v>0</v>
      </c>
      <c r="Y933">
        <f>セットアップレポート!X933</f>
        <v>0</v>
      </c>
      <c r="Z933">
        <f>セットアップレポート!Y933</f>
        <v>0</v>
      </c>
      <c r="AA933">
        <f>セットアップレポート!Z933</f>
        <v>0</v>
      </c>
      <c r="AB933">
        <f>セットアップレポート!AA933</f>
        <v>0</v>
      </c>
      <c r="AC933">
        <f>セットアップレポート!AB933</f>
        <v>0</v>
      </c>
      <c r="AD933">
        <f>セットアップレポート!AC933</f>
        <v>0</v>
      </c>
      <c r="AE933">
        <f>セットアップレポート!AD933</f>
        <v>0</v>
      </c>
      <c r="AF933">
        <f>セットアップレポート!AE933</f>
        <v>0</v>
      </c>
      <c r="AG933">
        <f>セットアップレポート!AF933</f>
        <v>0</v>
      </c>
      <c r="AH933">
        <f>セットアップレポート!AG933</f>
        <v>0</v>
      </c>
    </row>
    <row r="934" spans="1:34" x14ac:dyDescent="0.45">
      <c r="A934" t="str">
        <f t="shared" si="14"/>
        <v>000</v>
      </c>
      <c r="B934">
        <f>セットアップレポート!A934</f>
        <v>0</v>
      </c>
      <c r="C934">
        <f>セットアップレポート!B934</f>
        <v>0</v>
      </c>
      <c r="D934">
        <f>セットアップレポート!C934</f>
        <v>0</v>
      </c>
      <c r="E934">
        <f>セットアップレポート!D934</f>
        <v>0</v>
      </c>
      <c r="F934">
        <f>セットアップレポート!E934</f>
        <v>0</v>
      </c>
      <c r="G934">
        <f>セットアップレポート!F934</f>
        <v>0</v>
      </c>
      <c r="H934">
        <f>セットアップレポート!G934</f>
        <v>0</v>
      </c>
      <c r="I934">
        <f>セットアップレポート!H934</f>
        <v>0</v>
      </c>
      <c r="J934">
        <f>セットアップレポート!I934</f>
        <v>0</v>
      </c>
      <c r="K934">
        <f>セットアップレポート!J934</f>
        <v>0</v>
      </c>
      <c r="L934">
        <f>セットアップレポート!K934</f>
        <v>0</v>
      </c>
      <c r="M934">
        <f>セットアップレポート!L934</f>
        <v>0</v>
      </c>
      <c r="N934">
        <f>セットアップレポート!M934</f>
        <v>0</v>
      </c>
      <c r="O934">
        <f>セットアップレポート!N934</f>
        <v>0</v>
      </c>
      <c r="P934">
        <f>セットアップレポート!O934</f>
        <v>0</v>
      </c>
      <c r="Q934">
        <f>セットアップレポート!P934</f>
        <v>0</v>
      </c>
      <c r="R934">
        <f>セットアップレポート!Q934</f>
        <v>0</v>
      </c>
      <c r="S934">
        <f>セットアップレポート!R934</f>
        <v>0</v>
      </c>
      <c r="T934">
        <f>セットアップレポート!S934</f>
        <v>0</v>
      </c>
      <c r="U934">
        <f>セットアップレポート!T934</f>
        <v>0</v>
      </c>
      <c r="V934">
        <f>セットアップレポート!U934</f>
        <v>0</v>
      </c>
      <c r="W934">
        <f>セットアップレポート!V934</f>
        <v>0</v>
      </c>
      <c r="X934">
        <f>セットアップレポート!W934</f>
        <v>0</v>
      </c>
      <c r="Y934">
        <f>セットアップレポート!X934</f>
        <v>0</v>
      </c>
      <c r="Z934">
        <f>セットアップレポート!Y934</f>
        <v>0</v>
      </c>
      <c r="AA934">
        <f>セットアップレポート!Z934</f>
        <v>0</v>
      </c>
      <c r="AB934">
        <f>セットアップレポート!AA934</f>
        <v>0</v>
      </c>
      <c r="AC934">
        <f>セットアップレポート!AB934</f>
        <v>0</v>
      </c>
      <c r="AD934">
        <f>セットアップレポート!AC934</f>
        <v>0</v>
      </c>
      <c r="AE934">
        <f>セットアップレポート!AD934</f>
        <v>0</v>
      </c>
      <c r="AF934">
        <f>セットアップレポート!AE934</f>
        <v>0</v>
      </c>
      <c r="AG934">
        <f>セットアップレポート!AF934</f>
        <v>0</v>
      </c>
      <c r="AH934">
        <f>セットアップレポート!AG934</f>
        <v>0</v>
      </c>
    </row>
    <row r="935" spans="1:34" x14ac:dyDescent="0.45">
      <c r="A935" t="str">
        <f t="shared" si="14"/>
        <v>000</v>
      </c>
      <c r="B935">
        <f>セットアップレポート!A935</f>
        <v>0</v>
      </c>
      <c r="C935">
        <f>セットアップレポート!B935</f>
        <v>0</v>
      </c>
      <c r="D935">
        <f>セットアップレポート!C935</f>
        <v>0</v>
      </c>
      <c r="E935">
        <f>セットアップレポート!D935</f>
        <v>0</v>
      </c>
      <c r="F935">
        <f>セットアップレポート!E935</f>
        <v>0</v>
      </c>
      <c r="G935">
        <f>セットアップレポート!F935</f>
        <v>0</v>
      </c>
      <c r="H935">
        <f>セットアップレポート!G935</f>
        <v>0</v>
      </c>
      <c r="I935">
        <f>セットアップレポート!H935</f>
        <v>0</v>
      </c>
      <c r="J935">
        <f>セットアップレポート!I935</f>
        <v>0</v>
      </c>
      <c r="K935">
        <f>セットアップレポート!J935</f>
        <v>0</v>
      </c>
      <c r="L935">
        <f>セットアップレポート!K935</f>
        <v>0</v>
      </c>
      <c r="M935">
        <f>セットアップレポート!L935</f>
        <v>0</v>
      </c>
      <c r="N935">
        <f>セットアップレポート!M935</f>
        <v>0</v>
      </c>
      <c r="O935">
        <f>セットアップレポート!N935</f>
        <v>0</v>
      </c>
      <c r="P935">
        <f>セットアップレポート!O935</f>
        <v>0</v>
      </c>
      <c r="Q935">
        <f>セットアップレポート!P935</f>
        <v>0</v>
      </c>
      <c r="R935">
        <f>セットアップレポート!Q935</f>
        <v>0</v>
      </c>
      <c r="S935">
        <f>セットアップレポート!R935</f>
        <v>0</v>
      </c>
      <c r="T935">
        <f>セットアップレポート!S935</f>
        <v>0</v>
      </c>
      <c r="U935">
        <f>セットアップレポート!T935</f>
        <v>0</v>
      </c>
      <c r="V935">
        <f>セットアップレポート!U935</f>
        <v>0</v>
      </c>
      <c r="W935">
        <f>セットアップレポート!V935</f>
        <v>0</v>
      </c>
      <c r="X935">
        <f>セットアップレポート!W935</f>
        <v>0</v>
      </c>
      <c r="Y935">
        <f>セットアップレポート!X935</f>
        <v>0</v>
      </c>
      <c r="Z935">
        <f>セットアップレポート!Y935</f>
        <v>0</v>
      </c>
      <c r="AA935">
        <f>セットアップレポート!Z935</f>
        <v>0</v>
      </c>
      <c r="AB935">
        <f>セットアップレポート!AA935</f>
        <v>0</v>
      </c>
      <c r="AC935">
        <f>セットアップレポート!AB935</f>
        <v>0</v>
      </c>
      <c r="AD935">
        <f>セットアップレポート!AC935</f>
        <v>0</v>
      </c>
      <c r="AE935">
        <f>セットアップレポート!AD935</f>
        <v>0</v>
      </c>
      <c r="AF935">
        <f>セットアップレポート!AE935</f>
        <v>0</v>
      </c>
      <c r="AG935">
        <f>セットアップレポート!AF935</f>
        <v>0</v>
      </c>
      <c r="AH935">
        <f>セットアップレポート!AG935</f>
        <v>0</v>
      </c>
    </row>
    <row r="936" spans="1:34" x14ac:dyDescent="0.45">
      <c r="A936" t="str">
        <f t="shared" si="14"/>
        <v>000</v>
      </c>
      <c r="B936">
        <f>セットアップレポート!A936</f>
        <v>0</v>
      </c>
      <c r="C936">
        <f>セットアップレポート!B936</f>
        <v>0</v>
      </c>
      <c r="D936">
        <f>セットアップレポート!C936</f>
        <v>0</v>
      </c>
      <c r="E936">
        <f>セットアップレポート!D936</f>
        <v>0</v>
      </c>
      <c r="F936">
        <f>セットアップレポート!E936</f>
        <v>0</v>
      </c>
      <c r="G936">
        <f>セットアップレポート!F936</f>
        <v>0</v>
      </c>
      <c r="H936">
        <f>セットアップレポート!G936</f>
        <v>0</v>
      </c>
      <c r="I936">
        <f>セットアップレポート!H936</f>
        <v>0</v>
      </c>
      <c r="J936">
        <f>セットアップレポート!I936</f>
        <v>0</v>
      </c>
      <c r="K936">
        <f>セットアップレポート!J936</f>
        <v>0</v>
      </c>
      <c r="L936">
        <f>セットアップレポート!K936</f>
        <v>0</v>
      </c>
      <c r="M936">
        <f>セットアップレポート!L936</f>
        <v>0</v>
      </c>
      <c r="N936">
        <f>セットアップレポート!M936</f>
        <v>0</v>
      </c>
      <c r="O936">
        <f>セットアップレポート!N936</f>
        <v>0</v>
      </c>
      <c r="P936">
        <f>セットアップレポート!O936</f>
        <v>0</v>
      </c>
      <c r="Q936">
        <f>セットアップレポート!P936</f>
        <v>0</v>
      </c>
      <c r="R936">
        <f>セットアップレポート!Q936</f>
        <v>0</v>
      </c>
      <c r="S936">
        <f>セットアップレポート!R936</f>
        <v>0</v>
      </c>
      <c r="T936">
        <f>セットアップレポート!S936</f>
        <v>0</v>
      </c>
      <c r="U936">
        <f>セットアップレポート!T936</f>
        <v>0</v>
      </c>
      <c r="V936">
        <f>セットアップレポート!U936</f>
        <v>0</v>
      </c>
      <c r="W936">
        <f>セットアップレポート!V936</f>
        <v>0</v>
      </c>
      <c r="X936">
        <f>セットアップレポート!W936</f>
        <v>0</v>
      </c>
      <c r="Y936">
        <f>セットアップレポート!X936</f>
        <v>0</v>
      </c>
      <c r="Z936">
        <f>セットアップレポート!Y936</f>
        <v>0</v>
      </c>
      <c r="AA936">
        <f>セットアップレポート!Z936</f>
        <v>0</v>
      </c>
      <c r="AB936">
        <f>セットアップレポート!AA936</f>
        <v>0</v>
      </c>
      <c r="AC936">
        <f>セットアップレポート!AB936</f>
        <v>0</v>
      </c>
      <c r="AD936">
        <f>セットアップレポート!AC936</f>
        <v>0</v>
      </c>
      <c r="AE936">
        <f>セットアップレポート!AD936</f>
        <v>0</v>
      </c>
      <c r="AF936">
        <f>セットアップレポート!AE936</f>
        <v>0</v>
      </c>
      <c r="AG936">
        <f>セットアップレポート!AF936</f>
        <v>0</v>
      </c>
      <c r="AH936">
        <f>セットアップレポート!AG936</f>
        <v>0</v>
      </c>
    </row>
    <row r="937" spans="1:34" x14ac:dyDescent="0.45">
      <c r="A937" t="str">
        <f t="shared" si="14"/>
        <v>000</v>
      </c>
      <c r="B937">
        <f>セットアップレポート!A937</f>
        <v>0</v>
      </c>
      <c r="C937">
        <f>セットアップレポート!B937</f>
        <v>0</v>
      </c>
      <c r="D937">
        <f>セットアップレポート!C937</f>
        <v>0</v>
      </c>
      <c r="E937">
        <f>セットアップレポート!D937</f>
        <v>0</v>
      </c>
      <c r="F937">
        <f>セットアップレポート!E937</f>
        <v>0</v>
      </c>
      <c r="G937">
        <f>セットアップレポート!F937</f>
        <v>0</v>
      </c>
      <c r="H937">
        <f>セットアップレポート!G937</f>
        <v>0</v>
      </c>
      <c r="I937">
        <f>セットアップレポート!H937</f>
        <v>0</v>
      </c>
      <c r="J937">
        <f>セットアップレポート!I937</f>
        <v>0</v>
      </c>
      <c r="K937">
        <f>セットアップレポート!J937</f>
        <v>0</v>
      </c>
      <c r="L937">
        <f>セットアップレポート!K937</f>
        <v>0</v>
      </c>
      <c r="M937">
        <f>セットアップレポート!L937</f>
        <v>0</v>
      </c>
      <c r="N937">
        <f>セットアップレポート!M937</f>
        <v>0</v>
      </c>
      <c r="O937">
        <f>セットアップレポート!N937</f>
        <v>0</v>
      </c>
      <c r="P937">
        <f>セットアップレポート!O937</f>
        <v>0</v>
      </c>
      <c r="Q937">
        <f>セットアップレポート!P937</f>
        <v>0</v>
      </c>
      <c r="R937">
        <f>セットアップレポート!Q937</f>
        <v>0</v>
      </c>
      <c r="S937">
        <f>セットアップレポート!R937</f>
        <v>0</v>
      </c>
      <c r="T937">
        <f>セットアップレポート!S937</f>
        <v>0</v>
      </c>
      <c r="U937">
        <f>セットアップレポート!T937</f>
        <v>0</v>
      </c>
      <c r="V937">
        <f>セットアップレポート!U937</f>
        <v>0</v>
      </c>
      <c r="W937">
        <f>セットアップレポート!V937</f>
        <v>0</v>
      </c>
      <c r="X937">
        <f>セットアップレポート!W937</f>
        <v>0</v>
      </c>
      <c r="Y937">
        <f>セットアップレポート!X937</f>
        <v>0</v>
      </c>
      <c r="Z937">
        <f>セットアップレポート!Y937</f>
        <v>0</v>
      </c>
      <c r="AA937">
        <f>セットアップレポート!Z937</f>
        <v>0</v>
      </c>
      <c r="AB937">
        <f>セットアップレポート!AA937</f>
        <v>0</v>
      </c>
      <c r="AC937">
        <f>セットアップレポート!AB937</f>
        <v>0</v>
      </c>
      <c r="AD937">
        <f>セットアップレポート!AC937</f>
        <v>0</v>
      </c>
      <c r="AE937">
        <f>セットアップレポート!AD937</f>
        <v>0</v>
      </c>
      <c r="AF937">
        <f>セットアップレポート!AE937</f>
        <v>0</v>
      </c>
      <c r="AG937">
        <f>セットアップレポート!AF937</f>
        <v>0</v>
      </c>
      <c r="AH937">
        <f>セットアップレポート!AG937</f>
        <v>0</v>
      </c>
    </row>
    <row r="938" spans="1:34" x14ac:dyDescent="0.45">
      <c r="A938" t="str">
        <f t="shared" si="14"/>
        <v>000</v>
      </c>
      <c r="B938">
        <f>セットアップレポート!A938</f>
        <v>0</v>
      </c>
      <c r="C938">
        <f>セットアップレポート!B938</f>
        <v>0</v>
      </c>
      <c r="D938">
        <f>セットアップレポート!C938</f>
        <v>0</v>
      </c>
      <c r="E938">
        <f>セットアップレポート!D938</f>
        <v>0</v>
      </c>
      <c r="F938">
        <f>セットアップレポート!E938</f>
        <v>0</v>
      </c>
      <c r="G938">
        <f>セットアップレポート!F938</f>
        <v>0</v>
      </c>
      <c r="H938">
        <f>セットアップレポート!G938</f>
        <v>0</v>
      </c>
      <c r="I938">
        <f>セットアップレポート!H938</f>
        <v>0</v>
      </c>
      <c r="J938">
        <f>セットアップレポート!I938</f>
        <v>0</v>
      </c>
      <c r="K938">
        <f>セットアップレポート!J938</f>
        <v>0</v>
      </c>
      <c r="L938">
        <f>セットアップレポート!K938</f>
        <v>0</v>
      </c>
      <c r="M938">
        <f>セットアップレポート!L938</f>
        <v>0</v>
      </c>
      <c r="N938">
        <f>セットアップレポート!M938</f>
        <v>0</v>
      </c>
      <c r="O938">
        <f>セットアップレポート!N938</f>
        <v>0</v>
      </c>
      <c r="P938">
        <f>セットアップレポート!O938</f>
        <v>0</v>
      </c>
      <c r="Q938">
        <f>セットアップレポート!P938</f>
        <v>0</v>
      </c>
      <c r="R938">
        <f>セットアップレポート!Q938</f>
        <v>0</v>
      </c>
      <c r="S938">
        <f>セットアップレポート!R938</f>
        <v>0</v>
      </c>
      <c r="T938">
        <f>セットアップレポート!S938</f>
        <v>0</v>
      </c>
      <c r="U938">
        <f>セットアップレポート!T938</f>
        <v>0</v>
      </c>
      <c r="V938">
        <f>セットアップレポート!U938</f>
        <v>0</v>
      </c>
      <c r="W938">
        <f>セットアップレポート!V938</f>
        <v>0</v>
      </c>
      <c r="X938">
        <f>セットアップレポート!W938</f>
        <v>0</v>
      </c>
      <c r="Y938">
        <f>セットアップレポート!X938</f>
        <v>0</v>
      </c>
      <c r="Z938">
        <f>セットアップレポート!Y938</f>
        <v>0</v>
      </c>
      <c r="AA938">
        <f>セットアップレポート!Z938</f>
        <v>0</v>
      </c>
      <c r="AB938">
        <f>セットアップレポート!AA938</f>
        <v>0</v>
      </c>
      <c r="AC938">
        <f>セットアップレポート!AB938</f>
        <v>0</v>
      </c>
      <c r="AD938">
        <f>セットアップレポート!AC938</f>
        <v>0</v>
      </c>
      <c r="AE938">
        <f>セットアップレポート!AD938</f>
        <v>0</v>
      </c>
      <c r="AF938">
        <f>セットアップレポート!AE938</f>
        <v>0</v>
      </c>
      <c r="AG938">
        <f>セットアップレポート!AF938</f>
        <v>0</v>
      </c>
      <c r="AH938">
        <f>セットアップレポート!AG938</f>
        <v>0</v>
      </c>
    </row>
    <row r="939" spans="1:34" x14ac:dyDescent="0.45">
      <c r="A939" t="str">
        <f t="shared" si="14"/>
        <v>000</v>
      </c>
      <c r="B939">
        <f>セットアップレポート!A939</f>
        <v>0</v>
      </c>
      <c r="C939">
        <f>セットアップレポート!B939</f>
        <v>0</v>
      </c>
      <c r="D939">
        <f>セットアップレポート!C939</f>
        <v>0</v>
      </c>
      <c r="E939">
        <f>セットアップレポート!D939</f>
        <v>0</v>
      </c>
      <c r="F939">
        <f>セットアップレポート!E939</f>
        <v>0</v>
      </c>
      <c r="G939">
        <f>セットアップレポート!F939</f>
        <v>0</v>
      </c>
      <c r="H939">
        <f>セットアップレポート!G939</f>
        <v>0</v>
      </c>
      <c r="I939">
        <f>セットアップレポート!H939</f>
        <v>0</v>
      </c>
      <c r="J939">
        <f>セットアップレポート!I939</f>
        <v>0</v>
      </c>
      <c r="K939">
        <f>セットアップレポート!J939</f>
        <v>0</v>
      </c>
      <c r="L939">
        <f>セットアップレポート!K939</f>
        <v>0</v>
      </c>
      <c r="M939">
        <f>セットアップレポート!L939</f>
        <v>0</v>
      </c>
      <c r="N939">
        <f>セットアップレポート!M939</f>
        <v>0</v>
      </c>
      <c r="O939">
        <f>セットアップレポート!N939</f>
        <v>0</v>
      </c>
      <c r="P939">
        <f>セットアップレポート!O939</f>
        <v>0</v>
      </c>
      <c r="Q939">
        <f>セットアップレポート!P939</f>
        <v>0</v>
      </c>
      <c r="R939">
        <f>セットアップレポート!Q939</f>
        <v>0</v>
      </c>
      <c r="S939">
        <f>セットアップレポート!R939</f>
        <v>0</v>
      </c>
      <c r="T939">
        <f>セットアップレポート!S939</f>
        <v>0</v>
      </c>
      <c r="U939">
        <f>セットアップレポート!T939</f>
        <v>0</v>
      </c>
      <c r="V939">
        <f>セットアップレポート!U939</f>
        <v>0</v>
      </c>
      <c r="W939">
        <f>セットアップレポート!V939</f>
        <v>0</v>
      </c>
      <c r="X939">
        <f>セットアップレポート!W939</f>
        <v>0</v>
      </c>
      <c r="Y939">
        <f>セットアップレポート!X939</f>
        <v>0</v>
      </c>
      <c r="Z939">
        <f>セットアップレポート!Y939</f>
        <v>0</v>
      </c>
      <c r="AA939">
        <f>セットアップレポート!Z939</f>
        <v>0</v>
      </c>
      <c r="AB939">
        <f>セットアップレポート!AA939</f>
        <v>0</v>
      </c>
      <c r="AC939">
        <f>セットアップレポート!AB939</f>
        <v>0</v>
      </c>
      <c r="AD939">
        <f>セットアップレポート!AC939</f>
        <v>0</v>
      </c>
      <c r="AE939">
        <f>セットアップレポート!AD939</f>
        <v>0</v>
      </c>
      <c r="AF939">
        <f>セットアップレポート!AE939</f>
        <v>0</v>
      </c>
      <c r="AG939">
        <f>セットアップレポート!AF939</f>
        <v>0</v>
      </c>
      <c r="AH939">
        <f>セットアップレポート!AG939</f>
        <v>0</v>
      </c>
    </row>
    <row r="940" spans="1:34" x14ac:dyDescent="0.45">
      <c r="A940" t="str">
        <f t="shared" si="14"/>
        <v>000</v>
      </c>
      <c r="B940">
        <f>セットアップレポート!A940</f>
        <v>0</v>
      </c>
      <c r="C940">
        <f>セットアップレポート!B940</f>
        <v>0</v>
      </c>
      <c r="D940">
        <f>セットアップレポート!C940</f>
        <v>0</v>
      </c>
      <c r="E940">
        <f>セットアップレポート!D940</f>
        <v>0</v>
      </c>
      <c r="F940">
        <f>セットアップレポート!E940</f>
        <v>0</v>
      </c>
      <c r="G940">
        <f>セットアップレポート!F940</f>
        <v>0</v>
      </c>
      <c r="H940">
        <f>セットアップレポート!G940</f>
        <v>0</v>
      </c>
      <c r="I940">
        <f>セットアップレポート!H940</f>
        <v>0</v>
      </c>
      <c r="J940">
        <f>セットアップレポート!I940</f>
        <v>0</v>
      </c>
      <c r="K940">
        <f>セットアップレポート!J940</f>
        <v>0</v>
      </c>
      <c r="L940">
        <f>セットアップレポート!K940</f>
        <v>0</v>
      </c>
      <c r="M940">
        <f>セットアップレポート!L940</f>
        <v>0</v>
      </c>
      <c r="N940">
        <f>セットアップレポート!M940</f>
        <v>0</v>
      </c>
      <c r="O940">
        <f>セットアップレポート!N940</f>
        <v>0</v>
      </c>
      <c r="P940">
        <f>セットアップレポート!O940</f>
        <v>0</v>
      </c>
      <c r="Q940">
        <f>セットアップレポート!P940</f>
        <v>0</v>
      </c>
      <c r="R940">
        <f>セットアップレポート!Q940</f>
        <v>0</v>
      </c>
      <c r="S940">
        <f>セットアップレポート!R940</f>
        <v>0</v>
      </c>
      <c r="T940">
        <f>セットアップレポート!S940</f>
        <v>0</v>
      </c>
      <c r="U940">
        <f>セットアップレポート!T940</f>
        <v>0</v>
      </c>
      <c r="V940">
        <f>セットアップレポート!U940</f>
        <v>0</v>
      </c>
      <c r="W940">
        <f>セットアップレポート!V940</f>
        <v>0</v>
      </c>
      <c r="X940">
        <f>セットアップレポート!W940</f>
        <v>0</v>
      </c>
      <c r="Y940">
        <f>セットアップレポート!X940</f>
        <v>0</v>
      </c>
      <c r="Z940">
        <f>セットアップレポート!Y940</f>
        <v>0</v>
      </c>
      <c r="AA940">
        <f>セットアップレポート!Z940</f>
        <v>0</v>
      </c>
      <c r="AB940">
        <f>セットアップレポート!AA940</f>
        <v>0</v>
      </c>
      <c r="AC940">
        <f>セットアップレポート!AB940</f>
        <v>0</v>
      </c>
      <c r="AD940">
        <f>セットアップレポート!AC940</f>
        <v>0</v>
      </c>
      <c r="AE940">
        <f>セットアップレポート!AD940</f>
        <v>0</v>
      </c>
      <c r="AF940">
        <f>セットアップレポート!AE940</f>
        <v>0</v>
      </c>
      <c r="AG940">
        <f>セットアップレポート!AF940</f>
        <v>0</v>
      </c>
      <c r="AH940">
        <f>セットアップレポート!AG940</f>
        <v>0</v>
      </c>
    </row>
    <row r="941" spans="1:34" x14ac:dyDescent="0.45">
      <c r="A941" t="str">
        <f t="shared" si="14"/>
        <v>000</v>
      </c>
      <c r="B941">
        <f>セットアップレポート!A941</f>
        <v>0</v>
      </c>
      <c r="C941">
        <f>セットアップレポート!B941</f>
        <v>0</v>
      </c>
      <c r="D941">
        <f>セットアップレポート!C941</f>
        <v>0</v>
      </c>
      <c r="E941">
        <f>セットアップレポート!D941</f>
        <v>0</v>
      </c>
      <c r="F941">
        <f>セットアップレポート!E941</f>
        <v>0</v>
      </c>
      <c r="G941">
        <f>セットアップレポート!F941</f>
        <v>0</v>
      </c>
      <c r="H941">
        <f>セットアップレポート!G941</f>
        <v>0</v>
      </c>
      <c r="I941">
        <f>セットアップレポート!H941</f>
        <v>0</v>
      </c>
      <c r="J941">
        <f>セットアップレポート!I941</f>
        <v>0</v>
      </c>
      <c r="K941">
        <f>セットアップレポート!J941</f>
        <v>0</v>
      </c>
      <c r="L941">
        <f>セットアップレポート!K941</f>
        <v>0</v>
      </c>
      <c r="M941">
        <f>セットアップレポート!L941</f>
        <v>0</v>
      </c>
      <c r="N941">
        <f>セットアップレポート!M941</f>
        <v>0</v>
      </c>
      <c r="O941">
        <f>セットアップレポート!N941</f>
        <v>0</v>
      </c>
      <c r="P941">
        <f>セットアップレポート!O941</f>
        <v>0</v>
      </c>
      <c r="Q941">
        <f>セットアップレポート!P941</f>
        <v>0</v>
      </c>
      <c r="R941">
        <f>セットアップレポート!Q941</f>
        <v>0</v>
      </c>
      <c r="S941">
        <f>セットアップレポート!R941</f>
        <v>0</v>
      </c>
      <c r="T941">
        <f>セットアップレポート!S941</f>
        <v>0</v>
      </c>
      <c r="U941">
        <f>セットアップレポート!T941</f>
        <v>0</v>
      </c>
      <c r="V941">
        <f>セットアップレポート!U941</f>
        <v>0</v>
      </c>
      <c r="W941">
        <f>セットアップレポート!V941</f>
        <v>0</v>
      </c>
      <c r="X941">
        <f>セットアップレポート!W941</f>
        <v>0</v>
      </c>
      <c r="Y941">
        <f>セットアップレポート!X941</f>
        <v>0</v>
      </c>
      <c r="Z941">
        <f>セットアップレポート!Y941</f>
        <v>0</v>
      </c>
      <c r="AA941">
        <f>セットアップレポート!Z941</f>
        <v>0</v>
      </c>
      <c r="AB941">
        <f>セットアップレポート!AA941</f>
        <v>0</v>
      </c>
      <c r="AC941">
        <f>セットアップレポート!AB941</f>
        <v>0</v>
      </c>
      <c r="AD941">
        <f>セットアップレポート!AC941</f>
        <v>0</v>
      </c>
      <c r="AE941">
        <f>セットアップレポート!AD941</f>
        <v>0</v>
      </c>
      <c r="AF941">
        <f>セットアップレポート!AE941</f>
        <v>0</v>
      </c>
      <c r="AG941">
        <f>セットアップレポート!AF941</f>
        <v>0</v>
      </c>
      <c r="AH941">
        <f>セットアップレポート!AG941</f>
        <v>0</v>
      </c>
    </row>
    <row r="942" spans="1:34" x14ac:dyDescent="0.45">
      <c r="A942" t="str">
        <f t="shared" si="14"/>
        <v>000</v>
      </c>
      <c r="B942">
        <f>セットアップレポート!A942</f>
        <v>0</v>
      </c>
      <c r="C942">
        <f>セットアップレポート!B942</f>
        <v>0</v>
      </c>
      <c r="D942">
        <f>セットアップレポート!C942</f>
        <v>0</v>
      </c>
      <c r="E942">
        <f>セットアップレポート!D942</f>
        <v>0</v>
      </c>
      <c r="F942">
        <f>セットアップレポート!E942</f>
        <v>0</v>
      </c>
      <c r="G942">
        <f>セットアップレポート!F942</f>
        <v>0</v>
      </c>
      <c r="H942">
        <f>セットアップレポート!G942</f>
        <v>0</v>
      </c>
      <c r="I942">
        <f>セットアップレポート!H942</f>
        <v>0</v>
      </c>
      <c r="J942">
        <f>セットアップレポート!I942</f>
        <v>0</v>
      </c>
      <c r="K942">
        <f>セットアップレポート!J942</f>
        <v>0</v>
      </c>
      <c r="L942">
        <f>セットアップレポート!K942</f>
        <v>0</v>
      </c>
      <c r="M942">
        <f>セットアップレポート!L942</f>
        <v>0</v>
      </c>
      <c r="N942">
        <f>セットアップレポート!M942</f>
        <v>0</v>
      </c>
      <c r="O942">
        <f>セットアップレポート!N942</f>
        <v>0</v>
      </c>
      <c r="P942">
        <f>セットアップレポート!O942</f>
        <v>0</v>
      </c>
      <c r="Q942">
        <f>セットアップレポート!P942</f>
        <v>0</v>
      </c>
      <c r="R942">
        <f>セットアップレポート!Q942</f>
        <v>0</v>
      </c>
      <c r="S942">
        <f>セットアップレポート!R942</f>
        <v>0</v>
      </c>
      <c r="T942">
        <f>セットアップレポート!S942</f>
        <v>0</v>
      </c>
      <c r="U942">
        <f>セットアップレポート!T942</f>
        <v>0</v>
      </c>
      <c r="V942">
        <f>セットアップレポート!U942</f>
        <v>0</v>
      </c>
      <c r="W942">
        <f>セットアップレポート!V942</f>
        <v>0</v>
      </c>
      <c r="X942">
        <f>セットアップレポート!W942</f>
        <v>0</v>
      </c>
      <c r="Y942">
        <f>セットアップレポート!X942</f>
        <v>0</v>
      </c>
      <c r="Z942">
        <f>セットアップレポート!Y942</f>
        <v>0</v>
      </c>
      <c r="AA942">
        <f>セットアップレポート!Z942</f>
        <v>0</v>
      </c>
      <c r="AB942">
        <f>セットアップレポート!AA942</f>
        <v>0</v>
      </c>
      <c r="AC942">
        <f>セットアップレポート!AB942</f>
        <v>0</v>
      </c>
      <c r="AD942">
        <f>セットアップレポート!AC942</f>
        <v>0</v>
      </c>
      <c r="AE942">
        <f>セットアップレポート!AD942</f>
        <v>0</v>
      </c>
      <c r="AF942">
        <f>セットアップレポート!AE942</f>
        <v>0</v>
      </c>
      <c r="AG942">
        <f>セットアップレポート!AF942</f>
        <v>0</v>
      </c>
      <c r="AH942">
        <f>セットアップレポート!AG942</f>
        <v>0</v>
      </c>
    </row>
    <row r="943" spans="1:34" x14ac:dyDescent="0.45">
      <c r="A943" t="str">
        <f t="shared" si="14"/>
        <v>000</v>
      </c>
      <c r="B943">
        <f>セットアップレポート!A943</f>
        <v>0</v>
      </c>
      <c r="C943">
        <f>セットアップレポート!B943</f>
        <v>0</v>
      </c>
      <c r="D943">
        <f>セットアップレポート!C943</f>
        <v>0</v>
      </c>
      <c r="E943">
        <f>セットアップレポート!D943</f>
        <v>0</v>
      </c>
      <c r="F943">
        <f>セットアップレポート!E943</f>
        <v>0</v>
      </c>
      <c r="G943">
        <f>セットアップレポート!F943</f>
        <v>0</v>
      </c>
      <c r="H943">
        <f>セットアップレポート!G943</f>
        <v>0</v>
      </c>
      <c r="I943">
        <f>セットアップレポート!H943</f>
        <v>0</v>
      </c>
      <c r="J943">
        <f>セットアップレポート!I943</f>
        <v>0</v>
      </c>
      <c r="K943">
        <f>セットアップレポート!J943</f>
        <v>0</v>
      </c>
      <c r="L943">
        <f>セットアップレポート!K943</f>
        <v>0</v>
      </c>
      <c r="M943">
        <f>セットアップレポート!L943</f>
        <v>0</v>
      </c>
      <c r="N943">
        <f>セットアップレポート!M943</f>
        <v>0</v>
      </c>
      <c r="O943">
        <f>セットアップレポート!N943</f>
        <v>0</v>
      </c>
      <c r="P943">
        <f>セットアップレポート!O943</f>
        <v>0</v>
      </c>
      <c r="Q943">
        <f>セットアップレポート!P943</f>
        <v>0</v>
      </c>
      <c r="R943">
        <f>セットアップレポート!Q943</f>
        <v>0</v>
      </c>
      <c r="S943">
        <f>セットアップレポート!R943</f>
        <v>0</v>
      </c>
      <c r="T943">
        <f>セットアップレポート!S943</f>
        <v>0</v>
      </c>
      <c r="U943">
        <f>セットアップレポート!T943</f>
        <v>0</v>
      </c>
      <c r="V943">
        <f>セットアップレポート!U943</f>
        <v>0</v>
      </c>
      <c r="W943">
        <f>セットアップレポート!V943</f>
        <v>0</v>
      </c>
      <c r="X943">
        <f>セットアップレポート!W943</f>
        <v>0</v>
      </c>
      <c r="Y943">
        <f>セットアップレポート!X943</f>
        <v>0</v>
      </c>
      <c r="Z943">
        <f>セットアップレポート!Y943</f>
        <v>0</v>
      </c>
      <c r="AA943">
        <f>セットアップレポート!Z943</f>
        <v>0</v>
      </c>
      <c r="AB943">
        <f>セットアップレポート!AA943</f>
        <v>0</v>
      </c>
      <c r="AC943">
        <f>セットアップレポート!AB943</f>
        <v>0</v>
      </c>
      <c r="AD943">
        <f>セットアップレポート!AC943</f>
        <v>0</v>
      </c>
      <c r="AE943">
        <f>セットアップレポート!AD943</f>
        <v>0</v>
      </c>
      <c r="AF943">
        <f>セットアップレポート!AE943</f>
        <v>0</v>
      </c>
      <c r="AG943">
        <f>セットアップレポート!AF943</f>
        <v>0</v>
      </c>
      <c r="AH943">
        <f>セットアップレポート!AG943</f>
        <v>0</v>
      </c>
    </row>
    <row r="944" spans="1:34" x14ac:dyDescent="0.45">
      <c r="A944" t="str">
        <f t="shared" si="14"/>
        <v>000</v>
      </c>
      <c r="B944">
        <f>セットアップレポート!A944</f>
        <v>0</v>
      </c>
      <c r="C944">
        <f>セットアップレポート!B944</f>
        <v>0</v>
      </c>
      <c r="D944">
        <f>セットアップレポート!C944</f>
        <v>0</v>
      </c>
      <c r="E944">
        <f>セットアップレポート!D944</f>
        <v>0</v>
      </c>
      <c r="F944">
        <f>セットアップレポート!E944</f>
        <v>0</v>
      </c>
      <c r="G944">
        <f>セットアップレポート!F944</f>
        <v>0</v>
      </c>
      <c r="H944">
        <f>セットアップレポート!G944</f>
        <v>0</v>
      </c>
      <c r="I944">
        <f>セットアップレポート!H944</f>
        <v>0</v>
      </c>
      <c r="J944">
        <f>セットアップレポート!I944</f>
        <v>0</v>
      </c>
      <c r="K944">
        <f>セットアップレポート!J944</f>
        <v>0</v>
      </c>
      <c r="L944">
        <f>セットアップレポート!K944</f>
        <v>0</v>
      </c>
      <c r="M944">
        <f>セットアップレポート!L944</f>
        <v>0</v>
      </c>
      <c r="N944">
        <f>セットアップレポート!M944</f>
        <v>0</v>
      </c>
      <c r="O944">
        <f>セットアップレポート!N944</f>
        <v>0</v>
      </c>
      <c r="P944">
        <f>セットアップレポート!O944</f>
        <v>0</v>
      </c>
      <c r="Q944">
        <f>セットアップレポート!P944</f>
        <v>0</v>
      </c>
      <c r="R944">
        <f>セットアップレポート!Q944</f>
        <v>0</v>
      </c>
      <c r="S944">
        <f>セットアップレポート!R944</f>
        <v>0</v>
      </c>
      <c r="T944">
        <f>セットアップレポート!S944</f>
        <v>0</v>
      </c>
      <c r="U944">
        <f>セットアップレポート!T944</f>
        <v>0</v>
      </c>
      <c r="V944">
        <f>セットアップレポート!U944</f>
        <v>0</v>
      </c>
      <c r="W944">
        <f>セットアップレポート!V944</f>
        <v>0</v>
      </c>
      <c r="X944">
        <f>セットアップレポート!W944</f>
        <v>0</v>
      </c>
      <c r="Y944">
        <f>セットアップレポート!X944</f>
        <v>0</v>
      </c>
      <c r="Z944">
        <f>セットアップレポート!Y944</f>
        <v>0</v>
      </c>
      <c r="AA944">
        <f>セットアップレポート!Z944</f>
        <v>0</v>
      </c>
      <c r="AB944">
        <f>セットアップレポート!AA944</f>
        <v>0</v>
      </c>
      <c r="AC944">
        <f>セットアップレポート!AB944</f>
        <v>0</v>
      </c>
      <c r="AD944">
        <f>セットアップレポート!AC944</f>
        <v>0</v>
      </c>
      <c r="AE944">
        <f>セットアップレポート!AD944</f>
        <v>0</v>
      </c>
      <c r="AF944">
        <f>セットアップレポート!AE944</f>
        <v>0</v>
      </c>
      <c r="AG944">
        <f>セットアップレポート!AF944</f>
        <v>0</v>
      </c>
      <c r="AH944">
        <f>セットアップレポート!AG944</f>
        <v>0</v>
      </c>
    </row>
    <row r="945" spans="1:34" x14ac:dyDescent="0.45">
      <c r="A945" t="str">
        <f t="shared" si="14"/>
        <v>000</v>
      </c>
      <c r="B945">
        <f>セットアップレポート!A945</f>
        <v>0</v>
      </c>
      <c r="C945">
        <f>セットアップレポート!B945</f>
        <v>0</v>
      </c>
      <c r="D945">
        <f>セットアップレポート!C945</f>
        <v>0</v>
      </c>
      <c r="E945">
        <f>セットアップレポート!D945</f>
        <v>0</v>
      </c>
      <c r="F945">
        <f>セットアップレポート!E945</f>
        <v>0</v>
      </c>
      <c r="G945">
        <f>セットアップレポート!F945</f>
        <v>0</v>
      </c>
      <c r="H945">
        <f>セットアップレポート!G945</f>
        <v>0</v>
      </c>
      <c r="I945">
        <f>セットアップレポート!H945</f>
        <v>0</v>
      </c>
      <c r="J945">
        <f>セットアップレポート!I945</f>
        <v>0</v>
      </c>
      <c r="K945">
        <f>セットアップレポート!J945</f>
        <v>0</v>
      </c>
      <c r="L945">
        <f>セットアップレポート!K945</f>
        <v>0</v>
      </c>
      <c r="M945">
        <f>セットアップレポート!L945</f>
        <v>0</v>
      </c>
      <c r="N945">
        <f>セットアップレポート!M945</f>
        <v>0</v>
      </c>
      <c r="O945">
        <f>セットアップレポート!N945</f>
        <v>0</v>
      </c>
      <c r="P945">
        <f>セットアップレポート!O945</f>
        <v>0</v>
      </c>
      <c r="Q945">
        <f>セットアップレポート!P945</f>
        <v>0</v>
      </c>
      <c r="R945">
        <f>セットアップレポート!Q945</f>
        <v>0</v>
      </c>
      <c r="S945">
        <f>セットアップレポート!R945</f>
        <v>0</v>
      </c>
      <c r="T945">
        <f>セットアップレポート!S945</f>
        <v>0</v>
      </c>
      <c r="U945">
        <f>セットアップレポート!T945</f>
        <v>0</v>
      </c>
      <c r="V945">
        <f>セットアップレポート!U945</f>
        <v>0</v>
      </c>
      <c r="W945">
        <f>セットアップレポート!V945</f>
        <v>0</v>
      </c>
      <c r="X945">
        <f>セットアップレポート!W945</f>
        <v>0</v>
      </c>
      <c r="Y945">
        <f>セットアップレポート!X945</f>
        <v>0</v>
      </c>
      <c r="Z945">
        <f>セットアップレポート!Y945</f>
        <v>0</v>
      </c>
      <c r="AA945">
        <f>セットアップレポート!Z945</f>
        <v>0</v>
      </c>
      <c r="AB945">
        <f>セットアップレポート!AA945</f>
        <v>0</v>
      </c>
      <c r="AC945">
        <f>セットアップレポート!AB945</f>
        <v>0</v>
      </c>
      <c r="AD945">
        <f>セットアップレポート!AC945</f>
        <v>0</v>
      </c>
      <c r="AE945">
        <f>セットアップレポート!AD945</f>
        <v>0</v>
      </c>
      <c r="AF945">
        <f>セットアップレポート!AE945</f>
        <v>0</v>
      </c>
      <c r="AG945">
        <f>セットアップレポート!AF945</f>
        <v>0</v>
      </c>
      <c r="AH945">
        <f>セットアップレポート!AG945</f>
        <v>0</v>
      </c>
    </row>
    <row r="946" spans="1:34" x14ac:dyDescent="0.45">
      <c r="A946" t="str">
        <f t="shared" si="14"/>
        <v>000</v>
      </c>
      <c r="B946">
        <f>セットアップレポート!A946</f>
        <v>0</v>
      </c>
      <c r="C946">
        <f>セットアップレポート!B946</f>
        <v>0</v>
      </c>
      <c r="D946">
        <f>セットアップレポート!C946</f>
        <v>0</v>
      </c>
      <c r="E946">
        <f>セットアップレポート!D946</f>
        <v>0</v>
      </c>
      <c r="F946">
        <f>セットアップレポート!E946</f>
        <v>0</v>
      </c>
      <c r="G946">
        <f>セットアップレポート!F946</f>
        <v>0</v>
      </c>
      <c r="H946">
        <f>セットアップレポート!G946</f>
        <v>0</v>
      </c>
      <c r="I946">
        <f>セットアップレポート!H946</f>
        <v>0</v>
      </c>
      <c r="J946">
        <f>セットアップレポート!I946</f>
        <v>0</v>
      </c>
      <c r="K946">
        <f>セットアップレポート!J946</f>
        <v>0</v>
      </c>
      <c r="L946">
        <f>セットアップレポート!K946</f>
        <v>0</v>
      </c>
      <c r="M946">
        <f>セットアップレポート!L946</f>
        <v>0</v>
      </c>
      <c r="N946">
        <f>セットアップレポート!M946</f>
        <v>0</v>
      </c>
      <c r="O946">
        <f>セットアップレポート!N946</f>
        <v>0</v>
      </c>
      <c r="P946">
        <f>セットアップレポート!O946</f>
        <v>0</v>
      </c>
      <c r="Q946">
        <f>セットアップレポート!P946</f>
        <v>0</v>
      </c>
      <c r="R946">
        <f>セットアップレポート!Q946</f>
        <v>0</v>
      </c>
      <c r="S946">
        <f>セットアップレポート!R946</f>
        <v>0</v>
      </c>
      <c r="T946">
        <f>セットアップレポート!S946</f>
        <v>0</v>
      </c>
      <c r="U946">
        <f>セットアップレポート!T946</f>
        <v>0</v>
      </c>
      <c r="V946">
        <f>セットアップレポート!U946</f>
        <v>0</v>
      </c>
      <c r="W946">
        <f>セットアップレポート!V946</f>
        <v>0</v>
      </c>
      <c r="X946">
        <f>セットアップレポート!W946</f>
        <v>0</v>
      </c>
      <c r="Y946">
        <f>セットアップレポート!X946</f>
        <v>0</v>
      </c>
      <c r="Z946">
        <f>セットアップレポート!Y946</f>
        <v>0</v>
      </c>
      <c r="AA946">
        <f>セットアップレポート!Z946</f>
        <v>0</v>
      </c>
      <c r="AB946">
        <f>セットアップレポート!AA946</f>
        <v>0</v>
      </c>
      <c r="AC946">
        <f>セットアップレポート!AB946</f>
        <v>0</v>
      </c>
      <c r="AD946">
        <f>セットアップレポート!AC946</f>
        <v>0</v>
      </c>
      <c r="AE946">
        <f>セットアップレポート!AD946</f>
        <v>0</v>
      </c>
      <c r="AF946">
        <f>セットアップレポート!AE946</f>
        <v>0</v>
      </c>
      <c r="AG946">
        <f>セットアップレポート!AF946</f>
        <v>0</v>
      </c>
      <c r="AH946">
        <f>セットアップレポート!AG946</f>
        <v>0</v>
      </c>
    </row>
    <row r="947" spans="1:34" x14ac:dyDescent="0.45">
      <c r="A947" t="str">
        <f t="shared" si="14"/>
        <v>000</v>
      </c>
      <c r="B947">
        <f>セットアップレポート!A947</f>
        <v>0</v>
      </c>
      <c r="C947">
        <f>セットアップレポート!B947</f>
        <v>0</v>
      </c>
      <c r="D947">
        <f>セットアップレポート!C947</f>
        <v>0</v>
      </c>
      <c r="E947">
        <f>セットアップレポート!D947</f>
        <v>0</v>
      </c>
      <c r="F947">
        <f>セットアップレポート!E947</f>
        <v>0</v>
      </c>
      <c r="G947">
        <f>セットアップレポート!F947</f>
        <v>0</v>
      </c>
      <c r="H947">
        <f>セットアップレポート!G947</f>
        <v>0</v>
      </c>
      <c r="I947">
        <f>セットアップレポート!H947</f>
        <v>0</v>
      </c>
      <c r="J947">
        <f>セットアップレポート!I947</f>
        <v>0</v>
      </c>
      <c r="K947">
        <f>セットアップレポート!J947</f>
        <v>0</v>
      </c>
      <c r="L947">
        <f>セットアップレポート!K947</f>
        <v>0</v>
      </c>
      <c r="M947">
        <f>セットアップレポート!L947</f>
        <v>0</v>
      </c>
      <c r="N947">
        <f>セットアップレポート!M947</f>
        <v>0</v>
      </c>
      <c r="O947">
        <f>セットアップレポート!N947</f>
        <v>0</v>
      </c>
      <c r="P947">
        <f>セットアップレポート!O947</f>
        <v>0</v>
      </c>
      <c r="Q947">
        <f>セットアップレポート!P947</f>
        <v>0</v>
      </c>
      <c r="R947">
        <f>セットアップレポート!Q947</f>
        <v>0</v>
      </c>
      <c r="S947">
        <f>セットアップレポート!R947</f>
        <v>0</v>
      </c>
      <c r="T947">
        <f>セットアップレポート!S947</f>
        <v>0</v>
      </c>
      <c r="U947">
        <f>セットアップレポート!T947</f>
        <v>0</v>
      </c>
      <c r="V947">
        <f>セットアップレポート!U947</f>
        <v>0</v>
      </c>
      <c r="W947">
        <f>セットアップレポート!V947</f>
        <v>0</v>
      </c>
      <c r="X947">
        <f>セットアップレポート!W947</f>
        <v>0</v>
      </c>
      <c r="Y947">
        <f>セットアップレポート!X947</f>
        <v>0</v>
      </c>
      <c r="Z947">
        <f>セットアップレポート!Y947</f>
        <v>0</v>
      </c>
      <c r="AA947">
        <f>セットアップレポート!Z947</f>
        <v>0</v>
      </c>
      <c r="AB947">
        <f>セットアップレポート!AA947</f>
        <v>0</v>
      </c>
      <c r="AC947">
        <f>セットアップレポート!AB947</f>
        <v>0</v>
      </c>
      <c r="AD947">
        <f>セットアップレポート!AC947</f>
        <v>0</v>
      </c>
      <c r="AE947">
        <f>セットアップレポート!AD947</f>
        <v>0</v>
      </c>
      <c r="AF947">
        <f>セットアップレポート!AE947</f>
        <v>0</v>
      </c>
      <c r="AG947">
        <f>セットアップレポート!AF947</f>
        <v>0</v>
      </c>
      <c r="AH947">
        <f>セットアップレポート!AG947</f>
        <v>0</v>
      </c>
    </row>
    <row r="948" spans="1:34" x14ac:dyDescent="0.45">
      <c r="A948" t="str">
        <f t="shared" si="14"/>
        <v>000</v>
      </c>
      <c r="B948">
        <f>セットアップレポート!A948</f>
        <v>0</v>
      </c>
      <c r="C948">
        <f>セットアップレポート!B948</f>
        <v>0</v>
      </c>
      <c r="D948">
        <f>セットアップレポート!C948</f>
        <v>0</v>
      </c>
      <c r="E948">
        <f>セットアップレポート!D948</f>
        <v>0</v>
      </c>
      <c r="F948">
        <f>セットアップレポート!E948</f>
        <v>0</v>
      </c>
      <c r="G948">
        <f>セットアップレポート!F948</f>
        <v>0</v>
      </c>
      <c r="H948">
        <f>セットアップレポート!G948</f>
        <v>0</v>
      </c>
      <c r="I948">
        <f>セットアップレポート!H948</f>
        <v>0</v>
      </c>
      <c r="J948">
        <f>セットアップレポート!I948</f>
        <v>0</v>
      </c>
      <c r="K948">
        <f>セットアップレポート!J948</f>
        <v>0</v>
      </c>
      <c r="L948">
        <f>セットアップレポート!K948</f>
        <v>0</v>
      </c>
      <c r="M948">
        <f>セットアップレポート!L948</f>
        <v>0</v>
      </c>
      <c r="N948">
        <f>セットアップレポート!M948</f>
        <v>0</v>
      </c>
      <c r="O948">
        <f>セットアップレポート!N948</f>
        <v>0</v>
      </c>
      <c r="P948">
        <f>セットアップレポート!O948</f>
        <v>0</v>
      </c>
      <c r="Q948">
        <f>セットアップレポート!P948</f>
        <v>0</v>
      </c>
      <c r="R948">
        <f>セットアップレポート!Q948</f>
        <v>0</v>
      </c>
      <c r="S948">
        <f>セットアップレポート!R948</f>
        <v>0</v>
      </c>
      <c r="T948">
        <f>セットアップレポート!S948</f>
        <v>0</v>
      </c>
      <c r="U948">
        <f>セットアップレポート!T948</f>
        <v>0</v>
      </c>
      <c r="V948">
        <f>セットアップレポート!U948</f>
        <v>0</v>
      </c>
      <c r="W948">
        <f>セットアップレポート!V948</f>
        <v>0</v>
      </c>
      <c r="X948">
        <f>セットアップレポート!W948</f>
        <v>0</v>
      </c>
      <c r="Y948">
        <f>セットアップレポート!X948</f>
        <v>0</v>
      </c>
      <c r="Z948">
        <f>セットアップレポート!Y948</f>
        <v>0</v>
      </c>
      <c r="AA948">
        <f>セットアップレポート!Z948</f>
        <v>0</v>
      </c>
      <c r="AB948">
        <f>セットアップレポート!AA948</f>
        <v>0</v>
      </c>
      <c r="AC948">
        <f>セットアップレポート!AB948</f>
        <v>0</v>
      </c>
      <c r="AD948">
        <f>セットアップレポート!AC948</f>
        <v>0</v>
      </c>
      <c r="AE948">
        <f>セットアップレポート!AD948</f>
        <v>0</v>
      </c>
      <c r="AF948">
        <f>セットアップレポート!AE948</f>
        <v>0</v>
      </c>
      <c r="AG948">
        <f>セットアップレポート!AF948</f>
        <v>0</v>
      </c>
      <c r="AH948">
        <f>セットアップレポート!AG948</f>
        <v>0</v>
      </c>
    </row>
    <row r="949" spans="1:34" x14ac:dyDescent="0.45">
      <c r="A949" t="str">
        <f t="shared" si="14"/>
        <v>000</v>
      </c>
      <c r="B949">
        <f>セットアップレポート!A949</f>
        <v>0</v>
      </c>
      <c r="C949">
        <f>セットアップレポート!B949</f>
        <v>0</v>
      </c>
      <c r="D949">
        <f>セットアップレポート!C949</f>
        <v>0</v>
      </c>
      <c r="E949">
        <f>セットアップレポート!D949</f>
        <v>0</v>
      </c>
      <c r="F949">
        <f>セットアップレポート!E949</f>
        <v>0</v>
      </c>
      <c r="G949">
        <f>セットアップレポート!F949</f>
        <v>0</v>
      </c>
      <c r="H949">
        <f>セットアップレポート!G949</f>
        <v>0</v>
      </c>
      <c r="I949">
        <f>セットアップレポート!H949</f>
        <v>0</v>
      </c>
      <c r="J949">
        <f>セットアップレポート!I949</f>
        <v>0</v>
      </c>
      <c r="K949">
        <f>セットアップレポート!J949</f>
        <v>0</v>
      </c>
      <c r="L949">
        <f>セットアップレポート!K949</f>
        <v>0</v>
      </c>
      <c r="M949">
        <f>セットアップレポート!L949</f>
        <v>0</v>
      </c>
      <c r="N949">
        <f>セットアップレポート!M949</f>
        <v>0</v>
      </c>
      <c r="O949">
        <f>セットアップレポート!N949</f>
        <v>0</v>
      </c>
      <c r="P949">
        <f>セットアップレポート!O949</f>
        <v>0</v>
      </c>
      <c r="Q949">
        <f>セットアップレポート!P949</f>
        <v>0</v>
      </c>
      <c r="R949">
        <f>セットアップレポート!Q949</f>
        <v>0</v>
      </c>
      <c r="S949">
        <f>セットアップレポート!R949</f>
        <v>0</v>
      </c>
      <c r="T949">
        <f>セットアップレポート!S949</f>
        <v>0</v>
      </c>
      <c r="U949">
        <f>セットアップレポート!T949</f>
        <v>0</v>
      </c>
      <c r="V949">
        <f>セットアップレポート!U949</f>
        <v>0</v>
      </c>
      <c r="W949">
        <f>セットアップレポート!V949</f>
        <v>0</v>
      </c>
      <c r="X949">
        <f>セットアップレポート!W949</f>
        <v>0</v>
      </c>
      <c r="Y949">
        <f>セットアップレポート!X949</f>
        <v>0</v>
      </c>
      <c r="Z949">
        <f>セットアップレポート!Y949</f>
        <v>0</v>
      </c>
      <c r="AA949">
        <f>セットアップレポート!Z949</f>
        <v>0</v>
      </c>
      <c r="AB949">
        <f>セットアップレポート!AA949</f>
        <v>0</v>
      </c>
      <c r="AC949">
        <f>セットアップレポート!AB949</f>
        <v>0</v>
      </c>
      <c r="AD949">
        <f>セットアップレポート!AC949</f>
        <v>0</v>
      </c>
      <c r="AE949">
        <f>セットアップレポート!AD949</f>
        <v>0</v>
      </c>
      <c r="AF949">
        <f>セットアップレポート!AE949</f>
        <v>0</v>
      </c>
      <c r="AG949">
        <f>セットアップレポート!AF949</f>
        <v>0</v>
      </c>
      <c r="AH949">
        <f>セットアップレポート!AG949</f>
        <v>0</v>
      </c>
    </row>
    <row r="950" spans="1:34" x14ac:dyDescent="0.45">
      <c r="A950" t="str">
        <f t="shared" si="14"/>
        <v>000</v>
      </c>
      <c r="B950">
        <f>セットアップレポート!A950</f>
        <v>0</v>
      </c>
      <c r="C950">
        <f>セットアップレポート!B950</f>
        <v>0</v>
      </c>
      <c r="D950">
        <f>セットアップレポート!C950</f>
        <v>0</v>
      </c>
      <c r="E950">
        <f>セットアップレポート!D950</f>
        <v>0</v>
      </c>
      <c r="F950">
        <f>セットアップレポート!E950</f>
        <v>0</v>
      </c>
      <c r="G950">
        <f>セットアップレポート!F950</f>
        <v>0</v>
      </c>
      <c r="H950">
        <f>セットアップレポート!G950</f>
        <v>0</v>
      </c>
      <c r="I950">
        <f>セットアップレポート!H950</f>
        <v>0</v>
      </c>
      <c r="J950">
        <f>セットアップレポート!I950</f>
        <v>0</v>
      </c>
      <c r="K950">
        <f>セットアップレポート!J950</f>
        <v>0</v>
      </c>
      <c r="L950">
        <f>セットアップレポート!K950</f>
        <v>0</v>
      </c>
      <c r="M950">
        <f>セットアップレポート!L950</f>
        <v>0</v>
      </c>
      <c r="N950">
        <f>セットアップレポート!M950</f>
        <v>0</v>
      </c>
      <c r="O950">
        <f>セットアップレポート!N950</f>
        <v>0</v>
      </c>
      <c r="P950">
        <f>セットアップレポート!O950</f>
        <v>0</v>
      </c>
      <c r="Q950">
        <f>セットアップレポート!P950</f>
        <v>0</v>
      </c>
      <c r="R950">
        <f>セットアップレポート!Q950</f>
        <v>0</v>
      </c>
      <c r="S950">
        <f>セットアップレポート!R950</f>
        <v>0</v>
      </c>
      <c r="T950">
        <f>セットアップレポート!S950</f>
        <v>0</v>
      </c>
      <c r="U950">
        <f>セットアップレポート!T950</f>
        <v>0</v>
      </c>
      <c r="V950">
        <f>セットアップレポート!U950</f>
        <v>0</v>
      </c>
      <c r="W950">
        <f>セットアップレポート!V950</f>
        <v>0</v>
      </c>
      <c r="X950">
        <f>セットアップレポート!W950</f>
        <v>0</v>
      </c>
      <c r="Y950">
        <f>セットアップレポート!X950</f>
        <v>0</v>
      </c>
      <c r="Z950">
        <f>セットアップレポート!Y950</f>
        <v>0</v>
      </c>
      <c r="AA950">
        <f>セットアップレポート!Z950</f>
        <v>0</v>
      </c>
      <c r="AB950">
        <f>セットアップレポート!AA950</f>
        <v>0</v>
      </c>
      <c r="AC950">
        <f>セットアップレポート!AB950</f>
        <v>0</v>
      </c>
      <c r="AD950">
        <f>セットアップレポート!AC950</f>
        <v>0</v>
      </c>
      <c r="AE950">
        <f>セットアップレポート!AD950</f>
        <v>0</v>
      </c>
      <c r="AF950">
        <f>セットアップレポート!AE950</f>
        <v>0</v>
      </c>
      <c r="AG950">
        <f>セットアップレポート!AF950</f>
        <v>0</v>
      </c>
      <c r="AH950">
        <f>セットアップレポート!AG950</f>
        <v>0</v>
      </c>
    </row>
    <row r="951" spans="1:34" x14ac:dyDescent="0.45">
      <c r="A951" t="str">
        <f t="shared" si="14"/>
        <v>000</v>
      </c>
      <c r="B951">
        <f>セットアップレポート!A951</f>
        <v>0</v>
      </c>
      <c r="C951">
        <f>セットアップレポート!B951</f>
        <v>0</v>
      </c>
      <c r="D951">
        <f>セットアップレポート!C951</f>
        <v>0</v>
      </c>
      <c r="E951">
        <f>セットアップレポート!D951</f>
        <v>0</v>
      </c>
      <c r="F951">
        <f>セットアップレポート!E951</f>
        <v>0</v>
      </c>
      <c r="G951">
        <f>セットアップレポート!F951</f>
        <v>0</v>
      </c>
      <c r="H951">
        <f>セットアップレポート!G951</f>
        <v>0</v>
      </c>
      <c r="I951">
        <f>セットアップレポート!H951</f>
        <v>0</v>
      </c>
      <c r="J951">
        <f>セットアップレポート!I951</f>
        <v>0</v>
      </c>
      <c r="K951">
        <f>セットアップレポート!J951</f>
        <v>0</v>
      </c>
      <c r="L951">
        <f>セットアップレポート!K951</f>
        <v>0</v>
      </c>
      <c r="M951">
        <f>セットアップレポート!L951</f>
        <v>0</v>
      </c>
      <c r="N951">
        <f>セットアップレポート!M951</f>
        <v>0</v>
      </c>
      <c r="O951">
        <f>セットアップレポート!N951</f>
        <v>0</v>
      </c>
      <c r="P951">
        <f>セットアップレポート!O951</f>
        <v>0</v>
      </c>
      <c r="Q951">
        <f>セットアップレポート!P951</f>
        <v>0</v>
      </c>
      <c r="R951">
        <f>セットアップレポート!Q951</f>
        <v>0</v>
      </c>
      <c r="S951">
        <f>セットアップレポート!R951</f>
        <v>0</v>
      </c>
      <c r="T951">
        <f>セットアップレポート!S951</f>
        <v>0</v>
      </c>
      <c r="U951">
        <f>セットアップレポート!T951</f>
        <v>0</v>
      </c>
      <c r="V951">
        <f>セットアップレポート!U951</f>
        <v>0</v>
      </c>
      <c r="W951">
        <f>セットアップレポート!V951</f>
        <v>0</v>
      </c>
      <c r="X951">
        <f>セットアップレポート!W951</f>
        <v>0</v>
      </c>
      <c r="Y951">
        <f>セットアップレポート!X951</f>
        <v>0</v>
      </c>
      <c r="Z951">
        <f>セットアップレポート!Y951</f>
        <v>0</v>
      </c>
      <c r="AA951">
        <f>セットアップレポート!Z951</f>
        <v>0</v>
      </c>
      <c r="AB951">
        <f>セットアップレポート!AA951</f>
        <v>0</v>
      </c>
      <c r="AC951">
        <f>セットアップレポート!AB951</f>
        <v>0</v>
      </c>
      <c r="AD951">
        <f>セットアップレポート!AC951</f>
        <v>0</v>
      </c>
      <c r="AE951">
        <f>セットアップレポート!AD951</f>
        <v>0</v>
      </c>
      <c r="AF951">
        <f>セットアップレポート!AE951</f>
        <v>0</v>
      </c>
      <c r="AG951">
        <f>セットアップレポート!AF951</f>
        <v>0</v>
      </c>
      <c r="AH951">
        <f>セットアップレポート!AG951</f>
        <v>0</v>
      </c>
    </row>
    <row r="952" spans="1:34" x14ac:dyDescent="0.45">
      <c r="A952" t="str">
        <f t="shared" si="14"/>
        <v>000</v>
      </c>
      <c r="B952">
        <f>セットアップレポート!A952</f>
        <v>0</v>
      </c>
      <c r="C952">
        <f>セットアップレポート!B952</f>
        <v>0</v>
      </c>
      <c r="D952">
        <f>セットアップレポート!C952</f>
        <v>0</v>
      </c>
      <c r="E952">
        <f>セットアップレポート!D952</f>
        <v>0</v>
      </c>
      <c r="F952">
        <f>セットアップレポート!E952</f>
        <v>0</v>
      </c>
      <c r="G952">
        <f>セットアップレポート!F952</f>
        <v>0</v>
      </c>
      <c r="H952">
        <f>セットアップレポート!G952</f>
        <v>0</v>
      </c>
      <c r="I952">
        <f>セットアップレポート!H952</f>
        <v>0</v>
      </c>
      <c r="J952">
        <f>セットアップレポート!I952</f>
        <v>0</v>
      </c>
      <c r="K952">
        <f>セットアップレポート!J952</f>
        <v>0</v>
      </c>
      <c r="L952">
        <f>セットアップレポート!K952</f>
        <v>0</v>
      </c>
      <c r="M952">
        <f>セットアップレポート!L952</f>
        <v>0</v>
      </c>
      <c r="N952">
        <f>セットアップレポート!M952</f>
        <v>0</v>
      </c>
      <c r="O952">
        <f>セットアップレポート!N952</f>
        <v>0</v>
      </c>
      <c r="P952">
        <f>セットアップレポート!O952</f>
        <v>0</v>
      </c>
      <c r="Q952">
        <f>セットアップレポート!P952</f>
        <v>0</v>
      </c>
      <c r="R952">
        <f>セットアップレポート!Q952</f>
        <v>0</v>
      </c>
      <c r="S952">
        <f>セットアップレポート!R952</f>
        <v>0</v>
      </c>
      <c r="T952">
        <f>セットアップレポート!S952</f>
        <v>0</v>
      </c>
      <c r="U952">
        <f>セットアップレポート!T952</f>
        <v>0</v>
      </c>
      <c r="V952">
        <f>セットアップレポート!U952</f>
        <v>0</v>
      </c>
      <c r="W952">
        <f>セットアップレポート!V952</f>
        <v>0</v>
      </c>
      <c r="X952">
        <f>セットアップレポート!W952</f>
        <v>0</v>
      </c>
      <c r="Y952">
        <f>セットアップレポート!X952</f>
        <v>0</v>
      </c>
      <c r="Z952">
        <f>セットアップレポート!Y952</f>
        <v>0</v>
      </c>
      <c r="AA952">
        <f>セットアップレポート!Z952</f>
        <v>0</v>
      </c>
      <c r="AB952">
        <f>セットアップレポート!AA952</f>
        <v>0</v>
      </c>
      <c r="AC952">
        <f>セットアップレポート!AB952</f>
        <v>0</v>
      </c>
      <c r="AD952">
        <f>セットアップレポート!AC952</f>
        <v>0</v>
      </c>
      <c r="AE952">
        <f>セットアップレポート!AD952</f>
        <v>0</v>
      </c>
      <c r="AF952">
        <f>セットアップレポート!AE952</f>
        <v>0</v>
      </c>
      <c r="AG952">
        <f>セットアップレポート!AF952</f>
        <v>0</v>
      </c>
      <c r="AH952">
        <f>セットアップレポート!AG952</f>
        <v>0</v>
      </c>
    </row>
    <row r="953" spans="1:34" x14ac:dyDescent="0.45">
      <c r="A953" t="str">
        <f t="shared" si="14"/>
        <v>000</v>
      </c>
      <c r="B953">
        <f>セットアップレポート!A953</f>
        <v>0</v>
      </c>
      <c r="C953">
        <f>セットアップレポート!B953</f>
        <v>0</v>
      </c>
      <c r="D953">
        <f>セットアップレポート!C953</f>
        <v>0</v>
      </c>
      <c r="E953">
        <f>セットアップレポート!D953</f>
        <v>0</v>
      </c>
      <c r="F953">
        <f>セットアップレポート!E953</f>
        <v>0</v>
      </c>
      <c r="G953">
        <f>セットアップレポート!F953</f>
        <v>0</v>
      </c>
      <c r="H953">
        <f>セットアップレポート!G953</f>
        <v>0</v>
      </c>
      <c r="I953">
        <f>セットアップレポート!H953</f>
        <v>0</v>
      </c>
      <c r="J953">
        <f>セットアップレポート!I953</f>
        <v>0</v>
      </c>
      <c r="K953">
        <f>セットアップレポート!J953</f>
        <v>0</v>
      </c>
      <c r="L953">
        <f>セットアップレポート!K953</f>
        <v>0</v>
      </c>
      <c r="M953">
        <f>セットアップレポート!L953</f>
        <v>0</v>
      </c>
      <c r="N953">
        <f>セットアップレポート!M953</f>
        <v>0</v>
      </c>
      <c r="O953">
        <f>セットアップレポート!N953</f>
        <v>0</v>
      </c>
      <c r="P953">
        <f>セットアップレポート!O953</f>
        <v>0</v>
      </c>
      <c r="Q953">
        <f>セットアップレポート!P953</f>
        <v>0</v>
      </c>
      <c r="R953">
        <f>セットアップレポート!Q953</f>
        <v>0</v>
      </c>
      <c r="S953">
        <f>セットアップレポート!R953</f>
        <v>0</v>
      </c>
      <c r="T953">
        <f>セットアップレポート!S953</f>
        <v>0</v>
      </c>
      <c r="U953">
        <f>セットアップレポート!T953</f>
        <v>0</v>
      </c>
      <c r="V953">
        <f>セットアップレポート!U953</f>
        <v>0</v>
      </c>
      <c r="W953">
        <f>セットアップレポート!V953</f>
        <v>0</v>
      </c>
      <c r="X953">
        <f>セットアップレポート!W953</f>
        <v>0</v>
      </c>
      <c r="Y953">
        <f>セットアップレポート!X953</f>
        <v>0</v>
      </c>
      <c r="Z953">
        <f>セットアップレポート!Y953</f>
        <v>0</v>
      </c>
      <c r="AA953">
        <f>セットアップレポート!Z953</f>
        <v>0</v>
      </c>
      <c r="AB953">
        <f>セットアップレポート!AA953</f>
        <v>0</v>
      </c>
      <c r="AC953">
        <f>セットアップレポート!AB953</f>
        <v>0</v>
      </c>
      <c r="AD953">
        <f>セットアップレポート!AC953</f>
        <v>0</v>
      </c>
      <c r="AE953">
        <f>セットアップレポート!AD953</f>
        <v>0</v>
      </c>
      <c r="AF953">
        <f>セットアップレポート!AE953</f>
        <v>0</v>
      </c>
      <c r="AG953">
        <f>セットアップレポート!AF953</f>
        <v>0</v>
      </c>
      <c r="AH953">
        <f>セットアップレポート!AG953</f>
        <v>0</v>
      </c>
    </row>
    <row r="954" spans="1:34" x14ac:dyDescent="0.45">
      <c r="A954" t="str">
        <f t="shared" si="14"/>
        <v>000</v>
      </c>
      <c r="B954">
        <f>セットアップレポート!A954</f>
        <v>0</v>
      </c>
      <c r="C954">
        <f>セットアップレポート!B954</f>
        <v>0</v>
      </c>
      <c r="D954">
        <f>セットアップレポート!C954</f>
        <v>0</v>
      </c>
      <c r="E954">
        <f>セットアップレポート!D954</f>
        <v>0</v>
      </c>
      <c r="F954">
        <f>セットアップレポート!E954</f>
        <v>0</v>
      </c>
      <c r="G954">
        <f>セットアップレポート!F954</f>
        <v>0</v>
      </c>
      <c r="H954">
        <f>セットアップレポート!G954</f>
        <v>0</v>
      </c>
      <c r="I954">
        <f>セットアップレポート!H954</f>
        <v>0</v>
      </c>
      <c r="J954">
        <f>セットアップレポート!I954</f>
        <v>0</v>
      </c>
      <c r="K954">
        <f>セットアップレポート!J954</f>
        <v>0</v>
      </c>
      <c r="L954">
        <f>セットアップレポート!K954</f>
        <v>0</v>
      </c>
      <c r="M954">
        <f>セットアップレポート!L954</f>
        <v>0</v>
      </c>
      <c r="N954">
        <f>セットアップレポート!M954</f>
        <v>0</v>
      </c>
      <c r="O954">
        <f>セットアップレポート!N954</f>
        <v>0</v>
      </c>
      <c r="P954">
        <f>セットアップレポート!O954</f>
        <v>0</v>
      </c>
      <c r="Q954">
        <f>セットアップレポート!P954</f>
        <v>0</v>
      </c>
      <c r="R954">
        <f>セットアップレポート!Q954</f>
        <v>0</v>
      </c>
      <c r="S954">
        <f>セットアップレポート!R954</f>
        <v>0</v>
      </c>
      <c r="T954">
        <f>セットアップレポート!S954</f>
        <v>0</v>
      </c>
      <c r="U954">
        <f>セットアップレポート!T954</f>
        <v>0</v>
      </c>
      <c r="V954">
        <f>セットアップレポート!U954</f>
        <v>0</v>
      </c>
      <c r="W954">
        <f>セットアップレポート!V954</f>
        <v>0</v>
      </c>
      <c r="X954">
        <f>セットアップレポート!W954</f>
        <v>0</v>
      </c>
      <c r="Y954">
        <f>セットアップレポート!X954</f>
        <v>0</v>
      </c>
      <c r="Z954">
        <f>セットアップレポート!Y954</f>
        <v>0</v>
      </c>
      <c r="AA954">
        <f>セットアップレポート!Z954</f>
        <v>0</v>
      </c>
      <c r="AB954">
        <f>セットアップレポート!AA954</f>
        <v>0</v>
      </c>
      <c r="AC954">
        <f>セットアップレポート!AB954</f>
        <v>0</v>
      </c>
      <c r="AD954">
        <f>セットアップレポート!AC954</f>
        <v>0</v>
      </c>
      <c r="AE954">
        <f>セットアップレポート!AD954</f>
        <v>0</v>
      </c>
      <c r="AF954">
        <f>セットアップレポート!AE954</f>
        <v>0</v>
      </c>
      <c r="AG954">
        <f>セットアップレポート!AF954</f>
        <v>0</v>
      </c>
      <c r="AH954">
        <f>セットアップレポート!AG954</f>
        <v>0</v>
      </c>
    </row>
    <row r="955" spans="1:34" x14ac:dyDescent="0.45">
      <c r="A955" t="str">
        <f t="shared" si="14"/>
        <v>000</v>
      </c>
      <c r="B955">
        <f>セットアップレポート!A955</f>
        <v>0</v>
      </c>
      <c r="C955">
        <f>セットアップレポート!B955</f>
        <v>0</v>
      </c>
      <c r="D955">
        <f>セットアップレポート!C955</f>
        <v>0</v>
      </c>
      <c r="E955">
        <f>セットアップレポート!D955</f>
        <v>0</v>
      </c>
      <c r="F955">
        <f>セットアップレポート!E955</f>
        <v>0</v>
      </c>
      <c r="G955">
        <f>セットアップレポート!F955</f>
        <v>0</v>
      </c>
      <c r="H955">
        <f>セットアップレポート!G955</f>
        <v>0</v>
      </c>
      <c r="I955">
        <f>セットアップレポート!H955</f>
        <v>0</v>
      </c>
      <c r="J955">
        <f>セットアップレポート!I955</f>
        <v>0</v>
      </c>
      <c r="K955">
        <f>セットアップレポート!J955</f>
        <v>0</v>
      </c>
      <c r="L955">
        <f>セットアップレポート!K955</f>
        <v>0</v>
      </c>
      <c r="M955">
        <f>セットアップレポート!L955</f>
        <v>0</v>
      </c>
      <c r="N955">
        <f>セットアップレポート!M955</f>
        <v>0</v>
      </c>
      <c r="O955">
        <f>セットアップレポート!N955</f>
        <v>0</v>
      </c>
      <c r="P955">
        <f>セットアップレポート!O955</f>
        <v>0</v>
      </c>
      <c r="Q955">
        <f>セットアップレポート!P955</f>
        <v>0</v>
      </c>
      <c r="R955">
        <f>セットアップレポート!Q955</f>
        <v>0</v>
      </c>
      <c r="S955">
        <f>セットアップレポート!R955</f>
        <v>0</v>
      </c>
      <c r="T955">
        <f>セットアップレポート!S955</f>
        <v>0</v>
      </c>
      <c r="U955">
        <f>セットアップレポート!T955</f>
        <v>0</v>
      </c>
      <c r="V955">
        <f>セットアップレポート!U955</f>
        <v>0</v>
      </c>
      <c r="W955">
        <f>セットアップレポート!V955</f>
        <v>0</v>
      </c>
      <c r="X955">
        <f>セットアップレポート!W955</f>
        <v>0</v>
      </c>
      <c r="Y955">
        <f>セットアップレポート!X955</f>
        <v>0</v>
      </c>
      <c r="Z955">
        <f>セットアップレポート!Y955</f>
        <v>0</v>
      </c>
      <c r="AA955">
        <f>セットアップレポート!Z955</f>
        <v>0</v>
      </c>
      <c r="AB955">
        <f>セットアップレポート!AA955</f>
        <v>0</v>
      </c>
      <c r="AC955">
        <f>セットアップレポート!AB955</f>
        <v>0</v>
      </c>
      <c r="AD955">
        <f>セットアップレポート!AC955</f>
        <v>0</v>
      </c>
      <c r="AE955">
        <f>セットアップレポート!AD955</f>
        <v>0</v>
      </c>
      <c r="AF955">
        <f>セットアップレポート!AE955</f>
        <v>0</v>
      </c>
      <c r="AG955">
        <f>セットアップレポート!AF955</f>
        <v>0</v>
      </c>
      <c r="AH955">
        <f>セットアップレポート!AG955</f>
        <v>0</v>
      </c>
    </row>
    <row r="956" spans="1:34" x14ac:dyDescent="0.45">
      <c r="A956" t="str">
        <f t="shared" si="14"/>
        <v>000</v>
      </c>
      <c r="B956">
        <f>セットアップレポート!A956</f>
        <v>0</v>
      </c>
      <c r="C956">
        <f>セットアップレポート!B956</f>
        <v>0</v>
      </c>
      <c r="D956">
        <f>セットアップレポート!C956</f>
        <v>0</v>
      </c>
      <c r="E956">
        <f>セットアップレポート!D956</f>
        <v>0</v>
      </c>
      <c r="F956">
        <f>セットアップレポート!E956</f>
        <v>0</v>
      </c>
      <c r="G956">
        <f>セットアップレポート!F956</f>
        <v>0</v>
      </c>
      <c r="H956">
        <f>セットアップレポート!G956</f>
        <v>0</v>
      </c>
      <c r="I956">
        <f>セットアップレポート!H956</f>
        <v>0</v>
      </c>
      <c r="J956">
        <f>セットアップレポート!I956</f>
        <v>0</v>
      </c>
      <c r="K956">
        <f>セットアップレポート!J956</f>
        <v>0</v>
      </c>
      <c r="L956">
        <f>セットアップレポート!K956</f>
        <v>0</v>
      </c>
      <c r="M956">
        <f>セットアップレポート!L956</f>
        <v>0</v>
      </c>
      <c r="N956">
        <f>セットアップレポート!M956</f>
        <v>0</v>
      </c>
      <c r="O956">
        <f>セットアップレポート!N956</f>
        <v>0</v>
      </c>
      <c r="P956">
        <f>セットアップレポート!O956</f>
        <v>0</v>
      </c>
      <c r="Q956">
        <f>セットアップレポート!P956</f>
        <v>0</v>
      </c>
      <c r="R956">
        <f>セットアップレポート!Q956</f>
        <v>0</v>
      </c>
      <c r="S956">
        <f>セットアップレポート!R956</f>
        <v>0</v>
      </c>
      <c r="T956">
        <f>セットアップレポート!S956</f>
        <v>0</v>
      </c>
      <c r="U956">
        <f>セットアップレポート!T956</f>
        <v>0</v>
      </c>
      <c r="V956">
        <f>セットアップレポート!U956</f>
        <v>0</v>
      </c>
      <c r="W956">
        <f>セットアップレポート!V956</f>
        <v>0</v>
      </c>
      <c r="X956">
        <f>セットアップレポート!W956</f>
        <v>0</v>
      </c>
      <c r="Y956">
        <f>セットアップレポート!X956</f>
        <v>0</v>
      </c>
      <c r="Z956">
        <f>セットアップレポート!Y956</f>
        <v>0</v>
      </c>
      <c r="AA956">
        <f>セットアップレポート!Z956</f>
        <v>0</v>
      </c>
      <c r="AB956">
        <f>セットアップレポート!AA956</f>
        <v>0</v>
      </c>
      <c r="AC956">
        <f>セットアップレポート!AB956</f>
        <v>0</v>
      </c>
      <c r="AD956">
        <f>セットアップレポート!AC956</f>
        <v>0</v>
      </c>
      <c r="AE956">
        <f>セットアップレポート!AD956</f>
        <v>0</v>
      </c>
      <c r="AF956">
        <f>セットアップレポート!AE956</f>
        <v>0</v>
      </c>
      <c r="AG956">
        <f>セットアップレポート!AF956</f>
        <v>0</v>
      </c>
      <c r="AH956">
        <f>セットアップレポート!AG956</f>
        <v>0</v>
      </c>
    </row>
    <row r="957" spans="1:34" x14ac:dyDescent="0.45">
      <c r="A957" t="str">
        <f t="shared" si="14"/>
        <v>000</v>
      </c>
      <c r="B957">
        <f>セットアップレポート!A957</f>
        <v>0</v>
      </c>
      <c r="C957">
        <f>セットアップレポート!B957</f>
        <v>0</v>
      </c>
      <c r="D957">
        <f>セットアップレポート!C957</f>
        <v>0</v>
      </c>
      <c r="E957">
        <f>セットアップレポート!D957</f>
        <v>0</v>
      </c>
      <c r="F957">
        <f>セットアップレポート!E957</f>
        <v>0</v>
      </c>
      <c r="G957">
        <f>セットアップレポート!F957</f>
        <v>0</v>
      </c>
      <c r="H957">
        <f>セットアップレポート!G957</f>
        <v>0</v>
      </c>
      <c r="I957">
        <f>セットアップレポート!H957</f>
        <v>0</v>
      </c>
      <c r="J957">
        <f>セットアップレポート!I957</f>
        <v>0</v>
      </c>
      <c r="K957">
        <f>セットアップレポート!J957</f>
        <v>0</v>
      </c>
      <c r="L957">
        <f>セットアップレポート!K957</f>
        <v>0</v>
      </c>
      <c r="M957">
        <f>セットアップレポート!L957</f>
        <v>0</v>
      </c>
      <c r="N957">
        <f>セットアップレポート!M957</f>
        <v>0</v>
      </c>
      <c r="O957">
        <f>セットアップレポート!N957</f>
        <v>0</v>
      </c>
      <c r="P957">
        <f>セットアップレポート!O957</f>
        <v>0</v>
      </c>
      <c r="Q957">
        <f>セットアップレポート!P957</f>
        <v>0</v>
      </c>
      <c r="R957">
        <f>セットアップレポート!Q957</f>
        <v>0</v>
      </c>
      <c r="S957">
        <f>セットアップレポート!R957</f>
        <v>0</v>
      </c>
      <c r="T957">
        <f>セットアップレポート!S957</f>
        <v>0</v>
      </c>
      <c r="U957">
        <f>セットアップレポート!T957</f>
        <v>0</v>
      </c>
      <c r="V957">
        <f>セットアップレポート!U957</f>
        <v>0</v>
      </c>
      <c r="W957">
        <f>セットアップレポート!V957</f>
        <v>0</v>
      </c>
      <c r="X957">
        <f>セットアップレポート!W957</f>
        <v>0</v>
      </c>
      <c r="Y957">
        <f>セットアップレポート!X957</f>
        <v>0</v>
      </c>
      <c r="Z957">
        <f>セットアップレポート!Y957</f>
        <v>0</v>
      </c>
      <c r="AA957">
        <f>セットアップレポート!Z957</f>
        <v>0</v>
      </c>
      <c r="AB957">
        <f>セットアップレポート!AA957</f>
        <v>0</v>
      </c>
      <c r="AC957">
        <f>セットアップレポート!AB957</f>
        <v>0</v>
      </c>
      <c r="AD957">
        <f>セットアップレポート!AC957</f>
        <v>0</v>
      </c>
      <c r="AE957">
        <f>セットアップレポート!AD957</f>
        <v>0</v>
      </c>
      <c r="AF957">
        <f>セットアップレポート!AE957</f>
        <v>0</v>
      </c>
      <c r="AG957">
        <f>セットアップレポート!AF957</f>
        <v>0</v>
      </c>
      <c r="AH957">
        <f>セットアップレポート!AG957</f>
        <v>0</v>
      </c>
    </row>
    <row r="958" spans="1:34" x14ac:dyDescent="0.45">
      <c r="A958" t="str">
        <f t="shared" si="14"/>
        <v>000</v>
      </c>
      <c r="B958">
        <f>セットアップレポート!A958</f>
        <v>0</v>
      </c>
      <c r="C958">
        <f>セットアップレポート!B958</f>
        <v>0</v>
      </c>
      <c r="D958">
        <f>セットアップレポート!C958</f>
        <v>0</v>
      </c>
      <c r="E958">
        <f>セットアップレポート!D958</f>
        <v>0</v>
      </c>
      <c r="F958">
        <f>セットアップレポート!E958</f>
        <v>0</v>
      </c>
      <c r="G958">
        <f>セットアップレポート!F958</f>
        <v>0</v>
      </c>
      <c r="H958">
        <f>セットアップレポート!G958</f>
        <v>0</v>
      </c>
      <c r="I958">
        <f>セットアップレポート!H958</f>
        <v>0</v>
      </c>
      <c r="J958">
        <f>セットアップレポート!I958</f>
        <v>0</v>
      </c>
      <c r="K958">
        <f>セットアップレポート!J958</f>
        <v>0</v>
      </c>
      <c r="L958">
        <f>セットアップレポート!K958</f>
        <v>0</v>
      </c>
      <c r="M958">
        <f>セットアップレポート!L958</f>
        <v>0</v>
      </c>
      <c r="N958">
        <f>セットアップレポート!M958</f>
        <v>0</v>
      </c>
      <c r="O958">
        <f>セットアップレポート!N958</f>
        <v>0</v>
      </c>
      <c r="P958">
        <f>セットアップレポート!O958</f>
        <v>0</v>
      </c>
      <c r="Q958">
        <f>セットアップレポート!P958</f>
        <v>0</v>
      </c>
      <c r="R958">
        <f>セットアップレポート!Q958</f>
        <v>0</v>
      </c>
      <c r="S958">
        <f>セットアップレポート!R958</f>
        <v>0</v>
      </c>
      <c r="T958">
        <f>セットアップレポート!S958</f>
        <v>0</v>
      </c>
      <c r="U958">
        <f>セットアップレポート!T958</f>
        <v>0</v>
      </c>
      <c r="V958">
        <f>セットアップレポート!U958</f>
        <v>0</v>
      </c>
      <c r="W958">
        <f>セットアップレポート!V958</f>
        <v>0</v>
      </c>
      <c r="X958">
        <f>セットアップレポート!W958</f>
        <v>0</v>
      </c>
      <c r="Y958">
        <f>セットアップレポート!X958</f>
        <v>0</v>
      </c>
      <c r="Z958">
        <f>セットアップレポート!Y958</f>
        <v>0</v>
      </c>
      <c r="AA958">
        <f>セットアップレポート!Z958</f>
        <v>0</v>
      </c>
      <c r="AB958">
        <f>セットアップレポート!AA958</f>
        <v>0</v>
      </c>
      <c r="AC958">
        <f>セットアップレポート!AB958</f>
        <v>0</v>
      </c>
      <c r="AD958">
        <f>セットアップレポート!AC958</f>
        <v>0</v>
      </c>
      <c r="AE958">
        <f>セットアップレポート!AD958</f>
        <v>0</v>
      </c>
      <c r="AF958">
        <f>セットアップレポート!AE958</f>
        <v>0</v>
      </c>
      <c r="AG958">
        <f>セットアップレポート!AF958</f>
        <v>0</v>
      </c>
      <c r="AH958">
        <f>セットアップレポート!AG958</f>
        <v>0</v>
      </c>
    </row>
    <row r="959" spans="1:34" x14ac:dyDescent="0.45">
      <c r="A959" t="str">
        <f t="shared" si="14"/>
        <v>000</v>
      </c>
      <c r="B959">
        <f>セットアップレポート!A959</f>
        <v>0</v>
      </c>
      <c r="C959">
        <f>セットアップレポート!B959</f>
        <v>0</v>
      </c>
      <c r="D959">
        <f>セットアップレポート!C959</f>
        <v>0</v>
      </c>
      <c r="E959">
        <f>セットアップレポート!D959</f>
        <v>0</v>
      </c>
      <c r="F959">
        <f>セットアップレポート!E959</f>
        <v>0</v>
      </c>
      <c r="G959">
        <f>セットアップレポート!F959</f>
        <v>0</v>
      </c>
      <c r="H959">
        <f>セットアップレポート!G959</f>
        <v>0</v>
      </c>
      <c r="I959">
        <f>セットアップレポート!H959</f>
        <v>0</v>
      </c>
      <c r="J959">
        <f>セットアップレポート!I959</f>
        <v>0</v>
      </c>
      <c r="K959">
        <f>セットアップレポート!J959</f>
        <v>0</v>
      </c>
      <c r="L959">
        <f>セットアップレポート!K959</f>
        <v>0</v>
      </c>
      <c r="M959">
        <f>セットアップレポート!L959</f>
        <v>0</v>
      </c>
      <c r="N959">
        <f>セットアップレポート!M959</f>
        <v>0</v>
      </c>
      <c r="O959">
        <f>セットアップレポート!N959</f>
        <v>0</v>
      </c>
      <c r="P959">
        <f>セットアップレポート!O959</f>
        <v>0</v>
      </c>
      <c r="Q959">
        <f>セットアップレポート!P959</f>
        <v>0</v>
      </c>
      <c r="R959">
        <f>セットアップレポート!Q959</f>
        <v>0</v>
      </c>
      <c r="S959">
        <f>セットアップレポート!R959</f>
        <v>0</v>
      </c>
      <c r="T959">
        <f>セットアップレポート!S959</f>
        <v>0</v>
      </c>
      <c r="U959">
        <f>セットアップレポート!T959</f>
        <v>0</v>
      </c>
      <c r="V959">
        <f>セットアップレポート!U959</f>
        <v>0</v>
      </c>
      <c r="W959">
        <f>セットアップレポート!V959</f>
        <v>0</v>
      </c>
      <c r="X959">
        <f>セットアップレポート!W959</f>
        <v>0</v>
      </c>
      <c r="Y959">
        <f>セットアップレポート!X959</f>
        <v>0</v>
      </c>
      <c r="Z959">
        <f>セットアップレポート!Y959</f>
        <v>0</v>
      </c>
      <c r="AA959">
        <f>セットアップレポート!Z959</f>
        <v>0</v>
      </c>
      <c r="AB959">
        <f>セットアップレポート!AA959</f>
        <v>0</v>
      </c>
      <c r="AC959">
        <f>セットアップレポート!AB959</f>
        <v>0</v>
      </c>
      <c r="AD959">
        <f>セットアップレポート!AC959</f>
        <v>0</v>
      </c>
      <c r="AE959">
        <f>セットアップレポート!AD959</f>
        <v>0</v>
      </c>
      <c r="AF959">
        <f>セットアップレポート!AE959</f>
        <v>0</v>
      </c>
      <c r="AG959">
        <f>セットアップレポート!AF959</f>
        <v>0</v>
      </c>
      <c r="AH959">
        <f>セットアップレポート!AG959</f>
        <v>0</v>
      </c>
    </row>
    <row r="960" spans="1:34" x14ac:dyDescent="0.45">
      <c r="A960" t="str">
        <f t="shared" si="14"/>
        <v>000</v>
      </c>
      <c r="B960">
        <f>セットアップレポート!A960</f>
        <v>0</v>
      </c>
      <c r="C960">
        <f>セットアップレポート!B960</f>
        <v>0</v>
      </c>
      <c r="D960">
        <f>セットアップレポート!C960</f>
        <v>0</v>
      </c>
      <c r="E960">
        <f>セットアップレポート!D960</f>
        <v>0</v>
      </c>
      <c r="F960">
        <f>セットアップレポート!E960</f>
        <v>0</v>
      </c>
      <c r="G960">
        <f>セットアップレポート!F960</f>
        <v>0</v>
      </c>
      <c r="H960">
        <f>セットアップレポート!G960</f>
        <v>0</v>
      </c>
      <c r="I960">
        <f>セットアップレポート!H960</f>
        <v>0</v>
      </c>
      <c r="J960">
        <f>セットアップレポート!I960</f>
        <v>0</v>
      </c>
      <c r="K960">
        <f>セットアップレポート!J960</f>
        <v>0</v>
      </c>
      <c r="L960">
        <f>セットアップレポート!K960</f>
        <v>0</v>
      </c>
      <c r="M960">
        <f>セットアップレポート!L960</f>
        <v>0</v>
      </c>
      <c r="N960">
        <f>セットアップレポート!M960</f>
        <v>0</v>
      </c>
      <c r="O960">
        <f>セットアップレポート!N960</f>
        <v>0</v>
      </c>
      <c r="P960">
        <f>セットアップレポート!O960</f>
        <v>0</v>
      </c>
      <c r="Q960">
        <f>セットアップレポート!P960</f>
        <v>0</v>
      </c>
      <c r="R960">
        <f>セットアップレポート!Q960</f>
        <v>0</v>
      </c>
      <c r="S960">
        <f>セットアップレポート!R960</f>
        <v>0</v>
      </c>
      <c r="T960">
        <f>セットアップレポート!S960</f>
        <v>0</v>
      </c>
      <c r="U960">
        <f>セットアップレポート!T960</f>
        <v>0</v>
      </c>
      <c r="V960">
        <f>セットアップレポート!U960</f>
        <v>0</v>
      </c>
      <c r="W960">
        <f>セットアップレポート!V960</f>
        <v>0</v>
      </c>
      <c r="X960">
        <f>セットアップレポート!W960</f>
        <v>0</v>
      </c>
      <c r="Y960">
        <f>セットアップレポート!X960</f>
        <v>0</v>
      </c>
      <c r="Z960">
        <f>セットアップレポート!Y960</f>
        <v>0</v>
      </c>
      <c r="AA960">
        <f>セットアップレポート!Z960</f>
        <v>0</v>
      </c>
      <c r="AB960">
        <f>セットアップレポート!AA960</f>
        <v>0</v>
      </c>
      <c r="AC960">
        <f>セットアップレポート!AB960</f>
        <v>0</v>
      </c>
      <c r="AD960">
        <f>セットアップレポート!AC960</f>
        <v>0</v>
      </c>
      <c r="AE960">
        <f>セットアップレポート!AD960</f>
        <v>0</v>
      </c>
      <c r="AF960">
        <f>セットアップレポート!AE960</f>
        <v>0</v>
      </c>
      <c r="AG960">
        <f>セットアップレポート!AF960</f>
        <v>0</v>
      </c>
      <c r="AH960">
        <f>セットアップレポート!AG960</f>
        <v>0</v>
      </c>
    </row>
    <row r="961" spans="1:34" x14ac:dyDescent="0.45">
      <c r="A961" t="str">
        <f t="shared" si="14"/>
        <v>000</v>
      </c>
      <c r="B961">
        <f>セットアップレポート!A961</f>
        <v>0</v>
      </c>
      <c r="C961">
        <f>セットアップレポート!B961</f>
        <v>0</v>
      </c>
      <c r="D961">
        <f>セットアップレポート!C961</f>
        <v>0</v>
      </c>
      <c r="E961">
        <f>セットアップレポート!D961</f>
        <v>0</v>
      </c>
      <c r="F961">
        <f>セットアップレポート!E961</f>
        <v>0</v>
      </c>
      <c r="G961">
        <f>セットアップレポート!F961</f>
        <v>0</v>
      </c>
      <c r="H961">
        <f>セットアップレポート!G961</f>
        <v>0</v>
      </c>
      <c r="I961">
        <f>セットアップレポート!H961</f>
        <v>0</v>
      </c>
      <c r="J961">
        <f>セットアップレポート!I961</f>
        <v>0</v>
      </c>
      <c r="K961">
        <f>セットアップレポート!J961</f>
        <v>0</v>
      </c>
      <c r="L961">
        <f>セットアップレポート!K961</f>
        <v>0</v>
      </c>
      <c r="M961">
        <f>セットアップレポート!L961</f>
        <v>0</v>
      </c>
      <c r="N961">
        <f>セットアップレポート!M961</f>
        <v>0</v>
      </c>
      <c r="O961">
        <f>セットアップレポート!N961</f>
        <v>0</v>
      </c>
      <c r="P961">
        <f>セットアップレポート!O961</f>
        <v>0</v>
      </c>
      <c r="Q961">
        <f>セットアップレポート!P961</f>
        <v>0</v>
      </c>
      <c r="R961">
        <f>セットアップレポート!Q961</f>
        <v>0</v>
      </c>
      <c r="S961">
        <f>セットアップレポート!R961</f>
        <v>0</v>
      </c>
      <c r="T961">
        <f>セットアップレポート!S961</f>
        <v>0</v>
      </c>
      <c r="U961">
        <f>セットアップレポート!T961</f>
        <v>0</v>
      </c>
      <c r="V961">
        <f>セットアップレポート!U961</f>
        <v>0</v>
      </c>
      <c r="W961">
        <f>セットアップレポート!V961</f>
        <v>0</v>
      </c>
      <c r="X961">
        <f>セットアップレポート!W961</f>
        <v>0</v>
      </c>
      <c r="Y961">
        <f>セットアップレポート!X961</f>
        <v>0</v>
      </c>
      <c r="Z961">
        <f>セットアップレポート!Y961</f>
        <v>0</v>
      </c>
      <c r="AA961">
        <f>セットアップレポート!Z961</f>
        <v>0</v>
      </c>
      <c r="AB961">
        <f>セットアップレポート!AA961</f>
        <v>0</v>
      </c>
      <c r="AC961">
        <f>セットアップレポート!AB961</f>
        <v>0</v>
      </c>
      <c r="AD961">
        <f>セットアップレポート!AC961</f>
        <v>0</v>
      </c>
      <c r="AE961">
        <f>セットアップレポート!AD961</f>
        <v>0</v>
      </c>
      <c r="AF961">
        <f>セットアップレポート!AE961</f>
        <v>0</v>
      </c>
      <c r="AG961">
        <f>セットアップレポート!AF961</f>
        <v>0</v>
      </c>
      <c r="AH961">
        <f>セットアップレポート!AG961</f>
        <v>0</v>
      </c>
    </row>
    <row r="962" spans="1:34" x14ac:dyDescent="0.45">
      <c r="A962" t="str">
        <f t="shared" si="14"/>
        <v>000</v>
      </c>
      <c r="B962">
        <f>セットアップレポート!A962</f>
        <v>0</v>
      </c>
      <c r="C962">
        <f>セットアップレポート!B962</f>
        <v>0</v>
      </c>
      <c r="D962">
        <f>セットアップレポート!C962</f>
        <v>0</v>
      </c>
      <c r="E962">
        <f>セットアップレポート!D962</f>
        <v>0</v>
      </c>
      <c r="F962">
        <f>セットアップレポート!E962</f>
        <v>0</v>
      </c>
      <c r="G962">
        <f>セットアップレポート!F962</f>
        <v>0</v>
      </c>
      <c r="H962">
        <f>セットアップレポート!G962</f>
        <v>0</v>
      </c>
      <c r="I962">
        <f>セットアップレポート!H962</f>
        <v>0</v>
      </c>
      <c r="J962">
        <f>セットアップレポート!I962</f>
        <v>0</v>
      </c>
      <c r="K962">
        <f>セットアップレポート!J962</f>
        <v>0</v>
      </c>
      <c r="L962">
        <f>セットアップレポート!K962</f>
        <v>0</v>
      </c>
      <c r="M962">
        <f>セットアップレポート!L962</f>
        <v>0</v>
      </c>
      <c r="N962">
        <f>セットアップレポート!M962</f>
        <v>0</v>
      </c>
      <c r="O962">
        <f>セットアップレポート!N962</f>
        <v>0</v>
      </c>
      <c r="P962">
        <f>セットアップレポート!O962</f>
        <v>0</v>
      </c>
      <c r="Q962">
        <f>セットアップレポート!P962</f>
        <v>0</v>
      </c>
      <c r="R962">
        <f>セットアップレポート!Q962</f>
        <v>0</v>
      </c>
      <c r="S962">
        <f>セットアップレポート!R962</f>
        <v>0</v>
      </c>
      <c r="T962">
        <f>セットアップレポート!S962</f>
        <v>0</v>
      </c>
      <c r="U962">
        <f>セットアップレポート!T962</f>
        <v>0</v>
      </c>
      <c r="V962">
        <f>セットアップレポート!U962</f>
        <v>0</v>
      </c>
      <c r="W962">
        <f>セットアップレポート!V962</f>
        <v>0</v>
      </c>
      <c r="X962">
        <f>セットアップレポート!W962</f>
        <v>0</v>
      </c>
      <c r="Y962">
        <f>セットアップレポート!X962</f>
        <v>0</v>
      </c>
      <c r="Z962">
        <f>セットアップレポート!Y962</f>
        <v>0</v>
      </c>
      <c r="AA962">
        <f>セットアップレポート!Z962</f>
        <v>0</v>
      </c>
      <c r="AB962">
        <f>セットアップレポート!AA962</f>
        <v>0</v>
      </c>
      <c r="AC962">
        <f>セットアップレポート!AB962</f>
        <v>0</v>
      </c>
      <c r="AD962">
        <f>セットアップレポート!AC962</f>
        <v>0</v>
      </c>
      <c r="AE962">
        <f>セットアップレポート!AD962</f>
        <v>0</v>
      </c>
      <c r="AF962">
        <f>セットアップレポート!AE962</f>
        <v>0</v>
      </c>
      <c r="AG962">
        <f>セットアップレポート!AF962</f>
        <v>0</v>
      </c>
      <c r="AH962">
        <f>セットアップレポート!AG962</f>
        <v>0</v>
      </c>
    </row>
    <row r="963" spans="1:34" x14ac:dyDescent="0.45">
      <c r="A963" t="str">
        <f t="shared" ref="A963:A1000" si="15">C963&amp;RIGHT(G963,5)&amp;K963</f>
        <v>000</v>
      </c>
      <c r="B963">
        <f>セットアップレポート!A963</f>
        <v>0</v>
      </c>
      <c r="C963">
        <f>セットアップレポート!B963</f>
        <v>0</v>
      </c>
      <c r="D963">
        <f>セットアップレポート!C963</f>
        <v>0</v>
      </c>
      <c r="E963">
        <f>セットアップレポート!D963</f>
        <v>0</v>
      </c>
      <c r="F963">
        <f>セットアップレポート!E963</f>
        <v>0</v>
      </c>
      <c r="G963">
        <f>セットアップレポート!F963</f>
        <v>0</v>
      </c>
      <c r="H963">
        <f>セットアップレポート!G963</f>
        <v>0</v>
      </c>
      <c r="I963">
        <f>セットアップレポート!H963</f>
        <v>0</v>
      </c>
      <c r="J963">
        <f>セットアップレポート!I963</f>
        <v>0</v>
      </c>
      <c r="K963">
        <f>セットアップレポート!J963</f>
        <v>0</v>
      </c>
      <c r="L963">
        <f>セットアップレポート!K963</f>
        <v>0</v>
      </c>
      <c r="M963">
        <f>セットアップレポート!L963</f>
        <v>0</v>
      </c>
      <c r="N963">
        <f>セットアップレポート!M963</f>
        <v>0</v>
      </c>
      <c r="O963">
        <f>セットアップレポート!N963</f>
        <v>0</v>
      </c>
      <c r="P963">
        <f>セットアップレポート!O963</f>
        <v>0</v>
      </c>
      <c r="Q963">
        <f>セットアップレポート!P963</f>
        <v>0</v>
      </c>
      <c r="R963">
        <f>セットアップレポート!Q963</f>
        <v>0</v>
      </c>
      <c r="S963">
        <f>セットアップレポート!R963</f>
        <v>0</v>
      </c>
      <c r="T963">
        <f>セットアップレポート!S963</f>
        <v>0</v>
      </c>
      <c r="U963">
        <f>セットアップレポート!T963</f>
        <v>0</v>
      </c>
      <c r="V963">
        <f>セットアップレポート!U963</f>
        <v>0</v>
      </c>
      <c r="W963">
        <f>セットアップレポート!V963</f>
        <v>0</v>
      </c>
      <c r="X963">
        <f>セットアップレポート!W963</f>
        <v>0</v>
      </c>
      <c r="Y963">
        <f>セットアップレポート!X963</f>
        <v>0</v>
      </c>
      <c r="Z963">
        <f>セットアップレポート!Y963</f>
        <v>0</v>
      </c>
      <c r="AA963">
        <f>セットアップレポート!Z963</f>
        <v>0</v>
      </c>
      <c r="AB963">
        <f>セットアップレポート!AA963</f>
        <v>0</v>
      </c>
      <c r="AC963">
        <f>セットアップレポート!AB963</f>
        <v>0</v>
      </c>
      <c r="AD963">
        <f>セットアップレポート!AC963</f>
        <v>0</v>
      </c>
      <c r="AE963">
        <f>セットアップレポート!AD963</f>
        <v>0</v>
      </c>
      <c r="AF963">
        <f>セットアップレポート!AE963</f>
        <v>0</v>
      </c>
      <c r="AG963">
        <f>セットアップレポート!AF963</f>
        <v>0</v>
      </c>
      <c r="AH963">
        <f>セットアップレポート!AG963</f>
        <v>0</v>
      </c>
    </row>
    <row r="964" spans="1:34" x14ac:dyDescent="0.45">
      <c r="A964" t="str">
        <f t="shared" si="15"/>
        <v>000</v>
      </c>
      <c r="B964">
        <f>セットアップレポート!A964</f>
        <v>0</v>
      </c>
      <c r="C964">
        <f>セットアップレポート!B964</f>
        <v>0</v>
      </c>
      <c r="D964">
        <f>セットアップレポート!C964</f>
        <v>0</v>
      </c>
      <c r="E964">
        <f>セットアップレポート!D964</f>
        <v>0</v>
      </c>
      <c r="F964">
        <f>セットアップレポート!E964</f>
        <v>0</v>
      </c>
      <c r="G964">
        <f>セットアップレポート!F964</f>
        <v>0</v>
      </c>
      <c r="H964">
        <f>セットアップレポート!G964</f>
        <v>0</v>
      </c>
      <c r="I964">
        <f>セットアップレポート!H964</f>
        <v>0</v>
      </c>
      <c r="J964">
        <f>セットアップレポート!I964</f>
        <v>0</v>
      </c>
      <c r="K964">
        <f>セットアップレポート!J964</f>
        <v>0</v>
      </c>
      <c r="L964">
        <f>セットアップレポート!K964</f>
        <v>0</v>
      </c>
      <c r="M964">
        <f>セットアップレポート!L964</f>
        <v>0</v>
      </c>
      <c r="N964">
        <f>セットアップレポート!M964</f>
        <v>0</v>
      </c>
      <c r="O964">
        <f>セットアップレポート!N964</f>
        <v>0</v>
      </c>
      <c r="P964">
        <f>セットアップレポート!O964</f>
        <v>0</v>
      </c>
      <c r="Q964">
        <f>セットアップレポート!P964</f>
        <v>0</v>
      </c>
      <c r="R964">
        <f>セットアップレポート!Q964</f>
        <v>0</v>
      </c>
      <c r="S964">
        <f>セットアップレポート!R964</f>
        <v>0</v>
      </c>
      <c r="T964">
        <f>セットアップレポート!S964</f>
        <v>0</v>
      </c>
      <c r="U964">
        <f>セットアップレポート!T964</f>
        <v>0</v>
      </c>
      <c r="V964">
        <f>セットアップレポート!U964</f>
        <v>0</v>
      </c>
      <c r="W964">
        <f>セットアップレポート!V964</f>
        <v>0</v>
      </c>
      <c r="X964">
        <f>セットアップレポート!W964</f>
        <v>0</v>
      </c>
      <c r="Y964">
        <f>セットアップレポート!X964</f>
        <v>0</v>
      </c>
      <c r="Z964">
        <f>セットアップレポート!Y964</f>
        <v>0</v>
      </c>
      <c r="AA964">
        <f>セットアップレポート!Z964</f>
        <v>0</v>
      </c>
      <c r="AB964">
        <f>セットアップレポート!AA964</f>
        <v>0</v>
      </c>
      <c r="AC964">
        <f>セットアップレポート!AB964</f>
        <v>0</v>
      </c>
      <c r="AD964">
        <f>セットアップレポート!AC964</f>
        <v>0</v>
      </c>
      <c r="AE964">
        <f>セットアップレポート!AD964</f>
        <v>0</v>
      </c>
      <c r="AF964">
        <f>セットアップレポート!AE964</f>
        <v>0</v>
      </c>
      <c r="AG964">
        <f>セットアップレポート!AF964</f>
        <v>0</v>
      </c>
      <c r="AH964">
        <f>セットアップレポート!AG964</f>
        <v>0</v>
      </c>
    </row>
    <row r="965" spans="1:34" x14ac:dyDescent="0.45">
      <c r="A965" t="str">
        <f t="shared" si="15"/>
        <v>000</v>
      </c>
      <c r="B965">
        <f>セットアップレポート!A965</f>
        <v>0</v>
      </c>
      <c r="C965">
        <f>セットアップレポート!B965</f>
        <v>0</v>
      </c>
      <c r="D965">
        <f>セットアップレポート!C965</f>
        <v>0</v>
      </c>
      <c r="E965">
        <f>セットアップレポート!D965</f>
        <v>0</v>
      </c>
      <c r="F965">
        <f>セットアップレポート!E965</f>
        <v>0</v>
      </c>
      <c r="G965">
        <f>セットアップレポート!F965</f>
        <v>0</v>
      </c>
      <c r="H965">
        <f>セットアップレポート!G965</f>
        <v>0</v>
      </c>
      <c r="I965">
        <f>セットアップレポート!H965</f>
        <v>0</v>
      </c>
      <c r="J965">
        <f>セットアップレポート!I965</f>
        <v>0</v>
      </c>
      <c r="K965">
        <f>セットアップレポート!J965</f>
        <v>0</v>
      </c>
      <c r="L965">
        <f>セットアップレポート!K965</f>
        <v>0</v>
      </c>
      <c r="M965">
        <f>セットアップレポート!L965</f>
        <v>0</v>
      </c>
      <c r="N965">
        <f>セットアップレポート!M965</f>
        <v>0</v>
      </c>
      <c r="O965">
        <f>セットアップレポート!N965</f>
        <v>0</v>
      </c>
      <c r="P965">
        <f>セットアップレポート!O965</f>
        <v>0</v>
      </c>
      <c r="Q965">
        <f>セットアップレポート!P965</f>
        <v>0</v>
      </c>
      <c r="R965">
        <f>セットアップレポート!Q965</f>
        <v>0</v>
      </c>
      <c r="S965">
        <f>セットアップレポート!R965</f>
        <v>0</v>
      </c>
      <c r="T965">
        <f>セットアップレポート!S965</f>
        <v>0</v>
      </c>
      <c r="U965">
        <f>セットアップレポート!T965</f>
        <v>0</v>
      </c>
      <c r="V965">
        <f>セットアップレポート!U965</f>
        <v>0</v>
      </c>
      <c r="W965">
        <f>セットアップレポート!V965</f>
        <v>0</v>
      </c>
      <c r="X965">
        <f>セットアップレポート!W965</f>
        <v>0</v>
      </c>
      <c r="Y965">
        <f>セットアップレポート!X965</f>
        <v>0</v>
      </c>
      <c r="Z965">
        <f>セットアップレポート!Y965</f>
        <v>0</v>
      </c>
      <c r="AA965">
        <f>セットアップレポート!Z965</f>
        <v>0</v>
      </c>
      <c r="AB965">
        <f>セットアップレポート!AA965</f>
        <v>0</v>
      </c>
      <c r="AC965">
        <f>セットアップレポート!AB965</f>
        <v>0</v>
      </c>
      <c r="AD965">
        <f>セットアップレポート!AC965</f>
        <v>0</v>
      </c>
      <c r="AE965">
        <f>セットアップレポート!AD965</f>
        <v>0</v>
      </c>
      <c r="AF965">
        <f>セットアップレポート!AE965</f>
        <v>0</v>
      </c>
      <c r="AG965">
        <f>セットアップレポート!AF965</f>
        <v>0</v>
      </c>
      <c r="AH965">
        <f>セットアップレポート!AG965</f>
        <v>0</v>
      </c>
    </row>
    <row r="966" spans="1:34" x14ac:dyDescent="0.45">
      <c r="A966" t="str">
        <f t="shared" si="15"/>
        <v>000</v>
      </c>
      <c r="B966">
        <f>セットアップレポート!A966</f>
        <v>0</v>
      </c>
      <c r="C966">
        <f>セットアップレポート!B966</f>
        <v>0</v>
      </c>
      <c r="D966">
        <f>セットアップレポート!C966</f>
        <v>0</v>
      </c>
      <c r="E966">
        <f>セットアップレポート!D966</f>
        <v>0</v>
      </c>
      <c r="F966">
        <f>セットアップレポート!E966</f>
        <v>0</v>
      </c>
      <c r="G966">
        <f>セットアップレポート!F966</f>
        <v>0</v>
      </c>
      <c r="H966">
        <f>セットアップレポート!G966</f>
        <v>0</v>
      </c>
      <c r="I966">
        <f>セットアップレポート!H966</f>
        <v>0</v>
      </c>
      <c r="J966">
        <f>セットアップレポート!I966</f>
        <v>0</v>
      </c>
      <c r="K966">
        <f>セットアップレポート!J966</f>
        <v>0</v>
      </c>
      <c r="L966">
        <f>セットアップレポート!K966</f>
        <v>0</v>
      </c>
      <c r="M966">
        <f>セットアップレポート!L966</f>
        <v>0</v>
      </c>
      <c r="N966">
        <f>セットアップレポート!M966</f>
        <v>0</v>
      </c>
      <c r="O966">
        <f>セットアップレポート!N966</f>
        <v>0</v>
      </c>
      <c r="P966">
        <f>セットアップレポート!O966</f>
        <v>0</v>
      </c>
      <c r="Q966">
        <f>セットアップレポート!P966</f>
        <v>0</v>
      </c>
      <c r="R966">
        <f>セットアップレポート!Q966</f>
        <v>0</v>
      </c>
      <c r="S966">
        <f>セットアップレポート!R966</f>
        <v>0</v>
      </c>
      <c r="T966">
        <f>セットアップレポート!S966</f>
        <v>0</v>
      </c>
      <c r="U966">
        <f>セットアップレポート!T966</f>
        <v>0</v>
      </c>
      <c r="V966">
        <f>セットアップレポート!U966</f>
        <v>0</v>
      </c>
      <c r="W966">
        <f>セットアップレポート!V966</f>
        <v>0</v>
      </c>
      <c r="X966">
        <f>セットアップレポート!W966</f>
        <v>0</v>
      </c>
      <c r="Y966">
        <f>セットアップレポート!X966</f>
        <v>0</v>
      </c>
      <c r="Z966">
        <f>セットアップレポート!Y966</f>
        <v>0</v>
      </c>
      <c r="AA966">
        <f>セットアップレポート!Z966</f>
        <v>0</v>
      </c>
      <c r="AB966">
        <f>セットアップレポート!AA966</f>
        <v>0</v>
      </c>
      <c r="AC966">
        <f>セットアップレポート!AB966</f>
        <v>0</v>
      </c>
      <c r="AD966">
        <f>セットアップレポート!AC966</f>
        <v>0</v>
      </c>
      <c r="AE966">
        <f>セットアップレポート!AD966</f>
        <v>0</v>
      </c>
      <c r="AF966">
        <f>セットアップレポート!AE966</f>
        <v>0</v>
      </c>
      <c r="AG966">
        <f>セットアップレポート!AF966</f>
        <v>0</v>
      </c>
      <c r="AH966">
        <f>セットアップレポート!AG966</f>
        <v>0</v>
      </c>
    </row>
    <row r="967" spans="1:34" x14ac:dyDescent="0.45">
      <c r="A967" t="str">
        <f t="shared" si="15"/>
        <v>000</v>
      </c>
      <c r="B967">
        <f>セットアップレポート!A967</f>
        <v>0</v>
      </c>
      <c r="C967">
        <f>セットアップレポート!B967</f>
        <v>0</v>
      </c>
      <c r="D967">
        <f>セットアップレポート!C967</f>
        <v>0</v>
      </c>
      <c r="E967">
        <f>セットアップレポート!D967</f>
        <v>0</v>
      </c>
      <c r="F967">
        <f>セットアップレポート!E967</f>
        <v>0</v>
      </c>
      <c r="G967">
        <f>セットアップレポート!F967</f>
        <v>0</v>
      </c>
      <c r="H967">
        <f>セットアップレポート!G967</f>
        <v>0</v>
      </c>
      <c r="I967">
        <f>セットアップレポート!H967</f>
        <v>0</v>
      </c>
      <c r="J967">
        <f>セットアップレポート!I967</f>
        <v>0</v>
      </c>
      <c r="K967">
        <f>セットアップレポート!J967</f>
        <v>0</v>
      </c>
      <c r="L967">
        <f>セットアップレポート!K967</f>
        <v>0</v>
      </c>
      <c r="M967">
        <f>セットアップレポート!L967</f>
        <v>0</v>
      </c>
      <c r="N967">
        <f>セットアップレポート!M967</f>
        <v>0</v>
      </c>
      <c r="O967">
        <f>セットアップレポート!N967</f>
        <v>0</v>
      </c>
      <c r="P967">
        <f>セットアップレポート!O967</f>
        <v>0</v>
      </c>
      <c r="Q967">
        <f>セットアップレポート!P967</f>
        <v>0</v>
      </c>
      <c r="R967">
        <f>セットアップレポート!Q967</f>
        <v>0</v>
      </c>
      <c r="S967">
        <f>セットアップレポート!R967</f>
        <v>0</v>
      </c>
      <c r="T967">
        <f>セットアップレポート!S967</f>
        <v>0</v>
      </c>
      <c r="U967">
        <f>セットアップレポート!T967</f>
        <v>0</v>
      </c>
      <c r="V967">
        <f>セットアップレポート!U967</f>
        <v>0</v>
      </c>
      <c r="W967">
        <f>セットアップレポート!V967</f>
        <v>0</v>
      </c>
      <c r="X967">
        <f>セットアップレポート!W967</f>
        <v>0</v>
      </c>
      <c r="Y967">
        <f>セットアップレポート!X967</f>
        <v>0</v>
      </c>
      <c r="Z967">
        <f>セットアップレポート!Y967</f>
        <v>0</v>
      </c>
      <c r="AA967">
        <f>セットアップレポート!Z967</f>
        <v>0</v>
      </c>
      <c r="AB967">
        <f>セットアップレポート!AA967</f>
        <v>0</v>
      </c>
      <c r="AC967">
        <f>セットアップレポート!AB967</f>
        <v>0</v>
      </c>
      <c r="AD967">
        <f>セットアップレポート!AC967</f>
        <v>0</v>
      </c>
      <c r="AE967">
        <f>セットアップレポート!AD967</f>
        <v>0</v>
      </c>
      <c r="AF967">
        <f>セットアップレポート!AE967</f>
        <v>0</v>
      </c>
      <c r="AG967">
        <f>セットアップレポート!AF967</f>
        <v>0</v>
      </c>
      <c r="AH967">
        <f>セットアップレポート!AG967</f>
        <v>0</v>
      </c>
    </row>
    <row r="968" spans="1:34" x14ac:dyDescent="0.45">
      <c r="A968" t="str">
        <f t="shared" si="15"/>
        <v>000</v>
      </c>
      <c r="B968">
        <f>セットアップレポート!A968</f>
        <v>0</v>
      </c>
      <c r="C968">
        <f>セットアップレポート!B968</f>
        <v>0</v>
      </c>
      <c r="D968">
        <f>セットアップレポート!C968</f>
        <v>0</v>
      </c>
      <c r="E968">
        <f>セットアップレポート!D968</f>
        <v>0</v>
      </c>
      <c r="F968">
        <f>セットアップレポート!E968</f>
        <v>0</v>
      </c>
      <c r="G968">
        <f>セットアップレポート!F968</f>
        <v>0</v>
      </c>
      <c r="H968">
        <f>セットアップレポート!G968</f>
        <v>0</v>
      </c>
      <c r="I968">
        <f>セットアップレポート!H968</f>
        <v>0</v>
      </c>
      <c r="J968">
        <f>セットアップレポート!I968</f>
        <v>0</v>
      </c>
      <c r="K968">
        <f>セットアップレポート!J968</f>
        <v>0</v>
      </c>
      <c r="L968">
        <f>セットアップレポート!K968</f>
        <v>0</v>
      </c>
      <c r="M968">
        <f>セットアップレポート!L968</f>
        <v>0</v>
      </c>
      <c r="N968">
        <f>セットアップレポート!M968</f>
        <v>0</v>
      </c>
      <c r="O968">
        <f>セットアップレポート!N968</f>
        <v>0</v>
      </c>
      <c r="P968">
        <f>セットアップレポート!O968</f>
        <v>0</v>
      </c>
      <c r="Q968">
        <f>セットアップレポート!P968</f>
        <v>0</v>
      </c>
      <c r="R968">
        <f>セットアップレポート!Q968</f>
        <v>0</v>
      </c>
      <c r="S968">
        <f>セットアップレポート!R968</f>
        <v>0</v>
      </c>
      <c r="T968">
        <f>セットアップレポート!S968</f>
        <v>0</v>
      </c>
      <c r="U968">
        <f>セットアップレポート!T968</f>
        <v>0</v>
      </c>
      <c r="V968">
        <f>セットアップレポート!U968</f>
        <v>0</v>
      </c>
      <c r="W968">
        <f>セットアップレポート!V968</f>
        <v>0</v>
      </c>
      <c r="X968">
        <f>セットアップレポート!W968</f>
        <v>0</v>
      </c>
      <c r="Y968">
        <f>セットアップレポート!X968</f>
        <v>0</v>
      </c>
      <c r="Z968">
        <f>セットアップレポート!Y968</f>
        <v>0</v>
      </c>
      <c r="AA968">
        <f>セットアップレポート!Z968</f>
        <v>0</v>
      </c>
      <c r="AB968">
        <f>セットアップレポート!AA968</f>
        <v>0</v>
      </c>
      <c r="AC968">
        <f>セットアップレポート!AB968</f>
        <v>0</v>
      </c>
      <c r="AD968">
        <f>セットアップレポート!AC968</f>
        <v>0</v>
      </c>
      <c r="AE968">
        <f>セットアップレポート!AD968</f>
        <v>0</v>
      </c>
      <c r="AF968">
        <f>セットアップレポート!AE968</f>
        <v>0</v>
      </c>
      <c r="AG968">
        <f>セットアップレポート!AF968</f>
        <v>0</v>
      </c>
      <c r="AH968">
        <f>セットアップレポート!AG968</f>
        <v>0</v>
      </c>
    </row>
    <row r="969" spans="1:34" x14ac:dyDescent="0.45">
      <c r="A969" t="str">
        <f t="shared" si="15"/>
        <v>000</v>
      </c>
      <c r="B969">
        <f>セットアップレポート!A969</f>
        <v>0</v>
      </c>
      <c r="C969">
        <f>セットアップレポート!B969</f>
        <v>0</v>
      </c>
      <c r="D969">
        <f>セットアップレポート!C969</f>
        <v>0</v>
      </c>
      <c r="E969">
        <f>セットアップレポート!D969</f>
        <v>0</v>
      </c>
      <c r="F969">
        <f>セットアップレポート!E969</f>
        <v>0</v>
      </c>
      <c r="G969">
        <f>セットアップレポート!F969</f>
        <v>0</v>
      </c>
      <c r="H969">
        <f>セットアップレポート!G969</f>
        <v>0</v>
      </c>
      <c r="I969">
        <f>セットアップレポート!H969</f>
        <v>0</v>
      </c>
      <c r="J969">
        <f>セットアップレポート!I969</f>
        <v>0</v>
      </c>
      <c r="K969">
        <f>セットアップレポート!J969</f>
        <v>0</v>
      </c>
      <c r="L969">
        <f>セットアップレポート!K969</f>
        <v>0</v>
      </c>
      <c r="M969">
        <f>セットアップレポート!L969</f>
        <v>0</v>
      </c>
      <c r="N969">
        <f>セットアップレポート!M969</f>
        <v>0</v>
      </c>
      <c r="O969">
        <f>セットアップレポート!N969</f>
        <v>0</v>
      </c>
      <c r="P969">
        <f>セットアップレポート!O969</f>
        <v>0</v>
      </c>
      <c r="Q969">
        <f>セットアップレポート!P969</f>
        <v>0</v>
      </c>
      <c r="R969">
        <f>セットアップレポート!Q969</f>
        <v>0</v>
      </c>
      <c r="S969">
        <f>セットアップレポート!R969</f>
        <v>0</v>
      </c>
      <c r="T969">
        <f>セットアップレポート!S969</f>
        <v>0</v>
      </c>
      <c r="U969">
        <f>セットアップレポート!T969</f>
        <v>0</v>
      </c>
      <c r="V969">
        <f>セットアップレポート!U969</f>
        <v>0</v>
      </c>
      <c r="W969">
        <f>セットアップレポート!V969</f>
        <v>0</v>
      </c>
      <c r="X969">
        <f>セットアップレポート!W969</f>
        <v>0</v>
      </c>
      <c r="Y969">
        <f>セットアップレポート!X969</f>
        <v>0</v>
      </c>
      <c r="Z969">
        <f>セットアップレポート!Y969</f>
        <v>0</v>
      </c>
      <c r="AA969">
        <f>セットアップレポート!Z969</f>
        <v>0</v>
      </c>
      <c r="AB969">
        <f>セットアップレポート!AA969</f>
        <v>0</v>
      </c>
      <c r="AC969">
        <f>セットアップレポート!AB969</f>
        <v>0</v>
      </c>
      <c r="AD969">
        <f>セットアップレポート!AC969</f>
        <v>0</v>
      </c>
      <c r="AE969">
        <f>セットアップレポート!AD969</f>
        <v>0</v>
      </c>
      <c r="AF969">
        <f>セットアップレポート!AE969</f>
        <v>0</v>
      </c>
      <c r="AG969">
        <f>セットアップレポート!AF969</f>
        <v>0</v>
      </c>
      <c r="AH969">
        <f>セットアップレポート!AG969</f>
        <v>0</v>
      </c>
    </row>
    <row r="970" spans="1:34" x14ac:dyDescent="0.45">
      <c r="A970" t="str">
        <f t="shared" si="15"/>
        <v>000</v>
      </c>
      <c r="B970">
        <f>セットアップレポート!A970</f>
        <v>0</v>
      </c>
      <c r="C970">
        <f>セットアップレポート!B970</f>
        <v>0</v>
      </c>
      <c r="D970">
        <f>セットアップレポート!C970</f>
        <v>0</v>
      </c>
      <c r="E970">
        <f>セットアップレポート!D970</f>
        <v>0</v>
      </c>
      <c r="F970">
        <f>セットアップレポート!E970</f>
        <v>0</v>
      </c>
      <c r="G970">
        <f>セットアップレポート!F970</f>
        <v>0</v>
      </c>
      <c r="H970">
        <f>セットアップレポート!G970</f>
        <v>0</v>
      </c>
      <c r="I970">
        <f>セットアップレポート!H970</f>
        <v>0</v>
      </c>
      <c r="J970">
        <f>セットアップレポート!I970</f>
        <v>0</v>
      </c>
      <c r="K970">
        <f>セットアップレポート!J970</f>
        <v>0</v>
      </c>
      <c r="L970">
        <f>セットアップレポート!K970</f>
        <v>0</v>
      </c>
      <c r="M970">
        <f>セットアップレポート!L970</f>
        <v>0</v>
      </c>
      <c r="N970">
        <f>セットアップレポート!M970</f>
        <v>0</v>
      </c>
      <c r="O970">
        <f>セットアップレポート!N970</f>
        <v>0</v>
      </c>
      <c r="P970">
        <f>セットアップレポート!O970</f>
        <v>0</v>
      </c>
      <c r="Q970">
        <f>セットアップレポート!P970</f>
        <v>0</v>
      </c>
      <c r="R970">
        <f>セットアップレポート!Q970</f>
        <v>0</v>
      </c>
      <c r="S970">
        <f>セットアップレポート!R970</f>
        <v>0</v>
      </c>
      <c r="T970">
        <f>セットアップレポート!S970</f>
        <v>0</v>
      </c>
      <c r="U970">
        <f>セットアップレポート!T970</f>
        <v>0</v>
      </c>
      <c r="V970">
        <f>セットアップレポート!U970</f>
        <v>0</v>
      </c>
      <c r="W970">
        <f>セットアップレポート!V970</f>
        <v>0</v>
      </c>
      <c r="X970">
        <f>セットアップレポート!W970</f>
        <v>0</v>
      </c>
      <c r="Y970">
        <f>セットアップレポート!X970</f>
        <v>0</v>
      </c>
      <c r="Z970">
        <f>セットアップレポート!Y970</f>
        <v>0</v>
      </c>
      <c r="AA970">
        <f>セットアップレポート!Z970</f>
        <v>0</v>
      </c>
      <c r="AB970">
        <f>セットアップレポート!AA970</f>
        <v>0</v>
      </c>
      <c r="AC970">
        <f>セットアップレポート!AB970</f>
        <v>0</v>
      </c>
      <c r="AD970">
        <f>セットアップレポート!AC970</f>
        <v>0</v>
      </c>
      <c r="AE970">
        <f>セットアップレポート!AD970</f>
        <v>0</v>
      </c>
      <c r="AF970">
        <f>セットアップレポート!AE970</f>
        <v>0</v>
      </c>
      <c r="AG970">
        <f>セットアップレポート!AF970</f>
        <v>0</v>
      </c>
      <c r="AH970">
        <f>セットアップレポート!AG970</f>
        <v>0</v>
      </c>
    </row>
    <row r="971" spans="1:34" x14ac:dyDescent="0.45">
      <c r="A971" t="str">
        <f t="shared" si="15"/>
        <v>000</v>
      </c>
      <c r="B971">
        <f>セットアップレポート!A971</f>
        <v>0</v>
      </c>
      <c r="C971">
        <f>セットアップレポート!B971</f>
        <v>0</v>
      </c>
      <c r="D971">
        <f>セットアップレポート!C971</f>
        <v>0</v>
      </c>
      <c r="E971">
        <f>セットアップレポート!D971</f>
        <v>0</v>
      </c>
      <c r="F971">
        <f>セットアップレポート!E971</f>
        <v>0</v>
      </c>
      <c r="G971">
        <f>セットアップレポート!F971</f>
        <v>0</v>
      </c>
      <c r="H971">
        <f>セットアップレポート!G971</f>
        <v>0</v>
      </c>
      <c r="I971">
        <f>セットアップレポート!H971</f>
        <v>0</v>
      </c>
      <c r="J971">
        <f>セットアップレポート!I971</f>
        <v>0</v>
      </c>
      <c r="K971">
        <f>セットアップレポート!J971</f>
        <v>0</v>
      </c>
      <c r="L971">
        <f>セットアップレポート!K971</f>
        <v>0</v>
      </c>
      <c r="M971">
        <f>セットアップレポート!L971</f>
        <v>0</v>
      </c>
      <c r="N971">
        <f>セットアップレポート!M971</f>
        <v>0</v>
      </c>
      <c r="O971">
        <f>セットアップレポート!N971</f>
        <v>0</v>
      </c>
      <c r="P971">
        <f>セットアップレポート!O971</f>
        <v>0</v>
      </c>
      <c r="Q971">
        <f>セットアップレポート!P971</f>
        <v>0</v>
      </c>
      <c r="R971">
        <f>セットアップレポート!Q971</f>
        <v>0</v>
      </c>
      <c r="S971">
        <f>セットアップレポート!R971</f>
        <v>0</v>
      </c>
      <c r="T971">
        <f>セットアップレポート!S971</f>
        <v>0</v>
      </c>
      <c r="U971">
        <f>セットアップレポート!T971</f>
        <v>0</v>
      </c>
      <c r="V971">
        <f>セットアップレポート!U971</f>
        <v>0</v>
      </c>
      <c r="W971">
        <f>セットアップレポート!V971</f>
        <v>0</v>
      </c>
      <c r="X971">
        <f>セットアップレポート!W971</f>
        <v>0</v>
      </c>
      <c r="Y971">
        <f>セットアップレポート!X971</f>
        <v>0</v>
      </c>
      <c r="Z971">
        <f>セットアップレポート!Y971</f>
        <v>0</v>
      </c>
      <c r="AA971">
        <f>セットアップレポート!Z971</f>
        <v>0</v>
      </c>
      <c r="AB971">
        <f>セットアップレポート!AA971</f>
        <v>0</v>
      </c>
      <c r="AC971">
        <f>セットアップレポート!AB971</f>
        <v>0</v>
      </c>
      <c r="AD971">
        <f>セットアップレポート!AC971</f>
        <v>0</v>
      </c>
      <c r="AE971">
        <f>セットアップレポート!AD971</f>
        <v>0</v>
      </c>
      <c r="AF971">
        <f>セットアップレポート!AE971</f>
        <v>0</v>
      </c>
      <c r="AG971">
        <f>セットアップレポート!AF971</f>
        <v>0</v>
      </c>
      <c r="AH971">
        <f>セットアップレポート!AG971</f>
        <v>0</v>
      </c>
    </row>
    <row r="972" spans="1:34" x14ac:dyDescent="0.45">
      <c r="A972" t="str">
        <f t="shared" si="15"/>
        <v>000</v>
      </c>
      <c r="B972">
        <f>セットアップレポート!A972</f>
        <v>0</v>
      </c>
      <c r="C972">
        <f>セットアップレポート!B972</f>
        <v>0</v>
      </c>
      <c r="D972">
        <f>セットアップレポート!C972</f>
        <v>0</v>
      </c>
      <c r="E972">
        <f>セットアップレポート!D972</f>
        <v>0</v>
      </c>
      <c r="F972">
        <f>セットアップレポート!E972</f>
        <v>0</v>
      </c>
      <c r="G972">
        <f>セットアップレポート!F972</f>
        <v>0</v>
      </c>
      <c r="H972">
        <f>セットアップレポート!G972</f>
        <v>0</v>
      </c>
      <c r="I972">
        <f>セットアップレポート!H972</f>
        <v>0</v>
      </c>
      <c r="J972">
        <f>セットアップレポート!I972</f>
        <v>0</v>
      </c>
      <c r="K972">
        <f>セットアップレポート!J972</f>
        <v>0</v>
      </c>
      <c r="L972">
        <f>セットアップレポート!K972</f>
        <v>0</v>
      </c>
      <c r="M972">
        <f>セットアップレポート!L972</f>
        <v>0</v>
      </c>
      <c r="N972">
        <f>セットアップレポート!M972</f>
        <v>0</v>
      </c>
      <c r="O972">
        <f>セットアップレポート!N972</f>
        <v>0</v>
      </c>
      <c r="P972">
        <f>セットアップレポート!O972</f>
        <v>0</v>
      </c>
      <c r="Q972">
        <f>セットアップレポート!P972</f>
        <v>0</v>
      </c>
      <c r="R972">
        <f>セットアップレポート!Q972</f>
        <v>0</v>
      </c>
      <c r="S972">
        <f>セットアップレポート!R972</f>
        <v>0</v>
      </c>
      <c r="T972">
        <f>セットアップレポート!S972</f>
        <v>0</v>
      </c>
      <c r="U972">
        <f>セットアップレポート!T972</f>
        <v>0</v>
      </c>
      <c r="V972">
        <f>セットアップレポート!U972</f>
        <v>0</v>
      </c>
      <c r="W972">
        <f>セットアップレポート!V972</f>
        <v>0</v>
      </c>
      <c r="X972">
        <f>セットアップレポート!W972</f>
        <v>0</v>
      </c>
      <c r="Y972">
        <f>セットアップレポート!X972</f>
        <v>0</v>
      </c>
      <c r="Z972">
        <f>セットアップレポート!Y972</f>
        <v>0</v>
      </c>
      <c r="AA972">
        <f>セットアップレポート!Z972</f>
        <v>0</v>
      </c>
      <c r="AB972">
        <f>セットアップレポート!AA972</f>
        <v>0</v>
      </c>
      <c r="AC972">
        <f>セットアップレポート!AB972</f>
        <v>0</v>
      </c>
      <c r="AD972">
        <f>セットアップレポート!AC972</f>
        <v>0</v>
      </c>
      <c r="AE972">
        <f>セットアップレポート!AD972</f>
        <v>0</v>
      </c>
      <c r="AF972">
        <f>セットアップレポート!AE972</f>
        <v>0</v>
      </c>
      <c r="AG972">
        <f>セットアップレポート!AF972</f>
        <v>0</v>
      </c>
      <c r="AH972">
        <f>セットアップレポート!AG972</f>
        <v>0</v>
      </c>
    </row>
    <row r="973" spans="1:34" x14ac:dyDescent="0.45">
      <c r="A973" t="str">
        <f t="shared" si="15"/>
        <v>000</v>
      </c>
      <c r="B973">
        <f>セットアップレポート!A973</f>
        <v>0</v>
      </c>
      <c r="C973">
        <f>セットアップレポート!B973</f>
        <v>0</v>
      </c>
      <c r="D973">
        <f>セットアップレポート!C973</f>
        <v>0</v>
      </c>
      <c r="E973">
        <f>セットアップレポート!D973</f>
        <v>0</v>
      </c>
      <c r="F973">
        <f>セットアップレポート!E973</f>
        <v>0</v>
      </c>
      <c r="G973">
        <f>セットアップレポート!F973</f>
        <v>0</v>
      </c>
      <c r="H973">
        <f>セットアップレポート!G973</f>
        <v>0</v>
      </c>
      <c r="I973">
        <f>セットアップレポート!H973</f>
        <v>0</v>
      </c>
      <c r="J973">
        <f>セットアップレポート!I973</f>
        <v>0</v>
      </c>
      <c r="K973">
        <f>セットアップレポート!J973</f>
        <v>0</v>
      </c>
      <c r="L973">
        <f>セットアップレポート!K973</f>
        <v>0</v>
      </c>
      <c r="M973">
        <f>セットアップレポート!L973</f>
        <v>0</v>
      </c>
      <c r="N973">
        <f>セットアップレポート!M973</f>
        <v>0</v>
      </c>
      <c r="O973">
        <f>セットアップレポート!N973</f>
        <v>0</v>
      </c>
      <c r="P973">
        <f>セットアップレポート!O973</f>
        <v>0</v>
      </c>
      <c r="Q973">
        <f>セットアップレポート!P973</f>
        <v>0</v>
      </c>
      <c r="R973">
        <f>セットアップレポート!Q973</f>
        <v>0</v>
      </c>
      <c r="S973">
        <f>セットアップレポート!R973</f>
        <v>0</v>
      </c>
      <c r="T973">
        <f>セットアップレポート!S973</f>
        <v>0</v>
      </c>
      <c r="U973">
        <f>セットアップレポート!T973</f>
        <v>0</v>
      </c>
      <c r="V973">
        <f>セットアップレポート!U973</f>
        <v>0</v>
      </c>
      <c r="W973">
        <f>セットアップレポート!V973</f>
        <v>0</v>
      </c>
      <c r="X973">
        <f>セットアップレポート!W973</f>
        <v>0</v>
      </c>
      <c r="Y973">
        <f>セットアップレポート!X973</f>
        <v>0</v>
      </c>
      <c r="Z973">
        <f>セットアップレポート!Y973</f>
        <v>0</v>
      </c>
      <c r="AA973">
        <f>セットアップレポート!Z973</f>
        <v>0</v>
      </c>
      <c r="AB973">
        <f>セットアップレポート!AA973</f>
        <v>0</v>
      </c>
      <c r="AC973">
        <f>セットアップレポート!AB973</f>
        <v>0</v>
      </c>
      <c r="AD973">
        <f>セットアップレポート!AC973</f>
        <v>0</v>
      </c>
      <c r="AE973">
        <f>セットアップレポート!AD973</f>
        <v>0</v>
      </c>
      <c r="AF973">
        <f>セットアップレポート!AE973</f>
        <v>0</v>
      </c>
      <c r="AG973">
        <f>セットアップレポート!AF973</f>
        <v>0</v>
      </c>
      <c r="AH973">
        <f>セットアップレポート!AG973</f>
        <v>0</v>
      </c>
    </row>
    <row r="974" spans="1:34" x14ac:dyDescent="0.45">
      <c r="A974" t="str">
        <f t="shared" si="15"/>
        <v>000</v>
      </c>
      <c r="B974">
        <f>セットアップレポート!A974</f>
        <v>0</v>
      </c>
      <c r="C974">
        <f>セットアップレポート!B974</f>
        <v>0</v>
      </c>
      <c r="D974">
        <f>セットアップレポート!C974</f>
        <v>0</v>
      </c>
      <c r="E974">
        <f>セットアップレポート!D974</f>
        <v>0</v>
      </c>
      <c r="F974">
        <f>セットアップレポート!E974</f>
        <v>0</v>
      </c>
      <c r="G974">
        <f>セットアップレポート!F974</f>
        <v>0</v>
      </c>
      <c r="H974">
        <f>セットアップレポート!G974</f>
        <v>0</v>
      </c>
      <c r="I974">
        <f>セットアップレポート!H974</f>
        <v>0</v>
      </c>
      <c r="J974">
        <f>セットアップレポート!I974</f>
        <v>0</v>
      </c>
      <c r="K974">
        <f>セットアップレポート!J974</f>
        <v>0</v>
      </c>
      <c r="L974">
        <f>セットアップレポート!K974</f>
        <v>0</v>
      </c>
      <c r="M974">
        <f>セットアップレポート!L974</f>
        <v>0</v>
      </c>
      <c r="N974">
        <f>セットアップレポート!M974</f>
        <v>0</v>
      </c>
      <c r="O974">
        <f>セットアップレポート!N974</f>
        <v>0</v>
      </c>
      <c r="P974">
        <f>セットアップレポート!O974</f>
        <v>0</v>
      </c>
      <c r="Q974">
        <f>セットアップレポート!P974</f>
        <v>0</v>
      </c>
      <c r="R974">
        <f>セットアップレポート!Q974</f>
        <v>0</v>
      </c>
      <c r="S974">
        <f>セットアップレポート!R974</f>
        <v>0</v>
      </c>
      <c r="T974">
        <f>セットアップレポート!S974</f>
        <v>0</v>
      </c>
      <c r="U974">
        <f>セットアップレポート!T974</f>
        <v>0</v>
      </c>
      <c r="V974">
        <f>セットアップレポート!U974</f>
        <v>0</v>
      </c>
      <c r="W974">
        <f>セットアップレポート!V974</f>
        <v>0</v>
      </c>
      <c r="X974">
        <f>セットアップレポート!W974</f>
        <v>0</v>
      </c>
      <c r="Y974">
        <f>セットアップレポート!X974</f>
        <v>0</v>
      </c>
      <c r="Z974">
        <f>セットアップレポート!Y974</f>
        <v>0</v>
      </c>
      <c r="AA974">
        <f>セットアップレポート!Z974</f>
        <v>0</v>
      </c>
      <c r="AB974">
        <f>セットアップレポート!AA974</f>
        <v>0</v>
      </c>
      <c r="AC974">
        <f>セットアップレポート!AB974</f>
        <v>0</v>
      </c>
      <c r="AD974">
        <f>セットアップレポート!AC974</f>
        <v>0</v>
      </c>
      <c r="AE974">
        <f>セットアップレポート!AD974</f>
        <v>0</v>
      </c>
      <c r="AF974">
        <f>セットアップレポート!AE974</f>
        <v>0</v>
      </c>
      <c r="AG974">
        <f>セットアップレポート!AF974</f>
        <v>0</v>
      </c>
      <c r="AH974">
        <f>セットアップレポート!AG974</f>
        <v>0</v>
      </c>
    </row>
    <row r="975" spans="1:34" x14ac:dyDescent="0.45">
      <c r="A975" t="str">
        <f t="shared" si="15"/>
        <v>000</v>
      </c>
      <c r="B975">
        <f>セットアップレポート!A975</f>
        <v>0</v>
      </c>
      <c r="C975">
        <f>セットアップレポート!B975</f>
        <v>0</v>
      </c>
      <c r="D975">
        <f>セットアップレポート!C975</f>
        <v>0</v>
      </c>
      <c r="E975">
        <f>セットアップレポート!D975</f>
        <v>0</v>
      </c>
      <c r="F975">
        <f>セットアップレポート!E975</f>
        <v>0</v>
      </c>
      <c r="G975">
        <f>セットアップレポート!F975</f>
        <v>0</v>
      </c>
      <c r="H975">
        <f>セットアップレポート!G975</f>
        <v>0</v>
      </c>
      <c r="I975">
        <f>セットアップレポート!H975</f>
        <v>0</v>
      </c>
      <c r="J975">
        <f>セットアップレポート!I975</f>
        <v>0</v>
      </c>
      <c r="K975">
        <f>セットアップレポート!J975</f>
        <v>0</v>
      </c>
      <c r="L975">
        <f>セットアップレポート!K975</f>
        <v>0</v>
      </c>
      <c r="M975">
        <f>セットアップレポート!L975</f>
        <v>0</v>
      </c>
      <c r="N975">
        <f>セットアップレポート!M975</f>
        <v>0</v>
      </c>
      <c r="O975">
        <f>セットアップレポート!N975</f>
        <v>0</v>
      </c>
      <c r="P975">
        <f>セットアップレポート!O975</f>
        <v>0</v>
      </c>
      <c r="Q975">
        <f>セットアップレポート!P975</f>
        <v>0</v>
      </c>
      <c r="R975">
        <f>セットアップレポート!Q975</f>
        <v>0</v>
      </c>
      <c r="S975">
        <f>セットアップレポート!R975</f>
        <v>0</v>
      </c>
      <c r="T975">
        <f>セットアップレポート!S975</f>
        <v>0</v>
      </c>
      <c r="U975">
        <f>セットアップレポート!T975</f>
        <v>0</v>
      </c>
      <c r="V975">
        <f>セットアップレポート!U975</f>
        <v>0</v>
      </c>
      <c r="W975">
        <f>セットアップレポート!V975</f>
        <v>0</v>
      </c>
      <c r="X975">
        <f>セットアップレポート!W975</f>
        <v>0</v>
      </c>
      <c r="Y975">
        <f>セットアップレポート!X975</f>
        <v>0</v>
      </c>
      <c r="Z975">
        <f>セットアップレポート!Y975</f>
        <v>0</v>
      </c>
      <c r="AA975">
        <f>セットアップレポート!Z975</f>
        <v>0</v>
      </c>
      <c r="AB975">
        <f>セットアップレポート!AA975</f>
        <v>0</v>
      </c>
      <c r="AC975">
        <f>セットアップレポート!AB975</f>
        <v>0</v>
      </c>
      <c r="AD975">
        <f>セットアップレポート!AC975</f>
        <v>0</v>
      </c>
      <c r="AE975">
        <f>セットアップレポート!AD975</f>
        <v>0</v>
      </c>
      <c r="AF975">
        <f>セットアップレポート!AE975</f>
        <v>0</v>
      </c>
      <c r="AG975">
        <f>セットアップレポート!AF975</f>
        <v>0</v>
      </c>
      <c r="AH975">
        <f>セットアップレポート!AG975</f>
        <v>0</v>
      </c>
    </row>
    <row r="976" spans="1:34" x14ac:dyDescent="0.45">
      <c r="A976" t="str">
        <f t="shared" si="15"/>
        <v>000</v>
      </c>
      <c r="B976">
        <f>セットアップレポート!A976</f>
        <v>0</v>
      </c>
      <c r="C976">
        <f>セットアップレポート!B976</f>
        <v>0</v>
      </c>
      <c r="D976">
        <f>セットアップレポート!C976</f>
        <v>0</v>
      </c>
      <c r="E976">
        <f>セットアップレポート!D976</f>
        <v>0</v>
      </c>
      <c r="F976">
        <f>セットアップレポート!E976</f>
        <v>0</v>
      </c>
      <c r="G976">
        <f>セットアップレポート!F976</f>
        <v>0</v>
      </c>
      <c r="H976">
        <f>セットアップレポート!G976</f>
        <v>0</v>
      </c>
      <c r="I976">
        <f>セットアップレポート!H976</f>
        <v>0</v>
      </c>
      <c r="J976">
        <f>セットアップレポート!I976</f>
        <v>0</v>
      </c>
      <c r="K976">
        <f>セットアップレポート!J976</f>
        <v>0</v>
      </c>
      <c r="L976">
        <f>セットアップレポート!K976</f>
        <v>0</v>
      </c>
      <c r="M976">
        <f>セットアップレポート!L976</f>
        <v>0</v>
      </c>
      <c r="N976">
        <f>セットアップレポート!M976</f>
        <v>0</v>
      </c>
      <c r="O976">
        <f>セットアップレポート!N976</f>
        <v>0</v>
      </c>
      <c r="P976">
        <f>セットアップレポート!O976</f>
        <v>0</v>
      </c>
      <c r="Q976">
        <f>セットアップレポート!P976</f>
        <v>0</v>
      </c>
      <c r="R976">
        <f>セットアップレポート!Q976</f>
        <v>0</v>
      </c>
      <c r="S976">
        <f>セットアップレポート!R976</f>
        <v>0</v>
      </c>
      <c r="T976">
        <f>セットアップレポート!S976</f>
        <v>0</v>
      </c>
      <c r="U976">
        <f>セットアップレポート!T976</f>
        <v>0</v>
      </c>
      <c r="V976">
        <f>セットアップレポート!U976</f>
        <v>0</v>
      </c>
      <c r="W976">
        <f>セットアップレポート!V976</f>
        <v>0</v>
      </c>
      <c r="X976">
        <f>セットアップレポート!W976</f>
        <v>0</v>
      </c>
      <c r="Y976">
        <f>セットアップレポート!X976</f>
        <v>0</v>
      </c>
      <c r="Z976">
        <f>セットアップレポート!Y976</f>
        <v>0</v>
      </c>
      <c r="AA976">
        <f>セットアップレポート!Z976</f>
        <v>0</v>
      </c>
      <c r="AB976">
        <f>セットアップレポート!AA976</f>
        <v>0</v>
      </c>
      <c r="AC976">
        <f>セットアップレポート!AB976</f>
        <v>0</v>
      </c>
      <c r="AD976">
        <f>セットアップレポート!AC976</f>
        <v>0</v>
      </c>
      <c r="AE976">
        <f>セットアップレポート!AD976</f>
        <v>0</v>
      </c>
      <c r="AF976">
        <f>セットアップレポート!AE976</f>
        <v>0</v>
      </c>
      <c r="AG976">
        <f>セットアップレポート!AF976</f>
        <v>0</v>
      </c>
      <c r="AH976">
        <f>セットアップレポート!AG976</f>
        <v>0</v>
      </c>
    </row>
    <row r="977" spans="1:34" x14ac:dyDescent="0.45">
      <c r="A977" t="str">
        <f t="shared" si="15"/>
        <v>000</v>
      </c>
      <c r="B977">
        <f>セットアップレポート!A977</f>
        <v>0</v>
      </c>
      <c r="C977">
        <f>セットアップレポート!B977</f>
        <v>0</v>
      </c>
      <c r="D977">
        <f>セットアップレポート!C977</f>
        <v>0</v>
      </c>
      <c r="E977">
        <f>セットアップレポート!D977</f>
        <v>0</v>
      </c>
      <c r="F977">
        <f>セットアップレポート!E977</f>
        <v>0</v>
      </c>
      <c r="G977">
        <f>セットアップレポート!F977</f>
        <v>0</v>
      </c>
      <c r="H977">
        <f>セットアップレポート!G977</f>
        <v>0</v>
      </c>
      <c r="I977">
        <f>セットアップレポート!H977</f>
        <v>0</v>
      </c>
      <c r="J977">
        <f>セットアップレポート!I977</f>
        <v>0</v>
      </c>
      <c r="K977">
        <f>セットアップレポート!J977</f>
        <v>0</v>
      </c>
      <c r="L977">
        <f>セットアップレポート!K977</f>
        <v>0</v>
      </c>
      <c r="M977">
        <f>セットアップレポート!L977</f>
        <v>0</v>
      </c>
      <c r="N977">
        <f>セットアップレポート!M977</f>
        <v>0</v>
      </c>
      <c r="O977">
        <f>セットアップレポート!N977</f>
        <v>0</v>
      </c>
      <c r="P977">
        <f>セットアップレポート!O977</f>
        <v>0</v>
      </c>
      <c r="Q977">
        <f>セットアップレポート!P977</f>
        <v>0</v>
      </c>
      <c r="R977">
        <f>セットアップレポート!Q977</f>
        <v>0</v>
      </c>
      <c r="S977">
        <f>セットアップレポート!R977</f>
        <v>0</v>
      </c>
      <c r="T977">
        <f>セットアップレポート!S977</f>
        <v>0</v>
      </c>
      <c r="U977">
        <f>セットアップレポート!T977</f>
        <v>0</v>
      </c>
      <c r="V977">
        <f>セットアップレポート!U977</f>
        <v>0</v>
      </c>
      <c r="W977">
        <f>セットアップレポート!V977</f>
        <v>0</v>
      </c>
      <c r="X977">
        <f>セットアップレポート!W977</f>
        <v>0</v>
      </c>
      <c r="Y977">
        <f>セットアップレポート!X977</f>
        <v>0</v>
      </c>
      <c r="Z977">
        <f>セットアップレポート!Y977</f>
        <v>0</v>
      </c>
      <c r="AA977">
        <f>セットアップレポート!Z977</f>
        <v>0</v>
      </c>
      <c r="AB977">
        <f>セットアップレポート!AA977</f>
        <v>0</v>
      </c>
      <c r="AC977">
        <f>セットアップレポート!AB977</f>
        <v>0</v>
      </c>
      <c r="AD977">
        <f>セットアップレポート!AC977</f>
        <v>0</v>
      </c>
      <c r="AE977">
        <f>セットアップレポート!AD977</f>
        <v>0</v>
      </c>
      <c r="AF977">
        <f>セットアップレポート!AE977</f>
        <v>0</v>
      </c>
      <c r="AG977">
        <f>セットアップレポート!AF977</f>
        <v>0</v>
      </c>
      <c r="AH977">
        <f>セットアップレポート!AG977</f>
        <v>0</v>
      </c>
    </row>
    <row r="978" spans="1:34" x14ac:dyDescent="0.45">
      <c r="A978" t="str">
        <f t="shared" si="15"/>
        <v>000</v>
      </c>
      <c r="B978">
        <f>セットアップレポート!A978</f>
        <v>0</v>
      </c>
      <c r="C978">
        <f>セットアップレポート!B978</f>
        <v>0</v>
      </c>
      <c r="D978">
        <f>セットアップレポート!C978</f>
        <v>0</v>
      </c>
      <c r="E978">
        <f>セットアップレポート!D978</f>
        <v>0</v>
      </c>
      <c r="F978">
        <f>セットアップレポート!E978</f>
        <v>0</v>
      </c>
      <c r="G978">
        <f>セットアップレポート!F978</f>
        <v>0</v>
      </c>
      <c r="H978">
        <f>セットアップレポート!G978</f>
        <v>0</v>
      </c>
      <c r="I978">
        <f>セットアップレポート!H978</f>
        <v>0</v>
      </c>
      <c r="J978">
        <f>セットアップレポート!I978</f>
        <v>0</v>
      </c>
      <c r="K978">
        <f>セットアップレポート!J978</f>
        <v>0</v>
      </c>
      <c r="L978">
        <f>セットアップレポート!K978</f>
        <v>0</v>
      </c>
      <c r="M978">
        <f>セットアップレポート!L978</f>
        <v>0</v>
      </c>
      <c r="N978">
        <f>セットアップレポート!M978</f>
        <v>0</v>
      </c>
      <c r="O978">
        <f>セットアップレポート!N978</f>
        <v>0</v>
      </c>
      <c r="P978">
        <f>セットアップレポート!O978</f>
        <v>0</v>
      </c>
      <c r="Q978">
        <f>セットアップレポート!P978</f>
        <v>0</v>
      </c>
      <c r="R978">
        <f>セットアップレポート!Q978</f>
        <v>0</v>
      </c>
      <c r="S978">
        <f>セットアップレポート!R978</f>
        <v>0</v>
      </c>
      <c r="T978">
        <f>セットアップレポート!S978</f>
        <v>0</v>
      </c>
      <c r="U978">
        <f>セットアップレポート!T978</f>
        <v>0</v>
      </c>
      <c r="V978">
        <f>セットアップレポート!U978</f>
        <v>0</v>
      </c>
      <c r="W978">
        <f>セットアップレポート!V978</f>
        <v>0</v>
      </c>
      <c r="X978">
        <f>セットアップレポート!W978</f>
        <v>0</v>
      </c>
      <c r="Y978">
        <f>セットアップレポート!X978</f>
        <v>0</v>
      </c>
      <c r="Z978">
        <f>セットアップレポート!Y978</f>
        <v>0</v>
      </c>
      <c r="AA978">
        <f>セットアップレポート!Z978</f>
        <v>0</v>
      </c>
      <c r="AB978">
        <f>セットアップレポート!AA978</f>
        <v>0</v>
      </c>
      <c r="AC978">
        <f>セットアップレポート!AB978</f>
        <v>0</v>
      </c>
      <c r="AD978">
        <f>セットアップレポート!AC978</f>
        <v>0</v>
      </c>
      <c r="AE978">
        <f>セットアップレポート!AD978</f>
        <v>0</v>
      </c>
      <c r="AF978">
        <f>セットアップレポート!AE978</f>
        <v>0</v>
      </c>
      <c r="AG978">
        <f>セットアップレポート!AF978</f>
        <v>0</v>
      </c>
      <c r="AH978">
        <f>セットアップレポート!AG978</f>
        <v>0</v>
      </c>
    </row>
    <row r="979" spans="1:34" x14ac:dyDescent="0.45">
      <c r="A979" t="str">
        <f t="shared" si="15"/>
        <v>000</v>
      </c>
      <c r="B979">
        <f>セットアップレポート!A979</f>
        <v>0</v>
      </c>
      <c r="C979">
        <f>セットアップレポート!B979</f>
        <v>0</v>
      </c>
      <c r="D979">
        <f>セットアップレポート!C979</f>
        <v>0</v>
      </c>
      <c r="E979">
        <f>セットアップレポート!D979</f>
        <v>0</v>
      </c>
      <c r="F979">
        <f>セットアップレポート!E979</f>
        <v>0</v>
      </c>
      <c r="G979">
        <f>セットアップレポート!F979</f>
        <v>0</v>
      </c>
      <c r="H979">
        <f>セットアップレポート!G979</f>
        <v>0</v>
      </c>
      <c r="I979">
        <f>セットアップレポート!H979</f>
        <v>0</v>
      </c>
      <c r="J979">
        <f>セットアップレポート!I979</f>
        <v>0</v>
      </c>
      <c r="K979">
        <f>セットアップレポート!J979</f>
        <v>0</v>
      </c>
      <c r="L979">
        <f>セットアップレポート!K979</f>
        <v>0</v>
      </c>
      <c r="M979">
        <f>セットアップレポート!L979</f>
        <v>0</v>
      </c>
      <c r="N979">
        <f>セットアップレポート!M979</f>
        <v>0</v>
      </c>
      <c r="O979">
        <f>セットアップレポート!N979</f>
        <v>0</v>
      </c>
      <c r="P979">
        <f>セットアップレポート!O979</f>
        <v>0</v>
      </c>
      <c r="Q979">
        <f>セットアップレポート!P979</f>
        <v>0</v>
      </c>
      <c r="R979">
        <f>セットアップレポート!Q979</f>
        <v>0</v>
      </c>
      <c r="S979">
        <f>セットアップレポート!R979</f>
        <v>0</v>
      </c>
      <c r="T979">
        <f>セットアップレポート!S979</f>
        <v>0</v>
      </c>
      <c r="U979">
        <f>セットアップレポート!T979</f>
        <v>0</v>
      </c>
      <c r="V979">
        <f>セットアップレポート!U979</f>
        <v>0</v>
      </c>
      <c r="W979">
        <f>セットアップレポート!V979</f>
        <v>0</v>
      </c>
      <c r="X979">
        <f>セットアップレポート!W979</f>
        <v>0</v>
      </c>
      <c r="Y979">
        <f>セットアップレポート!X979</f>
        <v>0</v>
      </c>
      <c r="Z979">
        <f>セットアップレポート!Y979</f>
        <v>0</v>
      </c>
      <c r="AA979">
        <f>セットアップレポート!Z979</f>
        <v>0</v>
      </c>
      <c r="AB979">
        <f>セットアップレポート!AA979</f>
        <v>0</v>
      </c>
      <c r="AC979">
        <f>セットアップレポート!AB979</f>
        <v>0</v>
      </c>
      <c r="AD979">
        <f>セットアップレポート!AC979</f>
        <v>0</v>
      </c>
      <c r="AE979">
        <f>セットアップレポート!AD979</f>
        <v>0</v>
      </c>
      <c r="AF979">
        <f>セットアップレポート!AE979</f>
        <v>0</v>
      </c>
      <c r="AG979">
        <f>セットアップレポート!AF979</f>
        <v>0</v>
      </c>
      <c r="AH979">
        <f>セットアップレポート!AG979</f>
        <v>0</v>
      </c>
    </row>
    <row r="980" spans="1:34" x14ac:dyDescent="0.45">
      <c r="A980" t="str">
        <f t="shared" si="15"/>
        <v>000</v>
      </c>
      <c r="B980">
        <f>セットアップレポート!A980</f>
        <v>0</v>
      </c>
      <c r="C980">
        <f>セットアップレポート!B980</f>
        <v>0</v>
      </c>
      <c r="D980">
        <f>セットアップレポート!C980</f>
        <v>0</v>
      </c>
      <c r="E980">
        <f>セットアップレポート!D980</f>
        <v>0</v>
      </c>
      <c r="F980">
        <f>セットアップレポート!E980</f>
        <v>0</v>
      </c>
      <c r="G980">
        <f>セットアップレポート!F980</f>
        <v>0</v>
      </c>
      <c r="H980">
        <f>セットアップレポート!G980</f>
        <v>0</v>
      </c>
      <c r="I980">
        <f>セットアップレポート!H980</f>
        <v>0</v>
      </c>
      <c r="J980">
        <f>セットアップレポート!I980</f>
        <v>0</v>
      </c>
      <c r="K980">
        <f>セットアップレポート!J980</f>
        <v>0</v>
      </c>
      <c r="L980">
        <f>セットアップレポート!K980</f>
        <v>0</v>
      </c>
      <c r="M980">
        <f>セットアップレポート!L980</f>
        <v>0</v>
      </c>
      <c r="N980">
        <f>セットアップレポート!M980</f>
        <v>0</v>
      </c>
      <c r="O980">
        <f>セットアップレポート!N980</f>
        <v>0</v>
      </c>
      <c r="P980">
        <f>セットアップレポート!O980</f>
        <v>0</v>
      </c>
      <c r="Q980">
        <f>セットアップレポート!P980</f>
        <v>0</v>
      </c>
      <c r="R980">
        <f>セットアップレポート!Q980</f>
        <v>0</v>
      </c>
      <c r="S980">
        <f>セットアップレポート!R980</f>
        <v>0</v>
      </c>
      <c r="T980">
        <f>セットアップレポート!S980</f>
        <v>0</v>
      </c>
      <c r="U980">
        <f>セットアップレポート!T980</f>
        <v>0</v>
      </c>
      <c r="V980">
        <f>セットアップレポート!U980</f>
        <v>0</v>
      </c>
      <c r="W980">
        <f>セットアップレポート!V980</f>
        <v>0</v>
      </c>
      <c r="X980">
        <f>セットアップレポート!W980</f>
        <v>0</v>
      </c>
      <c r="Y980">
        <f>セットアップレポート!X980</f>
        <v>0</v>
      </c>
      <c r="Z980">
        <f>セットアップレポート!Y980</f>
        <v>0</v>
      </c>
      <c r="AA980">
        <f>セットアップレポート!Z980</f>
        <v>0</v>
      </c>
      <c r="AB980">
        <f>セットアップレポート!AA980</f>
        <v>0</v>
      </c>
      <c r="AC980">
        <f>セットアップレポート!AB980</f>
        <v>0</v>
      </c>
      <c r="AD980">
        <f>セットアップレポート!AC980</f>
        <v>0</v>
      </c>
      <c r="AE980">
        <f>セットアップレポート!AD980</f>
        <v>0</v>
      </c>
      <c r="AF980">
        <f>セットアップレポート!AE980</f>
        <v>0</v>
      </c>
      <c r="AG980">
        <f>セットアップレポート!AF980</f>
        <v>0</v>
      </c>
      <c r="AH980">
        <f>セットアップレポート!AG980</f>
        <v>0</v>
      </c>
    </row>
    <row r="981" spans="1:34" x14ac:dyDescent="0.45">
      <c r="A981" t="str">
        <f t="shared" si="15"/>
        <v>000</v>
      </c>
      <c r="B981">
        <f>セットアップレポート!A981</f>
        <v>0</v>
      </c>
      <c r="C981">
        <f>セットアップレポート!B981</f>
        <v>0</v>
      </c>
      <c r="D981">
        <f>セットアップレポート!C981</f>
        <v>0</v>
      </c>
      <c r="E981">
        <f>セットアップレポート!D981</f>
        <v>0</v>
      </c>
      <c r="F981">
        <f>セットアップレポート!E981</f>
        <v>0</v>
      </c>
      <c r="G981">
        <f>セットアップレポート!F981</f>
        <v>0</v>
      </c>
      <c r="H981">
        <f>セットアップレポート!G981</f>
        <v>0</v>
      </c>
      <c r="I981">
        <f>セットアップレポート!H981</f>
        <v>0</v>
      </c>
      <c r="J981">
        <f>セットアップレポート!I981</f>
        <v>0</v>
      </c>
      <c r="K981">
        <f>セットアップレポート!J981</f>
        <v>0</v>
      </c>
      <c r="L981">
        <f>セットアップレポート!K981</f>
        <v>0</v>
      </c>
      <c r="M981">
        <f>セットアップレポート!L981</f>
        <v>0</v>
      </c>
      <c r="N981">
        <f>セットアップレポート!M981</f>
        <v>0</v>
      </c>
      <c r="O981">
        <f>セットアップレポート!N981</f>
        <v>0</v>
      </c>
      <c r="P981">
        <f>セットアップレポート!O981</f>
        <v>0</v>
      </c>
      <c r="Q981">
        <f>セットアップレポート!P981</f>
        <v>0</v>
      </c>
      <c r="R981">
        <f>セットアップレポート!Q981</f>
        <v>0</v>
      </c>
      <c r="S981">
        <f>セットアップレポート!R981</f>
        <v>0</v>
      </c>
      <c r="T981">
        <f>セットアップレポート!S981</f>
        <v>0</v>
      </c>
      <c r="U981">
        <f>セットアップレポート!T981</f>
        <v>0</v>
      </c>
      <c r="V981">
        <f>セットアップレポート!U981</f>
        <v>0</v>
      </c>
      <c r="W981">
        <f>セットアップレポート!V981</f>
        <v>0</v>
      </c>
      <c r="X981">
        <f>セットアップレポート!W981</f>
        <v>0</v>
      </c>
      <c r="Y981">
        <f>セットアップレポート!X981</f>
        <v>0</v>
      </c>
      <c r="Z981">
        <f>セットアップレポート!Y981</f>
        <v>0</v>
      </c>
      <c r="AA981">
        <f>セットアップレポート!Z981</f>
        <v>0</v>
      </c>
      <c r="AB981">
        <f>セットアップレポート!AA981</f>
        <v>0</v>
      </c>
      <c r="AC981">
        <f>セットアップレポート!AB981</f>
        <v>0</v>
      </c>
      <c r="AD981">
        <f>セットアップレポート!AC981</f>
        <v>0</v>
      </c>
      <c r="AE981">
        <f>セットアップレポート!AD981</f>
        <v>0</v>
      </c>
      <c r="AF981">
        <f>セットアップレポート!AE981</f>
        <v>0</v>
      </c>
      <c r="AG981">
        <f>セットアップレポート!AF981</f>
        <v>0</v>
      </c>
      <c r="AH981">
        <f>セットアップレポート!AG981</f>
        <v>0</v>
      </c>
    </row>
    <row r="982" spans="1:34" x14ac:dyDescent="0.45">
      <c r="A982" t="str">
        <f t="shared" si="15"/>
        <v>000</v>
      </c>
      <c r="B982">
        <f>セットアップレポート!A982</f>
        <v>0</v>
      </c>
      <c r="C982">
        <f>セットアップレポート!B982</f>
        <v>0</v>
      </c>
      <c r="D982">
        <f>セットアップレポート!C982</f>
        <v>0</v>
      </c>
      <c r="E982">
        <f>セットアップレポート!D982</f>
        <v>0</v>
      </c>
      <c r="F982">
        <f>セットアップレポート!E982</f>
        <v>0</v>
      </c>
      <c r="G982">
        <f>セットアップレポート!F982</f>
        <v>0</v>
      </c>
      <c r="H982">
        <f>セットアップレポート!G982</f>
        <v>0</v>
      </c>
      <c r="I982">
        <f>セットアップレポート!H982</f>
        <v>0</v>
      </c>
      <c r="J982">
        <f>セットアップレポート!I982</f>
        <v>0</v>
      </c>
      <c r="K982">
        <f>セットアップレポート!J982</f>
        <v>0</v>
      </c>
      <c r="L982">
        <f>セットアップレポート!K982</f>
        <v>0</v>
      </c>
      <c r="M982">
        <f>セットアップレポート!L982</f>
        <v>0</v>
      </c>
      <c r="N982">
        <f>セットアップレポート!M982</f>
        <v>0</v>
      </c>
      <c r="O982">
        <f>セットアップレポート!N982</f>
        <v>0</v>
      </c>
      <c r="P982">
        <f>セットアップレポート!O982</f>
        <v>0</v>
      </c>
      <c r="Q982">
        <f>セットアップレポート!P982</f>
        <v>0</v>
      </c>
      <c r="R982">
        <f>セットアップレポート!Q982</f>
        <v>0</v>
      </c>
      <c r="S982">
        <f>セットアップレポート!R982</f>
        <v>0</v>
      </c>
      <c r="T982">
        <f>セットアップレポート!S982</f>
        <v>0</v>
      </c>
      <c r="U982">
        <f>セットアップレポート!T982</f>
        <v>0</v>
      </c>
      <c r="V982">
        <f>セットアップレポート!U982</f>
        <v>0</v>
      </c>
      <c r="W982">
        <f>セットアップレポート!V982</f>
        <v>0</v>
      </c>
      <c r="X982">
        <f>セットアップレポート!W982</f>
        <v>0</v>
      </c>
      <c r="Y982">
        <f>セットアップレポート!X982</f>
        <v>0</v>
      </c>
      <c r="Z982">
        <f>セットアップレポート!Y982</f>
        <v>0</v>
      </c>
      <c r="AA982">
        <f>セットアップレポート!Z982</f>
        <v>0</v>
      </c>
      <c r="AB982">
        <f>セットアップレポート!AA982</f>
        <v>0</v>
      </c>
      <c r="AC982">
        <f>セットアップレポート!AB982</f>
        <v>0</v>
      </c>
      <c r="AD982">
        <f>セットアップレポート!AC982</f>
        <v>0</v>
      </c>
      <c r="AE982">
        <f>セットアップレポート!AD982</f>
        <v>0</v>
      </c>
      <c r="AF982">
        <f>セットアップレポート!AE982</f>
        <v>0</v>
      </c>
      <c r="AG982">
        <f>セットアップレポート!AF982</f>
        <v>0</v>
      </c>
      <c r="AH982">
        <f>セットアップレポート!AG982</f>
        <v>0</v>
      </c>
    </row>
    <row r="983" spans="1:34" x14ac:dyDescent="0.45">
      <c r="A983" t="str">
        <f t="shared" si="15"/>
        <v>000</v>
      </c>
      <c r="B983">
        <f>セットアップレポート!A983</f>
        <v>0</v>
      </c>
      <c r="C983">
        <f>セットアップレポート!B983</f>
        <v>0</v>
      </c>
      <c r="D983">
        <f>セットアップレポート!C983</f>
        <v>0</v>
      </c>
      <c r="E983">
        <f>セットアップレポート!D983</f>
        <v>0</v>
      </c>
      <c r="F983">
        <f>セットアップレポート!E983</f>
        <v>0</v>
      </c>
      <c r="G983">
        <f>セットアップレポート!F983</f>
        <v>0</v>
      </c>
      <c r="H983">
        <f>セットアップレポート!G983</f>
        <v>0</v>
      </c>
      <c r="I983">
        <f>セットアップレポート!H983</f>
        <v>0</v>
      </c>
      <c r="J983">
        <f>セットアップレポート!I983</f>
        <v>0</v>
      </c>
      <c r="K983">
        <f>セットアップレポート!J983</f>
        <v>0</v>
      </c>
      <c r="L983">
        <f>セットアップレポート!K983</f>
        <v>0</v>
      </c>
      <c r="M983">
        <f>セットアップレポート!L983</f>
        <v>0</v>
      </c>
      <c r="N983">
        <f>セットアップレポート!M983</f>
        <v>0</v>
      </c>
      <c r="O983">
        <f>セットアップレポート!N983</f>
        <v>0</v>
      </c>
      <c r="P983">
        <f>セットアップレポート!O983</f>
        <v>0</v>
      </c>
      <c r="Q983">
        <f>セットアップレポート!P983</f>
        <v>0</v>
      </c>
      <c r="R983">
        <f>セットアップレポート!Q983</f>
        <v>0</v>
      </c>
      <c r="S983">
        <f>セットアップレポート!R983</f>
        <v>0</v>
      </c>
      <c r="T983">
        <f>セットアップレポート!S983</f>
        <v>0</v>
      </c>
      <c r="U983">
        <f>セットアップレポート!T983</f>
        <v>0</v>
      </c>
      <c r="V983">
        <f>セットアップレポート!U983</f>
        <v>0</v>
      </c>
      <c r="W983">
        <f>セットアップレポート!V983</f>
        <v>0</v>
      </c>
      <c r="X983">
        <f>セットアップレポート!W983</f>
        <v>0</v>
      </c>
      <c r="Y983">
        <f>セットアップレポート!X983</f>
        <v>0</v>
      </c>
      <c r="Z983">
        <f>セットアップレポート!Y983</f>
        <v>0</v>
      </c>
      <c r="AA983">
        <f>セットアップレポート!Z983</f>
        <v>0</v>
      </c>
      <c r="AB983">
        <f>セットアップレポート!AA983</f>
        <v>0</v>
      </c>
      <c r="AC983">
        <f>セットアップレポート!AB983</f>
        <v>0</v>
      </c>
      <c r="AD983">
        <f>セットアップレポート!AC983</f>
        <v>0</v>
      </c>
      <c r="AE983">
        <f>セットアップレポート!AD983</f>
        <v>0</v>
      </c>
      <c r="AF983">
        <f>セットアップレポート!AE983</f>
        <v>0</v>
      </c>
      <c r="AG983">
        <f>セットアップレポート!AF983</f>
        <v>0</v>
      </c>
      <c r="AH983">
        <f>セットアップレポート!AG983</f>
        <v>0</v>
      </c>
    </row>
    <row r="984" spans="1:34" x14ac:dyDescent="0.45">
      <c r="A984" t="str">
        <f t="shared" si="15"/>
        <v>000</v>
      </c>
      <c r="B984">
        <f>セットアップレポート!A984</f>
        <v>0</v>
      </c>
      <c r="C984">
        <f>セットアップレポート!B984</f>
        <v>0</v>
      </c>
      <c r="D984">
        <f>セットアップレポート!C984</f>
        <v>0</v>
      </c>
      <c r="E984">
        <f>セットアップレポート!D984</f>
        <v>0</v>
      </c>
      <c r="F984">
        <f>セットアップレポート!E984</f>
        <v>0</v>
      </c>
      <c r="G984">
        <f>セットアップレポート!F984</f>
        <v>0</v>
      </c>
      <c r="H984">
        <f>セットアップレポート!G984</f>
        <v>0</v>
      </c>
      <c r="I984">
        <f>セットアップレポート!H984</f>
        <v>0</v>
      </c>
      <c r="J984">
        <f>セットアップレポート!I984</f>
        <v>0</v>
      </c>
      <c r="K984">
        <f>セットアップレポート!J984</f>
        <v>0</v>
      </c>
      <c r="L984">
        <f>セットアップレポート!K984</f>
        <v>0</v>
      </c>
      <c r="M984">
        <f>セットアップレポート!L984</f>
        <v>0</v>
      </c>
      <c r="N984">
        <f>セットアップレポート!M984</f>
        <v>0</v>
      </c>
      <c r="O984">
        <f>セットアップレポート!N984</f>
        <v>0</v>
      </c>
      <c r="P984">
        <f>セットアップレポート!O984</f>
        <v>0</v>
      </c>
      <c r="Q984">
        <f>セットアップレポート!P984</f>
        <v>0</v>
      </c>
      <c r="R984">
        <f>セットアップレポート!Q984</f>
        <v>0</v>
      </c>
      <c r="S984">
        <f>セットアップレポート!R984</f>
        <v>0</v>
      </c>
      <c r="T984">
        <f>セットアップレポート!S984</f>
        <v>0</v>
      </c>
      <c r="U984">
        <f>セットアップレポート!T984</f>
        <v>0</v>
      </c>
      <c r="V984">
        <f>セットアップレポート!U984</f>
        <v>0</v>
      </c>
      <c r="W984">
        <f>セットアップレポート!V984</f>
        <v>0</v>
      </c>
      <c r="X984">
        <f>セットアップレポート!W984</f>
        <v>0</v>
      </c>
      <c r="Y984">
        <f>セットアップレポート!X984</f>
        <v>0</v>
      </c>
      <c r="Z984">
        <f>セットアップレポート!Y984</f>
        <v>0</v>
      </c>
      <c r="AA984">
        <f>セットアップレポート!Z984</f>
        <v>0</v>
      </c>
      <c r="AB984">
        <f>セットアップレポート!AA984</f>
        <v>0</v>
      </c>
      <c r="AC984">
        <f>セットアップレポート!AB984</f>
        <v>0</v>
      </c>
      <c r="AD984">
        <f>セットアップレポート!AC984</f>
        <v>0</v>
      </c>
      <c r="AE984">
        <f>セットアップレポート!AD984</f>
        <v>0</v>
      </c>
      <c r="AF984">
        <f>セットアップレポート!AE984</f>
        <v>0</v>
      </c>
      <c r="AG984">
        <f>セットアップレポート!AF984</f>
        <v>0</v>
      </c>
      <c r="AH984">
        <f>セットアップレポート!AG984</f>
        <v>0</v>
      </c>
    </row>
    <row r="985" spans="1:34" x14ac:dyDescent="0.45">
      <c r="A985" t="str">
        <f t="shared" si="15"/>
        <v>000</v>
      </c>
      <c r="B985">
        <f>セットアップレポート!A985</f>
        <v>0</v>
      </c>
      <c r="C985">
        <f>セットアップレポート!B985</f>
        <v>0</v>
      </c>
      <c r="D985">
        <f>セットアップレポート!C985</f>
        <v>0</v>
      </c>
      <c r="E985">
        <f>セットアップレポート!D985</f>
        <v>0</v>
      </c>
      <c r="F985">
        <f>セットアップレポート!E985</f>
        <v>0</v>
      </c>
      <c r="G985">
        <f>セットアップレポート!F985</f>
        <v>0</v>
      </c>
      <c r="H985">
        <f>セットアップレポート!G985</f>
        <v>0</v>
      </c>
      <c r="I985">
        <f>セットアップレポート!H985</f>
        <v>0</v>
      </c>
      <c r="J985">
        <f>セットアップレポート!I985</f>
        <v>0</v>
      </c>
      <c r="K985">
        <f>セットアップレポート!J985</f>
        <v>0</v>
      </c>
      <c r="L985">
        <f>セットアップレポート!K985</f>
        <v>0</v>
      </c>
      <c r="M985">
        <f>セットアップレポート!L985</f>
        <v>0</v>
      </c>
      <c r="N985">
        <f>セットアップレポート!M985</f>
        <v>0</v>
      </c>
      <c r="O985">
        <f>セットアップレポート!N985</f>
        <v>0</v>
      </c>
      <c r="P985">
        <f>セットアップレポート!O985</f>
        <v>0</v>
      </c>
      <c r="Q985">
        <f>セットアップレポート!P985</f>
        <v>0</v>
      </c>
      <c r="R985">
        <f>セットアップレポート!Q985</f>
        <v>0</v>
      </c>
      <c r="S985">
        <f>セットアップレポート!R985</f>
        <v>0</v>
      </c>
      <c r="T985">
        <f>セットアップレポート!S985</f>
        <v>0</v>
      </c>
      <c r="U985">
        <f>セットアップレポート!T985</f>
        <v>0</v>
      </c>
      <c r="V985">
        <f>セットアップレポート!U985</f>
        <v>0</v>
      </c>
      <c r="W985">
        <f>セットアップレポート!V985</f>
        <v>0</v>
      </c>
      <c r="X985">
        <f>セットアップレポート!W985</f>
        <v>0</v>
      </c>
      <c r="Y985">
        <f>セットアップレポート!X985</f>
        <v>0</v>
      </c>
      <c r="Z985">
        <f>セットアップレポート!Y985</f>
        <v>0</v>
      </c>
      <c r="AA985">
        <f>セットアップレポート!Z985</f>
        <v>0</v>
      </c>
      <c r="AB985">
        <f>セットアップレポート!AA985</f>
        <v>0</v>
      </c>
      <c r="AC985">
        <f>セットアップレポート!AB985</f>
        <v>0</v>
      </c>
      <c r="AD985">
        <f>セットアップレポート!AC985</f>
        <v>0</v>
      </c>
      <c r="AE985">
        <f>セットアップレポート!AD985</f>
        <v>0</v>
      </c>
      <c r="AF985">
        <f>セットアップレポート!AE985</f>
        <v>0</v>
      </c>
      <c r="AG985">
        <f>セットアップレポート!AF985</f>
        <v>0</v>
      </c>
      <c r="AH985">
        <f>セットアップレポート!AG985</f>
        <v>0</v>
      </c>
    </row>
    <row r="986" spans="1:34" x14ac:dyDescent="0.45">
      <c r="A986" t="str">
        <f t="shared" si="15"/>
        <v>000</v>
      </c>
      <c r="B986">
        <f>セットアップレポート!A986</f>
        <v>0</v>
      </c>
      <c r="C986">
        <f>セットアップレポート!B986</f>
        <v>0</v>
      </c>
      <c r="D986">
        <f>セットアップレポート!C986</f>
        <v>0</v>
      </c>
      <c r="E986">
        <f>セットアップレポート!D986</f>
        <v>0</v>
      </c>
      <c r="F986">
        <f>セットアップレポート!E986</f>
        <v>0</v>
      </c>
      <c r="G986">
        <f>セットアップレポート!F986</f>
        <v>0</v>
      </c>
      <c r="H986">
        <f>セットアップレポート!G986</f>
        <v>0</v>
      </c>
      <c r="I986">
        <f>セットアップレポート!H986</f>
        <v>0</v>
      </c>
      <c r="J986">
        <f>セットアップレポート!I986</f>
        <v>0</v>
      </c>
      <c r="K986">
        <f>セットアップレポート!J986</f>
        <v>0</v>
      </c>
      <c r="L986">
        <f>セットアップレポート!K986</f>
        <v>0</v>
      </c>
      <c r="M986">
        <f>セットアップレポート!L986</f>
        <v>0</v>
      </c>
      <c r="N986">
        <f>セットアップレポート!M986</f>
        <v>0</v>
      </c>
      <c r="O986">
        <f>セットアップレポート!N986</f>
        <v>0</v>
      </c>
      <c r="P986">
        <f>セットアップレポート!O986</f>
        <v>0</v>
      </c>
      <c r="Q986">
        <f>セットアップレポート!P986</f>
        <v>0</v>
      </c>
      <c r="R986">
        <f>セットアップレポート!Q986</f>
        <v>0</v>
      </c>
      <c r="S986">
        <f>セットアップレポート!R986</f>
        <v>0</v>
      </c>
      <c r="T986">
        <f>セットアップレポート!S986</f>
        <v>0</v>
      </c>
      <c r="U986">
        <f>セットアップレポート!T986</f>
        <v>0</v>
      </c>
      <c r="V986">
        <f>セットアップレポート!U986</f>
        <v>0</v>
      </c>
      <c r="W986">
        <f>セットアップレポート!V986</f>
        <v>0</v>
      </c>
      <c r="X986">
        <f>セットアップレポート!W986</f>
        <v>0</v>
      </c>
      <c r="Y986">
        <f>セットアップレポート!X986</f>
        <v>0</v>
      </c>
      <c r="Z986">
        <f>セットアップレポート!Y986</f>
        <v>0</v>
      </c>
      <c r="AA986">
        <f>セットアップレポート!Z986</f>
        <v>0</v>
      </c>
      <c r="AB986">
        <f>セットアップレポート!AA986</f>
        <v>0</v>
      </c>
      <c r="AC986">
        <f>セットアップレポート!AB986</f>
        <v>0</v>
      </c>
      <c r="AD986">
        <f>セットアップレポート!AC986</f>
        <v>0</v>
      </c>
      <c r="AE986">
        <f>セットアップレポート!AD986</f>
        <v>0</v>
      </c>
      <c r="AF986">
        <f>セットアップレポート!AE986</f>
        <v>0</v>
      </c>
      <c r="AG986">
        <f>セットアップレポート!AF986</f>
        <v>0</v>
      </c>
      <c r="AH986">
        <f>セットアップレポート!AG986</f>
        <v>0</v>
      </c>
    </row>
    <row r="987" spans="1:34" x14ac:dyDescent="0.45">
      <c r="A987" t="str">
        <f t="shared" si="15"/>
        <v>000</v>
      </c>
      <c r="B987">
        <f>セットアップレポート!A987</f>
        <v>0</v>
      </c>
      <c r="C987">
        <f>セットアップレポート!B987</f>
        <v>0</v>
      </c>
      <c r="D987">
        <f>セットアップレポート!C987</f>
        <v>0</v>
      </c>
      <c r="E987">
        <f>セットアップレポート!D987</f>
        <v>0</v>
      </c>
      <c r="F987">
        <f>セットアップレポート!E987</f>
        <v>0</v>
      </c>
      <c r="G987">
        <f>セットアップレポート!F987</f>
        <v>0</v>
      </c>
      <c r="H987">
        <f>セットアップレポート!G987</f>
        <v>0</v>
      </c>
      <c r="I987">
        <f>セットアップレポート!H987</f>
        <v>0</v>
      </c>
      <c r="J987">
        <f>セットアップレポート!I987</f>
        <v>0</v>
      </c>
      <c r="K987">
        <f>セットアップレポート!J987</f>
        <v>0</v>
      </c>
      <c r="L987">
        <f>セットアップレポート!K987</f>
        <v>0</v>
      </c>
      <c r="M987">
        <f>セットアップレポート!L987</f>
        <v>0</v>
      </c>
      <c r="N987">
        <f>セットアップレポート!M987</f>
        <v>0</v>
      </c>
      <c r="O987">
        <f>セットアップレポート!N987</f>
        <v>0</v>
      </c>
      <c r="P987">
        <f>セットアップレポート!O987</f>
        <v>0</v>
      </c>
      <c r="Q987">
        <f>セットアップレポート!P987</f>
        <v>0</v>
      </c>
      <c r="R987">
        <f>セットアップレポート!Q987</f>
        <v>0</v>
      </c>
      <c r="S987">
        <f>セットアップレポート!R987</f>
        <v>0</v>
      </c>
      <c r="T987">
        <f>セットアップレポート!S987</f>
        <v>0</v>
      </c>
      <c r="U987">
        <f>セットアップレポート!T987</f>
        <v>0</v>
      </c>
      <c r="V987">
        <f>セットアップレポート!U987</f>
        <v>0</v>
      </c>
      <c r="W987">
        <f>セットアップレポート!V987</f>
        <v>0</v>
      </c>
      <c r="X987">
        <f>セットアップレポート!W987</f>
        <v>0</v>
      </c>
      <c r="Y987">
        <f>セットアップレポート!X987</f>
        <v>0</v>
      </c>
      <c r="Z987">
        <f>セットアップレポート!Y987</f>
        <v>0</v>
      </c>
      <c r="AA987">
        <f>セットアップレポート!Z987</f>
        <v>0</v>
      </c>
      <c r="AB987">
        <f>セットアップレポート!AA987</f>
        <v>0</v>
      </c>
      <c r="AC987">
        <f>セットアップレポート!AB987</f>
        <v>0</v>
      </c>
      <c r="AD987">
        <f>セットアップレポート!AC987</f>
        <v>0</v>
      </c>
      <c r="AE987">
        <f>セットアップレポート!AD987</f>
        <v>0</v>
      </c>
      <c r="AF987">
        <f>セットアップレポート!AE987</f>
        <v>0</v>
      </c>
      <c r="AG987">
        <f>セットアップレポート!AF987</f>
        <v>0</v>
      </c>
      <c r="AH987">
        <f>セットアップレポート!AG987</f>
        <v>0</v>
      </c>
    </row>
    <row r="988" spans="1:34" x14ac:dyDescent="0.45">
      <c r="A988" t="str">
        <f t="shared" si="15"/>
        <v>000</v>
      </c>
      <c r="B988">
        <f>セットアップレポート!A988</f>
        <v>0</v>
      </c>
      <c r="C988">
        <f>セットアップレポート!B988</f>
        <v>0</v>
      </c>
      <c r="D988">
        <f>セットアップレポート!C988</f>
        <v>0</v>
      </c>
      <c r="E988">
        <f>セットアップレポート!D988</f>
        <v>0</v>
      </c>
      <c r="F988">
        <f>セットアップレポート!E988</f>
        <v>0</v>
      </c>
      <c r="G988">
        <f>セットアップレポート!F988</f>
        <v>0</v>
      </c>
      <c r="H988">
        <f>セットアップレポート!G988</f>
        <v>0</v>
      </c>
      <c r="I988">
        <f>セットアップレポート!H988</f>
        <v>0</v>
      </c>
      <c r="J988">
        <f>セットアップレポート!I988</f>
        <v>0</v>
      </c>
      <c r="K988">
        <f>セットアップレポート!J988</f>
        <v>0</v>
      </c>
      <c r="L988">
        <f>セットアップレポート!K988</f>
        <v>0</v>
      </c>
      <c r="M988">
        <f>セットアップレポート!L988</f>
        <v>0</v>
      </c>
      <c r="N988">
        <f>セットアップレポート!M988</f>
        <v>0</v>
      </c>
      <c r="O988">
        <f>セットアップレポート!N988</f>
        <v>0</v>
      </c>
      <c r="P988">
        <f>セットアップレポート!O988</f>
        <v>0</v>
      </c>
      <c r="Q988">
        <f>セットアップレポート!P988</f>
        <v>0</v>
      </c>
      <c r="R988">
        <f>セットアップレポート!Q988</f>
        <v>0</v>
      </c>
      <c r="S988">
        <f>セットアップレポート!R988</f>
        <v>0</v>
      </c>
      <c r="T988">
        <f>セットアップレポート!S988</f>
        <v>0</v>
      </c>
      <c r="U988">
        <f>セットアップレポート!T988</f>
        <v>0</v>
      </c>
      <c r="V988">
        <f>セットアップレポート!U988</f>
        <v>0</v>
      </c>
      <c r="W988">
        <f>セットアップレポート!V988</f>
        <v>0</v>
      </c>
      <c r="X988">
        <f>セットアップレポート!W988</f>
        <v>0</v>
      </c>
      <c r="Y988">
        <f>セットアップレポート!X988</f>
        <v>0</v>
      </c>
      <c r="Z988">
        <f>セットアップレポート!Y988</f>
        <v>0</v>
      </c>
      <c r="AA988">
        <f>セットアップレポート!Z988</f>
        <v>0</v>
      </c>
      <c r="AB988">
        <f>セットアップレポート!AA988</f>
        <v>0</v>
      </c>
      <c r="AC988">
        <f>セットアップレポート!AB988</f>
        <v>0</v>
      </c>
      <c r="AD988">
        <f>セットアップレポート!AC988</f>
        <v>0</v>
      </c>
      <c r="AE988">
        <f>セットアップレポート!AD988</f>
        <v>0</v>
      </c>
      <c r="AF988">
        <f>セットアップレポート!AE988</f>
        <v>0</v>
      </c>
      <c r="AG988">
        <f>セットアップレポート!AF988</f>
        <v>0</v>
      </c>
      <c r="AH988">
        <f>セットアップレポート!AG988</f>
        <v>0</v>
      </c>
    </row>
    <row r="989" spans="1:34" x14ac:dyDescent="0.45">
      <c r="A989" t="str">
        <f t="shared" si="15"/>
        <v>000</v>
      </c>
      <c r="B989">
        <f>セットアップレポート!A989</f>
        <v>0</v>
      </c>
      <c r="C989">
        <f>セットアップレポート!B989</f>
        <v>0</v>
      </c>
      <c r="D989">
        <f>セットアップレポート!C989</f>
        <v>0</v>
      </c>
      <c r="E989">
        <f>セットアップレポート!D989</f>
        <v>0</v>
      </c>
      <c r="F989">
        <f>セットアップレポート!E989</f>
        <v>0</v>
      </c>
      <c r="G989">
        <f>セットアップレポート!F989</f>
        <v>0</v>
      </c>
      <c r="H989">
        <f>セットアップレポート!G989</f>
        <v>0</v>
      </c>
      <c r="I989">
        <f>セットアップレポート!H989</f>
        <v>0</v>
      </c>
      <c r="J989">
        <f>セットアップレポート!I989</f>
        <v>0</v>
      </c>
      <c r="K989">
        <f>セットアップレポート!J989</f>
        <v>0</v>
      </c>
      <c r="L989">
        <f>セットアップレポート!K989</f>
        <v>0</v>
      </c>
      <c r="M989">
        <f>セットアップレポート!L989</f>
        <v>0</v>
      </c>
      <c r="N989">
        <f>セットアップレポート!M989</f>
        <v>0</v>
      </c>
      <c r="O989">
        <f>セットアップレポート!N989</f>
        <v>0</v>
      </c>
      <c r="P989">
        <f>セットアップレポート!O989</f>
        <v>0</v>
      </c>
      <c r="Q989">
        <f>セットアップレポート!P989</f>
        <v>0</v>
      </c>
      <c r="R989">
        <f>セットアップレポート!Q989</f>
        <v>0</v>
      </c>
      <c r="S989">
        <f>セットアップレポート!R989</f>
        <v>0</v>
      </c>
      <c r="T989">
        <f>セットアップレポート!S989</f>
        <v>0</v>
      </c>
      <c r="U989">
        <f>セットアップレポート!T989</f>
        <v>0</v>
      </c>
      <c r="V989">
        <f>セットアップレポート!U989</f>
        <v>0</v>
      </c>
      <c r="W989">
        <f>セットアップレポート!V989</f>
        <v>0</v>
      </c>
      <c r="X989">
        <f>セットアップレポート!W989</f>
        <v>0</v>
      </c>
      <c r="Y989">
        <f>セットアップレポート!X989</f>
        <v>0</v>
      </c>
      <c r="Z989">
        <f>セットアップレポート!Y989</f>
        <v>0</v>
      </c>
      <c r="AA989">
        <f>セットアップレポート!Z989</f>
        <v>0</v>
      </c>
      <c r="AB989">
        <f>セットアップレポート!AA989</f>
        <v>0</v>
      </c>
      <c r="AC989">
        <f>セットアップレポート!AB989</f>
        <v>0</v>
      </c>
      <c r="AD989">
        <f>セットアップレポート!AC989</f>
        <v>0</v>
      </c>
      <c r="AE989">
        <f>セットアップレポート!AD989</f>
        <v>0</v>
      </c>
      <c r="AF989">
        <f>セットアップレポート!AE989</f>
        <v>0</v>
      </c>
      <c r="AG989">
        <f>セットアップレポート!AF989</f>
        <v>0</v>
      </c>
      <c r="AH989">
        <f>セットアップレポート!AG989</f>
        <v>0</v>
      </c>
    </row>
    <row r="990" spans="1:34" x14ac:dyDescent="0.45">
      <c r="A990" t="str">
        <f t="shared" si="15"/>
        <v>000</v>
      </c>
      <c r="B990">
        <f>セットアップレポート!A990</f>
        <v>0</v>
      </c>
      <c r="C990">
        <f>セットアップレポート!B990</f>
        <v>0</v>
      </c>
      <c r="D990">
        <f>セットアップレポート!C990</f>
        <v>0</v>
      </c>
      <c r="E990">
        <f>セットアップレポート!D990</f>
        <v>0</v>
      </c>
      <c r="F990">
        <f>セットアップレポート!E990</f>
        <v>0</v>
      </c>
      <c r="G990">
        <f>セットアップレポート!F990</f>
        <v>0</v>
      </c>
      <c r="H990">
        <f>セットアップレポート!G990</f>
        <v>0</v>
      </c>
      <c r="I990">
        <f>セットアップレポート!H990</f>
        <v>0</v>
      </c>
      <c r="J990">
        <f>セットアップレポート!I990</f>
        <v>0</v>
      </c>
      <c r="K990">
        <f>セットアップレポート!J990</f>
        <v>0</v>
      </c>
      <c r="L990">
        <f>セットアップレポート!K990</f>
        <v>0</v>
      </c>
      <c r="M990">
        <f>セットアップレポート!L990</f>
        <v>0</v>
      </c>
      <c r="N990">
        <f>セットアップレポート!M990</f>
        <v>0</v>
      </c>
      <c r="O990">
        <f>セットアップレポート!N990</f>
        <v>0</v>
      </c>
      <c r="P990">
        <f>セットアップレポート!O990</f>
        <v>0</v>
      </c>
      <c r="Q990">
        <f>セットアップレポート!P990</f>
        <v>0</v>
      </c>
      <c r="R990">
        <f>セットアップレポート!Q990</f>
        <v>0</v>
      </c>
      <c r="S990">
        <f>セットアップレポート!R990</f>
        <v>0</v>
      </c>
      <c r="T990">
        <f>セットアップレポート!S990</f>
        <v>0</v>
      </c>
      <c r="U990">
        <f>セットアップレポート!T990</f>
        <v>0</v>
      </c>
      <c r="V990">
        <f>セットアップレポート!U990</f>
        <v>0</v>
      </c>
      <c r="W990">
        <f>セットアップレポート!V990</f>
        <v>0</v>
      </c>
      <c r="X990">
        <f>セットアップレポート!W990</f>
        <v>0</v>
      </c>
      <c r="Y990">
        <f>セットアップレポート!X990</f>
        <v>0</v>
      </c>
      <c r="Z990">
        <f>セットアップレポート!Y990</f>
        <v>0</v>
      </c>
      <c r="AA990">
        <f>セットアップレポート!Z990</f>
        <v>0</v>
      </c>
      <c r="AB990">
        <f>セットアップレポート!AA990</f>
        <v>0</v>
      </c>
      <c r="AC990">
        <f>セットアップレポート!AB990</f>
        <v>0</v>
      </c>
      <c r="AD990">
        <f>セットアップレポート!AC990</f>
        <v>0</v>
      </c>
      <c r="AE990">
        <f>セットアップレポート!AD990</f>
        <v>0</v>
      </c>
      <c r="AF990">
        <f>セットアップレポート!AE990</f>
        <v>0</v>
      </c>
      <c r="AG990">
        <f>セットアップレポート!AF990</f>
        <v>0</v>
      </c>
      <c r="AH990">
        <f>セットアップレポート!AG990</f>
        <v>0</v>
      </c>
    </row>
    <row r="991" spans="1:34" x14ac:dyDescent="0.45">
      <c r="A991" t="str">
        <f t="shared" si="15"/>
        <v>000</v>
      </c>
      <c r="B991">
        <f>セットアップレポート!A991</f>
        <v>0</v>
      </c>
      <c r="C991">
        <f>セットアップレポート!B991</f>
        <v>0</v>
      </c>
      <c r="D991">
        <f>セットアップレポート!C991</f>
        <v>0</v>
      </c>
      <c r="E991">
        <f>セットアップレポート!D991</f>
        <v>0</v>
      </c>
      <c r="F991">
        <f>セットアップレポート!E991</f>
        <v>0</v>
      </c>
      <c r="G991">
        <f>セットアップレポート!F991</f>
        <v>0</v>
      </c>
      <c r="H991">
        <f>セットアップレポート!G991</f>
        <v>0</v>
      </c>
      <c r="I991">
        <f>セットアップレポート!H991</f>
        <v>0</v>
      </c>
      <c r="J991">
        <f>セットアップレポート!I991</f>
        <v>0</v>
      </c>
      <c r="K991">
        <f>セットアップレポート!J991</f>
        <v>0</v>
      </c>
      <c r="L991">
        <f>セットアップレポート!K991</f>
        <v>0</v>
      </c>
      <c r="M991">
        <f>セットアップレポート!L991</f>
        <v>0</v>
      </c>
      <c r="N991">
        <f>セットアップレポート!M991</f>
        <v>0</v>
      </c>
      <c r="O991">
        <f>セットアップレポート!N991</f>
        <v>0</v>
      </c>
      <c r="P991">
        <f>セットアップレポート!O991</f>
        <v>0</v>
      </c>
      <c r="Q991">
        <f>セットアップレポート!P991</f>
        <v>0</v>
      </c>
      <c r="R991">
        <f>セットアップレポート!Q991</f>
        <v>0</v>
      </c>
      <c r="S991">
        <f>セットアップレポート!R991</f>
        <v>0</v>
      </c>
      <c r="T991">
        <f>セットアップレポート!S991</f>
        <v>0</v>
      </c>
      <c r="U991">
        <f>セットアップレポート!T991</f>
        <v>0</v>
      </c>
      <c r="V991">
        <f>セットアップレポート!U991</f>
        <v>0</v>
      </c>
      <c r="W991">
        <f>セットアップレポート!V991</f>
        <v>0</v>
      </c>
      <c r="X991">
        <f>セットアップレポート!W991</f>
        <v>0</v>
      </c>
      <c r="Y991">
        <f>セットアップレポート!X991</f>
        <v>0</v>
      </c>
      <c r="Z991">
        <f>セットアップレポート!Y991</f>
        <v>0</v>
      </c>
      <c r="AA991">
        <f>セットアップレポート!Z991</f>
        <v>0</v>
      </c>
      <c r="AB991">
        <f>セットアップレポート!AA991</f>
        <v>0</v>
      </c>
      <c r="AC991">
        <f>セットアップレポート!AB991</f>
        <v>0</v>
      </c>
      <c r="AD991">
        <f>セットアップレポート!AC991</f>
        <v>0</v>
      </c>
      <c r="AE991">
        <f>セットアップレポート!AD991</f>
        <v>0</v>
      </c>
      <c r="AF991">
        <f>セットアップレポート!AE991</f>
        <v>0</v>
      </c>
      <c r="AG991">
        <f>セットアップレポート!AF991</f>
        <v>0</v>
      </c>
      <c r="AH991">
        <f>セットアップレポート!AG991</f>
        <v>0</v>
      </c>
    </row>
    <row r="992" spans="1:34" x14ac:dyDescent="0.45">
      <c r="A992" t="str">
        <f t="shared" si="15"/>
        <v>000</v>
      </c>
      <c r="B992">
        <f>セットアップレポート!A992</f>
        <v>0</v>
      </c>
      <c r="C992">
        <f>セットアップレポート!B992</f>
        <v>0</v>
      </c>
      <c r="D992">
        <f>セットアップレポート!C992</f>
        <v>0</v>
      </c>
      <c r="E992">
        <f>セットアップレポート!D992</f>
        <v>0</v>
      </c>
      <c r="F992">
        <f>セットアップレポート!E992</f>
        <v>0</v>
      </c>
      <c r="G992">
        <f>セットアップレポート!F992</f>
        <v>0</v>
      </c>
      <c r="H992">
        <f>セットアップレポート!G992</f>
        <v>0</v>
      </c>
      <c r="I992">
        <f>セットアップレポート!H992</f>
        <v>0</v>
      </c>
      <c r="J992">
        <f>セットアップレポート!I992</f>
        <v>0</v>
      </c>
      <c r="K992">
        <f>セットアップレポート!J992</f>
        <v>0</v>
      </c>
      <c r="L992">
        <f>セットアップレポート!K992</f>
        <v>0</v>
      </c>
      <c r="M992">
        <f>セットアップレポート!L992</f>
        <v>0</v>
      </c>
      <c r="N992">
        <f>セットアップレポート!M992</f>
        <v>0</v>
      </c>
      <c r="O992">
        <f>セットアップレポート!N992</f>
        <v>0</v>
      </c>
      <c r="P992">
        <f>セットアップレポート!O992</f>
        <v>0</v>
      </c>
      <c r="Q992">
        <f>セットアップレポート!P992</f>
        <v>0</v>
      </c>
      <c r="R992">
        <f>セットアップレポート!Q992</f>
        <v>0</v>
      </c>
      <c r="S992">
        <f>セットアップレポート!R992</f>
        <v>0</v>
      </c>
      <c r="T992">
        <f>セットアップレポート!S992</f>
        <v>0</v>
      </c>
      <c r="U992">
        <f>セットアップレポート!T992</f>
        <v>0</v>
      </c>
      <c r="V992">
        <f>セットアップレポート!U992</f>
        <v>0</v>
      </c>
      <c r="W992">
        <f>セットアップレポート!V992</f>
        <v>0</v>
      </c>
      <c r="X992">
        <f>セットアップレポート!W992</f>
        <v>0</v>
      </c>
      <c r="Y992">
        <f>セットアップレポート!X992</f>
        <v>0</v>
      </c>
      <c r="Z992">
        <f>セットアップレポート!Y992</f>
        <v>0</v>
      </c>
      <c r="AA992">
        <f>セットアップレポート!Z992</f>
        <v>0</v>
      </c>
      <c r="AB992">
        <f>セットアップレポート!AA992</f>
        <v>0</v>
      </c>
      <c r="AC992">
        <f>セットアップレポート!AB992</f>
        <v>0</v>
      </c>
      <c r="AD992">
        <f>セットアップレポート!AC992</f>
        <v>0</v>
      </c>
      <c r="AE992">
        <f>セットアップレポート!AD992</f>
        <v>0</v>
      </c>
      <c r="AF992">
        <f>セットアップレポート!AE992</f>
        <v>0</v>
      </c>
      <c r="AG992">
        <f>セットアップレポート!AF992</f>
        <v>0</v>
      </c>
      <c r="AH992">
        <f>セットアップレポート!AG992</f>
        <v>0</v>
      </c>
    </row>
    <row r="993" spans="1:34" x14ac:dyDescent="0.45">
      <c r="A993" t="str">
        <f t="shared" si="15"/>
        <v>000</v>
      </c>
      <c r="B993">
        <f>セットアップレポート!A993</f>
        <v>0</v>
      </c>
      <c r="C993">
        <f>セットアップレポート!B993</f>
        <v>0</v>
      </c>
      <c r="D993">
        <f>セットアップレポート!C993</f>
        <v>0</v>
      </c>
      <c r="E993">
        <f>セットアップレポート!D993</f>
        <v>0</v>
      </c>
      <c r="F993">
        <f>セットアップレポート!E993</f>
        <v>0</v>
      </c>
      <c r="G993">
        <f>セットアップレポート!F993</f>
        <v>0</v>
      </c>
      <c r="H993">
        <f>セットアップレポート!G993</f>
        <v>0</v>
      </c>
      <c r="I993">
        <f>セットアップレポート!H993</f>
        <v>0</v>
      </c>
      <c r="J993">
        <f>セットアップレポート!I993</f>
        <v>0</v>
      </c>
      <c r="K993">
        <f>セットアップレポート!J993</f>
        <v>0</v>
      </c>
      <c r="L993">
        <f>セットアップレポート!K993</f>
        <v>0</v>
      </c>
      <c r="M993">
        <f>セットアップレポート!L993</f>
        <v>0</v>
      </c>
      <c r="N993">
        <f>セットアップレポート!M993</f>
        <v>0</v>
      </c>
      <c r="O993">
        <f>セットアップレポート!N993</f>
        <v>0</v>
      </c>
      <c r="P993">
        <f>セットアップレポート!O993</f>
        <v>0</v>
      </c>
      <c r="Q993">
        <f>セットアップレポート!P993</f>
        <v>0</v>
      </c>
      <c r="R993">
        <f>セットアップレポート!Q993</f>
        <v>0</v>
      </c>
      <c r="S993">
        <f>セットアップレポート!R993</f>
        <v>0</v>
      </c>
      <c r="T993">
        <f>セットアップレポート!S993</f>
        <v>0</v>
      </c>
      <c r="U993">
        <f>セットアップレポート!T993</f>
        <v>0</v>
      </c>
      <c r="V993">
        <f>セットアップレポート!U993</f>
        <v>0</v>
      </c>
      <c r="W993">
        <f>セットアップレポート!V993</f>
        <v>0</v>
      </c>
      <c r="X993">
        <f>セットアップレポート!W993</f>
        <v>0</v>
      </c>
      <c r="Y993">
        <f>セットアップレポート!X993</f>
        <v>0</v>
      </c>
      <c r="Z993">
        <f>セットアップレポート!Y993</f>
        <v>0</v>
      </c>
      <c r="AA993">
        <f>セットアップレポート!Z993</f>
        <v>0</v>
      </c>
      <c r="AB993">
        <f>セットアップレポート!AA993</f>
        <v>0</v>
      </c>
      <c r="AC993">
        <f>セットアップレポート!AB993</f>
        <v>0</v>
      </c>
      <c r="AD993">
        <f>セットアップレポート!AC993</f>
        <v>0</v>
      </c>
      <c r="AE993">
        <f>セットアップレポート!AD993</f>
        <v>0</v>
      </c>
      <c r="AF993">
        <f>セットアップレポート!AE993</f>
        <v>0</v>
      </c>
      <c r="AG993">
        <f>セットアップレポート!AF993</f>
        <v>0</v>
      </c>
      <c r="AH993">
        <f>セットアップレポート!AG993</f>
        <v>0</v>
      </c>
    </row>
    <row r="994" spans="1:34" x14ac:dyDescent="0.45">
      <c r="A994" t="str">
        <f t="shared" si="15"/>
        <v>000</v>
      </c>
      <c r="B994">
        <f>セットアップレポート!A994</f>
        <v>0</v>
      </c>
      <c r="C994">
        <f>セットアップレポート!B994</f>
        <v>0</v>
      </c>
      <c r="D994">
        <f>セットアップレポート!C994</f>
        <v>0</v>
      </c>
      <c r="E994">
        <f>セットアップレポート!D994</f>
        <v>0</v>
      </c>
      <c r="F994">
        <f>セットアップレポート!E994</f>
        <v>0</v>
      </c>
      <c r="G994">
        <f>セットアップレポート!F994</f>
        <v>0</v>
      </c>
      <c r="H994">
        <f>セットアップレポート!G994</f>
        <v>0</v>
      </c>
      <c r="I994">
        <f>セットアップレポート!H994</f>
        <v>0</v>
      </c>
      <c r="J994">
        <f>セットアップレポート!I994</f>
        <v>0</v>
      </c>
      <c r="K994">
        <f>セットアップレポート!J994</f>
        <v>0</v>
      </c>
      <c r="L994">
        <f>セットアップレポート!K994</f>
        <v>0</v>
      </c>
      <c r="M994">
        <f>セットアップレポート!L994</f>
        <v>0</v>
      </c>
      <c r="N994">
        <f>セットアップレポート!M994</f>
        <v>0</v>
      </c>
      <c r="O994">
        <f>セットアップレポート!N994</f>
        <v>0</v>
      </c>
      <c r="P994">
        <f>セットアップレポート!O994</f>
        <v>0</v>
      </c>
      <c r="Q994">
        <f>セットアップレポート!P994</f>
        <v>0</v>
      </c>
      <c r="R994">
        <f>セットアップレポート!Q994</f>
        <v>0</v>
      </c>
      <c r="S994">
        <f>セットアップレポート!R994</f>
        <v>0</v>
      </c>
      <c r="T994">
        <f>セットアップレポート!S994</f>
        <v>0</v>
      </c>
      <c r="U994">
        <f>セットアップレポート!T994</f>
        <v>0</v>
      </c>
      <c r="V994">
        <f>セットアップレポート!U994</f>
        <v>0</v>
      </c>
      <c r="W994">
        <f>セットアップレポート!V994</f>
        <v>0</v>
      </c>
      <c r="X994">
        <f>セットアップレポート!W994</f>
        <v>0</v>
      </c>
      <c r="Y994">
        <f>セットアップレポート!X994</f>
        <v>0</v>
      </c>
      <c r="Z994">
        <f>セットアップレポート!Y994</f>
        <v>0</v>
      </c>
      <c r="AA994">
        <f>セットアップレポート!Z994</f>
        <v>0</v>
      </c>
      <c r="AB994">
        <f>セットアップレポート!AA994</f>
        <v>0</v>
      </c>
      <c r="AC994">
        <f>セットアップレポート!AB994</f>
        <v>0</v>
      </c>
      <c r="AD994">
        <f>セットアップレポート!AC994</f>
        <v>0</v>
      </c>
      <c r="AE994">
        <f>セットアップレポート!AD994</f>
        <v>0</v>
      </c>
      <c r="AF994">
        <f>セットアップレポート!AE994</f>
        <v>0</v>
      </c>
      <c r="AG994">
        <f>セットアップレポート!AF994</f>
        <v>0</v>
      </c>
      <c r="AH994">
        <f>セットアップレポート!AG994</f>
        <v>0</v>
      </c>
    </row>
    <row r="995" spans="1:34" x14ac:dyDescent="0.45">
      <c r="A995" t="str">
        <f t="shared" si="15"/>
        <v>000</v>
      </c>
      <c r="B995">
        <f>セットアップレポート!A995</f>
        <v>0</v>
      </c>
      <c r="C995">
        <f>セットアップレポート!B995</f>
        <v>0</v>
      </c>
      <c r="D995">
        <f>セットアップレポート!C995</f>
        <v>0</v>
      </c>
      <c r="E995">
        <f>セットアップレポート!D995</f>
        <v>0</v>
      </c>
      <c r="F995">
        <f>セットアップレポート!E995</f>
        <v>0</v>
      </c>
      <c r="G995">
        <f>セットアップレポート!F995</f>
        <v>0</v>
      </c>
      <c r="H995">
        <f>セットアップレポート!G995</f>
        <v>0</v>
      </c>
      <c r="I995">
        <f>セットアップレポート!H995</f>
        <v>0</v>
      </c>
      <c r="J995">
        <f>セットアップレポート!I995</f>
        <v>0</v>
      </c>
      <c r="K995">
        <f>セットアップレポート!J995</f>
        <v>0</v>
      </c>
      <c r="L995">
        <f>セットアップレポート!K995</f>
        <v>0</v>
      </c>
      <c r="M995">
        <f>セットアップレポート!L995</f>
        <v>0</v>
      </c>
      <c r="N995">
        <f>セットアップレポート!M995</f>
        <v>0</v>
      </c>
      <c r="O995">
        <f>セットアップレポート!N995</f>
        <v>0</v>
      </c>
      <c r="P995">
        <f>セットアップレポート!O995</f>
        <v>0</v>
      </c>
      <c r="Q995">
        <f>セットアップレポート!P995</f>
        <v>0</v>
      </c>
      <c r="R995">
        <f>セットアップレポート!Q995</f>
        <v>0</v>
      </c>
      <c r="S995">
        <f>セットアップレポート!R995</f>
        <v>0</v>
      </c>
      <c r="T995">
        <f>セットアップレポート!S995</f>
        <v>0</v>
      </c>
      <c r="U995">
        <f>セットアップレポート!T995</f>
        <v>0</v>
      </c>
      <c r="V995">
        <f>セットアップレポート!U995</f>
        <v>0</v>
      </c>
      <c r="W995">
        <f>セットアップレポート!V995</f>
        <v>0</v>
      </c>
      <c r="X995">
        <f>セットアップレポート!W995</f>
        <v>0</v>
      </c>
      <c r="Y995">
        <f>セットアップレポート!X995</f>
        <v>0</v>
      </c>
      <c r="Z995">
        <f>セットアップレポート!Y995</f>
        <v>0</v>
      </c>
      <c r="AA995">
        <f>セットアップレポート!Z995</f>
        <v>0</v>
      </c>
      <c r="AB995">
        <f>セットアップレポート!AA995</f>
        <v>0</v>
      </c>
      <c r="AC995">
        <f>セットアップレポート!AB995</f>
        <v>0</v>
      </c>
      <c r="AD995">
        <f>セットアップレポート!AC995</f>
        <v>0</v>
      </c>
      <c r="AE995">
        <f>セットアップレポート!AD995</f>
        <v>0</v>
      </c>
      <c r="AF995">
        <f>セットアップレポート!AE995</f>
        <v>0</v>
      </c>
      <c r="AG995">
        <f>セットアップレポート!AF995</f>
        <v>0</v>
      </c>
      <c r="AH995">
        <f>セットアップレポート!AG995</f>
        <v>0</v>
      </c>
    </row>
    <row r="996" spans="1:34" x14ac:dyDescent="0.45">
      <c r="A996" t="str">
        <f t="shared" si="15"/>
        <v>000</v>
      </c>
      <c r="B996">
        <f>セットアップレポート!A996</f>
        <v>0</v>
      </c>
      <c r="C996">
        <f>セットアップレポート!B996</f>
        <v>0</v>
      </c>
      <c r="D996">
        <f>セットアップレポート!C996</f>
        <v>0</v>
      </c>
      <c r="E996">
        <f>セットアップレポート!D996</f>
        <v>0</v>
      </c>
      <c r="F996">
        <f>セットアップレポート!E996</f>
        <v>0</v>
      </c>
      <c r="G996">
        <f>セットアップレポート!F996</f>
        <v>0</v>
      </c>
      <c r="H996">
        <f>セットアップレポート!G996</f>
        <v>0</v>
      </c>
      <c r="I996">
        <f>セットアップレポート!H996</f>
        <v>0</v>
      </c>
      <c r="J996">
        <f>セットアップレポート!I996</f>
        <v>0</v>
      </c>
      <c r="K996">
        <f>セットアップレポート!J996</f>
        <v>0</v>
      </c>
      <c r="L996">
        <f>セットアップレポート!K996</f>
        <v>0</v>
      </c>
      <c r="M996">
        <f>セットアップレポート!L996</f>
        <v>0</v>
      </c>
      <c r="N996">
        <f>セットアップレポート!M996</f>
        <v>0</v>
      </c>
      <c r="O996">
        <f>セットアップレポート!N996</f>
        <v>0</v>
      </c>
      <c r="P996">
        <f>セットアップレポート!O996</f>
        <v>0</v>
      </c>
      <c r="Q996">
        <f>セットアップレポート!P996</f>
        <v>0</v>
      </c>
      <c r="R996">
        <f>セットアップレポート!Q996</f>
        <v>0</v>
      </c>
      <c r="S996">
        <f>セットアップレポート!R996</f>
        <v>0</v>
      </c>
      <c r="T996">
        <f>セットアップレポート!S996</f>
        <v>0</v>
      </c>
      <c r="U996">
        <f>セットアップレポート!T996</f>
        <v>0</v>
      </c>
      <c r="V996">
        <f>セットアップレポート!U996</f>
        <v>0</v>
      </c>
      <c r="W996">
        <f>セットアップレポート!V996</f>
        <v>0</v>
      </c>
      <c r="X996">
        <f>セットアップレポート!W996</f>
        <v>0</v>
      </c>
      <c r="Y996">
        <f>セットアップレポート!X996</f>
        <v>0</v>
      </c>
      <c r="Z996">
        <f>セットアップレポート!Y996</f>
        <v>0</v>
      </c>
      <c r="AA996">
        <f>セットアップレポート!Z996</f>
        <v>0</v>
      </c>
      <c r="AB996">
        <f>セットアップレポート!AA996</f>
        <v>0</v>
      </c>
      <c r="AC996">
        <f>セットアップレポート!AB996</f>
        <v>0</v>
      </c>
      <c r="AD996">
        <f>セットアップレポート!AC996</f>
        <v>0</v>
      </c>
      <c r="AE996">
        <f>セットアップレポート!AD996</f>
        <v>0</v>
      </c>
      <c r="AF996">
        <f>セットアップレポート!AE996</f>
        <v>0</v>
      </c>
      <c r="AG996">
        <f>セットアップレポート!AF996</f>
        <v>0</v>
      </c>
      <c r="AH996">
        <f>セットアップレポート!AG996</f>
        <v>0</v>
      </c>
    </row>
    <row r="997" spans="1:34" x14ac:dyDescent="0.45">
      <c r="A997" t="str">
        <f t="shared" si="15"/>
        <v>000</v>
      </c>
      <c r="B997">
        <f>セットアップレポート!A997</f>
        <v>0</v>
      </c>
      <c r="C997">
        <f>セットアップレポート!B997</f>
        <v>0</v>
      </c>
      <c r="D997">
        <f>セットアップレポート!C997</f>
        <v>0</v>
      </c>
      <c r="E997">
        <f>セットアップレポート!D997</f>
        <v>0</v>
      </c>
      <c r="F997">
        <f>セットアップレポート!E997</f>
        <v>0</v>
      </c>
      <c r="G997">
        <f>セットアップレポート!F997</f>
        <v>0</v>
      </c>
      <c r="H997">
        <f>セットアップレポート!G997</f>
        <v>0</v>
      </c>
      <c r="I997">
        <f>セットアップレポート!H997</f>
        <v>0</v>
      </c>
      <c r="J997">
        <f>セットアップレポート!I997</f>
        <v>0</v>
      </c>
      <c r="K997">
        <f>セットアップレポート!J997</f>
        <v>0</v>
      </c>
      <c r="L997">
        <f>セットアップレポート!K997</f>
        <v>0</v>
      </c>
      <c r="M997">
        <f>セットアップレポート!L997</f>
        <v>0</v>
      </c>
      <c r="N997">
        <f>セットアップレポート!M997</f>
        <v>0</v>
      </c>
      <c r="O997">
        <f>セットアップレポート!N997</f>
        <v>0</v>
      </c>
      <c r="P997">
        <f>セットアップレポート!O997</f>
        <v>0</v>
      </c>
      <c r="Q997">
        <f>セットアップレポート!P997</f>
        <v>0</v>
      </c>
      <c r="R997">
        <f>セットアップレポート!Q997</f>
        <v>0</v>
      </c>
      <c r="S997">
        <f>セットアップレポート!R997</f>
        <v>0</v>
      </c>
      <c r="T997">
        <f>セットアップレポート!S997</f>
        <v>0</v>
      </c>
      <c r="U997">
        <f>セットアップレポート!T997</f>
        <v>0</v>
      </c>
      <c r="V997">
        <f>セットアップレポート!U997</f>
        <v>0</v>
      </c>
      <c r="W997">
        <f>セットアップレポート!V997</f>
        <v>0</v>
      </c>
      <c r="X997">
        <f>セットアップレポート!W997</f>
        <v>0</v>
      </c>
      <c r="Y997">
        <f>セットアップレポート!X997</f>
        <v>0</v>
      </c>
      <c r="Z997">
        <f>セットアップレポート!Y997</f>
        <v>0</v>
      </c>
      <c r="AA997">
        <f>セットアップレポート!Z997</f>
        <v>0</v>
      </c>
      <c r="AB997">
        <f>セットアップレポート!AA997</f>
        <v>0</v>
      </c>
      <c r="AC997">
        <f>セットアップレポート!AB997</f>
        <v>0</v>
      </c>
      <c r="AD997">
        <f>セットアップレポート!AC997</f>
        <v>0</v>
      </c>
      <c r="AE997">
        <f>セットアップレポート!AD997</f>
        <v>0</v>
      </c>
      <c r="AF997">
        <f>セットアップレポート!AE997</f>
        <v>0</v>
      </c>
      <c r="AG997">
        <f>セットアップレポート!AF997</f>
        <v>0</v>
      </c>
      <c r="AH997">
        <f>セットアップレポート!AG997</f>
        <v>0</v>
      </c>
    </row>
    <row r="998" spans="1:34" x14ac:dyDescent="0.45">
      <c r="A998" t="str">
        <f t="shared" si="15"/>
        <v>000</v>
      </c>
      <c r="B998">
        <f>セットアップレポート!A998</f>
        <v>0</v>
      </c>
      <c r="C998">
        <f>セットアップレポート!B998</f>
        <v>0</v>
      </c>
      <c r="D998">
        <f>セットアップレポート!C998</f>
        <v>0</v>
      </c>
      <c r="E998">
        <f>セットアップレポート!D998</f>
        <v>0</v>
      </c>
      <c r="F998">
        <f>セットアップレポート!E998</f>
        <v>0</v>
      </c>
      <c r="G998">
        <f>セットアップレポート!F998</f>
        <v>0</v>
      </c>
      <c r="H998">
        <f>セットアップレポート!G998</f>
        <v>0</v>
      </c>
      <c r="I998">
        <f>セットアップレポート!H998</f>
        <v>0</v>
      </c>
      <c r="J998">
        <f>セットアップレポート!I998</f>
        <v>0</v>
      </c>
      <c r="K998">
        <f>セットアップレポート!J998</f>
        <v>0</v>
      </c>
      <c r="L998">
        <f>セットアップレポート!K998</f>
        <v>0</v>
      </c>
      <c r="M998">
        <f>セットアップレポート!L998</f>
        <v>0</v>
      </c>
      <c r="N998">
        <f>セットアップレポート!M998</f>
        <v>0</v>
      </c>
      <c r="O998">
        <f>セットアップレポート!N998</f>
        <v>0</v>
      </c>
      <c r="P998">
        <f>セットアップレポート!O998</f>
        <v>0</v>
      </c>
      <c r="Q998">
        <f>セットアップレポート!P998</f>
        <v>0</v>
      </c>
      <c r="R998">
        <f>セットアップレポート!Q998</f>
        <v>0</v>
      </c>
      <c r="S998">
        <f>セットアップレポート!R998</f>
        <v>0</v>
      </c>
      <c r="T998">
        <f>セットアップレポート!S998</f>
        <v>0</v>
      </c>
      <c r="U998">
        <f>セットアップレポート!T998</f>
        <v>0</v>
      </c>
      <c r="V998">
        <f>セットアップレポート!U998</f>
        <v>0</v>
      </c>
      <c r="W998">
        <f>セットアップレポート!V998</f>
        <v>0</v>
      </c>
      <c r="X998">
        <f>セットアップレポート!W998</f>
        <v>0</v>
      </c>
      <c r="Y998">
        <f>セットアップレポート!X998</f>
        <v>0</v>
      </c>
      <c r="Z998">
        <f>セットアップレポート!Y998</f>
        <v>0</v>
      </c>
      <c r="AA998">
        <f>セットアップレポート!Z998</f>
        <v>0</v>
      </c>
      <c r="AB998">
        <f>セットアップレポート!AA998</f>
        <v>0</v>
      </c>
      <c r="AC998">
        <f>セットアップレポート!AB998</f>
        <v>0</v>
      </c>
      <c r="AD998">
        <f>セットアップレポート!AC998</f>
        <v>0</v>
      </c>
      <c r="AE998">
        <f>セットアップレポート!AD998</f>
        <v>0</v>
      </c>
      <c r="AF998">
        <f>セットアップレポート!AE998</f>
        <v>0</v>
      </c>
      <c r="AG998">
        <f>セットアップレポート!AF998</f>
        <v>0</v>
      </c>
      <c r="AH998">
        <f>セットアップレポート!AG998</f>
        <v>0</v>
      </c>
    </row>
    <row r="999" spans="1:34" x14ac:dyDescent="0.45">
      <c r="A999" t="str">
        <f t="shared" si="15"/>
        <v>000</v>
      </c>
      <c r="B999">
        <f>セットアップレポート!A999</f>
        <v>0</v>
      </c>
      <c r="C999">
        <f>セットアップレポート!B999</f>
        <v>0</v>
      </c>
      <c r="D999">
        <f>セットアップレポート!C999</f>
        <v>0</v>
      </c>
      <c r="E999">
        <f>セットアップレポート!D999</f>
        <v>0</v>
      </c>
      <c r="F999">
        <f>セットアップレポート!E999</f>
        <v>0</v>
      </c>
      <c r="G999">
        <f>セットアップレポート!F999</f>
        <v>0</v>
      </c>
      <c r="H999">
        <f>セットアップレポート!G999</f>
        <v>0</v>
      </c>
      <c r="I999">
        <f>セットアップレポート!H999</f>
        <v>0</v>
      </c>
      <c r="J999">
        <f>セットアップレポート!I999</f>
        <v>0</v>
      </c>
      <c r="K999">
        <f>セットアップレポート!J999</f>
        <v>0</v>
      </c>
      <c r="L999">
        <f>セットアップレポート!K999</f>
        <v>0</v>
      </c>
      <c r="M999">
        <f>セットアップレポート!L999</f>
        <v>0</v>
      </c>
      <c r="N999">
        <f>セットアップレポート!M999</f>
        <v>0</v>
      </c>
      <c r="O999">
        <f>セットアップレポート!N999</f>
        <v>0</v>
      </c>
      <c r="P999">
        <f>セットアップレポート!O999</f>
        <v>0</v>
      </c>
      <c r="Q999">
        <f>セットアップレポート!P999</f>
        <v>0</v>
      </c>
      <c r="R999">
        <f>セットアップレポート!Q999</f>
        <v>0</v>
      </c>
      <c r="S999">
        <f>セットアップレポート!R999</f>
        <v>0</v>
      </c>
      <c r="T999">
        <f>セットアップレポート!S999</f>
        <v>0</v>
      </c>
      <c r="U999">
        <f>セットアップレポート!T999</f>
        <v>0</v>
      </c>
      <c r="V999">
        <f>セットアップレポート!U999</f>
        <v>0</v>
      </c>
      <c r="W999">
        <f>セットアップレポート!V999</f>
        <v>0</v>
      </c>
      <c r="X999">
        <f>セットアップレポート!W999</f>
        <v>0</v>
      </c>
      <c r="Y999">
        <f>セットアップレポート!X999</f>
        <v>0</v>
      </c>
      <c r="Z999">
        <f>セットアップレポート!Y999</f>
        <v>0</v>
      </c>
      <c r="AA999">
        <f>セットアップレポート!Z999</f>
        <v>0</v>
      </c>
      <c r="AB999">
        <f>セットアップレポート!AA999</f>
        <v>0</v>
      </c>
      <c r="AC999">
        <f>セットアップレポート!AB999</f>
        <v>0</v>
      </c>
      <c r="AD999">
        <f>セットアップレポート!AC999</f>
        <v>0</v>
      </c>
      <c r="AE999">
        <f>セットアップレポート!AD999</f>
        <v>0</v>
      </c>
      <c r="AF999">
        <f>セットアップレポート!AE999</f>
        <v>0</v>
      </c>
      <c r="AG999">
        <f>セットアップレポート!AF999</f>
        <v>0</v>
      </c>
      <c r="AH999">
        <f>セットアップレポート!AG999</f>
        <v>0</v>
      </c>
    </row>
    <row r="1000" spans="1:34" x14ac:dyDescent="0.45">
      <c r="A1000" t="str">
        <f t="shared" si="15"/>
        <v>000</v>
      </c>
      <c r="B1000">
        <f>セットアップレポート!A1000</f>
        <v>0</v>
      </c>
      <c r="C1000">
        <f>セットアップレポート!B1000</f>
        <v>0</v>
      </c>
      <c r="D1000">
        <f>セットアップレポート!C1000</f>
        <v>0</v>
      </c>
      <c r="E1000">
        <f>セットアップレポート!D1000</f>
        <v>0</v>
      </c>
      <c r="F1000">
        <f>セットアップレポート!E1000</f>
        <v>0</v>
      </c>
      <c r="G1000">
        <f>セットアップレポート!F1000</f>
        <v>0</v>
      </c>
      <c r="H1000">
        <f>セットアップレポート!G1000</f>
        <v>0</v>
      </c>
      <c r="I1000">
        <f>セットアップレポート!H1000</f>
        <v>0</v>
      </c>
      <c r="J1000">
        <f>セットアップレポート!I1000</f>
        <v>0</v>
      </c>
      <c r="K1000">
        <f>セットアップレポート!J1000</f>
        <v>0</v>
      </c>
      <c r="L1000">
        <f>セットアップレポート!K1000</f>
        <v>0</v>
      </c>
      <c r="M1000">
        <f>セットアップレポート!L1000</f>
        <v>0</v>
      </c>
      <c r="N1000">
        <f>セットアップレポート!M1000</f>
        <v>0</v>
      </c>
      <c r="O1000">
        <f>セットアップレポート!N1000</f>
        <v>0</v>
      </c>
      <c r="P1000">
        <f>セットアップレポート!O1000</f>
        <v>0</v>
      </c>
      <c r="Q1000">
        <f>セットアップレポート!P1000</f>
        <v>0</v>
      </c>
      <c r="R1000">
        <f>セットアップレポート!Q1000</f>
        <v>0</v>
      </c>
      <c r="S1000">
        <f>セットアップレポート!R1000</f>
        <v>0</v>
      </c>
      <c r="T1000">
        <f>セットアップレポート!S1000</f>
        <v>0</v>
      </c>
      <c r="U1000">
        <f>セットアップレポート!T1000</f>
        <v>0</v>
      </c>
      <c r="V1000">
        <f>セットアップレポート!U1000</f>
        <v>0</v>
      </c>
      <c r="W1000">
        <f>セットアップレポート!V1000</f>
        <v>0</v>
      </c>
      <c r="X1000">
        <f>セットアップレポート!W1000</f>
        <v>0</v>
      </c>
      <c r="Y1000">
        <f>セットアップレポート!X1000</f>
        <v>0</v>
      </c>
      <c r="Z1000">
        <f>セットアップレポート!Y1000</f>
        <v>0</v>
      </c>
      <c r="AA1000">
        <f>セットアップレポート!Z1000</f>
        <v>0</v>
      </c>
      <c r="AB1000">
        <f>セットアップレポート!AA1000</f>
        <v>0</v>
      </c>
      <c r="AC1000">
        <f>セットアップレポート!AB1000</f>
        <v>0</v>
      </c>
      <c r="AD1000">
        <f>セットアップレポート!AC1000</f>
        <v>0</v>
      </c>
      <c r="AE1000">
        <f>セットアップレポート!AD1000</f>
        <v>0</v>
      </c>
      <c r="AF1000">
        <f>セットアップレポート!AE1000</f>
        <v>0</v>
      </c>
      <c r="AG1000">
        <f>セットアップレポート!AF1000</f>
        <v>0</v>
      </c>
      <c r="AH1000">
        <f>セットアップレポート!AG1000</f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CEAE0-6BCD-4A69-AE8C-A0B5A2582996}">
  <sheetPr codeName="Sheet3">
    <tabColor theme="0" tint="-0.499984740745262"/>
  </sheetPr>
  <dimension ref="A1:AG525"/>
  <sheetViews>
    <sheetView topLeftCell="Y1" workbookViewId="0"/>
  </sheetViews>
  <sheetFormatPr defaultRowHeight="18" x14ac:dyDescent="0.45"/>
  <cols>
    <col min="2" max="2" width="11" bestFit="1" customWidth="1"/>
    <col min="3" max="3" width="22.3984375" bestFit="1" customWidth="1"/>
    <col min="4" max="4" width="7.09765625" bestFit="1" customWidth="1"/>
    <col min="5" max="5" width="13" bestFit="1" customWidth="1"/>
    <col min="6" max="6" width="9.8984375" bestFit="1" customWidth="1"/>
    <col min="7" max="7" width="13" bestFit="1" customWidth="1"/>
    <col min="8" max="8" width="17.19921875" bestFit="1" customWidth="1"/>
    <col min="9" max="9" width="19.8984375" bestFit="1" customWidth="1"/>
    <col min="10" max="10" width="13.09765625" bestFit="1" customWidth="1"/>
    <col min="12" max="12" width="11" bestFit="1" customWidth="1"/>
    <col min="14" max="14" width="10.5" bestFit="1" customWidth="1"/>
    <col min="15" max="15" width="21.3984375" bestFit="1" customWidth="1"/>
    <col min="17" max="17" width="16.8984375" bestFit="1" customWidth="1"/>
    <col min="18" max="18" width="19.3984375" bestFit="1" customWidth="1"/>
    <col min="19" max="19" width="15.09765625" bestFit="1" customWidth="1"/>
    <col min="20" max="20" width="13" bestFit="1" customWidth="1"/>
    <col min="21" max="21" width="21.3984375" bestFit="1" customWidth="1"/>
    <col min="22" max="23" width="23" bestFit="1" customWidth="1"/>
    <col min="24" max="24" width="21.3984375" bestFit="1" customWidth="1"/>
    <col min="25" max="25" width="11" bestFit="1" customWidth="1"/>
    <col min="26" max="26" width="6.3984375" bestFit="1" customWidth="1"/>
    <col min="27" max="28" width="17.19921875" bestFit="1" customWidth="1"/>
    <col min="29" max="32" width="10.5" bestFit="1" customWidth="1"/>
    <col min="33" max="33" width="7.09765625" bestFit="1" customWidth="1"/>
  </cols>
  <sheetData>
    <row r="1" spans="1:33" x14ac:dyDescent="0.45">
      <c r="A1" t="s">
        <v>195</v>
      </c>
      <c r="B1" t="s">
        <v>196</v>
      </c>
      <c r="C1" t="s">
        <v>197</v>
      </c>
      <c r="D1" t="s">
        <v>198</v>
      </c>
      <c r="E1" t="s">
        <v>199</v>
      </c>
      <c r="F1" t="s">
        <v>200</v>
      </c>
      <c r="G1" t="s">
        <v>201</v>
      </c>
      <c r="H1" t="s">
        <v>202</v>
      </c>
      <c r="I1" t="s">
        <v>203</v>
      </c>
      <c r="J1" t="s">
        <v>20</v>
      </c>
      <c r="K1" t="s">
        <v>204</v>
      </c>
      <c r="L1" t="s">
        <v>205</v>
      </c>
      <c r="M1" t="s">
        <v>206</v>
      </c>
      <c r="N1" t="s">
        <v>207</v>
      </c>
      <c r="O1" t="s">
        <v>208</v>
      </c>
      <c r="P1" t="s">
        <v>209</v>
      </c>
      <c r="Q1" t="s">
        <v>210</v>
      </c>
      <c r="R1" t="s">
        <v>211</v>
      </c>
      <c r="S1" t="s">
        <v>21</v>
      </c>
      <c r="T1" t="s">
        <v>212</v>
      </c>
      <c r="U1" t="s">
        <v>213</v>
      </c>
      <c r="V1" t="s">
        <v>214</v>
      </c>
      <c r="W1" t="s">
        <v>215</v>
      </c>
      <c r="X1" t="s">
        <v>216</v>
      </c>
      <c r="Y1" t="s">
        <v>217</v>
      </c>
      <c r="Z1" t="s">
        <v>218</v>
      </c>
      <c r="AA1" t="s">
        <v>219</v>
      </c>
      <c r="AB1" t="s">
        <v>220</v>
      </c>
      <c r="AC1" t="s">
        <v>221</v>
      </c>
      <c r="AD1" t="s">
        <v>222</v>
      </c>
      <c r="AE1" t="s">
        <v>223</v>
      </c>
      <c r="AF1" t="s">
        <v>224</v>
      </c>
      <c r="AG1" t="s">
        <v>225</v>
      </c>
    </row>
    <row r="2" spans="1:33" x14ac:dyDescent="0.45">
      <c r="A2" t="s">
        <v>226</v>
      </c>
      <c r="B2" t="s">
        <v>22</v>
      </c>
      <c r="C2" t="s">
        <v>227</v>
      </c>
      <c r="D2">
        <v>1</v>
      </c>
      <c r="E2">
        <v>1</v>
      </c>
      <c r="F2">
        <v>21001</v>
      </c>
      <c r="G2">
        <v>1</v>
      </c>
      <c r="I2" t="s">
        <v>228</v>
      </c>
      <c r="J2">
        <v>9000059949</v>
      </c>
      <c r="O2" t="s">
        <v>229</v>
      </c>
      <c r="P2">
        <v>24</v>
      </c>
      <c r="Q2" s="1">
        <v>45950.47284722222</v>
      </c>
      <c r="R2" t="s">
        <v>230</v>
      </c>
      <c r="AA2" t="s">
        <v>231</v>
      </c>
      <c r="AB2">
        <v>0</v>
      </c>
    </row>
    <row r="3" spans="1:33" x14ac:dyDescent="0.45">
      <c r="A3" t="s">
        <v>226</v>
      </c>
      <c r="B3" t="s">
        <v>22</v>
      </c>
      <c r="C3" t="s">
        <v>227</v>
      </c>
      <c r="D3">
        <v>1</v>
      </c>
      <c r="E3">
        <v>1</v>
      </c>
      <c r="F3">
        <v>21002</v>
      </c>
      <c r="G3">
        <v>2</v>
      </c>
      <c r="I3" t="s">
        <v>232</v>
      </c>
      <c r="J3">
        <v>9000070667</v>
      </c>
      <c r="O3" t="s">
        <v>233</v>
      </c>
      <c r="P3">
        <v>250</v>
      </c>
      <c r="Q3" s="1">
        <v>45946.849270833336</v>
      </c>
      <c r="R3" t="s">
        <v>230</v>
      </c>
      <c r="AA3" t="s">
        <v>231</v>
      </c>
      <c r="AB3">
        <v>0</v>
      </c>
    </row>
    <row r="4" spans="1:33" x14ac:dyDescent="0.45">
      <c r="A4" t="s">
        <v>226</v>
      </c>
      <c r="B4" t="s">
        <v>22</v>
      </c>
      <c r="C4" t="s">
        <v>227</v>
      </c>
      <c r="D4">
        <v>1</v>
      </c>
      <c r="E4">
        <v>1</v>
      </c>
      <c r="F4">
        <v>21003</v>
      </c>
      <c r="G4">
        <v>3</v>
      </c>
      <c r="I4" t="s">
        <v>234</v>
      </c>
      <c r="J4">
        <v>9000033492</v>
      </c>
      <c r="O4" t="s">
        <v>235</v>
      </c>
      <c r="P4">
        <v>24</v>
      </c>
      <c r="Q4" s="1">
        <v>45950.472905092596</v>
      </c>
      <c r="R4" t="s">
        <v>230</v>
      </c>
      <c r="AA4" t="s">
        <v>231</v>
      </c>
      <c r="AB4">
        <v>0</v>
      </c>
    </row>
    <row r="5" spans="1:33" x14ac:dyDescent="0.45">
      <c r="A5" t="s">
        <v>226</v>
      </c>
      <c r="B5" t="s">
        <v>22</v>
      </c>
      <c r="C5" t="s">
        <v>227</v>
      </c>
      <c r="D5">
        <v>1</v>
      </c>
      <c r="E5">
        <v>1</v>
      </c>
      <c r="F5">
        <v>21004</v>
      </c>
      <c r="G5">
        <v>4</v>
      </c>
      <c r="I5" t="s">
        <v>236</v>
      </c>
      <c r="J5">
        <v>9000066873</v>
      </c>
      <c r="O5" t="s">
        <v>237</v>
      </c>
      <c r="P5">
        <v>24</v>
      </c>
      <c r="Q5" s="1">
        <v>45950.472962962966</v>
      </c>
      <c r="R5" t="s">
        <v>230</v>
      </c>
      <c r="AA5" t="s">
        <v>231</v>
      </c>
      <c r="AB5">
        <v>0</v>
      </c>
    </row>
    <row r="6" spans="1:33" x14ac:dyDescent="0.45">
      <c r="A6" t="s">
        <v>226</v>
      </c>
      <c r="B6" t="s">
        <v>22</v>
      </c>
      <c r="C6" t="s">
        <v>227</v>
      </c>
      <c r="D6">
        <v>1</v>
      </c>
      <c r="E6">
        <v>1</v>
      </c>
      <c r="F6">
        <v>21005</v>
      </c>
      <c r="G6">
        <v>5</v>
      </c>
      <c r="I6" t="s">
        <v>238</v>
      </c>
      <c r="J6">
        <v>9000066452</v>
      </c>
      <c r="O6" t="s">
        <v>239</v>
      </c>
      <c r="P6">
        <v>48</v>
      </c>
      <c r="Q6" s="1">
        <v>45946.849479166667</v>
      </c>
      <c r="R6" t="s">
        <v>230</v>
      </c>
      <c r="AA6" t="s">
        <v>231</v>
      </c>
      <c r="AB6">
        <v>0</v>
      </c>
    </row>
    <row r="7" spans="1:33" x14ac:dyDescent="0.45">
      <c r="A7" t="s">
        <v>226</v>
      </c>
      <c r="B7" t="s">
        <v>22</v>
      </c>
      <c r="C7" t="s">
        <v>227</v>
      </c>
      <c r="D7">
        <v>1</v>
      </c>
      <c r="E7">
        <v>1</v>
      </c>
      <c r="F7">
        <v>21006</v>
      </c>
      <c r="G7">
        <v>6</v>
      </c>
      <c r="I7" t="s">
        <v>240</v>
      </c>
      <c r="J7">
        <v>9000069287</v>
      </c>
      <c r="O7" t="s">
        <v>241</v>
      </c>
      <c r="P7">
        <v>48</v>
      </c>
      <c r="Q7" s="1">
        <v>45946.849537037036</v>
      </c>
      <c r="R7" t="s">
        <v>230</v>
      </c>
      <c r="AA7" t="s">
        <v>231</v>
      </c>
      <c r="AB7">
        <v>0</v>
      </c>
    </row>
    <row r="8" spans="1:33" x14ac:dyDescent="0.45">
      <c r="A8" t="s">
        <v>226</v>
      </c>
      <c r="B8" t="s">
        <v>22</v>
      </c>
      <c r="C8" t="s">
        <v>227</v>
      </c>
      <c r="D8">
        <v>1</v>
      </c>
      <c r="E8">
        <v>1</v>
      </c>
      <c r="F8">
        <v>21007</v>
      </c>
      <c r="G8">
        <v>7</v>
      </c>
      <c r="I8" t="s">
        <v>242</v>
      </c>
      <c r="J8">
        <v>9000070664</v>
      </c>
      <c r="O8" t="s">
        <v>243</v>
      </c>
      <c r="P8">
        <v>48</v>
      </c>
      <c r="Q8" s="1">
        <v>45946.849618055552</v>
      </c>
      <c r="R8" t="s">
        <v>230</v>
      </c>
      <c r="AA8" t="s">
        <v>231</v>
      </c>
      <c r="AB8">
        <v>0</v>
      </c>
    </row>
    <row r="9" spans="1:33" x14ac:dyDescent="0.45">
      <c r="A9" t="s">
        <v>226</v>
      </c>
      <c r="B9" t="s">
        <v>22</v>
      </c>
      <c r="C9" t="s">
        <v>227</v>
      </c>
      <c r="D9">
        <v>1</v>
      </c>
      <c r="E9">
        <v>1</v>
      </c>
      <c r="F9">
        <v>21008</v>
      </c>
      <c r="G9">
        <v>8</v>
      </c>
      <c r="I9" t="s">
        <v>244</v>
      </c>
      <c r="J9">
        <v>9000069581</v>
      </c>
      <c r="O9" t="s">
        <v>245</v>
      </c>
      <c r="P9">
        <v>84</v>
      </c>
      <c r="Q9" s="1">
        <v>45945.861597222225</v>
      </c>
      <c r="R9" t="s">
        <v>230</v>
      </c>
      <c r="AA9" t="s">
        <v>231</v>
      </c>
      <c r="AB9">
        <v>0</v>
      </c>
    </row>
    <row r="10" spans="1:33" x14ac:dyDescent="0.45">
      <c r="A10" t="s">
        <v>226</v>
      </c>
      <c r="B10" t="s">
        <v>22</v>
      </c>
      <c r="C10" t="s">
        <v>227</v>
      </c>
      <c r="D10">
        <v>1</v>
      </c>
      <c r="E10">
        <v>1</v>
      </c>
      <c r="F10">
        <v>21009</v>
      </c>
      <c r="G10">
        <v>9</v>
      </c>
      <c r="I10" t="s">
        <v>246</v>
      </c>
      <c r="J10">
        <v>9000033492</v>
      </c>
      <c r="O10" t="s">
        <v>247</v>
      </c>
      <c r="P10">
        <v>24</v>
      </c>
      <c r="Q10" s="1">
        <v>45946.849687499998</v>
      </c>
      <c r="R10" t="s">
        <v>230</v>
      </c>
      <c r="AA10" t="s">
        <v>231</v>
      </c>
      <c r="AB10">
        <v>0</v>
      </c>
    </row>
    <row r="11" spans="1:33" x14ac:dyDescent="0.45">
      <c r="A11" t="s">
        <v>226</v>
      </c>
      <c r="B11" t="s">
        <v>22</v>
      </c>
      <c r="C11" t="s">
        <v>227</v>
      </c>
      <c r="D11">
        <v>1</v>
      </c>
      <c r="E11">
        <v>1</v>
      </c>
      <c r="F11">
        <v>21010</v>
      </c>
      <c r="G11">
        <v>10</v>
      </c>
      <c r="I11" t="s">
        <v>248</v>
      </c>
      <c r="J11">
        <v>9000070668</v>
      </c>
      <c r="O11" t="s">
        <v>249</v>
      </c>
      <c r="P11">
        <v>48</v>
      </c>
      <c r="Q11" s="1">
        <v>45946.849756944444</v>
      </c>
      <c r="R11" t="s">
        <v>230</v>
      </c>
      <c r="AA11" t="s">
        <v>231</v>
      </c>
      <c r="AB11">
        <v>0</v>
      </c>
    </row>
    <row r="12" spans="1:33" x14ac:dyDescent="0.45">
      <c r="A12" t="s">
        <v>226</v>
      </c>
      <c r="B12" t="s">
        <v>22</v>
      </c>
      <c r="C12" t="s">
        <v>227</v>
      </c>
      <c r="D12">
        <v>1</v>
      </c>
      <c r="E12">
        <v>1</v>
      </c>
      <c r="F12">
        <v>21011</v>
      </c>
      <c r="G12">
        <v>11</v>
      </c>
      <c r="I12" t="s">
        <v>250</v>
      </c>
      <c r="J12">
        <v>9000063366</v>
      </c>
      <c r="O12" t="s">
        <v>251</v>
      </c>
      <c r="P12">
        <v>48</v>
      </c>
      <c r="Q12" s="1">
        <v>45946.849849537037</v>
      </c>
      <c r="R12" t="s">
        <v>230</v>
      </c>
      <c r="AA12" t="s">
        <v>231</v>
      </c>
      <c r="AB12">
        <v>0</v>
      </c>
    </row>
    <row r="13" spans="1:33" x14ac:dyDescent="0.45">
      <c r="A13" t="s">
        <v>226</v>
      </c>
      <c r="B13" t="s">
        <v>22</v>
      </c>
      <c r="C13" t="s">
        <v>227</v>
      </c>
      <c r="D13">
        <v>1</v>
      </c>
      <c r="E13">
        <v>1</v>
      </c>
      <c r="F13">
        <v>21012</v>
      </c>
      <c r="G13">
        <v>12</v>
      </c>
      <c r="I13" t="s">
        <v>252</v>
      </c>
      <c r="J13">
        <v>9000071849</v>
      </c>
      <c r="O13" t="s">
        <v>253</v>
      </c>
      <c r="P13">
        <v>48</v>
      </c>
      <c r="Q13" s="1">
        <v>45946.849930555552</v>
      </c>
      <c r="R13" t="s">
        <v>230</v>
      </c>
      <c r="AA13" t="s">
        <v>231</v>
      </c>
      <c r="AB13">
        <v>0</v>
      </c>
    </row>
    <row r="14" spans="1:33" x14ac:dyDescent="0.45">
      <c r="A14" t="s">
        <v>226</v>
      </c>
      <c r="B14" t="s">
        <v>22</v>
      </c>
      <c r="C14" t="s">
        <v>227</v>
      </c>
      <c r="D14">
        <v>1</v>
      </c>
      <c r="E14">
        <v>1</v>
      </c>
      <c r="F14">
        <v>21013</v>
      </c>
      <c r="G14">
        <v>13</v>
      </c>
      <c r="I14" t="s">
        <v>254</v>
      </c>
      <c r="J14">
        <v>9000066452</v>
      </c>
      <c r="O14" t="s">
        <v>255</v>
      </c>
      <c r="P14">
        <v>48</v>
      </c>
      <c r="Q14" s="1">
        <v>45936.666608796295</v>
      </c>
      <c r="R14" t="s">
        <v>230</v>
      </c>
      <c r="AA14" t="s">
        <v>231</v>
      </c>
      <c r="AB14">
        <v>0</v>
      </c>
    </row>
    <row r="15" spans="1:33" x14ac:dyDescent="0.45">
      <c r="A15" t="s">
        <v>226</v>
      </c>
      <c r="B15" t="s">
        <v>22</v>
      </c>
      <c r="C15" t="s">
        <v>227</v>
      </c>
      <c r="D15">
        <v>1</v>
      </c>
      <c r="E15">
        <v>1</v>
      </c>
      <c r="F15">
        <v>21014</v>
      </c>
      <c r="G15">
        <v>14</v>
      </c>
      <c r="I15" t="s">
        <v>256</v>
      </c>
      <c r="J15">
        <v>9000064954</v>
      </c>
      <c r="O15" t="s">
        <v>257</v>
      </c>
      <c r="P15">
        <v>48</v>
      </c>
      <c r="Q15" s="1">
        <v>45946.850034722222</v>
      </c>
      <c r="R15" t="s">
        <v>230</v>
      </c>
      <c r="AA15" t="s">
        <v>231</v>
      </c>
      <c r="AB15">
        <v>0</v>
      </c>
    </row>
    <row r="16" spans="1:33" x14ac:dyDescent="0.45">
      <c r="A16" t="s">
        <v>226</v>
      </c>
      <c r="B16" t="s">
        <v>22</v>
      </c>
      <c r="C16" t="s">
        <v>227</v>
      </c>
      <c r="D16">
        <v>1</v>
      </c>
      <c r="E16">
        <v>1</v>
      </c>
      <c r="F16">
        <v>21015</v>
      </c>
      <c r="G16">
        <v>15</v>
      </c>
      <c r="I16" t="s">
        <v>258</v>
      </c>
      <c r="J16">
        <v>9000066873</v>
      </c>
      <c r="O16" t="s">
        <v>259</v>
      </c>
      <c r="P16">
        <v>24</v>
      </c>
      <c r="Q16" s="1">
        <v>45946.850127314814</v>
      </c>
      <c r="R16" t="s">
        <v>230</v>
      </c>
      <c r="AA16" t="s">
        <v>231</v>
      </c>
      <c r="AB16">
        <v>0</v>
      </c>
    </row>
    <row r="17" spans="1:28" x14ac:dyDescent="0.45">
      <c r="A17" t="s">
        <v>226</v>
      </c>
      <c r="B17" t="s">
        <v>22</v>
      </c>
      <c r="C17" t="s">
        <v>227</v>
      </c>
      <c r="D17">
        <v>1</v>
      </c>
      <c r="E17">
        <v>1</v>
      </c>
      <c r="F17">
        <v>21016</v>
      </c>
      <c r="G17">
        <v>16</v>
      </c>
      <c r="I17" t="s">
        <v>260</v>
      </c>
      <c r="J17">
        <v>9000069285</v>
      </c>
      <c r="O17" t="s">
        <v>261</v>
      </c>
      <c r="P17">
        <v>129</v>
      </c>
      <c r="Q17" s="1">
        <v>45946.85019675926</v>
      </c>
      <c r="R17" t="s">
        <v>230</v>
      </c>
      <c r="AA17" t="s">
        <v>231</v>
      </c>
      <c r="AB17">
        <v>0</v>
      </c>
    </row>
    <row r="18" spans="1:28" x14ac:dyDescent="0.45">
      <c r="A18" t="s">
        <v>226</v>
      </c>
      <c r="B18" t="s">
        <v>22</v>
      </c>
      <c r="C18" t="s">
        <v>227</v>
      </c>
      <c r="D18">
        <v>1</v>
      </c>
      <c r="E18">
        <v>1</v>
      </c>
      <c r="F18">
        <v>21017</v>
      </c>
      <c r="G18">
        <v>17</v>
      </c>
      <c r="I18" t="s">
        <v>262</v>
      </c>
      <c r="J18">
        <v>9000030218</v>
      </c>
      <c r="O18" t="s">
        <v>263</v>
      </c>
      <c r="P18">
        <v>192</v>
      </c>
      <c r="Q18" s="1">
        <v>45936.666817129626</v>
      </c>
      <c r="R18" t="s">
        <v>230</v>
      </c>
      <c r="AA18" t="s">
        <v>231</v>
      </c>
      <c r="AB18">
        <v>0</v>
      </c>
    </row>
    <row r="19" spans="1:28" x14ac:dyDescent="0.45">
      <c r="A19" t="s">
        <v>226</v>
      </c>
      <c r="B19" t="s">
        <v>22</v>
      </c>
      <c r="C19" t="s">
        <v>227</v>
      </c>
      <c r="D19">
        <v>1</v>
      </c>
      <c r="E19">
        <v>1</v>
      </c>
      <c r="F19">
        <v>21018</v>
      </c>
      <c r="G19">
        <v>18</v>
      </c>
      <c r="I19" t="s">
        <v>264</v>
      </c>
      <c r="J19">
        <v>9000030218</v>
      </c>
      <c r="O19" t="s">
        <v>265</v>
      </c>
      <c r="P19">
        <v>48</v>
      </c>
      <c r="Q19" s="1">
        <v>45946.850266203706</v>
      </c>
      <c r="R19" t="s">
        <v>230</v>
      </c>
      <c r="AA19" t="s">
        <v>231</v>
      </c>
      <c r="AB19">
        <v>0</v>
      </c>
    </row>
    <row r="20" spans="1:28" x14ac:dyDescent="0.45">
      <c r="A20" t="s">
        <v>226</v>
      </c>
      <c r="B20" t="s">
        <v>22</v>
      </c>
      <c r="C20" t="s">
        <v>227</v>
      </c>
      <c r="D20">
        <v>1</v>
      </c>
      <c r="E20">
        <v>1</v>
      </c>
      <c r="F20">
        <v>21019</v>
      </c>
      <c r="G20">
        <v>19</v>
      </c>
      <c r="I20" t="s">
        <v>266</v>
      </c>
      <c r="J20">
        <v>9000070667</v>
      </c>
      <c r="O20" t="s">
        <v>267</v>
      </c>
      <c r="P20">
        <v>134</v>
      </c>
      <c r="Q20" s="1">
        <v>45946.850335648145</v>
      </c>
      <c r="R20" t="s">
        <v>230</v>
      </c>
      <c r="AA20" t="s">
        <v>231</v>
      </c>
      <c r="AB20">
        <v>0</v>
      </c>
    </row>
    <row r="21" spans="1:28" x14ac:dyDescent="0.45">
      <c r="A21" t="s">
        <v>226</v>
      </c>
      <c r="B21" t="s">
        <v>22</v>
      </c>
      <c r="C21" t="s">
        <v>227</v>
      </c>
      <c r="D21">
        <v>1</v>
      </c>
      <c r="E21">
        <v>1</v>
      </c>
      <c r="F21">
        <v>21020</v>
      </c>
      <c r="G21">
        <v>20</v>
      </c>
      <c r="I21" t="s">
        <v>268</v>
      </c>
      <c r="J21">
        <v>9000069285</v>
      </c>
      <c r="O21" t="s">
        <v>269</v>
      </c>
      <c r="P21">
        <v>30</v>
      </c>
      <c r="Q21" s="1">
        <v>45946.850439814814</v>
      </c>
      <c r="R21" t="s">
        <v>230</v>
      </c>
      <c r="AA21" t="s">
        <v>231</v>
      </c>
      <c r="AB21">
        <v>0</v>
      </c>
    </row>
    <row r="22" spans="1:28" x14ac:dyDescent="0.45">
      <c r="A22" t="s">
        <v>226</v>
      </c>
      <c r="B22" t="s">
        <v>22</v>
      </c>
      <c r="C22" t="s">
        <v>227</v>
      </c>
      <c r="D22">
        <v>1</v>
      </c>
      <c r="E22">
        <v>1</v>
      </c>
      <c r="F22">
        <v>22001</v>
      </c>
      <c r="G22">
        <v>1</v>
      </c>
      <c r="I22" t="s">
        <v>270</v>
      </c>
      <c r="J22">
        <v>9000071703</v>
      </c>
      <c r="O22" t="s">
        <v>271</v>
      </c>
      <c r="P22">
        <v>36</v>
      </c>
      <c r="Q22" s="1">
        <v>45925.9997337963</v>
      </c>
      <c r="R22" t="s">
        <v>272</v>
      </c>
      <c r="AA22" t="s">
        <v>231</v>
      </c>
      <c r="AB22">
        <v>0</v>
      </c>
    </row>
    <row r="23" spans="1:28" x14ac:dyDescent="0.45">
      <c r="A23" t="s">
        <v>226</v>
      </c>
      <c r="B23" t="s">
        <v>22</v>
      </c>
      <c r="C23" t="s">
        <v>227</v>
      </c>
      <c r="D23">
        <v>1</v>
      </c>
      <c r="E23">
        <v>1</v>
      </c>
      <c r="F23">
        <v>22002</v>
      </c>
      <c r="G23">
        <v>2</v>
      </c>
      <c r="I23" t="s">
        <v>273</v>
      </c>
      <c r="J23">
        <v>9000071703</v>
      </c>
      <c r="O23" t="s">
        <v>274</v>
      </c>
      <c r="P23">
        <v>36</v>
      </c>
      <c r="Q23" s="1">
        <v>45926.000069444446</v>
      </c>
      <c r="R23" t="s">
        <v>272</v>
      </c>
      <c r="AA23" t="s">
        <v>231</v>
      </c>
      <c r="AB23">
        <v>0</v>
      </c>
    </row>
    <row r="24" spans="1:28" x14ac:dyDescent="0.45">
      <c r="A24" t="s">
        <v>226</v>
      </c>
      <c r="B24" t="s">
        <v>22</v>
      </c>
      <c r="C24" t="s">
        <v>227</v>
      </c>
      <c r="D24">
        <v>1</v>
      </c>
      <c r="E24">
        <v>1</v>
      </c>
      <c r="F24">
        <v>22003</v>
      </c>
      <c r="G24">
        <v>3</v>
      </c>
      <c r="I24" t="s">
        <v>275</v>
      </c>
      <c r="J24">
        <v>9000071703</v>
      </c>
      <c r="O24" t="s">
        <v>276</v>
      </c>
      <c r="P24">
        <v>36</v>
      </c>
      <c r="Q24" s="1">
        <v>45926.000451388885</v>
      </c>
      <c r="R24" t="s">
        <v>272</v>
      </c>
      <c r="AA24" t="s">
        <v>231</v>
      </c>
      <c r="AB24">
        <v>0</v>
      </c>
    </row>
    <row r="25" spans="1:28" x14ac:dyDescent="0.45">
      <c r="A25" t="s">
        <v>226</v>
      </c>
      <c r="B25" t="s">
        <v>22</v>
      </c>
      <c r="C25" t="s">
        <v>227</v>
      </c>
      <c r="D25">
        <v>1</v>
      </c>
      <c r="E25">
        <v>1</v>
      </c>
      <c r="F25">
        <v>22004</v>
      </c>
      <c r="G25">
        <v>4</v>
      </c>
      <c r="I25" t="s">
        <v>277</v>
      </c>
      <c r="J25">
        <v>6104902631</v>
      </c>
      <c r="O25" t="s">
        <v>278</v>
      </c>
      <c r="P25">
        <v>48</v>
      </c>
      <c r="Q25" s="1">
        <v>45730.611030092594</v>
      </c>
      <c r="R25" t="s">
        <v>279</v>
      </c>
      <c r="AA25" t="s">
        <v>231</v>
      </c>
      <c r="AB25">
        <v>0</v>
      </c>
    </row>
    <row r="26" spans="1:28" x14ac:dyDescent="0.45">
      <c r="A26" t="s">
        <v>226</v>
      </c>
      <c r="B26" t="s">
        <v>22</v>
      </c>
      <c r="C26" t="s">
        <v>227</v>
      </c>
      <c r="D26">
        <v>1</v>
      </c>
      <c r="E26">
        <v>1</v>
      </c>
      <c r="F26">
        <v>22005</v>
      </c>
      <c r="G26">
        <v>5</v>
      </c>
      <c r="I26" t="s">
        <v>280</v>
      </c>
      <c r="J26">
        <v>9000070665</v>
      </c>
      <c r="O26" t="s">
        <v>281</v>
      </c>
      <c r="P26">
        <v>36</v>
      </c>
      <c r="Q26" s="1">
        <v>45730.611157407409</v>
      </c>
      <c r="R26" t="s">
        <v>279</v>
      </c>
      <c r="AA26" t="s">
        <v>231</v>
      </c>
      <c r="AB26">
        <v>0</v>
      </c>
    </row>
    <row r="27" spans="1:28" x14ac:dyDescent="0.45">
      <c r="A27" t="s">
        <v>226</v>
      </c>
      <c r="B27" t="s">
        <v>22</v>
      </c>
      <c r="C27" t="s">
        <v>227</v>
      </c>
      <c r="D27">
        <v>1</v>
      </c>
      <c r="E27">
        <v>1</v>
      </c>
      <c r="F27">
        <v>22011</v>
      </c>
      <c r="G27">
        <v>11</v>
      </c>
      <c r="I27" t="s">
        <v>282</v>
      </c>
      <c r="J27">
        <v>9000071704</v>
      </c>
      <c r="O27" t="s">
        <v>283</v>
      </c>
      <c r="P27">
        <v>338</v>
      </c>
      <c r="Q27" s="1">
        <v>45920.022280092591</v>
      </c>
      <c r="R27" t="s">
        <v>284</v>
      </c>
      <c r="AA27" t="s">
        <v>231</v>
      </c>
      <c r="AB27">
        <v>0</v>
      </c>
    </row>
    <row r="28" spans="1:28" x14ac:dyDescent="0.45">
      <c r="A28" t="s">
        <v>226</v>
      </c>
      <c r="B28" t="s">
        <v>23</v>
      </c>
      <c r="C28" t="s">
        <v>285</v>
      </c>
      <c r="D28">
        <v>1</v>
      </c>
      <c r="E28">
        <v>1</v>
      </c>
      <c r="F28" t="s">
        <v>286</v>
      </c>
      <c r="G28">
        <v>1</v>
      </c>
      <c r="H28" t="s">
        <v>287</v>
      </c>
      <c r="I28" t="s">
        <v>288</v>
      </c>
      <c r="J28">
        <v>9000059940</v>
      </c>
      <c r="O28" t="s">
        <v>289</v>
      </c>
      <c r="P28">
        <v>2500</v>
      </c>
      <c r="Q28" s="1">
        <v>45950.475046296298</v>
      </c>
      <c r="S28" t="s">
        <v>290</v>
      </c>
      <c r="U28" t="s">
        <v>291</v>
      </c>
      <c r="AA28" t="s">
        <v>231</v>
      </c>
      <c r="AB28">
        <v>0</v>
      </c>
    </row>
    <row r="29" spans="1:28" x14ac:dyDescent="0.45">
      <c r="A29" t="s">
        <v>226</v>
      </c>
      <c r="B29" t="s">
        <v>23</v>
      </c>
      <c r="C29" t="s">
        <v>285</v>
      </c>
      <c r="D29">
        <v>1</v>
      </c>
      <c r="E29">
        <v>1</v>
      </c>
      <c r="F29" t="s">
        <v>292</v>
      </c>
      <c r="G29">
        <v>2</v>
      </c>
      <c r="H29" t="s">
        <v>287</v>
      </c>
      <c r="I29" t="s">
        <v>293</v>
      </c>
      <c r="J29">
        <v>667663</v>
      </c>
      <c r="O29" t="s">
        <v>294</v>
      </c>
      <c r="P29">
        <v>10000</v>
      </c>
      <c r="Q29" s="1">
        <v>45950.475046296298</v>
      </c>
      <c r="AA29" t="s">
        <v>231</v>
      </c>
      <c r="AB29">
        <v>0</v>
      </c>
    </row>
    <row r="30" spans="1:28" x14ac:dyDescent="0.45">
      <c r="A30" t="s">
        <v>226</v>
      </c>
      <c r="B30" t="s">
        <v>23</v>
      </c>
      <c r="C30" t="s">
        <v>285</v>
      </c>
      <c r="D30">
        <v>1</v>
      </c>
      <c r="E30">
        <v>1</v>
      </c>
      <c r="F30" t="s">
        <v>295</v>
      </c>
      <c r="G30">
        <v>3</v>
      </c>
      <c r="H30" t="s">
        <v>287</v>
      </c>
      <c r="I30" t="s">
        <v>296</v>
      </c>
      <c r="J30" t="s">
        <v>24</v>
      </c>
      <c r="O30" t="s">
        <v>297</v>
      </c>
      <c r="P30">
        <v>10000</v>
      </c>
      <c r="Q30" s="1">
        <v>45950.475046296298</v>
      </c>
      <c r="AA30" t="s">
        <v>231</v>
      </c>
      <c r="AB30">
        <v>0</v>
      </c>
    </row>
    <row r="31" spans="1:28" x14ac:dyDescent="0.45">
      <c r="A31" t="s">
        <v>226</v>
      </c>
      <c r="B31" t="s">
        <v>23</v>
      </c>
      <c r="C31" t="s">
        <v>285</v>
      </c>
      <c r="D31">
        <v>1</v>
      </c>
      <c r="E31">
        <v>1</v>
      </c>
      <c r="F31" t="s">
        <v>298</v>
      </c>
      <c r="G31">
        <v>4</v>
      </c>
      <c r="H31" t="s">
        <v>287</v>
      </c>
      <c r="I31" t="s">
        <v>299</v>
      </c>
      <c r="J31">
        <v>9000054754</v>
      </c>
      <c r="O31" t="s">
        <v>300</v>
      </c>
      <c r="P31">
        <v>8000</v>
      </c>
      <c r="Q31" s="1">
        <v>45950.475046296298</v>
      </c>
      <c r="AA31" t="s">
        <v>231</v>
      </c>
      <c r="AB31">
        <v>0</v>
      </c>
    </row>
    <row r="32" spans="1:28" x14ac:dyDescent="0.45">
      <c r="A32" t="s">
        <v>226</v>
      </c>
      <c r="B32" t="s">
        <v>23</v>
      </c>
      <c r="C32" t="s">
        <v>285</v>
      </c>
      <c r="D32">
        <v>1</v>
      </c>
      <c r="E32">
        <v>1</v>
      </c>
      <c r="F32" t="s">
        <v>301</v>
      </c>
      <c r="G32">
        <v>5</v>
      </c>
      <c r="H32" t="s">
        <v>287</v>
      </c>
      <c r="I32" t="s">
        <v>302</v>
      </c>
      <c r="J32">
        <v>9000068497</v>
      </c>
      <c r="O32" t="s">
        <v>303</v>
      </c>
      <c r="P32">
        <v>10000</v>
      </c>
      <c r="Q32" s="1">
        <v>45950.475046296298</v>
      </c>
      <c r="AA32" t="s">
        <v>231</v>
      </c>
      <c r="AB32">
        <v>0</v>
      </c>
    </row>
    <row r="33" spans="1:28" x14ac:dyDescent="0.45">
      <c r="A33" t="s">
        <v>226</v>
      </c>
      <c r="B33" t="s">
        <v>23</v>
      </c>
      <c r="C33" t="s">
        <v>285</v>
      </c>
      <c r="D33">
        <v>1</v>
      </c>
      <c r="E33">
        <v>1</v>
      </c>
      <c r="F33" t="s">
        <v>304</v>
      </c>
      <c r="G33">
        <v>6</v>
      </c>
      <c r="H33" t="s">
        <v>287</v>
      </c>
      <c r="I33" t="s">
        <v>305</v>
      </c>
      <c r="J33">
        <v>667699</v>
      </c>
      <c r="O33" t="s">
        <v>306</v>
      </c>
      <c r="P33">
        <v>10000</v>
      </c>
      <c r="Q33" s="1">
        <v>45950.475057870368</v>
      </c>
      <c r="AA33" t="s">
        <v>231</v>
      </c>
      <c r="AB33">
        <v>0</v>
      </c>
    </row>
    <row r="34" spans="1:28" x14ac:dyDescent="0.45">
      <c r="A34" t="s">
        <v>226</v>
      </c>
      <c r="B34" t="s">
        <v>23</v>
      </c>
      <c r="C34" t="s">
        <v>285</v>
      </c>
      <c r="D34">
        <v>1</v>
      </c>
      <c r="E34">
        <v>1</v>
      </c>
      <c r="F34" t="s">
        <v>307</v>
      </c>
      <c r="G34">
        <v>7</v>
      </c>
      <c r="H34" t="s">
        <v>287</v>
      </c>
      <c r="I34" t="s">
        <v>308</v>
      </c>
      <c r="J34">
        <v>9000067896</v>
      </c>
      <c r="O34" t="s">
        <v>309</v>
      </c>
      <c r="P34">
        <v>15000</v>
      </c>
      <c r="Q34" s="1">
        <v>45950.475057870368</v>
      </c>
      <c r="AA34" t="s">
        <v>231</v>
      </c>
      <c r="AB34">
        <v>0</v>
      </c>
    </row>
    <row r="35" spans="1:28" x14ac:dyDescent="0.45">
      <c r="A35" t="s">
        <v>226</v>
      </c>
      <c r="B35" t="s">
        <v>23</v>
      </c>
      <c r="C35" t="s">
        <v>285</v>
      </c>
      <c r="D35">
        <v>1</v>
      </c>
      <c r="E35">
        <v>1</v>
      </c>
      <c r="F35" t="s">
        <v>310</v>
      </c>
      <c r="G35">
        <v>8</v>
      </c>
      <c r="H35" t="s">
        <v>287</v>
      </c>
      <c r="I35" t="s">
        <v>311</v>
      </c>
      <c r="J35">
        <v>9000066340</v>
      </c>
      <c r="O35" t="s">
        <v>312</v>
      </c>
      <c r="P35">
        <v>4000</v>
      </c>
      <c r="Q35" s="1">
        <v>45950.475057870368</v>
      </c>
      <c r="AA35" t="s">
        <v>231</v>
      </c>
      <c r="AB35">
        <v>0</v>
      </c>
    </row>
    <row r="36" spans="1:28" x14ac:dyDescent="0.45">
      <c r="A36" t="s">
        <v>226</v>
      </c>
      <c r="B36" t="s">
        <v>23</v>
      </c>
      <c r="C36" t="s">
        <v>285</v>
      </c>
      <c r="D36">
        <v>1</v>
      </c>
      <c r="E36">
        <v>1</v>
      </c>
      <c r="F36" t="s">
        <v>313</v>
      </c>
      <c r="G36">
        <v>9</v>
      </c>
      <c r="H36" t="s">
        <v>287</v>
      </c>
      <c r="I36" t="s">
        <v>314</v>
      </c>
      <c r="J36">
        <v>667654</v>
      </c>
      <c r="O36" t="s">
        <v>315</v>
      </c>
      <c r="P36">
        <v>10000</v>
      </c>
      <c r="Q36" s="1">
        <v>45950.475057870368</v>
      </c>
      <c r="AA36" t="s">
        <v>231</v>
      </c>
      <c r="AB36">
        <v>0</v>
      </c>
    </row>
    <row r="37" spans="1:28" x14ac:dyDescent="0.45">
      <c r="A37" t="s">
        <v>226</v>
      </c>
      <c r="B37" t="s">
        <v>23</v>
      </c>
      <c r="C37" t="s">
        <v>285</v>
      </c>
      <c r="D37">
        <v>1</v>
      </c>
      <c r="E37">
        <v>1</v>
      </c>
      <c r="F37" t="s">
        <v>316</v>
      </c>
      <c r="G37">
        <v>10</v>
      </c>
      <c r="H37" t="s">
        <v>287</v>
      </c>
      <c r="I37" t="s">
        <v>317</v>
      </c>
      <c r="J37">
        <v>9000070424</v>
      </c>
      <c r="O37" t="s">
        <v>318</v>
      </c>
      <c r="P37">
        <v>10000</v>
      </c>
      <c r="Q37" s="1">
        <v>45950.475057870368</v>
      </c>
      <c r="AA37" t="s">
        <v>231</v>
      </c>
      <c r="AB37">
        <v>0</v>
      </c>
    </row>
    <row r="38" spans="1:28" x14ac:dyDescent="0.45">
      <c r="A38" t="s">
        <v>226</v>
      </c>
      <c r="B38" t="s">
        <v>23</v>
      </c>
      <c r="C38" t="s">
        <v>285</v>
      </c>
      <c r="D38">
        <v>1</v>
      </c>
      <c r="E38">
        <v>1</v>
      </c>
      <c r="F38" t="s">
        <v>319</v>
      </c>
      <c r="G38">
        <v>11</v>
      </c>
      <c r="H38" t="s">
        <v>287</v>
      </c>
      <c r="I38" t="s">
        <v>320</v>
      </c>
      <c r="J38">
        <v>9000068491</v>
      </c>
      <c r="O38" t="s">
        <v>321</v>
      </c>
      <c r="P38">
        <v>15000</v>
      </c>
      <c r="Q38" s="1">
        <v>45950.475057870368</v>
      </c>
      <c r="AA38" t="s">
        <v>231</v>
      </c>
      <c r="AB38">
        <v>0</v>
      </c>
    </row>
    <row r="39" spans="1:28" x14ac:dyDescent="0.45">
      <c r="A39" t="s">
        <v>226</v>
      </c>
      <c r="B39" t="s">
        <v>23</v>
      </c>
      <c r="C39" t="s">
        <v>285</v>
      </c>
      <c r="D39">
        <v>1</v>
      </c>
      <c r="E39">
        <v>1</v>
      </c>
      <c r="F39" t="s">
        <v>322</v>
      </c>
      <c r="G39">
        <v>12</v>
      </c>
      <c r="H39" t="s">
        <v>287</v>
      </c>
      <c r="I39" t="s">
        <v>323</v>
      </c>
      <c r="J39">
        <v>687436</v>
      </c>
      <c r="O39" t="s">
        <v>324</v>
      </c>
      <c r="P39">
        <v>10000</v>
      </c>
      <c r="Q39" s="1">
        <v>45950.475069444445</v>
      </c>
      <c r="R39" t="s">
        <v>230</v>
      </c>
      <c r="AA39" t="s">
        <v>231</v>
      </c>
      <c r="AB39">
        <v>0</v>
      </c>
    </row>
    <row r="40" spans="1:28" x14ac:dyDescent="0.45">
      <c r="A40" t="s">
        <v>226</v>
      </c>
      <c r="B40" t="s">
        <v>23</v>
      </c>
      <c r="C40" t="s">
        <v>285</v>
      </c>
      <c r="D40">
        <v>1</v>
      </c>
      <c r="E40">
        <v>1</v>
      </c>
      <c r="F40" t="s">
        <v>325</v>
      </c>
      <c r="G40">
        <v>13</v>
      </c>
      <c r="H40" t="s">
        <v>287</v>
      </c>
      <c r="I40" t="s">
        <v>326</v>
      </c>
      <c r="J40">
        <v>911738</v>
      </c>
      <c r="O40" t="s">
        <v>327</v>
      </c>
      <c r="P40">
        <v>10000</v>
      </c>
      <c r="Q40" s="1">
        <v>45936.793391203704</v>
      </c>
      <c r="AA40" t="s">
        <v>231</v>
      </c>
      <c r="AB40">
        <v>0</v>
      </c>
    </row>
    <row r="41" spans="1:28" x14ac:dyDescent="0.45">
      <c r="A41" t="s">
        <v>226</v>
      </c>
      <c r="B41" t="s">
        <v>23</v>
      </c>
      <c r="C41" t="s">
        <v>285</v>
      </c>
      <c r="D41">
        <v>1</v>
      </c>
      <c r="E41">
        <v>1</v>
      </c>
      <c r="F41" t="s">
        <v>328</v>
      </c>
      <c r="G41">
        <v>14</v>
      </c>
      <c r="H41" t="s">
        <v>287</v>
      </c>
      <c r="I41" t="s">
        <v>329</v>
      </c>
      <c r="J41">
        <v>9000063270</v>
      </c>
      <c r="O41" t="s">
        <v>330</v>
      </c>
      <c r="P41">
        <v>10000</v>
      </c>
      <c r="Q41" s="1">
        <v>45931.821273148147</v>
      </c>
      <c r="AA41" t="s">
        <v>231</v>
      </c>
      <c r="AB41">
        <v>0</v>
      </c>
    </row>
    <row r="42" spans="1:28" x14ac:dyDescent="0.45">
      <c r="A42" t="s">
        <v>226</v>
      </c>
      <c r="B42" t="s">
        <v>23</v>
      </c>
      <c r="C42" t="s">
        <v>285</v>
      </c>
      <c r="D42">
        <v>1</v>
      </c>
      <c r="E42">
        <v>1</v>
      </c>
      <c r="F42" t="s">
        <v>331</v>
      </c>
      <c r="G42">
        <v>15</v>
      </c>
      <c r="H42" t="s">
        <v>287</v>
      </c>
      <c r="I42" t="s">
        <v>332</v>
      </c>
      <c r="J42">
        <v>912933</v>
      </c>
      <c r="O42" t="s">
        <v>333</v>
      </c>
      <c r="P42">
        <v>10000</v>
      </c>
      <c r="Q42" s="1">
        <v>45931.821273148147</v>
      </c>
      <c r="AA42" t="s">
        <v>231</v>
      </c>
      <c r="AB42">
        <v>0</v>
      </c>
    </row>
    <row r="43" spans="1:28" x14ac:dyDescent="0.45">
      <c r="A43" t="s">
        <v>226</v>
      </c>
      <c r="B43" t="s">
        <v>23</v>
      </c>
      <c r="C43" t="s">
        <v>285</v>
      </c>
      <c r="D43">
        <v>1</v>
      </c>
      <c r="E43">
        <v>1</v>
      </c>
      <c r="F43" t="s">
        <v>334</v>
      </c>
      <c r="G43">
        <v>1</v>
      </c>
      <c r="H43" t="s">
        <v>287</v>
      </c>
      <c r="I43" t="s">
        <v>335</v>
      </c>
      <c r="J43">
        <v>659298</v>
      </c>
      <c r="O43" t="s">
        <v>336</v>
      </c>
      <c r="P43">
        <v>10000</v>
      </c>
      <c r="Q43" s="1">
        <v>45950.475069444445</v>
      </c>
      <c r="AA43" t="s">
        <v>231</v>
      </c>
      <c r="AB43">
        <v>0</v>
      </c>
    </row>
    <row r="44" spans="1:28" x14ac:dyDescent="0.45">
      <c r="A44" t="s">
        <v>226</v>
      </c>
      <c r="B44" t="s">
        <v>23</v>
      </c>
      <c r="C44" t="s">
        <v>285</v>
      </c>
      <c r="D44">
        <v>1</v>
      </c>
      <c r="E44">
        <v>1</v>
      </c>
      <c r="F44" t="s">
        <v>337</v>
      </c>
      <c r="G44">
        <v>2</v>
      </c>
      <c r="H44" t="s">
        <v>287</v>
      </c>
      <c r="I44" t="s">
        <v>338</v>
      </c>
      <c r="J44">
        <v>667734</v>
      </c>
      <c r="O44" t="s">
        <v>339</v>
      </c>
      <c r="P44">
        <v>10000</v>
      </c>
      <c r="Q44" s="1">
        <v>45950.475069444445</v>
      </c>
      <c r="S44" t="s">
        <v>290</v>
      </c>
      <c r="U44" t="s">
        <v>340</v>
      </c>
      <c r="AA44" t="s">
        <v>231</v>
      </c>
      <c r="AB44">
        <v>0</v>
      </c>
    </row>
    <row r="45" spans="1:28" x14ac:dyDescent="0.45">
      <c r="A45" t="s">
        <v>226</v>
      </c>
      <c r="B45" t="s">
        <v>23</v>
      </c>
      <c r="C45" t="s">
        <v>285</v>
      </c>
      <c r="D45">
        <v>1</v>
      </c>
      <c r="E45">
        <v>1</v>
      </c>
      <c r="F45" t="s">
        <v>341</v>
      </c>
      <c r="G45">
        <v>3</v>
      </c>
      <c r="H45" t="s">
        <v>287</v>
      </c>
      <c r="I45" t="s">
        <v>342</v>
      </c>
      <c r="J45">
        <v>9000068500</v>
      </c>
      <c r="O45" t="s">
        <v>343</v>
      </c>
      <c r="P45">
        <v>10000</v>
      </c>
      <c r="Q45" s="1">
        <v>45950.475069444445</v>
      </c>
      <c r="AA45" t="s">
        <v>231</v>
      </c>
      <c r="AB45">
        <v>0</v>
      </c>
    </row>
    <row r="46" spans="1:28" x14ac:dyDescent="0.45">
      <c r="A46" t="s">
        <v>226</v>
      </c>
      <c r="B46" t="s">
        <v>23</v>
      </c>
      <c r="C46" t="s">
        <v>285</v>
      </c>
      <c r="D46">
        <v>1</v>
      </c>
      <c r="E46">
        <v>1</v>
      </c>
      <c r="F46" t="s">
        <v>344</v>
      </c>
      <c r="G46">
        <v>4</v>
      </c>
      <c r="H46" t="s">
        <v>287</v>
      </c>
      <c r="I46" t="s">
        <v>345</v>
      </c>
      <c r="J46">
        <v>9000069298</v>
      </c>
      <c r="O46" t="s">
        <v>346</v>
      </c>
      <c r="P46">
        <v>3000</v>
      </c>
      <c r="Q46" s="1">
        <v>45950.475069444445</v>
      </c>
      <c r="AA46" t="s">
        <v>231</v>
      </c>
      <c r="AB46">
        <v>0</v>
      </c>
    </row>
    <row r="47" spans="1:28" x14ac:dyDescent="0.45">
      <c r="A47" t="s">
        <v>226</v>
      </c>
      <c r="B47" t="s">
        <v>23</v>
      </c>
      <c r="C47" t="s">
        <v>285</v>
      </c>
      <c r="D47">
        <v>1</v>
      </c>
      <c r="E47">
        <v>1</v>
      </c>
      <c r="F47" t="s">
        <v>347</v>
      </c>
      <c r="G47">
        <v>5</v>
      </c>
      <c r="H47" t="s">
        <v>287</v>
      </c>
      <c r="I47" t="s">
        <v>348</v>
      </c>
      <c r="J47">
        <v>667877</v>
      </c>
      <c r="O47" t="s">
        <v>349</v>
      </c>
      <c r="P47">
        <v>10000</v>
      </c>
      <c r="Q47" s="1">
        <v>45950.475069444445</v>
      </c>
      <c r="S47" t="s">
        <v>290</v>
      </c>
      <c r="U47" t="s">
        <v>350</v>
      </c>
      <c r="AA47" t="s">
        <v>231</v>
      </c>
      <c r="AB47">
        <v>0</v>
      </c>
    </row>
    <row r="48" spans="1:28" x14ac:dyDescent="0.45">
      <c r="A48" t="s">
        <v>226</v>
      </c>
      <c r="B48" t="s">
        <v>23</v>
      </c>
      <c r="C48" t="s">
        <v>285</v>
      </c>
      <c r="D48">
        <v>1</v>
      </c>
      <c r="E48">
        <v>1</v>
      </c>
      <c r="F48" t="s">
        <v>351</v>
      </c>
      <c r="G48">
        <v>6</v>
      </c>
      <c r="H48" t="s">
        <v>287</v>
      </c>
      <c r="I48" t="s">
        <v>352</v>
      </c>
      <c r="J48">
        <v>910071</v>
      </c>
      <c r="O48" t="s">
        <v>353</v>
      </c>
      <c r="P48">
        <v>10000</v>
      </c>
      <c r="Q48" s="1">
        <v>45950.475069444445</v>
      </c>
      <c r="AA48" t="s">
        <v>231</v>
      </c>
      <c r="AB48">
        <v>0</v>
      </c>
    </row>
    <row r="49" spans="1:28" x14ac:dyDescent="0.45">
      <c r="A49" t="s">
        <v>226</v>
      </c>
      <c r="B49" t="s">
        <v>23</v>
      </c>
      <c r="C49" t="s">
        <v>285</v>
      </c>
      <c r="D49">
        <v>1</v>
      </c>
      <c r="E49">
        <v>1</v>
      </c>
      <c r="F49" t="s">
        <v>354</v>
      </c>
      <c r="G49">
        <v>7</v>
      </c>
      <c r="H49" t="s">
        <v>287</v>
      </c>
      <c r="I49" t="s">
        <v>355</v>
      </c>
      <c r="J49">
        <v>9000066587</v>
      </c>
      <c r="O49" t="s">
        <v>356</v>
      </c>
      <c r="P49">
        <v>4000</v>
      </c>
      <c r="Q49" s="1">
        <v>45931.82130787037</v>
      </c>
      <c r="AA49" t="s">
        <v>231</v>
      </c>
      <c r="AB49">
        <v>0</v>
      </c>
    </row>
    <row r="50" spans="1:28" x14ac:dyDescent="0.45">
      <c r="A50" t="s">
        <v>226</v>
      </c>
      <c r="B50" t="s">
        <v>23</v>
      </c>
      <c r="C50" t="s">
        <v>285</v>
      </c>
      <c r="D50">
        <v>1</v>
      </c>
      <c r="E50">
        <v>1</v>
      </c>
      <c r="F50" t="s">
        <v>357</v>
      </c>
      <c r="G50">
        <v>8</v>
      </c>
      <c r="H50" t="s">
        <v>287</v>
      </c>
      <c r="I50" t="s">
        <v>358</v>
      </c>
      <c r="J50">
        <v>667823</v>
      </c>
      <c r="O50" t="s">
        <v>359</v>
      </c>
      <c r="P50">
        <v>10000</v>
      </c>
      <c r="Q50" s="1">
        <v>45950.475069444445</v>
      </c>
      <c r="AA50" t="s">
        <v>231</v>
      </c>
      <c r="AB50">
        <v>0</v>
      </c>
    </row>
    <row r="51" spans="1:28" x14ac:dyDescent="0.45">
      <c r="A51" t="s">
        <v>226</v>
      </c>
      <c r="B51" t="s">
        <v>23</v>
      </c>
      <c r="C51" t="s">
        <v>285</v>
      </c>
      <c r="D51">
        <v>1</v>
      </c>
      <c r="E51">
        <v>1</v>
      </c>
      <c r="F51" t="s">
        <v>360</v>
      </c>
      <c r="G51">
        <v>9</v>
      </c>
      <c r="H51" t="s">
        <v>287</v>
      </c>
      <c r="I51" t="s">
        <v>361</v>
      </c>
      <c r="J51">
        <v>9000058958</v>
      </c>
      <c r="O51" t="s">
        <v>362</v>
      </c>
      <c r="P51">
        <v>10000</v>
      </c>
      <c r="Q51" s="1">
        <v>45950.475081018521</v>
      </c>
      <c r="AA51" t="s">
        <v>231</v>
      </c>
      <c r="AB51">
        <v>0</v>
      </c>
    </row>
    <row r="52" spans="1:28" x14ac:dyDescent="0.45">
      <c r="A52" t="s">
        <v>226</v>
      </c>
      <c r="B52" t="s">
        <v>23</v>
      </c>
      <c r="C52" t="s">
        <v>285</v>
      </c>
      <c r="D52">
        <v>1</v>
      </c>
      <c r="E52">
        <v>1</v>
      </c>
      <c r="F52" t="s">
        <v>363</v>
      </c>
      <c r="G52">
        <v>10</v>
      </c>
      <c r="H52" t="s">
        <v>287</v>
      </c>
      <c r="I52" t="s">
        <v>364</v>
      </c>
      <c r="J52">
        <v>9000063310</v>
      </c>
      <c r="O52" t="s">
        <v>365</v>
      </c>
      <c r="P52">
        <v>10000</v>
      </c>
      <c r="Q52" s="1">
        <v>45950.475081018521</v>
      </c>
      <c r="AA52" t="s">
        <v>231</v>
      </c>
      <c r="AB52">
        <v>0</v>
      </c>
    </row>
    <row r="53" spans="1:28" x14ac:dyDescent="0.45">
      <c r="A53" t="s">
        <v>226</v>
      </c>
      <c r="B53" t="s">
        <v>23</v>
      </c>
      <c r="C53" t="s">
        <v>285</v>
      </c>
      <c r="D53">
        <v>1</v>
      </c>
      <c r="E53">
        <v>1</v>
      </c>
      <c r="F53" t="s">
        <v>366</v>
      </c>
      <c r="G53">
        <v>11</v>
      </c>
      <c r="H53" t="s">
        <v>287</v>
      </c>
      <c r="I53" t="s">
        <v>367</v>
      </c>
      <c r="J53" t="s">
        <v>25</v>
      </c>
      <c r="O53" t="s">
        <v>368</v>
      </c>
      <c r="P53">
        <v>5000</v>
      </c>
      <c r="Q53" s="1">
        <v>45950.475081018521</v>
      </c>
      <c r="AA53" t="s">
        <v>231</v>
      </c>
      <c r="AB53">
        <v>0</v>
      </c>
    </row>
    <row r="54" spans="1:28" x14ac:dyDescent="0.45">
      <c r="A54" t="s">
        <v>226</v>
      </c>
      <c r="B54" t="s">
        <v>23</v>
      </c>
      <c r="C54" t="s">
        <v>285</v>
      </c>
      <c r="D54">
        <v>1</v>
      </c>
      <c r="E54">
        <v>1</v>
      </c>
      <c r="F54" t="s">
        <v>369</v>
      </c>
      <c r="G54">
        <v>12</v>
      </c>
      <c r="H54" t="s">
        <v>287</v>
      </c>
      <c r="I54" t="s">
        <v>370</v>
      </c>
      <c r="J54">
        <v>9000008038</v>
      </c>
      <c r="O54" t="s">
        <v>371</v>
      </c>
      <c r="P54">
        <v>3000</v>
      </c>
      <c r="Q54" s="1">
        <v>45950.475081018521</v>
      </c>
      <c r="AA54" t="s">
        <v>231</v>
      </c>
      <c r="AB54">
        <v>0</v>
      </c>
    </row>
    <row r="55" spans="1:28" x14ac:dyDescent="0.45">
      <c r="A55" t="s">
        <v>226</v>
      </c>
      <c r="B55" t="s">
        <v>23</v>
      </c>
      <c r="C55" t="s">
        <v>285</v>
      </c>
      <c r="D55">
        <v>1</v>
      </c>
      <c r="E55">
        <v>1</v>
      </c>
      <c r="F55" t="s">
        <v>372</v>
      </c>
      <c r="G55">
        <v>13</v>
      </c>
      <c r="H55" t="s">
        <v>287</v>
      </c>
      <c r="I55" t="s">
        <v>373</v>
      </c>
      <c r="J55" t="s">
        <v>116</v>
      </c>
      <c r="O55" t="s">
        <v>374</v>
      </c>
      <c r="P55">
        <v>5000</v>
      </c>
      <c r="Q55" s="1">
        <v>45950.475081018521</v>
      </c>
      <c r="AA55" t="s">
        <v>231</v>
      </c>
      <c r="AB55">
        <v>0</v>
      </c>
    </row>
    <row r="56" spans="1:28" x14ac:dyDescent="0.45">
      <c r="A56" t="s">
        <v>226</v>
      </c>
      <c r="B56" t="s">
        <v>23</v>
      </c>
      <c r="C56" t="s">
        <v>285</v>
      </c>
      <c r="D56">
        <v>1</v>
      </c>
      <c r="E56">
        <v>1</v>
      </c>
      <c r="F56" t="s">
        <v>375</v>
      </c>
      <c r="G56">
        <v>14</v>
      </c>
      <c r="H56" t="s">
        <v>287</v>
      </c>
      <c r="I56" t="s">
        <v>376</v>
      </c>
      <c r="J56">
        <v>9000062917</v>
      </c>
      <c r="O56" t="s">
        <v>377</v>
      </c>
      <c r="P56">
        <v>10000</v>
      </c>
      <c r="Q56" s="1">
        <v>45950.475081018521</v>
      </c>
      <c r="AA56" t="s">
        <v>231</v>
      </c>
      <c r="AB56">
        <v>0</v>
      </c>
    </row>
    <row r="57" spans="1:28" x14ac:dyDescent="0.45">
      <c r="A57" t="s">
        <v>226</v>
      </c>
      <c r="B57" t="s">
        <v>23</v>
      </c>
      <c r="C57" t="s">
        <v>285</v>
      </c>
      <c r="D57">
        <v>1</v>
      </c>
      <c r="E57">
        <v>1</v>
      </c>
      <c r="F57" t="s">
        <v>378</v>
      </c>
      <c r="G57">
        <v>15</v>
      </c>
      <c r="H57" t="s">
        <v>287</v>
      </c>
      <c r="I57" t="s">
        <v>379</v>
      </c>
      <c r="J57">
        <v>9000066592</v>
      </c>
      <c r="O57" t="s">
        <v>380</v>
      </c>
      <c r="P57">
        <v>3993</v>
      </c>
      <c r="Q57" s="1">
        <v>45950.475081018521</v>
      </c>
      <c r="AA57" t="s">
        <v>231</v>
      </c>
      <c r="AB57">
        <v>0</v>
      </c>
    </row>
    <row r="58" spans="1:28" x14ac:dyDescent="0.45">
      <c r="A58" t="s">
        <v>226</v>
      </c>
      <c r="B58" t="s">
        <v>23</v>
      </c>
      <c r="C58" t="s">
        <v>285</v>
      </c>
      <c r="D58">
        <v>1</v>
      </c>
      <c r="E58">
        <v>1</v>
      </c>
      <c r="F58" t="s">
        <v>381</v>
      </c>
      <c r="G58">
        <v>16</v>
      </c>
      <c r="H58" t="s">
        <v>287</v>
      </c>
      <c r="I58" t="s">
        <v>382</v>
      </c>
      <c r="J58" t="s">
        <v>109</v>
      </c>
      <c r="O58" t="s">
        <v>383</v>
      </c>
      <c r="P58">
        <v>5000</v>
      </c>
      <c r="Q58" s="1">
        <v>45950.475081018521</v>
      </c>
      <c r="S58" t="s">
        <v>290</v>
      </c>
      <c r="U58" t="s">
        <v>384</v>
      </c>
      <c r="AA58" t="s">
        <v>231</v>
      </c>
      <c r="AB58">
        <v>0</v>
      </c>
    </row>
    <row r="59" spans="1:28" x14ac:dyDescent="0.45">
      <c r="A59" t="s">
        <v>226</v>
      </c>
      <c r="B59" t="s">
        <v>23</v>
      </c>
      <c r="C59" t="s">
        <v>285</v>
      </c>
      <c r="D59">
        <v>1</v>
      </c>
      <c r="E59">
        <v>1</v>
      </c>
      <c r="F59" t="s">
        <v>385</v>
      </c>
      <c r="G59">
        <v>17</v>
      </c>
      <c r="H59" t="s">
        <v>287</v>
      </c>
      <c r="I59" t="s">
        <v>386</v>
      </c>
      <c r="J59">
        <v>9000063581</v>
      </c>
      <c r="O59" t="s">
        <v>387</v>
      </c>
      <c r="P59">
        <v>2000</v>
      </c>
      <c r="Q59" s="1">
        <v>45950.475081018521</v>
      </c>
      <c r="AA59" t="s">
        <v>231</v>
      </c>
      <c r="AB59">
        <v>0</v>
      </c>
    </row>
    <row r="60" spans="1:28" x14ac:dyDescent="0.45">
      <c r="A60" t="s">
        <v>226</v>
      </c>
      <c r="B60" t="s">
        <v>23</v>
      </c>
      <c r="C60" t="s">
        <v>285</v>
      </c>
      <c r="D60">
        <v>1</v>
      </c>
      <c r="E60">
        <v>1</v>
      </c>
      <c r="F60" t="s">
        <v>388</v>
      </c>
      <c r="G60">
        <v>18</v>
      </c>
      <c r="H60" t="s">
        <v>287</v>
      </c>
      <c r="I60" t="s">
        <v>389</v>
      </c>
      <c r="J60">
        <v>9000064819</v>
      </c>
      <c r="O60" t="s">
        <v>390</v>
      </c>
      <c r="P60">
        <v>5000</v>
      </c>
      <c r="Q60" s="1">
        <v>45950.475081018521</v>
      </c>
      <c r="AA60" t="s">
        <v>231</v>
      </c>
      <c r="AB60">
        <v>0</v>
      </c>
    </row>
    <row r="61" spans="1:28" x14ac:dyDescent="0.45">
      <c r="A61" t="s">
        <v>226</v>
      </c>
      <c r="B61" t="s">
        <v>23</v>
      </c>
      <c r="C61" t="s">
        <v>285</v>
      </c>
      <c r="D61">
        <v>1</v>
      </c>
      <c r="E61">
        <v>1</v>
      </c>
      <c r="F61" t="s">
        <v>391</v>
      </c>
      <c r="G61">
        <v>19</v>
      </c>
      <c r="H61" t="s">
        <v>287</v>
      </c>
      <c r="I61" t="s">
        <v>392</v>
      </c>
      <c r="J61" t="s">
        <v>119</v>
      </c>
      <c r="O61" t="s">
        <v>393</v>
      </c>
      <c r="P61">
        <v>250</v>
      </c>
      <c r="Q61" s="1">
        <v>45950.475081018521</v>
      </c>
      <c r="R61" t="s">
        <v>394</v>
      </c>
      <c r="S61" t="s">
        <v>290</v>
      </c>
      <c r="U61" t="s">
        <v>395</v>
      </c>
      <c r="AA61" t="s">
        <v>231</v>
      </c>
      <c r="AB61">
        <v>0</v>
      </c>
    </row>
    <row r="62" spans="1:28" x14ac:dyDescent="0.45">
      <c r="A62" t="s">
        <v>226</v>
      </c>
      <c r="B62" t="s">
        <v>23</v>
      </c>
      <c r="C62" t="s">
        <v>285</v>
      </c>
      <c r="D62">
        <v>1</v>
      </c>
      <c r="E62">
        <v>1</v>
      </c>
      <c r="F62" t="s">
        <v>396</v>
      </c>
      <c r="G62">
        <v>20</v>
      </c>
      <c r="H62" t="s">
        <v>287</v>
      </c>
      <c r="I62" t="s">
        <v>397</v>
      </c>
      <c r="J62">
        <v>9000066600</v>
      </c>
      <c r="O62" t="s">
        <v>398</v>
      </c>
      <c r="P62">
        <v>2000</v>
      </c>
      <c r="Q62" s="1">
        <v>45931.82135416667</v>
      </c>
      <c r="AA62" t="s">
        <v>231</v>
      </c>
      <c r="AB62">
        <v>0</v>
      </c>
    </row>
    <row r="63" spans="1:28" x14ac:dyDescent="0.45">
      <c r="A63" t="s">
        <v>226</v>
      </c>
      <c r="B63" t="s">
        <v>23</v>
      </c>
      <c r="C63" t="s">
        <v>285</v>
      </c>
      <c r="D63">
        <v>1</v>
      </c>
      <c r="E63">
        <v>1</v>
      </c>
      <c r="F63" t="s">
        <v>399</v>
      </c>
      <c r="G63">
        <v>21</v>
      </c>
      <c r="H63" t="s">
        <v>287</v>
      </c>
      <c r="I63" t="s">
        <v>400</v>
      </c>
      <c r="J63">
        <v>9000061308</v>
      </c>
      <c r="O63" t="s">
        <v>401</v>
      </c>
      <c r="P63">
        <v>2000</v>
      </c>
      <c r="Q63" s="1">
        <v>45931.82136574074</v>
      </c>
      <c r="AA63" t="s">
        <v>231</v>
      </c>
      <c r="AB63">
        <v>0</v>
      </c>
    </row>
    <row r="64" spans="1:28" x14ac:dyDescent="0.45">
      <c r="A64" t="s">
        <v>226</v>
      </c>
      <c r="B64" t="s">
        <v>23</v>
      </c>
      <c r="C64" t="s">
        <v>285</v>
      </c>
      <c r="D64">
        <v>1</v>
      </c>
      <c r="E64">
        <v>1</v>
      </c>
      <c r="F64" t="s">
        <v>402</v>
      </c>
      <c r="G64">
        <v>22</v>
      </c>
      <c r="H64" t="s">
        <v>287</v>
      </c>
      <c r="I64" t="s">
        <v>403</v>
      </c>
      <c r="J64">
        <v>922316</v>
      </c>
      <c r="O64" t="s">
        <v>404</v>
      </c>
      <c r="P64">
        <v>2500</v>
      </c>
      <c r="Q64" s="1">
        <v>45931.82136574074</v>
      </c>
      <c r="S64" t="s">
        <v>290</v>
      </c>
      <c r="U64" t="s">
        <v>405</v>
      </c>
      <c r="AA64" t="s">
        <v>231</v>
      </c>
      <c r="AB64">
        <v>0</v>
      </c>
    </row>
    <row r="65" spans="1:28" x14ac:dyDescent="0.45">
      <c r="A65" t="s">
        <v>226</v>
      </c>
      <c r="B65" t="s">
        <v>23</v>
      </c>
      <c r="C65" t="s">
        <v>285</v>
      </c>
      <c r="D65">
        <v>1</v>
      </c>
      <c r="E65">
        <v>1</v>
      </c>
      <c r="F65" t="s">
        <v>406</v>
      </c>
      <c r="G65">
        <v>23</v>
      </c>
      <c r="H65" t="s">
        <v>287</v>
      </c>
      <c r="I65" t="s">
        <v>121</v>
      </c>
      <c r="J65">
        <v>9000069281</v>
      </c>
      <c r="O65" t="s">
        <v>407</v>
      </c>
      <c r="P65">
        <v>5000</v>
      </c>
      <c r="Q65" s="1">
        <v>45931.82136574074</v>
      </c>
      <c r="AA65" t="s">
        <v>231</v>
      </c>
      <c r="AB65">
        <v>0</v>
      </c>
    </row>
    <row r="66" spans="1:28" x14ac:dyDescent="0.45">
      <c r="A66" t="s">
        <v>226</v>
      </c>
      <c r="B66" t="s">
        <v>23</v>
      </c>
      <c r="C66" t="s">
        <v>285</v>
      </c>
      <c r="D66">
        <v>1</v>
      </c>
      <c r="E66">
        <v>1</v>
      </c>
      <c r="F66" t="s">
        <v>408</v>
      </c>
      <c r="G66">
        <v>30</v>
      </c>
      <c r="H66" t="s">
        <v>287</v>
      </c>
      <c r="I66" t="s">
        <v>409</v>
      </c>
      <c r="J66" t="s">
        <v>410</v>
      </c>
      <c r="O66" t="s">
        <v>411</v>
      </c>
      <c r="P66">
        <v>4640</v>
      </c>
      <c r="Q66" s="1">
        <v>45930.448321759257</v>
      </c>
      <c r="S66" t="s">
        <v>290</v>
      </c>
      <c r="U66" t="s">
        <v>412</v>
      </c>
      <c r="AA66" t="s">
        <v>231</v>
      </c>
      <c r="AB66">
        <v>0</v>
      </c>
    </row>
    <row r="67" spans="1:28" x14ac:dyDescent="0.45">
      <c r="A67" t="s">
        <v>226</v>
      </c>
      <c r="B67" t="s">
        <v>26</v>
      </c>
      <c r="C67" t="s">
        <v>413</v>
      </c>
      <c r="D67">
        <v>1</v>
      </c>
      <c r="E67">
        <v>1</v>
      </c>
      <c r="F67" t="s">
        <v>286</v>
      </c>
      <c r="G67">
        <v>1</v>
      </c>
      <c r="H67" t="s">
        <v>287</v>
      </c>
      <c r="I67" t="s">
        <v>414</v>
      </c>
      <c r="J67">
        <v>9000057842</v>
      </c>
      <c r="O67" t="s">
        <v>415</v>
      </c>
      <c r="P67">
        <v>10000</v>
      </c>
      <c r="Q67" s="1">
        <v>45930.448564814818</v>
      </c>
      <c r="AA67" t="s">
        <v>231</v>
      </c>
      <c r="AB67">
        <v>0</v>
      </c>
    </row>
    <row r="68" spans="1:28" x14ac:dyDescent="0.45">
      <c r="A68" t="s">
        <v>226</v>
      </c>
      <c r="B68" t="s">
        <v>26</v>
      </c>
      <c r="C68" t="s">
        <v>413</v>
      </c>
      <c r="D68">
        <v>1</v>
      </c>
      <c r="E68">
        <v>1</v>
      </c>
      <c r="F68" t="s">
        <v>292</v>
      </c>
      <c r="G68">
        <v>2</v>
      </c>
      <c r="H68" t="s">
        <v>287</v>
      </c>
      <c r="I68" t="s">
        <v>416</v>
      </c>
      <c r="J68">
        <v>620598</v>
      </c>
      <c r="O68" t="s">
        <v>417</v>
      </c>
      <c r="P68">
        <v>10000</v>
      </c>
      <c r="Q68" s="1">
        <v>45950.475115740737</v>
      </c>
      <c r="AA68" t="s">
        <v>231</v>
      </c>
      <c r="AB68">
        <v>0</v>
      </c>
    </row>
    <row r="69" spans="1:28" x14ac:dyDescent="0.45">
      <c r="A69" t="s">
        <v>226</v>
      </c>
      <c r="B69" t="s">
        <v>26</v>
      </c>
      <c r="C69" t="s">
        <v>413</v>
      </c>
      <c r="D69">
        <v>1</v>
      </c>
      <c r="E69">
        <v>1</v>
      </c>
      <c r="F69" t="s">
        <v>295</v>
      </c>
      <c r="G69">
        <v>3</v>
      </c>
      <c r="H69" t="s">
        <v>287</v>
      </c>
      <c r="I69" t="s">
        <v>418</v>
      </c>
      <c r="J69" t="s">
        <v>27</v>
      </c>
      <c r="O69" t="s">
        <v>419</v>
      </c>
      <c r="P69">
        <v>5000</v>
      </c>
      <c r="Q69" s="1">
        <v>45950.475115740737</v>
      </c>
      <c r="AA69" t="s">
        <v>231</v>
      </c>
      <c r="AB69">
        <v>0</v>
      </c>
    </row>
    <row r="70" spans="1:28" x14ac:dyDescent="0.45">
      <c r="A70" t="s">
        <v>226</v>
      </c>
      <c r="B70" t="s">
        <v>26</v>
      </c>
      <c r="C70" t="s">
        <v>413</v>
      </c>
      <c r="D70">
        <v>1</v>
      </c>
      <c r="E70">
        <v>1</v>
      </c>
      <c r="F70" t="s">
        <v>298</v>
      </c>
      <c r="G70">
        <v>4</v>
      </c>
      <c r="H70" t="s">
        <v>287</v>
      </c>
      <c r="I70" t="s">
        <v>420</v>
      </c>
      <c r="J70">
        <v>9000067640</v>
      </c>
      <c r="O70" t="s">
        <v>421</v>
      </c>
      <c r="P70">
        <v>6453</v>
      </c>
      <c r="Q70" s="1">
        <v>45950.475115740737</v>
      </c>
      <c r="AA70" t="s">
        <v>231</v>
      </c>
      <c r="AB70">
        <v>0</v>
      </c>
    </row>
    <row r="71" spans="1:28" x14ac:dyDescent="0.45">
      <c r="A71" t="s">
        <v>226</v>
      </c>
      <c r="B71" t="s">
        <v>26</v>
      </c>
      <c r="C71" t="s">
        <v>413</v>
      </c>
      <c r="D71">
        <v>1</v>
      </c>
      <c r="E71">
        <v>1</v>
      </c>
      <c r="F71" t="s">
        <v>301</v>
      </c>
      <c r="G71">
        <v>5</v>
      </c>
      <c r="H71" t="s">
        <v>287</v>
      </c>
      <c r="I71" t="s">
        <v>422</v>
      </c>
      <c r="J71">
        <v>9000001606</v>
      </c>
      <c r="O71" t="s">
        <v>423</v>
      </c>
      <c r="P71">
        <v>3000</v>
      </c>
      <c r="Q71" s="1">
        <v>45950.475115740737</v>
      </c>
      <c r="AA71" t="s">
        <v>231</v>
      </c>
      <c r="AB71">
        <v>0</v>
      </c>
    </row>
    <row r="72" spans="1:28" x14ac:dyDescent="0.45">
      <c r="A72" t="s">
        <v>226</v>
      </c>
      <c r="B72" t="s">
        <v>26</v>
      </c>
      <c r="C72" t="s">
        <v>413</v>
      </c>
      <c r="D72">
        <v>1</v>
      </c>
      <c r="E72">
        <v>1</v>
      </c>
      <c r="F72" t="s">
        <v>304</v>
      </c>
      <c r="G72">
        <v>6</v>
      </c>
      <c r="H72" t="s">
        <v>287</v>
      </c>
      <c r="I72" t="s">
        <v>424</v>
      </c>
      <c r="J72" t="s">
        <v>28</v>
      </c>
      <c r="O72" t="s">
        <v>425</v>
      </c>
      <c r="P72">
        <v>5000</v>
      </c>
      <c r="Q72" s="1">
        <v>45950.475115740737</v>
      </c>
      <c r="AA72" t="s">
        <v>231</v>
      </c>
      <c r="AB72">
        <v>0</v>
      </c>
    </row>
    <row r="73" spans="1:28" x14ac:dyDescent="0.45">
      <c r="A73" t="s">
        <v>226</v>
      </c>
      <c r="B73" t="s">
        <v>26</v>
      </c>
      <c r="C73" t="s">
        <v>413</v>
      </c>
      <c r="D73">
        <v>1</v>
      </c>
      <c r="E73">
        <v>1</v>
      </c>
      <c r="F73" t="s">
        <v>307</v>
      </c>
      <c r="G73">
        <v>7</v>
      </c>
      <c r="H73" t="s">
        <v>287</v>
      </c>
      <c r="I73" t="s">
        <v>426</v>
      </c>
      <c r="J73" t="s">
        <v>29</v>
      </c>
      <c r="O73" t="s">
        <v>427</v>
      </c>
      <c r="P73">
        <v>5000</v>
      </c>
      <c r="Q73" s="1">
        <v>45950.475127314814</v>
      </c>
      <c r="AA73" t="s">
        <v>231</v>
      </c>
      <c r="AB73">
        <v>0</v>
      </c>
    </row>
    <row r="74" spans="1:28" x14ac:dyDescent="0.45">
      <c r="A74" t="s">
        <v>226</v>
      </c>
      <c r="B74" t="s">
        <v>26</v>
      </c>
      <c r="C74" t="s">
        <v>413</v>
      </c>
      <c r="D74">
        <v>1</v>
      </c>
      <c r="E74">
        <v>1</v>
      </c>
      <c r="F74" t="s">
        <v>310</v>
      </c>
      <c r="G74">
        <v>8</v>
      </c>
      <c r="H74" t="s">
        <v>287</v>
      </c>
      <c r="I74" t="s">
        <v>428</v>
      </c>
      <c r="J74" t="s">
        <v>30</v>
      </c>
      <c r="O74" t="s">
        <v>429</v>
      </c>
      <c r="P74">
        <v>5000</v>
      </c>
      <c r="Q74" s="1">
        <v>45950.475127314814</v>
      </c>
      <c r="AA74" t="s">
        <v>231</v>
      </c>
      <c r="AB74">
        <v>0</v>
      </c>
    </row>
    <row r="75" spans="1:28" x14ac:dyDescent="0.45">
      <c r="A75" t="s">
        <v>226</v>
      </c>
      <c r="B75" t="s">
        <v>26</v>
      </c>
      <c r="C75" t="s">
        <v>413</v>
      </c>
      <c r="D75">
        <v>1</v>
      </c>
      <c r="E75">
        <v>1</v>
      </c>
      <c r="F75" t="s">
        <v>313</v>
      </c>
      <c r="G75">
        <v>9</v>
      </c>
      <c r="H75" t="s">
        <v>287</v>
      </c>
      <c r="I75" t="s">
        <v>431</v>
      </c>
      <c r="J75">
        <v>738293</v>
      </c>
      <c r="O75" t="s">
        <v>430</v>
      </c>
      <c r="P75">
        <v>4000</v>
      </c>
      <c r="Q75" s="1">
        <v>45950.711226851854</v>
      </c>
      <c r="R75" t="s">
        <v>494</v>
      </c>
      <c r="AA75" t="s">
        <v>231</v>
      </c>
      <c r="AB75">
        <v>0</v>
      </c>
    </row>
    <row r="76" spans="1:28" x14ac:dyDescent="0.45">
      <c r="A76" t="s">
        <v>226</v>
      </c>
      <c r="B76" t="s">
        <v>26</v>
      </c>
      <c r="C76" t="s">
        <v>413</v>
      </c>
      <c r="D76">
        <v>1</v>
      </c>
      <c r="E76">
        <v>1</v>
      </c>
      <c r="F76" t="s">
        <v>316</v>
      </c>
      <c r="G76">
        <v>10</v>
      </c>
      <c r="H76" t="s">
        <v>287</v>
      </c>
      <c r="I76" t="s">
        <v>432</v>
      </c>
      <c r="J76">
        <v>683868</v>
      </c>
      <c r="O76" t="s">
        <v>433</v>
      </c>
      <c r="P76">
        <v>10000</v>
      </c>
      <c r="Q76" s="1">
        <v>45930.448599537034</v>
      </c>
      <c r="AA76" t="s">
        <v>231</v>
      </c>
      <c r="AB76">
        <v>0</v>
      </c>
    </row>
    <row r="77" spans="1:28" x14ac:dyDescent="0.45">
      <c r="A77" t="s">
        <v>226</v>
      </c>
      <c r="B77" t="s">
        <v>26</v>
      </c>
      <c r="C77" t="s">
        <v>413</v>
      </c>
      <c r="D77">
        <v>1</v>
      </c>
      <c r="E77">
        <v>1</v>
      </c>
      <c r="F77" t="s">
        <v>319</v>
      </c>
      <c r="G77">
        <v>11</v>
      </c>
      <c r="H77" t="s">
        <v>287</v>
      </c>
      <c r="I77" t="s">
        <v>434</v>
      </c>
      <c r="J77" t="s">
        <v>31</v>
      </c>
      <c r="O77" t="s">
        <v>435</v>
      </c>
      <c r="P77">
        <v>5000</v>
      </c>
      <c r="Q77" s="1">
        <v>45950.475127314814</v>
      </c>
      <c r="AA77" t="s">
        <v>231</v>
      </c>
      <c r="AB77">
        <v>0</v>
      </c>
    </row>
    <row r="78" spans="1:28" x14ac:dyDescent="0.45">
      <c r="A78" t="s">
        <v>226</v>
      </c>
      <c r="B78" t="s">
        <v>26</v>
      </c>
      <c r="C78" t="s">
        <v>413</v>
      </c>
      <c r="D78">
        <v>1</v>
      </c>
      <c r="E78">
        <v>1</v>
      </c>
      <c r="F78" t="s">
        <v>322</v>
      </c>
      <c r="G78">
        <v>12</v>
      </c>
      <c r="H78" t="s">
        <v>287</v>
      </c>
      <c r="I78" t="s">
        <v>436</v>
      </c>
      <c r="J78">
        <v>667797</v>
      </c>
      <c r="O78" t="s">
        <v>437</v>
      </c>
      <c r="P78">
        <v>10000</v>
      </c>
      <c r="Q78" s="1">
        <v>45950.475127314814</v>
      </c>
      <c r="S78" t="s">
        <v>290</v>
      </c>
      <c r="U78" t="s">
        <v>438</v>
      </c>
      <c r="AA78" t="s">
        <v>231</v>
      </c>
      <c r="AB78">
        <v>0</v>
      </c>
    </row>
    <row r="79" spans="1:28" x14ac:dyDescent="0.45">
      <c r="A79" t="s">
        <v>226</v>
      </c>
      <c r="B79" t="s">
        <v>26</v>
      </c>
      <c r="C79" t="s">
        <v>413</v>
      </c>
      <c r="D79">
        <v>1</v>
      </c>
      <c r="E79">
        <v>1</v>
      </c>
      <c r="F79" t="s">
        <v>325</v>
      </c>
      <c r="G79">
        <v>13</v>
      </c>
      <c r="H79" t="s">
        <v>287</v>
      </c>
      <c r="I79" t="s">
        <v>439</v>
      </c>
      <c r="J79" t="s">
        <v>32</v>
      </c>
      <c r="O79" t="s">
        <v>440</v>
      </c>
      <c r="P79">
        <v>5000</v>
      </c>
      <c r="Q79" s="1">
        <v>45946.442499999997</v>
      </c>
      <c r="AA79" t="s">
        <v>231</v>
      </c>
      <c r="AB79">
        <v>0</v>
      </c>
    </row>
    <row r="80" spans="1:28" x14ac:dyDescent="0.45">
      <c r="A80" t="s">
        <v>226</v>
      </c>
      <c r="B80" t="s">
        <v>26</v>
      </c>
      <c r="C80" t="s">
        <v>413</v>
      </c>
      <c r="D80">
        <v>1</v>
      </c>
      <c r="E80">
        <v>1</v>
      </c>
      <c r="F80" t="s">
        <v>328</v>
      </c>
      <c r="G80">
        <v>14</v>
      </c>
      <c r="H80" t="s">
        <v>287</v>
      </c>
      <c r="I80" t="s">
        <v>441</v>
      </c>
      <c r="J80">
        <v>909206</v>
      </c>
      <c r="O80" t="s">
        <v>442</v>
      </c>
      <c r="P80">
        <v>10000</v>
      </c>
      <c r="Q80" s="1">
        <v>45950.475127314814</v>
      </c>
      <c r="AA80" t="s">
        <v>231</v>
      </c>
      <c r="AB80">
        <v>0</v>
      </c>
    </row>
    <row r="81" spans="1:28" x14ac:dyDescent="0.45">
      <c r="A81" t="s">
        <v>226</v>
      </c>
      <c r="B81" t="s">
        <v>26</v>
      </c>
      <c r="C81" t="s">
        <v>413</v>
      </c>
      <c r="D81">
        <v>1</v>
      </c>
      <c r="E81">
        <v>1</v>
      </c>
      <c r="F81" t="s">
        <v>331</v>
      </c>
      <c r="G81">
        <v>15</v>
      </c>
      <c r="H81" t="s">
        <v>287</v>
      </c>
      <c r="I81" t="s">
        <v>443</v>
      </c>
      <c r="J81">
        <v>661749</v>
      </c>
      <c r="O81" t="s">
        <v>444</v>
      </c>
      <c r="P81">
        <v>5000</v>
      </c>
      <c r="Q81" s="1">
        <v>45950.475127314814</v>
      </c>
      <c r="AA81" t="s">
        <v>231</v>
      </c>
      <c r="AB81">
        <v>0</v>
      </c>
    </row>
    <row r="82" spans="1:28" x14ac:dyDescent="0.45">
      <c r="A82" t="s">
        <v>226</v>
      </c>
      <c r="B82" t="s">
        <v>26</v>
      </c>
      <c r="C82" t="s">
        <v>413</v>
      </c>
      <c r="D82">
        <v>1</v>
      </c>
      <c r="E82">
        <v>1</v>
      </c>
      <c r="F82" t="s">
        <v>445</v>
      </c>
      <c r="G82">
        <v>16</v>
      </c>
      <c r="H82" t="s">
        <v>287</v>
      </c>
      <c r="I82" t="s">
        <v>446</v>
      </c>
      <c r="J82">
        <v>922192</v>
      </c>
      <c r="O82" t="s">
        <v>447</v>
      </c>
      <c r="P82">
        <v>4000</v>
      </c>
      <c r="Q82" s="1">
        <v>45950.475127314814</v>
      </c>
      <c r="S82" t="s">
        <v>290</v>
      </c>
      <c r="U82" t="s">
        <v>448</v>
      </c>
      <c r="AA82" t="s">
        <v>231</v>
      </c>
      <c r="AB82">
        <v>0</v>
      </c>
    </row>
    <row r="83" spans="1:28" x14ac:dyDescent="0.45">
      <c r="A83" t="s">
        <v>226</v>
      </c>
      <c r="B83" t="s">
        <v>26</v>
      </c>
      <c r="C83" t="s">
        <v>413</v>
      </c>
      <c r="D83">
        <v>1</v>
      </c>
      <c r="E83">
        <v>1</v>
      </c>
      <c r="F83" t="s">
        <v>449</v>
      </c>
      <c r="G83">
        <v>17</v>
      </c>
      <c r="H83" t="s">
        <v>287</v>
      </c>
      <c r="I83" t="s">
        <v>450</v>
      </c>
      <c r="J83">
        <v>554116</v>
      </c>
      <c r="O83" t="s">
        <v>451</v>
      </c>
      <c r="P83">
        <v>5000</v>
      </c>
      <c r="Q83" s="1">
        <v>45932.78733796296</v>
      </c>
      <c r="AA83" t="s">
        <v>231</v>
      </c>
      <c r="AB83">
        <v>0</v>
      </c>
    </row>
    <row r="84" spans="1:28" x14ac:dyDescent="0.45">
      <c r="A84" t="s">
        <v>226</v>
      </c>
      <c r="B84" t="s">
        <v>26</v>
      </c>
      <c r="C84" t="s">
        <v>413</v>
      </c>
      <c r="D84">
        <v>1</v>
      </c>
      <c r="E84">
        <v>1</v>
      </c>
      <c r="F84" t="s">
        <v>452</v>
      </c>
      <c r="G84">
        <v>18</v>
      </c>
      <c r="H84" t="s">
        <v>287</v>
      </c>
      <c r="I84" t="s">
        <v>453</v>
      </c>
      <c r="J84">
        <v>667707</v>
      </c>
      <c r="O84" t="s">
        <v>454</v>
      </c>
      <c r="P84">
        <v>10000</v>
      </c>
      <c r="Q84" s="1">
        <v>45950.475127314814</v>
      </c>
      <c r="AA84" t="s">
        <v>231</v>
      </c>
      <c r="AB84">
        <v>0</v>
      </c>
    </row>
    <row r="85" spans="1:28" x14ac:dyDescent="0.45">
      <c r="A85" t="s">
        <v>226</v>
      </c>
      <c r="B85" t="s">
        <v>26</v>
      </c>
      <c r="C85" t="s">
        <v>413</v>
      </c>
      <c r="D85">
        <v>1</v>
      </c>
      <c r="E85">
        <v>1</v>
      </c>
      <c r="F85" t="s">
        <v>455</v>
      </c>
      <c r="G85">
        <v>19</v>
      </c>
      <c r="H85" t="s">
        <v>287</v>
      </c>
      <c r="I85" t="s">
        <v>456</v>
      </c>
      <c r="J85" t="s">
        <v>33</v>
      </c>
      <c r="O85" t="s">
        <v>457</v>
      </c>
      <c r="P85">
        <v>5000</v>
      </c>
      <c r="Q85" s="1">
        <v>45950.475127314814</v>
      </c>
      <c r="AA85" t="s">
        <v>231</v>
      </c>
      <c r="AB85">
        <v>0</v>
      </c>
    </row>
    <row r="86" spans="1:28" x14ac:dyDescent="0.45">
      <c r="A86" t="s">
        <v>226</v>
      </c>
      <c r="B86" t="s">
        <v>26</v>
      </c>
      <c r="C86" t="s">
        <v>413</v>
      </c>
      <c r="D86">
        <v>1</v>
      </c>
      <c r="E86">
        <v>1</v>
      </c>
      <c r="F86" t="s">
        <v>458</v>
      </c>
      <c r="G86">
        <v>20</v>
      </c>
      <c r="H86" t="s">
        <v>287</v>
      </c>
      <c r="I86" t="s">
        <v>459</v>
      </c>
      <c r="J86">
        <v>9000044578</v>
      </c>
      <c r="O86" t="s">
        <v>460</v>
      </c>
      <c r="P86">
        <v>8000</v>
      </c>
      <c r="Q86" s="1">
        <v>45950.475127314814</v>
      </c>
      <c r="AA86" t="s">
        <v>231</v>
      </c>
      <c r="AB86">
        <v>0</v>
      </c>
    </row>
    <row r="87" spans="1:28" x14ac:dyDescent="0.45">
      <c r="A87" t="s">
        <v>226</v>
      </c>
      <c r="B87" t="s">
        <v>26</v>
      </c>
      <c r="C87" t="s">
        <v>413</v>
      </c>
      <c r="D87">
        <v>1</v>
      </c>
      <c r="E87">
        <v>1</v>
      </c>
      <c r="F87" t="s">
        <v>461</v>
      </c>
      <c r="G87">
        <v>21</v>
      </c>
      <c r="H87" t="s">
        <v>287</v>
      </c>
      <c r="I87" t="s">
        <v>462</v>
      </c>
      <c r="J87">
        <v>9000066598</v>
      </c>
      <c r="O87" t="s">
        <v>463</v>
      </c>
      <c r="P87">
        <v>4000</v>
      </c>
      <c r="Q87" s="1">
        <v>45950.475127314814</v>
      </c>
      <c r="AA87" t="s">
        <v>231</v>
      </c>
      <c r="AB87">
        <v>0</v>
      </c>
    </row>
    <row r="88" spans="1:28" x14ac:dyDescent="0.45">
      <c r="A88" t="s">
        <v>226</v>
      </c>
      <c r="B88" t="s">
        <v>26</v>
      </c>
      <c r="C88" t="s">
        <v>413</v>
      </c>
      <c r="D88">
        <v>1</v>
      </c>
      <c r="E88">
        <v>1</v>
      </c>
      <c r="F88" t="s">
        <v>464</v>
      </c>
      <c r="G88">
        <v>22</v>
      </c>
      <c r="H88" t="s">
        <v>287</v>
      </c>
      <c r="I88" t="s">
        <v>465</v>
      </c>
      <c r="J88" t="s">
        <v>34</v>
      </c>
      <c r="O88" t="s">
        <v>466</v>
      </c>
      <c r="P88">
        <v>5000</v>
      </c>
      <c r="Q88" s="1">
        <v>45950.475127314814</v>
      </c>
      <c r="S88" t="s">
        <v>290</v>
      </c>
      <c r="U88" t="s">
        <v>467</v>
      </c>
      <c r="AA88" t="s">
        <v>231</v>
      </c>
      <c r="AB88">
        <v>0</v>
      </c>
    </row>
    <row r="89" spans="1:28" x14ac:dyDescent="0.45">
      <c r="A89" t="s">
        <v>226</v>
      </c>
      <c r="B89" t="s">
        <v>26</v>
      </c>
      <c r="C89" t="s">
        <v>413</v>
      </c>
      <c r="D89">
        <v>1</v>
      </c>
      <c r="E89">
        <v>1</v>
      </c>
      <c r="F89" t="s">
        <v>468</v>
      </c>
      <c r="G89">
        <v>23</v>
      </c>
      <c r="H89" t="s">
        <v>287</v>
      </c>
      <c r="I89" t="s">
        <v>469</v>
      </c>
      <c r="J89">
        <v>9000002623</v>
      </c>
      <c r="O89" t="s">
        <v>470</v>
      </c>
      <c r="P89">
        <v>1000</v>
      </c>
      <c r="Q89" s="1">
        <v>45930.448645833334</v>
      </c>
      <c r="S89" t="s">
        <v>290</v>
      </c>
      <c r="U89" t="s">
        <v>471</v>
      </c>
      <c r="AA89" t="s">
        <v>231</v>
      </c>
      <c r="AB89">
        <v>0</v>
      </c>
    </row>
    <row r="90" spans="1:28" x14ac:dyDescent="0.45">
      <c r="A90" t="s">
        <v>226</v>
      </c>
      <c r="B90" t="s">
        <v>26</v>
      </c>
      <c r="C90" t="s">
        <v>413</v>
      </c>
      <c r="D90">
        <v>1</v>
      </c>
      <c r="E90">
        <v>1</v>
      </c>
      <c r="F90" t="s">
        <v>472</v>
      </c>
      <c r="G90">
        <v>24</v>
      </c>
      <c r="H90" t="s">
        <v>287</v>
      </c>
      <c r="I90" t="s">
        <v>473</v>
      </c>
      <c r="J90">
        <v>9000068524</v>
      </c>
      <c r="O90" t="s">
        <v>474</v>
      </c>
      <c r="P90">
        <v>10000</v>
      </c>
      <c r="Q90" s="1">
        <v>45950.475127314814</v>
      </c>
      <c r="AA90" t="s">
        <v>231</v>
      </c>
      <c r="AB90">
        <v>0</v>
      </c>
    </row>
    <row r="91" spans="1:28" x14ac:dyDescent="0.45">
      <c r="A91" t="s">
        <v>226</v>
      </c>
      <c r="B91" t="s">
        <v>26</v>
      </c>
      <c r="C91" t="s">
        <v>413</v>
      </c>
      <c r="D91">
        <v>1</v>
      </c>
      <c r="E91">
        <v>1</v>
      </c>
      <c r="F91" t="s">
        <v>475</v>
      </c>
      <c r="G91">
        <v>25</v>
      </c>
      <c r="H91" t="s">
        <v>287</v>
      </c>
      <c r="I91" t="s">
        <v>476</v>
      </c>
      <c r="J91" t="s">
        <v>35</v>
      </c>
      <c r="O91" t="s">
        <v>477</v>
      </c>
      <c r="P91">
        <v>5000</v>
      </c>
      <c r="Q91" s="1">
        <v>45950.475127314814</v>
      </c>
      <c r="AA91" t="s">
        <v>231</v>
      </c>
      <c r="AB91">
        <v>0</v>
      </c>
    </row>
    <row r="92" spans="1:28" x14ac:dyDescent="0.45">
      <c r="A92" t="s">
        <v>226</v>
      </c>
      <c r="B92" t="s">
        <v>26</v>
      </c>
      <c r="C92" t="s">
        <v>413</v>
      </c>
      <c r="D92">
        <v>1</v>
      </c>
      <c r="E92">
        <v>1</v>
      </c>
      <c r="F92" t="s">
        <v>478</v>
      </c>
      <c r="G92">
        <v>26</v>
      </c>
      <c r="H92" t="s">
        <v>287</v>
      </c>
      <c r="I92" t="s">
        <v>479</v>
      </c>
      <c r="J92" t="s">
        <v>36</v>
      </c>
      <c r="O92" t="s">
        <v>480</v>
      </c>
      <c r="P92">
        <v>4000</v>
      </c>
      <c r="Q92" s="1">
        <v>45930.448657407411</v>
      </c>
      <c r="AA92" t="s">
        <v>231</v>
      </c>
      <c r="AB92">
        <v>0</v>
      </c>
    </row>
    <row r="93" spans="1:28" x14ac:dyDescent="0.45">
      <c r="A93" t="s">
        <v>226</v>
      </c>
      <c r="B93" t="s">
        <v>26</v>
      </c>
      <c r="C93" t="s">
        <v>413</v>
      </c>
      <c r="D93">
        <v>1</v>
      </c>
      <c r="E93">
        <v>1</v>
      </c>
      <c r="F93" t="s">
        <v>481</v>
      </c>
      <c r="G93">
        <v>27</v>
      </c>
      <c r="H93" t="s">
        <v>287</v>
      </c>
      <c r="I93" t="s">
        <v>482</v>
      </c>
      <c r="J93">
        <v>9000044845</v>
      </c>
      <c r="O93" t="s">
        <v>483</v>
      </c>
      <c r="P93">
        <v>3000</v>
      </c>
      <c r="Q93" s="1">
        <v>45950.475127314814</v>
      </c>
      <c r="AA93" t="s">
        <v>231</v>
      </c>
      <c r="AB93">
        <v>0</v>
      </c>
    </row>
    <row r="94" spans="1:28" x14ac:dyDescent="0.45">
      <c r="A94" t="s">
        <v>226</v>
      </c>
      <c r="B94" t="s">
        <v>26</v>
      </c>
      <c r="C94" t="s">
        <v>413</v>
      </c>
      <c r="D94">
        <v>1</v>
      </c>
      <c r="E94">
        <v>1</v>
      </c>
      <c r="F94" t="s">
        <v>484</v>
      </c>
      <c r="G94">
        <v>28</v>
      </c>
      <c r="H94" t="s">
        <v>287</v>
      </c>
      <c r="I94" t="s">
        <v>485</v>
      </c>
      <c r="J94">
        <v>9000067499</v>
      </c>
      <c r="O94" t="s">
        <v>486</v>
      </c>
      <c r="P94">
        <v>3000</v>
      </c>
      <c r="Q94" s="1">
        <v>45950.475127314814</v>
      </c>
      <c r="AA94" t="s">
        <v>231</v>
      </c>
      <c r="AB94">
        <v>0</v>
      </c>
    </row>
    <row r="95" spans="1:28" x14ac:dyDescent="0.45">
      <c r="A95" t="s">
        <v>226</v>
      </c>
      <c r="B95" t="s">
        <v>26</v>
      </c>
      <c r="C95" t="s">
        <v>413</v>
      </c>
      <c r="D95">
        <v>1</v>
      </c>
      <c r="E95">
        <v>1</v>
      </c>
      <c r="F95" t="s">
        <v>487</v>
      </c>
      <c r="G95">
        <v>29</v>
      </c>
      <c r="H95" t="s">
        <v>287</v>
      </c>
      <c r="I95" t="s">
        <v>488</v>
      </c>
      <c r="J95">
        <v>9000066601</v>
      </c>
      <c r="O95" t="s">
        <v>489</v>
      </c>
      <c r="P95">
        <v>2000</v>
      </c>
      <c r="Q95" s="1">
        <v>45950.475127314814</v>
      </c>
      <c r="AA95" t="s">
        <v>231</v>
      </c>
      <c r="AB95">
        <v>0</v>
      </c>
    </row>
    <row r="96" spans="1:28" x14ac:dyDescent="0.45">
      <c r="A96" t="s">
        <v>226</v>
      </c>
      <c r="B96" t="s">
        <v>26</v>
      </c>
      <c r="C96" t="s">
        <v>413</v>
      </c>
      <c r="D96">
        <v>1</v>
      </c>
      <c r="E96">
        <v>1</v>
      </c>
      <c r="F96" t="s">
        <v>334</v>
      </c>
      <c r="G96">
        <v>1</v>
      </c>
      <c r="H96" t="s">
        <v>287</v>
      </c>
      <c r="I96" t="s">
        <v>490</v>
      </c>
      <c r="J96">
        <v>9000058279</v>
      </c>
      <c r="O96" t="s">
        <v>491</v>
      </c>
      <c r="P96">
        <v>3000</v>
      </c>
      <c r="Q96" s="1">
        <v>45930.448680555557</v>
      </c>
      <c r="AA96" t="s">
        <v>231</v>
      </c>
      <c r="AB96">
        <v>0</v>
      </c>
    </row>
    <row r="97" spans="1:28" x14ac:dyDescent="0.45">
      <c r="A97" t="s">
        <v>226</v>
      </c>
      <c r="B97" t="s">
        <v>26</v>
      </c>
      <c r="C97" t="s">
        <v>413</v>
      </c>
      <c r="D97">
        <v>1</v>
      </c>
      <c r="E97">
        <v>1</v>
      </c>
      <c r="F97" t="s">
        <v>341</v>
      </c>
      <c r="G97">
        <v>3</v>
      </c>
      <c r="H97" t="s">
        <v>287</v>
      </c>
      <c r="I97" t="s">
        <v>492</v>
      </c>
      <c r="J97">
        <v>9000066684</v>
      </c>
      <c r="O97" t="s">
        <v>493</v>
      </c>
      <c r="P97">
        <v>4000</v>
      </c>
      <c r="Q97" s="1">
        <v>45950.701053240744</v>
      </c>
      <c r="R97" t="s">
        <v>494</v>
      </c>
      <c r="AA97" t="s">
        <v>231</v>
      </c>
      <c r="AB97">
        <v>0</v>
      </c>
    </row>
    <row r="98" spans="1:28" x14ac:dyDescent="0.45">
      <c r="A98" t="s">
        <v>226</v>
      </c>
      <c r="B98" t="s">
        <v>26</v>
      </c>
      <c r="C98" t="s">
        <v>413</v>
      </c>
      <c r="D98">
        <v>1</v>
      </c>
      <c r="E98">
        <v>1</v>
      </c>
      <c r="F98" t="s">
        <v>344</v>
      </c>
      <c r="G98">
        <v>4</v>
      </c>
      <c r="H98" t="s">
        <v>287</v>
      </c>
      <c r="I98" t="s">
        <v>495</v>
      </c>
      <c r="J98">
        <v>9000066687</v>
      </c>
      <c r="O98" t="s">
        <v>496</v>
      </c>
      <c r="P98">
        <v>2000</v>
      </c>
      <c r="Q98" s="1">
        <v>45950.475138888891</v>
      </c>
      <c r="S98" t="s">
        <v>290</v>
      </c>
      <c r="U98" t="s">
        <v>497</v>
      </c>
      <c r="AA98" t="s">
        <v>231</v>
      </c>
      <c r="AB98">
        <v>0</v>
      </c>
    </row>
    <row r="99" spans="1:28" x14ac:dyDescent="0.45">
      <c r="A99" t="s">
        <v>226</v>
      </c>
      <c r="B99" t="s">
        <v>26</v>
      </c>
      <c r="C99" t="s">
        <v>413</v>
      </c>
      <c r="D99">
        <v>1</v>
      </c>
      <c r="E99">
        <v>1</v>
      </c>
      <c r="F99" t="s">
        <v>347</v>
      </c>
      <c r="G99">
        <v>5</v>
      </c>
      <c r="H99" t="s">
        <v>287</v>
      </c>
      <c r="I99" t="s">
        <v>498</v>
      </c>
      <c r="J99">
        <v>9000066689</v>
      </c>
      <c r="O99" t="s">
        <v>499</v>
      </c>
      <c r="P99">
        <v>3000</v>
      </c>
      <c r="Q99" s="1">
        <v>45950.475138888891</v>
      </c>
      <c r="AA99" t="s">
        <v>231</v>
      </c>
      <c r="AB99">
        <v>0</v>
      </c>
    </row>
    <row r="100" spans="1:28" x14ac:dyDescent="0.45">
      <c r="A100" t="s">
        <v>226</v>
      </c>
      <c r="B100" t="s">
        <v>26</v>
      </c>
      <c r="C100" t="s">
        <v>413</v>
      </c>
      <c r="D100">
        <v>1</v>
      </c>
      <c r="E100">
        <v>1</v>
      </c>
      <c r="F100" t="s">
        <v>351</v>
      </c>
      <c r="G100">
        <v>6</v>
      </c>
      <c r="H100" t="s">
        <v>287</v>
      </c>
      <c r="I100" t="s">
        <v>500</v>
      </c>
      <c r="J100">
        <v>672657</v>
      </c>
      <c r="O100" t="s">
        <v>501</v>
      </c>
      <c r="P100">
        <v>5000</v>
      </c>
      <c r="Q100" s="1">
        <v>45950.475138888891</v>
      </c>
      <c r="AA100" t="s">
        <v>231</v>
      </c>
      <c r="AB100">
        <v>0</v>
      </c>
    </row>
    <row r="101" spans="1:28" x14ac:dyDescent="0.45">
      <c r="A101" t="s">
        <v>226</v>
      </c>
      <c r="B101" t="s">
        <v>26</v>
      </c>
      <c r="C101" t="s">
        <v>413</v>
      </c>
      <c r="D101">
        <v>1</v>
      </c>
      <c r="E101">
        <v>1</v>
      </c>
      <c r="F101" t="s">
        <v>354</v>
      </c>
      <c r="G101">
        <v>7</v>
      </c>
      <c r="H101" t="s">
        <v>287</v>
      </c>
      <c r="I101" t="s">
        <v>502</v>
      </c>
      <c r="J101">
        <v>907289</v>
      </c>
      <c r="O101" t="s">
        <v>503</v>
      </c>
      <c r="P101">
        <v>3000</v>
      </c>
      <c r="Q101" s="1">
        <v>45950.475138888891</v>
      </c>
      <c r="AA101" t="s">
        <v>231</v>
      </c>
      <c r="AB101">
        <v>0</v>
      </c>
    </row>
    <row r="102" spans="1:28" x14ac:dyDescent="0.45">
      <c r="A102" t="s">
        <v>226</v>
      </c>
      <c r="B102" t="s">
        <v>26</v>
      </c>
      <c r="C102" t="s">
        <v>413</v>
      </c>
      <c r="D102">
        <v>1</v>
      </c>
      <c r="E102">
        <v>1</v>
      </c>
      <c r="F102" t="s">
        <v>357</v>
      </c>
      <c r="G102">
        <v>8</v>
      </c>
      <c r="H102" t="s">
        <v>287</v>
      </c>
      <c r="I102" t="s">
        <v>504</v>
      </c>
      <c r="J102">
        <v>661357</v>
      </c>
      <c r="O102" t="s">
        <v>505</v>
      </c>
      <c r="P102">
        <v>5000</v>
      </c>
      <c r="Q102" s="1">
        <v>45950.475138888891</v>
      </c>
      <c r="S102" t="s">
        <v>290</v>
      </c>
      <c r="U102" t="s">
        <v>506</v>
      </c>
      <c r="AA102" t="s">
        <v>231</v>
      </c>
      <c r="AB102">
        <v>0</v>
      </c>
    </row>
    <row r="103" spans="1:28" x14ac:dyDescent="0.45">
      <c r="A103" t="s">
        <v>226</v>
      </c>
      <c r="B103" t="s">
        <v>26</v>
      </c>
      <c r="C103" t="s">
        <v>413</v>
      </c>
      <c r="D103">
        <v>1</v>
      </c>
      <c r="E103">
        <v>1</v>
      </c>
      <c r="F103" t="s">
        <v>360</v>
      </c>
      <c r="G103">
        <v>9</v>
      </c>
      <c r="H103" t="s">
        <v>287</v>
      </c>
      <c r="I103" t="s">
        <v>507</v>
      </c>
      <c r="J103">
        <v>9000066688</v>
      </c>
      <c r="O103" t="s">
        <v>508</v>
      </c>
      <c r="P103">
        <v>4000</v>
      </c>
      <c r="Q103" s="1">
        <v>45950.475138888891</v>
      </c>
      <c r="AA103" t="s">
        <v>231</v>
      </c>
      <c r="AB103">
        <v>0</v>
      </c>
    </row>
    <row r="104" spans="1:28" x14ac:dyDescent="0.45">
      <c r="A104" t="s">
        <v>226</v>
      </c>
      <c r="B104" t="s">
        <v>26</v>
      </c>
      <c r="C104" t="s">
        <v>413</v>
      </c>
      <c r="D104">
        <v>1</v>
      </c>
      <c r="E104">
        <v>1</v>
      </c>
      <c r="F104" t="s">
        <v>363</v>
      </c>
      <c r="G104">
        <v>10</v>
      </c>
      <c r="H104" t="s">
        <v>287</v>
      </c>
      <c r="I104" t="s">
        <v>509</v>
      </c>
      <c r="J104">
        <v>667645</v>
      </c>
      <c r="O104" t="s">
        <v>510</v>
      </c>
      <c r="P104">
        <v>10000</v>
      </c>
      <c r="Q104" s="1">
        <v>45950.475138888891</v>
      </c>
      <c r="AA104" t="s">
        <v>231</v>
      </c>
      <c r="AB104">
        <v>0</v>
      </c>
    </row>
    <row r="105" spans="1:28" x14ac:dyDescent="0.45">
      <c r="A105" t="s">
        <v>226</v>
      </c>
      <c r="B105" t="s">
        <v>26</v>
      </c>
      <c r="C105" t="s">
        <v>413</v>
      </c>
      <c r="D105">
        <v>1</v>
      </c>
      <c r="E105">
        <v>1</v>
      </c>
      <c r="F105" t="s">
        <v>366</v>
      </c>
      <c r="G105">
        <v>11</v>
      </c>
      <c r="H105" t="s">
        <v>287</v>
      </c>
      <c r="I105" t="s">
        <v>511</v>
      </c>
      <c r="J105">
        <v>9000066590</v>
      </c>
      <c r="O105" t="s">
        <v>512</v>
      </c>
      <c r="P105">
        <v>4000</v>
      </c>
      <c r="Q105" s="1">
        <v>45950.475138888891</v>
      </c>
      <c r="AA105" t="s">
        <v>231</v>
      </c>
      <c r="AB105">
        <v>0</v>
      </c>
    </row>
    <row r="106" spans="1:28" x14ac:dyDescent="0.45">
      <c r="A106" t="s">
        <v>226</v>
      </c>
      <c r="B106" t="s">
        <v>26</v>
      </c>
      <c r="C106" t="s">
        <v>413</v>
      </c>
      <c r="D106">
        <v>1</v>
      </c>
      <c r="E106">
        <v>1</v>
      </c>
      <c r="F106" t="s">
        <v>369</v>
      </c>
      <c r="G106">
        <v>12</v>
      </c>
      <c r="H106" t="s">
        <v>287</v>
      </c>
      <c r="I106" t="s">
        <v>513</v>
      </c>
      <c r="J106">
        <v>9000066686</v>
      </c>
      <c r="O106" t="s">
        <v>514</v>
      </c>
      <c r="P106">
        <v>4000</v>
      </c>
      <c r="Q106" s="1">
        <v>45950.475138888891</v>
      </c>
      <c r="S106" t="s">
        <v>290</v>
      </c>
      <c r="U106" t="s">
        <v>515</v>
      </c>
      <c r="AA106" t="s">
        <v>231</v>
      </c>
      <c r="AB106">
        <v>0</v>
      </c>
    </row>
    <row r="107" spans="1:28" x14ac:dyDescent="0.45">
      <c r="A107" t="s">
        <v>226</v>
      </c>
      <c r="B107" t="s">
        <v>26</v>
      </c>
      <c r="C107" t="s">
        <v>413</v>
      </c>
      <c r="D107">
        <v>1</v>
      </c>
      <c r="E107">
        <v>1</v>
      </c>
      <c r="F107" t="s">
        <v>372</v>
      </c>
      <c r="G107">
        <v>13</v>
      </c>
      <c r="H107" t="s">
        <v>287</v>
      </c>
      <c r="I107" t="s">
        <v>516</v>
      </c>
      <c r="J107">
        <v>9000066599</v>
      </c>
      <c r="O107" t="s">
        <v>517</v>
      </c>
      <c r="P107">
        <v>2000</v>
      </c>
      <c r="Q107" s="1">
        <v>45950.475138888891</v>
      </c>
      <c r="S107" t="s">
        <v>290</v>
      </c>
      <c r="U107" t="s">
        <v>518</v>
      </c>
      <c r="AA107" t="s">
        <v>231</v>
      </c>
      <c r="AB107">
        <v>0</v>
      </c>
    </row>
    <row r="108" spans="1:28" x14ac:dyDescent="0.45">
      <c r="A108" t="s">
        <v>226</v>
      </c>
      <c r="B108" t="s">
        <v>26</v>
      </c>
      <c r="C108" t="s">
        <v>413</v>
      </c>
      <c r="D108">
        <v>1</v>
      </c>
      <c r="E108">
        <v>1</v>
      </c>
      <c r="F108" t="s">
        <v>375</v>
      </c>
      <c r="G108">
        <v>14</v>
      </c>
      <c r="H108" t="s">
        <v>287</v>
      </c>
      <c r="I108" t="s">
        <v>519</v>
      </c>
      <c r="J108">
        <v>9000069294</v>
      </c>
      <c r="O108" t="s">
        <v>520</v>
      </c>
      <c r="P108">
        <v>2852</v>
      </c>
      <c r="Q108" s="1">
        <v>45950.475138888891</v>
      </c>
      <c r="AA108" t="s">
        <v>231</v>
      </c>
      <c r="AB108">
        <v>0</v>
      </c>
    </row>
    <row r="109" spans="1:28" x14ac:dyDescent="0.45">
      <c r="A109" t="s">
        <v>226</v>
      </c>
      <c r="B109" t="s">
        <v>26</v>
      </c>
      <c r="C109" t="s">
        <v>413</v>
      </c>
      <c r="D109">
        <v>1</v>
      </c>
      <c r="E109">
        <v>1</v>
      </c>
      <c r="F109" t="s">
        <v>378</v>
      </c>
      <c r="G109">
        <v>15</v>
      </c>
      <c r="H109" t="s">
        <v>287</v>
      </c>
      <c r="I109" t="s">
        <v>521</v>
      </c>
      <c r="J109">
        <v>9000066586</v>
      </c>
      <c r="O109" t="s">
        <v>522</v>
      </c>
      <c r="P109">
        <v>10000</v>
      </c>
      <c r="Q109" s="1">
        <v>45950.475138888891</v>
      </c>
      <c r="AA109" t="s">
        <v>231</v>
      </c>
      <c r="AB109">
        <v>0</v>
      </c>
    </row>
    <row r="110" spans="1:28" x14ac:dyDescent="0.45">
      <c r="A110" t="s">
        <v>226</v>
      </c>
      <c r="B110" t="s">
        <v>26</v>
      </c>
      <c r="C110" t="s">
        <v>413</v>
      </c>
      <c r="D110">
        <v>1</v>
      </c>
      <c r="E110">
        <v>1</v>
      </c>
      <c r="F110" t="s">
        <v>381</v>
      </c>
      <c r="G110">
        <v>16</v>
      </c>
      <c r="H110" t="s">
        <v>287</v>
      </c>
      <c r="I110" t="s">
        <v>523</v>
      </c>
      <c r="J110">
        <v>9000066588</v>
      </c>
      <c r="O110" t="s">
        <v>524</v>
      </c>
      <c r="P110">
        <v>4000</v>
      </c>
      <c r="Q110" s="1">
        <v>45950.475138888891</v>
      </c>
      <c r="AA110" t="s">
        <v>231</v>
      </c>
      <c r="AB110">
        <v>0</v>
      </c>
    </row>
    <row r="111" spans="1:28" x14ac:dyDescent="0.45">
      <c r="A111" t="s">
        <v>226</v>
      </c>
      <c r="B111" t="s">
        <v>26</v>
      </c>
      <c r="C111" t="s">
        <v>413</v>
      </c>
      <c r="D111">
        <v>1</v>
      </c>
      <c r="E111">
        <v>1</v>
      </c>
      <c r="F111" t="s">
        <v>385</v>
      </c>
      <c r="G111">
        <v>17</v>
      </c>
      <c r="H111" t="s">
        <v>287</v>
      </c>
      <c r="I111" t="s">
        <v>525</v>
      </c>
      <c r="J111" t="s">
        <v>37</v>
      </c>
      <c r="O111" t="s">
        <v>526</v>
      </c>
      <c r="P111">
        <v>5000</v>
      </c>
      <c r="Q111" s="1">
        <v>45950.702430555553</v>
      </c>
      <c r="R111" t="s">
        <v>494</v>
      </c>
      <c r="AA111" t="s">
        <v>231</v>
      </c>
      <c r="AB111">
        <v>0</v>
      </c>
    </row>
    <row r="112" spans="1:28" x14ac:dyDescent="0.45">
      <c r="A112" t="s">
        <v>226</v>
      </c>
      <c r="B112" t="s">
        <v>26</v>
      </c>
      <c r="C112" t="s">
        <v>413</v>
      </c>
      <c r="D112">
        <v>1</v>
      </c>
      <c r="E112">
        <v>1</v>
      </c>
      <c r="F112" t="s">
        <v>388</v>
      </c>
      <c r="G112">
        <v>18</v>
      </c>
      <c r="H112" t="s">
        <v>287</v>
      </c>
      <c r="I112" t="s">
        <v>527</v>
      </c>
      <c r="J112">
        <v>909616</v>
      </c>
      <c r="O112" t="s">
        <v>528</v>
      </c>
      <c r="P112">
        <v>10000</v>
      </c>
      <c r="Q112" s="1">
        <v>45950.475138888891</v>
      </c>
      <c r="AA112" t="s">
        <v>231</v>
      </c>
      <c r="AB112">
        <v>0</v>
      </c>
    </row>
    <row r="113" spans="1:28" x14ac:dyDescent="0.45">
      <c r="A113" t="s">
        <v>226</v>
      </c>
      <c r="B113" t="s">
        <v>26</v>
      </c>
      <c r="C113" t="s">
        <v>413</v>
      </c>
      <c r="D113">
        <v>1</v>
      </c>
      <c r="E113">
        <v>1</v>
      </c>
      <c r="F113" t="s">
        <v>391</v>
      </c>
      <c r="G113">
        <v>19</v>
      </c>
      <c r="H113" t="s">
        <v>287</v>
      </c>
      <c r="I113" t="s">
        <v>529</v>
      </c>
      <c r="J113" t="s">
        <v>38</v>
      </c>
      <c r="O113" t="s">
        <v>530</v>
      </c>
      <c r="P113">
        <v>5000</v>
      </c>
      <c r="Q113" s="1">
        <v>45950.47515046296</v>
      </c>
      <c r="S113" t="s">
        <v>290</v>
      </c>
      <c r="U113" t="s">
        <v>531</v>
      </c>
      <c r="AA113" t="s">
        <v>231</v>
      </c>
      <c r="AB113">
        <v>0</v>
      </c>
    </row>
    <row r="114" spans="1:28" x14ac:dyDescent="0.45">
      <c r="A114" t="s">
        <v>226</v>
      </c>
      <c r="B114" t="s">
        <v>26</v>
      </c>
      <c r="C114" t="s">
        <v>413</v>
      </c>
      <c r="D114">
        <v>1</v>
      </c>
      <c r="E114">
        <v>1</v>
      </c>
      <c r="F114" t="s">
        <v>396</v>
      </c>
      <c r="G114">
        <v>20</v>
      </c>
      <c r="H114" t="s">
        <v>287</v>
      </c>
      <c r="I114" t="s">
        <v>532</v>
      </c>
      <c r="J114">
        <v>9000062919</v>
      </c>
      <c r="O114" t="s">
        <v>533</v>
      </c>
      <c r="P114">
        <v>10000</v>
      </c>
      <c r="Q114" s="1">
        <v>45950.47515046296</v>
      </c>
      <c r="AA114" t="s">
        <v>231</v>
      </c>
      <c r="AB114">
        <v>0</v>
      </c>
    </row>
    <row r="115" spans="1:28" x14ac:dyDescent="0.45">
      <c r="A115" t="s">
        <v>226</v>
      </c>
      <c r="B115" t="s">
        <v>26</v>
      </c>
      <c r="C115" t="s">
        <v>413</v>
      </c>
      <c r="D115">
        <v>1</v>
      </c>
      <c r="E115">
        <v>1</v>
      </c>
      <c r="F115" t="s">
        <v>399</v>
      </c>
      <c r="G115">
        <v>21</v>
      </c>
      <c r="H115" t="s">
        <v>287</v>
      </c>
      <c r="I115" t="s">
        <v>534</v>
      </c>
      <c r="J115">
        <v>9000062641</v>
      </c>
      <c r="O115" t="s">
        <v>535</v>
      </c>
      <c r="P115">
        <v>3000</v>
      </c>
      <c r="Q115" s="1">
        <v>45950.47515046296</v>
      </c>
      <c r="AA115" t="s">
        <v>231</v>
      </c>
      <c r="AB115">
        <v>0</v>
      </c>
    </row>
    <row r="116" spans="1:28" x14ac:dyDescent="0.45">
      <c r="A116" t="s">
        <v>226</v>
      </c>
      <c r="B116" t="s">
        <v>26</v>
      </c>
      <c r="C116" t="s">
        <v>413</v>
      </c>
      <c r="D116">
        <v>1</v>
      </c>
      <c r="E116">
        <v>1</v>
      </c>
      <c r="F116" t="s">
        <v>402</v>
      </c>
      <c r="G116">
        <v>22</v>
      </c>
      <c r="H116" t="s">
        <v>287</v>
      </c>
      <c r="I116" t="s">
        <v>536</v>
      </c>
      <c r="J116">
        <v>9000066685</v>
      </c>
      <c r="O116" t="s">
        <v>537</v>
      </c>
      <c r="P116">
        <v>3000</v>
      </c>
      <c r="Q116" s="1">
        <v>45950.47515046296</v>
      </c>
      <c r="AA116" t="s">
        <v>231</v>
      </c>
      <c r="AB116">
        <v>0</v>
      </c>
    </row>
    <row r="117" spans="1:28" x14ac:dyDescent="0.45">
      <c r="A117" t="s">
        <v>226</v>
      </c>
      <c r="B117" t="s">
        <v>26</v>
      </c>
      <c r="C117" t="s">
        <v>413</v>
      </c>
      <c r="D117">
        <v>1</v>
      </c>
      <c r="E117">
        <v>1</v>
      </c>
      <c r="F117" t="s">
        <v>406</v>
      </c>
      <c r="G117">
        <v>23</v>
      </c>
      <c r="H117" t="s">
        <v>287</v>
      </c>
      <c r="I117" t="s">
        <v>538</v>
      </c>
      <c r="J117">
        <v>9000047423</v>
      </c>
      <c r="O117" t="s">
        <v>539</v>
      </c>
      <c r="P117">
        <v>3000</v>
      </c>
      <c r="Q117" s="1">
        <v>45950.47515046296</v>
      </c>
      <c r="S117" t="s">
        <v>290</v>
      </c>
      <c r="U117" t="s">
        <v>540</v>
      </c>
      <c r="AA117" t="s">
        <v>231</v>
      </c>
      <c r="AB117">
        <v>0</v>
      </c>
    </row>
    <row r="118" spans="1:28" x14ac:dyDescent="0.45">
      <c r="A118" t="s">
        <v>226</v>
      </c>
      <c r="B118" t="s">
        <v>26</v>
      </c>
      <c r="C118" t="s">
        <v>413</v>
      </c>
      <c r="D118">
        <v>1</v>
      </c>
      <c r="E118">
        <v>1</v>
      </c>
      <c r="F118" t="s">
        <v>541</v>
      </c>
      <c r="G118">
        <v>24</v>
      </c>
      <c r="H118" t="s">
        <v>287</v>
      </c>
      <c r="I118" t="s">
        <v>542</v>
      </c>
      <c r="J118">
        <v>9000058902</v>
      </c>
      <c r="O118" t="s">
        <v>543</v>
      </c>
      <c r="P118">
        <v>3000</v>
      </c>
      <c r="Q118" s="1">
        <v>45950.47515046296</v>
      </c>
      <c r="S118" t="s">
        <v>290</v>
      </c>
      <c r="U118" t="s">
        <v>544</v>
      </c>
      <c r="AA118" t="s">
        <v>231</v>
      </c>
      <c r="AB118">
        <v>0</v>
      </c>
    </row>
    <row r="119" spans="1:28" x14ac:dyDescent="0.45">
      <c r="A119" t="s">
        <v>226</v>
      </c>
      <c r="B119" t="s">
        <v>26</v>
      </c>
      <c r="C119" t="s">
        <v>413</v>
      </c>
      <c r="D119">
        <v>1</v>
      </c>
      <c r="E119">
        <v>1</v>
      </c>
      <c r="F119" t="s">
        <v>545</v>
      </c>
      <c r="G119">
        <v>25</v>
      </c>
      <c r="H119" t="s">
        <v>287</v>
      </c>
      <c r="I119" t="s">
        <v>546</v>
      </c>
      <c r="J119">
        <v>9000049546</v>
      </c>
      <c r="O119" t="s">
        <v>547</v>
      </c>
      <c r="P119">
        <v>10000</v>
      </c>
      <c r="Q119" s="1">
        <v>45950.47515046296</v>
      </c>
      <c r="AA119" t="s">
        <v>231</v>
      </c>
      <c r="AB119">
        <v>0</v>
      </c>
    </row>
    <row r="120" spans="1:28" x14ac:dyDescent="0.45">
      <c r="A120" t="s">
        <v>226</v>
      </c>
      <c r="B120" t="s">
        <v>26</v>
      </c>
      <c r="C120" t="s">
        <v>413</v>
      </c>
      <c r="D120">
        <v>1</v>
      </c>
      <c r="E120">
        <v>1</v>
      </c>
      <c r="F120" t="s">
        <v>548</v>
      </c>
      <c r="G120">
        <v>26</v>
      </c>
      <c r="H120" t="s">
        <v>287</v>
      </c>
      <c r="I120" t="s">
        <v>549</v>
      </c>
      <c r="J120">
        <v>9000040403</v>
      </c>
      <c r="O120" t="s">
        <v>550</v>
      </c>
      <c r="P120">
        <v>3000</v>
      </c>
      <c r="Q120" s="1">
        <v>45950.47515046296</v>
      </c>
      <c r="S120" t="s">
        <v>290</v>
      </c>
      <c r="U120" t="s">
        <v>551</v>
      </c>
      <c r="AA120" t="s">
        <v>231</v>
      </c>
      <c r="AB120">
        <v>0</v>
      </c>
    </row>
    <row r="121" spans="1:28" x14ac:dyDescent="0.45">
      <c r="A121" t="s">
        <v>226</v>
      </c>
      <c r="B121" t="s">
        <v>26</v>
      </c>
      <c r="C121" t="s">
        <v>413</v>
      </c>
      <c r="D121">
        <v>1</v>
      </c>
      <c r="E121">
        <v>1</v>
      </c>
      <c r="F121" t="s">
        <v>552</v>
      </c>
      <c r="G121">
        <v>27</v>
      </c>
      <c r="H121" t="s">
        <v>287</v>
      </c>
      <c r="I121" t="s">
        <v>553</v>
      </c>
      <c r="J121">
        <v>9000049234</v>
      </c>
      <c r="O121" t="s">
        <v>554</v>
      </c>
      <c r="P121">
        <v>3000</v>
      </c>
      <c r="Q121" s="1">
        <v>45950.47515046296</v>
      </c>
      <c r="AA121" t="s">
        <v>231</v>
      </c>
      <c r="AB121">
        <v>0</v>
      </c>
    </row>
    <row r="122" spans="1:28" x14ac:dyDescent="0.45">
      <c r="A122" t="s">
        <v>226</v>
      </c>
      <c r="B122" t="s">
        <v>26</v>
      </c>
      <c r="C122" t="s">
        <v>413</v>
      </c>
      <c r="D122">
        <v>1</v>
      </c>
      <c r="E122">
        <v>1</v>
      </c>
      <c r="F122" t="s">
        <v>555</v>
      </c>
      <c r="G122">
        <v>28</v>
      </c>
      <c r="H122" t="s">
        <v>287</v>
      </c>
      <c r="I122" t="s">
        <v>556</v>
      </c>
      <c r="J122">
        <v>9000000367</v>
      </c>
      <c r="O122" t="s">
        <v>557</v>
      </c>
      <c r="P122">
        <v>3000</v>
      </c>
      <c r="Q122" s="1">
        <v>45950.47515046296</v>
      </c>
      <c r="AA122" t="s">
        <v>231</v>
      </c>
      <c r="AB122">
        <v>0</v>
      </c>
    </row>
    <row r="123" spans="1:28" x14ac:dyDescent="0.45">
      <c r="A123" t="s">
        <v>226</v>
      </c>
      <c r="B123" t="s">
        <v>26</v>
      </c>
      <c r="C123" t="s">
        <v>413</v>
      </c>
      <c r="D123">
        <v>1</v>
      </c>
      <c r="E123">
        <v>1</v>
      </c>
      <c r="F123" t="s">
        <v>558</v>
      </c>
      <c r="G123">
        <v>29</v>
      </c>
      <c r="H123" t="s">
        <v>287</v>
      </c>
      <c r="I123" t="s">
        <v>559</v>
      </c>
      <c r="J123">
        <v>925055</v>
      </c>
      <c r="O123" t="s">
        <v>560</v>
      </c>
      <c r="P123">
        <v>3000</v>
      </c>
      <c r="Q123" s="1">
        <v>45950.47515046296</v>
      </c>
      <c r="AA123" t="s">
        <v>231</v>
      </c>
      <c r="AB123">
        <v>0</v>
      </c>
    </row>
    <row r="124" spans="1:28" x14ac:dyDescent="0.45">
      <c r="A124" t="s">
        <v>226</v>
      </c>
      <c r="B124" t="s">
        <v>26</v>
      </c>
      <c r="C124" t="s">
        <v>413</v>
      </c>
      <c r="D124">
        <v>1</v>
      </c>
      <c r="E124">
        <v>1</v>
      </c>
      <c r="F124" t="s">
        <v>408</v>
      </c>
      <c r="G124">
        <v>30</v>
      </c>
      <c r="H124" t="s">
        <v>287</v>
      </c>
      <c r="I124" t="s">
        <v>561</v>
      </c>
      <c r="J124">
        <v>9000052792</v>
      </c>
      <c r="O124" t="s">
        <v>562</v>
      </c>
      <c r="P124">
        <v>3000</v>
      </c>
      <c r="Q124" s="1">
        <v>45950.47515046296</v>
      </c>
      <c r="AA124" t="s">
        <v>231</v>
      </c>
      <c r="AB124">
        <v>0</v>
      </c>
    </row>
    <row r="125" spans="1:28" x14ac:dyDescent="0.45">
      <c r="A125" t="s">
        <v>226</v>
      </c>
      <c r="B125" t="s">
        <v>39</v>
      </c>
      <c r="C125" t="s">
        <v>563</v>
      </c>
      <c r="D125">
        <v>1</v>
      </c>
      <c r="E125">
        <v>1</v>
      </c>
      <c r="F125" t="s">
        <v>286</v>
      </c>
      <c r="G125">
        <v>1</v>
      </c>
      <c r="H125" t="s">
        <v>287</v>
      </c>
      <c r="I125" t="s">
        <v>564</v>
      </c>
      <c r="J125">
        <v>9000063420</v>
      </c>
      <c r="O125" t="s">
        <v>565</v>
      </c>
      <c r="P125">
        <v>2000</v>
      </c>
      <c r="Q125" s="1">
        <v>45950.474224537036</v>
      </c>
      <c r="AA125" t="s">
        <v>231</v>
      </c>
      <c r="AB125">
        <v>0</v>
      </c>
    </row>
    <row r="126" spans="1:28" x14ac:dyDescent="0.45">
      <c r="A126" t="s">
        <v>226</v>
      </c>
      <c r="B126" t="s">
        <v>39</v>
      </c>
      <c r="C126" t="s">
        <v>563</v>
      </c>
      <c r="D126">
        <v>1</v>
      </c>
      <c r="E126">
        <v>1</v>
      </c>
      <c r="F126" t="s">
        <v>292</v>
      </c>
      <c r="G126">
        <v>2</v>
      </c>
      <c r="H126" t="s">
        <v>287</v>
      </c>
      <c r="I126" t="s">
        <v>566</v>
      </c>
      <c r="J126" t="s">
        <v>40</v>
      </c>
      <c r="O126" t="s">
        <v>567</v>
      </c>
      <c r="P126">
        <v>2000</v>
      </c>
      <c r="Q126" s="1">
        <v>45950.474224537036</v>
      </c>
      <c r="S126" t="s">
        <v>290</v>
      </c>
      <c r="U126" t="s">
        <v>568</v>
      </c>
      <c r="AA126" t="s">
        <v>231</v>
      </c>
      <c r="AB126">
        <v>0</v>
      </c>
    </row>
    <row r="127" spans="1:28" x14ac:dyDescent="0.45">
      <c r="A127" t="s">
        <v>226</v>
      </c>
      <c r="B127" t="s">
        <v>39</v>
      </c>
      <c r="C127" t="s">
        <v>563</v>
      </c>
      <c r="D127">
        <v>1</v>
      </c>
      <c r="E127">
        <v>1</v>
      </c>
      <c r="F127" t="s">
        <v>295</v>
      </c>
      <c r="G127">
        <v>3</v>
      </c>
      <c r="H127" t="s">
        <v>287</v>
      </c>
      <c r="I127" t="s">
        <v>569</v>
      </c>
      <c r="J127">
        <v>938442</v>
      </c>
      <c r="O127" t="s">
        <v>570</v>
      </c>
      <c r="P127">
        <v>3000</v>
      </c>
      <c r="Q127" s="1">
        <v>45950.474224537036</v>
      </c>
      <c r="AA127" t="s">
        <v>231</v>
      </c>
      <c r="AB127">
        <v>0</v>
      </c>
    </row>
    <row r="128" spans="1:28" x14ac:dyDescent="0.45">
      <c r="A128" t="s">
        <v>226</v>
      </c>
      <c r="B128" t="s">
        <v>39</v>
      </c>
      <c r="C128" t="s">
        <v>563</v>
      </c>
      <c r="D128">
        <v>1</v>
      </c>
      <c r="E128">
        <v>1</v>
      </c>
      <c r="F128" t="s">
        <v>298</v>
      </c>
      <c r="G128">
        <v>4</v>
      </c>
      <c r="H128" t="s">
        <v>287</v>
      </c>
      <c r="I128" t="s">
        <v>571</v>
      </c>
      <c r="J128">
        <v>9000063454</v>
      </c>
      <c r="O128" t="s">
        <v>572</v>
      </c>
      <c r="P128">
        <v>2500</v>
      </c>
      <c r="Q128" s="1">
        <v>45950.474224537036</v>
      </c>
      <c r="S128" t="s">
        <v>290</v>
      </c>
      <c r="U128" t="s">
        <v>573</v>
      </c>
      <c r="AA128" t="s">
        <v>231</v>
      </c>
      <c r="AB128">
        <v>0</v>
      </c>
    </row>
    <row r="129" spans="1:28" x14ac:dyDescent="0.45">
      <c r="A129" t="s">
        <v>226</v>
      </c>
      <c r="B129" t="s">
        <v>39</v>
      </c>
      <c r="C129" t="s">
        <v>563</v>
      </c>
      <c r="D129">
        <v>1</v>
      </c>
      <c r="E129">
        <v>1</v>
      </c>
      <c r="F129" t="s">
        <v>301</v>
      </c>
      <c r="G129">
        <v>5</v>
      </c>
      <c r="H129" t="s">
        <v>287</v>
      </c>
      <c r="I129" t="s">
        <v>574</v>
      </c>
      <c r="J129">
        <v>9000070749</v>
      </c>
      <c r="O129" t="s">
        <v>575</v>
      </c>
      <c r="P129">
        <v>2000</v>
      </c>
      <c r="Q129" s="1">
        <v>45950.474224537036</v>
      </c>
      <c r="AA129" t="s">
        <v>231</v>
      </c>
      <c r="AB129">
        <v>0</v>
      </c>
    </row>
    <row r="130" spans="1:28" x14ac:dyDescent="0.45">
      <c r="A130" t="s">
        <v>226</v>
      </c>
      <c r="B130" t="s">
        <v>39</v>
      </c>
      <c r="C130" t="s">
        <v>563</v>
      </c>
      <c r="D130">
        <v>1</v>
      </c>
      <c r="E130">
        <v>1</v>
      </c>
      <c r="F130" t="s">
        <v>304</v>
      </c>
      <c r="G130">
        <v>6</v>
      </c>
      <c r="H130" t="s">
        <v>287</v>
      </c>
      <c r="I130" t="s">
        <v>576</v>
      </c>
      <c r="J130" t="s">
        <v>118</v>
      </c>
      <c r="O130" t="s">
        <v>577</v>
      </c>
      <c r="P130">
        <v>3000</v>
      </c>
      <c r="Q130" s="1">
        <v>45950.474224537036</v>
      </c>
      <c r="S130" t="s">
        <v>290</v>
      </c>
      <c r="U130" t="s">
        <v>578</v>
      </c>
      <c r="AA130" t="s">
        <v>231</v>
      </c>
      <c r="AB130">
        <v>0</v>
      </c>
    </row>
    <row r="131" spans="1:28" x14ac:dyDescent="0.45">
      <c r="A131" t="s">
        <v>226</v>
      </c>
      <c r="B131" t="s">
        <v>39</v>
      </c>
      <c r="C131" t="s">
        <v>563</v>
      </c>
      <c r="D131">
        <v>1</v>
      </c>
      <c r="E131">
        <v>1</v>
      </c>
      <c r="F131" t="s">
        <v>307</v>
      </c>
      <c r="G131">
        <v>7</v>
      </c>
      <c r="H131" t="s">
        <v>287</v>
      </c>
      <c r="I131" t="s">
        <v>579</v>
      </c>
      <c r="J131">
        <v>9000066813</v>
      </c>
      <c r="O131" t="s">
        <v>580</v>
      </c>
      <c r="P131">
        <v>2000</v>
      </c>
      <c r="Q131" s="1">
        <v>45950.474224537036</v>
      </c>
      <c r="AA131" t="s">
        <v>231</v>
      </c>
      <c r="AB131">
        <v>0</v>
      </c>
    </row>
    <row r="132" spans="1:28" x14ac:dyDescent="0.45">
      <c r="A132" t="s">
        <v>226</v>
      </c>
      <c r="B132" t="s">
        <v>39</v>
      </c>
      <c r="C132" t="s">
        <v>563</v>
      </c>
      <c r="D132">
        <v>1</v>
      </c>
      <c r="E132">
        <v>1</v>
      </c>
      <c r="F132" t="s">
        <v>310</v>
      </c>
      <c r="G132">
        <v>8</v>
      </c>
      <c r="H132" t="s">
        <v>287</v>
      </c>
      <c r="I132" t="s">
        <v>581</v>
      </c>
      <c r="J132">
        <v>724138</v>
      </c>
      <c r="O132" t="s">
        <v>582</v>
      </c>
      <c r="P132">
        <v>3000</v>
      </c>
      <c r="Q132" s="1">
        <v>45950.474224537036</v>
      </c>
      <c r="AA132" t="s">
        <v>231</v>
      </c>
      <c r="AB132">
        <v>0</v>
      </c>
    </row>
    <row r="133" spans="1:28" x14ac:dyDescent="0.45">
      <c r="A133" t="s">
        <v>226</v>
      </c>
      <c r="B133" t="s">
        <v>39</v>
      </c>
      <c r="C133" t="s">
        <v>563</v>
      </c>
      <c r="D133">
        <v>1</v>
      </c>
      <c r="E133">
        <v>1</v>
      </c>
      <c r="F133" t="s">
        <v>313</v>
      </c>
      <c r="G133">
        <v>9</v>
      </c>
      <c r="H133" t="s">
        <v>287</v>
      </c>
      <c r="I133" t="s">
        <v>583</v>
      </c>
      <c r="J133">
        <v>9000057869</v>
      </c>
      <c r="O133" t="s">
        <v>584</v>
      </c>
      <c r="P133">
        <v>3000</v>
      </c>
      <c r="Q133" s="1">
        <v>45950.474224537036</v>
      </c>
      <c r="S133" t="s">
        <v>290</v>
      </c>
      <c r="U133" t="s">
        <v>585</v>
      </c>
      <c r="AA133" t="s">
        <v>231</v>
      </c>
      <c r="AB133">
        <v>0</v>
      </c>
    </row>
    <row r="134" spans="1:28" x14ac:dyDescent="0.45">
      <c r="A134" t="s">
        <v>226</v>
      </c>
      <c r="B134" t="s">
        <v>39</v>
      </c>
      <c r="C134" t="s">
        <v>563</v>
      </c>
      <c r="D134">
        <v>1</v>
      </c>
      <c r="E134">
        <v>1</v>
      </c>
      <c r="F134" t="s">
        <v>316</v>
      </c>
      <c r="G134">
        <v>10</v>
      </c>
      <c r="H134" t="s">
        <v>287</v>
      </c>
      <c r="I134" t="s">
        <v>586</v>
      </c>
      <c r="J134">
        <v>9000067211</v>
      </c>
      <c r="O134" t="s">
        <v>587</v>
      </c>
      <c r="P134">
        <v>2000</v>
      </c>
      <c r="Q134" s="1">
        <v>45950.474224537036</v>
      </c>
      <c r="S134" t="s">
        <v>290</v>
      </c>
      <c r="U134" t="s">
        <v>588</v>
      </c>
      <c r="AA134" t="s">
        <v>231</v>
      </c>
      <c r="AB134">
        <v>0</v>
      </c>
    </row>
    <row r="135" spans="1:28" x14ac:dyDescent="0.45">
      <c r="A135" t="s">
        <v>226</v>
      </c>
      <c r="B135" t="s">
        <v>39</v>
      </c>
      <c r="C135" t="s">
        <v>563</v>
      </c>
      <c r="D135">
        <v>1</v>
      </c>
      <c r="E135">
        <v>1</v>
      </c>
      <c r="F135" t="s">
        <v>319</v>
      </c>
      <c r="G135">
        <v>11</v>
      </c>
      <c r="H135" t="s">
        <v>287</v>
      </c>
      <c r="I135" t="s">
        <v>589</v>
      </c>
      <c r="J135">
        <v>9000070426</v>
      </c>
      <c r="O135" t="s">
        <v>590</v>
      </c>
      <c r="P135">
        <v>4000</v>
      </c>
      <c r="Q135" s="1">
        <v>45950.474236111113</v>
      </c>
      <c r="AA135" t="s">
        <v>231</v>
      </c>
      <c r="AB135">
        <v>0</v>
      </c>
    </row>
    <row r="136" spans="1:28" x14ac:dyDescent="0.45">
      <c r="A136" t="s">
        <v>226</v>
      </c>
      <c r="B136" t="s">
        <v>39</v>
      </c>
      <c r="C136" t="s">
        <v>563</v>
      </c>
      <c r="D136">
        <v>1</v>
      </c>
      <c r="E136">
        <v>1</v>
      </c>
      <c r="F136" t="s">
        <v>322</v>
      </c>
      <c r="G136">
        <v>12</v>
      </c>
      <c r="H136" t="s">
        <v>287</v>
      </c>
      <c r="I136" t="s">
        <v>591</v>
      </c>
      <c r="J136">
        <v>9000066629</v>
      </c>
      <c r="O136" t="s">
        <v>592</v>
      </c>
      <c r="P136">
        <v>4000</v>
      </c>
      <c r="Q136" s="1">
        <v>45930.453425925924</v>
      </c>
      <c r="AA136" t="s">
        <v>231</v>
      </c>
      <c r="AB136">
        <v>0</v>
      </c>
    </row>
    <row r="137" spans="1:28" x14ac:dyDescent="0.45">
      <c r="A137" t="s">
        <v>226</v>
      </c>
      <c r="B137" t="s">
        <v>39</v>
      </c>
      <c r="C137" t="s">
        <v>563</v>
      </c>
      <c r="D137">
        <v>1</v>
      </c>
      <c r="E137">
        <v>1</v>
      </c>
      <c r="F137" t="s">
        <v>325</v>
      </c>
      <c r="G137">
        <v>13</v>
      </c>
      <c r="H137" t="s">
        <v>287</v>
      </c>
      <c r="I137" t="s">
        <v>593</v>
      </c>
      <c r="J137">
        <v>9000010142</v>
      </c>
      <c r="O137" t="s">
        <v>594</v>
      </c>
      <c r="P137">
        <v>3000</v>
      </c>
      <c r="Q137" s="1">
        <v>45950.474236111113</v>
      </c>
      <c r="AA137" t="s">
        <v>231</v>
      </c>
      <c r="AB137">
        <v>0</v>
      </c>
    </row>
    <row r="138" spans="1:28" x14ac:dyDescent="0.45">
      <c r="A138" t="s">
        <v>226</v>
      </c>
      <c r="B138" t="s">
        <v>39</v>
      </c>
      <c r="C138" t="s">
        <v>563</v>
      </c>
      <c r="D138">
        <v>1</v>
      </c>
      <c r="E138">
        <v>1</v>
      </c>
      <c r="F138" t="s">
        <v>328</v>
      </c>
      <c r="G138">
        <v>14</v>
      </c>
      <c r="H138" t="s">
        <v>287</v>
      </c>
      <c r="I138" t="s">
        <v>595</v>
      </c>
      <c r="J138">
        <v>632594</v>
      </c>
      <c r="O138" t="s">
        <v>596</v>
      </c>
      <c r="P138">
        <v>3000</v>
      </c>
      <c r="Q138" s="1">
        <v>45950.474236111113</v>
      </c>
      <c r="AA138" t="s">
        <v>231</v>
      </c>
      <c r="AB138">
        <v>0</v>
      </c>
    </row>
    <row r="139" spans="1:28" x14ac:dyDescent="0.45">
      <c r="A139" t="s">
        <v>226</v>
      </c>
      <c r="B139" t="s">
        <v>39</v>
      </c>
      <c r="C139" t="s">
        <v>563</v>
      </c>
      <c r="D139">
        <v>1</v>
      </c>
      <c r="E139">
        <v>1</v>
      </c>
      <c r="F139" t="s">
        <v>331</v>
      </c>
      <c r="G139">
        <v>15</v>
      </c>
      <c r="H139" t="s">
        <v>287</v>
      </c>
      <c r="I139" t="s">
        <v>597</v>
      </c>
      <c r="J139" t="s">
        <v>41</v>
      </c>
      <c r="O139" t="s">
        <v>598</v>
      </c>
      <c r="P139">
        <v>5000</v>
      </c>
      <c r="Q139" s="1">
        <v>45950.474236111113</v>
      </c>
      <c r="S139" t="s">
        <v>290</v>
      </c>
      <c r="U139" t="s">
        <v>599</v>
      </c>
      <c r="AA139" t="s">
        <v>231</v>
      </c>
      <c r="AB139">
        <v>0</v>
      </c>
    </row>
    <row r="140" spans="1:28" x14ac:dyDescent="0.45">
      <c r="A140" t="s">
        <v>226</v>
      </c>
      <c r="B140" t="s">
        <v>39</v>
      </c>
      <c r="C140" t="s">
        <v>563</v>
      </c>
      <c r="D140">
        <v>1</v>
      </c>
      <c r="E140">
        <v>1</v>
      </c>
      <c r="F140" t="s">
        <v>445</v>
      </c>
      <c r="G140">
        <v>16</v>
      </c>
      <c r="H140" t="s">
        <v>287</v>
      </c>
      <c r="I140" t="s">
        <v>600</v>
      </c>
      <c r="J140" t="s">
        <v>42</v>
      </c>
      <c r="O140" t="s">
        <v>601</v>
      </c>
      <c r="P140">
        <v>5000</v>
      </c>
      <c r="Q140" s="1">
        <v>45950.474236111113</v>
      </c>
      <c r="AA140" t="s">
        <v>231</v>
      </c>
      <c r="AB140">
        <v>0</v>
      </c>
    </row>
    <row r="141" spans="1:28" x14ac:dyDescent="0.45">
      <c r="A141" t="s">
        <v>226</v>
      </c>
      <c r="B141" t="s">
        <v>39</v>
      </c>
      <c r="C141" t="s">
        <v>563</v>
      </c>
      <c r="D141">
        <v>1</v>
      </c>
      <c r="E141">
        <v>1</v>
      </c>
      <c r="F141" t="s">
        <v>449</v>
      </c>
      <c r="G141">
        <v>17</v>
      </c>
      <c r="H141" t="s">
        <v>287</v>
      </c>
      <c r="I141" t="s">
        <v>602</v>
      </c>
      <c r="J141" t="s">
        <v>43</v>
      </c>
      <c r="O141" t="s">
        <v>603</v>
      </c>
      <c r="P141">
        <v>3000</v>
      </c>
      <c r="Q141" s="1">
        <v>45950.474236111113</v>
      </c>
      <c r="AA141" t="s">
        <v>231</v>
      </c>
      <c r="AB141">
        <v>0</v>
      </c>
    </row>
    <row r="142" spans="1:28" x14ac:dyDescent="0.45">
      <c r="A142" t="s">
        <v>226</v>
      </c>
      <c r="B142" t="s">
        <v>39</v>
      </c>
      <c r="C142" t="s">
        <v>563</v>
      </c>
      <c r="D142">
        <v>1</v>
      </c>
      <c r="E142">
        <v>1</v>
      </c>
      <c r="F142" t="s">
        <v>452</v>
      </c>
      <c r="G142">
        <v>18</v>
      </c>
      <c r="H142" t="s">
        <v>287</v>
      </c>
      <c r="I142" t="s">
        <v>604</v>
      </c>
      <c r="J142" t="s">
        <v>44</v>
      </c>
      <c r="O142" t="s">
        <v>605</v>
      </c>
      <c r="P142">
        <v>5000</v>
      </c>
      <c r="Q142" s="1">
        <v>45950.474236111113</v>
      </c>
      <c r="AA142" t="s">
        <v>231</v>
      </c>
      <c r="AB142">
        <v>0</v>
      </c>
    </row>
    <row r="143" spans="1:28" x14ac:dyDescent="0.45">
      <c r="A143" t="s">
        <v>226</v>
      </c>
      <c r="B143" t="s">
        <v>39</v>
      </c>
      <c r="C143" t="s">
        <v>563</v>
      </c>
      <c r="D143">
        <v>1</v>
      </c>
      <c r="E143">
        <v>1</v>
      </c>
      <c r="F143" t="s">
        <v>455</v>
      </c>
      <c r="G143">
        <v>19</v>
      </c>
      <c r="H143" t="s">
        <v>287</v>
      </c>
      <c r="I143" t="s">
        <v>606</v>
      </c>
      <c r="J143" t="s">
        <v>45</v>
      </c>
      <c r="O143" t="s">
        <v>607</v>
      </c>
      <c r="P143">
        <v>5000</v>
      </c>
      <c r="Q143" s="1">
        <v>45950.474236111113</v>
      </c>
      <c r="AA143" t="s">
        <v>231</v>
      </c>
      <c r="AB143">
        <v>0</v>
      </c>
    </row>
    <row r="144" spans="1:28" x14ac:dyDescent="0.45">
      <c r="A144" t="s">
        <v>226</v>
      </c>
      <c r="B144" t="s">
        <v>39</v>
      </c>
      <c r="C144" t="s">
        <v>563</v>
      </c>
      <c r="D144">
        <v>1</v>
      </c>
      <c r="E144">
        <v>1</v>
      </c>
      <c r="F144" t="s">
        <v>458</v>
      </c>
      <c r="G144">
        <v>20</v>
      </c>
      <c r="H144" t="s">
        <v>287</v>
      </c>
      <c r="I144" t="s">
        <v>608</v>
      </c>
      <c r="J144">
        <v>662543</v>
      </c>
      <c r="O144" t="s">
        <v>609</v>
      </c>
      <c r="P144">
        <v>3000</v>
      </c>
      <c r="Q144" s="1">
        <v>45950.474236111113</v>
      </c>
      <c r="AA144" t="s">
        <v>231</v>
      </c>
      <c r="AB144">
        <v>0</v>
      </c>
    </row>
    <row r="145" spans="1:28" x14ac:dyDescent="0.45">
      <c r="A145" t="s">
        <v>226</v>
      </c>
      <c r="B145" t="s">
        <v>39</v>
      </c>
      <c r="C145" t="s">
        <v>563</v>
      </c>
      <c r="D145">
        <v>1</v>
      </c>
      <c r="E145">
        <v>1</v>
      </c>
      <c r="F145" t="s">
        <v>461</v>
      </c>
      <c r="G145">
        <v>21</v>
      </c>
      <c r="H145" t="s">
        <v>287</v>
      </c>
      <c r="I145" t="s">
        <v>610</v>
      </c>
      <c r="J145">
        <v>9000044587</v>
      </c>
      <c r="O145" t="s">
        <v>611</v>
      </c>
      <c r="P145">
        <v>4500</v>
      </c>
      <c r="Q145" s="1">
        <v>45950.474236111113</v>
      </c>
      <c r="AA145" t="s">
        <v>231</v>
      </c>
      <c r="AB145">
        <v>0</v>
      </c>
    </row>
    <row r="146" spans="1:28" x14ac:dyDescent="0.45">
      <c r="A146" t="s">
        <v>226</v>
      </c>
      <c r="B146" t="s">
        <v>39</v>
      </c>
      <c r="C146" t="s">
        <v>563</v>
      </c>
      <c r="D146">
        <v>1</v>
      </c>
      <c r="E146">
        <v>1</v>
      </c>
      <c r="F146" t="s">
        <v>464</v>
      </c>
      <c r="G146">
        <v>22</v>
      </c>
      <c r="H146" t="s">
        <v>287</v>
      </c>
      <c r="I146" t="s">
        <v>612</v>
      </c>
      <c r="J146">
        <v>9000057484</v>
      </c>
      <c r="O146" t="s">
        <v>613</v>
      </c>
      <c r="P146">
        <v>3000</v>
      </c>
      <c r="Q146" s="1">
        <v>45950.474236111113</v>
      </c>
      <c r="AA146" t="s">
        <v>231</v>
      </c>
      <c r="AB146">
        <v>0</v>
      </c>
    </row>
    <row r="147" spans="1:28" x14ac:dyDescent="0.45">
      <c r="A147" t="s">
        <v>226</v>
      </c>
      <c r="B147" t="s">
        <v>39</v>
      </c>
      <c r="C147" t="s">
        <v>563</v>
      </c>
      <c r="D147">
        <v>1</v>
      </c>
      <c r="E147">
        <v>1</v>
      </c>
      <c r="F147" t="s">
        <v>468</v>
      </c>
      <c r="G147">
        <v>23</v>
      </c>
      <c r="H147" t="s">
        <v>287</v>
      </c>
      <c r="I147" t="s">
        <v>614</v>
      </c>
      <c r="J147">
        <v>935543</v>
      </c>
      <c r="O147" t="s">
        <v>615</v>
      </c>
      <c r="P147">
        <v>3000</v>
      </c>
      <c r="Q147" s="1">
        <v>45950.474236111113</v>
      </c>
      <c r="AA147" t="s">
        <v>231</v>
      </c>
      <c r="AB147">
        <v>0</v>
      </c>
    </row>
    <row r="148" spans="1:28" x14ac:dyDescent="0.45">
      <c r="A148" t="s">
        <v>226</v>
      </c>
      <c r="B148" t="s">
        <v>39</v>
      </c>
      <c r="C148" t="s">
        <v>563</v>
      </c>
      <c r="D148">
        <v>1</v>
      </c>
      <c r="E148">
        <v>1</v>
      </c>
      <c r="F148" t="s">
        <v>472</v>
      </c>
      <c r="G148">
        <v>24</v>
      </c>
      <c r="H148" t="s">
        <v>287</v>
      </c>
      <c r="I148" t="s">
        <v>616</v>
      </c>
      <c r="J148">
        <v>939655</v>
      </c>
      <c r="O148" t="s">
        <v>617</v>
      </c>
      <c r="P148">
        <v>4000</v>
      </c>
      <c r="Q148" s="1">
        <v>45950.474236111113</v>
      </c>
      <c r="AA148" t="s">
        <v>231</v>
      </c>
      <c r="AB148">
        <v>0</v>
      </c>
    </row>
    <row r="149" spans="1:28" x14ac:dyDescent="0.45">
      <c r="A149" t="s">
        <v>226</v>
      </c>
      <c r="B149" t="s">
        <v>39</v>
      </c>
      <c r="C149" t="s">
        <v>563</v>
      </c>
      <c r="D149">
        <v>1</v>
      </c>
      <c r="E149">
        <v>1</v>
      </c>
      <c r="F149" t="s">
        <v>475</v>
      </c>
      <c r="G149">
        <v>25</v>
      </c>
      <c r="H149" t="s">
        <v>287</v>
      </c>
      <c r="I149" t="s">
        <v>618</v>
      </c>
      <c r="J149">
        <v>910044</v>
      </c>
      <c r="O149" t="s">
        <v>619</v>
      </c>
      <c r="P149">
        <v>10000</v>
      </c>
      <c r="Q149" s="1">
        <v>45950.474236111113</v>
      </c>
      <c r="AA149" t="s">
        <v>231</v>
      </c>
      <c r="AB149">
        <v>0</v>
      </c>
    </row>
    <row r="150" spans="1:28" x14ac:dyDescent="0.45">
      <c r="A150" t="s">
        <v>226</v>
      </c>
      <c r="B150" t="s">
        <v>39</v>
      </c>
      <c r="C150" t="s">
        <v>563</v>
      </c>
      <c r="D150">
        <v>1</v>
      </c>
      <c r="E150">
        <v>1</v>
      </c>
      <c r="F150" t="s">
        <v>478</v>
      </c>
      <c r="G150">
        <v>26</v>
      </c>
      <c r="H150" t="s">
        <v>287</v>
      </c>
      <c r="I150" t="s">
        <v>620</v>
      </c>
      <c r="J150">
        <v>9000060544</v>
      </c>
      <c r="O150" t="s">
        <v>621</v>
      </c>
      <c r="P150">
        <v>4000</v>
      </c>
      <c r="Q150" s="1">
        <v>45950.474236111113</v>
      </c>
      <c r="AA150" t="s">
        <v>231</v>
      </c>
      <c r="AB150">
        <v>0</v>
      </c>
    </row>
    <row r="151" spans="1:28" x14ac:dyDescent="0.45">
      <c r="A151" t="s">
        <v>226</v>
      </c>
      <c r="B151" t="s">
        <v>39</v>
      </c>
      <c r="C151" t="s">
        <v>563</v>
      </c>
      <c r="D151">
        <v>1</v>
      </c>
      <c r="E151">
        <v>1</v>
      </c>
      <c r="F151" t="s">
        <v>334</v>
      </c>
      <c r="G151">
        <v>1</v>
      </c>
      <c r="H151" t="s">
        <v>287</v>
      </c>
      <c r="I151" t="s">
        <v>622</v>
      </c>
      <c r="J151">
        <v>9000069697</v>
      </c>
      <c r="O151" t="s">
        <v>623</v>
      </c>
      <c r="P151">
        <v>5000</v>
      </c>
      <c r="Q151" s="1">
        <v>45950.474247685182</v>
      </c>
      <c r="AA151" t="s">
        <v>231</v>
      </c>
      <c r="AB151">
        <v>0</v>
      </c>
    </row>
    <row r="152" spans="1:28" x14ac:dyDescent="0.45">
      <c r="A152" t="s">
        <v>226</v>
      </c>
      <c r="B152" t="s">
        <v>39</v>
      </c>
      <c r="C152" t="s">
        <v>563</v>
      </c>
      <c r="D152">
        <v>1</v>
      </c>
      <c r="E152">
        <v>1</v>
      </c>
      <c r="F152" t="s">
        <v>337</v>
      </c>
      <c r="G152">
        <v>2</v>
      </c>
      <c r="H152" t="s">
        <v>287</v>
      </c>
      <c r="I152" t="s">
        <v>624</v>
      </c>
      <c r="J152">
        <v>9000063368</v>
      </c>
      <c r="O152" t="s">
        <v>625</v>
      </c>
      <c r="P152">
        <v>3000</v>
      </c>
      <c r="Q152" s="1">
        <v>45950.474247685182</v>
      </c>
      <c r="AA152" t="s">
        <v>231</v>
      </c>
      <c r="AB152">
        <v>0</v>
      </c>
    </row>
    <row r="153" spans="1:28" x14ac:dyDescent="0.45">
      <c r="A153" t="s">
        <v>226</v>
      </c>
      <c r="B153" t="s">
        <v>39</v>
      </c>
      <c r="C153" t="s">
        <v>563</v>
      </c>
      <c r="D153">
        <v>1</v>
      </c>
      <c r="E153">
        <v>1</v>
      </c>
      <c r="F153" t="s">
        <v>341</v>
      </c>
      <c r="G153">
        <v>3</v>
      </c>
      <c r="H153" t="s">
        <v>287</v>
      </c>
      <c r="I153" t="s">
        <v>626</v>
      </c>
      <c r="J153">
        <v>667921</v>
      </c>
      <c r="O153" t="s">
        <v>627</v>
      </c>
      <c r="P153">
        <v>1800</v>
      </c>
      <c r="Q153" s="1">
        <v>45950.474247685182</v>
      </c>
      <c r="AA153" t="s">
        <v>231</v>
      </c>
      <c r="AB153">
        <v>0</v>
      </c>
    </row>
    <row r="154" spans="1:28" x14ac:dyDescent="0.45">
      <c r="A154" t="s">
        <v>226</v>
      </c>
      <c r="B154" t="s">
        <v>39</v>
      </c>
      <c r="C154" t="s">
        <v>563</v>
      </c>
      <c r="D154">
        <v>1</v>
      </c>
      <c r="E154">
        <v>1</v>
      </c>
      <c r="F154" t="s">
        <v>344</v>
      </c>
      <c r="G154">
        <v>4</v>
      </c>
      <c r="H154" t="s">
        <v>287</v>
      </c>
      <c r="I154" t="s">
        <v>628</v>
      </c>
      <c r="J154">
        <v>662917</v>
      </c>
      <c r="O154" t="s">
        <v>629</v>
      </c>
      <c r="P154">
        <v>2500</v>
      </c>
      <c r="Q154" s="1">
        <v>45950.474247685182</v>
      </c>
      <c r="S154" t="s">
        <v>290</v>
      </c>
      <c r="U154" t="s">
        <v>630</v>
      </c>
      <c r="AA154" t="s">
        <v>231</v>
      </c>
      <c r="AB154">
        <v>0</v>
      </c>
    </row>
    <row r="155" spans="1:28" x14ac:dyDescent="0.45">
      <c r="A155" t="s">
        <v>226</v>
      </c>
      <c r="B155" t="s">
        <v>39</v>
      </c>
      <c r="C155" t="s">
        <v>563</v>
      </c>
      <c r="D155">
        <v>1</v>
      </c>
      <c r="E155">
        <v>1</v>
      </c>
      <c r="F155" t="s">
        <v>347</v>
      </c>
      <c r="G155">
        <v>5</v>
      </c>
      <c r="H155" t="s">
        <v>287</v>
      </c>
      <c r="I155" t="s">
        <v>631</v>
      </c>
      <c r="J155">
        <v>908029</v>
      </c>
      <c r="O155" t="s">
        <v>632</v>
      </c>
      <c r="P155">
        <v>2500</v>
      </c>
      <c r="Q155" s="1">
        <v>45950.474247685182</v>
      </c>
      <c r="AA155" t="s">
        <v>231</v>
      </c>
      <c r="AB155">
        <v>0</v>
      </c>
    </row>
    <row r="156" spans="1:28" x14ac:dyDescent="0.45">
      <c r="A156" t="s">
        <v>226</v>
      </c>
      <c r="B156" t="s">
        <v>39</v>
      </c>
      <c r="C156" t="s">
        <v>563</v>
      </c>
      <c r="D156">
        <v>1</v>
      </c>
      <c r="E156">
        <v>1</v>
      </c>
      <c r="F156" t="s">
        <v>351</v>
      </c>
      <c r="G156">
        <v>6</v>
      </c>
      <c r="H156" t="s">
        <v>287</v>
      </c>
      <c r="I156" t="s">
        <v>633</v>
      </c>
      <c r="J156">
        <v>9000058366</v>
      </c>
      <c r="O156" t="s">
        <v>634</v>
      </c>
      <c r="P156">
        <v>1500</v>
      </c>
      <c r="Q156" s="1">
        <v>45950.474247685182</v>
      </c>
      <c r="AA156" t="s">
        <v>231</v>
      </c>
      <c r="AB156">
        <v>0</v>
      </c>
    </row>
    <row r="157" spans="1:28" x14ac:dyDescent="0.45">
      <c r="A157" t="s">
        <v>226</v>
      </c>
      <c r="B157" t="s">
        <v>39</v>
      </c>
      <c r="C157" t="s">
        <v>563</v>
      </c>
      <c r="D157">
        <v>1</v>
      </c>
      <c r="E157">
        <v>1</v>
      </c>
      <c r="F157" t="s">
        <v>354</v>
      </c>
      <c r="G157">
        <v>7</v>
      </c>
      <c r="H157" t="s">
        <v>287</v>
      </c>
      <c r="I157" t="s">
        <v>635</v>
      </c>
      <c r="J157">
        <v>9000054023</v>
      </c>
      <c r="O157" t="s">
        <v>636</v>
      </c>
      <c r="P157">
        <v>3000</v>
      </c>
      <c r="Q157" s="1">
        <v>45950.474247685182</v>
      </c>
      <c r="AA157" t="s">
        <v>231</v>
      </c>
      <c r="AB157">
        <v>0</v>
      </c>
    </row>
    <row r="158" spans="1:28" x14ac:dyDescent="0.45">
      <c r="A158" t="s">
        <v>226</v>
      </c>
      <c r="B158" t="s">
        <v>39</v>
      </c>
      <c r="C158" t="s">
        <v>563</v>
      </c>
      <c r="D158">
        <v>1</v>
      </c>
      <c r="E158">
        <v>1</v>
      </c>
      <c r="F158" t="s">
        <v>357</v>
      </c>
      <c r="G158">
        <v>8</v>
      </c>
      <c r="H158" t="s">
        <v>287</v>
      </c>
      <c r="I158" t="s">
        <v>637</v>
      </c>
      <c r="J158">
        <v>9000069359</v>
      </c>
      <c r="O158" t="s">
        <v>638</v>
      </c>
      <c r="P158">
        <v>4000</v>
      </c>
      <c r="Q158" s="1">
        <v>45950.474247685182</v>
      </c>
      <c r="AA158" t="s">
        <v>231</v>
      </c>
      <c r="AB158">
        <v>0</v>
      </c>
    </row>
    <row r="159" spans="1:28" x14ac:dyDescent="0.45">
      <c r="A159" t="s">
        <v>226</v>
      </c>
      <c r="B159" t="s">
        <v>39</v>
      </c>
      <c r="C159" t="s">
        <v>563</v>
      </c>
      <c r="D159">
        <v>1</v>
      </c>
      <c r="E159">
        <v>1</v>
      </c>
      <c r="F159" t="s">
        <v>360</v>
      </c>
      <c r="G159">
        <v>9</v>
      </c>
      <c r="H159" t="s">
        <v>287</v>
      </c>
      <c r="I159" t="s">
        <v>639</v>
      </c>
      <c r="J159">
        <v>9000070021</v>
      </c>
      <c r="O159" t="s">
        <v>640</v>
      </c>
      <c r="P159">
        <v>2000</v>
      </c>
      <c r="Q159" s="1">
        <v>45950.474247685182</v>
      </c>
      <c r="AA159" t="s">
        <v>231</v>
      </c>
      <c r="AB159">
        <v>0</v>
      </c>
    </row>
    <row r="160" spans="1:28" x14ac:dyDescent="0.45">
      <c r="A160" t="s">
        <v>226</v>
      </c>
      <c r="B160" t="s">
        <v>39</v>
      </c>
      <c r="C160" t="s">
        <v>563</v>
      </c>
      <c r="D160">
        <v>1</v>
      </c>
      <c r="E160">
        <v>1</v>
      </c>
      <c r="F160" t="s">
        <v>363</v>
      </c>
      <c r="G160">
        <v>10</v>
      </c>
      <c r="H160" t="s">
        <v>287</v>
      </c>
      <c r="I160" t="s">
        <v>641</v>
      </c>
      <c r="J160">
        <v>9000063453</v>
      </c>
      <c r="O160" t="s">
        <v>642</v>
      </c>
      <c r="P160">
        <v>2500</v>
      </c>
      <c r="Q160" s="1">
        <v>45950.474247685182</v>
      </c>
      <c r="S160" t="s">
        <v>290</v>
      </c>
      <c r="U160" t="s">
        <v>643</v>
      </c>
      <c r="AA160" t="s">
        <v>231</v>
      </c>
      <c r="AB160">
        <v>0</v>
      </c>
    </row>
    <row r="161" spans="1:28" x14ac:dyDescent="0.45">
      <c r="A161" t="s">
        <v>226</v>
      </c>
      <c r="B161" t="s">
        <v>39</v>
      </c>
      <c r="C161" t="s">
        <v>563</v>
      </c>
      <c r="D161">
        <v>1</v>
      </c>
      <c r="E161">
        <v>1</v>
      </c>
      <c r="F161" t="s">
        <v>366</v>
      </c>
      <c r="G161">
        <v>11</v>
      </c>
      <c r="H161" t="s">
        <v>287</v>
      </c>
      <c r="I161" t="s">
        <v>644</v>
      </c>
      <c r="J161">
        <v>9000064628</v>
      </c>
      <c r="O161" t="s">
        <v>645</v>
      </c>
      <c r="P161">
        <v>15000</v>
      </c>
      <c r="Q161" s="1">
        <v>45950.474247685182</v>
      </c>
      <c r="R161" t="s">
        <v>646</v>
      </c>
      <c r="S161" t="s">
        <v>290</v>
      </c>
      <c r="U161" t="s">
        <v>647</v>
      </c>
      <c r="AA161" t="s">
        <v>231</v>
      </c>
      <c r="AB161">
        <v>0</v>
      </c>
    </row>
    <row r="162" spans="1:28" x14ac:dyDescent="0.45">
      <c r="A162" t="s">
        <v>226</v>
      </c>
      <c r="B162" t="s">
        <v>39</v>
      </c>
      <c r="C162" t="s">
        <v>563</v>
      </c>
      <c r="D162">
        <v>1</v>
      </c>
      <c r="E162">
        <v>1</v>
      </c>
      <c r="F162" t="s">
        <v>484</v>
      </c>
      <c r="G162">
        <v>28</v>
      </c>
      <c r="H162" t="s">
        <v>287</v>
      </c>
      <c r="I162" t="s">
        <v>648</v>
      </c>
      <c r="J162">
        <v>9000067265</v>
      </c>
      <c r="O162" t="s">
        <v>649</v>
      </c>
      <c r="P162">
        <v>4000</v>
      </c>
      <c r="Q162" s="1">
        <v>45930.45349537037</v>
      </c>
      <c r="S162" t="s">
        <v>290</v>
      </c>
      <c r="U162" t="s">
        <v>650</v>
      </c>
      <c r="AA162" t="s">
        <v>231</v>
      </c>
      <c r="AB162">
        <v>0</v>
      </c>
    </row>
    <row r="163" spans="1:28" x14ac:dyDescent="0.45">
      <c r="A163" t="s">
        <v>226</v>
      </c>
      <c r="B163" t="s">
        <v>39</v>
      </c>
      <c r="C163" t="s">
        <v>563</v>
      </c>
      <c r="D163">
        <v>1</v>
      </c>
      <c r="E163">
        <v>1</v>
      </c>
      <c r="F163" t="s">
        <v>487</v>
      </c>
      <c r="G163">
        <v>29</v>
      </c>
      <c r="H163" t="s">
        <v>287</v>
      </c>
      <c r="I163" t="s">
        <v>651</v>
      </c>
      <c r="J163">
        <v>9000035552</v>
      </c>
      <c r="O163" t="s">
        <v>652</v>
      </c>
      <c r="P163">
        <v>4000</v>
      </c>
      <c r="Q163" s="1">
        <v>45950.474236111113</v>
      </c>
      <c r="AA163" t="s">
        <v>231</v>
      </c>
      <c r="AB163">
        <v>0</v>
      </c>
    </row>
    <row r="164" spans="1:28" x14ac:dyDescent="0.45">
      <c r="A164" t="s">
        <v>226</v>
      </c>
      <c r="B164" t="s">
        <v>39</v>
      </c>
      <c r="C164" t="s">
        <v>563</v>
      </c>
      <c r="D164">
        <v>1</v>
      </c>
      <c r="E164">
        <v>1</v>
      </c>
      <c r="F164" t="s">
        <v>369</v>
      </c>
      <c r="G164">
        <v>12</v>
      </c>
      <c r="H164" t="s">
        <v>287</v>
      </c>
      <c r="I164" t="s">
        <v>653</v>
      </c>
      <c r="J164">
        <v>928444</v>
      </c>
      <c r="O164" t="s">
        <v>654</v>
      </c>
      <c r="P164">
        <v>2000</v>
      </c>
      <c r="Q164" s="1">
        <v>45950.474247685182</v>
      </c>
      <c r="AA164" t="s">
        <v>231</v>
      </c>
      <c r="AB164">
        <v>0</v>
      </c>
    </row>
    <row r="165" spans="1:28" x14ac:dyDescent="0.45">
      <c r="A165" t="s">
        <v>226</v>
      </c>
      <c r="B165" t="s">
        <v>39</v>
      </c>
      <c r="C165" t="s">
        <v>563</v>
      </c>
      <c r="D165">
        <v>1</v>
      </c>
      <c r="E165">
        <v>1</v>
      </c>
      <c r="F165" t="s">
        <v>372</v>
      </c>
      <c r="G165">
        <v>13</v>
      </c>
      <c r="H165" t="s">
        <v>287</v>
      </c>
      <c r="I165" t="s">
        <v>655</v>
      </c>
      <c r="J165" t="s">
        <v>46</v>
      </c>
      <c r="O165" t="s">
        <v>656</v>
      </c>
      <c r="P165">
        <v>4000</v>
      </c>
      <c r="Q165" s="1">
        <v>45950.474247685182</v>
      </c>
      <c r="AA165" t="s">
        <v>231</v>
      </c>
      <c r="AB165">
        <v>0</v>
      </c>
    </row>
    <row r="166" spans="1:28" x14ac:dyDescent="0.45">
      <c r="A166" t="s">
        <v>226</v>
      </c>
      <c r="B166" t="s">
        <v>39</v>
      </c>
      <c r="C166" t="s">
        <v>563</v>
      </c>
      <c r="D166">
        <v>1</v>
      </c>
      <c r="E166">
        <v>1</v>
      </c>
      <c r="F166" t="s">
        <v>375</v>
      </c>
      <c r="G166">
        <v>14</v>
      </c>
      <c r="H166" t="s">
        <v>287</v>
      </c>
      <c r="I166" t="s">
        <v>657</v>
      </c>
      <c r="J166">
        <v>9000063611</v>
      </c>
      <c r="O166" t="s">
        <v>658</v>
      </c>
      <c r="P166">
        <v>4000</v>
      </c>
      <c r="Q166" s="1">
        <v>45950.474247685182</v>
      </c>
      <c r="AA166" t="s">
        <v>231</v>
      </c>
      <c r="AB166">
        <v>0</v>
      </c>
    </row>
    <row r="167" spans="1:28" x14ac:dyDescent="0.45">
      <c r="A167" t="s">
        <v>226</v>
      </c>
      <c r="B167" t="s">
        <v>39</v>
      </c>
      <c r="C167" t="s">
        <v>563</v>
      </c>
      <c r="D167">
        <v>1</v>
      </c>
      <c r="E167">
        <v>1</v>
      </c>
      <c r="F167" t="s">
        <v>378</v>
      </c>
      <c r="G167">
        <v>15</v>
      </c>
      <c r="H167" t="s">
        <v>287</v>
      </c>
      <c r="I167" t="s">
        <v>659</v>
      </c>
      <c r="J167">
        <v>9000067212</v>
      </c>
      <c r="O167" t="s">
        <v>660</v>
      </c>
      <c r="P167">
        <v>2000</v>
      </c>
      <c r="Q167" s="1">
        <v>45950.474247685182</v>
      </c>
      <c r="AA167" t="s">
        <v>231</v>
      </c>
      <c r="AB167">
        <v>0</v>
      </c>
    </row>
    <row r="168" spans="1:28" x14ac:dyDescent="0.45">
      <c r="A168" t="s">
        <v>226</v>
      </c>
      <c r="B168" t="s">
        <v>39</v>
      </c>
      <c r="C168" t="s">
        <v>563</v>
      </c>
      <c r="D168">
        <v>1</v>
      </c>
      <c r="E168">
        <v>1</v>
      </c>
      <c r="F168" t="s">
        <v>661</v>
      </c>
      <c r="G168">
        <v>30</v>
      </c>
      <c r="H168" t="s">
        <v>287</v>
      </c>
      <c r="I168" t="s">
        <v>662</v>
      </c>
      <c r="J168" t="s">
        <v>47</v>
      </c>
      <c r="O168" t="s">
        <v>663</v>
      </c>
      <c r="P168">
        <v>5000</v>
      </c>
      <c r="Q168" s="1">
        <v>45950.474247685182</v>
      </c>
      <c r="S168" t="s">
        <v>290</v>
      </c>
      <c r="U168" t="s">
        <v>664</v>
      </c>
      <c r="AA168" t="s">
        <v>231</v>
      </c>
      <c r="AB168">
        <v>0</v>
      </c>
    </row>
    <row r="169" spans="1:28" x14ac:dyDescent="0.45">
      <c r="A169" t="s">
        <v>226</v>
      </c>
      <c r="B169" t="s">
        <v>39</v>
      </c>
      <c r="C169" t="s">
        <v>563</v>
      </c>
      <c r="D169">
        <v>1</v>
      </c>
      <c r="E169">
        <v>1</v>
      </c>
      <c r="F169" t="s">
        <v>381</v>
      </c>
      <c r="G169">
        <v>16</v>
      </c>
      <c r="H169" t="s">
        <v>287</v>
      </c>
      <c r="I169" t="s">
        <v>665</v>
      </c>
      <c r="J169">
        <v>661366</v>
      </c>
      <c r="O169" t="s">
        <v>666</v>
      </c>
      <c r="P169">
        <v>5000</v>
      </c>
      <c r="Q169" s="1">
        <v>45950.474247685182</v>
      </c>
      <c r="S169" t="s">
        <v>290</v>
      </c>
      <c r="U169" t="s">
        <v>667</v>
      </c>
      <c r="AA169" t="s">
        <v>231</v>
      </c>
      <c r="AB169">
        <v>0</v>
      </c>
    </row>
    <row r="170" spans="1:28" x14ac:dyDescent="0.45">
      <c r="A170" t="s">
        <v>226</v>
      </c>
      <c r="B170" t="s">
        <v>39</v>
      </c>
      <c r="C170" t="s">
        <v>563</v>
      </c>
      <c r="D170">
        <v>1</v>
      </c>
      <c r="E170">
        <v>1</v>
      </c>
      <c r="F170" t="s">
        <v>385</v>
      </c>
      <c r="G170">
        <v>17</v>
      </c>
      <c r="H170" t="s">
        <v>287</v>
      </c>
      <c r="I170" t="s">
        <v>668</v>
      </c>
      <c r="J170">
        <v>9000061664</v>
      </c>
      <c r="O170" t="s">
        <v>669</v>
      </c>
      <c r="P170">
        <v>1000</v>
      </c>
      <c r="Q170" s="1">
        <v>45950.474247685182</v>
      </c>
      <c r="AA170" t="s">
        <v>231</v>
      </c>
      <c r="AB170">
        <v>0</v>
      </c>
    </row>
    <row r="171" spans="1:28" x14ac:dyDescent="0.45">
      <c r="A171" t="s">
        <v>226</v>
      </c>
      <c r="B171" t="s">
        <v>39</v>
      </c>
      <c r="C171" t="s">
        <v>563</v>
      </c>
      <c r="D171">
        <v>1</v>
      </c>
      <c r="E171">
        <v>1</v>
      </c>
      <c r="F171" t="s">
        <v>388</v>
      </c>
      <c r="G171">
        <v>18</v>
      </c>
      <c r="H171" t="s">
        <v>287</v>
      </c>
      <c r="I171" t="s">
        <v>670</v>
      </c>
      <c r="J171" t="s">
        <v>671</v>
      </c>
      <c r="O171" t="s">
        <v>672</v>
      </c>
      <c r="P171">
        <v>5501</v>
      </c>
      <c r="Q171" s="1">
        <v>45950.474247685182</v>
      </c>
      <c r="AA171" t="s">
        <v>231</v>
      </c>
      <c r="AB171">
        <v>0</v>
      </c>
    </row>
    <row r="172" spans="1:28" x14ac:dyDescent="0.45">
      <c r="A172" t="s">
        <v>226</v>
      </c>
      <c r="B172" t="s">
        <v>39</v>
      </c>
      <c r="C172" t="s">
        <v>563</v>
      </c>
      <c r="D172">
        <v>1</v>
      </c>
      <c r="E172">
        <v>1</v>
      </c>
      <c r="F172" t="s">
        <v>391</v>
      </c>
      <c r="G172">
        <v>19</v>
      </c>
      <c r="H172" t="s">
        <v>287</v>
      </c>
      <c r="I172" t="s">
        <v>673</v>
      </c>
      <c r="J172">
        <v>678794</v>
      </c>
      <c r="O172" t="s">
        <v>674</v>
      </c>
      <c r="P172">
        <v>4000</v>
      </c>
      <c r="Q172" s="1">
        <v>45950.474247685182</v>
      </c>
      <c r="AA172" t="s">
        <v>231</v>
      </c>
      <c r="AB172">
        <v>0</v>
      </c>
    </row>
    <row r="173" spans="1:28" x14ac:dyDescent="0.45">
      <c r="A173" t="s">
        <v>226</v>
      </c>
      <c r="B173" t="s">
        <v>39</v>
      </c>
      <c r="C173" t="s">
        <v>563</v>
      </c>
      <c r="D173">
        <v>1</v>
      </c>
      <c r="E173">
        <v>1</v>
      </c>
      <c r="F173" t="s">
        <v>396</v>
      </c>
      <c r="G173">
        <v>20</v>
      </c>
      <c r="H173" t="s">
        <v>287</v>
      </c>
      <c r="I173" t="s">
        <v>675</v>
      </c>
      <c r="J173">
        <v>9000044952</v>
      </c>
      <c r="O173" t="s">
        <v>676</v>
      </c>
      <c r="P173">
        <v>3000</v>
      </c>
      <c r="Q173" s="1">
        <v>45950.474247685182</v>
      </c>
      <c r="S173" t="s">
        <v>290</v>
      </c>
      <c r="U173" t="s">
        <v>677</v>
      </c>
      <c r="AA173" t="s">
        <v>231</v>
      </c>
      <c r="AB173">
        <v>0</v>
      </c>
    </row>
    <row r="174" spans="1:28" x14ac:dyDescent="0.45">
      <c r="A174" t="s">
        <v>226</v>
      </c>
      <c r="B174" t="s">
        <v>39</v>
      </c>
      <c r="C174" t="s">
        <v>563</v>
      </c>
      <c r="D174">
        <v>1</v>
      </c>
      <c r="E174">
        <v>1</v>
      </c>
      <c r="F174" t="s">
        <v>399</v>
      </c>
      <c r="G174">
        <v>21</v>
      </c>
      <c r="H174" t="s">
        <v>287</v>
      </c>
      <c r="I174" t="s">
        <v>678</v>
      </c>
      <c r="J174">
        <v>9000067788</v>
      </c>
      <c r="O174" t="s">
        <v>679</v>
      </c>
      <c r="P174">
        <v>15000</v>
      </c>
      <c r="Q174" s="1">
        <v>45950.474247685182</v>
      </c>
      <c r="AA174" t="s">
        <v>231</v>
      </c>
      <c r="AB174">
        <v>0</v>
      </c>
    </row>
    <row r="175" spans="1:28" x14ac:dyDescent="0.45">
      <c r="A175" t="s">
        <v>226</v>
      </c>
      <c r="B175" t="s">
        <v>39</v>
      </c>
      <c r="C175" t="s">
        <v>563</v>
      </c>
      <c r="D175">
        <v>1</v>
      </c>
      <c r="E175">
        <v>1</v>
      </c>
      <c r="F175" t="s">
        <v>402</v>
      </c>
      <c r="G175">
        <v>22</v>
      </c>
      <c r="H175" t="s">
        <v>287</v>
      </c>
      <c r="I175" t="s">
        <v>680</v>
      </c>
      <c r="J175" t="s">
        <v>48</v>
      </c>
      <c r="O175" t="s">
        <v>681</v>
      </c>
      <c r="P175">
        <v>5000</v>
      </c>
      <c r="Q175" s="1">
        <v>45950.474259259259</v>
      </c>
      <c r="S175" t="s">
        <v>290</v>
      </c>
      <c r="U175" t="s">
        <v>682</v>
      </c>
      <c r="AA175" t="s">
        <v>231</v>
      </c>
      <c r="AB175">
        <v>0</v>
      </c>
    </row>
    <row r="176" spans="1:28" x14ac:dyDescent="0.45">
      <c r="A176" t="s">
        <v>226</v>
      </c>
      <c r="B176" t="s">
        <v>39</v>
      </c>
      <c r="C176" t="s">
        <v>563</v>
      </c>
      <c r="D176">
        <v>1</v>
      </c>
      <c r="E176">
        <v>1</v>
      </c>
      <c r="F176" t="s">
        <v>406</v>
      </c>
      <c r="G176">
        <v>23</v>
      </c>
      <c r="H176" t="s">
        <v>287</v>
      </c>
      <c r="I176" t="s">
        <v>683</v>
      </c>
      <c r="J176">
        <v>9000066606</v>
      </c>
      <c r="O176" t="s">
        <v>684</v>
      </c>
      <c r="P176">
        <v>1000</v>
      </c>
      <c r="Q176" s="1">
        <v>45950.474259259259</v>
      </c>
      <c r="S176" t="s">
        <v>290</v>
      </c>
      <c r="U176" t="s">
        <v>685</v>
      </c>
      <c r="AA176" t="s">
        <v>231</v>
      </c>
      <c r="AB176">
        <v>0</v>
      </c>
    </row>
    <row r="177" spans="1:28" x14ac:dyDescent="0.45">
      <c r="A177" t="s">
        <v>226</v>
      </c>
      <c r="B177" t="s">
        <v>39</v>
      </c>
      <c r="C177" t="s">
        <v>563</v>
      </c>
      <c r="D177">
        <v>1</v>
      </c>
      <c r="E177">
        <v>1</v>
      </c>
      <c r="F177" t="s">
        <v>541</v>
      </c>
      <c r="G177">
        <v>24</v>
      </c>
      <c r="H177" t="s">
        <v>287</v>
      </c>
      <c r="I177" t="s">
        <v>686</v>
      </c>
      <c r="J177">
        <v>669091</v>
      </c>
      <c r="O177" t="s">
        <v>687</v>
      </c>
      <c r="P177">
        <v>3000</v>
      </c>
      <c r="Q177" s="1">
        <v>45950.474259259259</v>
      </c>
      <c r="AA177" t="s">
        <v>231</v>
      </c>
      <c r="AB177">
        <v>0</v>
      </c>
    </row>
    <row r="178" spans="1:28" x14ac:dyDescent="0.45">
      <c r="A178" t="s">
        <v>226</v>
      </c>
      <c r="B178" t="s">
        <v>39</v>
      </c>
      <c r="C178" t="s">
        <v>563</v>
      </c>
      <c r="D178">
        <v>1</v>
      </c>
      <c r="E178">
        <v>1</v>
      </c>
      <c r="F178" t="s">
        <v>545</v>
      </c>
      <c r="G178">
        <v>25</v>
      </c>
      <c r="H178" t="s">
        <v>287</v>
      </c>
      <c r="I178" t="s">
        <v>124</v>
      </c>
      <c r="J178">
        <v>9000070001</v>
      </c>
      <c r="O178" t="s">
        <v>688</v>
      </c>
      <c r="P178">
        <v>3000</v>
      </c>
      <c r="Q178" s="1">
        <v>45950.474259259259</v>
      </c>
      <c r="S178" t="s">
        <v>290</v>
      </c>
      <c r="U178" t="s">
        <v>689</v>
      </c>
      <c r="AA178" t="s">
        <v>231</v>
      </c>
      <c r="AB178">
        <v>0</v>
      </c>
    </row>
    <row r="179" spans="1:28" x14ac:dyDescent="0.45">
      <c r="A179" t="s">
        <v>226</v>
      </c>
      <c r="B179" t="s">
        <v>39</v>
      </c>
      <c r="C179" t="s">
        <v>563</v>
      </c>
      <c r="D179">
        <v>1</v>
      </c>
      <c r="E179">
        <v>1</v>
      </c>
      <c r="F179" t="s">
        <v>548</v>
      </c>
      <c r="G179">
        <v>26</v>
      </c>
      <c r="H179" t="s">
        <v>287</v>
      </c>
      <c r="I179" t="s">
        <v>690</v>
      </c>
      <c r="J179">
        <v>534806</v>
      </c>
      <c r="O179" t="s">
        <v>691</v>
      </c>
      <c r="P179">
        <v>3000</v>
      </c>
      <c r="Q179" s="1">
        <v>45950.474259259259</v>
      </c>
      <c r="AA179" t="s">
        <v>231</v>
      </c>
      <c r="AB179">
        <v>0</v>
      </c>
    </row>
    <row r="180" spans="1:28" x14ac:dyDescent="0.45">
      <c r="A180" t="s">
        <v>226</v>
      </c>
      <c r="B180" t="s">
        <v>39</v>
      </c>
      <c r="C180" t="s">
        <v>563</v>
      </c>
      <c r="D180">
        <v>1</v>
      </c>
      <c r="E180">
        <v>1</v>
      </c>
      <c r="F180" t="s">
        <v>552</v>
      </c>
      <c r="G180">
        <v>27</v>
      </c>
      <c r="H180" t="s">
        <v>287</v>
      </c>
      <c r="I180" t="s">
        <v>692</v>
      </c>
      <c r="J180">
        <v>9000069260</v>
      </c>
      <c r="O180" t="s">
        <v>693</v>
      </c>
      <c r="P180">
        <v>15000</v>
      </c>
      <c r="Q180" s="1">
        <v>45936.767199074071</v>
      </c>
      <c r="AA180" t="s">
        <v>231</v>
      </c>
      <c r="AB180">
        <v>0</v>
      </c>
    </row>
    <row r="181" spans="1:28" x14ac:dyDescent="0.45">
      <c r="A181" t="s">
        <v>226</v>
      </c>
      <c r="B181" t="s">
        <v>39</v>
      </c>
      <c r="C181" t="s">
        <v>563</v>
      </c>
      <c r="D181">
        <v>1</v>
      </c>
      <c r="E181">
        <v>1</v>
      </c>
      <c r="F181" t="s">
        <v>555</v>
      </c>
      <c r="G181">
        <v>28</v>
      </c>
      <c r="H181" t="s">
        <v>287</v>
      </c>
      <c r="I181" t="s">
        <v>694</v>
      </c>
      <c r="J181">
        <v>923502</v>
      </c>
      <c r="O181" t="s">
        <v>695</v>
      </c>
      <c r="P181">
        <v>1000</v>
      </c>
      <c r="Q181" s="1">
        <v>45950.474259259259</v>
      </c>
      <c r="AA181" t="s">
        <v>231</v>
      </c>
      <c r="AB181">
        <v>0</v>
      </c>
    </row>
    <row r="182" spans="1:28" x14ac:dyDescent="0.45">
      <c r="A182" t="s">
        <v>226</v>
      </c>
      <c r="B182" t="s">
        <v>39</v>
      </c>
      <c r="C182" t="s">
        <v>563</v>
      </c>
      <c r="D182">
        <v>1</v>
      </c>
      <c r="E182">
        <v>1</v>
      </c>
      <c r="F182" t="s">
        <v>558</v>
      </c>
      <c r="G182">
        <v>29</v>
      </c>
      <c r="H182" t="s">
        <v>287</v>
      </c>
      <c r="I182" t="s">
        <v>696</v>
      </c>
      <c r="J182">
        <v>721257</v>
      </c>
      <c r="O182" t="s">
        <v>697</v>
      </c>
      <c r="P182">
        <v>15000</v>
      </c>
      <c r="Q182" s="1">
        <v>45950.474259259259</v>
      </c>
      <c r="AA182" t="s">
        <v>231</v>
      </c>
      <c r="AB182">
        <v>0</v>
      </c>
    </row>
    <row r="183" spans="1:28" x14ac:dyDescent="0.45">
      <c r="A183" t="s">
        <v>226</v>
      </c>
      <c r="B183" t="s">
        <v>39</v>
      </c>
      <c r="C183" t="s">
        <v>563</v>
      </c>
      <c r="D183">
        <v>1</v>
      </c>
      <c r="E183">
        <v>1</v>
      </c>
      <c r="F183" t="s">
        <v>408</v>
      </c>
      <c r="G183">
        <v>30</v>
      </c>
      <c r="H183" t="s">
        <v>287</v>
      </c>
      <c r="I183" t="s">
        <v>698</v>
      </c>
      <c r="J183">
        <v>9000047102</v>
      </c>
      <c r="O183" t="s">
        <v>699</v>
      </c>
      <c r="P183">
        <v>4000</v>
      </c>
      <c r="Q183" s="1">
        <v>45930.453587962962</v>
      </c>
      <c r="AA183" t="s">
        <v>231</v>
      </c>
      <c r="AB183">
        <v>0</v>
      </c>
    </row>
    <row r="184" spans="1:28" x14ac:dyDescent="0.45">
      <c r="A184" t="s">
        <v>226</v>
      </c>
      <c r="B184" t="s">
        <v>49</v>
      </c>
      <c r="C184" t="s">
        <v>700</v>
      </c>
      <c r="D184">
        <v>1</v>
      </c>
      <c r="E184">
        <v>1</v>
      </c>
      <c r="F184" t="s">
        <v>452</v>
      </c>
      <c r="G184">
        <v>18</v>
      </c>
      <c r="H184" t="s">
        <v>287</v>
      </c>
      <c r="I184" t="s">
        <v>701</v>
      </c>
      <c r="J184">
        <v>632718</v>
      </c>
      <c r="O184" t="s">
        <v>702</v>
      </c>
      <c r="P184">
        <v>10000</v>
      </c>
      <c r="Q184" s="1">
        <v>45950.475775462961</v>
      </c>
      <c r="AA184" t="s">
        <v>231</v>
      </c>
      <c r="AB184">
        <v>0</v>
      </c>
    </row>
    <row r="185" spans="1:28" x14ac:dyDescent="0.45">
      <c r="A185" t="s">
        <v>226</v>
      </c>
      <c r="B185" t="s">
        <v>49</v>
      </c>
      <c r="C185" t="s">
        <v>700</v>
      </c>
      <c r="D185">
        <v>1</v>
      </c>
      <c r="E185">
        <v>1</v>
      </c>
      <c r="F185" t="s">
        <v>455</v>
      </c>
      <c r="G185">
        <v>19</v>
      </c>
      <c r="H185" t="s">
        <v>287</v>
      </c>
      <c r="I185" t="s">
        <v>703</v>
      </c>
      <c r="J185">
        <v>9000069256</v>
      </c>
      <c r="O185" t="s">
        <v>704</v>
      </c>
      <c r="P185">
        <v>10000</v>
      </c>
      <c r="Q185" s="1">
        <v>45950.475775462961</v>
      </c>
      <c r="S185" t="s">
        <v>290</v>
      </c>
      <c r="U185" t="s">
        <v>705</v>
      </c>
      <c r="AA185" t="s">
        <v>231</v>
      </c>
      <c r="AB185">
        <v>0</v>
      </c>
    </row>
    <row r="186" spans="1:28" x14ac:dyDescent="0.45">
      <c r="A186" t="s">
        <v>226</v>
      </c>
      <c r="B186" t="s">
        <v>49</v>
      </c>
      <c r="C186" t="s">
        <v>700</v>
      </c>
      <c r="D186">
        <v>1</v>
      </c>
      <c r="E186">
        <v>1</v>
      </c>
      <c r="F186" t="s">
        <v>458</v>
      </c>
      <c r="G186">
        <v>20</v>
      </c>
      <c r="H186" t="s">
        <v>287</v>
      </c>
      <c r="I186" t="s">
        <v>706</v>
      </c>
      <c r="J186" t="s">
        <v>50</v>
      </c>
      <c r="O186" t="s">
        <v>707</v>
      </c>
      <c r="P186">
        <v>5000</v>
      </c>
      <c r="Q186" s="1">
        <v>45950.475775462961</v>
      </c>
      <c r="AA186" t="s">
        <v>231</v>
      </c>
      <c r="AB186">
        <v>0</v>
      </c>
    </row>
    <row r="187" spans="1:28" x14ac:dyDescent="0.45">
      <c r="A187" t="s">
        <v>226</v>
      </c>
      <c r="B187" t="s">
        <v>49</v>
      </c>
      <c r="C187" t="s">
        <v>700</v>
      </c>
      <c r="D187">
        <v>1</v>
      </c>
      <c r="E187">
        <v>1</v>
      </c>
      <c r="F187" t="s">
        <v>461</v>
      </c>
      <c r="G187">
        <v>21</v>
      </c>
      <c r="H187" t="s">
        <v>287</v>
      </c>
      <c r="I187" t="s">
        <v>708</v>
      </c>
      <c r="J187" t="s">
        <v>51</v>
      </c>
      <c r="O187" t="s">
        <v>709</v>
      </c>
      <c r="P187">
        <v>5000</v>
      </c>
      <c r="Q187" s="1">
        <v>45950.475775462961</v>
      </c>
      <c r="AA187" t="s">
        <v>231</v>
      </c>
      <c r="AB187">
        <v>0</v>
      </c>
    </row>
    <row r="188" spans="1:28" x14ac:dyDescent="0.45">
      <c r="A188" t="s">
        <v>226</v>
      </c>
      <c r="B188" t="s">
        <v>49</v>
      </c>
      <c r="C188" t="s">
        <v>700</v>
      </c>
      <c r="D188">
        <v>1</v>
      </c>
      <c r="E188">
        <v>1</v>
      </c>
      <c r="F188" t="s">
        <v>464</v>
      </c>
      <c r="G188">
        <v>22</v>
      </c>
      <c r="H188" t="s">
        <v>287</v>
      </c>
      <c r="I188" t="s">
        <v>710</v>
      </c>
      <c r="J188">
        <v>9000058099</v>
      </c>
      <c r="O188" t="s">
        <v>711</v>
      </c>
      <c r="P188">
        <v>3000</v>
      </c>
      <c r="Q188" s="1">
        <v>45950.475787037038</v>
      </c>
      <c r="AA188" t="s">
        <v>231</v>
      </c>
      <c r="AB188">
        <v>0</v>
      </c>
    </row>
    <row r="189" spans="1:28" x14ac:dyDescent="0.45">
      <c r="A189" t="s">
        <v>226</v>
      </c>
      <c r="B189" t="s">
        <v>49</v>
      </c>
      <c r="C189" t="s">
        <v>700</v>
      </c>
      <c r="D189">
        <v>1</v>
      </c>
      <c r="E189">
        <v>1</v>
      </c>
      <c r="F189" t="s">
        <v>468</v>
      </c>
      <c r="G189">
        <v>23</v>
      </c>
      <c r="H189" t="s">
        <v>287</v>
      </c>
      <c r="I189" t="s">
        <v>712</v>
      </c>
      <c r="J189" t="s">
        <v>54</v>
      </c>
      <c r="O189" t="s">
        <v>713</v>
      </c>
      <c r="P189">
        <v>5000</v>
      </c>
      <c r="Q189" s="1">
        <v>45950.475787037038</v>
      </c>
      <c r="AA189" t="s">
        <v>231</v>
      </c>
      <c r="AB189">
        <v>0</v>
      </c>
    </row>
    <row r="190" spans="1:28" x14ac:dyDescent="0.45">
      <c r="A190" t="s">
        <v>226</v>
      </c>
      <c r="B190" t="s">
        <v>49</v>
      </c>
      <c r="C190" t="s">
        <v>700</v>
      </c>
      <c r="D190">
        <v>1</v>
      </c>
      <c r="E190">
        <v>1</v>
      </c>
      <c r="F190" t="s">
        <v>472</v>
      </c>
      <c r="G190">
        <v>24</v>
      </c>
      <c r="H190" t="s">
        <v>287</v>
      </c>
      <c r="I190" t="s">
        <v>714</v>
      </c>
      <c r="J190" t="s">
        <v>55</v>
      </c>
      <c r="O190" t="s">
        <v>715</v>
      </c>
      <c r="P190">
        <v>5000</v>
      </c>
      <c r="Q190" s="1">
        <v>45950.475787037038</v>
      </c>
      <c r="AA190" t="s">
        <v>231</v>
      </c>
      <c r="AB190">
        <v>0</v>
      </c>
    </row>
    <row r="191" spans="1:28" x14ac:dyDescent="0.45">
      <c r="A191" t="s">
        <v>226</v>
      </c>
      <c r="B191" t="s">
        <v>49</v>
      </c>
      <c r="C191" t="s">
        <v>700</v>
      </c>
      <c r="D191">
        <v>1</v>
      </c>
      <c r="E191">
        <v>1</v>
      </c>
      <c r="F191" t="s">
        <v>475</v>
      </c>
      <c r="G191">
        <v>25</v>
      </c>
      <c r="H191" t="s">
        <v>287</v>
      </c>
      <c r="I191" t="s">
        <v>716</v>
      </c>
      <c r="J191" t="s">
        <v>56</v>
      </c>
      <c r="O191" t="s">
        <v>717</v>
      </c>
      <c r="P191">
        <v>5000</v>
      </c>
      <c r="Q191" s="1">
        <v>45950.475787037038</v>
      </c>
      <c r="AA191" t="s">
        <v>231</v>
      </c>
      <c r="AB191">
        <v>0</v>
      </c>
    </row>
    <row r="192" spans="1:28" x14ac:dyDescent="0.45">
      <c r="A192" t="s">
        <v>226</v>
      </c>
      <c r="B192" t="s">
        <v>49</v>
      </c>
      <c r="C192" t="s">
        <v>700</v>
      </c>
      <c r="D192">
        <v>1</v>
      </c>
      <c r="E192">
        <v>1</v>
      </c>
      <c r="F192" t="s">
        <v>478</v>
      </c>
      <c r="G192">
        <v>26</v>
      </c>
      <c r="H192" t="s">
        <v>287</v>
      </c>
      <c r="I192" t="s">
        <v>718</v>
      </c>
      <c r="J192">
        <v>9000069758</v>
      </c>
      <c r="O192" t="s">
        <v>719</v>
      </c>
      <c r="P192">
        <v>3000</v>
      </c>
      <c r="Q192" s="1">
        <v>45950.475787037038</v>
      </c>
      <c r="S192" t="s">
        <v>290</v>
      </c>
      <c r="U192" t="s">
        <v>720</v>
      </c>
      <c r="AA192" t="s">
        <v>231</v>
      </c>
      <c r="AB192">
        <v>0</v>
      </c>
    </row>
    <row r="193" spans="1:28" x14ac:dyDescent="0.45">
      <c r="A193" t="s">
        <v>226</v>
      </c>
      <c r="B193" t="s">
        <v>49</v>
      </c>
      <c r="C193" t="s">
        <v>700</v>
      </c>
      <c r="D193">
        <v>1</v>
      </c>
      <c r="E193">
        <v>1</v>
      </c>
      <c r="F193" t="s">
        <v>481</v>
      </c>
      <c r="G193">
        <v>27</v>
      </c>
      <c r="H193" t="s">
        <v>287</v>
      </c>
      <c r="I193" t="s">
        <v>721</v>
      </c>
      <c r="J193">
        <v>9000051053</v>
      </c>
      <c r="O193" t="s">
        <v>722</v>
      </c>
      <c r="P193">
        <v>10000</v>
      </c>
      <c r="Q193" s="1">
        <v>45950.475787037038</v>
      </c>
      <c r="AA193" t="s">
        <v>231</v>
      </c>
      <c r="AB193">
        <v>0</v>
      </c>
    </row>
    <row r="194" spans="1:28" x14ac:dyDescent="0.45">
      <c r="A194" t="s">
        <v>226</v>
      </c>
      <c r="B194" t="s">
        <v>49</v>
      </c>
      <c r="C194" t="s">
        <v>700</v>
      </c>
      <c r="D194">
        <v>1</v>
      </c>
      <c r="E194">
        <v>1</v>
      </c>
      <c r="F194" t="s">
        <v>484</v>
      </c>
      <c r="G194">
        <v>28</v>
      </c>
      <c r="H194" t="s">
        <v>287</v>
      </c>
      <c r="I194" t="s">
        <v>723</v>
      </c>
      <c r="J194">
        <v>691529</v>
      </c>
      <c r="O194" t="s">
        <v>724</v>
      </c>
      <c r="P194">
        <v>10000</v>
      </c>
      <c r="Q194" s="1">
        <v>45950.475787037038</v>
      </c>
      <c r="AA194" t="s">
        <v>231</v>
      </c>
      <c r="AB194">
        <v>0</v>
      </c>
    </row>
    <row r="195" spans="1:28" x14ac:dyDescent="0.45">
      <c r="A195" t="s">
        <v>226</v>
      </c>
      <c r="B195" t="s">
        <v>49</v>
      </c>
      <c r="C195" t="s">
        <v>700</v>
      </c>
      <c r="D195">
        <v>1</v>
      </c>
      <c r="E195">
        <v>1</v>
      </c>
      <c r="F195" t="s">
        <v>487</v>
      </c>
      <c r="G195">
        <v>29</v>
      </c>
      <c r="H195" t="s">
        <v>287</v>
      </c>
      <c r="I195" t="s">
        <v>725</v>
      </c>
      <c r="J195">
        <v>9000066815</v>
      </c>
      <c r="O195" t="s">
        <v>726</v>
      </c>
      <c r="P195">
        <v>4000</v>
      </c>
      <c r="Q195" s="1">
        <v>45950.475787037038</v>
      </c>
      <c r="R195" t="s">
        <v>394</v>
      </c>
      <c r="AA195" t="s">
        <v>231</v>
      </c>
      <c r="AB195">
        <v>0</v>
      </c>
    </row>
    <row r="196" spans="1:28" x14ac:dyDescent="0.45">
      <c r="A196" t="s">
        <v>226</v>
      </c>
      <c r="B196" t="s">
        <v>49</v>
      </c>
      <c r="C196" t="s">
        <v>700</v>
      </c>
      <c r="D196">
        <v>1</v>
      </c>
      <c r="E196">
        <v>1</v>
      </c>
      <c r="F196" t="s">
        <v>286</v>
      </c>
      <c r="G196">
        <v>1</v>
      </c>
      <c r="H196" t="s">
        <v>287</v>
      </c>
      <c r="I196" t="s">
        <v>727</v>
      </c>
      <c r="J196">
        <v>9000070267</v>
      </c>
      <c r="O196" t="s">
        <v>728</v>
      </c>
      <c r="P196">
        <v>1600</v>
      </c>
      <c r="Q196" s="1">
        <v>45950.475775462961</v>
      </c>
      <c r="AA196" t="s">
        <v>231</v>
      </c>
      <c r="AB196">
        <v>0</v>
      </c>
    </row>
    <row r="197" spans="1:28" x14ac:dyDescent="0.45">
      <c r="A197" t="s">
        <v>226</v>
      </c>
      <c r="B197" t="s">
        <v>49</v>
      </c>
      <c r="C197" t="s">
        <v>700</v>
      </c>
      <c r="D197">
        <v>1</v>
      </c>
      <c r="E197">
        <v>1</v>
      </c>
      <c r="F197" t="s">
        <v>292</v>
      </c>
      <c r="G197">
        <v>2</v>
      </c>
      <c r="H197" t="s">
        <v>287</v>
      </c>
      <c r="I197" t="s">
        <v>729</v>
      </c>
      <c r="J197">
        <v>9000066666</v>
      </c>
      <c r="O197" t="s">
        <v>730</v>
      </c>
      <c r="P197">
        <v>3000</v>
      </c>
      <c r="Q197" s="1">
        <v>45930.448784722219</v>
      </c>
      <c r="S197" t="s">
        <v>290</v>
      </c>
      <c r="U197" t="s">
        <v>731</v>
      </c>
      <c r="AA197" t="s">
        <v>231</v>
      </c>
      <c r="AB197">
        <v>0</v>
      </c>
    </row>
    <row r="198" spans="1:28" x14ac:dyDescent="0.45">
      <c r="A198" t="s">
        <v>226</v>
      </c>
      <c r="B198" t="s">
        <v>49</v>
      </c>
      <c r="C198" t="s">
        <v>700</v>
      </c>
      <c r="D198">
        <v>1</v>
      </c>
      <c r="E198">
        <v>1</v>
      </c>
      <c r="F198" t="s">
        <v>295</v>
      </c>
      <c r="G198">
        <v>3</v>
      </c>
      <c r="H198" t="s">
        <v>287</v>
      </c>
      <c r="I198" t="s">
        <v>732</v>
      </c>
      <c r="J198">
        <v>9000058028</v>
      </c>
      <c r="O198" t="s">
        <v>733</v>
      </c>
      <c r="P198">
        <v>2000</v>
      </c>
      <c r="Q198" s="1">
        <v>45930.448784722219</v>
      </c>
      <c r="AA198" t="s">
        <v>231</v>
      </c>
      <c r="AB198">
        <v>0</v>
      </c>
    </row>
    <row r="199" spans="1:28" x14ac:dyDescent="0.45">
      <c r="A199" t="s">
        <v>226</v>
      </c>
      <c r="B199" t="s">
        <v>49</v>
      </c>
      <c r="C199" t="s">
        <v>700</v>
      </c>
      <c r="D199">
        <v>1</v>
      </c>
      <c r="E199">
        <v>1</v>
      </c>
      <c r="F199" t="s">
        <v>298</v>
      </c>
      <c r="G199">
        <v>4</v>
      </c>
      <c r="H199" t="s">
        <v>287</v>
      </c>
      <c r="I199" t="s">
        <v>734</v>
      </c>
      <c r="J199">
        <v>9000054139</v>
      </c>
      <c r="O199" t="s">
        <v>735</v>
      </c>
      <c r="P199">
        <v>3500</v>
      </c>
      <c r="Q199" s="1">
        <v>45930.448784722219</v>
      </c>
      <c r="AA199" t="s">
        <v>231</v>
      </c>
      <c r="AB199">
        <v>0</v>
      </c>
    </row>
    <row r="200" spans="1:28" x14ac:dyDescent="0.45">
      <c r="A200" t="s">
        <v>226</v>
      </c>
      <c r="B200" t="s">
        <v>49</v>
      </c>
      <c r="C200" t="s">
        <v>700</v>
      </c>
      <c r="D200">
        <v>1</v>
      </c>
      <c r="E200">
        <v>1</v>
      </c>
      <c r="F200" t="s">
        <v>301</v>
      </c>
      <c r="G200">
        <v>5</v>
      </c>
      <c r="H200" t="s">
        <v>287</v>
      </c>
      <c r="I200" t="s">
        <v>736</v>
      </c>
      <c r="J200">
        <v>9000045924</v>
      </c>
      <c r="O200" t="s">
        <v>737</v>
      </c>
      <c r="P200">
        <v>2000</v>
      </c>
      <c r="Q200" s="1">
        <v>45950.475775462961</v>
      </c>
      <c r="AA200" t="s">
        <v>231</v>
      </c>
      <c r="AB200">
        <v>0</v>
      </c>
    </row>
    <row r="201" spans="1:28" x14ac:dyDescent="0.45">
      <c r="A201" t="s">
        <v>226</v>
      </c>
      <c r="B201" t="s">
        <v>49</v>
      </c>
      <c r="C201" t="s">
        <v>700</v>
      </c>
      <c r="D201">
        <v>1</v>
      </c>
      <c r="E201">
        <v>1</v>
      </c>
      <c r="F201" t="s">
        <v>304</v>
      </c>
      <c r="G201">
        <v>6</v>
      </c>
      <c r="H201" t="s">
        <v>287</v>
      </c>
      <c r="I201" t="s">
        <v>738</v>
      </c>
      <c r="J201">
        <v>9000045399</v>
      </c>
      <c r="O201" t="s">
        <v>739</v>
      </c>
      <c r="P201">
        <v>3000</v>
      </c>
      <c r="Q201" s="1">
        <v>45950.475775462961</v>
      </c>
      <c r="AA201" t="s">
        <v>231</v>
      </c>
      <c r="AB201">
        <v>0</v>
      </c>
    </row>
    <row r="202" spans="1:28" x14ac:dyDescent="0.45">
      <c r="A202" t="s">
        <v>226</v>
      </c>
      <c r="B202" t="s">
        <v>49</v>
      </c>
      <c r="C202" t="s">
        <v>700</v>
      </c>
      <c r="D202">
        <v>1</v>
      </c>
      <c r="E202">
        <v>1</v>
      </c>
      <c r="F202" t="s">
        <v>307</v>
      </c>
      <c r="G202">
        <v>7</v>
      </c>
      <c r="H202" t="s">
        <v>287</v>
      </c>
      <c r="I202" t="s">
        <v>740</v>
      </c>
      <c r="J202">
        <v>9000041875</v>
      </c>
      <c r="O202" t="s">
        <v>741</v>
      </c>
      <c r="P202">
        <v>2500</v>
      </c>
      <c r="Q202" s="1">
        <v>45930.448796296296</v>
      </c>
      <c r="AA202" t="s">
        <v>231</v>
      </c>
      <c r="AB202">
        <v>0</v>
      </c>
    </row>
    <row r="203" spans="1:28" x14ac:dyDescent="0.45">
      <c r="A203" t="s">
        <v>226</v>
      </c>
      <c r="B203" t="s">
        <v>49</v>
      </c>
      <c r="C203" t="s">
        <v>700</v>
      </c>
      <c r="D203">
        <v>1</v>
      </c>
      <c r="E203">
        <v>1</v>
      </c>
      <c r="F203" t="s">
        <v>310</v>
      </c>
      <c r="G203">
        <v>8</v>
      </c>
      <c r="H203" t="s">
        <v>287</v>
      </c>
      <c r="I203" t="s">
        <v>742</v>
      </c>
      <c r="J203">
        <v>9000037024</v>
      </c>
      <c r="O203" t="s">
        <v>743</v>
      </c>
      <c r="P203">
        <v>2500</v>
      </c>
      <c r="Q203" s="1">
        <v>45930.448796296296</v>
      </c>
      <c r="AA203" t="s">
        <v>231</v>
      </c>
      <c r="AB203">
        <v>0</v>
      </c>
    </row>
    <row r="204" spans="1:28" x14ac:dyDescent="0.45">
      <c r="A204" t="s">
        <v>226</v>
      </c>
      <c r="B204" t="s">
        <v>49</v>
      </c>
      <c r="C204" t="s">
        <v>700</v>
      </c>
      <c r="D204">
        <v>1</v>
      </c>
      <c r="E204">
        <v>1</v>
      </c>
      <c r="F204" t="s">
        <v>313</v>
      </c>
      <c r="G204">
        <v>9</v>
      </c>
      <c r="H204" t="s">
        <v>287</v>
      </c>
      <c r="I204" t="s">
        <v>744</v>
      </c>
      <c r="J204">
        <v>9000006307</v>
      </c>
      <c r="O204" t="s">
        <v>745</v>
      </c>
      <c r="P204">
        <v>3000</v>
      </c>
      <c r="Q204" s="1">
        <v>45930.448807870373</v>
      </c>
      <c r="AA204" t="s">
        <v>231</v>
      </c>
      <c r="AB204">
        <v>0</v>
      </c>
    </row>
    <row r="205" spans="1:28" x14ac:dyDescent="0.45">
      <c r="A205" t="s">
        <v>226</v>
      </c>
      <c r="B205" t="s">
        <v>49</v>
      </c>
      <c r="C205" t="s">
        <v>700</v>
      </c>
      <c r="D205">
        <v>1</v>
      </c>
      <c r="E205">
        <v>1</v>
      </c>
      <c r="F205" t="s">
        <v>316</v>
      </c>
      <c r="G205">
        <v>10</v>
      </c>
      <c r="H205" t="s">
        <v>287</v>
      </c>
      <c r="I205" t="s">
        <v>746</v>
      </c>
      <c r="J205" t="s">
        <v>52</v>
      </c>
      <c r="O205" t="s">
        <v>747</v>
      </c>
      <c r="P205">
        <v>2000</v>
      </c>
      <c r="Q205" s="1">
        <v>45930.448807870373</v>
      </c>
      <c r="AA205" t="s">
        <v>231</v>
      </c>
      <c r="AB205">
        <v>0</v>
      </c>
    </row>
    <row r="206" spans="1:28" x14ac:dyDescent="0.45">
      <c r="A206" t="s">
        <v>226</v>
      </c>
      <c r="B206" t="s">
        <v>49</v>
      </c>
      <c r="C206" t="s">
        <v>700</v>
      </c>
      <c r="D206">
        <v>1</v>
      </c>
      <c r="E206">
        <v>1</v>
      </c>
      <c r="F206" t="s">
        <v>319</v>
      </c>
      <c r="G206">
        <v>11</v>
      </c>
      <c r="H206" t="s">
        <v>287</v>
      </c>
      <c r="I206" t="s">
        <v>748</v>
      </c>
      <c r="J206">
        <v>691021</v>
      </c>
      <c r="O206" t="s">
        <v>749</v>
      </c>
      <c r="P206">
        <v>2000</v>
      </c>
      <c r="Q206" s="1">
        <v>45930.448807870373</v>
      </c>
      <c r="AA206" t="s">
        <v>231</v>
      </c>
      <c r="AB206">
        <v>0</v>
      </c>
    </row>
    <row r="207" spans="1:28" x14ac:dyDescent="0.45">
      <c r="A207" t="s">
        <v>226</v>
      </c>
      <c r="B207" t="s">
        <v>49</v>
      </c>
      <c r="C207" t="s">
        <v>700</v>
      </c>
      <c r="D207">
        <v>1</v>
      </c>
      <c r="E207">
        <v>1</v>
      </c>
      <c r="F207" t="s">
        <v>322</v>
      </c>
      <c r="G207">
        <v>12</v>
      </c>
      <c r="H207" t="s">
        <v>287</v>
      </c>
      <c r="I207" t="s">
        <v>750</v>
      </c>
      <c r="J207">
        <v>666798</v>
      </c>
      <c r="O207" t="s">
        <v>751</v>
      </c>
      <c r="P207">
        <v>2000</v>
      </c>
      <c r="Q207" s="1">
        <v>45932.770775462966</v>
      </c>
      <c r="AA207" t="s">
        <v>231</v>
      </c>
      <c r="AB207">
        <v>0</v>
      </c>
    </row>
    <row r="208" spans="1:28" x14ac:dyDescent="0.45">
      <c r="A208" t="s">
        <v>226</v>
      </c>
      <c r="B208" t="s">
        <v>49</v>
      </c>
      <c r="C208" t="s">
        <v>700</v>
      </c>
      <c r="D208">
        <v>1</v>
      </c>
      <c r="E208">
        <v>1</v>
      </c>
      <c r="F208" t="s">
        <v>325</v>
      </c>
      <c r="G208">
        <v>13</v>
      </c>
      <c r="H208" t="s">
        <v>287</v>
      </c>
      <c r="I208" t="s">
        <v>752</v>
      </c>
      <c r="J208" t="s">
        <v>53</v>
      </c>
      <c r="O208" t="s">
        <v>753</v>
      </c>
      <c r="P208">
        <v>1000</v>
      </c>
      <c r="Q208" s="1">
        <v>45937.449594907404</v>
      </c>
      <c r="S208" t="s">
        <v>290</v>
      </c>
      <c r="U208" t="s">
        <v>754</v>
      </c>
      <c r="AA208" t="s">
        <v>231</v>
      </c>
      <c r="AB208">
        <v>0</v>
      </c>
    </row>
    <row r="209" spans="1:28" x14ac:dyDescent="0.45">
      <c r="A209" t="s">
        <v>226</v>
      </c>
      <c r="B209" t="s">
        <v>49</v>
      </c>
      <c r="C209" t="s">
        <v>700</v>
      </c>
      <c r="D209">
        <v>1</v>
      </c>
      <c r="E209">
        <v>1</v>
      </c>
      <c r="F209" t="s">
        <v>328</v>
      </c>
      <c r="G209">
        <v>14</v>
      </c>
      <c r="H209" t="s">
        <v>287</v>
      </c>
      <c r="I209" t="s">
        <v>755</v>
      </c>
      <c r="J209">
        <v>918375</v>
      </c>
      <c r="O209" t="s">
        <v>756</v>
      </c>
      <c r="P209">
        <v>2000</v>
      </c>
      <c r="Q209" s="1">
        <v>45932.807986111111</v>
      </c>
      <c r="AA209" t="s">
        <v>231</v>
      </c>
      <c r="AB209">
        <v>0</v>
      </c>
    </row>
    <row r="210" spans="1:28" x14ac:dyDescent="0.45">
      <c r="A210" t="s">
        <v>226</v>
      </c>
      <c r="B210" t="s">
        <v>49</v>
      </c>
      <c r="C210" t="s">
        <v>700</v>
      </c>
      <c r="D210">
        <v>1</v>
      </c>
      <c r="E210">
        <v>1</v>
      </c>
      <c r="F210" t="s">
        <v>331</v>
      </c>
      <c r="G210">
        <v>15</v>
      </c>
      <c r="H210" t="s">
        <v>287</v>
      </c>
      <c r="I210" t="s">
        <v>757</v>
      </c>
      <c r="J210">
        <v>9000057871</v>
      </c>
      <c r="O210" t="s">
        <v>758</v>
      </c>
      <c r="P210">
        <v>1000</v>
      </c>
      <c r="Q210" s="1">
        <v>45950.475775462961</v>
      </c>
      <c r="AA210" t="s">
        <v>231</v>
      </c>
      <c r="AB210">
        <v>0</v>
      </c>
    </row>
    <row r="211" spans="1:28" x14ac:dyDescent="0.45">
      <c r="A211" t="s">
        <v>226</v>
      </c>
      <c r="B211" t="s">
        <v>49</v>
      </c>
      <c r="C211" t="s">
        <v>700</v>
      </c>
      <c r="D211">
        <v>1</v>
      </c>
      <c r="E211">
        <v>1</v>
      </c>
      <c r="F211" t="s">
        <v>445</v>
      </c>
      <c r="G211">
        <v>16</v>
      </c>
      <c r="H211" t="s">
        <v>287</v>
      </c>
      <c r="I211" t="s">
        <v>759</v>
      </c>
      <c r="J211">
        <v>677278</v>
      </c>
      <c r="O211" t="s">
        <v>760</v>
      </c>
      <c r="P211">
        <v>4000</v>
      </c>
      <c r="Q211" s="1">
        <v>45950.475775462961</v>
      </c>
      <c r="AA211" t="s">
        <v>231</v>
      </c>
      <c r="AB211">
        <v>0</v>
      </c>
    </row>
    <row r="212" spans="1:28" x14ac:dyDescent="0.45">
      <c r="A212" t="s">
        <v>226</v>
      </c>
      <c r="B212" t="s">
        <v>49</v>
      </c>
      <c r="C212" t="s">
        <v>700</v>
      </c>
      <c r="D212">
        <v>1</v>
      </c>
      <c r="E212">
        <v>1</v>
      </c>
      <c r="F212" t="s">
        <v>449</v>
      </c>
      <c r="G212">
        <v>17</v>
      </c>
      <c r="H212" t="s">
        <v>287</v>
      </c>
      <c r="I212" t="s">
        <v>761</v>
      </c>
      <c r="J212">
        <v>929826</v>
      </c>
      <c r="O212" t="s">
        <v>762</v>
      </c>
      <c r="P212">
        <v>4000</v>
      </c>
      <c r="Q212" s="1">
        <v>45950.475775462961</v>
      </c>
      <c r="AA212" t="s">
        <v>231</v>
      </c>
      <c r="AB212">
        <v>0</v>
      </c>
    </row>
    <row r="213" spans="1:28" x14ac:dyDescent="0.45">
      <c r="A213" t="s">
        <v>226</v>
      </c>
      <c r="B213" t="s">
        <v>49</v>
      </c>
      <c r="C213" t="s">
        <v>700</v>
      </c>
      <c r="D213">
        <v>1</v>
      </c>
      <c r="E213">
        <v>1</v>
      </c>
      <c r="F213" t="s">
        <v>334</v>
      </c>
      <c r="G213">
        <v>1</v>
      </c>
      <c r="H213" t="s">
        <v>287</v>
      </c>
      <c r="I213" t="s">
        <v>763</v>
      </c>
      <c r="J213">
        <v>9000034883</v>
      </c>
      <c r="O213" t="s">
        <v>764</v>
      </c>
      <c r="P213">
        <v>250</v>
      </c>
      <c r="Q213" s="1">
        <v>45950.475787037038</v>
      </c>
      <c r="S213" t="s">
        <v>290</v>
      </c>
      <c r="U213" t="s">
        <v>765</v>
      </c>
      <c r="AA213" t="s">
        <v>231</v>
      </c>
      <c r="AB213">
        <v>0</v>
      </c>
    </row>
    <row r="214" spans="1:28" x14ac:dyDescent="0.45">
      <c r="A214" t="s">
        <v>226</v>
      </c>
      <c r="B214" t="s">
        <v>49</v>
      </c>
      <c r="C214" t="s">
        <v>700</v>
      </c>
      <c r="D214">
        <v>1</v>
      </c>
      <c r="E214">
        <v>1</v>
      </c>
      <c r="F214" t="s">
        <v>337</v>
      </c>
      <c r="G214">
        <v>2</v>
      </c>
      <c r="H214" t="s">
        <v>287</v>
      </c>
      <c r="I214" t="s">
        <v>766</v>
      </c>
      <c r="J214">
        <v>9000059427</v>
      </c>
      <c r="O214" t="s">
        <v>767</v>
      </c>
      <c r="P214">
        <v>2000</v>
      </c>
      <c r="Q214" s="1">
        <v>45950.475787037038</v>
      </c>
      <c r="AA214" t="s">
        <v>231</v>
      </c>
      <c r="AB214">
        <v>0</v>
      </c>
    </row>
    <row r="215" spans="1:28" x14ac:dyDescent="0.45">
      <c r="A215" t="s">
        <v>226</v>
      </c>
      <c r="B215" t="s">
        <v>49</v>
      </c>
      <c r="C215" t="s">
        <v>700</v>
      </c>
      <c r="D215">
        <v>1</v>
      </c>
      <c r="E215">
        <v>1</v>
      </c>
      <c r="F215" t="s">
        <v>341</v>
      </c>
      <c r="G215">
        <v>3</v>
      </c>
      <c r="H215" t="s">
        <v>287</v>
      </c>
      <c r="I215" t="s">
        <v>768</v>
      </c>
      <c r="J215">
        <v>9000069361</v>
      </c>
      <c r="O215" t="s">
        <v>769</v>
      </c>
      <c r="P215">
        <v>4000</v>
      </c>
      <c r="Q215" s="1">
        <v>45950.475787037038</v>
      </c>
      <c r="AA215" t="s">
        <v>231</v>
      </c>
      <c r="AB215">
        <v>0</v>
      </c>
    </row>
    <row r="216" spans="1:28" x14ac:dyDescent="0.45">
      <c r="A216" t="s">
        <v>226</v>
      </c>
      <c r="B216" t="s">
        <v>49</v>
      </c>
      <c r="C216" t="s">
        <v>700</v>
      </c>
      <c r="D216">
        <v>1</v>
      </c>
      <c r="E216">
        <v>1</v>
      </c>
      <c r="F216" t="s">
        <v>344</v>
      </c>
      <c r="G216">
        <v>4</v>
      </c>
      <c r="H216" t="s">
        <v>287</v>
      </c>
      <c r="I216" t="s">
        <v>770</v>
      </c>
      <c r="J216">
        <v>9000070306</v>
      </c>
      <c r="O216" t="s">
        <v>771</v>
      </c>
      <c r="P216">
        <v>1800</v>
      </c>
      <c r="Q216" s="1">
        <v>45950.475787037038</v>
      </c>
      <c r="AA216" t="s">
        <v>231</v>
      </c>
      <c r="AB216">
        <v>0</v>
      </c>
    </row>
    <row r="217" spans="1:28" x14ac:dyDescent="0.45">
      <c r="A217" t="s">
        <v>226</v>
      </c>
      <c r="B217" t="s">
        <v>49</v>
      </c>
      <c r="C217" t="s">
        <v>700</v>
      </c>
      <c r="D217">
        <v>1</v>
      </c>
      <c r="E217">
        <v>1</v>
      </c>
      <c r="F217" t="s">
        <v>347</v>
      </c>
      <c r="G217">
        <v>5</v>
      </c>
      <c r="H217" t="s">
        <v>287</v>
      </c>
      <c r="I217" t="s">
        <v>772</v>
      </c>
      <c r="J217">
        <v>675039</v>
      </c>
      <c r="O217" t="s">
        <v>773</v>
      </c>
      <c r="P217">
        <v>2000</v>
      </c>
      <c r="Q217" s="1">
        <v>45950.475787037038</v>
      </c>
      <c r="AA217" t="s">
        <v>231</v>
      </c>
      <c r="AB217">
        <v>0</v>
      </c>
    </row>
    <row r="218" spans="1:28" x14ac:dyDescent="0.45">
      <c r="A218" t="s">
        <v>226</v>
      </c>
      <c r="B218" t="s">
        <v>49</v>
      </c>
      <c r="C218" t="s">
        <v>700</v>
      </c>
      <c r="D218">
        <v>1</v>
      </c>
      <c r="E218">
        <v>1</v>
      </c>
      <c r="F218" t="s">
        <v>351</v>
      </c>
      <c r="G218">
        <v>6</v>
      </c>
      <c r="H218" t="s">
        <v>287</v>
      </c>
      <c r="I218" t="s">
        <v>774</v>
      </c>
      <c r="J218">
        <v>9000064915</v>
      </c>
      <c r="O218" t="s">
        <v>775</v>
      </c>
      <c r="P218">
        <v>2500</v>
      </c>
      <c r="Q218" s="1">
        <v>45950.475787037038</v>
      </c>
      <c r="AA218" t="s">
        <v>231</v>
      </c>
      <c r="AB218">
        <v>0</v>
      </c>
    </row>
    <row r="219" spans="1:28" x14ac:dyDescent="0.45">
      <c r="A219" t="s">
        <v>226</v>
      </c>
      <c r="B219" t="s">
        <v>49</v>
      </c>
      <c r="C219" t="s">
        <v>700</v>
      </c>
      <c r="D219">
        <v>1</v>
      </c>
      <c r="E219">
        <v>1</v>
      </c>
      <c r="F219" t="s">
        <v>354</v>
      </c>
      <c r="G219">
        <v>7</v>
      </c>
      <c r="H219" t="s">
        <v>287</v>
      </c>
      <c r="I219" t="s">
        <v>776</v>
      </c>
      <c r="J219">
        <v>9000057872</v>
      </c>
      <c r="O219" t="s">
        <v>777</v>
      </c>
      <c r="P219">
        <v>1000</v>
      </c>
      <c r="Q219" s="1">
        <v>45950.475787037038</v>
      </c>
      <c r="AA219" t="s">
        <v>231</v>
      </c>
      <c r="AB219">
        <v>0</v>
      </c>
    </row>
    <row r="220" spans="1:28" x14ac:dyDescent="0.45">
      <c r="A220" t="s">
        <v>226</v>
      </c>
      <c r="B220" t="s">
        <v>49</v>
      </c>
      <c r="C220" t="s">
        <v>700</v>
      </c>
      <c r="D220">
        <v>1</v>
      </c>
      <c r="E220">
        <v>1</v>
      </c>
      <c r="F220" t="s">
        <v>357</v>
      </c>
      <c r="G220">
        <v>8</v>
      </c>
      <c r="H220" t="s">
        <v>287</v>
      </c>
      <c r="I220" t="s">
        <v>778</v>
      </c>
      <c r="J220">
        <v>9000060040</v>
      </c>
      <c r="O220" t="s">
        <v>779</v>
      </c>
      <c r="P220">
        <v>2500</v>
      </c>
      <c r="Q220" s="1">
        <v>45950.475787037038</v>
      </c>
      <c r="AA220" t="s">
        <v>231</v>
      </c>
      <c r="AB220">
        <v>0</v>
      </c>
    </row>
    <row r="221" spans="1:28" x14ac:dyDescent="0.45">
      <c r="A221" t="s">
        <v>226</v>
      </c>
      <c r="B221" t="s">
        <v>49</v>
      </c>
      <c r="C221" t="s">
        <v>700</v>
      </c>
      <c r="D221">
        <v>1</v>
      </c>
      <c r="E221">
        <v>1</v>
      </c>
      <c r="F221" t="s">
        <v>360</v>
      </c>
      <c r="G221">
        <v>9</v>
      </c>
      <c r="H221" t="s">
        <v>287</v>
      </c>
      <c r="I221" t="s">
        <v>780</v>
      </c>
      <c r="J221">
        <v>9000065076</v>
      </c>
      <c r="O221" t="s">
        <v>781</v>
      </c>
      <c r="P221">
        <v>1000</v>
      </c>
      <c r="Q221" s="1">
        <v>45950.475787037038</v>
      </c>
      <c r="S221" t="s">
        <v>290</v>
      </c>
      <c r="U221" t="s">
        <v>782</v>
      </c>
      <c r="AA221" t="s">
        <v>231</v>
      </c>
      <c r="AB221">
        <v>0</v>
      </c>
    </row>
    <row r="222" spans="1:28" x14ac:dyDescent="0.45">
      <c r="A222" t="s">
        <v>226</v>
      </c>
      <c r="B222" t="s">
        <v>49</v>
      </c>
      <c r="C222" t="s">
        <v>700</v>
      </c>
      <c r="D222">
        <v>1</v>
      </c>
      <c r="E222">
        <v>1</v>
      </c>
      <c r="F222" t="s">
        <v>363</v>
      </c>
      <c r="G222">
        <v>10</v>
      </c>
      <c r="H222" t="s">
        <v>287</v>
      </c>
      <c r="I222" t="s">
        <v>783</v>
      </c>
      <c r="J222">
        <v>9000066030</v>
      </c>
      <c r="O222" t="s">
        <v>784</v>
      </c>
      <c r="P222">
        <v>1000</v>
      </c>
      <c r="Q222" s="1">
        <v>45950.475787037038</v>
      </c>
      <c r="AA222" t="s">
        <v>231</v>
      </c>
      <c r="AB222">
        <v>0</v>
      </c>
    </row>
    <row r="223" spans="1:28" x14ac:dyDescent="0.45">
      <c r="A223" t="s">
        <v>226</v>
      </c>
      <c r="B223" t="s">
        <v>49</v>
      </c>
      <c r="C223" t="s">
        <v>700</v>
      </c>
      <c r="D223">
        <v>1</v>
      </c>
      <c r="E223">
        <v>1</v>
      </c>
      <c r="F223" t="s">
        <v>366</v>
      </c>
      <c r="G223">
        <v>11</v>
      </c>
      <c r="H223" t="s">
        <v>287</v>
      </c>
      <c r="I223" t="s">
        <v>785</v>
      </c>
      <c r="J223">
        <v>9000069833</v>
      </c>
      <c r="O223" t="s">
        <v>786</v>
      </c>
      <c r="P223">
        <v>2000</v>
      </c>
      <c r="Q223" s="1">
        <v>45950.475798611114</v>
      </c>
      <c r="S223" t="s">
        <v>290</v>
      </c>
      <c r="U223" t="s">
        <v>787</v>
      </c>
      <c r="AA223" t="s">
        <v>231</v>
      </c>
      <c r="AB223">
        <v>0</v>
      </c>
    </row>
    <row r="224" spans="1:28" x14ac:dyDescent="0.45">
      <c r="A224" t="s">
        <v>226</v>
      </c>
      <c r="B224" t="s">
        <v>49</v>
      </c>
      <c r="C224" t="s">
        <v>700</v>
      </c>
      <c r="D224">
        <v>1</v>
      </c>
      <c r="E224">
        <v>1</v>
      </c>
      <c r="F224" t="s">
        <v>369</v>
      </c>
      <c r="G224">
        <v>12</v>
      </c>
      <c r="H224" t="s">
        <v>287</v>
      </c>
      <c r="I224" t="s">
        <v>788</v>
      </c>
      <c r="J224">
        <v>911203</v>
      </c>
      <c r="O224" t="s">
        <v>789</v>
      </c>
      <c r="P224">
        <v>3000</v>
      </c>
      <c r="Q224" s="1">
        <v>45950.475798611114</v>
      </c>
      <c r="AA224" t="s">
        <v>231</v>
      </c>
      <c r="AB224">
        <v>0</v>
      </c>
    </row>
    <row r="225" spans="1:28" x14ac:dyDescent="0.45">
      <c r="A225" t="s">
        <v>226</v>
      </c>
      <c r="B225" t="s">
        <v>49</v>
      </c>
      <c r="C225" t="s">
        <v>700</v>
      </c>
      <c r="D225">
        <v>1</v>
      </c>
      <c r="E225">
        <v>1</v>
      </c>
      <c r="F225" t="s">
        <v>372</v>
      </c>
      <c r="G225">
        <v>13</v>
      </c>
      <c r="H225" t="s">
        <v>287</v>
      </c>
      <c r="I225" t="s">
        <v>790</v>
      </c>
      <c r="J225">
        <v>9000022432</v>
      </c>
      <c r="O225" t="s">
        <v>791</v>
      </c>
      <c r="P225">
        <v>1800</v>
      </c>
      <c r="Q225" s="1">
        <v>45950.475798611114</v>
      </c>
      <c r="AA225" t="s">
        <v>231</v>
      </c>
      <c r="AB225">
        <v>0</v>
      </c>
    </row>
    <row r="226" spans="1:28" x14ac:dyDescent="0.45">
      <c r="A226" t="s">
        <v>226</v>
      </c>
      <c r="B226" t="s">
        <v>49</v>
      </c>
      <c r="C226" t="s">
        <v>700</v>
      </c>
      <c r="D226">
        <v>1</v>
      </c>
      <c r="E226">
        <v>1</v>
      </c>
      <c r="F226" t="s">
        <v>375</v>
      </c>
      <c r="G226">
        <v>14</v>
      </c>
      <c r="H226" t="s">
        <v>287</v>
      </c>
      <c r="I226" t="s">
        <v>792</v>
      </c>
      <c r="J226">
        <v>9000046995</v>
      </c>
      <c r="O226" t="s">
        <v>793</v>
      </c>
      <c r="P226">
        <v>1000</v>
      </c>
      <c r="Q226" s="1">
        <v>45950.475798611114</v>
      </c>
      <c r="AA226" t="s">
        <v>231</v>
      </c>
      <c r="AB226">
        <v>0</v>
      </c>
    </row>
    <row r="227" spans="1:28" x14ac:dyDescent="0.45">
      <c r="A227" t="s">
        <v>226</v>
      </c>
      <c r="B227" t="s">
        <v>49</v>
      </c>
      <c r="C227" t="s">
        <v>700</v>
      </c>
      <c r="D227">
        <v>1</v>
      </c>
      <c r="E227">
        <v>1</v>
      </c>
      <c r="F227" t="s">
        <v>378</v>
      </c>
      <c r="G227">
        <v>15</v>
      </c>
      <c r="H227" t="s">
        <v>287</v>
      </c>
      <c r="I227" t="s">
        <v>794</v>
      </c>
      <c r="J227">
        <v>9000047138</v>
      </c>
      <c r="O227" t="s">
        <v>795</v>
      </c>
      <c r="P227">
        <v>4000</v>
      </c>
      <c r="Q227" s="1">
        <v>45950.475798611114</v>
      </c>
      <c r="AA227" t="s">
        <v>231</v>
      </c>
      <c r="AB227">
        <v>0</v>
      </c>
    </row>
    <row r="228" spans="1:28" x14ac:dyDescent="0.45">
      <c r="A228" t="s">
        <v>226</v>
      </c>
      <c r="B228" t="s">
        <v>49</v>
      </c>
      <c r="C228" t="s">
        <v>700</v>
      </c>
      <c r="D228">
        <v>1</v>
      </c>
      <c r="E228">
        <v>1</v>
      </c>
      <c r="F228" t="s">
        <v>381</v>
      </c>
      <c r="G228">
        <v>16</v>
      </c>
      <c r="H228" t="s">
        <v>287</v>
      </c>
      <c r="I228" t="s">
        <v>796</v>
      </c>
      <c r="J228">
        <v>678651</v>
      </c>
      <c r="O228" t="s">
        <v>797</v>
      </c>
      <c r="P228">
        <v>2000</v>
      </c>
      <c r="Q228" s="1">
        <v>45950.475798611114</v>
      </c>
      <c r="AA228" t="s">
        <v>231</v>
      </c>
      <c r="AB228">
        <v>0</v>
      </c>
    </row>
    <row r="229" spans="1:28" x14ac:dyDescent="0.45">
      <c r="A229" t="s">
        <v>226</v>
      </c>
      <c r="B229" t="s">
        <v>49</v>
      </c>
      <c r="C229" t="s">
        <v>700</v>
      </c>
      <c r="D229">
        <v>1</v>
      </c>
      <c r="E229">
        <v>1</v>
      </c>
      <c r="F229" t="s">
        <v>385</v>
      </c>
      <c r="G229">
        <v>17</v>
      </c>
      <c r="H229" t="s">
        <v>287</v>
      </c>
      <c r="I229" t="s">
        <v>798</v>
      </c>
      <c r="J229">
        <v>9000065077</v>
      </c>
      <c r="O229" t="s">
        <v>799</v>
      </c>
      <c r="P229">
        <v>1000</v>
      </c>
      <c r="Q229" s="1">
        <v>45950.475798611114</v>
      </c>
      <c r="S229" t="s">
        <v>290</v>
      </c>
      <c r="U229" t="s">
        <v>800</v>
      </c>
      <c r="AA229" t="s">
        <v>231</v>
      </c>
      <c r="AB229">
        <v>0</v>
      </c>
    </row>
    <row r="230" spans="1:28" x14ac:dyDescent="0.45">
      <c r="A230" t="s">
        <v>226</v>
      </c>
      <c r="B230" t="s">
        <v>49</v>
      </c>
      <c r="C230" t="s">
        <v>700</v>
      </c>
      <c r="D230">
        <v>1</v>
      </c>
      <c r="E230">
        <v>1</v>
      </c>
      <c r="F230" t="s">
        <v>388</v>
      </c>
      <c r="G230">
        <v>18</v>
      </c>
      <c r="H230" t="s">
        <v>287</v>
      </c>
      <c r="I230" t="s">
        <v>801</v>
      </c>
      <c r="J230">
        <v>666789</v>
      </c>
      <c r="O230" t="s">
        <v>802</v>
      </c>
      <c r="P230">
        <v>2000</v>
      </c>
      <c r="Q230" s="1">
        <v>45950.475798611114</v>
      </c>
      <c r="AA230" t="s">
        <v>231</v>
      </c>
      <c r="AB230">
        <v>0</v>
      </c>
    </row>
    <row r="231" spans="1:28" x14ac:dyDescent="0.45">
      <c r="A231" t="s">
        <v>226</v>
      </c>
      <c r="B231" t="s">
        <v>49</v>
      </c>
      <c r="C231" t="s">
        <v>700</v>
      </c>
      <c r="D231">
        <v>1</v>
      </c>
      <c r="E231">
        <v>1</v>
      </c>
      <c r="F231" t="s">
        <v>391</v>
      </c>
      <c r="G231">
        <v>19</v>
      </c>
      <c r="H231" t="s">
        <v>287</v>
      </c>
      <c r="I231" t="s">
        <v>803</v>
      </c>
      <c r="J231">
        <v>9000070702</v>
      </c>
      <c r="O231" t="s">
        <v>804</v>
      </c>
      <c r="P231">
        <v>4333</v>
      </c>
      <c r="Q231" s="1">
        <v>45950.475798611114</v>
      </c>
      <c r="AA231" t="s">
        <v>231</v>
      </c>
      <c r="AB231">
        <v>0</v>
      </c>
    </row>
    <row r="232" spans="1:28" x14ac:dyDescent="0.45">
      <c r="A232" t="s">
        <v>226</v>
      </c>
      <c r="B232" t="s">
        <v>49</v>
      </c>
      <c r="C232" t="s">
        <v>700</v>
      </c>
      <c r="D232">
        <v>1</v>
      </c>
      <c r="E232">
        <v>1</v>
      </c>
      <c r="F232" t="s">
        <v>396</v>
      </c>
      <c r="G232">
        <v>20</v>
      </c>
      <c r="H232" t="s">
        <v>287</v>
      </c>
      <c r="I232" t="s">
        <v>805</v>
      </c>
      <c r="J232">
        <v>9000048984</v>
      </c>
      <c r="O232" t="s">
        <v>806</v>
      </c>
      <c r="P232">
        <v>2500</v>
      </c>
      <c r="Q232" s="1">
        <v>45950.475798611114</v>
      </c>
      <c r="S232" t="s">
        <v>290</v>
      </c>
      <c r="U232" t="s">
        <v>807</v>
      </c>
      <c r="AA232" t="s">
        <v>231</v>
      </c>
      <c r="AB232">
        <v>0</v>
      </c>
    </row>
    <row r="233" spans="1:28" x14ac:dyDescent="0.45">
      <c r="A233" t="s">
        <v>226</v>
      </c>
      <c r="B233" t="s">
        <v>49</v>
      </c>
      <c r="C233" t="s">
        <v>700</v>
      </c>
      <c r="D233">
        <v>1</v>
      </c>
      <c r="E233">
        <v>1</v>
      </c>
      <c r="F233" t="s">
        <v>399</v>
      </c>
      <c r="G233">
        <v>21</v>
      </c>
      <c r="H233" t="s">
        <v>287</v>
      </c>
      <c r="I233" t="s">
        <v>808</v>
      </c>
      <c r="J233">
        <v>9000065930</v>
      </c>
      <c r="O233" t="s">
        <v>809</v>
      </c>
      <c r="P233">
        <v>2500</v>
      </c>
      <c r="Q233" s="1">
        <v>45950.475798611114</v>
      </c>
      <c r="AA233" t="s">
        <v>231</v>
      </c>
      <c r="AB233">
        <v>0</v>
      </c>
    </row>
    <row r="234" spans="1:28" x14ac:dyDescent="0.45">
      <c r="A234" t="s">
        <v>226</v>
      </c>
      <c r="B234" t="s">
        <v>49</v>
      </c>
      <c r="C234" t="s">
        <v>700</v>
      </c>
      <c r="D234">
        <v>1</v>
      </c>
      <c r="E234">
        <v>1</v>
      </c>
      <c r="F234" t="s">
        <v>402</v>
      </c>
      <c r="G234">
        <v>22</v>
      </c>
      <c r="H234" t="s">
        <v>287</v>
      </c>
      <c r="I234" t="s">
        <v>810</v>
      </c>
      <c r="J234">
        <v>9000069289</v>
      </c>
      <c r="O234" t="s">
        <v>811</v>
      </c>
      <c r="P234">
        <v>1000</v>
      </c>
      <c r="Q234" s="1">
        <v>45950.475798611114</v>
      </c>
      <c r="AA234" t="s">
        <v>231</v>
      </c>
      <c r="AB234">
        <v>0</v>
      </c>
    </row>
    <row r="235" spans="1:28" x14ac:dyDescent="0.45">
      <c r="A235" t="s">
        <v>226</v>
      </c>
      <c r="B235" t="s">
        <v>49</v>
      </c>
      <c r="C235" t="s">
        <v>700</v>
      </c>
      <c r="D235">
        <v>1</v>
      </c>
      <c r="E235">
        <v>1</v>
      </c>
      <c r="F235" t="s">
        <v>406</v>
      </c>
      <c r="G235">
        <v>23</v>
      </c>
      <c r="H235" t="s">
        <v>287</v>
      </c>
      <c r="I235" t="s">
        <v>812</v>
      </c>
      <c r="J235">
        <v>9000063424</v>
      </c>
      <c r="O235" t="s">
        <v>813</v>
      </c>
      <c r="P235">
        <v>2500</v>
      </c>
      <c r="Q235" s="1">
        <v>45932.59679398148</v>
      </c>
      <c r="S235" t="s">
        <v>290</v>
      </c>
      <c r="U235" t="s">
        <v>814</v>
      </c>
      <c r="AA235" t="s">
        <v>231</v>
      </c>
      <c r="AB235">
        <v>0</v>
      </c>
    </row>
    <row r="236" spans="1:28" x14ac:dyDescent="0.45">
      <c r="A236" t="s">
        <v>226</v>
      </c>
      <c r="B236" t="s">
        <v>49</v>
      </c>
      <c r="C236" t="s">
        <v>700</v>
      </c>
      <c r="D236">
        <v>1</v>
      </c>
      <c r="E236">
        <v>1</v>
      </c>
      <c r="F236" t="s">
        <v>541</v>
      </c>
      <c r="G236">
        <v>24</v>
      </c>
      <c r="H236" t="s">
        <v>287</v>
      </c>
      <c r="I236" t="s">
        <v>815</v>
      </c>
      <c r="J236">
        <v>9000051846</v>
      </c>
      <c r="O236" t="s">
        <v>816</v>
      </c>
      <c r="P236">
        <v>2500</v>
      </c>
      <c r="Q236" s="1">
        <v>45950.475798611114</v>
      </c>
      <c r="AA236" t="s">
        <v>231</v>
      </c>
      <c r="AB236">
        <v>0</v>
      </c>
    </row>
    <row r="237" spans="1:28" x14ac:dyDescent="0.45">
      <c r="A237" t="s">
        <v>226</v>
      </c>
      <c r="B237" t="s">
        <v>49</v>
      </c>
      <c r="C237" t="s">
        <v>700</v>
      </c>
      <c r="D237">
        <v>1</v>
      </c>
      <c r="E237">
        <v>1</v>
      </c>
      <c r="F237" t="s">
        <v>545</v>
      </c>
      <c r="G237">
        <v>25</v>
      </c>
      <c r="H237" t="s">
        <v>287</v>
      </c>
      <c r="I237" t="s">
        <v>817</v>
      </c>
      <c r="J237">
        <v>9000066589</v>
      </c>
      <c r="O237" t="s">
        <v>818</v>
      </c>
      <c r="P237">
        <v>10000</v>
      </c>
      <c r="Q237" s="1">
        <v>45950.475798611114</v>
      </c>
      <c r="AA237" t="s">
        <v>231</v>
      </c>
      <c r="AB237">
        <v>0</v>
      </c>
    </row>
    <row r="238" spans="1:28" x14ac:dyDescent="0.45">
      <c r="A238" t="s">
        <v>226</v>
      </c>
      <c r="B238" t="s">
        <v>49</v>
      </c>
      <c r="C238" t="s">
        <v>700</v>
      </c>
      <c r="D238">
        <v>1</v>
      </c>
      <c r="E238">
        <v>1</v>
      </c>
      <c r="F238" t="s">
        <v>661</v>
      </c>
      <c r="G238">
        <v>30</v>
      </c>
      <c r="H238" t="s">
        <v>287</v>
      </c>
      <c r="I238" t="s">
        <v>819</v>
      </c>
      <c r="J238" t="s">
        <v>57</v>
      </c>
      <c r="O238" t="s">
        <v>820</v>
      </c>
      <c r="P238">
        <v>5000</v>
      </c>
      <c r="Q238" s="1">
        <v>45933.563009259262</v>
      </c>
      <c r="AA238" t="s">
        <v>231</v>
      </c>
      <c r="AB238">
        <v>0</v>
      </c>
    </row>
    <row r="239" spans="1:28" x14ac:dyDescent="0.45">
      <c r="A239" t="s">
        <v>226</v>
      </c>
      <c r="B239" t="s">
        <v>49</v>
      </c>
      <c r="C239" t="s">
        <v>700</v>
      </c>
      <c r="D239">
        <v>1</v>
      </c>
      <c r="E239">
        <v>1</v>
      </c>
      <c r="F239" t="s">
        <v>548</v>
      </c>
      <c r="G239">
        <v>26</v>
      </c>
      <c r="H239" t="s">
        <v>287</v>
      </c>
      <c r="I239" t="s">
        <v>822</v>
      </c>
      <c r="J239">
        <v>9000044462</v>
      </c>
      <c r="O239" t="s">
        <v>821</v>
      </c>
      <c r="P239">
        <v>10000</v>
      </c>
      <c r="Q239" s="1">
        <v>45950.707766203705</v>
      </c>
      <c r="R239" t="s">
        <v>494</v>
      </c>
      <c r="AA239" t="s">
        <v>231</v>
      </c>
      <c r="AB239">
        <v>0</v>
      </c>
    </row>
    <row r="240" spans="1:28" x14ac:dyDescent="0.45">
      <c r="A240" t="s">
        <v>226</v>
      </c>
      <c r="B240" t="s">
        <v>49</v>
      </c>
      <c r="C240" t="s">
        <v>700</v>
      </c>
      <c r="D240">
        <v>1</v>
      </c>
      <c r="E240">
        <v>1</v>
      </c>
      <c r="F240" t="s">
        <v>552</v>
      </c>
      <c r="G240">
        <v>27</v>
      </c>
      <c r="H240" t="s">
        <v>287</v>
      </c>
      <c r="I240" t="s">
        <v>823</v>
      </c>
      <c r="J240">
        <v>9000008002</v>
      </c>
      <c r="O240" t="s">
        <v>824</v>
      </c>
      <c r="P240">
        <v>10000</v>
      </c>
      <c r="Q240" s="1">
        <v>45950.475810185184</v>
      </c>
      <c r="AA240" t="s">
        <v>231</v>
      </c>
      <c r="AB240">
        <v>0</v>
      </c>
    </row>
    <row r="241" spans="1:28" x14ac:dyDescent="0.45">
      <c r="A241" t="s">
        <v>226</v>
      </c>
      <c r="B241" t="s">
        <v>49</v>
      </c>
      <c r="C241" t="s">
        <v>700</v>
      </c>
      <c r="D241">
        <v>1</v>
      </c>
      <c r="E241">
        <v>1</v>
      </c>
      <c r="F241" t="s">
        <v>555</v>
      </c>
      <c r="G241">
        <v>28</v>
      </c>
      <c r="H241" t="s">
        <v>287</v>
      </c>
      <c r="I241" t="s">
        <v>825</v>
      </c>
      <c r="J241">
        <v>9000068529</v>
      </c>
      <c r="O241" t="s">
        <v>826</v>
      </c>
      <c r="P241">
        <v>10000</v>
      </c>
      <c r="Q241" s="1">
        <v>45950.475810185184</v>
      </c>
      <c r="AA241" t="s">
        <v>231</v>
      </c>
      <c r="AB241">
        <v>0</v>
      </c>
    </row>
    <row r="242" spans="1:28" x14ac:dyDescent="0.45">
      <c r="A242" t="s">
        <v>226</v>
      </c>
      <c r="B242" t="s">
        <v>49</v>
      </c>
      <c r="C242" t="s">
        <v>700</v>
      </c>
      <c r="D242">
        <v>1</v>
      </c>
      <c r="E242">
        <v>1</v>
      </c>
      <c r="F242" t="s">
        <v>558</v>
      </c>
      <c r="G242">
        <v>29</v>
      </c>
      <c r="H242" t="s">
        <v>287</v>
      </c>
      <c r="I242" t="s">
        <v>827</v>
      </c>
      <c r="J242">
        <v>667743</v>
      </c>
      <c r="O242" t="s">
        <v>828</v>
      </c>
      <c r="P242">
        <v>10000</v>
      </c>
      <c r="Q242" s="1">
        <v>45950.475810185184</v>
      </c>
      <c r="AA242" t="s">
        <v>231</v>
      </c>
      <c r="AB242">
        <v>0</v>
      </c>
    </row>
    <row r="243" spans="1:28" x14ac:dyDescent="0.45">
      <c r="A243" t="s">
        <v>226</v>
      </c>
      <c r="B243" t="s">
        <v>49</v>
      </c>
      <c r="C243" t="s">
        <v>700</v>
      </c>
      <c r="D243">
        <v>1</v>
      </c>
      <c r="E243">
        <v>1</v>
      </c>
      <c r="F243" t="s">
        <v>408</v>
      </c>
      <c r="G243">
        <v>30</v>
      </c>
      <c r="H243" t="s">
        <v>287</v>
      </c>
      <c r="I243" t="s">
        <v>829</v>
      </c>
      <c r="J243">
        <v>9000043908</v>
      </c>
      <c r="O243" t="s">
        <v>830</v>
      </c>
      <c r="P243">
        <v>2000</v>
      </c>
      <c r="Q243" s="1">
        <v>45950.475810185184</v>
      </c>
      <c r="S243" t="s">
        <v>290</v>
      </c>
      <c r="U243" t="s">
        <v>831</v>
      </c>
      <c r="AA243" t="s">
        <v>231</v>
      </c>
      <c r="AB243">
        <v>0</v>
      </c>
    </row>
    <row r="244" spans="1:28" x14ac:dyDescent="0.45">
      <c r="A244" t="s">
        <v>226</v>
      </c>
      <c r="B244" t="s">
        <v>58</v>
      </c>
      <c r="C244" t="s">
        <v>832</v>
      </c>
      <c r="D244">
        <v>1</v>
      </c>
      <c r="E244">
        <v>1</v>
      </c>
      <c r="F244" t="s">
        <v>481</v>
      </c>
      <c r="G244">
        <v>27</v>
      </c>
      <c r="H244" t="s">
        <v>287</v>
      </c>
      <c r="I244" t="s">
        <v>833</v>
      </c>
      <c r="J244">
        <v>9000001063</v>
      </c>
      <c r="O244" t="s">
        <v>834</v>
      </c>
      <c r="P244">
        <v>3000</v>
      </c>
      <c r="Q244" s="1">
        <v>45950.475335648145</v>
      </c>
      <c r="AA244" t="s">
        <v>231</v>
      </c>
      <c r="AB244">
        <v>0</v>
      </c>
    </row>
    <row r="245" spans="1:28" x14ac:dyDescent="0.45">
      <c r="A245" t="s">
        <v>226</v>
      </c>
      <c r="B245" t="s">
        <v>58</v>
      </c>
      <c r="C245" t="s">
        <v>832</v>
      </c>
      <c r="D245">
        <v>1</v>
      </c>
      <c r="E245">
        <v>1</v>
      </c>
      <c r="F245" t="s">
        <v>484</v>
      </c>
      <c r="G245">
        <v>28</v>
      </c>
      <c r="H245" t="s">
        <v>287</v>
      </c>
      <c r="I245" t="s">
        <v>835</v>
      </c>
      <c r="J245">
        <v>9000066748</v>
      </c>
      <c r="O245" t="s">
        <v>836</v>
      </c>
      <c r="P245">
        <v>1000</v>
      </c>
      <c r="Q245" s="1">
        <v>45950.475335648145</v>
      </c>
      <c r="AA245" t="s">
        <v>231</v>
      </c>
      <c r="AB245">
        <v>0</v>
      </c>
    </row>
    <row r="246" spans="1:28" x14ac:dyDescent="0.45">
      <c r="A246" t="s">
        <v>226</v>
      </c>
      <c r="B246" t="s">
        <v>58</v>
      </c>
      <c r="C246" t="s">
        <v>832</v>
      </c>
      <c r="D246">
        <v>1</v>
      </c>
      <c r="E246">
        <v>1</v>
      </c>
      <c r="F246" t="s">
        <v>487</v>
      </c>
      <c r="G246">
        <v>29</v>
      </c>
      <c r="H246" t="s">
        <v>287</v>
      </c>
      <c r="I246" t="s">
        <v>837</v>
      </c>
      <c r="J246">
        <v>9000057855</v>
      </c>
      <c r="O246" t="s">
        <v>838</v>
      </c>
      <c r="P246">
        <v>2000</v>
      </c>
      <c r="Q246" s="1">
        <v>45950.475335648145</v>
      </c>
      <c r="AA246" t="s">
        <v>231</v>
      </c>
      <c r="AB246">
        <v>0</v>
      </c>
    </row>
    <row r="247" spans="1:28" x14ac:dyDescent="0.45">
      <c r="A247" t="s">
        <v>226</v>
      </c>
      <c r="B247" t="s">
        <v>58</v>
      </c>
      <c r="C247" t="s">
        <v>832</v>
      </c>
      <c r="D247">
        <v>1</v>
      </c>
      <c r="E247">
        <v>1</v>
      </c>
      <c r="F247" t="s">
        <v>661</v>
      </c>
      <c r="G247">
        <v>30</v>
      </c>
      <c r="H247" t="s">
        <v>287</v>
      </c>
      <c r="I247" t="s">
        <v>839</v>
      </c>
      <c r="J247" t="s">
        <v>110</v>
      </c>
      <c r="O247" t="s">
        <v>840</v>
      </c>
      <c r="P247">
        <v>2000</v>
      </c>
      <c r="Q247" s="1">
        <v>45950.475335648145</v>
      </c>
      <c r="AA247" t="s">
        <v>231</v>
      </c>
      <c r="AB247">
        <v>0</v>
      </c>
    </row>
    <row r="248" spans="1:28" x14ac:dyDescent="0.45">
      <c r="A248" t="s">
        <v>226</v>
      </c>
      <c r="B248" t="s">
        <v>58</v>
      </c>
      <c r="C248" t="s">
        <v>832</v>
      </c>
      <c r="D248">
        <v>1</v>
      </c>
      <c r="E248">
        <v>1</v>
      </c>
      <c r="F248" t="s">
        <v>334</v>
      </c>
      <c r="G248">
        <v>1</v>
      </c>
      <c r="H248" t="s">
        <v>287</v>
      </c>
      <c r="I248" t="s">
        <v>841</v>
      </c>
      <c r="J248" t="s">
        <v>62</v>
      </c>
      <c r="O248" t="s">
        <v>842</v>
      </c>
      <c r="P248">
        <v>1500</v>
      </c>
      <c r="Q248" s="1">
        <v>45950.475335648145</v>
      </c>
      <c r="AA248" t="s">
        <v>231</v>
      </c>
      <c r="AB248">
        <v>0</v>
      </c>
    </row>
    <row r="249" spans="1:28" x14ac:dyDescent="0.45">
      <c r="A249" t="s">
        <v>226</v>
      </c>
      <c r="B249" t="s">
        <v>58</v>
      </c>
      <c r="C249" t="s">
        <v>832</v>
      </c>
      <c r="D249">
        <v>1</v>
      </c>
      <c r="E249">
        <v>1</v>
      </c>
      <c r="F249" t="s">
        <v>341</v>
      </c>
      <c r="G249">
        <v>3</v>
      </c>
      <c r="H249" t="s">
        <v>287</v>
      </c>
      <c r="I249" t="s">
        <v>843</v>
      </c>
      <c r="J249">
        <v>9000067895</v>
      </c>
      <c r="O249" t="s">
        <v>844</v>
      </c>
      <c r="P249">
        <v>15000</v>
      </c>
      <c r="Q249" s="1">
        <v>45950.475335648145</v>
      </c>
      <c r="AA249" t="s">
        <v>231</v>
      </c>
      <c r="AB249">
        <v>0</v>
      </c>
    </row>
    <row r="250" spans="1:28" x14ac:dyDescent="0.45">
      <c r="A250" t="s">
        <v>226</v>
      </c>
      <c r="B250" t="s">
        <v>58</v>
      </c>
      <c r="C250" t="s">
        <v>832</v>
      </c>
      <c r="D250">
        <v>1</v>
      </c>
      <c r="E250">
        <v>1</v>
      </c>
      <c r="F250" t="s">
        <v>286</v>
      </c>
      <c r="G250">
        <v>1</v>
      </c>
      <c r="H250" t="s">
        <v>287</v>
      </c>
      <c r="I250" t="s">
        <v>845</v>
      </c>
      <c r="J250">
        <v>9000064828</v>
      </c>
      <c r="O250" t="s">
        <v>846</v>
      </c>
      <c r="P250">
        <v>1000</v>
      </c>
      <c r="Q250" s="1">
        <v>45950.475324074076</v>
      </c>
      <c r="S250" t="s">
        <v>290</v>
      </c>
      <c r="U250" t="s">
        <v>847</v>
      </c>
      <c r="AA250" t="s">
        <v>231</v>
      </c>
      <c r="AB250">
        <v>0</v>
      </c>
    </row>
    <row r="251" spans="1:28" x14ac:dyDescent="0.45">
      <c r="A251" t="s">
        <v>226</v>
      </c>
      <c r="B251" t="s">
        <v>58</v>
      </c>
      <c r="C251" t="s">
        <v>832</v>
      </c>
      <c r="D251">
        <v>1</v>
      </c>
      <c r="E251">
        <v>1</v>
      </c>
      <c r="F251" t="s">
        <v>292</v>
      </c>
      <c r="G251">
        <v>2</v>
      </c>
      <c r="H251" t="s">
        <v>287</v>
      </c>
      <c r="I251" t="s">
        <v>848</v>
      </c>
      <c r="J251">
        <v>9000069928</v>
      </c>
      <c r="O251" t="s">
        <v>849</v>
      </c>
      <c r="P251">
        <v>500</v>
      </c>
      <c r="Q251" s="1">
        <v>45950.475324074076</v>
      </c>
      <c r="AA251" t="s">
        <v>231</v>
      </c>
      <c r="AB251">
        <v>0</v>
      </c>
    </row>
    <row r="252" spans="1:28" x14ac:dyDescent="0.45">
      <c r="A252" t="s">
        <v>226</v>
      </c>
      <c r="B252" t="s">
        <v>58</v>
      </c>
      <c r="C252" t="s">
        <v>832</v>
      </c>
      <c r="D252">
        <v>1</v>
      </c>
      <c r="E252">
        <v>1</v>
      </c>
      <c r="F252" t="s">
        <v>295</v>
      </c>
      <c r="G252">
        <v>3</v>
      </c>
      <c r="H252" t="s">
        <v>287</v>
      </c>
      <c r="I252" t="s">
        <v>850</v>
      </c>
      <c r="J252" t="s">
        <v>59</v>
      </c>
      <c r="O252" t="s">
        <v>851</v>
      </c>
      <c r="P252">
        <v>4000</v>
      </c>
      <c r="Q252" s="1">
        <v>45930.558680555558</v>
      </c>
      <c r="AA252" t="s">
        <v>231</v>
      </c>
      <c r="AB252">
        <v>0</v>
      </c>
    </row>
    <row r="253" spans="1:28" x14ac:dyDescent="0.45">
      <c r="A253" t="s">
        <v>226</v>
      </c>
      <c r="B253" t="s">
        <v>58</v>
      </c>
      <c r="C253" t="s">
        <v>832</v>
      </c>
      <c r="D253">
        <v>1</v>
      </c>
      <c r="E253">
        <v>1</v>
      </c>
      <c r="F253" t="s">
        <v>298</v>
      </c>
      <c r="G253">
        <v>4</v>
      </c>
      <c r="H253" t="s">
        <v>287</v>
      </c>
      <c r="I253" t="s">
        <v>852</v>
      </c>
      <c r="J253">
        <v>9000064829</v>
      </c>
      <c r="O253" t="s">
        <v>853</v>
      </c>
      <c r="P253">
        <v>1000</v>
      </c>
      <c r="Q253" s="1">
        <v>45950.475324074076</v>
      </c>
      <c r="S253" t="s">
        <v>290</v>
      </c>
      <c r="U253" t="s">
        <v>854</v>
      </c>
      <c r="AA253" t="s">
        <v>231</v>
      </c>
      <c r="AB253">
        <v>0</v>
      </c>
    </row>
    <row r="254" spans="1:28" x14ac:dyDescent="0.45">
      <c r="A254" t="s">
        <v>226</v>
      </c>
      <c r="B254" t="s">
        <v>58</v>
      </c>
      <c r="C254" t="s">
        <v>832</v>
      </c>
      <c r="D254">
        <v>1</v>
      </c>
      <c r="E254">
        <v>1</v>
      </c>
      <c r="F254" t="s">
        <v>301</v>
      </c>
      <c r="G254">
        <v>5</v>
      </c>
      <c r="H254" t="s">
        <v>287</v>
      </c>
      <c r="I254" t="s">
        <v>855</v>
      </c>
      <c r="J254">
        <v>9000057261</v>
      </c>
      <c r="O254" t="s">
        <v>856</v>
      </c>
      <c r="P254">
        <v>2000</v>
      </c>
      <c r="Q254" s="1">
        <v>45950.475324074076</v>
      </c>
      <c r="AA254" t="s">
        <v>231</v>
      </c>
      <c r="AB254">
        <v>0</v>
      </c>
    </row>
    <row r="255" spans="1:28" x14ac:dyDescent="0.45">
      <c r="A255" t="s">
        <v>226</v>
      </c>
      <c r="B255" t="s">
        <v>58</v>
      </c>
      <c r="C255" t="s">
        <v>832</v>
      </c>
      <c r="D255">
        <v>1</v>
      </c>
      <c r="E255">
        <v>1</v>
      </c>
      <c r="F255" t="s">
        <v>304</v>
      </c>
      <c r="G255">
        <v>6</v>
      </c>
      <c r="H255" t="s">
        <v>287</v>
      </c>
      <c r="I255" t="s">
        <v>857</v>
      </c>
      <c r="J255">
        <v>658058</v>
      </c>
      <c r="O255" t="s">
        <v>858</v>
      </c>
      <c r="P255">
        <v>2500</v>
      </c>
      <c r="Q255" s="1">
        <v>45950.475324074076</v>
      </c>
      <c r="AA255" t="s">
        <v>231</v>
      </c>
      <c r="AB255">
        <v>0</v>
      </c>
    </row>
    <row r="256" spans="1:28" x14ac:dyDescent="0.45">
      <c r="A256" t="s">
        <v>226</v>
      </c>
      <c r="B256" t="s">
        <v>58</v>
      </c>
      <c r="C256" t="s">
        <v>832</v>
      </c>
      <c r="D256">
        <v>1</v>
      </c>
      <c r="E256">
        <v>1</v>
      </c>
      <c r="F256" t="s">
        <v>307</v>
      </c>
      <c r="G256">
        <v>7</v>
      </c>
      <c r="H256" t="s">
        <v>287</v>
      </c>
      <c r="I256" t="s">
        <v>859</v>
      </c>
      <c r="J256" t="s">
        <v>108</v>
      </c>
      <c r="O256" t="s">
        <v>860</v>
      </c>
      <c r="P256">
        <v>4000</v>
      </c>
      <c r="Q256" s="1">
        <v>45950.475324074076</v>
      </c>
      <c r="AA256" t="s">
        <v>231</v>
      </c>
      <c r="AB256">
        <v>0</v>
      </c>
    </row>
    <row r="257" spans="1:28" x14ac:dyDescent="0.45">
      <c r="A257" t="s">
        <v>226</v>
      </c>
      <c r="B257" t="s">
        <v>58</v>
      </c>
      <c r="C257" t="s">
        <v>832</v>
      </c>
      <c r="D257">
        <v>1</v>
      </c>
      <c r="E257">
        <v>1</v>
      </c>
      <c r="F257" t="s">
        <v>310</v>
      </c>
      <c r="G257">
        <v>8</v>
      </c>
      <c r="H257" t="s">
        <v>287</v>
      </c>
      <c r="I257" t="s">
        <v>861</v>
      </c>
      <c r="J257">
        <v>9000046986</v>
      </c>
      <c r="O257" t="s">
        <v>862</v>
      </c>
      <c r="P257">
        <v>2500</v>
      </c>
      <c r="Q257" s="1">
        <v>45950.475324074076</v>
      </c>
      <c r="S257" t="s">
        <v>290</v>
      </c>
      <c r="U257" t="s">
        <v>863</v>
      </c>
      <c r="AA257" t="s">
        <v>231</v>
      </c>
      <c r="AB257">
        <v>0</v>
      </c>
    </row>
    <row r="258" spans="1:28" x14ac:dyDescent="0.45">
      <c r="A258" t="s">
        <v>226</v>
      </c>
      <c r="B258" t="s">
        <v>58</v>
      </c>
      <c r="C258" t="s">
        <v>832</v>
      </c>
      <c r="D258">
        <v>1</v>
      </c>
      <c r="E258">
        <v>1</v>
      </c>
      <c r="F258" t="s">
        <v>313</v>
      </c>
      <c r="G258">
        <v>9</v>
      </c>
      <c r="H258" t="s">
        <v>287</v>
      </c>
      <c r="I258" t="s">
        <v>864</v>
      </c>
      <c r="J258">
        <v>9000045915</v>
      </c>
      <c r="O258" t="s">
        <v>865</v>
      </c>
      <c r="P258">
        <v>2500</v>
      </c>
      <c r="Q258" s="1">
        <v>45950.475324074076</v>
      </c>
      <c r="S258" t="s">
        <v>290</v>
      </c>
      <c r="U258" t="s">
        <v>866</v>
      </c>
      <c r="AA258" t="s">
        <v>231</v>
      </c>
      <c r="AB258">
        <v>0</v>
      </c>
    </row>
    <row r="259" spans="1:28" x14ac:dyDescent="0.45">
      <c r="A259" t="s">
        <v>226</v>
      </c>
      <c r="B259" t="s">
        <v>58</v>
      </c>
      <c r="C259" t="s">
        <v>832</v>
      </c>
      <c r="D259">
        <v>1</v>
      </c>
      <c r="E259">
        <v>1</v>
      </c>
      <c r="F259" t="s">
        <v>316</v>
      </c>
      <c r="G259">
        <v>10</v>
      </c>
      <c r="H259" t="s">
        <v>287</v>
      </c>
      <c r="I259" t="s">
        <v>867</v>
      </c>
      <c r="J259">
        <v>9000070725</v>
      </c>
      <c r="O259" t="s">
        <v>868</v>
      </c>
      <c r="P259">
        <v>1000</v>
      </c>
      <c r="Q259" s="1">
        <v>45950.475324074076</v>
      </c>
      <c r="AA259" t="s">
        <v>231</v>
      </c>
      <c r="AB259">
        <v>0</v>
      </c>
    </row>
    <row r="260" spans="1:28" x14ac:dyDescent="0.45">
      <c r="A260" t="s">
        <v>226</v>
      </c>
      <c r="B260" t="s">
        <v>58</v>
      </c>
      <c r="C260" t="s">
        <v>832</v>
      </c>
      <c r="D260">
        <v>1</v>
      </c>
      <c r="E260">
        <v>1</v>
      </c>
      <c r="F260" t="s">
        <v>319</v>
      </c>
      <c r="G260">
        <v>11</v>
      </c>
      <c r="H260" t="s">
        <v>287</v>
      </c>
      <c r="I260" t="s">
        <v>869</v>
      </c>
      <c r="J260">
        <v>9000066667</v>
      </c>
      <c r="O260" t="s">
        <v>870</v>
      </c>
      <c r="P260">
        <v>3000</v>
      </c>
      <c r="Q260" s="1">
        <v>45950.475324074076</v>
      </c>
      <c r="AA260" t="s">
        <v>231</v>
      </c>
      <c r="AB260">
        <v>0</v>
      </c>
    </row>
    <row r="261" spans="1:28" x14ac:dyDescent="0.45">
      <c r="A261" t="s">
        <v>226</v>
      </c>
      <c r="B261" t="s">
        <v>58</v>
      </c>
      <c r="C261" t="s">
        <v>832</v>
      </c>
      <c r="D261">
        <v>1</v>
      </c>
      <c r="E261">
        <v>1</v>
      </c>
      <c r="F261" t="s">
        <v>322</v>
      </c>
      <c r="G261">
        <v>12</v>
      </c>
      <c r="H261" t="s">
        <v>287</v>
      </c>
      <c r="I261" t="s">
        <v>871</v>
      </c>
      <c r="J261">
        <v>9000069552</v>
      </c>
      <c r="O261" t="s">
        <v>872</v>
      </c>
      <c r="P261">
        <v>1500</v>
      </c>
      <c r="Q261" s="1">
        <v>45950.475324074076</v>
      </c>
      <c r="S261" t="s">
        <v>290</v>
      </c>
      <c r="U261" t="s">
        <v>873</v>
      </c>
      <c r="AA261" t="s">
        <v>231</v>
      </c>
      <c r="AB261">
        <v>0</v>
      </c>
    </row>
    <row r="262" spans="1:28" x14ac:dyDescent="0.45">
      <c r="A262" t="s">
        <v>226</v>
      </c>
      <c r="B262" t="s">
        <v>58</v>
      </c>
      <c r="C262" t="s">
        <v>832</v>
      </c>
      <c r="D262">
        <v>1</v>
      </c>
      <c r="E262">
        <v>1</v>
      </c>
      <c r="F262" t="s">
        <v>325</v>
      </c>
      <c r="G262">
        <v>13</v>
      </c>
      <c r="H262" t="s">
        <v>287</v>
      </c>
      <c r="I262" t="s">
        <v>874</v>
      </c>
      <c r="J262">
        <v>9000063369</v>
      </c>
      <c r="O262" t="s">
        <v>875</v>
      </c>
      <c r="P262">
        <v>2500</v>
      </c>
      <c r="Q262" s="1">
        <v>45950.475324074076</v>
      </c>
      <c r="AA262" t="s">
        <v>231</v>
      </c>
      <c r="AB262">
        <v>0</v>
      </c>
    </row>
    <row r="263" spans="1:28" x14ac:dyDescent="0.45">
      <c r="A263" t="s">
        <v>226</v>
      </c>
      <c r="B263" t="s">
        <v>58</v>
      </c>
      <c r="C263" t="s">
        <v>832</v>
      </c>
      <c r="D263">
        <v>1</v>
      </c>
      <c r="E263">
        <v>1</v>
      </c>
      <c r="F263" t="s">
        <v>328</v>
      </c>
      <c r="G263">
        <v>14</v>
      </c>
      <c r="H263" t="s">
        <v>287</v>
      </c>
      <c r="I263" t="s">
        <v>876</v>
      </c>
      <c r="J263">
        <v>9000000714</v>
      </c>
      <c r="O263" t="s">
        <v>877</v>
      </c>
      <c r="P263">
        <v>1000</v>
      </c>
      <c r="Q263" s="1">
        <v>45950.475324074076</v>
      </c>
      <c r="AA263" t="s">
        <v>231</v>
      </c>
      <c r="AB263">
        <v>0</v>
      </c>
    </row>
    <row r="264" spans="1:28" x14ac:dyDescent="0.45">
      <c r="A264" t="s">
        <v>226</v>
      </c>
      <c r="B264" t="s">
        <v>58</v>
      </c>
      <c r="C264" t="s">
        <v>832</v>
      </c>
      <c r="D264">
        <v>1</v>
      </c>
      <c r="E264">
        <v>1</v>
      </c>
      <c r="F264" t="s">
        <v>331</v>
      </c>
      <c r="G264">
        <v>15</v>
      </c>
      <c r="H264" t="s">
        <v>287</v>
      </c>
      <c r="I264" t="s">
        <v>878</v>
      </c>
      <c r="J264">
        <v>9000059659</v>
      </c>
      <c r="O264" t="s">
        <v>879</v>
      </c>
      <c r="P264">
        <v>2000</v>
      </c>
      <c r="Q264" s="1">
        <v>45950.475324074076</v>
      </c>
      <c r="AA264" t="s">
        <v>231</v>
      </c>
      <c r="AB264">
        <v>0</v>
      </c>
    </row>
    <row r="265" spans="1:28" x14ac:dyDescent="0.45">
      <c r="A265" t="s">
        <v>226</v>
      </c>
      <c r="B265" t="s">
        <v>58</v>
      </c>
      <c r="C265" t="s">
        <v>832</v>
      </c>
      <c r="D265">
        <v>1</v>
      </c>
      <c r="E265">
        <v>1</v>
      </c>
      <c r="F265" t="s">
        <v>445</v>
      </c>
      <c r="G265">
        <v>16</v>
      </c>
      <c r="H265" t="s">
        <v>287</v>
      </c>
      <c r="I265" t="s">
        <v>880</v>
      </c>
      <c r="J265" t="s">
        <v>60</v>
      </c>
      <c r="O265" t="s">
        <v>881</v>
      </c>
      <c r="P265">
        <v>3000</v>
      </c>
      <c r="Q265" s="1">
        <v>45950.475324074076</v>
      </c>
      <c r="S265" t="s">
        <v>290</v>
      </c>
      <c r="U265" t="s">
        <v>882</v>
      </c>
      <c r="AA265" t="s">
        <v>231</v>
      </c>
      <c r="AB265">
        <v>0</v>
      </c>
    </row>
    <row r="266" spans="1:28" x14ac:dyDescent="0.45">
      <c r="A266" t="s">
        <v>226</v>
      </c>
      <c r="B266" t="s">
        <v>58</v>
      </c>
      <c r="C266" t="s">
        <v>832</v>
      </c>
      <c r="D266">
        <v>1</v>
      </c>
      <c r="E266">
        <v>1</v>
      </c>
      <c r="F266" t="s">
        <v>449</v>
      </c>
      <c r="G266">
        <v>17</v>
      </c>
      <c r="H266" t="s">
        <v>287</v>
      </c>
      <c r="I266" t="s">
        <v>883</v>
      </c>
      <c r="J266">
        <v>9000070170</v>
      </c>
      <c r="O266" t="s">
        <v>884</v>
      </c>
      <c r="P266">
        <v>1000</v>
      </c>
      <c r="Q266" s="1">
        <v>45950.475324074076</v>
      </c>
      <c r="AA266" t="s">
        <v>231</v>
      </c>
      <c r="AB266">
        <v>0</v>
      </c>
    </row>
    <row r="267" spans="1:28" x14ac:dyDescent="0.45">
      <c r="A267" t="s">
        <v>226</v>
      </c>
      <c r="B267" t="s">
        <v>58</v>
      </c>
      <c r="C267" t="s">
        <v>832</v>
      </c>
      <c r="D267">
        <v>1</v>
      </c>
      <c r="E267">
        <v>1</v>
      </c>
      <c r="F267" t="s">
        <v>452</v>
      </c>
      <c r="G267">
        <v>18</v>
      </c>
      <c r="H267" t="s">
        <v>287</v>
      </c>
      <c r="I267" t="s">
        <v>885</v>
      </c>
      <c r="J267">
        <v>9000070169</v>
      </c>
      <c r="O267" t="s">
        <v>886</v>
      </c>
      <c r="P267">
        <v>1000</v>
      </c>
      <c r="Q267" s="1">
        <v>45950.475324074076</v>
      </c>
      <c r="AA267" t="s">
        <v>231</v>
      </c>
      <c r="AB267">
        <v>0</v>
      </c>
    </row>
    <row r="268" spans="1:28" x14ac:dyDescent="0.45">
      <c r="A268" t="s">
        <v>226</v>
      </c>
      <c r="B268" t="s">
        <v>58</v>
      </c>
      <c r="C268" t="s">
        <v>832</v>
      </c>
      <c r="D268">
        <v>1</v>
      </c>
      <c r="E268">
        <v>1</v>
      </c>
      <c r="F268" t="s">
        <v>455</v>
      </c>
      <c r="G268">
        <v>19</v>
      </c>
      <c r="H268" t="s">
        <v>287</v>
      </c>
      <c r="I268" t="s">
        <v>887</v>
      </c>
      <c r="J268">
        <v>9000065071</v>
      </c>
      <c r="O268" t="s">
        <v>888</v>
      </c>
      <c r="P268">
        <v>3000</v>
      </c>
      <c r="Q268" s="1">
        <v>45950.475324074076</v>
      </c>
      <c r="AA268" t="s">
        <v>231</v>
      </c>
      <c r="AB268">
        <v>0</v>
      </c>
    </row>
    <row r="269" spans="1:28" x14ac:dyDescent="0.45">
      <c r="A269" t="s">
        <v>226</v>
      </c>
      <c r="B269" t="s">
        <v>58</v>
      </c>
      <c r="C269" t="s">
        <v>832</v>
      </c>
      <c r="D269">
        <v>1</v>
      </c>
      <c r="E269">
        <v>1</v>
      </c>
      <c r="F269" t="s">
        <v>458</v>
      </c>
      <c r="G269">
        <v>20</v>
      </c>
      <c r="H269" t="s">
        <v>287</v>
      </c>
      <c r="I269" t="s">
        <v>889</v>
      </c>
      <c r="J269">
        <v>9000065070</v>
      </c>
      <c r="O269" t="s">
        <v>890</v>
      </c>
      <c r="P269">
        <v>1000</v>
      </c>
      <c r="Q269" s="1">
        <v>45950.475324074076</v>
      </c>
      <c r="AA269" t="s">
        <v>231</v>
      </c>
      <c r="AB269">
        <v>0</v>
      </c>
    </row>
    <row r="270" spans="1:28" x14ac:dyDescent="0.45">
      <c r="A270" t="s">
        <v>226</v>
      </c>
      <c r="B270" t="s">
        <v>58</v>
      </c>
      <c r="C270" t="s">
        <v>832</v>
      </c>
      <c r="D270">
        <v>1</v>
      </c>
      <c r="E270">
        <v>1</v>
      </c>
      <c r="F270" t="s">
        <v>461</v>
      </c>
      <c r="G270">
        <v>21</v>
      </c>
      <c r="H270" t="s">
        <v>287</v>
      </c>
      <c r="I270" t="s">
        <v>891</v>
      </c>
      <c r="J270">
        <v>9000070000</v>
      </c>
      <c r="O270" t="s">
        <v>892</v>
      </c>
      <c r="P270">
        <v>1000</v>
      </c>
      <c r="Q270" s="1">
        <v>45950.475324074076</v>
      </c>
      <c r="AA270" t="s">
        <v>231</v>
      </c>
      <c r="AB270">
        <v>0</v>
      </c>
    </row>
    <row r="271" spans="1:28" x14ac:dyDescent="0.45">
      <c r="A271" t="s">
        <v>226</v>
      </c>
      <c r="B271" t="s">
        <v>58</v>
      </c>
      <c r="C271" t="s">
        <v>832</v>
      </c>
      <c r="D271">
        <v>1</v>
      </c>
      <c r="E271">
        <v>1</v>
      </c>
      <c r="F271" t="s">
        <v>464</v>
      </c>
      <c r="G271">
        <v>22</v>
      </c>
      <c r="H271" t="s">
        <v>287</v>
      </c>
      <c r="I271" t="s">
        <v>893</v>
      </c>
      <c r="J271">
        <v>9000060539</v>
      </c>
      <c r="O271" t="s">
        <v>894</v>
      </c>
      <c r="P271">
        <v>2000</v>
      </c>
      <c r="Q271" s="1">
        <v>45950.475324074076</v>
      </c>
      <c r="AA271" t="s">
        <v>231</v>
      </c>
      <c r="AB271">
        <v>0</v>
      </c>
    </row>
    <row r="272" spans="1:28" x14ac:dyDescent="0.45">
      <c r="A272" t="s">
        <v>226</v>
      </c>
      <c r="B272" t="s">
        <v>58</v>
      </c>
      <c r="C272" t="s">
        <v>832</v>
      </c>
      <c r="D272">
        <v>1</v>
      </c>
      <c r="E272">
        <v>1</v>
      </c>
      <c r="F272" t="s">
        <v>468</v>
      </c>
      <c r="G272">
        <v>23</v>
      </c>
      <c r="H272" t="s">
        <v>287</v>
      </c>
      <c r="I272" t="s">
        <v>895</v>
      </c>
      <c r="J272">
        <v>9000057687</v>
      </c>
      <c r="O272" t="s">
        <v>896</v>
      </c>
      <c r="P272">
        <v>3500</v>
      </c>
      <c r="Q272" s="1">
        <v>45950.475324074076</v>
      </c>
      <c r="AA272" t="s">
        <v>231</v>
      </c>
      <c r="AB272">
        <v>0</v>
      </c>
    </row>
    <row r="273" spans="1:28" x14ac:dyDescent="0.45">
      <c r="A273" t="s">
        <v>226</v>
      </c>
      <c r="B273" t="s">
        <v>58</v>
      </c>
      <c r="C273" t="s">
        <v>832</v>
      </c>
      <c r="D273">
        <v>1</v>
      </c>
      <c r="E273">
        <v>1</v>
      </c>
      <c r="F273" t="s">
        <v>472</v>
      </c>
      <c r="G273">
        <v>24</v>
      </c>
      <c r="H273" t="s">
        <v>287</v>
      </c>
      <c r="I273" t="s">
        <v>897</v>
      </c>
      <c r="J273" t="s">
        <v>61</v>
      </c>
      <c r="O273" t="s">
        <v>898</v>
      </c>
      <c r="P273">
        <v>816</v>
      </c>
      <c r="Q273" s="1">
        <v>45950.475324074076</v>
      </c>
      <c r="AA273" t="s">
        <v>231</v>
      </c>
      <c r="AB273">
        <v>0</v>
      </c>
    </row>
    <row r="274" spans="1:28" x14ac:dyDescent="0.45">
      <c r="A274" t="s">
        <v>226</v>
      </c>
      <c r="B274" t="s">
        <v>58</v>
      </c>
      <c r="C274" t="s">
        <v>832</v>
      </c>
      <c r="D274">
        <v>1</v>
      </c>
      <c r="E274">
        <v>1</v>
      </c>
      <c r="F274" t="s">
        <v>475</v>
      </c>
      <c r="G274">
        <v>25</v>
      </c>
      <c r="H274" t="s">
        <v>287</v>
      </c>
      <c r="I274" t="s">
        <v>899</v>
      </c>
      <c r="J274">
        <v>9000070461</v>
      </c>
      <c r="O274" t="s">
        <v>900</v>
      </c>
      <c r="P274">
        <v>1000</v>
      </c>
      <c r="Q274" s="1">
        <v>45950.475324074076</v>
      </c>
      <c r="AA274" t="s">
        <v>231</v>
      </c>
      <c r="AB274">
        <v>0</v>
      </c>
    </row>
    <row r="275" spans="1:28" x14ac:dyDescent="0.45">
      <c r="A275" t="s">
        <v>226</v>
      </c>
      <c r="B275" t="s">
        <v>58</v>
      </c>
      <c r="C275" t="s">
        <v>832</v>
      </c>
      <c r="D275">
        <v>1</v>
      </c>
      <c r="E275">
        <v>1</v>
      </c>
      <c r="F275" t="s">
        <v>478</v>
      </c>
      <c r="G275">
        <v>26</v>
      </c>
      <c r="H275" t="s">
        <v>287</v>
      </c>
      <c r="I275" t="s">
        <v>901</v>
      </c>
      <c r="J275">
        <v>662516</v>
      </c>
      <c r="O275" t="s">
        <v>902</v>
      </c>
      <c r="P275">
        <v>3000</v>
      </c>
      <c r="Q275" s="1">
        <v>45950.475324074076</v>
      </c>
      <c r="AA275" t="s">
        <v>231</v>
      </c>
      <c r="AB275">
        <v>0</v>
      </c>
    </row>
    <row r="276" spans="1:28" x14ac:dyDescent="0.45">
      <c r="A276" t="s">
        <v>226</v>
      </c>
      <c r="B276" t="s">
        <v>58</v>
      </c>
      <c r="C276" t="s">
        <v>832</v>
      </c>
      <c r="D276">
        <v>1</v>
      </c>
      <c r="E276">
        <v>1</v>
      </c>
      <c r="F276" t="s">
        <v>344</v>
      </c>
      <c r="G276">
        <v>4</v>
      </c>
      <c r="H276" t="s">
        <v>287</v>
      </c>
      <c r="I276" t="s">
        <v>903</v>
      </c>
      <c r="J276">
        <v>9000067264</v>
      </c>
      <c r="O276" t="s">
        <v>904</v>
      </c>
      <c r="P276">
        <v>1000</v>
      </c>
      <c r="Q276" s="1">
        <v>45950.475335648145</v>
      </c>
      <c r="AA276" t="s">
        <v>231</v>
      </c>
      <c r="AB276">
        <v>0</v>
      </c>
    </row>
    <row r="277" spans="1:28" x14ac:dyDescent="0.45">
      <c r="A277" t="s">
        <v>226</v>
      </c>
      <c r="B277" t="s">
        <v>58</v>
      </c>
      <c r="C277" t="s">
        <v>832</v>
      </c>
      <c r="D277">
        <v>1</v>
      </c>
      <c r="E277">
        <v>1</v>
      </c>
      <c r="F277" t="s">
        <v>347</v>
      </c>
      <c r="G277">
        <v>5</v>
      </c>
      <c r="H277" t="s">
        <v>287</v>
      </c>
      <c r="I277" t="s">
        <v>905</v>
      </c>
      <c r="J277">
        <v>9000065030</v>
      </c>
      <c r="O277" t="s">
        <v>906</v>
      </c>
      <c r="P277">
        <v>1000</v>
      </c>
      <c r="Q277" s="1">
        <v>45950.475335648145</v>
      </c>
      <c r="S277" t="s">
        <v>290</v>
      </c>
      <c r="U277" t="s">
        <v>907</v>
      </c>
      <c r="AA277" t="s">
        <v>231</v>
      </c>
      <c r="AB277">
        <v>0</v>
      </c>
    </row>
    <row r="278" spans="1:28" x14ac:dyDescent="0.45">
      <c r="A278" t="s">
        <v>226</v>
      </c>
      <c r="B278" t="s">
        <v>58</v>
      </c>
      <c r="C278" t="s">
        <v>832</v>
      </c>
      <c r="D278">
        <v>1</v>
      </c>
      <c r="E278">
        <v>1</v>
      </c>
      <c r="F278" t="s">
        <v>351</v>
      </c>
      <c r="G278">
        <v>6</v>
      </c>
      <c r="H278" t="s">
        <v>287</v>
      </c>
      <c r="I278" t="s">
        <v>908</v>
      </c>
      <c r="J278">
        <v>9000002204</v>
      </c>
      <c r="O278" t="s">
        <v>909</v>
      </c>
      <c r="P278">
        <v>4000</v>
      </c>
      <c r="Q278" s="1">
        <v>45950.475335648145</v>
      </c>
      <c r="AA278" t="s">
        <v>231</v>
      </c>
      <c r="AB278">
        <v>0</v>
      </c>
    </row>
    <row r="279" spans="1:28" x14ac:dyDescent="0.45">
      <c r="A279" t="s">
        <v>226</v>
      </c>
      <c r="B279" t="s">
        <v>58</v>
      </c>
      <c r="C279" t="s">
        <v>832</v>
      </c>
      <c r="D279">
        <v>1</v>
      </c>
      <c r="E279">
        <v>1</v>
      </c>
      <c r="F279" t="s">
        <v>354</v>
      </c>
      <c r="G279">
        <v>7</v>
      </c>
      <c r="H279" t="s">
        <v>287</v>
      </c>
      <c r="I279" t="s">
        <v>910</v>
      </c>
      <c r="J279">
        <v>935864</v>
      </c>
      <c r="O279" t="s">
        <v>911</v>
      </c>
      <c r="P279">
        <v>300</v>
      </c>
      <c r="Q279" s="1">
        <v>45932.639097222222</v>
      </c>
      <c r="S279" t="s">
        <v>290</v>
      </c>
      <c r="U279" t="s">
        <v>912</v>
      </c>
      <c r="AA279" t="s">
        <v>231</v>
      </c>
      <c r="AB279">
        <v>0</v>
      </c>
    </row>
    <row r="280" spans="1:28" x14ac:dyDescent="0.45">
      <c r="A280" t="s">
        <v>226</v>
      </c>
      <c r="B280" t="s">
        <v>58</v>
      </c>
      <c r="C280" t="s">
        <v>832</v>
      </c>
      <c r="D280">
        <v>1</v>
      </c>
      <c r="E280">
        <v>1</v>
      </c>
      <c r="F280" t="s">
        <v>357</v>
      </c>
      <c r="G280">
        <v>8</v>
      </c>
      <c r="H280" t="s">
        <v>287</v>
      </c>
      <c r="I280" t="s">
        <v>913</v>
      </c>
      <c r="J280">
        <v>9000063666</v>
      </c>
      <c r="O280" t="s">
        <v>914</v>
      </c>
      <c r="P280">
        <v>900</v>
      </c>
      <c r="Q280" s="1">
        <v>45950.475335648145</v>
      </c>
      <c r="AA280" t="s">
        <v>231</v>
      </c>
      <c r="AB280">
        <v>0</v>
      </c>
    </row>
    <row r="281" spans="1:28" x14ac:dyDescent="0.45">
      <c r="A281" t="s">
        <v>226</v>
      </c>
      <c r="B281" t="s">
        <v>58</v>
      </c>
      <c r="C281" t="s">
        <v>832</v>
      </c>
      <c r="D281">
        <v>1</v>
      </c>
      <c r="E281">
        <v>1</v>
      </c>
      <c r="F281" t="s">
        <v>360</v>
      </c>
      <c r="G281">
        <v>9</v>
      </c>
      <c r="H281" t="s">
        <v>287</v>
      </c>
      <c r="I281" t="s">
        <v>915</v>
      </c>
      <c r="J281">
        <v>9000064697</v>
      </c>
      <c r="O281" t="s">
        <v>916</v>
      </c>
      <c r="P281">
        <v>3000</v>
      </c>
      <c r="Q281" s="1">
        <v>45950.475335648145</v>
      </c>
      <c r="AA281" t="s">
        <v>231</v>
      </c>
      <c r="AB281">
        <v>0</v>
      </c>
    </row>
    <row r="282" spans="1:28" x14ac:dyDescent="0.45">
      <c r="A282" t="s">
        <v>226</v>
      </c>
      <c r="B282" t="s">
        <v>58</v>
      </c>
      <c r="C282" t="s">
        <v>832</v>
      </c>
      <c r="D282">
        <v>1</v>
      </c>
      <c r="E282">
        <v>1</v>
      </c>
      <c r="F282" t="s">
        <v>363</v>
      </c>
      <c r="G282">
        <v>10</v>
      </c>
      <c r="H282" t="s">
        <v>287</v>
      </c>
      <c r="I282" t="s">
        <v>917</v>
      </c>
      <c r="J282">
        <v>9000069354</v>
      </c>
      <c r="O282" t="s">
        <v>918</v>
      </c>
      <c r="P282">
        <v>1000</v>
      </c>
      <c r="Q282" s="1">
        <v>45950.475335648145</v>
      </c>
      <c r="AA282" t="s">
        <v>231</v>
      </c>
      <c r="AB282">
        <v>0</v>
      </c>
    </row>
    <row r="283" spans="1:28" x14ac:dyDescent="0.45">
      <c r="A283" t="s">
        <v>226</v>
      </c>
      <c r="B283" t="s">
        <v>58</v>
      </c>
      <c r="C283" t="s">
        <v>832</v>
      </c>
      <c r="D283">
        <v>1</v>
      </c>
      <c r="E283">
        <v>1</v>
      </c>
      <c r="F283" t="s">
        <v>366</v>
      </c>
      <c r="G283">
        <v>11</v>
      </c>
      <c r="H283" t="s">
        <v>287</v>
      </c>
      <c r="I283" t="s">
        <v>919</v>
      </c>
      <c r="J283" t="s">
        <v>113</v>
      </c>
      <c r="O283" t="s">
        <v>920</v>
      </c>
      <c r="P283">
        <v>2000</v>
      </c>
      <c r="Q283" s="1">
        <v>45950.475335648145</v>
      </c>
      <c r="AA283" t="s">
        <v>231</v>
      </c>
      <c r="AB283">
        <v>0</v>
      </c>
    </row>
    <row r="284" spans="1:28" x14ac:dyDescent="0.45">
      <c r="A284" t="s">
        <v>226</v>
      </c>
      <c r="B284" t="s">
        <v>58</v>
      </c>
      <c r="C284" t="s">
        <v>832</v>
      </c>
      <c r="D284">
        <v>1</v>
      </c>
      <c r="E284">
        <v>1</v>
      </c>
      <c r="F284" t="s">
        <v>369</v>
      </c>
      <c r="G284">
        <v>12</v>
      </c>
      <c r="H284" t="s">
        <v>287</v>
      </c>
      <c r="I284" t="s">
        <v>921</v>
      </c>
      <c r="J284">
        <v>9000059543</v>
      </c>
      <c r="O284" t="s">
        <v>922</v>
      </c>
      <c r="P284">
        <v>2000</v>
      </c>
      <c r="Q284" s="1">
        <v>45950.475335648145</v>
      </c>
      <c r="AA284" t="s">
        <v>231</v>
      </c>
      <c r="AB284">
        <v>0</v>
      </c>
    </row>
    <row r="285" spans="1:28" x14ac:dyDescent="0.45">
      <c r="A285" t="s">
        <v>226</v>
      </c>
      <c r="B285" t="s">
        <v>58</v>
      </c>
      <c r="C285" t="s">
        <v>832</v>
      </c>
      <c r="D285">
        <v>1</v>
      </c>
      <c r="E285">
        <v>1</v>
      </c>
      <c r="F285" t="s">
        <v>372</v>
      </c>
      <c r="G285">
        <v>13</v>
      </c>
      <c r="H285" t="s">
        <v>287</v>
      </c>
      <c r="I285" t="s">
        <v>923</v>
      </c>
      <c r="J285">
        <v>9000041866</v>
      </c>
      <c r="O285" t="s">
        <v>924</v>
      </c>
      <c r="P285">
        <v>1000</v>
      </c>
      <c r="Q285" s="1">
        <v>45950.475335648145</v>
      </c>
      <c r="AA285" t="s">
        <v>231</v>
      </c>
      <c r="AB285">
        <v>0</v>
      </c>
    </row>
    <row r="286" spans="1:28" x14ac:dyDescent="0.45">
      <c r="A286" t="s">
        <v>226</v>
      </c>
      <c r="B286" t="s">
        <v>58</v>
      </c>
      <c r="C286" t="s">
        <v>832</v>
      </c>
      <c r="D286">
        <v>1</v>
      </c>
      <c r="E286">
        <v>1</v>
      </c>
      <c r="F286" t="s">
        <v>375</v>
      </c>
      <c r="G286">
        <v>14</v>
      </c>
      <c r="H286" t="s">
        <v>287</v>
      </c>
      <c r="I286" t="s">
        <v>925</v>
      </c>
      <c r="J286">
        <v>9000069832</v>
      </c>
      <c r="O286" t="s">
        <v>926</v>
      </c>
      <c r="P286">
        <v>1500</v>
      </c>
      <c r="Q286" s="1">
        <v>45950.475335648145</v>
      </c>
      <c r="AA286" t="s">
        <v>231</v>
      </c>
      <c r="AB286">
        <v>0</v>
      </c>
    </row>
    <row r="287" spans="1:28" x14ac:dyDescent="0.45">
      <c r="A287" t="s">
        <v>226</v>
      </c>
      <c r="B287" t="s">
        <v>58</v>
      </c>
      <c r="C287" t="s">
        <v>832</v>
      </c>
      <c r="D287">
        <v>1</v>
      </c>
      <c r="E287">
        <v>1</v>
      </c>
      <c r="F287" t="s">
        <v>378</v>
      </c>
      <c r="G287">
        <v>15</v>
      </c>
      <c r="H287" t="s">
        <v>287</v>
      </c>
      <c r="I287" t="s">
        <v>927</v>
      </c>
      <c r="J287" t="s">
        <v>63</v>
      </c>
      <c r="O287" t="s">
        <v>928</v>
      </c>
      <c r="P287">
        <v>2500</v>
      </c>
      <c r="Q287" s="1">
        <v>45950.475335648145</v>
      </c>
      <c r="AA287" t="s">
        <v>231</v>
      </c>
      <c r="AB287">
        <v>0</v>
      </c>
    </row>
    <row r="288" spans="1:28" x14ac:dyDescent="0.45">
      <c r="A288" t="s">
        <v>226</v>
      </c>
      <c r="B288" t="s">
        <v>58</v>
      </c>
      <c r="C288" t="s">
        <v>832</v>
      </c>
      <c r="D288">
        <v>1</v>
      </c>
      <c r="E288">
        <v>1</v>
      </c>
      <c r="F288" t="s">
        <v>381</v>
      </c>
      <c r="G288">
        <v>16</v>
      </c>
      <c r="H288" t="s">
        <v>287</v>
      </c>
      <c r="I288" t="s">
        <v>929</v>
      </c>
      <c r="J288">
        <v>9000045889</v>
      </c>
      <c r="O288" t="s">
        <v>930</v>
      </c>
      <c r="P288">
        <v>4000</v>
      </c>
      <c r="Q288" s="1">
        <v>45950.475335648145</v>
      </c>
      <c r="AA288" t="s">
        <v>231</v>
      </c>
      <c r="AB288">
        <v>0</v>
      </c>
    </row>
    <row r="289" spans="1:28" x14ac:dyDescent="0.45">
      <c r="A289" t="s">
        <v>226</v>
      </c>
      <c r="B289" t="s">
        <v>58</v>
      </c>
      <c r="C289" t="s">
        <v>832</v>
      </c>
      <c r="D289">
        <v>1</v>
      </c>
      <c r="E289">
        <v>1</v>
      </c>
      <c r="F289" t="s">
        <v>385</v>
      </c>
      <c r="G289">
        <v>17</v>
      </c>
      <c r="H289" t="s">
        <v>287</v>
      </c>
      <c r="I289" t="s">
        <v>931</v>
      </c>
      <c r="J289">
        <v>9000047174</v>
      </c>
      <c r="O289" t="s">
        <v>932</v>
      </c>
      <c r="P289">
        <v>2000</v>
      </c>
      <c r="Q289" s="1">
        <v>45931.823750000003</v>
      </c>
      <c r="AA289" t="s">
        <v>231</v>
      </c>
      <c r="AB289">
        <v>0</v>
      </c>
    </row>
    <row r="290" spans="1:28" x14ac:dyDescent="0.45">
      <c r="A290" t="s">
        <v>226</v>
      </c>
      <c r="B290" t="s">
        <v>58</v>
      </c>
      <c r="C290" t="s">
        <v>832</v>
      </c>
      <c r="D290">
        <v>1</v>
      </c>
      <c r="E290">
        <v>1</v>
      </c>
      <c r="F290" t="s">
        <v>388</v>
      </c>
      <c r="G290">
        <v>18</v>
      </c>
      <c r="H290" t="s">
        <v>287</v>
      </c>
      <c r="I290" t="s">
        <v>933</v>
      </c>
      <c r="J290">
        <v>9000057386</v>
      </c>
      <c r="O290" t="s">
        <v>934</v>
      </c>
      <c r="P290">
        <v>1000</v>
      </c>
      <c r="Q290" s="1">
        <v>45950.475335648145</v>
      </c>
      <c r="AA290" t="s">
        <v>231</v>
      </c>
      <c r="AB290">
        <v>0</v>
      </c>
    </row>
    <row r="291" spans="1:28" x14ac:dyDescent="0.45">
      <c r="A291" t="s">
        <v>226</v>
      </c>
      <c r="B291" t="s">
        <v>58</v>
      </c>
      <c r="C291" t="s">
        <v>832</v>
      </c>
      <c r="D291">
        <v>1</v>
      </c>
      <c r="E291">
        <v>1</v>
      </c>
      <c r="F291" t="s">
        <v>391</v>
      </c>
      <c r="G291">
        <v>19</v>
      </c>
      <c r="H291" t="s">
        <v>287</v>
      </c>
      <c r="I291" t="s">
        <v>935</v>
      </c>
      <c r="J291">
        <v>9000059611</v>
      </c>
      <c r="O291" t="s">
        <v>936</v>
      </c>
      <c r="P291">
        <v>1500</v>
      </c>
      <c r="Q291" s="1">
        <v>45931.823761574073</v>
      </c>
      <c r="S291" t="s">
        <v>290</v>
      </c>
      <c r="U291" t="s">
        <v>937</v>
      </c>
      <c r="AA291" t="s">
        <v>231</v>
      </c>
      <c r="AB291">
        <v>0</v>
      </c>
    </row>
    <row r="292" spans="1:28" x14ac:dyDescent="0.45">
      <c r="A292" t="s">
        <v>226</v>
      </c>
      <c r="B292" t="s">
        <v>58</v>
      </c>
      <c r="C292" t="s">
        <v>832</v>
      </c>
      <c r="D292">
        <v>1</v>
      </c>
      <c r="E292">
        <v>1</v>
      </c>
      <c r="F292" t="s">
        <v>396</v>
      </c>
      <c r="G292">
        <v>20</v>
      </c>
      <c r="H292" t="s">
        <v>287</v>
      </c>
      <c r="I292" t="s">
        <v>938</v>
      </c>
      <c r="J292">
        <v>9000069402</v>
      </c>
      <c r="O292" t="s">
        <v>939</v>
      </c>
      <c r="P292">
        <v>1000</v>
      </c>
      <c r="Q292" s="1">
        <v>45950.475335648145</v>
      </c>
      <c r="AA292" t="s">
        <v>231</v>
      </c>
      <c r="AB292">
        <v>0</v>
      </c>
    </row>
    <row r="293" spans="1:28" x14ac:dyDescent="0.45">
      <c r="A293" t="s">
        <v>226</v>
      </c>
      <c r="B293" t="s">
        <v>58</v>
      </c>
      <c r="C293" t="s">
        <v>832</v>
      </c>
      <c r="D293">
        <v>1</v>
      </c>
      <c r="E293">
        <v>1</v>
      </c>
      <c r="F293" t="s">
        <v>399</v>
      </c>
      <c r="G293">
        <v>21</v>
      </c>
      <c r="H293" t="s">
        <v>287</v>
      </c>
      <c r="I293" t="s">
        <v>940</v>
      </c>
      <c r="J293" t="s">
        <v>64</v>
      </c>
      <c r="O293" t="s">
        <v>941</v>
      </c>
      <c r="P293">
        <v>1500</v>
      </c>
      <c r="Q293" s="1">
        <v>45950.475347222222</v>
      </c>
      <c r="AA293" t="s">
        <v>231</v>
      </c>
      <c r="AB293">
        <v>0</v>
      </c>
    </row>
    <row r="294" spans="1:28" x14ac:dyDescent="0.45">
      <c r="A294" t="s">
        <v>226</v>
      </c>
      <c r="B294" t="s">
        <v>58</v>
      </c>
      <c r="C294" t="s">
        <v>832</v>
      </c>
      <c r="D294">
        <v>1</v>
      </c>
      <c r="E294">
        <v>1</v>
      </c>
      <c r="F294" t="s">
        <v>402</v>
      </c>
      <c r="G294">
        <v>22</v>
      </c>
      <c r="H294" t="s">
        <v>287</v>
      </c>
      <c r="I294" t="s">
        <v>123</v>
      </c>
      <c r="J294">
        <v>9000069784</v>
      </c>
      <c r="O294" t="s">
        <v>942</v>
      </c>
      <c r="P294">
        <v>826</v>
      </c>
      <c r="Q294" s="1">
        <v>45950.475347222222</v>
      </c>
      <c r="S294" t="s">
        <v>290</v>
      </c>
      <c r="U294" t="s">
        <v>943</v>
      </c>
      <c r="AA294" t="s">
        <v>231</v>
      </c>
      <c r="AB294">
        <v>0</v>
      </c>
    </row>
    <row r="295" spans="1:28" x14ac:dyDescent="0.45">
      <c r="A295" t="s">
        <v>226</v>
      </c>
      <c r="B295" t="s">
        <v>58</v>
      </c>
      <c r="C295" t="s">
        <v>832</v>
      </c>
      <c r="D295">
        <v>1</v>
      </c>
      <c r="E295">
        <v>1</v>
      </c>
      <c r="F295" t="s">
        <v>406</v>
      </c>
      <c r="G295">
        <v>23</v>
      </c>
      <c r="H295" t="s">
        <v>287</v>
      </c>
      <c r="I295" t="s">
        <v>944</v>
      </c>
      <c r="J295">
        <v>9000066299</v>
      </c>
      <c r="O295" t="s">
        <v>945</v>
      </c>
      <c r="P295">
        <v>2500</v>
      </c>
      <c r="Q295" s="1">
        <v>45950.475347222222</v>
      </c>
      <c r="AA295" t="s">
        <v>231</v>
      </c>
      <c r="AB295">
        <v>0</v>
      </c>
    </row>
    <row r="296" spans="1:28" x14ac:dyDescent="0.45">
      <c r="A296" t="s">
        <v>226</v>
      </c>
      <c r="B296" t="s">
        <v>58</v>
      </c>
      <c r="C296" t="s">
        <v>832</v>
      </c>
      <c r="D296">
        <v>1</v>
      </c>
      <c r="E296">
        <v>1</v>
      </c>
      <c r="F296" t="s">
        <v>541</v>
      </c>
      <c r="G296">
        <v>24</v>
      </c>
      <c r="H296" t="s">
        <v>287</v>
      </c>
      <c r="I296" t="s">
        <v>946</v>
      </c>
      <c r="J296">
        <v>9000069797</v>
      </c>
      <c r="O296" t="s">
        <v>947</v>
      </c>
      <c r="P296">
        <v>2000</v>
      </c>
      <c r="Q296" s="1">
        <v>45950.475347222222</v>
      </c>
      <c r="S296" t="s">
        <v>290</v>
      </c>
      <c r="U296" t="s">
        <v>948</v>
      </c>
      <c r="AA296" t="s">
        <v>231</v>
      </c>
      <c r="AB296">
        <v>0</v>
      </c>
    </row>
    <row r="297" spans="1:28" x14ac:dyDescent="0.45">
      <c r="A297" t="s">
        <v>226</v>
      </c>
      <c r="B297" t="s">
        <v>58</v>
      </c>
      <c r="C297" t="s">
        <v>832</v>
      </c>
      <c r="D297">
        <v>1</v>
      </c>
      <c r="E297">
        <v>1</v>
      </c>
      <c r="F297" t="s">
        <v>545</v>
      </c>
      <c r="G297">
        <v>25</v>
      </c>
      <c r="H297" t="s">
        <v>287</v>
      </c>
      <c r="I297" t="s">
        <v>949</v>
      </c>
      <c r="J297">
        <v>933411</v>
      </c>
      <c r="O297" t="s">
        <v>950</v>
      </c>
      <c r="P297">
        <v>2000</v>
      </c>
      <c r="Q297" s="1">
        <v>45950.475347222222</v>
      </c>
      <c r="AA297" t="s">
        <v>231</v>
      </c>
      <c r="AB297">
        <v>0</v>
      </c>
    </row>
    <row r="298" spans="1:28" x14ac:dyDescent="0.45">
      <c r="A298" t="s">
        <v>226</v>
      </c>
      <c r="B298" t="s">
        <v>58</v>
      </c>
      <c r="C298" t="s">
        <v>832</v>
      </c>
      <c r="D298">
        <v>1</v>
      </c>
      <c r="E298">
        <v>1</v>
      </c>
      <c r="F298" t="s">
        <v>548</v>
      </c>
      <c r="G298">
        <v>26</v>
      </c>
      <c r="H298" t="s">
        <v>287</v>
      </c>
      <c r="I298" t="s">
        <v>951</v>
      </c>
      <c r="J298">
        <v>9000069794</v>
      </c>
      <c r="O298" t="s">
        <v>952</v>
      </c>
      <c r="P298">
        <v>2500</v>
      </c>
      <c r="Q298" s="1">
        <v>45950.475347222222</v>
      </c>
      <c r="AA298" t="s">
        <v>231</v>
      </c>
      <c r="AB298">
        <v>0</v>
      </c>
    </row>
    <row r="299" spans="1:28" x14ac:dyDescent="0.45">
      <c r="A299" t="s">
        <v>226</v>
      </c>
      <c r="B299" t="s">
        <v>58</v>
      </c>
      <c r="C299" t="s">
        <v>832</v>
      </c>
      <c r="D299">
        <v>1</v>
      </c>
      <c r="E299">
        <v>1</v>
      </c>
      <c r="F299" t="s">
        <v>552</v>
      </c>
      <c r="G299">
        <v>27</v>
      </c>
      <c r="H299" t="s">
        <v>287</v>
      </c>
      <c r="I299" t="s">
        <v>953</v>
      </c>
      <c r="J299" t="s">
        <v>107</v>
      </c>
      <c r="O299" t="s">
        <v>954</v>
      </c>
      <c r="P299">
        <v>3000</v>
      </c>
      <c r="Q299" s="1">
        <v>45950.475347222222</v>
      </c>
      <c r="S299" t="s">
        <v>290</v>
      </c>
      <c r="U299" t="s">
        <v>955</v>
      </c>
      <c r="AA299" t="s">
        <v>231</v>
      </c>
      <c r="AB299">
        <v>0</v>
      </c>
    </row>
    <row r="300" spans="1:28" x14ac:dyDescent="0.45">
      <c r="A300" t="s">
        <v>226</v>
      </c>
      <c r="B300" t="s">
        <v>58</v>
      </c>
      <c r="C300" t="s">
        <v>832</v>
      </c>
      <c r="D300">
        <v>1</v>
      </c>
      <c r="E300">
        <v>1</v>
      </c>
      <c r="F300" t="s">
        <v>555</v>
      </c>
      <c r="G300">
        <v>28</v>
      </c>
      <c r="H300" t="s">
        <v>287</v>
      </c>
      <c r="I300" t="s">
        <v>956</v>
      </c>
      <c r="J300">
        <v>9000058442</v>
      </c>
      <c r="O300" t="s">
        <v>957</v>
      </c>
      <c r="P300">
        <v>2000</v>
      </c>
      <c r="Q300" s="1">
        <v>45950.475347222222</v>
      </c>
      <c r="AA300" t="s">
        <v>231</v>
      </c>
      <c r="AB300">
        <v>0</v>
      </c>
    </row>
    <row r="301" spans="1:28" x14ac:dyDescent="0.45">
      <c r="A301" t="s">
        <v>226</v>
      </c>
      <c r="B301" t="s">
        <v>58</v>
      </c>
      <c r="C301" t="s">
        <v>832</v>
      </c>
      <c r="D301">
        <v>1</v>
      </c>
      <c r="E301">
        <v>1</v>
      </c>
      <c r="F301" t="s">
        <v>558</v>
      </c>
      <c r="G301">
        <v>29</v>
      </c>
      <c r="H301" t="s">
        <v>287</v>
      </c>
      <c r="I301" t="s">
        <v>958</v>
      </c>
      <c r="J301" t="s">
        <v>65</v>
      </c>
      <c r="O301" t="s">
        <v>959</v>
      </c>
      <c r="P301">
        <v>2000</v>
      </c>
      <c r="Q301" s="1">
        <v>45937.46974537037</v>
      </c>
      <c r="AA301" t="s">
        <v>231</v>
      </c>
      <c r="AB301">
        <v>0</v>
      </c>
    </row>
    <row r="302" spans="1:28" x14ac:dyDescent="0.45">
      <c r="A302" t="s">
        <v>226</v>
      </c>
      <c r="B302" t="s">
        <v>58</v>
      </c>
      <c r="C302" t="s">
        <v>832</v>
      </c>
      <c r="D302">
        <v>1</v>
      </c>
      <c r="E302">
        <v>1</v>
      </c>
      <c r="F302" t="s">
        <v>408</v>
      </c>
      <c r="G302">
        <v>30</v>
      </c>
      <c r="H302" t="s">
        <v>287</v>
      </c>
      <c r="I302" t="s">
        <v>960</v>
      </c>
      <c r="J302">
        <v>9000065072</v>
      </c>
      <c r="O302" t="s">
        <v>961</v>
      </c>
      <c r="P302">
        <v>350</v>
      </c>
      <c r="Q302" s="1">
        <v>45950.475358796299</v>
      </c>
      <c r="AA302" t="s">
        <v>231</v>
      </c>
      <c r="AB302">
        <v>0</v>
      </c>
    </row>
    <row r="303" spans="1:28" x14ac:dyDescent="0.45">
      <c r="A303" t="s">
        <v>226</v>
      </c>
      <c r="B303" t="s">
        <v>66</v>
      </c>
      <c r="C303" t="s">
        <v>962</v>
      </c>
      <c r="D303">
        <v>1</v>
      </c>
      <c r="E303">
        <v>1</v>
      </c>
      <c r="F303" t="s">
        <v>286</v>
      </c>
      <c r="G303">
        <v>1</v>
      </c>
      <c r="H303" t="s">
        <v>287</v>
      </c>
      <c r="I303" t="s">
        <v>963</v>
      </c>
      <c r="J303">
        <v>9000057279</v>
      </c>
      <c r="O303" t="s">
        <v>964</v>
      </c>
      <c r="P303">
        <v>200</v>
      </c>
      <c r="Q303" s="1">
        <v>45950.474722222221</v>
      </c>
      <c r="AA303" t="s">
        <v>231</v>
      </c>
      <c r="AB303">
        <v>0</v>
      </c>
    </row>
    <row r="304" spans="1:28" x14ac:dyDescent="0.45">
      <c r="A304" t="s">
        <v>226</v>
      </c>
      <c r="B304" t="s">
        <v>66</v>
      </c>
      <c r="C304" t="s">
        <v>962</v>
      </c>
      <c r="D304">
        <v>1</v>
      </c>
      <c r="E304">
        <v>1</v>
      </c>
      <c r="F304" t="s">
        <v>295</v>
      </c>
      <c r="G304">
        <v>3</v>
      </c>
      <c r="H304" t="s">
        <v>287</v>
      </c>
      <c r="I304" t="s">
        <v>965</v>
      </c>
      <c r="J304">
        <v>719991</v>
      </c>
      <c r="O304" t="s">
        <v>966</v>
      </c>
      <c r="P304">
        <v>1000</v>
      </c>
      <c r="Q304" s="1">
        <v>45947.674768518518</v>
      </c>
      <c r="AA304" t="s">
        <v>231</v>
      </c>
      <c r="AB304">
        <v>0</v>
      </c>
    </row>
    <row r="305" spans="1:28" x14ac:dyDescent="0.45">
      <c r="A305" t="s">
        <v>226</v>
      </c>
      <c r="B305" t="s">
        <v>66</v>
      </c>
      <c r="C305" t="s">
        <v>962</v>
      </c>
      <c r="D305">
        <v>1</v>
      </c>
      <c r="E305">
        <v>1</v>
      </c>
      <c r="F305" t="s">
        <v>298</v>
      </c>
      <c r="G305">
        <v>4</v>
      </c>
      <c r="H305" t="s">
        <v>287</v>
      </c>
      <c r="I305" t="s">
        <v>967</v>
      </c>
      <c r="J305">
        <v>9000045523</v>
      </c>
      <c r="O305" t="s">
        <v>968</v>
      </c>
      <c r="P305">
        <v>1300</v>
      </c>
      <c r="Q305" s="1">
        <v>45937.445416666669</v>
      </c>
      <c r="AA305" t="s">
        <v>231</v>
      </c>
      <c r="AB305">
        <v>0</v>
      </c>
    </row>
    <row r="306" spans="1:28" x14ac:dyDescent="0.45">
      <c r="A306" t="s">
        <v>226</v>
      </c>
      <c r="B306" t="s">
        <v>66</v>
      </c>
      <c r="C306" t="s">
        <v>962</v>
      </c>
      <c r="D306">
        <v>1</v>
      </c>
      <c r="E306">
        <v>1</v>
      </c>
      <c r="F306" t="s">
        <v>304</v>
      </c>
      <c r="G306">
        <v>6</v>
      </c>
      <c r="H306" t="s">
        <v>287</v>
      </c>
      <c r="I306" t="s">
        <v>969</v>
      </c>
      <c r="J306">
        <v>9000003114</v>
      </c>
      <c r="O306" t="s">
        <v>970</v>
      </c>
      <c r="P306">
        <v>1100</v>
      </c>
      <c r="Q306" s="1">
        <v>45950.474722222221</v>
      </c>
      <c r="R306" t="s">
        <v>394</v>
      </c>
      <c r="AA306" t="s">
        <v>231</v>
      </c>
      <c r="AB306">
        <v>0</v>
      </c>
    </row>
    <row r="307" spans="1:28" x14ac:dyDescent="0.45">
      <c r="A307" t="s">
        <v>226</v>
      </c>
      <c r="B307" t="s">
        <v>66</v>
      </c>
      <c r="C307" t="s">
        <v>962</v>
      </c>
      <c r="D307">
        <v>1</v>
      </c>
      <c r="E307">
        <v>1</v>
      </c>
      <c r="F307" t="s">
        <v>310</v>
      </c>
      <c r="G307">
        <v>8</v>
      </c>
      <c r="H307" t="s">
        <v>287</v>
      </c>
      <c r="I307" t="s">
        <v>971</v>
      </c>
      <c r="J307">
        <v>9000069620</v>
      </c>
      <c r="O307" t="s">
        <v>972</v>
      </c>
      <c r="P307">
        <v>700</v>
      </c>
      <c r="Q307" s="1">
        <v>45950.474722222221</v>
      </c>
      <c r="AA307" t="s">
        <v>231</v>
      </c>
      <c r="AB307">
        <v>0</v>
      </c>
    </row>
    <row r="308" spans="1:28" x14ac:dyDescent="0.45">
      <c r="A308" t="s">
        <v>226</v>
      </c>
      <c r="B308" t="s">
        <v>66</v>
      </c>
      <c r="C308" t="s">
        <v>962</v>
      </c>
      <c r="D308">
        <v>1</v>
      </c>
      <c r="E308">
        <v>1</v>
      </c>
      <c r="F308" t="s">
        <v>316</v>
      </c>
      <c r="G308">
        <v>10</v>
      </c>
      <c r="H308" t="s">
        <v>287</v>
      </c>
      <c r="I308" t="s">
        <v>973</v>
      </c>
      <c r="J308">
        <v>917625</v>
      </c>
      <c r="O308" t="s">
        <v>974</v>
      </c>
      <c r="P308">
        <v>500</v>
      </c>
      <c r="Q308" s="1">
        <v>45950.474722222221</v>
      </c>
      <c r="AA308" t="s">
        <v>231</v>
      </c>
      <c r="AB308">
        <v>0</v>
      </c>
    </row>
    <row r="309" spans="1:28" x14ac:dyDescent="0.45">
      <c r="A309" t="s">
        <v>226</v>
      </c>
      <c r="B309" t="s">
        <v>66</v>
      </c>
      <c r="C309" t="s">
        <v>962</v>
      </c>
      <c r="D309">
        <v>1</v>
      </c>
      <c r="E309">
        <v>1</v>
      </c>
      <c r="F309" t="s">
        <v>322</v>
      </c>
      <c r="G309">
        <v>12</v>
      </c>
      <c r="H309" t="s">
        <v>287</v>
      </c>
      <c r="I309" t="s">
        <v>975</v>
      </c>
      <c r="J309">
        <v>9000003186</v>
      </c>
      <c r="O309" t="s">
        <v>976</v>
      </c>
      <c r="P309">
        <v>1300</v>
      </c>
      <c r="Q309" s="1">
        <v>45950.474722222221</v>
      </c>
      <c r="AA309" t="s">
        <v>231</v>
      </c>
      <c r="AB309">
        <v>0</v>
      </c>
    </row>
    <row r="310" spans="1:28" x14ac:dyDescent="0.45">
      <c r="A310" t="s">
        <v>226</v>
      </c>
      <c r="B310" t="s">
        <v>66</v>
      </c>
      <c r="C310" t="s">
        <v>962</v>
      </c>
      <c r="D310">
        <v>1</v>
      </c>
      <c r="E310">
        <v>1</v>
      </c>
      <c r="F310" t="s">
        <v>328</v>
      </c>
      <c r="G310">
        <v>14</v>
      </c>
      <c r="H310" t="s">
        <v>287</v>
      </c>
      <c r="I310" t="s">
        <v>977</v>
      </c>
      <c r="J310">
        <v>9000045532</v>
      </c>
      <c r="O310" t="s">
        <v>978</v>
      </c>
      <c r="P310">
        <v>1300</v>
      </c>
      <c r="Q310" s="1">
        <v>45950.474722222221</v>
      </c>
      <c r="R310" t="s">
        <v>394</v>
      </c>
      <c r="AA310" t="s">
        <v>231</v>
      </c>
      <c r="AB310">
        <v>0</v>
      </c>
    </row>
    <row r="311" spans="1:28" x14ac:dyDescent="0.45">
      <c r="A311" t="s">
        <v>226</v>
      </c>
      <c r="B311" t="s">
        <v>66</v>
      </c>
      <c r="C311" t="s">
        <v>962</v>
      </c>
      <c r="D311">
        <v>1</v>
      </c>
      <c r="E311">
        <v>1</v>
      </c>
      <c r="F311" t="s">
        <v>445</v>
      </c>
      <c r="G311">
        <v>16</v>
      </c>
      <c r="H311" t="s">
        <v>287</v>
      </c>
      <c r="I311" t="s">
        <v>979</v>
      </c>
      <c r="J311">
        <v>9000069781</v>
      </c>
      <c r="O311" t="s">
        <v>980</v>
      </c>
      <c r="P311">
        <v>1000</v>
      </c>
      <c r="Q311" s="1">
        <v>45950.474722222221</v>
      </c>
      <c r="AA311" t="s">
        <v>231</v>
      </c>
      <c r="AB311">
        <v>0</v>
      </c>
    </row>
    <row r="312" spans="1:28" x14ac:dyDescent="0.45">
      <c r="A312" t="s">
        <v>226</v>
      </c>
      <c r="B312" t="s">
        <v>66</v>
      </c>
      <c r="C312" t="s">
        <v>962</v>
      </c>
      <c r="D312">
        <v>1</v>
      </c>
      <c r="E312">
        <v>1</v>
      </c>
      <c r="F312" t="s">
        <v>452</v>
      </c>
      <c r="G312">
        <v>18</v>
      </c>
      <c r="H312" t="s">
        <v>287</v>
      </c>
      <c r="I312" t="s">
        <v>981</v>
      </c>
      <c r="J312">
        <v>9000069771</v>
      </c>
      <c r="O312" t="s">
        <v>982</v>
      </c>
      <c r="P312">
        <v>1000</v>
      </c>
      <c r="Q312" s="1">
        <v>45950.474722222221</v>
      </c>
      <c r="AA312" t="s">
        <v>231</v>
      </c>
      <c r="AB312">
        <v>0</v>
      </c>
    </row>
    <row r="313" spans="1:28" x14ac:dyDescent="0.45">
      <c r="A313" t="s">
        <v>226</v>
      </c>
      <c r="B313" t="s">
        <v>66</v>
      </c>
      <c r="C313" t="s">
        <v>962</v>
      </c>
      <c r="D313">
        <v>1</v>
      </c>
      <c r="E313">
        <v>1</v>
      </c>
      <c r="F313" t="s">
        <v>458</v>
      </c>
      <c r="G313">
        <v>20</v>
      </c>
      <c r="H313" t="s">
        <v>287</v>
      </c>
      <c r="I313" t="s">
        <v>983</v>
      </c>
      <c r="J313">
        <v>9000070068</v>
      </c>
      <c r="O313" t="s">
        <v>984</v>
      </c>
      <c r="P313">
        <v>2000</v>
      </c>
      <c r="Q313" s="1">
        <v>45950.474722222221</v>
      </c>
      <c r="AA313" t="s">
        <v>231</v>
      </c>
      <c r="AB313">
        <v>0</v>
      </c>
    </row>
    <row r="314" spans="1:28" x14ac:dyDescent="0.45">
      <c r="A314" t="s">
        <v>226</v>
      </c>
      <c r="B314" t="s">
        <v>66</v>
      </c>
      <c r="C314" t="s">
        <v>962</v>
      </c>
      <c r="D314">
        <v>1</v>
      </c>
      <c r="E314">
        <v>1</v>
      </c>
      <c r="F314" t="s">
        <v>464</v>
      </c>
      <c r="G314">
        <v>22</v>
      </c>
      <c r="H314" t="s">
        <v>287</v>
      </c>
      <c r="I314" t="s">
        <v>985</v>
      </c>
      <c r="J314">
        <v>9000065018</v>
      </c>
      <c r="O314" t="s">
        <v>986</v>
      </c>
      <c r="P314">
        <v>500</v>
      </c>
      <c r="Q314" s="1">
        <v>45950.474722222221</v>
      </c>
      <c r="AA314" t="s">
        <v>231</v>
      </c>
      <c r="AB314">
        <v>0</v>
      </c>
    </row>
    <row r="315" spans="1:28" x14ac:dyDescent="0.45">
      <c r="A315" t="s">
        <v>226</v>
      </c>
      <c r="B315" t="s">
        <v>66</v>
      </c>
      <c r="C315" t="s">
        <v>962</v>
      </c>
      <c r="D315">
        <v>1</v>
      </c>
      <c r="E315">
        <v>1</v>
      </c>
      <c r="F315" t="s">
        <v>472</v>
      </c>
      <c r="G315">
        <v>24</v>
      </c>
      <c r="H315" t="s">
        <v>287</v>
      </c>
      <c r="I315" t="s">
        <v>987</v>
      </c>
      <c r="J315" t="s">
        <v>67</v>
      </c>
      <c r="O315" t="s">
        <v>988</v>
      </c>
      <c r="P315">
        <v>2000</v>
      </c>
      <c r="Q315" s="1">
        <v>45950.474722222221</v>
      </c>
      <c r="AA315" t="s">
        <v>231</v>
      </c>
      <c r="AB315">
        <v>0</v>
      </c>
    </row>
    <row r="316" spans="1:28" x14ac:dyDescent="0.45">
      <c r="A316" t="s">
        <v>226</v>
      </c>
      <c r="B316" t="s">
        <v>66</v>
      </c>
      <c r="C316" t="s">
        <v>962</v>
      </c>
      <c r="D316">
        <v>1</v>
      </c>
      <c r="E316">
        <v>1</v>
      </c>
      <c r="F316" t="s">
        <v>475</v>
      </c>
      <c r="G316">
        <v>25</v>
      </c>
      <c r="H316" t="s">
        <v>287</v>
      </c>
      <c r="I316" t="s">
        <v>989</v>
      </c>
      <c r="J316">
        <v>9000070245</v>
      </c>
      <c r="O316" t="s">
        <v>990</v>
      </c>
      <c r="P316">
        <v>2500</v>
      </c>
      <c r="Q316" s="1">
        <v>45931.823900462965</v>
      </c>
      <c r="AA316" t="s">
        <v>231</v>
      </c>
      <c r="AB316">
        <v>0</v>
      </c>
    </row>
    <row r="317" spans="1:28" x14ac:dyDescent="0.45">
      <c r="A317" t="s">
        <v>226</v>
      </c>
      <c r="B317" t="s">
        <v>66</v>
      </c>
      <c r="C317" t="s">
        <v>962</v>
      </c>
      <c r="D317">
        <v>1</v>
      </c>
      <c r="E317">
        <v>1</v>
      </c>
      <c r="F317" t="s">
        <v>478</v>
      </c>
      <c r="G317">
        <v>26</v>
      </c>
      <c r="H317" t="s">
        <v>287</v>
      </c>
      <c r="I317" t="s">
        <v>991</v>
      </c>
      <c r="J317">
        <v>9000001856</v>
      </c>
      <c r="O317" t="s">
        <v>992</v>
      </c>
      <c r="P317">
        <v>1000</v>
      </c>
      <c r="Q317" s="1">
        <v>45950.474722222221</v>
      </c>
      <c r="AA317" t="s">
        <v>231</v>
      </c>
      <c r="AB317">
        <v>0</v>
      </c>
    </row>
    <row r="318" spans="1:28" x14ac:dyDescent="0.45">
      <c r="A318" t="s">
        <v>226</v>
      </c>
      <c r="B318" t="s">
        <v>66</v>
      </c>
      <c r="C318" t="s">
        <v>962</v>
      </c>
      <c r="D318">
        <v>1</v>
      </c>
      <c r="E318">
        <v>1</v>
      </c>
      <c r="F318" t="s">
        <v>481</v>
      </c>
      <c r="G318">
        <v>27</v>
      </c>
      <c r="H318" t="s">
        <v>287</v>
      </c>
      <c r="I318" t="s">
        <v>993</v>
      </c>
      <c r="J318">
        <v>9000070244</v>
      </c>
      <c r="O318" t="s">
        <v>994</v>
      </c>
      <c r="P318">
        <v>2500</v>
      </c>
      <c r="Q318" s="1">
        <v>45950.474722222221</v>
      </c>
      <c r="AA318" t="s">
        <v>231</v>
      </c>
      <c r="AB318">
        <v>0</v>
      </c>
    </row>
    <row r="319" spans="1:28" x14ac:dyDescent="0.45">
      <c r="A319" t="s">
        <v>226</v>
      </c>
      <c r="B319" t="s">
        <v>66</v>
      </c>
      <c r="C319" t="s">
        <v>962</v>
      </c>
      <c r="D319">
        <v>1</v>
      </c>
      <c r="E319">
        <v>1</v>
      </c>
      <c r="F319" t="s">
        <v>484</v>
      </c>
      <c r="G319">
        <v>28</v>
      </c>
      <c r="H319" t="s">
        <v>287</v>
      </c>
      <c r="I319" t="s">
        <v>995</v>
      </c>
      <c r="J319">
        <v>9000053728</v>
      </c>
      <c r="O319" t="s">
        <v>996</v>
      </c>
      <c r="P319">
        <v>3000</v>
      </c>
      <c r="Q319" s="1">
        <v>45950.474722222221</v>
      </c>
      <c r="S319" t="s">
        <v>290</v>
      </c>
      <c r="U319" t="s">
        <v>997</v>
      </c>
      <c r="AA319" t="s">
        <v>231</v>
      </c>
      <c r="AB319">
        <v>0</v>
      </c>
    </row>
    <row r="320" spans="1:28" x14ac:dyDescent="0.45">
      <c r="A320" t="s">
        <v>226</v>
      </c>
      <c r="B320" t="s">
        <v>66</v>
      </c>
      <c r="C320" t="s">
        <v>962</v>
      </c>
      <c r="D320">
        <v>1</v>
      </c>
      <c r="E320">
        <v>1</v>
      </c>
      <c r="F320" t="s">
        <v>487</v>
      </c>
      <c r="G320">
        <v>29</v>
      </c>
      <c r="H320" t="s">
        <v>287</v>
      </c>
      <c r="I320" t="s">
        <v>998</v>
      </c>
      <c r="J320">
        <v>9000057675</v>
      </c>
      <c r="O320" t="s">
        <v>999</v>
      </c>
      <c r="P320">
        <v>3000</v>
      </c>
      <c r="Q320" s="1">
        <v>45950.474733796298</v>
      </c>
      <c r="AA320" t="s">
        <v>231</v>
      </c>
      <c r="AB320">
        <v>0</v>
      </c>
    </row>
    <row r="321" spans="1:28" x14ac:dyDescent="0.45">
      <c r="A321" t="s">
        <v>226</v>
      </c>
      <c r="B321" t="s">
        <v>66</v>
      </c>
      <c r="C321" t="s">
        <v>962</v>
      </c>
      <c r="D321">
        <v>1</v>
      </c>
      <c r="E321">
        <v>1</v>
      </c>
      <c r="F321" t="s">
        <v>661</v>
      </c>
      <c r="G321">
        <v>30</v>
      </c>
      <c r="H321" t="s">
        <v>287</v>
      </c>
      <c r="I321" t="s">
        <v>1000</v>
      </c>
      <c r="J321">
        <v>9000021317</v>
      </c>
      <c r="O321" t="s">
        <v>1001</v>
      </c>
      <c r="P321">
        <v>3000</v>
      </c>
      <c r="Q321" s="1">
        <v>45950.474733796298</v>
      </c>
      <c r="AA321" t="s">
        <v>231</v>
      </c>
      <c r="AB321">
        <v>0</v>
      </c>
    </row>
    <row r="322" spans="1:28" x14ac:dyDescent="0.45">
      <c r="A322" t="s">
        <v>226</v>
      </c>
      <c r="B322" t="s">
        <v>66</v>
      </c>
      <c r="C322" t="s">
        <v>962</v>
      </c>
      <c r="D322">
        <v>1</v>
      </c>
      <c r="E322">
        <v>1</v>
      </c>
      <c r="F322" t="s">
        <v>334</v>
      </c>
      <c r="G322">
        <v>1</v>
      </c>
      <c r="H322" t="s">
        <v>287</v>
      </c>
      <c r="I322" t="s">
        <v>1002</v>
      </c>
      <c r="J322">
        <v>9000069358</v>
      </c>
      <c r="O322" t="s">
        <v>1003</v>
      </c>
      <c r="P322">
        <v>175</v>
      </c>
      <c r="Q322" s="1">
        <v>45950.474733796298</v>
      </c>
      <c r="AA322" t="s">
        <v>231</v>
      </c>
      <c r="AB322">
        <v>0</v>
      </c>
    </row>
    <row r="323" spans="1:28" x14ac:dyDescent="0.45">
      <c r="A323" t="s">
        <v>226</v>
      </c>
      <c r="B323" t="s">
        <v>66</v>
      </c>
      <c r="C323" t="s">
        <v>962</v>
      </c>
      <c r="D323">
        <v>1</v>
      </c>
      <c r="E323">
        <v>1</v>
      </c>
      <c r="F323" t="s">
        <v>341</v>
      </c>
      <c r="G323">
        <v>3</v>
      </c>
      <c r="H323" t="s">
        <v>287</v>
      </c>
      <c r="I323" t="s">
        <v>1004</v>
      </c>
      <c r="J323">
        <v>9000055004</v>
      </c>
      <c r="O323" t="s">
        <v>1005</v>
      </c>
      <c r="P323">
        <v>1000</v>
      </c>
      <c r="Q323" s="1">
        <v>45930.457280092596</v>
      </c>
      <c r="AA323" t="s">
        <v>231</v>
      </c>
      <c r="AB323">
        <v>0</v>
      </c>
    </row>
    <row r="324" spans="1:28" x14ac:dyDescent="0.45">
      <c r="A324" t="s">
        <v>226</v>
      </c>
      <c r="B324" t="s">
        <v>66</v>
      </c>
      <c r="C324" t="s">
        <v>962</v>
      </c>
      <c r="D324">
        <v>1</v>
      </c>
      <c r="E324">
        <v>1</v>
      </c>
      <c r="F324" t="s">
        <v>344</v>
      </c>
      <c r="G324">
        <v>4</v>
      </c>
      <c r="H324" t="s">
        <v>287</v>
      </c>
      <c r="I324" t="s">
        <v>1006</v>
      </c>
      <c r="J324">
        <v>9000056993</v>
      </c>
      <c r="O324" t="s">
        <v>1007</v>
      </c>
      <c r="P324">
        <v>1400</v>
      </c>
      <c r="Q324" s="1">
        <v>45931.823912037034</v>
      </c>
      <c r="AA324" t="s">
        <v>231</v>
      </c>
      <c r="AB324">
        <v>0</v>
      </c>
    </row>
    <row r="325" spans="1:28" x14ac:dyDescent="0.45">
      <c r="A325" t="s">
        <v>226</v>
      </c>
      <c r="B325" t="s">
        <v>66</v>
      </c>
      <c r="C325" t="s">
        <v>962</v>
      </c>
      <c r="D325">
        <v>1</v>
      </c>
      <c r="E325">
        <v>1</v>
      </c>
      <c r="F325" t="s">
        <v>347</v>
      </c>
      <c r="G325">
        <v>5</v>
      </c>
      <c r="H325" t="s">
        <v>287</v>
      </c>
      <c r="I325" t="s">
        <v>1009</v>
      </c>
      <c r="J325">
        <v>9000003132</v>
      </c>
      <c r="O325" t="s">
        <v>1008</v>
      </c>
      <c r="P325">
        <v>800</v>
      </c>
      <c r="Q325" s="1">
        <v>45950.709513888891</v>
      </c>
      <c r="R325" t="s">
        <v>494</v>
      </c>
      <c r="AA325" t="s">
        <v>231</v>
      </c>
      <c r="AB325">
        <v>0</v>
      </c>
    </row>
    <row r="326" spans="1:28" x14ac:dyDescent="0.45">
      <c r="A326" t="s">
        <v>226</v>
      </c>
      <c r="B326" t="s">
        <v>66</v>
      </c>
      <c r="C326" t="s">
        <v>962</v>
      </c>
      <c r="D326">
        <v>1</v>
      </c>
      <c r="E326">
        <v>1</v>
      </c>
      <c r="F326" t="s">
        <v>354</v>
      </c>
      <c r="G326">
        <v>7</v>
      </c>
      <c r="H326" t="s">
        <v>287</v>
      </c>
      <c r="I326" t="s">
        <v>1010</v>
      </c>
      <c r="J326">
        <v>9000069356</v>
      </c>
      <c r="O326" t="s">
        <v>1011</v>
      </c>
      <c r="P326">
        <v>500</v>
      </c>
      <c r="Q326" s="1">
        <v>45950.474733796298</v>
      </c>
      <c r="AA326" t="s">
        <v>231</v>
      </c>
      <c r="AB326">
        <v>0</v>
      </c>
    </row>
    <row r="327" spans="1:28" x14ac:dyDescent="0.45">
      <c r="A327" t="s">
        <v>226</v>
      </c>
      <c r="B327" t="s">
        <v>66</v>
      </c>
      <c r="C327" t="s">
        <v>962</v>
      </c>
      <c r="D327">
        <v>1</v>
      </c>
      <c r="E327">
        <v>1</v>
      </c>
      <c r="F327" t="s">
        <v>360</v>
      </c>
      <c r="G327">
        <v>9</v>
      </c>
      <c r="H327" t="s">
        <v>287</v>
      </c>
      <c r="I327" t="s">
        <v>1012</v>
      </c>
      <c r="J327">
        <v>934731</v>
      </c>
      <c r="O327" t="s">
        <v>1013</v>
      </c>
      <c r="P327">
        <v>500</v>
      </c>
      <c r="Q327" s="1">
        <v>45931.788622685184</v>
      </c>
      <c r="S327" t="s">
        <v>290</v>
      </c>
      <c r="U327" t="s">
        <v>1014</v>
      </c>
      <c r="AA327" t="s">
        <v>231</v>
      </c>
      <c r="AB327">
        <v>0</v>
      </c>
    </row>
    <row r="328" spans="1:28" x14ac:dyDescent="0.45">
      <c r="A328" t="s">
        <v>226</v>
      </c>
      <c r="B328" t="s">
        <v>66</v>
      </c>
      <c r="C328" t="s">
        <v>962</v>
      </c>
      <c r="D328">
        <v>1</v>
      </c>
      <c r="E328">
        <v>1</v>
      </c>
      <c r="F328" t="s">
        <v>363</v>
      </c>
      <c r="G328">
        <v>10</v>
      </c>
      <c r="H328" t="s">
        <v>287</v>
      </c>
      <c r="I328" t="s">
        <v>1015</v>
      </c>
      <c r="J328">
        <v>9000069780</v>
      </c>
      <c r="O328" t="s">
        <v>1016</v>
      </c>
      <c r="P328">
        <v>1000</v>
      </c>
      <c r="Q328" s="1">
        <v>45931.823912037034</v>
      </c>
      <c r="AA328" t="s">
        <v>231</v>
      </c>
      <c r="AB328">
        <v>0</v>
      </c>
    </row>
    <row r="329" spans="1:28" x14ac:dyDescent="0.45">
      <c r="A329" t="s">
        <v>226</v>
      </c>
      <c r="B329" t="s">
        <v>66</v>
      </c>
      <c r="C329" t="s">
        <v>962</v>
      </c>
      <c r="D329">
        <v>1</v>
      </c>
      <c r="E329">
        <v>1</v>
      </c>
      <c r="F329" t="s">
        <v>366</v>
      </c>
      <c r="G329">
        <v>11</v>
      </c>
      <c r="H329" t="s">
        <v>287</v>
      </c>
      <c r="I329" t="s">
        <v>1017</v>
      </c>
      <c r="J329" t="s">
        <v>68</v>
      </c>
      <c r="O329" t="s">
        <v>1018</v>
      </c>
      <c r="P329">
        <v>2000</v>
      </c>
      <c r="Q329" s="1">
        <v>45930.457291666666</v>
      </c>
      <c r="S329" t="s">
        <v>290</v>
      </c>
      <c r="U329" t="s">
        <v>1019</v>
      </c>
      <c r="AA329" t="s">
        <v>231</v>
      </c>
      <c r="AB329">
        <v>0</v>
      </c>
    </row>
    <row r="330" spans="1:28" x14ac:dyDescent="0.45">
      <c r="A330" t="s">
        <v>226</v>
      </c>
      <c r="B330" t="s">
        <v>66</v>
      </c>
      <c r="C330" t="s">
        <v>962</v>
      </c>
      <c r="D330">
        <v>1</v>
      </c>
      <c r="E330">
        <v>1</v>
      </c>
      <c r="F330" t="s">
        <v>372</v>
      </c>
      <c r="G330">
        <v>13</v>
      </c>
      <c r="H330" t="s">
        <v>287</v>
      </c>
      <c r="I330" t="s">
        <v>1020</v>
      </c>
      <c r="J330">
        <v>9000063526</v>
      </c>
      <c r="O330" t="s">
        <v>1021</v>
      </c>
      <c r="P330">
        <v>1000</v>
      </c>
      <c r="Q330" s="1">
        <v>45950.474733796298</v>
      </c>
      <c r="S330" t="s">
        <v>290</v>
      </c>
      <c r="U330" t="s">
        <v>1022</v>
      </c>
      <c r="AA330" t="s">
        <v>231</v>
      </c>
      <c r="AB330">
        <v>0</v>
      </c>
    </row>
    <row r="331" spans="1:28" x14ac:dyDescent="0.45">
      <c r="A331" t="s">
        <v>226</v>
      </c>
      <c r="B331" t="s">
        <v>66</v>
      </c>
      <c r="C331" t="s">
        <v>962</v>
      </c>
      <c r="D331">
        <v>1</v>
      </c>
      <c r="E331">
        <v>1</v>
      </c>
      <c r="F331" t="s">
        <v>378</v>
      </c>
      <c r="G331">
        <v>15</v>
      </c>
      <c r="H331" t="s">
        <v>287</v>
      </c>
      <c r="I331" t="s">
        <v>1023</v>
      </c>
      <c r="J331">
        <v>9000063696</v>
      </c>
      <c r="O331" t="s">
        <v>1024</v>
      </c>
      <c r="P331">
        <v>250</v>
      </c>
      <c r="Q331" s="1">
        <v>45950.474733796298</v>
      </c>
      <c r="AA331" t="s">
        <v>231</v>
      </c>
      <c r="AB331">
        <v>0</v>
      </c>
    </row>
    <row r="332" spans="1:28" x14ac:dyDescent="0.45">
      <c r="A332" t="s">
        <v>226</v>
      </c>
      <c r="B332" t="s">
        <v>66</v>
      </c>
      <c r="C332" t="s">
        <v>962</v>
      </c>
      <c r="D332">
        <v>1</v>
      </c>
      <c r="E332">
        <v>1</v>
      </c>
      <c r="F332" t="s">
        <v>385</v>
      </c>
      <c r="G332">
        <v>17</v>
      </c>
      <c r="H332" t="s">
        <v>287</v>
      </c>
      <c r="I332" t="s">
        <v>1025</v>
      </c>
      <c r="J332">
        <v>9000045559</v>
      </c>
      <c r="O332" t="s">
        <v>1026</v>
      </c>
      <c r="P332">
        <v>1100</v>
      </c>
      <c r="Q332" s="1">
        <v>45931.823923611111</v>
      </c>
      <c r="AA332" t="s">
        <v>231</v>
      </c>
      <c r="AB332">
        <v>0</v>
      </c>
    </row>
    <row r="333" spans="1:28" x14ac:dyDescent="0.45">
      <c r="A333" t="s">
        <v>226</v>
      </c>
      <c r="B333" t="s">
        <v>66</v>
      </c>
      <c r="C333" t="s">
        <v>962</v>
      </c>
      <c r="D333">
        <v>1</v>
      </c>
      <c r="E333">
        <v>1</v>
      </c>
      <c r="F333" t="s">
        <v>388</v>
      </c>
      <c r="G333">
        <v>18</v>
      </c>
      <c r="H333" t="s">
        <v>287</v>
      </c>
      <c r="I333" t="s">
        <v>1027</v>
      </c>
      <c r="J333">
        <v>9000047441</v>
      </c>
      <c r="O333" t="s">
        <v>1028</v>
      </c>
      <c r="P333">
        <v>900</v>
      </c>
      <c r="Q333" s="1">
        <v>45930.457303240742</v>
      </c>
      <c r="AA333" t="s">
        <v>231</v>
      </c>
      <c r="AB333">
        <v>0</v>
      </c>
    </row>
    <row r="334" spans="1:28" x14ac:dyDescent="0.45">
      <c r="A334" t="s">
        <v>226</v>
      </c>
      <c r="B334" t="s">
        <v>66</v>
      </c>
      <c r="C334" t="s">
        <v>962</v>
      </c>
      <c r="D334">
        <v>1</v>
      </c>
      <c r="E334">
        <v>1</v>
      </c>
      <c r="F334" t="s">
        <v>391</v>
      </c>
      <c r="G334">
        <v>19</v>
      </c>
      <c r="H334" t="s">
        <v>287</v>
      </c>
      <c r="I334" t="s">
        <v>1029</v>
      </c>
      <c r="J334">
        <v>9000058344</v>
      </c>
      <c r="O334" t="s">
        <v>1030</v>
      </c>
      <c r="P334">
        <v>1100</v>
      </c>
      <c r="Q334" s="1">
        <v>45931.823923611111</v>
      </c>
      <c r="AA334" t="s">
        <v>231</v>
      </c>
      <c r="AB334">
        <v>0</v>
      </c>
    </row>
    <row r="335" spans="1:28" x14ac:dyDescent="0.45">
      <c r="A335" t="s">
        <v>226</v>
      </c>
      <c r="B335" t="s">
        <v>66</v>
      </c>
      <c r="C335" t="s">
        <v>962</v>
      </c>
      <c r="D335">
        <v>1</v>
      </c>
      <c r="E335">
        <v>1</v>
      </c>
      <c r="F335" t="s">
        <v>399</v>
      </c>
      <c r="G335">
        <v>21</v>
      </c>
      <c r="H335" t="s">
        <v>287</v>
      </c>
      <c r="I335" t="s">
        <v>1031</v>
      </c>
      <c r="J335">
        <v>9000065017</v>
      </c>
      <c r="O335" t="s">
        <v>1032</v>
      </c>
      <c r="P335">
        <v>1000</v>
      </c>
      <c r="Q335" s="1">
        <v>45950.474733796298</v>
      </c>
      <c r="AA335" t="s">
        <v>231</v>
      </c>
      <c r="AB335">
        <v>0</v>
      </c>
    </row>
    <row r="336" spans="1:28" x14ac:dyDescent="0.45">
      <c r="A336" t="s">
        <v>226</v>
      </c>
      <c r="B336" t="s">
        <v>66</v>
      </c>
      <c r="C336" t="s">
        <v>962</v>
      </c>
      <c r="D336">
        <v>1</v>
      </c>
      <c r="E336">
        <v>1</v>
      </c>
      <c r="F336" t="s">
        <v>406</v>
      </c>
      <c r="G336">
        <v>23</v>
      </c>
      <c r="H336" t="s">
        <v>287</v>
      </c>
      <c r="I336" t="s">
        <v>1033</v>
      </c>
      <c r="J336">
        <v>9000003123</v>
      </c>
      <c r="O336" t="s">
        <v>1034</v>
      </c>
      <c r="P336">
        <v>1100</v>
      </c>
      <c r="Q336" s="1">
        <v>45931.823923611111</v>
      </c>
      <c r="AA336" t="s">
        <v>231</v>
      </c>
      <c r="AB336">
        <v>0</v>
      </c>
    </row>
    <row r="337" spans="1:28" x14ac:dyDescent="0.45">
      <c r="A337" t="s">
        <v>226</v>
      </c>
      <c r="B337" t="s">
        <v>66</v>
      </c>
      <c r="C337" t="s">
        <v>962</v>
      </c>
      <c r="D337">
        <v>1</v>
      </c>
      <c r="E337">
        <v>1</v>
      </c>
      <c r="F337" t="s">
        <v>541</v>
      </c>
      <c r="G337">
        <v>24</v>
      </c>
      <c r="H337" t="s">
        <v>287</v>
      </c>
      <c r="I337" t="s">
        <v>1035</v>
      </c>
      <c r="J337" t="s">
        <v>69</v>
      </c>
      <c r="O337" t="s">
        <v>1036</v>
      </c>
      <c r="P337">
        <v>1000</v>
      </c>
      <c r="Q337" s="1">
        <v>45930.457303240742</v>
      </c>
      <c r="S337" t="s">
        <v>290</v>
      </c>
      <c r="U337" t="s">
        <v>1037</v>
      </c>
      <c r="AA337" t="s">
        <v>231</v>
      </c>
      <c r="AB337">
        <v>0</v>
      </c>
    </row>
    <row r="338" spans="1:28" x14ac:dyDescent="0.45">
      <c r="A338" t="s">
        <v>226</v>
      </c>
      <c r="B338" t="s">
        <v>66</v>
      </c>
      <c r="C338" t="s">
        <v>962</v>
      </c>
      <c r="D338">
        <v>1</v>
      </c>
      <c r="E338">
        <v>1</v>
      </c>
      <c r="F338" t="s">
        <v>545</v>
      </c>
      <c r="G338">
        <v>25</v>
      </c>
      <c r="H338" t="s">
        <v>287</v>
      </c>
      <c r="I338" t="s">
        <v>1038</v>
      </c>
      <c r="J338">
        <v>9000069685</v>
      </c>
      <c r="O338" t="s">
        <v>1039</v>
      </c>
      <c r="P338">
        <v>1000</v>
      </c>
      <c r="Q338" s="1">
        <v>45932.589456018519</v>
      </c>
      <c r="AA338" t="s">
        <v>231</v>
      </c>
      <c r="AB338">
        <v>0</v>
      </c>
    </row>
    <row r="339" spans="1:28" x14ac:dyDescent="0.45">
      <c r="A339" t="s">
        <v>226</v>
      </c>
      <c r="B339" t="s">
        <v>66</v>
      </c>
      <c r="C339" t="s">
        <v>962</v>
      </c>
      <c r="D339">
        <v>1</v>
      </c>
      <c r="E339">
        <v>1</v>
      </c>
      <c r="F339" t="s">
        <v>548</v>
      </c>
      <c r="G339">
        <v>26</v>
      </c>
      <c r="H339" t="s">
        <v>287</v>
      </c>
      <c r="I339" t="s">
        <v>1040</v>
      </c>
      <c r="J339" t="s">
        <v>70</v>
      </c>
      <c r="O339" t="s">
        <v>1041</v>
      </c>
      <c r="P339">
        <v>2000</v>
      </c>
      <c r="Q339" s="1">
        <v>45950.474733796298</v>
      </c>
      <c r="AA339" t="s">
        <v>231</v>
      </c>
      <c r="AB339">
        <v>0</v>
      </c>
    </row>
    <row r="340" spans="1:28" x14ac:dyDescent="0.45">
      <c r="A340" t="s">
        <v>226</v>
      </c>
      <c r="B340" t="s">
        <v>66</v>
      </c>
      <c r="C340" t="s">
        <v>962</v>
      </c>
      <c r="D340">
        <v>1</v>
      </c>
      <c r="E340">
        <v>1</v>
      </c>
      <c r="F340" t="s">
        <v>552</v>
      </c>
      <c r="G340">
        <v>27</v>
      </c>
      <c r="H340" t="s">
        <v>287</v>
      </c>
      <c r="I340" t="s">
        <v>1042</v>
      </c>
      <c r="J340">
        <v>9000063376</v>
      </c>
      <c r="O340" t="s">
        <v>1043</v>
      </c>
      <c r="P340">
        <v>500</v>
      </c>
      <c r="Q340" s="1">
        <v>45950.474733796298</v>
      </c>
      <c r="AA340" t="s">
        <v>231</v>
      </c>
      <c r="AB340">
        <v>0</v>
      </c>
    </row>
    <row r="341" spans="1:28" x14ac:dyDescent="0.45">
      <c r="A341" t="s">
        <v>226</v>
      </c>
      <c r="B341" t="s">
        <v>66</v>
      </c>
      <c r="C341" t="s">
        <v>962</v>
      </c>
      <c r="D341">
        <v>1</v>
      </c>
      <c r="E341">
        <v>1</v>
      </c>
      <c r="F341" t="s">
        <v>555</v>
      </c>
      <c r="G341">
        <v>28</v>
      </c>
      <c r="H341" t="s">
        <v>287</v>
      </c>
      <c r="I341" t="s">
        <v>1044</v>
      </c>
      <c r="J341">
        <v>9000001027</v>
      </c>
      <c r="O341" t="s">
        <v>1045</v>
      </c>
      <c r="P341">
        <v>1000</v>
      </c>
      <c r="Q341" s="1">
        <v>45946.526377314818</v>
      </c>
      <c r="AA341" t="s">
        <v>231</v>
      </c>
      <c r="AB341">
        <v>0</v>
      </c>
    </row>
    <row r="342" spans="1:28" x14ac:dyDescent="0.45">
      <c r="A342" t="s">
        <v>226</v>
      </c>
      <c r="B342" t="s">
        <v>66</v>
      </c>
      <c r="C342" t="s">
        <v>962</v>
      </c>
      <c r="D342">
        <v>1</v>
      </c>
      <c r="E342">
        <v>1</v>
      </c>
      <c r="F342" t="s">
        <v>558</v>
      </c>
      <c r="G342">
        <v>29</v>
      </c>
      <c r="H342" t="s">
        <v>287</v>
      </c>
      <c r="I342" t="s">
        <v>1046</v>
      </c>
      <c r="J342">
        <v>9000003097</v>
      </c>
      <c r="O342" t="s">
        <v>1047</v>
      </c>
      <c r="P342">
        <v>800</v>
      </c>
      <c r="Q342" s="1">
        <v>45950.474733796298</v>
      </c>
      <c r="AA342" t="s">
        <v>231</v>
      </c>
      <c r="AB342">
        <v>0</v>
      </c>
    </row>
    <row r="343" spans="1:28" x14ac:dyDescent="0.45">
      <c r="A343" t="s">
        <v>226</v>
      </c>
      <c r="B343" t="s">
        <v>66</v>
      </c>
      <c r="C343" t="s">
        <v>962</v>
      </c>
      <c r="D343">
        <v>1</v>
      </c>
      <c r="E343">
        <v>1</v>
      </c>
      <c r="F343" t="s">
        <v>408</v>
      </c>
      <c r="G343">
        <v>30</v>
      </c>
      <c r="H343" t="s">
        <v>287</v>
      </c>
      <c r="I343" t="s">
        <v>1048</v>
      </c>
      <c r="J343">
        <v>917581</v>
      </c>
      <c r="O343" t="s">
        <v>1049</v>
      </c>
      <c r="P343">
        <v>900</v>
      </c>
      <c r="Q343" s="1">
        <v>45937.567893518521</v>
      </c>
      <c r="AA343" t="s">
        <v>231</v>
      </c>
      <c r="AB343">
        <v>0</v>
      </c>
    </row>
    <row r="344" spans="1:28" x14ac:dyDescent="0.45">
      <c r="A344" t="s">
        <v>226</v>
      </c>
      <c r="B344" t="s">
        <v>22</v>
      </c>
      <c r="C344" t="s">
        <v>227</v>
      </c>
      <c r="D344">
        <v>1</v>
      </c>
      <c r="E344">
        <v>1</v>
      </c>
      <c r="F344" t="s">
        <v>286</v>
      </c>
      <c r="G344">
        <v>1</v>
      </c>
      <c r="H344" t="s">
        <v>287</v>
      </c>
      <c r="I344" t="s">
        <v>1050</v>
      </c>
      <c r="J344">
        <v>9000064891</v>
      </c>
      <c r="O344" t="s">
        <v>1051</v>
      </c>
      <c r="P344">
        <v>3000</v>
      </c>
      <c r="Q344" s="1">
        <v>45950.474363425928</v>
      </c>
      <c r="AA344" t="s">
        <v>231</v>
      </c>
      <c r="AB344">
        <v>0</v>
      </c>
    </row>
    <row r="345" spans="1:28" x14ac:dyDescent="0.45">
      <c r="A345" t="s">
        <v>226</v>
      </c>
      <c r="B345" t="s">
        <v>22</v>
      </c>
      <c r="C345" t="s">
        <v>227</v>
      </c>
      <c r="D345">
        <v>1</v>
      </c>
      <c r="E345">
        <v>1</v>
      </c>
      <c r="F345" t="s">
        <v>295</v>
      </c>
      <c r="G345">
        <v>3</v>
      </c>
      <c r="H345" t="s">
        <v>287</v>
      </c>
      <c r="I345" t="s">
        <v>1052</v>
      </c>
      <c r="J345">
        <v>9000053719</v>
      </c>
      <c r="O345" t="s">
        <v>1053</v>
      </c>
      <c r="P345">
        <v>3000</v>
      </c>
      <c r="Q345" s="1">
        <v>45932.590995370374</v>
      </c>
      <c r="AA345" t="s">
        <v>231</v>
      </c>
      <c r="AB345">
        <v>0</v>
      </c>
    </row>
    <row r="346" spans="1:28" x14ac:dyDescent="0.45">
      <c r="A346" t="s">
        <v>226</v>
      </c>
      <c r="B346" t="s">
        <v>22</v>
      </c>
      <c r="C346" t="s">
        <v>227</v>
      </c>
      <c r="D346">
        <v>1</v>
      </c>
      <c r="E346">
        <v>1</v>
      </c>
      <c r="F346" t="s">
        <v>298</v>
      </c>
      <c r="G346">
        <v>4</v>
      </c>
      <c r="H346" t="s">
        <v>287</v>
      </c>
      <c r="I346" t="s">
        <v>1054</v>
      </c>
      <c r="J346">
        <v>9000070305</v>
      </c>
      <c r="O346" t="s">
        <v>1055</v>
      </c>
      <c r="P346">
        <v>831</v>
      </c>
      <c r="Q346" s="1">
        <v>45950.474363425928</v>
      </c>
      <c r="AA346" t="s">
        <v>231</v>
      </c>
      <c r="AB346">
        <v>0</v>
      </c>
    </row>
    <row r="347" spans="1:28" x14ac:dyDescent="0.45">
      <c r="A347" t="s">
        <v>226</v>
      </c>
      <c r="B347" t="s">
        <v>22</v>
      </c>
      <c r="C347" t="s">
        <v>227</v>
      </c>
      <c r="D347">
        <v>1</v>
      </c>
      <c r="E347">
        <v>1</v>
      </c>
      <c r="F347" t="s">
        <v>301</v>
      </c>
      <c r="G347">
        <v>5</v>
      </c>
      <c r="H347" t="s">
        <v>287</v>
      </c>
      <c r="I347" t="s">
        <v>1056</v>
      </c>
      <c r="J347">
        <v>9000053701</v>
      </c>
      <c r="O347" t="s">
        <v>1057</v>
      </c>
      <c r="P347">
        <v>3000</v>
      </c>
      <c r="Q347" s="1">
        <v>45947.752418981479</v>
      </c>
      <c r="AA347" t="s">
        <v>231</v>
      </c>
      <c r="AB347">
        <v>0</v>
      </c>
    </row>
    <row r="348" spans="1:28" x14ac:dyDescent="0.45">
      <c r="A348" t="s">
        <v>226</v>
      </c>
      <c r="B348" t="s">
        <v>22</v>
      </c>
      <c r="C348" t="s">
        <v>227</v>
      </c>
      <c r="D348">
        <v>1</v>
      </c>
      <c r="E348">
        <v>1</v>
      </c>
      <c r="F348" t="s">
        <v>304</v>
      </c>
      <c r="G348">
        <v>6</v>
      </c>
      <c r="H348" t="s">
        <v>287</v>
      </c>
      <c r="I348" t="s">
        <v>1058</v>
      </c>
      <c r="J348">
        <v>930878</v>
      </c>
      <c r="O348" t="s">
        <v>1059</v>
      </c>
      <c r="P348">
        <v>1000</v>
      </c>
      <c r="Q348" s="1">
        <v>45932.372499999998</v>
      </c>
      <c r="S348" t="s">
        <v>290</v>
      </c>
      <c r="U348" t="s">
        <v>1060</v>
      </c>
      <c r="AA348" t="s">
        <v>231</v>
      </c>
      <c r="AB348">
        <v>0</v>
      </c>
    </row>
    <row r="349" spans="1:28" x14ac:dyDescent="0.45">
      <c r="A349" t="s">
        <v>226</v>
      </c>
      <c r="B349" t="s">
        <v>22</v>
      </c>
      <c r="C349" t="s">
        <v>227</v>
      </c>
      <c r="D349">
        <v>1</v>
      </c>
      <c r="E349">
        <v>1</v>
      </c>
      <c r="F349" t="s">
        <v>307</v>
      </c>
      <c r="G349">
        <v>7</v>
      </c>
      <c r="H349" t="s">
        <v>287</v>
      </c>
      <c r="I349" t="s">
        <v>1061</v>
      </c>
      <c r="J349">
        <v>9000054986</v>
      </c>
      <c r="O349" t="s">
        <v>1062</v>
      </c>
      <c r="P349">
        <v>1100</v>
      </c>
      <c r="Q349" s="1">
        <v>45933.518240740741</v>
      </c>
      <c r="AA349" t="s">
        <v>231</v>
      </c>
      <c r="AB349">
        <v>0</v>
      </c>
    </row>
    <row r="350" spans="1:28" x14ac:dyDescent="0.45">
      <c r="A350" t="s">
        <v>226</v>
      </c>
      <c r="B350" t="s">
        <v>22</v>
      </c>
      <c r="C350" t="s">
        <v>227</v>
      </c>
      <c r="D350">
        <v>1</v>
      </c>
      <c r="E350">
        <v>1</v>
      </c>
      <c r="F350" t="s">
        <v>310</v>
      </c>
      <c r="G350">
        <v>8</v>
      </c>
      <c r="H350" t="s">
        <v>287</v>
      </c>
      <c r="I350" t="s">
        <v>1063</v>
      </c>
      <c r="J350">
        <v>9000069621</v>
      </c>
      <c r="O350" t="s">
        <v>1064</v>
      </c>
      <c r="P350">
        <v>700</v>
      </c>
      <c r="Q350" s="1">
        <v>45932.403668981482</v>
      </c>
      <c r="AA350" t="s">
        <v>231</v>
      </c>
      <c r="AB350">
        <v>0</v>
      </c>
    </row>
    <row r="351" spans="1:28" x14ac:dyDescent="0.45">
      <c r="A351" t="s">
        <v>226</v>
      </c>
      <c r="B351" t="s">
        <v>22</v>
      </c>
      <c r="C351" t="s">
        <v>227</v>
      </c>
      <c r="D351">
        <v>1</v>
      </c>
      <c r="E351">
        <v>1</v>
      </c>
      <c r="F351" t="s">
        <v>316</v>
      </c>
      <c r="G351">
        <v>10</v>
      </c>
      <c r="H351" t="s">
        <v>287</v>
      </c>
      <c r="I351" t="s">
        <v>1065</v>
      </c>
      <c r="J351">
        <v>9000064911</v>
      </c>
      <c r="O351" t="s">
        <v>1066</v>
      </c>
      <c r="P351">
        <v>1300</v>
      </c>
      <c r="Q351" s="1">
        <v>45950.474363425928</v>
      </c>
      <c r="AA351" t="s">
        <v>231</v>
      </c>
      <c r="AB351">
        <v>0</v>
      </c>
    </row>
    <row r="352" spans="1:28" x14ac:dyDescent="0.45">
      <c r="A352" t="s">
        <v>226</v>
      </c>
      <c r="B352" t="s">
        <v>22</v>
      </c>
      <c r="C352" t="s">
        <v>227</v>
      </c>
      <c r="D352">
        <v>1</v>
      </c>
      <c r="E352">
        <v>1</v>
      </c>
      <c r="F352" t="s">
        <v>322</v>
      </c>
      <c r="G352">
        <v>12</v>
      </c>
      <c r="H352" t="s">
        <v>287</v>
      </c>
      <c r="I352" t="s">
        <v>1067</v>
      </c>
      <c r="J352">
        <v>9000028364</v>
      </c>
      <c r="O352" t="s">
        <v>1068</v>
      </c>
      <c r="P352">
        <v>500</v>
      </c>
      <c r="Q352" s="1">
        <v>45932.372499999998</v>
      </c>
      <c r="AA352" t="s">
        <v>231</v>
      </c>
      <c r="AB352">
        <v>0</v>
      </c>
    </row>
    <row r="353" spans="1:28" x14ac:dyDescent="0.45">
      <c r="A353" t="s">
        <v>226</v>
      </c>
      <c r="B353" t="s">
        <v>22</v>
      </c>
      <c r="C353" t="s">
        <v>227</v>
      </c>
      <c r="D353">
        <v>1</v>
      </c>
      <c r="E353">
        <v>1</v>
      </c>
      <c r="F353" t="s">
        <v>325</v>
      </c>
      <c r="G353">
        <v>13</v>
      </c>
      <c r="H353" t="s">
        <v>287</v>
      </c>
      <c r="I353" t="s">
        <v>1069</v>
      </c>
      <c r="J353" t="s">
        <v>71</v>
      </c>
      <c r="O353" t="s">
        <v>1070</v>
      </c>
      <c r="P353">
        <v>450</v>
      </c>
      <c r="Q353" s="1">
        <v>45946.479432870372</v>
      </c>
      <c r="AA353" t="s">
        <v>231</v>
      </c>
      <c r="AB353">
        <v>0</v>
      </c>
    </row>
    <row r="354" spans="1:28" x14ac:dyDescent="0.45">
      <c r="A354" t="s">
        <v>226</v>
      </c>
      <c r="B354" t="s">
        <v>22</v>
      </c>
      <c r="C354" t="s">
        <v>227</v>
      </c>
      <c r="D354">
        <v>1</v>
      </c>
      <c r="E354">
        <v>1</v>
      </c>
      <c r="F354" t="s">
        <v>328</v>
      </c>
      <c r="G354">
        <v>14</v>
      </c>
      <c r="H354" t="s">
        <v>287</v>
      </c>
      <c r="I354" t="s">
        <v>1071</v>
      </c>
      <c r="J354">
        <v>9000047076</v>
      </c>
      <c r="O354" t="s">
        <v>1072</v>
      </c>
      <c r="P354">
        <v>5000</v>
      </c>
      <c r="Q354" s="1">
        <v>45932.372499999998</v>
      </c>
      <c r="AA354" t="s">
        <v>231</v>
      </c>
      <c r="AB354">
        <v>0</v>
      </c>
    </row>
    <row r="355" spans="1:28" x14ac:dyDescent="0.45">
      <c r="A355" t="s">
        <v>226</v>
      </c>
      <c r="B355" t="s">
        <v>22</v>
      </c>
      <c r="C355" t="s">
        <v>227</v>
      </c>
      <c r="D355">
        <v>1</v>
      </c>
      <c r="E355">
        <v>1</v>
      </c>
      <c r="F355" t="s">
        <v>445</v>
      </c>
      <c r="G355">
        <v>16</v>
      </c>
      <c r="H355" t="s">
        <v>287</v>
      </c>
      <c r="I355" t="s">
        <v>1073</v>
      </c>
      <c r="J355">
        <v>919739</v>
      </c>
      <c r="O355" t="s">
        <v>1074</v>
      </c>
      <c r="P355">
        <v>500</v>
      </c>
      <c r="Q355" s="1">
        <v>45950.474363425928</v>
      </c>
      <c r="AA355" t="s">
        <v>231</v>
      </c>
      <c r="AB355">
        <v>0</v>
      </c>
    </row>
    <row r="356" spans="1:28" x14ac:dyDescent="0.45">
      <c r="A356" t="s">
        <v>226</v>
      </c>
      <c r="B356" t="s">
        <v>22</v>
      </c>
      <c r="C356" t="s">
        <v>227</v>
      </c>
      <c r="D356">
        <v>1</v>
      </c>
      <c r="E356">
        <v>1</v>
      </c>
      <c r="F356" t="s">
        <v>452</v>
      </c>
      <c r="G356">
        <v>18</v>
      </c>
      <c r="H356" t="s">
        <v>287</v>
      </c>
      <c r="I356" t="s">
        <v>1075</v>
      </c>
      <c r="J356">
        <v>9000069779</v>
      </c>
      <c r="O356" t="s">
        <v>1076</v>
      </c>
      <c r="P356">
        <v>2000</v>
      </c>
      <c r="Q356" s="1">
        <v>45950.474363425928</v>
      </c>
      <c r="AA356" t="s">
        <v>231</v>
      </c>
      <c r="AB356">
        <v>0</v>
      </c>
    </row>
    <row r="357" spans="1:28" x14ac:dyDescent="0.45">
      <c r="A357" t="s">
        <v>226</v>
      </c>
      <c r="B357" t="s">
        <v>22</v>
      </c>
      <c r="C357" t="s">
        <v>227</v>
      </c>
      <c r="D357">
        <v>1</v>
      </c>
      <c r="E357">
        <v>1</v>
      </c>
      <c r="F357" t="s">
        <v>458</v>
      </c>
      <c r="G357">
        <v>20</v>
      </c>
      <c r="H357" t="s">
        <v>287</v>
      </c>
      <c r="I357" t="s">
        <v>1077</v>
      </c>
      <c r="J357" t="s">
        <v>72</v>
      </c>
      <c r="O357" t="s">
        <v>1078</v>
      </c>
      <c r="P357">
        <v>500</v>
      </c>
      <c r="Q357" s="1">
        <v>45937.545856481483</v>
      </c>
      <c r="AA357" t="s">
        <v>231</v>
      </c>
      <c r="AB357">
        <v>0</v>
      </c>
    </row>
    <row r="358" spans="1:28" x14ac:dyDescent="0.45">
      <c r="A358" t="s">
        <v>226</v>
      </c>
      <c r="B358" t="s">
        <v>22</v>
      </c>
      <c r="C358" t="s">
        <v>227</v>
      </c>
      <c r="D358">
        <v>1</v>
      </c>
      <c r="E358">
        <v>1</v>
      </c>
      <c r="F358" t="s">
        <v>461</v>
      </c>
      <c r="G358">
        <v>21</v>
      </c>
      <c r="H358" t="s">
        <v>287</v>
      </c>
      <c r="I358" t="s">
        <v>1079</v>
      </c>
      <c r="J358">
        <v>9000069616</v>
      </c>
      <c r="O358" t="s">
        <v>1080</v>
      </c>
      <c r="P358">
        <v>500</v>
      </c>
      <c r="Q358" s="1">
        <v>45932.647129629629</v>
      </c>
      <c r="AA358" t="s">
        <v>231</v>
      </c>
      <c r="AB358">
        <v>0</v>
      </c>
    </row>
    <row r="359" spans="1:28" x14ac:dyDescent="0.45">
      <c r="A359" t="s">
        <v>226</v>
      </c>
      <c r="B359" t="s">
        <v>22</v>
      </c>
      <c r="C359" t="s">
        <v>227</v>
      </c>
      <c r="D359">
        <v>1</v>
      </c>
      <c r="E359">
        <v>1</v>
      </c>
      <c r="F359" t="s">
        <v>464</v>
      </c>
      <c r="G359">
        <v>22</v>
      </c>
      <c r="H359" t="s">
        <v>287</v>
      </c>
      <c r="I359" t="s">
        <v>1081</v>
      </c>
      <c r="J359" t="s">
        <v>73</v>
      </c>
      <c r="O359" t="s">
        <v>1082</v>
      </c>
      <c r="P359">
        <v>500</v>
      </c>
      <c r="Q359" s="1">
        <v>45946.526574074072</v>
      </c>
      <c r="AA359" t="s">
        <v>231</v>
      </c>
      <c r="AB359">
        <v>0</v>
      </c>
    </row>
    <row r="360" spans="1:28" x14ac:dyDescent="0.45">
      <c r="A360" t="s">
        <v>226</v>
      </c>
      <c r="B360" t="s">
        <v>22</v>
      </c>
      <c r="C360" t="s">
        <v>227</v>
      </c>
      <c r="D360">
        <v>1</v>
      </c>
      <c r="E360">
        <v>1</v>
      </c>
      <c r="F360" t="s">
        <v>472</v>
      </c>
      <c r="G360">
        <v>24</v>
      </c>
      <c r="H360" t="s">
        <v>287</v>
      </c>
      <c r="I360" t="s">
        <v>1083</v>
      </c>
      <c r="J360" t="s">
        <v>74</v>
      </c>
      <c r="O360" t="s">
        <v>1084</v>
      </c>
      <c r="P360">
        <v>500</v>
      </c>
      <c r="Q360" s="1">
        <v>45946.488553240742</v>
      </c>
      <c r="AA360" t="s">
        <v>231</v>
      </c>
      <c r="AB360">
        <v>0</v>
      </c>
    </row>
    <row r="361" spans="1:28" x14ac:dyDescent="0.45">
      <c r="A361" t="s">
        <v>226</v>
      </c>
      <c r="B361" t="s">
        <v>22</v>
      </c>
      <c r="C361" t="s">
        <v>227</v>
      </c>
      <c r="D361">
        <v>1</v>
      </c>
      <c r="E361">
        <v>1</v>
      </c>
      <c r="F361" t="s">
        <v>478</v>
      </c>
      <c r="G361">
        <v>26</v>
      </c>
      <c r="H361" t="s">
        <v>287</v>
      </c>
      <c r="I361" t="s">
        <v>1085</v>
      </c>
      <c r="J361">
        <v>9000046023</v>
      </c>
      <c r="O361" t="s">
        <v>1086</v>
      </c>
      <c r="P361">
        <v>1100</v>
      </c>
      <c r="Q361" s="1">
        <v>45950.474363425928</v>
      </c>
      <c r="AA361" t="s">
        <v>231</v>
      </c>
      <c r="AB361">
        <v>0</v>
      </c>
    </row>
    <row r="362" spans="1:28" x14ac:dyDescent="0.45">
      <c r="A362" t="s">
        <v>226</v>
      </c>
      <c r="B362" t="s">
        <v>22</v>
      </c>
      <c r="C362" t="s">
        <v>227</v>
      </c>
      <c r="D362">
        <v>1</v>
      </c>
      <c r="E362">
        <v>1</v>
      </c>
      <c r="F362" t="s">
        <v>484</v>
      </c>
      <c r="G362">
        <v>28</v>
      </c>
      <c r="H362" t="s">
        <v>287</v>
      </c>
      <c r="I362" t="s">
        <v>1087</v>
      </c>
      <c r="J362">
        <v>9000069182</v>
      </c>
      <c r="O362" t="s">
        <v>1088</v>
      </c>
      <c r="P362">
        <v>200</v>
      </c>
      <c r="Q362" s="1">
        <v>45950.474363425928</v>
      </c>
      <c r="AA362" t="s">
        <v>231</v>
      </c>
      <c r="AB362">
        <v>0</v>
      </c>
    </row>
    <row r="363" spans="1:28" x14ac:dyDescent="0.45">
      <c r="A363" t="s">
        <v>226</v>
      </c>
      <c r="B363" t="s">
        <v>22</v>
      </c>
      <c r="C363" t="s">
        <v>227</v>
      </c>
      <c r="D363">
        <v>1</v>
      </c>
      <c r="E363">
        <v>1</v>
      </c>
      <c r="F363" t="s">
        <v>661</v>
      </c>
      <c r="G363">
        <v>30</v>
      </c>
      <c r="H363" t="s">
        <v>287</v>
      </c>
      <c r="I363" t="s">
        <v>1089</v>
      </c>
      <c r="J363">
        <v>9000070347</v>
      </c>
      <c r="O363" t="s">
        <v>1090</v>
      </c>
      <c r="P363">
        <v>700</v>
      </c>
      <c r="Q363" s="1">
        <v>45932.791921296295</v>
      </c>
      <c r="AA363" t="s">
        <v>231</v>
      </c>
      <c r="AB363">
        <v>0</v>
      </c>
    </row>
    <row r="364" spans="1:28" x14ac:dyDescent="0.45">
      <c r="A364" t="s">
        <v>226</v>
      </c>
      <c r="B364" t="s">
        <v>23</v>
      </c>
      <c r="C364" t="s">
        <v>285</v>
      </c>
      <c r="D364">
        <v>1</v>
      </c>
      <c r="E364">
        <v>1</v>
      </c>
      <c r="F364" t="s">
        <v>1091</v>
      </c>
      <c r="G364">
        <v>30</v>
      </c>
      <c r="H364" t="s">
        <v>1092</v>
      </c>
      <c r="I364" t="s">
        <v>1093</v>
      </c>
      <c r="J364" t="s">
        <v>1094</v>
      </c>
      <c r="O364" t="s">
        <v>1095</v>
      </c>
      <c r="P364">
        <v>3300</v>
      </c>
      <c r="Q364" s="1">
        <v>45931.82136574074</v>
      </c>
      <c r="AA364" t="s">
        <v>231</v>
      </c>
      <c r="AB364">
        <v>0</v>
      </c>
    </row>
    <row r="365" spans="1:28" x14ac:dyDescent="0.45">
      <c r="A365" t="s">
        <v>226</v>
      </c>
      <c r="B365" t="s">
        <v>23</v>
      </c>
      <c r="C365" t="s">
        <v>285</v>
      </c>
      <c r="D365">
        <v>1</v>
      </c>
      <c r="E365">
        <v>1</v>
      </c>
      <c r="F365" t="s">
        <v>1096</v>
      </c>
      <c r="G365">
        <v>20</v>
      </c>
      <c r="H365" t="s">
        <v>1092</v>
      </c>
      <c r="I365" t="s">
        <v>1097</v>
      </c>
      <c r="J365">
        <v>667832</v>
      </c>
      <c r="O365" t="s">
        <v>1098</v>
      </c>
      <c r="P365">
        <v>10000</v>
      </c>
      <c r="Q365" s="1">
        <v>45931.82135416667</v>
      </c>
      <c r="AA365" t="s">
        <v>231</v>
      </c>
      <c r="AB365">
        <v>0</v>
      </c>
    </row>
    <row r="366" spans="1:28" x14ac:dyDescent="0.45">
      <c r="A366" t="s">
        <v>226</v>
      </c>
      <c r="B366" t="s">
        <v>23</v>
      </c>
      <c r="C366" t="s">
        <v>285</v>
      </c>
      <c r="D366">
        <v>1</v>
      </c>
      <c r="E366">
        <v>1</v>
      </c>
      <c r="F366" t="s">
        <v>1099</v>
      </c>
      <c r="G366">
        <v>19</v>
      </c>
      <c r="H366" t="s">
        <v>1092</v>
      </c>
      <c r="I366" t="s">
        <v>1100</v>
      </c>
      <c r="J366">
        <v>9000066581</v>
      </c>
      <c r="O366" t="s">
        <v>1101</v>
      </c>
      <c r="P366">
        <v>10000</v>
      </c>
      <c r="Q366" s="1">
        <v>45950.475081018521</v>
      </c>
      <c r="S366" t="s">
        <v>290</v>
      </c>
      <c r="U366" t="s">
        <v>1102</v>
      </c>
      <c r="AA366" t="s">
        <v>231</v>
      </c>
      <c r="AB366">
        <v>0</v>
      </c>
    </row>
    <row r="367" spans="1:28" x14ac:dyDescent="0.45">
      <c r="A367" t="s">
        <v>226</v>
      </c>
      <c r="B367" t="s">
        <v>23</v>
      </c>
      <c r="C367" t="s">
        <v>285</v>
      </c>
      <c r="D367">
        <v>1</v>
      </c>
      <c r="E367">
        <v>1</v>
      </c>
      <c r="F367" t="s">
        <v>1103</v>
      </c>
      <c r="G367">
        <v>18</v>
      </c>
      <c r="H367" t="s">
        <v>1092</v>
      </c>
      <c r="I367" t="s">
        <v>1104</v>
      </c>
      <c r="J367">
        <v>9000065149</v>
      </c>
      <c r="O367" t="s">
        <v>1105</v>
      </c>
      <c r="P367">
        <v>10000</v>
      </c>
      <c r="Q367" s="1">
        <v>45950.697962962964</v>
      </c>
      <c r="R367" t="s">
        <v>494</v>
      </c>
      <c r="AA367" t="s">
        <v>231</v>
      </c>
      <c r="AB367">
        <v>0</v>
      </c>
    </row>
    <row r="368" spans="1:28" x14ac:dyDescent="0.45">
      <c r="A368" t="s">
        <v>226</v>
      </c>
      <c r="B368" t="s">
        <v>23</v>
      </c>
      <c r="C368" t="s">
        <v>285</v>
      </c>
      <c r="D368">
        <v>1</v>
      </c>
      <c r="E368">
        <v>1</v>
      </c>
      <c r="F368" t="s">
        <v>1106</v>
      </c>
      <c r="G368">
        <v>17</v>
      </c>
      <c r="H368" t="s">
        <v>1092</v>
      </c>
      <c r="I368" t="s">
        <v>1107</v>
      </c>
      <c r="J368">
        <v>9000066682</v>
      </c>
      <c r="O368" t="s">
        <v>1108</v>
      </c>
      <c r="P368">
        <v>2000</v>
      </c>
      <c r="Q368" s="1">
        <v>45950.475081018521</v>
      </c>
      <c r="S368" t="s">
        <v>290</v>
      </c>
      <c r="U368" t="s">
        <v>1109</v>
      </c>
      <c r="AA368" t="s">
        <v>231</v>
      </c>
      <c r="AB368">
        <v>0</v>
      </c>
    </row>
    <row r="369" spans="1:28" x14ac:dyDescent="0.45">
      <c r="A369" t="s">
        <v>226</v>
      </c>
      <c r="B369" t="s">
        <v>23</v>
      </c>
      <c r="C369" t="s">
        <v>285</v>
      </c>
      <c r="D369">
        <v>1</v>
      </c>
      <c r="E369">
        <v>1</v>
      </c>
      <c r="F369" t="s">
        <v>1110</v>
      </c>
      <c r="G369">
        <v>16</v>
      </c>
      <c r="H369" t="s">
        <v>1092</v>
      </c>
      <c r="I369" t="s">
        <v>1111</v>
      </c>
      <c r="J369">
        <v>909607</v>
      </c>
      <c r="O369" t="s">
        <v>1112</v>
      </c>
      <c r="P369">
        <v>10000</v>
      </c>
      <c r="Q369" s="1">
        <v>45950.475081018521</v>
      </c>
      <c r="AA369" t="s">
        <v>231</v>
      </c>
      <c r="AB369">
        <v>0</v>
      </c>
    </row>
    <row r="370" spans="1:28" x14ac:dyDescent="0.45">
      <c r="A370" t="s">
        <v>226</v>
      </c>
      <c r="B370" t="s">
        <v>23</v>
      </c>
      <c r="C370" t="s">
        <v>285</v>
      </c>
      <c r="D370">
        <v>1</v>
      </c>
      <c r="E370">
        <v>1</v>
      </c>
      <c r="F370" t="s">
        <v>1113</v>
      </c>
      <c r="G370">
        <v>15</v>
      </c>
      <c r="H370" t="s">
        <v>1092</v>
      </c>
      <c r="I370" t="s">
        <v>1114</v>
      </c>
      <c r="J370">
        <v>678615</v>
      </c>
      <c r="O370" t="s">
        <v>1115</v>
      </c>
      <c r="P370">
        <v>10000</v>
      </c>
      <c r="Q370" s="1">
        <v>45950.475081018521</v>
      </c>
      <c r="AA370" t="s">
        <v>231</v>
      </c>
      <c r="AB370">
        <v>0</v>
      </c>
    </row>
    <row r="371" spans="1:28" x14ac:dyDescent="0.45">
      <c r="A371" t="s">
        <v>226</v>
      </c>
      <c r="B371" t="s">
        <v>23</v>
      </c>
      <c r="C371" t="s">
        <v>285</v>
      </c>
      <c r="D371">
        <v>1</v>
      </c>
      <c r="E371">
        <v>1</v>
      </c>
      <c r="F371" t="s">
        <v>1116</v>
      </c>
      <c r="G371">
        <v>14</v>
      </c>
      <c r="H371" t="s">
        <v>1092</v>
      </c>
      <c r="I371" t="s">
        <v>1117</v>
      </c>
      <c r="J371">
        <v>9000068528</v>
      </c>
      <c r="O371" t="s">
        <v>1118</v>
      </c>
      <c r="P371">
        <v>10000</v>
      </c>
      <c r="Q371" s="1">
        <v>45950.475081018521</v>
      </c>
      <c r="AA371" t="s">
        <v>231</v>
      </c>
      <c r="AB371">
        <v>0</v>
      </c>
    </row>
    <row r="372" spans="1:28" x14ac:dyDescent="0.45">
      <c r="A372" t="s">
        <v>226</v>
      </c>
      <c r="B372" t="s">
        <v>23</v>
      </c>
      <c r="C372" t="s">
        <v>285</v>
      </c>
      <c r="D372">
        <v>1</v>
      </c>
      <c r="E372">
        <v>1</v>
      </c>
      <c r="F372" t="s">
        <v>1119</v>
      </c>
      <c r="G372">
        <v>13</v>
      </c>
      <c r="H372" t="s">
        <v>1092</v>
      </c>
      <c r="I372" t="s">
        <v>1120</v>
      </c>
      <c r="J372">
        <v>910089</v>
      </c>
      <c r="O372" t="s">
        <v>1121</v>
      </c>
      <c r="P372">
        <v>10000</v>
      </c>
      <c r="Q372" s="1">
        <v>45950.475081018521</v>
      </c>
      <c r="AA372" t="s">
        <v>231</v>
      </c>
      <c r="AB372">
        <v>0</v>
      </c>
    </row>
    <row r="373" spans="1:28" x14ac:dyDescent="0.45">
      <c r="A373" t="s">
        <v>226</v>
      </c>
      <c r="B373" t="s">
        <v>23</v>
      </c>
      <c r="C373" t="s">
        <v>285</v>
      </c>
      <c r="D373">
        <v>1</v>
      </c>
      <c r="E373">
        <v>1</v>
      </c>
      <c r="F373" t="s">
        <v>1122</v>
      </c>
      <c r="G373">
        <v>12</v>
      </c>
      <c r="H373" t="s">
        <v>1092</v>
      </c>
      <c r="I373" t="s">
        <v>1123</v>
      </c>
      <c r="J373">
        <v>672612</v>
      </c>
      <c r="O373" t="s">
        <v>1124</v>
      </c>
      <c r="P373">
        <v>10000</v>
      </c>
      <c r="Q373" s="1">
        <v>45950.475081018521</v>
      </c>
      <c r="AA373" t="s">
        <v>231</v>
      </c>
      <c r="AB373">
        <v>0</v>
      </c>
    </row>
    <row r="374" spans="1:28" x14ac:dyDescent="0.45">
      <c r="A374" t="s">
        <v>226</v>
      </c>
      <c r="B374" t="s">
        <v>23</v>
      </c>
      <c r="C374" t="s">
        <v>285</v>
      </c>
      <c r="D374">
        <v>1</v>
      </c>
      <c r="E374">
        <v>1</v>
      </c>
      <c r="F374" t="s">
        <v>1125</v>
      </c>
      <c r="G374">
        <v>11</v>
      </c>
      <c r="H374" t="s">
        <v>1092</v>
      </c>
      <c r="I374" t="s">
        <v>1126</v>
      </c>
      <c r="J374">
        <v>910098</v>
      </c>
      <c r="O374" t="s">
        <v>1127</v>
      </c>
      <c r="P374">
        <v>10000</v>
      </c>
      <c r="Q374" s="1">
        <v>45950.475081018521</v>
      </c>
      <c r="S374" t="s">
        <v>290</v>
      </c>
      <c r="U374" t="s">
        <v>1128</v>
      </c>
      <c r="AA374" t="s">
        <v>231</v>
      </c>
      <c r="AB374">
        <v>0</v>
      </c>
    </row>
    <row r="375" spans="1:28" x14ac:dyDescent="0.45">
      <c r="A375" t="s">
        <v>226</v>
      </c>
      <c r="B375" t="s">
        <v>23</v>
      </c>
      <c r="C375" t="s">
        <v>285</v>
      </c>
      <c r="D375">
        <v>1</v>
      </c>
      <c r="E375">
        <v>1</v>
      </c>
      <c r="F375" t="s">
        <v>1129</v>
      </c>
      <c r="G375">
        <v>10</v>
      </c>
      <c r="H375" t="s">
        <v>1092</v>
      </c>
      <c r="I375" t="s">
        <v>1130</v>
      </c>
      <c r="J375">
        <v>667779</v>
      </c>
      <c r="O375" t="s">
        <v>1131</v>
      </c>
      <c r="P375">
        <v>10000</v>
      </c>
      <c r="Q375" s="1">
        <v>45950.475081018521</v>
      </c>
      <c r="S375" t="s">
        <v>290</v>
      </c>
      <c r="U375" t="s">
        <v>1132</v>
      </c>
      <c r="AA375" t="s">
        <v>231</v>
      </c>
      <c r="AB375">
        <v>0</v>
      </c>
    </row>
    <row r="376" spans="1:28" x14ac:dyDescent="0.45">
      <c r="A376" t="s">
        <v>226</v>
      </c>
      <c r="B376" t="s">
        <v>23</v>
      </c>
      <c r="C376" t="s">
        <v>285</v>
      </c>
      <c r="D376">
        <v>1</v>
      </c>
      <c r="E376">
        <v>1</v>
      </c>
      <c r="F376" t="s">
        <v>1133</v>
      </c>
      <c r="G376">
        <v>9</v>
      </c>
      <c r="H376" t="s">
        <v>1092</v>
      </c>
      <c r="I376" t="s">
        <v>1134</v>
      </c>
      <c r="J376">
        <v>667672</v>
      </c>
      <c r="O376" t="s">
        <v>1135</v>
      </c>
      <c r="P376">
        <v>10000</v>
      </c>
      <c r="Q376" s="1">
        <v>45950.475081018521</v>
      </c>
      <c r="AA376" t="s">
        <v>231</v>
      </c>
      <c r="AB376">
        <v>0</v>
      </c>
    </row>
    <row r="377" spans="1:28" x14ac:dyDescent="0.45">
      <c r="A377" t="s">
        <v>226</v>
      </c>
      <c r="B377" t="s">
        <v>23</v>
      </c>
      <c r="C377" t="s">
        <v>285</v>
      </c>
      <c r="D377">
        <v>1</v>
      </c>
      <c r="E377">
        <v>1</v>
      </c>
      <c r="F377" t="s">
        <v>1136</v>
      </c>
      <c r="G377">
        <v>8</v>
      </c>
      <c r="H377" t="s">
        <v>1092</v>
      </c>
      <c r="I377" t="s">
        <v>1137</v>
      </c>
      <c r="J377">
        <v>667814</v>
      </c>
      <c r="O377" t="s">
        <v>1138</v>
      </c>
      <c r="P377">
        <v>10000</v>
      </c>
      <c r="Q377" s="1">
        <v>45950.475081018521</v>
      </c>
      <c r="AA377" t="s">
        <v>231</v>
      </c>
      <c r="AB377">
        <v>0</v>
      </c>
    </row>
    <row r="378" spans="1:28" x14ac:dyDescent="0.45">
      <c r="A378" t="s">
        <v>226</v>
      </c>
      <c r="B378" t="s">
        <v>23</v>
      </c>
      <c r="C378" t="s">
        <v>285</v>
      </c>
      <c r="D378">
        <v>1</v>
      </c>
      <c r="E378">
        <v>1</v>
      </c>
      <c r="F378" t="s">
        <v>1139</v>
      </c>
      <c r="G378">
        <v>7</v>
      </c>
      <c r="H378" t="s">
        <v>1092</v>
      </c>
      <c r="I378" t="s">
        <v>1140</v>
      </c>
      <c r="J378">
        <v>910062</v>
      </c>
      <c r="O378" t="s">
        <v>1141</v>
      </c>
      <c r="P378">
        <v>10000</v>
      </c>
      <c r="Q378" s="1">
        <v>45950.475069444445</v>
      </c>
      <c r="AA378" t="s">
        <v>231</v>
      </c>
      <c r="AB378">
        <v>0</v>
      </c>
    </row>
    <row r="379" spans="1:28" x14ac:dyDescent="0.45">
      <c r="A379" t="s">
        <v>226</v>
      </c>
      <c r="B379" t="s">
        <v>23</v>
      </c>
      <c r="C379" t="s">
        <v>285</v>
      </c>
      <c r="D379">
        <v>1</v>
      </c>
      <c r="E379">
        <v>1</v>
      </c>
      <c r="F379" t="s">
        <v>1142</v>
      </c>
      <c r="G379">
        <v>6</v>
      </c>
      <c r="H379" t="s">
        <v>1092</v>
      </c>
      <c r="I379" t="s">
        <v>1143</v>
      </c>
      <c r="J379">
        <v>587535</v>
      </c>
      <c r="O379" t="s">
        <v>1144</v>
      </c>
      <c r="P379">
        <v>3000</v>
      </c>
      <c r="Q379" s="1">
        <v>45950.475069444445</v>
      </c>
      <c r="S379" t="s">
        <v>290</v>
      </c>
      <c r="U379" t="s">
        <v>1145</v>
      </c>
      <c r="AA379" t="s">
        <v>231</v>
      </c>
      <c r="AB379">
        <v>0</v>
      </c>
    </row>
    <row r="380" spans="1:28" x14ac:dyDescent="0.45">
      <c r="A380" t="s">
        <v>226</v>
      </c>
      <c r="B380" t="s">
        <v>23</v>
      </c>
      <c r="C380" t="s">
        <v>285</v>
      </c>
      <c r="D380">
        <v>1</v>
      </c>
      <c r="E380">
        <v>1</v>
      </c>
      <c r="F380" t="s">
        <v>1146</v>
      </c>
      <c r="G380">
        <v>5</v>
      </c>
      <c r="H380" t="s">
        <v>1092</v>
      </c>
      <c r="I380" t="s">
        <v>1147</v>
      </c>
      <c r="J380">
        <v>9000069350</v>
      </c>
      <c r="O380" t="s">
        <v>1148</v>
      </c>
      <c r="P380">
        <v>3000</v>
      </c>
      <c r="Q380" s="1">
        <v>45950.475069444445</v>
      </c>
      <c r="AA380" t="s">
        <v>231</v>
      </c>
      <c r="AB380">
        <v>0</v>
      </c>
    </row>
    <row r="381" spans="1:28" x14ac:dyDescent="0.45">
      <c r="A381" t="s">
        <v>226</v>
      </c>
      <c r="B381" t="s">
        <v>23</v>
      </c>
      <c r="C381" t="s">
        <v>285</v>
      </c>
      <c r="D381">
        <v>1</v>
      </c>
      <c r="E381">
        <v>1</v>
      </c>
      <c r="F381" t="s">
        <v>1149</v>
      </c>
      <c r="G381">
        <v>4</v>
      </c>
      <c r="H381" t="s">
        <v>1092</v>
      </c>
      <c r="I381" t="s">
        <v>1150</v>
      </c>
      <c r="J381">
        <v>673326</v>
      </c>
      <c r="O381" t="s">
        <v>1151</v>
      </c>
      <c r="P381">
        <v>10000</v>
      </c>
      <c r="Q381" s="1">
        <v>45950.475069444445</v>
      </c>
      <c r="AA381" t="s">
        <v>231</v>
      </c>
      <c r="AB381">
        <v>0</v>
      </c>
    </row>
    <row r="382" spans="1:28" x14ac:dyDescent="0.45">
      <c r="A382" t="s">
        <v>226</v>
      </c>
      <c r="B382" t="s">
        <v>23</v>
      </c>
      <c r="C382" t="s">
        <v>285</v>
      </c>
      <c r="D382">
        <v>1</v>
      </c>
      <c r="E382">
        <v>1</v>
      </c>
      <c r="F382" t="s">
        <v>1152</v>
      </c>
      <c r="G382">
        <v>3</v>
      </c>
      <c r="H382" t="s">
        <v>1092</v>
      </c>
      <c r="I382" t="s">
        <v>1153</v>
      </c>
      <c r="J382">
        <v>667859</v>
      </c>
      <c r="O382" t="s">
        <v>1154</v>
      </c>
      <c r="P382">
        <v>10000</v>
      </c>
      <c r="Q382" s="1">
        <v>45950.475069444445</v>
      </c>
      <c r="AA382" t="s">
        <v>231</v>
      </c>
      <c r="AB382">
        <v>0</v>
      </c>
    </row>
    <row r="383" spans="1:28" x14ac:dyDescent="0.45">
      <c r="A383" t="s">
        <v>226</v>
      </c>
      <c r="B383" t="s">
        <v>23</v>
      </c>
      <c r="C383" t="s">
        <v>285</v>
      </c>
      <c r="D383">
        <v>1</v>
      </c>
      <c r="E383">
        <v>1</v>
      </c>
      <c r="F383" t="s">
        <v>1155</v>
      </c>
      <c r="G383">
        <v>2</v>
      </c>
      <c r="H383" t="s">
        <v>1092</v>
      </c>
      <c r="I383" t="s">
        <v>1156</v>
      </c>
      <c r="J383">
        <v>9000068526</v>
      </c>
      <c r="O383" t="s">
        <v>1157</v>
      </c>
      <c r="P383">
        <v>10000</v>
      </c>
      <c r="Q383" s="1">
        <v>45950.475069444445</v>
      </c>
      <c r="AA383" t="s">
        <v>231</v>
      </c>
      <c r="AB383">
        <v>0</v>
      </c>
    </row>
    <row r="384" spans="1:28" x14ac:dyDescent="0.45">
      <c r="A384" t="s">
        <v>226</v>
      </c>
      <c r="B384" t="s">
        <v>23</v>
      </c>
      <c r="C384" t="s">
        <v>285</v>
      </c>
      <c r="D384">
        <v>1</v>
      </c>
      <c r="E384">
        <v>1</v>
      </c>
      <c r="F384" t="s">
        <v>1158</v>
      </c>
      <c r="G384">
        <v>1</v>
      </c>
      <c r="H384" t="s">
        <v>1092</v>
      </c>
      <c r="I384" t="s">
        <v>1159</v>
      </c>
      <c r="J384" t="s">
        <v>75</v>
      </c>
      <c r="O384" t="s">
        <v>1160</v>
      </c>
      <c r="P384">
        <v>10000</v>
      </c>
      <c r="Q384" s="1">
        <v>45950.475069444445</v>
      </c>
      <c r="AA384" t="s">
        <v>231</v>
      </c>
      <c r="AB384">
        <v>0</v>
      </c>
    </row>
    <row r="385" spans="1:28" x14ac:dyDescent="0.45">
      <c r="A385" t="s">
        <v>226</v>
      </c>
      <c r="B385" t="s">
        <v>23</v>
      </c>
      <c r="C385" t="s">
        <v>285</v>
      </c>
      <c r="D385">
        <v>1</v>
      </c>
      <c r="E385">
        <v>1</v>
      </c>
      <c r="F385" t="s">
        <v>1161</v>
      </c>
      <c r="G385">
        <v>15</v>
      </c>
      <c r="H385" t="s">
        <v>1092</v>
      </c>
      <c r="I385" t="s">
        <v>1162</v>
      </c>
      <c r="J385" t="s">
        <v>1163</v>
      </c>
      <c r="O385" t="s">
        <v>1164</v>
      </c>
      <c r="P385">
        <v>12452</v>
      </c>
      <c r="Q385" s="1">
        <v>45931.821273148147</v>
      </c>
      <c r="AA385" t="s">
        <v>231</v>
      </c>
      <c r="AB385">
        <v>0</v>
      </c>
    </row>
    <row r="386" spans="1:28" x14ac:dyDescent="0.45">
      <c r="A386" t="s">
        <v>226</v>
      </c>
      <c r="B386" t="s">
        <v>23</v>
      </c>
      <c r="C386" t="s">
        <v>285</v>
      </c>
      <c r="D386">
        <v>1</v>
      </c>
      <c r="E386">
        <v>1</v>
      </c>
      <c r="F386" t="s">
        <v>1165</v>
      </c>
      <c r="G386">
        <v>14</v>
      </c>
      <c r="H386" t="s">
        <v>1092</v>
      </c>
      <c r="I386" t="s">
        <v>1166</v>
      </c>
      <c r="J386">
        <v>9000058674</v>
      </c>
      <c r="O386" t="s">
        <v>1167</v>
      </c>
      <c r="P386">
        <v>15000</v>
      </c>
      <c r="Q386" s="1">
        <v>45931.821273148147</v>
      </c>
      <c r="AA386" t="s">
        <v>231</v>
      </c>
      <c r="AB386">
        <v>0</v>
      </c>
    </row>
    <row r="387" spans="1:28" x14ac:dyDescent="0.45">
      <c r="A387" t="s">
        <v>226</v>
      </c>
      <c r="B387" t="s">
        <v>23</v>
      </c>
      <c r="C387" t="s">
        <v>285</v>
      </c>
      <c r="D387">
        <v>1</v>
      </c>
      <c r="E387">
        <v>1</v>
      </c>
      <c r="F387" t="s">
        <v>1168</v>
      </c>
      <c r="G387">
        <v>13</v>
      </c>
      <c r="H387" t="s">
        <v>1092</v>
      </c>
      <c r="I387" t="s">
        <v>1169</v>
      </c>
      <c r="J387">
        <v>9000069969</v>
      </c>
      <c r="O387" t="s">
        <v>1170</v>
      </c>
      <c r="P387">
        <v>10000</v>
      </c>
      <c r="Q387" s="1">
        <v>45931.821273148147</v>
      </c>
      <c r="AA387" t="s">
        <v>231</v>
      </c>
      <c r="AB387">
        <v>0</v>
      </c>
    </row>
    <row r="388" spans="1:28" x14ac:dyDescent="0.45">
      <c r="A388" t="s">
        <v>226</v>
      </c>
      <c r="B388" t="s">
        <v>23</v>
      </c>
      <c r="C388" t="s">
        <v>285</v>
      </c>
      <c r="D388">
        <v>1</v>
      </c>
      <c r="E388">
        <v>1</v>
      </c>
      <c r="F388" t="s">
        <v>1171</v>
      </c>
      <c r="G388">
        <v>12</v>
      </c>
      <c r="H388" t="s">
        <v>1092</v>
      </c>
      <c r="I388" t="s">
        <v>1172</v>
      </c>
      <c r="J388">
        <v>9000066582</v>
      </c>
      <c r="O388" t="s">
        <v>1173</v>
      </c>
      <c r="P388">
        <v>10000</v>
      </c>
      <c r="Q388" s="1">
        <v>45932.616446759261</v>
      </c>
      <c r="AA388" t="s">
        <v>231</v>
      </c>
      <c r="AB388">
        <v>0</v>
      </c>
    </row>
    <row r="389" spans="1:28" x14ac:dyDescent="0.45">
      <c r="A389" t="s">
        <v>226</v>
      </c>
      <c r="B389" t="s">
        <v>23</v>
      </c>
      <c r="C389" t="s">
        <v>285</v>
      </c>
      <c r="D389">
        <v>1</v>
      </c>
      <c r="E389">
        <v>1</v>
      </c>
      <c r="F389" t="s">
        <v>1174</v>
      </c>
      <c r="G389">
        <v>11</v>
      </c>
      <c r="H389" t="s">
        <v>1092</v>
      </c>
      <c r="I389" t="s">
        <v>1175</v>
      </c>
      <c r="J389">
        <v>667752</v>
      </c>
      <c r="O389" t="s">
        <v>1176</v>
      </c>
      <c r="P389">
        <v>10000</v>
      </c>
      <c r="Q389" s="1">
        <v>45950.475069444445</v>
      </c>
      <c r="AA389" t="s">
        <v>231</v>
      </c>
      <c r="AB389">
        <v>0</v>
      </c>
    </row>
    <row r="390" spans="1:28" x14ac:dyDescent="0.45">
      <c r="A390" t="s">
        <v>226</v>
      </c>
      <c r="B390" t="s">
        <v>23</v>
      </c>
      <c r="C390" t="s">
        <v>285</v>
      </c>
      <c r="D390">
        <v>1</v>
      </c>
      <c r="E390">
        <v>1</v>
      </c>
      <c r="F390" t="s">
        <v>1177</v>
      </c>
      <c r="G390">
        <v>10</v>
      </c>
      <c r="H390" t="s">
        <v>1092</v>
      </c>
      <c r="I390" t="s">
        <v>1178</v>
      </c>
      <c r="J390">
        <v>667636</v>
      </c>
      <c r="O390" t="s">
        <v>1179</v>
      </c>
      <c r="P390">
        <v>10000</v>
      </c>
      <c r="Q390" s="1">
        <v>45950.475057870368</v>
      </c>
      <c r="S390" t="s">
        <v>290</v>
      </c>
      <c r="U390" t="s">
        <v>1180</v>
      </c>
      <c r="AA390" t="s">
        <v>231</v>
      </c>
      <c r="AB390">
        <v>0</v>
      </c>
    </row>
    <row r="391" spans="1:28" x14ac:dyDescent="0.45">
      <c r="A391" t="s">
        <v>226</v>
      </c>
      <c r="B391" t="s">
        <v>23</v>
      </c>
      <c r="C391" t="s">
        <v>285</v>
      </c>
      <c r="D391">
        <v>1</v>
      </c>
      <c r="E391">
        <v>1</v>
      </c>
      <c r="F391" t="s">
        <v>1181</v>
      </c>
      <c r="G391">
        <v>9</v>
      </c>
      <c r="H391" t="s">
        <v>1092</v>
      </c>
      <c r="I391" t="s">
        <v>1182</v>
      </c>
      <c r="J391">
        <v>9000068532</v>
      </c>
      <c r="O391" t="s">
        <v>1183</v>
      </c>
      <c r="P391">
        <v>10000</v>
      </c>
      <c r="Q391" s="1">
        <v>45950.475057870368</v>
      </c>
      <c r="AA391" t="s">
        <v>231</v>
      </c>
      <c r="AB391">
        <v>0</v>
      </c>
    </row>
    <row r="392" spans="1:28" x14ac:dyDescent="0.45">
      <c r="A392" t="s">
        <v>226</v>
      </c>
      <c r="B392" t="s">
        <v>23</v>
      </c>
      <c r="C392" t="s">
        <v>285</v>
      </c>
      <c r="D392">
        <v>1</v>
      </c>
      <c r="E392">
        <v>1</v>
      </c>
      <c r="F392" t="s">
        <v>1184</v>
      </c>
      <c r="G392">
        <v>8</v>
      </c>
      <c r="H392" t="s">
        <v>1092</v>
      </c>
      <c r="I392" t="s">
        <v>1185</v>
      </c>
      <c r="J392">
        <v>9000069261</v>
      </c>
      <c r="O392" t="s">
        <v>1186</v>
      </c>
      <c r="P392">
        <v>15000</v>
      </c>
      <c r="Q392" s="1">
        <v>45950.475057870368</v>
      </c>
      <c r="AA392" t="s">
        <v>231</v>
      </c>
      <c r="AB392">
        <v>0</v>
      </c>
    </row>
    <row r="393" spans="1:28" x14ac:dyDescent="0.45">
      <c r="A393" t="s">
        <v>226</v>
      </c>
      <c r="B393" t="s">
        <v>23</v>
      </c>
      <c r="C393" t="s">
        <v>285</v>
      </c>
      <c r="D393">
        <v>1</v>
      </c>
      <c r="E393">
        <v>1</v>
      </c>
      <c r="F393" t="s">
        <v>1187</v>
      </c>
      <c r="G393">
        <v>7</v>
      </c>
      <c r="H393" t="s">
        <v>1092</v>
      </c>
      <c r="I393" t="s">
        <v>1188</v>
      </c>
      <c r="J393">
        <v>668885</v>
      </c>
      <c r="O393" t="s">
        <v>1189</v>
      </c>
      <c r="P393">
        <v>10000</v>
      </c>
      <c r="Q393" s="1">
        <v>45950.475057870368</v>
      </c>
      <c r="AA393" t="s">
        <v>231</v>
      </c>
      <c r="AB393">
        <v>0</v>
      </c>
    </row>
    <row r="394" spans="1:28" x14ac:dyDescent="0.45">
      <c r="A394" t="s">
        <v>226</v>
      </c>
      <c r="B394" t="s">
        <v>23</v>
      </c>
      <c r="C394" t="s">
        <v>285</v>
      </c>
      <c r="D394">
        <v>1</v>
      </c>
      <c r="E394">
        <v>1</v>
      </c>
      <c r="F394" t="s">
        <v>1190</v>
      </c>
      <c r="G394">
        <v>6</v>
      </c>
      <c r="H394" t="s">
        <v>1092</v>
      </c>
      <c r="I394" t="s">
        <v>1191</v>
      </c>
      <c r="J394">
        <v>9000025385</v>
      </c>
      <c r="O394" t="s">
        <v>1192</v>
      </c>
      <c r="P394">
        <v>10000</v>
      </c>
      <c r="Q394" s="1">
        <v>45950.475057870368</v>
      </c>
      <c r="S394" t="s">
        <v>290</v>
      </c>
      <c r="U394" t="s">
        <v>1193</v>
      </c>
      <c r="AA394" t="s">
        <v>231</v>
      </c>
      <c r="AB394">
        <v>0</v>
      </c>
    </row>
    <row r="395" spans="1:28" x14ac:dyDescent="0.45">
      <c r="A395" t="s">
        <v>226</v>
      </c>
      <c r="B395" t="s">
        <v>23</v>
      </c>
      <c r="C395" t="s">
        <v>285</v>
      </c>
      <c r="D395">
        <v>1</v>
      </c>
      <c r="E395">
        <v>1</v>
      </c>
      <c r="F395" t="s">
        <v>1194</v>
      </c>
      <c r="G395">
        <v>5</v>
      </c>
      <c r="H395" t="s">
        <v>1092</v>
      </c>
      <c r="I395" t="s">
        <v>1195</v>
      </c>
      <c r="J395">
        <v>9000050393</v>
      </c>
      <c r="O395" t="s">
        <v>1196</v>
      </c>
      <c r="P395">
        <v>10000</v>
      </c>
      <c r="Q395" s="1">
        <v>45950.475057870368</v>
      </c>
      <c r="AA395" t="s">
        <v>231</v>
      </c>
      <c r="AB395">
        <v>0</v>
      </c>
    </row>
    <row r="396" spans="1:28" x14ac:dyDescent="0.45">
      <c r="A396" t="s">
        <v>226</v>
      </c>
      <c r="B396" t="s">
        <v>23</v>
      </c>
      <c r="C396" t="s">
        <v>285</v>
      </c>
      <c r="D396">
        <v>1</v>
      </c>
      <c r="E396">
        <v>1</v>
      </c>
      <c r="F396" t="s">
        <v>1197</v>
      </c>
      <c r="G396">
        <v>4</v>
      </c>
      <c r="H396" t="s">
        <v>1092</v>
      </c>
      <c r="I396" t="s">
        <v>1198</v>
      </c>
      <c r="J396">
        <v>9000066580</v>
      </c>
      <c r="O396" t="s">
        <v>1199</v>
      </c>
      <c r="P396">
        <v>10000</v>
      </c>
      <c r="Q396" s="1">
        <v>45950.475046296298</v>
      </c>
      <c r="S396" t="s">
        <v>290</v>
      </c>
      <c r="U396" t="s">
        <v>1200</v>
      </c>
      <c r="AA396" t="s">
        <v>231</v>
      </c>
      <c r="AB396">
        <v>0</v>
      </c>
    </row>
    <row r="397" spans="1:28" x14ac:dyDescent="0.45">
      <c r="A397" t="s">
        <v>226</v>
      </c>
      <c r="B397" t="s">
        <v>23</v>
      </c>
      <c r="C397" t="s">
        <v>285</v>
      </c>
      <c r="D397">
        <v>1</v>
      </c>
      <c r="E397">
        <v>1</v>
      </c>
      <c r="F397" t="s">
        <v>1201</v>
      </c>
      <c r="G397">
        <v>3</v>
      </c>
      <c r="H397" t="s">
        <v>1092</v>
      </c>
      <c r="I397" t="s">
        <v>1202</v>
      </c>
      <c r="J397">
        <v>9000068756</v>
      </c>
      <c r="O397" t="s">
        <v>1203</v>
      </c>
      <c r="P397">
        <v>15000</v>
      </c>
      <c r="Q397" s="1">
        <v>45950.475046296298</v>
      </c>
      <c r="AA397" t="s">
        <v>231</v>
      </c>
      <c r="AB397">
        <v>0</v>
      </c>
    </row>
    <row r="398" spans="1:28" x14ac:dyDescent="0.45">
      <c r="A398" t="s">
        <v>226</v>
      </c>
      <c r="B398" t="s">
        <v>23</v>
      </c>
      <c r="C398" t="s">
        <v>285</v>
      </c>
      <c r="D398">
        <v>1</v>
      </c>
      <c r="E398">
        <v>1</v>
      </c>
      <c r="F398" t="s">
        <v>1204</v>
      </c>
      <c r="G398">
        <v>2</v>
      </c>
      <c r="H398" t="s">
        <v>1092</v>
      </c>
      <c r="I398" t="s">
        <v>1205</v>
      </c>
      <c r="J398">
        <v>903489</v>
      </c>
      <c r="O398" t="s">
        <v>1206</v>
      </c>
      <c r="P398">
        <v>10000</v>
      </c>
      <c r="Q398" s="1">
        <v>45950.475046296298</v>
      </c>
      <c r="AA398" t="s">
        <v>231</v>
      </c>
      <c r="AB398">
        <v>0</v>
      </c>
    </row>
    <row r="399" spans="1:28" x14ac:dyDescent="0.45">
      <c r="A399" t="s">
        <v>226</v>
      </c>
      <c r="B399" t="s">
        <v>26</v>
      </c>
      <c r="C399" t="s">
        <v>413</v>
      </c>
      <c r="D399">
        <v>1</v>
      </c>
      <c r="E399">
        <v>1</v>
      </c>
      <c r="F399" t="s">
        <v>1197</v>
      </c>
      <c r="G399">
        <v>4</v>
      </c>
      <c r="H399" t="s">
        <v>1092</v>
      </c>
      <c r="I399" t="s">
        <v>1207</v>
      </c>
      <c r="J399">
        <v>9000070112</v>
      </c>
      <c r="O399" t="s">
        <v>1208</v>
      </c>
      <c r="P399">
        <v>3000</v>
      </c>
      <c r="Q399" s="1">
        <v>45950.475115740737</v>
      </c>
      <c r="AA399" t="s">
        <v>231</v>
      </c>
      <c r="AB399">
        <v>0</v>
      </c>
    </row>
    <row r="400" spans="1:28" x14ac:dyDescent="0.45">
      <c r="A400" t="s">
        <v>226</v>
      </c>
      <c r="B400" t="s">
        <v>26</v>
      </c>
      <c r="C400" t="s">
        <v>413</v>
      </c>
      <c r="D400">
        <v>1</v>
      </c>
      <c r="E400">
        <v>1</v>
      </c>
      <c r="F400" t="s">
        <v>1201</v>
      </c>
      <c r="G400">
        <v>3</v>
      </c>
      <c r="H400" t="s">
        <v>1092</v>
      </c>
      <c r="I400" t="s">
        <v>1209</v>
      </c>
      <c r="J400">
        <v>9000069299</v>
      </c>
      <c r="O400" t="s">
        <v>1210</v>
      </c>
      <c r="P400">
        <v>3000</v>
      </c>
      <c r="Q400" s="1">
        <v>45950.475115740737</v>
      </c>
      <c r="AA400" t="s">
        <v>231</v>
      </c>
      <c r="AB400">
        <v>0</v>
      </c>
    </row>
    <row r="401" spans="1:28" x14ac:dyDescent="0.45">
      <c r="A401" t="s">
        <v>226</v>
      </c>
      <c r="B401" t="s">
        <v>26</v>
      </c>
      <c r="C401" t="s">
        <v>413</v>
      </c>
      <c r="D401">
        <v>1</v>
      </c>
      <c r="E401">
        <v>1</v>
      </c>
      <c r="F401" t="s">
        <v>1204</v>
      </c>
      <c r="G401">
        <v>2</v>
      </c>
      <c r="H401" t="s">
        <v>1092</v>
      </c>
      <c r="I401" t="s">
        <v>1211</v>
      </c>
      <c r="J401">
        <v>9000069997</v>
      </c>
      <c r="O401" t="s">
        <v>1212</v>
      </c>
      <c r="P401">
        <v>2000</v>
      </c>
      <c r="Q401" s="1">
        <v>45950.475115740737</v>
      </c>
      <c r="AA401" t="s">
        <v>231</v>
      </c>
      <c r="AB401">
        <v>0</v>
      </c>
    </row>
    <row r="402" spans="1:28" x14ac:dyDescent="0.45">
      <c r="A402" t="s">
        <v>226</v>
      </c>
      <c r="B402" t="s">
        <v>26</v>
      </c>
      <c r="C402" t="s">
        <v>413</v>
      </c>
      <c r="D402">
        <v>1</v>
      </c>
      <c r="E402">
        <v>1</v>
      </c>
      <c r="F402" t="s">
        <v>1213</v>
      </c>
      <c r="G402">
        <v>1</v>
      </c>
      <c r="H402" t="s">
        <v>1092</v>
      </c>
      <c r="I402" t="s">
        <v>1214</v>
      </c>
      <c r="J402">
        <v>9000066517</v>
      </c>
      <c r="O402" t="s">
        <v>1215</v>
      </c>
      <c r="P402">
        <v>10000</v>
      </c>
      <c r="Q402" s="1">
        <v>45930.448576388888</v>
      </c>
      <c r="AA402" t="s">
        <v>231</v>
      </c>
      <c r="AB402">
        <v>0</v>
      </c>
    </row>
    <row r="403" spans="1:28" x14ac:dyDescent="0.45">
      <c r="A403" t="s">
        <v>226</v>
      </c>
      <c r="B403" t="s">
        <v>26</v>
      </c>
      <c r="C403" t="s">
        <v>413</v>
      </c>
      <c r="D403">
        <v>1</v>
      </c>
      <c r="E403">
        <v>1</v>
      </c>
      <c r="F403" t="s">
        <v>1171</v>
      </c>
      <c r="G403">
        <v>12</v>
      </c>
      <c r="H403" t="s">
        <v>1092</v>
      </c>
      <c r="I403" t="s">
        <v>1216</v>
      </c>
      <c r="J403">
        <v>9000070427</v>
      </c>
      <c r="O403" t="s">
        <v>1217</v>
      </c>
      <c r="P403">
        <v>10000</v>
      </c>
      <c r="Q403" s="1">
        <v>45950.475127314814</v>
      </c>
      <c r="AA403" t="s">
        <v>231</v>
      </c>
      <c r="AB403">
        <v>0</v>
      </c>
    </row>
    <row r="404" spans="1:28" x14ac:dyDescent="0.45">
      <c r="A404" t="s">
        <v>226</v>
      </c>
      <c r="B404" t="s">
        <v>26</v>
      </c>
      <c r="C404" t="s">
        <v>413</v>
      </c>
      <c r="D404">
        <v>1</v>
      </c>
      <c r="E404">
        <v>1</v>
      </c>
      <c r="F404" t="s">
        <v>1174</v>
      </c>
      <c r="G404">
        <v>11</v>
      </c>
      <c r="H404" t="s">
        <v>1092</v>
      </c>
      <c r="I404" t="s">
        <v>1218</v>
      </c>
      <c r="J404">
        <v>620606</v>
      </c>
      <c r="O404" t="s">
        <v>1219</v>
      </c>
      <c r="P404">
        <v>10000</v>
      </c>
      <c r="Q404" s="1">
        <v>45950.475127314814</v>
      </c>
      <c r="AA404" t="s">
        <v>231</v>
      </c>
      <c r="AB404">
        <v>0</v>
      </c>
    </row>
    <row r="405" spans="1:28" x14ac:dyDescent="0.45">
      <c r="A405" t="s">
        <v>226</v>
      </c>
      <c r="B405" t="s">
        <v>26</v>
      </c>
      <c r="C405" t="s">
        <v>413</v>
      </c>
      <c r="D405">
        <v>1</v>
      </c>
      <c r="E405">
        <v>1</v>
      </c>
      <c r="F405" t="s">
        <v>1177</v>
      </c>
      <c r="G405">
        <v>10</v>
      </c>
      <c r="H405" t="s">
        <v>1092</v>
      </c>
      <c r="I405" t="s">
        <v>1220</v>
      </c>
      <c r="J405">
        <v>683984</v>
      </c>
      <c r="O405" t="s">
        <v>1221</v>
      </c>
      <c r="P405">
        <v>4000</v>
      </c>
      <c r="Q405" s="1">
        <v>45930.448599537034</v>
      </c>
      <c r="S405" t="s">
        <v>290</v>
      </c>
      <c r="U405" t="s">
        <v>1222</v>
      </c>
      <c r="AA405" t="s">
        <v>231</v>
      </c>
      <c r="AB405">
        <v>0</v>
      </c>
    </row>
    <row r="406" spans="1:28" x14ac:dyDescent="0.45">
      <c r="A406" t="s">
        <v>226</v>
      </c>
      <c r="B406" t="s">
        <v>26</v>
      </c>
      <c r="C406" t="s">
        <v>413</v>
      </c>
      <c r="D406">
        <v>1</v>
      </c>
      <c r="E406">
        <v>1</v>
      </c>
      <c r="F406" t="s">
        <v>1181</v>
      </c>
      <c r="G406">
        <v>9</v>
      </c>
      <c r="H406" t="s">
        <v>1092</v>
      </c>
      <c r="I406" t="s">
        <v>1223</v>
      </c>
      <c r="J406">
        <v>632023</v>
      </c>
      <c r="O406" t="s">
        <v>1224</v>
      </c>
      <c r="P406">
        <v>10000</v>
      </c>
      <c r="Q406" s="1">
        <v>45950.475127314814</v>
      </c>
      <c r="AA406" t="s">
        <v>231</v>
      </c>
      <c r="AB406">
        <v>0</v>
      </c>
    </row>
    <row r="407" spans="1:28" x14ac:dyDescent="0.45">
      <c r="A407" t="s">
        <v>226</v>
      </c>
      <c r="B407" t="s">
        <v>26</v>
      </c>
      <c r="C407" t="s">
        <v>413</v>
      </c>
      <c r="D407">
        <v>1</v>
      </c>
      <c r="E407">
        <v>1</v>
      </c>
      <c r="F407" t="s">
        <v>1184</v>
      </c>
      <c r="G407">
        <v>8</v>
      </c>
      <c r="H407" t="s">
        <v>1092</v>
      </c>
      <c r="I407" t="s">
        <v>1225</v>
      </c>
      <c r="J407">
        <v>9000068499</v>
      </c>
      <c r="O407" t="s">
        <v>1226</v>
      </c>
      <c r="P407">
        <v>10000</v>
      </c>
      <c r="Q407" s="1">
        <v>45950.475127314814</v>
      </c>
      <c r="AA407" t="s">
        <v>231</v>
      </c>
      <c r="AB407">
        <v>0</v>
      </c>
    </row>
    <row r="408" spans="1:28" x14ac:dyDescent="0.45">
      <c r="A408" t="s">
        <v>226</v>
      </c>
      <c r="B408" t="s">
        <v>26</v>
      </c>
      <c r="C408" t="s">
        <v>413</v>
      </c>
      <c r="D408">
        <v>1</v>
      </c>
      <c r="E408">
        <v>1</v>
      </c>
      <c r="F408" t="s">
        <v>1187</v>
      </c>
      <c r="G408">
        <v>7</v>
      </c>
      <c r="H408" t="s">
        <v>1092</v>
      </c>
      <c r="I408" t="s">
        <v>1227</v>
      </c>
      <c r="J408">
        <v>9000066594</v>
      </c>
      <c r="O408" t="s">
        <v>1228</v>
      </c>
      <c r="P408">
        <v>4000</v>
      </c>
      <c r="Q408" s="1">
        <v>45950.475127314814</v>
      </c>
      <c r="AA408" t="s">
        <v>231</v>
      </c>
      <c r="AB408">
        <v>0</v>
      </c>
    </row>
    <row r="409" spans="1:28" x14ac:dyDescent="0.45">
      <c r="A409" t="s">
        <v>226</v>
      </c>
      <c r="B409" t="s">
        <v>26</v>
      </c>
      <c r="C409" t="s">
        <v>413</v>
      </c>
      <c r="D409">
        <v>1</v>
      </c>
      <c r="E409">
        <v>1</v>
      </c>
      <c r="F409" t="s">
        <v>1190</v>
      </c>
      <c r="G409">
        <v>6</v>
      </c>
      <c r="H409" t="s">
        <v>1092</v>
      </c>
      <c r="I409" t="s">
        <v>1229</v>
      </c>
      <c r="J409">
        <v>9000047111</v>
      </c>
      <c r="O409" t="s">
        <v>1230</v>
      </c>
      <c r="P409">
        <v>4000</v>
      </c>
      <c r="Q409" s="1">
        <v>45950.475127314814</v>
      </c>
      <c r="AA409" t="s">
        <v>231</v>
      </c>
      <c r="AB409">
        <v>0</v>
      </c>
    </row>
    <row r="410" spans="1:28" x14ac:dyDescent="0.45">
      <c r="A410" t="s">
        <v>226</v>
      </c>
      <c r="B410" t="s">
        <v>26</v>
      </c>
      <c r="C410" t="s">
        <v>413</v>
      </c>
      <c r="D410">
        <v>1</v>
      </c>
      <c r="E410">
        <v>1</v>
      </c>
      <c r="F410" t="s">
        <v>1194</v>
      </c>
      <c r="G410">
        <v>5</v>
      </c>
      <c r="H410" t="s">
        <v>1092</v>
      </c>
      <c r="I410" t="s">
        <v>1231</v>
      </c>
      <c r="J410" t="s">
        <v>76</v>
      </c>
      <c r="O410" t="s">
        <v>1232</v>
      </c>
      <c r="P410">
        <v>5000</v>
      </c>
      <c r="Q410" s="1">
        <v>45950.475115740737</v>
      </c>
      <c r="AA410" t="s">
        <v>231</v>
      </c>
      <c r="AB410">
        <v>0</v>
      </c>
    </row>
    <row r="411" spans="1:28" x14ac:dyDescent="0.45">
      <c r="A411" t="s">
        <v>226</v>
      </c>
      <c r="B411" t="s">
        <v>26</v>
      </c>
      <c r="C411" t="s">
        <v>413</v>
      </c>
      <c r="D411">
        <v>1</v>
      </c>
      <c r="E411">
        <v>1</v>
      </c>
      <c r="F411" t="s">
        <v>1233</v>
      </c>
      <c r="G411">
        <v>28</v>
      </c>
      <c r="H411" t="s">
        <v>1092</v>
      </c>
      <c r="I411" t="s">
        <v>1234</v>
      </c>
      <c r="J411" t="s">
        <v>79</v>
      </c>
      <c r="O411" t="s">
        <v>1235</v>
      </c>
      <c r="P411">
        <v>3000</v>
      </c>
      <c r="Q411" s="1">
        <v>45930.44866898148</v>
      </c>
      <c r="AA411" t="s">
        <v>231</v>
      </c>
      <c r="AB411">
        <v>0</v>
      </c>
    </row>
    <row r="412" spans="1:28" x14ac:dyDescent="0.45">
      <c r="A412" t="s">
        <v>226</v>
      </c>
      <c r="B412" t="s">
        <v>26</v>
      </c>
      <c r="C412" t="s">
        <v>413</v>
      </c>
      <c r="D412">
        <v>1</v>
      </c>
      <c r="E412">
        <v>1</v>
      </c>
      <c r="F412" t="s">
        <v>1236</v>
      </c>
      <c r="G412">
        <v>27</v>
      </c>
      <c r="H412" t="s">
        <v>1092</v>
      </c>
      <c r="I412" t="s">
        <v>1237</v>
      </c>
      <c r="J412">
        <v>9000048511</v>
      </c>
      <c r="O412" t="s">
        <v>1238</v>
      </c>
      <c r="P412">
        <v>3000</v>
      </c>
      <c r="Q412" s="1">
        <v>45950.475127314814</v>
      </c>
      <c r="AA412" t="s">
        <v>231</v>
      </c>
      <c r="AB412">
        <v>0</v>
      </c>
    </row>
    <row r="413" spans="1:28" x14ac:dyDescent="0.45">
      <c r="A413" t="s">
        <v>226</v>
      </c>
      <c r="B413" t="s">
        <v>26</v>
      </c>
      <c r="C413" t="s">
        <v>413</v>
      </c>
      <c r="D413">
        <v>1</v>
      </c>
      <c r="E413">
        <v>1</v>
      </c>
      <c r="F413" t="s">
        <v>1239</v>
      </c>
      <c r="G413">
        <v>26</v>
      </c>
      <c r="H413" t="s">
        <v>1092</v>
      </c>
      <c r="I413" t="s">
        <v>1240</v>
      </c>
      <c r="J413" t="s">
        <v>80</v>
      </c>
      <c r="O413" t="s">
        <v>1241</v>
      </c>
      <c r="P413">
        <v>5000</v>
      </c>
      <c r="Q413" s="1">
        <v>45946.442106481481</v>
      </c>
      <c r="AA413" t="s">
        <v>231</v>
      </c>
      <c r="AB413">
        <v>0</v>
      </c>
    </row>
    <row r="414" spans="1:28" x14ac:dyDescent="0.45">
      <c r="A414" t="s">
        <v>226</v>
      </c>
      <c r="B414" t="s">
        <v>26</v>
      </c>
      <c r="C414" t="s">
        <v>413</v>
      </c>
      <c r="D414">
        <v>1</v>
      </c>
      <c r="E414">
        <v>1</v>
      </c>
      <c r="F414" t="s">
        <v>1242</v>
      </c>
      <c r="G414">
        <v>25</v>
      </c>
      <c r="H414" t="s">
        <v>1092</v>
      </c>
      <c r="I414" t="s">
        <v>1243</v>
      </c>
      <c r="J414" t="s">
        <v>81</v>
      </c>
      <c r="O414" t="s">
        <v>1244</v>
      </c>
      <c r="P414">
        <v>4000</v>
      </c>
      <c r="Q414" s="1">
        <v>45930.448657407411</v>
      </c>
      <c r="AA414" t="s">
        <v>231</v>
      </c>
      <c r="AB414">
        <v>0</v>
      </c>
    </row>
    <row r="415" spans="1:28" x14ac:dyDescent="0.45">
      <c r="A415" t="s">
        <v>226</v>
      </c>
      <c r="B415" t="s">
        <v>26</v>
      </c>
      <c r="C415" t="s">
        <v>413</v>
      </c>
      <c r="D415">
        <v>1</v>
      </c>
      <c r="E415">
        <v>1</v>
      </c>
      <c r="F415" t="s">
        <v>1245</v>
      </c>
      <c r="G415">
        <v>24</v>
      </c>
      <c r="H415" t="s">
        <v>1092</v>
      </c>
      <c r="I415" t="s">
        <v>1246</v>
      </c>
      <c r="J415">
        <v>934767</v>
      </c>
      <c r="O415" t="s">
        <v>1247</v>
      </c>
      <c r="P415">
        <v>3000</v>
      </c>
      <c r="Q415" s="1">
        <v>45930.448645833334</v>
      </c>
      <c r="AA415" t="s">
        <v>231</v>
      </c>
      <c r="AB415">
        <v>0</v>
      </c>
    </row>
    <row r="416" spans="1:28" x14ac:dyDescent="0.45">
      <c r="A416" t="s">
        <v>226</v>
      </c>
      <c r="B416" t="s">
        <v>26</v>
      </c>
      <c r="C416" t="s">
        <v>413</v>
      </c>
      <c r="D416">
        <v>1</v>
      </c>
      <c r="E416">
        <v>1</v>
      </c>
      <c r="F416" t="s">
        <v>1248</v>
      </c>
      <c r="G416">
        <v>23</v>
      </c>
      <c r="H416" t="s">
        <v>1092</v>
      </c>
      <c r="I416" t="s">
        <v>1249</v>
      </c>
      <c r="J416" t="s">
        <v>82</v>
      </c>
      <c r="O416" t="s">
        <v>1250</v>
      </c>
      <c r="P416">
        <v>5000</v>
      </c>
      <c r="Q416" s="1">
        <v>45950.475127314814</v>
      </c>
      <c r="AA416" t="s">
        <v>231</v>
      </c>
      <c r="AB416">
        <v>0</v>
      </c>
    </row>
    <row r="417" spans="1:28" x14ac:dyDescent="0.45">
      <c r="A417" t="s">
        <v>226</v>
      </c>
      <c r="B417" t="s">
        <v>26</v>
      </c>
      <c r="C417" t="s">
        <v>413</v>
      </c>
      <c r="D417">
        <v>1</v>
      </c>
      <c r="E417">
        <v>1</v>
      </c>
      <c r="F417" t="s">
        <v>1251</v>
      </c>
      <c r="G417">
        <v>22</v>
      </c>
      <c r="H417" t="s">
        <v>1092</v>
      </c>
      <c r="I417" t="s">
        <v>1252</v>
      </c>
      <c r="J417" t="s">
        <v>83</v>
      </c>
      <c r="O417" t="s">
        <v>1253</v>
      </c>
      <c r="P417">
        <v>3000</v>
      </c>
      <c r="Q417" s="1">
        <v>45930.448645833334</v>
      </c>
      <c r="AA417" t="s">
        <v>231</v>
      </c>
      <c r="AB417">
        <v>0</v>
      </c>
    </row>
    <row r="418" spans="1:28" x14ac:dyDescent="0.45">
      <c r="A418" t="s">
        <v>226</v>
      </c>
      <c r="B418" t="s">
        <v>26</v>
      </c>
      <c r="C418" t="s">
        <v>413</v>
      </c>
      <c r="D418">
        <v>1</v>
      </c>
      <c r="E418">
        <v>1</v>
      </c>
      <c r="F418" t="s">
        <v>1254</v>
      </c>
      <c r="G418">
        <v>21</v>
      </c>
      <c r="H418" t="s">
        <v>1092</v>
      </c>
      <c r="I418" t="s">
        <v>1255</v>
      </c>
      <c r="J418">
        <v>672595</v>
      </c>
      <c r="O418" t="s">
        <v>1256</v>
      </c>
      <c r="P418">
        <v>10000</v>
      </c>
      <c r="Q418" s="1">
        <v>45950.475127314814</v>
      </c>
      <c r="AA418" t="s">
        <v>231</v>
      </c>
      <c r="AB418">
        <v>0</v>
      </c>
    </row>
    <row r="419" spans="1:28" x14ac:dyDescent="0.45">
      <c r="A419" t="s">
        <v>226</v>
      </c>
      <c r="B419" t="s">
        <v>26</v>
      </c>
      <c r="C419" t="s">
        <v>413</v>
      </c>
      <c r="D419">
        <v>1</v>
      </c>
      <c r="E419">
        <v>1</v>
      </c>
      <c r="F419" t="s">
        <v>1257</v>
      </c>
      <c r="G419">
        <v>20</v>
      </c>
      <c r="H419" t="s">
        <v>1092</v>
      </c>
      <c r="I419" t="s">
        <v>1258</v>
      </c>
      <c r="J419">
        <v>684368</v>
      </c>
      <c r="O419" t="s">
        <v>1259</v>
      </c>
      <c r="P419">
        <v>10000</v>
      </c>
      <c r="Q419" s="1">
        <v>45946.59412037037</v>
      </c>
      <c r="AA419" t="s">
        <v>231</v>
      </c>
      <c r="AB419">
        <v>0</v>
      </c>
    </row>
    <row r="420" spans="1:28" x14ac:dyDescent="0.45">
      <c r="A420" t="s">
        <v>226</v>
      </c>
      <c r="B420" t="s">
        <v>26</v>
      </c>
      <c r="C420" t="s">
        <v>413</v>
      </c>
      <c r="D420">
        <v>1</v>
      </c>
      <c r="E420">
        <v>1</v>
      </c>
      <c r="F420" t="s">
        <v>1260</v>
      </c>
      <c r="G420">
        <v>19</v>
      </c>
      <c r="H420" t="s">
        <v>1092</v>
      </c>
      <c r="I420" t="s">
        <v>1261</v>
      </c>
      <c r="J420">
        <v>620508</v>
      </c>
      <c r="O420" t="s">
        <v>1262</v>
      </c>
      <c r="P420">
        <v>4000</v>
      </c>
      <c r="Q420" s="1">
        <v>45944.538819444446</v>
      </c>
      <c r="AA420" t="s">
        <v>231</v>
      </c>
      <c r="AB420">
        <v>0</v>
      </c>
    </row>
    <row r="421" spans="1:28" x14ac:dyDescent="0.45">
      <c r="A421" t="s">
        <v>226</v>
      </c>
      <c r="B421" t="s">
        <v>26</v>
      </c>
      <c r="C421" t="s">
        <v>413</v>
      </c>
      <c r="D421">
        <v>1</v>
      </c>
      <c r="E421">
        <v>1</v>
      </c>
      <c r="F421" t="s">
        <v>1263</v>
      </c>
      <c r="G421">
        <v>18</v>
      </c>
      <c r="H421" t="s">
        <v>1092</v>
      </c>
      <c r="I421" t="s">
        <v>1264</v>
      </c>
      <c r="J421">
        <v>683832</v>
      </c>
      <c r="O421" t="s">
        <v>1265</v>
      </c>
      <c r="P421">
        <v>10000</v>
      </c>
      <c r="Q421" s="1">
        <v>45930.448622685188</v>
      </c>
      <c r="AA421" t="s">
        <v>231</v>
      </c>
      <c r="AB421">
        <v>0</v>
      </c>
    </row>
    <row r="422" spans="1:28" x14ac:dyDescent="0.45">
      <c r="A422" t="s">
        <v>226</v>
      </c>
      <c r="B422" t="s">
        <v>26</v>
      </c>
      <c r="C422" t="s">
        <v>413</v>
      </c>
      <c r="D422">
        <v>1</v>
      </c>
      <c r="E422">
        <v>1</v>
      </c>
      <c r="F422" t="s">
        <v>1266</v>
      </c>
      <c r="G422">
        <v>17</v>
      </c>
      <c r="H422" t="s">
        <v>1092</v>
      </c>
      <c r="I422" t="s">
        <v>1267</v>
      </c>
      <c r="J422">
        <v>620624</v>
      </c>
      <c r="O422" t="s">
        <v>1268</v>
      </c>
      <c r="P422">
        <v>10000</v>
      </c>
      <c r="Q422" s="1">
        <v>45950.475127314814</v>
      </c>
      <c r="AA422" t="s">
        <v>231</v>
      </c>
      <c r="AB422">
        <v>0</v>
      </c>
    </row>
    <row r="423" spans="1:28" x14ac:dyDescent="0.45">
      <c r="A423" t="s">
        <v>226</v>
      </c>
      <c r="B423" t="s">
        <v>26</v>
      </c>
      <c r="C423" t="s">
        <v>413</v>
      </c>
      <c r="D423">
        <v>1</v>
      </c>
      <c r="E423">
        <v>1</v>
      </c>
      <c r="F423" t="s">
        <v>1269</v>
      </c>
      <c r="G423">
        <v>16</v>
      </c>
      <c r="H423" t="s">
        <v>1092</v>
      </c>
      <c r="I423" t="s">
        <v>1270</v>
      </c>
      <c r="J423">
        <v>9000007948</v>
      </c>
      <c r="O423" t="s">
        <v>1271</v>
      </c>
      <c r="P423">
        <v>5000</v>
      </c>
      <c r="Q423" s="1">
        <v>45930.63140046296</v>
      </c>
      <c r="AA423" t="s">
        <v>231</v>
      </c>
      <c r="AB423">
        <v>0</v>
      </c>
    </row>
    <row r="424" spans="1:28" x14ac:dyDescent="0.45">
      <c r="A424" t="s">
        <v>226</v>
      </c>
      <c r="B424" t="s">
        <v>26</v>
      </c>
      <c r="C424" t="s">
        <v>413</v>
      </c>
      <c r="D424">
        <v>1</v>
      </c>
      <c r="E424">
        <v>1</v>
      </c>
      <c r="F424" t="s">
        <v>1161</v>
      </c>
      <c r="G424">
        <v>15</v>
      </c>
      <c r="H424" t="s">
        <v>1092</v>
      </c>
      <c r="I424" t="s">
        <v>1272</v>
      </c>
      <c r="J424">
        <v>927071</v>
      </c>
      <c r="O424" t="s">
        <v>1273</v>
      </c>
      <c r="P424">
        <v>10000</v>
      </c>
      <c r="Q424" s="1">
        <v>45930.448611111111</v>
      </c>
      <c r="AA424" t="s">
        <v>231</v>
      </c>
      <c r="AB424">
        <v>0</v>
      </c>
    </row>
    <row r="425" spans="1:28" x14ac:dyDescent="0.45">
      <c r="A425" t="s">
        <v>226</v>
      </c>
      <c r="B425" t="s">
        <v>26</v>
      </c>
      <c r="C425" t="s">
        <v>413</v>
      </c>
      <c r="D425">
        <v>1</v>
      </c>
      <c r="E425">
        <v>1</v>
      </c>
      <c r="F425" t="s">
        <v>1165</v>
      </c>
      <c r="G425">
        <v>14</v>
      </c>
      <c r="H425" t="s">
        <v>1092</v>
      </c>
      <c r="I425" t="s">
        <v>1274</v>
      </c>
      <c r="J425" t="s">
        <v>84</v>
      </c>
      <c r="O425" t="s">
        <v>1275</v>
      </c>
      <c r="P425">
        <v>5000</v>
      </c>
      <c r="Q425" s="1">
        <v>45950.475127314814</v>
      </c>
      <c r="AA425" t="s">
        <v>231</v>
      </c>
      <c r="AB425">
        <v>0</v>
      </c>
    </row>
    <row r="426" spans="1:28" x14ac:dyDescent="0.45">
      <c r="A426" t="s">
        <v>226</v>
      </c>
      <c r="B426" t="s">
        <v>26</v>
      </c>
      <c r="C426" t="s">
        <v>413</v>
      </c>
      <c r="D426">
        <v>1</v>
      </c>
      <c r="E426">
        <v>1</v>
      </c>
      <c r="F426" t="s">
        <v>1168</v>
      </c>
      <c r="G426">
        <v>13</v>
      </c>
      <c r="H426" t="s">
        <v>1092</v>
      </c>
      <c r="I426" t="s">
        <v>1276</v>
      </c>
      <c r="J426">
        <v>667788</v>
      </c>
      <c r="O426" t="s">
        <v>1277</v>
      </c>
      <c r="P426">
        <v>10000</v>
      </c>
      <c r="Q426" s="1">
        <v>45950.475127314814</v>
      </c>
      <c r="AA426" t="s">
        <v>231</v>
      </c>
      <c r="AB426">
        <v>0</v>
      </c>
    </row>
    <row r="427" spans="1:28" x14ac:dyDescent="0.45">
      <c r="A427" t="s">
        <v>226</v>
      </c>
      <c r="B427" t="s">
        <v>26</v>
      </c>
      <c r="C427" t="s">
        <v>413</v>
      </c>
      <c r="D427">
        <v>1</v>
      </c>
      <c r="E427">
        <v>1</v>
      </c>
      <c r="F427" t="s">
        <v>1091</v>
      </c>
      <c r="G427">
        <v>30</v>
      </c>
      <c r="H427" t="s">
        <v>1092</v>
      </c>
      <c r="I427" t="s">
        <v>1278</v>
      </c>
      <c r="J427">
        <v>9000069401</v>
      </c>
      <c r="O427" t="s">
        <v>1279</v>
      </c>
      <c r="P427">
        <v>5000</v>
      </c>
      <c r="Q427" s="1">
        <v>45950.47515046296</v>
      </c>
      <c r="AA427" t="s">
        <v>231</v>
      </c>
      <c r="AB427">
        <v>0</v>
      </c>
    </row>
    <row r="428" spans="1:28" x14ac:dyDescent="0.45">
      <c r="A428" t="s">
        <v>226</v>
      </c>
      <c r="B428" t="s">
        <v>26</v>
      </c>
      <c r="C428" t="s">
        <v>413</v>
      </c>
      <c r="D428">
        <v>1</v>
      </c>
      <c r="E428">
        <v>1</v>
      </c>
      <c r="F428" t="s">
        <v>1280</v>
      </c>
      <c r="G428">
        <v>29</v>
      </c>
      <c r="H428" t="s">
        <v>1092</v>
      </c>
      <c r="I428" t="s">
        <v>1281</v>
      </c>
      <c r="J428">
        <v>670579</v>
      </c>
      <c r="O428" t="s">
        <v>1282</v>
      </c>
      <c r="P428">
        <v>5000</v>
      </c>
      <c r="Q428" s="1">
        <v>45950.703935185185</v>
      </c>
      <c r="R428" t="s">
        <v>494</v>
      </c>
      <c r="AA428" t="s">
        <v>231</v>
      </c>
      <c r="AB428">
        <v>0</v>
      </c>
    </row>
    <row r="429" spans="1:28" x14ac:dyDescent="0.45">
      <c r="A429" t="s">
        <v>226</v>
      </c>
      <c r="B429" t="s">
        <v>26</v>
      </c>
      <c r="C429" t="s">
        <v>413</v>
      </c>
      <c r="D429">
        <v>1</v>
      </c>
      <c r="E429">
        <v>1</v>
      </c>
      <c r="F429" t="s">
        <v>1283</v>
      </c>
      <c r="G429">
        <v>28</v>
      </c>
      <c r="H429" t="s">
        <v>1092</v>
      </c>
      <c r="I429" t="s">
        <v>1284</v>
      </c>
      <c r="J429">
        <v>9000061801</v>
      </c>
      <c r="O429" t="s">
        <v>1285</v>
      </c>
      <c r="P429">
        <v>3000</v>
      </c>
      <c r="Q429" s="1">
        <v>45950.47515046296</v>
      </c>
      <c r="AA429" t="s">
        <v>231</v>
      </c>
      <c r="AB429">
        <v>0</v>
      </c>
    </row>
    <row r="430" spans="1:28" x14ac:dyDescent="0.45">
      <c r="A430" t="s">
        <v>226</v>
      </c>
      <c r="B430" t="s">
        <v>26</v>
      </c>
      <c r="C430" t="s">
        <v>413</v>
      </c>
      <c r="D430">
        <v>1</v>
      </c>
      <c r="E430">
        <v>1</v>
      </c>
      <c r="F430" t="s">
        <v>1286</v>
      </c>
      <c r="G430">
        <v>27</v>
      </c>
      <c r="H430" t="s">
        <v>1092</v>
      </c>
      <c r="I430" t="s">
        <v>1287</v>
      </c>
      <c r="J430">
        <v>9000066683</v>
      </c>
      <c r="O430" t="s">
        <v>1288</v>
      </c>
      <c r="P430">
        <v>10000</v>
      </c>
      <c r="Q430" s="1">
        <v>45950.47515046296</v>
      </c>
      <c r="AA430" t="s">
        <v>231</v>
      </c>
      <c r="AB430">
        <v>0</v>
      </c>
    </row>
    <row r="431" spans="1:28" x14ac:dyDescent="0.45">
      <c r="A431" t="s">
        <v>226</v>
      </c>
      <c r="B431" t="s">
        <v>26</v>
      </c>
      <c r="C431" t="s">
        <v>413</v>
      </c>
      <c r="D431">
        <v>1</v>
      </c>
      <c r="E431">
        <v>1</v>
      </c>
      <c r="F431" t="s">
        <v>1289</v>
      </c>
      <c r="G431">
        <v>26</v>
      </c>
      <c r="H431" t="s">
        <v>1092</v>
      </c>
      <c r="I431" t="s">
        <v>1290</v>
      </c>
      <c r="J431">
        <v>9000069296</v>
      </c>
      <c r="O431" t="s">
        <v>1291</v>
      </c>
      <c r="P431">
        <v>3000</v>
      </c>
      <c r="Q431" s="1">
        <v>45950.47515046296</v>
      </c>
      <c r="AA431" t="s">
        <v>231</v>
      </c>
      <c r="AB431">
        <v>0</v>
      </c>
    </row>
    <row r="432" spans="1:28" x14ac:dyDescent="0.45">
      <c r="A432" t="s">
        <v>226</v>
      </c>
      <c r="B432" t="s">
        <v>26</v>
      </c>
      <c r="C432" t="s">
        <v>413</v>
      </c>
      <c r="D432">
        <v>1</v>
      </c>
      <c r="E432">
        <v>1</v>
      </c>
      <c r="F432" t="s">
        <v>1292</v>
      </c>
      <c r="G432">
        <v>25</v>
      </c>
      <c r="H432" t="s">
        <v>1092</v>
      </c>
      <c r="I432" t="s">
        <v>1293</v>
      </c>
      <c r="J432">
        <v>9000070441</v>
      </c>
      <c r="O432" t="s">
        <v>1294</v>
      </c>
      <c r="P432">
        <v>10000</v>
      </c>
      <c r="Q432" s="1">
        <v>45950.47515046296</v>
      </c>
      <c r="AA432" t="s">
        <v>231</v>
      </c>
      <c r="AB432">
        <v>0</v>
      </c>
    </row>
    <row r="433" spans="1:28" x14ac:dyDescent="0.45">
      <c r="A433" t="s">
        <v>226</v>
      </c>
      <c r="B433" t="s">
        <v>26</v>
      </c>
      <c r="C433" t="s">
        <v>413</v>
      </c>
      <c r="D433">
        <v>1</v>
      </c>
      <c r="E433">
        <v>1</v>
      </c>
      <c r="F433" t="s">
        <v>1295</v>
      </c>
      <c r="G433">
        <v>24</v>
      </c>
      <c r="H433" t="s">
        <v>1092</v>
      </c>
      <c r="I433" t="s">
        <v>1296</v>
      </c>
      <c r="J433">
        <v>677349</v>
      </c>
      <c r="O433" t="s">
        <v>1297</v>
      </c>
      <c r="P433">
        <v>10000</v>
      </c>
      <c r="Q433" s="1">
        <v>45950.47515046296</v>
      </c>
      <c r="AA433" t="s">
        <v>231</v>
      </c>
      <c r="AB433">
        <v>0</v>
      </c>
    </row>
    <row r="434" spans="1:28" x14ac:dyDescent="0.45">
      <c r="A434" t="s">
        <v>226</v>
      </c>
      <c r="B434" t="s">
        <v>26</v>
      </c>
      <c r="C434" t="s">
        <v>413</v>
      </c>
      <c r="D434">
        <v>1</v>
      </c>
      <c r="E434">
        <v>1</v>
      </c>
      <c r="F434" t="s">
        <v>1298</v>
      </c>
      <c r="G434">
        <v>23</v>
      </c>
      <c r="H434" t="s">
        <v>1092</v>
      </c>
      <c r="I434" t="s">
        <v>1299</v>
      </c>
      <c r="J434">
        <v>9000006361</v>
      </c>
      <c r="O434" t="s">
        <v>1300</v>
      </c>
      <c r="P434">
        <v>3000</v>
      </c>
      <c r="Q434" s="1">
        <v>45950.47515046296</v>
      </c>
      <c r="AA434" t="s">
        <v>231</v>
      </c>
      <c r="AB434">
        <v>0</v>
      </c>
    </row>
    <row r="435" spans="1:28" x14ac:dyDescent="0.45">
      <c r="A435" t="s">
        <v>226</v>
      </c>
      <c r="B435" t="s">
        <v>26</v>
      </c>
      <c r="C435" t="s">
        <v>413</v>
      </c>
      <c r="D435">
        <v>1</v>
      </c>
      <c r="E435">
        <v>1</v>
      </c>
      <c r="F435" t="s">
        <v>1301</v>
      </c>
      <c r="G435">
        <v>22</v>
      </c>
      <c r="H435" t="s">
        <v>1092</v>
      </c>
      <c r="I435" t="s">
        <v>1302</v>
      </c>
      <c r="J435">
        <v>9000057870</v>
      </c>
      <c r="O435" t="s">
        <v>1303</v>
      </c>
      <c r="P435">
        <v>3000</v>
      </c>
      <c r="Q435" s="1">
        <v>45950.47515046296</v>
      </c>
      <c r="AA435" t="s">
        <v>231</v>
      </c>
      <c r="AB435">
        <v>0</v>
      </c>
    </row>
    <row r="436" spans="1:28" x14ac:dyDescent="0.45">
      <c r="A436" t="s">
        <v>226</v>
      </c>
      <c r="B436" t="s">
        <v>26</v>
      </c>
      <c r="C436" t="s">
        <v>413</v>
      </c>
      <c r="D436">
        <v>1</v>
      </c>
      <c r="E436">
        <v>1</v>
      </c>
      <c r="F436" t="s">
        <v>1304</v>
      </c>
      <c r="G436">
        <v>21</v>
      </c>
      <c r="H436" t="s">
        <v>1092</v>
      </c>
      <c r="I436" t="s">
        <v>1305</v>
      </c>
      <c r="J436">
        <v>667681</v>
      </c>
      <c r="O436" t="s">
        <v>1306</v>
      </c>
      <c r="P436">
        <v>10000</v>
      </c>
      <c r="Q436" s="1">
        <v>45950.47515046296</v>
      </c>
      <c r="AA436" t="s">
        <v>231</v>
      </c>
      <c r="AB436">
        <v>0</v>
      </c>
    </row>
    <row r="437" spans="1:28" x14ac:dyDescent="0.45">
      <c r="A437" t="s">
        <v>226</v>
      </c>
      <c r="B437" t="s">
        <v>26</v>
      </c>
      <c r="C437" t="s">
        <v>413</v>
      </c>
      <c r="D437">
        <v>1</v>
      </c>
      <c r="E437">
        <v>1</v>
      </c>
      <c r="F437" t="s">
        <v>1096</v>
      </c>
      <c r="G437">
        <v>20</v>
      </c>
      <c r="H437" t="s">
        <v>1092</v>
      </c>
      <c r="I437" t="s">
        <v>1307</v>
      </c>
      <c r="J437">
        <v>9000063423</v>
      </c>
      <c r="O437" t="s">
        <v>1308</v>
      </c>
      <c r="P437">
        <v>3000</v>
      </c>
      <c r="Q437" s="1">
        <v>45950.47515046296</v>
      </c>
      <c r="AA437" t="s">
        <v>231</v>
      </c>
      <c r="AB437">
        <v>0</v>
      </c>
    </row>
    <row r="438" spans="1:28" x14ac:dyDescent="0.45">
      <c r="A438" t="s">
        <v>226</v>
      </c>
      <c r="B438" t="s">
        <v>26</v>
      </c>
      <c r="C438" t="s">
        <v>413</v>
      </c>
      <c r="D438">
        <v>1</v>
      </c>
      <c r="E438">
        <v>1</v>
      </c>
      <c r="F438" t="s">
        <v>1099</v>
      </c>
      <c r="G438">
        <v>19</v>
      </c>
      <c r="H438" t="s">
        <v>1092</v>
      </c>
      <c r="I438" t="s">
        <v>1309</v>
      </c>
      <c r="J438">
        <v>916804</v>
      </c>
      <c r="O438" t="s">
        <v>1310</v>
      </c>
      <c r="P438">
        <v>3000</v>
      </c>
      <c r="Q438" s="1">
        <v>45950.47515046296</v>
      </c>
      <c r="AA438" t="s">
        <v>231</v>
      </c>
      <c r="AB438">
        <v>0</v>
      </c>
    </row>
    <row r="439" spans="1:28" x14ac:dyDescent="0.45">
      <c r="A439" t="s">
        <v>226</v>
      </c>
      <c r="B439" t="s">
        <v>26</v>
      </c>
      <c r="C439" t="s">
        <v>413</v>
      </c>
      <c r="D439">
        <v>1</v>
      </c>
      <c r="E439">
        <v>1</v>
      </c>
      <c r="F439" t="s">
        <v>1103</v>
      </c>
      <c r="G439">
        <v>18</v>
      </c>
      <c r="H439" t="s">
        <v>1092</v>
      </c>
      <c r="I439" t="s">
        <v>1311</v>
      </c>
      <c r="J439">
        <v>9000047129</v>
      </c>
      <c r="O439" t="s">
        <v>1312</v>
      </c>
      <c r="P439">
        <v>4000</v>
      </c>
      <c r="Q439" s="1">
        <v>45950.47515046296</v>
      </c>
      <c r="AA439" t="s">
        <v>231</v>
      </c>
      <c r="AB439">
        <v>0</v>
      </c>
    </row>
    <row r="440" spans="1:28" x14ac:dyDescent="0.45">
      <c r="A440" t="s">
        <v>226</v>
      </c>
      <c r="B440" t="s">
        <v>26</v>
      </c>
      <c r="C440" t="s">
        <v>413</v>
      </c>
      <c r="D440">
        <v>1</v>
      </c>
      <c r="E440">
        <v>1</v>
      </c>
      <c r="F440" t="s">
        <v>1106</v>
      </c>
      <c r="G440">
        <v>17</v>
      </c>
      <c r="H440" t="s">
        <v>1092</v>
      </c>
      <c r="I440" t="s">
        <v>1313</v>
      </c>
      <c r="J440" t="s">
        <v>85</v>
      </c>
      <c r="O440" t="s">
        <v>1314</v>
      </c>
      <c r="P440">
        <v>5000</v>
      </c>
      <c r="Q440" s="1">
        <v>45950.475138888891</v>
      </c>
      <c r="AA440" t="s">
        <v>231</v>
      </c>
      <c r="AB440">
        <v>0</v>
      </c>
    </row>
    <row r="441" spans="1:28" x14ac:dyDescent="0.45">
      <c r="A441" t="s">
        <v>226</v>
      </c>
      <c r="B441" t="s">
        <v>26</v>
      </c>
      <c r="C441" t="s">
        <v>413</v>
      </c>
      <c r="D441">
        <v>1</v>
      </c>
      <c r="E441">
        <v>1</v>
      </c>
      <c r="F441" t="s">
        <v>1110</v>
      </c>
      <c r="G441">
        <v>16</v>
      </c>
      <c r="H441" t="s">
        <v>1092</v>
      </c>
      <c r="I441" t="s">
        <v>1315</v>
      </c>
      <c r="J441" t="s">
        <v>86</v>
      </c>
      <c r="O441" t="s">
        <v>1316</v>
      </c>
      <c r="P441">
        <v>5000</v>
      </c>
      <c r="Q441" s="1">
        <v>45950.475138888891</v>
      </c>
      <c r="AA441" t="s">
        <v>231</v>
      </c>
      <c r="AB441">
        <v>0</v>
      </c>
    </row>
    <row r="442" spans="1:28" x14ac:dyDescent="0.45">
      <c r="A442" t="s">
        <v>226</v>
      </c>
      <c r="B442" t="s">
        <v>26</v>
      </c>
      <c r="C442" t="s">
        <v>413</v>
      </c>
      <c r="D442">
        <v>1</v>
      </c>
      <c r="E442">
        <v>1</v>
      </c>
      <c r="F442" t="s">
        <v>1113</v>
      </c>
      <c r="G442">
        <v>15</v>
      </c>
      <c r="H442" t="s">
        <v>1092</v>
      </c>
      <c r="I442" t="s">
        <v>1317</v>
      </c>
      <c r="J442">
        <v>641263</v>
      </c>
      <c r="O442" t="s">
        <v>1318</v>
      </c>
      <c r="P442">
        <v>4000</v>
      </c>
      <c r="Q442" s="1">
        <v>45950.475138888891</v>
      </c>
      <c r="AA442" t="s">
        <v>231</v>
      </c>
      <c r="AB442">
        <v>0</v>
      </c>
    </row>
    <row r="443" spans="1:28" x14ac:dyDescent="0.45">
      <c r="A443" t="s">
        <v>226</v>
      </c>
      <c r="B443" t="s">
        <v>26</v>
      </c>
      <c r="C443" t="s">
        <v>413</v>
      </c>
      <c r="D443">
        <v>1</v>
      </c>
      <c r="E443">
        <v>1</v>
      </c>
      <c r="F443" t="s">
        <v>1116</v>
      </c>
      <c r="G443">
        <v>14</v>
      </c>
      <c r="H443" t="s">
        <v>1092</v>
      </c>
      <c r="I443" t="s">
        <v>1319</v>
      </c>
      <c r="J443" t="s">
        <v>87</v>
      </c>
      <c r="O443" t="s">
        <v>1320</v>
      </c>
      <c r="P443">
        <v>5000</v>
      </c>
      <c r="Q443" s="1">
        <v>45950.475138888891</v>
      </c>
      <c r="AA443" t="s">
        <v>231</v>
      </c>
      <c r="AB443">
        <v>0</v>
      </c>
    </row>
    <row r="444" spans="1:28" x14ac:dyDescent="0.45">
      <c r="A444" t="s">
        <v>226</v>
      </c>
      <c r="B444" t="s">
        <v>26</v>
      </c>
      <c r="C444" t="s">
        <v>413</v>
      </c>
      <c r="D444">
        <v>1</v>
      </c>
      <c r="E444">
        <v>1</v>
      </c>
      <c r="F444" t="s">
        <v>1119</v>
      </c>
      <c r="G444">
        <v>13</v>
      </c>
      <c r="H444" t="s">
        <v>1092</v>
      </c>
      <c r="I444" t="s">
        <v>1321</v>
      </c>
      <c r="J444">
        <v>9000048529</v>
      </c>
      <c r="O444" t="s">
        <v>1322</v>
      </c>
      <c r="P444">
        <v>3000</v>
      </c>
      <c r="Q444" s="1">
        <v>45950.475138888891</v>
      </c>
      <c r="S444" t="s">
        <v>290</v>
      </c>
      <c r="U444" t="s">
        <v>1323</v>
      </c>
      <c r="AA444" t="s">
        <v>231</v>
      </c>
      <c r="AB444">
        <v>0</v>
      </c>
    </row>
    <row r="445" spans="1:28" x14ac:dyDescent="0.45">
      <c r="A445" t="s">
        <v>226</v>
      </c>
      <c r="B445" t="s">
        <v>26</v>
      </c>
      <c r="C445" t="s">
        <v>413</v>
      </c>
      <c r="D445">
        <v>1</v>
      </c>
      <c r="E445">
        <v>1</v>
      </c>
      <c r="F445" t="s">
        <v>1122</v>
      </c>
      <c r="G445">
        <v>12</v>
      </c>
      <c r="H445" t="s">
        <v>1092</v>
      </c>
      <c r="I445" t="s">
        <v>1324</v>
      </c>
      <c r="J445">
        <v>907752</v>
      </c>
      <c r="O445" t="s">
        <v>1325</v>
      </c>
      <c r="P445">
        <v>10000</v>
      </c>
      <c r="Q445" s="1">
        <v>45950.475138888891</v>
      </c>
      <c r="AA445" t="s">
        <v>231</v>
      </c>
      <c r="AB445">
        <v>0</v>
      </c>
    </row>
    <row r="446" spans="1:28" x14ac:dyDescent="0.45">
      <c r="A446" t="s">
        <v>226</v>
      </c>
      <c r="B446" t="s">
        <v>26</v>
      </c>
      <c r="C446" t="s">
        <v>413</v>
      </c>
      <c r="D446">
        <v>1</v>
      </c>
      <c r="E446">
        <v>1</v>
      </c>
      <c r="F446" t="s">
        <v>1125</v>
      </c>
      <c r="G446">
        <v>11</v>
      </c>
      <c r="H446" t="s">
        <v>1092</v>
      </c>
      <c r="I446" t="s">
        <v>1326</v>
      </c>
      <c r="J446" t="s">
        <v>77</v>
      </c>
      <c r="O446" t="s">
        <v>1327</v>
      </c>
      <c r="P446">
        <v>4000</v>
      </c>
      <c r="Q446" s="1">
        <v>45950.475138888891</v>
      </c>
      <c r="AA446" t="s">
        <v>231</v>
      </c>
      <c r="AB446">
        <v>0</v>
      </c>
    </row>
    <row r="447" spans="1:28" x14ac:dyDescent="0.45">
      <c r="A447" t="s">
        <v>226</v>
      </c>
      <c r="B447" t="s">
        <v>26</v>
      </c>
      <c r="C447" t="s">
        <v>413</v>
      </c>
      <c r="D447">
        <v>1</v>
      </c>
      <c r="E447">
        <v>1</v>
      </c>
      <c r="F447" t="s">
        <v>1129</v>
      </c>
      <c r="G447">
        <v>10</v>
      </c>
      <c r="H447" t="s">
        <v>1092</v>
      </c>
      <c r="I447" t="s">
        <v>1328</v>
      </c>
      <c r="J447" t="s">
        <v>111</v>
      </c>
      <c r="O447" t="s">
        <v>1329</v>
      </c>
      <c r="P447">
        <v>3000</v>
      </c>
      <c r="Q447" s="1">
        <v>45950.475138888891</v>
      </c>
      <c r="S447" t="s">
        <v>290</v>
      </c>
      <c r="U447" t="s">
        <v>1330</v>
      </c>
      <c r="AA447" t="s">
        <v>231</v>
      </c>
      <c r="AB447">
        <v>0</v>
      </c>
    </row>
    <row r="448" spans="1:28" x14ac:dyDescent="0.45">
      <c r="A448" t="s">
        <v>226</v>
      </c>
      <c r="B448" t="s">
        <v>26</v>
      </c>
      <c r="C448" t="s">
        <v>413</v>
      </c>
      <c r="D448">
        <v>1</v>
      </c>
      <c r="E448">
        <v>1</v>
      </c>
      <c r="F448" t="s">
        <v>1133</v>
      </c>
      <c r="G448">
        <v>9</v>
      </c>
      <c r="H448" t="s">
        <v>1092</v>
      </c>
      <c r="I448" t="s">
        <v>1331</v>
      </c>
      <c r="J448">
        <v>644955</v>
      </c>
      <c r="O448" t="s">
        <v>1332</v>
      </c>
      <c r="P448">
        <v>5000</v>
      </c>
      <c r="Q448" s="1">
        <v>45950.475138888891</v>
      </c>
      <c r="AA448" t="s">
        <v>231</v>
      </c>
      <c r="AB448">
        <v>0</v>
      </c>
    </row>
    <row r="449" spans="1:28" x14ac:dyDescent="0.45">
      <c r="A449" t="s">
        <v>226</v>
      </c>
      <c r="B449" t="s">
        <v>26</v>
      </c>
      <c r="C449" t="s">
        <v>413</v>
      </c>
      <c r="D449">
        <v>1</v>
      </c>
      <c r="E449">
        <v>1</v>
      </c>
      <c r="F449" t="s">
        <v>1136</v>
      </c>
      <c r="G449">
        <v>8</v>
      </c>
      <c r="H449" t="s">
        <v>1092</v>
      </c>
      <c r="I449" t="s">
        <v>1333</v>
      </c>
      <c r="J449">
        <v>9000057973</v>
      </c>
      <c r="O449" t="s">
        <v>1334</v>
      </c>
      <c r="P449">
        <v>10000</v>
      </c>
      <c r="Q449" s="1">
        <v>45950.475138888891</v>
      </c>
      <c r="AA449" t="s">
        <v>231</v>
      </c>
      <c r="AB449">
        <v>0</v>
      </c>
    </row>
    <row r="450" spans="1:28" x14ac:dyDescent="0.45">
      <c r="A450" t="s">
        <v>226</v>
      </c>
      <c r="B450" t="s">
        <v>26</v>
      </c>
      <c r="C450" t="s">
        <v>413</v>
      </c>
      <c r="D450">
        <v>1</v>
      </c>
      <c r="E450">
        <v>1</v>
      </c>
      <c r="F450" t="s">
        <v>1139</v>
      </c>
      <c r="G450">
        <v>7</v>
      </c>
      <c r="H450" t="s">
        <v>1092</v>
      </c>
      <c r="I450" t="s">
        <v>1335</v>
      </c>
      <c r="J450">
        <v>912122</v>
      </c>
      <c r="O450" t="s">
        <v>1336</v>
      </c>
      <c r="P450">
        <v>2000</v>
      </c>
      <c r="Q450" s="1">
        <v>45950.475138888891</v>
      </c>
      <c r="AA450" t="s">
        <v>231</v>
      </c>
      <c r="AB450">
        <v>0</v>
      </c>
    </row>
    <row r="451" spans="1:28" x14ac:dyDescent="0.45">
      <c r="A451" t="s">
        <v>226</v>
      </c>
      <c r="B451" t="s">
        <v>26</v>
      </c>
      <c r="C451" t="s">
        <v>413</v>
      </c>
      <c r="D451">
        <v>1</v>
      </c>
      <c r="E451">
        <v>1</v>
      </c>
      <c r="F451" t="s">
        <v>1142</v>
      </c>
      <c r="G451">
        <v>6</v>
      </c>
      <c r="H451" t="s">
        <v>1092</v>
      </c>
      <c r="I451" t="s">
        <v>1337</v>
      </c>
      <c r="J451">
        <v>9000069295</v>
      </c>
      <c r="O451" t="s">
        <v>1338</v>
      </c>
      <c r="P451">
        <v>3000</v>
      </c>
      <c r="Q451" s="1">
        <v>45950.475138888891</v>
      </c>
      <c r="S451" t="s">
        <v>290</v>
      </c>
      <c r="U451" t="s">
        <v>1339</v>
      </c>
      <c r="AA451" t="s">
        <v>231</v>
      </c>
      <c r="AB451">
        <v>0</v>
      </c>
    </row>
    <row r="452" spans="1:28" x14ac:dyDescent="0.45">
      <c r="A452" t="s">
        <v>226</v>
      </c>
      <c r="B452" t="s">
        <v>26</v>
      </c>
      <c r="C452" t="s">
        <v>413</v>
      </c>
      <c r="D452">
        <v>1</v>
      </c>
      <c r="E452">
        <v>1</v>
      </c>
      <c r="F452" t="s">
        <v>1146</v>
      </c>
      <c r="G452">
        <v>5</v>
      </c>
      <c r="H452" t="s">
        <v>1092</v>
      </c>
      <c r="I452" t="s">
        <v>1340</v>
      </c>
      <c r="J452">
        <v>9000063136</v>
      </c>
      <c r="O452" t="s">
        <v>1341</v>
      </c>
      <c r="P452">
        <v>15000</v>
      </c>
      <c r="Q452" s="1">
        <v>45950.475138888891</v>
      </c>
      <c r="AA452" t="s">
        <v>231</v>
      </c>
      <c r="AB452">
        <v>0</v>
      </c>
    </row>
    <row r="453" spans="1:28" x14ac:dyDescent="0.45">
      <c r="A453" t="s">
        <v>226</v>
      </c>
      <c r="B453" t="s">
        <v>26</v>
      </c>
      <c r="C453" t="s">
        <v>413</v>
      </c>
      <c r="D453">
        <v>1</v>
      </c>
      <c r="E453">
        <v>1</v>
      </c>
      <c r="F453" t="s">
        <v>1149</v>
      </c>
      <c r="G453">
        <v>4</v>
      </c>
      <c r="H453" t="s">
        <v>1092</v>
      </c>
      <c r="I453" t="s">
        <v>1342</v>
      </c>
      <c r="J453" t="s">
        <v>78</v>
      </c>
      <c r="O453" t="s">
        <v>1343</v>
      </c>
      <c r="P453">
        <v>5000</v>
      </c>
      <c r="Q453" s="1">
        <v>45950.475138888891</v>
      </c>
      <c r="S453" t="s">
        <v>290</v>
      </c>
      <c r="U453" t="s">
        <v>1344</v>
      </c>
      <c r="AA453" t="s">
        <v>231</v>
      </c>
      <c r="AB453">
        <v>0</v>
      </c>
    </row>
    <row r="454" spans="1:28" x14ac:dyDescent="0.45">
      <c r="A454" t="s">
        <v>226</v>
      </c>
      <c r="B454" t="s">
        <v>26</v>
      </c>
      <c r="C454" t="s">
        <v>413</v>
      </c>
      <c r="D454">
        <v>1</v>
      </c>
      <c r="E454">
        <v>1</v>
      </c>
      <c r="F454" t="s">
        <v>1152</v>
      </c>
      <c r="G454">
        <v>3</v>
      </c>
      <c r="H454" t="s">
        <v>1092</v>
      </c>
      <c r="I454" t="s">
        <v>1345</v>
      </c>
      <c r="J454">
        <v>922183</v>
      </c>
      <c r="O454" t="s">
        <v>1346</v>
      </c>
      <c r="P454">
        <v>4000</v>
      </c>
      <c r="Q454" s="1">
        <v>45950.475127314814</v>
      </c>
      <c r="AA454" t="s">
        <v>231</v>
      </c>
      <c r="AB454">
        <v>0</v>
      </c>
    </row>
    <row r="455" spans="1:28" x14ac:dyDescent="0.45">
      <c r="A455" t="s">
        <v>226</v>
      </c>
      <c r="B455" t="s">
        <v>26</v>
      </c>
      <c r="C455" t="s">
        <v>413</v>
      </c>
      <c r="D455">
        <v>1</v>
      </c>
      <c r="E455">
        <v>1</v>
      </c>
      <c r="F455" t="s">
        <v>1155</v>
      </c>
      <c r="G455">
        <v>2</v>
      </c>
      <c r="H455" t="s">
        <v>1092</v>
      </c>
      <c r="I455" t="s">
        <v>1347</v>
      </c>
      <c r="J455" t="s">
        <v>1348</v>
      </c>
      <c r="O455" t="s">
        <v>1349</v>
      </c>
      <c r="P455">
        <v>9899</v>
      </c>
      <c r="Q455" s="1">
        <v>45950.475127314814</v>
      </c>
      <c r="AA455" t="s">
        <v>231</v>
      </c>
      <c r="AB455">
        <v>0</v>
      </c>
    </row>
    <row r="456" spans="1:28" x14ac:dyDescent="0.45">
      <c r="A456" t="s">
        <v>226</v>
      </c>
      <c r="B456" t="s">
        <v>26</v>
      </c>
      <c r="C456" t="s">
        <v>413</v>
      </c>
      <c r="D456">
        <v>1</v>
      </c>
      <c r="E456">
        <v>1</v>
      </c>
      <c r="F456" t="s">
        <v>1350</v>
      </c>
      <c r="G456">
        <v>29</v>
      </c>
      <c r="H456" t="s">
        <v>1092</v>
      </c>
      <c r="I456" t="s">
        <v>1351</v>
      </c>
      <c r="J456">
        <v>9000066588</v>
      </c>
      <c r="O456" t="s">
        <v>1352</v>
      </c>
      <c r="P456">
        <v>4000</v>
      </c>
      <c r="Q456" s="1">
        <v>45930.44866898148</v>
      </c>
      <c r="AA456" t="s">
        <v>231</v>
      </c>
      <c r="AB456">
        <v>0</v>
      </c>
    </row>
    <row r="457" spans="1:28" x14ac:dyDescent="0.45">
      <c r="A457" t="s">
        <v>226</v>
      </c>
      <c r="B457" t="s">
        <v>39</v>
      </c>
      <c r="C457" t="s">
        <v>563</v>
      </c>
      <c r="D457">
        <v>1</v>
      </c>
      <c r="E457">
        <v>1</v>
      </c>
      <c r="F457" t="s">
        <v>1190</v>
      </c>
      <c r="G457">
        <v>6</v>
      </c>
      <c r="H457" t="s">
        <v>1092</v>
      </c>
      <c r="I457" t="s">
        <v>1353</v>
      </c>
      <c r="J457" t="s">
        <v>112</v>
      </c>
      <c r="O457" t="s">
        <v>1354</v>
      </c>
      <c r="P457">
        <v>5000</v>
      </c>
      <c r="Q457" s="1">
        <v>45950.474224537036</v>
      </c>
      <c r="AA457" t="s">
        <v>231</v>
      </c>
      <c r="AB457">
        <v>0</v>
      </c>
    </row>
    <row r="458" spans="1:28" x14ac:dyDescent="0.45">
      <c r="A458" t="s">
        <v>226</v>
      </c>
      <c r="B458" t="s">
        <v>39</v>
      </c>
      <c r="C458" t="s">
        <v>563</v>
      </c>
      <c r="D458">
        <v>1</v>
      </c>
      <c r="E458">
        <v>1</v>
      </c>
      <c r="F458" t="s">
        <v>1103</v>
      </c>
      <c r="G458">
        <v>18</v>
      </c>
      <c r="H458" t="s">
        <v>1092</v>
      </c>
      <c r="I458" t="s">
        <v>1355</v>
      </c>
      <c r="J458">
        <v>513517</v>
      </c>
      <c r="O458" t="s">
        <v>1356</v>
      </c>
      <c r="P458">
        <v>3000</v>
      </c>
      <c r="Q458" s="1">
        <v>45950.474247685182</v>
      </c>
      <c r="AA458" t="s">
        <v>231</v>
      </c>
      <c r="AB458">
        <v>0</v>
      </c>
    </row>
    <row r="459" spans="1:28" x14ac:dyDescent="0.45">
      <c r="A459" t="s">
        <v>226</v>
      </c>
      <c r="B459" t="s">
        <v>39</v>
      </c>
      <c r="C459" t="s">
        <v>563</v>
      </c>
      <c r="D459">
        <v>1</v>
      </c>
      <c r="E459">
        <v>1</v>
      </c>
      <c r="F459" t="s">
        <v>1106</v>
      </c>
      <c r="G459">
        <v>17</v>
      </c>
      <c r="H459" t="s">
        <v>1092</v>
      </c>
      <c r="I459" t="s">
        <v>1357</v>
      </c>
      <c r="J459">
        <v>632032</v>
      </c>
      <c r="O459" t="s">
        <v>1358</v>
      </c>
      <c r="P459">
        <v>10000</v>
      </c>
      <c r="Q459" s="1">
        <v>45950.474247685182</v>
      </c>
      <c r="AA459" t="s">
        <v>231</v>
      </c>
      <c r="AB459">
        <v>0</v>
      </c>
    </row>
    <row r="460" spans="1:28" x14ac:dyDescent="0.45">
      <c r="A460" t="s">
        <v>226</v>
      </c>
      <c r="B460" t="s">
        <v>39</v>
      </c>
      <c r="C460" t="s">
        <v>563</v>
      </c>
      <c r="D460">
        <v>1</v>
      </c>
      <c r="E460">
        <v>1</v>
      </c>
      <c r="F460" t="s">
        <v>1110</v>
      </c>
      <c r="G460">
        <v>16</v>
      </c>
      <c r="H460" t="s">
        <v>1092</v>
      </c>
      <c r="I460" t="s">
        <v>1359</v>
      </c>
      <c r="J460">
        <v>9000066595</v>
      </c>
      <c r="O460" t="s">
        <v>1360</v>
      </c>
      <c r="P460">
        <v>4000</v>
      </c>
      <c r="Q460" s="1">
        <v>45950.705972222226</v>
      </c>
      <c r="R460" t="s">
        <v>494</v>
      </c>
      <c r="AA460" t="s">
        <v>231</v>
      </c>
      <c r="AB460">
        <v>0</v>
      </c>
    </row>
    <row r="461" spans="1:28" x14ac:dyDescent="0.45">
      <c r="A461" t="s">
        <v>226</v>
      </c>
      <c r="B461" t="s">
        <v>39</v>
      </c>
      <c r="C461" t="s">
        <v>563</v>
      </c>
      <c r="D461">
        <v>1</v>
      </c>
      <c r="E461">
        <v>1</v>
      </c>
      <c r="F461" t="s">
        <v>1361</v>
      </c>
      <c r="G461">
        <v>30</v>
      </c>
      <c r="H461" t="s">
        <v>1092</v>
      </c>
      <c r="I461" t="s">
        <v>1362</v>
      </c>
      <c r="J461" t="s">
        <v>90</v>
      </c>
      <c r="O461" t="s">
        <v>1363</v>
      </c>
      <c r="P461">
        <v>3000</v>
      </c>
      <c r="Q461" s="1">
        <v>45950.474247685182</v>
      </c>
      <c r="AA461" t="s">
        <v>231</v>
      </c>
      <c r="AB461">
        <v>0</v>
      </c>
    </row>
    <row r="462" spans="1:28" x14ac:dyDescent="0.45">
      <c r="A462" t="s">
        <v>226</v>
      </c>
      <c r="B462" t="s">
        <v>39</v>
      </c>
      <c r="C462" t="s">
        <v>563</v>
      </c>
      <c r="D462">
        <v>1</v>
      </c>
      <c r="E462">
        <v>1</v>
      </c>
      <c r="F462" t="s">
        <v>1113</v>
      </c>
      <c r="G462">
        <v>15</v>
      </c>
      <c r="H462" t="s">
        <v>1092</v>
      </c>
      <c r="I462" t="s">
        <v>1364</v>
      </c>
      <c r="J462">
        <v>9000060617</v>
      </c>
      <c r="O462" t="s">
        <v>1365</v>
      </c>
      <c r="P462">
        <v>4000</v>
      </c>
      <c r="Q462" s="1">
        <v>45930.453530092593</v>
      </c>
      <c r="AA462" t="s">
        <v>231</v>
      </c>
      <c r="AB462">
        <v>0</v>
      </c>
    </row>
    <row r="463" spans="1:28" x14ac:dyDescent="0.45">
      <c r="A463" t="s">
        <v>226</v>
      </c>
      <c r="B463" t="s">
        <v>39</v>
      </c>
      <c r="C463" t="s">
        <v>563</v>
      </c>
      <c r="D463">
        <v>1</v>
      </c>
      <c r="E463">
        <v>1</v>
      </c>
      <c r="F463" t="s">
        <v>1350</v>
      </c>
      <c r="G463">
        <v>29</v>
      </c>
      <c r="H463" t="s">
        <v>1092</v>
      </c>
      <c r="I463" t="s">
        <v>1366</v>
      </c>
      <c r="J463" t="s">
        <v>91</v>
      </c>
      <c r="O463" t="s">
        <v>1367</v>
      </c>
      <c r="P463">
        <v>5000</v>
      </c>
      <c r="Q463" s="1">
        <v>45950.474236111113</v>
      </c>
      <c r="AA463" t="s">
        <v>231</v>
      </c>
      <c r="AB463">
        <v>0</v>
      </c>
    </row>
    <row r="464" spans="1:28" x14ac:dyDescent="0.45">
      <c r="A464" t="s">
        <v>226</v>
      </c>
      <c r="B464" t="s">
        <v>39</v>
      </c>
      <c r="C464" t="s">
        <v>563</v>
      </c>
      <c r="D464">
        <v>1</v>
      </c>
      <c r="E464">
        <v>1</v>
      </c>
      <c r="F464" t="s">
        <v>1233</v>
      </c>
      <c r="G464">
        <v>28</v>
      </c>
      <c r="H464" t="s">
        <v>1092</v>
      </c>
      <c r="I464" t="s">
        <v>1368</v>
      </c>
      <c r="J464" t="s">
        <v>92</v>
      </c>
      <c r="O464" t="s">
        <v>1369</v>
      </c>
      <c r="P464">
        <v>5000</v>
      </c>
      <c r="Q464" s="1">
        <v>45930.45349537037</v>
      </c>
      <c r="AA464" t="s">
        <v>231</v>
      </c>
      <c r="AB464">
        <v>0</v>
      </c>
    </row>
    <row r="465" spans="1:28" x14ac:dyDescent="0.45">
      <c r="A465" t="s">
        <v>226</v>
      </c>
      <c r="B465" t="s">
        <v>39</v>
      </c>
      <c r="C465" t="s">
        <v>563</v>
      </c>
      <c r="D465">
        <v>1</v>
      </c>
      <c r="E465">
        <v>1</v>
      </c>
      <c r="F465" t="s">
        <v>1125</v>
      </c>
      <c r="G465">
        <v>11</v>
      </c>
      <c r="H465" t="s">
        <v>1092</v>
      </c>
      <c r="I465" t="s">
        <v>1370</v>
      </c>
      <c r="J465">
        <v>9000070440</v>
      </c>
      <c r="O465" t="s">
        <v>1371</v>
      </c>
      <c r="P465">
        <v>1000</v>
      </c>
      <c r="Q465" s="1">
        <v>45950.474247685182</v>
      </c>
      <c r="S465" t="s">
        <v>290</v>
      </c>
      <c r="U465" t="s">
        <v>1372</v>
      </c>
      <c r="AA465" t="s">
        <v>231</v>
      </c>
      <c r="AB465">
        <v>0</v>
      </c>
    </row>
    <row r="466" spans="1:28" x14ac:dyDescent="0.45">
      <c r="A466" t="s">
        <v>226</v>
      </c>
      <c r="B466" t="s">
        <v>39</v>
      </c>
      <c r="C466" t="s">
        <v>563</v>
      </c>
      <c r="D466">
        <v>1</v>
      </c>
      <c r="E466">
        <v>1</v>
      </c>
      <c r="F466" t="s">
        <v>1239</v>
      </c>
      <c r="G466">
        <v>26</v>
      </c>
      <c r="H466" t="s">
        <v>1092</v>
      </c>
      <c r="I466" t="s">
        <v>1373</v>
      </c>
      <c r="J466" t="s">
        <v>93</v>
      </c>
      <c r="O466" t="s">
        <v>1374</v>
      </c>
      <c r="P466">
        <v>5000</v>
      </c>
      <c r="Q466" s="1">
        <v>45950.474236111113</v>
      </c>
      <c r="AA466" t="s">
        <v>231</v>
      </c>
      <c r="AB466">
        <v>0</v>
      </c>
    </row>
    <row r="467" spans="1:28" x14ac:dyDescent="0.45">
      <c r="A467" t="s">
        <v>226</v>
      </c>
      <c r="B467" t="s">
        <v>39</v>
      </c>
      <c r="C467" t="s">
        <v>563</v>
      </c>
      <c r="D467">
        <v>1</v>
      </c>
      <c r="E467">
        <v>1</v>
      </c>
      <c r="F467" t="s">
        <v>1236</v>
      </c>
      <c r="G467">
        <v>27</v>
      </c>
      <c r="H467" t="s">
        <v>1092</v>
      </c>
      <c r="I467" t="s">
        <v>1375</v>
      </c>
      <c r="J467">
        <v>661606</v>
      </c>
      <c r="O467" t="s">
        <v>1376</v>
      </c>
      <c r="P467">
        <v>4000</v>
      </c>
      <c r="Q467" s="1">
        <v>45930.453483796293</v>
      </c>
      <c r="AA467" t="s">
        <v>231</v>
      </c>
      <c r="AB467">
        <v>0</v>
      </c>
    </row>
    <row r="468" spans="1:28" x14ac:dyDescent="0.45">
      <c r="A468" t="s">
        <v>226</v>
      </c>
      <c r="B468" t="s">
        <v>39</v>
      </c>
      <c r="C468" t="s">
        <v>563</v>
      </c>
      <c r="D468">
        <v>1</v>
      </c>
      <c r="E468">
        <v>1</v>
      </c>
      <c r="F468" t="s">
        <v>1242</v>
      </c>
      <c r="G468">
        <v>25</v>
      </c>
      <c r="H468" t="s">
        <v>1092</v>
      </c>
      <c r="I468" t="s">
        <v>1377</v>
      </c>
      <c r="J468">
        <v>919392</v>
      </c>
      <c r="O468" t="s">
        <v>1378</v>
      </c>
      <c r="P468">
        <v>5000</v>
      </c>
      <c r="Q468" s="1">
        <v>45950.474236111113</v>
      </c>
      <c r="AA468" t="s">
        <v>231</v>
      </c>
      <c r="AB468">
        <v>0</v>
      </c>
    </row>
    <row r="469" spans="1:28" x14ac:dyDescent="0.45">
      <c r="A469" t="s">
        <v>226</v>
      </c>
      <c r="B469" t="s">
        <v>39</v>
      </c>
      <c r="C469" t="s">
        <v>563</v>
      </c>
      <c r="D469">
        <v>1</v>
      </c>
      <c r="E469">
        <v>1</v>
      </c>
      <c r="F469" t="s">
        <v>1245</v>
      </c>
      <c r="G469">
        <v>24</v>
      </c>
      <c r="H469" t="s">
        <v>1092</v>
      </c>
      <c r="I469" t="s">
        <v>1379</v>
      </c>
      <c r="J469" t="s">
        <v>94</v>
      </c>
      <c r="O469" t="s">
        <v>1380</v>
      </c>
      <c r="P469">
        <v>5000</v>
      </c>
      <c r="Q469" s="1">
        <v>45950.474236111113</v>
      </c>
      <c r="AA469" t="s">
        <v>231</v>
      </c>
      <c r="AB469">
        <v>0</v>
      </c>
    </row>
    <row r="470" spans="1:28" x14ac:dyDescent="0.45">
      <c r="A470" t="s">
        <v>226</v>
      </c>
      <c r="B470" t="s">
        <v>39</v>
      </c>
      <c r="C470" t="s">
        <v>563</v>
      </c>
      <c r="D470">
        <v>1</v>
      </c>
      <c r="E470">
        <v>1</v>
      </c>
      <c r="F470" t="s">
        <v>1248</v>
      </c>
      <c r="G470">
        <v>23</v>
      </c>
      <c r="H470" t="s">
        <v>1092</v>
      </c>
      <c r="I470" t="s">
        <v>1381</v>
      </c>
      <c r="J470">
        <v>9000031021</v>
      </c>
      <c r="O470" t="s">
        <v>1382</v>
      </c>
      <c r="P470">
        <v>3000</v>
      </c>
      <c r="Q470" s="1">
        <v>45950.474236111113</v>
      </c>
      <c r="AA470" t="s">
        <v>231</v>
      </c>
      <c r="AB470">
        <v>0</v>
      </c>
    </row>
    <row r="471" spans="1:28" x14ac:dyDescent="0.45">
      <c r="A471" t="s">
        <v>226</v>
      </c>
      <c r="B471" t="s">
        <v>39</v>
      </c>
      <c r="C471" t="s">
        <v>563</v>
      </c>
      <c r="D471">
        <v>1</v>
      </c>
      <c r="E471">
        <v>1</v>
      </c>
      <c r="F471" t="s">
        <v>1251</v>
      </c>
      <c r="G471">
        <v>22</v>
      </c>
      <c r="H471" t="s">
        <v>1092</v>
      </c>
      <c r="I471" t="s">
        <v>1383</v>
      </c>
      <c r="J471">
        <v>9000025394</v>
      </c>
      <c r="O471" t="s">
        <v>1384</v>
      </c>
      <c r="P471">
        <v>4000</v>
      </c>
      <c r="Q471" s="1">
        <v>45950.474236111113</v>
      </c>
      <c r="AA471" t="s">
        <v>231</v>
      </c>
      <c r="AB471">
        <v>0</v>
      </c>
    </row>
    <row r="472" spans="1:28" x14ac:dyDescent="0.45">
      <c r="A472" t="s">
        <v>226</v>
      </c>
      <c r="B472" t="s">
        <v>39</v>
      </c>
      <c r="C472" t="s">
        <v>563</v>
      </c>
      <c r="D472">
        <v>1</v>
      </c>
      <c r="E472">
        <v>1</v>
      </c>
      <c r="F472" t="s">
        <v>1254</v>
      </c>
      <c r="G472">
        <v>21</v>
      </c>
      <c r="H472" t="s">
        <v>1092</v>
      </c>
      <c r="I472" t="s">
        <v>1385</v>
      </c>
      <c r="J472">
        <v>9000069185</v>
      </c>
      <c r="O472" t="s">
        <v>1386</v>
      </c>
      <c r="P472">
        <v>10000</v>
      </c>
      <c r="Q472" s="1">
        <v>45950.474236111113</v>
      </c>
      <c r="AA472" t="s">
        <v>231</v>
      </c>
      <c r="AB472">
        <v>0</v>
      </c>
    </row>
    <row r="473" spans="1:28" x14ac:dyDescent="0.45">
      <c r="A473" t="s">
        <v>226</v>
      </c>
      <c r="B473" t="s">
        <v>39</v>
      </c>
      <c r="C473" t="s">
        <v>563</v>
      </c>
      <c r="D473">
        <v>1</v>
      </c>
      <c r="E473">
        <v>1</v>
      </c>
      <c r="F473" t="s">
        <v>1257</v>
      </c>
      <c r="G473">
        <v>20</v>
      </c>
      <c r="H473" t="s">
        <v>1092</v>
      </c>
      <c r="I473" t="s">
        <v>1387</v>
      </c>
      <c r="J473">
        <v>687454</v>
      </c>
      <c r="O473" t="s">
        <v>1388</v>
      </c>
      <c r="P473">
        <v>3000</v>
      </c>
      <c r="Q473" s="1">
        <v>45950.474236111113</v>
      </c>
      <c r="R473" t="s">
        <v>394</v>
      </c>
      <c r="AA473" t="s">
        <v>231</v>
      </c>
      <c r="AB473">
        <v>0</v>
      </c>
    </row>
    <row r="474" spans="1:28" x14ac:dyDescent="0.45">
      <c r="A474" t="s">
        <v>226</v>
      </c>
      <c r="B474" t="s">
        <v>39</v>
      </c>
      <c r="C474" t="s">
        <v>563</v>
      </c>
      <c r="D474">
        <v>1</v>
      </c>
      <c r="E474">
        <v>1</v>
      </c>
      <c r="F474" t="s">
        <v>1260</v>
      </c>
      <c r="G474">
        <v>19</v>
      </c>
      <c r="H474" t="s">
        <v>1092</v>
      </c>
      <c r="I474" t="s">
        <v>1389</v>
      </c>
      <c r="J474">
        <v>9000066596</v>
      </c>
      <c r="O474" t="s">
        <v>1390</v>
      </c>
      <c r="P474">
        <v>4000</v>
      </c>
      <c r="Q474" s="1">
        <v>45950.474236111113</v>
      </c>
      <c r="AA474" t="s">
        <v>231</v>
      </c>
      <c r="AB474">
        <v>0</v>
      </c>
    </row>
    <row r="475" spans="1:28" x14ac:dyDescent="0.45">
      <c r="A475" t="s">
        <v>226</v>
      </c>
      <c r="B475" t="s">
        <v>39</v>
      </c>
      <c r="C475" t="s">
        <v>563</v>
      </c>
      <c r="D475">
        <v>1</v>
      </c>
      <c r="E475">
        <v>1</v>
      </c>
      <c r="F475" t="s">
        <v>1263</v>
      </c>
      <c r="G475">
        <v>18</v>
      </c>
      <c r="H475" t="s">
        <v>1092</v>
      </c>
      <c r="I475" t="s">
        <v>1391</v>
      </c>
      <c r="J475">
        <v>9000061221</v>
      </c>
      <c r="O475" t="s">
        <v>1392</v>
      </c>
      <c r="P475">
        <v>3000</v>
      </c>
      <c r="Q475" s="1">
        <v>45950.474236111113</v>
      </c>
      <c r="S475" t="s">
        <v>290</v>
      </c>
      <c r="U475" t="s">
        <v>1393</v>
      </c>
      <c r="AA475" t="s">
        <v>231</v>
      </c>
      <c r="AB475">
        <v>0</v>
      </c>
    </row>
    <row r="476" spans="1:28" x14ac:dyDescent="0.45">
      <c r="A476" t="s">
        <v>226</v>
      </c>
      <c r="B476" t="s">
        <v>39</v>
      </c>
      <c r="C476" t="s">
        <v>563</v>
      </c>
      <c r="D476">
        <v>1</v>
      </c>
      <c r="E476">
        <v>1</v>
      </c>
      <c r="F476" t="s">
        <v>1266</v>
      </c>
      <c r="G476">
        <v>17</v>
      </c>
      <c r="H476" t="s">
        <v>1092</v>
      </c>
      <c r="I476" t="s">
        <v>1394</v>
      </c>
      <c r="J476">
        <v>9000068520</v>
      </c>
      <c r="O476" t="s">
        <v>1395</v>
      </c>
      <c r="P476">
        <v>3000</v>
      </c>
      <c r="Q476" s="1">
        <v>45950.474236111113</v>
      </c>
      <c r="AA476" t="s">
        <v>231</v>
      </c>
      <c r="AB476">
        <v>0</v>
      </c>
    </row>
    <row r="477" spans="1:28" x14ac:dyDescent="0.45">
      <c r="A477" t="s">
        <v>226</v>
      </c>
      <c r="B477" t="s">
        <v>39</v>
      </c>
      <c r="C477" t="s">
        <v>563</v>
      </c>
      <c r="D477">
        <v>1</v>
      </c>
      <c r="E477">
        <v>1</v>
      </c>
      <c r="F477" t="s">
        <v>1269</v>
      </c>
      <c r="G477">
        <v>16</v>
      </c>
      <c r="H477" t="s">
        <v>1092</v>
      </c>
      <c r="I477" t="s">
        <v>1396</v>
      </c>
      <c r="J477" t="s">
        <v>95</v>
      </c>
      <c r="O477" t="s">
        <v>1397</v>
      </c>
      <c r="P477">
        <v>5000</v>
      </c>
      <c r="Q477" s="1">
        <v>45950.474236111113</v>
      </c>
      <c r="AA477" t="s">
        <v>231</v>
      </c>
      <c r="AB477">
        <v>0</v>
      </c>
    </row>
    <row r="478" spans="1:28" x14ac:dyDescent="0.45">
      <c r="A478" t="s">
        <v>226</v>
      </c>
      <c r="B478" t="s">
        <v>39</v>
      </c>
      <c r="C478" t="s">
        <v>563</v>
      </c>
      <c r="D478">
        <v>1</v>
      </c>
      <c r="E478">
        <v>1</v>
      </c>
      <c r="F478" t="s">
        <v>1161</v>
      </c>
      <c r="G478">
        <v>15</v>
      </c>
      <c r="H478" t="s">
        <v>1092</v>
      </c>
      <c r="I478" t="s">
        <v>1398</v>
      </c>
      <c r="J478" t="s">
        <v>115</v>
      </c>
      <c r="O478" t="s">
        <v>1399</v>
      </c>
      <c r="P478">
        <v>5000</v>
      </c>
      <c r="Q478" s="1">
        <v>45950.474236111113</v>
      </c>
      <c r="AA478" t="s">
        <v>231</v>
      </c>
      <c r="AB478">
        <v>0</v>
      </c>
    </row>
    <row r="479" spans="1:28" x14ac:dyDescent="0.45">
      <c r="A479" t="s">
        <v>226</v>
      </c>
      <c r="B479" t="s">
        <v>39</v>
      </c>
      <c r="C479" t="s">
        <v>563</v>
      </c>
      <c r="D479">
        <v>1</v>
      </c>
      <c r="E479">
        <v>1</v>
      </c>
      <c r="F479" t="s">
        <v>1165</v>
      </c>
      <c r="G479">
        <v>14</v>
      </c>
      <c r="H479" t="s">
        <v>1092</v>
      </c>
      <c r="I479" t="s">
        <v>1400</v>
      </c>
      <c r="J479">
        <v>9000066602</v>
      </c>
      <c r="O479" t="s">
        <v>1401</v>
      </c>
      <c r="P479">
        <v>2000</v>
      </c>
      <c r="Q479" s="1">
        <v>45950.474236111113</v>
      </c>
      <c r="AA479" t="s">
        <v>231</v>
      </c>
      <c r="AB479">
        <v>0</v>
      </c>
    </row>
    <row r="480" spans="1:28" x14ac:dyDescent="0.45">
      <c r="A480" t="s">
        <v>226</v>
      </c>
      <c r="B480" t="s">
        <v>39</v>
      </c>
      <c r="C480" t="s">
        <v>563</v>
      </c>
      <c r="D480">
        <v>1</v>
      </c>
      <c r="E480">
        <v>1</v>
      </c>
      <c r="F480" t="s">
        <v>1168</v>
      </c>
      <c r="G480">
        <v>13</v>
      </c>
      <c r="H480" t="s">
        <v>1092</v>
      </c>
      <c r="I480" t="s">
        <v>1402</v>
      </c>
      <c r="J480">
        <v>649255</v>
      </c>
      <c r="O480" t="s">
        <v>1403</v>
      </c>
      <c r="P480">
        <v>4000</v>
      </c>
      <c r="Q480" s="1">
        <v>45950.474236111113</v>
      </c>
      <c r="S480" t="s">
        <v>290</v>
      </c>
      <c r="U480" t="s">
        <v>1404</v>
      </c>
      <c r="AA480" t="s">
        <v>231</v>
      </c>
      <c r="AB480">
        <v>0</v>
      </c>
    </row>
    <row r="481" spans="1:28" x14ac:dyDescent="0.45">
      <c r="A481" t="s">
        <v>226</v>
      </c>
      <c r="B481" t="s">
        <v>39</v>
      </c>
      <c r="C481" t="s">
        <v>563</v>
      </c>
      <c r="D481">
        <v>1</v>
      </c>
      <c r="E481">
        <v>1</v>
      </c>
      <c r="F481" t="s">
        <v>1171</v>
      </c>
      <c r="G481">
        <v>12</v>
      </c>
      <c r="H481" t="s">
        <v>1092</v>
      </c>
      <c r="I481" t="s">
        <v>1405</v>
      </c>
      <c r="J481" t="s">
        <v>88</v>
      </c>
      <c r="O481" t="s">
        <v>1406</v>
      </c>
      <c r="P481">
        <v>4000</v>
      </c>
      <c r="Q481" s="1">
        <v>45930.4534375</v>
      </c>
      <c r="AA481" t="s">
        <v>231</v>
      </c>
      <c r="AB481">
        <v>0</v>
      </c>
    </row>
    <row r="482" spans="1:28" x14ac:dyDescent="0.45">
      <c r="A482" t="s">
        <v>226</v>
      </c>
      <c r="B482" t="s">
        <v>39</v>
      </c>
      <c r="C482" t="s">
        <v>563</v>
      </c>
      <c r="D482">
        <v>1</v>
      </c>
      <c r="E482">
        <v>1</v>
      </c>
      <c r="F482" t="s">
        <v>1174</v>
      </c>
      <c r="G482">
        <v>11</v>
      </c>
      <c r="H482" t="s">
        <v>1092</v>
      </c>
      <c r="I482" t="s">
        <v>1407</v>
      </c>
      <c r="J482" t="s">
        <v>114</v>
      </c>
      <c r="O482" t="s">
        <v>1408</v>
      </c>
      <c r="P482">
        <v>5000</v>
      </c>
      <c r="Q482" s="1">
        <v>45950.474236111113</v>
      </c>
      <c r="AA482" t="s">
        <v>231</v>
      </c>
      <c r="AB482">
        <v>0</v>
      </c>
    </row>
    <row r="483" spans="1:28" x14ac:dyDescent="0.45">
      <c r="A483" t="s">
        <v>226</v>
      </c>
      <c r="B483" t="s">
        <v>39</v>
      </c>
      <c r="C483" t="s">
        <v>563</v>
      </c>
      <c r="D483">
        <v>1</v>
      </c>
      <c r="E483">
        <v>1</v>
      </c>
      <c r="F483" t="s">
        <v>1177</v>
      </c>
      <c r="G483">
        <v>10</v>
      </c>
      <c r="H483" t="s">
        <v>1092</v>
      </c>
      <c r="I483" t="s">
        <v>1409</v>
      </c>
      <c r="J483">
        <v>9000070368</v>
      </c>
      <c r="O483" t="s">
        <v>1410</v>
      </c>
      <c r="P483">
        <v>3000</v>
      </c>
      <c r="Q483" s="1">
        <v>45950.474236111113</v>
      </c>
      <c r="AA483" t="s">
        <v>231</v>
      </c>
      <c r="AB483">
        <v>0</v>
      </c>
    </row>
    <row r="484" spans="1:28" x14ac:dyDescent="0.45">
      <c r="A484" t="s">
        <v>226</v>
      </c>
      <c r="B484" t="s">
        <v>39</v>
      </c>
      <c r="C484" t="s">
        <v>563</v>
      </c>
      <c r="D484">
        <v>1</v>
      </c>
      <c r="E484">
        <v>1</v>
      </c>
      <c r="F484" t="s">
        <v>1181</v>
      </c>
      <c r="G484">
        <v>9</v>
      </c>
      <c r="H484" t="s">
        <v>1092</v>
      </c>
      <c r="I484" t="s">
        <v>1411</v>
      </c>
      <c r="J484">
        <v>920185</v>
      </c>
      <c r="O484" t="s">
        <v>1412</v>
      </c>
      <c r="P484">
        <v>3000</v>
      </c>
      <c r="Q484" s="1">
        <v>45950.474224537036</v>
      </c>
      <c r="AA484" t="s">
        <v>231</v>
      </c>
      <c r="AB484">
        <v>0</v>
      </c>
    </row>
    <row r="485" spans="1:28" x14ac:dyDescent="0.45">
      <c r="A485" t="s">
        <v>226</v>
      </c>
      <c r="B485" t="s">
        <v>39</v>
      </c>
      <c r="C485" t="s">
        <v>563</v>
      </c>
      <c r="D485">
        <v>1</v>
      </c>
      <c r="E485">
        <v>1</v>
      </c>
      <c r="F485" t="s">
        <v>1184</v>
      </c>
      <c r="G485">
        <v>8</v>
      </c>
      <c r="H485" t="s">
        <v>1092</v>
      </c>
      <c r="I485" t="s">
        <v>1413</v>
      </c>
      <c r="J485">
        <v>924796</v>
      </c>
      <c r="O485" t="s">
        <v>1414</v>
      </c>
      <c r="P485">
        <v>3000</v>
      </c>
      <c r="Q485" s="1">
        <v>45950.474224537036</v>
      </c>
      <c r="AA485" t="s">
        <v>231</v>
      </c>
      <c r="AB485">
        <v>0</v>
      </c>
    </row>
    <row r="486" spans="1:28" x14ac:dyDescent="0.45">
      <c r="A486" t="s">
        <v>226</v>
      </c>
      <c r="B486" t="s">
        <v>39</v>
      </c>
      <c r="C486" t="s">
        <v>563</v>
      </c>
      <c r="D486">
        <v>1</v>
      </c>
      <c r="E486">
        <v>1</v>
      </c>
      <c r="F486" t="s">
        <v>1187</v>
      </c>
      <c r="G486">
        <v>7</v>
      </c>
      <c r="H486" t="s">
        <v>1092</v>
      </c>
      <c r="I486" t="s">
        <v>1415</v>
      </c>
      <c r="J486">
        <v>663729</v>
      </c>
      <c r="O486" t="s">
        <v>1416</v>
      </c>
      <c r="P486">
        <v>5000</v>
      </c>
      <c r="Q486" s="1">
        <v>45950.474224537036</v>
      </c>
      <c r="AA486" t="s">
        <v>231</v>
      </c>
      <c r="AB486">
        <v>0</v>
      </c>
    </row>
    <row r="487" spans="1:28" x14ac:dyDescent="0.45">
      <c r="A487" t="s">
        <v>226</v>
      </c>
      <c r="B487" t="s">
        <v>39</v>
      </c>
      <c r="C487" t="s">
        <v>563</v>
      </c>
      <c r="D487">
        <v>1</v>
      </c>
      <c r="E487">
        <v>1</v>
      </c>
      <c r="F487" t="s">
        <v>1289</v>
      </c>
      <c r="G487">
        <v>26</v>
      </c>
      <c r="H487" t="s">
        <v>1092</v>
      </c>
      <c r="I487" t="s">
        <v>1417</v>
      </c>
      <c r="J487">
        <v>930922</v>
      </c>
      <c r="O487" t="s">
        <v>1418</v>
      </c>
      <c r="P487">
        <v>3000</v>
      </c>
      <c r="Q487" s="1">
        <v>45950.474259259259</v>
      </c>
      <c r="AA487" t="s">
        <v>231</v>
      </c>
      <c r="AB487">
        <v>0</v>
      </c>
    </row>
    <row r="488" spans="1:28" x14ac:dyDescent="0.45">
      <c r="A488" t="s">
        <v>226</v>
      </c>
      <c r="B488" t="s">
        <v>39</v>
      </c>
      <c r="C488" t="s">
        <v>563</v>
      </c>
      <c r="D488">
        <v>1</v>
      </c>
      <c r="E488">
        <v>1</v>
      </c>
      <c r="F488" t="s">
        <v>1292</v>
      </c>
      <c r="G488">
        <v>25</v>
      </c>
      <c r="H488" t="s">
        <v>1092</v>
      </c>
      <c r="I488" t="s">
        <v>1419</v>
      </c>
      <c r="J488">
        <v>9000049457</v>
      </c>
      <c r="O488" t="s">
        <v>1420</v>
      </c>
      <c r="P488">
        <v>10000</v>
      </c>
      <c r="Q488" s="1">
        <v>45950.474259259259</v>
      </c>
      <c r="AA488" t="s">
        <v>231</v>
      </c>
      <c r="AB488">
        <v>0</v>
      </c>
    </row>
    <row r="489" spans="1:28" x14ac:dyDescent="0.45">
      <c r="A489" t="s">
        <v>226</v>
      </c>
      <c r="B489" t="s">
        <v>39</v>
      </c>
      <c r="C489" t="s">
        <v>563</v>
      </c>
      <c r="D489">
        <v>1</v>
      </c>
      <c r="E489">
        <v>1</v>
      </c>
      <c r="F489" t="s">
        <v>1295</v>
      </c>
      <c r="G489">
        <v>24</v>
      </c>
      <c r="H489" t="s">
        <v>1092</v>
      </c>
      <c r="I489" t="s">
        <v>120</v>
      </c>
      <c r="J489">
        <v>9000063371</v>
      </c>
      <c r="O489" t="s">
        <v>1421</v>
      </c>
      <c r="P489">
        <v>3000</v>
      </c>
      <c r="Q489" s="1">
        <v>45950.474259259259</v>
      </c>
      <c r="S489" t="s">
        <v>290</v>
      </c>
      <c r="U489" t="s">
        <v>1422</v>
      </c>
      <c r="AA489" t="s">
        <v>231</v>
      </c>
      <c r="AB489">
        <v>0</v>
      </c>
    </row>
    <row r="490" spans="1:28" x14ac:dyDescent="0.45">
      <c r="A490" t="s">
        <v>226</v>
      </c>
      <c r="B490" t="s">
        <v>39</v>
      </c>
      <c r="C490" t="s">
        <v>563</v>
      </c>
      <c r="D490">
        <v>1</v>
      </c>
      <c r="E490">
        <v>1</v>
      </c>
      <c r="F490" t="s">
        <v>1298</v>
      </c>
      <c r="G490">
        <v>23</v>
      </c>
      <c r="H490" t="s">
        <v>1092</v>
      </c>
      <c r="I490" t="s">
        <v>1423</v>
      </c>
      <c r="J490" t="s">
        <v>89</v>
      </c>
      <c r="O490" t="s">
        <v>1424</v>
      </c>
      <c r="P490">
        <v>3000</v>
      </c>
      <c r="Q490" s="1">
        <v>45950.474259259259</v>
      </c>
      <c r="AA490" t="s">
        <v>231</v>
      </c>
      <c r="AB490">
        <v>0</v>
      </c>
    </row>
    <row r="491" spans="1:28" x14ac:dyDescent="0.45">
      <c r="A491" t="s">
        <v>226</v>
      </c>
      <c r="B491" t="s">
        <v>39</v>
      </c>
      <c r="C491" t="s">
        <v>563</v>
      </c>
      <c r="D491">
        <v>1</v>
      </c>
      <c r="E491">
        <v>1</v>
      </c>
      <c r="F491" t="s">
        <v>1301</v>
      </c>
      <c r="G491">
        <v>22</v>
      </c>
      <c r="H491" t="s">
        <v>1092</v>
      </c>
      <c r="I491" t="s">
        <v>1425</v>
      </c>
      <c r="J491">
        <v>9000066712</v>
      </c>
      <c r="O491" t="s">
        <v>1426</v>
      </c>
      <c r="P491">
        <v>2000</v>
      </c>
      <c r="Q491" s="1">
        <v>45950.474259259259</v>
      </c>
      <c r="S491" t="s">
        <v>290</v>
      </c>
      <c r="U491" t="s">
        <v>1427</v>
      </c>
      <c r="AA491" t="s">
        <v>231</v>
      </c>
      <c r="AB491">
        <v>0</v>
      </c>
    </row>
    <row r="492" spans="1:28" x14ac:dyDescent="0.45">
      <c r="A492" t="s">
        <v>226</v>
      </c>
      <c r="B492" t="s">
        <v>39</v>
      </c>
      <c r="C492" t="s">
        <v>563</v>
      </c>
      <c r="D492">
        <v>1</v>
      </c>
      <c r="E492">
        <v>1</v>
      </c>
      <c r="F492" t="s">
        <v>1304</v>
      </c>
      <c r="G492">
        <v>21</v>
      </c>
      <c r="H492" t="s">
        <v>1092</v>
      </c>
      <c r="I492" t="s">
        <v>1428</v>
      </c>
      <c r="J492">
        <v>670873</v>
      </c>
      <c r="O492" t="s">
        <v>1429</v>
      </c>
      <c r="P492">
        <v>3000</v>
      </c>
      <c r="Q492" s="1">
        <v>45950.474259259259</v>
      </c>
      <c r="S492" t="s">
        <v>290</v>
      </c>
      <c r="U492" t="s">
        <v>1430</v>
      </c>
      <c r="AA492" t="s">
        <v>231</v>
      </c>
      <c r="AB492">
        <v>0</v>
      </c>
    </row>
    <row r="493" spans="1:28" x14ac:dyDescent="0.45">
      <c r="A493" t="s">
        <v>226</v>
      </c>
      <c r="B493" t="s">
        <v>39</v>
      </c>
      <c r="C493" t="s">
        <v>563</v>
      </c>
      <c r="D493">
        <v>1</v>
      </c>
      <c r="E493">
        <v>1</v>
      </c>
      <c r="F493" t="s">
        <v>1096</v>
      </c>
      <c r="G493">
        <v>20</v>
      </c>
      <c r="H493" t="s">
        <v>1092</v>
      </c>
      <c r="I493" t="s">
        <v>1431</v>
      </c>
      <c r="J493">
        <v>9000067544</v>
      </c>
      <c r="O493" t="s">
        <v>1432</v>
      </c>
      <c r="P493">
        <v>2000</v>
      </c>
      <c r="Q493" s="1">
        <v>45950.474247685182</v>
      </c>
      <c r="AA493" t="s">
        <v>231</v>
      </c>
      <c r="AB493">
        <v>0</v>
      </c>
    </row>
    <row r="494" spans="1:28" x14ac:dyDescent="0.45">
      <c r="A494" t="s">
        <v>226</v>
      </c>
      <c r="B494" t="s">
        <v>39</v>
      </c>
      <c r="C494" t="s">
        <v>563</v>
      </c>
      <c r="D494">
        <v>1</v>
      </c>
      <c r="E494">
        <v>1</v>
      </c>
      <c r="F494" t="s">
        <v>1099</v>
      </c>
      <c r="G494">
        <v>19</v>
      </c>
      <c r="H494" t="s">
        <v>1092</v>
      </c>
      <c r="I494" t="s">
        <v>1433</v>
      </c>
      <c r="J494">
        <v>9000066597</v>
      </c>
      <c r="O494" t="s">
        <v>1434</v>
      </c>
      <c r="P494">
        <v>2000</v>
      </c>
      <c r="Q494" s="1">
        <v>45950.474247685182</v>
      </c>
      <c r="S494" t="s">
        <v>290</v>
      </c>
      <c r="U494" t="s">
        <v>1435</v>
      </c>
      <c r="AA494" t="s">
        <v>231</v>
      </c>
      <c r="AB494">
        <v>0</v>
      </c>
    </row>
    <row r="495" spans="1:28" x14ac:dyDescent="0.45">
      <c r="A495" t="s">
        <v>226</v>
      </c>
      <c r="B495" t="s">
        <v>39</v>
      </c>
      <c r="C495" t="s">
        <v>563</v>
      </c>
      <c r="D495">
        <v>1</v>
      </c>
      <c r="E495">
        <v>1</v>
      </c>
      <c r="F495" t="s">
        <v>1091</v>
      </c>
      <c r="G495">
        <v>30</v>
      </c>
      <c r="H495" t="s">
        <v>1092</v>
      </c>
      <c r="I495" t="s">
        <v>1436</v>
      </c>
      <c r="J495">
        <v>9000053399</v>
      </c>
      <c r="O495" t="s">
        <v>1437</v>
      </c>
      <c r="P495">
        <v>3000</v>
      </c>
      <c r="Q495" s="1">
        <v>45950.474259259259</v>
      </c>
      <c r="AA495" t="s">
        <v>231</v>
      </c>
      <c r="AB495">
        <v>0</v>
      </c>
    </row>
    <row r="496" spans="1:28" x14ac:dyDescent="0.45">
      <c r="A496" t="s">
        <v>226</v>
      </c>
      <c r="B496" t="s">
        <v>39</v>
      </c>
      <c r="C496" t="s">
        <v>563</v>
      </c>
      <c r="D496">
        <v>1</v>
      </c>
      <c r="E496">
        <v>1</v>
      </c>
      <c r="F496" t="s">
        <v>1280</v>
      </c>
      <c r="G496">
        <v>29</v>
      </c>
      <c r="H496" t="s">
        <v>1092</v>
      </c>
      <c r="I496" t="s">
        <v>1438</v>
      </c>
      <c r="J496" t="s">
        <v>117</v>
      </c>
      <c r="O496" t="s">
        <v>1439</v>
      </c>
      <c r="P496">
        <v>5000</v>
      </c>
      <c r="Q496" s="1">
        <v>45950.474259259259</v>
      </c>
      <c r="AA496" t="s">
        <v>231</v>
      </c>
      <c r="AB496">
        <v>0</v>
      </c>
    </row>
    <row r="497" spans="1:28" x14ac:dyDescent="0.45">
      <c r="A497" t="s">
        <v>226</v>
      </c>
      <c r="B497" t="s">
        <v>39</v>
      </c>
      <c r="C497" t="s">
        <v>563</v>
      </c>
      <c r="D497">
        <v>1</v>
      </c>
      <c r="E497">
        <v>1</v>
      </c>
      <c r="F497" t="s">
        <v>1283</v>
      </c>
      <c r="G497">
        <v>28</v>
      </c>
      <c r="H497" t="s">
        <v>1092</v>
      </c>
      <c r="I497" t="s">
        <v>1440</v>
      </c>
      <c r="J497">
        <v>9000000358</v>
      </c>
      <c r="O497" t="s">
        <v>1441</v>
      </c>
      <c r="P497">
        <v>3000</v>
      </c>
      <c r="Q497" s="1">
        <v>45950.474259259259</v>
      </c>
      <c r="S497" t="s">
        <v>290</v>
      </c>
      <c r="U497" t="s">
        <v>1442</v>
      </c>
      <c r="AA497" t="s">
        <v>231</v>
      </c>
      <c r="AB497">
        <v>0</v>
      </c>
    </row>
    <row r="498" spans="1:28" x14ac:dyDescent="0.45">
      <c r="A498" t="s">
        <v>226</v>
      </c>
      <c r="B498" t="s">
        <v>39</v>
      </c>
      <c r="C498" t="s">
        <v>563</v>
      </c>
      <c r="D498">
        <v>1</v>
      </c>
      <c r="E498">
        <v>1</v>
      </c>
      <c r="F498" t="s">
        <v>1286</v>
      </c>
      <c r="G498">
        <v>27</v>
      </c>
      <c r="H498" t="s">
        <v>1092</v>
      </c>
      <c r="I498" t="s">
        <v>1443</v>
      </c>
      <c r="J498">
        <v>910115</v>
      </c>
      <c r="O498" t="s">
        <v>1444</v>
      </c>
      <c r="P498">
        <v>10000</v>
      </c>
      <c r="Q498" s="1">
        <v>45950.474259259259</v>
      </c>
      <c r="AA498" t="s">
        <v>231</v>
      </c>
      <c r="AB498">
        <v>0</v>
      </c>
    </row>
    <row r="499" spans="1:28" x14ac:dyDescent="0.45">
      <c r="A499" t="s">
        <v>226</v>
      </c>
      <c r="B499" t="s">
        <v>49</v>
      </c>
      <c r="C499" t="s">
        <v>700</v>
      </c>
      <c r="D499">
        <v>1</v>
      </c>
      <c r="E499">
        <v>1</v>
      </c>
      <c r="F499" t="s">
        <v>1254</v>
      </c>
      <c r="G499">
        <v>21</v>
      </c>
      <c r="H499" t="s">
        <v>1092</v>
      </c>
      <c r="I499" t="s">
        <v>1445</v>
      </c>
      <c r="J499">
        <v>9000066603</v>
      </c>
      <c r="O499" t="s">
        <v>1446</v>
      </c>
      <c r="P499">
        <v>2000</v>
      </c>
      <c r="Q499" s="1">
        <v>45950.475775462961</v>
      </c>
      <c r="AA499" t="s">
        <v>231</v>
      </c>
      <c r="AB499">
        <v>0</v>
      </c>
    </row>
    <row r="500" spans="1:28" x14ac:dyDescent="0.45">
      <c r="A500" t="s">
        <v>226</v>
      </c>
      <c r="B500" t="s">
        <v>49</v>
      </c>
      <c r="C500" t="s">
        <v>700</v>
      </c>
      <c r="D500">
        <v>1</v>
      </c>
      <c r="E500">
        <v>1</v>
      </c>
      <c r="F500" t="s">
        <v>1257</v>
      </c>
      <c r="G500">
        <v>20</v>
      </c>
      <c r="H500" t="s">
        <v>1092</v>
      </c>
      <c r="I500" t="s">
        <v>1447</v>
      </c>
      <c r="J500">
        <v>9000002632</v>
      </c>
      <c r="O500" t="s">
        <v>1448</v>
      </c>
      <c r="P500">
        <v>2000</v>
      </c>
      <c r="Q500" s="1">
        <v>45950.475775462961</v>
      </c>
      <c r="AA500" t="s">
        <v>231</v>
      </c>
      <c r="AB500">
        <v>0</v>
      </c>
    </row>
    <row r="501" spans="1:28" x14ac:dyDescent="0.45">
      <c r="A501" t="s">
        <v>226</v>
      </c>
      <c r="B501" t="s">
        <v>49</v>
      </c>
      <c r="C501" t="s">
        <v>700</v>
      </c>
      <c r="D501">
        <v>1</v>
      </c>
      <c r="E501">
        <v>1</v>
      </c>
      <c r="F501" t="s">
        <v>1260</v>
      </c>
      <c r="G501">
        <v>19</v>
      </c>
      <c r="H501" t="s">
        <v>1092</v>
      </c>
      <c r="I501" t="s">
        <v>1449</v>
      </c>
      <c r="J501">
        <v>9000070425</v>
      </c>
      <c r="O501" t="s">
        <v>1450</v>
      </c>
      <c r="P501">
        <v>4000</v>
      </c>
      <c r="Q501" s="1">
        <v>45950.475775462961</v>
      </c>
      <c r="AA501" t="s">
        <v>231</v>
      </c>
      <c r="AB501">
        <v>0</v>
      </c>
    </row>
    <row r="502" spans="1:28" x14ac:dyDescent="0.45">
      <c r="A502" t="s">
        <v>226</v>
      </c>
      <c r="B502" t="s">
        <v>49</v>
      </c>
      <c r="C502" t="s">
        <v>700</v>
      </c>
      <c r="D502">
        <v>1</v>
      </c>
      <c r="E502">
        <v>1</v>
      </c>
      <c r="F502" t="s">
        <v>1263</v>
      </c>
      <c r="G502">
        <v>18</v>
      </c>
      <c r="H502" t="s">
        <v>1092</v>
      </c>
      <c r="I502" t="s">
        <v>1451</v>
      </c>
      <c r="J502">
        <v>9000069421</v>
      </c>
      <c r="O502" t="s">
        <v>1452</v>
      </c>
      <c r="P502">
        <v>3000</v>
      </c>
      <c r="Q502" s="1">
        <v>45950.475775462961</v>
      </c>
      <c r="AA502" t="s">
        <v>231</v>
      </c>
      <c r="AB502">
        <v>0</v>
      </c>
    </row>
    <row r="503" spans="1:28" x14ac:dyDescent="0.45">
      <c r="A503" t="s">
        <v>226</v>
      </c>
      <c r="B503" t="s">
        <v>49</v>
      </c>
      <c r="C503" t="s">
        <v>700</v>
      </c>
      <c r="D503">
        <v>1</v>
      </c>
      <c r="E503">
        <v>1</v>
      </c>
      <c r="F503" t="s">
        <v>1350</v>
      </c>
      <c r="G503">
        <v>29</v>
      </c>
      <c r="H503" t="s">
        <v>1092</v>
      </c>
      <c r="I503" t="s">
        <v>1453</v>
      </c>
      <c r="J503">
        <v>9000066591</v>
      </c>
      <c r="O503" t="s">
        <v>1454</v>
      </c>
      <c r="P503">
        <v>4000</v>
      </c>
      <c r="Q503" s="1">
        <v>45950.475787037038</v>
      </c>
      <c r="AA503" t="s">
        <v>231</v>
      </c>
      <c r="AB503">
        <v>0</v>
      </c>
    </row>
    <row r="504" spans="1:28" x14ac:dyDescent="0.45">
      <c r="A504" t="s">
        <v>226</v>
      </c>
      <c r="B504" t="s">
        <v>49</v>
      </c>
      <c r="C504" t="s">
        <v>700</v>
      </c>
      <c r="D504">
        <v>1</v>
      </c>
      <c r="E504">
        <v>1</v>
      </c>
      <c r="F504" t="s">
        <v>1233</v>
      </c>
      <c r="G504">
        <v>28</v>
      </c>
      <c r="H504" t="s">
        <v>1092</v>
      </c>
      <c r="I504" t="s">
        <v>1455</v>
      </c>
      <c r="J504">
        <v>9000066593</v>
      </c>
      <c r="O504" t="s">
        <v>1456</v>
      </c>
      <c r="P504">
        <v>10000</v>
      </c>
      <c r="Q504" s="1">
        <v>45950.475787037038</v>
      </c>
      <c r="AA504" t="s">
        <v>231</v>
      </c>
      <c r="AB504">
        <v>0</v>
      </c>
    </row>
    <row r="505" spans="1:28" x14ac:dyDescent="0.45">
      <c r="A505" t="s">
        <v>226</v>
      </c>
      <c r="B505" t="s">
        <v>49</v>
      </c>
      <c r="C505" t="s">
        <v>700</v>
      </c>
      <c r="D505">
        <v>1</v>
      </c>
      <c r="E505">
        <v>1</v>
      </c>
      <c r="F505" t="s">
        <v>1236</v>
      </c>
      <c r="G505">
        <v>27</v>
      </c>
      <c r="H505" t="s">
        <v>1092</v>
      </c>
      <c r="I505" t="s">
        <v>1457</v>
      </c>
      <c r="J505">
        <v>9000001036</v>
      </c>
      <c r="O505" t="s">
        <v>1458</v>
      </c>
      <c r="P505">
        <v>3000</v>
      </c>
      <c r="Q505" s="1">
        <v>45950.475787037038</v>
      </c>
      <c r="S505" t="s">
        <v>290</v>
      </c>
      <c r="U505" t="s">
        <v>1459</v>
      </c>
      <c r="AA505" t="s">
        <v>231</v>
      </c>
      <c r="AB505">
        <v>0</v>
      </c>
    </row>
    <row r="506" spans="1:28" x14ac:dyDescent="0.45">
      <c r="A506" t="s">
        <v>226</v>
      </c>
      <c r="B506" t="s">
        <v>49</v>
      </c>
      <c r="C506" t="s">
        <v>700</v>
      </c>
      <c r="D506">
        <v>1</v>
      </c>
      <c r="E506">
        <v>1</v>
      </c>
      <c r="F506" t="s">
        <v>1239</v>
      </c>
      <c r="G506">
        <v>26</v>
      </c>
      <c r="H506" t="s">
        <v>1092</v>
      </c>
      <c r="I506" t="s">
        <v>1460</v>
      </c>
      <c r="J506">
        <v>667841</v>
      </c>
      <c r="O506" t="s">
        <v>1461</v>
      </c>
      <c r="P506">
        <v>10000</v>
      </c>
      <c r="Q506" s="1">
        <v>45950.475787037038</v>
      </c>
      <c r="AA506" t="s">
        <v>231</v>
      </c>
      <c r="AB506">
        <v>0</v>
      </c>
    </row>
    <row r="507" spans="1:28" x14ac:dyDescent="0.45">
      <c r="A507" t="s">
        <v>226</v>
      </c>
      <c r="B507" t="s">
        <v>49</v>
      </c>
      <c r="C507" t="s">
        <v>700</v>
      </c>
      <c r="D507">
        <v>1</v>
      </c>
      <c r="E507">
        <v>1</v>
      </c>
      <c r="F507" t="s">
        <v>1242</v>
      </c>
      <c r="G507">
        <v>25</v>
      </c>
      <c r="H507" t="s">
        <v>1092</v>
      </c>
      <c r="I507" t="s">
        <v>1462</v>
      </c>
      <c r="J507" t="s">
        <v>96</v>
      </c>
      <c r="O507" t="s">
        <v>1463</v>
      </c>
      <c r="P507">
        <v>5000</v>
      </c>
      <c r="Q507" s="1">
        <v>45950.475787037038</v>
      </c>
      <c r="AA507" t="s">
        <v>231</v>
      </c>
      <c r="AB507">
        <v>0</v>
      </c>
    </row>
    <row r="508" spans="1:28" x14ac:dyDescent="0.45">
      <c r="A508" t="s">
        <v>226</v>
      </c>
      <c r="B508" t="s">
        <v>49</v>
      </c>
      <c r="C508" t="s">
        <v>700</v>
      </c>
      <c r="D508">
        <v>1</v>
      </c>
      <c r="E508">
        <v>1</v>
      </c>
      <c r="F508" t="s">
        <v>1245</v>
      </c>
      <c r="G508">
        <v>24</v>
      </c>
      <c r="H508" t="s">
        <v>1092</v>
      </c>
      <c r="I508" t="s">
        <v>1464</v>
      </c>
      <c r="J508" t="s">
        <v>97</v>
      </c>
      <c r="O508" t="s">
        <v>1465</v>
      </c>
      <c r="P508">
        <v>5000</v>
      </c>
      <c r="Q508" s="1">
        <v>45950.475787037038</v>
      </c>
      <c r="AA508" t="s">
        <v>231</v>
      </c>
      <c r="AB508">
        <v>0</v>
      </c>
    </row>
    <row r="509" spans="1:28" x14ac:dyDescent="0.45">
      <c r="A509" t="s">
        <v>226</v>
      </c>
      <c r="B509" t="s">
        <v>49</v>
      </c>
      <c r="C509" t="s">
        <v>700</v>
      </c>
      <c r="D509">
        <v>1</v>
      </c>
      <c r="E509">
        <v>1</v>
      </c>
      <c r="F509" t="s">
        <v>1248</v>
      </c>
      <c r="G509">
        <v>23</v>
      </c>
      <c r="H509" t="s">
        <v>1092</v>
      </c>
      <c r="I509" t="s">
        <v>1466</v>
      </c>
      <c r="J509">
        <v>661393</v>
      </c>
      <c r="O509" t="s">
        <v>1467</v>
      </c>
      <c r="P509">
        <v>5000</v>
      </c>
      <c r="Q509" s="1">
        <v>45950.475787037038</v>
      </c>
      <c r="AA509" t="s">
        <v>231</v>
      </c>
      <c r="AB509">
        <v>0</v>
      </c>
    </row>
    <row r="510" spans="1:28" x14ac:dyDescent="0.45">
      <c r="A510" t="s">
        <v>226</v>
      </c>
      <c r="B510" t="s">
        <v>49</v>
      </c>
      <c r="C510" t="s">
        <v>700</v>
      </c>
      <c r="D510">
        <v>1</v>
      </c>
      <c r="E510">
        <v>1</v>
      </c>
      <c r="F510" t="s">
        <v>1251</v>
      </c>
      <c r="G510">
        <v>22</v>
      </c>
      <c r="H510" t="s">
        <v>1092</v>
      </c>
      <c r="I510" t="s">
        <v>1468</v>
      </c>
      <c r="J510" t="s">
        <v>98</v>
      </c>
      <c r="O510" t="s">
        <v>1469</v>
      </c>
      <c r="P510">
        <v>5000</v>
      </c>
      <c r="Q510" s="1">
        <v>45950.475787037038</v>
      </c>
      <c r="AA510" t="s">
        <v>231</v>
      </c>
      <c r="AB510">
        <v>0</v>
      </c>
    </row>
    <row r="511" spans="1:28" x14ac:dyDescent="0.45">
      <c r="A511" t="s">
        <v>226</v>
      </c>
      <c r="B511" t="s">
        <v>49</v>
      </c>
      <c r="C511" t="s">
        <v>700</v>
      </c>
      <c r="D511">
        <v>1</v>
      </c>
      <c r="E511">
        <v>1</v>
      </c>
      <c r="F511" t="s">
        <v>1266</v>
      </c>
      <c r="G511">
        <v>17</v>
      </c>
      <c r="H511" t="s">
        <v>1092</v>
      </c>
      <c r="I511" t="s">
        <v>1470</v>
      </c>
      <c r="J511">
        <v>9000070451</v>
      </c>
      <c r="O511" t="s">
        <v>1471</v>
      </c>
      <c r="P511">
        <v>3000</v>
      </c>
      <c r="Q511" s="1">
        <v>45950.475775462961</v>
      </c>
      <c r="S511" t="s">
        <v>290</v>
      </c>
      <c r="U511" t="s">
        <v>1472</v>
      </c>
      <c r="AA511" t="s">
        <v>231</v>
      </c>
      <c r="AB511">
        <v>0</v>
      </c>
    </row>
    <row r="512" spans="1:28" x14ac:dyDescent="0.45">
      <c r="A512" t="s">
        <v>226</v>
      </c>
      <c r="B512" t="s">
        <v>49</v>
      </c>
      <c r="C512" t="s">
        <v>700</v>
      </c>
      <c r="D512">
        <v>1</v>
      </c>
      <c r="E512">
        <v>1</v>
      </c>
      <c r="F512" t="s">
        <v>1292</v>
      </c>
      <c r="G512">
        <v>25</v>
      </c>
      <c r="H512" t="s">
        <v>1092</v>
      </c>
      <c r="I512" t="s">
        <v>1473</v>
      </c>
      <c r="J512">
        <v>9000060150</v>
      </c>
      <c r="O512" t="s">
        <v>1474</v>
      </c>
      <c r="P512">
        <v>4753</v>
      </c>
      <c r="Q512" s="1">
        <v>45950.475810185184</v>
      </c>
      <c r="AA512" t="s">
        <v>231</v>
      </c>
      <c r="AB512">
        <v>0</v>
      </c>
    </row>
    <row r="513" spans="1:28" x14ac:dyDescent="0.45">
      <c r="A513" t="s">
        <v>226</v>
      </c>
      <c r="B513" t="s">
        <v>49</v>
      </c>
      <c r="C513" t="s">
        <v>700</v>
      </c>
      <c r="D513">
        <v>1</v>
      </c>
      <c r="E513">
        <v>1</v>
      </c>
      <c r="F513" t="s">
        <v>1091</v>
      </c>
      <c r="G513">
        <v>30</v>
      </c>
      <c r="H513" t="s">
        <v>1092</v>
      </c>
      <c r="I513" t="s">
        <v>1475</v>
      </c>
      <c r="J513">
        <v>927062</v>
      </c>
      <c r="O513" t="s">
        <v>1476</v>
      </c>
      <c r="P513">
        <v>10000</v>
      </c>
      <c r="Q513" s="1">
        <v>45950.475821759261</v>
      </c>
      <c r="AA513" t="s">
        <v>231</v>
      </c>
      <c r="AB513">
        <v>0</v>
      </c>
    </row>
    <row r="514" spans="1:28" x14ac:dyDescent="0.45">
      <c r="A514" t="s">
        <v>226</v>
      </c>
      <c r="B514" t="s">
        <v>49</v>
      </c>
      <c r="C514" t="s">
        <v>700</v>
      </c>
      <c r="D514">
        <v>1</v>
      </c>
      <c r="E514">
        <v>1</v>
      </c>
      <c r="F514" t="s">
        <v>1280</v>
      </c>
      <c r="G514">
        <v>29</v>
      </c>
      <c r="H514" t="s">
        <v>1092</v>
      </c>
      <c r="I514" t="s">
        <v>1477</v>
      </c>
      <c r="J514">
        <v>667761</v>
      </c>
      <c r="O514" t="s">
        <v>1478</v>
      </c>
      <c r="P514">
        <v>10000</v>
      </c>
      <c r="Q514" s="1">
        <v>45950.475810185184</v>
      </c>
      <c r="AA514" t="s">
        <v>231</v>
      </c>
      <c r="AB514">
        <v>0</v>
      </c>
    </row>
    <row r="515" spans="1:28" x14ac:dyDescent="0.45">
      <c r="A515" t="s">
        <v>226</v>
      </c>
      <c r="B515" t="s">
        <v>49</v>
      </c>
      <c r="C515" t="s">
        <v>700</v>
      </c>
      <c r="D515">
        <v>1</v>
      </c>
      <c r="E515">
        <v>1</v>
      </c>
      <c r="F515" t="s">
        <v>1283</v>
      </c>
      <c r="G515">
        <v>28</v>
      </c>
      <c r="H515" t="s">
        <v>1092</v>
      </c>
      <c r="I515" t="s">
        <v>1479</v>
      </c>
      <c r="J515">
        <v>667725</v>
      </c>
      <c r="O515" t="s">
        <v>1480</v>
      </c>
      <c r="P515">
        <v>10000</v>
      </c>
      <c r="Q515" s="1">
        <v>45950.475810185184</v>
      </c>
      <c r="AA515" t="s">
        <v>231</v>
      </c>
      <c r="AB515">
        <v>0</v>
      </c>
    </row>
    <row r="516" spans="1:28" x14ac:dyDescent="0.45">
      <c r="A516" t="s">
        <v>226</v>
      </c>
      <c r="B516" t="s">
        <v>49</v>
      </c>
      <c r="C516" t="s">
        <v>700</v>
      </c>
      <c r="D516">
        <v>1</v>
      </c>
      <c r="E516">
        <v>1</v>
      </c>
      <c r="F516" t="s">
        <v>1286</v>
      </c>
      <c r="G516">
        <v>27</v>
      </c>
      <c r="H516" t="s">
        <v>1092</v>
      </c>
      <c r="I516" t="s">
        <v>1481</v>
      </c>
      <c r="J516">
        <v>667627</v>
      </c>
      <c r="O516" t="s">
        <v>1482</v>
      </c>
      <c r="P516">
        <v>10000</v>
      </c>
      <c r="Q516" s="1">
        <v>45950.475810185184</v>
      </c>
      <c r="S516" t="s">
        <v>290</v>
      </c>
      <c r="U516" t="s">
        <v>1483</v>
      </c>
      <c r="AA516" t="s">
        <v>231</v>
      </c>
      <c r="AB516">
        <v>0</v>
      </c>
    </row>
    <row r="517" spans="1:28" x14ac:dyDescent="0.45">
      <c r="A517" t="s">
        <v>226</v>
      </c>
      <c r="B517" t="s">
        <v>49</v>
      </c>
      <c r="C517" t="s">
        <v>700</v>
      </c>
      <c r="D517">
        <v>1</v>
      </c>
      <c r="E517">
        <v>1</v>
      </c>
      <c r="F517" t="s">
        <v>1289</v>
      </c>
      <c r="G517">
        <v>26</v>
      </c>
      <c r="H517" t="s">
        <v>1092</v>
      </c>
      <c r="I517" t="s">
        <v>1484</v>
      </c>
      <c r="J517">
        <v>910035</v>
      </c>
      <c r="O517" t="s">
        <v>1485</v>
      </c>
      <c r="P517">
        <v>10000</v>
      </c>
      <c r="Q517" s="1">
        <v>45950.475810185184</v>
      </c>
      <c r="AA517" t="s">
        <v>231</v>
      </c>
      <c r="AB517">
        <v>0</v>
      </c>
    </row>
    <row r="518" spans="1:28" x14ac:dyDescent="0.45">
      <c r="A518" t="s">
        <v>226</v>
      </c>
      <c r="B518" t="s">
        <v>49</v>
      </c>
      <c r="C518" t="s">
        <v>700</v>
      </c>
      <c r="D518">
        <v>1</v>
      </c>
      <c r="E518">
        <v>1</v>
      </c>
      <c r="F518" t="s">
        <v>1361</v>
      </c>
      <c r="G518">
        <v>30</v>
      </c>
      <c r="H518" t="s">
        <v>1092</v>
      </c>
      <c r="I518" t="s">
        <v>1486</v>
      </c>
      <c r="J518" t="s">
        <v>99</v>
      </c>
      <c r="O518" t="s">
        <v>1487</v>
      </c>
      <c r="P518">
        <v>5000</v>
      </c>
      <c r="Q518" s="1">
        <v>45930.448877314811</v>
      </c>
      <c r="S518" t="s">
        <v>290</v>
      </c>
      <c r="U518" t="s">
        <v>1488</v>
      </c>
      <c r="AA518" t="s">
        <v>231</v>
      </c>
      <c r="AB518">
        <v>0</v>
      </c>
    </row>
    <row r="519" spans="1:28" x14ac:dyDescent="0.45">
      <c r="A519" t="s">
        <v>226</v>
      </c>
      <c r="B519" t="s">
        <v>58</v>
      </c>
      <c r="C519" t="s">
        <v>832</v>
      </c>
      <c r="D519">
        <v>1</v>
      </c>
      <c r="E519">
        <v>1</v>
      </c>
      <c r="F519" t="s">
        <v>1233</v>
      </c>
      <c r="G519">
        <v>28</v>
      </c>
      <c r="H519" t="s">
        <v>1092</v>
      </c>
      <c r="I519" t="s">
        <v>1489</v>
      </c>
      <c r="J519">
        <v>9000057817</v>
      </c>
      <c r="O519" t="s">
        <v>1490</v>
      </c>
      <c r="P519">
        <v>1000</v>
      </c>
      <c r="Q519" s="1">
        <v>45950.475335648145</v>
      </c>
      <c r="AA519" t="s">
        <v>231</v>
      </c>
      <c r="AB519">
        <v>0</v>
      </c>
    </row>
    <row r="520" spans="1:28" x14ac:dyDescent="0.45">
      <c r="A520" t="s">
        <v>226</v>
      </c>
      <c r="B520" t="s">
        <v>58</v>
      </c>
      <c r="C520" t="s">
        <v>832</v>
      </c>
      <c r="D520">
        <v>1</v>
      </c>
      <c r="E520">
        <v>1</v>
      </c>
      <c r="F520" t="s">
        <v>1236</v>
      </c>
      <c r="G520">
        <v>27</v>
      </c>
      <c r="H520" t="s">
        <v>1092</v>
      </c>
      <c r="I520" t="s">
        <v>122</v>
      </c>
      <c r="J520">
        <v>9000069293</v>
      </c>
      <c r="O520" t="s">
        <v>1491</v>
      </c>
      <c r="P520">
        <v>3000</v>
      </c>
      <c r="Q520" s="1">
        <v>45950.475335648145</v>
      </c>
      <c r="R520" t="s">
        <v>394</v>
      </c>
      <c r="S520" t="s">
        <v>290</v>
      </c>
      <c r="U520" t="s">
        <v>1492</v>
      </c>
      <c r="AA520" t="s">
        <v>231</v>
      </c>
      <c r="AB520">
        <v>0</v>
      </c>
    </row>
    <row r="521" spans="1:28" x14ac:dyDescent="0.45">
      <c r="A521" t="s">
        <v>226</v>
      </c>
      <c r="B521" t="s">
        <v>58</v>
      </c>
      <c r="C521" t="s">
        <v>832</v>
      </c>
      <c r="D521">
        <v>1</v>
      </c>
      <c r="E521">
        <v>1</v>
      </c>
      <c r="F521" t="s">
        <v>1152</v>
      </c>
      <c r="G521">
        <v>3</v>
      </c>
      <c r="H521" t="s">
        <v>1092</v>
      </c>
      <c r="I521" t="s">
        <v>1493</v>
      </c>
      <c r="J521">
        <v>9000067897</v>
      </c>
      <c r="O521" t="s">
        <v>1494</v>
      </c>
      <c r="P521">
        <v>15000</v>
      </c>
      <c r="Q521" s="1">
        <v>45950.475335648145</v>
      </c>
      <c r="AA521" t="s">
        <v>231</v>
      </c>
      <c r="AB521">
        <v>0</v>
      </c>
    </row>
    <row r="522" spans="1:28" x14ac:dyDescent="0.45">
      <c r="A522" t="s">
        <v>226</v>
      </c>
      <c r="B522" t="s">
        <v>58</v>
      </c>
      <c r="C522" t="s">
        <v>832</v>
      </c>
      <c r="D522">
        <v>1</v>
      </c>
      <c r="E522">
        <v>1</v>
      </c>
      <c r="F522" t="s">
        <v>1361</v>
      </c>
      <c r="G522">
        <v>30</v>
      </c>
      <c r="H522" t="s">
        <v>1092</v>
      </c>
      <c r="I522" t="s">
        <v>1495</v>
      </c>
      <c r="J522">
        <v>930958</v>
      </c>
      <c r="O522" t="s">
        <v>1496</v>
      </c>
      <c r="P522">
        <v>3000</v>
      </c>
      <c r="Q522" s="1">
        <v>45950.475335648145</v>
      </c>
      <c r="S522" t="s">
        <v>290</v>
      </c>
      <c r="U522" t="s">
        <v>1497</v>
      </c>
      <c r="AA522" t="s">
        <v>231</v>
      </c>
      <c r="AB522">
        <v>0</v>
      </c>
    </row>
    <row r="523" spans="1:28" x14ac:dyDescent="0.45">
      <c r="A523" t="s">
        <v>226</v>
      </c>
      <c r="B523" t="s">
        <v>58</v>
      </c>
      <c r="C523" t="s">
        <v>832</v>
      </c>
      <c r="D523">
        <v>1</v>
      </c>
      <c r="E523">
        <v>1</v>
      </c>
      <c r="F523" t="s">
        <v>1350</v>
      </c>
      <c r="G523">
        <v>29</v>
      </c>
      <c r="H523" t="s">
        <v>1092</v>
      </c>
      <c r="I523" t="s">
        <v>1498</v>
      </c>
      <c r="J523">
        <v>9000066605</v>
      </c>
      <c r="O523" t="s">
        <v>1499</v>
      </c>
      <c r="P523">
        <v>1000</v>
      </c>
      <c r="Q523" s="1">
        <v>45950.475335648145</v>
      </c>
      <c r="AA523" t="s">
        <v>231</v>
      </c>
      <c r="AB523">
        <v>0</v>
      </c>
    </row>
    <row r="524" spans="1:28" x14ac:dyDescent="0.45">
      <c r="A524" t="s">
        <v>226</v>
      </c>
      <c r="B524" t="s">
        <v>58</v>
      </c>
      <c r="C524" t="s">
        <v>832</v>
      </c>
      <c r="D524">
        <v>1</v>
      </c>
      <c r="E524">
        <v>1</v>
      </c>
      <c r="F524" t="s">
        <v>1239</v>
      </c>
      <c r="G524">
        <v>26</v>
      </c>
      <c r="H524" t="s">
        <v>1092</v>
      </c>
      <c r="I524" t="s">
        <v>1500</v>
      </c>
      <c r="J524">
        <v>9000069909</v>
      </c>
      <c r="O524" t="s">
        <v>1501</v>
      </c>
      <c r="P524">
        <v>3000</v>
      </c>
      <c r="Q524" s="1">
        <v>45950.475335648145</v>
      </c>
      <c r="S524" t="s">
        <v>290</v>
      </c>
      <c r="U524" t="s">
        <v>1502</v>
      </c>
      <c r="AA524" t="s">
        <v>231</v>
      </c>
      <c r="AB524">
        <v>0</v>
      </c>
    </row>
    <row r="525" spans="1:28" x14ac:dyDescent="0.45">
      <c r="A525" t="s">
        <v>226</v>
      </c>
      <c r="B525" t="s">
        <v>66</v>
      </c>
      <c r="C525" t="s">
        <v>962</v>
      </c>
      <c r="D525">
        <v>1</v>
      </c>
      <c r="E525">
        <v>1</v>
      </c>
      <c r="F525" t="s">
        <v>1361</v>
      </c>
      <c r="G525">
        <v>30</v>
      </c>
      <c r="H525" t="s">
        <v>1092</v>
      </c>
      <c r="I525" t="s">
        <v>1503</v>
      </c>
      <c r="J525">
        <v>929265</v>
      </c>
      <c r="O525" t="s">
        <v>1504</v>
      </c>
      <c r="P525">
        <v>3000</v>
      </c>
      <c r="Q525" s="1">
        <v>45950.474733796298</v>
      </c>
      <c r="S525" t="s">
        <v>290</v>
      </c>
      <c r="U525" t="s">
        <v>1505</v>
      </c>
      <c r="AA525" t="s">
        <v>231</v>
      </c>
      <c r="AB525">
        <v>0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2A218-4129-4FA7-AFFA-4B8C75371548}">
  <sheetPr codeName="Sheet4">
    <tabColor theme="0" tint="-0.499984740745262"/>
  </sheetPr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0115-3E64-4B5F-B915-7964F63D1EC4}">
  <sheetPr codeName="Sheet6">
    <tabColor theme="0" tint="-0.499984740745262"/>
  </sheetPr>
  <dimension ref="Q4:Q403"/>
  <sheetViews>
    <sheetView workbookViewId="0"/>
  </sheetViews>
  <sheetFormatPr defaultRowHeight="18" x14ac:dyDescent="0.45"/>
  <sheetData>
    <row r="4" spans="17:17" x14ac:dyDescent="0.45">
      <c r="Q4" s="1"/>
    </row>
    <row r="5" spans="17:17" x14ac:dyDescent="0.45">
      <c r="Q5" s="1"/>
    </row>
    <row r="6" spans="17:17" x14ac:dyDescent="0.45">
      <c r="Q6" s="1"/>
    </row>
    <row r="7" spans="17:17" x14ac:dyDescent="0.45">
      <c r="Q7" s="1"/>
    </row>
    <row r="8" spans="17:17" x14ac:dyDescent="0.45">
      <c r="Q8" s="1"/>
    </row>
    <row r="9" spans="17:17" x14ac:dyDescent="0.45">
      <c r="Q9" s="1"/>
    </row>
    <row r="10" spans="17:17" x14ac:dyDescent="0.45">
      <c r="Q10" s="1"/>
    </row>
    <row r="11" spans="17:17" x14ac:dyDescent="0.45">
      <c r="Q11" s="1"/>
    </row>
    <row r="12" spans="17:17" x14ac:dyDescent="0.45">
      <c r="Q12" s="1"/>
    </row>
    <row r="13" spans="17:17" x14ac:dyDescent="0.45">
      <c r="Q13" s="1"/>
    </row>
    <row r="14" spans="17:17" x14ac:dyDescent="0.45">
      <c r="Q14" s="1"/>
    </row>
    <row r="15" spans="17:17" x14ac:dyDescent="0.45">
      <c r="Q15" s="1"/>
    </row>
    <row r="16" spans="17:17" x14ac:dyDescent="0.45">
      <c r="Q16" s="1"/>
    </row>
    <row r="17" spans="17:17" x14ac:dyDescent="0.45">
      <c r="Q17" s="1"/>
    </row>
    <row r="18" spans="17:17" x14ac:dyDescent="0.45">
      <c r="Q18" s="1"/>
    </row>
    <row r="19" spans="17:17" x14ac:dyDescent="0.45">
      <c r="Q19" s="1"/>
    </row>
    <row r="20" spans="17:17" x14ac:dyDescent="0.45">
      <c r="Q20" s="1"/>
    </row>
    <row r="21" spans="17:17" x14ac:dyDescent="0.45">
      <c r="Q21" s="1"/>
    </row>
    <row r="22" spans="17:17" x14ac:dyDescent="0.45">
      <c r="Q22" s="1"/>
    </row>
    <row r="23" spans="17:17" x14ac:dyDescent="0.45">
      <c r="Q23" s="1"/>
    </row>
    <row r="24" spans="17:17" x14ac:dyDescent="0.45">
      <c r="Q24" s="1"/>
    </row>
    <row r="25" spans="17:17" x14ac:dyDescent="0.45">
      <c r="Q25" s="1"/>
    </row>
    <row r="26" spans="17:17" x14ac:dyDescent="0.45">
      <c r="Q26" s="1"/>
    </row>
    <row r="27" spans="17:17" x14ac:dyDescent="0.45">
      <c r="Q27" s="1"/>
    </row>
    <row r="28" spans="17:17" x14ac:dyDescent="0.45">
      <c r="Q28" s="1"/>
    </row>
    <row r="29" spans="17:17" x14ac:dyDescent="0.45">
      <c r="Q29" s="1"/>
    </row>
    <row r="30" spans="17:17" x14ac:dyDescent="0.45">
      <c r="Q30" s="1"/>
    </row>
    <row r="31" spans="17:17" x14ac:dyDescent="0.45">
      <c r="Q31" s="1"/>
    </row>
    <row r="32" spans="17:17" x14ac:dyDescent="0.45">
      <c r="Q32" s="1"/>
    </row>
    <row r="33" spans="17:17" x14ac:dyDescent="0.45">
      <c r="Q33" s="1"/>
    </row>
    <row r="34" spans="17:17" x14ac:dyDescent="0.45">
      <c r="Q34" s="1"/>
    </row>
    <row r="35" spans="17:17" x14ac:dyDescent="0.45">
      <c r="Q35" s="1"/>
    </row>
    <row r="36" spans="17:17" x14ac:dyDescent="0.45">
      <c r="Q36" s="1"/>
    </row>
    <row r="37" spans="17:17" x14ac:dyDescent="0.45">
      <c r="Q37" s="1"/>
    </row>
    <row r="38" spans="17:17" x14ac:dyDescent="0.45">
      <c r="Q38" s="1"/>
    </row>
    <row r="39" spans="17:17" x14ac:dyDescent="0.45">
      <c r="Q39" s="1"/>
    </row>
    <row r="40" spans="17:17" x14ac:dyDescent="0.45">
      <c r="Q40" s="1"/>
    </row>
    <row r="41" spans="17:17" x14ac:dyDescent="0.45">
      <c r="Q41" s="1"/>
    </row>
    <row r="42" spans="17:17" x14ac:dyDescent="0.45">
      <c r="Q42" s="1"/>
    </row>
    <row r="43" spans="17:17" x14ac:dyDescent="0.45">
      <c r="Q43" s="1"/>
    </row>
    <row r="44" spans="17:17" x14ac:dyDescent="0.45">
      <c r="Q44" s="1"/>
    </row>
    <row r="45" spans="17:17" x14ac:dyDescent="0.45">
      <c r="Q45" s="1"/>
    </row>
    <row r="46" spans="17:17" x14ac:dyDescent="0.45">
      <c r="Q46" s="1"/>
    </row>
    <row r="47" spans="17:17" x14ac:dyDescent="0.45">
      <c r="Q47" s="1"/>
    </row>
    <row r="48" spans="17:17" x14ac:dyDescent="0.45">
      <c r="Q48" s="1"/>
    </row>
    <row r="49" spans="17:17" x14ac:dyDescent="0.45">
      <c r="Q49" s="1"/>
    </row>
    <row r="50" spans="17:17" x14ac:dyDescent="0.45">
      <c r="Q50" s="1"/>
    </row>
    <row r="51" spans="17:17" x14ac:dyDescent="0.45">
      <c r="Q51" s="1"/>
    </row>
    <row r="52" spans="17:17" x14ac:dyDescent="0.45">
      <c r="Q52" s="1"/>
    </row>
    <row r="53" spans="17:17" x14ac:dyDescent="0.45">
      <c r="Q53" s="1"/>
    </row>
    <row r="54" spans="17:17" x14ac:dyDescent="0.45">
      <c r="Q54" s="1"/>
    </row>
    <row r="55" spans="17:17" x14ac:dyDescent="0.45">
      <c r="Q55" s="1"/>
    </row>
    <row r="56" spans="17:17" x14ac:dyDescent="0.45">
      <c r="Q56" s="1"/>
    </row>
    <row r="57" spans="17:17" x14ac:dyDescent="0.45">
      <c r="Q57" s="1"/>
    </row>
    <row r="58" spans="17:17" x14ac:dyDescent="0.45">
      <c r="Q58" s="1"/>
    </row>
    <row r="59" spans="17:17" x14ac:dyDescent="0.45">
      <c r="Q59" s="1"/>
    </row>
    <row r="60" spans="17:17" x14ac:dyDescent="0.45">
      <c r="Q60" s="1"/>
    </row>
    <row r="61" spans="17:17" x14ac:dyDescent="0.45">
      <c r="Q61" s="1"/>
    </row>
    <row r="62" spans="17:17" x14ac:dyDescent="0.45">
      <c r="Q62" s="1"/>
    </row>
    <row r="63" spans="17:17" x14ac:dyDescent="0.45">
      <c r="Q63" s="1"/>
    </row>
    <row r="64" spans="17:17" x14ac:dyDescent="0.45">
      <c r="Q64" s="1"/>
    </row>
    <row r="65" spans="17:17" x14ac:dyDescent="0.45">
      <c r="Q65" s="1"/>
    </row>
    <row r="66" spans="17:17" x14ac:dyDescent="0.45">
      <c r="Q66" s="1"/>
    </row>
    <row r="67" spans="17:17" x14ac:dyDescent="0.45">
      <c r="Q67" s="1"/>
    </row>
    <row r="68" spans="17:17" x14ac:dyDescent="0.45">
      <c r="Q68" s="1"/>
    </row>
    <row r="69" spans="17:17" x14ac:dyDescent="0.45">
      <c r="Q69" s="1"/>
    </row>
    <row r="70" spans="17:17" x14ac:dyDescent="0.45">
      <c r="Q70" s="1"/>
    </row>
    <row r="71" spans="17:17" x14ac:dyDescent="0.45">
      <c r="Q71" s="1"/>
    </row>
    <row r="72" spans="17:17" x14ac:dyDescent="0.45">
      <c r="Q72" s="1"/>
    </row>
    <row r="73" spans="17:17" x14ac:dyDescent="0.45">
      <c r="Q73" s="1"/>
    </row>
    <row r="74" spans="17:17" x14ac:dyDescent="0.45">
      <c r="Q74" s="1"/>
    </row>
    <row r="75" spans="17:17" x14ac:dyDescent="0.45">
      <c r="Q75" s="1"/>
    </row>
    <row r="76" spans="17:17" x14ac:dyDescent="0.45">
      <c r="Q76" s="1"/>
    </row>
    <row r="77" spans="17:17" x14ac:dyDescent="0.45">
      <c r="Q77" s="1"/>
    </row>
    <row r="78" spans="17:17" x14ac:dyDescent="0.45">
      <c r="Q78" s="1"/>
    </row>
    <row r="79" spans="17:17" x14ac:dyDescent="0.45">
      <c r="Q79" s="1"/>
    </row>
    <row r="80" spans="17:17" x14ac:dyDescent="0.45">
      <c r="Q80" s="1"/>
    </row>
    <row r="81" spans="17:17" x14ac:dyDescent="0.45">
      <c r="Q81" s="1"/>
    </row>
    <row r="82" spans="17:17" x14ac:dyDescent="0.45">
      <c r="Q82" s="1"/>
    </row>
    <row r="83" spans="17:17" x14ac:dyDescent="0.45">
      <c r="Q83" s="1"/>
    </row>
    <row r="84" spans="17:17" x14ac:dyDescent="0.45">
      <c r="Q84" s="1"/>
    </row>
    <row r="85" spans="17:17" x14ac:dyDescent="0.45">
      <c r="Q85" s="1"/>
    </row>
    <row r="86" spans="17:17" x14ac:dyDescent="0.45">
      <c r="Q86" s="1"/>
    </row>
    <row r="87" spans="17:17" x14ac:dyDescent="0.45">
      <c r="Q87" s="1"/>
    </row>
    <row r="88" spans="17:17" x14ac:dyDescent="0.45">
      <c r="Q88" s="1"/>
    </row>
    <row r="89" spans="17:17" x14ac:dyDescent="0.45">
      <c r="Q89" s="1"/>
    </row>
    <row r="90" spans="17:17" x14ac:dyDescent="0.45">
      <c r="Q90" s="1"/>
    </row>
    <row r="91" spans="17:17" x14ac:dyDescent="0.45">
      <c r="Q91" s="1"/>
    </row>
    <row r="92" spans="17:17" x14ac:dyDescent="0.45">
      <c r="Q92" s="1"/>
    </row>
    <row r="93" spans="17:17" x14ac:dyDescent="0.45">
      <c r="Q93" s="1"/>
    </row>
    <row r="94" spans="17:17" x14ac:dyDescent="0.45">
      <c r="Q94" s="1"/>
    </row>
    <row r="95" spans="17:17" x14ac:dyDescent="0.45">
      <c r="Q95" s="1"/>
    </row>
    <row r="96" spans="17:17" x14ac:dyDescent="0.45">
      <c r="Q96" s="1"/>
    </row>
    <row r="97" spans="17:17" x14ac:dyDescent="0.45">
      <c r="Q97" s="1"/>
    </row>
    <row r="98" spans="17:17" x14ac:dyDescent="0.45">
      <c r="Q98" s="1"/>
    </row>
    <row r="99" spans="17:17" x14ac:dyDescent="0.45">
      <c r="Q99" s="1"/>
    </row>
    <row r="100" spans="17:17" x14ac:dyDescent="0.45">
      <c r="Q100" s="1"/>
    </row>
    <row r="101" spans="17:17" x14ac:dyDescent="0.45">
      <c r="Q101" s="1"/>
    </row>
    <row r="102" spans="17:17" x14ac:dyDescent="0.45">
      <c r="Q102" s="1"/>
    </row>
    <row r="103" spans="17:17" x14ac:dyDescent="0.45">
      <c r="Q103" s="1"/>
    </row>
    <row r="104" spans="17:17" x14ac:dyDescent="0.45">
      <c r="Q104" s="1"/>
    </row>
    <row r="105" spans="17:17" x14ac:dyDescent="0.45">
      <c r="Q105" s="1"/>
    </row>
    <row r="106" spans="17:17" x14ac:dyDescent="0.45">
      <c r="Q106" s="1"/>
    </row>
    <row r="107" spans="17:17" x14ac:dyDescent="0.45">
      <c r="Q107" s="1"/>
    </row>
    <row r="108" spans="17:17" x14ac:dyDescent="0.45">
      <c r="Q108" s="1"/>
    </row>
    <row r="109" spans="17:17" x14ac:dyDescent="0.45">
      <c r="Q109" s="1"/>
    </row>
    <row r="110" spans="17:17" x14ac:dyDescent="0.45">
      <c r="Q110" s="1"/>
    </row>
    <row r="111" spans="17:17" x14ac:dyDescent="0.45">
      <c r="Q111" s="1"/>
    </row>
    <row r="112" spans="17:17" x14ac:dyDescent="0.45">
      <c r="Q112" s="1"/>
    </row>
    <row r="113" spans="17:17" x14ac:dyDescent="0.45">
      <c r="Q113" s="1"/>
    </row>
    <row r="114" spans="17:17" x14ac:dyDescent="0.45">
      <c r="Q114" s="1"/>
    </row>
    <row r="115" spans="17:17" x14ac:dyDescent="0.45">
      <c r="Q115" s="1"/>
    </row>
    <row r="116" spans="17:17" x14ac:dyDescent="0.45">
      <c r="Q116" s="1"/>
    </row>
    <row r="117" spans="17:17" x14ac:dyDescent="0.45">
      <c r="Q117" s="1"/>
    </row>
    <row r="118" spans="17:17" x14ac:dyDescent="0.45">
      <c r="Q118" s="1"/>
    </row>
    <row r="119" spans="17:17" x14ac:dyDescent="0.45">
      <c r="Q119" s="1"/>
    </row>
    <row r="120" spans="17:17" x14ac:dyDescent="0.45">
      <c r="Q120" s="1"/>
    </row>
    <row r="121" spans="17:17" x14ac:dyDescent="0.45">
      <c r="Q121" s="1"/>
    </row>
    <row r="122" spans="17:17" x14ac:dyDescent="0.45">
      <c r="Q122" s="1"/>
    </row>
    <row r="123" spans="17:17" x14ac:dyDescent="0.45">
      <c r="Q123" s="1"/>
    </row>
    <row r="124" spans="17:17" x14ac:dyDescent="0.45">
      <c r="Q124" s="1"/>
    </row>
    <row r="125" spans="17:17" x14ac:dyDescent="0.45">
      <c r="Q125" s="1"/>
    </row>
    <row r="126" spans="17:17" x14ac:dyDescent="0.45">
      <c r="Q126" s="1"/>
    </row>
    <row r="127" spans="17:17" x14ac:dyDescent="0.45">
      <c r="Q127" s="1"/>
    </row>
    <row r="128" spans="17:17" x14ac:dyDescent="0.45">
      <c r="Q128" s="1"/>
    </row>
    <row r="129" spans="17:17" x14ac:dyDescent="0.45">
      <c r="Q129" s="1"/>
    </row>
    <row r="130" spans="17:17" x14ac:dyDescent="0.45">
      <c r="Q130" s="1"/>
    </row>
    <row r="131" spans="17:17" x14ac:dyDescent="0.45">
      <c r="Q131" s="1"/>
    </row>
    <row r="132" spans="17:17" x14ac:dyDescent="0.45">
      <c r="Q132" s="1"/>
    </row>
    <row r="133" spans="17:17" x14ac:dyDescent="0.45">
      <c r="Q133" s="1"/>
    </row>
    <row r="134" spans="17:17" x14ac:dyDescent="0.45">
      <c r="Q134" s="1"/>
    </row>
    <row r="135" spans="17:17" x14ac:dyDescent="0.45">
      <c r="Q135" s="1"/>
    </row>
    <row r="136" spans="17:17" x14ac:dyDescent="0.45">
      <c r="Q136" s="1"/>
    </row>
    <row r="137" spans="17:17" x14ac:dyDescent="0.45">
      <c r="Q137" s="1"/>
    </row>
    <row r="138" spans="17:17" x14ac:dyDescent="0.45">
      <c r="Q138" s="1"/>
    </row>
    <row r="139" spans="17:17" x14ac:dyDescent="0.45">
      <c r="Q139" s="1"/>
    </row>
    <row r="140" spans="17:17" x14ac:dyDescent="0.45">
      <c r="Q140" s="1"/>
    </row>
    <row r="141" spans="17:17" x14ac:dyDescent="0.45">
      <c r="Q141" s="1"/>
    </row>
    <row r="142" spans="17:17" x14ac:dyDescent="0.45">
      <c r="Q142" s="1"/>
    </row>
    <row r="143" spans="17:17" x14ac:dyDescent="0.45">
      <c r="Q143" s="1"/>
    </row>
    <row r="144" spans="17:17" x14ac:dyDescent="0.45">
      <c r="Q144" s="1"/>
    </row>
    <row r="145" spans="17:17" x14ac:dyDescent="0.45">
      <c r="Q145" s="1"/>
    </row>
    <row r="146" spans="17:17" x14ac:dyDescent="0.45">
      <c r="Q146" s="1"/>
    </row>
    <row r="147" spans="17:17" x14ac:dyDescent="0.45">
      <c r="Q147" s="1"/>
    </row>
    <row r="148" spans="17:17" x14ac:dyDescent="0.45">
      <c r="Q148" s="1"/>
    </row>
    <row r="149" spans="17:17" x14ac:dyDescent="0.45">
      <c r="Q149" s="1"/>
    </row>
    <row r="150" spans="17:17" x14ac:dyDescent="0.45">
      <c r="Q150" s="1"/>
    </row>
    <row r="151" spans="17:17" x14ac:dyDescent="0.45">
      <c r="Q151" s="1"/>
    </row>
    <row r="152" spans="17:17" x14ac:dyDescent="0.45">
      <c r="Q152" s="1"/>
    </row>
    <row r="153" spans="17:17" x14ac:dyDescent="0.45">
      <c r="Q153" s="1"/>
    </row>
    <row r="154" spans="17:17" x14ac:dyDescent="0.45">
      <c r="Q154" s="1"/>
    </row>
    <row r="155" spans="17:17" x14ac:dyDescent="0.45">
      <c r="Q155" s="1"/>
    </row>
    <row r="156" spans="17:17" x14ac:dyDescent="0.45">
      <c r="Q156" s="1"/>
    </row>
    <row r="157" spans="17:17" x14ac:dyDescent="0.45">
      <c r="Q157" s="1"/>
    </row>
    <row r="158" spans="17:17" x14ac:dyDescent="0.45">
      <c r="Q158" s="1"/>
    </row>
    <row r="159" spans="17:17" x14ac:dyDescent="0.45">
      <c r="Q159" s="1"/>
    </row>
    <row r="160" spans="17:17" x14ac:dyDescent="0.45">
      <c r="Q160" s="1"/>
    </row>
    <row r="161" spans="17:17" x14ac:dyDescent="0.45">
      <c r="Q161" s="1"/>
    </row>
    <row r="162" spans="17:17" x14ac:dyDescent="0.45">
      <c r="Q162" s="1"/>
    </row>
    <row r="163" spans="17:17" x14ac:dyDescent="0.45">
      <c r="Q163" s="1"/>
    </row>
    <row r="164" spans="17:17" x14ac:dyDescent="0.45">
      <c r="Q164" s="1"/>
    </row>
    <row r="165" spans="17:17" x14ac:dyDescent="0.45">
      <c r="Q165" s="1"/>
    </row>
    <row r="166" spans="17:17" x14ac:dyDescent="0.45">
      <c r="Q166" s="1"/>
    </row>
    <row r="167" spans="17:17" x14ac:dyDescent="0.45">
      <c r="Q167" s="1"/>
    </row>
    <row r="168" spans="17:17" x14ac:dyDescent="0.45">
      <c r="Q168" s="1"/>
    </row>
    <row r="169" spans="17:17" x14ac:dyDescent="0.45">
      <c r="Q169" s="1"/>
    </row>
    <row r="170" spans="17:17" x14ac:dyDescent="0.45">
      <c r="Q170" s="1"/>
    </row>
    <row r="171" spans="17:17" x14ac:dyDescent="0.45">
      <c r="Q171" s="1"/>
    </row>
    <row r="172" spans="17:17" x14ac:dyDescent="0.45">
      <c r="Q172" s="1"/>
    </row>
    <row r="173" spans="17:17" x14ac:dyDescent="0.45">
      <c r="Q173" s="1"/>
    </row>
    <row r="174" spans="17:17" x14ac:dyDescent="0.45">
      <c r="Q174" s="1"/>
    </row>
    <row r="175" spans="17:17" x14ac:dyDescent="0.45">
      <c r="Q175" s="1"/>
    </row>
    <row r="176" spans="17:17" x14ac:dyDescent="0.45">
      <c r="Q176" s="1"/>
    </row>
    <row r="177" spans="17:17" x14ac:dyDescent="0.45">
      <c r="Q177" s="1"/>
    </row>
    <row r="178" spans="17:17" x14ac:dyDescent="0.45">
      <c r="Q178" s="1"/>
    </row>
    <row r="179" spans="17:17" x14ac:dyDescent="0.45">
      <c r="Q179" s="1"/>
    </row>
    <row r="180" spans="17:17" x14ac:dyDescent="0.45">
      <c r="Q180" s="1"/>
    </row>
    <row r="181" spans="17:17" x14ac:dyDescent="0.45">
      <c r="Q181" s="1"/>
    </row>
    <row r="182" spans="17:17" x14ac:dyDescent="0.45">
      <c r="Q182" s="1"/>
    </row>
    <row r="183" spans="17:17" x14ac:dyDescent="0.45">
      <c r="Q183" s="1"/>
    </row>
    <row r="184" spans="17:17" x14ac:dyDescent="0.45">
      <c r="Q184" s="1"/>
    </row>
    <row r="185" spans="17:17" x14ac:dyDescent="0.45">
      <c r="Q185" s="1"/>
    </row>
    <row r="186" spans="17:17" x14ac:dyDescent="0.45">
      <c r="Q186" s="1"/>
    </row>
    <row r="187" spans="17:17" x14ac:dyDescent="0.45">
      <c r="Q187" s="1"/>
    </row>
    <row r="188" spans="17:17" x14ac:dyDescent="0.45">
      <c r="Q188" s="1"/>
    </row>
    <row r="189" spans="17:17" x14ac:dyDescent="0.45">
      <c r="Q189" s="1"/>
    </row>
    <row r="190" spans="17:17" x14ac:dyDescent="0.45">
      <c r="Q190" s="1"/>
    </row>
    <row r="191" spans="17:17" x14ac:dyDescent="0.45">
      <c r="Q191" s="1"/>
    </row>
    <row r="192" spans="17:17" x14ac:dyDescent="0.45">
      <c r="Q192" s="1"/>
    </row>
    <row r="193" spans="17:17" x14ac:dyDescent="0.45">
      <c r="Q193" s="1"/>
    </row>
    <row r="194" spans="17:17" x14ac:dyDescent="0.45">
      <c r="Q194" s="1"/>
    </row>
    <row r="195" spans="17:17" x14ac:dyDescent="0.45">
      <c r="Q195" s="1"/>
    </row>
    <row r="196" spans="17:17" x14ac:dyDescent="0.45">
      <c r="Q196" s="1"/>
    </row>
    <row r="197" spans="17:17" x14ac:dyDescent="0.45">
      <c r="Q197" s="1"/>
    </row>
    <row r="198" spans="17:17" x14ac:dyDescent="0.45">
      <c r="Q198" s="1"/>
    </row>
    <row r="199" spans="17:17" x14ac:dyDescent="0.45">
      <c r="Q199" s="1"/>
    </row>
    <row r="200" spans="17:17" x14ac:dyDescent="0.45">
      <c r="Q200" s="1"/>
    </row>
    <row r="201" spans="17:17" x14ac:dyDescent="0.45">
      <c r="Q201" s="1"/>
    </row>
    <row r="202" spans="17:17" x14ac:dyDescent="0.45">
      <c r="Q202" s="1"/>
    </row>
    <row r="203" spans="17:17" x14ac:dyDescent="0.45">
      <c r="Q203" s="1"/>
    </row>
    <row r="204" spans="17:17" x14ac:dyDescent="0.45">
      <c r="Q204" s="1"/>
    </row>
    <row r="205" spans="17:17" x14ac:dyDescent="0.45">
      <c r="Q205" s="1"/>
    </row>
    <row r="206" spans="17:17" x14ac:dyDescent="0.45">
      <c r="Q206" s="1"/>
    </row>
    <row r="207" spans="17:17" x14ac:dyDescent="0.45">
      <c r="Q207" s="1"/>
    </row>
    <row r="208" spans="17:17" x14ac:dyDescent="0.45">
      <c r="Q208" s="1"/>
    </row>
    <row r="209" spans="17:17" x14ac:dyDescent="0.45">
      <c r="Q209" s="1"/>
    </row>
    <row r="210" spans="17:17" x14ac:dyDescent="0.45">
      <c r="Q210" s="1"/>
    </row>
    <row r="211" spans="17:17" x14ac:dyDescent="0.45">
      <c r="Q211" s="1"/>
    </row>
    <row r="212" spans="17:17" x14ac:dyDescent="0.45">
      <c r="Q212" s="1"/>
    </row>
    <row r="213" spans="17:17" x14ac:dyDescent="0.45">
      <c r="Q213" s="1"/>
    </row>
    <row r="214" spans="17:17" x14ac:dyDescent="0.45">
      <c r="Q214" s="1"/>
    </row>
    <row r="215" spans="17:17" x14ac:dyDescent="0.45">
      <c r="Q215" s="1"/>
    </row>
    <row r="216" spans="17:17" x14ac:dyDescent="0.45">
      <c r="Q216" s="1"/>
    </row>
    <row r="217" spans="17:17" x14ac:dyDescent="0.45">
      <c r="Q217" s="1"/>
    </row>
    <row r="218" spans="17:17" x14ac:dyDescent="0.45">
      <c r="Q218" s="1"/>
    </row>
    <row r="219" spans="17:17" x14ac:dyDescent="0.45">
      <c r="Q219" s="1"/>
    </row>
    <row r="220" spans="17:17" x14ac:dyDescent="0.45">
      <c r="Q220" s="1"/>
    </row>
    <row r="221" spans="17:17" x14ac:dyDescent="0.45">
      <c r="Q221" s="1"/>
    </row>
    <row r="222" spans="17:17" x14ac:dyDescent="0.45">
      <c r="Q222" s="1"/>
    </row>
    <row r="223" spans="17:17" x14ac:dyDescent="0.45">
      <c r="Q223" s="1"/>
    </row>
    <row r="224" spans="17:17" x14ac:dyDescent="0.45">
      <c r="Q224" s="1"/>
    </row>
    <row r="225" spans="17:17" x14ac:dyDescent="0.45">
      <c r="Q225" s="1"/>
    </row>
    <row r="226" spans="17:17" x14ac:dyDescent="0.45">
      <c r="Q226" s="1"/>
    </row>
    <row r="227" spans="17:17" x14ac:dyDescent="0.45">
      <c r="Q227" s="1"/>
    </row>
    <row r="228" spans="17:17" x14ac:dyDescent="0.45">
      <c r="Q228" s="1"/>
    </row>
    <row r="229" spans="17:17" x14ac:dyDescent="0.45">
      <c r="Q229" s="1"/>
    </row>
    <row r="230" spans="17:17" x14ac:dyDescent="0.45">
      <c r="Q230" s="1"/>
    </row>
    <row r="231" spans="17:17" x14ac:dyDescent="0.45">
      <c r="Q231" s="1"/>
    </row>
    <row r="232" spans="17:17" x14ac:dyDescent="0.45">
      <c r="Q232" s="1"/>
    </row>
    <row r="233" spans="17:17" x14ac:dyDescent="0.45">
      <c r="Q233" s="1"/>
    </row>
    <row r="234" spans="17:17" x14ac:dyDescent="0.45">
      <c r="Q234" s="1"/>
    </row>
    <row r="235" spans="17:17" x14ac:dyDescent="0.45">
      <c r="Q235" s="1"/>
    </row>
    <row r="236" spans="17:17" x14ac:dyDescent="0.45">
      <c r="Q236" s="1"/>
    </row>
    <row r="237" spans="17:17" x14ac:dyDescent="0.45">
      <c r="Q237" s="1"/>
    </row>
    <row r="238" spans="17:17" x14ac:dyDescent="0.45">
      <c r="Q238" s="1"/>
    </row>
    <row r="239" spans="17:17" x14ac:dyDescent="0.45">
      <c r="Q239" s="1"/>
    </row>
    <row r="240" spans="17:17" x14ac:dyDescent="0.45">
      <c r="Q240" s="1"/>
    </row>
    <row r="241" spans="17:17" x14ac:dyDescent="0.45">
      <c r="Q241" s="1"/>
    </row>
    <row r="242" spans="17:17" x14ac:dyDescent="0.45">
      <c r="Q242" s="1"/>
    </row>
    <row r="243" spans="17:17" x14ac:dyDescent="0.45">
      <c r="Q243" s="1"/>
    </row>
    <row r="244" spans="17:17" x14ac:dyDescent="0.45">
      <c r="Q244" s="1"/>
    </row>
    <row r="245" spans="17:17" x14ac:dyDescent="0.45">
      <c r="Q245" s="1"/>
    </row>
    <row r="246" spans="17:17" x14ac:dyDescent="0.45">
      <c r="Q246" s="1"/>
    </row>
    <row r="247" spans="17:17" x14ac:dyDescent="0.45">
      <c r="Q247" s="1"/>
    </row>
    <row r="248" spans="17:17" x14ac:dyDescent="0.45">
      <c r="Q248" s="1"/>
    </row>
    <row r="249" spans="17:17" x14ac:dyDescent="0.45">
      <c r="Q249" s="1"/>
    </row>
    <row r="250" spans="17:17" x14ac:dyDescent="0.45">
      <c r="Q250" s="1"/>
    </row>
    <row r="251" spans="17:17" x14ac:dyDescent="0.45">
      <c r="Q251" s="1"/>
    </row>
    <row r="252" spans="17:17" x14ac:dyDescent="0.45">
      <c r="Q252" s="1"/>
    </row>
    <row r="253" spans="17:17" x14ac:dyDescent="0.45">
      <c r="Q253" s="1"/>
    </row>
    <row r="254" spans="17:17" x14ac:dyDescent="0.45">
      <c r="Q254" s="1"/>
    </row>
    <row r="255" spans="17:17" x14ac:dyDescent="0.45">
      <c r="Q255" s="1"/>
    </row>
    <row r="256" spans="17:17" x14ac:dyDescent="0.45">
      <c r="Q256" s="1"/>
    </row>
    <row r="257" spans="17:17" x14ac:dyDescent="0.45">
      <c r="Q257" s="1"/>
    </row>
    <row r="258" spans="17:17" x14ac:dyDescent="0.45">
      <c r="Q258" s="1"/>
    </row>
    <row r="259" spans="17:17" x14ac:dyDescent="0.45">
      <c r="Q259" s="1"/>
    </row>
    <row r="260" spans="17:17" x14ac:dyDescent="0.45">
      <c r="Q260" s="1"/>
    </row>
    <row r="261" spans="17:17" x14ac:dyDescent="0.45">
      <c r="Q261" s="1"/>
    </row>
    <row r="262" spans="17:17" x14ac:dyDescent="0.45">
      <c r="Q262" s="1"/>
    </row>
    <row r="263" spans="17:17" x14ac:dyDescent="0.45">
      <c r="Q263" s="1"/>
    </row>
    <row r="264" spans="17:17" x14ac:dyDescent="0.45">
      <c r="Q264" s="1"/>
    </row>
    <row r="265" spans="17:17" x14ac:dyDescent="0.45">
      <c r="Q265" s="1"/>
    </row>
    <row r="266" spans="17:17" x14ac:dyDescent="0.45">
      <c r="Q266" s="1"/>
    </row>
    <row r="267" spans="17:17" x14ac:dyDescent="0.45">
      <c r="Q267" s="1"/>
    </row>
    <row r="268" spans="17:17" x14ac:dyDescent="0.45">
      <c r="Q268" s="1"/>
    </row>
    <row r="269" spans="17:17" x14ac:dyDescent="0.45">
      <c r="Q269" s="1"/>
    </row>
    <row r="270" spans="17:17" x14ac:dyDescent="0.45">
      <c r="Q270" s="1"/>
    </row>
    <row r="271" spans="17:17" x14ac:dyDescent="0.45">
      <c r="Q271" s="1"/>
    </row>
    <row r="272" spans="17:17" x14ac:dyDescent="0.45">
      <c r="Q272" s="1"/>
    </row>
    <row r="273" spans="17:17" x14ac:dyDescent="0.45">
      <c r="Q273" s="1"/>
    </row>
    <row r="274" spans="17:17" x14ac:dyDescent="0.45">
      <c r="Q274" s="1"/>
    </row>
    <row r="275" spans="17:17" x14ac:dyDescent="0.45">
      <c r="Q275" s="1"/>
    </row>
    <row r="276" spans="17:17" x14ac:dyDescent="0.45">
      <c r="Q276" s="1"/>
    </row>
    <row r="277" spans="17:17" x14ac:dyDescent="0.45">
      <c r="Q277" s="1"/>
    </row>
    <row r="278" spans="17:17" x14ac:dyDescent="0.45">
      <c r="Q278" s="1"/>
    </row>
    <row r="279" spans="17:17" x14ac:dyDescent="0.45">
      <c r="Q279" s="1"/>
    </row>
    <row r="280" spans="17:17" x14ac:dyDescent="0.45">
      <c r="Q280" s="1"/>
    </row>
    <row r="281" spans="17:17" x14ac:dyDescent="0.45">
      <c r="Q281" s="1"/>
    </row>
    <row r="282" spans="17:17" x14ac:dyDescent="0.45">
      <c r="Q282" s="1"/>
    </row>
    <row r="283" spans="17:17" x14ac:dyDescent="0.45">
      <c r="Q283" s="1"/>
    </row>
    <row r="284" spans="17:17" x14ac:dyDescent="0.45">
      <c r="Q284" s="1"/>
    </row>
    <row r="285" spans="17:17" x14ac:dyDescent="0.45">
      <c r="Q285" s="1"/>
    </row>
    <row r="286" spans="17:17" x14ac:dyDescent="0.45">
      <c r="Q286" s="1"/>
    </row>
    <row r="287" spans="17:17" x14ac:dyDescent="0.45">
      <c r="Q287" s="1"/>
    </row>
    <row r="288" spans="17:17" x14ac:dyDescent="0.45">
      <c r="Q288" s="1"/>
    </row>
    <row r="289" spans="17:17" x14ac:dyDescent="0.45">
      <c r="Q289" s="1"/>
    </row>
    <row r="290" spans="17:17" x14ac:dyDescent="0.45">
      <c r="Q290" s="1"/>
    </row>
    <row r="291" spans="17:17" x14ac:dyDescent="0.45">
      <c r="Q291" s="1"/>
    </row>
    <row r="292" spans="17:17" x14ac:dyDescent="0.45">
      <c r="Q292" s="1"/>
    </row>
    <row r="293" spans="17:17" x14ac:dyDescent="0.45">
      <c r="Q293" s="1"/>
    </row>
    <row r="294" spans="17:17" x14ac:dyDescent="0.45">
      <c r="Q294" s="1"/>
    </row>
    <row r="295" spans="17:17" x14ac:dyDescent="0.45">
      <c r="Q295" s="1"/>
    </row>
    <row r="296" spans="17:17" x14ac:dyDescent="0.45">
      <c r="Q296" s="1"/>
    </row>
    <row r="297" spans="17:17" x14ac:dyDescent="0.45">
      <c r="Q297" s="1"/>
    </row>
    <row r="298" spans="17:17" x14ac:dyDescent="0.45">
      <c r="Q298" s="1"/>
    </row>
    <row r="299" spans="17:17" x14ac:dyDescent="0.45">
      <c r="Q299" s="1"/>
    </row>
    <row r="300" spans="17:17" x14ac:dyDescent="0.45">
      <c r="Q300" s="1"/>
    </row>
    <row r="301" spans="17:17" x14ac:dyDescent="0.45">
      <c r="Q301" s="1"/>
    </row>
    <row r="302" spans="17:17" x14ac:dyDescent="0.45">
      <c r="Q302" s="1"/>
    </row>
    <row r="303" spans="17:17" x14ac:dyDescent="0.45">
      <c r="Q303" s="1"/>
    </row>
    <row r="304" spans="17:17" x14ac:dyDescent="0.45">
      <c r="Q304" s="1"/>
    </row>
    <row r="305" spans="17:17" x14ac:dyDescent="0.45">
      <c r="Q305" s="1"/>
    </row>
    <row r="306" spans="17:17" x14ac:dyDescent="0.45">
      <c r="Q306" s="1"/>
    </row>
    <row r="307" spans="17:17" x14ac:dyDescent="0.45">
      <c r="Q307" s="1"/>
    </row>
    <row r="308" spans="17:17" x14ac:dyDescent="0.45">
      <c r="Q308" s="1"/>
    </row>
    <row r="309" spans="17:17" x14ac:dyDescent="0.45">
      <c r="Q309" s="1"/>
    </row>
    <row r="310" spans="17:17" x14ac:dyDescent="0.45">
      <c r="Q310" s="1"/>
    </row>
    <row r="311" spans="17:17" x14ac:dyDescent="0.45">
      <c r="Q311" s="1"/>
    </row>
    <row r="312" spans="17:17" x14ac:dyDescent="0.45">
      <c r="Q312" s="1"/>
    </row>
    <row r="313" spans="17:17" x14ac:dyDescent="0.45">
      <c r="Q313" s="1"/>
    </row>
    <row r="314" spans="17:17" x14ac:dyDescent="0.45">
      <c r="Q314" s="1"/>
    </row>
    <row r="315" spans="17:17" x14ac:dyDescent="0.45">
      <c r="Q315" s="1"/>
    </row>
    <row r="316" spans="17:17" x14ac:dyDescent="0.45">
      <c r="Q316" s="1"/>
    </row>
    <row r="317" spans="17:17" x14ac:dyDescent="0.45">
      <c r="Q317" s="1"/>
    </row>
    <row r="318" spans="17:17" x14ac:dyDescent="0.45">
      <c r="Q318" s="1"/>
    </row>
    <row r="319" spans="17:17" x14ac:dyDescent="0.45">
      <c r="Q319" s="1"/>
    </row>
    <row r="320" spans="17:17" x14ac:dyDescent="0.45">
      <c r="Q320" s="1"/>
    </row>
    <row r="321" spans="17:17" x14ac:dyDescent="0.45">
      <c r="Q321" s="1"/>
    </row>
    <row r="322" spans="17:17" x14ac:dyDescent="0.45">
      <c r="Q322" s="1"/>
    </row>
    <row r="323" spans="17:17" x14ac:dyDescent="0.45">
      <c r="Q323" s="1"/>
    </row>
    <row r="324" spans="17:17" x14ac:dyDescent="0.45">
      <c r="Q324" s="1"/>
    </row>
    <row r="325" spans="17:17" x14ac:dyDescent="0.45">
      <c r="Q325" s="1"/>
    </row>
    <row r="326" spans="17:17" x14ac:dyDescent="0.45">
      <c r="Q326" s="1"/>
    </row>
    <row r="327" spans="17:17" x14ac:dyDescent="0.45">
      <c r="Q327" s="1"/>
    </row>
    <row r="328" spans="17:17" x14ac:dyDescent="0.45">
      <c r="Q328" s="1"/>
    </row>
    <row r="329" spans="17:17" x14ac:dyDescent="0.45">
      <c r="Q329" s="1"/>
    </row>
    <row r="330" spans="17:17" x14ac:dyDescent="0.45">
      <c r="Q330" s="1"/>
    </row>
    <row r="331" spans="17:17" x14ac:dyDescent="0.45">
      <c r="Q331" s="1"/>
    </row>
    <row r="332" spans="17:17" x14ac:dyDescent="0.45">
      <c r="Q332" s="1"/>
    </row>
    <row r="333" spans="17:17" x14ac:dyDescent="0.45">
      <c r="Q333" s="1"/>
    </row>
    <row r="334" spans="17:17" x14ac:dyDescent="0.45">
      <c r="Q334" s="1"/>
    </row>
    <row r="335" spans="17:17" x14ac:dyDescent="0.45">
      <c r="Q335" s="1"/>
    </row>
    <row r="336" spans="17:17" x14ac:dyDescent="0.45">
      <c r="Q336" s="1"/>
    </row>
    <row r="337" spans="17:17" x14ac:dyDescent="0.45">
      <c r="Q337" s="1"/>
    </row>
    <row r="338" spans="17:17" x14ac:dyDescent="0.45">
      <c r="Q338" s="1"/>
    </row>
    <row r="339" spans="17:17" x14ac:dyDescent="0.45">
      <c r="Q339" s="1"/>
    </row>
    <row r="340" spans="17:17" x14ac:dyDescent="0.45">
      <c r="Q340" s="1"/>
    </row>
    <row r="341" spans="17:17" x14ac:dyDescent="0.45">
      <c r="Q341" s="1"/>
    </row>
    <row r="342" spans="17:17" x14ac:dyDescent="0.45">
      <c r="Q342" s="1"/>
    </row>
    <row r="343" spans="17:17" x14ac:dyDescent="0.45">
      <c r="Q343" s="1"/>
    </row>
    <row r="344" spans="17:17" x14ac:dyDescent="0.45">
      <c r="Q344" s="1"/>
    </row>
    <row r="345" spans="17:17" x14ac:dyDescent="0.45">
      <c r="Q345" s="1"/>
    </row>
    <row r="346" spans="17:17" x14ac:dyDescent="0.45">
      <c r="Q346" s="1"/>
    </row>
    <row r="347" spans="17:17" x14ac:dyDescent="0.45">
      <c r="Q347" s="1"/>
    </row>
    <row r="348" spans="17:17" x14ac:dyDescent="0.45">
      <c r="Q348" s="1"/>
    </row>
    <row r="349" spans="17:17" x14ac:dyDescent="0.45">
      <c r="Q349" s="1"/>
    </row>
    <row r="350" spans="17:17" x14ac:dyDescent="0.45">
      <c r="Q350" s="1"/>
    </row>
    <row r="351" spans="17:17" x14ac:dyDescent="0.45">
      <c r="Q351" s="1"/>
    </row>
    <row r="352" spans="17:17" x14ac:dyDescent="0.45">
      <c r="Q352" s="1"/>
    </row>
    <row r="353" spans="17:17" x14ac:dyDescent="0.45">
      <c r="Q353" s="1"/>
    </row>
    <row r="354" spans="17:17" x14ac:dyDescent="0.45">
      <c r="Q354" s="1"/>
    </row>
    <row r="355" spans="17:17" x14ac:dyDescent="0.45">
      <c r="Q355" s="1"/>
    </row>
    <row r="356" spans="17:17" x14ac:dyDescent="0.45">
      <c r="Q356" s="1"/>
    </row>
    <row r="357" spans="17:17" x14ac:dyDescent="0.45">
      <c r="Q357" s="1"/>
    </row>
    <row r="358" spans="17:17" x14ac:dyDescent="0.45">
      <c r="Q358" s="1"/>
    </row>
    <row r="359" spans="17:17" x14ac:dyDescent="0.45">
      <c r="Q359" s="1"/>
    </row>
    <row r="360" spans="17:17" x14ac:dyDescent="0.45">
      <c r="Q360" s="1"/>
    </row>
    <row r="361" spans="17:17" x14ac:dyDescent="0.45">
      <c r="Q361" s="1"/>
    </row>
    <row r="362" spans="17:17" x14ac:dyDescent="0.45">
      <c r="Q362" s="1"/>
    </row>
    <row r="363" spans="17:17" x14ac:dyDescent="0.45">
      <c r="Q363" s="1"/>
    </row>
    <row r="364" spans="17:17" x14ac:dyDescent="0.45">
      <c r="Q364" s="1"/>
    </row>
    <row r="365" spans="17:17" x14ac:dyDescent="0.45">
      <c r="Q365" s="1"/>
    </row>
    <row r="366" spans="17:17" x14ac:dyDescent="0.45">
      <c r="Q366" s="1"/>
    </row>
    <row r="367" spans="17:17" x14ac:dyDescent="0.45">
      <c r="Q367" s="1"/>
    </row>
    <row r="368" spans="17:17" x14ac:dyDescent="0.45">
      <c r="Q368" s="1"/>
    </row>
    <row r="369" spans="17:17" x14ac:dyDescent="0.45">
      <c r="Q369" s="1"/>
    </row>
    <row r="370" spans="17:17" x14ac:dyDescent="0.45">
      <c r="Q370" s="1"/>
    </row>
    <row r="371" spans="17:17" x14ac:dyDescent="0.45">
      <c r="Q371" s="1"/>
    </row>
    <row r="372" spans="17:17" x14ac:dyDescent="0.45">
      <c r="Q372" s="1"/>
    </row>
    <row r="373" spans="17:17" x14ac:dyDescent="0.45">
      <c r="Q373" s="1"/>
    </row>
    <row r="374" spans="17:17" x14ac:dyDescent="0.45">
      <c r="Q374" s="1"/>
    </row>
    <row r="375" spans="17:17" x14ac:dyDescent="0.45">
      <c r="Q375" s="1"/>
    </row>
    <row r="376" spans="17:17" x14ac:dyDescent="0.45">
      <c r="Q376" s="1"/>
    </row>
    <row r="377" spans="17:17" x14ac:dyDescent="0.45">
      <c r="Q377" s="1"/>
    </row>
    <row r="378" spans="17:17" x14ac:dyDescent="0.45">
      <c r="Q378" s="1"/>
    </row>
    <row r="379" spans="17:17" x14ac:dyDescent="0.45">
      <c r="Q379" s="1"/>
    </row>
    <row r="380" spans="17:17" x14ac:dyDescent="0.45">
      <c r="Q380" s="1"/>
    </row>
    <row r="381" spans="17:17" x14ac:dyDescent="0.45">
      <c r="Q381" s="1"/>
    </row>
    <row r="382" spans="17:17" x14ac:dyDescent="0.45">
      <c r="Q382" s="1"/>
    </row>
    <row r="383" spans="17:17" x14ac:dyDescent="0.45">
      <c r="Q383" s="1"/>
    </row>
    <row r="384" spans="17:17" x14ac:dyDescent="0.45">
      <c r="Q384" s="1"/>
    </row>
    <row r="385" spans="17:17" x14ac:dyDescent="0.45">
      <c r="Q385" s="1"/>
    </row>
    <row r="386" spans="17:17" x14ac:dyDescent="0.45">
      <c r="Q386" s="1"/>
    </row>
    <row r="387" spans="17:17" x14ac:dyDescent="0.45">
      <c r="Q387" s="1"/>
    </row>
    <row r="388" spans="17:17" x14ac:dyDescent="0.45">
      <c r="Q388" s="1"/>
    </row>
    <row r="389" spans="17:17" x14ac:dyDescent="0.45">
      <c r="Q389" s="1"/>
    </row>
    <row r="390" spans="17:17" x14ac:dyDescent="0.45">
      <c r="Q390" s="1"/>
    </row>
    <row r="391" spans="17:17" x14ac:dyDescent="0.45">
      <c r="Q391" s="1"/>
    </row>
    <row r="392" spans="17:17" x14ac:dyDescent="0.45">
      <c r="Q392" s="1"/>
    </row>
    <row r="393" spans="17:17" x14ac:dyDescent="0.45">
      <c r="Q393" s="1"/>
    </row>
    <row r="394" spans="17:17" x14ac:dyDescent="0.45">
      <c r="Q394" s="1"/>
    </row>
    <row r="395" spans="17:17" x14ac:dyDescent="0.45">
      <c r="Q395" s="1"/>
    </row>
    <row r="396" spans="17:17" x14ac:dyDescent="0.45">
      <c r="Q396" s="1"/>
    </row>
    <row r="397" spans="17:17" x14ac:dyDescent="0.45">
      <c r="Q397" s="1"/>
    </row>
    <row r="398" spans="17:17" x14ac:dyDescent="0.45">
      <c r="Q398" s="1"/>
    </row>
    <row r="399" spans="17:17" x14ac:dyDescent="0.45">
      <c r="Q399" s="1"/>
    </row>
    <row r="400" spans="17:17" x14ac:dyDescent="0.45">
      <c r="Q400" s="1"/>
    </row>
    <row r="401" spans="17:17" x14ac:dyDescent="0.45">
      <c r="Q401" s="1"/>
    </row>
    <row r="402" spans="17:17" x14ac:dyDescent="0.45">
      <c r="Q402" s="1"/>
    </row>
    <row r="403" spans="17:17" x14ac:dyDescent="0.45">
      <c r="Q403" s="1"/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35E71-6C9D-43AB-A46F-07F16F8C163A}">
  <sheetPr codeName="Sheet5">
    <tabColor theme="0" tint="-0.499984740745262"/>
  </sheetPr>
  <dimension ref="A1:J30"/>
  <sheetViews>
    <sheetView zoomScaleNormal="100" workbookViewId="0">
      <selection activeCell="D23" sqref="D23"/>
    </sheetView>
  </sheetViews>
  <sheetFormatPr defaultRowHeight="18" x14ac:dyDescent="0.45"/>
  <cols>
    <col min="1" max="1" width="12.5" style="4" bestFit="1" customWidth="1"/>
    <col min="2" max="2" width="21.3984375" style="4" bestFit="1" customWidth="1"/>
    <col min="4" max="4" width="11.19921875" bestFit="1" customWidth="1"/>
    <col min="5" max="5" width="9.8984375" bestFit="1" customWidth="1"/>
    <col min="6" max="6" width="21.3984375" bestFit="1" customWidth="1"/>
    <col min="8" max="8" width="34.3984375" bestFit="1" customWidth="1"/>
    <col min="9" max="9" width="11.19921875" customWidth="1"/>
    <col min="10" max="10" width="21.3984375" bestFit="1" customWidth="1"/>
  </cols>
  <sheetData>
    <row r="1" spans="1:10" x14ac:dyDescent="0.45">
      <c r="A1" s="4" t="s">
        <v>125</v>
      </c>
      <c r="B1" s="4" t="s">
        <v>126</v>
      </c>
      <c r="D1" t="s">
        <v>127</v>
      </c>
      <c r="E1" s="4" t="s">
        <v>125</v>
      </c>
      <c r="F1" s="4" t="s">
        <v>128</v>
      </c>
      <c r="H1" t="s">
        <v>129</v>
      </c>
      <c r="I1" s="18" t="s">
        <v>125</v>
      </c>
      <c r="J1" s="18" t="s">
        <v>126</v>
      </c>
    </row>
    <row r="2" spans="1:10" x14ac:dyDescent="0.45">
      <c r="A2" s="4" t="s">
        <v>100</v>
      </c>
      <c r="B2" s="4" t="s">
        <v>23</v>
      </c>
      <c r="E2" s="4" t="s">
        <v>130</v>
      </c>
      <c r="F2" s="4" t="s">
        <v>131</v>
      </c>
      <c r="I2" s="19" cm="1">
        <f t="array" ref="I2">_xlfn.UNIQUE(配列!B:B)</f>
        <v>0</v>
      </c>
      <c r="J2" s="19" t="str" cm="1">
        <f t="array" ref="J2:J10">_xlfn.UNIQUE(セットアップレポート!B:B)</f>
        <v>ゾーン名</v>
      </c>
    </row>
    <row r="3" spans="1:10" x14ac:dyDescent="0.45">
      <c r="A3" s="4" t="s">
        <v>101</v>
      </c>
      <c r="B3" s="4" t="s">
        <v>26</v>
      </c>
      <c r="E3" s="4" t="s">
        <v>132</v>
      </c>
      <c r="F3" s="4" t="s">
        <v>133</v>
      </c>
      <c r="I3" s="19"/>
      <c r="J3" s="19" t="str">
        <v>L2-NPM07</v>
      </c>
    </row>
    <row r="4" spans="1:10" x14ac:dyDescent="0.45">
      <c r="A4" s="4" t="s">
        <v>102</v>
      </c>
      <c r="B4" s="4" t="s">
        <v>39</v>
      </c>
      <c r="E4" s="4" t="s">
        <v>134</v>
      </c>
      <c r="F4" s="4" t="s">
        <v>135</v>
      </c>
      <c r="I4" s="19"/>
      <c r="J4" s="19" t="str">
        <v>L2-NPM01</v>
      </c>
    </row>
    <row r="5" spans="1:10" x14ac:dyDescent="0.45">
      <c r="A5" s="4" t="s">
        <v>103</v>
      </c>
      <c r="B5" s="4" t="s">
        <v>49</v>
      </c>
      <c r="E5" s="4" t="s">
        <v>136</v>
      </c>
      <c r="F5" s="4" t="s">
        <v>137</v>
      </c>
      <c r="I5" s="19"/>
      <c r="J5" s="19" t="str">
        <v>L2-NPM02</v>
      </c>
    </row>
    <row r="6" spans="1:10" x14ac:dyDescent="0.45">
      <c r="A6" s="4" t="s">
        <v>104</v>
      </c>
      <c r="B6" s="4" t="s">
        <v>58</v>
      </c>
      <c r="E6" s="4" t="s">
        <v>138</v>
      </c>
      <c r="F6" s="4" t="s">
        <v>139</v>
      </c>
      <c r="I6" s="19"/>
      <c r="J6" s="19" t="str">
        <v>L2-NPM03</v>
      </c>
    </row>
    <row r="7" spans="1:10" x14ac:dyDescent="0.45">
      <c r="A7" s="4" t="s">
        <v>105</v>
      </c>
      <c r="B7" s="4" t="s">
        <v>66</v>
      </c>
      <c r="E7" s="4" t="s">
        <v>140</v>
      </c>
      <c r="F7" s="4" t="s">
        <v>141</v>
      </c>
      <c r="I7" s="19"/>
      <c r="J7" s="19" t="str">
        <v>L2-NPM04</v>
      </c>
    </row>
    <row r="8" spans="1:10" x14ac:dyDescent="0.45">
      <c r="A8" s="4" t="s">
        <v>106</v>
      </c>
      <c r="B8" s="4" t="s">
        <v>22</v>
      </c>
      <c r="E8" s="4" t="s">
        <v>142</v>
      </c>
      <c r="F8" s="4" t="s">
        <v>143</v>
      </c>
      <c r="I8" s="19"/>
      <c r="J8" s="19" t="str">
        <v>L2-NPM05</v>
      </c>
    </row>
    <row r="9" spans="1:10" x14ac:dyDescent="0.45">
      <c r="I9" s="19"/>
      <c r="J9" s="19" t="str">
        <v>L2-NPM06</v>
      </c>
    </row>
    <row r="10" spans="1:10" x14ac:dyDescent="0.45">
      <c r="I10" s="19"/>
      <c r="J10" s="19">
        <v>0</v>
      </c>
    </row>
    <row r="11" spans="1:10" x14ac:dyDescent="0.45">
      <c r="I11" s="19"/>
      <c r="J11" s="19"/>
    </row>
    <row r="12" spans="1:10" x14ac:dyDescent="0.45">
      <c r="D12" t="s">
        <v>144</v>
      </c>
      <c r="E12" s="4" t="s">
        <v>125</v>
      </c>
      <c r="F12" s="4" t="s">
        <v>126</v>
      </c>
      <c r="I12" s="19"/>
      <c r="J12" s="19"/>
    </row>
    <row r="13" spans="1:10" x14ac:dyDescent="0.45">
      <c r="E13" s="4" t="s">
        <v>100</v>
      </c>
      <c r="F13" s="4" t="s">
        <v>23</v>
      </c>
      <c r="I13" s="19"/>
      <c r="J13" s="19"/>
    </row>
    <row r="14" spans="1:10" x14ac:dyDescent="0.45">
      <c r="E14" s="4" t="s">
        <v>101</v>
      </c>
      <c r="F14" s="4" t="s">
        <v>26</v>
      </c>
      <c r="I14" s="19"/>
      <c r="J14" s="19"/>
    </row>
    <row r="15" spans="1:10" x14ac:dyDescent="0.45">
      <c r="E15" s="4" t="s">
        <v>102</v>
      </c>
      <c r="F15" s="4" t="s">
        <v>39</v>
      </c>
      <c r="I15" s="19"/>
      <c r="J15" s="19"/>
    </row>
    <row r="16" spans="1:10" x14ac:dyDescent="0.45">
      <c r="E16" s="4" t="s">
        <v>103</v>
      </c>
      <c r="F16" s="4" t="s">
        <v>49</v>
      </c>
      <c r="I16" s="19"/>
      <c r="J16" s="19"/>
    </row>
    <row r="17" spans="4:10" x14ac:dyDescent="0.45">
      <c r="E17" s="4" t="s">
        <v>104</v>
      </c>
      <c r="F17" s="4" t="s">
        <v>58</v>
      </c>
      <c r="I17" s="19"/>
      <c r="J17" s="19"/>
    </row>
    <row r="18" spans="4:10" x14ac:dyDescent="0.45">
      <c r="E18" s="4" t="s">
        <v>105</v>
      </c>
      <c r="F18" s="4" t="s">
        <v>66</v>
      </c>
      <c r="I18" s="19"/>
      <c r="J18" s="19"/>
    </row>
    <row r="19" spans="4:10" x14ac:dyDescent="0.45">
      <c r="E19" s="4" t="s">
        <v>106</v>
      </c>
      <c r="F19" s="4" t="s">
        <v>22</v>
      </c>
      <c r="I19" s="19"/>
      <c r="J19" s="19"/>
    </row>
    <row r="20" spans="4:10" x14ac:dyDescent="0.45">
      <c r="I20" s="19"/>
      <c r="J20" s="19"/>
    </row>
    <row r="21" spans="4:10" x14ac:dyDescent="0.45">
      <c r="I21" s="19"/>
      <c r="J21" s="19"/>
    </row>
    <row r="22" spans="4:10" x14ac:dyDescent="0.45">
      <c r="I22" s="19"/>
      <c r="J22" s="19"/>
    </row>
    <row r="23" spans="4:10" x14ac:dyDescent="0.45">
      <c r="D23" t="s">
        <v>145</v>
      </c>
      <c r="E23" s="4" t="s">
        <v>125</v>
      </c>
      <c r="F23" s="4" t="s">
        <v>126</v>
      </c>
      <c r="I23" s="19"/>
      <c r="J23" s="19"/>
    </row>
    <row r="24" spans="4:10" x14ac:dyDescent="0.45">
      <c r="E24" s="4" t="s">
        <v>185</v>
      </c>
      <c r="F24" s="4" t="s">
        <v>184</v>
      </c>
      <c r="I24" s="19"/>
      <c r="J24" s="19"/>
    </row>
    <row r="25" spans="4:10" x14ac:dyDescent="0.45">
      <c r="E25" s="4" t="s">
        <v>186</v>
      </c>
      <c r="F25" s="4" t="s">
        <v>146</v>
      </c>
      <c r="I25" s="19"/>
      <c r="J25" s="19"/>
    </row>
    <row r="26" spans="4:10" x14ac:dyDescent="0.45">
      <c r="E26" s="4" t="s">
        <v>187</v>
      </c>
      <c r="F26" s="4" t="s">
        <v>147</v>
      </c>
      <c r="I26" s="19"/>
      <c r="J26" s="19"/>
    </row>
    <row r="27" spans="4:10" x14ac:dyDescent="0.45">
      <c r="E27" s="4" t="s">
        <v>188</v>
      </c>
      <c r="F27" s="4" t="s">
        <v>148</v>
      </c>
      <c r="I27" s="19"/>
      <c r="J27" s="19"/>
    </row>
    <row r="28" spans="4:10" x14ac:dyDescent="0.45">
      <c r="E28" s="4" t="s">
        <v>189</v>
      </c>
      <c r="F28" s="4" t="s">
        <v>149</v>
      </c>
      <c r="I28" s="19"/>
      <c r="J28" s="19"/>
    </row>
    <row r="29" spans="4:10" x14ac:dyDescent="0.45">
      <c r="E29" s="4" t="s">
        <v>190</v>
      </c>
      <c r="F29" s="4" t="s">
        <v>150</v>
      </c>
      <c r="I29" s="19"/>
      <c r="J29" s="19"/>
    </row>
    <row r="30" spans="4:10" x14ac:dyDescent="0.45">
      <c r="E30" s="4" t="s">
        <v>191</v>
      </c>
      <c r="F30" s="4" t="s">
        <v>151</v>
      </c>
      <c r="I30" s="19"/>
      <c r="J30" s="19"/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5E34A-9E08-48A1-A653-AC360D4FAC47}">
  <sheetPr codeName="Sheet8">
    <tabColor rgb="FFFF0000"/>
  </sheetPr>
  <dimension ref="A1:D55"/>
  <sheetViews>
    <sheetView tabSelected="1" topLeftCell="A29" zoomScaleNormal="100" workbookViewId="0">
      <selection activeCell="D42" sqref="D42"/>
    </sheetView>
  </sheetViews>
  <sheetFormatPr defaultRowHeight="18" x14ac:dyDescent="0.45"/>
  <cols>
    <col min="1" max="1" width="13.19921875" customWidth="1"/>
  </cols>
  <sheetData>
    <row r="1" spans="1:4" x14ac:dyDescent="0.45">
      <c r="A1" s="8" t="s">
        <v>152</v>
      </c>
    </row>
    <row r="2" spans="1:4" ht="19.5" customHeight="1" x14ac:dyDescent="0.45"/>
    <row r="5" spans="1:4" x14ac:dyDescent="0.45">
      <c r="A5" s="8" t="s">
        <v>153</v>
      </c>
    </row>
    <row r="6" spans="1:4" x14ac:dyDescent="0.45">
      <c r="D6" s="28" t="s">
        <v>1507</v>
      </c>
    </row>
    <row r="9" spans="1:4" x14ac:dyDescent="0.45">
      <c r="A9" s="8" t="s">
        <v>154</v>
      </c>
    </row>
    <row r="13" spans="1:4" x14ac:dyDescent="0.45">
      <c r="A13" s="9" t="s">
        <v>155</v>
      </c>
    </row>
    <row r="15" spans="1:4" ht="18.600000000000001" thickBot="1" x14ac:dyDescent="0.5">
      <c r="A15" s="8" t="s">
        <v>156</v>
      </c>
    </row>
    <row r="16" spans="1:4" ht="18.600000000000001" thickBot="1" x14ac:dyDescent="0.5">
      <c r="A16" s="7" t="s">
        <v>192</v>
      </c>
    </row>
    <row r="18" spans="1:4" x14ac:dyDescent="0.45">
      <c r="A18" s="8" t="s">
        <v>157</v>
      </c>
    </row>
    <row r="20" spans="1:4" x14ac:dyDescent="0.45">
      <c r="D20" t="s">
        <v>158</v>
      </c>
    </row>
    <row r="21" spans="1:4" x14ac:dyDescent="0.45">
      <c r="D21" t="s">
        <v>159</v>
      </c>
    </row>
    <row r="24" spans="1:4" x14ac:dyDescent="0.45">
      <c r="A24" s="8" t="s">
        <v>160</v>
      </c>
    </row>
    <row r="26" spans="1:4" x14ac:dyDescent="0.45">
      <c r="D26" t="s">
        <v>161</v>
      </c>
    </row>
    <row r="30" spans="1:4" x14ac:dyDescent="0.45">
      <c r="A30" s="8" t="s">
        <v>162</v>
      </c>
    </row>
    <row r="32" spans="1:4" x14ac:dyDescent="0.45">
      <c r="D32" t="s">
        <v>163</v>
      </c>
    </row>
    <row r="36" spans="1:1" x14ac:dyDescent="0.45">
      <c r="A36" s="8" t="s">
        <v>164</v>
      </c>
    </row>
    <row r="42" spans="1:1" x14ac:dyDescent="0.45">
      <c r="A42" s="20" t="s">
        <v>165</v>
      </c>
    </row>
    <row r="48" spans="1:1" x14ac:dyDescent="0.45">
      <c r="A48" s="20" t="s">
        <v>166</v>
      </c>
    </row>
    <row r="53" spans="1:1" x14ac:dyDescent="0.45">
      <c r="A53" s="20" t="s">
        <v>193</v>
      </c>
    </row>
    <row r="54" spans="1:1" ht="18.600000000000001" thickBot="1" x14ac:dyDescent="0.5">
      <c r="A54" t="s">
        <v>194</v>
      </c>
    </row>
    <row r="55" spans="1:1" ht="18.600000000000001" thickBot="1" x14ac:dyDescent="0.5">
      <c r="A55" s="7">
        <v>201</v>
      </c>
    </row>
  </sheetData>
  <phoneticPr fontId="1"/>
  <hyperlinks>
    <hyperlink ref="A13" location="対応表!A1" display="④対応表入力" xr:uid="{0303517B-4CE2-42B5-9E90-F422605B33F3}"/>
    <hyperlink ref="D6" r:id="rId1" xr:uid="{D6B81423-8560-4C5F-BC83-C6AE6BCB4145}"/>
  </hyperlinks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6A7F-32B8-4284-A8CF-FC0462F293D3}">
  <sheetPr codeName="S1">
    <tabColor theme="5"/>
  </sheetPr>
  <dimension ref="A1"/>
  <sheetViews>
    <sheetView workbookViewId="0">
      <selection activeCell="A11" sqref="A11"/>
    </sheetView>
  </sheetViews>
  <sheetFormatPr defaultRowHeight="18" x14ac:dyDescent="0.45"/>
  <cols>
    <col min="1" max="1" width="19.19921875" style="4" customWidth="1"/>
    <col min="2" max="2" width="11.59765625" bestFit="1" customWidth="1"/>
    <col min="3" max="3" width="11.59765625" customWidth="1"/>
    <col min="4" max="4" width="12.19921875" bestFit="1" customWidth="1"/>
  </cols>
  <sheetData/>
  <phoneticPr fontId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6C1A1-5890-4EC5-B48A-0F623B1F585A}">
  <sheetPr codeName="S2">
    <tabColor theme="5"/>
  </sheetPr>
  <dimension ref="A1:E19"/>
  <sheetViews>
    <sheetView zoomScaleNormal="100" workbookViewId="0"/>
  </sheetViews>
  <sheetFormatPr defaultColWidth="18" defaultRowHeight="18" x14ac:dyDescent="0.45"/>
  <cols>
    <col min="1" max="5" width="18" style="5"/>
  </cols>
  <sheetData>
    <row r="1" spans="1:5" x14ac:dyDescent="0.45">
      <c r="A1" s="6" t="s">
        <v>167</v>
      </c>
      <c r="B1" s="6" t="s">
        <v>168</v>
      </c>
      <c r="C1" s="6" t="s">
        <v>169</v>
      </c>
      <c r="D1" s="6" t="s">
        <v>170</v>
      </c>
      <c r="E1" s="6" t="s">
        <v>171</v>
      </c>
    </row>
    <row r="2" spans="1:5" ht="64.5" customHeight="1" x14ac:dyDescent="0.45">
      <c r="A2" s="6"/>
      <c r="B2" s="6"/>
      <c r="C2" s="6"/>
      <c r="D2" s="6"/>
      <c r="E2" s="6"/>
    </row>
    <row r="3" spans="1:5" x14ac:dyDescent="0.45">
      <c r="A3" s="6" t="s">
        <v>172</v>
      </c>
      <c r="B3" s="6" t="s">
        <v>173</v>
      </c>
      <c r="C3" s="6" t="s">
        <v>174</v>
      </c>
      <c r="D3" s="6" t="s">
        <v>175</v>
      </c>
      <c r="E3" s="6" t="s">
        <v>176</v>
      </c>
    </row>
    <row r="4" spans="1:5" ht="64.5" customHeight="1" x14ac:dyDescent="0.45">
      <c r="A4" s="6"/>
      <c r="B4" s="6"/>
      <c r="C4" s="6"/>
      <c r="D4" s="6"/>
      <c r="E4" s="6"/>
    </row>
    <row r="6" spans="1:5" x14ac:dyDescent="0.45">
      <c r="A6" s="6" t="s">
        <v>177</v>
      </c>
      <c r="B6" s="6" t="s">
        <v>178</v>
      </c>
      <c r="C6" s="6"/>
      <c r="D6" s="6"/>
      <c r="E6" s="6"/>
    </row>
    <row r="7" spans="1:5" ht="64.5" customHeight="1" x14ac:dyDescent="0.45">
      <c r="A7" s="6"/>
      <c r="B7" s="6"/>
      <c r="C7" s="6"/>
      <c r="D7" s="6"/>
      <c r="E7" s="6"/>
    </row>
    <row r="8" spans="1:5" x14ac:dyDescent="0.45">
      <c r="A8" s="6" t="s">
        <v>179</v>
      </c>
      <c r="B8" s="6" t="s">
        <v>180</v>
      </c>
      <c r="C8" s="6"/>
      <c r="D8" s="6"/>
      <c r="E8" s="6"/>
    </row>
    <row r="9" spans="1:5" ht="64.5" customHeight="1" x14ac:dyDescent="0.45">
      <c r="A9" s="6"/>
      <c r="B9" s="6"/>
      <c r="C9" s="6"/>
      <c r="D9" s="6"/>
      <c r="E9" s="6"/>
    </row>
    <row r="11" spans="1:5" x14ac:dyDescent="0.45">
      <c r="A11" s="6"/>
      <c r="B11" s="6"/>
      <c r="C11" s="6"/>
      <c r="D11" s="6"/>
      <c r="E11" s="6"/>
    </row>
    <row r="12" spans="1:5" ht="64.5" customHeight="1" x14ac:dyDescent="0.45">
      <c r="A12" s="6"/>
      <c r="B12" s="6"/>
      <c r="C12" s="6"/>
      <c r="D12" s="6"/>
      <c r="E12" s="6"/>
    </row>
    <row r="13" spans="1:5" x14ac:dyDescent="0.45">
      <c r="A13" s="6"/>
      <c r="B13" s="6"/>
      <c r="C13" s="6"/>
      <c r="D13" s="6"/>
      <c r="E13" s="6"/>
    </row>
    <row r="14" spans="1:5" ht="64.5" customHeight="1" x14ac:dyDescent="0.45">
      <c r="A14" s="6"/>
      <c r="B14" s="6"/>
      <c r="C14" s="6"/>
      <c r="D14" s="6"/>
      <c r="E14" s="6"/>
    </row>
    <row r="16" spans="1:5" x14ac:dyDescent="0.45">
      <c r="A16" s="6"/>
      <c r="B16" s="6"/>
      <c r="C16" s="6"/>
      <c r="D16" s="6"/>
      <c r="E16" s="6"/>
    </row>
    <row r="17" spans="1:5" ht="64.5" customHeight="1" x14ac:dyDescent="0.45">
      <c r="A17" s="6"/>
      <c r="B17" s="6"/>
      <c r="C17" s="6"/>
      <c r="D17" s="6"/>
      <c r="E17" s="6"/>
    </row>
    <row r="18" spans="1:5" x14ac:dyDescent="0.45">
      <c r="A18" s="6"/>
      <c r="B18" s="6"/>
      <c r="C18" s="6"/>
      <c r="D18" s="6"/>
      <c r="E18" s="6"/>
    </row>
    <row r="19" spans="1:5" ht="64.5" customHeight="1" x14ac:dyDescent="0.45">
      <c r="A19" s="6"/>
      <c r="B19" s="6"/>
      <c r="C19" s="6"/>
      <c r="D19" s="6"/>
      <c r="E19" s="6"/>
    </row>
  </sheetData>
  <phoneticPr fontId="1"/>
  <pageMargins left="0.25" right="0.25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07FE3-6C8F-4ADA-AF9D-0EEF6FE17FC9}">
  <sheetPr codeName="Sheet10">
    <tabColor rgb="FF00B0F0"/>
  </sheetPr>
  <dimension ref="A1:F1"/>
  <sheetViews>
    <sheetView workbookViewId="0"/>
  </sheetViews>
  <sheetFormatPr defaultRowHeight="18" x14ac:dyDescent="0.45"/>
  <cols>
    <col min="1" max="1" width="13" style="4" bestFit="1" customWidth="1"/>
    <col min="2" max="2" width="18.5" style="25" bestFit="1" customWidth="1"/>
    <col min="3" max="3" width="13" style="25" bestFit="1" customWidth="1"/>
    <col min="4" max="4" width="19.69921875" style="26" bestFit="1" customWidth="1"/>
    <col min="5" max="5" width="15.09765625" style="25" bestFit="1" customWidth="1"/>
    <col min="6" max="6" width="9" style="4"/>
  </cols>
  <sheetData>
    <row r="1" spans="1:6" x14ac:dyDescent="0.45">
      <c r="A1" s="27" t="s">
        <v>181</v>
      </c>
      <c r="B1" s="27" t="s">
        <v>182</v>
      </c>
      <c r="C1" s="27" t="s">
        <v>20</v>
      </c>
      <c r="D1" s="27" t="s">
        <v>183</v>
      </c>
      <c r="E1" s="27" t="s">
        <v>21</v>
      </c>
      <c r="F1" s="4" t="s">
        <v>1506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5F3AA-2056-45B8-8BE9-3B499E5586DB}">
  <sheetPr codeName="Sheet9">
    <tabColor rgb="FF00B0F0"/>
  </sheetPr>
  <dimension ref="A1"/>
  <sheetViews>
    <sheetView workbookViewId="0">
      <selection activeCell="K26" sqref="K26"/>
    </sheetView>
  </sheetViews>
  <sheetFormatPr defaultRowHeight="18" x14ac:dyDescent="0.45"/>
  <cols>
    <col min="1" max="1" width="19.8984375" bestFit="1" customWidth="1"/>
    <col min="2" max="2" width="13.09765625" bestFit="1" customWidth="1"/>
    <col min="3" max="3" width="7.09765625" bestFit="1" customWidth="1"/>
    <col min="4" max="4" width="6.5" bestFit="1" customWidth="1"/>
    <col min="5" max="5" width="11" bestFit="1" customWidth="1"/>
    <col min="6" max="6" width="13.3984375" bestFit="1" customWidth="1"/>
    <col min="7" max="7" width="12.3984375" bestFit="1" customWidth="1"/>
    <col min="8" max="8" width="7.09765625" bestFit="1" customWidth="1"/>
  </cols>
  <sheetData/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8" ma:contentTypeDescription="新しいドキュメントを作成します。" ma:contentTypeScope="" ma:versionID="55265a53317f1f332e4b398a27662989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a880ce164c962cd68fc98d016f735ba6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58172D-980C-4957-A318-1BE712723B7A}">
  <ds:schemaRefs>
    <ds:schemaRef ds:uri="a7e61ba0-4c47-4710-ac4c-031e401f92bd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www.w3.org/XML/1998/namespace"/>
    <ds:schemaRef ds:uri="http://purl.org/dc/dcmitype/"/>
    <ds:schemaRef ds:uri="ea180fb7-6417-4417-bcc2-1a1988547c9d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581564C2-4A05-4934-8379-98FD43E48B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FA08EB0-8821-4245-B1EC-690F2B0C15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180fb7-6417-4417-bcc2-1a1988547c9d"/>
    <ds:schemaRef ds:uri="a7e61ba0-4c47-4710-ac4c-031e401f92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ca9c2885-f052-48d0-98f2-4ee2bfc5cc07}" enabled="0" method="" siteId="{ca9c2885-f052-48d0-98f2-4ee2bfc5cc0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計算結果</vt:lpstr>
      <vt:lpstr>計算結果_整形</vt:lpstr>
      <vt:lpstr>セットアップレポート_紐づけ用</vt:lpstr>
      <vt:lpstr>セットアップレポート</vt:lpstr>
      <vt:lpstr>配列</vt:lpstr>
      <vt:lpstr>EGPro</vt:lpstr>
      <vt:lpstr>対応表</vt:lpstr>
      <vt:lpstr>マクロ実行</vt:lpstr>
      <vt:lpstr>印刷入力</vt:lpstr>
      <vt:lpstr>印刷</vt:lpstr>
      <vt:lpstr>現場部品リスト</vt:lpstr>
      <vt:lpstr>所在不明リール</vt:lpstr>
      <vt:lpstr>計算結果_整形!Print_Titles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佐藤 勇希</dc:creator>
  <cp:keywords/>
  <dc:description/>
  <cp:lastModifiedBy>SHINOHARA Soshi (篠原 想詩)</cp:lastModifiedBy>
  <cp:revision/>
  <cp:lastPrinted>2026-08-24T04:01:24Z</cp:lastPrinted>
  <dcterms:created xsi:type="dcterms:W3CDTF">2023-02-10T02:21:20Z</dcterms:created>
  <dcterms:modified xsi:type="dcterms:W3CDTF">2026-09-04T01:05:22Z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0x010100AFC8BC07E3BBA34EB92D3ED2768D585A</vt:lpwstr>
  </property>
  <property fmtid="{D5CDD505-2E9C-101B-9397-08002B2CF9AE}" pid="3" name="MediaServiceImageTags">
    <vt:lpwstr/>
  </property>
</Properties>
</file>